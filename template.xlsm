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700289\Downloads\"/>
    </mc:Choice>
  </mc:AlternateContent>
  <xr:revisionPtr revIDLastSave="0" documentId="13_ncr:1_{404712C6-199D-4F54-9A44-43C105CDC802}" xr6:coauthVersionLast="47" xr6:coauthVersionMax="47" xr10:uidLastSave="{00000000-0000-0000-0000-000000000000}"/>
  <bookViews>
    <workbookView xWindow="-108" yWindow="-108" windowWidth="23256" windowHeight="13896" firstSheet="2" activeTab="7" xr2:uid="{00000000-000D-0000-FFFF-FFFF00000000}"/>
  </bookViews>
  <sheets>
    <sheet name="貼り付け用" sheetId="1" state="hidden" r:id="rId1"/>
    <sheet name="数出表_Excel" sheetId="2" state="hidden" r:id="rId2"/>
    <sheet name="数出表_Excel（アレルギー入力）" sheetId="3" r:id="rId3"/>
    <sheet name="まとめ札" sheetId="7" state="hidden" r:id="rId4"/>
    <sheet name="先生札" sheetId="8" state="hidden" r:id="rId5"/>
    <sheet name="社食等の札" sheetId="9" state="hidden" r:id="rId6"/>
    <sheet name="盛付札（関数）" sheetId="4" state="hidden" r:id="rId7"/>
    <sheet name="札_まとめ（印刷用）" sheetId="5" r:id="rId8"/>
    <sheet name="商品マスタ一覧" sheetId="6" state="hidden" r:id="rId9"/>
  </sheets>
  <functionGroups builtInGroupCount="19"/>
  <definedNames>
    <definedName name="_xleta.AND" hidden="1" xlm="1">#NAME?</definedName>
    <definedName name="_xleta.INDIRECT" hidden="1" xlm="1">#NAME?</definedName>
    <definedName name="_xleta.LEN" hidden="1" xlm="1">#NAME?</definedName>
    <definedName name="_xleta.ROW" hidden="1" xlm="1">#NAME?</definedName>
    <definedName name="_xlpm.baseCell" hidden="1" xlm="1">#NAME?</definedName>
    <definedName name="_xlpm.cellToCheck" hidden="1" xlm="1">#NAME?</definedName>
    <definedName name="_xlpm.checkRow" hidden="1" xlm="1">#NAME?</definedName>
    <definedName name="_xlpm.columnRange" hidden="1" xlm="1">#NAME?</definedName>
    <definedName name="_xlpm.currentA" hidden="1" xlm="1">#NAME?</definedName>
    <definedName name="_xlpm.hasCurry" hidden="1" xlm="1">#NAME?</definedName>
    <definedName name="_xlpm.hasHaizen" hidden="1" xlm="1">#NAME?</definedName>
    <definedName name="_xlpm.isZero" hidden="1" xlm="1">#NAME?</definedName>
    <definedName name="_xlpm.matchRow" hidden="1" xlm="1">#NAME?</definedName>
    <definedName name="_xlpm.numValues" hidden="1" xlm="1">#NAME?</definedName>
    <definedName name="_xlpm.result" hidden="1" xlm="1">#NAME?</definedName>
    <definedName name="_xlpm.rowOffset" hidden="1" xlm="1">#NAME?</definedName>
    <definedName name="_xlpm.trueColum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C123" i="4" l="1"/>
  <c r="BY122" i="4"/>
  <c r="BY123" i="4"/>
  <c r="BY121" i="4"/>
  <c r="CI122" i="4"/>
  <c r="CI123" i="4"/>
  <c r="CI124" i="4"/>
  <c r="CI121" i="4"/>
  <c r="BX120" i="4"/>
  <c r="BX119" i="4"/>
  <c r="D13" i="2"/>
  <c r="D14" i="2"/>
  <c r="D16" i="2"/>
  <c r="A20" i="2"/>
  <c r="A16" i="2"/>
  <c r="M4" i="2" a="1"/>
  <c r="M4" i="2" s="1"/>
  <c r="L3" i="2" a="1"/>
  <c r="L3" i="2" s="1"/>
  <c r="AK150" i="3"/>
  <c r="AI150" i="3"/>
  <c r="AG150" i="3"/>
  <c r="AE150" i="3"/>
  <c r="AC150" i="3"/>
  <c r="AA150" i="3"/>
  <c r="Y150" i="3"/>
  <c r="W150" i="3"/>
  <c r="U150" i="3"/>
  <c r="S150" i="3"/>
  <c r="Q150" i="3"/>
  <c r="O150" i="3"/>
  <c r="M150" i="3"/>
  <c r="K150" i="3"/>
  <c r="I150" i="3"/>
  <c r="G150" i="3"/>
  <c r="E150" i="3"/>
  <c r="C150" i="3"/>
  <c r="BX110" i="4"/>
  <c r="BX114" i="4" s="1"/>
  <c r="BX118" i="4" s="1"/>
  <c r="BX109" i="4"/>
  <c r="BX113" i="4" s="1"/>
  <c r="BX117" i="4" s="1"/>
  <c r="BX108" i="4"/>
  <c r="BX112" i="4" s="1"/>
  <c r="BX116" i="4" s="1"/>
  <c r="BX107" i="4"/>
  <c r="BX111" i="4" s="1"/>
  <c r="BX115" i="4" s="1"/>
  <c r="BX105" i="4"/>
  <c r="BX104" i="4"/>
  <c r="BX102" i="4"/>
  <c r="BX106" i="4" s="1"/>
  <c r="BX83" i="4"/>
  <c r="BX87" i="4" s="1"/>
  <c r="BX91" i="4" s="1"/>
  <c r="BX95" i="4" s="1"/>
  <c r="BX82" i="4"/>
  <c r="BX86" i="4" s="1"/>
  <c r="BX90" i="4" s="1"/>
  <c r="BX94" i="4" s="1"/>
  <c r="BX81" i="4"/>
  <c r="BX85" i="4" s="1"/>
  <c r="BX89" i="4" s="1"/>
  <c r="BX93" i="4" s="1"/>
  <c r="BX80" i="4"/>
  <c r="BX84" i="4" s="1"/>
  <c r="BX88" i="4" s="1"/>
  <c r="BX92" i="4" s="1"/>
  <c r="BX96" i="4" s="1"/>
  <c r="BX78" i="4"/>
  <c r="BX59" i="4"/>
  <c r="BX63" i="4" s="1"/>
  <c r="BX67" i="4" s="1"/>
  <c r="BX71" i="4" s="1"/>
  <c r="BX57" i="4"/>
  <c r="BX61" i="4" s="1"/>
  <c r="BX65" i="4" s="1"/>
  <c r="BX69" i="4" s="1"/>
  <c r="BX56" i="4"/>
  <c r="BX60" i="4" s="1"/>
  <c r="BX64" i="4" s="1"/>
  <c r="BX68" i="4" s="1"/>
  <c r="BX72" i="4" s="1"/>
  <c r="BX54" i="4"/>
  <c r="BX58" i="4" s="1"/>
  <c r="BX62" i="4" s="1"/>
  <c r="BX66" i="4" s="1"/>
  <c r="BX70" i="4" s="1"/>
  <c r="BX35" i="4"/>
  <c r="BX39" i="4" s="1"/>
  <c r="BX43" i="4" s="1"/>
  <c r="BX47" i="4" s="1"/>
  <c r="BX34" i="4"/>
  <c r="BX38" i="4" s="1"/>
  <c r="BX42" i="4" s="1"/>
  <c r="BX46" i="4" s="1"/>
  <c r="BX33" i="4"/>
  <c r="BX37" i="4" s="1"/>
  <c r="BX41" i="4" s="1"/>
  <c r="BX45" i="4" s="1"/>
  <c r="BX32" i="4"/>
  <c r="BX36" i="4" s="1"/>
  <c r="BX40" i="4" s="1"/>
  <c r="BX44" i="4" s="1"/>
  <c r="BX48" i="4" s="1"/>
  <c r="BX30" i="4"/>
  <c r="BX11" i="4"/>
  <c r="BX15" i="4" s="1"/>
  <c r="BX19" i="4" s="1"/>
  <c r="BX23" i="4" s="1"/>
  <c r="BX9" i="4"/>
  <c r="BX13" i="4" s="1"/>
  <c r="BX17" i="4" s="1"/>
  <c r="BX21" i="4" s="1"/>
  <c r="BX8" i="4"/>
  <c r="BX12" i="4" s="1"/>
  <c r="BX16" i="4" s="1"/>
  <c r="BX20" i="4" s="1"/>
  <c r="BX24" i="4" s="1"/>
  <c r="BX6" i="4"/>
  <c r="BX10" i="4" s="1"/>
  <c r="BX14" i="4" s="1"/>
  <c r="BX18" i="4" s="1"/>
  <c r="BX22" i="4" s="1"/>
  <c r="A4" i="3"/>
  <c r="AM2" i="3"/>
  <c r="A2" i="3"/>
  <c r="W147" i="2"/>
  <c r="AN147" i="3" s="1"/>
  <c r="V147" i="2"/>
  <c r="AM147" i="3" s="1"/>
  <c r="T147" i="2"/>
  <c r="S147" i="2"/>
  <c r="R147" i="2"/>
  <c r="AH147" i="3" s="1"/>
  <c r="Q147" i="2"/>
  <c r="AF147" i="3" s="1"/>
  <c r="P147" i="2"/>
  <c r="AD147" i="3" s="1"/>
  <c r="O147" i="2"/>
  <c r="AB147" i="3" s="1"/>
  <c r="N147" i="2"/>
  <c r="Z147" i="3" s="1"/>
  <c r="M147" i="2"/>
  <c r="X147" i="3" s="1"/>
  <c r="L147" i="2"/>
  <c r="V147" i="3" s="1"/>
  <c r="K147" i="2"/>
  <c r="T147" i="3" s="1"/>
  <c r="J147" i="2"/>
  <c r="R147" i="3" s="1"/>
  <c r="I147" i="2"/>
  <c r="P147" i="3" s="1"/>
  <c r="H147" i="2"/>
  <c r="N147" i="3" s="1"/>
  <c r="G147" i="2"/>
  <c r="L147" i="3" s="1"/>
  <c r="F147" i="2"/>
  <c r="J147" i="3" s="1"/>
  <c r="E147" i="2"/>
  <c r="H147" i="3" s="1"/>
  <c r="D147" i="2"/>
  <c r="F147" i="3" s="1"/>
  <c r="C147" i="2"/>
  <c r="D147" i="3" s="1"/>
  <c r="B147" i="2"/>
  <c r="B147" i="3" s="1"/>
  <c r="A147" i="2"/>
  <c r="A147" i="3" s="1"/>
  <c r="W146" i="2" a="1"/>
  <c r="W146" i="2" s="1"/>
  <c r="AN146" i="3" s="1"/>
  <c r="V146" i="2" a="1"/>
  <c r="V146" i="2" s="1"/>
  <c r="AM146" i="3" s="1"/>
  <c r="T146" i="2" a="1"/>
  <c r="T146" i="2" s="1"/>
  <c r="S146" i="2" a="1"/>
  <c r="S146" i="2" s="1"/>
  <c r="R146" i="2" a="1"/>
  <c r="R146" i="2" s="1"/>
  <c r="AH146" i="3" s="1"/>
  <c r="Q146" i="2" a="1"/>
  <c r="Q146" i="2" s="1"/>
  <c r="AF146" i="3" s="1"/>
  <c r="P146" i="2" a="1"/>
  <c r="P146" i="2" s="1"/>
  <c r="AD146" i="3" s="1"/>
  <c r="O146" i="2" a="1"/>
  <c r="O146" i="2" s="1"/>
  <c r="AB146" i="3" s="1"/>
  <c r="N146" i="2" a="1"/>
  <c r="N146" i="2" s="1"/>
  <c r="Z146" i="3" s="1"/>
  <c r="M146" i="2" a="1"/>
  <c r="M146" i="2" s="1"/>
  <c r="X146" i="3" s="1"/>
  <c r="L146" i="2" a="1"/>
  <c r="L146" i="2" s="1"/>
  <c r="V146" i="3" s="1"/>
  <c r="K146" i="2" a="1"/>
  <c r="K146" i="2" s="1"/>
  <c r="T146" i="3" s="1"/>
  <c r="J146" i="2" a="1"/>
  <c r="J146" i="2" s="1"/>
  <c r="R146" i="3" s="1"/>
  <c r="I146" i="2" a="1"/>
  <c r="I146" i="2" s="1"/>
  <c r="P146" i="3" s="1"/>
  <c r="H146" i="2" a="1"/>
  <c r="H146" i="2" s="1"/>
  <c r="N146" i="3" s="1"/>
  <c r="G146" i="2" a="1"/>
  <c r="G146" i="2" s="1"/>
  <c r="L146" i="3" s="1"/>
  <c r="F146" i="2" a="1"/>
  <c r="F146" i="2" s="1"/>
  <c r="J146" i="3" s="1"/>
  <c r="E146" i="2" a="1"/>
  <c r="E146" i="2" s="1"/>
  <c r="H146" i="3" s="1"/>
  <c r="D146" i="2" a="1"/>
  <c r="D146" i="2" s="1"/>
  <c r="F146" i="3" s="1"/>
  <c r="C146" i="2" a="1"/>
  <c r="C146" i="2" s="1"/>
  <c r="D146" i="3" s="1"/>
  <c r="B146" i="2" a="1"/>
  <c r="B146" i="2" s="1"/>
  <c r="B146" i="3" s="1"/>
  <c r="A146" i="2" a="1"/>
  <c r="A146" i="2" s="1"/>
  <c r="A146" i="3" s="1"/>
  <c r="W145" i="2" a="1"/>
  <c r="W145" i="2" s="1"/>
  <c r="AN145" i="3" s="1"/>
  <c r="V145" i="2" a="1"/>
  <c r="V145" i="2" s="1"/>
  <c r="AM145" i="3" s="1"/>
  <c r="T145" i="2" a="1"/>
  <c r="T145" i="2" s="1"/>
  <c r="S145" i="2"/>
  <c r="R145" i="2"/>
  <c r="AH145" i="3" s="1"/>
  <c r="Q145" i="2"/>
  <c r="AF145" i="3" s="1"/>
  <c r="P145" i="2"/>
  <c r="AD145" i="3" s="1"/>
  <c r="O145" i="2"/>
  <c r="AB145" i="3" s="1"/>
  <c r="N145" i="2"/>
  <c r="Z145" i="3" s="1"/>
  <c r="M145" i="2"/>
  <c r="X145" i="3" s="1"/>
  <c r="L145" i="2"/>
  <c r="V145" i="3" s="1"/>
  <c r="K145" i="2"/>
  <c r="T145" i="3" s="1"/>
  <c r="J145" i="2"/>
  <c r="R145" i="3" s="1"/>
  <c r="I145" i="2"/>
  <c r="P145" i="3" s="1"/>
  <c r="H145" i="2"/>
  <c r="N145" i="3" s="1"/>
  <c r="G145" i="2"/>
  <c r="L145" i="3" s="1"/>
  <c r="F145" i="2"/>
  <c r="J145" i="3" s="1"/>
  <c r="E145" i="2"/>
  <c r="H145" i="3" s="1"/>
  <c r="D145" i="2"/>
  <c r="F145" i="3" s="1"/>
  <c r="C145" i="2"/>
  <c r="D145" i="3" s="1"/>
  <c r="B145" i="2"/>
  <c r="B145" i="3" s="1"/>
  <c r="A145" i="2"/>
  <c r="A145" i="3" s="1"/>
  <c r="W144" i="2" a="1"/>
  <c r="W144" i="2" s="1"/>
  <c r="AN144" i="3" s="1"/>
  <c r="V144" i="2" a="1"/>
  <c r="V144" i="2" s="1"/>
  <c r="AM144" i="3" s="1"/>
  <c r="T144" i="2" a="1"/>
  <c r="T144" i="2" s="1"/>
  <c r="S144" i="2"/>
  <c r="R144" i="2"/>
  <c r="AH144" i="3" s="1"/>
  <c r="Q144" i="2"/>
  <c r="AF144" i="3" s="1"/>
  <c r="P144" i="2"/>
  <c r="AD144" i="3" s="1"/>
  <c r="O144" i="2"/>
  <c r="AB144" i="3" s="1"/>
  <c r="N144" i="2"/>
  <c r="Z144" i="3" s="1"/>
  <c r="M144" i="2"/>
  <c r="X144" i="3" s="1"/>
  <c r="L144" i="2"/>
  <c r="V144" i="3" s="1"/>
  <c r="K144" i="2"/>
  <c r="T144" i="3" s="1"/>
  <c r="J144" i="2"/>
  <c r="R144" i="3" s="1"/>
  <c r="I144" i="2"/>
  <c r="P144" i="3" s="1"/>
  <c r="H144" i="2"/>
  <c r="N144" i="3" s="1"/>
  <c r="G144" i="2"/>
  <c r="L144" i="3" s="1"/>
  <c r="F144" i="2"/>
  <c r="J144" i="3" s="1"/>
  <c r="E144" i="2"/>
  <c r="H144" i="3" s="1"/>
  <c r="D144" i="2"/>
  <c r="F144" i="3" s="1"/>
  <c r="C144" i="2"/>
  <c r="D144" i="3" s="1"/>
  <c r="B144" i="2"/>
  <c r="B144" i="3" s="1"/>
  <c r="W143" i="2" a="1"/>
  <c r="W143" i="2" s="1"/>
  <c r="AN143" i="3" s="1"/>
  <c r="V143" i="2" a="1"/>
  <c r="V143" i="2" s="1"/>
  <c r="AM143" i="3" s="1"/>
  <c r="T143" i="2" a="1"/>
  <c r="T143" i="2" s="1"/>
  <c r="S143" i="2"/>
  <c r="R143" i="2"/>
  <c r="AH143" i="3" s="1"/>
  <c r="Q143" i="2"/>
  <c r="AF143" i="3" s="1"/>
  <c r="P143" i="2"/>
  <c r="AD143" i="3" s="1"/>
  <c r="O143" i="2"/>
  <c r="AB143" i="3" s="1"/>
  <c r="N143" i="2"/>
  <c r="Z143" i="3" s="1"/>
  <c r="M143" i="2"/>
  <c r="X143" i="3" s="1"/>
  <c r="L143" i="2"/>
  <c r="V143" i="3" s="1"/>
  <c r="K143" i="2"/>
  <c r="T143" i="3" s="1"/>
  <c r="J143" i="2"/>
  <c r="R143" i="3" s="1"/>
  <c r="I143" i="2"/>
  <c r="P143" i="3" s="1"/>
  <c r="H143" i="2"/>
  <c r="N143" i="3" s="1"/>
  <c r="G143" i="2"/>
  <c r="L143" i="3" s="1"/>
  <c r="F143" i="2"/>
  <c r="J143" i="3" s="1"/>
  <c r="E143" i="2"/>
  <c r="H143" i="3" s="1"/>
  <c r="D143" i="2"/>
  <c r="F143" i="3" s="1"/>
  <c r="C143" i="2"/>
  <c r="D143" i="3" s="1"/>
  <c r="B143" i="2"/>
  <c r="B143" i="3" s="1"/>
  <c r="A143" i="2"/>
  <c r="A143" i="3" s="1"/>
  <c r="W142" i="2" a="1"/>
  <c r="W142" i="2" s="1"/>
  <c r="AN142" i="3" s="1"/>
  <c r="V142" i="2" a="1"/>
  <c r="V142" i="2"/>
  <c r="AM142" i="3" s="1"/>
  <c r="T142" i="2" a="1"/>
  <c r="T142" i="2" s="1"/>
  <c r="S142" i="2"/>
  <c r="R142" i="2"/>
  <c r="AH142" i="3" s="1"/>
  <c r="Q142" i="2"/>
  <c r="AF142" i="3" s="1"/>
  <c r="P142" i="2"/>
  <c r="AD142" i="3" s="1"/>
  <c r="O142" i="2"/>
  <c r="AB142" i="3" s="1"/>
  <c r="N142" i="2"/>
  <c r="Z142" i="3" s="1"/>
  <c r="M142" i="2"/>
  <c r="X142" i="3" s="1"/>
  <c r="L142" i="2"/>
  <c r="V142" i="3" s="1"/>
  <c r="K142" i="2"/>
  <c r="T142" i="3" s="1"/>
  <c r="J142" i="2"/>
  <c r="R142" i="3" s="1"/>
  <c r="I142" i="2"/>
  <c r="P142" i="3" s="1"/>
  <c r="H142" i="2"/>
  <c r="N142" i="3" s="1"/>
  <c r="G142" i="2"/>
  <c r="L142" i="3" s="1"/>
  <c r="F142" i="2"/>
  <c r="J142" i="3" s="1"/>
  <c r="E142" i="2"/>
  <c r="H142" i="3" s="1"/>
  <c r="D142" i="2"/>
  <c r="F142" i="3" s="1"/>
  <c r="C142" i="2"/>
  <c r="D142" i="3" s="1"/>
  <c r="B142" i="2"/>
  <c r="B142" i="3" s="1"/>
  <c r="W141" i="2" a="1"/>
  <c r="W141" i="2" s="1"/>
  <c r="AN141" i="3" s="1"/>
  <c r="V141" i="2" a="1"/>
  <c r="V141" i="2" s="1"/>
  <c r="AM141" i="3" s="1"/>
  <c r="T141" i="2" a="1"/>
  <c r="T141" i="2" s="1"/>
  <c r="S141" i="2"/>
  <c r="R141" i="2"/>
  <c r="AH141" i="3" s="1"/>
  <c r="Q141" i="2"/>
  <c r="AF141" i="3" s="1"/>
  <c r="P141" i="2"/>
  <c r="AD141" i="3" s="1"/>
  <c r="O141" i="2"/>
  <c r="AB141" i="3" s="1"/>
  <c r="N141" i="2"/>
  <c r="Z141" i="3" s="1"/>
  <c r="M141" i="2"/>
  <c r="X141" i="3" s="1"/>
  <c r="L141" i="2"/>
  <c r="V141" i="3" s="1"/>
  <c r="K141" i="2"/>
  <c r="T141" i="3" s="1"/>
  <c r="J141" i="2"/>
  <c r="R141" i="3" s="1"/>
  <c r="I141" i="2"/>
  <c r="P141" i="3" s="1"/>
  <c r="H141" i="2"/>
  <c r="N141" i="3" s="1"/>
  <c r="G141" i="2"/>
  <c r="L141" i="3" s="1"/>
  <c r="F141" i="2"/>
  <c r="J141" i="3" s="1"/>
  <c r="E141" i="2"/>
  <c r="H141" i="3" s="1"/>
  <c r="D141" i="2"/>
  <c r="F141" i="3" s="1"/>
  <c r="C141" i="2"/>
  <c r="D141" i="3" s="1"/>
  <c r="B141" i="2"/>
  <c r="B141" i="3" s="1"/>
  <c r="A141" i="2"/>
  <c r="A141" i="3" s="1"/>
  <c r="W140" i="2" a="1"/>
  <c r="W140" i="2" s="1"/>
  <c r="AN140" i="3" s="1"/>
  <c r="V140" i="2" a="1"/>
  <c r="V140" i="2" s="1"/>
  <c r="AM140" i="3" s="1"/>
  <c r="T140" i="2" a="1"/>
  <c r="T140" i="2" s="1"/>
  <c r="S140" i="2"/>
  <c r="R140" i="2"/>
  <c r="AH140" i="3" s="1"/>
  <c r="Q140" i="2"/>
  <c r="AF140" i="3" s="1"/>
  <c r="P140" i="2"/>
  <c r="AD140" i="3" s="1"/>
  <c r="O140" i="2"/>
  <c r="AB140" i="3" s="1"/>
  <c r="N140" i="2"/>
  <c r="Z140" i="3" s="1"/>
  <c r="M140" i="2"/>
  <c r="X140" i="3" s="1"/>
  <c r="L140" i="2"/>
  <c r="V140" i="3" s="1"/>
  <c r="K140" i="2"/>
  <c r="T140" i="3" s="1"/>
  <c r="J140" i="2"/>
  <c r="R140" i="3" s="1"/>
  <c r="I140" i="2"/>
  <c r="P140" i="3" s="1"/>
  <c r="H140" i="2"/>
  <c r="N140" i="3" s="1"/>
  <c r="G140" i="2"/>
  <c r="L140" i="3" s="1"/>
  <c r="F140" i="2"/>
  <c r="J140" i="3" s="1"/>
  <c r="E140" i="2"/>
  <c r="H140" i="3" s="1"/>
  <c r="D140" i="2"/>
  <c r="F140" i="3" s="1"/>
  <c r="C140" i="2"/>
  <c r="D140" i="3" s="1"/>
  <c r="B140" i="2"/>
  <c r="B140" i="3" s="1"/>
  <c r="W139" i="2" a="1"/>
  <c r="W139" i="2" s="1"/>
  <c r="AN139" i="3" s="1"/>
  <c r="V139" i="2" a="1"/>
  <c r="V139" i="2" s="1"/>
  <c r="AM139" i="3" s="1"/>
  <c r="T139" i="2" a="1"/>
  <c r="T139" i="2" s="1"/>
  <c r="S139" i="2"/>
  <c r="R139" i="2"/>
  <c r="AH139" i="3" s="1"/>
  <c r="Q139" i="2"/>
  <c r="AF139" i="3" s="1"/>
  <c r="P139" i="2"/>
  <c r="AD139" i="3" s="1"/>
  <c r="O139" i="2"/>
  <c r="AB139" i="3" s="1"/>
  <c r="N139" i="2"/>
  <c r="Z139" i="3" s="1"/>
  <c r="M139" i="2"/>
  <c r="X139" i="3" s="1"/>
  <c r="L139" i="2"/>
  <c r="V139" i="3" s="1"/>
  <c r="K139" i="2"/>
  <c r="T139" i="3" s="1"/>
  <c r="J139" i="2"/>
  <c r="R139" i="3" s="1"/>
  <c r="I139" i="2"/>
  <c r="P139" i="3" s="1"/>
  <c r="H139" i="2"/>
  <c r="N139" i="3" s="1"/>
  <c r="G139" i="2"/>
  <c r="L139" i="3" s="1"/>
  <c r="F139" i="2"/>
  <c r="J139" i="3" s="1"/>
  <c r="E139" i="2"/>
  <c r="H139" i="3" s="1"/>
  <c r="D139" i="2"/>
  <c r="F139" i="3" s="1"/>
  <c r="C139" i="2"/>
  <c r="D139" i="3" s="1"/>
  <c r="B139" i="2"/>
  <c r="B139" i="3" s="1"/>
  <c r="A139" i="2"/>
  <c r="A139" i="3" s="1"/>
  <c r="W138" i="2" a="1"/>
  <c r="W138" i="2" s="1"/>
  <c r="AN138" i="3" s="1"/>
  <c r="V138" i="2" a="1"/>
  <c r="V138" i="2" s="1"/>
  <c r="AM138" i="3" s="1"/>
  <c r="T138" i="2" a="1"/>
  <c r="T138" i="2"/>
  <c r="S138" i="2"/>
  <c r="R138" i="2"/>
  <c r="AH138" i="3" s="1"/>
  <c r="Q138" i="2"/>
  <c r="AF138" i="3" s="1"/>
  <c r="P138" i="2"/>
  <c r="AD138" i="3" s="1"/>
  <c r="O138" i="2"/>
  <c r="AB138" i="3" s="1"/>
  <c r="N138" i="2"/>
  <c r="Z138" i="3" s="1"/>
  <c r="M138" i="2"/>
  <c r="X138" i="3" s="1"/>
  <c r="L138" i="2"/>
  <c r="V138" i="3" s="1"/>
  <c r="K138" i="2"/>
  <c r="T138" i="3" s="1"/>
  <c r="J138" i="2"/>
  <c r="R138" i="3" s="1"/>
  <c r="I138" i="2"/>
  <c r="P138" i="3" s="1"/>
  <c r="H138" i="2"/>
  <c r="N138" i="3" s="1"/>
  <c r="G138" i="2"/>
  <c r="L138" i="3" s="1"/>
  <c r="F138" i="2"/>
  <c r="J138" i="3" s="1"/>
  <c r="E138" i="2"/>
  <c r="H138" i="3" s="1"/>
  <c r="D138" i="2"/>
  <c r="F138" i="3" s="1"/>
  <c r="C138" i="2"/>
  <c r="D138" i="3" s="1"/>
  <c r="B138" i="2"/>
  <c r="B138" i="3" s="1"/>
  <c r="W137" i="2" a="1"/>
  <c r="W137" i="2" s="1"/>
  <c r="AN137" i="3" s="1"/>
  <c r="V137" i="2" a="1"/>
  <c r="V137" i="2" s="1"/>
  <c r="AM137" i="3" s="1"/>
  <c r="T137" i="2" a="1"/>
  <c r="T137" i="2" s="1"/>
  <c r="S137" i="2"/>
  <c r="R137" i="2"/>
  <c r="AH137" i="3" s="1"/>
  <c r="Q137" i="2"/>
  <c r="AF137" i="3" s="1"/>
  <c r="P137" i="2"/>
  <c r="AD137" i="3" s="1"/>
  <c r="O137" i="2"/>
  <c r="AB137" i="3" s="1"/>
  <c r="N137" i="2"/>
  <c r="Z137" i="3" s="1"/>
  <c r="M137" i="2"/>
  <c r="X137" i="3" s="1"/>
  <c r="L137" i="2"/>
  <c r="V137" i="3" s="1"/>
  <c r="K137" i="2"/>
  <c r="T137" i="3" s="1"/>
  <c r="J137" i="2"/>
  <c r="R137" i="3" s="1"/>
  <c r="I137" i="2"/>
  <c r="P137" i="3" s="1"/>
  <c r="H137" i="2"/>
  <c r="N137" i="3" s="1"/>
  <c r="G137" i="2"/>
  <c r="L137" i="3" s="1"/>
  <c r="F137" i="2"/>
  <c r="J137" i="3" s="1"/>
  <c r="E137" i="2"/>
  <c r="H137" i="3" s="1"/>
  <c r="D137" i="2"/>
  <c r="F137" i="3" s="1"/>
  <c r="C137" i="2"/>
  <c r="D137" i="3" s="1"/>
  <c r="B137" i="2"/>
  <c r="B137" i="3" s="1"/>
  <c r="A137" i="2"/>
  <c r="A137" i="3" s="1"/>
  <c r="W136" i="2" a="1"/>
  <c r="W136" i="2" s="1"/>
  <c r="AN136" i="3" s="1"/>
  <c r="V136" i="2" a="1"/>
  <c r="V136" i="2" s="1"/>
  <c r="AM136" i="3" s="1"/>
  <c r="T136" i="2" a="1"/>
  <c r="T136" i="2" s="1"/>
  <c r="S136" i="2"/>
  <c r="R136" i="2"/>
  <c r="AH136" i="3" s="1"/>
  <c r="Q136" i="2"/>
  <c r="AF136" i="3" s="1"/>
  <c r="P136" i="2"/>
  <c r="AD136" i="3" s="1"/>
  <c r="O136" i="2"/>
  <c r="AB136" i="3" s="1"/>
  <c r="N136" i="2"/>
  <c r="Z136" i="3" s="1"/>
  <c r="M136" i="2"/>
  <c r="X136" i="3" s="1"/>
  <c r="L136" i="2"/>
  <c r="V136" i="3" s="1"/>
  <c r="K136" i="2"/>
  <c r="T136" i="3" s="1"/>
  <c r="J136" i="2"/>
  <c r="R136" i="3" s="1"/>
  <c r="I136" i="2"/>
  <c r="P136" i="3" s="1"/>
  <c r="H136" i="2"/>
  <c r="N136" i="3" s="1"/>
  <c r="G136" i="2"/>
  <c r="L136" i="3" s="1"/>
  <c r="F136" i="2"/>
  <c r="J136" i="3" s="1"/>
  <c r="E136" i="2"/>
  <c r="H136" i="3" s="1"/>
  <c r="D136" i="2"/>
  <c r="F136" i="3" s="1"/>
  <c r="C136" i="2"/>
  <c r="D136" i="3" s="1"/>
  <c r="B136" i="2"/>
  <c r="B136" i="3" s="1"/>
  <c r="W135" i="2" a="1"/>
  <c r="W135" i="2" s="1"/>
  <c r="AN135" i="3" s="1"/>
  <c r="V135" i="2" a="1"/>
  <c r="V135" i="2" s="1"/>
  <c r="AM135" i="3" s="1"/>
  <c r="T135" i="2" a="1"/>
  <c r="T135" i="2" s="1"/>
  <c r="S135" i="2"/>
  <c r="R135" i="2"/>
  <c r="AH135" i="3" s="1"/>
  <c r="Q135" i="2"/>
  <c r="AF135" i="3" s="1"/>
  <c r="P135" i="2"/>
  <c r="AD135" i="3" s="1"/>
  <c r="O135" i="2"/>
  <c r="AB135" i="3" s="1"/>
  <c r="N135" i="2"/>
  <c r="Z135" i="3" s="1"/>
  <c r="M135" i="2"/>
  <c r="X135" i="3" s="1"/>
  <c r="L135" i="2"/>
  <c r="V135" i="3" s="1"/>
  <c r="K135" i="2"/>
  <c r="T135" i="3" s="1"/>
  <c r="J135" i="2"/>
  <c r="R135" i="3" s="1"/>
  <c r="I135" i="2"/>
  <c r="P135" i="3" s="1"/>
  <c r="H135" i="2"/>
  <c r="N135" i="3" s="1"/>
  <c r="G135" i="2"/>
  <c r="L135" i="3" s="1"/>
  <c r="F135" i="2"/>
  <c r="J135" i="3" s="1"/>
  <c r="E135" i="2"/>
  <c r="H135" i="3" s="1"/>
  <c r="D135" i="2"/>
  <c r="F135" i="3" s="1"/>
  <c r="C135" i="2"/>
  <c r="D135" i="3" s="1"/>
  <c r="B135" i="2"/>
  <c r="B135" i="3" s="1"/>
  <c r="A135" i="2"/>
  <c r="A135" i="3" s="1"/>
  <c r="W134" i="2" a="1"/>
  <c r="W134" i="2" s="1"/>
  <c r="AN134" i="3" s="1"/>
  <c r="V134" i="2" a="1"/>
  <c r="V134" i="2" s="1"/>
  <c r="AM134" i="3" s="1"/>
  <c r="T134" i="2" a="1"/>
  <c r="T134" i="2" s="1"/>
  <c r="S134" i="2"/>
  <c r="R134" i="2"/>
  <c r="AH134" i="3" s="1"/>
  <c r="Q134" i="2"/>
  <c r="AF134" i="3" s="1"/>
  <c r="P134" i="2"/>
  <c r="AD134" i="3" s="1"/>
  <c r="O134" i="2"/>
  <c r="AB134" i="3" s="1"/>
  <c r="N134" i="2"/>
  <c r="Z134" i="3" s="1"/>
  <c r="M134" i="2"/>
  <c r="X134" i="3" s="1"/>
  <c r="L134" i="2"/>
  <c r="V134" i="3" s="1"/>
  <c r="K134" i="2"/>
  <c r="T134" i="3" s="1"/>
  <c r="J134" i="2"/>
  <c r="R134" i="3" s="1"/>
  <c r="I134" i="2"/>
  <c r="P134" i="3" s="1"/>
  <c r="H134" i="2"/>
  <c r="N134" i="3" s="1"/>
  <c r="G134" i="2"/>
  <c r="L134" i="3" s="1"/>
  <c r="F134" i="2"/>
  <c r="J134" i="3" s="1"/>
  <c r="E134" i="2"/>
  <c r="H134" i="3" s="1"/>
  <c r="D134" i="2"/>
  <c r="F134" i="3" s="1"/>
  <c r="C134" i="2"/>
  <c r="D134" i="3" s="1"/>
  <c r="B134" i="2"/>
  <c r="B134" i="3" s="1"/>
  <c r="W133" i="2" a="1"/>
  <c r="W133" i="2" s="1"/>
  <c r="AN133" i="3" s="1"/>
  <c r="V133" i="2" a="1"/>
  <c r="V133" i="2" s="1"/>
  <c r="AM133" i="3" s="1"/>
  <c r="T133" i="2" a="1"/>
  <c r="T133" i="2" s="1"/>
  <c r="S133" i="2"/>
  <c r="R133" i="2"/>
  <c r="AH133" i="3" s="1"/>
  <c r="Q133" i="2"/>
  <c r="AF133" i="3" s="1"/>
  <c r="P133" i="2"/>
  <c r="AD133" i="3" s="1"/>
  <c r="O133" i="2"/>
  <c r="AB133" i="3" s="1"/>
  <c r="N133" i="2"/>
  <c r="Z133" i="3" s="1"/>
  <c r="M133" i="2"/>
  <c r="X133" i="3" s="1"/>
  <c r="L133" i="2"/>
  <c r="V133" i="3" s="1"/>
  <c r="K133" i="2"/>
  <c r="T133" i="3" s="1"/>
  <c r="J133" i="2"/>
  <c r="R133" i="3" s="1"/>
  <c r="I133" i="2"/>
  <c r="P133" i="3" s="1"/>
  <c r="H133" i="2"/>
  <c r="N133" i="3" s="1"/>
  <c r="G133" i="2"/>
  <c r="L133" i="3" s="1"/>
  <c r="F133" i="2"/>
  <c r="J133" i="3" s="1"/>
  <c r="E133" i="2"/>
  <c r="H133" i="3" s="1"/>
  <c r="D133" i="2"/>
  <c r="F133" i="3" s="1"/>
  <c r="C133" i="2"/>
  <c r="D133" i="3" s="1"/>
  <c r="B133" i="2"/>
  <c r="B133" i="3" s="1"/>
  <c r="A133" i="2"/>
  <c r="A133" i="3" s="1"/>
  <c r="W132" i="2" a="1"/>
  <c r="W132" i="2" s="1"/>
  <c r="AN132" i="3" s="1"/>
  <c r="V132" i="2" a="1"/>
  <c r="V132" i="2" s="1"/>
  <c r="AM132" i="3" s="1"/>
  <c r="T132" i="2" a="1"/>
  <c r="T132" i="2" s="1"/>
  <c r="S132" i="2"/>
  <c r="R132" i="2"/>
  <c r="AH132" i="3" s="1"/>
  <c r="Q132" i="2"/>
  <c r="AF132" i="3" s="1"/>
  <c r="P132" i="2"/>
  <c r="AD132" i="3" s="1"/>
  <c r="O132" i="2"/>
  <c r="AB132" i="3" s="1"/>
  <c r="N132" i="2"/>
  <c r="Z132" i="3" s="1"/>
  <c r="M132" i="2"/>
  <c r="X132" i="3" s="1"/>
  <c r="L132" i="2"/>
  <c r="V132" i="3" s="1"/>
  <c r="K132" i="2"/>
  <c r="T132" i="3" s="1"/>
  <c r="J132" i="2"/>
  <c r="R132" i="3" s="1"/>
  <c r="I132" i="2"/>
  <c r="P132" i="3" s="1"/>
  <c r="H132" i="2"/>
  <c r="N132" i="3" s="1"/>
  <c r="G132" i="2"/>
  <c r="L132" i="3" s="1"/>
  <c r="F132" i="2"/>
  <c r="J132" i="3" s="1"/>
  <c r="E132" i="2"/>
  <c r="H132" i="3" s="1"/>
  <c r="D132" i="2"/>
  <c r="F132" i="3" s="1"/>
  <c r="C132" i="2"/>
  <c r="D132" i="3" s="1"/>
  <c r="B132" i="2"/>
  <c r="B132" i="3" s="1"/>
  <c r="W131" i="2" a="1"/>
  <c r="W131" i="2" s="1"/>
  <c r="AN131" i="3" s="1"/>
  <c r="V131" i="2" a="1"/>
  <c r="V131" i="2" s="1"/>
  <c r="AM131" i="3" s="1"/>
  <c r="T131" i="2" a="1"/>
  <c r="T131" i="2" s="1"/>
  <c r="S131" i="2"/>
  <c r="R131" i="2"/>
  <c r="AH131" i="3" s="1"/>
  <c r="Q131" i="2"/>
  <c r="AF131" i="3" s="1"/>
  <c r="P131" i="2"/>
  <c r="AD131" i="3" s="1"/>
  <c r="O131" i="2"/>
  <c r="AB131" i="3" s="1"/>
  <c r="N131" i="2"/>
  <c r="Z131" i="3" s="1"/>
  <c r="M131" i="2"/>
  <c r="X131" i="3" s="1"/>
  <c r="L131" i="2"/>
  <c r="V131" i="3" s="1"/>
  <c r="K131" i="2"/>
  <c r="T131" i="3" s="1"/>
  <c r="J131" i="2"/>
  <c r="R131" i="3" s="1"/>
  <c r="I131" i="2"/>
  <c r="P131" i="3" s="1"/>
  <c r="H131" i="2"/>
  <c r="N131" i="3" s="1"/>
  <c r="G131" i="2"/>
  <c r="L131" i="3" s="1"/>
  <c r="F131" i="2"/>
  <c r="J131" i="3" s="1"/>
  <c r="E131" i="2"/>
  <c r="H131" i="3" s="1"/>
  <c r="D131" i="2"/>
  <c r="F131" i="3" s="1"/>
  <c r="C131" i="2"/>
  <c r="D131" i="3" s="1"/>
  <c r="B131" i="2"/>
  <c r="B131" i="3" s="1"/>
  <c r="A131" i="2"/>
  <c r="A131" i="3" s="1"/>
  <c r="W130" i="2" a="1"/>
  <c r="W130" i="2" s="1"/>
  <c r="AN130" i="3" s="1"/>
  <c r="V130" i="2" a="1"/>
  <c r="V130" i="2" s="1"/>
  <c r="AM130" i="3" s="1"/>
  <c r="T130" i="2" a="1"/>
  <c r="T130" i="2" s="1"/>
  <c r="S130" i="2"/>
  <c r="R130" i="2"/>
  <c r="AH130" i="3" s="1"/>
  <c r="Q130" i="2"/>
  <c r="AF130" i="3" s="1"/>
  <c r="P130" i="2"/>
  <c r="AD130" i="3" s="1"/>
  <c r="O130" i="2"/>
  <c r="AB130" i="3" s="1"/>
  <c r="N130" i="2"/>
  <c r="Z130" i="3" s="1"/>
  <c r="M130" i="2"/>
  <c r="X130" i="3" s="1"/>
  <c r="L130" i="2"/>
  <c r="V130" i="3" s="1"/>
  <c r="K130" i="2"/>
  <c r="T130" i="3" s="1"/>
  <c r="J130" i="2"/>
  <c r="R130" i="3" s="1"/>
  <c r="I130" i="2"/>
  <c r="P130" i="3" s="1"/>
  <c r="H130" i="2"/>
  <c r="N130" i="3" s="1"/>
  <c r="G130" i="2"/>
  <c r="L130" i="3" s="1"/>
  <c r="F130" i="2"/>
  <c r="J130" i="3" s="1"/>
  <c r="E130" i="2"/>
  <c r="H130" i="3" s="1"/>
  <c r="D130" i="2"/>
  <c r="F130" i="3" s="1"/>
  <c r="C130" i="2"/>
  <c r="D130" i="3" s="1"/>
  <c r="B130" i="2"/>
  <c r="B130" i="3" s="1"/>
  <c r="W129" i="2" a="1"/>
  <c r="W129" i="2" s="1"/>
  <c r="AN129" i="3" s="1"/>
  <c r="V129" i="2" a="1"/>
  <c r="V129" i="2" s="1"/>
  <c r="AM129" i="3" s="1"/>
  <c r="T129" i="2" a="1"/>
  <c r="T129" i="2" s="1"/>
  <c r="S129" i="2"/>
  <c r="R129" i="2"/>
  <c r="AH129" i="3" s="1"/>
  <c r="Q129" i="2"/>
  <c r="AF129" i="3" s="1"/>
  <c r="P129" i="2"/>
  <c r="AD129" i="3" s="1"/>
  <c r="O129" i="2"/>
  <c r="AB129" i="3" s="1"/>
  <c r="N129" i="2"/>
  <c r="Z129" i="3" s="1"/>
  <c r="M129" i="2"/>
  <c r="X129" i="3" s="1"/>
  <c r="L129" i="2"/>
  <c r="V129" i="3" s="1"/>
  <c r="K129" i="2"/>
  <c r="T129" i="3" s="1"/>
  <c r="J129" i="2"/>
  <c r="R129" i="3" s="1"/>
  <c r="I129" i="2"/>
  <c r="P129" i="3" s="1"/>
  <c r="H129" i="2"/>
  <c r="N129" i="3" s="1"/>
  <c r="G129" i="2"/>
  <c r="L129" i="3" s="1"/>
  <c r="F129" i="2"/>
  <c r="J129" i="3" s="1"/>
  <c r="E129" i="2"/>
  <c r="H129" i="3" s="1"/>
  <c r="D129" i="2"/>
  <c r="F129" i="3" s="1"/>
  <c r="C129" i="2"/>
  <c r="D129" i="3" s="1"/>
  <c r="B129" i="2"/>
  <c r="B129" i="3" s="1"/>
  <c r="A129" i="2"/>
  <c r="A129" i="3" s="1"/>
  <c r="W128" i="2" a="1"/>
  <c r="W128" i="2" s="1"/>
  <c r="AN128" i="3" s="1"/>
  <c r="V128" i="2" a="1"/>
  <c r="V128" i="2" s="1"/>
  <c r="AM128" i="3" s="1"/>
  <c r="T128" i="2" a="1"/>
  <c r="T128" i="2" s="1"/>
  <c r="S128" i="2"/>
  <c r="R128" i="2"/>
  <c r="AH128" i="3" s="1"/>
  <c r="Q128" i="2"/>
  <c r="AF128" i="3" s="1"/>
  <c r="P128" i="2"/>
  <c r="AD128" i="3" s="1"/>
  <c r="O128" i="2"/>
  <c r="AB128" i="3" s="1"/>
  <c r="N128" i="2"/>
  <c r="Z128" i="3" s="1"/>
  <c r="M128" i="2"/>
  <c r="X128" i="3" s="1"/>
  <c r="L128" i="2"/>
  <c r="V128" i="3" s="1"/>
  <c r="K128" i="2"/>
  <c r="T128" i="3" s="1"/>
  <c r="J128" i="2"/>
  <c r="R128" i="3" s="1"/>
  <c r="I128" i="2"/>
  <c r="P128" i="3" s="1"/>
  <c r="H128" i="2"/>
  <c r="N128" i="3" s="1"/>
  <c r="G128" i="2"/>
  <c r="L128" i="3" s="1"/>
  <c r="F128" i="2"/>
  <c r="J128" i="3" s="1"/>
  <c r="E128" i="2"/>
  <c r="H128" i="3" s="1"/>
  <c r="D128" i="2"/>
  <c r="F128" i="3" s="1"/>
  <c r="C128" i="2"/>
  <c r="D128" i="3" s="1"/>
  <c r="B128" i="2"/>
  <c r="B128" i="3" s="1"/>
  <c r="W127" i="2" a="1"/>
  <c r="W127" i="2" s="1"/>
  <c r="AN127" i="3" s="1"/>
  <c r="V127" i="2" a="1"/>
  <c r="V127" i="2" s="1"/>
  <c r="AM127" i="3" s="1"/>
  <c r="T127" i="2" a="1"/>
  <c r="T127" i="2" s="1"/>
  <c r="S127" i="2"/>
  <c r="R127" i="2"/>
  <c r="AH127" i="3" s="1"/>
  <c r="Q127" i="2"/>
  <c r="AF127" i="3" s="1"/>
  <c r="P127" i="2"/>
  <c r="AD127" i="3" s="1"/>
  <c r="O127" i="2"/>
  <c r="AB127" i="3" s="1"/>
  <c r="N127" i="2"/>
  <c r="Z127" i="3" s="1"/>
  <c r="M127" i="2"/>
  <c r="X127" i="3" s="1"/>
  <c r="L127" i="2"/>
  <c r="V127" i="3" s="1"/>
  <c r="K127" i="2"/>
  <c r="T127" i="3" s="1"/>
  <c r="J127" i="2"/>
  <c r="R127" i="3" s="1"/>
  <c r="I127" i="2"/>
  <c r="P127" i="3" s="1"/>
  <c r="H127" i="2"/>
  <c r="N127" i="3" s="1"/>
  <c r="G127" i="2"/>
  <c r="L127" i="3" s="1"/>
  <c r="F127" i="2"/>
  <c r="J127" i="3" s="1"/>
  <c r="E127" i="2"/>
  <c r="H127" i="3" s="1"/>
  <c r="D127" i="2"/>
  <c r="F127" i="3" s="1"/>
  <c r="C127" i="2"/>
  <c r="D127" i="3" s="1"/>
  <c r="B127" i="2"/>
  <c r="B127" i="3" s="1"/>
  <c r="A127" i="2"/>
  <c r="A127" i="3" s="1"/>
  <c r="W126" i="2" a="1"/>
  <c r="W126" i="2" s="1"/>
  <c r="AN126" i="3" s="1"/>
  <c r="V126" i="2" a="1"/>
  <c r="V126" i="2" s="1"/>
  <c r="AM126" i="3" s="1"/>
  <c r="T126" i="2" a="1"/>
  <c r="T126" i="2" s="1"/>
  <c r="S126" i="2"/>
  <c r="R126" i="2"/>
  <c r="AH126" i="3" s="1"/>
  <c r="Q126" i="2"/>
  <c r="AF126" i="3" s="1"/>
  <c r="P126" i="2"/>
  <c r="AD126" i="3" s="1"/>
  <c r="O126" i="2"/>
  <c r="AB126" i="3" s="1"/>
  <c r="N126" i="2"/>
  <c r="Z126" i="3" s="1"/>
  <c r="M126" i="2"/>
  <c r="X126" i="3" s="1"/>
  <c r="L126" i="2"/>
  <c r="V126" i="3" s="1"/>
  <c r="K126" i="2"/>
  <c r="T126" i="3" s="1"/>
  <c r="J126" i="2"/>
  <c r="R126" i="3" s="1"/>
  <c r="I126" i="2"/>
  <c r="P126" i="3" s="1"/>
  <c r="H126" i="2"/>
  <c r="N126" i="3" s="1"/>
  <c r="G126" i="2"/>
  <c r="L126" i="3" s="1"/>
  <c r="F126" i="2"/>
  <c r="J126" i="3" s="1"/>
  <c r="E126" i="2"/>
  <c r="H126" i="3" s="1"/>
  <c r="D126" i="2"/>
  <c r="F126" i="3" s="1"/>
  <c r="C126" i="2"/>
  <c r="D126" i="3" s="1"/>
  <c r="B126" i="2"/>
  <c r="B126" i="3" s="1"/>
  <c r="W125" i="2" a="1"/>
  <c r="W125" i="2" s="1"/>
  <c r="AN125" i="3" s="1"/>
  <c r="V125" i="2" a="1"/>
  <c r="V125" i="2"/>
  <c r="AM125" i="3" s="1"/>
  <c r="T125" i="2" a="1"/>
  <c r="T125" i="2" s="1"/>
  <c r="S125" i="2"/>
  <c r="R125" i="2"/>
  <c r="AH125" i="3" s="1"/>
  <c r="Q125" i="2"/>
  <c r="AF125" i="3" s="1"/>
  <c r="P125" i="2"/>
  <c r="AD125" i="3" s="1"/>
  <c r="O125" i="2"/>
  <c r="AB125" i="3" s="1"/>
  <c r="N125" i="2"/>
  <c r="Z125" i="3" s="1"/>
  <c r="M125" i="2"/>
  <c r="X125" i="3" s="1"/>
  <c r="L125" i="2"/>
  <c r="V125" i="3" s="1"/>
  <c r="K125" i="2"/>
  <c r="T125" i="3" s="1"/>
  <c r="J125" i="2"/>
  <c r="R125" i="3" s="1"/>
  <c r="I125" i="2"/>
  <c r="P125" i="3" s="1"/>
  <c r="H125" i="2"/>
  <c r="N125" i="3" s="1"/>
  <c r="G125" i="2"/>
  <c r="L125" i="3" s="1"/>
  <c r="F125" i="2"/>
  <c r="J125" i="3" s="1"/>
  <c r="E125" i="2"/>
  <c r="H125" i="3" s="1"/>
  <c r="D125" i="2"/>
  <c r="F125" i="3" s="1"/>
  <c r="C125" i="2"/>
  <c r="D125" i="3" s="1"/>
  <c r="B125" i="2"/>
  <c r="B125" i="3" s="1"/>
  <c r="A125" i="2"/>
  <c r="A125" i="3" s="1"/>
  <c r="W124" i="2" a="1"/>
  <c r="W124" i="2" s="1"/>
  <c r="AN124" i="3" s="1"/>
  <c r="V124" i="2" a="1"/>
  <c r="V124" i="2"/>
  <c r="AM124" i="3" s="1"/>
  <c r="T124" i="2" a="1"/>
  <c r="T124" i="2" s="1"/>
  <c r="K124" i="2"/>
  <c r="T124" i="3" s="1"/>
  <c r="J124" i="2"/>
  <c r="R124" i="3" s="1"/>
  <c r="I124" i="2"/>
  <c r="P124" i="3" s="1"/>
  <c r="H124" i="2"/>
  <c r="N124" i="3" s="1"/>
  <c r="G124" i="2"/>
  <c r="L124" i="3" s="1"/>
  <c r="F124" i="2"/>
  <c r="J124" i="3" s="1"/>
  <c r="E124" i="2"/>
  <c r="H124" i="3" s="1"/>
  <c r="D124" i="2"/>
  <c r="F124" i="3" s="1"/>
  <c r="C124" i="2"/>
  <c r="D124" i="3" s="1"/>
  <c r="B124" i="2"/>
  <c r="B124" i="3" s="1"/>
  <c r="W123" i="2" a="1"/>
  <c r="W123" i="2" s="1"/>
  <c r="AN123" i="3" s="1"/>
  <c r="V123" i="2" a="1"/>
  <c r="V123" i="2" s="1"/>
  <c r="AM123" i="3" s="1"/>
  <c r="T123" i="2" a="1"/>
  <c r="T123" i="2" s="1"/>
  <c r="K123" i="2"/>
  <c r="T123" i="3" s="1"/>
  <c r="J123" i="2"/>
  <c r="R123" i="3" s="1"/>
  <c r="I123" i="2"/>
  <c r="P123" i="3" s="1"/>
  <c r="H123" i="2"/>
  <c r="N123" i="3" s="1"/>
  <c r="G123" i="2"/>
  <c r="L123" i="3" s="1"/>
  <c r="F123" i="2"/>
  <c r="J123" i="3" s="1"/>
  <c r="E123" i="2"/>
  <c r="H123" i="3" s="1"/>
  <c r="D123" i="2"/>
  <c r="F123" i="3" s="1"/>
  <c r="C123" i="2"/>
  <c r="D123" i="3" s="1"/>
  <c r="B123" i="2"/>
  <c r="B123" i="3" s="1"/>
  <c r="A123" i="2"/>
  <c r="A123" i="3" s="1"/>
  <c r="W122" i="2" a="1"/>
  <c r="W122" i="2" s="1"/>
  <c r="AN122" i="3" s="1"/>
  <c r="V122" i="2" a="1"/>
  <c r="V122" i="2" s="1"/>
  <c r="AM122" i="3" s="1"/>
  <c r="T122" i="2" a="1"/>
  <c r="T122" i="2" s="1"/>
  <c r="K122" i="2"/>
  <c r="T122" i="3" s="1"/>
  <c r="J122" i="2"/>
  <c r="R122" i="3" s="1"/>
  <c r="I122" i="2"/>
  <c r="P122" i="3" s="1"/>
  <c r="H122" i="2"/>
  <c r="N122" i="3" s="1"/>
  <c r="G122" i="2"/>
  <c r="L122" i="3" s="1"/>
  <c r="F122" i="2"/>
  <c r="J122" i="3" s="1"/>
  <c r="E122" i="2"/>
  <c r="H122" i="3" s="1"/>
  <c r="D122" i="2"/>
  <c r="F122" i="3" s="1"/>
  <c r="C122" i="2"/>
  <c r="D122" i="3" s="1"/>
  <c r="B122" i="2"/>
  <c r="B122" i="3" s="1"/>
  <c r="W121" i="2" a="1"/>
  <c r="W121" i="2" s="1"/>
  <c r="AN121" i="3" s="1"/>
  <c r="V121" i="2" a="1"/>
  <c r="V121" i="2" s="1"/>
  <c r="AM121" i="3" s="1"/>
  <c r="T121" i="2" a="1"/>
  <c r="T121" i="2" s="1"/>
  <c r="K121" i="2"/>
  <c r="T121" i="3" s="1"/>
  <c r="J121" i="2"/>
  <c r="R121" i="3" s="1"/>
  <c r="I121" i="2"/>
  <c r="P121" i="3" s="1"/>
  <c r="H121" i="2"/>
  <c r="N121" i="3" s="1"/>
  <c r="G121" i="2"/>
  <c r="L121" i="3" s="1"/>
  <c r="F121" i="2"/>
  <c r="J121" i="3" s="1"/>
  <c r="E121" i="2"/>
  <c r="H121" i="3" s="1"/>
  <c r="D121" i="2"/>
  <c r="F121" i="3" s="1"/>
  <c r="C121" i="2"/>
  <c r="D121" i="3" s="1"/>
  <c r="B121" i="2"/>
  <c r="B121" i="3" s="1"/>
  <c r="A121" i="2"/>
  <c r="A121" i="3" s="1"/>
  <c r="W120" i="2" a="1"/>
  <c r="W120" i="2" s="1"/>
  <c r="AN120" i="3" s="1"/>
  <c r="V120" i="2" a="1"/>
  <c r="V120" i="2"/>
  <c r="AM120" i="3" s="1"/>
  <c r="T120" i="2" a="1"/>
  <c r="T120" i="2" s="1"/>
  <c r="K120" i="2"/>
  <c r="T120" i="3" s="1"/>
  <c r="J120" i="2"/>
  <c r="R120" i="3" s="1"/>
  <c r="I120" i="2"/>
  <c r="P120" i="3" s="1"/>
  <c r="H120" i="2"/>
  <c r="N120" i="3" s="1"/>
  <c r="G120" i="2"/>
  <c r="L120" i="3" s="1"/>
  <c r="F120" i="2"/>
  <c r="J120" i="3" s="1"/>
  <c r="E120" i="2"/>
  <c r="H120" i="3" s="1"/>
  <c r="D120" i="2"/>
  <c r="F120" i="3" s="1"/>
  <c r="C120" i="2"/>
  <c r="D120" i="3" s="1"/>
  <c r="B120" i="2"/>
  <c r="B120" i="3" s="1"/>
  <c r="W119" i="2" a="1"/>
  <c r="W119" i="2" s="1"/>
  <c r="AN119" i="3" s="1"/>
  <c r="V119" i="2" a="1"/>
  <c r="V119" i="2" s="1"/>
  <c r="AM119" i="3" s="1"/>
  <c r="T119" i="2" a="1"/>
  <c r="T119" i="2"/>
  <c r="K119" i="2"/>
  <c r="T119" i="3" s="1"/>
  <c r="J119" i="2"/>
  <c r="R119" i="3" s="1"/>
  <c r="I119" i="2"/>
  <c r="P119" i="3" s="1"/>
  <c r="H119" i="2"/>
  <c r="N119" i="3" s="1"/>
  <c r="G119" i="2"/>
  <c r="L119" i="3" s="1"/>
  <c r="F119" i="2"/>
  <c r="J119" i="3" s="1"/>
  <c r="E119" i="2"/>
  <c r="H119" i="3" s="1"/>
  <c r="D119" i="2"/>
  <c r="F119" i="3" s="1"/>
  <c r="C119" i="2"/>
  <c r="D119" i="3" s="1"/>
  <c r="B119" i="2"/>
  <c r="B119" i="3" s="1"/>
  <c r="A119" i="2"/>
  <c r="A119" i="3" s="1"/>
  <c r="W118" i="2" a="1"/>
  <c r="W118" i="2" s="1"/>
  <c r="AN118" i="3" s="1"/>
  <c r="V118" i="2" a="1"/>
  <c r="V118" i="2" s="1"/>
  <c r="AM118" i="3" s="1"/>
  <c r="T118" i="2" a="1"/>
  <c r="T118" i="2" s="1"/>
  <c r="K118" i="2"/>
  <c r="T118" i="3" s="1"/>
  <c r="J118" i="2"/>
  <c r="R118" i="3" s="1"/>
  <c r="I118" i="2"/>
  <c r="P118" i="3" s="1"/>
  <c r="H118" i="2"/>
  <c r="N118" i="3" s="1"/>
  <c r="G118" i="2"/>
  <c r="L118" i="3" s="1"/>
  <c r="F118" i="2"/>
  <c r="J118" i="3" s="1"/>
  <c r="E118" i="2"/>
  <c r="H118" i="3" s="1"/>
  <c r="D118" i="2"/>
  <c r="F118" i="3" s="1"/>
  <c r="C118" i="2"/>
  <c r="D118" i="3" s="1"/>
  <c r="B118" i="2"/>
  <c r="B118" i="3" s="1"/>
  <c r="W117" i="2" a="1"/>
  <c r="W117" i="2" s="1"/>
  <c r="AN117" i="3" s="1"/>
  <c r="V117" i="2" a="1"/>
  <c r="V117" i="2" s="1"/>
  <c r="AM117" i="3" s="1"/>
  <c r="T117" i="2" a="1"/>
  <c r="T117" i="2" s="1"/>
  <c r="K117" i="2"/>
  <c r="T117" i="3" s="1"/>
  <c r="J117" i="2"/>
  <c r="R117" i="3" s="1"/>
  <c r="I117" i="2"/>
  <c r="P117" i="3" s="1"/>
  <c r="H117" i="2"/>
  <c r="N117" i="3" s="1"/>
  <c r="G117" i="2"/>
  <c r="L117" i="3" s="1"/>
  <c r="F117" i="2"/>
  <c r="J117" i="3" s="1"/>
  <c r="E117" i="2"/>
  <c r="H117" i="3" s="1"/>
  <c r="D117" i="2"/>
  <c r="F117" i="3" s="1"/>
  <c r="C117" i="2"/>
  <c r="D117" i="3" s="1"/>
  <c r="B117" i="2"/>
  <c r="B117" i="3" s="1"/>
  <c r="A117" i="2"/>
  <c r="A117" i="3" s="1"/>
  <c r="W116" i="2" a="1"/>
  <c r="W116" i="2" s="1"/>
  <c r="AN116" i="3" s="1"/>
  <c r="V116" i="2" a="1"/>
  <c r="V116" i="2" s="1"/>
  <c r="AM116" i="3" s="1"/>
  <c r="T116" i="2" a="1"/>
  <c r="T116" i="2" s="1"/>
  <c r="K116" i="2"/>
  <c r="T116" i="3" s="1"/>
  <c r="J116" i="2"/>
  <c r="R116" i="3" s="1"/>
  <c r="I116" i="2"/>
  <c r="P116" i="3" s="1"/>
  <c r="H116" i="2"/>
  <c r="N116" i="3" s="1"/>
  <c r="G116" i="2"/>
  <c r="L116" i="3" s="1"/>
  <c r="F116" i="2"/>
  <c r="J116" i="3" s="1"/>
  <c r="E116" i="2"/>
  <c r="H116" i="3" s="1"/>
  <c r="D116" i="2"/>
  <c r="F116" i="3" s="1"/>
  <c r="C116" i="2"/>
  <c r="D116" i="3" s="1"/>
  <c r="B116" i="2"/>
  <c r="B116" i="3" s="1"/>
  <c r="W115" i="2" a="1"/>
  <c r="W115" i="2" s="1"/>
  <c r="AN115" i="3" s="1"/>
  <c r="V115" i="2" a="1"/>
  <c r="V115" i="2" s="1"/>
  <c r="AM115" i="3" s="1"/>
  <c r="T115" i="2" a="1"/>
  <c r="T115" i="2" s="1"/>
  <c r="K115" i="2"/>
  <c r="T115" i="3" s="1"/>
  <c r="J115" i="2"/>
  <c r="R115" i="3" s="1"/>
  <c r="I115" i="2"/>
  <c r="P115" i="3" s="1"/>
  <c r="H115" i="2"/>
  <c r="N115" i="3" s="1"/>
  <c r="G115" i="2"/>
  <c r="L115" i="3" s="1"/>
  <c r="F115" i="2"/>
  <c r="J115" i="3" s="1"/>
  <c r="E115" i="2"/>
  <c r="H115" i="3" s="1"/>
  <c r="D115" i="2"/>
  <c r="F115" i="3" s="1"/>
  <c r="C115" i="2"/>
  <c r="D115" i="3" s="1"/>
  <c r="B115" i="2"/>
  <c r="B115" i="3" s="1"/>
  <c r="A115" i="2"/>
  <c r="A115" i="3" s="1"/>
  <c r="W114" i="2" a="1"/>
  <c r="W114" i="2" s="1"/>
  <c r="AN114" i="3" s="1"/>
  <c r="V114" i="2" a="1"/>
  <c r="V114" i="2" s="1"/>
  <c r="AM114" i="3" s="1"/>
  <c r="T114" i="2" a="1"/>
  <c r="T114" i="2" s="1"/>
  <c r="K114" i="2"/>
  <c r="T114" i="3" s="1"/>
  <c r="J114" i="2"/>
  <c r="R114" i="3" s="1"/>
  <c r="I114" i="2"/>
  <c r="P114" i="3" s="1"/>
  <c r="H114" i="2"/>
  <c r="N114" i="3" s="1"/>
  <c r="G114" i="2"/>
  <c r="L114" i="3" s="1"/>
  <c r="F114" i="2"/>
  <c r="J114" i="3" s="1"/>
  <c r="E114" i="2"/>
  <c r="H114" i="3" s="1"/>
  <c r="D114" i="2"/>
  <c r="F114" i="3" s="1"/>
  <c r="C114" i="2"/>
  <c r="D114" i="3" s="1"/>
  <c r="B114" i="2"/>
  <c r="B114" i="3" s="1"/>
  <c r="W113" i="2" a="1"/>
  <c r="W113" i="2" s="1"/>
  <c r="AN113" i="3" s="1"/>
  <c r="V113" i="2" a="1"/>
  <c r="V113" i="2" s="1"/>
  <c r="AM113" i="3" s="1"/>
  <c r="T113" i="2" a="1"/>
  <c r="T113" i="2" s="1"/>
  <c r="K113" i="2"/>
  <c r="T113" i="3" s="1"/>
  <c r="J113" i="2"/>
  <c r="R113" i="3" s="1"/>
  <c r="I113" i="2"/>
  <c r="P113" i="3" s="1"/>
  <c r="H113" i="2"/>
  <c r="N113" i="3" s="1"/>
  <c r="G113" i="2"/>
  <c r="L113" i="3" s="1"/>
  <c r="F113" i="2"/>
  <c r="J113" i="3" s="1"/>
  <c r="E113" i="2"/>
  <c r="H113" i="3" s="1"/>
  <c r="D113" i="2"/>
  <c r="F113" i="3" s="1"/>
  <c r="C113" i="2"/>
  <c r="D113" i="3" s="1"/>
  <c r="B113" i="2"/>
  <c r="B113" i="3" s="1"/>
  <c r="A113" i="2"/>
  <c r="A113" i="3" s="1"/>
  <c r="W112" i="2" a="1"/>
  <c r="W112" i="2" s="1"/>
  <c r="AN112" i="3" s="1"/>
  <c r="V112" i="2" a="1"/>
  <c r="V112" i="2" s="1"/>
  <c r="AM112" i="3" s="1"/>
  <c r="T112" i="2" a="1"/>
  <c r="T112" i="2" s="1"/>
  <c r="K112" i="2"/>
  <c r="T112" i="3" s="1"/>
  <c r="J112" i="2"/>
  <c r="R112" i="3" s="1"/>
  <c r="I112" i="2"/>
  <c r="P112" i="3" s="1"/>
  <c r="H112" i="2"/>
  <c r="N112" i="3" s="1"/>
  <c r="G112" i="2"/>
  <c r="L112" i="3" s="1"/>
  <c r="F112" i="2"/>
  <c r="J112" i="3" s="1"/>
  <c r="E112" i="2"/>
  <c r="H112" i="3" s="1"/>
  <c r="D112" i="2"/>
  <c r="F112" i="3" s="1"/>
  <c r="C112" i="2"/>
  <c r="D112" i="3" s="1"/>
  <c r="B112" i="2"/>
  <c r="B112" i="3" s="1"/>
  <c r="W111" i="2" a="1"/>
  <c r="W111" i="2" s="1"/>
  <c r="AN111" i="3" s="1"/>
  <c r="V111" i="2" a="1"/>
  <c r="V111" i="2" s="1"/>
  <c r="AM111" i="3" s="1"/>
  <c r="T111" i="2" a="1"/>
  <c r="T111" i="2" s="1"/>
  <c r="K111" i="2"/>
  <c r="T111" i="3" s="1"/>
  <c r="J111" i="2"/>
  <c r="R111" i="3" s="1"/>
  <c r="I111" i="2"/>
  <c r="P111" i="3" s="1"/>
  <c r="H111" i="2"/>
  <c r="N111" i="3" s="1"/>
  <c r="G111" i="2"/>
  <c r="L111" i="3" s="1"/>
  <c r="F111" i="2"/>
  <c r="J111" i="3" s="1"/>
  <c r="E111" i="2"/>
  <c r="H111" i="3" s="1"/>
  <c r="D111" i="2"/>
  <c r="F111" i="3" s="1"/>
  <c r="C111" i="2"/>
  <c r="D111" i="3" s="1"/>
  <c r="B111" i="2"/>
  <c r="B111" i="3" s="1"/>
  <c r="A111" i="2"/>
  <c r="A111" i="3" s="1"/>
  <c r="W110" i="2" a="1"/>
  <c r="W110" i="2" s="1"/>
  <c r="AN110" i="3" s="1"/>
  <c r="V110" i="2" a="1"/>
  <c r="V110" i="2" s="1"/>
  <c r="AM110" i="3" s="1"/>
  <c r="T110" i="2" a="1"/>
  <c r="T110" i="2" s="1"/>
  <c r="K110" i="2"/>
  <c r="T110" i="3" s="1"/>
  <c r="J110" i="2"/>
  <c r="R110" i="3" s="1"/>
  <c r="I110" i="2"/>
  <c r="P110" i="3" s="1"/>
  <c r="H110" i="2"/>
  <c r="N110" i="3" s="1"/>
  <c r="G110" i="2"/>
  <c r="L110" i="3" s="1"/>
  <c r="F110" i="2"/>
  <c r="J110" i="3" s="1"/>
  <c r="E110" i="2"/>
  <c r="H110" i="3" s="1"/>
  <c r="D110" i="2"/>
  <c r="F110" i="3" s="1"/>
  <c r="C110" i="2"/>
  <c r="D110" i="3" s="1"/>
  <c r="B110" i="2"/>
  <c r="B110" i="3" s="1"/>
  <c r="W109" i="2" a="1"/>
  <c r="W109" i="2" s="1"/>
  <c r="AN109" i="3" s="1"/>
  <c r="V109" i="2" a="1"/>
  <c r="V109" i="2" s="1"/>
  <c r="AM109" i="3" s="1"/>
  <c r="T109" i="2" a="1"/>
  <c r="T109" i="2" s="1"/>
  <c r="K109" i="2"/>
  <c r="T109" i="3" s="1"/>
  <c r="J109" i="2"/>
  <c r="R109" i="3" s="1"/>
  <c r="I109" i="2"/>
  <c r="P109" i="3" s="1"/>
  <c r="H109" i="2"/>
  <c r="N109" i="3" s="1"/>
  <c r="G109" i="2"/>
  <c r="L109" i="3" s="1"/>
  <c r="F109" i="2"/>
  <c r="J109" i="3" s="1"/>
  <c r="E109" i="2"/>
  <c r="H109" i="3" s="1"/>
  <c r="D109" i="2"/>
  <c r="F109" i="3" s="1"/>
  <c r="C109" i="2"/>
  <c r="D109" i="3" s="1"/>
  <c r="B109" i="2"/>
  <c r="B109" i="3" s="1"/>
  <c r="A109" i="2"/>
  <c r="A109" i="3" s="1"/>
  <c r="W108" i="2" a="1"/>
  <c r="W108" i="2" s="1"/>
  <c r="AN108" i="3" s="1"/>
  <c r="V108" i="2" a="1"/>
  <c r="V108" i="2" s="1"/>
  <c r="AM108" i="3" s="1"/>
  <c r="T108" i="2" a="1"/>
  <c r="T108" i="2" s="1"/>
  <c r="K108" i="2"/>
  <c r="T108" i="3" s="1"/>
  <c r="J108" i="2"/>
  <c r="R108" i="3" s="1"/>
  <c r="I108" i="2"/>
  <c r="P108" i="3" s="1"/>
  <c r="H108" i="2"/>
  <c r="N108" i="3" s="1"/>
  <c r="G108" i="2"/>
  <c r="L108" i="3" s="1"/>
  <c r="F108" i="2"/>
  <c r="J108" i="3" s="1"/>
  <c r="E108" i="2"/>
  <c r="H108" i="3" s="1"/>
  <c r="D108" i="2"/>
  <c r="F108" i="3" s="1"/>
  <c r="C108" i="2"/>
  <c r="D108" i="3" s="1"/>
  <c r="B108" i="2"/>
  <c r="B108" i="3" s="1"/>
  <c r="W107" i="2" a="1"/>
  <c r="W107" i="2" s="1"/>
  <c r="AN107" i="3" s="1"/>
  <c r="V107" i="2" a="1"/>
  <c r="V107" i="2" s="1"/>
  <c r="AM107" i="3" s="1"/>
  <c r="T107" i="2" a="1"/>
  <c r="T107" i="2" s="1"/>
  <c r="K107" i="2"/>
  <c r="T107" i="3" s="1"/>
  <c r="J107" i="2"/>
  <c r="R107" i="3" s="1"/>
  <c r="I107" i="2"/>
  <c r="P107" i="3" s="1"/>
  <c r="H107" i="2"/>
  <c r="N107" i="3" s="1"/>
  <c r="G107" i="2"/>
  <c r="L107" i="3" s="1"/>
  <c r="F107" i="2"/>
  <c r="J107" i="3" s="1"/>
  <c r="E107" i="2"/>
  <c r="H107" i="3" s="1"/>
  <c r="D107" i="2"/>
  <c r="F107" i="3" s="1"/>
  <c r="C107" i="2"/>
  <c r="D107" i="3" s="1"/>
  <c r="B107" i="2"/>
  <c r="B107" i="3" s="1"/>
  <c r="A107" i="2"/>
  <c r="A107" i="3" s="1"/>
  <c r="W106" i="2" a="1"/>
  <c r="W106" i="2" s="1"/>
  <c r="AN106" i="3" s="1"/>
  <c r="V106" i="2" a="1"/>
  <c r="V106" i="2" s="1"/>
  <c r="AM106" i="3" s="1"/>
  <c r="T106" i="2" a="1"/>
  <c r="T106" i="2" s="1"/>
  <c r="K106" i="2"/>
  <c r="T106" i="3" s="1"/>
  <c r="J106" i="2"/>
  <c r="R106" i="3" s="1"/>
  <c r="I106" i="2"/>
  <c r="P106" i="3" s="1"/>
  <c r="H106" i="2"/>
  <c r="N106" i="3" s="1"/>
  <c r="G106" i="2"/>
  <c r="L106" i="3" s="1"/>
  <c r="F106" i="2"/>
  <c r="J106" i="3" s="1"/>
  <c r="E106" i="2"/>
  <c r="H106" i="3" s="1"/>
  <c r="D106" i="2"/>
  <c r="F106" i="3" s="1"/>
  <c r="C106" i="2"/>
  <c r="D106" i="3" s="1"/>
  <c r="B106" i="2"/>
  <c r="B106" i="3" s="1"/>
  <c r="W105" i="2" a="1"/>
  <c r="W105" i="2" s="1"/>
  <c r="AN105" i="3" s="1"/>
  <c r="V105" i="2" a="1"/>
  <c r="V105" i="2" s="1"/>
  <c r="AM105" i="3" s="1"/>
  <c r="T105" i="2" a="1"/>
  <c r="T105" i="2" s="1"/>
  <c r="K105" i="2"/>
  <c r="T105" i="3" s="1"/>
  <c r="J105" i="2"/>
  <c r="R105" i="3" s="1"/>
  <c r="I105" i="2"/>
  <c r="P105" i="3" s="1"/>
  <c r="H105" i="2"/>
  <c r="N105" i="3" s="1"/>
  <c r="G105" i="2"/>
  <c r="L105" i="3" s="1"/>
  <c r="F105" i="2"/>
  <c r="J105" i="3" s="1"/>
  <c r="E105" i="2"/>
  <c r="H105" i="3" s="1"/>
  <c r="D105" i="2"/>
  <c r="F105" i="3" s="1"/>
  <c r="C105" i="2"/>
  <c r="D105" i="3" s="1"/>
  <c r="B105" i="2"/>
  <c r="B105" i="3" s="1"/>
  <c r="A105" i="2"/>
  <c r="A105" i="3" s="1"/>
  <c r="W104" i="2" a="1"/>
  <c r="W104" i="2"/>
  <c r="AN104" i="3" s="1"/>
  <c r="V104" i="2" a="1"/>
  <c r="V104" i="2" s="1"/>
  <c r="AM104" i="3" s="1"/>
  <c r="T104" i="2" a="1"/>
  <c r="T104" i="2" s="1"/>
  <c r="K104" i="2"/>
  <c r="T104" i="3" s="1"/>
  <c r="J104" i="2"/>
  <c r="R104" i="3" s="1"/>
  <c r="I104" i="2"/>
  <c r="P104" i="3" s="1"/>
  <c r="H104" i="2"/>
  <c r="N104" i="3" s="1"/>
  <c r="G104" i="2"/>
  <c r="L104" i="3" s="1"/>
  <c r="F104" i="2"/>
  <c r="J104" i="3" s="1"/>
  <c r="E104" i="2"/>
  <c r="H104" i="3" s="1"/>
  <c r="D104" i="2"/>
  <c r="F104" i="3" s="1"/>
  <c r="C104" i="2"/>
  <c r="D104" i="3" s="1"/>
  <c r="B104" i="2"/>
  <c r="B104" i="3" s="1"/>
  <c r="A104" i="2"/>
  <c r="A104" i="3" s="1"/>
  <c r="W103" i="2" a="1"/>
  <c r="W103" i="2" s="1"/>
  <c r="AN103" i="3" s="1"/>
  <c r="V103" i="2" a="1"/>
  <c r="V103" i="2" s="1"/>
  <c r="AM103" i="3" s="1"/>
  <c r="T103" i="2" a="1"/>
  <c r="T103" i="2" s="1"/>
  <c r="K103" i="2"/>
  <c r="T103" i="3" s="1"/>
  <c r="J103" i="2"/>
  <c r="R103" i="3" s="1"/>
  <c r="I103" i="2"/>
  <c r="P103" i="3" s="1"/>
  <c r="H103" i="2"/>
  <c r="N103" i="3" s="1"/>
  <c r="G103" i="2"/>
  <c r="L103" i="3" s="1"/>
  <c r="F103" i="2"/>
  <c r="J103" i="3" s="1"/>
  <c r="E103" i="2"/>
  <c r="H103" i="3" s="1"/>
  <c r="D103" i="2"/>
  <c r="F103" i="3" s="1"/>
  <c r="C103" i="2"/>
  <c r="D103" i="3" s="1"/>
  <c r="B103" i="2"/>
  <c r="B103" i="3" s="1"/>
  <c r="A103" i="2"/>
  <c r="A103" i="3" s="1"/>
  <c r="W102" i="2" a="1"/>
  <c r="W102" i="2" s="1"/>
  <c r="AN102" i="3" s="1"/>
  <c r="V102" i="2" a="1"/>
  <c r="V102" i="2" s="1"/>
  <c r="AM102" i="3" s="1"/>
  <c r="T102" i="2" a="1"/>
  <c r="T102" i="2" s="1"/>
  <c r="K102" i="2"/>
  <c r="T102" i="3" s="1"/>
  <c r="J102" i="2"/>
  <c r="R102" i="3" s="1"/>
  <c r="I102" i="2"/>
  <c r="P102" i="3" s="1"/>
  <c r="H102" i="2"/>
  <c r="N102" i="3" s="1"/>
  <c r="G102" i="2"/>
  <c r="L102" i="3" s="1"/>
  <c r="F102" i="2"/>
  <c r="J102" i="3" s="1"/>
  <c r="E102" i="2"/>
  <c r="H102" i="3" s="1"/>
  <c r="D102" i="2"/>
  <c r="F102" i="3" s="1"/>
  <c r="C102" i="2"/>
  <c r="D102" i="3" s="1"/>
  <c r="B102" i="2"/>
  <c r="B102" i="3" s="1"/>
  <c r="A102" i="2"/>
  <c r="A102" i="3" s="1"/>
  <c r="W101" i="2" a="1"/>
  <c r="W101" i="2" s="1"/>
  <c r="AN101" i="3" s="1"/>
  <c r="V101" i="2" a="1"/>
  <c r="V101" i="2" s="1"/>
  <c r="AM101" i="3" s="1"/>
  <c r="T101" i="2" a="1"/>
  <c r="T101" i="2" s="1"/>
  <c r="K101" i="2"/>
  <c r="T101" i="3" s="1"/>
  <c r="J101" i="2"/>
  <c r="R101" i="3" s="1"/>
  <c r="I101" i="2"/>
  <c r="P101" i="3" s="1"/>
  <c r="H101" i="2"/>
  <c r="N101" i="3" s="1"/>
  <c r="G101" i="2"/>
  <c r="L101" i="3" s="1"/>
  <c r="F101" i="2"/>
  <c r="J101" i="3" s="1"/>
  <c r="E101" i="2"/>
  <c r="H101" i="3" s="1"/>
  <c r="D101" i="2"/>
  <c r="F101" i="3" s="1"/>
  <c r="C101" i="2"/>
  <c r="D101" i="3" s="1"/>
  <c r="B101" i="2"/>
  <c r="B101" i="3" s="1"/>
  <c r="A101" i="2"/>
  <c r="A101" i="3" s="1"/>
  <c r="W100" i="2" a="1"/>
  <c r="W100" i="2" s="1"/>
  <c r="AN100" i="3" s="1"/>
  <c r="V100" i="2" a="1"/>
  <c r="V100" i="2" s="1"/>
  <c r="AM100" i="3" s="1"/>
  <c r="T100" i="2" a="1"/>
  <c r="T100" i="2" s="1"/>
  <c r="K100" i="2"/>
  <c r="T100" i="3" s="1"/>
  <c r="J100" i="2"/>
  <c r="R100" i="3" s="1"/>
  <c r="I100" i="2"/>
  <c r="P100" i="3" s="1"/>
  <c r="H100" i="2"/>
  <c r="N100" i="3" s="1"/>
  <c r="G100" i="2"/>
  <c r="L100" i="3" s="1"/>
  <c r="F100" i="2"/>
  <c r="J100" i="3" s="1"/>
  <c r="E100" i="2"/>
  <c r="H100" i="3" s="1"/>
  <c r="D100" i="2"/>
  <c r="F100" i="3" s="1"/>
  <c r="C100" i="2"/>
  <c r="D100" i="3" s="1"/>
  <c r="B100" i="2"/>
  <c r="B100" i="3" s="1"/>
  <c r="A100" i="2"/>
  <c r="A100" i="3" s="1"/>
  <c r="W99" i="2" a="1"/>
  <c r="W99" i="2" s="1"/>
  <c r="AN99" i="3" s="1"/>
  <c r="V99" i="2" a="1"/>
  <c r="V99" i="2" s="1"/>
  <c r="AM99" i="3" s="1"/>
  <c r="T99" i="2" a="1"/>
  <c r="T99" i="2" s="1"/>
  <c r="K99" i="2"/>
  <c r="T99" i="3" s="1"/>
  <c r="J99" i="2"/>
  <c r="R99" i="3" s="1"/>
  <c r="I99" i="2"/>
  <c r="P99" i="3" s="1"/>
  <c r="H99" i="2"/>
  <c r="N99" i="3" s="1"/>
  <c r="G99" i="2"/>
  <c r="L99" i="3" s="1"/>
  <c r="F99" i="2"/>
  <c r="J99" i="3" s="1"/>
  <c r="E99" i="2"/>
  <c r="H99" i="3" s="1"/>
  <c r="D99" i="2"/>
  <c r="F99" i="3" s="1"/>
  <c r="C99" i="2"/>
  <c r="D99" i="3" s="1"/>
  <c r="B99" i="2"/>
  <c r="B99" i="3" s="1"/>
  <c r="A99" i="2"/>
  <c r="A99" i="3" s="1"/>
  <c r="W98" i="2" a="1"/>
  <c r="W98" i="2" s="1"/>
  <c r="AN98" i="3" s="1"/>
  <c r="V98" i="2" a="1"/>
  <c r="V98" i="2" s="1"/>
  <c r="AM98" i="3" s="1"/>
  <c r="T98" i="2" a="1"/>
  <c r="T98" i="2" s="1"/>
  <c r="K98" i="2"/>
  <c r="T98" i="3" s="1"/>
  <c r="J98" i="2"/>
  <c r="R98" i="3" s="1"/>
  <c r="I98" i="2"/>
  <c r="P98" i="3" s="1"/>
  <c r="H98" i="2"/>
  <c r="N98" i="3" s="1"/>
  <c r="G98" i="2"/>
  <c r="L98" i="3" s="1"/>
  <c r="F98" i="2"/>
  <c r="J98" i="3" s="1"/>
  <c r="E98" i="2"/>
  <c r="H98" i="3" s="1"/>
  <c r="D98" i="2"/>
  <c r="F98" i="3" s="1"/>
  <c r="C98" i="2"/>
  <c r="D98" i="3" s="1"/>
  <c r="B98" i="2"/>
  <c r="B98" i="3" s="1"/>
  <c r="A98" i="2"/>
  <c r="A98" i="3" s="1"/>
  <c r="W97" i="2" a="1"/>
  <c r="W97" i="2" s="1"/>
  <c r="AN97" i="3" s="1"/>
  <c r="V97" i="2" a="1"/>
  <c r="V97" i="2" s="1"/>
  <c r="AM97" i="3" s="1"/>
  <c r="T97" i="2" a="1"/>
  <c r="T97" i="2" s="1"/>
  <c r="K97" i="2"/>
  <c r="T97" i="3" s="1"/>
  <c r="J97" i="2"/>
  <c r="R97" i="3" s="1"/>
  <c r="I97" i="2"/>
  <c r="P97" i="3" s="1"/>
  <c r="H97" i="2"/>
  <c r="N97" i="3" s="1"/>
  <c r="G97" i="2"/>
  <c r="L97" i="3" s="1"/>
  <c r="F97" i="2"/>
  <c r="J97" i="3" s="1"/>
  <c r="E97" i="2"/>
  <c r="H97" i="3" s="1"/>
  <c r="D97" i="2"/>
  <c r="F97" i="3" s="1"/>
  <c r="C97" i="2"/>
  <c r="D97" i="3" s="1"/>
  <c r="B97" i="2"/>
  <c r="B97" i="3" s="1"/>
  <c r="A97" i="2"/>
  <c r="A97" i="3" s="1"/>
  <c r="W96" i="2" a="1"/>
  <c r="W96" i="2" s="1"/>
  <c r="AN96" i="3" s="1"/>
  <c r="V96" i="2" a="1"/>
  <c r="V96" i="2" s="1"/>
  <c r="AM96" i="3" s="1"/>
  <c r="T96" i="2" a="1"/>
  <c r="T96" i="2" s="1"/>
  <c r="K96" i="2"/>
  <c r="T96" i="3" s="1"/>
  <c r="J96" i="2"/>
  <c r="R96" i="3" s="1"/>
  <c r="I96" i="2"/>
  <c r="P96" i="3" s="1"/>
  <c r="H96" i="2"/>
  <c r="N96" i="3" s="1"/>
  <c r="G96" i="2"/>
  <c r="L96" i="3" s="1"/>
  <c r="F96" i="2"/>
  <c r="J96" i="3" s="1"/>
  <c r="E96" i="2"/>
  <c r="H96" i="3" s="1"/>
  <c r="D96" i="2"/>
  <c r="F96" i="3" s="1"/>
  <c r="C96" i="2"/>
  <c r="D96" i="3" s="1"/>
  <c r="B96" i="2"/>
  <c r="B96" i="3" s="1"/>
  <c r="A96" i="2"/>
  <c r="A96" i="3" s="1"/>
  <c r="W95" i="2" a="1"/>
  <c r="W95" i="2" s="1"/>
  <c r="AN95" i="3" s="1"/>
  <c r="V95" i="2" a="1"/>
  <c r="V95" i="2" s="1"/>
  <c r="AM95" i="3" s="1"/>
  <c r="T95" i="2" a="1"/>
  <c r="T95" i="2" s="1"/>
  <c r="K95" i="2"/>
  <c r="T95" i="3" s="1"/>
  <c r="J95" i="2"/>
  <c r="R95" i="3" s="1"/>
  <c r="I95" i="2"/>
  <c r="P95" i="3" s="1"/>
  <c r="H95" i="2"/>
  <c r="N95" i="3" s="1"/>
  <c r="G95" i="2"/>
  <c r="L95" i="3" s="1"/>
  <c r="F95" i="2"/>
  <c r="J95" i="3" s="1"/>
  <c r="E95" i="2"/>
  <c r="H95" i="3" s="1"/>
  <c r="D95" i="2"/>
  <c r="F95" i="3" s="1"/>
  <c r="C95" i="2"/>
  <c r="D95" i="3" s="1"/>
  <c r="B95" i="2"/>
  <c r="B95" i="3" s="1"/>
  <c r="A95" i="2"/>
  <c r="A95" i="3" s="1"/>
  <c r="W94" i="2" a="1"/>
  <c r="W94" i="2"/>
  <c r="AN94" i="3" s="1"/>
  <c r="V94" i="2" a="1"/>
  <c r="V94" i="2" s="1"/>
  <c r="AM94" i="3" s="1"/>
  <c r="T94" i="2" a="1"/>
  <c r="T94" i="2" s="1"/>
  <c r="K94" i="2"/>
  <c r="T94" i="3" s="1"/>
  <c r="J94" i="2"/>
  <c r="R94" i="3" s="1"/>
  <c r="I94" i="2"/>
  <c r="P94" i="3" s="1"/>
  <c r="H94" i="2"/>
  <c r="N94" i="3" s="1"/>
  <c r="G94" i="2"/>
  <c r="L94" i="3" s="1"/>
  <c r="F94" i="2"/>
  <c r="J94" i="3" s="1"/>
  <c r="E94" i="2"/>
  <c r="H94" i="3" s="1"/>
  <c r="D94" i="2"/>
  <c r="F94" i="3" s="1"/>
  <c r="C94" i="2"/>
  <c r="D94" i="3" s="1"/>
  <c r="B94" i="2"/>
  <c r="B94" i="3" s="1"/>
  <c r="A94" i="2"/>
  <c r="A94" i="3" s="1"/>
  <c r="W93" i="2" a="1"/>
  <c r="W93" i="2" s="1"/>
  <c r="AN93" i="3" s="1"/>
  <c r="V93" i="2" a="1"/>
  <c r="V93" i="2" s="1"/>
  <c r="AM93" i="3" s="1"/>
  <c r="T93" i="2" a="1"/>
  <c r="T93" i="2" s="1"/>
  <c r="K93" i="2"/>
  <c r="T93" i="3" s="1"/>
  <c r="J93" i="2"/>
  <c r="R93" i="3" s="1"/>
  <c r="I93" i="2"/>
  <c r="P93" i="3" s="1"/>
  <c r="H93" i="2"/>
  <c r="N93" i="3" s="1"/>
  <c r="G93" i="2"/>
  <c r="L93" i="3" s="1"/>
  <c r="F93" i="2"/>
  <c r="J93" i="3" s="1"/>
  <c r="E93" i="2"/>
  <c r="H93" i="3" s="1"/>
  <c r="D93" i="2"/>
  <c r="F93" i="3" s="1"/>
  <c r="C93" i="2"/>
  <c r="D93" i="3" s="1"/>
  <c r="B93" i="2"/>
  <c r="B93" i="3" s="1"/>
  <c r="A93" i="2"/>
  <c r="A93" i="3" s="1"/>
  <c r="W92" i="2" a="1"/>
  <c r="W92" i="2" s="1"/>
  <c r="AN92" i="3" s="1"/>
  <c r="V92" i="2" a="1"/>
  <c r="V92" i="2" s="1"/>
  <c r="AM92" i="3" s="1"/>
  <c r="T92" i="2" a="1"/>
  <c r="T92" i="2" s="1"/>
  <c r="K92" i="2"/>
  <c r="T92" i="3" s="1"/>
  <c r="J92" i="2"/>
  <c r="R92" i="3" s="1"/>
  <c r="I92" i="2"/>
  <c r="P92" i="3" s="1"/>
  <c r="H92" i="2"/>
  <c r="N92" i="3" s="1"/>
  <c r="G92" i="2"/>
  <c r="L92" i="3" s="1"/>
  <c r="F92" i="2"/>
  <c r="J92" i="3" s="1"/>
  <c r="E92" i="2"/>
  <c r="H92" i="3" s="1"/>
  <c r="D92" i="2"/>
  <c r="F92" i="3" s="1"/>
  <c r="C92" i="2"/>
  <c r="D92" i="3" s="1"/>
  <c r="B92" i="2"/>
  <c r="B92" i="3" s="1"/>
  <c r="A92" i="2"/>
  <c r="A92" i="3" s="1"/>
  <c r="W91" i="2" a="1"/>
  <c r="W91" i="2" s="1"/>
  <c r="AN91" i="3" s="1"/>
  <c r="V91" i="2" a="1"/>
  <c r="V91" i="2" s="1"/>
  <c r="AM91" i="3" s="1"/>
  <c r="T91" i="2" a="1"/>
  <c r="T91" i="2" s="1"/>
  <c r="K91" i="2"/>
  <c r="T91" i="3" s="1"/>
  <c r="J91" i="2"/>
  <c r="R91" i="3" s="1"/>
  <c r="I91" i="2"/>
  <c r="P91" i="3" s="1"/>
  <c r="H91" i="2"/>
  <c r="N91" i="3" s="1"/>
  <c r="G91" i="2"/>
  <c r="L91" i="3" s="1"/>
  <c r="F91" i="2"/>
  <c r="J91" i="3" s="1"/>
  <c r="E91" i="2"/>
  <c r="H91" i="3" s="1"/>
  <c r="D91" i="2"/>
  <c r="F91" i="3" s="1"/>
  <c r="C91" i="2"/>
  <c r="D91" i="3" s="1"/>
  <c r="B91" i="2"/>
  <c r="B91" i="3" s="1"/>
  <c r="A91" i="2"/>
  <c r="A91" i="3" s="1"/>
  <c r="W90" i="2" a="1"/>
  <c r="W90" i="2" s="1"/>
  <c r="AN90" i="3" s="1"/>
  <c r="V90" i="2" a="1"/>
  <c r="V90" i="2" s="1"/>
  <c r="AM90" i="3" s="1"/>
  <c r="T90" i="2" a="1"/>
  <c r="T90" i="2" s="1"/>
  <c r="K90" i="2"/>
  <c r="T90" i="3" s="1"/>
  <c r="J90" i="2"/>
  <c r="R90" i="3" s="1"/>
  <c r="I90" i="2"/>
  <c r="P90" i="3" s="1"/>
  <c r="H90" i="2"/>
  <c r="N90" i="3" s="1"/>
  <c r="G90" i="2"/>
  <c r="L90" i="3" s="1"/>
  <c r="F90" i="2"/>
  <c r="J90" i="3" s="1"/>
  <c r="E90" i="2"/>
  <c r="H90" i="3" s="1"/>
  <c r="D90" i="2"/>
  <c r="F90" i="3" s="1"/>
  <c r="C90" i="2"/>
  <c r="D90" i="3" s="1"/>
  <c r="B90" i="2"/>
  <c r="B90" i="3" s="1"/>
  <c r="A90" i="2"/>
  <c r="A90" i="3" s="1"/>
  <c r="W89" i="2" a="1"/>
  <c r="W89" i="2" s="1"/>
  <c r="AN89" i="3" s="1"/>
  <c r="V89" i="2" a="1"/>
  <c r="V89" i="2" s="1"/>
  <c r="AM89" i="3" s="1"/>
  <c r="T89" i="2" a="1"/>
  <c r="T89" i="2" s="1"/>
  <c r="K89" i="2"/>
  <c r="T89" i="3" s="1"/>
  <c r="J89" i="2"/>
  <c r="R89" i="3" s="1"/>
  <c r="I89" i="2"/>
  <c r="P89" i="3" s="1"/>
  <c r="H89" i="2"/>
  <c r="N89" i="3" s="1"/>
  <c r="G89" i="2"/>
  <c r="L89" i="3" s="1"/>
  <c r="F89" i="2"/>
  <c r="J89" i="3" s="1"/>
  <c r="E89" i="2"/>
  <c r="H89" i="3" s="1"/>
  <c r="D89" i="2"/>
  <c r="F89" i="3" s="1"/>
  <c r="C89" i="2"/>
  <c r="D89" i="3" s="1"/>
  <c r="B89" i="2"/>
  <c r="B89" i="3" s="1"/>
  <c r="A89" i="2"/>
  <c r="A89" i="3" s="1"/>
  <c r="W88" i="2" a="1"/>
  <c r="W88" i="2" s="1"/>
  <c r="AN88" i="3" s="1"/>
  <c r="V88" i="2" a="1"/>
  <c r="V88" i="2" s="1"/>
  <c r="AM88" i="3" s="1"/>
  <c r="T88" i="2" a="1"/>
  <c r="T88" i="2" s="1"/>
  <c r="K88" i="2"/>
  <c r="T88" i="3" s="1"/>
  <c r="J88" i="2"/>
  <c r="R88" i="3" s="1"/>
  <c r="I88" i="2"/>
  <c r="P88" i="3" s="1"/>
  <c r="H88" i="2"/>
  <c r="N88" i="3" s="1"/>
  <c r="G88" i="2"/>
  <c r="L88" i="3" s="1"/>
  <c r="F88" i="2"/>
  <c r="J88" i="3" s="1"/>
  <c r="E88" i="2"/>
  <c r="H88" i="3" s="1"/>
  <c r="D88" i="2"/>
  <c r="F88" i="3" s="1"/>
  <c r="C88" i="2"/>
  <c r="D88" i="3" s="1"/>
  <c r="B88" i="2"/>
  <c r="B88" i="3" s="1"/>
  <c r="A88" i="2"/>
  <c r="A88" i="3" s="1"/>
  <c r="W87" i="2" a="1"/>
  <c r="W87" i="2" s="1"/>
  <c r="AN87" i="3" s="1"/>
  <c r="V87" i="2" a="1"/>
  <c r="V87" i="2" s="1"/>
  <c r="AM87" i="3" s="1"/>
  <c r="T87" i="2" a="1"/>
  <c r="T87" i="2" s="1"/>
  <c r="K87" i="2"/>
  <c r="T87" i="3" s="1"/>
  <c r="J87" i="2"/>
  <c r="R87" i="3" s="1"/>
  <c r="I87" i="2"/>
  <c r="P87" i="3" s="1"/>
  <c r="H87" i="2"/>
  <c r="N87" i="3" s="1"/>
  <c r="G87" i="2"/>
  <c r="L87" i="3" s="1"/>
  <c r="F87" i="2"/>
  <c r="J87" i="3" s="1"/>
  <c r="E87" i="2"/>
  <c r="H87" i="3" s="1"/>
  <c r="D87" i="2"/>
  <c r="F87" i="3" s="1"/>
  <c r="C87" i="2"/>
  <c r="D87" i="3" s="1"/>
  <c r="B87" i="2"/>
  <c r="B87" i="3" s="1"/>
  <c r="A87" i="2"/>
  <c r="A87" i="3" s="1"/>
  <c r="W86" i="2" a="1"/>
  <c r="W86" i="2" s="1"/>
  <c r="AN86" i="3" s="1"/>
  <c r="V86" i="2" a="1"/>
  <c r="V86" i="2" s="1"/>
  <c r="AM86" i="3" s="1"/>
  <c r="T86" i="2" a="1"/>
  <c r="T86" i="2" s="1"/>
  <c r="K86" i="2"/>
  <c r="T86" i="3" s="1"/>
  <c r="J86" i="2"/>
  <c r="R86" i="3" s="1"/>
  <c r="I86" i="2"/>
  <c r="P86" i="3" s="1"/>
  <c r="H86" i="2"/>
  <c r="N86" i="3" s="1"/>
  <c r="G86" i="2"/>
  <c r="L86" i="3" s="1"/>
  <c r="F86" i="2"/>
  <c r="J86" i="3" s="1"/>
  <c r="E86" i="2"/>
  <c r="H86" i="3" s="1"/>
  <c r="D86" i="2"/>
  <c r="F86" i="3" s="1"/>
  <c r="C86" i="2"/>
  <c r="D86" i="3" s="1"/>
  <c r="B86" i="2"/>
  <c r="B86" i="3" s="1"/>
  <c r="A86" i="2"/>
  <c r="A86" i="3" s="1"/>
  <c r="W85" i="2" a="1"/>
  <c r="W85" i="2" s="1"/>
  <c r="AN85" i="3" s="1"/>
  <c r="V85" i="2" a="1"/>
  <c r="V85" i="2" s="1"/>
  <c r="AM85" i="3" s="1"/>
  <c r="T85" i="2" a="1"/>
  <c r="T85" i="2" s="1"/>
  <c r="K85" i="2"/>
  <c r="T85" i="3" s="1"/>
  <c r="J85" i="2"/>
  <c r="R85" i="3" s="1"/>
  <c r="I85" i="2"/>
  <c r="P85" i="3" s="1"/>
  <c r="H85" i="2"/>
  <c r="N85" i="3" s="1"/>
  <c r="G85" i="2"/>
  <c r="L85" i="3" s="1"/>
  <c r="F85" i="2"/>
  <c r="J85" i="3" s="1"/>
  <c r="E85" i="2"/>
  <c r="H85" i="3" s="1"/>
  <c r="D85" i="2"/>
  <c r="F85" i="3" s="1"/>
  <c r="C85" i="2"/>
  <c r="D85" i="3" s="1"/>
  <c r="B85" i="2"/>
  <c r="B85" i="3" s="1"/>
  <c r="A85" i="2"/>
  <c r="A85" i="3" s="1"/>
  <c r="W84" i="2" a="1"/>
  <c r="W84" i="2" s="1"/>
  <c r="AN84" i="3" s="1"/>
  <c r="V84" i="2" a="1"/>
  <c r="V84" i="2" s="1"/>
  <c r="AM84" i="3" s="1"/>
  <c r="T84" i="2" a="1"/>
  <c r="T84" i="2" s="1"/>
  <c r="K84" i="2"/>
  <c r="T84" i="3" s="1"/>
  <c r="J84" i="2"/>
  <c r="R84" i="3" s="1"/>
  <c r="I84" i="2"/>
  <c r="P84" i="3" s="1"/>
  <c r="H84" i="2"/>
  <c r="N84" i="3" s="1"/>
  <c r="G84" i="2"/>
  <c r="L84" i="3" s="1"/>
  <c r="F84" i="2"/>
  <c r="J84" i="3" s="1"/>
  <c r="E84" i="2"/>
  <c r="H84" i="3" s="1"/>
  <c r="D84" i="2"/>
  <c r="F84" i="3" s="1"/>
  <c r="C84" i="2"/>
  <c r="D84" i="3" s="1"/>
  <c r="B84" i="2"/>
  <c r="B84" i="3" s="1"/>
  <c r="A84" i="2"/>
  <c r="A84" i="3" s="1"/>
  <c r="W83" i="2" a="1"/>
  <c r="W83" i="2" s="1"/>
  <c r="AN83" i="3" s="1"/>
  <c r="V83" i="2" a="1"/>
  <c r="V83" i="2" s="1"/>
  <c r="AM83" i="3" s="1"/>
  <c r="T83" i="2" a="1"/>
  <c r="T83" i="2" s="1"/>
  <c r="K83" i="2"/>
  <c r="T83" i="3" s="1"/>
  <c r="J83" i="2"/>
  <c r="R83" i="3" s="1"/>
  <c r="I83" i="2"/>
  <c r="P83" i="3" s="1"/>
  <c r="H83" i="2"/>
  <c r="N83" i="3" s="1"/>
  <c r="G83" i="2"/>
  <c r="L83" i="3" s="1"/>
  <c r="F83" i="2"/>
  <c r="J83" i="3" s="1"/>
  <c r="E83" i="2"/>
  <c r="H83" i="3" s="1"/>
  <c r="D83" i="2"/>
  <c r="F83" i="3" s="1"/>
  <c r="C83" i="2"/>
  <c r="D83" i="3" s="1"/>
  <c r="B83" i="2"/>
  <c r="B83" i="3" s="1"/>
  <c r="A83" i="2"/>
  <c r="A83" i="3" s="1"/>
  <c r="W82" i="2" a="1"/>
  <c r="W82" i="2" s="1"/>
  <c r="AN82" i="3" s="1"/>
  <c r="V82" i="2" a="1"/>
  <c r="V82" i="2" s="1"/>
  <c r="AM82" i="3" s="1"/>
  <c r="T82" i="2" a="1"/>
  <c r="T82" i="2" s="1"/>
  <c r="K82" i="2"/>
  <c r="T82" i="3" s="1"/>
  <c r="J82" i="2"/>
  <c r="R82" i="3" s="1"/>
  <c r="I82" i="2"/>
  <c r="P82" i="3" s="1"/>
  <c r="H82" i="2"/>
  <c r="N82" i="3" s="1"/>
  <c r="G82" i="2"/>
  <c r="L82" i="3" s="1"/>
  <c r="F82" i="2"/>
  <c r="J82" i="3" s="1"/>
  <c r="E82" i="2"/>
  <c r="H82" i="3" s="1"/>
  <c r="D82" i="2"/>
  <c r="F82" i="3" s="1"/>
  <c r="C82" i="2"/>
  <c r="D82" i="3" s="1"/>
  <c r="B82" i="2"/>
  <c r="B82" i="3" s="1"/>
  <c r="A82" i="2"/>
  <c r="A82" i="3" s="1"/>
  <c r="W81" i="2" a="1"/>
  <c r="W81" i="2" s="1"/>
  <c r="AN81" i="3" s="1"/>
  <c r="V81" i="2" a="1"/>
  <c r="V81" i="2" s="1"/>
  <c r="AM81" i="3" s="1"/>
  <c r="T81" i="2" a="1"/>
  <c r="T81" i="2" s="1"/>
  <c r="K81" i="2"/>
  <c r="T81" i="3" s="1"/>
  <c r="J81" i="2"/>
  <c r="R81" i="3" s="1"/>
  <c r="I81" i="2"/>
  <c r="P81" i="3" s="1"/>
  <c r="H81" i="2"/>
  <c r="N81" i="3" s="1"/>
  <c r="G81" i="2"/>
  <c r="L81" i="3" s="1"/>
  <c r="F81" i="2"/>
  <c r="J81" i="3" s="1"/>
  <c r="E81" i="2"/>
  <c r="H81" i="3" s="1"/>
  <c r="D81" i="2"/>
  <c r="F81" i="3" s="1"/>
  <c r="C81" i="2"/>
  <c r="D81" i="3" s="1"/>
  <c r="B81" i="2"/>
  <c r="B81" i="3" s="1"/>
  <c r="A81" i="2"/>
  <c r="A81" i="3" s="1"/>
  <c r="W80" i="2" a="1"/>
  <c r="W80" i="2" s="1"/>
  <c r="AN80" i="3" s="1"/>
  <c r="V80" i="2" a="1"/>
  <c r="V80" i="2" s="1"/>
  <c r="AM80" i="3" s="1"/>
  <c r="T80" i="2" a="1"/>
  <c r="T80" i="2" s="1"/>
  <c r="K80" i="2"/>
  <c r="T80" i="3" s="1"/>
  <c r="J80" i="2"/>
  <c r="R80" i="3" s="1"/>
  <c r="I80" i="2"/>
  <c r="P80" i="3" s="1"/>
  <c r="H80" i="2"/>
  <c r="N80" i="3" s="1"/>
  <c r="G80" i="2"/>
  <c r="L80" i="3" s="1"/>
  <c r="F80" i="2"/>
  <c r="J80" i="3" s="1"/>
  <c r="E80" i="2"/>
  <c r="H80" i="3" s="1"/>
  <c r="D80" i="2"/>
  <c r="F80" i="3" s="1"/>
  <c r="C80" i="2"/>
  <c r="D80" i="3" s="1"/>
  <c r="B80" i="2"/>
  <c r="B80" i="3" s="1"/>
  <c r="A80" i="2"/>
  <c r="A80" i="3" s="1"/>
  <c r="W79" i="2" a="1"/>
  <c r="W79" i="2" s="1"/>
  <c r="AN79" i="3" s="1"/>
  <c r="V79" i="2" a="1"/>
  <c r="V79" i="2" s="1"/>
  <c r="AM79" i="3" s="1"/>
  <c r="T79" i="2" a="1"/>
  <c r="T79" i="2" s="1"/>
  <c r="K79" i="2"/>
  <c r="T79" i="3" s="1"/>
  <c r="J79" i="2"/>
  <c r="R79" i="3" s="1"/>
  <c r="I79" i="2"/>
  <c r="P79" i="3" s="1"/>
  <c r="H79" i="2"/>
  <c r="N79" i="3" s="1"/>
  <c r="G79" i="2"/>
  <c r="L79" i="3" s="1"/>
  <c r="F79" i="2"/>
  <c r="J79" i="3" s="1"/>
  <c r="E79" i="2"/>
  <c r="H79" i="3" s="1"/>
  <c r="D79" i="2"/>
  <c r="F79" i="3" s="1"/>
  <c r="C79" i="2"/>
  <c r="D79" i="3" s="1"/>
  <c r="B79" i="2"/>
  <c r="B79" i="3" s="1"/>
  <c r="A79" i="2"/>
  <c r="A79" i="3" s="1"/>
  <c r="W78" i="2" a="1"/>
  <c r="W78" i="2" s="1"/>
  <c r="AN78" i="3" s="1"/>
  <c r="V78" i="2" a="1"/>
  <c r="V78" i="2" s="1"/>
  <c r="AM78" i="3" s="1"/>
  <c r="T78" i="2" a="1"/>
  <c r="T78" i="2" s="1"/>
  <c r="K78" i="2"/>
  <c r="T78" i="3" s="1"/>
  <c r="J78" i="2"/>
  <c r="R78" i="3" s="1"/>
  <c r="I78" i="2"/>
  <c r="P78" i="3" s="1"/>
  <c r="H78" i="2"/>
  <c r="N78" i="3" s="1"/>
  <c r="G78" i="2"/>
  <c r="L78" i="3" s="1"/>
  <c r="F78" i="2"/>
  <c r="J78" i="3" s="1"/>
  <c r="E78" i="2"/>
  <c r="H78" i="3" s="1"/>
  <c r="D78" i="2"/>
  <c r="F78" i="3" s="1"/>
  <c r="C78" i="2"/>
  <c r="D78" i="3" s="1"/>
  <c r="B78" i="2"/>
  <c r="B78" i="3" s="1"/>
  <c r="A78" i="2"/>
  <c r="A78" i="3" s="1"/>
  <c r="W77" i="2" a="1"/>
  <c r="W77" i="2" s="1"/>
  <c r="AN77" i="3" s="1"/>
  <c r="V77" i="2" a="1"/>
  <c r="V77" i="2" s="1"/>
  <c r="AM77" i="3" s="1"/>
  <c r="T77" i="2" a="1"/>
  <c r="T77" i="2" s="1"/>
  <c r="K77" i="2"/>
  <c r="T77" i="3" s="1"/>
  <c r="J77" i="2"/>
  <c r="R77" i="3" s="1"/>
  <c r="I77" i="2"/>
  <c r="P77" i="3" s="1"/>
  <c r="H77" i="2"/>
  <c r="N77" i="3" s="1"/>
  <c r="G77" i="2"/>
  <c r="L77" i="3" s="1"/>
  <c r="F77" i="2"/>
  <c r="J77" i="3" s="1"/>
  <c r="E77" i="2"/>
  <c r="H77" i="3" s="1"/>
  <c r="D77" i="2"/>
  <c r="F77" i="3" s="1"/>
  <c r="C77" i="2"/>
  <c r="D77" i="3" s="1"/>
  <c r="B77" i="2"/>
  <c r="B77" i="3" s="1"/>
  <c r="A77" i="2"/>
  <c r="A77" i="3" s="1"/>
  <c r="W76" i="2" a="1"/>
  <c r="W76" i="2" s="1"/>
  <c r="AN76" i="3" s="1"/>
  <c r="V76" i="2" a="1"/>
  <c r="V76" i="2" s="1"/>
  <c r="AM76" i="3" s="1"/>
  <c r="T76" i="2" a="1"/>
  <c r="T76" i="2" s="1"/>
  <c r="K76" i="2"/>
  <c r="T76" i="3" s="1"/>
  <c r="J76" i="2"/>
  <c r="R76" i="3" s="1"/>
  <c r="I76" i="2"/>
  <c r="P76" i="3" s="1"/>
  <c r="H76" i="2"/>
  <c r="N76" i="3" s="1"/>
  <c r="G76" i="2"/>
  <c r="L76" i="3" s="1"/>
  <c r="F76" i="2"/>
  <c r="J76" i="3" s="1"/>
  <c r="E76" i="2"/>
  <c r="H76" i="3" s="1"/>
  <c r="D76" i="2"/>
  <c r="F76" i="3" s="1"/>
  <c r="C76" i="2"/>
  <c r="D76" i="3" s="1"/>
  <c r="B76" i="2"/>
  <c r="B76" i="3" s="1"/>
  <c r="A76" i="2"/>
  <c r="A76" i="3" s="1"/>
  <c r="W75" i="2" a="1"/>
  <c r="W75" i="2" s="1"/>
  <c r="AN75" i="3" s="1"/>
  <c r="V75" i="2" a="1"/>
  <c r="V75" i="2" s="1"/>
  <c r="AM75" i="3" s="1"/>
  <c r="T75" i="2" a="1"/>
  <c r="T75" i="2" s="1"/>
  <c r="K75" i="2"/>
  <c r="T75" i="3" s="1"/>
  <c r="J75" i="2"/>
  <c r="R75" i="3" s="1"/>
  <c r="I75" i="2"/>
  <c r="P75" i="3" s="1"/>
  <c r="H75" i="2"/>
  <c r="N75" i="3" s="1"/>
  <c r="G75" i="2"/>
  <c r="L75" i="3" s="1"/>
  <c r="F75" i="2"/>
  <c r="J75" i="3" s="1"/>
  <c r="E75" i="2"/>
  <c r="H75" i="3" s="1"/>
  <c r="D75" i="2"/>
  <c r="F75" i="3" s="1"/>
  <c r="C75" i="2"/>
  <c r="D75" i="3" s="1"/>
  <c r="B75" i="2"/>
  <c r="B75" i="3" s="1"/>
  <c r="A75" i="2"/>
  <c r="A75" i="3" s="1"/>
  <c r="W74" i="2" a="1"/>
  <c r="W74" i="2" s="1"/>
  <c r="AN74" i="3" s="1"/>
  <c r="V74" i="2" a="1"/>
  <c r="V74" i="2" s="1"/>
  <c r="AM74" i="3" s="1"/>
  <c r="T74" i="2" a="1"/>
  <c r="T74" i="2" s="1"/>
  <c r="K74" i="2"/>
  <c r="T74" i="3" s="1"/>
  <c r="J74" i="2"/>
  <c r="R74" i="3" s="1"/>
  <c r="I74" i="2"/>
  <c r="P74" i="3" s="1"/>
  <c r="H74" i="2"/>
  <c r="N74" i="3" s="1"/>
  <c r="G74" i="2"/>
  <c r="L74" i="3" s="1"/>
  <c r="F74" i="2"/>
  <c r="J74" i="3" s="1"/>
  <c r="E74" i="2"/>
  <c r="H74" i="3" s="1"/>
  <c r="D74" i="2"/>
  <c r="F74" i="3" s="1"/>
  <c r="C74" i="2"/>
  <c r="D74" i="3" s="1"/>
  <c r="B74" i="2"/>
  <c r="B74" i="3" s="1"/>
  <c r="A74" i="2"/>
  <c r="A74" i="3" s="1"/>
  <c r="W73" i="2" a="1"/>
  <c r="W73" i="2" s="1"/>
  <c r="AN73" i="3" s="1"/>
  <c r="V73" i="2" a="1"/>
  <c r="V73" i="2" s="1"/>
  <c r="AM73" i="3" s="1"/>
  <c r="T73" i="2" a="1"/>
  <c r="T73" i="2" s="1"/>
  <c r="K73" i="2"/>
  <c r="T73" i="3" s="1"/>
  <c r="J73" i="2"/>
  <c r="R73" i="3" s="1"/>
  <c r="I73" i="2"/>
  <c r="P73" i="3" s="1"/>
  <c r="H73" i="2"/>
  <c r="N73" i="3" s="1"/>
  <c r="G73" i="2"/>
  <c r="L73" i="3" s="1"/>
  <c r="F73" i="2"/>
  <c r="J73" i="3" s="1"/>
  <c r="E73" i="2"/>
  <c r="H73" i="3" s="1"/>
  <c r="D73" i="2"/>
  <c r="F73" i="3" s="1"/>
  <c r="C73" i="2"/>
  <c r="D73" i="3" s="1"/>
  <c r="B73" i="2"/>
  <c r="B73" i="3" s="1"/>
  <c r="A73" i="2"/>
  <c r="A73" i="3" s="1"/>
  <c r="W72" i="2" a="1"/>
  <c r="W72" i="2" s="1"/>
  <c r="AN72" i="3" s="1"/>
  <c r="V72" i="2" a="1"/>
  <c r="V72" i="2" s="1"/>
  <c r="AM72" i="3" s="1"/>
  <c r="T72" i="2" a="1"/>
  <c r="T72" i="2" s="1"/>
  <c r="K72" i="2"/>
  <c r="T72" i="3" s="1"/>
  <c r="J72" i="2"/>
  <c r="R72" i="3" s="1"/>
  <c r="I72" i="2"/>
  <c r="P72" i="3" s="1"/>
  <c r="H72" i="2"/>
  <c r="N72" i="3" s="1"/>
  <c r="G72" i="2"/>
  <c r="L72" i="3" s="1"/>
  <c r="F72" i="2"/>
  <c r="J72" i="3" s="1"/>
  <c r="E72" i="2"/>
  <c r="H72" i="3" s="1"/>
  <c r="D72" i="2"/>
  <c r="F72" i="3" s="1"/>
  <c r="C72" i="2"/>
  <c r="D72" i="3" s="1"/>
  <c r="B72" i="2"/>
  <c r="B72" i="3" s="1"/>
  <c r="A72" i="2"/>
  <c r="A72" i="3" s="1"/>
  <c r="W71" i="2" a="1"/>
  <c r="W71" i="2" s="1"/>
  <c r="AN71" i="3" s="1"/>
  <c r="V71" i="2" a="1"/>
  <c r="V71" i="2" s="1"/>
  <c r="AM71" i="3" s="1"/>
  <c r="T71" i="2" a="1"/>
  <c r="T71" i="2" s="1"/>
  <c r="K71" i="2"/>
  <c r="T71" i="3" s="1"/>
  <c r="J71" i="2"/>
  <c r="R71" i="3" s="1"/>
  <c r="I71" i="2"/>
  <c r="P71" i="3" s="1"/>
  <c r="H71" i="2"/>
  <c r="N71" i="3" s="1"/>
  <c r="G71" i="2"/>
  <c r="L71" i="3" s="1"/>
  <c r="F71" i="2"/>
  <c r="J71" i="3" s="1"/>
  <c r="E71" i="2"/>
  <c r="H71" i="3" s="1"/>
  <c r="D71" i="2"/>
  <c r="F71" i="3" s="1"/>
  <c r="C71" i="2"/>
  <c r="D71" i="3" s="1"/>
  <c r="B71" i="2"/>
  <c r="B71" i="3" s="1"/>
  <c r="A71" i="2"/>
  <c r="A71" i="3" s="1"/>
  <c r="W70" i="2" a="1"/>
  <c r="W70" i="2" s="1"/>
  <c r="AN70" i="3" s="1"/>
  <c r="V70" i="2" a="1"/>
  <c r="V70" i="2" s="1"/>
  <c r="AM70" i="3" s="1"/>
  <c r="T70" i="2" a="1"/>
  <c r="T70" i="2" s="1"/>
  <c r="K70" i="2"/>
  <c r="T70" i="3" s="1"/>
  <c r="J70" i="2"/>
  <c r="R70" i="3" s="1"/>
  <c r="I70" i="2"/>
  <c r="P70" i="3" s="1"/>
  <c r="H70" i="2"/>
  <c r="N70" i="3" s="1"/>
  <c r="G70" i="2"/>
  <c r="L70" i="3" s="1"/>
  <c r="F70" i="2"/>
  <c r="J70" i="3" s="1"/>
  <c r="E70" i="2"/>
  <c r="H70" i="3" s="1"/>
  <c r="D70" i="2"/>
  <c r="F70" i="3" s="1"/>
  <c r="C70" i="2"/>
  <c r="D70" i="3" s="1"/>
  <c r="B70" i="2"/>
  <c r="B70" i="3" s="1"/>
  <c r="A70" i="2"/>
  <c r="A70" i="3" s="1"/>
  <c r="W69" i="2" a="1"/>
  <c r="W69" i="2" s="1"/>
  <c r="AN69" i="3" s="1"/>
  <c r="V69" i="2" a="1"/>
  <c r="V69" i="2" s="1"/>
  <c r="AM69" i="3" s="1"/>
  <c r="T69" i="2" a="1"/>
  <c r="T69" i="2" s="1"/>
  <c r="K69" i="2"/>
  <c r="T69" i="3" s="1"/>
  <c r="J69" i="2"/>
  <c r="R69" i="3" s="1"/>
  <c r="I69" i="2"/>
  <c r="P69" i="3" s="1"/>
  <c r="H69" i="2"/>
  <c r="N69" i="3" s="1"/>
  <c r="G69" i="2"/>
  <c r="L69" i="3" s="1"/>
  <c r="F69" i="2"/>
  <c r="J69" i="3" s="1"/>
  <c r="E69" i="2"/>
  <c r="H69" i="3" s="1"/>
  <c r="D69" i="2"/>
  <c r="F69" i="3" s="1"/>
  <c r="C69" i="2"/>
  <c r="D69" i="3" s="1"/>
  <c r="B69" i="2"/>
  <c r="B69" i="3" s="1"/>
  <c r="A69" i="2"/>
  <c r="A69" i="3" s="1"/>
  <c r="W68" i="2" a="1"/>
  <c r="W68" i="2" s="1"/>
  <c r="AN68" i="3" s="1"/>
  <c r="V68" i="2" a="1"/>
  <c r="V68" i="2" s="1"/>
  <c r="AM68" i="3" s="1"/>
  <c r="T68" i="2" a="1"/>
  <c r="T68" i="2" s="1"/>
  <c r="K68" i="2"/>
  <c r="T68" i="3" s="1"/>
  <c r="J68" i="2"/>
  <c r="R68" i="3" s="1"/>
  <c r="I68" i="2"/>
  <c r="P68" i="3" s="1"/>
  <c r="H68" i="2"/>
  <c r="N68" i="3" s="1"/>
  <c r="G68" i="2"/>
  <c r="L68" i="3" s="1"/>
  <c r="F68" i="2"/>
  <c r="J68" i="3" s="1"/>
  <c r="E68" i="2"/>
  <c r="H68" i="3" s="1"/>
  <c r="D68" i="2"/>
  <c r="F68" i="3" s="1"/>
  <c r="C68" i="2"/>
  <c r="D68" i="3" s="1"/>
  <c r="B68" i="2"/>
  <c r="B68" i="3" s="1"/>
  <c r="A68" i="2"/>
  <c r="A68" i="3" s="1"/>
  <c r="W67" i="2" a="1"/>
  <c r="W67" i="2" s="1"/>
  <c r="AN67" i="3" s="1"/>
  <c r="V67" i="2" a="1"/>
  <c r="V67" i="2" s="1"/>
  <c r="AM67" i="3" s="1"/>
  <c r="T67" i="2" a="1"/>
  <c r="T67" i="2" s="1"/>
  <c r="K67" i="2"/>
  <c r="T67" i="3" s="1"/>
  <c r="J67" i="2"/>
  <c r="R67" i="3" s="1"/>
  <c r="I67" i="2"/>
  <c r="P67" i="3" s="1"/>
  <c r="H67" i="2"/>
  <c r="N67" i="3" s="1"/>
  <c r="G67" i="2"/>
  <c r="L67" i="3" s="1"/>
  <c r="F67" i="2"/>
  <c r="J67" i="3" s="1"/>
  <c r="E67" i="2"/>
  <c r="H67" i="3" s="1"/>
  <c r="D67" i="2"/>
  <c r="F67" i="3" s="1"/>
  <c r="C67" i="2"/>
  <c r="D67" i="3" s="1"/>
  <c r="B67" i="2"/>
  <c r="B67" i="3" s="1"/>
  <c r="A67" i="2"/>
  <c r="A67" i="3" s="1"/>
  <c r="W66" i="2" a="1"/>
  <c r="W66" i="2" s="1"/>
  <c r="AN66" i="3" s="1"/>
  <c r="V66" i="2" a="1"/>
  <c r="V66" i="2" s="1"/>
  <c r="AM66" i="3" s="1"/>
  <c r="T66" i="2" a="1"/>
  <c r="T66" i="2" s="1"/>
  <c r="K66" i="2"/>
  <c r="T66" i="3" s="1"/>
  <c r="J66" i="2"/>
  <c r="R66" i="3" s="1"/>
  <c r="I66" i="2"/>
  <c r="P66" i="3" s="1"/>
  <c r="H66" i="2"/>
  <c r="N66" i="3" s="1"/>
  <c r="G66" i="2"/>
  <c r="L66" i="3" s="1"/>
  <c r="F66" i="2"/>
  <c r="J66" i="3" s="1"/>
  <c r="E66" i="2"/>
  <c r="H66" i="3" s="1"/>
  <c r="D66" i="2"/>
  <c r="F66" i="3" s="1"/>
  <c r="C66" i="2"/>
  <c r="D66" i="3" s="1"/>
  <c r="B66" i="2"/>
  <c r="B66" i="3" s="1"/>
  <c r="A66" i="2"/>
  <c r="A66" i="3" s="1"/>
  <c r="W65" i="2" a="1"/>
  <c r="W65" i="2" s="1"/>
  <c r="AN65" i="3" s="1"/>
  <c r="V65" i="2" a="1"/>
  <c r="V65" i="2" s="1"/>
  <c r="AM65" i="3" s="1"/>
  <c r="T65" i="2" a="1"/>
  <c r="T65" i="2" s="1"/>
  <c r="K65" i="2"/>
  <c r="T65" i="3" s="1"/>
  <c r="J65" i="2"/>
  <c r="R65" i="3" s="1"/>
  <c r="I65" i="2"/>
  <c r="P65" i="3" s="1"/>
  <c r="H65" i="2"/>
  <c r="N65" i="3" s="1"/>
  <c r="G65" i="2"/>
  <c r="L65" i="3" s="1"/>
  <c r="F65" i="2"/>
  <c r="J65" i="3" s="1"/>
  <c r="E65" i="2"/>
  <c r="H65" i="3" s="1"/>
  <c r="D65" i="2"/>
  <c r="F65" i="3" s="1"/>
  <c r="C65" i="2"/>
  <c r="D65" i="3" s="1"/>
  <c r="B65" i="2"/>
  <c r="B65" i="3" s="1"/>
  <c r="A65" i="2"/>
  <c r="A65" i="3" s="1"/>
  <c r="W64" i="2" a="1"/>
  <c r="W64" i="2" s="1"/>
  <c r="AN64" i="3" s="1"/>
  <c r="V64" i="2" a="1"/>
  <c r="V64" i="2" s="1"/>
  <c r="AM64" i="3" s="1"/>
  <c r="T64" i="2" a="1"/>
  <c r="T64" i="2" s="1"/>
  <c r="K64" i="2"/>
  <c r="T64" i="3" s="1"/>
  <c r="J64" i="2"/>
  <c r="R64" i="3" s="1"/>
  <c r="I64" i="2"/>
  <c r="P64" i="3" s="1"/>
  <c r="H64" i="2"/>
  <c r="N64" i="3" s="1"/>
  <c r="G64" i="2"/>
  <c r="L64" i="3" s="1"/>
  <c r="F64" i="2"/>
  <c r="J64" i="3" s="1"/>
  <c r="E64" i="2"/>
  <c r="H64" i="3" s="1"/>
  <c r="D64" i="2"/>
  <c r="F64" i="3" s="1"/>
  <c r="C64" i="2"/>
  <c r="D64" i="3" s="1"/>
  <c r="B64" i="2"/>
  <c r="B64" i="3" s="1"/>
  <c r="A64" i="2"/>
  <c r="A64" i="3" s="1"/>
  <c r="W63" i="2" a="1"/>
  <c r="W63" i="2" s="1"/>
  <c r="AN63" i="3" s="1"/>
  <c r="V63" i="2" a="1"/>
  <c r="V63" i="2" s="1"/>
  <c r="AM63" i="3" s="1"/>
  <c r="T63" i="2" a="1"/>
  <c r="T63" i="2" s="1"/>
  <c r="K63" i="2"/>
  <c r="T63" i="3" s="1"/>
  <c r="J63" i="2"/>
  <c r="R63" i="3" s="1"/>
  <c r="I63" i="2"/>
  <c r="P63" i="3" s="1"/>
  <c r="H63" i="2"/>
  <c r="N63" i="3" s="1"/>
  <c r="G63" i="2"/>
  <c r="L63" i="3" s="1"/>
  <c r="F63" i="2"/>
  <c r="J63" i="3" s="1"/>
  <c r="E63" i="2"/>
  <c r="H63" i="3" s="1"/>
  <c r="D63" i="2"/>
  <c r="F63" i="3" s="1"/>
  <c r="C63" i="2"/>
  <c r="D63" i="3" s="1"/>
  <c r="B63" i="2"/>
  <c r="B63" i="3" s="1"/>
  <c r="A63" i="2"/>
  <c r="A63" i="3" s="1"/>
  <c r="W62" i="2" a="1"/>
  <c r="W62" i="2" s="1"/>
  <c r="AN62" i="3" s="1"/>
  <c r="V62" i="2" a="1"/>
  <c r="V62" i="2" s="1"/>
  <c r="AM62" i="3" s="1"/>
  <c r="T62" i="2" a="1"/>
  <c r="T62" i="2" s="1"/>
  <c r="K62" i="2"/>
  <c r="T62" i="3" s="1"/>
  <c r="J62" i="2"/>
  <c r="R62" i="3" s="1"/>
  <c r="I62" i="2"/>
  <c r="P62" i="3" s="1"/>
  <c r="H62" i="2"/>
  <c r="N62" i="3" s="1"/>
  <c r="G62" i="2"/>
  <c r="L62" i="3" s="1"/>
  <c r="F62" i="2"/>
  <c r="J62" i="3" s="1"/>
  <c r="E62" i="2"/>
  <c r="H62" i="3" s="1"/>
  <c r="D62" i="2"/>
  <c r="F62" i="3" s="1"/>
  <c r="C62" i="2"/>
  <c r="D62" i="3" s="1"/>
  <c r="B62" i="2"/>
  <c r="B62" i="3" s="1"/>
  <c r="A62" i="2"/>
  <c r="A62" i="3" s="1"/>
  <c r="W61" i="2" a="1"/>
  <c r="W61" i="2" s="1"/>
  <c r="AN61" i="3" s="1"/>
  <c r="V61" i="2" a="1"/>
  <c r="V61" i="2" s="1"/>
  <c r="AM61" i="3" s="1"/>
  <c r="T61" i="2" a="1"/>
  <c r="T61" i="2" s="1"/>
  <c r="K61" i="2"/>
  <c r="T61" i="3" s="1"/>
  <c r="J61" i="2"/>
  <c r="R61" i="3" s="1"/>
  <c r="I61" i="2"/>
  <c r="P61" i="3" s="1"/>
  <c r="H61" i="2"/>
  <c r="N61" i="3" s="1"/>
  <c r="G61" i="2"/>
  <c r="L61" i="3" s="1"/>
  <c r="F61" i="2"/>
  <c r="J61" i="3" s="1"/>
  <c r="E61" i="2"/>
  <c r="H61" i="3" s="1"/>
  <c r="D61" i="2"/>
  <c r="F61" i="3" s="1"/>
  <c r="C61" i="2"/>
  <c r="D61" i="3" s="1"/>
  <c r="B61" i="2"/>
  <c r="B61" i="3" s="1"/>
  <c r="A61" i="2"/>
  <c r="A61" i="3" s="1"/>
  <c r="W60" i="2" a="1"/>
  <c r="W60" i="2" s="1"/>
  <c r="AN60" i="3" s="1"/>
  <c r="V60" i="2" a="1"/>
  <c r="V60" i="2" s="1"/>
  <c r="AM60" i="3" s="1"/>
  <c r="T60" i="2" a="1"/>
  <c r="T60" i="2" s="1"/>
  <c r="K60" i="2"/>
  <c r="T60" i="3" s="1"/>
  <c r="J60" i="2"/>
  <c r="R60" i="3" s="1"/>
  <c r="I60" i="2"/>
  <c r="P60" i="3" s="1"/>
  <c r="H60" i="2"/>
  <c r="N60" i="3" s="1"/>
  <c r="G60" i="2"/>
  <c r="L60" i="3" s="1"/>
  <c r="F60" i="2"/>
  <c r="J60" i="3" s="1"/>
  <c r="E60" i="2"/>
  <c r="H60" i="3" s="1"/>
  <c r="D60" i="2"/>
  <c r="F60" i="3" s="1"/>
  <c r="C60" i="2"/>
  <c r="D60" i="3" s="1"/>
  <c r="B60" i="2"/>
  <c r="B60" i="3" s="1"/>
  <c r="A60" i="2"/>
  <c r="A60" i="3" s="1"/>
  <c r="W59" i="2" a="1"/>
  <c r="W59" i="2" s="1"/>
  <c r="AN59" i="3" s="1"/>
  <c r="V59" i="2" a="1"/>
  <c r="V59" i="2" s="1"/>
  <c r="AM59" i="3" s="1"/>
  <c r="T59" i="2" a="1"/>
  <c r="T59" i="2" s="1"/>
  <c r="K59" i="2"/>
  <c r="T59" i="3" s="1"/>
  <c r="J59" i="2"/>
  <c r="R59" i="3" s="1"/>
  <c r="I59" i="2"/>
  <c r="P59" i="3" s="1"/>
  <c r="H59" i="2"/>
  <c r="N59" i="3" s="1"/>
  <c r="G59" i="2"/>
  <c r="L59" i="3" s="1"/>
  <c r="F59" i="2"/>
  <c r="J59" i="3" s="1"/>
  <c r="E59" i="2"/>
  <c r="H59" i="3" s="1"/>
  <c r="D59" i="2"/>
  <c r="F59" i="3" s="1"/>
  <c r="C59" i="2"/>
  <c r="D59" i="3" s="1"/>
  <c r="B59" i="2"/>
  <c r="B59" i="3" s="1"/>
  <c r="A59" i="2"/>
  <c r="A59" i="3" s="1"/>
  <c r="W58" i="2" a="1"/>
  <c r="W58" i="2" s="1"/>
  <c r="AN58" i="3" s="1"/>
  <c r="V58" i="2" a="1"/>
  <c r="V58" i="2" s="1"/>
  <c r="AM58" i="3" s="1"/>
  <c r="T58" i="2" a="1"/>
  <c r="T58" i="2" s="1"/>
  <c r="K58" i="2"/>
  <c r="T58" i="3" s="1"/>
  <c r="J58" i="2"/>
  <c r="R58" i="3" s="1"/>
  <c r="I58" i="2"/>
  <c r="P58" i="3" s="1"/>
  <c r="H58" i="2"/>
  <c r="N58" i="3" s="1"/>
  <c r="G58" i="2"/>
  <c r="L58" i="3" s="1"/>
  <c r="F58" i="2"/>
  <c r="J58" i="3" s="1"/>
  <c r="E58" i="2"/>
  <c r="H58" i="3" s="1"/>
  <c r="D58" i="2"/>
  <c r="F58" i="3" s="1"/>
  <c r="C58" i="2"/>
  <c r="D58" i="3" s="1"/>
  <c r="B58" i="2"/>
  <c r="B58" i="3" s="1"/>
  <c r="A58" i="2"/>
  <c r="A58" i="3" s="1"/>
  <c r="W57" i="2" a="1"/>
  <c r="W57" i="2" s="1"/>
  <c r="AN57" i="3" s="1"/>
  <c r="V57" i="2" a="1"/>
  <c r="V57" i="2" s="1"/>
  <c r="AM57" i="3" s="1"/>
  <c r="T57" i="2" a="1"/>
  <c r="T57" i="2" s="1"/>
  <c r="K57" i="2"/>
  <c r="T57" i="3" s="1"/>
  <c r="J57" i="2"/>
  <c r="R57" i="3" s="1"/>
  <c r="I57" i="2"/>
  <c r="P57" i="3" s="1"/>
  <c r="H57" i="2"/>
  <c r="N57" i="3" s="1"/>
  <c r="G57" i="2"/>
  <c r="L57" i="3" s="1"/>
  <c r="F57" i="2"/>
  <c r="J57" i="3" s="1"/>
  <c r="E57" i="2"/>
  <c r="H57" i="3" s="1"/>
  <c r="D57" i="2"/>
  <c r="F57" i="3" s="1"/>
  <c r="C57" i="2"/>
  <c r="D57" i="3" s="1"/>
  <c r="B57" i="2"/>
  <c r="B57" i="3" s="1"/>
  <c r="A57" i="2"/>
  <c r="A57" i="3" s="1"/>
  <c r="W56" i="2" a="1"/>
  <c r="W56" i="2" s="1"/>
  <c r="AN56" i="3" s="1"/>
  <c r="V56" i="2" a="1"/>
  <c r="V56" i="2" s="1"/>
  <c r="AM56" i="3" s="1"/>
  <c r="T56" i="2" a="1"/>
  <c r="T56" i="2" s="1"/>
  <c r="K56" i="2"/>
  <c r="T56" i="3" s="1"/>
  <c r="J56" i="2"/>
  <c r="R56" i="3" s="1"/>
  <c r="I56" i="2"/>
  <c r="P56" i="3" s="1"/>
  <c r="H56" i="2"/>
  <c r="N56" i="3" s="1"/>
  <c r="G56" i="2"/>
  <c r="L56" i="3" s="1"/>
  <c r="F56" i="2"/>
  <c r="J56" i="3" s="1"/>
  <c r="E56" i="2"/>
  <c r="H56" i="3" s="1"/>
  <c r="D56" i="2"/>
  <c r="F56" i="3" s="1"/>
  <c r="C56" i="2"/>
  <c r="D56" i="3" s="1"/>
  <c r="B56" i="2"/>
  <c r="B56" i="3" s="1"/>
  <c r="A56" i="2"/>
  <c r="A56" i="3" s="1"/>
  <c r="W55" i="2" a="1"/>
  <c r="W55" i="2" s="1"/>
  <c r="AN55" i="3" s="1"/>
  <c r="V55" i="2" a="1"/>
  <c r="V55" i="2" s="1"/>
  <c r="AM55" i="3" s="1"/>
  <c r="T55" i="2" a="1"/>
  <c r="T55" i="2" s="1"/>
  <c r="K55" i="2"/>
  <c r="T55" i="3" s="1"/>
  <c r="J55" i="2"/>
  <c r="R55" i="3" s="1"/>
  <c r="I55" i="2"/>
  <c r="P55" i="3" s="1"/>
  <c r="H55" i="2"/>
  <c r="N55" i="3" s="1"/>
  <c r="G55" i="2"/>
  <c r="L55" i="3" s="1"/>
  <c r="F55" i="2"/>
  <c r="J55" i="3" s="1"/>
  <c r="E55" i="2"/>
  <c r="H55" i="3" s="1"/>
  <c r="D55" i="2"/>
  <c r="F55" i="3" s="1"/>
  <c r="C55" i="2"/>
  <c r="D55" i="3" s="1"/>
  <c r="B55" i="2"/>
  <c r="B55" i="3" s="1"/>
  <c r="A55" i="2"/>
  <c r="A55" i="3" s="1"/>
  <c r="W54" i="2" a="1"/>
  <c r="W54" i="2" s="1"/>
  <c r="AN54" i="3" s="1"/>
  <c r="V54" i="2" a="1"/>
  <c r="V54" i="2" s="1"/>
  <c r="AM54" i="3" s="1"/>
  <c r="T54" i="2" a="1"/>
  <c r="T54" i="2"/>
  <c r="K54" i="2"/>
  <c r="T54" i="3" s="1"/>
  <c r="J54" i="2"/>
  <c r="R54" i="3" s="1"/>
  <c r="I54" i="2"/>
  <c r="P54" i="3" s="1"/>
  <c r="H54" i="2"/>
  <c r="N54" i="3" s="1"/>
  <c r="G54" i="2"/>
  <c r="L54" i="3" s="1"/>
  <c r="F54" i="2"/>
  <c r="J54" i="3" s="1"/>
  <c r="E54" i="2"/>
  <c r="H54" i="3" s="1"/>
  <c r="D54" i="2"/>
  <c r="F54" i="3" s="1"/>
  <c r="C54" i="2"/>
  <c r="D54" i="3" s="1"/>
  <c r="B54" i="2"/>
  <c r="B54" i="3" s="1"/>
  <c r="A54" i="2"/>
  <c r="A54" i="3" s="1"/>
  <c r="W53" i="2" a="1"/>
  <c r="W53" i="2" s="1"/>
  <c r="AN53" i="3" s="1"/>
  <c r="V53" i="2" a="1"/>
  <c r="V53" i="2" s="1"/>
  <c r="AM53" i="3" s="1"/>
  <c r="T53" i="2" a="1"/>
  <c r="T53" i="2" s="1"/>
  <c r="K53" i="2"/>
  <c r="T53" i="3" s="1"/>
  <c r="J53" i="2"/>
  <c r="R53" i="3" s="1"/>
  <c r="I53" i="2"/>
  <c r="P53" i="3" s="1"/>
  <c r="H53" i="2"/>
  <c r="N53" i="3" s="1"/>
  <c r="G53" i="2"/>
  <c r="L53" i="3" s="1"/>
  <c r="F53" i="2"/>
  <c r="J53" i="3" s="1"/>
  <c r="E53" i="2"/>
  <c r="H53" i="3" s="1"/>
  <c r="D53" i="2"/>
  <c r="F53" i="3" s="1"/>
  <c r="C53" i="2"/>
  <c r="D53" i="3" s="1"/>
  <c r="B53" i="2"/>
  <c r="B53" i="3" s="1"/>
  <c r="A53" i="2"/>
  <c r="A53" i="3" s="1"/>
  <c r="W52" i="2" a="1"/>
  <c r="W52" i="2" s="1"/>
  <c r="AN52" i="3" s="1"/>
  <c r="V52" i="2" a="1"/>
  <c r="V52" i="2" s="1"/>
  <c r="AM52" i="3" s="1"/>
  <c r="T52" i="2" a="1"/>
  <c r="T52" i="2" s="1"/>
  <c r="K52" i="2"/>
  <c r="T52" i="3" s="1"/>
  <c r="J52" i="2"/>
  <c r="R52" i="3" s="1"/>
  <c r="I52" i="2"/>
  <c r="P52" i="3" s="1"/>
  <c r="H52" i="2"/>
  <c r="N52" i="3" s="1"/>
  <c r="G52" i="2"/>
  <c r="L52" i="3" s="1"/>
  <c r="F52" i="2"/>
  <c r="J52" i="3" s="1"/>
  <c r="E52" i="2"/>
  <c r="H52" i="3" s="1"/>
  <c r="D52" i="2"/>
  <c r="F52" i="3" s="1"/>
  <c r="C52" i="2"/>
  <c r="D52" i="3" s="1"/>
  <c r="B52" i="2"/>
  <c r="B52" i="3" s="1"/>
  <c r="A52" i="2"/>
  <c r="A52" i="3" s="1"/>
  <c r="W51" i="2" a="1"/>
  <c r="W51" i="2" s="1"/>
  <c r="AN51" i="3" s="1"/>
  <c r="V51" i="2" a="1"/>
  <c r="V51" i="2" s="1"/>
  <c r="AM51" i="3" s="1"/>
  <c r="T51" i="2" a="1"/>
  <c r="T51" i="2" s="1"/>
  <c r="K51" i="2"/>
  <c r="T51" i="3" s="1"/>
  <c r="J51" i="2"/>
  <c r="R51" i="3" s="1"/>
  <c r="I51" i="2"/>
  <c r="P51" i="3" s="1"/>
  <c r="H51" i="2"/>
  <c r="N51" i="3" s="1"/>
  <c r="G51" i="2"/>
  <c r="L51" i="3" s="1"/>
  <c r="F51" i="2"/>
  <c r="J51" i="3" s="1"/>
  <c r="E51" i="2"/>
  <c r="H51" i="3" s="1"/>
  <c r="D51" i="2"/>
  <c r="F51" i="3" s="1"/>
  <c r="C51" i="2"/>
  <c r="D51" i="3" s="1"/>
  <c r="B51" i="2"/>
  <c r="B51" i="3" s="1"/>
  <c r="A51" i="2"/>
  <c r="A51" i="3" s="1"/>
  <c r="W50" i="2" a="1"/>
  <c r="W50" i="2" s="1"/>
  <c r="AN50" i="3" s="1"/>
  <c r="V50" i="2" a="1"/>
  <c r="V50" i="2" s="1"/>
  <c r="AM50" i="3" s="1"/>
  <c r="T50" i="2" a="1"/>
  <c r="T50" i="2" s="1"/>
  <c r="K50" i="2"/>
  <c r="T50" i="3" s="1"/>
  <c r="J50" i="2"/>
  <c r="R50" i="3" s="1"/>
  <c r="I50" i="2"/>
  <c r="P50" i="3" s="1"/>
  <c r="H50" i="2"/>
  <c r="N50" i="3" s="1"/>
  <c r="G50" i="2"/>
  <c r="L50" i="3" s="1"/>
  <c r="F50" i="2"/>
  <c r="J50" i="3" s="1"/>
  <c r="E50" i="2"/>
  <c r="H50" i="3" s="1"/>
  <c r="D50" i="2"/>
  <c r="F50" i="3" s="1"/>
  <c r="C50" i="2"/>
  <c r="D50" i="3" s="1"/>
  <c r="B50" i="2"/>
  <c r="B50" i="3" s="1"/>
  <c r="A50" i="2"/>
  <c r="A50" i="3" s="1"/>
  <c r="W49" i="2" a="1"/>
  <c r="W49" i="2" s="1"/>
  <c r="AN49" i="3" s="1"/>
  <c r="V49" i="2" a="1"/>
  <c r="V49" i="2" s="1"/>
  <c r="AM49" i="3" s="1"/>
  <c r="T49" i="2" a="1"/>
  <c r="T49" i="2" s="1"/>
  <c r="K49" i="2"/>
  <c r="T49" i="3" s="1"/>
  <c r="J49" i="2"/>
  <c r="R49" i="3" s="1"/>
  <c r="I49" i="2"/>
  <c r="P49" i="3" s="1"/>
  <c r="H49" i="2"/>
  <c r="N49" i="3" s="1"/>
  <c r="G49" i="2"/>
  <c r="L49" i="3" s="1"/>
  <c r="F49" i="2"/>
  <c r="J49" i="3" s="1"/>
  <c r="E49" i="2"/>
  <c r="H49" i="3" s="1"/>
  <c r="D49" i="2"/>
  <c r="F49" i="3" s="1"/>
  <c r="C49" i="2"/>
  <c r="D49" i="3" s="1"/>
  <c r="B49" i="2"/>
  <c r="B49" i="3" s="1"/>
  <c r="A49" i="2"/>
  <c r="A49" i="3" s="1"/>
  <c r="W48" i="2" a="1"/>
  <c r="W48" i="2" s="1"/>
  <c r="AN48" i="3" s="1"/>
  <c r="V48" i="2" a="1"/>
  <c r="V48" i="2" s="1"/>
  <c r="AM48" i="3" s="1"/>
  <c r="T48" i="2" a="1"/>
  <c r="T48" i="2" s="1"/>
  <c r="K48" i="2"/>
  <c r="T48" i="3" s="1"/>
  <c r="J48" i="2"/>
  <c r="R48" i="3" s="1"/>
  <c r="I48" i="2"/>
  <c r="P48" i="3" s="1"/>
  <c r="H48" i="2"/>
  <c r="N48" i="3" s="1"/>
  <c r="G48" i="2"/>
  <c r="L48" i="3" s="1"/>
  <c r="F48" i="2"/>
  <c r="J48" i="3" s="1"/>
  <c r="E48" i="2"/>
  <c r="H48" i="3" s="1"/>
  <c r="D48" i="2"/>
  <c r="F48" i="3" s="1"/>
  <c r="C48" i="2"/>
  <c r="D48" i="3" s="1"/>
  <c r="B48" i="2"/>
  <c r="B48" i="3" s="1"/>
  <c r="A48" i="2"/>
  <c r="A48" i="3" s="1"/>
  <c r="W47" i="2" a="1"/>
  <c r="W47" i="2" s="1"/>
  <c r="AN47" i="3" s="1"/>
  <c r="V47" i="2" a="1"/>
  <c r="V47" i="2" s="1"/>
  <c r="AM47" i="3" s="1"/>
  <c r="T47" i="2" a="1"/>
  <c r="T47" i="2" s="1"/>
  <c r="K47" i="2"/>
  <c r="T47" i="3" s="1"/>
  <c r="J47" i="2"/>
  <c r="R47" i="3" s="1"/>
  <c r="I47" i="2"/>
  <c r="P47" i="3" s="1"/>
  <c r="H47" i="2"/>
  <c r="N47" i="3" s="1"/>
  <c r="G47" i="2"/>
  <c r="L47" i="3" s="1"/>
  <c r="F47" i="2"/>
  <c r="J47" i="3" s="1"/>
  <c r="E47" i="2"/>
  <c r="H47" i="3" s="1"/>
  <c r="D47" i="2"/>
  <c r="F47" i="3" s="1"/>
  <c r="C47" i="2"/>
  <c r="D47" i="3" s="1"/>
  <c r="B47" i="2"/>
  <c r="B47" i="3" s="1"/>
  <c r="A47" i="2"/>
  <c r="A47" i="3" s="1"/>
  <c r="W46" i="2" a="1"/>
  <c r="W46" i="2" s="1"/>
  <c r="AN46" i="3" s="1"/>
  <c r="V46" i="2" a="1"/>
  <c r="V46" i="2" s="1"/>
  <c r="AM46" i="3" s="1"/>
  <c r="T46" i="2" a="1"/>
  <c r="T46" i="2" s="1"/>
  <c r="K46" i="2"/>
  <c r="T46" i="3" s="1"/>
  <c r="J46" i="2"/>
  <c r="R46" i="3" s="1"/>
  <c r="I46" i="2"/>
  <c r="P46" i="3" s="1"/>
  <c r="H46" i="2"/>
  <c r="N46" i="3" s="1"/>
  <c r="G46" i="2"/>
  <c r="L46" i="3" s="1"/>
  <c r="F46" i="2"/>
  <c r="J46" i="3" s="1"/>
  <c r="E46" i="2"/>
  <c r="H46" i="3" s="1"/>
  <c r="D46" i="2"/>
  <c r="F46" i="3" s="1"/>
  <c r="C46" i="2"/>
  <c r="D46" i="3" s="1"/>
  <c r="B46" i="2"/>
  <c r="B46" i="3" s="1"/>
  <c r="A46" i="2"/>
  <c r="A46" i="3" s="1"/>
  <c r="W45" i="2" a="1"/>
  <c r="W45" i="2" s="1"/>
  <c r="AN45" i="3" s="1"/>
  <c r="V45" i="2" a="1"/>
  <c r="V45" i="2" s="1"/>
  <c r="AM45" i="3" s="1"/>
  <c r="T45" i="2" a="1"/>
  <c r="T45" i="2" s="1"/>
  <c r="K45" i="2"/>
  <c r="T45" i="3" s="1"/>
  <c r="J45" i="2"/>
  <c r="R45" i="3" s="1"/>
  <c r="I45" i="2"/>
  <c r="P45" i="3" s="1"/>
  <c r="H45" i="2"/>
  <c r="N45" i="3" s="1"/>
  <c r="G45" i="2"/>
  <c r="L45" i="3" s="1"/>
  <c r="F45" i="2"/>
  <c r="J45" i="3" s="1"/>
  <c r="E45" i="2"/>
  <c r="H45" i="3" s="1"/>
  <c r="D45" i="2"/>
  <c r="F45" i="3" s="1"/>
  <c r="C45" i="2"/>
  <c r="D45" i="3" s="1"/>
  <c r="B45" i="2"/>
  <c r="B45" i="3" s="1"/>
  <c r="A45" i="2"/>
  <c r="A45" i="3" s="1"/>
  <c r="W44" i="2" a="1"/>
  <c r="W44" i="2" s="1"/>
  <c r="AN44" i="3" s="1"/>
  <c r="V44" i="2" a="1"/>
  <c r="V44" i="2" s="1"/>
  <c r="AM44" i="3" s="1"/>
  <c r="T44" i="2" a="1"/>
  <c r="T44" i="2" s="1"/>
  <c r="K44" i="2"/>
  <c r="T44" i="3" s="1"/>
  <c r="J44" i="2"/>
  <c r="R44" i="3" s="1"/>
  <c r="I44" i="2"/>
  <c r="P44" i="3" s="1"/>
  <c r="H44" i="2"/>
  <c r="N44" i="3" s="1"/>
  <c r="G44" i="2"/>
  <c r="L44" i="3" s="1"/>
  <c r="F44" i="2"/>
  <c r="J44" i="3" s="1"/>
  <c r="E44" i="2"/>
  <c r="H44" i="3" s="1"/>
  <c r="D44" i="2"/>
  <c r="F44" i="3" s="1"/>
  <c r="C44" i="2"/>
  <c r="D44" i="3" s="1"/>
  <c r="B44" i="2"/>
  <c r="B44" i="3" s="1"/>
  <c r="A44" i="2"/>
  <c r="A44" i="3" s="1"/>
  <c r="W43" i="2" a="1"/>
  <c r="W43" i="2" s="1"/>
  <c r="AN43" i="3" s="1"/>
  <c r="V43" i="2" a="1"/>
  <c r="V43" i="2" s="1"/>
  <c r="AM43" i="3" s="1"/>
  <c r="T43" i="2" a="1"/>
  <c r="T43" i="2" s="1"/>
  <c r="K43" i="2"/>
  <c r="T43" i="3" s="1"/>
  <c r="J43" i="2"/>
  <c r="R43" i="3" s="1"/>
  <c r="I43" i="2"/>
  <c r="P43" i="3" s="1"/>
  <c r="H43" i="2"/>
  <c r="N43" i="3" s="1"/>
  <c r="G43" i="2"/>
  <c r="L43" i="3" s="1"/>
  <c r="F43" i="2"/>
  <c r="J43" i="3" s="1"/>
  <c r="E43" i="2"/>
  <c r="H43" i="3" s="1"/>
  <c r="D43" i="2"/>
  <c r="F43" i="3" s="1"/>
  <c r="C43" i="2"/>
  <c r="D43" i="3" s="1"/>
  <c r="B43" i="2"/>
  <c r="B43" i="3" s="1"/>
  <c r="A43" i="2"/>
  <c r="A43" i="3" s="1"/>
  <c r="W42" i="2" a="1"/>
  <c r="W42" i="2" s="1"/>
  <c r="AN42" i="3" s="1"/>
  <c r="V42" i="2" a="1"/>
  <c r="V42" i="2" s="1"/>
  <c r="AM42" i="3" s="1"/>
  <c r="T42" i="2" a="1"/>
  <c r="T42" i="2" s="1"/>
  <c r="K42" i="2"/>
  <c r="T42" i="3" s="1"/>
  <c r="J42" i="2"/>
  <c r="R42" i="3" s="1"/>
  <c r="I42" i="2"/>
  <c r="P42" i="3" s="1"/>
  <c r="H42" i="2"/>
  <c r="N42" i="3" s="1"/>
  <c r="G42" i="2"/>
  <c r="L42" i="3" s="1"/>
  <c r="F42" i="2"/>
  <c r="J42" i="3" s="1"/>
  <c r="E42" i="2"/>
  <c r="H42" i="3" s="1"/>
  <c r="D42" i="2"/>
  <c r="F42" i="3" s="1"/>
  <c r="C42" i="2"/>
  <c r="D42" i="3" s="1"/>
  <c r="B42" i="2"/>
  <c r="B42" i="3" s="1"/>
  <c r="A42" i="2"/>
  <c r="A42" i="3" s="1"/>
  <c r="W41" i="2" a="1"/>
  <c r="W41" i="2" s="1"/>
  <c r="AN41" i="3" s="1"/>
  <c r="V41" i="2" a="1"/>
  <c r="V41" i="2" s="1"/>
  <c r="AM41" i="3" s="1"/>
  <c r="T41" i="2" a="1"/>
  <c r="T41" i="2" s="1"/>
  <c r="K41" i="2"/>
  <c r="T41" i="3" s="1"/>
  <c r="J41" i="2"/>
  <c r="R41" i="3" s="1"/>
  <c r="I41" i="2"/>
  <c r="P41" i="3" s="1"/>
  <c r="H41" i="2"/>
  <c r="N41" i="3" s="1"/>
  <c r="G41" i="2"/>
  <c r="L41" i="3" s="1"/>
  <c r="F41" i="2"/>
  <c r="J41" i="3" s="1"/>
  <c r="E41" i="2"/>
  <c r="H41" i="3" s="1"/>
  <c r="D41" i="2"/>
  <c r="F41" i="3" s="1"/>
  <c r="C41" i="2"/>
  <c r="D41" i="3" s="1"/>
  <c r="B41" i="2"/>
  <c r="B41" i="3" s="1"/>
  <c r="A41" i="2"/>
  <c r="A41" i="3" s="1"/>
  <c r="W40" i="2" a="1"/>
  <c r="W40" i="2" s="1"/>
  <c r="AN40" i="3" s="1"/>
  <c r="V40" i="2" a="1"/>
  <c r="V40" i="2" s="1"/>
  <c r="AM40" i="3" s="1"/>
  <c r="T40" i="2" a="1"/>
  <c r="T40" i="2" s="1"/>
  <c r="K40" i="2"/>
  <c r="T40" i="3" s="1"/>
  <c r="J40" i="2"/>
  <c r="R40" i="3" s="1"/>
  <c r="I40" i="2"/>
  <c r="P40" i="3" s="1"/>
  <c r="H40" i="2"/>
  <c r="N40" i="3" s="1"/>
  <c r="G40" i="2"/>
  <c r="L40" i="3" s="1"/>
  <c r="F40" i="2"/>
  <c r="J40" i="3" s="1"/>
  <c r="E40" i="2"/>
  <c r="H40" i="3" s="1"/>
  <c r="D40" i="2"/>
  <c r="F40" i="3" s="1"/>
  <c r="C40" i="2"/>
  <c r="D40" i="3" s="1"/>
  <c r="B40" i="2"/>
  <c r="B40" i="3" s="1"/>
  <c r="A40" i="2"/>
  <c r="A40" i="3" s="1"/>
  <c r="W39" i="2" a="1"/>
  <c r="W39" i="2" s="1"/>
  <c r="AN39" i="3" s="1"/>
  <c r="V39" i="2" a="1"/>
  <c r="V39" i="2" s="1"/>
  <c r="AM39" i="3" s="1"/>
  <c r="T39" i="2" a="1"/>
  <c r="T39" i="2" s="1"/>
  <c r="K39" i="2"/>
  <c r="T39" i="3" s="1"/>
  <c r="J39" i="2"/>
  <c r="R39" i="3" s="1"/>
  <c r="I39" i="2"/>
  <c r="P39" i="3" s="1"/>
  <c r="H39" i="2"/>
  <c r="N39" i="3" s="1"/>
  <c r="G39" i="2"/>
  <c r="L39" i="3" s="1"/>
  <c r="F39" i="2"/>
  <c r="J39" i="3" s="1"/>
  <c r="E39" i="2"/>
  <c r="H39" i="3" s="1"/>
  <c r="D39" i="2"/>
  <c r="F39" i="3" s="1"/>
  <c r="C39" i="2"/>
  <c r="D39" i="3" s="1"/>
  <c r="B39" i="2"/>
  <c r="B39" i="3" s="1"/>
  <c r="A39" i="2"/>
  <c r="A39" i="3" s="1"/>
  <c r="W38" i="2" a="1"/>
  <c r="W38" i="2" s="1"/>
  <c r="AN38" i="3" s="1"/>
  <c r="V38" i="2" a="1"/>
  <c r="V38" i="2" s="1"/>
  <c r="AM38" i="3" s="1"/>
  <c r="T38" i="2" a="1"/>
  <c r="T38" i="2" s="1"/>
  <c r="K38" i="2"/>
  <c r="T38" i="3" s="1"/>
  <c r="J38" i="2"/>
  <c r="R38" i="3" s="1"/>
  <c r="I38" i="2"/>
  <c r="P38" i="3" s="1"/>
  <c r="H38" i="2"/>
  <c r="N38" i="3" s="1"/>
  <c r="G38" i="2"/>
  <c r="L38" i="3" s="1"/>
  <c r="F38" i="2"/>
  <c r="J38" i="3" s="1"/>
  <c r="E38" i="2"/>
  <c r="H38" i="3" s="1"/>
  <c r="D38" i="2"/>
  <c r="F38" i="3" s="1"/>
  <c r="C38" i="2"/>
  <c r="D38" i="3" s="1"/>
  <c r="B38" i="2"/>
  <c r="B38" i="3" s="1"/>
  <c r="A38" i="2"/>
  <c r="A38" i="3" s="1"/>
  <c r="W37" i="2" a="1"/>
  <c r="W37" i="2" s="1"/>
  <c r="AN37" i="3" s="1"/>
  <c r="V37" i="2" a="1"/>
  <c r="V37" i="2" s="1"/>
  <c r="AM37" i="3" s="1"/>
  <c r="T37" i="2" a="1"/>
  <c r="T37" i="2" s="1"/>
  <c r="K37" i="2"/>
  <c r="T37" i="3" s="1"/>
  <c r="J37" i="2"/>
  <c r="R37" i="3" s="1"/>
  <c r="I37" i="2"/>
  <c r="P37" i="3" s="1"/>
  <c r="H37" i="2"/>
  <c r="N37" i="3" s="1"/>
  <c r="G37" i="2"/>
  <c r="L37" i="3" s="1"/>
  <c r="F37" i="2"/>
  <c r="J37" i="3" s="1"/>
  <c r="E37" i="2"/>
  <c r="H37" i="3" s="1"/>
  <c r="D37" i="2"/>
  <c r="F37" i="3" s="1"/>
  <c r="C37" i="2"/>
  <c r="D37" i="3" s="1"/>
  <c r="B37" i="2"/>
  <c r="B37" i="3" s="1"/>
  <c r="A37" i="2"/>
  <c r="A37" i="3" s="1"/>
  <c r="W36" i="2" a="1"/>
  <c r="W36" i="2" s="1"/>
  <c r="AN36" i="3" s="1"/>
  <c r="V36" i="2" a="1"/>
  <c r="V36" i="2" s="1"/>
  <c r="AM36" i="3" s="1"/>
  <c r="T36" i="2" a="1"/>
  <c r="T36" i="2" s="1"/>
  <c r="K36" i="2"/>
  <c r="T36" i="3" s="1"/>
  <c r="J36" i="2"/>
  <c r="R36" i="3" s="1"/>
  <c r="I36" i="2"/>
  <c r="P36" i="3" s="1"/>
  <c r="H36" i="2"/>
  <c r="N36" i="3" s="1"/>
  <c r="G36" i="2"/>
  <c r="L36" i="3" s="1"/>
  <c r="F36" i="2"/>
  <c r="J36" i="3" s="1"/>
  <c r="E36" i="2"/>
  <c r="H36" i="3" s="1"/>
  <c r="D36" i="2"/>
  <c r="F36" i="3" s="1"/>
  <c r="C36" i="2"/>
  <c r="D36" i="3" s="1"/>
  <c r="B36" i="2"/>
  <c r="B36" i="3" s="1"/>
  <c r="A36" i="2"/>
  <c r="A36" i="3" s="1"/>
  <c r="W35" i="2" a="1"/>
  <c r="W35" i="2" s="1"/>
  <c r="AN35" i="3" s="1"/>
  <c r="V35" i="2" a="1"/>
  <c r="V35" i="2" s="1"/>
  <c r="AM35" i="3" s="1"/>
  <c r="T35" i="2" a="1"/>
  <c r="T35" i="2" s="1"/>
  <c r="K35" i="2"/>
  <c r="T35" i="3" s="1"/>
  <c r="J35" i="2"/>
  <c r="R35" i="3" s="1"/>
  <c r="I35" i="2"/>
  <c r="P35" i="3" s="1"/>
  <c r="H35" i="2"/>
  <c r="N35" i="3" s="1"/>
  <c r="G35" i="2"/>
  <c r="L35" i="3" s="1"/>
  <c r="F35" i="2"/>
  <c r="J35" i="3" s="1"/>
  <c r="E35" i="2"/>
  <c r="H35" i="3" s="1"/>
  <c r="D35" i="2"/>
  <c r="F35" i="3" s="1"/>
  <c r="C35" i="2"/>
  <c r="D35" i="3" s="1"/>
  <c r="B35" i="2"/>
  <c r="B35" i="3" s="1"/>
  <c r="A35" i="2"/>
  <c r="A35" i="3" s="1"/>
  <c r="W34" i="2" a="1"/>
  <c r="W34" i="2" s="1"/>
  <c r="AN34" i="3" s="1"/>
  <c r="V34" i="2" a="1"/>
  <c r="V34" i="2" s="1"/>
  <c r="AM34" i="3" s="1"/>
  <c r="T34" i="2" a="1"/>
  <c r="T34" i="2" s="1"/>
  <c r="K34" i="2"/>
  <c r="T34" i="3" s="1"/>
  <c r="J34" i="2"/>
  <c r="R34" i="3" s="1"/>
  <c r="I34" i="2"/>
  <c r="P34" i="3" s="1"/>
  <c r="H34" i="2"/>
  <c r="N34" i="3" s="1"/>
  <c r="G34" i="2"/>
  <c r="L34" i="3" s="1"/>
  <c r="F34" i="2"/>
  <c r="J34" i="3" s="1"/>
  <c r="E34" i="2"/>
  <c r="H34" i="3" s="1"/>
  <c r="D34" i="2"/>
  <c r="F34" i="3" s="1"/>
  <c r="C34" i="2"/>
  <c r="D34" i="3" s="1"/>
  <c r="B34" i="2"/>
  <c r="B34" i="3" s="1"/>
  <c r="A34" i="2"/>
  <c r="A34" i="3" s="1"/>
  <c r="W33" i="2" a="1"/>
  <c r="W33" i="2" s="1"/>
  <c r="AN33" i="3" s="1"/>
  <c r="V33" i="2" a="1"/>
  <c r="V33" i="2" s="1"/>
  <c r="AM33" i="3" s="1"/>
  <c r="T33" i="2" a="1"/>
  <c r="T33" i="2" s="1"/>
  <c r="K33" i="2"/>
  <c r="T33" i="3" s="1"/>
  <c r="J33" i="2"/>
  <c r="R33" i="3" s="1"/>
  <c r="I33" i="2"/>
  <c r="P33" i="3" s="1"/>
  <c r="H33" i="2"/>
  <c r="N33" i="3" s="1"/>
  <c r="G33" i="2"/>
  <c r="L33" i="3" s="1"/>
  <c r="F33" i="2"/>
  <c r="J33" i="3" s="1"/>
  <c r="E33" i="2"/>
  <c r="H33" i="3" s="1"/>
  <c r="D33" i="2"/>
  <c r="F33" i="3" s="1"/>
  <c r="C33" i="2"/>
  <c r="D33" i="3" s="1"/>
  <c r="B33" i="2"/>
  <c r="B33" i="3" s="1"/>
  <c r="A33" i="2"/>
  <c r="A33" i="3" s="1"/>
  <c r="W32" i="2" a="1"/>
  <c r="W32" i="2" s="1"/>
  <c r="AN32" i="3" s="1"/>
  <c r="V32" i="2" a="1"/>
  <c r="V32" i="2" s="1"/>
  <c r="AM32" i="3" s="1"/>
  <c r="T32" i="2" a="1"/>
  <c r="T32" i="2" s="1"/>
  <c r="K32" i="2"/>
  <c r="T32" i="3" s="1"/>
  <c r="J32" i="2"/>
  <c r="R32" i="3" s="1"/>
  <c r="I32" i="2"/>
  <c r="P32" i="3" s="1"/>
  <c r="H32" i="2"/>
  <c r="N32" i="3" s="1"/>
  <c r="G32" i="2"/>
  <c r="L32" i="3" s="1"/>
  <c r="F32" i="2"/>
  <c r="J32" i="3" s="1"/>
  <c r="E32" i="2"/>
  <c r="H32" i="3" s="1"/>
  <c r="D32" i="2"/>
  <c r="F32" i="3" s="1"/>
  <c r="C32" i="2"/>
  <c r="D32" i="3" s="1"/>
  <c r="B32" i="2"/>
  <c r="B32" i="3" s="1"/>
  <c r="A32" i="2"/>
  <c r="A32" i="3" s="1"/>
  <c r="W31" i="2" a="1"/>
  <c r="W31" i="2" s="1"/>
  <c r="AN31" i="3" s="1"/>
  <c r="V31" i="2" a="1"/>
  <c r="V31" i="2" s="1"/>
  <c r="AM31" i="3" s="1"/>
  <c r="T31" i="2" a="1"/>
  <c r="T31" i="2" s="1"/>
  <c r="K31" i="2"/>
  <c r="T31" i="3" s="1"/>
  <c r="J31" i="2"/>
  <c r="R31" i="3" s="1"/>
  <c r="I31" i="2"/>
  <c r="P31" i="3" s="1"/>
  <c r="H31" i="2"/>
  <c r="N31" i="3" s="1"/>
  <c r="G31" i="2"/>
  <c r="L31" i="3" s="1"/>
  <c r="F31" i="2"/>
  <c r="J31" i="3" s="1"/>
  <c r="E31" i="2"/>
  <c r="H31" i="3" s="1"/>
  <c r="D31" i="2"/>
  <c r="F31" i="3" s="1"/>
  <c r="C31" i="2"/>
  <c r="D31" i="3" s="1"/>
  <c r="B31" i="2"/>
  <c r="B31" i="3" s="1"/>
  <c r="A31" i="2"/>
  <c r="A31" i="3" s="1"/>
  <c r="W30" i="2" a="1"/>
  <c r="W30" i="2" s="1"/>
  <c r="AN30" i="3" s="1"/>
  <c r="V30" i="2" a="1"/>
  <c r="V30" i="2" s="1"/>
  <c r="AM30" i="3" s="1"/>
  <c r="T30" i="2" a="1"/>
  <c r="T30" i="2" s="1"/>
  <c r="K30" i="2"/>
  <c r="T30" i="3" s="1"/>
  <c r="J30" i="2"/>
  <c r="R30" i="3" s="1"/>
  <c r="I30" i="2"/>
  <c r="P30" i="3" s="1"/>
  <c r="H30" i="2"/>
  <c r="N30" i="3" s="1"/>
  <c r="G30" i="2"/>
  <c r="L30" i="3" s="1"/>
  <c r="F30" i="2"/>
  <c r="J30" i="3" s="1"/>
  <c r="E30" i="2"/>
  <c r="H30" i="3" s="1"/>
  <c r="D30" i="2"/>
  <c r="F30" i="3" s="1"/>
  <c r="C30" i="2"/>
  <c r="D30" i="3" s="1"/>
  <c r="B30" i="2"/>
  <c r="B30" i="3" s="1"/>
  <c r="A30" i="2"/>
  <c r="A30" i="3" s="1"/>
  <c r="W29" i="2" a="1"/>
  <c r="W29" i="2" s="1"/>
  <c r="AN29" i="3" s="1"/>
  <c r="V29" i="2" a="1"/>
  <c r="V29" i="2" s="1"/>
  <c r="AM29" i="3" s="1"/>
  <c r="T29" i="2" a="1"/>
  <c r="T29" i="2" s="1"/>
  <c r="K29" i="2"/>
  <c r="T29" i="3" s="1"/>
  <c r="J29" i="2"/>
  <c r="R29" i="3" s="1"/>
  <c r="I29" i="2"/>
  <c r="P29" i="3" s="1"/>
  <c r="H29" i="2"/>
  <c r="N29" i="3" s="1"/>
  <c r="G29" i="2"/>
  <c r="L29" i="3" s="1"/>
  <c r="F29" i="2"/>
  <c r="J29" i="3" s="1"/>
  <c r="E29" i="2"/>
  <c r="H29" i="3" s="1"/>
  <c r="D29" i="2"/>
  <c r="F29" i="3" s="1"/>
  <c r="C29" i="2"/>
  <c r="D29" i="3" s="1"/>
  <c r="B29" i="2"/>
  <c r="B29" i="3" s="1"/>
  <c r="A29" i="2"/>
  <c r="A29" i="3" s="1"/>
  <c r="W28" i="2" a="1"/>
  <c r="W28" i="2" s="1"/>
  <c r="AN28" i="3" s="1"/>
  <c r="V28" i="2" a="1"/>
  <c r="V28" i="2" s="1"/>
  <c r="AM28" i="3" s="1"/>
  <c r="T28" i="2" a="1"/>
  <c r="T28" i="2" s="1"/>
  <c r="K28" i="2"/>
  <c r="T28" i="3" s="1"/>
  <c r="J28" i="2"/>
  <c r="R28" i="3" s="1"/>
  <c r="I28" i="2"/>
  <c r="P28" i="3" s="1"/>
  <c r="H28" i="2"/>
  <c r="N28" i="3" s="1"/>
  <c r="G28" i="2"/>
  <c r="L28" i="3" s="1"/>
  <c r="F28" i="2"/>
  <c r="J28" i="3" s="1"/>
  <c r="E28" i="2"/>
  <c r="H28" i="3" s="1"/>
  <c r="D28" i="2"/>
  <c r="F28" i="3" s="1"/>
  <c r="C28" i="2"/>
  <c r="D28" i="3" s="1"/>
  <c r="B28" i="2"/>
  <c r="B28" i="3" s="1"/>
  <c r="A28" i="2"/>
  <c r="A28" i="3" s="1"/>
  <c r="W27" i="2" a="1"/>
  <c r="W27" i="2" s="1"/>
  <c r="AN27" i="3" s="1"/>
  <c r="V27" i="2" a="1"/>
  <c r="V27" i="2" s="1"/>
  <c r="AM27" i="3" s="1"/>
  <c r="T27" i="2" a="1"/>
  <c r="T27" i="2" s="1"/>
  <c r="K27" i="2"/>
  <c r="T27" i="3" s="1"/>
  <c r="J27" i="2"/>
  <c r="R27" i="3" s="1"/>
  <c r="I27" i="2"/>
  <c r="P27" i="3" s="1"/>
  <c r="H27" i="2"/>
  <c r="N27" i="3" s="1"/>
  <c r="G27" i="2"/>
  <c r="L27" i="3" s="1"/>
  <c r="F27" i="2"/>
  <c r="J27" i="3" s="1"/>
  <c r="E27" i="2"/>
  <c r="H27" i="3" s="1"/>
  <c r="D27" i="2"/>
  <c r="F27" i="3" s="1"/>
  <c r="C27" i="2"/>
  <c r="D27" i="3" s="1"/>
  <c r="B27" i="2"/>
  <c r="B27" i="3" s="1"/>
  <c r="A27" i="2"/>
  <c r="A27" i="3" s="1"/>
  <c r="W26" i="2" a="1"/>
  <c r="W26" i="2" s="1"/>
  <c r="AN26" i="3" s="1"/>
  <c r="V26" i="2" a="1"/>
  <c r="V26" i="2" s="1"/>
  <c r="AM26" i="3" s="1"/>
  <c r="T26" i="2" a="1"/>
  <c r="T26" i="2" s="1"/>
  <c r="K26" i="2"/>
  <c r="T26" i="3" s="1"/>
  <c r="J26" i="2"/>
  <c r="R26" i="3" s="1"/>
  <c r="I26" i="2"/>
  <c r="P26" i="3" s="1"/>
  <c r="H26" i="2"/>
  <c r="N26" i="3" s="1"/>
  <c r="G26" i="2"/>
  <c r="L26" i="3" s="1"/>
  <c r="F26" i="2"/>
  <c r="J26" i="3" s="1"/>
  <c r="E26" i="2"/>
  <c r="H26" i="3" s="1"/>
  <c r="D26" i="2"/>
  <c r="F26" i="3" s="1"/>
  <c r="C26" i="2"/>
  <c r="D26" i="3" s="1"/>
  <c r="B26" i="2"/>
  <c r="B26" i="3" s="1"/>
  <c r="A26" i="2"/>
  <c r="A26" i="3" s="1"/>
  <c r="W25" i="2" a="1"/>
  <c r="W25" i="2" s="1"/>
  <c r="AN25" i="3" s="1"/>
  <c r="V25" i="2" a="1"/>
  <c r="V25" i="2" s="1"/>
  <c r="AM25" i="3" s="1"/>
  <c r="T25" i="2" a="1"/>
  <c r="T25" i="2" s="1"/>
  <c r="K25" i="2"/>
  <c r="T25" i="3" s="1"/>
  <c r="J25" i="2"/>
  <c r="R25" i="3" s="1"/>
  <c r="I25" i="2"/>
  <c r="P25" i="3" s="1"/>
  <c r="H25" i="2"/>
  <c r="N25" i="3" s="1"/>
  <c r="G25" i="2"/>
  <c r="L25" i="3" s="1"/>
  <c r="F25" i="2"/>
  <c r="J25" i="3" s="1"/>
  <c r="E25" i="2"/>
  <c r="H25" i="3" s="1"/>
  <c r="D25" i="2"/>
  <c r="F25" i="3" s="1"/>
  <c r="C25" i="2"/>
  <c r="D25" i="3" s="1"/>
  <c r="B25" i="2"/>
  <c r="B25" i="3" s="1"/>
  <c r="A25" i="2"/>
  <c r="A25" i="3" s="1"/>
  <c r="W24" i="2" a="1"/>
  <c r="W24" i="2" s="1"/>
  <c r="AN24" i="3" s="1"/>
  <c r="V24" i="2" a="1"/>
  <c r="V24" i="2" s="1"/>
  <c r="AM24" i="3" s="1"/>
  <c r="T24" i="2" a="1"/>
  <c r="T24" i="2" s="1"/>
  <c r="K24" i="2"/>
  <c r="T24" i="3" s="1"/>
  <c r="J24" i="2"/>
  <c r="R24" i="3" s="1"/>
  <c r="I24" i="2"/>
  <c r="P24" i="3" s="1"/>
  <c r="H24" i="2"/>
  <c r="N24" i="3" s="1"/>
  <c r="G24" i="2"/>
  <c r="L24" i="3" s="1"/>
  <c r="F24" i="2"/>
  <c r="J24" i="3" s="1"/>
  <c r="E24" i="2"/>
  <c r="H24" i="3" s="1"/>
  <c r="D24" i="2"/>
  <c r="F24" i="3" s="1"/>
  <c r="C24" i="2"/>
  <c r="D24" i="3" s="1"/>
  <c r="B24" i="2"/>
  <c r="B24" i="3" s="1"/>
  <c r="A24" i="2"/>
  <c r="A24" i="3" s="1"/>
  <c r="W23" i="2" a="1"/>
  <c r="W23" i="2" s="1"/>
  <c r="AN23" i="3" s="1"/>
  <c r="V23" i="2" a="1"/>
  <c r="V23" i="2" s="1"/>
  <c r="AM23" i="3" s="1"/>
  <c r="T23" i="2" a="1"/>
  <c r="T23" i="2" s="1"/>
  <c r="K23" i="2"/>
  <c r="T23" i="3" s="1"/>
  <c r="J23" i="2"/>
  <c r="R23" i="3" s="1"/>
  <c r="I23" i="2"/>
  <c r="P23" i="3" s="1"/>
  <c r="H23" i="2"/>
  <c r="N23" i="3" s="1"/>
  <c r="G23" i="2"/>
  <c r="L23" i="3" s="1"/>
  <c r="F23" i="2"/>
  <c r="J23" i="3" s="1"/>
  <c r="E23" i="2"/>
  <c r="H23" i="3" s="1"/>
  <c r="D23" i="2"/>
  <c r="F23" i="3" s="1"/>
  <c r="C23" i="2"/>
  <c r="D23" i="3" s="1"/>
  <c r="B23" i="2"/>
  <c r="B23" i="3" s="1"/>
  <c r="A23" i="2"/>
  <c r="A23" i="3" s="1"/>
  <c r="W22" i="2" a="1"/>
  <c r="W22" i="2" s="1"/>
  <c r="AN22" i="3" s="1"/>
  <c r="V22" i="2" a="1"/>
  <c r="V22" i="2" s="1"/>
  <c r="AM22" i="3" s="1"/>
  <c r="T22" i="2" a="1"/>
  <c r="T22" i="2" s="1"/>
  <c r="K22" i="2"/>
  <c r="T22" i="3" s="1"/>
  <c r="J22" i="2"/>
  <c r="R22" i="3" s="1"/>
  <c r="I22" i="2"/>
  <c r="P22" i="3" s="1"/>
  <c r="H22" i="2"/>
  <c r="N22" i="3" s="1"/>
  <c r="G22" i="2"/>
  <c r="L22" i="3" s="1"/>
  <c r="F22" i="2"/>
  <c r="J22" i="3" s="1"/>
  <c r="E22" i="2"/>
  <c r="H22" i="3" s="1"/>
  <c r="D22" i="2"/>
  <c r="F22" i="3" s="1"/>
  <c r="C22" i="2"/>
  <c r="D22" i="3" s="1"/>
  <c r="B22" i="2"/>
  <c r="B22" i="3" s="1"/>
  <c r="A22" i="2"/>
  <c r="A22" i="3" s="1"/>
  <c r="W21" i="2" a="1"/>
  <c r="W21" i="2" s="1"/>
  <c r="AN21" i="3" s="1"/>
  <c r="V21" i="2" a="1"/>
  <c r="V21" i="2" s="1"/>
  <c r="AM21" i="3" s="1"/>
  <c r="T21" i="2" a="1"/>
  <c r="T21" i="2" s="1"/>
  <c r="K21" i="2"/>
  <c r="T21" i="3" s="1"/>
  <c r="J21" i="2"/>
  <c r="R21" i="3" s="1"/>
  <c r="I21" i="2"/>
  <c r="P21" i="3" s="1"/>
  <c r="H21" i="2"/>
  <c r="N21" i="3" s="1"/>
  <c r="G21" i="2"/>
  <c r="L21" i="3" s="1"/>
  <c r="F21" i="2"/>
  <c r="J21" i="3" s="1"/>
  <c r="E21" i="2"/>
  <c r="H21" i="3" s="1"/>
  <c r="D21" i="2"/>
  <c r="F21" i="3" s="1"/>
  <c r="C21" i="2"/>
  <c r="D21" i="3" s="1"/>
  <c r="B21" i="2"/>
  <c r="B21" i="3" s="1"/>
  <c r="A21" i="2"/>
  <c r="A21" i="3" s="1"/>
  <c r="W20" i="2" a="1"/>
  <c r="W20" i="2" s="1"/>
  <c r="AN20" i="3" s="1"/>
  <c r="V20" i="2" a="1"/>
  <c r="V20" i="2" s="1"/>
  <c r="AM20" i="3" s="1"/>
  <c r="T20" i="2" a="1"/>
  <c r="T20" i="2" s="1"/>
  <c r="K20" i="2"/>
  <c r="T20" i="3" s="1"/>
  <c r="J20" i="2"/>
  <c r="R20" i="3" s="1"/>
  <c r="I20" i="2"/>
  <c r="P20" i="3" s="1"/>
  <c r="H20" i="2"/>
  <c r="N20" i="3" s="1"/>
  <c r="G20" i="2"/>
  <c r="L20" i="3" s="1"/>
  <c r="F20" i="2"/>
  <c r="J20" i="3" s="1"/>
  <c r="E20" i="2"/>
  <c r="H20" i="3" s="1"/>
  <c r="D20" i="2"/>
  <c r="F20" i="3" s="1"/>
  <c r="C20" i="2"/>
  <c r="D20" i="3" s="1"/>
  <c r="B20" i="2"/>
  <c r="B20" i="3" s="1"/>
  <c r="A20" i="3"/>
  <c r="W19" i="2" a="1"/>
  <c r="W19" i="2" s="1"/>
  <c r="AN19" i="3" s="1"/>
  <c r="V19" i="2" a="1"/>
  <c r="V19" i="2" s="1"/>
  <c r="AM19" i="3" s="1"/>
  <c r="T19" i="2" a="1"/>
  <c r="T19" i="2" s="1"/>
  <c r="K19" i="2"/>
  <c r="T19" i="3" s="1"/>
  <c r="J19" i="2"/>
  <c r="R19" i="3" s="1"/>
  <c r="I19" i="2"/>
  <c r="P19" i="3" s="1"/>
  <c r="H19" i="2"/>
  <c r="N19" i="3" s="1"/>
  <c r="G19" i="2"/>
  <c r="L19" i="3" s="1"/>
  <c r="F19" i="2"/>
  <c r="J19" i="3" s="1"/>
  <c r="E19" i="2"/>
  <c r="H19" i="3" s="1"/>
  <c r="D19" i="2"/>
  <c r="F19" i="3" s="1"/>
  <c r="C19" i="2"/>
  <c r="D19" i="3" s="1"/>
  <c r="B19" i="2"/>
  <c r="B19" i="3" s="1"/>
  <c r="A19" i="2"/>
  <c r="A19" i="3" s="1"/>
  <c r="W18" i="2" a="1"/>
  <c r="W18" i="2" s="1"/>
  <c r="AN18" i="3" s="1"/>
  <c r="V18" i="2" a="1"/>
  <c r="V18" i="2" s="1"/>
  <c r="AM18" i="3" s="1"/>
  <c r="T18" i="2" a="1"/>
  <c r="T18" i="2" s="1"/>
  <c r="K18" i="2"/>
  <c r="T18" i="3" s="1"/>
  <c r="J18" i="2"/>
  <c r="R18" i="3" s="1"/>
  <c r="I18" i="2"/>
  <c r="P18" i="3" s="1"/>
  <c r="H18" i="2"/>
  <c r="N18" i="3" s="1"/>
  <c r="G18" i="2"/>
  <c r="L18" i="3" s="1"/>
  <c r="F18" i="2"/>
  <c r="J18" i="3" s="1"/>
  <c r="E18" i="2"/>
  <c r="H18" i="3" s="1"/>
  <c r="D18" i="2"/>
  <c r="F18" i="3" s="1"/>
  <c r="C18" i="2"/>
  <c r="D18" i="3" s="1"/>
  <c r="B18" i="2"/>
  <c r="B18" i="3" s="1"/>
  <c r="A18" i="2"/>
  <c r="A18" i="3" s="1"/>
  <c r="W17" i="2" a="1"/>
  <c r="W17" i="2" s="1"/>
  <c r="AN17" i="3" s="1"/>
  <c r="V17" i="2" a="1"/>
  <c r="V17" i="2" s="1"/>
  <c r="AM17" i="3" s="1"/>
  <c r="T17" i="2" a="1"/>
  <c r="T17" i="2" s="1"/>
  <c r="K17" i="2"/>
  <c r="T17" i="3" s="1"/>
  <c r="J17" i="2"/>
  <c r="R17" i="3" s="1"/>
  <c r="I17" i="2"/>
  <c r="P17" i="3" s="1"/>
  <c r="H17" i="2"/>
  <c r="N17" i="3" s="1"/>
  <c r="G17" i="2"/>
  <c r="L17" i="3" s="1"/>
  <c r="F17" i="2"/>
  <c r="J17" i="3" s="1"/>
  <c r="E17" i="2"/>
  <c r="H17" i="3" s="1"/>
  <c r="D17" i="2"/>
  <c r="F17" i="3" s="1"/>
  <c r="C17" i="2"/>
  <c r="D17" i="3" s="1"/>
  <c r="B17" i="2"/>
  <c r="B17" i="3" s="1"/>
  <c r="A17" i="2"/>
  <c r="A17" i="3" s="1"/>
  <c r="W16" i="2" a="1"/>
  <c r="W16" i="2" s="1"/>
  <c r="AN16" i="3" s="1"/>
  <c r="V16" i="2" a="1"/>
  <c r="V16" i="2" s="1"/>
  <c r="AM16" i="3" s="1"/>
  <c r="T16" i="2" a="1"/>
  <c r="T16" i="2" s="1"/>
  <c r="K16" i="2"/>
  <c r="T16" i="3" s="1"/>
  <c r="J16" i="2"/>
  <c r="R16" i="3" s="1"/>
  <c r="I16" i="2"/>
  <c r="P16" i="3" s="1"/>
  <c r="H16" i="2"/>
  <c r="N16" i="3" s="1"/>
  <c r="G16" i="2"/>
  <c r="L16" i="3" s="1"/>
  <c r="F16" i="2"/>
  <c r="J16" i="3" s="1"/>
  <c r="E16" i="2"/>
  <c r="H16" i="3" s="1"/>
  <c r="F16" i="3"/>
  <c r="C16" i="2"/>
  <c r="D16" i="3" s="1"/>
  <c r="B16" i="2"/>
  <c r="B16" i="3" s="1"/>
  <c r="A16" i="3"/>
  <c r="W15" i="2" a="1"/>
  <c r="W15" i="2" s="1"/>
  <c r="AN15" i="3" s="1"/>
  <c r="V15" i="2" a="1"/>
  <c r="V15" i="2" s="1"/>
  <c r="AM15" i="3" s="1"/>
  <c r="T15" i="2" a="1"/>
  <c r="T15" i="2" s="1"/>
  <c r="K15" i="2"/>
  <c r="T15" i="3" s="1"/>
  <c r="J15" i="2"/>
  <c r="R15" i="3" s="1"/>
  <c r="I15" i="2"/>
  <c r="P15" i="3" s="1"/>
  <c r="H15" i="2"/>
  <c r="N15" i="3" s="1"/>
  <c r="G15" i="2"/>
  <c r="L15" i="3" s="1"/>
  <c r="F15" i="2"/>
  <c r="J15" i="3" s="1"/>
  <c r="E15" i="2"/>
  <c r="H15" i="3" s="1"/>
  <c r="D15" i="2"/>
  <c r="F15" i="3" s="1"/>
  <c r="C15" i="2"/>
  <c r="D15" i="3" s="1"/>
  <c r="B15" i="2"/>
  <c r="B15" i="3" s="1"/>
  <c r="A15" i="2"/>
  <c r="A15" i="3" s="1"/>
  <c r="W14" i="2" a="1"/>
  <c r="W14" i="2" s="1"/>
  <c r="AN14" i="3" s="1"/>
  <c r="V14" i="2" a="1"/>
  <c r="V14" i="2" s="1"/>
  <c r="AM14" i="3" s="1"/>
  <c r="T14" i="2" a="1"/>
  <c r="T14" i="2" s="1"/>
  <c r="K14" i="2"/>
  <c r="T14" i="3" s="1"/>
  <c r="J14" i="2"/>
  <c r="R14" i="3" s="1"/>
  <c r="I14" i="2"/>
  <c r="P14" i="3" s="1"/>
  <c r="H14" i="2"/>
  <c r="N14" i="3" s="1"/>
  <c r="G14" i="2"/>
  <c r="L14" i="3" s="1"/>
  <c r="F14" i="2"/>
  <c r="J14" i="3" s="1"/>
  <c r="E14" i="2"/>
  <c r="H14" i="3" s="1"/>
  <c r="F14" i="3"/>
  <c r="C14" i="2"/>
  <c r="D14" i="3" s="1"/>
  <c r="B14" i="2"/>
  <c r="B14" i="3" s="1"/>
  <c r="A14" i="2"/>
  <c r="A14" i="3" s="1"/>
  <c r="W13" i="2" a="1"/>
  <c r="W13" i="2" s="1"/>
  <c r="AN13" i="3" s="1"/>
  <c r="V13" i="2" a="1"/>
  <c r="V13" i="2" s="1"/>
  <c r="AM13" i="3" s="1"/>
  <c r="T13" i="2" a="1"/>
  <c r="T13" i="2" s="1"/>
  <c r="K13" i="2"/>
  <c r="T13" i="3" s="1"/>
  <c r="J13" i="2"/>
  <c r="R13" i="3" s="1"/>
  <c r="I13" i="2"/>
  <c r="P13" i="3" s="1"/>
  <c r="H13" i="2"/>
  <c r="N13" i="3" s="1"/>
  <c r="G13" i="2"/>
  <c r="L13" i="3" s="1"/>
  <c r="F13" i="2"/>
  <c r="J13" i="3" s="1"/>
  <c r="E13" i="2"/>
  <c r="H13" i="3" s="1"/>
  <c r="F13" i="3"/>
  <c r="C13" i="2"/>
  <c r="D13" i="3" s="1"/>
  <c r="B13" i="2"/>
  <c r="B13" i="3" s="1"/>
  <c r="A13" i="2"/>
  <c r="A13" i="3" s="1"/>
  <c r="W12" i="2" a="1"/>
  <c r="W12" i="2" s="1"/>
  <c r="AN12" i="3" s="1"/>
  <c r="V12" i="2" a="1"/>
  <c r="V12" i="2" s="1"/>
  <c r="AM12" i="3" s="1"/>
  <c r="T12" i="2" a="1"/>
  <c r="T12" i="2" s="1"/>
  <c r="K12" i="2"/>
  <c r="T12" i="3" s="1"/>
  <c r="J12" i="2"/>
  <c r="R12" i="3" s="1"/>
  <c r="I12" i="2"/>
  <c r="P12" i="3" s="1"/>
  <c r="H12" i="2"/>
  <c r="N12" i="3" s="1"/>
  <c r="G12" i="2"/>
  <c r="L12" i="3" s="1"/>
  <c r="F12" i="2"/>
  <c r="J12" i="3" s="1"/>
  <c r="E12" i="2"/>
  <c r="H12" i="3" s="1"/>
  <c r="D12" i="2"/>
  <c r="F12" i="3" s="1"/>
  <c r="C12" i="2"/>
  <c r="D12" i="3" s="1"/>
  <c r="B12" i="2"/>
  <c r="B12" i="3" s="1"/>
  <c r="A12" i="2"/>
  <c r="A12" i="3" s="1"/>
  <c r="W11" i="2" a="1"/>
  <c r="W11" i="2" s="1"/>
  <c r="AN11" i="3" s="1"/>
  <c r="V11" i="2" a="1"/>
  <c r="V11" i="2" s="1"/>
  <c r="AM11" i="3" s="1"/>
  <c r="T11" i="2" a="1"/>
  <c r="T11" i="2" s="1"/>
  <c r="K11" i="2"/>
  <c r="T11" i="3" s="1"/>
  <c r="J11" i="2"/>
  <c r="R11" i="3" s="1"/>
  <c r="I11" i="2"/>
  <c r="P11" i="3" s="1"/>
  <c r="H11" i="2"/>
  <c r="N11" i="3" s="1"/>
  <c r="G11" i="2"/>
  <c r="L11" i="3" s="1"/>
  <c r="F11" i="2"/>
  <c r="J11" i="3" s="1"/>
  <c r="E11" i="2"/>
  <c r="H11" i="3" s="1"/>
  <c r="D11" i="2"/>
  <c r="F11" i="3" s="1"/>
  <c r="C11" i="2"/>
  <c r="D11" i="3" s="1"/>
  <c r="B11" i="2"/>
  <c r="B11" i="3" s="1"/>
  <c r="A11" i="2"/>
  <c r="A11" i="3" s="1"/>
  <c r="W10" i="2" a="1"/>
  <c r="W10" i="2" s="1"/>
  <c r="AN10" i="3" s="1"/>
  <c r="V10" i="2" a="1"/>
  <c r="V10" i="2" s="1"/>
  <c r="AM10" i="3" s="1"/>
  <c r="T10" i="2" a="1"/>
  <c r="T10" i="2" s="1"/>
  <c r="K10" i="2"/>
  <c r="T10" i="3" s="1"/>
  <c r="J10" i="2"/>
  <c r="R10" i="3" s="1"/>
  <c r="I10" i="2"/>
  <c r="P10" i="3" s="1"/>
  <c r="H10" i="2"/>
  <c r="N10" i="3" s="1"/>
  <c r="G10" i="2"/>
  <c r="L10" i="3" s="1"/>
  <c r="F10" i="2"/>
  <c r="J10" i="3" s="1"/>
  <c r="E10" i="2"/>
  <c r="H10" i="3" s="1"/>
  <c r="D10" i="2"/>
  <c r="F10" i="3" s="1"/>
  <c r="C10" i="2"/>
  <c r="D10" i="3" s="1"/>
  <c r="B10" i="2"/>
  <c r="B10" i="3" s="1"/>
  <c r="A10" i="2"/>
  <c r="A10" i="3" s="1"/>
  <c r="W9" i="2" a="1"/>
  <c r="W9" i="2" s="1"/>
  <c r="AN9" i="3" s="1"/>
  <c r="V9" i="2" a="1"/>
  <c r="V9" i="2" s="1"/>
  <c r="AM9" i="3" s="1"/>
  <c r="T9" i="2" a="1"/>
  <c r="T9" i="2" s="1"/>
  <c r="K9" i="2"/>
  <c r="T9" i="3" s="1"/>
  <c r="J9" i="2"/>
  <c r="R9" i="3" s="1"/>
  <c r="I9" i="2"/>
  <c r="P9" i="3" s="1"/>
  <c r="H9" i="2"/>
  <c r="N9" i="3" s="1"/>
  <c r="G9" i="2"/>
  <c r="L9" i="3" s="1"/>
  <c r="F9" i="2"/>
  <c r="J9" i="3" s="1"/>
  <c r="E9" i="2"/>
  <c r="H9" i="3" s="1"/>
  <c r="D9" i="2"/>
  <c r="F9" i="3" s="1"/>
  <c r="C9" i="2"/>
  <c r="D9" i="3" s="1"/>
  <c r="B9" i="2"/>
  <c r="B9" i="3" s="1"/>
  <c r="A9" i="2"/>
  <c r="A9" i="3" s="1"/>
  <c r="W8" i="2" a="1"/>
  <c r="W8" i="2" s="1"/>
  <c r="AN8" i="3" s="1"/>
  <c r="V8" i="2" a="1"/>
  <c r="V8" i="2" s="1"/>
  <c r="AM8" i="3" s="1"/>
  <c r="T8" i="2" a="1"/>
  <c r="T8" i="2" s="1"/>
  <c r="K8" i="2"/>
  <c r="T8" i="3" s="1"/>
  <c r="J8" i="2"/>
  <c r="R8" i="3" s="1"/>
  <c r="I8" i="2"/>
  <c r="P8" i="3" s="1"/>
  <c r="H8" i="2"/>
  <c r="N8" i="3" s="1"/>
  <c r="G8" i="2"/>
  <c r="L8" i="3" s="1"/>
  <c r="F8" i="2"/>
  <c r="J8" i="3" s="1"/>
  <c r="E8" i="2"/>
  <c r="H8" i="3" s="1"/>
  <c r="D8" i="2"/>
  <c r="F8" i="3" s="1"/>
  <c r="C8" i="2"/>
  <c r="D8" i="3" s="1"/>
  <c r="B8" i="2"/>
  <c r="B8" i="3" s="1"/>
  <c r="A8" i="2"/>
  <c r="A8" i="3" s="1"/>
  <c r="W7" i="2" a="1"/>
  <c r="W7" i="2" s="1"/>
  <c r="AN7" i="3" s="1"/>
  <c r="V7" i="2" a="1"/>
  <c r="V7" i="2" s="1"/>
  <c r="AM7" i="3" s="1"/>
  <c r="T7" i="2" a="1"/>
  <c r="T7" i="2" s="1"/>
  <c r="K7" i="2"/>
  <c r="T7" i="3" s="1"/>
  <c r="J7" i="2"/>
  <c r="R7" i="3" s="1"/>
  <c r="I7" i="2"/>
  <c r="P7" i="3" s="1"/>
  <c r="H7" i="2"/>
  <c r="N7" i="3" s="1"/>
  <c r="G7" i="2"/>
  <c r="L7" i="3" s="1"/>
  <c r="F7" i="2"/>
  <c r="J7" i="3" s="1"/>
  <c r="E7" i="2"/>
  <c r="H7" i="3" s="1"/>
  <c r="D7" i="2"/>
  <c r="F7" i="3" s="1"/>
  <c r="C7" i="2"/>
  <c r="D7" i="3" s="1"/>
  <c r="B7" i="2"/>
  <c r="B7" i="3" s="1"/>
  <c r="A7" i="2"/>
  <c r="A7" i="3" s="1"/>
  <c r="W6" i="2" a="1"/>
  <c r="W6" i="2" s="1"/>
  <c r="AN6" i="3" s="1"/>
  <c r="V6" i="2" a="1"/>
  <c r="V6" i="2"/>
  <c r="AM6" i="3" s="1"/>
  <c r="T6" i="2" a="1"/>
  <c r="T6" i="2" s="1"/>
  <c r="K6" i="2"/>
  <c r="T6" i="3" s="1"/>
  <c r="J6" i="2"/>
  <c r="R6" i="3" s="1"/>
  <c r="I6" i="2"/>
  <c r="P6" i="3" s="1"/>
  <c r="H6" i="2"/>
  <c r="N6" i="3" s="1"/>
  <c r="G6" i="2"/>
  <c r="L6" i="3" s="1"/>
  <c r="F6" i="2"/>
  <c r="J6" i="3" s="1"/>
  <c r="E6" i="2"/>
  <c r="H6" i="3" s="1"/>
  <c r="D6" i="2"/>
  <c r="F6" i="3" s="1"/>
  <c r="C6" i="2"/>
  <c r="D6" i="3" s="1"/>
  <c r="B6" i="2"/>
  <c r="B6" i="3" s="1"/>
  <c r="A6" i="2"/>
  <c r="A6" i="3" s="1"/>
  <c r="A4" i="2"/>
  <c r="V2" i="2"/>
  <c r="A2" i="2"/>
  <c r="M3" i="2" a="1"/>
  <c r="A106" i="2" l="1"/>
  <c r="M3" i="2"/>
  <c r="N4" i="2" s="1" a="1"/>
  <c r="N4" i="2" s="1"/>
  <c r="L54" i="2"/>
  <c r="AL31" i="3"/>
  <c r="AJ31" i="3"/>
  <c r="AL47" i="3"/>
  <c r="AJ47" i="3"/>
  <c r="AL63" i="3"/>
  <c r="AJ63" i="3"/>
  <c r="AL121" i="3"/>
  <c r="AJ121" i="3"/>
  <c r="AL27" i="3"/>
  <c r="AJ27" i="3"/>
  <c r="AL43" i="3"/>
  <c r="AJ43" i="3"/>
  <c r="AL59" i="3"/>
  <c r="AJ59" i="3"/>
  <c r="AL75" i="3"/>
  <c r="AJ75" i="3"/>
  <c r="AL91" i="3"/>
  <c r="AJ91" i="3"/>
  <c r="AL107" i="3"/>
  <c r="AJ107" i="3"/>
  <c r="AL109" i="3"/>
  <c r="AJ109" i="3"/>
  <c r="AL79" i="3"/>
  <c r="AJ79" i="3"/>
  <c r="AL9" i="3"/>
  <c r="AJ9" i="3"/>
  <c r="AL25" i="3"/>
  <c r="AJ25" i="3"/>
  <c r="AL41" i="3"/>
  <c r="AJ41" i="3"/>
  <c r="AL57" i="3"/>
  <c r="AJ57" i="3"/>
  <c r="AL73" i="3"/>
  <c r="AJ73" i="3"/>
  <c r="AL89" i="3"/>
  <c r="AJ89" i="3"/>
  <c r="AL105" i="3"/>
  <c r="AJ105" i="3"/>
  <c r="AL129" i="3"/>
  <c r="AJ129" i="3"/>
  <c r="AL141" i="3"/>
  <c r="AJ141" i="3"/>
  <c r="AL133" i="3"/>
  <c r="AJ133" i="3"/>
  <c r="AL23" i="3"/>
  <c r="AJ23" i="3"/>
  <c r="AL39" i="3"/>
  <c r="AJ39" i="3"/>
  <c r="AL55" i="3"/>
  <c r="AJ55" i="3"/>
  <c r="AL71" i="3"/>
  <c r="AJ71" i="3"/>
  <c r="AL87" i="3"/>
  <c r="AJ87" i="3"/>
  <c r="AL103" i="3"/>
  <c r="AJ103" i="3"/>
  <c r="AL139" i="3"/>
  <c r="AJ139" i="3"/>
  <c r="AL53" i="3"/>
  <c r="AJ53" i="3"/>
  <c r="AL69" i="3"/>
  <c r="AJ69" i="3"/>
  <c r="AL85" i="3"/>
  <c r="AJ85" i="3"/>
  <c r="AL101" i="3"/>
  <c r="AJ101" i="3"/>
  <c r="AL125" i="3"/>
  <c r="AJ125" i="3"/>
  <c r="AL117" i="3"/>
  <c r="AJ117" i="3"/>
  <c r="AL37" i="3"/>
  <c r="AJ37" i="3"/>
  <c r="AL19" i="3"/>
  <c r="AJ19" i="3"/>
  <c r="AL35" i="3"/>
  <c r="AJ35" i="3"/>
  <c r="AL51" i="3"/>
  <c r="AJ51" i="3"/>
  <c r="AL67" i="3"/>
  <c r="AJ67" i="3"/>
  <c r="AL83" i="3"/>
  <c r="AJ83" i="3"/>
  <c r="AL99" i="3"/>
  <c r="AJ99" i="3"/>
  <c r="AL123" i="3"/>
  <c r="AJ123" i="3"/>
  <c r="AL137" i="3"/>
  <c r="AJ137" i="3"/>
  <c r="AL95" i="3"/>
  <c r="AJ95" i="3"/>
  <c r="AL11" i="3"/>
  <c r="AJ11" i="3"/>
  <c r="AL7" i="3"/>
  <c r="AJ7" i="3"/>
  <c r="AL21" i="3"/>
  <c r="AJ21" i="3"/>
  <c r="V3" i="3"/>
  <c r="X4" i="3" s="1"/>
  <c r="L120" i="2"/>
  <c r="V120" i="3" s="1"/>
  <c r="L112" i="2"/>
  <c r="V112" i="3" s="1"/>
  <c r="L104" i="2"/>
  <c r="V104" i="3" s="1"/>
  <c r="L96" i="2"/>
  <c r="V96" i="3" s="1"/>
  <c r="L88" i="2"/>
  <c r="V88" i="3" s="1"/>
  <c r="L80" i="2"/>
  <c r="V80" i="3" s="1"/>
  <c r="L72" i="2"/>
  <c r="V72" i="3" s="1"/>
  <c r="L64" i="2"/>
  <c r="V64" i="3" s="1"/>
  <c r="L56" i="2"/>
  <c r="V56" i="3" s="1"/>
  <c r="L48" i="2"/>
  <c r="V48" i="3" s="1"/>
  <c r="L40" i="2"/>
  <c r="V40" i="3" s="1"/>
  <c r="L32" i="2"/>
  <c r="V32" i="3" s="1"/>
  <c r="L24" i="2"/>
  <c r="V24" i="3" s="1"/>
  <c r="L16" i="2"/>
  <c r="V16" i="3" s="1"/>
  <c r="L8" i="2"/>
  <c r="V8" i="3" s="1"/>
  <c r="L119" i="2"/>
  <c r="V119" i="3" s="1"/>
  <c r="L111" i="2"/>
  <c r="V111" i="3" s="1"/>
  <c r="L103" i="2"/>
  <c r="V103" i="3" s="1"/>
  <c r="L95" i="2"/>
  <c r="V95" i="3" s="1"/>
  <c r="L87" i="2"/>
  <c r="V87" i="3" s="1"/>
  <c r="L79" i="2"/>
  <c r="V79" i="3" s="1"/>
  <c r="L71" i="2"/>
  <c r="V71" i="3" s="1"/>
  <c r="L63" i="2"/>
  <c r="V63" i="3" s="1"/>
  <c r="L55" i="2"/>
  <c r="V55" i="3" s="1"/>
  <c r="L47" i="2"/>
  <c r="V47" i="3" s="1"/>
  <c r="L39" i="2"/>
  <c r="V39" i="3" s="1"/>
  <c r="L31" i="2"/>
  <c r="V31" i="3" s="1"/>
  <c r="L23" i="2"/>
  <c r="V23" i="3" s="1"/>
  <c r="L15" i="2"/>
  <c r="V15" i="3" s="1"/>
  <c r="L7" i="2"/>
  <c r="V7" i="3" s="1"/>
  <c r="L118" i="2"/>
  <c r="V118" i="3" s="1"/>
  <c r="L110" i="2"/>
  <c r="V110" i="3" s="1"/>
  <c r="L102" i="2"/>
  <c r="V102" i="3" s="1"/>
  <c r="L94" i="2"/>
  <c r="V94" i="3" s="1"/>
  <c r="L86" i="2"/>
  <c r="V86" i="3" s="1"/>
  <c r="L78" i="2"/>
  <c r="V78" i="3" s="1"/>
  <c r="L70" i="2"/>
  <c r="V70" i="3" s="1"/>
  <c r="L62" i="2"/>
  <c r="V62" i="3" s="1"/>
  <c r="V54" i="3"/>
  <c r="L46" i="2"/>
  <c r="V46" i="3" s="1"/>
  <c r="L38" i="2"/>
  <c r="V38" i="3" s="1"/>
  <c r="L30" i="2"/>
  <c r="V30" i="3" s="1"/>
  <c r="L22" i="2"/>
  <c r="V22" i="3" s="1"/>
  <c r="L14" i="2"/>
  <c r="V14" i="3" s="1"/>
  <c r="L117" i="2"/>
  <c r="V117" i="3" s="1"/>
  <c r="L109" i="2"/>
  <c r="V109" i="3" s="1"/>
  <c r="L101" i="2"/>
  <c r="V101" i="3" s="1"/>
  <c r="L93" i="2"/>
  <c r="V93" i="3" s="1"/>
  <c r="L85" i="2"/>
  <c r="V85" i="3" s="1"/>
  <c r="L77" i="2"/>
  <c r="V77" i="3" s="1"/>
  <c r="L69" i="2"/>
  <c r="V69" i="3" s="1"/>
  <c r="L61" i="2"/>
  <c r="V61" i="3" s="1"/>
  <c r="L53" i="2"/>
  <c r="V53" i="3" s="1"/>
  <c r="L45" i="2"/>
  <c r="V45" i="3" s="1"/>
  <c r="L37" i="2"/>
  <c r="V37" i="3" s="1"/>
  <c r="L29" i="2"/>
  <c r="V29" i="3" s="1"/>
  <c r="L21" i="2"/>
  <c r="V21" i="3" s="1"/>
  <c r="L13" i="2"/>
  <c r="V13" i="3" s="1"/>
  <c r="L124" i="2"/>
  <c r="V124" i="3" s="1"/>
  <c r="L116" i="2"/>
  <c r="V116" i="3" s="1"/>
  <c r="L108" i="2"/>
  <c r="V108" i="3" s="1"/>
  <c r="L100" i="2"/>
  <c r="V100" i="3" s="1"/>
  <c r="L92" i="2"/>
  <c r="V92" i="3" s="1"/>
  <c r="L84" i="2"/>
  <c r="V84" i="3" s="1"/>
  <c r="L76" i="2"/>
  <c r="V76" i="3" s="1"/>
  <c r="L68" i="2"/>
  <c r="V68" i="3" s="1"/>
  <c r="L60" i="2"/>
  <c r="V60" i="3" s="1"/>
  <c r="L52" i="2"/>
  <c r="V52" i="3" s="1"/>
  <c r="L44" i="2"/>
  <c r="V44" i="3" s="1"/>
  <c r="L36" i="2"/>
  <c r="V36" i="3" s="1"/>
  <c r="L28" i="2"/>
  <c r="V28" i="3" s="1"/>
  <c r="L20" i="2"/>
  <c r="V20" i="3" s="1"/>
  <c r="L12" i="2"/>
  <c r="V12" i="3" s="1"/>
  <c r="L123" i="2"/>
  <c r="V123" i="3" s="1"/>
  <c r="L115" i="2"/>
  <c r="V115" i="3" s="1"/>
  <c r="L107" i="2"/>
  <c r="V107" i="3" s="1"/>
  <c r="L99" i="2"/>
  <c r="V99" i="3" s="1"/>
  <c r="L91" i="2"/>
  <c r="V91" i="3" s="1"/>
  <c r="L83" i="2"/>
  <c r="V83" i="3" s="1"/>
  <c r="L75" i="2"/>
  <c r="V75" i="3" s="1"/>
  <c r="L67" i="2"/>
  <c r="V67" i="3" s="1"/>
  <c r="L59" i="2"/>
  <c r="V59" i="3" s="1"/>
  <c r="L51" i="2"/>
  <c r="V51" i="3" s="1"/>
  <c r="L43" i="2"/>
  <c r="V43" i="3" s="1"/>
  <c r="L35" i="2"/>
  <c r="V35" i="3" s="1"/>
  <c r="L27" i="2"/>
  <c r="V27" i="3" s="1"/>
  <c r="L19" i="2"/>
  <c r="V19" i="3" s="1"/>
  <c r="L11" i="2"/>
  <c r="V11" i="3" s="1"/>
  <c r="L122" i="2"/>
  <c r="V122" i="3" s="1"/>
  <c r="L114" i="2"/>
  <c r="V114" i="3" s="1"/>
  <c r="L106" i="2"/>
  <c r="V106" i="3" s="1"/>
  <c r="L98" i="2"/>
  <c r="V98" i="3" s="1"/>
  <c r="L90" i="2"/>
  <c r="V90" i="3" s="1"/>
  <c r="L82" i="2"/>
  <c r="V82" i="3" s="1"/>
  <c r="L74" i="2"/>
  <c r="V74" i="3" s="1"/>
  <c r="L66" i="2"/>
  <c r="V66" i="3" s="1"/>
  <c r="L58" i="2"/>
  <c r="V58" i="3" s="1"/>
  <c r="L50" i="2"/>
  <c r="V50" i="3" s="1"/>
  <c r="L42" i="2"/>
  <c r="V42" i="3" s="1"/>
  <c r="L34" i="2"/>
  <c r="V34" i="3" s="1"/>
  <c r="L26" i="2"/>
  <c r="V26" i="3" s="1"/>
  <c r="L18" i="2"/>
  <c r="V18" i="3" s="1"/>
  <c r="L10" i="2"/>
  <c r="V10" i="3" s="1"/>
  <c r="L121" i="2"/>
  <c r="V121" i="3" s="1"/>
  <c r="L113" i="2"/>
  <c r="V113" i="3" s="1"/>
  <c r="L105" i="2"/>
  <c r="V105" i="3" s="1"/>
  <c r="L97" i="2"/>
  <c r="V97" i="3" s="1"/>
  <c r="L89" i="2"/>
  <c r="V89" i="3" s="1"/>
  <c r="L81" i="2"/>
  <c r="V81" i="3" s="1"/>
  <c r="L73" i="2"/>
  <c r="V73" i="3" s="1"/>
  <c r="L65" i="2"/>
  <c r="V65" i="3" s="1"/>
  <c r="L57" i="2"/>
  <c r="V57" i="3" s="1"/>
  <c r="L49" i="2"/>
  <c r="V49" i="3" s="1"/>
  <c r="L41" i="2"/>
  <c r="V41" i="3" s="1"/>
  <c r="L33" i="2"/>
  <c r="V33" i="3" s="1"/>
  <c r="L25" i="2"/>
  <c r="V25" i="3" s="1"/>
  <c r="L17" i="2"/>
  <c r="V17" i="3" s="1"/>
  <c r="L9" i="2"/>
  <c r="V9" i="3" s="1"/>
  <c r="L6" i="2"/>
  <c r="V6" i="3" s="1"/>
  <c r="AL17" i="3"/>
  <c r="AJ17" i="3"/>
  <c r="AL33" i="3"/>
  <c r="AJ33" i="3"/>
  <c r="AL49" i="3"/>
  <c r="AJ49" i="3"/>
  <c r="AL65" i="3"/>
  <c r="AJ65" i="3"/>
  <c r="AL81" i="3"/>
  <c r="AJ81" i="3"/>
  <c r="AL97" i="3"/>
  <c r="AJ97" i="3"/>
  <c r="AL146" i="3"/>
  <c r="AJ146" i="3"/>
  <c r="AL15" i="3"/>
  <c r="AJ15" i="3"/>
  <c r="AL115" i="3"/>
  <c r="AJ115" i="3"/>
  <c r="AL13" i="3"/>
  <c r="AJ13" i="3"/>
  <c r="AL29" i="3"/>
  <c r="AJ29" i="3"/>
  <c r="AL45" i="3"/>
  <c r="AJ45" i="3"/>
  <c r="AL61" i="3"/>
  <c r="AJ61" i="3"/>
  <c r="AL77" i="3"/>
  <c r="AJ77" i="3"/>
  <c r="AL93" i="3"/>
  <c r="AJ93" i="3"/>
  <c r="AL113" i="3"/>
  <c r="AJ113" i="3"/>
  <c r="AL131" i="3"/>
  <c r="AJ131" i="3"/>
  <c r="AL145" i="3"/>
  <c r="AJ145" i="3"/>
  <c r="AL6" i="3"/>
  <c r="AJ6" i="3"/>
  <c r="AL10" i="3"/>
  <c r="AJ10" i="3"/>
  <c r="AL18" i="3"/>
  <c r="AJ18" i="3"/>
  <c r="AL26" i="3"/>
  <c r="AJ26" i="3"/>
  <c r="AL34" i="3"/>
  <c r="AJ34" i="3"/>
  <c r="AL42" i="3"/>
  <c r="AJ42" i="3"/>
  <c r="AL50" i="3"/>
  <c r="AJ50" i="3"/>
  <c r="AL58" i="3"/>
  <c r="AJ58" i="3"/>
  <c r="AL66" i="3"/>
  <c r="AJ66" i="3"/>
  <c r="AL74" i="3"/>
  <c r="AJ74" i="3"/>
  <c r="AL82" i="3"/>
  <c r="AJ82" i="3"/>
  <c r="AL90" i="3"/>
  <c r="AJ90" i="3"/>
  <c r="AL98" i="3"/>
  <c r="AJ98" i="3"/>
  <c r="AL106" i="3"/>
  <c r="AJ106" i="3"/>
  <c r="AL114" i="3"/>
  <c r="AJ114" i="3"/>
  <c r="AL122" i="3"/>
  <c r="AJ122" i="3"/>
  <c r="AL130" i="3"/>
  <c r="AJ130" i="3"/>
  <c r="AL138" i="3"/>
  <c r="AJ138" i="3"/>
  <c r="AL12" i="3"/>
  <c r="AJ12" i="3"/>
  <c r="AL20" i="3"/>
  <c r="AJ20" i="3"/>
  <c r="AL28" i="3"/>
  <c r="AJ28" i="3"/>
  <c r="AL36" i="3"/>
  <c r="AJ36" i="3"/>
  <c r="AL44" i="3"/>
  <c r="AJ44" i="3"/>
  <c r="AL52" i="3"/>
  <c r="AJ52" i="3"/>
  <c r="AL60" i="3"/>
  <c r="AJ60" i="3"/>
  <c r="AL68" i="3"/>
  <c r="AJ68" i="3"/>
  <c r="AL76" i="3"/>
  <c r="AJ76" i="3"/>
  <c r="AL84" i="3"/>
  <c r="AJ84" i="3"/>
  <c r="AL92" i="3"/>
  <c r="AJ92" i="3"/>
  <c r="AL100" i="3"/>
  <c r="AJ100" i="3"/>
  <c r="AL108" i="3"/>
  <c r="AJ108" i="3"/>
  <c r="AL116" i="3"/>
  <c r="AJ116" i="3"/>
  <c r="AJ124" i="3"/>
  <c r="AL124" i="3"/>
  <c r="AL132" i="3"/>
  <c r="AJ132" i="3"/>
  <c r="AL140" i="3"/>
  <c r="AJ140" i="3"/>
  <c r="AL14" i="3"/>
  <c r="AJ14" i="3"/>
  <c r="AL22" i="3"/>
  <c r="AJ22" i="3"/>
  <c r="AL30" i="3"/>
  <c r="AJ30" i="3"/>
  <c r="AL38" i="3"/>
  <c r="AJ38" i="3"/>
  <c r="AL46" i="3"/>
  <c r="AJ46" i="3"/>
  <c r="AL54" i="3"/>
  <c r="AJ54" i="3"/>
  <c r="AL62" i="3"/>
  <c r="AJ62" i="3"/>
  <c r="AL70" i="3"/>
  <c r="AJ70" i="3"/>
  <c r="AL78" i="3"/>
  <c r="AJ78" i="3"/>
  <c r="AL86" i="3"/>
  <c r="AJ86" i="3"/>
  <c r="AL94" i="3"/>
  <c r="AJ94" i="3"/>
  <c r="AL102" i="3"/>
  <c r="AJ102" i="3"/>
  <c r="AL110" i="3"/>
  <c r="AJ110" i="3"/>
  <c r="AL118" i="3"/>
  <c r="AJ118" i="3"/>
  <c r="AL126" i="3"/>
  <c r="AJ126" i="3"/>
  <c r="AL134" i="3"/>
  <c r="AJ134" i="3"/>
  <c r="AL142" i="3"/>
  <c r="AJ142" i="3"/>
  <c r="AL111" i="3"/>
  <c r="AJ111" i="3"/>
  <c r="AL119" i="3"/>
  <c r="AJ119" i="3"/>
  <c r="AL127" i="3"/>
  <c r="AJ127" i="3"/>
  <c r="AL135" i="3"/>
  <c r="AJ135" i="3"/>
  <c r="AL143" i="3"/>
  <c r="AJ143" i="3"/>
  <c r="AL8" i="3"/>
  <c r="AJ8" i="3"/>
  <c r="AL16" i="3"/>
  <c r="AJ16" i="3"/>
  <c r="AL24" i="3"/>
  <c r="AJ24" i="3"/>
  <c r="AL32" i="3"/>
  <c r="AJ32" i="3"/>
  <c r="AL40" i="3"/>
  <c r="AJ40" i="3"/>
  <c r="AL48" i="3"/>
  <c r="AJ48" i="3"/>
  <c r="AL56" i="3"/>
  <c r="AJ56" i="3"/>
  <c r="AL64" i="3"/>
  <c r="AJ64" i="3"/>
  <c r="AL72" i="3"/>
  <c r="AJ72" i="3"/>
  <c r="AL80" i="3"/>
  <c r="AJ80" i="3"/>
  <c r="AL88" i="3"/>
  <c r="AJ88" i="3"/>
  <c r="AL96" i="3"/>
  <c r="AJ96" i="3"/>
  <c r="AL104" i="3"/>
  <c r="AJ104" i="3"/>
  <c r="AL112" i="3"/>
  <c r="AJ112" i="3"/>
  <c r="AL120" i="3"/>
  <c r="AJ120" i="3"/>
  <c r="AL128" i="3"/>
  <c r="AJ128" i="3"/>
  <c r="AL136" i="3"/>
  <c r="AJ136" i="3"/>
  <c r="AL144" i="3"/>
  <c r="AJ144" i="3"/>
  <c r="AL147" i="3"/>
  <c r="AJ147" i="3"/>
  <c r="A106" i="3" l="1"/>
  <c r="A108" i="2"/>
  <c r="A110" i="2" l="1"/>
  <c r="A110" i="3" s="1"/>
  <c r="A108" i="3"/>
  <c r="A112" i="2"/>
  <c r="A112" i="3" l="1"/>
  <c r="A114" i="2"/>
  <c r="X3" i="3"/>
  <c r="Z4" i="3" s="1"/>
  <c r="M119" i="2"/>
  <c r="X119" i="3" s="1"/>
  <c r="M111" i="2"/>
  <c r="X111" i="3" s="1"/>
  <c r="M103" i="2"/>
  <c r="X103" i="3" s="1"/>
  <c r="M95" i="2"/>
  <c r="X95" i="3" s="1"/>
  <c r="M87" i="2"/>
  <c r="X87" i="3" s="1"/>
  <c r="M79" i="2"/>
  <c r="X79" i="3" s="1"/>
  <c r="M71" i="2"/>
  <c r="X71" i="3" s="1"/>
  <c r="M63" i="2"/>
  <c r="X63" i="3" s="1"/>
  <c r="M55" i="2"/>
  <c r="X55" i="3" s="1"/>
  <c r="M47" i="2"/>
  <c r="X47" i="3" s="1"/>
  <c r="M39" i="2"/>
  <c r="X39" i="3" s="1"/>
  <c r="M31" i="2"/>
  <c r="X31" i="3" s="1"/>
  <c r="M23" i="2"/>
  <c r="X23" i="3" s="1"/>
  <c r="M15" i="2"/>
  <c r="X15" i="3" s="1"/>
  <c r="M118" i="2"/>
  <c r="X118" i="3" s="1"/>
  <c r="M110" i="2"/>
  <c r="X110" i="3" s="1"/>
  <c r="M102" i="2"/>
  <c r="X102" i="3" s="1"/>
  <c r="M94" i="2"/>
  <c r="X94" i="3" s="1"/>
  <c r="M86" i="2"/>
  <c r="X86" i="3" s="1"/>
  <c r="M78" i="2"/>
  <c r="X78" i="3" s="1"/>
  <c r="M70" i="2"/>
  <c r="X70" i="3" s="1"/>
  <c r="M62" i="2"/>
  <c r="X62" i="3" s="1"/>
  <c r="M54" i="2"/>
  <c r="X54" i="3" s="1"/>
  <c r="M46" i="2"/>
  <c r="X46" i="3" s="1"/>
  <c r="M38" i="2"/>
  <c r="X38" i="3" s="1"/>
  <c r="M30" i="2"/>
  <c r="X30" i="3" s="1"/>
  <c r="M22" i="2"/>
  <c r="X22" i="3" s="1"/>
  <c r="M14" i="2"/>
  <c r="X14" i="3" s="1"/>
  <c r="M6" i="2"/>
  <c r="X6" i="3" s="1"/>
  <c r="M117" i="2"/>
  <c r="X117" i="3" s="1"/>
  <c r="M109" i="2"/>
  <c r="X109" i="3" s="1"/>
  <c r="M101" i="2"/>
  <c r="X101" i="3" s="1"/>
  <c r="M93" i="2"/>
  <c r="X93" i="3" s="1"/>
  <c r="M85" i="2"/>
  <c r="X85" i="3" s="1"/>
  <c r="M77" i="2"/>
  <c r="X77" i="3" s="1"/>
  <c r="M69" i="2"/>
  <c r="X69" i="3" s="1"/>
  <c r="M61" i="2"/>
  <c r="X61" i="3" s="1"/>
  <c r="M53" i="2"/>
  <c r="X53" i="3" s="1"/>
  <c r="M45" i="2"/>
  <c r="X45" i="3" s="1"/>
  <c r="M37" i="2"/>
  <c r="X37" i="3" s="1"/>
  <c r="M29" i="2"/>
  <c r="X29" i="3" s="1"/>
  <c r="M21" i="2"/>
  <c r="X21" i="3" s="1"/>
  <c r="M13" i="2"/>
  <c r="X13" i="3" s="1"/>
  <c r="M124" i="2"/>
  <c r="X124" i="3" s="1"/>
  <c r="M116" i="2"/>
  <c r="X116" i="3" s="1"/>
  <c r="M108" i="2"/>
  <c r="X108" i="3" s="1"/>
  <c r="M100" i="2"/>
  <c r="X100" i="3" s="1"/>
  <c r="M92" i="2"/>
  <c r="X92" i="3" s="1"/>
  <c r="M84" i="2"/>
  <c r="X84" i="3" s="1"/>
  <c r="M76" i="2"/>
  <c r="X76" i="3" s="1"/>
  <c r="M68" i="2"/>
  <c r="X68" i="3" s="1"/>
  <c r="M60" i="2"/>
  <c r="X60" i="3" s="1"/>
  <c r="M52" i="2"/>
  <c r="X52" i="3" s="1"/>
  <c r="M44" i="2"/>
  <c r="X44" i="3" s="1"/>
  <c r="M36" i="2"/>
  <c r="X36" i="3" s="1"/>
  <c r="M28" i="2"/>
  <c r="X28" i="3" s="1"/>
  <c r="M20" i="2"/>
  <c r="X20" i="3" s="1"/>
  <c r="M12" i="2"/>
  <c r="X12" i="3" s="1"/>
  <c r="M123" i="2"/>
  <c r="X123" i="3" s="1"/>
  <c r="M115" i="2"/>
  <c r="X115" i="3" s="1"/>
  <c r="M107" i="2"/>
  <c r="X107" i="3" s="1"/>
  <c r="M99" i="2"/>
  <c r="X99" i="3" s="1"/>
  <c r="M91" i="2"/>
  <c r="X91" i="3" s="1"/>
  <c r="M83" i="2"/>
  <c r="X83" i="3" s="1"/>
  <c r="M75" i="2"/>
  <c r="X75" i="3" s="1"/>
  <c r="M67" i="2"/>
  <c r="X67" i="3" s="1"/>
  <c r="M59" i="2"/>
  <c r="X59" i="3" s="1"/>
  <c r="M51" i="2"/>
  <c r="X51" i="3" s="1"/>
  <c r="M43" i="2"/>
  <c r="X43" i="3" s="1"/>
  <c r="M35" i="2"/>
  <c r="X35" i="3" s="1"/>
  <c r="M27" i="2"/>
  <c r="X27" i="3" s="1"/>
  <c r="M19" i="2"/>
  <c r="X19" i="3" s="1"/>
  <c r="M11" i="2"/>
  <c r="X11" i="3" s="1"/>
  <c r="M122" i="2"/>
  <c r="X122" i="3" s="1"/>
  <c r="M114" i="2"/>
  <c r="X114" i="3" s="1"/>
  <c r="M106" i="2"/>
  <c r="X106" i="3" s="1"/>
  <c r="M98" i="2"/>
  <c r="X98" i="3" s="1"/>
  <c r="M90" i="2"/>
  <c r="X90" i="3" s="1"/>
  <c r="M82" i="2"/>
  <c r="X82" i="3" s="1"/>
  <c r="M74" i="2"/>
  <c r="X74" i="3" s="1"/>
  <c r="M66" i="2"/>
  <c r="X66" i="3" s="1"/>
  <c r="M58" i="2"/>
  <c r="X58" i="3" s="1"/>
  <c r="M50" i="2"/>
  <c r="X50" i="3" s="1"/>
  <c r="M42" i="2"/>
  <c r="X42" i="3" s="1"/>
  <c r="M34" i="2"/>
  <c r="X34" i="3" s="1"/>
  <c r="M26" i="2"/>
  <c r="X26" i="3" s="1"/>
  <c r="M18" i="2"/>
  <c r="X18" i="3" s="1"/>
  <c r="M10" i="2"/>
  <c r="X10" i="3" s="1"/>
  <c r="M121" i="2"/>
  <c r="X121" i="3" s="1"/>
  <c r="M113" i="2"/>
  <c r="X113" i="3" s="1"/>
  <c r="M105" i="2"/>
  <c r="X105" i="3" s="1"/>
  <c r="M97" i="2"/>
  <c r="X97" i="3" s="1"/>
  <c r="M89" i="2"/>
  <c r="X89" i="3" s="1"/>
  <c r="M81" i="2"/>
  <c r="X81" i="3" s="1"/>
  <c r="M73" i="2"/>
  <c r="X73" i="3" s="1"/>
  <c r="M65" i="2"/>
  <c r="X65" i="3" s="1"/>
  <c r="M57" i="2"/>
  <c r="X57" i="3" s="1"/>
  <c r="M49" i="2"/>
  <c r="X49" i="3" s="1"/>
  <c r="M41" i="2"/>
  <c r="X41" i="3" s="1"/>
  <c r="M33" i="2"/>
  <c r="X33" i="3" s="1"/>
  <c r="M25" i="2"/>
  <c r="X25" i="3" s="1"/>
  <c r="M17" i="2"/>
  <c r="X17" i="3" s="1"/>
  <c r="M9" i="2"/>
  <c r="X9" i="3" s="1"/>
  <c r="M120" i="2"/>
  <c r="X120" i="3" s="1"/>
  <c r="M112" i="2"/>
  <c r="X112" i="3" s="1"/>
  <c r="M104" i="2"/>
  <c r="X104" i="3" s="1"/>
  <c r="M96" i="2"/>
  <c r="X96" i="3" s="1"/>
  <c r="M88" i="2"/>
  <c r="X88" i="3" s="1"/>
  <c r="M80" i="2"/>
  <c r="X80" i="3" s="1"/>
  <c r="M72" i="2"/>
  <c r="X72" i="3" s="1"/>
  <c r="M64" i="2"/>
  <c r="X64" i="3" s="1"/>
  <c r="M56" i="2"/>
  <c r="X56" i="3" s="1"/>
  <c r="M48" i="2"/>
  <c r="X48" i="3" s="1"/>
  <c r="M40" i="2"/>
  <c r="X40" i="3" s="1"/>
  <c r="M32" i="2"/>
  <c r="X32" i="3" s="1"/>
  <c r="M24" i="2"/>
  <c r="X24" i="3" s="1"/>
  <c r="M16" i="2"/>
  <c r="X16" i="3" s="1"/>
  <c r="M8" i="2"/>
  <c r="X8" i="3" s="1"/>
  <c r="M7" i="2"/>
  <c r="X7" i="3" s="1"/>
  <c r="N3" i="2" l="1" a="1"/>
  <c r="N3" i="2" s="1"/>
  <c r="O4" i="2" s="1" a="1"/>
  <c r="O4" i="2" s="1"/>
  <c r="A114" i="3"/>
  <c r="A116" i="2"/>
  <c r="A116" i="3" l="1"/>
  <c r="A118" i="2"/>
  <c r="Z3" i="3"/>
  <c r="AB4" i="3" s="1"/>
  <c r="N118" i="2"/>
  <c r="Z118" i="3" s="1"/>
  <c r="N110" i="2"/>
  <c r="Z110" i="3" s="1"/>
  <c r="N102" i="2"/>
  <c r="Z102" i="3" s="1"/>
  <c r="N94" i="2"/>
  <c r="Z94" i="3" s="1"/>
  <c r="N86" i="2"/>
  <c r="Z86" i="3" s="1"/>
  <c r="N78" i="2"/>
  <c r="Z78" i="3" s="1"/>
  <c r="N70" i="2"/>
  <c r="Z70" i="3" s="1"/>
  <c r="N62" i="2"/>
  <c r="Z62" i="3" s="1"/>
  <c r="N54" i="2"/>
  <c r="Z54" i="3" s="1"/>
  <c r="N46" i="2"/>
  <c r="Z46" i="3" s="1"/>
  <c r="N38" i="2"/>
  <c r="Z38" i="3" s="1"/>
  <c r="N30" i="2"/>
  <c r="Z30" i="3" s="1"/>
  <c r="N22" i="2"/>
  <c r="Z22" i="3" s="1"/>
  <c r="N14" i="2"/>
  <c r="Z14" i="3" s="1"/>
  <c r="N117" i="2"/>
  <c r="Z117" i="3" s="1"/>
  <c r="N109" i="2"/>
  <c r="Z109" i="3" s="1"/>
  <c r="N101" i="2"/>
  <c r="Z101" i="3" s="1"/>
  <c r="N93" i="2"/>
  <c r="Z93" i="3" s="1"/>
  <c r="N85" i="2"/>
  <c r="Z85" i="3" s="1"/>
  <c r="N77" i="2"/>
  <c r="Z77" i="3" s="1"/>
  <c r="N69" i="2"/>
  <c r="Z69" i="3" s="1"/>
  <c r="N61" i="2"/>
  <c r="Z61" i="3" s="1"/>
  <c r="N53" i="2"/>
  <c r="Z53" i="3" s="1"/>
  <c r="N45" i="2"/>
  <c r="Z45" i="3" s="1"/>
  <c r="N37" i="2"/>
  <c r="Z37" i="3" s="1"/>
  <c r="N29" i="2"/>
  <c r="Z29" i="3" s="1"/>
  <c r="N21" i="2"/>
  <c r="Z21" i="3" s="1"/>
  <c r="N13" i="2"/>
  <c r="Z13" i="3" s="1"/>
  <c r="N124" i="2"/>
  <c r="Z124" i="3" s="1"/>
  <c r="N116" i="2"/>
  <c r="Z116" i="3" s="1"/>
  <c r="N108" i="2"/>
  <c r="Z108" i="3" s="1"/>
  <c r="N100" i="2"/>
  <c r="Z100" i="3" s="1"/>
  <c r="N92" i="2"/>
  <c r="Z92" i="3" s="1"/>
  <c r="N84" i="2"/>
  <c r="Z84" i="3" s="1"/>
  <c r="N76" i="2"/>
  <c r="Z76" i="3" s="1"/>
  <c r="N68" i="2"/>
  <c r="Z68" i="3" s="1"/>
  <c r="N60" i="2"/>
  <c r="Z60" i="3" s="1"/>
  <c r="N52" i="2"/>
  <c r="Z52" i="3" s="1"/>
  <c r="N44" i="2"/>
  <c r="Z44" i="3" s="1"/>
  <c r="N36" i="2"/>
  <c r="Z36" i="3" s="1"/>
  <c r="N28" i="2"/>
  <c r="Z28" i="3" s="1"/>
  <c r="N20" i="2"/>
  <c r="Z20" i="3" s="1"/>
  <c r="N12" i="2"/>
  <c r="Z12" i="3" s="1"/>
  <c r="N123" i="2"/>
  <c r="Z123" i="3" s="1"/>
  <c r="N115" i="2"/>
  <c r="Z115" i="3" s="1"/>
  <c r="N107" i="2"/>
  <c r="Z107" i="3" s="1"/>
  <c r="N99" i="2"/>
  <c r="Z99" i="3" s="1"/>
  <c r="N91" i="2"/>
  <c r="Z91" i="3" s="1"/>
  <c r="N83" i="2"/>
  <c r="Z83" i="3" s="1"/>
  <c r="N75" i="2"/>
  <c r="Z75" i="3" s="1"/>
  <c r="N67" i="2"/>
  <c r="Z67" i="3" s="1"/>
  <c r="N59" i="2"/>
  <c r="Z59" i="3" s="1"/>
  <c r="N51" i="2"/>
  <c r="Z51" i="3" s="1"/>
  <c r="N43" i="2"/>
  <c r="Z43" i="3" s="1"/>
  <c r="N35" i="2"/>
  <c r="Z35" i="3" s="1"/>
  <c r="N27" i="2"/>
  <c r="Z27" i="3" s="1"/>
  <c r="N19" i="2"/>
  <c r="Z19" i="3" s="1"/>
  <c r="N11" i="2"/>
  <c r="Z11" i="3" s="1"/>
  <c r="N122" i="2"/>
  <c r="Z122" i="3" s="1"/>
  <c r="N114" i="2"/>
  <c r="Z114" i="3" s="1"/>
  <c r="N106" i="2"/>
  <c r="Z106" i="3" s="1"/>
  <c r="N98" i="2"/>
  <c r="Z98" i="3" s="1"/>
  <c r="N90" i="2"/>
  <c r="Z90" i="3" s="1"/>
  <c r="N82" i="2"/>
  <c r="Z82" i="3" s="1"/>
  <c r="N74" i="2"/>
  <c r="Z74" i="3" s="1"/>
  <c r="N66" i="2"/>
  <c r="Z66" i="3" s="1"/>
  <c r="N58" i="2"/>
  <c r="Z58" i="3" s="1"/>
  <c r="N50" i="2"/>
  <c r="Z50" i="3" s="1"/>
  <c r="N42" i="2"/>
  <c r="Z42" i="3" s="1"/>
  <c r="N34" i="2"/>
  <c r="Z34" i="3" s="1"/>
  <c r="N26" i="2"/>
  <c r="Z26" i="3" s="1"/>
  <c r="N18" i="2"/>
  <c r="Z18" i="3" s="1"/>
  <c r="N10" i="2"/>
  <c r="Z10" i="3" s="1"/>
  <c r="N121" i="2"/>
  <c r="Z121" i="3" s="1"/>
  <c r="N113" i="2"/>
  <c r="Z113" i="3" s="1"/>
  <c r="N105" i="2"/>
  <c r="Z105" i="3" s="1"/>
  <c r="N97" i="2"/>
  <c r="Z97" i="3" s="1"/>
  <c r="N89" i="2"/>
  <c r="Z89" i="3" s="1"/>
  <c r="N81" i="2"/>
  <c r="Z81" i="3" s="1"/>
  <c r="N73" i="2"/>
  <c r="Z73" i="3" s="1"/>
  <c r="N65" i="2"/>
  <c r="Z65" i="3" s="1"/>
  <c r="N57" i="2"/>
  <c r="Z57" i="3" s="1"/>
  <c r="N49" i="2"/>
  <c r="Z49" i="3" s="1"/>
  <c r="N41" i="2"/>
  <c r="Z41" i="3" s="1"/>
  <c r="N33" i="2"/>
  <c r="Z33" i="3" s="1"/>
  <c r="N25" i="2"/>
  <c r="Z25" i="3" s="1"/>
  <c r="N17" i="2"/>
  <c r="Z17" i="3" s="1"/>
  <c r="N9" i="2"/>
  <c r="Z9" i="3" s="1"/>
  <c r="N8" i="2"/>
  <c r="Z8" i="3" s="1"/>
  <c r="N120" i="2"/>
  <c r="Z120" i="3" s="1"/>
  <c r="N112" i="2"/>
  <c r="Z112" i="3" s="1"/>
  <c r="N104" i="2"/>
  <c r="Z104" i="3" s="1"/>
  <c r="N96" i="2"/>
  <c r="Z96" i="3" s="1"/>
  <c r="N88" i="2"/>
  <c r="Z88" i="3" s="1"/>
  <c r="N80" i="2"/>
  <c r="Z80" i="3" s="1"/>
  <c r="N72" i="2"/>
  <c r="Z72" i="3" s="1"/>
  <c r="N64" i="2"/>
  <c r="Z64" i="3" s="1"/>
  <c r="N56" i="2"/>
  <c r="Z56" i="3" s="1"/>
  <c r="N48" i="2"/>
  <c r="Z48" i="3" s="1"/>
  <c r="N40" i="2"/>
  <c r="Z40" i="3" s="1"/>
  <c r="N32" i="2"/>
  <c r="Z32" i="3" s="1"/>
  <c r="N24" i="2"/>
  <c r="Z24" i="3" s="1"/>
  <c r="N16" i="2"/>
  <c r="Z16" i="3" s="1"/>
  <c r="N119" i="2"/>
  <c r="Z119" i="3" s="1"/>
  <c r="N111" i="2"/>
  <c r="Z111" i="3" s="1"/>
  <c r="N103" i="2"/>
  <c r="Z103" i="3" s="1"/>
  <c r="N95" i="2"/>
  <c r="Z95" i="3" s="1"/>
  <c r="N87" i="2"/>
  <c r="Z87" i="3" s="1"/>
  <c r="N79" i="2"/>
  <c r="Z79" i="3" s="1"/>
  <c r="N71" i="2"/>
  <c r="Z71" i="3" s="1"/>
  <c r="N63" i="2"/>
  <c r="Z63" i="3" s="1"/>
  <c r="N55" i="2"/>
  <c r="Z55" i="3" s="1"/>
  <c r="N47" i="2"/>
  <c r="Z47" i="3" s="1"/>
  <c r="N39" i="2"/>
  <c r="Z39" i="3" s="1"/>
  <c r="N31" i="2"/>
  <c r="Z31" i="3" s="1"/>
  <c r="N23" i="2"/>
  <c r="Z23" i="3" s="1"/>
  <c r="N15" i="2"/>
  <c r="Z15" i="3" s="1"/>
  <c r="N7" i="2"/>
  <c r="Z7" i="3" s="1"/>
  <c r="N6" i="2"/>
  <c r="Z6" i="3" s="1"/>
  <c r="O3" i="2" l="1" a="1"/>
  <c r="O3" i="2" s="1"/>
  <c r="P4" i="2" s="1" a="1"/>
  <c r="P4" i="2" s="1"/>
  <c r="A118" i="3"/>
  <c r="A120" i="2"/>
  <c r="A120" i="3" l="1"/>
  <c r="A122" i="2"/>
  <c r="AB3" i="3"/>
  <c r="AD4" i="3" s="1"/>
  <c r="O117" i="2"/>
  <c r="AB117" i="3" s="1"/>
  <c r="O109" i="2"/>
  <c r="AB109" i="3" s="1"/>
  <c r="O101" i="2"/>
  <c r="AB101" i="3" s="1"/>
  <c r="O93" i="2"/>
  <c r="AB93" i="3" s="1"/>
  <c r="O85" i="2"/>
  <c r="AB85" i="3" s="1"/>
  <c r="O77" i="2"/>
  <c r="AB77" i="3" s="1"/>
  <c r="O69" i="2"/>
  <c r="AB69" i="3" s="1"/>
  <c r="O61" i="2"/>
  <c r="AB61" i="3" s="1"/>
  <c r="O53" i="2"/>
  <c r="AB53" i="3" s="1"/>
  <c r="O45" i="2"/>
  <c r="AB45" i="3" s="1"/>
  <c r="O37" i="2"/>
  <c r="AB37" i="3" s="1"/>
  <c r="O29" i="2"/>
  <c r="AB29" i="3" s="1"/>
  <c r="O21" i="2"/>
  <c r="AB21" i="3" s="1"/>
  <c r="O13" i="2"/>
  <c r="AB13" i="3" s="1"/>
  <c r="O124" i="2"/>
  <c r="AB124" i="3" s="1"/>
  <c r="O116" i="2"/>
  <c r="AB116" i="3" s="1"/>
  <c r="O108" i="2"/>
  <c r="AB108" i="3" s="1"/>
  <c r="O100" i="2"/>
  <c r="AB100" i="3" s="1"/>
  <c r="O92" i="2"/>
  <c r="AB92" i="3" s="1"/>
  <c r="O84" i="2"/>
  <c r="AB84" i="3" s="1"/>
  <c r="O76" i="2"/>
  <c r="AB76" i="3" s="1"/>
  <c r="O68" i="2"/>
  <c r="AB68" i="3" s="1"/>
  <c r="O60" i="2"/>
  <c r="AB60" i="3" s="1"/>
  <c r="O52" i="2"/>
  <c r="AB52" i="3" s="1"/>
  <c r="O44" i="2"/>
  <c r="AB44" i="3" s="1"/>
  <c r="O36" i="2"/>
  <c r="AB36" i="3" s="1"/>
  <c r="O28" i="2"/>
  <c r="AB28" i="3" s="1"/>
  <c r="O20" i="2"/>
  <c r="AB20" i="3" s="1"/>
  <c r="O12" i="2"/>
  <c r="AB12" i="3" s="1"/>
  <c r="O123" i="2"/>
  <c r="AB123" i="3" s="1"/>
  <c r="O115" i="2"/>
  <c r="AB115" i="3" s="1"/>
  <c r="O107" i="2"/>
  <c r="AB107" i="3" s="1"/>
  <c r="O99" i="2"/>
  <c r="AB99" i="3" s="1"/>
  <c r="O91" i="2"/>
  <c r="AB91" i="3" s="1"/>
  <c r="O83" i="2"/>
  <c r="AB83" i="3" s="1"/>
  <c r="O75" i="2"/>
  <c r="AB75" i="3" s="1"/>
  <c r="O67" i="2"/>
  <c r="AB67" i="3" s="1"/>
  <c r="O59" i="2"/>
  <c r="AB59" i="3" s="1"/>
  <c r="O51" i="2"/>
  <c r="AB51" i="3" s="1"/>
  <c r="O43" i="2"/>
  <c r="AB43" i="3" s="1"/>
  <c r="O35" i="2"/>
  <c r="AB35" i="3" s="1"/>
  <c r="O27" i="2"/>
  <c r="AB27" i="3" s="1"/>
  <c r="O19" i="2"/>
  <c r="AB19" i="3" s="1"/>
  <c r="O11" i="2"/>
  <c r="AB11" i="3" s="1"/>
  <c r="O122" i="2"/>
  <c r="AB122" i="3" s="1"/>
  <c r="O114" i="2"/>
  <c r="AB114" i="3" s="1"/>
  <c r="O106" i="2"/>
  <c r="AB106" i="3" s="1"/>
  <c r="O98" i="2"/>
  <c r="AB98" i="3" s="1"/>
  <c r="O90" i="2"/>
  <c r="AB90" i="3" s="1"/>
  <c r="O82" i="2"/>
  <c r="AB82" i="3" s="1"/>
  <c r="O74" i="2"/>
  <c r="AB74" i="3" s="1"/>
  <c r="O66" i="2"/>
  <c r="AB66" i="3" s="1"/>
  <c r="O58" i="2"/>
  <c r="AB58" i="3" s="1"/>
  <c r="O50" i="2"/>
  <c r="AB50" i="3" s="1"/>
  <c r="O42" i="2"/>
  <c r="AB42" i="3" s="1"/>
  <c r="O34" i="2"/>
  <c r="AB34" i="3" s="1"/>
  <c r="O26" i="2"/>
  <c r="AB26" i="3" s="1"/>
  <c r="O18" i="2"/>
  <c r="AB18" i="3" s="1"/>
  <c r="O10" i="2"/>
  <c r="AB10" i="3" s="1"/>
  <c r="O121" i="2"/>
  <c r="AB121" i="3" s="1"/>
  <c r="O113" i="2"/>
  <c r="AB113" i="3" s="1"/>
  <c r="O105" i="2"/>
  <c r="AB105" i="3" s="1"/>
  <c r="O97" i="2"/>
  <c r="AB97" i="3" s="1"/>
  <c r="O89" i="2"/>
  <c r="AB89" i="3" s="1"/>
  <c r="O81" i="2"/>
  <c r="AB81" i="3" s="1"/>
  <c r="O73" i="2"/>
  <c r="AB73" i="3" s="1"/>
  <c r="O65" i="2"/>
  <c r="AB65" i="3" s="1"/>
  <c r="O57" i="2"/>
  <c r="AB57" i="3" s="1"/>
  <c r="O49" i="2"/>
  <c r="AB49" i="3" s="1"/>
  <c r="O41" i="2"/>
  <c r="AB41" i="3" s="1"/>
  <c r="O33" i="2"/>
  <c r="AB33" i="3" s="1"/>
  <c r="O25" i="2"/>
  <c r="AB25" i="3" s="1"/>
  <c r="O17" i="2"/>
  <c r="AB17" i="3" s="1"/>
  <c r="O9" i="2"/>
  <c r="AB9" i="3" s="1"/>
  <c r="O120" i="2"/>
  <c r="AB120" i="3" s="1"/>
  <c r="O112" i="2"/>
  <c r="AB112" i="3" s="1"/>
  <c r="O104" i="2"/>
  <c r="AB104" i="3" s="1"/>
  <c r="O96" i="2"/>
  <c r="AB96" i="3" s="1"/>
  <c r="O88" i="2"/>
  <c r="AB88" i="3" s="1"/>
  <c r="O80" i="2"/>
  <c r="AB80" i="3" s="1"/>
  <c r="O72" i="2"/>
  <c r="AB72" i="3" s="1"/>
  <c r="O64" i="2"/>
  <c r="AB64" i="3" s="1"/>
  <c r="O56" i="2"/>
  <c r="AB56" i="3" s="1"/>
  <c r="O48" i="2"/>
  <c r="AB48" i="3" s="1"/>
  <c r="O40" i="2"/>
  <c r="AB40" i="3" s="1"/>
  <c r="O32" i="2"/>
  <c r="AB32" i="3" s="1"/>
  <c r="O24" i="2"/>
  <c r="AB24" i="3" s="1"/>
  <c r="O16" i="2"/>
  <c r="AB16" i="3" s="1"/>
  <c r="O8" i="2"/>
  <c r="AB8" i="3" s="1"/>
  <c r="O7" i="2"/>
  <c r="AB7" i="3" s="1"/>
  <c r="O119" i="2"/>
  <c r="AB119" i="3" s="1"/>
  <c r="O111" i="2"/>
  <c r="AB111" i="3" s="1"/>
  <c r="O103" i="2"/>
  <c r="AB103" i="3" s="1"/>
  <c r="O95" i="2"/>
  <c r="AB95" i="3" s="1"/>
  <c r="O87" i="2"/>
  <c r="AB87" i="3" s="1"/>
  <c r="O79" i="2"/>
  <c r="AB79" i="3" s="1"/>
  <c r="O71" i="2"/>
  <c r="AB71" i="3" s="1"/>
  <c r="O63" i="2"/>
  <c r="AB63" i="3" s="1"/>
  <c r="O55" i="2"/>
  <c r="AB55" i="3" s="1"/>
  <c r="O47" i="2"/>
  <c r="AB47" i="3" s="1"/>
  <c r="O39" i="2"/>
  <c r="AB39" i="3" s="1"/>
  <c r="O31" i="2"/>
  <c r="AB31" i="3" s="1"/>
  <c r="O23" i="2"/>
  <c r="AB23" i="3" s="1"/>
  <c r="O15" i="2"/>
  <c r="AB15" i="3" s="1"/>
  <c r="O118" i="2"/>
  <c r="AB118" i="3" s="1"/>
  <c r="O110" i="2"/>
  <c r="AB110" i="3" s="1"/>
  <c r="O102" i="2"/>
  <c r="AB102" i="3" s="1"/>
  <c r="O94" i="2"/>
  <c r="AB94" i="3" s="1"/>
  <c r="O86" i="2"/>
  <c r="AB86" i="3" s="1"/>
  <c r="O78" i="2"/>
  <c r="AB78" i="3" s="1"/>
  <c r="O70" i="2"/>
  <c r="AB70" i="3" s="1"/>
  <c r="O62" i="2"/>
  <c r="AB62" i="3" s="1"/>
  <c r="O54" i="2"/>
  <c r="AB54" i="3" s="1"/>
  <c r="O46" i="2"/>
  <c r="AB46" i="3" s="1"/>
  <c r="O38" i="2"/>
  <c r="AB38" i="3" s="1"/>
  <c r="O30" i="2"/>
  <c r="AB30" i="3" s="1"/>
  <c r="O22" i="2"/>
  <c r="AB22" i="3" s="1"/>
  <c r="O14" i="2"/>
  <c r="AB14" i="3" s="1"/>
  <c r="O6" i="2"/>
  <c r="AB6" i="3" s="1"/>
  <c r="P3" i="2" l="1" a="1"/>
  <c r="P3" i="2" s="1"/>
  <c r="Q4" i="2" s="1" a="1"/>
  <c r="Q4" i="2" s="1"/>
  <c r="A122" i="3"/>
  <c r="A124" i="2"/>
  <c r="A124" i="3" l="1"/>
  <c r="A126" i="2"/>
  <c r="AD3" i="3"/>
  <c r="AF4" i="3" s="1"/>
  <c r="P124" i="2"/>
  <c r="AD124" i="3" s="1"/>
  <c r="P116" i="2"/>
  <c r="AD116" i="3" s="1"/>
  <c r="P108" i="2"/>
  <c r="AD108" i="3" s="1"/>
  <c r="P100" i="2"/>
  <c r="AD100" i="3" s="1"/>
  <c r="P92" i="2"/>
  <c r="AD92" i="3" s="1"/>
  <c r="P84" i="2"/>
  <c r="AD84" i="3" s="1"/>
  <c r="P76" i="2"/>
  <c r="AD76" i="3" s="1"/>
  <c r="P68" i="2"/>
  <c r="AD68" i="3" s="1"/>
  <c r="P60" i="2"/>
  <c r="AD60" i="3" s="1"/>
  <c r="P52" i="2"/>
  <c r="AD52" i="3" s="1"/>
  <c r="P44" i="2"/>
  <c r="AD44" i="3" s="1"/>
  <c r="P36" i="2"/>
  <c r="AD36" i="3" s="1"/>
  <c r="P28" i="2"/>
  <c r="AD28" i="3" s="1"/>
  <c r="P20" i="2"/>
  <c r="AD20" i="3" s="1"/>
  <c r="P12" i="2"/>
  <c r="AD12" i="3" s="1"/>
  <c r="P123" i="2"/>
  <c r="AD123" i="3" s="1"/>
  <c r="P115" i="2"/>
  <c r="AD115" i="3" s="1"/>
  <c r="P107" i="2"/>
  <c r="AD107" i="3" s="1"/>
  <c r="P99" i="2"/>
  <c r="AD99" i="3" s="1"/>
  <c r="P91" i="2"/>
  <c r="AD91" i="3" s="1"/>
  <c r="P83" i="2"/>
  <c r="AD83" i="3" s="1"/>
  <c r="P75" i="2"/>
  <c r="AD75" i="3" s="1"/>
  <c r="P67" i="2"/>
  <c r="AD67" i="3" s="1"/>
  <c r="P59" i="2"/>
  <c r="AD59" i="3" s="1"/>
  <c r="P51" i="2"/>
  <c r="AD51" i="3" s="1"/>
  <c r="P43" i="2"/>
  <c r="AD43" i="3" s="1"/>
  <c r="P35" i="2"/>
  <c r="AD35" i="3" s="1"/>
  <c r="P27" i="2"/>
  <c r="AD27" i="3" s="1"/>
  <c r="P19" i="2"/>
  <c r="AD19" i="3" s="1"/>
  <c r="P11" i="2"/>
  <c r="AD11" i="3" s="1"/>
  <c r="P122" i="2"/>
  <c r="AD122" i="3" s="1"/>
  <c r="P114" i="2"/>
  <c r="AD114" i="3" s="1"/>
  <c r="P106" i="2"/>
  <c r="AD106" i="3" s="1"/>
  <c r="P98" i="2"/>
  <c r="AD98" i="3" s="1"/>
  <c r="P90" i="2"/>
  <c r="AD90" i="3" s="1"/>
  <c r="P82" i="2"/>
  <c r="AD82" i="3" s="1"/>
  <c r="P74" i="2"/>
  <c r="AD74" i="3" s="1"/>
  <c r="P66" i="2"/>
  <c r="AD66" i="3" s="1"/>
  <c r="P58" i="2"/>
  <c r="AD58" i="3" s="1"/>
  <c r="P50" i="2"/>
  <c r="AD50" i="3" s="1"/>
  <c r="P42" i="2"/>
  <c r="AD42" i="3" s="1"/>
  <c r="P34" i="2"/>
  <c r="AD34" i="3" s="1"/>
  <c r="P26" i="2"/>
  <c r="AD26" i="3" s="1"/>
  <c r="P18" i="2"/>
  <c r="AD18" i="3" s="1"/>
  <c r="P10" i="2"/>
  <c r="AD10" i="3" s="1"/>
  <c r="P121" i="2"/>
  <c r="AD121" i="3" s="1"/>
  <c r="P113" i="2"/>
  <c r="AD113" i="3" s="1"/>
  <c r="P105" i="2"/>
  <c r="AD105" i="3" s="1"/>
  <c r="P97" i="2"/>
  <c r="AD97" i="3" s="1"/>
  <c r="P89" i="2"/>
  <c r="AD89" i="3" s="1"/>
  <c r="P81" i="2"/>
  <c r="AD81" i="3" s="1"/>
  <c r="P73" i="2"/>
  <c r="AD73" i="3" s="1"/>
  <c r="P65" i="2"/>
  <c r="AD65" i="3" s="1"/>
  <c r="P57" i="2"/>
  <c r="AD57" i="3" s="1"/>
  <c r="P49" i="2"/>
  <c r="AD49" i="3" s="1"/>
  <c r="P41" i="2"/>
  <c r="AD41" i="3" s="1"/>
  <c r="P33" i="2"/>
  <c r="AD33" i="3" s="1"/>
  <c r="P25" i="2"/>
  <c r="AD25" i="3" s="1"/>
  <c r="P17" i="2"/>
  <c r="AD17" i="3" s="1"/>
  <c r="P9" i="2"/>
  <c r="AD9" i="3" s="1"/>
  <c r="P120" i="2"/>
  <c r="AD120" i="3" s="1"/>
  <c r="P112" i="2"/>
  <c r="AD112" i="3" s="1"/>
  <c r="P104" i="2"/>
  <c r="AD104" i="3" s="1"/>
  <c r="P96" i="2"/>
  <c r="AD96" i="3" s="1"/>
  <c r="P88" i="2"/>
  <c r="AD88" i="3" s="1"/>
  <c r="P80" i="2"/>
  <c r="AD80" i="3" s="1"/>
  <c r="P72" i="2"/>
  <c r="AD72" i="3" s="1"/>
  <c r="P64" i="2"/>
  <c r="AD64" i="3" s="1"/>
  <c r="P56" i="2"/>
  <c r="AD56" i="3" s="1"/>
  <c r="P48" i="2"/>
  <c r="AD48" i="3" s="1"/>
  <c r="P40" i="2"/>
  <c r="AD40" i="3" s="1"/>
  <c r="P32" i="2"/>
  <c r="AD32" i="3" s="1"/>
  <c r="P24" i="2"/>
  <c r="AD24" i="3" s="1"/>
  <c r="P16" i="2"/>
  <c r="AD16" i="3" s="1"/>
  <c r="P8" i="2"/>
  <c r="AD8" i="3" s="1"/>
  <c r="P119" i="2"/>
  <c r="AD119" i="3" s="1"/>
  <c r="P111" i="2"/>
  <c r="AD111" i="3" s="1"/>
  <c r="P103" i="2"/>
  <c r="AD103" i="3" s="1"/>
  <c r="P95" i="2"/>
  <c r="AD95" i="3" s="1"/>
  <c r="P87" i="2"/>
  <c r="AD87" i="3" s="1"/>
  <c r="P79" i="2"/>
  <c r="AD79" i="3" s="1"/>
  <c r="P71" i="2"/>
  <c r="AD71" i="3" s="1"/>
  <c r="P63" i="2"/>
  <c r="AD63" i="3" s="1"/>
  <c r="P55" i="2"/>
  <c r="AD55" i="3" s="1"/>
  <c r="P47" i="2"/>
  <c r="AD47" i="3" s="1"/>
  <c r="P39" i="2"/>
  <c r="AD39" i="3" s="1"/>
  <c r="P31" i="2"/>
  <c r="AD31" i="3" s="1"/>
  <c r="P23" i="2"/>
  <c r="AD23" i="3" s="1"/>
  <c r="P15" i="2"/>
  <c r="AD15" i="3" s="1"/>
  <c r="P7" i="2"/>
  <c r="AD7" i="3" s="1"/>
  <c r="P6" i="2"/>
  <c r="AD6" i="3" s="1"/>
  <c r="P118" i="2"/>
  <c r="AD118" i="3" s="1"/>
  <c r="P110" i="2"/>
  <c r="AD110" i="3" s="1"/>
  <c r="P102" i="2"/>
  <c r="AD102" i="3" s="1"/>
  <c r="P94" i="2"/>
  <c r="AD94" i="3" s="1"/>
  <c r="P86" i="2"/>
  <c r="AD86" i="3" s="1"/>
  <c r="P78" i="2"/>
  <c r="AD78" i="3" s="1"/>
  <c r="P70" i="2"/>
  <c r="AD70" i="3" s="1"/>
  <c r="P62" i="2"/>
  <c r="AD62" i="3" s="1"/>
  <c r="P54" i="2"/>
  <c r="AD54" i="3" s="1"/>
  <c r="P46" i="2"/>
  <c r="AD46" i="3" s="1"/>
  <c r="P38" i="2"/>
  <c r="AD38" i="3" s="1"/>
  <c r="P30" i="2"/>
  <c r="AD30" i="3" s="1"/>
  <c r="P22" i="2"/>
  <c r="AD22" i="3" s="1"/>
  <c r="P14" i="2"/>
  <c r="AD14" i="3" s="1"/>
  <c r="P117" i="2"/>
  <c r="AD117" i="3" s="1"/>
  <c r="P109" i="2"/>
  <c r="AD109" i="3" s="1"/>
  <c r="P101" i="2"/>
  <c r="AD101" i="3" s="1"/>
  <c r="P93" i="2"/>
  <c r="AD93" i="3" s="1"/>
  <c r="P85" i="2"/>
  <c r="AD85" i="3" s="1"/>
  <c r="P77" i="2"/>
  <c r="AD77" i="3" s="1"/>
  <c r="P69" i="2"/>
  <c r="AD69" i="3" s="1"/>
  <c r="P61" i="2"/>
  <c r="AD61" i="3" s="1"/>
  <c r="P53" i="2"/>
  <c r="AD53" i="3" s="1"/>
  <c r="P45" i="2"/>
  <c r="AD45" i="3" s="1"/>
  <c r="P37" i="2"/>
  <c r="AD37" i="3" s="1"/>
  <c r="P29" i="2"/>
  <c r="AD29" i="3" s="1"/>
  <c r="P21" i="2"/>
  <c r="AD21" i="3" s="1"/>
  <c r="P13" i="2"/>
  <c r="AD13" i="3" s="1"/>
  <c r="Q3" i="2" l="1" a="1"/>
  <c r="Q3" i="2" s="1"/>
  <c r="R4" i="2" s="1" a="1"/>
  <c r="R4" i="2" s="1"/>
  <c r="A126" i="3"/>
  <c r="A128" i="2"/>
  <c r="A128" i="3" l="1"/>
  <c r="A130" i="2"/>
  <c r="AF3" i="3"/>
  <c r="AH4" i="3" s="1"/>
  <c r="Q123" i="2"/>
  <c r="AF123" i="3" s="1"/>
  <c r="Q115" i="2"/>
  <c r="AF115" i="3" s="1"/>
  <c r="Q107" i="2"/>
  <c r="AF107" i="3" s="1"/>
  <c r="Q99" i="2"/>
  <c r="AF99" i="3" s="1"/>
  <c r="Q91" i="2"/>
  <c r="AF91" i="3" s="1"/>
  <c r="Q83" i="2"/>
  <c r="AF83" i="3" s="1"/>
  <c r="Q75" i="2"/>
  <c r="AF75" i="3" s="1"/>
  <c r="Q67" i="2"/>
  <c r="AF67" i="3" s="1"/>
  <c r="Q59" i="2"/>
  <c r="AF59" i="3" s="1"/>
  <c r="Q51" i="2"/>
  <c r="AF51" i="3" s="1"/>
  <c r="Q43" i="2"/>
  <c r="AF43" i="3" s="1"/>
  <c r="Q35" i="2"/>
  <c r="AF35" i="3" s="1"/>
  <c r="Q27" i="2"/>
  <c r="AF27" i="3" s="1"/>
  <c r="Q19" i="2"/>
  <c r="AF19" i="3" s="1"/>
  <c r="Q11" i="2"/>
  <c r="AF11" i="3" s="1"/>
  <c r="Q122" i="2"/>
  <c r="AF122" i="3" s="1"/>
  <c r="Q114" i="2"/>
  <c r="AF114" i="3" s="1"/>
  <c r="Q106" i="2"/>
  <c r="AF106" i="3" s="1"/>
  <c r="Q98" i="2"/>
  <c r="AF98" i="3" s="1"/>
  <c r="Q90" i="2"/>
  <c r="AF90" i="3" s="1"/>
  <c r="Q82" i="2"/>
  <c r="AF82" i="3" s="1"/>
  <c r="Q74" i="2"/>
  <c r="AF74" i="3" s="1"/>
  <c r="Q66" i="2"/>
  <c r="AF66" i="3" s="1"/>
  <c r="Q58" i="2"/>
  <c r="AF58" i="3" s="1"/>
  <c r="Q50" i="2"/>
  <c r="AF50" i="3" s="1"/>
  <c r="Q42" i="2"/>
  <c r="AF42" i="3" s="1"/>
  <c r="Q34" i="2"/>
  <c r="AF34" i="3" s="1"/>
  <c r="Q26" i="2"/>
  <c r="AF26" i="3" s="1"/>
  <c r="Q18" i="2"/>
  <c r="AF18" i="3" s="1"/>
  <c r="Q10" i="2"/>
  <c r="AF10" i="3" s="1"/>
  <c r="Q121" i="2"/>
  <c r="AF121" i="3" s="1"/>
  <c r="Q113" i="2"/>
  <c r="AF113" i="3" s="1"/>
  <c r="Q105" i="2"/>
  <c r="AF105" i="3" s="1"/>
  <c r="Q97" i="2"/>
  <c r="AF97" i="3" s="1"/>
  <c r="Q89" i="2"/>
  <c r="AF89" i="3" s="1"/>
  <c r="Q81" i="2"/>
  <c r="AF81" i="3" s="1"/>
  <c r="Q73" i="2"/>
  <c r="AF73" i="3" s="1"/>
  <c r="Q65" i="2"/>
  <c r="AF65" i="3" s="1"/>
  <c r="Q57" i="2"/>
  <c r="AF57" i="3" s="1"/>
  <c r="Q49" i="2"/>
  <c r="AF49" i="3" s="1"/>
  <c r="Q41" i="2"/>
  <c r="AF41" i="3" s="1"/>
  <c r="Q33" i="2"/>
  <c r="AF33" i="3" s="1"/>
  <c r="Q25" i="2"/>
  <c r="AF25" i="3" s="1"/>
  <c r="Q17" i="2"/>
  <c r="AF17" i="3" s="1"/>
  <c r="Q9" i="2"/>
  <c r="AF9" i="3" s="1"/>
  <c r="Q8" i="2"/>
  <c r="AF8" i="3" s="1"/>
  <c r="Q120" i="2"/>
  <c r="AF120" i="3" s="1"/>
  <c r="Q112" i="2"/>
  <c r="AF112" i="3" s="1"/>
  <c r="Q104" i="2"/>
  <c r="AF104" i="3" s="1"/>
  <c r="Q96" i="2"/>
  <c r="AF96" i="3" s="1"/>
  <c r="Q88" i="2"/>
  <c r="AF88" i="3" s="1"/>
  <c r="Q80" i="2"/>
  <c r="AF80" i="3" s="1"/>
  <c r="Q72" i="2"/>
  <c r="AF72" i="3" s="1"/>
  <c r="Q64" i="2"/>
  <c r="AF64" i="3" s="1"/>
  <c r="Q56" i="2"/>
  <c r="AF56" i="3" s="1"/>
  <c r="Q48" i="2"/>
  <c r="AF48" i="3" s="1"/>
  <c r="Q40" i="2"/>
  <c r="AF40" i="3" s="1"/>
  <c r="Q32" i="2"/>
  <c r="AF32" i="3" s="1"/>
  <c r="Q24" i="2"/>
  <c r="AF24" i="3" s="1"/>
  <c r="Q16" i="2"/>
  <c r="AF16" i="3" s="1"/>
  <c r="Q119" i="2"/>
  <c r="AF119" i="3" s="1"/>
  <c r="Q111" i="2"/>
  <c r="AF111" i="3" s="1"/>
  <c r="Q103" i="2"/>
  <c r="AF103" i="3" s="1"/>
  <c r="Q95" i="2"/>
  <c r="AF95" i="3" s="1"/>
  <c r="Q87" i="2"/>
  <c r="AF87" i="3" s="1"/>
  <c r="Q79" i="2"/>
  <c r="AF79" i="3" s="1"/>
  <c r="Q71" i="2"/>
  <c r="AF71" i="3" s="1"/>
  <c r="Q63" i="2"/>
  <c r="AF63" i="3" s="1"/>
  <c r="Q55" i="2"/>
  <c r="AF55" i="3" s="1"/>
  <c r="Q47" i="2"/>
  <c r="AF47" i="3" s="1"/>
  <c r="Q39" i="2"/>
  <c r="AF39" i="3" s="1"/>
  <c r="Q31" i="2"/>
  <c r="AF31" i="3" s="1"/>
  <c r="Q23" i="2"/>
  <c r="AF23" i="3" s="1"/>
  <c r="Q15" i="2"/>
  <c r="AF15" i="3" s="1"/>
  <c r="Q7" i="2"/>
  <c r="AF7" i="3" s="1"/>
  <c r="Q118" i="2"/>
  <c r="AF118" i="3" s="1"/>
  <c r="Q110" i="2"/>
  <c r="AF110" i="3" s="1"/>
  <c r="Q102" i="2"/>
  <c r="AF102" i="3" s="1"/>
  <c r="Q94" i="2"/>
  <c r="AF94" i="3" s="1"/>
  <c r="Q86" i="2"/>
  <c r="AF86" i="3" s="1"/>
  <c r="Q78" i="2"/>
  <c r="AF78" i="3" s="1"/>
  <c r="Q70" i="2"/>
  <c r="AF70" i="3" s="1"/>
  <c r="Q62" i="2"/>
  <c r="AF62" i="3" s="1"/>
  <c r="Q54" i="2"/>
  <c r="AF54" i="3" s="1"/>
  <c r="Q46" i="2"/>
  <c r="AF46" i="3" s="1"/>
  <c r="Q38" i="2"/>
  <c r="AF38" i="3" s="1"/>
  <c r="Q30" i="2"/>
  <c r="AF30" i="3" s="1"/>
  <c r="Q22" i="2"/>
  <c r="AF22" i="3" s="1"/>
  <c r="Q14" i="2"/>
  <c r="AF14" i="3" s="1"/>
  <c r="Q6" i="2"/>
  <c r="AF6" i="3" s="1"/>
  <c r="Q117" i="2"/>
  <c r="AF117" i="3" s="1"/>
  <c r="Q109" i="2"/>
  <c r="AF109" i="3" s="1"/>
  <c r="Q101" i="2"/>
  <c r="AF101" i="3" s="1"/>
  <c r="Q93" i="2"/>
  <c r="AF93" i="3" s="1"/>
  <c r="Q85" i="2"/>
  <c r="AF85" i="3" s="1"/>
  <c r="Q77" i="2"/>
  <c r="AF77" i="3" s="1"/>
  <c r="Q69" i="2"/>
  <c r="AF69" i="3" s="1"/>
  <c r="Q61" i="2"/>
  <c r="AF61" i="3" s="1"/>
  <c r="Q53" i="2"/>
  <c r="AF53" i="3" s="1"/>
  <c r="Q45" i="2"/>
  <c r="AF45" i="3" s="1"/>
  <c r="Q37" i="2"/>
  <c r="AF37" i="3" s="1"/>
  <c r="Q29" i="2"/>
  <c r="AF29" i="3" s="1"/>
  <c r="Q21" i="2"/>
  <c r="AF21" i="3" s="1"/>
  <c r="Q13" i="2"/>
  <c r="AF13" i="3" s="1"/>
  <c r="Q124" i="2"/>
  <c r="AF124" i="3" s="1"/>
  <c r="Q116" i="2"/>
  <c r="AF116" i="3" s="1"/>
  <c r="Q108" i="2"/>
  <c r="AF108" i="3" s="1"/>
  <c r="Q100" i="2"/>
  <c r="AF100" i="3" s="1"/>
  <c r="Q92" i="2"/>
  <c r="AF92" i="3" s="1"/>
  <c r="Q84" i="2"/>
  <c r="AF84" i="3" s="1"/>
  <c r="Q76" i="2"/>
  <c r="AF76" i="3" s="1"/>
  <c r="Q68" i="2"/>
  <c r="AF68" i="3" s="1"/>
  <c r="Q60" i="2"/>
  <c r="AF60" i="3" s="1"/>
  <c r="Q52" i="2"/>
  <c r="AF52" i="3" s="1"/>
  <c r="Q44" i="2"/>
  <c r="AF44" i="3" s="1"/>
  <c r="Q36" i="2"/>
  <c r="AF36" i="3" s="1"/>
  <c r="Q28" i="2"/>
  <c r="AF28" i="3" s="1"/>
  <c r="Q20" i="2"/>
  <c r="AF20" i="3" s="1"/>
  <c r="Q12" i="2"/>
  <c r="AF12" i="3" s="1"/>
  <c r="R3" i="2" l="1" a="1"/>
  <c r="R3" i="2" s="1"/>
  <c r="S4" i="2" s="1" a="1"/>
  <c r="S4" i="2" s="1"/>
  <c r="A130" i="3"/>
  <c r="A132" i="2"/>
  <c r="A132" i="3" l="1"/>
  <c r="A134" i="2"/>
  <c r="AH3" i="3"/>
  <c r="AJ4" i="3" s="1"/>
  <c r="R122" i="2"/>
  <c r="AH122" i="3" s="1"/>
  <c r="R114" i="2"/>
  <c r="AH114" i="3" s="1"/>
  <c r="R106" i="2"/>
  <c r="AH106" i="3" s="1"/>
  <c r="R98" i="2"/>
  <c r="AH98" i="3" s="1"/>
  <c r="R90" i="2"/>
  <c r="AH90" i="3" s="1"/>
  <c r="R82" i="2"/>
  <c r="AH82" i="3" s="1"/>
  <c r="R74" i="2"/>
  <c r="AH74" i="3" s="1"/>
  <c r="R66" i="2"/>
  <c r="AH66" i="3" s="1"/>
  <c r="R58" i="2"/>
  <c r="AH58" i="3" s="1"/>
  <c r="R50" i="2"/>
  <c r="AH50" i="3" s="1"/>
  <c r="R42" i="2"/>
  <c r="AH42" i="3" s="1"/>
  <c r="R34" i="2"/>
  <c r="AH34" i="3" s="1"/>
  <c r="R26" i="2"/>
  <c r="AH26" i="3" s="1"/>
  <c r="R18" i="2"/>
  <c r="AH18" i="3" s="1"/>
  <c r="R10" i="2"/>
  <c r="AH10" i="3" s="1"/>
  <c r="R121" i="2"/>
  <c r="AH121" i="3" s="1"/>
  <c r="R113" i="2"/>
  <c r="AH113" i="3" s="1"/>
  <c r="R105" i="2"/>
  <c r="AH105" i="3" s="1"/>
  <c r="R97" i="2"/>
  <c r="AH97" i="3" s="1"/>
  <c r="R89" i="2"/>
  <c r="AH89" i="3" s="1"/>
  <c r="R81" i="2"/>
  <c r="AH81" i="3" s="1"/>
  <c r="R73" i="2"/>
  <c r="AH73" i="3" s="1"/>
  <c r="R65" i="2"/>
  <c r="AH65" i="3" s="1"/>
  <c r="R57" i="2"/>
  <c r="AH57" i="3" s="1"/>
  <c r="R49" i="2"/>
  <c r="AH49" i="3" s="1"/>
  <c r="R41" i="2"/>
  <c r="AH41" i="3" s="1"/>
  <c r="R33" i="2"/>
  <c r="AH33" i="3" s="1"/>
  <c r="R25" i="2"/>
  <c r="AH25" i="3" s="1"/>
  <c r="R17" i="2"/>
  <c r="AH17" i="3" s="1"/>
  <c r="R9" i="2"/>
  <c r="AH9" i="3" s="1"/>
  <c r="R120" i="2"/>
  <c r="AH120" i="3" s="1"/>
  <c r="R112" i="2"/>
  <c r="AH112" i="3" s="1"/>
  <c r="R104" i="2"/>
  <c r="AH104" i="3" s="1"/>
  <c r="R96" i="2"/>
  <c r="AH96" i="3" s="1"/>
  <c r="R88" i="2"/>
  <c r="AH88" i="3" s="1"/>
  <c r="R80" i="2"/>
  <c r="AH80" i="3" s="1"/>
  <c r="R72" i="2"/>
  <c r="AH72" i="3" s="1"/>
  <c r="R64" i="2"/>
  <c r="AH64" i="3" s="1"/>
  <c r="R56" i="2"/>
  <c r="AH56" i="3" s="1"/>
  <c r="R48" i="2"/>
  <c r="AH48" i="3" s="1"/>
  <c r="R40" i="2"/>
  <c r="AH40" i="3" s="1"/>
  <c r="R32" i="2"/>
  <c r="AH32" i="3" s="1"/>
  <c r="R24" i="2"/>
  <c r="AH24" i="3" s="1"/>
  <c r="R16" i="2"/>
  <c r="AH16" i="3" s="1"/>
  <c r="R8" i="2"/>
  <c r="AH8" i="3" s="1"/>
  <c r="R7" i="2"/>
  <c r="AH7" i="3" s="1"/>
  <c r="R119" i="2"/>
  <c r="AH119" i="3" s="1"/>
  <c r="R111" i="2"/>
  <c r="AH111" i="3" s="1"/>
  <c r="R103" i="2"/>
  <c r="AH103" i="3" s="1"/>
  <c r="R95" i="2"/>
  <c r="AH95" i="3" s="1"/>
  <c r="R87" i="2"/>
  <c r="AH87" i="3" s="1"/>
  <c r="R79" i="2"/>
  <c r="AH79" i="3" s="1"/>
  <c r="R71" i="2"/>
  <c r="AH71" i="3" s="1"/>
  <c r="R63" i="2"/>
  <c r="AH63" i="3" s="1"/>
  <c r="R55" i="2"/>
  <c r="AH55" i="3" s="1"/>
  <c r="R47" i="2"/>
  <c r="AH47" i="3" s="1"/>
  <c r="R39" i="2"/>
  <c r="AH39" i="3" s="1"/>
  <c r="R31" i="2"/>
  <c r="AH31" i="3" s="1"/>
  <c r="R23" i="2"/>
  <c r="AH23" i="3" s="1"/>
  <c r="R15" i="2"/>
  <c r="AH15" i="3" s="1"/>
  <c r="R118" i="2"/>
  <c r="AH118" i="3" s="1"/>
  <c r="R110" i="2"/>
  <c r="AH110" i="3" s="1"/>
  <c r="R102" i="2"/>
  <c r="AH102" i="3" s="1"/>
  <c r="R94" i="2"/>
  <c r="AH94" i="3" s="1"/>
  <c r="R86" i="2"/>
  <c r="AH86" i="3" s="1"/>
  <c r="R78" i="2"/>
  <c r="AH78" i="3" s="1"/>
  <c r="R70" i="2"/>
  <c r="AH70" i="3" s="1"/>
  <c r="R62" i="2"/>
  <c r="AH62" i="3" s="1"/>
  <c r="R54" i="2"/>
  <c r="AH54" i="3" s="1"/>
  <c r="R46" i="2"/>
  <c r="AH46" i="3" s="1"/>
  <c r="R38" i="2"/>
  <c r="AH38" i="3" s="1"/>
  <c r="R30" i="2"/>
  <c r="AH30" i="3" s="1"/>
  <c r="R22" i="2"/>
  <c r="AH22" i="3" s="1"/>
  <c r="R14" i="2"/>
  <c r="AH14" i="3" s="1"/>
  <c r="R6" i="2"/>
  <c r="AH6" i="3" s="1"/>
  <c r="R117" i="2"/>
  <c r="AH117" i="3" s="1"/>
  <c r="R109" i="2"/>
  <c r="AH109" i="3" s="1"/>
  <c r="R101" i="2"/>
  <c r="AH101" i="3" s="1"/>
  <c r="R93" i="2"/>
  <c r="AH93" i="3" s="1"/>
  <c r="R85" i="2"/>
  <c r="AH85" i="3" s="1"/>
  <c r="R77" i="2"/>
  <c r="AH77" i="3" s="1"/>
  <c r="R69" i="2"/>
  <c r="AH69" i="3" s="1"/>
  <c r="R61" i="2"/>
  <c r="AH61" i="3" s="1"/>
  <c r="R53" i="2"/>
  <c r="AH53" i="3" s="1"/>
  <c r="R45" i="2"/>
  <c r="AH45" i="3" s="1"/>
  <c r="R37" i="2"/>
  <c r="AH37" i="3" s="1"/>
  <c r="R29" i="2"/>
  <c r="AH29" i="3" s="1"/>
  <c r="R21" i="2"/>
  <c r="AH21" i="3" s="1"/>
  <c r="R13" i="2"/>
  <c r="AH13" i="3" s="1"/>
  <c r="S3" i="2" a="1"/>
  <c r="S3" i="2" s="1"/>
  <c r="R124" i="2"/>
  <c r="AH124" i="3" s="1"/>
  <c r="R116" i="2"/>
  <c r="AH116" i="3" s="1"/>
  <c r="R108" i="2"/>
  <c r="AH108" i="3" s="1"/>
  <c r="R100" i="2"/>
  <c r="AH100" i="3" s="1"/>
  <c r="R92" i="2"/>
  <c r="AH92" i="3" s="1"/>
  <c r="R84" i="2"/>
  <c r="AH84" i="3" s="1"/>
  <c r="R76" i="2"/>
  <c r="AH76" i="3" s="1"/>
  <c r="R68" i="2"/>
  <c r="AH68" i="3" s="1"/>
  <c r="R60" i="2"/>
  <c r="AH60" i="3" s="1"/>
  <c r="R52" i="2"/>
  <c r="AH52" i="3" s="1"/>
  <c r="R44" i="2"/>
  <c r="AH44" i="3" s="1"/>
  <c r="R36" i="2"/>
  <c r="AH36" i="3" s="1"/>
  <c r="R28" i="2"/>
  <c r="AH28" i="3" s="1"/>
  <c r="R20" i="2"/>
  <c r="AH20" i="3" s="1"/>
  <c r="R12" i="2"/>
  <c r="AH12" i="3" s="1"/>
  <c r="R123" i="2"/>
  <c r="AH123" i="3" s="1"/>
  <c r="R115" i="2"/>
  <c r="AH115" i="3" s="1"/>
  <c r="R107" i="2"/>
  <c r="AH107" i="3" s="1"/>
  <c r="R99" i="2"/>
  <c r="AH99" i="3" s="1"/>
  <c r="R91" i="2"/>
  <c r="AH91" i="3" s="1"/>
  <c r="R83" i="2"/>
  <c r="AH83" i="3" s="1"/>
  <c r="R75" i="2"/>
  <c r="AH75" i="3" s="1"/>
  <c r="R67" i="2"/>
  <c r="AH67" i="3" s="1"/>
  <c r="R59" i="2"/>
  <c r="AH59" i="3" s="1"/>
  <c r="R51" i="2"/>
  <c r="AH51" i="3" s="1"/>
  <c r="R43" i="2"/>
  <c r="AH43" i="3" s="1"/>
  <c r="R35" i="2"/>
  <c r="AH35" i="3" s="1"/>
  <c r="R27" i="2"/>
  <c r="AH27" i="3" s="1"/>
  <c r="R19" i="2"/>
  <c r="AH19" i="3" s="1"/>
  <c r="R11" i="2"/>
  <c r="AH11" i="3" s="1"/>
  <c r="A136" i="2" l="1"/>
  <c r="A134" i="3"/>
  <c r="AJ3" i="3"/>
  <c r="S121" i="2"/>
  <c r="S113" i="2"/>
  <c r="S105" i="2"/>
  <c r="S97" i="2"/>
  <c r="S89" i="2"/>
  <c r="S81" i="2"/>
  <c r="S73" i="2"/>
  <c r="S65" i="2"/>
  <c r="S57" i="2"/>
  <c r="S49" i="2"/>
  <c r="S41" i="2"/>
  <c r="S33" i="2"/>
  <c r="S25" i="2"/>
  <c r="S17" i="2"/>
  <c r="S9" i="2"/>
  <c r="S7" i="2"/>
  <c r="S120" i="2"/>
  <c r="S112" i="2"/>
  <c r="S104" i="2"/>
  <c r="S96" i="2"/>
  <c r="S88" i="2"/>
  <c r="S80" i="2"/>
  <c r="S72" i="2"/>
  <c r="S64" i="2"/>
  <c r="S56" i="2"/>
  <c r="S48" i="2"/>
  <c r="S40" i="2"/>
  <c r="S32" i="2"/>
  <c r="S24" i="2"/>
  <c r="S16" i="2"/>
  <c r="S8" i="2"/>
  <c r="S119" i="2"/>
  <c r="S111" i="2"/>
  <c r="S103" i="2"/>
  <c r="S95" i="2"/>
  <c r="S87" i="2"/>
  <c r="S79" i="2"/>
  <c r="S71" i="2"/>
  <c r="S63" i="2"/>
  <c r="S55" i="2"/>
  <c r="S47" i="2"/>
  <c r="S39" i="2"/>
  <c r="S31" i="2"/>
  <c r="S23" i="2"/>
  <c r="S15" i="2"/>
  <c r="S118" i="2"/>
  <c r="S110" i="2"/>
  <c r="S102" i="2"/>
  <c r="S94" i="2"/>
  <c r="S86" i="2"/>
  <c r="S78" i="2"/>
  <c r="S70" i="2"/>
  <c r="S62" i="2"/>
  <c r="S54" i="2"/>
  <c r="S46" i="2"/>
  <c r="S38" i="2"/>
  <c r="S30" i="2"/>
  <c r="S22" i="2"/>
  <c r="S14" i="2"/>
  <c r="S117" i="2"/>
  <c r="S109" i="2"/>
  <c r="S101" i="2"/>
  <c r="S93" i="2"/>
  <c r="S85" i="2"/>
  <c r="S77" i="2"/>
  <c r="S69" i="2"/>
  <c r="S61" i="2"/>
  <c r="S53" i="2"/>
  <c r="S45" i="2"/>
  <c r="S37" i="2"/>
  <c r="S29" i="2"/>
  <c r="S21" i="2"/>
  <c r="S13" i="2"/>
  <c r="S124" i="2"/>
  <c r="S116" i="2"/>
  <c r="S108" i="2"/>
  <c r="S100" i="2"/>
  <c r="S92" i="2"/>
  <c r="S84" i="2"/>
  <c r="S76" i="2"/>
  <c r="S68" i="2"/>
  <c r="S60" i="2"/>
  <c r="S52" i="2"/>
  <c r="S44" i="2"/>
  <c r="S36" i="2"/>
  <c r="S28" i="2"/>
  <c r="S20" i="2"/>
  <c r="S12" i="2"/>
  <c r="S123" i="2"/>
  <c r="S115" i="2"/>
  <c r="S107" i="2"/>
  <c r="S99" i="2"/>
  <c r="S91" i="2"/>
  <c r="S83" i="2"/>
  <c r="S75" i="2"/>
  <c r="S67" i="2"/>
  <c r="S59" i="2"/>
  <c r="S51" i="2"/>
  <c r="S43" i="2"/>
  <c r="S35" i="2"/>
  <c r="S27" i="2"/>
  <c r="S19" i="2"/>
  <c r="S11" i="2"/>
  <c r="S122" i="2"/>
  <c r="S114" i="2"/>
  <c r="S106" i="2"/>
  <c r="S98" i="2"/>
  <c r="S90" i="2"/>
  <c r="S82" i="2"/>
  <c r="S74" i="2"/>
  <c r="S66" i="2"/>
  <c r="S58" i="2"/>
  <c r="S50" i="2"/>
  <c r="S42" i="2"/>
  <c r="S34" i="2"/>
  <c r="S26" i="2"/>
  <c r="S18" i="2"/>
  <c r="S10" i="2"/>
  <c r="S6" i="2"/>
  <c r="B1" i="4" a="1"/>
  <c r="B1" i="4" l="1"/>
  <c r="A136" i="3"/>
  <c r="A138" i="2"/>
  <c r="G1" i="4" a="1"/>
  <c r="G1" i="4" l="1"/>
  <c r="A140" i="2"/>
  <c r="A138" i="3"/>
  <c r="H1" i="4" a="1"/>
  <c r="B43" i="4" a="1"/>
  <c r="C2" i="4" a="1"/>
  <c r="A43" i="4" a="1"/>
  <c r="B3" i="4" a="1"/>
  <c r="H1" i="4" l="1"/>
  <c r="A140" i="3"/>
  <c r="A142" i="2"/>
  <c r="B43" i="4"/>
  <c r="B3" i="4"/>
  <c r="A43" i="4"/>
  <c r="C2" i="4"/>
  <c r="I1" i="4" a="1"/>
  <c r="I1" i="4" l="1"/>
  <c r="A142" i="3"/>
  <c r="A144" i="2"/>
  <c r="C1" i="4"/>
  <c r="D6" i="4"/>
  <c r="B6" i="4"/>
  <c r="E3" i="4"/>
  <c r="C3" i="4"/>
  <c r="BZ1" i="4"/>
  <c r="C6" i="4"/>
  <c r="CE1" i="4" s="1"/>
  <c r="F6" i="4"/>
  <c r="A1" i="9" a="1"/>
  <c r="A2" i="9" a="1"/>
  <c r="B3" i="9" a="1"/>
  <c r="N1" i="4" a="1"/>
  <c r="C4" i="4" a="1"/>
  <c r="C44" i="4" a="1"/>
  <c r="F2" i="4" a="1"/>
  <c r="B3" i="9" l="1"/>
  <c r="A2" i="9"/>
  <c r="A1" i="9"/>
  <c r="A144" i="3"/>
  <c r="N1" i="4"/>
  <c r="C4" i="4"/>
  <c r="C44" i="4"/>
  <c r="F2" i="4"/>
  <c r="BY1" i="4"/>
  <c r="F2" i="9" a="1"/>
  <c r="E1" i="9" a="1"/>
  <c r="A8" i="4" a="1"/>
  <c r="BZ2" i="4" a="1"/>
  <c r="J2" i="4" a="1"/>
  <c r="I43" i="4" a="1"/>
  <c r="F7" i="4" a="1"/>
  <c r="B2" i="4" a="1"/>
  <c r="C46" i="4" a="1"/>
  <c r="I3" i="4" a="1"/>
  <c r="E1" i="9" l="1"/>
  <c r="CC124" i="4" s="1"/>
  <c r="F2" i="9"/>
  <c r="BY124" i="4"/>
  <c r="E4" i="9"/>
  <c r="CC122" i="4" s="1"/>
  <c r="E3" i="9"/>
  <c r="CC121" i="4" s="1"/>
  <c r="A8" i="4"/>
  <c r="D7" i="4"/>
  <c r="CG1" i="4" s="1"/>
  <c r="B7" i="4"/>
  <c r="CF1" i="4" s="1"/>
  <c r="B2" i="4"/>
  <c r="C46" i="4"/>
  <c r="BZ2" i="4"/>
  <c r="I43" i="4"/>
  <c r="J2" i="4"/>
  <c r="I3" i="4"/>
  <c r="F7" i="4"/>
  <c r="CH1" i="4" s="1"/>
  <c r="CB1" i="4"/>
  <c r="G2" i="4"/>
  <c r="CC1" i="4"/>
  <c r="B8" i="4" a="1"/>
  <c r="E2" i="4"/>
  <c r="F44" i="4" a="1"/>
  <c r="B8" i="4" l="1"/>
  <c r="F44" i="4"/>
  <c r="CA1" i="4"/>
  <c r="M6" i="4"/>
  <c r="L3" i="4"/>
  <c r="K6" i="4"/>
  <c r="J6" i="4"/>
  <c r="CE3" i="4" s="1"/>
  <c r="I6" i="4"/>
  <c r="J3" i="4"/>
  <c r="J1" i="4"/>
  <c r="BZ3" i="4"/>
  <c r="J4" i="4" a="1"/>
  <c r="M2" i="4" a="1"/>
  <c r="E4" i="4" a="1"/>
  <c r="CB2" i="4" a="1"/>
  <c r="CC2" i="4" a="1"/>
  <c r="J44" i="4" a="1"/>
  <c r="G8" i="4" a="1"/>
  <c r="CC2" i="4" l="1"/>
  <c r="CB2" i="4"/>
  <c r="J44" i="4"/>
  <c r="E4" i="4"/>
  <c r="CD1" i="4" s="1"/>
  <c r="CJ1" i="4" s="1" a="1"/>
  <c r="CJ1" i="4" s="1"/>
  <c r="CI1" i="4" s="1"/>
  <c r="M2" i="4"/>
  <c r="G8" i="4"/>
  <c r="J4" i="4"/>
  <c r="D48" i="4"/>
  <c r="C43" i="4"/>
  <c r="B48" i="4"/>
  <c r="F48" i="4"/>
  <c r="E45" i="4"/>
  <c r="C48" i="4"/>
  <c r="C45" i="4"/>
  <c r="G44" i="4"/>
  <c r="BY3" i="4"/>
  <c r="H8" i="4" a="1"/>
  <c r="M7" i="4" a="1"/>
  <c r="CE2" i="4" a="1"/>
  <c r="BY2" i="4" a="1"/>
  <c r="BZ4" i="4" a="1"/>
  <c r="B10" i="4" a="1"/>
  <c r="C9" i="4" a="1"/>
  <c r="B50" i="4" a="1"/>
  <c r="B44" i="4" a="1"/>
  <c r="H8" i="4" l="1"/>
  <c r="BZ4" i="4"/>
  <c r="M7" i="4"/>
  <c r="CH3" i="4" s="1"/>
  <c r="BY2" i="4"/>
  <c r="B44" i="4"/>
  <c r="CE2" i="4"/>
  <c r="B50" i="4"/>
  <c r="B10" i="4"/>
  <c r="C9" i="4"/>
  <c r="M44" i="4" a="1"/>
  <c r="M44" i="4" s="1"/>
  <c r="J46" i="4" a="1"/>
  <c r="J46" i="4" s="1"/>
  <c r="D49" i="4"/>
  <c r="K7" i="4"/>
  <c r="CG3" i="4" s="1"/>
  <c r="I7" i="4"/>
  <c r="CF3" i="4" s="1"/>
  <c r="CC3" i="4"/>
  <c r="B49" i="4"/>
  <c r="CB3" i="4"/>
  <c r="N2" i="4"/>
  <c r="L2" i="4"/>
  <c r="I2" i="4" a="1"/>
  <c r="E44" i="4"/>
  <c r="CC4" i="4" a="1"/>
  <c r="CA2" i="4" a="1"/>
  <c r="CF2" i="4" a="1"/>
  <c r="CB4" i="4" a="1"/>
  <c r="CG2" i="4" a="1"/>
  <c r="E46" i="4" a="1"/>
  <c r="F49" i="4" a="1"/>
  <c r="BZ5" i="4" a="1"/>
  <c r="BZ5" i="4" l="1"/>
  <c r="CA3" i="4"/>
  <c r="CG2" i="4"/>
  <c r="F49" i="4"/>
  <c r="CA2" i="4"/>
  <c r="E46" i="4"/>
  <c r="CF2" i="4"/>
  <c r="CC4" i="4"/>
  <c r="I2" i="4"/>
  <c r="CB4" i="4"/>
  <c r="C10" i="4"/>
  <c r="F13" i="4"/>
  <c r="C8" i="4"/>
  <c r="D13" i="4"/>
  <c r="C13" i="4"/>
  <c r="B13" i="4"/>
  <c r="E10" i="4"/>
  <c r="I49" i="4"/>
  <c r="L45" i="4"/>
  <c r="J43" i="4"/>
  <c r="K48" i="4"/>
  <c r="J48" i="4"/>
  <c r="I48" i="4"/>
  <c r="J45" i="4"/>
  <c r="M48" i="4"/>
  <c r="I44" i="4" a="1"/>
  <c r="I44" i="4" s="1"/>
  <c r="N44" i="4"/>
  <c r="I8" i="4" a="1"/>
  <c r="L4" i="4" a="1"/>
  <c r="C11" i="4" a="1"/>
  <c r="L46" i="4" a="1"/>
  <c r="C51" i="4" a="1"/>
  <c r="BY5" i="4" a="1"/>
  <c r="CE4" i="4" a="1"/>
  <c r="CH2" i="4" a="1"/>
  <c r="CF4" i="4" a="1"/>
  <c r="BY4" i="4" a="1"/>
  <c r="CE5" i="4" a="1"/>
  <c r="CD2" i="4" a="1"/>
  <c r="L4" i="4" l="1"/>
  <c r="CD3" i="4" s="1"/>
  <c r="CJ3" i="4" s="1" a="1"/>
  <c r="CJ3" i="4" s="1"/>
  <c r="CI3" i="4" s="1"/>
  <c r="L46" i="4"/>
  <c r="CF4" i="4"/>
  <c r="BY5" i="4"/>
  <c r="C51" i="4"/>
  <c r="BY4" i="4"/>
  <c r="C11" i="4"/>
  <c r="CE4" i="4"/>
  <c r="I8" i="4"/>
  <c r="CD2" i="4"/>
  <c r="CH2" i="4"/>
  <c r="CE5" i="4"/>
  <c r="M49" i="4" a="1"/>
  <c r="M49" i="4" s="1"/>
  <c r="K49" i="4"/>
  <c r="L44" i="4"/>
  <c r="F14" i="4" a="1"/>
  <c r="BZ6" i="4" a="1"/>
  <c r="CH4" i="4" a="1"/>
  <c r="CC5" i="4" a="1"/>
  <c r="CG4" i="4" a="1"/>
  <c r="CD4" i="4" a="1"/>
  <c r="CA4" i="4" a="1"/>
  <c r="N8" i="4" a="1"/>
  <c r="CJ2" i="4" l="1" a="1"/>
  <c r="CJ2" i="4" s="1"/>
  <c r="CI2" i="4" s="1"/>
  <c r="CA4" i="4"/>
  <c r="CG4" i="4"/>
  <c r="CC5" i="4"/>
  <c r="CH4" i="4"/>
  <c r="F14" i="4"/>
  <c r="BZ6" i="4"/>
  <c r="CD4" i="4"/>
  <c r="N8" i="4"/>
  <c r="B14" i="4"/>
  <c r="D14" i="4"/>
  <c r="F51" i="4" a="1"/>
  <c r="F51" i="4" s="1"/>
  <c r="C53" i="4" a="1"/>
  <c r="C53" i="4" s="1"/>
  <c r="I10" i="4" a="1"/>
  <c r="A15" i="4" a="1"/>
  <c r="F9" i="4" a="1"/>
  <c r="B9" i="4" a="1"/>
  <c r="CF5" i="4" a="1"/>
  <c r="CG5" i="4" a="1"/>
  <c r="CH5" i="4" a="1"/>
  <c r="J9" i="4" a="1"/>
  <c r="CB6" i="4" a="1"/>
  <c r="CC6" i="4" a="1"/>
  <c r="I50" i="4" a="1"/>
  <c r="I10" i="4" l="1"/>
  <c r="A15" i="4"/>
  <c r="CJ4" i="4" a="1"/>
  <c r="CJ4" i="4" s="1"/>
  <c r="CI4" i="4" s="1"/>
  <c r="I50" i="4"/>
  <c r="J9" i="4"/>
  <c r="CC6" i="4"/>
  <c r="CH5" i="4"/>
  <c r="F9" i="4"/>
  <c r="CB6" i="4"/>
  <c r="B9" i="4"/>
  <c r="CG5" i="4"/>
  <c r="CF5" i="4"/>
  <c r="C52" i="4"/>
  <c r="C50" i="4"/>
  <c r="E51" i="4" s="1"/>
  <c r="E52" i="4"/>
  <c r="C55" i="4"/>
  <c r="B56" i="4"/>
  <c r="B55" i="4"/>
  <c r="F55" i="4"/>
  <c r="D55" i="4"/>
  <c r="B51" i="4" a="1"/>
  <c r="B51" i="4" s="1"/>
  <c r="G51" i="4"/>
  <c r="B15" i="4" a="1"/>
  <c r="E11" i="4" a="1"/>
  <c r="E53" i="4" a="1"/>
  <c r="CE6" i="4" a="1"/>
  <c r="BY6" i="4" a="1"/>
  <c r="CA6" i="4" a="1"/>
  <c r="CB5" i="4" a="1"/>
  <c r="BZ7" i="4" a="1"/>
  <c r="CF6" i="4" a="1"/>
  <c r="B15" i="4" l="1"/>
  <c r="CA6" i="4"/>
  <c r="E11" i="4"/>
  <c r="CF6" i="4"/>
  <c r="CB5" i="4"/>
  <c r="CE6" i="4"/>
  <c r="BZ7" i="4"/>
  <c r="E53" i="4"/>
  <c r="BY6" i="4"/>
  <c r="G9" i="4"/>
  <c r="K13" i="4"/>
  <c r="J10" i="4"/>
  <c r="J13" i="4"/>
  <c r="I13" i="4"/>
  <c r="J8" i="4"/>
  <c r="M13" i="4"/>
  <c r="L10" i="4"/>
  <c r="F56" i="4" a="1"/>
  <c r="F56" i="4" s="1"/>
  <c r="D56" i="4"/>
  <c r="G15" i="4" a="1"/>
  <c r="E9" i="4"/>
  <c r="J11" i="4" a="1"/>
  <c r="M9" i="4" a="1"/>
  <c r="CD6" i="4" a="1"/>
  <c r="BY7" i="4" a="1"/>
  <c r="CD5" i="4" a="1"/>
  <c r="CG6" i="4" a="1"/>
  <c r="CH6" i="4" a="1"/>
  <c r="CE7" i="4" a="1"/>
  <c r="CA5" i="4" a="1"/>
  <c r="J51" i="4" a="1"/>
  <c r="G15" i="4" l="1"/>
  <c r="CG6" i="4"/>
  <c r="J11" i="4"/>
  <c r="CD6" i="4"/>
  <c r="CH6" i="4"/>
  <c r="CE7" i="4"/>
  <c r="M9" i="4"/>
  <c r="CA5" i="4"/>
  <c r="CD5" i="4"/>
  <c r="BY7" i="4"/>
  <c r="J51" i="4"/>
  <c r="C16" i="4" a="1"/>
  <c r="H15" i="4" a="1"/>
  <c r="M14" i="4" a="1"/>
  <c r="CC7" i="4" a="1"/>
  <c r="CB7" i="4" a="1"/>
  <c r="BZ8" i="4" a="1"/>
  <c r="C16" i="4" l="1"/>
  <c r="H15" i="4"/>
  <c r="CJ6" i="4" a="1"/>
  <c r="CJ6" i="4" s="1"/>
  <c r="CI6" i="4" s="1"/>
  <c r="CJ5" i="4" a="1"/>
  <c r="CJ5" i="4" s="1"/>
  <c r="CI5" i="4" s="1"/>
  <c r="CB7" i="4"/>
  <c r="M14" i="4"/>
  <c r="BZ8" i="4"/>
  <c r="CC7" i="4"/>
  <c r="N9" i="4"/>
  <c r="J53" i="4" a="1"/>
  <c r="J53" i="4" s="1"/>
  <c r="M51" i="4" a="1"/>
  <c r="M51" i="4" s="1"/>
  <c r="K14" i="4"/>
  <c r="I14" i="4"/>
  <c r="I9" i="4" a="1"/>
  <c r="L9" i="4"/>
  <c r="CA7" i="4" a="1"/>
  <c r="CF7" i="4" a="1"/>
  <c r="CG7" i="4" a="1"/>
  <c r="CB8" i="4" a="1"/>
  <c r="CC8" i="4" a="1"/>
  <c r="CH7" i="4" a="1"/>
  <c r="B17" i="4" a="1"/>
  <c r="I9" i="4" l="1"/>
  <c r="CA7" i="4"/>
  <c r="CF7" i="4"/>
  <c r="CH7" i="4"/>
  <c r="CC8" i="4"/>
  <c r="CG7" i="4"/>
  <c r="CB8" i="4"/>
  <c r="B17" i="4"/>
  <c r="J50" i="4"/>
  <c r="L51" i="4" s="1"/>
  <c r="L52" i="4"/>
  <c r="I56" i="4"/>
  <c r="J52" i="4"/>
  <c r="J55" i="4"/>
  <c r="M55" i="4"/>
  <c r="K55" i="4"/>
  <c r="I55" i="4"/>
  <c r="I51" i="4" a="1"/>
  <c r="I51" i="4" s="1"/>
  <c r="N51" i="4"/>
  <c r="L53" i="4" a="1"/>
  <c r="L11" i="4" a="1"/>
  <c r="CA8" i="4" a="1"/>
  <c r="BY8" i="4" a="1"/>
  <c r="B57" i="4" a="1"/>
  <c r="CF8" i="4" a="1"/>
  <c r="CE8" i="4" a="1"/>
  <c r="B57" i="4" l="1"/>
  <c r="C15" i="4"/>
  <c r="CE8" i="4"/>
  <c r="CF8" i="4"/>
  <c r="L53" i="4"/>
  <c r="BY8" i="4"/>
  <c r="CA8" i="4"/>
  <c r="L11" i="4"/>
  <c r="M56" i="4" a="1"/>
  <c r="M56" i="4" s="1"/>
  <c r="K56" i="4"/>
  <c r="I15" i="4" a="1"/>
  <c r="C18" i="4" a="1"/>
  <c r="F16" i="4" a="1"/>
  <c r="CD7" i="4" a="1"/>
  <c r="BZ9" i="4" a="1"/>
  <c r="CH8" i="4" a="1"/>
  <c r="CD8" i="4" a="1"/>
  <c r="CG8" i="4" a="1"/>
  <c r="BY9" i="4" a="1"/>
  <c r="C58" i="4" a="1"/>
  <c r="E17" i="4" l="1"/>
  <c r="B20" i="4"/>
  <c r="C20" i="4"/>
  <c r="D20" i="4"/>
  <c r="C17" i="4"/>
  <c r="BZ9" i="4"/>
  <c r="F20" i="4"/>
  <c r="F16" i="4"/>
  <c r="CD7" i="4"/>
  <c r="CJ7" i="4" s="1" a="1"/>
  <c r="CJ7" i="4" s="1"/>
  <c r="CI7" i="4" s="1"/>
  <c r="C18" i="4"/>
  <c r="CD8" i="4"/>
  <c r="BY9" i="4"/>
  <c r="C58" i="4"/>
  <c r="CG8" i="4"/>
  <c r="CH8" i="4"/>
  <c r="I15" i="4"/>
  <c r="N15" i="4" a="1"/>
  <c r="F21" i="4" a="1"/>
  <c r="CE9" i="4" a="1"/>
  <c r="CC9" i="4" a="1"/>
  <c r="BZ10" i="4" a="1"/>
  <c r="CB9" i="4" a="1"/>
  <c r="N15" i="4" l="1"/>
  <c r="F21" i="4"/>
  <c r="CE9" i="4"/>
  <c r="CJ8" i="4" a="1"/>
  <c r="CJ8" i="4" s="1"/>
  <c r="CI8" i="4" s="1"/>
  <c r="CB9" i="4"/>
  <c r="BZ10" i="4"/>
  <c r="CC9" i="4"/>
  <c r="G16" i="4"/>
  <c r="C60" i="4" a="1"/>
  <c r="C60" i="4" s="1"/>
  <c r="F58" i="4" a="1"/>
  <c r="F58" i="4" s="1"/>
  <c r="D21" i="4"/>
  <c r="B21" i="4"/>
  <c r="A22" i="4" a="1"/>
  <c r="E16" i="4"/>
  <c r="B16" i="4" a="1"/>
  <c r="CH9" i="4" a="1"/>
  <c r="CG9" i="4" a="1"/>
  <c r="CB10" i="4" a="1"/>
  <c r="CA9" i="4" a="1"/>
  <c r="CC10" i="4" a="1"/>
  <c r="CF9" i="4" a="1"/>
  <c r="I17" i="4" a="1"/>
  <c r="A22" i="4" l="1"/>
  <c r="CC10" i="4"/>
  <c r="CA9" i="4"/>
  <c r="B16" i="4"/>
  <c r="CF9" i="4"/>
  <c r="CH9" i="4"/>
  <c r="CG9" i="4"/>
  <c r="I17" i="4"/>
  <c r="CB10" i="4"/>
  <c r="C59" i="4"/>
  <c r="D62" i="4"/>
  <c r="E59" i="4"/>
  <c r="C62" i="4"/>
  <c r="D63" i="4" s="1"/>
  <c r="B63" i="4"/>
  <c r="B62" i="4"/>
  <c r="C57" i="4"/>
  <c r="F62" i="4"/>
  <c r="B58" i="4" a="1"/>
  <c r="B58" i="4" s="1"/>
  <c r="G58" i="4"/>
  <c r="E18" i="4" a="1"/>
  <c r="E60" i="4" a="1"/>
  <c r="J16" i="4" a="1"/>
  <c r="CE10" i="4" a="1"/>
  <c r="BY10" i="4" a="1"/>
  <c r="CF10" i="4" a="1"/>
  <c r="CG10" i="4" a="1"/>
  <c r="I57" i="4" a="1"/>
  <c r="J16" i="4" l="1"/>
  <c r="J15" i="4" s="1"/>
  <c r="I57" i="4"/>
  <c r="CG10" i="4"/>
  <c r="CF10" i="4"/>
  <c r="E18" i="4"/>
  <c r="CE10" i="4"/>
  <c r="E60" i="4"/>
  <c r="BY10" i="4"/>
  <c r="E58" i="4"/>
  <c r="F63" i="4" a="1"/>
  <c r="F63" i="4" s="1"/>
  <c r="B22" i="4" a="1"/>
  <c r="BZ11" i="4" a="1"/>
  <c r="CH10" i="4" a="1"/>
  <c r="CA10" i="4" a="1"/>
  <c r="CD10" i="4" a="1"/>
  <c r="CD9" i="4" a="1"/>
  <c r="L17" i="4" l="1"/>
  <c r="B22" i="4"/>
  <c r="I20" i="4"/>
  <c r="J17" i="4"/>
  <c r="M20" i="4"/>
  <c r="J20" i="4"/>
  <c r="K20" i="4"/>
  <c r="BZ11" i="4"/>
  <c r="CD10" i="4"/>
  <c r="CH10" i="4"/>
  <c r="CA10" i="4"/>
  <c r="CD9" i="4"/>
  <c r="CJ9" i="4" s="1" a="1"/>
  <c r="CJ9" i="4" s="1"/>
  <c r="CI9" i="4" s="1"/>
  <c r="J18" i="4" a="1"/>
  <c r="G22" i="4" a="1"/>
  <c r="BY11" i="4" a="1"/>
  <c r="J58" i="4" a="1"/>
  <c r="CE11" i="4" a="1"/>
  <c r="M16" i="4" a="1"/>
  <c r="J18" i="4" l="1"/>
  <c r="K21" i="4" s="1"/>
  <c r="G22" i="4"/>
  <c r="J58" i="4"/>
  <c r="M58" i="4" s="1" a="1"/>
  <c r="M58" i="4" s="1"/>
  <c r="BY11" i="4"/>
  <c r="M16" i="4"/>
  <c r="N16" i="4" s="1"/>
  <c r="CE11" i="4"/>
  <c r="CJ10" i="4" a="1"/>
  <c r="CJ10" i="4" s="1"/>
  <c r="CI10" i="4" s="1"/>
  <c r="H22" i="4" a="1"/>
  <c r="CC11" i="4" a="1"/>
  <c r="M21" i="4" a="1"/>
  <c r="C23" i="4" a="1"/>
  <c r="B24" i="4" a="1"/>
  <c r="B64" i="4" a="1"/>
  <c r="BZ12" i="4" a="1"/>
  <c r="CB11" i="4" a="1"/>
  <c r="I16" i="4" a="1"/>
  <c r="L16" i="4"/>
  <c r="CA11" i="4" a="1"/>
  <c r="CG11" i="4" a="1"/>
  <c r="CB12" i="4" a="1"/>
  <c r="H22" i="4" l="1"/>
  <c r="I21" i="4"/>
  <c r="M21" i="4"/>
  <c r="CC11" i="4"/>
  <c r="B64" i="4"/>
  <c r="B24" i="4"/>
  <c r="C23" i="4"/>
  <c r="B27" i="4" s="1"/>
  <c r="BZ12" i="4"/>
  <c r="J60" i="4" a="1"/>
  <c r="J60" i="4" s="1"/>
  <c r="J62" i="4" s="1"/>
  <c r="K63" i="4" s="1"/>
  <c r="CB11" i="4"/>
  <c r="CG11" i="4"/>
  <c r="CA11" i="4"/>
  <c r="CB12" i="4"/>
  <c r="I16" i="4"/>
  <c r="N58" i="4"/>
  <c r="CF11" i="4" a="1"/>
  <c r="CH11" i="4" a="1"/>
  <c r="BZ13" i="4" a="1"/>
  <c r="CC12" i="4" a="1"/>
  <c r="I22" i="4" a="1"/>
  <c r="C25" i="4" a="1"/>
  <c r="L18" i="4" a="1"/>
  <c r="F23" i="4" a="1"/>
  <c r="CG12" i="4" a="1"/>
  <c r="CE12" i="4" a="1"/>
  <c r="CF11" i="4" l="1"/>
  <c r="CH11" i="4"/>
  <c r="F27" i="4"/>
  <c r="C22" i="4"/>
  <c r="E24" i="4"/>
  <c r="C27" i="4"/>
  <c r="D27" i="4"/>
  <c r="BZ13" i="4"/>
  <c r="C24" i="4"/>
  <c r="K62" i="4"/>
  <c r="M62" i="4"/>
  <c r="I63" i="4"/>
  <c r="L59" i="4"/>
  <c r="I58" i="4" a="1"/>
  <c r="I58" i="4" s="1"/>
  <c r="J57" i="4"/>
  <c r="M63" i="4" s="1" a="1"/>
  <c r="M63" i="4" s="1"/>
  <c r="J59" i="4"/>
  <c r="CC12" i="4"/>
  <c r="I62" i="4"/>
  <c r="C25" i="4"/>
  <c r="L18" i="4"/>
  <c r="CG12" i="4"/>
  <c r="CE12" i="4"/>
  <c r="F23" i="4"/>
  <c r="I22" i="4"/>
  <c r="C65" i="4" a="1"/>
  <c r="BY13" i="4" a="1"/>
  <c r="CE13" i="4" a="1"/>
  <c r="CF12" i="4" a="1"/>
  <c r="BY12" i="4" a="1"/>
  <c r="L60" i="4" a="1"/>
  <c r="F28" i="4" a="1"/>
  <c r="N22" i="4" a="1"/>
  <c r="CC13" i="4" a="1"/>
  <c r="CB13" i="4" a="1"/>
  <c r="CH12" i="4" a="1"/>
  <c r="CD11" i="4" a="1"/>
  <c r="BY13" i="4" l="1"/>
  <c r="C65" i="4"/>
  <c r="C67" i="4" s="1" a="1"/>
  <c r="C67" i="4" s="1"/>
  <c r="CE13" i="4"/>
  <c r="CF12" i="4"/>
  <c r="L58" i="4"/>
  <c r="L60" i="4"/>
  <c r="BY12" i="4"/>
  <c r="N22" i="4"/>
  <c r="CD11" i="4"/>
  <c r="CJ11" i="4" s="1" a="1"/>
  <c r="CJ11" i="4" s="1"/>
  <c r="CI11" i="4" s="1"/>
  <c r="F28" i="4"/>
  <c r="CH12" i="4"/>
  <c r="CB13" i="4"/>
  <c r="CC13" i="4"/>
  <c r="G23" i="4"/>
  <c r="D28" i="4"/>
  <c r="B28" i="4"/>
  <c r="A29" i="4" a="1"/>
  <c r="BZ14" i="4" a="1"/>
  <c r="CA12" i="4" a="1"/>
  <c r="CD12" i="4" a="1"/>
  <c r="E23" i="4"/>
  <c r="B23" i="4" a="1"/>
  <c r="I64" i="4" a="1"/>
  <c r="J23" i="4" a="1"/>
  <c r="CC14" i="4" a="1"/>
  <c r="CG13" i="4" a="1"/>
  <c r="CF13" i="4" a="1"/>
  <c r="CH13" i="4" a="1"/>
  <c r="CA13" i="4" a="1"/>
  <c r="I24" i="4" a="1"/>
  <c r="A29" i="4" l="1"/>
  <c r="BZ14" i="4"/>
  <c r="F65" i="4" a="1"/>
  <c r="F65" i="4" s="1"/>
  <c r="CA12" i="4"/>
  <c r="CD12" i="4"/>
  <c r="CG13" i="4"/>
  <c r="CH13" i="4"/>
  <c r="CA13" i="4"/>
  <c r="CC14" i="4"/>
  <c r="I24" i="4"/>
  <c r="J23" i="4"/>
  <c r="I64" i="4"/>
  <c r="B23" i="4"/>
  <c r="CF13" i="4"/>
  <c r="D69" i="4"/>
  <c r="B69" i="4"/>
  <c r="B70" i="4"/>
  <c r="F69" i="4"/>
  <c r="C69" i="4"/>
  <c r="C64" i="4"/>
  <c r="E66" i="4"/>
  <c r="C66" i="4"/>
  <c r="B65" i="4" a="1"/>
  <c r="B65" i="4" s="1"/>
  <c r="CB14" i="4" a="1"/>
  <c r="E67" i="4" a="1"/>
  <c r="E25" i="4" a="1"/>
  <c r="BY14" i="4" a="1"/>
  <c r="BZ15" i="4" a="1"/>
  <c r="CF14" i="4" a="1"/>
  <c r="CE14" i="4" a="1"/>
  <c r="CB14" i="4" l="1"/>
  <c r="G65" i="4"/>
  <c r="CJ12" i="4" a="1"/>
  <c r="CJ12" i="4" s="1"/>
  <c r="CI12" i="4" s="1"/>
  <c r="BY14" i="4"/>
  <c r="CE14" i="4"/>
  <c r="BZ15" i="4"/>
  <c r="CF14" i="4"/>
  <c r="E67" i="4"/>
  <c r="E25" i="4"/>
  <c r="F70" i="4" a="1"/>
  <c r="F70" i="4" s="1"/>
  <c r="D70" i="4"/>
  <c r="J27" i="4"/>
  <c r="L24" i="4"/>
  <c r="I27" i="4"/>
  <c r="J22" i="4"/>
  <c r="J24" i="4"/>
  <c r="M27" i="4"/>
  <c r="K27" i="4"/>
  <c r="E65" i="4"/>
  <c r="B29" i="4" a="1"/>
  <c r="M23" i="4" a="1"/>
  <c r="J25" i="4" a="1"/>
  <c r="CD14" i="4" a="1"/>
  <c r="J65" i="4" a="1"/>
  <c r="CG14" i="4" a="1"/>
  <c r="BY15" i="4" a="1"/>
  <c r="CE15" i="4" a="1"/>
  <c r="CD13" i="4" a="1"/>
  <c r="CH14" i="4" a="1"/>
  <c r="CA14" i="4" a="1"/>
  <c r="B29" i="4" l="1"/>
  <c r="CA14" i="4"/>
  <c r="CH14" i="4"/>
  <c r="CD14" i="4"/>
  <c r="BY15" i="4"/>
  <c r="J65" i="4"/>
  <c r="CD13" i="4"/>
  <c r="CJ13" i="4" s="1" a="1"/>
  <c r="CJ13" i="4" s="1"/>
  <c r="CI13" i="4" s="1"/>
  <c r="J25" i="4"/>
  <c r="M23" i="4"/>
  <c r="CE15" i="4"/>
  <c r="CG14" i="4"/>
  <c r="G29" i="4" a="1"/>
  <c r="M28" i="4" a="1"/>
  <c r="BZ16" i="4" a="1"/>
  <c r="CC15" i="4" a="1"/>
  <c r="CB15" i="4" a="1"/>
  <c r="G29" i="4" l="1"/>
  <c r="M28" i="4"/>
  <c r="CC15" i="4"/>
  <c r="BZ16" i="4"/>
  <c r="CB15" i="4"/>
  <c r="I28" i="4"/>
  <c r="K28" i="4"/>
  <c r="CJ14" i="4" a="1"/>
  <c r="CJ14" i="4" s="1"/>
  <c r="CI14" i="4" s="1"/>
  <c r="N23" i="4"/>
  <c r="H29" i="4" a="1"/>
  <c r="B31" i="4" a="1"/>
  <c r="C30" i="4" a="1"/>
  <c r="B71" i="4" a="1"/>
  <c r="I23" i="4" a="1"/>
  <c r="M65" i="4" a="1"/>
  <c r="J67" i="4" a="1"/>
  <c r="L23" i="4"/>
  <c r="CH15" i="4" a="1"/>
  <c r="CG15" i="4" a="1"/>
  <c r="CA15" i="4" a="1"/>
  <c r="CF15" i="4" a="1"/>
  <c r="H29" i="4" l="1"/>
  <c r="B71" i="4"/>
  <c r="C30" i="4"/>
  <c r="C34" i="4" s="1"/>
  <c r="B31" i="4"/>
  <c r="J67" i="4"/>
  <c r="L66" i="4" s="1"/>
  <c r="M65" i="4"/>
  <c r="N65" i="4" s="1"/>
  <c r="I23" i="4"/>
  <c r="CH15" i="4"/>
  <c r="CG15" i="4"/>
  <c r="CF15" i="4"/>
  <c r="CA15" i="4"/>
  <c r="I29" i="4" a="1"/>
  <c r="BZ17" i="4" a="1"/>
  <c r="L25" i="4" a="1"/>
  <c r="F30" i="4" a="1"/>
  <c r="C32" i="4" a="1"/>
  <c r="I65" i="4" a="1"/>
  <c r="CC16" i="4" a="1"/>
  <c r="CB16" i="4" a="1"/>
  <c r="CE17" i="4" a="1"/>
  <c r="I29" i="4" l="1"/>
  <c r="E31" i="4"/>
  <c r="F34" i="4"/>
  <c r="B34" i="4"/>
  <c r="C31" i="4"/>
  <c r="C29" i="4"/>
  <c r="BZ17" i="4"/>
  <c r="D34" i="4"/>
  <c r="J64" i="4"/>
  <c r="K69" i="4"/>
  <c r="J69" i="4"/>
  <c r="M69" i="4"/>
  <c r="J66" i="4"/>
  <c r="I69" i="4"/>
  <c r="I65" i="4"/>
  <c r="CB16" i="4"/>
  <c r="CC16" i="4"/>
  <c r="F30" i="4"/>
  <c r="CE17" i="4"/>
  <c r="C32" i="4"/>
  <c r="L25" i="4"/>
  <c r="N29" i="4" a="1"/>
  <c r="C72" i="4" a="1"/>
  <c r="BY17" i="4" a="1"/>
  <c r="M70" i="4" a="1"/>
  <c r="L65" i="4"/>
  <c r="L67" i="4" a="1"/>
  <c r="F35" i="4" a="1"/>
  <c r="CC17" i="4" a="1"/>
  <c r="CD15" i="4" a="1"/>
  <c r="CE16" i="4" a="1"/>
  <c r="CB17" i="4" a="1"/>
  <c r="CA16" i="4" a="1"/>
  <c r="BY16" i="4" a="1"/>
  <c r="N29" i="4" l="1"/>
  <c r="BY17" i="4"/>
  <c r="C72" i="4"/>
  <c r="BY16" i="4"/>
  <c r="CE16" i="4"/>
  <c r="I70" i="4"/>
  <c r="K70" i="4"/>
  <c r="M70" i="4"/>
  <c r="L67" i="4"/>
  <c r="F35" i="4"/>
  <c r="CC17" i="4"/>
  <c r="CB17" i="4"/>
  <c r="CA16" i="4"/>
  <c r="CD15" i="4"/>
  <c r="CJ15" i="4" s="1" a="1"/>
  <c r="CJ15" i="4" s="1"/>
  <c r="CI15" i="4" s="1"/>
  <c r="D35" i="4"/>
  <c r="B35" i="4"/>
  <c r="G30" i="4"/>
  <c r="A36" i="4" a="1"/>
  <c r="I71" i="4" a="1"/>
  <c r="I31" i="4" a="1"/>
  <c r="J30" i="4" a="1"/>
  <c r="BZ18" i="4" a="1"/>
  <c r="C74" i="4" a="1"/>
  <c r="F72" i="4" a="1"/>
  <c r="E30" i="4"/>
  <c r="B30" i="4" a="1"/>
  <c r="CF16" i="4" a="1"/>
  <c r="CG17" i="4" a="1"/>
  <c r="CG16" i="4" a="1"/>
  <c r="CH16" i="4" a="1"/>
  <c r="CF17" i="4" a="1"/>
  <c r="CD16" i="4" a="1"/>
  <c r="CH17" i="4" a="1"/>
  <c r="CA17" i="4" a="1"/>
  <c r="A36" i="4" l="1"/>
  <c r="J30" i="4"/>
  <c r="J29" i="4" s="1"/>
  <c r="I31" i="4"/>
  <c r="I71" i="4"/>
  <c r="BZ18" i="4"/>
  <c r="F72" i="4"/>
  <c r="G72" i="4" s="1"/>
  <c r="C74" i="4"/>
  <c r="F76" i="4" s="1"/>
  <c r="CG16" i="4"/>
  <c r="CF16" i="4"/>
  <c r="CD16" i="4"/>
  <c r="CH16" i="4"/>
  <c r="CA17" i="4"/>
  <c r="CH17" i="4"/>
  <c r="CF17" i="4"/>
  <c r="B30" i="4"/>
  <c r="CG17" i="4"/>
  <c r="BZ19" i="4" a="1"/>
  <c r="B36" i="4" a="1"/>
  <c r="CB18" i="4" a="1"/>
  <c r="CC18" i="4" a="1"/>
  <c r="B72" i="4" a="1"/>
  <c r="E32" i="4" a="1"/>
  <c r="J32" i="4" a="1"/>
  <c r="M30" i="4" a="1"/>
  <c r="BY19" i="4" a="1"/>
  <c r="J72" i="4" a="1"/>
  <c r="J31" i="4" l="1"/>
  <c r="J34" i="4"/>
  <c r="M34" i="4"/>
  <c r="I34" i="4"/>
  <c r="L31" i="4"/>
  <c r="K34" i="4"/>
  <c r="B36" i="4"/>
  <c r="BZ19" i="4"/>
  <c r="E73" i="4"/>
  <c r="C71" i="4"/>
  <c r="D76" i="4"/>
  <c r="B76" i="4"/>
  <c r="C73" i="4"/>
  <c r="C76" i="4"/>
  <c r="D77" i="4" s="1"/>
  <c r="B72" i="4"/>
  <c r="CC18" i="4"/>
  <c r="CB18" i="4"/>
  <c r="CJ16" i="4" a="1"/>
  <c r="CJ16" i="4" s="1"/>
  <c r="CI16" i="4" s="1"/>
  <c r="M30" i="4"/>
  <c r="E32" i="4"/>
  <c r="BY19" i="4"/>
  <c r="J72" i="4"/>
  <c r="J32" i="4"/>
  <c r="CE19" i="4" a="1"/>
  <c r="G36" i="4" a="1"/>
  <c r="BY18" i="4" a="1"/>
  <c r="E72" i="4"/>
  <c r="CA18" i="4" s="1" a="1"/>
  <c r="CE18" i="4" a="1"/>
  <c r="E74" i="4" a="1"/>
  <c r="F77" i="4" a="1"/>
  <c r="M35" i="4" a="1"/>
  <c r="CD17" i="4" a="1"/>
  <c r="CB19" i="4" a="1"/>
  <c r="CG18" i="4" a="1"/>
  <c r="BZ20" i="4" a="1"/>
  <c r="CC19" i="4" a="1"/>
  <c r="CE19" i="4" l="1"/>
  <c r="G36" i="4"/>
  <c r="CA18" i="4"/>
  <c r="BY18" i="4"/>
  <c r="CE18" i="4"/>
  <c r="B77" i="4"/>
  <c r="F77" i="4"/>
  <c r="E74" i="4"/>
  <c r="CC19" i="4"/>
  <c r="M35" i="4"/>
  <c r="BZ20" i="4"/>
  <c r="CG18" i="4"/>
  <c r="CD17" i="4"/>
  <c r="CJ17" i="4" s="1" a="1"/>
  <c r="CJ17" i="4" s="1"/>
  <c r="CI17" i="4" s="1"/>
  <c r="CB19" i="4"/>
  <c r="K35" i="4"/>
  <c r="I35" i="4"/>
  <c r="N30" i="4"/>
  <c r="H36" i="4" a="1"/>
  <c r="M72" i="4" a="1"/>
  <c r="J74" i="4" a="1"/>
  <c r="C37" i="4" a="1"/>
  <c r="B78" i="4" a="1"/>
  <c r="B38" i="4" a="1"/>
  <c r="CF18" i="4" a="1"/>
  <c r="CH18" i="4" a="1"/>
  <c r="CD18" i="4" a="1"/>
  <c r="L30" i="4"/>
  <c r="I30" i="4" a="1"/>
  <c r="CA19" i="4" a="1"/>
  <c r="CH19" i="4" a="1"/>
  <c r="CF19" i="4" a="1"/>
  <c r="CG19" i="4" a="1"/>
  <c r="H36" i="4" l="1"/>
  <c r="J74" i="4"/>
  <c r="I76" i="4" s="1"/>
  <c r="M72" i="4"/>
  <c r="N72" i="4" s="1"/>
  <c r="B38" i="4"/>
  <c r="B78" i="4"/>
  <c r="C37" i="4"/>
  <c r="F41" i="4" s="1"/>
  <c r="CF18" i="4"/>
  <c r="CD18" i="4"/>
  <c r="CH18" i="4"/>
  <c r="I30" i="4"/>
  <c r="CF19" i="4"/>
  <c r="CA19" i="4"/>
  <c r="CH19" i="4"/>
  <c r="CG19" i="4"/>
  <c r="CC20" i="4" a="1"/>
  <c r="I72" i="4" a="1"/>
  <c r="CB20" i="4" a="1"/>
  <c r="I36" i="4" a="1"/>
  <c r="BZ21" i="4" a="1"/>
  <c r="F37" i="4" a="1"/>
  <c r="L32" i="4" a="1"/>
  <c r="C39" i="4" a="1"/>
  <c r="L73" i="4" l="1"/>
  <c r="J76" i="4"/>
  <c r="J71" i="4"/>
  <c r="K76" i="4"/>
  <c r="J73" i="4"/>
  <c r="M76" i="4"/>
  <c r="CB20" i="4"/>
  <c r="I72" i="4"/>
  <c r="CC20" i="4"/>
  <c r="I77" i="4"/>
  <c r="C41" i="4"/>
  <c r="C36" i="4"/>
  <c r="D41" i="4"/>
  <c r="C38" i="4"/>
  <c r="I36" i="4"/>
  <c r="B41" i="4"/>
  <c r="BZ21" i="4"/>
  <c r="E38" i="4"/>
  <c r="CJ18" i="4" a="1"/>
  <c r="CJ18" i="4" s="1"/>
  <c r="CI18" i="4" s="1"/>
  <c r="C39" i="4"/>
  <c r="F37" i="4"/>
  <c r="L32" i="4"/>
  <c r="CE20" i="4" a="1"/>
  <c r="BY20" i="4" a="1"/>
  <c r="L74" i="4" a="1"/>
  <c r="CF20" i="4" a="1"/>
  <c r="L72" i="4"/>
  <c r="CA20" i="4" s="1" a="1"/>
  <c r="M77" i="4" a="1"/>
  <c r="CE21" i="4" a="1"/>
  <c r="BY21" i="4" a="1"/>
  <c r="C79" i="4" a="1"/>
  <c r="N36" i="4" a="1"/>
  <c r="F42" i="4" a="1"/>
  <c r="CD19" i="4" a="1"/>
  <c r="CC21" i="4" a="1"/>
  <c r="CB21" i="4" a="1"/>
  <c r="BY20" i="4" l="1"/>
  <c r="CE20" i="4"/>
  <c r="K77" i="4"/>
  <c r="M77" i="4"/>
  <c r="CA20" i="4"/>
  <c r="CF20" i="4"/>
  <c r="L74" i="4"/>
  <c r="C79" i="4"/>
  <c r="F79" i="4" s="1" a="1"/>
  <c r="F79" i="4" s="1"/>
  <c r="BY21" i="4"/>
  <c r="CE21" i="4"/>
  <c r="N36" i="4"/>
  <c r="P1" i="4" s="1" a="1"/>
  <c r="P1" i="4" s="1"/>
  <c r="F42" i="4"/>
  <c r="CB21" i="4"/>
  <c r="CC21" i="4"/>
  <c r="CD19" i="4"/>
  <c r="CJ19" i="4" s="1" a="1"/>
  <c r="CJ19" i="4" s="1"/>
  <c r="CI19" i="4" s="1"/>
  <c r="G37" i="4"/>
  <c r="D42" i="4"/>
  <c r="B42" i="4"/>
  <c r="CG20" i="4" a="1"/>
  <c r="CH20" i="4" a="1"/>
  <c r="CD20" i="4" a="1"/>
  <c r="BZ22" i="4" a="1"/>
  <c r="I78" i="4" a="1"/>
  <c r="J37" i="4" a="1"/>
  <c r="I38" i="4" a="1"/>
  <c r="Q1" i="4" a="1"/>
  <c r="B37" i="4" a="1"/>
  <c r="E37" i="4"/>
  <c r="CH21" i="4" a="1"/>
  <c r="CG21" i="4" a="1"/>
  <c r="CA21" i="4" a="1"/>
  <c r="CF21" i="4" a="1"/>
  <c r="CB22" i="4" a="1"/>
  <c r="CG20" i="4" l="1"/>
  <c r="CD20" i="4"/>
  <c r="CH20" i="4"/>
  <c r="BZ22" i="4"/>
  <c r="C81" i="4" a="1"/>
  <c r="C81" i="4" s="1"/>
  <c r="B79" i="4" s="1" a="1"/>
  <c r="B79" i="4" s="1"/>
  <c r="I38" i="4"/>
  <c r="J37" i="4"/>
  <c r="J38" i="4" s="1"/>
  <c r="I78" i="4"/>
  <c r="CF21" i="4"/>
  <c r="CA21" i="4"/>
  <c r="Q1" i="4"/>
  <c r="CG21" i="4"/>
  <c r="CB22" i="4"/>
  <c r="CH21" i="4"/>
  <c r="B37" i="4"/>
  <c r="G79" i="4"/>
  <c r="CC22" i="4" a="1"/>
  <c r="BZ23" i="4" a="1"/>
  <c r="E39" i="4" a="1"/>
  <c r="E81" i="4" a="1"/>
  <c r="J39" i="4" a="1"/>
  <c r="M37" i="4" a="1"/>
  <c r="V1" i="4" a="1"/>
  <c r="I41" i="4" l="1"/>
  <c r="CJ20" i="4" a="1"/>
  <c r="CJ20" i="4" s="1"/>
  <c r="CI20" i="4" s="1"/>
  <c r="K41" i="4"/>
  <c r="C80" i="4"/>
  <c r="F83" i="4"/>
  <c r="B84" i="4"/>
  <c r="CC22" i="4"/>
  <c r="C78" i="4"/>
  <c r="B83" i="4"/>
  <c r="C83" i="4"/>
  <c r="D84" i="4" s="1"/>
  <c r="D83" i="4"/>
  <c r="E80" i="4"/>
  <c r="J41" i="4"/>
  <c r="BZ23" i="4"/>
  <c r="M41" i="4"/>
  <c r="J36" i="4"/>
  <c r="L38" i="4"/>
  <c r="M37" i="4"/>
  <c r="V1" i="4"/>
  <c r="J39" i="4"/>
  <c r="E81" i="4"/>
  <c r="E39" i="4"/>
  <c r="CF22" i="4" a="1"/>
  <c r="CE22" i="4" a="1"/>
  <c r="BY22" i="4" a="1"/>
  <c r="CE23" i="4" a="1"/>
  <c r="J79" i="4" a="1"/>
  <c r="BY23" i="4" a="1"/>
  <c r="M42" i="4" a="1"/>
  <c r="R2" i="4" a="1"/>
  <c r="CD21" i="4" a="1"/>
  <c r="CC23" i="4" a="1"/>
  <c r="CG22" i="4" a="1"/>
  <c r="CB23" i="4" a="1"/>
  <c r="Q43" i="4" a="1"/>
  <c r="Q3" i="4" a="1"/>
  <c r="CD22" i="4" a="1"/>
  <c r="CF22" i="4" l="1"/>
  <c r="BY22" i="4"/>
  <c r="CE22" i="4"/>
  <c r="E79" i="4"/>
  <c r="F84" i="4" a="1"/>
  <c r="F84" i="4" s="1"/>
  <c r="CE23" i="4"/>
  <c r="BY23" i="4"/>
  <c r="J79" i="4"/>
  <c r="M79" i="4" s="1" a="1"/>
  <c r="M79" i="4" s="1"/>
  <c r="CC23" i="4"/>
  <c r="M42" i="4"/>
  <c r="Q3" i="4"/>
  <c r="Q43" i="4"/>
  <c r="R2" i="4"/>
  <c r="CB23" i="4"/>
  <c r="CG22" i="4"/>
  <c r="CD21" i="4"/>
  <c r="CJ21" i="4" s="1" a="1"/>
  <c r="CJ21" i="4" s="1"/>
  <c r="CI21" i="4" s="1"/>
  <c r="CD22" i="4"/>
  <c r="I42" i="4"/>
  <c r="K42" i="4"/>
  <c r="W1" i="4" a="1"/>
  <c r="W1" i="4" s="1"/>
  <c r="N37" i="4"/>
  <c r="CA22" i="4" a="1"/>
  <c r="CH22" i="4" a="1"/>
  <c r="BZ24" i="4" a="1"/>
  <c r="L37" i="4"/>
  <c r="I37" i="4" a="1"/>
  <c r="X1" i="4" a="1"/>
  <c r="CG23" i="4" a="1"/>
  <c r="CA23" i="4" a="1"/>
  <c r="CB24" i="4" a="1"/>
  <c r="CH23" i="4" a="1"/>
  <c r="CF23" i="4" a="1"/>
  <c r="CH22" i="4" l="1"/>
  <c r="CA22" i="4"/>
  <c r="BZ24" i="4"/>
  <c r="J81" i="4" a="1"/>
  <c r="J81" i="4" s="1"/>
  <c r="I79" i="4" s="1" a="1"/>
  <c r="I79" i="4" s="1"/>
  <c r="CA23" i="4"/>
  <c r="X1" i="4"/>
  <c r="I37" i="4"/>
  <c r="CG23" i="4"/>
  <c r="CF23" i="4"/>
  <c r="CB24" i="4"/>
  <c r="CH23" i="4"/>
  <c r="R6" i="4"/>
  <c r="CE25" i="4" s="1"/>
  <c r="U6" i="4"/>
  <c r="S6" i="4"/>
  <c r="Q6" i="4"/>
  <c r="R1" i="4"/>
  <c r="R3" i="4"/>
  <c r="T3" i="4"/>
  <c r="BZ25" i="4"/>
  <c r="N79" i="4"/>
  <c r="CC24" i="4" a="1"/>
  <c r="L39" i="4" a="1"/>
  <c r="L81" i="4" a="1"/>
  <c r="R4" i="4" a="1"/>
  <c r="U2" i="4" a="1"/>
  <c r="AC1" i="4" a="1"/>
  <c r="R44" i="4" a="1"/>
  <c r="CJ22" i="4" l="1" a="1"/>
  <c r="CJ22" i="4" s="1"/>
  <c r="CI22" i="4" s="1"/>
  <c r="J80" i="4"/>
  <c r="CC24" i="4"/>
  <c r="J83" i="4"/>
  <c r="K84" i="4" s="1"/>
  <c r="J78" i="4"/>
  <c r="M84" i="4" s="1" a="1"/>
  <c r="M84" i="4" s="1"/>
  <c r="K83" i="4"/>
  <c r="M83" i="4"/>
  <c r="I84" i="4"/>
  <c r="I83" i="4"/>
  <c r="L80" i="4"/>
  <c r="R4" i="4"/>
  <c r="U2" i="4"/>
  <c r="L39" i="4"/>
  <c r="L81" i="4"/>
  <c r="AC1" i="4"/>
  <c r="R44" i="4"/>
  <c r="BY25" i="4"/>
  <c r="BY24" i="4" a="1"/>
  <c r="CF24" i="4" a="1"/>
  <c r="CE24" i="4" a="1"/>
  <c r="U7" i="4" a="1"/>
  <c r="CD23" i="4" a="1"/>
  <c r="CH24" i="4" a="1"/>
  <c r="X43" i="4" a="1"/>
  <c r="CG24" i="4" a="1"/>
  <c r="BZ26" i="4" a="1"/>
  <c r="CD24" i="4" a="1"/>
  <c r="Y2" i="4" a="1"/>
  <c r="X3" i="4" a="1"/>
  <c r="CE24" i="4" l="1"/>
  <c r="CF24" i="4"/>
  <c r="BY24" i="4"/>
  <c r="L79" i="4"/>
  <c r="CH24" i="4"/>
  <c r="CD24" i="4"/>
  <c r="CD23" i="4"/>
  <c r="CJ23" i="4" s="1" a="1"/>
  <c r="CJ23" i="4" s="1"/>
  <c r="CI23" i="4" s="1"/>
  <c r="U7" i="4"/>
  <c r="CH25" i="4" s="1"/>
  <c r="BZ26" i="4"/>
  <c r="CG24" i="4"/>
  <c r="X3" i="4"/>
  <c r="X43" i="4"/>
  <c r="Y2" i="4"/>
  <c r="CB25" i="4"/>
  <c r="V2" i="4"/>
  <c r="R46" i="4" a="1"/>
  <c r="R46" i="4" s="1"/>
  <c r="U44" i="4" a="1"/>
  <c r="U44" i="4" s="1"/>
  <c r="Q7" i="4"/>
  <c r="CF25" i="4" s="1"/>
  <c r="CC25" i="4"/>
  <c r="S7" i="4"/>
  <c r="CG25" i="4" s="1"/>
  <c r="P8" i="4" a="1"/>
  <c r="P8" i="4" s="1"/>
  <c r="CA24" i="4" a="1"/>
  <c r="Q2" i="4" a="1"/>
  <c r="Q8" i="4" a="1"/>
  <c r="T2" i="4"/>
  <c r="CC26" i="4" a="1"/>
  <c r="CB26" i="4" a="1"/>
  <c r="CA24" i="4" l="1"/>
  <c r="CJ24" i="4" s="1" a="1"/>
  <c r="CJ24" i="4" s="1"/>
  <c r="CI24" i="4" s="1"/>
  <c r="CB26" i="4"/>
  <c r="CC26" i="4"/>
  <c r="Q8" i="4"/>
  <c r="Q2" i="4"/>
  <c r="CA25" i="4"/>
  <c r="V44" i="4"/>
  <c r="R43" i="4"/>
  <c r="T44" i="4" s="1"/>
  <c r="T45" i="4"/>
  <c r="R45" i="4"/>
  <c r="Q49" i="4"/>
  <c r="U48" i="4"/>
  <c r="S48" i="4"/>
  <c r="R48" i="4"/>
  <c r="Q48" i="4"/>
  <c r="Q44" i="4" a="1"/>
  <c r="Q44" i="4" s="1"/>
  <c r="AB6" i="4"/>
  <c r="AA3" i="4"/>
  <c r="Z6" i="4"/>
  <c r="Y1" i="4"/>
  <c r="Y6" i="4"/>
  <c r="CE27" i="4" s="1"/>
  <c r="BZ27" i="4"/>
  <c r="X6" i="4"/>
  <c r="Y3" i="4"/>
  <c r="T46" i="4" a="1"/>
  <c r="Y4" i="4" a="1"/>
  <c r="T4" i="4" a="1"/>
  <c r="AB2" i="4" a="1"/>
  <c r="BY26" i="4" a="1"/>
  <c r="CE26" i="4" a="1"/>
  <c r="V8" i="4" a="1"/>
  <c r="Y44" i="4" a="1"/>
  <c r="CF26" i="4" a="1"/>
  <c r="CA26" i="4" a="1"/>
  <c r="CE26" i="4" l="1"/>
  <c r="CA26" i="4"/>
  <c r="Y44" i="4"/>
  <c r="CF26" i="4"/>
  <c r="T4" i="4"/>
  <c r="CD25" i="4" s="1"/>
  <c r="CJ25" i="4" s="1" a="1"/>
  <c r="CJ25" i="4" s="1"/>
  <c r="CI25" i="4" s="1"/>
  <c r="Y4" i="4"/>
  <c r="V8" i="4"/>
  <c r="AB2" i="4"/>
  <c r="T46" i="4"/>
  <c r="BY26" i="4"/>
  <c r="S49" i="4"/>
  <c r="BY27" i="4"/>
  <c r="U49" i="4" a="1"/>
  <c r="U49" i="4" s="1"/>
  <c r="AB7" i="4" a="1"/>
  <c r="CG26" i="4" a="1"/>
  <c r="CH26" i="4" a="1"/>
  <c r="CD26" i="4" a="1"/>
  <c r="Q10" i="4" a="1"/>
  <c r="BZ28" i="4" a="1"/>
  <c r="R9" i="4" a="1"/>
  <c r="Q50" i="4" a="1"/>
  <c r="CH26" i="4" l="1"/>
  <c r="CG26" i="4"/>
  <c r="BZ28" i="4"/>
  <c r="AB7" i="4"/>
  <c r="CH27" i="4" s="1"/>
  <c r="Q50" i="4"/>
  <c r="R9" i="4"/>
  <c r="Q10" i="4"/>
  <c r="CD26" i="4"/>
  <c r="AC2" i="4"/>
  <c r="CB27" i="4"/>
  <c r="CC27" i="4"/>
  <c r="Z7" i="4"/>
  <c r="CG27" i="4" s="1"/>
  <c r="X7" i="4"/>
  <c r="CF27" i="4" s="1"/>
  <c r="AB44" i="4" a="1"/>
  <c r="AB44" i="4" s="1"/>
  <c r="Y46" i="4" a="1"/>
  <c r="Y46" i="4" s="1"/>
  <c r="W8" i="4" a="1"/>
  <c r="W8" i="4" s="1"/>
  <c r="AA2" i="4"/>
  <c r="X8" i="4" a="1"/>
  <c r="X2" i="4" a="1"/>
  <c r="CB28" i="4" a="1"/>
  <c r="BZ29" i="4" a="1"/>
  <c r="CC28" i="4" a="1"/>
  <c r="CJ26" i="4" l="1" a="1"/>
  <c r="CJ26" i="4" s="1"/>
  <c r="CI26" i="4" s="1"/>
  <c r="BZ29" i="4"/>
  <c r="X2" i="4"/>
  <c r="X8" i="4"/>
  <c r="CA27" i="4"/>
  <c r="CC28" i="4"/>
  <c r="CB28" i="4"/>
  <c r="Q13" i="4"/>
  <c r="R10" i="4"/>
  <c r="R8" i="4"/>
  <c r="S13" i="4"/>
  <c r="T10" i="4"/>
  <c r="R13" i="4"/>
  <c r="U13" i="4"/>
  <c r="Z48" i="4"/>
  <c r="Y48" i="4"/>
  <c r="X48" i="4"/>
  <c r="Y43" i="4"/>
  <c r="AA45" i="4"/>
  <c r="Y45" i="4"/>
  <c r="X49" i="4"/>
  <c r="AB48" i="4"/>
  <c r="X44" i="4" a="1"/>
  <c r="X44" i="4" s="1"/>
  <c r="AC44" i="4"/>
  <c r="AA4" i="4" a="1"/>
  <c r="U9" i="4" a="1"/>
  <c r="AA46" i="4" a="1"/>
  <c r="R11" i="4" a="1"/>
  <c r="BY29" i="4" a="1"/>
  <c r="CF28" i="4" a="1"/>
  <c r="CE28" i="4" a="1"/>
  <c r="CE29" i="4" a="1"/>
  <c r="BY28" i="4" a="1"/>
  <c r="R51" i="4" a="1"/>
  <c r="AC8" i="4" a="1"/>
  <c r="AA46" i="4" l="1"/>
  <c r="CE28" i="4"/>
  <c r="CE29" i="4"/>
  <c r="CF28" i="4"/>
  <c r="BY29" i="4"/>
  <c r="R51" i="4"/>
  <c r="U9" i="4"/>
  <c r="AC8" i="4"/>
  <c r="R11" i="4"/>
  <c r="AA4" i="4"/>
  <c r="CD27" i="4" s="1"/>
  <c r="CJ27" i="4" s="1" a="1"/>
  <c r="CJ27" i="4" s="1"/>
  <c r="CI27" i="4" s="1"/>
  <c r="BY28" i="4"/>
  <c r="Z49" i="4"/>
  <c r="AA44" i="4"/>
  <c r="AB49" i="4" a="1"/>
  <c r="AB49" i="4" s="1"/>
  <c r="U14" i="4" a="1"/>
  <c r="CH28" i="4" a="1"/>
  <c r="CC29" i="4" a="1"/>
  <c r="CG28" i="4" a="1"/>
  <c r="X10" i="4" a="1"/>
  <c r="CD28" i="4" a="1"/>
  <c r="CB29" i="4" a="1"/>
  <c r="CA28" i="4" a="1"/>
  <c r="X50" i="4" a="1"/>
  <c r="BZ30" i="4" a="1"/>
  <c r="CA28" i="4" l="1"/>
  <c r="CB29" i="4"/>
  <c r="CH28" i="4"/>
  <c r="BZ30" i="4"/>
  <c r="X50" i="4"/>
  <c r="X10" i="4"/>
  <c r="U14" i="4"/>
  <c r="CG28" i="4"/>
  <c r="CC29" i="4"/>
  <c r="CD28" i="4"/>
  <c r="V9" i="4"/>
  <c r="R53" i="4" a="1"/>
  <c r="R53" i="4" s="1"/>
  <c r="U51" i="4" a="1"/>
  <c r="U51" i="4" s="1"/>
  <c r="P15" i="4" a="1"/>
  <c r="P15" i="4" s="1"/>
  <c r="Q14" i="4"/>
  <c r="S14" i="4"/>
  <c r="Q15" i="4" a="1"/>
  <c r="T9" i="4"/>
  <c r="Q9" i="4" a="1"/>
  <c r="Y9" i="4" a="1"/>
  <c r="CF29" i="4" a="1"/>
  <c r="CG29" i="4" a="1"/>
  <c r="CA29" i="4" a="1"/>
  <c r="CB30" i="4" a="1"/>
  <c r="CC30" i="4" a="1"/>
  <c r="CH29" i="4" a="1"/>
  <c r="Y9" i="4" l="1"/>
  <c r="Z13" i="4" s="1"/>
  <c r="Q15" i="4"/>
  <c r="CH29" i="4"/>
  <c r="CB30" i="4"/>
  <c r="CC30" i="4"/>
  <c r="CA29" i="4"/>
  <c r="Q9" i="4"/>
  <c r="CG29" i="4"/>
  <c r="CF29" i="4"/>
  <c r="V51" i="4"/>
  <c r="R50" i="4"/>
  <c r="R55" i="4"/>
  <c r="T52" i="4"/>
  <c r="R52" i="4"/>
  <c r="S55" i="4"/>
  <c r="Q55" i="4"/>
  <c r="Q56" i="4"/>
  <c r="U55" i="4"/>
  <c r="Q51" i="4" a="1"/>
  <c r="Q51" i="4" s="1"/>
  <c r="CJ28" i="4" a="1"/>
  <c r="CJ28" i="4" s="1"/>
  <c r="CI28" i="4" s="1"/>
  <c r="AB9" i="4" a="1"/>
  <c r="T53" i="4" a="1"/>
  <c r="T11" i="4" a="1"/>
  <c r="CF30" i="4" a="1"/>
  <c r="BY30" i="4" a="1"/>
  <c r="BZ31" i="4" a="1"/>
  <c r="CE30" i="4" a="1"/>
  <c r="V15" i="4" a="1"/>
  <c r="AB13" i="4" l="1"/>
  <c r="X13" i="4"/>
  <c r="Y10" i="4"/>
  <c r="Y13" i="4"/>
  <c r="Y8" i="4"/>
  <c r="AA10" i="4"/>
  <c r="BZ31" i="4"/>
  <c r="CE30" i="4"/>
  <c r="T11" i="4"/>
  <c r="T53" i="4"/>
  <c r="BY30" i="4"/>
  <c r="CF30" i="4"/>
  <c r="AB9" i="4"/>
  <c r="V15" i="4"/>
  <c r="T51" i="4"/>
  <c r="U56" i="4" a="1"/>
  <c r="U56" i="4" s="1"/>
  <c r="S56" i="4"/>
  <c r="Y11" i="4" a="1"/>
  <c r="Y51" i="4" a="1"/>
  <c r="CD30" i="4" a="1"/>
  <c r="CG30" i="4" a="1"/>
  <c r="CD29" i="4" a="1"/>
  <c r="R16" i="4" a="1"/>
  <c r="CB31" i="4" a="1"/>
  <c r="CH30" i="4" a="1"/>
  <c r="CE31" i="4" a="1"/>
  <c r="Q57" i="4" a="1"/>
  <c r="P57" i="4" a="1"/>
  <c r="Q17" i="4" a="1"/>
  <c r="CA30" i="4" a="1"/>
  <c r="BY31" i="4" a="1"/>
  <c r="Y11" i="4" l="1"/>
  <c r="Z14" i="4" s="1"/>
  <c r="CE31" i="4"/>
  <c r="Y51" i="4"/>
  <c r="Y53" i="4" s="1" a="1"/>
  <c r="Y53" i="4" s="1"/>
  <c r="BY31" i="4"/>
  <c r="CG30" i="4"/>
  <c r="CH30" i="4"/>
  <c r="CA30" i="4"/>
  <c r="Q17" i="4"/>
  <c r="R16" i="4"/>
  <c r="Q57" i="4"/>
  <c r="P57" i="4"/>
  <c r="CD30" i="4"/>
  <c r="CB31" i="4"/>
  <c r="CD29" i="4"/>
  <c r="CJ29" i="4" s="1" a="1"/>
  <c r="CJ29" i="4" s="1"/>
  <c r="CI29" i="4" s="1"/>
  <c r="W15" i="4" a="1"/>
  <c r="W15" i="4" s="1"/>
  <c r="AC9" i="4"/>
  <c r="CC31" i="4" a="1"/>
  <c r="AB14" i="4" a="1"/>
  <c r="AA9" i="4"/>
  <c r="X15" i="4" a="1"/>
  <c r="X9" i="4" a="1"/>
  <c r="CC32" i="4" a="1"/>
  <c r="BZ32" i="4" a="1"/>
  <c r="CA31" i="4" a="1"/>
  <c r="BZ33" i="4" a="1"/>
  <c r="CG31" i="4" a="1"/>
  <c r="X14" i="4" l="1"/>
  <c r="AB14" i="4"/>
  <c r="CC31" i="4"/>
  <c r="BZ32" i="4"/>
  <c r="AB51" i="4" a="1"/>
  <c r="AB51" i="4" s="1"/>
  <c r="AC51" i="4" s="1"/>
  <c r="CJ30" i="4" a="1"/>
  <c r="CJ30" i="4" s="1"/>
  <c r="CI30" i="4" s="1"/>
  <c r="CC32" i="4"/>
  <c r="CG31" i="4"/>
  <c r="BZ33" i="4"/>
  <c r="CA31" i="4"/>
  <c r="X15" i="4"/>
  <c r="X9" i="4"/>
  <c r="AA52" i="4"/>
  <c r="Y55" i="4"/>
  <c r="Z56" i="4" s="1"/>
  <c r="AB55" i="4"/>
  <c r="Y52" i="4"/>
  <c r="X56" i="4"/>
  <c r="Z55" i="4"/>
  <c r="X55" i="4"/>
  <c r="Y50" i="4"/>
  <c r="X51" i="4" a="1"/>
  <c r="X51" i="4" s="1"/>
  <c r="R17" i="4"/>
  <c r="S20" i="4"/>
  <c r="R15" i="4"/>
  <c r="Q20" i="4"/>
  <c r="T17" i="4"/>
  <c r="U20" i="4"/>
  <c r="R20" i="4"/>
  <c r="CF31" i="4" a="1"/>
  <c r="CH31" i="4" a="1"/>
  <c r="AA53" i="4" a="1"/>
  <c r="R18" i="4" a="1"/>
  <c r="U16" i="4" a="1"/>
  <c r="AA11" i="4" a="1"/>
  <c r="BY32" i="4" a="1"/>
  <c r="CG32" i="4" a="1"/>
  <c r="CF32" i="4" a="1"/>
  <c r="BY33" i="4" a="1"/>
  <c r="CE33" i="4" a="1"/>
  <c r="R58" i="4" a="1"/>
  <c r="CE32" i="4" a="1"/>
  <c r="CB32" i="4" a="1"/>
  <c r="AC15" i="4" a="1"/>
  <c r="CF31" i="4" l="1"/>
  <c r="CH31" i="4"/>
  <c r="CB32" i="4"/>
  <c r="AA51" i="4"/>
  <c r="BY33" i="4"/>
  <c r="R58" i="4"/>
  <c r="AC15" i="4"/>
  <c r="R18" i="4"/>
  <c r="CE33" i="4"/>
  <c r="U16" i="4"/>
  <c r="CF32" i="4"/>
  <c r="AA53" i="4"/>
  <c r="CE32" i="4"/>
  <c r="CG32" i="4"/>
  <c r="BY32" i="4"/>
  <c r="AA11" i="4"/>
  <c r="AB56" i="4" a="1"/>
  <c r="AB56" i="4" s="1"/>
  <c r="U21" i="4" a="1"/>
  <c r="CC33" i="4" a="1"/>
  <c r="CD32" i="4" a="1"/>
  <c r="CB33" i="4" a="1"/>
  <c r="Y16" i="4" a="1"/>
  <c r="X57" i="4" a="1"/>
  <c r="CD31" i="4" a="1"/>
  <c r="CA32" i="4" a="1"/>
  <c r="BZ34" i="4" a="1"/>
  <c r="X17" i="4" a="1"/>
  <c r="CH32" i="4" a="1"/>
  <c r="CA32" i="4" l="1"/>
  <c r="CB33" i="4"/>
  <c r="CD31" i="4"/>
  <c r="CJ31" i="4" s="1" a="1"/>
  <c r="CJ31" i="4" s="1"/>
  <c r="CI31" i="4" s="1"/>
  <c r="CC33" i="4"/>
  <c r="U21" i="4"/>
  <c r="CH32" i="4"/>
  <c r="X57" i="4"/>
  <c r="X17" i="4"/>
  <c r="Y16" i="4"/>
  <c r="BZ34" i="4"/>
  <c r="CD32" i="4"/>
  <c r="V16" i="4"/>
  <c r="Q21" i="4"/>
  <c r="S21" i="4"/>
  <c r="P22" i="4" a="1"/>
  <c r="P22" i="4" s="1"/>
  <c r="R60" i="4" a="1"/>
  <c r="R60" i="4" s="1"/>
  <c r="U58" i="4" a="1"/>
  <c r="U58" i="4" s="1"/>
  <c r="T16" i="4"/>
  <c r="Q22" i="4" a="1"/>
  <c r="Q16" i="4" a="1"/>
  <c r="CA33" i="4" a="1"/>
  <c r="BZ35" i="4" a="1"/>
  <c r="CF33" i="4" a="1"/>
  <c r="CG33" i="4" a="1"/>
  <c r="CC34" i="4" a="1"/>
  <c r="CH33" i="4" a="1"/>
  <c r="CB34" i="4" a="1"/>
  <c r="CJ32" i="4" l="1" a="1"/>
  <c r="CJ32" i="4" s="1"/>
  <c r="CI32" i="4" s="1"/>
  <c r="BZ35" i="4"/>
  <c r="CF33" i="4"/>
  <c r="CA33" i="4"/>
  <c r="CH33" i="4"/>
  <c r="CC34" i="4"/>
  <c r="Q16" i="4"/>
  <c r="CG33" i="4"/>
  <c r="CB34" i="4"/>
  <c r="Q22" i="4"/>
  <c r="X20" i="4"/>
  <c r="AA17" i="4"/>
  <c r="Y17" i="4"/>
  <c r="Y20" i="4"/>
  <c r="Y15" i="4"/>
  <c r="Z20" i="4"/>
  <c r="AB20" i="4"/>
  <c r="Q62" i="4"/>
  <c r="U62" i="4"/>
  <c r="R57" i="4"/>
  <c r="T58" i="4" s="1"/>
  <c r="S62" i="4"/>
  <c r="R59" i="4"/>
  <c r="R62" i="4"/>
  <c r="S63" i="4" s="1"/>
  <c r="T59" i="4"/>
  <c r="Q63" i="4"/>
  <c r="Q58" i="4" a="1"/>
  <c r="Q58" i="4" s="1"/>
  <c r="V58" i="4"/>
  <c r="T18" i="4" a="1"/>
  <c r="AB16" i="4" a="1"/>
  <c r="Y18" i="4" a="1"/>
  <c r="T60" i="4" a="1"/>
  <c r="BY34" i="4" a="1"/>
  <c r="CE34" i="4" a="1"/>
  <c r="CF34" i="4" a="1"/>
  <c r="BY35" i="4" a="1"/>
  <c r="CE35" i="4" a="1"/>
  <c r="CA34" i="4" a="1"/>
  <c r="Y58" i="4" a="1"/>
  <c r="CG34" i="4" a="1"/>
  <c r="V22" i="4" a="1"/>
  <c r="BY35" i="4" l="1"/>
  <c r="Y58" i="4"/>
  <c r="BY34" i="4"/>
  <c r="CE35" i="4"/>
  <c r="T60" i="4"/>
  <c r="T18" i="4"/>
  <c r="CF34" i="4"/>
  <c r="Y18" i="4"/>
  <c r="AB16" i="4"/>
  <c r="CE34" i="4"/>
  <c r="CA34" i="4"/>
  <c r="CG34" i="4"/>
  <c r="V22" i="4"/>
  <c r="U63" i="4" a="1"/>
  <c r="U63" i="4" s="1"/>
  <c r="AB21" i="4" a="1"/>
  <c r="R23" i="4" a="1"/>
  <c r="CD33" i="4" a="1"/>
  <c r="CB35" i="4" a="1"/>
  <c r="CH34" i="4" a="1"/>
  <c r="CD34" i="4" a="1"/>
  <c r="CC35" i="4" a="1"/>
  <c r="Q24" i="4" a="1"/>
  <c r="BZ36" i="4" a="1"/>
  <c r="Q64" i="4" a="1"/>
  <c r="AB21" i="4" l="1"/>
  <c r="CD33" i="4"/>
  <c r="CJ33" i="4" s="1" a="1"/>
  <c r="CJ33" i="4" s="1"/>
  <c r="CI33" i="4" s="1"/>
  <c r="Q64" i="4"/>
  <c r="Q24" i="4"/>
  <c r="R23" i="4"/>
  <c r="CD34" i="4"/>
  <c r="CH34" i="4"/>
  <c r="BZ36" i="4"/>
  <c r="CC35" i="4"/>
  <c r="CB35" i="4"/>
  <c r="W22" i="4" a="1"/>
  <c r="W22" i="4" s="1"/>
  <c r="AB58" i="4" a="1"/>
  <c r="AB58" i="4" s="1"/>
  <c r="Y60" i="4" a="1"/>
  <c r="Y60" i="4" s="1"/>
  <c r="Z21" i="4"/>
  <c r="X21" i="4"/>
  <c r="AC16" i="4"/>
  <c r="X16" i="4" a="1"/>
  <c r="X22" i="4" a="1"/>
  <c r="AA16" i="4"/>
  <c r="CH35" i="4" a="1"/>
  <c r="CA35" i="4" a="1"/>
  <c r="CG35" i="4" a="1"/>
  <c r="CC36" i="4" a="1"/>
  <c r="CF35" i="4" a="1"/>
  <c r="BZ37" i="4" a="1"/>
  <c r="CB36" i="4" a="1"/>
  <c r="CJ34" i="4" l="1" a="1"/>
  <c r="CJ34" i="4" s="1"/>
  <c r="CI34" i="4" s="1"/>
  <c r="CF35" i="4"/>
  <c r="CG35" i="4"/>
  <c r="CC36" i="4"/>
  <c r="CB36" i="4"/>
  <c r="BZ37" i="4"/>
  <c r="X22" i="4"/>
  <c r="CA35" i="4"/>
  <c r="X16" i="4"/>
  <c r="CH35" i="4"/>
  <c r="Y57" i="4"/>
  <c r="AA58" i="4" s="1"/>
  <c r="AB62" i="4"/>
  <c r="AA59" i="4"/>
  <c r="X62" i="4"/>
  <c r="Z62" i="4"/>
  <c r="X63" i="4"/>
  <c r="Y62" i="4"/>
  <c r="Y59" i="4"/>
  <c r="X58" i="4" a="1"/>
  <c r="X58" i="4" s="1"/>
  <c r="AC58" i="4"/>
  <c r="U27" i="4"/>
  <c r="S27" i="4"/>
  <c r="Q27" i="4"/>
  <c r="R22" i="4"/>
  <c r="T24" i="4"/>
  <c r="R24" i="4"/>
  <c r="R27" i="4"/>
  <c r="AA18" i="4" a="1"/>
  <c r="R25" i="4" a="1"/>
  <c r="AA60" i="4" a="1"/>
  <c r="U23" i="4" a="1"/>
  <c r="R65" i="4" a="1"/>
  <c r="CE36" i="4" a="1"/>
  <c r="CA36" i="4" a="1"/>
  <c r="CF36" i="4" a="1"/>
  <c r="AC22" i="4" a="1"/>
  <c r="BY36" i="4" a="1"/>
  <c r="CE37" i="4" a="1"/>
  <c r="BY37" i="4" a="1"/>
  <c r="R25" i="4" l="1"/>
  <c r="CE36" i="4"/>
  <c r="AA18" i="4"/>
  <c r="CE37" i="4"/>
  <c r="CF36" i="4"/>
  <c r="U23" i="4"/>
  <c r="AC22" i="4"/>
  <c r="CA36" i="4"/>
  <c r="AA60" i="4"/>
  <c r="BY37" i="4"/>
  <c r="R65" i="4"/>
  <c r="BY36" i="4"/>
  <c r="Z63" i="4"/>
  <c r="AB63" i="4" a="1"/>
  <c r="AB63" i="4" s="1"/>
  <c r="U28" i="4" a="1"/>
  <c r="BZ38" i="4" a="1"/>
  <c r="CH36" i="4" a="1"/>
  <c r="Y23" i="4" a="1"/>
  <c r="X64" i="4" a="1"/>
  <c r="X24" i="4" a="1"/>
  <c r="CC37" i="4" a="1"/>
  <c r="CD36" i="4" a="1"/>
  <c r="CG36" i="4" a="1"/>
  <c r="CB37" i="4" a="1"/>
  <c r="CD35" i="4" a="1"/>
  <c r="CH36" i="4" l="1"/>
  <c r="CG36" i="4"/>
  <c r="X24" i="4"/>
  <c r="Y23" i="4"/>
  <c r="X64" i="4"/>
  <c r="BZ38" i="4"/>
  <c r="CD35" i="4"/>
  <c r="CJ35" i="4" s="1" a="1"/>
  <c r="CJ35" i="4" s="1"/>
  <c r="CI35" i="4" s="1"/>
  <c r="U28" i="4"/>
  <c r="CB37" i="4"/>
  <c r="CD36" i="4"/>
  <c r="CC37" i="4"/>
  <c r="P29" i="4" a="1"/>
  <c r="P29" i="4" s="1"/>
  <c r="V23" i="4"/>
  <c r="S28" i="4"/>
  <c r="Q28" i="4"/>
  <c r="U65" i="4" a="1"/>
  <c r="Q23" i="4" a="1"/>
  <c r="Q29" i="4" a="1"/>
  <c r="T23" i="4"/>
  <c r="R67" i="4" a="1"/>
  <c r="CA37" i="4" a="1"/>
  <c r="BZ39" i="4" a="1"/>
  <c r="CH37" i="4" a="1"/>
  <c r="CF37" i="4" a="1"/>
  <c r="CG37" i="4" a="1"/>
  <c r="U65" i="4" l="1"/>
  <c r="V65" i="4" s="1"/>
  <c r="R67" i="4"/>
  <c r="R69" i="4" s="1"/>
  <c r="Q70" i="4" s="1"/>
  <c r="CJ36" i="4" a="1"/>
  <c r="CJ36" i="4" s="1"/>
  <c r="CI36" i="4" s="1"/>
  <c r="CA37" i="4"/>
  <c r="CH37" i="4"/>
  <c r="CF37" i="4"/>
  <c r="Q23" i="4"/>
  <c r="Q29" i="4"/>
  <c r="BZ39" i="4"/>
  <c r="CG37" i="4"/>
  <c r="X27" i="4"/>
  <c r="Y24" i="4"/>
  <c r="AB27" i="4"/>
  <c r="Y27" i="4"/>
  <c r="AA24" i="4"/>
  <c r="Z27" i="4"/>
  <c r="Y22" i="4"/>
  <c r="Q65" i="4" a="1"/>
  <c r="Y25" i="4" a="1"/>
  <c r="AB23" i="4" a="1"/>
  <c r="T25" i="4" a="1"/>
  <c r="CF38" i="4" a="1"/>
  <c r="Y65" i="4" a="1"/>
  <c r="V29" i="4" a="1"/>
  <c r="CB38" i="4" a="1"/>
  <c r="CE38" i="4" a="1"/>
  <c r="CC38" i="4" a="1"/>
  <c r="BY39" i="4" a="1"/>
  <c r="CE39" i="4" a="1"/>
  <c r="R64" i="4" l="1"/>
  <c r="R66" i="4"/>
  <c r="Q69" i="4"/>
  <c r="S69" i="4"/>
  <c r="U69" i="4"/>
  <c r="T66" i="4"/>
  <c r="Q65" i="4"/>
  <c r="CC38" i="4"/>
  <c r="CB38" i="4"/>
  <c r="Y25" i="4"/>
  <c r="V29" i="4"/>
  <c r="AB23" i="4"/>
  <c r="T25" i="4"/>
  <c r="CF38" i="4"/>
  <c r="BY39" i="4"/>
  <c r="Y65" i="4"/>
  <c r="CE38" i="4"/>
  <c r="CE39" i="4"/>
  <c r="S70" i="4"/>
  <c r="AB28" i="4" a="1"/>
  <c r="T67" i="4" a="1"/>
  <c r="T65" i="4"/>
  <c r="CB39" i="4" a="1"/>
  <c r="CA38" i="4" a="1"/>
  <c r="CC39" i="4" a="1"/>
  <c r="R30" i="4" a="1"/>
  <c r="CG38" i="4" a="1"/>
  <c r="CD37" i="4" a="1"/>
  <c r="BZ40" i="4" a="1"/>
  <c r="BY38" i="4" a="1"/>
  <c r="Q71" i="4" a="1"/>
  <c r="Q31" i="4" a="1"/>
  <c r="BY38" i="4" l="1"/>
  <c r="T67" i="4"/>
  <c r="AB28" i="4"/>
  <c r="CD37" i="4"/>
  <c r="CJ37" i="4" s="1" a="1"/>
  <c r="CJ37" i="4" s="1"/>
  <c r="CI37" i="4" s="1"/>
  <c r="CA38" i="4"/>
  <c r="CG38" i="4"/>
  <c r="CB39" i="4"/>
  <c r="Q71" i="4"/>
  <c r="R30" i="4"/>
  <c r="Q31" i="4"/>
  <c r="CC39" i="4"/>
  <c r="BZ40" i="4"/>
  <c r="AC23" i="4"/>
  <c r="W29" i="4" a="1"/>
  <c r="W29" i="4" s="1"/>
  <c r="Z28" i="4"/>
  <c r="X28" i="4"/>
  <c r="X29" i="4" a="1"/>
  <c r="X23" i="4" a="1"/>
  <c r="AB65" i="4" a="1"/>
  <c r="AA23" i="4"/>
  <c r="Y67" i="4" a="1"/>
  <c r="U70" i="4" a="1"/>
  <c r="CG39" i="4" a="1"/>
  <c r="CD38" i="4" a="1"/>
  <c r="BZ41" i="4" a="1"/>
  <c r="CA39" i="4" a="1"/>
  <c r="CH39" i="4" a="1"/>
  <c r="CF39" i="4" a="1"/>
  <c r="U70" i="4" l="1"/>
  <c r="CD38" i="4"/>
  <c r="CG39" i="4"/>
  <c r="X29" i="4"/>
  <c r="CA39" i="4"/>
  <c r="AB65" i="4"/>
  <c r="Y67" i="4"/>
  <c r="X23" i="4"/>
  <c r="CF39" i="4"/>
  <c r="BZ41" i="4"/>
  <c r="CH39" i="4"/>
  <c r="Q34" i="4"/>
  <c r="R29" i="4"/>
  <c r="U34" i="4"/>
  <c r="S34" i="4"/>
  <c r="R34" i="4"/>
  <c r="T31" i="4"/>
  <c r="R31" i="4"/>
  <c r="CH38" i="4" a="1"/>
  <c r="AA25" i="4" a="1"/>
  <c r="U30" i="4" a="1"/>
  <c r="R32" i="4" a="1"/>
  <c r="CE41" i="4" a="1"/>
  <c r="R72" i="4" a="1"/>
  <c r="CC40" i="4" a="1"/>
  <c r="BY41" i="4" a="1"/>
  <c r="CB40" i="4" a="1"/>
  <c r="AC29" i="4" a="1"/>
  <c r="CH38" i="4" l="1"/>
  <c r="CJ38" i="4" s="1" a="1"/>
  <c r="CJ38" i="4" s="1"/>
  <c r="CI38" i="4" s="1"/>
  <c r="AA25" i="4"/>
  <c r="BY41" i="4"/>
  <c r="R72" i="4"/>
  <c r="CC40" i="4"/>
  <c r="CB40" i="4"/>
  <c r="CE41" i="4"/>
  <c r="R32" i="4"/>
  <c r="AC29" i="4"/>
  <c r="U30" i="4"/>
  <c r="Y66" i="4"/>
  <c r="AB69" i="4"/>
  <c r="Z69" i="4"/>
  <c r="AA66" i="4"/>
  <c r="Y69" i="4"/>
  <c r="Z70" i="4" s="1"/>
  <c r="X69" i="4"/>
  <c r="Y64" i="4"/>
  <c r="AC65" i="4"/>
  <c r="U35" i="4" a="1"/>
  <c r="X65" i="4" a="1"/>
  <c r="BZ42" i="4" a="1"/>
  <c r="CG40" i="4" a="1"/>
  <c r="CB41" i="4" a="1"/>
  <c r="CD39" i="4" a="1"/>
  <c r="CE40" i="4" a="1"/>
  <c r="BY40" i="4" a="1"/>
  <c r="CC41" i="4" a="1"/>
  <c r="X31" i="4" a="1"/>
  <c r="X70" i="4" l="1"/>
  <c r="CG40" i="4"/>
  <c r="BY40" i="4"/>
  <c r="X31" i="4"/>
  <c r="BZ42" i="4"/>
  <c r="CC41" i="4"/>
  <c r="X65" i="4"/>
  <c r="U35" i="4"/>
  <c r="CE40" i="4"/>
  <c r="CB41" i="4"/>
  <c r="CD39" i="4"/>
  <c r="CJ39" i="4" s="1" a="1"/>
  <c r="CJ39" i="4" s="1"/>
  <c r="CI39" i="4" s="1"/>
  <c r="P36" i="4" a="1"/>
  <c r="P36" i="4" s="1"/>
  <c r="S35" i="4"/>
  <c r="Q35" i="4"/>
  <c r="V30" i="4"/>
  <c r="U72" i="4" a="1"/>
  <c r="T30" i="4"/>
  <c r="AA67" i="4" a="1"/>
  <c r="AA65" i="4"/>
  <c r="Q36" i="4" a="1"/>
  <c r="AB70" i="4" a="1"/>
  <c r="R74" i="4" a="1"/>
  <c r="Q30" i="4" a="1"/>
  <c r="CG41" i="4" a="1"/>
  <c r="CA40" i="4" a="1"/>
  <c r="Y30" i="4" a="1"/>
  <c r="CH41" i="4" a="1"/>
  <c r="CA41" i="4" a="1"/>
  <c r="CF40" i="4" a="1"/>
  <c r="CF41" i="4" a="1"/>
  <c r="X71" i="4" a="1"/>
  <c r="X71" i="4" l="1"/>
  <c r="Y30" i="4"/>
  <c r="X34" i="4" s="1"/>
  <c r="U72" i="4"/>
  <c r="V72" i="4" s="1"/>
  <c r="R74" i="4"/>
  <c r="R71" i="4" s="1"/>
  <c r="CF40" i="4"/>
  <c r="CA41" i="4"/>
  <c r="AB70" i="4"/>
  <c r="Q36" i="4"/>
  <c r="CA40" i="4"/>
  <c r="CF41" i="4"/>
  <c r="CH41" i="4"/>
  <c r="Q30" i="4"/>
  <c r="CG41" i="4"/>
  <c r="AA67" i="4"/>
  <c r="T32" i="4" a="1"/>
  <c r="Q72" i="4" a="1"/>
  <c r="BY42" i="4" a="1"/>
  <c r="CD40" i="4" a="1"/>
  <c r="V36" i="4" a="1"/>
  <c r="CC42" i="4" a="1"/>
  <c r="BZ43" i="4" a="1"/>
  <c r="CB42" i="4" a="1"/>
  <c r="CH40" i="4" a="1"/>
  <c r="Y31" i="4" l="1"/>
  <c r="BZ43" i="4"/>
  <c r="Y34" i="4"/>
  <c r="AA31" i="4"/>
  <c r="Y29" i="4"/>
  <c r="Z34" i="4"/>
  <c r="AB34" i="4"/>
  <c r="R76" i="4"/>
  <c r="S76" i="4"/>
  <c r="R73" i="4"/>
  <c r="Q76" i="4"/>
  <c r="T73" i="4"/>
  <c r="U76" i="4"/>
  <c r="CC42" i="4"/>
  <c r="Q72" i="4"/>
  <c r="CB42" i="4"/>
  <c r="CD40" i="4"/>
  <c r="V36" i="4"/>
  <c r="BY42" i="4"/>
  <c r="CH40" i="4"/>
  <c r="T32" i="4"/>
  <c r="Y32" i="4" a="1"/>
  <c r="T72" i="4"/>
  <c r="T74" i="4" a="1"/>
  <c r="U77" i="4" a="1"/>
  <c r="CA42" i="4" a="1"/>
  <c r="CD41" i="4" a="1"/>
  <c r="CE42" i="4" a="1"/>
  <c r="CE43" i="4" a="1"/>
  <c r="Q78" i="4" a="1"/>
  <c r="Y72" i="4" a="1"/>
  <c r="BY43" i="4" a="1"/>
  <c r="Q38" i="4" a="1"/>
  <c r="R37" i="4" a="1"/>
  <c r="Y32" i="4" l="1"/>
  <c r="BY43" i="4"/>
  <c r="Y72" i="4"/>
  <c r="CE43" i="4"/>
  <c r="CE42" i="4"/>
  <c r="Q77" i="4"/>
  <c r="S77" i="4"/>
  <c r="U77" i="4"/>
  <c r="T74" i="4"/>
  <c r="CD41" i="4"/>
  <c r="CJ41" i="4" s="1" a="1"/>
  <c r="CJ41" i="4" s="1"/>
  <c r="CI41" i="4" s="1"/>
  <c r="Q38" i="4"/>
  <c r="Q78" i="4"/>
  <c r="R37" i="4"/>
  <c r="CA42" i="4"/>
  <c r="W36" i="4" a="1"/>
  <c r="W36" i="4" s="1"/>
  <c r="CJ40" i="4" a="1"/>
  <c r="CJ40" i="4" s="1"/>
  <c r="CI40" i="4" s="1"/>
  <c r="Z35" i="4"/>
  <c r="X35" i="4"/>
  <c r="AB72" i="4" a="1"/>
  <c r="AB35" i="4" a="1"/>
  <c r="X30" i="4" a="1"/>
  <c r="X36" i="4" a="1"/>
  <c r="CC43" i="4" a="1"/>
  <c r="CF42" i="4" a="1"/>
  <c r="CG43" i="4" a="1"/>
  <c r="BZ44" i="4" a="1"/>
  <c r="CD42" i="4" a="1"/>
  <c r="CF43" i="4" a="1"/>
  <c r="CG42" i="4" a="1"/>
  <c r="BZ45" i="4" a="1"/>
  <c r="CH42" i="4" a="1"/>
  <c r="CC43" i="4" l="1"/>
  <c r="AB35" i="4"/>
  <c r="BZ44" i="4"/>
  <c r="CG42" i="4"/>
  <c r="CF42" i="4"/>
  <c r="CD42" i="4"/>
  <c r="CH42" i="4"/>
  <c r="X36" i="4"/>
  <c r="CF43" i="4"/>
  <c r="X30" i="4"/>
  <c r="CG43" i="4"/>
  <c r="AB72" i="4"/>
  <c r="BZ45" i="4"/>
  <c r="S41" i="4"/>
  <c r="R41" i="4"/>
  <c r="R36" i="4"/>
  <c r="R38" i="4"/>
  <c r="Q41" i="4"/>
  <c r="T38" i="4"/>
  <c r="U41" i="4"/>
  <c r="Y74" i="4" a="1"/>
  <c r="AA32" i="4" a="1"/>
  <c r="CH43" i="4" a="1"/>
  <c r="AB30" i="4" a="1"/>
  <c r="R39" i="4" a="1"/>
  <c r="CE45" i="4" a="1"/>
  <c r="BY45" i="4" a="1"/>
  <c r="CB44" i="4" a="1"/>
  <c r="R79" i="4" a="1"/>
  <c r="AC36" i="4" a="1"/>
  <c r="Y74" i="4" l="1"/>
  <c r="X76" i="4" s="1"/>
  <c r="AB30" i="4"/>
  <c r="AC30" i="4" s="1"/>
  <c r="CH43" i="4"/>
  <c r="CJ42" i="4" a="1"/>
  <c r="CJ42" i="4" s="1"/>
  <c r="CI42" i="4" s="1"/>
  <c r="CE45" i="4"/>
  <c r="CB44" i="4"/>
  <c r="AA32" i="4"/>
  <c r="R39" i="4"/>
  <c r="AC36" i="4"/>
  <c r="BY45" i="4"/>
  <c r="R79" i="4"/>
  <c r="AC72" i="4"/>
  <c r="X72" i="4" a="1"/>
  <c r="CC44" i="4" a="1"/>
  <c r="CB43" i="4" a="1"/>
  <c r="U42" i="4" a="1"/>
  <c r="CD43" i="4" a="1"/>
  <c r="CC45" i="4" a="1"/>
  <c r="X78" i="4" a="1"/>
  <c r="BZ46" i="4" a="1"/>
  <c r="Y37" i="4" a="1"/>
  <c r="Y71" i="4" l="1"/>
  <c r="Y76" i="4"/>
  <c r="X77" i="4" s="1"/>
  <c r="AA73" i="4"/>
  <c r="CC44" i="4"/>
  <c r="Y73" i="4"/>
  <c r="Z76" i="4"/>
  <c r="AB76" i="4"/>
  <c r="CB43" i="4"/>
  <c r="BZ46" i="4"/>
  <c r="X72" i="4"/>
  <c r="X78" i="4"/>
  <c r="Y37" i="4"/>
  <c r="CC45" i="4"/>
  <c r="CD43" i="4"/>
  <c r="U42" i="4"/>
  <c r="AE1" i="4" a="1"/>
  <c r="AE1" i="4" s="1"/>
  <c r="S42" i="4"/>
  <c r="Q42" i="4"/>
  <c r="U79" i="4" a="1"/>
  <c r="R81" i="4" a="1"/>
  <c r="BY44" i="4" a="1"/>
  <c r="AA72" i="4"/>
  <c r="CA44" i="4" s="1" a="1"/>
  <c r="CE44" i="4" a="1"/>
  <c r="AA30" i="4"/>
  <c r="U37" i="4" a="1"/>
  <c r="AB77" i="4" a="1"/>
  <c r="CA43" i="4" a="1"/>
  <c r="AF1" i="4" a="1"/>
  <c r="Q37" i="4" a="1"/>
  <c r="AA74" i="4" a="1"/>
  <c r="CH45" i="4" a="1"/>
  <c r="BZ47" i="4" a="1"/>
  <c r="X38" i="4" a="1"/>
  <c r="CG45" i="4" a="1"/>
  <c r="CF45" i="4" a="1"/>
  <c r="CF44" i="4" a="1"/>
  <c r="R81" i="4" l="1"/>
  <c r="Q83" i="4" s="1"/>
  <c r="U79" i="4"/>
  <c r="V79" i="4" s="1"/>
  <c r="CE44" i="4"/>
  <c r="CA44" i="4"/>
  <c r="BY44" i="4"/>
  <c r="Z77" i="4"/>
  <c r="U37" i="4"/>
  <c r="CA43" i="4"/>
  <c r="CJ43" i="4" s="1" a="1"/>
  <c r="CJ43" i="4" s="1"/>
  <c r="CI43" i="4" s="1"/>
  <c r="X38" i="4"/>
  <c r="CF44" i="4"/>
  <c r="AF1" i="4"/>
  <c r="BZ47" i="4"/>
  <c r="AB77" i="4"/>
  <c r="CF45" i="4"/>
  <c r="Q37" i="4"/>
  <c r="AA74" i="4"/>
  <c r="CG45" i="4"/>
  <c r="CH45" i="4"/>
  <c r="AB41" i="4"/>
  <c r="AA38" i="4"/>
  <c r="X41" i="4"/>
  <c r="Y36" i="4"/>
  <c r="Y38" i="4"/>
  <c r="Z41" i="4"/>
  <c r="Y41" i="4"/>
  <c r="CC46" i="4" a="1"/>
  <c r="CB46" i="4" a="1"/>
  <c r="CG44" i="4" a="1"/>
  <c r="T37" i="4"/>
  <c r="CA45" i="4" s="1" a="1"/>
  <c r="CB45" i="4" a="1"/>
  <c r="T39" i="4" a="1"/>
  <c r="Y39" i="4" a="1"/>
  <c r="Y79" i="4" a="1"/>
  <c r="CD44" i="4" a="1"/>
  <c r="CH44" i="4" a="1"/>
  <c r="BY47" i="4" a="1"/>
  <c r="CE47" i="4" a="1"/>
  <c r="AK1" i="4" a="1"/>
  <c r="T80" i="4" l="1"/>
  <c r="R83" i="4"/>
  <c r="Q84" i="4" s="1"/>
  <c r="S83" i="4"/>
  <c r="R78" i="4"/>
  <c r="R80" i="4"/>
  <c r="CB46" i="4"/>
  <c r="CC46" i="4"/>
  <c r="U83" i="4"/>
  <c r="CG44" i="4"/>
  <c r="CB45" i="4"/>
  <c r="CA45" i="4"/>
  <c r="V37" i="4"/>
  <c r="CE47" i="4"/>
  <c r="CH44" i="4"/>
  <c r="BY47" i="4"/>
  <c r="Y79" i="4"/>
  <c r="CD44" i="4"/>
  <c r="T39" i="4"/>
  <c r="AK1" i="4"/>
  <c r="Y39" i="4"/>
  <c r="BY46" i="4" a="1"/>
  <c r="CE46" i="4" a="1"/>
  <c r="CF46" i="4" a="1"/>
  <c r="Q79" i="4" a="1"/>
  <c r="T79" i="4"/>
  <c r="U84" i="4" a="1"/>
  <c r="AB42" i="4" a="1"/>
  <c r="AG2" i="4" a="1"/>
  <c r="CD45" i="4" a="1"/>
  <c r="CA46" i="4" a="1"/>
  <c r="BZ48" i="4" a="1"/>
  <c r="CC47" i="4" a="1"/>
  <c r="AF43" i="4" a="1"/>
  <c r="AF3" i="4" a="1"/>
  <c r="CE46" i="4" l="1"/>
  <c r="BY46" i="4"/>
  <c r="S84" i="4"/>
  <c r="U84" i="4"/>
  <c r="Q79" i="4"/>
  <c r="CF46" i="4"/>
  <c r="AB42" i="4"/>
  <c r="BZ48" i="4"/>
  <c r="CC47" i="4"/>
  <c r="AF43" i="4"/>
  <c r="AG2" i="4"/>
  <c r="AF3" i="4"/>
  <c r="CD45" i="4"/>
  <c r="CJ45" i="4" s="1" a="1"/>
  <c r="CJ45" i="4" s="1"/>
  <c r="CI45" i="4" s="1"/>
  <c r="CA46" i="4"/>
  <c r="AB79" i="4" a="1"/>
  <c r="AB79" i="4" s="1"/>
  <c r="Y81" i="4" a="1"/>
  <c r="Y81" i="4" s="1"/>
  <c r="X42" i="4"/>
  <c r="Z42" i="4"/>
  <c r="AL1" i="4" a="1"/>
  <c r="AL1" i="4" s="1"/>
  <c r="CJ44" i="4" a="1"/>
  <c r="CJ44" i="4" s="1"/>
  <c r="CI44" i="4" s="1"/>
  <c r="CG46" i="4" a="1"/>
  <c r="T81" i="4" a="1"/>
  <c r="AB37" i="4" a="1"/>
  <c r="CH46" i="4" a="1"/>
  <c r="X37" i="4" a="1"/>
  <c r="AM1" i="4" a="1"/>
  <c r="CC48" i="4" a="1"/>
  <c r="CH47" i="4" a="1"/>
  <c r="CB48" i="4" a="1"/>
  <c r="CF47" i="4" a="1"/>
  <c r="CG47" i="4" a="1"/>
  <c r="CG46" i="4" l="1"/>
  <c r="CH46" i="4"/>
  <c r="AB37" i="4"/>
  <c r="T81" i="4"/>
  <c r="CG47" i="4"/>
  <c r="CF47" i="4"/>
  <c r="CC48" i="4"/>
  <c r="CB48" i="4"/>
  <c r="AM1" i="4"/>
  <c r="X37" i="4"/>
  <c r="CH47" i="4"/>
  <c r="Y78" i="4"/>
  <c r="AA79" i="4" s="1"/>
  <c r="AB83" i="4"/>
  <c r="Y80" i="4"/>
  <c r="Z83" i="4"/>
  <c r="Y83" i="4"/>
  <c r="X83" i="4"/>
  <c r="X84" i="4"/>
  <c r="AA80" i="4"/>
  <c r="X79" i="4" a="1"/>
  <c r="X79" i="4" s="1"/>
  <c r="AI3" i="4"/>
  <c r="AG3" i="4"/>
  <c r="BZ49" i="4"/>
  <c r="AG1" i="4"/>
  <c r="AH6" i="4"/>
  <c r="AG6" i="4"/>
  <c r="CE49" i="4" s="1"/>
  <c r="AF6" i="4"/>
  <c r="AJ6" i="4"/>
  <c r="AC79" i="4"/>
  <c r="AA37" i="4"/>
  <c r="CA47" i="4" s="1" a="1"/>
  <c r="CB47" i="4" a="1"/>
  <c r="CD46" i="4" a="1"/>
  <c r="AA39" i="4" a="1"/>
  <c r="AA81" i="4" a="1"/>
  <c r="AJ2" i="4" a="1"/>
  <c r="AG4" i="4" a="1"/>
  <c r="BY48" i="4" a="1"/>
  <c r="CF48" i="4" a="1"/>
  <c r="AR1" i="4" a="1"/>
  <c r="AG44" i="4" a="1"/>
  <c r="CA48" i="4" a="1"/>
  <c r="CE48" i="4" a="1"/>
  <c r="CD46" i="4" l="1"/>
  <c r="CJ46" i="4" s="1" a="1"/>
  <c r="CJ46" i="4" s="1"/>
  <c r="CI46" i="4" s="1"/>
  <c r="CB47" i="4"/>
  <c r="CA47" i="4"/>
  <c r="AC37" i="4"/>
  <c r="CE48" i="4"/>
  <c r="AA39" i="4"/>
  <c r="AR1" i="4"/>
  <c r="AG4" i="4"/>
  <c r="AA81" i="4"/>
  <c r="AJ2" i="4"/>
  <c r="BY48" i="4"/>
  <c r="CA48" i="4"/>
  <c r="AG44" i="4"/>
  <c r="CF48" i="4"/>
  <c r="Z84" i="4"/>
  <c r="AB84" i="4" a="1"/>
  <c r="AB84" i="4" s="1"/>
  <c r="BY49" i="4"/>
  <c r="AJ7" i="4" a="1"/>
  <c r="CD47" i="4" a="1"/>
  <c r="AM43" i="4" a="1"/>
  <c r="CD48" i="4" a="1"/>
  <c r="CH48" i="4" a="1"/>
  <c r="BZ50" i="4" a="1"/>
  <c r="CG48" i="4" a="1"/>
  <c r="AM3" i="4" a="1"/>
  <c r="AJ7" i="4" l="1"/>
  <c r="CH49" i="4" s="1"/>
  <c r="CH48" i="4"/>
  <c r="CD48" i="4"/>
  <c r="CG48" i="4"/>
  <c r="AM43" i="4"/>
  <c r="AM3" i="4"/>
  <c r="CD47" i="4"/>
  <c r="CJ47" i="4" s="1" a="1"/>
  <c r="CJ47" i="4" s="1"/>
  <c r="CI47" i="4" s="1"/>
  <c r="BZ50" i="4"/>
  <c r="CB49" i="4"/>
  <c r="AK2" i="4"/>
  <c r="CC49" i="4"/>
  <c r="AH7" i="4"/>
  <c r="CG49" i="4" s="1"/>
  <c r="AF7" i="4"/>
  <c r="CF49" i="4" s="1"/>
  <c r="AE8" i="4" a="1"/>
  <c r="AE8" i="4" s="1"/>
  <c r="AJ44" i="4" a="1"/>
  <c r="AJ44" i="4" s="1"/>
  <c r="AG46" i="4" a="1"/>
  <c r="AG46" i="4" s="1"/>
  <c r="AF2" i="4" a="1"/>
  <c r="AI2" i="4"/>
  <c r="AF8" i="4" a="1"/>
  <c r="CB50" i="4" a="1"/>
  <c r="CC50" i="4" a="1"/>
  <c r="AN2" i="4" a="1"/>
  <c r="AN2" i="4" l="1"/>
  <c r="AQ6" i="4" s="1"/>
  <c r="CJ48" i="4" a="1"/>
  <c r="CJ48" i="4" s="1"/>
  <c r="CI48" i="4" s="1"/>
  <c r="CC50" i="4"/>
  <c r="AF8" i="4"/>
  <c r="CA49" i="4"/>
  <c r="CB50" i="4"/>
  <c r="AF2" i="4"/>
  <c r="AF48" i="4"/>
  <c r="AG43" i="4"/>
  <c r="AI44" i="4" s="1"/>
  <c r="AJ48" i="4"/>
  <c r="AI45" i="4"/>
  <c r="AF49" i="4"/>
  <c r="AH48" i="4"/>
  <c r="AG45" i="4"/>
  <c r="AG48" i="4"/>
  <c r="AH49" i="4" s="1"/>
  <c r="AF44" i="4" a="1"/>
  <c r="AF44" i="4" s="1"/>
  <c r="AK44" i="4"/>
  <c r="AI46" i="4" a="1"/>
  <c r="AQ2" i="4" a="1"/>
  <c r="AN4" i="4" a="1"/>
  <c r="AI4" i="4" a="1"/>
  <c r="BY50" i="4" a="1"/>
  <c r="CE50" i="4" a="1"/>
  <c r="CA50" i="4" a="1"/>
  <c r="CF50" i="4" a="1"/>
  <c r="CG50" i="4" a="1"/>
  <c r="AK8" i="4" a="1"/>
  <c r="AO6" i="4" l="1"/>
  <c r="AM6" i="4"/>
  <c r="AN1" i="4"/>
  <c r="BY51" i="4" s="1"/>
  <c r="BZ51" i="4"/>
  <c r="AN6" i="4"/>
  <c r="CE51" i="4" s="1"/>
  <c r="AP3" i="4"/>
  <c r="AN3" i="4"/>
  <c r="CG50" i="4"/>
  <c r="AN4" i="4"/>
  <c r="CE50" i="4"/>
  <c r="AQ2" i="4"/>
  <c r="AI4" i="4"/>
  <c r="CD49" i="4" s="1"/>
  <c r="CJ49" i="4" s="1" a="1"/>
  <c r="CJ49" i="4" s="1"/>
  <c r="CI49" i="4" s="1"/>
  <c r="CF50" i="4"/>
  <c r="AK8" i="4"/>
  <c r="CA50" i="4"/>
  <c r="AI46" i="4"/>
  <c r="BY50" i="4"/>
  <c r="AJ49" i="4" a="1"/>
  <c r="AJ49" i="4" s="1"/>
  <c r="AN44" i="4" a="1"/>
  <c r="AQ7" i="4" a="1"/>
  <c r="CD50" i="4" a="1"/>
  <c r="CH50" i="4" a="1"/>
  <c r="AG9" i="4" a="1"/>
  <c r="AF10" i="4" a="1"/>
  <c r="AN44" i="4" l="1"/>
  <c r="AN46" i="4" s="1" a="1"/>
  <c r="AN46" i="4" s="1"/>
  <c r="AQ7" i="4"/>
  <c r="CH51" i="4" s="1"/>
  <c r="AG9" i="4"/>
  <c r="AF10" i="4"/>
  <c r="CD50" i="4"/>
  <c r="CH50" i="4"/>
  <c r="AL8" i="4" a="1"/>
  <c r="AL8" i="4" s="1"/>
  <c r="CB51" i="4"/>
  <c r="AR2" i="4"/>
  <c r="CC51" i="4"/>
  <c r="AM7" i="4"/>
  <c r="CF51" i="4" s="1"/>
  <c r="AO7" i="4"/>
  <c r="CG51" i="4" s="1"/>
  <c r="BZ52" i="4" a="1"/>
  <c r="AM2" i="4" a="1"/>
  <c r="AP2" i="4"/>
  <c r="AM8" i="4" a="1"/>
  <c r="BZ53" i="4" a="1"/>
  <c r="CC52" i="4" a="1"/>
  <c r="AF50" i="4" a="1"/>
  <c r="AQ44" i="4" l="1" a="1"/>
  <c r="AQ44" i="4" s="1"/>
  <c r="AR44" i="4" s="1"/>
  <c r="BZ52" i="4"/>
  <c r="AF50" i="4"/>
  <c r="CJ50" i="4" a="1"/>
  <c r="CJ50" i="4" s="1"/>
  <c r="CI50" i="4" s="1"/>
  <c r="CA51" i="4"/>
  <c r="BZ53" i="4"/>
  <c r="AM8" i="4"/>
  <c r="AM2" i="4"/>
  <c r="CC52" i="4"/>
  <c r="AG10" i="4"/>
  <c r="AI10" i="4"/>
  <c r="AH13" i="4"/>
  <c r="AG13" i="4"/>
  <c r="AG8" i="4"/>
  <c r="AF13" i="4"/>
  <c r="AJ13" i="4"/>
  <c r="AM49" i="4"/>
  <c r="AO48" i="4"/>
  <c r="AM48" i="4"/>
  <c r="AN45" i="4"/>
  <c r="AN43" i="4"/>
  <c r="AQ48" i="4"/>
  <c r="AN48" i="4"/>
  <c r="AO49" i="4" s="1"/>
  <c r="AP45" i="4"/>
  <c r="AM44" i="4" a="1"/>
  <c r="AM44" i="4" s="1"/>
  <c r="CB52" i="4" a="1"/>
  <c r="AJ9" i="4" a="1"/>
  <c r="AP46" i="4" a="1"/>
  <c r="AP4" i="4" a="1"/>
  <c r="AG11" i="4" a="1"/>
  <c r="CE52" i="4" a="1"/>
  <c r="CE53" i="4" a="1"/>
  <c r="CG52" i="4" a="1"/>
  <c r="CF52" i="4" a="1"/>
  <c r="BY53" i="4" a="1"/>
  <c r="AR8" i="4" a="1"/>
  <c r="AG51" i="4" a="1"/>
  <c r="BY52" i="4" a="1"/>
  <c r="CB52" i="4" l="1"/>
  <c r="AP46" i="4"/>
  <c r="CF52" i="4"/>
  <c r="AJ9" i="4"/>
  <c r="AG11" i="4"/>
  <c r="CE52" i="4"/>
  <c r="AP4" i="4"/>
  <c r="CD51" i="4" s="1"/>
  <c r="CJ51" i="4" s="1" a="1"/>
  <c r="CJ51" i="4" s="1"/>
  <c r="CI51" i="4" s="1"/>
  <c r="BY52" i="4"/>
  <c r="BY53" i="4"/>
  <c r="AG51" i="4"/>
  <c r="AR8" i="4"/>
  <c r="CG52" i="4"/>
  <c r="CE53" i="4"/>
  <c r="AP44" i="4"/>
  <c r="AQ49" i="4" a="1"/>
  <c r="AQ49" i="4" s="1"/>
  <c r="AJ14" i="4" a="1"/>
  <c r="CA52" i="4" a="1"/>
  <c r="CH52" i="4" a="1"/>
  <c r="BZ54" i="4" a="1"/>
  <c r="CD52" i="4" a="1"/>
  <c r="CB53" i="4" a="1"/>
  <c r="CC53" i="4" a="1"/>
  <c r="AM50" i="4" a="1"/>
  <c r="AJ14" i="4" l="1"/>
  <c r="CH52" i="4"/>
  <c r="CA52" i="4"/>
  <c r="CC53" i="4"/>
  <c r="CB53" i="4"/>
  <c r="AM50" i="4"/>
  <c r="BZ54" i="4"/>
  <c r="CD52" i="4"/>
  <c r="AF14" i="4"/>
  <c r="AH14" i="4"/>
  <c r="AK9" i="4"/>
  <c r="AE15" i="4" a="1"/>
  <c r="AE15" i="4" s="1"/>
  <c r="AJ51" i="4" a="1"/>
  <c r="AJ51" i="4" s="1"/>
  <c r="AG53" i="4" a="1"/>
  <c r="AG53" i="4" s="1"/>
  <c r="AF15" i="4" a="1"/>
  <c r="AF9" i="4" a="1"/>
  <c r="AI9" i="4"/>
  <c r="CF53" i="4" a="1"/>
  <c r="CH53" i="4" a="1"/>
  <c r="CA53" i="4" a="1"/>
  <c r="AM10" i="4" a="1"/>
  <c r="CB54" i="4" a="1"/>
  <c r="CG53" i="4" a="1"/>
  <c r="CC54" i="4" a="1"/>
  <c r="AN9" i="4" a="1"/>
  <c r="AN9" i="4" l="1"/>
  <c r="AO13" i="4" s="1"/>
  <c r="AM10" i="4"/>
  <c r="CJ52" i="4" a="1"/>
  <c r="CJ52" i="4" s="1"/>
  <c r="CI52" i="4" s="1"/>
  <c r="CG53" i="4"/>
  <c r="CF53" i="4"/>
  <c r="CA53" i="4"/>
  <c r="CC54" i="4"/>
  <c r="AF15" i="4"/>
  <c r="AF9" i="4"/>
  <c r="CB54" i="4"/>
  <c r="CH53" i="4"/>
  <c r="AF55" i="4"/>
  <c r="AG52" i="4"/>
  <c r="AG50" i="4"/>
  <c r="AI51" i="4" s="1"/>
  <c r="AG55" i="4"/>
  <c r="AJ55" i="4"/>
  <c r="AF56" i="4"/>
  <c r="AI52" i="4"/>
  <c r="AH55" i="4"/>
  <c r="AF51" i="4" a="1"/>
  <c r="AF51" i="4" s="1"/>
  <c r="AK51" i="4"/>
  <c r="AQ9" i="4" a="1"/>
  <c r="AI11" i="4" a="1"/>
  <c r="AI53" i="4" a="1"/>
  <c r="CE54" i="4" a="1"/>
  <c r="CF54" i="4" a="1"/>
  <c r="CA54" i="4" a="1"/>
  <c r="BZ55" i="4" a="1"/>
  <c r="AK15" i="4" a="1"/>
  <c r="BY54" i="4" a="1"/>
  <c r="AN8" i="4" l="1"/>
  <c r="BZ55" i="4"/>
  <c r="AQ13" i="4"/>
  <c r="AN10" i="4"/>
  <c r="AP10" i="4"/>
  <c r="AM13" i="4"/>
  <c r="AN13" i="4"/>
  <c r="CF54" i="4"/>
  <c r="AQ9" i="4"/>
  <c r="AI11" i="4"/>
  <c r="CE54" i="4"/>
  <c r="AK15" i="4"/>
  <c r="BY54" i="4"/>
  <c r="CA54" i="4"/>
  <c r="AI53" i="4"/>
  <c r="AJ56" i="4" a="1"/>
  <c r="AJ56" i="4" s="1"/>
  <c r="AH56" i="4"/>
  <c r="AN51" i="4" a="1"/>
  <c r="BY55" i="4" a="1"/>
  <c r="AN11" i="4" a="1"/>
  <c r="AF57" i="4" a="1"/>
  <c r="AF17" i="4" a="1"/>
  <c r="CB55" i="4" a="1"/>
  <c r="CE55" i="4" a="1"/>
  <c r="CD54" i="4" a="1"/>
  <c r="CG54" i="4" a="1"/>
  <c r="CH54" i="4" a="1"/>
  <c r="CD53" i="4" a="1"/>
  <c r="AG16" i="4" a="1"/>
  <c r="BY55" i="4" l="1"/>
  <c r="AN51" i="4"/>
  <c r="AN53" i="4" s="1" a="1"/>
  <c r="AN53" i="4" s="1"/>
  <c r="AN11" i="4"/>
  <c r="AM14" i="4" s="1"/>
  <c r="CE55" i="4"/>
  <c r="CG54" i="4"/>
  <c r="CH54" i="4"/>
  <c r="AF57" i="4"/>
  <c r="AF17" i="4"/>
  <c r="AG16" i="4"/>
  <c r="CD53" i="4"/>
  <c r="CJ53" i="4" s="1" a="1"/>
  <c r="CJ53" i="4" s="1"/>
  <c r="CI53" i="4" s="1"/>
  <c r="CB55" i="4"/>
  <c r="CD54" i="4"/>
  <c r="AL15" i="4" a="1"/>
  <c r="AL15" i="4" s="1"/>
  <c r="AR9" i="4"/>
  <c r="BZ56" i="4" a="1"/>
  <c r="CC55" i="4" a="1"/>
  <c r="AQ14" i="4" a="1"/>
  <c r="AP9" i="4"/>
  <c r="AM15" i="4" a="1"/>
  <c r="AM9" i="4" a="1"/>
  <c r="CC56" i="4" a="1"/>
  <c r="BZ57" i="4" a="1"/>
  <c r="CF55" i="4" a="1"/>
  <c r="CA55" i="4" a="1"/>
  <c r="AQ51" i="4" l="1" a="1"/>
  <c r="AQ51" i="4" s="1"/>
  <c r="AR51" i="4" s="1"/>
  <c r="AO14" i="4"/>
  <c r="BZ56" i="4"/>
  <c r="AQ14" i="4"/>
  <c r="CC55" i="4"/>
  <c r="CJ54" i="4" a="1"/>
  <c r="CJ54" i="4" s="1"/>
  <c r="CI54" i="4" s="1"/>
  <c r="AM15" i="4"/>
  <c r="CC56" i="4"/>
  <c r="BZ57" i="4"/>
  <c r="CA55" i="4"/>
  <c r="AM9" i="4"/>
  <c r="CF55" i="4"/>
  <c r="AQ55" i="4"/>
  <c r="AO55" i="4"/>
  <c r="AM55" i="4"/>
  <c r="AM56" i="4"/>
  <c r="AN55" i="4"/>
  <c r="AO56" i="4" s="1"/>
  <c r="AP52" i="4"/>
  <c r="AN52" i="4"/>
  <c r="AN50" i="4"/>
  <c r="AM51" i="4" a="1"/>
  <c r="AM51" i="4" s="1"/>
  <c r="AF20" i="4"/>
  <c r="AG17" i="4"/>
  <c r="AI17" i="4"/>
  <c r="AH20" i="4"/>
  <c r="AG20" i="4"/>
  <c r="AJ20" i="4"/>
  <c r="AG15" i="4"/>
  <c r="CB56" i="4" a="1"/>
  <c r="CG55" i="4" a="1"/>
  <c r="CH55" i="4" a="1"/>
  <c r="AJ16" i="4" a="1"/>
  <c r="AP11" i="4" a="1"/>
  <c r="AP53" i="4" a="1"/>
  <c r="AG18" i="4" a="1"/>
  <c r="AG58" i="4" a="1"/>
  <c r="CE56" i="4" a="1"/>
  <c r="BY56" i="4" a="1"/>
  <c r="CE57" i="4" a="1"/>
  <c r="CG56" i="4" a="1"/>
  <c r="BY57" i="4" a="1"/>
  <c r="CF56" i="4" a="1"/>
  <c r="AR15" i="4" a="1"/>
  <c r="CB56" i="4" l="1"/>
  <c r="CG55" i="4"/>
  <c r="CH55" i="4"/>
  <c r="CG56" i="4"/>
  <c r="BY57" i="4"/>
  <c r="AG58" i="4"/>
  <c r="AP11" i="4"/>
  <c r="CE57" i="4"/>
  <c r="BY56" i="4"/>
  <c r="AJ16" i="4"/>
  <c r="AP53" i="4"/>
  <c r="AG18" i="4"/>
  <c r="CE56" i="4"/>
  <c r="AR15" i="4"/>
  <c r="CF56" i="4"/>
  <c r="AQ56" i="4" a="1"/>
  <c r="AQ56" i="4" s="1"/>
  <c r="AP51" i="4"/>
  <c r="AJ21" i="4" a="1"/>
  <c r="CD55" i="4" a="1"/>
  <c r="AN16" i="4" a="1"/>
  <c r="CC57" i="4" a="1"/>
  <c r="BZ58" i="4" a="1"/>
  <c r="CH56" i="4" a="1"/>
  <c r="AM57" i="4" a="1"/>
  <c r="CB57" i="4" a="1"/>
  <c r="CD56" i="4" a="1"/>
  <c r="CA56" i="4" a="1"/>
  <c r="AM17" i="4" a="1"/>
  <c r="CA56" i="4" l="1"/>
  <c r="CH56" i="4"/>
  <c r="CB57" i="4"/>
  <c r="AJ21" i="4"/>
  <c r="CD55" i="4"/>
  <c r="CJ55" i="4" s="1" a="1"/>
  <c r="CJ55" i="4" s="1"/>
  <c r="CI55" i="4" s="1"/>
  <c r="AM57" i="4"/>
  <c r="AM17" i="4"/>
  <c r="AN16" i="4"/>
  <c r="BZ58" i="4"/>
  <c r="CD56" i="4"/>
  <c r="CC57" i="4"/>
  <c r="AK16" i="4"/>
  <c r="AE22" i="4" a="1"/>
  <c r="AE22" i="4" s="1"/>
  <c r="AJ58" i="4" a="1"/>
  <c r="AJ58" i="4" s="1"/>
  <c r="AG60" i="4" a="1"/>
  <c r="AG60" i="4" s="1"/>
  <c r="AH21" i="4"/>
  <c r="AF21" i="4"/>
  <c r="AF22" i="4" a="1"/>
  <c r="AF16" i="4" a="1"/>
  <c r="AI16" i="4"/>
  <c r="CB58" i="4" a="1"/>
  <c r="BZ59" i="4" a="1"/>
  <c r="CA57" i="4" a="1"/>
  <c r="CG57" i="4" a="1"/>
  <c r="CH57" i="4" a="1"/>
  <c r="CC58" i="4" a="1"/>
  <c r="CF57" i="4" a="1"/>
  <c r="CJ56" i="4" l="1" a="1"/>
  <c r="CJ56" i="4" s="1"/>
  <c r="CI56" i="4" s="1"/>
  <c r="AF22" i="4"/>
  <c r="CB58" i="4"/>
  <c r="BZ59" i="4"/>
  <c r="AF16" i="4"/>
  <c r="CF57" i="4"/>
  <c r="CH57" i="4"/>
  <c r="CG57" i="4"/>
  <c r="CA57" i="4"/>
  <c r="CC58" i="4"/>
  <c r="AK58" i="4"/>
  <c r="AQ20" i="4"/>
  <c r="AN20" i="4"/>
  <c r="AP17" i="4"/>
  <c r="AO20" i="4"/>
  <c r="AN15" i="4"/>
  <c r="AM20" i="4"/>
  <c r="AN17" i="4"/>
  <c r="AG57" i="4"/>
  <c r="AI58" i="4" s="1"/>
  <c r="AH62" i="4"/>
  <c r="AI59" i="4"/>
  <c r="AG59" i="4"/>
  <c r="AJ62" i="4"/>
  <c r="AG62" i="4"/>
  <c r="AF63" i="4"/>
  <c r="AF62" i="4"/>
  <c r="AF58" i="4" a="1"/>
  <c r="AF58" i="4" s="1"/>
  <c r="AI18" i="4" a="1"/>
  <c r="AQ16" i="4" a="1"/>
  <c r="AI60" i="4" a="1"/>
  <c r="AN18" i="4" a="1"/>
  <c r="BY58" i="4" a="1"/>
  <c r="CE59" i="4" a="1"/>
  <c r="CE58" i="4" a="1"/>
  <c r="CA58" i="4" a="1"/>
  <c r="AN58" i="4" a="1"/>
  <c r="CF58" i="4" a="1"/>
  <c r="BY59" i="4" a="1"/>
  <c r="AK22" i="4" a="1"/>
  <c r="CA58" i="4" l="1"/>
  <c r="AQ16" i="4"/>
  <c r="CE59" i="4"/>
  <c r="AN18" i="4"/>
  <c r="AI18" i="4"/>
  <c r="BY59" i="4"/>
  <c r="AN58" i="4"/>
  <c r="CF58" i="4"/>
  <c r="CE58" i="4"/>
  <c r="AI60" i="4"/>
  <c r="BY58" i="4"/>
  <c r="AK22" i="4"/>
  <c r="AH63" i="4"/>
  <c r="AJ63" i="4" a="1"/>
  <c r="AJ63" i="4" s="1"/>
  <c r="AQ21" i="4" a="1"/>
  <c r="CD58" i="4" a="1"/>
  <c r="AF64" i="4" a="1"/>
  <c r="CC59" i="4" a="1"/>
  <c r="BZ60" i="4" a="1"/>
  <c r="CG58" i="4" a="1"/>
  <c r="CD57" i="4" a="1"/>
  <c r="AF24" i="4" a="1"/>
  <c r="CB59" i="4" a="1"/>
  <c r="CH58" i="4" a="1"/>
  <c r="AG23" i="4" a="1"/>
  <c r="CG58" i="4" l="1"/>
  <c r="CH58" i="4"/>
  <c r="BZ60" i="4"/>
  <c r="CD57" i="4"/>
  <c r="CJ57" i="4" s="1" a="1"/>
  <c r="CJ57" i="4" s="1"/>
  <c r="CI57" i="4" s="1"/>
  <c r="AF64" i="4"/>
  <c r="AF24" i="4"/>
  <c r="AG23" i="4"/>
  <c r="CC59" i="4"/>
  <c r="CD58" i="4"/>
  <c r="CB59" i="4"/>
  <c r="AQ21" i="4"/>
  <c r="AQ58" i="4" a="1"/>
  <c r="AQ58" i="4" s="1"/>
  <c r="AN60" i="4" a="1"/>
  <c r="AN60" i="4" s="1"/>
  <c r="AL22" i="4" a="1"/>
  <c r="AL22" i="4" s="1"/>
  <c r="AO21" i="4"/>
  <c r="AM21" i="4"/>
  <c r="AR16" i="4"/>
  <c r="AP16" i="4"/>
  <c r="AM22" i="4" a="1"/>
  <c r="AM16" i="4" a="1"/>
  <c r="CF59" i="4" a="1"/>
  <c r="CA59" i="4" a="1"/>
  <c r="CC60" i="4" a="1"/>
  <c r="CB60" i="4" a="1"/>
  <c r="CH59" i="4" a="1"/>
  <c r="CG59" i="4" a="1"/>
  <c r="BZ61" i="4" a="1"/>
  <c r="CJ58" i="4" l="1" a="1"/>
  <c r="CJ58" i="4" s="1"/>
  <c r="CI58" i="4" s="1"/>
  <c r="AM16" i="4"/>
  <c r="CG59" i="4"/>
  <c r="AM22" i="4"/>
  <c r="BZ61" i="4"/>
  <c r="CC60" i="4"/>
  <c r="CB60" i="4"/>
  <c r="CA59" i="4"/>
  <c r="CH59" i="4"/>
  <c r="CF59" i="4"/>
  <c r="AG27" i="4"/>
  <c r="AI24" i="4"/>
  <c r="AG22" i="4"/>
  <c r="AG24" i="4"/>
  <c r="AJ27" i="4"/>
  <c r="AH27" i="4"/>
  <c r="AF27" i="4"/>
  <c r="AO62" i="4"/>
  <c r="AM62" i="4"/>
  <c r="AN57" i="4"/>
  <c r="AP58" i="4" s="1"/>
  <c r="AN59" i="4"/>
  <c r="AM63" i="4"/>
  <c r="AN62" i="4"/>
  <c r="AO63" i="4" s="1"/>
  <c r="AP59" i="4"/>
  <c r="AQ62" i="4"/>
  <c r="AM58" i="4" a="1"/>
  <c r="AM58" i="4" s="1"/>
  <c r="AR58" i="4"/>
  <c r="AJ23" i="4" a="1"/>
  <c r="AP18" i="4" a="1"/>
  <c r="AG25" i="4" a="1"/>
  <c r="AP60" i="4" a="1"/>
  <c r="BY61" i="4" a="1"/>
  <c r="AG65" i="4" a="1"/>
  <c r="CF60" i="4" a="1"/>
  <c r="CE60" i="4" a="1"/>
  <c r="BY60" i="4" a="1"/>
  <c r="CA60" i="4" a="1"/>
  <c r="AR22" i="4" a="1"/>
  <c r="CE61" i="4" a="1"/>
  <c r="CG60" i="4" a="1"/>
  <c r="AP60" i="4" l="1"/>
  <c r="CG60" i="4"/>
  <c r="AG25" i="4"/>
  <c r="CE60" i="4"/>
  <c r="CF60" i="4"/>
  <c r="BY61" i="4"/>
  <c r="AG65" i="4"/>
  <c r="AR22" i="4"/>
  <c r="CA60" i="4"/>
  <c r="BY60" i="4"/>
  <c r="AJ23" i="4"/>
  <c r="CE61" i="4"/>
  <c r="AP18" i="4"/>
  <c r="AQ63" i="4" a="1"/>
  <c r="AQ63" i="4" s="1"/>
  <c r="AJ28" i="4" a="1"/>
  <c r="CB61" i="4" a="1"/>
  <c r="CD60" i="4" a="1"/>
  <c r="CC61" i="4" a="1"/>
  <c r="AN23" i="4" a="1"/>
  <c r="CH60" i="4" a="1"/>
  <c r="BZ62" i="4" a="1"/>
  <c r="AM24" i="4" a="1"/>
  <c r="CD59" i="4" a="1"/>
  <c r="AM64" i="4" a="1"/>
  <c r="CH60" i="4" l="1"/>
  <c r="AN23" i="4"/>
  <c r="AM64" i="4"/>
  <c r="AM24" i="4"/>
  <c r="CD59" i="4"/>
  <c r="CJ59" i="4" s="1" a="1"/>
  <c r="CJ59" i="4" s="1"/>
  <c r="CI59" i="4" s="1"/>
  <c r="CB61" i="4"/>
  <c r="CC61" i="4"/>
  <c r="AJ28" i="4"/>
  <c r="BZ62" i="4"/>
  <c r="CD60" i="4"/>
  <c r="AE29" i="4" a="1"/>
  <c r="AE29" i="4" s="1"/>
  <c r="AK23" i="4"/>
  <c r="AH28" i="4"/>
  <c r="AF28" i="4"/>
  <c r="AJ65" i="4" a="1"/>
  <c r="AJ65" i="4" s="1"/>
  <c r="AG67" i="4" a="1"/>
  <c r="AG67" i="4" s="1"/>
  <c r="AF29" i="4" a="1"/>
  <c r="AF23" i="4" a="1"/>
  <c r="AI23" i="4"/>
  <c r="CG61" i="4" a="1"/>
  <c r="CB62" i="4" a="1"/>
  <c r="CA61" i="4" a="1"/>
  <c r="BZ63" i="4" a="1"/>
  <c r="CC62" i="4" a="1"/>
  <c r="CH61" i="4" a="1"/>
  <c r="CF61" i="4" a="1"/>
  <c r="CJ60" i="4" l="1" a="1"/>
  <c r="CJ60" i="4" s="1"/>
  <c r="CI60" i="4" s="1"/>
  <c r="CG61" i="4"/>
  <c r="CF61" i="4"/>
  <c r="CH61" i="4"/>
  <c r="CA61" i="4"/>
  <c r="AF29" i="4"/>
  <c r="CC62" i="4"/>
  <c r="CB62" i="4"/>
  <c r="BZ63" i="4"/>
  <c r="AF23" i="4"/>
  <c r="AG69" i="4"/>
  <c r="AH69" i="4"/>
  <c r="AF69" i="4"/>
  <c r="AG64" i="4"/>
  <c r="AI66" i="4"/>
  <c r="AG66" i="4"/>
  <c r="AJ69" i="4"/>
  <c r="AF70" i="4"/>
  <c r="AF65" i="4" a="1"/>
  <c r="AF65" i="4" s="1"/>
  <c r="AK65" i="4"/>
  <c r="AN22" i="4"/>
  <c r="AO27" i="4"/>
  <c r="AM27" i="4"/>
  <c r="AQ27" i="4"/>
  <c r="AP24" i="4"/>
  <c r="AN24" i="4"/>
  <c r="AN27" i="4"/>
  <c r="AI67" i="4" a="1"/>
  <c r="AI25" i="4" a="1"/>
  <c r="AN25" i="4" a="1"/>
  <c r="AQ23" i="4" a="1"/>
  <c r="CE62" i="4" a="1"/>
  <c r="AK29" i="4" a="1"/>
  <c r="CE63" i="4" a="1"/>
  <c r="CF62" i="4" a="1"/>
  <c r="BY63" i="4" a="1"/>
  <c r="AN65" i="4" a="1"/>
  <c r="BY62" i="4" a="1"/>
  <c r="CE63" i="4" l="1"/>
  <c r="BY62" i="4"/>
  <c r="AK29" i="4"/>
  <c r="BY63" i="4"/>
  <c r="AN65" i="4"/>
  <c r="AI67" i="4"/>
  <c r="CF62" i="4"/>
  <c r="AQ23" i="4"/>
  <c r="CE62" i="4"/>
  <c r="AN25" i="4"/>
  <c r="AI25" i="4"/>
  <c r="AJ70" i="4" a="1"/>
  <c r="AJ70" i="4" s="1"/>
  <c r="AI65" i="4"/>
  <c r="AH70" i="4"/>
  <c r="AQ28" i="4" a="1"/>
  <c r="CH62" i="4" a="1"/>
  <c r="CD61" i="4" a="1"/>
  <c r="BZ64" i="4" a="1"/>
  <c r="CD62" i="4" a="1"/>
  <c r="CB63" i="4" a="1"/>
  <c r="AF71" i="4" a="1"/>
  <c r="AG30" i="4" a="1"/>
  <c r="CA62" i="4" a="1"/>
  <c r="CC63" i="4" a="1"/>
  <c r="CG62" i="4" a="1"/>
  <c r="AF31" i="4" a="1"/>
  <c r="AQ28" i="4" l="1"/>
  <c r="CG62" i="4"/>
  <c r="CB63" i="4"/>
  <c r="CD62" i="4"/>
  <c r="CH62" i="4"/>
  <c r="CD61" i="4"/>
  <c r="CJ61" i="4" s="1" a="1"/>
  <c r="CJ61" i="4" s="1"/>
  <c r="CI61" i="4" s="1"/>
  <c r="AF31" i="4"/>
  <c r="AF71" i="4"/>
  <c r="AG30" i="4"/>
  <c r="CC63" i="4"/>
  <c r="CA62" i="4"/>
  <c r="BZ64" i="4"/>
  <c r="AR23" i="4"/>
  <c r="AL29" i="4" a="1"/>
  <c r="AL29" i="4" s="1"/>
  <c r="AO28" i="4"/>
  <c r="AM28" i="4"/>
  <c r="AN67" i="4" a="1"/>
  <c r="AN67" i="4" s="1"/>
  <c r="AQ65" i="4" a="1"/>
  <c r="AQ65" i="4" s="1"/>
  <c r="AM29" i="4" a="1"/>
  <c r="AM23" i="4" a="1"/>
  <c r="AP23" i="4"/>
  <c r="CG63" i="4" a="1"/>
  <c r="CA63" i="4" a="1"/>
  <c r="CF63" i="4" a="1"/>
  <c r="CB64" i="4" a="1"/>
  <c r="CH63" i="4" a="1"/>
  <c r="BZ65" i="4" a="1"/>
  <c r="CC64" i="4" a="1"/>
  <c r="CJ62" i="4" l="1" a="1"/>
  <c r="CJ62" i="4" s="1"/>
  <c r="CI62" i="4" s="1"/>
  <c r="AM29" i="4"/>
  <c r="CA63" i="4"/>
  <c r="AM23" i="4"/>
  <c r="CF63" i="4"/>
  <c r="CB64" i="4"/>
  <c r="CC64" i="4"/>
  <c r="CG63" i="4"/>
  <c r="BZ65" i="4"/>
  <c r="CH63" i="4"/>
  <c r="AR65" i="4"/>
  <c r="AN69" i="4"/>
  <c r="AO70" i="4" s="1"/>
  <c r="AP66" i="4"/>
  <c r="AN66" i="4"/>
  <c r="AM70" i="4"/>
  <c r="AQ69" i="4"/>
  <c r="AO69" i="4"/>
  <c r="AN64" i="4"/>
  <c r="AM69" i="4"/>
  <c r="AM65" i="4" a="1"/>
  <c r="AM65" i="4" s="1"/>
  <c r="AJ34" i="4"/>
  <c r="AG29" i="4"/>
  <c r="AG34" i="4"/>
  <c r="AF34" i="4"/>
  <c r="AI31" i="4"/>
  <c r="AH34" i="4"/>
  <c r="AG31" i="4"/>
  <c r="AP67" i="4" a="1"/>
  <c r="AP25" i="4" a="1"/>
  <c r="AG32" i="4" a="1"/>
  <c r="AJ30" i="4" a="1"/>
  <c r="CG64" i="4" a="1"/>
  <c r="CE64" i="4" a="1"/>
  <c r="BY65" i="4" a="1"/>
  <c r="AG72" i="4" a="1"/>
  <c r="BY64" i="4" a="1"/>
  <c r="CF64" i="4" a="1"/>
  <c r="CE65" i="4" a="1"/>
  <c r="AR29" i="4" a="1"/>
  <c r="AP67" i="4" l="1"/>
  <c r="AJ30" i="4"/>
  <c r="CG64" i="4"/>
  <c r="CE64" i="4"/>
  <c r="AG32" i="4"/>
  <c r="CE65" i="4"/>
  <c r="AP25" i="4"/>
  <c r="BY64" i="4"/>
  <c r="BY65" i="4"/>
  <c r="AG72" i="4"/>
  <c r="CF64" i="4"/>
  <c r="AR29" i="4"/>
  <c r="AQ70" i="4" a="1"/>
  <c r="AQ70" i="4" s="1"/>
  <c r="AP65" i="4"/>
  <c r="AJ35" i="4" a="1"/>
  <c r="CA64" i="4" a="1"/>
  <c r="AN30" i="4" a="1"/>
  <c r="CH64" i="4" a="1"/>
  <c r="AM71" i="4" a="1"/>
  <c r="CD64" i="4" a="1"/>
  <c r="CB65" i="4" a="1"/>
  <c r="BZ66" i="4" a="1"/>
  <c r="CD63" i="4" a="1"/>
  <c r="CC65" i="4" a="1"/>
  <c r="AM31" i="4" a="1"/>
  <c r="CA64" i="4" l="1"/>
  <c r="CD63" i="4"/>
  <c r="CJ63" i="4" s="1" a="1"/>
  <c r="CJ63" i="4" s="1"/>
  <c r="CI63" i="4" s="1"/>
  <c r="AJ35" i="4"/>
  <c r="CH64" i="4"/>
  <c r="CC65" i="4"/>
  <c r="AM71" i="4"/>
  <c r="AM31" i="4"/>
  <c r="AN30" i="4"/>
  <c r="BZ66" i="4"/>
  <c r="CB65" i="4"/>
  <c r="CD64" i="4"/>
  <c r="AH35" i="4"/>
  <c r="AF35" i="4"/>
  <c r="AE36" i="4" a="1"/>
  <c r="AE36" i="4" s="1"/>
  <c r="AG74" i="4" a="1"/>
  <c r="AG74" i="4" s="1"/>
  <c r="AJ72" i="4" a="1"/>
  <c r="AJ72" i="4" s="1"/>
  <c r="AK30" i="4"/>
  <c r="AF36" i="4" a="1"/>
  <c r="AF30" i="4" a="1"/>
  <c r="AI30" i="4"/>
  <c r="CC66" i="4" a="1"/>
  <c r="CB66" i="4" a="1"/>
  <c r="CA65" i="4" a="1"/>
  <c r="CF65" i="4" a="1"/>
  <c r="BZ67" i="4" a="1"/>
  <c r="CG65" i="4" a="1"/>
  <c r="CH65" i="4" a="1"/>
  <c r="CC66" i="4" l="1"/>
  <c r="BZ67" i="4"/>
  <c r="CF65" i="4"/>
  <c r="AF30" i="4"/>
  <c r="AF36" i="4"/>
  <c r="CG65" i="4"/>
  <c r="CA65" i="4"/>
  <c r="CH65" i="4"/>
  <c r="CB66" i="4"/>
  <c r="AI73" i="4"/>
  <c r="AJ76" i="4"/>
  <c r="AH76" i="4"/>
  <c r="AG73" i="4"/>
  <c r="AF76" i="4"/>
  <c r="AF77" i="4"/>
  <c r="AG71" i="4"/>
  <c r="AG76" i="4"/>
  <c r="AH77" i="4" s="1"/>
  <c r="AF72" i="4" a="1"/>
  <c r="AF72" i="4" s="1"/>
  <c r="AQ34" i="4"/>
  <c r="AO34" i="4"/>
  <c r="AN34" i="4"/>
  <c r="AN29" i="4"/>
  <c r="AP31" i="4"/>
  <c r="AN31" i="4"/>
  <c r="AM34" i="4"/>
  <c r="AK72" i="4"/>
  <c r="CJ64" i="4" a="1"/>
  <c r="CJ64" i="4" s="1"/>
  <c r="CI64" i="4" s="1"/>
  <c r="AI32" i="4" a="1"/>
  <c r="AQ30" i="4" a="1"/>
  <c r="AN32" i="4" a="1"/>
  <c r="AI74" i="4" a="1"/>
  <c r="CF66" i="4" a="1"/>
  <c r="CE66" i="4" a="1"/>
  <c r="CE67" i="4" a="1"/>
  <c r="CG66" i="4" a="1"/>
  <c r="AN72" i="4" a="1"/>
  <c r="AK36" i="4" a="1"/>
  <c r="BY66" i="4" a="1"/>
  <c r="BY67" i="4" a="1"/>
  <c r="CE67" i="4" l="1"/>
  <c r="CF66" i="4"/>
  <c r="AN32" i="4"/>
  <c r="CG66" i="4"/>
  <c r="AK36" i="4"/>
  <c r="AQ30" i="4"/>
  <c r="AI32" i="4"/>
  <c r="AI74" i="4"/>
  <c r="CE66" i="4"/>
  <c r="BY67" i="4"/>
  <c r="AN72" i="4"/>
  <c r="BY66" i="4"/>
  <c r="AI72" i="4"/>
  <c r="AJ77" i="4" a="1"/>
  <c r="AJ77" i="4" s="1"/>
  <c r="AQ35" i="4" a="1"/>
  <c r="AG37" i="4" a="1"/>
  <c r="CB67" i="4" a="1"/>
  <c r="CD65" i="4" a="1"/>
  <c r="CA66" i="4" a="1"/>
  <c r="BZ68" i="4" a="1"/>
  <c r="CD66" i="4" a="1"/>
  <c r="CC67" i="4" a="1"/>
  <c r="CH66" i="4" a="1"/>
  <c r="AF78" i="4" a="1"/>
  <c r="AF38" i="4" a="1"/>
  <c r="CD66" i="4" l="1"/>
  <c r="AQ35" i="4"/>
  <c r="CD65" i="4"/>
  <c r="CJ65" i="4" s="1" a="1"/>
  <c r="CJ65" i="4" s="1"/>
  <c r="CI65" i="4" s="1"/>
  <c r="CB67" i="4"/>
  <c r="AF38" i="4"/>
  <c r="AG37" i="4"/>
  <c r="AF78" i="4"/>
  <c r="CH66" i="4"/>
  <c r="CA66" i="4"/>
  <c r="BZ68" i="4"/>
  <c r="CC67" i="4"/>
  <c r="AR30" i="4"/>
  <c r="AL36" i="4" a="1"/>
  <c r="AL36" i="4" s="1"/>
  <c r="AQ72" i="4" a="1"/>
  <c r="AQ72" i="4" s="1"/>
  <c r="AN74" i="4" a="1"/>
  <c r="AN74" i="4" s="1"/>
  <c r="AO35" i="4"/>
  <c r="AM35" i="4"/>
  <c r="AM36" i="4" a="1"/>
  <c r="AP30" i="4"/>
  <c r="AM30" i="4" a="1"/>
  <c r="CA67" i="4" a="1"/>
  <c r="CF67" i="4" a="1"/>
  <c r="CH67" i="4" a="1"/>
  <c r="CC68" i="4" a="1"/>
  <c r="BZ69" i="4" a="1"/>
  <c r="CB68" i="4" a="1"/>
  <c r="CG67" i="4" a="1"/>
  <c r="CJ66" i="4" l="1" a="1"/>
  <c r="CJ66" i="4" s="1"/>
  <c r="CI66" i="4" s="1"/>
  <c r="CF67" i="4"/>
  <c r="CG67" i="4"/>
  <c r="CH67" i="4"/>
  <c r="CB68" i="4"/>
  <c r="AM30" i="4"/>
  <c r="CA67" i="4"/>
  <c r="AM36" i="4"/>
  <c r="BZ69" i="4"/>
  <c r="CC68" i="4"/>
  <c r="AR72" i="4"/>
  <c r="AF41" i="4"/>
  <c r="AG38" i="4"/>
  <c r="AG36" i="4"/>
  <c r="AJ41" i="4"/>
  <c r="AH41" i="4"/>
  <c r="AG41" i="4"/>
  <c r="AI38" i="4"/>
  <c r="AM76" i="4"/>
  <c r="AN71" i="4"/>
  <c r="AO76" i="4"/>
  <c r="AN73" i="4"/>
  <c r="AM77" i="4"/>
  <c r="AP73" i="4"/>
  <c r="AN76" i="4"/>
  <c r="AO77" i="4" s="1"/>
  <c r="AQ76" i="4"/>
  <c r="AM72" i="4" a="1"/>
  <c r="AM72" i="4" s="1"/>
  <c r="AJ37" i="4" a="1"/>
  <c r="AP74" i="4" a="1"/>
  <c r="AP32" i="4" a="1"/>
  <c r="AG39" i="4" a="1"/>
  <c r="BY68" i="4" a="1"/>
  <c r="BY69" i="4" a="1"/>
  <c r="CE69" i="4" a="1"/>
  <c r="CG68" i="4" a="1"/>
  <c r="AR36" i="4" a="1"/>
  <c r="AG79" i="4" a="1"/>
  <c r="CF68" i="4" a="1"/>
  <c r="CE68" i="4" a="1"/>
  <c r="AP74" i="4" l="1"/>
  <c r="BY68" i="4"/>
  <c r="CG68" i="4"/>
  <c r="BY69" i="4"/>
  <c r="AG79" i="4"/>
  <c r="CE68" i="4"/>
  <c r="AR36" i="4"/>
  <c r="CE69" i="4"/>
  <c r="CF68" i="4"/>
  <c r="AP32" i="4"/>
  <c r="AJ37" i="4"/>
  <c r="AG39" i="4"/>
  <c r="AQ77" i="4" a="1"/>
  <c r="AQ77" i="4" s="1"/>
  <c r="AP72" i="4"/>
  <c r="AJ42" i="4" a="1"/>
  <c r="BZ70" i="4" a="1"/>
  <c r="CH68" i="4" a="1"/>
  <c r="CA68" i="4" a="1"/>
  <c r="CB69" i="4" a="1"/>
  <c r="CD67" i="4" a="1"/>
  <c r="CC69" i="4" a="1"/>
  <c r="CD68" i="4" a="1"/>
  <c r="AN37" i="4" a="1"/>
  <c r="AM38" i="4" a="1"/>
  <c r="AM78" i="4" a="1"/>
  <c r="AM78" i="4" l="1"/>
  <c r="AM38" i="4"/>
  <c r="AN37" i="4"/>
  <c r="CA68" i="4"/>
  <c r="CH68" i="4"/>
  <c r="BZ70" i="4"/>
  <c r="CC69" i="4"/>
  <c r="CB69" i="4"/>
  <c r="AJ42" i="4"/>
  <c r="CD67" i="4"/>
  <c r="CJ67" i="4" s="1" a="1"/>
  <c r="CJ67" i="4" s="1"/>
  <c r="CI67" i="4" s="1"/>
  <c r="CD68" i="4"/>
  <c r="AT1" i="4" a="1"/>
  <c r="AT1" i="4" s="1"/>
  <c r="AG81" i="4" a="1"/>
  <c r="AG81" i="4" s="1"/>
  <c r="AJ79" i="4" a="1"/>
  <c r="AJ79" i="4" s="1"/>
  <c r="AF42" i="4"/>
  <c r="AH42" i="4"/>
  <c r="AK37" i="4"/>
  <c r="AI37" i="4"/>
  <c r="AU1" i="4" a="1"/>
  <c r="AF37" i="4" a="1"/>
  <c r="CG69" i="4" a="1"/>
  <c r="CA69" i="4" a="1"/>
  <c r="BZ71" i="4" a="1"/>
  <c r="CC70" i="4" a="1"/>
  <c r="CB70" i="4" a="1"/>
  <c r="CH69" i="4" a="1"/>
  <c r="CF69" i="4" a="1"/>
  <c r="CJ68" i="4" l="1" a="1"/>
  <c r="CJ68" i="4" s="1"/>
  <c r="CI68" i="4" s="1"/>
  <c r="AF37" i="4"/>
  <c r="CG69" i="4"/>
  <c r="CF69" i="4"/>
  <c r="CB70" i="4"/>
  <c r="CC70" i="4"/>
  <c r="AU1" i="4"/>
  <c r="BZ71" i="4"/>
  <c r="CA69" i="4"/>
  <c r="CH69" i="4"/>
  <c r="AK79" i="4"/>
  <c r="AJ83" i="4"/>
  <c r="AI80" i="4"/>
  <c r="AF83" i="4"/>
  <c r="AG78" i="4"/>
  <c r="AH83" i="4"/>
  <c r="AG80" i="4"/>
  <c r="AG83" i="4"/>
  <c r="AF84" i="4"/>
  <c r="AF79" i="4" a="1"/>
  <c r="AF79" i="4" s="1"/>
  <c r="AQ41" i="4"/>
  <c r="AO41" i="4"/>
  <c r="AM41" i="4"/>
  <c r="AP38" i="4"/>
  <c r="AN41" i="4"/>
  <c r="AN38" i="4"/>
  <c r="AN36" i="4"/>
  <c r="AN39" i="4" a="1"/>
  <c r="AI39" i="4" a="1"/>
  <c r="AI81" i="4" a="1"/>
  <c r="CE70" i="4" a="1"/>
  <c r="CF70" i="4" a="1"/>
  <c r="AN79" i="4" a="1"/>
  <c r="AZ1" i="4" a="1"/>
  <c r="CE71" i="4" a="1"/>
  <c r="BY70" i="4" a="1"/>
  <c r="BY71" i="4" a="1"/>
  <c r="BY71" i="4" l="1"/>
  <c r="AN79" i="4"/>
  <c r="BY70" i="4"/>
  <c r="CE71" i="4"/>
  <c r="AI81" i="4"/>
  <c r="AZ1" i="4"/>
  <c r="CF70" i="4"/>
  <c r="CE70" i="4"/>
  <c r="AN39" i="4"/>
  <c r="AI39" i="4"/>
  <c r="AI79" i="4"/>
  <c r="AJ84" i="4" a="1"/>
  <c r="AJ84" i="4" s="1"/>
  <c r="AH84" i="4"/>
  <c r="AQ42" i="4" a="1"/>
  <c r="AV2" i="4" a="1"/>
  <c r="CD69" i="4" a="1"/>
  <c r="CC71" i="4" a="1"/>
  <c r="CA70" i="4" a="1"/>
  <c r="CH70" i="4" a="1"/>
  <c r="CG70" i="4" a="1"/>
  <c r="AU43" i="4" a="1"/>
  <c r="CD70" i="4" a="1"/>
  <c r="BZ72" i="4" a="1"/>
  <c r="AU3" i="4" a="1"/>
  <c r="CG70" i="4" l="1"/>
  <c r="CA70" i="4"/>
  <c r="CH70" i="4"/>
  <c r="AU3" i="4"/>
  <c r="AU43" i="4"/>
  <c r="AV2" i="4"/>
  <c r="CD70" i="4"/>
  <c r="AQ42" i="4"/>
  <c r="CD69" i="4"/>
  <c r="CJ69" i="4" s="1" a="1"/>
  <c r="CJ69" i="4" s="1"/>
  <c r="CI69" i="4" s="1"/>
  <c r="CC71" i="4"/>
  <c r="BZ72" i="4"/>
  <c r="BA1" i="4" a="1"/>
  <c r="BA1" i="4" s="1"/>
  <c r="AO42" i="4"/>
  <c r="AM42" i="4"/>
  <c r="AQ79" i="4" a="1"/>
  <c r="AQ79" i="4" s="1"/>
  <c r="AN81" i="4" a="1"/>
  <c r="AN81" i="4" s="1"/>
  <c r="BB1" i="4" a="1"/>
  <c r="AM37" i="4" a="1"/>
  <c r="AQ37" i="4" a="1"/>
  <c r="CB72" i="4" a="1"/>
  <c r="CH71" i="4" a="1"/>
  <c r="CG71" i="4" a="1"/>
  <c r="CC72" i="4" a="1"/>
  <c r="CF71" i="4" a="1"/>
  <c r="AQ37" i="4" l="1"/>
  <c r="CJ70" i="4" a="1"/>
  <c r="CJ70" i="4" s="1"/>
  <c r="CI70" i="4" s="1"/>
  <c r="CH71" i="4"/>
  <c r="CC72" i="4"/>
  <c r="CF71" i="4"/>
  <c r="BB1" i="4"/>
  <c r="CB72" i="4"/>
  <c r="AM37" i="4"/>
  <c r="CG71" i="4"/>
  <c r="AN83" i="4"/>
  <c r="AO84" i="4" s="1"/>
  <c r="AP80" i="4"/>
  <c r="AM83" i="4"/>
  <c r="AM84" i="4"/>
  <c r="AQ83" i="4"/>
  <c r="AN80" i="4"/>
  <c r="AN78" i="4"/>
  <c r="AP79" i="4" s="1"/>
  <c r="AO83" i="4"/>
  <c r="AM79" i="4" a="1"/>
  <c r="AM79" i="4" s="1"/>
  <c r="BZ73" i="4"/>
  <c r="AV6" i="4"/>
  <c r="CE73" i="4" s="1"/>
  <c r="AV1" i="4"/>
  <c r="AV3" i="4"/>
  <c r="AY6" i="4"/>
  <c r="AU6" i="4"/>
  <c r="AW6" i="4"/>
  <c r="AX3" i="4"/>
  <c r="AR79" i="4"/>
  <c r="AP37" i="4"/>
  <c r="AY2" i="4" a="1"/>
  <c r="AP81" i="4" a="1"/>
  <c r="AV4" i="4" a="1"/>
  <c r="AP39" i="4" a="1"/>
  <c r="CG72" i="4" a="1"/>
  <c r="CB71" i="4" a="1"/>
  <c r="CE72" i="4" a="1"/>
  <c r="BG1" i="4" a="1"/>
  <c r="CA72" i="4" a="1"/>
  <c r="CF72" i="4" a="1"/>
  <c r="BY72" i="4" a="1"/>
  <c r="AV44" i="4" a="1"/>
  <c r="CA71" i="4" a="1"/>
  <c r="CB71" i="4" l="1"/>
  <c r="CA71" i="4"/>
  <c r="AR37" i="4"/>
  <c r="CG72" i="4"/>
  <c r="AP39" i="4"/>
  <c r="AY2" i="4"/>
  <c r="AV4" i="4"/>
  <c r="AV44" i="4"/>
  <c r="BG1" i="4"/>
  <c r="CA72" i="4"/>
  <c r="BY72" i="4"/>
  <c r="CF72" i="4"/>
  <c r="AP81" i="4"/>
  <c r="CE72" i="4"/>
  <c r="BY73" i="4"/>
  <c r="AQ84" i="4" a="1"/>
  <c r="AQ84" i="4" s="1"/>
  <c r="AY7" i="4" a="1"/>
  <c r="BZ74" i="4" a="1"/>
  <c r="CD72" i="4" a="1"/>
  <c r="BB43" i="4" a="1"/>
  <c r="CD71" i="4" a="1"/>
  <c r="BB3" i="4" a="1"/>
  <c r="CH72" i="4" a="1"/>
  <c r="BC2" i="4" a="1"/>
  <c r="CH72" i="4" l="1"/>
  <c r="CD71" i="4"/>
  <c r="CJ71" i="4" s="1" a="1"/>
  <c r="CJ71" i="4" s="1"/>
  <c r="CI71" i="4" s="1"/>
  <c r="BZ74" i="4"/>
  <c r="AY7" i="4"/>
  <c r="CH73" i="4" s="1"/>
  <c r="BB43" i="4"/>
  <c r="BC2" i="4"/>
  <c r="BB3" i="4"/>
  <c r="CD72" i="4"/>
  <c r="AV46" i="4" a="1"/>
  <c r="AV46" i="4" s="1"/>
  <c r="AY44" i="4" a="1"/>
  <c r="AY44" i="4" s="1"/>
  <c r="CC73" i="4"/>
  <c r="AW7" i="4"/>
  <c r="CG73" i="4" s="1"/>
  <c r="AU7" i="4"/>
  <c r="CF73" i="4" s="1"/>
  <c r="AT8" i="4" a="1"/>
  <c r="AT8" i="4" s="1"/>
  <c r="AZ2" i="4"/>
  <c r="CB73" i="4"/>
  <c r="AU2" i="4" a="1"/>
  <c r="AX2" i="4"/>
  <c r="AU8" i="4" a="1"/>
  <c r="CB74" i="4" a="1"/>
  <c r="CC74" i="4" a="1"/>
  <c r="AU2" i="4" l="1"/>
  <c r="CC74" i="4"/>
  <c r="AU8" i="4"/>
  <c r="CB74" i="4"/>
  <c r="CA73" i="4"/>
  <c r="BC3" i="4"/>
  <c r="BE3" i="4"/>
  <c r="BD6" i="4"/>
  <c r="BF6" i="4"/>
  <c r="BC6" i="4"/>
  <c r="CE75" i="4" s="1"/>
  <c r="BB6" i="4"/>
  <c r="BC1" i="4"/>
  <c r="BZ75" i="4"/>
  <c r="AV48" i="4"/>
  <c r="AU49" i="4"/>
  <c r="AU48" i="4"/>
  <c r="AX45" i="4"/>
  <c r="AV43" i="4"/>
  <c r="AX44" i="4" s="1"/>
  <c r="AV45" i="4"/>
  <c r="AY48" i="4"/>
  <c r="AW48" i="4"/>
  <c r="AU44" i="4" a="1"/>
  <c r="AU44" i="4" s="1"/>
  <c r="AZ44" i="4"/>
  <c r="CJ72" i="4" a="1"/>
  <c r="CJ72" i="4" s="1"/>
  <c r="CI72" i="4" s="1"/>
  <c r="BC4" i="4" a="1"/>
  <c r="AX46" i="4" a="1"/>
  <c r="AX4" i="4" a="1"/>
  <c r="CE74" i="4" a="1"/>
  <c r="BY74" i="4" a="1"/>
  <c r="AZ8" i="4" a="1"/>
  <c r="CF74" i="4" a="1"/>
  <c r="BC44" i="4" a="1"/>
  <c r="CA74" i="4" a="1"/>
  <c r="CA74" i="4" l="1"/>
  <c r="CF74" i="4"/>
  <c r="AX46" i="4"/>
  <c r="CE74" i="4"/>
  <c r="BC4" i="4"/>
  <c r="AZ8" i="4"/>
  <c r="BC44" i="4"/>
  <c r="BY74" i="4"/>
  <c r="AX4" i="4"/>
  <c r="CD73" i="4" s="1"/>
  <c r="CJ73" i="4" s="1" a="1"/>
  <c r="CJ73" i="4" s="1"/>
  <c r="CI73" i="4" s="1"/>
  <c r="AW49" i="4"/>
  <c r="BY75" i="4"/>
  <c r="AY49" i="4" a="1"/>
  <c r="AY49" i="4" s="1"/>
  <c r="BF7" i="4" a="1"/>
  <c r="BZ76" i="4" a="1"/>
  <c r="AU50" i="4" a="1"/>
  <c r="CH74" i="4" a="1"/>
  <c r="AV9" i="4" a="1"/>
  <c r="CG74" i="4" a="1"/>
  <c r="CD74" i="4" a="1"/>
  <c r="AU10" i="4" a="1"/>
  <c r="BF7" i="4" l="1"/>
  <c r="CG74" i="4"/>
  <c r="BZ76" i="4"/>
  <c r="CH74" i="4"/>
  <c r="AV9" i="4"/>
  <c r="AU10" i="4"/>
  <c r="AU50" i="4"/>
  <c r="CD74" i="4"/>
  <c r="BF44" i="4" a="1"/>
  <c r="BF44" i="4" s="1"/>
  <c r="BC46" i="4" a="1"/>
  <c r="BC46" i="4" s="1"/>
  <c r="BA8" i="4" a="1"/>
  <c r="BA8" i="4" s="1"/>
  <c r="CC75" i="4"/>
  <c r="BD7" i="4"/>
  <c r="CG75" i="4" s="1"/>
  <c r="BB7" i="4"/>
  <c r="CF75" i="4" s="1"/>
  <c r="BF2" i="4" a="1"/>
  <c r="BB2" i="4" a="1"/>
  <c r="BB8" i="4" a="1"/>
  <c r="CB76" i="4" a="1"/>
  <c r="CC76" i="4" a="1"/>
  <c r="BZ77" i="4" a="1"/>
  <c r="BF2" i="4" l="1"/>
  <c r="CH75" i="4"/>
  <c r="BB2" i="4"/>
  <c r="BZ77" i="4"/>
  <c r="BB8" i="4"/>
  <c r="CC76" i="4"/>
  <c r="CB76" i="4"/>
  <c r="AY13" i="4"/>
  <c r="AU13" i="4"/>
  <c r="AV10" i="4"/>
  <c r="AW13" i="4"/>
  <c r="AX10" i="4"/>
  <c r="AV13" i="4"/>
  <c r="AV8" i="4"/>
  <c r="CJ74" i="4" a="1"/>
  <c r="CJ74" i="4" s="1"/>
  <c r="CI74" i="4" s="1"/>
  <c r="BD48" i="4"/>
  <c r="BC48" i="4"/>
  <c r="BB48" i="4"/>
  <c r="BB49" i="4"/>
  <c r="BE45" i="4"/>
  <c r="BC45" i="4"/>
  <c r="BF48" i="4"/>
  <c r="BC43" i="4"/>
  <c r="BB44" i="4" a="1"/>
  <c r="BB44" i="4" s="1"/>
  <c r="BG44" i="4"/>
  <c r="AV11" i="4" a="1"/>
  <c r="AY9" i="4" a="1"/>
  <c r="BE46" i="4" a="1"/>
  <c r="BE2" i="4"/>
  <c r="BE4" i="4" a="1"/>
  <c r="AV51" i="4" a="1"/>
  <c r="BG8" i="4" a="1"/>
  <c r="CE77" i="4" a="1"/>
  <c r="CF76" i="4" a="1"/>
  <c r="CE76" i="4" a="1"/>
  <c r="BY77" i="4" a="1"/>
  <c r="BY76" i="4" a="1"/>
  <c r="CA75" i="4" l="1"/>
  <c r="BG2" i="4"/>
  <c r="CB75" i="4"/>
  <c r="CE77" i="4"/>
  <c r="AY9" i="4"/>
  <c r="CE76" i="4"/>
  <c r="BY76" i="4"/>
  <c r="CF76" i="4"/>
  <c r="BE46" i="4"/>
  <c r="BG8" i="4"/>
  <c r="AV11" i="4"/>
  <c r="BY77" i="4"/>
  <c r="AV51" i="4"/>
  <c r="BE4" i="4"/>
  <c r="CD75" i="4" s="1"/>
  <c r="BD49" i="4"/>
  <c r="BE44" i="4"/>
  <c r="BF49" i="4" a="1"/>
  <c r="BF49" i="4" s="1"/>
  <c r="AY14" i="4" a="1"/>
  <c r="BZ78" i="4" a="1"/>
  <c r="CC77" i="4" a="1"/>
  <c r="BC9" i="4" a="1"/>
  <c r="CG76" i="4" a="1"/>
  <c r="BB50" i="4" a="1"/>
  <c r="CA76" i="4" a="1"/>
  <c r="CD76" i="4" a="1"/>
  <c r="CH76" i="4" a="1"/>
  <c r="CB77" i="4" a="1"/>
  <c r="BB10" i="4" a="1"/>
  <c r="CJ75" i="4" l="1" a="1"/>
  <c r="CJ75" i="4" s="1"/>
  <c r="CI75" i="4" s="1"/>
  <c r="CC77" i="4"/>
  <c r="BB10" i="4"/>
  <c r="BC9" i="4"/>
  <c r="BB50" i="4"/>
  <c r="CH76" i="4"/>
  <c r="CD76" i="4"/>
  <c r="CA76" i="4"/>
  <c r="CG76" i="4"/>
  <c r="BZ78" i="4"/>
  <c r="CB77" i="4"/>
  <c r="AY14" i="4"/>
  <c r="AU14" i="4"/>
  <c r="AW14" i="4"/>
  <c r="AT15" i="4" a="1"/>
  <c r="AT15" i="4" s="1"/>
  <c r="AV53" i="4" a="1"/>
  <c r="AV53" i="4" s="1"/>
  <c r="AY51" i="4" a="1"/>
  <c r="AY51" i="4" s="1"/>
  <c r="AZ9" i="4"/>
  <c r="AU9" i="4" a="1"/>
  <c r="AX9" i="4"/>
  <c r="AU15" i="4" a="1"/>
  <c r="CB78" i="4" a="1"/>
  <c r="CF77" i="4" a="1"/>
  <c r="CC78" i="4" a="1"/>
  <c r="BZ79" i="4" a="1"/>
  <c r="CG77" i="4" a="1"/>
  <c r="CA77" i="4" a="1"/>
  <c r="CH77" i="4" a="1"/>
  <c r="AU15" i="4" l="1"/>
  <c r="AU9" i="4"/>
  <c r="CA77" i="4"/>
  <c r="CG77" i="4"/>
  <c r="CF77" i="4"/>
  <c r="CB78" i="4"/>
  <c r="CH77" i="4"/>
  <c r="BZ79" i="4"/>
  <c r="CC78" i="4"/>
  <c r="CJ76" i="4" a="1"/>
  <c r="CJ76" i="4" s="1"/>
  <c r="CI76" i="4" s="1"/>
  <c r="AZ51" i="4"/>
  <c r="BB13" i="4"/>
  <c r="BF13" i="4"/>
  <c r="BE10" i="4"/>
  <c r="BC8" i="4"/>
  <c r="BC10" i="4"/>
  <c r="BD13" i="4"/>
  <c r="BC13" i="4"/>
  <c r="AU55" i="4"/>
  <c r="AV55" i="4"/>
  <c r="AW56" i="4" s="1"/>
  <c r="AV52" i="4"/>
  <c r="AX52" i="4"/>
  <c r="AU56" i="4"/>
  <c r="AV50" i="4"/>
  <c r="AY55" i="4"/>
  <c r="AW55" i="4"/>
  <c r="AU51" i="4" a="1"/>
  <c r="AU51" i="4" s="1"/>
  <c r="BC11" i="4" a="1"/>
  <c r="AX11" i="4" a="1"/>
  <c r="AX53" i="4" a="1"/>
  <c r="BY79" i="4" a="1"/>
  <c r="BY78" i="4" a="1"/>
  <c r="AZ15" i="4" a="1"/>
  <c r="CG78" i="4" a="1"/>
  <c r="CE78" i="4" a="1"/>
  <c r="BC51" i="4" a="1"/>
  <c r="CF78" i="4" a="1"/>
  <c r="CE79" i="4" a="1"/>
  <c r="BC11" i="4" l="1"/>
  <c r="BD14" i="4" s="1"/>
  <c r="CG78" i="4"/>
  <c r="CE79" i="4"/>
  <c r="CF78" i="4"/>
  <c r="AX11" i="4"/>
  <c r="BY78" i="4"/>
  <c r="BY79" i="4"/>
  <c r="BC51" i="4"/>
  <c r="AX53" i="4"/>
  <c r="CE78" i="4"/>
  <c r="AZ15" i="4"/>
  <c r="AY56" i="4" a="1"/>
  <c r="AY56" i="4" s="1"/>
  <c r="AX51" i="4"/>
  <c r="BF14" i="4" a="1"/>
  <c r="CA78" i="4" a="1"/>
  <c r="AU57" i="4" a="1"/>
  <c r="BZ80" i="4" a="1"/>
  <c r="CD78" i="4" a="1"/>
  <c r="CG79" i="4" a="1"/>
  <c r="AU17" i="4" a="1"/>
  <c r="CD77" i="4" a="1"/>
  <c r="AV16" i="4" a="1"/>
  <c r="CH78" i="4" a="1"/>
  <c r="CC79" i="4" a="1"/>
  <c r="BB9" i="4" l="1" a="1"/>
  <c r="BB9" i="4" s="1"/>
  <c r="BB14" i="4"/>
  <c r="BF14" i="4"/>
  <c r="CC79" i="4"/>
  <c r="CG79" i="4"/>
  <c r="CH78" i="4"/>
  <c r="AU57" i="4"/>
  <c r="AV16" i="4"/>
  <c r="AU17" i="4"/>
  <c r="CA78" i="4"/>
  <c r="CD77" i="4"/>
  <c r="CJ77" i="4" s="1" a="1"/>
  <c r="CJ77" i="4" s="1"/>
  <c r="CI77" i="4" s="1"/>
  <c r="CD78" i="4"/>
  <c r="BZ80" i="4"/>
  <c r="BA15" i="4" a="1"/>
  <c r="BA15" i="4" s="1"/>
  <c r="BF51" i="4" a="1"/>
  <c r="BF51" i="4" s="1"/>
  <c r="BC53" i="4" a="1"/>
  <c r="BC53" i="4" s="1"/>
  <c r="BE11" i="4" a="1"/>
  <c r="BF9" i="4" a="1"/>
  <c r="BB15" i="4" a="1"/>
  <c r="CF79" i="4" a="1"/>
  <c r="CH79" i="4" a="1"/>
  <c r="CB80" i="4" a="1"/>
  <c r="CC80" i="4" a="1"/>
  <c r="BZ81" i="4" a="1"/>
  <c r="CF79" i="4" l="1"/>
  <c r="BF9" i="4"/>
  <c r="CH79" i="4"/>
  <c r="BE11" i="4"/>
  <c r="CJ78" i="4" a="1"/>
  <c r="CJ78" i="4" s="1"/>
  <c r="CI78" i="4" s="1"/>
  <c r="CC80" i="4"/>
  <c r="BB15" i="4"/>
  <c r="BZ81" i="4"/>
  <c r="CB80" i="4"/>
  <c r="BB55" i="4"/>
  <c r="BE52" i="4"/>
  <c r="BC52" i="4"/>
  <c r="BB56" i="4"/>
  <c r="BC55" i="4"/>
  <c r="BD56" i="4" s="1"/>
  <c r="BC50" i="4"/>
  <c r="BE51" i="4" s="1"/>
  <c r="BF55" i="4"/>
  <c r="BD55" i="4"/>
  <c r="BB51" i="4" a="1"/>
  <c r="BB51" i="4" s="1"/>
  <c r="AW20" i="4"/>
  <c r="AU20" i="4"/>
  <c r="AX17" i="4"/>
  <c r="AV17" i="4"/>
  <c r="AY20" i="4"/>
  <c r="AV20" i="4"/>
  <c r="AV15" i="4"/>
  <c r="BG51" i="4"/>
  <c r="AV18" i="4" a="1"/>
  <c r="BE53" i="4" a="1"/>
  <c r="AV58" i="4" a="1"/>
  <c r="BY81" i="4" a="1"/>
  <c r="BY80" i="4" a="1"/>
  <c r="CB79" i="4" a="1"/>
  <c r="CA80" i="4" a="1"/>
  <c r="CE80" i="4" a="1"/>
  <c r="CG80" i="4" a="1"/>
  <c r="CD79" i="4" a="1"/>
  <c r="CE81" i="4" a="1"/>
  <c r="CF80" i="4" a="1"/>
  <c r="BG15" i="4" a="1"/>
  <c r="BE53" i="4" l="1"/>
  <c r="CD79" i="4"/>
  <c r="AV18" i="4"/>
  <c r="AU21" i="4" s="1"/>
  <c r="CB79" i="4"/>
  <c r="BG9" i="4"/>
  <c r="BE9" i="4"/>
  <c r="CG80" i="4"/>
  <c r="CA80" i="4"/>
  <c r="BY81" i="4"/>
  <c r="AV58" i="4"/>
  <c r="CE81" i="4"/>
  <c r="BY80" i="4"/>
  <c r="CE80" i="4"/>
  <c r="BG15" i="4"/>
  <c r="CF80" i="4"/>
  <c r="BF56" i="4" a="1"/>
  <c r="BF56" i="4" s="1"/>
  <c r="AY21" i="4" a="1"/>
  <c r="CA79" i="4" a="1"/>
  <c r="BZ82" i="4" a="1"/>
  <c r="BC16" i="4" a="1"/>
  <c r="CF81" i="4" a="1"/>
  <c r="CH80" i="4" a="1"/>
  <c r="CC81" i="4" a="1"/>
  <c r="CD80" i="4" a="1"/>
  <c r="BB57" i="4" a="1"/>
  <c r="BB17" i="4" a="1"/>
  <c r="AW21" i="4" l="1"/>
  <c r="AY21" i="4"/>
  <c r="CA79" i="4"/>
  <c r="CJ79" i="4" s="1" a="1"/>
  <c r="CJ79" i="4" s="1"/>
  <c r="CI79" i="4" s="1"/>
  <c r="CC81" i="4"/>
  <c r="CD80" i="4"/>
  <c r="BZ82" i="4"/>
  <c r="CF81" i="4"/>
  <c r="CH80" i="4"/>
  <c r="BC16" i="4"/>
  <c r="BB57" i="4"/>
  <c r="BB17" i="4"/>
  <c r="AV60" i="4" a="1"/>
  <c r="AV60" i="4" s="1"/>
  <c r="AY58" i="4" a="1"/>
  <c r="AY58" i="4" s="1"/>
  <c r="AT22" i="4" a="1"/>
  <c r="AT22" i="4" s="1"/>
  <c r="AY16" i="4" a="1"/>
  <c r="AU16" i="4" a="1"/>
  <c r="AU22" i="4" a="1"/>
  <c r="CB82" i="4" a="1"/>
  <c r="BZ83" i="4" a="1"/>
  <c r="CC82" i="4" a="1"/>
  <c r="CG81" i="4" a="1"/>
  <c r="CH81" i="4" a="1"/>
  <c r="CG81" i="4" l="1"/>
  <c r="CJ80" i="4" a="1"/>
  <c r="CJ80" i="4" s="1"/>
  <c r="CI80" i="4" s="1"/>
  <c r="AU16" i="4"/>
  <c r="AY16" i="4"/>
  <c r="CH81" i="4"/>
  <c r="BZ83" i="4"/>
  <c r="CC82" i="4"/>
  <c r="AU22" i="4"/>
  <c r="CB82" i="4"/>
  <c r="BE17" i="4"/>
  <c r="BD20" i="4"/>
  <c r="BF20" i="4"/>
  <c r="BB20" i="4"/>
  <c r="BC17" i="4"/>
  <c r="BC20" i="4"/>
  <c r="BC15" i="4"/>
  <c r="AW62" i="4"/>
  <c r="AX59" i="4"/>
  <c r="AY62" i="4"/>
  <c r="AV59" i="4"/>
  <c r="AV57" i="4"/>
  <c r="AX58" i="4" s="1"/>
  <c r="AV62" i="4"/>
  <c r="AW63" i="4" s="1"/>
  <c r="AU63" i="4"/>
  <c r="AU62" i="4"/>
  <c r="AU58" i="4" a="1"/>
  <c r="AU58" i="4" s="1"/>
  <c r="AZ58" i="4"/>
  <c r="AX18" i="4" a="1"/>
  <c r="BC18" i="4" a="1"/>
  <c r="AX60" i="4" a="1"/>
  <c r="CF82" i="4" a="1"/>
  <c r="BC58" i="4" a="1"/>
  <c r="CB81" i="4" a="1"/>
  <c r="CA82" i="4" a="1"/>
  <c r="CG82" i="4" a="1"/>
  <c r="CE83" i="4" a="1"/>
  <c r="BY83" i="4" a="1"/>
  <c r="AZ22" i="4" a="1"/>
  <c r="BY82" i="4" a="1"/>
  <c r="CE82" i="4" a="1"/>
  <c r="AX60" i="4" l="1"/>
  <c r="BC18" i="4"/>
  <c r="BD21" i="4" s="1"/>
  <c r="CB81" i="4"/>
  <c r="AX18" i="4"/>
  <c r="AZ16" i="4"/>
  <c r="AX16" i="4"/>
  <c r="CG82" i="4"/>
  <c r="CF82" i="4"/>
  <c r="CE82" i="4"/>
  <c r="BY82" i="4"/>
  <c r="BY83" i="4"/>
  <c r="BC58" i="4"/>
  <c r="CA82" i="4"/>
  <c r="CE83" i="4"/>
  <c r="AZ22" i="4"/>
  <c r="AY63" i="4" a="1"/>
  <c r="AY63" i="4" s="1"/>
  <c r="BF21" i="4" a="1"/>
  <c r="CD81" i="4" a="1"/>
  <c r="CG83" i="4" a="1"/>
  <c r="AU64" i="4" a="1"/>
  <c r="CA81" i="4" a="1"/>
  <c r="CH82" i="4" a="1"/>
  <c r="AU24" i="4" a="1"/>
  <c r="BZ84" i="4" a="1"/>
  <c r="CD82" i="4" a="1"/>
  <c r="AV23" i="4" a="1"/>
  <c r="CC83" i="4" a="1"/>
  <c r="BB21" i="4" l="1"/>
  <c r="CA81" i="4"/>
  <c r="BF21" i="4"/>
  <c r="CD81" i="4"/>
  <c r="CC83" i="4"/>
  <c r="CD82" i="4"/>
  <c r="BZ84" i="4"/>
  <c r="CH82" i="4"/>
  <c r="CG83" i="4"/>
  <c r="AU64" i="4"/>
  <c r="AU24" i="4"/>
  <c r="AV23" i="4"/>
  <c r="BF58" i="4" a="1"/>
  <c r="BF58" i="4" s="1"/>
  <c r="BC60" i="4" a="1"/>
  <c r="BC60" i="4" s="1"/>
  <c r="BB58" i="4" s="1" a="1"/>
  <c r="BB58" i="4" s="1"/>
  <c r="BA22" i="4" a="1"/>
  <c r="BA22" i="4" s="1"/>
  <c r="BF16" i="4" a="1"/>
  <c r="BE60" i="4" a="1"/>
  <c r="BB16" i="4" a="1"/>
  <c r="BB22" i="4" a="1"/>
  <c r="BZ85" i="4" a="1"/>
  <c r="CB84" i="4" a="1"/>
  <c r="CH83" i="4" a="1"/>
  <c r="CF83" i="4" a="1"/>
  <c r="CC84" i="4" a="1"/>
  <c r="CF83" i="4" l="1"/>
  <c r="CJ82" i="4" a="1"/>
  <c r="CJ82" i="4" s="1"/>
  <c r="CI82" i="4" s="1"/>
  <c r="BB16" i="4"/>
  <c r="BE60" i="4"/>
  <c r="BF16" i="4"/>
  <c r="CH83" i="4"/>
  <c r="CJ81" i="4" a="1"/>
  <c r="CJ81" i="4" s="1"/>
  <c r="CI81" i="4" s="1"/>
  <c r="BB22" i="4"/>
  <c r="CC84" i="4"/>
  <c r="CB84" i="4"/>
  <c r="BZ85" i="4"/>
  <c r="BC59" i="4"/>
  <c r="BE59" i="4"/>
  <c r="BC57" i="4"/>
  <c r="BE58" i="4" s="1"/>
  <c r="BB63" i="4"/>
  <c r="BF62" i="4"/>
  <c r="BD62" i="4"/>
  <c r="BB62" i="4"/>
  <c r="BC62" i="4"/>
  <c r="BG58" i="4"/>
  <c r="AV27" i="4"/>
  <c r="AU27" i="4"/>
  <c r="AX24" i="4"/>
  <c r="AV24" i="4"/>
  <c r="AV22" i="4"/>
  <c r="AY27" i="4"/>
  <c r="AW27" i="4"/>
  <c r="BE18" i="4" a="1"/>
  <c r="AV25" i="4" a="1"/>
  <c r="BY84" i="4" a="1"/>
  <c r="BY85" i="4" a="1"/>
  <c r="CE84" i="4" a="1"/>
  <c r="CD84" i="4" a="1"/>
  <c r="CF84" i="4" a="1"/>
  <c r="CB83" i="4" a="1"/>
  <c r="CE85" i="4" a="1"/>
  <c r="CA84" i="4" a="1"/>
  <c r="BG22" i="4" a="1"/>
  <c r="AV65" i="4" a="1"/>
  <c r="AV25" i="4" l="1"/>
  <c r="AU28" i="4" s="1"/>
  <c r="CB83" i="4"/>
  <c r="CD84" i="4"/>
  <c r="BE18" i="4"/>
  <c r="BE16" i="4"/>
  <c r="BG16" i="4"/>
  <c r="CE85" i="4"/>
  <c r="CF84" i="4"/>
  <c r="BY84" i="4"/>
  <c r="BY85" i="4"/>
  <c r="AV65" i="4"/>
  <c r="CA84" i="4"/>
  <c r="CE84" i="4"/>
  <c r="BG22" i="4"/>
  <c r="BF63" i="4" a="1"/>
  <c r="BF63" i="4" s="1"/>
  <c r="BD63" i="4"/>
  <c r="AY28" i="4" a="1"/>
  <c r="CC85" i="4" a="1"/>
  <c r="CG84" i="4" a="1"/>
  <c r="BC23" i="4" a="1"/>
  <c r="CA83" i="4" a="1"/>
  <c r="CD83" i="4" a="1"/>
  <c r="BB64" i="4" a="1"/>
  <c r="BZ86" i="4" a="1"/>
  <c r="CH84" i="4" a="1"/>
  <c r="CF85" i="4" a="1"/>
  <c r="BB24" i="4" a="1"/>
  <c r="AW28" i="4" l="1"/>
  <c r="CD83" i="4"/>
  <c r="CA83" i="4"/>
  <c r="AY28" i="4"/>
  <c r="CC85" i="4"/>
  <c r="CH84" i="4"/>
  <c r="BZ86" i="4"/>
  <c r="BB64" i="4"/>
  <c r="BB24" i="4"/>
  <c r="BC23" i="4"/>
  <c r="CG84" i="4"/>
  <c r="CF85" i="4"/>
  <c r="AV67" i="4" a="1"/>
  <c r="AV67" i="4" s="1"/>
  <c r="AU65" i="4" s="1" a="1"/>
  <c r="AU65" i="4" s="1"/>
  <c r="AY65" i="4" a="1"/>
  <c r="AY65" i="4" s="1"/>
  <c r="AT29" i="4" a="1"/>
  <c r="AT29" i="4" s="1"/>
  <c r="AY23" i="4" a="1"/>
  <c r="AX67" i="4" a="1"/>
  <c r="AU23" i="4" a="1"/>
  <c r="AU29" i="4" a="1"/>
  <c r="CH85" i="4" a="1"/>
  <c r="CB86" i="4" a="1"/>
  <c r="CC86" i="4" a="1"/>
  <c r="BZ87" i="4" a="1"/>
  <c r="CG85" i="4" a="1"/>
  <c r="CJ83" i="4" l="1" a="1"/>
  <c r="CJ83" i="4" s="1"/>
  <c r="CI83" i="4" s="1"/>
  <c r="CG85" i="4"/>
  <c r="AU23" i="4"/>
  <c r="AX67" i="4"/>
  <c r="AY23" i="4"/>
  <c r="CH85" i="4"/>
  <c r="CJ84" i="4" a="1"/>
  <c r="CJ84" i="4" s="1"/>
  <c r="CI84" i="4" s="1"/>
  <c r="CC86" i="4"/>
  <c r="CB86" i="4"/>
  <c r="AU29" i="4"/>
  <c r="BZ87" i="4"/>
  <c r="AW69" i="4"/>
  <c r="AV64" i="4"/>
  <c r="AX65" i="4" s="1"/>
  <c r="AV66" i="4"/>
  <c r="AX66" i="4"/>
  <c r="AU70" i="4"/>
  <c r="AY69" i="4"/>
  <c r="AU69" i="4"/>
  <c r="AV69" i="4"/>
  <c r="AW70" i="4" s="1"/>
  <c r="AZ65" i="4"/>
  <c r="BE24" i="4"/>
  <c r="BC27" i="4"/>
  <c r="BC22" i="4"/>
  <c r="BD27" i="4"/>
  <c r="BB27" i="4"/>
  <c r="BC24" i="4"/>
  <c r="BF27" i="4"/>
  <c r="AX25" i="4" a="1"/>
  <c r="BC25" i="4" a="1"/>
  <c r="BC65" i="4" a="1"/>
  <c r="BY86" i="4" a="1"/>
  <c r="CA86" i="4" a="1"/>
  <c r="CD86" i="4" a="1"/>
  <c r="AZ29" i="4" a="1"/>
  <c r="CE86" i="4" a="1"/>
  <c r="CE87" i="4" a="1"/>
  <c r="CF86" i="4" a="1"/>
  <c r="CB85" i="4" a="1"/>
  <c r="BY87" i="4" a="1"/>
  <c r="CG86" i="4" a="1"/>
  <c r="BC25" i="4" l="1"/>
  <c r="BB28" i="4" s="1"/>
  <c r="CB85" i="4"/>
  <c r="CD86" i="4"/>
  <c r="AX25" i="4"/>
  <c r="AZ23" i="4"/>
  <c r="AX23" i="4"/>
  <c r="CG86" i="4"/>
  <c r="BY87" i="4"/>
  <c r="BC65" i="4"/>
  <c r="CA86" i="4"/>
  <c r="BY86" i="4"/>
  <c r="CE87" i="4"/>
  <c r="CE86" i="4"/>
  <c r="AZ29" i="4"/>
  <c r="CF86" i="4"/>
  <c r="AY70" i="4" a="1"/>
  <c r="AY70" i="4" s="1"/>
  <c r="BF28" i="4" a="1"/>
  <c r="CA85" i="4" a="1"/>
  <c r="CH86" i="4" a="1"/>
  <c r="AU31" i="4" a="1"/>
  <c r="CC87" i="4" a="1"/>
  <c r="AU71" i="4" a="1"/>
  <c r="CD85" i="4" a="1"/>
  <c r="CF87" i="4" a="1"/>
  <c r="BZ88" i="4" a="1"/>
  <c r="AV30" i="4" a="1"/>
  <c r="BD28" i="4" l="1"/>
  <c r="CA85" i="4"/>
  <c r="BF28" i="4"/>
  <c r="CD85" i="4"/>
  <c r="CC87" i="4"/>
  <c r="CH86" i="4"/>
  <c r="CJ86" i="4" s="1" a="1"/>
  <c r="CJ86" i="4" s="1"/>
  <c r="CI86" i="4" s="1"/>
  <c r="CF87" i="4"/>
  <c r="BZ88" i="4"/>
  <c r="AV30" i="4"/>
  <c r="AU31" i="4"/>
  <c r="AU71" i="4"/>
  <c r="BC67" i="4" a="1"/>
  <c r="BC67" i="4" s="1"/>
  <c r="BB65" i="4" s="1" a="1"/>
  <c r="BB65" i="4" s="1"/>
  <c r="BF65" i="4" a="1"/>
  <c r="BF65" i="4" s="1"/>
  <c r="BA29" i="4" a="1"/>
  <c r="BA29" i="4" s="1"/>
  <c r="BF23" i="4" a="1"/>
  <c r="BE67" i="4" a="1"/>
  <c r="BB23" i="4" a="1"/>
  <c r="BB29" i="4" a="1"/>
  <c r="BZ89" i="4" a="1"/>
  <c r="CC88" i="4" a="1"/>
  <c r="CG87" i="4" a="1"/>
  <c r="CB88" i="4" a="1"/>
  <c r="CH87" i="4" a="1"/>
  <c r="CG87" i="4" l="1"/>
  <c r="BB23" i="4"/>
  <c r="BE67" i="4"/>
  <c r="BF23" i="4"/>
  <c r="CH87" i="4"/>
  <c r="CJ85" i="4" a="1"/>
  <c r="CJ85" i="4" s="1"/>
  <c r="CI85" i="4" s="1"/>
  <c r="BB29" i="4"/>
  <c r="CB88" i="4"/>
  <c r="BZ89" i="4"/>
  <c r="CC88" i="4"/>
  <c r="BG65" i="4"/>
  <c r="AV34" i="4"/>
  <c r="AV31" i="4"/>
  <c r="AU34" i="4"/>
  <c r="AW34" i="4"/>
  <c r="AV29" i="4"/>
  <c r="AY34" i="4"/>
  <c r="AX31" i="4"/>
  <c r="BB70" i="4"/>
  <c r="BC66" i="4"/>
  <c r="BF69" i="4"/>
  <c r="BD69" i="4"/>
  <c r="BC69" i="4"/>
  <c r="BE66" i="4"/>
  <c r="BC64" i="4"/>
  <c r="BB69" i="4"/>
  <c r="BE25" i="4" a="1"/>
  <c r="AV32" i="4" a="1"/>
  <c r="CF88" i="4" a="1"/>
  <c r="CB87" i="4" a="1"/>
  <c r="CD88" i="4" a="1"/>
  <c r="AV72" i="4" a="1"/>
  <c r="BY89" i="4" a="1"/>
  <c r="CE88" i="4" a="1"/>
  <c r="BY88" i="4" a="1"/>
  <c r="BG29" i="4" a="1"/>
  <c r="CE89" i="4" a="1"/>
  <c r="CB87" i="4" l="1"/>
  <c r="CD88" i="4"/>
  <c r="AV32" i="4"/>
  <c r="AW35" i="4" s="1"/>
  <c r="BE25" i="4"/>
  <c r="BE23" i="4"/>
  <c r="BG23" i="4"/>
  <c r="CE89" i="4"/>
  <c r="CE88" i="4"/>
  <c r="BY89" i="4"/>
  <c r="AV72" i="4"/>
  <c r="CF88" i="4"/>
  <c r="BY88" i="4"/>
  <c r="BG29" i="4"/>
  <c r="BD70" i="4"/>
  <c r="BE65" i="4"/>
  <c r="BF70" i="4" a="1"/>
  <c r="BF70" i="4" s="1"/>
  <c r="AY35" i="4" a="1"/>
  <c r="CA87" i="4" a="1"/>
  <c r="CG89" i="4" a="1"/>
  <c r="BC30" i="4" a="1"/>
  <c r="BB31" i="4" a="1"/>
  <c r="CH88" i="4" a="1"/>
  <c r="CD87" i="4" a="1"/>
  <c r="CG88" i="4" a="1"/>
  <c r="CA88" i="4" a="1"/>
  <c r="BZ90" i="4" a="1"/>
  <c r="CC89" i="4" a="1"/>
  <c r="BB71" i="4" a="1"/>
  <c r="AU35" i="4" l="1"/>
  <c r="AY35" i="4"/>
  <c r="CA87" i="4"/>
  <c r="CD87" i="4"/>
  <c r="CC89" i="4"/>
  <c r="CG89" i="4"/>
  <c r="BZ90" i="4"/>
  <c r="CH88" i="4"/>
  <c r="BB31" i="4"/>
  <c r="BC30" i="4"/>
  <c r="BB71" i="4"/>
  <c r="CA88" i="4"/>
  <c r="CG88" i="4"/>
  <c r="AV74" i="4" a="1"/>
  <c r="AV74" i="4" s="1"/>
  <c r="AU72" i="4" s="1" a="1"/>
  <c r="AU72" i="4" s="1"/>
  <c r="AY72" i="4" a="1"/>
  <c r="AY72" i="4" s="1"/>
  <c r="AT36" i="4" a="1"/>
  <c r="AT36" i="4" s="1"/>
  <c r="AY30" i="4" a="1"/>
  <c r="AX74" i="4" a="1"/>
  <c r="AU30" i="4" a="1"/>
  <c r="AU36" i="4" a="1"/>
  <c r="CC90" i="4" a="1"/>
  <c r="CB90" i="4" a="1"/>
  <c r="CF89" i="4" a="1"/>
  <c r="CH89" i="4" a="1"/>
  <c r="BZ91" i="4" a="1"/>
  <c r="CF89" i="4" l="1"/>
  <c r="AU30" i="4"/>
  <c r="AX74" i="4"/>
  <c r="AY30" i="4"/>
  <c r="CH89" i="4"/>
  <c r="CJ87" i="4" a="1"/>
  <c r="CJ87" i="4" s="1"/>
  <c r="CI87" i="4" s="1"/>
  <c r="CJ88" i="4" a="1"/>
  <c r="CJ88" i="4" s="1"/>
  <c r="CI88" i="4" s="1"/>
  <c r="BZ91" i="4"/>
  <c r="CB90" i="4"/>
  <c r="AU36" i="4"/>
  <c r="CC90" i="4"/>
  <c r="BE32" i="4" a="1"/>
  <c r="BE32" i="4" s="1"/>
  <c r="BE74" i="4" a="1"/>
  <c r="BE74" i="4" s="1"/>
  <c r="BC34" i="4"/>
  <c r="BC29" i="4"/>
  <c r="BF30" i="4" a="1"/>
  <c r="BF30" i="4" s="1"/>
  <c r="BC32" i="4" a="1"/>
  <c r="BC32" i="4" s="1"/>
  <c r="BB30" i="4" s="1" a="1"/>
  <c r="BB30" i="4" s="1"/>
  <c r="BF34" i="4"/>
  <c r="BD34" i="4"/>
  <c r="BE31" i="4"/>
  <c r="BB34" i="4"/>
  <c r="BC31" i="4"/>
  <c r="AZ72" i="4"/>
  <c r="AU76" i="4"/>
  <c r="AY76" i="4"/>
  <c r="AW76" i="4"/>
  <c r="AU77" i="4"/>
  <c r="AV76" i="4"/>
  <c r="AW77" i="4" s="1"/>
  <c r="AX73" i="4"/>
  <c r="AV73" i="4"/>
  <c r="AV71" i="4"/>
  <c r="AX32" i="4" a="1"/>
  <c r="CE91" i="4" a="1"/>
  <c r="CG90" i="4" a="1"/>
  <c r="BY90" i="4" a="1"/>
  <c r="CD92" i="4" a="1"/>
  <c r="BC72" i="4" a="1"/>
  <c r="CF90" i="4" a="1"/>
  <c r="BY91" i="4" a="1"/>
  <c r="CD91" i="4" a="1"/>
  <c r="CD90" i="4" a="1"/>
  <c r="CB91" i="4" a="1"/>
  <c r="CE90" i="4" a="1"/>
  <c r="CC91" i="4" a="1"/>
  <c r="CB89" i="4" a="1"/>
  <c r="AZ36" i="4" a="1"/>
  <c r="CB89" i="4" l="1"/>
  <c r="CD90" i="4"/>
  <c r="AX32" i="4"/>
  <c r="AX30" i="4"/>
  <c r="AZ30" i="4"/>
  <c r="CF90" i="4"/>
  <c r="CD91" i="4"/>
  <c r="BY90" i="4"/>
  <c r="CE90" i="4"/>
  <c r="BY91" i="4"/>
  <c r="BC72" i="4"/>
  <c r="CE91" i="4"/>
  <c r="CD92" i="4"/>
  <c r="AZ36" i="4"/>
  <c r="CG90" i="4"/>
  <c r="CC91" i="4"/>
  <c r="CB91" i="4"/>
  <c r="AY77" i="4" a="1"/>
  <c r="AY77" i="4" s="1"/>
  <c r="BF35" i="4" a="1"/>
  <c r="BF35" i="4" s="1"/>
  <c r="BD35" i="4"/>
  <c r="BB35" i="4"/>
  <c r="AX72" i="4"/>
  <c r="BG30" i="4"/>
  <c r="BE30" i="4"/>
  <c r="CA91" i="4" a="1"/>
  <c r="CG91" i="4" a="1"/>
  <c r="CH90" i="4" a="1"/>
  <c r="AU78" i="4" a="1"/>
  <c r="AV37" i="4" a="1"/>
  <c r="CA90" i="4" a="1"/>
  <c r="CD89" i="4" a="1"/>
  <c r="CF91" i="4" a="1"/>
  <c r="CA89" i="4" a="1"/>
  <c r="CH91" i="4" a="1"/>
  <c r="BZ92" i="4" a="1"/>
  <c r="AU38" i="4" a="1"/>
  <c r="CA89" i="4" l="1"/>
  <c r="CD89" i="4"/>
  <c r="CG91" i="4"/>
  <c r="CH91" i="4"/>
  <c r="BZ92" i="4"/>
  <c r="CH90" i="4"/>
  <c r="CA91" i="4"/>
  <c r="CF91" i="4"/>
  <c r="CA90" i="4"/>
  <c r="AU78" i="4"/>
  <c r="AU38" i="4"/>
  <c r="AV37" i="4"/>
  <c r="BC74" i="4" a="1"/>
  <c r="BC74" i="4" s="1"/>
  <c r="BB72" i="4" s="1" a="1"/>
  <c r="BB72" i="4" s="1"/>
  <c r="BF72" i="4" a="1"/>
  <c r="BF72" i="4" s="1"/>
  <c r="BA36" i="4" a="1"/>
  <c r="BA36" i="4" s="1"/>
  <c r="BB36" i="4" a="1"/>
  <c r="CB92" i="4" a="1"/>
  <c r="BZ93" i="4" a="1"/>
  <c r="CC92" i="4" a="1"/>
  <c r="CJ89" i="4" l="1" a="1"/>
  <c r="CJ89" i="4" s="1"/>
  <c r="CI89" i="4" s="1"/>
  <c r="CJ91" i="4" a="1"/>
  <c r="CJ91" i="4" s="1"/>
  <c r="CI91" i="4" s="1"/>
  <c r="CJ90" i="4" a="1"/>
  <c r="CJ90" i="4" s="1"/>
  <c r="CI90" i="4" s="1"/>
  <c r="BB36" i="4"/>
  <c r="CB92" i="4"/>
  <c r="CC92" i="4"/>
  <c r="BZ93" i="4"/>
  <c r="BG72" i="4"/>
  <c r="BB76" i="4"/>
  <c r="BF76" i="4"/>
  <c r="BB77" i="4"/>
  <c r="BE73" i="4"/>
  <c r="BC73" i="4"/>
  <c r="BC71" i="4"/>
  <c r="BE72" i="4" s="1"/>
  <c r="BD76" i="4"/>
  <c r="BC76" i="4"/>
  <c r="BD77" i="4" s="1"/>
  <c r="AV38" i="4"/>
  <c r="AX39" i="4" a="1"/>
  <c r="AX39" i="4" s="1"/>
  <c r="AV39" i="4" a="1"/>
  <c r="AV39" i="4" s="1"/>
  <c r="AU37" i="4" s="1" a="1"/>
  <c r="AU37" i="4" s="1"/>
  <c r="AX38" i="4"/>
  <c r="AX81" i="4" a="1"/>
  <c r="AX81" i="4" s="1"/>
  <c r="AV36" i="4"/>
  <c r="AV41" i="4"/>
  <c r="AY37" i="4" a="1"/>
  <c r="AY37" i="4" s="1"/>
  <c r="AW41" i="4"/>
  <c r="AU41" i="4"/>
  <c r="AY41" i="4"/>
  <c r="CE92" i="4" a="1"/>
  <c r="CE93" i="4" a="1"/>
  <c r="BG36" i="4" a="1"/>
  <c r="CD94" i="4" a="1"/>
  <c r="CA92" i="4" a="1"/>
  <c r="BY93" i="4" a="1"/>
  <c r="CB93" i="4" a="1"/>
  <c r="AV79" i="4" a="1"/>
  <c r="BY92" i="4" a="1"/>
  <c r="CC93" i="4" a="1"/>
  <c r="CG92" i="4" a="1"/>
  <c r="CF92" i="4" a="1"/>
  <c r="CD93" i="4" a="1"/>
  <c r="CB93" i="4" l="1"/>
  <c r="CE93" i="4"/>
  <c r="CA92" i="4"/>
  <c r="CD94" i="4"/>
  <c r="BY92" i="4"/>
  <c r="CG92" i="4"/>
  <c r="BY93" i="4"/>
  <c r="AV79" i="4"/>
  <c r="CE92" i="4"/>
  <c r="CC93" i="4"/>
  <c r="CD93" i="4"/>
  <c r="CF92" i="4"/>
  <c r="BG36" i="4"/>
  <c r="AX37" i="4"/>
  <c r="AZ37" i="4"/>
  <c r="BF77" i="4" a="1"/>
  <c r="BF77" i="4" s="1"/>
  <c r="AY42" i="4" a="1"/>
  <c r="AY42" i="4" s="1"/>
  <c r="AW42" i="4"/>
  <c r="AU42" i="4"/>
  <c r="BB78" i="4" a="1"/>
  <c r="CH93" i="4" a="1"/>
  <c r="CG93" i="4" a="1"/>
  <c r="BZ94" i="4" a="1"/>
  <c r="BC37" i="4" a="1"/>
  <c r="CA93" i="4" a="1"/>
  <c r="CF93" i="4" a="1"/>
  <c r="CH92" i="4" a="1"/>
  <c r="BB38" i="4" a="1"/>
  <c r="CA93" i="4" l="1"/>
  <c r="BB38" i="4"/>
  <c r="BC37" i="4"/>
  <c r="BB78" i="4"/>
  <c r="CH92" i="4"/>
  <c r="CJ92" i="4" s="1" a="1"/>
  <c r="CJ92" i="4" s="1"/>
  <c r="CI92" i="4" s="1"/>
  <c r="BZ94" i="4"/>
  <c r="CF93" i="4"/>
  <c r="CG93" i="4"/>
  <c r="CH93" i="4"/>
  <c r="BI1" i="4" a="1"/>
  <c r="BI1" i="4" s="1"/>
  <c r="AY79" i="4" a="1"/>
  <c r="AY79" i="4" s="1"/>
  <c r="AV81" i="4" a="1"/>
  <c r="AV81" i="4" s="1"/>
  <c r="AU79" i="4" s="1" a="1"/>
  <c r="AU79" i="4" s="1"/>
  <c r="BJ1" i="4" a="1"/>
  <c r="BZ95" i="4" a="1"/>
  <c r="CB94" i="4" a="1"/>
  <c r="CC94" i="4" a="1"/>
  <c r="CJ93" i="4" l="1" a="1"/>
  <c r="CJ93" i="4" s="1"/>
  <c r="CI93" i="4" s="1"/>
  <c r="CC94" i="4"/>
  <c r="CB94" i="4"/>
  <c r="BZ95" i="4"/>
  <c r="BJ1" i="4"/>
  <c r="AV80" i="4"/>
  <c r="AY83" i="4"/>
  <c r="AW83" i="4"/>
  <c r="AV83" i="4"/>
  <c r="AU83" i="4"/>
  <c r="AV78" i="4"/>
  <c r="AX80" i="4"/>
  <c r="AU84" i="4"/>
  <c r="AZ79" i="4"/>
  <c r="BD41" i="4"/>
  <c r="BC36" i="4"/>
  <c r="BC38" i="4"/>
  <c r="BE39" i="4" a="1"/>
  <c r="BE39" i="4" s="1"/>
  <c r="BC39" i="4" a="1"/>
  <c r="BC39" i="4" s="1"/>
  <c r="BF37" i="4" a="1"/>
  <c r="BF37" i="4" s="1"/>
  <c r="BE81" i="4" a="1"/>
  <c r="BE81" i="4" s="1"/>
  <c r="BE38" i="4"/>
  <c r="BF41" i="4"/>
  <c r="BB41" i="4"/>
  <c r="BC41" i="4"/>
  <c r="BB79" i="4" a="1"/>
  <c r="BB79" i="4" s="1"/>
  <c r="BB37" i="4" a="1"/>
  <c r="BB37" i="4" s="1"/>
  <c r="CB95" i="4" a="1"/>
  <c r="BY95" i="4" a="1"/>
  <c r="CD96" i="4" a="1"/>
  <c r="CF94" i="4" a="1"/>
  <c r="CE95" i="4" a="1"/>
  <c r="CC95" i="4" a="1"/>
  <c r="BO1" i="4" a="1"/>
  <c r="CE94" i="4" a="1"/>
  <c r="BY94" i="4" a="1"/>
  <c r="BC79" i="4" a="1"/>
  <c r="CD95" i="4" a="1"/>
  <c r="CE94" i="4" l="1"/>
  <c r="CE95" i="4"/>
  <c r="CF94" i="4"/>
  <c r="BO1" i="4"/>
  <c r="CB95" i="4"/>
  <c r="BY95" i="4"/>
  <c r="BC79" i="4"/>
  <c r="CD96" i="4"/>
  <c r="BY94" i="4"/>
  <c r="CC95" i="4"/>
  <c r="CD95" i="4"/>
  <c r="AW84" i="4"/>
  <c r="BE37" i="4"/>
  <c r="BG37" i="4"/>
  <c r="BF42" i="4" a="1"/>
  <c r="BF42" i="4" s="1"/>
  <c r="AX79" i="4"/>
  <c r="AY84" i="4" a="1"/>
  <c r="AY84" i="4" s="1"/>
  <c r="BB42" i="4"/>
  <c r="BD42" i="4"/>
  <c r="CG94" i="4" a="1"/>
  <c r="CH94" i="4" a="1"/>
  <c r="BK2" i="4" a="1"/>
  <c r="BJ43" i="4" a="1"/>
  <c r="BZ96" i="4" a="1"/>
  <c r="CA94" i="4" a="1"/>
  <c r="CH95" i="4" a="1"/>
  <c r="CF95" i="4" a="1"/>
  <c r="CA95" i="4" a="1"/>
  <c r="CG95" i="4" a="1"/>
  <c r="BJ3" i="4" a="1"/>
  <c r="CH95" i="4" l="1"/>
  <c r="BZ96" i="4"/>
  <c r="CA95" i="4"/>
  <c r="BJ43" i="4"/>
  <c r="BK2" i="4"/>
  <c r="BJ3" i="4"/>
  <c r="CG94" i="4"/>
  <c r="CF95" i="4"/>
  <c r="CA94" i="4"/>
  <c r="CG95" i="4"/>
  <c r="CH94" i="4"/>
  <c r="BF79" i="4" a="1"/>
  <c r="BF79" i="4" s="1"/>
  <c r="BC81" i="4" a="1"/>
  <c r="BC81" i="4" s="1"/>
  <c r="BP1" i="4" a="1"/>
  <c r="BP1" i="4" s="1"/>
  <c r="BQ1" i="4" a="1"/>
  <c r="CC96" i="4" a="1"/>
  <c r="CB96" i="4" a="1"/>
  <c r="CJ95" i="4" l="1" a="1"/>
  <c r="CJ95" i="4" s="1"/>
  <c r="CI95" i="4" s="1"/>
  <c r="CC96" i="4"/>
  <c r="CB96" i="4"/>
  <c r="BQ1" i="4"/>
  <c r="BC83" i="4"/>
  <c r="BD84" i="4" s="1"/>
  <c r="BB83" i="4"/>
  <c r="BB84" i="4"/>
  <c r="BE80" i="4"/>
  <c r="BC80" i="4"/>
  <c r="BF83" i="4"/>
  <c r="BC78" i="4"/>
  <c r="BE79" i="4" s="1"/>
  <c r="BD83" i="4"/>
  <c r="BJ44" i="4" a="1"/>
  <c r="BJ44" i="4" s="1"/>
  <c r="BJ2" i="4" a="1"/>
  <c r="BJ2" i="4" s="1"/>
  <c r="BG79" i="4"/>
  <c r="BZ97" i="4"/>
  <c r="BN2" i="4" a="1"/>
  <c r="BN2" i="4" s="1"/>
  <c r="BM46" i="4" a="1"/>
  <c r="BM46" i="4" s="1"/>
  <c r="BN6" i="4"/>
  <c r="BK6" i="4"/>
  <c r="CE97" i="4" s="1"/>
  <c r="BL6" i="4"/>
  <c r="BM4" i="4" a="1"/>
  <c r="BM4" i="4" s="1"/>
  <c r="CD97" i="4" s="1"/>
  <c r="BK1" i="4"/>
  <c r="BJ6" i="4"/>
  <c r="BM3" i="4"/>
  <c r="BK4" i="4" a="1"/>
  <c r="BK4" i="4" s="1"/>
  <c r="BK3" i="4"/>
  <c r="CJ94" i="4" a="1"/>
  <c r="CJ94" i="4" s="1"/>
  <c r="CI94" i="4" s="1"/>
  <c r="BK44" i="4" a="1"/>
  <c r="CF96" i="4" a="1"/>
  <c r="CG96" i="4" a="1"/>
  <c r="CE96" i="4" a="1"/>
  <c r="BV1" i="4" a="1"/>
  <c r="CA96" i="4" a="1"/>
  <c r="CD98" i="4" a="1"/>
  <c r="BY96" i="4" a="1"/>
  <c r="CA96" i="4" l="1"/>
  <c r="CG96" i="4"/>
  <c r="BK44" i="4"/>
  <c r="CF96" i="4"/>
  <c r="CE96" i="4"/>
  <c r="BY96" i="4"/>
  <c r="BV1" i="4"/>
  <c r="CD98" i="4"/>
  <c r="BY97" i="4"/>
  <c r="BN7" i="4" a="1"/>
  <c r="BN7" i="4" s="1"/>
  <c r="CH97" i="4" s="1"/>
  <c r="CC97" i="4"/>
  <c r="BL7" i="4"/>
  <c r="CG97" i="4" s="1"/>
  <c r="BJ7" i="4"/>
  <c r="CF97" i="4" s="1"/>
  <c r="BF84" i="4" a="1"/>
  <c r="BF84" i="4" s="1"/>
  <c r="CB97" i="4"/>
  <c r="BO2" i="4"/>
  <c r="BM2" i="4"/>
  <c r="CA97" i="4" s="1"/>
  <c r="CH96" i="4" a="1"/>
  <c r="BR2" i="4" a="1"/>
  <c r="BQ43" i="4" a="1"/>
  <c r="BZ98" i="4" a="1"/>
  <c r="BQ3" i="4" a="1"/>
  <c r="BQ43" i="4" l="1"/>
  <c r="BR2" i="4"/>
  <c r="BQ3" i="4"/>
  <c r="CH96" i="4"/>
  <c r="CJ96" i="4" s="1" a="1"/>
  <c r="CJ96" i="4" s="1"/>
  <c r="CI96" i="4" s="1"/>
  <c r="BZ98" i="4"/>
  <c r="BI8" i="4" a="1"/>
  <c r="BI8" i="4" s="1"/>
  <c r="BK46" i="4" a="1"/>
  <c r="BK46" i="4" s="1"/>
  <c r="BN44" i="4" a="1"/>
  <c r="BN44" i="4" s="1"/>
  <c r="CJ97" i="4" a="1"/>
  <c r="CJ97" i="4" s="1"/>
  <c r="CI97" i="4" s="1"/>
  <c r="BJ8" i="4" a="1"/>
  <c r="CB98" i="4" a="1"/>
  <c r="CC98" i="4" a="1"/>
  <c r="CC98" i="4" l="1"/>
  <c r="BJ8" i="4"/>
  <c r="CB98" i="4"/>
  <c r="BK48" i="4"/>
  <c r="BL49" i="4" s="1"/>
  <c r="BJ48" i="4"/>
  <c r="BN48" i="4"/>
  <c r="BJ49" i="4"/>
  <c r="BM45" i="4"/>
  <c r="BL48" i="4"/>
  <c r="BK45" i="4"/>
  <c r="BK43" i="4"/>
  <c r="BM44" i="4" s="1"/>
  <c r="BQ44" i="4" a="1"/>
  <c r="BQ44" i="4" s="1"/>
  <c r="BQ2" i="4" a="1"/>
  <c r="BQ2" i="4" s="1"/>
  <c r="BT46" i="4" a="1"/>
  <c r="BT46" i="4" s="1"/>
  <c r="BU2" i="4" a="1"/>
  <c r="BU2" i="4" s="1"/>
  <c r="BR3" i="4"/>
  <c r="BR4" i="4" a="1"/>
  <c r="BR4" i="4" s="1"/>
  <c r="BR1" i="4"/>
  <c r="BT3" i="4"/>
  <c r="BU6" i="4"/>
  <c r="BS6" i="4"/>
  <c r="BT4" i="4" a="1"/>
  <c r="BT4" i="4" s="1"/>
  <c r="CD99" i="4" s="1"/>
  <c r="BZ99" i="4"/>
  <c r="BR6" i="4"/>
  <c r="CE99" i="4" s="1"/>
  <c r="BQ6" i="4"/>
  <c r="BO44" i="4"/>
  <c r="BR44" i="4" a="1"/>
  <c r="CF98" i="4" a="1"/>
  <c r="CD100" i="4" a="1"/>
  <c r="CE98" i="4" a="1"/>
  <c r="CG98" i="4" a="1"/>
  <c r="CA98" i="4" a="1"/>
  <c r="BY98" i="4" a="1"/>
  <c r="BO8" i="4" a="1"/>
  <c r="CF98" i="4" l="1"/>
  <c r="CD100" i="4"/>
  <c r="CG98" i="4"/>
  <c r="BY98" i="4"/>
  <c r="CE98" i="4"/>
  <c r="CA98" i="4"/>
  <c r="BR44" i="4"/>
  <c r="BO8" i="4"/>
  <c r="CB99" i="4"/>
  <c r="BV2" i="4"/>
  <c r="BT2" i="4"/>
  <c r="CA99" i="4" s="1"/>
  <c r="BN49" i="4" a="1"/>
  <c r="BN49" i="4" s="1"/>
  <c r="BU7" i="4" a="1"/>
  <c r="BU7" i="4" s="1"/>
  <c r="CH99" i="4" s="1"/>
  <c r="BY99" i="4"/>
  <c r="BS7" i="4"/>
  <c r="CG99" i="4" s="1"/>
  <c r="BQ7" i="4"/>
  <c r="CF99" i="4" s="1"/>
  <c r="CC99" i="4"/>
  <c r="CH98" i="4" a="1"/>
  <c r="BK9" i="4" a="1"/>
  <c r="BJ50" i="4" a="1"/>
  <c r="BJ10" i="4" a="1"/>
  <c r="BZ100" i="4" a="1"/>
  <c r="BK9" i="4" l="1"/>
  <c r="BJ50" i="4"/>
  <c r="BJ10" i="4"/>
  <c r="CH98" i="4"/>
  <c r="CJ98" i="4" s="1" a="1"/>
  <c r="CJ98" i="4" s="1"/>
  <c r="CI98" i="4" s="1"/>
  <c r="BZ100" i="4"/>
  <c r="BP8" i="4" a="1"/>
  <c r="BP8" i="4" s="1"/>
  <c r="CJ99" i="4" a="1"/>
  <c r="CJ99" i="4" s="1"/>
  <c r="CI99" i="4" s="1"/>
  <c r="BU44" i="4" a="1"/>
  <c r="BU44" i="4" s="1"/>
  <c r="BR46" i="4" a="1"/>
  <c r="BR46" i="4" s="1"/>
  <c r="BQ8" i="4" a="1"/>
  <c r="BZ101" i="4" a="1"/>
  <c r="CC100" i="4" a="1"/>
  <c r="CB100" i="4" a="1"/>
  <c r="CB100" i="4" l="1"/>
  <c r="BQ8" i="4"/>
  <c r="CC100" i="4"/>
  <c r="BZ101" i="4"/>
  <c r="BV44" i="4"/>
  <c r="BJ51" i="4" a="1"/>
  <c r="BJ51" i="4" s="1"/>
  <c r="BJ9" i="4" a="1"/>
  <c r="BJ9" i="4" s="1"/>
  <c r="BR48" i="4"/>
  <c r="BS49" i="4" s="1"/>
  <c r="BR43" i="4"/>
  <c r="BQ48" i="4"/>
  <c r="BS48" i="4"/>
  <c r="BT45" i="4"/>
  <c r="BR45" i="4"/>
  <c r="BQ49" i="4"/>
  <c r="BU48" i="4"/>
  <c r="BN9" i="4" a="1"/>
  <c r="BN9" i="4" s="1"/>
  <c r="BK13" i="4"/>
  <c r="BJ13" i="4"/>
  <c r="BK11" i="4" a="1"/>
  <c r="BK11" i="4" s="1"/>
  <c r="BN13" i="4"/>
  <c r="BM53" i="4" a="1"/>
  <c r="BM53" i="4" s="1"/>
  <c r="BM10" i="4"/>
  <c r="BK10" i="4"/>
  <c r="BM11" i="4" a="1"/>
  <c r="BM11" i="4" s="1"/>
  <c r="BK8" i="4"/>
  <c r="BL13" i="4"/>
  <c r="BY100" i="4" a="1"/>
  <c r="CD101" i="4" a="1"/>
  <c r="BK51" i="4" a="1"/>
  <c r="BY101" i="4" a="1"/>
  <c r="CE100" i="4" a="1"/>
  <c r="CG100" i="4" a="1"/>
  <c r="CE101" i="4" a="1"/>
  <c r="CC101" i="4" a="1"/>
  <c r="CD102" i="4" a="1"/>
  <c r="CB101" i="4" a="1"/>
  <c r="CF100" i="4" a="1"/>
  <c r="BV8" i="4" a="1"/>
  <c r="CD102" i="4" l="1"/>
  <c r="CE101" i="4"/>
  <c r="BV8" i="4"/>
  <c r="CG100" i="4"/>
  <c r="CE100" i="4"/>
  <c r="CF100" i="4"/>
  <c r="CC101" i="4"/>
  <c r="BY101" i="4"/>
  <c r="BK51" i="4"/>
  <c r="CD101" i="4"/>
  <c r="CB101" i="4"/>
  <c r="BY100" i="4"/>
  <c r="BJ14" i="4"/>
  <c r="BL14" i="4"/>
  <c r="BN14" i="4" a="1"/>
  <c r="BN14" i="4" s="1"/>
  <c r="BO9" i="4"/>
  <c r="BM9" i="4"/>
  <c r="BT44" i="4"/>
  <c r="BU49" i="4" a="1"/>
  <c r="BU49" i="4" s="1"/>
  <c r="BZ102" i="4" a="1"/>
  <c r="CA101" i="4" a="1"/>
  <c r="CH100" i="4" a="1"/>
  <c r="BQ50" i="4" a="1"/>
  <c r="CH101" i="4" a="1"/>
  <c r="BQ10" i="4" a="1"/>
  <c r="CA100" i="4" a="1"/>
  <c r="CF101" i="4" a="1"/>
  <c r="BR9" i="4" a="1"/>
  <c r="CG101" i="4" a="1"/>
  <c r="CH101" i="4" l="1"/>
  <c r="CF101" i="4"/>
  <c r="CA100" i="4"/>
  <c r="CG101" i="4"/>
  <c r="CH100" i="4"/>
  <c r="BQ50" i="4"/>
  <c r="BR9" i="4"/>
  <c r="BQ10" i="4"/>
  <c r="CA101" i="4"/>
  <c r="BZ102" i="4"/>
  <c r="BI15" i="4" a="1"/>
  <c r="BI15" i="4" s="1"/>
  <c r="BN51" i="4" a="1"/>
  <c r="BN51" i="4" s="1"/>
  <c r="BK53" i="4" a="1"/>
  <c r="BK53" i="4" s="1"/>
  <c r="BJ15" i="4" a="1"/>
  <c r="CC102" i="4" a="1"/>
  <c r="CB102" i="4" a="1"/>
  <c r="BZ103" i="4" a="1"/>
  <c r="CJ100" i="4" l="1" a="1"/>
  <c r="CJ100" i="4" s="1"/>
  <c r="CI100" i="4" s="1"/>
  <c r="BZ103" i="4"/>
  <c r="CB102" i="4"/>
  <c r="BJ15" i="4"/>
  <c r="CC102" i="4"/>
  <c r="BQ51" i="4" a="1"/>
  <c r="BQ51" i="4" s="1"/>
  <c r="BQ9" i="4" a="1"/>
  <c r="BQ9" i="4" s="1"/>
  <c r="BQ13" i="4"/>
  <c r="BT11" i="4" a="1"/>
  <c r="BT11" i="4" s="1"/>
  <c r="BR10" i="4"/>
  <c r="BR11" i="4" a="1"/>
  <c r="BR11" i="4" s="1"/>
  <c r="BU9" i="4" a="1"/>
  <c r="BU9" i="4" s="1"/>
  <c r="BT53" i="4" a="1"/>
  <c r="BT53" i="4" s="1"/>
  <c r="BR8" i="4"/>
  <c r="BS13" i="4"/>
  <c r="BR13" i="4"/>
  <c r="BT10" i="4"/>
  <c r="BU13" i="4"/>
  <c r="BO51" i="4"/>
  <c r="BJ56" i="4"/>
  <c r="BM52" i="4"/>
  <c r="BN55" i="4"/>
  <c r="BK50" i="4"/>
  <c r="BL55" i="4"/>
  <c r="BK52" i="4"/>
  <c r="BJ55" i="4"/>
  <c r="BK55" i="4"/>
  <c r="BL56" i="4" s="1"/>
  <c r="CJ101" i="4" a="1"/>
  <c r="CJ101" i="4" s="1"/>
  <c r="CI101" i="4" s="1"/>
  <c r="CE102" i="4" a="1"/>
  <c r="BY103" i="4" a="1"/>
  <c r="BY102" i="4" a="1"/>
  <c r="CE103" i="4" a="1"/>
  <c r="BO15" i="4" a="1"/>
  <c r="CF102" i="4" a="1"/>
  <c r="CG102" i="4" a="1"/>
  <c r="BR51" i="4" a="1"/>
  <c r="CB103" i="4" a="1"/>
  <c r="CD104" i="4" a="1"/>
  <c r="CC103" i="4" a="1"/>
  <c r="CD103" i="4" a="1"/>
  <c r="CD103" i="4" l="1"/>
  <c r="CE103" i="4"/>
  <c r="BY102" i="4"/>
  <c r="CG102" i="4"/>
  <c r="CB103" i="4"/>
  <c r="BO15" i="4"/>
  <c r="BY103" i="4"/>
  <c r="BR51" i="4"/>
  <c r="CD104" i="4"/>
  <c r="CF102" i="4"/>
  <c r="CE102" i="4"/>
  <c r="CC103" i="4"/>
  <c r="BM51" i="4"/>
  <c r="BN56" i="4" a="1"/>
  <c r="BN56" i="4" s="1"/>
  <c r="BT9" i="4"/>
  <c r="BV9" i="4"/>
  <c r="BU14" i="4" a="1"/>
  <c r="BU14" i="4" s="1"/>
  <c r="BQ14" i="4"/>
  <c r="BS14" i="4"/>
  <c r="CH102" i="4" a="1"/>
  <c r="CH103" i="4" a="1"/>
  <c r="CA103" i="4" a="1"/>
  <c r="BJ17" i="4" a="1"/>
  <c r="CA102" i="4" a="1"/>
  <c r="BJ57" i="4" a="1"/>
  <c r="CG103" i="4" a="1"/>
  <c r="BK16" i="4" a="1"/>
  <c r="BZ104" i="4" a="1"/>
  <c r="CF103" i="4" a="1"/>
  <c r="BZ104" i="4" l="1"/>
  <c r="BK16" i="4"/>
  <c r="BJ57" i="4"/>
  <c r="BJ17" i="4"/>
  <c r="CG103" i="4"/>
  <c r="CH103" i="4"/>
  <c r="CA103" i="4"/>
  <c r="CF103" i="4"/>
  <c r="CH102" i="4"/>
  <c r="CA102" i="4"/>
  <c r="BR53" i="4" a="1"/>
  <c r="BR53" i="4" s="1"/>
  <c r="BU51" i="4" a="1"/>
  <c r="BU51" i="4" s="1"/>
  <c r="BP15" i="4" a="1"/>
  <c r="BP15" i="4" s="1"/>
  <c r="BQ15" i="4" a="1"/>
  <c r="CB104" i="4" a="1"/>
  <c r="CC104" i="4" a="1"/>
  <c r="BZ105" i="4" a="1"/>
  <c r="CJ103" i="4" l="1" a="1"/>
  <c r="CJ103" i="4" s="1"/>
  <c r="CI103" i="4" s="1"/>
  <c r="CJ102" i="4" a="1"/>
  <c r="CJ102" i="4" s="1"/>
  <c r="CI102" i="4" s="1"/>
  <c r="CC104" i="4"/>
  <c r="CB104" i="4"/>
  <c r="BZ105" i="4"/>
  <c r="BQ15" i="4"/>
  <c r="BQ55" i="4"/>
  <c r="BT52" i="4"/>
  <c r="BR52" i="4"/>
  <c r="BQ56" i="4"/>
  <c r="BR55" i="4"/>
  <c r="BS56" i="4" s="1"/>
  <c r="BU55" i="4"/>
  <c r="BS55" i="4"/>
  <c r="BR50" i="4"/>
  <c r="BT51" i="4" s="1"/>
  <c r="BV51" i="4"/>
  <c r="BM18" i="4" a="1"/>
  <c r="BM18" i="4" s="1"/>
  <c r="BJ20" i="4"/>
  <c r="BK18" i="4" a="1"/>
  <c r="BK18" i="4" s="1"/>
  <c r="BM17" i="4"/>
  <c r="BK17" i="4"/>
  <c r="BK15" i="4"/>
  <c r="BN16" i="4" a="1"/>
  <c r="BN16" i="4" s="1"/>
  <c r="BL20" i="4"/>
  <c r="BN20" i="4"/>
  <c r="BK20" i="4"/>
  <c r="BM60" i="4" a="1"/>
  <c r="BM60" i="4" s="1"/>
  <c r="BJ16" i="4" a="1"/>
  <c r="BJ16" i="4" s="1"/>
  <c r="BJ58" i="4" a="1"/>
  <c r="BJ58" i="4" s="1"/>
  <c r="CE105" i="4" a="1"/>
  <c r="CB105" i="4" a="1"/>
  <c r="BY104" i="4" a="1"/>
  <c r="BK58" i="4" a="1"/>
  <c r="CF104" i="4" a="1"/>
  <c r="CG104" i="4" a="1"/>
  <c r="CE104" i="4" a="1"/>
  <c r="BY105" i="4" a="1"/>
  <c r="CC105" i="4" a="1"/>
  <c r="BV15" i="4" a="1"/>
  <c r="CD105" i="4" a="1"/>
  <c r="CA104" i="4" a="1"/>
  <c r="CD106" i="4" a="1"/>
  <c r="CG104" i="4" l="1"/>
  <c r="CB105" i="4"/>
  <c r="CA104" i="4"/>
  <c r="BY105" i="4"/>
  <c r="BK58" i="4"/>
  <c r="BY104" i="4"/>
  <c r="CD106" i="4"/>
  <c r="CC105" i="4"/>
  <c r="BV15" i="4"/>
  <c r="CE105" i="4"/>
  <c r="CE104" i="4"/>
  <c r="CD105" i="4"/>
  <c r="CF104" i="4"/>
  <c r="BO16" i="4"/>
  <c r="BM16" i="4"/>
  <c r="BN21" i="4" a="1"/>
  <c r="BN21" i="4" s="1"/>
  <c r="BU56" i="4" a="1"/>
  <c r="BU56" i="4" s="1"/>
  <c r="BJ21" i="4"/>
  <c r="BL21" i="4"/>
  <c r="CF105" i="4" a="1"/>
  <c r="CG105" i="4" a="1"/>
  <c r="BZ106" i="4" a="1"/>
  <c r="CA105" i="4" a="1"/>
  <c r="CH105" i="4" a="1"/>
  <c r="CH104" i="4" a="1"/>
  <c r="BQ17" i="4" a="1"/>
  <c r="BQ57" i="4" a="1"/>
  <c r="CH105" i="4" l="1"/>
  <c r="CA105" i="4"/>
  <c r="CH104" i="4"/>
  <c r="CJ104" i="4" s="1" a="1"/>
  <c r="CJ104" i="4" s="1"/>
  <c r="CI104" i="4" s="1"/>
  <c r="BZ106" i="4"/>
  <c r="CG105" i="4"/>
  <c r="CF105" i="4"/>
  <c r="BQ57" i="4"/>
  <c r="BQ17" i="4"/>
  <c r="BK60" i="4" a="1"/>
  <c r="BK60" i="4" s="1"/>
  <c r="BN58" i="4" a="1"/>
  <c r="BN58" i="4" s="1"/>
  <c r="BI22" i="4" a="1"/>
  <c r="BI22" i="4" s="1"/>
  <c r="BJ22" i="4" a="1"/>
  <c r="CC106" i="4" a="1"/>
  <c r="CB106" i="4" a="1"/>
  <c r="BR16" i="4" a="1"/>
  <c r="BR16" i="4" l="1"/>
  <c r="BT18" i="4" s="1" a="1"/>
  <c r="BT18" i="4" s="1"/>
  <c r="CJ105" i="4" a="1"/>
  <c r="CJ105" i="4" s="1"/>
  <c r="CI105" i="4" s="1"/>
  <c r="BJ22" i="4"/>
  <c r="CB106" i="4"/>
  <c r="CC106" i="4"/>
  <c r="BQ16" i="4" a="1"/>
  <c r="BQ16" i="4" s="1"/>
  <c r="BQ58" i="4" a="1"/>
  <c r="BQ58" i="4" s="1"/>
  <c r="BO58" i="4"/>
  <c r="BJ63" i="4"/>
  <c r="BJ62" i="4"/>
  <c r="BK62" i="4"/>
  <c r="BL63" i="4" s="1"/>
  <c r="BM59" i="4"/>
  <c r="BL62" i="4"/>
  <c r="BK57" i="4"/>
  <c r="BM58" i="4" s="1"/>
  <c r="BK59" i="4"/>
  <c r="BN62" i="4"/>
  <c r="CF106" i="4" a="1"/>
  <c r="BY106" i="4" a="1"/>
  <c r="CD107" i="4" a="1"/>
  <c r="CG106" i="4" a="1"/>
  <c r="CA106" i="4" a="1"/>
  <c r="BZ107" i="4" a="1"/>
  <c r="CE106" i="4" a="1"/>
  <c r="BO22" i="4" a="1"/>
  <c r="BU20" i="4" l="1"/>
  <c r="BR17" i="4"/>
  <c r="BT17" i="4"/>
  <c r="BZ107" i="4"/>
  <c r="BQ20" i="4"/>
  <c r="BT60" i="4" a="1"/>
  <c r="BT60" i="4" s="1"/>
  <c r="BR20" i="4"/>
  <c r="BU16" i="4" a="1"/>
  <c r="BU16" i="4" s="1"/>
  <c r="BV16" i="4" s="1"/>
  <c r="BR15" i="4"/>
  <c r="BU21" i="4" s="1" a="1"/>
  <c r="BU21" i="4" s="1"/>
  <c r="BR18" i="4" a="1"/>
  <c r="BR18" i="4" s="1"/>
  <c r="BQ21" i="4" s="1"/>
  <c r="BS20" i="4"/>
  <c r="CA106" i="4"/>
  <c r="CG106" i="4"/>
  <c r="CE106" i="4"/>
  <c r="CD107" i="4"/>
  <c r="CF106" i="4"/>
  <c r="BO22" i="4"/>
  <c r="BY106" i="4"/>
  <c r="BN63" i="4" a="1"/>
  <c r="BN63" i="4" s="1"/>
  <c r="CE107" i="4" a="1"/>
  <c r="CD108" i="4" a="1"/>
  <c r="CB107" i="4" a="1"/>
  <c r="CF107" i="4" a="1"/>
  <c r="BR58" i="4" a="1"/>
  <c r="BY107" i="4" a="1"/>
  <c r="CH106" i="4" a="1"/>
  <c r="BJ64" i="4" a="1"/>
  <c r="BK23" i="4" a="1"/>
  <c r="CC107" i="4" a="1"/>
  <c r="BJ24" i="4" a="1"/>
  <c r="CH107" i="4" a="1"/>
  <c r="BS21" i="4" l="1"/>
  <c r="BT16" i="4"/>
  <c r="CC107" i="4"/>
  <c r="BY107" i="4"/>
  <c r="BR58" i="4"/>
  <c r="BU58" i="4" s="1" a="1"/>
  <c r="BU58" i="4" s="1"/>
  <c r="CB107" i="4"/>
  <c r="CD108" i="4"/>
  <c r="CE107" i="4"/>
  <c r="CH106" i="4"/>
  <c r="CJ106" i="4" s="1" a="1"/>
  <c r="CJ106" i="4" s="1"/>
  <c r="CI106" i="4" s="1"/>
  <c r="CF107" i="4"/>
  <c r="CH107" i="4"/>
  <c r="BK23" i="4"/>
  <c r="BJ64" i="4"/>
  <c r="BJ24" i="4"/>
  <c r="BP22" i="4" a="1"/>
  <c r="BP22" i="4" s="1"/>
  <c r="CG107" i="4" a="1"/>
  <c r="CA107" i="4" a="1"/>
  <c r="BQ22" i="4" a="1"/>
  <c r="BZ109" i="4" a="1"/>
  <c r="BZ108" i="4" a="1"/>
  <c r="CB108" i="4" a="1"/>
  <c r="CG107" i="4" l="1"/>
  <c r="CA107" i="4"/>
  <c r="BZ108" i="4"/>
  <c r="BR60" i="4" a="1"/>
  <c r="BR60" i="4" s="1"/>
  <c r="BT59" i="4" s="1"/>
  <c r="BQ22" i="4"/>
  <c r="BZ109" i="4"/>
  <c r="CB108" i="4"/>
  <c r="BN23" i="4" a="1"/>
  <c r="BN23" i="4" s="1"/>
  <c r="BM67" i="4" a="1"/>
  <c r="BM67" i="4" s="1"/>
  <c r="BK27" i="4"/>
  <c r="BM24" i="4"/>
  <c r="BJ27" i="4"/>
  <c r="BK24" i="4"/>
  <c r="BK25" i="4" a="1"/>
  <c r="BK25" i="4" s="1"/>
  <c r="BK22" i="4"/>
  <c r="BM25" i="4" a="1"/>
  <c r="BM25" i="4" s="1"/>
  <c r="BN27" i="4"/>
  <c r="BL27" i="4"/>
  <c r="BV58" i="4"/>
  <c r="BJ65" i="4" a="1"/>
  <c r="BJ65" i="4" s="1"/>
  <c r="BJ23" i="4" a="1"/>
  <c r="BJ23" i="4" s="1"/>
  <c r="CB109" i="4" a="1"/>
  <c r="CC109" i="4" a="1"/>
  <c r="BV22" i="4" a="1"/>
  <c r="CE109" i="4" a="1"/>
  <c r="CC108" i="4" a="1"/>
  <c r="CD110" i="4" a="1"/>
  <c r="CD109" i="4" a="1"/>
  <c r="BY109" i="4" a="1"/>
  <c r="BK65" i="4" a="1"/>
  <c r="CJ107" i="4" l="1" a="1"/>
  <c r="CJ107" i="4" s="1"/>
  <c r="CI107" i="4" s="1"/>
  <c r="BR59" i="4"/>
  <c r="BQ63" i="4"/>
  <c r="CC108" i="4"/>
  <c r="BQ62" i="4"/>
  <c r="BR57" i="4"/>
  <c r="BT58" i="4" s="1"/>
  <c r="BR62" i="4"/>
  <c r="BS62" i="4"/>
  <c r="BU62" i="4"/>
  <c r="CE109" i="4"/>
  <c r="CD110" i="4"/>
  <c r="BY109" i="4"/>
  <c r="BK65" i="4"/>
  <c r="CD109" i="4"/>
  <c r="CB109" i="4"/>
  <c r="CC109" i="4"/>
  <c r="BV22" i="4"/>
  <c r="BN28" i="4" a="1"/>
  <c r="BN28" i="4" s="1"/>
  <c r="BO23" i="4"/>
  <c r="BM23" i="4"/>
  <c r="BL28" i="4"/>
  <c r="BJ28" i="4"/>
  <c r="CF108" i="4" a="1"/>
  <c r="CA108" i="4" a="1"/>
  <c r="CE108" i="4" a="1"/>
  <c r="BQ24" i="4" a="1"/>
  <c r="BZ110" i="4" a="1"/>
  <c r="CF109" i="4" a="1"/>
  <c r="CG109" i="4" a="1"/>
  <c r="BR23" i="4" a="1"/>
  <c r="CH109" i="4" a="1"/>
  <c r="BQ64" i="4" a="1"/>
  <c r="BY108" i="4" a="1"/>
  <c r="CA109" i="4" a="1"/>
  <c r="BU63" i="4" l="1" a="1"/>
  <c r="BU63" i="4" s="1"/>
  <c r="CF108" i="4"/>
  <c r="BY108" i="4"/>
  <c r="CE108" i="4"/>
  <c r="BS63" i="4"/>
  <c r="CH109" i="4"/>
  <c r="CG109" i="4"/>
  <c r="CA108" i="4"/>
  <c r="BZ110" i="4"/>
  <c r="BQ24" i="4"/>
  <c r="BR23" i="4"/>
  <c r="BQ64" i="4"/>
  <c r="CF109" i="4"/>
  <c r="CA109" i="4"/>
  <c r="BN65" i="4" a="1"/>
  <c r="BN65" i="4" s="1"/>
  <c r="BK67" i="4" a="1"/>
  <c r="BK67" i="4" s="1"/>
  <c r="BI29" i="4" a="1"/>
  <c r="BI29" i="4" s="1"/>
  <c r="CH108" i="4" a="1"/>
  <c r="BJ29" i="4" a="1"/>
  <c r="CB110" i="4" a="1"/>
  <c r="CC110" i="4" a="1"/>
  <c r="BZ111" i="4" a="1"/>
  <c r="CG108" i="4" a="1"/>
  <c r="CH108" i="4" l="1"/>
  <c r="CG108" i="4"/>
  <c r="CJ109" i="4" a="1"/>
  <c r="CJ109" i="4" s="1"/>
  <c r="CI109" i="4" s="1"/>
  <c r="BZ111" i="4"/>
  <c r="BJ29" i="4"/>
  <c r="CC110" i="4"/>
  <c r="CB110" i="4"/>
  <c r="BQ65" i="4" a="1"/>
  <c r="BQ65" i="4" s="1"/>
  <c r="BQ23" i="4" a="1"/>
  <c r="BQ23" i="4" s="1"/>
  <c r="BR27" i="4"/>
  <c r="BS27" i="4"/>
  <c r="BR25" i="4" a="1"/>
  <c r="BR25" i="4" s="1"/>
  <c r="BT24" i="4"/>
  <c r="BQ27" i="4"/>
  <c r="BR22" i="4"/>
  <c r="BU23" i="4" a="1"/>
  <c r="BU23" i="4" s="1"/>
  <c r="BU27" i="4"/>
  <c r="BT67" i="4" a="1"/>
  <c r="BT67" i="4" s="1"/>
  <c r="BR24" i="4"/>
  <c r="BT25" i="4" a="1"/>
  <c r="BT25" i="4" s="1"/>
  <c r="BL69" i="4"/>
  <c r="BM66" i="4"/>
  <c r="BK66" i="4"/>
  <c r="BK69" i="4"/>
  <c r="BK64" i="4"/>
  <c r="BN69" i="4"/>
  <c r="BJ69" i="4"/>
  <c r="BJ70" i="4"/>
  <c r="BO65" i="4"/>
  <c r="CD111" i="4" a="1"/>
  <c r="BR65" i="4" a="1"/>
  <c r="CF110" i="4" a="1"/>
  <c r="BY111" i="4" a="1"/>
  <c r="BY110" i="4" a="1"/>
  <c r="CE111" i="4" a="1"/>
  <c r="CE110" i="4" a="1"/>
  <c r="CB111" i="4" a="1"/>
  <c r="CC111" i="4" a="1"/>
  <c r="CD112" i="4" a="1"/>
  <c r="BO29" i="4" a="1"/>
  <c r="CJ108" i="4" l="1" a="1"/>
  <c r="CJ108" i="4" s="1"/>
  <c r="CI108" i="4" s="1"/>
  <c r="BY110" i="4"/>
  <c r="CE111" i="4"/>
  <c r="CD112" i="4"/>
  <c r="CE110" i="4"/>
  <c r="CB111" i="4"/>
  <c r="BY111" i="4"/>
  <c r="BR65" i="4"/>
  <c r="BO29" i="4"/>
  <c r="CF110" i="4"/>
  <c r="CD111" i="4"/>
  <c r="CC111" i="4"/>
  <c r="BN70" i="4" a="1"/>
  <c r="BN70" i="4" s="1"/>
  <c r="BT23" i="4"/>
  <c r="BV23" i="4"/>
  <c r="BU28" i="4" a="1"/>
  <c r="BU28" i="4" s="1"/>
  <c r="BM65" i="4"/>
  <c r="BL70" i="4"/>
  <c r="BS28" i="4"/>
  <c r="BQ28" i="4"/>
  <c r="CG110" i="4" a="1"/>
  <c r="BJ31" i="4" a="1"/>
  <c r="CH110" i="4" a="1"/>
  <c r="CH111" i="4" a="1"/>
  <c r="CA110" i="4" a="1"/>
  <c r="CA111" i="4" a="1"/>
  <c r="CG111" i="4" a="1"/>
  <c r="CF111" i="4" a="1"/>
  <c r="BZ112" i="4" a="1"/>
  <c r="BJ71" i="4" a="1"/>
  <c r="BK30" i="4" a="1"/>
  <c r="CG111" i="4" l="1"/>
  <c r="CA110" i="4"/>
  <c r="BJ31" i="4"/>
  <c r="BJ71" i="4"/>
  <c r="BK30" i="4"/>
  <c r="BZ112" i="4"/>
  <c r="CA111" i="4"/>
  <c r="CH110" i="4"/>
  <c r="CH111" i="4"/>
  <c r="CF111" i="4"/>
  <c r="CG110" i="4"/>
  <c r="BP29" i="4" a="1"/>
  <c r="BP29" i="4" s="1"/>
  <c r="BR67" i="4" a="1"/>
  <c r="BR67" i="4" s="1"/>
  <c r="BU65" i="4" a="1"/>
  <c r="BU65" i="4" s="1"/>
  <c r="BQ29" i="4" a="1"/>
  <c r="CB112" i="4" a="1"/>
  <c r="BZ113" i="4" a="1"/>
  <c r="CC112" i="4" a="1"/>
  <c r="CJ110" i="4" l="1" a="1"/>
  <c r="CJ110" i="4" s="1"/>
  <c r="CI110" i="4" s="1"/>
  <c r="CJ111" i="4" a="1"/>
  <c r="CJ111" i="4" s="1"/>
  <c r="CI111" i="4" s="1"/>
  <c r="CC112" i="4"/>
  <c r="BZ113" i="4"/>
  <c r="CB112" i="4"/>
  <c r="BQ29" i="4"/>
  <c r="BT66" i="4"/>
  <c r="BR64" i="4"/>
  <c r="BR66" i="4"/>
  <c r="BR69" i="4"/>
  <c r="BQ69" i="4"/>
  <c r="BQ70" i="4"/>
  <c r="BU69" i="4"/>
  <c r="BS69" i="4"/>
  <c r="BK34" i="4"/>
  <c r="BK31" i="4"/>
  <c r="BJ34" i="4"/>
  <c r="BM74" i="4" a="1"/>
  <c r="BM74" i="4" s="1"/>
  <c r="BM32" i="4" a="1"/>
  <c r="BM32" i="4" s="1"/>
  <c r="BN34" i="4"/>
  <c r="BN30" i="4" a="1"/>
  <c r="BN30" i="4" s="1"/>
  <c r="BM31" i="4"/>
  <c r="BL34" i="4"/>
  <c r="BK29" i="4"/>
  <c r="BK32" i="4" a="1"/>
  <c r="BK32" i="4" s="1"/>
  <c r="BV65" i="4"/>
  <c r="BJ30" i="4" a="1"/>
  <c r="BJ30" i="4" s="1"/>
  <c r="BJ72" i="4" a="1"/>
  <c r="BJ72" i="4" s="1"/>
  <c r="CC113" i="4" a="1"/>
  <c r="BY112" i="4" a="1"/>
  <c r="CE112" i="4" a="1"/>
  <c r="CD113" i="4" a="1"/>
  <c r="CB113" i="4" a="1"/>
  <c r="CE113" i="4" a="1"/>
  <c r="BK72" i="4" a="1"/>
  <c r="CD114" i="4" a="1"/>
  <c r="CF112" i="4" a="1"/>
  <c r="BY113" i="4" a="1"/>
  <c r="BV29" i="4" a="1"/>
  <c r="CE112" i="4" l="1"/>
  <c r="BY112" i="4"/>
  <c r="CC113" i="4"/>
  <c r="CE113" i="4"/>
  <c r="CB113" i="4"/>
  <c r="BV29" i="4"/>
  <c r="BY113" i="4"/>
  <c r="BK72" i="4"/>
  <c r="CD113" i="4"/>
  <c r="CF112" i="4"/>
  <c r="CD114" i="4"/>
  <c r="BU70" i="4" a="1"/>
  <c r="BU70" i="4" s="1"/>
  <c r="BL35" i="4"/>
  <c r="BJ35" i="4"/>
  <c r="BO30" i="4"/>
  <c r="BM30" i="4"/>
  <c r="BN35" i="4" a="1"/>
  <c r="BN35" i="4" s="1"/>
  <c r="BS70" i="4"/>
  <c r="BT65" i="4"/>
  <c r="CG112" i="4" a="1"/>
  <c r="CA113" i="4" a="1"/>
  <c r="BZ114" i="4" a="1"/>
  <c r="BR30" i="4" a="1"/>
  <c r="CA112" i="4" a="1"/>
  <c r="CH113" i="4" a="1"/>
  <c r="CG113" i="4" a="1"/>
  <c r="CH112" i="4" a="1"/>
  <c r="BQ31" i="4" a="1"/>
  <c r="CF113" i="4" a="1"/>
  <c r="BQ71" i="4" a="1"/>
  <c r="CA113" i="4" l="1"/>
  <c r="BZ114" i="4"/>
  <c r="CF113" i="4"/>
  <c r="BQ71" i="4"/>
  <c r="BQ31" i="4"/>
  <c r="BR30" i="4"/>
  <c r="CH112" i="4"/>
  <c r="CG113" i="4"/>
  <c r="CA112" i="4"/>
  <c r="CG112" i="4"/>
  <c r="CH113" i="4"/>
  <c r="BK74" i="4" a="1"/>
  <c r="BK74" i="4" s="1"/>
  <c r="BN72" i="4" a="1"/>
  <c r="BN72" i="4" s="1"/>
  <c r="BI36" i="4" a="1"/>
  <c r="BI36" i="4" s="1"/>
  <c r="BJ36" i="4" a="1"/>
  <c r="CC114" i="4" a="1"/>
  <c r="BZ115" i="4" a="1"/>
  <c r="CB114" i="4" a="1"/>
  <c r="CJ112" i="4" l="1" a="1"/>
  <c r="CJ112" i="4" s="1"/>
  <c r="CI112" i="4" s="1"/>
  <c r="CJ113" i="4" a="1"/>
  <c r="CJ113" i="4" s="1"/>
  <c r="CI113" i="4" s="1"/>
  <c r="BJ36" i="4"/>
  <c r="CB114" i="4"/>
  <c r="BZ115" i="4"/>
  <c r="CC114" i="4"/>
  <c r="BO72" i="4"/>
  <c r="BQ30" i="4" a="1"/>
  <c r="BQ30" i="4" s="1"/>
  <c r="BQ72" i="4" a="1"/>
  <c r="BQ72" i="4" s="1"/>
  <c r="BT74" i="4" a="1"/>
  <c r="BT74" i="4" s="1"/>
  <c r="BT31" i="4"/>
  <c r="BT32" i="4" a="1"/>
  <c r="BT32" i="4" s="1"/>
  <c r="BR31" i="4"/>
  <c r="BR32" i="4" a="1"/>
  <c r="BR32" i="4" s="1"/>
  <c r="BU30" i="4" a="1"/>
  <c r="BU30" i="4" s="1"/>
  <c r="BR29" i="4"/>
  <c r="BR34" i="4"/>
  <c r="BU34" i="4"/>
  <c r="BS34" i="4"/>
  <c r="BQ34" i="4"/>
  <c r="BK76" i="4"/>
  <c r="BL77" i="4" s="1"/>
  <c r="BM73" i="4"/>
  <c r="BJ77" i="4"/>
  <c r="BN76" i="4"/>
  <c r="BL76" i="4"/>
  <c r="BK73" i="4"/>
  <c r="BK71" i="4"/>
  <c r="BM72" i="4" s="1"/>
  <c r="BJ76" i="4"/>
  <c r="CE115" i="4" a="1"/>
  <c r="CF114" i="4" a="1"/>
  <c r="CD116" i="4" a="1"/>
  <c r="CB115" i="4" a="1"/>
  <c r="BR72" i="4" a="1"/>
  <c r="CA114" i="4" a="1"/>
  <c r="CD115" i="4" a="1"/>
  <c r="BY114" i="4" a="1"/>
  <c r="BY115" i="4" a="1"/>
  <c r="CC115" i="4" a="1"/>
  <c r="CG114" i="4" a="1"/>
  <c r="CE114" i="4" a="1"/>
  <c r="BO36" i="4" a="1"/>
  <c r="CE115" i="4" l="1"/>
  <c r="CB115" i="4"/>
  <c r="CD116" i="4"/>
  <c r="CC115" i="4"/>
  <c r="CF114" i="4"/>
  <c r="CA114" i="4"/>
  <c r="CD115" i="4"/>
  <c r="BY115" i="4"/>
  <c r="BR72" i="4"/>
  <c r="CG114" i="4"/>
  <c r="CE114" i="4"/>
  <c r="BY114" i="4"/>
  <c r="BO36" i="4"/>
  <c r="BT30" i="4"/>
  <c r="BV30" i="4"/>
  <c r="BS35" i="4"/>
  <c r="BQ35" i="4"/>
  <c r="BU35" i="4" a="1"/>
  <c r="BU35" i="4" s="1"/>
  <c r="BN77" i="4" a="1"/>
  <c r="BN77" i="4" s="1"/>
  <c r="CA115" i="4" a="1"/>
  <c r="CH115" i="4" a="1"/>
  <c r="BZ116" i="4" a="1"/>
  <c r="CH114" i="4" a="1"/>
  <c r="BJ78" i="4" a="1"/>
  <c r="BK37" i="4" a="1"/>
  <c r="CG115" i="4" a="1"/>
  <c r="CF115" i="4" a="1"/>
  <c r="BJ38" i="4" a="1"/>
  <c r="CG115" i="4" l="1"/>
  <c r="CA115" i="4"/>
  <c r="BJ78" i="4"/>
  <c r="BK37" i="4"/>
  <c r="BJ38" i="4"/>
  <c r="CH114" i="4"/>
  <c r="CJ114" i="4" s="1" a="1"/>
  <c r="CJ114" i="4" s="1"/>
  <c r="CI114" i="4" s="1"/>
  <c r="CH115" i="4"/>
  <c r="CF115" i="4"/>
  <c r="BZ116" i="4"/>
  <c r="BP36" i="4" a="1"/>
  <c r="BP36" i="4" s="1"/>
  <c r="BR74" i="4" a="1"/>
  <c r="BR74" i="4" s="1"/>
  <c r="BU72" i="4" a="1"/>
  <c r="BU72" i="4" s="1"/>
  <c r="BQ36" i="4" a="1"/>
  <c r="CC116" i="4" a="1"/>
  <c r="CB116" i="4" a="1"/>
  <c r="BZ117" i="4" a="1"/>
  <c r="CJ115" i="4" l="1" a="1"/>
  <c r="CJ115" i="4" s="1"/>
  <c r="CI115" i="4" s="1"/>
  <c r="CB116" i="4"/>
  <c r="CC116" i="4"/>
  <c r="BZ117" i="4"/>
  <c r="BQ36" i="4"/>
  <c r="BV72" i="4"/>
  <c r="BJ79" i="4" a="1"/>
  <c r="BJ79" i="4" s="1"/>
  <c r="BJ37" i="4" a="1"/>
  <c r="BJ37" i="4" s="1"/>
  <c r="BR71" i="4"/>
  <c r="BT72" i="4" s="1"/>
  <c r="BR73" i="4"/>
  <c r="BS76" i="4"/>
  <c r="BR76" i="4"/>
  <c r="BU76" i="4"/>
  <c r="BQ77" i="4"/>
  <c r="BQ76" i="4"/>
  <c r="BT73" i="4"/>
  <c r="BK36" i="4"/>
  <c r="BN41" i="4"/>
  <c r="BM39" i="4" a="1"/>
  <c r="BM39" i="4" s="1"/>
  <c r="BK39" i="4" a="1"/>
  <c r="BK39" i="4" s="1"/>
  <c r="BM81" i="4" a="1"/>
  <c r="BM81" i="4" s="1"/>
  <c r="BK41" i="4"/>
  <c r="BK38" i="4"/>
  <c r="BL41" i="4"/>
  <c r="BM38" i="4"/>
  <c r="BJ41" i="4"/>
  <c r="BN37" i="4" a="1"/>
  <c r="BN37" i="4" s="1"/>
  <c r="CC117" i="4" a="1"/>
  <c r="CA116" i="4" a="1"/>
  <c r="CE116" i="4" a="1"/>
  <c r="CF116" i="4" a="1"/>
  <c r="CD118" i="4" a="1"/>
  <c r="BK79" i="4" a="1"/>
  <c r="CB117" i="4" a="1"/>
  <c r="BY117" i="4" a="1"/>
  <c r="CE117" i="4" a="1"/>
  <c r="CD117" i="4" a="1"/>
  <c r="BV36" i="4" a="1"/>
  <c r="BY116" i="4" a="1"/>
  <c r="CC117" i="4" l="1"/>
  <c r="CB117" i="4"/>
  <c r="CF116" i="4"/>
  <c r="CA116" i="4"/>
  <c r="CD117" i="4"/>
  <c r="CE117" i="4"/>
  <c r="CD118" i="4"/>
  <c r="CE116" i="4"/>
  <c r="BV36" i="4"/>
  <c r="BY117" i="4"/>
  <c r="BK79" i="4"/>
  <c r="BY116" i="4"/>
  <c r="BL42" i="4"/>
  <c r="BJ42" i="4"/>
  <c r="BM37" i="4"/>
  <c r="BO37" i="4"/>
  <c r="BS77" i="4"/>
  <c r="BN42" i="4" a="1"/>
  <c r="BN42" i="4" s="1"/>
  <c r="BU77" i="4" a="1"/>
  <c r="BU77" i="4" s="1"/>
  <c r="BR37" i="4" a="1"/>
  <c r="CG117" i="4" a="1"/>
  <c r="BZ118" i="4" a="1"/>
  <c r="CH117" i="4" a="1"/>
  <c r="CA117" i="4" a="1"/>
  <c r="CH116" i="4" a="1"/>
  <c r="CF117" i="4" a="1"/>
  <c r="CG116" i="4" a="1"/>
  <c r="BQ78" i="4" a="1"/>
  <c r="BQ38" i="4" a="1"/>
  <c r="CF117" i="4" l="1"/>
  <c r="CA117" i="4"/>
  <c r="CH116" i="4"/>
  <c r="BZ118" i="4"/>
  <c r="CH117" i="4"/>
  <c r="CG117" i="4"/>
  <c r="CG116" i="4"/>
  <c r="BR37" i="4"/>
  <c r="BQ78" i="4"/>
  <c r="BQ38" i="4"/>
  <c r="BK81" i="4" a="1"/>
  <c r="BK81" i="4" s="1"/>
  <c r="BN79" i="4" a="1"/>
  <c r="BN79" i="4" s="1"/>
  <c r="CC118" i="4" a="1"/>
  <c r="CB118" i="4" a="1"/>
  <c r="BZ119" i="4" a="1"/>
  <c r="CJ116" i="4" l="1" a="1"/>
  <c r="CJ116" i="4" s="1"/>
  <c r="CI116" i="4" s="1"/>
  <c r="CJ117" i="4" a="1"/>
  <c r="CJ117" i="4" s="1"/>
  <c r="CI117" i="4" s="1"/>
  <c r="BZ119" i="4"/>
  <c r="CB118" i="4"/>
  <c r="CC118" i="4"/>
  <c r="BT39" i="4" a="1"/>
  <c r="BT39" i="4" s="1"/>
  <c r="BT38" i="4"/>
  <c r="BT81" i="4" a="1"/>
  <c r="BT81" i="4" s="1"/>
  <c r="BR36" i="4"/>
  <c r="BU41" i="4"/>
  <c r="BR39" i="4" a="1"/>
  <c r="BR39" i="4" s="1"/>
  <c r="BS41" i="4"/>
  <c r="BU37" i="4" a="1"/>
  <c r="BU37" i="4" s="1"/>
  <c r="BR38" i="4"/>
  <c r="BQ41" i="4"/>
  <c r="BR41" i="4"/>
  <c r="BO79" i="4"/>
  <c r="BJ83" i="4"/>
  <c r="BJ84" i="4"/>
  <c r="BN83" i="4"/>
  <c r="BM80" i="4"/>
  <c r="BK78" i="4"/>
  <c r="BM79" i="4" s="1"/>
  <c r="BL83" i="4"/>
  <c r="BK80" i="4"/>
  <c r="BK83" i="4"/>
  <c r="BQ79" i="4" a="1"/>
  <c r="BQ79" i="4" s="1"/>
  <c r="BQ37" i="4" a="1"/>
  <c r="BQ37" i="4" s="1"/>
  <c r="CB119" i="4" a="1"/>
  <c r="CD120" i="4" a="1"/>
  <c r="BY118" i="4" a="1"/>
  <c r="BR79" i="4" a="1"/>
  <c r="CD119" i="4" a="1"/>
  <c r="CC119" i="4" a="1"/>
  <c r="CF118" i="4" a="1"/>
  <c r="CE119" i="4" a="1"/>
  <c r="CE118" i="4" a="1"/>
  <c r="BY119" i="4" a="1"/>
  <c r="CA118" i="4" a="1"/>
  <c r="CA118" i="4" l="1"/>
  <c r="CE119" i="4"/>
  <c r="BY118" i="4"/>
  <c r="CB119" i="4"/>
  <c r="BY119" i="4"/>
  <c r="BR79" i="4"/>
  <c r="CF118" i="4"/>
  <c r="CD120" i="4"/>
  <c r="CD119" i="4"/>
  <c r="CE118" i="4"/>
  <c r="CC119" i="4"/>
  <c r="BN84" i="4" a="1"/>
  <c r="BN84" i="4" s="1"/>
  <c r="BT37" i="4"/>
  <c r="BV37" i="4"/>
  <c r="BU42" i="4" a="1"/>
  <c r="BU42" i="4" s="1"/>
  <c r="BL84" i="4"/>
  <c r="BQ42" i="4"/>
  <c r="BS42" i="4"/>
  <c r="BZ120" i="4" a="1"/>
  <c r="CA119" i="4" a="1"/>
  <c r="CH118" i="4" a="1"/>
  <c r="CF119" i="4" a="1"/>
  <c r="CG118" i="4" a="1"/>
  <c r="CH119" i="4" a="1"/>
  <c r="CG119" i="4" a="1"/>
  <c r="BZ120" i="4" l="1"/>
  <c r="CH119" i="4"/>
  <c r="CH118" i="4"/>
  <c r="CG119" i="4"/>
  <c r="CG118" i="4"/>
  <c r="CA119" i="4"/>
  <c r="CF119" i="4"/>
  <c r="BU79" i="4" a="1"/>
  <c r="BU79" i="4" s="1"/>
  <c r="BR81" i="4" a="1"/>
  <c r="BR81" i="4" s="1"/>
  <c r="CC120" i="4" a="1"/>
  <c r="CB120" i="4" a="1"/>
  <c r="CJ118" i="4" l="1" a="1"/>
  <c r="CJ118" i="4" s="1"/>
  <c r="CI118" i="4" s="1"/>
  <c r="CJ119" i="4" a="1"/>
  <c r="CJ119" i="4" s="1"/>
  <c r="CI119" i="4" s="1"/>
  <c r="CB120" i="4"/>
  <c r="CC120" i="4"/>
  <c r="BV79" i="4"/>
  <c r="BS83" i="4"/>
  <c r="BR78" i="4"/>
  <c r="BR83" i="4"/>
  <c r="BT80" i="4"/>
  <c r="BQ83" i="4"/>
  <c r="BR80" i="4"/>
  <c r="BU83" i="4"/>
  <c r="BQ84" i="4"/>
  <c r="BY120" i="4" a="1"/>
  <c r="CF120" i="4" a="1"/>
  <c r="CE120" i="4" a="1"/>
  <c r="BY120" i="4" l="1"/>
  <c r="CF120" i="4"/>
  <c r="CE120" i="4"/>
  <c r="BU84" i="4" a="1"/>
  <c r="BU84" i="4" s="1"/>
  <c r="BT79" i="4"/>
  <c r="BS84" i="4"/>
  <c r="CG120" i="4" a="1"/>
  <c r="CH120" i="4" a="1"/>
  <c r="CA120" i="4" a="1"/>
  <c r="CA120" i="4" l="1"/>
  <c r="CG120" i="4"/>
  <c r="CH120" i="4"/>
  <c r="CJ120" i="4" l="1" a="1"/>
  <c r="CJ120" i="4" s="1"/>
  <c r="CI120" i="4" s="1"/>
  <c r="CK121" i="4" s="1" a="1"/>
  <c r="CK121" i="4" s="1"/>
  <c r="CP121" i="4" l="1" a="1"/>
  <c r="CP121" i="4" s="1"/>
  <c r="CL121" i="4" a="1"/>
  <c r="CL121" i="4" s="1"/>
  <c r="CK120" i="4" a="1"/>
  <c r="CK120" i="4" s="1"/>
  <c r="CL120" i="4" s="1" a="1"/>
  <c r="CL120" i="4" s="1"/>
  <c r="CK43" i="4" a="1"/>
  <c r="CK43" i="4" s="1"/>
  <c r="CK108" i="4" a="1"/>
  <c r="CK108" i="4" s="1"/>
  <c r="CK42" i="4" a="1"/>
  <c r="CK42" i="4" s="1"/>
  <c r="CK9" i="4" a="1"/>
  <c r="CK9" i="4" s="1"/>
  <c r="CK111" i="4" a="1"/>
  <c r="CK111" i="4" s="1"/>
  <c r="CK93" i="4" a="1"/>
  <c r="CK93" i="4" s="1"/>
  <c r="CK18" i="4" a="1"/>
  <c r="CK18" i="4" s="1"/>
  <c r="CK65" i="4" a="1"/>
  <c r="CK65" i="4" s="1"/>
  <c r="CK78" i="4" a="1"/>
  <c r="CK78" i="4" s="1"/>
  <c r="CK26" i="4" a="1"/>
  <c r="CK26" i="4" s="1"/>
  <c r="CK61" i="4" a="1"/>
  <c r="CK61" i="4" s="1"/>
  <c r="CK117" i="4" a="1"/>
  <c r="CK117" i="4" s="1"/>
  <c r="CK20" i="4" a="1"/>
  <c r="CK20" i="4" s="1"/>
  <c r="CK17" i="4" a="1"/>
  <c r="CK17" i="4" s="1"/>
  <c r="CK72" i="4" a="1"/>
  <c r="CK72" i="4" s="1"/>
  <c r="CK85" i="4" a="1"/>
  <c r="CK85" i="4" s="1"/>
  <c r="CK27" i="4" a="1"/>
  <c r="CK27" i="4" s="1"/>
  <c r="CK11" i="4" a="1"/>
  <c r="CK11" i="4" s="1"/>
  <c r="CK48" i="4" a="1"/>
  <c r="CK48" i="4" s="1"/>
  <c r="CK23" i="4" a="1"/>
  <c r="CK23" i="4" s="1"/>
  <c r="CK30" i="4" a="1"/>
  <c r="CK30" i="4" s="1"/>
  <c r="CK14" i="4" a="1"/>
  <c r="CK14" i="4" s="1"/>
  <c r="CK102" i="4" a="1"/>
  <c r="CK102" i="4" s="1"/>
  <c r="CK119" i="4" a="1"/>
  <c r="CK119" i="4" s="1"/>
  <c r="CK105" i="4" a="1"/>
  <c r="CK105" i="4" s="1"/>
  <c r="CK21" i="4" a="1"/>
  <c r="CK21" i="4" s="1"/>
  <c r="CK107" i="4" a="1"/>
  <c r="CK107" i="4" s="1"/>
  <c r="CK46" i="4" a="1"/>
  <c r="CK46" i="4" s="1"/>
  <c r="CK8" i="4" a="1"/>
  <c r="CK8" i="4" s="1"/>
  <c r="CK73" i="4" a="1"/>
  <c r="CK73" i="4" s="1"/>
  <c r="CK6" i="4" a="1"/>
  <c r="CK6" i="4" s="1"/>
  <c r="CK71" i="4" a="1"/>
  <c r="CK71" i="4" s="1"/>
  <c r="CK41" i="4" a="1"/>
  <c r="CK41" i="4" s="1"/>
  <c r="CK34" i="4" a="1"/>
  <c r="CK34" i="4" s="1"/>
  <c r="CK97" i="4" a="1"/>
  <c r="CK97" i="4" s="1"/>
  <c r="CK90" i="4" a="1"/>
  <c r="CK90" i="4" s="1"/>
  <c r="CK94" i="4" a="1"/>
  <c r="CK94" i="4" s="1"/>
  <c r="CK37" i="4" a="1"/>
  <c r="CK37" i="4" s="1"/>
  <c r="CK57" i="4" a="1"/>
  <c r="CK57" i="4" s="1"/>
  <c r="CK15" i="4" a="1"/>
  <c r="CK15" i="4" s="1"/>
  <c r="CK35" i="4" a="1"/>
  <c r="CK35" i="4" s="1"/>
  <c r="CK112" i="4" a="1"/>
  <c r="CK112" i="4" s="1"/>
  <c r="CK56" i="4" a="1"/>
  <c r="CK56" i="4" s="1"/>
  <c r="CK82" i="4" a="1"/>
  <c r="CK82" i="4" s="1"/>
  <c r="CK16" i="4" a="1"/>
  <c r="CK16" i="4" s="1"/>
  <c r="CK33" i="4" a="1"/>
  <c r="CK33" i="4" s="1"/>
  <c r="CK54" i="4" a="1"/>
  <c r="CK54" i="4" s="1"/>
  <c r="CK114" i="4" a="1"/>
  <c r="CK114" i="4" s="1"/>
  <c r="CK115" i="4" a="1"/>
  <c r="CK115" i="4" s="1"/>
  <c r="CK66" i="4" a="1"/>
  <c r="CK66" i="4" s="1"/>
  <c r="CK79" i="4" a="1"/>
  <c r="CK79" i="4" s="1"/>
  <c r="CK89" i="4" a="1"/>
  <c r="CK89" i="4" s="1"/>
  <c r="CK32" i="4" a="1"/>
  <c r="CK32" i="4" s="1"/>
  <c r="CK40" i="4" a="1"/>
  <c r="CK40" i="4" s="1"/>
  <c r="CK24" i="4" a="1"/>
  <c r="CK24" i="4" s="1"/>
  <c r="CK7" i="4" a="1"/>
  <c r="CK7" i="4" s="1"/>
  <c r="CK87" i="4" a="1"/>
  <c r="CK87" i="4" s="1"/>
  <c r="CK13" i="4" a="1"/>
  <c r="CK13" i="4" s="1"/>
  <c r="CK50" i="4" a="1"/>
  <c r="CK50" i="4" s="1"/>
  <c r="CK2" i="4" a="1"/>
  <c r="CK2" i="4" s="1"/>
  <c r="CK5" i="4" a="1"/>
  <c r="CK5" i="4" s="1"/>
  <c r="CK95" i="4" a="1"/>
  <c r="CK95" i="4" s="1"/>
  <c r="CK58" i="4" a="1"/>
  <c r="CK58" i="4" s="1"/>
  <c r="CK10" i="4" a="1"/>
  <c r="CK10" i="4" s="1"/>
  <c r="CK76" i="4" a="1"/>
  <c r="CK76" i="4" s="1"/>
  <c r="CK80" i="4" a="1"/>
  <c r="CK80" i="4" s="1"/>
  <c r="CK28" i="4" a="1"/>
  <c r="CK28" i="4" s="1"/>
  <c r="CK12" i="4" a="1"/>
  <c r="CK12" i="4" s="1"/>
  <c r="CK19" i="4" a="1"/>
  <c r="CK19" i="4" s="1"/>
  <c r="CK60" i="4" a="1"/>
  <c r="CK60" i="4" s="1"/>
  <c r="CK69" i="4" a="1"/>
  <c r="CK69" i="4" s="1"/>
  <c r="CK75" i="4" a="1"/>
  <c r="CK75" i="4" s="1"/>
  <c r="CK47" i="4" a="1"/>
  <c r="CK47" i="4" s="1"/>
  <c r="CK29" i="4" a="1"/>
  <c r="CK29" i="4" s="1"/>
  <c r="CK70" i="4" a="1"/>
  <c r="CK70" i="4" s="1"/>
  <c r="CK51" i="4" a="1"/>
  <c r="CK51" i="4" s="1"/>
  <c r="CK104" i="4" a="1"/>
  <c r="CK104" i="4" s="1"/>
  <c r="CK99" i="4" a="1"/>
  <c r="CK99" i="4" s="1"/>
  <c r="CK49" i="4" a="1"/>
  <c r="CK49" i="4" s="1"/>
  <c r="CK81" i="4" a="1"/>
  <c r="CK81" i="4" s="1"/>
  <c r="CK103" i="4" a="1"/>
  <c r="CK103" i="4" s="1"/>
  <c r="CK53" i="4" a="1"/>
  <c r="CK53" i="4" s="1"/>
  <c r="CK44" i="4" a="1"/>
  <c r="CK44" i="4" s="1"/>
  <c r="CK86" i="4" a="1"/>
  <c r="CK86" i="4" s="1"/>
  <c r="CK64" i="4" a="1"/>
  <c r="CK64" i="4" s="1"/>
  <c r="CK62" i="4" a="1"/>
  <c r="CK62" i="4" s="1"/>
  <c r="CK83" i="4" a="1"/>
  <c r="CK83" i="4" s="1"/>
  <c r="CK110" i="4" a="1"/>
  <c r="CK110" i="4" s="1"/>
  <c r="CK68" i="4" a="1"/>
  <c r="CK68" i="4" s="1"/>
  <c r="CK63" i="4" a="1"/>
  <c r="CK63" i="4" s="1"/>
  <c r="CK55" i="4" a="1"/>
  <c r="CK55" i="4" s="1"/>
  <c r="CK31" i="4" a="1"/>
  <c r="CK31" i="4" s="1"/>
  <c r="CK109" i="4" a="1"/>
  <c r="CK109" i="4" s="1"/>
  <c r="CK3" i="4" a="1"/>
  <c r="CK3" i="4" s="1"/>
  <c r="CK22" i="4" a="1"/>
  <c r="CK22" i="4" s="1"/>
  <c r="CK96" i="4" a="1"/>
  <c r="CK96" i="4" s="1"/>
  <c r="CK118" i="4" a="1"/>
  <c r="CK118" i="4" s="1"/>
  <c r="CK36" i="4" a="1"/>
  <c r="CK36" i="4" s="1"/>
  <c r="CK38" i="4" a="1"/>
  <c r="CK38" i="4" s="1"/>
  <c r="CK25" i="4" a="1"/>
  <c r="CK25" i="4" s="1"/>
  <c r="CK101" i="4" a="1"/>
  <c r="CK101" i="4" s="1"/>
  <c r="CK84" i="4" a="1"/>
  <c r="CK84" i="4" s="1"/>
  <c r="CK100" i="4" a="1"/>
  <c r="CK100" i="4" s="1"/>
  <c r="CK88" i="4" a="1"/>
  <c r="CK88" i="4" s="1"/>
  <c r="CK92" i="4" a="1"/>
  <c r="CK92" i="4" s="1"/>
  <c r="CK113" i="4" a="1"/>
  <c r="CK113" i="4" s="1"/>
  <c r="CK74" i="4" a="1"/>
  <c r="CK74" i="4" s="1"/>
  <c r="CK52" i="4" a="1"/>
  <c r="CK52" i="4" s="1"/>
  <c r="CK39" i="4" a="1"/>
  <c r="CK39" i="4" s="1"/>
  <c r="CK98" i="4" a="1"/>
  <c r="CK98" i="4" s="1"/>
  <c r="CK67" i="4" a="1"/>
  <c r="CK67" i="4" s="1"/>
  <c r="CK91" i="4" a="1"/>
  <c r="CK91" i="4" s="1"/>
  <c r="CK116" i="4" a="1"/>
  <c r="CK116" i="4" s="1"/>
  <c r="CK106" i="4" a="1"/>
  <c r="CK106" i="4" s="1"/>
  <c r="CK45" i="4" a="1"/>
  <c r="CK45" i="4" s="1"/>
  <c r="CK59" i="4" a="1"/>
  <c r="CK59" i="4" s="1"/>
  <c r="CK77" i="4" a="1"/>
  <c r="CK77" i="4" s="1"/>
  <c r="CK4" i="4" a="1"/>
  <c r="CK4" i="4" s="1"/>
  <c r="CK1" i="4" a="1"/>
  <c r="CK1" i="4" s="1"/>
  <c r="CL44" i="4" a="1"/>
  <c r="CQ26" i="4" a="1"/>
  <c r="CP26" i="4" a="1"/>
  <c r="CU26" i="4" a="1"/>
  <c r="CR26" i="4" a="1"/>
  <c r="CO26" i="4" a="1"/>
  <c r="CN26" i="4" a="1"/>
  <c r="CT26" i="4" a="1"/>
  <c r="CS26" i="4" a="1"/>
  <c r="CL26" i="4" a="1"/>
  <c r="CM26" i="4" a="1"/>
  <c r="CM11" i="4" a="1"/>
  <c r="CS11" i="4" a="1"/>
  <c r="CR11" i="4" a="1"/>
  <c r="CQ11" i="4" a="1"/>
  <c r="CN11" i="4" a="1"/>
  <c r="CO11" i="4" a="1"/>
  <c r="CT11" i="4" a="1"/>
  <c r="CL11" i="4" a="1"/>
  <c r="CU11" i="4" a="1"/>
  <c r="CP11" i="4" a="1"/>
  <c r="CP21" i="4" a="1"/>
  <c r="CL21" i="4" a="1"/>
  <c r="CT21" i="4" a="1"/>
  <c r="CS21" i="4" a="1"/>
  <c r="CN21" i="4" a="1"/>
  <c r="CR21" i="4" a="1"/>
  <c r="CO21" i="4" a="1"/>
  <c r="CM21" i="4" a="1"/>
  <c r="CQ21" i="4" a="1"/>
  <c r="CU21" i="4" a="1"/>
  <c r="CP34" i="4" a="1"/>
  <c r="CN34" i="4" a="1"/>
  <c r="CS34" i="4" a="1"/>
  <c r="CT34" i="4" a="1"/>
  <c r="CR34" i="4" a="1"/>
  <c r="CO34" i="4" a="1"/>
  <c r="CM34" i="4" a="1"/>
  <c r="CU34" i="4" a="1"/>
  <c r="CL34" i="4" a="1"/>
  <c r="CQ34" i="4" a="1"/>
  <c r="CR13" i="4" a="1"/>
  <c r="CU13" i="4" a="1"/>
  <c r="CS13" i="4" a="1"/>
  <c r="CM13" i="4" a="1"/>
  <c r="CQ13" i="4" a="1"/>
  <c r="CL13" i="4" a="1"/>
  <c r="CT13" i="4" a="1"/>
  <c r="CN13" i="4" a="1"/>
  <c r="CP13" i="4" a="1"/>
  <c r="CO13" i="4" a="1"/>
  <c r="CP29" i="4" a="1"/>
  <c r="CO29" i="4" a="1"/>
  <c r="CS29" i="4" a="1"/>
  <c r="CQ29" i="4" a="1"/>
  <c r="CM29" i="4" a="1"/>
  <c r="CN29" i="4" a="1"/>
  <c r="CT29" i="4" a="1"/>
  <c r="CL29" i="4" a="1"/>
  <c r="CU29" i="4" a="1"/>
  <c r="CR29" i="4" a="1"/>
  <c r="CM36" i="4" a="1"/>
  <c r="CU36" i="4" a="1"/>
  <c r="CT36" i="4" a="1"/>
  <c r="CP36" i="4" a="1"/>
  <c r="CL36" i="4" a="1"/>
  <c r="CN36" i="4" a="1"/>
  <c r="CS36" i="4" a="1"/>
  <c r="CR36" i="4" a="1"/>
  <c r="CQ36" i="4" a="1"/>
  <c r="CO36" i="4" a="1"/>
  <c r="CO38" i="4" a="1"/>
  <c r="CM38" i="4" a="1"/>
  <c r="CQ38" i="4" a="1"/>
  <c r="CT38" i="4" a="1"/>
  <c r="CP38" i="4" a="1"/>
  <c r="CR38" i="4" a="1"/>
  <c r="CS38" i="4" a="1"/>
  <c r="CL38" i="4" a="1"/>
  <c r="CU38" i="4" a="1"/>
  <c r="CN38" i="4" a="1"/>
  <c r="CQ12" i="4" a="1"/>
  <c r="CU12" i="4" a="1"/>
  <c r="CO12" i="4" a="1"/>
  <c r="CL12" i="4" a="1"/>
  <c r="CM12" i="4" a="1"/>
  <c r="CS12" i="4" a="1"/>
  <c r="CT12" i="4" a="1"/>
  <c r="CR12" i="4" a="1"/>
  <c r="CP12" i="4" a="1"/>
  <c r="CN12" i="4" a="1"/>
  <c r="CL42" i="4" a="1"/>
  <c r="CN42" i="4" a="1"/>
  <c r="CR42" i="4" a="1"/>
  <c r="CU42" i="4" a="1"/>
  <c r="CQ42" i="4" a="1"/>
  <c r="CS42" i="4" a="1"/>
  <c r="CM42" i="4" a="1"/>
  <c r="CO42" i="4" a="1"/>
  <c r="CP42" i="4" a="1"/>
  <c r="CT42" i="4" a="1"/>
  <c r="CU28" i="4" a="1"/>
  <c r="CO28" i="4" a="1"/>
  <c r="CR28" i="4" a="1"/>
  <c r="CN28" i="4" a="1"/>
  <c r="CQ28" i="4" a="1"/>
  <c r="CS28" i="4" a="1"/>
  <c r="CL28" i="4" a="1"/>
  <c r="CP28" i="4" a="1"/>
  <c r="CT28" i="4" a="1"/>
  <c r="CM28" i="4" a="1"/>
  <c r="CU9" i="4" a="1"/>
  <c r="CP9" i="4" a="1"/>
  <c r="CL9" i="4" a="1"/>
  <c r="CS9" i="4" a="1"/>
  <c r="CT9" i="4" a="1"/>
  <c r="CN9" i="4" a="1"/>
  <c r="CM9" i="4" a="1"/>
  <c r="CR9" i="4" a="1"/>
  <c r="CQ9" i="4" a="1"/>
  <c r="CO9" i="4" a="1"/>
  <c r="CP23" i="4" a="1"/>
  <c r="CM23" i="4" a="1"/>
  <c r="CN23" i="4" a="1"/>
  <c r="CS23" i="4" a="1"/>
  <c r="CT23" i="4" a="1"/>
  <c r="CR23" i="4" a="1"/>
  <c r="CU23" i="4" a="1"/>
  <c r="CO23" i="4" a="1"/>
  <c r="CQ23" i="4" a="1"/>
  <c r="CL23" i="4" a="1"/>
  <c r="CU25" i="4" a="1"/>
  <c r="CP25" i="4" a="1"/>
  <c r="CO25" i="4" a="1"/>
  <c r="CN25" i="4" a="1"/>
  <c r="CM25" i="4" a="1"/>
  <c r="CQ25" i="4" a="1"/>
  <c r="CR25" i="4" a="1"/>
  <c r="CT25" i="4" a="1"/>
  <c r="CL25" i="4" a="1"/>
  <c r="CS25" i="4" a="1"/>
  <c r="CL20" i="4" a="1"/>
  <c r="CR20" i="4" a="1"/>
  <c r="CO20" i="4" a="1"/>
  <c r="CP20" i="4" a="1"/>
  <c r="CM20" i="4" a="1"/>
  <c r="CQ20" i="4" a="1"/>
  <c r="CT20" i="4" a="1"/>
  <c r="CS20" i="4" a="1"/>
  <c r="CU20" i="4" a="1"/>
  <c r="CN20" i="4" a="1"/>
  <c r="CP30" i="4" a="1"/>
  <c r="CM30" i="4" a="1"/>
  <c r="CT30" i="4" a="1"/>
  <c r="CU30" i="4" a="1"/>
  <c r="CL30" i="4" a="1"/>
  <c r="CR30" i="4" a="1"/>
  <c r="CN30" i="4" a="1"/>
  <c r="CQ30" i="4" a="1"/>
  <c r="CS30" i="4" a="1"/>
  <c r="CO30" i="4" a="1"/>
  <c r="CU8" i="4" a="1"/>
  <c r="CR8" i="4" a="1"/>
  <c r="CM8" i="4" a="1"/>
  <c r="CN8" i="4" a="1"/>
  <c r="CQ8" i="4" a="1"/>
  <c r="CP8" i="4" a="1"/>
  <c r="CO8" i="4" a="1"/>
  <c r="CS8" i="4" a="1"/>
  <c r="CT8" i="4" a="1"/>
  <c r="CL8" i="4" a="1"/>
  <c r="CM16" i="4" a="1"/>
  <c r="CR16" i="4" a="1"/>
  <c r="CU16" i="4" a="1"/>
  <c r="CN16" i="4" a="1"/>
  <c r="CP16" i="4" a="1"/>
  <c r="CQ16" i="4" a="1"/>
  <c r="CL16" i="4" a="1"/>
  <c r="CT16" i="4" a="1"/>
  <c r="CO16" i="4" a="1"/>
  <c r="CS16" i="4" a="1"/>
  <c r="CR32" i="4" a="1"/>
  <c r="CO32" i="4" a="1"/>
  <c r="CN32" i="4" a="1"/>
  <c r="CQ32" i="4" a="1"/>
  <c r="CS32" i="4" a="1"/>
  <c r="CL32" i="4" a="1"/>
  <c r="CM32" i="4" a="1"/>
  <c r="CT32" i="4" a="1"/>
  <c r="CP32" i="4" a="1"/>
  <c r="CU32" i="4" a="1"/>
  <c r="CS5" i="4" a="1"/>
  <c r="CP5" i="4" a="1"/>
  <c r="CQ5" i="4" a="1"/>
  <c r="CT5" i="4" a="1"/>
  <c r="CL5" i="4" a="1"/>
  <c r="CU5" i="4" a="1"/>
  <c r="CM5" i="4" a="1"/>
  <c r="CN5" i="4" a="1"/>
  <c r="CR5" i="4" a="1"/>
  <c r="CO5" i="4" a="1"/>
  <c r="CP19" i="4" a="1"/>
  <c r="CR19" i="4" a="1"/>
  <c r="CN19" i="4" a="1"/>
  <c r="CT19" i="4" a="1"/>
  <c r="CM19" i="4" a="1"/>
  <c r="CL19" i="4" a="1"/>
  <c r="CQ19" i="4" a="1"/>
  <c r="CO19" i="4" a="1"/>
  <c r="CU19" i="4" a="1"/>
  <c r="CS19" i="4" a="1"/>
  <c r="CM39" i="4" a="1"/>
  <c r="CO39" i="4" a="1"/>
  <c r="CT39" i="4" a="1"/>
  <c r="CL39" i="4" a="1"/>
  <c r="CQ39" i="4" a="1"/>
  <c r="CR39" i="4" a="1"/>
  <c r="CP39" i="4" a="1"/>
  <c r="CU39" i="4" a="1"/>
  <c r="CN39" i="4" a="1"/>
  <c r="CS39" i="4" a="1"/>
  <c r="CU17" i="4" a="1"/>
  <c r="CS17" i="4" a="1"/>
  <c r="CL17" i="4" a="1"/>
  <c r="CO17" i="4" a="1"/>
  <c r="CT17" i="4" a="1"/>
  <c r="CR17" i="4" a="1"/>
  <c r="CN17" i="4" a="1"/>
  <c r="CM17" i="4" a="1"/>
  <c r="CQ17" i="4" a="1"/>
  <c r="CP17" i="4" a="1"/>
  <c r="CS14" i="4" a="1"/>
  <c r="CQ14" i="4" a="1"/>
  <c r="CL14" i="4" a="1"/>
  <c r="CM14" i="4" a="1"/>
  <c r="CR14" i="4" a="1"/>
  <c r="CO14" i="4" a="1"/>
  <c r="CN14" i="4" a="1"/>
  <c r="CU14" i="4" a="1"/>
  <c r="CP14" i="4" a="1"/>
  <c r="CT14" i="4" a="1"/>
  <c r="CN37" i="4" a="1"/>
  <c r="CQ37" i="4" a="1"/>
  <c r="CL37" i="4" a="1"/>
  <c r="CU37" i="4" a="1"/>
  <c r="CT37" i="4" a="1"/>
  <c r="CM37" i="4" a="1"/>
  <c r="CO37" i="4" a="1"/>
  <c r="CP37" i="4" a="1"/>
  <c r="CR37" i="4" a="1"/>
  <c r="CS37" i="4" a="1"/>
  <c r="CT33" i="4" a="1"/>
  <c r="CR33" i="4" a="1"/>
  <c r="CU33" i="4" a="1"/>
  <c r="CO33" i="4" a="1"/>
  <c r="CL33" i="4" a="1"/>
  <c r="CN33" i="4" a="1"/>
  <c r="CM33" i="4" a="1"/>
  <c r="CS33" i="4" a="1"/>
  <c r="CQ33" i="4" a="1"/>
  <c r="CP33" i="4" a="1"/>
  <c r="CL40" i="4" a="1"/>
  <c r="CM40" i="4" a="1"/>
  <c r="CN40" i="4" a="1"/>
  <c r="CQ40" i="4" a="1"/>
  <c r="CP40" i="4" a="1"/>
  <c r="CT40" i="4" a="1"/>
  <c r="CR40" i="4" a="1"/>
  <c r="CU40" i="4" a="1"/>
  <c r="CO40" i="4" a="1"/>
  <c r="CS40" i="4" a="1"/>
  <c r="CP3" i="4" a="1"/>
  <c r="CT3" i="4" a="1"/>
  <c r="CS3" i="4" a="1"/>
  <c r="CM3" i="4" a="1"/>
  <c r="CQ3" i="4" a="1"/>
  <c r="CU3" i="4" a="1"/>
  <c r="CL3" i="4" a="1"/>
  <c r="CR3" i="4" a="1"/>
  <c r="CN3" i="4" a="1"/>
  <c r="CO3" i="4" a="1"/>
  <c r="CO18" i="4" a="1"/>
  <c r="CP18" i="4" a="1"/>
  <c r="CL18" i="4" a="1"/>
  <c r="CM18" i="4" a="1"/>
  <c r="CQ18" i="4" a="1"/>
  <c r="CT18" i="4" a="1"/>
  <c r="CR18" i="4" a="1"/>
  <c r="CU18" i="4" a="1"/>
  <c r="CN18" i="4" a="1"/>
  <c r="CS18" i="4" a="1"/>
  <c r="CQ6" i="4" a="1"/>
  <c r="CN6" i="4" a="1"/>
  <c r="CL6" i="4" a="1"/>
  <c r="CS6" i="4" a="1"/>
  <c r="CR6" i="4" a="1"/>
  <c r="CP6" i="4" a="1"/>
  <c r="CT6" i="4" a="1"/>
  <c r="CO6" i="4" a="1"/>
  <c r="CU6" i="4" a="1"/>
  <c r="CM6" i="4" a="1"/>
  <c r="CQ24" i="4" a="1"/>
  <c r="CS24" i="4" a="1"/>
  <c r="CT24" i="4" a="1"/>
  <c r="CM24" i="4" a="1"/>
  <c r="CO24" i="4" a="1"/>
  <c r="CL24" i="4" a="1"/>
  <c r="CN24" i="4" a="1"/>
  <c r="CR24" i="4" a="1"/>
  <c r="CP24" i="4" a="1"/>
  <c r="CU24" i="4" a="1"/>
  <c r="CM22" i="4" a="1"/>
  <c r="CQ22" i="4" a="1"/>
  <c r="CO22" i="4" a="1"/>
  <c r="CP22" i="4" a="1"/>
  <c r="CU22" i="4" a="1"/>
  <c r="CT22" i="4" a="1"/>
  <c r="CL22" i="4" a="1"/>
  <c r="CR22" i="4" a="1"/>
  <c r="CS22" i="4" a="1"/>
  <c r="CN22" i="4" a="1"/>
  <c r="CO43" i="4" a="1"/>
  <c r="CU43" i="4" a="1"/>
  <c r="CN43" i="4" a="1"/>
  <c r="CR43" i="4" a="1"/>
  <c r="CS43" i="4" a="1"/>
  <c r="CT43" i="4" a="1"/>
  <c r="CP43" i="4" a="1"/>
  <c r="CQ43" i="4" a="1"/>
  <c r="CM43" i="4" a="1"/>
  <c r="CL43" i="4" a="1"/>
  <c r="CQ4" i="4" a="1"/>
  <c r="CU4" i="4" a="1"/>
  <c r="CN4" i="4" a="1"/>
  <c r="CT4" i="4" a="1"/>
  <c r="CO4" i="4" a="1"/>
  <c r="CS4" i="4" a="1"/>
  <c r="CR4" i="4" a="1"/>
  <c r="CL4" i="4" a="1"/>
  <c r="CP4" i="4" a="1"/>
  <c r="CM4" i="4" a="1"/>
  <c r="CM7" i="4" a="1"/>
  <c r="CO7" i="4" a="1"/>
  <c r="CT7" i="4" a="1"/>
  <c r="CS7" i="4" a="1"/>
  <c r="CR7" i="4" a="1"/>
  <c r="CU7" i="4" a="1"/>
  <c r="CN7" i="4" a="1"/>
  <c r="CL7" i="4" a="1"/>
  <c r="CP7" i="4" a="1"/>
  <c r="CQ7" i="4" a="1"/>
  <c r="CN15" i="4" a="1"/>
  <c r="CM15" i="4" a="1"/>
  <c r="CL15" i="4" a="1"/>
  <c r="CR15" i="4" a="1"/>
  <c r="CO15" i="4" a="1"/>
  <c r="CQ15" i="4" a="1"/>
  <c r="CS15" i="4" a="1"/>
  <c r="CU15" i="4" a="1"/>
  <c r="CT15" i="4" a="1"/>
  <c r="CP15" i="4" a="1"/>
  <c r="CP10" i="4" a="1"/>
  <c r="CU10" i="4" a="1"/>
  <c r="CQ10" i="4" a="1"/>
  <c r="CL10" i="4" a="1"/>
  <c r="CT10" i="4" a="1"/>
  <c r="CN10" i="4" a="1"/>
  <c r="CM10" i="4" a="1"/>
  <c r="CO10" i="4" a="1"/>
  <c r="CR10" i="4" a="1"/>
  <c r="CS10" i="4" a="1"/>
  <c r="CP27" i="4" a="1"/>
  <c r="CT27" i="4" a="1"/>
  <c r="CN27" i="4" a="1"/>
  <c r="CU27" i="4" a="1"/>
  <c r="CR27" i="4" a="1"/>
  <c r="CS27" i="4" a="1"/>
  <c r="CO27" i="4" a="1"/>
  <c r="CL27" i="4" a="1"/>
  <c r="CM27" i="4" a="1"/>
  <c r="CQ27" i="4" a="1"/>
  <c r="CO41" i="4" a="1"/>
  <c r="CP41" i="4" a="1"/>
  <c r="CU41" i="4" a="1"/>
  <c r="CN41" i="4" a="1"/>
  <c r="CS41" i="4" a="1"/>
  <c r="CL41" i="4" a="1"/>
  <c r="CQ41" i="4" a="1"/>
  <c r="CM41" i="4" a="1"/>
  <c r="CR41" i="4" a="1"/>
  <c r="CT41" i="4" a="1"/>
  <c r="CP35" i="4" a="1"/>
  <c r="CT35" i="4" a="1"/>
  <c r="CS35" i="4" a="1"/>
  <c r="CR35" i="4" a="1"/>
  <c r="CO35" i="4" a="1"/>
  <c r="CU35" i="4" a="1"/>
  <c r="CL35" i="4" a="1"/>
  <c r="CQ35" i="4" a="1"/>
  <c r="CN35" i="4" a="1"/>
  <c r="CM35" i="4" a="1"/>
  <c r="CQ31" i="4" a="1"/>
  <c r="CR31" i="4" a="1"/>
  <c r="CU31" i="4" a="1"/>
  <c r="CM31" i="4" a="1"/>
  <c r="CP31" i="4" a="1"/>
  <c r="CO31" i="4" a="1"/>
  <c r="CN31" i="4" a="1"/>
  <c r="CL31" i="4" a="1"/>
  <c r="CT31" i="4" a="1"/>
  <c r="CS31" i="4" a="1"/>
  <c r="CU2" i="4" a="1"/>
  <c r="CT2" i="4" a="1"/>
  <c r="CS2" i="4" a="1"/>
  <c r="CQ2" i="4" a="1"/>
  <c r="CR2" i="4" a="1"/>
  <c r="CL2" i="4" a="1"/>
  <c r="CM2" i="4" a="1"/>
  <c r="CN2" i="4" a="1"/>
  <c r="CO2" i="4" a="1"/>
  <c r="CP2" i="4" a="1"/>
  <c r="CS1" i="4" a="1"/>
  <c r="CM1" i="4" a="1"/>
  <c r="CL1" i="4" a="1"/>
  <c r="CP1" i="4" a="1"/>
  <c r="CQ1" i="4" a="1"/>
  <c r="CU1" i="4" a="1"/>
  <c r="CO1" i="4" a="1"/>
  <c r="CR1" i="4" a="1"/>
  <c r="CN1" i="4" a="1"/>
  <c r="CT1" i="4" a="1"/>
  <c r="CL44" i="4" l="1"/>
  <c r="CN120" i="4" a="1"/>
  <c r="CN120" i="4" s="1"/>
  <c r="CU120" i="4" a="1"/>
  <c r="CU120" i="4" s="1"/>
  <c r="CR120" i="4" a="1"/>
  <c r="CR120" i="4" s="1"/>
  <c r="CO120" i="4" a="1"/>
  <c r="CO120" i="4" s="1"/>
  <c r="CM120" i="4" a="1"/>
  <c r="CM120" i="4" s="1"/>
  <c r="CT120" i="4" a="1"/>
  <c r="CT120" i="4" s="1"/>
  <c r="CS120" i="4" a="1"/>
  <c r="CS120" i="4" s="1"/>
  <c r="CP120" i="4" a="1"/>
  <c r="CP120" i="4" s="1"/>
  <c r="CQ120" i="4" a="1"/>
  <c r="CQ120" i="4" s="1"/>
  <c r="CS31" i="4"/>
  <c r="CT31" i="4"/>
  <c r="CL31" i="4"/>
  <c r="CN31" i="4"/>
  <c r="CO31" i="4"/>
  <c r="CP31" i="4"/>
  <c r="CM31" i="4"/>
  <c r="CU31" i="4"/>
  <c r="CR31" i="4"/>
  <c r="CQ31" i="4"/>
  <c r="CM35" i="4"/>
  <c r="CN35" i="4"/>
  <c r="CQ35" i="4"/>
  <c r="CL35" i="4"/>
  <c r="CU35" i="4"/>
  <c r="CO35" i="4"/>
  <c r="CR35" i="4"/>
  <c r="CS35" i="4"/>
  <c r="CT35" i="4"/>
  <c r="CP35" i="4"/>
  <c r="CT41" i="4"/>
  <c r="CR41" i="4"/>
  <c r="CM41" i="4"/>
  <c r="CQ41" i="4"/>
  <c r="CL41" i="4"/>
  <c r="CS41" i="4"/>
  <c r="CN41" i="4"/>
  <c r="CU41" i="4"/>
  <c r="CP41" i="4"/>
  <c r="CO41" i="4"/>
  <c r="CQ27" i="4"/>
  <c r="CM27" i="4"/>
  <c r="CL27" i="4"/>
  <c r="CO27" i="4"/>
  <c r="CS27" i="4"/>
  <c r="CR27" i="4"/>
  <c r="CU27" i="4"/>
  <c r="CN27" i="4"/>
  <c r="CT27" i="4"/>
  <c r="CP27" i="4"/>
  <c r="CS10" i="4"/>
  <c r="CR10" i="4"/>
  <c r="CO10" i="4"/>
  <c r="CM10" i="4"/>
  <c r="CN10" i="4"/>
  <c r="CT10" i="4"/>
  <c r="CL10" i="4"/>
  <c r="CQ10" i="4"/>
  <c r="CU10" i="4"/>
  <c r="CP10" i="4"/>
  <c r="CP15" i="4"/>
  <c r="CT15" i="4"/>
  <c r="CU15" i="4"/>
  <c r="CS15" i="4"/>
  <c r="CQ15" i="4"/>
  <c r="CO15" i="4"/>
  <c r="CR15" i="4"/>
  <c r="CL15" i="4"/>
  <c r="CM15" i="4"/>
  <c r="CN15" i="4"/>
  <c r="CQ7" i="4"/>
  <c r="CP7" i="4"/>
  <c r="CL7" i="4"/>
  <c r="CN7" i="4"/>
  <c r="CU7" i="4"/>
  <c r="CR7" i="4"/>
  <c r="CS7" i="4"/>
  <c r="CT7" i="4"/>
  <c r="CO7" i="4"/>
  <c r="CM7" i="4"/>
  <c r="CM4" i="4"/>
  <c r="CP4" i="4"/>
  <c r="CL4" i="4"/>
  <c r="CR4" i="4"/>
  <c r="CS4" i="4"/>
  <c r="CO4" i="4"/>
  <c r="CT4" i="4"/>
  <c r="CN4" i="4"/>
  <c r="CU4" i="4"/>
  <c r="CQ4" i="4"/>
  <c r="CL43" i="4"/>
  <c r="CM43" i="4"/>
  <c r="CQ43" i="4"/>
  <c r="CP43" i="4"/>
  <c r="CT43" i="4"/>
  <c r="CS43" i="4"/>
  <c r="CR43" i="4"/>
  <c r="CN43" i="4"/>
  <c r="CU43" i="4"/>
  <c r="CO43" i="4"/>
  <c r="CN22" i="4"/>
  <c r="CS22" i="4"/>
  <c r="CR22" i="4"/>
  <c r="CL22" i="4"/>
  <c r="CT22" i="4"/>
  <c r="CU22" i="4"/>
  <c r="CP22" i="4"/>
  <c r="CO22" i="4"/>
  <c r="CQ22" i="4"/>
  <c r="CM22" i="4"/>
  <c r="CU24" i="4"/>
  <c r="CP24" i="4"/>
  <c r="CR24" i="4"/>
  <c r="CN24" i="4"/>
  <c r="CL24" i="4"/>
  <c r="CO24" i="4"/>
  <c r="CM24" i="4"/>
  <c r="CT24" i="4"/>
  <c r="CS24" i="4"/>
  <c r="CQ24" i="4"/>
  <c r="CM6" i="4"/>
  <c r="CU6" i="4"/>
  <c r="CO6" i="4"/>
  <c r="CT6" i="4"/>
  <c r="CP6" i="4"/>
  <c r="CR6" i="4"/>
  <c r="CS6" i="4"/>
  <c r="CL6" i="4"/>
  <c r="CN6" i="4"/>
  <c r="CQ6" i="4"/>
  <c r="CS18" i="4"/>
  <c r="CN18" i="4"/>
  <c r="CU18" i="4"/>
  <c r="CR18" i="4"/>
  <c r="CT18" i="4"/>
  <c r="CQ18" i="4"/>
  <c r="CM18" i="4"/>
  <c r="CL18" i="4"/>
  <c r="CP18" i="4"/>
  <c r="CO18" i="4"/>
  <c r="CO3" i="4"/>
  <c r="CN3" i="4"/>
  <c r="CR3" i="4"/>
  <c r="CL3" i="4"/>
  <c r="CU3" i="4"/>
  <c r="CQ3" i="4"/>
  <c r="CM3" i="4"/>
  <c r="CS3" i="4"/>
  <c r="CT3" i="4"/>
  <c r="CP3" i="4"/>
  <c r="CS40" i="4"/>
  <c r="CO40" i="4"/>
  <c r="CU40" i="4"/>
  <c r="CR40" i="4"/>
  <c r="CT40" i="4"/>
  <c r="CP40" i="4"/>
  <c r="CQ40" i="4"/>
  <c r="CN40" i="4"/>
  <c r="CM40" i="4"/>
  <c r="CL40" i="4"/>
  <c r="CP33" i="4"/>
  <c r="CQ33" i="4"/>
  <c r="CS33" i="4"/>
  <c r="CM33" i="4"/>
  <c r="CN33" i="4"/>
  <c r="CL33" i="4"/>
  <c r="CO33" i="4"/>
  <c r="CU33" i="4"/>
  <c r="CR33" i="4"/>
  <c r="CT33" i="4"/>
  <c r="CS37" i="4"/>
  <c r="CR37" i="4"/>
  <c r="CP37" i="4"/>
  <c r="CO37" i="4"/>
  <c r="CM37" i="4"/>
  <c r="CT37" i="4"/>
  <c r="CU37" i="4"/>
  <c r="CL37" i="4"/>
  <c r="CQ37" i="4"/>
  <c r="CN37" i="4"/>
  <c r="CT14" i="4"/>
  <c r="CP14" i="4"/>
  <c r="CU14" i="4"/>
  <c r="CN14" i="4"/>
  <c r="CO14" i="4"/>
  <c r="CR14" i="4"/>
  <c r="CM14" i="4"/>
  <c r="CL14" i="4"/>
  <c r="CQ14" i="4"/>
  <c r="CS14" i="4"/>
  <c r="CP17" i="4"/>
  <c r="CQ17" i="4"/>
  <c r="CM17" i="4"/>
  <c r="CN17" i="4"/>
  <c r="CR17" i="4"/>
  <c r="CT17" i="4"/>
  <c r="CO17" i="4"/>
  <c r="CL17" i="4"/>
  <c r="CS17" i="4"/>
  <c r="CU17" i="4"/>
  <c r="CS39" i="4"/>
  <c r="CN39" i="4"/>
  <c r="CU39" i="4"/>
  <c r="CP39" i="4"/>
  <c r="CR39" i="4"/>
  <c r="CQ39" i="4"/>
  <c r="CL39" i="4"/>
  <c r="CT39" i="4"/>
  <c r="CO39" i="4"/>
  <c r="CM39" i="4"/>
  <c r="CS19" i="4"/>
  <c r="CU19" i="4"/>
  <c r="CO19" i="4"/>
  <c r="CQ19" i="4"/>
  <c r="CL19" i="4"/>
  <c r="CM19" i="4"/>
  <c r="CT19" i="4"/>
  <c r="CN19" i="4"/>
  <c r="CR19" i="4"/>
  <c r="CP19" i="4"/>
  <c r="CO5" i="4"/>
  <c r="CR5" i="4"/>
  <c r="CN5" i="4"/>
  <c r="CM5" i="4"/>
  <c r="CU5" i="4"/>
  <c r="CL5" i="4"/>
  <c r="CT5" i="4"/>
  <c r="CQ5" i="4"/>
  <c r="CP5" i="4"/>
  <c r="CS5" i="4"/>
  <c r="CU32" i="4"/>
  <c r="CP32" i="4"/>
  <c r="CT32" i="4"/>
  <c r="CM32" i="4"/>
  <c r="CL32" i="4"/>
  <c r="CS32" i="4"/>
  <c r="CQ32" i="4"/>
  <c r="CN32" i="4"/>
  <c r="CO32" i="4"/>
  <c r="CR32" i="4"/>
  <c r="CS16" i="4"/>
  <c r="CO16" i="4"/>
  <c r="CT16" i="4"/>
  <c r="CL16" i="4"/>
  <c r="CQ16" i="4"/>
  <c r="CP16" i="4"/>
  <c r="CN16" i="4"/>
  <c r="CU16" i="4"/>
  <c r="CR16" i="4"/>
  <c r="CM16" i="4"/>
  <c r="CL8" i="4"/>
  <c r="CT8" i="4"/>
  <c r="CS8" i="4"/>
  <c r="CO8" i="4"/>
  <c r="CP8" i="4"/>
  <c r="CQ8" i="4"/>
  <c r="CN8" i="4"/>
  <c r="CM8" i="4"/>
  <c r="CR8" i="4"/>
  <c r="CU8" i="4"/>
  <c r="CO30" i="4"/>
  <c r="CS30" i="4"/>
  <c r="CQ30" i="4"/>
  <c r="CN30" i="4"/>
  <c r="CR30" i="4"/>
  <c r="CL30" i="4"/>
  <c r="CU30" i="4"/>
  <c r="CT30" i="4"/>
  <c r="CM30" i="4"/>
  <c r="CP30" i="4"/>
  <c r="CN20" i="4"/>
  <c r="CU20" i="4"/>
  <c r="CS20" i="4"/>
  <c r="CT20" i="4"/>
  <c r="CQ20" i="4"/>
  <c r="CM20" i="4"/>
  <c r="CP20" i="4"/>
  <c r="CO20" i="4"/>
  <c r="CR20" i="4"/>
  <c r="CL20" i="4"/>
  <c r="CS25" i="4"/>
  <c r="CL25" i="4"/>
  <c r="CT25" i="4"/>
  <c r="CR25" i="4"/>
  <c r="CQ25" i="4"/>
  <c r="CM25" i="4"/>
  <c r="CN25" i="4"/>
  <c r="CO25" i="4"/>
  <c r="CP25" i="4"/>
  <c r="CU25" i="4"/>
  <c r="CL23" i="4"/>
  <c r="CQ23" i="4"/>
  <c r="CO23" i="4"/>
  <c r="CU23" i="4"/>
  <c r="CR23" i="4"/>
  <c r="CT23" i="4"/>
  <c r="CS23" i="4"/>
  <c r="CN23" i="4"/>
  <c r="CM23" i="4"/>
  <c r="CP23" i="4"/>
  <c r="CO9" i="4"/>
  <c r="CQ9" i="4"/>
  <c r="CR9" i="4"/>
  <c r="CM9" i="4"/>
  <c r="CN9" i="4"/>
  <c r="CT9" i="4"/>
  <c r="CS9" i="4"/>
  <c r="CL9" i="4"/>
  <c r="CP9" i="4"/>
  <c r="CU9" i="4"/>
  <c r="CM28" i="4"/>
  <c r="CT28" i="4"/>
  <c r="CP28" i="4"/>
  <c r="CL28" i="4"/>
  <c r="CS28" i="4"/>
  <c r="CQ28" i="4"/>
  <c r="CN28" i="4"/>
  <c r="CR28" i="4"/>
  <c r="CO28" i="4"/>
  <c r="CU28" i="4"/>
  <c r="CT42" i="4"/>
  <c r="CP42" i="4"/>
  <c r="CO42" i="4"/>
  <c r="CM42" i="4"/>
  <c r="CS42" i="4"/>
  <c r="CQ42" i="4"/>
  <c r="CU42" i="4"/>
  <c r="CR42" i="4"/>
  <c r="CN42" i="4"/>
  <c r="CL42" i="4"/>
  <c r="CN12" i="4"/>
  <c r="CP12" i="4"/>
  <c r="CR12" i="4"/>
  <c r="CT12" i="4"/>
  <c r="CS12" i="4"/>
  <c r="CM12" i="4"/>
  <c r="CL12" i="4"/>
  <c r="CO12" i="4"/>
  <c r="CU12" i="4"/>
  <c r="CQ12" i="4"/>
  <c r="CN38" i="4"/>
  <c r="CU38" i="4"/>
  <c r="CL38" i="4"/>
  <c r="CS38" i="4"/>
  <c r="CR38" i="4"/>
  <c r="CP38" i="4"/>
  <c r="CT38" i="4"/>
  <c r="CQ38" i="4"/>
  <c r="CM38" i="4"/>
  <c r="CO38" i="4"/>
  <c r="CO36" i="4"/>
  <c r="CQ36" i="4"/>
  <c r="CR36" i="4"/>
  <c r="CS36" i="4"/>
  <c r="CN36" i="4"/>
  <c r="CL36" i="4"/>
  <c r="CP36" i="4"/>
  <c r="CT36" i="4"/>
  <c r="CU36" i="4"/>
  <c r="CM36" i="4"/>
  <c r="CR29" i="4"/>
  <c r="CU29" i="4"/>
  <c r="CL29" i="4"/>
  <c r="CT29" i="4"/>
  <c r="CN29" i="4"/>
  <c r="CM29" i="4"/>
  <c r="CQ29" i="4"/>
  <c r="CS29" i="4"/>
  <c r="CO29" i="4"/>
  <c r="CP29" i="4"/>
  <c r="CO13" i="4"/>
  <c r="CP13" i="4"/>
  <c r="CN13" i="4"/>
  <c r="CT13" i="4"/>
  <c r="CL13" i="4"/>
  <c r="CQ13" i="4"/>
  <c r="CM13" i="4"/>
  <c r="CS13" i="4"/>
  <c r="CU13" i="4"/>
  <c r="CR13" i="4"/>
  <c r="CQ34" i="4"/>
  <c r="CL34" i="4"/>
  <c r="CU34" i="4"/>
  <c r="CM34" i="4"/>
  <c r="CO34" i="4"/>
  <c r="CR34" i="4"/>
  <c r="CT34" i="4"/>
  <c r="CS34" i="4"/>
  <c r="CN34" i="4"/>
  <c r="CP34" i="4"/>
  <c r="CU21" i="4"/>
  <c r="CQ21" i="4"/>
  <c r="CM21" i="4"/>
  <c r="CO21" i="4"/>
  <c r="CR21" i="4"/>
  <c r="CN21" i="4"/>
  <c r="CS21" i="4"/>
  <c r="CT21" i="4"/>
  <c r="CL21" i="4"/>
  <c r="CP21" i="4"/>
  <c r="CP11" i="4"/>
  <c r="CU11" i="4"/>
  <c r="CL11" i="4"/>
  <c r="CT11" i="4"/>
  <c r="CO11" i="4"/>
  <c r="CN11" i="4"/>
  <c r="CQ11" i="4"/>
  <c r="CR11" i="4"/>
  <c r="CS11" i="4"/>
  <c r="CM11" i="4"/>
  <c r="CM26" i="4"/>
  <c r="CL26" i="4"/>
  <c r="CS26" i="4"/>
  <c r="CT26" i="4"/>
  <c r="CN26" i="4"/>
  <c r="CO26" i="4"/>
  <c r="CR26" i="4"/>
  <c r="CU26" i="4"/>
  <c r="CP26" i="4"/>
  <c r="CQ26" i="4"/>
  <c r="CL106" i="4" a="1"/>
  <c r="CL106" i="4" s="1"/>
  <c r="CQ106" i="4" a="1"/>
  <c r="CQ106" i="4" s="1"/>
  <c r="CS106" i="4" a="1"/>
  <c r="CS106" i="4" s="1"/>
  <c r="CP106" i="4" a="1"/>
  <c r="CP106" i="4" s="1"/>
  <c r="CR106" i="4" a="1"/>
  <c r="CR106" i="4" s="1"/>
  <c r="CM106" i="4" a="1"/>
  <c r="CM106" i="4" s="1"/>
  <c r="CN106" i="4" a="1"/>
  <c r="CN106" i="4" s="1"/>
  <c r="CT106" i="4" a="1"/>
  <c r="CT106" i="4" s="1"/>
  <c r="CU106" i="4" a="1"/>
  <c r="CU106" i="4" s="1"/>
  <c r="CO106" i="4" a="1"/>
  <c r="CO106" i="4" s="1"/>
  <c r="CL116" i="4" a="1"/>
  <c r="CL116" i="4" s="1"/>
  <c r="CP116" i="4" a="1"/>
  <c r="CP116" i="4" s="1"/>
  <c r="CU116" i="4" a="1"/>
  <c r="CU116" i="4" s="1"/>
  <c r="CR116" i="4" a="1"/>
  <c r="CR116" i="4" s="1"/>
  <c r="CT116" i="4" a="1"/>
  <c r="CT116" i="4" s="1"/>
  <c r="CM116" i="4" a="1"/>
  <c r="CM116" i="4" s="1"/>
  <c r="CQ116" i="4" a="1"/>
  <c r="CQ116" i="4" s="1"/>
  <c r="CO116" i="4" a="1"/>
  <c r="CO116" i="4" s="1"/>
  <c r="CS116" i="4" a="1"/>
  <c r="CS116" i="4" s="1"/>
  <c r="CN116" i="4" a="1"/>
  <c r="CN116" i="4" s="1"/>
  <c r="CN91" i="4" a="1"/>
  <c r="CN91" i="4" s="1"/>
  <c r="CO91" i="4" a="1"/>
  <c r="CO91" i="4" s="1"/>
  <c r="CU91" i="4" a="1"/>
  <c r="CU91" i="4" s="1"/>
  <c r="CS91" i="4" a="1"/>
  <c r="CS91" i="4" s="1"/>
  <c r="CT91" i="4" a="1"/>
  <c r="CT91" i="4" s="1"/>
  <c r="CQ91" i="4" a="1"/>
  <c r="CQ91" i="4" s="1"/>
  <c r="CL91" i="4" a="1"/>
  <c r="CL91" i="4" s="1"/>
  <c r="CM91" i="4" a="1"/>
  <c r="CM91" i="4" s="1"/>
  <c r="CP91" i="4" a="1"/>
  <c r="CP91" i="4" s="1"/>
  <c r="CR91" i="4" a="1"/>
  <c r="CR91" i="4" s="1"/>
  <c r="CM88" i="4" a="1"/>
  <c r="CM88" i="4" s="1"/>
  <c r="CS88" i="4" a="1"/>
  <c r="CS88" i="4" s="1"/>
  <c r="CP88" i="4" a="1"/>
  <c r="CP88" i="4" s="1"/>
  <c r="CO88" i="4" a="1"/>
  <c r="CO88" i="4" s="1"/>
  <c r="CR88" i="4" a="1"/>
  <c r="CR88" i="4" s="1"/>
  <c r="CN88" i="4" a="1"/>
  <c r="CN88" i="4" s="1"/>
  <c r="CU88" i="4" a="1"/>
  <c r="CU88" i="4" s="1"/>
  <c r="CL88" i="4" a="1"/>
  <c r="CL88" i="4" s="1"/>
  <c r="CQ88" i="4" a="1"/>
  <c r="CQ88" i="4" s="1"/>
  <c r="CT88" i="4" a="1"/>
  <c r="CT88" i="4" s="1"/>
  <c r="CM118" i="4" a="1"/>
  <c r="CM118" i="4" s="1"/>
  <c r="CT118" i="4" a="1"/>
  <c r="CT118" i="4" s="1"/>
  <c r="CO118" i="4" a="1"/>
  <c r="CO118" i="4" s="1"/>
  <c r="CU118" i="4" a="1"/>
  <c r="CU118" i="4" s="1"/>
  <c r="CP118" i="4" a="1"/>
  <c r="CP118" i="4" s="1"/>
  <c r="CL118" i="4" a="1"/>
  <c r="CL118" i="4" s="1"/>
  <c r="CS118" i="4" a="1"/>
  <c r="CS118" i="4" s="1"/>
  <c r="CN118" i="4" a="1"/>
  <c r="CN118" i="4" s="1"/>
  <c r="CQ118" i="4" a="1"/>
  <c r="CQ118" i="4" s="1"/>
  <c r="CR118" i="4" a="1"/>
  <c r="CR118" i="4" s="1"/>
  <c r="CS68" i="4" a="1"/>
  <c r="CS68" i="4" s="1"/>
  <c r="CP68" i="4" a="1"/>
  <c r="CP68" i="4" s="1"/>
  <c r="CU68" i="4" a="1"/>
  <c r="CU68" i="4" s="1"/>
  <c r="CO68" i="4" a="1"/>
  <c r="CO68" i="4" s="1"/>
  <c r="CQ68" i="4" a="1"/>
  <c r="CQ68" i="4" s="1"/>
  <c r="CN68" i="4" a="1"/>
  <c r="CN68" i="4" s="1"/>
  <c r="CL68" i="4" a="1"/>
  <c r="CL68" i="4" s="1"/>
  <c r="CR68" i="4" a="1"/>
  <c r="CR68" i="4" s="1"/>
  <c r="CT68" i="4" a="1"/>
  <c r="CT68" i="4" s="1"/>
  <c r="CM68" i="4" a="1"/>
  <c r="CM68" i="4" s="1"/>
  <c r="CS103" i="4" a="1"/>
  <c r="CS103" i="4" s="1"/>
  <c r="CN103" i="4" a="1"/>
  <c r="CN103" i="4" s="1"/>
  <c r="CQ103" i="4" a="1"/>
  <c r="CQ103" i="4" s="1"/>
  <c r="CP103" i="4" a="1"/>
  <c r="CP103" i="4" s="1"/>
  <c r="CO103" i="4" a="1"/>
  <c r="CO103" i="4" s="1"/>
  <c r="CU103" i="4" a="1"/>
  <c r="CU103" i="4" s="1"/>
  <c r="CR103" i="4" a="1"/>
  <c r="CR103" i="4" s="1"/>
  <c r="CM103" i="4" a="1"/>
  <c r="CM103" i="4" s="1"/>
  <c r="CT103" i="4" a="1"/>
  <c r="CT103" i="4" s="1"/>
  <c r="CL103" i="4" a="1"/>
  <c r="CL103" i="4" s="1"/>
  <c r="CM76" i="4" a="1"/>
  <c r="CM76" i="4" s="1"/>
  <c r="CN76" i="4" a="1"/>
  <c r="CN76" i="4" s="1"/>
  <c r="CP76" i="4" a="1"/>
  <c r="CP76" i="4" s="1"/>
  <c r="CU76" i="4" a="1"/>
  <c r="CU76" i="4" s="1"/>
  <c r="CO76" i="4" a="1"/>
  <c r="CO76" i="4" s="1"/>
  <c r="CS76" i="4" a="1"/>
  <c r="CS76" i="4" s="1"/>
  <c r="CL76" i="4" a="1"/>
  <c r="CL76" i="4" s="1"/>
  <c r="CT76" i="4" a="1"/>
  <c r="CT76" i="4" s="1"/>
  <c r="CR76" i="4" a="1"/>
  <c r="CR76" i="4" s="1"/>
  <c r="CQ76" i="4" a="1"/>
  <c r="CQ76" i="4" s="1"/>
  <c r="CM87" i="4" a="1"/>
  <c r="CM87" i="4" s="1"/>
  <c r="CO87" i="4" a="1"/>
  <c r="CO87" i="4" s="1"/>
  <c r="CQ87" i="4" a="1"/>
  <c r="CQ87" i="4" s="1"/>
  <c r="CS87" i="4" a="1"/>
  <c r="CS87" i="4" s="1"/>
  <c r="CL87" i="4" a="1"/>
  <c r="CL87" i="4" s="1"/>
  <c r="CN87" i="4" a="1"/>
  <c r="CN87" i="4" s="1"/>
  <c r="CR87" i="4" a="1"/>
  <c r="CR87" i="4" s="1"/>
  <c r="CP87" i="4" a="1"/>
  <c r="CP87" i="4" s="1"/>
  <c r="CU87" i="4" a="1"/>
  <c r="CU87" i="4" s="1"/>
  <c r="CT87" i="4" a="1"/>
  <c r="CT87" i="4" s="1"/>
  <c r="CN115" i="4" a="1"/>
  <c r="CN115" i="4" s="1"/>
  <c r="CS115" i="4" a="1"/>
  <c r="CS115" i="4" s="1"/>
  <c r="CP115" i="4" a="1"/>
  <c r="CP115" i="4" s="1"/>
  <c r="CM115" i="4" a="1"/>
  <c r="CM115" i="4" s="1"/>
  <c r="CO115" i="4" a="1"/>
  <c r="CO115" i="4" s="1"/>
  <c r="CR115" i="4" a="1"/>
  <c r="CR115" i="4" s="1"/>
  <c r="CT115" i="4" a="1"/>
  <c r="CT115" i="4" s="1"/>
  <c r="CL115" i="4" a="1"/>
  <c r="CL115" i="4" s="1"/>
  <c r="CQ115" i="4" a="1"/>
  <c r="CQ115" i="4" s="1"/>
  <c r="CU115" i="4" a="1"/>
  <c r="CU115" i="4" s="1"/>
  <c r="CM105" i="4" a="1"/>
  <c r="CM105" i="4" s="1"/>
  <c r="CT105" i="4" a="1"/>
  <c r="CT105" i="4" s="1"/>
  <c r="CP105" i="4" a="1"/>
  <c r="CP105" i="4" s="1"/>
  <c r="CR105" i="4" a="1"/>
  <c r="CR105" i="4" s="1"/>
  <c r="CO105" i="4" a="1"/>
  <c r="CO105" i="4" s="1"/>
  <c r="CS105" i="4" a="1"/>
  <c r="CS105" i="4" s="1"/>
  <c r="CU105" i="4" a="1"/>
  <c r="CU105" i="4" s="1"/>
  <c r="CL105" i="4" a="1"/>
  <c r="CL105" i="4" s="1"/>
  <c r="CQ105" i="4" a="1"/>
  <c r="CQ105" i="4" s="1"/>
  <c r="CN105" i="4" a="1"/>
  <c r="CN105" i="4" s="1"/>
  <c r="CQ78" i="4" a="1"/>
  <c r="CQ78" i="4" s="1"/>
  <c r="CT78" i="4" a="1"/>
  <c r="CT78" i="4" s="1"/>
  <c r="CU78" i="4" a="1"/>
  <c r="CU78" i="4" s="1"/>
  <c r="CS78" i="4" a="1"/>
  <c r="CS78" i="4" s="1"/>
  <c r="CO78" i="4" a="1"/>
  <c r="CO78" i="4" s="1"/>
  <c r="CN78" i="4" a="1"/>
  <c r="CN78" i="4" s="1"/>
  <c r="CM78" i="4" a="1"/>
  <c r="CM78" i="4" s="1"/>
  <c r="CR78" i="4" a="1"/>
  <c r="CR78" i="4" s="1"/>
  <c r="CL78" i="4" a="1"/>
  <c r="CL78" i="4" s="1"/>
  <c r="CP78" i="4" a="1"/>
  <c r="CP78" i="4" s="1"/>
  <c r="CU114" i="4" a="1"/>
  <c r="CU114" i="4" s="1"/>
  <c r="CM114" i="4" a="1"/>
  <c r="CM114" i="4" s="1"/>
  <c r="CL114" i="4" a="1"/>
  <c r="CL114" i="4" s="1"/>
  <c r="CR114" i="4" a="1"/>
  <c r="CR114" i="4" s="1"/>
  <c r="CS114" i="4" a="1"/>
  <c r="CS114" i="4" s="1"/>
  <c r="CO114" i="4" a="1"/>
  <c r="CO114" i="4" s="1"/>
  <c r="CQ114" i="4" a="1"/>
  <c r="CQ114" i="4" s="1"/>
  <c r="CN114" i="4" a="1"/>
  <c r="CN114" i="4" s="1"/>
  <c r="CP114" i="4" a="1"/>
  <c r="CP114" i="4" s="1"/>
  <c r="CT114" i="4" a="1"/>
  <c r="CT114" i="4" s="1"/>
  <c r="CN71" i="4" a="1"/>
  <c r="CN71" i="4" s="1"/>
  <c r="CO71" i="4" a="1"/>
  <c r="CO71" i="4" s="1"/>
  <c r="CM71" i="4" a="1"/>
  <c r="CM71" i="4" s="1"/>
  <c r="CL71" i="4" a="1"/>
  <c r="CL71" i="4" s="1"/>
  <c r="CU71" i="4" a="1"/>
  <c r="CU71" i="4" s="1"/>
  <c r="CT71" i="4" a="1"/>
  <c r="CT71" i="4" s="1"/>
  <c r="CQ71" i="4" a="1"/>
  <c r="CQ71" i="4" s="1"/>
  <c r="CP71" i="4" a="1"/>
  <c r="CP71" i="4" s="1"/>
  <c r="CS71" i="4" a="1"/>
  <c r="CS71" i="4" s="1"/>
  <c r="CR71" i="4" a="1"/>
  <c r="CR71" i="4" s="1"/>
  <c r="CM119" i="4" a="1"/>
  <c r="CM119" i="4" s="1"/>
  <c r="CO119" i="4" a="1"/>
  <c r="CO119" i="4" s="1"/>
  <c r="CR119" i="4" a="1"/>
  <c r="CR119" i="4" s="1"/>
  <c r="CT119" i="4" a="1"/>
  <c r="CT119" i="4" s="1"/>
  <c r="CP119" i="4" a="1"/>
  <c r="CP119" i="4" s="1"/>
  <c r="CS119" i="4" a="1"/>
  <c r="CS119" i="4" s="1"/>
  <c r="CL119" i="4" a="1"/>
  <c r="CL119" i="4" s="1"/>
  <c r="CN119" i="4" a="1"/>
  <c r="CN119" i="4" s="1"/>
  <c r="CU119" i="4" a="1"/>
  <c r="CU119" i="4" s="1"/>
  <c r="CQ119" i="4" a="1"/>
  <c r="CQ119" i="4" s="1"/>
  <c r="CT85" i="4" a="1"/>
  <c r="CT85" i="4" s="1"/>
  <c r="CU85" i="4" a="1"/>
  <c r="CU85" i="4" s="1"/>
  <c r="CP85" i="4" a="1"/>
  <c r="CP85" i="4" s="1"/>
  <c r="CM85" i="4" a="1"/>
  <c r="CM85" i="4" s="1"/>
  <c r="CR85" i="4" a="1"/>
  <c r="CR85" i="4" s="1"/>
  <c r="CQ85" i="4" a="1"/>
  <c r="CQ85" i="4" s="1"/>
  <c r="CN85" i="4" a="1"/>
  <c r="CN85" i="4" s="1"/>
  <c r="CS85" i="4" a="1"/>
  <c r="CS85" i="4" s="1"/>
  <c r="CL85" i="4" a="1"/>
  <c r="CL85" i="4" s="1"/>
  <c r="CO85" i="4" a="1"/>
  <c r="CO85" i="4" s="1"/>
  <c r="CO65" i="4" a="1"/>
  <c r="CO65" i="4" s="1"/>
  <c r="CR65" i="4" a="1"/>
  <c r="CR65" i="4" s="1"/>
  <c r="CQ65" i="4" a="1"/>
  <c r="CQ65" i="4" s="1"/>
  <c r="CU65" i="4" a="1"/>
  <c r="CU65" i="4" s="1"/>
  <c r="CL65" i="4" a="1"/>
  <c r="CL65" i="4" s="1"/>
  <c r="CT65" i="4" a="1"/>
  <c r="CT65" i="4" s="1"/>
  <c r="CS65" i="4" a="1"/>
  <c r="CS65" i="4" s="1"/>
  <c r="CP65" i="4" a="1"/>
  <c r="CP65" i="4" s="1"/>
  <c r="CN65" i="4" a="1"/>
  <c r="CN65" i="4" s="1"/>
  <c r="CM65" i="4" a="1"/>
  <c r="CM65" i="4" s="1"/>
  <c r="CU110" i="4" a="1"/>
  <c r="CU110" i="4" s="1"/>
  <c r="CO110" i="4" a="1"/>
  <c r="CO110" i="4" s="1"/>
  <c r="CN110" i="4" a="1"/>
  <c r="CN110" i="4" s="1"/>
  <c r="CS110" i="4" a="1"/>
  <c r="CS110" i="4" s="1"/>
  <c r="CT110" i="4" a="1"/>
  <c r="CT110" i="4" s="1"/>
  <c r="CP110" i="4" a="1"/>
  <c r="CP110" i="4" s="1"/>
  <c r="CL110" i="4" a="1"/>
  <c r="CL110" i="4" s="1"/>
  <c r="CQ110" i="4" a="1"/>
  <c r="CQ110" i="4" s="1"/>
  <c r="CM110" i="4" a="1"/>
  <c r="CM110" i="4" s="1"/>
  <c r="CR110" i="4" a="1"/>
  <c r="CR110" i="4" s="1"/>
  <c r="CN98" i="4" a="1"/>
  <c r="CN98" i="4" s="1"/>
  <c r="CT98" i="4" a="1"/>
  <c r="CT98" i="4" s="1"/>
  <c r="CL98" i="4" a="1"/>
  <c r="CL98" i="4" s="1"/>
  <c r="CO98" i="4" a="1"/>
  <c r="CO98" i="4" s="1"/>
  <c r="CR98" i="4" a="1"/>
  <c r="CR98" i="4" s="1"/>
  <c r="CS98" i="4" a="1"/>
  <c r="CS98" i="4" s="1"/>
  <c r="CU98" i="4" a="1"/>
  <c r="CU98" i="4" s="1"/>
  <c r="CM98" i="4" a="1"/>
  <c r="CM98" i="4" s="1"/>
  <c r="CQ98" i="4" a="1"/>
  <c r="CQ98" i="4" s="1"/>
  <c r="CP98" i="4" a="1"/>
  <c r="CP98" i="4" s="1"/>
  <c r="CS83" i="4" a="1"/>
  <c r="CS83" i="4" s="1"/>
  <c r="CN83" i="4" a="1"/>
  <c r="CN83" i="4" s="1"/>
  <c r="CO83" i="4" a="1"/>
  <c r="CO83" i="4" s="1"/>
  <c r="CU83" i="4" a="1"/>
  <c r="CU83" i="4" s="1"/>
  <c r="CP83" i="4" a="1"/>
  <c r="CP83" i="4" s="1"/>
  <c r="CQ83" i="4" a="1"/>
  <c r="CQ83" i="4" s="1"/>
  <c r="CL83" i="4" a="1"/>
  <c r="CL83" i="4" s="1"/>
  <c r="CT83" i="4" a="1"/>
  <c r="CT83" i="4" s="1"/>
  <c r="CR83" i="4" a="1"/>
  <c r="CR83" i="4" s="1"/>
  <c r="CM83" i="4" a="1"/>
  <c r="CM83" i="4" s="1"/>
  <c r="CP49" i="4" a="1"/>
  <c r="CP49" i="4" s="1"/>
  <c r="CL49" i="4" a="1"/>
  <c r="CL49" i="4" s="1"/>
  <c r="CU49" i="4" a="1"/>
  <c r="CU49" i="4" s="1"/>
  <c r="CM49" i="4" a="1"/>
  <c r="CM49" i="4" s="1"/>
  <c r="CT49" i="4" a="1"/>
  <c r="CT49" i="4" s="1"/>
  <c r="CS49" i="4" a="1"/>
  <c r="CS49" i="4" s="1"/>
  <c r="CR49" i="4" a="1"/>
  <c r="CR49" i="4" s="1"/>
  <c r="CQ49" i="4" a="1"/>
  <c r="CQ49" i="4" s="1"/>
  <c r="CO49" i="4" a="1"/>
  <c r="CO49" i="4" s="1"/>
  <c r="CN49" i="4" a="1"/>
  <c r="CN49" i="4" s="1"/>
  <c r="CL69" i="4" a="1"/>
  <c r="CL69" i="4" s="1"/>
  <c r="CO69" i="4" a="1"/>
  <c r="CO69" i="4" s="1"/>
  <c r="CM69" i="4" a="1"/>
  <c r="CM69" i="4" s="1"/>
  <c r="CN69" i="4" a="1"/>
  <c r="CN69" i="4" s="1"/>
  <c r="CS69" i="4" a="1"/>
  <c r="CS69" i="4" s="1"/>
  <c r="CQ69" i="4" a="1"/>
  <c r="CQ69" i="4" s="1"/>
  <c r="CU69" i="4" a="1"/>
  <c r="CU69" i="4" s="1"/>
  <c r="CR69" i="4" a="1"/>
  <c r="CR69" i="4" s="1"/>
  <c r="CT69" i="4" a="1"/>
  <c r="CT69" i="4" s="1"/>
  <c r="CP69" i="4" a="1"/>
  <c r="CP69" i="4" s="1"/>
  <c r="CR58" i="4" a="1"/>
  <c r="CR58" i="4" s="1"/>
  <c r="CO58" i="4" a="1"/>
  <c r="CO58" i="4" s="1"/>
  <c r="CP58" i="4" a="1"/>
  <c r="CP58" i="4" s="1"/>
  <c r="CU58" i="4" a="1"/>
  <c r="CU58" i="4" s="1"/>
  <c r="CT58" i="4" a="1"/>
  <c r="CT58" i="4" s="1"/>
  <c r="CS58" i="4" a="1"/>
  <c r="CS58" i="4" s="1"/>
  <c r="CL58" i="4" a="1"/>
  <c r="CL58" i="4" s="1"/>
  <c r="CQ58" i="4" a="1"/>
  <c r="CQ58" i="4" s="1"/>
  <c r="CN58" i="4" a="1"/>
  <c r="CN58" i="4" s="1"/>
  <c r="CM58" i="4" a="1"/>
  <c r="CM58" i="4" s="1"/>
  <c r="CN54" i="4" a="1"/>
  <c r="CN54" i="4" s="1"/>
  <c r="CQ54" i="4" a="1"/>
  <c r="CQ54" i="4" s="1"/>
  <c r="CL54" i="4" a="1"/>
  <c r="CL54" i="4" s="1"/>
  <c r="CO54" i="4" a="1"/>
  <c r="CO54" i="4" s="1"/>
  <c r="CT54" i="4" a="1"/>
  <c r="CT54" i="4" s="1"/>
  <c r="CR54" i="4" a="1"/>
  <c r="CR54" i="4" s="1"/>
  <c r="CU54" i="4" a="1"/>
  <c r="CU54" i="4" s="1"/>
  <c r="CS54" i="4" a="1"/>
  <c r="CS54" i="4" s="1"/>
  <c r="CP54" i="4" a="1"/>
  <c r="CP54" i="4" s="1"/>
  <c r="CM54" i="4" a="1"/>
  <c r="CM54" i="4" s="1"/>
  <c r="CO57" i="4" a="1"/>
  <c r="CO57" i="4" s="1"/>
  <c r="CM57" i="4" a="1"/>
  <c r="CM57" i="4" s="1"/>
  <c r="CU57" i="4" a="1"/>
  <c r="CU57" i="4" s="1"/>
  <c r="CN57" i="4" a="1"/>
  <c r="CN57" i="4" s="1"/>
  <c r="CR57" i="4" a="1"/>
  <c r="CR57" i="4" s="1"/>
  <c r="CS57" i="4" a="1"/>
  <c r="CS57" i="4" s="1"/>
  <c r="CQ57" i="4" a="1"/>
  <c r="CQ57" i="4" s="1"/>
  <c r="CT57" i="4" a="1"/>
  <c r="CT57" i="4" s="1"/>
  <c r="CP57" i="4" a="1"/>
  <c r="CP57" i="4" s="1"/>
  <c r="CL57" i="4" a="1"/>
  <c r="CL57" i="4" s="1"/>
  <c r="CR102" i="4" a="1"/>
  <c r="CR102" i="4" s="1"/>
  <c r="CO102" i="4" a="1"/>
  <c r="CO102" i="4" s="1"/>
  <c r="CS102" i="4" a="1"/>
  <c r="CS102" i="4" s="1"/>
  <c r="CQ102" i="4" a="1"/>
  <c r="CQ102" i="4" s="1"/>
  <c r="CN102" i="4" a="1"/>
  <c r="CN102" i="4" s="1"/>
  <c r="CT102" i="4" a="1"/>
  <c r="CT102" i="4" s="1"/>
  <c r="CP102" i="4" a="1"/>
  <c r="CP102" i="4" s="1"/>
  <c r="CM102" i="4" a="1"/>
  <c r="CM102" i="4" s="1"/>
  <c r="CL102" i="4" a="1"/>
  <c r="CL102" i="4" s="1"/>
  <c r="CU102" i="4" a="1"/>
  <c r="CU102" i="4" s="1"/>
  <c r="CQ72" i="4" a="1"/>
  <c r="CQ72" i="4" s="1"/>
  <c r="CS72" i="4" a="1"/>
  <c r="CS72" i="4" s="1"/>
  <c r="CM72" i="4" a="1"/>
  <c r="CM72" i="4" s="1"/>
  <c r="CO72" i="4" a="1"/>
  <c r="CO72" i="4" s="1"/>
  <c r="CP72" i="4" a="1"/>
  <c r="CP72" i="4" s="1"/>
  <c r="CR72" i="4" a="1"/>
  <c r="CR72" i="4" s="1"/>
  <c r="CT72" i="4" a="1"/>
  <c r="CT72" i="4" s="1"/>
  <c r="CL72" i="4" a="1"/>
  <c r="CL72" i="4" s="1"/>
  <c r="CU72" i="4" a="1"/>
  <c r="CU72" i="4" s="1"/>
  <c r="CN72" i="4" a="1"/>
  <c r="CN72" i="4" s="1"/>
  <c r="CP67" i="4" a="1"/>
  <c r="CP67" i="4" s="1"/>
  <c r="CU67" i="4" a="1"/>
  <c r="CU67" i="4" s="1"/>
  <c r="CQ67" i="4" a="1"/>
  <c r="CQ67" i="4" s="1"/>
  <c r="CN67" i="4" a="1"/>
  <c r="CN67" i="4" s="1"/>
  <c r="CO67" i="4" a="1"/>
  <c r="CO67" i="4" s="1"/>
  <c r="CR67" i="4" a="1"/>
  <c r="CR67" i="4" s="1"/>
  <c r="CS67" i="4" a="1"/>
  <c r="CS67" i="4" s="1"/>
  <c r="CL67" i="4" a="1"/>
  <c r="CL67" i="4" s="1"/>
  <c r="CT67" i="4" a="1"/>
  <c r="CT67" i="4" s="1"/>
  <c r="CM67" i="4" a="1"/>
  <c r="CM67" i="4" s="1"/>
  <c r="CU75" i="4" a="1"/>
  <c r="CU75" i="4" s="1"/>
  <c r="CL75" i="4" a="1"/>
  <c r="CL75" i="4" s="1"/>
  <c r="CQ75" i="4" a="1"/>
  <c r="CQ75" i="4" s="1"/>
  <c r="CM75" i="4" a="1"/>
  <c r="CM75" i="4" s="1"/>
  <c r="CS75" i="4" a="1"/>
  <c r="CS75" i="4" s="1"/>
  <c r="CN75" i="4" a="1"/>
  <c r="CN75" i="4" s="1"/>
  <c r="CT75" i="4" a="1"/>
  <c r="CT75" i="4" s="1"/>
  <c r="CR75" i="4" a="1"/>
  <c r="CR75" i="4" s="1"/>
  <c r="CO75" i="4" a="1"/>
  <c r="CO75" i="4" s="1"/>
  <c r="CP75" i="4" a="1"/>
  <c r="CP75" i="4" s="1"/>
  <c r="CQ77" i="4" a="1"/>
  <c r="CQ77" i="4" s="1"/>
  <c r="CP77" i="4" a="1"/>
  <c r="CP77" i="4" s="1"/>
  <c r="CU77" i="4" a="1"/>
  <c r="CU77" i="4" s="1"/>
  <c r="CT77" i="4" a="1"/>
  <c r="CT77" i="4" s="1"/>
  <c r="CM77" i="4" a="1"/>
  <c r="CM77" i="4" s="1"/>
  <c r="CR77" i="4" a="1"/>
  <c r="CR77" i="4" s="1"/>
  <c r="CN77" i="4" a="1"/>
  <c r="CN77" i="4" s="1"/>
  <c r="CO77" i="4" a="1"/>
  <c r="CO77" i="4" s="1"/>
  <c r="CL77" i="4" a="1"/>
  <c r="CL77" i="4" s="1"/>
  <c r="CS77" i="4" a="1"/>
  <c r="CS77" i="4" s="1"/>
  <c r="CR84" i="4" a="1"/>
  <c r="CR84" i="4" s="1"/>
  <c r="CS84" i="4" a="1"/>
  <c r="CS84" i="4" s="1"/>
  <c r="CN84" i="4" a="1"/>
  <c r="CN84" i="4" s="1"/>
  <c r="CP84" i="4" a="1"/>
  <c r="CP84" i="4" s="1"/>
  <c r="CQ84" i="4" a="1"/>
  <c r="CQ84" i="4" s="1"/>
  <c r="CM84" i="4" a="1"/>
  <c r="CM84" i="4" s="1"/>
  <c r="CO84" i="4" a="1"/>
  <c r="CO84" i="4" s="1"/>
  <c r="CT84" i="4" a="1"/>
  <c r="CT84" i="4" s="1"/>
  <c r="CU84" i="4" a="1"/>
  <c r="CU84" i="4" s="1"/>
  <c r="CL84" i="4" a="1"/>
  <c r="CL84" i="4" s="1"/>
  <c r="CS62" i="4" a="1"/>
  <c r="CS62" i="4" s="1"/>
  <c r="CQ62" i="4" a="1"/>
  <c r="CQ62" i="4" s="1"/>
  <c r="CM62" i="4" a="1"/>
  <c r="CM62" i="4" s="1"/>
  <c r="CN62" i="4" a="1"/>
  <c r="CN62" i="4" s="1"/>
  <c r="CL62" i="4" a="1"/>
  <c r="CL62" i="4" s="1"/>
  <c r="CU62" i="4" a="1"/>
  <c r="CU62" i="4" s="1"/>
  <c r="CT62" i="4" a="1"/>
  <c r="CT62" i="4" s="1"/>
  <c r="CR62" i="4" a="1"/>
  <c r="CR62" i="4" s="1"/>
  <c r="CO62" i="4" a="1"/>
  <c r="CO62" i="4" s="1"/>
  <c r="CP62" i="4" a="1"/>
  <c r="CP62" i="4" s="1"/>
  <c r="CL99" i="4" a="1"/>
  <c r="CL99" i="4" s="1"/>
  <c r="CR99" i="4" a="1"/>
  <c r="CR99" i="4" s="1"/>
  <c r="CU99" i="4" a="1"/>
  <c r="CU99" i="4" s="1"/>
  <c r="CM99" i="4" a="1"/>
  <c r="CM99" i="4" s="1"/>
  <c r="CS99" i="4" a="1"/>
  <c r="CS99" i="4" s="1"/>
  <c r="CO99" i="4" a="1"/>
  <c r="CO99" i="4" s="1"/>
  <c r="CN99" i="4" a="1"/>
  <c r="CN99" i="4" s="1"/>
  <c r="CP99" i="4" a="1"/>
  <c r="CP99" i="4" s="1"/>
  <c r="CT99" i="4" a="1"/>
  <c r="CT99" i="4" s="1"/>
  <c r="CQ99" i="4" a="1"/>
  <c r="CQ99" i="4" s="1"/>
  <c r="CL60" i="4" a="1"/>
  <c r="CL60" i="4" s="1"/>
  <c r="CQ60" i="4" a="1"/>
  <c r="CQ60" i="4" s="1"/>
  <c r="CM60" i="4" a="1"/>
  <c r="CM60" i="4" s="1"/>
  <c r="CT60" i="4" a="1"/>
  <c r="CT60" i="4" s="1"/>
  <c r="CU60" i="4" a="1"/>
  <c r="CU60" i="4" s="1"/>
  <c r="CR60" i="4" a="1"/>
  <c r="CR60" i="4" s="1"/>
  <c r="CO60" i="4" a="1"/>
  <c r="CO60" i="4" s="1"/>
  <c r="CP60" i="4" a="1"/>
  <c r="CP60" i="4" s="1"/>
  <c r="CN60" i="4" a="1"/>
  <c r="CN60" i="4" s="1"/>
  <c r="CS60" i="4" a="1"/>
  <c r="CS60" i="4" s="1"/>
  <c r="CL95" i="4" a="1"/>
  <c r="CL95" i="4" s="1"/>
  <c r="CR95" i="4" a="1"/>
  <c r="CR95" i="4" s="1"/>
  <c r="CS95" i="4" a="1"/>
  <c r="CS95" i="4" s="1"/>
  <c r="CN95" i="4" a="1"/>
  <c r="CN95" i="4" s="1"/>
  <c r="CO95" i="4" a="1"/>
  <c r="CO95" i="4" s="1"/>
  <c r="CM95" i="4" a="1"/>
  <c r="CM95" i="4" s="1"/>
  <c r="CQ95" i="4" a="1"/>
  <c r="CQ95" i="4" s="1"/>
  <c r="CT95" i="4" a="1"/>
  <c r="CT95" i="4" s="1"/>
  <c r="CP95" i="4" a="1"/>
  <c r="CP95" i="4" s="1"/>
  <c r="CU95" i="4" a="1"/>
  <c r="CU95" i="4" s="1"/>
  <c r="CQ73" i="4" a="1"/>
  <c r="CQ73" i="4" s="1"/>
  <c r="CT73" i="4" a="1"/>
  <c r="CT73" i="4" s="1"/>
  <c r="CN73" i="4" a="1"/>
  <c r="CN73" i="4" s="1"/>
  <c r="CM73" i="4" a="1"/>
  <c r="CM73" i="4" s="1"/>
  <c r="CL73" i="4" a="1"/>
  <c r="CL73" i="4" s="1"/>
  <c r="CO73" i="4" a="1"/>
  <c r="CO73" i="4" s="1"/>
  <c r="CP73" i="4" a="1"/>
  <c r="CP73" i="4" s="1"/>
  <c r="CS73" i="4" a="1"/>
  <c r="CS73" i="4" s="1"/>
  <c r="CR73" i="4" a="1"/>
  <c r="CR73" i="4" s="1"/>
  <c r="CU73" i="4" a="1"/>
  <c r="CU73" i="4" s="1"/>
  <c r="CR93" i="4" a="1"/>
  <c r="CR93" i="4" s="1"/>
  <c r="CU93" i="4" a="1"/>
  <c r="CU93" i="4" s="1"/>
  <c r="CQ93" i="4" a="1"/>
  <c r="CQ93" i="4" s="1"/>
  <c r="CT93" i="4" a="1"/>
  <c r="CT93" i="4" s="1"/>
  <c r="CP93" i="4" a="1"/>
  <c r="CP93" i="4" s="1"/>
  <c r="CM93" i="4" a="1"/>
  <c r="CM93" i="4" s="1"/>
  <c r="CS93" i="4" a="1"/>
  <c r="CS93" i="4" s="1"/>
  <c r="CO93" i="4" a="1"/>
  <c r="CO93" i="4" s="1"/>
  <c r="CN93" i="4" a="1"/>
  <c r="CN93" i="4" s="1"/>
  <c r="CL93" i="4" a="1"/>
  <c r="CL93" i="4" s="1"/>
  <c r="CR100" i="4" a="1"/>
  <c r="CR100" i="4" s="1"/>
  <c r="CL100" i="4" a="1"/>
  <c r="CL100" i="4" s="1"/>
  <c r="CN100" i="4" a="1"/>
  <c r="CN100" i="4" s="1"/>
  <c r="CM100" i="4" a="1"/>
  <c r="CM100" i="4" s="1"/>
  <c r="CT100" i="4" a="1"/>
  <c r="CT100" i="4" s="1"/>
  <c r="CS100" i="4" a="1"/>
  <c r="CS100" i="4" s="1"/>
  <c r="CU100" i="4" a="1"/>
  <c r="CU100" i="4" s="1"/>
  <c r="CQ100" i="4" a="1"/>
  <c r="CQ100" i="4" s="1"/>
  <c r="CO100" i="4" a="1"/>
  <c r="CO100" i="4" s="1"/>
  <c r="CP100" i="4" a="1"/>
  <c r="CP100" i="4" s="1"/>
  <c r="CR81" i="4" a="1"/>
  <c r="CR81" i="4" s="1"/>
  <c r="CL81" i="4" a="1"/>
  <c r="CL81" i="4" s="1"/>
  <c r="CN81" i="4" a="1"/>
  <c r="CN81" i="4" s="1"/>
  <c r="CS81" i="4" a="1"/>
  <c r="CS81" i="4" s="1"/>
  <c r="CM81" i="4" a="1"/>
  <c r="CM81" i="4" s="1"/>
  <c r="CQ81" i="4" a="1"/>
  <c r="CQ81" i="4" s="1"/>
  <c r="CT81" i="4" a="1"/>
  <c r="CT81" i="4" s="1"/>
  <c r="CU81" i="4" a="1"/>
  <c r="CU81" i="4" s="1"/>
  <c r="CP81" i="4" a="1"/>
  <c r="CP81" i="4" s="1"/>
  <c r="CO81" i="4" a="1"/>
  <c r="CO81" i="4" s="1"/>
  <c r="CQ59" i="4" a="1"/>
  <c r="CQ59" i="4" s="1"/>
  <c r="CS59" i="4" a="1"/>
  <c r="CS59" i="4" s="1"/>
  <c r="CM59" i="4" a="1"/>
  <c r="CM59" i="4" s="1"/>
  <c r="CO59" i="4" a="1"/>
  <c r="CO59" i="4" s="1"/>
  <c r="CT59" i="4" a="1"/>
  <c r="CT59" i="4" s="1"/>
  <c r="CL59" i="4" a="1"/>
  <c r="CL59" i="4" s="1"/>
  <c r="CU59" i="4" a="1"/>
  <c r="CU59" i="4" s="1"/>
  <c r="CP59" i="4" a="1"/>
  <c r="CP59" i="4" s="1"/>
  <c r="CR59" i="4" a="1"/>
  <c r="CR59" i="4" s="1"/>
  <c r="CN59" i="4" a="1"/>
  <c r="CN59" i="4" s="1"/>
  <c r="CM52" i="4" a="1"/>
  <c r="CM52" i="4" s="1"/>
  <c r="CP52" i="4" a="1"/>
  <c r="CP52" i="4" s="1"/>
  <c r="CR52" i="4" a="1"/>
  <c r="CR52" i="4" s="1"/>
  <c r="CU52" i="4" a="1"/>
  <c r="CU52" i="4" s="1"/>
  <c r="CN52" i="4" a="1"/>
  <c r="CN52" i="4" s="1"/>
  <c r="CL52" i="4" a="1"/>
  <c r="CL52" i="4" s="1"/>
  <c r="CQ52" i="4" a="1"/>
  <c r="CQ52" i="4" s="1"/>
  <c r="CO52" i="4" a="1"/>
  <c r="CO52" i="4" s="1"/>
  <c r="CS52" i="4" a="1"/>
  <c r="CS52" i="4" s="1"/>
  <c r="CT52" i="4" a="1"/>
  <c r="CT52" i="4" s="1"/>
  <c r="CR101" i="4" a="1"/>
  <c r="CR101" i="4" s="1"/>
  <c r="CT101" i="4" a="1"/>
  <c r="CT101" i="4" s="1"/>
  <c r="CL101" i="4" a="1"/>
  <c r="CL101" i="4" s="1"/>
  <c r="CP101" i="4" a="1"/>
  <c r="CP101" i="4" s="1"/>
  <c r="CN101" i="4" a="1"/>
  <c r="CN101" i="4" s="1"/>
  <c r="CQ101" i="4" a="1"/>
  <c r="CQ101" i="4" s="1"/>
  <c r="CS101" i="4" a="1"/>
  <c r="CS101" i="4" s="1"/>
  <c r="CO101" i="4" a="1"/>
  <c r="CO101" i="4" s="1"/>
  <c r="CU101" i="4" a="1"/>
  <c r="CU101" i="4" s="1"/>
  <c r="CM101" i="4" a="1"/>
  <c r="CM101" i="4" s="1"/>
  <c r="CO109" i="4" a="1"/>
  <c r="CO109" i="4" s="1"/>
  <c r="CT109" i="4" a="1"/>
  <c r="CT109" i="4" s="1"/>
  <c r="CP109" i="4" a="1"/>
  <c r="CP109" i="4" s="1"/>
  <c r="CL109" i="4" a="1"/>
  <c r="CL109" i="4" s="1"/>
  <c r="CS109" i="4" a="1"/>
  <c r="CS109" i="4" s="1"/>
  <c r="CM109" i="4" a="1"/>
  <c r="CM109" i="4" s="1"/>
  <c r="CN109" i="4" a="1"/>
  <c r="CN109" i="4" s="1"/>
  <c r="CQ109" i="4" a="1"/>
  <c r="CQ109" i="4" s="1"/>
  <c r="CR109" i="4" a="1"/>
  <c r="CR109" i="4" s="1"/>
  <c r="CU109" i="4" a="1"/>
  <c r="CU109" i="4" s="1"/>
  <c r="CN64" i="4" a="1"/>
  <c r="CN64" i="4" s="1"/>
  <c r="CT64" i="4" a="1"/>
  <c r="CT64" i="4" s="1"/>
  <c r="CM64" i="4" a="1"/>
  <c r="CM64" i="4" s="1"/>
  <c r="CQ64" i="4" a="1"/>
  <c r="CQ64" i="4" s="1"/>
  <c r="CL64" i="4" a="1"/>
  <c r="CL64" i="4" s="1"/>
  <c r="CU64" i="4" a="1"/>
  <c r="CU64" i="4" s="1"/>
  <c r="CO64" i="4" a="1"/>
  <c r="CO64" i="4" s="1"/>
  <c r="CR64" i="4" a="1"/>
  <c r="CR64" i="4" s="1"/>
  <c r="CS64" i="4" a="1"/>
  <c r="CS64" i="4" s="1"/>
  <c r="CP64" i="4" a="1"/>
  <c r="CP64" i="4" s="1"/>
  <c r="CR104" i="4" a="1"/>
  <c r="CR104" i="4" s="1"/>
  <c r="CT104" i="4" a="1"/>
  <c r="CT104" i="4" s="1"/>
  <c r="CS104" i="4" a="1"/>
  <c r="CS104" i="4" s="1"/>
  <c r="CN104" i="4" a="1"/>
  <c r="CN104" i="4" s="1"/>
  <c r="CP104" i="4" a="1"/>
  <c r="CP104" i="4" s="1"/>
  <c r="CU104" i="4" a="1"/>
  <c r="CU104" i="4" s="1"/>
  <c r="CQ104" i="4" a="1"/>
  <c r="CQ104" i="4" s="1"/>
  <c r="CO104" i="4" a="1"/>
  <c r="CO104" i="4" s="1"/>
  <c r="CM104" i="4" a="1"/>
  <c r="CM104" i="4" s="1"/>
  <c r="CL104" i="4" a="1"/>
  <c r="CL104" i="4" s="1"/>
  <c r="CQ94" i="4" a="1"/>
  <c r="CQ94" i="4" s="1"/>
  <c r="CS94" i="4" a="1"/>
  <c r="CS94" i="4" s="1"/>
  <c r="CP94" i="4" a="1"/>
  <c r="CP94" i="4" s="1"/>
  <c r="CU94" i="4" a="1"/>
  <c r="CU94" i="4" s="1"/>
  <c r="CR94" i="4" a="1"/>
  <c r="CR94" i="4" s="1"/>
  <c r="CM94" i="4" a="1"/>
  <c r="CM94" i="4" s="1"/>
  <c r="CO94" i="4" a="1"/>
  <c r="CO94" i="4" s="1"/>
  <c r="CL94" i="4" a="1"/>
  <c r="CL94" i="4" s="1"/>
  <c r="CN94" i="4" a="1"/>
  <c r="CN94" i="4" s="1"/>
  <c r="CT94" i="4" a="1"/>
  <c r="CT94" i="4" s="1"/>
  <c r="CR111" i="4" a="1"/>
  <c r="CR111" i="4" s="1"/>
  <c r="CN111" i="4" a="1"/>
  <c r="CN111" i="4" s="1"/>
  <c r="CQ111" i="4" a="1"/>
  <c r="CQ111" i="4" s="1"/>
  <c r="CM111" i="4" a="1"/>
  <c r="CM111" i="4" s="1"/>
  <c r="CT111" i="4" a="1"/>
  <c r="CT111" i="4" s="1"/>
  <c r="CU111" i="4" a="1"/>
  <c r="CU111" i="4" s="1"/>
  <c r="CS111" i="4" a="1"/>
  <c r="CS111" i="4" s="1"/>
  <c r="CO111" i="4" a="1"/>
  <c r="CO111" i="4" s="1"/>
  <c r="CL111" i="4" a="1"/>
  <c r="CL111" i="4" s="1"/>
  <c r="CP111" i="4" a="1"/>
  <c r="CP111" i="4" s="1"/>
  <c r="CS51" i="4" a="1"/>
  <c r="CS51" i="4" s="1"/>
  <c r="CL51" i="4" a="1"/>
  <c r="CL51" i="4" s="1"/>
  <c r="CQ51" i="4" a="1"/>
  <c r="CQ51" i="4" s="1"/>
  <c r="CM51" i="4" a="1"/>
  <c r="CM51" i="4" s="1"/>
  <c r="CO51" i="4" a="1"/>
  <c r="CO51" i="4" s="1"/>
  <c r="CP51" i="4" a="1"/>
  <c r="CP51" i="4" s="1"/>
  <c r="CT51" i="4" a="1"/>
  <c r="CT51" i="4" s="1"/>
  <c r="CU51" i="4" a="1"/>
  <c r="CU51" i="4" s="1"/>
  <c r="CN51" i="4" a="1"/>
  <c r="CN51" i="4" s="1"/>
  <c r="CR51" i="4" a="1"/>
  <c r="CR51" i="4" s="1"/>
  <c r="CR89" i="4" a="1"/>
  <c r="CR89" i="4" s="1"/>
  <c r="CT89" i="4" a="1"/>
  <c r="CT89" i="4" s="1"/>
  <c r="CL89" i="4" a="1"/>
  <c r="CL89" i="4" s="1"/>
  <c r="CU89" i="4" a="1"/>
  <c r="CU89" i="4" s="1"/>
  <c r="CP89" i="4" a="1"/>
  <c r="CP89" i="4" s="1"/>
  <c r="CQ89" i="4" a="1"/>
  <c r="CQ89" i="4" s="1"/>
  <c r="CM89" i="4" a="1"/>
  <c r="CM89" i="4" s="1"/>
  <c r="CN89" i="4" a="1"/>
  <c r="CN89" i="4" s="1"/>
  <c r="CO89" i="4" a="1"/>
  <c r="CO89" i="4" s="1"/>
  <c r="CS89" i="4" a="1"/>
  <c r="CS89" i="4" s="1"/>
  <c r="CL82" i="4" a="1"/>
  <c r="CL82" i="4" s="1"/>
  <c r="CN82" i="4" a="1"/>
  <c r="CN82" i="4" s="1"/>
  <c r="CT82" i="4" a="1"/>
  <c r="CT82" i="4" s="1"/>
  <c r="CP82" i="4" a="1"/>
  <c r="CP82" i="4" s="1"/>
  <c r="CM82" i="4" a="1"/>
  <c r="CM82" i="4" s="1"/>
  <c r="CS82" i="4" a="1"/>
  <c r="CS82" i="4" s="1"/>
  <c r="CO82" i="4" a="1"/>
  <c r="CO82" i="4" s="1"/>
  <c r="CU82" i="4" a="1"/>
  <c r="CU82" i="4" s="1"/>
  <c r="CR82" i="4" a="1"/>
  <c r="CR82" i="4" s="1"/>
  <c r="CQ82" i="4" a="1"/>
  <c r="CQ82" i="4" s="1"/>
  <c r="CQ90" i="4" a="1"/>
  <c r="CQ90" i="4" s="1"/>
  <c r="CO90" i="4" a="1"/>
  <c r="CO90" i="4" s="1"/>
  <c r="CP90" i="4" a="1"/>
  <c r="CP90" i="4" s="1"/>
  <c r="CN90" i="4" a="1"/>
  <c r="CN90" i="4" s="1"/>
  <c r="CS90" i="4" a="1"/>
  <c r="CS90" i="4" s="1"/>
  <c r="CR90" i="4" a="1"/>
  <c r="CR90" i="4" s="1"/>
  <c r="CT90" i="4" a="1"/>
  <c r="CT90" i="4" s="1"/>
  <c r="CL90" i="4" a="1"/>
  <c r="CL90" i="4" s="1"/>
  <c r="CM90" i="4" a="1"/>
  <c r="CM90" i="4" s="1"/>
  <c r="CU90" i="4" a="1"/>
  <c r="CU90" i="4" s="1"/>
  <c r="CT117" i="4" a="1"/>
  <c r="CT117" i="4" s="1"/>
  <c r="CO117" i="4" a="1"/>
  <c r="CO117" i="4" s="1"/>
  <c r="CQ117" i="4" a="1"/>
  <c r="CQ117" i="4" s="1"/>
  <c r="CR117" i="4" a="1"/>
  <c r="CR117" i="4" s="1"/>
  <c r="CN117" i="4" a="1"/>
  <c r="CN117" i="4" s="1"/>
  <c r="CL117" i="4" a="1"/>
  <c r="CL117" i="4" s="1"/>
  <c r="CS117" i="4" a="1"/>
  <c r="CS117" i="4" s="1"/>
  <c r="CU117" i="4" a="1"/>
  <c r="CU117" i="4" s="1"/>
  <c r="CM117" i="4" a="1"/>
  <c r="CM117" i="4" s="1"/>
  <c r="CP117" i="4" a="1"/>
  <c r="CP117" i="4" s="1"/>
  <c r="CN96" i="4" a="1"/>
  <c r="CN96" i="4" s="1"/>
  <c r="CL96" i="4" a="1"/>
  <c r="CL96" i="4" s="1"/>
  <c r="CU96" i="4" a="1"/>
  <c r="CU96" i="4" s="1"/>
  <c r="CT96" i="4" a="1"/>
  <c r="CT96" i="4" s="1"/>
  <c r="CP96" i="4" a="1"/>
  <c r="CP96" i="4" s="1"/>
  <c r="CM96" i="4" a="1"/>
  <c r="CM96" i="4" s="1"/>
  <c r="CQ96" i="4" a="1"/>
  <c r="CQ96" i="4" s="1"/>
  <c r="CR96" i="4" a="1"/>
  <c r="CR96" i="4" s="1"/>
  <c r="CO96" i="4" a="1"/>
  <c r="CO96" i="4" s="1"/>
  <c r="CS96" i="4" a="1"/>
  <c r="CS96" i="4" s="1"/>
  <c r="CR86" i="4" a="1"/>
  <c r="CR86" i="4" s="1"/>
  <c r="CP86" i="4" a="1"/>
  <c r="CP86" i="4" s="1"/>
  <c r="CU86" i="4" a="1"/>
  <c r="CU86" i="4" s="1"/>
  <c r="CQ86" i="4" a="1"/>
  <c r="CQ86" i="4" s="1"/>
  <c r="CO86" i="4" a="1"/>
  <c r="CO86" i="4" s="1"/>
  <c r="CT86" i="4" a="1"/>
  <c r="CT86" i="4" s="1"/>
  <c r="CN86" i="4" a="1"/>
  <c r="CN86" i="4" s="1"/>
  <c r="CL86" i="4" a="1"/>
  <c r="CL86" i="4" s="1"/>
  <c r="CS86" i="4" a="1"/>
  <c r="CS86" i="4" s="1"/>
  <c r="CM86" i="4" a="1"/>
  <c r="CM86" i="4" s="1"/>
  <c r="CO113" i="4" a="1"/>
  <c r="CO113" i="4" s="1"/>
  <c r="CT113" i="4" a="1"/>
  <c r="CT113" i="4" s="1"/>
  <c r="CM113" i="4" a="1"/>
  <c r="CM113" i="4" s="1"/>
  <c r="CN113" i="4" a="1"/>
  <c r="CN113" i="4" s="1"/>
  <c r="CU113" i="4" a="1"/>
  <c r="CU113" i="4" s="1"/>
  <c r="CP113" i="4" a="1"/>
  <c r="CP113" i="4" s="1"/>
  <c r="CL113" i="4" a="1"/>
  <c r="CL113" i="4" s="1"/>
  <c r="CQ113" i="4" a="1"/>
  <c r="CQ113" i="4" s="1"/>
  <c r="CR113" i="4" a="1"/>
  <c r="CR113" i="4" s="1"/>
  <c r="CS113" i="4" a="1"/>
  <c r="CS113" i="4" s="1"/>
  <c r="CU55" i="4" a="1"/>
  <c r="CU55" i="4" s="1"/>
  <c r="CN55" i="4" a="1"/>
  <c r="CN55" i="4" s="1"/>
  <c r="CR55" i="4" a="1"/>
  <c r="CR55" i="4" s="1"/>
  <c r="CP55" i="4" a="1"/>
  <c r="CP55" i="4" s="1"/>
  <c r="CQ55" i="4" a="1"/>
  <c r="CQ55" i="4" s="1"/>
  <c r="CL55" i="4" a="1"/>
  <c r="CL55" i="4" s="1"/>
  <c r="CO55" i="4" a="1"/>
  <c r="CO55" i="4" s="1"/>
  <c r="CT55" i="4" a="1"/>
  <c r="CT55" i="4" s="1"/>
  <c r="CM55" i="4" a="1"/>
  <c r="CM55" i="4" s="1"/>
  <c r="CS55" i="4" a="1"/>
  <c r="CS55" i="4" s="1"/>
  <c r="CR70" i="4" a="1"/>
  <c r="CR70" i="4" s="1"/>
  <c r="CM70" i="4" a="1"/>
  <c r="CM70" i="4" s="1"/>
  <c r="CT70" i="4" a="1"/>
  <c r="CT70" i="4" s="1"/>
  <c r="CP70" i="4" a="1"/>
  <c r="CP70" i="4" s="1"/>
  <c r="CS70" i="4" a="1"/>
  <c r="CS70" i="4" s="1"/>
  <c r="CU70" i="4" a="1"/>
  <c r="CU70" i="4" s="1"/>
  <c r="CL70" i="4" a="1"/>
  <c r="CL70" i="4" s="1"/>
  <c r="CO70" i="4" a="1"/>
  <c r="CO70" i="4" s="1"/>
  <c r="CN70" i="4" a="1"/>
  <c r="CN70" i="4" s="1"/>
  <c r="CQ70" i="4" a="1"/>
  <c r="CQ70" i="4" s="1"/>
  <c r="CL50" i="4" a="1"/>
  <c r="CL50" i="4" s="1"/>
  <c r="CO50" i="4" a="1"/>
  <c r="CO50" i="4" s="1"/>
  <c r="CR50" i="4" a="1"/>
  <c r="CR50" i="4" s="1"/>
  <c r="CS50" i="4" a="1"/>
  <c r="CS50" i="4" s="1"/>
  <c r="CU50" i="4" a="1"/>
  <c r="CU50" i="4" s="1"/>
  <c r="CM50" i="4" a="1"/>
  <c r="CM50" i="4" s="1"/>
  <c r="CN50" i="4" a="1"/>
  <c r="CN50" i="4" s="1"/>
  <c r="CQ50" i="4" a="1"/>
  <c r="CQ50" i="4" s="1"/>
  <c r="CT50" i="4" a="1"/>
  <c r="CT50" i="4" s="1"/>
  <c r="CP50" i="4" a="1"/>
  <c r="CP50" i="4" s="1"/>
  <c r="CQ79" i="4" a="1"/>
  <c r="CQ79" i="4" s="1"/>
  <c r="CL79" i="4" a="1"/>
  <c r="CL79" i="4" s="1"/>
  <c r="CP79" i="4" a="1"/>
  <c r="CP79" i="4" s="1"/>
  <c r="CO79" i="4" a="1"/>
  <c r="CO79" i="4" s="1"/>
  <c r="CS79" i="4" a="1"/>
  <c r="CS79" i="4" s="1"/>
  <c r="CR79" i="4" a="1"/>
  <c r="CR79" i="4" s="1"/>
  <c r="CM79" i="4" a="1"/>
  <c r="CM79" i="4" s="1"/>
  <c r="CU79" i="4" a="1"/>
  <c r="CU79" i="4" s="1"/>
  <c r="CN79" i="4" a="1"/>
  <c r="CN79" i="4" s="1"/>
  <c r="CT79" i="4" a="1"/>
  <c r="CT79" i="4" s="1"/>
  <c r="CM56" i="4" a="1"/>
  <c r="CM56" i="4" s="1"/>
  <c r="CN56" i="4" a="1"/>
  <c r="CN56" i="4" s="1"/>
  <c r="CP56" i="4" a="1"/>
  <c r="CP56" i="4" s="1"/>
  <c r="CO56" i="4" a="1"/>
  <c r="CO56" i="4" s="1"/>
  <c r="CL56" i="4" a="1"/>
  <c r="CL56" i="4" s="1"/>
  <c r="CR56" i="4" a="1"/>
  <c r="CR56" i="4" s="1"/>
  <c r="CQ56" i="4" a="1"/>
  <c r="CQ56" i="4" s="1"/>
  <c r="CT56" i="4" a="1"/>
  <c r="CT56" i="4" s="1"/>
  <c r="CU56" i="4" a="1"/>
  <c r="CU56" i="4" s="1"/>
  <c r="CS56" i="4" a="1"/>
  <c r="CS56" i="4" s="1"/>
  <c r="CL97" i="4" a="1"/>
  <c r="CL97" i="4" s="1"/>
  <c r="CS97" i="4" a="1"/>
  <c r="CS97" i="4" s="1"/>
  <c r="CU97" i="4" a="1"/>
  <c r="CU97" i="4" s="1"/>
  <c r="CQ97" i="4" a="1"/>
  <c r="CQ97" i="4" s="1"/>
  <c r="CN97" i="4" a="1"/>
  <c r="CN97" i="4" s="1"/>
  <c r="CP97" i="4" a="1"/>
  <c r="CP97" i="4" s="1"/>
  <c r="CR97" i="4" a="1"/>
  <c r="CR97" i="4" s="1"/>
  <c r="CM97" i="4" a="1"/>
  <c r="CM97" i="4" s="1"/>
  <c r="CO97" i="4" a="1"/>
  <c r="CO97" i="4" s="1"/>
  <c r="CT97" i="4" a="1"/>
  <c r="CT97" i="4" s="1"/>
  <c r="CU107" i="4" a="1"/>
  <c r="CU107" i="4" s="1"/>
  <c r="CS107" i="4" a="1"/>
  <c r="CS107" i="4" s="1"/>
  <c r="CM107" i="4" a="1"/>
  <c r="CM107" i="4" s="1"/>
  <c r="CO107" i="4" a="1"/>
  <c r="CO107" i="4" s="1"/>
  <c r="CL107" i="4" a="1"/>
  <c r="CL107" i="4" s="1"/>
  <c r="CN107" i="4" a="1"/>
  <c r="CN107" i="4" s="1"/>
  <c r="CT107" i="4" a="1"/>
  <c r="CT107" i="4" s="1"/>
  <c r="CP107" i="4" a="1"/>
  <c r="CP107" i="4" s="1"/>
  <c r="CR107" i="4" a="1"/>
  <c r="CR107" i="4" s="1"/>
  <c r="CQ107" i="4" a="1"/>
  <c r="CQ107" i="4" s="1"/>
  <c r="CM48" i="4" a="1"/>
  <c r="CM48" i="4" s="1"/>
  <c r="CU48" i="4" a="1"/>
  <c r="CU48" i="4" s="1"/>
  <c r="CR48" i="4" a="1"/>
  <c r="CR48" i="4" s="1"/>
  <c r="CP48" i="4" a="1"/>
  <c r="CP48" i="4" s="1"/>
  <c r="CL48" i="4" a="1"/>
  <c r="CL48" i="4" s="1"/>
  <c r="CO48" i="4" a="1"/>
  <c r="CO48" i="4" s="1"/>
  <c r="CQ48" i="4" a="1"/>
  <c r="CQ48" i="4" s="1"/>
  <c r="CN48" i="4" a="1"/>
  <c r="CN48" i="4" s="1"/>
  <c r="CS48" i="4" a="1"/>
  <c r="CS48" i="4" s="1"/>
  <c r="CT48" i="4" a="1"/>
  <c r="CT48" i="4" s="1"/>
  <c r="CU61" i="4" a="1"/>
  <c r="CU61" i="4" s="1"/>
  <c r="CN61" i="4" a="1"/>
  <c r="CN61" i="4" s="1"/>
  <c r="CS61" i="4" a="1"/>
  <c r="CS61" i="4" s="1"/>
  <c r="CT61" i="4" a="1"/>
  <c r="CT61" i="4" s="1"/>
  <c r="CQ61" i="4" a="1"/>
  <c r="CQ61" i="4" s="1"/>
  <c r="CM61" i="4" a="1"/>
  <c r="CM61" i="4" s="1"/>
  <c r="CL61" i="4" a="1"/>
  <c r="CL61" i="4" s="1"/>
  <c r="CR61" i="4" a="1"/>
  <c r="CR61" i="4" s="1"/>
  <c r="CP61" i="4" a="1"/>
  <c r="CP61" i="4" s="1"/>
  <c r="CO61" i="4" a="1"/>
  <c r="CO61" i="4" s="1"/>
  <c r="CP74" i="4" a="1"/>
  <c r="CP74" i="4" s="1"/>
  <c r="CQ74" i="4" a="1"/>
  <c r="CQ74" i="4" s="1"/>
  <c r="CT74" i="4" a="1"/>
  <c r="CT74" i="4" s="1"/>
  <c r="CR74" i="4" a="1"/>
  <c r="CR74" i="4" s="1"/>
  <c r="CL74" i="4" a="1"/>
  <c r="CL74" i="4" s="1"/>
  <c r="CO74" i="4" a="1"/>
  <c r="CO74" i="4" s="1"/>
  <c r="CU74" i="4" a="1"/>
  <c r="CU74" i="4" s="1"/>
  <c r="CM74" i="4" a="1"/>
  <c r="CM74" i="4" s="1"/>
  <c r="CS74" i="4" a="1"/>
  <c r="CS74" i="4" s="1"/>
  <c r="CN74" i="4" a="1"/>
  <c r="CN74" i="4" s="1"/>
  <c r="CO92" i="4" a="1"/>
  <c r="CO92" i="4" s="1"/>
  <c r="CR92" i="4" a="1"/>
  <c r="CR92" i="4" s="1"/>
  <c r="CM92" i="4" a="1"/>
  <c r="CM92" i="4" s="1"/>
  <c r="CL92" i="4" a="1"/>
  <c r="CL92" i="4" s="1"/>
  <c r="CQ92" i="4" a="1"/>
  <c r="CQ92" i="4" s="1"/>
  <c r="CT92" i="4" a="1"/>
  <c r="CT92" i="4" s="1"/>
  <c r="CU92" i="4" a="1"/>
  <c r="CU92" i="4" s="1"/>
  <c r="CN92" i="4" a="1"/>
  <c r="CN92" i="4" s="1"/>
  <c r="CS92" i="4" a="1"/>
  <c r="CS92" i="4" s="1"/>
  <c r="CP92" i="4" a="1"/>
  <c r="CP92" i="4" s="1"/>
  <c r="CS63" i="4" a="1"/>
  <c r="CS63" i="4" s="1"/>
  <c r="CO63" i="4" a="1"/>
  <c r="CO63" i="4" s="1"/>
  <c r="CU63" i="4" a="1"/>
  <c r="CU63" i="4" s="1"/>
  <c r="CN63" i="4" a="1"/>
  <c r="CN63" i="4" s="1"/>
  <c r="CL63" i="4" a="1"/>
  <c r="CL63" i="4" s="1"/>
  <c r="CT63" i="4" a="1"/>
  <c r="CT63" i="4" s="1"/>
  <c r="CR63" i="4" a="1"/>
  <c r="CR63" i="4" s="1"/>
  <c r="CQ63" i="4" a="1"/>
  <c r="CQ63" i="4" s="1"/>
  <c r="CP63" i="4" a="1"/>
  <c r="CP63" i="4" s="1"/>
  <c r="CM63" i="4" a="1"/>
  <c r="CM63" i="4" s="1"/>
  <c r="CS53" i="4" a="1"/>
  <c r="CS53" i="4" s="1"/>
  <c r="CU53" i="4" a="1"/>
  <c r="CU53" i="4" s="1"/>
  <c r="CR53" i="4" a="1"/>
  <c r="CR53" i="4" s="1"/>
  <c r="CP53" i="4" a="1"/>
  <c r="CP53" i="4" s="1"/>
  <c r="CQ53" i="4" a="1"/>
  <c r="CQ53" i="4" s="1"/>
  <c r="CL53" i="4" a="1"/>
  <c r="CL53" i="4" s="1"/>
  <c r="CN53" i="4" a="1"/>
  <c r="CN53" i="4" s="1"/>
  <c r="CM53" i="4" a="1"/>
  <c r="CM53" i="4" s="1"/>
  <c r="CO53" i="4" a="1"/>
  <c r="CO53" i="4" s="1"/>
  <c r="CT53" i="4" a="1"/>
  <c r="CT53" i="4" s="1"/>
  <c r="CL80" i="4" a="1"/>
  <c r="CL80" i="4" s="1"/>
  <c r="CU80" i="4" a="1"/>
  <c r="CU80" i="4" s="1"/>
  <c r="CN80" i="4" a="1"/>
  <c r="CN80" i="4" s="1"/>
  <c r="CT80" i="4" a="1"/>
  <c r="CT80" i="4" s="1"/>
  <c r="CM80" i="4" a="1"/>
  <c r="CM80" i="4" s="1"/>
  <c r="CP80" i="4" a="1"/>
  <c r="CP80" i="4" s="1"/>
  <c r="CQ80" i="4" a="1"/>
  <c r="CQ80" i="4" s="1"/>
  <c r="CS80" i="4" a="1"/>
  <c r="CS80" i="4" s="1"/>
  <c r="CO80" i="4" a="1"/>
  <c r="CO80" i="4" s="1"/>
  <c r="CR80" i="4" a="1"/>
  <c r="CR80" i="4" s="1"/>
  <c r="CQ66" i="4" a="1"/>
  <c r="CQ66" i="4" s="1"/>
  <c r="CS66" i="4" a="1"/>
  <c r="CS66" i="4" s="1"/>
  <c r="CR66" i="4" a="1"/>
  <c r="CR66" i="4" s="1"/>
  <c r="CL66" i="4" a="1"/>
  <c r="CL66" i="4" s="1"/>
  <c r="CM66" i="4" a="1"/>
  <c r="CM66" i="4" s="1"/>
  <c r="CU66" i="4" a="1"/>
  <c r="CU66" i="4" s="1"/>
  <c r="CP66" i="4" a="1"/>
  <c r="CP66" i="4" s="1"/>
  <c r="CN66" i="4" a="1"/>
  <c r="CN66" i="4" s="1"/>
  <c r="CT66" i="4" a="1"/>
  <c r="CT66" i="4" s="1"/>
  <c r="CO66" i="4" a="1"/>
  <c r="CO66" i="4" s="1"/>
  <c r="CS112" i="4" a="1"/>
  <c r="CS112" i="4" s="1"/>
  <c r="CU112" i="4" a="1"/>
  <c r="CU112" i="4" s="1"/>
  <c r="CP112" i="4" a="1"/>
  <c r="CP112" i="4" s="1"/>
  <c r="CO112" i="4" a="1"/>
  <c r="CO112" i="4" s="1"/>
  <c r="CM112" i="4" a="1"/>
  <c r="CM112" i="4" s="1"/>
  <c r="CN112" i="4" a="1"/>
  <c r="CN112" i="4" s="1"/>
  <c r="CQ112" i="4" a="1"/>
  <c r="CQ112" i="4" s="1"/>
  <c r="CL112" i="4" a="1"/>
  <c r="CL112" i="4" s="1"/>
  <c r="CT112" i="4" a="1"/>
  <c r="CT112" i="4" s="1"/>
  <c r="CR112" i="4" a="1"/>
  <c r="CR112" i="4" s="1"/>
  <c r="CL108" i="4" a="1"/>
  <c r="CL108" i="4" s="1"/>
  <c r="CU108" i="4" a="1"/>
  <c r="CU108" i="4" s="1"/>
  <c r="CQ108" i="4" a="1"/>
  <c r="CQ108" i="4" s="1"/>
  <c r="CT108" i="4" a="1"/>
  <c r="CT108" i="4" s="1"/>
  <c r="CN108" i="4" a="1"/>
  <c r="CN108" i="4" s="1"/>
  <c r="CM108" i="4" a="1"/>
  <c r="CM108" i="4" s="1"/>
  <c r="CP108" i="4" a="1"/>
  <c r="CP108" i="4" s="1"/>
  <c r="CO108" i="4" a="1"/>
  <c r="CO108" i="4" s="1"/>
  <c r="CR108" i="4" a="1"/>
  <c r="CR108" i="4" s="1"/>
  <c r="CS108" i="4" a="1"/>
  <c r="CS108" i="4" s="1"/>
  <c r="CT1" i="4"/>
  <c r="CN1" i="4"/>
  <c r="CR1" i="4"/>
  <c r="CO1" i="4"/>
  <c r="CU1" i="4"/>
  <c r="CQ1" i="4"/>
  <c r="CP1" i="4"/>
  <c r="CL1" i="4"/>
  <c r="CM1" i="4"/>
  <c r="CS1" i="4"/>
  <c r="CP2" i="4"/>
  <c r="CO2" i="4"/>
  <c r="CN2" i="4"/>
  <c r="CM2" i="4"/>
  <c r="CL2" i="4"/>
  <c r="CR2" i="4"/>
  <c r="CQ2" i="4"/>
  <c r="CS2" i="4"/>
  <c r="CT2" i="4"/>
  <c r="CU2" i="4"/>
  <c r="H1" i="5"/>
  <c r="I2" i="5" s="1"/>
  <c r="B2" i="5"/>
  <c r="CL45" i="4" a="1"/>
  <c r="CP47" i="4" a="1"/>
  <c r="CU46" i="4" a="1"/>
  <c r="CT47" i="4" a="1"/>
  <c r="CP45" i="4" a="1"/>
  <c r="CM47" i="4" a="1"/>
  <c r="CN46" i="4" a="1"/>
  <c r="CN45" i="4" a="1"/>
  <c r="CQ47" i="4" a="1"/>
  <c r="CQ46" i="4" a="1"/>
  <c r="CR46" i="4" a="1"/>
  <c r="CT45" i="4" a="1"/>
  <c r="CR45" i="4" a="1"/>
  <c r="CR47" i="4" a="1"/>
  <c r="CO47" i="4" a="1"/>
  <c r="CS46" i="4" a="1"/>
  <c r="CQ45" i="4" a="1"/>
  <c r="CM45" i="4" a="1"/>
  <c r="CL47" i="4" a="1"/>
  <c r="CS47" i="4" a="1"/>
  <c r="CO46" i="4" a="1"/>
  <c r="CS45" i="4" a="1"/>
  <c r="CU47" i="4" a="1"/>
  <c r="CT46" i="4" a="1"/>
  <c r="CP46" i="4" a="1"/>
  <c r="CU45" i="4" a="1"/>
  <c r="CN47" i="4" a="1"/>
  <c r="CL46" i="4" a="1"/>
  <c r="CM46" i="4" a="1"/>
  <c r="CO45" i="4" a="1"/>
  <c r="CT44" i="4" a="1"/>
  <c r="CQ44" i="4" a="1"/>
  <c r="CR44" i="4" a="1"/>
  <c r="CM44" i="4" a="1"/>
  <c r="CN44" i="4" a="1"/>
  <c r="CU44" i="4" a="1"/>
  <c r="CS44" i="4" a="1"/>
  <c r="CP44" i="4" a="1"/>
  <c r="CO44" i="4" a="1"/>
  <c r="F7" i="5" a="1"/>
  <c r="C6" i="5" a="1"/>
  <c r="F4" i="5" a="1"/>
  <c r="C4" i="5" a="1"/>
  <c r="F2" i="5" a="1"/>
  <c r="C2" i="5" a="1"/>
  <c r="C1" i="5" a="1"/>
  <c r="M7" i="5" a="1"/>
  <c r="M4" i="5" a="1"/>
  <c r="J4" i="5" a="1"/>
  <c r="M2" i="5" a="1"/>
  <c r="J2" i="5" a="1"/>
  <c r="J1" i="5" a="1"/>
  <c r="J1" i="5" l="1"/>
  <c r="J2" i="5"/>
  <c r="M2" i="5"/>
  <c r="J4" i="5"/>
  <c r="M4" i="5"/>
  <c r="M7" i="5"/>
  <c r="C1" i="5"/>
  <c r="C2" i="5"/>
  <c r="F2" i="5"/>
  <c r="C4" i="5"/>
  <c r="F4" i="5"/>
  <c r="C6" i="5"/>
  <c r="F7" i="5"/>
  <c r="CO45" i="4"/>
  <c r="CM46" i="4"/>
  <c r="CL46" i="4"/>
  <c r="CN47" i="4"/>
  <c r="CU45" i="4"/>
  <c r="CP46" i="4"/>
  <c r="CT46" i="4"/>
  <c r="CU47" i="4"/>
  <c r="CS45" i="4"/>
  <c r="CO46" i="4"/>
  <c r="CS47" i="4"/>
  <c r="CL47" i="4"/>
  <c r="CM45" i="4"/>
  <c r="CQ45" i="4"/>
  <c r="CS46" i="4"/>
  <c r="CO47" i="4"/>
  <c r="CR47" i="4"/>
  <c r="CR45" i="4"/>
  <c r="CT45" i="4"/>
  <c r="CR46" i="4"/>
  <c r="CQ46" i="4"/>
  <c r="CQ47" i="4"/>
  <c r="CN45" i="4"/>
  <c r="CN46" i="4"/>
  <c r="CM47" i="4"/>
  <c r="CP45" i="4"/>
  <c r="CT47" i="4"/>
  <c r="CU46" i="4"/>
  <c r="CP47" i="4"/>
  <c r="CL45" i="4"/>
  <c r="CO44" i="4"/>
  <c r="CP44" i="4"/>
  <c r="CS44" i="4"/>
  <c r="CU44" i="4"/>
  <c r="CN44" i="4"/>
  <c r="CM44" i="4"/>
  <c r="CR44" i="4"/>
  <c r="CQ44" i="4"/>
  <c r="CT44" i="4"/>
  <c r="J6" i="5" a="1"/>
  <c r="A9" i="5"/>
  <c r="J6" i="5" l="1"/>
  <c r="I7" i="5" s="1"/>
  <c r="I1" i="5"/>
  <c r="N1" i="5"/>
  <c r="J3" i="5"/>
  <c r="M3" i="5"/>
  <c r="I6" i="5"/>
  <c r="K6" i="5"/>
  <c r="M6" i="5"/>
  <c r="B7" i="5"/>
  <c r="D7" i="5"/>
  <c r="B1" i="5"/>
  <c r="G1" i="5"/>
  <c r="C3" i="5"/>
  <c r="F3" i="5"/>
  <c r="B6" i="5"/>
  <c r="D6" i="5"/>
  <c r="F6" i="5"/>
  <c r="B10" i="5"/>
  <c r="C10" i="5" a="1"/>
  <c r="K7" i="5" l="1"/>
  <c r="C10" i="5"/>
  <c r="C12" i="5" a="1"/>
  <c r="C9" i="5" a="1"/>
  <c r="C9" i="5" l="1"/>
  <c r="C12" i="5"/>
  <c r="G9" i="5" l="1"/>
  <c r="B9" i="5"/>
  <c r="C14" i="5" a="1"/>
  <c r="F12" i="5" a="1"/>
  <c r="D14" i="5" a="1"/>
  <c r="F10" i="5" a="1"/>
  <c r="H9" i="5"/>
  <c r="B14" i="5" a="1"/>
  <c r="F15" i="5" a="1"/>
  <c r="C11" i="5" a="1"/>
  <c r="F11" i="5" a="1"/>
  <c r="F14" i="5" a="1"/>
  <c r="A17" i="5"/>
  <c r="F14" i="5" l="1"/>
  <c r="F11" i="5"/>
  <c r="C11" i="5"/>
  <c r="F15" i="5"/>
  <c r="B14" i="5"/>
  <c r="F10" i="5"/>
  <c r="D14" i="5"/>
  <c r="F12" i="5"/>
  <c r="C14" i="5"/>
  <c r="I10" i="5"/>
  <c r="J10" i="5" a="1"/>
  <c r="B18" i="5"/>
  <c r="C18" i="5" a="1"/>
  <c r="C18" i="5" l="1"/>
  <c r="J10" i="5"/>
  <c r="D15" i="5"/>
  <c r="B15" i="5"/>
  <c r="J9" i="5" a="1"/>
  <c r="J12" i="5" a="1"/>
  <c r="C20" i="5" a="1"/>
  <c r="C17" i="5" a="1"/>
  <c r="C17" i="5" l="1"/>
  <c r="C20" i="5"/>
  <c r="J12" i="5"/>
  <c r="J9" i="5"/>
  <c r="I9" i="5" l="1"/>
  <c r="N9" i="5"/>
  <c r="G17" i="5"/>
  <c r="B17" i="5"/>
  <c r="I14" i="5" a="1"/>
  <c r="C19" i="5" a="1"/>
  <c r="F19" i="5" a="1"/>
  <c r="M12" i="5" a="1"/>
  <c r="K14" i="5" a="1"/>
  <c r="F23" i="5" a="1"/>
  <c r="M15" i="5" a="1"/>
  <c r="C22" i="5" a="1"/>
  <c r="B22" i="5" a="1"/>
  <c r="M11" i="5" a="1"/>
  <c r="F18" i="5" a="1"/>
  <c r="M14" i="5" a="1"/>
  <c r="F22" i="5" a="1"/>
  <c r="H17" i="5"/>
  <c r="J14" i="5" a="1"/>
  <c r="J11" i="5" a="1"/>
  <c r="D22" i="5" a="1"/>
  <c r="M10" i="5" a="1"/>
  <c r="F20" i="5" a="1"/>
  <c r="A25" i="5"/>
  <c r="F20" i="5" l="1"/>
  <c r="M10" i="5"/>
  <c r="D22" i="5"/>
  <c r="J11" i="5"/>
  <c r="J14" i="5"/>
  <c r="F22" i="5"/>
  <c r="M14" i="5"/>
  <c r="F18" i="5"/>
  <c r="M11" i="5"/>
  <c r="B22" i="5"/>
  <c r="C22" i="5"/>
  <c r="M15" i="5"/>
  <c r="F23" i="5"/>
  <c r="K14" i="5"/>
  <c r="M12" i="5"/>
  <c r="F19" i="5"/>
  <c r="C19" i="5"/>
  <c r="I14" i="5"/>
  <c r="I18" i="5"/>
  <c r="B26" i="5"/>
  <c r="J18" i="5" a="1"/>
  <c r="C26" i="5" a="1"/>
  <c r="C26" i="5" l="1"/>
  <c r="J18" i="5"/>
  <c r="B23" i="5"/>
  <c r="D23" i="5"/>
  <c r="K15" i="5"/>
  <c r="I15" i="5"/>
  <c r="C25" i="5" a="1"/>
  <c r="J17" i="5" a="1"/>
  <c r="J20" i="5" a="1"/>
  <c r="C28" i="5" a="1"/>
  <c r="C28" i="5" l="1"/>
  <c r="J20" i="5"/>
  <c r="J17" i="5"/>
  <c r="C25" i="5"/>
  <c r="N17" i="5" l="1"/>
  <c r="I17" i="5"/>
  <c r="B25" i="5"/>
  <c r="G25" i="5"/>
  <c r="F30" i="5" a="1"/>
  <c r="M18" i="5" a="1"/>
  <c r="M20" i="5" a="1"/>
  <c r="C30" i="5" a="1"/>
  <c r="F28" i="5" a="1"/>
  <c r="J19" i="5" a="1"/>
  <c r="F26" i="5" a="1"/>
  <c r="M23" i="5" a="1"/>
  <c r="D30" i="5" a="1"/>
  <c r="M22" i="5" a="1"/>
  <c r="K22" i="5" a="1"/>
  <c r="F27" i="5" a="1"/>
  <c r="I22" i="5" a="1"/>
  <c r="J22" i="5" a="1"/>
  <c r="H25" i="5"/>
  <c r="B30" i="5" a="1"/>
  <c r="C27" i="5" a="1"/>
  <c r="M19" i="5" a="1"/>
  <c r="F31" i="5" a="1"/>
  <c r="A33" i="5"/>
  <c r="F31" i="5" l="1"/>
  <c r="M19" i="5"/>
  <c r="C27" i="5"/>
  <c r="B30" i="5"/>
  <c r="J22" i="5"/>
  <c r="I22" i="5"/>
  <c r="F27" i="5"/>
  <c r="K22" i="5"/>
  <c r="M22" i="5"/>
  <c r="D30" i="5"/>
  <c r="M23" i="5"/>
  <c r="F26" i="5"/>
  <c r="J19" i="5"/>
  <c r="F28" i="5"/>
  <c r="C30" i="5"/>
  <c r="M20" i="5"/>
  <c r="M18" i="5"/>
  <c r="F30" i="5"/>
  <c r="I26" i="5"/>
  <c r="B34" i="5"/>
  <c r="J26" i="5" a="1"/>
  <c r="C34" i="5" a="1"/>
  <c r="C34" i="5" l="1"/>
  <c r="J26" i="5"/>
  <c r="D31" i="5"/>
  <c r="B31" i="5"/>
  <c r="I23" i="5"/>
  <c r="K23" i="5"/>
  <c r="C33" i="5" a="1"/>
  <c r="J28" i="5" a="1"/>
  <c r="J25" i="5" a="1"/>
  <c r="C36" i="5" a="1"/>
  <c r="C36" i="5" l="1"/>
  <c r="J25" i="5"/>
  <c r="J28" i="5"/>
  <c r="C33" i="5"/>
  <c r="G33" i="5" l="1"/>
  <c r="B33" i="5"/>
  <c r="N25" i="5"/>
  <c r="I25" i="5"/>
  <c r="F35" i="5" a="1"/>
  <c r="D38" i="5" a="1"/>
  <c r="I30" i="5" a="1"/>
  <c r="H33" i="5"/>
  <c r="F39" i="5" a="1"/>
  <c r="M26" i="5" a="1"/>
  <c r="C38" i="5" a="1"/>
  <c r="J30" i="5" a="1"/>
  <c r="F38" i="5" a="1"/>
  <c r="F34" i="5" a="1"/>
  <c r="M31" i="5" a="1"/>
  <c r="M30" i="5" a="1"/>
  <c r="F36" i="5" a="1"/>
  <c r="B38" i="5" a="1"/>
  <c r="M28" i="5" a="1"/>
  <c r="C35" i="5" a="1"/>
  <c r="K30" i="5" a="1"/>
  <c r="M27" i="5" a="1"/>
  <c r="J27" i="5" a="1"/>
  <c r="A41" i="5"/>
  <c r="J27" i="5" l="1"/>
  <c r="M27" i="5"/>
  <c r="K30" i="5"/>
  <c r="C35" i="5"/>
  <c r="M28" i="5"/>
  <c r="B38" i="5"/>
  <c r="F36" i="5"/>
  <c r="M30" i="5"/>
  <c r="M31" i="5"/>
  <c r="F34" i="5"/>
  <c r="F38" i="5"/>
  <c r="J30" i="5"/>
  <c r="C38" i="5"/>
  <c r="M26" i="5"/>
  <c r="F39" i="5"/>
  <c r="I30" i="5"/>
  <c r="D38" i="5"/>
  <c r="F35" i="5"/>
  <c r="B42" i="5"/>
  <c r="I34" i="5"/>
  <c r="C42" i="5" a="1"/>
  <c r="J34" i="5" a="1"/>
  <c r="J34" i="5" l="1"/>
  <c r="C42" i="5"/>
  <c r="D39" i="5"/>
  <c r="B39" i="5"/>
  <c r="K31" i="5"/>
  <c r="I31" i="5"/>
  <c r="J33" i="5" a="1"/>
  <c r="C41" i="5" a="1"/>
  <c r="C44" i="5" a="1"/>
  <c r="J36" i="5" a="1"/>
  <c r="J36" i="5" l="1"/>
  <c r="C44" i="5"/>
  <c r="C41" i="5"/>
  <c r="J33" i="5"/>
  <c r="B41" i="5" l="1"/>
  <c r="G41" i="5"/>
  <c r="I33" i="5"/>
  <c r="N33" i="5"/>
  <c r="M39" i="5" a="1"/>
  <c r="F46" i="5" a="1"/>
  <c r="F47" i="5" a="1"/>
  <c r="M36" i="5" a="1"/>
  <c r="F42" i="5" a="1"/>
  <c r="K38" i="5" a="1"/>
  <c r="F43" i="5" a="1"/>
  <c r="H41" i="5"/>
  <c r="J35" i="5" a="1"/>
  <c r="I38" i="5" a="1"/>
  <c r="C43" i="5" a="1"/>
  <c r="M38" i="5" a="1"/>
  <c r="D46" i="5" a="1"/>
  <c r="M35" i="5" a="1"/>
  <c r="C46" i="5" a="1"/>
  <c r="J38" i="5" a="1"/>
  <c r="M34" i="5" a="1"/>
  <c r="B46" i="5" a="1"/>
  <c r="F44" i="5" a="1"/>
  <c r="P1" i="5"/>
  <c r="Q2" i="5"/>
  <c r="R2" i="5" a="1"/>
  <c r="R4" i="5" a="1"/>
  <c r="R1" i="5" a="1"/>
  <c r="R1" i="5" l="1"/>
  <c r="R4" i="5"/>
  <c r="R2" i="5"/>
  <c r="F44" i="5"/>
  <c r="B46" i="5"/>
  <c r="M34" i="5"/>
  <c r="J38" i="5"/>
  <c r="C46" i="5"/>
  <c r="M35" i="5"/>
  <c r="D46" i="5"/>
  <c r="M38" i="5"/>
  <c r="C43" i="5"/>
  <c r="I38" i="5"/>
  <c r="J35" i="5"/>
  <c r="F43" i="5"/>
  <c r="K38" i="5"/>
  <c r="F42" i="5"/>
  <c r="M36" i="5"/>
  <c r="F47" i="5"/>
  <c r="F46" i="5"/>
  <c r="M39" i="5"/>
  <c r="I42" i="5"/>
  <c r="U6" i="5" a="1"/>
  <c r="W1" i="5"/>
  <c r="U7" i="5" a="1"/>
  <c r="S6" i="5" a="1"/>
  <c r="R3" i="5" a="1"/>
  <c r="R6" i="5" a="1"/>
  <c r="U3" i="5" a="1"/>
  <c r="Q6" i="5" a="1"/>
  <c r="U4" i="5" a="1"/>
  <c r="U2" i="5" a="1"/>
  <c r="J42" i="5" a="1"/>
  <c r="P9" i="5"/>
  <c r="X2" i="5"/>
  <c r="Y4" i="5" a="1"/>
  <c r="Y1" i="5" a="1"/>
  <c r="Y2" i="5" a="1"/>
  <c r="Y2" i="5" l="1"/>
  <c r="Y1" i="5"/>
  <c r="Y4" i="5"/>
  <c r="J42" i="5"/>
  <c r="U2" i="5"/>
  <c r="U4" i="5"/>
  <c r="Q6" i="5"/>
  <c r="U3" i="5"/>
  <c r="R6" i="5"/>
  <c r="S7" i="5" s="1"/>
  <c r="R3" i="5"/>
  <c r="S6" i="5"/>
  <c r="U7" i="5"/>
  <c r="U6" i="5"/>
  <c r="Q1" i="5"/>
  <c r="V1" i="5"/>
  <c r="D47" i="5"/>
  <c r="B47" i="5"/>
  <c r="K39" i="5"/>
  <c r="I39" i="5"/>
  <c r="Q10" i="5"/>
  <c r="R10" i="5" s="1" a="1"/>
  <c r="Y6" i="5" a="1"/>
  <c r="J44" i="5" a="1"/>
  <c r="Y3" i="5" a="1"/>
  <c r="AB6" i="5" a="1"/>
  <c r="AB4" i="5" a="1"/>
  <c r="X6" i="5" a="1"/>
  <c r="AB2" i="5" a="1"/>
  <c r="AB3" i="5" a="1"/>
  <c r="Z6" i="5" a="1"/>
  <c r="AB7" i="5" a="1"/>
  <c r="J41" i="5" a="1"/>
  <c r="R10" i="5" l="1"/>
  <c r="Y6" i="5"/>
  <c r="Z7" i="5" s="1"/>
  <c r="Q7" i="5"/>
  <c r="J41" i="5"/>
  <c r="AB7" i="5"/>
  <c r="Z6" i="5"/>
  <c r="AB3" i="5"/>
  <c r="AB2" i="5"/>
  <c r="X6" i="5"/>
  <c r="AB4" i="5"/>
  <c r="AB6" i="5"/>
  <c r="Y3" i="5"/>
  <c r="J44" i="5"/>
  <c r="AC1" i="5"/>
  <c r="X1" i="5"/>
  <c r="R12" i="5" a="1"/>
  <c r="R9" i="5" a="1"/>
  <c r="R9" i="5" l="1"/>
  <c r="R12" i="5"/>
  <c r="V9" i="5"/>
  <c r="Q9" i="5"/>
  <c r="I41" i="5"/>
  <c r="N41" i="5"/>
  <c r="X7" i="5"/>
  <c r="U11" i="5" a="1"/>
  <c r="U10" i="5" a="1"/>
  <c r="W9" i="5"/>
  <c r="P17" i="5" s="1"/>
  <c r="U14" i="5" a="1"/>
  <c r="Q14" i="5" a="1"/>
  <c r="S14" i="5" a="1"/>
  <c r="R11" i="5" a="1"/>
  <c r="U15" i="5" a="1"/>
  <c r="U12" i="5" a="1"/>
  <c r="R14" i="5" a="1"/>
  <c r="M43" i="5" a="1"/>
  <c r="M42" i="5" a="1"/>
  <c r="K46" i="5" a="1"/>
  <c r="M47" i="5" a="1"/>
  <c r="J43" i="5" a="1"/>
  <c r="M46" i="5" a="1"/>
  <c r="J46" i="5" a="1"/>
  <c r="M44" i="5" a="1"/>
  <c r="I46" i="5" a="1"/>
  <c r="R14" i="5" l="1"/>
  <c r="U12" i="5"/>
  <c r="U15" i="5"/>
  <c r="R11" i="5"/>
  <c r="S14" i="5"/>
  <c r="Q14" i="5"/>
  <c r="U14" i="5"/>
  <c r="U10" i="5"/>
  <c r="U11" i="5"/>
  <c r="I46" i="5"/>
  <c r="M44" i="5"/>
  <c r="J46" i="5"/>
  <c r="M46" i="5"/>
  <c r="J43" i="5"/>
  <c r="M47" i="5"/>
  <c r="K46" i="5"/>
  <c r="M42" i="5"/>
  <c r="M43" i="5"/>
  <c r="X10" i="5"/>
  <c r="Y10" i="5" a="1"/>
  <c r="Q18" i="5"/>
  <c r="R18" i="5" a="1"/>
  <c r="R18" i="5" l="1"/>
  <c r="Y10" i="5"/>
  <c r="S15" i="5"/>
  <c r="Q15" i="5"/>
  <c r="K47" i="5"/>
  <c r="I47" i="5"/>
  <c r="Y9" i="5" a="1"/>
  <c r="Y12" i="5" a="1"/>
  <c r="R20" i="5" a="1"/>
  <c r="R17" i="5" a="1"/>
  <c r="R17" i="5" l="1"/>
  <c r="R20" i="5"/>
  <c r="Y12" i="5"/>
  <c r="Y9" i="5"/>
  <c r="X9" i="5" s="1"/>
  <c r="X14" i="5" a="1"/>
  <c r="AB15" i="5" a="1"/>
  <c r="AB14" i="5" a="1"/>
  <c r="AB12" i="5" a="1"/>
  <c r="Y14" i="5" a="1"/>
  <c r="AB11" i="5" a="1"/>
  <c r="AB10" i="5" a="1"/>
  <c r="Y11" i="5" a="1"/>
  <c r="Z14" i="5" a="1"/>
  <c r="AC9" i="5" l="1"/>
  <c r="Z14" i="5"/>
  <c r="Y11" i="5"/>
  <c r="AB10" i="5"/>
  <c r="AB11" i="5"/>
  <c r="Y14" i="5"/>
  <c r="X15" i="5" s="1"/>
  <c r="AB12" i="5"/>
  <c r="AB14" i="5"/>
  <c r="AB15" i="5"/>
  <c r="X14" i="5"/>
  <c r="V17" i="5"/>
  <c r="Q17" i="5"/>
  <c r="R19" i="5" a="1"/>
  <c r="R22" i="5" a="1"/>
  <c r="U18" i="5" a="1"/>
  <c r="U22" i="5" a="1"/>
  <c r="Q22" i="5" a="1"/>
  <c r="S22" i="5" a="1"/>
  <c r="U23" i="5" a="1"/>
  <c r="U20" i="5" a="1"/>
  <c r="U19" i="5" a="1"/>
  <c r="W17" i="5"/>
  <c r="P25" i="5"/>
  <c r="U19" i="5" l="1"/>
  <c r="U20" i="5"/>
  <c r="U23" i="5"/>
  <c r="S22" i="5"/>
  <c r="Q22" i="5"/>
  <c r="U22" i="5"/>
  <c r="U18" i="5"/>
  <c r="R22" i="5"/>
  <c r="R19" i="5"/>
  <c r="Z15" i="5"/>
  <c r="X18" i="5"/>
  <c r="Q26" i="5"/>
  <c r="Y18" i="5" a="1"/>
  <c r="R26" i="5" a="1"/>
  <c r="R26" i="5" l="1"/>
  <c r="Y18" i="5"/>
  <c r="Q23" i="5"/>
  <c r="S23" i="5"/>
  <c r="R28" i="5" a="1"/>
  <c r="R25" i="5" a="1"/>
  <c r="Y17" i="5" a="1"/>
  <c r="Y20" i="5" a="1"/>
  <c r="Y20" i="5" l="1"/>
  <c r="Y17" i="5"/>
  <c r="R25" i="5"/>
  <c r="R28" i="5"/>
  <c r="X17" i="5" l="1"/>
  <c r="AC17" i="5"/>
  <c r="Q25" i="5"/>
  <c r="V25" i="5"/>
  <c r="Z22" i="5" a="1"/>
  <c r="R27" i="5" a="1"/>
  <c r="AB22" i="5" a="1"/>
  <c r="U26" i="5" a="1"/>
  <c r="U28" i="5" a="1"/>
  <c r="AB20" i="5" a="1"/>
  <c r="W25" i="5"/>
  <c r="AB18" i="5" a="1"/>
  <c r="Q30" i="5" a="1"/>
  <c r="R30" i="5" a="1"/>
  <c r="U27" i="5" a="1"/>
  <c r="AB19" i="5" a="1"/>
  <c r="X22" i="5" a="1"/>
  <c r="U30" i="5" a="1"/>
  <c r="AB23" i="5" a="1"/>
  <c r="Y19" i="5" a="1"/>
  <c r="U31" i="5" a="1"/>
  <c r="Y22" i="5" a="1"/>
  <c r="S30" i="5" a="1"/>
  <c r="P33" i="5"/>
  <c r="S30" i="5" l="1"/>
  <c r="Y22" i="5"/>
  <c r="U31" i="5"/>
  <c r="Y19" i="5"/>
  <c r="AB23" i="5"/>
  <c r="U30" i="5"/>
  <c r="X22" i="5"/>
  <c r="AB19" i="5"/>
  <c r="U27" i="5"/>
  <c r="R30" i="5"/>
  <c r="Q30" i="5"/>
  <c r="AB18" i="5"/>
  <c r="AB20" i="5"/>
  <c r="U28" i="5"/>
  <c r="U26" i="5"/>
  <c r="AB22" i="5"/>
  <c r="R27" i="5"/>
  <c r="Z22" i="5"/>
  <c r="X26" i="5"/>
  <c r="Y26" i="5" a="1"/>
  <c r="Q34" i="5"/>
  <c r="R34" i="5" a="1"/>
  <c r="R34" i="5" l="1"/>
  <c r="Y26" i="5"/>
  <c r="S31" i="5"/>
  <c r="Q31" i="5"/>
  <c r="Z23" i="5"/>
  <c r="X23" i="5"/>
  <c r="R33" i="5" a="1"/>
  <c r="R36" i="5" a="1"/>
  <c r="Y28" i="5" a="1"/>
  <c r="Y25" i="5" a="1"/>
  <c r="Y25" i="5" l="1"/>
  <c r="Y28" i="5"/>
  <c r="R36" i="5"/>
  <c r="R33" i="5"/>
  <c r="AC25" i="5" l="1"/>
  <c r="X25" i="5"/>
  <c r="V33" i="5"/>
  <c r="Q33" i="5"/>
  <c r="W33" i="5"/>
  <c r="AB26" i="5" a="1"/>
  <c r="Q38" i="5" a="1"/>
  <c r="U35" i="5" a="1"/>
  <c r="AB28" i="5" a="1"/>
  <c r="R35" i="5" a="1"/>
  <c r="S38" i="5" a="1"/>
  <c r="R38" i="5" a="1"/>
  <c r="U38" i="5" a="1"/>
  <c r="X30" i="5" a="1"/>
  <c r="U39" i="5" a="1"/>
  <c r="Y27" i="5" a="1"/>
  <c r="Z30" i="5" a="1"/>
  <c r="AB27" i="5" a="1"/>
  <c r="AB30" i="5" a="1"/>
  <c r="Y30" i="5" a="1"/>
  <c r="AB31" i="5" a="1"/>
  <c r="U34" i="5" a="1"/>
  <c r="U36" i="5" a="1"/>
  <c r="P41" i="5"/>
  <c r="U36" i="5" l="1"/>
  <c r="U34" i="5"/>
  <c r="AB31" i="5"/>
  <c r="Y30" i="5"/>
  <c r="AB30" i="5"/>
  <c r="AB27" i="5"/>
  <c r="Z30" i="5"/>
  <c r="Y27" i="5"/>
  <c r="U39" i="5"/>
  <c r="X30" i="5"/>
  <c r="U38" i="5"/>
  <c r="R38" i="5"/>
  <c r="S38" i="5"/>
  <c r="R35" i="5"/>
  <c r="AB28" i="5"/>
  <c r="U35" i="5"/>
  <c r="Q38" i="5"/>
  <c r="AB26" i="5"/>
  <c r="Q42" i="5"/>
  <c r="X34" i="5"/>
  <c r="R42" i="5" a="1"/>
  <c r="Y34" i="5" a="1"/>
  <c r="Y34" i="5" l="1"/>
  <c r="R42" i="5"/>
  <c r="Q39" i="5"/>
  <c r="S39" i="5"/>
  <c r="Z31" i="5"/>
  <c r="X31" i="5"/>
  <c r="Y33" i="5" a="1"/>
  <c r="Y36" i="5" a="1"/>
  <c r="R44" i="5" a="1"/>
  <c r="R41" i="5" a="1"/>
  <c r="R41" i="5" l="1"/>
  <c r="R44" i="5"/>
  <c r="Y36" i="5"/>
  <c r="Y33" i="5"/>
  <c r="V41" i="5" l="1"/>
  <c r="Q41" i="5"/>
  <c r="AC33" i="5"/>
  <c r="X33" i="5"/>
  <c r="R43" i="5" a="1"/>
  <c r="AB34" i="5" a="1"/>
  <c r="U47" i="5" a="1"/>
  <c r="R46" i="5" a="1"/>
  <c r="U42" i="5" a="1"/>
  <c r="S46" i="5" a="1"/>
  <c r="AB38" i="5" a="1"/>
  <c r="Z38" i="5" a="1"/>
  <c r="W41" i="5"/>
  <c r="U46" i="5" a="1"/>
  <c r="AB36" i="5" a="1"/>
  <c r="AB39" i="5" a="1"/>
  <c r="Y38" i="5" a="1"/>
  <c r="U44" i="5" a="1"/>
  <c r="AB35" i="5" a="1"/>
  <c r="Y35" i="5" a="1"/>
  <c r="U43" i="5" a="1"/>
  <c r="X38" i="5" a="1"/>
  <c r="Q46" i="5" a="1"/>
  <c r="AE1" i="5"/>
  <c r="Q46" i="5" l="1"/>
  <c r="X38" i="5"/>
  <c r="U43" i="5"/>
  <c r="Y35" i="5"/>
  <c r="AB35" i="5"/>
  <c r="U44" i="5"/>
  <c r="Y38" i="5"/>
  <c r="AB39" i="5"/>
  <c r="AB36" i="5"/>
  <c r="U46" i="5"/>
  <c r="Z38" i="5"/>
  <c r="AB38" i="5"/>
  <c r="S46" i="5"/>
  <c r="U42" i="5"/>
  <c r="R46" i="5"/>
  <c r="U47" i="5"/>
  <c r="AB34" i="5"/>
  <c r="R43" i="5"/>
  <c r="AF2" i="5"/>
  <c r="X42" i="5"/>
  <c r="Y42" i="5" a="1"/>
  <c r="AG2" i="5" a="1"/>
  <c r="AG2" i="5" l="1"/>
  <c r="Y42" i="5"/>
  <c r="S47" i="5"/>
  <c r="Q47" i="5"/>
  <c r="X39" i="5"/>
  <c r="Z39" i="5"/>
  <c r="AG4" i="5" a="1"/>
  <c r="AG1" i="5" a="1"/>
  <c r="Y44" i="5" a="1"/>
  <c r="Y41" i="5" a="1"/>
  <c r="AG1" i="5" l="1"/>
  <c r="AG4" i="5"/>
  <c r="Y41" i="5"/>
  <c r="Y44" i="5"/>
  <c r="AF1" i="5" l="1"/>
  <c r="AK1" i="5"/>
  <c r="X41" i="5"/>
  <c r="AC41" i="5"/>
  <c r="AJ3" i="5" a="1"/>
  <c r="AJ2" i="5" a="1"/>
  <c r="AL1" i="5"/>
  <c r="AF6" i="5" a="1"/>
  <c r="AJ7" i="5" a="1"/>
  <c r="AG6" i="5" a="1"/>
  <c r="AH6" i="5" a="1"/>
  <c r="AG3" i="5" a="1"/>
  <c r="AJ4" i="5" a="1"/>
  <c r="AJ6" i="5" a="1"/>
  <c r="X46" i="5" a="1"/>
  <c r="AB46" i="5" a="1"/>
  <c r="AB42" i="5" a="1"/>
  <c r="Z46" i="5" a="1"/>
  <c r="AB47" i="5" a="1"/>
  <c r="AB43" i="5" a="1"/>
  <c r="Y43" i="5" a="1"/>
  <c r="Y46" i="5" a="1"/>
  <c r="AB44" i="5" a="1"/>
  <c r="AE9" i="5"/>
  <c r="AJ6" i="5" l="1"/>
  <c r="AJ4" i="5"/>
  <c r="AG3" i="5"/>
  <c r="AH6" i="5"/>
  <c r="AG6" i="5"/>
  <c r="AJ7" i="5"/>
  <c r="AF6" i="5"/>
  <c r="AJ2" i="5"/>
  <c r="AJ3" i="5"/>
  <c r="AB44" i="5"/>
  <c r="Y46" i="5"/>
  <c r="Y43" i="5"/>
  <c r="AB43" i="5"/>
  <c r="AB47" i="5"/>
  <c r="Z46" i="5"/>
  <c r="AB42" i="5"/>
  <c r="AB46" i="5"/>
  <c r="X46" i="5"/>
  <c r="AF10" i="5"/>
  <c r="AG10" i="5" a="1"/>
  <c r="AM2" i="5"/>
  <c r="AN2" i="5" a="1"/>
  <c r="AN2" i="5" l="1"/>
  <c r="AG10" i="5"/>
  <c r="AH7" i="5"/>
  <c r="AF7" i="5"/>
  <c r="Z47" i="5"/>
  <c r="X47" i="5"/>
  <c r="AN1" i="5" a="1"/>
  <c r="AG12" i="5" a="1"/>
  <c r="AG9" i="5" a="1"/>
  <c r="AN4" i="5" a="1"/>
  <c r="AN4" i="5" l="1"/>
  <c r="AG9" i="5"/>
  <c r="AG12" i="5"/>
  <c r="AN1" i="5"/>
  <c r="AR1" i="5" l="1"/>
  <c r="AM1" i="5"/>
  <c r="AK9" i="5"/>
  <c r="AF9" i="5"/>
  <c r="AQ7" i="5" a="1"/>
  <c r="AN6" i="5" a="1"/>
  <c r="AJ11" i="5" a="1"/>
  <c r="AH14" i="5" a="1"/>
  <c r="AQ3" i="5" a="1"/>
  <c r="AQ6" i="5" a="1"/>
  <c r="AL9" i="5"/>
  <c r="AQ4" i="5" a="1"/>
  <c r="AM6" i="5" a="1"/>
  <c r="AJ10" i="5" a="1"/>
  <c r="AQ2" i="5" a="1"/>
  <c r="AF14" i="5" a="1"/>
  <c r="AJ15" i="5" a="1"/>
  <c r="AG11" i="5" a="1"/>
  <c r="AO6" i="5" a="1"/>
  <c r="AN3" i="5" a="1"/>
  <c r="AJ14" i="5" a="1"/>
  <c r="AG14" i="5" a="1"/>
  <c r="AJ12" i="5" a="1"/>
  <c r="AE17" i="5"/>
  <c r="AJ12" i="5" l="1"/>
  <c r="AG14" i="5"/>
  <c r="AJ14" i="5"/>
  <c r="AN3" i="5"/>
  <c r="AO6" i="5"/>
  <c r="AG11" i="5"/>
  <c r="AJ15" i="5"/>
  <c r="AF14" i="5"/>
  <c r="AQ2" i="5"/>
  <c r="AJ10" i="5"/>
  <c r="AM6" i="5"/>
  <c r="AQ4" i="5"/>
  <c r="AQ6" i="5"/>
  <c r="AQ3" i="5"/>
  <c r="AH14" i="5"/>
  <c r="AJ11" i="5"/>
  <c r="AN6" i="5"/>
  <c r="AQ7" i="5"/>
  <c r="AF18" i="5"/>
  <c r="AM10" i="5"/>
  <c r="AN10" i="5" a="1"/>
  <c r="AG18" i="5" a="1"/>
  <c r="AG18" i="5" l="1"/>
  <c r="AN10" i="5"/>
  <c r="AO7" i="5"/>
  <c r="AM7" i="5"/>
  <c r="AH15" i="5"/>
  <c r="AF15" i="5"/>
  <c r="AN9" i="5" a="1"/>
  <c r="AN12" i="5" a="1"/>
  <c r="AG20" i="5" a="1"/>
  <c r="AG17" i="5" a="1"/>
  <c r="AG17" i="5" l="1"/>
  <c r="AG20" i="5"/>
  <c r="AN12" i="5"/>
  <c r="AN9" i="5"/>
  <c r="AK17" i="5" l="1"/>
  <c r="AF17" i="5"/>
  <c r="AM9" i="5"/>
  <c r="AR9" i="5"/>
  <c r="AQ15" i="5" a="1"/>
  <c r="AJ18" i="5" a="1"/>
  <c r="AH22" i="5" a="1"/>
  <c r="AF22" i="5" a="1"/>
  <c r="AJ23" i="5" a="1"/>
  <c r="AQ14" i="5" a="1"/>
  <c r="AG19" i="5" a="1"/>
  <c r="AG22" i="5" a="1"/>
  <c r="AQ12" i="5" a="1"/>
  <c r="AQ11" i="5" a="1"/>
  <c r="AN14" i="5" a="1"/>
  <c r="AO14" i="5" a="1"/>
  <c r="AJ20" i="5" a="1"/>
  <c r="AJ22" i="5" a="1"/>
  <c r="AL17" i="5"/>
  <c r="AJ19" i="5" a="1"/>
  <c r="AQ10" i="5" a="1"/>
  <c r="AN11" i="5" a="1"/>
  <c r="AM14" i="5" a="1"/>
  <c r="AE25" i="5"/>
  <c r="AM14" i="5" l="1"/>
  <c r="AN11" i="5"/>
  <c r="AQ10" i="5"/>
  <c r="AJ19" i="5"/>
  <c r="AJ22" i="5"/>
  <c r="AJ20" i="5"/>
  <c r="AO14" i="5"/>
  <c r="AN14" i="5"/>
  <c r="AQ11" i="5"/>
  <c r="AQ12" i="5"/>
  <c r="AG22" i="5"/>
  <c r="AG19" i="5"/>
  <c r="AQ14" i="5"/>
  <c r="AJ23" i="5"/>
  <c r="AF22" i="5"/>
  <c r="AH22" i="5"/>
  <c r="AJ18" i="5"/>
  <c r="AQ15" i="5"/>
  <c r="AM18" i="5"/>
  <c r="AF26" i="5"/>
  <c r="AG26" i="5" a="1"/>
  <c r="AN18" i="5" a="1"/>
  <c r="AN18" i="5" l="1"/>
  <c r="AG26" i="5"/>
  <c r="AF23" i="5"/>
  <c r="AH23" i="5"/>
  <c r="AM15" i="5"/>
  <c r="AO15" i="5"/>
  <c r="AG25" i="5" a="1"/>
  <c r="AG28" i="5" a="1"/>
  <c r="AN20" i="5" a="1"/>
  <c r="AN17" i="5" a="1"/>
  <c r="AN17" i="5" l="1"/>
  <c r="AN20" i="5"/>
  <c r="AG28" i="5"/>
  <c r="AG25" i="5"/>
  <c r="AR17" i="5" l="1"/>
  <c r="AM17" i="5"/>
  <c r="AF25" i="5"/>
  <c r="AK25" i="5"/>
  <c r="AQ19" i="5" a="1"/>
  <c r="AH30" i="5" a="1"/>
  <c r="AG27" i="5" a="1"/>
  <c r="AO22" i="5" a="1"/>
  <c r="AJ27" i="5" a="1"/>
  <c r="AN22" i="5" a="1"/>
  <c r="AQ22" i="5" a="1"/>
  <c r="AQ18" i="5" a="1"/>
  <c r="AJ31" i="5" a="1"/>
  <c r="AG30" i="5" a="1"/>
  <c r="AJ30" i="5" a="1"/>
  <c r="AJ28" i="5" a="1"/>
  <c r="AN19" i="5" a="1"/>
  <c r="AQ23" i="5" a="1"/>
  <c r="AL25" i="5"/>
  <c r="AM22" i="5" a="1"/>
  <c r="AJ26" i="5" a="1"/>
  <c r="AQ20" i="5" a="1"/>
  <c r="AF30" i="5" a="1"/>
  <c r="AE33" i="5"/>
  <c r="AF30" i="5" l="1"/>
  <c r="AQ20" i="5"/>
  <c r="AJ26" i="5"/>
  <c r="AM22" i="5"/>
  <c r="AQ23" i="5"/>
  <c r="AN19" i="5"/>
  <c r="AJ28" i="5"/>
  <c r="AJ30" i="5"/>
  <c r="AG30" i="5"/>
  <c r="AJ31" i="5"/>
  <c r="AQ18" i="5"/>
  <c r="AQ22" i="5"/>
  <c r="AN22" i="5"/>
  <c r="AJ27" i="5"/>
  <c r="AO22" i="5"/>
  <c r="AG27" i="5"/>
  <c r="AH30" i="5"/>
  <c r="AQ19" i="5"/>
  <c r="AM26" i="5"/>
  <c r="AF34" i="5"/>
  <c r="AN26" i="5" a="1"/>
  <c r="AG34" i="5" a="1"/>
  <c r="AG34" i="5" l="1"/>
  <c r="AN26" i="5"/>
  <c r="AO23" i="5"/>
  <c r="AM23" i="5"/>
  <c r="AH31" i="5"/>
  <c r="AF31" i="5"/>
  <c r="AN25" i="5" a="1"/>
  <c r="AG36" i="5" a="1"/>
  <c r="AG33" i="5" a="1"/>
  <c r="AN28" i="5" a="1"/>
  <c r="AN28" i="5" l="1"/>
  <c r="AG33" i="5"/>
  <c r="AG36" i="5"/>
  <c r="AN25" i="5"/>
  <c r="AR25" i="5" l="1"/>
  <c r="AM25" i="5"/>
  <c r="AK33" i="5"/>
  <c r="AF33" i="5"/>
  <c r="AG38" i="5" a="1"/>
  <c r="AJ34" i="5" a="1"/>
  <c r="AH38" i="5" a="1"/>
  <c r="AO30" i="5" a="1"/>
  <c r="AQ28" i="5" a="1"/>
  <c r="AL33" i="5"/>
  <c r="AJ36" i="5" a="1"/>
  <c r="AQ31" i="5" a="1"/>
  <c r="AM30" i="5" a="1"/>
  <c r="AN27" i="5" a="1"/>
  <c r="AF38" i="5" a="1"/>
  <c r="AQ30" i="5" a="1"/>
  <c r="AG35" i="5" a="1"/>
  <c r="AJ35" i="5" a="1"/>
  <c r="AQ27" i="5" a="1"/>
  <c r="AQ26" i="5" a="1"/>
  <c r="AJ39" i="5" a="1"/>
  <c r="AN30" i="5" a="1"/>
  <c r="AJ38" i="5" a="1"/>
  <c r="AE41" i="5"/>
  <c r="AJ38" i="5" l="1"/>
  <c r="AN30" i="5"/>
  <c r="AJ39" i="5"/>
  <c r="AQ26" i="5"/>
  <c r="AQ27" i="5"/>
  <c r="AJ35" i="5"/>
  <c r="AG35" i="5"/>
  <c r="AQ30" i="5"/>
  <c r="AF38" i="5"/>
  <c r="AN27" i="5"/>
  <c r="AM30" i="5"/>
  <c r="AQ31" i="5"/>
  <c r="AJ36" i="5"/>
  <c r="AQ28" i="5"/>
  <c r="AO30" i="5"/>
  <c r="AH38" i="5"/>
  <c r="AJ34" i="5"/>
  <c r="AG38" i="5"/>
  <c r="AF42" i="5"/>
  <c r="AM34" i="5"/>
  <c r="AG42" i="5" a="1"/>
  <c r="AN34" i="5" a="1"/>
  <c r="AN34" i="5" l="1"/>
  <c r="AG42" i="5"/>
  <c r="AH39" i="5"/>
  <c r="AF39" i="5"/>
  <c r="AO31" i="5"/>
  <c r="AM31" i="5"/>
  <c r="AN33" i="5" a="1"/>
  <c r="AN36" i="5" a="1"/>
  <c r="AG41" i="5" a="1"/>
  <c r="AG44" i="5" a="1"/>
  <c r="AG44" i="5" l="1"/>
  <c r="AG41" i="5"/>
  <c r="AN36" i="5"/>
  <c r="AN33" i="5"/>
  <c r="AM33" i="5" l="1"/>
  <c r="AR33" i="5"/>
  <c r="AK41" i="5"/>
  <c r="AF41" i="5"/>
  <c r="AN38" i="5" a="1"/>
  <c r="AF46" i="5" a="1"/>
  <c r="AQ39" i="5" a="1"/>
  <c r="AJ47" i="5" a="1"/>
  <c r="AQ38" i="5" a="1"/>
  <c r="AG46" i="5" a="1"/>
  <c r="AQ36" i="5" a="1"/>
  <c r="AJ44" i="5" a="1"/>
  <c r="AJ46" i="5" a="1"/>
  <c r="AL41" i="5"/>
  <c r="AJ43" i="5" a="1"/>
  <c r="AN35" i="5" a="1"/>
  <c r="AJ42" i="5" a="1"/>
  <c r="AQ35" i="5" a="1"/>
  <c r="AQ34" i="5" a="1"/>
  <c r="AG43" i="5" a="1"/>
  <c r="AO38" i="5" a="1"/>
  <c r="AH46" i="5" a="1"/>
  <c r="AM38" i="5" a="1"/>
  <c r="AT1" i="5"/>
  <c r="AM38" i="5" l="1"/>
  <c r="AH46" i="5"/>
  <c r="AO38" i="5"/>
  <c r="AG43" i="5"/>
  <c r="AQ34" i="5"/>
  <c r="AQ35" i="5"/>
  <c r="AJ42" i="5"/>
  <c r="AN35" i="5"/>
  <c r="AJ43" i="5"/>
  <c r="AJ46" i="5"/>
  <c r="AJ44" i="5"/>
  <c r="AQ36" i="5"/>
  <c r="AG46" i="5"/>
  <c r="AQ38" i="5"/>
  <c r="AJ47" i="5"/>
  <c r="AQ39" i="5"/>
  <c r="AF46" i="5"/>
  <c r="AN38" i="5"/>
  <c r="AU2" i="5"/>
  <c r="AM42" i="5"/>
  <c r="AN42" i="5" a="1"/>
  <c r="AV2" i="5" a="1"/>
  <c r="AV2" i="5" l="1"/>
  <c r="AN42" i="5"/>
  <c r="AF47" i="5"/>
  <c r="AH47" i="5"/>
  <c r="AO39" i="5"/>
  <c r="AM39" i="5"/>
  <c r="AV1" i="5" a="1"/>
  <c r="AV4" i="5" a="1"/>
  <c r="AN44" i="5" a="1"/>
  <c r="AN41" i="5" a="1"/>
  <c r="AV4" i="5" l="1"/>
  <c r="AV1" i="5"/>
  <c r="AN41" i="5"/>
  <c r="AN44" i="5"/>
  <c r="AU1" i="5" l="1"/>
  <c r="AZ1" i="5"/>
  <c r="AR41" i="5"/>
  <c r="AM41" i="5"/>
  <c r="AY6" i="5" a="1"/>
  <c r="BA1" i="5"/>
  <c r="AU6" i="5" a="1"/>
  <c r="AY2" i="5" a="1"/>
  <c r="AW6" i="5" a="1"/>
  <c r="AV3" i="5" a="1"/>
  <c r="AY4" i="5" a="1"/>
  <c r="AY3" i="5" a="1"/>
  <c r="AY7" i="5" a="1"/>
  <c r="AV6" i="5" a="1"/>
  <c r="AQ46" i="5" a="1"/>
  <c r="AN46" i="5" a="1"/>
  <c r="AQ44" i="5" a="1"/>
  <c r="AO46" i="5" a="1"/>
  <c r="AQ43" i="5" a="1"/>
  <c r="AQ42" i="5" a="1"/>
  <c r="AN43" i="5" a="1"/>
  <c r="AQ47" i="5" a="1"/>
  <c r="AM46" i="5" a="1"/>
  <c r="AT9" i="5"/>
  <c r="AV6" i="5" l="1"/>
  <c r="AY7" i="5"/>
  <c r="AY3" i="5"/>
  <c r="AY4" i="5"/>
  <c r="AV3" i="5"/>
  <c r="AW6" i="5"/>
  <c r="AY2" i="5"/>
  <c r="AU6" i="5"/>
  <c r="AY6" i="5"/>
  <c r="AM46" i="5"/>
  <c r="AQ47" i="5"/>
  <c r="AN43" i="5"/>
  <c r="AQ42" i="5"/>
  <c r="AQ43" i="5"/>
  <c r="AO46" i="5"/>
  <c r="AQ44" i="5"/>
  <c r="AN46" i="5"/>
  <c r="AQ46" i="5"/>
  <c r="BB2" i="5"/>
  <c r="AU10" i="5"/>
  <c r="BC2" i="5" a="1"/>
  <c r="AV10" i="5" a="1"/>
  <c r="AV10" i="5" l="1"/>
  <c r="BC2" i="5"/>
  <c r="AW7" i="5"/>
  <c r="AU7" i="5"/>
  <c r="AO47" i="5"/>
  <c r="AM47" i="5"/>
  <c r="BC1" i="5" a="1"/>
  <c r="AV9" i="5" a="1"/>
  <c r="AV12" i="5" a="1"/>
  <c r="BC4" i="5" a="1"/>
  <c r="BC4" i="5" l="1"/>
  <c r="AV12" i="5"/>
  <c r="AV9" i="5"/>
  <c r="BC1" i="5"/>
  <c r="AZ9" i="5" l="1"/>
  <c r="AU9" i="5"/>
  <c r="BG1" i="5"/>
  <c r="BB1" i="5"/>
  <c r="AW14" i="5" a="1"/>
  <c r="AV11" i="5" a="1"/>
  <c r="BF7" i="5" a="1"/>
  <c r="BC6" i="5" a="1"/>
  <c r="BF6" i="5" a="1"/>
  <c r="AY15" i="5" a="1"/>
  <c r="BD6" i="5" a="1"/>
  <c r="AV14" i="5" a="1"/>
  <c r="AY14" i="5" a="1"/>
  <c r="BF4" i="5" a="1"/>
  <c r="BB6" i="5" a="1"/>
  <c r="BF3" i="5" a="1"/>
  <c r="AY12" i="5" a="1"/>
  <c r="AY11" i="5" a="1"/>
  <c r="BF2" i="5" a="1"/>
  <c r="AY10" i="5" a="1"/>
  <c r="BA9" i="5"/>
  <c r="AU14" i="5" a="1"/>
  <c r="BC3" i="5" a="1"/>
  <c r="AT17" i="5"/>
  <c r="BC3" i="5" l="1"/>
  <c r="AU14" i="5"/>
  <c r="AY10" i="5"/>
  <c r="BF2" i="5"/>
  <c r="AY11" i="5"/>
  <c r="AY12" i="5"/>
  <c r="BF3" i="5"/>
  <c r="BB6" i="5"/>
  <c r="BF4" i="5"/>
  <c r="AY14" i="5"/>
  <c r="AV14" i="5"/>
  <c r="BD6" i="5"/>
  <c r="AY15" i="5"/>
  <c r="BF6" i="5"/>
  <c r="BC6" i="5"/>
  <c r="BF7" i="5"/>
  <c r="AV11" i="5"/>
  <c r="AW14" i="5"/>
  <c r="BB10" i="5"/>
  <c r="BC10" i="5" a="1"/>
  <c r="AU18" i="5"/>
  <c r="AV18" i="5" a="1"/>
  <c r="AV18" i="5" l="1"/>
  <c r="BC10" i="5"/>
  <c r="BD7" i="5"/>
  <c r="BB7" i="5"/>
  <c r="AU15" i="5"/>
  <c r="AW15" i="5"/>
  <c r="BC9" i="5" a="1"/>
  <c r="BC12" i="5" a="1"/>
  <c r="AV20" i="5" a="1"/>
  <c r="AV17" i="5" a="1"/>
  <c r="AV17" i="5" l="1"/>
  <c r="AV20" i="5"/>
  <c r="BC12" i="5"/>
  <c r="BC9" i="5"/>
  <c r="AZ17" i="5" l="1"/>
  <c r="AU17" i="5"/>
  <c r="BB9" i="5"/>
  <c r="BG9" i="5"/>
  <c r="BC14" i="5" a="1"/>
  <c r="AW22" i="5" a="1"/>
  <c r="BF15" i="5" a="1"/>
  <c r="AU22" i="5" a="1"/>
  <c r="AY23" i="5" a="1"/>
  <c r="BF14" i="5" a="1"/>
  <c r="AV19" i="5" a="1"/>
  <c r="AV22" i="5" a="1"/>
  <c r="BF12" i="5" a="1"/>
  <c r="AY18" i="5" a="1"/>
  <c r="BC11" i="5" a="1"/>
  <c r="AY20" i="5" a="1"/>
  <c r="BB14" i="5" a="1"/>
  <c r="BF11" i="5" a="1"/>
  <c r="AY22" i="5" a="1"/>
  <c r="AY19" i="5" a="1"/>
  <c r="BF10" i="5" a="1"/>
  <c r="BA17" i="5"/>
  <c r="BD14" i="5" a="1"/>
  <c r="AT25" i="5"/>
  <c r="BD14" i="5" l="1"/>
  <c r="BF10" i="5"/>
  <c r="AY19" i="5"/>
  <c r="AY22" i="5"/>
  <c r="BF11" i="5"/>
  <c r="BB14" i="5"/>
  <c r="AY20" i="5"/>
  <c r="BC11" i="5"/>
  <c r="AY18" i="5"/>
  <c r="BF12" i="5"/>
  <c r="AV22" i="5"/>
  <c r="AV19" i="5"/>
  <c r="BF14" i="5"/>
  <c r="AY23" i="5"/>
  <c r="AU22" i="5"/>
  <c r="BF15" i="5"/>
  <c r="AW22" i="5"/>
  <c r="BC14" i="5"/>
  <c r="BB18" i="5"/>
  <c r="AU26" i="5"/>
  <c r="AV26" i="5" s="1" a="1"/>
  <c r="BC18" i="5" a="1"/>
  <c r="BC18" i="5" l="1"/>
  <c r="AV26" i="5"/>
  <c r="AU23" i="5"/>
  <c r="AW23" i="5"/>
  <c r="BB15" i="5"/>
  <c r="BD15" i="5"/>
  <c r="BC20" i="5" a="1"/>
  <c r="AV25" i="5" a="1"/>
  <c r="AV28" i="5" a="1"/>
  <c r="BC17" i="5" a="1"/>
  <c r="BC17" i="5" l="1"/>
  <c r="AV28" i="5"/>
  <c r="AV25" i="5"/>
  <c r="BC20" i="5"/>
  <c r="BG17" i="5" l="1"/>
  <c r="BB17" i="5"/>
  <c r="AU25" i="5"/>
  <c r="AZ25" i="5"/>
  <c r="BB22" i="5" a="1"/>
  <c r="BF23" i="5" a="1"/>
  <c r="BC22" i="5" a="1"/>
  <c r="AY28" i="5" a="1"/>
  <c r="BF22" i="5" a="1"/>
  <c r="AY27" i="5" a="1"/>
  <c r="BF20" i="5" a="1"/>
  <c r="AY26" i="5" a="1"/>
  <c r="BF19" i="5" a="1"/>
  <c r="BA25" i="5"/>
  <c r="BF18" i="5" a="1"/>
  <c r="AY30" i="5" a="1"/>
  <c r="AW30" i="5" a="1"/>
  <c r="BD22" i="5" a="1"/>
  <c r="AY31" i="5" a="1"/>
  <c r="AV27" i="5" a="1"/>
  <c r="BC19" i="5" a="1"/>
  <c r="AV30" i="5" a="1"/>
  <c r="AU30" i="5" a="1"/>
  <c r="AT33" i="5"/>
  <c r="AU30" i="5" l="1"/>
  <c r="AV30" i="5"/>
  <c r="BC19" i="5"/>
  <c r="AV27" i="5"/>
  <c r="AY31" i="5"/>
  <c r="BD22" i="5"/>
  <c r="AW30" i="5"/>
  <c r="AY30" i="5"/>
  <c r="BF18" i="5"/>
  <c r="BF19" i="5"/>
  <c r="AY26" i="5"/>
  <c r="BF20" i="5"/>
  <c r="AY27" i="5"/>
  <c r="BF22" i="5"/>
  <c r="AY28" i="5"/>
  <c r="BC22" i="5"/>
  <c r="BF23" i="5"/>
  <c r="BB22" i="5"/>
  <c r="BB26" i="5"/>
  <c r="BC26" i="5" s="1" a="1"/>
  <c r="AU34" i="5"/>
  <c r="AV34" i="5" s="1" a="1"/>
  <c r="AV34" i="5" l="1"/>
  <c r="BC26" i="5"/>
  <c r="BD23" i="5"/>
  <c r="BB23" i="5"/>
  <c r="AU31" i="5"/>
  <c r="AW31" i="5"/>
  <c r="AV33" i="5" a="1"/>
  <c r="BC28" i="5" a="1"/>
  <c r="AV36" i="5" a="1"/>
  <c r="BC25" i="5" a="1"/>
  <c r="BC25" i="5" l="1"/>
  <c r="AV36" i="5"/>
  <c r="BC28" i="5"/>
  <c r="AV33" i="5"/>
  <c r="BG25" i="5" l="1"/>
  <c r="BB25" i="5"/>
  <c r="AZ33" i="5"/>
  <c r="AU33" i="5"/>
  <c r="BA33" i="5"/>
  <c r="BF31" i="5" a="1"/>
  <c r="AY35" i="5" a="1"/>
  <c r="BC30" i="5" a="1"/>
  <c r="AY34" i="5" a="1"/>
  <c r="BF26" i="5" a="1"/>
  <c r="BB30" i="5" a="1"/>
  <c r="AU38" i="5" a="1"/>
  <c r="BD30" i="5" a="1"/>
  <c r="AV35" i="5" a="1"/>
  <c r="AT41" i="5"/>
  <c r="BF30" i="5" a="1"/>
  <c r="BC27" i="5" a="1"/>
  <c r="AY39" i="5" a="1"/>
  <c r="BF28" i="5" a="1"/>
  <c r="AV38" i="5" a="1"/>
  <c r="AY38" i="5" a="1"/>
  <c r="AY36" i="5" a="1"/>
  <c r="BF27" i="5" a="1"/>
  <c r="AW38" i="5" a="1"/>
  <c r="AW38" i="5" l="1"/>
  <c r="BF27" i="5"/>
  <c r="AY36" i="5"/>
  <c r="AY38" i="5"/>
  <c r="AV38" i="5"/>
  <c r="BF28" i="5"/>
  <c r="AY39" i="5"/>
  <c r="BC27" i="5"/>
  <c r="BF30" i="5"/>
  <c r="AV35" i="5"/>
  <c r="BD30" i="5"/>
  <c r="AU38" i="5"/>
  <c r="BB30" i="5"/>
  <c r="BF26" i="5"/>
  <c r="AY34" i="5"/>
  <c r="BC30" i="5"/>
  <c r="AY35" i="5"/>
  <c r="BF31" i="5"/>
  <c r="BB34" i="5"/>
  <c r="BC34" i="5" a="1"/>
  <c r="AU42" i="5"/>
  <c r="AV42" i="5" a="1"/>
  <c r="AV42" i="5" l="1"/>
  <c r="BC34" i="5"/>
  <c r="BD31" i="5"/>
  <c r="BB31" i="5"/>
  <c r="AU39" i="5"/>
  <c r="AW39" i="5"/>
  <c r="BC33" i="5" a="1"/>
  <c r="AV41" i="5" a="1"/>
  <c r="AV44" i="5" a="1"/>
  <c r="BC36" i="5" a="1"/>
  <c r="BC36" i="5" l="1"/>
  <c r="AV44" i="5"/>
  <c r="AV41" i="5"/>
  <c r="BC33" i="5"/>
  <c r="AZ41" i="5" l="1"/>
  <c r="AY46" i="5" a="1"/>
  <c r="AY46" i="5" s="1"/>
  <c r="AV43" i="5" a="1"/>
  <c r="AV43" i="5" s="1"/>
  <c r="AU41" i="5"/>
  <c r="AW46" i="5" a="1"/>
  <c r="AW46" i="5" s="1"/>
  <c r="AU46" i="5" a="1"/>
  <c r="AU46" i="5" s="1"/>
  <c r="AY47" i="5" a="1"/>
  <c r="AY47" i="5" s="1"/>
  <c r="AV46" i="5" a="1"/>
  <c r="AV46" i="5" s="1"/>
  <c r="AW47" i="5" s="1"/>
  <c r="AY44" i="5" a="1"/>
  <c r="AY44" i="5" s="1"/>
  <c r="AY43" i="5" a="1"/>
  <c r="AY43" i="5" s="1"/>
  <c r="AY42" i="5" a="1"/>
  <c r="AY42" i="5" s="1"/>
  <c r="AU47" i="5"/>
  <c r="BB33" i="5"/>
  <c r="BG33" i="5"/>
  <c r="BC38" i="5" a="1"/>
  <c r="BD38" i="5" a="1"/>
  <c r="BC35" i="5" a="1"/>
  <c r="BF39" i="5" a="1"/>
  <c r="BB38" i="5" a="1"/>
  <c r="BA41" i="5"/>
  <c r="BF38" i="5" a="1"/>
  <c r="BF35" i="5" a="1"/>
  <c r="BF36" i="5" a="1"/>
  <c r="BF34" i="5" a="1"/>
  <c r="BI1" i="5"/>
  <c r="BF34" i="5" l="1"/>
  <c r="BF36" i="5"/>
  <c r="BF35" i="5"/>
  <c r="BF38" i="5"/>
  <c r="BB38" i="5"/>
  <c r="BF39" i="5"/>
  <c r="BC35" i="5"/>
  <c r="BD38" i="5"/>
  <c r="BC38" i="5"/>
  <c r="BJ2" i="5"/>
  <c r="BB42" i="5"/>
  <c r="BC42" i="5" a="1"/>
  <c r="BK2" i="5" a="1"/>
  <c r="BK2" i="5" l="1"/>
  <c r="BC42" i="5"/>
  <c r="BD39" i="5"/>
  <c r="BB39" i="5"/>
  <c r="BK1" i="5" a="1"/>
  <c r="BK4" i="5" a="1"/>
  <c r="BC44" i="5" a="1"/>
  <c r="BC41" i="5" a="1"/>
  <c r="BK4" i="5" l="1"/>
  <c r="BK1" i="5"/>
  <c r="BC41" i="5"/>
  <c r="BC44" i="5"/>
  <c r="BN6" i="5" l="1" a="1"/>
  <c r="BN6" i="5" s="1"/>
  <c r="BJ1" i="5"/>
  <c r="BL6" i="5" a="1"/>
  <c r="BL6" i="5" s="1"/>
  <c r="BN7" i="5" a="1"/>
  <c r="BN7" i="5" s="1"/>
  <c r="BK6" i="5" a="1"/>
  <c r="BK6" i="5" s="1"/>
  <c r="BN4" i="5" a="1"/>
  <c r="BN4" i="5" s="1"/>
  <c r="BN3" i="5" a="1"/>
  <c r="BN3" i="5" s="1"/>
  <c r="BN2" i="5" a="1"/>
  <c r="BN2" i="5" s="1"/>
  <c r="BJ6" i="5" a="1"/>
  <c r="BJ6" i="5" s="1"/>
  <c r="BK3" i="5" a="1"/>
  <c r="BK3" i="5" s="1"/>
  <c r="BO1" i="5"/>
  <c r="BL7" i="5"/>
  <c r="BJ7" i="5"/>
  <c r="BB47" i="5"/>
  <c r="BF47" i="5" a="1"/>
  <c r="BF47" i="5" s="1"/>
  <c r="BF46" i="5" a="1"/>
  <c r="BF46" i="5" s="1"/>
  <c r="BF44" i="5" a="1"/>
  <c r="BF44" i="5" s="1"/>
  <c r="BF43" i="5" a="1"/>
  <c r="BF43" i="5" s="1"/>
  <c r="BF42" i="5" a="1"/>
  <c r="BF42" i="5" s="1"/>
  <c r="BG41" i="5"/>
  <c r="BD46" i="5" a="1"/>
  <c r="BD46" i="5" s="1"/>
  <c r="BC43" i="5" a="1"/>
  <c r="BC43" i="5" s="1"/>
  <c r="BC46" i="5" a="1"/>
  <c r="BC46" i="5" s="1"/>
  <c r="BD47" i="5" s="1"/>
  <c r="BB41" i="5"/>
  <c r="BB46" i="5" a="1"/>
  <c r="BB46" i="5" s="1"/>
  <c r="BP1" i="5"/>
  <c r="BI9" i="5"/>
  <c r="BQ2" i="5"/>
  <c r="BJ10" i="5"/>
  <c r="BR2" i="5" a="1"/>
  <c r="BK10" i="5" a="1"/>
  <c r="BK10" i="5" l="1"/>
  <c r="BR2" i="5"/>
  <c r="BK12" i="5" a="1"/>
  <c r="BK9" i="5" a="1"/>
  <c r="BR1" i="5" a="1"/>
  <c r="BR4" i="5" a="1"/>
  <c r="BR4" i="5" l="1"/>
  <c r="BR1" i="5"/>
  <c r="BK9" i="5"/>
  <c r="BK12" i="5"/>
  <c r="BJ14" i="5" l="1" a="1"/>
  <c r="BJ14" i="5" s="1"/>
  <c r="BO9" i="5"/>
  <c r="BN15" i="5" a="1"/>
  <c r="BN15" i="5" s="1"/>
  <c r="BK14" i="5" a="1"/>
  <c r="BK14" i="5" s="1"/>
  <c r="BN12" i="5" a="1"/>
  <c r="BN12" i="5" s="1"/>
  <c r="BN11" i="5" a="1"/>
  <c r="BN11" i="5" s="1"/>
  <c r="BK11" i="5" a="1"/>
  <c r="BK11" i="5" s="1"/>
  <c r="BN10" i="5" a="1"/>
  <c r="BN10" i="5" s="1"/>
  <c r="BJ9" i="5"/>
  <c r="BL14" i="5" a="1"/>
  <c r="BL14" i="5" s="1"/>
  <c r="BN14" i="5" a="1"/>
  <c r="BN14" i="5" s="1"/>
  <c r="BU7" i="5" a="1"/>
  <c r="BU7" i="5" s="1"/>
  <c r="BU6" i="5" a="1"/>
  <c r="BU6" i="5" s="1"/>
  <c r="BU4" i="5" a="1"/>
  <c r="BU4" i="5" s="1"/>
  <c r="BU3" i="5" a="1"/>
  <c r="BU3" i="5" s="1"/>
  <c r="BU2" i="5" a="1"/>
  <c r="BU2" i="5" s="1"/>
  <c r="BV1" i="5"/>
  <c r="BS6" i="5" a="1"/>
  <c r="BS6" i="5" s="1"/>
  <c r="BR3" i="5" a="1"/>
  <c r="BR3" i="5" s="1"/>
  <c r="BR6" i="5" a="1"/>
  <c r="BR6" i="5" s="1"/>
  <c r="BS7" i="5" s="1"/>
  <c r="BQ1" i="5"/>
  <c r="BQ6" i="5" a="1"/>
  <c r="BQ6" i="5" s="1"/>
  <c r="BQ7" i="5"/>
  <c r="BL15" i="5"/>
  <c r="BJ15" i="5"/>
  <c r="BP9" i="5"/>
  <c r="BI17" i="5"/>
  <c r="BJ18" i="5"/>
  <c r="BK18" i="5" a="1"/>
  <c r="BQ10" i="5"/>
  <c r="BR10" i="5" a="1"/>
  <c r="BR10" i="5" l="1"/>
  <c r="BK18" i="5"/>
  <c r="BR12" i="5" a="1"/>
  <c r="BR9" i="5" a="1"/>
  <c r="BK20" i="5" a="1"/>
  <c r="BK17" i="5" a="1"/>
  <c r="BK17" i="5" l="1"/>
  <c r="BK20" i="5"/>
  <c r="BR9" i="5"/>
  <c r="BR12" i="5"/>
  <c r="BQ15" i="5" l="1"/>
  <c r="BR14" i="5" a="1"/>
  <c r="BR14" i="5" s="1"/>
  <c r="BS15" i="5" s="1"/>
  <c r="BQ9" i="5"/>
  <c r="BQ14" i="5" a="1"/>
  <c r="BQ14" i="5" s="1"/>
  <c r="BU15" i="5" a="1"/>
  <c r="BU15" i="5" s="1"/>
  <c r="BU14" i="5" a="1"/>
  <c r="BU14" i="5" s="1"/>
  <c r="BU12" i="5" a="1"/>
  <c r="BU12" i="5" s="1"/>
  <c r="BU11" i="5" a="1"/>
  <c r="BU11" i="5" s="1"/>
  <c r="BU10" i="5" a="1"/>
  <c r="BU10" i="5" s="1"/>
  <c r="BV9" i="5"/>
  <c r="BS14" i="5" a="1"/>
  <c r="BS14" i="5" s="1"/>
  <c r="BR11" i="5" a="1"/>
  <c r="BR11" i="5" s="1"/>
  <c r="BJ23" i="5"/>
  <c r="BJ22" i="5" a="1"/>
  <c r="BJ22" i="5" s="1"/>
  <c r="BK19" i="5" a="1"/>
  <c r="BK19" i="5" s="1"/>
  <c r="BO17" i="5"/>
  <c r="BJ17" i="5"/>
  <c r="BN22" i="5" a="1"/>
  <c r="BN22" i="5" s="1"/>
  <c r="BL22" i="5" a="1"/>
  <c r="BL22" i="5" s="1"/>
  <c r="BN23" i="5" a="1"/>
  <c r="BN23" i="5" s="1"/>
  <c r="BK22" i="5" a="1"/>
  <c r="BK22" i="5" s="1"/>
  <c r="BL23" i="5" s="1"/>
  <c r="BN20" i="5" a="1"/>
  <c r="BN20" i="5" s="1"/>
  <c r="BN19" i="5" a="1"/>
  <c r="BN19" i="5" s="1"/>
  <c r="BN18" i="5" a="1"/>
  <c r="BN18" i="5" s="1"/>
  <c r="BP17" i="5"/>
  <c r="BI25" i="5"/>
  <c r="BQ18" i="5"/>
  <c r="BJ26" i="5"/>
  <c r="BR18" i="5" a="1"/>
  <c r="BK26" i="5" a="1"/>
  <c r="BK26" i="5" l="1"/>
  <c r="BR18" i="5"/>
  <c r="BK28" i="5" a="1"/>
  <c r="BR20" i="5" a="1"/>
  <c r="BR17" i="5" a="1"/>
  <c r="BK25" i="5" a="1"/>
  <c r="BK25" i="5" l="1"/>
  <c r="BR17" i="5"/>
  <c r="BR20" i="5"/>
  <c r="BK28" i="5"/>
  <c r="BQ22" i="5" l="1" a="1"/>
  <c r="BQ22" i="5" s="1"/>
  <c r="BV17" i="5"/>
  <c r="BU23" i="5" a="1"/>
  <c r="BU23" i="5" s="1"/>
  <c r="BU22" i="5" a="1"/>
  <c r="BU22" i="5" s="1"/>
  <c r="BU20" i="5" a="1"/>
  <c r="BU20" i="5" s="1"/>
  <c r="BU19" i="5" a="1"/>
  <c r="BU19" i="5" s="1"/>
  <c r="BU18" i="5" a="1"/>
  <c r="BU18" i="5" s="1"/>
  <c r="BS22" i="5" a="1"/>
  <c r="BS22" i="5" s="1"/>
  <c r="BR19" i="5" a="1"/>
  <c r="BR19" i="5" s="1"/>
  <c r="BR22" i="5" a="1"/>
  <c r="BR22" i="5" s="1"/>
  <c r="BS23" i="5" s="1"/>
  <c r="BQ17" i="5"/>
  <c r="BJ25" i="5"/>
  <c r="BN27" i="5" a="1"/>
  <c r="BN27" i="5" s="1"/>
  <c r="BL30" i="5" a="1"/>
  <c r="BL30" i="5" s="1"/>
  <c r="BK30" i="5" a="1"/>
  <c r="BK30" i="5" s="1"/>
  <c r="BL31" i="5" s="1"/>
  <c r="BN31" i="5" a="1"/>
  <c r="BN31" i="5" s="1"/>
  <c r="BN28" i="5" a="1"/>
  <c r="BN28" i="5" s="1"/>
  <c r="BN26" i="5" a="1"/>
  <c r="BN26" i="5" s="1"/>
  <c r="BJ30" i="5" a="1"/>
  <c r="BJ30" i="5" s="1"/>
  <c r="BK27" i="5" a="1"/>
  <c r="BK27" i="5" s="1"/>
  <c r="BO25" i="5"/>
  <c r="BN30" i="5" a="1"/>
  <c r="BN30" i="5" s="1"/>
  <c r="BQ23" i="5"/>
  <c r="BJ31" i="5"/>
  <c r="BP25" i="5"/>
  <c r="BI33" i="5"/>
  <c r="BQ26" i="5"/>
  <c r="BJ34" i="5"/>
  <c r="BR26" i="5" a="1"/>
  <c r="BK34" i="5" a="1"/>
  <c r="BK34" i="5" l="1"/>
  <c r="BR26" i="5"/>
  <c r="BK36" i="5" a="1"/>
  <c r="BR28" i="5" a="1"/>
  <c r="BR25" i="5" a="1"/>
  <c r="BK33" i="5" a="1"/>
  <c r="BK33" i="5" l="1"/>
  <c r="BR25" i="5"/>
  <c r="BR28" i="5"/>
  <c r="BK36" i="5"/>
  <c r="BQ31" i="5" l="1"/>
  <c r="BV25" i="5"/>
  <c r="BR30" i="5" a="1"/>
  <c r="BR30" i="5" s="1"/>
  <c r="BS31" i="5" s="1"/>
  <c r="BS30" i="5" a="1"/>
  <c r="BS30" i="5" s="1"/>
  <c r="BR27" i="5" a="1"/>
  <c r="BR27" i="5" s="1"/>
  <c r="BQ25" i="5"/>
  <c r="BU31" i="5" a="1"/>
  <c r="BU31" i="5" s="1"/>
  <c r="BU28" i="5" a="1"/>
  <c r="BU28" i="5" s="1"/>
  <c r="BU26" i="5" a="1"/>
  <c r="BU26" i="5" s="1"/>
  <c r="BQ30" i="5" a="1"/>
  <c r="BQ30" i="5" s="1"/>
  <c r="BU30" i="5" a="1"/>
  <c r="BU30" i="5" s="1"/>
  <c r="BU27" i="5" a="1"/>
  <c r="BU27" i="5" s="1"/>
  <c r="BN39" i="5" a="1"/>
  <c r="BN39" i="5" s="1"/>
  <c r="BK38" i="5" a="1"/>
  <c r="BK38" i="5" s="1"/>
  <c r="BL39" i="5" s="1"/>
  <c r="BN36" i="5" a="1"/>
  <c r="BN36" i="5" s="1"/>
  <c r="BN35" i="5" a="1"/>
  <c r="BN35" i="5" s="1"/>
  <c r="BN34" i="5" a="1"/>
  <c r="BN34" i="5" s="1"/>
  <c r="BJ38" i="5" a="1"/>
  <c r="BJ38" i="5" s="1"/>
  <c r="BK35" i="5" a="1"/>
  <c r="BK35" i="5" s="1"/>
  <c r="BO33" i="5"/>
  <c r="BN38" i="5" a="1"/>
  <c r="BN38" i="5" s="1"/>
  <c r="BL38" i="5" a="1"/>
  <c r="BL38" i="5" s="1"/>
  <c r="BJ33" i="5"/>
  <c r="BJ39" i="5"/>
  <c r="BP33" i="5"/>
  <c r="BI41" i="5"/>
  <c r="BJ42" i="5"/>
  <c r="BQ34" i="5"/>
  <c r="BK42" i="5" a="1"/>
  <c r="BR34" i="5" a="1"/>
  <c r="BR34" i="5" l="1"/>
  <c r="BK42" i="5"/>
  <c r="BR33" i="5" a="1"/>
  <c r="BK41" i="5" a="1"/>
  <c r="BK44" i="5" a="1"/>
  <c r="BR36" i="5" a="1"/>
  <c r="BR36" i="5" l="1"/>
  <c r="BK44" i="5"/>
  <c r="BK41" i="5"/>
  <c r="BR33" i="5"/>
  <c r="BL46" i="5" l="1" a="1"/>
  <c r="BL46" i="5" s="1"/>
  <c r="BN46" i="5" a="1"/>
  <c r="BN46" i="5" s="1"/>
  <c r="BJ41" i="5"/>
  <c r="BN47" i="5" a="1"/>
  <c r="BN47" i="5" s="1"/>
  <c r="BK46" i="5" a="1"/>
  <c r="BK46" i="5" s="1"/>
  <c r="BN44" i="5" a="1"/>
  <c r="BN44" i="5" s="1"/>
  <c r="BN43" i="5" a="1"/>
  <c r="BN43" i="5" s="1"/>
  <c r="BN42" i="5" a="1"/>
  <c r="BN42" i="5" s="1"/>
  <c r="BO41" i="5"/>
  <c r="BJ46" i="5" a="1"/>
  <c r="BJ46" i="5" s="1"/>
  <c r="BK43" i="5" a="1"/>
  <c r="BK43" i="5" s="1"/>
  <c r="BJ47" i="5"/>
  <c r="BL47" i="5"/>
  <c r="BQ39" i="5"/>
  <c r="BR38" i="5" a="1"/>
  <c r="BR38" i="5" s="1"/>
  <c r="BS39" i="5" s="1"/>
  <c r="BQ33" i="5"/>
  <c r="BQ38" i="5" a="1"/>
  <c r="BQ38" i="5" s="1"/>
  <c r="BU39" i="5" a="1"/>
  <c r="BU39" i="5" s="1"/>
  <c r="BU38" i="5" a="1"/>
  <c r="BU38" i="5" s="1"/>
  <c r="BU36" i="5" a="1"/>
  <c r="BU36" i="5" s="1"/>
  <c r="BU35" i="5" a="1"/>
  <c r="BU35" i="5" s="1"/>
  <c r="BU34" i="5" a="1"/>
  <c r="BU34" i="5" s="1"/>
  <c r="BR35" i="5" a="1"/>
  <c r="BR35" i="5" s="1"/>
  <c r="BV33" i="5"/>
  <c r="BS38" i="5" a="1"/>
  <c r="BS38" i="5" s="1"/>
  <c r="BP41" i="5"/>
  <c r="BQ42" i="5"/>
  <c r="BR42" i="5" a="1"/>
  <c r="BR42" i="5" l="1"/>
  <c r="BR44" i="5" a="1"/>
  <c r="BR41" i="5" a="1"/>
  <c r="BR41" i="5" l="1"/>
  <c r="BR44" i="5"/>
  <c r="BQ47" i="5" l="1"/>
  <c r="BU47" i="5" a="1"/>
  <c r="BU47" i="5" s="1"/>
  <c r="BU46" i="5" a="1"/>
  <c r="BU46" i="5" s="1"/>
  <c r="BU44" i="5" a="1"/>
  <c r="BU44" i="5" s="1"/>
  <c r="BU43" i="5" a="1"/>
  <c r="BU43" i="5" s="1"/>
  <c r="BU42" i="5" a="1"/>
  <c r="BU42" i="5" s="1"/>
  <c r="BV41" i="5"/>
  <c r="BS46" i="5" a="1"/>
  <c r="BS46" i="5" s="1"/>
  <c r="BR43" i="5" a="1"/>
  <c r="BR43" i="5" s="1"/>
  <c r="BR46" i="5" a="1"/>
  <c r="BR46" i="5" s="1"/>
  <c r="BS47" i="5" s="1"/>
  <c r="BQ41" i="5"/>
  <c r="BQ46" i="5" a="1"/>
  <c r="BQ46" i="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<sst xmlns="http://schemas.openxmlformats.org/spreadsheetml/2006/main" count="1568" uniqueCount="579">
  <si>
    <t>＊＊＊</t>
  </si>
  <si>
    <t>数出表</t>
  </si>
  <si>
    <t>上段：園児、下段：先生</t>
  </si>
  <si>
    <t>作成日</t>
  </si>
  <si>
    <t>キャラ弁（学食）</t>
  </si>
  <si>
    <t>キャラ弁当</t>
  </si>
  <si>
    <t>赤</t>
  </si>
  <si>
    <t>カレー</t>
  </si>
  <si>
    <t>おやつ</t>
  </si>
  <si>
    <t>飯あり</t>
  </si>
  <si>
    <t>おにぎり</t>
  </si>
  <si>
    <t>飯なし</t>
  </si>
  <si>
    <t>三角</t>
  </si>
  <si>
    <t>半俵</t>
  </si>
  <si>
    <t>アレルギーの数を入力してください。</t>
  </si>
  <si>
    <t>商品ＣＤ</t>
  </si>
  <si>
    <t>商品区分</t>
  </si>
  <si>
    <t>商品名</t>
  </si>
  <si>
    <t>商品予定名</t>
  </si>
  <si>
    <t>売価単価</t>
  </si>
  <si>
    <t>先生用商品ＣＤ</t>
  </si>
  <si>
    <t>弁当区分</t>
  </si>
  <si>
    <t>出力区分</t>
  </si>
  <si>
    <t>パン箱入数</t>
  </si>
  <si>
    <t>頭準備数（赤の数字）</t>
  </si>
  <si>
    <t>弁当札の要・不要</t>
  </si>
  <si>
    <t>クラス分け名称1</t>
  </si>
  <si>
    <t>クラス分けグラム出力区分1</t>
  </si>
  <si>
    <t>クラス分け名称2</t>
  </si>
  <si>
    <t>クラス分けグラム出力区分2</t>
  </si>
  <si>
    <t>クラス分け名称3</t>
  </si>
  <si>
    <t>クラス分けグラム出力区分3</t>
  </si>
  <si>
    <t>クラス分け名称4</t>
  </si>
  <si>
    <t>クラス分けグラム出力区分4</t>
  </si>
  <si>
    <t>クラス分け名称5</t>
  </si>
  <si>
    <t>クラス分けグラム出力区分5</t>
  </si>
  <si>
    <t>弁当　園児</t>
  </si>
  <si>
    <t>要</t>
  </si>
  <si>
    <t>弁当　先生</t>
  </si>
  <si>
    <t>赤　先生</t>
  </si>
  <si>
    <t>弁当　先生　実習生　</t>
  </si>
  <si>
    <t>赤　　　実習生</t>
  </si>
  <si>
    <t>赤　　　保護者</t>
  </si>
  <si>
    <t>赤　　　管理職</t>
  </si>
  <si>
    <t>パン　</t>
  </si>
  <si>
    <t>パン</t>
  </si>
  <si>
    <t>ﾊﾟﾝ</t>
  </si>
  <si>
    <t>ごはん</t>
  </si>
  <si>
    <t>ｵﾚﾝｼﾞ　先生</t>
  </si>
  <si>
    <t>ｵﾚﾝｼﾞ　実習生</t>
  </si>
  <si>
    <t>ｵﾚﾝｼﾞ　保護者</t>
  </si>
  <si>
    <t>弁当　先生管理職</t>
  </si>
  <si>
    <t>ｵﾚﾝｼﾞ　管理職</t>
  </si>
  <si>
    <t>キャラ</t>
  </si>
  <si>
    <t>キャラ　先生</t>
  </si>
  <si>
    <t>弁当　生徒</t>
  </si>
  <si>
    <t>キャラ（ふたば）</t>
  </si>
  <si>
    <t>ごはん用保温箱</t>
  </si>
  <si>
    <t>キャラ（ふたば）　先生</t>
  </si>
  <si>
    <t>オレンジ</t>
  </si>
  <si>
    <t>オレンジ　先生</t>
  </si>
  <si>
    <t>きいろおにぎり半俵　</t>
  </si>
  <si>
    <t>きいろ　実習生</t>
  </si>
  <si>
    <t>きいろ　保護者</t>
  </si>
  <si>
    <t>ビーフシチュー　園児</t>
  </si>
  <si>
    <t>ビーフシチュー</t>
  </si>
  <si>
    <t>不要</t>
  </si>
  <si>
    <t>皿</t>
  </si>
  <si>
    <t>ビーフシチュー　先生</t>
  </si>
  <si>
    <t>弁当　前日キャンセル30％</t>
  </si>
  <si>
    <t>弁当　前日キャンセル50％</t>
  </si>
  <si>
    <t>弁等　前日キャンセル50％</t>
  </si>
  <si>
    <t>弁当　当日キャンセル50％</t>
  </si>
  <si>
    <t>弁当　当日キャンセル100％</t>
  </si>
  <si>
    <t>園児用弁当　予備・検食</t>
  </si>
  <si>
    <t>先生用弁当　予備・検食</t>
  </si>
  <si>
    <t>パン弁当　園児</t>
  </si>
  <si>
    <t>パン弁当　先生</t>
  </si>
  <si>
    <t>赤　パン　　先生</t>
  </si>
  <si>
    <t>ｷｬﾗ　パン　</t>
  </si>
  <si>
    <t>ｷｬﾗ　パン　　先生</t>
  </si>
  <si>
    <t>パン　園児</t>
  </si>
  <si>
    <t>パンカップ　</t>
  </si>
  <si>
    <t>パン　先生</t>
  </si>
  <si>
    <t>パンカップ　先生</t>
  </si>
  <si>
    <t>お誕生会　園児</t>
  </si>
  <si>
    <t>お誕生会　</t>
  </si>
  <si>
    <t>ランチ</t>
  </si>
  <si>
    <t>お誕生会　先生</t>
  </si>
  <si>
    <t>七夕ランチ　園児</t>
  </si>
  <si>
    <t>七夕ランチ　</t>
  </si>
  <si>
    <t>七夕ランチ　先生</t>
  </si>
  <si>
    <t>クリスマス　園児</t>
  </si>
  <si>
    <t>クリスマス</t>
  </si>
  <si>
    <t>クリスマス　先生</t>
  </si>
  <si>
    <t>おひなさま　園児</t>
  </si>
  <si>
    <t>おひなさま　</t>
  </si>
  <si>
    <t>おひなさま　先生</t>
  </si>
  <si>
    <t>ランチ　園児</t>
  </si>
  <si>
    <t>ランチ　</t>
  </si>
  <si>
    <t>ランチ　先生</t>
  </si>
  <si>
    <t>カレー　園児</t>
  </si>
  <si>
    <t>ルウ</t>
  </si>
  <si>
    <t>カレー　先生</t>
  </si>
  <si>
    <t>カレー　管理職</t>
  </si>
  <si>
    <t>ハヤシ　園児</t>
  </si>
  <si>
    <t>ハヤシ</t>
  </si>
  <si>
    <t>ハヤシ　先生</t>
  </si>
  <si>
    <t>ハヤシ　管理職</t>
  </si>
  <si>
    <t>シチュー　園児</t>
  </si>
  <si>
    <t>シチュー</t>
  </si>
  <si>
    <t>シチュー　先生</t>
  </si>
  <si>
    <t>カップ</t>
  </si>
  <si>
    <t>シチュー　管理職</t>
  </si>
  <si>
    <t>スープ　園児</t>
  </si>
  <si>
    <t>スープ</t>
  </si>
  <si>
    <t>おわん</t>
  </si>
  <si>
    <t>スープ　先生</t>
  </si>
  <si>
    <t>ハーモニィ　園児</t>
  </si>
  <si>
    <t>ハーモニィ</t>
  </si>
  <si>
    <t>ちゃわん　カップ</t>
  </si>
  <si>
    <t>ハーモニィ　先生</t>
  </si>
  <si>
    <t>ピクニック　園児</t>
  </si>
  <si>
    <t>ピクニック</t>
  </si>
  <si>
    <t>ピクニック　先生</t>
  </si>
  <si>
    <t>クッキング　園児</t>
  </si>
  <si>
    <t>クッキング</t>
  </si>
  <si>
    <t>クッキング　先生</t>
  </si>
  <si>
    <t>バイキング　園児</t>
  </si>
  <si>
    <t>バイキング</t>
  </si>
  <si>
    <t>おにぎり①</t>
  </si>
  <si>
    <t>おにぎり②</t>
  </si>
  <si>
    <t>麺類</t>
  </si>
  <si>
    <t>おかず①</t>
  </si>
  <si>
    <t>おかず②</t>
  </si>
  <si>
    <t>バイキング　先生</t>
  </si>
  <si>
    <t>バイキング　管理職</t>
  </si>
  <si>
    <t>チキンライス　園児</t>
  </si>
  <si>
    <t>チキンライス</t>
  </si>
  <si>
    <t>チキンライス　先生</t>
  </si>
  <si>
    <t>チキンライス　管理職</t>
  </si>
  <si>
    <t>チャーハン　園児</t>
  </si>
  <si>
    <t>チャーハン</t>
  </si>
  <si>
    <t>チャーハン　先生</t>
  </si>
  <si>
    <t>チャーハン　管理職</t>
  </si>
  <si>
    <t>ピラフ　園児</t>
  </si>
  <si>
    <t>ピラフ</t>
  </si>
  <si>
    <t>ピラフ　先生</t>
  </si>
  <si>
    <t>ピラフ　管理職</t>
  </si>
  <si>
    <t>マーボー丼　園児</t>
  </si>
  <si>
    <t>マーボー丼</t>
  </si>
  <si>
    <t>マーボー</t>
  </si>
  <si>
    <t>マーボー丼　先生</t>
  </si>
  <si>
    <t>マーボー丼　管理職</t>
  </si>
  <si>
    <t>牛丼　園児</t>
  </si>
  <si>
    <t>牛丼</t>
  </si>
  <si>
    <t>牛丼　先生</t>
  </si>
  <si>
    <t>牛丼　管理職</t>
  </si>
  <si>
    <t>親子丼　園児</t>
  </si>
  <si>
    <t>親子丼</t>
  </si>
  <si>
    <t>親子丼　先生</t>
  </si>
  <si>
    <t>親子丼　管理職</t>
  </si>
  <si>
    <t>中華丼　園児</t>
  </si>
  <si>
    <t>中華丼</t>
  </si>
  <si>
    <t>中華丼　先生</t>
  </si>
  <si>
    <t>中華丼　管理職</t>
  </si>
  <si>
    <t>豚汁　園児</t>
  </si>
  <si>
    <t>豚汁</t>
  </si>
  <si>
    <t>豚汁　先生</t>
  </si>
  <si>
    <t>豚汁　管理職</t>
  </si>
  <si>
    <t>寿司飯　園児</t>
  </si>
  <si>
    <t>寿司飯</t>
  </si>
  <si>
    <t>寿司飯　先生</t>
  </si>
  <si>
    <t>寿司飯　管理職</t>
  </si>
  <si>
    <t>ごはん　園児</t>
  </si>
  <si>
    <t>ごはん　先生</t>
  </si>
  <si>
    <t>おにぎり　園児</t>
  </si>
  <si>
    <t>おにぎり　先生</t>
  </si>
  <si>
    <t>試食　</t>
  </si>
  <si>
    <t>試食　先生</t>
  </si>
  <si>
    <t>朝食　園児</t>
  </si>
  <si>
    <t>朝食</t>
  </si>
  <si>
    <t>朝食　先生</t>
  </si>
  <si>
    <t>昼食　園児</t>
  </si>
  <si>
    <t>昼食</t>
  </si>
  <si>
    <t>昼食　先生</t>
  </si>
  <si>
    <t>夕食　園児</t>
  </si>
  <si>
    <t>夕食</t>
  </si>
  <si>
    <t>夕食　先生</t>
  </si>
  <si>
    <t>デザート　園児</t>
  </si>
  <si>
    <t>デザート　先生</t>
  </si>
  <si>
    <t>ぜんざい　園児</t>
  </si>
  <si>
    <t>ぜんざい</t>
  </si>
  <si>
    <t>ぜんざい　先生</t>
  </si>
  <si>
    <t>ケーキ　園児</t>
  </si>
  <si>
    <t>ケーキ　先生</t>
  </si>
  <si>
    <t>アーモンド小魚</t>
  </si>
  <si>
    <t>味付小魚</t>
  </si>
  <si>
    <t>アップルジュース</t>
  </si>
  <si>
    <t>オレンジジュース</t>
  </si>
  <si>
    <t>野菜ジュース</t>
  </si>
  <si>
    <t>ミニりんごジュース</t>
  </si>
  <si>
    <t>プチコンク</t>
  </si>
  <si>
    <t>お茶</t>
  </si>
  <si>
    <t>牛乳</t>
  </si>
  <si>
    <t>こんぶ</t>
  </si>
  <si>
    <t>バナナ</t>
  </si>
  <si>
    <t>きなこ</t>
  </si>
  <si>
    <t>ひなあられ</t>
  </si>
  <si>
    <t>いり大豆</t>
  </si>
  <si>
    <t>フルーツカップ</t>
  </si>
  <si>
    <t>みかんゼリー</t>
  </si>
  <si>
    <t>節分豆</t>
  </si>
  <si>
    <t>サラダカップ</t>
  </si>
  <si>
    <t>福神漬け</t>
  </si>
  <si>
    <t>漬物</t>
  </si>
  <si>
    <t>もち米</t>
  </si>
  <si>
    <t>砂糖</t>
  </si>
  <si>
    <t>そうめん</t>
  </si>
  <si>
    <t>ごはんとスープ</t>
  </si>
  <si>
    <t>おちゃわん</t>
  </si>
  <si>
    <t>お弁当</t>
  </si>
  <si>
    <t>鉢盛</t>
  </si>
  <si>
    <t>消費税</t>
  </si>
  <si>
    <t>チーズ</t>
  </si>
  <si>
    <t>おやつ　予備</t>
  </si>
  <si>
    <t>延長用おやつ</t>
  </si>
  <si>
    <t>延長おやつ</t>
  </si>
  <si>
    <t>さつま芋</t>
  </si>
  <si>
    <t>すいか</t>
  </si>
  <si>
    <t>サンドイッチ</t>
  </si>
  <si>
    <t>ジャム</t>
  </si>
  <si>
    <t>ピーナッツバター</t>
  </si>
  <si>
    <t>マヨネーズ</t>
  </si>
  <si>
    <t>レタス</t>
  </si>
  <si>
    <t>チェリー缶</t>
  </si>
  <si>
    <t>ﾁｪﾘｰ缶</t>
  </si>
  <si>
    <t>パイン缶</t>
  </si>
  <si>
    <t>ﾊﾟｲﾝ缶</t>
  </si>
  <si>
    <t>もも缶</t>
  </si>
  <si>
    <t>みかん缶</t>
  </si>
  <si>
    <t>おかずパック　園児</t>
  </si>
  <si>
    <t>おかずパック</t>
  </si>
  <si>
    <t>おやつ　同窓会</t>
  </si>
  <si>
    <t>同窓会</t>
  </si>
  <si>
    <t>からあげ</t>
  </si>
  <si>
    <t>からあげとポテト　同窓会</t>
  </si>
  <si>
    <t>クリームコンフェ</t>
  </si>
  <si>
    <t>クレープ　同窓会</t>
  </si>
  <si>
    <t>チキンナゲット</t>
  </si>
  <si>
    <t>ﾁｷﾝﾅｹﾞｯﾄ</t>
  </si>
  <si>
    <t>たこやき</t>
  </si>
  <si>
    <t>ドーナッツ　</t>
  </si>
  <si>
    <t>ドーナツ</t>
  </si>
  <si>
    <t>ハヤシライス　同窓会</t>
  </si>
  <si>
    <t>ｶﾚー</t>
  </si>
  <si>
    <t>プチドック　同窓会</t>
  </si>
  <si>
    <t>フランクフルト</t>
  </si>
  <si>
    <t>ﾌﾗﾝｸﾌﾙﾄ</t>
  </si>
  <si>
    <t>ポテト　同窓会</t>
  </si>
  <si>
    <t>焼きそば　園児</t>
  </si>
  <si>
    <t>焼きそば</t>
  </si>
  <si>
    <t>おかずパック　バザー</t>
  </si>
  <si>
    <t>バザー</t>
  </si>
  <si>
    <t>おやつ　バザー</t>
  </si>
  <si>
    <t>からあげ　バザー</t>
  </si>
  <si>
    <t>からあげとポテト　バザー</t>
  </si>
  <si>
    <t>クリームコンフェ　バザー</t>
  </si>
  <si>
    <t>クレープ　バザー</t>
  </si>
  <si>
    <t>チキンナゲット　バザー</t>
  </si>
  <si>
    <t>おにぎり　バザー</t>
  </si>
  <si>
    <t>たこやき　バザー</t>
  </si>
  <si>
    <t>ドーナッツ　バザー</t>
  </si>
  <si>
    <t>ハヤシライス　バザー</t>
  </si>
  <si>
    <t>カレー　バザー</t>
  </si>
  <si>
    <t>ｶﾚｰ　ﾊﾞｻﾞｰ</t>
  </si>
  <si>
    <t>プチドック</t>
  </si>
  <si>
    <t>ﾌﾟﾁﾄﾞｯｸ</t>
  </si>
  <si>
    <t>フランクフルト　バザー</t>
  </si>
  <si>
    <t>ポテト　バザー</t>
  </si>
  <si>
    <t>焼きそば　先生</t>
  </si>
  <si>
    <t>メディカル</t>
  </si>
  <si>
    <t>ごはん①　８Ｋ</t>
  </si>
  <si>
    <t>ごはん②　８Ｋ</t>
  </si>
  <si>
    <t>ごはん③　８Ｋ</t>
  </si>
  <si>
    <t>管理職</t>
  </si>
  <si>
    <t>実習生</t>
  </si>
  <si>
    <t>保護者様用</t>
  </si>
  <si>
    <t>消毒液</t>
  </si>
  <si>
    <t>フルーツ</t>
  </si>
  <si>
    <t>ケーキ</t>
  </si>
  <si>
    <t>特別ランチ　園児用</t>
  </si>
  <si>
    <t>特別ランチ</t>
  </si>
  <si>
    <t>ルー用保温箱</t>
  </si>
  <si>
    <t>　　　　　用保温箱</t>
  </si>
  <si>
    <t>アーモンドミニフィッシュ</t>
  </si>
  <si>
    <t>ｱｰﾓﾝﾄﾞﾐﾆﾌｨｯｼｭ</t>
  </si>
  <si>
    <t>ミニフィッシュ</t>
  </si>
  <si>
    <t>１０ｇチーズ</t>
  </si>
  <si>
    <t>型抜きチーズ</t>
  </si>
  <si>
    <t>おかわり用保温箱　２K</t>
  </si>
  <si>
    <t>おかわり用保温箱</t>
  </si>
  <si>
    <t>おかわり用保温箱　３K</t>
  </si>
  <si>
    <t>おかわり用保温箱　４K</t>
  </si>
  <si>
    <t>おかわり用保温箱　５K</t>
  </si>
  <si>
    <t>おかわり用保温箱　１K</t>
  </si>
  <si>
    <t>おかわり用保温箱　１．５K</t>
  </si>
  <si>
    <t>おわかり用保温箱　２．５K</t>
  </si>
  <si>
    <t>おかわり用保温箱　２．５K</t>
  </si>
  <si>
    <t>ウィンナー</t>
  </si>
  <si>
    <t>唐揚</t>
  </si>
  <si>
    <t>くま皿</t>
  </si>
  <si>
    <t>つけもの</t>
  </si>
  <si>
    <t>つぼ漬け</t>
  </si>
  <si>
    <t>ﾋﾟﾋﾟﾋﾟﾁｰｽﾞ</t>
  </si>
  <si>
    <t>ｾﾞﾘｰ</t>
  </si>
  <si>
    <t>ゼリー</t>
  </si>
  <si>
    <t>すりおろしｾﾞﾘｰ</t>
  </si>
  <si>
    <t>　　　　　　</t>
  </si>
  <si>
    <t>　.</t>
  </si>
  <si>
    <t>ちゃわん</t>
  </si>
  <si>
    <t>節分豆　QBB福豆5ｇ</t>
  </si>
  <si>
    <t>給食用福豆5ｇ</t>
  </si>
  <si>
    <t>節分豆　肥後福豆10ｇ</t>
  </si>
  <si>
    <t>給食用福豆10ｇ</t>
  </si>
  <si>
    <t>節分豆　肥後福豆ﾐｯｸｽ10ｇ</t>
  </si>
  <si>
    <t>肥後福豆ﾐｯｸｽ10ｇ</t>
  </si>
  <si>
    <t>節分豆　肥後リンカケ10ｇ</t>
  </si>
  <si>
    <t>ミツヤB２０ｇ</t>
  </si>
  <si>
    <t>節分豆　ミツヤA２２ｇ</t>
  </si>
  <si>
    <t>ミツヤA３０ｇ</t>
  </si>
  <si>
    <t>節分豆　肥後煎り大豆</t>
  </si>
  <si>
    <t>肥後煎り大豆</t>
  </si>
  <si>
    <t>ｽﾊﾟｹﾞﾃｨ給食</t>
  </si>
  <si>
    <t>ｽﾊﾟｹﾞﾃｨ</t>
  </si>
  <si>
    <t>ﾐｰﾄｿｰｽ</t>
  </si>
  <si>
    <t>豚汁用保温箱</t>
  </si>
  <si>
    <t>具材用保温箱</t>
  </si>
  <si>
    <t>コロッケ</t>
  </si>
  <si>
    <t>チキンカツ</t>
  </si>
  <si>
    <t>オムレツ</t>
  </si>
  <si>
    <t>とんかつ</t>
  </si>
  <si>
    <t>えだまめ</t>
  </si>
  <si>
    <t>お椀 ｶｯﾌﾟ 皿</t>
  </si>
  <si>
    <t>シューマイ</t>
  </si>
  <si>
    <t>もち</t>
  </si>
  <si>
    <t>給食セット</t>
  </si>
  <si>
    <t>食器</t>
  </si>
  <si>
    <t>主菜</t>
  </si>
  <si>
    <t>副菜</t>
  </si>
  <si>
    <t>スパゲティ</t>
  </si>
  <si>
    <t>ミートソース</t>
  </si>
  <si>
    <t>のり巻きおにぎり</t>
  </si>
  <si>
    <t>わかめおにぎり</t>
  </si>
  <si>
    <t>おかわり用おにぎり</t>
  </si>
  <si>
    <t>おかわり用半俵</t>
  </si>
  <si>
    <t>ドリンク</t>
  </si>
  <si>
    <t>麺</t>
  </si>
  <si>
    <t>汁物</t>
  </si>
  <si>
    <t>保温箱（大）</t>
  </si>
  <si>
    <t>保温箱（小）</t>
  </si>
  <si>
    <t>ルー保温箱（小）</t>
  </si>
  <si>
    <t>カレー皿</t>
  </si>
  <si>
    <t>先生カレー皿</t>
  </si>
  <si>
    <t>寸胴</t>
  </si>
  <si>
    <t>トレー</t>
  </si>
  <si>
    <t>しゃもじ</t>
  </si>
  <si>
    <t>お玉</t>
  </si>
  <si>
    <t>クリアケース</t>
  </si>
  <si>
    <t>パン箱</t>
  </si>
  <si>
    <t>くま</t>
  </si>
  <si>
    <t>ミッフィー</t>
  </si>
  <si>
    <t>ハムスター</t>
  </si>
  <si>
    <t>ｸｯｷﾝｸﾞ　園児</t>
  </si>
  <si>
    <t>ｸｯｷﾝｸﾞ</t>
  </si>
  <si>
    <t>ｸｯｷﾝｸﾞ　先生</t>
  </si>
  <si>
    <t>ﾌﾙｰﾂ</t>
  </si>
  <si>
    <t>牛乳200ｍｌ</t>
  </si>
  <si>
    <t>おでん　園児</t>
  </si>
  <si>
    <t>おでん</t>
  </si>
  <si>
    <t>保温箱</t>
  </si>
  <si>
    <t>おでん　先生</t>
  </si>
  <si>
    <t>パンランチ</t>
  </si>
  <si>
    <t>ﾊﾟﾝﾗﾝﾁ</t>
  </si>
  <si>
    <t>ﾊﾟﾝﾗﾝﾁ　先生</t>
  </si>
  <si>
    <t>中仕切り</t>
  </si>
  <si>
    <t>お好み焼き</t>
  </si>
  <si>
    <t>レモンタルト</t>
  </si>
  <si>
    <t>シークワーシャーゼリー</t>
  </si>
  <si>
    <t>いちごクレープ</t>
  </si>
  <si>
    <t>すりおろしゼリー　もも</t>
  </si>
  <si>
    <t>すりおろしゼリー　りんご</t>
  </si>
  <si>
    <t>うどん　園児</t>
  </si>
  <si>
    <t>うどん</t>
  </si>
  <si>
    <t>うどんスープ</t>
  </si>
  <si>
    <t>うどん　先生</t>
  </si>
  <si>
    <t>ぎょうざクッキング</t>
  </si>
  <si>
    <t>白玉</t>
  </si>
  <si>
    <t>懇親会子供用</t>
  </si>
  <si>
    <t>懇親会大人用</t>
  </si>
  <si>
    <t>お子様用</t>
  </si>
  <si>
    <t>おこさまよう</t>
  </si>
  <si>
    <t>委託</t>
  </si>
  <si>
    <t>フライドポテト</t>
  </si>
  <si>
    <t>ﾌﾗｲﾄﾞﾎﾟﾃﾄ</t>
  </si>
  <si>
    <t>生徒用　弁当</t>
  </si>
  <si>
    <t>ウインナーパン</t>
  </si>
  <si>
    <t>カレーパン</t>
  </si>
  <si>
    <t>天使のほっぺ</t>
  </si>
  <si>
    <t>キャロット紫芋パン</t>
  </si>
  <si>
    <t>園児用おかずパツク　</t>
  </si>
  <si>
    <t>先生用おかずパツク</t>
  </si>
  <si>
    <t>園児用特別ランチ</t>
  </si>
  <si>
    <t>先生用特別ランチ</t>
  </si>
  <si>
    <t>園児用スパゲッティ</t>
  </si>
  <si>
    <t>先生用スパゲッティ</t>
  </si>
  <si>
    <t>園児用弁当　ご飯あり</t>
  </si>
  <si>
    <t>園児用弁当　ご飯なし</t>
  </si>
  <si>
    <t>園児用　スパゲッティ</t>
  </si>
  <si>
    <t>先生用　スパゲッティ</t>
  </si>
  <si>
    <t>食育園児用うどん</t>
  </si>
  <si>
    <t>食育うどん</t>
  </si>
  <si>
    <t>スープ用保温箱</t>
  </si>
  <si>
    <t>食育先生用うどん</t>
  </si>
  <si>
    <t>食育園児用巻き寿司</t>
  </si>
  <si>
    <t>食育先生用巻き寿司</t>
  </si>
  <si>
    <t>食育保護者用巻き寿司</t>
  </si>
  <si>
    <t>ハンバーグピザパン</t>
  </si>
  <si>
    <t>しましまチョコパン</t>
  </si>
  <si>
    <t>しましまメロンパン</t>
  </si>
  <si>
    <t>おにぎりパック</t>
  </si>
  <si>
    <t>焼きおにぎり</t>
  </si>
  <si>
    <t>スイートポテト</t>
  </si>
  <si>
    <t>食育　園児</t>
  </si>
  <si>
    <t>食育</t>
  </si>
  <si>
    <t>おかず③</t>
  </si>
  <si>
    <t>おかず④</t>
  </si>
  <si>
    <t>お皿</t>
  </si>
  <si>
    <t>送料</t>
  </si>
  <si>
    <t>食育　先生</t>
  </si>
  <si>
    <t>ﾊﾟｯｸ弁当　</t>
  </si>
  <si>
    <t>パック弁当</t>
  </si>
  <si>
    <t>ﾊﾟｯｸ弁当</t>
  </si>
  <si>
    <t>ハム</t>
  </si>
  <si>
    <t>ガトーショコラ</t>
  </si>
  <si>
    <t>桜もち</t>
  </si>
  <si>
    <t>お弁当用袋</t>
  </si>
  <si>
    <t>食育園児用ｻﾝﾄﾞｲｯﾁ</t>
  </si>
  <si>
    <t>食育サンドイッチ</t>
  </si>
  <si>
    <t>食育先生用ｻﾝﾄﾞｲｯﾁ</t>
  </si>
  <si>
    <t>食育保護者用ｻﾝﾄﾞｲｯﾁ</t>
  </si>
  <si>
    <t>食育保護者用うどん</t>
  </si>
  <si>
    <t>節分豆　肥後りんかけ　10ｇ</t>
  </si>
  <si>
    <t>節分豆　肥後りんかけ10ｇ</t>
  </si>
  <si>
    <t>節分豆　給食用福豆10ｇ</t>
  </si>
  <si>
    <t>節分豆　10ｇ</t>
  </si>
  <si>
    <t>節分豆　肥後ﾐｯｸｽ10ｇ</t>
  </si>
  <si>
    <t>節分豆　ミツヤ２０ｇ</t>
  </si>
  <si>
    <t>節分豆　ミツヤ２２ｇ</t>
  </si>
  <si>
    <t>特別ランチ　先生用</t>
  </si>
  <si>
    <t>おかずパック　先生</t>
  </si>
  <si>
    <t>夏祭り</t>
  </si>
  <si>
    <t>おやつ　先生用</t>
  </si>
  <si>
    <t>食育園児用寿司とだご汁</t>
  </si>
  <si>
    <t>食育先生用寿司とだご汁</t>
  </si>
  <si>
    <t>食育保護者用寿司とだご汁</t>
  </si>
  <si>
    <t>野菜</t>
  </si>
  <si>
    <t>肉</t>
  </si>
  <si>
    <t>ゼリー　園児</t>
  </si>
  <si>
    <t>ごはんと汁物</t>
  </si>
  <si>
    <t>値引き</t>
  </si>
  <si>
    <t>ひなあられセット</t>
  </si>
  <si>
    <t>ひなあられセット　先生</t>
  </si>
  <si>
    <t>ひなあられセット　先生用</t>
  </si>
  <si>
    <t>おかしセット　園児用</t>
  </si>
  <si>
    <t>おかしセット　先生用</t>
  </si>
  <si>
    <t>焼きうどん</t>
  </si>
  <si>
    <t>焼きうどん　先生用</t>
  </si>
  <si>
    <t>学童　飯有り</t>
  </si>
  <si>
    <t>学童　飯無し</t>
  </si>
  <si>
    <t>予備</t>
  </si>
  <si>
    <t>節分豆　肥後黒糖豆１０ｇ</t>
  </si>
  <si>
    <t>節分豆　ミツヤミックス１８ｇ</t>
  </si>
  <si>
    <t>お別れ会　園児</t>
  </si>
  <si>
    <t>お別れ会　先生</t>
  </si>
  <si>
    <t>弁当　園児（満3歳児）</t>
  </si>
  <si>
    <t>弁当園児（満3歳児）</t>
  </si>
  <si>
    <t>冷めん　園児</t>
  </si>
  <si>
    <t>冷めん</t>
  </si>
  <si>
    <t>冷めん　先生</t>
  </si>
  <si>
    <t>とうもろこし</t>
  </si>
  <si>
    <t>ドライカレー　園児用</t>
  </si>
  <si>
    <t>ドライカレー　</t>
  </si>
  <si>
    <t>ドライカレー　先生用</t>
  </si>
  <si>
    <t>ドライカレー</t>
  </si>
  <si>
    <t>にゅうめん　園児</t>
  </si>
  <si>
    <t>にゅうめん</t>
  </si>
  <si>
    <t>にゅうめん　先生</t>
  </si>
  <si>
    <t>オムライス　園児</t>
  </si>
  <si>
    <t>オムライス</t>
  </si>
  <si>
    <t>オムレツシート</t>
  </si>
  <si>
    <t>オムライス　先生</t>
  </si>
  <si>
    <t>ラーメン　園児</t>
  </si>
  <si>
    <t>ラーメン</t>
  </si>
  <si>
    <t>中華あんかけ</t>
  </si>
  <si>
    <t>ラーメン　先生</t>
  </si>
  <si>
    <t>食育　バイキング　園児</t>
  </si>
  <si>
    <t>食育　バイキング　先生</t>
  </si>
  <si>
    <t>配膳給食　園児</t>
  </si>
  <si>
    <t>配膳給食</t>
  </si>
  <si>
    <t>配膳給食　先生</t>
  </si>
  <si>
    <t>製造加工費</t>
  </si>
  <si>
    <t>配送費</t>
  </si>
  <si>
    <t>事務管理費</t>
  </si>
  <si>
    <t>メロンパン</t>
  </si>
  <si>
    <t>ロールパン</t>
  </si>
  <si>
    <t>ちらし寿司</t>
  </si>
  <si>
    <t>ちらし寿司　先生</t>
  </si>
  <si>
    <t>　</t>
  </si>
  <si>
    <t>クリスマス クッキー　園児</t>
  </si>
  <si>
    <t>クリスマス　クッキー園児</t>
  </si>
  <si>
    <t>クリスマス クッキー　先生</t>
  </si>
  <si>
    <t>クリスマス　クッキー　先生</t>
  </si>
  <si>
    <t>もち給食　園児</t>
  </si>
  <si>
    <t>おもち　３コ</t>
  </si>
  <si>
    <t>もち給食　先生</t>
  </si>
  <si>
    <t>めん給食　園児</t>
  </si>
  <si>
    <t>めん給食　先生</t>
  </si>
  <si>
    <t>豚丼　園児</t>
  </si>
  <si>
    <t>豚丼</t>
  </si>
  <si>
    <t>豚丼　先生</t>
  </si>
  <si>
    <t>ミルクロールパン</t>
  </si>
  <si>
    <t>おにぎりとスープ</t>
  </si>
  <si>
    <t>汁用保温箱　大</t>
  </si>
  <si>
    <t>どんぶり給食　園児</t>
  </si>
  <si>
    <t>どんぶり具</t>
  </si>
  <si>
    <t>どんぶり</t>
  </si>
  <si>
    <t>どんぶり給食　先生</t>
  </si>
  <si>
    <t>容器</t>
  </si>
  <si>
    <t>調整</t>
  </si>
  <si>
    <t>チーズドッグ</t>
  </si>
  <si>
    <t>ワッフル</t>
  </si>
  <si>
    <t>たい焼き（あんこ）</t>
  </si>
  <si>
    <t>たい焼き（カスタード）</t>
  </si>
  <si>
    <t>プリン</t>
  </si>
  <si>
    <t>自園給食　園児</t>
  </si>
  <si>
    <t>自園給食</t>
  </si>
  <si>
    <t>自園給食　先生</t>
  </si>
  <si>
    <t>節分豆　ヨコイ福豆5ｇ</t>
  </si>
  <si>
    <t>節分豆　きなこボーロ福豆5ｇ</t>
  </si>
  <si>
    <t>節分豆　きなこぼーろ福豆5ｇ</t>
  </si>
  <si>
    <t>給食用きなこボーロ</t>
  </si>
  <si>
    <t>節分豆　ｽｲｰﾄﾎﾟﾃﾄ＆ﾌｨｯｼｭ</t>
  </si>
  <si>
    <t>ｽｲｰﾄﾎﾟﾃﾄ＆ﾌｨｯｼｭ</t>
  </si>
  <si>
    <t>ミツヤ節分豆10ｇ</t>
  </si>
  <si>
    <t>三種の福豆</t>
  </si>
  <si>
    <t>節分豆　豆まき用炒り大豆</t>
  </si>
  <si>
    <t>炒り大豆</t>
  </si>
  <si>
    <t>ビーフン　園児</t>
  </si>
  <si>
    <t>ビーフン</t>
  </si>
  <si>
    <t>ビーフン　先生</t>
  </si>
  <si>
    <t>ゼリー　先生</t>
  </si>
  <si>
    <t>もち米　先生</t>
  </si>
  <si>
    <t>給食振り替え分</t>
  </si>
  <si>
    <t>給食（夕食）</t>
  </si>
  <si>
    <t>給食（朝食）</t>
  </si>
  <si>
    <t>セントラル</t>
  </si>
  <si>
    <t>アジフライ</t>
  </si>
  <si>
    <t>包材</t>
  </si>
  <si>
    <t>配膳スマ</t>
    <phoneticPr fontId="1"/>
  </si>
  <si>
    <t>配膳ぶろ</t>
    <phoneticPr fontId="1"/>
  </si>
  <si>
    <t>スケジュール①</t>
    <phoneticPr fontId="1"/>
  </si>
  <si>
    <t>スケジュール②</t>
    <phoneticPr fontId="1"/>
  </si>
  <si>
    <t>※入力してください。▶</t>
    <rPh sb="1" eb="3">
      <t>ニュウリョク</t>
    </rPh>
    <phoneticPr fontId="1"/>
  </si>
  <si>
    <t/>
  </si>
  <si>
    <t>赤　パン　　</t>
    <phoneticPr fontId="1"/>
  </si>
  <si>
    <t>ニシム</t>
    <phoneticPr fontId="1"/>
  </si>
  <si>
    <t>新日本製薬</t>
    <rPh sb="0" eb="5">
      <t>シンニホンセイヤク</t>
    </rPh>
    <phoneticPr fontId="1"/>
  </si>
  <si>
    <t>配送</t>
    <rPh sb="0" eb="2">
      <t>ハイソウ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</si>
</sst>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&quot;箱&quot;"/>
  </numFmts>
  <fonts count="3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11"/>
      <color rgb="FFFF0000"/>
      <name val="游ゴシック"/>
      <family val="2"/>
      <charset val="128"/>
      <scheme val="minor"/>
    </font>
    <font>
      <sz val="11"/>
      <color theme="0" tint="-4.9989318521683403E-2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4"/>
      <name val="ＭＳ Ｐゴシック"/>
      <family val="3"/>
      <charset val="128"/>
    </font>
    <font>
      <sz val="14"/>
      <color theme="1"/>
      <name val="游ゴシック"/>
      <family val="2"/>
      <charset val="128"/>
      <scheme val="minor"/>
    </font>
    <font>
      <b/>
      <sz val="18"/>
      <name val="Arial Black"/>
      <family val="2"/>
    </font>
    <font>
      <b/>
      <sz val="28"/>
      <name val="Arial Black"/>
      <family val="2"/>
    </font>
    <font>
      <sz val="28"/>
      <color theme="1"/>
      <name val="Arial Black"/>
      <family val="2"/>
    </font>
    <font>
      <sz val="11"/>
      <color theme="0"/>
      <name val="游ゴシック"/>
      <family val="3"/>
      <charset val="128"/>
      <scheme val="minor"/>
    </font>
    <font>
      <sz val="14"/>
      <color theme="0"/>
      <name val="游ゴシック"/>
      <family val="2"/>
      <charset val="128"/>
      <scheme val="minor"/>
    </font>
    <font>
      <sz val="14"/>
      <color rgb="FFFF0000"/>
      <name val="游ゴシック"/>
      <family val="2"/>
      <charset val="128"/>
      <scheme val="minor"/>
    </font>
    <font>
      <sz val="4"/>
      <color theme="1"/>
      <name val="游ゴシック"/>
      <family val="2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2"/>
      <name val="游ゴシック"/>
      <family val="2"/>
      <charset val="128"/>
      <scheme val="minor"/>
    </font>
    <font>
      <sz val="11"/>
      <color theme="1"/>
      <name val="HG創英角ｺﾞｼｯｸUB"/>
      <family val="3"/>
      <charset val="128"/>
    </font>
    <font>
      <sz val="14"/>
      <name val="游ゴシック"/>
      <family val="3"/>
      <charset val="128"/>
      <scheme val="minor"/>
    </font>
    <font>
      <sz val="14"/>
      <color theme="0"/>
      <name val="游ゴシック"/>
      <family val="3"/>
      <charset val="128"/>
      <scheme val="minor"/>
    </font>
    <font>
      <b/>
      <sz val="28"/>
      <color theme="1"/>
      <name val="Arial Black"/>
      <family val="2"/>
    </font>
    <font>
      <b/>
      <sz val="12"/>
      <color rgb="FFFF0000"/>
      <name val="游ゴシック"/>
      <family val="3"/>
      <charset val="128"/>
      <scheme val="minor"/>
    </font>
    <font>
      <b/>
      <sz val="16"/>
      <color theme="1"/>
      <name val="Aptos Black"/>
      <family val="2"/>
    </font>
    <font>
      <sz val="6"/>
      <color theme="0"/>
      <name val="HG創英角ｺﾞｼｯｸUB"/>
      <family val="3"/>
      <charset val="128"/>
    </font>
    <font>
      <sz val="11"/>
      <color theme="0"/>
      <name val="HG創英角ｺﾞｼｯｸUB"/>
      <family val="3"/>
      <charset val="128"/>
    </font>
    <font>
      <sz val="9"/>
      <name val="HG創英角ｺﾞｼｯｸUB"/>
      <family val="3"/>
      <charset val="128"/>
    </font>
    <font>
      <sz val="11"/>
      <name val="HG創英角ｺﾞｼｯｸUB"/>
      <family val="3"/>
      <charset val="128"/>
    </font>
    <font>
      <sz val="11"/>
      <color rgb="FFFF0000"/>
      <name val="HG創英角ｺﾞｼｯｸUB"/>
      <family val="3"/>
      <charset val="128"/>
    </font>
    <font>
      <sz val="11"/>
      <color theme="0" tint="-4.9989318521683403E-2"/>
      <name val="HG創英角ｺﾞｼｯｸUB"/>
      <family val="3"/>
      <charset val="128"/>
    </font>
    <font>
      <sz val="14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28"/>
      <name val="Arial Black"/>
      <family val="2"/>
    </font>
    <font>
      <sz val="8"/>
      <name val="游ゴシック"/>
      <family val="2"/>
      <charset val="128"/>
      <scheme val="minor"/>
    </font>
    <font>
      <sz val="16"/>
      <name val="HGS創英角ｺﾞｼｯｸUB"/>
      <family val="3"/>
      <charset val="128"/>
    </font>
    <font>
      <sz val="16"/>
      <color theme="1"/>
      <name val="HGS創英角ｺﾞｼｯｸUB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71">
    <xf numFmtId="0" fontId="0" fillId="0" borderId="0" xfId="0">
      <alignment vertical="center"/>
    </xf>
    <xf numFmtId="0" fontId="0" fillId="0" borderId="2" xfId="0" applyBorder="1">
      <alignment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0" fontId="0" fillId="0" borderId="5" xfId="0" applyBorder="1">
      <alignment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4" xfId="0" applyBorder="1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>
      <alignment vertical="center"/>
    </xf>
    <xf numFmtId="0" fontId="0" fillId="2" borderId="1" xfId="0" applyFill="1" applyBorder="1" applyAlignment="1">
      <alignment vertical="top" wrapText="1" shrinkToFit="1"/>
    </xf>
    <xf numFmtId="0" fontId="0" fillId="2" borderId="13" xfId="0" applyFill="1" applyBorder="1" applyAlignment="1">
      <alignment vertical="top" wrapText="1" shrinkToFit="1"/>
    </xf>
    <xf numFmtId="0" fontId="0" fillId="2" borderId="2" xfId="0" applyFill="1" applyBorder="1" applyAlignment="1">
      <alignment vertical="top" wrapText="1" shrinkToFit="1"/>
    </xf>
    <xf numFmtId="0" fontId="0" fillId="0" borderId="0" xfId="0" applyAlignment="1">
      <alignment vertical="top" wrapText="1"/>
    </xf>
    <xf numFmtId="0" fontId="0" fillId="3" borderId="4" xfId="0" applyFill="1" applyBorder="1">
      <alignment vertical="center"/>
    </xf>
    <xf numFmtId="0" fontId="0" fillId="3" borderId="11" xfId="0" applyFill="1" applyBorder="1">
      <alignment vertical="center"/>
    </xf>
    <xf numFmtId="0" fontId="0" fillId="3" borderId="12" xfId="0" applyFill="1" applyBorder="1">
      <alignment vertical="center"/>
    </xf>
    <xf numFmtId="0" fontId="0" fillId="3" borderId="0" xfId="0" applyFill="1">
      <alignment vertical="center"/>
    </xf>
    <xf numFmtId="0" fontId="0" fillId="4" borderId="4" xfId="0" applyFill="1" applyBorder="1">
      <alignment vertical="center"/>
    </xf>
    <xf numFmtId="0" fontId="0" fillId="4" borderId="11" xfId="0" applyFill="1" applyBorder="1">
      <alignment vertical="center"/>
    </xf>
    <xf numFmtId="0" fontId="0" fillId="4" borderId="12" xfId="0" applyFill="1" applyBorder="1">
      <alignment vertical="center"/>
    </xf>
    <xf numFmtId="0" fontId="0" fillId="4" borderId="5" xfId="0" applyFill="1" applyBorder="1">
      <alignment vertical="center"/>
    </xf>
    <xf numFmtId="0" fontId="0" fillId="4" borderId="9" xfId="0" applyFill="1" applyBorder="1">
      <alignment vertical="center"/>
    </xf>
    <xf numFmtId="0" fontId="0" fillId="4" borderId="10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8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11" xfId="0" applyFill="1" applyBorder="1">
      <alignment vertical="center"/>
    </xf>
    <xf numFmtId="0" fontId="0" fillId="5" borderId="12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9" xfId="0" applyFill="1" applyBorder="1">
      <alignment vertical="center"/>
    </xf>
    <xf numFmtId="0" fontId="0" fillId="5" borderId="10" xfId="0" applyFill="1" applyBorder="1">
      <alignment vertical="center"/>
    </xf>
    <xf numFmtId="0" fontId="3" fillId="0" borderId="0" xfId="0" applyFont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8" fillId="0" borderId="0" xfId="0" applyFont="1" applyAlignment="1"/>
    <xf numFmtId="0" fontId="6" fillId="0" borderId="13" xfId="0" applyFont="1" applyBorder="1">
      <alignment vertical="center"/>
    </xf>
    <xf numFmtId="0" fontId="12" fillId="0" borderId="2" xfId="0" applyFont="1" applyBorder="1">
      <alignment vertical="center"/>
    </xf>
    <xf numFmtId="0" fontId="12" fillId="0" borderId="14" xfId="0" applyFont="1" applyBorder="1">
      <alignment vertical="center"/>
    </xf>
    <xf numFmtId="0" fontId="4" fillId="0" borderId="11" xfId="0" applyFont="1" applyBorder="1">
      <alignment vertical="center"/>
    </xf>
    <xf numFmtId="0" fontId="4" fillId="0" borderId="0" xfId="0" applyFont="1" applyAlignment="1"/>
    <xf numFmtId="0" fontId="4" fillId="0" borderId="9" xfId="0" applyFont="1" applyBorder="1">
      <alignment vertical="center"/>
    </xf>
    <xf numFmtId="0" fontId="0" fillId="7" borderId="6" xfId="0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0" fontId="4" fillId="0" borderId="1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center"/>
    </xf>
    <xf numFmtId="0" fontId="13" fillId="0" borderId="0" xfId="0" applyFont="1" applyAlignment="1"/>
    <xf numFmtId="0" fontId="8" fillId="0" borderId="0" xfId="0" applyFont="1">
      <alignment vertical="center"/>
    </xf>
    <xf numFmtId="0" fontId="13" fillId="0" borderId="11" xfId="0" applyFont="1" applyBorder="1" applyAlignment="1"/>
    <xf numFmtId="0" fontId="7" fillId="0" borderId="0" xfId="0" applyFont="1" applyAlignment="1">
      <alignment horizontal="left" vertical="center"/>
    </xf>
    <xf numFmtId="0" fontId="13" fillId="0" borderId="11" xfId="0" applyFont="1" applyBorder="1">
      <alignment vertical="center"/>
    </xf>
    <xf numFmtId="0" fontId="8" fillId="0" borderId="12" xfId="0" applyFont="1" applyBorder="1">
      <alignment vertical="center"/>
    </xf>
    <xf numFmtId="0" fontId="14" fillId="0" borderId="0" xfId="0" applyFont="1" applyAlignment="1"/>
    <xf numFmtId="0" fontId="8" fillId="0" borderId="11" xfId="0" applyFont="1" applyBorder="1" applyAlignment="1">
      <alignment vertical="top"/>
    </xf>
    <xf numFmtId="0" fontId="15" fillId="0" borderId="0" xfId="0" applyFont="1" applyAlignment="1"/>
    <xf numFmtId="0" fontId="16" fillId="0" borderId="12" xfId="0" applyFont="1" applyBorder="1" applyAlignment="1">
      <alignment horizontal="left" vertical="center"/>
    </xf>
    <xf numFmtId="0" fontId="16" fillId="0" borderId="12" xfId="0" applyFont="1" applyBorder="1">
      <alignment vertical="center"/>
    </xf>
    <xf numFmtId="0" fontId="16" fillId="0" borderId="0" xfId="0" applyFont="1" applyAlignment="1"/>
    <xf numFmtId="0" fontId="2" fillId="0" borderId="8" xfId="0" applyFont="1" applyBorder="1" applyAlignment="1">
      <alignment horizontal="center"/>
    </xf>
    <xf numFmtId="0" fontId="17" fillId="0" borderId="6" xfId="0" applyFont="1" applyBorder="1">
      <alignment vertical="center"/>
    </xf>
    <xf numFmtId="0" fontId="0" fillId="0" borderId="15" xfId="0" applyBorder="1" applyAlignment="1"/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19" fillId="0" borderId="0" xfId="0" applyFont="1" applyAlignment="1">
      <alignment horizontal="left" vertical="center"/>
    </xf>
    <xf numFmtId="176" fontId="16" fillId="0" borderId="0" xfId="0" applyNumberFormat="1" applyFont="1" applyAlignment="1">
      <alignment horizontal="right" vertical="center"/>
    </xf>
    <xf numFmtId="0" fontId="20" fillId="0" borderId="0" xfId="0" applyFont="1" applyAlignment="1"/>
    <xf numFmtId="0" fontId="20" fillId="0" borderId="11" xfId="0" applyFont="1" applyBorder="1" applyAlignment="1"/>
    <xf numFmtId="0" fontId="11" fillId="0" borderId="0" xfId="0" applyFont="1" applyAlignment="1"/>
    <xf numFmtId="0" fontId="0" fillId="0" borderId="1" xfId="0" applyBorder="1" applyAlignment="1"/>
    <xf numFmtId="0" fontId="22" fillId="0" borderId="0" xfId="0" applyFont="1" applyAlignment="1"/>
    <xf numFmtId="0" fontId="23" fillId="7" borderId="1" xfId="0" applyFont="1" applyFill="1" applyBorder="1" applyAlignment="1">
      <alignment horizontal="center" vertical="center"/>
    </xf>
    <xf numFmtId="0" fontId="23" fillId="7" borderId="1" xfId="0" applyFont="1" applyFill="1" applyBorder="1" applyAlignment="1">
      <alignment horizontal="center"/>
    </xf>
    <xf numFmtId="0" fontId="18" fillId="0" borderId="3" xfId="0" applyFont="1" applyBorder="1">
      <alignment vertical="center"/>
    </xf>
    <xf numFmtId="0" fontId="24" fillId="0" borderId="13" xfId="0" applyFont="1" applyBorder="1" applyAlignment="1">
      <alignment horizontal="center" vertical="center"/>
    </xf>
    <xf numFmtId="0" fontId="25" fillId="6" borderId="8" xfId="0" applyFont="1" applyFill="1" applyBorder="1" applyAlignment="1">
      <alignment horizontal="center" vertical="center"/>
    </xf>
    <xf numFmtId="0" fontId="26" fillId="0" borderId="2" xfId="0" applyFont="1" applyBorder="1" applyAlignment="1">
      <alignment horizontal="center" vertical="center"/>
    </xf>
    <xf numFmtId="0" fontId="25" fillId="0" borderId="13" xfId="0" applyFont="1" applyBorder="1" applyAlignment="1">
      <alignment horizontal="center" vertical="center"/>
    </xf>
    <xf numFmtId="0" fontId="26" fillId="0" borderId="14" xfId="0" applyFont="1" applyBorder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7" fillId="0" borderId="14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18" fillId="0" borderId="1" xfId="0" applyFont="1" applyBorder="1" applyAlignment="1">
      <alignment horizontal="center" vertical="center"/>
    </xf>
    <xf numFmtId="0" fontId="18" fillId="0" borderId="7" xfId="0" applyFont="1" applyBorder="1">
      <alignment vertical="center"/>
    </xf>
    <xf numFmtId="0" fontId="18" fillId="0" borderId="8" xfId="0" applyFont="1" applyBorder="1">
      <alignment vertical="center"/>
    </xf>
    <xf numFmtId="0" fontId="18" fillId="0" borderId="0" xfId="0" applyFont="1">
      <alignment vertical="center"/>
    </xf>
    <xf numFmtId="0" fontId="18" fillId="0" borderId="4" xfId="0" applyFont="1" applyBorder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28" fillId="0" borderId="1" xfId="0" applyFont="1" applyBorder="1" applyAlignment="1">
      <alignment horizontal="center" vertical="center"/>
    </xf>
    <xf numFmtId="0" fontId="29" fillId="0" borderId="1" xfId="0" applyFont="1" applyBorder="1" applyAlignment="1">
      <alignment horizontal="center" vertical="center"/>
    </xf>
    <xf numFmtId="0" fontId="18" fillId="0" borderId="13" xfId="0" applyFont="1" applyBorder="1">
      <alignment vertical="center"/>
    </xf>
    <xf numFmtId="0" fontId="18" fillId="0" borderId="2" xfId="0" applyFont="1" applyBorder="1">
      <alignment vertical="center"/>
    </xf>
    <xf numFmtId="0" fontId="18" fillId="0" borderId="5" xfId="0" applyFont="1" applyBorder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8" fillId="0" borderId="0" xfId="0" applyFont="1">
      <alignment vertical="center"/>
    </xf>
    <xf numFmtId="0" fontId="7" fillId="0" borderId="7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 wrapText="1"/>
    </xf>
    <xf numFmtId="0" fontId="0" fillId="0" borderId="10" xfId="0" applyBorder="1" applyAlignment="1"/>
    <xf numFmtId="0" fontId="10" fillId="0" borderId="15" xfId="0" applyFont="1" applyBorder="1" applyAlignment="1">
      <alignment horizontal="center" vertical="center"/>
    </xf>
    <xf numFmtId="0" fontId="0" fillId="0" borderId="0" xfId="0" applyAlignment="1"/>
    <xf numFmtId="0" fontId="0" fillId="0" borderId="15" xfId="0" applyBorder="1" applyAlignment="1"/>
    <xf numFmtId="0" fontId="8" fillId="0" borderId="0" xfId="0" applyFont="1" applyAlignment="1">
      <alignment horizontal="center"/>
    </xf>
    <xf numFmtId="0" fontId="9" fillId="0" borderId="5" xfId="0" applyFont="1" applyBorder="1" applyAlignment="1">
      <alignment horizontal="center" vertical="center"/>
    </xf>
    <xf numFmtId="0" fontId="21" fillId="0" borderId="0" xfId="0" applyFont="1" applyAlignment="1">
      <alignment horizontal="center" vertical="center"/>
    </xf>
    <xf numFmtId="0" fontId="21" fillId="0" borderId="12" xfId="0" applyFont="1" applyBorder="1" applyAlignment="1">
      <alignment horizontal="center" vertical="center"/>
    </xf>
    <xf numFmtId="0" fontId="21" fillId="0" borderId="15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30" fillId="0" borderId="0" xfId="0" applyFont="1" applyAlignment="1"/>
    <xf numFmtId="0" fontId="30" fillId="0" borderId="6" xfId="0" applyFont="1" applyBorder="1">
      <alignment vertical="center"/>
    </xf>
    <xf numFmtId="0" fontId="31" fillId="0" borderId="7" xfId="0" applyFont="1" applyBorder="1" applyAlignment="1"/>
    <xf numFmtId="0" fontId="30" fillId="0" borderId="0" xfId="0" applyFont="1">
      <alignment vertical="center"/>
    </xf>
    <xf numFmtId="0" fontId="30" fillId="7" borderId="0" xfId="0" applyFont="1" applyFill="1">
      <alignment vertical="center"/>
    </xf>
    <xf numFmtId="176" fontId="30" fillId="7" borderId="0" xfId="0" applyNumberFormat="1" applyFont="1" applyFill="1">
      <alignment vertical="center"/>
    </xf>
    <xf numFmtId="0" fontId="30" fillId="0" borderId="11" xfId="0" applyFont="1" applyBorder="1" applyAlignment="1"/>
    <xf numFmtId="0" fontId="30" fillId="0" borderId="0" xfId="0" applyFont="1" applyAlignment="1">
      <alignment wrapText="1"/>
    </xf>
    <xf numFmtId="176" fontId="30" fillId="0" borderId="0" xfId="0" applyNumberFormat="1" applyFont="1" applyAlignment="1">
      <alignment horizontal="right" vertical="center"/>
    </xf>
    <xf numFmtId="0" fontId="30" fillId="0" borderId="11" xfId="0" applyFont="1" applyBorder="1">
      <alignment vertical="center"/>
    </xf>
    <xf numFmtId="0" fontId="30" fillId="0" borderId="0" xfId="0" applyFont="1" applyAlignment="1">
      <alignment horizontal="center"/>
    </xf>
    <xf numFmtId="0" fontId="30" fillId="0" borderId="0" xfId="0" applyFont="1">
      <alignment vertical="center"/>
    </xf>
    <xf numFmtId="0" fontId="30" fillId="0" borderId="0" xfId="0" applyFont="1" applyAlignment="1">
      <alignment horizontal="center" vertical="center"/>
    </xf>
    <xf numFmtId="0" fontId="31" fillId="0" borderId="0" xfId="0" applyFont="1" applyAlignment="1"/>
    <xf numFmtId="0" fontId="31" fillId="0" borderId="11" xfId="0" applyFont="1" applyBorder="1">
      <alignment vertical="center"/>
    </xf>
    <xf numFmtId="0" fontId="31" fillId="0" borderId="0" xfId="0" applyFont="1" applyAlignment="1"/>
    <xf numFmtId="0" fontId="32" fillId="0" borderId="15" xfId="0" applyFont="1" applyBorder="1" applyAlignment="1">
      <alignment horizontal="center"/>
    </xf>
    <xf numFmtId="0" fontId="31" fillId="0" borderId="0" xfId="0" applyFont="1">
      <alignment vertical="center"/>
    </xf>
    <xf numFmtId="0" fontId="31" fillId="0" borderId="9" xfId="0" applyFont="1" applyBorder="1">
      <alignment vertical="center"/>
    </xf>
    <xf numFmtId="0" fontId="31" fillId="0" borderId="15" xfId="0" applyFont="1" applyBorder="1" applyAlignment="1"/>
    <xf numFmtId="0" fontId="30" fillId="0" borderId="11" xfId="0" applyFont="1" applyBorder="1" applyAlignment="1">
      <alignment vertical="top"/>
    </xf>
    <xf numFmtId="0" fontId="30" fillId="0" borderId="12" xfId="0" applyFont="1" applyBorder="1">
      <alignment vertical="center"/>
    </xf>
    <xf numFmtId="0" fontId="31" fillId="0" borderId="10" xfId="0" applyFont="1" applyBorder="1" applyAlignment="1"/>
    <xf numFmtId="0" fontId="1" fillId="0" borderId="8" xfId="0" applyFont="1" applyBorder="1">
      <alignment vertical="center"/>
    </xf>
    <xf numFmtId="0" fontId="1" fillId="0" borderId="12" xfId="0" applyFont="1" applyBorder="1" applyAlignment="1">
      <alignment horizontal="left" vertical="center"/>
    </xf>
    <xf numFmtId="0" fontId="1" fillId="0" borderId="12" xfId="0" applyFont="1" applyBorder="1">
      <alignment vertical="center"/>
    </xf>
    <xf numFmtId="0" fontId="1" fillId="0" borderId="10" xfId="0" applyFont="1" applyBorder="1">
      <alignment vertical="center"/>
    </xf>
    <xf numFmtId="0" fontId="1" fillId="0" borderId="0" xfId="0" applyFont="1" applyAlignment="1"/>
    <xf numFmtId="0" fontId="33" fillId="0" borderId="8" xfId="0" applyFont="1" applyBorder="1">
      <alignment vertical="center"/>
    </xf>
    <xf numFmtId="0" fontId="33" fillId="0" borderId="12" xfId="0" applyFont="1" applyBorder="1" applyAlignment="1">
      <alignment horizontal="left" vertical="center"/>
    </xf>
    <xf numFmtId="0" fontId="33" fillId="0" borderId="12" xfId="0" applyFont="1" applyBorder="1">
      <alignment vertical="center"/>
    </xf>
    <xf numFmtId="0" fontId="33" fillId="0" borderId="10" xfId="0" applyFont="1" applyBorder="1">
      <alignment vertical="center"/>
    </xf>
    <xf numFmtId="0" fontId="33" fillId="0" borderId="0" xfId="0" applyFont="1" applyAlignment="1"/>
    <xf numFmtId="0" fontId="31" fillId="2" borderId="0" xfId="0" applyFont="1" applyFill="1">
      <alignment vertical="center"/>
    </xf>
    <xf numFmtId="0" fontId="31" fillId="2" borderId="0" xfId="0" applyFont="1" applyFill="1" applyAlignment="1"/>
    <xf numFmtId="0" fontId="34" fillId="0" borderId="7" xfId="0" applyFont="1" applyBorder="1" applyAlignment="1">
      <alignment horizontal="left"/>
    </xf>
    <xf numFmtId="0" fontId="35" fillId="0" borderId="7" xfId="0" applyFont="1" applyBorder="1" applyAlignment="1">
      <alignment horizontal="left"/>
    </xf>
    <xf numFmtId="0" fontId="9" fillId="0" borderId="9" xfId="0" applyFont="1" applyBorder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 wrapText="1"/>
    </xf>
    <xf numFmtId="0" fontId="9" fillId="0" borderId="10" xfId="0" applyFont="1" applyBorder="1" applyAlignment="1">
      <alignment horizontal="center" vertical="center" wrapText="1"/>
    </xf>
    <xf numFmtId="0" fontId="10" fillId="0" borderId="0" xfId="0" applyFont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zoomScale="60" zoomScaleNormal="60" workbookViewId="0">
      <selection sqref="A1:XFD1048576"/>
    </sheetView>
  </sheetViews>
  <sheetFormatPr defaultRowHeight="18" x14ac:dyDescent="0.45"/>
  <sheetData/>
  <phoneticPr fontId="1"/>
  <pageMargins left="0.7" right="0.7" top="0.75" bottom="0.75" header="0.3" footer="0.3"/>
  <pageSetup paperSize="9" orientation="portrait" horizontalDpi="1200" verticalDpi="12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W147"/>
  <sheetViews>
    <sheetView topLeftCell="A51" zoomScale="60" zoomScaleNormal="60" workbookViewId="0">
      <selection activeCell="V80" sqref="V80"/>
    </sheetView>
  </sheetViews>
  <sheetFormatPr defaultRowHeight="18" x14ac:dyDescent="0.45"/>
  <cols>
    <col min="1" max="1" width="26.69921875" style="65" customWidth="1"/>
    <col min="2" max="11" width="8.796875" style="64" customWidth="1"/>
    <col min="12" max="20" width="11.3984375" style="66" customWidth="1"/>
    <col min="21" max="21" width="11.3984375" style="66" hidden="1" customWidth="1"/>
    <col min="22" max="22" width="32.796875" style="65" customWidth="1"/>
    <col min="23" max="23" width="27.69921875" style="65" customWidth="1"/>
  </cols>
  <sheetData>
    <row r="1" spans="1:23" x14ac:dyDescent="0.45">
      <c r="A1"/>
      <c r="L1" s="64"/>
      <c r="M1" s="64"/>
      <c r="N1" s="64"/>
      <c r="O1" s="64"/>
      <c r="P1" s="64"/>
      <c r="Q1" s="64"/>
      <c r="R1" s="64"/>
      <c r="S1" s="64"/>
      <c r="T1" s="64"/>
      <c r="U1" s="64"/>
      <c r="V1"/>
      <c r="W1"/>
    </row>
    <row r="2" spans="1:23" s="14" customFormat="1" ht="26.4" customHeight="1" x14ac:dyDescent="0.45">
      <c r="A2" s="14" t="str">
        <f>貼り付け用!A2&amp;"　"&amp;貼り付け用!B2&amp;"　"&amp;貼り付け用!C2</f>
        <v>　　</v>
      </c>
      <c r="B2" s="15"/>
      <c r="C2" s="15"/>
      <c r="D2" s="15"/>
      <c r="E2" s="15"/>
      <c r="F2" s="15"/>
      <c r="G2" s="15"/>
      <c r="H2" s="15"/>
      <c r="I2" s="45" t="s">
        <v>0</v>
      </c>
      <c r="J2" s="45"/>
      <c r="K2" s="45" t="s">
        <v>1</v>
      </c>
      <c r="L2" s="45"/>
      <c r="M2" s="45" t="s">
        <v>0</v>
      </c>
      <c r="N2" s="15"/>
      <c r="O2"/>
      <c r="P2"/>
      <c r="Q2"/>
      <c r="R2" t="s">
        <v>2</v>
      </c>
      <c r="S2"/>
      <c r="T2" t="s">
        <v>3</v>
      </c>
      <c r="U2" t="s">
        <v>3</v>
      </c>
      <c r="V2" s="14" t="str">
        <f>貼り付け用!T2&amp;"　"&amp;貼り付け用!U2&amp;"　"&amp;貼り付け用!V2&amp;"　"&amp;貼り付け用!W2</f>
        <v>　　　</v>
      </c>
    </row>
    <row r="3" spans="1:23" x14ac:dyDescent="0.45">
      <c r="A3" s="4"/>
      <c r="B3" s="54" t="s">
        <v>4</v>
      </c>
      <c r="C3" s="55" t="s">
        <v>4</v>
      </c>
      <c r="D3" s="54" t="s">
        <v>5</v>
      </c>
      <c r="E3" s="56" t="s">
        <v>5</v>
      </c>
      <c r="F3" s="55" t="s">
        <v>5</v>
      </c>
      <c r="G3" s="54" t="s">
        <v>6</v>
      </c>
      <c r="H3" s="56" t="s">
        <v>6</v>
      </c>
      <c r="I3" s="56" t="s">
        <v>6</v>
      </c>
      <c r="J3" s="56" t="s">
        <v>6</v>
      </c>
      <c r="K3" s="55" t="s">
        <v>6</v>
      </c>
      <c r="L3" s="19" t="str" cm="1">
        <f t="array" ref="L3">IFERROR(
INDEX(商品マスタ一覧!$D$1:$D$438,
MATCH(TRUE, ISNUMBER(SEARCH(LEFT(SUBSTITUTE(SUBSTITUTE(_xlfn.TEXTJOIN("", TRUE, 貼り付け用!$L$3:$Z$3), "　", "")," ",""),3),SUBSTITUTE(SUBSTITUTE(商品マスタ一覧!$D$1:$D$438, "　", "")," ",""))), 0)), "")</f>
        <v>商品予定名</v>
      </c>
      <c r="M3" s="19" t="str" cm="1">
        <f t="array" aca="1" ref="M3" ca="1">IFERROR(
IF(MID(SUBSTITUTE(SUBSTITUTE(SUBSTITUTE(_xlfn.TEXTJOIN("", TRUE, 貼り付け用!$L$3:$Z$3), "　", "")," ",""),T3,""),
M4+1, 3)="","",
INDEX(INDIRECT("商品マスタ一覧!D" &amp; (MATCH(L3, 商品マスタ一覧!$D$1:$D$438, 0)+1) &amp; ":D437"),
MATCH(TRUE, ISNUMBER(SEARCH(
MID(SUBSTITUTE(SUBSTITUTE(SUBSTITUTE(_xlfn.TEXTJOIN("", TRUE, 貼り付け用!$L$3:$Z$3), "　", "")," ",""),T3,""),
M4+1, 3),
SUBSTITUTE(SUBSTITUTE(INDIRECT("商品マスタ一覧!D" &amp; (MATCH(L3, 商品マスタ一覧!$D$1:$D$438, 0)+1) &amp; ":D437"), "　", "")," ",""))), 0))),"")</f>
        <v/>
      </c>
      <c r="N3" s="19" t="str" cm="1">
        <f t="array" aca="1" ref="N3" ca="1">IFERROR(
IF(MID(SUBSTITUTE(SUBSTITUTE(SUBSTITUTE(_xlfn.TEXTJOIN("", TRUE, 貼り付け用!$L$3:$Z$3), "　", "")," ",""),T3,""),
M4+N4+1, 3)="","",
INDEX(INDIRECT("商品マスタ一覧!D" &amp; (MATCH(M3, 商品マスタ一覧!$D$1:$D$438, 0)+1) &amp; ":D437"),
MATCH(TRUE, ISNUMBER(SEARCH(
MID(SUBSTITUTE(SUBSTITUTE(SUBSTITUTE(_xlfn.TEXTJOIN("", TRUE, 貼り付け用!$L$3:$Z$3), "　", "")," ",""),T3,""),
M4+N4+1, 3),
SUBSTITUTE(SUBSTITUTE(INDIRECT("商品マスタ一覧!D" &amp; (MATCH(M3, 商品マスタ一覧!$D$1:$D$438, 0)+1) &amp; ":D437"), "　", "")," ",""))), 0))),"")</f>
        <v/>
      </c>
      <c r="O3" s="19" t="str" cm="1">
        <f t="array" aca="1" ref="O3" ca="1">IFERROR(
IF(MID(SUBSTITUTE(SUBSTITUTE(SUBSTITUTE(_xlfn.TEXTJOIN("", TRUE, 貼り付け用!$L$3:$Z$3), "　", "")," ",""),T3,""),
M4+N4+O4+1, 3)="","",
INDEX(INDIRECT("商品マスタ一覧!D" &amp; (MATCH(N3, 商品マスタ一覧!$D$1:$D$438, 0)+1) &amp; ":D437"),
MATCH(TRUE, ISNUMBER(SEARCH(
MID(SUBSTITUTE(SUBSTITUTE(SUBSTITUTE(_xlfn.TEXTJOIN("", TRUE, 貼り付け用!$L$3:$Z$3), "　", "")," ",""),T3,""),
M4+N4+O4+1, 3),
SUBSTITUTE(SUBSTITUTE(INDIRECT("商品マスタ一覧!D" &amp; (MATCH(N3, 商品マスタ一覧!$D$1:$D$438, 0)+1) &amp; ":D437"), "　", "")," ",""))), 0))),"")</f>
        <v/>
      </c>
      <c r="P3" s="19" t="str" cm="1">
        <f t="array" aca="1" ref="P3" ca="1">IFERROR(
IF(MID(SUBSTITUTE(SUBSTITUTE(SUBSTITUTE(_xlfn.TEXTJOIN("", TRUE, 貼り付け用!$L$3:$Z$3), "　", "")," ",""),T3,""),
M4+N4+O4+P4+1, 3)="","",
INDEX(INDIRECT("商品マスタ一覧!D" &amp; (MATCH(O3, 商品マスタ一覧!$D$1:$D$438, 0)+1) &amp; ":D437"),
MATCH(TRUE, ISNUMBER(SEARCH(
MID(SUBSTITUTE(SUBSTITUTE(SUBSTITUTE(_xlfn.TEXTJOIN("", TRUE, 貼り付け用!$L$3:$Z$3), "　", "")," ",""),T3,""),
M4+N4+O4+P4+1, 3),
SUBSTITUTE(SUBSTITUTE(INDIRECT("商品マスタ一覧!D" &amp; (MATCH(O3, 商品マスタ一覧!$D$1:$D$438, 0)+1) &amp; ":D437"), "　", "")," ",""))), 0))),"")</f>
        <v/>
      </c>
      <c r="Q3" s="19" t="str" cm="1">
        <f t="array" aca="1" ref="Q3" ca="1">IFERROR(
IF(MID(SUBSTITUTE(SUBSTITUTE(SUBSTITUTE(_xlfn.TEXTJOIN("", TRUE, 貼り付け用!$L$3:$Z$3), "　", "")," ",""),T3,""),
M4+N4+O4+P4+Q4+1, 3)="","",
INDEX(INDIRECT("商品マスタ一覧!D" &amp; (MATCH(P3, 商品マスタ一覧!$D$1:$D$438, 0)+1) &amp; ":D437"),
MATCH(TRUE, ISNUMBER(SEARCH(
MID(SUBSTITUTE(SUBSTITUTE(SUBSTITUTE(_xlfn.TEXTJOIN("", TRUE, 貼り付け用!$L$3:$Z$3), "　", "")," ",""),T3,""),
M4+N4+O4+P4+Q4+1, 3),
SUBSTITUTE(SUBSTITUTE(INDIRECT("商品マスタ一覧!D" &amp; (MATCH(P3, 商品マスタ一覧!$D$1:$D$438, 0)+1) &amp; ":D437"), "　", "")," ",""))), 0))),"")</f>
        <v/>
      </c>
      <c r="R3" s="19" t="str" cm="1">
        <f t="array" aca="1" ref="R3" ca="1">IFERROR(
IF(MID(SUBSTITUTE(SUBSTITUTE(SUBSTITUTE(_xlfn.TEXTJOIN("", TRUE, 貼り付け用!$L$3:$Z$3), "　", "")," ",""),T3,""),
M4+N4+O4+P4+Q4+R4+1, 3)="","",
INDEX(INDIRECT("商品マスタ一覧!D" &amp; (MATCH(Q3, 商品マスタ一覧!$D$1:$D$438, 0)+1) &amp; ":D437"),
MATCH(TRUE, ISNUMBER(SEARCH(
MID(SUBSTITUTE(SUBSTITUTE(SUBSTITUTE(_xlfn.TEXTJOIN("", TRUE, 貼り付け用!$L$3:$Z$3), "　", "")," ",""),T3,""),
M4+N4+O4+P4+Q4+R4+1, 3),
SUBSTITUTE(SUBSTITUTE(INDIRECT("商品マスタ一覧!D" &amp; (MATCH(Q3, 商品マスタ一覧!$D$1:$D$438, 0)+1) &amp; ":D437"), "　", "")," ",""))), 0))),"")</f>
        <v/>
      </c>
      <c r="S3" s="19" t="str" cm="1">
        <f t="array" aca="1" ref="S3" ca="1">IFERROR(
IF(MID(SUBSTITUTE(SUBSTITUTE(SUBSTITUTE(_xlfn.TEXTJOIN("", TRUE, 貼り付け用!$L$3:$Z$3), "　", "")," ",""),T3,""),
M4+N4+O4+P4+Q4+R4+S4+1, 3)="","",
INDEX(INDIRECT("商品マスタ一覧!D" &amp; (MATCH(R3, 商品マスタ一覧!$D$1:$D$438, 0)+1) &amp; ":D437"),
MATCH(TRUE, ISNUMBER(SEARCH(
MID(SUBSTITUTE(SUBSTITUTE(SUBSTITUTE(_xlfn.TEXTJOIN("", TRUE, 貼り付け用!$L$3:$Z$3), "　", "")," ",""),T3,""),
M4+N4+O4+P4+Q4+R4+S4+1, 3),
SUBSTITUTE(SUBSTITUTE(INDIRECT("商品マスタ一覧!D" &amp; (MATCH(R3, 商品マスタ一覧!$D$1:$D$438, 0)+1) &amp; ":D437"), "　", "")," ",""))), 0))),"")</f>
        <v/>
      </c>
      <c r="T3" s="20" t="s">
        <v>8</v>
      </c>
      <c r="U3" s="20"/>
      <c r="V3" s="6"/>
      <c r="W3" s="7"/>
    </row>
    <row r="4" spans="1:23" x14ac:dyDescent="0.45">
      <c r="A4" s="2">
        <f>貼り付け用!A4</f>
        <v>0</v>
      </c>
      <c r="B4" s="18" t="s">
        <v>9</v>
      </c>
      <c r="C4" s="18" t="s">
        <v>9</v>
      </c>
      <c r="D4" s="18" t="s">
        <v>9</v>
      </c>
      <c r="E4" s="18" t="s">
        <v>10</v>
      </c>
      <c r="F4" s="18" t="s">
        <v>11</v>
      </c>
      <c r="G4" s="18" t="s">
        <v>9</v>
      </c>
      <c r="H4" s="18" t="s">
        <v>9</v>
      </c>
      <c r="I4" s="18" t="s">
        <v>10</v>
      </c>
      <c r="J4" s="18" t="s">
        <v>10</v>
      </c>
      <c r="K4" s="18" t="s">
        <v>11</v>
      </c>
      <c r="L4" s="48"/>
      <c r="M4" s="49" cm="1">
        <f t="array" ref="M4">IF(L3&lt;&gt;"",
IF(AND(SUMPRODUCT(--ISNUMBER(SEARCH(SUBSTITUTE(SUBSTITUTE(L3,"　","")," ",""),SUBSTITUTE(SUBSTITUTE(貼り付け用!$L$3:$Z$3,"　","")," ",""))))&gt;0,LEN(SUBSTITUTE(L3,"　",""))&gt;2),
LEN(SUBSTITUTE(SUBSTITUTE(L3,"　","")," ","")),
IF(AND(SUMPRODUCT(--ISNUMBER(SEARCH(LEFT(SUBSTITUTE(SUBSTITUTE(L3,"　","")," ",""),LEN(SUBSTITUTE(SUBSTITUTE(L3,"　","")," ",""))-1),SUBSTITUTE(SUBSTITUTE(貼り付け用!$L$3:$Z$3,"　","")," ",""))))&gt;0,
LEN(LEFT(SUBSTITUTE(SUBSTITUTE(L3,"　","")," ",""),LEN(SUBSTITUTE(SUBSTITUTE(L3,"　","")," ",""))-1))&gt;2),
LEN(LEFT(SUBSTITUTE(SUBSTITUTE(L3,"　","")," ",""),LEN(SUBSTITUTE(SUBSTITUTE(L3,"　","")," ",""))-1)),
IF(AND(SUMPRODUCT(--ISNUMBER(SEARCH(LEFT(SUBSTITUTE(SUBSTITUTE(L3,"　","")," ",""),LEN(SUBSTITUTE(SUBSTITUTE(L3,"　","")," ",""))-2),SUBSTITUTE(SUBSTITUTE(貼り付け用!$L$3:$Z$3,"　","")," ",""))))&gt;0,
LEN(LEFT(SUBSTITUTE(SUBSTITUTE(L3,"　","")," ",""),LEN(SUBSTITUTE(SUBSTITUTE(L3,"　","")," ",""))-2))&gt;2),
LEN(LEFT(SUBSTITUTE(SUBSTITUTE(L3,"　","")," ",""),LEN(SUBSTITUTE(SUBSTITUTE(L3,"　","")," ",""))-2)),
IF(AND(SUMPRODUCT(--ISNUMBER(SEARCH(LEFT(SUBSTITUTE(SUBSTITUTE(L3,"　","")," ",""),LEN(SUBSTITUTE(SUBSTITUTE(L3,"　","")," ",""))-3),SUBSTITUTE(SUBSTITUTE(貼り付け用!$L$3:$Z$3,"　","")," ",""))))&gt;0,
LEN(LEFT(SUBSTITUTE(SUBSTITUTE(L3,"　","")," ",""),LEN(SUBSTITUTE(SUBSTITUTE(L3,"　","")," ",""))-3))&gt;2),
LEN(LEFT(SUBSTITUTE(SUBSTITUTE(L3,"　","")," ",""),LEN(SUBSTITUTE(SUBSTITUTE(L3,"　","")," ",""))-3)),
IF(AND(SUMPRODUCT(--ISNUMBER(SEARCH(LEFT(SUBSTITUTE(SUBSTITUTE(L3,"　","")," ",""),LEN(SUBSTITUTE(SUBSTITUTE(L3,"　","")," ",""))-4),SUBSTITUTE(SUBSTITUTE(貼り付け用!$L$3:$Z$3,"　","")," ",""))))&gt;0,
LEN(LEFT(SUBSTITUTE(SUBSTITUTE(L3,"　","")," ",""),LEN(SUBSTITUTE(SUBSTITUTE(L3,"　","")," ",""))-4))&gt;2),
LEN(LEFT(SUBSTITUTE(SUBSTITUTE(L3,"　","")," ",""),LEN(SUBSTITUTE(SUBSTITUTE(L3,"　","")," ",""))-4)),
10))))),"")</f>
        <v>10</v>
      </c>
      <c r="N4" s="49" t="str" cm="1">
        <f t="array" aca="1" ref="N4" ca="1">IF(M3&lt;&gt;"",
IF(AND(SUMPRODUCT(--ISNUMBER(SEARCH(SUBSTITUTE(SUBSTITUTE(M3,"　","")," ",""),SUBSTITUTE(SUBSTITUTE(貼り付け用!$L$3:$Z$3,"　","")," ",""))))&gt;0,LEN(SUBSTITUTE(M3,"　",""))&gt;2),
LEN(SUBSTITUTE(SUBSTITUTE(M3,"　","")," ","")),
IF(AND(SUMPRODUCT(--ISNUMBER(SEARCH(LEFT(SUBSTITUTE(SUBSTITUTE(M3,"　","")," ",""),LEN(SUBSTITUTE(SUBSTITUTE(M3,"　","")," ",""))-1),SUBSTITUTE(SUBSTITUTE(貼り付け用!$L$3:$Z$3,"　","")," ",""))))&gt;0,
LEN(LEFT(SUBSTITUTE(SUBSTITUTE(M3,"　","")," ",""),LEN(SUBSTITUTE(SUBSTITUTE(M3,"　","")," ",""))-1))&gt;2),
LEN(LEFT(SUBSTITUTE(SUBSTITUTE(M3,"　","")," ",""),LEN(SUBSTITUTE(SUBSTITUTE(M3,"　","")," ",""))-1)),
IF(AND(SUMPRODUCT(--ISNUMBER(SEARCH(LEFT(SUBSTITUTE(SUBSTITUTE(M3,"　","")," ",""),LEN(SUBSTITUTE(SUBSTITUTE(M3,"　","")," ",""))-2),SUBSTITUTE(SUBSTITUTE(貼り付け用!$L$3:$Z$3,"　","")," ",""))))&gt;0,
LEN(LEFT(SUBSTITUTE(SUBSTITUTE(M3,"　","")," ",""),LEN(SUBSTITUTE(SUBSTITUTE(M3,"　","")," ",""))-2))&gt;2),
LEN(LEFT(SUBSTITUTE(SUBSTITUTE(M3,"　","")," ",""),LEN(SUBSTITUTE(SUBSTITUTE(M3,"　","")," ",""))-2)),
IF(AND(SUMPRODUCT(--ISNUMBER(SEARCH(LEFT(SUBSTITUTE(SUBSTITUTE(M3,"　","")," ",""),LEN(SUBSTITUTE(SUBSTITUTE(M3,"　","")," ",""))-3),SUBSTITUTE(SUBSTITUTE(貼り付け用!$L$3:$Z$3,"　","")," ",""))))&gt;0,
LEN(LEFT(SUBSTITUTE(SUBSTITUTE(M3,"　","")," ",""),LEN(SUBSTITUTE(SUBSTITUTE(M3,"　","")," ",""))-3))&gt;2),
LEN(LEFT(SUBSTITUTE(SUBSTITUTE(M3,"　","")," ",""),LEN(SUBSTITUTE(SUBSTITUTE(M3,"　","")," ",""))-3)),
IF(AND(SUMPRODUCT(--ISNUMBER(SEARCH(LEFT(SUBSTITUTE(SUBSTITUTE(M3,"　","")," ",""),LEN(SUBSTITUTE(SUBSTITUTE(M3,"　","")," ",""))-4),SUBSTITUTE(SUBSTITUTE(貼り付け用!$L$3:$Z$3,"　","")," ",""))))&gt;0,
LEN(LEFT(SUBSTITUTE(SUBSTITUTE(M3,"　","")," ",""),LEN(SUBSTITUTE(SUBSTITUTE(M3,"　","")," ",""))-4))&gt;2),
LEN(LEFT(SUBSTITUTE(SUBSTITUTE(M3,"　","")," ",""),LEN(SUBSTITUTE(SUBSTITUTE(M3,"　","")," ",""))-4)),
10))))),"")</f>
        <v/>
      </c>
      <c r="O4" s="49" t="str" cm="1">
        <f t="array" aca="1" ref="O4" ca="1">IF(N3&lt;&gt;"",
IF(AND(SUMPRODUCT(--ISNUMBER(SEARCH(SUBSTITUTE(SUBSTITUTE(N3,"　","")," ",""),SUBSTITUTE(SUBSTITUTE(貼り付け用!$L$3:$Z$3,"　","")," ",""))))&gt;0,LEN(SUBSTITUTE(N3,"　",""))&gt;2),
LEN(SUBSTITUTE(SUBSTITUTE(N3,"　","")," ","")),
IF(AND(SUMPRODUCT(--ISNUMBER(SEARCH(LEFT(SUBSTITUTE(SUBSTITUTE(N3,"　","")," ",""),LEN(SUBSTITUTE(SUBSTITUTE(N3,"　","")," ",""))-1),SUBSTITUTE(SUBSTITUTE(貼り付け用!$L$3:$Z$3,"　","")," ",""))))&gt;0,
LEN(LEFT(SUBSTITUTE(SUBSTITUTE(N3,"　","")," ",""),LEN(SUBSTITUTE(SUBSTITUTE(N3,"　","")," ",""))-1))&gt;2),
LEN(LEFT(SUBSTITUTE(SUBSTITUTE(N3,"　","")," ",""),LEN(SUBSTITUTE(SUBSTITUTE(N3,"　","")," ",""))-1)),
IF(AND(SUMPRODUCT(--ISNUMBER(SEARCH(LEFT(SUBSTITUTE(SUBSTITUTE(N3,"　","")," ",""),LEN(SUBSTITUTE(SUBSTITUTE(N3,"　","")," ",""))-2),SUBSTITUTE(SUBSTITUTE(貼り付け用!$L$3:$Z$3,"　","")," ",""))))&gt;0,
LEN(LEFT(SUBSTITUTE(SUBSTITUTE(N3,"　","")," ",""),LEN(SUBSTITUTE(SUBSTITUTE(N3,"　","")," ",""))-2))&gt;2),
LEN(LEFT(SUBSTITUTE(SUBSTITUTE(N3,"　","")," ",""),LEN(SUBSTITUTE(SUBSTITUTE(N3,"　","")," ",""))-2)),
IF(AND(SUMPRODUCT(--ISNUMBER(SEARCH(LEFT(SUBSTITUTE(SUBSTITUTE(N3,"　","")," ",""),LEN(SUBSTITUTE(SUBSTITUTE(N3,"　","")," ",""))-3),SUBSTITUTE(SUBSTITUTE(貼り付け用!$L$3:$Z$3,"　","")," ",""))))&gt;0,
LEN(LEFT(SUBSTITUTE(SUBSTITUTE(N3,"　","")," ",""),LEN(SUBSTITUTE(SUBSTITUTE(N3,"　","")," ",""))-3))&gt;2),
LEN(LEFT(SUBSTITUTE(SUBSTITUTE(N3,"　","")," ",""),LEN(SUBSTITUTE(SUBSTITUTE(N3,"　","")," ",""))-3)),
IF(AND(SUMPRODUCT(--ISNUMBER(SEARCH(LEFT(SUBSTITUTE(SUBSTITUTE(N3,"　","")," ",""),LEN(SUBSTITUTE(SUBSTITUTE(N3,"　","")," ",""))-4),SUBSTITUTE(SUBSTITUTE(貼り付け用!$L$3:$Z$3,"　","")," ",""))))&gt;0,
LEN(LEFT(SUBSTITUTE(SUBSTITUTE(N3,"　","")," ",""),LEN(SUBSTITUTE(SUBSTITUTE(N3,"　","")," ",""))-4))&gt;2),
LEN(LEFT(SUBSTITUTE(SUBSTITUTE(N3,"　","")," ",""),LEN(SUBSTITUTE(SUBSTITUTE(N3,"　","")," ",""))-4)),
10))))),"")</f>
        <v/>
      </c>
      <c r="P4" s="49" t="str" cm="1">
        <f t="array" aca="1" ref="P4" ca="1">IF(O3&lt;&gt;"",
IF(AND(SUMPRODUCT(--ISNUMBER(SEARCH(SUBSTITUTE(SUBSTITUTE(O3,"　","")," ",""),SUBSTITUTE(SUBSTITUTE(貼り付け用!$L$3:$Z$3,"　","")," ",""))))&gt;0,LEN(SUBSTITUTE(O3,"　",""))&gt;2),
LEN(SUBSTITUTE(SUBSTITUTE(O3,"　","")," ","")),
IF(AND(SUMPRODUCT(--ISNUMBER(SEARCH(LEFT(SUBSTITUTE(SUBSTITUTE(O3,"　","")," ",""),LEN(SUBSTITUTE(SUBSTITUTE(O3,"　","")," ",""))-1),SUBSTITUTE(SUBSTITUTE(貼り付け用!$L$3:$Z$3,"　","")," ",""))))&gt;0,
LEN(LEFT(SUBSTITUTE(SUBSTITUTE(O3,"　","")," ",""),LEN(SUBSTITUTE(SUBSTITUTE(O3,"　","")," ",""))-1))&gt;2),
LEN(LEFT(SUBSTITUTE(SUBSTITUTE(O3,"　","")," ",""),LEN(SUBSTITUTE(SUBSTITUTE(O3,"　","")," ",""))-1)),
IF(AND(SUMPRODUCT(--ISNUMBER(SEARCH(LEFT(SUBSTITUTE(SUBSTITUTE(O3,"　","")," ",""),LEN(SUBSTITUTE(SUBSTITUTE(O3,"　","")," ",""))-2),SUBSTITUTE(SUBSTITUTE(貼り付け用!$L$3:$Z$3,"　","")," ",""))))&gt;0,
LEN(LEFT(SUBSTITUTE(SUBSTITUTE(O3,"　","")," ",""),LEN(SUBSTITUTE(SUBSTITUTE(O3,"　","")," ",""))-2))&gt;2),
LEN(LEFT(SUBSTITUTE(SUBSTITUTE(O3,"　","")," ",""),LEN(SUBSTITUTE(SUBSTITUTE(O3,"　","")," ",""))-2)),
IF(AND(SUMPRODUCT(--ISNUMBER(SEARCH(LEFT(SUBSTITUTE(SUBSTITUTE(O3,"　","")," ",""),LEN(SUBSTITUTE(SUBSTITUTE(O3,"　","")," ",""))-3),SUBSTITUTE(SUBSTITUTE(貼り付け用!$L$3:$Z$3,"　","")," ",""))))&gt;0,
LEN(LEFT(SUBSTITUTE(SUBSTITUTE(O3,"　","")," ",""),LEN(SUBSTITUTE(SUBSTITUTE(O3,"　","")," ",""))-3))&gt;2),
LEN(LEFT(SUBSTITUTE(SUBSTITUTE(O3,"　","")," ",""),LEN(SUBSTITUTE(SUBSTITUTE(O3,"　","")," ",""))-3)),
IF(AND(SUMPRODUCT(--ISNUMBER(SEARCH(LEFT(SUBSTITUTE(SUBSTITUTE(O3,"　","")," ",""),LEN(SUBSTITUTE(SUBSTITUTE(O3,"　","")," ",""))-4),SUBSTITUTE(SUBSTITUTE(貼り付け用!$L$3:$Z$3,"　","")," ",""))))&gt;0,
LEN(LEFT(SUBSTITUTE(SUBSTITUTE(O3,"　","")," ",""),LEN(SUBSTITUTE(SUBSTITUTE(O3,"　","")," ",""))-4))&gt;2),
LEN(LEFT(SUBSTITUTE(SUBSTITUTE(O3,"　","")," ",""),LEN(SUBSTITUTE(SUBSTITUTE(O3,"　","")," ",""))-4)),
10))))),"")</f>
        <v/>
      </c>
      <c r="Q4" s="49" t="str" cm="1">
        <f t="array" aca="1" ref="Q4" ca="1">IF(P3&lt;&gt;"",
IF(AND(SUMPRODUCT(--ISNUMBER(SEARCH(SUBSTITUTE(SUBSTITUTE(P3,"　","")," ",""),SUBSTITUTE(SUBSTITUTE(貼り付け用!$L$3:$Z$3,"　","")," ",""))))&gt;0,LEN(SUBSTITUTE(P3,"　",""))&gt;2),
LEN(SUBSTITUTE(SUBSTITUTE(P3,"　","")," ","")),
IF(AND(SUMPRODUCT(--ISNUMBER(SEARCH(LEFT(SUBSTITUTE(SUBSTITUTE(P3,"　","")," ",""),LEN(SUBSTITUTE(SUBSTITUTE(P3,"　","")," ",""))-1),SUBSTITUTE(SUBSTITUTE(貼り付け用!$L$3:$Z$3,"　","")," ",""))))&gt;0,
LEN(LEFT(SUBSTITUTE(SUBSTITUTE(P3,"　","")," ",""),LEN(SUBSTITUTE(SUBSTITUTE(P3,"　","")," ",""))-1))&gt;2),
LEN(LEFT(SUBSTITUTE(SUBSTITUTE(P3,"　","")," ",""),LEN(SUBSTITUTE(SUBSTITUTE(P3,"　","")," ",""))-1)),
IF(AND(SUMPRODUCT(--ISNUMBER(SEARCH(LEFT(SUBSTITUTE(SUBSTITUTE(P3,"　","")," ",""),LEN(SUBSTITUTE(SUBSTITUTE(P3,"　","")," ",""))-2),SUBSTITUTE(SUBSTITUTE(貼り付け用!$L$3:$Z$3,"　","")," ",""))))&gt;0,
LEN(LEFT(SUBSTITUTE(SUBSTITUTE(P3,"　","")," ",""),LEN(SUBSTITUTE(SUBSTITUTE(P3,"　","")," ",""))-2))&gt;2),
LEN(LEFT(SUBSTITUTE(SUBSTITUTE(P3,"　","")," ",""),LEN(SUBSTITUTE(SUBSTITUTE(P3,"　","")," ",""))-2)),
IF(AND(SUMPRODUCT(--ISNUMBER(SEARCH(LEFT(SUBSTITUTE(SUBSTITUTE(P3,"　","")," ",""),LEN(SUBSTITUTE(SUBSTITUTE(P3,"　","")," ",""))-3),SUBSTITUTE(SUBSTITUTE(貼り付け用!$L$3:$Z$3,"　","")," ",""))))&gt;0,
LEN(LEFT(SUBSTITUTE(SUBSTITUTE(P3,"　","")," ",""),LEN(SUBSTITUTE(SUBSTITUTE(P3,"　","")," ",""))-3))&gt;2),
LEN(LEFT(SUBSTITUTE(SUBSTITUTE(P3,"　","")," ",""),LEN(SUBSTITUTE(SUBSTITUTE(P3,"　","")," ",""))-3)),
IF(AND(SUMPRODUCT(--ISNUMBER(SEARCH(LEFT(SUBSTITUTE(SUBSTITUTE(P3,"　","")," ",""),LEN(SUBSTITUTE(SUBSTITUTE(P3,"　","")," ",""))-4),SUBSTITUTE(SUBSTITUTE(貼り付け用!$L$3:$Z$3,"　","")," ",""))))&gt;0,
LEN(LEFT(SUBSTITUTE(SUBSTITUTE(P3,"　","")," ",""),LEN(SUBSTITUTE(SUBSTITUTE(P3,"　","")," ",""))-4))&gt;2),
LEN(LEFT(SUBSTITUTE(SUBSTITUTE(P3,"　","")," ",""),LEN(SUBSTITUTE(SUBSTITUTE(P3,"　","")," ",""))-4)),
10))))),"")</f>
        <v/>
      </c>
      <c r="R4" s="49" t="str" cm="1">
        <f t="array" aca="1" ref="R4" ca="1">IF(Q3&lt;&gt;"",
IF(AND(SUMPRODUCT(--ISNUMBER(SEARCH(SUBSTITUTE(SUBSTITUTE(Q3,"　","")," ",""),SUBSTITUTE(SUBSTITUTE(貼り付け用!$L$3:$Z$3,"　","")," ",""))))&gt;0,LEN(SUBSTITUTE(Q3,"　",""))&gt;2),
LEN(SUBSTITUTE(SUBSTITUTE(Q3,"　","")," ","")),
IF(AND(SUMPRODUCT(--ISNUMBER(SEARCH(LEFT(SUBSTITUTE(SUBSTITUTE(Q3,"　","")," ",""),LEN(SUBSTITUTE(SUBSTITUTE(Q3,"　","")," ",""))-1),SUBSTITUTE(SUBSTITUTE(貼り付け用!$L$3:$Z$3,"　","")," ",""))))&gt;0,
LEN(LEFT(SUBSTITUTE(SUBSTITUTE(Q3,"　","")," ",""),LEN(SUBSTITUTE(SUBSTITUTE(Q3,"　","")," ",""))-1))&gt;2),
LEN(LEFT(SUBSTITUTE(SUBSTITUTE(Q3,"　","")," ",""),LEN(SUBSTITUTE(SUBSTITUTE(Q3,"　","")," ",""))-1)),
IF(AND(SUMPRODUCT(--ISNUMBER(SEARCH(LEFT(SUBSTITUTE(SUBSTITUTE(Q3,"　","")," ",""),LEN(SUBSTITUTE(SUBSTITUTE(Q3,"　","")," ",""))-2),SUBSTITUTE(SUBSTITUTE(貼り付け用!$L$3:$Z$3,"　","")," ",""))))&gt;0,
LEN(LEFT(SUBSTITUTE(SUBSTITUTE(Q3,"　","")," ",""),LEN(SUBSTITUTE(SUBSTITUTE(Q3,"　","")," ",""))-2))&gt;2),
LEN(LEFT(SUBSTITUTE(SUBSTITUTE(Q3,"　","")," ",""),LEN(SUBSTITUTE(SUBSTITUTE(Q3,"　","")," ",""))-2)),
IF(AND(SUMPRODUCT(--ISNUMBER(SEARCH(LEFT(SUBSTITUTE(SUBSTITUTE(Q3,"　","")," ",""),LEN(SUBSTITUTE(SUBSTITUTE(Q3,"　","")," ",""))-3),SUBSTITUTE(SUBSTITUTE(貼り付け用!$L$3:$Z$3,"　","")," ",""))))&gt;0,
LEN(LEFT(SUBSTITUTE(SUBSTITUTE(Q3,"　","")," ",""),LEN(SUBSTITUTE(SUBSTITUTE(Q3,"　","")," ",""))-3))&gt;2),
LEN(LEFT(SUBSTITUTE(SUBSTITUTE(Q3,"　","")," ",""),LEN(SUBSTITUTE(SUBSTITUTE(Q3,"　","")," ",""))-3)),
IF(AND(SUMPRODUCT(--ISNUMBER(SEARCH(LEFT(SUBSTITUTE(SUBSTITUTE(Q3,"　","")," ",""),LEN(SUBSTITUTE(SUBSTITUTE(Q3,"　","")," ",""))-4),SUBSTITUTE(SUBSTITUTE(貼り付け用!$L$3:$Z$3,"　","")," ",""))))&gt;0,
LEN(LEFT(SUBSTITUTE(SUBSTITUTE(Q3,"　","")," ",""),LEN(SUBSTITUTE(SUBSTITUTE(Q3,"　","")," ",""))-4))&gt;2),
LEN(LEFT(SUBSTITUTE(SUBSTITUTE(Q3,"　","")," ",""),LEN(SUBSTITUTE(SUBSTITUTE(Q3,"　","")," ",""))-4)),
10))))),"")</f>
        <v/>
      </c>
      <c r="S4" s="49" t="str" cm="1">
        <f t="array" aca="1" ref="S4" ca="1">IF(R3&lt;&gt;"",
IF(AND(SUMPRODUCT(--ISNUMBER(SEARCH(SUBSTITUTE(SUBSTITUTE(R3,"　","")," ",""),SUBSTITUTE(SUBSTITUTE(貼り付け用!$L$3:$Z$3,"　","")," ",""))))&gt;0,LEN(SUBSTITUTE(R3,"　",""))&gt;2),
LEN(SUBSTITUTE(SUBSTITUTE(R3,"　","")," ","")),
IF(AND(SUMPRODUCT(--ISNUMBER(SEARCH(LEFT(SUBSTITUTE(SUBSTITUTE(R3,"　","")," ",""),LEN(SUBSTITUTE(SUBSTITUTE(R3,"　","")," ",""))-1),SUBSTITUTE(SUBSTITUTE(貼り付け用!$L$3:$Z$3,"　","")," ",""))))&gt;0,
LEN(LEFT(SUBSTITUTE(SUBSTITUTE(R3,"　","")," ",""),LEN(SUBSTITUTE(SUBSTITUTE(R3,"　","")," ",""))-1))&gt;2),
LEN(LEFT(SUBSTITUTE(SUBSTITUTE(R3,"　","")," ",""),LEN(SUBSTITUTE(SUBSTITUTE(R3,"　","")," ",""))-1)),
IF(AND(SUMPRODUCT(--ISNUMBER(SEARCH(LEFT(SUBSTITUTE(SUBSTITUTE(R3,"　","")," ",""),LEN(SUBSTITUTE(SUBSTITUTE(R3,"　","")," ",""))-2),SUBSTITUTE(SUBSTITUTE(貼り付け用!$L$3:$Z$3,"　","")," ",""))))&gt;0,
LEN(LEFT(SUBSTITUTE(SUBSTITUTE(R3,"　","")," ",""),LEN(SUBSTITUTE(SUBSTITUTE(R3,"　","")," ",""))-2))&gt;2),
LEN(LEFT(SUBSTITUTE(SUBSTITUTE(R3,"　","")," ",""),LEN(SUBSTITUTE(SUBSTITUTE(R3,"　","")," ",""))-2)),
IF(AND(SUMPRODUCT(--ISNUMBER(SEARCH(LEFT(SUBSTITUTE(SUBSTITUTE(R3,"　","")," ",""),LEN(SUBSTITUTE(SUBSTITUTE(R3,"　","")," ",""))-3),SUBSTITUTE(SUBSTITUTE(貼り付け用!$L$3:$Z$3,"　","")," ",""))))&gt;0,
LEN(LEFT(SUBSTITUTE(SUBSTITUTE(R3,"　","")," ",""),LEN(SUBSTITUTE(SUBSTITUTE(R3,"　","")," ",""))-3))&gt;2),
LEN(LEFT(SUBSTITUTE(SUBSTITUTE(R3,"　","")," ",""),LEN(SUBSTITUTE(SUBSTITUTE(R3,"　","")," ",""))-3)),
IF(AND(SUMPRODUCT(--ISNUMBER(SEARCH(LEFT(SUBSTITUTE(SUBSTITUTE(R3,"　","")," ",""),LEN(SUBSTITUTE(SUBSTITUTE(R3,"　","")," ",""))-4),SUBSTITUTE(SUBSTITUTE(貼り付け用!$L$3:$Z$3,"　","")," ",""))))&gt;0,
LEN(LEFT(SUBSTITUTE(SUBSTITUTE(R3,"　","")," ",""),LEN(SUBSTITUTE(SUBSTITUTE(R3,"　","")," ",""))-4))&gt;2),
LEN(LEFT(SUBSTITUTE(SUBSTITUTE(R3,"　","")," ",""),LEN(SUBSTITUTE(SUBSTITUTE(R3,"　","")," ",""))-4)),
10))))),"")</f>
        <v/>
      </c>
      <c r="T4" s="49"/>
      <c r="U4" s="50"/>
      <c r="V4" s="21"/>
      <c r="W4" s="1"/>
    </row>
    <row r="5" spans="1:23" x14ac:dyDescent="0.45">
      <c r="A5" s="3"/>
      <c r="B5" s="18">
        <v>100</v>
      </c>
      <c r="C5" s="18">
        <v>150</v>
      </c>
      <c r="D5" s="18">
        <v>120</v>
      </c>
      <c r="E5" s="18" t="s">
        <v>12</v>
      </c>
      <c r="F5" s="18"/>
      <c r="G5" s="18">
        <v>120</v>
      </c>
      <c r="H5" s="18">
        <v>100</v>
      </c>
      <c r="I5" s="18" t="s">
        <v>12</v>
      </c>
      <c r="J5" s="18" t="s">
        <v>13</v>
      </c>
      <c r="K5" s="18"/>
      <c r="L5" s="20"/>
      <c r="M5" s="20"/>
      <c r="N5" s="20"/>
      <c r="O5" s="20"/>
      <c r="P5" s="20"/>
      <c r="Q5" s="20"/>
      <c r="R5" s="20"/>
      <c r="S5" s="20"/>
      <c r="T5" s="20"/>
      <c r="U5" s="51"/>
      <c r="V5" s="21"/>
      <c r="W5" s="1"/>
    </row>
    <row r="6" spans="1:23" x14ac:dyDescent="0.45">
      <c r="A6" s="4" t="e">
        <f>IF(貼り付け用!$A$6&lt;&gt;"",
IF(ROW(A5)+1&gt;=MATCH("*10000*", 貼り付け用!$A:$A, 0),
IF(COUNTIF(A4,"*10000*"),"10001",
IF(COUNTIF(A4,"*10001*"),"10002",
IF(COUNTIF(A4,"*10002*"),"",
IF(COUNTIF(A4,""),"","10000")))),
IF(貼り付け用!A6&lt;&gt;"",貼り付け用!A6,"")),
IF(ROW(A6)+1&gt;=MATCH("*10000*", 貼り付け用!$A:$A, 0),
IF(COUNTIF(A4,"*10000*"),"10001",
IF(COUNTIF(A4,"*10001*"),"10002",
IF(COUNTIF(A4,"*10002*"),"",
IF(COUNTIF(A4,""),"","10000")))),
IF(貼り付け用!A7&lt;&gt;"",貼り付け用!A7,"")))</f>
        <v>#N/A</v>
      </c>
      <c r="B6" s="19" t="e">
        <f>IF(貼り付け用!$A$6&lt;&gt;"",
IF(ROW(B5)+2&gt;=MATCH("*【合計】*", 貼り付け用!$A:$A, 0),"",
IF(貼り付け用!B6&lt;&gt;"",貼り付け用!B6,"")),
IF(ROW(B6)+2&gt;=MATCH("*【合計】*", 貼り付け用!$A:$A, 0),"",
IF(貼り付け用!B7&lt;&gt;"",貼り付け用!B7,"")))</f>
        <v>#N/A</v>
      </c>
      <c r="C6" s="19" t="e">
        <f>IF(貼り付け用!$A$6&lt;&gt;"",
IF(ROW(C5)+2&gt;=MATCH("*【合計】*", 貼り付け用!$A:$A, 0),"",
IF(貼り付け用!C6&lt;&gt;"",貼り付け用!C6,"")),
IF(ROW(C6)+2&gt;=MATCH("*【合計】*", 貼り付け用!$A:$A, 0),"",
IF(貼り付け用!C7&lt;&gt;"",貼り付け用!C7,"")))</f>
        <v>#N/A</v>
      </c>
      <c r="D6" s="19" t="e">
        <f>IF(貼り付け用!$A$6&lt;&gt;"",
IF(ROW(D5)+2&gt;=MATCH("*【合計】*", 貼り付け用!$A:$A, 0),"",
IF(貼り付け用!D6&lt;&gt;"",貼り付け用!D6,"")),
IF(ROW(D6)+2&gt;=MATCH("*【合計】*", 貼り付け用!$A:$A, 0),"",
IF(貼り付け用!D7&lt;&gt;"",貼り付け用!D7,"")))</f>
        <v>#N/A</v>
      </c>
      <c r="E6" s="19" t="e">
        <f>IF(貼り付け用!$A$6&lt;&gt;"",
IF(ROW(E5)+2&gt;=MATCH("*【合計】*", 貼り付け用!$A:$A, 0),"",
IF(貼り付け用!E6&lt;&gt;"",貼り付け用!E6,"")),
IF(ROW(E6)+2&gt;=MATCH("*【合計】*", 貼り付け用!$A:$A, 0),"",
IF(貼り付け用!E7&lt;&gt;"",貼り付け用!E7,"")))</f>
        <v>#N/A</v>
      </c>
      <c r="F6" s="19" t="e">
        <f>IF(貼り付け用!$A$6&lt;&gt;"",
IF(ROW(F5)+2&gt;=MATCH("*【合計】*", 貼り付け用!$A:$A, 0),"",
IF(貼り付け用!F6&lt;&gt;"",貼り付け用!F6,"")),
IF(ROW(F6)+2&gt;=MATCH("*【合計】*", 貼り付け用!$A:$A, 0),"",
IF(貼り付け用!F7&lt;&gt;"",貼り付け用!F7,"")))</f>
        <v>#N/A</v>
      </c>
      <c r="G6" s="19" t="e">
        <f>IF(貼り付け用!$A$6&lt;&gt;"",
IF(ROW(G5)+2&gt;=MATCH("*【合計】*", 貼り付け用!$A:$A, 0),"",
IF(貼り付け用!G6&lt;&gt;"",貼り付け用!G6,"")),
IF(ROW(G6)+2&gt;=MATCH("*【合計】*", 貼り付け用!$A:$A, 0),"",
IF(貼り付け用!G7&lt;&gt;"",貼り付け用!G7,"")))</f>
        <v>#N/A</v>
      </c>
      <c r="H6" s="19" t="e">
        <f>IF(貼り付け用!$A$6&lt;&gt;"",
IF(ROW(H5)+2&gt;=MATCH("*【合計】*", 貼り付け用!$A:$A, 0),"",
IF(貼り付け用!H6&lt;&gt;"",貼り付け用!H6,"")),
IF(ROW(H6)+2&gt;=MATCH("*【合計】*", 貼り付け用!$A:$A, 0),"",
IF(貼り付け用!H7&lt;&gt;"",貼り付け用!H7,"")))</f>
        <v>#N/A</v>
      </c>
      <c r="I6" s="19" t="e">
        <f>IF(貼り付け用!$A$6&lt;&gt;"",
IF(ROW(I5)+2&gt;=MATCH("*【合計】*", 貼り付け用!$A:$A, 0),"",
IF(貼り付け用!I6&lt;&gt;"",貼り付け用!I6,"")),
IF(ROW(I6)+2&gt;=MATCH("*【合計】*", 貼り付け用!$A:$A, 0),"",
IF(貼り付け用!I7&lt;&gt;"",貼り付け用!I7,"")))</f>
        <v>#N/A</v>
      </c>
      <c r="J6" s="19" t="e">
        <f>IF(貼り付け用!$A$6&lt;&gt;"",
IF(ROW(J5)+2&gt;=MATCH("*【合計】*", 貼り付け用!$A:$A, 0),"",
IF(貼り付け用!J6&lt;&gt;"",貼り付け用!J6,"")),
IF(ROW(J6)+2&gt;=MATCH("*【合計】*", 貼り付け用!$A:$A, 0),"",
IF(貼り付け用!J7&lt;&gt;"",貼り付け用!J7,"")))</f>
        <v>#N/A</v>
      </c>
      <c r="K6" s="19" t="e">
        <f>IF(貼り付け用!$A$6&lt;&gt;"",
IF(ROW(K5)+2&gt;=MATCH("*【合計】*", 貼り付け用!$A:$A, 0),"",
IF(貼り付け用!K6&lt;&gt;"",貼り付け用!K6,"")),
IF(ROW(K6)+2&gt;=MATCH("*【合計】*", 貼り付け用!$A:$A, 0),"",
IF(貼り付け用!K7&lt;&gt;"",貼り付け用!K7,"")))</f>
        <v>#N/A</v>
      </c>
      <c r="L6" s="19" t="e">
        <f>IF(貼り付け用!$A$6&lt;&gt;"",
IF(ROW(L5)+2&gt;=MATCH("*【合計】*", 貼り付け用!$A:$A, 0),"",
IF(L$3&lt;&gt;"",IF(貼り付け用!L6&lt;&gt;"",貼り付け用!L6,""),"")),
IF(ROW(L6)+2&gt;=MATCH("*【合計】*", 貼り付け用!$A:$A, 0),"",
IF(L$3&lt;&gt;"",IF(貼り付け用!L7&lt;&gt;"",貼り付け用!L7,""),"")))</f>
        <v>#N/A</v>
      </c>
      <c r="M6" s="19" t="e">
        <f>IF(貼り付け用!$A$6&lt;&gt;"",
IF(ROW(M5)+2&gt;=MATCH("*【合計】*", 貼り付け用!$A:$A, 0),"",
IF(M$3&lt;&gt;"",IF(貼り付け用!M6&lt;&gt;"",貼り付け用!M6,""),"")),
IF(ROW(M6)+2&gt;=MATCH("*【合計】*", 貼り付け用!$A:$A, 0),"",
IF(M$3&lt;&gt;"",IF(貼り付け用!M7&lt;&gt;"",貼り付け用!M7,""),"")))</f>
        <v>#N/A</v>
      </c>
      <c r="N6" s="19" t="e">
        <f>IF(貼り付け用!$A$6&lt;&gt;"",
IF(ROW(N5)+2&gt;=MATCH("*【合計】*", 貼り付け用!$A:$A, 0),"",
IF(N$3&lt;&gt;"",IF(貼り付け用!N6&lt;&gt;"",貼り付け用!N6,""),"")),
IF(ROW(N6)+2&gt;=MATCH("*【合計】*", 貼り付け用!$A:$A, 0),"",
IF(N$3&lt;&gt;"",IF(貼り付け用!N7&lt;&gt;"",貼り付け用!N7,""),"")))</f>
        <v>#N/A</v>
      </c>
      <c r="O6" s="19" t="e">
        <f>IF(貼り付け用!$A$6&lt;&gt;"",
IF(ROW(O5)+2&gt;=MATCH("*【合計】*", 貼り付け用!$A:$A, 0),"",
IF(O$3&lt;&gt;"",IF(貼り付け用!O6&lt;&gt;"",貼り付け用!O6,""),"")),
IF(ROW(O6)+2&gt;=MATCH("*【合計】*", 貼り付け用!$A:$A, 0),"",
IF(O$3&lt;&gt;"",IF(貼り付け用!O7&lt;&gt;"",貼り付け用!O7,""),"")))</f>
        <v>#N/A</v>
      </c>
      <c r="P6" s="19" t="e">
        <f>IF(貼り付け用!$A$6&lt;&gt;"",
IF(ROW(P5)+2&gt;=MATCH("*【合計】*", 貼り付け用!$A:$A, 0),"",
IF(P$3&lt;&gt;"",IF(貼り付け用!P6&lt;&gt;"",貼り付け用!P6,""),"")),
IF(ROW(P6)+2&gt;=MATCH("*【合計】*", 貼り付け用!$A:$A, 0),"",
IF(P$3&lt;&gt;"",IF(貼り付け用!P7&lt;&gt;"",貼り付け用!P7,""),"")))</f>
        <v>#N/A</v>
      </c>
      <c r="Q6" s="19" t="e">
        <f>IF(貼り付け用!$A$6&lt;&gt;"",
IF(ROW(Q5)+2&gt;=MATCH("*【合計】*", 貼り付け用!$A:$A, 0),"",
IF(Q$3&lt;&gt;"",IF(貼り付け用!Q6&lt;&gt;"",貼り付け用!Q6,""),"")),
IF(ROW(Q6)+2&gt;=MATCH("*【合計】*", 貼り付け用!$A:$A, 0),"",
IF(Q$3&lt;&gt;"",IF(貼り付け用!Q7&lt;&gt;"",貼り付け用!Q7,""),"")))</f>
        <v>#N/A</v>
      </c>
      <c r="R6" s="19" t="e">
        <f>IF(貼り付け用!$A$6&lt;&gt;"",
IF(ROW(R5)+2&gt;=MATCH("*【合計】*", 貼り付け用!$A:$A, 0),"",
IF(R$3&lt;&gt;"",IF(貼り付け用!R6&lt;&gt;"",貼り付け用!R6,""),"")),
IF(ROW(R6)+2&gt;=MATCH("*【合計】*", 貼り付け用!$A:$A, 0),"",
IF(R$3&lt;&gt;"",IF(貼り付け用!R7&lt;&gt;"",貼り付け用!R7,""),"")))</f>
        <v>#N/A</v>
      </c>
      <c r="S6" s="19" t="e">
        <f>IF(貼り付け用!$A$6&lt;&gt;"",
IF(ROW(S5)+2&gt;=MATCH("*【合計】*", 貼り付け用!$A:$A, 0),"",
IF(S$3&lt;&gt;"",IF(貼り付け用!S6&lt;&gt;"",貼り付け用!S6,""),"")),
IF(ROW(S6)+2&gt;=MATCH("*【合計】*", 貼り付け用!$A:$A, 0),"",
IF(S$3&lt;&gt;"",IF(貼り付け用!S7&lt;&gt;"",貼り付け用!S7,""),"")))</f>
        <v>#N/A</v>
      </c>
      <c r="T6" s="19" t="e">
        <f t="array" ref="T6">IF(貼り付け用!$A$6&lt;&gt;"",
IF(INDEX(貼り付け用!A:Z, ROW(T5)+1, MATCH("おやつ", 貼り付け用!$A$3:$Z$3, 0))&lt;&gt;0,
INDEX(貼り付け用!A:Z, ROW(T5)+1, MATCH("おやつ", 貼り付け用!$A$3:$Z$3, 0)),""),
IF(INDEX(貼り付け用!A:Z, ROW(T6)+1, MATCH("おやつ", 貼り付け用!$A$3:$Z$3, 0))&lt;&gt;0,
INDEX(貼り付け用!A:Z, ROW(T6)+1, MATCH("おやつ", 貼り付け用!$A$3:$Z$3, 0)),""))</f>
        <v>#N/A</v>
      </c>
      <c r="U6" s="16"/>
      <c r="V6" s="5" t="e">
        <f t="array" ref="V6">IF(貼り付け用!$A$6&lt;&gt;"",
IF(INDEX(貼り付け用!A:Z, ROW(T5)+1, MATCH("おやつ", 貼り付け用!$A$3:$Z$3, 0)+1)&lt;&gt;0,
INDEX(貼り付け用!A:Z, ROW(T5)+1, MATCH("おやつ", 貼り付け用!$A$3:$Z$3, 0)+1),""),
IF(INDEX(貼り付け用!A:Z, ROW(T6)+1, MATCH("おやつ", 貼り付け用!$A$3:$Z$3, 0)+1)&lt;&gt;0,
INDEX(貼り付け用!A:Z, ROW(T6)+1, MATCH("おやつ", 貼り付け用!$A$3:$Z$3, 0)+1),""))</f>
        <v>#N/A</v>
      </c>
      <c r="W6" s="7" t="e">
        <f t="array" ref="W6">IF(貼り付け用!$A$6&lt;&gt;"",
IF(INDEX(貼り付け用!A:Z, ROW(T5)+1, MATCH("おやつ", 貼り付け用!$A$3:$Z$3, 0)+2)&lt;&gt;0,
INDEX(貼り付け用!A:Z, ROW(T5)+1, MATCH("おやつ", 貼り付け用!$A$3:$Z$3, 0)+2),""),
IF(INDEX(貼り付け用!A:Z, ROW(T6)+1, MATCH("おやつ", 貼り付け用!$A$3:$Z$3, 0)+2)&lt;&gt;0,
INDEX(貼り付け用!A:Z, ROW(T6)+1, MATCH("おやつ", 貼り付け用!$A$3:$Z$3, 0)+2),""))</f>
        <v>#N/A</v>
      </c>
    </row>
    <row r="7" spans="1:23" x14ac:dyDescent="0.45">
      <c r="A7" s="10" t="e">
        <f>IF(貼り付け用!$A$6&lt;&gt;"",
IF(ROW(A6)+1&gt;=MATCH("*10000*", 貼り付け用!$A:$A, 0),"",
IF(貼り付け用!A7&lt;&gt;"",貼り付け用!A7,"")),
IF(ROW(A7)+1&gt;=MATCH("*10000*", 貼り付け用!$A:$A, 0),"",
IF(貼り付け用!A8&lt;&gt;"",貼り付け用!A8,"")))</f>
        <v>#N/A</v>
      </c>
      <c r="B7" s="3" t="e">
        <f>IF(貼り付け用!$A$6&lt;&gt;"",
IF(ROW(B6)+2&gt;=MATCH("*【合計】*", 貼り付け用!$A:$A, 0),"",
IF(貼り付け用!B7&lt;&gt;"",貼り付け用!B7,"")),
IF(ROW(B7)+2&gt;=MATCH("*【合計】*", 貼り付け用!$A:$A, 0),"",
IF(貼り付け用!B8&lt;&gt;"",貼り付け用!B8,"")))</f>
        <v>#N/A</v>
      </c>
      <c r="C7" s="3" t="e">
        <f>IF(貼り付け用!$A$6&lt;&gt;"",
IF(ROW(C6)+2&gt;=MATCH("*【合計】*", 貼り付け用!$A:$A, 0),"",
IF(貼り付け用!C7&lt;&gt;"",貼り付け用!C7,"")),
IF(ROW(C7)+2&gt;=MATCH("*【合計】*", 貼り付け用!$A:$A, 0),"",
IF(貼り付け用!C8&lt;&gt;"",貼り付け用!C8,"")))</f>
        <v>#N/A</v>
      </c>
      <c r="D7" s="3" t="e">
        <f>IF(貼り付け用!$A$6&lt;&gt;"",
IF(ROW(D6)+2&gt;=MATCH("*【合計】*", 貼り付け用!$A:$A, 0),"",
IF(貼り付け用!D7&lt;&gt;"",貼り付け用!D7,"")),
IF(ROW(D7)+2&gt;=MATCH("*【合計】*", 貼り付け用!$A:$A, 0),"",
IF(貼り付け用!D8&lt;&gt;"",貼り付け用!D8,"")))</f>
        <v>#N/A</v>
      </c>
      <c r="E7" s="3" t="e">
        <f>IF(貼り付け用!$A$6&lt;&gt;"",
IF(ROW(E6)+2&gt;=MATCH("*【合計】*", 貼り付け用!$A:$A, 0),"",
IF(貼り付け用!E7&lt;&gt;"",貼り付け用!E7,"")),
IF(ROW(E7)+2&gt;=MATCH("*【合計】*", 貼り付け用!$A:$A, 0),"",
IF(貼り付け用!E8&lt;&gt;"",貼り付け用!E8,"")))</f>
        <v>#N/A</v>
      </c>
      <c r="F7" s="3" t="e">
        <f>IF(貼り付け用!$A$6&lt;&gt;"",
IF(ROW(F6)+2&gt;=MATCH("*【合計】*", 貼り付け用!$A:$A, 0),"",
IF(貼り付け用!F7&lt;&gt;"",貼り付け用!F7,"")),
IF(ROW(F7)+2&gt;=MATCH("*【合計】*", 貼り付け用!$A:$A, 0),"",
IF(貼り付け用!F8&lt;&gt;"",貼り付け用!F8,"")))</f>
        <v>#N/A</v>
      </c>
      <c r="G7" s="3" t="e">
        <f>IF(貼り付け用!$A$6&lt;&gt;"",
IF(ROW(G6)+2&gt;=MATCH("*【合計】*", 貼り付け用!$A:$A, 0),"",
IF(貼り付け用!G7&lt;&gt;"",貼り付け用!G7,"")),
IF(ROW(G7)+2&gt;=MATCH("*【合計】*", 貼り付け用!$A:$A, 0),"",
IF(貼り付け用!G8&lt;&gt;"",貼り付け用!G8,"")))</f>
        <v>#N/A</v>
      </c>
      <c r="H7" s="3" t="e">
        <f>IF(貼り付け用!$A$6&lt;&gt;"",
IF(ROW(H6)+2&gt;=MATCH("*【合計】*", 貼り付け用!$A:$A, 0),"",
IF(貼り付け用!H7&lt;&gt;"",貼り付け用!H7,"")),
IF(ROW(H7)+2&gt;=MATCH("*【合計】*", 貼り付け用!$A:$A, 0),"",
IF(貼り付け用!H8&lt;&gt;"",貼り付け用!H8,"")))</f>
        <v>#N/A</v>
      </c>
      <c r="I7" s="3" t="e">
        <f>IF(貼り付け用!$A$6&lt;&gt;"",
IF(ROW(I6)+2&gt;=MATCH("*【合計】*", 貼り付け用!$A:$A, 0),"",
IF(貼り付け用!I7&lt;&gt;"",貼り付け用!I7,"")),
IF(ROW(I7)+2&gt;=MATCH("*【合計】*", 貼り付け用!$A:$A, 0),"",
IF(貼り付け用!I8&lt;&gt;"",貼り付け用!I8,"")))</f>
        <v>#N/A</v>
      </c>
      <c r="J7" s="3" t="e">
        <f>IF(貼り付け用!$A$6&lt;&gt;"",
IF(ROW(J6)+2&gt;=MATCH("*【合計】*", 貼り付け用!$A:$A, 0),"",
IF(貼り付け用!J7&lt;&gt;"",貼り付け用!J7,"")),
IF(ROW(J7)+2&gt;=MATCH("*【合計】*", 貼り付け用!$A:$A, 0),"",
IF(貼り付け用!J8&lt;&gt;"",貼り付け用!J8,"")))</f>
        <v>#N/A</v>
      </c>
      <c r="K7" s="3" t="e">
        <f>IF(貼り付け用!$A$6&lt;&gt;"",
IF(ROW(K6)+2&gt;=MATCH("*【合計】*", 貼り付け用!$A:$A, 0),"",
IF(貼り付け用!K7&lt;&gt;"",貼り付け用!K7,"")),
IF(ROW(K7)+2&gt;=MATCH("*【合計】*", 貼り付け用!$A:$A, 0),"",
IF(貼り付け用!K8&lt;&gt;"",貼り付け用!K8,"")))</f>
        <v>#N/A</v>
      </c>
      <c r="L7" s="3" t="e">
        <f>IF(貼り付け用!$A$6&lt;&gt;"",
IF(ROW(L6)+2&gt;=MATCH("*【合計】*", 貼り付け用!$A:$A, 0),"",
IF(L$3&lt;&gt;"",IF(貼り付け用!L7&lt;&gt;"",貼り付け用!L7,""),"")),
IF(ROW(L7)+2&gt;=MATCH("*【合計】*", 貼り付け用!$A:$A, 0),"",
IF(L$3&lt;&gt;"",IF(貼り付け用!L8&lt;&gt;"",貼り付け用!L8,""),"")))</f>
        <v>#N/A</v>
      </c>
      <c r="M7" s="3" t="e">
        <f>IF(貼り付け用!$A$6&lt;&gt;"",
IF(ROW(M6)+2&gt;=MATCH("*【合計】*", 貼り付け用!$A:$A, 0),"",
IF(M$3&lt;&gt;"",IF(貼り付け用!M7&lt;&gt;"",貼り付け用!M7,""),"")),
IF(ROW(M7)+2&gt;=MATCH("*【合計】*", 貼り付け用!$A:$A, 0),"",
IF(M$3&lt;&gt;"",IF(貼り付け用!M8&lt;&gt;"",貼り付け用!M8,""),"")))</f>
        <v>#N/A</v>
      </c>
      <c r="N7" s="3" t="e">
        <f>IF(貼り付け用!$A$6&lt;&gt;"",
IF(ROW(N6)+2&gt;=MATCH("*【合計】*", 貼り付け用!$A:$A, 0),"",
IF(N$3&lt;&gt;"",IF(貼り付け用!N7&lt;&gt;"",貼り付け用!N7,""),"")),
IF(ROW(N7)+2&gt;=MATCH("*【合計】*", 貼り付け用!$A:$A, 0),"",
IF(N$3&lt;&gt;"",IF(貼り付け用!N8&lt;&gt;"",貼り付け用!N8,""),"")))</f>
        <v>#N/A</v>
      </c>
      <c r="O7" s="3" t="e">
        <f>IF(貼り付け用!$A$6&lt;&gt;"",
IF(ROW(O6)+2&gt;=MATCH("*【合計】*", 貼り付け用!$A:$A, 0),"",
IF(O$3&lt;&gt;"",IF(貼り付け用!O7&lt;&gt;"",貼り付け用!O7,""),"")),
IF(ROW(O7)+2&gt;=MATCH("*【合計】*", 貼り付け用!$A:$A, 0),"",
IF(O$3&lt;&gt;"",IF(貼り付け用!O8&lt;&gt;"",貼り付け用!O8,""),"")))</f>
        <v>#N/A</v>
      </c>
      <c r="P7" s="3" t="e">
        <f>IF(貼り付け用!$A$6&lt;&gt;"",
IF(ROW(P6)+2&gt;=MATCH("*【合計】*", 貼り付け用!$A:$A, 0),"",
IF(P$3&lt;&gt;"",IF(貼り付け用!P7&lt;&gt;"",貼り付け用!P7,""),"")),
IF(ROW(P7)+2&gt;=MATCH("*【合計】*", 貼り付け用!$A:$A, 0),"",
IF(P$3&lt;&gt;"",IF(貼り付け用!P8&lt;&gt;"",貼り付け用!P8,""),"")))</f>
        <v>#N/A</v>
      </c>
      <c r="Q7" s="3" t="e">
        <f>IF(貼り付け用!$A$6&lt;&gt;"",
IF(ROW(Q6)+2&gt;=MATCH("*【合計】*", 貼り付け用!$A:$A, 0),"",
IF(Q$3&lt;&gt;"",IF(貼り付け用!Q7&lt;&gt;"",貼り付け用!Q7,""),"")),
IF(ROW(Q7)+2&gt;=MATCH("*【合計】*", 貼り付け用!$A:$A, 0),"",
IF(Q$3&lt;&gt;"",IF(貼り付け用!Q8&lt;&gt;"",貼り付け用!Q8,""),"")))</f>
        <v>#N/A</v>
      </c>
      <c r="R7" s="3" t="e">
        <f>IF(貼り付け用!$A$6&lt;&gt;"",
IF(ROW(R6)+2&gt;=MATCH("*【合計】*", 貼り付け用!$A:$A, 0),"",
IF(R$3&lt;&gt;"",IF(貼り付け用!R7&lt;&gt;"",貼り付け用!R7,""),"")),
IF(ROW(R7)+2&gt;=MATCH("*【合計】*", 貼り付け用!$A:$A, 0),"",
IF(R$3&lt;&gt;"",IF(貼り付け用!R8&lt;&gt;"",貼り付け用!R8,""),"")))</f>
        <v>#N/A</v>
      </c>
      <c r="S7" s="3" t="e">
        <f>IF(貼り付け用!$A$6&lt;&gt;"",
IF(ROW(S6)+2&gt;=MATCH("*【合計】*", 貼り付け用!$A:$A, 0),"",
IF(S$3&lt;&gt;"",IF(貼り付け用!S7&lt;&gt;"",貼り付け用!S7,""),"")),
IF(ROW(S7)+2&gt;=MATCH("*【合計】*", 貼り付け用!$A:$A, 0),"",
IF(S$3&lt;&gt;"",IF(貼り付け用!S8&lt;&gt;"",貼り付け用!S8,""),"")))</f>
        <v>#N/A</v>
      </c>
      <c r="T7" s="2" t="e">
        <f t="array" ref="T7">IF(貼り付け用!$A$6&lt;&gt;"",
IF(INDEX(貼り付け用!A:Z, ROW(T6)+1, MATCH("おやつ", 貼り付け用!$A$3:$Z$3, 0))&lt;&gt;0,
INDEX(貼り付け用!A:Z, ROW(T6)+1, MATCH("おやつ", 貼り付け用!$A$3:$Z$3, 0)),""),
IF(INDEX(貼り付け用!A:Z, ROW(T7)+1, MATCH("おやつ", 貼り付け用!$A$3:$Z$3, 0))&lt;&gt;0,
INDEX(貼り付け用!A:Z, ROW(T7)+1, MATCH("おやつ", 貼り付け用!$A$3:$Z$3, 0)),""))</f>
        <v>#N/A</v>
      </c>
      <c r="U7" s="52"/>
      <c r="V7" s="8" t="e">
        <f t="array" ref="V7">IF(貼り付け用!$A$6&lt;&gt;"",
IF(INDEX(貼り付け用!A:Z, ROW(T6)+1, MATCH("おやつ", 貼り付け用!$A$3:$Z$3, 0)+1)&lt;&gt;0,
INDEX(貼り付け用!A:Z, ROW(T6)+1, MATCH("おやつ", 貼り付け用!$A$3:$Z$3, 0)+1),""),
IF(INDEX(貼り付け用!A:Z, ROW(T7)+1, MATCH("おやつ", 貼り付け用!$A$3:$Z$3, 0)+1)&lt;&gt;0,
INDEX(貼り付け用!A:Z, ROW(T7)+1, MATCH("おやつ", 貼り付け用!$A$3:$Z$3, 0)+1),""))</f>
        <v>#N/A</v>
      </c>
      <c r="W7" s="9" t="e">
        <f t="array" ref="W7">IF(貼り付け用!$A$6&lt;&gt;"",
IF(INDEX(貼り付け用!A:Z, ROW(T6)+1, MATCH("おやつ", 貼り付け用!$A$3:$Z$3, 0)+2)&lt;&gt;0,
INDEX(貼り付け用!A:Z, ROW(T6)+1, MATCH("おやつ", 貼り付け用!$A$3:$Z$3, 0)+2),""),
IF(INDEX(貼り付け用!A:Z, ROW(T7)+1, MATCH("おやつ", 貼り付け用!$A$3:$Z$3, 0)+2)&lt;&gt;0,
INDEX(貼り付け用!A:Z, ROW(T7)+1, MATCH("おやつ", 貼り付け用!$A$3:$Z$3, 0)+2),""))</f>
        <v>#N/A</v>
      </c>
    </row>
    <row r="8" spans="1:23" x14ac:dyDescent="0.45">
      <c r="A8" s="4" t="e">
        <f>IF(貼り付け用!$A$6&lt;&gt;"",
IF(ROW(A7)+1&gt;=MATCH("*10000*", 貼り付け用!$A:$A, 0),
IF(COUNTIF(A6,"*10000*"),"10001",
IF(COUNTIF(A6,"*10001*"),"10002",
IF(COUNTIF(A6,"*10002*"),"",
IF(COUNTIF(A6,""),"","10000")))),
IF(貼り付け用!A8&lt;&gt;"",貼り付け用!A8,"")),
IF(ROW(A8)+1&gt;=MATCH("*10000*", 貼り付け用!$A:$A, 0),
IF(COUNTIF(A6,"*10000*"),"10001",
IF(COUNTIF(A6,"*10001*"),"10002",
IF(COUNTIF(A6,"*10002*"),"",
IF(COUNTIF(A6,""),"","10000")))),
IF(貼り付け用!A9&lt;&gt;"",貼り付け用!A9,"")))</f>
        <v>#N/A</v>
      </c>
      <c r="B8" s="19" t="e">
        <f>IF(貼り付け用!$A$6&lt;&gt;"",
IF(ROW(B7)+2&gt;=MATCH("*【合計】*", 貼り付け用!$A:$A, 0),"",
IF(貼り付け用!B8&lt;&gt;"",貼り付け用!B8,"")),
IF(ROW(B8)+2&gt;=MATCH("*【合計】*", 貼り付け用!$A:$A, 0),"",
IF(貼り付け用!B9&lt;&gt;"",貼り付け用!B9,"")))</f>
        <v>#N/A</v>
      </c>
      <c r="C8" s="19" t="e">
        <f>IF(貼り付け用!$A$6&lt;&gt;"",
IF(ROW(C7)+2&gt;=MATCH("*【合計】*", 貼り付け用!$A:$A, 0),"",
IF(貼り付け用!C8&lt;&gt;"",貼り付け用!C8,"")),
IF(ROW(C8)+2&gt;=MATCH("*【合計】*", 貼り付け用!$A:$A, 0),"",
IF(貼り付け用!C9&lt;&gt;"",貼り付け用!C9,"")))</f>
        <v>#N/A</v>
      </c>
      <c r="D8" s="19" t="e">
        <f>IF(貼り付け用!$A$6&lt;&gt;"",
IF(ROW(D7)+2&gt;=MATCH("*【合計】*", 貼り付け用!$A:$A, 0),"",
IF(貼り付け用!D8&lt;&gt;"",貼り付け用!D8,"")),
IF(ROW(D8)+2&gt;=MATCH("*【合計】*", 貼り付け用!$A:$A, 0),"",
IF(貼り付け用!D9&lt;&gt;"",貼り付け用!D9,"")))</f>
        <v>#N/A</v>
      </c>
      <c r="E8" s="19" t="e">
        <f>IF(貼り付け用!$A$6&lt;&gt;"",
IF(ROW(E7)+2&gt;=MATCH("*【合計】*", 貼り付け用!$A:$A, 0),"",
IF(貼り付け用!E8&lt;&gt;"",貼り付け用!E8,"")),
IF(ROW(E8)+2&gt;=MATCH("*【合計】*", 貼り付け用!$A:$A, 0),"",
IF(貼り付け用!E9&lt;&gt;"",貼り付け用!E9,"")))</f>
        <v>#N/A</v>
      </c>
      <c r="F8" s="19" t="e">
        <f>IF(貼り付け用!$A$6&lt;&gt;"",
IF(ROW(F7)+2&gt;=MATCH("*【合計】*", 貼り付け用!$A:$A, 0),"",
IF(貼り付け用!F8&lt;&gt;"",貼り付け用!F8,"")),
IF(ROW(F8)+2&gt;=MATCH("*【合計】*", 貼り付け用!$A:$A, 0),"",
IF(貼り付け用!F9&lt;&gt;"",貼り付け用!F9,"")))</f>
        <v>#N/A</v>
      </c>
      <c r="G8" s="19" t="e">
        <f>IF(貼り付け用!$A$6&lt;&gt;"",
IF(ROW(G7)+2&gt;=MATCH("*【合計】*", 貼り付け用!$A:$A, 0),"",
IF(貼り付け用!G8&lt;&gt;"",貼り付け用!G8,"")),
IF(ROW(G8)+2&gt;=MATCH("*【合計】*", 貼り付け用!$A:$A, 0),"",
IF(貼り付け用!G9&lt;&gt;"",貼り付け用!G9,"")))</f>
        <v>#N/A</v>
      </c>
      <c r="H8" s="19" t="e">
        <f>IF(貼り付け用!$A$6&lt;&gt;"",
IF(ROW(H7)+2&gt;=MATCH("*【合計】*", 貼り付け用!$A:$A, 0),"",
IF(貼り付け用!H8&lt;&gt;"",貼り付け用!H8,"")),
IF(ROW(H8)+2&gt;=MATCH("*【合計】*", 貼り付け用!$A:$A, 0),"",
IF(貼り付け用!H9&lt;&gt;"",貼り付け用!H9,"")))</f>
        <v>#N/A</v>
      </c>
      <c r="I8" s="19" t="e">
        <f>IF(貼り付け用!$A$6&lt;&gt;"",
IF(ROW(I7)+2&gt;=MATCH("*【合計】*", 貼り付け用!$A:$A, 0),"",
IF(貼り付け用!I8&lt;&gt;"",貼り付け用!I8,"")),
IF(ROW(I8)+2&gt;=MATCH("*【合計】*", 貼り付け用!$A:$A, 0),"",
IF(貼り付け用!I9&lt;&gt;"",貼り付け用!I9,"")))</f>
        <v>#N/A</v>
      </c>
      <c r="J8" s="19" t="e">
        <f>IF(貼り付け用!$A$6&lt;&gt;"",
IF(ROW(J7)+2&gt;=MATCH("*【合計】*", 貼り付け用!$A:$A, 0),"",
IF(貼り付け用!J8&lt;&gt;"",貼り付け用!J8,"")),
IF(ROW(J8)+2&gt;=MATCH("*【合計】*", 貼り付け用!$A:$A, 0),"",
IF(貼り付け用!J9&lt;&gt;"",貼り付け用!J9,"")))</f>
        <v>#N/A</v>
      </c>
      <c r="K8" s="19" t="e">
        <f>IF(貼り付け用!$A$6&lt;&gt;"",
IF(ROW(K7)+2&gt;=MATCH("*【合計】*", 貼り付け用!$A:$A, 0),"",
IF(貼り付け用!K8&lt;&gt;"",貼り付け用!K8,"")),
IF(ROW(K8)+2&gt;=MATCH("*【合計】*", 貼り付け用!$A:$A, 0),"",
IF(貼り付け用!K9&lt;&gt;"",貼り付け用!K9,"")))</f>
        <v>#N/A</v>
      </c>
      <c r="L8" s="19" t="e">
        <f>IF(貼り付け用!$A$6&lt;&gt;"",
IF(ROW(L7)+2&gt;=MATCH("*【合計】*", 貼り付け用!$A:$A, 0),"",
IF(L$3&lt;&gt;"",IF(貼り付け用!L8&lt;&gt;"",貼り付け用!L8,""),"")),
IF(ROW(L8)+2&gt;=MATCH("*【合計】*", 貼り付け用!$A:$A, 0),"",
IF(L$3&lt;&gt;"",IF(貼り付け用!L9&lt;&gt;"",貼り付け用!L9,""),"")))</f>
        <v>#N/A</v>
      </c>
      <c r="M8" s="19" t="e">
        <f>IF(貼り付け用!$A$6&lt;&gt;"",
IF(ROW(M7)+2&gt;=MATCH("*【合計】*", 貼り付け用!$A:$A, 0),"",
IF(M$3&lt;&gt;"",IF(貼り付け用!M8&lt;&gt;"",貼り付け用!M8,""),"")),
IF(ROW(M8)+2&gt;=MATCH("*【合計】*", 貼り付け用!$A:$A, 0),"",
IF(M$3&lt;&gt;"",IF(貼り付け用!M9&lt;&gt;"",貼り付け用!M9,""),"")))</f>
        <v>#N/A</v>
      </c>
      <c r="N8" s="19" t="e">
        <f>IF(貼り付け用!$A$6&lt;&gt;"",
IF(ROW(N7)+2&gt;=MATCH("*【合計】*", 貼り付け用!$A:$A, 0),"",
IF(N$3&lt;&gt;"",IF(貼り付け用!N8&lt;&gt;"",貼り付け用!N8,""),"")),
IF(ROW(N8)+2&gt;=MATCH("*【合計】*", 貼り付け用!$A:$A, 0),"",
IF(N$3&lt;&gt;"",IF(貼り付け用!N9&lt;&gt;"",貼り付け用!N9,""),"")))</f>
        <v>#N/A</v>
      </c>
      <c r="O8" s="19" t="e">
        <f>IF(貼り付け用!$A$6&lt;&gt;"",
IF(ROW(O7)+2&gt;=MATCH("*【合計】*", 貼り付け用!$A:$A, 0),"",
IF(O$3&lt;&gt;"",IF(貼り付け用!O8&lt;&gt;"",貼り付け用!O8,""),"")),
IF(ROW(O8)+2&gt;=MATCH("*【合計】*", 貼り付け用!$A:$A, 0),"",
IF(O$3&lt;&gt;"",IF(貼り付け用!O9&lt;&gt;"",貼り付け用!O9,""),"")))</f>
        <v>#N/A</v>
      </c>
      <c r="P8" s="19" t="e">
        <f>IF(貼り付け用!$A$6&lt;&gt;"",
IF(ROW(P7)+2&gt;=MATCH("*【合計】*", 貼り付け用!$A:$A, 0),"",
IF(P$3&lt;&gt;"",IF(貼り付け用!P8&lt;&gt;"",貼り付け用!P8,""),"")),
IF(ROW(P8)+2&gt;=MATCH("*【合計】*", 貼り付け用!$A:$A, 0),"",
IF(P$3&lt;&gt;"",IF(貼り付け用!P9&lt;&gt;"",貼り付け用!P9,""),"")))</f>
        <v>#N/A</v>
      </c>
      <c r="Q8" s="19" t="e">
        <f>IF(貼り付け用!$A$6&lt;&gt;"",
IF(ROW(Q7)+2&gt;=MATCH("*【合計】*", 貼り付け用!$A:$A, 0),"",
IF(Q$3&lt;&gt;"",IF(貼り付け用!Q8&lt;&gt;"",貼り付け用!Q8,""),"")),
IF(ROW(Q8)+2&gt;=MATCH("*【合計】*", 貼り付け用!$A:$A, 0),"",
IF(Q$3&lt;&gt;"",IF(貼り付け用!Q9&lt;&gt;"",貼り付け用!Q9,""),"")))</f>
        <v>#N/A</v>
      </c>
      <c r="R8" s="19" t="e">
        <f>IF(貼り付け用!$A$6&lt;&gt;"",
IF(ROW(R7)+2&gt;=MATCH("*【合計】*", 貼り付け用!$A:$A, 0),"",
IF(R$3&lt;&gt;"",IF(貼り付け用!R8&lt;&gt;"",貼り付け用!R8,""),"")),
IF(ROW(R8)+2&gt;=MATCH("*【合計】*", 貼り付け用!$A:$A, 0),"",
IF(R$3&lt;&gt;"",IF(貼り付け用!R9&lt;&gt;"",貼り付け用!R9,""),"")))</f>
        <v>#N/A</v>
      </c>
      <c r="S8" s="19" t="e">
        <f>IF(貼り付け用!$A$6&lt;&gt;"",
IF(ROW(S7)+2&gt;=MATCH("*【合計】*", 貼り付け用!$A:$A, 0),"",
IF(S$3&lt;&gt;"",IF(貼り付け用!S8&lt;&gt;"",貼り付け用!S8,""),"")),
IF(ROW(S8)+2&gt;=MATCH("*【合計】*", 貼り付け用!$A:$A, 0),"",
IF(S$3&lt;&gt;"",IF(貼り付け用!S9&lt;&gt;"",貼り付け用!S9,""),"")))</f>
        <v>#N/A</v>
      </c>
      <c r="T8" s="19" t="e">
        <f t="array" ref="T8">IF(貼り付け用!$A$6&lt;&gt;"",
IF(INDEX(貼り付け用!A:Z, ROW(T7)+1, MATCH("おやつ", 貼り付け用!$A$3:$Z$3, 0))&lt;&gt;0,
INDEX(貼り付け用!A:Z, ROW(T7)+1, MATCH("おやつ", 貼り付け用!$A$3:$Z$3, 0)),""),
IF(INDEX(貼り付け用!A:Z, ROW(T8)+1, MATCH("おやつ", 貼り付け用!$A$3:$Z$3, 0))&lt;&gt;0,
INDEX(貼り付け用!A:Z, ROW(T8)+1, MATCH("おやつ", 貼り付け用!$A$3:$Z$3, 0)),""))</f>
        <v>#N/A</v>
      </c>
      <c r="U8" s="16"/>
      <c r="V8" s="5" t="e">
        <f t="array" ref="V8">IF(貼り付け用!$A$6&lt;&gt;"",
IF(INDEX(貼り付け用!A:Z, ROW(T7)+1, MATCH("おやつ", 貼り付け用!$A$3:$Z$3, 0)+1)&lt;&gt;0,
INDEX(貼り付け用!A:Z, ROW(T7)+1, MATCH("おやつ", 貼り付け用!$A$3:$Z$3, 0)+1),""),
IF(INDEX(貼り付け用!A:Z, ROW(T8)+1, MATCH("おやつ", 貼り付け用!$A$3:$Z$3, 0)+1)&lt;&gt;0,
INDEX(貼り付け用!A:Z, ROW(T8)+1, MATCH("おやつ", 貼り付け用!$A$3:$Z$3, 0)+1),""))</f>
        <v>#N/A</v>
      </c>
      <c r="W8" s="7" t="e">
        <f t="array" ref="W8">IF(貼り付け用!$A$6&lt;&gt;"",
IF(INDEX(貼り付け用!A:Z, ROW(T7)+1, MATCH("おやつ", 貼り付け用!$A$3:$Z$3, 0)+2)&lt;&gt;0,
INDEX(貼り付け用!A:Z, ROW(T7)+1, MATCH("おやつ", 貼り付け用!$A$3:$Z$3, 0)+2),""),
IF(INDEX(貼り付け用!A:Z, ROW(T8)+1, MATCH("おやつ", 貼り付け用!$A$3:$Z$3, 0)+2)&lt;&gt;0,
INDEX(貼り付け用!A:Z, ROW(T8)+1, MATCH("おやつ", 貼り付け用!$A$3:$Z$3, 0)+2),""))</f>
        <v>#N/A</v>
      </c>
    </row>
    <row r="9" spans="1:23" x14ac:dyDescent="0.45">
      <c r="A9" s="10" t="e">
        <f>IF(貼り付け用!$A$6&lt;&gt;"",
IF(ROW(A8)+1&gt;=MATCH("*10000*", 貼り付け用!$A:$A, 0),"",
IF(貼り付け用!A9&lt;&gt;"",貼り付け用!A9,"")),
IF(ROW(A9)+1&gt;=MATCH("*10000*", 貼り付け用!$A:$A, 0),"",
IF(貼り付け用!A10&lt;&gt;"",貼り付け用!A10,"")))</f>
        <v>#N/A</v>
      </c>
      <c r="B9" s="3" t="e">
        <f>IF(貼り付け用!$A$6&lt;&gt;"",
IF(ROW(B8)+2&gt;=MATCH("*【合計】*", 貼り付け用!$A:$A, 0),"",
IF(貼り付け用!B9&lt;&gt;"",貼り付け用!B9,"")),
IF(ROW(B9)+2&gt;=MATCH("*【合計】*", 貼り付け用!$A:$A, 0),"",
IF(貼り付け用!B10&lt;&gt;"",貼り付け用!B10,"")))</f>
        <v>#N/A</v>
      </c>
      <c r="C9" s="3" t="e">
        <f>IF(貼り付け用!$A$6&lt;&gt;"",
IF(ROW(C8)+2&gt;=MATCH("*【合計】*", 貼り付け用!$A:$A, 0),"",
IF(貼り付け用!C9&lt;&gt;"",貼り付け用!C9,"")),
IF(ROW(C9)+2&gt;=MATCH("*【合計】*", 貼り付け用!$A:$A, 0),"",
IF(貼り付け用!C10&lt;&gt;"",貼り付け用!C10,"")))</f>
        <v>#N/A</v>
      </c>
      <c r="D9" s="3" t="e">
        <f>IF(貼り付け用!$A$6&lt;&gt;"",
IF(ROW(D8)+2&gt;=MATCH("*【合計】*", 貼り付け用!$A:$A, 0),"",
IF(貼り付け用!D9&lt;&gt;"",貼り付け用!D9,"")),
IF(ROW(D9)+2&gt;=MATCH("*【合計】*", 貼り付け用!$A:$A, 0),"",
IF(貼り付け用!D10&lt;&gt;"",貼り付け用!D10,"")))</f>
        <v>#N/A</v>
      </c>
      <c r="E9" s="3" t="e">
        <f>IF(貼り付け用!$A$6&lt;&gt;"",
IF(ROW(E8)+2&gt;=MATCH("*【合計】*", 貼り付け用!$A:$A, 0),"",
IF(貼り付け用!E9&lt;&gt;"",貼り付け用!E9,"")),
IF(ROW(E9)+2&gt;=MATCH("*【合計】*", 貼り付け用!$A:$A, 0),"",
IF(貼り付け用!E10&lt;&gt;"",貼り付け用!E10,"")))</f>
        <v>#N/A</v>
      </c>
      <c r="F9" s="3" t="e">
        <f>IF(貼り付け用!$A$6&lt;&gt;"",
IF(ROW(F8)+2&gt;=MATCH("*【合計】*", 貼り付け用!$A:$A, 0),"",
IF(貼り付け用!F9&lt;&gt;"",貼り付け用!F9,"")),
IF(ROW(F9)+2&gt;=MATCH("*【合計】*", 貼り付け用!$A:$A, 0),"",
IF(貼り付け用!F10&lt;&gt;"",貼り付け用!F10,"")))</f>
        <v>#N/A</v>
      </c>
      <c r="G9" s="3" t="e">
        <f>IF(貼り付け用!$A$6&lt;&gt;"",
IF(ROW(G8)+2&gt;=MATCH("*【合計】*", 貼り付け用!$A:$A, 0),"",
IF(貼り付け用!G9&lt;&gt;"",貼り付け用!G9,"")),
IF(ROW(G9)+2&gt;=MATCH("*【合計】*", 貼り付け用!$A:$A, 0),"",
IF(貼り付け用!G10&lt;&gt;"",貼り付け用!G10,"")))</f>
        <v>#N/A</v>
      </c>
      <c r="H9" s="3" t="e">
        <f>IF(貼り付け用!$A$6&lt;&gt;"",
IF(ROW(H8)+2&gt;=MATCH("*【合計】*", 貼り付け用!$A:$A, 0),"",
IF(貼り付け用!H9&lt;&gt;"",貼り付け用!H9,"")),
IF(ROW(H9)+2&gt;=MATCH("*【合計】*", 貼り付け用!$A:$A, 0),"",
IF(貼り付け用!H10&lt;&gt;"",貼り付け用!H10,"")))</f>
        <v>#N/A</v>
      </c>
      <c r="I9" s="3" t="e">
        <f>IF(貼り付け用!$A$6&lt;&gt;"",
IF(ROW(I8)+2&gt;=MATCH("*【合計】*", 貼り付け用!$A:$A, 0),"",
IF(貼り付け用!I9&lt;&gt;"",貼り付け用!I9,"")),
IF(ROW(I9)+2&gt;=MATCH("*【合計】*", 貼り付け用!$A:$A, 0),"",
IF(貼り付け用!I10&lt;&gt;"",貼り付け用!I10,"")))</f>
        <v>#N/A</v>
      </c>
      <c r="J9" s="3" t="e">
        <f>IF(貼り付け用!$A$6&lt;&gt;"",
IF(ROW(J8)+2&gt;=MATCH("*【合計】*", 貼り付け用!$A:$A, 0),"",
IF(貼り付け用!J9&lt;&gt;"",貼り付け用!J9,"")),
IF(ROW(J9)+2&gt;=MATCH("*【合計】*", 貼り付け用!$A:$A, 0),"",
IF(貼り付け用!J10&lt;&gt;"",貼り付け用!J10,"")))</f>
        <v>#N/A</v>
      </c>
      <c r="K9" s="3" t="e">
        <f>IF(貼り付け用!$A$6&lt;&gt;"",
IF(ROW(K8)+2&gt;=MATCH("*【合計】*", 貼り付け用!$A:$A, 0),"",
IF(貼り付け用!K9&lt;&gt;"",貼り付け用!K9,"")),
IF(ROW(K9)+2&gt;=MATCH("*【合計】*", 貼り付け用!$A:$A, 0),"",
IF(貼り付け用!K10&lt;&gt;"",貼り付け用!K10,"")))</f>
        <v>#N/A</v>
      </c>
      <c r="L9" s="3" t="e">
        <f>IF(貼り付け用!$A$6&lt;&gt;"",
IF(ROW(L8)+2&gt;=MATCH("*【合計】*", 貼り付け用!$A:$A, 0),"",
IF(L$3&lt;&gt;"",IF(貼り付け用!L9&lt;&gt;"",貼り付け用!L9,""),"")),
IF(ROW(L9)+2&gt;=MATCH("*【合計】*", 貼り付け用!$A:$A, 0),"",
IF(L$3&lt;&gt;"",IF(貼り付け用!L10&lt;&gt;"",貼り付け用!L10,""),"")))</f>
        <v>#N/A</v>
      </c>
      <c r="M9" s="3" t="e">
        <f>IF(貼り付け用!$A$6&lt;&gt;"",
IF(ROW(M8)+2&gt;=MATCH("*【合計】*", 貼り付け用!$A:$A, 0),"",
IF(M$3&lt;&gt;"",IF(貼り付け用!M9&lt;&gt;"",貼り付け用!M9,""),"")),
IF(ROW(M9)+2&gt;=MATCH("*【合計】*", 貼り付け用!$A:$A, 0),"",
IF(M$3&lt;&gt;"",IF(貼り付け用!M10&lt;&gt;"",貼り付け用!M10,""),"")))</f>
        <v>#N/A</v>
      </c>
      <c r="N9" s="3" t="e">
        <f>IF(貼り付け用!$A$6&lt;&gt;"",
IF(ROW(N8)+2&gt;=MATCH("*【合計】*", 貼り付け用!$A:$A, 0),"",
IF(N$3&lt;&gt;"",IF(貼り付け用!N9&lt;&gt;"",貼り付け用!N9,""),"")),
IF(ROW(N9)+2&gt;=MATCH("*【合計】*", 貼り付け用!$A:$A, 0),"",
IF(N$3&lt;&gt;"",IF(貼り付け用!N10&lt;&gt;"",貼り付け用!N10,""),"")))</f>
        <v>#N/A</v>
      </c>
      <c r="O9" s="3" t="e">
        <f>IF(貼り付け用!$A$6&lt;&gt;"",
IF(ROW(O8)+2&gt;=MATCH("*【合計】*", 貼り付け用!$A:$A, 0),"",
IF(O$3&lt;&gt;"",IF(貼り付け用!O9&lt;&gt;"",貼り付け用!O9,""),"")),
IF(ROW(O9)+2&gt;=MATCH("*【合計】*", 貼り付け用!$A:$A, 0),"",
IF(O$3&lt;&gt;"",IF(貼り付け用!O10&lt;&gt;"",貼り付け用!O10,""),"")))</f>
        <v>#N/A</v>
      </c>
      <c r="P9" s="3" t="e">
        <f>IF(貼り付け用!$A$6&lt;&gt;"",
IF(ROW(P8)+2&gt;=MATCH("*【合計】*", 貼り付け用!$A:$A, 0),"",
IF(P$3&lt;&gt;"",IF(貼り付け用!P9&lt;&gt;"",貼り付け用!P9,""),"")),
IF(ROW(P9)+2&gt;=MATCH("*【合計】*", 貼り付け用!$A:$A, 0),"",
IF(P$3&lt;&gt;"",IF(貼り付け用!P10&lt;&gt;"",貼り付け用!P10,""),"")))</f>
        <v>#N/A</v>
      </c>
      <c r="Q9" s="3" t="e">
        <f>IF(貼り付け用!$A$6&lt;&gt;"",
IF(ROW(Q8)+2&gt;=MATCH("*【合計】*", 貼り付け用!$A:$A, 0),"",
IF(Q$3&lt;&gt;"",IF(貼り付け用!Q9&lt;&gt;"",貼り付け用!Q9,""),"")),
IF(ROW(Q9)+2&gt;=MATCH("*【合計】*", 貼り付け用!$A:$A, 0),"",
IF(Q$3&lt;&gt;"",IF(貼り付け用!Q10&lt;&gt;"",貼り付け用!Q10,""),"")))</f>
        <v>#N/A</v>
      </c>
      <c r="R9" s="3" t="e">
        <f>IF(貼り付け用!$A$6&lt;&gt;"",
IF(ROW(R8)+2&gt;=MATCH("*【合計】*", 貼り付け用!$A:$A, 0),"",
IF(R$3&lt;&gt;"",IF(貼り付け用!R9&lt;&gt;"",貼り付け用!R9,""),"")),
IF(ROW(R9)+2&gt;=MATCH("*【合計】*", 貼り付け用!$A:$A, 0),"",
IF(R$3&lt;&gt;"",IF(貼り付け用!R10&lt;&gt;"",貼り付け用!R10,""),"")))</f>
        <v>#N/A</v>
      </c>
      <c r="S9" s="3" t="e">
        <f>IF(貼り付け用!$A$6&lt;&gt;"",
IF(ROW(S8)+2&gt;=MATCH("*【合計】*", 貼り付け用!$A:$A, 0),"",
IF(S$3&lt;&gt;"",IF(貼り付け用!S9&lt;&gt;"",貼り付け用!S9,""),"")),
IF(ROW(S9)+2&gt;=MATCH("*【合計】*", 貼り付け用!$A:$A, 0),"",
IF(S$3&lt;&gt;"",IF(貼り付け用!S10&lt;&gt;"",貼り付け用!S10,""),"")))</f>
        <v>#N/A</v>
      </c>
      <c r="T9" s="2" t="e">
        <f t="array" ref="T9">IF(貼り付け用!$A$6&lt;&gt;"",
IF(INDEX(貼り付け用!A:Z, ROW(T8)+1, MATCH("おやつ", 貼り付け用!$A$3:$Z$3, 0))&lt;&gt;0,
INDEX(貼り付け用!A:Z, ROW(T8)+1, MATCH("おやつ", 貼り付け用!$A$3:$Z$3, 0)),""),
IF(INDEX(貼り付け用!A:Z, ROW(T9)+1, MATCH("おやつ", 貼り付け用!$A$3:$Z$3, 0))&lt;&gt;0,
INDEX(貼り付け用!A:Z, ROW(T9)+1, MATCH("おやつ", 貼り付け用!$A$3:$Z$3, 0)),""))</f>
        <v>#N/A</v>
      </c>
      <c r="U9" s="52"/>
      <c r="V9" s="8" t="e">
        <f t="array" ref="V9">IF(貼り付け用!$A$6&lt;&gt;"",
IF(INDEX(貼り付け用!A:Z, ROW(T8)+1, MATCH("おやつ", 貼り付け用!$A$3:$Z$3, 0)+1)&lt;&gt;0,
INDEX(貼り付け用!A:Z, ROW(T8)+1, MATCH("おやつ", 貼り付け用!$A$3:$Z$3, 0)+1),""),
IF(INDEX(貼り付け用!A:Z, ROW(T9)+1, MATCH("おやつ", 貼り付け用!$A$3:$Z$3, 0)+1)&lt;&gt;0,
INDEX(貼り付け用!A:Z, ROW(T9)+1, MATCH("おやつ", 貼り付け用!$A$3:$Z$3, 0)+1),""))</f>
        <v>#N/A</v>
      </c>
      <c r="W9" s="9" t="e">
        <f t="array" ref="W9">IF(貼り付け用!$A$6&lt;&gt;"",
IF(INDEX(貼り付け用!A:Z, ROW(T8)+1, MATCH("おやつ", 貼り付け用!$A$3:$Z$3, 0)+2)&lt;&gt;0,
INDEX(貼り付け用!A:Z, ROW(T8)+1, MATCH("おやつ", 貼り付け用!$A$3:$Z$3, 0)+2),""),
IF(INDEX(貼り付け用!A:Z, ROW(T9)+1, MATCH("おやつ", 貼り付け用!$A$3:$Z$3, 0)+2)&lt;&gt;0,
INDEX(貼り付け用!A:Z, ROW(T9)+1, MATCH("おやつ", 貼り付け用!$A$3:$Z$3, 0)+2),""))</f>
        <v>#N/A</v>
      </c>
    </row>
    <row r="10" spans="1:23" x14ac:dyDescent="0.45">
      <c r="A10" s="4" t="e">
        <f>IF(貼り付け用!$A$6&lt;&gt;"",
IF(ROW(A9)+1&gt;=MATCH("*10000*", 貼り付け用!$A:$A, 0),
IF(COUNTIF(A8,"*10000*"),"10001",
IF(COUNTIF(A8,"*10001*"),"10002",
IF(COUNTIF(A8,"*10002*"),"",
IF(COUNTIF(A8,""),"","10000")))),
IF(貼り付け用!A10&lt;&gt;"",貼り付け用!A10,"")),
IF(ROW(A10)+1&gt;=MATCH("*10000*", 貼り付け用!$A:$A, 0),
IF(COUNTIF(A8,"*10000*"),"10001",
IF(COUNTIF(A8,"*10001*"),"10002",
IF(COUNTIF(A8,"*10002*"),"",
IF(COUNTIF(A8,""),"","10000")))),
IF(貼り付け用!A11&lt;&gt;"",貼り付け用!A11,"")))</f>
        <v>#N/A</v>
      </c>
      <c r="B10" s="19" t="e">
        <f>IF(貼り付け用!$A$6&lt;&gt;"",
IF(ROW(B9)+2&gt;=MATCH("*【合計】*", 貼り付け用!$A:$A, 0),"",
IF(貼り付け用!B10&lt;&gt;"",貼り付け用!B10,"")),
IF(ROW(B10)+2&gt;=MATCH("*【合計】*", 貼り付け用!$A:$A, 0),"",
IF(貼り付け用!B11&lt;&gt;"",貼り付け用!B11,"")))</f>
        <v>#N/A</v>
      </c>
      <c r="C10" s="19" t="e">
        <f>IF(貼り付け用!$A$6&lt;&gt;"",
IF(ROW(C9)+2&gt;=MATCH("*【合計】*", 貼り付け用!$A:$A, 0),"",
IF(貼り付け用!C10&lt;&gt;"",貼り付け用!C10,"")),
IF(ROW(C10)+2&gt;=MATCH("*【合計】*", 貼り付け用!$A:$A, 0),"",
IF(貼り付け用!C11&lt;&gt;"",貼り付け用!C11,"")))</f>
        <v>#N/A</v>
      </c>
      <c r="D10" s="19" t="e">
        <f>IF(貼り付け用!$A$6&lt;&gt;"",
IF(ROW(D9)+2&gt;=MATCH("*【合計】*", 貼り付け用!$A:$A, 0),"",
IF(貼り付け用!D10&lt;&gt;"",貼り付け用!D10,"")),
IF(ROW(D10)+2&gt;=MATCH("*【合計】*", 貼り付け用!$A:$A, 0),"",
IF(貼り付け用!D11&lt;&gt;"",貼り付け用!D11,"")))</f>
        <v>#N/A</v>
      </c>
      <c r="E10" s="19" t="e">
        <f>IF(貼り付け用!$A$6&lt;&gt;"",
IF(ROW(E9)+2&gt;=MATCH("*【合計】*", 貼り付け用!$A:$A, 0),"",
IF(貼り付け用!E10&lt;&gt;"",貼り付け用!E10,"")),
IF(ROW(E10)+2&gt;=MATCH("*【合計】*", 貼り付け用!$A:$A, 0),"",
IF(貼り付け用!E11&lt;&gt;"",貼り付け用!E11,"")))</f>
        <v>#N/A</v>
      </c>
      <c r="F10" s="19" t="e">
        <f>IF(貼り付け用!$A$6&lt;&gt;"",
IF(ROW(F9)+2&gt;=MATCH("*【合計】*", 貼り付け用!$A:$A, 0),"",
IF(貼り付け用!F10&lt;&gt;"",貼り付け用!F10,"")),
IF(ROW(F10)+2&gt;=MATCH("*【合計】*", 貼り付け用!$A:$A, 0),"",
IF(貼り付け用!F11&lt;&gt;"",貼り付け用!F11,"")))</f>
        <v>#N/A</v>
      </c>
      <c r="G10" s="19" t="e">
        <f>IF(貼り付け用!$A$6&lt;&gt;"",
IF(ROW(G9)+2&gt;=MATCH("*【合計】*", 貼り付け用!$A:$A, 0),"",
IF(貼り付け用!G10&lt;&gt;"",貼り付け用!G10,"")),
IF(ROW(G10)+2&gt;=MATCH("*【合計】*", 貼り付け用!$A:$A, 0),"",
IF(貼り付け用!G11&lt;&gt;"",貼り付け用!G11,"")))</f>
        <v>#N/A</v>
      </c>
      <c r="H10" s="19" t="e">
        <f>IF(貼り付け用!$A$6&lt;&gt;"",
IF(ROW(H9)+2&gt;=MATCH("*【合計】*", 貼り付け用!$A:$A, 0),"",
IF(貼り付け用!H10&lt;&gt;"",貼り付け用!H10,"")),
IF(ROW(H10)+2&gt;=MATCH("*【合計】*", 貼り付け用!$A:$A, 0),"",
IF(貼り付け用!H11&lt;&gt;"",貼り付け用!H11,"")))</f>
        <v>#N/A</v>
      </c>
      <c r="I10" s="19" t="e">
        <f>IF(貼り付け用!$A$6&lt;&gt;"",
IF(ROW(I9)+2&gt;=MATCH("*【合計】*", 貼り付け用!$A:$A, 0),"",
IF(貼り付け用!I10&lt;&gt;"",貼り付け用!I10,"")),
IF(ROW(I10)+2&gt;=MATCH("*【合計】*", 貼り付け用!$A:$A, 0),"",
IF(貼り付け用!I11&lt;&gt;"",貼り付け用!I11,"")))</f>
        <v>#N/A</v>
      </c>
      <c r="J10" s="19" t="e">
        <f>IF(貼り付け用!$A$6&lt;&gt;"",
IF(ROW(J9)+2&gt;=MATCH("*【合計】*", 貼り付け用!$A:$A, 0),"",
IF(貼り付け用!J10&lt;&gt;"",貼り付け用!J10,"")),
IF(ROW(J10)+2&gt;=MATCH("*【合計】*", 貼り付け用!$A:$A, 0),"",
IF(貼り付け用!J11&lt;&gt;"",貼り付け用!J11,"")))</f>
        <v>#N/A</v>
      </c>
      <c r="K10" s="19" t="e">
        <f>IF(貼り付け用!$A$6&lt;&gt;"",
IF(ROW(K9)+2&gt;=MATCH("*【合計】*", 貼り付け用!$A:$A, 0),"",
IF(貼り付け用!K10&lt;&gt;"",貼り付け用!K10,"")),
IF(ROW(K10)+2&gt;=MATCH("*【合計】*", 貼り付け用!$A:$A, 0),"",
IF(貼り付け用!K11&lt;&gt;"",貼り付け用!K11,"")))</f>
        <v>#N/A</v>
      </c>
      <c r="L10" s="19" t="e">
        <f>IF(貼り付け用!$A$6&lt;&gt;"",
IF(ROW(L9)+2&gt;=MATCH("*【合計】*", 貼り付け用!$A:$A, 0),"",
IF(L$3&lt;&gt;"",IF(貼り付け用!L10&lt;&gt;"",貼り付け用!L10,""),"")),
IF(ROW(L10)+2&gt;=MATCH("*【合計】*", 貼り付け用!$A:$A, 0),"",
IF(L$3&lt;&gt;"",IF(貼り付け用!L11&lt;&gt;"",貼り付け用!L11,""),"")))</f>
        <v>#N/A</v>
      </c>
      <c r="M10" s="19" t="e">
        <f>IF(貼り付け用!$A$6&lt;&gt;"",
IF(ROW(M9)+2&gt;=MATCH("*【合計】*", 貼り付け用!$A:$A, 0),"",
IF(M$3&lt;&gt;"",IF(貼り付け用!M10&lt;&gt;"",貼り付け用!M10,""),"")),
IF(ROW(M10)+2&gt;=MATCH("*【合計】*", 貼り付け用!$A:$A, 0),"",
IF(M$3&lt;&gt;"",IF(貼り付け用!M11&lt;&gt;"",貼り付け用!M11,""),"")))</f>
        <v>#N/A</v>
      </c>
      <c r="N10" s="19" t="e">
        <f>IF(貼り付け用!$A$6&lt;&gt;"",
IF(ROW(N9)+2&gt;=MATCH("*【合計】*", 貼り付け用!$A:$A, 0),"",
IF(N$3&lt;&gt;"",IF(貼り付け用!N10&lt;&gt;"",貼り付け用!N10,""),"")),
IF(ROW(N10)+2&gt;=MATCH("*【合計】*", 貼り付け用!$A:$A, 0),"",
IF(N$3&lt;&gt;"",IF(貼り付け用!N11&lt;&gt;"",貼り付け用!N11,""),"")))</f>
        <v>#N/A</v>
      </c>
      <c r="O10" s="19" t="e">
        <f>IF(貼り付け用!$A$6&lt;&gt;"",
IF(ROW(O9)+2&gt;=MATCH("*【合計】*", 貼り付け用!$A:$A, 0),"",
IF(O$3&lt;&gt;"",IF(貼り付け用!O10&lt;&gt;"",貼り付け用!O10,""),"")),
IF(ROW(O10)+2&gt;=MATCH("*【合計】*", 貼り付け用!$A:$A, 0),"",
IF(O$3&lt;&gt;"",IF(貼り付け用!O11&lt;&gt;"",貼り付け用!O11,""),"")))</f>
        <v>#N/A</v>
      </c>
      <c r="P10" s="19" t="e">
        <f>IF(貼り付け用!$A$6&lt;&gt;"",
IF(ROW(P9)+2&gt;=MATCH("*【合計】*", 貼り付け用!$A:$A, 0),"",
IF(P$3&lt;&gt;"",IF(貼り付け用!P10&lt;&gt;"",貼り付け用!P10,""),"")),
IF(ROW(P10)+2&gt;=MATCH("*【合計】*", 貼り付け用!$A:$A, 0),"",
IF(P$3&lt;&gt;"",IF(貼り付け用!P11&lt;&gt;"",貼り付け用!P11,""),"")))</f>
        <v>#N/A</v>
      </c>
      <c r="Q10" s="19" t="e">
        <f>IF(貼り付け用!$A$6&lt;&gt;"",
IF(ROW(Q9)+2&gt;=MATCH("*【合計】*", 貼り付け用!$A:$A, 0),"",
IF(Q$3&lt;&gt;"",IF(貼り付け用!Q10&lt;&gt;"",貼り付け用!Q10,""),"")),
IF(ROW(Q10)+2&gt;=MATCH("*【合計】*", 貼り付け用!$A:$A, 0),"",
IF(Q$3&lt;&gt;"",IF(貼り付け用!Q11&lt;&gt;"",貼り付け用!Q11,""),"")))</f>
        <v>#N/A</v>
      </c>
      <c r="R10" s="19" t="e">
        <f>IF(貼り付け用!$A$6&lt;&gt;"",
IF(ROW(R9)+2&gt;=MATCH("*【合計】*", 貼り付け用!$A:$A, 0),"",
IF(R$3&lt;&gt;"",IF(貼り付け用!R10&lt;&gt;"",貼り付け用!R10,""),"")),
IF(ROW(R10)+2&gt;=MATCH("*【合計】*", 貼り付け用!$A:$A, 0),"",
IF(R$3&lt;&gt;"",IF(貼り付け用!R11&lt;&gt;"",貼り付け用!R11,""),"")))</f>
        <v>#N/A</v>
      </c>
      <c r="S10" s="19" t="e">
        <f>IF(貼り付け用!$A$6&lt;&gt;"",
IF(ROW(S9)+2&gt;=MATCH("*【合計】*", 貼り付け用!$A:$A, 0),"",
IF(S$3&lt;&gt;"",IF(貼り付け用!S10&lt;&gt;"",貼り付け用!S10,""),"")),
IF(ROW(S10)+2&gt;=MATCH("*【合計】*", 貼り付け用!$A:$A, 0),"",
IF(S$3&lt;&gt;"",IF(貼り付け用!S11&lt;&gt;"",貼り付け用!S11,""),"")))</f>
        <v>#N/A</v>
      </c>
      <c r="T10" s="19" t="e">
        <f t="array" ref="T10">IF(貼り付け用!$A$6&lt;&gt;"",
IF(INDEX(貼り付け用!A:Z, ROW(T9)+1, MATCH("おやつ", 貼り付け用!$A$3:$Z$3, 0))&lt;&gt;0,
INDEX(貼り付け用!A:Z, ROW(T9)+1, MATCH("おやつ", 貼り付け用!$A$3:$Z$3, 0)),""),
IF(INDEX(貼り付け用!A:Z, ROW(T10)+1, MATCH("おやつ", 貼り付け用!$A$3:$Z$3, 0))&lt;&gt;0,
INDEX(貼り付け用!A:Z, ROW(T10)+1, MATCH("おやつ", 貼り付け用!$A$3:$Z$3, 0)),""))</f>
        <v>#N/A</v>
      </c>
      <c r="U10" s="16"/>
      <c r="V10" s="5" t="e">
        <f t="array" ref="V10">IF(貼り付け用!$A$6&lt;&gt;"",
IF(INDEX(貼り付け用!A:Z, ROW(T9)+1, MATCH("おやつ", 貼り付け用!$A$3:$Z$3, 0)+1)&lt;&gt;0,
INDEX(貼り付け用!A:Z, ROW(T9)+1, MATCH("おやつ", 貼り付け用!$A$3:$Z$3, 0)+1),""),
IF(INDEX(貼り付け用!A:Z, ROW(T10)+1, MATCH("おやつ", 貼り付け用!$A$3:$Z$3, 0)+1)&lt;&gt;0,
INDEX(貼り付け用!A:Z, ROW(T10)+1, MATCH("おやつ", 貼り付け用!$A$3:$Z$3, 0)+1),""))</f>
        <v>#N/A</v>
      </c>
      <c r="W10" s="7" t="e">
        <f t="array" ref="W10">IF(貼り付け用!$A$6&lt;&gt;"",
IF(INDEX(貼り付け用!A:Z, ROW(T9)+1, MATCH("おやつ", 貼り付け用!$A$3:$Z$3, 0)+2)&lt;&gt;0,
INDEX(貼り付け用!A:Z, ROW(T9)+1, MATCH("おやつ", 貼り付け用!$A$3:$Z$3, 0)+2),""),
IF(INDEX(貼り付け用!A:Z, ROW(T10)+1, MATCH("おやつ", 貼り付け用!$A$3:$Z$3, 0)+2)&lt;&gt;0,
INDEX(貼り付け用!A:Z, ROW(T10)+1, MATCH("おやつ", 貼り付け用!$A$3:$Z$3, 0)+2),""))</f>
        <v>#N/A</v>
      </c>
    </row>
    <row r="11" spans="1:23" x14ac:dyDescent="0.45">
      <c r="A11" s="10" t="e">
        <f>IF(貼り付け用!$A$6&lt;&gt;"",
IF(ROW(A10)+1&gt;=MATCH("*10000*", 貼り付け用!$A:$A, 0),"",
IF(貼り付け用!A11&lt;&gt;"",貼り付け用!A11,"")),
IF(ROW(A11)+1&gt;=MATCH("*10000*", 貼り付け用!$A:$A, 0),"",
IF(貼り付け用!A12&lt;&gt;"",貼り付け用!A12,"")))</f>
        <v>#N/A</v>
      </c>
      <c r="B11" s="3" t="e">
        <f>IF(貼り付け用!$A$6&lt;&gt;"",
IF(ROW(B10)+2&gt;=MATCH("*【合計】*", 貼り付け用!$A:$A, 0),"",
IF(貼り付け用!B11&lt;&gt;"",貼り付け用!B11,"")),
IF(ROW(B11)+2&gt;=MATCH("*【合計】*", 貼り付け用!$A:$A, 0),"",
IF(貼り付け用!B12&lt;&gt;"",貼り付け用!B12,"")))</f>
        <v>#N/A</v>
      </c>
      <c r="C11" s="3" t="e">
        <f>IF(貼り付け用!$A$6&lt;&gt;"",
IF(ROW(C10)+2&gt;=MATCH("*【合計】*", 貼り付け用!$A:$A, 0),"",
IF(貼り付け用!C11&lt;&gt;"",貼り付け用!C11,"")),
IF(ROW(C11)+2&gt;=MATCH("*【合計】*", 貼り付け用!$A:$A, 0),"",
IF(貼り付け用!C12&lt;&gt;"",貼り付け用!C12,"")))</f>
        <v>#N/A</v>
      </c>
      <c r="D11" s="3" t="e">
        <f>IF(貼り付け用!$A$6&lt;&gt;"",
IF(ROW(D10)+2&gt;=MATCH("*【合計】*", 貼り付け用!$A:$A, 0),"",
IF(貼り付け用!D11&lt;&gt;"",貼り付け用!D11,"")),
IF(ROW(D11)+2&gt;=MATCH("*【合計】*", 貼り付け用!$A:$A, 0),"",
IF(貼り付け用!D12&lt;&gt;"",貼り付け用!D12,"")))</f>
        <v>#N/A</v>
      </c>
      <c r="E11" s="3" t="e">
        <f>IF(貼り付け用!$A$6&lt;&gt;"",
IF(ROW(E10)+2&gt;=MATCH("*【合計】*", 貼り付け用!$A:$A, 0),"",
IF(貼り付け用!E11&lt;&gt;"",貼り付け用!E11,"")),
IF(ROW(E11)+2&gt;=MATCH("*【合計】*", 貼り付け用!$A:$A, 0),"",
IF(貼り付け用!E12&lt;&gt;"",貼り付け用!E12,"")))</f>
        <v>#N/A</v>
      </c>
      <c r="F11" s="3" t="e">
        <f>IF(貼り付け用!$A$6&lt;&gt;"",
IF(ROW(F10)+2&gt;=MATCH("*【合計】*", 貼り付け用!$A:$A, 0),"",
IF(貼り付け用!F11&lt;&gt;"",貼り付け用!F11,"")),
IF(ROW(F11)+2&gt;=MATCH("*【合計】*", 貼り付け用!$A:$A, 0),"",
IF(貼り付け用!F12&lt;&gt;"",貼り付け用!F12,"")))</f>
        <v>#N/A</v>
      </c>
      <c r="G11" s="3" t="e">
        <f>IF(貼り付け用!$A$6&lt;&gt;"",
IF(ROW(G10)+2&gt;=MATCH("*【合計】*", 貼り付け用!$A:$A, 0),"",
IF(貼り付け用!G11&lt;&gt;"",貼り付け用!G11,"")),
IF(ROW(G11)+2&gt;=MATCH("*【合計】*", 貼り付け用!$A:$A, 0),"",
IF(貼り付け用!G12&lt;&gt;"",貼り付け用!G12,"")))</f>
        <v>#N/A</v>
      </c>
      <c r="H11" s="3" t="e">
        <f>IF(貼り付け用!$A$6&lt;&gt;"",
IF(ROW(H10)+2&gt;=MATCH("*【合計】*", 貼り付け用!$A:$A, 0),"",
IF(貼り付け用!H11&lt;&gt;"",貼り付け用!H11,"")),
IF(ROW(H11)+2&gt;=MATCH("*【合計】*", 貼り付け用!$A:$A, 0),"",
IF(貼り付け用!H12&lt;&gt;"",貼り付け用!H12,"")))</f>
        <v>#N/A</v>
      </c>
      <c r="I11" s="3" t="e">
        <f>IF(貼り付け用!$A$6&lt;&gt;"",
IF(ROW(I10)+2&gt;=MATCH("*【合計】*", 貼り付け用!$A:$A, 0),"",
IF(貼り付け用!I11&lt;&gt;"",貼り付け用!I11,"")),
IF(ROW(I11)+2&gt;=MATCH("*【合計】*", 貼り付け用!$A:$A, 0),"",
IF(貼り付け用!I12&lt;&gt;"",貼り付け用!I12,"")))</f>
        <v>#N/A</v>
      </c>
      <c r="J11" s="3" t="e">
        <f>IF(貼り付け用!$A$6&lt;&gt;"",
IF(ROW(J10)+2&gt;=MATCH("*【合計】*", 貼り付け用!$A:$A, 0),"",
IF(貼り付け用!J11&lt;&gt;"",貼り付け用!J11,"")),
IF(ROW(J11)+2&gt;=MATCH("*【合計】*", 貼り付け用!$A:$A, 0),"",
IF(貼り付け用!J12&lt;&gt;"",貼り付け用!J12,"")))</f>
        <v>#N/A</v>
      </c>
      <c r="K11" s="3" t="e">
        <f>IF(貼り付け用!$A$6&lt;&gt;"",
IF(ROW(K10)+2&gt;=MATCH("*【合計】*", 貼り付け用!$A:$A, 0),"",
IF(貼り付け用!K11&lt;&gt;"",貼り付け用!K11,"")),
IF(ROW(K11)+2&gt;=MATCH("*【合計】*", 貼り付け用!$A:$A, 0),"",
IF(貼り付け用!K12&lt;&gt;"",貼り付け用!K12,"")))</f>
        <v>#N/A</v>
      </c>
      <c r="L11" s="3" t="e">
        <f>IF(貼り付け用!$A$6&lt;&gt;"",
IF(ROW(L10)+2&gt;=MATCH("*【合計】*", 貼り付け用!$A:$A, 0),"",
IF(L$3&lt;&gt;"",IF(貼り付け用!L11&lt;&gt;"",貼り付け用!L11,""),"")),
IF(ROW(L11)+2&gt;=MATCH("*【合計】*", 貼り付け用!$A:$A, 0),"",
IF(L$3&lt;&gt;"",IF(貼り付け用!L12&lt;&gt;"",貼り付け用!L12,""),"")))</f>
        <v>#N/A</v>
      </c>
      <c r="M11" s="3" t="e">
        <f>IF(貼り付け用!$A$6&lt;&gt;"",
IF(ROW(M10)+2&gt;=MATCH("*【合計】*", 貼り付け用!$A:$A, 0),"",
IF(M$3&lt;&gt;"",IF(貼り付け用!M11&lt;&gt;"",貼り付け用!M11,""),"")),
IF(ROW(M11)+2&gt;=MATCH("*【合計】*", 貼り付け用!$A:$A, 0),"",
IF(M$3&lt;&gt;"",IF(貼り付け用!M12&lt;&gt;"",貼り付け用!M12,""),"")))</f>
        <v>#N/A</v>
      </c>
      <c r="N11" s="3" t="e">
        <f>IF(貼り付け用!$A$6&lt;&gt;"",
IF(ROW(N10)+2&gt;=MATCH("*【合計】*", 貼り付け用!$A:$A, 0),"",
IF(N$3&lt;&gt;"",IF(貼り付け用!N11&lt;&gt;"",貼り付け用!N11,""),"")),
IF(ROW(N11)+2&gt;=MATCH("*【合計】*", 貼り付け用!$A:$A, 0),"",
IF(N$3&lt;&gt;"",IF(貼り付け用!N12&lt;&gt;"",貼り付け用!N12,""),"")))</f>
        <v>#N/A</v>
      </c>
      <c r="O11" s="3" t="e">
        <f>IF(貼り付け用!$A$6&lt;&gt;"",
IF(ROW(O10)+2&gt;=MATCH("*【合計】*", 貼り付け用!$A:$A, 0),"",
IF(O$3&lt;&gt;"",IF(貼り付け用!O11&lt;&gt;"",貼り付け用!O11,""),"")),
IF(ROW(O11)+2&gt;=MATCH("*【合計】*", 貼り付け用!$A:$A, 0),"",
IF(O$3&lt;&gt;"",IF(貼り付け用!O12&lt;&gt;"",貼り付け用!O12,""),"")))</f>
        <v>#N/A</v>
      </c>
      <c r="P11" s="3" t="e">
        <f>IF(貼り付け用!$A$6&lt;&gt;"",
IF(ROW(P10)+2&gt;=MATCH("*【合計】*", 貼り付け用!$A:$A, 0),"",
IF(P$3&lt;&gt;"",IF(貼り付け用!P11&lt;&gt;"",貼り付け用!P11,""),"")),
IF(ROW(P11)+2&gt;=MATCH("*【合計】*", 貼り付け用!$A:$A, 0),"",
IF(P$3&lt;&gt;"",IF(貼り付け用!P12&lt;&gt;"",貼り付け用!P12,""),"")))</f>
        <v>#N/A</v>
      </c>
      <c r="Q11" s="3" t="e">
        <f>IF(貼り付け用!$A$6&lt;&gt;"",
IF(ROW(Q10)+2&gt;=MATCH("*【合計】*", 貼り付け用!$A:$A, 0),"",
IF(Q$3&lt;&gt;"",IF(貼り付け用!Q11&lt;&gt;"",貼り付け用!Q11,""),"")),
IF(ROW(Q11)+2&gt;=MATCH("*【合計】*", 貼り付け用!$A:$A, 0),"",
IF(Q$3&lt;&gt;"",IF(貼り付け用!Q12&lt;&gt;"",貼り付け用!Q12,""),"")))</f>
        <v>#N/A</v>
      </c>
      <c r="R11" s="3" t="e">
        <f>IF(貼り付け用!$A$6&lt;&gt;"",
IF(ROW(R10)+2&gt;=MATCH("*【合計】*", 貼り付け用!$A:$A, 0),"",
IF(R$3&lt;&gt;"",IF(貼り付け用!R11&lt;&gt;"",貼り付け用!R11,""),"")),
IF(ROW(R11)+2&gt;=MATCH("*【合計】*", 貼り付け用!$A:$A, 0),"",
IF(R$3&lt;&gt;"",IF(貼り付け用!R12&lt;&gt;"",貼り付け用!R12,""),"")))</f>
        <v>#N/A</v>
      </c>
      <c r="S11" s="3" t="e">
        <f>IF(貼り付け用!$A$6&lt;&gt;"",
IF(ROW(S10)+2&gt;=MATCH("*【合計】*", 貼り付け用!$A:$A, 0),"",
IF(S$3&lt;&gt;"",IF(貼り付け用!S11&lt;&gt;"",貼り付け用!S11,""),"")),
IF(ROW(S11)+2&gt;=MATCH("*【合計】*", 貼り付け用!$A:$A, 0),"",
IF(S$3&lt;&gt;"",IF(貼り付け用!S12&lt;&gt;"",貼り付け用!S12,""),"")))</f>
        <v>#N/A</v>
      </c>
      <c r="T11" s="2" t="e">
        <f t="array" ref="T11">IF(貼り付け用!$A$6&lt;&gt;"",
IF(INDEX(貼り付け用!A:Z, ROW(T10)+1, MATCH("おやつ", 貼り付け用!$A$3:$Z$3, 0))&lt;&gt;0,
INDEX(貼り付け用!A:Z, ROW(T10)+1, MATCH("おやつ", 貼り付け用!$A$3:$Z$3, 0)),""),
IF(INDEX(貼り付け用!A:Z, ROW(T11)+1, MATCH("おやつ", 貼り付け用!$A$3:$Z$3, 0))&lt;&gt;0,
INDEX(貼り付け用!A:Z, ROW(T11)+1, MATCH("おやつ", 貼り付け用!$A$3:$Z$3, 0)),""))</f>
        <v>#N/A</v>
      </c>
      <c r="U11" s="52"/>
      <c r="V11" s="8" t="e">
        <f t="array" ref="V11">IF(貼り付け用!$A$6&lt;&gt;"",
IF(INDEX(貼り付け用!A:Z, ROW(T10)+1, MATCH("おやつ", 貼り付け用!$A$3:$Z$3, 0)+1)&lt;&gt;0,
INDEX(貼り付け用!A:Z, ROW(T10)+1, MATCH("おやつ", 貼り付け用!$A$3:$Z$3, 0)+1),""),
IF(INDEX(貼り付け用!A:Z, ROW(T11)+1, MATCH("おやつ", 貼り付け用!$A$3:$Z$3, 0)+1)&lt;&gt;0,
INDEX(貼り付け用!A:Z, ROW(T11)+1, MATCH("おやつ", 貼り付け用!$A$3:$Z$3, 0)+1),""))</f>
        <v>#N/A</v>
      </c>
      <c r="W11" s="9" t="e">
        <f t="array" ref="W11">IF(貼り付け用!$A$6&lt;&gt;"",
IF(INDEX(貼り付け用!A:Z, ROW(T10)+1, MATCH("おやつ", 貼り付け用!$A$3:$Z$3, 0)+2)&lt;&gt;0,
INDEX(貼り付け用!A:Z, ROW(T10)+1, MATCH("おやつ", 貼り付け用!$A$3:$Z$3, 0)+2),""),
IF(INDEX(貼り付け用!A:Z, ROW(T11)+1, MATCH("おやつ", 貼り付け用!$A$3:$Z$3, 0)+2)&lt;&gt;0,
INDEX(貼り付け用!A:Z, ROW(T11)+1, MATCH("おやつ", 貼り付け用!$A$3:$Z$3, 0)+2),""))</f>
        <v>#N/A</v>
      </c>
    </row>
    <row r="12" spans="1:23" x14ac:dyDescent="0.45">
      <c r="A12" s="4" t="e">
        <f>IF(貼り付け用!$A$6&lt;&gt;"",
IF(ROW(A11)+1&gt;=MATCH("*10000*", 貼り付け用!$A:$A, 0),
IF(COUNTIF(A10,"*10000*"),"10001",
IF(COUNTIF(A10,"*10001*"),"10002",
IF(COUNTIF(A10,"*10002*"),"",
IF(COUNTIF(A10,""),"","10000")))),
IF(貼り付け用!A12&lt;&gt;"",貼り付け用!A12,"")),
IF(ROW(A12)+1&gt;=MATCH("*10000*", 貼り付け用!$A:$A, 0),
IF(COUNTIF(A10,"*10000*"),"10001",
IF(COUNTIF(A10,"*10001*"),"10002",
IF(COUNTIF(A10,"*10002*"),"",
IF(COUNTIF(A10,""),"","10000")))),
IF(貼り付け用!A13&lt;&gt;"",貼り付け用!A13,"")))</f>
        <v>#N/A</v>
      </c>
      <c r="B12" s="19" t="e">
        <f>IF(貼り付け用!$A$6&lt;&gt;"",
IF(ROW(B11)+2&gt;=MATCH("*【合計】*", 貼り付け用!$A:$A, 0),"",
IF(貼り付け用!B12&lt;&gt;"",貼り付け用!B12,"")),
IF(ROW(B12)+2&gt;=MATCH("*【合計】*", 貼り付け用!$A:$A, 0),"",
IF(貼り付け用!B13&lt;&gt;"",貼り付け用!B13,"")))</f>
        <v>#N/A</v>
      </c>
      <c r="C12" s="19" t="e">
        <f>IF(貼り付け用!$A$6&lt;&gt;"",
IF(ROW(C11)+2&gt;=MATCH("*【合計】*", 貼り付け用!$A:$A, 0),"",
IF(貼り付け用!C12&lt;&gt;"",貼り付け用!C12,"")),
IF(ROW(C12)+2&gt;=MATCH("*【合計】*", 貼り付け用!$A:$A, 0),"",
IF(貼り付け用!C13&lt;&gt;"",貼り付け用!C13,"")))</f>
        <v>#N/A</v>
      </c>
      <c r="D12" s="19" t="e">
        <f>IF(貼り付け用!$A$6&lt;&gt;"",
IF(ROW(D11)+2&gt;=MATCH("*【合計】*", 貼り付け用!$A:$A, 0),"",
IF(貼り付け用!D12&lt;&gt;"",貼り付け用!D12,"")),
IF(ROW(D12)+2&gt;=MATCH("*【合計】*", 貼り付け用!$A:$A, 0),"",
IF(貼り付け用!D13&lt;&gt;"",貼り付け用!D13,"")))</f>
        <v>#N/A</v>
      </c>
      <c r="E12" s="19" t="e">
        <f>IF(貼り付け用!$A$6&lt;&gt;"",
IF(ROW(E11)+2&gt;=MATCH("*【合計】*", 貼り付け用!$A:$A, 0),"",
IF(貼り付け用!E12&lt;&gt;"",貼り付け用!E12,"")),
IF(ROW(E12)+2&gt;=MATCH("*【合計】*", 貼り付け用!$A:$A, 0),"",
IF(貼り付け用!E13&lt;&gt;"",貼り付け用!E13,"")))</f>
        <v>#N/A</v>
      </c>
      <c r="F12" s="19" t="e">
        <f>IF(貼り付け用!$A$6&lt;&gt;"",
IF(ROW(F11)+2&gt;=MATCH("*【合計】*", 貼り付け用!$A:$A, 0),"",
IF(貼り付け用!F12&lt;&gt;"",貼り付け用!F12,"")),
IF(ROW(F12)+2&gt;=MATCH("*【合計】*", 貼り付け用!$A:$A, 0),"",
IF(貼り付け用!F13&lt;&gt;"",貼り付け用!F13,"")))</f>
        <v>#N/A</v>
      </c>
      <c r="G12" s="19" t="e">
        <f>IF(貼り付け用!$A$6&lt;&gt;"",
IF(ROW(G11)+2&gt;=MATCH("*【合計】*", 貼り付け用!$A:$A, 0),"",
IF(貼り付け用!G12&lt;&gt;"",貼り付け用!G12,"")),
IF(ROW(G12)+2&gt;=MATCH("*【合計】*", 貼り付け用!$A:$A, 0),"",
IF(貼り付け用!G13&lt;&gt;"",貼り付け用!G13,"")))</f>
        <v>#N/A</v>
      </c>
      <c r="H12" s="19" t="e">
        <f>IF(貼り付け用!$A$6&lt;&gt;"",
IF(ROW(H11)+2&gt;=MATCH("*【合計】*", 貼り付け用!$A:$A, 0),"",
IF(貼り付け用!H12&lt;&gt;"",貼り付け用!H12,"")),
IF(ROW(H12)+2&gt;=MATCH("*【合計】*", 貼り付け用!$A:$A, 0),"",
IF(貼り付け用!H13&lt;&gt;"",貼り付け用!H13,"")))</f>
        <v>#N/A</v>
      </c>
      <c r="I12" s="19" t="e">
        <f>IF(貼り付け用!$A$6&lt;&gt;"",
IF(ROW(I11)+2&gt;=MATCH("*【合計】*", 貼り付け用!$A:$A, 0),"",
IF(貼り付け用!I12&lt;&gt;"",貼り付け用!I12,"")),
IF(ROW(I12)+2&gt;=MATCH("*【合計】*", 貼り付け用!$A:$A, 0),"",
IF(貼り付け用!I13&lt;&gt;"",貼り付け用!I13,"")))</f>
        <v>#N/A</v>
      </c>
      <c r="J12" s="19" t="e">
        <f>IF(貼り付け用!$A$6&lt;&gt;"",
IF(ROW(J11)+2&gt;=MATCH("*【合計】*", 貼り付け用!$A:$A, 0),"",
IF(貼り付け用!J12&lt;&gt;"",貼り付け用!J12,"")),
IF(ROW(J12)+2&gt;=MATCH("*【合計】*", 貼り付け用!$A:$A, 0),"",
IF(貼り付け用!J13&lt;&gt;"",貼り付け用!J13,"")))</f>
        <v>#N/A</v>
      </c>
      <c r="K12" s="19" t="e">
        <f>IF(貼り付け用!$A$6&lt;&gt;"",
IF(ROW(K11)+2&gt;=MATCH("*【合計】*", 貼り付け用!$A:$A, 0),"",
IF(貼り付け用!K12&lt;&gt;"",貼り付け用!K12,"")),
IF(ROW(K12)+2&gt;=MATCH("*【合計】*", 貼り付け用!$A:$A, 0),"",
IF(貼り付け用!K13&lt;&gt;"",貼り付け用!K13,"")))</f>
        <v>#N/A</v>
      </c>
      <c r="L12" s="19" t="e">
        <f>IF(貼り付け用!$A$6&lt;&gt;"",
IF(ROW(L11)+2&gt;=MATCH("*【合計】*", 貼り付け用!$A:$A, 0),"",
IF(L$3&lt;&gt;"",IF(貼り付け用!L12&lt;&gt;"",貼り付け用!L12,""),"")),
IF(ROW(L12)+2&gt;=MATCH("*【合計】*", 貼り付け用!$A:$A, 0),"",
IF(L$3&lt;&gt;"",IF(貼り付け用!L13&lt;&gt;"",貼り付け用!L13,""),"")))</f>
        <v>#N/A</v>
      </c>
      <c r="M12" s="19" t="e">
        <f>IF(貼り付け用!$A$6&lt;&gt;"",
IF(ROW(M11)+2&gt;=MATCH("*【合計】*", 貼り付け用!$A:$A, 0),"",
IF(M$3&lt;&gt;"",IF(貼り付け用!M12&lt;&gt;"",貼り付け用!M12,""),"")),
IF(ROW(M12)+2&gt;=MATCH("*【合計】*", 貼り付け用!$A:$A, 0),"",
IF(M$3&lt;&gt;"",IF(貼り付け用!M13&lt;&gt;"",貼り付け用!M13,""),"")))</f>
        <v>#N/A</v>
      </c>
      <c r="N12" s="19" t="e">
        <f>IF(貼り付け用!$A$6&lt;&gt;"",
IF(ROW(N11)+2&gt;=MATCH("*【合計】*", 貼り付け用!$A:$A, 0),"",
IF(N$3&lt;&gt;"",IF(貼り付け用!N12&lt;&gt;"",貼り付け用!N12,""),"")),
IF(ROW(N12)+2&gt;=MATCH("*【合計】*", 貼り付け用!$A:$A, 0),"",
IF(N$3&lt;&gt;"",IF(貼り付け用!N13&lt;&gt;"",貼り付け用!N13,""),"")))</f>
        <v>#N/A</v>
      </c>
      <c r="O12" s="19" t="e">
        <f>IF(貼り付け用!$A$6&lt;&gt;"",
IF(ROW(O11)+2&gt;=MATCH("*【合計】*", 貼り付け用!$A:$A, 0),"",
IF(O$3&lt;&gt;"",IF(貼り付け用!O12&lt;&gt;"",貼り付け用!O12,""),"")),
IF(ROW(O12)+2&gt;=MATCH("*【合計】*", 貼り付け用!$A:$A, 0),"",
IF(O$3&lt;&gt;"",IF(貼り付け用!O13&lt;&gt;"",貼り付け用!O13,""),"")))</f>
        <v>#N/A</v>
      </c>
      <c r="P12" s="19" t="e">
        <f>IF(貼り付け用!$A$6&lt;&gt;"",
IF(ROW(P11)+2&gt;=MATCH("*【合計】*", 貼り付け用!$A:$A, 0),"",
IF(P$3&lt;&gt;"",IF(貼り付け用!P12&lt;&gt;"",貼り付け用!P12,""),"")),
IF(ROW(P12)+2&gt;=MATCH("*【合計】*", 貼り付け用!$A:$A, 0),"",
IF(P$3&lt;&gt;"",IF(貼り付け用!P13&lt;&gt;"",貼り付け用!P13,""),"")))</f>
        <v>#N/A</v>
      </c>
      <c r="Q12" s="19" t="e">
        <f>IF(貼り付け用!$A$6&lt;&gt;"",
IF(ROW(Q11)+2&gt;=MATCH("*【合計】*", 貼り付け用!$A:$A, 0),"",
IF(Q$3&lt;&gt;"",IF(貼り付け用!Q12&lt;&gt;"",貼り付け用!Q12,""),"")),
IF(ROW(Q12)+2&gt;=MATCH("*【合計】*", 貼り付け用!$A:$A, 0),"",
IF(Q$3&lt;&gt;"",IF(貼り付け用!Q13&lt;&gt;"",貼り付け用!Q13,""),"")))</f>
        <v>#N/A</v>
      </c>
      <c r="R12" s="19" t="e">
        <f>IF(貼り付け用!$A$6&lt;&gt;"",
IF(ROW(R11)+2&gt;=MATCH("*【合計】*", 貼り付け用!$A:$A, 0),"",
IF(R$3&lt;&gt;"",IF(貼り付け用!R12&lt;&gt;"",貼り付け用!R12,""),"")),
IF(ROW(R12)+2&gt;=MATCH("*【合計】*", 貼り付け用!$A:$A, 0),"",
IF(R$3&lt;&gt;"",IF(貼り付け用!R13&lt;&gt;"",貼り付け用!R13,""),"")))</f>
        <v>#N/A</v>
      </c>
      <c r="S12" s="19" t="e">
        <f>IF(貼り付け用!$A$6&lt;&gt;"",
IF(ROW(S11)+2&gt;=MATCH("*【合計】*", 貼り付け用!$A:$A, 0),"",
IF(S$3&lt;&gt;"",IF(貼り付け用!S12&lt;&gt;"",貼り付け用!S12,""),"")),
IF(ROW(S12)+2&gt;=MATCH("*【合計】*", 貼り付け用!$A:$A, 0),"",
IF(S$3&lt;&gt;"",IF(貼り付け用!S13&lt;&gt;"",貼り付け用!S13,""),"")))</f>
        <v>#N/A</v>
      </c>
      <c r="T12" s="19" t="e">
        <f t="array" ref="T12">IF(貼り付け用!$A$6&lt;&gt;"",
IF(INDEX(貼り付け用!A:Z, ROW(T11)+1, MATCH("おやつ", 貼り付け用!$A$3:$Z$3, 0))&lt;&gt;0,
INDEX(貼り付け用!A:Z, ROW(T11)+1, MATCH("おやつ", 貼り付け用!$A$3:$Z$3, 0)),""),
IF(INDEX(貼り付け用!A:Z, ROW(T12)+1, MATCH("おやつ", 貼り付け用!$A$3:$Z$3, 0))&lt;&gt;0,
INDEX(貼り付け用!A:Z, ROW(T12)+1, MATCH("おやつ", 貼り付け用!$A$3:$Z$3, 0)),""))</f>
        <v>#N/A</v>
      </c>
      <c r="U12" s="16"/>
      <c r="V12" s="5" t="e">
        <f t="array" ref="V12">IF(貼り付け用!$A$6&lt;&gt;"",
IF(INDEX(貼り付け用!A:Z, ROW(T11)+1, MATCH("おやつ", 貼り付け用!$A$3:$Z$3, 0)+1)&lt;&gt;0,
INDEX(貼り付け用!A:Z, ROW(T11)+1, MATCH("おやつ", 貼り付け用!$A$3:$Z$3, 0)+1),""),
IF(INDEX(貼り付け用!A:Z, ROW(T12)+1, MATCH("おやつ", 貼り付け用!$A$3:$Z$3, 0)+1)&lt;&gt;0,
INDEX(貼り付け用!A:Z, ROW(T12)+1, MATCH("おやつ", 貼り付け用!$A$3:$Z$3, 0)+1),""))</f>
        <v>#N/A</v>
      </c>
      <c r="W12" s="7" t="e">
        <f t="array" ref="W12">IF(貼り付け用!$A$6&lt;&gt;"",
IF(INDEX(貼り付け用!A:Z, ROW(T11)+1, MATCH("おやつ", 貼り付け用!$A$3:$Z$3, 0)+2)&lt;&gt;0,
INDEX(貼り付け用!A:Z, ROW(T11)+1, MATCH("おやつ", 貼り付け用!$A$3:$Z$3, 0)+2),""),
IF(INDEX(貼り付け用!A:Z, ROW(T12)+1, MATCH("おやつ", 貼り付け用!$A$3:$Z$3, 0)+2)&lt;&gt;0,
INDEX(貼り付け用!A:Z, ROW(T12)+1, MATCH("おやつ", 貼り付け用!$A$3:$Z$3, 0)+2),""))</f>
        <v>#N/A</v>
      </c>
    </row>
    <row r="13" spans="1:23" x14ac:dyDescent="0.45">
      <c r="A13" s="10" t="e">
        <f>IF(貼り付け用!$A$6&lt;&gt;"",
IF(ROW(A12)+1&gt;=MATCH("*10000*", 貼り付け用!$A:$A, 0),"",
IF(貼り付け用!A13&lt;&gt;"",貼り付け用!A13,"")),
IF(ROW(A13)+1&gt;=MATCH("*10000*", 貼り付け用!$A:$A, 0),"",
IF(貼り付け用!A14&lt;&gt;"",貼り付け用!A14,"")))</f>
        <v>#N/A</v>
      </c>
      <c r="B13" s="3" t="e">
        <f>IF(貼り付け用!$A$6&lt;&gt;"",
IF(ROW(B12)+2&gt;=MATCH("*【合計】*", 貼り付け用!$A:$A, 0),"",
IF(貼り付け用!B13&lt;&gt;"",貼り付け用!B13,"")),
IF(ROW(B13)+2&gt;=MATCH("*【合計】*", 貼り付け用!$A:$A, 0),"",
IF(貼り付け用!B14&lt;&gt;"",貼り付け用!B14,"")))</f>
        <v>#N/A</v>
      </c>
      <c r="C13" s="3" t="e">
        <f>IF(貼り付け用!$A$6&lt;&gt;"",
IF(ROW(C12)+2&gt;=MATCH("*【合計】*", 貼り付け用!$A:$A, 0),"",
IF(貼り付け用!C13&lt;&gt;"",貼り付け用!C13,"")),
IF(ROW(C13)+2&gt;=MATCH("*【合計】*", 貼り付け用!$A:$A, 0),"",
IF(貼り付け用!C14&lt;&gt;"",貼り付け用!C14,"")))</f>
        <v>#N/A</v>
      </c>
      <c r="D13" s="3" t="e">
        <f>IF(貼り付け用!$A$6&lt;&gt;"",
IF(ROW(D12)+2&gt;=MATCH("*【合計】*", 貼り付け用!$A:$A, 0),"",
IF(貼り付け用!D13&lt;&gt;"",貼り付け用!D13,"")),
IF(ROW(D13)+2&gt;=MATCH("*【合計】*", 貼り付け用!$A:$A, 0),"",
IF(貼り付け用!D14&lt;&gt;"",貼り付け用!D14,"")))</f>
        <v>#N/A</v>
      </c>
      <c r="E13" s="3" t="e">
        <f>IF(貼り付け用!$A$6&lt;&gt;"",
IF(ROW(E12)+2&gt;=MATCH("*【合計】*", 貼り付け用!$A:$A, 0),"",
IF(貼り付け用!E13&lt;&gt;"",貼り付け用!E13,"")),
IF(ROW(E13)+2&gt;=MATCH("*【合計】*", 貼り付け用!$A:$A, 0),"",
IF(貼り付け用!E14&lt;&gt;"",貼り付け用!E14,"")))</f>
        <v>#N/A</v>
      </c>
      <c r="F13" s="3" t="e">
        <f>IF(貼り付け用!$A$6&lt;&gt;"",
IF(ROW(F12)+2&gt;=MATCH("*【合計】*", 貼り付け用!$A:$A, 0),"",
IF(貼り付け用!F13&lt;&gt;"",貼り付け用!F13,"")),
IF(ROW(F13)+2&gt;=MATCH("*【合計】*", 貼り付け用!$A:$A, 0),"",
IF(貼り付け用!F14&lt;&gt;"",貼り付け用!F14,"")))</f>
        <v>#N/A</v>
      </c>
      <c r="G13" s="3" t="e">
        <f>IF(貼り付け用!$A$6&lt;&gt;"",
IF(ROW(G12)+2&gt;=MATCH("*【合計】*", 貼り付け用!$A:$A, 0),"",
IF(貼り付け用!G13&lt;&gt;"",貼り付け用!G13,"")),
IF(ROW(G13)+2&gt;=MATCH("*【合計】*", 貼り付け用!$A:$A, 0),"",
IF(貼り付け用!G14&lt;&gt;"",貼り付け用!G14,"")))</f>
        <v>#N/A</v>
      </c>
      <c r="H13" s="3" t="e">
        <f>IF(貼り付け用!$A$6&lt;&gt;"",
IF(ROW(H12)+2&gt;=MATCH("*【合計】*", 貼り付け用!$A:$A, 0),"",
IF(貼り付け用!H13&lt;&gt;"",貼り付け用!H13,"")),
IF(ROW(H13)+2&gt;=MATCH("*【合計】*", 貼り付け用!$A:$A, 0),"",
IF(貼り付け用!H14&lt;&gt;"",貼り付け用!H14,"")))</f>
        <v>#N/A</v>
      </c>
      <c r="I13" s="3" t="e">
        <f>IF(貼り付け用!$A$6&lt;&gt;"",
IF(ROW(I12)+2&gt;=MATCH("*【合計】*", 貼り付け用!$A:$A, 0),"",
IF(貼り付け用!I13&lt;&gt;"",貼り付け用!I13,"")),
IF(ROW(I13)+2&gt;=MATCH("*【合計】*", 貼り付け用!$A:$A, 0),"",
IF(貼り付け用!I14&lt;&gt;"",貼り付け用!I14,"")))</f>
        <v>#N/A</v>
      </c>
      <c r="J13" s="3" t="e">
        <f>IF(貼り付け用!$A$6&lt;&gt;"",
IF(ROW(J12)+2&gt;=MATCH("*【合計】*", 貼り付け用!$A:$A, 0),"",
IF(貼り付け用!J13&lt;&gt;"",貼り付け用!J13,"")),
IF(ROW(J13)+2&gt;=MATCH("*【合計】*", 貼り付け用!$A:$A, 0),"",
IF(貼り付け用!J14&lt;&gt;"",貼り付け用!J14,"")))</f>
        <v>#N/A</v>
      </c>
      <c r="K13" s="3" t="e">
        <f>IF(貼り付け用!$A$6&lt;&gt;"",
IF(ROW(K12)+2&gt;=MATCH("*【合計】*", 貼り付け用!$A:$A, 0),"",
IF(貼り付け用!K13&lt;&gt;"",貼り付け用!K13,"")),
IF(ROW(K13)+2&gt;=MATCH("*【合計】*", 貼り付け用!$A:$A, 0),"",
IF(貼り付け用!K14&lt;&gt;"",貼り付け用!K14,"")))</f>
        <v>#N/A</v>
      </c>
      <c r="L13" s="3" t="e">
        <f>IF(貼り付け用!$A$6&lt;&gt;"",
IF(ROW(L12)+2&gt;=MATCH("*【合計】*", 貼り付け用!$A:$A, 0),"",
IF(L$3&lt;&gt;"",IF(貼り付け用!L13&lt;&gt;"",貼り付け用!L13,""),"")),
IF(ROW(L13)+2&gt;=MATCH("*【合計】*", 貼り付け用!$A:$A, 0),"",
IF(L$3&lt;&gt;"",IF(貼り付け用!L14&lt;&gt;"",貼り付け用!L14,""),"")))</f>
        <v>#N/A</v>
      </c>
      <c r="M13" s="3" t="e">
        <f>IF(貼り付け用!$A$6&lt;&gt;"",
IF(ROW(M12)+2&gt;=MATCH("*【合計】*", 貼り付け用!$A:$A, 0),"",
IF(M$3&lt;&gt;"",IF(貼り付け用!M13&lt;&gt;"",貼り付け用!M13,""),"")),
IF(ROW(M13)+2&gt;=MATCH("*【合計】*", 貼り付け用!$A:$A, 0),"",
IF(M$3&lt;&gt;"",IF(貼り付け用!M14&lt;&gt;"",貼り付け用!M14,""),"")))</f>
        <v>#N/A</v>
      </c>
      <c r="N13" s="3" t="e">
        <f>IF(貼り付け用!$A$6&lt;&gt;"",
IF(ROW(N12)+2&gt;=MATCH("*【合計】*", 貼り付け用!$A:$A, 0),"",
IF(N$3&lt;&gt;"",IF(貼り付け用!N13&lt;&gt;"",貼り付け用!N13,""),"")),
IF(ROW(N13)+2&gt;=MATCH("*【合計】*", 貼り付け用!$A:$A, 0),"",
IF(N$3&lt;&gt;"",IF(貼り付け用!N14&lt;&gt;"",貼り付け用!N14,""),"")))</f>
        <v>#N/A</v>
      </c>
      <c r="O13" s="3" t="e">
        <f>IF(貼り付け用!$A$6&lt;&gt;"",
IF(ROW(O12)+2&gt;=MATCH("*【合計】*", 貼り付け用!$A:$A, 0),"",
IF(O$3&lt;&gt;"",IF(貼り付け用!O13&lt;&gt;"",貼り付け用!O13,""),"")),
IF(ROW(O13)+2&gt;=MATCH("*【合計】*", 貼り付け用!$A:$A, 0),"",
IF(O$3&lt;&gt;"",IF(貼り付け用!O14&lt;&gt;"",貼り付け用!O14,""),"")))</f>
        <v>#N/A</v>
      </c>
      <c r="P13" s="3" t="e">
        <f>IF(貼り付け用!$A$6&lt;&gt;"",
IF(ROW(P12)+2&gt;=MATCH("*【合計】*", 貼り付け用!$A:$A, 0),"",
IF(P$3&lt;&gt;"",IF(貼り付け用!P13&lt;&gt;"",貼り付け用!P13,""),"")),
IF(ROW(P13)+2&gt;=MATCH("*【合計】*", 貼り付け用!$A:$A, 0),"",
IF(P$3&lt;&gt;"",IF(貼り付け用!P14&lt;&gt;"",貼り付け用!P14,""),"")))</f>
        <v>#N/A</v>
      </c>
      <c r="Q13" s="3" t="e">
        <f>IF(貼り付け用!$A$6&lt;&gt;"",
IF(ROW(Q12)+2&gt;=MATCH("*【合計】*", 貼り付け用!$A:$A, 0),"",
IF(Q$3&lt;&gt;"",IF(貼り付け用!Q13&lt;&gt;"",貼り付け用!Q13,""),"")),
IF(ROW(Q13)+2&gt;=MATCH("*【合計】*", 貼り付け用!$A:$A, 0),"",
IF(Q$3&lt;&gt;"",IF(貼り付け用!Q14&lt;&gt;"",貼り付け用!Q14,""),"")))</f>
        <v>#N/A</v>
      </c>
      <c r="R13" s="3" t="e">
        <f>IF(貼り付け用!$A$6&lt;&gt;"",
IF(ROW(R12)+2&gt;=MATCH("*【合計】*", 貼り付け用!$A:$A, 0),"",
IF(R$3&lt;&gt;"",IF(貼り付け用!R13&lt;&gt;"",貼り付け用!R13,""),"")),
IF(ROW(R13)+2&gt;=MATCH("*【合計】*", 貼り付け用!$A:$A, 0),"",
IF(R$3&lt;&gt;"",IF(貼り付け用!R14&lt;&gt;"",貼り付け用!R14,""),"")))</f>
        <v>#N/A</v>
      </c>
      <c r="S13" s="3" t="e">
        <f>IF(貼り付け用!$A$6&lt;&gt;"",
IF(ROW(S12)+2&gt;=MATCH("*【合計】*", 貼り付け用!$A:$A, 0),"",
IF(S$3&lt;&gt;"",IF(貼り付け用!S13&lt;&gt;"",貼り付け用!S13,""),"")),
IF(ROW(S13)+2&gt;=MATCH("*【合計】*", 貼り付け用!$A:$A, 0),"",
IF(S$3&lt;&gt;"",IF(貼り付け用!S14&lt;&gt;"",貼り付け用!S14,""),"")))</f>
        <v>#N/A</v>
      </c>
      <c r="T13" s="2" t="e">
        <f t="array" ref="T13">IF(貼り付け用!$A$6&lt;&gt;"",
IF(INDEX(貼り付け用!A:Z, ROW(T12)+1, MATCH("おやつ", 貼り付け用!$A$3:$Z$3, 0))&lt;&gt;0,
INDEX(貼り付け用!A:Z, ROW(T12)+1, MATCH("おやつ", 貼り付け用!$A$3:$Z$3, 0)),""),
IF(INDEX(貼り付け用!A:Z, ROW(T13)+1, MATCH("おやつ", 貼り付け用!$A$3:$Z$3, 0))&lt;&gt;0,
INDEX(貼り付け用!A:Z, ROW(T13)+1, MATCH("おやつ", 貼り付け用!$A$3:$Z$3, 0)),""))</f>
        <v>#N/A</v>
      </c>
      <c r="U13" s="52"/>
      <c r="V13" s="8" t="e">
        <f t="array" ref="V13">IF(貼り付け用!$A$6&lt;&gt;"",
IF(INDEX(貼り付け用!A:Z, ROW(T12)+1, MATCH("おやつ", 貼り付け用!$A$3:$Z$3, 0)+1)&lt;&gt;0,
INDEX(貼り付け用!A:Z, ROW(T12)+1, MATCH("おやつ", 貼り付け用!$A$3:$Z$3, 0)+1),""),
IF(INDEX(貼り付け用!A:Z, ROW(T13)+1, MATCH("おやつ", 貼り付け用!$A$3:$Z$3, 0)+1)&lt;&gt;0,
INDEX(貼り付け用!A:Z, ROW(T13)+1, MATCH("おやつ", 貼り付け用!$A$3:$Z$3, 0)+1),""))</f>
        <v>#N/A</v>
      </c>
      <c r="W13" s="9" t="e">
        <f t="array" ref="W13">IF(貼り付け用!$A$6&lt;&gt;"",
IF(INDEX(貼り付け用!A:Z, ROW(T12)+1, MATCH("おやつ", 貼り付け用!$A$3:$Z$3, 0)+2)&lt;&gt;0,
INDEX(貼り付け用!A:Z, ROW(T12)+1, MATCH("おやつ", 貼り付け用!$A$3:$Z$3, 0)+2),""),
IF(INDEX(貼り付け用!A:Z, ROW(T13)+1, MATCH("おやつ", 貼り付け用!$A$3:$Z$3, 0)+2)&lt;&gt;0,
INDEX(貼り付け用!A:Z, ROW(T13)+1, MATCH("おやつ", 貼り付け用!$A$3:$Z$3, 0)+2),""))</f>
        <v>#N/A</v>
      </c>
    </row>
    <row r="14" spans="1:23" x14ac:dyDescent="0.45">
      <c r="A14" s="4" t="e">
        <f>IF(貼り付け用!$A$6&lt;&gt;"",
IF(ROW(A13)+1&gt;=MATCH("*10000*", 貼り付け用!$A:$A, 0),
IF(COUNTIF(A12,"*10000*"),"10001",
IF(COUNTIF(A12,"*10001*"),"10002",
IF(COUNTIF(A12,"*10002*"),"",
IF(COUNTIF(A12,""),"","10000")))),
IF(貼り付け用!A14&lt;&gt;"",貼り付け用!A14,"")),
IF(ROW(A14)+1&gt;=MATCH("*10000*", 貼り付け用!$A:$A, 0),
IF(COUNTIF(A12,"*10000*"),"10001",
IF(COUNTIF(A12,"*10001*"),"10002",
IF(COUNTIF(A12,"*10002*"),"",
IF(COUNTIF(A12,""),"","10000")))),
IF(貼り付け用!A15&lt;&gt;"",貼り付け用!A15,"")))</f>
        <v>#N/A</v>
      </c>
      <c r="B14" s="19" t="e">
        <f>IF(貼り付け用!$A$6&lt;&gt;"",
IF(ROW(B13)+2&gt;=MATCH("*【合計】*", 貼り付け用!$A:$A, 0),"",
IF(貼り付け用!B14&lt;&gt;"",貼り付け用!B14,"")),
IF(ROW(B14)+2&gt;=MATCH("*【合計】*", 貼り付け用!$A:$A, 0),"",
IF(貼り付け用!B15&lt;&gt;"",貼り付け用!B15,"")))</f>
        <v>#N/A</v>
      </c>
      <c r="C14" s="19" t="e">
        <f>IF(貼り付け用!$A$6&lt;&gt;"",
IF(ROW(C13)+2&gt;=MATCH("*【合計】*", 貼り付け用!$A:$A, 0),"",
IF(貼り付け用!C14&lt;&gt;"",貼り付け用!C14,"")),
IF(ROW(C14)+2&gt;=MATCH("*【合計】*", 貼り付け用!$A:$A, 0),"",
IF(貼り付け用!C15&lt;&gt;"",貼り付け用!C15,"")))</f>
        <v>#N/A</v>
      </c>
      <c r="D14" s="19" t="e">
        <f>IF(貼り付け用!$A$6&lt;&gt;"",
IF(ROW(D13)+2&gt;=MATCH("*【合計】*", 貼り付け用!$A:$A, 0),"",
IF(貼り付け用!D14&lt;&gt;"",貼り付け用!D14,"")),
IF(ROW(D14)+2&gt;=MATCH("*【合計】*", 貼り付け用!$A:$A, 0),"",
IF(貼り付け用!D15&lt;&gt;"",貼り付け用!D15,"")))</f>
        <v>#N/A</v>
      </c>
      <c r="E14" s="19" t="e">
        <f>IF(貼り付け用!$A$6&lt;&gt;"",
IF(ROW(E13)+2&gt;=MATCH("*【合計】*", 貼り付け用!$A:$A, 0),"",
IF(貼り付け用!E14&lt;&gt;"",貼り付け用!E14,"")),
IF(ROW(E14)+2&gt;=MATCH("*【合計】*", 貼り付け用!$A:$A, 0),"",
IF(貼り付け用!E15&lt;&gt;"",貼り付け用!E15,"")))</f>
        <v>#N/A</v>
      </c>
      <c r="F14" s="19" t="e">
        <f>IF(貼り付け用!$A$6&lt;&gt;"",
IF(ROW(F13)+2&gt;=MATCH("*【合計】*", 貼り付け用!$A:$A, 0),"",
IF(貼り付け用!F14&lt;&gt;"",貼り付け用!F14,"")),
IF(ROW(F14)+2&gt;=MATCH("*【合計】*", 貼り付け用!$A:$A, 0),"",
IF(貼り付け用!F15&lt;&gt;"",貼り付け用!F15,"")))</f>
        <v>#N/A</v>
      </c>
      <c r="G14" s="19" t="e">
        <f>IF(貼り付け用!$A$6&lt;&gt;"",
IF(ROW(G13)+2&gt;=MATCH("*【合計】*", 貼り付け用!$A:$A, 0),"",
IF(貼り付け用!G14&lt;&gt;"",貼り付け用!G14,"")),
IF(ROW(G14)+2&gt;=MATCH("*【合計】*", 貼り付け用!$A:$A, 0),"",
IF(貼り付け用!G15&lt;&gt;"",貼り付け用!G15,"")))</f>
        <v>#N/A</v>
      </c>
      <c r="H14" s="19" t="e">
        <f>IF(貼り付け用!$A$6&lt;&gt;"",
IF(ROW(H13)+2&gt;=MATCH("*【合計】*", 貼り付け用!$A:$A, 0),"",
IF(貼り付け用!H14&lt;&gt;"",貼り付け用!H14,"")),
IF(ROW(H14)+2&gt;=MATCH("*【合計】*", 貼り付け用!$A:$A, 0),"",
IF(貼り付け用!H15&lt;&gt;"",貼り付け用!H15,"")))</f>
        <v>#N/A</v>
      </c>
      <c r="I14" s="19" t="e">
        <f>IF(貼り付け用!$A$6&lt;&gt;"",
IF(ROW(I13)+2&gt;=MATCH("*【合計】*", 貼り付け用!$A:$A, 0),"",
IF(貼り付け用!I14&lt;&gt;"",貼り付け用!I14,"")),
IF(ROW(I14)+2&gt;=MATCH("*【合計】*", 貼り付け用!$A:$A, 0),"",
IF(貼り付け用!I15&lt;&gt;"",貼り付け用!I15,"")))</f>
        <v>#N/A</v>
      </c>
      <c r="J14" s="19" t="e">
        <f>IF(貼り付け用!$A$6&lt;&gt;"",
IF(ROW(J13)+2&gt;=MATCH("*【合計】*", 貼り付け用!$A:$A, 0),"",
IF(貼り付け用!J14&lt;&gt;"",貼り付け用!J14,"")),
IF(ROW(J14)+2&gt;=MATCH("*【合計】*", 貼り付け用!$A:$A, 0),"",
IF(貼り付け用!J15&lt;&gt;"",貼り付け用!J15,"")))</f>
        <v>#N/A</v>
      </c>
      <c r="K14" s="19" t="e">
        <f>IF(貼り付け用!$A$6&lt;&gt;"",
IF(ROW(K13)+2&gt;=MATCH("*【合計】*", 貼り付け用!$A:$A, 0),"",
IF(貼り付け用!K14&lt;&gt;"",貼り付け用!K14,"")),
IF(ROW(K14)+2&gt;=MATCH("*【合計】*", 貼り付け用!$A:$A, 0),"",
IF(貼り付け用!K15&lt;&gt;"",貼り付け用!K15,"")))</f>
        <v>#N/A</v>
      </c>
      <c r="L14" s="19" t="e">
        <f>IF(貼り付け用!$A$6&lt;&gt;"",
IF(ROW(L13)+2&gt;=MATCH("*【合計】*", 貼り付け用!$A:$A, 0),"",
IF(L$3&lt;&gt;"",IF(貼り付け用!L14&lt;&gt;"",貼り付け用!L14,""),"")),
IF(ROW(L14)+2&gt;=MATCH("*【合計】*", 貼り付け用!$A:$A, 0),"",
IF(L$3&lt;&gt;"",IF(貼り付け用!L15&lt;&gt;"",貼り付け用!L15,""),"")))</f>
        <v>#N/A</v>
      </c>
      <c r="M14" s="19" t="e">
        <f>IF(貼り付け用!$A$6&lt;&gt;"",
IF(ROW(M13)+2&gt;=MATCH("*【合計】*", 貼り付け用!$A:$A, 0),"",
IF(M$3&lt;&gt;"",IF(貼り付け用!M14&lt;&gt;"",貼り付け用!M14,""),"")),
IF(ROW(M14)+2&gt;=MATCH("*【合計】*", 貼り付け用!$A:$A, 0),"",
IF(M$3&lt;&gt;"",IF(貼り付け用!M15&lt;&gt;"",貼り付け用!M15,""),"")))</f>
        <v>#N/A</v>
      </c>
      <c r="N14" s="19" t="e">
        <f>IF(貼り付け用!$A$6&lt;&gt;"",
IF(ROW(N13)+2&gt;=MATCH("*【合計】*", 貼り付け用!$A:$A, 0),"",
IF(N$3&lt;&gt;"",IF(貼り付け用!N14&lt;&gt;"",貼り付け用!N14,""),"")),
IF(ROW(N14)+2&gt;=MATCH("*【合計】*", 貼り付け用!$A:$A, 0),"",
IF(N$3&lt;&gt;"",IF(貼り付け用!N15&lt;&gt;"",貼り付け用!N15,""),"")))</f>
        <v>#N/A</v>
      </c>
      <c r="O14" s="19" t="e">
        <f>IF(貼り付け用!$A$6&lt;&gt;"",
IF(ROW(O13)+2&gt;=MATCH("*【合計】*", 貼り付け用!$A:$A, 0),"",
IF(O$3&lt;&gt;"",IF(貼り付け用!O14&lt;&gt;"",貼り付け用!O14,""),"")),
IF(ROW(O14)+2&gt;=MATCH("*【合計】*", 貼り付け用!$A:$A, 0),"",
IF(O$3&lt;&gt;"",IF(貼り付け用!O15&lt;&gt;"",貼り付け用!O15,""),"")))</f>
        <v>#N/A</v>
      </c>
      <c r="P14" s="19" t="e">
        <f>IF(貼り付け用!$A$6&lt;&gt;"",
IF(ROW(P13)+2&gt;=MATCH("*【合計】*", 貼り付け用!$A:$A, 0),"",
IF(P$3&lt;&gt;"",IF(貼り付け用!P14&lt;&gt;"",貼り付け用!P14,""),"")),
IF(ROW(P14)+2&gt;=MATCH("*【合計】*", 貼り付け用!$A:$A, 0),"",
IF(P$3&lt;&gt;"",IF(貼り付け用!P15&lt;&gt;"",貼り付け用!P15,""),"")))</f>
        <v>#N/A</v>
      </c>
      <c r="Q14" s="19" t="e">
        <f>IF(貼り付け用!$A$6&lt;&gt;"",
IF(ROW(Q13)+2&gt;=MATCH("*【合計】*", 貼り付け用!$A:$A, 0),"",
IF(Q$3&lt;&gt;"",IF(貼り付け用!Q14&lt;&gt;"",貼り付け用!Q14,""),"")),
IF(ROW(Q14)+2&gt;=MATCH("*【合計】*", 貼り付け用!$A:$A, 0),"",
IF(Q$3&lt;&gt;"",IF(貼り付け用!Q15&lt;&gt;"",貼り付け用!Q15,""),"")))</f>
        <v>#N/A</v>
      </c>
      <c r="R14" s="19" t="e">
        <f>IF(貼り付け用!$A$6&lt;&gt;"",
IF(ROW(R13)+2&gt;=MATCH("*【合計】*", 貼り付け用!$A:$A, 0),"",
IF(R$3&lt;&gt;"",IF(貼り付け用!R14&lt;&gt;"",貼り付け用!R14,""),"")),
IF(ROW(R14)+2&gt;=MATCH("*【合計】*", 貼り付け用!$A:$A, 0),"",
IF(R$3&lt;&gt;"",IF(貼り付け用!R15&lt;&gt;"",貼り付け用!R15,""),"")))</f>
        <v>#N/A</v>
      </c>
      <c r="S14" s="19" t="e">
        <f>IF(貼り付け用!$A$6&lt;&gt;"",
IF(ROW(S13)+2&gt;=MATCH("*【合計】*", 貼り付け用!$A:$A, 0),"",
IF(S$3&lt;&gt;"",IF(貼り付け用!S14&lt;&gt;"",貼り付け用!S14,""),"")),
IF(ROW(S14)+2&gt;=MATCH("*【合計】*", 貼り付け用!$A:$A, 0),"",
IF(S$3&lt;&gt;"",IF(貼り付け用!S15&lt;&gt;"",貼り付け用!S15,""),"")))</f>
        <v>#N/A</v>
      </c>
      <c r="T14" s="19" t="e">
        <f t="array" ref="T14">IF(貼り付け用!$A$6&lt;&gt;"",
IF(INDEX(貼り付け用!A:Z, ROW(T13)+1, MATCH("おやつ", 貼り付け用!$A$3:$Z$3, 0))&lt;&gt;0,
INDEX(貼り付け用!A:Z, ROW(T13)+1, MATCH("おやつ", 貼り付け用!$A$3:$Z$3, 0)),""),
IF(INDEX(貼り付け用!A:Z, ROW(T14)+1, MATCH("おやつ", 貼り付け用!$A$3:$Z$3, 0))&lt;&gt;0,
INDEX(貼り付け用!A:Z, ROW(T14)+1, MATCH("おやつ", 貼り付け用!$A$3:$Z$3, 0)),""))</f>
        <v>#N/A</v>
      </c>
      <c r="U14" s="16"/>
      <c r="V14" s="5" t="e">
        <f t="array" ref="V14">IF(貼り付け用!$A$6&lt;&gt;"",
IF(INDEX(貼り付け用!A:Z, ROW(T13)+1, MATCH("おやつ", 貼り付け用!$A$3:$Z$3, 0)+1)&lt;&gt;0,
INDEX(貼り付け用!A:Z, ROW(T13)+1, MATCH("おやつ", 貼り付け用!$A$3:$Z$3, 0)+1),""),
IF(INDEX(貼り付け用!A:Z, ROW(T14)+1, MATCH("おやつ", 貼り付け用!$A$3:$Z$3, 0)+1)&lt;&gt;0,
INDEX(貼り付け用!A:Z, ROW(T14)+1, MATCH("おやつ", 貼り付け用!$A$3:$Z$3, 0)+1),""))</f>
        <v>#N/A</v>
      </c>
      <c r="W14" s="7" t="e">
        <f t="array" ref="W14">IF(貼り付け用!$A$6&lt;&gt;"",
IF(INDEX(貼り付け用!A:Z, ROW(T13)+1, MATCH("おやつ", 貼り付け用!$A$3:$Z$3, 0)+2)&lt;&gt;0,
INDEX(貼り付け用!A:Z, ROW(T13)+1, MATCH("おやつ", 貼り付け用!$A$3:$Z$3, 0)+2),""),
IF(INDEX(貼り付け用!A:Z, ROW(T14)+1, MATCH("おやつ", 貼り付け用!$A$3:$Z$3, 0)+2)&lt;&gt;0,
INDEX(貼り付け用!A:Z, ROW(T14)+1, MATCH("おやつ", 貼り付け用!$A$3:$Z$3, 0)+2),""))</f>
        <v>#N/A</v>
      </c>
    </row>
    <row r="15" spans="1:23" x14ac:dyDescent="0.45">
      <c r="A15" s="10" t="e">
        <f>IF(貼り付け用!$A$6&lt;&gt;"",
IF(ROW(A14)+1&gt;=MATCH("*10000*", 貼り付け用!$A:$A, 0),"",
IF(貼り付け用!A15&lt;&gt;"",貼り付け用!A15,"")),
IF(ROW(A15)+1&gt;=MATCH("*10000*", 貼り付け用!$A:$A, 0),"",
IF(貼り付け用!A16&lt;&gt;"",貼り付け用!A16,"")))</f>
        <v>#N/A</v>
      </c>
      <c r="B15" s="3" t="e">
        <f>IF(貼り付け用!$A$6&lt;&gt;"",
IF(ROW(B14)+2&gt;=MATCH("*【合計】*", 貼り付け用!$A:$A, 0),"",
IF(貼り付け用!B15&lt;&gt;"",貼り付け用!B15,"")),
IF(ROW(B15)+2&gt;=MATCH("*【合計】*", 貼り付け用!$A:$A, 0),"",
IF(貼り付け用!B16&lt;&gt;"",貼り付け用!B16,"")))</f>
        <v>#N/A</v>
      </c>
      <c r="C15" s="3" t="e">
        <f>IF(貼り付け用!$A$6&lt;&gt;"",
IF(ROW(C14)+2&gt;=MATCH("*【合計】*", 貼り付け用!$A:$A, 0),"",
IF(貼り付け用!C15&lt;&gt;"",貼り付け用!C15,"")),
IF(ROW(C15)+2&gt;=MATCH("*【合計】*", 貼り付け用!$A:$A, 0),"",
IF(貼り付け用!C16&lt;&gt;"",貼り付け用!C16,"")))</f>
        <v>#N/A</v>
      </c>
      <c r="D15" s="3" t="e">
        <f>IF(貼り付け用!$A$6&lt;&gt;"",
IF(ROW(D14)+2&gt;=MATCH("*【合計】*", 貼り付け用!$A:$A, 0),"",
IF(貼り付け用!D15&lt;&gt;"",貼り付け用!D15,"")),
IF(ROW(D15)+2&gt;=MATCH("*【合計】*", 貼り付け用!$A:$A, 0),"",
IF(貼り付け用!D16&lt;&gt;"",貼り付け用!D16,"")))</f>
        <v>#N/A</v>
      </c>
      <c r="E15" s="3" t="e">
        <f>IF(貼り付け用!$A$6&lt;&gt;"",
IF(ROW(E14)+2&gt;=MATCH("*【合計】*", 貼り付け用!$A:$A, 0),"",
IF(貼り付け用!E15&lt;&gt;"",貼り付け用!E15,"")),
IF(ROW(E15)+2&gt;=MATCH("*【合計】*", 貼り付け用!$A:$A, 0),"",
IF(貼り付け用!E16&lt;&gt;"",貼り付け用!E16,"")))</f>
        <v>#N/A</v>
      </c>
      <c r="F15" s="3" t="e">
        <f>IF(貼り付け用!$A$6&lt;&gt;"",
IF(ROW(F14)+2&gt;=MATCH("*【合計】*", 貼り付け用!$A:$A, 0),"",
IF(貼り付け用!F15&lt;&gt;"",貼り付け用!F15,"")),
IF(ROW(F15)+2&gt;=MATCH("*【合計】*", 貼り付け用!$A:$A, 0),"",
IF(貼り付け用!F16&lt;&gt;"",貼り付け用!F16,"")))</f>
        <v>#N/A</v>
      </c>
      <c r="G15" s="3" t="e">
        <f>IF(貼り付け用!$A$6&lt;&gt;"",
IF(ROW(G14)+2&gt;=MATCH("*【合計】*", 貼り付け用!$A:$A, 0),"",
IF(貼り付け用!G15&lt;&gt;"",貼り付け用!G15,"")),
IF(ROW(G15)+2&gt;=MATCH("*【合計】*", 貼り付け用!$A:$A, 0),"",
IF(貼り付け用!G16&lt;&gt;"",貼り付け用!G16,"")))</f>
        <v>#N/A</v>
      </c>
      <c r="H15" s="3" t="e">
        <f>IF(貼り付け用!$A$6&lt;&gt;"",
IF(ROW(H14)+2&gt;=MATCH("*【合計】*", 貼り付け用!$A:$A, 0),"",
IF(貼り付け用!H15&lt;&gt;"",貼り付け用!H15,"")),
IF(ROW(H15)+2&gt;=MATCH("*【合計】*", 貼り付け用!$A:$A, 0),"",
IF(貼り付け用!H16&lt;&gt;"",貼り付け用!H16,"")))</f>
        <v>#N/A</v>
      </c>
      <c r="I15" s="3" t="e">
        <f>IF(貼り付け用!$A$6&lt;&gt;"",
IF(ROW(I14)+2&gt;=MATCH("*【合計】*", 貼り付け用!$A:$A, 0),"",
IF(貼り付け用!I15&lt;&gt;"",貼り付け用!I15,"")),
IF(ROW(I15)+2&gt;=MATCH("*【合計】*", 貼り付け用!$A:$A, 0),"",
IF(貼り付け用!I16&lt;&gt;"",貼り付け用!I16,"")))</f>
        <v>#N/A</v>
      </c>
      <c r="J15" s="3" t="e">
        <f>IF(貼り付け用!$A$6&lt;&gt;"",
IF(ROW(J14)+2&gt;=MATCH("*【合計】*", 貼り付け用!$A:$A, 0),"",
IF(貼り付け用!J15&lt;&gt;"",貼り付け用!J15,"")),
IF(ROW(J15)+2&gt;=MATCH("*【合計】*", 貼り付け用!$A:$A, 0),"",
IF(貼り付け用!J16&lt;&gt;"",貼り付け用!J16,"")))</f>
        <v>#N/A</v>
      </c>
      <c r="K15" s="3" t="e">
        <f>IF(貼り付け用!$A$6&lt;&gt;"",
IF(ROW(K14)+2&gt;=MATCH("*【合計】*", 貼り付け用!$A:$A, 0),"",
IF(貼り付け用!K15&lt;&gt;"",貼り付け用!K15,"")),
IF(ROW(K15)+2&gt;=MATCH("*【合計】*", 貼り付け用!$A:$A, 0),"",
IF(貼り付け用!K16&lt;&gt;"",貼り付け用!K16,"")))</f>
        <v>#N/A</v>
      </c>
      <c r="L15" s="3" t="e">
        <f>IF(貼り付け用!$A$6&lt;&gt;"",
IF(ROW(L14)+2&gt;=MATCH("*【合計】*", 貼り付け用!$A:$A, 0),"",
IF(L$3&lt;&gt;"",IF(貼り付け用!L15&lt;&gt;"",貼り付け用!L15,""),"")),
IF(ROW(L15)+2&gt;=MATCH("*【合計】*", 貼り付け用!$A:$A, 0),"",
IF(L$3&lt;&gt;"",IF(貼り付け用!L16&lt;&gt;"",貼り付け用!L16,""),"")))</f>
        <v>#N/A</v>
      </c>
      <c r="M15" s="3" t="e">
        <f>IF(貼り付け用!$A$6&lt;&gt;"",
IF(ROW(M14)+2&gt;=MATCH("*【合計】*", 貼り付け用!$A:$A, 0),"",
IF(M$3&lt;&gt;"",IF(貼り付け用!M15&lt;&gt;"",貼り付け用!M15,""),"")),
IF(ROW(M15)+2&gt;=MATCH("*【合計】*", 貼り付け用!$A:$A, 0),"",
IF(M$3&lt;&gt;"",IF(貼り付け用!M16&lt;&gt;"",貼り付け用!M16,""),"")))</f>
        <v>#N/A</v>
      </c>
      <c r="N15" s="3" t="e">
        <f>IF(貼り付け用!$A$6&lt;&gt;"",
IF(ROW(N14)+2&gt;=MATCH("*【合計】*", 貼り付け用!$A:$A, 0),"",
IF(N$3&lt;&gt;"",IF(貼り付け用!N15&lt;&gt;"",貼り付け用!N15,""),"")),
IF(ROW(N15)+2&gt;=MATCH("*【合計】*", 貼り付け用!$A:$A, 0),"",
IF(N$3&lt;&gt;"",IF(貼り付け用!N16&lt;&gt;"",貼り付け用!N16,""),"")))</f>
        <v>#N/A</v>
      </c>
      <c r="O15" s="3" t="e">
        <f>IF(貼り付け用!$A$6&lt;&gt;"",
IF(ROW(O14)+2&gt;=MATCH("*【合計】*", 貼り付け用!$A:$A, 0),"",
IF(O$3&lt;&gt;"",IF(貼り付け用!O15&lt;&gt;"",貼り付け用!O15,""),"")),
IF(ROW(O15)+2&gt;=MATCH("*【合計】*", 貼り付け用!$A:$A, 0),"",
IF(O$3&lt;&gt;"",IF(貼り付け用!O16&lt;&gt;"",貼り付け用!O16,""),"")))</f>
        <v>#N/A</v>
      </c>
      <c r="P15" s="3" t="e">
        <f>IF(貼り付け用!$A$6&lt;&gt;"",
IF(ROW(P14)+2&gt;=MATCH("*【合計】*", 貼り付け用!$A:$A, 0),"",
IF(P$3&lt;&gt;"",IF(貼り付け用!P15&lt;&gt;"",貼り付け用!P15,""),"")),
IF(ROW(P15)+2&gt;=MATCH("*【合計】*", 貼り付け用!$A:$A, 0),"",
IF(P$3&lt;&gt;"",IF(貼り付け用!P16&lt;&gt;"",貼り付け用!P16,""),"")))</f>
        <v>#N/A</v>
      </c>
      <c r="Q15" s="3" t="e">
        <f>IF(貼り付け用!$A$6&lt;&gt;"",
IF(ROW(Q14)+2&gt;=MATCH("*【合計】*", 貼り付け用!$A:$A, 0),"",
IF(Q$3&lt;&gt;"",IF(貼り付け用!Q15&lt;&gt;"",貼り付け用!Q15,""),"")),
IF(ROW(Q15)+2&gt;=MATCH("*【合計】*", 貼り付け用!$A:$A, 0),"",
IF(Q$3&lt;&gt;"",IF(貼り付け用!Q16&lt;&gt;"",貼り付け用!Q16,""),"")))</f>
        <v>#N/A</v>
      </c>
      <c r="R15" s="3" t="e">
        <f>IF(貼り付け用!$A$6&lt;&gt;"",
IF(ROW(R14)+2&gt;=MATCH("*【合計】*", 貼り付け用!$A:$A, 0),"",
IF(R$3&lt;&gt;"",IF(貼り付け用!R15&lt;&gt;"",貼り付け用!R15,""),"")),
IF(ROW(R15)+2&gt;=MATCH("*【合計】*", 貼り付け用!$A:$A, 0),"",
IF(R$3&lt;&gt;"",IF(貼り付け用!R16&lt;&gt;"",貼り付け用!R16,""),"")))</f>
        <v>#N/A</v>
      </c>
      <c r="S15" s="3" t="e">
        <f>IF(貼り付け用!$A$6&lt;&gt;"",
IF(ROW(S14)+2&gt;=MATCH("*【合計】*", 貼り付け用!$A:$A, 0),"",
IF(S$3&lt;&gt;"",IF(貼り付け用!S15&lt;&gt;"",貼り付け用!S15,""),"")),
IF(ROW(S15)+2&gt;=MATCH("*【合計】*", 貼り付け用!$A:$A, 0),"",
IF(S$3&lt;&gt;"",IF(貼り付け用!S16&lt;&gt;"",貼り付け用!S16,""),"")))</f>
        <v>#N/A</v>
      </c>
      <c r="T15" s="2" t="e">
        <f t="array" ref="T15">IF(貼り付け用!$A$6&lt;&gt;"",
IF(INDEX(貼り付け用!A:Z, ROW(T14)+1, MATCH("おやつ", 貼り付け用!$A$3:$Z$3, 0))&lt;&gt;0,
INDEX(貼り付け用!A:Z, ROW(T14)+1, MATCH("おやつ", 貼り付け用!$A$3:$Z$3, 0)),""),
IF(INDEX(貼り付け用!A:Z, ROW(T15)+1, MATCH("おやつ", 貼り付け用!$A$3:$Z$3, 0))&lt;&gt;0,
INDEX(貼り付け用!A:Z, ROW(T15)+1, MATCH("おやつ", 貼り付け用!$A$3:$Z$3, 0)),""))</f>
        <v>#N/A</v>
      </c>
      <c r="U15" s="52"/>
      <c r="V15" s="8" t="e">
        <f t="array" ref="V15">IF(貼り付け用!$A$6&lt;&gt;"",
IF(INDEX(貼り付け用!A:Z, ROW(T14)+1, MATCH("おやつ", 貼り付け用!$A$3:$Z$3, 0)+1)&lt;&gt;0,
INDEX(貼り付け用!A:Z, ROW(T14)+1, MATCH("おやつ", 貼り付け用!$A$3:$Z$3, 0)+1),""),
IF(INDEX(貼り付け用!A:Z, ROW(T15)+1, MATCH("おやつ", 貼り付け用!$A$3:$Z$3, 0)+1)&lt;&gt;0,
INDEX(貼り付け用!A:Z, ROW(T15)+1, MATCH("おやつ", 貼り付け用!$A$3:$Z$3, 0)+1),""))</f>
        <v>#N/A</v>
      </c>
      <c r="W15" s="9" t="e">
        <f t="array" ref="W15">IF(貼り付け用!$A$6&lt;&gt;"",
IF(INDEX(貼り付け用!A:Z, ROW(T14)+1, MATCH("おやつ", 貼り付け用!$A$3:$Z$3, 0)+2)&lt;&gt;0,
INDEX(貼り付け用!A:Z, ROW(T14)+1, MATCH("おやつ", 貼り付け用!$A$3:$Z$3, 0)+2),""),
IF(INDEX(貼り付け用!A:Z, ROW(T15)+1, MATCH("おやつ", 貼り付け用!$A$3:$Z$3, 0)+2)&lt;&gt;0,
INDEX(貼り付け用!A:Z, ROW(T15)+1, MATCH("おやつ", 貼り付け用!$A$3:$Z$3, 0)+2),""))</f>
        <v>#N/A</v>
      </c>
    </row>
    <row r="16" spans="1:23" x14ac:dyDescent="0.45">
      <c r="A16" s="4" t="e">
        <f>IF(貼り付け用!$A$6&lt;&gt;"",
IF(ROW(A15)+1&gt;=MATCH("*10000*", 貼り付け用!$A:$A, 0),
IF(COUNTIF(A14,"*10000*"),"10001",
IF(COUNTIF(A14,"*10001*"),"10002",
IF(COUNTIF(A14,"*10002*"),"",
IF(COUNTIF(A14,""),"","10000")))),
IF(貼り付け用!A16&lt;&gt;"",貼り付け用!A16,"")),
IF(ROW(A16)+1&gt;=MATCH("*10000*", 貼り付け用!$A:$A, 0),
IF(COUNTIF(A14,"*10000*"),"10001",
IF(COUNTIF(A14,"*10001*"),"10002",
IF(COUNTIF(A14,"*10002*"),"",
IF(COUNTIF(A14,""),"","10000")))),
IF(貼り付け用!A17&lt;&gt;"",貼り付け用!A17,"")))</f>
        <v>#N/A</v>
      </c>
      <c r="B16" s="19" t="e">
        <f>IF(貼り付け用!$A$6&lt;&gt;"",
IF(ROW(B15)+2&gt;=MATCH("*【合計】*", 貼り付け用!$A:$A, 0),"",
IF(貼り付け用!B16&lt;&gt;"",貼り付け用!B16,"")),
IF(ROW(B16)+2&gt;=MATCH("*【合計】*", 貼り付け用!$A:$A, 0),"",
IF(貼り付け用!B17&lt;&gt;"",貼り付け用!B17,"")))</f>
        <v>#N/A</v>
      </c>
      <c r="C16" s="19" t="e">
        <f>IF(貼り付け用!$A$6&lt;&gt;"",
IF(ROW(C15)+2&gt;=MATCH("*【合計】*", 貼り付け用!$A:$A, 0),"",
IF(貼り付け用!C16&lt;&gt;"",貼り付け用!C16,"")),
IF(ROW(C16)+2&gt;=MATCH("*【合計】*", 貼り付け用!$A:$A, 0),"",
IF(貼り付け用!C17&lt;&gt;"",貼り付け用!C17,"")))</f>
        <v>#N/A</v>
      </c>
      <c r="D16" s="19" t="e">
        <f>IF(貼り付け用!$A$6&lt;&gt;"",
IF(ROW(D15)+2&gt;=MATCH("*【合計】*", 貼り付け用!$A:$A, 0),"",
IF(貼り付け用!D16&lt;&gt;"",貼り付け用!D16,"")),
IF(ROW(D16)+2&gt;=MATCH("*【合計】*", 貼り付け用!$A:$A, 0),"",
IF(貼り付け用!D17&lt;&gt;"",貼り付け用!D17,"")))</f>
        <v>#N/A</v>
      </c>
      <c r="E16" s="19" t="e">
        <f>IF(貼り付け用!$A$6&lt;&gt;"",
IF(ROW(E15)+2&gt;=MATCH("*【合計】*", 貼り付け用!$A:$A, 0),"",
IF(貼り付け用!E16&lt;&gt;"",貼り付け用!E16,"")),
IF(ROW(E16)+2&gt;=MATCH("*【合計】*", 貼り付け用!$A:$A, 0),"",
IF(貼り付け用!E17&lt;&gt;"",貼り付け用!E17,"")))</f>
        <v>#N/A</v>
      </c>
      <c r="F16" s="19" t="e">
        <f>IF(貼り付け用!$A$6&lt;&gt;"",
IF(ROW(F15)+2&gt;=MATCH("*【合計】*", 貼り付け用!$A:$A, 0),"",
IF(貼り付け用!F16&lt;&gt;"",貼り付け用!F16,"")),
IF(ROW(F16)+2&gt;=MATCH("*【合計】*", 貼り付け用!$A:$A, 0),"",
IF(貼り付け用!F17&lt;&gt;"",貼り付け用!F17,"")))</f>
        <v>#N/A</v>
      </c>
      <c r="G16" s="19" t="e">
        <f>IF(貼り付け用!$A$6&lt;&gt;"",
IF(ROW(G15)+2&gt;=MATCH("*【合計】*", 貼り付け用!$A:$A, 0),"",
IF(貼り付け用!G16&lt;&gt;"",貼り付け用!G16,"")),
IF(ROW(G16)+2&gt;=MATCH("*【合計】*", 貼り付け用!$A:$A, 0),"",
IF(貼り付け用!G17&lt;&gt;"",貼り付け用!G17,"")))</f>
        <v>#N/A</v>
      </c>
      <c r="H16" s="19" t="e">
        <f>IF(貼り付け用!$A$6&lt;&gt;"",
IF(ROW(H15)+2&gt;=MATCH("*【合計】*", 貼り付け用!$A:$A, 0),"",
IF(貼り付け用!H16&lt;&gt;"",貼り付け用!H16,"")),
IF(ROW(H16)+2&gt;=MATCH("*【合計】*", 貼り付け用!$A:$A, 0),"",
IF(貼り付け用!H17&lt;&gt;"",貼り付け用!H17,"")))</f>
        <v>#N/A</v>
      </c>
      <c r="I16" s="19" t="e">
        <f>IF(貼り付け用!$A$6&lt;&gt;"",
IF(ROW(I15)+2&gt;=MATCH("*【合計】*", 貼り付け用!$A:$A, 0),"",
IF(貼り付け用!I16&lt;&gt;"",貼り付け用!I16,"")),
IF(ROW(I16)+2&gt;=MATCH("*【合計】*", 貼り付け用!$A:$A, 0),"",
IF(貼り付け用!I17&lt;&gt;"",貼り付け用!I17,"")))</f>
        <v>#N/A</v>
      </c>
      <c r="J16" s="19" t="e">
        <f>IF(貼り付け用!$A$6&lt;&gt;"",
IF(ROW(J15)+2&gt;=MATCH("*【合計】*", 貼り付け用!$A:$A, 0),"",
IF(貼り付け用!J16&lt;&gt;"",貼り付け用!J16,"")),
IF(ROW(J16)+2&gt;=MATCH("*【合計】*", 貼り付け用!$A:$A, 0),"",
IF(貼り付け用!J17&lt;&gt;"",貼り付け用!J17,"")))</f>
        <v>#N/A</v>
      </c>
      <c r="K16" s="19" t="e">
        <f>IF(貼り付け用!$A$6&lt;&gt;"",
IF(ROW(K15)+2&gt;=MATCH("*【合計】*", 貼り付け用!$A:$A, 0),"",
IF(貼り付け用!K16&lt;&gt;"",貼り付け用!K16,"")),
IF(ROW(K16)+2&gt;=MATCH("*【合計】*", 貼り付け用!$A:$A, 0),"",
IF(貼り付け用!K17&lt;&gt;"",貼り付け用!K17,"")))</f>
        <v>#N/A</v>
      </c>
      <c r="L16" s="19" t="e">
        <f>IF(貼り付け用!$A$6&lt;&gt;"",
IF(ROW(L15)+2&gt;=MATCH("*【合計】*", 貼り付け用!$A:$A, 0),"",
IF(L$3&lt;&gt;"",IF(貼り付け用!L16&lt;&gt;"",貼り付け用!L16,""),"")),
IF(ROW(L16)+2&gt;=MATCH("*【合計】*", 貼り付け用!$A:$A, 0),"",
IF(L$3&lt;&gt;"",IF(貼り付け用!L17&lt;&gt;"",貼り付け用!L17,""),"")))</f>
        <v>#N/A</v>
      </c>
      <c r="M16" s="19" t="e">
        <f>IF(貼り付け用!$A$6&lt;&gt;"",
IF(ROW(M15)+2&gt;=MATCH("*【合計】*", 貼り付け用!$A:$A, 0),"",
IF(M$3&lt;&gt;"",IF(貼り付け用!M16&lt;&gt;"",貼り付け用!M16,""),"")),
IF(ROW(M16)+2&gt;=MATCH("*【合計】*", 貼り付け用!$A:$A, 0),"",
IF(M$3&lt;&gt;"",IF(貼り付け用!M17&lt;&gt;"",貼り付け用!M17,""),"")))</f>
        <v>#N/A</v>
      </c>
      <c r="N16" s="19" t="e">
        <f>IF(貼り付け用!$A$6&lt;&gt;"",
IF(ROW(N15)+2&gt;=MATCH("*【合計】*", 貼り付け用!$A:$A, 0),"",
IF(N$3&lt;&gt;"",IF(貼り付け用!N16&lt;&gt;"",貼り付け用!N16,""),"")),
IF(ROW(N16)+2&gt;=MATCH("*【合計】*", 貼り付け用!$A:$A, 0),"",
IF(N$3&lt;&gt;"",IF(貼り付け用!N17&lt;&gt;"",貼り付け用!N17,""),"")))</f>
        <v>#N/A</v>
      </c>
      <c r="O16" s="19" t="e">
        <f>IF(貼り付け用!$A$6&lt;&gt;"",
IF(ROW(O15)+2&gt;=MATCH("*【合計】*", 貼り付け用!$A:$A, 0),"",
IF(O$3&lt;&gt;"",IF(貼り付け用!O16&lt;&gt;"",貼り付け用!O16,""),"")),
IF(ROW(O16)+2&gt;=MATCH("*【合計】*", 貼り付け用!$A:$A, 0),"",
IF(O$3&lt;&gt;"",IF(貼り付け用!O17&lt;&gt;"",貼り付け用!O17,""),"")))</f>
        <v>#N/A</v>
      </c>
      <c r="P16" s="19" t="e">
        <f>IF(貼り付け用!$A$6&lt;&gt;"",
IF(ROW(P15)+2&gt;=MATCH("*【合計】*", 貼り付け用!$A:$A, 0),"",
IF(P$3&lt;&gt;"",IF(貼り付け用!P16&lt;&gt;"",貼り付け用!P16,""),"")),
IF(ROW(P16)+2&gt;=MATCH("*【合計】*", 貼り付け用!$A:$A, 0),"",
IF(P$3&lt;&gt;"",IF(貼り付け用!P17&lt;&gt;"",貼り付け用!P17,""),"")))</f>
        <v>#N/A</v>
      </c>
      <c r="Q16" s="19" t="e">
        <f>IF(貼り付け用!$A$6&lt;&gt;"",
IF(ROW(Q15)+2&gt;=MATCH("*【合計】*", 貼り付け用!$A:$A, 0),"",
IF(Q$3&lt;&gt;"",IF(貼り付け用!Q16&lt;&gt;"",貼り付け用!Q16,""),"")),
IF(ROW(Q16)+2&gt;=MATCH("*【合計】*", 貼り付け用!$A:$A, 0),"",
IF(Q$3&lt;&gt;"",IF(貼り付け用!Q17&lt;&gt;"",貼り付け用!Q17,""),"")))</f>
        <v>#N/A</v>
      </c>
      <c r="R16" s="19" t="e">
        <f>IF(貼り付け用!$A$6&lt;&gt;"",
IF(ROW(R15)+2&gt;=MATCH("*【合計】*", 貼り付け用!$A:$A, 0),"",
IF(R$3&lt;&gt;"",IF(貼り付け用!R16&lt;&gt;"",貼り付け用!R16,""),"")),
IF(ROW(R16)+2&gt;=MATCH("*【合計】*", 貼り付け用!$A:$A, 0),"",
IF(R$3&lt;&gt;"",IF(貼り付け用!R17&lt;&gt;"",貼り付け用!R17,""),"")))</f>
        <v>#N/A</v>
      </c>
      <c r="S16" s="19" t="e">
        <f>IF(貼り付け用!$A$6&lt;&gt;"",
IF(ROW(S15)+2&gt;=MATCH("*【合計】*", 貼り付け用!$A:$A, 0),"",
IF(S$3&lt;&gt;"",IF(貼り付け用!S16&lt;&gt;"",貼り付け用!S16,""),"")),
IF(ROW(S16)+2&gt;=MATCH("*【合計】*", 貼り付け用!$A:$A, 0),"",
IF(S$3&lt;&gt;"",IF(貼り付け用!S17&lt;&gt;"",貼り付け用!S17,""),"")))</f>
        <v>#N/A</v>
      </c>
      <c r="T16" s="19" t="e">
        <f t="array" ref="T16">IF(貼り付け用!$A$6&lt;&gt;"",
IF(INDEX(貼り付け用!A:Z, ROW(T15)+1, MATCH("おやつ", 貼り付け用!$A$3:$Z$3, 0))&lt;&gt;0,
INDEX(貼り付け用!A:Z, ROW(T15)+1, MATCH("おやつ", 貼り付け用!$A$3:$Z$3, 0)),""),
IF(INDEX(貼り付け用!A:Z, ROW(T16)+1, MATCH("おやつ", 貼り付け用!$A$3:$Z$3, 0))&lt;&gt;0,
INDEX(貼り付け用!A:Z, ROW(T16)+1, MATCH("おやつ", 貼り付け用!$A$3:$Z$3, 0)),""))</f>
        <v>#N/A</v>
      </c>
      <c r="U16" s="16"/>
      <c r="V16" s="5" t="e">
        <f t="array" ref="V16">IF(貼り付け用!$A$6&lt;&gt;"",
IF(INDEX(貼り付け用!A:Z, ROW(T15)+1, MATCH("おやつ", 貼り付け用!$A$3:$Z$3, 0)+1)&lt;&gt;0,
INDEX(貼り付け用!A:Z, ROW(T15)+1, MATCH("おやつ", 貼り付け用!$A$3:$Z$3, 0)+1),""),
IF(INDEX(貼り付け用!A:Z, ROW(T16)+1, MATCH("おやつ", 貼り付け用!$A$3:$Z$3, 0)+1)&lt;&gt;0,
INDEX(貼り付け用!A:Z, ROW(T16)+1, MATCH("おやつ", 貼り付け用!$A$3:$Z$3, 0)+1),""))</f>
        <v>#N/A</v>
      </c>
      <c r="W16" s="7" t="e">
        <f t="array" ref="W16">IF(貼り付け用!$A$6&lt;&gt;"",
IF(INDEX(貼り付け用!A:Z, ROW(T15)+1, MATCH("おやつ", 貼り付け用!$A$3:$Z$3, 0)+2)&lt;&gt;0,
INDEX(貼り付け用!A:Z, ROW(T15)+1, MATCH("おやつ", 貼り付け用!$A$3:$Z$3, 0)+2),""),
IF(INDEX(貼り付け用!A:Z, ROW(T16)+1, MATCH("おやつ", 貼り付け用!$A$3:$Z$3, 0)+2)&lt;&gt;0,
INDEX(貼り付け用!A:Z, ROW(T16)+1, MATCH("おやつ", 貼り付け用!$A$3:$Z$3, 0)+2),""))</f>
        <v>#N/A</v>
      </c>
    </row>
    <row r="17" spans="1:23" x14ac:dyDescent="0.45">
      <c r="A17" s="10" t="e">
        <f>IF(貼り付け用!$A$6&lt;&gt;"",
IF(ROW(A16)+1&gt;=MATCH("*10000*", 貼り付け用!$A:$A, 0),"",
IF(貼り付け用!A17&lt;&gt;"",貼り付け用!A17,"")),
IF(ROW(A17)+1&gt;=MATCH("*10000*", 貼り付け用!$A:$A, 0),"",
IF(貼り付け用!A18&lt;&gt;"",貼り付け用!A18,"")))</f>
        <v>#N/A</v>
      </c>
      <c r="B17" s="3" t="e">
        <f>IF(貼り付け用!$A$6&lt;&gt;"",
IF(ROW(B16)+2&gt;=MATCH("*【合計】*", 貼り付け用!$A:$A, 0),"",
IF(貼り付け用!B17&lt;&gt;"",貼り付け用!B17,"")),
IF(ROW(B17)+2&gt;=MATCH("*【合計】*", 貼り付け用!$A:$A, 0),"",
IF(貼り付け用!B18&lt;&gt;"",貼り付け用!B18,"")))</f>
        <v>#N/A</v>
      </c>
      <c r="C17" s="3" t="e">
        <f>IF(貼り付け用!$A$6&lt;&gt;"",
IF(ROW(C16)+2&gt;=MATCH("*【合計】*", 貼り付け用!$A:$A, 0),"",
IF(貼り付け用!C17&lt;&gt;"",貼り付け用!C17,"")),
IF(ROW(C17)+2&gt;=MATCH("*【合計】*", 貼り付け用!$A:$A, 0),"",
IF(貼り付け用!C18&lt;&gt;"",貼り付け用!C18,"")))</f>
        <v>#N/A</v>
      </c>
      <c r="D17" s="3" t="e">
        <f>IF(貼り付け用!$A$6&lt;&gt;"",
IF(ROW(D16)+2&gt;=MATCH("*【合計】*", 貼り付け用!$A:$A, 0),"",
IF(貼り付け用!D17&lt;&gt;"",貼り付け用!D17,"")),
IF(ROW(D17)+2&gt;=MATCH("*【合計】*", 貼り付け用!$A:$A, 0),"",
IF(貼り付け用!D18&lt;&gt;"",貼り付け用!D18,"")))</f>
        <v>#N/A</v>
      </c>
      <c r="E17" s="3" t="e">
        <f>IF(貼り付け用!$A$6&lt;&gt;"",
IF(ROW(E16)+2&gt;=MATCH("*【合計】*", 貼り付け用!$A:$A, 0),"",
IF(貼り付け用!E17&lt;&gt;"",貼り付け用!E17,"")),
IF(ROW(E17)+2&gt;=MATCH("*【合計】*", 貼り付け用!$A:$A, 0),"",
IF(貼り付け用!E18&lt;&gt;"",貼り付け用!E18,"")))</f>
        <v>#N/A</v>
      </c>
      <c r="F17" s="3" t="e">
        <f>IF(貼り付け用!$A$6&lt;&gt;"",
IF(ROW(F16)+2&gt;=MATCH("*【合計】*", 貼り付け用!$A:$A, 0),"",
IF(貼り付け用!F17&lt;&gt;"",貼り付け用!F17,"")),
IF(ROW(F17)+2&gt;=MATCH("*【合計】*", 貼り付け用!$A:$A, 0),"",
IF(貼り付け用!F18&lt;&gt;"",貼り付け用!F18,"")))</f>
        <v>#N/A</v>
      </c>
      <c r="G17" s="3" t="e">
        <f>IF(貼り付け用!$A$6&lt;&gt;"",
IF(ROW(G16)+2&gt;=MATCH("*【合計】*", 貼り付け用!$A:$A, 0),"",
IF(貼り付け用!G17&lt;&gt;"",貼り付け用!G17,"")),
IF(ROW(G17)+2&gt;=MATCH("*【合計】*", 貼り付け用!$A:$A, 0),"",
IF(貼り付け用!G18&lt;&gt;"",貼り付け用!G18,"")))</f>
        <v>#N/A</v>
      </c>
      <c r="H17" s="3" t="e">
        <f>IF(貼り付け用!$A$6&lt;&gt;"",
IF(ROW(H16)+2&gt;=MATCH("*【合計】*", 貼り付け用!$A:$A, 0),"",
IF(貼り付け用!H17&lt;&gt;"",貼り付け用!H17,"")),
IF(ROW(H17)+2&gt;=MATCH("*【合計】*", 貼り付け用!$A:$A, 0),"",
IF(貼り付け用!H18&lt;&gt;"",貼り付け用!H18,"")))</f>
        <v>#N/A</v>
      </c>
      <c r="I17" s="3" t="e">
        <f>IF(貼り付け用!$A$6&lt;&gt;"",
IF(ROW(I16)+2&gt;=MATCH("*【合計】*", 貼り付け用!$A:$A, 0),"",
IF(貼り付け用!I17&lt;&gt;"",貼り付け用!I17,"")),
IF(ROW(I17)+2&gt;=MATCH("*【合計】*", 貼り付け用!$A:$A, 0),"",
IF(貼り付け用!I18&lt;&gt;"",貼り付け用!I18,"")))</f>
        <v>#N/A</v>
      </c>
      <c r="J17" s="3" t="e">
        <f>IF(貼り付け用!$A$6&lt;&gt;"",
IF(ROW(J16)+2&gt;=MATCH("*【合計】*", 貼り付け用!$A:$A, 0),"",
IF(貼り付け用!J17&lt;&gt;"",貼り付け用!J17,"")),
IF(ROW(J17)+2&gt;=MATCH("*【合計】*", 貼り付け用!$A:$A, 0),"",
IF(貼り付け用!J18&lt;&gt;"",貼り付け用!J18,"")))</f>
        <v>#N/A</v>
      </c>
      <c r="K17" s="3" t="e">
        <f>IF(貼り付け用!$A$6&lt;&gt;"",
IF(ROW(K16)+2&gt;=MATCH("*【合計】*", 貼り付け用!$A:$A, 0),"",
IF(貼り付け用!K17&lt;&gt;"",貼り付け用!K17,"")),
IF(ROW(K17)+2&gt;=MATCH("*【合計】*", 貼り付け用!$A:$A, 0),"",
IF(貼り付け用!K18&lt;&gt;"",貼り付け用!K18,"")))</f>
        <v>#N/A</v>
      </c>
      <c r="L17" s="3" t="e">
        <f>IF(貼り付け用!$A$6&lt;&gt;"",
IF(ROW(L16)+2&gt;=MATCH("*【合計】*", 貼り付け用!$A:$A, 0),"",
IF(L$3&lt;&gt;"",IF(貼り付け用!L17&lt;&gt;"",貼り付け用!L17,""),"")),
IF(ROW(L17)+2&gt;=MATCH("*【合計】*", 貼り付け用!$A:$A, 0),"",
IF(L$3&lt;&gt;"",IF(貼り付け用!L18&lt;&gt;"",貼り付け用!L18,""),"")))</f>
        <v>#N/A</v>
      </c>
      <c r="M17" s="3" t="e">
        <f>IF(貼り付け用!$A$6&lt;&gt;"",
IF(ROW(M16)+2&gt;=MATCH("*【合計】*", 貼り付け用!$A:$A, 0),"",
IF(M$3&lt;&gt;"",IF(貼り付け用!M17&lt;&gt;"",貼り付け用!M17,""),"")),
IF(ROW(M17)+2&gt;=MATCH("*【合計】*", 貼り付け用!$A:$A, 0),"",
IF(M$3&lt;&gt;"",IF(貼り付け用!M18&lt;&gt;"",貼り付け用!M18,""),"")))</f>
        <v>#N/A</v>
      </c>
      <c r="N17" s="3" t="e">
        <f>IF(貼り付け用!$A$6&lt;&gt;"",
IF(ROW(N16)+2&gt;=MATCH("*【合計】*", 貼り付け用!$A:$A, 0),"",
IF(N$3&lt;&gt;"",IF(貼り付け用!N17&lt;&gt;"",貼り付け用!N17,""),"")),
IF(ROW(N17)+2&gt;=MATCH("*【合計】*", 貼り付け用!$A:$A, 0),"",
IF(N$3&lt;&gt;"",IF(貼り付け用!N18&lt;&gt;"",貼り付け用!N18,""),"")))</f>
        <v>#N/A</v>
      </c>
      <c r="O17" s="3" t="e">
        <f>IF(貼り付け用!$A$6&lt;&gt;"",
IF(ROW(O16)+2&gt;=MATCH("*【合計】*", 貼り付け用!$A:$A, 0),"",
IF(O$3&lt;&gt;"",IF(貼り付け用!O17&lt;&gt;"",貼り付け用!O17,""),"")),
IF(ROW(O17)+2&gt;=MATCH("*【合計】*", 貼り付け用!$A:$A, 0),"",
IF(O$3&lt;&gt;"",IF(貼り付け用!O18&lt;&gt;"",貼り付け用!O18,""),"")))</f>
        <v>#N/A</v>
      </c>
      <c r="P17" s="3" t="e">
        <f>IF(貼り付け用!$A$6&lt;&gt;"",
IF(ROW(P16)+2&gt;=MATCH("*【合計】*", 貼り付け用!$A:$A, 0),"",
IF(P$3&lt;&gt;"",IF(貼り付け用!P17&lt;&gt;"",貼り付け用!P17,""),"")),
IF(ROW(P17)+2&gt;=MATCH("*【合計】*", 貼り付け用!$A:$A, 0),"",
IF(P$3&lt;&gt;"",IF(貼り付け用!P18&lt;&gt;"",貼り付け用!P18,""),"")))</f>
        <v>#N/A</v>
      </c>
      <c r="Q17" s="3" t="e">
        <f>IF(貼り付け用!$A$6&lt;&gt;"",
IF(ROW(Q16)+2&gt;=MATCH("*【合計】*", 貼り付け用!$A:$A, 0),"",
IF(Q$3&lt;&gt;"",IF(貼り付け用!Q17&lt;&gt;"",貼り付け用!Q17,""),"")),
IF(ROW(Q17)+2&gt;=MATCH("*【合計】*", 貼り付け用!$A:$A, 0),"",
IF(Q$3&lt;&gt;"",IF(貼り付け用!Q18&lt;&gt;"",貼り付け用!Q18,""),"")))</f>
        <v>#N/A</v>
      </c>
      <c r="R17" s="3" t="e">
        <f>IF(貼り付け用!$A$6&lt;&gt;"",
IF(ROW(R16)+2&gt;=MATCH("*【合計】*", 貼り付け用!$A:$A, 0),"",
IF(R$3&lt;&gt;"",IF(貼り付け用!R17&lt;&gt;"",貼り付け用!R17,""),"")),
IF(ROW(R17)+2&gt;=MATCH("*【合計】*", 貼り付け用!$A:$A, 0),"",
IF(R$3&lt;&gt;"",IF(貼り付け用!R18&lt;&gt;"",貼り付け用!R18,""),"")))</f>
        <v>#N/A</v>
      </c>
      <c r="S17" s="3" t="e">
        <f>IF(貼り付け用!$A$6&lt;&gt;"",
IF(ROW(S16)+2&gt;=MATCH("*【合計】*", 貼り付け用!$A:$A, 0),"",
IF(S$3&lt;&gt;"",IF(貼り付け用!S17&lt;&gt;"",貼り付け用!S17,""),"")),
IF(ROW(S17)+2&gt;=MATCH("*【合計】*", 貼り付け用!$A:$A, 0),"",
IF(S$3&lt;&gt;"",IF(貼り付け用!S18&lt;&gt;"",貼り付け用!S18,""),"")))</f>
        <v>#N/A</v>
      </c>
      <c r="T17" s="2" t="e">
        <f t="array" ref="T17">IF(貼り付け用!$A$6&lt;&gt;"",
IF(INDEX(貼り付け用!A:Z, ROW(T16)+1, MATCH("おやつ", 貼り付け用!$A$3:$Z$3, 0))&lt;&gt;0,
INDEX(貼り付け用!A:Z, ROW(T16)+1, MATCH("おやつ", 貼り付け用!$A$3:$Z$3, 0)),""),
IF(INDEX(貼り付け用!A:Z, ROW(T17)+1, MATCH("おやつ", 貼り付け用!$A$3:$Z$3, 0))&lt;&gt;0,
INDEX(貼り付け用!A:Z, ROW(T17)+1, MATCH("おやつ", 貼り付け用!$A$3:$Z$3, 0)),""))</f>
        <v>#N/A</v>
      </c>
      <c r="U17" s="52"/>
      <c r="V17" s="8" t="e">
        <f t="array" ref="V17">IF(貼り付け用!$A$6&lt;&gt;"",
IF(INDEX(貼り付け用!A:Z, ROW(T16)+1, MATCH("おやつ", 貼り付け用!$A$3:$Z$3, 0)+1)&lt;&gt;0,
INDEX(貼り付け用!A:Z, ROW(T16)+1, MATCH("おやつ", 貼り付け用!$A$3:$Z$3, 0)+1),""),
IF(INDEX(貼り付け用!A:Z, ROW(T17)+1, MATCH("おやつ", 貼り付け用!$A$3:$Z$3, 0)+1)&lt;&gt;0,
INDEX(貼り付け用!A:Z, ROW(T17)+1, MATCH("おやつ", 貼り付け用!$A$3:$Z$3, 0)+1),""))</f>
        <v>#N/A</v>
      </c>
      <c r="W17" s="9" t="e">
        <f t="array" ref="W17">IF(貼り付け用!$A$6&lt;&gt;"",
IF(INDEX(貼り付け用!A:Z, ROW(T16)+1, MATCH("おやつ", 貼り付け用!$A$3:$Z$3, 0)+2)&lt;&gt;0,
INDEX(貼り付け用!A:Z, ROW(T16)+1, MATCH("おやつ", 貼り付け用!$A$3:$Z$3, 0)+2),""),
IF(INDEX(貼り付け用!A:Z, ROW(T17)+1, MATCH("おやつ", 貼り付け用!$A$3:$Z$3, 0)+2)&lt;&gt;0,
INDEX(貼り付け用!A:Z, ROW(T17)+1, MATCH("おやつ", 貼り付け用!$A$3:$Z$3, 0)+2),""))</f>
        <v>#N/A</v>
      </c>
    </row>
    <row r="18" spans="1:23" x14ac:dyDescent="0.45">
      <c r="A18" s="4" t="e">
        <f>IF(貼り付け用!$A$6&lt;&gt;"",
IF(ROW(A17)+1&gt;=MATCH("*10000*", 貼り付け用!$A:$A, 0),
IF(COUNTIF(A16,"*10000*"),"10001",
IF(COUNTIF(A16,"*10001*"),"10002",
IF(COUNTIF(A16,"*10002*"),"",
IF(COUNTIF(A16,""),"","10000")))),
IF(貼り付け用!A18&lt;&gt;"",貼り付け用!A18,"")),
IF(ROW(A18)+1&gt;=MATCH("*10000*", 貼り付け用!$A:$A, 0),
IF(COUNTIF(A16,"*10000*"),"10001",
IF(COUNTIF(A16,"*10001*"),"10002",
IF(COUNTIF(A16,"*10002*"),"",
IF(COUNTIF(A16,""),"","10000")))),
IF(貼り付け用!A19&lt;&gt;"",貼り付け用!A19,"")))</f>
        <v>#N/A</v>
      </c>
      <c r="B18" s="19" t="e">
        <f>IF(貼り付け用!$A$6&lt;&gt;"",
IF(ROW(B17)+2&gt;=MATCH("*【合計】*", 貼り付け用!$A:$A, 0),"",
IF(貼り付け用!B18&lt;&gt;"",貼り付け用!B18,"")),
IF(ROW(B18)+2&gt;=MATCH("*【合計】*", 貼り付け用!$A:$A, 0),"",
IF(貼り付け用!B19&lt;&gt;"",貼り付け用!B19,"")))</f>
        <v>#N/A</v>
      </c>
      <c r="C18" s="19" t="e">
        <f>IF(貼り付け用!$A$6&lt;&gt;"",
IF(ROW(C17)+2&gt;=MATCH("*【合計】*", 貼り付け用!$A:$A, 0),"",
IF(貼り付け用!C18&lt;&gt;"",貼り付け用!C18,"")),
IF(ROW(C18)+2&gt;=MATCH("*【合計】*", 貼り付け用!$A:$A, 0),"",
IF(貼り付け用!C19&lt;&gt;"",貼り付け用!C19,"")))</f>
        <v>#N/A</v>
      </c>
      <c r="D18" s="19" t="e">
        <f>IF(貼り付け用!$A$6&lt;&gt;"",
IF(ROW(D17)+2&gt;=MATCH("*【合計】*", 貼り付け用!$A:$A, 0),"",
IF(貼り付け用!D18&lt;&gt;"",貼り付け用!D18,"")),
IF(ROW(D18)+2&gt;=MATCH("*【合計】*", 貼り付け用!$A:$A, 0),"",
IF(貼り付け用!D19&lt;&gt;"",貼り付け用!D19,"")))</f>
        <v>#N/A</v>
      </c>
      <c r="E18" s="19" t="e">
        <f>IF(貼り付け用!$A$6&lt;&gt;"",
IF(ROW(E17)+2&gt;=MATCH("*【合計】*", 貼り付け用!$A:$A, 0),"",
IF(貼り付け用!E18&lt;&gt;"",貼り付け用!E18,"")),
IF(ROW(E18)+2&gt;=MATCH("*【合計】*", 貼り付け用!$A:$A, 0),"",
IF(貼り付け用!E19&lt;&gt;"",貼り付け用!E19,"")))</f>
        <v>#N/A</v>
      </c>
      <c r="F18" s="19" t="e">
        <f>IF(貼り付け用!$A$6&lt;&gt;"",
IF(ROW(F17)+2&gt;=MATCH("*【合計】*", 貼り付け用!$A:$A, 0),"",
IF(貼り付け用!F18&lt;&gt;"",貼り付け用!F18,"")),
IF(ROW(F18)+2&gt;=MATCH("*【合計】*", 貼り付け用!$A:$A, 0),"",
IF(貼り付け用!F19&lt;&gt;"",貼り付け用!F19,"")))</f>
        <v>#N/A</v>
      </c>
      <c r="G18" s="19" t="e">
        <f>IF(貼り付け用!$A$6&lt;&gt;"",
IF(ROW(G17)+2&gt;=MATCH("*【合計】*", 貼り付け用!$A:$A, 0),"",
IF(貼り付け用!G18&lt;&gt;"",貼り付け用!G18,"")),
IF(ROW(G18)+2&gt;=MATCH("*【合計】*", 貼り付け用!$A:$A, 0),"",
IF(貼り付け用!G19&lt;&gt;"",貼り付け用!G19,"")))</f>
        <v>#N/A</v>
      </c>
      <c r="H18" s="19" t="e">
        <f>IF(貼り付け用!$A$6&lt;&gt;"",
IF(ROW(H17)+2&gt;=MATCH("*【合計】*", 貼り付け用!$A:$A, 0),"",
IF(貼り付け用!H18&lt;&gt;"",貼り付け用!H18,"")),
IF(ROW(H18)+2&gt;=MATCH("*【合計】*", 貼り付け用!$A:$A, 0),"",
IF(貼り付け用!H19&lt;&gt;"",貼り付け用!H19,"")))</f>
        <v>#N/A</v>
      </c>
      <c r="I18" s="19" t="e">
        <f>IF(貼り付け用!$A$6&lt;&gt;"",
IF(ROW(I17)+2&gt;=MATCH("*【合計】*", 貼り付け用!$A:$A, 0),"",
IF(貼り付け用!I18&lt;&gt;"",貼り付け用!I18,"")),
IF(ROW(I18)+2&gt;=MATCH("*【合計】*", 貼り付け用!$A:$A, 0),"",
IF(貼り付け用!I19&lt;&gt;"",貼り付け用!I19,"")))</f>
        <v>#N/A</v>
      </c>
      <c r="J18" s="19" t="e">
        <f>IF(貼り付け用!$A$6&lt;&gt;"",
IF(ROW(J17)+2&gt;=MATCH("*【合計】*", 貼り付け用!$A:$A, 0),"",
IF(貼り付け用!J18&lt;&gt;"",貼り付け用!J18,"")),
IF(ROW(J18)+2&gt;=MATCH("*【合計】*", 貼り付け用!$A:$A, 0),"",
IF(貼り付け用!J19&lt;&gt;"",貼り付け用!J19,"")))</f>
        <v>#N/A</v>
      </c>
      <c r="K18" s="19" t="e">
        <f>IF(貼り付け用!$A$6&lt;&gt;"",
IF(ROW(K17)+2&gt;=MATCH("*【合計】*", 貼り付け用!$A:$A, 0),"",
IF(貼り付け用!K18&lt;&gt;"",貼り付け用!K18,"")),
IF(ROW(K18)+2&gt;=MATCH("*【合計】*", 貼り付け用!$A:$A, 0),"",
IF(貼り付け用!K19&lt;&gt;"",貼り付け用!K19,"")))</f>
        <v>#N/A</v>
      </c>
      <c r="L18" s="19" t="e">
        <f>IF(貼り付け用!$A$6&lt;&gt;"",
IF(ROW(L17)+2&gt;=MATCH("*【合計】*", 貼り付け用!$A:$A, 0),"",
IF(L$3&lt;&gt;"",IF(貼り付け用!L18&lt;&gt;"",貼り付け用!L18,""),"")),
IF(ROW(L18)+2&gt;=MATCH("*【合計】*", 貼り付け用!$A:$A, 0),"",
IF(L$3&lt;&gt;"",IF(貼り付け用!L19&lt;&gt;"",貼り付け用!L19,""),"")))</f>
        <v>#N/A</v>
      </c>
      <c r="M18" s="19" t="e">
        <f>IF(貼り付け用!$A$6&lt;&gt;"",
IF(ROW(M17)+2&gt;=MATCH("*【合計】*", 貼り付け用!$A:$A, 0),"",
IF(M$3&lt;&gt;"",IF(貼り付け用!M18&lt;&gt;"",貼り付け用!M18,""),"")),
IF(ROW(M18)+2&gt;=MATCH("*【合計】*", 貼り付け用!$A:$A, 0),"",
IF(M$3&lt;&gt;"",IF(貼り付け用!M19&lt;&gt;"",貼り付け用!M19,""),"")))</f>
        <v>#N/A</v>
      </c>
      <c r="N18" s="19" t="e">
        <f>IF(貼り付け用!$A$6&lt;&gt;"",
IF(ROW(N17)+2&gt;=MATCH("*【合計】*", 貼り付け用!$A:$A, 0),"",
IF(N$3&lt;&gt;"",IF(貼り付け用!N18&lt;&gt;"",貼り付け用!N18,""),"")),
IF(ROW(N18)+2&gt;=MATCH("*【合計】*", 貼り付け用!$A:$A, 0),"",
IF(N$3&lt;&gt;"",IF(貼り付け用!N19&lt;&gt;"",貼り付け用!N19,""),"")))</f>
        <v>#N/A</v>
      </c>
      <c r="O18" s="19" t="e">
        <f>IF(貼り付け用!$A$6&lt;&gt;"",
IF(ROW(O17)+2&gt;=MATCH("*【合計】*", 貼り付け用!$A:$A, 0),"",
IF(O$3&lt;&gt;"",IF(貼り付け用!O18&lt;&gt;"",貼り付け用!O18,""),"")),
IF(ROW(O18)+2&gt;=MATCH("*【合計】*", 貼り付け用!$A:$A, 0),"",
IF(O$3&lt;&gt;"",IF(貼り付け用!O19&lt;&gt;"",貼り付け用!O19,""),"")))</f>
        <v>#N/A</v>
      </c>
      <c r="P18" s="19" t="e">
        <f>IF(貼り付け用!$A$6&lt;&gt;"",
IF(ROW(P17)+2&gt;=MATCH("*【合計】*", 貼り付け用!$A:$A, 0),"",
IF(P$3&lt;&gt;"",IF(貼り付け用!P18&lt;&gt;"",貼り付け用!P18,""),"")),
IF(ROW(P18)+2&gt;=MATCH("*【合計】*", 貼り付け用!$A:$A, 0),"",
IF(P$3&lt;&gt;"",IF(貼り付け用!P19&lt;&gt;"",貼り付け用!P19,""),"")))</f>
        <v>#N/A</v>
      </c>
      <c r="Q18" s="19" t="e">
        <f>IF(貼り付け用!$A$6&lt;&gt;"",
IF(ROW(Q17)+2&gt;=MATCH("*【合計】*", 貼り付け用!$A:$A, 0),"",
IF(Q$3&lt;&gt;"",IF(貼り付け用!Q18&lt;&gt;"",貼り付け用!Q18,""),"")),
IF(ROW(Q18)+2&gt;=MATCH("*【合計】*", 貼り付け用!$A:$A, 0),"",
IF(Q$3&lt;&gt;"",IF(貼り付け用!Q19&lt;&gt;"",貼り付け用!Q19,""),"")))</f>
        <v>#N/A</v>
      </c>
      <c r="R18" s="19" t="e">
        <f>IF(貼り付け用!$A$6&lt;&gt;"",
IF(ROW(R17)+2&gt;=MATCH("*【合計】*", 貼り付け用!$A:$A, 0),"",
IF(R$3&lt;&gt;"",IF(貼り付け用!R18&lt;&gt;"",貼り付け用!R18,""),"")),
IF(ROW(R18)+2&gt;=MATCH("*【合計】*", 貼り付け用!$A:$A, 0),"",
IF(R$3&lt;&gt;"",IF(貼り付け用!R19&lt;&gt;"",貼り付け用!R19,""),"")))</f>
        <v>#N/A</v>
      </c>
      <c r="S18" s="19" t="e">
        <f>IF(貼り付け用!$A$6&lt;&gt;"",
IF(ROW(S17)+2&gt;=MATCH("*【合計】*", 貼り付け用!$A:$A, 0),"",
IF(S$3&lt;&gt;"",IF(貼り付け用!S18&lt;&gt;"",貼り付け用!S18,""),"")),
IF(ROW(S18)+2&gt;=MATCH("*【合計】*", 貼り付け用!$A:$A, 0),"",
IF(S$3&lt;&gt;"",IF(貼り付け用!S19&lt;&gt;"",貼り付け用!S19,""),"")))</f>
        <v>#N/A</v>
      </c>
      <c r="T18" s="19" t="e">
        <f t="array" ref="T18">IF(貼り付け用!$A$6&lt;&gt;"",
IF(INDEX(貼り付け用!A:Z, ROW(T17)+1, MATCH("おやつ", 貼り付け用!$A$3:$Z$3, 0))&lt;&gt;0,
INDEX(貼り付け用!A:Z, ROW(T17)+1, MATCH("おやつ", 貼り付け用!$A$3:$Z$3, 0)),""),
IF(INDEX(貼り付け用!A:Z, ROW(T18)+1, MATCH("おやつ", 貼り付け用!$A$3:$Z$3, 0))&lt;&gt;0,
INDEX(貼り付け用!A:Z, ROW(T18)+1, MATCH("おやつ", 貼り付け用!$A$3:$Z$3, 0)),""))</f>
        <v>#N/A</v>
      </c>
      <c r="U18" s="16"/>
      <c r="V18" s="5" t="e">
        <f t="array" ref="V18">IF(貼り付け用!$A$6&lt;&gt;"",
IF(INDEX(貼り付け用!A:Z, ROW(T17)+1, MATCH("おやつ", 貼り付け用!$A$3:$Z$3, 0)+1)&lt;&gt;0,
INDEX(貼り付け用!A:Z, ROW(T17)+1, MATCH("おやつ", 貼り付け用!$A$3:$Z$3, 0)+1),""),
IF(INDEX(貼り付け用!A:Z, ROW(T18)+1, MATCH("おやつ", 貼り付け用!$A$3:$Z$3, 0)+1)&lt;&gt;0,
INDEX(貼り付け用!A:Z, ROW(T18)+1, MATCH("おやつ", 貼り付け用!$A$3:$Z$3, 0)+1),""))</f>
        <v>#N/A</v>
      </c>
      <c r="W18" s="7" t="e">
        <f t="array" ref="W18">IF(貼り付け用!$A$6&lt;&gt;"",
IF(INDEX(貼り付け用!A:Z, ROW(T17)+1, MATCH("おやつ", 貼り付け用!$A$3:$Z$3, 0)+2)&lt;&gt;0,
INDEX(貼り付け用!A:Z, ROW(T17)+1, MATCH("おやつ", 貼り付け用!$A$3:$Z$3, 0)+2),""),
IF(INDEX(貼り付け用!A:Z, ROW(T18)+1, MATCH("おやつ", 貼り付け用!$A$3:$Z$3, 0)+2)&lt;&gt;0,
INDEX(貼り付け用!A:Z, ROW(T18)+1, MATCH("おやつ", 貼り付け用!$A$3:$Z$3, 0)+2),""))</f>
        <v>#N/A</v>
      </c>
    </row>
    <row r="19" spans="1:23" x14ac:dyDescent="0.45">
      <c r="A19" s="10" t="e">
        <f>IF(貼り付け用!$A$6&lt;&gt;"",
IF(ROW(A18)+1&gt;=MATCH("*10000*", 貼り付け用!$A:$A, 0),"",
IF(貼り付け用!A19&lt;&gt;"",貼り付け用!A19,"")),
IF(ROW(A19)+1&gt;=MATCH("*10000*", 貼り付け用!$A:$A, 0),"",
IF(貼り付け用!A20&lt;&gt;"",貼り付け用!A20,"")))</f>
        <v>#N/A</v>
      </c>
      <c r="B19" s="3" t="e">
        <f>IF(貼り付け用!$A$6&lt;&gt;"",
IF(ROW(B18)+2&gt;=MATCH("*【合計】*", 貼り付け用!$A:$A, 0),"",
IF(貼り付け用!B19&lt;&gt;"",貼り付け用!B19,"")),
IF(ROW(B19)+2&gt;=MATCH("*【合計】*", 貼り付け用!$A:$A, 0),"",
IF(貼り付け用!B20&lt;&gt;"",貼り付け用!B20,"")))</f>
        <v>#N/A</v>
      </c>
      <c r="C19" s="3" t="e">
        <f>IF(貼り付け用!$A$6&lt;&gt;"",
IF(ROW(C18)+2&gt;=MATCH("*【合計】*", 貼り付け用!$A:$A, 0),"",
IF(貼り付け用!C19&lt;&gt;"",貼り付け用!C19,"")),
IF(ROW(C19)+2&gt;=MATCH("*【合計】*", 貼り付け用!$A:$A, 0),"",
IF(貼り付け用!C20&lt;&gt;"",貼り付け用!C20,"")))</f>
        <v>#N/A</v>
      </c>
      <c r="D19" s="3" t="e">
        <f>IF(貼り付け用!$A$6&lt;&gt;"",
IF(ROW(D18)+2&gt;=MATCH("*【合計】*", 貼り付け用!$A:$A, 0),"",
IF(貼り付け用!D19&lt;&gt;"",貼り付け用!D19,"")),
IF(ROW(D19)+2&gt;=MATCH("*【合計】*", 貼り付け用!$A:$A, 0),"",
IF(貼り付け用!D20&lt;&gt;"",貼り付け用!D20,"")))</f>
        <v>#N/A</v>
      </c>
      <c r="E19" s="3" t="e">
        <f>IF(貼り付け用!$A$6&lt;&gt;"",
IF(ROW(E18)+2&gt;=MATCH("*【合計】*", 貼り付け用!$A:$A, 0),"",
IF(貼り付け用!E19&lt;&gt;"",貼り付け用!E19,"")),
IF(ROW(E19)+2&gt;=MATCH("*【合計】*", 貼り付け用!$A:$A, 0),"",
IF(貼り付け用!E20&lt;&gt;"",貼り付け用!E20,"")))</f>
        <v>#N/A</v>
      </c>
      <c r="F19" s="3" t="e">
        <f>IF(貼り付け用!$A$6&lt;&gt;"",
IF(ROW(F18)+2&gt;=MATCH("*【合計】*", 貼り付け用!$A:$A, 0),"",
IF(貼り付け用!F19&lt;&gt;"",貼り付け用!F19,"")),
IF(ROW(F19)+2&gt;=MATCH("*【合計】*", 貼り付け用!$A:$A, 0),"",
IF(貼り付け用!F20&lt;&gt;"",貼り付け用!F20,"")))</f>
        <v>#N/A</v>
      </c>
      <c r="G19" s="3" t="e">
        <f>IF(貼り付け用!$A$6&lt;&gt;"",
IF(ROW(G18)+2&gt;=MATCH("*【合計】*", 貼り付け用!$A:$A, 0),"",
IF(貼り付け用!G19&lt;&gt;"",貼り付け用!G19,"")),
IF(ROW(G19)+2&gt;=MATCH("*【合計】*", 貼り付け用!$A:$A, 0),"",
IF(貼り付け用!G20&lt;&gt;"",貼り付け用!G20,"")))</f>
        <v>#N/A</v>
      </c>
      <c r="H19" s="3" t="e">
        <f>IF(貼り付け用!$A$6&lt;&gt;"",
IF(ROW(H18)+2&gt;=MATCH("*【合計】*", 貼り付け用!$A:$A, 0),"",
IF(貼り付け用!H19&lt;&gt;"",貼り付け用!H19,"")),
IF(ROW(H19)+2&gt;=MATCH("*【合計】*", 貼り付け用!$A:$A, 0),"",
IF(貼り付け用!H20&lt;&gt;"",貼り付け用!H20,"")))</f>
        <v>#N/A</v>
      </c>
      <c r="I19" s="3" t="e">
        <f>IF(貼り付け用!$A$6&lt;&gt;"",
IF(ROW(I18)+2&gt;=MATCH("*【合計】*", 貼り付け用!$A:$A, 0),"",
IF(貼り付け用!I19&lt;&gt;"",貼り付け用!I19,"")),
IF(ROW(I19)+2&gt;=MATCH("*【合計】*", 貼り付け用!$A:$A, 0),"",
IF(貼り付け用!I20&lt;&gt;"",貼り付け用!I20,"")))</f>
        <v>#N/A</v>
      </c>
      <c r="J19" s="3" t="e">
        <f>IF(貼り付け用!$A$6&lt;&gt;"",
IF(ROW(J18)+2&gt;=MATCH("*【合計】*", 貼り付け用!$A:$A, 0),"",
IF(貼り付け用!J19&lt;&gt;"",貼り付け用!J19,"")),
IF(ROW(J19)+2&gt;=MATCH("*【合計】*", 貼り付け用!$A:$A, 0),"",
IF(貼り付け用!J20&lt;&gt;"",貼り付け用!J20,"")))</f>
        <v>#N/A</v>
      </c>
      <c r="K19" s="3" t="e">
        <f>IF(貼り付け用!$A$6&lt;&gt;"",
IF(ROW(K18)+2&gt;=MATCH("*【合計】*", 貼り付け用!$A:$A, 0),"",
IF(貼り付け用!K19&lt;&gt;"",貼り付け用!K19,"")),
IF(ROW(K19)+2&gt;=MATCH("*【合計】*", 貼り付け用!$A:$A, 0),"",
IF(貼り付け用!K20&lt;&gt;"",貼り付け用!K20,"")))</f>
        <v>#N/A</v>
      </c>
      <c r="L19" s="3" t="e">
        <f>IF(貼り付け用!$A$6&lt;&gt;"",
IF(ROW(L18)+2&gt;=MATCH("*【合計】*", 貼り付け用!$A:$A, 0),"",
IF(L$3&lt;&gt;"",IF(貼り付け用!L19&lt;&gt;"",貼り付け用!L19,""),"")),
IF(ROW(L19)+2&gt;=MATCH("*【合計】*", 貼り付け用!$A:$A, 0),"",
IF(L$3&lt;&gt;"",IF(貼り付け用!L20&lt;&gt;"",貼り付け用!L20,""),"")))</f>
        <v>#N/A</v>
      </c>
      <c r="M19" s="3" t="e">
        <f>IF(貼り付け用!$A$6&lt;&gt;"",
IF(ROW(M18)+2&gt;=MATCH("*【合計】*", 貼り付け用!$A:$A, 0),"",
IF(M$3&lt;&gt;"",IF(貼り付け用!M19&lt;&gt;"",貼り付け用!M19,""),"")),
IF(ROW(M19)+2&gt;=MATCH("*【合計】*", 貼り付け用!$A:$A, 0),"",
IF(M$3&lt;&gt;"",IF(貼り付け用!M20&lt;&gt;"",貼り付け用!M20,""),"")))</f>
        <v>#N/A</v>
      </c>
      <c r="N19" s="3" t="e">
        <f>IF(貼り付け用!$A$6&lt;&gt;"",
IF(ROW(N18)+2&gt;=MATCH("*【合計】*", 貼り付け用!$A:$A, 0),"",
IF(N$3&lt;&gt;"",IF(貼り付け用!N19&lt;&gt;"",貼り付け用!N19,""),"")),
IF(ROW(N19)+2&gt;=MATCH("*【合計】*", 貼り付け用!$A:$A, 0),"",
IF(N$3&lt;&gt;"",IF(貼り付け用!N20&lt;&gt;"",貼り付け用!N20,""),"")))</f>
        <v>#N/A</v>
      </c>
      <c r="O19" s="3" t="e">
        <f>IF(貼り付け用!$A$6&lt;&gt;"",
IF(ROW(O18)+2&gt;=MATCH("*【合計】*", 貼り付け用!$A:$A, 0),"",
IF(O$3&lt;&gt;"",IF(貼り付け用!O19&lt;&gt;"",貼り付け用!O19,""),"")),
IF(ROW(O19)+2&gt;=MATCH("*【合計】*", 貼り付け用!$A:$A, 0),"",
IF(O$3&lt;&gt;"",IF(貼り付け用!O20&lt;&gt;"",貼り付け用!O20,""),"")))</f>
        <v>#N/A</v>
      </c>
      <c r="P19" s="3" t="e">
        <f>IF(貼り付け用!$A$6&lt;&gt;"",
IF(ROW(P18)+2&gt;=MATCH("*【合計】*", 貼り付け用!$A:$A, 0),"",
IF(P$3&lt;&gt;"",IF(貼り付け用!P19&lt;&gt;"",貼り付け用!P19,""),"")),
IF(ROW(P19)+2&gt;=MATCH("*【合計】*", 貼り付け用!$A:$A, 0),"",
IF(P$3&lt;&gt;"",IF(貼り付け用!P20&lt;&gt;"",貼り付け用!P20,""),"")))</f>
        <v>#N/A</v>
      </c>
      <c r="Q19" s="3" t="e">
        <f>IF(貼り付け用!$A$6&lt;&gt;"",
IF(ROW(Q18)+2&gt;=MATCH("*【合計】*", 貼り付け用!$A:$A, 0),"",
IF(Q$3&lt;&gt;"",IF(貼り付け用!Q19&lt;&gt;"",貼り付け用!Q19,""),"")),
IF(ROW(Q19)+2&gt;=MATCH("*【合計】*", 貼り付け用!$A:$A, 0),"",
IF(Q$3&lt;&gt;"",IF(貼り付け用!Q20&lt;&gt;"",貼り付け用!Q20,""),"")))</f>
        <v>#N/A</v>
      </c>
      <c r="R19" s="3" t="e">
        <f>IF(貼り付け用!$A$6&lt;&gt;"",
IF(ROW(R18)+2&gt;=MATCH("*【合計】*", 貼り付け用!$A:$A, 0),"",
IF(R$3&lt;&gt;"",IF(貼り付け用!R19&lt;&gt;"",貼り付け用!R19,""),"")),
IF(ROW(R19)+2&gt;=MATCH("*【合計】*", 貼り付け用!$A:$A, 0),"",
IF(R$3&lt;&gt;"",IF(貼り付け用!R20&lt;&gt;"",貼り付け用!R20,""),"")))</f>
        <v>#N/A</v>
      </c>
      <c r="S19" s="3" t="e">
        <f>IF(貼り付け用!$A$6&lt;&gt;"",
IF(ROW(S18)+2&gt;=MATCH("*【合計】*", 貼り付け用!$A:$A, 0),"",
IF(S$3&lt;&gt;"",IF(貼り付け用!S19&lt;&gt;"",貼り付け用!S19,""),"")),
IF(ROW(S19)+2&gt;=MATCH("*【合計】*", 貼り付け用!$A:$A, 0),"",
IF(S$3&lt;&gt;"",IF(貼り付け用!S20&lt;&gt;"",貼り付け用!S20,""),"")))</f>
        <v>#N/A</v>
      </c>
      <c r="T19" s="2" t="e">
        <f t="array" ref="T19">IF(貼り付け用!$A$6&lt;&gt;"",
IF(INDEX(貼り付け用!A:Z, ROW(T18)+1, MATCH("おやつ", 貼り付け用!$A$3:$Z$3, 0))&lt;&gt;0,
INDEX(貼り付け用!A:Z, ROW(T18)+1, MATCH("おやつ", 貼り付け用!$A$3:$Z$3, 0)),""),
IF(INDEX(貼り付け用!A:Z, ROW(T19)+1, MATCH("おやつ", 貼り付け用!$A$3:$Z$3, 0))&lt;&gt;0,
INDEX(貼り付け用!A:Z, ROW(T19)+1, MATCH("おやつ", 貼り付け用!$A$3:$Z$3, 0)),""))</f>
        <v>#N/A</v>
      </c>
      <c r="U19" s="52"/>
      <c r="V19" s="8" t="e">
        <f t="array" ref="V19">IF(貼り付け用!$A$6&lt;&gt;"",
IF(INDEX(貼り付け用!A:Z, ROW(T18)+1, MATCH("おやつ", 貼り付け用!$A$3:$Z$3, 0)+1)&lt;&gt;0,
INDEX(貼り付け用!A:Z, ROW(T18)+1, MATCH("おやつ", 貼り付け用!$A$3:$Z$3, 0)+1),""),
IF(INDEX(貼り付け用!A:Z, ROW(T19)+1, MATCH("おやつ", 貼り付け用!$A$3:$Z$3, 0)+1)&lt;&gt;0,
INDEX(貼り付け用!A:Z, ROW(T19)+1, MATCH("おやつ", 貼り付け用!$A$3:$Z$3, 0)+1),""))</f>
        <v>#N/A</v>
      </c>
      <c r="W19" s="9" t="e">
        <f t="array" ref="W19">IF(貼り付け用!$A$6&lt;&gt;"",
IF(INDEX(貼り付け用!A:Z, ROW(T18)+1, MATCH("おやつ", 貼り付け用!$A$3:$Z$3, 0)+2)&lt;&gt;0,
INDEX(貼り付け用!A:Z, ROW(T18)+1, MATCH("おやつ", 貼り付け用!$A$3:$Z$3, 0)+2),""),
IF(INDEX(貼り付け用!A:Z, ROW(T19)+1, MATCH("おやつ", 貼り付け用!$A$3:$Z$3, 0)+2)&lt;&gt;0,
INDEX(貼り付け用!A:Z, ROW(T19)+1, MATCH("おやつ", 貼り付け用!$A$3:$Z$3, 0)+2),""))</f>
        <v>#N/A</v>
      </c>
    </row>
    <row r="20" spans="1:23" x14ac:dyDescent="0.45">
      <c r="A20" s="4" t="e">
        <f>IF(貼り付け用!$A$6&lt;&gt;"",
IF(ROW(A19)+1&gt;=MATCH("*10000*", 貼り付け用!$A:$A, 0),
IF(COUNTIF(A18,"*10000*"),"10001",
IF(COUNTIF(A18,"*10001*"),"10002",
IF(COUNTIF(A18,"*10002*"),"",
IF(COUNTIF(A18,""),"","10000")))),
IF(貼り付け用!A20&lt;&gt;"",貼り付け用!A20,"")),
IF(ROW(A20)+1&gt;=MATCH("*10000*", 貼り付け用!$A:$A, 0),
IF(COUNTIF(A18,"*10000*"),"10001",
IF(COUNTIF(A18,"*10001*"),"10002",
IF(COUNTIF(A18,"*10002*"),"",
IF(COUNTIF(A18,""),"","10000")))),
IF(貼り付け用!A21&lt;&gt;"",貼り付け用!A21,"")))</f>
        <v>#N/A</v>
      </c>
      <c r="B20" s="19" t="e">
        <f>IF(貼り付け用!$A$6&lt;&gt;"",
IF(ROW(B19)+2&gt;=MATCH("*【合計】*", 貼り付け用!$A:$A, 0),"",
IF(貼り付け用!B20&lt;&gt;"",貼り付け用!B20,"")),
IF(ROW(B20)+2&gt;=MATCH("*【合計】*", 貼り付け用!$A:$A, 0),"",
IF(貼り付け用!B21&lt;&gt;"",貼り付け用!B21,"")))</f>
        <v>#N/A</v>
      </c>
      <c r="C20" s="19" t="e">
        <f>IF(貼り付け用!$A$6&lt;&gt;"",
IF(ROW(C19)+2&gt;=MATCH("*【合計】*", 貼り付け用!$A:$A, 0),"",
IF(貼り付け用!C20&lt;&gt;"",貼り付け用!C20,"")),
IF(ROW(C20)+2&gt;=MATCH("*【合計】*", 貼り付け用!$A:$A, 0),"",
IF(貼り付け用!C21&lt;&gt;"",貼り付け用!C21,"")))</f>
        <v>#N/A</v>
      </c>
      <c r="D20" s="19" t="e">
        <f>IF(貼り付け用!$A$6&lt;&gt;"",
IF(ROW(D19)+2&gt;=MATCH("*【合計】*", 貼り付け用!$A:$A, 0),"",
IF(貼り付け用!D20&lt;&gt;"",貼り付け用!D20,"")),
IF(ROW(D20)+2&gt;=MATCH("*【合計】*", 貼り付け用!$A:$A, 0),"",
IF(貼り付け用!D21&lt;&gt;"",貼り付け用!D21,"")))</f>
        <v>#N/A</v>
      </c>
      <c r="E20" s="19" t="e">
        <f>IF(貼り付け用!$A$6&lt;&gt;"",
IF(ROW(E19)+2&gt;=MATCH("*【合計】*", 貼り付け用!$A:$A, 0),"",
IF(貼り付け用!E20&lt;&gt;"",貼り付け用!E20,"")),
IF(ROW(E20)+2&gt;=MATCH("*【合計】*", 貼り付け用!$A:$A, 0),"",
IF(貼り付け用!E21&lt;&gt;"",貼り付け用!E21,"")))</f>
        <v>#N/A</v>
      </c>
      <c r="F20" s="19" t="e">
        <f>IF(貼り付け用!$A$6&lt;&gt;"",
IF(ROW(F19)+2&gt;=MATCH("*【合計】*", 貼り付け用!$A:$A, 0),"",
IF(貼り付け用!F20&lt;&gt;"",貼り付け用!F20,"")),
IF(ROW(F20)+2&gt;=MATCH("*【合計】*", 貼り付け用!$A:$A, 0),"",
IF(貼り付け用!F21&lt;&gt;"",貼り付け用!F21,"")))</f>
        <v>#N/A</v>
      </c>
      <c r="G20" s="19" t="e">
        <f>IF(貼り付け用!$A$6&lt;&gt;"",
IF(ROW(G19)+2&gt;=MATCH("*【合計】*", 貼り付け用!$A:$A, 0),"",
IF(貼り付け用!G20&lt;&gt;"",貼り付け用!G20,"")),
IF(ROW(G20)+2&gt;=MATCH("*【合計】*", 貼り付け用!$A:$A, 0),"",
IF(貼り付け用!G21&lt;&gt;"",貼り付け用!G21,"")))</f>
        <v>#N/A</v>
      </c>
      <c r="H20" s="19" t="e">
        <f>IF(貼り付け用!$A$6&lt;&gt;"",
IF(ROW(H19)+2&gt;=MATCH("*【合計】*", 貼り付け用!$A:$A, 0),"",
IF(貼り付け用!H20&lt;&gt;"",貼り付け用!H20,"")),
IF(ROW(H20)+2&gt;=MATCH("*【合計】*", 貼り付け用!$A:$A, 0),"",
IF(貼り付け用!H21&lt;&gt;"",貼り付け用!H21,"")))</f>
        <v>#N/A</v>
      </c>
      <c r="I20" s="19" t="e">
        <f>IF(貼り付け用!$A$6&lt;&gt;"",
IF(ROW(I19)+2&gt;=MATCH("*【合計】*", 貼り付け用!$A:$A, 0),"",
IF(貼り付け用!I20&lt;&gt;"",貼り付け用!I20,"")),
IF(ROW(I20)+2&gt;=MATCH("*【合計】*", 貼り付け用!$A:$A, 0),"",
IF(貼り付け用!I21&lt;&gt;"",貼り付け用!I21,"")))</f>
        <v>#N/A</v>
      </c>
      <c r="J20" s="19" t="e">
        <f>IF(貼り付け用!$A$6&lt;&gt;"",
IF(ROW(J19)+2&gt;=MATCH("*【合計】*", 貼り付け用!$A:$A, 0),"",
IF(貼り付け用!J20&lt;&gt;"",貼り付け用!J20,"")),
IF(ROW(J20)+2&gt;=MATCH("*【合計】*", 貼り付け用!$A:$A, 0),"",
IF(貼り付け用!J21&lt;&gt;"",貼り付け用!J21,"")))</f>
        <v>#N/A</v>
      </c>
      <c r="K20" s="19" t="e">
        <f>IF(貼り付け用!$A$6&lt;&gt;"",
IF(ROW(K19)+2&gt;=MATCH("*【合計】*", 貼り付け用!$A:$A, 0),"",
IF(貼り付け用!K20&lt;&gt;"",貼り付け用!K20,"")),
IF(ROW(K20)+2&gt;=MATCH("*【合計】*", 貼り付け用!$A:$A, 0),"",
IF(貼り付け用!K21&lt;&gt;"",貼り付け用!K21,"")))</f>
        <v>#N/A</v>
      </c>
      <c r="L20" s="19" t="e">
        <f>IF(貼り付け用!$A$6&lt;&gt;"",
IF(ROW(L19)+2&gt;=MATCH("*【合計】*", 貼り付け用!$A:$A, 0),"",
IF(L$3&lt;&gt;"",IF(貼り付け用!L20&lt;&gt;"",貼り付け用!L20,""),"")),
IF(ROW(L20)+2&gt;=MATCH("*【合計】*", 貼り付け用!$A:$A, 0),"",
IF(L$3&lt;&gt;"",IF(貼り付け用!L21&lt;&gt;"",貼り付け用!L21,""),"")))</f>
        <v>#N/A</v>
      </c>
      <c r="M20" s="19" t="e">
        <f>IF(貼り付け用!$A$6&lt;&gt;"",
IF(ROW(M19)+2&gt;=MATCH("*【合計】*", 貼り付け用!$A:$A, 0),"",
IF(M$3&lt;&gt;"",IF(貼り付け用!M20&lt;&gt;"",貼り付け用!M20,""),"")),
IF(ROW(M20)+2&gt;=MATCH("*【合計】*", 貼り付け用!$A:$A, 0),"",
IF(M$3&lt;&gt;"",IF(貼り付け用!M21&lt;&gt;"",貼り付け用!M21,""),"")))</f>
        <v>#N/A</v>
      </c>
      <c r="N20" s="19" t="e">
        <f>IF(貼り付け用!$A$6&lt;&gt;"",
IF(ROW(N19)+2&gt;=MATCH("*【合計】*", 貼り付け用!$A:$A, 0),"",
IF(N$3&lt;&gt;"",IF(貼り付け用!N20&lt;&gt;"",貼り付け用!N20,""),"")),
IF(ROW(N20)+2&gt;=MATCH("*【合計】*", 貼り付け用!$A:$A, 0),"",
IF(N$3&lt;&gt;"",IF(貼り付け用!N21&lt;&gt;"",貼り付け用!N21,""),"")))</f>
        <v>#N/A</v>
      </c>
      <c r="O20" s="19" t="e">
        <f>IF(貼り付け用!$A$6&lt;&gt;"",
IF(ROW(O19)+2&gt;=MATCH("*【合計】*", 貼り付け用!$A:$A, 0),"",
IF(O$3&lt;&gt;"",IF(貼り付け用!O20&lt;&gt;"",貼り付け用!O20,""),"")),
IF(ROW(O20)+2&gt;=MATCH("*【合計】*", 貼り付け用!$A:$A, 0),"",
IF(O$3&lt;&gt;"",IF(貼り付け用!O21&lt;&gt;"",貼り付け用!O21,""),"")))</f>
        <v>#N/A</v>
      </c>
      <c r="P20" s="19" t="e">
        <f>IF(貼り付け用!$A$6&lt;&gt;"",
IF(ROW(P19)+2&gt;=MATCH("*【合計】*", 貼り付け用!$A:$A, 0),"",
IF(P$3&lt;&gt;"",IF(貼り付け用!P20&lt;&gt;"",貼り付け用!P20,""),"")),
IF(ROW(P20)+2&gt;=MATCH("*【合計】*", 貼り付け用!$A:$A, 0),"",
IF(P$3&lt;&gt;"",IF(貼り付け用!P21&lt;&gt;"",貼り付け用!P21,""),"")))</f>
        <v>#N/A</v>
      </c>
      <c r="Q20" s="19" t="e">
        <f>IF(貼り付け用!$A$6&lt;&gt;"",
IF(ROW(Q19)+2&gt;=MATCH("*【合計】*", 貼り付け用!$A:$A, 0),"",
IF(Q$3&lt;&gt;"",IF(貼り付け用!Q20&lt;&gt;"",貼り付け用!Q20,""),"")),
IF(ROW(Q20)+2&gt;=MATCH("*【合計】*", 貼り付け用!$A:$A, 0),"",
IF(Q$3&lt;&gt;"",IF(貼り付け用!Q21&lt;&gt;"",貼り付け用!Q21,""),"")))</f>
        <v>#N/A</v>
      </c>
      <c r="R20" s="19" t="e">
        <f>IF(貼り付け用!$A$6&lt;&gt;"",
IF(ROW(R19)+2&gt;=MATCH("*【合計】*", 貼り付け用!$A:$A, 0),"",
IF(R$3&lt;&gt;"",IF(貼り付け用!R20&lt;&gt;"",貼り付け用!R20,""),"")),
IF(ROW(R20)+2&gt;=MATCH("*【合計】*", 貼り付け用!$A:$A, 0),"",
IF(R$3&lt;&gt;"",IF(貼り付け用!R21&lt;&gt;"",貼り付け用!R21,""),"")))</f>
        <v>#N/A</v>
      </c>
      <c r="S20" s="19" t="e">
        <f>IF(貼り付け用!$A$6&lt;&gt;"",
IF(ROW(S19)+2&gt;=MATCH("*【合計】*", 貼り付け用!$A:$A, 0),"",
IF(S$3&lt;&gt;"",IF(貼り付け用!S20&lt;&gt;"",貼り付け用!S20,""),"")),
IF(ROW(S20)+2&gt;=MATCH("*【合計】*", 貼り付け用!$A:$A, 0),"",
IF(S$3&lt;&gt;"",IF(貼り付け用!S21&lt;&gt;"",貼り付け用!S21,""),"")))</f>
        <v>#N/A</v>
      </c>
      <c r="T20" s="19" t="e">
        <f t="array" ref="T20">IF(貼り付け用!$A$6&lt;&gt;"",
IF(INDEX(貼り付け用!A:Z, ROW(T19)+1, MATCH("おやつ", 貼り付け用!$A$3:$Z$3, 0))&lt;&gt;0,
INDEX(貼り付け用!A:Z, ROW(T19)+1, MATCH("おやつ", 貼り付け用!$A$3:$Z$3, 0)),""),
IF(INDEX(貼り付け用!A:Z, ROW(T20)+1, MATCH("おやつ", 貼り付け用!$A$3:$Z$3, 0))&lt;&gt;0,
INDEX(貼り付け用!A:Z, ROW(T20)+1, MATCH("おやつ", 貼り付け用!$A$3:$Z$3, 0)),""))</f>
        <v>#N/A</v>
      </c>
      <c r="U20" s="16"/>
      <c r="V20" s="5" t="e">
        <f t="array" ref="V20">IF(貼り付け用!$A$6&lt;&gt;"",
IF(INDEX(貼り付け用!A:Z, ROW(T19)+1, MATCH("おやつ", 貼り付け用!$A$3:$Z$3, 0)+1)&lt;&gt;0,
INDEX(貼り付け用!A:Z, ROW(T19)+1, MATCH("おやつ", 貼り付け用!$A$3:$Z$3, 0)+1),""),
IF(INDEX(貼り付け用!A:Z, ROW(T20)+1, MATCH("おやつ", 貼り付け用!$A$3:$Z$3, 0)+1)&lt;&gt;0,
INDEX(貼り付け用!A:Z, ROW(T20)+1, MATCH("おやつ", 貼り付け用!$A$3:$Z$3, 0)+1),""))</f>
        <v>#N/A</v>
      </c>
      <c r="W20" s="7" t="e">
        <f t="array" ref="W20">IF(貼り付け用!$A$6&lt;&gt;"",
IF(INDEX(貼り付け用!A:Z, ROW(T19)+1, MATCH("おやつ", 貼り付け用!$A$3:$Z$3, 0)+2)&lt;&gt;0,
INDEX(貼り付け用!A:Z, ROW(T19)+1, MATCH("おやつ", 貼り付け用!$A$3:$Z$3, 0)+2),""),
IF(INDEX(貼り付け用!A:Z, ROW(T20)+1, MATCH("おやつ", 貼り付け用!$A$3:$Z$3, 0)+2)&lt;&gt;0,
INDEX(貼り付け用!A:Z, ROW(T20)+1, MATCH("おやつ", 貼り付け用!$A$3:$Z$3, 0)+2),""))</f>
        <v>#N/A</v>
      </c>
    </row>
    <row r="21" spans="1:23" x14ac:dyDescent="0.45">
      <c r="A21" s="10" t="e">
        <f>IF(貼り付け用!$A$6&lt;&gt;"",
IF(ROW(A20)+1&gt;=MATCH("*10000*", 貼り付け用!$A:$A, 0),"",
IF(貼り付け用!A21&lt;&gt;"",貼り付け用!A21,"")),
IF(ROW(A21)+1&gt;=MATCH("*10000*", 貼り付け用!$A:$A, 0),"",
IF(貼り付け用!A22&lt;&gt;"",貼り付け用!A22,"")))</f>
        <v>#N/A</v>
      </c>
      <c r="B21" s="3" t="e">
        <f>IF(貼り付け用!$A$6&lt;&gt;"",
IF(ROW(B20)+2&gt;=MATCH("*【合計】*", 貼り付け用!$A:$A, 0),"",
IF(貼り付け用!B21&lt;&gt;"",貼り付け用!B21,"")),
IF(ROW(B21)+2&gt;=MATCH("*【合計】*", 貼り付け用!$A:$A, 0),"",
IF(貼り付け用!B22&lt;&gt;"",貼り付け用!B22,"")))</f>
        <v>#N/A</v>
      </c>
      <c r="C21" s="3" t="e">
        <f>IF(貼り付け用!$A$6&lt;&gt;"",
IF(ROW(C20)+2&gt;=MATCH("*【合計】*", 貼り付け用!$A:$A, 0),"",
IF(貼り付け用!C21&lt;&gt;"",貼り付け用!C21,"")),
IF(ROW(C21)+2&gt;=MATCH("*【合計】*", 貼り付け用!$A:$A, 0),"",
IF(貼り付け用!C22&lt;&gt;"",貼り付け用!C22,"")))</f>
        <v>#N/A</v>
      </c>
      <c r="D21" s="3" t="e">
        <f>IF(貼り付け用!$A$6&lt;&gt;"",
IF(ROW(D20)+2&gt;=MATCH("*【合計】*", 貼り付け用!$A:$A, 0),"",
IF(貼り付け用!D21&lt;&gt;"",貼り付け用!D21,"")),
IF(ROW(D21)+2&gt;=MATCH("*【合計】*", 貼り付け用!$A:$A, 0),"",
IF(貼り付け用!D22&lt;&gt;"",貼り付け用!D22,"")))</f>
        <v>#N/A</v>
      </c>
      <c r="E21" s="3" t="e">
        <f>IF(貼り付け用!$A$6&lt;&gt;"",
IF(ROW(E20)+2&gt;=MATCH("*【合計】*", 貼り付け用!$A:$A, 0),"",
IF(貼り付け用!E21&lt;&gt;"",貼り付け用!E21,"")),
IF(ROW(E21)+2&gt;=MATCH("*【合計】*", 貼り付け用!$A:$A, 0),"",
IF(貼り付け用!E22&lt;&gt;"",貼り付け用!E22,"")))</f>
        <v>#N/A</v>
      </c>
      <c r="F21" s="3" t="e">
        <f>IF(貼り付け用!$A$6&lt;&gt;"",
IF(ROW(F20)+2&gt;=MATCH("*【合計】*", 貼り付け用!$A:$A, 0),"",
IF(貼り付け用!F21&lt;&gt;"",貼り付け用!F21,"")),
IF(ROW(F21)+2&gt;=MATCH("*【合計】*", 貼り付け用!$A:$A, 0),"",
IF(貼り付け用!F22&lt;&gt;"",貼り付け用!F22,"")))</f>
        <v>#N/A</v>
      </c>
      <c r="G21" s="3" t="e">
        <f>IF(貼り付け用!$A$6&lt;&gt;"",
IF(ROW(G20)+2&gt;=MATCH("*【合計】*", 貼り付け用!$A:$A, 0),"",
IF(貼り付け用!G21&lt;&gt;"",貼り付け用!G21,"")),
IF(ROW(G21)+2&gt;=MATCH("*【合計】*", 貼り付け用!$A:$A, 0),"",
IF(貼り付け用!G22&lt;&gt;"",貼り付け用!G22,"")))</f>
        <v>#N/A</v>
      </c>
      <c r="H21" s="3" t="e">
        <f>IF(貼り付け用!$A$6&lt;&gt;"",
IF(ROW(H20)+2&gt;=MATCH("*【合計】*", 貼り付け用!$A:$A, 0),"",
IF(貼り付け用!H21&lt;&gt;"",貼り付け用!H21,"")),
IF(ROW(H21)+2&gt;=MATCH("*【合計】*", 貼り付け用!$A:$A, 0),"",
IF(貼り付け用!H22&lt;&gt;"",貼り付け用!H22,"")))</f>
        <v>#N/A</v>
      </c>
      <c r="I21" s="3" t="e">
        <f>IF(貼り付け用!$A$6&lt;&gt;"",
IF(ROW(I20)+2&gt;=MATCH("*【合計】*", 貼り付け用!$A:$A, 0),"",
IF(貼り付け用!I21&lt;&gt;"",貼り付け用!I21,"")),
IF(ROW(I21)+2&gt;=MATCH("*【合計】*", 貼り付け用!$A:$A, 0),"",
IF(貼り付け用!I22&lt;&gt;"",貼り付け用!I22,"")))</f>
        <v>#N/A</v>
      </c>
      <c r="J21" s="3" t="e">
        <f>IF(貼り付け用!$A$6&lt;&gt;"",
IF(ROW(J20)+2&gt;=MATCH("*【合計】*", 貼り付け用!$A:$A, 0),"",
IF(貼り付け用!J21&lt;&gt;"",貼り付け用!J21,"")),
IF(ROW(J21)+2&gt;=MATCH("*【合計】*", 貼り付け用!$A:$A, 0),"",
IF(貼り付け用!J22&lt;&gt;"",貼り付け用!J22,"")))</f>
        <v>#N/A</v>
      </c>
      <c r="K21" s="3" t="e">
        <f>IF(貼り付け用!$A$6&lt;&gt;"",
IF(ROW(K20)+2&gt;=MATCH("*【合計】*", 貼り付け用!$A:$A, 0),"",
IF(貼り付け用!K21&lt;&gt;"",貼り付け用!K21,"")),
IF(ROW(K21)+2&gt;=MATCH("*【合計】*", 貼り付け用!$A:$A, 0),"",
IF(貼り付け用!K22&lt;&gt;"",貼り付け用!K22,"")))</f>
        <v>#N/A</v>
      </c>
      <c r="L21" s="3" t="e">
        <f>IF(貼り付け用!$A$6&lt;&gt;"",
IF(ROW(L20)+2&gt;=MATCH("*【合計】*", 貼り付け用!$A:$A, 0),"",
IF(L$3&lt;&gt;"",IF(貼り付け用!L21&lt;&gt;"",貼り付け用!L21,""),"")),
IF(ROW(L21)+2&gt;=MATCH("*【合計】*", 貼り付け用!$A:$A, 0),"",
IF(L$3&lt;&gt;"",IF(貼り付け用!L22&lt;&gt;"",貼り付け用!L22,""),"")))</f>
        <v>#N/A</v>
      </c>
      <c r="M21" s="3" t="e">
        <f>IF(貼り付け用!$A$6&lt;&gt;"",
IF(ROW(M20)+2&gt;=MATCH("*【合計】*", 貼り付け用!$A:$A, 0),"",
IF(M$3&lt;&gt;"",IF(貼り付け用!M21&lt;&gt;"",貼り付け用!M21,""),"")),
IF(ROW(M21)+2&gt;=MATCH("*【合計】*", 貼り付け用!$A:$A, 0),"",
IF(M$3&lt;&gt;"",IF(貼り付け用!M22&lt;&gt;"",貼り付け用!M22,""),"")))</f>
        <v>#N/A</v>
      </c>
      <c r="N21" s="3" t="e">
        <f>IF(貼り付け用!$A$6&lt;&gt;"",
IF(ROW(N20)+2&gt;=MATCH("*【合計】*", 貼り付け用!$A:$A, 0),"",
IF(N$3&lt;&gt;"",IF(貼り付け用!N21&lt;&gt;"",貼り付け用!N21,""),"")),
IF(ROW(N21)+2&gt;=MATCH("*【合計】*", 貼り付け用!$A:$A, 0),"",
IF(N$3&lt;&gt;"",IF(貼り付け用!N22&lt;&gt;"",貼り付け用!N22,""),"")))</f>
        <v>#N/A</v>
      </c>
      <c r="O21" s="3" t="e">
        <f>IF(貼り付け用!$A$6&lt;&gt;"",
IF(ROW(O20)+2&gt;=MATCH("*【合計】*", 貼り付け用!$A:$A, 0),"",
IF(O$3&lt;&gt;"",IF(貼り付け用!O21&lt;&gt;"",貼り付け用!O21,""),"")),
IF(ROW(O21)+2&gt;=MATCH("*【合計】*", 貼り付け用!$A:$A, 0),"",
IF(O$3&lt;&gt;"",IF(貼り付け用!O22&lt;&gt;"",貼り付け用!O22,""),"")))</f>
        <v>#N/A</v>
      </c>
      <c r="P21" s="3" t="e">
        <f>IF(貼り付け用!$A$6&lt;&gt;"",
IF(ROW(P20)+2&gt;=MATCH("*【合計】*", 貼り付け用!$A:$A, 0),"",
IF(P$3&lt;&gt;"",IF(貼り付け用!P21&lt;&gt;"",貼り付け用!P21,""),"")),
IF(ROW(P21)+2&gt;=MATCH("*【合計】*", 貼り付け用!$A:$A, 0),"",
IF(P$3&lt;&gt;"",IF(貼り付け用!P22&lt;&gt;"",貼り付け用!P22,""),"")))</f>
        <v>#N/A</v>
      </c>
      <c r="Q21" s="3" t="e">
        <f>IF(貼り付け用!$A$6&lt;&gt;"",
IF(ROW(Q20)+2&gt;=MATCH("*【合計】*", 貼り付け用!$A:$A, 0),"",
IF(Q$3&lt;&gt;"",IF(貼り付け用!Q21&lt;&gt;"",貼り付け用!Q21,""),"")),
IF(ROW(Q21)+2&gt;=MATCH("*【合計】*", 貼り付け用!$A:$A, 0),"",
IF(Q$3&lt;&gt;"",IF(貼り付け用!Q22&lt;&gt;"",貼り付け用!Q22,""),"")))</f>
        <v>#N/A</v>
      </c>
      <c r="R21" s="3" t="e">
        <f>IF(貼り付け用!$A$6&lt;&gt;"",
IF(ROW(R20)+2&gt;=MATCH("*【合計】*", 貼り付け用!$A:$A, 0),"",
IF(R$3&lt;&gt;"",IF(貼り付け用!R21&lt;&gt;"",貼り付け用!R21,""),"")),
IF(ROW(R21)+2&gt;=MATCH("*【合計】*", 貼り付け用!$A:$A, 0),"",
IF(R$3&lt;&gt;"",IF(貼り付け用!R22&lt;&gt;"",貼り付け用!R22,""),"")))</f>
        <v>#N/A</v>
      </c>
      <c r="S21" s="3" t="e">
        <f>IF(貼り付け用!$A$6&lt;&gt;"",
IF(ROW(S20)+2&gt;=MATCH("*【合計】*", 貼り付け用!$A:$A, 0),"",
IF(S$3&lt;&gt;"",IF(貼り付け用!S21&lt;&gt;"",貼り付け用!S21,""),"")),
IF(ROW(S21)+2&gt;=MATCH("*【合計】*", 貼り付け用!$A:$A, 0),"",
IF(S$3&lt;&gt;"",IF(貼り付け用!S22&lt;&gt;"",貼り付け用!S22,""),"")))</f>
        <v>#N/A</v>
      </c>
      <c r="T21" s="2" t="e">
        <f t="array" ref="T21">IF(貼り付け用!$A$6&lt;&gt;"",
IF(INDEX(貼り付け用!A:Z, ROW(T20)+1, MATCH("おやつ", 貼り付け用!$A$3:$Z$3, 0))&lt;&gt;0,
INDEX(貼り付け用!A:Z, ROW(T20)+1, MATCH("おやつ", 貼り付け用!$A$3:$Z$3, 0)),""),
IF(INDEX(貼り付け用!A:Z, ROW(T21)+1, MATCH("おやつ", 貼り付け用!$A$3:$Z$3, 0))&lt;&gt;0,
INDEX(貼り付け用!A:Z, ROW(T21)+1, MATCH("おやつ", 貼り付け用!$A$3:$Z$3, 0)),""))</f>
        <v>#N/A</v>
      </c>
      <c r="U21" s="52"/>
      <c r="V21" s="8" t="e">
        <f t="array" ref="V21">IF(貼り付け用!$A$6&lt;&gt;"",
IF(INDEX(貼り付け用!A:Z, ROW(T20)+1, MATCH("おやつ", 貼り付け用!$A$3:$Z$3, 0)+1)&lt;&gt;0,
INDEX(貼り付け用!A:Z, ROW(T20)+1, MATCH("おやつ", 貼り付け用!$A$3:$Z$3, 0)+1),""),
IF(INDEX(貼り付け用!A:Z, ROW(T21)+1, MATCH("おやつ", 貼り付け用!$A$3:$Z$3, 0)+1)&lt;&gt;0,
INDEX(貼り付け用!A:Z, ROW(T21)+1, MATCH("おやつ", 貼り付け用!$A$3:$Z$3, 0)+1),""))</f>
        <v>#N/A</v>
      </c>
      <c r="W21" s="9" t="e">
        <f t="array" ref="W21">IF(貼り付け用!$A$6&lt;&gt;"",
IF(INDEX(貼り付け用!A:Z, ROW(T20)+1, MATCH("おやつ", 貼り付け用!$A$3:$Z$3, 0)+2)&lt;&gt;0,
INDEX(貼り付け用!A:Z, ROW(T20)+1, MATCH("おやつ", 貼り付け用!$A$3:$Z$3, 0)+2),""),
IF(INDEX(貼り付け用!A:Z, ROW(T21)+1, MATCH("おやつ", 貼り付け用!$A$3:$Z$3, 0)+2)&lt;&gt;0,
INDEX(貼り付け用!A:Z, ROW(T21)+1, MATCH("おやつ", 貼り付け用!$A$3:$Z$3, 0)+2),""))</f>
        <v>#N/A</v>
      </c>
    </row>
    <row r="22" spans="1:23" x14ac:dyDescent="0.45">
      <c r="A22" s="4" t="e">
        <f>IF(貼り付け用!$A$6&lt;&gt;"",
IF(ROW(A21)+1&gt;=MATCH("*10000*", 貼り付け用!$A:$A, 0),
IF(COUNTIF(A20,"*10000*"),"10001",
IF(COUNTIF(A20,"*10001*"),"10002",
IF(COUNTIF(A20,"*10002*"),"",
IF(COUNTIF(A20,""),"","10000")))),
IF(貼り付け用!A22&lt;&gt;"",貼り付け用!A22,"")),
IF(ROW(A22)+1&gt;=MATCH("*10000*", 貼り付け用!$A:$A, 0),
IF(COUNTIF(A20,"*10000*"),"10001",
IF(COUNTIF(A20,"*10001*"),"10002",
IF(COUNTIF(A20,"*10002*"),"",
IF(COUNTIF(A20,""),"","10000")))),
IF(貼り付け用!A23&lt;&gt;"",貼り付け用!A23,"")))</f>
        <v>#N/A</v>
      </c>
      <c r="B22" s="19" t="e">
        <f>IF(貼り付け用!$A$6&lt;&gt;"",
IF(ROW(B21)+2&gt;=MATCH("*【合計】*", 貼り付け用!$A:$A, 0),"",
IF(貼り付け用!B22&lt;&gt;"",貼り付け用!B22,"")),
IF(ROW(B22)+2&gt;=MATCH("*【合計】*", 貼り付け用!$A:$A, 0),"",
IF(貼り付け用!B23&lt;&gt;"",貼り付け用!B23,"")))</f>
        <v>#N/A</v>
      </c>
      <c r="C22" s="19" t="e">
        <f>IF(貼り付け用!$A$6&lt;&gt;"",
IF(ROW(C21)+2&gt;=MATCH("*【合計】*", 貼り付け用!$A:$A, 0),"",
IF(貼り付け用!C22&lt;&gt;"",貼り付け用!C22,"")),
IF(ROW(C22)+2&gt;=MATCH("*【合計】*", 貼り付け用!$A:$A, 0),"",
IF(貼り付け用!C23&lt;&gt;"",貼り付け用!C23,"")))</f>
        <v>#N/A</v>
      </c>
      <c r="D22" s="19" t="e">
        <f>IF(貼り付け用!$A$6&lt;&gt;"",
IF(ROW(D21)+2&gt;=MATCH("*【合計】*", 貼り付け用!$A:$A, 0),"",
IF(貼り付け用!D22&lt;&gt;"",貼り付け用!D22,"")),
IF(ROW(D22)+2&gt;=MATCH("*【合計】*", 貼り付け用!$A:$A, 0),"",
IF(貼り付け用!D23&lt;&gt;"",貼り付け用!D23,"")))</f>
        <v>#N/A</v>
      </c>
      <c r="E22" s="19" t="e">
        <f>IF(貼り付け用!$A$6&lt;&gt;"",
IF(ROW(E21)+2&gt;=MATCH("*【合計】*", 貼り付け用!$A:$A, 0),"",
IF(貼り付け用!E22&lt;&gt;"",貼り付け用!E22,"")),
IF(ROW(E22)+2&gt;=MATCH("*【合計】*", 貼り付け用!$A:$A, 0),"",
IF(貼り付け用!E23&lt;&gt;"",貼り付け用!E23,"")))</f>
        <v>#N/A</v>
      </c>
      <c r="F22" s="19" t="e">
        <f>IF(貼り付け用!$A$6&lt;&gt;"",
IF(ROW(F21)+2&gt;=MATCH("*【合計】*", 貼り付け用!$A:$A, 0),"",
IF(貼り付け用!F22&lt;&gt;"",貼り付け用!F22,"")),
IF(ROW(F22)+2&gt;=MATCH("*【合計】*", 貼り付け用!$A:$A, 0),"",
IF(貼り付け用!F23&lt;&gt;"",貼り付け用!F23,"")))</f>
        <v>#N/A</v>
      </c>
      <c r="G22" s="19" t="e">
        <f>IF(貼り付け用!$A$6&lt;&gt;"",
IF(ROW(G21)+2&gt;=MATCH("*【合計】*", 貼り付け用!$A:$A, 0),"",
IF(貼り付け用!G22&lt;&gt;"",貼り付け用!G22,"")),
IF(ROW(G22)+2&gt;=MATCH("*【合計】*", 貼り付け用!$A:$A, 0),"",
IF(貼り付け用!G23&lt;&gt;"",貼り付け用!G23,"")))</f>
        <v>#N/A</v>
      </c>
      <c r="H22" s="19" t="e">
        <f>IF(貼り付け用!$A$6&lt;&gt;"",
IF(ROW(H21)+2&gt;=MATCH("*【合計】*", 貼り付け用!$A:$A, 0),"",
IF(貼り付け用!H22&lt;&gt;"",貼り付け用!H22,"")),
IF(ROW(H22)+2&gt;=MATCH("*【合計】*", 貼り付け用!$A:$A, 0),"",
IF(貼り付け用!H23&lt;&gt;"",貼り付け用!H23,"")))</f>
        <v>#N/A</v>
      </c>
      <c r="I22" s="19" t="e">
        <f>IF(貼り付け用!$A$6&lt;&gt;"",
IF(ROW(I21)+2&gt;=MATCH("*【合計】*", 貼り付け用!$A:$A, 0),"",
IF(貼り付け用!I22&lt;&gt;"",貼り付け用!I22,"")),
IF(ROW(I22)+2&gt;=MATCH("*【合計】*", 貼り付け用!$A:$A, 0),"",
IF(貼り付け用!I23&lt;&gt;"",貼り付け用!I23,"")))</f>
        <v>#N/A</v>
      </c>
      <c r="J22" s="19" t="e">
        <f>IF(貼り付け用!$A$6&lt;&gt;"",
IF(ROW(J21)+2&gt;=MATCH("*【合計】*", 貼り付け用!$A:$A, 0),"",
IF(貼り付け用!J22&lt;&gt;"",貼り付け用!J22,"")),
IF(ROW(J22)+2&gt;=MATCH("*【合計】*", 貼り付け用!$A:$A, 0),"",
IF(貼り付け用!J23&lt;&gt;"",貼り付け用!J23,"")))</f>
        <v>#N/A</v>
      </c>
      <c r="K22" s="19" t="e">
        <f>IF(貼り付け用!$A$6&lt;&gt;"",
IF(ROW(K21)+2&gt;=MATCH("*【合計】*", 貼り付け用!$A:$A, 0),"",
IF(貼り付け用!K22&lt;&gt;"",貼り付け用!K22,"")),
IF(ROW(K22)+2&gt;=MATCH("*【合計】*", 貼り付け用!$A:$A, 0),"",
IF(貼り付け用!K23&lt;&gt;"",貼り付け用!K23,"")))</f>
        <v>#N/A</v>
      </c>
      <c r="L22" s="19" t="e">
        <f>IF(貼り付け用!$A$6&lt;&gt;"",
IF(ROW(L21)+2&gt;=MATCH("*【合計】*", 貼り付け用!$A:$A, 0),"",
IF(L$3&lt;&gt;"",IF(貼り付け用!L22&lt;&gt;"",貼り付け用!L22,""),"")),
IF(ROW(L22)+2&gt;=MATCH("*【合計】*", 貼り付け用!$A:$A, 0),"",
IF(L$3&lt;&gt;"",IF(貼り付け用!L23&lt;&gt;"",貼り付け用!L23,""),"")))</f>
        <v>#N/A</v>
      </c>
      <c r="M22" s="19" t="e">
        <f>IF(貼り付け用!$A$6&lt;&gt;"",
IF(ROW(M21)+2&gt;=MATCH("*【合計】*", 貼り付け用!$A:$A, 0),"",
IF(M$3&lt;&gt;"",IF(貼り付け用!M22&lt;&gt;"",貼り付け用!M22,""),"")),
IF(ROW(M22)+2&gt;=MATCH("*【合計】*", 貼り付け用!$A:$A, 0),"",
IF(M$3&lt;&gt;"",IF(貼り付け用!M23&lt;&gt;"",貼り付け用!M23,""),"")))</f>
        <v>#N/A</v>
      </c>
      <c r="N22" s="19" t="e">
        <f>IF(貼り付け用!$A$6&lt;&gt;"",
IF(ROW(N21)+2&gt;=MATCH("*【合計】*", 貼り付け用!$A:$A, 0),"",
IF(N$3&lt;&gt;"",IF(貼り付け用!N22&lt;&gt;"",貼り付け用!N22,""),"")),
IF(ROW(N22)+2&gt;=MATCH("*【合計】*", 貼り付け用!$A:$A, 0),"",
IF(N$3&lt;&gt;"",IF(貼り付け用!N23&lt;&gt;"",貼り付け用!N23,""),"")))</f>
        <v>#N/A</v>
      </c>
      <c r="O22" s="19" t="e">
        <f>IF(貼り付け用!$A$6&lt;&gt;"",
IF(ROW(O21)+2&gt;=MATCH("*【合計】*", 貼り付け用!$A:$A, 0),"",
IF(O$3&lt;&gt;"",IF(貼り付け用!O22&lt;&gt;"",貼り付け用!O22,""),"")),
IF(ROW(O22)+2&gt;=MATCH("*【合計】*", 貼り付け用!$A:$A, 0),"",
IF(O$3&lt;&gt;"",IF(貼り付け用!O23&lt;&gt;"",貼り付け用!O23,""),"")))</f>
        <v>#N/A</v>
      </c>
      <c r="P22" s="19" t="e">
        <f>IF(貼り付け用!$A$6&lt;&gt;"",
IF(ROW(P21)+2&gt;=MATCH("*【合計】*", 貼り付け用!$A:$A, 0),"",
IF(P$3&lt;&gt;"",IF(貼り付け用!P22&lt;&gt;"",貼り付け用!P22,""),"")),
IF(ROW(P22)+2&gt;=MATCH("*【合計】*", 貼り付け用!$A:$A, 0),"",
IF(P$3&lt;&gt;"",IF(貼り付け用!P23&lt;&gt;"",貼り付け用!P23,""),"")))</f>
        <v>#N/A</v>
      </c>
      <c r="Q22" s="19" t="e">
        <f>IF(貼り付け用!$A$6&lt;&gt;"",
IF(ROW(Q21)+2&gt;=MATCH("*【合計】*", 貼り付け用!$A:$A, 0),"",
IF(Q$3&lt;&gt;"",IF(貼り付け用!Q22&lt;&gt;"",貼り付け用!Q22,""),"")),
IF(ROW(Q22)+2&gt;=MATCH("*【合計】*", 貼り付け用!$A:$A, 0),"",
IF(Q$3&lt;&gt;"",IF(貼り付け用!Q23&lt;&gt;"",貼り付け用!Q23,""),"")))</f>
        <v>#N/A</v>
      </c>
      <c r="R22" s="19" t="e">
        <f>IF(貼り付け用!$A$6&lt;&gt;"",
IF(ROW(R21)+2&gt;=MATCH("*【合計】*", 貼り付け用!$A:$A, 0),"",
IF(R$3&lt;&gt;"",IF(貼り付け用!R22&lt;&gt;"",貼り付け用!R22,""),"")),
IF(ROW(R22)+2&gt;=MATCH("*【合計】*", 貼り付け用!$A:$A, 0),"",
IF(R$3&lt;&gt;"",IF(貼り付け用!R23&lt;&gt;"",貼り付け用!R23,""),"")))</f>
        <v>#N/A</v>
      </c>
      <c r="S22" s="19" t="e">
        <f>IF(貼り付け用!$A$6&lt;&gt;"",
IF(ROW(S21)+2&gt;=MATCH("*【合計】*", 貼り付け用!$A:$A, 0),"",
IF(S$3&lt;&gt;"",IF(貼り付け用!S22&lt;&gt;"",貼り付け用!S22,""),"")),
IF(ROW(S22)+2&gt;=MATCH("*【合計】*", 貼り付け用!$A:$A, 0),"",
IF(S$3&lt;&gt;"",IF(貼り付け用!S23&lt;&gt;"",貼り付け用!S23,""),"")))</f>
        <v>#N/A</v>
      </c>
      <c r="T22" s="19" t="e">
        <f t="array" ref="T22">IF(貼り付け用!$A$6&lt;&gt;"",
IF(INDEX(貼り付け用!A:Z, ROW(T21)+1, MATCH("おやつ", 貼り付け用!$A$3:$Z$3, 0))&lt;&gt;0,
INDEX(貼り付け用!A:Z, ROW(T21)+1, MATCH("おやつ", 貼り付け用!$A$3:$Z$3, 0)),""),
IF(INDEX(貼り付け用!A:Z, ROW(T22)+1, MATCH("おやつ", 貼り付け用!$A$3:$Z$3, 0))&lt;&gt;0,
INDEX(貼り付け用!A:Z, ROW(T22)+1, MATCH("おやつ", 貼り付け用!$A$3:$Z$3, 0)),""))</f>
        <v>#N/A</v>
      </c>
      <c r="U22" s="16"/>
      <c r="V22" s="5" t="e">
        <f t="array" ref="V22">IF(貼り付け用!$A$6&lt;&gt;"",
IF(INDEX(貼り付け用!A:Z, ROW(T21)+1, MATCH("おやつ", 貼り付け用!$A$3:$Z$3, 0)+1)&lt;&gt;0,
INDEX(貼り付け用!A:Z, ROW(T21)+1, MATCH("おやつ", 貼り付け用!$A$3:$Z$3, 0)+1),""),
IF(INDEX(貼り付け用!A:Z, ROW(T22)+1, MATCH("おやつ", 貼り付け用!$A$3:$Z$3, 0)+1)&lt;&gt;0,
INDEX(貼り付け用!A:Z, ROW(T22)+1, MATCH("おやつ", 貼り付け用!$A$3:$Z$3, 0)+1),""))</f>
        <v>#N/A</v>
      </c>
      <c r="W22" s="7" t="e">
        <f t="array" ref="W22">IF(貼り付け用!$A$6&lt;&gt;"",
IF(INDEX(貼り付け用!A:Z, ROW(T21)+1, MATCH("おやつ", 貼り付け用!$A$3:$Z$3, 0)+2)&lt;&gt;0,
INDEX(貼り付け用!A:Z, ROW(T21)+1, MATCH("おやつ", 貼り付け用!$A$3:$Z$3, 0)+2),""),
IF(INDEX(貼り付け用!A:Z, ROW(T22)+1, MATCH("おやつ", 貼り付け用!$A$3:$Z$3, 0)+2)&lt;&gt;0,
INDEX(貼り付け用!A:Z, ROW(T22)+1, MATCH("おやつ", 貼り付け用!$A$3:$Z$3, 0)+2),""))</f>
        <v>#N/A</v>
      </c>
    </row>
    <row r="23" spans="1:23" x14ac:dyDescent="0.45">
      <c r="A23" s="10" t="e">
        <f>IF(貼り付け用!$A$6&lt;&gt;"",
IF(ROW(A22)+1&gt;=MATCH("*10000*", 貼り付け用!$A:$A, 0),"",
IF(貼り付け用!A23&lt;&gt;"",貼り付け用!A23,"")),
IF(ROW(A23)+1&gt;=MATCH("*10000*", 貼り付け用!$A:$A, 0),"",
IF(貼り付け用!A24&lt;&gt;"",貼り付け用!A24,"")))</f>
        <v>#N/A</v>
      </c>
      <c r="B23" s="3" t="e">
        <f>IF(貼り付け用!$A$6&lt;&gt;"",
IF(ROW(B22)+2&gt;=MATCH("*【合計】*", 貼り付け用!$A:$A, 0),"",
IF(貼り付け用!B23&lt;&gt;"",貼り付け用!B23,"")),
IF(ROW(B23)+2&gt;=MATCH("*【合計】*", 貼り付け用!$A:$A, 0),"",
IF(貼り付け用!B24&lt;&gt;"",貼り付け用!B24,"")))</f>
        <v>#N/A</v>
      </c>
      <c r="C23" s="3" t="e">
        <f>IF(貼り付け用!$A$6&lt;&gt;"",
IF(ROW(C22)+2&gt;=MATCH("*【合計】*", 貼り付け用!$A:$A, 0),"",
IF(貼り付け用!C23&lt;&gt;"",貼り付け用!C23,"")),
IF(ROW(C23)+2&gt;=MATCH("*【合計】*", 貼り付け用!$A:$A, 0),"",
IF(貼り付け用!C24&lt;&gt;"",貼り付け用!C24,"")))</f>
        <v>#N/A</v>
      </c>
      <c r="D23" s="3" t="e">
        <f>IF(貼り付け用!$A$6&lt;&gt;"",
IF(ROW(D22)+2&gt;=MATCH("*【合計】*", 貼り付け用!$A:$A, 0),"",
IF(貼り付け用!D23&lt;&gt;"",貼り付け用!D23,"")),
IF(ROW(D23)+2&gt;=MATCH("*【合計】*", 貼り付け用!$A:$A, 0),"",
IF(貼り付け用!D24&lt;&gt;"",貼り付け用!D24,"")))</f>
        <v>#N/A</v>
      </c>
      <c r="E23" s="3" t="e">
        <f>IF(貼り付け用!$A$6&lt;&gt;"",
IF(ROW(E22)+2&gt;=MATCH("*【合計】*", 貼り付け用!$A:$A, 0),"",
IF(貼り付け用!E23&lt;&gt;"",貼り付け用!E23,"")),
IF(ROW(E23)+2&gt;=MATCH("*【合計】*", 貼り付け用!$A:$A, 0),"",
IF(貼り付け用!E24&lt;&gt;"",貼り付け用!E24,"")))</f>
        <v>#N/A</v>
      </c>
      <c r="F23" s="3" t="e">
        <f>IF(貼り付け用!$A$6&lt;&gt;"",
IF(ROW(F22)+2&gt;=MATCH("*【合計】*", 貼り付け用!$A:$A, 0),"",
IF(貼り付け用!F23&lt;&gt;"",貼り付け用!F23,"")),
IF(ROW(F23)+2&gt;=MATCH("*【合計】*", 貼り付け用!$A:$A, 0),"",
IF(貼り付け用!F24&lt;&gt;"",貼り付け用!F24,"")))</f>
        <v>#N/A</v>
      </c>
      <c r="G23" s="3" t="e">
        <f>IF(貼り付け用!$A$6&lt;&gt;"",
IF(ROW(G22)+2&gt;=MATCH("*【合計】*", 貼り付け用!$A:$A, 0),"",
IF(貼り付け用!G23&lt;&gt;"",貼り付け用!G23,"")),
IF(ROW(G23)+2&gt;=MATCH("*【合計】*", 貼り付け用!$A:$A, 0),"",
IF(貼り付け用!G24&lt;&gt;"",貼り付け用!G24,"")))</f>
        <v>#N/A</v>
      </c>
      <c r="H23" s="3" t="e">
        <f>IF(貼り付け用!$A$6&lt;&gt;"",
IF(ROW(H22)+2&gt;=MATCH("*【合計】*", 貼り付け用!$A:$A, 0),"",
IF(貼り付け用!H23&lt;&gt;"",貼り付け用!H23,"")),
IF(ROW(H23)+2&gt;=MATCH("*【合計】*", 貼り付け用!$A:$A, 0),"",
IF(貼り付け用!H24&lt;&gt;"",貼り付け用!H24,"")))</f>
        <v>#N/A</v>
      </c>
      <c r="I23" s="3" t="e">
        <f>IF(貼り付け用!$A$6&lt;&gt;"",
IF(ROW(I22)+2&gt;=MATCH("*【合計】*", 貼り付け用!$A:$A, 0),"",
IF(貼り付け用!I23&lt;&gt;"",貼り付け用!I23,"")),
IF(ROW(I23)+2&gt;=MATCH("*【合計】*", 貼り付け用!$A:$A, 0),"",
IF(貼り付け用!I24&lt;&gt;"",貼り付け用!I24,"")))</f>
        <v>#N/A</v>
      </c>
      <c r="J23" s="3" t="e">
        <f>IF(貼り付け用!$A$6&lt;&gt;"",
IF(ROW(J22)+2&gt;=MATCH("*【合計】*", 貼り付け用!$A:$A, 0),"",
IF(貼り付け用!J23&lt;&gt;"",貼り付け用!J23,"")),
IF(ROW(J23)+2&gt;=MATCH("*【合計】*", 貼り付け用!$A:$A, 0),"",
IF(貼り付け用!J24&lt;&gt;"",貼り付け用!J24,"")))</f>
        <v>#N/A</v>
      </c>
      <c r="K23" s="3" t="e">
        <f>IF(貼り付け用!$A$6&lt;&gt;"",
IF(ROW(K22)+2&gt;=MATCH("*【合計】*", 貼り付け用!$A:$A, 0),"",
IF(貼り付け用!K23&lt;&gt;"",貼り付け用!K23,"")),
IF(ROW(K23)+2&gt;=MATCH("*【合計】*", 貼り付け用!$A:$A, 0),"",
IF(貼り付け用!K24&lt;&gt;"",貼り付け用!K24,"")))</f>
        <v>#N/A</v>
      </c>
      <c r="L23" s="3" t="e">
        <f>IF(貼り付け用!$A$6&lt;&gt;"",
IF(ROW(L22)+2&gt;=MATCH("*【合計】*", 貼り付け用!$A:$A, 0),"",
IF(L$3&lt;&gt;"",IF(貼り付け用!L23&lt;&gt;"",貼り付け用!L23,""),"")),
IF(ROW(L23)+2&gt;=MATCH("*【合計】*", 貼り付け用!$A:$A, 0),"",
IF(L$3&lt;&gt;"",IF(貼り付け用!L24&lt;&gt;"",貼り付け用!L24,""),"")))</f>
        <v>#N/A</v>
      </c>
      <c r="M23" s="3" t="e">
        <f>IF(貼り付け用!$A$6&lt;&gt;"",
IF(ROW(M22)+2&gt;=MATCH("*【合計】*", 貼り付け用!$A:$A, 0),"",
IF(M$3&lt;&gt;"",IF(貼り付け用!M23&lt;&gt;"",貼り付け用!M23,""),"")),
IF(ROW(M23)+2&gt;=MATCH("*【合計】*", 貼り付け用!$A:$A, 0),"",
IF(M$3&lt;&gt;"",IF(貼り付け用!M24&lt;&gt;"",貼り付け用!M24,""),"")))</f>
        <v>#N/A</v>
      </c>
      <c r="N23" s="3" t="e">
        <f>IF(貼り付け用!$A$6&lt;&gt;"",
IF(ROW(N22)+2&gt;=MATCH("*【合計】*", 貼り付け用!$A:$A, 0),"",
IF(N$3&lt;&gt;"",IF(貼り付け用!N23&lt;&gt;"",貼り付け用!N23,""),"")),
IF(ROW(N23)+2&gt;=MATCH("*【合計】*", 貼り付け用!$A:$A, 0),"",
IF(N$3&lt;&gt;"",IF(貼り付け用!N24&lt;&gt;"",貼り付け用!N24,""),"")))</f>
        <v>#N/A</v>
      </c>
      <c r="O23" s="3" t="e">
        <f>IF(貼り付け用!$A$6&lt;&gt;"",
IF(ROW(O22)+2&gt;=MATCH("*【合計】*", 貼り付け用!$A:$A, 0),"",
IF(O$3&lt;&gt;"",IF(貼り付け用!O23&lt;&gt;"",貼り付け用!O23,""),"")),
IF(ROW(O23)+2&gt;=MATCH("*【合計】*", 貼り付け用!$A:$A, 0),"",
IF(O$3&lt;&gt;"",IF(貼り付け用!O24&lt;&gt;"",貼り付け用!O24,""),"")))</f>
        <v>#N/A</v>
      </c>
      <c r="P23" s="3" t="e">
        <f>IF(貼り付け用!$A$6&lt;&gt;"",
IF(ROW(P22)+2&gt;=MATCH("*【合計】*", 貼り付け用!$A:$A, 0),"",
IF(P$3&lt;&gt;"",IF(貼り付け用!P23&lt;&gt;"",貼り付け用!P23,""),"")),
IF(ROW(P23)+2&gt;=MATCH("*【合計】*", 貼り付け用!$A:$A, 0),"",
IF(P$3&lt;&gt;"",IF(貼り付け用!P24&lt;&gt;"",貼り付け用!P24,""),"")))</f>
        <v>#N/A</v>
      </c>
      <c r="Q23" s="3" t="e">
        <f>IF(貼り付け用!$A$6&lt;&gt;"",
IF(ROW(Q22)+2&gt;=MATCH("*【合計】*", 貼り付け用!$A:$A, 0),"",
IF(Q$3&lt;&gt;"",IF(貼り付け用!Q23&lt;&gt;"",貼り付け用!Q23,""),"")),
IF(ROW(Q23)+2&gt;=MATCH("*【合計】*", 貼り付け用!$A:$A, 0),"",
IF(Q$3&lt;&gt;"",IF(貼り付け用!Q24&lt;&gt;"",貼り付け用!Q24,""),"")))</f>
        <v>#N/A</v>
      </c>
      <c r="R23" s="3" t="e">
        <f>IF(貼り付け用!$A$6&lt;&gt;"",
IF(ROW(R22)+2&gt;=MATCH("*【合計】*", 貼り付け用!$A:$A, 0),"",
IF(R$3&lt;&gt;"",IF(貼り付け用!R23&lt;&gt;"",貼り付け用!R23,""),"")),
IF(ROW(R23)+2&gt;=MATCH("*【合計】*", 貼り付け用!$A:$A, 0),"",
IF(R$3&lt;&gt;"",IF(貼り付け用!R24&lt;&gt;"",貼り付け用!R24,""),"")))</f>
        <v>#N/A</v>
      </c>
      <c r="S23" s="3" t="e">
        <f>IF(貼り付け用!$A$6&lt;&gt;"",
IF(ROW(S22)+2&gt;=MATCH("*【合計】*", 貼り付け用!$A:$A, 0),"",
IF(S$3&lt;&gt;"",IF(貼り付け用!S23&lt;&gt;"",貼り付け用!S23,""),"")),
IF(ROW(S23)+2&gt;=MATCH("*【合計】*", 貼り付け用!$A:$A, 0),"",
IF(S$3&lt;&gt;"",IF(貼り付け用!S24&lt;&gt;"",貼り付け用!S24,""),"")))</f>
        <v>#N/A</v>
      </c>
      <c r="T23" s="2" t="e">
        <f t="array" ref="T23">IF(貼り付け用!$A$6&lt;&gt;"",
IF(INDEX(貼り付け用!A:Z, ROW(T22)+1, MATCH("おやつ", 貼り付け用!$A$3:$Z$3, 0))&lt;&gt;0,
INDEX(貼り付け用!A:Z, ROW(T22)+1, MATCH("おやつ", 貼り付け用!$A$3:$Z$3, 0)),""),
IF(INDEX(貼り付け用!A:Z, ROW(T23)+1, MATCH("おやつ", 貼り付け用!$A$3:$Z$3, 0))&lt;&gt;0,
INDEX(貼り付け用!A:Z, ROW(T23)+1, MATCH("おやつ", 貼り付け用!$A$3:$Z$3, 0)),""))</f>
        <v>#N/A</v>
      </c>
      <c r="U23" s="52"/>
      <c r="V23" s="8" t="e">
        <f t="array" ref="V23">IF(貼り付け用!$A$6&lt;&gt;"",
IF(INDEX(貼り付け用!A:Z, ROW(T22)+1, MATCH("おやつ", 貼り付け用!$A$3:$Z$3, 0)+1)&lt;&gt;0,
INDEX(貼り付け用!A:Z, ROW(T22)+1, MATCH("おやつ", 貼り付け用!$A$3:$Z$3, 0)+1),""),
IF(INDEX(貼り付け用!A:Z, ROW(T23)+1, MATCH("おやつ", 貼り付け用!$A$3:$Z$3, 0)+1)&lt;&gt;0,
INDEX(貼り付け用!A:Z, ROW(T23)+1, MATCH("おやつ", 貼り付け用!$A$3:$Z$3, 0)+1),""))</f>
        <v>#N/A</v>
      </c>
      <c r="W23" s="9" t="e">
        <f t="array" ref="W23">IF(貼り付け用!$A$6&lt;&gt;"",
IF(INDEX(貼り付け用!A:Z, ROW(T22)+1, MATCH("おやつ", 貼り付け用!$A$3:$Z$3, 0)+2)&lt;&gt;0,
INDEX(貼り付け用!A:Z, ROW(T22)+1, MATCH("おやつ", 貼り付け用!$A$3:$Z$3, 0)+2),""),
IF(INDEX(貼り付け用!A:Z, ROW(T23)+1, MATCH("おやつ", 貼り付け用!$A$3:$Z$3, 0)+2)&lt;&gt;0,
INDEX(貼り付け用!A:Z, ROW(T23)+1, MATCH("おやつ", 貼り付け用!$A$3:$Z$3, 0)+2),""))</f>
        <v>#N/A</v>
      </c>
    </row>
    <row r="24" spans="1:23" x14ac:dyDescent="0.45">
      <c r="A24" s="4" t="e">
        <f>IF(貼り付け用!$A$6&lt;&gt;"",
IF(ROW(A23)+1&gt;=MATCH("*10000*", 貼り付け用!$A:$A, 0),
IF(COUNTIF(A22,"*10000*"),"10001",
IF(COUNTIF(A22,"*10001*"),"10002",
IF(COUNTIF(A22,"*10002*"),"",
IF(COUNTIF(A22,""),"","10000")))),
IF(貼り付け用!A24&lt;&gt;"",貼り付け用!A24,"")),
IF(ROW(A24)+1&gt;=MATCH("*10000*", 貼り付け用!$A:$A, 0),
IF(COUNTIF(A22,"*10000*"),"10001",
IF(COUNTIF(A22,"*10001*"),"10002",
IF(COUNTIF(A22,"*10002*"),"",
IF(COUNTIF(A22,""),"","10000")))),
IF(貼り付け用!A25&lt;&gt;"",貼り付け用!A25,"")))</f>
        <v>#N/A</v>
      </c>
      <c r="B24" s="19" t="e">
        <f>IF(貼り付け用!$A$6&lt;&gt;"",
IF(ROW(B23)+2&gt;=MATCH("*【合計】*", 貼り付け用!$A:$A, 0),"",
IF(貼り付け用!B24&lt;&gt;"",貼り付け用!B24,"")),
IF(ROW(B24)+2&gt;=MATCH("*【合計】*", 貼り付け用!$A:$A, 0),"",
IF(貼り付け用!B25&lt;&gt;"",貼り付け用!B25,"")))</f>
        <v>#N/A</v>
      </c>
      <c r="C24" s="19" t="e">
        <f>IF(貼り付け用!$A$6&lt;&gt;"",
IF(ROW(C23)+2&gt;=MATCH("*【合計】*", 貼り付け用!$A:$A, 0),"",
IF(貼り付け用!C24&lt;&gt;"",貼り付け用!C24,"")),
IF(ROW(C24)+2&gt;=MATCH("*【合計】*", 貼り付け用!$A:$A, 0),"",
IF(貼り付け用!C25&lt;&gt;"",貼り付け用!C25,"")))</f>
        <v>#N/A</v>
      </c>
      <c r="D24" s="19" t="e">
        <f>IF(貼り付け用!$A$6&lt;&gt;"",
IF(ROW(D23)+2&gt;=MATCH("*【合計】*", 貼り付け用!$A:$A, 0),"",
IF(貼り付け用!D24&lt;&gt;"",貼り付け用!D24,"")),
IF(ROW(D24)+2&gt;=MATCH("*【合計】*", 貼り付け用!$A:$A, 0),"",
IF(貼り付け用!D25&lt;&gt;"",貼り付け用!D25,"")))</f>
        <v>#N/A</v>
      </c>
      <c r="E24" s="19" t="e">
        <f>IF(貼り付け用!$A$6&lt;&gt;"",
IF(ROW(E23)+2&gt;=MATCH("*【合計】*", 貼り付け用!$A:$A, 0),"",
IF(貼り付け用!E24&lt;&gt;"",貼り付け用!E24,"")),
IF(ROW(E24)+2&gt;=MATCH("*【合計】*", 貼り付け用!$A:$A, 0),"",
IF(貼り付け用!E25&lt;&gt;"",貼り付け用!E25,"")))</f>
        <v>#N/A</v>
      </c>
      <c r="F24" s="19" t="e">
        <f>IF(貼り付け用!$A$6&lt;&gt;"",
IF(ROW(F23)+2&gt;=MATCH("*【合計】*", 貼り付け用!$A:$A, 0),"",
IF(貼り付け用!F24&lt;&gt;"",貼り付け用!F24,"")),
IF(ROW(F24)+2&gt;=MATCH("*【合計】*", 貼り付け用!$A:$A, 0),"",
IF(貼り付け用!F25&lt;&gt;"",貼り付け用!F25,"")))</f>
        <v>#N/A</v>
      </c>
      <c r="G24" s="19" t="e">
        <f>IF(貼り付け用!$A$6&lt;&gt;"",
IF(ROW(G23)+2&gt;=MATCH("*【合計】*", 貼り付け用!$A:$A, 0),"",
IF(貼り付け用!G24&lt;&gt;"",貼り付け用!G24,"")),
IF(ROW(G24)+2&gt;=MATCH("*【合計】*", 貼り付け用!$A:$A, 0),"",
IF(貼り付け用!G25&lt;&gt;"",貼り付け用!G25,"")))</f>
        <v>#N/A</v>
      </c>
      <c r="H24" s="19" t="e">
        <f>IF(貼り付け用!$A$6&lt;&gt;"",
IF(ROW(H23)+2&gt;=MATCH("*【合計】*", 貼り付け用!$A:$A, 0),"",
IF(貼り付け用!H24&lt;&gt;"",貼り付け用!H24,"")),
IF(ROW(H24)+2&gt;=MATCH("*【合計】*", 貼り付け用!$A:$A, 0),"",
IF(貼り付け用!H25&lt;&gt;"",貼り付け用!H25,"")))</f>
        <v>#N/A</v>
      </c>
      <c r="I24" s="19" t="e">
        <f>IF(貼り付け用!$A$6&lt;&gt;"",
IF(ROW(I23)+2&gt;=MATCH("*【合計】*", 貼り付け用!$A:$A, 0),"",
IF(貼り付け用!I24&lt;&gt;"",貼り付け用!I24,"")),
IF(ROW(I24)+2&gt;=MATCH("*【合計】*", 貼り付け用!$A:$A, 0),"",
IF(貼り付け用!I25&lt;&gt;"",貼り付け用!I25,"")))</f>
        <v>#N/A</v>
      </c>
      <c r="J24" s="19" t="e">
        <f>IF(貼り付け用!$A$6&lt;&gt;"",
IF(ROW(J23)+2&gt;=MATCH("*【合計】*", 貼り付け用!$A:$A, 0),"",
IF(貼り付け用!J24&lt;&gt;"",貼り付け用!J24,"")),
IF(ROW(J24)+2&gt;=MATCH("*【合計】*", 貼り付け用!$A:$A, 0),"",
IF(貼り付け用!J25&lt;&gt;"",貼り付け用!J25,"")))</f>
        <v>#N/A</v>
      </c>
      <c r="K24" s="19" t="e">
        <f>IF(貼り付け用!$A$6&lt;&gt;"",
IF(ROW(K23)+2&gt;=MATCH("*【合計】*", 貼り付け用!$A:$A, 0),"",
IF(貼り付け用!K24&lt;&gt;"",貼り付け用!K24,"")),
IF(ROW(K24)+2&gt;=MATCH("*【合計】*", 貼り付け用!$A:$A, 0),"",
IF(貼り付け用!K25&lt;&gt;"",貼り付け用!K25,"")))</f>
        <v>#N/A</v>
      </c>
      <c r="L24" s="19" t="e">
        <f>IF(貼り付け用!$A$6&lt;&gt;"",
IF(ROW(L23)+2&gt;=MATCH("*【合計】*", 貼り付け用!$A:$A, 0),"",
IF(L$3&lt;&gt;"",IF(貼り付け用!L24&lt;&gt;"",貼り付け用!L24,""),"")),
IF(ROW(L24)+2&gt;=MATCH("*【合計】*", 貼り付け用!$A:$A, 0),"",
IF(L$3&lt;&gt;"",IF(貼り付け用!L25&lt;&gt;"",貼り付け用!L25,""),"")))</f>
        <v>#N/A</v>
      </c>
      <c r="M24" s="19" t="e">
        <f>IF(貼り付け用!$A$6&lt;&gt;"",
IF(ROW(M23)+2&gt;=MATCH("*【合計】*", 貼り付け用!$A:$A, 0),"",
IF(M$3&lt;&gt;"",IF(貼り付け用!M24&lt;&gt;"",貼り付け用!M24,""),"")),
IF(ROW(M24)+2&gt;=MATCH("*【合計】*", 貼り付け用!$A:$A, 0),"",
IF(M$3&lt;&gt;"",IF(貼り付け用!M25&lt;&gt;"",貼り付け用!M25,""),"")))</f>
        <v>#N/A</v>
      </c>
      <c r="N24" s="19" t="e">
        <f>IF(貼り付け用!$A$6&lt;&gt;"",
IF(ROW(N23)+2&gt;=MATCH("*【合計】*", 貼り付け用!$A:$A, 0),"",
IF(N$3&lt;&gt;"",IF(貼り付け用!N24&lt;&gt;"",貼り付け用!N24,""),"")),
IF(ROW(N24)+2&gt;=MATCH("*【合計】*", 貼り付け用!$A:$A, 0),"",
IF(N$3&lt;&gt;"",IF(貼り付け用!N25&lt;&gt;"",貼り付け用!N25,""),"")))</f>
        <v>#N/A</v>
      </c>
      <c r="O24" s="19" t="e">
        <f>IF(貼り付け用!$A$6&lt;&gt;"",
IF(ROW(O23)+2&gt;=MATCH("*【合計】*", 貼り付け用!$A:$A, 0),"",
IF(O$3&lt;&gt;"",IF(貼り付け用!O24&lt;&gt;"",貼り付け用!O24,""),"")),
IF(ROW(O24)+2&gt;=MATCH("*【合計】*", 貼り付け用!$A:$A, 0),"",
IF(O$3&lt;&gt;"",IF(貼り付け用!O25&lt;&gt;"",貼り付け用!O25,""),"")))</f>
        <v>#N/A</v>
      </c>
      <c r="P24" s="19" t="e">
        <f>IF(貼り付け用!$A$6&lt;&gt;"",
IF(ROW(P23)+2&gt;=MATCH("*【合計】*", 貼り付け用!$A:$A, 0),"",
IF(P$3&lt;&gt;"",IF(貼り付け用!P24&lt;&gt;"",貼り付け用!P24,""),"")),
IF(ROW(P24)+2&gt;=MATCH("*【合計】*", 貼り付け用!$A:$A, 0),"",
IF(P$3&lt;&gt;"",IF(貼り付け用!P25&lt;&gt;"",貼り付け用!P25,""),"")))</f>
        <v>#N/A</v>
      </c>
      <c r="Q24" s="19" t="e">
        <f>IF(貼り付け用!$A$6&lt;&gt;"",
IF(ROW(Q23)+2&gt;=MATCH("*【合計】*", 貼り付け用!$A:$A, 0),"",
IF(Q$3&lt;&gt;"",IF(貼り付け用!Q24&lt;&gt;"",貼り付け用!Q24,""),"")),
IF(ROW(Q24)+2&gt;=MATCH("*【合計】*", 貼り付け用!$A:$A, 0),"",
IF(Q$3&lt;&gt;"",IF(貼り付け用!Q25&lt;&gt;"",貼り付け用!Q25,""),"")))</f>
        <v>#N/A</v>
      </c>
      <c r="R24" s="19" t="e">
        <f>IF(貼り付け用!$A$6&lt;&gt;"",
IF(ROW(R23)+2&gt;=MATCH("*【合計】*", 貼り付け用!$A:$A, 0),"",
IF(R$3&lt;&gt;"",IF(貼り付け用!R24&lt;&gt;"",貼り付け用!R24,""),"")),
IF(ROW(R24)+2&gt;=MATCH("*【合計】*", 貼り付け用!$A:$A, 0),"",
IF(R$3&lt;&gt;"",IF(貼り付け用!R25&lt;&gt;"",貼り付け用!R25,""),"")))</f>
        <v>#N/A</v>
      </c>
      <c r="S24" s="19" t="e">
        <f>IF(貼り付け用!$A$6&lt;&gt;"",
IF(ROW(S23)+2&gt;=MATCH("*【合計】*", 貼り付け用!$A:$A, 0),"",
IF(S$3&lt;&gt;"",IF(貼り付け用!S24&lt;&gt;"",貼り付け用!S24,""),"")),
IF(ROW(S24)+2&gt;=MATCH("*【合計】*", 貼り付け用!$A:$A, 0),"",
IF(S$3&lt;&gt;"",IF(貼り付け用!S25&lt;&gt;"",貼り付け用!S25,""),"")))</f>
        <v>#N/A</v>
      </c>
      <c r="T24" s="19" t="e">
        <f t="array" ref="T24">IF(貼り付け用!$A$6&lt;&gt;"",
IF(INDEX(貼り付け用!A:Z, ROW(T23)+1, MATCH("おやつ", 貼り付け用!$A$3:$Z$3, 0))&lt;&gt;0,
INDEX(貼り付け用!A:Z, ROW(T23)+1, MATCH("おやつ", 貼り付け用!$A$3:$Z$3, 0)),""),
IF(INDEX(貼り付け用!A:Z, ROW(T24)+1, MATCH("おやつ", 貼り付け用!$A$3:$Z$3, 0))&lt;&gt;0,
INDEX(貼り付け用!A:Z, ROW(T24)+1, MATCH("おやつ", 貼り付け用!$A$3:$Z$3, 0)),""))</f>
        <v>#N/A</v>
      </c>
      <c r="U24" s="16"/>
      <c r="V24" s="5" t="e">
        <f t="array" ref="V24">IF(貼り付け用!$A$6&lt;&gt;"",
IF(INDEX(貼り付け用!A:Z, ROW(T23)+1, MATCH("おやつ", 貼り付け用!$A$3:$Z$3, 0)+1)&lt;&gt;0,
INDEX(貼り付け用!A:Z, ROW(T23)+1, MATCH("おやつ", 貼り付け用!$A$3:$Z$3, 0)+1),""),
IF(INDEX(貼り付け用!A:Z, ROW(T24)+1, MATCH("おやつ", 貼り付け用!$A$3:$Z$3, 0)+1)&lt;&gt;0,
INDEX(貼り付け用!A:Z, ROW(T24)+1, MATCH("おやつ", 貼り付け用!$A$3:$Z$3, 0)+1),""))</f>
        <v>#N/A</v>
      </c>
      <c r="W24" s="7" t="e">
        <f t="array" ref="W24">IF(貼り付け用!$A$6&lt;&gt;"",
IF(INDEX(貼り付け用!A:Z, ROW(T23)+1, MATCH("おやつ", 貼り付け用!$A$3:$Z$3, 0)+2)&lt;&gt;0,
INDEX(貼り付け用!A:Z, ROW(T23)+1, MATCH("おやつ", 貼り付け用!$A$3:$Z$3, 0)+2),""),
IF(INDEX(貼り付け用!A:Z, ROW(T24)+1, MATCH("おやつ", 貼り付け用!$A$3:$Z$3, 0)+2)&lt;&gt;0,
INDEX(貼り付け用!A:Z, ROW(T24)+1, MATCH("おやつ", 貼り付け用!$A$3:$Z$3, 0)+2),""))</f>
        <v>#N/A</v>
      </c>
    </row>
    <row r="25" spans="1:23" x14ac:dyDescent="0.45">
      <c r="A25" s="10" t="e">
        <f>IF(貼り付け用!$A$6&lt;&gt;"",
IF(ROW(A24)+1&gt;=MATCH("*10000*", 貼り付け用!$A:$A, 0),"",
IF(貼り付け用!A25&lt;&gt;"",貼り付け用!A25,"")),
IF(ROW(A25)+1&gt;=MATCH("*10000*", 貼り付け用!$A:$A, 0),"",
IF(貼り付け用!A26&lt;&gt;"",貼り付け用!A26,"")))</f>
        <v>#N/A</v>
      </c>
      <c r="B25" s="3" t="e">
        <f>IF(貼り付け用!$A$6&lt;&gt;"",
IF(ROW(B24)+2&gt;=MATCH("*【合計】*", 貼り付け用!$A:$A, 0),"",
IF(貼り付け用!B25&lt;&gt;"",貼り付け用!B25,"")),
IF(ROW(B25)+2&gt;=MATCH("*【合計】*", 貼り付け用!$A:$A, 0),"",
IF(貼り付け用!B26&lt;&gt;"",貼り付け用!B26,"")))</f>
        <v>#N/A</v>
      </c>
      <c r="C25" s="3" t="e">
        <f>IF(貼り付け用!$A$6&lt;&gt;"",
IF(ROW(C24)+2&gt;=MATCH("*【合計】*", 貼り付け用!$A:$A, 0),"",
IF(貼り付け用!C25&lt;&gt;"",貼り付け用!C25,"")),
IF(ROW(C25)+2&gt;=MATCH("*【合計】*", 貼り付け用!$A:$A, 0),"",
IF(貼り付け用!C26&lt;&gt;"",貼り付け用!C26,"")))</f>
        <v>#N/A</v>
      </c>
      <c r="D25" s="3" t="e">
        <f>IF(貼り付け用!$A$6&lt;&gt;"",
IF(ROW(D24)+2&gt;=MATCH("*【合計】*", 貼り付け用!$A:$A, 0),"",
IF(貼り付け用!D25&lt;&gt;"",貼り付け用!D25,"")),
IF(ROW(D25)+2&gt;=MATCH("*【合計】*", 貼り付け用!$A:$A, 0),"",
IF(貼り付け用!D26&lt;&gt;"",貼り付け用!D26,"")))</f>
        <v>#N/A</v>
      </c>
      <c r="E25" s="3" t="e">
        <f>IF(貼り付け用!$A$6&lt;&gt;"",
IF(ROW(E24)+2&gt;=MATCH("*【合計】*", 貼り付け用!$A:$A, 0),"",
IF(貼り付け用!E25&lt;&gt;"",貼り付け用!E25,"")),
IF(ROW(E25)+2&gt;=MATCH("*【合計】*", 貼り付け用!$A:$A, 0),"",
IF(貼り付け用!E26&lt;&gt;"",貼り付け用!E26,"")))</f>
        <v>#N/A</v>
      </c>
      <c r="F25" s="3" t="e">
        <f>IF(貼り付け用!$A$6&lt;&gt;"",
IF(ROW(F24)+2&gt;=MATCH("*【合計】*", 貼り付け用!$A:$A, 0),"",
IF(貼り付け用!F25&lt;&gt;"",貼り付け用!F25,"")),
IF(ROW(F25)+2&gt;=MATCH("*【合計】*", 貼り付け用!$A:$A, 0),"",
IF(貼り付け用!F26&lt;&gt;"",貼り付け用!F26,"")))</f>
        <v>#N/A</v>
      </c>
      <c r="G25" s="3" t="e">
        <f>IF(貼り付け用!$A$6&lt;&gt;"",
IF(ROW(G24)+2&gt;=MATCH("*【合計】*", 貼り付け用!$A:$A, 0),"",
IF(貼り付け用!G25&lt;&gt;"",貼り付け用!G25,"")),
IF(ROW(G25)+2&gt;=MATCH("*【合計】*", 貼り付け用!$A:$A, 0),"",
IF(貼り付け用!G26&lt;&gt;"",貼り付け用!G26,"")))</f>
        <v>#N/A</v>
      </c>
      <c r="H25" s="3" t="e">
        <f>IF(貼り付け用!$A$6&lt;&gt;"",
IF(ROW(H24)+2&gt;=MATCH("*【合計】*", 貼り付け用!$A:$A, 0),"",
IF(貼り付け用!H25&lt;&gt;"",貼り付け用!H25,"")),
IF(ROW(H25)+2&gt;=MATCH("*【合計】*", 貼り付け用!$A:$A, 0),"",
IF(貼り付け用!H26&lt;&gt;"",貼り付け用!H26,"")))</f>
        <v>#N/A</v>
      </c>
      <c r="I25" s="3" t="e">
        <f>IF(貼り付け用!$A$6&lt;&gt;"",
IF(ROW(I24)+2&gt;=MATCH("*【合計】*", 貼り付け用!$A:$A, 0),"",
IF(貼り付け用!I25&lt;&gt;"",貼り付け用!I25,"")),
IF(ROW(I25)+2&gt;=MATCH("*【合計】*", 貼り付け用!$A:$A, 0),"",
IF(貼り付け用!I26&lt;&gt;"",貼り付け用!I26,"")))</f>
        <v>#N/A</v>
      </c>
      <c r="J25" s="3" t="e">
        <f>IF(貼り付け用!$A$6&lt;&gt;"",
IF(ROW(J24)+2&gt;=MATCH("*【合計】*", 貼り付け用!$A:$A, 0),"",
IF(貼り付け用!J25&lt;&gt;"",貼り付け用!J25,"")),
IF(ROW(J25)+2&gt;=MATCH("*【合計】*", 貼り付け用!$A:$A, 0),"",
IF(貼り付け用!J26&lt;&gt;"",貼り付け用!J26,"")))</f>
        <v>#N/A</v>
      </c>
      <c r="K25" s="3" t="e">
        <f>IF(貼り付け用!$A$6&lt;&gt;"",
IF(ROW(K24)+2&gt;=MATCH("*【合計】*", 貼り付け用!$A:$A, 0),"",
IF(貼り付け用!K25&lt;&gt;"",貼り付け用!K25,"")),
IF(ROW(K25)+2&gt;=MATCH("*【合計】*", 貼り付け用!$A:$A, 0),"",
IF(貼り付け用!K26&lt;&gt;"",貼り付け用!K26,"")))</f>
        <v>#N/A</v>
      </c>
      <c r="L25" s="3" t="e">
        <f>IF(貼り付け用!$A$6&lt;&gt;"",
IF(ROW(L24)+2&gt;=MATCH("*【合計】*", 貼り付け用!$A:$A, 0),"",
IF(L$3&lt;&gt;"",IF(貼り付け用!L25&lt;&gt;"",貼り付け用!L25,""),"")),
IF(ROW(L25)+2&gt;=MATCH("*【合計】*", 貼り付け用!$A:$A, 0),"",
IF(L$3&lt;&gt;"",IF(貼り付け用!L26&lt;&gt;"",貼り付け用!L26,""),"")))</f>
        <v>#N/A</v>
      </c>
      <c r="M25" s="3" t="e">
        <f>IF(貼り付け用!$A$6&lt;&gt;"",
IF(ROW(M24)+2&gt;=MATCH("*【合計】*", 貼り付け用!$A:$A, 0),"",
IF(M$3&lt;&gt;"",IF(貼り付け用!M25&lt;&gt;"",貼り付け用!M25,""),"")),
IF(ROW(M25)+2&gt;=MATCH("*【合計】*", 貼り付け用!$A:$A, 0),"",
IF(M$3&lt;&gt;"",IF(貼り付け用!M26&lt;&gt;"",貼り付け用!M26,""),"")))</f>
        <v>#N/A</v>
      </c>
      <c r="N25" s="3" t="e">
        <f>IF(貼り付け用!$A$6&lt;&gt;"",
IF(ROW(N24)+2&gt;=MATCH("*【合計】*", 貼り付け用!$A:$A, 0),"",
IF(N$3&lt;&gt;"",IF(貼り付け用!N25&lt;&gt;"",貼り付け用!N25,""),"")),
IF(ROW(N25)+2&gt;=MATCH("*【合計】*", 貼り付け用!$A:$A, 0),"",
IF(N$3&lt;&gt;"",IF(貼り付け用!N26&lt;&gt;"",貼り付け用!N26,""),"")))</f>
        <v>#N/A</v>
      </c>
      <c r="O25" s="3" t="e">
        <f>IF(貼り付け用!$A$6&lt;&gt;"",
IF(ROW(O24)+2&gt;=MATCH("*【合計】*", 貼り付け用!$A:$A, 0),"",
IF(O$3&lt;&gt;"",IF(貼り付け用!O25&lt;&gt;"",貼り付け用!O25,""),"")),
IF(ROW(O25)+2&gt;=MATCH("*【合計】*", 貼り付け用!$A:$A, 0),"",
IF(O$3&lt;&gt;"",IF(貼り付け用!O26&lt;&gt;"",貼り付け用!O26,""),"")))</f>
        <v>#N/A</v>
      </c>
      <c r="P25" s="3" t="e">
        <f>IF(貼り付け用!$A$6&lt;&gt;"",
IF(ROW(P24)+2&gt;=MATCH("*【合計】*", 貼り付け用!$A:$A, 0),"",
IF(P$3&lt;&gt;"",IF(貼り付け用!P25&lt;&gt;"",貼り付け用!P25,""),"")),
IF(ROW(P25)+2&gt;=MATCH("*【合計】*", 貼り付け用!$A:$A, 0),"",
IF(P$3&lt;&gt;"",IF(貼り付け用!P26&lt;&gt;"",貼り付け用!P26,""),"")))</f>
        <v>#N/A</v>
      </c>
      <c r="Q25" s="3" t="e">
        <f>IF(貼り付け用!$A$6&lt;&gt;"",
IF(ROW(Q24)+2&gt;=MATCH("*【合計】*", 貼り付け用!$A:$A, 0),"",
IF(Q$3&lt;&gt;"",IF(貼り付け用!Q25&lt;&gt;"",貼り付け用!Q25,""),"")),
IF(ROW(Q25)+2&gt;=MATCH("*【合計】*", 貼り付け用!$A:$A, 0),"",
IF(Q$3&lt;&gt;"",IF(貼り付け用!Q26&lt;&gt;"",貼り付け用!Q26,""),"")))</f>
        <v>#N/A</v>
      </c>
      <c r="R25" s="3" t="e">
        <f>IF(貼り付け用!$A$6&lt;&gt;"",
IF(ROW(R24)+2&gt;=MATCH("*【合計】*", 貼り付け用!$A:$A, 0),"",
IF(R$3&lt;&gt;"",IF(貼り付け用!R25&lt;&gt;"",貼り付け用!R25,""),"")),
IF(ROW(R25)+2&gt;=MATCH("*【合計】*", 貼り付け用!$A:$A, 0),"",
IF(R$3&lt;&gt;"",IF(貼り付け用!R26&lt;&gt;"",貼り付け用!R26,""),"")))</f>
        <v>#N/A</v>
      </c>
      <c r="S25" s="3" t="e">
        <f>IF(貼り付け用!$A$6&lt;&gt;"",
IF(ROW(S24)+2&gt;=MATCH("*【合計】*", 貼り付け用!$A:$A, 0),"",
IF(S$3&lt;&gt;"",IF(貼り付け用!S25&lt;&gt;"",貼り付け用!S25,""),"")),
IF(ROW(S25)+2&gt;=MATCH("*【合計】*", 貼り付け用!$A:$A, 0),"",
IF(S$3&lt;&gt;"",IF(貼り付け用!S26&lt;&gt;"",貼り付け用!S26,""),"")))</f>
        <v>#N/A</v>
      </c>
      <c r="T25" s="2" t="e">
        <f t="array" ref="T25">IF(貼り付け用!$A$6&lt;&gt;"",
IF(INDEX(貼り付け用!A:Z, ROW(T24)+1, MATCH("おやつ", 貼り付け用!$A$3:$Z$3, 0))&lt;&gt;0,
INDEX(貼り付け用!A:Z, ROW(T24)+1, MATCH("おやつ", 貼り付け用!$A$3:$Z$3, 0)),""),
IF(INDEX(貼り付け用!A:Z, ROW(T25)+1, MATCH("おやつ", 貼り付け用!$A$3:$Z$3, 0))&lt;&gt;0,
INDEX(貼り付け用!A:Z, ROW(T25)+1, MATCH("おやつ", 貼り付け用!$A$3:$Z$3, 0)),""))</f>
        <v>#N/A</v>
      </c>
      <c r="U25" s="52"/>
      <c r="V25" s="8" t="e">
        <f t="array" ref="V25">IF(貼り付け用!$A$6&lt;&gt;"",
IF(INDEX(貼り付け用!A:Z, ROW(T24)+1, MATCH("おやつ", 貼り付け用!$A$3:$Z$3, 0)+1)&lt;&gt;0,
INDEX(貼り付け用!A:Z, ROW(T24)+1, MATCH("おやつ", 貼り付け用!$A$3:$Z$3, 0)+1),""),
IF(INDEX(貼り付け用!A:Z, ROW(T25)+1, MATCH("おやつ", 貼り付け用!$A$3:$Z$3, 0)+1)&lt;&gt;0,
INDEX(貼り付け用!A:Z, ROW(T25)+1, MATCH("おやつ", 貼り付け用!$A$3:$Z$3, 0)+1),""))</f>
        <v>#N/A</v>
      </c>
      <c r="W25" s="9" t="e">
        <f t="array" ref="W25">IF(貼り付け用!$A$6&lt;&gt;"",
IF(INDEX(貼り付け用!A:Z, ROW(T24)+1, MATCH("おやつ", 貼り付け用!$A$3:$Z$3, 0)+2)&lt;&gt;0,
INDEX(貼り付け用!A:Z, ROW(T24)+1, MATCH("おやつ", 貼り付け用!$A$3:$Z$3, 0)+2),""),
IF(INDEX(貼り付け用!A:Z, ROW(T25)+1, MATCH("おやつ", 貼り付け用!$A$3:$Z$3, 0)+2)&lt;&gt;0,
INDEX(貼り付け用!A:Z, ROW(T25)+1, MATCH("おやつ", 貼り付け用!$A$3:$Z$3, 0)+2),""))</f>
        <v>#N/A</v>
      </c>
    </row>
    <row r="26" spans="1:23" x14ac:dyDescent="0.45">
      <c r="A26" s="4" t="e">
        <f>IF(貼り付け用!$A$6&lt;&gt;"",
IF(ROW(A25)+1&gt;=MATCH("*10000*", 貼り付け用!$A:$A, 0),
IF(COUNTIF(A24,"*10000*"),"10001",
IF(COUNTIF(A24,"*10001*"),"10002",
IF(COUNTIF(A24,"*10002*"),"",
IF(COUNTIF(A24,""),"","10000")))),
IF(貼り付け用!A26&lt;&gt;"",貼り付け用!A26,"")),
IF(ROW(A26)+1&gt;=MATCH("*10000*", 貼り付け用!$A:$A, 0),
IF(COUNTIF(A24,"*10000*"),"10001",
IF(COUNTIF(A24,"*10001*"),"10002",
IF(COUNTIF(A24,"*10002*"),"",
IF(COUNTIF(A24,""),"","10000")))),
IF(貼り付け用!A27&lt;&gt;"",貼り付け用!A27,"")))</f>
        <v>#N/A</v>
      </c>
      <c r="B26" s="19" t="e">
        <f>IF(貼り付け用!$A$6&lt;&gt;"",
IF(ROW(B25)+2&gt;=MATCH("*【合計】*", 貼り付け用!$A:$A, 0),"",
IF(貼り付け用!B26&lt;&gt;"",貼り付け用!B26,"")),
IF(ROW(B26)+2&gt;=MATCH("*【合計】*", 貼り付け用!$A:$A, 0),"",
IF(貼り付け用!B27&lt;&gt;"",貼り付け用!B27,"")))</f>
        <v>#N/A</v>
      </c>
      <c r="C26" s="19" t="e">
        <f>IF(貼り付け用!$A$6&lt;&gt;"",
IF(ROW(C25)+2&gt;=MATCH("*【合計】*", 貼り付け用!$A:$A, 0),"",
IF(貼り付け用!C26&lt;&gt;"",貼り付け用!C26,"")),
IF(ROW(C26)+2&gt;=MATCH("*【合計】*", 貼り付け用!$A:$A, 0),"",
IF(貼り付け用!C27&lt;&gt;"",貼り付け用!C27,"")))</f>
        <v>#N/A</v>
      </c>
      <c r="D26" s="19" t="e">
        <f>IF(貼り付け用!$A$6&lt;&gt;"",
IF(ROW(D25)+2&gt;=MATCH("*【合計】*", 貼り付け用!$A:$A, 0),"",
IF(貼り付け用!D26&lt;&gt;"",貼り付け用!D26,"")),
IF(ROW(D26)+2&gt;=MATCH("*【合計】*", 貼り付け用!$A:$A, 0),"",
IF(貼り付け用!D27&lt;&gt;"",貼り付け用!D27,"")))</f>
        <v>#N/A</v>
      </c>
      <c r="E26" s="19" t="e">
        <f>IF(貼り付け用!$A$6&lt;&gt;"",
IF(ROW(E25)+2&gt;=MATCH("*【合計】*", 貼り付け用!$A:$A, 0),"",
IF(貼り付け用!E26&lt;&gt;"",貼り付け用!E26,"")),
IF(ROW(E26)+2&gt;=MATCH("*【合計】*", 貼り付け用!$A:$A, 0),"",
IF(貼り付け用!E27&lt;&gt;"",貼り付け用!E27,"")))</f>
        <v>#N/A</v>
      </c>
      <c r="F26" s="19" t="e">
        <f>IF(貼り付け用!$A$6&lt;&gt;"",
IF(ROW(F25)+2&gt;=MATCH("*【合計】*", 貼り付け用!$A:$A, 0),"",
IF(貼り付け用!F26&lt;&gt;"",貼り付け用!F26,"")),
IF(ROW(F26)+2&gt;=MATCH("*【合計】*", 貼り付け用!$A:$A, 0),"",
IF(貼り付け用!F27&lt;&gt;"",貼り付け用!F27,"")))</f>
        <v>#N/A</v>
      </c>
      <c r="G26" s="19" t="e">
        <f>IF(貼り付け用!$A$6&lt;&gt;"",
IF(ROW(G25)+2&gt;=MATCH("*【合計】*", 貼り付け用!$A:$A, 0),"",
IF(貼り付け用!G26&lt;&gt;"",貼り付け用!G26,"")),
IF(ROW(G26)+2&gt;=MATCH("*【合計】*", 貼り付け用!$A:$A, 0),"",
IF(貼り付け用!G27&lt;&gt;"",貼り付け用!G27,"")))</f>
        <v>#N/A</v>
      </c>
      <c r="H26" s="19" t="e">
        <f>IF(貼り付け用!$A$6&lt;&gt;"",
IF(ROW(H25)+2&gt;=MATCH("*【合計】*", 貼り付け用!$A:$A, 0),"",
IF(貼り付け用!H26&lt;&gt;"",貼り付け用!H26,"")),
IF(ROW(H26)+2&gt;=MATCH("*【合計】*", 貼り付け用!$A:$A, 0),"",
IF(貼り付け用!H27&lt;&gt;"",貼り付け用!H27,"")))</f>
        <v>#N/A</v>
      </c>
      <c r="I26" s="19" t="e">
        <f>IF(貼り付け用!$A$6&lt;&gt;"",
IF(ROW(I25)+2&gt;=MATCH("*【合計】*", 貼り付け用!$A:$A, 0),"",
IF(貼り付け用!I26&lt;&gt;"",貼り付け用!I26,"")),
IF(ROW(I26)+2&gt;=MATCH("*【合計】*", 貼り付け用!$A:$A, 0),"",
IF(貼り付け用!I27&lt;&gt;"",貼り付け用!I27,"")))</f>
        <v>#N/A</v>
      </c>
      <c r="J26" s="19" t="e">
        <f>IF(貼り付け用!$A$6&lt;&gt;"",
IF(ROW(J25)+2&gt;=MATCH("*【合計】*", 貼り付け用!$A:$A, 0),"",
IF(貼り付け用!J26&lt;&gt;"",貼り付け用!J26,"")),
IF(ROW(J26)+2&gt;=MATCH("*【合計】*", 貼り付け用!$A:$A, 0),"",
IF(貼り付け用!J27&lt;&gt;"",貼り付け用!J27,"")))</f>
        <v>#N/A</v>
      </c>
      <c r="K26" s="19" t="e">
        <f>IF(貼り付け用!$A$6&lt;&gt;"",
IF(ROW(K25)+2&gt;=MATCH("*【合計】*", 貼り付け用!$A:$A, 0),"",
IF(貼り付け用!K26&lt;&gt;"",貼り付け用!K26,"")),
IF(ROW(K26)+2&gt;=MATCH("*【合計】*", 貼り付け用!$A:$A, 0),"",
IF(貼り付け用!K27&lt;&gt;"",貼り付け用!K27,"")))</f>
        <v>#N/A</v>
      </c>
      <c r="L26" s="19" t="e">
        <f>IF(貼り付け用!$A$6&lt;&gt;"",
IF(ROW(L25)+2&gt;=MATCH("*【合計】*", 貼り付け用!$A:$A, 0),"",
IF(L$3&lt;&gt;"",IF(貼り付け用!L26&lt;&gt;"",貼り付け用!L26,""),"")),
IF(ROW(L26)+2&gt;=MATCH("*【合計】*", 貼り付け用!$A:$A, 0),"",
IF(L$3&lt;&gt;"",IF(貼り付け用!L27&lt;&gt;"",貼り付け用!L27,""),"")))</f>
        <v>#N/A</v>
      </c>
      <c r="M26" s="19" t="e">
        <f>IF(貼り付け用!$A$6&lt;&gt;"",
IF(ROW(M25)+2&gt;=MATCH("*【合計】*", 貼り付け用!$A:$A, 0),"",
IF(M$3&lt;&gt;"",IF(貼り付け用!M26&lt;&gt;"",貼り付け用!M26,""),"")),
IF(ROW(M26)+2&gt;=MATCH("*【合計】*", 貼り付け用!$A:$A, 0),"",
IF(M$3&lt;&gt;"",IF(貼り付け用!M27&lt;&gt;"",貼り付け用!M27,""),"")))</f>
        <v>#N/A</v>
      </c>
      <c r="N26" s="19" t="e">
        <f>IF(貼り付け用!$A$6&lt;&gt;"",
IF(ROW(N25)+2&gt;=MATCH("*【合計】*", 貼り付け用!$A:$A, 0),"",
IF(N$3&lt;&gt;"",IF(貼り付け用!N26&lt;&gt;"",貼り付け用!N26,""),"")),
IF(ROW(N26)+2&gt;=MATCH("*【合計】*", 貼り付け用!$A:$A, 0),"",
IF(N$3&lt;&gt;"",IF(貼り付け用!N27&lt;&gt;"",貼り付け用!N27,""),"")))</f>
        <v>#N/A</v>
      </c>
      <c r="O26" s="19" t="e">
        <f>IF(貼り付け用!$A$6&lt;&gt;"",
IF(ROW(O25)+2&gt;=MATCH("*【合計】*", 貼り付け用!$A:$A, 0),"",
IF(O$3&lt;&gt;"",IF(貼り付け用!O26&lt;&gt;"",貼り付け用!O26,""),"")),
IF(ROW(O26)+2&gt;=MATCH("*【合計】*", 貼り付け用!$A:$A, 0),"",
IF(O$3&lt;&gt;"",IF(貼り付け用!O27&lt;&gt;"",貼り付け用!O27,""),"")))</f>
        <v>#N/A</v>
      </c>
      <c r="P26" s="19" t="e">
        <f>IF(貼り付け用!$A$6&lt;&gt;"",
IF(ROW(P25)+2&gt;=MATCH("*【合計】*", 貼り付け用!$A:$A, 0),"",
IF(P$3&lt;&gt;"",IF(貼り付け用!P26&lt;&gt;"",貼り付け用!P26,""),"")),
IF(ROW(P26)+2&gt;=MATCH("*【合計】*", 貼り付け用!$A:$A, 0),"",
IF(P$3&lt;&gt;"",IF(貼り付け用!P27&lt;&gt;"",貼り付け用!P27,""),"")))</f>
        <v>#N/A</v>
      </c>
      <c r="Q26" s="19" t="e">
        <f>IF(貼り付け用!$A$6&lt;&gt;"",
IF(ROW(Q25)+2&gt;=MATCH("*【合計】*", 貼り付け用!$A:$A, 0),"",
IF(Q$3&lt;&gt;"",IF(貼り付け用!Q26&lt;&gt;"",貼り付け用!Q26,""),"")),
IF(ROW(Q26)+2&gt;=MATCH("*【合計】*", 貼り付け用!$A:$A, 0),"",
IF(Q$3&lt;&gt;"",IF(貼り付け用!Q27&lt;&gt;"",貼り付け用!Q27,""),"")))</f>
        <v>#N/A</v>
      </c>
      <c r="R26" s="19" t="e">
        <f>IF(貼り付け用!$A$6&lt;&gt;"",
IF(ROW(R25)+2&gt;=MATCH("*【合計】*", 貼り付け用!$A:$A, 0),"",
IF(R$3&lt;&gt;"",IF(貼り付け用!R26&lt;&gt;"",貼り付け用!R26,""),"")),
IF(ROW(R26)+2&gt;=MATCH("*【合計】*", 貼り付け用!$A:$A, 0),"",
IF(R$3&lt;&gt;"",IF(貼り付け用!R27&lt;&gt;"",貼り付け用!R27,""),"")))</f>
        <v>#N/A</v>
      </c>
      <c r="S26" s="19" t="e">
        <f>IF(貼り付け用!$A$6&lt;&gt;"",
IF(ROW(S25)+2&gt;=MATCH("*【合計】*", 貼り付け用!$A:$A, 0),"",
IF(S$3&lt;&gt;"",IF(貼り付け用!S26&lt;&gt;"",貼り付け用!S26,""),"")),
IF(ROW(S26)+2&gt;=MATCH("*【合計】*", 貼り付け用!$A:$A, 0),"",
IF(S$3&lt;&gt;"",IF(貼り付け用!S27&lt;&gt;"",貼り付け用!S27,""),"")))</f>
        <v>#N/A</v>
      </c>
      <c r="T26" s="19" t="e">
        <f t="array" ref="T26">IF(貼り付け用!$A$6&lt;&gt;"",
IF(INDEX(貼り付け用!A:Z, ROW(T25)+1, MATCH("おやつ", 貼り付け用!$A$3:$Z$3, 0))&lt;&gt;0,
INDEX(貼り付け用!A:Z, ROW(T25)+1, MATCH("おやつ", 貼り付け用!$A$3:$Z$3, 0)),""),
IF(INDEX(貼り付け用!A:Z, ROW(T26)+1, MATCH("おやつ", 貼り付け用!$A$3:$Z$3, 0))&lt;&gt;0,
INDEX(貼り付け用!A:Z, ROW(T26)+1, MATCH("おやつ", 貼り付け用!$A$3:$Z$3, 0)),""))</f>
        <v>#N/A</v>
      </c>
      <c r="U26" s="16"/>
      <c r="V26" s="5" t="e">
        <f t="array" ref="V26">IF(貼り付け用!$A$6&lt;&gt;"",
IF(INDEX(貼り付け用!A:Z, ROW(T25)+1, MATCH("おやつ", 貼り付け用!$A$3:$Z$3, 0)+1)&lt;&gt;0,
INDEX(貼り付け用!A:Z, ROW(T25)+1, MATCH("おやつ", 貼り付け用!$A$3:$Z$3, 0)+1),""),
IF(INDEX(貼り付け用!A:Z, ROW(T26)+1, MATCH("おやつ", 貼り付け用!$A$3:$Z$3, 0)+1)&lt;&gt;0,
INDEX(貼り付け用!A:Z, ROW(T26)+1, MATCH("おやつ", 貼り付け用!$A$3:$Z$3, 0)+1),""))</f>
        <v>#N/A</v>
      </c>
      <c r="W26" s="7" t="e">
        <f t="array" ref="W26">IF(貼り付け用!$A$6&lt;&gt;"",
IF(INDEX(貼り付け用!A:Z, ROW(T25)+1, MATCH("おやつ", 貼り付け用!$A$3:$Z$3, 0)+2)&lt;&gt;0,
INDEX(貼り付け用!A:Z, ROW(T25)+1, MATCH("おやつ", 貼り付け用!$A$3:$Z$3, 0)+2),""),
IF(INDEX(貼り付け用!A:Z, ROW(T26)+1, MATCH("おやつ", 貼り付け用!$A$3:$Z$3, 0)+2)&lt;&gt;0,
INDEX(貼り付け用!A:Z, ROW(T26)+1, MATCH("おやつ", 貼り付け用!$A$3:$Z$3, 0)+2),""))</f>
        <v>#N/A</v>
      </c>
    </row>
    <row r="27" spans="1:23" x14ac:dyDescent="0.45">
      <c r="A27" s="10" t="e">
        <f>IF(貼り付け用!$A$6&lt;&gt;"",
IF(ROW(A26)+1&gt;=MATCH("*10000*", 貼り付け用!$A:$A, 0),"",
IF(貼り付け用!A27&lt;&gt;"",貼り付け用!A27,"")),
IF(ROW(A27)+1&gt;=MATCH("*10000*", 貼り付け用!$A:$A, 0),"",
IF(貼り付け用!A28&lt;&gt;"",貼り付け用!A28,"")))</f>
        <v>#N/A</v>
      </c>
      <c r="B27" s="3" t="e">
        <f>IF(貼り付け用!$A$6&lt;&gt;"",
IF(ROW(B26)+2&gt;=MATCH("*【合計】*", 貼り付け用!$A:$A, 0),"",
IF(貼り付け用!B27&lt;&gt;"",貼り付け用!B27,"")),
IF(ROW(B27)+2&gt;=MATCH("*【合計】*", 貼り付け用!$A:$A, 0),"",
IF(貼り付け用!B28&lt;&gt;"",貼り付け用!B28,"")))</f>
        <v>#N/A</v>
      </c>
      <c r="C27" s="3" t="e">
        <f>IF(貼り付け用!$A$6&lt;&gt;"",
IF(ROW(C26)+2&gt;=MATCH("*【合計】*", 貼り付け用!$A:$A, 0),"",
IF(貼り付け用!C27&lt;&gt;"",貼り付け用!C27,"")),
IF(ROW(C27)+2&gt;=MATCH("*【合計】*", 貼り付け用!$A:$A, 0),"",
IF(貼り付け用!C28&lt;&gt;"",貼り付け用!C28,"")))</f>
        <v>#N/A</v>
      </c>
      <c r="D27" s="3" t="e">
        <f>IF(貼り付け用!$A$6&lt;&gt;"",
IF(ROW(D26)+2&gt;=MATCH("*【合計】*", 貼り付け用!$A:$A, 0),"",
IF(貼り付け用!D27&lt;&gt;"",貼り付け用!D27,"")),
IF(ROW(D27)+2&gt;=MATCH("*【合計】*", 貼り付け用!$A:$A, 0),"",
IF(貼り付け用!D28&lt;&gt;"",貼り付け用!D28,"")))</f>
        <v>#N/A</v>
      </c>
      <c r="E27" s="3" t="e">
        <f>IF(貼り付け用!$A$6&lt;&gt;"",
IF(ROW(E26)+2&gt;=MATCH("*【合計】*", 貼り付け用!$A:$A, 0),"",
IF(貼り付け用!E27&lt;&gt;"",貼り付け用!E27,"")),
IF(ROW(E27)+2&gt;=MATCH("*【合計】*", 貼り付け用!$A:$A, 0),"",
IF(貼り付け用!E28&lt;&gt;"",貼り付け用!E28,"")))</f>
        <v>#N/A</v>
      </c>
      <c r="F27" s="3" t="e">
        <f>IF(貼り付け用!$A$6&lt;&gt;"",
IF(ROW(F26)+2&gt;=MATCH("*【合計】*", 貼り付け用!$A:$A, 0),"",
IF(貼り付け用!F27&lt;&gt;"",貼り付け用!F27,"")),
IF(ROW(F27)+2&gt;=MATCH("*【合計】*", 貼り付け用!$A:$A, 0),"",
IF(貼り付け用!F28&lt;&gt;"",貼り付け用!F28,"")))</f>
        <v>#N/A</v>
      </c>
      <c r="G27" s="3" t="e">
        <f>IF(貼り付け用!$A$6&lt;&gt;"",
IF(ROW(G26)+2&gt;=MATCH("*【合計】*", 貼り付け用!$A:$A, 0),"",
IF(貼り付け用!G27&lt;&gt;"",貼り付け用!G27,"")),
IF(ROW(G27)+2&gt;=MATCH("*【合計】*", 貼り付け用!$A:$A, 0),"",
IF(貼り付け用!G28&lt;&gt;"",貼り付け用!G28,"")))</f>
        <v>#N/A</v>
      </c>
      <c r="H27" s="3" t="e">
        <f>IF(貼り付け用!$A$6&lt;&gt;"",
IF(ROW(H26)+2&gt;=MATCH("*【合計】*", 貼り付け用!$A:$A, 0),"",
IF(貼り付け用!H27&lt;&gt;"",貼り付け用!H27,"")),
IF(ROW(H27)+2&gt;=MATCH("*【合計】*", 貼り付け用!$A:$A, 0),"",
IF(貼り付け用!H28&lt;&gt;"",貼り付け用!H28,"")))</f>
        <v>#N/A</v>
      </c>
      <c r="I27" s="3" t="e">
        <f>IF(貼り付け用!$A$6&lt;&gt;"",
IF(ROW(I26)+2&gt;=MATCH("*【合計】*", 貼り付け用!$A:$A, 0),"",
IF(貼り付け用!I27&lt;&gt;"",貼り付け用!I27,"")),
IF(ROW(I27)+2&gt;=MATCH("*【合計】*", 貼り付け用!$A:$A, 0),"",
IF(貼り付け用!I28&lt;&gt;"",貼り付け用!I28,"")))</f>
        <v>#N/A</v>
      </c>
      <c r="J27" s="3" t="e">
        <f>IF(貼り付け用!$A$6&lt;&gt;"",
IF(ROW(J26)+2&gt;=MATCH("*【合計】*", 貼り付け用!$A:$A, 0),"",
IF(貼り付け用!J27&lt;&gt;"",貼り付け用!J27,"")),
IF(ROW(J27)+2&gt;=MATCH("*【合計】*", 貼り付け用!$A:$A, 0),"",
IF(貼り付け用!J28&lt;&gt;"",貼り付け用!J28,"")))</f>
        <v>#N/A</v>
      </c>
      <c r="K27" s="3" t="e">
        <f>IF(貼り付け用!$A$6&lt;&gt;"",
IF(ROW(K26)+2&gt;=MATCH("*【合計】*", 貼り付け用!$A:$A, 0),"",
IF(貼り付け用!K27&lt;&gt;"",貼り付け用!K27,"")),
IF(ROW(K27)+2&gt;=MATCH("*【合計】*", 貼り付け用!$A:$A, 0),"",
IF(貼り付け用!K28&lt;&gt;"",貼り付け用!K28,"")))</f>
        <v>#N/A</v>
      </c>
      <c r="L27" s="3" t="e">
        <f>IF(貼り付け用!$A$6&lt;&gt;"",
IF(ROW(L26)+2&gt;=MATCH("*【合計】*", 貼り付け用!$A:$A, 0),"",
IF(L$3&lt;&gt;"",IF(貼り付け用!L27&lt;&gt;"",貼り付け用!L27,""),"")),
IF(ROW(L27)+2&gt;=MATCH("*【合計】*", 貼り付け用!$A:$A, 0),"",
IF(L$3&lt;&gt;"",IF(貼り付け用!L28&lt;&gt;"",貼り付け用!L28,""),"")))</f>
        <v>#N/A</v>
      </c>
      <c r="M27" s="3" t="e">
        <f>IF(貼り付け用!$A$6&lt;&gt;"",
IF(ROW(M26)+2&gt;=MATCH("*【合計】*", 貼り付け用!$A:$A, 0),"",
IF(M$3&lt;&gt;"",IF(貼り付け用!M27&lt;&gt;"",貼り付け用!M27,""),"")),
IF(ROW(M27)+2&gt;=MATCH("*【合計】*", 貼り付け用!$A:$A, 0),"",
IF(M$3&lt;&gt;"",IF(貼り付け用!M28&lt;&gt;"",貼り付け用!M28,""),"")))</f>
        <v>#N/A</v>
      </c>
      <c r="N27" s="3" t="e">
        <f>IF(貼り付け用!$A$6&lt;&gt;"",
IF(ROW(N26)+2&gt;=MATCH("*【合計】*", 貼り付け用!$A:$A, 0),"",
IF(N$3&lt;&gt;"",IF(貼り付け用!N27&lt;&gt;"",貼り付け用!N27,""),"")),
IF(ROW(N27)+2&gt;=MATCH("*【合計】*", 貼り付け用!$A:$A, 0),"",
IF(N$3&lt;&gt;"",IF(貼り付け用!N28&lt;&gt;"",貼り付け用!N28,""),"")))</f>
        <v>#N/A</v>
      </c>
      <c r="O27" s="3" t="e">
        <f>IF(貼り付け用!$A$6&lt;&gt;"",
IF(ROW(O26)+2&gt;=MATCH("*【合計】*", 貼り付け用!$A:$A, 0),"",
IF(O$3&lt;&gt;"",IF(貼り付け用!O27&lt;&gt;"",貼り付け用!O27,""),"")),
IF(ROW(O27)+2&gt;=MATCH("*【合計】*", 貼り付け用!$A:$A, 0),"",
IF(O$3&lt;&gt;"",IF(貼り付け用!O28&lt;&gt;"",貼り付け用!O28,""),"")))</f>
        <v>#N/A</v>
      </c>
      <c r="P27" s="3" t="e">
        <f>IF(貼り付け用!$A$6&lt;&gt;"",
IF(ROW(P26)+2&gt;=MATCH("*【合計】*", 貼り付け用!$A:$A, 0),"",
IF(P$3&lt;&gt;"",IF(貼り付け用!P27&lt;&gt;"",貼り付け用!P27,""),"")),
IF(ROW(P27)+2&gt;=MATCH("*【合計】*", 貼り付け用!$A:$A, 0),"",
IF(P$3&lt;&gt;"",IF(貼り付け用!P28&lt;&gt;"",貼り付け用!P28,""),"")))</f>
        <v>#N/A</v>
      </c>
      <c r="Q27" s="3" t="e">
        <f>IF(貼り付け用!$A$6&lt;&gt;"",
IF(ROW(Q26)+2&gt;=MATCH("*【合計】*", 貼り付け用!$A:$A, 0),"",
IF(Q$3&lt;&gt;"",IF(貼り付け用!Q27&lt;&gt;"",貼り付け用!Q27,""),"")),
IF(ROW(Q27)+2&gt;=MATCH("*【合計】*", 貼り付け用!$A:$A, 0),"",
IF(Q$3&lt;&gt;"",IF(貼り付け用!Q28&lt;&gt;"",貼り付け用!Q28,""),"")))</f>
        <v>#N/A</v>
      </c>
      <c r="R27" s="3" t="e">
        <f>IF(貼り付け用!$A$6&lt;&gt;"",
IF(ROW(R26)+2&gt;=MATCH("*【合計】*", 貼り付け用!$A:$A, 0),"",
IF(R$3&lt;&gt;"",IF(貼り付け用!R27&lt;&gt;"",貼り付け用!R27,""),"")),
IF(ROW(R27)+2&gt;=MATCH("*【合計】*", 貼り付け用!$A:$A, 0),"",
IF(R$3&lt;&gt;"",IF(貼り付け用!R28&lt;&gt;"",貼り付け用!R28,""),"")))</f>
        <v>#N/A</v>
      </c>
      <c r="S27" s="3" t="e">
        <f>IF(貼り付け用!$A$6&lt;&gt;"",
IF(ROW(S26)+2&gt;=MATCH("*【合計】*", 貼り付け用!$A:$A, 0),"",
IF(S$3&lt;&gt;"",IF(貼り付け用!S27&lt;&gt;"",貼り付け用!S27,""),"")),
IF(ROW(S27)+2&gt;=MATCH("*【合計】*", 貼り付け用!$A:$A, 0),"",
IF(S$3&lt;&gt;"",IF(貼り付け用!S28&lt;&gt;"",貼り付け用!S28,""),"")))</f>
        <v>#N/A</v>
      </c>
      <c r="T27" s="2" t="e">
        <f t="array" ref="T27">IF(貼り付け用!$A$6&lt;&gt;"",
IF(INDEX(貼り付け用!A:Z, ROW(T26)+1, MATCH("おやつ", 貼り付け用!$A$3:$Z$3, 0))&lt;&gt;0,
INDEX(貼り付け用!A:Z, ROW(T26)+1, MATCH("おやつ", 貼り付け用!$A$3:$Z$3, 0)),""),
IF(INDEX(貼り付け用!A:Z, ROW(T27)+1, MATCH("おやつ", 貼り付け用!$A$3:$Z$3, 0))&lt;&gt;0,
INDEX(貼り付け用!A:Z, ROW(T27)+1, MATCH("おやつ", 貼り付け用!$A$3:$Z$3, 0)),""))</f>
        <v>#N/A</v>
      </c>
      <c r="U27" s="52"/>
      <c r="V27" s="8" t="e">
        <f t="array" ref="V27">IF(貼り付け用!$A$6&lt;&gt;"",
IF(INDEX(貼り付け用!A:Z, ROW(T26)+1, MATCH("おやつ", 貼り付け用!$A$3:$Z$3, 0)+1)&lt;&gt;0,
INDEX(貼り付け用!A:Z, ROW(T26)+1, MATCH("おやつ", 貼り付け用!$A$3:$Z$3, 0)+1),""),
IF(INDEX(貼り付け用!A:Z, ROW(T27)+1, MATCH("おやつ", 貼り付け用!$A$3:$Z$3, 0)+1)&lt;&gt;0,
INDEX(貼り付け用!A:Z, ROW(T27)+1, MATCH("おやつ", 貼り付け用!$A$3:$Z$3, 0)+1),""))</f>
        <v>#N/A</v>
      </c>
      <c r="W27" s="9" t="e">
        <f t="array" ref="W27">IF(貼り付け用!$A$6&lt;&gt;"",
IF(INDEX(貼り付け用!A:Z, ROW(T26)+1, MATCH("おやつ", 貼り付け用!$A$3:$Z$3, 0)+2)&lt;&gt;0,
INDEX(貼り付け用!A:Z, ROW(T26)+1, MATCH("おやつ", 貼り付け用!$A$3:$Z$3, 0)+2),""),
IF(INDEX(貼り付け用!A:Z, ROW(T27)+1, MATCH("おやつ", 貼り付け用!$A$3:$Z$3, 0)+2)&lt;&gt;0,
INDEX(貼り付け用!A:Z, ROW(T27)+1, MATCH("おやつ", 貼り付け用!$A$3:$Z$3, 0)+2),""))</f>
        <v>#N/A</v>
      </c>
    </row>
    <row r="28" spans="1:23" x14ac:dyDescent="0.45">
      <c r="A28" s="4" t="e">
        <f>IF(貼り付け用!$A$6&lt;&gt;"",
IF(ROW(A27)+1&gt;=MATCH("*10000*", 貼り付け用!$A:$A, 0),
IF(COUNTIF(A26,"*10000*"),"10001",
IF(COUNTIF(A26,"*10001*"),"10002",
IF(COUNTIF(A26,"*10002*"),"",
IF(COUNTIF(A26,""),"","10000")))),
IF(貼り付け用!A28&lt;&gt;"",貼り付け用!A28,"")),
IF(ROW(A28)+1&gt;=MATCH("*10000*", 貼り付け用!$A:$A, 0),
IF(COUNTIF(A26,"*10000*"),"10001",
IF(COUNTIF(A26,"*10001*"),"10002",
IF(COUNTIF(A26,"*10002*"),"",
IF(COUNTIF(A26,""),"","10000")))),
IF(貼り付け用!A29&lt;&gt;"",貼り付け用!A29,"")))</f>
        <v>#N/A</v>
      </c>
      <c r="B28" s="19" t="e">
        <f>IF(貼り付け用!$A$6&lt;&gt;"",
IF(ROW(B27)+2&gt;=MATCH("*【合計】*", 貼り付け用!$A:$A, 0),"",
IF(貼り付け用!B28&lt;&gt;"",貼り付け用!B28,"")),
IF(ROW(B28)+2&gt;=MATCH("*【合計】*", 貼り付け用!$A:$A, 0),"",
IF(貼り付け用!B29&lt;&gt;"",貼り付け用!B29,"")))</f>
        <v>#N/A</v>
      </c>
      <c r="C28" s="19" t="e">
        <f>IF(貼り付け用!$A$6&lt;&gt;"",
IF(ROW(C27)+2&gt;=MATCH("*【合計】*", 貼り付け用!$A:$A, 0),"",
IF(貼り付け用!C28&lt;&gt;"",貼り付け用!C28,"")),
IF(ROW(C28)+2&gt;=MATCH("*【合計】*", 貼り付け用!$A:$A, 0),"",
IF(貼り付け用!C29&lt;&gt;"",貼り付け用!C29,"")))</f>
        <v>#N/A</v>
      </c>
      <c r="D28" s="19" t="e">
        <f>IF(貼り付け用!$A$6&lt;&gt;"",
IF(ROW(D27)+2&gt;=MATCH("*【合計】*", 貼り付け用!$A:$A, 0),"",
IF(貼り付け用!D28&lt;&gt;"",貼り付け用!D28,"")),
IF(ROW(D28)+2&gt;=MATCH("*【合計】*", 貼り付け用!$A:$A, 0),"",
IF(貼り付け用!D29&lt;&gt;"",貼り付け用!D29,"")))</f>
        <v>#N/A</v>
      </c>
      <c r="E28" s="19" t="e">
        <f>IF(貼り付け用!$A$6&lt;&gt;"",
IF(ROW(E27)+2&gt;=MATCH("*【合計】*", 貼り付け用!$A:$A, 0),"",
IF(貼り付け用!E28&lt;&gt;"",貼り付け用!E28,"")),
IF(ROW(E28)+2&gt;=MATCH("*【合計】*", 貼り付け用!$A:$A, 0),"",
IF(貼り付け用!E29&lt;&gt;"",貼り付け用!E29,"")))</f>
        <v>#N/A</v>
      </c>
      <c r="F28" s="19" t="e">
        <f>IF(貼り付け用!$A$6&lt;&gt;"",
IF(ROW(F27)+2&gt;=MATCH("*【合計】*", 貼り付け用!$A:$A, 0),"",
IF(貼り付け用!F28&lt;&gt;"",貼り付け用!F28,"")),
IF(ROW(F28)+2&gt;=MATCH("*【合計】*", 貼り付け用!$A:$A, 0),"",
IF(貼り付け用!F29&lt;&gt;"",貼り付け用!F29,"")))</f>
        <v>#N/A</v>
      </c>
      <c r="G28" s="19" t="e">
        <f>IF(貼り付け用!$A$6&lt;&gt;"",
IF(ROW(G27)+2&gt;=MATCH("*【合計】*", 貼り付け用!$A:$A, 0),"",
IF(貼り付け用!G28&lt;&gt;"",貼り付け用!G28,"")),
IF(ROW(G28)+2&gt;=MATCH("*【合計】*", 貼り付け用!$A:$A, 0),"",
IF(貼り付け用!G29&lt;&gt;"",貼り付け用!G29,"")))</f>
        <v>#N/A</v>
      </c>
      <c r="H28" s="19" t="e">
        <f>IF(貼り付け用!$A$6&lt;&gt;"",
IF(ROW(H27)+2&gt;=MATCH("*【合計】*", 貼り付け用!$A:$A, 0),"",
IF(貼り付け用!H28&lt;&gt;"",貼り付け用!H28,"")),
IF(ROW(H28)+2&gt;=MATCH("*【合計】*", 貼り付け用!$A:$A, 0),"",
IF(貼り付け用!H29&lt;&gt;"",貼り付け用!H29,"")))</f>
        <v>#N/A</v>
      </c>
      <c r="I28" s="19" t="e">
        <f>IF(貼り付け用!$A$6&lt;&gt;"",
IF(ROW(I27)+2&gt;=MATCH("*【合計】*", 貼り付け用!$A:$A, 0),"",
IF(貼り付け用!I28&lt;&gt;"",貼り付け用!I28,"")),
IF(ROW(I28)+2&gt;=MATCH("*【合計】*", 貼り付け用!$A:$A, 0),"",
IF(貼り付け用!I29&lt;&gt;"",貼り付け用!I29,"")))</f>
        <v>#N/A</v>
      </c>
      <c r="J28" s="19" t="e">
        <f>IF(貼り付け用!$A$6&lt;&gt;"",
IF(ROW(J27)+2&gt;=MATCH("*【合計】*", 貼り付け用!$A:$A, 0),"",
IF(貼り付け用!J28&lt;&gt;"",貼り付け用!J28,"")),
IF(ROW(J28)+2&gt;=MATCH("*【合計】*", 貼り付け用!$A:$A, 0),"",
IF(貼り付け用!J29&lt;&gt;"",貼り付け用!J29,"")))</f>
        <v>#N/A</v>
      </c>
      <c r="K28" s="19" t="e">
        <f>IF(貼り付け用!$A$6&lt;&gt;"",
IF(ROW(K27)+2&gt;=MATCH("*【合計】*", 貼り付け用!$A:$A, 0),"",
IF(貼り付け用!K28&lt;&gt;"",貼り付け用!K28,"")),
IF(ROW(K28)+2&gt;=MATCH("*【合計】*", 貼り付け用!$A:$A, 0),"",
IF(貼り付け用!K29&lt;&gt;"",貼り付け用!K29,"")))</f>
        <v>#N/A</v>
      </c>
      <c r="L28" s="19" t="e">
        <f>IF(貼り付け用!$A$6&lt;&gt;"",
IF(ROW(L27)+2&gt;=MATCH("*【合計】*", 貼り付け用!$A:$A, 0),"",
IF(L$3&lt;&gt;"",IF(貼り付け用!L28&lt;&gt;"",貼り付け用!L28,""),"")),
IF(ROW(L28)+2&gt;=MATCH("*【合計】*", 貼り付け用!$A:$A, 0),"",
IF(L$3&lt;&gt;"",IF(貼り付け用!L29&lt;&gt;"",貼り付け用!L29,""),"")))</f>
        <v>#N/A</v>
      </c>
      <c r="M28" s="19" t="e">
        <f>IF(貼り付け用!$A$6&lt;&gt;"",
IF(ROW(M27)+2&gt;=MATCH("*【合計】*", 貼り付け用!$A:$A, 0),"",
IF(M$3&lt;&gt;"",IF(貼り付け用!M28&lt;&gt;"",貼り付け用!M28,""),"")),
IF(ROW(M28)+2&gt;=MATCH("*【合計】*", 貼り付け用!$A:$A, 0),"",
IF(M$3&lt;&gt;"",IF(貼り付け用!M29&lt;&gt;"",貼り付け用!M29,""),"")))</f>
        <v>#N/A</v>
      </c>
      <c r="N28" s="19" t="e">
        <f>IF(貼り付け用!$A$6&lt;&gt;"",
IF(ROW(N27)+2&gt;=MATCH("*【合計】*", 貼り付け用!$A:$A, 0),"",
IF(N$3&lt;&gt;"",IF(貼り付け用!N28&lt;&gt;"",貼り付け用!N28,""),"")),
IF(ROW(N28)+2&gt;=MATCH("*【合計】*", 貼り付け用!$A:$A, 0),"",
IF(N$3&lt;&gt;"",IF(貼り付け用!N29&lt;&gt;"",貼り付け用!N29,""),"")))</f>
        <v>#N/A</v>
      </c>
      <c r="O28" s="19" t="e">
        <f>IF(貼り付け用!$A$6&lt;&gt;"",
IF(ROW(O27)+2&gt;=MATCH("*【合計】*", 貼り付け用!$A:$A, 0),"",
IF(O$3&lt;&gt;"",IF(貼り付け用!O28&lt;&gt;"",貼り付け用!O28,""),"")),
IF(ROW(O28)+2&gt;=MATCH("*【合計】*", 貼り付け用!$A:$A, 0),"",
IF(O$3&lt;&gt;"",IF(貼り付け用!O29&lt;&gt;"",貼り付け用!O29,""),"")))</f>
        <v>#N/A</v>
      </c>
      <c r="P28" s="19" t="e">
        <f>IF(貼り付け用!$A$6&lt;&gt;"",
IF(ROW(P27)+2&gt;=MATCH("*【合計】*", 貼り付け用!$A:$A, 0),"",
IF(P$3&lt;&gt;"",IF(貼り付け用!P28&lt;&gt;"",貼り付け用!P28,""),"")),
IF(ROW(P28)+2&gt;=MATCH("*【合計】*", 貼り付け用!$A:$A, 0),"",
IF(P$3&lt;&gt;"",IF(貼り付け用!P29&lt;&gt;"",貼り付け用!P29,""),"")))</f>
        <v>#N/A</v>
      </c>
      <c r="Q28" s="19" t="e">
        <f>IF(貼り付け用!$A$6&lt;&gt;"",
IF(ROW(Q27)+2&gt;=MATCH("*【合計】*", 貼り付け用!$A:$A, 0),"",
IF(Q$3&lt;&gt;"",IF(貼り付け用!Q28&lt;&gt;"",貼り付け用!Q28,""),"")),
IF(ROW(Q28)+2&gt;=MATCH("*【合計】*", 貼り付け用!$A:$A, 0),"",
IF(Q$3&lt;&gt;"",IF(貼り付け用!Q29&lt;&gt;"",貼り付け用!Q29,""),"")))</f>
        <v>#N/A</v>
      </c>
      <c r="R28" s="19" t="e">
        <f>IF(貼り付け用!$A$6&lt;&gt;"",
IF(ROW(R27)+2&gt;=MATCH("*【合計】*", 貼り付け用!$A:$A, 0),"",
IF(R$3&lt;&gt;"",IF(貼り付け用!R28&lt;&gt;"",貼り付け用!R28,""),"")),
IF(ROW(R28)+2&gt;=MATCH("*【合計】*", 貼り付け用!$A:$A, 0),"",
IF(R$3&lt;&gt;"",IF(貼り付け用!R29&lt;&gt;"",貼り付け用!R29,""),"")))</f>
        <v>#N/A</v>
      </c>
      <c r="S28" s="19" t="e">
        <f>IF(貼り付け用!$A$6&lt;&gt;"",
IF(ROW(S27)+2&gt;=MATCH("*【合計】*", 貼り付け用!$A:$A, 0),"",
IF(S$3&lt;&gt;"",IF(貼り付け用!S28&lt;&gt;"",貼り付け用!S28,""),"")),
IF(ROW(S28)+2&gt;=MATCH("*【合計】*", 貼り付け用!$A:$A, 0),"",
IF(S$3&lt;&gt;"",IF(貼り付け用!S29&lt;&gt;"",貼り付け用!S29,""),"")))</f>
        <v>#N/A</v>
      </c>
      <c r="T28" s="19" t="e">
        <f t="array" ref="T28">IF(貼り付け用!$A$6&lt;&gt;"",
IF(INDEX(貼り付け用!A:Z, ROW(T27)+1, MATCH("おやつ", 貼り付け用!$A$3:$Z$3, 0))&lt;&gt;0,
INDEX(貼り付け用!A:Z, ROW(T27)+1, MATCH("おやつ", 貼り付け用!$A$3:$Z$3, 0)),""),
IF(INDEX(貼り付け用!A:Z, ROW(T28)+1, MATCH("おやつ", 貼り付け用!$A$3:$Z$3, 0))&lt;&gt;0,
INDEX(貼り付け用!A:Z, ROW(T28)+1, MATCH("おやつ", 貼り付け用!$A$3:$Z$3, 0)),""))</f>
        <v>#N/A</v>
      </c>
      <c r="U28" s="16"/>
      <c r="V28" s="5" t="e">
        <f t="array" ref="V28">IF(貼り付け用!$A$6&lt;&gt;"",
IF(INDEX(貼り付け用!A:Z, ROW(T27)+1, MATCH("おやつ", 貼り付け用!$A$3:$Z$3, 0)+1)&lt;&gt;0,
INDEX(貼り付け用!A:Z, ROW(T27)+1, MATCH("おやつ", 貼り付け用!$A$3:$Z$3, 0)+1),""),
IF(INDEX(貼り付け用!A:Z, ROW(T28)+1, MATCH("おやつ", 貼り付け用!$A$3:$Z$3, 0)+1)&lt;&gt;0,
INDEX(貼り付け用!A:Z, ROW(T28)+1, MATCH("おやつ", 貼り付け用!$A$3:$Z$3, 0)+1),""))</f>
        <v>#N/A</v>
      </c>
      <c r="W28" s="7" t="e">
        <f t="array" ref="W28">IF(貼り付け用!$A$6&lt;&gt;"",
IF(INDEX(貼り付け用!A:Z, ROW(T27)+1, MATCH("おやつ", 貼り付け用!$A$3:$Z$3, 0)+2)&lt;&gt;0,
INDEX(貼り付け用!A:Z, ROW(T27)+1, MATCH("おやつ", 貼り付け用!$A$3:$Z$3, 0)+2),""),
IF(INDEX(貼り付け用!A:Z, ROW(T28)+1, MATCH("おやつ", 貼り付け用!$A$3:$Z$3, 0)+2)&lt;&gt;0,
INDEX(貼り付け用!A:Z, ROW(T28)+1, MATCH("おやつ", 貼り付け用!$A$3:$Z$3, 0)+2),""))</f>
        <v>#N/A</v>
      </c>
    </row>
    <row r="29" spans="1:23" x14ac:dyDescent="0.45">
      <c r="A29" s="10" t="e">
        <f>IF(貼り付け用!$A$6&lt;&gt;"",
IF(ROW(A28)+1&gt;=MATCH("*10000*", 貼り付け用!$A:$A, 0),"",
IF(貼り付け用!A29&lt;&gt;"",貼り付け用!A29,"")),
IF(ROW(A29)+1&gt;=MATCH("*10000*", 貼り付け用!$A:$A, 0),"",
IF(貼り付け用!A30&lt;&gt;"",貼り付け用!A30,"")))</f>
        <v>#N/A</v>
      </c>
      <c r="B29" s="3" t="e">
        <f>IF(貼り付け用!$A$6&lt;&gt;"",
IF(ROW(B28)+2&gt;=MATCH("*【合計】*", 貼り付け用!$A:$A, 0),"",
IF(貼り付け用!B29&lt;&gt;"",貼り付け用!B29,"")),
IF(ROW(B29)+2&gt;=MATCH("*【合計】*", 貼り付け用!$A:$A, 0),"",
IF(貼り付け用!B30&lt;&gt;"",貼り付け用!B30,"")))</f>
        <v>#N/A</v>
      </c>
      <c r="C29" s="3" t="e">
        <f>IF(貼り付け用!$A$6&lt;&gt;"",
IF(ROW(C28)+2&gt;=MATCH("*【合計】*", 貼り付け用!$A:$A, 0),"",
IF(貼り付け用!C29&lt;&gt;"",貼り付け用!C29,"")),
IF(ROW(C29)+2&gt;=MATCH("*【合計】*", 貼り付け用!$A:$A, 0),"",
IF(貼り付け用!C30&lt;&gt;"",貼り付け用!C30,"")))</f>
        <v>#N/A</v>
      </c>
      <c r="D29" s="3" t="e">
        <f>IF(貼り付け用!$A$6&lt;&gt;"",
IF(ROW(D28)+2&gt;=MATCH("*【合計】*", 貼り付け用!$A:$A, 0),"",
IF(貼り付け用!D29&lt;&gt;"",貼り付け用!D29,"")),
IF(ROW(D29)+2&gt;=MATCH("*【合計】*", 貼り付け用!$A:$A, 0),"",
IF(貼り付け用!D30&lt;&gt;"",貼り付け用!D30,"")))</f>
        <v>#N/A</v>
      </c>
      <c r="E29" s="3" t="e">
        <f>IF(貼り付け用!$A$6&lt;&gt;"",
IF(ROW(E28)+2&gt;=MATCH("*【合計】*", 貼り付け用!$A:$A, 0),"",
IF(貼り付け用!E29&lt;&gt;"",貼り付け用!E29,"")),
IF(ROW(E29)+2&gt;=MATCH("*【合計】*", 貼り付け用!$A:$A, 0),"",
IF(貼り付け用!E30&lt;&gt;"",貼り付け用!E30,"")))</f>
        <v>#N/A</v>
      </c>
      <c r="F29" s="3" t="e">
        <f>IF(貼り付け用!$A$6&lt;&gt;"",
IF(ROW(F28)+2&gt;=MATCH("*【合計】*", 貼り付け用!$A:$A, 0),"",
IF(貼り付け用!F29&lt;&gt;"",貼り付け用!F29,"")),
IF(ROW(F29)+2&gt;=MATCH("*【合計】*", 貼り付け用!$A:$A, 0),"",
IF(貼り付け用!F30&lt;&gt;"",貼り付け用!F30,"")))</f>
        <v>#N/A</v>
      </c>
      <c r="G29" s="3" t="e">
        <f>IF(貼り付け用!$A$6&lt;&gt;"",
IF(ROW(G28)+2&gt;=MATCH("*【合計】*", 貼り付け用!$A:$A, 0),"",
IF(貼り付け用!G29&lt;&gt;"",貼り付け用!G29,"")),
IF(ROW(G29)+2&gt;=MATCH("*【合計】*", 貼り付け用!$A:$A, 0),"",
IF(貼り付け用!G30&lt;&gt;"",貼り付け用!G30,"")))</f>
        <v>#N/A</v>
      </c>
      <c r="H29" s="3" t="e">
        <f>IF(貼り付け用!$A$6&lt;&gt;"",
IF(ROW(H28)+2&gt;=MATCH("*【合計】*", 貼り付け用!$A:$A, 0),"",
IF(貼り付け用!H29&lt;&gt;"",貼り付け用!H29,"")),
IF(ROW(H29)+2&gt;=MATCH("*【合計】*", 貼り付け用!$A:$A, 0),"",
IF(貼り付け用!H30&lt;&gt;"",貼り付け用!H30,"")))</f>
        <v>#N/A</v>
      </c>
      <c r="I29" s="3" t="e">
        <f>IF(貼り付け用!$A$6&lt;&gt;"",
IF(ROW(I28)+2&gt;=MATCH("*【合計】*", 貼り付け用!$A:$A, 0),"",
IF(貼り付け用!I29&lt;&gt;"",貼り付け用!I29,"")),
IF(ROW(I29)+2&gt;=MATCH("*【合計】*", 貼り付け用!$A:$A, 0),"",
IF(貼り付け用!I30&lt;&gt;"",貼り付け用!I30,"")))</f>
        <v>#N/A</v>
      </c>
      <c r="J29" s="3" t="e">
        <f>IF(貼り付け用!$A$6&lt;&gt;"",
IF(ROW(J28)+2&gt;=MATCH("*【合計】*", 貼り付け用!$A:$A, 0),"",
IF(貼り付け用!J29&lt;&gt;"",貼り付け用!J29,"")),
IF(ROW(J29)+2&gt;=MATCH("*【合計】*", 貼り付け用!$A:$A, 0),"",
IF(貼り付け用!J30&lt;&gt;"",貼り付け用!J30,"")))</f>
        <v>#N/A</v>
      </c>
      <c r="K29" s="3" t="e">
        <f>IF(貼り付け用!$A$6&lt;&gt;"",
IF(ROW(K28)+2&gt;=MATCH("*【合計】*", 貼り付け用!$A:$A, 0),"",
IF(貼り付け用!K29&lt;&gt;"",貼り付け用!K29,"")),
IF(ROW(K29)+2&gt;=MATCH("*【合計】*", 貼り付け用!$A:$A, 0),"",
IF(貼り付け用!K30&lt;&gt;"",貼り付け用!K30,"")))</f>
        <v>#N/A</v>
      </c>
      <c r="L29" s="3" t="e">
        <f>IF(貼り付け用!$A$6&lt;&gt;"",
IF(ROW(L28)+2&gt;=MATCH("*【合計】*", 貼り付け用!$A:$A, 0),"",
IF(L$3&lt;&gt;"",IF(貼り付け用!L29&lt;&gt;"",貼り付け用!L29,""),"")),
IF(ROW(L29)+2&gt;=MATCH("*【合計】*", 貼り付け用!$A:$A, 0),"",
IF(L$3&lt;&gt;"",IF(貼り付け用!L30&lt;&gt;"",貼り付け用!L30,""),"")))</f>
        <v>#N/A</v>
      </c>
      <c r="M29" s="3" t="e">
        <f>IF(貼り付け用!$A$6&lt;&gt;"",
IF(ROW(M28)+2&gt;=MATCH("*【合計】*", 貼り付け用!$A:$A, 0),"",
IF(M$3&lt;&gt;"",IF(貼り付け用!M29&lt;&gt;"",貼り付け用!M29,""),"")),
IF(ROW(M29)+2&gt;=MATCH("*【合計】*", 貼り付け用!$A:$A, 0),"",
IF(M$3&lt;&gt;"",IF(貼り付け用!M30&lt;&gt;"",貼り付け用!M30,""),"")))</f>
        <v>#N/A</v>
      </c>
      <c r="N29" s="3" t="e">
        <f>IF(貼り付け用!$A$6&lt;&gt;"",
IF(ROW(N28)+2&gt;=MATCH("*【合計】*", 貼り付け用!$A:$A, 0),"",
IF(N$3&lt;&gt;"",IF(貼り付け用!N29&lt;&gt;"",貼り付け用!N29,""),"")),
IF(ROW(N29)+2&gt;=MATCH("*【合計】*", 貼り付け用!$A:$A, 0),"",
IF(N$3&lt;&gt;"",IF(貼り付け用!N30&lt;&gt;"",貼り付け用!N30,""),"")))</f>
        <v>#N/A</v>
      </c>
      <c r="O29" s="3" t="e">
        <f>IF(貼り付け用!$A$6&lt;&gt;"",
IF(ROW(O28)+2&gt;=MATCH("*【合計】*", 貼り付け用!$A:$A, 0),"",
IF(O$3&lt;&gt;"",IF(貼り付け用!O29&lt;&gt;"",貼り付け用!O29,""),"")),
IF(ROW(O29)+2&gt;=MATCH("*【合計】*", 貼り付け用!$A:$A, 0),"",
IF(O$3&lt;&gt;"",IF(貼り付け用!O30&lt;&gt;"",貼り付け用!O30,""),"")))</f>
        <v>#N/A</v>
      </c>
      <c r="P29" s="3" t="e">
        <f>IF(貼り付け用!$A$6&lt;&gt;"",
IF(ROW(P28)+2&gt;=MATCH("*【合計】*", 貼り付け用!$A:$A, 0),"",
IF(P$3&lt;&gt;"",IF(貼り付け用!P29&lt;&gt;"",貼り付け用!P29,""),"")),
IF(ROW(P29)+2&gt;=MATCH("*【合計】*", 貼り付け用!$A:$A, 0),"",
IF(P$3&lt;&gt;"",IF(貼り付け用!P30&lt;&gt;"",貼り付け用!P30,""),"")))</f>
        <v>#N/A</v>
      </c>
      <c r="Q29" s="3" t="e">
        <f>IF(貼り付け用!$A$6&lt;&gt;"",
IF(ROW(Q28)+2&gt;=MATCH("*【合計】*", 貼り付け用!$A:$A, 0),"",
IF(Q$3&lt;&gt;"",IF(貼り付け用!Q29&lt;&gt;"",貼り付け用!Q29,""),"")),
IF(ROW(Q29)+2&gt;=MATCH("*【合計】*", 貼り付け用!$A:$A, 0),"",
IF(Q$3&lt;&gt;"",IF(貼り付け用!Q30&lt;&gt;"",貼り付け用!Q30,""),"")))</f>
        <v>#N/A</v>
      </c>
      <c r="R29" s="3" t="e">
        <f>IF(貼り付け用!$A$6&lt;&gt;"",
IF(ROW(R28)+2&gt;=MATCH("*【合計】*", 貼り付け用!$A:$A, 0),"",
IF(R$3&lt;&gt;"",IF(貼り付け用!R29&lt;&gt;"",貼り付け用!R29,""),"")),
IF(ROW(R29)+2&gt;=MATCH("*【合計】*", 貼り付け用!$A:$A, 0),"",
IF(R$3&lt;&gt;"",IF(貼り付け用!R30&lt;&gt;"",貼り付け用!R30,""),"")))</f>
        <v>#N/A</v>
      </c>
      <c r="S29" s="3" t="e">
        <f>IF(貼り付け用!$A$6&lt;&gt;"",
IF(ROW(S28)+2&gt;=MATCH("*【合計】*", 貼り付け用!$A:$A, 0),"",
IF(S$3&lt;&gt;"",IF(貼り付け用!S29&lt;&gt;"",貼り付け用!S29,""),"")),
IF(ROW(S29)+2&gt;=MATCH("*【合計】*", 貼り付け用!$A:$A, 0),"",
IF(S$3&lt;&gt;"",IF(貼り付け用!S30&lt;&gt;"",貼り付け用!S30,""),"")))</f>
        <v>#N/A</v>
      </c>
      <c r="T29" s="2" t="e">
        <f t="array" ref="T29">IF(貼り付け用!$A$6&lt;&gt;"",
IF(INDEX(貼り付け用!A:Z, ROW(T28)+1, MATCH("おやつ", 貼り付け用!$A$3:$Z$3, 0))&lt;&gt;0,
INDEX(貼り付け用!A:Z, ROW(T28)+1, MATCH("おやつ", 貼り付け用!$A$3:$Z$3, 0)),""),
IF(INDEX(貼り付け用!A:Z, ROW(T29)+1, MATCH("おやつ", 貼り付け用!$A$3:$Z$3, 0))&lt;&gt;0,
INDEX(貼り付け用!A:Z, ROW(T29)+1, MATCH("おやつ", 貼り付け用!$A$3:$Z$3, 0)),""))</f>
        <v>#N/A</v>
      </c>
      <c r="U29" s="52"/>
      <c r="V29" s="8" t="e">
        <f t="array" ref="V29">IF(貼り付け用!$A$6&lt;&gt;"",
IF(INDEX(貼り付け用!A:Z, ROW(T28)+1, MATCH("おやつ", 貼り付け用!$A$3:$Z$3, 0)+1)&lt;&gt;0,
INDEX(貼り付け用!A:Z, ROW(T28)+1, MATCH("おやつ", 貼り付け用!$A$3:$Z$3, 0)+1),""),
IF(INDEX(貼り付け用!A:Z, ROW(T29)+1, MATCH("おやつ", 貼り付け用!$A$3:$Z$3, 0)+1)&lt;&gt;0,
INDEX(貼り付け用!A:Z, ROW(T29)+1, MATCH("おやつ", 貼り付け用!$A$3:$Z$3, 0)+1),""))</f>
        <v>#N/A</v>
      </c>
      <c r="W29" s="9" t="e">
        <f t="array" ref="W29">IF(貼り付け用!$A$6&lt;&gt;"",
IF(INDEX(貼り付け用!A:Z, ROW(T28)+1, MATCH("おやつ", 貼り付け用!$A$3:$Z$3, 0)+2)&lt;&gt;0,
INDEX(貼り付け用!A:Z, ROW(T28)+1, MATCH("おやつ", 貼り付け用!$A$3:$Z$3, 0)+2),""),
IF(INDEX(貼り付け用!A:Z, ROW(T29)+1, MATCH("おやつ", 貼り付け用!$A$3:$Z$3, 0)+2)&lt;&gt;0,
INDEX(貼り付け用!A:Z, ROW(T29)+1, MATCH("おやつ", 貼り付け用!$A$3:$Z$3, 0)+2),""))</f>
        <v>#N/A</v>
      </c>
    </row>
    <row r="30" spans="1:23" x14ac:dyDescent="0.45">
      <c r="A30" s="4" t="e">
        <f>IF(貼り付け用!$A$6&lt;&gt;"",
IF(ROW(A29)+1&gt;=MATCH("*10000*", 貼り付け用!$A:$A, 0),
IF(COUNTIF(A28,"*10000*"),"10001",
IF(COUNTIF(A28,"*10001*"),"10002",
IF(COUNTIF(A28,"*10002*"),"",
IF(COUNTIF(A28,""),"","10000")))),
IF(貼り付け用!A30&lt;&gt;"",貼り付け用!A30,"")),
IF(ROW(A30)+1&gt;=MATCH("*10000*", 貼り付け用!$A:$A, 0),
IF(COUNTIF(A28,"*10000*"),"10001",
IF(COUNTIF(A28,"*10001*"),"10002",
IF(COUNTIF(A28,"*10002*"),"",
IF(COUNTIF(A28,""),"","10000")))),
IF(貼り付け用!A31&lt;&gt;"",貼り付け用!A31,"")))</f>
        <v>#N/A</v>
      </c>
      <c r="B30" s="19" t="e">
        <f>IF(貼り付け用!$A$6&lt;&gt;"",
IF(ROW(B29)+2&gt;=MATCH("*【合計】*", 貼り付け用!$A:$A, 0),"",
IF(貼り付け用!B30&lt;&gt;"",貼り付け用!B30,"")),
IF(ROW(B30)+2&gt;=MATCH("*【合計】*", 貼り付け用!$A:$A, 0),"",
IF(貼り付け用!B31&lt;&gt;"",貼り付け用!B31,"")))</f>
        <v>#N/A</v>
      </c>
      <c r="C30" s="19" t="e">
        <f>IF(貼り付け用!$A$6&lt;&gt;"",
IF(ROW(C29)+2&gt;=MATCH("*【合計】*", 貼り付け用!$A:$A, 0),"",
IF(貼り付け用!C30&lt;&gt;"",貼り付け用!C30,"")),
IF(ROW(C30)+2&gt;=MATCH("*【合計】*", 貼り付け用!$A:$A, 0),"",
IF(貼り付け用!C31&lt;&gt;"",貼り付け用!C31,"")))</f>
        <v>#N/A</v>
      </c>
      <c r="D30" s="19" t="e">
        <f>IF(貼り付け用!$A$6&lt;&gt;"",
IF(ROW(D29)+2&gt;=MATCH("*【合計】*", 貼り付け用!$A:$A, 0),"",
IF(貼り付け用!D30&lt;&gt;"",貼り付け用!D30,"")),
IF(ROW(D30)+2&gt;=MATCH("*【合計】*", 貼り付け用!$A:$A, 0),"",
IF(貼り付け用!D31&lt;&gt;"",貼り付け用!D31,"")))</f>
        <v>#N/A</v>
      </c>
      <c r="E30" s="19" t="e">
        <f>IF(貼り付け用!$A$6&lt;&gt;"",
IF(ROW(E29)+2&gt;=MATCH("*【合計】*", 貼り付け用!$A:$A, 0),"",
IF(貼り付け用!E30&lt;&gt;"",貼り付け用!E30,"")),
IF(ROW(E30)+2&gt;=MATCH("*【合計】*", 貼り付け用!$A:$A, 0),"",
IF(貼り付け用!E31&lt;&gt;"",貼り付け用!E31,"")))</f>
        <v>#N/A</v>
      </c>
      <c r="F30" s="19" t="e">
        <f>IF(貼り付け用!$A$6&lt;&gt;"",
IF(ROW(F29)+2&gt;=MATCH("*【合計】*", 貼り付け用!$A:$A, 0),"",
IF(貼り付け用!F30&lt;&gt;"",貼り付け用!F30,"")),
IF(ROW(F30)+2&gt;=MATCH("*【合計】*", 貼り付け用!$A:$A, 0),"",
IF(貼り付け用!F31&lt;&gt;"",貼り付け用!F31,"")))</f>
        <v>#N/A</v>
      </c>
      <c r="G30" s="19" t="e">
        <f>IF(貼り付け用!$A$6&lt;&gt;"",
IF(ROW(G29)+2&gt;=MATCH("*【合計】*", 貼り付け用!$A:$A, 0),"",
IF(貼り付け用!G30&lt;&gt;"",貼り付け用!G30,"")),
IF(ROW(G30)+2&gt;=MATCH("*【合計】*", 貼り付け用!$A:$A, 0),"",
IF(貼り付け用!G31&lt;&gt;"",貼り付け用!G31,"")))</f>
        <v>#N/A</v>
      </c>
      <c r="H30" s="19" t="e">
        <f>IF(貼り付け用!$A$6&lt;&gt;"",
IF(ROW(H29)+2&gt;=MATCH("*【合計】*", 貼り付け用!$A:$A, 0),"",
IF(貼り付け用!H30&lt;&gt;"",貼り付け用!H30,"")),
IF(ROW(H30)+2&gt;=MATCH("*【合計】*", 貼り付け用!$A:$A, 0),"",
IF(貼り付け用!H31&lt;&gt;"",貼り付け用!H31,"")))</f>
        <v>#N/A</v>
      </c>
      <c r="I30" s="19" t="e">
        <f>IF(貼り付け用!$A$6&lt;&gt;"",
IF(ROW(I29)+2&gt;=MATCH("*【合計】*", 貼り付け用!$A:$A, 0),"",
IF(貼り付け用!I30&lt;&gt;"",貼り付け用!I30,"")),
IF(ROW(I30)+2&gt;=MATCH("*【合計】*", 貼り付け用!$A:$A, 0),"",
IF(貼り付け用!I31&lt;&gt;"",貼り付け用!I31,"")))</f>
        <v>#N/A</v>
      </c>
      <c r="J30" s="19" t="e">
        <f>IF(貼り付け用!$A$6&lt;&gt;"",
IF(ROW(J29)+2&gt;=MATCH("*【合計】*", 貼り付け用!$A:$A, 0),"",
IF(貼り付け用!J30&lt;&gt;"",貼り付け用!J30,"")),
IF(ROW(J30)+2&gt;=MATCH("*【合計】*", 貼り付け用!$A:$A, 0),"",
IF(貼り付け用!J31&lt;&gt;"",貼り付け用!J31,"")))</f>
        <v>#N/A</v>
      </c>
      <c r="K30" s="19" t="e">
        <f>IF(貼り付け用!$A$6&lt;&gt;"",
IF(ROW(K29)+2&gt;=MATCH("*【合計】*", 貼り付け用!$A:$A, 0),"",
IF(貼り付け用!K30&lt;&gt;"",貼り付け用!K30,"")),
IF(ROW(K30)+2&gt;=MATCH("*【合計】*", 貼り付け用!$A:$A, 0),"",
IF(貼り付け用!K31&lt;&gt;"",貼り付け用!K31,"")))</f>
        <v>#N/A</v>
      </c>
      <c r="L30" s="19" t="e">
        <f>IF(貼り付け用!$A$6&lt;&gt;"",
IF(ROW(L29)+2&gt;=MATCH("*【合計】*", 貼り付け用!$A:$A, 0),"",
IF(L$3&lt;&gt;"",IF(貼り付け用!L30&lt;&gt;"",貼り付け用!L30,""),"")),
IF(ROW(L30)+2&gt;=MATCH("*【合計】*", 貼り付け用!$A:$A, 0),"",
IF(L$3&lt;&gt;"",IF(貼り付け用!L31&lt;&gt;"",貼り付け用!L31,""),"")))</f>
        <v>#N/A</v>
      </c>
      <c r="M30" s="19" t="e">
        <f>IF(貼り付け用!$A$6&lt;&gt;"",
IF(ROW(M29)+2&gt;=MATCH("*【合計】*", 貼り付け用!$A:$A, 0),"",
IF(M$3&lt;&gt;"",IF(貼り付け用!M30&lt;&gt;"",貼り付け用!M30,""),"")),
IF(ROW(M30)+2&gt;=MATCH("*【合計】*", 貼り付け用!$A:$A, 0),"",
IF(M$3&lt;&gt;"",IF(貼り付け用!M31&lt;&gt;"",貼り付け用!M31,""),"")))</f>
        <v>#N/A</v>
      </c>
      <c r="N30" s="19" t="e">
        <f>IF(貼り付け用!$A$6&lt;&gt;"",
IF(ROW(N29)+2&gt;=MATCH("*【合計】*", 貼り付け用!$A:$A, 0),"",
IF(N$3&lt;&gt;"",IF(貼り付け用!N30&lt;&gt;"",貼り付け用!N30,""),"")),
IF(ROW(N30)+2&gt;=MATCH("*【合計】*", 貼り付け用!$A:$A, 0),"",
IF(N$3&lt;&gt;"",IF(貼り付け用!N31&lt;&gt;"",貼り付け用!N31,""),"")))</f>
        <v>#N/A</v>
      </c>
      <c r="O30" s="19" t="e">
        <f>IF(貼り付け用!$A$6&lt;&gt;"",
IF(ROW(O29)+2&gt;=MATCH("*【合計】*", 貼り付け用!$A:$A, 0),"",
IF(O$3&lt;&gt;"",IF(貼り付け用!O30&lt;&gt;"",貼り付け用!O30,""),"")),
IF(ROW(O30)+2&gt;=MATCH("*【合計】*", 貼り付け用!$A:$A, 0),"",
IF(O$3&lt;&gt;"",IF(貼り付け用!O31&lt;&gt;"",貼り付け用!O31,""),"")))</f>
        <v>#N/A</v>
      </c>
      <c r="P30" s="19" t="e">
        <f>IF(貼り付け用!$A$6&lt;&gt;"",
IF(ROW(P29)+2&gt;=MATCH("*【合計】*", 貼り付け用!$A:$A, 0),"",
IF(P$3&lt;&gt;"",IF(貼り付け用!P30&lt;&gt;"",貼り付け用!P30,""),"")),
IF(ROW(P30)+2&gt;=MATCH("*【合計】*", 貼り付け用!$A:$A, 0),"",
IF(P$3&lt;&gt;"",IF(貼り付け用!P31&lt;&gt;"",貼り付け用!P31,""),"")))</f>
        <v>#N/A</v>
      </c>
      <c r="Q30" s="19" t="e">
        <f>IF(貼り付け用!$A$6&lt;&gt;"",
IF(ROW(Q29)+2&gt;=MATCH("*【合計】*", 貼り付け用!$A:$A, 0),"",
IF(Q$3&lt;&gt;"",IF(貼り付け用!Q30&lt;&gt;"",貼り付け用!Q30,""),"")),
IF(ROW(Q30)+2&gt;=MATCH("*【合計】*", 貼り付け用!$A:$A, 0),"",
IF(Q$3&lt;&gt;"",IF(貼り付け用!Q31&lt;&gt;"",貼り付け用!Q31,""),"")))</f>
        <v>#N/A</v>
      </c>
      <c r="R30" s="19" t="e">
        <f>IF(貼り付け用!$A$6&lt;&gt;"",
IF(ROW(R29)+2&gt;=MATCH("*【合計】*", 貼り付け用!$A:$A, 0),"",
IF(R$3&lt;&gt;"",IF(貼り付け用!R30&lt;&gt;"",貼り付け用!R30,""),"")),
IF(ROW(R30)+2&gt;=MATCH("*【合計】*", 貼り付け用!$A:$A, 0),"",
IF(R$3&lt;&gt;"",IF(貼り付け用!R31&lt;&gt;"",貼り付け用!R31,""),"")))</f>
        <v>#N/A</v>
      </c>
      <c r="S30" s="19" t="e">
        <f>IF(貼り付け用!$A$6&lt;&gt;"",
IF(ROW(S29)+2&gt;=MATCH("*【合計】*", 貼り付け用!$A:$A, 0),"",
IF(S$3&lt;&gt;"",IF(貼り付け用!S30&lt;&gt;"",貼り付け用!S30,""),"")),
IF(ROW(S30)+2&gt;=MATCH("*【合計】*", 貼り付け用!$A:$A, 0),"",
IF(S$3&lt;&gt;"",IF(貼り付け用!S31&lt;&gt;"",貼り付け用!S31,""),"")))</f>
        <v>#N/A</v>
      </c>
      <c r="T30" s="19" t="e">
        <f t="array" ref="T30">IF(貼り付け用!$A$6&lt;&gt;"",
IF(INDEX(貼り付け用!A:Z, ROW(T29)+1, MATCH("おやつ", 貼り付け用!$A$3:$Z$3, 0))&lt;&gt;0,
INDEX(貼り付け用!A:Z, ROW(T29)+1, MATCH("おやつ", 貼り付け用!$A$3:$Z$3, 0)),""),
IF(INDEX(貼り付け用!A:Z, ROW(T30)+1, MATCH("おやつ", 貼り付け用!$A$3:$Z$3, 0))&lt;&gt;0,
INDEX(貼り付け用!A:Z, ROW(T30)+1, MATCH("おやつ", 貼り付け用!$A$3:$Z$3, 0)),""))</f>
        <v>#N/A</v>
      </c>
      <c r="U30" s="16"/>
      <c r="V30" s="5" t="e">
        <f t="array" ref="V30">IF(貼り付け用!$A$6&lt;&gt;"",
IF(INDEX(貼り付け用!A:Z, ROW(T29)+1, MATCH("おやつ", 貼り付け用!$A$3:$Z$3, 0)+1)&lt;&gt;0,
INDEX(貼り付け用!A:Z, ROW(T29)+1, MATCH("おやつ", 貼り付け用!$A$3:$Z$3, 0)+1),""),
IF(INDEX(貼り付け用!A:Z, ROW(T30)+1, MATCH("おやつ", 貼り付け用!$A$3:$Z$3, 0)+1)&lt;&gt;0,
INDEX(貼り付け用!A:Z, ROW(T30)+1, MATCH("おやつ", 貼り付け用!$A$3:$Z$3, 0)+1),""))</f>
        <v>#N/A</v>
      </c>
      <c r="W30" s="7" t="e">
        <f t="array" ref="W30">IF(貼り付け用!$A$6&lt;&gt;"",
IF(INDEX(貼り付け用!A:Z, ROW(T29)+1, MATCH("おやつ", 貼り付け用!$A$3:$Z$3, 0)+2)&lt;&gt;0,
INDEX(貼り付け用!A:Z, ROW(T29)+1, MATCH("おやつ", 貼り付け用!$A$3:$Z$3, 0)+2),""),
IF(INDEX(貼り付け用!A:Z, ROW(T30)+1, MATCH("おやつ", 貼り付け用!$A$3:$Z$3, 0)+2)&lt;&gt;0,
INDEX(貼り付け用!A:Z, ROW(T30)+1, MATCH("おやつ", 貼り付け用!$A$3:$Z$3, 0)+2),""))</f>
        <v>#N/A</v>
      </c>
    </row>
    <row r="31" spans="1:23" x14ac:dyDescent="0.45">
      <c r="A31" s="10" t="e">
        <f>IF(貼り付け用!$A$6&lt;&gt;"",
IF(ROW(A30)+1&gt;=MATCH("*10000*", 貼り付け用!$A:$A, 0),"",
IF(貼り付け用!A31&lt;&gt;"",貼り付け用!A31,"")),
IF(ROW(A31)+1&gt;=MATCH("*10000*", 貼り付け用!$A:$A, 0),"",
IF(貼り付け用!A32&lt;&gt;"",貼り付け用!A32,"")))</f>
        <v>#N/A</v>
      </c>
      <c r="B31" s="3" t="e">
        <f>IF(貼り付け用!$A$6&lt;&gt;"",
IF(ROW(B30)+2&gt;=MATCH("*【合計】*", 貼り付け用!$A:$A, 0),"",
IF(貼り付け用!B31&lt;&gt;"",貼り付け用!B31,"")),
IF(ROW(B31)+2&gt;=MATCH("*【合計】*", 貼り付け用!$A:$A, 0),"",
IF(貼り付け用!B32&lt;&gt;"",貼り付け用!B32,"")))</f>
        <v>#N/A</v>
      </c>
      <c r="C31" s="3" t="e">
        <f>IF(貼り付け用!$A$6&lt;&gt;"",
IF(ROW(C30)+2&gt;=MATCH("*【合計】*", 貼り付け用!$A:$A, 0),"",
IF(貼り付け用!C31&lt;&gt;"",貼り付け用!C31,"")),
IF(ROW(C31)+2&gt;=MATCH("*【合計】*", 貼り付け用!$A:$A, 0),"",
IF(貼り付け用!C32&lt;&gt;"",貼り付け用!C32,"")))</f>
        <v>#N/A</v>
      </c>
      <c r="D31" s="3" t="e">
        <f>IF(貼り付け用!$A$6&lt;&gt;"",
IF(ROW(D30)+2&gt;=MATCH("*【合計】*", 貼り付け用!$A:$A, 0),"",
IF(貼り付け用!D31&lt;&gt;"",貼り付け用!D31,"")),
IF(ROW(D31)+2&gt;=MATCH("*【合計】*", 貼り付け用!$A:$A, 0),"",
IF(貼り付け用!D32&lt;&gt;"",貼り付け用!D32,"")))</f>
        <v>#N/A</v>
      </c>
      <c r="E31" s="3" t="e">
        <f>IF(貼り付け用!$A$6&lt;&gt;"",
IF(ROW(E30)+2&gt;=MATCH("*【合計】*", 貼り付け用!$A:$A, 0),"",
IF(貼り付け用!E31&lt;&gt;"",貼り付け用!E31,"")),
IF(ROW(E31)+2&gt;=MATCH("*【合計】*", 貼り付け用!$A:$A, 0),"",
IF(貼り付け用!E32&lt;&gt;"",貼り付け用!E32,"")))</f>
        <v>#N/A</v>
      </c>
      <c r="F31" s="3" t="e">
        <f>IF(貼り付け用!$A$6&lt;&gt;"",
IF(ROW(F30)+2&gt;=MATCH("*【合計】*", 貼り付け用!$A:$A, 0),"",
IF(貼り付け用!F31&lt;&gt;"",貼り付け用!F31,"")),
IF(ROW(F31)+2&gt;=MATCH("*【合計】*", 貼り付け用!$A:$A, 0),"",
IF(貼り付け用!F32&lt;&gt;"",貼り付け用!F32,"")))</f>
        <v>#N/A</v>
      </c>
      <c r="G31" s="3" t="e">
        <f>IF(貼り付け用!$A$6&lt;&gt;"",
IF(ROW(G30)+2&gt;=MATCH("*【合計】*", 貼り付け用!$A:$A, 0),"",
IF(貼り付け用!G31&lt;&gt;"",貼り付け用!G31,"")),
IF(ROW(G31)+2&gt;=MATCH("*【合計】*", 貼り付け用!$A:$A, 0),"",
IF(貼り付け用!G32&lt;&gt;"",貼り付け用!G32,"")))</f>
        <v>#N/A</v>
      </c>
      <c r="H31" s="3" t="e">
        <f>IF(貼り付け用!$A$6&lt;&gt;"",
IF(ROW(H30)+2&gt;=MATCH("*【合計】*", 貼り付け用!$A:$A, 0),"",
IF(貼り付け用!H31&lt;&gt;"",貼り付け用!H31,"")),
IF(ROW(H31)+2&gt;=MATCH("*【合計】*", 貼り付け用!$A:$A, 0),"",
IF(貼り付け用!H32&lt;&gt;"",貼り付け用!H32,"")))</f>
        <v>#N/A</v>
      </c>
      <c r="I31" s="3" t="e">
        <f>IF(貼り付け用!$A$6&lt;&gt;"",
IF(ROW(I30)+2&gt;=MATCH("*【合計】*", 貼り付け用!$A:$A, 0),"",
IF(貼り付け用!I31&lt;&gt;"",貼り付け用!I31,"")),
IF(ROW(I31)+2&gt;=MATCH("*【合計】*", 貼り付け用!$A:$A, 0),"",
IF(貼り付け用!I32&lt;&gt;"",貼り付け用!I32,"")))</f>
        <v>#N/A</v>
      </c>
      <c r="J31" s="3" t="e">
        <f>IF(貼り付け用!$A$6&lt;&gt;"",
IF(ROW(J30)+2&gt;=MATCH("*【合計】*", 貼り付け用!$A:$A, 0),"",
IF(貼り付け用!J31&lt;&gt;"",貼り付け用!J31,"")),
IF(ROW(J31)+2&gt;=MATCH("*【合計】*", 貼り付け用!$A:$A, 0),"",
IF(貼り付け用!J32&lt;&gt;"",貼り付け用!J32,"")))</f>
        <v>#N/A</v>
      </c>
      <c r="K31" s="3" t="e">
        <f>IF(貼り付け用!$A$6&lt;&gt;"",
IF(ROW(K30)+2&gt;=MATCH("*【合計】*", 貼り付け用!$A:$A, 0),"",
IF(貼り付け用!K31&lt;&gt;"",貼り付け用!K31,"")),
IF(ROW(K31)+2&gt;=MATCH("*【合計】*", 貼り付け用!$A:$A, 0),"",
IF(貼り付け用!K32&lt;&gt;"",貼り付け用!K32,"")))</f>
        <v>#N/A</v>
      </c>
      <c r="L31" s="3" t="e">
        <f>IF(貼り付け用!$A$6&lt;&gt;"",
IF(ROW(L30)+2&gt;=MATCH("*【合計】*", 貼り付け用!$A:$A, 0),"",
IF(L$3&lt;&gt;"",IF(貼り付け用!L31&lt;&gt;"",貼り付け用!L31,""),"")),
IF(ROW(L31)+2&gt;=MATCH("*【合計】*", 貼り付け用!$A:$A, 0),"",
IF(L$3&lt;&gt;"",IF(貼り付け用!L32&lt;&gt;"",貼り付け用!L32,""),"")))</f>
        <v>#N/A</v>
      </c>
      <c r="M31" s="3" t="e">
        <f>IF(貼り付け用!$A$6&lt;&gt;"",
IF(ROW(M30)+2&gt;=MATCH("*【合計】*", 貼り付け用!$A:$A, 0),"",
IF(M$3&lt;&gt;"",IF(貼り付け用!M31&lt;&gt;"",貼り付け用!M31,""),"")),
IF(ROW(M31)+2&gt;=MATCH("*【合計】*", 貼り付け用!$A:$A, 0),"",
IF(M$3&lt;&gt;"",IF(貼り付け用!M32&lt;&gt;"",貼り付け用!M32,""),"")))</f>
        <v>#N/A</v>
      </c>
      <c r="N31" s="3" t="e">
        <f>IF(貼り付け用!$A$6&lt;&gt;"",
IF(ROW(N30)+2&gt;=MATCH("*【合計】*", 貼り付け用!$A:$A, 0),"",
IF(N$3&lt;&gt;"",IF(貼り付け用!N31&lt;&gt;"",貼り付け用!N31,""),"")),
IF(ROW(N31)+2&gt;=MATCH("*【合計】*", 貼り付け用!$A:$A, 0),"",
IF(N$3&lt;&gt;"",IF(貼り付け用!N32&lt;&gt;"",貼り付け用!N32,""),"")))</f>
        <v>#N/A</v>
      </c>
      <c r="O31" s="3" t="e">
        <f>IF(貼り付け用!$A$6&lt;&gt;"",
IF(ROW(O30)+2&gt;=MATCH("*【合計】*", 貼り付け用!$A:$A, 0),"",
IF(O$3&lt;&gt;"",IF(貼り付け用!O31&lt;&gt;"",貼り付け用!O31,""),"")),
IF(ROW(O31)+2&gt;=MATCH("*【合計】*", 貼り付け用!$A:$A, 0),"",
IF(O$3&lt;&gt;"",IF(貼り付け用!O32&lt;&gt;"",貼り付け用!O32,""),"")))</f>
        <v>#N/A</v>
      </c>
      <c r="P31" s="3" t="e">
        <f>IF(貼り付け用!$A$6&lt;&gt;"",
IF(ROW(P30)+2&gt;=MATCH("*【合計】*", 貼り付け用!$A:$A, 0),"",
IF(P$3&lt;&gt;"",IF(貼り付け用!P31&lt;&gt;"",貼り付け用!P31,""),"")),
IF(ROW(P31)+2&gt;=MATCH("*【合計】*", 貼り付け用!$A:$A, 0),"",
IF(P$3&lt;&gt;"",IF(貼り付け用!P32&lt;&gt;"",貼り付け用!P32,""),"")))</f>
        <v>#N/A</v>
      </c>
      <c r="Q31" s="3" t="e">
        <f>IF(貼り付け用!$A$6&lt;&gt;"",
IF(ROW(Q30)+2&gt;=MATCH("*【合計】*", 貼り付け用!$A:$A, 0),"",
IF(Q$3&lt;&gt;"",IF(貼り付け用!Q31&lt;&gt;"",貼り付け用!Q31,""),"")),
IF(ROW(Q31)+2&gt;=MATCH("*【合計】*", 貼り付け用!$A:$A, 0),"",
IF(Q$3&lt;&gt;"",IF(貼り付け用!Q32&lt;&gt;"",貼り付け用!Q32,""),"")))</f>
        <v>#N/A</v>
      </c>
      <c r="R31" s="3" t="e">
        <f>IF(貼り付け用!$A$6&lt;&gt;"",
IF(ROW(R30)+2&gt;=MATCH("*【合計】*", 貼り付け用!$A:$A, 0),"",
IF(R$3&lt;&gt;"",IF(貼り付け用!R31&lt;&gt;"",貼り付け用!R31,""),"")),
IF(ROW(R31)+2&gt;=MATCH("*【合計】*", 貼り付け用!$A:$A, 0),"",
IF(R$3&lt;&gt;"",IF(貼り付け用!R32&lt;&gt;"",貼り付け用!R32,""),"")))</f>
        <v>#N/A</v>
      </c>
      <c r="S31" s="3" t="e">
        <f>IF(貼り付け用!$A$6&lt;&gt;"",
IF(ROW(S30)+2&gt;=MATCH("*【合計】*", 貼り付け用!$A:$A, 0),"",
IF(S$3&lt;&gt;"",IF(貼り付け用!S31&lt;&gt;"",貼り付け用!S31,""),"")),
IF(ROW(S31)+2&gt;=MATCH("*【合計】*", 貼り付け用!$A:$A, 0),"",
IF(S$3&lt;&gt;"",IF(貼り付け用!S32&lt;&gt;"",貼り付け用!S32,""),"")))</f>
        <v>#N/A</v>
      </c>
      <c r="T31" s="2" t="e">
        <f t="array" ref="T31">IF(貼り付け用!$A$6&lt;&gt;"",
IF(INDEX(貼り付け用!A:Z, ROW(T30)+1, MATCH("おやつ", 貼り付け用!$A$3:$Z$3, 0))&lt;&gt;0,
INDEX(貼り付け用!A:Z, ROW(T30)+1, MATCH("おやつ", 貼り付け用!$A$3:$Z$3, 0)),""),
IF(INDEX(貼り付け用!A:Z, ROW(T31)+1, MATCH("おやつ", 貼り付け用!$A$3:$Z$3, 0))&lt;&gt;0,
INDEX(貼り付け用!A:Z, ROW(T31)+1, MATCH("おやつ", 貼り付け用!$A$3:$Z$3, 0)),""))</f>
        <v>#N/A</v>
      </c>
      <c r="U31" s="52"/>
      <c r="V31" s="8" t="e">
        <f t="array" ref="V31">IF(貼り付け用!$A$6&lt;&gt;"",
IF(INDEX(貼り付け用!A:Z, ROW(T30)+1, MATCH("おやつ", 貼り付け用!$A$3:$Z$3, 0)+1)&lt;&gt;0,
INDEX(貼り付け用!A:Z, ROW(T30)+1, MATCH("おやつ", 貼り付け用!$A$3:$Z$3, 0)+1),""),
IF(INDEX(貼り付け用!A:Z, ROW(T31)+1, MATCH("おやつ", 貼り付け用!$A$3:$Z$3, 0)+1)&lt;&gt;0,
INDEX(貼り付け用!A:Z, ROW(T31)+1, MATCH("おやつ", 貼り付け用!$A$3:$Z$3, 0)+1),""))</f>
        <v>#N/A</v>
      </c>
      <c r="W31" s="9" t="e">
        <f t="array" ref="W31">IF(貼り付け用!$A$6&lt;&gt;"",
IF(INDEX(貼り付け用!A:Z, ROW(T30)+1, MATCH("おやつ", 貼り付け用!$A$3:$Z$3, 0)+2)&lt;&gt;0,
INDEX(貼り付け用!A:Z, ROW(T30)+1, MATCH("おやつ", 貼り付け用!$A$3:$Z$3, 0)+2),""),
IF(INDEX(貼り付け用!A:Z, ROW(T31)+1, MATCH("おやつ", 貼り付け用!$A$3:$Z$3, 0)+2)&lt;&gt;0,
INDEX(貼り付け用!A:Z, ROW(T31)+1, MATCH("おやつ", 貼り付け用!$A$3:$Z$3, 0)+2),""))</f>
        <v>#N/A</v>
      </c>
    </row>
    <row r="32" spans="1:23" x14ac:dyDescent="0.45">
      <c r="A32" s="4" t="e">
        <f>IF(貼り付け用!$A$6&lt;&gt;"",
IF(ROW(A31)+1&gt;=MATCH("*10000*", 貼り付け用!$A:$A, 0),
IF(COUNTIF(A30,"*10000*"),"10001",
IF(COUNTIF(A30,"*10001*"),"10002",
IF(COUNTIF(A30,"*10002*"),"",
IF(COUNTIF(A30,""),"","10000")))),
IF(貼り付け用!A32&lt;&gt;"",貼り付け用!A32,"")),
IF(ROW(A32)+1&gt;=MATCH("*10000*", 貼り付け用!$A:$A, 0),
IF(COUNTIF(A30,"*10000*"),"10001",
IF(COUNTIF(A30,"*10001*"),"10002",
IF(COUNTIF(A30,"*10002*"),"",
IF(COUNTIF(A30,""),"","10000")))),
IF(貼り付け用!A33&lt;&gt;"",貼り付け用!A33,"")))</f>
        <v>#N/A</v>
      </c>
      <c r="B32" s="19" t="e">
        <f>IF(貼り付け用!$A$6&lt;&gt;"",
IF(ROW(B31)+2&gt;=MATCH("*【合計】*", 貼り付け用!$A:$A, 0),"",
IF(貼り付け用!B32&lt;&gt;"",貼り付け用!B32,"")),
IF(ROW(B32)+2&gt;=MATCH("*【合計】*", 貼り付け用!$A:$A, 0),"",
IF(貼り付け用!B33&lt;&gt;"",貼り付け用!B33,"")))</f>
        <v>#N/A</v>
      </c>
      <c r="C32" s="19" t="e">
        <f>IF(貼り付け用!$A$6&lt;&gt;"",
IF(ROW(C31)+2&gt;=MATCH("*【合計】*", 貼り付け用!$A:$A, 0),"",
IF(貼り付け用!C32&lt;&gt;"",貼り付け用!C32,"")),
IF(ROW(C32)+2&gt;=MATCH("*【合計】*", 貼り付け用!$A:$A, 0),"",
IF(貼り付け用!C33&lt;&gt;"",貼り付け用!C33,"")))</f>
        <v>#N/A</v>
      </c>
      <c r="D32" s="19" t="e">
        <f>IF(貼り付け用!$A$6&lt;&gt;"",
IF(ROW(D31)+2&gt;=MATCH("*【合計】*", 貼り付け用!$A:$A, 0),"",
IF(貼り付け用!D32&lt;&gt;"",貼り付け用!D32,"")),
IF(ROW(D32)+2&gt;=MATCH("*【合計】*", 貼り付け用!$A:$A, 0),"",
IF(貼り付け用!D33&lt;&gt;"",貼り付け用!D33,"")))</f>
        <v>#N/A</v>
      </c>
      <c r="E32" s="19" t="e">
        <f>IF(貼り付け用!$A$6&lt;&gt;"",
IF(ROW(E31)+2&gt;=MATCH("*【合計】*", 貼り付け用!$A:$A, 0),"",
IF(貼り付け用!E32&lt;&gt;"",貼り付け用!E32,"")),
IF(ROW(E32)+2&gt;=MATCH("*【合計】*", 貼り付け用!$A:$A, 0),"",
IF(貼り付け用!E33&lt;&gt;"",貼り付け用!E33,"")))</f>
        <v>#N/A</v>
      </c>
      <c r="F32" s="19" t="e">
        <f>IF(貼り付け用!$A$6&lt;&gt;"",
IF(ROW(F31)+2&gt;=MATCH("*【合計】*", 貼り付け用!$A:$A, 0),"",
IF(貼り付け用!F32&lt;&gt;"",貼り付け用!F32,"")),
IF(ROW(F32)+2&gt;=MATCH("*【合計】*", 貼り付け用!$A:$A, 0),"",
IF(貼り付け用!F33&lt;&gt;"",貼り付け用!F33,"")))</f>
        <v>#N/A</v>
      </c>
      <c r="G32" s="19" t="e">
        <f>IF(貼り付け用!$A$6&lt;&gt;"",
IF(ROW(G31)+2&gt;=MATCH("*【合計】*", 貼り付け用!$A:$A, 0),"",
IF(貼り付け用!G32&lt;&gt;"",貼り付け用!G32,"")),
IF(ROW(G32)+2&gt;=MATCH("*【合計】*", 貼り付け用!$A:$A, 0),"",
IF(貼り付け用!G33&lt;&gt;"",貼り付け用!G33,"")))</f>
        <v>#N/A</v>
      </c>
      <c r="H32" s="19" t="e">
        <f>IF(貼り付け用!$A$6&lt;&gt;"",
IF(ROW(H31)+2&gt;=MATCH("*【合計】*", 貼り付け用!$A:$A, 0),"",
IF(貼り付け用!H32&lt;&gt;"",貼り付け用!H32,"")),
IF(ROW(H32)+2&gt;=MATCH("*【合計】*", 貼り付け用!$A:$A, 0),"",
IF(貼り付け用!H33&lt;&gt;"",貼り付け用!H33,"")))</f>
        <v>#N/A</v>
      </c>
      <c r="I32" s="19" t="e">
        <f>IF(貼り付け用!$A$6&lt;&gt;"",
IF(ROW(I31)+2&gt;=MATCH("*【合計】*", 貼り付け用!$A:$A, 0),"",
IF(貼り付け用!I32&lt;&gt;"",貼り付け用!I32,"")),
IF(ROW(I32)+2&gt;=MATCH("*【合計】*", 貼り付け用!$A:$A, 0),"",
IF(貼り付け用!I33&lt;&gt;"",貼り付け用!I33,"")))</f>
        <v>#N/A</v>
      </c>
      <c r="J32" s="19" t="e">
        <f>IF(貼り付け用!$A$6&lt;&gt;"",
IF(ROW(J31)+2&gt;=MATCH("*【合計】*", 貼り付け用!$A:$A, 0),"",
IF(貼り付け用!J32&lt;&gt;"",貼り付け用!J32,"")),
IF(ROW(J32)+2&gt;=MATCH("*【合計】*", 貼り付け用!$A:$A, 0),"",
IF(貼り付け用!J33&lt;&gt;"",貼り付け用!J33,"")))</f>
        <v>#N/A</v>
      </c>
      <c r="K32" s="19" t="e">
        <f>IF(貼り付け用!$A$6&lt;&gt;"",
IF(ROW(K31)+2&gt;=MATCH("*【合計】*", 貼り付け用!$A:$A, 0),"",
IF(貼り付け用!K32&lt;&gt;"",貼り付け用!K32,"")),
IF(ROW(K32)+2&gt;=MATCH("*【合計】*", 貼り付け用!$A:$A, 0),"",
IF(貼り付け用!K33&lt;&gt;"",貼り付け用!K33,"")))</f>
        <v>#N/A</v>
      </c>
      <c r="L32" s="19" t="e">
        <f>IF(貼り付け用!$A$6&lt;&gt;"",
IF(ROW(L31)+2&gt;=MATCH("*【合計】*", 貼り付け用!$A:$A, 0),"",
IF(L$3&lt;&gt;"",IF(貼り付け用!L32&lt;&gt;"",貼り付け用!L32,""),"")),
IF(ROW(L32)+2&gt;=MATCH("*【合計】*", 貼り付け用!$A:$A, 0),"",
IF(L$3&lt;&gt;"",IF(貼り付け用!L33&lt;&gt;"",貼り付け用!L33,""),"")))</f>
        <v>#N/A</v>
      </c>
      <c r="M32" s="19" t="e">
        <f>IF(貼り付け用!$A$6&lt;&gt;"",
IF(ROW(M31)+2&gt;=MATCH("*【合計】*", 貼り付け用!$A:$A, 0),"",
IF(M$3&lt;&gt;"",IF(貼り付け用!M32&lt;&gt;"",貼り付け用!M32,""),"")),
IF(ROW(M32)+2&gt;=MATCH("*【合計】*", 貼り付け用!$A:$A, 0),"",
IF(M$3&lt;&gt;"",IF(貼り付け用!M33&lt;&gt;"",貼り付け用!M33,""),"")))</f>
        <v>#N/A</v>
      </c>
      <c r="N32" s="19" t="e">
        <f>IF(貼り付け用!$A$6&lt;&gt;"",
IF(ROW(N31)+2&gt;=MATCH("*【合計】*", 貼り付け用!$A:$A, 0),"",
IF(N$3&lt;&gt;"",IF(貼り付け用!N32&lt;&gt;"",貼り付け用!N32,""),"")),
IF(ROW(N32)+2&gt;=MATCH("*【合計】*", 貼り付け用!$A:$A, 0),"",
IF(N$3&lt;&gt;"",IF(貼り付け用!N33&lt;&gt;"",貼り付け用!N33,""),"")))</f>
        <v>#N/A</v>
      </c>
      <c r="O32" s="19" t="e">
        <f>IF(貼り付け用!$A$6&lt;&gt;"",
IF(ROW(O31)+2&gt;=MATCH("*【合計】*", 貼り付け用!$A:$A, 0),"",
IF(O$3&lt;&gt;"",IF(貼り付け用!O32&lt;&gt;"",貼り付け用!O32,""),"")),
IF(ROW(O32)+2&gt;=MATCH("*【合計】*", 貼り付け用!$A:$A, 0),"",
IF(O$3&lt;&gt;"",IF(貼り付け用!O33&lt;&gt;"",貼り付け用!O33,""),"")))</f>
        <v>#N/A</v>
      </c>
      <c r="P32" s="19" t="e">
        <f>IF(貼り付け用!$A$6&lt;&gt;"",
IF(ROW(P31)+2&gt;=MATCH("*【合計】*", 貼り付け用!$A:$A, 0),"",
IF(P$3&lt;&gt;"",IF(貼り付け用!P32&lt;&gt;"",貼り付け用!P32,""),"")),
IF(ROW(P32)+2&gt;=MATCH("*【合計】*", 貼り付け用!$A:$A, 0),"",
IF(P$3&lt;&gt;"",IF(貼り付け用!P33&lt;&gt;"",貼り付け用!P33,""),"")))</f>
        <v>#N/A</v>
      </c>
      <c r="Q32" s="19" t="e">
        <f>IF(貼り付け用!$A$6&lt;&gt;"",
IF(ROW(Q31)+2&gt;=MATCH("*【合計】*", 貼り付け用!$A:$A, 0),"",
IF(Q$3&lt;&gt;"",IF(貼り付け用!Q32&lt;&gt;"",貼り付け用!Q32,""),"")),
IF(ROW(Q32)+2&gt;=MATCH("*【合計】*", 貼り付け用!$A:$A, 0),"",
IF(Q$3&lt;&gt;"",IF(貼り付け用!Q33&lt;&gt;"",貼り付け用!Q33,""),"")))</f>
        <v>#N/A</v>
      </c>
      <c r="R32" s="19" t="e">
        <f>IF(貼り付け用!$A$6&lt;&gt;"",
IF(ROW(R31)+2&gt;=MATCH("*【合計】*", 貼り付け用!$A:$A, 0),"",
IF(R$3&lt;&gt;"",IF(貼り付け用!R32&lt;&gt;"",貼り付け用!R32,""),"")),
IF(ROW(R32)+2&gt;=MATCH("*【合計】*", 貼り付け用!$A:$A, 0),"",
IF(R$3&lt;&gt;"",IF(貼り付け用!R33&lt;&gt;"",貼り付け用!R33,""),"")))</f>
        <v>#N/A</v>
      </c>
      <c r="S32" s="19" t="e">
        <f>IF(貼り付け用!$A$6&lt;&gt;"",
IF(ROW(S31)+2&gt;=MATCH("*【合計】*", 貼り付け用!$A:$A, 0),"",
IF(S$3&lt;&gt;"",IF(貼り付け用!S32&lt;&gt;"",貼り付け用!S32,""),"")),
IF(ROW(S32)+2&gt;=MATCH("*【合計】*", 貼り付け用!$A:$A, 0),"",
IF(S$3&lt;&gt;"",IF(貼り付け用!S33&lt;&gt;"",貼り付け用!S33,""),"")))</f>
        <v>#N/A</v>
      </c>
      <c r="T32" s="19" t="e">
        <f t="array" ref="T32">IF(貼り付け用!$A$6&lt;&gt;"",
IF(INDEX(貼り付け用!A:Z, ROW(T31)+1, MATCH("おやつ", 貼り付け用!$A$3:$Z$3, 0))&lt;&gt;0,
INDEX(貼り付け用!A:Z, ROW(T31)+1, MATCH("おやつ", 貼り付け用!$A$3:$Z$3, 0)),""),
IF(INDEX(貼り付け用!A:Z, ROW(T32)+1, MATCH("おやつ", 貼り付け用!$A$3:$Z$3, 0))&lt;&gt;0,
INDEX(貼り付け用!A:Z, ROW(T32)+1, MATCH("おやつ", 貼り付け用!$A$3:$Z$3, 0)),""))</f>
        <v>#N/A</v>
      </c>
      <c r="U32" s="16"/>
      <c r="V32" s="5" t="e">
        <f t="array" ref="V32">IF(貼り付け用!$A$6&lt;&gt;"",
IF(INDEX(貼り付け用!A:Z, ROW(T31)+1, MATCH("おやつ", 貼り付け用!$A$3:$Z$3, 0)+1)&lt;&gt;0,
INDEX(貼り付け用!A:Z, ROW(T31)+1, MATCH("おやつ", 貼り付け用!$A$3:$Z$3, 0)+1),""),
IF(INDEX(貼り付け用!A:Z, ROW(T32)+1, MATCH("おやつ", 貼り付け用!$A$3:$Z$3, 0)+1)&lt;&gt;0,
INDEX(貼り付け用!A:Z, ROW(T32)+1, MATCH("おやつ", 貼り付け用!$A$3:$Z$3, 0)+1),""))</f>
        <v>#N/A</v>
      </c>
      <c r="W32" s="7" t="e">
        <f t="array" ref="W32">IF(貼り付け用!$A$6&lt;&gt;"",
IF(INDEX(貼り付け用!A:Z, ROW(T31)+1, MATCH("おやつ", 貼り付け用!$A$3:$Z$3, 0)+2)&lt;&gt;0,
INDEX(貼り付け用!A:Z, ROW(T31)+1, MATCH("おやつ", 貼り付け用!$A$3:$Z$3, 0)+2),""),
IF(INDEX(貼り付け用!A:Z, ROW(T32)+1, MATCH("おやつ", 貼り付け用!$A$3:$Z$3, 0)+2)&lt;&gt;0,
INDEX(貼り付け用!A:Z, ROW(T32)+1, MATCH("おやつ", 貼り付け用!$A$3:$Z$3, 0)+2),""))</f>
        <v>#N/A</v>
      </c>
    </row>
    <row r="33" spans="1:23" x14ac:dyDescent="0.45">
      <c r="A33" s="10" t="e">
        <f>IF(貼り付け用!$A$6&lt;&gt;"",
IF(ROW(A32)+1&gt;=MATCH("*10000*", 貼り付け用!$A:$A, 0),"",
IF(貼り付け用!A33&lt;&gt;"",貼り付け用!A33,"")),
IF(ROW(A33)+1&gt;=MATCH("*10000*", 貼り付け用!$A:$A, 0),"",
IF(貼り付け用!A34&lt;&gt;"",貼り付け用!A34,"")))</f>
        <v>#N/A</v>
      </c>
      <c r="B33" s="3" t="e">
        <f>IF(貼り付け用!$A$6&lt;&gt;"",
IF(ROW(B32)+2&gt;=MATCH("*【合計】*", 貼り付け用!$A:$A, 0),"",
IF(貼り付け用!B33&lt;&gt;"",貼り付け用!B33,"")),
IF(ROW(B33)+2&gt;=MATCH("*【合計】*", 貼り付け用!$A:$A, 0),"",
IF(貼り付け用!B34&lt;&gt;"",貼り付け用!B34,"")))</f>
        <v>#N/A</v>
      </c>
      <c r="C33" s="3" t="e">
        <f>IF(貼り付け用!$A$6&lt;&gt;"",
IF(ROW(C32)+2&gt;=MATCH("*【合計】*", 貼り付け用!$A:$A, 0),"",
IF(貼り付け用!C33&lt;&gt;"",貼り付け用!C33,"")),
IF(ROW(C33)+2&gt;=MATCH("*【合計】*", 貼り付け用!$A:$A, 0),"",
IF(貼り付け用!C34&lt;&gt;"",貼り付け用!C34,"")))</f>
        <v>#N/A</v>
      </c>
      <c r="D33" s="3" t="e">
        <f>IF(貼り付け用!$A$6&lt;&gt;"",
IF(ROW(D32)+2&gt;=MATCH("*【合計】*", 貼り付け用!$A:$A, 0),"",
IF(貼り付け用!D33&lt;&gt;"",貼り付け用!D33,"")),
IF(ROW(D33)+2&gt;=MATCH("*【合計】*", 貼り付け用!$A:$A, 0),"",
IF(貼り付け用!D34&lt;&gt;"",貼り付け用!D34,"")))</f>
        <v>#N/A</v>
      </c>
      <c r="E33" s="3" t="e">
        <f>IF(貼り付け用!$A$6&lt;&gt;"",
IF(ROW(E32)+2&gt;=MATCH("*【合計】*", 貼り付け用!$A:$A, 0),"",
IF(貼り付け用!E33&lt;&gt;"",貼り付け用!E33,"")),
IF(ROW(E33)+2&gt;=MATCH("*【合計】*", 貼り付け用!$A:$A, 0),"",
IF(貼り付け用!E34&lt;&gt;"",貼り付け用!E34,"")))</f>
        <v>#N/A</v>
      </c>
      <c r="F33" s="3" t="e">
        <f>IF(貼り付け用!$A$6&lt;&gt;"",
IF(ROW(F32)+2&gt;=MATCH("*【合計】*", 貼り付け用!$A:$A, 0),"",
IF(貼り付け用!F33&lt;&gt;"",貼り付け用!F33,"")),
IF(ROW(F33)+2&gt;=MATCH("*【合計】*", 貼り付け用!$A:$A, 0),"",
IF(貼り付け用!F34&lt;&gt;"",貼り付け用!F34,"")))</f>
        <v>#N/A</v>
      </c>
      <c r="G33" s="3" t="e">
        <f>IF(貼り付け用!$A$6&lt;&gt;"",
IF(ROW(G32)+2&gt;=MATCH("*【合計】*", 貼り付け用!$A:$A, 0),"",
IF(貼り付け用!G33&lt;&gt;"",貼り付け用!G33,"")),
IF(ROW(G33)+2&gt;=MATCH("*【合計】*", 貼り付け用!$A:$A, 0),"",
IF(貼り付け用!G34&lt;&gt;"",貼り付け用!G34,"")))</f>
        <v>#N/A</v>
      </c>
      <c r="H33" s="3" t="e">
        <f>IF(貼り付け用!$A$6&lt;&gt;"",
IF(ROW(H32)+2&gt;=MATCH("*【合計】*", 貼り付け用!$A:$A, 0),"",
IF(貼り付け用!H33&lt;&gt;"",貼り付け用!H33,"")),
IF(ROW(H33)+2&gt;=MATCH("*【合計】*", 貼り付け用!$A:$A, 0),"",
IF(貼り付け用!H34&lt;&gt;"",貼り付け用!H34,"")))</f>
        <v>#N/A</v>
      </c>
      <c r="I33" s="3" t="e">
        <f>IF(貼り付け用!$A$6&lt;&gt;"",
IF(ROW(I32)+2&gt;=MATCH("*【合計】*", 貼り付け用!$A:$A, 0),"",
IF(貼り付け用!I33&lt;&gt;"",貼り付け用!I33,"")),
IF(ROW(I33)+2&gt;=MATCH("*【合計】*", 貼り付け用!$A:$A, 0),"",
IF(貼り付け用!I34&lt;&gt;"",貼り付け用!I34,"")))</f>
        <v>#N/A</v>
      </c>
      <c r="J33" s="3" t="e">
        <f>IF(貼り付け用!$A$6&lt;&gt;"",
IF(ROW(J32)+2&gt;=MATCH("*【合計】*", 貼り付け用!$A:$A, 0),"",
IF(貼り付け用!J33&lt;&gt;"",貼り付け用!J33,"")),
IF(ROW(J33)+2&gt;=MATCH("*【合計】*", 貼り付け用!$A:$A, 0),"",
IF(貼り付け用!J34&lt;&gt;"",貼り付け用!J34,"")))</f>
        <v>#N/A</v>
      </c>
      <c r="K33" s="3" t="e">
        <f>IF(貼り付け用!$A$6&lt;&gt;"",
IF(ROW(K32)+2&gt;=MATCH("*【合計】*", 貼り付け用!$A:$A, 0),"",
IF(貼り付け用!K33&lt;&gt;"",貼り付け用!K33,"")),
IF(ROW(K33)+2&gt;=MATCH("*【合計】*", 貼り付け用!$A:$A, 0),"",
IF(貼り付け用!K34&lt;&gt;"",貼り付け用!K34,"")))</f>
        <v>#N/A</v>
      </c>
      <c r="L33" s="3" t="e">
        <f>IF(貼り付け用!$A$6&lt;&gt;"",
IF(ROW(L32)+2&gt;=MATCH("*【合計】*", 貼り付け用!$A:$A, 0),"",
IF(L$3&lt;&gt;"",IF(貼り付け用!L33&lt;&gt;"",貼り付け用!L33,""),"")),
IF(ROW(L33)+2&gt;=MATCH("*【合計】*", 貼り付け用!$A:$A, 0),"",
IF(L$3&lt;&gt;"",IF(貼り付け用!L34&lt;&gt;"",貼り付け用!L34,""),"")))</f>
        <v>#N/A</v>
      </c>
      <c r="M33" s="3" t="e">
        <f>IF(貼り付け用!$A$6&lt;&gt;"",
IF(ROW(M32)+2&gt;=MATCH("*【合計】*", 貼り付け用!$A:$A, 0),"",
IF(M$3&lt;&gt;"",IF(貼り付け用!M33&lt;&gt;"",貼り付け用!M33,""),"")),
IF(ROW(M33)+2&gt;=MATCH("*【合計】*", 貼り付け用!$A:$A, 0),"",
IF(M$3&lt;&gt;"",IF(貼り付け用!M34&lt;&gt;"",貼り付け用!M34,""),"")))</f>
        <v>#N/A</v>
      </c>
      <c r="N33" s="3" t="e">
        <f>IF(貼り付け用!$A$6&lt;&gt;"",
IF(ROW(N32)+2&gt;=MATCH("*【合計】*", 貼り付け用!$A:$A, 0),"",
IF(N$3&lt;&gt;"",IF(貼り付け用!N33&lt;&gt;"",貼り付け用!N33,""),"")),
IF(ROW(N33)+2&gt;=MATCH("*【合計】*", 貼り付け用!$A:$A, 0),"",
IF(N$3&lt;&gt;"",IF(貼り付け用!N34&lt;&gt;"",貼り付け用!N34,""),"")))</f>
        <v>#N/A</v>
      </c>
      <c r="O33" s="3" t="e">
        <f>IF(貼り付け用!$A$6&lt;&gt;"",
IF(ROW(O32)+2&gt;=MATCH("*【合計】*", 貼り付け用!$A:$A, 0),"",
IF(O$3&lt;&gt;"",IF(貼り付け用!O33&lt;&gt;"",貼り付け用!O33,""),"")),
IF(ROW(O33)+2&gt;=MATCH("*【合計】*", 貼り付け用!$A:$A, 0),"",
IF(O$3&lt;&gt;"",IF(貼り付け用!O34&lt;&gt;"",貼り付け用!O34,""),"")))</f>
        <v>#N/A</v>
      </c>
      <c r="P33" s="3" t="e">
        <f>IF(貼り付け用!$A$6&lt;&gt;"",
IF(ROW(P32)+2&gt;=MATCH("*【合計】*", 貼り付け用!$A:$A, 0),"",
IF(P$3&lt;&gt;"",IF(貼り付け用!P33&lt;&gt;"",貼り付け用!P33,""),"")),
IF(ROW(P33)+2&gt;=MATCH("*【合計】*", 貼り付け用!$A:$A, 0),"",
IF(P$3&lt;&gt;"",IF(貼り付け用!P34&lt;&gt;"",貼り付け用!P34,""),"")))</f>
        <v>#N/A</v>
      </c>
      <c r="Q33" s="3" t="e">
        <f>IF(貼り付け用!$A$6&lt;&gt;"",
IF(ROW(Q32)+2&gt;=MATCH("*【合計】*", 貼り付け用!$A:$A, 0),"",
IF(Q$3&lt;&gt;"",IF(貼り付け用!Q33&lt;&gt;"",貼り付け用!Q33,""),"")),
IF(ROW(Q33)+2&gt;=MATCH("*【合計】*", 貼り付け用!$A:$A, 0),"",
IF(Q$3&lt;&gt;"",IF(貼り付け用!Q34&lt;&gt;"",貼り付け用!Q34,""),"")))</f>
        <v>#N/A</v>
      </c>
      <c r="R33" s="3" t="e">
        <f>IF(貼り付け用!$A$6&lt;&gt;"",
IF(ROW(R32)+2&gt;=MATCH("*【合計】*", 貼り付け用!$A:$A, 0),"",
IF(R$3&lt;&gt;"",IF(貼り付け用!R33&lt;&gt;"",貼り付け用!R33,""),"")),
IF(ROW(R33)+2&gt;=MATCH("*【合計】*", 貼り付け用!$A:$A, 0),"",
IF(R$3&lt;&gt;"",IF(貼り付け用!R34&lt;&gt;"",貼り付け用!R34,""),"")))</f>
        <v>#N/A</v>
      </c>
      <c r="S33" s="3" t="e">
        <f>IF(貼り付け用!$A$6&lt;&gt;"",
IF(ROW(S32)+2&gt;=MATCH("*【合計】*", 貼り付け用!$A:$A, 0),"",
IF(S$3&lt;&gt;"",IF(貼り付け用!S33&lt;&gt;"",貼り付け用!S33,""),"")),
IF(ROW(S33)+2&gt;=MATCH("*【合計】*", 貼り付け用!$A:$A, 0),"",
IF(S$3&lt;&gt;"",IF(貼り付け用!S34&lt;&gt;"",貼り付け用!S34,""),"")))</f>
        <v>#N/A</v>
      </c>
      <c r="T33" s="2" t="e">
        <f t="array" ref="T33">IF(貼り付け用!$A$6&lt;&gt;"",
IF(INDEX(貼り付け用!A:Z, ROW(T32)+1, MATCH("おやつ", 貼り付け用!$A$3:$Z$3, 0))&lt;&gt;0,
INDEX(貼り付け用!A:Z, ROW(T32)+1, MATCH("おやつ", 貼り付け用!$A$3:$Z$3, 0)),""),
IF(INDEX(貼り付け用!A:Z, ROW(T33)+1, MATCH("おやつ", 貼り付け用!$A$3:$Z$3, 0))&lt;&gt;0,
INDEX(貼り付け用!A:Z, ROW(T33)+1, MATCH("おやつ", 貼り付け用!$A$3:$Z$3, 0)),""))</f>
        <v>#N/A</v>
      </c>
      <c r="U33" s="52"/>
      <c r="V33" s="8" t="e">
        <f t="array" ref="V33">IF(貼り付け用!$A$6&lt;&gt;"",
IF(INDEX(貼り付け用!A:Z, ROW(T32)+1, MATCH("おやつ", 貼り付け用!$A$3:$Z$3, 0)+1)&lt;&gt;0,
INDEX(貼り付け用!A:Z, ROW(T32)+1, MATCH("おやつ", 貼り付け用!$A$3:$Z$3, 0)+1),""),
IF(INDEX(貼り付け用!A:Z, ROW(T33)+1, MATCH("おやつ", 貼り付け用!$A$3:$Z$3, 0)+1)&lt;&gt;0,
INDEX(貼り付け用!A:Z, ROW(T33)+1, MATCH("おやつ", 貼り付け用!$A$3:$Z$3, 0)+1),""))</f>
        <v>#N/A</v>
      </c>
      <c r="W33" s="9" t="e">
        <f t="array" ref="W33">IF(貼り付け用!$A$6&lt;&gt;"",
IF(INDEX(貼り付け用!A:Z, ROW(T32)+1, MATCH("おやつ", 貼り付け用!$A$3:$Z$3, 0)+2)&lt;&gt;0,
INDEX(貼り付け用!A:Z, ROW(T32)+1, MATCH("おやつ", 貼り付け用!$A$3:$Z$3, 0)+2),""),
IF(INDEX(貼り付け用!A:Z, ROW(T33)+1, MATCH("おやつ", 貼り付け用!$A$3:$Z$3, 0)+2)&lt;&gt;0,
INDEX(貼り付け用!A:Z, ROW(T33)+1, MATCH("おやつ", 貼り付け用!$A$3:$Z$3, 0)+2),""))</f>
        <v>#N/A</v>
      </c>
    </row>
    <row r="34" spans="1:23" x14ac:dyDescent="0.45">
      <c r="A34" s="4" t="e">
        <f>IF(貼り付け用!$A$6&lt;&gt;"",
IF(ROW(A33)+1&gt;=MATCH("*10000*", 貼り付け用!$A:$A, 0),
IF(COUNTIF(A32,"*10000*"),"10001",
IF(COUNTIF(A32,"*10001*"),"10002",
IF(COUNTIF(A32,"*10002*"),"",
IF(COUNTIF(A32,""),"","10000")))),
IF(貼り付け用!A34&lt;&gt;"",貼り付け用!A34,"")),
IF(ROW(A34)+1&gt;=MATCH("*10000*", 貼り付け用!$A:$A, 0),
IF(COUNTIF(A32,"*10000*"),"10001",
IF(COUNTIF(A32,"*10001*"),"10002",
IF(COUNTIF(A32,"*10002*"),"",
IF(COUNTIF(A32,""),"","10000")))),
IF(貼り付け用!A35&lt;&gt;"",貼り付け用!A35,"")))</f>
        <v>#N/A</v>
      </c>
      <c r="B34" s="19" t="e">
        <f>IF(貼り付け用!$A$6&lt;&gt;"",
IF(ROW(B33)+2&gt;=MATCH("*【合計】*", 貼り付け用!$A:$A, 0),"",
IF(貼り付け用!B34&lt;&gt;"",貼り付け用!B34,"")),
IF(ROW(B34)+2&gt;=MATCH("*【合計】*", 貼り付け用!$A:$A, 0),"",
IF(貼り付け用!B35&lt;&gt;"",貼り付け用!B35,"")))</f>
        <v>#N/A</v>
      </c>
      <c r="C34" s="19" t="e">
        <f>IF(貼り付け用!$A$6&lt;&gt;"",
IF(ROW(C33)+2&gt;=MATCH("*【合計】*", 貼り付け用!$A:$A, 0),"",
IF(貼り付け用!C34&lt;&gt;"",貼り付け用!C34,"")),
IF(ROW(C34)+2&gt;=MATCH("*【合計】*", 貼り付け用!$A:$A, 0),"",
IF(貼り付け用!C35&lt;&gt;"",貼り付け用!C35,"")))</f>
        <v>#N/A</v>
      </c>
      <c r="D34" s="19" t="e">
        <f>IF(貼り付け用!$A$6&lt;&gt;"",
IF(ROW(D33)+2&gt;=MATCH("*【合計】*", 貼り付け用!$A:$A, 0),"",
IF(貼り付け用!D34&lt;&gt;"",貼り付け用!D34,"")),
IF(ROW(D34)+2&gt;=MATCH("*【合計】*", 貼り付け用!$A:$A, 0),"",
IF(貼り付け用!D35&lt;&gt;"",貼り付け用!D35,"")))</f>
        <v>#N/A</v>
      </c>
      <c r="E34" s="19" t="e">
        <f>IF(貼り付け用!$A$6&lt;&gt;"",
IF(ROW(E33)+2&gt;=MATCH("*【合計】*", 貼り付け用!$A:$A, 0),"",
IF(貼り付け用!E34&lt;&gt;"",貼り付け用!E34,"")),
IF(ROW(E34)+2&gt;=MATCH("*【合計】*", 貼り付け用!$A:$A, 0),"",
IF(貼り付け用!E35&lt;&gt;"",貼り付け用!E35,"")))</f>
        <v>#N/A</v>
      </c>
      <c r="F34" s="19" t="e">
        <f>IF(貼り付け用!$A$6&lt;&gt;"",
IF(ROW(F33)+2&gt;=MATCH("*【合計】*", 貼り付け用!$A:$A, 0),"",
IF(貼り付け用!F34&lt;&gt;"",貼り付け用!F34,"")),
IF(ROW(F34)+2&gt;=MATCH("*【合計】*", 貼り付け用!$A:$A, 0),"",
IF(貼り付け用!F35&lt;&gt;"",貼り付け用!F35,"")))</f>
        <v>#N/A</v>
      </c>
      <c r="G34" s="19" t="e">
        <f>IF(貼り付け用!$A$6&lt;&gt;"",
IF(ROW(G33)+2&gt;=MATCH("*【合計】*", 貼り付け用!$A:$A, 0),"",
IF(貼り付け用!G34&lt;&gt;"",貼り付け用!G34,"")),
IF(ROW(G34)+2&gt;=MATCH("*【合計】*", 貼り付け用!$A:$A, 0),"",
IF(貼り付け用!G35&lt;&gt;"",貼り付け用!G35,"")))</f>
        <v>#N/A</v>
      </c>
      <c r="H34" s="19" t="e">
        <f>IF(貼り付け用!$A$6&lt;&gt;"",
IF(ROW(H33)+2&gt;=MATCH("*【合計】*", 貼り付け用!$A:$A, 0),"",
IF(貼り付け用!H34&lt;&gt;"",貼り付け用!H34,"")),
IF(ROW(H34)+2&gt;=MATCH("*【合計】*", 貼り付け用!$A:$A, 0),"",
IF(貼り付け用!H35&lt;&gt;"",貼り付け用!H35,"")))</f>
        <v>#N/A</v>
      </c>
      <c r="I34" s="19" t="e">
        <f>IF(貼り付け用!$A$6&lt;&gt;"",
IF(ROW(I33)+2&gt;=MATCH("*【合計】*", 貼り付け用!$A:$A, 0),"",
IF(貼り付け用!I34&lt;&gt;"",貼り付け用!I34,"")),
IF(ROW(I34)+2&gt;=MATCH("*【合計】*", 貼り付け用!$A:$A, 0),"",
IF(貼り付け用!I35&lt;&gt;"",貼り付け用!I35,"")))</f>
        <v>#N/A</v>
      </c>
      <c r="J34" s="19" t="e">
        <f>IF(貼り付け用!$A$6&lt;&gt;"",
IF(ROW(J33)+2&gt;=MATCH("*【合計】*", 貼り付け用!$A:$A, 0),"",
IF(貼り付け用!J34&lt;&gt;"",貼り付け用!J34,"")),
IF(ROW(J34)+2&gt;=MATCH("*【合計】*", 貼り付け用!$A:$A, 0),"",
IF(貼り付け用!J35&lt;&gt;"",貼り付け用!J35,"")))</f>
        <v>#N/A</v>
      </c>
      <c r="K34" s="19" t="e">
        <f>IF(貼り付け用!$A$6&lt;&gt;"",
IF(ROW(K33)+2&gt;=MATCH("*【合計】*", 貼り付け用!$A:$A, 0),"",
IF(貼り付け用!K34&lt;&gt;"",貼り付け用!K34,"")),
IF(ROW(K34)+2&gt;=MATCH("*【合計】*", 貼り付け用!$A:$A, 0),"",
IF(貼り付け用!K35&lt;&gt;"",貼り付け用!K35,"")))</f>
        <v>#N/A</v>
      </c>
      <c r="L34" s="19" t="e">
        <f>IF(貼り付け用!$A$6&lt;&gt;"",
IF(ROW(L33)+2&gt;=MATCH("*【合計】*", 貼り付け用!$A:$A, 0),"",
IF(L$3&lt;&gt;"",IF(貼り付け用!L34&lt;&gt;"",貼り付け用!L34,""),"")),
IF(ROW(L34)+2&gt;=MATCH("*【合計】*", 貼り付け用!$A:$A, 0),"",
IF(L$3&lt;&gt;"",IF(貼り付け用!L35&lt;&gt;"",貼り付け用!L35,""),"")))</f>
        <v>#N/A</v>
      </c>
      <c r="M34" s="19" t="e">
        <f>IF(貼り付け用!$A$6&lt;&gt;"",
IF(ROW(M33)+2&gt;=MATCH("*【合計】*", 貼り付け用!$A:$A, 0),"",
IF(M$3&lt;&gt;"",IF(貼り付け用!M34&lt;&gt;"",貼り付け用!M34,""),"")),
IF(ROW(M34)+2&gt;=MATCH("*【合計】*", 貼り付け用!$A:$A, 0),"",
IF(M$3&lt;&gt;"",IF(貼り付け用!M35&lt;&gt;"",貼り付け用!M35,""),"")))</f>
        <v>#N/A</v>
      </c>
      <c r="N34" s="19" t="e">
        <f>IF(貼り付け用!$A$6&lt;&gt;"",
IF(ROW(N33)+2&gt;=MATCH("*【合計】*", 貼り付け用!$A:$A, 0),"",
IF(N$3&lt;&gt;"",IF(貼り付け用!N34&lt;&gt;"",貼り付け用!N34,""),"")),
IF(ROW(N34)+2&gt;=MATCH("*【合計】*", 貼り付け用!$A:$A, 0),"",
IF(N$3&lt;&gt;"",IF(貼り付け用!N35&lt;&gt;"",貼り付け用!N35,""),"")))</f>
        <v>#N/A</v>
      </c>
      <c r="O34" s="19" t="e">
        <f>IF(貼り付け用!$A$6&lt;&gt;"",
IF(ROW(O33)+2&gt;=MATCH("*【合計】*", 貼り付け用!$A:$A, 0),"",
IF(O$3&lt;&gt;"",IF(貼り付け用!O34&lt;&gt;"",貼り付け用!O34,""),"")),
IF(ROW(O34)+2&gt;=MATCH("*【合計】*", 貼り付け用!$A:$A, 0),"",
IF(O$3&lt;&gt;"",IF(貼り付け用!O35&lt;&gt;"",貼り付け用!O35,""),"")))</f>
        <v>#N/A</v>
      </c>
      <c r="P34" s="19" t="e">
        <f>IF(貼り付け用!$A$6&lt;&gt;"",
IF(ROW(P33)+2&gt;=MATCH("*【合計】*", 貼り付け用!$A:$A, 0),"",
IF(P$3&lt;&gt;"",IF(貼り付け用!P34&lt;&gt;"",貼り付け用!P34,""),"")),
IF(ROW(P34)+2&gt;=MATCH("*【合計】*", 貼り付け用!$A:$A, 0),"",
IF(P$3&lt;&gt;"",IF(貼り付け用!P35&lt;&gt;"",貼り付け用!P35,""),"")))</f>
        <v>#N/A</v>
      </c>
      <c r="Q34" s="19" t="e">
        <f>IF(貼り付け用!$A$6&lt;&gt;"",
IF(ROW(Q33)+2&gt;=MATCH("*【合計】*", 貼り付け用!$A:$A, 0),"",
IF(Q$3&lt;&gt;"",IF(貼り付け用!Q34&lt;&gt;"",貼り付け用!Q34,""),"")),
IF(ROW(Q34)+2&gt;=MATCH("*【合計】*", 貼り付け用!$A:$A, 0),"",
IF(Q$3&lt;&gt;"",IF(貼り付け用!Q35&lt;&gt;"",貼り付け用!Q35,""),"")))</f>
        <v>#N/A</v>
      </c>
      <c r="R34" s="19" t="e">
        <f>IF(貼り付け用!$A$6&lt;&gt;"",
IF(ROW(R33)+2&gt;=MATCH("*【合計】*", 貼り付け用!$A:$A, 0),"",
IF(R$3&lt;&gt;"",IF(貼り付け用!R34&lt;&gt;"",貼り付け用!R34,""),"")),
IF(ROW(R34)+2&gt;=MATCH("*【合計】*", 貼り付け用!$A:$A, 0),"",
IF(R$3&lt;&gt;"",IF(貼り付け用!R35&lt;&gt;"",貼り付け用!R35,""),"")))</f>
        <v>#N/A</v>
      </c>
      <c r="S34" s="19" t="e">
        <f>IF(貼り付け用!$A$6&lt;&gt;"",
IF(ROW(S33)+2&gt;=MATCH("*【合計】*", 貼り付け用!$A:$A, 0),"",
IF(S$3&lt;&gt;"",IF(貼り付け用!S34&lt;&gt;"",貼り付け用!S34,""),"")),
IF(ROW(S34)+2&gt;=MATCH("*【合計】*", 貼り付け用!$A:$A, 0),"",
IF(S$3&lt;&gt;"",IF(貼り付け用!S35&lt;&gt;"",貼り付け用!S35,""),"")))</f>
        <v>#N/A</v>
      </c>
      <c r="T34" s="19" t="e">
        <f t="array" ref="T34">IF(貼り付け用!$A$6&lt;&gt;"",
IF(INDEX(貼り付け用!A:Z, ROW(T33)+1, MATCH("おやつ", 貼り付け用!$A$3:$Z$3, 0))&lt;&gt;0,
INDEX(貼り付け用!A:Z, ROW(T33)+1, MATCH("おやつ", 貼り付け用!$A$3:$Z$3, 0)),""),
IF(INDEX(貼り付け用!A:Z, ROW(T34)+1, MATCH("おやつ", 貼り付け用!$A$3:$Z$3, 0))&lt;&gt;0,
INDEX(貼り付け用!A:Z, ROW(T34)+1, MATCH("おやつ", 貼り付け用!$A$3:$Z$3, 0)),""))</f>
        <v>#N/A</v>
      </c>
      <c r="U34" s="16"/>
      <c r="V34" s="5" t="e">
        <f t="array" ref="V34">IF(貼り付け用!$A$6&lt;&gt;"",
IF(INDEX(貼り付け用!A:Z, ROW(T33)+1, MATCH("おやつ", 貼り付け用!$A$3:$Z$3, 0)+1)&lt;&gt;0,
INDEX(貼り付け用!A:Z, ROW(T33)+1, MATCH("おやつ", 貼り付け用!$A$3:$Z$3, 0)+1),""),
IF(INDEX(貼り付け用!A:Z, ROW(T34)+1, MATCH("おやつ", 貼り付け用!$A$3:$Z$3, 0)+1)&lt;&gt;0,
INDEX(貼り付け用!A:Z, ROW(T34)+1, MATCH("おやつ", 貼り付け用!$A$3:$Z$3, 0)+1),""))</f>
        <v>#N/A</v>
      </c>
      <c r="W34" s="7" t="e">
        <f t="array" ref="W34">IF(貼り付け用!$A$6&lt;&gt;"",
IF(INDEX(貼り付け用!A:Z, ROW(T33)+1, MATCH("おやつ", 貼り付け用!$A$3:$Z$3, 0)+2)&lt;&gt;0,
INDEX(貼り付け用!A:Z, ROW(T33)+1, MATCH("おやつ", 貼り付け用!$A$3:$Z$3, 0)+2),""),
IF(INDEX(貼り付け用!A:Z, ROW(T34)+1, MATCH("おやつ", 貼り付け用!$A$3:$Z$3, 0)+2)&lt;&gt;0,
INDEX(貼り付け用!A:Z, ROW(T34)+1, MATCH("おやつ", 貼り付け用!$A$3:$Z$3, 0)+2),""))</f>
        <v>#N/A</v>
      </c>
    </row>
    <row r="35" spans="1:23" x14ac:dyDescent="0.45">
      <c r="A35" s="10" t="e">
        <f>IF(貼り付け用!$A$6&lt;&gt;"",
IF(ROW(A34)+1&gt;=MATCH("*10000*", 貼り付け用!$A:$A, 0),"",
IF(貼り付け用!A35&lt;&gt;"",貼り付け用!A35,"")),
IF(ROW(A35)+1&gt;=MATCH("*10000*", 貼り付け用!$A:$A, 0),"",
IF(貼り付け用!A36&lt;&gt;"",貼り付け用!A36,"")))</f>
        <v>#N/A</v>
      </c>
      <c r="B35" s="3" t="e">
        <f>IF(貼り付け用!$A$6&lt;&gt;"",
IF(ROW(B34)+2&gt;=MATCH("*【合計】*", 貼り付け用!$A:$A, 0),"",
IF(貼り付け用!B35&lt;&gt;"",貼り付け用!B35,"")),
IF(ROW(B35)+2&gt;=MATCH("*【合計】*", 貼り付け用!$A:$A, 0),"",
IF(貼り付け用!B36&lt;&gt;"",貼り付け用!B36,"")))</f>
        <v>#N/A</v>
      </c>
      <c r="C35" s="3" t="e">
        <f>IF(貼り付け用!$A$6&lt;&gt;"",
IF(ROW(C34)+2&gt;=MATCH("*【合計】*", 貼り付け用!$A:$A, 0),"",
IF(貼り付け用!C35&lt;&gt;"",貼り付け用!C35,"")),
IF(ROW(C35)+2&gt;=MATCH("*【合計】*", 貼り付け用!$A:$A, 0),"",
IF(貼り付け用!C36&lt;&gt;"",貼り付け用!C36,"")))</f>
        <v>#N/A</v>
      </c>
      <c r="D35" s="3" t="e">
        <f>IF(貼り付け用!$A$6&lt;&gt;"",
IF(ROW(D34)+2&gt;=MATCH("*【合計】*", 貼り付け用!$A:$A, 0),"",
IF(貼り付け用!D35&lt;&gt;"",貼り付け用!D35,"")),
IF(ROW(D35)+2&gt;=MATCH("*【合計】*", 貼り付け用!$A:$A, 0),"",
IF(貼り付け用!D36&lt;&gt;"",貼り付け用!D36,"")))</f>
        <v>#N/A</v>
      </c>
      <c r="E35" s="3" t="e">
        <f>IF(貼り付け用!$A$6&lt;&gt;"",
IF(ROW(E34)+2&gt;=MATCH("*【合計】*", 貼り付け用!$A:$A, 0),"",
IF(貼り付け用!E35&lt;&gt;"",貼り付け用!E35,"")),
IF(ROW(E35)+2&gt;=MATCH("*【合計】*", 貼り付け用!$A:$A, 0),"",
IF(貼り付け用!E36&lt;&gt;"",貼り付け用!E36,"")))</f>
        <v>#N/A</v>
      </c>
      <c r="F35" s="3" t="e">
        <f>IF(貼り付け用!$A$6&lt;&gt;"",
IF(ROW(F34)+2&gt;=MATCH("*【合計】*", 貼り付け用!$A:$A, 0),"",
IF(貼り付け用!F35&lt;&gt;"",貼り付け用!F35,"")),
IF(ROW(F35)+2&gt;=MATCH("*【合計】*", 貼り付け用!$A:$A, 0),"",
IF(貼り付け用!F36&lt;&gt;"",貼り付け用!F36,"")))</f>
        <v>#N/A</v>
      </c>
      <c r="G35" s="3" t="e">
        <f>IF(貼り付け用!$A$6&lt;&gt;"",
IF(ROW(G34)+2&gt;=MATCH("*【合計】*", 貼り付け用!$A:$A, 0),"",
IF(貼り付け用!G35&lt;&gt;"",貼り付け用!G35,"")),
IF(ROW(G35)+2&gt;=MATCH("*【合計】*", 貼り付け用!$A:$A, 0),"",
IF(貼り付け用!G36&lt;&gt;"",貼り付け用!G36,"")))</f>
        <v>#N/A</v>
      </c>
      <c r="H35" s="3" t="e">
        <f>IF(貼り付け用!$A$6&lt;&gt;"",
IF(ROW(H34)+2&gt;=MATCH("*【合計】*", 貼り付け用!$A:$A, 0),"",
IF(貼り付け用!H35&lt;&gt;"",貼り付け用!H35,"")),
IF(ROW(H35)+2&gt;=MATCH("*【合計】*", 貼り付け用!$A:$A, 0),"",
IF(貼り付け用!H36&lt;&gt;"",貼り付け用!H36,"")))</f>
        <v>#N/A</v>
      </c>
      <c r="I35" s="3" t="e">
        <f>IF(貼り付け用!$A$6&lt;&gt;"",
IF(ROW(I34)+2&gt;=MATCH("*【合計】*", 貼り付け用!$A:$A, 0),"",
IF(貼り付け用!I35&lt;&gt;"",貼り付け用!I35,"")),
IF(ROW(I35)+2&gt;=MATCH("*【合計】*", 貼り付け用!$A:$A, 0),"",
IF(貼り付け用!I36&lt;&gt;"",貼り付け用!I36,"")))</f>
        <v>#N/A</v>
      </c>
      <c r="J35" s="3" t="e">
        <f>IF(貼り付け用!$A$6&lt;&gt;"",
IF(ROW(J34)+2&gt;=MATCH("*【合計】*", 貼り付け用!$A:$A, 0),"",
IF(貼り付け用!J35&lt;&gt;"",貼り付け用!J35,"")),
IF(ROW(J35)+2&gt;=MATCH("*【合計】*", 貼り付け用!$A:$A, 0),"",
IF(貼り付け用!J36&lt;&gt;"",貼り付け用!J36,"")))</f>
        <v>#N/A</v>
      </c>
      <c r="K35" s="3" t="e">
        <f>IF(貼り付け用!$A$6&lt;&gt;"",
IF(ROW(K34)+2&gt;=MATCH("*【合計】*", 貼り付け用!$A:$A, 0),"",
IF(貼り付け用!K35&lt;&gt;"",貼り付け用!K35,"")),
IF(ROW(K35)+2&gt;=MATCH("*【合計】*", 貼り付け用!$A:$A, 0),"",
IF(貼り付け用!K36&lt;&gt;"",貼り付け用!K36,"")))</f>
        <v>#N/A</v>
      </c>
      <c r="L35" s="3" t="e">
        <f>IF(貼り付け用!$A$6&lt;&gt;"",
IF(ROW(L34)+2&gt;=MATCH("*【合計】*", 貼り付け用!$A:$A, 0),"",
IF(L$3&lt;&gt;"",IF(貼り付け用!L35&lt;&gt;"",貼り付け用!L35,""),"")),
IF(ROW(L35)+2&gt;=MATCH("*【合計】*", 貼り付け用!$A:$A, 0),"",
IF(L$3&lt;&gt;"",IF(貼り付け用!L36&lt;&gt;"",貼り付け用!L36,""),"")))</f>
        <v>#N/A</v>
      </c>
      <c r="M35" s="3" t="e">
        <f>IF(貼り付け用!$A$6&lt;&gt;"",
IF(ROW(M34)+2&gt;=MATCH("*【合計】*", 貼り付け用!$A:$A, 0),"",
IF(M$3&lt;&gt;"",IF(貼り付け用!M35&lt;&gt;"",貼り付け用!M35,""),"")),
IF(ROW(M35)+2&gt;=MATCH("*【合計】*", 貼り付け用!$A:$A, 0),"",
IF(M$3&lt;&gt;"",IF(貼り付け用!M36&lt;&gt;"",貼り付け用!M36,""),"")))</f>
        <v>#N/A</v>
      </c>
      <c r="N35" s="3" t="e">
        <f>IF(貼り付け用!$A$6&lt;&gt;"",
IF(ROW(N34)+2&gt;=MATCH("*【合計】*", 貼り付け用!$A:$A, 0),"",
IF(N$3&lt;&gt;"",IF(貼り付け用!N35&lt;&gt;"",貼り付け用!N35,""),"")),
IF(ROW(N35)+2&gt;=MATCH("*【合計】*", 貼り付け用!$A:$A, 0),"",
IF(N$3&lt;&gt;"",IF(貼り付け用!N36&lt;&gt;"",貼り付け用!N36,""),"")))</f>
        <v>#N/A</v>
      </c>
      <c r="O35" s="3" t="e">
        <f>IF(貼り付け用!$A$6&lt;&gt;"",
IF(ROW(O34)+2&gt;=MATCH("*【合計】*", 貼り付け用!$A:$A, 0),"",
IF(O$3&lt;&gt;"",IF(貼り付け用!O35&lt;&gt;"",貼り付け用!O35,""),"")),
IF(ROW(O35)+2&gt;=MATCH("*【合計】*", 貼り付け用!$A:$A, 0),"",
IF(O$3&lt;&gt;"",IF(貼り付け用!O36&lt;&gt;"",貼り付け用!O36,""),"")))</f>
        <v>#N/A</v>
      </c>
      <c r="P35" s="3" t="e">
        <f>IF(貼り付け用!$A$6&lt;&gt;"",
IF(ROW(P34)+2&gt;=MATCH("*【合計】*", 貼り付け用!$A:$A, 0),"",
IF(P$3&lt;&gt;"",IF(貼り付け用!P35&lt;&gt;"",貼り付け用!P35,""),"")),
IF(ROW(P35)+2&gt;=MATCH("*【合計】*", 貼り付け用!$A:$A, 0),"",
IF(P$3&lt;&gt;"",IF(貼り付け用!P36&lt;&gt;"",貼り付け用!P36,""),"")))</f>
        <v>#N/A</v>
      </c>
      <c r="Q35" s="3" t="e">
        <f>IF(貼り付け用!$A$6&lt;&gt;"",
IF(ROW(Q34)+2&gt;=MATCH("*【合計】*", 貼り付け用!$A:$A, 0),"",
IF(Q$3&lt;&gt;"",IF(貼り付け用!Q35&lt;&gt;"",貼り付け用!Q35,""),"")),
IF(ROW(Q35)+2&gt;=MATCH("*【合計】*", 貼り付け用!$A:$A, 0),"",
IF(Q$3&lt;&gt;"",IF(貼り付け用!Q36&lt;&gt;"",貼り付け用!Q36,""),"")))</f>
        <v>#N/A</v>
      </c>
      <c r="R35" s="3" t="e">
        <f>IF(貼り付け用!$A$6&lt;&gt;"",
IF(ROW(R34)+2&gt;=MATCH("*【合計】*", 貼り付け用!$A:$A, 0),"",
IF(R$3&lt;&gt;"",IF(貼り付け用!R35&lt;&gt;"",貼り付け用!R35,""),"")),
IF(ROW(R35)+2&gt;=MATCH("*【合計】*", 貼り付け用!$A:$A, 0),"",
IF(R$3&lt;&gt;"",IF(貼り付け用!R36&lt;&gt;"",貼り付け用!R36,""),"")))</f>
        <v>#N/A</v>
      </c>
      <c r="S35" s="3" t="e">
        <f>IF(貼り付け用!$A$6&lt;&gt;"",
IF(ROW(S34)+2&gt;=MATCH("*【合計】*", 貼り付け用!$A:$A, 0),"",
IF(S$3&lt;&gt;"",IF(貼り付け用!S35&lt;&gt;"",貼り付け用!S35,""),"")),
IF(ROW(S35)+2&gt;=MATCH("*【合計】*", 貼り付け用!$A:$A, 0),"",
IF(S$3&lt;&gt;"",IF(貼り付け用!S36&lt;&gt;"",貼り付け用!S36,""),"")))</f>
        <v>#N/A</v>
      </c>
      <c r="T35" s="2" t="e">
        <f t="array" ref="T35">IF(貼り付け用!$A$6&lt;&gt;"",
IF(INDEX(貼り付け用!A:Z, ROW(T34)+1, MATCH("おやつ", 貼り付け用!$A$3:$Z$3, 0))&lt;&gt;0,
INDEX(貼り付け用!A:Z, ROW(T34)+1, MATCH("おやつ", 貼り付け用!$A$3:$Z$3, 0)),""),
IF(INDEX(貼り付け用!A:Z, ROW(T35)+1, MATCH("おやつ", 貼り付け用!$A$3:$Z$3, 0))&lt;&gt;0,
INDEX(貼り付け用!A:Z, ROW(T35)+1, MATCH("おやつ", 貼り付け用!$A$3:$Z$3, 0)),""))</f>
        <v>#N/A</v>
      </c>
      <c r="U35" s="52"/>
      <c r="V35" s="8" t="e">
        <f t="array" ref="V35">IF(貼り付け用!$A$6&lt;&gt;"",
IF(INDEX(貼り付け用!A:Z, ROW(T34)+1, MATCH("おやつ", 貼り付け用!$A$3:$Z$3, 0)+1)&lt;&gt;0,
INDEX(貼り付け用!A:Z, ROW(T34)+1, MATCH("おやつ", 貼り付け用!$A$3:$Z$3, 0)+1),""),
IF(INDEX(貼り付け用!A:Z, ROW(T35)+1, MATCH("おやつ", 貼り付け用!$A$3:$Z$3, 0)+1)&lt;&gt;0,
INDEX(貼り付け用!A:Z, ROW(T35)+1, MATCH("おやつ", 貼り付け用!$A$3:$Z$3, 0)+1),""))</f>
        <v>#N/A</v>
      </c>
      <c r="W35" s="9" t="e">
        <f t="array" ref="W35">IF(貼り付け用!$A$6&lt;&gt;"",
IF(INDEX(貼り付け用!A:Z, ROW(T34)+1, MATCH("おやつ", 貼り付け用!$A$3:$Z$3, 0)+2)&lt;&gt;0,
INDEX(貼り付け用!A:Z, ROW(T34)+1, MATCH("おやつ", 貼り付け用!$A$3:$Z$3, 0)+2),""),
IF(INDEX(貼り付け用!A:Z, ROW(T35)+1, MATCH("おやつ", 貼り付け用!$A$3:$Z$3, 0)+2)&lt;&gt;0,
INDEX(貼り付け用!A:Z, ROW(T35)+1, MATCH("おやつ", 貼り付け用!$A$3:$Z$3, 0)+2),""))</f>
        <v>#N/A</v>
      </c>
    </row>
    <row r="36" spans="1:23" x14ac:dyDescent="0.45">
      <c r="A36" s="4" t="e">
        <f>IF(貼り付け用!$A$6&lt;&gt;"",
IF(ROW(A35)+1&gt;=MATCH("*10000*", 貼り付け用!$A:$A, 0),
IF(COUNTIF(A34,"*10000*"),"10001",
IF(COUNTIF(A34,"*10001*"),"10002",
IF(COUNTIF(A34,"*10002*"),"",
IF(COUNTIF(A34,""),"","10000")))),
IF(貼り付け用!A36&lt;&gt;"",貼り付け用!A36,"")),
IF(ROW(A36)+1&gt;=MATCH("*10000*", 貼り付け用!$A:$A, 0),
IF(COUNTIF(A34,"*10000*"),"10001",
IF(COUNTIF(A34,"*10001*"),"10002",
IF(COUNTIF(A34,"*10002*"),"",
IF(COUNTIF(A34,""),"","10000")))),
IF(貼り付け用!A37&lt;&gt;"",貼り付け用!A37,"")))</f>
        <v>#N/A</v>
      </c>
      <c r="B36" s="19" t="e">
        <f>IF(貼り付け用!$A$6&lt;&gt;"",
IF(ROW(B35)+2&gt;=MATCH("*【合計】*", 貼り付け用!$A:$A, 0),"",
IF(貼り付け用!B36&lt;&gt;"",貼り付け用!B36,"")),
IF(ROW(B36)+2&gt;=MATCH("*【合計】*", 貼り付け用!$A:$A, 0),"",
IF(貼り付け用!B37&lt;&gt;"",貼り付け用!B37,"")))</f>
        <v>#N/A</v>
      </c>
      <c r="C36" s="19" t="e">
        <f>IF(貼り付け用!$A$6&lt;&gt;"",
IF(ROW(C35)+2&gt;=MATCH("*【合計】*", 貼り付け用!$A:$A, 0),"",
IF(貼り付け用!C36&lt;&gt;"",貼り付け用!C36,"")),
IF(ROW(C36)+2&gt;=MATCH("*【合計】*", 貼り付け用!$A:$A, 0),"",
IF(貼り付け用!C37&lt;&gt;"",貼り付け用!C37,"")))</f>
        <v>#N/A</v>
      </c>
      <c r="D36" s="19" t="e">
        <f>IF(貼り付け用!$A$6&lt;&gt;"",
IF(ROW(D35)+2&gt;=MATCH("*【合計】*", 貼り付け用!$A:$A, 0),"",
IF(貼り付け用!D36&lt;&gt;"",貼り付け用!D36,"")),
IF(ROW(D36)+2&gt;=MATCH("*【合計】*", 貼り付け用!$A:$A, 0),"",
IF(貼り付け用!D37&lt;&gt;"",貼り付け用!D37,"")))</f>
        <v>#N/A</v>
      </c>
      <c r="E36" s="19" t="e">
        <f>IF(貼り付け用!$A$6&lt;&gt;"",
IF(ROW(E35)+2&gt;=MATCH("*【合計】*", 貼り付け用!$A:$A, 0),"",
IF(貼り付け用!E36&lt;&gt;"",貼り付け用!E36,"")),
IF(ROW(E36)+2&gt;=MATCH("*【合計】*", 貼り付け用!$A:$A, 0),"",
IF(貼り付け用!E37&lt;&gt;"",貼り付け用!E37,"")))</f>
        <v>#N/A</v>
      </c>
      <c r="F36" s="19" t="e">
        <f>IF(貼り付け用!$A$6&lt;&gt;"",
IF(ROW(F35)+2&gt;=MATCH("*【合計】*", 貼り付け用!$A:$A, 0),"",
IF(貼り付け用!F36&lt;&gt;"",貼り付け用!F36,"")),
IF(ROW(F36)+2&gt;=MATCH("*【合計】*", 貼り付け用!$A:$A, 0),"",
IF(貼り付け用!F37&lt;&gt;"",貼り付け用!F37,"")))</f>
        <v>#N/A</v>
      </c>
      <c r="G36" s="19" t="e">
        <f>IF(貼り付け用!$A$6&lt;&gt;"",
IF(ROW(G35)+2&gt;=MATCH("*【合計】*", 貼り付け用!$A:$A, 0),"",
IF(貼り付け用!G36&lt;&gt;"",貼り付け用!G36,"")),
IF(ROW(G36)+2&gt;=MATCH("*【合計】*", 貼り付け用!$A:$A, 0),"",
IF(貼り付け用!G37&lt;&gt;"",貼り付け用!G37,"")))</f>
        <v>#N/A</v>
      </c>
      <c r="H36" s="19" t="e">
        <f>IF(貼り付け用!$A$6&lt;&gt;"",
IF(ROW(H35)+2&gt;=MATCH("*【合計】*", 貼り付け用!$A:$A, 0),"",
IF(貼り付け用!H36&lt;&gt;"",貼り付け用!H36,"")),
IF(ROW(H36)+2&gt;=MATCH("*【合計】*", 貼り付け用!$A:$A, 0),"",
IF(貼り付け用!H37&lt;&gt;"",貼り付け用!H37,"")))</f>
        <v>#N/A</v>
      </c>
      <c r="I36" s="19" t="e">
        <f>IF(貼り付け用!$A$6&lt;&gt;"",
IF(ROW(I35)+2&gt;=MATCH("*【合計】*", 貼り付け用!$A:$A, 0),"",
IF(貼り付け用!I36&lt;&gt;"",貼り付け用!I36,"")),
IF(ROW(I36)+2&gt;=MATCH("*【合計】*", 貼り付け用!$A:$A, 0),"",
IF(貼り付け用!I37&lt;&gt;"",貼り付け用!I37,"")))</f>
        <v>#N/A</v>
      </c>
      <c r="J36" s="19" t="e">
        <f>IF(貼り付け用!$A$6&lt;&gt;"",
IF(ROW(J35)+2&gt;=MATCH("*【合計】*", 貼り付け用!$A:$A, 0),"",
IF(貼り付け用!J36&lt;&gt;"",貼り付け用!J36,"")),
IF(ROW(J36)+2&gt;=MATCH("*【合計】*", 貼り付け用!$A:$A, 0),"",
IF(貼り付け用!J37&lt;&gt;"",貼り付け用!J37,"")))</f>
        <v>#N/A</v>
      </c>
      <c r="K36" s="19" t="e">
        <f>IF(貼り付け用!$A$6&lt;&gt;"",
IF(ROW(K35)+2&gt;=MATCH("*【合計】*", 貼り付け用!$A:$A, 0),"",
IF(貼り付け用!K36&lt;&gt;"",貼り付け用!K36,"")),
IF(ROW(K36)+2&gt;=MATCH("*【合計】*", 貼り付け用!$A:$A, 0),"",
IF(貼り付け用!K37&lt;&gt;"",貼り付け用!K37,"")))</f>
        <v>#N/A</v>
      </c>
      <c r="L36" s="19" t="e">
        <f>IF(貼り付け用!$A$6&lt;&gt;"",
IF(ROW(L35)+2&gt;=MATCH("*【合計】*", 貼り付け用!$A:$A, 0),"",
IF(L$3&lt;&gt;"",IF(貼り付け用!L36&lt;&gt;"",貼り付け用!L36,""),"")),
IF(ROW(L36)+2&gt;=MATCH("*【合計】*", 貼り付け用!$A:$A, 0),"",
IF(L$3&lt;&gt;"",IF(貼り付け用!L37&lt;&gt;"",貼り付け用!L37,""),"")))</f>
        <v>#N/A</v>
      </c>
      <c r="M36" s="19" t="e">
        <f>IF(貼り付け用!$A$6&lt;&gt;"",
IF(ROW(M35)+2&gt;=MATCH("*【合計】*", 貼り付け用!$A:$A, 0),"",
IF(M$3&lt;&gt;"",IF(貼り付け用!M36&lt;&gt;"",貼り付け用!M36,""),"")),
IF(ROW(M36)+2&gt;=MATCH("*【合計】*", 貼り付け用!$A:$A, 0),"",
IF(M$3&lt;&gt;"",IF(貼り付け用!M37&lt;&gt;"",貼り付け用!M37,""),"")))</f>
        <v>#N/A</v>
      </c>
      <c r="N36" s="19" t="e">
        <f>IF(貼り付け用!$A$6&lt;&gt;"",
IF(ROW(N35)+2&gt;=MATCH("*【合計】*", 貼り付け用!$A:$A, 0),"",
IF(N$3&lt;&gt;"",IF(貼り付け用!N36&lt;&gt;"",貼り付け用!N36,""),"")),
IF(ROW(N36)+2&gt;=MATCH("*【合計】*", 貼り付け用!$A:$A, 0),"",
IF(N$3&lt;&gt;"",IF(貼り付け用!N37&lt;&gt;"",貼り付け用!N37,""),"")))</f>
        <v>#N/A</v>
      </c>
      <c r="O36" s="19" t="e">
        <f>IF(貼り付け用!$A$6&lt;&gt;"",
IF(ROW(O35)+2&gt;=MATCH("*【合計】*", 貼り付け用!$A:$A, 0),"",
IF(O$3&lt;&gt;"",IF(貼り付け用!O36&lt;&gt;"",貼り付け用!O36,""),"")),
IF(ROW(O36)+2&gt;=MATCH("*【合計】*", 貼り付け用!$A:$A, 0),"",
IF(O$3&lt;&gt;"",IF(貼り付け用!O37&lt;&gt;"",貼り付け用!O37,""),"")))</f>
        <v>#N/A</v>
      </c>
      <c r="P36" s="19" t="e">
        <f>IF(貼り付け用!$A$6&lt;&gt;"",
IF(ROW(P35)+2&gt;=MATCH("*【合計】*", 貼り付け用!$A:$A, 0),"",
IF(P$3&lt;&gt;"",IF(貼り付け用!P36&lt;&gt;"",貼り付け用!P36,""),"")),
IF(ROW(P36)+2&gt;=MATCH("*【合計】*", 貼り付け用!$A:$A, 0),"",
IF(P$3&lt;&gt;"",IF(貼り付け用!P37&lt;&gt;"",貼り付け用!P37,""),"")))</f>
        <v>#N/A</v>
      </c>
      <c r="Q36" s="19" t="e">
        <f>IF(貼り付け用!$A$6&lt;&gt;"",
IF(ROW(Q35)+2&gt;=MATCH("*【合計】*", 貼り付け用!$A:$A, 0),"",
IF(Q$3&lt;&gt;"",IF(貼り付け用!Q36&lt;&gt;"",貼り付け用!Q36,""),"")),
IF(ROW(Q36)+2&gt;=MATCH("*【合計】*", 貼り付け用!$A:$A, 0),"",
IF(Q$3&lt;&gt;"",IF(貼り付け用!Q37&lt;&gt;"",貼り付け用!Q37,""),"")))</f>
        <v>#N/A</v>
      </c>
      <c r="R36" s="19" t="e">
        <f>IF(貼り付け用!$A$6&lt;&gt;"",
IF(ROW(R35)+2&gt;=MATCH("*【合計】*", 貼り付け用!$A:$A, 0),"",
IF(R$3&lt;&gt;"",IF(貼り付け用!R36&lt;&gt;"",貼り付け用!R36,""),"")),
IF(ROW(R36)+2&gt;=MATCH("*【合計】*", 貼り付け用!$A:$A, 0),"",
IF(R$3&lt;&gt;"",IF(貼り付け用!R37&lt;&gt;"",貼り付け用!R37,""),"")))</f>
        <v>#N/A</v>
      </c>
      <c r="S36" s="19" t="e">
        <f>IF(貼り付け用!$A$6&lt;&gt;"",
IF(ROW(S35)+2&gt;=MATCH("*【合計】*", 貼り付け用!$A:$A, 0),"",
IF(S$3&lt;&gt;"",IF(貼り付け用!S36&lt;&gt;"",貼り付け用!S36,""),"")),
IF(ROW(S36)+2&gt;=MATCH("*【合計】*", 貼り付け用!$A:$A, 0),"",
IF(S$3&lt;&gt;"",IF(貼り付け用!S37&lt;&gt;"",貼り付け用!S37,""),"")))</f>
        <v>#N/A</v>
      </c>
      <c r="T36" s="19" t="e">
        <f t="array" ref="T36">IF(貼り付け用!$A$6&lt;&gt;"",
IF(INDEX(貼り付け用!A:Z, ROW(T35)+1, MATCH("おやつ", 貼り付け用!$A$3:$Z$3, 0))&lt;&gt;0,
INDEX(貼り付け用!A:Z, ROW(T35)+1, MATCH("おやつ", 貼り付け用!$A$3:$Z$3, 0)),""),
IF(INDEX(貼り付け用!A:Z, ROW(T36)+1, MATCH("おやつ", 貼り付け用!$A$3:$Z$3, 0))&lt;&gt;0,
INDEX(貼り付け用!A:Z, ROW(T36)+1, MATCH("おやつ", 貼り付け用!$A$3:$Z$3, 0)),""))</f>
        <v>#N/A</v>
      </c>
      <c r="U36" s="16"/>
      <c r="V36" s="5" t="e">
        <f t="array" ref="V36">IF(貼り付け用!$A$6&lt;&gt;"",
IF(INDEX(貼り付け用!A:Z, ROW(T35)+1, MATCH("おやつ", 貼り付け用!$A$3:$Z$3, 0)+1)&lt;&gt;0,
INDEX(貼り付け用!A:Z, ROW(T35)+1, MATCH("おやつ", 貼り付け用!$A$3:$Z$3, 0)+1),""),
IF(INDEX(貼り付け用!A:Z, ROW(T36)+1, MATCH("おやつ", 貼り付け用!$A$3:$Z$3, 0)+1)&lt;&gt;0,
INDEX(貼り付け用!A:Z, ROW(T36)+1, MATCH("おやつ", 貼り付け用!$A$3:$Z$3, 0)+1),""))</f>
        <v>#N/A</v>
      </c>
      <c r="W36" s="7" t="e">
        <f t="array" ref="W36">IF(貼り付け用!$A$6&lt;&gt;"",
IF(INDEX(貼り付け用!A:Z, ROW(T35)+1, MATCH("おやつ", 貼り付け用!$A$3:$Z$3, 0)+2)&lt;&gt;0,
INDEX(貼り付け用!A:Z, ROW(T35)+1, MATCH("おやつ", 貼り付け用!$A$3:$Z$3, 0)+2),""),
IF(INDEX(貼り付け用!A:Z, ROW(T36)+1, MATCH("おやつ", 貼り付け用!$A$3:$Z$3, 0)+2)&lt;&gt;0,
INDEX(貼り付け用!A:Z, ROW(T36)+1, MATCH("おやつ", 貼り付け用!$A$3:$Z$3, 0)+2),""))</f>
        <v>#N/A</v>
      </c>
    </row>
    <row r="37" spans="1:23" x14ac:dyDescent="0.45">
      <c r="A37" s="10" t="e">
        <f>IF(貼り付け用!$A$6&lt;&gt;"",
IF(ROW(A36)+1&gt;=MATCH("*10000*", 貼り付け用!$A:$A, 0),"",
IF(貼り付け用!A37&lt;&gt;"",貼り付け用!A37,"")),
IF(ROW(A37)+1&gt;=MATCH("*10000*", 貼り付け用!$A:$A, 0),"",
IF(貼り付け用!A38&lt;&gt;"",貼り付け用!A38,"")))</f>
        <v>#N/A</v>
      </c>
      <c r="B37" s="3" t="e">
        <f>IF(貼り付け用!$A$6&lt;&gt;"",
IF(ROW(B36)+2&gt;=MATCH("*【合計】*", 貼り付け用!$A:$A, 0),"",
IF(貼り付け用!B37&lt;&gt;"",貼り付け用!B37,"")),
IF(ROW(B37)+2&gt;=MATCH("*【合計】*", 貼り付け用!$A:$A, 0),"",
IF(貼り付け用!B38&lt;&gt;"",貼り付け用!B38,"")))</f>
        <v>#N/A</v>
      </c>
      <c r="C37" s="3" t="e">
        <f>IF(貼り付け用!$A$6&lt;&gt;"",
IF(ROW(C36)+2&gt;=MATCH("*【合計】*", 貼り付け用!$A:$A, 0),"",
IF(貼り付け用!C37&lt;&gt;"",貼り付け用!C37,"")),
IF(ROW(C37)+2&gt;=MATCH("*【合計】*", 貼り付け用!$A:$A, 0),"",
IF(貼り付け用!C38&lt;&gt;"",貼り付け用!C38,"")))</f>
        <v>#N/A</v>
      </c>
      <c r="D37" s="3" t="e">
        <f>IF(貼り付け用!$A$6&lt;&gt;"",
IF(ROW(D36)+2&gt;=MATCH("*【合計】*", 貼り付け用!$A:$A, 0),"",
IF(貼り付け用!D37&lt;&gt;"",貼り付け用!D37,"")),
IF(ROW(D37)+2&gt;=MATCH("*【合計】*", 貼り付け用!$A:$A, 0),"",
IF(貼り付け用!D38&lt;&gt;"",貼り付け用!D38,"")))</f>
        <v>#N/A</v>
      </c>
      <c r="E37" s="3" t="e">
        <f>IF(貼り付け用!$A$6&lt;&gt;"",
IF(ROW(E36)+2&gt;=MATCH("*【合計】*", 貼り付け用!$A:$A, 0),"",
IF(貼り付け用!E37&lt;&gt;"",貼り付け用!E37,"")),
IF(ROW(E37)+2&gt;=MATCH("*【合計】*", 貼り付け用!$A:$A, 0),"",
IF(貼り付け用!E38&lt;&gt;"",貼り付け用!E38,"")))</f>
        <v>#N/A</v>
      </c>
      <c r="F37" s="3" t="e">
        <f>IF(貼り付け用!$A$6&lt;&gt;"",
IF(ROW(F36)+2&gt;=MATCH("*【合計】*", 貼り付け用!$A:$A, 0),"",
IF(貼り付け用!F37&lt;&gt;"",貼り付け用!F37,"")),
IF(ROW(F37)+2&gt;=MATCH("*【合計】*", 貼り付け用!$A:$A, 0),"",
IF(貼り付け用!F38&lt;&gt;"",貼り付け用!F38,"")))</f>
        <v>#N/A</v>
      </c>
      <c r="G37" s="3" t="e">
        <f>IF(貼り付け用!$A$6&lt;&gt;"",
IF(ROW(G36)+2&gt;=MATCH("*【合計】*", 貼り付け用!$A:$A, 0),"",
IF(貼り付け用!G37&lt;&gt;"",貼り付け用!G37,"")),
IF(ROW(G37)+2&gt;=MATCH("*【合計】*", 貼り付け用!$A:$A, 0),"",
IF(貼り付け用!G38&lt;&gt;"",貼り付け用!G38,"")))</f>
        <v>#N/A</v>
      </c>
      <c r="H37" s="3" t="e">
        <f>IF(貼り付け用!$A$6&lt;&gt;"",
IF(ROW(H36)+2&gt;=MATCH("*【合計】*", 貼り付け用!$A:$A, 0),"",
IF(貼り付け用!H37&lt;&gt;"",貼り付け用!H37,"")),
IF(ROW(H37)+2&gt;=MATCH("*【合計】*", 貼り付け用!$A:$A, 0),"",
IF(貼り付け用!H38&lt;&gt;"",貼り付け用!H38,"")))</f>
        <v>#N/A</v>
      </c>
      <c r="I37" s="3" t="e">
        <f>IF(貼り付け用!$A$6&lt;&gt;"",
IF(ROW(I36)+2&gt;=MATCH("*【合計】*", 貼り付け用!$A:$A, 0),"",
IF(貼り付け用!I37&lt;&gt;"",貼り付け用!I37,"")),
IF(ROW(I37)+2&gt;=MATCH("*【合計】*", 貼り付け用!$A:$A, 0),"",
IF(貼り付け用!I38&lt;&gt;"",貼り付け用!I38,"")))</f>
        <v>#N/A</v>
      </c>
      <c r="J37" s="3" t="e">
        <f>IF(貼り付け用!$A$6&lt;&gt;"",
IF(ROW(J36)+2&gt;=MATCH("*【合計】*", 貼り付け用!$A:$A, 0),"",
IF(貼り付け用!J37&lt;&gt;"",貼り付け用!J37,"")),
IF(ROW(J37)+2&gt;=MATCH("*【合計】*", 貼り付け用!$A:$A, 0),"",
IF(貼り付け用!J38&lt;&gt;"",貼り付け用!J38,"")))</f>
        <v>#N/A</v>
      </c>
      <c r="K37" s="3" t="e">
        <f>IF(貼り付け用!$A$6&lt;&gt;"",
IF(ROW(K36)+2&gt;=MATCH("*【合計】*", 貼り付け用!$A:$A, 0),"",
IF(貼り付け用!K37&lt;&gt;"",貼り付け用!K37,"")),
IF(ROW(K37)+2&gt;=MATCH("*【合計】*", 貼り付け用!$A:$A, 0),"",
IF(貼り付け用!K38&lt;&gt;"",貼り付け用!K38,"")))</f>
        <v>#N/A</v>
      </c>
      <c r="L37" s="3" t="e">
        <f>IF(貼り付け用!$A$6&lt;&gt;"",
IF(ROW(L36)+2&gt;=MATCH("*【合計】*", 貼り付け用!$A:$A, 0),"",
IF(L$3&lt;&gt;"",IF(貼り付け用!L37&lt;&gt;"",貼り付け用!L37,""),"")),
IF(ROW(L37)+2&gt;=MATCH("*【合計】*", 貼り付け用!$A:$A, 0),"",
IF(L$3&lt;&gt;"",IF(貼り付け用!L38&lt;&gt;"",貼り付け用!L38,""),"")))</f>
        <v>#N/A</v>
      </c>
      <c r="M37" s="3" t="e">
        <f>IF(貼り付け用!$A$6&lt;&gt;"",
IF(ROW(M36)+2&gt;=MATCH("*【合計】*", 貼り付け用!$A:$A, 0),"",
IF(M$3&lt;&gt;"",IF(貼り付け用!M37&lt;&gt;"",貼り付け用!M37,""),"")),
IF(ROW(M37)+2&gt;=MATCH("*【合計】*", 貼り付け用!$A:$A, 0),"",
IF(M$3&lt;&gt;"",IF(貼り付け用!M38&lt;&gt;"",貼り付け用!M38,""),"")))</f>
        <v>#N/A</v>
      </c>
      <c r="N37" s="3" t="e">
        <f>IF(貼り付け用!$A$6&lt;&gt;"",
IF(ROW(N36)+2&gt;=MATCH("*【合計】*", 貼り付け用!$A:$A, 0),"",
IF(N$3&lt;&gt;"",IF(貼り付け用!N37&lt;&gt;"",貼り付け用!N37,""),"")),
IF(ROW(N37)+2&gt;=MATCH("*【合計】*", 貼り付け用!$A:$A, 0),"",
IF(N$3&lt;&gt;"",IF(貼り付け用!N38&lt;&gt;"",貼り付け用!N38,""),"")))</f>
        <v>#N/A</v>
      </c>
      <c r="O37" s="3" t="e">
        <f>IF(貼り付け用!$A$6&lt;&gt;"",
IF(ROW(O36)+2&gt;=MATCH("*【合計】*", 貼り付け用!$A:$A, 0),"",
IF(O$3&lt;&gt;"",IF(貼り付け用!O37&lt;&gt;"",貼り付け用!O37,""),"")),
IF(ROW(O37)+2&gt;=MATCH("*【合計】*", 貼り付け用!$A:$A, 0),"",
IF(O$3&lt;&gt;"",IF(貼り付け用!O38&lt;&gt;"",貼り付け用!O38,""),"")))</f>
        <v>#N/A</v>
      </c>
      <c r="P37" s="3" t="e">
        <f>IF(貼り付け用!$A$6&lt;&gt;"",
IF(ROW(P36)+2&gt;=MATCH("*【合計】*", 貼り付け用!$A:$A, 0),"",
IF(P$3&lt;&gt;"",IF(貼り付け用!P37&lt;&gt;"",貼り付け用!P37,""),"")),
IF(ROW(P37)+2&gt;=MATCH("*【合計】*", 貼り付け用!$A:$A, 0),"",
IF(P$3&lt;&gt;"",IF(貼り付け用!P38&lt;&gt;"",貼り付け用!P38,""),"")))</f>
        <v>#N/A</v>
      </c>
      <c r="Q37" s="3" t="e">
        <f>IF(貼り付け用!$A$6&lt;&gt;"",
IF(ROW(Q36)+2&gt;=MATCH("*【合計】*", 貼り付け用!$A:$A, 0),"",
IF(Q$3&lt;&gt;"",IF(貼り付け用!Q37&lt;&gt;"",貼り付け用!Q37,""),"")),
IF(ROW(Q37)+2&gt;=MATCH("*【合計】*", 貼り付け用!$A:$A, 0),"",
IF(Q$3&lt;&gt;"",IF(貼り付け用!Q38&lt;&gt;"",貼り付け用!Q38,""),"")))</f>
        <v>#N/A</v>
      </c>
      <c r="R37" s="3" t="e">
        <f>IF(貼り付け用!$A$6&lt;&gt;"",
IF(ROW(R36)+2&gt;=MATCH("*【合計】*", 貼り付け用!$A:$A, 0),"",
IF(R$3&lt;&gt;"",IF(貼り付け用!R37&lt;&gt;"",貼り付け用!R37,""),"")),
IF(ROW(R37)+2&gt;=MATCH("*【合計】*", 貼り付け用!$A:$A, 0),"",
IF(R$3&lt;&gt;"",IF(貼り付け用!R38&lt;&gt;"",貼り付け用!R38,""),"")))</f>
        <v>#N/A</v>
      </c>
      <c r="S37" s="3" t="e">
        <f>IF(貼り付け用!$A$6&lt;&gt;"",
IF(ROW(S36)+2&gt;=MATCH("*【合計】*", 貼り付け用!$A:$A, 0),"",
IF(S$3&lt;&gt;"",IF(貼り付け用!S37&lt;&gt;"",貼り付け用!S37,""),"")),
IF(ROW(S37)+2&gt;=MATCH("*【合計】*", 貼り付け用!$A:$A, 0),"",
IF(S$3&lt;&gt;"",IF(貼り付け用!S38&lt;&gt;"",貼り付け用!S38,""),"")))</f>
        <v>#N/A</v>
      </c>
      <c r="T37" s="2" t="e">
        <f t="array" ref="T37">IF(貼り付け用!$A$6&lt;&gt;"",
IF(INDEX(貼り付け用!A:Z, ROW(T36)+1, MATCH("おやつ", 貼り付け用!$A$3:$Z$3, 0))&lt;&gt;0,
INDEX(貼り付け用!A:Z, ROW(T36)+1, MATCH("おやつ", 貼り付け用!$A$3:$Z$3, 0)),""),
IF(INDEX(貼り付け用!A:Z, ROW(T37)+1, MATCH("おやつ", 貼り付け用!$A$3:$Z$3, 0))&lt;&gt;0,
INDEX(貼り付け用!A:Z, ROW(T37)+1, MATCH("おやつ", 貼り付け用!$A$3:$Z$3, 0)),""))</f>
        <v>#N/A</v>
      </c>
      <c r="U37" s="52"/>
      <c r="V37" s="8" t="e">
        <f t="array" ref="V37">IF(貼り付け用!$A$6&lt;&gt;"",
IF(INDEX(貼り付け用!A:Z, ROW(T36)+1, MATCH("おやつ", 貼り付け用!$A$3:$Z$3, 0)+1)&lt;&gt;0,
INDEX(貼り付け用!A:Z, ROW(T36)+1, MATCH("おやつ", 貼り付け用!$A$3:$Z$3, 0)+1),""),
IF(INDEX(貼り付け用!A:Z, ROW(T37)+1, MATCH("おやつ", 貼り付け用!$A$3:$Z$3, 0)+1)&lt;&gt;0,
INDEX(貼り付け用!A:Z, ROW(T37)+1, MATCH("おやつ", 貼り付け用!$A$3:$Z$3, 0)+1),""))</f>
        <v>#N/A</v>
      </c>
      <c r="W37" s="9" t="e">
        <f t="array" ref="W37">IF(貼り付け用!$A$6&lt;&gt;"",
IF(INDEX(貼り付け用!A:Z, ROW(T36)+1, MATCH("おやつ", 貼り付け用!$A$3:$Z$3, 0)+2)&lt;&gt;0,
INDEX(貼り付け用!A:Z, ROW(T36)+1, MATCH("おやつ", 貼り付け用!$A$3:$Z$3, 0)+2),""),
IF(INDEX(貼り付け用!A:Z, ROW(T37)+1, MATCH("おやつ", 貼り付け用!$A$3:$Z$3, 0)+2)&lt;&gt;0,
INDEX(貼り付け用!A:Z, ROW(T37)+1, MATCH("おやつ", 貼り付け用!$A$3:$Z$3, 0)+2),""))</f>
        <v>#N/A</v>
      </c>
    </row>
    <row r="38" spans="1:23" x14ac:dyDescent="0.45">
      <c r="A38" s="4" t="e">
        <f>IF(貼り付け用!$A$6&lt;&gt;"",
IF(ROW(A37)+1&gt;=MATCH("*10000*", 貼り付け用!$A:$A, 0),
IF(COUNTIF(A36,"*10000*"),"10001",
IF(COUNTIF(A36,"*10001*"),"10002",
IF(COUNTIF(A36,"*10002*"),"",
IF(COUNTIF(A36,""),"","10000")))),
IF(貼り付け用!A38&lt;&gt;"",貼り付け用!A38,"")),
IF(ROW(A38)+1&gt;=MATCH("*10000*", 貼り付け用!$A:$A, 0),
IF(COUNTIF(A36,"*10000*"),"10001",
IF(COUNTIF(A36,"*10001*"),"10002",
IF(COUNTIF(A36,"*10002*"),"",
IF(COUNTIF(A36,""),"","10000")))),
IF(貼り付け用!A39&lt;&gt;"",貼り付け用!A39,"")))</f>
        <v>#N/A</v>
      </c>
      <c r="B38" s="19" t="e">
        <f>IF(貼り付け用!$A$6&lt;&gt;"",
IF(ROW(B37)+2&gt;=MATCH("*【合計】*", 貼り付け用!$A:$A, 0),"",
IF(貼り付け用!B38&lt;&gt;"",貼り付け用!B38,"")),
IF(ROW(B38)+2&gt;=MATCH("*【合計】*", 貼り付け用!$A:$A, 0),"",
IF(貼り付け用!B39&lt;&gt;"",貼り付け用!B39,"")))</f>
        <v>#N/A</v>
      </c>
      <c r="C38" s="19" t="e">
        <f>IF(貼り付け用!$A$6&lt;&gt;"",
IF(ROW(C37)+2&gt;=MATCH("*【合計】*", 貼り付け用!$A:$A, 0),"",
IF(貼り付け用!C38&lt;&gt;"",貼り付け用!C38,"")),
IF(ROW(C38)+2&gt;=MATCH("*【合計】*", 貼り付け用!$A:$A, 0),"",
IF(貼り付け用!C39&lt;&gt;"",貼り付け用!C39,"")))</f>
        <v>#N/A</v>
      </c>
      <c r="D38" s="19" t="e">
        <f>IF(貼り付け用!$A$6&lt;&gt;"",
IF(ROW(D37)+2&gt;=MATCH("*【合計】*", 貼り付け用!$A:$A, 0),"",
IF(貼り付け用!D38&lt;&gt;"",貼り付け用!D38,"")),
IF(ROW(D38)+2&gt;=MATCH("*【合計】*", 貼り付け用!$A:$A, 0),"",
IF(貼り付け用!D39&lt;&gt;"",貼り付け用!D39,"")))</f>
        <v>#N/A</v>
      </c>
      <c r="E38" s="19" t="e">
        <f>IF(貼り付け用!$A$6&lt;&gt;"",
IF(ROW(E37)+2&gt;=MATCH("*【合計】*", 貼り付け用!$A:$A, 0),"",
IF(貼り付け用!E38&lt;&gt;"",貼り付け用!E38,"")),
IF(ROW(E38)+2&gt;=MATCH("*【合計】*", 貼り付け用!$A:$A, 0),"",
IF(貼り付け用!E39&lt;&gt;"",貼り付け用!E39,"")))</f>
        <v>#N/A</v>
      </c>
      <c r="F38" s="19" t="e">
        <f>IF(貼り付け用!$A$6&lt;&gt;"",
IF(ROW(F37)+2&gt;=MATCH("*【合計】*", 貼り付け用!$A:$A, 0),"",
IF(貼り付け用!F38&lt;&gt;"",貼り付け用!F38,"")),
IF(ROW(F38)+2&gt;=MATCH("*【合計】*", 貼り付け用!$A:$A, 0),"",
IF(貼り付け用!F39&lt;&gt;"",貼り付け用!F39,"")))</f>
        <v>#N/A</v>
      </c>
      <c r="G38" s="19" t="e">
        <f>IF(貼り付け用!$A$6&lt;&gt;"",
IF(ROW(G37)+2&gt;=MATCH("*【合計】*", 貼り付け用!$A:$A, 0),"",
IF(貼り付け用!G38&lt;&gt;"",貼り付け用!G38,"")),
IF(ROW(G38)+2&gt;=MATCH("*【合計】*", 貼り付け用!$A:$A, 0),"",
IF(貼り付け用!G39&lt;&gt;"",貼り付け用!G39,"")))</f>
        <v>#N/A</v>
      </c>
      <c r="H38" s="19" t="e">
        <f>IF(貼り付け用!$A$6&lt;&gt;"",
IF(ROW(H37)+2&gt;=MATCH("*【合計】*", 貼り付け用!$A:$A, 0),"",
IF(貼り付け用!H38&lt;&gt;"",貼り付け用!H38,"")),
IF(ROW(H38)+2&gt;=MATCH("*【合計】*", 貼り付け用!$A:$A, 0),"",
IF(貼り付け用!H39&lt;&gt;"",貼り付け用!H39,"")))</f>
        <v>#N/A</v>
      </c>
      <c r="I38" s="19" t="e">
        <f>IF(貼り付け用!$A$6&lt;&gt;"",
IF(ROW(I37)+2&gt;=MATCH("*【合計】*", 貼り付け用!$A:$A, 0),"",
IF(貼り付け用!I38&lt;&gt;"",貼り付け用!I38,"")),
IF(ROW(I38)+2&gt;=MATCH("*【合計】*", 貼り付け用!$A:$A, 0),"",
IF(貼り付け用!I39&lt;&gt;"",貼り付け用!I39,"")))</f>
        <v>#N/A</v>
      </c>
      <c r="J38" s="19" t="e">
        <f>IF(貼り付け用!$A$6&lt;&gt;"",
IF(ROW(J37)+2&gt;=MATCH("*【合計】*", 貼り付け用!$A:$A, 0),"",
IF(貼り付け用!J38&lt;&gt;"",貼り付け用!J38,"")),
IF(ROW(J38)+2&gt;=MATCH("*【合計】*", 貼り付け用!$A:$A, 0),"",
IF(貼り付け用!J39&lt;&gt;"",貼り付け用!J39,"")))</f>
        <v>#N/A</v>
      </c>
      <c r="K38" s="19" t="e">
        <f>IF(貼り付け用!$A$6&lt;&gt;"",
IF(ROW(K37)+2&gt;=MATCH("*【合計】*", 貼り付け用!$A:$A, 0),"",
IF(貼り付け用!K38&lt;&gt;"",貼り付け用!K38,"")),
IF(ROW(K38)+2&gt;=MATCH("*【合計】*", 貼り付け用!$A:$A, 0),"",
IF(貼り付け用!K39&lt;&gt;"",貼り付け用!K39,"")))</f>
        <v>#N/A</v>
      </c>
      <c r="L38" s="19" t="e">
        <f>IF(貼り付け用!$A$6&lt;&gt;"",
IF(ROW(L37)+2&gt;=MATCH("*【合計】*", 貼り付け用!$A:$A, 0),"",
IF(L$3&lt;&gt;"",IF(貼り付け用!L38&lt;&gt;"",貼り付け用!L38,""),"")),
IF(ROW(L38)+2&gt;=MATCH("*【合計】*", 貼り付け用!$A:$A, 0),"",
IF(L$3&lt;&gt;"",IF(貼り付け用!L39&lt;&gt;"",貼り付け用!L39,""),"")))</f>
        <v>#N/A</v>
      </c>
      <c r="M38" s="19" t="e">
        <f>IF(貼り付け用!$A$6&lt;&gt;"",
IF(ROW(M37)+2&gt;=MATCH("*【合計】*", 貼り付け用!$A:$A, 0),"",
IF(M$3&lt;&gt;"",IF(貼り付け用!M38&lt;&gt;"",貼り付け用!M38,""),"")),
IF(ROW(M38)+2&gt;=MATCH("*【合計】*", 貼り付け用!$A:$A, 0),"",
IF(M$3&lt;&gt;"",IF(貼り付け用!M39&lt;&gt;"",貼り付け用!M39,""),"")))</f>
        <v>#N/A</v>
      </c>
      <c r="N38" s="19" t="e">
        <f>IF(貼り付け用!$A$6&lt;&gt;"",
IF(ROW(N37)+2&gt;=MATCH("*【合計】*", 貼り付け用!$A:$A, 0),"",
IF(N$3&lt;&gt;"",IF(貼り付け用!N38&lt;&gt;"",貼り付け用!N38,""),"")),
IF(ROW(N38)+2&gt;=MATCH("*【合計】*", 貼り付け用!$A:$A, 0),"",
IF(N$3&lt;&gt;"",IF(貼り付け用!N39&lt;&gt;"",貼り付け用!N39,""),"")))</f>
        <v>#N/A</v>
      </c>
      <c r="O38" s="19" t="e">
        <f>IF(貼り付け用!$A$6&lt;&gt;"",
IF(ROW(O37)+2&gt;=MATCH("*【合計】*", 貼り付け用!$A:$A, 0),"",
IF(O$3&lt;&gt;"",IF(貼り付け用!O38&lt;&gt;"",貼り付け用!O38,""),"")),
IF(ROW(O38)+2&gt;=MATCH("*【合計】*", 貼り付け用!$A:$A, 0),"",
IF(O$3&lt;&gt;"",IF(貼り付け用!O39&lt;&gt;"",貼り付け用!O39,""),"")))</f>
        <v>#N/A</v>
      </c>
      <c r="P38" s="19" t="e">
        <f>IF(貼り付け用!$A$6&lt;&gt;"",
IF(ROW(P37)+2&gt;=MATCH("*【合計】*", 貼り付け用!$A:$A, 0),"",
IF(P$3&lt;&gt;"",IF(貼り付け用!P38&lt;&gt;"",貼り付け用!P38,""),"")),
IF(ROW(P38)+2&gt;=MATCH("*【合計】*", 貼り付け用!$A:$A, 0),"",
IF(P$3&lt;&gt;"",IF(貼り付け用!P39&lt;&gt;"",貼り付け用!P39,""),"")))</f>
        <v>#N/A</v>
      </c>
      <c r="Q38" s="19" t="e">
        <f>IF(貼り付け用!$A$6&lt;&gt;"",
IF(ROW(Q37)+2&gt;=MATCH("*【合計】*", 貼り付け用!$A:$A, 0),"",
IF(Q$3&lt;&gt;"",IF(貼り付け用!Q38&lt;&gt;"",貼り付け用!Q38,""),"")),
IF(ROW(Q38)+2&gt;=MATCH("*【合計】*", 貼り付け用!$A:$A, 0),"",
IF(Q$3&lt;&gt;"",IF(貼り付け用!Q39&lt;&gt;"",貼り付け用!Q39,""),"")))</f>
        <v>#N/A</v>
      </c>
      <c r="R38" s="19" t="e">
        <f>IF(貼り付け用!$A$6&lt;&gt;"",
IF(ROW(R37)+2&gt;=MATCH("*【合計】*", 貼り付け用!$A:$A, 0),"",
IF(R$3&lt;&gt;"",IF(貼り付け用!R38&lt;&gt;"",貼り付け用!R38,""),"")),
IF(ROW(R38)+2&gt;=MATCH("*【合計】*", 貼り付け用!$A:$A, 0),"",
IF(R$3&lt;&gt;"",IF(貼り付け用!R39&lt;&gt;"",貼り付け用!R39,""),"")))</f>
        <v>#N/A</v>
      </c>
      <c r="S38" s="19" t="e">
        <f>IF(貼り付け用!$A$6&lt;&gt;"",
IF(ROW(S37)+2&gt;=MATCH("*【合計】*", 貼り付け用!$A:$A, 0),"",
IF(S$3&lt;&gt;"",IF(貼り付け用!S38&lt;&gt;"",貼り付け用!S38,""),"")),
IF(ROW(S38)+2&gt;=MATCH("*【合計】*", 貼り付け用!$A:$A, 0),"",
IF(S$3&lt;&gt;"",IF(貼り付け用!S39&lt;&gt;"",貼り付け用!S39,""),"")))</f>
        <v>#N/A</v>
      </c>
      <c r="T38" s="19" t="e">
        <f t="array" ref="T38">IF(貼り付け用!$A$6&lt;&gt;"",
IF(INDEX(貼り付け用!A:Z, ROW(T37)+1, MATCH("おやつ", 貼り付け用!$A$3:$Z$3, 0))&lt;&gt;0,
INDEX(貼り付け用!A:Z, ROW(T37)+1, MATCH("おやつ", 貼り付け用!$A$3:$Z$3, 0)),""),
IF(INDEX(貼り付け用!A:Z, ROW(T38)+1, MATCH("おやつ", 貼り付け用!$A$3:$Z$3, 0))&lt;&gt;0,
INDEX(貼り付け用!A:Z, ROW(T38)+1, MATCH("おやつ", 貼り付け用!$A$3:$Z$3, 0)),""))</f>
        <v>#N/A</v>
      </c>
      <c r="U38" s="16"/>
      <c r="V38" s="5" t="e">
        <f t="array" ref="V38">IF(貼り付け用!$A$6&lt;&gt;"",
IF(INDEX(貼り付け用!A:Z, ROW(T37)+1, MATCH("おやつ", 貼り付け用!$A$3:$Z$3, 0)+1)&lt;&gt;0,
INDEX(貼り付け用!A:Z, ROW(T37)+1, MATCH("おやつ", 貼り付け用!$A$3:$Z$3, 0)+1),""),
IF(INDEX(貼り付け用!A:Z, ROW(T38)+1, MATCH("おやつ", 貼り付け用!$A$3:$Z$3, 0)+1)&lt;&gt;0,
INDEX(貼り付け用!A:Z, ROW(T38)+1, MATCH("おやつ", 貼り付け用!$A$3:$Z$3, 0)+1),""))</f>
        <v>#N/A</v>
      </c>
      <c r="W38" s="7" t="e">
        <f t="array" ref="W38">IF(貼り付け用!$A$6&lt;&gt;"",
IF(INDEX(貼り付け用!A:Z, ROW(T37)+1, MATCH("おやつ", 貼り付け用!$A$3:$Z$3, 0)+2)&lt;&gt;0,
INDEX(貼り付け用!A:Z, ROW(T37)+1, MATCH("おやつ", 貼り付け用!$A$3:$Z$3, 0)+2),""),
IF(INDEX(貼り付け用!A:Z, ROW(T38)+1, MATCH("おやつ", 貼り付け用!$A$3:$Z$3, 0)+2)&lt;&gt;0,
INDEX(貼り付け用!A:Z, ROW(T38)+1, MATCH("おやつ", 貼り付け用!$A$3:$Z$3, 0)+2),""))</f>
        <v>#N/A</v>
      </c>
    </row>
    <row r="39" spans="1:23" x14ac:dyDescent="0.45">
      <c r="A39" s="10" t="e">
        <f>IF(貼り付け用!$A$6&lt;&gt;"",
IF(ROW(A38)+1&gt;=MATCH("*10000*", 貼り付け用!$A:$A, 0),"",
IF(貼り付け用!A39&lt;&gt;"",貼り付け用!A39,"")),
IF(ROW(A39)+1&gt;=MATCH("*10000*", 貼り付け用!$A:$A, 0),"",
IF(貼り付け用!A40&lt;&gt;"",貼り付け用!A40,"")))</f>
        <v>#N/A</v>
      </c>
      <c r="B39" s="3" t="e">
        <f>IF(貼り付け用!$A$6&lt;&gt;"",
IF(ROW(B38)+2&gt;=MATCH("*【合計】*", 貼り付け用!$A:$A, 0),"",
IF(貼り付け用!B39&lt;&gt;"",貼り付け用!B39,"")),
IF(ROW(B39)+2&gt;=MATCH("*【合計】*", 貼り付け用!$A:$A, 0),"",
IF(貼り付け用!B40&lt;&gt;"",貼り付け用!B40,"")))</f>
        <v>#N/A</v>
      </c>
      <c r="C39" s="3" t="e">
        <f>IF(貼り付け用!$A$6&lt;&gt;"",
IF(ROW(C38)+2&gt;=MATCH("*【合計】*", 貼り付け用!$A:$A, 0),"",
IF(貼り付け用!C39&lt;&gt;"",貼り付け用!C39,"")),
IF(ROW(C39)+2&gt;=MATCH("*【合計】*", 貼り付け用!$A:$A, 0),"",
IF(貼り付け用!C40&lt;&gt;"",貼り付け用!C40,"")))</f>
        <v>#N/A</v>
      </c>
      <c r="D39" s="3" t="e">
        <f>IF(貼り付け用!$A$6&lt;&gt;"",
IF(ROW(D38)+2&gt;=MATCH("*【合計】*", 貼り付け用!$A:$A, 0),"",
IF(貼り付け用!D39&lt;&gt;"",貼り付け用!D39,"")),
IF(ROW(D39)+2&gt;=MATCH("*【合計】*", 貼り付け用!$A:$A, 0),"",
IF(貼り付け用!D40&lt;&gt;"",貼り付け用!D40,"")))</f>
        <v>#N/A</v>
      </c>
      <c r="E39" s="3" t="e">
        <f>IF(貼り付け用!$A$6&lt;&gt;"",
IF(ROW(E38)+2&gt;=MATCH("*【合計】*", 貼り付け用!$A:$A, 0),"",
IF(貼り付け用!E39&lt;&gt;"",貼り付け用!E39,"")),
IF(ROW(E39)+2&gt;=MATCH("*【合計】*", 貼り付け用!$A:$A, 0),"",
IF(貼り付け用!E40&lt;&gt;"",貼り付け用!E40,"")))</f>
        <v>#N/A</v>
      </c>
      <c r="F39" s="3" t="e">
        <f>IF(貼り付け用!$A$6&lt;&gt;"",
IF(ROW(F38)+2&gt;=MATCH("*【合計】*", 貼り付け用!$A:$A, 0),"",
IF(貼り付け用!F39&lt;&gt;"",貼り付け用!F39,"")),
IF(ROW(F39)+2&gt;=MATCH("*【合計】*", 貼り付け用!$A:$A, 0),"",
IF(貼り付け用!F40&lt;&gt;"",貼り付け用!F40,"")))</f>
        <v>#N/A</v>
      </c>
      <c r="G39" s="3" t="e">
        <f>IF(貼り付け用!$A$6&lt;&gt;"",
IF(ROW(G38)+2&gt;=MATCH("*【合計】*", 貼り付け用!$A:$A, 0),"",
IF(貼り付け用!G39&lt;&gt;"",貼り付け用!G39,"")),
IF(ROW(G39)+2&gt;=MATCH("*【合計】*", 貼り付け用!$A:$A, 0),"",
IF(貼り付け用!G40&lt;&gt;"",貼り付け用!G40,"")))</f>
        <v>#N/A</v>
      </c>
      <c r="H39" s="3" t="e">
        <f>IF(貼り付け用!$A$6&lt;&gt;"",
IF(ROW(H38)+2&gt;=MATCH("*【合計】*", 貼り付け用!$A:$A, 0),"",
IF(貼り付け用!H39&lt;&gt;"",貼り付け用!H39,"")),
IF(ROW(H39)+2&gt;=MATCH("*【合計】*", 貼り付け用!$A:$A, 0),"",
IF(貼り付け用!H40&lt;&gt;"",貼り付け用!H40,"")))</f>
        <v>#N/A</v>
      </c>
      <c r="I39" s="3" t="e">
        <f>IF(貼り付け用!$A$6&lt;&gt;"",
IF(ROW(I38)+2&gt;=MATCH("*【合計】*", 貼り付け用!$A:$A, 0),"",
IF(貼り付け用!I39&lt;&gt;"",貼り付け用!I39,"")),
IF(ROW(I39)+2&gt;=MATCH("*【合計】*", 貼り付け用!$A:$A, 0),"",
IF(貼り付け用!I40&lt;&gt;"",貼り付け用!I40,"")))</f>
        <v>#N/A</v>
      </c>
      <c r="J39" s="3" t="e">
        <f>IF(貼り付け用!$A$6&lt;&gt;"",
IF(ROW(J38)+2&gt;=MATCH("*【合計】*", 貼り付け用!$A:$A, 0),"",
IF(貼り付け用!J39&lt;&gt;"",貼り付け用!J39,"")),
IF(ROW(J39)+2&gt;=MATCH("*【合計】*", 貼り付け用!$A:$A, 0),"",
IF(貼り付け用!J40&lt;&gt;"",貼り付け用!J40,"")))</f>
        <v>#N/A</v>
      </c>
      <c r="K39" s="3" t="e">
        <f>IF(貼り付け用!$A$6&lt;&gt;"",
IF(ROW(K38)+2&gt;=MATCH("*【合計】*", 貼り付け用!$A:$A, 0),"",
IF(貼り付け用!K39&lt;&gt;"",貼り付け用!K39,"")),
IF(ROW(K39)+2&gt;=MATCH("*【合計】*", 貼り付け用!$A:$A, 0),"",
IF(貼り付け用!K40&lt;&gt;"",貼り付け用!K40,"")))</f>
        <v>#N/A</v>
      </c>
      <c r="L39" s="3" t="e">
        <f>IF(貼り付け用!$A$6&lt;&gt;"",
IF(ROW(L38)+2&gt;=MATCH("*【合計】*", 貼り付け用!$A:$A, 0),"",
IF(L$3&lt;&gt;"",IF(貼り付け用!L39&lt;&gt;"",貼り付け用!L39,""),"")),
IF(ROW(L39)+2&gt;=MATCH("*【合計】*", 貼り付け用!$A:$A, 0),"",
IF(L$3&lt;&gt;"",IF(貼り付け用!L40&lt;&gt;"",貼り付け用!L40,""),"")))</f>
        <v>#N/A</v>
      </c>
      <c r="M39" s="3" t="e">
        <f>IF(貼り付け用!$A$6&lt;&gt;"",
IF(ROW(M38)+2&gt;=MATCH("*【合計】*", 貼り付け用!$A:$A, 0),"",
IF(M$3&lt;&gt;"",IF(貼り付け用!M39&lt;&gt;"",貼り付け用!M39,""),"")),
IF(ROW(M39)+2&gt;=MATCH("*【合計】*", 貼り付け用!$A:$A, 0),"",
IF(M$3&lt;&gt;"",IF(貼り付け用!M40&lt;&gt;"",貼り付け用!M40,""),"")))</f>
        <v>#N/A</v>
      </c>
      <c r="N39" s="3" t="e">
        <f>IF(貼り付け用!$A$6&lt;&gt;"",
IF(ROW(N38)+2&gt;=MATCH("*【合計】*", 貼り付け用!$A:$A, 0),"",
IF(N$3&lt;&gt;"",IF(貼り付け用!N39&lt;&gt;"",貼り付け用!N39,""),"")),
IF(ROW(N39)+2&gt;=MATCH("*【合計】*", 貼り付け用!$A:$A, 0),"",
IF(N$3&lt;&gt;"",IF(貼り付け用!N40&lt;&gt;"",貼り付け用!N40,""),"")))</f>
        <v>#N/A</v>
      </c>
      <c r="O39" s="3" t="e">
        <f>IF(貼り付け用!$A$6&lt;&gt;"",
IF(ROW(O38)+2&gt;=MATCH("*【合計】*", 貼り付け用!$A:$A, 0),"",
IF(O$3&lt;&gt;"",IF(貼り付け用!O39&lt;&gt;"",貼り付け用!O39,""),"")),
IF(ROW(O39)+2&gt;=MATCH("*【合計】*", 貼り付け用!$A:$A, 0),"",
IF(O$3&lt;&gt;"",IF(貼り付け用!O40&lt;&gt;"",貼り付け用!O40,""),"")))</f>
        <v>#N/A</v>
      </c>
      <c r="P39" s="3" t="e">
        <f>IF(貼り付け用!$A$6&lt;&gt;"",
IF(ROW(P38)+2&gt;=MATCH("*【合計】*", 貼り付け用!$A:$A, 0),"",
IF(P$3&lt;&gt;"",IF(貼り付け用!P39&lt;&gt;"",貼り付け用!P39,""),"")),
IF(ROW(P39)+2&gt;=MATCH("*【合計】*", 貼り付け用!$A:$A, 0),"",
IF(P$3&lt;&gt;"",IF(貼り付け用!P40&lt;&gt;"",貼り付け用!P40,""),"")))</f>
        <v>#N/A</v>
      </c>
      <c r="Q39" s="3" t="e">
        <f>IF(貼り付け用!$A$6&lt;&gt;"",
IF(ROW(Q38)+2&gt;=MATCH("*【合計】*", 貼り付け用!$A:$A, 0),"",
IF(Q$3&lt;&gt;"",IF(貼り付け用!Q39&lt;&gt;"",貼り付け用!Q39,""),"")),
IF(ROW(Q39)+2&gt;=MATCH("*【合計】*", 貼り付け用!$A:$A, 0),"",
IF(Q$3&lt;&gt;"",IF(貼り付け用!Q40&lt;&gt;"",貼り付け用!Q40,""),"")))</f>
        <v>#N/A</v>
      </c>
      <c r="R39" s="3" t="e">
        <f>IF(貼り付け用!$A$6&lt;&gt;"",
IF(ROW(R38)+2&gt;=MATCH("*【合計】*", 貼り付け用!$A:$A, 0),"",
IF(R$3&lt;&gt;"",IF(貼り付け用!R39&lt;&gt;"",貼り付け用!R39,""),"")),
IF(ROW(R39)+2&gt;=MATCH("*【合計】*", 貼り付け用!$A:$A, 0),"",
IF(R$3&lt;&gt;"",IF(貼り付け用!R40&lt;&gt;"",貼り付け用!R40,""),"")))</f>
        <v>#N/A</v>
      </c>
      <c r="S39" s="3" t="e">
        <f>IF(貼り付け用!$A$6&lt;&gt;"",
IF(ROW(S38)+2&gt;=MATCH("*【合計】*", 貼り付け用!$A:$A, 0),"",
IF(S$3&lt;&gt;"",IF(貼り付け用!S39&lt;&gt;"",貼り付け用!S39,""),"")),
IF(ROW(S39)+2&gt;=MATCH("*【合計】*", 貼り付け用!$A:$A, 0),"",
IF(S$3&lt;&gt;"",IF(貼り付け用!S40&lt;&gt;"",貼り付け用!S40,""),"")))</f>
        <v>#N/A</v>
      </c>
      <c r="T39" s="2" t="e">
        <f t="array" ref="T39">IF(貼り付け用!$A$6&lt;&gt;"",
IF(INDEX(貼り付け用!A:Z, ROW(T38)+1, MATCH("おやつ", 貼り付け用!$A$3:$Z$3, 0))&lt;&gt;0,
INDEX(貼り付け用!A:Z, ROW(T38)+1, MATCH("おやつ", 貼り付け用!$A$3:$Z$3, 0)),""),
IF(INDEX(貼り付け用!A:Z, ROW(T39)+1, MATCH("おやつ", 貼り付け用!$A$3:$Z$3, 0))&lt;&gt;0,
INDEX(貼り付け用!A:Z, ROW(T39)+1, MATCH("おやつ", 貼り付け用!$A$3:$Z$3, 0)),""))</f>
        <v>#N/A</v>
      </c>
      <c r="U39" s="52"/>
      <c r="V39" s="8" t="e">
        <f t="array" ref="V39">IF(貼り付け用!$A$6&lt;&gt;"",
IF(INDEX(貼り付け用!A:Z, ROW(T38)+1, MATCH("おやつ", 貼り付け用!$A$3:$Z$3, 0)+1)&lt;&gt;0,
INDEX(貼り付け用!A:Z, ROW(T38)+1, MATCH("おやつ", 貼り付け用!$A$3:$Z$3, 0)+1),""),
IF(INDEX(貼り付け用!A:Z, ROW(T39)+1, MATCH("おやつ", 貼り付け用!$A$3:$Z$3, 0)+1)&lt;&gt;0,
INDEX(貼り付け用!A:Z, ROW(T39)+1, MATCH("おやつ", 貼り付け用!$A$3:$Z$3, 0)+1),""))</f>
        <v>#N/A</v>
      </c>
      <c r="W39" s="9" t="e">
        <f t="array" ref="W39">IF(貼り付け用!$A$6&lt;&gt;"",
IF(INDEX(貼り付け用!A:Z, ROW(T38)+1, MATCH("おやつ", 貼り付け用!$A$3:$Z$3, 0)+2)&lt;&gt;0,
INDEX(貼り付け用!A:Z, ROW(T38)+1, MATCH("おやつ", 貼り付け用!$A$3:$Z$3, 0)+2),""),
IF(INDEX(貼り付け用!A:Z, ROW(T39)+1, MATCH("おやつ", 貼り付け用!$A$3:$Z$3, 0)+2)&lt;&gt;0,
INDEX(貼り付け用!A:Z, ROW(T39)+1, MATCH("おやつ", 貼り付け用!$A$3:$Z$3, 0)+2),""))</f>
        <v>#N/A</v>
      </c>
    </row>
    <row r="40" spans="1:23" x14ac:dyDescent="0.45">
      <c r="A40" s="4" t="e">
        <f>IF(貼り付け用!$A$6&lt;&gt;"",
IF(ROW(A39)+1&gt;=MATCH("*10000*", 貼り付け用!$A:$A, 0),
IF(COUNTIF(A38,"*10000*"),"10001",
IF(COUNTIF(A38,"*10001*"),"10002",
IF(COUNTIF(A38,"*10002*"),"",
IF(COUNTIF(A38,""),"","10000")))),
IF(貼り付け用!A40&lt;&gt;"",貼り付け用!A40,"")),
IF(ROW(A40)+1&gt;=MATCH("*10000*", 貼り付け用!$A:$A, 0),
IF(COUNTIF(A38,"*10000*"),"10001",
IF(COUNTIF(A38,"*10001*"),"10002",
IF(COUNTIF(A38,"*10002*"),"",
IF(COUNTIF(A38,""),"","10000")))),
IF(貼り付け用!A41&lt;&gt;"",貼り付け用!A41,"")))</f>
        <v>#N/A</v>
      </c>
      <c r="B40" s="19" t="e">
        <f>IF(貼り付け用!$A$6&lt;&gt;"",
IF(ROW(B39)+2&gt;=MATCH("*【合計】*", 貼り付け用!$A:$A, 0),"",
IF(貼り付け用!B40&lt;&gt;"",貼り付け用!B40,"")),
IF(ROW(B40)+2&gt;=MATCH("*【合計】*", 貼り付け用!$A:$A, 0),"",
IF(貼り付け用!B41&lt;&gt;"",貼り付け用!B41,"")))</f>
        <v>#N/A</v>
      </c>
      <c r="C40" s="19" t="e">
        <f>IF(貼り付け用!$A$6&lt;&gt;"",
IF(ROW(C39)+2&gt;=MATCH("*【合計】*", 貼り付け用!$A:$A, 0),"",
IF(貼り付け用!C40&lt;&gt;"",貼り付け用!C40,"")),
IF(ROW(C40)+2&gt;=MATCH("*【合計】*", 貼り付け用!$A:$A, 0),"",
IF(貼り付け用!C41&lt;&gt;"",貼り付け用!C41,"")))</f>
        <v>#N/A</v>
      </c>
      <c r="D40" s="19" t="e">
        <f>IF(貼り付け用!$A$6&lt;&gt;"",
IF(ROW(D39)+2&gt;=MATCH("*【合計】*", 貼り付け用!$A:$A, 0),"",
IF(貼り付け用!D40&lt;&gt;"",貼り付け用!D40,"")),
IF(ROW(D40)+2&gt;=MATCH("*【合計】*", 貼り付け用!$A:$A, 0),"",
IF(貼り付け用!D41&lt;&gt;"",貼り付け用!D41,"")))</f>
        <v>#N/A</v>
      </c>
      <c r="E40" s="19" t="e">
        <f>IF(貼り付け用!$A$6&lt;&gt;"",
IF(ROW(E39)+2&gt;=MATCH("*【合計】*", 貼り付け用!$A:$A, 0),"",
IF(貼り付け用!E40&lt;&gt;"",貼り付け用!E40,"")),
IF(ROW(E40)+2&gt;=MATCH("*【合計】*", 貼り付け用!$A:$A, 0),"",
IF(貼り付け用!E41&lt;&gt;"",貼り付け用!E41,"")))</f>
        <v>#N/A</v>
      </c>
      <c r="F40" s="19" t="e">
        <f>IF(貼り付け用!$A$6&lt;&gt;"",
IF(ROW(F39)+2&gt;=MATCH("*【合計】*", 貼り付け用!$A:$A, 0),"",
IF(貼り付け用!F40&lt;&gt;"",貼り付け用!F40,"")),
IF(ROW(F40)+2&gt;=MATCH("*【合計】*", 貼り付け用!$A:$A, 0),"",
IF(貼り付け用!F41&lt;&gt;"",貼り付け用!F41,"")))</f>
        <v>#N/A</v>
      </c>
      <c r="G40" s="19" t="e">
        <f>IF(貼り付け用!$A$6&lt;&gt;"",
IF(ROW(G39)+2&gt;=MATCH("*【合計】*", 貼り付け用!$A:$A, 0),"",
IF(貼り付け用!G40&lt;&gt;"",貼り付け用!G40,"")),
IF(ROW(G40)+2&gt;=MATCH("*【合計】*", 貼り付け用!$A:$A, 0),"",
IF(貼り付け用!G41&lt;&gt;"",貼り付け用!G41,"")))</f>
        <v>#N/A</v>
      </c>
      <c r="H40" s="19" t="e">
        <f>IF(貼り付け用!$A$6&lt;&gt;"",
IF(ROW(H39)+2&gt;=MATCH("*【合計】*", 貼り付け用!$A:$A, 0),"",
IF(貼り付け用!H40&lt;&gt;"",貼り付け用!H40,"")),
IF(ROW(H40)+2&gt;=MATCH("*【合計】*", 貼り付け用!$A:$A, 0),"",
IF(貼り付け用!H41&lt;&gt;"",貼り付け用!H41,"")))</f>
        <v>#N/A</v>
      </c>
      <c r="I40" s="19" t="e">
        <f>IF(貼り付け用!$A$6&lt;&gt;"",
IF(ROW(I39)+2&gt;=MATCH("*【合計】*", 貼り付け用!$A:$A, 0),"",
IF(貼り付け用!I40&lt;&gt;"",貼り付け用!I40,"")),
IF(ROW(I40)+2&gt;=MATCH("*【合計】*", 貼り付け用!$A:$A, 0),"",
IF(貼り付け用!I41&lt;&gt;"",貼り付け用!I41,"")))</f>
        <v>#N/A</v>
      </c>
      <c r="J40" s="19" t="e">
        <f>IF(貼り付け用!$A$6&lt;&gt;"",
IF(ROW(J39)+2&gt;=MATCH("*【合計】*", 貼り付け用!$A:$A, 0),"",
IF(貼り付け用!J40&lt;&gt;"",貼り付け用!J40,"")),
IF(ROW(J40)+2&gt;=MATCH("*【合計】*", 貼り付け用!$A:$A, 0),"",
IF(貼り付け用!J41&lt;&gt;"",貼り付け用!J41,"")))</f>
        <v>#N/A</v>
      </c>
      <c r="K40" s="19" t="e">
        <f>IF(貼り付け用!$A$6&lt;&gt;"",
IF(ROW(K39)+2&gt;=MATCH("*【合計】*", 貼り付け用!$A:$A, 0),"",
IF(貼り付け用!K40&lt;&gt;"",貼り付け用!K40,"")),
IF(ROW(K40)+2&gt;=MATCH("*【合計】*", 貼り付け用!$A:$A, 0),"",
IF(貼り付け用!K41&lt;&gt;"",貼り付け用!K41,"")))</f>
        <v>#N/A</v>
      </c>
      <c r="L40" s="19" t="e">
        <f>IF(貼り付け用!$A$6&lt;&gt;"",
IF(ROW(L39)+2&gt;=MATCH("*【合計】*", 貼り付け用!$A:$A, 0),"",
IF(L$3&lt;&gt;"",IF(貼り付け用!L40&lt;&gt;"",貼り付け用!L40,""),"")),
IF(ROW(L40)+2&gt;=MATCH("*【合計】*", 貼り付け用!$A:$A, 0),"",
IF(L$3&lt;&gt;"",IF(貼り付け用!L41&lt;&gt;"",貼り付け用!L41,""),"")))</f>
        <v>#N/A</v>
      </c>
      <c r="M40" s="19" t="e">
        <f>IF(貼り付け用!$A$6&lt;&gt;"",
IF(ROW(M39)+2&gt;=MATCH("*【合計】*", 貼り付け用!$A:$A, 0),"",
IF(M$3&lt;&gt;"",IF(貼り付け用!M40&lt;&gt;"",貼り付け用!M40,""),"")),
IF(ROW(M40)+2&gt;=MATCH("*【合計】*", 貼り付け用!$A:$A, 0),"",
IF(M$3&lt;&gt;"",IF(貼り付け用!M41&lt;&gt;"",貼り付け用!M41,""),"")))</f>
        <v>#N/A</v>
      </c>
      <c r="N40" s="19" t="e">
        <f>IF(貼り付け用!$A$6&lt;&gt;"",
IF(ROW(N39)+2&gt;=MATCH("*【合計】*", 貼り付け用!$A:$A, 0),"",
IF(N$3&lt;&gt;"",IF(貼り付け用!N40&lt;&gt;"",貼り付け用!N40,""),"")),
IF(ROW(N40)+2&gt;=MATCH("*【合計】*", 貼り付け用!$A:$A, 0),"",
IF(N$3&lt;&gt;"",IF(貼り付け用!N41&lt;&gt;"",貼り付け用!N41,""),"")))</f>
        <v>#N/A</v>
      </c>
      <c r="O40" s="19" t="e">
        <f>IF(貼り付け用!$A$6&lt;&gt;"",
IF(ROW(O39)+2&gt;=MATCH("*【合計】*", 貼り付け用!$A:$A, 0),"",
IF(O$3&lt;&gt;"",IF(貼り付け用!O40&lt;&gt;"",貼り付け用!O40,""),"")),
IF(ROW(O40)+2&gt;=MATCH("*【合計】*", 貼り付け用!$A:$A, 0),"",
IF(O$3&lt;&gt;"",IF(貼り付け用!O41&lt;&gt;"",貼り付け用!O41,""),"")))</f>
        <v>#N/A</v>
      </c>
      <c r="P40" s="19" t="e">
        <f>IF(貼り付け用!$A$6&lt;&gt;"",
IF(ROW(P39)+2&gt;=MATCH("*【合計】*", 貼り付け用!$A:$A, 0),"",
IF(P$3&lt;&gt;"",IF(貼り付け用!P40&lt;&gt;"",貼り付け用!P40,""),"")),
IF(ROW(P40)+2&gt;=MATCH("*【合計】*", 貼り付け用!$A:$A, 0),"",
IF(P$3&lt;&gt;"",IF(貼り付け用!P41&lt;&gt;"",貼り付け用!P41,""),"")))</f>
        <v>#N/A</v>
      </c>
      <c r="Q40" s="19" t="e">
        <f>IF(貼り付け用!$A$6&lt;&gt;"",
IF(ROW(Q39)+2&gt;=MATCH("*【合計】*", 貼り付け用!$A:$A, 0),"",
IF(Q$3&lt;&gt;"",IF(貼り付け用!Q40&lt;&gt;"",貼り付け用!Q40,""),"")),
IF(ROW(Q40)+2&gt;=MATCH("*【合計】*", 貼り付け用!$A:$A, 0),"",
IF(Q$3&lt;&gt;"",IF(貼り付け用!Q41&lt;&gt;"",貼り付け用!Q41,""),"")))</f>
        <v>#N/A</v>
      </c>
      <c r="R40" s="19" t="e">
        <f>IF(貼り付け用!$A$6&lt;&gt;"",
IF(ROW(R39)+2&gt;=MATCH("*【合計】*", 貼り付け用!$A:$A, 0),"",
IF(R$3&lt;&gt;"",IF(貼り付け用!R40&lt;&gt;"",貼り付け用!R40,""),"")),
IF(ROW(R40)+2&gt;=MATCH("*【合計】*", 貼り付け用!$A:$A, 0),"",
IF(R$3&lt;&gt;"",IF(貼り付け用!R41&lt;&gt;"",貼り付け用!R41,""),"")))</f>
        <v>#N/A</v>
      </c>
      <c r="S40" s="19" t="e">
        <f>IF(貼り付け用!$A$6&lt;&gt;"",
IF(ROW(S39)+2&gt;=MATCH("*【合計】*", 貼り付け用!$A:$A, 0),"",
IF(S$3&lt;&gt;"",IF(貼り付け用!S40&lt;&gt;"",貼り付け用!S40,""),"")),
IF(ROW(S40)+2&gt;=MATCH("*【合計】*", 貼り付け用!$A:$A, 0),"",
IF(S$3&lt;&gt;"",IF(貼り付け用!S41&lt;&gt;"",貼り付け用!S41,""),"")))</f>
        <v>#N/A</v>
      </c>
      <c r="T40" s="19" t="e">
        <f t="array" ref="T40">IF(貼り付け用!$A$6&lt;&gt;"",
IF(INDEX(貼り付け用!A:Z, ROW(T39)+1, MATCH("おやつ", 貼り付け用!$A$3:$Z$3, 0))&lt;&gt;0,
INDEX(貼り付け用!A:Z, ROW(T39)+1, MATCH("おやつ", 貼り付け用!$A$3:$Z$3, 0)),""),
IF(INDEX(貼り付け用!A:Z, ROW(T40)+1, MATCH("おやつ", 貼り付け用!$A$3:$Z$3, 0))&lt;&gt;0,
INDEX(貼り付け用!A:Z, ROW(T40)+1, MATCH("おやつ", 貼り付け用!$A$3:$Z$3, 0)),""))</f>
        <v>#N/A</v>
      </c>
      <c r="U40" s="16"/>
      <c r="V40" s="5" t="e">
        <f t="array" ref="V40">IF(貼り付け用!$A$6&lt;&gt;"",
IF(INDEX(貼り付け用!A:Z, ROW(T39)+1, MATCH("おやつ", 貼り付け用!$A$3:$Z$3, 0)+1)&lt;&gt;0,
INDEX(貼り付け用!A:Z, ROW(T39)+1, MATCH("おやつ", 貼り付け用!$A$3:$Z$3, 0)+1),""),
IF(INDEX(貼り付け用!A:Z, ROW(T40)+1, MATCH("おやつ", 貼り付け用!$A$3:$Z$3, 0)+1)&lt;&gt;0,
INDEX(貼り付け用!A:Z, ROW(T40)+1, MATCH("おやつ", 貼り付け用!$A$3:$Z$3, 0)+1),""))</f>
        <v>#N/A</v>
      </c>
      <c r="W40" s="7" t="e">
        <f t="array" ref="W40">IF(貼り付け用!$A$6&lt;&gt;"",
IF(INDEX(貼り付け用!A:Z, ROW(T39)+1, MATCH("おやつ", 貼り付け用!$A$3:$Z$3, 0)+2)&lt;&gt;0,
INDEX(貼り付け用!A:Z, ROW(T39)+1, MATCH("おやつ", 貼り付け用!$A$3:$Z$3, 0)+2),""),
IF(INDEX(貼り付け用!A:Z, ROW(T40)+1, MATCH("おやつ", 貼り付け用!$A$3:$Z$3, 0)+2)&lt;&gt;0,
INDEX(貼り付け用!A:Z, ROW(T40)+1, MATCH("おやつ", 貼り付け用!$A$3:$Z$3, 0)+2),""))</f>
        <v>#N/A</v>
      </c>
    </row>
    <row r="41" spans="1:23" x14ac:dyDescent="0.45">
      <c r="A41" s="10" t="e">
        <f>IF(貼り付け用!$A$6&lt;&gt;"",
IF(ROW(A40)+1&gt;=MATCH("*10000*", 貼り付け用!$A:$A, 0),"",
IF(貼り付け用!A41&lt;&gt;"",貼り付け用!A41,"")),
IF(ROW(A41)+1&gt;=MATCH("*10000*", 貼り付け用!$A:$A, 0),"",
IF(貼り付け用!A42&lt;&gt;"",貼り付け用!A42,"")))</f>
        <v>#N/A</v>
      </c>
      <c r="B41" s="3" t="e">
        <f>IF(貼り付け用!$A$6&lt;&gt;"",
IF(ROW(B40)+2&gt;=MATCH("*【合計】*", 貼り付け用!$A:$A, 0),"",
IF(貼り付け用!B41&lt;&gt;"",貼り付け用!B41,"")),
IF(ROW(B41)+2&gt;=MATCH("*【合計】*", 貼り付け用!$A:$A, 0),"",
IF(貼り付け用!B42&lt;&gt;"",貼り付け用!B42,"")))</f>
        <v>#N/A</v>
      </c>
      <c r="C41" s="3" t="e">
        <f>IF(貼り付け用!$A$6&lt;&gt;"",
IF(ROW(C40)+2&gt;=MATCH("*【合計】*", 貼り付け用!$A:$A, 0),"",
IF(貼り付け用!C41&lt;&gt;"",貼り付け用!C41,"")),
IF(ROW(C41)+2&gt;=MATCH("*【合計】*", 貼り付け用!$A:$A, 0),"",
IF(貼り付け用!C42&lt;&gt;"",貼り付け用!C42,"")))</f>
        <v>#N/A</v>
      </c>
      <c r="D41" s="3" t="e">
        <f>IF(貼り付け用!$A$6&lt;&gt;"",
IF(ROW(D40)+2&gt;=MATCH("*【合計】*", 貼り付け用!$A:$A, 0),"",
IF(貼り付け用!D41&lt;&gt;"",貼り付け用!D41,"")),
IF(ROW(D41)+2&gt;=MATCH("*【合計】*", 貼り付け用!$A:$A, 0),"",
IF(貼り付け用!D42&lt;&gt;"",貼り付け用!D42,"")))</f>
        <v>#N/A</v>
      </c>
      <c r="E41" s="3" t="e">
        <f>IF(貼り付け用!$A$6&lt;&gt;"",
IF(ROW(E40)+2&gt;=MATCH("*【合計】*", 貼り付け用!$A:$A, 0),"",
IF(貼り付け用!E41&lt;&gt;"",貼り付け用!E41,"")),
IF(ROW(E41)+2&gt;=MATCH("*【合計】*", 貼り付け用!$A:$A, 0),"",
IF(貼り付け用!E42&lt;&gt;"",貼り付け用!E42,"")))</f>
        <v>#N/A</v>
      </c>
      <c r="F41" s="3" t="e">
        <f>IF(貼り付け用!$A$6&lt;&gt;"",
IF(ROW(F40)+2&gt;=MATCH("*【合計】*", 貼り付け用!$A:$A, 0),"",
IF(貼り付け用!F41&lt;&gt;"",貼り付け用!F41,"")),
IF(ROW(F41)+2&gt;=MATCH("*【合計】*", 貼り付け用!$A:$A, 0),"",
IF(貼り付け用!F42&lt;&gt;"",貼り付け用!F42,"")))</f>
        <v>#N/A</v>
      </c>
      <c r="G41" s="3" t="e">
        <f>IF(貼り付け用!$A$6&lt;&gt;"",
IF(ROW(G40)+2&gt;=MATCH("*【合計】*", 貼り付け用!$A:$A, 0),"",
IF(貼り付け用!G41&lt;&gt;"",貼り付け用!G41,"")),
IF(ROW(G41)+2&gt;=MATCH("*【合計】*", 貼り付け用!$A:$A, 0),"",
IF(貼り付け用!G42&lt;&gt;"",貼り付け用!G42,"")))</f>
        <v>#N/A</v>
      </c>
      <c r="H41" s="3" t="e">
        <f>IF(貼り付け用!$A$6&lt;&gt;"",
IF(ROW(H40)+2&gt;=MATCH("*【合計】*", 貼り付け用!$A:$A, 0),"",
IF(貼り付け用!H41&lt;&gt;"",貼り付け用!H41,"")),
IF(ROW(H41)+2&gt;=MATCH("*【合計】*", 貼り付け用!$A:$A, 0),"",
IF(貼り付け用!H42&lt;&gt;"",貼り付け用!H42,"")))</f>
        <v>#N/A</v>
      </c>
      <c r="I41" s="3" t="e">
        <f>IF(貼り付け用!$A$6&lt;&gt;"",
IF(ROW(I40)+2&gt;=MATCH("*【合計】*", 貼り付け用!$A:$A, 0),"",
IF(貼り付け用!I41&lt;&gt;"",貼り付け用!I41,"")),
IF(ROW(I41)+2&gt;=MATCH("*【合計】*", 貼り付け用!$A:$A, 0),"",
IF(貼り付け用!I42&lt;&gt;"",貼り付け用!I42,"")))</f>
        <v>#N/A</v>
      </c>
      <c r="J41" s="3" t="e">
        <f>IF(貼り付け用!$A$6&lt;&gt;"",
IF(ROW(J40)+2&gt;=MATCH("*【合計】*", 貼り付け用!$A:$A, 0),"",
IF(貼り付け用!J41&lt;&gt;"",貼り付け用!J41,"")),
IF(ROW(J41)+2&gt;=MATCH("*【合計】*", 貼り付け用!$A:$A, 0),"",
IF(貼り付け用!J42&lt;&gt;"",貼り付け用!J42,"")))</f>
        <v>#N/A</v>
      </c>
      <c r="K41" s="3" t="e">
        <f>IF(貼り付け用!$A$6&lt;&gt;"",
IF(ROW(K40)+2&gt;=MATCH("*【合計】*", 貼り付け用!$A:$A, 0),"",
IF(貼り付け用!K41&lt;&gt;"",貼り付け用!K41,"")),
IF(ROW(K41)+2&gt;=MATCH("*【合計】*", 貼り付け用!$A:$A, 0),"",
IF(貼り付け用!K42&lt;&gt;"",貼り付け用!K42,"")))</f>
        <v>#N/A</v>
      </c>
      <c r="L41" s="3" t="e">
        <f>IF(貼り付け用!$A$6&lt;&gt;"",
IF(ROW(L40)+2&gt;=MATCH("*【合計】*", 貼り付け用!$A:$A, 0),"",
IF(L$3&lt;&gt;"",IF(貼り付け用!L41&lt;&gt;"",貼り付け用!L41,""),"")),
IF(ROW(L41)+2&gt;=MATCH("*【合計】*", 貼り付け用!$A:$A, 0),"",
IF(L$3&lt;&gt;"",IF(貼り付け用!L42&lt;&gt;"",貼り付け用!L42,""),"")))</f>
        <v>#N/A</v>
      </c>
      <c r="M41" s="3" t="e">
        <f>IF(貼り付け用!$A$6&lt;&gt;"",
IF(ROW(M40)+2&gt;=MATCH("*【合計】*", 貼り付け用!$A:$A, 0),"",
IF(M$3&lt;&gt;"",IF(貼り付け用!M41&lt;&gt;"",貼り付け用!M41,""),"")),
IF(ROW(M41)+2&gt;=MATCH("*【合計】*", 貼り付け用!$A:$A, 0),"",
IF(M$3&lt;&gt;"",IF(貼り付け用!M42&lt;&gt;"",貼り付け用!M42,""),"")))</f>
        <v>#N/A</v>
      </c>
      <c r="N41" s="3" t="e">
        <f>IF(貼り付け用!$A$6&lt;&gt;"",
IF(ROW(N40)+2&gt;=MATCH("*【合計】*", 貼り付け用!$A:$A, 0),"",
IF(N$3&lt;&gt;"",IF(貼り付け用!N41&lt;&gt;"",貼り付け用!N41,""),"")),
IF(ROW(N41)+2&gt;=MATCH("*【合計】*", 貼り付け用!$A:$A, 0),"",
IF(N$3&lt;&gt;"",IF(貼り付け用!N42&lt;&gt;"",貼り付け用!N42,""),"")))</f>
        <v>#N/A</v>
      </c>
      <c r="O41" s="3" t="e">
        <f>IF(貼り付け用!$A$6&lt;&gt;"",
IF(ROW(O40)+2&gt;=MATCH("*【合計】*", 貼り付け用!$A:$A, 0),"",
IF(O$3&lt;&gt;"",IF(貼り付け用!O41&lt;&gt;"",貼り付け用!O41,""),"")),
IF(ROW(O41)+2&gt;=MATCH("*【合計】*", 貼り付け用!$A:$A, 0),"",
IF(O$3&lt;&gt;"",IF(貼り付け用!O42&lt;&gt;"",貼り付け用!O42,""),"")))</f>
        <v>#N/A</v>
      </c>
      <c r="P41" s="3" t="e">
        <f>IF(貼り付け用!$A$6&lt;&gt;"",
IF(ROW(P40)+2&gt;=MATCH("*【合計】*", 貼り付け用!$A:$A, 0),"",
IF(P$3&lt;&gt;"",IF(貼り付け用!P41&lt;&gt;"",貼り付け用!P41,""),"")),
IF(ROW(P41)+2&gt;=MATCH("*【合計】*", 貼り付け用!$A:$A, 0),"",
IF(P$3&lt;&gt;"",IF(貼り付け用!P42&lt;&gt;"",貼り付け用!P42,""),"")))</f>
        <v>#N/A</v>
      </c>
      <c r="Q41" s="3" t="e">
        <f>IF(貼り付け用!$A$6&lt;&gt;"",
IF(ROW(Q40)+2&gt;=MATCH("*【合計】*", 貼り付け用!$A:$A, 0),"",
IF(Q$3&lt;&gt;"",IF(貼り付け用!Q41&lt;&gt;"",貼り付け用!Q41,""),"")),
IF(ROW(Q41)+2&gt;=MATCH("*【合計】*", 貼り付け用!$A:$A, 0),"",
IF(Q$3&lt;&gt;"",IF(貼り付け用!Q42&lt;&gt;"",貼り付け用!Q42,""),"")))</f>
        <v>#N/A</v>
      </c>
      <c r="R41" s="3" t="e">
        <f>IF(貼り付け用!$A$6&lt;&gt;"",
IF(ROW(R40)+2&gt;=MATCH("*【合計】*", 貼り付け用!$A:$A, 0),"",
IF(R$3&lt;&gt;"",IF(貼り付け用!R41&lt;&gt;"",貼り付け用!R41,""),"")),
IF(ROW(R41)+2&gt;=MATCH("*【合計】*", 貼り付け用!$A:$A, 0),"",
IF(R$3&lt;&gt;"",IF(貼り付け用!R42&lt;&gt;"",貼り付け用!R42,""),"")))</f>
        <v>#N/A</v>
      </c>
      <c r="S41" s="3" t="e">
        <f>IF(貼り付け用!$A$6&lt;&gt;"",
IF(ROW(S40)+2&gt;=MATCH("*【合計】*", 貼り付け用!$A:$A, 0),"",
IF(S$3&lt;&gt;"",IF(貼り付け用!S41&lt;&gt;"",貼り付け用!S41,""),"")),
IF(ROW(S41)+2&gt;=MATCH("*【合計】*", 貼り付け用!$A:$A, 0),"",
IF(S$3&lt;&gt;"",IF(貼り付け用!S42&lt;&gt;"",貼り付け用!S42,""),"")))</f>
        <v>#N/A</v>
      </c>
      <c r="T41" s="2" t="e">
        <f t="array" ref="T41">IF(貼り付け用!$A$6&lt;&gt;"",
IF(INDEX(貼り付け用!A:Z, ROW(T40)+1, MATCH("おやつ", 貼り付け用!$A$3:$Z$3, 0))&lt;&gt;0,
INDEX(貼り付け用!A:Z, ROW(T40)+1, MATCH("おやつ", 貼り付け用!$A$3:$Z$3, 0)),""),
IF(INDEX(貼り付け用!A:Z, ROW(T41)+1, MATCH("おやつ", 貼り付け用!$A$3:$Z$3, 0))&lt;&gt;0,
INDEX(貼り付け用!A:Z, ROW(T41)+1, MATCH("おやつ", 貼り付け用!$A$3:$Z$3, 0)),""))</f>
        <v>#N/A</v>
      </c>
      <c r="U41" s="52"/>
      <c r="V41" s="8" t="e">
        <f t="array" ref="V41">IF(貼り付け用!$A$6&lt;&gt;"",
IF(INDEX(貼り付け用!A:Z, ROW(T40)+1, MATCH("おやつ", 貼り付け用!$A$3:$Z$3, 0)+1)&lt;&gt;0,
INDEX(貼り付け用!A:Z, ROW(T40)+1, MATCH("おやつ", 貼り付け用!$A$3:$Z$3, 0)+1),""),
IF(INDEX(貼り付け用!A:Z, ROW(T41)+1, MATCH("おやつ", 貼り付け用!$A$3:$Z$3, 0)+1)&lt;&gt;0,
INDEX(貼り付け用!A:Z, ROW(T41)+1, MATCH("おやつ", 貼り付け用!$A$3:$Z$3, 0)+1),""))</f>
        <v>#N/A</v>
      </c>
      <c r="W41" s="9" t="e">
        <f t="array" ref="W41">IF(貼り付け用!$A$6&lt;&gt;"",
IF(INDEX(貼り付け用!A:Z, ROW(T40)+1, MATCH("おやつ", 貼り付け用!$A$3:$Z$3, 0)+2)&lt;&gt;0,
INDEX(貼り付け用!A:Z, ROW(T40)+1, MATCH("おやつ", 貼り付け用!$A$3:$Z$3, 0)+2),""),
IF(INDEX(貼り付け用!A:Z, ROW(T41)+1, MATCH("おやつ", 貼り付け用!$A$3:$Z$3, 0)+2)&lt;&gt;0,
INDEX(貼り付け用!A:Z, ROW(T41)+1, MATCH("おやつ", 貼り付け用!$A$3:$Z$3, 0)+2),""))</f>
        <v>#N/A</v>
      </c>
    </row>
    <row r="42" spans="1:23" x14ac:dyDescent="0.45">
      <c r="A42" s="4" t="e">
        <f>IF(貼り付け用!$A$6&lt;&gt;"",
IF(ROW(A41)+1&gt;=MATCH("*10000*", 貼り付け用!$A:$A, 0),
IF(COUNTIF(A40,"*10000*"),"10001",
IF(COUNTIF(A40,"*10001*"),"10002",
IF(COUNTIF(A40,"*10002*"),"",
IF(COUNTIF(A40,""),"","10000")))),
IF(貼り付け用!A42&lt;&gt;"",貼り付け用!A42,"")),
IF(ROW(A42)+1&gt;=MATCH("*10000*", 貼り付け用!$A:$A, 0),
IF(COUNTIF(A40,"*10000*"),"10001",
IF(COUNTIF(A40,"*10001*"),"10002",
IF(COUNTIF(A40,"*10002*"),"",
IF(COUNTIF(A40,""),"","10000")))),
IF(貼り付け用!A43&lt;&gt;"",貼り付け用!A43,"")))</f>
        <v>#N/A</v>
      </c>
      <c r="B42" s="19" t="e">
        <f>IF(貼り付け用!$A$6&lt;&gt;"",
IF(ROW(B41)+2&gt;=MATCH("*【合計】*", 貼り付け用!$A:$A, 0),"",
IF(貼り付け用!B42&lt;&gt;"",貼り付け用!B42,"")),
IF(ROW(B42)+2&gt;=MATCH("*【合計】*", 貼り付け用!$A:$A, 0),"",
IF(貼り付け用!B43&lt;&gt;"",貼り付け用!B43,"")))</f>
        <v>#N/A</v>
      </c>
      <c r="C42" s="19" t="e">
        <f>IF(貼り付け用!$A$6&lt;&gt;"",
IF(ROW(C41)+2&gt;=MATCH("*【合計】*", 貼り付け用!$A:$A, 0),"",
IF(貼り付け用!C42&lt;&gt;"",貼り付け用!C42,"")),
IF(ROW(C42)+2&gt;=MATCH("*【合計】*", 貼り付け用!$A:$A, 0),"",
IF(貼り付け用!C43&lt;&gt;"",貼り付け用!C43,"")))</f>
        <v>#N/A</v>
      </c>
      <c r="D42" s="19" t="e">
        <f>IF(貼り付け用!$A$6&lt;&gt;"",
IF(ROW(D41)+2&gt;=MATCH("*【合計】*", 貼り付け用!$A:$A, 0),"",
IF(貼り付け用!D42&lt;&gt;"",貼り付け用!D42,"")),
IF(ROW(D42)+2&gt;=MATCH("*【合計】*", 貼り付け用!$A:$A, 0),"",
IF(貼り付け用!D43&lt;&gt;"",貼り付け用!D43,"")))</f>
        <v>#N/A</v>
      </c>
      <c r="E42" s="19" t="e">
        <f>IF(貼り付け用!$A$6&lt;&gt;"",
IF(ROW(E41)+2&gt;=MATCH("*【合計】*", 貼り付け用!$A:$A, 0),"",
IF(貼り付け用!E42&lt;&gt;"",貼り付け用!E42,"")),
IF(ROW(E42)+2&gt;=MATCH("*【合計】*", 貼り付け用!$A:$A, 0),"",
IF(貼り付け用!E43&lt;&gt;"",貼り付け用!E43,"")))</f>
        <v>#N/A</v>
      </c>
      <c r="F42" s="19" t="e">
        <f>IF(貼り付け用!$A$6&lt;&gt;"",
IF(ROW(F41)+2&gt;=MATCH("*【合計】*", 貼り付け用!$A:$A, 0),"",
IF(貼り付け用!F42&lt;&gt;"",貼り付け用!F42,"")),
IF(ROW(F42)+2&gt;=MATCH("*【合計】*", 貼り付け用!$A:$A, 0),"",
IF(貼り付け用!F43&lt;&gt;"",貼り付け用!F43,"")))</f>
        <v>#N/A</v>
      </c>
      <c r="G42" s="19" t="e">
        <f>IF(貼り付け用!$A$6&lt;&gt;"",
IF(ROW(G41)+2&gt;=MATCH("*【合計】*", 貼り付け用!$A:$A, 0),"",
IF(貼り付け用!G42&lt;&gt;"",貼り付け用!G42,"")),
IF(ROW(G42)+2&gt;=MATCH("*【合計】*", 貼り付け用!$A:$A, 0),"",
IF(貼り付け用!G43&lt;&gt;"",貼り付け用!G43,"")))</f>
        <v>#N/A</v>
      </c>
      <c r="H42" s="19" t="e">
        <f>IF(貼り付け用!$A$6&lt;&gt;"",
IF(ROW(H41)+2&gt;=MATCH("*【合計】*", 貼り付け用!$A:$A, 0),"",
IF(貼り付け用!H42&lt;&gt;"",貼り付け用!H42,"")),
IF(ROW(H42)+2&gt;=MATCH("*【合計】*", 貼り付け用!$A:$A, 0),"",
IF(貼り付け用!H43&lt;&gt;"",貼り付け用!H43,"")))</f>
        <v>#N/A</v>
      </c>
      <c r="I42" s="19" t="e">
        <f>IF(貼り付け用!$A$6&lt;&gt;"",
IF(ROW(I41)+2&gt;=MATCH("*【合計】*", 貼り付け用!$A:$A, 0),"",
IF(貼り付け用!I42&lt;&gt;"",貼り付け用!I42,"")),
IF(ROW(I42)+2&gt;=MATCH("*【合計】*", 貼り付け用!$A:$A, 0),"",
IF(貼り付け用!I43&lt;&gt;"",貼り付け用!I43,"")))</f>
        <v>#N/A</v>
      </c>
      <c r="J42" s="19" t="e">
        <f>IF(貼り付け用!$A$6&lt;&gt;"",
IF(ROW(J41)+2&gt;=MATCH("*【合計】*", 貼り付け用!$A:$A, 0),"",
IF(貼り付け用!J42&lt;&gt;"",貼り付け用!J42,"")),
IF(ROW(J42)+2&gt;=MATCH("*【合計】*", 貼り付け用!$A:$A, 0),"",
IF(貼り付け用!J43&lt;&gt;"",貼り付け用!J43,"")))</f>
        <v>#N/A</v>
      </c>
      <c r="K42" s="19" t="e">
        <f>IF(貼り付け用!$A$6&lt;&gt;"",
IF(ROW(K41)+2&gt;=MATCH("*【合計】*", 貼り付け用!$A:$A, 0),"",
IF(貼り付け用!K42&lt;&gt;"",貼り付け用!K42,"")),
IF(ROW(K42)+2&gt;=MATCH("*【合計】*", 貼り付け用!$A:$A, 0),"",
IF(貼り付け用!K43&lt;&gt;"",貼り付け用!K43,"")))</f>
        <v>#N/A</v>
      </c>
      <c r="L42" s="19" t="e">
        <f>IF(貼り付け用!$A$6&lt;&gt;"",
IF(ROW(L41)+2&gt;=MATCH("*【合計】*", 貼り付け用!$A:$A, 0),"",
IF(L$3&lt;&gt;"",IF(貼り付け用!L42&lt;&gt;"",貼り付け用!L42,""),"")),
IF(ROW(L42)+2&gt;=MATCH("*【合計】*", 貼り付け用!$A:$A, 0),"",
IF(L$3&lt;&gt;"",IF(貼り付け用!L43&lt;&gt;"",貼り付け用!L43,""),"")))</f>
        <v>#N/A</v>
      </c>
      <c r="M42" s="19" t="e">
        <f>IF(貼り付け用!$A$6&lt;&gt;"",
IF(ROW(M41)+2&gt;=MATCH("*【合計】*", 貼り付け用!$A:$A, 0),"",
IF(M$3&lt;&gt;"",IF(貼り付け用!M42&lt;&gt;"",貼り付け用!M42,""),"")),
IF(ROW(M42)+2&gt;=MATCH("*【合計】*", 貼り付け用!$A:$A, 0),"",
IF(M$3&lt;&gt;"",IF(貼り付け用!M43&lt;&gt;"",貼り付け用!M43,""),"")))</f>
        <v>#N/A</v>
      </c>
      <c r="N42" s="19" t="e">
        <f>IF(貼り付け用!$A$6&lt;&gt;"",
IF(ROW(N41)+2&gt;=MATCH("*【合計】*", 貼り付け用!$A:$A, 0),"",
IF(N$3&lt;&gt;"",IF(貼り付け用!N42&lt;&gt;"",貼り付け用!N42,""),"")),
IF(ROW(N42)+2&gt;=MATCH("*【合計】*", 貼り付け用!$A:$A, 0),"",
IF(N$3&lt;&gt;"",IF(貼り付け用!N43&lt;&gt;"",貼り付け用!N43,""),"")))</f>
        <v>#N/A</v>
      </c>
      <c r="O42" s="19" t="e">
        <f>IF(貼り付け用!$A$6&lt;&gt;"",
IF(ROW(O41)+2&gt;=MATCH("*【合計】*", 貼り付け用!$A:$A, 0),"",
IF(O$3&lt;&gt;"",IF(貼り付け用!O42&lt;&gt;"",貼り付け用!O42,""),"")),
IF(ROW(O42)+2&gt;=MATCH("*【合計】*", 貼り付け用!$A:$A, 0),"",
IF(O$3&lt;&gt;"",IF(貼り付け用!O43&lt;&gt;"",貼り付け用!O43,""),"")))</f>
        <v>#N/A</v>
      </c>
      <c r="P42" s="19" t="e">
        <f>IF(貼り付け用!$A$6&lt;&gt;"",
IF(ROW(P41)+2&gt;=MATCH("*【合計】*", 貼り付け用!$A:$A, 0),"",
IF(P$3&lt;&gt;"",IF(貼り付け用!P42&lt;&gt;"",貼り付け用!P42,""),"")),
IF(ROW(P42)+2&gt;=MATCH("*【合計】*", 貼り付け用!$A:$A, 0),"",
IF(P$3&lt;&gt;"",IF(貼り付け用!P43&lt;&gt;"",貼り付け用!P43,""),"")))</f>
        <v>#N/A</v>
      </c>
      <c r="Q42" s="19" t="e">
        <f>IF(貼り付け用!$A$6&lt;&gt;"",
IF(ROW(Q41)+2&gt;=MATCH("*【合計】*", 貼り付け用!$A:$A, 0),"",
IF(Q$3&lt;&gt;"",IF(貼り付け用!Q42&lt;&gt;"",貼り付け用!Q42,""),"")),
IF(ROW(Q42)+2&gt;=MATCH("*【合計】*", 貼り付け用!$A:$A, 0),"",
IF(Q$3&lt;&gt;"",IF(貼り付け用!Q43&lt;&gt;"",貼り付け用!Q43,""),"")))</f>
        <v>#N/A</v>
      </c>
      <c r="R42" s="19" t="e">
        <f>IF(貼り付け用!$A$6&lt;&gt;"",
IF(ROW(R41)+2&gt;=MATCH("*【合計】*", 貼り付け用!$A:$A, 0),"",
IF(R$3&lt;&gt;"",IF(貼り付け用!R42&lt;&gt;"",貼り付け用!R42,""),"")),
IF(ROW(R42)+2&gt;=MATCH("*【合計】*", 貼り付け用!$A:$A, 0),"",
IF(R$3&lt;&gt;"",IF(貼り付け用!R43&lt;&gt;"",貼り付け用!R43,""),"")))</f>
        <v>#N/A</v>
      </c>
      <c r="S42" s="19" t="e">
        <f>IF(貼り付け用!$A$6&lt;&gt;"",
IF(ROW(S41)+2&gt;=MATCH("*【合計】*", 貼り付け用!$A:$A, 0),"",
IF(S$3&lt;&gt;"",IF(貼り付け用!S42&lt;&gt;"",貼り付け用!S42,""),"")),
IF(ROW(S42)+2&gt;=MATCH("*【合計】*", 貼り付け用!$A:$A, 0),"",
IF(S$3&lt;&gt;"",IF(貼り付け用!S43&lt;&gt;"",貼り付け用!S43,""),"")))</f>
        <v>#N/A</v>
      </c>
      <c r="T42" s="19" t="e">
        <f t="array" ref="T42">IF(貼り付け用!$A$6&lt;&gt;"",
IF(INDEX(貼り付け用!A:Z, ROW(T41)+1, MATCH("おやつ", 貼り付け用!$A$3:$Z$3, 0))&lt;&gt;0,
INDEX(貼り付け用!A:Z, ROW(T41)+1, MATCH("おやつ", 貼り付け用!$A$3:$Z$3, 0)),""),
IF(INDEX(貼り付け用!A:Z, ROW(T42)+1, MATCH("おやつ", 貼り付け用!$A$3:$Z$3, 0))&lt;&gt;0,
INDEX(貼り付け用!A:Z, ROW(T42)+1, MATCH("おやつ", 貼り付け用!$A$3:$Z$3, 0)),""))</f>
        <v>#N/A</v>
      </c>
      <c r="U42" s="16"/>
      <c r="V42" s="5" t="e">
        <f t="array" ref="V42">IF(貼り付け用!$A$6&lt;&gt;"",
IF(INDEX(貼り付け用!A:Z, ROW(T41)+1, MATCH("おやつ", 貼り付け用!$A$3:$Z$3, 0)+1)&lt;&gt;0,
INDEX(貼り付け用!A:Z, ROW(T41)+1, MATCH("おやつ", 貼り付け用!$A$3:$Z$3, 0)+1),""),
IF(INDEX(貼り付け用!A:Z, ROW(T42)+1, MATCH("おやつ", 貼り付け用!$A$3:$Z$3, 0)+1)&lt;&gt;0,
INDEX(貼り付け用!A:Z, ROW(T42)+1, MATCH("おやつ", 貼り付け用!$A$3:$Z$3, 0)+1),""))</f>
        <v>#N/A</v>
      </c>
      <c r="W42" s="7" t="e">
        <f t="array" ref="W42">IF(貼り付け用!$A$6&lt;&gt;"",
IF(INDEX(貼り付け用!A:Z, ROW(T41)+1, MATCH("おやつ", 貼り付け用!$A$3:$Z$3, 0)+2)&lt;&gt;0,
INDEX(貼り付け用!A:Z, ROW(T41)+1, MATCH("おやつ", 貼り付け用!$A$3:$Z$3, 0)+2),""),
IF(INDEX(貼り付け用!A:Z, ROW(T42)+1, MATCH("おやつ", 貼り付け用!$A$3:$Z$3, 0)+2)&lt;&gt;0,
INDEX(貼り付け用!A:Z, ROW(T42)+1, MATCH("おやつ", 貼り付け用!$A$3:$Z$3, 0)+2),""))</f>
        <v>#N/A</v>
      </c>
    </row>
    <row r="43" spans="1:23" x14ac:dyDescent="0.45">
      <c r="A43" s="10" t="e">
        <f>IF(貼り付け用!$A$6&lt;&gt;"",
IF(ROW(A42)+1&gt;=MATCH("*10000*", 貼り付け用!$A:$A, 0),"",
IF(貼り付け用!A43&lt;&gt;"",貼り付け用!A43,"")),
IF(ROW(A43)+1&gt;=MATCH("*10000*", 貼り付け用!$A:$A, 0),"",
IF(貼り付け用!A44&lt;&gt;"",貼り付け用!A44,"")))</f>
        <v>#N/A</v>
      </c>
      <c r="B43" s="3" t="e">
        <f>IF(貼り付け用!$A$6&lt;&gt;"",
IF(ROW(B42)+2&gt;=MATCH("*【合計】*", 貼り付け用!$A:$A, 0),"",
IF(貼り付け用!B43&lt;&gt;"",貼り付け用!B43,"")),
IF(ROW(B43)+2&gt;=MATCH("*【合計】*", 貼り付け用!$A:$A, 0),"",
IF(貼り付け用!B44&lt;&gt;"",貼り付け用!B44,"")))</f>
        <v>#N/A</v>
      </c>
      <c r="C43" s="3" t="e">
        <f>IF(貼り付け用!$A$6&lt;&gt;"",
IF(ROW(C42)+2&gt;=MATCH("*【合計】*", 貼り付け用!$A:$A, 0),"",
IF(貼り付け用!C43&lt;&gt;"",貼り付け用!C43,"")),
IF(ROW(C43)+2&gt;=MATCH("*【合計】*", 貼り付け用!$A:$A, 0),"",
IF(貼り付け用!C44&lt;&gt;"",貼り付け用!C44,"")))</f>
        <v>#N/A</v>
      </c>
      <c r="D43" s="3" t="e">
        <f>IF(貼り付け用!$A$6&lt;&gt;"",
IF(ROW(D42)+2&gt;=MATCH("*【合計】*", 貼り付け用!$A:$A, 0),"",
IF(貼り付け用!D43&lt;&gt;"",貼り付け用!D43,"")),
IF(ROW(D43)+2&gt;=MATCH("*【合計】*", 貼り付け用!$A:$A, 0),"",
IF(貼り付け用!D44&lt;&gt;"",貼り付け用!D44,"")))</f>
        <v>#N/A</v>
      </c>
      <c r="E43" s="3" t="e">
        <f>IF(貼り付け用!$A$6&lt;&gt;"",
IF(ROW(E42)+2&gt;=MATCH("*【合計】*", 貼り付け用!$A:$A, 0),"",
IF(貼り付け用!E43&lt;&gt;"",貼り付け用!E43,"")),
IF(ROW(E43)+2&gt;=MATCH("*【合計】*", 貼り付け用!$A:$A, 0),"",
IF(貼り付け用!E44&lt;&gt;"",貼り付け用!E44,"")))</f>
        <v>#N/A</v>
      </c>
      <c r="F43" s="3" t="e">
        <f>IF(貼り付け用!$A$6&lt;&gt;"",
IF(ROW(F42)+2&gt;=MATCH("*【合計】*", 貼り付け用!$A:$A, 0),"",
IF(貼り付け用!F43&lt;&gt;"",貼り付け用!F43,"")),
IF(ROW(F43)+2&gt;=MATCH("*【合計】*", 貼り付け用!$A:$A, 0),"",
IF(貼り付け用!F44&lt;&gt;"",貼り付け用!F44,"")))</f>
        <v>#N/A</v>
      </c>
      <c r="G43" s="3" t="e">
        <f>IF(貼り付け用!$A$6&lt;&gt;"",
IF(ROW(G42)+2&gt;=MATCH("*【合計】*", 貼り付け用!$A:$A, 0),"",
IF(貼り付け用!G43&lt;&gt;"",貼り付け用!G43,"")),
IF(ROW(G43)+2&gt;=MATCH("*【合計】*", 貼り付け用!$A:$A, 0),"",
IF(貼り付け用!G44&lt;&gt;"",貼り付け用!G44,"")))</f>
        <v>#N/A</v>
      </c>
      <c r="H43" s="3" t="e">
        <f>IF(貼り付け用!$A$6&lt;&gt;"",
IF(ROW(H42)+2&gt;=MATCH("*【合計】*", 貼り付け用!$A:$A, 0),"",
IF(貼り付け用!H43&lt;&gt;"",貼り付け用!H43,"")),
IF(ROW(H43)+2&gt;=MATCH("*【合計】*", 貼り付け用!$A:$A, 0),"",
IF(貼り付け用!H44&lt;&gt;"",貼り付け用!H44,"")))</f>
        <v>#N/A</v>
      </c>
      <c r="I43" s="3" t="e">
        <f>IF(貼り付け用!$A$6&lt;&gt;"",
IF(ROW(I42)+2&gt;=MATCH("*【合計】*", 貼り付け用!$A:$A, 0),"",
IF(貼り付け用!I43&lt;&gt;"",貼り付け用!I43,"")),
IF(ROW(I43)+2&gt;=MATCH("*【合計】*", 貼り付け用!$A:$A, 0),"",
IF(貼り付け用!I44&lt;&gt;"",貼り付け用!I44,"")))</f>
        <v>#N/A</v>
      </c>
      <c r="J43" s="3" t="e">
        <f>IF(貼り付け用!$A$6&lt;&gt;"",
IF(ROW(J42)+2&gt;=MATCH("*【合計】*", 貼り付け用!$A:$A, 0),"",
IF(貼り付け用!J43&lt;&gt;"",貼り付け用!J43,"")),
IF(ROW(J43)+2&gt;=MATCH("*【合計】*", 貼り付け用!$A:$A, 0),"",
IF(貼り付け用!J44&lt;&gt;"",貼り付け用!J44,"")))</f>
        <v>#N/A</v>
      </c>
      <c r="K43" s="3" t="e">
        <f>IF(貼り付け用!$A$6&lt;&gt;"",
IF(ROW(K42)+2&gt;=MATCH("*【合計】*", 貼り付け用!$A:$A, 0),"",
IF(貼り付け用!K43&lt;&gt;"",貼り付け用!K43,"")),
IF(ROW(K43)+2&gt;=MATCH("*【合計】*", 貼り付け用!$A:$A, 0),"",
IF(貼り付け用!K44&lt;&gt;"",貼り付け用!K44,"")))</f>
        <v>#N/A</v>
      </c>
      <c r="L43" s="3" t="e">
        <f>IF(貼り付け用!$A$6&lt;&gt;"",
IF(ROW(L42)+2&gt;=MATCH("*【合計】*", 貼り付け用!$A:$A, 0),"",
IF(L$3&lt;&gt;"",IF(貼り付け用!L43&lt;&gt;"",貼り付け用!L43,""),"")),
IF(ROW(L43)+2&gt;=MATCH("*【合計】*", 貼り付け用!$A:$A, 0),"",
IF(L$3&lt;&gt;"",IF(貼り付け用!L44&lt;&gt;"",貼り付け用!L44,""),"")))</f>
        <v>#N/A</v>
      </c>
      <c r="M43" s="3" t="e">
        <f>IF(貼り付け用!$A$6&lt;&gt;"",
IF(ROW(M42)+2&gt;=MATCH("*【合計】*", 貼り付け用!$A:$A, 0),"",
IF(M$3&lt;&gt;"",IF(貼り付け用!M43&lt;&gt;"",貼り付け用!M43,""),"")),
IF(ROW(M43)+2&gt;=MATCH("*【合計】*", 貼り付け用!$A:$A, 0),"",
IF(M$3&lt;&gt;"",IF(貼り付け用!M44&lt;&gt;"",貼り付け用!M44,""),"")))</f>
        <v>#N/A</v>
      </c>
      <c r="N43" s="3" t="e">
        <f>IF(貼り付け用!$A$6&lt;&gt;"",
IF(ROW(N42)+2&gt;=MATCH("*【合計】*", 貼り付け用!$A:$A, 0),"",
IF(N$3&lt;&gt;"",IF(貼り付け用!N43&lt;&gt;"",貼り付け用!N43,""),"")),
IF(ROW(N43)+2&gt;=MATCH("*【合計】*", 貼り付け用!$A:$A, 0),"",
IF(N$3&lt;&gt;"",IF(貼り付け用!N44&lt;&gt;"",貼り付け用!N44,""),"")))</f>
        <v>#N/A</v>
      </c>
      <c r="O43" s="3" t="e">
        <f>IF(貼り付け用!$A$6&lt;&gt;"",
IF(ROW(O42)+2&gt;=MATCH("*【合計】*", 貼り付け用!$A:$A, 0),"",
IF(O$3&lt;&gt;"",IF(貼り付け用!O43&lt;&gt;"",貼り付け用!O43,""),"")),
IF(ROW(O43)+2&gt;=MATCH("*【合計】*", 貼り付け用!$A:$A, 0),"",
IF(O$3&lt;&gt;"",IF(貼り付け用!O44&lt;&gt;"",貼り付け用!O44,""),"")))</f>
        <v>#N/A</v>
      </c>
      <c r="P43" s="3" t="e">
        <f>IF(貼り付け用!$A$6&lt;&gt;"",
IF(ROW(P42)+2&gt;=MATCH("*【合計】*", 貼り付け用!$A:$A, 0),"",
IF(P$3&lt;&gt;"",IF(貼り付け用!P43&lt;&gt;"",貼り付け用!P43,""),"")),
IF(ROW(P43)+2&gt;=MATCH("*【合計】*", 貼り付け用!$A:$A, 0),"",
IF(P$3&lt;&gt;"",IF(貼り付け用!P44&lt;&gt;"",貼り付け用!P44,""),"")))</f>
        <v>#N/A</v>
      </c>
      <c r="Q43" s="3" t="e">
        <f>IF(貼り付け用!$A$6&lt;&gt;"",
IF(ROW(Q42)+2&gt;=MATCH("*【合計】*", 貼り付け用!$A:$A, 0),"",
IF(Q$3&lt;&gt;"",IF(貼り付け用!Q43&lt;&gt;"",貼り付け用!Q43,""),"")),
IF(ROW(Q43)+2&gt;=MATCH("*【合計】*", 貼り付け用!$A:$A, 0),"",
IF(Q$3&lt;&gt;"",IF(貼り付け用!Q44&lt;&gt;"",貼り付け用!Q44,""),"")))</f>
        <v>#N/A</v>
      </c>
      <c r="R43" s="3" t="e">
        <f>IF(貼り付け用!$A$6&lt;&gt;"",
IF(ROW(R42)+2&gt;=MATCH("*【合計】*", 貼り付け用!$A:$A, 0),"",
IF(R$3&lt;&gt;"",IF(貼り付け用!R43&lt;&gt;"",貼り付け用!R43,""),"")),
IF(ROW(R43)+2&gt;=MATCH("*【合計】*", 貼り付け用!$A:$A, 0),"",
IF(R$3&lt;&gt;"",IF(貼り付け用!R44&lt;&gt;"",貼り付け用!R44,""),"")))</f>
        <v>#N/A</v>
      </c>
      <c r="S43" s="3" t="e">
        <f>IF(貼り付け用!$A$6&lt;&gt;"",
IF(ROW(S42)+2&gt;=MATCH("*【合計】*", 貼り付け用!$A:$A, 0),"",
IF(S$3&lt;&gt;"",IF(貼り付け用!S43&lt;&gt;"",貼り付け用!S43,""),"")),
IF(ROW(S43)+2&gt;=MATCH("*【合計】*", 貼り付け用!$A:$A, 0),"",
IF(S$3&lt;&gt;"",IF(貼り付け用!S44&lt;&gt;"",貼り付け用!S44,""),"")))</f>
        <v>#N/A</v>
      </c>
      <c r="T43" s="2" t="e">
        <f t="array" ref="T43">IF(貼り付け用!$A$6&lt;&gt;"",
IF(INDEX(貼り付け用!A:Z, ROW(T42)+1, MATCH("おやつ", 貼り付け用!$A$3:$Z$3, 0))&lt;&gt;0,
INDEX(貼り付け用!A:Z, ROW(T42)+1, MATCH("おやつ", 貼り付け用!$A$3:$Z$3, 0)),""),
IF(INDEX(貼り付け用!A:Z, ROW(T43)+1, MATCH("おやつ", 貼り付け用!$A$3:$Z$3, 0))&lt;&gt;0,
INDEX(貼り付け用!A:Z, ROW(T43)+1, MATCH("おやつ", 貼り付け用!$A$3:$Z$3, 0)),""))</f>
        <v>#N/A</v>
      </c>
      <c r="U43" s="52"/>
      <c r="V43" s="8" t="e">
        <f t="array" ref="V43">IF(貼り付け用!$A$6&lt;&gt;"",
IF(INDEX(貼り付け用!A:Z, ROW(T42)+1, MATCH("おやつ", 貼り付け用!$A$3:$Z$3, 0)+1)&lt;&gt;0,
INDEX(貼り付け用!A:Z, ROW(T42)+1, MATCH("おやつ", 貼り付け用!$A$3:$Z$3, 0)+1),""),
IF(INDEX(貼り付け用!A:Z, ROW(T43)+1, MATCH("おやつ", 貼り付け用!$A$3:$Z$3, 0)+1)&lt;&gt;0,
INDEX(貼り付け用!A:Z, ROW(T43)+1, MATCH("おやつ", 貼り付け用!$A$3:$Z$3, 0)+1),""))</f>
        <v>#N/A</v>
      </c>
      <c r="W43" s="9" t="e">
        <f t="array" ref="W43">IF(貼り付け用!$A$6&lt;&gt;"",
IF(INDEX(貼り付け用!A:Z, ROW(T42)+1, MATCH("おやつ", 貼り付け用!$A$3:$Z$3, 0)+2)&lt;&gt;0,
INDEX(貼り付け用!A:Z, ROW(T42)+1, MATCH("おやつ", 貼り付け用!$A$3:$Z$3, 0)+2),""),
IF(INDEX(貼り付け用!A:Z, ROW(T43)+1, MATCH("おやつ", 貼り付け用!$A$3:$Z$3, 0)+2)&lt;&gt;0,
INDEX(貼り付け用!A:Z, ROW(T43)+1, MATCH("おやつ", 貼り付け用!$A$3:$Z$3, 0)+2),""))</f>
        <v>#N/A</v>
      </c>
    </row>
    <row r="44" spans="1:23" x14ac:dyDescent="0.45">
      <c r="A44" s="4" t="e">
        <f>IF(貼り付け用!$A$6&lt;&gt;"",
IF(ROW(A43)+1&gt;=MATCH("*10000*", 貼り付け用!$A:$A, 0),
IF(COUNTIF(A42,"*10000*"),"10001",
IF(COUNTIF(A42,"*10001*"),"10002",
IF(COUNTIF(A42,"*10002*"),"",
IF(COUNTIF(A42,""),"","10000")))),
IF(貼り付け用!A44&lt;&gt;"",貼り付け用!A44,"")),
IF(ROW(A44)+1&gt;=MATCH("*10000*", 貼り付け用!$A:$A, 0),
IF(COUNTIF(A42,"*10000*"),"10001",
IF(COUNTIF(A42,"*10001*"),"10002",
IF(COUNTIF(A42,"*10002*"),"",
IF(COUNTIF(A42,""),"","10000")))),
IF(貼り付け用!A45&lt;&gt;"",貼り付け用!A45,"")))</f>
        <v>#N/A</v>
      </c>
      <c r="B44" s="19" t="e">
        <f>IF(貼り付け用!$A$6&lt;&gt;"",
IF(ROW(B43)+2&gt;=MATCH("*【合計】*", 貼り付け用!$A:$A, 0),"",
IF(貼り付け用!B44&lt;&gt;"",貼り付け用!B44,"")),
IF(ROW(B44)+2&gt;=MATCH("*【合計】*", 貼り付け用!$A:$A, 0),"",
IF(貼り付け用!B45&lt;&gt;"",貼り付け用!B45,"")))</f>
        <v>#N/A</v>
      </c>
      <c r="C44" s="19" t="e">
        <f>IF(貼り付け用!$A$6&lt;&gt;"",
IF(ROW(C43)+2&gt;=MATCH("*【合計】*", 貼り付け用!$A:$A, 0),"",
IF(貼り付け用!C44&lt;&gt;"",貼り付け用!C44,"")),
IF(ROW(C44)+2&gt;=MATCH("*【合計】*", 貼り付け用!$A:$A, 0),"",
IF(貼り付け用!C45&lt;&gt;"",貼り付け用!C45,"")))</f>
        <v>#N/A</v>
      </c>
      <c r="D44" s="19" t="e">
        <f>IF(貼り付け用!$A$6&lt;&gt;"",
IF(ROW(D43)+2&gt;=MATCH("*【合計】*", 貼り付け用!$A:$A, 0),"",
IF(貼り付け用!D44&lt;&gt;"",貼り付け用!D44,"")),
IF(ROW(D44)+2&gt;=MATCH("*【合計】*", 貼り付け用!$A:$A, 0),"",
IF(貼り付け用!D45&lt;&gt;"",貼り付け用!D45,"")))</f>
        <v>#N/A</v>
      </c>
      <c r="E44" s="19" t="e">
        <f>IF(貼り付け用!$A$6&lt;&gt;"",
IF(ROW(E43)+2&gt;=MATCH("*【合計】*", 貼り付け用!$A:$A, 0),"",
IF(貼り付け用!E44&lt;&gt;"",貼り付け用!E44,"")),
IF(ROW(E44)+2&gt;=MATCH("*【合計】*", 貼り付け用!$A:$A, 0),"",
IF(貼り付け用!E45&lt;&gt;"",貼り付け用!E45,"")))</f>
        <v>#N/A</v>
      </c>
      <c r="F44" s="19" t="e">
        <f>IF(貼り付け用!$A$6&lt;&gt;"",
IF(ROW(F43)+2&gt;=MATCH("*【合計】*", 貼り付け用!$A:$A, 0),"",
IF(貼り付け用!F44&lt;&gt;"",貼り付け用!F44,"")),
IF(ROW(F44)+2&gt;=MATCH("*【合計】*", 貼り付け用!$A:$A, 0),"",
IF(貼り付け用!F45&lt;&gt;"",貼り付け用!F45,"")))</f>
        <v>#N/A</v>
      </c>
      <c r="G44" s="19" t="e">
        <f>IF(貼り付け用!$A$6&lt;&gt;"",
IF(ROW(G43)+2&gt;=MATCH("*【合計】*", 貼り付け用!$A:$A, 0),"",
IF(貼り付け用!G44&lt;&gt;"",貼り付け用!G44,"")),
IF(ROW(G44)+2&gt;=MATCH("*【合計】*", 貼り付け用!$A:$A, 0),"",
IF(貼り付け用!G45&lt;&gt;"",貼り付け用!G45,"")))</f>
        <v>#N/A</v>
      </c>
      <c r="H44" s="19" t="e">
        <f>IF(貼り付け用!$A$6&lt;&gt;"",
IF(ROW(H43)+2&gt;=MATCH("*【合計】*", 貼り付け用!$A:$A, 0),"",
IF(貼り付け用!H44&lt;&gt;"",貼り付け用!H44,"")),
IF(ROW(H44)+2&gt;=MATCH("*【合計】*", 貼り付け用!$A:$A, 0),"",
IF(貼り付け用!H45&lt;&gt;"",貼り付け用!H45,"")))</f>
        <v>#N/A</v>
      </c>
      <c r="I44" s="19" t="e">
        <f>IF(貼り付け用!$A$6&lt;&gt;"",
IF(ROW(I43)+2&gt;=MATCH("*【合計】*", 貼り付け用!$A:$A, 0),"",
IF(貼り付け用!I44&lt;&gt;"",貼り付け用!I44,"")),
IF(ROW(I44)+2&gt;=MATCH("*【合計】*", 貼り付け用!$A:$A, 0),"",
IF(貼り付け用!I45&lt;&gt;"",貼り付け用!I45,"")))</f>
        <v>#N/A</v>
      </c>
      <c r="J44" s="19" t="e">
        <f>IF(貼り付け用!$A$6&lt;&gt;"",
IF(ROW(J43)+2&gt;=MATCH("*【合計】*", 貼り付け用!$A:$A, 0),"",
IF(貼り付け用!J44&lt;&gt;"",貼り付け用!J44,"")),
IF(ROW(J44)+2&gt;=MATCH("*【合計】*", 貼り付け用!$A:$A, 0),"",
IF(貼り付け用!J45&lt;&gt;"",貼り付け用!J45,"")))</f>
        <v>#N/A</v>
      </c>
      <c r="K44" s="19" t="e">
        <f>IF(貼り付け用!$A$6&lt;&gt;"",
IF(ROW(K43)+2&gt;=MATCH("*【合計】*", 貼り付け用!$A:$A, 0),"",
IF(貼り付け用!K44&lt;&gt;"",貼り付け用!K44,"")),
IF(ROW(K44)+2&gt;=MATCH("*【合計】*", 貼り付け用!$A:$A, 0),"",
IF(貼り付け用!K45&lt;&gt;"",貼り付け用!K45,"")))</f>
        <v>#N/A</v>
      </c>
      <c r="L44" s="19" t="e">
        <f>IF(貼り付け用!$A$6&lt;&gt;"",
IF(ROW(L43)+2&gt;=MATCH("*【合計】*", 貼り付け用!$A:$A, 0),"",
IF(L$3&lt;&gt;"",IF(貼り付け用!L44&lt;&gt;"",貼り付け用!L44,""),"")),
IF(ROW(L44)+2&gt;=MATCH("*【合計】*", 貼り付け用!$A:$A, 0),"",
IF(L$3&lt;&gt;"",IF(貼り付け用!L45&lt;&gt;"",貼り付け用!L45,""),"")))</f>
        <v>#N/A</v>
      </c>
      <c r="M44" s="19" t="e">
        <f>IF(貼り付け用!$A$6&lt;&gt;"",
IF(ROW(M43)+2&gt;=MATCH("*【合計】*", 貼り付け用!$A:$A, 0),"",
IF(M$3&lt;&gt;"",IF(貼り付け用!M44&lt;&gt;"",貼り付け用!M44,""),"")),
IF(ROW(M44)+2&gt;=MATCH("*【合計】*", 貼り付け用!$A:$A, 0),"",
IF(M$3&lt;&gt;"",IF(貼り付け用!M45&lt;&gt;"",貼り付け用!M45,""),"")))</f>
        <v>#N/A</v>
      </c>
      <c r="N44" s="19" t="e">
        <f>IF(貼り付け用!$A$6&lt;&gt;"",
IF(ROW(N43)+2&gt;=MATCH("*【合計】*", 貼り付け用!$A:$A, 0),"",
IF(N$3&lt;&gt;"",IF(貼り付け用!N44&lt;&gt;"",貼り付け用!N44,""),"")),
IF(ROW(N44)+2&gt;=MATCH("*【合計】*", 貼り付け用!$A:$A, 0),"",
IF(N$3&lt;&gt;"",IF(貼り付け用!N45&lt;&gt;"",貼り付け用!N45,""),"")))</f>
        <v>#N/A</v>
      </c>
      <c r="O44" s="19" t="e">
        <f>IF(貼り付け用!$A$6&lt;&gt;"",
IF(ROW(O43)+2&gt;=MATCH("*【合計】*", 貼り付け用!$A:$A, 0),"",
IF(O$3&lt;&gt;"",IF(貼り付け用!O44&lt;&gt;"",貼り付け用!O44,""),"")),
IF(ROW(O44)+2&gt;=MATCH("*【合計】*", 貼り付け用!$A:$A, 0),"",
IF(O$3&lt;&gt;"",IF(貼り付け用!O45&lt;&gt;"",貼り付け用!O45,""),"")))</f>
        <v>#N/A</v>
      </c>
      <c r="P44" s="19" t="e">
        <f>IF(貼り付け用!$A$6&lt;&gt;"",
IF(ROW(P43)+2&gt;=MATCH("*【合計】*", 貼り付け用!$A:$A, 0),"",
IF(P$3&lt;&gt;"",IF(貼り付け用!P44&lt;&gt;"",貼り付け用!P44,""),"")),
IF(ROW(P44)+2&gt;=MATCH("*【合計】*", 貼り付け用!$A:$A, 0),"",
IF(P$3&lt;&gt;"",IF(貼り付け用!P45&lt;&gt;"",貼り付け用!P45,""),"")))</f>
        <v>#N/A</v>
      </c>
      <c r="Q44" s="19" t="e">
        <f>IF(貼り付け用!$A$6&lt;&gt;"",
IF(ROW(Q43)+2&gt;=MATCH("*【合計】*", 貼り付け用!$A:$A, 0),"",
IF(Q$3&lt;&gt;"",IF(貼り付け用!Q44&lt;&gt;"",貼り付け用!Q44,""),"")),
IF(ROW(Q44)+2&gt;=MATCH("*【合計】*", 貼り付け用!$A:$A, 0),"",
IF(Q$3&lt;&gt;"",IF(貼り付け用!Q45&lt;&gt;"",貼り付け用!Q45,""),"")))</f>
        <v>#N/A</v>
      </c>
      <c r="R44" s="19" t="e">
        <f>IF(貼り付け用!$A$6&lt;&gt;"",
IF(ROW(R43)+2&gt;=MATCH("*【合計】*", 貼り付け用!$A:$A, 0),"",
IF(R$3&lt;&gt;"",IF(貼り付け用!R44&lt;&gt;"",貼り付け用!R44,""),"")),
IF(ROW(R44)+2&gt;=MATCH("*【合計】*", 貼り付け用!$A:$A, 0),"",
IF(R$3&lt;&gt;"",IF(貼り付け用!R45&lt;&gt;"",貼り付け用!R45,""),"")))</f>
        <v>#N/A</v>
      </c>
      <c r="S44" s="19" t="e">
        <f>IF(貼り付け用!$A$6&lt;&gt;"",
IF(ROW(S43)+2&gt;=MATCH("*【合計】*", 貼り付け用!$A:$A, 0),"",
IF(S$3&lt;&gt;"",IF(貼り付け用!S44&lt;&gt;"",貼り付け用!S44,""),"")),
IF(ROW(S44)+2&gt;=MATCH("*【合計】*", 貼り付け用!$A:$A, 0),"",
IF(S$3&lt;&gt;"",IF(貼り付け用!S45&lt;&gt;"",貼り付け用!S45,""),"")))</f>
        <v>#N/A</v>
      </c>
      <c r="T44" s="19" t="e">
        <f t="array" ref="T44">IF(貼り付け用!$A$6&lt;&gt;"",
IF(INDEX(貼り付け用!A:Z, ROW(T43)+1, MATCH("おやつ", 貼り付け用!$A$3:$Z$3, 0))&lt;&gt;0,
INDEX(貼り付け用!A:Z, ROW(T43)+1, MATCH("おやつ", 貼り付け用!$A$3:$Z$3, 0)),""),
IF(INDEX(貼り付け用!A:Z, ROW(T44)+1, MATCH("おやつ", 貼り付け用!$A$3:$Z$3, 0))&lt;&gt;0,
INDEX(貼り付け用!A:Z, ROW(T44)+1, MATCH("おやつ", 貼り付け用!$A$3:$Z$3, 0)),""))</f>
        <v>#N/A</v>
      </c>
      <c r="U44" s="16"/>
      <c r="V44" s="5" t="e">
        <f t="array" ref="V44">IF(貼り付け用!$A$6&lt;&gt;"",
IF(INDEX(貼り付け用!A:Z, ROW(T43)+1, MATCH("おやつ", 貼り付け用!$A$3:$Z$3, 0)+1)&lt;&gt;0,
INDEX(貼り付け用!A:Z, ROW(T43)+1, MATCH("おやつ", 貼り付け用!$A$3:$Z$3, 0)+1),""),
IF(INDEX(貼り付け用!A:Z, ROW(T44)+1, MATCH("おやつ", 貼り付け用!$A$3:$Z$3, 0)+1)&lt;&gt;0,
INDEX(貼り付け用!A:Z, ROW(T44)+1, MATCH("おやつ", 貼り付け用!$A$3:$Z$3, 0)+1),""))</f>
        <v>#N/A</v>
      </c>
      <c r="W44" s="7" t="e">
        <f t="array" ref="W44">IF(貼り付け用!$A$6&lt;&gt;"",
IF(INDEX(貼り付け用!A:Z, ROW(T43)+1, MATCH("おやつ", 貼り付け用!$A$3:$Z$3, 0)+2)&lt;&gt;0,
INDEX(貼り付け用!A:Z, ROW(T43)+1, MATCH("おやつ", 貼り付け用!$A$3:$Z$3, 0)+2),""),
IF(INDEX(貼り付け用!A:Z, ROW(T44)+1, MATCH("おやつ", 貼り付け用!$A$3:$Z$3, 0)+2)&lt;&gt;0,
INDEX(貼り付け用!A:Z, ROW(T44)+1, MATCH("おやつ", 貼り付け用!$A$3:$Z$3, 0)+2),""))</f>
        <v>#N/A</v>
      </c>
    </row>
    <row r="45" spans="1:23" x14ac:dyDescent="0.45">
      <c r="A45" s="10" t="e">
        <f>IF(貼り付け用!$A$6&lt;&gt;"",
IF(ROW(A44)+1&gt;=MATCH("*10000*", 貼り付け用!$A:$A, 0),"",
IF(貼り付け用!A45&lt;&gt;"",貼り付け用!A45,"")),
IF(ROW(A45)+1&gt;=MATCH("*10000*", 貼り付け用!$A:$A, 0),"",
IF(貼り付け用!A46&lt;&gt;"",貼り付け用!A46,"")))</f>
        <v>#N/A</v>
      </c>
      <c r="B45" s="3" t="e">
        <f>IF(貼り付け用!$A$6&lt;&gt;"",
IF(ROW(B44)+2&gt;=MATCH("*【合計】*", 貼り付け用!$A:$A, 0),"",
IF(貼り付け用!B45&lt;&gt;"",貼り付け用!B45,"")),
IF(ROW(B45)+2&gt;=MATCH("*【合計】*", 貼り付け用!$A:$A, 0),"",
IF(貼り付け用!B46&lt;&gt;"",貼り付け用!B46,"")))</f>
        <v>#N/A</v>
      </c>
      <c r="C45" s="3" t="e">
        <f>IF(貼り付け用!$A$6&lt;&gt;"",
IF(ROW(C44)+2&gt;=MATCH("*【合計】*", 貼り付け用!$A:$A, 0),"",
IF(貼り付け用!C45&lt;&gt;"",貼り付け用!C45,"")),
IF(ROW(C45)+2&gt;=MATCH("*【合計】*", 貼り付け用!$A:$A, 0),"",
IF(貼り付け用!C46&lt;&gt;"",貼り付け用!C46,"")))</f>
        <v>#N/A</v>
      </c>
      <c r="D45" s="3" t="e">
        <f>IF(貼り付け用!$A$6&lt;&gt;"",
IF(ROW(D44)+2&gt;=MATCH("*【合計】*", 貼り付け用!$A:$A, 0),"",
IF(貼り付け用!D45&lt;&gt;"",貼り付け用!D45,"")),
IF(ROW(D45)+2&gt;=MATCH("*【合計】*", 貼り付け用!$A:$A, 0),"",
IF(貼り付け用!D46&lt;&gt;"",貼り付け用!D46,"")))</f>
        <v>#N/A</v>
      </c>
      <c r="E45" s="3" t="e">
        <f>IF(貼り付け用!$A$6&lt;&gt;"",
IF(ROW(E44)+2&gt;=MATCH("*【合計】*", 貼り付け用!$A:$A, 0),"",
IF(貼り付け用!E45&lt;&gt;"",貼り付け用!E45,"")),
IF(ROW(E45)+2&gt;=MATCH("*【合計】*", 貼り付け用!$A:$A, 0),"",
IF(貼り付け用!E46&lt;&gt;"",貼り付け用!E46,"")))</f>
        <v>#N/A</v>
      </c>
      <c r="F45" s="3" t="e">
        <f>IF(貼り付け用!$A$6&lt;&gt;"",
IF(ROW(F44)+2&gt;=MATCH("*【合計】*", 貼り付け用!$A:$A, 0),"",
IF(貼り付け用!F45&lt;&gt;"",貼り付け用!F45,"")),
IF(ROW(F45)+2&gt;=MATCH("*【合計】*", 貼り付け用!$A:$A, 0),"",
IF(貼り付け用!F46&lt;&gt;"",貼り付け用!F46,"")))</f>
        <v>#N/A</v>
      </c>
      <c r="G45" s="3" t="e">
        <f>IF(貼り付け用!$A$6&lt;&gt;"",
IF(ROW(G44)+2&gt;=MATCH("*【合計】*", 貼り付け用!$A:$A, 0),"",
IF(貼り付け用!G45&lt;&gt;"",貼り付け用!G45,"")),
IF(ROW(G45)+2&gt;=MATCH("*【合計】*", 貼り付け用!$A:$A, 0),"",
IF(貼り付け用!G46&lt;&gt;"",貼り付け用!G46,"")))</f>
        <v>#N/A</v>
      </c>
      <c r="H45" s="3" t="e">
        <f>IF(貼り付け用!$A$6&lt;&gt;"",
IF(ROW(H44)+2&gt;=MATCH("*【合計】*", 貼り付け用!$A:$A, 0),"",
IF(貼り付け用!H45&lt;&gt;"",貼り付け用!H45,"")),
IF(ROW(H45)+2&gt;=MATCH("*【合計】*", 貼り付け用!$A:$A, 0),"",
IF(貼り付け用!H46&lt;&gt;"",貼り付け用!H46,"")))</f>
        <v>#N/A</v>
      </c>
      <c r="I45" s="3" t="e">
        <f>IF(貼り付け用!$A$6&lt;&gt;"",
IF(ROW(I44)+2&gt;=MATCH("*【合計】*", 貼り付け用!$A:$A, 0),"",
IF(貼り付け用!I45&lt;&gt;"",貼り付け用!I45,"")),
IF(ROW(I45)+2&gt;=MATCH("*【合計】*", 貼り付け用!$A:$A, 0),"",
IF(貼り付け用!I46&lt;&gt;"",貼り付け用!I46,"")))</f>
        <v>#N/A</v>
      </c>
      <c r="J45" s="3" t="e">
        <f>IF(貼り付け用!$A$6&lt;&gt;"",
IF(ROW(J44)+2&gt;=MATCH("*【合計】*", 貼り付け用!$A:$A, 0),"",
IF(貼り付け用!J45&lt;&gt;"",貼り付け用!J45,"")),
IF(ROW(J45)+2&gt;=MATCH("*【合計】*", 貼り付け用!$A:$A, 0),"",
IF(貼り付け用!J46&lt;&gt;"",貼り付け用!J46,"")))</f>
        <v>#N/A</v>
      </c>
      <c r="K45" s="3" t="e">
        <f>IF(貼り付け用!$A$6&lt;&gt;"",
IF(ROW(K44)+2&gt;=MATCH("*【合計】*", 貼り付け用!$A:$A, 0),"",
IF(貼り付け用!K45&lt;&gt;"",貼り付け用!K45,"")),
IF(ROW(K45)+2&gt;=MATCH("*【合計】*", 貼り付け用!$A:$A, 0),"",
IF(貼り付け用!K46&lt;&gt;"",貼り付け用!K46,"")))</f>
        <v>#N/A</v>
      </c>
      <c r="L45" s="3" t="e">
        <f>IF(貼り付け用!$A$6&lt;&gt;"",
IF(ROW(L44)+2&gt;=MATCH("*【合計】*", 貼り付け用!$A:$A, 0),"",
IF(L$3&lt;&gt;"",IF(貼り付け用!L45&lt;&gt;"",貼り付け用!L45,""),"")),
IF(ROW(L45)+2&gt;=MATCH("*【合計】*", 貼り付け用!$A:$A, 0),"",
IF(L$3&lt;&gt;"",IF(貼り付け用!L46&lt;&gt;"",貼り付け用!L46,""),"")))</f>
        <v>#N/A</v>
      </c>
      <c r="M45" s="3" t="e">
        <f>IF(貼り付け用!$A$6&lt;&gt;"",
IF(ROW(M44)+2&gt;=MATCH("*【合計】*", 貼り付け用!$A:$A, 0),"",
IF(M$3&lt;&gt;"",IF(貼り付け用!M45&lt;&gt;"",貼り付け用!M45,""),"")),
IF(ROW(M45)+2&gt;=MATCH("*【合計】*", 貼り付け用!$A:$A, 0),"",
IF(M$3&lt;&gt;"",IF(貼り付け用!M46&lt;&gt;"",貼り付け用!M46,""),"")))</f>
        <v>#N/A</v>
      </c>
      <c r="N45" s="3" t="e">
        <f>IF(貼り付け用!$A$6&lt;&gt;"",
IF(ROW(N44)+2&gt;=MATCH("*【合計】*", 貼り付け用!$A:$A, 0),"",
IF(N$3&lt;&gt;"",IF(貼り付け用!N45&lt;&gt;"",貼り付け用!N45,""),"")),
IF(ROW(N45)+2&gt;=MATCH("*【合計】*", 貼り付け用!$A:$A, 0),"",
IF(N$3&lt;&gt;"",IF(貼り付け用!N46&lt;&gt;"",貼り付け用!N46,""),"")))</f>
        <v>#N/A</v>
      </c>
      <c r="O45" s="3" t="e">
        <f>IF(貼り付け用!$A$6&lt;&gt;"",
IF(ROW(O44)+2&gt;=MATCH("*【合計】*", 貼り付け用!$A:$A, 0),"",
IF(O$3&lt;&gt;"",IF(貼り付け用!O45&lt;&gt;"",貼り付け用!O45,""),"")),
IF(ROW(O45)+2&gt;=MATCH("*【合計】*", 貼り付け用!$A:$A, 0),"",
IF(O$3&lt;&gt;"",IF(貼り付け用!O46&lt;&gt;"",貼り付け用!O46,""),"")))</f>
        <v>#N/A</v>
      </c>
      <c r="P45" s="3" t="e">
        <f>IF(貼り付け用!$A$6&lt;&gt;"",
IF(ROW(P44)+2&gt;=MATCH("*【合計】*", 貼り付け用!$A:$A, 0),"",
IF(P$3&lt;&gt;"",IF(貼り付け用!P45&lt;&gt;"",貼り付け用!P45,""),"")),
IF(ROW(P45)+2&gt;=MATCH("*【合計】*", 貼り付け用!$A:$A, 0),"",
IF(P$3&lt;&gt;"",IF(貼り付け用!P46&lt;&gt;"",貼り付け用!P46,""),"")))</f>
        <v>#N/A</v>
      </c>
      <c r="Q45" s="3" t="e">
        <f>IF(貼り付け用!$A$6&lt;&gt;"",
IF(ROW(Q44)+2&gt;=MATCH("*【合計】*", 貼り付け用!$A:$A, 0),"",
IF(Q$3&lt;&gt;"",IF(貼り付け用!Q45&lt;&gt;"",貼り付け用!Q45,""),"")),
IF(ROW(Q45)+2&gt;=MATCH("*【合計】*", 貼り付け用!$A:$A, 0),"",
IF(Q$3&lt;&gt;"",IF(貼り付け用!Q46&lt;&gt;"",貼り付け用!Q46,""),"")))</f>
        <v>#N/A</v>
      </c>
      <c r="R45" s="3" t="e">
        <f>IF(貼り付け用!$A$6&lt;&gt;"",
IF(ROW(R44)+2&gt;=MATCH("*【合計】*", 貼り付け用!$A:$A, 0),"",
IF(R$3&lt;&gt;"",IF(貼り付け用!R45&lt;&gt;"",貼り付け用!R45,""),"")),
IF(ROW(R45)+2&gt;=MATCH("*【合計】*", 貼り付け用!$A:$A, 0),"",
IF(R$3&lt;&gt;"",IF(貼り付け用!R46&lt;&gt;"",貼り付け用!R46,""),"")))</f>
        <v>#N/A</v>
      </c>
      <c r="S45" s="3" t="e">
        <f>IF(貼り付け用!$A$6&lt;&gt;"",
IF(ROW(S44)+2&gt;=MATCH("*【合計】*", 貼り付け用!$A:$A, 0),"",
IF(S$3&lt;&gt;"",IF(貼り付け用!S45&lt;&gt;"",貼り付け用!S45,""),"")),
IF(ROW(S45)+2&gt;=MATCH("*【合計】*", 貼り付け用!$A:$A, 0),"",
IF(S$3&lt;&gt;"",IF(貼り付け用!S46&lt;&gt;"",貼り付け用!S46,""),"")))</f>
        <v>#N/A</v>
      </c>
      <c r="T45" s="2" t="e">
        <f t="array" ref="T45">IF(貼り付け用!$A$6&lt;&gt;"",
IF(INDEX(貼り付け用!A:Z, ROW(T44)+1, MATCH("おやつ", 貼り付け用!$A$3:$Z$3, 0))&lt;&gt;0,
INDEX(貼り付け用!A:Z, ROW(T44)+1, MATCH("おやつ", 貼り付け用!$A$3:$Z$3, 0)),""),
IF(INDEX(貼り付け用!A:Z, ROW(T45)+1, MATCH("おやつ", 貼り付け用!$A$3:$Z$3, 0))&lt;&gt;0,
INDEX(貼り付け用!A:Z, ROW(T45)+1, MATCH("おやつ", 貼り付け用!$A$3:$Z$3, 0)),""))</f>
        <v>#N/A</v>
      </c>
      <c r="U45" s="52"/>
      <c r="V45" s="8" t="e">
        <f t="array" ref="V45">IF(貼り付け用!$A$6&lt;&gt;"",
IF(INDEX(貼り付け用!A:Z, ROW(T44)+1, MATCH("おやつ", 貼り付け用!$A$3:$Z$3, 0)+1)&lt;&gt;0,
INDEX(貼り付け用!A:Z, ROW(T44)+1, MATCH("おやつ", 貼り付け用!$A$3:$Z$3, 0)+1),""),
IF(INDEX(貼り付け用!A:Z, ROW(T45)+1, MATCH("おやつ", 貼り付け用!$A$3:$Z$3, 0)+1)&lt;&gt;0,
INDEX(貼り付け用!A:Z, ROW(T45)+1, MATCH("おやつ", 貼り付け用!$A$3:$Z$3, 0)+1),""))</f>
        <v>#N/A</v>
      </c>
      <c r="W45" s="9" t="e">
        <f t="array" ref="W45">IF(貼り付け用!$A$6&lt;&gt;"",
IF(INDEX(貼り付け用!A:Z, ROW(T44)+1, MATCH("おやつ", 貼り付け用!$A$3:$Z$3, 0)+2)&lt;&gt;0,
INDEX(貼り付け用!A:Z, ROW(T44)+1, MATCH("おやつ", 貼り付け用!$A$3:$Z$3, 0)+2),""),
IF(INDEX(貼り付け用!A:Z, ROW(T45)+1, MATCH("おやつ", 貼り付け用!$A$3:$Z$3, 0)+2)&lt;&gt;0,
INDEX(貼り付け用!A:Z, ROW(T45)+1, MATCH("おやつ", 貼り付け用!$A$3:$Z$3, 0)+2),""))</f>
        <v>#N/A</v>
      </c>
    </row>
    <row r="46" spans="1:23" x14ac:dyDescent="0.45">
      <c r="A46" s="4" t="e">
        <f>IF(貼り付け用!$A$6&lt;&gt;"",
IF(ROW(A45)+1&gt;=MATCH("*10000*", 貼り付け用!$A:$A, 0),
IF(COUNTIF(A44,"*10000*"),"10001",
IF(COUNTIF(A44,"*10001*"),"10002",
IF(COUNTIF(A44,"*10002*"),"",
IF(COUNTIF(A44,""),"","10000")))),
IF(貼り付け用!A46&lt;&gt;"",貼り付け用!A46,"")),
IF(ROW(A46)+1&gt;=MATCH("*10000*", 貼り付け用!$A:$A, 0),
IF(COUNTIF(A44,"*10000*"),"10001",
IF(COUNTIF(A44,"*10001*"),"10002",
IF(COUNTIF(A44,"*10002*"),"",
IF(COUNTIF(A44,""),"","10000")))),
IF(貼り付け用!A47&lt;&gt;"",貼り付け用!A47,"")))</f>
        <v>#N/A</v>
      </c>
      <c r="B46" s="19" t="e">
        <f>IF(貼り付け用!$A$6&lt;&gt;"",
IF(ROW(B45)+2&gt;=MATCH("*【合計】*", 貼り付け用!$A:$A, 0),"",
IF(貼り付け用!B46&lt;&gt;"",貼り付け用!B46,"")),
IF(ROW(B46)+2&gt;=MATCH("*【合計】*", 貼り付け用!$A:$A, 0),"",
IF(貼り付け用!B47&lt;&gt;"",貼り付け用!B47,"")))</f>
        <v>#N/A</v>
      </c>
      <c r="C46" s="19" t="e">
        <f>IF(貼り付け用!$A$6&lt;&gt;"",
IF(ROW(C45)+2&gt;=MATCH("*【合計】*", 貼り付け用!$A:$A, 0),"",
IF(貼り付け用!C46&lt;&gt;"",貼り付け用!C46,"")),
IF(ROW(C46)+2&gt;=MATCH("*【合計】*", 貼り付け用!$A:$A, 0),"",
IF(貼り付け用!C47&lt;&gt;"",貼り付け用!C47,"")))</f>
        <v>#N/A</v>
      </c>
      <c r="D46" s="19" t="e">
        <f>IF(貼り付け用!$A$6&lt;&gt;"",
IF(ROW(D45)+2&gt;=MATCH("*【合計】*", 貼り付け用!$A:$A, 0),"",
IF(貼り付け用!D46&lt;&gt;"",貼り付け用!D46,"")),
IF(ROW(D46)+2&gt;=MATCH("*【合計】*", 貼り付け用!$A:$A, 0),"",
IF(貼り付け用!D47&lt;&gt;"",貼り付け用!D47,"")))</f>
        <v>#N/A</v>
      </c>
      <c r="E46" s="19" t="e">
        <f>IF(貼り付け用!$A$6&lt;&gt;"",
IF(ROW(E45)+2&gt;=MATCH("*【合計】*", 貼り付け用!$A:$A, 0),"",
IF(貼り付け用!E46&lt;&gt;"",貼り付け用!E46,"")),
IF(ROW(E46)+2&gt;=MATCH("*【合計】*", 貼り付け用!$A:$A, 0),"",
IF(貼り付け用!E47&lt;&gt;"",貼り付け用!E47,"")))</f>
        <v>#N/A</v>
      </c>
      <c r="F46" s="19" t="e">
        <f>IF(貼り付け用!$A$6&lt;&gt;"",
IF(ROW(F45)+2&gt;=MATCH("*【合計】*", 貼り付け用!$A:$A, 0),"",
IF(貼り付け用!F46&lt;&gt;"",貼り付け用!F46,"")),
IF(ROW(F46)+2&gt;=MATCH("*【合計】*", 貼り付け用!$A:$A, 0),"",
IF(貼り付け用!F47&lt;&gt;"",貼り付け用!F47,"")))</f>
        <v>#N/A</v>
      </c>
      <c r="G46" s="19" t="e">
        <f>IF(貼り付け用!$A$6&lt;&gt;"",
IF(ROW(G45)+2&gt;=MATCH("*【合計】*", 貼り付け用!$A:$A, 0),"",
IF(貼り付け用!G46&lt;&gt;"",貼り付け用!G46,"")),
IF(ROW(G46)+2&gt;=MATCH("*【合計】*", 貼り付け用!$A:$A, 0),"",
IF(貼り付け用!G47&lt;&gt;"",貼り付け用!G47,"")))</f>
        <v>#N/A</v>
      </c>
      <c r="H46" s="19" t="e">
        <f>IF(貼り付け用!$A$6&lt;&gt;"",
IF(ROW(H45)+2&gt;=MATCH("*【合計】*", 貼り付け用!$A:$A, 0),"",
IF(貼り付け用!H46&lt;&gt;"",貼り付け用!H46,"")),
IF(ROW(H46)+2&gt;=MATCH("*【合計】*", 貼り付け用!$A:$A, 0),"",
IF(貼り付け用!H47&lt;&gt;"",貼り付け用!H47,"")))</f>
        <v>#N/A</v>
      </c>
      <c r="I46" s="19" t="e">
        <f>IF(貼り付け用!$A$6&lt;&gt;"",
IF(ROW(I45)+2&gt;=MATCH("*【合計】*", 貼り付け用!$A:$A, 0),"",
IF(貼り付け用!I46&lt;&gt;"",貼り付け用!I46,"")),
IF(ROW(I46)+2&gt;=MATCH("*【合計】*", 貼り付け用!$A:$A, 0),"",
IF(貼り付け用!I47&lt;&gt;"",貼り付け用!I47,"")))</f>
        <v>#N/A</v>
      </c>
      <c r="J46" s="19" t="e">
        <f>IF(貼り付け用!$A$6&lt;&gt;"",
IF(ROW(J45)+2&gt;=MATCH("*【合計】*", 貼り付け用!$A:$A, 0),"",
IF(貼り付け用!J46&lt;&gt;"",貼り付け用!J46,"")),
IF(ROW(J46)+2&gt;=MATCH("*【合計】*", 貼り付け用!$A:$A, 0),"",
IF(貼り付け用!J47&lt;&gt;"",貼り付け用!J47,"")))</f>
        <v>#N/A</v>
      </c>
      <c r="K46" s="19" t="e">
        <f>IF(貼り付け用!$A$6&lt;&gt;"",
IF(ROW(K45)+2&gt;=MATCH("*【合計】*", 貼り付け用!$A:$A, 0),"",
IF(貼り付け用!K46&lt;&gt;"",貼り付け用!K46,"")),
IF(ROW(K46)+2&gt;=MATCH("*【合計】*", 貼り付け用!$A:$A, 0),"",
IF(貼り付け用!K47&lt;&gt;"",貼り付け用!K47,"")))</f>
        <v>#N/A</v>
      </c>
      <c r="L46" s="19" t="e">
        <f>IF(貼り付け用!$A$6&lt;&gt;"",
IF(ROW(L45)+2&gt;=MATCH("*【合計】*", 貼り付け用!$A:$A, 0),"",
IF(L$3&lt;&gt;"",IF(貼り付け用!L46&lt;&gt;"",貼り付け用!L46,""),"")),
IF(ROW(L46)+2&gt;=MATCH("*【合計】*", 貼り付け用!$A:$A, 0),"",
IF(L$3&lt;&gt;"",IF(貼り付け用!L47&lt;&gt;"",貼り付け用!L47,""),"")))</f>
        <v>#N/A</v>
      </c>
      <c r="M46" s="19" t="e">
        <f>IF(貼り付け用!$A$6&lt;&gt;"",
IF(ROW(M45)+2&gt;=MATCH("*【合計】*", 貼り付け用!$A:$A, 0),"",
IF(M$3&lt;&gt;"",IF(貼り付け用!M46&lt;&gt;"",貼り付け用!M46,""),"")),
IF(ROW(M46)+2&gt;=MATCH("*【合計】*", 貼り付け用!$A:$A, 0),"",
IF(M$3&lt;&gt;"",IF(貼り付け用!M47&lt;&gt;"",貼り付け用!M47,""),"")))</f>
        <v>#N/A</v>
      </c>
      <c r="N46" s="19" t="e">
        <f>IF(貼り付け用!$A$6&lt;&gt;"",
IF(ROW(N45)+2&gt;=MATCH("*【合計】*", 貼り付け用!$A:$A, 0),"",
IF(N$3&lt;&gt;"",IF(貼り付け用!N46&lt;&gt;"",貼り付け用!N46,""),"")),
IF(ROW(N46)+2&gt;=MATCH("*【合計】*", 貼り付け用!$A:$A, 0),"",
IF(N$3&lt;&gt;"",IF(貼り付け用!N47&lt;&gt;"",貼り付け用!N47,""),"")))</f>
        <v>#N/A</v>
      </c>
      <c r="O46" s="19" t="e">
        <f>IF(貼り付け用!$A$6&lt;&gt;"",
IF(ROW(O45)+2&gt;=MATCH("*【合計】*", 貼り付け用!$A:$A, 0),"",
IF(O$3&lt;&gt;"",IF(貼り付け用!O46&lt;&gt;"",貼り付け用!O46,""),"")),
IF(ROW(O46)+2&gt;=MATCH("*【合計】*", 貼り付け用!$A:$A, 0),"",
IF(O$3&lt;&gt;"",IF(貼り付け用!O47&lt;&gt;"",貼り付け用!O47,""),"")))</f>
        <v>#N/A</v>
      </c>
      <c r="P46" s="19" t="e">
        <f>IF(貼り付け用!$A$6&lt;&gt;"",
IF(ROW(P45)+2&gt;=MATCH("*【合計】*", 貼り付け用!$A:$A, 0),"",
IF(P$3&lt;&gt;"",IF(貼り付け用!P46&lt;&gt;"",貼り付け用!P46,""),"")),
IF(ROW(P46)+2&gt;=MATCH("*【合計】*", 貼り付け用!$A:$A, 0),"",
IF(P$3&lt;&gt;"",IF(貼り付け用!P47&lt;&gt;"",貼り付け用!P47,""),"")))</f>
        <v>#N/A</v>
      </c>
      <c r="Q46" s="19" t="e">
        <f>IF(貼り付け用!$A$6&lt;&gt;"",
IF(ROW(Q45)+2&gt;=MATCH("*【合計】*", 貼り付け用!$A:$A, 0),"",
IF(Q$3&lt;&gt;"",IF(貼り付け用!Q46&lt;&gt;"",貼り付け用!Q46,""),"")),
IF(ROW(Q46)+2&gt;=MATCH("*【合計】*", 貼り付け用!$A:$A, 0),"",
IF(Q$3&lt;&gt;"",IF(貼り付け用!Q47&lt;&gt;"",貼り付け用!Q47,""),"")))</f>
        <v>#N/A</v>
      </c>
      <c r="R46" s="19" t="e">
        <f>IF(貼り付け用!$A$6&lt;&gt;"",
IF(ROW(R45)+2&gt;=MATCH("*【合計】*", 貼り付け用!$A:$A, 0),"",
IF(R$3&lt;&gt;"",IF(貼り付け用!R46&lt;&gt;"",貼り付け用!R46,""),"")),
IF(ROW(R46)+2&gt;=MATCH("*【合計】*", 貼り付け用!$A:$A, 0),"",
IF(R$3&lt;&gt;"",IF(貼り付け用!R47&lt;&gt;"",貼り付け用!R47,""),"")))</f>
        <v>#N/A</v>
      </c>
      <c r="S46" s="19" t="e">
        <f>IF(貼り付け用!$A$6&lt;&gt;"",
IF(ROW(S45)+2&gt;=MATCH("*【合計】*", 貼り付け用!$A:$A, 0),"",
IF(S$3&lt;&gt;"",IF(貼り付け用!S46&lt;&gt;"",貼り付け用!S46,""),"")),
IF(ROW(S46)+2&gt;=MATCH("*【合計】*", 貼り付け用!$A:$A, 0),"",
IF(S$3&lt;&gt;"",IF(貼り付け用!S47&lt;&gt;"",貼り付け用!S47,""),"")))</f>
        <v>#N/A</v>
      </c>
      <c r="T46" s="19" t="e">
        <f t="array" ref="T46">IF(貼り付け用!$A$6&lt;&gt;"",
IF(INDEX(貼り付け用!A:Z, ROW(T45)+1, MATCH("おやつ", 貼り付け用!$A$3:$Z$3, 0))&lt;&gt;0,
INDEX(貼り付け用!A:Z, ROW(T45)+1, MATCH("おやつ", 貼り付け用!$A$3:$Z$3, 0)),""),
IF(INDEX(貼り付け用!A:Z, ROW(T46)+1, MATCH("おやつ", 貼り付け用!$A$3:$Z$3, 0))&lt;&gt;0,
INDEX(貼り付け用!A:Z, ROW(T46)+1, MATCH("おやつ", 貼り付け用!$A$3:$Z$3, 0)),""))</f>
        <v>#N/A</v>
      </c>
      <c r="U46" s="16"/>
      <c r="V46" s="5" t="e">
        <f t="array" ref="V46">IF(貼り付け用!$A$6&lt;&gt;"",
IF(INDEX(貼り付け用!A:Z, ROW(T45)+1, MATCH("おやつ", 貼り付け用!$A$3:$Z$3, 0)+1)&lt;&gt;0,
INDEX(貼り付け用!A:Z, ROW(T45)+1, MATCH("おやつ", 貼り付け用!$A$3:$Z$3, 0)+1),""),
IF(INDEX(貼り付け用!A:Z, ROW(T46)+1, MATCH("おやつ", 貼り付け用!$A$3:$Z$3, 0)+1)&lt;&gt;0,
INDEX(貼り付け用!A:Z, ROW(T46)+1, MATCH("おやつ", 貼り付け用!$A$3:$Z$3, 0)+1),""))</f>
        <v>#N/A</v>
      </c>
      <c r="W46" s="7" t="e">
        <f t="array" ref="W46">IF(貼り付け用!$A$6&lt;&gt;"",
IF(INDEX(貼り付け用!A:Z, ROW(T45)+1, MATCH("おやつ", 貼り付け用!$A$3:$Z$3, 0)+2)&lt;&gt;0,
INDEX(貼り付け用!A:Z, ROW(T45)+1, MATCH("おやつ", 貼り付け用!$A$3:$Z$3, 0)+2),""),
IF(INDEX(貼り付け用!A:Z, ROW(T46)+1, MATCH("おやつ", 貼り付け用!$A$3:$Z$3, 0)+2)&lt;&gt;0,
INDEX(貼り付け用!A:Z, ROW(T46)+1, MATCH("おやつ", 貼り付け用!$A$3:$Z$3, 0)+2),""))</f>
        <v>#N/A</v>
      </c>
    </row>
    <row r="47" spans="1:23" x14ac:dyDescent="0.45">
      <c r="A47" s="10" t="e">
        <f>IF(貼り付け用!$A$6&lt;&gt;"",
IF(ROW(A46)+1&gt;=MATCH("*10000*", 貼り付け用!$A:$A, 0),"",
IF(貼り付け用!A47&lt;&gt;"",貼り付け用!A47,"")),
IF(ROW(A47)+1&gt;=MATCH("*10000*", 貼り付け用!$A:$A, 0),"",
IF(貼り付け用!A48&lt;&gt;"",貼り付け用!A48,"")))</f>
        <v>#N/A</v>
      </c>
      <c r="B47" s="3" t="e">
        <f>IF(貼り付け用!$A$6&lt;&gt;"",
IF(ROW(B46)+2&gt;=MATCH("*【合計】*", 貼り付け用!$A:$A, 0),"",
IF(貼り付け用!B47&lt;&gt;"",貼り付け用!B47,"")),
IF(ROW(B47)+2&gt;=MATCH("*【合計】*", 貼り付け用!$A:$A, 0),"",
IF(貼り付け用!B48&lt;&gt;"",貼り付け用!B48,"")))</f>
        <v>#N/A</v>
      </c>
      <c r="C47" s="3" t="e">
        <f>IF(貼り付け用!$A$6&lt;&gt;"",
IF(ROW(C46)+2&gt;=MATCH("*【合計】*", 貼り付け用!$A:$A, 0),"",
IF(貼り付け用!C47&lt;&gt;"",貼り付け用!C47,"")),
IF(ROW(C47)+2&gt;=MATCH("*【合計】*", 貼り付け用!$A:$A, 0),"",
IF(貼り付け用!C48&lt;&gt;"",貼り付け用!C48,"")))</f>
        <v>#N/A</v>
      </c>
      <c r="D47" s="3" t="e">
        <f>IF(貼り付け用!$A$6&lt;&gt;"",
IF(ROW(D46)+2&gt;=MATCH("*【合計】*", 貼り付け用!$A:$A, 0),"",
IF(貼り付け用!D47&lt;&gt;"",貼り付け用!D47,"")),
IF(ROW(D47)+2&gt;=MATCH("*【合計】*", 貼り付け用!$A:$A, 0),"",
IF(貼り付け用!D48&lt;&gt;"",貼り付け用!D48,"")))</f>
        <v>#N/A</v>
      </c>
      <c r="E47" s="3" t="e">
        <f>IF(貼り付け用!$A$6&lt;&gt;"",
IF(ROW(E46)+2&gt;=MATCH("*【合計】*", 貼り付け用!$A:$A, 0),"",
IF(貼り付け用!E47&lt;&gt;"",貼り付け用!E47,"")),
IF(ROW(E47)+2&gt;=MATCH("*【合計】*", 貼り付け用!$A:$A, 0),"",
IF(貼り付け用!E48&lt;&gt;"",貼り付け用!E48,"")))</f>
        <v>#N/A</v>
      </c>
      <c r="F47" s="3" t="e">
        <f>IF(貼り付け用!$A$6&lt;&gt;"",
IF(ROW(F46)+2&gt;=MATCH("*【合計】*", 貼り付け用!$A:$A, 0),"",
IF(貼り付け用!F47&lt;&gt;"",貼り付け用!F47,"")),
IF(ROW(F47)+2&gt;=MATCH("*【合計】*", 貼り付け用!$A:$A, 0),"",
IF(貼り付け用!F48&lt;&gt;"",貼り付け用!F48,"")))</f>
        <v>#N/A</v>
      </c>
      <c r="G47" s="3" t="e">
        <f>IF(貼り付け用!$A$6&lt;&gt;"",
IF(ROW(G46)+2&gt;=MATCH("*【合計】*", 貼り付け用!$A:$A, 0),"",
IF(貼り付け用!G47&lt;&gt;"",貼り付け用!G47,"")),
IF(ROW(G47)+2&gt;=MATCH("*【合計】*", 貼り付け用!$A:$A, 0),"",
IF(貼り付け用!G48&lt;&gt;"",貼り付け用!G48,"")))</f>
        <v>#N/A</v>
      </c>
      <c r="H47" s="3" t="e">
        <f>IF(貼り付け用!$A$6&lt;&gt;"",
IF(ROW(H46)+2&gt;=MATCH("*【合計】*", 貼り付け用!$A:$A, 0),"",
IF(貼り付け用!H47&lt;&gt;"",貼り付け用!H47,"")),
IF(ROW(H47)+2&gt;=MATCH("*【合計】*", 貼り付け用!$A:$A, 0),"",
IF(貼り付け用!H48&lt;&gt;"",貼り付け用!H48,"")))</f>
        <v>#N/A</v>
      </c>
      <c r="I47" s="3" t="e">
        <f>IF(貼り付け用!$A$6&lt;&gt;"",
IF(ROW(I46)+2&gt;=MATCH("*【合計】*", 貼り付け用!$A:$A, 0),"",
IF(貼り付け用!I47&lt;&gt;"",貼り付け用!I47,"")),
IF(ROW(I47)+2&gt;=MATCH("*【合計】*", 貼り付け用!$A:$A, 0),"",
IF(貼り付け用!I48&lt;&gt;"",貼り付け用!I48,"")))</f>
        <v>#N/A</v>
      </c>
      <c r="J47" s="3" t="e">
        <f>IF(貼り付け用!$A$6&lt;&gt;"",
IF(ROW(J46)+2&gt;=MATCH("*【合計】*", 貼り付け用!$A:$A, 0),"",
IF(貼り付け用!J47&lt;&gt;"",貼り付け用!J47,"")),
IF(ROW(J47)+2&gt;=MATCH("*【合計】*", 貼り付け用!$A:$A, 0),"",
IF(貼り付け用!J48&lt;&gt;"",貼り付け用!J48,"")))</f>
        <v>#N/A</v>
      </c>
      <c r="K47" s="3" t="e">
        <f>IF(貼り付け用!$A$6&lt;&gt;"",
IF(ROW(K46)+2&gt;=MATCH("*【合計】*", 貼り付け用!$A:$A, 0),"",
IF(貼り付け用!K47&lt;&gt;"",貼り付け用!K47,"")),
IF(ROW(K47)+2&gt;=MATCH("*【合計】*", 貼り付け用!$A:$A, 0),"",
IF(貼り付け用!K48&lt;&gt;"",貼り付け用!K48,"")))</f>
        <v>#N/A</v>
      </c>
      <c r="L47" s="3" t="e">
        <f>IF(貼り付け用!$A$6&lt;&gt;"",
IF(ROW(L46)+2&gt;=MATCH("*【合計】*", 貼り付け用!$A:$A, 0),"",
IF(L$3&lt;&gt;"",IF(貼り付け用!L47&lt;&gt;"",貼り付け用!L47,""),"")),
IF(ROW(L47)+2&gt;=MATCH("*【合計】*", 貼り付け用!$A:$A, 0),"",
IF(L$3&lt;&gt;"",IF(貼り付け用!L48&lt;&gt;"",貼り付け用!L48,""),"")))</f>
        <v>#N/A</v>
      </c>
      <c r="M47" s="3" t="e">
        <f>IF(貼り付け用!$A$6&lt;&gt;"",
IF(ROW(M46)+2&gt;=MATCH("*【合計】*", 貼り付け用!$A:$A, 0),"",
IF(M$3&lt;&gt;"",IF(貼り付け用!M47&lt;&gt;"",貼り付け用!M47,""),"")),
IF(ROW(M47)+2&gt;=MATCH("*【合計】*", 貼り付け用!$A:$A, 0),"",
IF(M$3&lt;&gt;"",IF(貼り付け用!M48&lt;&gt;"",貼り付け用!M48,""),"")))</f>
        <v>#N/A</v>
      </c>
      <c r="N47" s="3" t="e">
        <f>IF(貼り付け用!$A$6&lt;&gt;"",
IF(ROW(N46)+2&gt;=MATCH("*【合計】*", 貼り付け用!$A:$A, 0),"",
IF(N$3&lt;&gt;"",IF(貼り付け用!N47&lt;&gt;"",貼り付け用!N47,""),"")),
IF(ROW(N47)+2&gt;=MATCH("*【合計】*", 貼り付け用!$A:$A, 0),"",
IF(N$3&lt;&gt;"",IF(貼り付け用!N48&lt;&gt;"",貼り付け用!N48,""),"")))</f>
        <v>#N/A</v>
      </c>
      <c r="O47" s="3" t="e">
        <f>IF(貼り付け用!$A$6&lt;&gt;"",
IF(ROW(O46)+2&gt;=MATCH("*【合計】*", 貼り付け用!$A:$A, 0),"",
IF(O$3&lt;&gt;"",IF(貼り付け用!O47&lt;&gt;"",貼り付け用!O47,""),"")),
IF(ROW(O47)+2&gt;=MATCH("*【合計】*", 貼り付け用!$A:$A, 0),"",
IF(O$3&lt;&gt;"",IF(貼り付け用!O48&lt;&gt;"",貼り付け用!O48,""),"")))</f>
        <v>#N/A</v>
      </c>
      <c r="P47" s="3" t="e">
        <f>IF(貼り付け用!$A$6&lt;&gt;"",
IF(ROW(P46)+2&gt;=MATCH("*【合計】*", 貼り付け用!$A:$A, 0),"",
IF(P$3&lt;&gt;"",IF(貼り付け用!P47&lt;&gt;"",貼り付け用!P47,""),"")),
IF(ROW(P47)+2&gt;=MATCH("*【合計】*", 貼り付け用!$A:$A, 0),"",
IF(P$3&lt;&gt;"",IF(貼り付け用!P48&lt;&gt;"",貼り付け用!P48,""),"")))</f>
        <v>#N/A</v>
      </c>
      <c r="Q47" s="3" t="e">
        <f>IF(貼り付け用!$A$6&lt;&gt;"",
IF(ROW(Q46)+2&gt;=MATCH("*【合計】*", 貼り付け用!$A:$A, 0),"",
IF(Q$3&lt;&gt;"",IF(貼り付け用!Q47&lt;&gt;"",貼り付け用!Q47,""),"")),
IF(ROW(Q47)+2&gt;=MATCH("*【合計】*", 貼り付け用!$A:$A, 0),"",
IF(Q$3&lt;&gt;"",IF(貼り付け用!Q48&lt;&gt;"",貼り付け用!Q48,""),"")))</f>
        <v>#N/A</v>
      </c>
      <c r="R47" s="3" t="e">
        <f>IF(貼り付け用!$A$6&lt;&gt;"",
IF(ROW(R46)+2&gt;=MATCH("*【合計】*", 貼り付け用!$A:$A, 0),"",
IF(R$3&lt;&gt;"",IF(貼り付け用!R47&lt;&gt;"",貼り付け用!R47,""),"")),
IF(ROW(R47)+2&gt;=MATCH("*【合計】*", 貼り付け用!$A:$A, 0),"",
IF(R$3&lt;&gt;"",IF(貼り付け用!R48&lt;&gt;"",貼り付け用!R48,""),"")))</f>
        <v>#N/A</v>
      </c>
      <c r="S47" s="3" t="e">
        <f>IF(貼り付け用!$A$6&lt;&gt;"",
IF(ROW(S46)+2&gt;=MATCH("*【合計】*", 貼り付け用!$A:$A, 0),"",
IF(S$3&lt;&gt;"",IF(貼り付け用!S47&lt;&gt;"",貼り付け用!S47,""),"")),
IF(ROW(S47)+2&gt;=MATCH("*【合計】*", 貼り付け用!$A:$A, 0),"",
IF(S$3&lt;&gt;"",IF(貼り付け用!S48&lt;&gt;"",貼り付け用!S48,""),"")))</f>
        <v>#N/A</v>
      </c>
      <c r="T47" s="2" t="e">
        <f t="array" ref="T47">IF(貼り付け用!$A$6&lt;&gt;"",
IF(INDEX(貼り付け用!A:Z, ROW(T46)+1, MATCH("おやつ", 貼り付け用!$A$3:$Z$3, 0))&lt;&gt;0,
INDEX(貼り付け用!A:Z, ROW(T46)+1, MATCH("おやつ", 貼り付け用!$A$3:$Z$3, 0)),""),
IF(INDEX(貼り付け用!A:Z, ROW(T47)+1, MATCH("おやつ", 貼り付け用!$A$3:$Z$3, 0))&lt;&gt;0,
INDEX(貼り付け用!A:Z, ROW(T47)+1, MATCH("おやつ", 貼り付け用!$A$3:$Z$3, 0)),""))</f>
        <v>#N/A</v>
      </c>
      <c r="U47" s="52"/>
      <c r="V47" s="8" t="e">
        <f t="array" ref="V47">IF(貼り付け用!$A$6&lt;&gt;"",
IF(INDEX(貼り付け用!A:Z, ROW(T46)+1, MATCH("おやつ", 貼り付け用!$A$3:$Z$3, 0)+1)&lt;&gt;0,
INDEX(貼り付け用!A:Z, ROW(T46)+1, MATCH("おやつ", 貼り付け用!$A$3:$Z$3, 0)+1),""),
IF(INDEX(貼り付け用!A:Z, ROW(T47)+1, MATCH("おやつ", 貼り付け用!$A$3:$Z$3, 0)+1)&lt;&gt;0,
INDEX(貼り付け用!A:Z, ROW(T47)+1, MATCH("おやつ", 貼り付け用!$A$3:$Z$3, 0)+1),""))</f>
        <v>#N/A</v>
      </c>
      <c r="W47" s="9" t="e">
        <f t="array" ref="W47">IF(貼り付け用!$A$6&lt;&gt;"",
IF(INDEX(貼り付け用!A:Z, ROW(T46)+1, MATCH("おやつ", 貼り付け用!$A$3:$Z$3, 0)+2)&lt;&gt;0,
INDEX(貼り付け用!A:Z, ROW(T46)+1, MATCH("おやつ", 貼り付け用!$A$3:$Z$3, 0)+2),""),
IF(INDEX(貼り付け用!A:Z, ROW(T47)+1, MATCH("おやつ", 貼り付け用!$A$3:$Z$3, 0)+2)&lt;&gt;0,
INDEX(貼り付け用!A:Z, ROW(T47)+1, MATCH("おやつ", 貼り付け用!$A$3:$Z$3, 0)+2),""))</f>
        <v>#N/A</v>
      </c>
    </row>
    <row r="48" spans="1:23" x14ac:dyDescent="0.45">
      <c r="A48" s="4" t="e">
        <f>IF(貼り付け用!$A$6&lt;&gt;"",
IF(ROW(A47)+1&gt;=MATCH("*10000*", 貼り付け用!$A:$A, 0),
IF(COUNTIF(A46,"*10000*"),"10001",
IF(COUNTIF(A46,"*10001*"),"10002",
IF(COUNTIF(A46,"*10002*"),"",
IF(COUNTIF(A46,""),"","10000")))),
IF(貼り付け用!A48&lt;&gt;"",貼り付け用!A48,"")),
IF(ROW(A48)+1&gt;=MATCH("*10000*", 貼り付け用!$A:$A, 0),
IF(COUNTIF(A46,"*10000*"),"10001",
IF(COUNTIF(A46,"*10001*"),"10002",
IF(COUNTIF(A46,"*10002*"),"",
IF(COUNTIF(A46,""),"","10000")))),
IF(貼り付け用!A49&lt;&gt;"",貼り付け用!A49,"")))</f>
        <v>#N/A</v>
      </c>
      <c r="B48" s="19" t="e">
        <f>IF(貼り付け用!$A$6&lt;&gt;"",
IF(ROW(B47)+2&gt;=MATCH("*【合計】*", 貼り付け用!$A:$A, 0),"",
IF(貼り付け用!B48&lt;&gt;"",貼り付け用!B48,"")),
IF(ROW(B48)+2&gt;=MATCH("*【合計】*", 貼り付け用!$A:$A, 0),"",
IF(貼り付け用!B49&lt;&gt;"",貼り付け用!B49,"")))</f>
        <v>#N/A</v>
      </c>
      <c r="C48" s="19" t="e">
        <f>IF(貼り付け用!$A$6&lt;&gt;"",
IF(ROW(C47)+2&gt;=MATCH("*【合計】*", 貼り付け用!$A:$A, 0),"",
IF(貼り付け用!C48&lt;&gt;"",貼り付け用!C48,"")),
IF(ROW(C48)+2&gt;=MATCH("*【合計】*", 貼り付け用!$A:$A, 0),"",
IF(貼り付け用!C49&lt;&gt;"",貼り付け用!C49,"")))</f>
        <v>#N/A</v>
      </c>
      <c r="D48" s="19" t="e">
        <f>IF(貼り付け用!$A$6&lt;&gt;"",
IF(ROW(D47)+2&gt;=MATCH("*【合計】*", 貼り付け用!$A:$A, 0),"",
IF(貼り付け用!D48&lt;&gt;"",貼り付け用!D48,"")),
IF(ROW(D48)+2&gt;=MATCH("*【合計】*", 貼り付け用!$A:$A, 0),"",
IF(貼り付け用!D49&lt;&gt;"",貼り付け用!D49,"")))</f>
        <v>#N/A</v>
      </c>
      <c r="E48" s="19" t="e">
        <f>IF(貼り付け用!$A$6&lt;&gt;"",
IF(ROW(E47)+2&gt;=MATCH("*【合計】*", 貼り付け用!$A:$A, 0),"",
IF(貼り付け用!E48&lt;&gt;"",貼り付け用!E48,"")),
IF(ROW(E48)+2&gt;=MATCH("*【合計】*", 貼り付け用!$A:$A, 0),"",
IF(貼り付け用!E49&lt;&gt;"",貼り付け用!E49,"")))</f>
        <v>#N/A</v>
      </c>
      <c r="F48" s="19" t="e">
        <f>IF(貼り付け用!$A$6&lt;&gt;"",
IF(ROW(F47)+2&gt;=MATCH("*【合計】*", 貼り付け用!$A:$A, 0),"",
IF(貼り付け用!F48&lt;&gt;"",貼り付け用!F48,"")),
IF(ROW(F48)+2&gt;=MATCH("*【合計】*", 貼り付け用!$A:$A, 0),"",
IF(貼り付け用!F49&lt;&gt;"",貼り付け用!F49,"")))</f>
        <v>#N/A</v>
      </c>
      <c r="G48" s="19" t="e">
        <f>IF(貼り付け用!$A$6&lt;&gt;"",
IF(ROW(G47)+2&gt;=MATCH("*【合計】*", 貼り付け用!$A:$A, 0),"",
IF(貼り付け用!G48&lt;&gt;"",貼り付け用!G48,"")),
IF(ROW(G48)+2&gt;=MATCH("*【合計】*", 貼り付け用!$A:$A, 0),"",
IF(貼り付け用!G49&lt;&gt;"",貼り付け用!G49,"")))</f>
        <v>#N/A</v>
      </c>
      <c r="H48" s="19" t="e">
        <f>IF(貼り付け用!$A$6&lt;&gt;"",
IF(ROW(H47)+2&gt;=MATCH("*【合計】*", 貼り付け用!$A:$A, 0),"",
IF(貼り付け用!H48&lt;&gt;"",貼り付け用!H48,"")),
IF(ROW(H48)+2&gt;=MATCH("*【合計】*", 貼り付け用!$A:$A, 0),"",
IF(貼り付け用!H49&lt;&gt;"",貼り付け用!H49,"")))</f>
        <v>#N/A</v>
      </c>
      <c r="I48" s="19" t="e">
        <f>IF(貼り付け用!$A$6&lt;&gt;"",
IF(ROW(I47)+2&gt;=MATCH("*【合計】*", 貼り付け用!$A:$A, 0),"",
IF(貼り付け用!I48&lt;&gt;"",貼り付け用!I48,"")),
IF(ROW(I48)+2&gt;=MATCH("*【合計】*", 貼り付け用!$A:$A, 0),"",
IF(貼り付け用!I49&lt;&gt;"",貼り付け用!I49,"")))</f>
        <v>#N/A</v>
      </c>
      <c r="J48" s="19" t="e">
        <f>IF(貼り付け用!$A$6&lt;&gt;"",
IF(ROW(J47)+2&gt;=MATCH("*【合計】*", 貼り付け用!$A:$A, 0),"",
IF(貼り付け用!J48&lt;&gt;"",貼り付け用!J48,"")),
IF(ROW(J48)+2&gt;=MATCH("*【合計】*", 貼り付け用!$A:$A, 0),"",
IF(貼り付け用!J49&lt;&gt;"",貼り付け用!J49,"")))</f>
        <v>#N/A</v>
      </c>
      <c r="K48" s="19" t="e">
        <f>IF(貼り付け用!$A$6&lt;&gt;"",
IF(ROW(K47)+2&gt;=MATCH("*【合計】*", 貼り付け用!$A:$A, 0),"",
IF(貼り付け用!K48&lt;&gt;"",貼り付け用!K48,"")),
IF(ROW(K48)+2&gt;=MATCH("*【合計】*", 貼り付け用!$A:$A, 0),"",
IF(貼り付け用!K49&lt;&gt;"",貼り付け用!K49,"")))</f>
        <v>#N/A</v>
      </c>
      <c r="L48" s="19" t="e">
        <f>IF(貼り付け用!$A$6&lt;&gt;"",
IF(ROW(L47)+2&gt;=MATCH("*【合計】*", 貼り付け用!$A:$A, 0),"",
IF(L$3&lt;&gt;"",IF(貼り付け用!L48&lt;&gt;"",貼り付け用!L48,""),"")),
IF(ROW(L48)+2&gt;=MATCH("*【合計】*", 貼り付け用!$A:$A, 0),"",
IF(L$3&lt;&gt;"",IF(貼り付け用!L49&lt;&gt;"",貼り付け用!L49,""),"")))</f>
        <v>#N/A</v>
      </c>
      <c r="M48" s="19" t="e">
        <f>IF(貼り付け用!$A$6&lt;&gt;"",
IF(ROW(M47)+2&gt;=MATCH("*【合計】*", 貼り付け用!$A:$A, 0),"",
IF(M$3&lt;&gt;"",IF(貼り付け用!M48&lt;&gt;"",貼り付け用!M48,""),"")),
IF(ROW(M48)+2&gt;=MATCH("*【合計】*", 貼り付け用!$A:$A, 0),"",
IF(M$3&lt;&gt;"",IF(貼り付け用!M49&lt;&gt;"",貼り付け用!M49,""),"")))</f>
        <v>#N/A</v>
      </c>
      <c r="N48" s="19" t="e">
        <f>IF(貼り付け用!$A$6&lt;&gt;"",
IF(ROW(N47)+2&gt;=MATCH("*【合計】*", 貼り付け用!$A:$A, 0),"",
IF(N$3&lt;&gt;"",IF(貼り付け用!N48&lt;&gt;"",貼り付け用!N48,""),"")),
IF(ROW(N48)+2&gt;=MATCH("*【合計】*", 貼り付け用!$A:$A, 0),"",
IF(N$3&lt;&gt;"",IF(貼り付け用!N49&lt;&gt;"",貼り付け用!N49,""),"")))</f>
        <v>#N/A</v>
      </c>
      <c r="O48" s="19" t="e">
        <f>IF(貼り付け用!$A$6&lt;&gt;"",
IF(ROW(O47)+2&gt;=MATCH("*【合計】*", 貼り付け用!$A:$A, 0),"",
IF(O$3&lt;&gt;"",IF(貼り付け用!O48&lt;&gt;"",貼り付け用!O48,""),"")),
IF(ROW(O48)+2&gt;=MATCH("*【合計】*", 貼り付け用!$A:$A, 0),"",
IF(O$3&lt;&gt;"",IF(貼り付け用!O49&lt;&gt;"",貼り付け用!O49,""),"")))</f>
        <v>#N/A</v>
      </c>
      <c r="P48" s="19" t="e">
        <f>IF(貼り付け用!$A$6&lt;&gt;"",
IF(ROW(P47)+2&gt;=MATCH("*【合計】*", 貼り付け用!$A:$A, 0),"",
IF(P$3&lt;&gt;"",IF(貼り付け用!P48&lt;&gt;"",貼り付け用!P48,""),"")),
IF(ROW(P48)+2&gt;=MATCH("*【合計】*", 貼り付け用!$A:$A, 0),"",
IF(P$3&lt;&gt;"",IF(貼り付け用!P49&lt;&gt;"",貼り付け用!P49,""),"")))</f>
        <v>#N/A</v>
      </c>
      <c r="Q48" s="19" t="e">
        <f>IF(貼り付け用!$A$6&lt;&gt;"",
IF(ROW(Q47)+2&gt;=MATCH("*【合計】*", 貼り付け用!$A:$A, 0),"",
IF(Q$3&lt;&gt;"",IF(貼り付け用!Q48&lt;&gt;"",貼り付け用!Q48,""),"")),
IF(ROW(Q48)+2&gt;=MATCH("*【合計】*", 貼り付け用!$A:$A, 0),"",
IF(Q$3&lt;&gt;"",IF(貼り付け用!Q49&lt;&gt;"",貼り付け用!Q49,""),"")))</f>
        <v>#N/A</v>
      </c>
      <c r="R48" s="19" t="e">
        <f>IF(貼り付け用!$A$6&lt;&gt;"",
IF(ROW(R47)+2&gt;=MATCH("*【合計】*", 貼り付け用!$A:$A, 0),"",
IF(R$3&lt;&gt;"",IF(貼り付け用!R48&lt;&gt;"",貼り付け用!R48,""),"")),
IF(ROW(R48)+2&gt;=MATCH("*【合計】*", 貼り付け用!$A:$A, 0),"",
IF(R$3&lt;&gt;"",IF(貼り付け用!R49&lt;&gt;"",貼り付け用!R49,""),"")))</f>
        <v>#N/A</v>
      </c>
      <c r="S48" s="19" t="e">
        <f>IF(貼り付け用!$A$6&lt;&gt;"",
IF(ROW(S47)+2&gt;=MATCH("*【合計】*", 貼り付け用!$A:$A, 0),"",
IF(S$3&lt;&gt;"",IF(貼り付け用!S48&lt;&gt;"",貼り付け用!S48,""),"")),
IF(ROW(S48)+2&gt;=MATCH("*【合計】*", 貼り付け用!$A:$A, 0),"",
IF(S$3&lt;&gt;"",IF(貼り付け用!S49&lt;&gt;"",貼り付け用!S49,""),"")))</f>
        <v>#N/A</v>
      </c>
      <c r="T48" s="19" t="e">
        <f t="array" ref="T48">IF(貼り付け用!$A$6&lt;&gt;"",
IF(INDEX(貼り付け用!A:Z, ROW(T47)+1, MATCH("おやつ", 貼り付け用!$A$3:$Z$3, 0))&lt;&gt;0,
INDEX(貼り付け用!A:Z, ROW(T47)+1, MATCH("おやつ", 貼り付け用!$A$3:$Z$3, 0)),""),
IF(INDEX(貼り付け用!A:Z, ROW(T48)+1, MATCH("おやつ", 貼り付け用!$A$3:$Z$3, 0))&lt;&gt;0,
INDEX(貼り付け用!A:Z, ROW(T48)+1, MATCH("おやつ", 貼り付け用!$A$3:$Z$3, 0)),""))</f>
        <v>#N/A</v>
      </c>
      <c r="U48" s="16"/>
      <c r="V48" s="5" t="e">
        <f t="array" ref="V48">IF(貼り付け用!$A$6&lt;&gt;"",
IF(INDEX(貼り付け用!A:Z, ROW(T47)+1, MATCH("おやつ", 貼り付け用!$A$3:$Z$3, 0)+1)&lt;&gt;0,
INDEX(貼り付け用!A:Z, ROW(T47)+1, MATCH("おやつ", 貼り付け用!$A$3:$Z$3, 0)+1),""),
IF(INDEX(貼り付け用!A:Z, ROW(T48)+1, MATCH("おやつ", 貼り付け用!$A$3:$Z$3, 0)+1)&lt;&gt;0,
INDEX(貼り付け用!A:Z, ROW(T48)+1, MATCH("おやつ", 貼り付け用!$A$3:$Z$3, 0)+1),""))</f>
        <v>#N/A</v>
      </c>
      <c r="W48" s="7" t="e">
        <f t="array" ref="W48">IF(貼り付け用!$A$6&lt;&gt;"",
IF(INDEX(貼り付け用!A:Z, ROW(T47)+1, MATCH("おやつ", 貼り付け用!$A$3:$Z$3, 0)+2)&lt;&gt;0,
INDEX(貼り付け用!A:Z, ROW(T47)+1, MATCH("おやつ", 貼り付け用!$A$3:$Z$3, 0)+2),""),
IF(INDEX(貼り付け用!A:Z, ROW(T48)+1, MATCH("おやつ", 貼り付け用!$A$3:$Z$3, 0)+2)&lt;&gt;0,
INDEX(貼り付け用!A:Z, ROW(T48)+1, MATCH("おやつ", 貼り付け用!$A$3:$Z$3, 0)+2),""))</f>
        <v>#N/A</v>
      </c>
    </row>
    <row r="49" spans="1:23" x14ac:dyDescent="0.45">
      <c r="A49" s="10" t="e">
        <f>IF(貼り付け用!$A$6&lt;&gt;"",
IF(ROW(A48)+1&gt;=MATCH("*10000*", 貼り付け用!$A:$A, 0),"",
IF(貼り付け用!A49&lt;&gt;"",貼り付け用!A49,"")),
IF(ROW(A49)+1&gt;=MATCH("*10000*", 貼り付け用!$A:$A, 0),"",
IF(貼り付け用!A50&lt;&gt;"",貼り付け用!A50,"")))</f>
        <v>#N/A</v>
      </c>
      <c r="B49" s="3" t="e">
        <f>IF(貼り付け用!$A$6&lt;&gt;"",
IF(ROW(B48)+2&gt;=MATCH("*【合計】*", 貼り付け用!$A:$A, 0),"",
IF(貼り付け用!B49&lt;&gt;"",貼り付け用!B49,"")),
IF(ROW(B49)+2&gt;=MATCH("*【合計】*", 貼り付け用!$A:$A, 0),"",
IF(貼り付け用!B50&lt;&gt;"",貼り付け用!B50,"")))</f>
        <v>#N/A</v>
      </c>
      <c r="C49" s="3" t="e">
        <f>IF(貼り付け用!$A$6&lt;&gt;"",
IF(ROW(C48)+2&gt;=MATCH("*【合計】*", 貼り付け用!$A:$A, 0),"",
IF(貼り付け用!C49&lt;&gt;"",貼り付け用!C49,"")),
IF(ROW(C49)+2&gt;=MATCH("*【合計】*", 貼り付け用!$A:$A, 0),"",
IF(貼り付け用!C50&lt;&gt;"",貼り付け用!C50,"")))</f>
        <v>#N/A</v>
      </c>
      <c r="D49" s="3" t="e">
        <f>IF(貼り付け用!$A$6&lt;&gt;"",
IF(ROW(D48)+2&gt;=MATCH("*【合計】*", 貼り付け用!$A:$A, 0),"",
IF(貼り付け用!D49&lt;&gt;"",貼り付け用!D49,"")),
IF(ROW(D49)+2&gt;=MATCH("*【合計】*", 貼り付け用!$A:$A, 0),"",
IF(貼り付け用!D50&lt;&gt;"",貼り付け用!D50,"")))</f>
        <v>#N/A</v>
      </c>
      <c r="E49" s="3" t="e">
        <f>IF(貼り付け用!$A$6&lt;&gt;"",
IF(ROW(E48)+2&gt;=MATCH("*【合計】*", 貼り付け用!$A:$A, 0),"",
IF(貼り付け用!E49&lt;&gt;"",貼り付け用!E49,"")),
IF(ROW(E49)+2&gt;=MATCH("*【合計】*", 貼り付け用!$A:$A, 0),"",
IF(貼り付け用!E50&lt;&gt;"",貼り付け用!E50,"")))</f>
        <v>#N/A</v>
      </c>
      <c r="F49" s="3" t="e">
        <f>IF(貼り付け用!$A$6&lt;&gt;"",
IF(ROW(F48)+2&gt;=MATCH("*【合計】*", 貼り付け用!$A:$A, 0),"",
IF(貼り付け用!F49&lt;&gt;"",貼り付け用!F49,"")),
IF(ROW(F49)+2&gt;=MATCH("*【合計】*", 貼り付け用!$A:$A, 0),"",
IF(貼り付け用!F50&lt;&gt;"",貼り付け用!F50,"")))</f>
        <v>#N/A</v>
      </c>
      <c r="G49" s="3" t="e">
        <f>IF(貼り付け用!$A$6&lt;&gt;"",
IF(ROW(G48)+2&gt;=MATCH("*【合計】*", 貼り付け用!$A:$A, 0),"",
IF(貼り付け用!G49&lt;&gt;"",貼り付け用!G49,"")),
IF(ROW(G49)+2&gt;=MATCH("*【合計】*", 貼り付け用!$A:$A, 0),"",
IF(貼り付け用!G50&lt;&gt;"",貼り付け用!G50,"")))</f>
        <v>#N/A</v>
      </c>
      <c r="H49" s="3" t="e">
        <f>IF(貼り付け用!$A$6&lt;&gt;"",
IF(ROW(H48)+2&gt;=MATCH("*【合計】*", 貼り付け用!$A:$A, 0),"",
IF(貼り付け用!H49&lt;&gt;"",貼り付け用!H49,"")),
IF(ROW(H49)+2&gt;=MATCH("*【合計】*", 貼り付け用!$A:$A, 0),"",
IF(貼り付け用!H50&lt;&gt;"",貼り付け用!H50,"")))</f>
        <v>#N/A</v>
      </c>
      <c r="I49" s="3" t="e">
        <f>IF(貼り付け用!$A$6&lt;&gt;"",
IF(ROW(I48)+2&gt;=MATCH("*【合計】*", 貼り付け用!$A:$A, 0),"",
IF(貼り付け用!I49&lt;&gt;"",貼り付け用!I49,"")),
IF(ROW(I49)+2&gt;=MATCH("*【合計】*", 貼り付け用!$A:$A, 0),"",
IF(貼り付け用!I50&lt;&gt;"",貼り付け用!I50,"")))</f>
        <v>#N/A</v>
      </c>
      <c r="J49" s="3" t="e">
        <f>IF(貼り付け用!$A$6&lt;&gt;"",
IF(ROW(J48)+2&gt;=MATCH("*【合計】*", 貼り付け用!$A:$A, 0),"",
IF(貼り付け用!J49&lt;&gt;"",貼り付け用!J49,"")),
IF(ROW(J49)+2&gt;=MATCH("*【合計】*", 貼り付け用!$A:$A, 0),"",
IF(貼り付け用!J50&lt;&gt;"",貼り付け用!J50,"")))</f>
        <v>#N/A</v>
      </c>
      <c r="K49" s="3" t="e">
        <f>IF(貼り付け用!$A$6&lt;&gt;"",
IF(ROW(K48)+2&gt;=MATCH("*【合計】*", 貼り付け用!$A:$A, 0),"",
IF(貼り付け用!K49&lt;&gt;"",貼り付け用!K49,"")),
IF(ROW(K49)+2&gt;=MATCH("*【合計】*", 貼り付け用!$A:$A, 0),"",
IF(貼り付け用!K50&lt;&gt;"",貼り付け用!K50,"")))</f>
        <v>#N/A</v>
      </c>
      <c r="L49" s="3" t="e">
        <f>IF(貼り付け用!$A$6&lt;&gt;"",
IF(ROW(L48)+2&gt;=MATCH("*【合計】*", 貼り付け用!$A:$A, 0),"",
IF(L$3&lt;&gt;"",IF(貼り付け用!L49&lt;&gt;"",貼り付け用!L49,""),"")),
IF(ROW(L49)+2&gt;=MATCH("*【合計】*", 貼り付け用!$A:$A, 0),"",
IF(L$3&lt;&gt;"",IF(貼り付け用!L50&lt;&gt;"",貼り付け用!L50,""),"")))</f>
        <v>#N/A</v>
      </c>
      <c r="M49" s="3" t="e">
        <f>IF(貼り付け用!$A$6&lt;&gt;"",
IF(ROW(M48)+2&gt;=MATCH("*【合計】*", 貼り付け用!$A:$A, 0),"",
IF(M$3&lt;&gt;"",IF(貼り付け用!M49&lt;&gt;"",貼り付け用!M49,""),"")),
IF(ROW(M49)+2&gt;=MATCH("*【合計】*", 貼り付け用!$A:$A, 0),"",
IF(M$3&lt;&gt;"",IF(貼り付け用!M50&lt;&gt;"",貼り付け用!M50,""),"")))</f>
        <v>#N/A</v>
      </c>
      <c r="N49" s="3" t="e">
        <f>IF(貼り付け用!$A$6&lt;&gt;"",
IF(ROW(N48)+2&gt;=MATCH("*【合計】*", 貼り付け用!$A:$A, 0),"",
IF(N$3&lt;&gt;"",IF(貼り付け用!N49&lt;&gt;"",貼り付け用!N49,""),"")),
IF(ROW(N49)+2&gt;=MATCH("*【合計】*", 貼り付け用!$A:$A, 0),"",
IF(N$3&lt;&gt;"",IF(貼り付け用!N50&lt;&gt;"",貼り付け用!N50,""),"")))</f>
        <v>#N/A</v>
      </c>
      <c r="O49" s="3" t="e">
        <f>IF(貼り付け用!$A$6&lt;&gt;"",
IF(ROW(O48)+2&gt;=MATCH("*【合計】*", 貼り付け用!$A:$A, 0),"",
IF(O$3&lt;&gt;"",IF(貼り付け用!O49&lt;&gt;"",貼り付け用!O49,""),"")),
IF(ROW(O49)+2&gt;=MATCH("*【合計】*", 貼り付け用!$A:$A, 0),"",
IF(O$3&lt;&gt;"",IF(貼り付け用!O50&lt;&gt;"",貼り付け用!O50,""),"")))</f>
        <v>#N/A</v>
      </c>
      <c r="P49" s="3" t="e">
        <f>IF(貼り付け用!$A$6&lt;&gt;"",
IF(ROW(P48)+2&gt;=MATCH("*【合計】*", 貼り付け用!$A:$A, 0),"",
IF(P$3&lt;&gt;"",IF(貼り付け用!P49&lt;&gt;"",貼り付け用!P49,""),"")),
IF(ROW(P49)+2&gt;=MATCH("*【合計】*", 貼り付け用!$A:$A, 0),"",
IF(P$3&lt;&gt;"",IF(貼り付け用!P50&lt;&gt;"",貼り付け用!P50,""),"")))</f>
        <v>#N/A</v>
      </c>
      <c r="Q49" s="3" t="e">
        <f>IF(貼り付け用!$A$6&lt;&gt;"",
IF(ROW(Q48)+2&gt;=MATCH("*【合計】*", 貼り付け用!$A:$A, 0),"",
IF(Q$3&lt;&gt;"",IF(貼り付け用!Q49&lt;&gt;"",貼り付け用!Q49,""),"")),
IF(ROW(Q49)+2&gt;=MATCH("*【合計】*", 貼り付け用!$A:$A, 0),"",
IF(Q$3&lt;&gt;"",IF(貼り付け用!Q50&lt;&gt;"",貼り付け用!Q50,""),"")))</f>
        <v>#N/A</v>
      </c>
      <c r="R49" s="3" t="e">
        <f>IF(貼り付け用!$A$6&lt;&gt;"",
IF(ROW(R48)+2&gt;=MATCH("*【合計】*", 貼り付け用!$A:$A, 0),"",
IF(R$3&lt;&gt;"",IF(貼り付け用!R49&lt;&gt;"",貼り付け用!R49,""),"")),
IF(ROW(R49)+2&gt;=MATCH("*【合計】*", 貼り付け用!$A:$A, 0),"",
IF(R$3&lt;&gt;"",IF(貼り付け用!R50&lt;&gt;"",貼り付け用!R50,""),"")))</f>
        <v>#N/A</v>
      </c>
      <c r="S49" s="3" t="e">
        <f>IF(貼り付け用!$A$6&lt;&gt;"",
IF(ROW(S48)+2&gt;=MATCH("*【合計】*", 貼り付け用!$A:$A, 0),"",
IF(S$3&lt;&gt;"",IF(貼り付け用!S49&lt;&gt;"",貼り付け用!S49,""),"")),
IF(ROW(S49)+2&gt;=MATCH("*【合計】*", 貼り付け用!$A:$A, 0),"",
IF(S$3&lt;&gt;"",IF(貼り付け用!S50&lt;&gt;"",貼り付け用!S50,""),"")))</f>
        <v>#N/A</v>
      </c>
      <c r="T49" s="2" t="e">
        <f t="array" ref="T49">IF(貼り付け用!$A$6&lt;&gt;"",
IF(INDEX(貼り付け用!A:Z, ROW(T48)+1, MATCH("おやつ", 貼り付け用!$A$3:$Z$3, 0))&lt;&gt;0,
INDEX(貼り付け用!A:Z, ROW(T48)+1, MATCH("おやつ", 貼り付け用!$A$3:$Z$3, 0)),""),
IF(INDEX(貼り付け用!A:Z, ROW(T49)+1, MATCH("おやつ", 貼り付け用!$A$3:$Z$3, 0))&lt;&gt;0,
INDEX(貼り付け用!A:Z, ROW(T49)+1, MATCH("おやつ", 貼り付け用!$A$3:$Z$3, 0)),""))</f>
        <v>#N/A</v>
      </c>
      <c r="U49" s="52"/>
      <c r="V49" s="8" t="e">
        <f t="array" ref="V49">IF(貼り付け用!$A$6&lt;&gt;"",
IF(INDEX(貼り付け用!A:Z, ROW(T48)+1, MATCH("おやつ", 貼り付け用!$A$3:$Z$3, 0)+1)&lt;&gt;0,
INDEX(貼り付け用!A:Z, ROW(T48)+1, MATCH("おやつ", 貼り付け用!$A$3:$Z$3, 0)+1),""),
IF(INDEX(貼り付け用!A:Z, ROW(T49)+1, MATCH("おやつ", 貼り付け用!$A$3:$Z$3, 0)+1)&lt;&gt;0,
INDEX(貼り付け用!A:Z, ROW(T49)+1, MATCH("おやつ", 貼り付け用!$A$3:$Z$3, 0)+1),""))</f>
        <v>#N/A</v>
      </c>
      <c r="W49" s="9" t="e">
        <f t="array" ref="W49">IF(貼り付け用!$A$6&lt;&gt;"",
IF(INDEX(貼り付け用!A:Z, ROW(T48)+1, MATCH("おやつ", 貼り付け用!$A$3:$Z$3, 0)+2)&lt;&gt;0,
INDEX(貼り付け用!A:Z, ROW(T48)+1, MATCH("おやつ", 貼り付け用!$A$3:$Z$3, 0)+2),""),
IF(INDEX(貼り付け用!A:Z, ROW(T49)+1, MATCH("おやつ", 貼り付け用!$A$3:$Z$3, 0)+2)&lt;&gt;0,
INDEX(貼り付け用!A:Z, ROW(T49)+1, MATCH("おやつ", 貼り付け用!$A$3:$Z$3, 0)+2),""))</f>
        <v>#N/A</v>
      </c>
    </row>
    <row r="50" spans="1:23" x14ac:dyDescent="0.45">
      <c r="A50" s="4" t="e">
        <f>IF(貼り付け用!$A$6&lt;&gt;"",
IF(ROW(A49)+1&gt;=MATCH("*10000*", 貼り付け用!$A:$A, 0),
IF(COUNTIF(A48,"*10000*"),"10001",
IF(COUNTIF(A48,"*10001*"),"10002",
IF(COUNTIF(A48,"*10002*"),"",
IF(COUNTIF(A48,""),"","10000")))),
IF(貼り付け用!A50&lt;&gt;"",貼り付け用!A50,"")),
IF(ROW(A50)+1&gt;=MATCH("*10000*", 貼り付け用!$A:$A, 0),
IF(COUNTIF(A48,"*10000*"),"10001",
IF(COUNTIF(A48,"*10001*"),"10002",
IF(COUNTIF(A48,"*10002*"),"",
IF(COUNTIF(A48,""),"","10000")))),
IF(貼り付け用!A51&lt;&gt;"",貼り付け用!A51,"")))</f>
        <v>#N/A</v>
      </c>
      <c r="B50" s="19" t="e">
        <f>IF(貼り付け用!$A$6&lt;&gt;"",
IF(ROW(B49)+2&gt;=MATCH("*【合計】*", 貼り付け用!$A:$A, 0),"",
IF(貼り付け用!B50&lt;&gt;"",貼り付け用!B50,"")),
IF(ROW(B50)+2&gt;=MATCH("*【合計】*", 貼り付け用!$A:$A, 0),"",
IF(貼り付け用!B51&lt;&gt;"",貼り付け用!B51,"")))</f>
        <v>#N/A</v>
      </c>
      <c r="C50" s="19" t="e">
        <f>IF(貼り付け用!$A$6&lt;&gt;"",
IF(ROW(C49)+2&gt;=MATCH("*【合計】*", 貼り付け用!$A:$A, 0),"",
IF(貼り付け用!C50&lt;&gt;"",貼り付け用!C50,"")),
IF(ROW(C50)+2&gt;=MATCH("*【合計】*", 貼り付け用!$A:$A, 0),"",
IF(貼り付け用!C51&lt;&gt;"",貼り付け用!C51,"")))</f>
        <v>#N/A</v>
      </c>
      <c r="D50" s="19" t="e">
        <f>IF(貼り付け用!$A$6&lt;&gt;"",
IF(ROW(D49)+2&gt;=MATCH("*【合計】*", 貼り付け用!$A:$A, 0),"",
IF(貼り付け用!D50&lt;&gt;"",貼り付け用!D50,"")),
IF(ROW(D50)+2&gt;=MATCH("*【合計】*", 貼り付け用!$A:$A, 0),"",
IF(貼り付け用!D51&lt;&gt;"",貼り付け用!D51,"")))</f>
        <v>#N/A</v>
      </c>
      <c r="E50" s="19" t="e">
        <f>IF(貼り付け用!$A$6&lt;&gt;"",
IF(ROW(E49)+2&gt;=MATCH("*【合計】*", 貼り付け用!$A:$A, 0),"",
IF(貼り付け用!E50&lt;&gt;"",貼り付け用!E50,"")),
IF(ROW(E50)+2&gt;=MATCH("*【合計】*", 貼り付け用!$A:$A, 0),"",
IF(貼り付け用!E51&lt;&gt;"",貼り付け用!E51,"")))</f>
        <v>#N/A</v>
      </c>
      <c r="F50" s="19" t="e">
        <f>IF(貼り付け用!$A$6&lt;&gt;"",
IF(ROW(F49)+2&gt;=MATCH("*【合計】*", 貼り付け用!$A:$A, 0),"",
IF(貼り付け用!F50&lt;&gt;"",貼り付け用!F50,"")),
IF(ROW(F50)+2&gt;=MATCH("*【合計】*", 貼り付け用!$A:$A, 0),"",
IF(貼り付け用!F51&lt;&gt;"",貼り付け用!F51,"")))</f>
        <v>#N/A</v>
      </c>
      <c r="G50" s="19" t="e">
        <f>IF(貼り付け用!$A$6&lt;&gt;"",
IF(ROW(G49)+2&gt;=MATCH("*【合計】*", 貼り付け用!$A:$A, 0),"",
IF(貼り付け用!G50&lt;&gt;"",貼り付け用!G50,"")),
IF(ROW(G50)+2&gt;=MATCH("*【合計】*", 貼り付け用!$A:$A, 0),"",
IF(貼り付け用!G51&lt;&gt;"",貼り付け用!G51,"")))</f>
        <v>#N/A</v>
      </c>
      <c r="H50" s="19" t="e">
        <f>IF(貼り付け用!$A$6&lt;&gt;"",
IF(ROW(H49)+2&gt;=MATCH("*【合計】*", 貼り付け用!$A:$A, 0),"",
IF(貼り付け用!H50&lt;&gt;"",貼り付け用!H50,"")),
IF(ROW(H50)+2&gt;=MATCH("*【合計】*", 貼り付け用!$A:$A, 0),"",
IF(貼り付け用!H51&lt;&gt;"",貼り付け用!H51,"")))</f>
        <v>#N/A</v>
      </c>
      <c r="I50" s="19" t="e">
        <f>IF(貼り付け用!$A$6&lt;&gt;"",
IF(ROW(I49)+2&gt;=MATCH("*【合計】*", 貼り付け用!$A:$A, 0),"",
IF(貼り付け用!I50&lt;&gt;"",貼り付け用!I50,"")),
IF(ROW(I50)+2&gt;=MATCH("*【合計】*", 貼り付け用!$A:$A, 0),"",
IF(貼り付け用!I51&lt;&gt;"",貼り付け用!I51,"")))</f>
        <v>#N/A</v>
      </c>
      <c r="J50" s="19" t="e">
        <f>IF(貼り付け用!$A$6&lt;&gt;"",
IF(ROW(J49)+2&gt;=MATCH("*【合計】*", 貼り付け用!$A:$A, 0),"",
IF(貼り付け用!J50&lt;&gt;"",貼り付け用!J50,"")),
IF(ROW(J50)+2&gt;=MATCH("*【合計】*", 貼り付け用!$A:$A, 0),"",
IF(貼り付け用!J51&lt;&gt;"",貼り付け用!J51,"")))</f>
        <v>#N/A</v>
      </c>
      <c r="K50" s="19" t="e">
        <f>IF(貼り付け用!$A$6&lt;&gt;"",
IF(ROW(K49)+2&gt;=MATCH("*【合計】*", 貼り付け用!$A:$A, 0),"",
IF(貼り付け用!K50&lt;&gt;"",貼り付け用!K50,"")),
IF(ROW(K50)+2&gt;=MATCH("*【合計】*", 貼り付け用!$A:$A, 0),"",
IF(貼り付け用!K51&lt;&gt;"",貼り付け用!K51,"")))</f>
        <v>#N/A</v>
      </c>
      <c r="L50" s="19" t="e">
        <f>IF(貼り付け用!$A$6&lt;&gt;"",
IF(ROW(L49)+2&gt;=MATCH("*【合計】*", 貼り付け用!$A:$A, 0),"",
IF(L$3&lt;&gt;"",IF(貼り付け用!L50&lt;&gt;"",貼り付け用!L50,""),"")),
IF(ROW(L50)+2&gt;=MATCH("*【合計】*", 貼り付け用!$A:$A, 0),"",
IF(L$3&lt;&gt;"",IF(貼り付け用!L51&lt;&gt;"",貼り付け用!L51,""),"")))</f>
        <v>#N/A</v>
      </c>
      <c r="M50" s="19" t="e">
        <f>IF(貼り付け用!$A$6&lt;&gt;"",
IF(ROW(M49)+2&gt;=MATCH("*【合計】*", 貼り付け用!$A:$A, 0),"",
IF(M$3&lt;&gt;"",IF(貼り付け用!M50&lt;&gt;"",貼り付け用!M50,""),"")),
IF(ROW(M50)+2&gt;=MATCH("*【合計】*", 貼り付け用!$A:$A, 0),"",
IF(M$3&lt;&gt;"",IF(貼り付け用!M51&lt;&gt;"",貼り付け用!M51,""),"")))</f>
        <v>#N/A</v>
      </c>
      <c r="N50" s="19" t="e">
        <f>IF(貼り付け用!$A$6&lt;&gt;"",
IF(ROW(N49)+2&gt;=MATCH("*【合計】*", 貼り付け用!$A:$A, 0),"",
IF(N$3&lt;&gt;"",IF(貼り付け用!N50&lt;&gt;"",貼り付け用!N50,""),"")),
IF(ROW(N50)+2&gt;=MATCH("*【合計】*", 貼り付け用!$A:$A, 0),"",
IF(N$3&lt;&gt;"",IF(貼り付け用!N51&lt;&gt;"",貼り付け用!N51,""),"")))</f>
        <v>#N/A</v>
      </c>
      <c r="O50" s="19" t="e">
        <f>IF(貼り付け用!$A$6&lt;&gt;"",
IF(ROW(O49)+2&gt;=MATCH("*【合計】*", 貼り付け用!$A:$A, 0),"",
IF(O$3&lt;&gt;"",IF(貼り付け用!O50&lt;&gt;"",貼り付け用!O50,""),"")),
IF(ROW(O50)+2&gt;=MATCH("*【合計】*", 貼り付け用!$A:$A, 0),"",
IF(O$3&lt;&gt;"",IF(貼り付け用!O51&lt;&gt;"",貼り付け用!O51,""),"")))</f>
        <v>#N/A</v>
      </c>
      <c r="P50" s="19" t="e">
        <f>IF(貼り付け用!$A$6&lt;&gt;"",
IF(ROW(P49)+2&gt;=MATCH("*【合計】*", 貼り付け用!$A:$A, 0),"",
IF(P$3&lt;&gt;"",IF(貼り付け用!P50&lt;&gt;"",貼り付け用!P50,""),"")),
IF(ROW(P50)+2&gt;=MATCH("*【合計】*", 貼り付け用!$A:$A, 0),"",
IF(P$3&lt;&gt;"",IF(貼り付け用!P51&lt;&gt;"",貼り付け用!P51,""),"")))</f>
        <v>#N/A</v>
      </c>
      <c r="Q50" s="19" t="e">
        <f>IF(貼り付け用!$A$6&lt;&gt;"",
IF(ROW(Q49)+2&gt;=MATCH("*【合計】*", 貼り付け用!$A:$A, 0),"",
IF(Q$3&lt;&gt;"",IF(貼り付け用!Q50&lt;&gt;"",貼り付け用!Q50,""),"")),
IF(ROW(Q50)+2&gt;=MATCH("*【合計】*", 貼り付け用!$A:$A, 0),"",
IF(Q$3&lt;&gt;"",IF(貼り付け用!Q51&lt;&gt;"",貼り付け用!Q51,""),"")))</f>
        <v>#N/A</v>
      </c>
      <c r="R50" s="19" t="e">
        <f>IF(貼り付け用!$A$6&lt;&gt;"",
IF(ROW(R49)+2&gt;=MATCH("*【合計】*", 貼り付け用!$A:$A, 0),"",
IF(R$3&lt;&gt;"",IF(貼り付け用!R50&lt;&gt;"",貼り付け用!R50,""),"")),
IF(ROW(R50)+2&gt;=MATCH("*【合計】*", 貼り付け用!$A:$A, 0),"",
IF(R$3&lt;&gt;"",IF(貼り付け用!R51&lt;&gt;"",貼り付け用!R51,""),"")))</f>
        <v>#N/A</v>
      </c>
      <c r="S50" s="19" t="e">
        <f>IF(貼り付け用!$A$6&lt;&gt;"",
IF(ROW(S49)+2&gt;=MATCH("*【合計】*", 貼り付け用!$A:$A, 0),"",
IF(S$3&lt;&gt;"",IF(貼り付け用!S50&lt;&gt;"",貼り付け用!S50,""),"")),
IF(ROW(S50)+2&gt;=MATCH("*【合計】*", 貼り付け用!$A:$A, 0),"",
IF(S$3&lt;&gt;"",IF(貼り付け用!S51&lt;&gt;"",貼り付け用!S51,""),"")))</f>
        <v>#N/A</v>
      </c>
      <c r="T50" s="19" t="e">
        <f t="array" ref="T50">IF(貼り付け用!$A$6&lt;&gt;"",
IF(INDEX(貼り付け用!A:Z, ROW(T49)+1, MATCH("おやつ", 貼り付け用!$A$3:$Z$3, 0))&lt;&gt;0,
INDEX(貼り付け用!A:Z, ROW(T49)+1, MATCH("おやつ", 貼り付け用!$A$3:$Z$3, 0)),""),
IF(INDEX(貼り付け用!A:Z, ROW(T50)+1, MATCH("おやつ", 貼り付け用!$A$3:$Z$3, 0))&lt;&gt;0,
INDEX(貼り付け用!A:Z, ROW(T50)+1, MATCH("おやつ", 貼り付け用!$A$3:$Z$3, 0)),""))</f>
        <v>#N/A</v>
      </c>
      <c r="U50" s="16"/>
      <c r="V50" s="5" t="e">
        <f t="array" ref="V50">IF(貼り付け用!$A$6&lt;&gt;"",
IF(INDEX(貼り付け用!A:Z, ROW(T49)+1, MATCH("おやつ", 貼り付け用!$A$3:$Z$3, 0)+1)&lt;&gt;0,
INDEX(貼り付け用!A:Z, ROW(T49)+1, MATCH("おやつ", 貼り付け用!$A$3:$Z$3, 0)+1),""),
IF(INDEX(貼り付け用!A:Z, ROW(T50)+1, MATCH("おやつ", 貼り付け用!$A$3:$Z$3, 0)+1)&lt;&gt;0,
INDEX(貼り付け用!A:Z, ROW(T50)+1, MATCH("おやつ", 貼り付け用!$A$3:$Z$3, 0)+1),""))</f>
        <v>#N/A</v>
      </c>
      <c r="W50" s="7" t="e">
        <f t="array" ref="W50">IF(貼り付け用!$A$6&lt;&gt;"",
IF(INDEX(貼り付け用!A:Z, ROW(T49)+1, MATCH("おやつ", 貼り付け用!$A$3:$Z$3, 0)+2)&lt;&gt;0,
INDEX(貼り付け用!A:Z, ROW(T49)+1, MATCH("おやつ", 貼り付け用!$A$3:$Z$3, 0)+2),""),
IF(INDEX(貼り付け用!A:Z, ROW(T50)+1, MATCH("おやつ", 貼り付け用!$A$3:$Z$3, 0)+2)&lt;&gt;0,
INDEX(貼り付け用!A:Z, ROW(T50)+1, MATCH("おやつ", 貼り付け用!$A$3:$Z$3, 0)+2),""))</f>
        <v>#N/A</v>
      </c>
    </row>
    <row r="51" spans="1:23" x14ac:dyDescent="0.45">
      <c r="A51" s="10" t="e">
        <f>IF(貼り付け用!$A$6&lt;&gt;"",
IF(ROW(A50)+1&gt;=MATCH("*10000*", 貼り付け用!$A:$A, 0),"",
IF(貼り付け用!A51&lt;&gt;"",貼り付け用!A51,"")),
IF(ROW(A51)+1&gt;=MATCH("*10000*", 貼り付け用!$A:$A, 0),"",
IF(貼り付け用!A52&lt;&gt;"",貼り付け用!A52,"")))</f>
        <v>#N/A</v>
      </c>
      <c r="B51" s="3" t="e">
        <f>IF(貼り付け用!$A$6&lt;&gt;"",
IF(ROW(B50)+2&gt;=MATCH("*【合計】*", 貼り付け用!$A:$A, 0),"",
IF(貼り付け用!B51&lt;&gt;"",貼り付け用!B51,"")),
IF(ROW(B51)+2&gt;=MATCH("*【合計】*", 貼り付け用!$A:$A, 0),"",
IF(貼り付け用!B52&lt;&gt;"",貼り付け用!B52,"")))</f>
        <v>#N/A</v>
      </c>
      <c r="C51" s="3" t="e">
        <f>IF(貼り付け用!$A$6&lt;&gt;"",
IF(ROW(C50)+2&gt;=MATCH("*【合計】*", 貼り付け用!$A:$A, 0),"",
IF(貼り付け用!C51&lt;&gt;"",貼り付け用!C51,"")),
IF(ROW(C51)+2&gt;=MATCH("*【合計】*", 貼り付け用!$A:$A, 0),"",
IF(貼り付け用!C52&lt;&gt;"",貼り付け用!C52,"")))</f>
        <v>#N/A</v>
      </c>
      <c r="D51" s="3" t="e">
        <f>IF(貼り付け用!$A$6&lt;&gt;"",
IF(ROW(D50)+2&gt;=MATCH("*【合計】*", 貼り付け用!$A:$A, 0),"",
IF(貼り付け用!D51&lt;&gt;"",貼り付け用!D51,"")),
IF(ROW(D51)+2&gt;=MATCH("*【合計】*", 貼り付け用!$A:$A, 0),"",
IF(貼り付け用!D52&lt;&gt;"",貼り付け用!D52,"")))</f>
        <v>#N/A</v>
      </c>
      <c r="E51" s="3" t="e">
        <f>IF(貼り付け用!$A$6&lt;&gt;"",
IF(ROW(E50)+2&gt;=MATCH("*【合計】*", 貼り付け用!$A:$A, 0),"",
IF(貼り付け用!E51&lt;&gt;"",貼り付け用!E51,"")),
IF(ROW(E51)+2&gt;=MATCH("*【合計】*", 貼り付け用!$A:$A, 0),"",
IF(貼り付け用!E52&lt;&gt;"",貼り付け用!E52,"")))</f>
        <v>#N/A</v>
      </c>
      <c r="F51" s="3" t="e">
        <f>IF(貼り付け用!$A$6&lt;&gt;"",
IF(ROW(F50)+2&gt;=MATCH("*【合計】*", 貼り付け用!$A:$A, 0),"",
IF(貼り付け用!F51&lt;&gt;"",貼り付け用!F51,"")),
IF(ROW(F51)+2&gt;=MATCH("*【合計】*", 貼り付け用!$A:$A, 0),"",
IF(貼り付け用!F52&lt;&gt;"",貼り付け用!F52,"")))</f>
        <v>#N/A</v>
      </c>
      <c r="G51" s="3" t="e">
        <f>IF(貼り付け用!$A$6&lt;&gt;"",
IF(ROW(G50)+2&gt;=MATCH("*【合計】*", 貼り付け用!$A:$A, 0),"",
IF(貼り付け用!G51&lt;&gt;"",貼り付け用!G51,"")),
IF(ROW(G51)+2&gt;=MATCH("*【合計】*", 貼り付け用!$A:$A, 0),"",
IF(貼り付け用!G52&lt;&gt;"",貼り付け用!G52,"")))</f>
        <v>#N/A</v>
      </c>
      <c r="H51" s="3" t="e">
        <f>IF(貼り付け用!$A$6&lt;&gt;"",
IF(ROW(H50)+2&gt;=MATCH("*【合計】*", 貼り付け用!$A:$A, 0),"",
IF(貼り付け用!H51&lt;&gt;"",貼り付け用!H51,"")),
IF(ROW(H51)+2&gt;=MATCH("*【合計】*", 貼り付け用!$A:$A, 0),"",
IF(貼り付け用!H52&lt;&gt;"",貼り付け用!H52,"")))</f>
        <v>#N/A</v>
      </c>
      <c r="I51" s="3" t="e">
        <f>IF(貼り付け用!$A$6&lt;&gt;"",
IF(ROW(I50)+2&gt;=MATCH("*【合計】*", 貼り付け用!$A:$A, 0),"",
IF(貼り付け用!I51&lt;&gt;"",貼り付け用!I51,"")),
IF(ROW(I51)+2&gt;=MATCH("*【合計】*", 貼り付け用!$A:$A, 0),"",
IF(貼り付け用!I52&lt;&gt;"",貼り付け用!I52,"")))</f>
        <v>#N/A</v>
      </c>
      <c r="J51" s="3" t="e">
        <f>IF(貼り付け用!$A$6&lt;&gt;"",
IF(ROW(J50)+2&gt;=MATCH("*【合計】*", 貼り付け用!$A:$A, 0),"",
IF(貼り付け用!J51&lt;&gt;"",貼り付け用!J51,"")),
IF(ROW(J51)+2&gt;=MATCH("*【合計】*", 貼り付け用!$A:$A, 0),"",
IF(貼り付け用!J52&lt;&gt;"",貼り付け用!J52,"")))</f>
        <v>#N/A</v>
      </c>
      <c r="K51" s="3" t="e">
        <f>IF(貼り付け用!$A$6&lt;&gt;"",
IF(ROW(K50)+2&gt;=MATCH("*【合計】*", 貼り付け用!$A:$A, 0),"",
IF(貼り付け用!K51&lt;&gt;"",貼り付け用!K51,"")),
IF(ROW(K51)+2&gt;=MATCH("*【合計】*", 貼り付け用!$A:$A, 0),"",
IF(貼り付け用!K52&lt;&gt;"",貼り付け用!K52,"")))</f>
        <v>#N/A</v>
      </c>
      <c r="L51" s="3" t="e">
        <f>IF(貼り付け用!$A$6&lt;&gt;"",
IF(ROW(L50)+2&gt;=MATCH("*【合計】*", 貼り付け用!$A:$A, 0),"",
IF(L$3&lt;&gt;"",IF(貼り付け用!L51&lt;&gt;"",貼り付け用!L51,""),"")),
IF(ROW(L51)+2&gt;=MATCH("*【合計】*", 貼り付け用!$A:$A, 0),"",
IF(L$3&lt;&gt;"",IF(貼り付け用!L52&lt;&gt;"",貼り付け用!L52,""),"")))</f>
        <v>#N/A</v>
      </c>
      <c r="M51" s="3" t="e">
        <f>IF(貼り付け用!$A$6&lt;&gt;"",
IF(ROW(M50)+2&gt;=MATCH("*【合計】*", 貼り付け用!$A:$A, 0),"",
IF(M$3&lt;&gt;"",IF(貼り付け用!M51&lt;&gt;"",貼り付け用!M51,""),"")),
IF(ROW(M51)+2&gt;=MATCH("*【合計】*", 貼り付け用!$A:$A, 0),"",
IF(M$3&lt;&gt;"",IF(貼り付け用!M52&lt;&gt;"",貼り付け用!M52,""),"")))</f>
        <v>#N/A</v>
      </c>
      <c r="N51" s="3" t="e">
        <f>IF(貼り付け用!$A$6&lt;&gt;"",
IF(ROW(N50)+2&gt;=MATCH("*【合計】*", 貼り付け用!$A:$A, 0),"",
IF(N$3&lt;&gt;"",IF(貼り付け用!N51&lt;&gt;"",貼り付け用!N51,""),"")),
IF(ROW(N51)+2&gt;=MATCH("*【合計】*", 貼り付け用!$A:$A, 0),"",
IF(N$3&lt;&gt;"",IF(貼り付け用!N52&lt;&gt;"",貼り付け用!N52,""),"")))</f>
        <v>#N/A</v>
      </c>
      <c r="O51" s="3" t="e">
        <f>IF(貼り付け用!$A$6&lt;&gt;"",
IF(ROW(O50)+2&gt;=MATCH("*【合計】*", 貼り付け用!$A:$A, 0),"",
IF(O$3&lt;&gt;"",IF(貼り付け用!O51&lt;&gt;"",貼り付け用!O51,""),"")),
IF(ROW(O51)+2&gt;=MATCH("*【合計】*", 貼り付け用!$A:$A, 0),"",
IF(O$3&lt;&gt;"",IF(貼り付け用!O52&lt;&gt;"",貼り付け用!O52,""),"")))</f>
        <v>#N/A</v>
      </c>
      <c r="P51" s="3" t="e">
        <f>IF(貼り付け用!$A$6&lt;&gt;"",
IF(ROW(P50)+2&gt;=MATCH("*【合計】*", 貼り付け用!$A:$A, 0),"",
IF(P$3&lt;&gt;"",IF(貼り付け用!P51&lt;&gt;"",貼り付け用!P51,""),"")),
IF(ROW(P51)+2&gt;=MATCH("*【合計】*", 貼り付け用!$A:$A, 0),"",
IF(P$3&lt;&gt;"",IF(貼り付け用!P52&lt;&gt;"",貼り付け用!P52,""),"")))</f>
        <v>#N/A</v>
      </c>
      <c r="Q51" s="3" t="e">
        <f>IF(貼り付け用!$A$6&lt;&gt;"",
IF(ROW(Q50)+2&gt;=MATCH("*【合計】*", 貼り付け用!$A:$A, 0),"",
IF(Q$3&lt;&gt;"",IF(貼り付け用!Q51&lt;&gt;"",貼り付け用!Q51,""),"")),
IF(ROW(Q51)+2&gt;=MATCH("*【合計】*", 貼り付け用!$A:$A, 0),"",
IF(Q$3&lt;&gt;"",IF(貼り付け用!Q52&lt;&gt;"",貼り付け用!Q52,""),"")))</f>
        <v>#N/A</v>
      </c>
      <c r="R51" s="3" t="e">
        <f>IF(貼り付け用!$A$6&lt;&gt;"",
IF(ROW(R50)+2&gt;=MATCH("*【合計】*", 貼り付け用!$A:$A, 0),"",
IF(R$3&lt;&gt;"",IF(貼り付け用!R51&lt;&gt;"",貼り付け用!R51,""),"")),
IF(ROW(R51)+2&gt;=MATCH("*【合計】*", 貼り付け用!$A:$A, 0),"",
IF(R$3&lt;&gt;"",IF(貼り付け用!R52&lt;&gt;"",貼り付け用!R52,""),"")))</f>
        <v>#N/A</v>
      </c>
      <c r="S51" s="3" t="e">
        <f>IF(貼り付け用!$A$6&lt;&gt;"",
IF(ROW(S50)+2&gt;=MATCH("*【合計】*", 貼り付け用!$A:$A, 0),"",
IF(S$3&lt;&gt;"",IF(貼り付け用!S51&lt;&gt;"",貼り付け用!S51,""),"")),
IF(ROW(S51)+2&gt;=MATCH("*【合計】*", 貼り付け用!$A:$A, 0),"",
IF(S$3&lt;&gt;"",IF(貼り付け用!S52&lt;&gt;"",貼り付け用!S52,""),"")))</f>
        <v>#N/A</v>
      </c>
      <c r="T51" s="2" t="e">
        <f t="array" ref="T51">IF(貼り付け用!$A$6&lt;&gt;"",
IF(INDEX(貼り付け用!A:Z, ROW(T50)+1, MATCH("おやつ", 貼り付け用!$A$3:$Z$3, 0))&lt;&gt;0,
INDEX(貼り付け用!A:Z, ROW(T50)+1, MATCH("おやつ", 貼り付け用!$A$3:$Z$3, 0)),""),
IF(INDEX(貼り付け用!A:Z, ROW(T51)+1, MATCH("おやつ", 貼り付け用!$A$3:$Z$3, 0))&lt;&gt;0,
INDEX(貼り付け用!A:Z, ROW(T51)+1, MATCH("おやつ", 貼り付け用!$A$3:$Z$3, 0)),""))</f>
        <v>#N/A</v>
      </c>
      <c r="U51" s="52"/>
      <c r="V51" s="8" t="e">
        <f t="array" ref="V51">IF(貼り付け用!$A$6&lt;&gt;"",
IF(INDEX(貼り付け用!A:Z, ROW(T50)+1, MATCH("おやつ", 貼り付け用!$A$3:$Z$3, 0)+1)&lt;&gt;0,
INDEX(貼り付け用!A:Z, ROW(T50)+1, MATCH("おやつ", 貼り付け用!$A$3:$Z$3, 0)+1),""),
IF(INDEX(貼り付け用!A:Z, ROW(T51)+1, MATCH("おやつ", 貼り付け用!$A$3:$Z$3, 0)+1)&lt;&gt;0,
INDEX(貼り付け用!A:Z, ROW(T51)+1, MATCH("おやつ", 貼り付け用!$A$3:$Z$3, 0)+1),""))</f>
        <v>#N/A</v>
      </c>
      <c r="W51" s="9" t="e">
        <f t="array" ref="W51">IF(貼り付け用!$A$6&lt;&gt;"",
IF(INDEX(貼り付け用!A:Z, ROW(T50)+1, MATCH("おやつ", 貼り付け用!$A$3:$Z$3, 0)+2)&lt;&gt;0,
INDEX(貼り付け用!A:Z, ROW(T50)+1, MATCH("おやつ", 貼り付け用!$A$3:$Z$3, 0)+2),""),
IF(INDEX(貼り付け用!A:Z, ROW(T51)+1, MATCH("おやつ", 貼り付け用!$A$3:$Z$3, 0)+2)&lt;&gt;0,
INDEX(貼り付け用!A:Z, ROW(T51)+1, MATCH("おやつ", 貼り付け用!$A$3:$Z$3, 0)+2),""))</f>
        <v>#N/A</v>
      </c>
    </row>
    <row r="52" spans="1:23" x14ac:dyDescent="0.45">
      <c r="A52" s="4" t="e">
        <f>IF(貼り付け用!$A$6&lt;&gt;"",
IF(ROW(A51)+1&gt;=MATCH("*10000*", 貼り付け用!$A:$A, 0),
IF(COUNTIF(A50,"*10000*"),"10001",
IF(COUNTIF(A50,"*10001*"),"10002",
IF(COUNTIF(A50,"*10002*"),"",
IF(COUNTIF(A50,""),"","10000")))),
IF(貼り付け用!A52&lt;&gt;"",貼り付け用!A52,"")),
IF(ROW(A52)+1&gt;=MATCH("*10000*", 貼り付け用!$A:$A, 0),
IF(COUNTIF(A50,"*10000*"),"10001",
IF(COUNTIF(A50,"*10001*"),"10002",
IF(COUNTIF(A50,"*10002*"),"",
IF(COUNTIF(A50,""),"","10000")))),
IF(貼り付け用!A53&lt;&gt;"",貼り付け用!A53,"")))</f>
        <v>#N/A</v>
      </c>
      <c r="B52" s="19" t="e">
        <f>IF(貼り付け用!$A$6&lt;&gt;"",
IF(ROW(B51)+2&gt;=MATCH("*【合計】*", 貼り付け用!$A:$A, 0),"",
IF(貼り付け用!B52&lt;&gt;"",貼り付け用!B52,"")),
IF(ROW(B52)+2&gt;=MATCH("*【合計】*", 貼り付け用!$A:$A, 0),"",
IF(貼り付け用!B53&lt;&gt;"",貼り付け用!B53,"")))</f>
        <v>#N/A</v>
      </c>
      <c r="C52" s="19" t="e">
        <f>IF(貼り付け用!$A$6&lt;&gt;"",
IF(ROW(C51)+2&gt;=MATCH("*【合計】*", 貼り付け用!$A:$A, 0),"",
IF(貼り付け用!C52&lt;&gt;"",貼り付け用!C52,"")),
IF(ROW(C52)+2&gt;=MATCH("*【合計】*", 貼り付け用!$A:$A, 0),"",
IF(貼り付け用!C53&lt;&gt;"",貼り付け用!C53,"")))</f>
        <v>#N/A</v>
      </c>
      <c r="D52" s="19" t="e">
        <f>IF(貼り付け用!$A$6&lt;&gt;"",
IF(ROW(D51)+2&gt;=MATCH("*【合計】*", 貼り付け用!$A:$A, 0),"",
IF(貼り付け用!D52&lt;&gt;"",貼り付け用!D52,"")),
IF(ROW(D52)+2&gt;=MATCH("*【合計】*", 貼り付け用!$A:$A, 0),"",
IF(貼り付け用!D53&lt;&gt;"",貼り付け用!D53,"")))</f>
        <v>#N/A</v>
      </c>
      <c r="E52" s="19" t="e">
        <f>IF(貼り付け用!$A$6&lt;&gt;"",
IF(ROW(E51)+2&gt;=MATCH("*【合計】*", 貼り付け用!$A:$A, 0),"",
IF(貼り付け用!E52&lt;&gt;"",貼り付け用!E52,"")),
IF(ROW(E52)+2&gt;=MATCH("*【合計】*", 貼り付け用!$A:$A, 0),"",
IF(貼り付け用!E53&lt;&gt;"",貼り付け用!E53,"")))</f>
        <v>#N/A</v>
      </c>
      <c r="F52" s="19" t="e">
        <f>IF(貼り付け用!$A$6&lt;&gt;"",
IF(ROW(F51)+2&gt;=MATCH("*【合計】*", 貼り付け用!$A:$A, 0),"",
IF(貼り付け用!F52&lt;&gt;"",貼り付け用!F52,"")),
IF(ROW(F52)+2&gt;=MATCH("*【合計】*", 貼り付け用!$A:$A, 0),"",
IF(貼り付け用!F53&lt;&gt;"",貼り付け用!F53,"")))</f>
        <v>#N/A</v>
      </c>
      <c r="G52" s="19" t="e">
        <f>IF(貼り付け用!$A$6&lt;&gt;"",
IF(ROW(G51)+2&gt;=MATCH("*【合計】*", 貼り付け用!$A:$A, 0),"",
IF(貼り付け用!G52&lt;&gt;"",貼り付け用!G52,"")),
IF(ROW(G52)+2&gt;=MATCH("*【合計】*", 貼り付け用!$A:$A, 0),"",
IF(貼り付け用!G53&lt;&gt;"",貼り付け用!G53,"")))</f>
        <v>#N/A</v>
      </c>
      <c r="H52" s="19" t="e">
        <f>IF(貼り付け用!$A$6&lt;&gt;"",
IF(ROW(H51)+2&gt;=MATCH("*【合計】*", 貼り付け用!$A:$A, 0),"",
IF(貼り付け用!H52&lt;&gt;"",貼り付け用!H52,"")),
IF(ROW(H52)+2&gt;=MATCH("*【合計】*", 貼り付け用!$A:$A, 0),"",
IF(貼り付け用!H53&lt;&gt;"",貼り付け用!H53,"")))</f>
        <v>#N/A</v>
      </c>
      <c r="I52" s="19" t="e">
        <f>IF(貼り付け用!$A$6&lt;&gt;"",
IF(ROW(I51)+2&gt;=MATCH("*【合計】*", 貼り付け用!$A:$A, 0),"",
IF(貼り付け用!I52&lt;&gt;"",貼り付け用!I52,"")),
IF(ROW(I52)+2&gt;=MATCH("*【合計】*", 貼り付け用!$A:$A, 0),"",
IF(貼り付け用!I53&lt;&gt;"",貼り付け用!I53,"")))</f>
        <v>#N/A</v>
      </c>
      <c r="J52" s="19" t="e">
        <f>IF(貼り付け用!$A$6&lt;&gt;"",
IF(ROW(J51)+2&gt;=MATCH("*【合計】*", 貼り付け用!$A:$A, 0),"",
IF(貼り付け用!J52&lt;&gt;"",貼り付け用!J52,"")),
IF(ROW(J52)+2&gt;=MATCH("*【合計】*", 貼り付け用!$A:$A, 0),"",
IF(貼り付け用!J53&lt;&gt;"",貼り付け用!J53,"")))</f>
        <v>#N/A</v>
      </c>
      <c r="K52" s="19" t="e">
        <f>IF(貼り付け用!$A$6&lt;&gt;"",
IF(ROW(K51)+2&gt;=MATCH("*【合計】*", 貼り付け用!$A:$A, 0),"",
IF(貼り付け用!K52&lt;&gt;"",貼り付け用!K52,"")),
IF(ROW(K52)+2&gt;=MATCH("*【合計】*", 貼り付け用!$A:$A, 0),"",
IF(貼り付け用!K53&lt;&gt;"",貼り付け用!K53,"")))</f>
        <v>#N/A</v>
      </c>
      <c r="L52" s="19" t="e">
        <f>IF(貼り付け用!$A$6&lt;&gt;"",
IF(ROW(L51)+2&gt;=MATCH("*【合計】*", 貼り付け用!$A:$A, 0),"",
IF(L$3&lt;&gt;"",IF(貼り付け用!L52&lt;&gt;"",貼り付け用!L52,""),"")),
IF(ROW(L52)+2&gt;=MATCH("*【合計】*", 貼り付け用!$A:$A, 0),"",
IF(L$3&lt;&gt;"",IF(貼り付け用!L53&lt;&gt;"",貼り付け用!L53,""),"")))</f>
        <v>#N/A</v>
      </c>
      <c r="M52" s="19" t="e">
        <f>IF(貼り付け用!$A$6&lt;&gt;"",
IF(ROW(M51)+2&gt;=MATCH("*【合計】*", 貼り付け用!$A:$A, 0),"",
IF(M$3&lt;&gt;"",IF(貼り付け用!M52&lt;&gt;"",貼り付け用!M52,""),"")),
IF(ROW(M52)+2&gt;=MATCH("*【合計】*", 貼り付け用!$A:$A, 0),"",
IF(M$3&lt;&gt;"",IF(貼り付け用!M53&lt;&gt;"",貼り付け用!M53,""),"")))</f>
        <v>#N/A</v>
      </c>
      <c r="N52" s="19" t="e">
        <f>IF(貼り付け用!$A$6&lt;&gt;"",
IF(ROW(N51)+2&gt;=MATCH("*【合計】*", 貼り付け用!$A:$A, 0),"",
IF(N$3&lt;&gt;"",IF(貼り付け用!N52&lt;&gt;"",貼り付け用!N52,""),"")),
IF(ROW(N52)+2&gt;=MATCH("*【合計】*", 貼り付け用!$A:$A, 0),"",
IF(N$3&lt;&gt;"",IF(貼り付け用!N53&lt;&gt;"",貼り付け用!N53,""),"")))</f>
        <v>#N/A</v>
      </c>
      <c r="O52" s="19" t="e">
        <f>IF(貼り付け用!$A$6&lt;&gt;"",
IF(ROW(O51)+2&gt;=MATCH("*【合計】*", 貼り付け用!$A:$A, 0),"",
IF(O$3&lt;&gt;"",IF(貼り付け用!O52&lt;&gt;"",貼り付け用!O52,""),"")),
IF(ROW(O52)+2&gt;=MATCH("*【合計】*", 貼り付け用!$A:$A, 0),"",
IF(O$3&lt;&gt;"",IF(貼り付け用!O53&lt;&gt;"",貼り付け用!O53,""),"")))</f>
        <v>#N/A</v>
      </c>
      <c r="P52" s="19" t="e">
        <f>IF(貼り付け用!$A$6&lt;&gt;"",
IF(ROW(P51)+2&gt;=MATCH("*【合計】*", 貼り付け用!$A:$A, 0),"",
IF(P$3&lt;&gt;"",IF(貼り付け用!P52&lt;&gt;"",貼り付け用!P52,""),"")),
IF(ROW(P52)+2&gt;=MATCH("*【合計】*", 貼り付け用!$A:$A, 0),"",
IF(P$3&lt;&gt;"",IF(貼り付け用!P53&lt;&gt;"",貼り付け用!P53,""),"")))</f>
        <v>#N/A</v>
      </c>
      <c r="Q52" s="19" t="e">
        <f>IF(貼り付け用!$A$6&lt;&gt;"",
IF(ROW(Q51)+2&gt;=MATCH("*【合計】*", 貼り付け用!$A:$A, 0),"",
IF(Q$3&lt;&gt;"",IF(貼り付け用!Q52&lt;&gt;"",貼り付け用!Q52,""),"")),
IF(ROW(Q52)+2&gt;=MATCH("*【合計】*", 貼り付け用!$A:$A, 0),"",
IF(Q$3&lt;&gt;"",IF(貼り付け用!Q53&lt;&gt;"",貼り付け用!Q53,""),"")))</f>
        <v>#N/A</v>
      </c>
      <c r="R52" s="19" t="e">
        <f>IF(貼り付け用!$A$6&lt;&gt;"",
IF(ROW(R51)+2&gt;=MATCH("*【合計】*", 貼り付け用!$A:$A, 0),"",
IF(R$3&lt;&gt;"",IF(貼り付け用!R52&lt;&gt;"",貼り付け用!R52,""),"")),
IF(ROW(R52)+2&gt;=MATCH("*【合計】*", 貼り付け用!$A:$A, 0),"",
IF(R$3&lt;&gt;"",IF(貼り付け用!R53&lt;&gt;"",貼り付け用!R53,""),"")))</f>
        <v>#N/A</v>
      </c>
      <c r="S52" s="19" t="e">
        <f>IF(貼り付け用!$A$6&lt;&gt;"",
IF(ROW(S51)+2&gt;=MATCH("*【合計】*", 貼り付け用!$A:$A, 0),"",
IF(S$3&lt;&gt;"",IF(貼り付け用!S52&lt;&gt;"",貼り付け用!S52,""),"")),
IF(ROW(S52)+2&gt;=MATCH("*【合計】*", 貼り付け用!$A:$A, 0),"",
IF(S$3&lt;&gt;"",IF(貼り付け用!S53&lt;&gt;"",貼り付け用!S53,""),"")))</f>
        <v>#N/A</v>
      </c>
      <c r="T52" s="19" t="e">
        <f t="array" ref="T52">IF(貼り付け用!$A$6&lt;&gt;"",
IF(INDEX(貼り付け用!A:Z, ROW(T51)+1, MATCH("おやつ", 貼り付け用!$A$3:$Z$3, 0))&lt;&gt;0,
INDEX(貼り付け用!A:Z, ROW(T51)+1, MATCH("おやつ", 貼り付け用!$A$3:$Z$3, 0)),""),
IF(INDEX(貼り付け用!A:Z, ROW(T52)+1, MATCH("おやつ", 貼り付け用!$A$3:$Z$3, 0))&lt;&gt;0,
INDEX(貼り付け用!A:Z, ROW(T52)+1, MATCH("おやつ", 貼り付け用!$A$3:$Z$3, 0)),""))</f>
        <v>#N/A</v>
      </c>
      <c r="U52" s="16"/>
      <c r="V52" s="5" t="e">
        <f t="array" ref="V52">IF(貼り付け用!$A$6&lt;&gt;"",
IF(INDEX(貼り付け用!A:Z, ROW(T51)+1, MATCH("おやつ", 貼り付け用!$A$3:$Z$3, 0)+1)&lt;&gt;0,
INDEX(貼り付け用!A:Z, ROW(T51)+1, MATCH("おやつ", 貼り付け用!$A$3:$Z$3, 0)+1),""),
IF(INDEX(貼り付け用!A:Z, ROW(T52)+1, MATCH("おやつ", 貼り付け用!$A$3:$Z$3, 0)+1)&lt;&gt;0,
INDEX(貼り付け用!A:Z, ROW(T52)+1, MATCH("おやつ", 貼り付け用!$A$3:$Z$3, 0)+1),""))</f>
        <v>#N/A</v>
      </c>
      <c r="W52" s="7" t="e">
        <f t="array" ref="W52">IF(貼り付け用!$A$6&lt;&gt;"",
IF(INDEX(貼り付け用!A:Z, ROW(T51)+1, MATCH("おやつ", 貼り付け用!$A$3:$Z$3, 0)+2)&lt;&gt;0,
INDEX(貼り付け用!A:Z, ROW(T51)+1, MATCH("おやつ", 貼り付け用!$A$3:$Z$3, 0)+2),""),
IF(INDEX(貼り付け用!A:Z, ROW(T52)+1, MATCH("おやつ", 貼り付け用!$A$3:$Z$3, 0)+2)&lt;&gt;0,
INDEX(貼り付け用!A:Z, ROW(T52)+1, MATCH("おやつ", 貼り付け用!$A$3:$Z$3, 0)+2),""))</f>
        <v>#N/A</v>
      </c>
    </row>
    <row r="53" spans="1:23" x14ac:dyDescent="0.45">
      <c r="A53" s="10" t="e">
        <f>IF(貼り付け用!$A$6&lt;&gt;"",
IF(ROW(A52)+1&gt;=MATCH("*10000*", 貼り付け用!$A:$A, 0),"",
IF(貼り付け用!A53&lt;&gt;"",貼り付け用!A53,"")),
IF(ROW(A53)+1&gt;=MATCH("*10000*", 貼り付け用!$A:$A, 0),"",
IF(貼り付け用!A54&lt;&gt;"",貼り付け用!A54,"")))</f>
        <v>#N/A</v>
      </c>
      <c r="B53" s="3" t="e">
        <f>IF(貼り付け用!$A$6&lt;&gt;"",
IF(ROW(B52)+2&gt;=MATCH("*【合計】*", 貼り付け用!$A:$A, 0),"",
IF(貼り付け用!B53&lt;&gt;"",貼り付け用!B53,"")),
IF(ROW(B53)+2&gt;=MATCH("*【合計】*", 貼り付け用!$A:$A, 0),"",
IF(貼り付け用!B54&lt;&gt;"",貼り付け用!B54,"")))</f>
        <v>#N/A</v>
      </c>
      <c r="C53" s="3" t="e">
        <f>IF(貼り付け用!$A$6&lt;&gt;"",
IF(ROW(C52)+2&gt;=MATCH("*【合計】*", 貼り付け用!$A:$A, 0),"",
IF(貼り付け用!C53&lt;&gt;"",貼り付け用!C53,"")),
IF(ROW(C53)+2&gt;=MATCH("*【合計】*", 貼り付け用!$A:$A, 0),"",
IF(貼り付け用!C54&lt;&gt;"",貼り付け用!C54,"")))</f>
        <v>#N/A</v>
      </c>
      <c r="D53" s="3" t="e">
        <f>IF(貼り付け用!$A$6&lt;&gt;"",
IF(ROW(D52)+2&gt;=MATCH("*【合計】*", 貼り付け用!$A:$A, 0),"",
IF(貼り付け用!D53&lt;&gt;"",貼り付け用!D53,"")),
IF(ROW(D53)+2&gt;=MATCH("*【合計】*", 貼り付け用!$A:$A, 0),"",
IF(貼り付け用!D54&lt;&gt;"",貼り付け用!D54,"")))</f>
        <v>#N/A</v>
      </c>
      <c r="E53" s="3" t="e">
        <f>IF(貼り付け用!$A$6&lt;&gt;"",
IF(ROW(E52)+2&gt;=MATCH("*【合計】*", 貼り付け用!$A:$A, 0),"",
IF(貼り付け用!E53&lt;&gt;"",貼り付け用!E53,"")),
IF(ROW(E53)+2&gt;=MATCH("*【合計】*", 貼り付け用!$A:$A, 0),"",
IF(貼り付け用!E54&lt;&gt;"",貼り付け用!E54,"")))</f>
        <v>#N/A</v>
      </c>
      <c r="F53" s="3" t="e">
        <f>IF(貼り付け用!$A$6&lt;&gt;"",
IF(ROW(F52)+2&gt;=MATCH("*【合計】*", 貼り付け用!$A:$A, 0),"",
IF(貼り付け用!F53&lt;&gt;"",貼り付け用!F53,"")),
IF(ROW(F53)+2&gt;=MATCH("*【合計】*", 貼り付け用!$A:$A, 0),"",
IF(貼り付け用!F54&lt;&gt;"",貼り付け用!F54,"")))</f>
        <v>#N/A</v>
      </c>
      <c r="G53" s="3" t="e">
        <f>IF(貼り付け用!$A$6&lt;&gt;"",
IF(ROW(G52)+2&gt;=MATCH("*【合計】*", 貼り付け用!$A:$A, 0),"",
IF(貼り付け用!G53&lt;&gt;"",貼り付け用!G53,"")),
IF(ROW(G53)+2&gt;=MATCH("*【合計】*", 貼り付け用!$A:$A, 0),"",
IF(貼り付け用!G54&lt;&gt;"",貼り付け用!G54,"")))</f>
        <v>#N/A</v>
      </c>
      <c r="H53" s="3" t="e">
        <f>IF(貼り付け用!$A$6&lt;&gt;"",
IF(ROW(H52)+2&gt;=MATCH("*【合計】*", 貼り付け用!$A:$A, 0),"",
IF(貼り付け用!H53&lt;&gt;"",貼り付け用!H53,"")),
IF(ROW(H53)+2&gt;=MATCH("*【合計】*", 貼り付け用!$A:$A, 0),"",
IF(貼り付け用!H54&lt;&gt;"",貼り付け用!H54,"")))</f>
        <v>#N/A</v>
      </c>
      <c r="I53" s="3" t="e">
        <f>IF(貼り付け用!$A$6&lt;&gt;"",
IF(ROW(I52)+2&gt;=MATCH("*【合計】*", 貼り付け用!$A:$A, 0),"",
IF(貼り付け用!I53&lt;&gt;"",貼り付け用!I53,"")),
IF(ROW(I53)+2&gt;=MATCH("*【合計】*", 貼り付け用!$A:$A, 0),"",
IF(貼り付け用!I54&lt;&gt;"",貼り付け用!I54,"")))</f>
        <v>#N/A</v>
      </c>
      <c r="J53" s="3" t="e">
        <f>IF(貼り付け用!$A$6&lt;&gt;"",
IF(ROW(J52)+2&gt;=MATCH("*【合計】*", 貼り付け用!$A:$A, 0),"",
IF(貼り付け用!J53&lt;&gt;"",貼り付け用!J53,"")),
IF(ROW(J53)+2&gt;=MATCH("*【合計】*", 貼り付け用!$A:$A, 0),"",
IF(貼り付け用!J54&lt;&gt;"",貼り付け用!J54,"")))</f>
        <v>#N/A</v>
      </c>
      <c r="K53" s="3" t="e">
        <f>IF(貼り付け用!$A$6&lt;&gt;"",
IF(ROW(K52)+2&gt;=MATCH("*【合計】*", 貼り付け用!$A:$A, 0),"",
IF(貼り付け用!K53&lt;&gt;"",貼り付け用!K53,"")),
IF(ROW(K53)+2&gt;=MATCH("*【合計】*", 貼り付け用!$A:$A, 0),"",
IF(貼り付け用!K54&lt;&gt;"",貼り付け用!K54,"")))</f>
        <v>#N/A</v>
      </c>
      <c r="L53" s="3" t="e">
        <f>IF(貼り付け用!$A$6&lt;&gt;"",
IF(ROW(L52)+2&gt;=MATCH("*【合計】*", 貼り付け用!$A:$A, 0),"",
IF(L$3&lt;&gt;"",IF(貼り付け用!L53&lt;&gt;"",貼り付け用!L53,""),"")),
IF(ROW(L53)+2&gt;=MATCH("*【合計】*", 貼り付け用!$A:$A, 0),"",
IF(L$3&lt;&gt;"",IF(貼り付け用!L54&lt;&gt;"",貼り付け用!L54,""),"")))</f>
        <v>#N/A</v>
      </c>
      <c r="M53" s="3" t="e">
        <f>IF(貼り付け用!$A$6&lt;&gt;"",
IF(ROW(M52)+2&gt;=MATCH("*【合計】*", 貼り付け用!$A:$A, 0),"",
IF(M$3&lt;&gt;"",IF(貼り付け用!M53&lt;&gt;"",貼り付け用!M53,""),"")),
IF(ROW(M53)+2&gt;=MATCH("*【合計】*", 貼り付け用!$A:$A, 0),"",
IF(M$3&lt;&gt;"",IF(貼り付け用!M54&lt;&gt;"",貼り付け用!M54,""),"")))</f>
        <v>#N/A</v>
      </c>
      <c r="N53" s="3" t="e">
        <f>IF(貼り付け用!$A$6&lt;&gt;"",
IF(ROW(N52)+2&gt;=MATCH("*【合計】*", 貼り付け用!$A:$A, 0),"",
IF(N$3&lt;&gt;"",IF(貼り付け用!N53&lt;&gt;"",貼り付け用!N53,""),"")),
IF(ROW(N53)+2&gt;=MATCH("*【合計】*", 貼り付け用!$A:$A, 0),"",
IF(N$3&lt;&gt;"",IF(貼り付け用!N54&lt;&gt;"",貼り付け用!N54,""),"")))</f>
        <v>#N/A</v>
      </c>
      <c r="O53" s="3" t="e">
        <f>IF(貼り付け用!$A$6&lt;&gt;"",
IF(ROW(O52)+2&gt;=MATCH("*【合計】*", 貼り付け用!$A:$A, 0),"",
IF(O$3&lt;&gt;"",IF(貼り付け用!O53&lt;&gt;"",貼り付け用!O53,""),"")),
IF(ROW(O53)+2&gt;=MATCH("*【合計】*", 貼り付け用!$A:$A, 0),"",
IF(O$3&lt;&gt;"",IF(貼り付け用!O54&lt;&gt;"",貼り付け用!O54,""),"")))</f>
        <v>#N/A</v>
      </c>
      <c r="P53" s="3" t="e">
        <f>IF(貼り付け用!$A$6&lt;&gt;"",
IF(ROW(P52)+2&gt;=MATCH("*【合計】*", 貼り付け用!$A:$A, 0),"",
IF(P$3&lt;&gt;"",IF(貼り付け用!P53&lt;&gt;"",貼り付け用!P53,""),"")),
IF(ROW(P53)+2&gt;=MATCH("*【合計】*", 貼り付け用!$A:$A, 0),"",
IF(P$3&lt;&gt;"",IF(貼り付け用!P54&lt;&gt;"",貼り付け用!P54,""),"")))</f>
        <v>#N/A</v>
      </c>
      <c r="Q53" s="3" t="e">
        <f>IF(貼り付け用!$A$6&lt;&gt;"",
IF(ROW(Q52)+2&gt;=MATCH("*【合計】*", 貼り付け用!$A:$A, 0),"",
IF(Q$3&lt;&gt;"",IF(貼り付け用!Q53&lt;&gt;"",貼り付け用!Q53,""),"")),
IF(ROW(Q53)+2&gt;=MATCH("*【合計】*", 貼り付け用!$A:$A, 0),"",
IF(Q$3&lt;&gt;"",IF(貼り付け用!Q54&lt;&gt;"",貼り付け用!Q54,""),"")))</f>
        <v>#N/A</v>
      </c>
      <c r="R53" s="3" t="e">
        <f>IF(貼り付け用!$A$6&lt;&gt;"",
IF(ROW(R52)+2&gt;=MATCH("*【合計】*", 貼り付け用!$A:$A, 0),"",
IF(R$3&lt;&gt;"",IF(貼り付け用!R53&lt;&gt;"",貼り付け用!R53,""),"")),
IF(ROW(R53)+2&gt;=MATCH("*【合計】*", 貼り付け用!$A:$A, 0),"",
IF(R$3&lt;&gt;"",IF(貼り付け用!R54&lt;&gt;"",貼り付け用!R54,""),"")))</f>
        <v>#N/A</v>
      </c>
      <c r="S53" s="3" t="e">
        <f>IF(貼り付け用!$A$6&lt;&gt;"",
IF(ROW(S52)+2&gt;=MATCH("*【合計】*", 貼り付け用!$A:$A, 0),"",
IF(S$3&lt;&gt;"",IF(貼り付け用!S53&lt;&gt;"",貼り付け用!S53,""),"")),
IF(ROW(S53)+2&gt;=MATCH("*【合計】*", 貼り付け用!$A:$A, 0),"",
IF(S$3&lt;&gt;"",IF(貼り付け用!S54&lt;&gt;"",貼り付け用!S54,""),"")))</f>
        <v>#N/A</v>
      </c>
      <c r="T53" s="2" t="e">
        <f t="array" ref="T53">IF(貼り付け用!$A$6&lt;&gt;"",
IF(INDEX(貼り付け用!A:Z, ROW(T52)+1, MATCH("おやつ", 貼り付け用!$A$3:$Z$3, 0))&lt;&gt;0,
INDEX(貼り付け用!A:Z, ROW(T52)+1, MATCH("おやつ", 貼り付け用!$A$3:$Z$3, 0)),""),
IF(INDEX(貼り付け用!A:Z, ROW(T53)+1, MATCH("おやつ", 貼り付け用!$A$3:$Z$3, 0))&lt;&gt;0,
INDEX(貼り付け用!A:Z, ROW(T53)+1, MATCH("おやつ", 貼り付け用!$A$3:$Z$3, 0)),""))</f>
        <v>#N/A</v>
      </c>
      <c r="U53" s="52"/>
      <c r="V53" s="8" t="e">
        <f t="array" ref="V53">IF(貼り付け用!$A$6&lt;&gt;"",
IF(INDEX(貼り付け用!A:Z, ROW(T52)+1, MATCH("おやつ", 貼り付け用!$A$3:$Z$3, 0)+1)&lt;&gt;0,
INDEX(貼り付け用!A:Z, ROW(T52)+1, MATCH("おやつ", 貼り付け用!$A$3:$Z$3, 0)+1),""),
IF(INDEX(貼り付け用!A:Z, ROW(T53)+1, MATCH("おやつ", 貼り付け用!$A$3:$Z$3, 0)+1)&lt;&gt;0,
INDEX(貼り付け用!A:Z, ROW(T53)+1, MATCH("おやつ", 貼り付け用!$A$3:$Z$3, 0)+1),""))</f>
        <v>#N/A</v>
      </c>
      <c r="W53" s="9" t="e">
        <f t="array" ref="W53">IF(貼り付け用!$A$6&lt;&gt;"",
IF(INDEX(貼り付け用!A:Z, ROW(T52)+1, MATCH("おやつ", 貼り付け用!$A$3:$Z$3, 0)+2)&lt;&gt;0,
INDEX(貼り付け用!A:Z, ROW(T52)+1, MATCH("おやつ", 貼り付け用!$A$3:$Z$3, 0)+2),""),
IF(INDEX(貼り付け用!A:Z, ROW(T53)+1, MATCH("おやつ", 貼り付け用!$A$3:$Z$3, 0)+2)&lt;&gt;0,
INDEX(貼り付け用!A:Z, ROW(T53)+1, MATCH("おやつ", 貼り付け用!$A$3:$Z$3, 0)+2),""))</f>
        <v>#N/A</v>
      </c>
    </row>
    <row r="54" spans="1:23" x14ac:dyDescent="0.45">
      <c r="A54" s="4" t="e">
        <f>IF(貼り付け用!$A$6&lt;&gt;"",
IF(ROW(A53)+1&gt;=MATCH("*10000*", 貼り付け用!$A:$A, 0),
IF(COUNTIF(A52,"*10000*"),"10001",
IF(COUNTIF(A52,"*10001*"),"10002",
IF(COUNTIF(A52,"*10002*"),"",
IF(COUNTIF(A52,""),"","10000")))),
IF(貼り付け用!A54&lt;&gt;"",貼り付け用!A54,"")),
IF(ROW(A54)+1&gt;=MATCH("*10000*", 貼り付け用!$A:$A, 0),
IF(COUNTIF(A52,"*10000*"),"10001",
IF(COUNTIF(A52,"*10001*"),"10002",
IF(COUNTIF(A52,"*10002*"),"",
IF(COUNTIF(A52,""),"","10000")))),
IF(貼り付け用!A55&lt;&gt;"",貼り付け用!A55,"")))</f>
        <v>#N/A</v>
      </c>
      <c r="B54" s="19" t="e">
        <f>IF(貼り付け用!$A$6&lt;&gt;"",
IF(ROW(B53)+2&gt;=MATCH("*【合計】*", 貼り付け用!$A:$A, 0),"",
IF(貼り付け用!B54&lt;&gt;"",貼り付け用!B54,"")),
IF(ROW(B54)+2&gt;=MATCH("*【合計】*", 貼り付け用!$A:$A, 0),"",
IF(貼り付け用!B55&lt;&gt;"",貼り付け用!B55,"")))</f>
        <v>#N/A</v>
      </c>
      <c r="C54" s="19" t="e">
        <f>IF(貼り付け用!$A$6&lt;&gt;"",
IF(ROW(C53)+2&gt;=MATCH("*【合計】*", 貼り付け用!$A:$A, 0),"",
IF(貼り付け用!C54&lt;&gt;"",貼り付け用!C54,"")),
IF(ROW(C54)+2&gt;=MATCH("*【合計】*", 貼り付け用!$A:$A, 0),"",
IF(貼り付け用!C55&lt;&gt;"",貼り付け用!C55,"")))</f>
        <v>#N/A</v>
      </c>
      <c r="D54" s="19" t="e">
        <f>IF(貼り付け用!$A$6&lt;&gt;"",
IF(ROW(D53)+2&gt;=MATCH("*【合計】*", 貼り付け用!$A:$A, 0),"",
IF(貼り付け用!D54&lt;&gt;"",貼り付け用!D54,"")),
IF(ROW(D54)+2&gt;=MATCH("*【合計】*", 貼り付け用!$A:$A, 0),"",
IF(貼り付け用!D55&lt;&gt;"",貼り付け用!D55,"")))</f>
        <v>#N/A</v>
      </c>
      <c r="E54" s="19" t="e">
        <f>IF(貼り付け用!$A$6&lt;&gt;"",
IF(ROW(E53)+2&gt;=MATCH("*【合計】*", 貼り付け用!$A:$A, 0),"",
IF(貼り付け用!E54&lt;&gt;"",貼り付け用!E54,"")),
IF(ROW(E54)+2&gt;=MATCH("*【合計】*", 貼り付け用!$A:$A, 0),"",
IF(貼り付け用!E55&lt;&gt;"",貼り付け用!E55,"")))</f>
        <v>#N/A</v>
      </c>
      <c r="F54" s="19" t="e">
        <f>IF(貼り付け用!$A$6&lt;&gt;"",
IF(ROW(F53)+2&gt;=MATCH("*【合計】*", 貼り付け用!$A:$A, 0),"",
IF(貼り付け用!F54&lt;&gt;"",貼り付け用!F54,"")),
IF(ROW(F54)+2&gt;=MATCH("*【合計】*", 貼り付け用!$A:$A, 0),"",
IF(貼り付け用!F55&lt;&gt;"",貼り付け用!F55,"")))</f>
        <v>#N/A</v>
      </c>
      <c r="G54" s="19" t="e">
        <f>IF(貼り付け用!$A$6&lt;&gt;"",
IF(ROW(G53)+2&gt;=MATCH("*【合計】*", 貼り付け用!$A:$A, 0),"",
IF(貼り付け用!G54&lt;&gt;"",貼り付け用!G54,"")),
IF(ROW(G54)+2&gt;=MATCH("*【合計】*", 貼り付け用!$A:$A, 0),"",
IF(貼り付け用!G55&lt;&gt;"",貼り付け用!G55,"")))</f>
        <v>#N/A</v>
      </c>
      <c r="H54" s="19" t="e">
        <f>IF(貼り付け用!$A$6&lt;&gt;"",
IF(ROW(H53)+2&gt;=MATCH("*【合計】*", 貼り付け用!$A:$A, 0),"",
IF(貼り付け用!H54&lt;&gt;"",貼り付け用!H54,"")),
IF(ROW(H54)+2&gt;=MATCH("*【合計】*", 貼り付け用!$A:$A, 0),"",
IF(貼り付け用!H55&lt;&gt;"",貼り付け用!H55,"")))</f>
        <v>#N/A</v>
      </c>
      <c r="I54" s="19" t="e">
        <f>IF(貼り付け用!$A$6&lt;&gt;"",
IF(ROW(I53)+2&gt;=MATCH("*【合計】*", 貼り付け用!$A:$A, 0),"",
IF(貼り付け用!I54&lt;&gt;"",貼り付け用!I54,"")),
IF(ROW(I54)+2&gt;=MATCH("*【合計】*", 貼り付け用!$A:$A, 0),"",
IF(貼り付け用!I55&lt;&gt;"",貼り付け用!I55,"")))</f>
        <v>#N/A</v>
      </c>
      <c r="J54" s="19" t="e">
        <f>IF(貼り付け用!$A$6&lt;&gt;"",
IF(ROW(J53)+2&gt;=MATCH("*【合計】*", 貼り付け用!$A:$A, 0),"",
IF(貼り付け用!J54&lt;&gt;"",貼り付け用!J54,"")),
IF(ROW(J54)+2&gt;=MATCH("*【合計】*", 貼り付け用!$A:$A, 0),"",
IF(貼り付け用!J55&lt;&gt;"",貼り付け用!J55,"")))</f>
        <v>#N/A</v>
      </c>
      <c r="K54" s="19" t="e">
        <f>IF(貼り付け用!$A$6&lt;&gt;"",
IF(ROW(K53)+2&gt;=MATCH("*【合計】*", 貼り付け用!$A:$A, 0),"",
IF(貼り付け用!K54&lt;&gt;"",貼り付け用!K54,"")),
IF(ROW(K54)+2&gt;=MATCH("*【合計】*", 貼り付け用!$A:$A, 0),"",
IF(貼り付け用!K55&lt;&gt;"",貼り付け用!K55,"")))</f>
        <v>#N/A</v>
      </c>
      <c r="L54" s="19" t="e">
        <f>IF(貼り付け用!$A$6&lt;&gt;"",
IF(ROW(L53)+2&gt;=MATCH("*【合計】*", 貼り付け用!$A:$A, 0),"",
IF(L$3&lt;&gt;"",IF(貼り付け用!L54&lt;&gt;"",貼り付け用!L54,""),"")),
IF(ROW(L54)+2&gt;=MATCH("*【合計】*", 貼り付け用!$A:$A, 0),"",
IF(L$3&lt;&gt;"",IF(貼り付け用!L55&lt;&gt;"",貼り付け用!L55,""),"")))</f>
        <v>#N/A</v>
      </c>
      <c r="M54" s="19" t="e">
        <f>IF(貼り付け用!$A$6&lt;&gt;"",
IF(ROW(M53)+2&gt;=MATCH("*【合計】*", 貼り付け用!$A:$A, 0),"",
IF(M$3&lt;&gt;"",IF(貼り付け用!M54&lt;&gt;"",貼り付け用!M54,""),"")),
IF(ROW(M54)+2&gt;=MATCH("*【合計】*", 貼り付け用!$A:$A, 0),"",
IF(M$3&lt;&gt;"",IF(貼り付け用!M55&lt;&gt;"",貼り付け用!M55,""),"")))</f>
        <v>#N/A</v>
      </c>
      <c r="N54" s="19" t="e">
        <f>IF(貼り付け用!$A$6&lt;&gt;"",
IF(ROW(N53)+2&gt;=MATCH("*【合計】*", 貼り付け用!$A:$A, 0),"",
IF(N$3&lt;&gt;"",IF(貼り付け用!N54&lt;&gt;"",貼り付け用!N54,""),"")),
IF(ROW(N54)+2&gt;=MATCH("*【合計】*", 貼り付け用!$A:$A, 0),"",
IF(N$3&lt;&gt;"",IF(貼り付け用!N55&lt;&gt;"",貼り付け用!N55,""),"")))</f>
        <v>#N/A</v>
      </c>
      <c r="O54" s="19" t="e">
        <f>IF(貼り付け用!$A$6&lt;&gt;"",
IF(ROW(O53)+2&gt;=MATCH("*【合計】*", 貼り付け用!$A:$A, 0),"",
IF(O$3&lt;&gt;"",IF(貼り付け用!O54&lt;&gt;"",貼り付け用!O54,""),"")),
IF(ROW(O54)+2&gt;=MATCH("*【合計】*", 貼り付け用!$A:$A, 0),"",
IF(O$3&lt;&gt;"",IF(貼り付け用!O55&lt;&gt;"",貼り付け用!O55,""),"")))</f>
        <v>#N/A</v>
      </c>
      <c r="P54" s="19" t="e">
        <f>IF(貼り付け用!$A$6&lt;&gt;"",
IF(ROW(P53)+2&gt;=MATCH("*【合計】*", 貼り付け用!$A:$A, 0),"",
IF(P$3&lt;&gt;"",IF(貼り付け用!P54&lt;&gt;"",貼り付け用!P54,""),"")),
IF(ROW(P54)+2&gt;=MATCH("*【合計】*", 貼り付け用!$A:$A, 0),"",
IF(P$3&lt;&gt;"",IF(貼り付け用!P55&lt;&gt;"",貼り付け用!P55,""),"")))</f>
        <v>#N/A</v>
      </c>
      <c r="Q54" s="19" t="e">
        <f>IF(貼り付け用!$A$6&lt;&gt;"",
IF(ROW(Q53)+2&gt;=MATCH("*【合計】*", 貼り付け用!$A:$A, 0),"",
IF(Q$3&lt;&gt;"",IF(貼り付け用!Q54&lt;&gt;"",貼り付け用!Q54,""),"")),
IF(ROW(Q54)+2&gt;=MATCH("*【合計】*", 貼り付け用!$A:$A, 0),"",
IF(Q$3&lt;&gt;"",IF(貼り付け用!Q55&lt;&gt;"",貼り付け用!Q55,""),"")))</f>
        <v>#N/A</v>
      </c>
      <c r="R54" s="19" t="e">
        <f>IF(貼り付け用!$A$6&lt;&gt;"",
IF(ROW(R53)+2&gt;=MATCH("*【合計】*", 貼り付け用!$A:$A, 0),"",
IF(R$3&lt;&gt;"",IF(貼り付け用!R54&lt;&gt;"",貼り付け用!R54,""),"")),
IF(ROW(R54)+2&gt;=MATCH("*【合計】*", 貼り付け用!$A:$A, 0),"",
IF(R$3&lt;&gt;"",IF(貼り付け用!R55&lt;&gt;"",貼り付け用!R55,""),"")))</f>
        <v>#N/A</v>
      </c>
      <c r="S54" s="19" t="e">
        <f>IF(貼り付け用!$A$6&lt;&gt;"",
IF(ROW(S53)+2&gt;=MATCH("*【合計】*", 貼り付け用!$A:$A, 0),"",
IF(S$3&lt;&gt;"",IF(貼り付け用!S54&lt;&gt;"",貼り付け用!S54,""),"")),
IF(ROW(S54)+2&gt;=MATCH("*【合計】*", 貼り付け用!$A:$A, 0),"",
IF(S$3&lt;&gt;"",IF(貼り付け用!S55&lt;&gt;"",貼り付け用!S55,""),"")))</f>
        <v>#N/A</v>
      </c>
      <c r="T54" s="19" t="e">
        <f t="array" ref="T54">IF(貼り付け用!$A$6&lt;&gt;"",
IF(INDEX(貼り付け用!A:Z, ROW(T53)+1, MATCH("おやつ", 貼り付け用!$A$3:$Z$3, 0))&lt;&gt;0,
INDEX(貼り付け用!A:Z, ROW(T53)+1, MATCH("おやつ", 貼り付け用!$A$3:$Z$3, 0)),""),
IF(INDEX(貼り付け用!A:Z, ROW(T54)+1, MATCH("おやつ", 貼り付け用!$A$3:$Z$3, 0))&lt;&gt;0,
INDEX(貼り付け用!A:Z, ROW(T54)+1, MATCH("おやつ", 貼り付け用!$A$3:$Z$3, 0)),""))</f>
        <v>#N/A</v>
      </c>
      <c r="U54" s="16"/>
      <c r="V54" s="5" t="e">
        <f t="array" ref="V54">IF(貼り付け用!$A$6&lt;&gt;"",
IF(INDEX(貼り付け用!A:Z, ROW(T53)+1, MATCH("おやつ", 貼り付け用!$A$3:$Z$3, 0)+1)&lt;&gt;0,
INDEX(貼り付け用!A:Z, ROW(T53)+1, MATCH("おやつ", 貼り付け用!$A$3:$Z$3, 0)+1),""),
IF(INDEX(貼り付け用!A:Z, ROW(T54)+1, MATCH("おやつ", 貼り付け用!$A$3:$Z$3, 0)+1)&lt;&gt;0,
INDEX(貼り付け用!A:Z, ROW(T54)+1, MATCH("おやつ", 貼り付け用!$A$3:$Z$3, 0)+1),""))</f>
        <v>#N/A</v>
      </c>
      <c r="W54" s="7" t="e">
        <f t="array" ref="W54">IF(貼り付け用!$A$6&lt;&gt;"",
IF(INDEX(貼り付け用!A:Z, ROW(T53)+1, MATCH("おやつ", 貼り付け用!$A$3:$Z$3, 0)+2)&lt;&gt;0,
INDEX(貼り付け用!A:Z, ROW(T53)+1, MATCH("おやつ", 貼り付け用!$A$3:$Z$3, 0)+2),""),
IF(INDEX(貼り付け用!A:Z, ROW(T54)+1, MATCH("おやつ", 貼り付け用!$A$3:$Z$3, 0)+2)&lt;&gt;0,
INDEX(貼り付け用!A:Z, ROW(T54)+1, MATCH("おやつ", 貼り付け用!$A$3:$Z$3, 0)+2),""))</f>
        <v>#N/A</v>
      </c>
    </row>
    <row r="55" spans="1:23" x14ac:dyDescent="0.45">
      <c r="A55" s="10" t="e">
        <f>IF(貼り付け用!$A$6&lt;&gt;"",
IF(ROW(A54)+1&gt;=MATCH("*10000*", 貼り付け用!$A:$A, 0),"",
IF(貼り付け用!A55&lt;&gt;"",貼り付け用!A55,"")),
IF(ROW(A55)+1&gt;=MATCH("*10000*", 貼り付け用!$A:$A, 0),"",
IF(貼り付け用!A56&lt;&gt;"",貼り付け用!A56,"")))</f>
        <v>#N/A</v>
      </c>
      <c r="B55" s="3" t="e">
        <f>IF(貼り付け用!$A$6&lt;&gt;"",
IF(ROW(B54)+2&gt;=MATCH("*【合計】*", 貼り付け用!$A:$A, 0),"",
IF(貼り付け用!B55&lt;&gt;"",貼り付け用!B55,"")),
IF(ROW(B55)+2&gt;=MATCH("*【合計】*", 貼り付け用!$A:$A, 0),"",
IF(貼り付け用!B56&lt;&gt;"",貼り付け用!B56,"")))</f>
        <v>#N/A</v>
      </c>
      <c r="C55" s="3" t="e">
        <f>IF(貼り付け用!$A$6&lt;&gt;"",
IF(ROW(C54)+2&gt;=MATCH("*【合計】*", 貼り付け用!$A:$A, 0),"",
IF(貼り付け用!C55&lt;&gt;"",貼り付け用!C55,"")),
IF(ROW(C55)+2&gt;=MATCH("*【合計】*", 貼り付け用!$A:$A, 0),"",
IF(貼り付け用!C56&lt;&gt;"",貼り付け用!C56,"")))</f>
        <v>#N/A</v>
      </c>
      <c r="D55" s="3" t="e">
        <f>IF(貼り付け用!$A$6&lt;&gt;"",
IF(ROW(D54)+2&gt;=MATCH("*【合計】*", 貼り付け用!$A:$A, 0),"",
IF(貼り付け用!D55&lt;&gt;"",貼り付け用!D55,"")),
IF(ROW(D55)+2&gt;=MATCH("*【合計】*", 貼り付け用!$A:$A, 0),"",
IF(貼り付け用!D56&lt;&gt;"",貼り付け用!D56,"")))</f>
        <v>#N/A</v>
      </c>
      <c r="E55" s="3" t="e">
        <f>IF(貼り付け用!$A$6&lt;&gt;"",
IF(ROW(E54)+2&gt;=MATCH("*【合計】*", 貼り付け用!$A:$A, 0),"",
IF(貼り付け用!E55&lt;&gt;"",貼り付け用!E55,"")),
IF(ROW(E55)+2&gt;=MATCH("*【合計】*", 貼り付け用!$A:$A, 0),"",
IF(貼り付け用!E56&lt;&gt;"",貼り付け用!E56,"")))</f>
        <v>#N/A</v>
      </c>
      <c r="F55" s="3" t="e">
        <f>IF(貼り付け用!$A$6&lt;&gt;"",
IF(ROW(F54)+2&gt;=MATCH("*【合計】*", 貼り付け用!$A:$A, 0),"",
IF(貼り付け用!F55&lt;&gt;"",貼り付け用!F55,"")),
IF(ROW(F55)+2&gt;=MATCH("*【合計】*", 貼り付け用!$A:$A, 0),"",
IF(貼り付け用!F56&lt;&gt;"",貼り付け用!F56,"")))</f>
        <v>#N/A</v>
      </c>
      <c r="G55" s="3" t="e">
        <f>IF(貼り付け用!$A$6&lt;&gt;"",
IF(ROW(G54)+2&gt;=MATCH("*【合計】*", 貼り付け用!$A:$A, 0),"",
IF(貼り付け用!G55&lt;&gt;"",貼り付け用!G55,"")),
IF(ROW(G55)+2&gt;=MATCH("*【合計】*", 貼り付け用!$A:$A, 0),"",
IF(貼り付け用!G56&lt;&gt;"",貼り付け用!G56,"")))</f>
        <v>#N/A</v>
      </c>
      <c r="H55" s="3" t="e">
        <f>IF(貼り付け用!$A$6&lt;&gt;"",
IF(ROW(H54)+2&gt;=MATCH("*【合計】*", 貼り付け用!$A:$A, 0),"",
IF(貼り付け用!H55&lt;&gt;"",貼り付け用!H55,"")),
IF(ROW(H55)+2&gt;=MATCH("*【合計】*", 貼り付け用!$A:$A, 0),"",
IF(貼り付け用!H56&lt;&gt;"",貼り付け用!H56,"")))</f>
        <v>#N/A</v>
      </c>
      <c r="I55" s="3" t="e">
        <f>IF(貼り付け用!$A$6&lt;&gt;"",
IF(ROW(I54)+2&gt;=MATCH("*【合計】*", 貼り付け用!$A:$A, 0),"",
IF(貼り付け用!I55&lt;&gt;"",貼り付け用!I55,"")),
IF(ROW(I55)+2&gt;=MATCH("*【合計】*", 貼り付け用!$A:$A, 0),"",
IF(貼り付け用!I56&lt;&gt;"",貼り付け用!I56,"")))</f>
        <v>#N/A</v>
      </c>
      <c r="J55" s="3" t="e">
        <f>IF(貼り付け用!$A$6&lt;&gt;"",
IF(ROW(J54)+2&gt;=MATCH("*【合計】*", 貼り付け用!$A:$A, 0),"",
IF(貼り付け用!J55&lt;&gt;"",貼り付け用!J55,"")),
IF(ROW(J55)+2&gt;=MATCH("*【合計】*", 貼り付け用!$A:$A, 0),"",
IF(貼り付け用!J56&lt;&gt;"",貼り付け用!J56,"")))</f>
        <v>#N/A</v>
      </c>
      <c r="K55" s="3" t="e">
        <f>IF(貼り付け用!$A$6&lt;&gt;"",
IF(ROW(K54)+2&gt;=MATCH("*【合計】*", 貼り付け用!$A:$A, 0),"",
IF(貼り付け用!K55&lt;&gt;"",貼り付け用!K55,"")),
IF(ROW(K55)+2&gt;=MATCH("*【合計】*", 貼り付け用!$A:$A, 0),"",
IF(貼り付け用!K56&lt;&gt;"",貼り付け用!K56,"")))</f>
        <v>#N/A</v>
      </c>
      <c r="L55" s="3" t="e">
        <f>IF(貼り付け用!$A$6&lt;&gt;"",
IF(ROW(L54)+2&gt;=MATCH("*【合計】*", 貼り付け用!$A:$A, 0),"",
IF(L$3&lt;&gt;"",IF(貼り付け用!L55&lt;&gt;"",貼り付け用!L55,""),"")),
IF(ROW(L55)+2&gt;=MATCH("*【合計】*", 貼り付け用!$A:$A, 0),"",
IF(L$3&lt;&gt;"",IF(貼り付け用!L56&lt;&gt;"",貼り付け用!L56,""),"")))</f>
        <v>#N/A</v>
      </c>
      <c r="M55" s="3" t="e">
        <f>IF(貼り付け用!$A$6&lt;&gt;"",
IF(ROW(M54)+2&gt;=MATCH("*【合計】*", 貼り付け用!$A:$A, 0),"",
IF(M$3&lt;&gt;"",IF(貼り付け用!M55&lt;&gt;"",貼り付け用!M55,""),"")),
IF(ROW(M55)+2&gt;=MATCH("*【合計】*", 貼り付け用!$A:$A, 0),"",
IF(M$3&lt;&gt;"",IF(貼り付け用!M56&lt;&gt;"",貼り付け用!M56,""),"")))</f>
        <v>#N/A</v>
      </c>
      <c r="N55" s="3" t="e">
        <f>IF(貼り付け用!$A$6&lt;&gt;"",
IF(ROW(N54)+2&gt;=MATCH("*【合計】*", 貼り付け用!$A:$A, 0),"",
IF(N$3&lt;&gt;"",IF(貼り付け用!N55&lt;&gt;"",貼り付け用!N55,""),"")),
IF(ROW(N55)+2&gt;=MATCH("*【合計】*", 貼り付け用!$A:$A, 0),"",
IF(N$3&lt;&gt;"",IF(貼り付け用!N56&lt;&gt;"",貼り付け用!N56,""),"")))</f>
        <v>#N/A</v>
      </c>
      <c r="O55" s="3" t="e">
        <f>IF(貼り付け用!$A$6&lt;&gt;"",
IF(ROW(O54)+2&gt;=MATCH("*【合計】*", 貼り付け用!$A:$A, 0),"",
IF(O$3&lt;&gt;"",IF(貼り付け用!O55&lt;&gt;"",貼り付け用!O55,""),"")),
IF(ROW(O55)+2&gt;=MATCH("*【合計】*", 貼り付け用!$A:$A, 0),"",
IF(O$3&lt;&gt;"",IF(貼り付け用!O56&lt;&gt;"",貼り付け用!O56,""),"")))</f>
        <v>#N/A</v>
      </c>
      <c r="P55" s="3" t="e">
        <f>IF(貼り付け用!$A$6&lt;&gt;"",
IF(ROW(P54)+2&gt;=MATCH("*【合計】*", 貼り付け用!$A:$A, 0),"",
IF(P$3&lt;&gt;"",IF(貼り付け用!P55&lt;&gt;"",貼り付け用!P55,""),"")),
IF(ROW(P55)+2&gt;=MATCH("*【合計】*", 貼り付け用!$A:$A, 0),"",
IF(P$3&lt;&gt;"",IF(貼り付け用!P56&lt;&gt;"",貼り付け用!P56,""),"")))</f>
        <v>#N/A</v>
      </c>
      <c r="Q55" s="3" t="e">
        <f>IF(貼り付け用!$A$6&lt;&gt;"",
IF(ROW(Q54)+2&gt;=MATCH("*【合計】*", 貼り付け用!$A:$A, 0),"",
IF(Q$3&lt;&gt;"",IF(貼り付け用!Q55&lt;&gt;"",貼り付け用!Q55,""),"")),
IF(ROW(Q55)+2&gt;=MATCH("*【合計】*", 貼り付け用!$A:$A, 0),"",
IF(Q$3&lt;&gt;"",IF(貼り付け用!Q56&lt;&gt;"",貼り付け用!Q56,""),"")))</f>
        <v>#N/A</v>
      </c>
      <c r="R55" s="3" t="e">
        <f>IF(貼り付け用!$A$6&lt;&gt;"",
IF(ROW(R54)+2&gt;=MATCH("*【合計】*", 貼り付け用!$A:$A, 0),"",
IF(R$3&lt;&gt;"",IF(貼り付け用!R55&lt;&gt;"",貼り付け用!R55,""),"")),
IF(ROW(R55)+2&gt;=MATCH("*【合計】*", 貼り付け用!$A:$A, 0),"",
IF(R$3&lt;&gt;"",IF(貼り付け用!R56&lt;&gt;"",貼り付け用!R56,""),"")))</f>
        <v>#N/A</v>
      </c>
      <c r="S55" s="3" t="e">
        <f>IF(貼り付け用!$A$6&lt;&gt;"",
IF(ROW(S54)+2&gt;=MATCH("*【合計】*", 貼り付け用!$A:$A, 0),"",
IF(S$3&lt;&gt;"",IF(貼り付け用!S55&lt;&gt;"",貼り付け用!S55,""),"")),
IF(ROW(S55)+2&gt;=MATCH("*【合計】*", 貼り付け用!$A:$A, 0),"",
IF(S$3&lt;&gt;"",IF(貼り付け用!S56&lt;&gt;"",貼り付け用!S56,""),"")))</f>
        <v>#N/A</v>
      </c>
      <c r="T55" s="2" t="e">
        <f t="array" ref="T55">IF(貼り付け用!$A$6&lt;&gt;"",
IF(INDEX(貼り付け用!A:Z, ROW(T54)+1, MATCH("おやつ", 貼り付け用!$A$3:$Z$3, 0))&lt;&gt;0,
INDEX(貼り付け用!A:Z, ROW(T54)+1, MATCH("おやつ", 貼り付け用!$A$3:$Z$3, 0)),""),
IF(INDEX(貼り付け用!A:Z, ROW(T55)+1, MATCH("おやつ", 貼り付け用!$A$3:$Z$3, 0))&lt;&gt;0,
INDEX(貼り付け用!A:Z, ROW(T55)+1, MATCH("おやつ", 貼り付け用!$A$3:$Z$3, 0)),""))</f>
        <v>#N/A</v>
      </c>
      <c r="U55" s="52"/>
      <c r="V55" s="8" t="e">
        <f t="array" ref="V55">IF(貼り付け用!$A$6&lt;&gt;"",
IF(INDEX(貼り付け用!A:Z, ROW(T54)+1, MATCH("おやつ", 貼り付け用!$A$3:$Z$3, 0)+1)&lt;&gt;0,
INDEX(貼り付け用!A:Z, ROW(T54)+1, MATCH("おやつ", 貼り付け用!$A$3:$Z$3, 0)+1),""),
IF(INDEX(貼り付け用!A:Z, ROW(T55)+1, MATCH("おやつ", 貼り付け用!$A$3:$Z$3, 0)+1)&lt;&gt;0,
INDEX(貼り付け用!A:Z, ROW(T55)+1, MATCH("おやつ", 貼り付け用!$A$3:$Z$3, 0)+1),""))</f>
        <v>#N/A</v>
      </c>
      <c r="W55" s="9" t="e">
        <f t="array" ref="W55">IF(貼り付け用!$A$6&lt;&gt;"",
IF(INDEX(貼り付け用!A:Z, ROW(T54)+1, MATCH("おやつ", 貼り付け用!$A$3:$Z$3, 0)+2)&lt;&gt;0,
INDEX(貼り付け用!A:Z, ROW(T54)+1, MATCH("おやつ", 貼り付け用!$A$3:$Z$3, 0)+2),""),
IF(INDEX(貼り付け用!A:Z, ROW(T55)+1, MATCH("おやつ", 貼り付け用!$A$3:$Z$3, 0)+2)&lt;&gt;0,
INDEX(貼り付け用!A:Z, ROW(T55)+1, MATCH("おやつ", 貼り付け用!$A$3:$Z$3, 0)+2),""))</f>
        <v>#N/A</v>
      </c>
    </row>
    <row r="56" spans="1:23" x14ac:dyDescent="0.45">
      <c r="A56" s="4" t="e">
        <f>IF(貼り付け用!$A$6&lt;&gt;"",
IF(ROW(A55)+1&gt;=MATCH("*10000*", 貼り付け用!$A:$A, 0),
IF(COUNTIF(A54,"*10000*"),"10001",
IF(COUNTIF(A54,"*10001*"),"10002",
IF(COUNTIF(A54,"*10002*"),"",
IF(COUNTIF(A54,""),"","10000")))),
IF(貼り付け用!A56&lt;&gt;"",貼り付け用!A56,"")),
IF(ROW(A56)+1&gt;=MATCH("*10000*", 貼り付け用!$A:$A, 0),
IF(COUNTIF(A54,"*10000*"),"10001",
IF(COUNTIF(A54,"*10001*"),"10002",
IF(COUNTIF(A54,"*10002*"),"",
IF(COUNTIF(A54,""),"","10000")))),
IF(貼り付け用!A57&lt;&gt;"",貼り付け用!A57,"")))</f>
        <v>#N/A</v>
      </c>
      <c r="B56" s="19" t="e">
        <f>IF(貼り付け用!$A$6&lt;&gt;"",
IF(ROW(B55)+2&gt;=MATCH("*【合計】*", 貼り付け用!$A:$A, 0),"",
IF(貼り付け用!B56&lt;&gt;"",貼り付け用!B56,"")),
IF(ROW(B56)+2&gt;=MATCH("*【合計】*", 貼り付け用!$A:$A, 0),"",
IF(貼り付け用!B57&lt;&gt;"",貼り付け用!B57,"")))</f>
        <v>#N/A</v>
      </c>
      <c r="C56" s="19" t="e">
        <f>IF(貼り付け用!$A$6&lt;&gt;"",
IF(ROW(C55)+2&gt;=MATCH("*【合計】*", 貼り付け用!$A:$A, 0),"",
IF(貼り付け用!C56&lt;&gt;"",貼り付け用!C56,"")),
IF(ROW(C56)+2&gt;=MATCH("*【合計】*", 貼り付け用!$A:$A, 0),"",
IF(貼り付け用!C57&lt;&gt;"",貼り付け用!C57,"")))</f>
        <v>#N/A</v>
      </c>
      <c r="D56" s="19" t="e">
        <f>IF(貼り付け用!$A$6&lt;&gt;"",
IF(ROW(D55)+2&gt;=MATCH("*【合計】*", 貼り付け用!$A:$A, 0),"",
IF(貼り付け用!D56&lt;&gt;"",貼り付け用!D56,"")),
IF(ROW(D56)+2&gt;=MATCH("*【合計】*", 貼り付け用!$A:$A, 0),"",
IF(貼り付け用!D57&lt;&gt;"",貼り付け用!D57,"")))</f>
        <v>#N/A</v>
      </c>
      <c r="E56" s="19" t="e">
        <f>IF(貼り付け用!$A$6&lt;&gt;"",
IF(ROW(E55)+2&gt;=MATCH("*【合計】*", 貼り付け用!$A:$A, 0),"",
IF(貼り付け用!E56&lt;&gt;"",貼り付け用!E56,"")),
IF(ROW(E56)+2&gt;=MATCH("*【合計】*", 貼り付け用!$A:$A, 0),"",
IF(貼り付け用!E57&lt;&gt;"",貼り付け用!E57,"")))</f>
        <v>#N/A</v>
      </c>
      <c r="F56" s="19" t="e">
        <f>IF(貼り付け用!$A$6&lt;&gt;"",
IF(ROW(F55)+2&gt;=MATCH("*【合計】*", 貼り付け用!$A:$A, 0),"",
IF(貼り付け用!F56&lt;&gt;"",貼り付け用!F56,"")),
IF(ROW(F56)+2&gt;=MATCH("*【合計】*", 貼り付け用!$A:$A, 0),"",
IF(貼り付け用!F57&lt;&gt;"",貼り付け用!F57,"")))</f>
        <v>#N/A</v>
      </c>
      <c r="G56" s="19" t="e">
        <f>IF(貼り付け用!$A$6&lt;&gt;"",
IF(ROW(G55)+2&gt;=MATCH("*【合計】*", 貼り付け用!$A:$A, 0),"",
IF(貼り付け用!G56&lt;&gt;"",貼り付け用!G56,"")),
IF(ROW(G56)+2&gt;=MATCH("*【合計】*", 貼り付け用!$A:$A, 0),"",
IF(貼り付け用!G57&lt;&gt;"",貼り付け用!G57,"")))</f>
        <v>#N/A</v>
      </c>
      <c r="H56" s="19" t="e">
        <f>IF(貼り付け用!$A$6&lt;&gt;"",
IF(ROW(H55)+2&gt;=MATCH("*【合計】*", 貼り付け用!$A:$A, 0),"",
IF(貼り付け用!H56&lt;&gt;"",貼り付け用!H56,"")),
IF(ROW(H56)+2&gt;=MATCH("*【合計】*", 貼り付け用!$A:$A, 0),"",
IF(貼り付け用!H57&lt;&gt;"",貼り付け用!H57,"")))</f>
        <v>#N/A</v>
      </c>
      <c r="I56" s="19" t="e">
        <f>IF(貼り付け用!$A$6&lt;&gt;"",
IF(ROW(I55)+2&gt;=MATCH("*【合計】*", 貼り付け用!$A:$A, 0),"",
IF(貼り付け用!I56&lt;&gt;"",貼り付け用!I56,"")),
IF(ROW(I56)+2&gt;=MATCH("*【合計】*", 貼り付け用!$A:$A, 0),"",
IF(貼り付け用!I57&lt;&gt;"",貼り付け用!I57,"")))</f>
        <v>#N/A</v>
      </c>
      <c r="J56" s="19" t="e">
        <f>IF(貼り付け用!$A$6&lt;&gt;"",
IF(ROW(J55)+2&gt;=MATCH("*【合計】*", 貼り付け用!$A:$A, 0),"",
IF(貼り付け用!J56&lt;&gt;"",貼り付け用!J56,"")),
IF(ROW(J56)+2&gt;=MATCH("*【合計】*", 貼り付け用!$A:$A, 0),"",
IF(貼り付け用!J57&lt;&gt;"",貼り付け用!J57,"")))</f>
        <v>#N/A</v>
      </c>
      <c r="K56" s="19" t="e">
        <f>IF(貼り付け用!$A$6&lt;&gt;"",
IF(ROW(K55)+2&gt;=MATCH("*【合計】*", 貼り付け用!$A:$A, 0),"",
IF(貼り付け用!K56&lt;&gt;"",貼り付け用!K56,"")),
IF(ROW(K56)+2&gt;=MATCH("*【合計】*", 貼り付け用!$A:$A, 0),"",
IF(貼り付け用!K57&lt;&gt;"",貼り付け用!K57,"")))</f>
        <v>#N/A</v>
      </c>
      <c r="L56" s="19" t="e">
        <f>IF(貼り付け用!$A$6&lt;&gt;"",
IF(ROW(L55)+2&gt;=MATCH("*【合計】*", 貼り付け用!$A:$A, 0),"",
IF(L$3&lt;&gt;"",IF(貼り付け用!L56&lt;&gt;"",貼り付け用!L56,""),"")),
IF(ROW(L56)+2&gt;=MATCH("*【合計】*", 貼り付け用!$A:$A, 0),"",
IF(L$3&lt;&gt;"",IF(貼り付け用!L57&lt;&gt;"",貼り付け用!L57,""),"")))</f>
        <v>#N/A</v>
      </c>
      <c r="M56" s="19" t="e">
        <f>IF(貼り付け用!$A$6&lt;&gt;"",
IF(ROW(M55)+2&gt;=MATCH("*【合計】*", 貼り付け用!$A:$A, 0),"",
IF(M$3&lt;&gt;"",IF(貼り付け用!M56&lt;&gt;"",貼り付け用!M56,""),"")),
IF(ROW(M56)+2&gt;=MATCH("*【合計】*", 貼り付け用!$A:$A, 0),"",
IF(M$3&lt;&gt;"",IF(貼り付け用!M57&lt;&gt;"",貼り付け用!M57,""),"")))</f>
        <v>#N/A</v>
      </c>
      <c r="N56" s="19" t="e">
        <f>IF(貼り付け用!$A$6&lt;&gt;"",
IF(ROW(N55)+2&gt;=MATCH("*【合計】*", 貼り付け用!$A:$A, 0),"",
IF(N$3&lt;&gt;"",IF(貼り付け用!N56&lt;&gt;"",貼り付け用!N56,""),"")),
IF(ROW(N56)+2&gt;=MATCH("*【合計】*", 貼り付け用!$A:$A, 0),"",
IF(N$3&lt;&gt;"",IF(貼り付け用!N57&lt;&gt;"",貼り付け用!N57,""),"")))</f>
        <v>#N/A</v>
      </c>
      <c r="O56" s="19" t="e">
        <f>IF(貼り付け用!$A$6&lt;&gt;"",
IF(ROW(O55)+2&gt;=MATCH("*【合計】*", 貼り付け用!$A:$A, 0),"",
IF(O$3&lt;&gt;"",IF(貼り付け用!O56&lt;&gt;"",貼り付け用!O56,""),"")),
IF(ROW(O56)+2&gt;=MATCH("*【合計】*", 貼り付け用!$A:$A, 0),"",
IF(O$3&lt;&gt;"",IF(貼り付け用!O57&lt;&gt;"",貼り付け用!O57,""),"")))</f>
        <v>#N/A</v>
      </c>
      <c r="P56" s="19" t="e">
        <f>IF(貼り付け用!$A$6&lt;&gt;"",
IF(ROW(P55)+2&gt;=MATCH("*【合計】*", 貼り付け用!$A:$A, 0),"",
IF(P$3&lt;&gt;"",IF(貼り付け用!P56&lt;&gt;"",貼り付け用!P56,""),"")),
IF(ROW(P56)+2&gt;=MATCH("*【合計】*", 貼り付け用!$A:$A, 0),"",
IF(P$3&lt;&gt;"",IF(貼り付け用!P57&lt;&gt;"",貼り付け用!P57,""),"")))</f>
        <v>#N/A</v>
      </c>
      <c r="Q56" s="19" t="e">
        <f>IF(貼り付け用!$A$6&lt;&gt;"",
IF(ROW(Q55)+2&gt;=MATCH("*【合計】*", 貼り付け用!$A:$A, 0),"",
IF(Q$3&lt;&gt;"",IF(貼り付け用!Q56&lt;&gt;"",貼り付け用!Q56,""),"")),
IF(ROW(Q56)+2&gt;=MATCH("*【合計】*", 貼り付け用!$A:$A, 0),"",
IF(Q$3&lt;&gt;"",IF(貼り付け用!Q57&lt;&gt;"",貼り付け用!Q57,""),"")))</f>
        <v>#N/A</v>
      </c>
      <c r="R56" s="19" t="e">
        <f>IF(貼り付け用!$A$6&lt;&gt;"",
IF(ROW(R55)+2&gt;=MATCH("*【合計】*", 貼り付け用!$A:$A, 0),"",
IF(R$3&lt;&gt;"",IF(貼り付け用!R56&lt;&gt;"",貼り付け用!R56,""),"")),
IF(ROW(R56)+2&gt;=MATCH("*【合計】*", 貼り付け用!$A:$A, 0),"",
IF(R$3&lt;&gt;"",IF(貼り付け用!R57&lt;&gt;"",貼り付け用!R57,""),"")))</f>
        <v>#N/A</v>
      </c>
      <c r="S56" s="19" t="e">
        <f>IF(貼り付け用!$A$6&lt;&gt;"",
IF(ROW(S55)+2&gt;=MATCH("*【合計】*", 貼り付け用!$A:$A, 0),"",
IF(S$3&lt;&gt;"",IF(貼り付け用!S56&lt;&gt;"",貼り付け用!S56,""),"")),
IF(ROW(S56)+2&gt;=MATCH("*【合計】*", 貼り付け用!$A:$A, 0),"",
IF(S$3&lt;&gt;"",IF(貼り付け用!S57&lt;&gt;"",貼り付け用!S57,""),"")))</f>
        <v>#N/A</v>
      </c>
      <c r="T56" s="19" t="e">
        <f t="array" ref="T56">IF(貼り付け用!$A$6&lt;&gt;"",
IF(INDEX(貼り付け用!A:Z, ROW(T55)+1, MATCH("おやつ", 貼り付け用!$A$3:$Z$3, 0))&lt;&gt;0,
INDEX(貼り付け用!A:Z, ROW(T55)+1, MATCH("おやつ", 貼り付け用!$A$3:$Z$3, 0)),""),
IF(INDEX(貼り付け用!A:Z, ROW(T56)+1, MATCH("おやつ", 貼り付け用!$A$3:$Z$3, 0))&lt;&gt;0,
INDEX(貼り付け用!A:Z, ROW(T56)+1, MATCH("おやつ", 貼り付け用!$A$3:$Z$3, 0)),""))</f>
        <v>#N/A</v>
      </c>
      <c r="U56" s="16"/>
      <c r="V56" s="5" t="e">
        <f t="array" ref="V56">IF(貼り付け用!$A$6&lt;&gt;"",
IF(INDEX(貼り付け用!A:Z, ROW(T55)+1, MATCH("おやつ", 貼り付け用!$A$3:$Z$3, 0)+1)&lt;&gt;0,
INDEX(貼り付け用!A:Z, ROW(T55)+1, MATCH("おやつ", 貼り付け用!$A$3:$Z$3, 0)+1),""),
IF(INDEX(貼り付け用!A:Z, ROW(T56)+1, MATCH("おやつ", 貼り付け用!$A$3:$Z$3, 0)+1)&lt;&gt;0,
INDEX(貼り付け用!A:Z, ROW(T56)+1, MATCH("おやつ", 貼り付け用!$A$3:$Z$3, 0)+1),""))</f>
        <v>#N/A</v>
      </c>
      <c r="W56" s="7" t="e">
        <f t="array" ref="W56">IF(貼り付け用!$A$6&lt;&gt;"",
IF(INDEX(貼り付け用!A:Z, ROW(T55)+1, MATCH("おやつ", 貼り付け用!$A$3:$Z$3, 0)+2)&lt;&gt;0,
INDEX(貼り付け用!A:Z, ROW(T55)+1, MATCH("おやつ", 貼り付け用!$A$3:$Z$3, 0)+2),""),
IF(INDEX(貼り付け用!A:Z, ROW(T56)+1, MATCH("おやつ", 貼り付け用!$A$3:$Z$3, 0)+2)&lt;&gt;0,
INDEX(貼り付け用!A:Z, ROW(T56)+1, MATCH("おやつ", 貼り付け用!$A$3:$Z$3, 0)+2),""))</f>
        <v>#N/A</v>
      </c>
    </row>
    <row r="57" spans="1:23" x14ac:dyDescent="0.45">
      <c r="A57" s="10" t="e">
        <f>IF(貼り付け用!$A$6&lt;&gt;"",
IF(ROW(A56)+1&gt;=MATCH("*10000*", 貼り付け用!$A:$A, 0),"",
IF(貼り付け用!A57&lt;&gt;"",貼り付け用!A57,"")),
IF(ROW(A57)+1&gt;=MATCH("*10000*", 貼り付け用!$A:$A, 0),"",
IF(貼り付け用!A58&lt;&gt;"",貼り付け用!A58,"")))</f>
        <v>#N/A</v>
      </c>
      <c r="B57" s="3" t="e">
        <f>IF(貼り付け用!$A$6&lt;&gt;"",
IF(ROW(B56)+2&gt;=MATCH("*【合計】*", 貼り付け用!$A:$A, 0),"",
IF(貼り付け用!B57&lt;&gt;"",貼り付け用!B57,"")),
IF(ROW(B57)+2&gt;=MATCH("*【合計】*", 貼り付け用!$A:$A, 0),"",
IF(貼り付け用!B58&lt;&gt;"",貼り付け用!B58,"")))</f>
        <v>#N/A</v>
      </c>
      <c r="C57" s="3" t="e">
        <f>IF(貼り付け用!$A$6&lt;&gt;"",
IF(ROW(C56)+2&gt;=MATCH("*【合計】*", 貼り付け用!$A:$A, 0),"",
IF(貼り付け用!C57&lt;&gt;"",貼り付け用!C57,"")),
IF(ROW(C57)+2&gt;=MATCH("*【合計】*", 貼り付け用!$A:$A, 0),"",
IF(貼り付け用!C58&lt;&gt;"",貼り付け用!C58,"")))</f>
        <v>#N/A</v>
      </c>
      <c r="D57" s="3" t="e">
        <f>IF(貼り付け用!$A$6&lt;&gt;"",
IF(ROW(D56)+2&gt;=MATCH("*【合計】*", 貼り付け用!$A:$A, 0),"",
IF(貼り付け用!D57&lt;&gt;"",貼り付け用!D57,"")),
IF(ROW(D57)+2&gt;=MATCH("*【合計】*", 貼り付け用!$A:$A, 0),"",
IF(貼り付け用!D58&lt;&gt;"",貼り付け用!D58,"")))</f>
        <v>#N/A</v>
      </c>
      <c r="E57" s="3" t="e">
        <f>IF(貼り付け用!$A$6&lt;&gt;"",
IF(ROW(E56)+2&gt;=MATCH("*【合計】*", 貼り付け用!$A:$A, 0),"",
IF(貼り付け用!E57&lt;&gt;"",貼り付け用!E57,"")),
IF(ROW(E57)+2&gt;=MATCH("*【合計】*", 貼り付け用!$A:$A, 0),"",
IF(貼り付け用!E58&lt;&gt;"",貼り付け用!E58,"")))</f>
        <v>#N/A</v>
      </c>
      <c r="F57" s="3" t="e">
        <f>IF(貼り付け用!$A$6&lt;&gt;"",
IF(ROW(F56)+2&gt;=MATCH("*【合計】*", 貼り付け用!$A:$A, 0),"",
IF(貼り付け用!F57&lt;&gt;"",貼り付け用!F57,"")),
IF(ROW(F57)+2&gt;=MATCH("*【合計】*", 貼り付け用!$A:$A, 0),"",
IF(貼り付け用!F58&lt;&gt;"",貼り付け用!F58,"")))</f>
        <v>#N/A</v>
      </c>
      <c r="G57" s="3" t="e">
        <f>IF(貼り付け用!$A$6&lt;&gt;"",
IF(ROW(G56)+2&gt;=MATCH("*【合計】*", 貼り付け用!$A:$A, 0),"",
IF(貼り付け用!G57&lt;&gt;"",貼り付け用!G57,"")),
IF(ROW(G57)+2&gt;=MATCH("*【合計】*", 貼り付け用!$A:$A, 0),"",
IF(貼り付け用!G58&lt;&gt;"",貼り付け用!G58,"")))</f>
        <v>#N/A</v>
      </c>
      <c r="H57" s="3" t="e">
        <f>IF(貼り付け用!$A$6&lt;&gt;"",
IF(ROW(H56)+2&gt;=MATCH("*【合計】*", 貼り付け用!$A:$A, 0),"",
IF(貼り付け用!H57&lt;&gt;"",貼り付け用!H57,"")),
IF(ROW(H57)+2&gt;=MATCH("*【合計】*", 貼り付け用!$A:$A, 0),"",
IF(貼り付け用!H58&lt;&gt;"",貼り付け用!H58,"")))</f>
        <v>#N/A</v>
      </c>
      <c r="I57" s="3" t="e">
        <f>IF(貼り付け用!$A$6&lt;&gt;"",
IF(ROW(I56)+2&gt;=MATCH("*【合計】*", 貼り付け用!$A:$A, 0),"",
IF(貼り付け用!I57&lt;&gt;"",貼り付け用!I57,"")),
IF(ROW(I57)+2&gt;=MATCH("*【合計】*", 貼り付け用!$A:$A, 0),"",
IF(貼り付け用!I58&lt;&gt;"",貼り付け用!I58,"")))</f>
        <v>#N/A</v>
      </c>
      <c r="J57" s="3" t="e">
        <f>IF(貼り付け用!$A$6&lt;&gt;"",
IF(ROW(J56)+2&gt;=MATCH("*【合計】*", 貼り付け用!$A:$A, 0),"",
IF(貼り付け用!J57&lt;&gt;"",貼り付け用!J57,"")),
IF(ROW(J57)+2&gt;=MATCH("*【合計】*", 貼り付け用!$A:$A, 0),"",
IF(貼り付け用!J58&lt;&gt;"",貼り付け用!J58,"")))</f>
        <v>#N/A</v>
      </c>
      <c r="K57" s="3" t="e">
        <f>IF(貼り付け用!$A$6&lt;&gt;"",
IF(ROW(K56)+2&gt;=MATCH("*【合計】*", 貼り付け用!$A:$A, 0),"",
IF(貼り付け用!K57&lt;&gt;"",貼り付け用!K57,"")),
IF(ROW(K57)+2&gt;=MATCH("*【合計】*", 貼り付け用!$A:$A, 0),"",
IF(貼り付け用!K58&lt;&gt;"",貼り付け用!K58,"")))</f>
        <v>#N/A</v>
      </c>
      <c r="L57" s="3" t="e">
        <f>IF(貼り付け用!$A$6&lt;&gt;"",
IF(ROW(L56)+2&gt;=MATCH("*【合計】*", 貼り付け用!$A:$A, 0),"",
IF(L$3&lt;&gt;"",IF(貼り付け用!L57&lt;&gt;"",貼り付け用!L57,""),"")),
IF(ROW(L57)+2&gt;=MATCH("*【合計】*", 貼り付け用!$A:$A, 0),"",
IF(L$3&lt;&gt;"",IF(貼り付け用!L58&lt;&gt;"",貼り付け用!L58,""),"")))</f>
        <v>#N/A</v>
      </c>
      <c r="M57" s="3" t="e">
        <f>IF(貼り付け用!$A$6&lt;&gt;"",
IF(ROW(M56)+2&gt;=MATCH("*【合計】*", 貼り付け用!$A:$A, 0),"",
IF(M$3&lt;&gt;"",IF(貼り付け用!M57&lt;&gt;"",貼り付け用!M57,""),"")),
IF(ROW(M57)+2&gt;=MATCH("*【合計】*", 貼り付け用!$A:$A, 0),"",
IF(M$3&lt;&gt;"",IF(貼り付け用!M58&lt;&gt;"",貼り付け用!M58,""),"")))</f>
        <v>#N/A</v>
      </c>
      <c r="N57" s="3" t="e">
        <f>IF(貼り付け用!$A$6&lt;&gt;"",
IF(ROW(N56)+2&gt;=MATCH("*【合計】*", 貼り付け用!$A:$A, 0),"",
IF(N$3&lt;&gt;"",IF(貼り付け用!N57&lt;&gt;"",貼り付け用!N57,""),"")),
IF(ROW(N57)+2&gt;=MATCH("*【合計】*", 貼り付け用!$A:$A, 0),"",
IF(N$3&lt;&gt;"",IF(貼り付け用!N58&lt;&gt;"",貼り付け用!N58,""),"")))</f>
        <v>#N/A</v>
      </c>
      <c r="O57" s="3" t="e">
        <f>IF(貼り付け用!$A$6&lt;&gt;"",
IF(ROW(O56)+2&gt;=MATCH("*【合計】*", 貼り付け用!$A:$A, 0),"",
IF(O$3&lt;&gt;"",IF(貼り付け用!O57&lt;&gt;"",貼り付け用!O57,""),"")),
IF(ROW(O57)+2&gt;=MATCH("*【合計】*", 貼り付け用!$A:$A, 0),"",
IF(O$3&lt;&gt;"",IF(貼り付け用!O58&lt;&gt;"",貼り付け用!O58,""),"")))</f>
        <v>#N/A</v>
      </c>
      <c r="P57" s="3" t="e">
        <f>IF(貼り付け用!$A$6&lt;&gt;"",
IF(ROW(P56)+2&gt;=MATCH("*【合計】*", 貼り付け用!$A:$A, 0),"",
IF(P$3&lt;&gt;"",IF(貼り付け用!P57&lt;&gt;"",貼り付け用!P57,""),"")),
IF(ROW(P57)+2&gt;=MATCH("*【合計】*", 貼り付け用!$A:$A, 0),"",
IF(P$3&lt;&gt;"",IF(貼り付け用!P58&lt;&gt;"",貼り付け用!P58,""),"")))</f>
        <v>#N/A</v>
      </c>
      <c r="Q57" s="3" t="e">
        <f>IF(貼り付け用!$A$6&lt;&gt;"",
IF(ROW(Q56)+2&gt;=MATCH("*【合計】*", 貼り付け用!$A:$A, 0),"",
IF(Q$3&lt;&gt;"",IF(貼り付け用!Q57&lt;&gt;"",貼り付け用!Q57,""),"")),
IF(ROW(Q57)+2&gt;=MATCH("*【合計】*", 貼り付け用!$A:$A, 0),"",
IF(Q$3&lt;&gt;"",IF(貼り付け用!Q58&lt;&gt;"",貼り付け用!Q58,""),"")))</f>
        <v>#N/A</v>
      </c>
      <c r="R57" s="3" t="e">
        <f>IF(貼り付け用!$A$6&lt;&gt;"",
IF(ROW(R56)+2&gt;=MATCH("*【合計】*", 貼り付け用!$A:$A, 0),"",
IF(R$3&lt;&gt;"",IF(貼り付け用!R57&lt;&gt;"",貼り付け用!R57,""),"")),
IF(ROW(R57)+2&gt;=MATCH("*【合計】*", 貼り付け用!$A:$A, 0),"",
IF(R$3&lt;&gt;"",IF(貼り付け用!R58&lt;&gt;"",貼り付け用!R58,""),"")))</f>
        <v>#N/A</v>
      </c>
      <c r="S57" s="3" t="e">
        <f>IF(貼り付け用!$A$6&lt;&gt;"",
IF(ROW(S56)+2&gt;=MATCH("*【合計】*", 貼り付け用!$A:$A, 0),"",
IF(S$3&lt;&gt;"",IF(貼り付け用!S57&lt;&gt;"",貼り付け用!S57,""),"")),
IF(ROW(S57)+2&gt;=MATCH("*【合計】*", 貼り付け用!$A:$A, 0),"",
IF(S$3&lt;&gt;"",IF(貼り付け用!S58&lt;&gt;"",貼り付け用!S58,""),"")))</f>
        <v>#N/A</v>
      </c>
      <c r="T57" s="2" t="e">
        <f t="array" ref="T57">IF(貼り付け用!$A$6&lt;&gt;"",
IF(INDEX(貼り付け用!A:Z, ROW(T56)+1, MATCH("おやつ", 貼り付け用!$A$3:$Z$3, 0))&lt;&gt;0,
INDEX(貼り付け用!A:Z, ROW(T56)+1, MATCH("おやつ", 貼り付け用!$A$3:$Z$3, 0)),""),
IF(INDEX(貼り付け用!A:Z, ROW(T57)+1, MATCH("おやつ", 貼り付け用!$A$3:$Z$3, 0))&lt;&gt;0,
INDEX(貼り付け用!A:Z, ROW(T57)+1, MATCH("おやつ", 貼り付け用!$A$3:$Z$3, 0)),""))</f>
        <v>#N/A</v>
      </c>
      <c r="U57" s="52"/>
      <c r="V57" s="8" t="e">
        <f t="array" ref="V57">IF(貼り付け用!$A$6&lt;&gt;"",
IF(INDEX(貼り付け用!A:Z, ROW(T56)+1, MATCH("おやつ", 貼り付け用!$A$3:$Z$3, 0)+1)&lt;&gt;0,
INDEX(貼り付け用!A:Z, ROW(T56)+1, MATCH("おやつ", 貼り付け用!$A$3:$Z$3, 0)+1),""),
IF(INDEX(貼り付け用!A:Z, ROW(T57)+1, MATCH("おやつ", 貼り付け用!$A$3:$Z$3, 0)+1)&lt;&gt;0,
INDEX(貼り付け用!A:Z, ROW(T57)+1, MATCH("おやつ", 貼り付け用!$A$3:$Z$3, 0)+1),""))</f>
        <v>#N/A</v>
      </c>
      <c r="W57" s="9" t="e">
        <f t="array" ref="W57">IF(貼り付け用!$A$6&lt;&gt;"",
IF(INDEX(貼り付け用!A:Z, ROW(T56)+1, MATCH("おやつ", 貼り付け用!$A$3:$Z$3, 0)+2)&lt;&gt;0,
INDEX(貼り付け用!A:Z, ROW(T56)+1, MATCH("おやつ", 貼り付け用!$A$3:$Z$3, 0)+2),""),
IF(INDEX(貼り付け用!A:Z, ROW(T57)+1, MATCH("おやつ", 貼り付け用!$A$3:$Z$3, 0)+2)&lt;&gt;0,
INDEX(貼り付け用!A:Z, ROW(T57)+1, MATCH("おやつ", 貼り付け用!$A$3:$Z$3, 0)+2),""))</f>
        <v>#N/A</v>
      </c>
    </row>
    <row r="58" spans="1:23" x14ac:dyDescent="0.45">
      <c r="A58" s="4" t="e">
        <f>IF(貼り付け用!$A$6&lt;&gt;"",
IF(ROW(A57)+1&gt;=MATCH("*10000*", 貼り付け用!$A:$A, 0),
IF(COUNTIF(A56,"*10000*"),"10001",
IF(COUNTIF(A56,"*10001*"),"10002",
IF(COUNTIF(A56,"*10002*"),"",
IF(COUNTIF(A56,""),"","10000")))),
IF(貼り付け用!A58&lt;&gt;"",貼り付け用!A58,"")),
IF(ROW(A58)+1&gt;=MATCH("*10000*", 貼り付け用!$A:$A, 0),
IF(COUNTIF(A56,"*10000*"),"10001",
IF(COUNTIF(A56,"*10001*"),"10002",
IF(COUNTIF(A56,"*10002*"),"",
IF(COUNTIF(A56,""),"","10000")))),
IF(貼り付け用!A59&lt;&gt;"",貼り付け用!A59,"")))</f>
        <v>#N/A</v>
      </c>
      <c r="B58" s="19" t="e">
        <f>IF(貼り付け用!$A$6&lt;&gt;"",
IF(ROW(B57)+2&gt;=MATCH("*【合計】*", 貼り付け用!$A:$A, 0),"",
IF(貼り付け用!B58&lt;&gt;"",貼り付け用!B58,"")),
IF(ROW(B58)+2&gt;=MATCH("*【合計】*", 貼り付け用!$A:$A, 0),"",
IF(貼り付け用!B59&lt;&gt;"",貼り付け用!B59,"")))</f>
        <v>#N/A</v>
      </c>
      <c r="C58" s="19" t="e">
        <f>IF(貼り付け用!$A$6&lt;&gt;"",
IF(ROW(C57)+2&gt;=MATCH("*【合計】*", 貼り付け用!$A:$A, 0),"",
IF(貼り付け用!C58&lt;&gt;"",貼り付け用!C58,"")),
IF(ROW(C58)+2&gt;=MATCH("*【合計】*", 貼り付け用!$A:$A, 0),"",
IF(貼り付け用!C59&lt;&gt;"",貼り付け用!C59,"")))</f>
        <v>#N/A</v>
      </c>
      <c r="D58" s="19" t="e">
        <f>IF(貼り付け用!$A$6&lt;&gt;"",
IF(ROW(D57)+2&gt;=MATCH("*【合計】*", 貼り付け用!$A:$A, 0),"",
IF(貼り付け用!D58&lt;&gt;"",貼り付け用!D58,"")),
IF(ROW(D58)+2&gt;=MATCH("*【合計】*", 貼り付け用!$A:$A, 0),"",
IF(貼り付け用!D59&lt;&gt;"",貼り付け用!D59,"")))</f>
        <v>#N/A</v>
      </c>
      <c r="E58" s="19" t="e">
        <f>IF(貼り付け用!$A$6&lt;&gt;"",
IF(ROW(E57)+2&gt;=MATCH("*【合計】*", 貼り付け用!$A:$A, 0),"",
IF(貼り付け用!E58&lt;&gt;"",貼り付け用!E58,"")),
IF(ROW(E58)+2&gt;=MATCH("*【合計】*", 貼り付け用!$A:$A, 0),"",
IF(貼り付け用!E59&lt;&gt;"",貼り付け用!E59,"")))</f>
        <v>#N/A</v>
      </c>
      <c r="F58" s="19" t="e">
        <f>IF(貼り付け用!$A$6&lt;&gt;"",
IF(ROW(F57)+2&gt;=MATCH("*【合計】*", 貼り付け用!$A:$A, 0),"",
IF(貼り付け用!F58&lt;&gt;"",貼り付け用!F58,"")),
IF(ROW(F58)+2&gt;=MATCH("*【合計】*", 貼り付け用!$A:$A, 0),"",
IF(貼り付け用!F59&lt;&gt;"",貼り付け用!F59,"")))</f>
        <v>#N/A</v>
      </c>
      <c r="G58" s="19" t="e">
        <f>IF(貼り付け用!$A$6&lt;&gt;"",
IF(ROW(G57)+2&gt;=MATCH("*【合計】*", 貼り付け用!$A:$A, 0),"",
IF(貼り付け用!G58&lt;&gt;"",貼り付け用!G58,"")),
IF(ROW(G58)+2&gt;=MATCH("*【合計】*", 貼り付け用!$A:$A, 0),"",
IF(貼り付け用!G59&lt;&gt;"",貼り付け用!G59,"")))</f>
        <v>#N/A</v>
      </c>
      <c r="H58" s="19" t="e">
        <f>IF(貼り付け用!$A$6&lt;&gt;"",
IF(ROW(H57)+2&gt;=MATCH("*【合計】*", 貼り付け用!$A:$A, 0),"",
IF(貼り付け用!H58&lt;&gt;"",貼り付け用!H58,"")),
IF(ROW(H58)+2&gt;=MATCH("*【合計】*", 貼り付け用!$A:$A, 0),"",
IF(貼り付け用!H59&lt;&gt;"",貼り付け用!H59,"")))</f>
        <v>#N/A</v>
      </c>
      <c r="I58" s="19" t="e">
        <f>IF(貼り付け用!$A$6&lt;&gt;"",
IF(ROW(I57)+2&gt;=MATCH("*【合計】*", 貼り付け用!$A:$A, 0),"",
IF(貼り付け用!I58&lt;&gt;"",貼り付け用!I58,"")),
IF(ROW(I58)+2&gt;=MATCH("*【合計】*", 貼り付け用!$A:$A, 0),"",
IF(貼り付け用!I59&lt;&gt;"",貼り付け用!I59,"")))</f>
        <v>#N/A</v>
      </c>
      <c r="J58" s="19" t="e">
        <f>IF(貼り付け用!$A$6&lt;&gt;"",
IF(ROW(J57)+2&gt;=MATCH("*【合計】*", 貼り付け用!$A:$A, 0),"",
IF(貼り付け用!J58&lt;&gt;"",貼り付け用!J58,"")),
IF(ROW(J58)+2&gt;=MATCH("*【合計】*", 貼り付け用!$A:$A, 0),"",
IF(貼り付け用!J59&lt;&gt;"",貼り付け用!J59,"")))</f>
        <v>#N/A</v>
      </c>
      <c r="K58" s="19" t="e">
        <f>IF(貼り付け用!$A$6&lt;&gt;"",
IF(ROW(K57)+2&gt;=MATCH("*【合計】*", 貼り付け用!$A:$A, 0),"",
IF(貼り付け用!K58&lt;&gt;"",貼り付け用!K58,"")),
IF(ROW(K58)+2&gt;=MATCH("*【合計】*", 貼り付け用!$A:$A, 0),"",
IF(貼り付け用!K59&lt;&gt;"",貼り付け用!K59,"")))</f>
        <v>#N/A</v>
      </c>
      <c r="L58" s="19" t="e">
        <f>IF(貼り付け用!$A$6&lt;&gt;"",
IF(ROW(L57)+2&gt;=MATCH("*【合計】*", 貼り付け用!$A:$A, 0),"",
IF(L$3&lt;&gt;"",IF(貼り付け用!L58&lt;&gt;"",貼り付け用!L58,""),"")),
IF(ROW(L58)+2&gt;=MATCH("*【合計】*", 貼り付け用!$A:$A, 0),"",
IF(L$3&lt;&gt;"",IF(貼り付け用!L59&lt;&gt;"",貼り付け用!L59,""),"")))</f>
        <v>#N/A</v>
      </c>
      <c r="M58" s="19" t="e">
        <f>IF(貼り付け用!$A$6&lt;&gt;"",
IF(ROW(M57)+2&gt;=MATCH("*【合計】*", 貼り付け用!$A:$A, 0),"",
IF(M$3&lt;&gt;"",IF(貼り付け用!M58&lt;&gt;"",貼り付け用!M58,""),"")),
IF(ROW(M58)+2&gt;=MATCH("*【合計】*", 貼り付け用!$A:$A, 0),"",
IF(M$3&lt;&gt;"",IF(貼り付け用!M59&lt;&gt;"",貼り付け用!M59,""),"")))</f>
        <v>#N/A</v>
      </c>
      <c r="N58" s="19" t="e">
        <f>IF(貼り付け用!$A$6&lt;&gt;"",
IF(ROW(N57)+2&gt;=MATCH("*【合計】*", 貼り付け用!$A:$A, 0),"",
IF(N$3&lt;&gt;"",IF(貼り付け用!N58&lt;&gt;"",貼り付け用!N58,""),"")),
IF(ROW(N58)+2&gt;=MATCH("*【合計】*", 貼り付け用!$A:$A, 0),"",
IF(N$3&lt;&gt;"",IF(貼り付け用!N59&lt;&gt;"",貼り付け用!N59,""),"")))</f>
        <v>#N/A</v>
      </c>
      <c r="O58" s="19" t="e">
        <f>IF(貼り付け用!$A$6&lt;&gt;"",
IF(ROW(O57)+2&gt;=MATCH("*【合計】*", 貼り付け用!$A:$A, 0),"",
IF(O$3&lt;&gt;"",IF(貼り付け用!O58&lt;&gt;"",貼り付け用!O58,""),"")),
IF(ROW(O58)+2&gt;=MATCH("*【合計】*", 貼り付け用!$A:$A, 0),"",
IF(O$3&lt;&gt;"",IF(貼り付け用!O59&lt;&gt;"",貼り付け用!O59,""),"")))</f>
        <v>#N/A</v>
      </c>
      <c r="P58" s="19" t="e">
        <f>IF(貼り付け用!$A$6&lt;&gt;"",
IF(ROW(P57)+2&gt;=MATCH("*【合計】*", 貼り付け用!$A:$A, 0),"",
IF(P$3&lt;&gt;"",IF(貼り付け用!P58&lt;&gt;"",貼り付け用!P58,""),"")),
IF(ROW(P58)+2&gt;=MATCH("*【合計】*", 貼り付け用!$A:$A, 0),"",
IF(P$3&lt;&gt;"",IF(貼り付け用!P59&lt;&gt;"",貼り付け用!P59,""),"")))</f>
        <v>#N/A</v>
      </c>
      <c r="Q58" s="19" t="e">
        <f>IF(貼り付け用!$A$6&lt;&gt;"",
IF(ROW(Q57)+2&gt;=MATCH("*【合計】*", 貼り付け用!$A:$A, 0),"",
IF(Q$3&lt;&gt;"",IF(貼り付け用!Q58&lt;&gt;"",貼り付け用!Q58,""),"")),
IF(ROW(Q58)+2&gt;=MATCH("*【合計】*", 貼り付け用!$A:$A, 0),"",
IF(Q$3&lt;&gt;"",IF(貼り付け用!Q59&lt;&gt;"",貼り付け用!Q59,""),"")))</f>
        <v>#N/A</v>
      </c>
      <c r="R58" s="19" t="e">
        <f>IF(貼り付け用!$A$6&lt;&gt;"",
IF(ROW(R57)+2&gt;=MATCH("*【合計】*", 貼り付け用!$A:$A, 0),"",
IF(R$3&lt;&gt;"",IF(貼り付け用!R58&lt;&gt;"",貼り付け用!R58,""),"")),
IF(ROW(R58)+2&gt;=MATCH("*【合計】*", 貼り付け用!$A:$A, 0),"",
IF(R$3&lt;&gt;"",IF(貼り付け用!R59&lt;&gt;"",貼り付け用!R59,""),"")))</f>
        <v>#N/A</v>
      </c>
      <c r="S58" s="19" t="e">
        <f>IF(貼り付け用!$A$6&lt;&gt;"",
IF(ROW(S57)+2&gt;=MATCH("*【合計】*", 貼り付け用!$A:$A, 0),"",
IF(S$3&lt;&gt;"",IF(貼り付け用!S58&lt;&gt;"",貼り付け用!S58,""),"")),
IF(ROW(S58)+2&gt;=MATCH("*【合計】*", 貼り付け用!$A:$A, 0),"",
IF(S$3&lt;&gt;"",IF(貼り付け用!S59&lt;&gt;"",貼り付け用!S59,""),"")))</f>
        <v>#N/A</v>
      </c>
      <c r="T58" s="19" t="e">
        <f t="array" ref="T58">IF(貼り付け用!$A$6&lt;&gt;"",
IF(INDEX(貼り付け用!A:Z, ROW(T57)+1, MATCH("おやつ", 貼り付け用!$A$3:$Z$3, 0))&lt;&gt;0,
INDEX(貼り付け用!A:Z, ROW(T57)+1, MATCH("おやつ", 貼り付け用!$A$3:$Z$3, 0)),""),
IF(INDEX(貼り付け用!A:Z, ROW(T58)+1, MATCH("おやつ", 貼り付け用!$A$3:$Z$3, 0))&lt;&gt;0,
INDEX(貼り付け用!A:Z, ROW(T58)+1, MATCH("おやつ", 貼り付け用!$A$3:$Z$3, 0)),""))</f>
        <v>#N/A</v>
      </c>
      <c r="U58" s="16"/>
      <c r="V58" s="5" t="e">
        <f t="array" ref="V58">IF(貼り付け用!$A$6&lt;&gt;"",
IF(INDEX(貼り付け用!A:Z, ROW(T57)+1, MATCH("おやつ", 貼り付け用!$A$3:$Z$3, 0)+1)&lt;&gt;0,
INDEX(貼り付け用!A:Z, ROW(T57)+1, MATCH("おやつ", 貼り付け用!$A$3:$Z$3, 0)+1),""),
IF(INDEX(貼り付け用!A:Z, ROW(T58)+1, MATCH("おやつ", 貼り付け用!$A$3:$Z$3, 0)+1)&lt;&gt;0,
INDEX(貼り付け用!A:Z, ROW(T58)+1, MATCH("おやつ", 貼り付け用!$A$3:$Z$3, 0)+1),""))</f>
        <v>#N/A</v>
      </c>
      <c r="W58" s="7" t="e">
        <f t="array" ref="W58">IF(貼り付け用!$A$6&lt;&gt;"",
IF(INDEX(貼り付け用!A:Z, ROW(T57)+1, MATCH("おやつ", 貼り付け用!$A$3:$Z$3, 0)+2)&lt;&gt;0,
INDEX(貼り付け用!A:Z, ROW(T57)+1, MATCH("おやつ", 貼り付け用!$A$3:$Z$3, 0)+2),""),
IF(INDEX(貼り付け用!A:Z, ROW(T58)+1, MATCH("おやつ", 貼り付け用!$A$3:$Z$3, 0)+2)&lt;&gt;0,
INDEX(貼り付け用!A:Z, ROW(T58)+1, MATCH("おやつ", 貼り付け用!$A$3:$Z$3, 0)+2),""))</f>
        <v>#N/A</v>
      </c>
    </row>
    <row r="59" spans="1:23" x14ac:dyDescent="0.45">
      <c r="A59" s="10" t="e">
        <f>IF(貼り付け用!$A$6&lt;&gt;"",
IF(ROW(A58)+1&gt;=MATCH("*10000*", 貼り付け用!$A:$A, 0),"",
IF(貼り付け用!A59&lt;&gt;"",貼り付け用!A59,"")),
IF(ROW(A59)+1&gt;=MATCH("*10000*", 貼り付け用!$A:$A, 0),"",
IF(貼り付け用!A60&lt;&gt;"",貼り付け用!A60,"")))</f>
        <v>#N/A</v>
      </c>
      <c r="B59" s="3" t="e">
        <f>IF(貼り付け用!$A$6&lt;&gt;"",
IF(ROW(B58)+2&gt;=MATCH("*【合計】*", 貼り付け用!$A:$A, 0),"",
IF(貼り付け用!B59&lt;&gt;"",貼り付け用!B59,"")),
IF(ROW(B59)+2&gt;=MATCH("*【合計】*", 貼り付け用!$A:$A, 0),"",
IF(貼り付け用!B60&lt;&gt;"",貼り付け用!B60,"")))</f>
        <v>#N/A</v>
      </c>
      <c r="C59" s="3" t="e">
        <f>IF(貼り付け用!$A$6&lt;&gt;"",
IF(ROW(C58)+2&gt;=MATCH("*【合計】*", 貼り付け用!$A:$A, 0),"",
IF(貼り付け用!C59&lt;&gt;"",貼り付け用!C59,"")),
IF(ROW(C59)+2&gt;=MATCH("*【合計】*", 貼り付け用!$A:$A, 0),"",
IF(貼り付け用!C60&lt;&gt;"",貼り付け用!C60,"")))</f>
        <v>#N/A</v>
      </c>
      <c r="D59" s="3" t="e">
        <f>IF(貼り付け用!$A$6&lt;&gt;"",
IF(ROW(D58)+2&gt;=MATCH("*【合計】*", 貼り付け用!$A:$A, 0),"",
IF(貼り付け用!D59&lt;&gt;"",貼り付け用!D59,"")),
IF(ROW(D59)+2&gt;=MATCH("*【合計】*", 貼り付け用!$A:$A, 0),"",
IF(貼り付け用!D60&lt;&gt;"",貼り付け用!D60,"")))</f>
        <v>#N/A</v>
      </c>
      <c r="E59" s="3" t="e">
        <f>IF(貼り付け用!$A$6&lt;&gt;"",
IF(ROW(E58)+2&gt;=MATCH("*【合計】*", 貼り付け用!$A:$A, 0),"",
IF(貼り付け用!E59&lt;&gt;"",貼り付け用!E59,"")),
IF(ROW(E59)+2&gt;=MATCH("*【合計】*", 貼り付け用!$A:$A, 0),"",
IF(貼り付け用!E60&lt;&gt;"",貼り付け用!E60,"")))</f>
        <v>#N/A</v>
      </c>
      <c r="F59" s="3" t="e">
        <f>IF(貼り付け用!$A$6&lt;&gt;"",
IF(ROW(F58)+2&gt;=MATCH("*【合計】*", 貼り付け用!$A:$A, 0),"",
IF(貼り付け用!F59&lt;&gt;"",貼り付け用!F59,"")),
IF(ROW(F59)+2&gt;=MATCH("*【合計】*", 貼り付け用!$A:$A, 0),"",
IF(貼り付け用!F60&lt;&gt;"",貼り付け用!F60,"")))</f>
        <v>#N/A</v>
      </c>
      <c r="G59" s="3" t="e">
        <f>IF(貼り付け用!$A$6&lt;&gt;"",
IF(ROW(G58)+2&gt;=MATCH("*【合計】*", 貼り付け用!$A:$A, 0),"",
IF(貼り付け用!G59&lt;&gt;"",貼り付け用!G59,"")),
IF(ROW(G59)+2&gt;=MATCH("*【合計】*", 貼り付け用!$A:$A, 0),"",
IF(貼り付け用!G60&lt;&gt;"",貼り付け用!G60,"")))</f>
        <v>#N/A</v>
      </c>
      <c r="H59" s="3" t="e">
        <f>IF(貼り付け用!$A$6&lt;&gt;"",
IF(ROW(H58)+2&gt;=MATCH("*【合計】*", 貼り付け用!$A:$A, 0),"",
IF(貼り付け用!H59&lt;&gt;"",貼り付け用!H59,"")),
IF(ROW(H59)+2&gt;=MATCH("*【合計】*", 貼り付け用!$A:$A, 0),"",
IF(貼り付け用!H60&lt;&gt;"",貼り付け用!H60,"")))</f>
        <v>#N/A</v>
      </c>
      <c r="I59" s="3" t="e">
        <f>IF(貼り付け用!$A$6&lt;&gt;"",
IF(ROW(I58)+2&gt;=MATCH("*【合計】*", 貼り付け用!$A:$A, 0),"",
IF(貼り付け用!I59&lt;&gt;"",貼り付け用!I59,"")),
IF(ROW(I59)+2&gt;=MATCH("*【合計】*", 貼り付け用!$A:$A, 0),"",
IF(貼り付け用!I60&lt;&gt;"",貼り付け用!I60,"")))</f>
        <v>#N/A</v>
      </c>
      <c r="J59" s="3" t="e">
        <f>IF(貼り付け用!$A$6&lt;&gt;"",
IF(ROW(J58)+2&gt;=MATCH("*【合計】*", 貼り付け用!$A:$A, 0),"",
IF(貼り付け用!J59&lt;&gt;"",貼り付け用!J59,"")),
IF(ROW(J59)+2&gt;=MATCH("*【合計】*", 貼り付け用!$A:$A, 0),"",
IF(貼り付け用!J60&lt;&gt;"",貼り付け用!J60,"")))</f>
        <v>#N/A</v>
      </c>
      <c r="K59" s="3" t="e">
        <f>IF(貼り付け用!$A$6&lt;&gt;"",
IF(ROW(K58)+2&gt;=MATCH("*【合計】*", 貼り付け用!$A:$A, 0),"",
IF(貼り付け用!K59&lt;&gt;"",貼り付け用!K59,"")),
IF(ROW(K59)+2&gt;=MATCH("*【合計】*", 貼り付け用!$A:$A, 0),"",
IF(貼り付け用!K60&lt;&gt;"",貼り付け用!K60,"")))</f>
        <v>#N/A</v>
      </c>
      <c r="L59" s="3" t="e">
        <f>IF(貼り付け用!$A$6&lt;&gt;"",
IF(ROW(L58)+2&gt;=MATCH("*【合計】*", 貼り付け用!$A:$A, 0),"",
IF(L$3&lt;&gt;"",IF(貼り付け用!L59&lt;&gt;"",貼り付け用!L59,""),"")),
IF(ROW(L59)+2&gt;=MATCH("*【合計】*", 貼り付け用!$A:$A, 0),"",
IF(L$3&lt;&gt;"",IF(貼り付け用!L60&lt;&gt;"",貼り付け用!L60,""),"")))</f>
        <v>#N/A</v>
      </c>
      <c r="M59" s="3" t="e">
        <f>IF(貼り付け用!$A$6&lt;&gt;"",
IF(ROW(M58)+2&gt;=MATCH("*【合計】*", 貼り付け用!$A:$A, 0),"",
IF(M$3&lt;&gt;"",IF(貼り付け用!M59&lt;&gt;"",貼り付け用!M59,""),"")),
IF(ROW(M59)+2&gt;=MATCH("*【合計】*", 貼り付け用!$A:$A, 0),"",
IF(M$3&lt;&gt;"",IF(貼り付け用!M60&lt;&gt;"",貼り付け用!M60,""),"")))</f>
        <v>#N/A</v>
      </c>
      <c r="N59" s="3" t="e">
        <f>IF(貼り付け用!$A$6&lt;&gt;"",
IF(ROW(N58)+2&gt;=MATCH("*【合計】*", 貼り付け用!$A:$A, 0),"",
IF(N$3&lt;&gt;"",IF(貼り付け用!N59&lt;&gt;"",貼り付け用!N59,""),"")),
IF(ROW(N59)+2&gt;=MATCH("*【合計】*", 貼り付け用!$A:$A, 0),"",
IF(N$3&lt;&gt;"",IF(貼り付け用!N60&lt;&gt;"",貼り付け用!N60,""),"")))</f>
        <v>#N/A</v>
      </c>
      <c r="O59" s="3" t="e">
        <f>IF(貼り付け用!$A$6&lt;&gt;"",
IF(ROW(O58)+2&gt;=MATCH("*【合計】*", 貼り付け用!$A:$A, 0),"",
IF(O$3&lt;&gt;"",IF(貼り付け用!O59&lt;&gt;"",貼り付け用!O59,""),"")),
IF(ROW(O59)+2&gt;=MATCH("*【合計】*", 貼り付け用!$A:$A, 0),"",
IF(O$3&lt;&gt;"",IF(貼り付け用!O60&lt;&gt;"",貼り付け用!O60,""),"")))</f>
        <v>#N/A</v>
      </c>
      <c r="P59" s="3" t="e">
        <f>IF(貼り付け用!$A$6&lt;&gt;"",
IF(ROW(P58)+2&gt;=MATCH("*【合計】*", 貼り付け用!$A:$A, 0),"",
IF(P$3&lt;&gt;"",IF(貼り付け用!P59&lt;&gt;"",貼り付け用!P59,""),"")),
IF(ROW(P59)+2&gt;=MATCH("*【合計】*", 貼り付け用!$A:$A, 0),"",
IF(P$3&lt;&gt;"",IF(貼り付け用!P60&lt;&gt;"",貼り付け用!P60,""),"")))</f>
        <v>#N/A</v>
      </c>
      <c r="Q59" s="3" t="e">
        <f>IF(貼り付け用!$A$6&lt;&gt;"",
IF(ROW(Q58)+2&gt;=MATCH("*【合計】*", 貼り付け用!$A:$A, 0),"",
IF(Q$3&lt;&gt;"",IF(貼り付け用!Q59&lt;&gt;"",貼り付け用!Q59,""),"")),
IF(ROW(Q59)+2&gt;=MATCH("*【合計】*", 貼り付け用!$A:$A, 0),"",
IF(Q$3&lt;&gt;"",IF(貼り付け用!Q60&lt;&gt;"",貼り付け用!Q60,""),"")))</f>
        <v>#N/A</v>
      </c>
      <c r="R59" s="3" t="e">
        <f>IF(貼り付け用!$A$6&lt;&gt;"",
IF(ROW(R58)+2&gt;=MATCH("*【合計】*", 貼り付け用!$A:$A, 0),"",
IF(R$3&lt;&gt;"",IF(貼り付け用!R59&lt;&gt;"",貼り付け用!R59,""),"")),
IF(ROW(R59)+2&gt;=MATCH("*【合計】*", 貼り付け用!$A:$A, 0),"",
IF(R$3&lt;&gt;"",IF(貼り付け用!R60&lt;&gt;"",貼り付け用!R60,""),"")))</f>
        <v>#N/A</v>
      </c>
      <c r="S59" s="3" t="e">
        <f>IF(貼り付け用!$A$6&lt;&gt;"",
IF(ROW(S58)+2&gt;=MATCH("*【合計】*", 貼り付け用!$A:$A, 0),"",
IF(S$3&lt;&gt;"",IF(貼り付け用!S59&lt;&gt;"",貼り付け用!S59,""),"")),
IF(ROW(S59)+2&gt;=MATCH("*【合計】*", 貼り付け用!$A:$A, 0),"",
IF(S$3&lt;&gt;"",IF(貼り付け用!S60&lt;&gt;"",貼り付け用!S60,""),"")))</f>
        <v>#N/A</v>
      </c>
      <c r="T59" s="2" t="e">
        <f t="array" ref="T59">IF(貼り付け用!$A$6&lt;&gt;"",
IF(INDEX(貼り付け用!A:Z, ROW(T58)+1, MATCH("おやつ", 貼り付け用!$A$3:$Z$3, 0))&lt;&gt;0,
INDEX(貼り付け用!A:Z, ROW(T58)+1, MATCH("おやつ", 貼り付け用!$A$3:$Z$3, 0)),""),
IF(INDEX(貼り付け用!A:Z, ROW(T59)+1, MATCH("おやつ", 貼り付け用!$A$3:$Z$3, 0))&lt;&gt;0,
INDEX(貼り付け用!A:Z, ROW(T59)+1, MATCH("おやつ", 貼り付け用!$A$3:$Z$3, 0)),""))</f>
        <v>#N/A</v>
      </c>
      <c r="U59" s="52"/>
      <c r="V59" s="8" t="e">
        <f t="array" ref="V59">IF(貼り付け用!$A$6&lt;&gt;"",
IF(INDEX(貼り付け用!A:Z, ROW(T58)+1, MATCH("おやつ", 貼り付け用!$A$3:$Z$3, 0)+1)&lt;&gt;0,
INDEX(貼り付け用!A:Z, ROW(T58)+1, MATCH("おやつ", 貼り付け用!$A$3:$Z$3, 0)+1),""),
IF(INDEX(貼り付け用!A:Z, ROW(T59)+1, MATCH("おやつ", 貼り付け用!$A$3:$Z$3, 0)+1)&lt;&gt;0,
INDEX(貼り付け用!A:Z, ROW(T59)+1, MATCH("おやつ", 貼り付け用!$A$3:$Z$3, 0)+1),""))</f>
        <v>#N/A</v>
      </c>
      <c r="W59" s="9" t="e">
        <f t="array" ref="W59">IF(貼り付け用!$A$6&lt;&gt;"",
IF(INDEX(貼り付け用!A:Z, ROW(T58)+1, MATCH("おやつ", 貼り付け用!$A$3:$Z$3, 0)+2)&lt;&gt;0,
INDEX(貼り付け用!A:Z, ROW(T58)+1, MATCH("おやつ", 貼り付け用!$A$3:$Z$3, 0)+2),""),
IF(INDEX(貼り付け用!A:Z, ROW(T59)+1, MATCH("おやつ", 貼り付け用!$A$3:$Z$3, 0)+2)&lt;&gt;0,
INDEX(貼り付け用!A:Z, ROW(T59)+1, MATCH("おやつ", 貼り付け用!$A$3:$Z$3, 0)+2),""))</f>
        <v>#N/A</v>
      </c>
    </row>
    <row r="60" spans="1:23" x14ac:dyDescent="0.45">
      <c r="A60" s="4" t="e">
        <f>IF(貼り付け用!$A$6&lt;&gt;"",
IF(ROW(A59)+1&gt;=MATCH("*10000*", 貼り付け用!$A:$A, 0),
IF(COUNTIF(A58,"*10000*"),"10001",
IF(COUNTIF(A58,"*10001*"),"10002",
IF(COUNTIF(A58,"*10002*"),"",
IF(COUNTIF(A58,""),"","10000")))),
IF(貼り付け用!A60&lt;&gt;"",貼り付け用!A60,"")),
IF(ROW(A60)+1&gt;=MATCH("*10000*", 貼り付け用!$A:$A, 0),
IF(COUNTIF(A58,"*10000*"),"10001",
IF(COUNTIF(A58,"*10001*"),"10002",
IF(COUNTIF(A58,"*10002*"),"",
IF(COUNTIF(A58,""),"","10000")))),
IF(貼り付け用!A61&lt;&gt;"",貼り付け用!A61,"")))</f>
        <v>#N/A</v>
      </c>
      <c r="B60" s="19" t="e">
        <f>IF(貼り付け用!$A$6&lt;&gt;"",
IF(ROW(B59)+2&gt;=MATCH("*【合計】*", 貼り付け用!$A:$A, 0),"",
IF(貼り付け用!B60&lt;&gt;"",貼り付け用!B60,"")),
IF(ROW(B60)+2&gt;=MATCH("*【合計】*", 貼り付け用!$A:$A, 0),"",
IF(貼り付け用!B61&lt;&gt;"",貼り付け用!B61,"")))</f>
        <v>#N/A</v>
      </c>
      <c r="C60" s="19" t="e">
        <f>IF(貼り付け用!$A$6&lt;&gt;"",
IF(ROW(C59)+2&gt;=MATCH("*【合計】*", 貼り付け用!$A:$A, 0),"",
IF(貼り付け用!C60&lt;&gt;"",貼り付け用!C60,"")),
IF(ROW(C60)+2&gt;=MATCH("*【合計】*", 貼り付け用!$A:$A, 0),"",
IF(貼り付け用!C61&lt;&gt;"",貼り付け用!C61,"")))</f>
        <v>#N/A</v>
      </c>
      <c r="D60" s="19" t="e">
        <f>IF(貼り付け用!$A$6&lt;&gt;"",
IF(ROW(D59)+2&gt;=MATCH("*【合計】*", 貼り付け用!$A:$A, 0),"",
IF(貼り付け用!D60&lt;&gt;"",貼り付け用!D60,"")),
IF(ROW(D60)+2&gt;=MATCH("*【合計】*", 貼り付け用!$A:$A, 0),"",
IF(貼り付け用!D61&lt;&gt;"",貼り付け用!D61,"")))</f>
        <v>#N/A</v>
      </c>
      <c r="E60" s="19" t="e">
        <f>IF(貼り付け用!$A$6&lt;&gt;"",
IF(ROW(E59)+2&gt;=MATCH("*【合計】*", 貼り付け用!$A:$A, 0),"",
IF(貼り付け用!E60&lt;&gt;"",貼り付け用!E60,"")),
IF(ROW(E60)+2&gt;=MATCH("*【合計】*", 貼り付け用!$A:$A, 0),"",
IF(貼り付け用!E61&lt;&gt;"",貼り付け用!E61,"")))</f>
        <v>#N/A</v>
      </c>
      <c r="F60" s="19" t="e">
        <f>IF(貼り付け用!$A$6&lt;&gt;"",
IF(ROW(F59)+2&gt;=MATCH("*【合計】*", 貼り付け用!$A:$A, 0),"",
IF(貼り付け用!F60&lt;&gt;"",貼り付け用!F60,"")),
IF(ROW(F60)+2&gt;=MATCH("*【合計】*", 貼り付け用!$A:$A, 0),"",
IF(貼り付け用!F61&lt;&gt;"",貼り付け用!F61,"")))</f>
        <v>#N/A</v>
      </c>
      <c r="G60" s="19" t="e">
        <f>IF(貼り付け用!$A$6&lt;&gt;"",
IF(ROW(G59)+2&gt;=MATCH("*【合計】*", 貼り付け用!$A:$A, 0),"",
IF(貼り付け用!G60&lt;&gt;"",貼り付け用!G60,"")),
IF(ROW(G60)+2&gt;=MATCH("*【合計】*", 貼り付け用!$A:$A, 0),"",
IF(貼り付け用!G61&lt;&gt;"",貼り付け用!G61,"")))</f>
        <v>#N/A</v>
      </c>
      <c r="H60" s="19" t="e">
        <f>IF(貼り付け用!$A$6&lt;&gt;"",
IF(ROW(H59)+2&gt;=MATCH("*【合計】*", 貼り付け用!$A:$A, 0),"",
IF(貼り付け用!H60&lt;&gt;"",貼り付け用!H60,"")),
IF(ROW(H60)+2&gt;=MATCH("*【合計】*", 貼り付け用!$A:$A, 0),"",
IF(貼り付け用!H61&lt;&gt;"",貼り付け用!H61,"")))</f>
        <v>#N/A</v>
      </c>
      <c r="I60" s="19" t="e">
        <f>IF(貼り付け用!$A$6&lt;&gt;"",
IF(ROW(I59)+2&gt;=MATCH("*【合計】*", 貼り付け用!$A:$A, 0),"",
IF(貼り付け用!I60&lt;&gt;"",貼り付け用!I60,"")),
IF(ROW(I60)+2&gt;=MATCH("*【合計】*", 貼り付け用!$A:$A, 0),"",
IF(貼り付け用!I61&lt;&gt;"",貼り付け用!I61,"")))</f>
        <v>#N/A</v>
      </c>
      <c r="J60" s="19" t="e">
        <f>IF(貼り付け用!$A$6&lt;&gt;"",
IF(ROW(J59)+2&gt;=MATCH("*【合計】*", 貼り付け用!$A:$A, 0),"",
IF(貼り付け用!J60&lt;&gt;"",貼り付け用!J60,"")),
IF(ROW(J60)+2&gt;=MATCH("*【合計】*", 貼り付け用!$A:$A, 0),"",
IF(貼り付け用!J61&lt;&gt;"",貼り付け用!J61,"")))</f>
        <v>#N/A</v>
      </c>
      <c r="K60" s="19" t="e">
        <f>IF(貼り付け用!$A$6&lt;&gt;"",
IF(ROW(K59)+2&gt;=MATCH("*【合計】*", 貼り付け用!$A:$A, 0),"",
IF(貼り付け用!K60&lt;&gt;"",貼り付け用!K60,"")),
IF(ROW(K60)+2&gt;=MATCH("*【合計】*", 貼り付け用!$A:$A, 0),"",
IF(貼り付け用!K61&lt;&gt;"",貼り付け用!K61,"")))</f>
        <v>#N/A</v>
      </c>
      <c r="L60" s="19" t="e">
        <f>IF(貼り付け用!$A$6&lt;&gt;"",
IF(ROW(L59)+2&gt;=MATCH("*【合計】*", 貼り付け用!$A:$A, 0),"",
IF(L$3&lt;&gt;"",IF(貼り付け用!L60&lt;&gt;"",貼り付け用!L60,""),"")),
IF(ROW(L60)+2&gt;=MATCH("*【合計】*", 貼り付け用!$A:$A, 0),"",
IF(L$3&lt;&gt;"",IF(貼り付け用!L61&lt;&gt;"",貼り付け用!L61,""),"")))</f>
        <v>#N/A</v>
      </c>
      <c r="M60" s="19" t="e">
        <f>IF(貼り付け用!$A$6&lt;&gt;"",
IF(ROW(M59)+2&gt;=MATCH("*【合計】*", 貼り付け用!$A:$A, 0),"",
IF(M$3&lt;&gt;"",IF(貼り付け用!M60&lt;&gt;"",貼り付け用!M60,""),"")),
IF(ROW(M60)+2&gt;=MATCH("*【合計】*", 貼り付け用!$A:$A, 0),"",
IF(M$3&lt;&gt;"",IF(貼り付け用!M61&lt;&gt;"",貼り付け用!M61,""),"")))</f>
        <v>#N/A</v>
      </c>
      <c r="N60" s="19" t="e">
        <f>IF(貼り付け用!$A$6&lt;&gt;"",
IF(ROW(N59)+2&gt;=MATCH("*【合計】*", 貼り付け用!$A:$A, 0),"",
IF(N$3&lt;&gt;"",IF(貼り付け用!N60&lt;&gt;"",貼り付け用!N60,""),"")),
IF(ROW(N60)+2&gt;=MATCH("*【合計】*", 貼り付け用!$A:$A, 0),"",
IF(N$3&lt;&gt;"",IF(貼り付け用!N61&lt;&gt;"",貼り付け用!N61,""),"")))</f>
        <v>#N/A</v>
      </c>
      <c r="O60" s="19" t="e">
        <f>IF(貼り付け用!$A$6&lt;&gt;"",
IF(ROW(O59)+2&gt;=MATCH("*【合計】*", 貼り付け用!$A:$A, 0),"",
IF(O$3&lt;&gt;"",IF(貼り付け用!O60&lt;&gt;"",貼り付け用!O60,""),"")),
IF(ROW(O60)+2&gt;=MATCH("*【合計】*", 貼り付け用!$A:$A, 0),"",
IF(O$3&lt;&gt;"",IF(貼り付け用!O61&lt;&gt;"",貼り付け用!O61,""),"")))</f>
        <v>#N/A</v>
      </c>
      <c r="P60" s="19" t="e">
        <f>IF(貼り付け用!$A$6&lt;&gt;"",
IF(ROW(P59)+2&gt;=MATCH("*【合計】*", 貼り付け用!$A:$A, 0),"",
IF(P$3&lt;&gt;"",IF(貼り付け用!P60&lt;&gt;"",貼り付け用!P60,""),"")),
IF(ROW(P60)+2&gt;=MATCH("*【合計】*", 貼り付け用!$A:$A, 0),"",
IF(P$3&lt;&gt;"",IF(貼り付け用!P61&lt;&gt;"",貼り付け用!P61,""),"")))</f>
        <v>#N/A</v>
      </c>
      <c r="Q60" s="19" t="e">
        <f>IF(貼り付け用!$A$6&lt;&gt;"",
IF(ROW(Q59)+2&gt;=MATCH("*【合計】*", 貼り付け用!$A:$A, 0),"",
IF(Q$3&lt;&gt;"",IF(貼り付け用!Q60&lt;&gt;"",貼り付け用!Q60,""),"")),
IF(ROW(Q60)+2&gt;=MATCH("*【合計】*", 貼り付け用!$A:$A, 0),"",
IF(Q$3&lt;&gt;"",IF(貼り付け用!Q61&lt;&gt;"",貼り付け用!Q61,""),"")))</f>
        <v>#N/A</v>
      </c>
      <c r="R60" s="19" t="e">
        <f>IF(貼り付け用!$A$6&lt;&gt;"",
IF(ROW(R59)+2&gt;=MATCH("*【合計】*", 貼り付け用!$A:$A, 0),"",
IF(R$3&lt;&gt;"",IF(貼り付け用!R60&lt;&gt;"",貼り付け用!R60,""),"")),
IF(ROW(R60)+2&gt;=MATCH("*【合計】*", 貼り付け用!$A:$A, 0),"",
IF(R$3&lt;&gt;"",IF(貼り付け用!R61&lt;&gt;"",貼り付け用!R61,""),"")))</f>
        <v>#N/A</v>
      </c>
      <c r="S60" s="19" t="e">
        <f>IF(貼り付け用!$A$6&lt;&gt;"",
IF(ROW(S59)+2&gt;=MATCH("*【合計】*", 貼り付け用!$A:$A, 0),"",
IF(S$3&lt;&gt;"",IF(貼り付け用!S60&lt;&gt;"",貼り付け用!S60,""),"")),
IF(ROW(S60)+2&gt;=MATCH("*【合計】*", 貼り付け用!$A:$A, 0),"",
IF(S$3&lt;&gt;"",IF(貼り付け用!S61&lt;&gt;"",貼り付け用!S61,""),"")))</f>
        <v>#N/A</v>
      </c>
      <c r="T60" s="19" t="e">
        <f t="array" ref="T60">IF(貼り付け用!$A$6&lt;&gt;"",
IF(INDEX(貼り付け用!A:Z, ROW(T59)+1, MATCH("おやつ", 貼り付け用!$A$3:$Z$3, 0))&lt;&gt;0,
INDEX(貼り付け用!A:Z, ROW(T59)+1, MATCH("おやつ", 貼り付け用!$A$3:$Z$3, 0)),""),
IF(INDEX(貼り付け用!A:Z, ROW(T60)+1, MATCH("おやつ", 貼り付け用!$A$3:$Z$3, 0))&lt;&gt;0,
INDEX(貼り付け用!A:Z, ROW(T60)+1, MATCH("おやつ", 貼り付け用!$A$3:$Z$3, 0)),""))</f>
        <v>#N/A</v>
      </c>
      <c r="U60" s="16"/>
      <c r="V60" s="5" t="e">
        <f t="array" ref="V60">IF(貼り付け用!$A$6&lt;&gt;"",
IF(INDEX(貼り付け用!A:Z, ROW(T59)+1, MATCH("おやつ", 貼り付け用!$A$3:$Z$3, 0)+1)&lt;&gt;0,
INDEX(貼り付け用!A:Z, ROW(T59)+1, MATCH("おやつ", 貼り付け用!$A$3:$Z$3, 0)+1),""),
IF(INDEX(貼り付け用!A:Z, ROW(T60)+1, MATCH("おやつ", 貼り付け用!$A$3:$Z$3, 0)+1)&lt;&gt;0,
INDEX(貼り付け用!A:Z, ROW(T60)+1, MATCH("おやつ", 貼り付け用!$A$3:$Z$3, 0)+1),""))</f>
        <v>#N/A</v>
      </c>
      <c r="W60" s="7" t="e">
        <f t="array" ref="W60">IF(貼り付け用!$A$6&lt;&gt;"",
IF(INDEX(貼り付け用!A:Z, ROW(T59)+1, MATCH("おやつ", 貼り付け用!$A$3:$Z$3, 0)+2)&lt;&gt;0,
INDEX(貼り付け用!A:Z, ROW(T59)+1, MATCH("おやつ", 貼り付け用!$A$3:$Z$3, 0)+2),""),
IF(INDEX(貼り付け用!A:Z, ROW(T60)+1, MATCH("おやつ", 貼り付け用!$A$3:$Z$3, 0)+2)&lt;&gt;0,
INDEX(貼り付け用!A:Z, ROW(T60)+1, MATCH("おやつ", 貼り付け用!$A$3:$Z$3, 0)+2),""))</f>
        <v>#N/A</v>
      </c>
    </row>
    <row r="61" spans="1:23" x14ac:dyDescent="0.45">
      <c r="A61" s="10" t="e">
        <f>IF(貼り付け用!$A$6&lt;&gt;"",
IF(ROW(A60)+1&gt;=MATCH("*10000*", 貼り付け用!$A:$A, 0),"",
IF(貼り付け用!A61&lt;&gt;"",貼り付け用!A61,"")),
IF(ROW(A61)+1&gt;=MATCH("*10000*", 貼り付け用!$A:$A, 0),"",
IF(貼り付け用!A62&lt;&gt;"",貼り付け用!A62,"")))</f>
        <v>#N/A</v>
      </c>
      <c r="B61" s="3" t="e">
        <f>IF(貼り付け用!$A$6&lt;&gt;"",
IF(ROW(B60)+2&gt;=MATCH("*【合計】*", 貼り付け用!$A:$A, 0),"",
IF(貼り付け用!B61&lt;&gt;"",貼り付け用!B61,"")),
IF(ROW(B61)+2&gt;=MATCH("*【合計】*", 貼り付け用!$A:$A, 0),"",
IF(貼り付け用!B62&lt;&gt;"",貼り付け用!B62,"")))</f>
        <v>#N/A</v>
      </c>
      <c r="C61" s="3" t="e">
        <f>IF(貼り付け用!$A$6&lt;&gt;"",
IF(ROW(C60)+2&gt;=MATCH("*【合計】*", 貼り付け用!$A:$A, 0),"",
IF(貼り付け用!C61&lt;&gt;"",貼り付け用!C61,"")),
IF(ROW(C61)+2&gt;=MATCH("*【合計】*", 貼り付け用!$A:$A, 0),"",
IF(貼り付け用!C62&lt;&gt;"",貼り付け用!C62,"")))</f>
        <v>#N/A</v>
      </c>
      <c r="D61" s="3" t="e">
        <f>IF(貼り付け用!$A$6&lt;&gt;"",
IF(ROW(D60)+2&gt;=MATCH("*【合計】*", 貼り付け用!$A:$A, 0),"",
IF(貼り付け用!D61&lt;&gt;"",貼り付け用!D61,"")),
IF(ROW(D61)+2&gt;=MATCH("*【合計】*", 貼り付け用!$A:$A, 0),"",
IF(貼り付け用!D62&lt;&gt;"",貼り付け用!D62,"")))</f>
        <v>#N/A</v>
      </c>
      <c r="E61" s="3" t="e">
        <f>IF(貼り付け用!$A$6&lt;&gt;"",
IF(ROW(E60)+2&gt;=MATCH("*【合計】*", 貼り付け用!$A:$A, 0),"",
IF(貼り付け用!E61&lt;&gt;"",貼り付け用!E61,"")),
IF(ROW(E61)+2&gt;=MATCH("*【合計】*", 貼り付け用!$A:$A, 0),"",
IF(貼り付け用!E62&lt;&gt;"",貼り付け用!E62,"")))</f>
        <v>#N/A</v>
      </c>
      <c r="F61" s="3" t="e">
        <f>IF(貼り付け用!$A$6&lt;&gt;"",
IF(ROW(F60)+2&gt;=MATCH("*【合計】*", 貼り付け用!$A:$A, 0),"",
IF(貼り付け用!F61&lt;&gt;"",貼り付け用!F61,"")),
IF(ROW(F61)+2&gt;=MATCH("*【合計】*", 貼り付け用!$A:$A, 0),"",
IF(貼り付け用!F62&lt;&gt;"",貼り付け用!F62,"")))</f>
        <v>#N/A</v>
      </c>
      <c r="G61" s="3" t="e">
        <f>IF(貼り付け用!$A$6&lt;&gt;"",
IF(ROW(G60)+2&gt;=MATCH("*【合計】*", 貼り付け用!$A:$A, 0),"",
IF(貼り付け用!G61&lt;&gt;"",貼り付け用!G61,"")),
IF(ROW(G61)+2&gt;=MATCH("*【合計】*", 貼り付け用!$A:$A, 0),"",
IF(貼り付け用!G62&lt;&gt;"",貼り付け用!G62,"")))</f>
        <v>#N/A</v>
      </c>
      <c r="H61" s="3" t="e">
        <f>IF(貼り付け用!$A$6&lt;&gt;"",
IF(ROW(H60)+2&gt;=MATCH("*【合計】*", 貼り付け用!$A:$A, 0),"",
IF(貼り付け用!H61&lt;&gt;"",貼り付け用!H61,"")),
IF(ROW(H61)+2&gt;=MATCH("*【合計】*", 貼り付け用!$A:$A, 0),"",
IF(貼り付け用!H62&lt;&gt;"",貼り付け用!H62,"")))</f>
        <v>#N/A</v>
      </c>
      <c r="I61" s="3" t="e">
        <f>IF(貼り付け用!$A$6&lt;&gt;"",
IF(ROW(I60)+2&gt;=MATCH("*【合計】*", 貼り付け用!$A:$A, 0),"",
IF(貼り付け用!I61&lt;&gt;"",貼り付け用!I61,"")),
IF(ROW(I61)+2&gt;=MATCH("*【合計】*", 貼り付け用!$A:$A, 0),"",
IF(貼り付け用!I62&lt;&gt;"",貼り付け用!I62,"")))</f>
        <v>#N/A</v>
      </c>
      <c r="J61" s="3" t="e">
        <f>IF(貼り付け用!$A$6&lt;&gt;"",
IF(ROW(J60)+2&gt;=MATCH("*【合計】*", 貼り付け用!$A:$A, 0),"",
IF(貼り付け用!J61&lt;&gt;"",貼り付け用!J61,"")),
IF(ROW(J61)+2&gt;=MATCH("*【合計】*", 貼り付け用!$A:$A, 0),"",
IF(貼り付け用!J62&lt;&gt;"",貼り付け用!J62,"")))</f>
        <v>#N/A</v>
      </c>
      <c r="K61" s="3" t="e">
        <f>IF(貼り付け用!$A$6&lt;&gt;"",
IF(ROW(K60)+2&gt;=MATCH("*【合計】*", 貼り付け用!$A:$A, 0),"",
IF(貼り付け用!K61&lt;&gt;"",貼り付け用!K61,"")),
IF(ROW(K61)+2&gt;=MATCH("*【合計】*", 貼り付け用!$A:$A, 0),"",
IF(貼り付け用!K62&lt;&gt;"",貼り付け用!K62,"")))</f>
        <v>#N/A</v>
      </c>
      <c r="L61" s="3" t="e">
        <f>IF(貼り付け用!$A$6&lt;&gt;"",
IF(ROW(L60)+2&gt;=MATCH("*【合計】*", 貼り付け用!$A:$A, 0),"",
IF(L$3&lt;&gt;"",IF(貼り付け用!L61&lt;&gt;"",貼り付け用!L61,""),"")),
IF(ROW(L61)+2&gt;=MATCH("*【合計】*", 貼り付け用!$A:$A, 0),"",
IF(L$3&lt;&gt;"",IF(貼り付け用!L62&lt;&gt;"",貼り付け用!L62,""),"")))</f>
        <v>#N/A</v>
      </c>
      <c r="M61" s="3" t="e">
        <f>IF(貼り付け用!$A$6&lt;&gt;"",
IF(ROW(M60)+2&gt;=MATCH("*【合計】*", 貼り付け用!$A:$A, 0),"",
IF(M$3&lt;&gt;"",IF(貼り付け用!M61&lt;&gt;"",貼り付け用!M61,""),"")),
IF(ROW(M61)+2&gt;=MATCH("*【合計】*", 貼り付け用!$A:$A, 0),"",
IF(M$3&lt;&gt;"",IF(貼り付け用!M62&lt;&gt;"",貼り付け用!M62,""),"")))</f>
        <v>#N/A</v>
      </c>
      <c r="N61" s="3" t="e">
        <f>IF(貼り付け用!$A$6&lt;&gt;"",
IF(ROW(N60)+2&gt;=MATCH("*【合計】*", 貼り付け用!$A:$A, 0),"",
IF(N$3&lt;&gt;"",IF(貼り付け用!N61&lt;&gt;"",貼り付け用!N61,""),"")),
IF(ROW(N61)+2&gt;=MATCH("*【合計】*", 貼り付け用!$A:$A, 0),"",
IF(N$3&lt;&gt;"",IF(貼り付け用!N62&lt;&gt;"",貼り付け用!N62,""),"")))</f>
        <v>#N/A</v>
      </c>
      <c r="O61" s="3" t="e">
        <f>IF(貼り付け用!$A$6&lt;&gt;"",
IF(ROW(O60)+2&gt;=MATCH("*【合計】*", 貼り付け用!$A:$A, 0),"",
IF(O$3&lt;&gt;"",IF(貼り付け用!O61&lt;&gt;"",貼り付け用!O61,""),"")),
IF(ROW(O61)+2&gt;=MATCH("*【合計】*", 貼り付け用!$A:$A, 0),"",
IF(O$3&lt;&gt;"",IF(貼り付け用!O62&lt;&gt;"",貼り付け用!O62,""),"")))</f>
        <v>#N/A</v>
      </c>
      <c r="P61" s="3" t="e">
        <f>IF(貼り付け用!$A$6&lt;&gt;"",
IF(ROW(P60)+2&gt;=MATCH("*【合計】*", 貼り付け用!$A:$A, 0),"",
IF(P$3&lt;&gt;"",IF(貼り付け用!P61&lt;&gt;"",貼り付け用!P61,""),"")),
IF(ROW(P61)+2&gt;=MATCH("*【合計】*", 貼り付け用!$A:$A, 0),"",
IF(P$3&lt;&gt;"",IF(貼り付け用!P62&lt;&gt;"",貼り付け用!P62,""),"")))</f>
        <v>#N/A</v>
      </c>
      <c r="Q61" s="3" t="e">
        <f>IF(貼り付け用!$A$6&lt;&gt;"",
IF(ROW(Q60)+2&gt;=MATCH("*【合計】*", 貼り付け用!$A:$A, 0),"",
IF(Q$3&lt;&gt;"",IF(貼り付け用!Q61&lt;&gt;"",貼り付け用!Q61,""),"")),
IF(ROW(Q61)+2&gt;=MATCH("*【合計】*", 貼り付け用!$A:$A, 0),"",
IF(Q$3&lt;&gt;"",IF(貼り付け用!Q62&lt;&gt;"",貼り付け用!Q62,""),"")))</f>
        <v>#N/A</v>
      </c>
      <c r="R61" s="3" t="e">
        <f>IF(貼り付け用!$A$6&lt;&gt;"",
IF(ROW(R60)+2&gt;=MATCH("*【合計】*", 貼り付け用!$A:$A, 0),"",
IF(R$3&lt;&gt;"",IF(貼り付け用!R61&lt;&gt;"",貼り付け用!R61,""),"")),
IF(ROW(R61)+2&gt;=MATCH("*【合計】*", 貼り付け用!$A:$A, 0),"",
IF(R$3&lt;&gt;"",IF(貼り付け用!R62&lt;&gt;"",貼り付け用!R62,""),"")))</f>
        <v>#N/A</v>
      </c>
      <c r="S61" s="3" t="e">
        <f>IF(貼り付け用!$A$6&lt;&gt;"",
IF(ROW(S60)+2&gt;=MATCH("*【合計】*", 貼り付け用!$A:$A, 0),"",
IF(S$3&lt;&gt;"",IF(貼り付け用!S61&lt;&gt;"",貼り付け用!S61,""),"")),
IF(ROW(S61)+2&gt;=MATCH("*【合計】*", 貼り付け用!$A:$A, 0),"",
IF(S$3&lt;&gt;"",IF(貼り付け用!S62&lt;&gt;"",貼り付け用!S62,""),"")))</f>
        <v>#N/A</v>
      </c>
      <c r="T61" s="2" t="e">
        <f t="array" ref="T61">IF(貼り付け用!$A$6&lt;&gt;"",
IF(INDEX(貼り付け用!A:Z, ROW(T60)+1, MATCH("おやつ", 貼り付け用!$A$3:$Z$3, 0))&lt;&gt;0,
INDEX(貼り付け用!A:Z, ROW(T60)+1, MATCH("おやつ", 貼り付け用!$A$3:$Z$3, 0)),""),
IF(INDEX(貼り付け用!A:Z, ROW(T61)+1, MATCH("おやつ", 貼り付け用!$A$3:$Z$3, 0))&lt;&gt;0,
INDEX(貼り付け用!A:Z, ROW(T61)+1, MATCH("おやつ", 貼り付け用!$A$3:$Z$3, 0)),""))</f>
        <v>#N/A</v>
      </c>
      <c r="U61" s="52"/>
      <c r="V61" s="8" t="e">
        <f t="array" ref="V61">IF(貼り付け用!$A$6&lt;&gt;"",
IF(INDEX(貼り付け用!A:Z, ROW(T60)+1, MATCH("おやつ", 貼り付け用!$A$3:$Z$3, 0)+1)&lt;&gt;0,
INDEX(貼り付け用!A:Z, ROW(T60)+1, MATCH("おやつ", 貼り付け用!$A$3:$Z$3, 0)+1),""),
IF(INDEX(貼り付け用!A:Z, ROW(T61)+1, MATCH("おやつ", 貼り付け用!$A$3:$Z$3, 0)+1)&lt;&gt;0,
INDEX(貼り付け用!A:Z, ROW(T61)+1, MATCH("おやつ", 貼り付け用!$A$3:$Z$3, 0)+1),""))</f>
        <v>#N/A</v>
      </c>
      <c r="W61" s="9" t="e">
        <f t="array" ref="W61">IF(貼り付け用!$A$6&lt;&gt;"",
IF(INDEX(貼り付け用!A:Z, ROW(T60)+1, MATCH("おやつ", 貼り付け用!$A$3:$Z$3, 0)+2)&lt;&gt;0,
INDEX(貼り付け用!A:Z, ROW(T60)+1, MATCH("おやつ", 貼り付け用!$A$3:$Z$3, 0)+2),""),
IF(INDEX(貼り付け用!A:Z, ROW(T61)+1, MATCH("おやつ", 貼り付け用!$A$3:$Z$3, 0)+2)&lt;&gt;0,
INDEX(貼り付け用!A:Z, ROW(T61)+1, MATCH("おやつ", 貼り付け用!$A$3:$Z$3, 0)+2),""))</f>
        <v>#N/A</v>
      </c>
    </row>
    <row r="62" spans="1:23" x14ac:dyDescent="0.45">
      <c r="A62" s="4" t="e">
        <f>IF(貼り付け用!$A$6&lt;&gt;"",
IF(ROW(A61)+1&gt;=MATCH("*10000*", 貼り付け用!$A:$A, 0),
IF(COUNTIF(A60,"*10000*"),"10001",
IF(COUNTIF(A60,"*10001*"),"10002",
IF(COUNTIF(A60,"*10002*"),"",
IF(COUNTIF(A60,""),"","10000")))),
IF(貼り付け用!A62&lt;&gt;"",貼り付け用!A62,"")),
IF(ROW(A62)+1&gt;=MATCH("*10000*", 貼り付け用!$A:$A, 0),
IF(COUNTIF(A60,"*10000*"),"10001",
IF(COUNTIF(A60,"*10001*"),"10002",
IF(COUNTIF(A60,"*10002*"),"",
IF(COUNTIF(A60,""),"","10000")))),
IF(貼り付け用!A63&lt;&gt;"",貼り付け用!A63,"")))</f>
        <v>#N/A</v>
      </c>
      <c r="B62" s="19" t="e">
        <f>IF(貼り付け用!$A$6&lt;&gt;"",
IF(ROW(B61)+2&gt;=MATCH("*【合計】*", 貼り付け用!$A:$A, 0),"",
IF(貼り付け用!B62&lt;&gt;"",貼り付け用!B62,"")),
IF(ROW(B62)+2&gt;=MATCH("*【合計】*", 貼り付け用!$A:$A, 0),"",
IF(貼り付け用!B63&lt;&gt;"",貼り付け用!B63,"")))</f>
        <v>#N/A</v>
      </c>
      <c r="C62" s="19" t="e">
        <f>IF(貼り付け用!$A$6&lt;&gt;"",
IF(ROW(C61)+2&gt;=MATCH("*【合計】*", 貼り付け用!$A:$A, 0),"",
IF(貼り付け用!C62&lt;&gt;"",貼り付け用!C62,"")),
IF(ROW(C62)+2&gt;=MATCH("*【合計】*", 貼り付け用!$A:$A, 0),"",
IF(貼り付け用!C63&lt;&gt;"",貼り付け用!C63,"")))</f>
        <v>#N/A</v>
      </c>
      <c r="D62" s="19" t="e">
        <f>IF(貼り付け用!$A$6&lt;&gt;"",
IF(ROW(D61)+2&gt;=MATCH("*【合計】*", 貼り付け用!$A:$A, 0),"",
IF(貼り付け用!D62&lt;&gt;"",貼り付け用!D62,"")),
IF(ROW(D62)+2&gt;=MATCH("*【合計】*", 貼り付け用!$A:$A, 0),"",
IF(貼り付け用!D63&lt;&gt;"",貼り付け用!D63,"")))</f>
        <v>#N/A</v>
      </c>
      <c r="E62" s="19" t="e">
        <f>IF(貼り付け用!$A$6&lt;&gt;"",
IF(ROW(E61)+2&gt;=MATCH("*【合計】*", 貼り付け用!$A:$A, 0),"",
IF(貼り付け用!E62&lt;&gt;"",貼り付け用!E62,"")),
IF(ROW(E62)+2&gt;=MATCH("*【合計】*", 貼り付け用!$A:$A, 0),"",
IF(貼り付け用!E63&lt;&gt;"",貼り付け用!E63,"")))</f>
        <v>#N/A</v>
      </c>
      <c r="F62" s="19" t="e">
        <f>IF(貼り付け用!$A$6&lt;&gt;"",
IF(ROW(F61)+2&gt;=MATCH("*【合計】*", 貼り付け用!$A:$A, 0),"",
IF(貼り付け用!F62&lt;&gt;"",貼り付け用!F62,"")),
IF(ROW(F62)+2&gt;=MATCH("*【合計】*", 貼り付け用!$A:$A, 0),"",
IF(貼り付け用!F63&lt;&gt;"",貼り付け用!F63,"")))</f>
        <v>#N/A</v>
      </c>
      <c r="G62" s="19" t="e">
        <f>IF(貼り付け用!$A$6&lt;&gt;"",
IF(ROW(G61)+2&gt;=MATCH("*【合計】*", 貼り付け用!$A:$A, 0),"",
IF(貼り付け用!G62&lt;&gt;"",貼り付け用!G62,"")),
IF(ROW(G62)+2&gt;=MATCH("*【合計】*", 貼り付け用!$A:$A, 0),"",
IF(貼り付け用!G63&lt;&gt;"",貼り付け用!G63,"")))</f>
        <v>#N/A</v>
      </c>
      <c r="H62" s="19" t="e">
        <f>IF(貼り付け用!$A$6&lt;&gt;"",
IF(ROW(H61)+2&gt;=MATCH("*【合計】*", 貼り付け用!$A:$A, 0),"",
IF(貼り付け用!H62&lt;&gt;"",貼り付け用!H62,"")),
IF(ROW(H62)+2&gt;=MATCH("*【合計】*", 貼り付け用!$A:$A, 0),"",
IF(貼り付け用!H63&lt;&gt;"",貼り付け用!H63,"")))</f>
        <v>#N/A</v>
      </c>
      <c r="I62" s="19" t="e">
        <f>IF(貼り付け用!$A$6&lt;&gt;"",
IF(ROW(I61)+2&gt;=MATCH("*【合計】*", 貼り付け用!$A:$A, 0),"",
IF(貼り付け用!I62&lt;&gt;"",貼り付け用!I62,"")),
IF(ROW(I62)+2&gt;=MATCH("*【合計】*", 貼り付け用!$A:$A, 0),"",
IF(貼り付け用!I63&lt;&gt;"",貼り付け用!I63,"")))</f>
        <v>#N/A</v>
      </c>
      <c r="J62" s="19" t="e">
        <f>IF(貼り付け用!$A$6&lt;&gt;"",
IF(ROW(J61)+2&gt;=MATCH("*【合計】*", 貼り付け用!$A:$A, 0),"",
IF(貼り付け用!J62&lt;&gt;"",貼り付け用!J62,"")),
IF(ROW(J62)+2&gt;=MATCH("*【合計】*", 貼り付け用!$A:$A, 0),"",
IF(貼り付け用!J63&lt;&gt;"",貼り付け用!J63,"")))</f>
        <v>#N/A</v>
      </c>
      <c r="K62" s="19" t="e">
        <f>IF(貼り付け用!$A$6&lt;&gt;"",
IF(ROW(K61)+2&gt;=MATCH("*【合計】*", 貼り付け用!$A:$A, 0),"",
IF(貼り付け用!K62&lt;&gt;"",貼り付け用!K62,"")),
IF(ROW(K62)+2&gt;=MATCH("*【合計】*", 貼り付け用!$A:$A, 0),"",
IF(貼り付け用!K63&lt;&gt;"",貼り付け用!K63,"")))</f>
        <v>#N/A</v>
      </c>
      <c r="L62" s="19" t="e">
        <f>IF(貼り付け用!$A$6&lt;&gt;"",
IF(ROW(L61)+2&gt;=MATCH("*【合計】*", 貼り付け用!$A:$A, 0),"",
IF(L$3&lt;&gt;"",IF(貼り付け用!L62&lt;&gt;"",貼り付け用!L62,""),"")),
IF(ROW(L62)+2&gt;=MATCH("*【合計】*", 貼り付け用!$A:$A, 0),"",
IF(L$3&lt;&gt;"",IF(貼り付け用!L63&lt;&gt;"",貼り付け用!L63,""),"")))</f>
        <v>#N/A</v>
      </c>
      <c r="M62" s="19" t="e">
        <f>IF(貼り付け用!$A$6&lt;&gt;"",
IF(ROW(M61)+2&gt;=MATCH("*【合計】*", 貼り付け用!$A:$A, 0),"",
IF(M$3&lt;&gt;"",IF(貼り付け用!M62&lt;&gt;"",貼り付け用!M62,""),"")),
IF(ROW(M62)+2&gt;=MATCH("*【合計】*", 貼り付け用!$A:$A, 0),"",
IF(M$3&lt;&gt;"",IF(貼り付け用!M63&lt;&gt;"",貼り付け用!M63,""),"")))</f>
        <v>#N/A</v>
      </c>
      <c r="N62" s="19" t="e">
        <f>IF(貼り付け用!$A$6&lt;&gt;"",
IF(ROW(N61)+2&gt;=MATCH("*【合計】*", 貼り付け用!$A:$A, 0),"",
IF(N$3&lt;&gt;"",IF(貼り付け用!N62&lt;&gt;"",貼り付け用!N62,""),"")),
IF(ROW(N62)+2&gt;=MATCH("*【合計】*", 貼り付け用!$A:$A, 0),"",
IF(N$3&lt;&gt;"",IF(貼り付け用!N63&lt;&gt;"",貼り付け用!N63,""),"")))</f>
        <v>#N/A</v>
      </c>
      <c r="O62" s="19" t="e">
        <f>IF(貼り付け用!$A$6&lt;&gt;"",
IF(ROW(O61)+2&gt;=MATCH("*【合計】*", 貼り付け用!$A:$A, 0),"",
IF(O$3&lt;&gt;"",IF(貼り付け用!O62&lt;&gt;"",貼り付け用!O62,""),"")),
IF(ROW(O62)+2&gt;=MATCH("*【合計】*", 貼り付け用!$A:$A, 0),"",
IF(O$3&lt;&gt;"",IF(貼り付け用!O63&lt;&gt;"",貼り付け用!O63,""),"")))</f>
        <v>#N/A</v>
      </c>
      <c r="P62" s="19" t="e">
        <f>IF(貼り付け用!$A$6&lt;&gt;"",
IF(ROW(P61)+2&gt;=MATCH("*【合計】*", 貼り付け用!$A:$A, 0),"",
IF(P$3&lt;&gt;"",IF(貼り付け用!P62&lt;&gt;"",貼り付け用!P62,""),"")),
IF(ROW(P62)+2&gt;=MATCH("*【合計】*", 貼り付け用!$A:$A, 0),"",
IF(P$3&lt;&gt;"",IF(貼り付け用!P63&lt;&gt;"",貼り付け用!P63,""),"")))</f>
        <v>#N/A</v>
      </c>
      <c r="Q62" s="19" t="e">
        <f>IF(貼り付け用!$A$6&lt;&gt;"",
IF(ROW(Q61)+2&gt;=MATCH("*【合計】*", 貼り付け用!$A:$A, 0),"",
IF(Q$3&lt;&gt;"",IF(貼り付け用!Q62&lt;&gt;"",貼り付け用!Q62,""),"")),
IF(ROW(Q62)+2&gt;=MATCH("*【合計】*", 貼り付け用!$A:$A, 0),"",
IF(Q$3&lt;&gt;"",IF(貼り付け用!Q63&lt;&gt;"",貼り付け用!Q63,""),"")))</f>
        <v>#N/A</v>
      </c>
      <c r="R62" s="19" t="e">
        <f>IF(貼り付け用!$A$6&lt;&gt;"",
IF(ROW(R61)+2&gt;=MATCH("*【合計】*", 貼り付け用!$A:$A, 0),"",
IF(R$3&lt;&gt;"",IF(貼り付け用!R62&lt;&gt;"",貼り付け用!R62,""),"")),
IF(ROW(R62)+2&gt;=MATCH("*【合計】*", 貼り付け用!$A:$A, 0),"",
IF(R$3&lt;&gt;"",IF(貼り付け用!R63&lt;&gt;"",貼り付け用!R63,""),"")))</f>
        <v>#N/A</v>
      </c>
      <c r="S62" s="19" t="e">
        <f>IF(貼り付け用!$A$6&lt;&gt;"",
IF(ROW(S61)+2&gt;=MATCH("*【合計】*", 貼り付け用!$A:$A, 0),"",
IF(S$3&lt;&gt;"",IF(貼り付け用!S62&lt;&gt;"",貼り付け用!S62,""),"")),
IF(ROW(S62)+2&gt;=MATCH("*【合計】*", 貼り付け用!$A:$A, 0),"",
IF(S$3&lt;&gt;"",IF(貼り付け用!S63&lt;&gt;"",貼り付け用!S63,""),"")))</f>
        <v>#N/A</v>
      </c>
      <c r="T62" s="19" t="e">
        <f t="array" ref="T62">IF(貼り付け用!$A$6&lt;&gt;"",
IF(INDEX(貼り付け用!A:Z, ROW(T61)+1, MATCH("おやつ", 貼り付け用!$A$3:$Z$3, 0))&lt;&gt;0,
INDEX(貼り付け用!A:Z, ROW(T61)+1, MATCH("おやつ", 貼り付け用!$A$3:$Z$3, 0)),""),
IF(INDEX(貼り付け用!A:Z, ROW(T62)+1, MATCH("おやつ", 貼り付け用!$A$3:$Z$3, 0))&lt;&gt;0,
INDEX(貼り付け用!A:Z, ROW(T62)+1, MATCH("おやつ", 貼り付け用!$A$3:$Z$3, 0)),""))</f>
        <v>#N/A</v>
      </c>
      <c r="U62" s="16"/>
      <c r="V62" s="5" t="e">
        <f t="array" ref="V62">IF(貼り付け用!$A$6&lt;&gt;"",
IF(INDEX(貼り付け用!A:Z, ROW(T61)+1, MATCH("おやつ", 貼り付け用!$A$3:$Z$3, 0)+1)&lt;&gt;0,
INDEX(貼り付け用!A:Z, ROW(T61)+1, MATCH("おやつ", 貼り付け用!$A$3:$Z$3, 0)+1),""),
IF(INDEX(貼り付け用!A:Z, ROW(T62)+1, MATCH("おやつ", 貼り付け用!$A$3:$Z$3, 0)+1)&lt;&gt;0,
INDEX(貼り付け用!A:Z, ROW(T62)+1, MATCH("おやつ", 貼り付け用!$A$3:$Z$3, 0)+1),""))</f>
        <v>#N/A</v>
      </c>
      <c r="W62" s="7" t="e">
        <f t="array" ref="W62">IF(貼り付け用!$A$6&lt;&gt;"",
IF(INDEX(貼り付け用!A:Z, ROW(T61)+1, MATCH("おやつ", 貼り付け用!$A$3:$Z$3, 0)+2)&lt;&gt;0,
INDEX(貼り付け用!A:Z, ROW(T61)+1, MATCH("おやつ", 貼り付け用!$A$3:$Z$3, 0)+2),""),
IF(INDEX(貼り付け用!A:Z, ROW(T62)+1, MATCH("おやつ", 貼り付け用!$A$3:$Z$3, 0)+2)&lt;&gt;0,
INDEX(貼り付け用!A:Z, ROW(T62)+1, MATCH("おやつ", 貼り付け用!$A$3:$Z$3, 0)+2),""))</f>
        <v>#N/A</v>
      </c>
    </row>
    <row r="63" spans="1:23" x14ac:dyDescent="0.45">
      <c r="A63" s="10" t="e">
        <f>IF(貼り付け用!$A$6&lt;&gt;"",
IF(ROW(A62)+1&gt;=MATCH("*10000*", 貼り付け用!$A:$A, 0),"",
IF(貼り付け用!A63&lt;&gt;"",貼り付け用!A63,"")),
IF(ROW(A63)+1&gt;=MATCH("*10000*", 貼り付け用!$A:$A, 0),"",
IF(貼り付け用!A64&lt;&gt;"",貼り付け用!A64,"")))</f>
        <v>#N/A</v>
      </c>
      <c r="B63" s="3" t="e">
        <f>IF(貼り付け用!$A$6&lt;&gt;"",
IF(ROW(B62)+2&gt;=MATCH("*【合計】*", 貼り付け用!$A:$A, 0),"",
IF(貼り付け用!B63&lt;&gt;"",貼り付け用!B63,"")),
IF(ROW(B63)+2&gt;=MATCH("*【合計】*", 貼り付け用!$A:$A, 0),"",
IF(貼り付け用!B64&lt;&gt;"",貼り付け用!B64,"")))</f>
        <v>#N/A</v>
      </c>
      <c r="C63" s="3" t="e">
        <f>IF(貼り付け用!$A$6&lt;&gt;"",
IF(ROW(C62)+2&gt;=MATCH("*【合計】*", 貼り付け用!$A:$A, 0),"",
IF(貼り付け用!C63&lt;&gt;"",貼り付け用!C63,"")),
IF(ROW(C63)+2&gt;=MATCH("*【合計】*", 貼り付け用!$A:$A, 0),"",
IF(貼り付け用!C64&lt;&gt;"",貼り付け用!C64,"")))</f>
        <v>#N/A</v>
      </c>
      <c r="D63" s="3" t="e">
        <f>IF(貼り付け用!$A$6&lt;&gt;"",
IF(ROW(D62)+2&gt;=MATCH("*【合計】*", 貼り付け用!$A:$A, 0),"",
IF(貼り付け用!D63&lt;&gt;"",貼り付け用!D63,"")),
IF(ROW(D63)+2&gt;=MATCH("*【合計】*", 貼り付け用!$A:$A, 0),"",
IF(貼り付け用!D64&lt;&gt;"",貼り付け用!D64,"")))</f>
        <v>#N/A</v>
      </c>
      <c r="E63" s="3" t="e">
        <f>IF(貼り付け用!$A$6&lt;&gt;"",
IF(ROW(E62)+2&gt;=MATCH("*【合計】*", 貼り付け用!$A:$A, 0),"",
IF(貼り付け用!E63&lt;&gt;"",貼り付け用!E63,"")),
IF(ROW(E63)+2&gt;=MATCH("*【合計】*", 貼り付け用!$A:$A, 0),"",
IF(貼り付け用!E64&lt;&gt;"",貼り付け用!E64,"")))</f>
        <v>#N/A</v>
      </c>
      <c r="F63" s="3" t="e">
        <f>IF(貼り付け用!$A$6&lt;&gt;"",
IF(ROW(F62)+2&gt;=MATCH("*【合計】*", 貼り付け用!$A:$A, 0),"",
IF(貼り付け用!F63&lt;&gt;"",貼り付け用!F63,"")),
IF(ROW(F63)+2&gt;=MATCH("*【合計】*", 貼り付け用!$A:$A, 0),"",
IF(貼り付け用!F64&lt;&gt;"",貼り付け用!F64,"")))</f>
        <v>#N/A</v>
      </c>
      <c r="G63" s="3" t="e">
        <f>IF(貼り付け用!$A$6&lt;&gt;"",
IF(ROW(G62)+2&gt;=MATCH("*【合計】*", 貼り付け用!$A:$A, 0),"",
IF(貼り付け用!G63&lt;&gt;"",貼り付け用!G63,"")),
IF(ROW(G63)+2&gt;=MATCH("*【合計】*", 貼り付け用!$A:$A, 0),"",
IF(貼り付け用!G64&lt;&gt;"",貼り付け用!G64,"")))</f>
        <v>#N/A</v>
      </c>
      <c r="H63" s="3" t="e">
        <f>IF(貼り付け用!$A$6&lt;&gt;"",
IF(ROW(H62)+2&gt;=MATCH("*【合計】*", 貼り付け用!$A:$A, 0),"",
IF(貼り付け用!H63&lt;&gt;"",貼り付け用!H63,"")),
IF(ROW(H63)+2&gt;=MATCH("*【合計】*", 貼り付け用!$A:$A, 0),"",
IF(貼り付け用!H64&lt;&gt;"",貼り付け用!H64,"")))</f>
        <v>#N/A</v>
      </c>
      <c r="I63" s="3" t="e">
        <f>IF(貼り付け用!$A$6&lt;&gt;"",
IF(ROW(I62)+2&gt;=MATCH("*【合計】*", 貼り付け用!$A:$A, 0),"",
IF(貼り付け用!I63&lt;&gt;"",貼り付け用!I63,"")),
IF(ROW(I63)+2&gt;=MATCH("*【合計】*", 貼り付け用!$A:$A, 0),"",
IF(貼り付け用!I64&lt;&gt;"",貼り付け用!I64,"")))</f>
        <v>#N/A</v>
      </c>
      <c r="J63" s="3" t="e">
        <f>IF(貼り付け用!$A$6&lt;&gt;"",
IF(ROW(J62)+2&gt;=MATCH("*【合計】*", 貼り付け用!$A:$A, 0),"",
IF(貼り付け用!J63&lt;&gt;"",貼り付け用!J63,"")),
IF(ROW(J63)+2&gt;=MATCH("*【合計】*", 貼り付け用!$A:$A, 0),"",
IF(貼り付け用!J64&lt;&gt;"",貼り付け用!J64,"")))</f>
        <v>#N/A</v>
      </c>
      <c r="K63" s="3" t="e">
        <f>IF(貼り付け用!$A$6&lt;&gt;"",
IF(ROW(K62)+2&gt;=MATCH("*【合計】*", 貼り付け用!$A:$A, 0),"",
IF(貼り付け用!K63&lt;&gt;"",貼り付け用!K63,"")),
IF(ROW(K63)+2&gt;=MATCH("*【合計】*", 貼り付け用!$A:$A, 0),"",
IF(貼り付け用!K64&lt;&gt;"",貼り付け用!K64,"")))</f>
        <v>#N/A</v>
      </c>
      <c r="L63" s="3" t="e">
        <f>IF(貼り付け用!$A$6&lt;&gt;"",
IF(ROW(L62)+2&gt;=MATCH("*【合計】*", 貼り付け用!$A:$A, 0),"",
IF(L$3&lt;&gt;"",IF(貼り付け用!L63&lt;&gt;"",貼り付け用!L63,""),"")),
IF(ROW(L63)+2&gt;=MATCH("*【合計】*", 貼り付け用!$A:$A, 0),"",
IF(L$3&lt;&gt;"",IF(貼り付け用!L64&lt;&gt;"",貼り付け用!L64,""),"")))</f>
        <v>#N/A</v>
      </c>
      <c r="M63" s="3" t="e">
        <f>IF(貼り付け用!$A$6&lt;&gt;"",
IF(ROW(M62)+2&gt;=MATCH("*【合計】*", 貼り付け用!$A:$A, 0),"",
IF(M$3&lt;&gt;"",IF(貼り付け用!M63&lt;&gt;"",貼り付け用!M63,""),"")),
IF(ROW(M63)+2&gt;=MATCH("*【合計】*", 貼り付け用!$A:$A, 0),"",
IF(M$3&lt;&gt;"",IF(貼り付け用!M64&lt;&gt;"",貼り付け用!M64,""),"")))</f>
        <v>#N/A</v>
      </c>
      <c r="N63" s="3" t="e">
        <f>IF(貼り付け用!$A$6&lt;&gt;"",
IF(ROW(N62)+2&gt;=MATCH("*【合計】*", 貼り付け用!$A:$A, 0),"",
IF(N$3&lt;&gt;"",IF(貼り付け用!N63&lt;&gt;"",貼り付け用!N63,""),"")),
IF(ROW(N63)+2&gt;=MATCH("*【合計】*", 貼り付け用!$A:$A, 0),"",
IF(N$3&lt;&gt;"",IF(貼り付け用!N64&lt;&gt;"",貼り付け用!N64,""),"")))</f>
        <v>#N/A</v>
      </c>
      <c r="O63" s="3" t="e">
        <f>IF(貼り付け用!$A$6&lt;&gt;"",
IF(ROW(O62)+2&gt;=MATCH("*【合計】*", 貼り付け用!$A:$A, 0),"",
IF(O$3&lt;&gt;"",IF(貼り付け用!O63&lt;&gt;"",貼り付け用!O63,""),"")),
IF(ROW(O63)+2&gt;=MATCH("*【合計】*", 貼り付け用!$A:$A, 0),"",
IF(O$3&lt;&gt;"",IF(貼り付け用!O64&lt;&gt;"",貼り付け用!O64,""),"")))</f>
        <v>#N/A</v>
      </c>
      <c r="P63" s="3" t="e">
        <f>IF(貼り付け用!$A$6&lt;&gt;"",
IF(ROW(P62)+2&gt;=MATCH("*【合計】*", 貼り付け用!$A:$A, 0),"",
IF(P$3&lt;&gt;"",IF(貼り付け用!P63&lt;&gt;"",貼り付け用!P63,""),"")),
IF(ROW(P63)+2&gt;=MATCH("*【合計】*", 貼り付け用!$A:$A, 0),"",
IF(P$3&lt;&gt;"",IF(貼り付け用!P64&lt;&gt;"",貼り付け用!P64,""),"")))</f>
        <v>#N/A</v>
      </c>
      <c r="Q63" s="3" t="e">
        <f>IF(貼り付け用!$A$6&lt;&gt;"",
IF(ROW(Q62)+2&gt;=MATCH("*【合計】*", 貼り付け用!$A:$A, 0),"",
IF(Q$3&lt;&gt;"",IF(貼り付け用!Q63&lt;&gt;"",貼り付け用!Q63,""),"")),
IF(ROW(Q63)+2&gt;=MATCH("*【合計】*", 貼り付け用!$A:$A, 0),"",
IF(Q$3&lt;&gt;"",IF(貼り付け用!Q64&lt;&gt;"",貼り付け用!Q64,""),"")))</f>
        <v>#N/A</v>
      </c>
      <c r="R63" s="3" t="e">
        <f>IF(貼り付け用!$A$6&lt;&gt;"",
IF(ROW(R62)+2&gt;=MATCH("*【合計】*", 貼り付け用!$A:$A, 0),"",
IF(R$3&lt;&gt;"",IF(貼り付け用!R63&lt;&gt;"",貼り付け用!R63,""),"")),
IF(ROW(R63)+2&gt;=MATCH("*【合計】*", 貼り付け用!$A:$A, 0),"",
IF(R$3&lt;&gt;"",IF(貼り付け用!R64&lt;&gt;"",貼り付け用!R64,""),"")))</f>
        <v>#N/A</v>
      </c>
      <c r="S63" s="3" t="e">
        <f>IF(貼り付け用!$A$6&lt;&gt;"",
IF(ROW(S62)+2&gt;=MATCH("*【合計】*", 貼り付け用!$A:$A, 0),"",
IF(S$3&lt;&gt;"",IF(貼り付け用!S63&lt;&gt;"",貼り付け用!S63,""),"")),
IF(ROW(S63)+2&gt;=MATCH("*【合計】*", 貼り付け用!$A:$A, 0),"",
IF(S$3&lt;&gt;"",IF(貼り付け用!S64&lt;&gt;"",貼り付け用!S64,""),"")))</f>
        <v>#N/A</v>
      </c>
      <c r="T63" s="2" t="e">
        <f t="array" ref="T63">IF(貼り付け用!$A$6&lt;&gt;"",
IF(INDEX(貼り付け用!A:Z, ROW(T62)+1, MATCH("おやつ", 貼り付け用!$A$3:$Z$3, 0))&lt;&gt;0,
INDEX(貼り付け用!A:Z, ROW(T62)+1, MATCH("おやつ", 貼り付け用!$A$3:$Z$3, 0)),""),
IF(INDEX(貼り付け用!A:Z, ROW(T63)+1, MATCH("おやつ", 貼り付け用!$A$3:$Z$3, 0))&lt;&gt;0,
INDEX(貼り付け用!A:Z, ROW(T63)+1, MATCH("おやつ", 貼り付け用!$A$3:$Z$3, 0)),""))</f>
        <v>#N/A</v>
      </c>
      <c r="U63" s="52"/>
      <c r="V63" s="8" t="e">
        <f t="array" ref="V63">IF(貼り付け用!$A$6&lt;&gt;"",
IF(INDEX(貼り付け用!A:Z, ROW(T62)+1, MATCH("おやつ", 貼り付け用!$A$3:$Z$3, 0)+1)&lt;&gt;0,
INDEX(貼り付け用!A:Z, ROW(T62)+1, MATCH("おやつ", 貼り付け用!$A$3:$Z$3, 0)+1),""),
IF(INDEX(貼り付け用!A:Z, ROW(T63)+1, MATCH("おやつ", 貼り付け用!$A$3:$Z$3, 0)+1)&lt;&gt;0,
INDEX(貼り付け用!A:Z, ROW(T63)+1, MATCH("おやつ", 貼り付け用!$A$3:$Z$3, 0)+1),""))</f>
        <v>#N/A</v>
      </c>
      <c r="W63" s="9" t="e">
        <f t="array" ref="W63">IF(貼り付け用!$A$6&lt;&gt;"",
IF(INDEX(貼り付け用!A:Z, ROW(T62)+1, MATCH("おやつ", 貼り付け用!$A$3:$Z$3, 0)+2)&lt;&gt;0,
INDEX(貼り付け用!A:Z, ROW(T62)+1, MATCH("おやつ", 貼り付け用!$A$3:$Z$3, 0)+2),""),
IF(INDEX(貼り付け用!A:Z, ROW(T63)+1, MATCH("おやつ", 貼り付け用!$A$3:$Z$3, 0)+2)&lt;&gt;0,
INDEX(貼り付け用!A:Z, ROW(T63)+1, MATCH("おやつ", 貼り付け用!$A$3:$Z$3, 0)+2),""))</f>
        <v>#N/A</v>
      </c>
    </row>
    <row r="64" spans="1:23" x14ac:dyDescent="0.45">
      <c r="A64" s="4" t="e">
        <f>IF(貼り付け用!$A$6&lt;&gt;"",
IF(ROW(A63)+1&gt;=MATCH("*10000*", 貼り付け用!$A:$A, 0),
IF(COUNTIF(A62,"*10000*"),"10001",
IF(COUNTIF(A62,"*10001*"),"10002",
IF(COUNTIF(A62,"*10002*"),"",
IF(COUNTIF(A62,""),"","10000")))),
IF(貼り付け用!A64&lt;&gt;"",貼り付け用!A64,"")),
IF(ROW(A64)+1&gt;=MATCH("*10000*", 貼り付け用!$A:$A, 0),
IF(COUNTIF(A62,"*10000*"),"10001",
IF(COUNTIF(A62,"*10001*"),"10002",
IF(COUNTIF(A62,"*10002*"),"",
IF(COUNTIF(A62,""),"","10000")))),
IF(貼り付け用!A65&lt;&gt;"",貼り付け用!A65,"")))</f>
        <v>#N/A</v>
      </c>
      <c r="B64" s="19" t="e">
        <f>IF(貼り付け用!$A$6&lt;&gt;"",
IF(ROW(B63)+2&gt;=MATCH("*【合計】*", 貼り付け用!$A:$A, 0),"",
IF(貼り付け用!B64&lt;&gt;"",貼り付け用!B64,"")),
IF(ROW(B64)+2&gt;=MATCH("*【合計】*", 貼り付け用!$A:$A, 0),"",
IF(貼り付け用!B65&lt;&gt;"",貼り付け用!B65,"")))</f>
        <v>#N/A</v>
      </c>
      <c r="C64" s="19" t="e">
        <f>IF(貼り付け用!$A$6&lt;&gt;"",
IF(ROW(C63)+2&gt;=MATCH("*【合計】*", 貼り付け用!$A:$A, 0),"",
IF(貼り付け用!C64&lt;&gt;"",貼り付け用!C64,"")),
IF(ROW(C64)+2&gt;=MATCH("*【合計】*", 貼り付け用!$A:$A, 0),"",
IF(貼り付け用!C65&lt;&gt;"",貼り付け用!C65,"")))</f>
        <v>#N/A</v>
      </c>
      <c r="D64" s="19" t="e">
        <f>IF(貼り付け用!$A$6&lt;&gt;"",
IF(ROW(D63)+2&gt;=MATCH("*【合計】*", 貼り付け用!$A:$A, 0),"",
IF(貼り付け用!D64&lt;&gt;"",貼り付け用!D64,"")),
IF(ROW(D64)+2&gt;=MATCH("*【合計】*", 貼り付け用!$A:$A, 0),"",
IF(貼り付け用!D65&lt;&gt;"",貼り付け用!D65,"")))</f>
        <v>#N/A</v>
      </c>
      <c r="E64" s="19" t="e">
        <f>IF(貼り付け用!$A$6&lt;&gt;"",
IF(ROW(E63)+2&gt;=MATCH("*【合計】*", 貼り付け用!$A:$A, 0),"",
IF(貼り付け用!E64&lt;&gt;"",貼り付け用!E64,"")),
IF(ROW(E64)+2&gt;=MATCH("*【合計】*", 貼り付け用!$A:$A, 0),"",
IF(貼り付け用!E65&lt;&gt;"",貼り付け用!E65,"")))</f>
        <v>#N/A</v>
      </c>
      <c r="F64" s="19" t="e">
        <f>IF(貼り付け用!$A$6&lt;&gt;"",
IF(ROW(F63)+2&gt;=MATCH("*【合計】*", 貼り付け用!$A:$A, 0),"",
IF(貼り付け用!F64&lt;&gt;"",貼り付け用!F64,"")),
IF(ROW(F64)+2&gt;=MATCH("*【合計】*", 貼り付け用!$A:$A, 0),"",
IF(貼り付け用!F65&lt;&gt;"",貼り付け用!F65,"")))</f>
        <v>#N/A</v>
      </c>
      <c r="G64" s="19" t="e">
        <f>IF(貼り付け用!$A$6&lt;&gt;"",
IF(ROW(G63)+2&gt;=MATCH("*【合計】*", 貼り付け用!$A:$A, 0),"",
IF(貼り付け用!G64&lt;&gt;"",貼り付け用!G64,"")),
IF(ROW(G64)+2&gt;=MATCH("*【合計】*", 貼り付け用!$A:$A, 0),"",
IF(貼り付け用!G65&lt;&gt;"",貼り付け用!G65,"")))</f>
        <v>#N/A</v>
      </c>
      <c r="H64" s="19" t="e">
        <f>IF(貼り付け用!$A$6&lt;&gt;"",
IF(ROW(H63)+2&gt;=MATCH("*【合計】*", 貼り付け用!$A:$A, 0),"",
IF(貼り付け用!H64&lt;&gt;"",貼り付け用!H64,"")),
IF(ROW(H64)+2&gt;=MATCH("*【合計】*", 貼り付け用!$A:$A, 0),"",
IF(貼り付け用!H65&lt;&gt;"",貼り付け用!H65,"")))</f>
        <v>#N/A</v>
      </c>
      <c r="I64" s="19" t="e">
        <f>IF(貼り付け用!$A$6&lt;&gt;"",
IF(ROW(I63)+2&gt;=MATCH("*【合計】*", 貼り付け用!$A:$A, 0),"",
IF(貼り付け用!I64&lt;&gt;"",貼り付け用!I64,"")),
IF(ROW(I64)+2&gt;=MATCH("*【合計】*", 貼り付け用!$A:$A, 0),"",
IF(貼り付け用!I65&lt;&gt;"",貼り付け用!I65,"")))</f>
        <v>#N/A</v>
      </c>
      <c r="J64" s="19" t="e">
        <f>IF(貼り付け用!$A$6&lt;&gt;"",
IF(ROW(J63)+2&gt;=MATCH("*【合計】*", 貼り付け用!$A:$A, 0),"",
IF(貼り付け用!J64&lt;&gt;"",貼り付け用!J64,"")),
IF(ROW(J64)+2&gt;=MATCH("*【合計】*", 貼り付け用!$A:$A, 0),"",
IF(貼り付け用!J65&lt;&gt;"",貼り付け用!J65,"")))</f>
        <v>#N/A</v>
      </c>
      <c r="K64" s="19" t="e">
        <f>IF(貼り付け用!$A$6&lt;&gt;"",
IF(ROW(K63)+2&gt;=MATCH("*【合計】*", 貼り付け用!$A:$A, 0),"",
IF(貼り付け用!K64&lt;&gt;"",貼り付け用!K64,"")),
IF(ROW(K64)+2&gt;=MATCH("*【合計】*", 貼り付け用!$A:$A, 0),"",
IF(貼り付け用!K65&lt;&gt;"",貼り付け用!K65,"")))</f>
        <v>#N/A</v>
      </c>
      <c r="L64" s="19" t="e">
        <f>IF(貼り付け用!$A$6&lt;&gt;"",
IF(ROW(L63)+2&gt;=MATCH("*【合計】*", 貼り付け用!$A:$A, 0),"",
IF(L$3&lt;&gt;"",IF(貼り付け用!L64&lt;&gt;"",貼り付け用!L64,""),"")),
IF(ROW(L64)+2&gt;=MATCH("*【合計】*", 貼り付け用!$A:$A, 0),"",
IF(L$3&lt;&gt;"",IF(貼り付け用!L65&lt;&gt;"",貼り付け用!L65,""),"")))</f>
        <v>#N/A</v>
      </c>
      <c r="M64" s="19" t="e">
        <f>IF(貼り付け用!$A$6&lt;&gt;"",
IF(ROW(M63)+2&gt;=MATCH("*【合計】*", 貼り付け用!$A:$A, 0),"",
IF(M$3&lt;&gt;"",IF(貼り付け用!M64&lt;&gt;"",貼り付け用!M64,""),"")),
IF(ROW(M64)+2&gt;=MATCH("*【合計】*", 貼り付け用!$A:$A, 0),"",
IF(M$3&lt;&gt;"",IF(貼り付け用!M65&lt;&gt;"",貼り付け用!M65,""),"")))</f>
        <v>#N/A</v>
      </c>
      <c r="N64" s="19" t="e">
        <f>IF(貼り付け用!$A$6&lt;&gt;"",
IF(ROW(N63)+2&gt;=MATCH("*【合計】*", 貼り付け用!$A:$A, 0),"",
IF(N$3&lt;&gt;"",IF(貼り付け用!N64&lt;&gt;"",貼り付け用!N64,""),"")),
IF(ROW(N64)+2&gt;=MATCH("*【合計】*", 貼り付け用!$A:$A, 0),"",
IF(N$3&lt;&gt;"",IF(貼り付け用!N65&lt;&gt;"",貼り付け用!N65,""),"")))</f>
        <v>#N/A</v>
      </c>
      <c r="O64" s="19" t="e">
        <f>IF(貼り付け用!$A$6&lt;&gt;"",
IF(ROW(O63)+2&gt;=MATCH("*【合計】*", 貼り付け用!$A:$A, 0),"",
IF(O$3&lt;&gt;"",IF(貼り付け用!O64&lt;&gt;"",貼り付け用!O64,""),"")),
IF(ROW(O64)+2&gt;=MATCH("*【合計】*", 貼り付け用!$A:$A, 0),"",
IF(O$3&lt;&gt;"",IF(貼り付け用!O65&lt;&gt;"",貼り付け用!O65,""),"")))</f>
        <v>#N/A</v>
      </c>
      <c r="P64" s="19" t="e">
        <f>IF(貼り付け用!$A$6&lt;&gt;"",
IF(ROW(P63)+2&gt;=MATCH("*【合計】*", 貼り付け用!$A:$A, 0),"",
IF(P$3&lt;&gt;"",IF(貼り付け用!P64&lt;&gt;"",貼り付け用!P64,""),"")),
IF(ROW(P64)+2&gt;=MATCH("*【合計】*", 貼り付け用!$A:$A, 0),"",
IF(P$3&lt;&gt;"",IF(貼り付け用!P65&lt;&gt;"",貼り付け用!P65,""),"")))</f>
        <v>#N/A</v>
      </c>
      <c r="Q64" s="19" t="e">
        <f>IF(貼り付け用!$A$6&lt;&gt;"",
IF(ROW(Q63)+2&gt;=MATCH("*【合計】*", 貼り付け用!$A:$A, 0),"",
IF(Q$3&lt;&gt;"",IF(貼り付け用!Q64&lt;&gt;"",貼り付け用!Q64,""),"")),
IF(ROW(Q64)+2&gt;=MATCH("*【合計】*", 貼り付け用!$A:$A, 0),"",
IF(Q$3&lt;&gt;"",IF(貼り付け用!Q65&lt;&gt;"",貼り付け用!Q65,""),"")))</f>
        <v>#N/A</v>
      </c>
      <c r="R64" s="19" t="e">
        <f>IF(貼り付け用!$A$6&lt;&gt;"",
IF(ROW(R63)+2&gt;=MATCH("*【合計】*", 貼り付け用!$A:$A, 0),"",
IF(R$3&lt;&gt;"",IF(貼り付け用!R64&lt;&gt;"",貼り付け用!R64,""),"")),
IF(ROW(R64)+2&gt;=MATCH("*【合計】*", 貼り付け用!$A:$A, 0),"",
IF(R$3&lt;&gt;"",IF(貼り付け用!R65&lt;&gt;"",貼り付け用!R65,""),"")))</f>
        <v>#N/A</v>
      </c>
      <c r="S64" s="19" t="e">
        <f>IF(貼り付け用!$A$6&lt;&gt;"",
IF(ROW(S63)+2&gt;=MATCH("*【合計】*", 貼り付け用!$A:$A, 0),"",
IF(S$3&lt;&gt;"",IF(貼り付け用!S64&lt;&gt;"",貼り付け用!S64,""),"")),
IF(ROW(S64)+2&gt;=MATCH("*【合計】*", 貼り付け用!$A:$A, 0),"",
IF(S$3&lt;&gt;"",IF(貼り付け用!S65&lt;&gt;"",貼り付け用!S65,""),"")))</f>
        <v>#N/A</v>
      </c>
      <c r="T64" s="19" t="e">
        <f t="array" ref="T64">IF(貼り付け用!$A$6&lt;&gt;"",
IF(INDEX(貼り付け用!A:Z, ROW(T63)+1, MATCH("おやつ", 貼り付け用!$A$3:$Z$3, 0))&lt;&gt;0,
INDEX(貼り付け用!A:Z, ROW(T63)+1, MATCH("おやつ", 貼り付け用!$A$3:$Z$3, 0)),""),
IF(INDEX(貼り付け用!A:Z, ROW(T64)+1, MATCH("おやつ", 貼り付け用!$A$3:$Z$3, 0))&lt;&gt;0,
INDEX(貼り付け用!A:Z, ROW(T64)+1, MATCH("おやつ", 貼り付け用!$A$3:$Z$3, 0)),""))</f>
        <v>#N/A</v>
      </c>
      <c r="U64" s="16"/>
      <c r="V64" s="5" t="e">
        <f t="array" ref="V64">IF(貼り付け用!$A$6&lt;&gt;"",
IF(INDEX(貼り付け用!A:Z, ROW(T63)+1, MATCH("おやつ", 貼り付け用!$A$3:$Z$3, 0)+1)&lt;&gt;0,
INDEX(貼り付け用!A:Z, ROW(T63)+1, MATCH("おやつ", 貼り付け用!$A$3:$Z$3, 0)+1),""),
IF(INDEX(貼り付け用!A:Z, ROW(T64)+1, MATCH("おやつ", 貼り付け用!$A$3:$Z$3, 0)+1)&lt;&gt;0,
INDEX(貼り付け用!A:Z, ROW(T64)+1, MATCH("おやつ", 貼り付け用!$A$3:$Z$3, 0)+1),""))</f>
        <v>#N/A</v>
      </c>
      <c r="W64" s="7" t="e">
        <f t="array" ref="W64">IF(貼り付け用!$A$6&lt;&gt;"",
IF(INDEX(貼り付け用!A:Z, ROW(T63)+1, MATCH("おやつ", 貼り付け用!$A$3:$Z$3, 0)+2)&lt;&gt;0,
INDEX(貼り付け用!A:Z, ROW(T63)+1, MATCH("おやつ", 貼り付け用!$A$3:$Z$3, 0)+2),""),
IF(INDEX(貼り付け用!A:Z, ROW(T64)+1, MATCH("おやつ", 貼り付け用!$A$3:$Z$3, 0)+2)&lt;&gt;0,
INDEX(貼り付け用!A:Z, ROW(T64)+1, MATCH("おやつ", 貼り付け用!$A$3:$Z$3, 0)+2),""))</f>
        <v>#N/A</v>
      </c>
    </row>
    <row r="65" spans="1:23" x14ac:dyDescent="0.45">
      <c r="A65" s="10" t="e">
        <f>IF(貼り付け用!$A$6&lt;&gt;"",
IF(ROW(A64)+1&gt;=MATCH("*10000*", 貼り付け用!$A:$A, 0),"",
IF(貼り付け用!A65&lt;&gt;"",貼り付け用!A65,"")),
IF(ROW(A65)+1&gt;=MATCH("*10000*", 貼り付け用!$A:$A, 0),"",
IF(貼り付け用!A66&lt;&gt;"",貼り付け用!A66,"")))</f>
        <v>#N/A</v>
      </c>
      <c r="B65" s="3" t="e">
        <f>IF(貼り付け用!$A$6&lt;&gt;"",
IF(ROW(B64)+2&gt;=MATCH("*【合計】*", 貼り付け用!$A:$A, 0),"",
IF(貼り付け用!B65&lt;&gt;"",貼り付け用!B65,"")),
IF(ROW(B65)+2&gt;=MATCH("*【合計】*", 貼り付け用!$A:$A, 0),"",
IF(貼り付け用!B66&lt;&gt;"",貼り付け用!B66,"")))</f>
        <v>#N/A</v>
      </c>
      <c r="C65" s="3" t="e">
        <f>IF(貼り付け用!$A$6&lt;&gt;"",
IF(ROW(C64)+2&gt;=MATCH("*【合計】*", 貼り付け用!$A:$A, 0),"",
IF(貼り付け用!C65&lt;&gt;"",貼り付け用!C65,"")),
IF(ROW(C65)+2&gt;=MATCH("*【合計】*", 貼り付け用!$A:$A, 0),"",
IF(貼り付け用!C66&lt;&gt;"",貼り付け用!C66,"")))</f>
        <v>#N/A</v>
      </c>
      <c r="D65" s="3" t="e">
        <f>IF(貼り付け用!$A$6&lt;&gt;"",
IF(ROW(D64)+2&gt;=MATCH("*【合計】*", 貼り付け用!$A:$A, 0),"",
IF(貼り付け用!D65&lt;&gt;"",貼り付け用!D65,"")),
IF(ROW(D65)+2&gt;=MATCH("*【合計】*", 貼り付け用!$A:$A, 0),"",
IF(貼り付け用!D66&lt;&gt;"",貼り付け用!D66,"")))</f>
        <v>#N/A</v>
      </c>
      <c r="E65" s="3" t="e">
        <f>IF(貼り付け用!$A$6&lt;&gt;"",
IF(ROW(E64)+2&gt;=MATCH("*【合計】*", 貼り付け用!$A:$A, 0),"",
IF(貼り付け用!E65&lt;&gt;"",貼り付け用!E65,"")),
IF(ROW(E65)+2&gt;=MATCH("*【合計】*", 貼り付け用!$A:$A, 0),"",
IF(貼り付け用!E66&lt;&gt;"",貼り付け用!E66,"")))</f>
        <v>#N/A</v>
      </c>
      <c r="F65" s="3" t="e">
        <f>IF(貼り付け用!$A$6&lt;&gt;"",
IF(ROW(F64)+2&gt;=MATCH("*【合計】*", 貼り付け用!$A:$A, 0),"",
IF(貼り付け用!F65&lt;&gt;"",貼り付け用!F65,"")),
IF(ROW(F65)+2&gt;=MATCH("*【合計】*", 貼り付け用!$A:$A, 0),"",
IF(貼り付け用!F66&lt;&gt;"",貼り付け用!F66,"")))</f>
        <v>#N/A</v>
      </c>
      <c r="G65" s="3" t="e">
        <f>IF(貼り付け用!$A$6&lt;&gt;"",
IF(ROW(G64)+2&gt;=MATCH("*【合計】*", 貼り付け用!$A:$A, 0),"",
IF(貼り付け用!G65&lt;&gt;"",貼り付け用!G65,"")),
IF(ROW(G65)+2&gt;=MATCH("*【合計】*", 貼り付け用!$A:$A, 0),"",
IF(貼り付け用!G66&lt;&gt;"",貼り付け用!G66,"")))</f>
        <v>#N/A</v>
      </c>
      <c r="H65" s="3" t="e">
        <f>IF(貼り付け用!$A$6&lt;&gt;"",
IF(ROW(H64)+2&gt;=MATCH("*【合計】*", 貼り付け用!$A:$A, 0),"",
IF(貼り付け用!H65&lt;&gt;"",貼り付け用!H65,"")),
IF(ROW(H65)+2&gt;=MATCH("*【合計】*", 貼り付け用!$A:$A, 0),"",
IF(貼り付け用!H66&lt;&gt;"",貼り付け用!H66,"")))</f>
        <v>#N/A</v>
      </c>
      <c r="I65" s="3" t="e">
        <f>IF(貼り付け用!$A$6&lt;&gt;"",
IF(ROW(I64)+2&gt;=MATCH("*【合計】*", 貼り付け用!$A:$A, 0),"",
IF(貼り付け用!I65&lt;&gt;"",貼り付け用!I65,"")),
IF(ROW(I65)+2&gt;=MATCH("*【合計】*", 貼り付け用!$A:$A, 0),"",
IF(貼り付け用!I66&lt;&gt;"",貼り付け用!I66,"")))</f>
        <v>#N/A</v>
      </c>
      <c r="J65" s="3" t="e">
        <f>IF(貼り付け用!$A$6&lt;&gt;"",
IF(ROW(J64)+2&gt;=MATCH("*【合計】*", 貼り付け用!$A:$A, 0),"",
IF(貼り付け用!J65&lt;&gt;"",貼り付け用!J65,"")),
IF(ROW(J65)+2&gt;=MATCH("*【合計】*", 貼り付け用!$A:$A, 0),"",
IF(貼り付け用!J66&lt;&gt;"",貼り付け用!J66,"")))</f>
        <v>#N/A</v>
      </c>
      <c r="K65" s="3" t="e">
        <f>IF(貼り付け用!$A$6&lt;&gt;"",
IF(ROW(K64)+2&gt;=MATCH("*【合計】*", 貼り付け用!$A:$A, 0),"",
IF(貼り付け用!K65&lt;&gt;"",貼り付け用!K65,"")),
IF(ROW(K65)+2&gt;=MATCH("*【合計】*", 貼り付け用!$A:$A, 0),"",
IF(貼り付け用!K66&lt;&gt;"",貼り付け用!K66,"")))</f>
        <v>#N/A</v>
      </c>
      <c r="L65" s="3" t="e">
        <f>IF(貼り付け用!$A$6&lt;&gt;"",
IF(ROW(L64)+2&gt;=MATCH("*【合計】*", 貼り付け用!$A:$A, 0),"",
IF(L$3&lt;&gt;"",IF(貼り付け用!L65&lt;&gt;"",貼り付け用!L65,""),"")),
IF(ROW(L65)+2&gt;=MATCH("*【合計】*", 貼り付け用!$A:$A, 0),"",
IF(L$3&lt;&gt;"",IF(貼り付け用!L66&lt;&gt;"",貼り付け用!L66,""),"")))</f>
        <v>#N/A</v>
      </c>
      <c r="M65" s="3" t="e">
        <f>IF(貼り付け用!$A$6&lt;&gt;"",
IF(ROW(M64)+2&gt;=MATCH("*【合計】*", 貼り付け用!$A:$A, 0),"",
IF(M$3&lt;&gt;"",IF(貼り付け用!M65&lt;&gt;"",貼り付け用!M65,""),"")),
IF(ROW(M65)+2&gt;=MATCH("*【合計】*", 貼り付け用!$A:$A, 0),"",
IF(M$3&lt;&gt;"",IF(貼り付け用!M66&lt;&gt;"",貼り付け用!M66,""),"")))</f>
        <v>#N/A</v>
      </c>
      <c r="N65" s="3" t="e">
        <f>IF(貼り付け用!$A$6&lt;&gt;"",
IF(ROW(N64)+2&gt;=MATCH("*【合計】*", 貼り付け用!$A:$A, 0),"",
IF(N$3&lt;&gt;"",IF(貼り付け用!N65&lt;&gt;"",貼り付け用!N65,""),"")),
IF(ROW(N65)+2&gt;=MATCH("*【合計】*", 貼り付け用!$A:$A, 0),"",
IF(N$3&lt;&gt;"",IF(貼り付け用!N66&lt;&gt;"",貼り付け用!N66,""),"")))</f>
        <v>#N/A</v>
      </c>
      <c r="O65" s="3" t="e">
        <f>IF(貼り付け用!$A$6&lt;&gt;"",
IF(ROW(O64)+2&gt;=MATCH("*【合計】*", 貼り付け用!$A:$A, 0),"",
IF(O$3&lt;&gt;"",IF(貼り付け用!O65&lt;&gt;"",貼り付け用!O65,""),"")),
IF(ROW(O65)+2&gt;=MATCH("*【合計】*", 貼り付け用!$A:$A, 0),"",
IF(O$3&lt;&gt;"",IF(貼り付け用!O66&lt;&gt;"",貼り付け用!O66,""),"")))</f>
        <v>#N/A</v>
      </c>
      <c r="P65" s="3" t="e">
        <f>IF(貼り付け用!$A$6&lt;&gt;"",
IF(ROW(P64)+2&gt;=MATCH("*【合計】*", 貼り付け用!$A:$A, 0),"",
IF(P$3&lt;&gt;"",IF(貼り付け用!P65&lt;&gt;"",貼り付け用!P65,""),"")),
IF(ROW(P65)+2&gt;=MATCH("*【合計】*", 貼り付け用!$A:$A, 0),"",
IF(P$3&lt;&gt;"",IF(貼り付け用!P66&lt;&gt;"",貼り付け用!P66,""),"")))</f>
        <v>#N/A</v>
      </c>
      <c r="Q65" s="3" t="e">
        <f>IF(貼り付け用!$A$6&lt;&gt;"",
IF(ROW(Q64)+2&gt;=MATCH("*【合計】*", 貼り付け用!$A:$A, 0),"",
IF(Q$3&lt;&gt;"",IF(貼り付け用!Q65&lt;&gt;"",貼り付け用!Q65,""),"")),
IF(ROW(Q65)+2&gt;=MATCH("*【合計】*", 貼り付け用!$A:$A, 0),"",
IF(Q$3&lt;&gt;"",IF(貼り付け用!Q66&lt;&gt;"",貼り付け用!Q66,""),"")))</f>
        <v>#N/A</v>
      </c>
      <c r="R65" s="3" t="e">
        <f>IF(貼り付け用!$A$6&lt;&gt;"",
IF(ROW(R64)+2&gt;=MATCH("*【合計】*", 貼り付け用!$A:$A, 0),"",
IF(R$3&lt;&gt;"",IF(貼り付け用!R65&lt;&gt;"",貼り付け用!R65,""),"")),
IF(ROW(R65)+2&gt;=MATCH("*【合計】*", 貼り付け用!$A:$A, 0),"",
IF(R$3&lt;&gt;"",IF(貼り付け用!R66&lt;&gt;"",貼り付け用!R66,""),"")))</f>
        <v>#N/A</v>
      </c>
      <c r="S65" s="3" t="e">
        <f>IF(貼り付け用!$A$6&lt;&gt;"",
IF(ROW(S64)+2&gt;=MATCH("*【合計】*", 貼り付け用!$A:$A, 0),"",
IF(S$3&lt;&gt;"",IF(貼り付け用!S65&lt;&gt;"",貼り付け用!S65,""),"")),
IF(ROW(S65)+2&gt;=MATCH("*【合計】*", 貼り付け用!$A:$A, 0),"",
IF(S$3&lt;&gt;"",IF(貼り付け用!S66&lt;&gt;"",貼り付け用!S66,""),"")))</f>
        <v>#N/A</v>
      </c>
      <c r="T65" s="2" t="e">
        <f t="array" ref="T65">IF(貼り付け用!$A$6&lt;&gt;"",
IF(INDEX(貼り付け用!A:Z, ROW(T64)+1, MATCH("おやつ", 貼り付け用!$A$3:$Z$3, 0))&lt;&gt;0,
INDEX(貼り付け用!A:Z, ROW(T64)+1, MATCH("おやつ", 貼り付け用!$A$3:$Z$3, 0)),""),
IF(INDEX(貼り付け用!A:Z, ROW(T65)+1, MATCH("おやつ", 貼り付け用!$A$3:$Z$3, 0))&lt;&gt;0,
INDEX(貼り付け用!A:Z, ROW(T65)+1, MATCH("おやつ", 貼り付け用!$A$3:$Z$3, 0)),""))</f>
        <v>#N/A</v>
      </c>
      <c r="U65" s="52"/>
      <c r="V65" s="8" t="e">
        <f t="array" ref="V65">IF(貼り付け用!$A$6&lt;&gt;"",
IF(INDEX(貼り付け用!A:Z, ROW(T64)+1, MATCH("おやつ", 貼り付け用!$A$3:$Z$3, 0)+1)&lt;&gt;0,
INDEX(貼り付け用!A:Z, ROW(T64)+1, MATCH("おやつ", 貼り付け用!$A$3:$Z$3, 0)+1),""),
IF(INDEX(貼り付け用!A:Z, ROW(T65)+1, MATCH("おやつ", 貼り付け用!$A$3:$Z$3, 0)+1)&lt;&gt;0,
INDEX(貼り付け用!A:Z, ROW(T65)+1, MATCH("おやつ", 貼り付け用!$A$3:$Z$3, 0)+1),""))</f>
        <v>#N/A</v>
      </c>
      <c r="W65" s="9" t="e">
        <f t="array" ref="W65">IF(貼り付け用!$A$6&lt;&gt;"",
IF(INDEX(貼り付け用!A:Z, ROW(T64)+1, MATCH("おやつ", 貼り付け用!$A$3:$Z$3, 0)+2)&lt;&gt;0,
INDEX(貼り付け用!A:Z, ROW(T64)+1, MATCH("おやつ", 貼り付け用!$A$3:$Z$3, 0)+2),""),
IF(INDEX(貼り付け用!A:Z, ROW(T65)+1, MATCH("おやつ", 貼り付け用!$A$3:$Z$3, 0)+2)&lt;&gt;0,
INDEX(貼り付け用!A:Z, ROW(T65)+1, MATCH("おやつ", 貼り付け用!$A$3:$Z$3, 0)+2),""))</f>
        <v>#N/A</v>
      </c>
    </row>
    <row r="66" spans="1:23" x14ac:dyDescent="0.45">
      <c r="A66" s="4" t="e">
        <f>IF(貼り付け用!$A$6&lt;&gt;"",
IF(ROW(A65)+1&gt;=MATCH("*10000*", 貼り付け用!$A:$A, 0),
IF(COUNTIF(A64,"*10000*"),"10001",
IF(COUNTIF(A64,"*10001*"),"10002",
IF(COUNTIF(A64,"*10002*"),"",
IF(COUNTIF(A64,""),"","10000")))),
IF(貼り付け用!A66&lt;&gt;"",貼り付け用!A66,"")),
IF(ROW(A66)+1&gt;=MATCH("*10000*", 貼り付け用!$A:$A, 0),
IF(COUNTIF(A64,"*10000*"),"10001",
IF(COUNTIF(A64,"*10001*"),"10002",
IF(COUNTIF(A64,"*10002*"),"",
IF(COUNTIF(A64,""),"","10000")))),
IF(貼り付け用!A67&lt;&gt;"",貼り付け用!A67,"")))</f>
        <v>#N/A</v>
      </c>
      <c r="B66" s="19" t="e">
        <f>IF(貼り付け用!$A$6&lt;&gt;"",
IF(ROW(B65)+2&gt;=MATCH("*【合計】*", 貼り付け用!$A:$A, 0),"",
IF(貼り付け用!B66&lt;&gt;"",貼り付け用!B66,"")),
IF(ROW(B66)+2&gt;=MATCH("*【合計】*", 貼り付け用!$A:$A, 0),"",
IF(貼り付け用!B67&lt;&gt;"",貼り付け用!B67,"")))</f>
        <v>#N/A</v>
      </c>
      <c r="C66" s="19" t="e">
        <f>IF(貼り付け用!$A$6&lt;&gt;"",
IF(ROW(C65)+2&gt;=MATCH("*【合計】*", 貼り付け用!$A:$A, 0),"",
IF(貼り付け用!C66&lt;&gt;"",貼り付け用!C66,"")),
IF(ROW(C66)+2&gt;=MATCH("*【合計】*", 貼り付け用!$A:$A, 0),"",
IF(貼り付け用!C67&lt;&gt;"",貼り付け用!C67,"")))</f>
        <v>#N/A</v>
      </c>
      <c r="D66" s="19" t="e">
        <f>IF(貼り付け用!$A$6&lt;&gt;"",
IF(ROW(D65)+2&gt;=MATCH("*【合計】*", 貼り付け用!$A:$A, 0),"",
IF(貼り付け用!D66&lt;&gt;"",貼り付け用!D66,"")),
IF(ROW(D66)+2&gt;=MATCH("*【合計】*", 貼り付け用!$A:$A, 0),"",
IF(貼り付け用!D67&lt;&gt;"",貼り付け用!D67,"")))</f>
        <v>#N/A</v>
      </c>
      <c r="E66" s="19" t="e">
        <f>IF(貼り付け用!$A$6&lt;&gt;"",
IF(ROW(E65)+2&gt;=MATCH("*【合計】*", 貼り付け用!$A:$A, 0),"",
IF(貼り付け用!E66&lt;&gt;"",貼り付け用!E66,"")),
IF(ROW(E66)+2&gt;=MATCH("*【合計】*", 貼り付け用!$A:$A, 0),"",
IF(貼り付け用!E67&lt;&gt;"",貼り付け用!E67,"")))</f>
        <v>#N/A</v>
      </c>
      <c r="F66" s="19" t="e">
        <f>IF(貼り付け用!$A$6&lt;&gt;"",
IF(ROW(F65)+2&gt;=MATCH("*【合計】*", 貼り付け用!$A:$A, 0),"",
IF(貼り付け用!F66&lt;&gt;"",貼り付け用!F66,"")),
IF(ROW(F66)+2&gt;=MATCH("*【合計】*", 貼り付け用!$A:$A, 0),"",
IF(貼り付け用!F67&lt;&gt;"",貼り付け用!F67,"")))</f>
        <v>#N/A</v>
      </c>
      <c r="G66" s="19" t="e">
        <f>IF(貼り付け用!$A$6&lt;&gt;"",
IF(ROW(G65)+2&gt;=MATCH("*【合計】*", 貼り付け用!$A:$A, 0),"",
IF(貼り付け用!G66&lt;&gt;"",貼り付け用!G66,"")),
IF(ROW(G66)+2&gt;=MATCH("*【合計】*", 貼り付け用!$A:$A, 0),"",
IF(貼り付け用!G67&lt;&gt;"",貼り付け用!G67,"")))</f>
        <v>#N/A</v>
      </c>
      <c r="H66" s="19" t="e">
        <f>IF(貼り付け用!$A$6&lt;&gt;"",
IF(ROW(H65)+2&gt;=MATCH("*【合計】*", 貼り付け用!$A:$A, 0),"",
IF(貼り付け用!H66&lt;&gt;"",貼り付け用!H66,"")),
IF(ROW(H66)+2&gt;=MATCH("*【合計】*", 貼り付け用!$A:$A, 0),"",
IF(貼り付け用!H67&lt;&gt;"",貼り付け用!H67,"")))</f>
        <v>#N/A</v>
      </c>
      <c r="I66" s="19" t="e">
        <f>IF(貼り付け用!$A$6&lt;&gt;"",
IF(ROW(I65)+2&gt;=MATCH("*【合計】*", 貼り付け用!$A:$A, 0),"",
IF(貼り付け用!I66&lt;&gt;"",貼り付け用!I66,"")),
IF(ROW(I66)+2&gt;=MATCH("*【合計】*", 貼り付け用!$A:$A, 0),"",
IF(貼り付け用!I67&lt;&gt;"",貼り付け用!I67,"")))</f>
        <v>#N/A</v>
      </c>
      <c r="J66" s="19" t="e">
        <f>IF(貼り付け用!$A$6&lt;&gt;"",
IF(ROW(J65)+2&gt;=MATCH("*【合計】*", 貼り付け用!$A:$A, 0),"",
IF(貼り付け用!J66&lt;&gt;"",貼り付け用!J66,"")),
IF(ROW(J66)+2&gt;=MATCH("*【合計】*", 貼り付け用!$A:$A, 0),"",
IF(貼り付け用!J67&lt;&gt;"",貼り付け用!J67,"")))</f>
        <v>#N/A</v>
      </c>
      <c r="K66" s="19" t="e">
        <f>IF(貼り付け用!$A$6&lt;&gt;"",
IF(ROW(K65)+2&gt;=MATCH("*【合計】*", 貼り付け用!$A:$A, 0),"",
IF(貼り付け用!K66&lt;&gt;"",貼り付け用!K66,"")),
IF(ROW(K66)+2&gt;=MATCH("*【合計】*", 貼り付け用!$A:$A, 0),"",
IF(貼り付け用!K67&lt;&gt;"",貼り付け用!K67,"")))</f>
        <v>#N/A</v>
      </c>
      <c r="L66" s="19" t="e">
        <f>IF(貼り付け用!$A$6&lt;&gt;"",
IF(ROW(L65)+2&gt;=MATCH("*【合計】*", 貼り付け用!$A:$A, 0),"",
IF(L$3&lt;&gt;"",IF(貼り付け用!L66&lt;&gt;"",貼り付け用!L66,""),"")),
IF(ROW(L66)+2&gt;=MATCH("*【合計】*", 貼り付け用!$A:$A, 0),"",
IF(L$3&lt;&gt;"",IF(貼り付け用!L67&lt;&gt;"",貼り付け用!L67,""),"")))</f>
        <v>#N/A</v>
      </c>
      <c r="M66" s="19" t="e">
        <f>IF(貼り付け用!$A$6&lt;&gt;"",
IF(ROW(M65)+2&gt;=MATCH("*【合計】*", 貼り付け用!$A:$A, 0),"",
IF(M$3&lt;&gt;"",IF(貼り付け用!M66&lt;&gt;"",貼り付け用!M66,""),"")),
IF(ROW(M66)+2&gt;=MATCH("*【合計】*", 貼り付け用!$A:$A, 0),"",
IF(M$3&lt;&gt;"",IF(貼り付け用!M67&lt;&gt;"",貼り付け用!M67,""),"")))</f>
        <v>#N/A</v>
      </c>
      <c r="N66" s="19" t="e">
        <f>IF(貼り付け用!$A$6&lt;&gt;"",
IF(ROW(N65)+2&gt;=MATCH("*【合計】*", 貼り付け用!$A:$A, 0),"",
IF(N$3&lt;&gt;"",IF(貼り付け用!N66&lt;&gt;"",貼り付け用!N66,""),"")),
IF(ROW(N66)+2&gt;=MATCH("*【合計】*", 貼り付け用!$A:$A, 0),"",
IF(N$3&lt;&gt;"",IF(貼り付け用!N67&lt;&gt;"",貼り付け用!N67,""),"")))</f>
        <v>#N/A</v>
      </c>
      <c r="O66" s="19" t="e">
        <f>IF(貼り付け用!$A$6&lt;&gt;"",
IF(ROW(O65)+2&gt;=MATCH("*【合計】*", 貼り付け用!$A:$A, 0),"",
IF(O$3&lt;&gt;"",IF(貼り付け用!O66&lt;&gt;"",貼り付け用!O66,""),"")),
IF(ROW(O66)+2&gt;=MATCH("*【合計】*", 貼り付け用!$A:$A, 0),"",
IF(O$3&lt;&gt;"",IF(貼り付け用!O67&lt;&gt;"",貼り付け用!O67,""),"")))</f>
        <v>#N/A</v>
      </c>
      <c r="P66" s="19" t="e">
        <f>IF(貼り付け用!$A$6&lt;&gt;"",
IF(ROW(P65)+2&gt;=MATCH("*【合計】*", 貼り付け用!$A:$A, 0),"",
IF(P$3&lt;&gt;"",IF(貼り付け用!P66&lt;&gt;"",貼り付け用!P66,""),"")),
IF(ROW(P66)+2&gt;=MATCH("*【合計】*", 貼り付け用!$A:$A, 0),"",
IF(P$3&lt;&gt;"",IF(貼り付け用!P67&lt;&gt;"",貼り付け用!P67,""),"")))</f>
        <v>#N/A</v>
      </c>
      <c r="Q66" s="19" t="e">
        <f>IF(貼り付け用!$A$6&lt;&gt;"",
IF(ROW(Q65)+2&gt;=MATCH("*【合計】*", 貼り付け用!$A:$A, 0),"",
IF(Q$3&lt;&gt;"",IF(貼り付け用!Q66&lt;&gt;"",貼り付け用!Q66,""),"")),
IF(ROW(Q66)+2&gt;=MATCH("*【合計】*", 貼り付け用!$A:$A, 0),"",
IF(Q$3&lt;&gt;"",IF(貼り付け用!Q67&lt;&gt;"",貼り付け用!Q67,""),"")))</f>
        <v>#N/A</v>
      </c>
      <c r="R66" s="19" t="e">
        <f>IF(貼り付け用!$A$6&lt;&gt;"",
IF(ROW(R65)+2&gt;=MATCH("*【合計】*", 貼り付け用!$A:$A, 0),"",
IF(R$3&lt;&gt;"",IF(貼り付け用!R66&lt;&gt;"",貼り付け用!R66,""),"")),
IF(ROW(R66)+2&gt;=MATCH("*【合計】*", 貼り付け用!$A:$A, 0),"",
IF(R$3&lt;&gt;"",IF(貼り付け用!R67&lt;&gt;"",貼り付け用!R67,""),"")))</f>
        <v>#N/A</v>
      </c>
      <c r="S66" s="19" t="e">
        <f>IF(貼り付け用!$A$6&lt;&gt;"",
IF(ROW(S65)+2&gt;=MATCH("*【合計】*", 貼り付け用!$A:$A, 0),"",
IF(S$3&lt;&gt;"",IF(貼り付け用!S66&lt;&gt;"",貼り付け用!S66,""),"")),
IF(ROW(S66)+2&gt;=MATCH("*【合計】*", 貼り付け用!$A:$A, 0),"",
IF(S$3&lt;&gt;"",IF(貼り付け用!S67&lt;&gt;"",貼り付け用!S67,""),"")))</f>
        <v>#N/A</v>
      </c>
      <c r="T66" s="19" t="e">
        <f t="array" ref="T66">IF(貼り付け用!$A$6&lt;&gt;"",
IF(INDEX(貼り付け用!A:Z, ROW(T65)+1, MATCH("おやつ", 貼り付け用!$A$3:$Z$3, 0))&lt;&gt;0,
INDEX(貼り付け用!A:Z, ROW(T65)+1, MATCH("おやつ", 貼り付け用!$A$3:$Z$3, 0)),""),
IF(INDEX(貼り付け用!A:Z, ROW(T66)+1, MATCH("おやつ", 貼り付け用!$A$3:$Z$3, 0))&lt;&gt;0,
INDEX(貼り付け用!A:Z, ROW(T66)+1, MATCH("おやつ", 貼り付け用!$A$3:$Z$3, 0)),""))</f>
        <v>#N/A</v>
      </c>
      <c r="U66" s="16"/>
      <c r="V66" s="5" t="e">
        <f t="array" ref="V66">IF(貼り付け用!$A$6&lt;&gt;"",
IF(INDEX(貼り付け用!A:Z, ROW(T65)+1, MATCH("おやつ", 貼り付け用!$A$3:$Z$3, 0)+1)&lt;&gt;0,
INDEX(貼り付け用!A:Z, ROW(T65)+1, MATCH("おやつ", 貼り付け用!$A$3:$Z$3, 0)+1),""),
IF(INDEX(貼り付け用!A:Z, ROW(T66)+1, MATCH("おやつ", 貼り付け用!$A$3:$Z$3, 0)+1)&lt;&gt;0,
INDEX(貼り付け用!A:Z, ROW(T66)+1, MATCH("おやつ", 貼り付け用!$A$3:$Z$3, 0)+1),""))</f>
        <v>#N/A</v>
      </c>
      <c r="W66" s="7" t="e">
        <f t="array" ref="W66">IF(貼り付け用!$A$6&lt;&gt;"",
IF(INDEX(貼り付け用!A:Z, ROW(T65)+1, MATCH("おやつ", 貼り付け用!$A$3:$Z$3, 0)+2)&lt;&gt;0,
INDEX(貼り付け用!A:Z, ROW(T65)+1, MATCH("おやつ", 貼り付け用!$A$3:$Z$3, 0)+2),""),
IF(INDEX(貼り付け用!A:Z, ROW(T66)+1, MATCH("おやつ", 貼り付け用!$A$3:$Z$3, 0)+2)&lt;&gt;0,
INDEX(貼り付け用!A:Z, ROW(T66)+1, MATCH("おやつ", 貼り付け用!$A$3:$Z$3, 0)+2),""))</f>
        <v>#N/A</v>
      </c>
    </row>
    <row r="67" spans="1:23" x14ac:dyDescent="0.45">
      <c r="A67" s="10" t="e">
        <f>IF(貼り付け用!$A$6&lt;&gt;"",
IF(ROW(A66)+1&gt;=MATCH("*10000*", 貼り付け用!$A:$A, 0),"",
IF(貼り付け用!A67&lt;&gt;"",貼り付け用!A67,"")),
IF(ROW(A67)+1&gt;=MATCH("*10000*", 貼り付け用!$A:$A, 0),"",
IF(貼り付け用!A68&lt;&gt;"",貼り付け用!A68,"")))</f>
        <v>#N/A</v>
      </c>
      <c r="B67" s="3" t="e">
        <f>IF(貼り付け用!$A$6&lt;&gt;"",
IF(ROW(B66)+2&gt;=MATCH("*【合計】*", 貼り付け用!$A:$A, 0),"",
IF(貼り付け用!B67&lt;&gt;"",貼り付け用!B67,"")),
IF(ROW(B67)+2&gt;=MATCH("*【合計】*", 貼り付け用!$A:$A, 0),"",
IF(貼り付け用!B68&lt;&gt;"",貼り付け用!B68,"")))</f>
        <v>#N/A</v>
      </c>
      <c r="C67" s="3" t="e">
        <f>IF(貼り付け用!$A$6&lt;&gt;"",
IF(ROW(C66)+2&gt;=MATCH("*【合計】*", 貼り付け用!$A:$A, 0),"",
IF(貼り付け用!C67&lt;&gt;"",貼り付け用!C67,"")),
IF(ROW(C67)+2&gt;=MATCH("*【合計】*", 貼り付け用!$A:$A, 0),"",
IF(貼り付け用!C68&lt;&gt;"",貼り付け用!C68,"")))</f>
        <v>#N/A</v>
      </c>
      <c r="D67" s="3" t="e">
        <f>IF(貼り付け用!$A$6&lt;&gt;"",
IF(ROW(D66)+2&gt;=MATCH("*【合計】*", 貼り付け用!$A:$A, 0),"",
IF(貼り付け用!D67&lt;&gt;"",貼り付け用!D67,"")),
IF(ROW(D67)+2&gt;=MATCH("*【合計】*", 貼り付け用!$A:$A, 0),"",
IF(貼り付け用!D68&lt;&gt;"",貼り付け用!D68,"")))</f>
        <v>#N/A</v>
      </c>
      <c r="E67" s="3" t="e">
        <f>IF(貼り付け用!$A$6&lt;&gt;"",
IF(ROW(E66)+2&gt;=MATCH("*【合計】*", 貼り付け用!$A:$A, 0),"",
IF(貼り付け用!E67&lt;&gt;"",貼り付け用!E67,"")),
IF(ROW(E67)+2&gt;=MATCH("*【合計】*", 貼り付け用!$A:$A, 0),"",
IF(貼り付け用!E68&lt;&gt;"",貼り付け用!E68,"")))</f>
        <v>#N/A</v>
      </c>
      <c r="F67" s="3" t="e">
        <f>IF(貼り付け用!$A$6&lt;&gt;"",
IF(ROW(F66)+2&gt;=MATCH("*【合計】*", 貼り付け用!$A:$A, 0),"",
IF(貼り付け用!F67&lt;&gt;"",貼り付け用!F67,"")),
IF(ROW(F67)+2&gt;=MATCH("*【合計】*", 貼り付け用!$A:$A, 0),"",
IF(貼り付け用!F68&lt;&gt;"",貼り付け用!F68,"")))</f>
        <v>#N/A</v>
      </c>
      <c r="G67" s="3" t="e">
        <f>IF(貼り付け用!$A$6&lt;&gt;"",
IF(ROW(G66)+2&gt;=MATCH("*【合計】*", 貼り付け用!$A:$A, 0),"",
IF(貼り付け用!G67&lt;&gt;"",貼り付け用!G67,"")),
IF(ROW(G67)+2&gt;=MATCH("*【合計】*", 貼り付け用!$A:$A, 0),"",
IF(貼り付け用!G68&lt;&gt;"",貼り付け用!G68,"")))</f>
        <v>#N/A</v>
      </c>
      <c r="H67" s="3" t="e">
        <f>IF(貼り付け用!$A$6&lt;&gt;"",
IF(ROW(H66)+2&gt;=MATCH("*【合計】*", 貼り付け用!$A:$A, 0),"",
IF(貼り付け用!H67&lt;&gt;"",貼り付け用!H67,"")),
IF(ROW(H67)+2&gt;=MATCH("*【合計】*", 貼り付け用!$A:$A, 0),"",
IF(貼り付け用!H68&lt;&gt;"",貼り付け用!H68,"")))</f>
        <v>#N/A</v>
      </c>
      <c r="I67" s="3" t="e">
        <f>IF(貼り付け用!$A$6&lt;&gt;"",
IF(ROW(I66)+2&gt;=MATCH("*【合計】*", 貼り付け用!$A:$A, 0),"",
IF(貼り付け用!I67&lt;&gt;"",貼り付け用!I67,"")),
IF(ROW(I67)+2&gt;=MATCH("*【合計】*", 貼り付け用!$A:$A, 0),"",
IF(貼り付け用!I68&lt;&gt;"",貼り付け用!I68,"")))</f>
        <v>#N/A</v>
      </c>
      <c r="J67" s="3" t="e">
        <f>IF(貼り付け用!$A$6&lt;&gt;"",
IF(ROW(J66)+2&gt;=MATCH("*【合計】*", 貼り付け用!$A:$A, 0),"",
IF(貼り付け用!J67&lt;&gt;"",貼り付け用!J67,"")),
IF(ROW(J67)+2&gt;=MATCH("*【合計】*", 貼り付け用!$A:$A, 0),"",
IF(貼り付け用!J68&lt;&gt;"",貼り付け用!J68,"")))</f>
        <v>#N/A</v>
      </c>
      <c r="K67" s="3" t="e">
        <f>IF(貼り付け用!$A$6&lt;&gt;"",
IF(ROW(K66)+2&gt;=MATCH("*【合計】*", 貼り付け用!$A:$A, 0),"",
IF(貼り付け用!K67&lt;&gt;"",貼り付け用!K67,"")),
IF(ROW(K67)+2&gt;=MATCH("*【合計】*", 貼り付け用!$A:$A, 0),"",
IF(貼り付け用!K68&lt;&gt;"",貼り付け用!K68,"")))</f>
        <v>#N/A</v>
      </c>
      <c r="L67" s="3" t="e">
        <f>IF(貼り付け用!$A$6&lt;&gt;"",
IF(ROW(L66)+2&gt;=MATCH("*【合計】*", 貼り付け用!$A:$A, 0),"",
IF(L$3&lt;&gt;"",IF(貼り付け用!L67&lt;&gt;"",貼り付け用!L67,""),"")),
IF(ROW(L67)+2&gt;=MATCH("*【合計】*", 貼り付け用!$A:$A, 0),"",
IF(L$3&lt;&gt;"",IF(貼り付け用!L68&lt;&gt;"",貼り付け用!L68,""),"")))</f>
        <v>#N/A</v>
      </c>
      <c r="M67" s="3" t="e">
        <f>IF(貼り付け用!$A$6&lt;&gt;"",
IF(ROW(M66)+2&gt;=MATCH("*【合計】*", 貼り付け用!$A:$A, 0),"",
IF(M$3&lt;&gt;"",IF(貼り付け用!M67&lt;&gt;"",貼り付け用!M67,""),"")),
IF(ROW(M67)+2&gt;=MATCH("*【合計】*", 貼り付け用!$A:$A, 0),"",
IF(M$3&lt;&gt;"",IF(貼り付け用!M68&lt;&gt;"",貼り付け用!M68,""),"")))</f>
        <v>#N/A</v>
      </c>
      <c r="N67" s="3" t="e">
        <f>IF(貼り付け用!$A$6&lt;&gt;"",
IF(ROW(N66)+2&gt;=MATCH("*【合計】*", 貼り付け用!$A:$A, 0),"",
IF(N$3&lt;&gt;"",IF(貼り付け用!N67&lt;&gt;"",貼り付け用!N67,""),"")),
IF(ROW(N67)+2&gt;=MATCH("*【合計】*", 貼り付け用!$A:$A, 0),"",
IF(N$3&lt;&gt;"",IF(貼り付け用!N68&lt;&gt;"",貼り付け用!N68,""),"")))</f>
        <v>#N/A</v>
      </c>
      <c r="O67" s="3" t="e">
        <f>IF(貼り付け用!$A$6&lt;&gt;"",
IF(ROW(O66)+2&gt;=MATCH("*【合計】*", 貼り付け用!$A:$A, 0),"",
IF(O$3&lt;&gt;"",IF(貼り付け用!O67&lt;&gt;"",貼り付け用!O67,""),"")),
IF(ROW(O67)+2&gt;=MATCH("*【合計】*", 貼り付け用!$A:$A, 0),"",
IF(O$3&lt;&gt;"",IF(貼り付け用!O68&lt;&gt;"",貼り付け用!O68,""),"")))</f>
        <v>#N/A</v>
      </c>
      <c r="P67" s="3" t="e">
        <f>IF(貼り付け用!$A$6&lt;&gt;"",
IF(ROW(P66)+2&gt;=MATCH("*【合計】*", 貼り付け用!$A:$A, 0),"",
IF(P$3&lt;&gt;"",IF(貼り付け用!P67&lt;&gt;"",貼り付け用!P67,""),"")),
IF(ROW(P67)+2&gt;=MATCH("*【合計】*", 貼り付け用!$A:$A, 0),"",
IF(P$3&lt;&gt;"",IF(貼り付け用!P68&lt;&gt;"",貼り付け用!P68,""),"")))</f>
        <v>#N/A</v>
      </c>
      <c r="Q67" s="3" t="e">
        <f>IF(貼り付け用!$A$6&lt;&gt;"",
IF(ROW(Q66)+2&gt;=MATCH("*【合計】*", 貼り付け用!$A:$A, 0),"",
IF(Q$3&lt;&gt;"",IF(貼り付け用!Q67&lt;&gt;"",貼り付け用!Q67,""),"")),
IF(ROW(Q67)+2&gt;=MATCH("*【合計】*", 貼り付け用!$A:$A, 0),"",
IF(Q$3&lt;&gt;"",IF(貼り付け用!Q68&lt;&gt;"",貼り付け用!Q68,""),"")))</f>
        <v>#N/A</v>
      </c>
      <c r="R67" s="3" t="e">
        <f>IF(貼り付け用!$A$6&lt;&gt;"",
IF(ROW(R66)+2&gt;=MATCH("*【合計】*", 貼り付け用!$A:$A, 0),"",
IF(R$3&lt;&gt;"",IF(貼り付け用!R67&lt;&gt;"",貼り付け用!R67,""),"")),
IF(ROW(R67)+2&gt;=MATCH("*【合計】*", 貼り付け用!$A:$A, 0),"",
IF(R$3&lt;&gt;"",IF(貼り付け用!R68&lt;&gt;"",貼り付け用!R68,""),"")))</f>
        <v>#N/A</v>
      </c>
      <c r="S67" s="3" t="e">
        <f>IF(貼り付け用!$A$6&lt;&gt;"",
IF(ROW(S66)+2&gt;=MATCH("*【合計】*", 貼り付け用!$A:$A, 0),"",
IF(S$3&lt;&gt;"",IF(貼り付け用!S67&lt;&gt;"",貼り付け用!S67,""),"")),
IF(ROW(S67)+2&gt;=MATCH("*【合計】*", 貼り付け用!$A:$A, 0),"",
IF(S$3&lt;&gt;"",IF(貼り付け用!S68&lt;&gt;"",貼り付け用!S68,""),"")))</f>
        <v>#N/A</v>
      </c>
      <c r="T67" s="2" t="e">
        <f t="array" ref="T67">IF(貼り付け用!$A$6&lt;&gt;"",
IF(INDEX(貼り付け用!A:Z, ROW(T66)+1, MATCH("おやつ", 貼り付け用!$A$3:$Z$3, 0))&lt;&gt;0,
INDEX(貼り付け用!A:Z, ROW(T66)+1, MATCH("おやつ", 貼り付け用!$A$3:$Z$3, 0)),""),
IF(INDEX(貼り付け用!A:Z, ROW(T67)+1, MATCH("おやつ", 貼り付け用!$A$3:$Z$3, 0))&lt;&gt;0,
INDEX(貼り付け用!A:Z, ROW(T67)+1, MATCH("おやつ", 貼り付け用!$A$3:$Z$3, 0)),""))</f>
        <v>#N/A</v>
      </c>
      <c r="U67" s="52"/>
      <c r="V67" s="8" t="e">
        <f t="array" ref="V67">IF(貼り付け用!$A$6&lt;&gt;"",
IF(INDEX(貼り付け用!A:Z, ROW(T66)+1, MATCH("おやつ", 貼り付け用!$A$3:$Z$3, 0)+1)&lt;&gt;0,
INDEX(貼り付け用!A:Z, ROW(T66)+1, MATCH("おやつ", 貼り付け用!$A$3:$Z$3, 0)+1),""),
IF(INDEX(貼り付け用!A:Z, ROW(T67)+1, MATCH("おやつ", 貼り付け用!$A$3:$Z$3, 0)+1)&lt;&gt;0,
INDEX(貼り付け用!A:Z, ROW(T67)+1, MATCH("おやつ", 貼り付け用!$A$3:$Z$3, 0)+1),""))</f>
        <v>#N/A</v>
      </c>
      <c r="W67" s="9" t="e">
        <f t="array" ref="W67">IF(貼り付け用!$A$6&lt;&gt;"",
IF(INDEX(貼り付け用!A:Z, ROW(T66)+1, MATCH("おやつ", 貼り付け用!$A$3:$Z$3, 0)+2)&lt;&gt;0,
INDEX(貼り付け用!A:Z, ROW(T66)+1, MATCH("おやつ", 貼り付け用!$A$3:$Z$3, 0)+2),""),
IF(INDEX(貼り付け用!A:Z, ROW(T67)+1, MATCH("おやつ", 貼り付け用!$A$3:$Z$3, 0)+2)&lt;&gt;0,
INDEX(貼り付け用!A:Z, ROW(T67)+1, MATCH("おやつ", 貼り付け用!$A$3:$Z$3, 0)+2),""))</f>
        <v>#N/A</v>
      </c>
    </row>
    <row r="68" spans="1:23" x14ac:dyDescent="0.45">
      <c r="A68" s="4" t="e">
        <f>IF(貼り付け用!$A$6&lt;&gt;"",
IF(ROW(A67)+1&gt;=MATCH("*10000*", 貼り付け用!$A:$A, 0),
IF(COUNTIF(A66,"*10000*"),"10001",
IF(COUNTIF(A66,"*10001*"),"10002",
IF(COUNTIF(A66,"*10002*"),"",
IF(COUNTIF(A66,""),"","10000")))),
IF(貼り付け用!A68&lt;&gt;"",貼り付け用!A68,"")),
IF(ROW(A68)+1&gt;=MATCH("*10000*", 貼り付け用!$A:$A, 0),
IF(COUNTIF(A66,"*10000*"),"10001",
IF(COUNTIF(A66,"*10001*"),"10002",
IF(COUNTIF(A66,"*10002*"),"",
IF(COUNTIF(A66,""),"","10000")))),
IF(貼り付け用!A69&lt;&gt;"",貼り付け用!A69,"")))</f>
        <v>#N/A</v>
      </c>
      <c r="B68" s="19" t="e">
        <f>IF(貼り付け用!$A$6&lt;&gt;"",
IF(ROW(B67)+2&gt;=MATCH("*【合計】*", 貼り付け用!$A:$A, 0),"",
IF(貼り付け用!B68&lt;&gt;"",貼り付け用!B68,"")),
IF(ROW(B68)+2&gt;=MATCH("*【合計】*", 貼り付け用!$A:$A, 0),"",
IF(貼り付け用!B69&lt;&gt;"",貼り付け用!B69,"")))</f>
        <v>#N/A</v>
      </c>
      <c r="C68" s="19" t="e">
        <f>IF(貼り付け用!$A$6&lt;&gt;"",
IF(ROW(C67)+2&gt;=MATCH("*【合計】*", 貼り付け用!$A:$A, 0),"",
IF(貼り付け用!C68&lt;&gt;"",貼り付け用!C68,"")),
IF(ROW(C68)+2&gt;=MATCH("*【合計】*", 貼り付け用!$A:$A, 0),"",
IF(貼り付け用!C69&lt;&gt;"",貼り付け用!C69,"")))</f>
        <v>#N/A</v>
      </c>
      <c r="D68" s="19" t="e">
        <f>IF(貼り付け用!$A$6&lt;&gt;"",
IF(ROW(D67)+2&gt;=MATCH("*【合計】*", 貼り付け用!$A:$A, 0),"",
IF(貼り付け用!D68&lt;&gt;"",貼り付け用!D68,"")),
IF(ROW(D68)+2&gt;=MATCH("*【合計】*", 貼り付け用!$A:$A, 0),"",
IF(貼り付け用!D69&lt;&gt;"",貼り付け用!D69,"")))</f>
        <v>#N/A</v>
      </c>
      <c r="E68" s="19" t="e">
        <f>IF(貼り付け用!$A$6&lt;&gt;"",
IF(ROW(E67)+2&gt;=MATCH("*【合計】*", 貼り付け用!$A:$A, 0),"",
IF(貼り付け用!E68&lt;&gt;"",貼り付け用!E68,"")),
IF(ROW(E68)+2&gt;=MATCH("*【合計】*", 貼り付け用!$A:$A, 0),"",
IF(貼り付け用!E69&lt;&gt;"",貼り付け用!E69,"")))</f>
        <v>#N/A</v>
      </c>
      <c r="F68" s="19" t="e">
        <f>IF(貼り付け用!$A$6&lt;&gt;"",
IF(ROW(F67)+2&gt;=MATCH("*【合計】*", 貼り付け用!$A:$A, 0),"",
IF(貼り付け用!F68&lt;&gt;"",貼り付け用!F68,"")),
IF(ROW(F68)+2&gt;=MATCH("*【合計】*", 貼り付け用!$A:$A, 0),"",
IF(貼り付け用!F69&lt;&gt;"",貼り付け用!F69,"")))</f>
        <v>#N/A</v>
      </c>
      <c r="G68" s="19" t="e">
        <f>IF(貼り付け用!$A$6&lt;&gt;"",
IF(ROW(G67)+2&gt;=MATCH("*【合計】*", 貼り付け用!$A:$A, 0),"",
IF(貼り付け用!G68&lt;&gt;"",貼り付け用!G68,"")),
IF(ROW(G68)+2&gt;=MATCH("*【合計】*", 貼り付け用!$A:$A, 0),"",
IF(貼り付け用!G69&lt;&gt;"",貼り付け用!G69,"")))</f>
        <v>#N/A</v>
      </c>
      <c r="H68" s="19" t="e">
        <f>IF(貼り付け用!$A$6&lt;&gt;"",
IF(ROW(H67)+2&gt;=MATCH("*【合計】*", 貼り付け用!$A:$A, 0),"",
IF(貼り付け用!H68&lt;&gt;"",貼り付け用!H68,"")),
IF(ROW(H68)+2&gt;=MATCH("*【合計】*", 貼り付け用!$A:$A, 0),"",
IF(貼り付け用!H69&lt;&gt;"",貼り付け用!H69,"")))</f>
        <v>#N/A</v>
      </c>
      <c r="I68" s="19" t="e">
        <f>IF(貼り付け用!$A$6&lt;&gt;"",
IF(ROW(I67)+2&gt;=MATCH("*【合計】*", 貼り付け用!$A:$A, 0),"",
IF(貼り付け用!I68&lt;&gt;"",貼り付け用!I68,"")),
IF(ROW(I68)+2&gt;=MATCH("*【合計】*", 貼り付け用!$A:$A, 0),"",
IF(貼り付け用!I69&lt;&gt;"",貼り付け用!I69,"")))</f>
        <v>#N/A</v>
      </c>
      <c r="J68" s="19" t="e">
        <f>IF(貼り付け用!$A$6&lt;&gt;"",
IF(ROW(J67)+2&gt;=MATCH("*【合計】*", 貼り付け用!$A:$A, 0),"",
IF(貼り付け用!J68&lt;&gt;"",貼り付け用!J68,"")),
IF(ROW(J68)+2&gt;=MATCH("*【合計】*", 貼り付け用!$A:$A, 0),"",
IF(貼り付け用!J69&lt;&gt;"",貼り付け用!J69,"")))</f>
        <v>#N/A</v>
      </c>
      <c r="K68" s="19" t="e">
        <f>IF(貼り付け用!$A$6&lt;&gt;"",
IF(ROW(K67)+2&gt;=MATCH("*【合計】*", 貼り付け用!$A:$A, 0),"",
IF(貼り付け用!K68&lt;&gt;"",貼り付け用!K68,"")),
IF(ROW(K68)+2&gt;=MATCH("*【合計】*", 貼り付け用!$A:$A, 0),"",
IF(貼り付け用!K69&lt;&gt;"",貼り付け用!K69,"")))</f>
        <v>#N/A</v>
      </c>
      <c r="L68" s="19" t="e">
        <f>IF(貼り付け用!$A$6&lt;&gt;"",
IF(ROW(L67)+2&gt;=MATCH("*【合計】*", 貼り付け用!$A:$A, 0),"",
IF(L$3&lt;&gt;"",IF(貼り付け用!L68&lt;&gt;"",貼り付け用!L68,""),"")),
IF(ROW(L68)+2&gt;=MATCH("*【合計】*", 貼り付け用!$A:$A, 0),"",
IF(L$3&lt;&gt;"",IF(貼り付け用!L69&lt;&gt;"",貼り付け用!L69,""),"")))</f>
        <v>#N/A</v>
      </c>
      <c r="M68" s="19" t="e">
        <f>IF(貼り付け用!$A$6&lt;&gt;"",
IF(ROW(M67)+2&gt;=MATCH("*【合計】*", 貼り付け用!$A:$A, 0),"",
IF(M$3&lt;&gt;"",IF(貼り付け用!M68&lt;&gt;"",貼り付け用!M68,""),"")),
IF(ROW(M68)+2&gt;=MATCH("*【合計】*", 貼り付け用!$A:$A, 0),"",
IF(M$3&lt;&gt;"",IF(貼り付け用!M69&lt;&gt;"",貼り付け用!M69,""),"")))</f>
        <v>#N/A</v>
      </c>
      <c r="N68" s="19" t="e">
        <f>IF(貼り付け用!$A$6&lt;&gt;"",
IF(ROW(N67)+2&gt;=MATCH("*【合計】*", 貼り付け用!$A:$A, 0),"",
IF(N$3&lt;&gt;"",IF(貼り付け用!N68&lt;&gt;"",貼り付け用!N68,""),"")),
IF(ROW(N68)+2&gt;=MATCH("*【合計】*", 貼り付け用!$A:$A, 0),"",
IF(N$3&lt;&gt;"",IF(貼り付け用!N69&lt;&gt;"",貼り付け用!N69,""),"")))</f>
        <v>#N/A</v>
      </c>
      <c r="O68" s="19" t="e">
        <f>IF(貼り付け用!$A$6&lt;&gt;"",
IF(ROW(O67)+2&gt;=MATCH("*【合計】*", 貼り付け用!$A:$A, 0),"",
IF(O$3&lt;&gt;"",IF(貼り付け用!O68&lt;&gt;"",貼り付け用!O68,""),"")),
IF(ROW(O68)+2&gt;=MATCH("*【合計】*", 貼り付け用!$A:$A, 0),"",
IF(O$3&lt;&gt;"",IF(貼り付け用!O69&lt;&gt;"",貼り付け用!O69,""),"")))</f>
        <v>#N/A</v>
      </c>
      <c r="P68" s="19" t="e">
        <f>IF(貼り付け用!$A$6&lt;&gt;"",
IF(ROW(P67)+2&gt;=MATCH("*【合計】*", 貼り付け用!$A:$A, 0),"",
IF(P$3&lt;&gt;"",IF(貼り付け用!P68&lt;&gt;"",貼り付け用!P68,""),"")),
IF(ROW(P68)+2&gt;=MATCH("*【合計】*", 貼り付け用!$A:$A, 0),"",
IF(P$3&lt;&gt;"",IF(貼り付け用!P69&lt;&gt;"",貼り付け用!P69,""),"")))</f>
        <v>#N/A</v>
      </c>
      <c r="Q68" s="19" t="e">
        <f>IF(貼り付け用!$A$6&lt;&gt;"",
IF(ROW(Q67)+2&gt;=MATCH("*【合計】*", 貼り付け用!$A:$A, 0),"",
IF(Q$3&lt;&gt;"",IF(貼り付け用!Q68&lt;&gt;"",貼り付け用!Q68,""),"")),
IF(ROW(Q68)+2&gt;=MATCH("*【合計】*", 貼り付け用!$A:$A, 0),"",
IF(Q$3&lt;&gt;"",IF(貼り付け用!Q69&lt;&gt;"",貼り付け用!Q69,""),"")))</f>
        <v>#N/A</v>
      </c>
      <c r="R68" s="19" t="e">
        <f>IF(貼り付け用!$A$6&lt;&gt;"",
IF(ROW(R67)+2&gt;=MATCH("*【合計】*", 貼り付け用!$A:$A, 0),"",
IF(R$3&lt;&gt;"",IF(貼り付け用!R68&lt;&gt;"",貼り付け用!R68,""),"")),
IF(ROW(R68)+2&gt;=MATCH("*【合計】*", 貼り付け用!$A:$A, 0),"",
IF(R$3&lt;&gt;"",IF(貼り付け用!R69&lt;&gt;"",貼り付け用!R69,""),"")))</f>
        <v>#N/A</v>
      </c>
      <c r="S68" s="19" t="e">
        <f>IF(貼り付け用!$A$6&lt;&gt;"",
IF(ROW(S67)+2&gt;=MATCH("*【合計】*", 貼り付け用!$A:$A, 0),"",
IF(S$3&lt;&gt;"",IF(貼り付け用!S68&lt;&gt;"",貼り付け用!S68,""),"")),
IF(ROW(S68)+2&gt;=MATCH("*【合計】*", 貼り付け用!$A:$A, 0),"",
IF(S$3&lt;&gt;"",IF(貼り付け用!S69&lt;&gt;"",貼り付け用!S69,""),"")))</f>
        <v>#N/A</v>
      </c>
      <c r="T68" s="19" t="e">
        <f t="array" ref="T68">IF(貼り付け用!$A$6&lt;&gt;"",
IF(INDEX(貼り付け用!A:Z, ROW(T67)+1, MATCH("おやつ", 貼り付け用!$A$3:$Z$3, 0))&lt;&gt;0,
INDEX(貼り付け用!A:Z, ROW(T67)+1, MATCH("おやつ", 貼り付け用!$A$3:$Z$3, 0)),""),
IF(INDEX(貼り付け用!A:Z, ROW(T68)+1, MATCH("おやつ", 貼り付け用!$A$3:$Z$3, 0))&lt;&gt;0,
INDEX(貼り付け用!A:Z, ROW(T68)+1, MATCH("おやつ", 貼り付け用!$A$3:$Z$3, 0)),""))</f>
        <v>#N/A</v>
      </c>
      <c r="U68" s="16"/>
      <c r="V68" s="5" t="e">
        <f t="array" ref="V68">IF(貼り付け用!$A$6&lt;&gt;"",
IF(INDEX(貼り付け用!A:Z, ROW(T67)+1, MATCH("おやつ", 貼り付け用!$A$3:$Z$3, 0)+1)&lt;&gt;0,
INDEX(貼り付け用!A:Z, ROW(T67)+1, MATCH("おやつ", 貼り付け用!$A$3:$Z$3, 0)+1),""),
IF(INDEX(貼り付け用!A:Z, ROW(T68)+1, MATCH("おやつ", 貼り付け用!$A$3:$Z$3, 0)+1)&lt;&gt;0,
INDEX(貼り付け用!A:Z, ROW(T68)+1, MATCH("おやつ", 貼り付け用!$A$3:$Z$3, 0)+1),""))</f>
        <v>#N/A</v>
      </c>
      <c r="W68" s="7" t="e">
        <f t="array" ref="W68">IF(貼り付け用!$A$6&lt;&gt;"",
IF(INDEX(貼り付け用!A:Z, ROW(T67)+1, MATCH("おやつ", 貼り付け用!$A$3:$Z$3, 0)+2)&lt;&gt;0,
INDEX(貼り付け用!A:Z, ROW(T67)+1, MATCH("おやつ", 貼り付け用!$A$3:$Z$3, 0)+2),""),
IF(INDEX(貼り付け用!A:Z, ROW(T68)+1, MATCH("おやつ", 貼り付け用!$A$3:$Z$3, 0)+2)&lt;&gt;0,
INDEX(貼り付け用!A:Z, ROW(T68)+1, MATCH("おやつ", 貼り付け用!$A$3:$Z$3, 0)+2),""))</f>
        <v>#N/A</v>
      </c>
    </row>
    <row r="69" spans="1:23" x14ac:dyDescent="0.45">
      <c r="A69" s="10" t="e">
        <f>IF(貼り付け用!$A$6&lt;&gt;"",
IF(ROW(A68)+1&gt;=MATCH("*10000*", 貼り付け用!$A:$A, 0),"",
IF(貼り付け用!A69&lt;&gt;"",貼り付け用!A69,"")),
IF(ROW(A69)+1&gt;=MATCH("*10000*", 貼り付け用!$A:$A, 0),"",
IF(貼り付け用!A70&lt;&gt;"",貼り付け用!A70,"")))</f>
        <v>#N/A</v>
      </c>
      <c r="B69" s="3" t="e">
        <f>IF(貼り付け用!$A$6&lt;&gt;"",
IF(ROW(B68)+2&gt;=MATCH("*【合計】*", 貼り付け用!$A:$A, 0),"",
IF(貼り付け用!B69&lt;&gt;"",貼り付け用!B69,"")),
IF(ROW(B69)+2&gt;=MATCH("*【合計】*", 貼り付け用!$A:$A, 0),"",
IF(貼り付け用!B70&lt;&gt;"",貼り付け用!B70,"")))</f>
        <v>#N/A</v>
      </c>
      <c r="C69" s="3" t="e">
        <f>IF(貼り付け用!$A$6&lt;&gt;"",
IF(ROW(C68)+2&gt;=MATCH("*【合計】*", 貼り付け用!$A:$A, 0),"",
IF(貼り付け用!C69&lt;&gt;"",貼り付け用!C69,"")),
IF(ROW(C69)+2&gt;=MATCH("*【合計】*", 貼り付け用!$A:$A, 0),"",
IF(貼り付け用!C70&lt;&gt;"",貼り付け用!C70,"")))</f>
        <v>#N/A</v>
      </c>
      <c r="D69" s="3" t="e">
        <f>IF(貼り付け用!$A$6&lt;&gt;"",
IF(ROW(D68)+2&gt;=MATCH("*【合計】*", 貼り付け用!$A:$A, 0),"",
IF(貼り付け用!D69&lt;&gt;"",貼り付け用!D69,"")),
IF(ROW(D69)+2&gt;=MATCH("*【合計】*", 貼り付け用!$A:$A, 0),"",
IF(貼り付け用!D70&lt;&gt;"",貼り付け用!D70,"")))</f>
        <v>#N/A</v>
      </c>
      <c r="E69" s="3" t="e">
        <f>IF(貼り付け用!$A$6&lt;&gt;"",
IF(ROW(E68)+2&gt;=MATCH("*【合計】*", 貼り付け用!$A:$A, 0),"",
IF(貼り付け用!E69&lt;&gt;"",貼り付け用!E69,"")),
IF(ROW(E69)+2&gt;=MATCH("*【合計】*", 貼り付け用!$A:$A, 0),"",
IF(貼り付け用!E70&lt;&gt;"",貼り付け用!E70,"")))</f>
        <v>#N/A</v>
      </c>
      <c r="F69" s="3" t="e">
        <f>IF(貼り付け用!$A$6&lt;&gt;"",
IF(ROW(F68)+2&gt;=MATCH("*【合計】*", 貼り付け用!$A:$A, 0),"",
IF(貼り付け用!F69&lt;&gt;"",貼り付け用!F69,"")),
IF(ROW(F69)+2&gt;=MATCH("*【合計】*", 貼り付け用!$A:$A, 0),"",
IF(貼り付け用!F70&lt;&gt;"",貼り付け用!F70,"")))</f>
        <v>#N/A</v>
      </c>
      <c r="G69" s="3" t="e">
        <f>IF(貼り付け用!$A$6&lt;&gt;"",
IF(ROW(G68)+2&gt;=MATCH("*【合計】*", 貼り付け用!$A:$A, 0),"",
IF(貼り付け用!G69&lt;&gt;"",貼り付け用!G69,"")),
IF(ROW(G69)+2&gt;=MATCH("*【合計】*", 貼り付け用!$A:$A, 0),"",
IF(貼り付け用!G70&lt;&gt;"",貼り付け用!G70,"")))</f>
        <v>#N/A</v>
      </c>
      <c r="H69" s="3" t="e">
        <f>IF(貼り付け用!$A$6&lt;&gt;"",
IF(ROW(H68)+2&gt;=MATCH("*【合計】*", 貼り付け用!$A:$A, 0),"",
IF(貼り付け用!H69&lt;&gt;"",貼り付け用!H69,"")),
IF(ROW(H69)+2&gt;=MATCH("*【合計】*", 貼り付け用!$A:$A, 0),"",
IF(貼り付け用!H70&lt;&gt;"",貼り付け用!H70,"")))</f>
        <v>#N/A</v>
      </c>
      <c r="I69" s="3" t="e">
        <f>IF(貼り付け用!$A$6&lt;&gt;"",
IF(ROW(I68)+2&gt;=MATCH("*【合計】*", 貼り付け用!$A:$A, 0),"",
IF(貼り付け用!I69&lt;&gt;"",貼り付け用!I69,"")),
IF(ROW(I69)+2&gt;=MATCH("*【合計】*", 貼り付け用!$A:$A, 0),"",
IF(貼り付け用!I70&lt;&gt;"",貼り付け用!I70,"")))</f>
        <v>#N/A</v>
      </c>
      <c r="J69" s="3" t="e">
        <f>IF(貼り付け用!$A$6&lt;&gt;"",
IF(ROW(J68)+2&gt;=MATCH("*【合計】*", 貼り付け用!$A:$A, 0),"",
IF(貼り付け用!J69&lt;&gt;"",貼り付け用!J69,"")),
IF(ROW(J69)+2&gt;=MATCH("*【合計】*", 貼り付け用!$A:$A, 0),"",
IF(貼り付け用!J70&lt;&gt;"",貼り付け用!J70,"")))</f>
        <v>#N/A</v>
      </c>
      <c r="K69" s="3" t="e">
        <f>IF(貼り付け用!$A$6&lt;&gt;"",
IF(ROW(K68)+2&gt;=MATCH("*【合計】*", 貼り付け用!$A:$A, 0),"",
IF(貼り付け用!K69&lt;&gt;"",貼り付け用!K69,"")),
IF(ROW(K69)+2&gt;=MATCH("*【合計】*", 貼り付け用!$A:$A, 0),"",
IF(貼り付け用!K70&lt;&gt;"",貼り付け用!K70,"")))</f>
        <v>#N/A</v>
      </c>
      <c r="L69" s="3" t="e">
        <f>IF(貼り付け用!$A$6&lt;&gt;"",
IF(ROW(L68)+2&gt;=MATCH("*【合計】*", 貼り付け用!$A:$A, 0),"",
IF(L$3&lt;&gt;"",IF(貼り付け用!L69&lt;&gt;"",貼り付け用!L69,""),"")),
IF(ROW(L69)+2&gt;=MATCH("*【合計】*", 貼り付け用!$A:$A, 0),"",
IF(L$3&lt;&gt;"",IF(貼り付け用!L70&lt;&gt;"",貼り付け用!L70,""),"")))</f>
        <v>#N/A</v>
      </c>
      <c r="M69" s="3" t="e">
        <f>IF(貼り付け用!$A$6&lt;&gt;"",
IF(ROW(M68)+2&gt;=MATCH("*【合計】*", 貼り付け用!$A:$A, 0),"",
IF(M$3&lt;&gt;"",IF(貼り付け用!M69&lt;&gt;"",貼り付け用!M69,""),"")),
IF(ROW(M69)+2&gt;=MATCH("*【合計】*", 貼り付け用!$A:$A, 0),"",
IF(M$3&lt;&gt;"",IF(貼り付け用!M70&lt;&gt;"",貼り付け用!M70,""),"")))</f>
        <v>#N/A</v>
      </c>
      <c r="N69" s="3" t="e">
        <f>IF(貼り付け用!$A$6&lt;&gt;"",
IF(ROW(N68)+2&gt;=MATCH("*【合計】*", 貼り付け用!$A:$A, 0),"",
IF(N$3&lt;&gt;"",IF(貼り付け用!N69&lt;&gt;"",貼り付け用!N69,""),"")),
IF(ROW(N69)+2&gt;=MATCH("*【合計】*", 貼り付け用!$A:$A, 0),"",
IF(N$3&lt;&gt;"",IF(貼り付け用!N70&lt;&gt;"",貼り付け用!N70,""),"")))</f>
        <v>#N/A</v>
      </c>
      <c r="O69" s="3" t="e">
        <f>IF(貼り付け用!$A$6&lt;&gt;"",
IF(ROW(O68)+2&gt;=MATCH("*【合計】*", 貼り付け用!$A:$A, 0),"",
IF(O$3&lt;&gt;"",IF(貼り付け用!O69&lt;&gt;"",貼り付け用!O69,""),"")),
IF(ROW(O69)+2&gt;=MATCH("*【合計】*", 貼り付け用!$A:$A, 0),"",
IF(O$3&lt;&gt;"",IF(貼り付け用!O70&lt;&gt;"",貼り付け用!O70,""),"")))</f>
        <v>#N/A</v>
      </c>
      <c r="P69" s="3" t="e">
        <f>IF(貼り付け用!$A$6&lt;&gt;"",
IF(ROW(P68)+2&gt;=MATCH("*【合計】*", 貼り付け用!$A:$A, 0),"",
IF(P$3&lt;&gt;"",IF(貼り付け用!P69&lt;&gt;"",貼り付け用!P69,""),"")),
IF(ROW(P69)+2&gt;=MATCH("*【合計】*", 貼り付け用!$A:$A, 0),"",
IF(P$3&lt;&gt;"",IF(貼り付け用!P70&lt;&gt;"",貼り付け用!P70,""),"")))</f>
        <v>#N/A</v>
      </c>
      <c r="Q69" s="3" t="e">
        <f>IF(貼り付け用!$A$6&lt;&gt;"",
IF(ROW(Q68)+2&gt;=MATCH("*【合計】*", 貼り付け用!$A:$A, 0),"",
IF(Q$3&lt;&gt;"",IF(貼り付け用!Q69&lt;&gt;"",貼り付け用!Q69,""),"")),
IF(ROW(Q69)+2&gt;=MATCH("*【合計】*", 貼り付け用!$A:$A, 0),"",
IF(Q$3&lt;&gt;"",IF(貼り付け用!Q70&lt;&gt;"",貼り付け用!Q70,""),"")))</f>
        <v>#N/A</v>
      </c>
      <c r="R69" s="3" t="e">
        <f>IF(貼り付け用!$A$6&lt;&gt;"",
IF(ROW(R68)+2&gt;=MATCH("*【合計】*", 貼り付け用!$A:$A, 0),"",
IF(R$3&lt;&gt;"",IF(貼り付け用!R69&lt;&gt;"",貼り付け用!R69,""),"")),
IF(ROW(R69)+2&gt;=MATCH("*【合計】*", 貼り付け用!$A:$A, 0),"",
IF(R$3&lt;&gt;"",IF(貼り付け用!R70&lt;&gt;"",貼り付け用!R70,""),"")))</f>
        <v>#N/A</v>
      </c>
      <c r="S69" s="3" t="e">
        <f>IF(貼り付け用!$A$6&lt;&gt;"",
IF(ROW(S68)+2&gt;=MATCH("*【合計】*", 貼り付け用!$A:$A, 0),"",
IF(S$3&lt;&gt;"",IF(貼り付け用!S69&lt;&gt;"",貼り付け用!S69,""),"")),
IF(ROW(S69)+2&gt;=MATCH("*【合計】*", 貼り付け用!$A:$A, 0),"",
IF(S$3&lt;&gt;"",IF(貼り付け用!S70&lt;&gt;"",貼り付け用!S70,""),"")))</f>
        <v>#N/A</v>
      </c>
      <c r="T69" s="2" t="e">
        <f t="array" ref="T69">IF(貼り付け用!$A$6&lt;&gt;"",
IF(INDEX(貼り付け用!A:Z, ROW(T68)+1, MATCH("おやつ", 貼り付け用!$A$3:$Z$3, 0))&lt;&gt;0,
INDEX(貼り付け用!A:Z, ROW(T68)+1, MATCH("おやつ", 貼り付け用!$A$3:$Z$3, 0)),""),
IF(INDEX(貼り付け用!A:Z, ROW(T69)+1, MATCH("おやつ", 貼り付け用!$A$3:$Z$3, 0))&lt;&gt;0,
INDEX(貼り付け用!A:Z, ROW(T69)+1, MATCH("おやつ", 貼り付け用!$A$3:$Z$3, 0)),""))</f>
        <v>#N/A</v>
      </c>
      <c r="U69" s="52"/>
      <c r="V69" s="8" t="e">
        <f t="array" ref="V69">IF(貼り付け用!$A$6&lt;&gt;"",
IF(INDEX(貼り付け用!A:Z, ROW(T68)+1, MATCH("おやつ", 貼り付け用!$A$3:$Z$3, 0)+1)&lt;&gt;0,
INDEX(貼り付け用!A:Z, ROW(T68)+1, MATCH("おやつ", 貼り付け用!$A$3:$Z$3, 0)+1),""),
IF(INDEX(貼り付け用!A:Z, ROW(T69)+1, MATCH("おやつ", 貼り付け用!$A$3:$Z$3, 0)+1)&lt;&gt;0,
INDEX(貼り付け用!A:Z, ROW(T69)+1, MATCH("おやつ", 貼り付け用!$A$3:$Z$3, 0)+1),""))</f>
        <v>#N/A</v>
      </c>
      <c r="W69" s="9" t="e">
        <f t="array" ref="W69">IF(貼り付け用!$A$6&lt;&gt;"",
IF(INDEX(貼り付け用!A:Z, ROW(T68)+1, MATCH("おやつ", 貼り付け用!$A$3:$Z$3, 0)+2)&lt;&gt;0,
INDEX(貼り付け用!A:Z, ROW(T68)+1, MATCH("おやつ", 貼り付け用!$A$3:$Z$3, 0)+2),""),
IF(INDEX(貼り付け用!A:Z, ROW(T69)+1, MATCH("おやつ", 貼り付け用!$A$3:$Z$3, 0)+2)&lt;&gt;0,
INDEX(貼り付け用!A:Z, ROW(T69)+1, MATCH("おやつ", 貼り付け用!$A$3:$Z$3, 0)+2),""))</f>
        <v>#N/A</v>
      </c>
    </row>
    <row r="70" spans="1:23" x14ac:dyDescent="0.45">
      <c r="A70" s="4" t="e">
        <f>IF(貼り付け用!$A$6&lt;&gt;"",
IF(ROW(A69)+1&gt;=MATCH("*10000*", 貼り付け用!$A:$A, 0),
IF(COUNTIF(A68,"*10000*"),"10001",
IF(COUNTIF(A68,"*10001*"),"10002",
IF(COUNTIF(A68,"*10002*"),"",
IF(COUNTIF(A68,""),"","10000")))),
IF(貼り付け用!A70&lt;&gt;"",貼り付け用!A70,"")),
IF(ROW(A70)+1&gt;=MATCH("*10000*", 貼り付け用!$A:$A, 0),
IF(COUNTIF(A68,"*10000*"),"10001",
IF(COUNTIF(A68,"*10001*"),"10002",
IF(COUNTIF(A68,"*10002*"),"",
IF(COUNTIF(A68,""),"","10000")))),
IF(貼り付け用!A71&lt;&gt;"",貼り付け用!A71,"")))</f>
        <v>#N/A</v>
      </c>
      <c r="B70" s="19" t="e">
        <f>IF(貼り付け用!$A$6&lt;&gt;"",
IF(ROW(B69)+2&gt;=MATCH("*【合計】*", 貼り付け用!$A:$A, 0),"",
IF(貼り付け用!B70&lt;&gt;"",貼り付け用!B70,"")),
IF(ROW(B70)+2&gt;=MATCH("*【合計】*", 貼り付け用!$A:$A, 0),"",
IF(貼り付け用!B71&lt;&gt;"",貼り付け用!B71,"")))</f>
        <v>#N/A</v>
      </c>
      <c r="C70" s="19" t="e">
        <f>IF(貼り付け用!$A$6&lt;&gt;"",
IF(ROW(C69)+2&gt;=MATCH("*【合計】*", 貼り付け用!$A:$A, 0),"",
IF(貼り付け用!C70&lt;&gt;"",貼り付け用!C70,"")),
IF(ROW(C70)+2&gt;=MATCH("*【合計】*", 貼り付け用!$A:$A, 0),"",
IF(貼り付け用!C71&lt;&gt;"",貼り付け用!C71,"")))</f>
        <v>#N/A</v>
      </c>
      <c r="D70" s="19" t="e">
        <f>IF(貼り付け用!$A$6&lt;&gt;"",
IF(ROW(D69)+2&gt;=MATCH("*【合計】*", 貼り付け用!$A:$A, 0),"",
IF(貼り付け用!D70&lt;&gt;"",貼り付け用!D70,"")),
IF(ROW(D70)+2&gt;=MATCH("*【合計】*", 貼り付け用!$A:$A, 0),"",
IF(貼り付け用!D71&lt;&gt;"",貼り付け用!D71,"")))</f>
        <v>#N/A</v>
      </c>
      <c r="E70" s="19" t="e">
        <f>IF(貼り付け用!$A$6&lt;&gt;"",
IF(ROW(E69)+2&gt;=MATCH("*【合計】*", 貼り付け用!$A:$A, 0),"",
IF(貼り付け用!E70&lt;&gt;"",貼り付け用!E70,"")),
IF(ROW(E70)+2&gt;=MATCH("*【合計】*", 貼り付け用!$A:$A, 0),"",
IF(貼り付け用!E71&lt;&gt;"",貼り付け用!E71,"")))</f>
        <v>#N/A</v>
      </c>
      <c r="F70" s="19" t="e">
        <f>IF(貼り付け用!$A$6&lt;&gt;"",
IF(ROW(F69)+2&gt;=MATCH("*【合計】*", 貼り付け用!$A:$A, 0),"",
IF(貼り付け用!F70&lt;&gt;"",貼り付け用!F70,"")),
IF(ROW(F70)+2&gt;=MATCH("*【合計】*", 貼り付け用!$A:$A, 0),"",
IF(貼り付け用!F71&lt;&gt;"",貼り付け用!F71,"")))</f>
        <v>#N/A</v>
      </c>
      <c r="G70" s="19" t="e">
        <f>IF(貼り付け用!$A$6&lt;&gt;"",
IF(ROW(G69)+2&gt;=MATCH("*【合計】*", 貼り付け用!$A:$A, 0),"",
IF(貼り付け用!G70&lt;&gt;"",貼り付け用!G70,"")),
IF(ROW(G70)+2&gt;=MATCH("*【合計】*", 貼り付け用!$A:$A, 0),"",
IF(貼り付け用!G71&lt;&gt;"",貼り付け用!G71,"")))</f>
        <v>#N/A</v>
      </c>
      <c r="H70" s="19" t="e">
        <f>IF(貼り付け用!$A$6&lt;&gt;"",
IF(ROW(H69)+2&gt;=MATCH("*【合計】*", 貼り付け用!$A:$A, 0),"",
IF(貼り付け用!H70&lt;&gt;"",貼り付け用!H70,"")),
IF(ROW(H70)+2&gt;=MATCH("*【合計】*", 貼り付け用!$A:$A, 0),"",
IF(貼り付け用!H71&lt;&gt;"",貼り付け用!H71,"")))</f>
        <v>#N/A</v>
      </c>
      <c r="I70" s="19" t="e">
        <f>IF(貼り付け用!$A$6&lt;&gt;"",
IF(ROW(I69)+2&gt;=MATCH("*【合計】*", 貼り付け用!$A:$A, 0),"",
IF(貼り付け用!I70&lt;&gt;"",貼り付け用!I70,"")),
IF(ROW(I70)+2&gt;=MATCH("*【合計】*", 貼り付け用!$A:$A, 0),"",
IF(貼り付け用!I71&lt;&gt;"",貼り付け用!I71,"")))</f>
        <v>#N/A</v>
      </c>
      <c r="J70" s="19" t="e">
        <f>IF(貼り付け用!$A$6&lt;&gt;"",
IF(ROW(J69)+2&gt;=MATCH("*【合計】*", 貼り付け用!$A:$A, 0),"",
IF(貼り付け用!J70&lt;&gt;"",貼り付け用!J70,"")),
IF(ROW(J70)+2&gt;=MATCH("*【合計】*", 貼り付け用!$A:$A, 0),"",
IF(貼り付け用!J71&lt;&gt;"",貼り付け用!J71,"")))</f>
        <v>#N/A</v>
      </c>
      <c r="K70" s="19" t="e">
        <f>IF(貼り付け用!$A$6&lt;&gt;"",
IF(ROW(K69)+2&gt;=MATCH("*【合計】*", 貼り付け用!$A:$A, 0),"",
IF(貼り付け用!K70&lt;&gt;"",貼り付け用!K70,"")),
IF(ROW(K70)+2&gt;=MATCH("*【合計】*", 貼り付け用!$A:$A, 0),"",
IF(貼り付け用!K71&lt;&gt;"",貼り付け用!K71,"")))</f>
        <v>#N/A</v>
      </c>
      <c r="L70" s="19" t="e">
        <f>IF(貼り付け用!$A$6&lt;&gt;"",
IF(ROW(L69)+2&gt;=MATCH("*【合計】*", 貼り付け用!$A:$A, 0),"",
IF(L$3&lt;&gt;"",IF(貼り付け用!L70&lt;&gt;"",貼り付け用!L70,""),"")),
IF(ROW(L70)+2&gt;=MATCH("*【合計】*", 貼り付け用!$A:$A, 0),"",
IF(L$3&lt;&gt;"",IF(貼り付け用!L71&lt;&gt;"",貼り付け用!L71,""),"")))</f>
        <v>#N/A</v>
      </c>
      <c r="M70" s="19" t="e">
        <f>IF(貼り付け用!$A$6&lt;&gt;"",
IF(ROW(M69)+2&gt;=MATCH("*【合計】*", 貼り付け用!$A:$A, 0),"",
IF(M$3&lt;&gt;"",IF(貼り付け用!M70&lt;&gt;"",貼り付け用!M70,""),"")),
IF(ROW(M70)+2&gt;=MATCH("*【合計】*", 貼り付け用!$A:$A, 0),"",
IF(M$3&lt;&gt;"",IF(貼り付け用!M71&lt;&gt;"",貼り付け用!M71,""),"")))</f>
        <v>#N/A</v>
      </c>
      <c r="N70" s="19" t="e">
        <f>IF(貼り付け用!$A$6&lt;&gt;"",
IF(ROW(N69)+2&gt;=MATCH("*【合計】*", 貼り付け用!$A:$A, 0),"",
IF(N$3&lt;&gt;"",IF(貼り付け用!N70&lt;&gt;"",貼り付け用!N70,""),"")),
IF(ROW(N70)+2&gt;=MATCH("*【合計】*", 貼り付け用!$A:$A, 0),"",
IF(N$3&lt;&gt;"",IF(貼り付け用!N71&lt;&gt;"",貼り付け用!N71,""),"")))</f>
        <v>#N/A</v>
      </c>
      <c r="O70" s="19" t="e">
        <f>IF(貼り付け用!$A$6&lt;&gt;"",
IF(ROW(O69)+2&gt;=MATCH("*【合計】*", 貼り付け用!$A:$A, 0),"",
IF(O$3&lt;&gt;"",IF(貼り付け用!O70&lt;&gt;"",貼り付け用!O70,""),"")),
IF(ROW(O70)+2&gt;=MATCH("*【合計】*", 貼り付け用!$A:$A, 0),"",
IF(O$3&lt;&gt;"",IF(貼り付け用!O71&lt;&gt;"",貼り付け用!O71,""),"")))</f>
        <v>#N/A</v>
      </c>
      <c r="P70" s="19" t="e">
        <f>IF(貼り付け用!$A$6&lt;&gt;"",
IF(ROW(P69)+2&gt;=MATCH("*【合計】*", 貼り付け用!$A:$A, 0),"",
IF(P$3&lt;&gt;"",IF(貼り付け用!P70&lt;&gt;"",貼り付け用!P70,""),"")),
IF(ROW(P70)+2&gt;=MATCH("*【合計】*", 貼り付け用!$A:$A, 0),"",
IF(P$3&lt;&gt;"",IF(貼り付け用!P71&lt;&gt;"",貼り付け用!P71,""),"")))</f>
        <v>#N/A</v>
      </c>
      <c r="Q70" s="19" t="e">
        <f>IF(貼り付け用!$A$6&lt;&gt;"",
IF(ROW(Q69)+2&gt;=MATCH("*【合計】*", 貼り付け用!$A:$A, 0),"",
IF(Q$3&lt;&gt;"",IF(貼り付け用!Q70&lt;&gt;"",貼り付け用!Q70,""),"")),
IF(ROW(Q70)+2&gt;=MATCH("*【合計】*", 貼り付け用!$A:$A, 0),"",
IF(Q$3&lt;&gt;"",IF(貼り付け用!Q71&lt;&gt;"",貼り付け用!Q71,""),"")))</f>
        <v>#N/A</v>
      </c>
      <c r="R70" s="19" t="e">
        <f>IF(貼り付け用!$A$6&lt;&gt;"",
IF(ROW(R69)+2&gt;=MATCH("*【合計】*", 貼り付け用!$A:$A, 0),"",
IF(R$3&lt;&gt;"",IF(貼り付け用!R70&lt;&gt;"",貼り付け用!R70,""),"")),
IF(ROW(R70)+2&gt;=MATCH("*【合計】*", 貼り付け用!$A:$A, 0),"",
IF(R$3&lt;&gt;"",IF(貼り付け用!R71&lt;&gt;"",貼り付け用!R71,""),"")))</f>
        <v>#N/A</v>
      </c>
      <c r="S70" s="19" t="e">
        <f>IF(貼り付け用!$A$6&lt;&gt;"",
IF(ROW(S69)+2&gt;=MATCH("*【合計】*", 貼り付け用!$A:$A, 0),"",
IF(S$3&lt;&gt;"",IF(貼り付け用!S70&lt;&gt;"",貼り付け用!S70,""),"")),
IF(ROW(S70)+2&gt;=MATCH("*【合計】*", 貼り付け用!$A:$A, 0),"",
IF(S$3&lt;&gt;"",IF(貼り付け用!S71&lt;&gt;"",貼り付け用!S71,""),"")))</f>
        <v>#N/A</v>
      </c>
      <c r="T70" s="19" t="e">
        <f t="array" ref="T70">IF(貼り付け用!$A$6&lt;&gt;"",
IF(INDEX(貼り付け用!A:Z, ROW(T69)+1, MATCH("おやつ", 貼り付け用!$A$3:$Z$3, 0))&lt;&gt;0,
INDEX(貼り付け用!A:Z, ROW(T69)+1, MATCH("おやつ", 貼り付け用!$A$3:$Z$3, 0)),""),
IF(INDEX(貼り付け用!A:Z, ROW(T70)+1, MATCH("おやつ", 貼り付け用!$A$3:$Z$3, 0))&lt;&gt;0,
INDEX(貼り付け用!A:Z, ROW(T70)+1, MATCH("おやつ", 貼り付け用!$A$3:$Z$3, 0)),""))</f>
        <v>#N/A</v>
      </c>
      <c r="U70" s="16"/>
      <c r="V70" s="5" t="e">
        <f t="array" ref="V70">IF(貼り付け用!$A$6&lt;&gt;"",
IF(INDEX(貼り付け用!A:Z, ROW(T69)+1, MATCH("おやつ", 貼り付け用!$A$3:$Z$3, 0)+1)&lt;&gt;0,
INDEX(貼り付け用!A:Z, ROW(T69)+1, MATCH("おやつ", 貼り付け用!$A$3:$Z$3, 0)+1),""),
IF(INDEX(貼り付け用!A:Z, ROW(T70)+1, MATCH("おやつ", 貼り付け用!$A$3:$Z$3, 0)+1)&lt;&gt;0,
INDEX(貼り付け用!A:Z, ROW(T70)+1, MATCH("おやつ", 貼り付け用!$A$3:$Z$3, 0)+1),""))</f>
        <v>#N/A</v>
      </c>
      <c r="W70" s="7" t="e">
        <f t="array" ref="W70">IF(貼り付け用!$A$6&lt;&gt;"",
IF(INDEX(貼り付け用!A:Z, ROW(T69)+1, MATCH("おやつ", 貼り付け用!$A$3:$Z$3, 0)+2)&lt;&gt;0,
INDEX(貼り付け用!A:Z, ROW(T69)+1, MATCH("おやつ", 貼り付け用!$A$3:$Z$3, 0)+2),""),
IF(INDEX(貼り付け用!A:Z, ROW(T70)+1, MATCH("おやつ", 貼り付け用!$A$3:$Z$3, 0)+2)&lt;&gt;0,
INDEX(貼り付け用!A:Z, ROW(T70)+1, MATCH("おやつ", 貼り付け用!$A$3:$Z$3, 0)+2),""))</f>
        <v>#N/A</v>
      </c>
    </row>
    <row r="71" spans="1:23" x14ac:dyDescent="0.45">
      <c r="A71" s="10" t="e">
        <f>IF(貼り付け用!$A$6&lt;&gt;"",
IF(ROW(A70)+1&gt;=MATCH("*10000*", 貼り付け用!$A:$A, 0),"",
IF(貼り付け用!A71&lt;&gt;"",貼り付け用!A71,"")),
IF(ROW(A71)+1&gt;=MATCH("*10000*", 貼り付け用!$A:$A, 0),"",
IF(貼り付け用!A72&lt;&gt;"",貼り付け用!A72,"")))</f>
        <v>#N/A</v>
      </c>
      <c r="B71" s="3" t="e">
        <f>IF(貼り付け用!$A$6&lt;&gt;"",
IF(ROW(B70)+2&gt;=MATCH("*【合計】*", 貼り付け用!$A:$A, 0),"",
IF(貼り付け用!B71&lt;&gt;"",貼り付け用!B71,"")),
IF(ROW(B71)+2&gt;=MATCH("*【合計】*", 貼り付け用!$A:$A, 0),"",
IF(貼り付け用!B72&lt;&gt;"",貼り付け用!B72,"")))</f>
        <v>#N/A</v>
      </c>
      <c r="C71" s="3" t="e">
        <f>IF(貼り付け用!$A$6&lt;&gt;"",
IF(ROW(C70)+2&gt;=MATCH("*【合計】*", 貼り付け用!$A:$A, 0),"",
IF(貼り付け用!C71&lt;&gt;"",貼り付け用!C71,"")),
IF(ROW(C71)+2&gt;=MATCH("*【合計】*", 貼り付け用!$A:$A, 0),"",
IF(貼り付け用!C72&lt;&gt;"",貼り付け用!C72,"")))</f>
        <v>#N/A</v>
      </c>
      <c r="D71" s="3" t="e">
        <f>IF(貼り付け用!$A$6&lt;&gt;"",
IF(ROW(D70)+2&gt;=MATCH("*【合計】*", 貼り付け用!$A:$A, 0),"",
IF(貼り付け用!D71&lt;&gt;"",貼り付け用!D71,"")),
IF(ROW(D71)+2&gt;=MATCH("*【合計】*", 貼り付け用!$A:$A, 0),"",
IF(貼り付け用!D72&lt;&gt;"",貼り付け用!D72,"")))</f>
        <v>#N/A</v>
      </c>
      <c r="E71" s="3" t="e">
        <f>IF(貼り付け用!$A$6&lt;&gt;"",
IF(ROW(E70)+2&gt;=MATCH("*【合計】*", 貼り付け用!$A:$A, 0),"",
IF(貼り付け用!E71&lt;&gt;"",貼り付け用!E71,"")),
IF(ROW(E71)+2&gt;=MATCH("*【合計】*", 貼り付け用!$A:$A, 0),"",
IF(貼り付け用!E72&lt;&gt;"",貼り付け用!E72,"")))</f>
        <v>#N/A</v>
      </c>
      <c r="F71" s="3" t="e">
        <f>IF(貼り付け用!$A$6&lt;&gt;"",
IF(ROW(F70)+2&gt;=MATCH("*【合計】*", 貼り付け用!$A:$A, 0),"",
IF(貼り付け用!F71&lt;&gt;"",貼り付け用!F71,"")),
IF(ROW(F71)+2&gt;=MATCH("*【合計】*", 貼り付け用!$A:$A, 0),"",
IF(貼り付け用!F72&lt;&gt;"",貼り付け用!F72,"")))</f>
        <v>#N/A</v>
      </c>
      <c r="G71" s="3" t="e">
        <f>IF(貼り付け用!$A$6&lt;&gt;"",
IF(ROW(G70)+2&gt;=MATCH("*【合計】*", 貼り付け用!$A:$A, 0),"",
IF(貼り付け用!G71&lt;&gt;"",貼り付け用!G71,"")),
IF(ROW(G71)+2&gt;=MATCH("*【合計】*", 貼り付け用!$A:$A, 0),"",
IF(貼り付け用!G72&lt;&gt;"",貼り付け用!G72,"")))</f>
        <v>#N/A</v>
      </c>
      <c r="H71" s="3" t="e">
        <f>IF(貼り付け用!$A$6&lt;&gt;"",
IF(ROW(H70)+2&gt;=MATCH("*【合計】*", 貼り付け用!$A:$A, 0),"",
IF(貼り付け用!H71&lt;&gt;"",貼り付け用!H71,"")),
IF(ROW(H71)+2&gt;=MATCH("*【合計】*", 貼り付け用!$A:$A, 0),"",
IF(貼り付け用!H72&lt;&gt;"",貼り付け用!H72,"")))</f>
        <v>#N/A</v>
      </c>
      <c r="I71" s="3" t="e">
        <f>IF(貼り付け用!$A$6&lt;&gt;"",
IF(ROW(I70)+2&gt;=MATCH("*【合計】*", 貼り付け用!$A:$A, 0),"",
IF(貼り付け用!I71&lt;&gt;"",貼り付け用!I71,"")),
IF(ROW(I71)+2&gt;=MATCH("*【合計】*", 貼り付け用!$A:$A, 0),"",
IF(貼り付け用!I72&lt;&gt;"",貼り付け用!I72,"")))</f>
        <v>#N/A</v>
      </c>
      <c r="J71" s="3" t="e">
        <f>IF(貼り付け用!$A$6&lt;&gt;"",
IF(ROW(J70)+2&gt;=MATCH("*【合計】*", 貼り付け用!$A:$A, 0),"",
IF(貼り付け用!J71&lt;&gt;"",貼り付け用!J71,"")),
IF(ROW(J71)+2&gt;=MATCH("*【合計】*", 貼り付け用!$A:$A, 0),"",
IF(貼り付け用!J72&lt;&gt;"",貼り付け用!J72,"")))</f>
        <v>#N/A</v>
      </c>
      <c r="K71" s="3" t="e">
        <f>IF(貼り付け用!$A$6&lt;&gt;"",
IF(ROW(K70)+2&gt;=MATCH("*【合計】*", 貼り付け用!$A:$A, 0),"",
IF(貼り付け用!K71&lt;&gt;"",貼り付け用!K71,"")),
IF(ROW(K71)+2&gt;=MATCH("*【合計】*", 貼り付け用!$A:$A, 0),"",
IF(貼り付け用!K72&lt;&gt;"",貼り付け用!K72,"")))</f>
        <v>#N/A</v>
      </c>
      <c r="L71" s="3" t="e">
        <f>IF(貼り付け用!$A$6&lt;&gt;"",
IF(ROW(L70)+2&gt;=MATCH("*【合計】*", 貼り付け用!$A:$A, 0),"",
IF(L$3&lt;&gt;"",IF(貼り付け用!L71&lt;&gt;"",貼り付け用!L71,""),"")),
IF(ROW(L71)+2&gt;=MATCH("*【合計】*", 貼り付け用!$A:$A, 0),"",
IF(L$3&lt;&gt;"",IF(貼り付け用!L72&lt;&gt;"",貼り付け用!L72,""),"")))</f>
        <v>#N/A</v>
      </c>
      <c r="M71" s="3" t="e">
        <f>IF(貼り付け用!$A$6&lt;&gt;"",
IF(ROW(M70)+2&gt;=MATCH("*【合計】*", 貼り付け用!$A:$A, 0),"",
IF(M$3&lt;&gt;"",IF(貼り付け用!M71&lt;&gt;"",貼り付け用!M71,""),"")),
IF(ROW(M71)+2&gt;=MATCH("*【合計】*", 貼り付け用!$A:$A, 0),"",
IF(M$3&lt;&gt;"",IF(貼り付け用!M72&lt;&gt;"",貼り付け用!M72,""),"")))</f>
        <v>#N/A</v>
      </c>
      <c r="N71" s="3" t="e">
        <f>IF(貼り付け用!$A$6&lt;&gt;"",
IF(ROW(N70)+2&gt;=MATCH("*【合計】*", 貼り付け用!$A:$A, 0),"",
IF(N$3&lt;&gt;"",IF(貼り付け用!N71&lt;&gt;"",貼り付け用!N71,""),"")),
IF(ROW(N71)+2&gt;=MATCH("*【合計】*", 貼り付け用!$A:$A, 0),"",
IF(N$3&lt;&gt;"",IF(貼り付け用!N72&lt;&gt;"",貼り付け用!N72,""),"")))</f>
        <v>#N/A</v>
      </c>
      <c r="O71" s="3" t="e">
        <f>IF(貼り付け用!$A$6&lt;&gt;"",
IF(ROW(O70)+2&gt;=MATCH("*【合計】*", 貼り付け用!$A:$A, 0),"",
IF(O$3&lt;&gt;"",IF(貼り付け用!O71&lt;&gt;"",貼り付け用!O71,""),"")),
IF(ROW(O71)+2&gt;=MATCH("*【合計】*", 貼り付け用!$A:$A, 0),"",
IF(O$3&lt;&gt;"",IF(貼り付け用!O72&lt;&gt;"",貼り付け用!O72,""),"")))</f>
        <v>#N/A</v>
      </c>
      <c r="P71" s="3" t="e">
        <f>IF(貼り付け用!$A$6&lt;&gt;"",
IF(ROW(P70)+2&gt;=MATCH("*【合計】*", 貼り付け用!$A:$A, 0),"",
IF(P$3&lt;&gt;"",IF(貼り付け用!P71&lt;&gt;"",貼り付け用!P71,""),"")),
IF(ROW(P71)+2&gt;=MATCH("*【合計】*", 貼り付け用!$A:$A, 0),"",
IF(P$3&lt;&gt;"",IF(貼り付け用!P72&lt;&gt;"",貼り付け用!P72,""),"")))</f>
        <v>#N/A</v>
      </c>
      <c r="Q71" s="3" t="e">
        <f>IF(貼り付け用!$A$6&lt;&gt;"",
IF(ROW(Q70)+2&gt;=MATCH("*【合計】*", 貼り付け用!$A:$A, 0),"",
IF(Q$3&lt;&gt;"",IF(貼り付け用!Q71&lt;&gt;"",貼り付け用!Q71,""),"")),
IF(ROW(Q71)+2&gt;=MATCH("*【合計】*", 貼り付け用!$A:$A, 0),"",
IF(Q$3&lt;&gt;"",IF(貼り付け用!Q72&lt;&gt;"",貼り付け用!Q72,""),"")))</f>
        <v>#N/A</v>
      </c>
      <c r="R71" s="3" t="e">
        <f>IF(貼り付け用!$A$6&lt;&gt;"",
IF(ROW(R70)+2&gt;=MATCH("*【合計】*", 貼り付け用!$A:$A, 0),"",
IF(R$3&lt;&gt;"",IF(貼り付け用!R71&lt;&gt;"",貼り付け用!R71,""),"")),
IF(ROW(R71)+2&gt;=MATCH("*【合計】*", 貼り付け用!$A:$A, 0),"",
IF(R$3&lt;&gt;"",IF(貼り付け用!R72&lt;&gt;"",貼り付け用!R72,""),"")))</f>
        <v>#N/A</v>
      </c>
      <c r="S71" s="3" t="e">
        <f>IF(貼り付け用!$A$6&lt;&gt;"",
IF(ROW(S70)+2&gt;=MATCH("*【合計】*", 貼り付け用!$A:$A, 0),"",
IF(S$3&lt;&gt;"",IF(貼り付け用!S71&lt;&gt;"",貼り付け用!S71,""),"")),
IF(ROW(S71)+2&gt;=MATCH("*【合計】*", 貼り付け用!$A:$A, 0),"",
IF(S$3&lt;&gt;"",IF(貼り付け用!S72&lt;&gt;"",貼り付け用!S72,""),"")))</f>
        <v>#N/A</v>
      </c>
      <c r="T71" s="2" t="e">
        <f t="array" ref="T71">IF(貼り付け用!$A$6&lt;&gt;"",
IF(INDEX(貼り付け用!A:Z, ROW(T70)+1, MATCH("おやつ", 貼り付け用!$A$3:$Z$3, 0))&lt;&gt;0,
INDEX(貼り付け用!A:Z, ROW(T70)+1, MATCH("おやつ", 貼り付け用!$A$3:$Z$3, 0)),""),
IF(INDEX(貼り付け用!A:Z, ROW(T71)+1, MATCH("おやつ", 貼り付け用!$A$3:$Z$3, 0))&lt;&gt;0,
INDEX(貼り付け用!A:Z, ROW(T71)+1, MATCH("おやつ", 貼り付け用!$A$3:$Z$3, 0)),""))</f>
        <v>#N/A</v>
      </c>
      <c r="U71" s="52"/>
      <c r="V71" s="8" t="e">
        <f t="array" ref="V71">IF(貼り付け用!$A$6&lt;&gt;"",
IF(INDEX(貼り付け用!A:Z, ROW(T70)+1, MATCH("おやつ", 貼り付け用!$A$3:$Z$3, 0)+1)&lt;&gt;0,
INDEX(貼り付け用!A:Z, ROW(T70)+1, MATCH("おやつ", 貼り付け用!$A$3:$Z$3, 0)+1),""),
IF(INDEX(貼り付け用!A:Z, ROW(T71)+1, MATCH("おやつ", 貼り付け用!$A$3:$Z$3, 0)+1)&lt;&gt;0,
INDEX(貼り付け用!A:Z, ROW(T71)+1, MATCH("おやつ", 貼り付け用!$A$3:$Z$3, 0)+1),""))</f>
        <v>#N/A</v>
      </c>
      <c r="W71" s="9" t="e">
        <f t="array" ref="W71">IF(貼り付け用!$A$6&lt;&gt;"",
IF(INDEX(貼り付け用!A:Z, ROW(T70)+1, MATCH("おやつ", 貼り付け用!$A$3:$Z$3, 0)+2)&lt;&gt;0,
INDEX(貼り付け用!A:Z, ROW(T70)+1, MATCH("おやつ", 貼り付け用!$A$3:$Z$3, 0)+2),""),
IF(INDEX(貼り付け用!A:Z, ROW(T71)+1, MATCH("おやつ", 貼り付け用!$A$3:$Z$3, 0)+2)&lt;&gt;0,
INDEX(貼り付け用!A:Z, ROW(T71)+1, MATCH("おやつ", 貼り付け用!$A$3:$Z$3, 0)+2),""))</f>
        <v>#N/A</v>
      </c>
    </row>
    <row r="72" spans="1:23" x14ac:dyDescent="0.45">
      <c r="A72" s="4" t="e">
        <f>IF(貼り付け用!$A$6&lt;&gt;"",
IF(ROW(A71)+1&gt;=MATCH("*10000*", 貼り付け用!$A:$A, 0),
IF(COUNTIF(A70,"*10000*"),"10001",
IF(COUNTIF(A70,"*10001*"),"10002",
IF(COUNTIF(A70,"*10002*"),"",
IF(COUNTIF(A70,""),"","10000")))),
IF(貼り付け用!A72&lt;&gt;"",貼り付け用!A72,"")),
IF(ROW(A72)+1&gt;=MATCH("*10000*", 貼り付け用!$A:$A, 0),
IF(COUNTIF(A70,"*10000*"),"10001",
IF(COUNTIF(A70,"*10001*"),"10002",
IF(COUNTIF(A70,"*10002*"),"",
IF(COUNTIF(A70,""),"","10000")))),
IF(貼り付け用!A73&lt;&gt;"",貼り付け用!A73,"")))</f>
        <v>#N/A</v>
      </c>
      <c r="B72" s="19" t="e">
        <f>IF(貼り付け用!$A$6&lt;&gt;"",
IF(ROW(B71)+2&gt;=MATCH("*【合計】*", 貼り付け用!$A:$A, 0),"",
IF(貼り付け用!B72&lt;&gt;"",貼り付け用!B72,"")),
IF(ROW(B72)+2&gt;=MATCH("*【合計】*", 貼り付け用!$A:$A, 0),"",
IF(貼り付け用!B73&lt;&gt;"",貼り付け用!B73,"")))</f>
        <v>#N/A</v>
      </c>
      <c r="C72" s="19" t="e">
        <f>IF(貼り付け用!$A$6&lt;&gt;"",
IF(ROW(C71)+2&gt;=MATCH("*【合計】*", 貼り付け用!$A:$A, 0),"",
IF(貼り付け用!C72&lt;&gt;"",貼り付け用!C72,"")),
IF(ROW(C72)+2&gt;=MATCH("*【合計】*", 貼り付け用!$A:$A, 0),"",
IF(貼り付け用!C73&lt;&gt;"",貼り付け用!C73,"")))</f>
        <v>#N/A</v>
      </c>
      <c r="D72" s="19" t="e">
        <f>IF(貼り付け用!$A$6&lt;&gt;"",
IF(ROW(D71)+2&gt;=MATCH("*【合計】*", 貼り付け用!$A:$A, 0),"",
IF(貼り付け用!D72&lt;&gt;"",貼り付け用!D72,"")),
IF(ROW(D72)+2&gt;=MATCH("*【合計】*", 貼り付け用!$A:$A, 0),"",
IF(貼り付け用!D73&lt;&gt;"",貼り付け用!D73,"")))</f>
        <v>#N/A</v>
      </c>
      <c r="E72" s="19" t="e">
        <f>IF(貼り付け用!$A$6&lt;&gt;"",
IF(ROW(E71)+2&gt;=MATCH("*【合計】*", 貼り付け用!$A:$A, 0),"",
IF(貼り付け用!E72&lt;&gt;"",貼り付け用!E72,"")),
IF(ROW(E72)+2&gt;=MATCH("*【合計】*", 貼り付け用!$A:$A, 0),"",
IF(貼り付け用!E73&lt;&gt;"",貼り付け用!E73,"")))</f>
        <v>#N/A</v>
      </c>
      <c r="F72" s="19" t="e">
        <f>IF(貼り付け用!$A$6&lt;&gt;"",
IF(ROW(F71)+2&gt;=MATCH("*【合計】*", 貼り付け用!$A:$A, 0),"",
IF(貼り付け用!F72&lt;&gt;"",貼り付け用!F72,"")),
IF(ROW(F72)+2&gt;=MATCH("*【合計】*", 貼り付け用!$A:$A, 0),"",
IF(貼り付け用!F73&lt;&gt;"",貼り付け用!F73,"")))</f>
        <v>#N/A</v>
      </c>
      <c r="G72" s="19" t="e">
        <f>IF(貼り付け用!$A$6&lt;&gt;"",
IF(ROW(G71)+2&gt;=MATCH("*【合計】*", 貼り付け用!$A:$A, 0),"",
IF(貼り付け用!G72&lt;&gt;"",貼り付け用!G72,"")),
IF(ROW(G72)+2&gt;=MATCH("*【合計】*", 貼り付け用!$A:$A, 0),"",
IF(貼り付け用!G73&lt;&gt;"",貼り付け用!G73,"")))</f>
        <v>#N/A</v>
      </c>
      <c r="H72" s="19" t="e">
        <f>IF(貼り付け用!$A$6&lt;&gt;"",
IF(ROW(H71)+2&gt;=MATCH("*【合計】*", 貼り付け用!$A:$A, 0),"",
IF(貼り付け用!H72&lt;&gt;"",貼り付け用!H72,"")),
IF(ROW(H72)+2&gt;=MATCH("*【合計】*", 貼り付け用!$A:$A, 0),"",
IF(貼り付け用!H73&lt;&gt;"",貼り付け用!H73,"")))</f>
        <v>#N/A</v>
      </c>
      <c r="I72" s="19" t="e">
        <f>IF(貼り付け用!$A$6&lt;&gt;"",
IF(ROW(I71)+2&gt;=MATCH("*【合計】*", 貼り付け用!$A:$A, 0),"",
IF(貼り付け用!I72&lt;&gt;"",貼り付け用!I72,"")),
IF(ROW(I72)+2&gt;=MATCH("*【合計】*", 貼り付け用!$A:$A, 0),"",
IF(貼り付け用!I73&lt;&gt;"",貼り付け用!I73,"")))</f>
        <v>#N/A</v>
      </c>
      <c r="J72" s="19" t="e">
        <f>IF(貼り付け用!$A$6&lt;&gt;"",
IF(ROW(J71)+2&gt;=MATCH("*【合計】*", 貼り付け用!$A:$A, 0),"",
IF(貼り付け用!J72&lt;&gt;"",貼り付け用!J72,"")),
IF(ROW(J72)+2&gt;=MATCH("*【合計】*", 貼り付け用!$A:$A, 0),"",
IF(貼り付け用!J73&lt;&gt;"",貼り付け用!J73,"")))</f>
        <v>#N/A</v>
      </c>
      <c r="K72" s="19" t="e">
        <f>IF(貼り付け用!$A$6&lt;&gt;"",
IF(ROW(K71)+2&gt;=MATCH("*【合計】*", 貼り付け用!$A:$A, 0),"",
IF(貼り付け用!K72&lt;&gt;"",貼り付け用!K72,"")),
IF(ROW(K72)+2&gt;=MATCH("*【合計】*", 貼り付け用!$A:$A, 0),"",
IF(貼り付け用!K73&lt;&gt;"",貼り付け用!K73,"")))</f>
        <v>#N/A</v>
      </c>
      <c r="L72" s="19" t="e">
        <f>IF(貼り付け用!$A$6&lt;&gt;"",
IF(ROW(L71)+2&gt;=MATCH("*【合計】*", 貼り付け用!$A:$A, 0),"",
IF(L$3&lt;&gt;"",IF(貼り付け用!L72&lt;&gt;"",貼り付け用!L72,""),"")),
IF(ROW(L72)+2&gt;=MATCH("*【合計】*", 貼り付け用!$A:$A, 0),"",
IF(L$3&lt;&gt;"",IF(貼り付け用!L73&lt;&gt;"",貼り付け用!L73,""),"")))</f>
        <v>#N/A</v>
      </c>
      <c r="M72" s="19" t="e">
        <f>IF(貼り付け用!$A$6&lt;&gt;"",
IF(ROW(M71)+2&gt;=MATCH("*【合計】*", 貼り付け用!$A:$A, 0),"",
IF(M$3&lt;&gt;"",IF(貼り付け用!M72&lt;&gt;"",貼り付け用!M72,""),"")),
IF(ROW(M72)+2&gt;=MATCH("*【合計】*", 貼り付け用!$A:$A, 0),"",
IF(M$3&lt;&gt;"",IF(貼り付け用!M73&lt;&gt;"",貼り付け用!M73,""),"")))</f>
        <v>#N/A</v>
      </c>
      <c r="N72" s="19" t="e">
        <f>IF(貼り付け用!$A$6&lt;&gt;"",
IF(ROW(N71)+2&gt;=MATCH("*【合計】*", 貼り付け用!$A:$A, 0),"",
IF(N$3&lt;&gt;"",IF(貼り付け用!N72&lt;&gt;"",貼り付け用!N72,""),"")),
IF(ROW(N72)+2&gt;=MATCH("*【合計】*", 貼り付け用!$A:$A, 0),"",
IF(N$3&lt;&gt;"",IF(貼り付け用!N73&lt;&gt;"",貼り付け用!N73,""),"")))</f>
        <v>#N/A</v>
      </c>
      <c r="O72" s="19" t="e">
        <f>IF(貼り付け用!$A$6&lt;&gt;"",
IF(ROW(O71)+2&gt;=MATCH("*【合計】*", 貼り付け用!$A:$A, 0),"",
IF(O$3&lt;&gt;"",IF(貼り付け用!O72&lt;&gt;"",貼り付け用!O72,""),"")),
IF(ROW(O72)+2&gt;=MATCH("*【合計】*", 貼り付け用!$A:$A, 0),"",
IF(O$3&lt;&gt;"",IF(貼り付け用!O73&lt;&gt;"",貼り付け用!O73,""),"")))</f>
        <v>#N/A</v>
      </c>
      <c r="P72" s="19" t="e">
        <f>IF(貼り付け用!$A$6&lt;&gt;"",
IF(ROW(P71)+2&gt;=MATCH("*【合計】*", 貼り付け用!$A:$A, 0),"",
IF(P$3&lt;&gt;"",IF(貼り付け用!P72&lt;&gt;"",貼り付け用!P72,""),"")),
IF(ROW(P72)+2&gt;=MATCH("*【合計】*", 貼り付け用!$A:$A, 0),"",
IF(P$3&lt;&gt;"",IF(貼り付け用!P73&lt;&gt;"",貼り付け用!P73,""),"")))</f>
        <v>#N/A</v>
      </c>
      <c r="Q72" s="19" t="e">
        <f>IF(貼り付け用!$A$6&lt;&gt;"",
IF(ROW(Q71)+2&gt;=MATCH("*【合計】*", 貼り付け用!$A:$A, 0),"",
IF(Q$3&lt;&gt;"",IF(貼り付け用!Q72&lt;&gt;"",貼り付け用!Q72,""),"")),
IF(ROW(Q72)+2&gt;=MATCH("*【合計】*", 貼り付け用!$A:$A, 0),"",
IF(Q$3&lt;&gt;"",IF(貼り付け用!Q73&lt;&gt;"",貼り付け用!Q73,""),"")))</f>
        <v>#N/A</v>
      </c>
      <c r="R72" s="19" t="e">
        <f>IF(貼り付け用!$A$6&lt;&gt;"",
IF(ROW(R71)+2&gt;=MATCH("*【合計】*", 貼り付け用!$A:$A, 0),"",
IF(R$3&lt;&gt;"",IF(貼り付け用!R72&lt;&gt;"",貼り付け用!R72,""),"")),
IF(ROW(R72)+2&gt;=MATCH("*【合計】*", 貼り付け用!$A:$A, 0),"",
IF(R$3&lt;&gt;"",IF(貼り付け用!R73&lt;&gt;"",貼り付け用!R73,""),"")))</f>
        <v>#N/A</v>
      </c>
      <c r="S72" s="19" t="e">
        <f>IF(貼り付け用!$A$6&lt;&gt;"",
IF(ROW(S71)+2&gt;=MATCH("*【合計】*", 貼り付け用!$A:$A, 0),"",
IF(S$3&lt;&gt;"",IF(貼り付け用!S72&lt;&gt;"",貼り付け用!S72,""),"")),
IF(ROW(S72)+2&gt;=MATCH("*【合計】*", 貼り付け用!$A:$A, 0),"",
IF(S$3&lt;&gt;"",IF(貼り付け用!S73&lt;&gt;"",貼り付け用!S73,""),"")))</f>
        <v>#N/A</v>
      </c>
      <c r="T72" s="19" t="e">
        <f t="array" ref="T72">IF(貼り付け用!$A$6&lt;&gt;"",
IF(INDEX(貼り付け用!A:Z, ROW(T71)+1, MATCH("おやつ", 貼り付け用!$A$3:$Z$3, 0))&lt;&gt;0,
INDEX(貼り付け用!A:Z, ROW(T71)+1, MATCH("おやつ", 貼り付け用!$A$3:$Z$3, 0)),""),
IF(INDEX(貼り付け用!A:Z, ROW(T72)+1, MATCH("おやつ", 貼り付け用!$A$3:$Z$3, 0))&lt;&gt;0,
INDEX(貼り付け用!A:Z, ROW(T72)+1, MATCH("おやつ", 貼り付け用!$A$3:$Z$3, 0)),""))</f>
        <v>#N/A</v>
      </c>
      <c r="U72" s="16"/>
      <c r="V72" s="5" t="e">
        <f t="array" ref="V72">IF(貼り付け用!$A$6&lt;&gt;"",
IF(INDEX(貼り付け用!A:Z, ROW(T71)+1, MATCH("おやつ", 貼り付け用!$A$3:$Z$3, 0)+1)&lt;&gt;0,
INDEX(貼り付け用!A:Z, ROW(T71)+1, MATCH("おやつ", 貼り付け用!$A$3:$Z$3, 0)+1),""),
IF(INDEX(貼り付け用!A:Z, ROW(T72)+1, MATCH("おやつ", 貼り付け用!$A$3:$Z$3, 0)+1)&lt;&gt;0,
INDEX(貼り付け用!A:Z, ROW(T72)+1, MATCH("おやつ", 貼り付け用!$A$3:$Z$3, 0)+1),""))</f>
        <v>#N/A</v>
      </c>
      <c r="W72" s="7" t="e">
        <f t="array" ref="W72">IF(貼り付け用!$A$6&lt;&gt;"",
IF(INDEX(貼り付け用!A:Z, ROW(T71)+1, MATCH("おやつ", 貼り付け用!$A$3:$Z$3, 0)+2)&lt;&gt;0,
INDEX(貼り付け用!A:Z, ROW(T71)+1, MATCH("おやつ", 貼り付け用!$A$3:$Z$3, 0)+2),""),
IF(INDEX(貼り付け用!A:Z, ROW(T72)+1, MATCH("おやつ", 貼り付け用!$A$3:$Z$3, 0)+2)&lt;&gt;0,
INDEX(貼り付け用!A:Z, ROW(T72)+1, MATCH("おやつ", 貼り付け用!$A$3:$Z$3, 0)+2),""))</f>
        <v>#N/A</v>
      </c>
    </row>
    <row r="73" spans="1:23" x14ac:dyDescent="0.45">
      <c r="A73" s="10" t="e">
        <f>IF(貼り付け用!$A$6&lt;&gt;"",
IF(ROW(A72)+1&gt;=MATCH("*10000*", 貼り付け用!$A:$A, 0),"",
IF(貼り付け用!A73&lt;&gt;"",貼り付け用!A73,"")),
IF(ROW(A73)+1&gt;=MATCH("*10000*", 貼り付け用!$A:$A, 0),"",
IF(貼り付け用!A74&lt;&gt;"",貼り付け用!A74,"")))</f>
        <v>#N/A</v>
      </c>
      <c r="B73" s="3" t="e">
        <f>IF(貼り付け用!$A$6&lt;&gt;"",
IF(ROW(B72)+2&gt;=MATCH("*【合計】*", 貼り付け用!$A:$A, 0),"",
IF(貼り付け用!B73&lt;&gt;"",貼り付け用!B73,"")),
IF(ROW(B73)+2&gt;=MATCH("*【合計】*", 貼り付け用!$A:$A, 0),"",
IF(貼り付け用!B74&lt;&gt;"",貼り付け用!B74,"")))</f>
        <v>#N/A</v>
      </c>
      <c r="C73" s="3" t="e">
        <f>IF(貼り付け用!$A$6&lt;&gt;"",
IF(ROW(C72)+2&gt;=MATCH("*【合計】*", 貼り付け用!$A:$A, 0),"",
IF(貼り付け用!C73&lt;&gt;"",貼り付け用!C73,"")),
IF(ROW(C73)+2&gt;=MATCH("*【合計】*", 貼り付け用!$A:$A, 0),"",
IF(貼り付け用!C74&lt;&gt;"",貼り付け用!C74,"")))</f>
        <v>#N/A</v>
      </c>
      <c r="D73" s="3" t="e">
        <f>IF(貼り付け用!$A$6&lt;&gt;"",
IF(ROW(D72)+2&gt;=MATCH("*【合計】*", 貼り付け用!$A:$A, 0),"",
IF(貼り付け用!D73&lt;&gt;"",貼り付け用!D73,"")),
IF(ROW(D73)+2&gt;=MATCH("*【合計】*", 貼り付け用!$A:$A, 0),"",
IF(貼り付け用!D74&lt;&gt;"",貼り付け用!D74,"")))</f>
        <v>#N/A</v>
      </c>
      <c r="E73" s="3" t="e">
        <f>IF(貼り付け用!$A$6&lt;&gt;"",
IF(ROW(E72)+2&gt;=MATCH("*【合計】*", 貼り付け用!$A:$A, 0),"",
IF(貼り付け用!E73&lt;&gt;"",貼り付け用!E73,"")),
IF(ROW(E73)+2&gt;=MATCH("*【合計】*", 貼り付け用!$A:$A, 0),"",
IF(貼り付け用!E74&lt;&gt;"",貼り付け用!E74,"")))</f>
        <v>#N/A</v>
      </c>
      <c r="F73" s="3" t="e">
        <f>IF(貼り付け用!$A$6&lt;&gt;"",
IF(ROW(F72)+2&gt;=MATCH("*【合計】*", 貼り付け用!$A:$A, 0),"",
IF(貼り付け用!F73&lt;&gt;"",貼り付け用!F73,"")),
IF(ROW(F73)+2&gt;=MATCH("*【合計】*", 貼り付け用!$A:$A, 0),"",
IF(貼り付け用!F74&lt;&gt;"",貼り付け用!F74,"")))</f>
        <v>#N/A</v>
      </c>
      <c r="G73" s="3" t="e">
        <f>IF(貼り付け用!$A$6&lt;&gt;"",
IF(ROW(G72)+2&gt;=MATCH("*【合計】*", 貼り付け用!$A:$A, 0),"",
IF(貼り付け用!G73&lt;&gt;"",貼り付け用!G73,"")),
IF(ROW(G73)+2&gt;=MATCH("*【合計】*", 貼り付け用!$A:$A, 0),"",
IF(貼り付け用!G74&lt;&gt;"",貼り付け用!G74,"")))</f>
        <v>#N/A</v>
      </c>
      <c r="H73" s="3" t="e">
        <f>IF(貼り付け用!$A$6&lt;&gt;"",
IF(ROW(H72)+2&gt;=MATCH("*【合計】*", 貼り付け用!$A:$A, 0),"",
IF(貼り付け用!H73&lt;&gt;"",貼り付け用!H73,"")),
IF(ROW(H73)+2&gt;=MATCH("*【合計】*", 貼り付け用!$A:$A, 0),"",
IF(貼り付け用!H74&lt;&gt;"",貼り付け用!H74,"")))</f>
        <v>#N/A</v>
      </c>
      <c r="I73" s="3" t="e">
        <f>IF(貼り付け用!$A$6&lt;&gt;"",
IF(ROW(I72)+2&gt;=MATCH("*【合計】*", 貼り付け用!$A:$A, 0),"",
IF(貼り付け用!I73&lt;&gt;"",貼り付け用!I73,"")),
IF(ROW(I73)+2&gt;=MATCH("*【合計】*", 貼り付け用!$A:$A, 0),"",
IF(貼り付け用!I74&lt;&gt;"",貼り付け用!I74,"")))</f>
        <v>#N/A</v>
      </c>
      <c r="J73" s="3" t="e">
        <f>IF(貼り付け用!$A$6&lt;&gt;"",
IF(ROW(J72)+2&gt;=MATCH("*【合計】*", 貼り付け用!$A:$A, 0),"",
IF(貼り付け用!J73&lt;&gt;"",貼り付け用!J73,"")),
IF(ROW(J73)+2&gt;=MATCH("*【合計】*", 貼り付け用!$A:$A, 0),"",
IF(貼り付け用!J74&lt;&gt;"",貼り付け用!J74,"")))</f>
        <v>#N/A</v>
      </c>
      <c r="K73" s="3" t="e">
        <f>IF(貼り付け用!$A$6&lt;&gt;"",
IF(ROW(K72)+2&gt;=MATCH("*【合計】*", 貼り付け用!$A:$A, 0),"",
IF(貼り付け用!K73&lt;&gt;"",貼り付け用!K73,"")),
IF(ROW(K73)+2&gt;=MATCH("*【合計】*", 貼り付け用!$A:$A, 0),"",
IF(貼り付け用!K74&lt;&gt;"",貼り付け用!K74,"")))</f>
        <v>#N/A</v>
      </c>
      <c r="L73" s="3" t="e">
        <f>IF(貼り付け用!$A$6&lt;&gt;"",
IF(ROW(L72)+2&gt;=MATCH("*【合計】*", 貼り付け用!$A:$A, 0),"",
IF(L$3&lt;&gt;"",IF(貼り付け用!L73&lt;&gt;"",貼り付け用!L73,""),"")),
IF(ROW(L73)+2&gt;=MATCH("*【合計】*", 貼り付け用!$A:$A, 0),"",
IF(L$3&lt;&gt;"",IF(貼り付け用!L74&lt;&gt;"",貼り付け用!L74,""),"")))</f>
        <v>#N/A</v>
      </c>
      <c r="M73" s="3" t="e">
        <f>IF(貼り付け用!$A$6&lt;&gt;"",
IF(ROW(M72)+2&gt;=MATCH("*【合計】*", 貼り付け用!$A:$A, 0),"",
IF(M$3&lt;&gt;"",IF(貼り付け用!M73&lt;&gt;"",貼り付け用!M73,""),"")),
IF(ROW(M73)+2&gt;=MATCH("*【合計】*", 貼り付け用!$A:$A, 0),"",
IF(M$3&lt;&gt;"",IF(貼り付け用!M74&lt;&gt;"",貼り付け用!M74,""),"")))</f>
        <v>#N/A</v>
      </c>
      <c r="N73" s="3" t="e">
        <f>IF(貼り付け用!$A$6&lt;&gt;"",
IF(ROW(N72)+2&gt;=MATCH("*【合計】*", 貼り付け用!$A:$A, 0),"",
IF(N$3&lt;&gt;"",IF(貼り付け用!N73&lt;&gt;"",貼り付け用!N73,""),"")),
IF(ROW(N73)+2&gt;=MATCH("*【合計】*", 貼り付け用!$A:$A, 0),"",
IF(N$3&lt;&gt;"",IF(貼り付け用!N74&lt;&gt;"",貼り付け用!N74,""),"")))</f>
        <v>#N/A</v>
      </c>
      <c r="O73" s="3" t="e">
        <f>IF(貼り付け用!$A$6&lt;&gt;"",
IF(ROW(O72)+2&gt;=MATCH("*【合計】*", 貼り付け用!$A:$A, 0),"",
IF(O$3&lt;&gt;"",IF(貼り付け用!O73&lt;&gt;"",貼り付け用!O73,""),"")),
IF(ROW(O73)+2&gt;=MATCH("*【合計】*", 貼り付け用!$A:$A, 0),"",
IF(O$3&lt;&gt;"",IF(貼り付け用!O74&lt;&gt;"",貼り付け用!O74,""),"")))</f>
        <v>#N/A</v>
      </c>
      <c r="P73" s="3" t="e">
        <f>IF(貼り付け用!$A$6&lt;&gt;"",
IF(ROW(P72)+2&gt;=MATCH("*【合計】*", 貼り付け用!$A:$A, 0),"",
IF(P$3&lt;&gt;"",IF(貼り付け用!P73&lt;&gt;"",貼り付け用!P73,""),"")),
IF(ROW(P73)+2&gt;=MATCH("*【合計】*", 貼り付け用!$A:$A, 0),"",
IF(P$3&lt;&gt;"",IF(貼り付け用!P74&lt;&gt;"",貼り付け用!P74,""),"")))</f>
        <v>#N/A</v>
      </c>
      <c r="Q73" s="3" t="e">
        <f>IF(貼り付け用!$A$6&lt;&gt;"",
IF(ROW(Q72)+2&gt;=MATCH("*【合計】*", 貼り付け用!$A:$A, 0),"",
IF(Q$3&lt;&gt;"",IF(貼り付け用!Q73&lt;&gt;"",貼り付け用!Q73,""),"")),
IF(ROW(Q73)+2&gt;=MATCH("*【合計】*", 貼り付け用!$A:$A, 0),"",
IF(Q$3&lt;&gt;"",IF(貼り付け用!Q74&lt;&gt;"",貼り付け用!Q74,""),"")))</f>
        <v>#N/A</v>
      </c>
      <c r="R73" s="3" t="e">
        <f>IF(貼り付け用!$A$6&lt;&gt;"",
IF(ROW(R72)+2&gt;=MATCH("*【合計】*", 貼り付け用!$A:$A, 0),"",
IF(R$3&lt;&gt;"",IF(貼り付け用!R73&lt;&gt;"",貼り付け用!R73,""),"")),
IF(ROW(R73)+2&gt;=MATCH("*【合計】*", 貼り付け用!$A:$A, 0),"",
IF(R$3&lt;&gt;"",IF(貼り付け用!R74&lt;&gt;"",貼り付け用!R74,""),"")))</f>
        <v>#N/A</v>
      </c>
      <c r="S73" s="3" t="e">
        <f>IF(貼り付け用!$A$6&lt;&gt;"",
IF(ROW(S72)+2&gt;=MATCH("*【合計】*", 貼り付け用!$A:$A, 0),"",
IF(S$3&lt;&gt;"",IF(貼り付け用!S73&lt;&gt;"",貼り付け用!S73,""),"")),
IF(ROW(S73)+2&gt;=MATCH("*【合計】*", 貼り付け用!$A:$A, 0),"",
IF(S$3&lt;&gt;"",IF(貼り付け用!S74&lt;&gt;"",貼り付け用!S74,""),"")))</f>
        <v>#N/A</v>
      </c>
      <c r="T73" s="2" t="e">
        <f t="array" ref="T73">IF(貼り付け用!$A$6&lt;&gt;"",
IF(INDEX(貼り付け用!A:Z, ROW(T72)+1, MATCH("おやつ", 貼り付け用!$A$3:$Z$3, 0))&lt;&gt;0,
INDEX(貼り付け用!A:Z, ROW(T72)+1, MATCH("おやつ", 貼り付け用!$A$3:$Z$3, 0)),""),
IF(INDEX(貼り付け用!A:Z, ROW(T73)+1, MATCH("おやつ", 貼り付け用!$A$3:$Z$3, 0))&lt;&gt;0,
INDEX(貼り付け用!A:Z, ROW(T73)+1, MATCH("おやつ", 貼り付け用!$A$3:$Z$3, 0)),""))</f>
        <v>#N/A</v>
      </c>
      <c r="U73" s="52"/>
      <c r="V73" s="8" t="e">
        <f t="array" ref="V73">IF(貼り付け用!$A$6&lt;&gt;"",
IF(INDEX(貼り付け用!A:Z, ROW(T72)+1, MATCH("おやつ", 貼り付け用!$A$3:$Z$3, 0)+1)&lt;&gt;0,
INDEX(貼り付け用!A:Z, ROW(T72)+1, MATCH("おやつ", 貼り付け用!$A$3:$Z$3, 0)+1),""),
IF(INDEX(貼り付け用!A:Z, ROW(T73)+1, MATCH("おやつ", 貼り付け用!$A$3:$Z$3, 0)+1)&lt;&gt;0,
INDEX(貼り付け用!A:Z, ROW(T73)+1, MATCH("おやつ", 貼り付け用!$A$3:$Z$3, 0)+1),""))</f>
        <v>#N/A</v>
      </c>
      <c r="W73" s="9" t="e">
        <f t="array" ref="W73">IF(貼り付け用!$A$6&lt;&gt;"",
IF(INDEX(貼り付け用!A:Z, ROW(T72)+1, MATCH("おやつ", 貼り付け用!$A$3:$Z$3, 0)+2)&lt;&gt;0,
INDEX(貼り付け用!A:Z, ROW(T72)+1, MATCH("おやつ", 貼り付け用!$A$3:$Z$3, 0)+2),""),
IF(INDEX(貼り付け用!A:Z, ROW(T73)+1, MATCH("おやつ", 貼り付け用!$A$3:$Z$3, 0)+2)&lt;&gt;0,
INDEX(貼り付け用!A:Z, ROW(T73)+1, MATCH("おやつ", 貼り付け用!$A$3:$Z$3, 0)+2),""))</f>
        <v>#N/A</v>
      </c>
    </row>
    <row r="74" spans="1:23" x14ac:dyDescent="0.45">
      <c r="A74" s="4" t="e">
        <f>IF(貼り付け用!$A$6&lt;&gt;"",
IF(ROW(A73)+1&gt;=MATCH("*10000*", 貼り付け用!$A:$A, 0),
IF(COUNTIF(A72,"*10000*"),"10001",
IF(COUNTIF(A72,"*10001*"),"10002",
IF(COUNTIF(A72,"*10002*"),"",
IF(COUNTIF(A72,""),"","10000")))),
IF(貼り付け用!A74&lt;&gt;"",貼り付け用!A74,"")),
IF(ROW(A74)+1&gt;=MATCH("*10000*", 貼り付け用!$A:$A, 0),
IF(COUNTIF(A72,"*10000*"),"10001",
IF(COUNTIF(A72,"*10001*"),"10002",
IF(COUNTIF(A72,"*10002*"),"",
IF(COUNTIF(A72,""),"","10000")))),
IF(貼り付け用!A75&lt;&gt;"",貼り付け用!A75,"")))</f>
        <v>#N/A</v>
      </c>
      <c r="B74" s="19" t="e">
        <f>IF(貼り付け用!$A$6&lt;&gt;"",
IF(ROW(B73)+2&gt;=MATCH("*【合計】*", 貼り付け用!$A:$A, 0),"",
IF(貼り付け用!B74&lt;&gt;"",貼り付け用!B74,"")),
IF(ROW(B74)+2&gt;=MATCH("*【合計】*", 貼り付け用!$A:$A, 0),"",
IF(貼り付け用!B75&lt;&gt;"",貼り付け用!B75,"")))</f>
        <v>#N/A</v>
      </c>
      <c r="C74" s="19" t="e">
        <f>IF(貼り付け用!$A$6&lt;&gt;"",
IF(ROW(C73)+2&gt;=MATCH("*【合計】*", 貼り付け用!$A:$A, 0),"",
IF(貼り付け用!C74&lt;&gt;"",貼り付け用!C74,"")),
IF(ROW(C74)+2&gt;=MATCH("*【合計】*", 貼り付け用!$A:$A, 0),"",
IF(貼り付け用!C75&lt;&gt;"",貼り付け用!C75,"")))</f>
        <v>#N/A</v>
      </c>
      <c r="D74" s="19" t="e">
        <f>IF(貼り付け用!$A$6&lt;&gt;"",
IF(ROW(D73)+2&gt;=MATCH("*【合計】*", 貼り付け用!$A:$A, 0),"",
IF(貼り付け用!D74&lt;&gt;"",貼り付け用!D74,"")),
IF(ROW(D74)+2&gt;=MATCH("*【合計】*", 貼り付け用!$A:$A, 0),"",
IF(貼り付け用!D75&lt;&gt;"",貼り付け用!D75,"")))</f>
        <v>#N/A</v>
      </c>
      <c r="E74" s="19" t="e">
        <f>IF(貼り付け用!$A$6&lt;&gt;"",
IF(ROW(E73)+2&gt;=MATCH("*【合計】*", 貼り付け用!$A:$A, 0),"",
IF(貼り付け用!E74&lt;&gt;"",貼り付け用!E74,"")),
IF(ROW(E74)+2&gt;=MATCH("*【合計】*", 貼り付け用!$A:$A, 0),"",
IF(貼り付け用!E75&lt;&gt;"",貼り付け用!E75,"")))</f>
        <v>#N/A</v>
      </c>
      <c r="F74" s="19" t="e">
        <f>IF(貼り付け用!$A$6&lt;&gt;"",
IF(ROW(F73)+2&gt;=MATCH("*【合計】*", 貼り付け用!$A:$A, 0),"",
IF(貼り付け用!F74&lt;&gt;"",貼り付け用!F74,"")),
IF(ROW(F74)+2&gt;=MATCH("*【合計】*", 貼り付け用!$A:$A, 0),"",
IF(貼り付け用!F75&lt;&gt;"",貼り付け用!F75,"")))</f>
        <v>#N/A</v>
      </c>
      <c r="G74" s="19" t="e">
        <f>IF(貼り付け用!$A$6&lt;&gt;"",
IF(ROW(G73)+2&gt;=MATCH("*【合計】*", 貼り付け用!$A:$A, 0),"",
IF(貼り付け用!G74&lt;&gt;"",貼り付け用!G74,"")),
IF(ROW(G74)+2&gt;=MATCH("*【合計】*", 貼り付け用!$A:$A, 0),"",
IF(貼り付け用!G75&lt;&gt;"",貼り付け用!G75,"")))</f>
        <v>#N/A</v>
      </c>
      <c r="H74" s="19" t="e">
        <f>IF(貼り付け用!$A$6&lt;&gt;"",
IF(ROW(H73)+2&gt;=MATCH("*【合計】*", 貼り付け用!$A:$A, 0),"",
IF(貼り付け用!H74&lt;&gt;"",貼り付け用!H74,"")),
IF(ROW(H74)+2&gt;=MATCH("*【合計】*", 貼り付け用!$A:$A, 0),"",
IF(貼り付け用!H75&lt;&gt;"",貼り付け用!H75,"")))</f>
        <v>#N/A</v>
      </c>
      <c r="I74" s="19" t="e">
        <f>IF(貼り付け用!$A$6&lt;&gt;"",
IF(ROW(I73)+2&gt;=MATCH("*【合計】*", 貼り付け用!$A:$A, 0),"",
IF(貼り付け用!I74&lt;&gt;"",貼り付け用!I74,"")),
IF(ROW(I74)+2&gt;=MATCH("*【合計】*", 貼り付け用!$A:$A, 0),"",
IF(貼り付け用!I75&lt;&gt;"",貼り付け用!I75,"")))</f>
        <v>#N/A</v>
      </c>
      <c r="J74" s="19" t="e">
        <f>IF(貼り付け用!$A$6&lt;&gt;"",
IF(ROW(J73)+2&gt;=MATCH("*【合計】*", 貼り付け用!$A:$A, 0),"",
IF(貼り付け用!J74&lt;&gt;"",貼り付け用!J74,"")),
IF(ROW(J74)+2&gt;=MATCH("*【合計】*", 貼り付け用!$A:$A, 0),"",
IF(貼り付け用!J75&lt;&gt;"",貼り付け用!J75,"")))</f>
        <v>#N/A</v>
      </c>
      <c r="K74" s="19" t="e">
        <f>IF(貼り付け用!$A$6&lt;&gt;"",
IF(ROW(K73)+2&gt;=MATCH("*【合計】*", 貼り付け用!$A:$A, 0),"",
IF(貼り付け用!K74&lt;&gt;"",貼り付け用!K74,"")),
IF(ROW(K74)+2&gt;=MATCH("*【合計】*", 貼り付け用!$A:$A, 0),"",
IF(貼り付け用!K75&lt;&gt;"",貼り付け用!K75,"")))</f>
        <v>#N/A</v>
      </c>
      <c r="L74" s="19" t="e">
        <f>IF(貼り付け用!$A$6&lt;&gt;"",
IF(ROW(L73)+2&gt;=MATCH("*【合計】*", 貼り付け用!$A:$A, 0),"",
IF(L$3&lt;&gt;"",IF(貼り付け用!L74&lt;&gt;"",貼り付け用!L74,""),"")),
IF(ROW(L74)+2&gt;=MATCH("*【合計】*", 貼り付け用!$A:$A, 0),"",
IF(L$3&lt;&gt;"",IF(貼り付け用!L75&lt;&gt;"",貼り付け用!L75,""),"")))</f>
        <v>#N/A</v>
      </c>
      <c r="M74" s="19" t="e">
        <f>IF(貼り付け用!$A$6&lt;&gt;"",
IF(ROW(M73)+2&gt;=MATCH("*【合計】*", 貼り付け用!$A:$A, 0),"",
IF(M$3&lt;&gt;"",IF(貼り付け用!M74&lt;&gt;"",貼り付け用!M74,""),"")),
IF(ROW(M74)+2&gt;=MATCH("*【合計】*", 貼り付け用!$A:$A, 0),"",
IF(M$3&lt;&gt;"",IF(貼り付け用!M75&lt;&gt;"",貼り付け用!M75,""),"")))</f>
        <v>#N/A</v>
      </c>
      <c r="N74" s="19" t="e">
        <f>IF(貼り付け用!$A$6&lt;&gt;"",
IF(ROW(N73)+2&gt;=MATCH("*【合計】*", 貼り付け用!$A:$A, 0),"",
IF(N$3&lt;&gt;"",IF(貼り付け用!N74&lt;&gt;"",貼り付け用!N74,""),"")),
IF(ROW(N74)+2&gt;=MATCH("*【合計】*", 貼り付け用!$A:$A, 0),"",
IF(N$3&lt;&gt;"",IF(貼り付け用!N75&lt;&gt;"",貼り付け用!N75,""),"")))</f>
        <v>#N/A</v>
      </c>
      <c r="O74" s="19" t="e">
        <f>IF(貼り付け用!$A$6&lt;&gt;"",
IF(ROW(O73)+2&gt;=MATCH("*【合計】*", 貼り付け用!$A:$A, 0),"",
IF(O$3&lt;&gt;"",IF(貼り付け用!O74&lt;&gt;"",貼り付け用!O74,""),"")),
IF(ROW(O74)+2&gt;=MATCH("*【合計】*", 貼り付け用!$A:$A, 0),"",
IF(O$3&lt;&gt;"",IF(貼り付け用!O75&lt;&gt;"",貼り付け用!O75,""),"")))</f>
        <v>#N/A</v>
      </c>
      <c r="P74" s="19" t="e">
        <f>IF(貼り付け用!$A$6&lt;&gt;"",
IF(ROW(P73)+2&gt;=MATCH("*【合計】*", 貼り付け用!$A:$A, 0),"",
IF(P$3&lt;&gt;"",IF(貼り付け用!P74&lt;&gt;"",貼り付け用!P74,""),"")),
IF(ROW(P74)+2&gt;=MATCH("*【合計】*", 貼り付け用!$A:$A, 0),"",
IF(P$3&lt;&gt;"",IF(貼り付け用!P75&lt;&gt;"",貼り付け用!P75,""),"")))</f>
        <v>#N/A</v>
      </c>
      <c r="Q74" s="19" t="e">
        <f>IF(貼り付け用!$A$6&lt;&gt;"",
IF(ROW(Q73)+2&gt;=MATCH("*【合計】*", 貼り付け用!$A:$A, 0),"",
IF(Q$3&lt;&gt;"",IF(貼り付け用!Q74&lt;&gt;"",貼り付け用!Q74,""),"")),
IF(ROW(Q74)+2&gt;=MATCH("*【合計】*", 貼り付け用!$A:$A, 0),"",
IF(Q$3&lt;&gt;"",IF(貼り付け用!Q75&lt;&gt;"",貼り付け用!Q75,""),"")))</f>
        <v>#N/A</v>
      </c>
      <c r="R74" s="19" t="e">
        <f>IF(貼り付け用!$A$6&lt;&gt;"",
IF(ROW(R73)+2&gt;=MATCH("*【合計】*", 貼り付け用!$A:$A, 0),"",
IF(R$3&lt;&gt;"",IF(貼り付け用!R74&lt;&gt;"",貼り付け用!R74,""),"")),
IF(ROW(R74)+2&gt;=MATCH("*【合計】*", 貼り付け用!$A:$A, 0),"",
IF(R$3&lt;&gt;"",IF(貼り付け用!R75&lt;&gt;"",貼り付け用!R75,""),"")))</f>
        <v>#N/A</v>
      </c>
      <c r="S74" s="19" t="e">
        <f>IF(貼り付け用!$A$6&lt;&gt;"",
IF(ROW(S73)+2&gt;=MATCH("*【合計】*", 貼り付け用!$A:$A, 0),"",
IF(S$3&lt;&gt;"",IF(貼り付け用!S74&lt;&gt;"",貼り付け用!S74,""),"")),
IF(ROW(S74)+2&gt;=MATCH("*【合計】*", 貼り付け用!$A:$A, 0),"",
IF(S$3&lt;&gt;"",IF(貼り付け用!S75&lt;&gt;"",貼り付け用!S75,""),"")))</f>
        <v>#N/A</v>
      </c>
      <c r="T74" s="19" t="e">
        <f t="array" ref="T74">IF(貼り付け用!$A$6&lt;&gt;"",
IF(INDEX(貼り付け用!A:Z, ROW(T73)+1, MATCH("おやつ", 貼り付け用!$A$3:$Z$3, 0))&lt;&gt;0,
INDEX(貼り付け用!A:Z, ROW(T73)+1, MATCH("おやつ", 貼り付け用!$A$3:$Z$3, 0)),""),
IF(INDEX(貼り付け用!A:Z, ROW(T74)+1, MATCH("おやつ", 貼り付け用!$A$3:$Z$3, 0))&lt;&gt;0,
INDEX(貼り付け用!A:Z, ROW(T74)+1, MATCH("おやつ", 貼り付け用!$A$3:$Z$3, 0)),""))</f>
        <v>#N/A</v>
      </c>
      <c r="U74" s="16"/>
      <c r="V74" s="5" t="e">
        <f t="array" ref="V74">IF(貼り付け用!$A$6&lt;&gt;"",
IF(INDEX(貼り付け用!A:Z, ROW(T73)+1, MATCH("おやつ", 貼り付け用!$A$3:$Z$3, 0)+1)&lt;&gt;0,
INDEX(貼り付け用!A:Z, ROW(T73)+1, MATCH("おやつ", 貼り付け用!$A$3:$Z$3, 0)+1),""),
IF(INDEX(貼り付け用!A:Z, ROW(T74)+1, MATCH("おやつ", 貼り付け用!$A$3:$Z$3, 0)+1)&lt;&gt;0,
INDEX(貼り付け用!A:Z, ROW(T74)+1, MATCH("おやつ", 貼り付け用!$A$3:$Z$3, 0)+1),""))</f>
        <v>#N/A</v>
      </c>
      <c r="W74" s="7" t="e">
        <f t="array" ref="W74">IF(貼り付け用!$A$6&lt;&gt;"",
IF(INDEX(貼り付け用!A:Z, ROW(T73)+1, MATCH("おやつ", 貼り付け用!$A$3:$Z$3, 0)+2)&lt;&gt;0,
INDEX(貼り付け用!A:Z, ROW(T73)+1, MATCH("おやつ", 貼り付け用!$A$3:$Z$3, 0)+2),""),
IF(INDEX(貼り付け用!A:Z, ROW(T74)+1, MATCH("おやつ", 貼り付け用!$A$3:$Z$3, 0)+2)&lt;&gt;0,
INDEX(貼り付け用!A:Z, ROW(T74)+1, MATCH("おやつ", 貼り付け用!$A$3:$Z$3, 0)+2),""))</f>
        <v>#N/A</v>
      </c>
    </row>
    <row r="75" spans="1:23" x14ac:dyDescent="0.45">
      <c r="A75" s="10" t="e">
        <f>IF(貼り付け用!$A$6&lt;&gt;"",
IF(ROW(A74)+1&gt;=MATCH("*10000*", 貼り付け用!$A:$A, 0),"",
IF(貼り付け用!A75&lt;&gt;"",貼り付け用!A75,"")),
IF(ROW(A75)+1&gt;=MATCH("*10000*", 貼り付け用!$A:$A, 0),"",
IF(貼り付け用!A76&lt;&gt;"",貼り付け用!A76,"")))</f>
        <v>#N/A</v>
      </c>
      <c r="B75" s="3" t="e">
        <f>IF(貼り付け用!$A$6&lt;&gt;"",
IF(ROW(B74)+2&gt;=MATCH("*【合計】*", 貼り付け用!$A:$A, 0),"",
IF(貼り付け用!B75&lt;&gt;"",貼り付け用!B75,"")),
IF(ROW(B75)+2&gt;=MATCH("*【合計】*", 貼り付け用!$A:$A, 0),"",
IF(貼り付け用!B76&lt;&gt;"",貼り付け用!B76,"")))</f>
        <v>#N/A</v>
      </c>
      <c r="C75" s="3" t="e">
        <f>IF(貼り付け用!$A$6&lt;&gt;"",
IF(ROW(C74)+2&gt;=MATCH("*【合計】*", 貼り付け用!$A:$A, 0),"",
IF(貼り付け用!C75&lt;&gt;"",貼り付け用!C75,"")),
IF(ROW(C75)+2&gt;=MATCH("*【合計】*", 貼り付け用!$A:$A, 0),"",
IF(貼り付け用!C76&lt;&gt;"",貼り付け用!C76,"")))</f>
        <v>#N/A</v>
      </c>
      <c r="D75" s="3" t="e">
        <f>IF(貼り付け用!$A$6&lt;&gt;"",
IF(ROW(D74)+2&gt;=MATCH("*【合計】*", 貼り付け用!$A:$A, 0),"",
IF(貼り付け用!D75&lt;&gt;"",貼り付け用!D75,"")),
IF(ROW(D75)+2&gt;=MATCH("*【合計】*", 貼り付け用!$A:$A, 0),"",
IF(貼り付け用!D76&lt;&gt;"",貼り付け用!D76,"")))</f>
        <v>#N/A</v>
      </c>
      <c r="E75" s="3" t="e">
        <f>IF(貼り付け用!$A$6&lt;&gt;"",
IF(ROW(E74)+2&gt;=MATCH("*【合計】*", 貼り付け用!$A:$A, 0),"",
IF(貼り付け用!E75&lt;&gt;"",貼り付け用!E75,"")),
IF(ROW(E75)+2&gt;=MATCH("*【合計】*", 貼り付け用!$A:$A, 0),"",
IF(貼り付け用!E76&lt;&gt;"",貼り付け用!E76,"")))</f>
        <v>#N/A</v>
      </c>
      <c r="F75" s="3" t="e">
        <f>IF(貼り付け用!$A$6&lt;&gt;"",
IF(ROW(F74)+2&gt;=MATCH("*【合計】*", 貼り付け用!$A:$A, 0),"",
IF(貼り付け用!F75&lt;&gt;"",貼り付け用!F75,"")),
IF(ROW(F75)+2&gt;=MATCH("*【合計】*", 貼り付け用!$A:$A, 0),"",
IF(貼り付け用!F76&lt;&gt;"",貼り付け用!F76,"")))</f>
        <v>#N/A</v>
      </c>
      <c r="G75" s="3" t="e">
        <f>IF(貼り付け用!$A$6&lt;&gt;"",
IF(ROW(G74)+2&gt;=MATCH("*【合計】*", 貼り付け用!$A:$A, 0),"",
IF(貼り付け用!G75&lt;&gt;"",貼り付け用!G75,"")),
IF(ROW(G75)+2&gt;=MATCH("*【合計】*", 貼り付け用!$A:$A, 0),"",
IF(貼り付け用!G76&lt;&gt;"",貼り付け用!G76,"")))</f>
        <v>#N/A</v>
      </c>
      <c r="H75" s="3" t="e">
        <f>IF(貼り付け用!$A$6&lt;&gt;"",
IF(ROW(H74)+2&gt;=MATCH("*【合計】*", 貼り付け用!$A:$A, 0),"",
IF(貼り付け用!H75&lt;&gt;"",貼り付け用!H75,"")),
IF(ROW(H75)+2&gt;=MATCH("*【合計】*", 貼り付け用!$A:$A, 0),"",
IF(貼り付け用!H76&lt;&gt;"",貼り付け用!H76,"")))</f>
        <v>#N/A</v>
      </c>
      <c r="I75" s="3" t="e">
        <f>IF(貼り付け用!$A$6&lt;&gt;"",
IF(ROW(I74)+2&gt;=MATCH("*【合計】*", 貼り付け用!$A:$A, 0),"",
IF(貼り付け用!I75&lt;&gt;"",貼り付け用!I75,"")),
IF(ROW(I75)+2&gt;=MATCH("*【合計】*", 貼り付け用!$A:$A, 0),"",
IF(貼り付け用!I76&lt;&gt;"",貼り付け用!I76,"")))</f>
        <v>#N/A</v>
      </c>
      <c r="J75" s="3" t="e">
        <f>IF(貼り付け用!$A$6&lt;&gt;"",
IF(ROW(J74)+2&gt;=MATCH("*【合計】*", 貼り付け用!$A:$A, 0),"",
IF(貼り付け用!J75&lt;&gt;"",貼り付け用!J75,"")),
IF(ROW(J75)+2&gt;=MATCH("*【合計】*", 貼り付け用!$A:$A, 0),"",
IF(貼り付け用!J76&lt;&gt;"",貼り付け用!J76,"")))</f>
        <v>#N/A</v>
      </c>
      <c r="K75" s="3" t="e">
        <f>IF(貼り付け用!$A$6&lt;&gt;"",
IF(ROW(K74)+2&gt;=MATCH("*【合計】*", 貼り付け用!$A:$A, 0),"",
IF(貼り付け用!K75&lt;&gt;"",貼り付け用!K75,"")),
IF(ROW(K75)+2&gt;=MATCH("*【合計】*", 貼り付け用!$A:$A, 0),"",
IF(貼り付け用!K76&lt;&gt;"",貼り付け用!K76,"")))</f>
        <v>#N/A</v>
      </c>
      <c r="L75" s="3" t="e">
        <f>IF(貼り付け用!$A$6&lt;&gt;"",
IF(ROW(L74)+2&gt;=MATCH("*【合計】*", 貼り付け用!$A:$A, 0),"",
IF(L$3&lt;&gt;"",IF(貼り付け用!L75&lt;&gt;"",貼り付け用!L75,""),"")),
IF(ROW(L75)+2&gt;=MATCH("*【合計】*", 貼り付け用!$A:$A, 0),"",
IF(L$3&lt;&gt;"",IF(貼り付け用!L76&lt;&gt;"",貼り付け用!L76,""),"")))</f>
        <v>#N/A</v>
      </c>
      <c r="M75" s="3" t="e">
        <f>IF(貼り付け用!$A$6&lt;&gt;"",
IF(ROW(M74)+2&gt;=MATCH("*【合計】*", 貼り付け用!$A:$A, 0),"",
IF(M$3&lt;&gt;"",IF(貼り付け用!M75&lt;&gt;"",貼り付け用!M75,""),"")),
IF(ROW(M75)+2&gt;=MATCH("*【合計】*", 貼り付け用!$A:$A, 0),"",
IF(M$3&lt;&gt;"",IF(貼り付け用!M76&lt;&gt;"",貼り付け用!M76,""),"")))</f>
        <v>#N/A</v>
      </c>
      <c r="N75" s="3" t="e">
        <f>IF(貼り付け用!$A$6&lt;&gt;"",
IF(ROW(N74)+2&gt;=MATCH("*【合計】*", 貼り付け用!$A:$A, 0),"",
IF(N$3&lt;&gt;"",IF(貼り付け用!N75&lt;&gt;"",貼り付け用!N75,""),"")),
IF(ROW(N75)+2&gt;=MATCH("*【合計】*", 貼り付け用!$A:$A, 0),"",
IF(N$3&lt;&gt;"",IF(貼り付け用!N76&lt;&gt;"",貼り付け用!N76,""),"")))</f>
        <v>#N/A</v>
      </c>
      <c r="O75" s="3" t="e">
        <f>IF(貼り付け用!$A$6&lt;&gt;"",
IF(ROW(O74)+2&gt;=MATCH("*【合計】*", 貼り付け用!$A:$A, 0),"",
IF(O$3&lt;&gt;"",IF(貼り付け用!O75&lt;&gt;"",貼り付け用!O75,""),"")),
IF(ROW(O75)+2&gt;=MATCH("*【合計】*", 貼り付け用!$A:$A, 0),"",
IF(O$3&lt;&gt;"",IF(貼り付け用!O76&lt;&gt;"",貼り付け用!O76,""),"")))</f>
        <v>#N/A</v>
      </c>
      <c r="P75" s="3" t="e">
        <f>IF(貼り付け用!$A$6&lt;&gt;"",
IF(ROW(P74)+2&gt;=MATCH("*【合計】*", 貼り付け用!$A:$A, 0),"",
IF(P$3&lt;&gt;"",IF(貼り付け用!P75&lt;&gt;"",貼り付け用!P75,""),"")),
IF(ROW(P75)+2&gt;=MATCH("*【合計】*", 貼り付け用!$A:$A, 0),"",
IF(P$3&lt;&gt;"",IF(貼り付け用!P76&lt;&gt;"",貼り付け用!P76,""),"")))</f>
        <v>#N/A</v>
      </c>
      <c r="Q75" s="3" t="e">
        <f>IF(貼り付け用!$A$6&lt;&gt;"",
IF(ROW(Q74)+2&gt;=MATCH("*【合計】*", 貼り付け用!$A:$A, 0),"",
IF(Q$3&lt;&gt;"",IF(貼り付け用!Q75&lt;&gt;"",貼り付け用!Q75,""),"")),
IF(ROW(Q75)+2&gt;=MATCH("*【合計】*", 貼り付け用!$A:$A, 0),"",
IF(Q$3&lt;&gt;"",IF(貼り付け用!Q76&lt;&gt;"",貼り付け用!Q76,""),"")))</f>
        <v>#N/A</v>
      </c>
      <c r="R75" s="3" t="e">
        <f>IF(貼り付け用!$A$6&lt;&gt;"",
IF(ROW(R74)+2&gt;=MATCH("*【合計】*", 貼り付け用!$A:$A, 0),"",
IF(R$3&lt;&gt;"",IF(貼り付け用!R75&lt;&gt;"",貼り付け用!R75,""),"")),
IF(ROW(R75)+2&gt;=MATCH("*【合計】*", 貼り付け用!$A:$A, 0),"",
IF(R$3&lt;&gt;"",IF(貼り付け用!R76&lt;&gt;"",貼り付け用!R76,""),"")))</f>
        <v>#N/A</v>
      </c>
      <c r="S75" s="3" t="e">
        <f>IF(貼り付け用!$A$6&lt;&gt;"",
IF(ROW(S74)+2&gt;=MATCH("*【合計】*", 貼り付け用!$A:$A, 0),"",
IF(S$3&lt;&gt;"",IF(貼り付け用!S75&lt;&gt;"",貼り付け用!S75,""),"")),
IF(ROW(S75)+2&gt;=MATCH("*【合計】*", 貼り付け用!$A:$A, 0),"",
IF(S$3&lt;&gt;"",IF(貼り付け用!S76&lt;&gt;"",貼り付け用!S76,""),"")))</f>
        <v>#N/A</v>
      </c>
      <c r="T75" s="2" t="e">
        <f t="array" ref="T75">IF(貼り付け用!$A$6&lt;&gt;"",
IF(INDEX(貼り付け用!A:Z, ROW(T74)+1, MATCH("おやつ", 貼り付け用!$A$3:$Z$3, 0))&lt;&gt;0,
INDEX(貼り付け用!A:Z, ROW(T74)+1, MATCH("おやつ", 貼り付け用!$A$3:$Z$3, 0)),""),
IF(INDEX(貼り付け用!A:Z, ROW(T75)+1, MATCH("おやつ", 貼り付け用!$A$3:$Z$3, 0))&lt;&gt;0,
INDEX(貼り付け用!A:Z, ROW(T75)+1, MATCH("おやつ", 貼り付け用!$A$3:$Z$3, 0)),""))</f>
        <v>#N/A</v>
      </c>
      <c r="U75" s="52"/>
      <c r="V75" s="8" t="e">
        <f t="array" ref="V75">IF(貼り付け用!$A$6&lt;&gt;"",
IF(INDEX(貼り付け用!A:Z, ROW(T74)+1, MATCH("おやつ", 貼り付け用!$A$3:$Z$3, 0)+1)&lt;&gt;0,
INDEX(貼り付け用!A:Z, ROW(T74)+1, MATCH("おやつ", 貼り付け用!$A$3:$Z$3, 0)+1),""),
IF(INDEX(貼り付け用!A:Z, ROW(T75)+1, MATCH("おやつ", 貼り付け用!$A$3:$Z$3, 0)+1)&lt;&gt;0,
INDEX(貼り付け用!A:Z, ROW(T75)+1, MATCH("おやつ", 貼り付け用!$A$3:$Z$3, 0)+1),""))</f>
        <v>#N/A</v>
      </c>
      <c r="W75" s="9" t="e">
        <f t="array" ref="W75">IF(貼り付け用!$A$6&lt;&gt;"",
IF(INDEX(貼り付け用!A:Z, ROW(T74)+1, MATCH("おやつ", 貼り付け用!$A$3:$Z$3, 0)+2)&lt;&gt;0,
INDEX(貼り付け用!A:Z, ROW(T74)+1, MATCH("おやつ", 貼り付け用!$A$3:$Z$3, 0)+2),""),
IF(INDEX(貼り付け用!A:Z, ROW(T75)+1, MATCH("おやつ", 貼り付け用!$A$3:$Z$3, 0)+2)&lt;&gt;0,
INDEX(貼り付け用!A:Z, ROW(T75)+1, MATCH("おやつ", 貼り付け用!$A$3:$Z$3, 0)+2),""))</f>
        <v>#N/A</v>
      </c>
    </row>
    <row r="76" spans="1:23" x14ac:dyDescent="0.45">
      <c r="A76" s="4" t="e">
        <f>IF(貼り付け用!$A$6&lt;&gt;"",
IF(ROW(A75)+1&gt;=MATCH("*10000*", 貼り付け用!$A:$A, 0),
IF(COUNTIF(A74,"*10000*"),"10001",
IF(COUNTIF(A74,"*10001*"),"10002",
IF(COUNTIF(A74,"*10002*"),"",
IF(COUNTIF(A74,""),"","10000")))),
IF(貼り付け用!A76&lt;&gt;"",貼り付け用!A76,"")),
IF(ROW(A76)+1&gt;=MATCH("*10000*", 貼り付け用!$A:$A, 0),
IF(COUNTIF(A74,"*10000*"),"10001",
IF(COUNTIF(A74,"*10001*"),"10002",
IF(COUNTIF(A74,"*10002*"),"",
IF(COUNTIF(A74,""),"","10000")))),
IF(貼り付け用!A77&lt;&gt;"",貼り付け用!A77,"")))</f>
        <v>#N/A</v>
      </c>
      <c r="B76" s="19" t="e">
        <f>IF(貼り付け用!$A$6&lt;&gt;"",
IF(ROW(B75)+2&gt;=MATCH("*【合計】*", 貼り付け用!$A:$A, 0),"",
IF(貼り付け用!B76&lt;&gt;"",貼り付け用!B76,"")),
IF(ROW(B76)+2&gt;=MATCH("*【合計】*", 貼り付け用!$A:$A, 0),"",
IF(貼り付け用!B77&lt;&gt;"",貼り付け用!B77,"")))</f>
        <v>#N/A</v>
      </c>
      <c r="C76" s="19" t="e">
        <f>IF(貼り付け用!$A$6&lt;&gt;"",
IF(ROW(C75)+2&gt;=MATCH("*【合計】*", 貼り付け用!$A:$A, 0),"",
IF(貼り付け用!C76&lt;&gt;"",貼り付け用!C76,"")),
IF(ROW(C76)+2&gt;=MATCH("*【合計】*", 貼り付け用!$A:$A, 0),"",
IF(貼り付け用!C77&lt;&gt;"",貼り付け用!C77,"")))</f>
        <v>#N/A</v>
      </c>
      <c r="D76" s="19" t="e">
        <f>IF(貼り付け用!$A$6&lt;&gt;"",
IF(ROW(D75)+2&gt;=MATCH("*【合計】*", 貼り付け用!$A:$A, 0),"",
IF(貼り付け用!D76&lt;&gt;"",貼り付け用!D76,"")),
IF(ROW(D76)+2&gt;=MATCH("*【合計】*", 貼り付け用!$A:$A, 0),"",
IF(貼り付け用!D77&lt;&gt;"",貼り付け用!D77,"")))</f>
        <v>#N/A</v>
      </c>
      <c r="E76" s="19" t="e">
        <f>IF(貼り付け用!$A$6&lt;&gt;"",
IF(ROW(E75)+2&gt;=MATCH("*【合計】*", 貼り付け用!$A:$A, 0),"",
IF(貼り付け用!E76&lt;&gt;"",貼り付け用!E76,"")),
IF(ROW(E76)+2&gt;=MATCH("*【合計】*", 貼り付け用!$A:$A, 0),"",
IF(貼り付け用!E77&lt;&gt;"",貼り付け用!E77,"")))</f>
        <v>#N/A</v>
      </c>
      <c r="F76" s="19" t="e">
        <f>IF(貼り付け用!$A$6&lt;&gt;"",
IF(ROW(F75)+2&gt;=MATCH("*【合計】*", 貼り付け用!$A:$A, 0),"",
IF(貼り付け用!F76&lt;&gt;"",貼り付け用!F76,"")),
IF(ROW(F76)+2&gt;=MATCH("*【合計】*", 貼り付け用!$A:$A, 0),"",
IF(貼り付け用!F77&lt;&gt;"",貼り付け用!F77,"")))</f>
        <v>#N/A</v>
      </c>
      <c r="G76" s="19" t="e">
        <f>IF(貼り付け用!$A$6&lt;&gt;"",
IF(ROW(G75)+2&gt;=MATCH("*【合計】*", 貼り付け用!$A:$A, 0),"",
IF(貼り付け用!G76&lt;&gt;"",貼り付け用!G76,"")),
IF(ROW(G76)+2&gt;=MATCH("*【合計】*", 貼り付け用!$A:$A, 0),"",
IF(貼り付け用!G77&lt;&gt;"",貼り付け用!G77,"")))</f>
        <v>#N/A</v>
      </c>
      <c r="H76" s="19" t="e">
        <f>IF(貼り付け用!$A$6&lt;&gt;"",
IF(ROW(H75)+2&gt;=MATCH("*【合計】*", 貼り付け用!$A:$A, 0),"",
IF(貼り付け用!H76&lt;&gt;"",貼り付け用!H76,"")),
IF(ROW(H76)+2&gt;=MATCH("*【合計】*", 貼り付け用!$A:$A, 0),"",
IF(貼り付け用!H77&lt;&gt;"",貼り付け用!H77,"")))</f>
        <v>#N/A</v>
      </c>
      <c r="I76" s="19" t="e">
        <f>IF(貼り付け用!$A$6&lt;&gt;"",
IF(ROW(I75)+2&gt;=MATCH("*【合計】*", 貼り付け用!$A:$A, 0),"",
IF(貼り付け用!I76&lt;&gt;"",貼り付け用!I76,"")),
IF(ROW(I76)+2&gt;=MATCH("*【合計】*", 貼り付け用!$A:$A, 0),"",
IF(貼り付け用!I77&lt;&gt;"",貼り付け用!I77,"")))</f>
        <v>#N/A</v>
      </c>
      <c r="J76" s="19" t="e">
        <f>IF(貼り付け用!$A$6&lt;&gt;"",
IF(ROW(J75)+2&gt;=MATCH("*【合計】*", 貼り付け用!$A:$A, 0),"",
IF(貼り付け用!J76&lt;&gt;"",貼り付け用!J76,"")),
IF(ROW(J76)+2&gt;=MATCH("*【合計】*", 貼り付け用!$A:$A, 0),"",
IF(貼り付け用!J77&lt;&gt;"",貼り付け用!J77,"")))</f>
        <v>#N/A</v>
      </c>
      <c r="K76" s="19" t="e">
        <f>IF(貼り付け用!$A$6&lt;&gt;"",
IF(ROW(K75)+2&gt;=MATCH("*【合計】*", 貼り付け用!$A:$A, 0),"",
IF(貼り付け用!K76&lt;&gt;"",貼り付け用!K76,"")),
IF(ROW(K76)+2&gt;=MATCH("*【合計】*", 貼り付け用!$A:$A, 0),"",
IF(貼り付け用!K77&lt;&gt;"",貼り付け用!K77,"")))</f>
        <v>#N/A</v>
      </c>
      <c r="L76" s="19" t="e">
        <f>IF(貼り付け用!$A$6&lt;&gt;"",
IF(ROW(L75)+2&gt;=MATCH("*【合計】*", 貼り付け用!$A:$A, 0),"",
IF(L$3&lt;&gt;"",IF(貼り付け用!L76&lt;&gt;"",貼り付け用!L76,""),"")),
IF(ROW(L76)+2&gt;=MATCH("*【合計】*", 貼り付け用!$A:$A, 0),"",
IF(L$3&lt;&gt;"",IF(貼り付け用!L77&lt;&gt;"",貼り付け用!L77,""),"")))</f>
        <v>#N/A</v>
      </c>
      <c r="M76" s="19" t="e">
        <f>IF(貼り付け用!$A$6&lt;&gt;"",
IF(ROW(M75)+2&gt;=MATCH("*【合計】*", 貼り付け用!$A:$A, 0),"",
IF(M$3&lt;&gt;"",IF(貼り付け用!M76&lt;&gt;"",貼り付け用!M76,""),"")),
IF(ROW(M76)+2&gt;=MATCH("*【合計】*", 貼り付け用!$A:$A, 0),"",
IF(M$3&lt;&gt;"",IF(貼り付け用!M77&lt;&gt;"",貼り付け用!M77,""),"")))</f>
        <v>#N/A</v>
      </c>
      <c r="N76" s="19" t="e">
        <f>IF(貼り付け用!$A$6&lt;&gt;"",
IF(ROW(N75)+2&gt;=MATCH("*【合計】*", 貼り付け用!$A:$A, 0),"",
IF(N$3&lt;&gt;"",IF(貼り付け用!N76&lt;&gt;"",貼り付け用!N76,""),"")),
IF(ROW(N76)+2&gt;=MATCH("*【合計】*", 貼り付け用!$A:$A, 0),"",
IF(N$3&lt;&gt;"",IF(貼り付け用!N77&lt;&gt;"",貼り付け用!N77,""),"")))</f>
        <v>#N/A</v>
      </c>
      <c r="O76" s="19" t="e">
        <f>IF(貼り付け用!$A$6&lt;&gt;"",
IF(ROW(O75)+2&gt;=MATCH("*【合計】*", 貼り付け用!$A:$A, 0),"",
IF(O$3&lt;&gt;"",IF(貼り付け用!O76&lt;&gt;"",貼り付け用!O76,""),"")),
IF(ROW(O76)+2&gt;=MATCH("*【合計】*", 貼り付け用!$A:$A, 0),"",
IF(O$3&lt;&gt;"",IF(貼り付け用!O77&lt;&gt;"",貼り付け用!O77,""),"")))</f>
        <v>#N/A</v>
      </c>
      <c r="P76" s="19" t="e">
        <f>IF(貼り付け用!$A$6&lt;&gt;"",
IF(ROW(P75)+2&gt;=MATCH("*【合計】*", 貼り付け用!$A:$A, 0),"",
IF(P$3&lt;&gt;"",IF(貼り付け用!P76&lt;&gt;"",貼り付け用!P76,""),"")),
IF(ROW(P76)+2&gt;=MATCH("*【合計】*", 貼り付け用!$A:$A, 0),"",
IF(P$3&lt;&gt;"",IF(貼り付け用!P77&lt;&gt;"",貼り付け用!P77,""),"")))</f>
        <v>#N/A</v>
      </c>
      <c r="Q76" s="19" t="e">
        <f>IF(貼り付け用!$A$6&lt;&gt;"",
IF(ROW(Q75)+2&gt;=MATCH("*【合計】*", 貼り付け用!$A:$A, 0),"",
IF(Q$3&lt;&gt;"",IF(貼り付け用!Q76&lt;&gt;"",貼り付け用!Q76,""),"")),
IF(ROW(Q76)+2&gt;=MATCH("*【合計】*", 貼り付け用!$A:$A, 0),"",
IF(Q$3&lt;&gt;"",IF(貼り付け用!Q77&lt;&gt;"",貼り付け用!Q77,""),"")))</f>
        <v>#N/A</v>
      </c>
      <c r="R76" s="19" t="e">
        <f>IF(貼り付け用!$A$6&lt;&gt;"",
IF(ROW(R75)+2&gt;=MATCH("*【合計】*", 貼り付け用!$A:$A, 0),"",
IF(R$3&lt;&gt;"",IF(貼り付け用!R76&lt;&gt;"",貼り付け用!R76,""),"")),
IF(ROW(R76)+2&gt;=MATCH("*【合計】*", 貼り付け用!$A:$A, 0),"",
IF(R$3&lt;&gt;"",IF(貼り付け用!R77&lt;&gt;"",貼り付け用!R77,""),"")))</f>
        <v>#N/A</v>
      </c>
      <c r="S76" s="19" t="e">
        <f>IF(貼り付け用!$A$6&lt;&gt;"",
IF(ROW(S75)+2&gt;=MATCH("*【合計】*", 貼り付け用!$A:$A, 0),"",
IF(S$3&lt;&gt;"",IF(貼り付け用!S76&lt;&gt;"",貼り付け用!S76,""),"")),
IF(ROW(S76)+2&gt;=MATCH("*【合計】*", 貼り付け用!$A:$A, 0),"",
IF(S$3&lt;&gt;"",IF(貼り付け用!S77&lt;&gt;"",貼り付け用!S77,""),"")))</f>
        <v>#N/A</v>
      </c>
      <c r="T76" s="19" t="e">
        <f t="array" ref="T76">IF(貼り付け用!$A$6&lt;&gt;"",
IF(INDEX(貼り付け用!A:Z, ROW(T75)+1, MATCH("おやつ", 貼り付け用!$A$3:$Z$3, 0))&lt;&gt;0,
INDEX(貼り付け用!A:Z, ROW(T75)+1, MATCH("おやつ", 貼り付け用!$A$3:$Z$3, 0)),""),
IF(INDEX(貼り付け用!A:Z, ROW(T76)+1, MATCH("おやつ", 貼り付け用!$A$3:$Z$3, 0))&lt;&gt;0,
INDEX(貼り付け用!A:Z, ROW(T76)+1, MATCH("おやつ", 貼り付け用!$A$3:$Z$3, 0)),""))</f>
        <v>#N/A</v>
      </c>
      <c r="U76" s="16"/>
      <c r="V76" s="5" t="e">
        <f t="array" ref="V76">IF(貼り付け用!$A$6&lt;&gt;"",
IF(INDEX(貼り付け用!A:Z, ROW(T75)+1, MATCH("おやつ", 貼り付け用!$A$3:$Z$3, 0)+1)&lt;&gt;0,
INDEX(貼り付け用!A:Z, ROW(T75)+1, MATCH("おやつ", 貼り付け用!$A$3:$Z$3, 0)+1),""),
IF(INDEX(貼り付け用!A:Z, ROW(T76)+1, MATCH("おやつ", 貼り付け用!$A$3:$Z$3, 0)+1)&lt;&gt;0,
INDEX(貼り付け用!A:Z, ROW(T76)+1, MATCH("おやつ", 貼り付け用!$A$3:$Z$3, 0)+1),""))</f>
        <v>#N/A</v>
      </c>
      <c r="W76" s="7" t="e">
        <f t="array" ref="W76">IF(貼り付け用!$A$6&lt;&gt;"",
IF(INDEX(貼り付け用!A:Z, ROW(T75)+1, MATCH("おやつ", 貼り付け用!$A$3:$Z$3, 0)+2)&lt;&gt;0,
INDEX(貼り付け用!A:Z, ROW(T75)+1, MATCH("おやつ", 貼り付け用!$A$3:$Z$3, 0)+2),""),
IF(INDEX(貼り付け用!A:Z, ROW(T76)+1, MATCH("おやつ", 貼り付け用!$A$3:$Z$3, 0)+2)&lt;&gt;0,
INDEX(貼り付け用!A:Z, ROW(T76)+1, MATCH("おやつ", 貼り付け用!$A$3:$Z$3, 0)+2),""))</f>
        <v>#N/A</v>
      </c>
    </row>
    <row r="77" spans="1:23" x14ac:dyDescent="0.45">
      <c r="A77" s="10" t="e">
        <f>IF(貼り付け用!$A$6&lt;&gt;"",
IF(ROW(A76)+1&gt;=MATCH("*10000*", 貼り付け用!$A:$A, 0),"",
IF(貼り付け用!A77&lt;&gt;"",貼り付け用!A77,"")),
IF(ROW(A77)+1&gt;=MATCH("*10000*", 貼り付け用!$A:$A, 0),"",
IF(貼り付け用!A78&lt;&gt;"",貼り付け用!A78,"")))</f>
        <v>#N/A</v>
      </c>
      <c r="B77" s="3" t="e">
        <f>IF(貼り付け用!$A$6&lt;&gt;"",
IF(ROW(B76)+2&gt;=MATCH("*【合計】*", 貼り付け用!$A:$A, 0),"",
IF(貼り付け用!B77&lt;&gt;"",貼り付け用!B77,"")),
IF(ROW(B77)+2&gt;=MATCH("*【合計】*", 貼り付け用!$A:$A, 0),"",
IF(貼り付け用!B78&lt;&gt;"",貼り付け用!B78,"")))</f>
        <v>#N/A</v>
      </c>
      <c r="C77" s="3" t="e">
        <f>IF(貼り付け用!$A$6&lt;&gt;"",
IF(ROW(C76)+2&gt;=MATCH("*【合計】*", 貼り付け用!$A:$A, 0),"",
IF(貼り付け用!C77&lt;&gt;"",貼り付け用!C77,"")),
IF(ROW(C77)+2&gt;=MATCH("*【合計】*", 貼り付け用!$A:$A, 0),"",
IF(貼り付け用!C78&lt;&gt;"",貼り付け用!C78,"")))</f>
        <v>#N/A</v>
      </c>
      <c r="D77" s="3" t="e">
        <f>IF(貼り付け用!$A$6&lt;&gt;"",
IF(ROW(D76)+2&gt;=MATCH("*【合計】*", 貼り付け用!$A:$A, 0),"",
IF(貼り付け用!D77&lt;&gt;"",貼り付け用!D77,"")),
IF(ROW(D77)+2&gt;=MATCH("*【合計】*", 貼り付け用!$A:$A, 0),"",
IF(貼り付け用!D78&lt;&gt;"",貼り付け用!D78,"")))</f>
        <v>#N/A</v>
      </c>
      <c r="E77" s="3" t="e">
        <f>IF(貼り付け用!$A$6&lt;&gt;"",
IF(ROW(E76)+2&gt;=MATCH("*【合計】*", 貼り付け用!$A:$A, 0),"",
IF(貼り付け用!E77&lt;&gt;"",貼り付け用!E77,"")),
IF(ROW(E77)+2&gt;=MATCH("*【合計】*", 貼り付け用!$A:$A, 0),"",
IF(貼り付け用!E78&lt;&gt;"",貼り付け用!E78,"")))</f>
        <v>#N/A</v>
      </c>
      <c r="F77" s="3" t="e">
        <f>IF(貼り付け用!$A$6&lt;&gt;"",
IF(ROW(F76)+2&gt;=MATCH("*【合計】*", 貼り付け用!$A:$A, 0),"",
IF(貼り付け用!F77&lt;&gt;"",貼り付け用!F77,"")),
IF(ROW(F77)+2&gt;=MATCH("*【合計】*", 貼り付け用!$A:$A, 0),"",
IF(貼り付け用!F78&lt;&gt;"",貼り付け用!F78,"")))</f>
        <v>#N/A</v>
      </c>
      <c r="G77" s="3" t="e">
        <f>IF(貼り付け用!$A$6&lt;&gt;"",
IF(ROW(G76)+2&gt;=MATCH("*【合計】*", 貼り付け用!$A:$A, 0),"",
IF(貼り付け用!G77&lt;&gt;"",貼り付け用!G77,"")),
IF(ROW(G77)+2&gt;=MATCH("*【合計】*", 貼り付け用!$A:$A, 0),"",
IF(貼り付け用!G78&lt;&gt;"",貼り付け用!G78,"")))</f>
        <v>#N/A</v>
      </c>
      <c r="H77" s="3" t="e">
        <f>IF(貼り付け用!$A$6&lt;&gt;"",
IF(ROW(H76)+2&gt;=MATCH("*【合計】*", 貼り付け用!$A:$A, 0),"",
IF(貼り付け用!H77&lt;&gt;"",貼り付け用!H77,"")),
IF(ROW(H77)+2&gt;=MATCH("*【合計】*", 貼り付け用!$A:$A, 0),"",
IF(貼り付け用!H78&lt;&gt;"",貼り付け用!H78,"")))</f>
        <v>#N/A</v>
      </c>
      <c r="I77" s="3" t="e">
        <f>IF(貼り付け用!$A$6&lt;&gt;"",
IF(ROW(I76)+2&gt;=MATCH("*【合計】*", 貼り付け用!$A:$A, 0),"",
IF(貼り付け用!I77&lt;&gt;"",貼り付け用!I77,"")),
IF(ROW(I77)+2&gt;=MATCH("*【合計】*", 貼り付け用!$A:$A, 0),"",
IF(貼り付け用!I78&lt;&gt;"",貼り付け用!I78,"")))</f>
        <v>#N/A</v>
      </c>
      <c r="J77" s="3" t="e">
        <f>IF(貼り付け用!$A$6&lt;&gt;"",
IF(ROW(J76)+2&gt;=MATCH("*【合計】*", 貼り付け用!$A:$A, 0),"",
IF(貼り付け用!J77&lt;&gt;"",貼り付け用!J77,"")),
IF(ROW(J77)+2&gt;=MATCH("*【合計】*", 貼り付け用!$A:$A, 0),"",
IF(貼り付け用!J78&lt;&gt;"",貼り付け用!J78,"")))</f>
        <v>#N/A</v>
      </c>
      <c r="K77" s="3" t="e">
        <f>IF(貼り付け用!$A$6&lt;&gt;"",
IF(ROW(K76)+2&gt;=MATCH("*【合計】*", 貼り付け用!$A:$A, 0),"",
IF(貼り付け用!K77&lt;&gt;"",貼り付け用!K77,"")),
IF(ROW(K77)+2&gt;=MATCH("*【合計】*", 貼り付け用!$A:$A, 0),"",
IF(貼り付け用!K78&lt;&gt;"",貼り付け用!K78,"")))</f>
        <v>#N/A</v>
      </c>
      <c r="L77" s="3" t="e">
        <f>IF(貼り付け用!$A$6&lt;&gt;"",
IF(ROW(L76)+2&gt;=MATCH("*【合計】*", 貼り付け用!$A:$A, 0),"",
IF(L$3&lt;&gt;"",IF(貼り付け用!L77&lt;&gt;"",貼り付け用!L77,""),"")),
IF(ROW(L77)+2&gt;=MATCH("*【合計】*", 貼り付け用!$A:$A, 0),"",
IF(L$3&lt;&gt;"",IF(貼り付け用!L78&lt;&gt;"",貼り付け用!L78,""),"")))</f>
        <v>#N/A</v>
      </c>
      <c r="M77" s="3" t="e">
        <f>IF(貼り付け用!$A$6&lt;&gt;"",
IF(ROW(M76)+2&gt;=MATCH("*【合計】*", 貼り付け用!$A:$A, 0),"",
IF(M$3&lt;&gt;"",IF(貼り付け用!M77&lt;&gt;"",貼り付け用!M77,""),"")),
IF(ROW(M77)+2&gt;=MATCH("*【合計】*", 貼り付け用!$A:$A, 0),"",
IF(M$3&lt;&gt;"",IF(貼り付け用!M78&lt;&gt;"",貼り付け用!M78,""),"")))</f>
        <v>#N/A</v>
      </c>
      <c r="N77" s="3" t="e">
        <f>IF(貼り付け用!$A$6&lt;&gt;"",
IF(ROW(N76)+2&gt;=MATCH("*【合計】*", 貼り付け用!$A:$A, 0),"",
IF(N$3&lt;&gt;"",IF(貼り付け用!N77&lt;&gt;"",貼り付け用!N77,""),"")),
IF(ROW(N77)+2&gt;=MATCH("*【合計】*", 貼り付け用!$A:$A, 0),"",
IF(N$3&lt;&gt;"",IF(貼り付け用!N78&lt;&gt;"",貼り付け用!N78,""),"")))</f>
        <v>#N/A</v>
      </c>
      <c r="O77" s="3" t="e">
        <f>IF(貼り付け用!$A$6&lt;&gt;"",
IF(ROW(O76)+2&gt;=MATCH("*【合計】*", 貼り付け用!$A:$A, 0),"",
IF(O$3&lt;&gt;"",IF(貼り付け用!O77&lt;&gt;"",貼り付け用!O77,""),"")),
IF(ROW(O77)+2&gt;=MATCH("*【合計】*", 貼り付け用!$A:$A, 0),"",
IF(O$3&lt;&gt;"",IF(貼り付け用!O78&lt;&gt;"",貼り付け用!O78,""),"")))</f>
        <v>#N/A</v>
      </c>
      <c r="P77" s="3" t="e">
        <f>IF(貼り付け用!$A$6&lt;&gt;"",
IF(ROW(P76)+2&gt;=MATCH("*【合計】*", 貼り付け用!$A:$A, 0),"",
IF(P$3&lt;&gt;"",IF(貼り付け用!P77&lt;&gt;"",貼り付け用!P77,""),"")),
IF(ROW(P77)+2&gt;=MATCH("*【合計】*", 貼り付け用!$A:$A, 0),"",
IF(P$3&lt;&gt;"",IF(貼り付け用!P78&lt;&gt;"",貼り付け用!P78,""),"")))</f>
        <v>#N/A</v>
      </c>
      <c r="Q77" s="3" t="e">
        <f>IF(貼り付け用!$A$6&lt;&gt;"",
IF(ROW(Q76)+2&gt;=MATCH("*【合計】*", 貼り付け用!$A:$A, 0),"",
IF(Q$3&lt;&gt;"",IF(貼り付け用!Q77&lt;&gt;"",貼り付け用!Q77,""),"")),
IF(ROW(Q77)+2&gt;=MATCH("*【合計】*", 貼り付け用!$A:$A, 0),"",
IF(Q$3&lt;&gt;"",IF(貼り付け用!Q78&lt;&gt;"",貼り付け用!Q78,""),"")))</f>
        <v>#N/A</v>
      </c>
      <c r="R77" s="3" t="e">
        <f>IF(貼り付け用!$A$6&lt;&gt;"",
IF(ROW(R76)+2&gt;=MATCH("*【合計】*", 貼り付け用!$A:$A, 0),"",
IF(R$3&lt;&gt;"",IF(貼り付け用!R77&lt;&gt;"",貼り付け用!R77,""),"")),
IF(ROW(R77)+2&gt;=MATCH("*【合計】*", 貼り付け用!$A:$A, 0),"",
IF(R$3&lt;&gt;"",IF(貼り付け用!R78&lt;&gt;"",貼り付け用!R78,""),"")))</f>
        <v>#N/A</v>
      </c>
      <c r="S77" s="3" t="e">
        <f>IF(貼り付け用!$A$6&lt;&gt;"",
IF(ROW(S76)+2&gt;=MATCH("*【合計】*", 貼り付け用!$A:$A, 0),"",
IF(S$3&lt;&gt;"",IF(貼り付け用!S77&lt;&gt;"",貼り付け用!S77,""),"")),
IF(ROW(S77)+2&gt;=MATCH("*【合計】*", 貼り付け用!$A:$A, 0),"",
IF(S$3&lt;&gt;"",IF(貼り付け用!S78&lt;&gt;"",貼り付け用!S78,""),"")))</f>
        <v>#N/A</v>
      </c>
      <c r="T77" s="2" t="e">
        <f t="array" ref="T77">IF(貼り付け用!$A$6&lt;&gt;"",
IF(INDEX(貼り付け用!A:Z, ROW(T76)+1, MATCH("おやつ", 貼り付け用!$A$3:$Z$3, 0))&lt;&gt;0,
INDEX(貼り付け用!A:Z, ROW(T76)+1, MATCH("おやつ", 貼り付け用!$A$3:$Z$3, 0)),""),
IF(INDEX(貼り付け用!A:Z, ROW(T77)+1, MATCH("おやつ", 貼り付け用!$A$3:$Z$3, 0))&lt;&gt;0,
INDEX(貼り付け用!A:Z, ROW(T77)+1, MATCH("おやつ", 貼り付け用!$A$3:$Z$3, 0)),""))</f>
        <v>#N/A</v>
      </c>
      <c r="U77" s="52"/>
      <c r="V77" s="8" t="e">
        <f t="array" ref="V77">IF(貼り付け用!$A$6&lt;&gt;"",
IF(INDEX(貼り付け用!A:Z, ROW(T76)+1, MATCH("おやつ", 貼り付け用!$A$3:$Z$3, 0)+1)&lt;&gt;0,
INDEX(貼り付け用!A:Z, ROW(T76)+1, MATCH("おやつ", 貼り付け用!$A$3:$Z$3, 0)+1),""),
IF(INDEX(貼り付け用!A:Z, ROW(T77)+1, MATCH("おやつ", 貼り付け用!$A$3:$Z$3, 0)+1)&lt;&gt;0,
INDEX(貼り付け用!A:Z, ROW(T77)+1, MATCH("おやつ", 貼り付け用!$A$3:$Z$3, 0)+1),""))</f>
        <v>#N/A</v>
      </c>
      <c r="W77" s="9" t="e">
        <f t="array" ref="W77">IF(貼り付け用!$A$6&lt;&gt;"",
IF(INDEX(貼り付け用!A:Z, ROW(T76)+1, MATCH("おやつ", 貼り付け用!$A$3:$Z$3, 0)+2)&lt;&gt;0,
INDEX(貼り付け用!A:Z, ROW(T76)+1, MATCH("おやつ", 貼り付け用!$A$3:$Z$3, 0)+2),""),
IF(INDEX(貼り付け用!A:Z, ROW(T77)+1, MATCH("おやつ", 貼り付け用!$A$3:$Z$3, 0)+2)&lt;&gt;0,
INDEX(貼り付け用!A:Z, ROW(T77)+1, MATCH("おやつ", 貼り付け用!$A$3:$Z$3, 0)+2),""))</f>
        <v>#N/A</v>
      </c>
    </row>
    <row r="78" spans="1:23" x14ac:dyDescent="0.45">
      <c r="A78" s="4" t="e">
        <f>IF(貼り付け用!$A$6&lt;&gt;"",
IF(ROW(A77)+1&gt;=MATCH("*10000*", 貼り付け用!$A:$A, 0),
IF(COUNTIF(A76,"*10000*"),"10001",
IF(COUNTIF(A76,"*10001*"),"10002",
IF(COUNTIF(A76,"*10002*"),"",
IF(COUNTIF(A76,""),"","10000")))),
IF(貼り付け用!A78&lt;&gt;"",貼り付け用!A78,"")),
IF(ROW(A78)+1&gt;=MATCH("*10000*", 貼り付け用!$A:$A, 0),
IF(COUNTIF(A76,"*10000*"),"10001",
IF(COUNTIF(A76,"*10001*"),"10002",
IF(COUNTIF(A76,"*10002*"),"",
IF(COUNTIF(A76,""),"","10000")))),
IF(貼り付け用!A79&lt;&gt;"",貼り付け用!A79,"")))</f>
        <v>#N/A</v>
      </c>
      <c r="B78" s="19" t="e">
        <f>IF(貼り付け用!$A$6&lt;&gt;"",
IF(ROW(B77)+2&gt;=MATCH("*【合計】*", 貼り付け用!$A:$A, 0),"",
IF(貼り付け用!B78&lt;&gt;"",貼り付け用!B78,"")),
IF(ROW(B78)+2&gt;=MATCH("*【合計】*", 貼り付け用!$A:$A, 0),"",
IF(貼り付け用!B79&lt;&gt;"",貼り付け用!B79,"")))</f>
        <v>#N/A</v>
      </c>
      <c r="C78" s="19" t="e">
        <f>IF(貼り付け用!$A$6&lt;&gt;"",
IF(ROW(C77)+2&gt;=MATCH("*【合計】*", 貼り付け用!$A:$A, 0),"",
IF(貼り付け用!C78&lt;&gt;"",貼り付け用!C78,"")),
IF(ROW(C78)+2&gt;=MATCH("*【合計】*", 貼り付け用!$A:$A, 0),"",
IF(貼り付け用!C79&lt;&gt;"",貼り付け用!C79,"")))</f>
        <v>#N/A</v>
      </c>
      <c r="D78" s="19" t="e">
        <f>IF(貼り付け用!$A$6&lt;&gt;"",
IF(ROW(D77)+2&gt;=MATCH("*【合計】*", 貼り付け用!$A:$A, 0),"",
IF(貼り付け用!D78&lt;&gt;"",貼り付け用!D78,"")),
IF(ROW(D78)+2&gt;=MATCH("*【合計】*", 貼り付け用!$A:$A, 0),"",
IF(貼り付け用!D79&lt;&gt;"",貼り付け用!D79,"")))</f>
        <v>#N/A</v>
      </c>
      <c r="E78" s="19" t="e">
        <f>IF(貼り付け用!$A$6&lt;&gt;"",
IF(ROW(E77)+2&gt;=MATCH("*【合計】*", 貼り付け用!$A:$A, 0),"",
IF(貼り付け用!E78&lt;&gt;"",貼り付け用!E78,"")),
IF(ROW(E78)+2&gt;=MATCH("*【合計】*", 貼り付け用!$A:$A, 0),"",
IF(貼り付け用!E79&lt;&gt;"",貼り付け用!E79,"")))</f>
        <v>#N/A</v>
      </c>
      <c r="F78" s="19" t="e">
        <f>IF(貼り付け用!$A$6&lt;&gt;"",
IF(ROW(F77)+2&gt;=MATCH("*【合計】*", 貼り付け用!$A:$A, 0),"",
IF(貼り付け用!F78&lt;&gt;"",貼り付け用!F78,"")),
IF(ROW(F78)+2&gt;=MATCH("*【合計】*", 貼り付け用!$A:$A, 0),"",
IF(貼り付け用!F79&lt;&gt;"",貼り付け用!F79,"")))</f>
        <v>#N/A</v>
      </c>
      <c r="G78" s="19" t="e">
        <f>IF(貼り付け用!$A$6&lt;&gt;"",
IF(ROW(G77)+2&gt;=MATCH("*【合計】*", 貼り付け用!$A:$A, 0),"",
IF(貼り付け用!G78&lt;&gt;"",貼り付け用!G78,"")),
IF(ROW(G78)+2&gt;=MATCH("*【合計】*", 貼り付け用!$A:$A, 0),"",
IF(貼り付け用!G79&lt;&gt;"",貼り付け用!G79,"")))</f>
        <v>#N/A</v>
      </c>
      <c r="H78" s="19" t="e">
        <f>IF(貼り付け用!$A$6&lt;&gt;"",
IF(ROW(H77)+2&gt;=MATCH("*【合計】*", 貼り付け用!$A:$A, 0),"",
IF(貼り付け用!H78&lt;&gt;"",貼り付け用!H78,"")),
IF(ROW(H78)+2&gt;=MATCH("*【合計】*", 貼り付け用!$A:$A, 0),"",
IF(貼り付け用!H79&lt;&gt;"",貼り付け用!H79,"")))</f>
        <v>#N/A</v>
      </c>
      <c r="I78" s="19" t="e">
        <f>IF(貼り付け用!$A$6&lt;&gt;"",
IF(ROW(I77)+2&gt;=MATCH("*【合計】*", 貼り付け用!$A:$A, 0),"",
IF(貼り付け用!I78&lt;&gt;"",貼り付け用!I78,"")),
IF(ROW(I78)+2&gt;=MATCH("*【合計】*", 貼り付け用!$A:$A, 0),"",
IF(貼り付け用!I79&lt;&gt;"",貼り付け用!I79,"")))</f>
        <v>#N/A</v>
      </c>
      <c r="J78" s="19" t="e">
        <f>IF(貼り付け用!$A$6&lt;&gt;"",
IF(ROW(J77)+2&gt;=MATCH("*【合計】*", 貼り付け用!$A:$A, 0),"",
IF(貼り付け用!J78&lt;&gt;"",貼り付け用!J78,"")),
IF(ROW(J78)+2&gt;=MATCH("*【合計】*", 貼り付け用!$A:$A, 0),"",
IF(貼り付け用!J79&lt;&gt;"",貼り付け用!J79,"")))</f>
        <v>#N/A</v>
      </c>
      <c r="K78" s="19" t="e">
        <f>IF(貼り付け用!$A$6&lt;&gt;"",
IF(ROW(K77)+2&gt;=MATCH("*【合計】*", 貼り付け用!$A:$A, 0),"",
IF(貼り付け用!K78&lt;&gt;"",貼り付け用!K78,"")),
IF(ROW(K78)+2&gt;=MATCH("*【合計】*", 貼り付け用!$A:$A, 0),"",
IF(貼り付け用!K79&lt;&gt;"",貼り付け用!K79,"")))</f>
        <v>#N/A</v>
      </c>
      <c r="L78" s="19" t="e">
        <f>IF(貼り付け用!$A$6&lt;&gt;"",
IF(ROW(L77)+2&gt;=MATCH("*【合計】*", 貼り付け用!$A:$A, 0),"",
IF(L$3&lt;&gt;"",IF(貼り付け用!L78&lt;&gt;"",貼り付け用!L78,""),"")),
IF(ROW(L78)+2&gt;=MATCH("*【合計】*", 貼り付け用!$A:$A, 0),"",
IF(L$3&lt;&gt;"",IF(貼り付け用!L79&lt;&gt;"",貼り付け用!L79,""),"")))</f>
        <v>#N/A</v>
      </c>
      <c r="M78" s="19" t="e">
        <f>IF(貼り付け用!$A$6&lt;&gt;"",
IF(ROW(M77)+2&gt;=MATCH("*【合計】*", 貼り付け用!$A:$A, 0),"",
IF(M$3&lt;&gt;"",IF(貼り付け用!M78&lt;&gt;"",貼り付け用!M78,""),"")),
IF(ROW(M78)+2&gt;=MATCH("*【合計】*", 貼り付け用!$A:$A, 0),"",
IF(M$3&lt;&gt;"",IF(貼り付け用!M79&lt;&gt;"",貼り付け用!M79,""),"")))</f>
        <v>#N/A</v>
      </c>
      <c r="N78" s="19" t="e">
        <f>IF(貼り付け用!$A$6&lt;&gt;"",
IF(ROW(N77)+2&gt;=MATCH("*【合計】*", 貼り付け用!$A:$A, 0),"",
IF(N$3&lt;&gt;"",IF(貼り付け用!N78&lt;&gt;"",貼り付け用!N78,""),"")),
IF(ROW(N78)+2&gt;=MATCH("*【合計】*", 貼り付け用!$A:$A, 0),"",
IF(N$3&lt;&gt;"",IF(貼り付け用!N79&lt;&gt;"",貼り付け用!N79,""),"")))</f>
        <v>#N/A</v>
      </c>
      <c r="O78" s="19" t="e">
        <f>IF(貼り付け用!$A$6&lt;&gt;"",
IF(ROW(O77)+2&gt;=MATCH("*【合計】*", 貼り付け用!$A:$A, 0),"",
IF(O$3&lt;&gt;"",IF(貼り付け用!O78&lt;&gt;"",貼り付け用!O78,""),"")),
IF(ROW(O78)+2&gt;=MATCH("*【合計】*", 貼り付け用!$A:$A, 0),"",
IF(O$3&lt;&gt;"",IF(貼り付け用!O79&lt;&gt;"",貼り付け用!O79,""),"")))</f>
        <v>#N/A</v>
      </c>
      <c r="P78" s="19" t="e">
        <f>IF(貼り付け用!$A$6&lt;&gt;"",
IF(ROW(P77)+2&gt;=MATCH("*【合計】*", 貼り付け用!$A:$A, 0),"",
IF(P$3&lt;&gt;"",IF(貼り付け用!P78&lt;&gt;"",貼り付け用!P78,""),"")),
IF(ROW(P78)+2&gt;=MATCH("*【合計】*", 貼り付け用!$A:$A, 0),"",
IF(P$3&lt;&gt;"",IF(貼り付け用!P79&lt;&gt;"",貼り付け用!P79,""),"")))</f>
        <v>#N/A</v>
      </c>
      <c r="Q78" s="19" t="e">
        <f>IF(貼り付け用!$A$6&lt;&gt;"",
IF(ROW(Q77)+2&gt;=MATCH("*【合計】*", 貼り付け用!$A:$A, 0),"",
IF(Q$3&lt;&gt;"",IF(貼り付け用!Q78&lt;&gt;"",貼り付け用!Q78,""),"")),
IF(ROW(Q78)+2&gt;=MATCH("*【合計】*", 貼り付け用!$A:$A, 0),"",
IF(Q$3&lt;&gt;"",IF(貼り付け用!Q79&lt;&gt;"",貼り付け用!Q79,""),"")))</f>
        <v>#N/A</v>
      </c>
      <c r="R78" s="19" t="e">
        <f>IF(貼り付け用!$A$6&lt;&gt;"",
IF(ROW(R77)+2&gt;=MATCH("*【合計】*", 貼り付け用!$A:$A, 0),"",
IF(R$3&lt;&gt;"",IF(貼り付け用!R78&lt;&gt;"",貼り付け用!R78,""),"")),
IF(ROW(R78)+2&gt;=MATCH("*【合計】*", 貼り付け用!$A:$A, 0),"",
IF(R$3&lt;&gt;"",IF(貼り付け用!R79&lt;&gt;"",貼り付け用!R79,""),"")))</f>
        <v>#N/A</v>
      </c>
      <c r="S78" s="19" t="e">
        <f>IF(貼り付け用!$A$6&lt;&gt;"",
IF(ROW(S77)+2&gt;=MATCH("*【合計】*", 貼り付け用!$A:$A, 0),"",
IF(S$3&lt;&gt;"",IF(貼り付け用!S78&lt;&gt;"",貼り付け用!S78,""),"")),
IF(ROW(S78)+2&gt;=MATCH("*【合計】*", 貼り付け用!$A:$A, 0),"",
IF(S$3&lt;&gt;"",IF(貼り付け用!S79&lt;&gt;"",貼り付け用!S79,""),"")))</f>
        <v>#N/A</v>
      </c>
      <c r="T78" s="19" t="e">
        <f t="array" ref="T78">IF(貼り付け用!$A$6&lt;&gt;"",
IF(INDEX(貼り付け用!A:Z, ROW(T77)+1, MATCH("おやつ", 貼り付け用!$A$3:$Z$3, 0))&lt;&gt;0,
INDEX(貼り付け用!A:Z, ROW(T77)+1, MATCH("おやつ", 貼り付け用!$A$3:$Z$3, 0)),""),
IF(INDEX(貼り付け用!A:Z, ROW(T78)+1, MATCH("おやつ", 貼り付け用!$A$3:$Z$3, 0))&lt;&gt;0,
INDEX(貼り付け用!A:Z, ROW(T78)+1, MATCH("おやつ", 貼り付け用!$A$3:$Z$3, 0)),""))</f>
        <v>#N/A</v>
      </c>
      <c r="U78" s="16"/>
      <c r="V78" s="5" t="e">
        <f t="array" ref="V78">IF(貼り付け用!$A$6&lt;&gt;"",
IF(INDEX(貼り付け用!A:Z, ROW(T77)+1, MATCH("おやつ", 貼り付け用!$A$3:$Z$3, 0)+1)&lt;&gt;0,
INDEX(貼り付け用!A:Z, ROW(T77)+1, MATCH("おやつ", 貼り付け用!$A$3:$Z$3, 0)+1),""),
IF(INDEX(貼り付け用!A:Z, ROW(T78)+1, MATCH("おやつ", 貼り付け用!$A$3:$Z$3, 0)+1)&lt;&gt;0,
INDEX(貼り付け用!A:Z, ROW(T78)+1, MATCH("おやつ", 貼り付け用!$A$3:$Z$3, 0)+1),""))</f>
        <v>#N/A</v>
      </c>
      <c r="W78" s="7" t="e">
        <f t="array" ref="W78">IF(貼り付け用!$A$6&lt;&gt;"",
IF(INDEX(貼り付け用!A:Z, ROW(T77)+1, MATCH("おやつ", 貼り付け用!$A$3:$Z$3, 0)+2)&lt;&gt;0,
INDEX(貼り付け用!A:Z, ROW(T77)+1, MATCH("おやつ", 貼り付け用!$A$3:$Z$3, 0)+2),""),
IF(INDEX(貼り付け用!A:Z, ROW(T78)+1, MATCH("おやつ", 貼り付け用!$A$3:$Z$3, 0)+2)&lt;&gt;0,
INDEX(貼り付け用!A:Z, ROW(T78)+1, MATCH("おやつ", 貼り付け用!$A$3:$Z$3, 0)+2),""))</f>
        <v>#N/A</v>
      </c>
    </row>
    <row r="79" spans="1:23" x14ac:dyDescent="0.45">
      <c r="A79" s="10" t="e">
        <f>IF(貼り付け用!$A$6&lt;&gt;"",
IF(ROW(A78)+1&gt;=MATCH("*10000*", 貼り付け用!$A:$A, 0),"",
IF(貼り付け用!A79&lt;&gt;"",貼り付け用!A79,"")),
IF(ROW(A79)+1&gt;=MATCH("*10000*", 貼り付け用!$A:$A, 0),"",
IF(貼り付け用!A80&lt;&gt;"",貼り付け用!A80,"")))</f>
        <v>#N/A</v>
      </c>
      <c r="B79" s="3" t="e">
        <f>IF(貼り付け用!$A$6&lt;&gt;"",
IF(ROW(B78)+2&gt;=MATCH("*【合計】*", 貼り付け用!$A:$A, 0),"",
IF(貼り付け用!B79&lt;&gt;"",貼り付け用!B79,"")),
IF(ROW(B79)+2&gt;=MATCH("*【合計】*", 貼り付け用!$A:$A, 0),"",
IF(貼り付け用!B80&lt;&gt;"",貼り付け用!B80,"")))</f>
        <v>#N/A</v>
      </c>
      <c r="C79" s="3" t="e">
        <f>IF(貼り付け用!$A$6&lt;&gt;"",
IF(ROW(C78)+2&gt;=MATCH("*【合計】*", 貼り付け用!$A:$A, 0),"",
IF(貼り付け用!C79&lt;&gt;"",貼り付け用!C79,"")),
IF(ROW(C79)+2&gt;=MATCH("*【合計】*", 貼り付け用!$A:$A, 0),"",
IF(貼り付け用!C80&lt;&gt;"",貼り付け用!C80,"")))</f>
        <v>#N/A</v>
      </c>
      <c r="D79" s="3" t="e">
        <f>IF(貼り付け用!$A$6&lt;&gt;"",
IF(ROW(D78)+2&gt;=MATCH("*【合計】*", 貼り付け用!$A:$A, 0),"",
IF(貼り付け用!D79&lt;&gt;"",貼り付け用!D79,"")),
IF(ROW(D79)+2&gt;=MATCH("*【合計】*", 貼り付け用!$A:$A, 0),"",
IF(貼り付け用!D80&lt;&gt;"",貼り付け用!D80,"")))</f>
        <v>#N/A</v>
      </c>
      <c r="E79" s="3" t="e">
        <f>IF(貼り付け用!$A$6&lt;&gt;"",
IF(ROW(E78)+2&gt;=MATCH("*【合計】*", 貼り付け用!$A:$A, 0),"",
IF(貼り付け用!E79&lt;&gt;"",貼り付け用!E79,"")),
IF(ROW(E79)+2&gt;=MATCH("*【合計】*", 貼り付け用!$A:$A, 0),"",
IF(貼り付け用!E80&lt;&gt;"",貼り付け用!E80,"")))</f>
        <v>#N/A</v>
      </c>
      <c r="F79" s="3" t="e">
        <f>IF(貼り付け用!$A$6&lt;&gt;"",
IF(ROW(F78)+2&gt;=MATCH("*【合計】*", 貼り付け用!$A:$A, 0),"",
IF(貼り付け用!F79&lt;&gt;"",貼り付け用!F79,"")),
IF(ROW(F79)+2&gt;=MATCH("*【合計】*", 貼り付け用!$A:$A, 0),"",
IF(貼り付け用!F80&lt;&gt;"",貼り付け用!F80,"")))</f>
        <v>#N/A</v>
      </c>
      <c r="G79" s="3" t="e">
        <f>IF(貼り付け用!$A$6&lt;&gt;"",
IF(ROW(G78)+2&gt;=MATCH("*【合計】*", 貼り付け用!$A:$A, 0),"",
IF(貼り付け用!G79&lt;&gt;"",貼り付け用!G79,"")),
IF(ROW(G79)+2&gt;=MATCH("*【合計】*", 貼り付け用!$A:$A, 0),"",
IF(貼り付け用!G80&lt;&gt;"",貼り付け用!G80,"")))</f>
        <v>#N/A</v>
      </c>
      <c r="H79" s="3" t="e">
        <f>IF(貼り付け用!$A$6&lt;&gt;"",
IF(ROW(H78)+2&gt;=MATCH("*【合計】*", 貼り付け用!$A:$A, 0),"",
IF(貼り付け用!H79&lt;&gt;"",貼り付け用!H79,"")),
IF(ROW(H79)+2&gt;=MATCH("*【合計】*", 貼り付け用!$A:$A, 0),"",
IF(貼り付け用!H80&lt;&gt;"",貼り付け用!H80,"")))</f>
        <v>#N/A</v>
      </c>
      <c r="I79" s="3" t="e">
        <f>IF(貼り付け用!$A$6&lt;&gt;"",
IF(ROW(I78)+2&gt;=MATCH("*【合計】*", 貼り付け用!$A:$A, 0),"",
IF(貼り付け用!I79&lt;&gt;"",貼り付け用!I79,"")),
IF(ROW(I79)+2&gt;=MATCH("*【合計】*", 貼り付け用!$A:$A, 0),"",
IF(貼り付け用!I80&lt;&gt;"",貼り付け用!I80,"")))</f>
        <v>#N/A</v>
      </c>
      <c r="J79" s="3" t="e">
        <f>IF(貼り付け用!$A$6&lt;&gt;"",
IF(ROW(J78)+2&gt;=MATCH("*【合計】*", 貼り付け用!$A:$A, 0),"",
IF(貼り付け用!J79&lt;&gt;"",貼り付け用!J79,"")),
IF(ROW(J79)+2&gt;=MATCH("*【合計】*", 貼り付け用!$A:$A, 0),"",
IF(貼り付け用!J80&lt;&gt;"",貼り付け用!J80,"")))</f>
        <v>#N/A</v>
      </c>
      <c r="K79" s="3" t="e">
        <f>IF(貼り付け用!$A$6&lt;&gt;"",
IF(ROW(K78)+2&gt;=MATCH("*【合計】*", 貼り付け用!$A:$A, 0),"",
IF(貼り付け用!K79&lt;&gt;"",貼り付け用!K79,"")),
IF(ROW(K79)+2&gt;=MATCH("*【合計】*", 貼り付け用!$A:$A, 0),"",
IF(貼り付け用!K80&lt;&gt;"",貼り付け用!K80,"")))</f>
        <v>#N/A</v>
      </c>
      <c r="L79" s="3" t="e">
        <f>IF(貼り付け用!$A$6&lt;&gt;"",
IF(ROW(L78)+2&gt;=MATCH("*【合計】*", 貼り付け用!$A:$A, 0),"",
IF(L$3&lt;&gt;"",IF(貼り付け用!L79&lt;&gt;"",貼り付け用!L79,""),"")),
IF(ROW(L79)+2&gt;=MATCH("*【合計】*", 貼り付け用!$A:$A, 0),"",
IF(L$3&lt;&gt;"",IF(貼り付け用!L80&lt;&gt;"",貼り付け用!L80,""),"")))</f>
        <v>#N/A</v>
      </c>
      <c r="M79" s="3" t="e">
        <f>IF(貼り付け用!$A$6&lt;&gt;"",
IF(ROW(M78)+2&gt;=MATCH("*【合計】*", 貼り付け用!$A:$A, 0),"",
IF(M$3&lt;&gt;"",IF(貼り付け用!M79&lt;&gt;"",貼り付け用!M79,""),"")),
IF(ROW(M79)+2&gt;=MATCH("*【合計】*", 貼り付け用!$A:$A, 0),"",
IF(M$3&lt;&gt;"",IF(貼り付け用!M80&lt;&gt;"",貼り付け用!M80,""),"")))</f>
        <v>#N/A</v>
      </c>
      <c r="N79" s="3" t="e">
        <f>IF(貼り付け用!$A$6&lt;&gt;"",
IF(ROW(N78)+2&gt;=MATCH("*【合計】*", 貼り付け用!$A:$A, 0),"",
IF(N$3&lt;&gt;"",IF(貼り付け用!N79&lt;&gt;"",貼り付け用!N79,""),"")),
IF(ROW(N79)+2&gt;=MATCH("*【合計】*", 貼り付け用!$A:$A, 0),"",
IF(N$3&lt;&gt;"",IF(貼り付け用!N80&lt;&gt;"",貼り付け用!N80,""),"")))</f>
        <v>#N/A</v>
      </c>
      <c r="O79" s="3" t="e">
        <f>IF(貼り付け用!$A$6&lt;&gt;"",
IF(ROW(O78)+2&gt;=MATCH("*【合計】*", 貼り付け用!$A:$A, 0),"",
IF(O$3&lt;&gt;"",IF(貼り付け用!O79&lt;&gt;"",貼り付け用!O79,""),"")),
IF(ROW(O79)+2&gt;=MATCH("*【合計】*", 貼り付け用!$A:$A, 0),"",
IF(O$3&lt;&gt;"",IF(貼り付け用!O80&lt;&gt;"",貼り付け用!O80,""),"")))</f>
        <v>#N/A</v>
      </c>
      <c r="P79" s="3" t="e">
        <f>IF(貼り付け用!$A$6&lt;&gt;"",
IF(ROW(P78)+2&gt;=MATCH("*【合計】*", 貼り付け用!$A:$A, 0),"",
IF(P$3&lt;&gt;"",IF(貼り付け用!P79&lt;&gt;"",貼り付け用!P79,""),"")),
IF(ROW(P79)+2&gt;=MATCH("*【合計】*", 貼り付け用!$A:$A, 0),"",
IF(P$3&lt;&gt;"",IF(貼り付け用!P80&lt;&gt;"",貼り付け用!P80,""),"")))</f>
        <v>#N/A</v>
      </c>
      <c r="Q79" s="3" t="e">
        <f>IF(貼り付け用!$A$6&lt;&gt;"",
IF(ROW(Q78)+2&gt;=MATCH("*【合計】*", 貼り付け用!$A:$A, 0),"",
IF(Q$3&lt;&gt;"",IF(貼り付け用!Q79&lt;&gt;"",貼り付け用!Q79,""),"")),
IF(ROW(Q79)+2&gt;=MATCH("*【合計】*", 貼り付け用!$A:$A, 0),"",
IF(Q$3&lt;&gt;"",IF(貼り付け用!Q80&lt;&gt;"",貼り付け用!Q80,""),"")))</f>
        <v>#N/A</v>
      </c>
      <c r="R79" s="3" t="e">
        <f>IF(貼り付け用!$A$6&lt;&gt;"",
IF(ROW(R78)+2&gt;=MATCH("*【合計】*", 貼り付け用!$A:$A, 0),"",
IF(R$3&lt;&gt;"",IF(貼り付け用!R79&lt;&gt;"",貼り付け用!R79,""),"")),
IF(ROW(R79)+2&gt;=MATCH("*【合計】*", 貼り付け用!$A:$A, 0),"",
IF(R$3&lt;&gt;"",IF(貼り付け用!R80&lt;&gt;"",貼り付け用!R80,""),"")))</f>
        <v>#N/A</v>
      </c>
      <c r="S79" s="3" t="e">
        <f>IF(貼り付け用!$A$6&lt;&gt;"",
IF(ROW(S78)+2&gt;=MATCH("*【合計】*", 貼り付け用!$A:$A, 0),"",
IF(S$3&lt;&gt;"",IF(貼り付け用!S79&lt;&gt;"",貼り付け用!S79,""),"")),
IF(ROW(S79)+2&gt;=MATCH("*【合計】*", 貼り付け用!$A:$A, 0),"",
IF(S$3&lt;&gt;"",IF(貼り付け用!S80&lt;&gt;"",貼り付け用!S80,""),"")))</f>
        <v>#N/A</v>
      </c>
      <c r="T79" s="2" t="e">
        <f t="array" ref="T79">IF(貼り付け用!$A$6&lt;&gt;"",
IF(INDEX(貼り付け用!A:Z, ROW(T78)+1, MATCH("おやつ", 貼り付け用!$A$3:$Z$3, 0))&lt;&gt;0,
INDEX(貼り付け用!A:Z, ROW(T78)+1, MATCH("おやつ", 貼り付け用!$A$3:$Z$3, 0)),""),
IF(INDEX(貼り付け用!A:Z, ROW(T79)+1, MATCH("おやつ", 貼り付け用!$A$3:$Z$3, 0))&lt;&gt;0,
INDEX(貼り付け用!A:Z, ROW(T79)+1, MATCH("おやつ", 貼り付け用!$A$3:$Z$3, 0)),""))</f>
        <v>#N/A</v>
      </c>
      <c r="U79" s="52"/>
      <c r="V79" s="8" t="e">
        <f t="array" ref="V79">IF(貼り付け用!$A$6&lt;&gt;"",
IF(INDEX(貼り付け用!A:Z, ROW(T78)+1, MATCH("おやつ", 貼り付け用!$A$3:$Z$3, 0)+1)&lt;&gt;0,
INDEX(貼り付け用!A:Z, ROW(T78)+1, MATCH("おやつ", 貼り付け用!$A$3:$Z$3, 0)+1),""),
IF(INDEX(貼り付け用!A:Z, ROW(T79)+1, MATCH("おやつ", 貼り付け用!$A$3:$Z$3, 0)+1)&lt;&gt;0,
INDEX(貼り付け用!A:Z, ROW(T79)+1, MATCH("おやつ", 貼り付け用!$A$3:$Z$3, 0)+1),""))</f>
        <v>#N/A</v>
      </c>
      <c r="W79" s="9" t="e">
        <f t="array" ref="W79">IF(貼り付け用!$A$6&lt;&gt;"",
IF(INDEX(貼り付け用!A:Z, ROW(T78)+1, MATCH("おやつ", 貼り付け用!$A$3:$Z$3, 0)+2)&lt;&gt;0,
INDEX(貼り付け用!A:Z, ROW(T78)+1, MATCH("おやつ", 貼り付け用!$A$3:$Z$3, 0)+2),""),
IF(INDEX(貼り付け用!A:Z, ROW(T79)+1, MATCH("おやつ", 貼り付け用!$A$3:$Z$3, 0)+2)&lt;&gt;0,
INDEX(貼り付け用!A:Z, ROW(T79)+1, MATCH("おやつ", 貼り付け用!$A$3:$Z$3, 0)+2),""))</f>
        <v>#N/A</v>
      </c>
    </row>
    <row r="80" spans="1:23" x14ac:dyDescent="0.45">
      <c r="A80" s="4" t="e">
        <f>IF(貼り付け用!$A$6&lt;&gt;"",
IF(ROW(A79)+1&gt;=MATCH("*10000*", 貼り付け用!$A:$A, 0),
IF(COUNTIF(A78,"*10000*"),"10001",
IF(COUNTIF(A78,"*10001*"),"10002",
IF(COUNTIF(A78,"*10002*"),"",
IF(COUNTIF(A78,""),"","10000")))),
IF(貼り付け用!A80&lt;&gt;"",貼り付け用!A80,"")),
IF(ROW(A80)+1&gt;=MATCH("*10000*", 貼り付け用!$A:$A, 0),
IF(COUNTIF(A78,"*10000*"),"10001",
IF(COUNTIF(A78,"*10001*"),"10002",
IF(COUNTIF(A78,"*10002*"),"",
IF(COUNTIF(A78,""),"","10000")))),
IF(貼り付け用!A81&lt;&gt;"",貼り付け用!A81,"")))</f>
        <v>#N/A</v>
      </c>
      <c r="B80" s="19" t="e">
        <f>IF(貼り付け用!$A$6&lt;&gt;"",
IF(ROW(B79)+2&gt;=MATCH("*【合計】*", 貼り付け用!$A:$A, 0),"",
IF(貼り付け用!B80&lt;&gt;"",貼り付け用!B80,"")),
IF(ROW(B80)+2&gt;=MATCH("*【合計】*", 貼り付け用!$A:$A, 0),"",
IF(貼り付け用!B81&lt;&gt;"",貼り付け用!B81,"")))</f>
        <v>#N/A</v>
      </c>
      <c r="C80" s="19" t="e">
        <f>IF(貼り付け用!$A$6&lt;&gt;"",
IF(ROW(C79)+2&gt;=MATCH("*【合計】*", 貼り付け用!$A:$A, 0),"",
IF(貼り付け用!C80&lt;&gt;"",貼り付け用!C80,"")),
IF(ROW(C80)+2&gt;=MATCH("*【合計】*", 貼り付け用!$A:$A, 0),"",
IF(貼り付け用!C81&lt;&gt;"",貼り付け用!C81,"")))</f>
        <v>#N/A</v>
      </c>
      <c r="D80" s="19" t="e">
        <f>IF(貼り付け用!$A$6&lt;&gt;"",
IF(ROW(D79)+2&gt;=MATCH("*【合計】*", 貼り付け用!$A:$A, 0),"",
IF(貼り付け用!D80&lt;&gt;"",貼り付け用!D80,"")),
IF(ROW(D80)+2&gt;=MATCH("*【合計】*", 貼り付け用!$A:$A, 0),"",
IF(貼り付け用!D81&lt;&gt;"",貼り付け用!D81,"")))</f>
        <v>#N/A</v>
      </c>
      <c r="E80" s="19" t="e">
        <f>IF(貼り付け用!$A$6&lt;&gt;"",
IF(ROW(E79)+2&gt;=MATCH("*【合計】*", 貼り付け用!$A:$A, 0),"",
IF(貼り付け用!E80&lt;&gt;"",貼り付け用!E80,"")),
IF(ROW(E80)+2&gt;=MATCH("*【合計】*", 貼り付け用!$A:$A, 0),"",
IF(貼り付け用!E81&lt;&gt;"",貼り付け用!E81,"")))</f>
        <v>#N/A</v>
      </c>
      <c r="F80" s="19" t="e">
        <f>IF(貼り付け用!$A$6&lt;&gt;"",
IF(ROW(F79)+2&gt;=MATCH("*【合計】*", 貼り付け用!$A:$A, 0),"",
IF(貼り付け用!F80&lt;&gt;"",貼り付け用!F80,"")),
IF(ROW(F80)+2&gt;=MATCH("*【合計】*", 貼り付け用!$A:$A, 0),"",
IF(貼り付け用!F81&lt;&gt;"",貼り付け用!F81,"")))</f>
        <v>#N/A</v>
      </c>
      <c r="G80" s="19" t="e">
        <f>IF(貼り付け用!$A$6&lt;&gt;"",
IF(ROW(G79)+2&gt;=MATCH("*【合計】*", 貼り付け用!$A:$A, 0),"",
IF(貼り付け用!G80&lt;&gt;"",貼り付け用!G80,"")),
IF(ROW(G80)+2&gt;=MATCH("*【合計】*", 貼り付け用!$A:$A, 0),"",
IF(貼り付け用!G81&lt;&gt;"",貼り付け用!G81,"")))</f>
        <v>#N/A</v>
      </c>
      <c r="H80" s="19" t="e">
        <f>IF(貼り付け用!$A$6&lt;&gt;"",
IF(ROW(H79)+2&gt;=MATCH("*【合計】*", 貼り付け用!$A:$A, 0),"",
IF(貼り付け用!H80&lt;&gt;"",貼り付け用!H80,"")),
IF(ROW(H80)+2&gt;=MATCH("*【合計】*", 貼り付け用!$A:$A, 0),"",
IF(貼り付け用!H81&lt;&gt;"",貼り付け用!H81,"")))</f>
        <v>#N/A</v>
      </c>
      <c r="I80" s="19" t="e">
        <f>IF(貼り付け用!$A$6&lt;&gt;"",
IF(ROW(I79)+2&gt;=MATCH("*【合計】*", 貼り付け用!$A:$A, 0),"",
IF(貼り付け用!I80&lt;&gt;"",貼り付け用!I80,"")),
IF(ROW(I80)+2&gt;=MATCH("*【合計】*", 貼り付け用!$A:$A, 0),"",
IF(貼り付け用!I81&lt;&gt;"",貼り付け用!I81,"")))</f>
        <v>#N/A</v>
      </c>
      <c r="J80" s="19" t="e">
        <f>IF(貼り付け用!$A$6&lt;&gt;"",
IF(ROW(J79)+2&gt;=MATCH("*【合計】*", 貼り付け用!$A:$A, 0),"",
IF(貼り付け用!J80&lt;&gt;"",貼り付け用!J80,"")),
IF(ROW(J80)+2&gt;=MATCH("*【合計】*", 貼り付け用!$A:$A, 0),"",
IF(貼り付け用!J81&lt;&gt;"",貼り付け用!J81,"")))</f>
        <v>#N/A</v>
      </c>
      <c r="K80" s="19" t="e">
        <f>IF(貼り付け用!$A$6&lt;&gt;"",
IF(ROW(K79)+2&gt;=MATCH("*【合計】*", 貼り付け用!$A:$A, 0),"",
IF(貼り付け用!K80&lt;&gt;"",貼り付け用!K80,"")),
IF(ROW(K80)+2&gt;=MATCH("*【合計】*", 貼り付け用!$A:$A, 0),"",
IF(貼り付け用!K81&lt;&gt;"",貼り付け用!K81,"")))</f>
        <v>#N/A</v>
      </c>
      <c r="L80" s="19" t="e">
        <f>IF(貼り付け用!$A$6&lt;&gt;"",
IF(ROW(L79)+2&gt;=MATCH("*【合計】*", 貼り付け用!$A:$A, 0),"",
IF(L$3&lt;&gt;"",IF(貼り付け用!L80&lt;&gt;"",貼り付け用!L80,""),"")),
IF(ROW(L80)+2&gt;=MATCH("*【合計】*", 貼り付け用!$A:$A, 0),"",
IF(L$3&lt;&gt;"",IF(貼り付け用!L81&lt;&gt;"",貼り付け用!L81,""),"")))</f>
        <v>#N/A</v>
      </c>
      <c r="M80" s="19" t="e">
        <f>IF(貼り付け用!$A$6&lt;&gt;"",
IF(ROW(M79)+2&gt;=MATCH("*【合計】*", 貼り付け用!$A:$A, 0),"",
IF(M$3&lt;&gt;"",IF(貼り付け用!M80&lt;&gt;"",貼り付け用!M80,""),"")),
IF(ROW(M80)+2&gt;=MATCH("*【合計】*", 貼り付け用!$A:$A, 0),"",
IF(M$3&lt;&gt;"",IF(貼り付け用!M81&lt;&gt;"",貼り付け用!M81,""),"")))</f>
        <v>#N/A</v>
      </c>
      <c r="N80" s="19" t="e">
        <f>IF(貼り付け用!$A$6&lt;&gt;"",
IF(ROW(N79)+2&gt;=MATCH("*【合計】*", 貼り付け用!$A:$A, 0),"",
IF(N$3&lt;&gt;"",IF(貼り付け用!N80&lt;&gt;"",貼り付け用!N80,""),"")),
IF(ROW(N80)+2&gt;=MATCH("*【合計】*", 貼り付け用!$A:$A, 0),"",
IF(N$3&lt;&gt;"",IF(貼り付け用!N81&lt;&gt;"",貼り付け用!N81,""),"")))</f>
        <v>#N/A</v>
      </c>
      <c r="O80" s="19" t="e">
        <f>IF(貼り付け用!$A$6&lt;&gt;"",
IF(ROW(O79)+2&gt;=MATCH("*【合計】*", 貼り付け用!$A:$A, 0),"",
IF(O$3&lt;&gt;"",IF(貼り付け用!O80&lt;&gt;"",貼り付け用!O80,""),"")),
IF(ROW(O80)+2&gt;=MATCH("*【合計】*", 貼り付け用!$A:$A, 0),"",
IF(O$3&lt;&gt;"",IF(貼り付け用!O81&lt;&gt;"",貼り付け用!O81,""),"")))</f>
        <v>#N/A</v>
      </c>
      <c r="P80" s="19" t="e">
        <f>IF(貼り付け用!$A$6&lt;&gt;"",
IF(ROW(P79)+2&gt;=MATCH("*【合計】*", 貼り付け用!$A:$A, 0),"",
IF(P$3&lt;&gt;"",IF(貼り付け用!P80&lt;&gt;"",貼り付け用!P80,""),"")),
IF(ROW(P80)+2&gt;=MATCH("*【合計】*", 貼り付け用!$A:$A, 0),"",
IF(P$3&lt;&gt;"",IF(貼り付け用!P81&lt;&gt;"",貼り付け用!P81,""),"")))</f>
        <v>#N/A</v>
      </c>
      <c r="Q80" s="19" t="e">
        <f>IF(貼り付け用!$A$6&lt;&gt;"",
IF(ROW(Q79)+2&gt;=MATCH("*【合計】*", 貼り付け用!$A:$A, 0),"",
IF(Q$3&lt;&gt;"",IF(貼り付け用!Q80&lt;&gt;"",貼り付け用!Q80,""),"")),
IF(ROW(Q80)+2&gt;=MATCH("*【合計】*", 貼り付け用!$A:$A, 0),"",
IF(Q$3&lt;&gt;"",IF(貼り付け用!Q81&lt;&gt;"",貼り付け用!Q81,""),"")))</f>
        <v>#N/A</v>
      </c>
      <c r="R80" s="19" t="e">
        <f>IF(貼り付け用!$A$6&lt;&gt;"",
IF(ROW(R79)+2&gt;=MATCH("*【合計】*", 貼り付け用!$A:$A, 0),"",
IF(R$3&lt;&gt;"",IF(貼り付け用!R80&lt;&gt;"",貼り付け用!R80,""),"")),
IF(ROW(R80)+2&gt;=MATCH("*【合計】*", 貼り付け用!$A:$A, 0),"",
IF(R$3&lt;&gt;"",IF(貼り付け用!R81&lt;&gt;"",貼り付け用!R81,""),"")))</f>
        <v>#N/A</v>
      </c>
      <c r="S80" s="19" t="e">
        <f>IF(貼り付け用!$A$6&lt;&gt;"",
IF(ROW(S79)+2&gt;=MATCH("*【合計】*", 貼り付け用!$A:$A, 0),"",
IF(S$3&lt;&gt;"",IF(貼り付け用!S80&lt;&gt;"",貼り付け用!S80,""),"")),
IF(ROW(S80)+2&gt;=MATCH("*【合計】*", 貼り付け用!$A:$A, 0),"",
IF(S$3&lt;&gt;"",IF(貼り付け用!S81&lt;&gt;"",貼り付け用!S81,""),"")))</f>
        <v>#N/A</v>
      </c>
      <c r="T80" s="19" t="e">
        <f t="array" ref="T80">IF(貼り付け用!$A$6&lt;&gt;"",
IF(INDEX(貼り付け用!A:Z, ROW(T79)+1, MATCH("おやつ", 貼り付け用!$A$3:$Z$3, 0))&lt;&gt;0,
INDEX(貼り付け用!A:Z, ROW(T79)+1, MATCH("おやつ", 貼り付け用!$A$3:$Z$3, 0)),""),
IF(INDEX(貼り付け用!A:Z, ROW(T80)+1, MATCH("おやつ", 貼り付け用!$A$3:$Z$3, 0))&lt;&gt;0,
INDEX(貼り付け用!A:Z, ROW(T80)+1, MATCH("おやつ", 貼り付け用!$A$3:$Z$3, 0)),""))</f>
        <v>#N/A</v>
      </c>
      <c r="U80" s="16"/>
      <c r="V80" s="5" t="e">
        <f t="array" ref="V80">IF(貼り付け用!$A$6&lt;&gt;"",
IF(INDEX(貼り付け用!A:Z, ROW(T79)+1, MATCH("おやつ", 貼り付け用!$A$3:$Z$3, 0)+1)&lt;&gt;0,
INDEX(貼り付け用!A:Z, ROW(T79)+1, MATCH("おやつ", 貼り付け用!$A$3:$Z$3, 0)+1),""),
IF(INDEX(貼り付け用!A:Z, ROW(T80)+1, MATCH("おやつ", 貼り付け用!$A$3:$Z$3, 0)+1)&lt;&gt;0,
INDEX(貼り付け用!A:Z, ROW(T80)+1, MATCH("おやつ", 貼り付け用!$A$3:$Z$3, 0)+1),""))</f>
        <v>#N/A</v>
      </c>
      <c r="W80" s="7" t="e">
        <f t="array" ref="W80">IF(貼り付け用!$A$6&lt;&gt;"",
IF(INDEX(貼り付け用!A:Z, ROW(T79)+1, MATCH("おやつ", 貼り付け用!$A$3:$Z$3, 0)+2)&lt;&gt;0,
INDEX(貼り付け用!A:Z, ROW(T79)+1, MATCH("おやつ", 貼り付け用!$A$3:$Z$3, 0)+2),""),
IF(INDEX(貼り付け用!A:Z, ROW(T80)+1, MATCH("おやつ", 貼り付け用!$A$3:$Z$3, 0)+2)&lt;&gt;0,
INDEX(貼り付け用!A:Z, ROW(T80)+1, MATCH("おやつ", 貼り付け用!$A$3:$Z$3, 0)+2),""))</f>
        <v>#N/A</v>
      </c>
    </row>
    <row r="81" spans="1:23" x14ac:dyDescent="0.45">
      <c r="A81" s="10" t="e">
        <f>IF(貼り付け用!$A$6&lt;&gt;"",
IF(ROW(A80)+1&gt;=MATCH("*10000*", 貼り付け用!$A:$A, 0),"",
IF(貼り付け用!A81&lt;&gt;"",貼り付け用!A81,"")),
IF(ROW(A81)+1&gt;=MATCH("*10000*", 貼り付け用!$A:$A, 0),"",
IF(貼り付け用!A82&lt;&gt;"",貼り付け用!A82,"")))</f>
        <v>#N/A</v>
      </c>
      <c r="B81" s="3" t="e">
        <f>IF(貼り付け用!$A$6&lt;&gt;"",
IF(ROW(B80)+2&gt;=MATCH("*【合計】*", 貼り付け用!$A:$A, 0),"",
IF(貼り付け用!B81&lt;&gt;"",貼り付け用!B81,"")),
IF(ROW(B81)+2&gt;=MATCH("*【合計】*", 貼り付け用!$A:$A, 0),"",
IF(貼り付け用!B82&lt;&gt;"",貼り付け用!B82,"")))</f>
        <v>#N/A</v>
      </c>
      <c r="C81" s="3" t="e">
        <f>IF(貼り付け用!$A$6&lt;&gt;"",
IF(ROW(C80)+2&gt;=MATCH("*【合計】*", 貼り付け用!$A:$A, 0),"",
IF(貼り付け用!C81&lt;&gt;"",貼り付け用!C81,"")),
IF(ROW(C81)+2&gt;=MATCH("*【合計】*", 貼り付け用!$A:$A, 0),"",
IF(貼り付け用!C82&lt;&gt;"",貼り付け用!C82,"")))</f>
        <v>#N/A</v>
      </c>
      <c r="D81" s="3" t="e">
        <f>IF(貼り付け用!$A$6&lt;&gt;"",
IF(ROW(D80)+2&gt;=MATCH("*【合計】*", 貼り付け用!$A:$A, 0),"",
IF(貼り付け用!D81&lt;&gt;"",貼り付け用!D81,"")),
IF(ROW(D81)+2&gt;=MATCH("*【合計】*", 貼り付け用!$A:$A, 0),"",
IF(貼り付け用!D82&lt;&gt;"",貼り付け用!D82,"")))</f>
        <v>#N/A</v>
      </c>
      <c r="E81" s="3" t="e">
        <f>IF(貼り付け用!$A$6&lt;&gt;"",
IF(ROW(E80)+2&gt;=MATCH("*【合計】*", 貼り付け用!$A:$A, 0),"",
IF(貼り付け用!E81&lt;&gt;"",貼り付け用!E81,"")),
IF(ROW(E81)+2&gt;=MATCH("*【合計】*", 貼り付け用!$A:$A, 0),"",
IF(貼り付け用!E82&lt;&gt;"",貼り付け用!E82,"")))</f>
        <v>#N/A</v>
      </c>
      <c r="F81" s="3" t="e">
        <f>IF(貼り付け用!$A$6&lt;&gt;"",
IF(ROW(F80)+2&gt;=MATCH("*【合計】*", 貼り付け用!$A:$A, 0),"",
IF(貼り付け用!F81&lt;&gt;"",貼り付け用!F81,"")),
IF(ROW(F81)+2&gt;=MATCH("*【合計】*", 貼り付け用!$A:$A, 0),"",
IF(貼り付け用!F82&lt;&gt;"",貼り付け用!F82,"")))</f>
        <v>#N/A</v>
      </c>
      <c r="G81" s="3" t="e">
        <f>IF(貼り付け用!$A$6&lt;&gt;"",
IF(ROW(G80)+2&gt;=MATCH("*【合計】*", 貼り付け用!$A:$A, 0),"",
IF(貼り付け用!G81&lt;&gt;"",貼り付け用!G81,"")),
IF(ROW(G81)+2&gt;=MATCH("*【合計】*", 貼り付け用!$A:$A, 0),"",
IF(貼り付け用!G82&lt;&gt;"",貼り付け用!G82,"")))</f>
        <v>#N/A</v>
      </c>
      <c r="H81" s="3" t="e">
        <f>IF(貼り付け用!$A$6&lt;&gt;"",
IF(ROW(H80)+2&gt;=MATCH("*【合計】*", 貼り付け用!$A:$A, 0),"",
IF(貼り付け用!H81&lt;&gt;"",貼り付け用!H81,"")),
IF(ROW(H81)+2&gt;=MATCH("*【合計】*", 貼り付け用!$A:$A, 0),"",
IF(貼り付け用!H82&lt;&gt;"",貼り付け用!H82,"")))</f>
        <v>#N/A</v>
      </c>
      <c r="I81" s="3" t="e">
        <f>IF(貼り付け用!$A$6&lt;&gt;"",
IF(ROW(I80)+2&gt;=MATCH("*【合計】*", 貼り付け用!$A:$A, 0),"",
IF(貼り付け用!I81&lt;&gt;"",貼り付け用!I81,"")),
IF(ROW(I81)+2&gt;=MATCH("*【合計】*", 貼り付け用!$A:$A, 0),"",
IF(貼り付け用!I82&lt;&gt;"",貼り付け用!I82,"")))</f>
        <v>#N/A</v>
      </c>
      <c r="J81" s="3" t="e">
        <f>IF(貼り付け用!$A$6&lt;&gt;"",
IF(ROW(J80)+2&gt;=MATCH("*【合計】*", 貼り付け用!$A:$A, 0),"",
IF(貼り付け用!J81&lt;&gt;"",貼り付け用!J81,"")),
IF(ROW(J81)+2&gt;=MATCH("*【合計】*", 貼り付け用!$A:$A, 0),"",
IF(貼り付け用!J82&lt;&gt;"",貼り付け用!J82,"")))</f>
        <v>#N/A</v>
      </c>
      <c r="K81" s="3" t="e">
        <f>IF(貼り付け用!$A$6&lt;&gt;"",
IF(ROW(K80)+2&gt;=MATCH("*【合計】*", 貼り付け用!$A:$A, 0),"",
IF(貼り付け用!K81&lt;&gt;"",貼り付け用!K81,"")),
IF(ROW(K81)+2&gt;=MATCH("*【合計】*", 貼り付け用!$A:$A, 0),"",
IF(貼り付け用!K82&lt;&gt;"",貼り付け用!K82,"")))</f>
        <v>#N/A</v>
      </c>
      <c r="L81" s="3" t="e">
        <f>IF(貼り付け用!$A$6&lt;&gt;"",
IF(ROW(L80)+2&gt;=MATCH("*【合計】*", 貼り付け用!$A:$A, 0),"",
IF(L$3&lt;&gt;"",IF(貼り付け用!L81&lt;&gt;"",貼り付け用!L81,""),"")),
IF(ROW(L81)+2&gt;=MATCH("*【合計】*", 貼り付け用!$A:$A, 0),"",
IF(L$3&lt;&gt;"",IF(貼り付け用!L82&lt;&gt;"",貼り付け用!L82,""),"")))</f>
        <v>#N/A</v>
      </c>
      <c r="M81" s="3" t="e">
        <f>IF(貼り付け用!$A$6&lt;&gt;"",
IF(ROW(M80)+2&gt;=MATCH("*【合計】*", 貼り付け用!$A:$A, 0),"",
IF(M$3&lt;&gt;"",IF(貼り付け用!M81&lt;&gt;"",貼り付け用!M81,""),"")),
IF(ROW(M81)+2&gt;=MATCH("*【合計】*", 貼り付け用!$A:$A, 0),"",
IF(M$3&lt;&gt;"",IF(貼り付け用!M82&lt;&gt;"",貼り付け用!M82,""),"")))</f>
        <v>#N/A</v>
      </c>
      <c r="N81" s="3" t="e">
        <f>IF(貼り付け用!$A$6&lt;&gt;"",
IF(ROW(N80)+2&gt;=MATCH("*【合計】*", 貼り付け用!$A:$A, 0),"",
IF(N$3&lt;&gt;"",IF(貼り付け用!N81&lt;&gt;"",貼り付け用!N81,""),"")),
IF(ROW(N81)+2&gt;=MATCH("*【合計】*", 貼り付け用!$A:$A, 0),"",
IF(N$3&lt;&gt;"",IF(貼り付け用!N82&lt;&gt;"",貼り付け用!N82,""),"")))</f>
        <v>#N/A</v>
      </c>
      <c r="O81" s="3" t="e">
        <f>IF(貼り付け用!$A$6&lt;&gt;"",
IF(ROW(O80)+2&gt;=MATCH("*【合計】*", 貼り付け用!$A:$A, 0),"",
IF(O$3&lt;&gt;"",IF(貼り付け用!O81&lt;&gt;"",貼り付け用!O81,""),"")),
IF(ROW(O81)+2&gt;=MATCH("*【合計】*", 貼り付け用!$A:$A, 0),"",
IF(O$3&lt;&gt;"",IF(貼り付け用!O82&lt;&gt;"",貼り付け用!O82,""),"")))</f>
        <v>#N/A</v>
      </c>
      <c r="P81" s="3" t="e">
        <f>IF(貼り付け用!$A$6&lt;&gt;"",
IF(ROW(P80)+2&gt;=MATCH("*【合計】*", 貼り付け用!$A:$A, 0),"",
IF(P$3&lt;&gt;"",IF(貼り付け用!P81&lt;&gt;"",貼り付け用!P81,""),"")),
IF(ROW(P81)+2&gt;=MATCH("*【合計】*", 貼り付け用!$A:$A, 0),"",
IF(P$3&lt;&gt;"",IF(貼り付け用!P82&lt;&gt;"",貼り付け用!P82,""),"")))</f>
        <v>#N/A</v>
      </c>
      <c r="Q81" s="3" t="e">
        <f>IF(貼り付け用!$A$6&lt;&gt;"",
IF(ROW(Q80)+2&gt;=MATCH("*【合計】*", 貼り付け用!$A:$A, 0),"",
IF(Q$3&lt;&gt;"",IF(貼り付け用!Q81&lt;&gt;"",貼り付け用!Q81,""),"")),
IF(ROW(Q81)+2&gt;=MATCH("*【合計】*", 貼り付け用!$A:$A, 0),"",
IF(Q$3&lt;&gt;"",IF(貼り付け用!Q82&lt;&gt;"",貼り付け用!Q82,""),"")))</f>
        <v>#N/A</v>
      </c>
      <c r="R81" s="3" t="e">
        <f>IF(貼り付け用!$A$6&lt;&gt;"",
IF(ROW(R80)+2&gt;=MATCH("*【合計】*", 貼り付け用!$A:$A, 0),"",
IF(R$3&lt;&gt;"",IF(貼り付け用!R81&lt;&gt;"",貼り付け用!R81,""),"")),
IF(ROW(R81)+2&gt;=MATCH("*【合計】*", 貼り付け用!$A:$A, 0),"",
IF(R$3&lt;&gt;"",IF(貼り付け用!R82&lt;&gt;"",貼り付け用!R82,""),"")))</f>
        <v>#N/A</v>
      </c>
      <c r="S81" s="3" t="e">
        <f>IF(貼り付け用!$A$6&lt;&gt;"",
IF(ROW(S80)+2&gt;=MATCH("*【合計】*", 貼り付け用!$A:$A, 0),"",
IF(S$3&lt;&gt;"",IF(貼り付け用!S81&lt;&gt;"",貼り付け用!S81,""),"")),
IF(ROW(S81)+2&gt;=MATCH("*【合計】*", 貼り付け用!$A:$A, 0),"",
IF(S$3&lt;&gt;"",IF(貼り付け用!S82&lt;&gt;"",貼り付け用!S82,""),"")))</f>
        <v>#N/A</v>
      </c>
      <c r="T81" s="2" t="e">
        <f t="array" ref="T81">IF(貼り付け用!$A$6&lt;&gt;"",
IF(INDEX(貼り付け用!A:Z, ROW(T80)+1, MATCH("おやつ", 貼り付け用!$A$3:$Z$3, 0))&lt;&gt;0,
INDEX(貼り付け用!A:Z, ROW(T80)+1, MATCH("おやつ", 貼り付け用!$A$3:$Z$3, 0)),""),
IF(INDEX(貼り付け用!A:Z, ROW(T81)+1, MATCH("おやつ", 貼り付け用!$A$3:$Z$3, 0))&lt;&gt;0,
INDEX(貼り付け用!A:Z, ROW(T81)+1, MATCH("おやつ", 貼り付け用!$A$3:$Z$3, 0)),""))</f>
        <v>#N/A</v>
      </c>
      <c r="U81" s="52"/>
      <c r="V81" s="8" t="e">
        <f t="array" ref="V81">IF(貼り付け用!$A$6&lt;&gt;"",
IF(INDEX(貼り付け用!A:Z, ROW(T80)+1, MATCH("おやつ", 貼り付け用!$A$3:$Z$3, 0)+1)&lt;&gt;0,
INDEX(貼り付け用!A:Z, ROW(T80)+1, MATCH("おやつ", 貼り付け用!$A$3:$Z$3, 0)+1),""),
IF(INDEX(貼り付け用!A:Z, ROW(T81)+1, MATCH("おやつ", 貼り付け用!$A$3:$Z$3, 0)+1)&lt;&gt;0,
INDEX(貼り付け用!A:Z, ROW(T81)+1, MATCH("おやつ", 貼り付け用!$A$3:$Z$3, 0)+1),""))</f>
        <v>#N/A</v>
      </c>
      <c r="W81" s="9" t="e">
        <f t="array" ref="W81">IF(貼り付け用!$A$6&lt;&gt;"",
IF(INDEX(貼り付け用!A:Z, ROW(T80)+1, MATCH("おやつ", 貼り付け用!$A$3:$Z$3, 0)+2)&lt;&gt;0,
INDEX(貼り付け用!A:Z, ROW(T80)+1, MATCH("おやつ", 貼り付け用!$A$3:$Z$3, 0)+2),""),
IF(INDEX(貼り付け用!A:Z, ROW(T81)+1, MATCH("おやつ", 貼り付け用!$A$3:$Z$3, 0)+2)&lt;&gt;0,
INDEX(貼り付け用!A:Z, ROW(T81)+1, MATCH("おやつ", 貼り付け用!$A$3:$Z$3, 0)+2),""))</f>
        <v>#N/A</v>
      </c>
    </row>
    <row r="82" spans="1:23" x14ac:dyDescent="0.45">
      <c r="A82" s="4" t="e">
        <f>IF(貼り付け用!$A$6&lt;&gt;"",
IF(ROW(A81)+1&gt;=MATCH("*10000*", 貼り付け用!$A:$A, 0),
IF(COUNTIF(A80,"*10000*"),"10001",
IF(COUNTIF(A80,"*10001*"),"10002",
IF(COUNTIF(A80,"*10002*"),"",
IF(COUNTIF(A80,""),"","10000")))),
IF(貼り付け用!A82&lt;&gt;"",貼り付け用!A82,"")),
IF(ROW(A82)+1&gt;=MATCH("*10000*", 貼り付け用!$A:$A, 0),
IF(COUNTIF(A80,"*10000*"),"10001",
IF(COUNTIF(A80,"*10001*"),"10002",
IF(COUNTIF(A80,"*10002*"),"",
IF(COUNTIF(A80,""),"","10000")))),
IF(貼り付け用!A83&lt;&gt;"",貼り付け用!A83,"")))</f>
        <v>#N/A</v>
      </c>
      <c r="B82" s="19" t="e">
        <f>IF(貼り付け用!$A$6&lt;&gt;"",
IF(ROW(B81)+2&gt;=MATCH("*【合計】*", 貼り付け用!$A:$A, 0),"",
IF(貼り付け用!B82&lt;&gt;"",貼り付け用!B82,"")),
IF(ROW(B82)+2&gt;=MATCH("*【合計】*", 貼り付け用!$A:$A, 0),"",
IF(貼り付け用!B83&lt;&gt;"",貼り付け用!B83,"")))</f>
        <v>#N/A</v>
      </c>
      <c r="C82" s="19" t="e">
        <f>IF(貼り付け用!$A$6&lt;&gt;"",
IF(ROW(C81)+2&gt;=MATCH("*【合計】*", 貼り付け用!$A:$A, 0),"",
IF(貼り付け用!C82&lt;&gt;"",貼り付け用!C82,"")),
IF(ROW(C82)+2&gt;=MATCH("*【合計】*", 貼り付け用!$A:$A, 0),"",
IF(貼り付け用!C83&lt;&gt;"",貼り付け用!C83,"")))</f>
        <v>#N/A</v>
      </c>
      <c r="D82" s="19" t="e">
        <f>IF(貼り付け用!$A$6&lt;&gt;"",
IF(ROW(D81)+2&gt;=MATCH("*【合計】*", 貼り付け用!$A:$A, 0),"",
IF(貼り付け用!D82&lt;&gt;"",貼り付け用!D82,"")),
IF(ROW(D82)+2&gt;=MATCH("*【合計】*", 貼り付け用!$A:$A, 0),"",
IF(貼り付け用!D83&lt;&gt;"",貼り付け用!D83,"")))</f>
        <v>#N/A</v>
      </c>
      <c r="E82" s="19" t="e">
        <f>IF(貼り付け用!$A$6&lt;&gt;"",
IF(ROW(E81)+2&gt;=MATCH("*【合計】*", 貼り付け用!$A:$A, 0),"",
IF(貼り付け用!E82&lt;&gt;"",貼り付け用!E82,"")),
IF(ROW(E82)+2&gt;=MATCH("*【合計】*", 貼り付け用!$A:$A, 0),"",
IF(貼り付け用!E83&lt;&gt;"",貼り付け用!E83,"")))</f>
        <v>#N/A</v>
      </c>
      <c r="F82" s="19" t="e">
        <f>IF(貼り付け用!$A$6&lt;&gt;"",
IF(ROW(F81)+2&gt;=MATCH("*【合計】*", 貼り付け用!$A:$A, 0),"",
IF(貼り付け用!F82&lt;&gt;"",貼り付け用!F82,"")),
IF(ROW(F82)+2&gt;=MATCH("*【合計】*", 貼り付け用!$A:$A, 0),"",
IF(貼り付け用!F83&lt;&gt;"",貼り付け用!F83,"")))</f>
        <v>#N/A</v>
      </c>
      <c r="G82" s="19" t="e">
        <f>IF(貼り付け用!$A$6&lt;&gt;"",
IF(ROW(G81)+2&gt;=MATCH("*【合計】*", 貼り付け用!$A:$A, 0),"",
IF(貼り付け用!G82&lt;&gt;"",貼り付け用!G82,"")),
IF(ROW(G82)+2&gt;=MATCH("*【合計】*", 貼り付け用!$A:$A, 0),"",
IF(貼り付け用!G83&lt;&gt;"",貼り付け用!G83,"")))</f>
        <v>#N/A</v>
      </c>
      <c r="H82" s="19" t="e">
        <f>IF(貼り付け用!$A$6&lt;&gt;"",
IF(ROW(H81)+2&gt;=MATCH("*【合計】*", 貼り付け用!$A:$A, 0),"",
IF(貼り付け用!H82&lt;&gt;"",貼り付け用!H82,"")),
IF(ROW(H82)+2&gt;=MATCH("*【合計】*", 貼り付け用!$A:$A, 0),"",
IF(貼り付け用!H83&lt;&gt;"",貼り付け用!H83,"")))</f>
        <v>#N/A</v>
      </c>
      <c r="I82" s="19" t="e">
        <f>IF(貼り付け用!$A$6&lt;&gt;"",
IF(ROW(I81)+2&gt;=MATCH("*【合計】*", 貼り付け用!$A:$A, 0),"",
IF(貼り付け用!I82&lt;&gt;"",貼り付け用!I82,"")),
IF(ROW(I82)+2&gt;=MATCH("*【合計】*", 貼り付け用!$A:$A, 0),"",
IF(貼り付け用!I83&lt;&gt;"",貼り付け用!I83,"")))</f>
        <v>#N/A</v>
      </c>
      <c r="J82" s="19" t="e">
        <f>IF(貼り付け用!$A$6&lt;&gt;"",
IF(ROW(J81)+2&gt;=MATCH("*【合計】*", 貼り付け用!$A:$A, 0),"",
IF(貼り付け用!J82&lt;&gt;"",貼り付け用!J82,"")),
IF(ROW(J82)+2&gt;=MATCH("*【合計】*", 貼り付け用!$A:$A, 0),"",
IF(貼り付け用!J83&lt;&gt;"",貼り付け用!J83,"")))</f>
        <v>#N/A</v>
      </c>
      <c r="K82" s="19" t="e">
        <f>IF(貼り付け用!$A$6&lt;&gt;"",
IF(ROW(K81)+2&gt;=MATCH("*【合計】*", 貼り付け用!$A:$A, 0),"",
IF(貼り付け用!K82&lt;&gt;"",貼り付け用!K82,"")),
IF(ROW(K82)+2&gt;=MATCH("*【合計】*", 貼り付け用!$A:$A, 0),"",
IF(貼り付け用!K83&lt;&gt;"",貼り付け用!K83,"")))</f>
        <v>#N/A</v>
      </c>
      <c r="L82" s="19" t="e">
        <f>IF(貼り付け用!$A$6&lt;&gt;"",
IF(ROW(L81)+2&gt;=MATCH("*【合計】*", 貼り付け用!$A:$A, 0),"",
IF(L$3&lt;&gt;"",IF(貼り付け用!L82&lt;&gt;"",貼り付け用!L82,""),"")),
IF(ROW(L82)+2&gt;=MATCH("*【合計】*", 貼り付け用!$A:$A, 0),"",
IF(L$3&lt;&gt;"",IF(貼り付け用!L83&lt;&gt;"",貼り付け用!L83,""),"")))</f>
        <v>#N/A</v>
      </c>
      <c r="M82" s="19" t="e">
        <f>IF(貼り付け用!$A$6&lt;&gt;"",
IF(ROW(M81)+2&gt;=MATCH("*【合計】*", 貼り付け用!$A:$A, 0),"",
IF(M$3&lt;&gt;"",IF(貼り付け用!M82&lt;&gt;"",貼り付け用!M82,""),"")),
IF(ROW(M82)+2&gt;=MATCH("*【合計】*", 貼り付け用!$A:$A, 0),"",
IF(M$3&lt;&gt;"",IF(貼り付け用!M83&lt;&gt;"",貼り付け用!M83,""),"")))</f>
        <v>#N/A</v>
      </c>
      <c r="N82" s="19" t="e">
        <f>IF(貼り付け用!$A$6&lt;&gt;"",
IF(ROW(N81)+2&gt;=MATCH("*【合計】*", 貼り付け用!$A:$A, 0),"",
IF(N$3&lt;&gt;"",IF(貼り付け用!N82&lt;&gt;"",貼り付け用!N82,""),"")),
IF(ROW(N82)+2&gt;=MATCH("*【合計】*", 貼り付け用!$A:$A, 0),"",
IF(N$3&lt;&gt;"",IF(貼り付け用!N83&lt;&gt;"",貼り付け用!N83,""),"")))</f>
        <v>#N/A</v>
      </c>
      <c r="O82" s="19" t="e">
        <f>IF(貼り付け用!$A$6&lt;&gt;"",
IF(ROW(O81)+2&gt;=MATCH("*【合計】*", 貼り付け用!$A:$A, 0),"",
IF(O$3&lt;&gt;"",IF(貼り付け用!O82&lt;&gt;"",貼り付け用!O82,""),"")),
IF(ROW(O82)+2&gt;=MATCH("*【合計】*", 貼り付け用!$A:$A, 0),"",
IF(O$3&lt;&gt;"",IF(貼り付け用!O83&lt;&gt;"",貼り付け用!O83,""),"")))</f>
        <v>#N/A</v>
      </c>
      <c r="P82" s="19" t="e">
        <f>IF(貼り付け用!$A$6&lt;&gt;"",
IF(ROW(P81)+2&gt;=MATCH("*【合計】*", 貼り付け用!$A:$A, 0),"",
IF(P$3&lt;&gt;"",IF(貼り付け用!P82&lt;&gt;"",貼り付け用!P82,""),"")),
IF(ROW(P82)+2&gt;=MATCH("*【合計】*", 貼り付け用!$A:$A, 0),"",
IF(P$3&lt;&gt;"",IF(貼り付け用!P83&lt;&gt;"",貼り付け用!P83,""),"")))</f>
        <v>#N/A</v>
      </c>
      <c r="Q82" s="19" t="e">
        <f>IF(貼り付け用!$A$6&lt;&gt;"",
IF(ROW(Q81)+2&gt;=MATCH("*【合計】*", 貼り付け用!$A:$A, 0),"",
IF(Q$3&lt;&gt;"",IF(貼り付け用!Q82&lt;&gt;"",貼り付け用!Q82,""),"")),
IF(ROW(Q82)+2&gt;=MATCH("*【合計】*", 貼り付け用!$A:$A, 0),"",
IF(Q$3&lt;&gt;"",IF(貼り付け用!Q83&lt;&gt;"",貼り付け用!Q83,""),"")))</f>
        <v>#N/A</v>
      </c>
      <c r="R82" s="19" t="e">
        <f>IF(貼り付け用!$A$6&lt;&gt;"",
IF(ROW(R81)+2&gt;=MATCH("*【合計】*", 貼り付け用!$A:$A, 0),"",
IF(R$3&lt;&gt;"",IF(貼り付け用!R82&lt;&gt;"",貼り付け用!R82,""),"")),
IF(ROW(R82)+2&gt;=MATCH("*【合計】*", 貼り付け用!$A:$A, 0),"",
IF(R$3&lt;&gt;"",IF(貼り付け用!R83&lt;&gt;"",貼り付け用!R83,""),"")))</f>
        <v>#N/A</v>
      </c>
      <c r="S82" s="19" t="e">
        <f>IF(貼り付け用!$A$6&lt;&gt;"",
IF(ROW(S81)+2&gt;=MATCH("*【合計】*", 貼り付け用!$A:$A, 0),"",
IF(S$3&lt;&gt;"",IF(貼り付け用!S82&lt;&gt;"",貼り付け用!S82,""),"")),
IF(ROW(S82)+2&gt;=MATCH("*【合計】*", 貼り付け用!$A:$A, 0),"",
IF(S$3&lt;&gt;"",IF(貼り付け用!S83&lt;&gt;"",貼り付け用!S83,""),"")))</f>
        <v>#N/A</v>
      </c>
      <c r="T82" s="19" t="e">
        <f t="array" ref="T82">IF(貼り付け用!$A$6&lt;&gt;"",
IF(INDEX(貼り付け用!A:Z, ROW(T81)+1, MATCH("おやつ", 貼り付け用!$A$3:$Z$3, 0))&lt;&gt;0,
INDEX(貼り付け用!A:Z, ROW(T81)+1, MATCH("おやつ", 貼り付け用!$A$3:$Z$3, 0)),""),
IF(INDEX(貼り付け用!A:Z, ROW(T82)+1, MATCH("おやつ", 貼り付け用!$A$3:$Z$3, 0))&lt;&gt;0,
INDEX(貼り付け用!A:Z, ROW(T82)+1, MATCH("おやつ", 貼り付け用!$A$3:$Z$3, 0)),""))</f>
        <v>#N/A</v>
      </c>
      <c r="U82" s="16"/>
      <c r="V82" s="5" t="e">
        <f t="array" ref="V82">IF(貼り付け用!$A$6&lt;&gt;"",
IF(INDEX(貼り付け用!A:Z, ROW(T81)+1, MATCH("おやつ", 貼り付け用!$A$3:$Z$3, 0)+1)&lt;&gt;0,
INDEX(貼り付け用!A:Z, ROW(T81)+1, MATCH("おやつ", 貼り付け用!$A$3:$Z$3, 0)+1),""),
IF(INDEX(貼り付け用!A:Z, ROW(T82)+1, MATCH("おやつ", 貼り付け用!$A$3:$Z$3, 0)+1)&lt;&gt;0,
INDEX(貼り付け用!A:Z, ROW(T82)+1, MATCH("おやつ", 貼り付け用!$A$3:$Z$3, 0)+1),""))</f>
        <v>#N/A</v>
      </c>
      <c r="W82" s="7" t="e">
        <f t="array" ref="W82">IF(貼り付け用!$A$6&lt;&gt;"",
IF(INDEX(貼り付け用!A:Z, ROW(T81)+1, MATCH("おやつ", 貼り付け用!$A$3:$Z$3, 0)+2)&lt;&gt;0,
INDEX(貼り付け用!A:Z, ROW(T81)+1, MATCH("おやつ", 貼り付け用!$A$3:$Z$3, 0)+2),""),
IF(INDEX(貼り付け用!A:Z, ROW(T82)+1, MATCH("おやつ", 貼り付け用!$A$3:$Z$3, 0)+2)&lt;&gt;0,
INDEX(貼り付け用!A:Z, ROW(T82)+1, MATCH("おやつ", 貼り付け用!$A$3:$Z$3, 0)+2),""))</f>
        <v>#N/A</v>
      </c>
    </row>
    <row r="83" spans="1:23" x14ac:dyDescent="0.45">
      <c r="A83" s="10" t="e">
        <f>IF(貼り付け用!$A$6&lt;&gt;"",
IF(ROW(A82)+1&gt;=MATCH("*10000*", 貼り付け用!$A:$A, 0),"",
IF(貼り付け用!A83&lt;&gt;"",貼り付け用!A83,"")),
IF(ROW(A83)+1&gt;=MATCH("*10000*", 貼り付け用!$A:$A, 0),"",
IF(貼り付け用!A84&lt;&gt;"",貼り付け用!A84,"")))</f>
        <v>#N/A</v>
      </c>
      <c r="B83" s="3" t="e">
        <f>IF(貼り付け用!$A$6&lt;&gt;"",
IF(ROW(B82)+2&gt;=MATCH("*【合計】*", 貼り付け用!$A:$A, 0),"",
IF(貼り付け用!B83&lt;&gt;"",貼り付け用!B83,"")),
IF(ROW(B83)+2&gt;=MATCH("*【合計】*", 貼り付け用!$A:$A, 0),"",
IF(貼り付け用!B84&lt;&gt;"",貼り付け用!B84,"")))</f>
        <v>#N/A</v>
      </c>
      <c r="C83" s="3" t="e">
        <f>IF(貼り付け用!$A$6&lt;&gt;"",
IF(ROW(C82)+2&gt;=MATCH("*【合計】*", 貼り付け用!$A:$A, 0),"",
IF(貼り付け用!C83&lt;&gt;"",貼り付け用!C83,"")),
IF(ROW(C83)+2&gt;=MATCH("*【合計】*", 貼り付け用!$A:$A, 0),"",
IF(貼り付け用!C84&lt;&gt;"",貼り付け用!C84,"")))</f>
        <v>#N/A</v>
      </c>
      <c r="D83" s="3" t="e">
        <f>IF(貼り付け用!$A$6&lt;&gt;"",
IF(ROW(D82)+2&gt;=MATCH("*【合計】*", 貼り付け用!$A:$A, 0),"",
IF(貼り付け用!D83&lt;&gt;"",貼り付け用!D83,"")),
IF(ROW(D83)+2&gt;=MATCH("*【合計】*", 貼り付け用!$A:$A, 0),"",
IF(貼り付け用!D84&lt;&gt;"",貼り付け用!D84,"")))</f>
        <v>#N/A</v>
      </c>
      <c r="E83" s="3" t="e">
        <f>IF(貼り付け用!$A$6&lt;&gt;"",
IF(ROW(E82)+2&gt;=MATCH("*【合計】*", 貼り付け用!$A:$A, 0),"",
IF(貼り付け用!E83&lt;&gt;"",貼り付け用!E83,"")),
IF(ROW(E83)+2&gt;=MATCH("*【合計】*", 貼り付け用!$A:$A, 0),"",
IF(貼り付け用!E84&lt;&gt;"",貼り付け用!E84,"")))</f>
        <v>#N/A</v>
      </c>
      <c r="F83" s="3" t="e">
        <f>IF(貼り付け用!$A$6&lt;&gt;"",
IF(ROW(F82)+2&gt;=MATCH("*【合計】*", 貼り付け用!$A:$A, 0),"",
IF(貼り付け用!F83&lt;&gt;"",貼り付け用!F83,"")),
IF(ROW(F83)+2&gt;=MATCH("*【合計】*", 貼り付け用!$A:$A, 0),"",
IF(貼り付け用!F84&lt;&gt;"",貼り付け用!F84,"")))</f>
        <v>#N/A</v>
      </c>
      <c r="G83" s="3" t="e">
        <f>IF(貼り付け用!$A$6&lt;&gt;"",
IF(ROW(G82)+2&gt;=MATCH("*【合計】*", 貼り付け用!$A:$A, 0),"",
IF(貼り付け用!G83&lt;&gt;"",貼り付け用!G83,"")),
IF(ROW(G83)+2&gt;=MATCH("*【合計】*", 貼り付け用!$A:$A, 0),"",
IF(貼り付け用!G84&lt;&gt;"",貼り付け用!G84,"")))</f>
        <v>#N/A</v>
      </c>
      <c r="H83" s="3" t="e">
        <f>IF(貼り付け用!$A$6&lt;&gt;"",
IF(ROW(H82)+2&gt;=MATCH("*【合計】*", 貼り付け用!$A:$A, 0),"",
IF(貼り付け用!H83&lt;&gt;"",貼り付け用!H83,"")),
IF(ROW(H83)+2&gt;=MATCH("*【合計】*", 貼り付け用!$A:$A, 0),"",
IF(貼り付け用!H84&lt;&gt;"",貼り付け用!H84,"")))</f>
        <v>#N/A</v>
      </c>
      <c r="I83" s="3" t="e">
        <f>IF(貼り付け用!$A$6&lt;&gt;"",
IF(ROW(I82)+2&gt;=MATCH("*【合計】*", 貼り付け用!$A:$A, 0),"",
IF(貼り付け用!I83&lt;&gt;"",貼り付け用!I83,"")),
IF(ROW(I83)+2&gt;=MATCH("*【合計】*", 貼り付け用!$A:$A, 0),"",
IF(貼り付け用!I84&lt;&gt;"",貼り付け用!I84,"")))</f>
        <v>#N/A</v>
      </c>
      <c r="J83" s="3" t="e">
        <f>IF(貼り付け用!$A$6&lt;&gt;"",
IF(ROW(J82)+2&gt;=MATCH("*【合計】*", 貼り付け用!$A:$A, 0),"",
IF(貼り付け用!J83&lt;&gt;"",貼り付け用!J83,"")),
IF(ROW(J83)+2&gt;=MATCH("*【合計】*", 貼り付け用!$A:$A, 0),"",
IF(貼り付け用!J84&lt;&gt;"",貼り付け用!J84,"")))</f>
        <v>#N/A</v>
      </c>
      <c r="K83" s="3" t="e">
        <f>IF(貼り付け用!$A$6&lt;&gt;"",
IF(ROW(K82)+2&gt;=MATCH("*【合計】*", 貼り付け用!$A:$A, 0),"",
IF(貼り付け用!K83&lt;&gt;"",貼り付け用!K83,"")),
IF(ROW(K83)+2&gt;=MATCH("*【合計】*", 貼り付け用!$A:$A, 0),"",
IF(貼り付け用!K84&lt;&gt;"",貼り付け用!K84,"")))</f>
        <v>#N/A</v>
      </c>
      <c r="L83" s="3" t="e">
        <f>IF(貼り付け用!$A$6&lt;&gt;"",
IF(ROW(L82)+2&gt;=MATCH("*【合計】*", 貼り付け用!$A:$A, 0),"",
IF(L$3&lt;&gt;"",IF(貼り付け用!L83&lt;&gt;"",貼り付け用!L83,""),"")),
IF(ROW(L83)+2&gt;=MATCH("*【合計】*", 貼り付け用!$A:$A, 0),"",
IF(L$3&lt;&gt;"",IF(貼り付け用!L84&lt;&gt;"",貼り付け用!L84,""),"")))</f>
        <v>#N/A</v>
      </c>
      <c r="M83" s="3" t="e">
        <f>IF(貼り付け用!$A$6&lt;&gt;"",
IF(ROW(M82)+2&gt;=MATCH("*【合計】*", 貼り付け用!$A:$A, 0),"",
IF(M$3&lt;&gt;"",IF(貼り付け用!M83&lt;&gt;"",貼り付け用!M83,""),"")),
IF(ROW(M83)+2&gt;=MATCH("*【合計】*", 貼り付け用!$A:$A, 0),"",
IF(M$3&lt;&gt;"",IF(貼り付け用!M84&lt;&gt;"",貼り付け用!M84,""),"")))</f>
        <v>#N/A</v>
      </c>
      <c r="N83" s="3" t="e">
        <f>IF(貼り付け用!$A$6&lt;&gt;"",
IF(ROW(N82)+2&gt;=MATCH("*【合計】*", 貼り付け用!$A:$A, 0),"",
IF(N$3&lt;&gt;"",IF(貼り付け用!N83&lt;&gt;"",貼り付け用!N83,""),"")),
IF(ROW(N83)+2&gt;=MATCH("*【合計】*", 貼り付け用!$A:$A, 0),"",
IF(N$3&lt;&gt;"",IF(貼り付け用!N84&lt;&gt;"",貼り付け用!N84,""),"")))</f>
        <v>#N/A</v>
      </c>
      <c r="O83" s="3" t="e">
        <f>IF(貼り付け用!$A$6&lt;&gt;"",
IF(ROW(O82)+2&gt;=MATCH("*【合計】*", 貼り付け用!$A:$A, 0),"",
IF(O$3&lt;&gt;"",IF(貼り付け用!O83&lt;&gt;"",貼り付け用!O83,""),"")),
IF(ROW(O83)+2&gt;=MATCH("*【合計】*", 貼り付け用!$A:$A, 0),"",
IF(O$3&lt;&gt;"",IF(貼り付け用!O84&lt;&gt;"",貼り付け用!O84,""),"")))</f>
        <v>#N/A</v>
      </c>
      <c r="P83" s="3" t="e">
        <f>IF(貼り付け用!$A$6&lt;&gt;"",
IF(ROW(P82)+2&gt;=MATCH("*【合計】*", 貼り付け用!$A:$A, 0),"",
IF(P$3&lt;&gt;"",IF(貼り付け用!P83&lt;&gt;"",貼り付け用!P83,""),"")),
IF(ROW(P83)+2&gt;=MATCH("*【合計】*", 貼り付け用!$A:$A, 0),"",
IF(P$3&lt;&gt;"",IF(貼り付け用!P84&lt;&gt;"",貼り付け用!P84,""),"")))</f>
        <v>#N/A</v>
      </c>
      <c r="Q83" s="3" t="e">
        <f>IF(貼り付け用!$A$6&lt;&gt;"",
IF(ROW(Q82)+2&gt;=MATCH("*【合計】*", 貼り付け用!$A:$A, 0),"",
IF(Q$3&lt;&gt;"",IF(貼り付け用!Q83&lt;&gt;"",貼り付け用!Q83,""),"")),
IF(ROW(Q83)+2&gt;=MATCH("*【合計】*", 貼り付け用!$A:$A, 0),"",
IF(Q$3&lt;&gt;"",IF(貼り付け用!Q84&lt;&gt;"",貼り付け用!Q84,""),"")))</f>
        <v>#N/A</v>
      </c>
      <c r="R83" s="3" t="e">
        <f>IF(貼り付け用!$A$6&lt;&gt;"",
IF(ROW(R82)+2&gt;=MATCH("*【合計】*", 貼り付け用!$A:$A, 0),"",
IF(R$3&lt;&gt;"",IF(貼り付け用!R83&lt;&gt;"",貼り付け用!R83,""),"")),
IF(ROW(R83)+2&gt;=MATCH("*【合計】*", 貼り付け用!$A:$A, 0),"",
IF(R$3&lt;&gt;"",IF(貼り付け用!R84&lt;&gt;"",貼り付け用!R84,""),"")))</f>
        <v>#N/A</v>
      </c>
      <c r="S83" s="3" t="e">
        <f>IF(貼り付け用!$A$6&lt;&gt;"",
IF(ROW(S82)+2&gt;=MATCH("*【合計】*", 貼り付け用!$A:$A, 0),"",
IF(S$3&lt;&gt;"",IF(貼り付け用!S83&lt;&gt;"",貼り付け用!S83,""),"")),
IF(ROW(S83)+2&gt;=MATCH("*【合計】*", 貼り付け用!$A:$A, 0),"",
IF(S$3&lt;&gt;"",IF(貼り付け用!S84&lt;&gt;"",貼り付け用!S84,""),"")))</f>
        <v>#N/A</v>
      </c>
      <c r="T83" s="2" t="e">
        <f t="array" ref="T83">IF(貼り付け用!$A$6&lt;&gt;"",
IF(INDEX(貼り付け用!A:Z, ROW(T82)+1, MATCH("おやつ", 貼り付け用!$A$3:$Z$3, 0))&lt;&gt;0,
INDEX(貼り付け用!A:Z, ROW(T82)+1, MATCH("おやつ", 貼り付け用!$A$3:$Z$3, 0)),""),
IF(INDEX(貼り付け用!A:Z, ROW(T83)+1, MATCH("おやつ", 貼り付け用!$A$3:$Z$3, 0))&lt;&gt;0,
INDEX(貼り付け用!A:Z, ROW(T83)+1, MATCH("おやつ", 貼り付け用!$A$3:$Z$3, 0)),""))</f>
        <v>#N/A</v>
      </c>
      <c r="U83" s="52"/>
      <c r="V83" s="8" t="e">
        <f t="array" ref="V83">IF(貼り付け用!$A$6&lt;&gt;"",
IF(INDEX(貼り付け用!A:Z, ROW(T82)+1, MATCH("おやつ", 貼り付け用!$A$3:$Z$3, 0)+1)&lt;&gt;0,
INDEX(貼り付け用!A:Z, ROW(T82)+1, MATCH("おやつ", 貼り付け用!$A$3:$Z$3, 0)+1),""),
IF(INDEX(貼り付け用!A:Z, ROW(T83)+1, MATCH("おやつ", 貼り付け用!$A$3:$Z$3, 0)+1)&lt;&gt;0,
INDEX(貼り付け用!A:Z, ROW(T83)+1, MATCH("おやつ", 貼り付け用!$A$3:$Z$3, 0)+1),""))</f>
        <v>#N/A</v>
      </c>
      <c r="W83" s="9" t="e">
        <f t="array" ref="W83">IF(貼り付け用!$A$6&lt;&gt;"",
IF(INDEX(貼り付け用!A:Z, ROW(T82)+1, MATCH("おやつ", 貼り付け用!$A$3:$Z$3, 0)+2)&lt;&gt;0,
INDEX(貼り付け用!A:Z, ROW(T82)+1, MATCH("おやつ", 貼り付け用!$A$3:$Z$3, 0)+2),""),
IF(INDEX(貼り付け用!A:Z, ROW(T83)+1, MATCH("おやつ", 貼り付け用!$A$3:$Z$3, 0)+2)&lt;&gt;0,
INDEX(貼り付け用!A:Z, ROW(T83)+1, MATCH("おやつ", 貼り付け用!$A$3:$Z$3, 0)+2),""))</f>
        <v>#N/A</v>
      </c>
    </row>
    <row r="84" spans="1:23" x14ac:dyDescent="0.45">
      <c r="A84" s="4" t="e">
        <f>IF(貼り付け用!$A$6&lt;&gt;"",
IF(ROW(A83)+1&gt;=MATCH("*10000*", 貼り付け用!$A:$A, 0),
IF(COUNTIF(A82,"*10000*"),"10001",
IF(COUNTIF(A82,"*10001*"),"10002",
IF(COUNTIF(A82,"*10002*"),"",
IF(COUNTIF(A82,""),"","10000")))),
IF(貼り付け用!A84&lt;&gt;"",貼り付け用!A84,"")),
IF(ROW(A84)+1&gt;=MATCH("*10000*", 貼り付け用!$A:$A, 0),
IF(COUNTIF(A82,"*10000*"),"10001",
IF(COUNTIF(A82,"*10001*"),"10002",
IF(COUNTIF(A82,"*10002*"),"",
IF(COUNTIF(A82,""),"","10000")))),
IF(貼り付け用!A85&lt;&gt;"",貼り付け用!A85,"")))</f>
        <v>#N/A</v>
      </c>
      <c r="B84" s="19" t="e">
        <f>IF(貼り付け用!$A$6&lt;&gt;"",
IF(ROW(B83)+2&gt;=MATCH("*【合計】*", 貼り付け用!$A:$A, 0),"",
IF(貼り付け用!B84&lt;&gt;"",貼り付け用!B84,"")),
IF(ROW(B84)+2&gt;=MATCH("*【合計】*", 貼り付け用!$A:$A, 0),"",
IF(貼り付け用!B85&lt;&gt;"",貼り付け用!B85,"")))</f>
        <v>#N/A</v>
      </c>
      <c r="C84" s="19" t="e">
        <f>IF(貼り付け用!$A$6&lt;&gt;"",
IF(ROW(C83)+2&gt;=MATCH("*【合計】*", 貼り付け用!$A:$A, 0),"",
IF(貼り付け用!C84&lt;&gt;"",貼り付け用!C84,"")),
IF(ROW(C84)+2&gt;=MATCH("*【合計】*", 貼り付け用!$A:$A, 0),"",
IF(貼り付け用!C85&lt;&gt;"",貼り付け用!C85,"")))</f>
        <v>#N/A</v>
      </c>
      <c r="D84" s="19" t="e">
        <f>IF(貼り付け用!$A$6&lt;&gt;"",
IF(ROW(D83)+2&gt;=MATCH("*【合計】*", 貼り付け用!$A:$A, 0),"",
IF(貼り付け用!D84&lt;&gt;"",貼り付け用!D84,"")),
IF(ROW(D84)+2&gt;=MATCH("*【合計】*", 貼り付け用!$A:$A, 0),"",
IF(貼り付け用!D85&lt;&gt;"",貼り付け用!D85,"")))</f>
        <v>#N/A</v>
      </c>
      <c r="E84" s="19" t="e">
        <f>IF(貼り付け用!$A$6&lt;&gt;"",
IF(ROW(E83)+2&gt;=MATCH("*【合計】*", 貼り付け用!$A:$A, 0),"",
IF(貼り付け用!E84&lt;&gt;"",貼り付け用!E84,"")),
IF(ROW(E84)+2&gt;=MATCH("*【合計】*", 貼り付け用!$A:$A, 0),"",
IF(貼り付け用!E85&lt;&gt;"",貼り付け用!E85,"")))</f>
        <v>#N/A</v>
      </c>
      <c r="F84" s="19" t="e">
        <f>IF(貼り付け用!$A$6&lt;&gt;"",
IF(ROW(F83)+2&gt;=MATCH("*【合計】*", 貼り付け用!$A:$A, 0),"",
IF(貼り付け用!F84&lt;&gt;"",貼り付け用!F84,"")),
IF(ROW(F84)+2&gt;=MATCH("*【合計】*", 貼り付け用!$A:$A, 0),"",
IF(貼り付け用!F85&lt;&gt;"",貼り付け用!F85,"")))</f>
        <v>#N/A</v>
      </c>
      <c r="G84" s="19" t="e">
        <f>IF(貼り付け用!$A$6&lt;&gt;"",
IF(ROW(G83)+2&gt;=MATCH("*【合計】*", 貼り付け用!$A:$A, 0),"",
IF(貼り付け用!G84&lt;&gt;"",貼り付け用!G84,"")),
IF(ROW(G84)+2&gt;=MATCH("*【合計】*", 貼り付け用!$A:$A, 0),"",
IF(貼り付け用!G85&lt;&gt;"",貼り付け用!G85,"")))</f>
        <v>#N/A</v>
      </c>
      <c r="H84" s="19" t="e">
        <f>IF(貼り付け用!$A$6&lt;&gt;"",
IF(ROW(H83)+2&gt;=MATCH("*【合計】*", 貼り付け用!$A:$A, 0),"",
IF(貼り付け用!H84&lt;&gt;"",貼り付け用!H84,"")),
IF(ROW(H84)+2&gt;=MATCH("*【合計】*", 貼り付け用!$A:$A, 0),"",
IF(貼り付け用!H85&lt;&gt;"",貼り付け用!H85,"")))</f>
        <v>#N/A</v>
      </c>
      <c r="I84" s="19" t="e">
        <f>IF(貼り付け用!$A$6&lt;&gt;"",
IF(ROW(I83)+2&gt;=MATCH("*【合計】*", 貼り付け用!$A:$A, 0),"",
IF(貼り付け用!I84&lt;&gt;"",貼り付け用!I84,"")),
IF(ROW(I84)+2&gt;=MATCH("*【合計】*", 貼り付け用!$A:$A, 0),"",
IF(貼り付け用!I85&lt;&gt;"",貼り付け用!I85,"")))</f>
        <v>#N/A</v>
      </c>
      <c r="J84" s="19" t="e">
        <f>IF(貼り付け用!$A$6&lt;&gt;"",
IF(ROW(J83)+2&gt;=MATCH("*【合計】*", 貼り付け用!$A:$A, 0),"",
IF(貼り付け用!J84&lt;&gt;"",貼り付け用!J84,"")),
IF(ROW(J84)+2&gt;=MATCH("*【合計】*", 貼り付け用!$A:$A, 0),"",
IF(貼り付け用!J85&lt;&gt;"",貼り付け用!J85,"")))</f>
        <v>#N/A</v>
      </c>
      <c r="K84" s="19" t="e">
        <f>IF(貼り付け用!$A$6&lt;&gt;"",
IF(ROW(K83)+2&gt;=MATCH("*【合計】*", 貼り付け用!$A:$A, 0),"",
IF(貼り付け用!K84&lt;&gt;"",貼り付け用!K84,"")),
IF(ROW(K84)+2&gt;=MATCH("*【合計】*", 貼り付け用!$A:$A, 0),"",
IF(貼り付け用!K85&lt;&gt;"",貼り付け用!K85,"")))</f>
        <v>#N/A</v>
      </c>
      <c r="L84" s="19" t="e">
        <f>IF(貼り付け用!$A$6&lt;&gt;"",
IF(ROW(L83)+2&gt;=MATCH("*【合計】*", 貼り付け用!$A:$A, 0),"",
IF(L$3&lt;&gt;"",IF(貼り付け用!L84&lt;&gt;"",貼り付け用!L84,""),"")),
IF(ROW(L84)+2&gt;=MATCH("*【合計】*", 貼り付け用!$A:$A, 0),"",
IF(L$3&lt;&gt;"",IF(貼り付け用!L85&lt;&gt;"",貼り付け用!L85,""),"")))</f>
        <v>#N/A</v>
      </c>
      <c r="M84" s="19" t="e">
        <f>IF(貼り付け用!$A$6&lt;&gt;"",
IF(ROW(M83)+2&gt;=MATCH("*【合計】*", 貼り付け用!$A:$A, 0),"",
IF(M$3&lt;&gt;"",IF(貼り付け用!M84&lt;&gt;"",貼り付け用!M84,""),"")),
IF(ROW(M84)+2&gt;=MATCH("*【合計】*", 貼り付け用!$A:$A, 0),"",
IF(M$3&lt;&gt;"",IF(貼り付け用!M85&lt;&gt;"",貼り付け用!M85,""),"")))</f>
        <v>#N/A</v>
      </c>
      <c r="N84" s="19" t="e">
        <f>IF(貼り付け用!$A$6&lt;&gt;"",
IF(ROW(N83)+2&gt;=MATCH("*【合計】*", 貼り付け用!$A:$A, 0),"",
IF(N$3&lt;&gt;"",IF(貼り付け用!N84&lt;&gt;"",貼り付け用!N84,""),"")),
IF(ROW(N84)+2&gt;=MATCH("*【合計】*", 貼り付け用!$A:$A, 0),"",
IF(N$3&lt;&gt;"",IF(貼り付け用!N85&lt;&gt;"",貼り付け用!N85,""),"")))</f>
        <v>#N/A</v>
      </c>
      <c r="O84" s="19" t="e">
        <f>IF(貼り付け用!$A$6&lt;&gt;"",
IF(ROW(O83)+2&gt;=MATCH("*【合計】*", 貼り付け用!$A:$A, 0),"",
IF(O$3&lt;&gt;"",IF(貼り付け用!O84&lt;&gt;"",貼り付け用!O84,""),"")),
IF(ROW(O84)+2&gt;=MATCH("*【合計】*", 貼り付け用!$A:$A, 0),"",
IF(O$3&lt;&gt;"",IF(貼り付け用!O85&lt;&gt;"",貼り付け用!O85,""),"")))</f>
        <v>#N/A</v>
      </c>
      <c r="P84" s="19" t="e">
        <f>IF(貼り付け用!$A$6&lt;&gt;"",
IF(ROW(P83)+2&gt;=MATCH("*【合計】*", 貼り付け用!$A:$A, 0),"",
IF(P$3&lt;&gt;"",IF(貼り付け用!P84&lt;&gt;"",貼り付け用!P84,""),"")),
IF(ROW(P84)+2&gt;=MATCH("*【合計】*", 貼り付け用!$A:$A, 0),"",
IF(P$3&lt;&gt;"",IF(貼り付け用!P85&lt;&gt;"",貼り付け用!P85,""),"")))</f>
        <v>#N/A</v>
      </c>
      <c r="Q84" s="19" t="e">
        <f>IF(貼り付け用!$A$6&lt;&gt;"",
IF(ROW(Q83)+2&gt;=MATCH("*【合計】*", 貼り付け用!$A:$A, 0),"",
IF(Q$3&lt;&gt;"",IF(貼り付け用!Q84&lt;&gt;"",貼り付け用!Q84,""),"")),
IF(ROW(Q84)+2&gt;=MATCH("*【合計】*", 貼り付け用!$A:$A, 0),"",
IF(Q$3&lt;&gt;"",IF(貼り付け用!Q85&lt;&gt;"",貼り付け用!Q85,""),"")))</f>
        <v>#N/A</v>
      </c>
      <c r="R84" s="19" t="e">
        <f>IF(貼り付け用!$A$6&lt;&gt;"",
IF(ROW(R83)+2&gt;=MATCH("*【合計】*", 貼り付け用!$A:$A, 0),"",
IF(R$3&lt;&gt;"",IF(貼り付け用!R84&lt;&gt;"",貼り付け用!R84,""),"")),
IF(ROW(R84)+2&gt;=MATCH("*【合計】*", 貼り付け用!$A:$A, 0),"",
IF(R$3&lt;&gt;"",IF(貼り付け用!R85&lt;&gt;"",貼り付け用!R85,""),"")))</f>
        <v>#N/A</v>
      </c>
      <c r="S84" s="19" t="e">
        <f>IF(貼り付け用!$A$6&lt;&gt;"",
IF(ROW(S83)+2&gt;=MATCH("*【合計】*", 貼り付け用!$A:$A, 0),"",
IF(S$3&lt;&gt;"",IF(貼り付け用!S84&lt;&gt;"",貼り付け用!S84,""),"")),
IF(ROW(S84)+2&gt;=MATCH("*【合計】*", 貼り付け用!$A:$A, 0),"",
IF(S$3&lt;&gt;"",IF(貼り付け用!S85&lt;&gt;"",貼り付け用!S85,""),"")))</f>
        <v>#N/A</v>
      </c>
      <c r="T84" s="19" t="e">
        <f t="array" ref="T84">IF(貼り付け用!$A$6&lt;&gt;"",
IF(INDEX(貼り付け用!A:Z, ROW(T83)+1, MATCH("おやつ", 貼り付け用!$A$3:$Z$3, 0))&lt;&gt;0,
INDEX(貼り付け用!A:Z, ROW(T83)+1, MATCH("おやつ", 貼り付け用!$A$3:$Z$3, 0)),""),
IF(INDEX(貼り付け用!A:Z, ROW(T84)+1, MATCH("おやつ", 貼り付け用!$A$3:$Z$3, 0))&lt;&gt;0,
INDEX(貼り付け用!A:Z, ROW(T84)+1, MATCH("おやつ", 貼り付け用!$A$3:$Z$3, 0)),""))</f>
        <v>#N/A</v>
      </c>
      <c r="U84" s="16"/>
      <c r="V84" s="5" t="e">
        <f t="array" ref="V84">IF(貼り付け用!$A$6&lt;&gt;"",
IF(INDEX(貼り付け用!A:Z, ROW(T83)+1, MATCH("おやつ", 貼り付け用!$A$3:$Z$3, 0)+1)&lt;&gt;0,
INDEX(貼り付け用!A:Z, ROW(T83)+1, MATCH("おやつ", 貼り付け用!$A$3:$Z$3, 0)+1),""),
IF(INDEX(貼り付け用!A:Z, ROW(T84)+1, MATCH("おやつ", 貼り付け用!$A$3:$Z$3, 0)+1)&lt;&gt;0,
INDEX(貼り付け用!A:Z, ROW(T84)+1, MATCH("おやつ", 貼り付け用!$A$3:$Z$3, 0)+1),""))</f>
        <v>#N/A</v>
      </c>
      <c r="W84" s="7" t="e">
        <f t="array" ref="W84">IF(貼り付け用!$A$6&lt;&gt;"",
IF(INDEX(貼り付け用!A:Z, ROW(T83)+1, MATCH("おやつ", 貼り付け用!$A$3:$Z$3, 0)+2)&lt;&gt;0,
INDEX(貼り付け用!A:Z, ROW(T83)+1, MATCH("おやつ", 貼り付け用!$A$3:$Z$3, 0)+2),""),
IF(INDEX(貼り付け用!A:Z, ROW(T84)+1, MATCH("おやつ", 貼り付け用!$A$3:$Z$3, 0)+2)&lt;&gt;0,
INDEX(貼り付け用!A:Z, ROW(T84)+1, MATCH("おやつ", 貼り付け用!$A$3:$Z$3, 0)+2),""))</f>
        <v>#N/A</v>
      </c>
    </row>
    <row r="85" spans="1:23" x14ac:dyDescent="0.45">
      <c r="A85" s="10" t="e">
        <f>IF(貼り付け用!$A$6&lt;&gt;"",
IF(ROW(A84)+1&gt;=MATCH("*10000*", 貼り付け用!$A:$A, 0),"",
IF(貼り付け用!A85&lt;&gt;"",貼り付け用!A85,"")),
IF(ROW(A85)+1&gt;=MATCH("*10000*", 貼り付け用!$A:$A, 0),"",
IF(貼り付け用!A86&lt;&gt;"",貼り付け用!A86,"")))</f>
        <v>#N/A</v>
      </c>
      <c r="B85" s="3" t="e">
        <f>IF(貼り付け用!$A$6&lt;&gt;"",
IF(ROW(B84)+2&gt;=MATCH("*【合計】*", 貼り付け用!$A:$A, 0),"",
IF(貼り付け用!B85&lt;&gt;"",貼り付け用!B85,"")),
IF(ROW(B85)+2&gt;=MATCH("*【合計】*", 貼り付け用!$A:$A, 0),"",
IF(貼り付け用!B86&lt;&gt;"",貼り付け用!B86,"")))</f>
        <v>#N/A</v>
      </c>
      <c r="C85" s="3" t="e">
        <f>IF(貼り付け用!$A$6&lt;&gt;"",
IF(ROW(C84)+2&gt;=MATCH("*【合計】*", 貼り付け用!$A:$A, 0),"",
IF(貼り付け用!C85&lt;&gt;"",貼り付け用!C85,"")),
IF(ROW(C85)+2&gt;=MATCH("*【合計】*", 貼り付け用!$A:$A, 0),"",
IF(貼り付け用!C86&lt;&gt;"",貼り付け用!C86,"")))</f>
        <v>#N/A</v>
      </c>
      <c r="D85" s="3" t="e">
        <f>IF(貼り付け用!$A$6&lt;&gt;"",
IF(ROW(D84)+2&gt;=MATCH("*【合計】*", 貼り付け用!$A:$A, 0),"",
IF(貼り付け用!D85&lt;&gt;"",貼り付け用!D85,"")),
IF(ROW(D85)+2&gt;=MATCH("*【合計】*", 貼り付け用!$A:$A, 0),"",
IF(貼り付け用!D86&lt;&gt;"",貼り付け用!D86,"")))</f>
        <v>#N/A</v>
      </c>
      <c r="E85" s="3" t="e">
        <f>IF(貼り付け用!$A$6&lt;&gt;"",
IF(ROW(E84)+2&gt;=MATCH("*【合計】*", 貼り付け用!$A:$A, 0),"",
IF(貼り付け用!E85&lt;&gt;"",貼り付け用!E85,"")),
IF(ROW(E85)+2&gt;=MATCH("*【合計】*", 貼り付け用!$A:$A, 0),"",
IF(貼り付け用!E86&lt;&gt;"",貼り付け用!E86,"")))</f>
        <v>#N/A</v>
      </c>
      <c r="F85" s="3" t="e">
        <f>IF(貼り付け用!$A$6&lt;&gt;"",
IF(ROW(F84)+2&gt;=MATCH("*【合計】*", 貼り付け用!$A:$A, 0),"",
IF(貼り付け用!F85&lt;&gt;"",貼り付け用!F85,"")),
IF(ROW(F85)+2&gt;=MATCH("*【合計】*", 貼り付け用!$A:$A, 0),"",
IF(貼り付け用!F86&lt;&gt;"",貼り付け用!F86,"")))</f>
        <v>#N/A</v>
      </c>
      <c r="G85" s="3" t="e">
        <f>IF(貼り付け用!$A$6&lt;&gt;"",
IF(ROW(G84)+2&gt;=MATCH("*【合計】*", 貼り付け用!$A:$A, 0),"",
IF(貼り付け用!G85&lt;&gt;"",貼り付け用!G85,"")),
IF(ROW(G85)+2&gt;=MATCH("*【合計】*", 貼り付け用!$A:$A, 0),"",
IF(貼り付け用!G86&lt;&gt;"",貼り付け用!G86,"")))</f>
        <v>#N/A</v>
      </c>
      <c r="H85" s="3" t="e">
        <f>IF(貼り付け用!$A$6&lt;&gt;"",
IF(ROW(H84)+2&gt;=MATCH("*【合計】*", 貼り付け用!$A:$A, 0),"",
IF(貼り付け用!H85&lt;&gt;"",貼り付け用!H85,"")),
IF(ROW(H85)+2&gt;=MATCH("*【合計】*", 貼り付け用!$A:$A, 0),"",
IF(貼り付け用!H86&lt;&gt;"",貼り付け用!H86,"")))</f>
        <v>#N/A</v>
      </c>
      <c r="I85" s="3" t="e">
        <f>IF(貼り付け用!$A$6&lt;&gt;"",
IF(ROW(I84)+2&gt;=MATCH("*【合計】*", 貼り付け用!$A:$A, 0),"",
IF(貼り付け用!I85&lt;&gt;"",貼り付け用!I85,"")),
IF(ROW(I85)+2&gt;=MATCH("*【合計】*", 貼り付け用!$A:$A, 0),"",
IF(貼り付け用!I86&lt;&gt;"",貼り付け用!I86,"")))</f>
        <v>#N/A</v>
      </c>
      <c r="J85" s="3" t="e">
        <f>IF(貼り付け用!$A$6&lt;&gt;"",
IF(ROW(J84)+2&gt;=MATCH("*【合計】*", 貼り付け用!$A:$A, 0),"",
IF(貼り付け用!J85&lt;&gt;"",貼り付け用!J85,"")),
IF(ROW(J85)+2&gt;=MATCH("*【合計】*", 貼り付け用!$A:$A, 0),"",
IF(貼り付け用!J86&lt;&gt;"",貼り付け用!J86,"")))</f>
        <v>#N/A</v>
      </c>
      <c r="K85" s="3" t="e">
        <f>IF(貼り付け用!$A$6&lt;&gt;"",
IF(ROW(K84)+2&gt;=MATCH("*【合計】*", 貼り付け用!$A:$A, 0),"",
IF(貼り付け用!K85&lt;&gt;"",貼り付け用!K85,"")),
IF(ROW(K85)+2&gt;=MATCH("*【合計】*", 貼り付け用!$A:$A, 0),"",
IF(貼り付け用!K86&lt;&gt;"",貼り付け用!K86,"")))</f>
        <v>#N/A</v>
      </c>
      <c r="L85" s="3" t="e">
        <f>IF(貼り付け用!$A$6&lt;&gt;"",
IF(ROW(L84)+2&gt;=MATCH("*【合計】*", 貼り付け用!$A:$A, 0),"",
IF(L$3&lt;&gt;"",IF(貼り付け用!L85&lt;&gt;"",貼り付け用!L85,""),"")),
IF(ROW(L85)+2&gt;=MATCH("*【合計】*", 貼り付け用!$A:$A, 0),"",
IF(L$3&lt;&gt;"",IF(貼り付け用!L86&lt;&gt;"",貼り付け用!L86,""),"")))</f>
        <v>#N/A</v>
      </c>
      <c r="M85" s="3" t="e">
        <f>IF(貼り付け用!$A$6&lt;&gt;"",
IF(ROW(M84)+2&gt;=MATCH("*【合計】*", 貼り付け用!$A:$A, 0),"",
IF(M$3&lt;&gt;"",IF(貼り付け用!M85&lt;&gt;"",貼り付け用!M85,""),"")),
IF(ROW(M85)+2&gt;=MATCH("*【合計】*", 貼り付け用!$A:$A, 0),"",
IF(M$3&lt;&gt;"",IF(貼り付け用!M86&lt;&gt;"",貼り付け用!M86,""),"")))</f>
        <v>#N/A</v>
      </c>
      <c r="N85" s="3" t="e">
        <f>IF(貼り付け用!$A$6&lt;&gt;"",
IF(ROW(N84)+2&gt;=MATCH("*【合計】*", 貼り付け用!$A:$A, 0),"",
IF(N$3&lt;&gt;"",IF(貼り付け用!N85&lt;&gt;"",貼り付け用!N85,""),"")),
IF(ROW(N85)+2&gt;=MATCH("*【合計】*", 貼り付け用!$A:$A, 0),"",
IF(N$3&lt;&gt;"",IF(貼り付け用!N86&lt;&gt;"",貼り付け用!N86,""),"")))</f>
        <v>#N/A</v>
      </c>
      <c r="O85" s="3" t="e">
        <f>IF(貼り付け用!$A$6&lt;&gt;"",
IF(ROW(O84)+2&gt;=MATCH("*【合計】*", 貼り付け用!$A:$A, 0),"",
IF(O$3&lt;&gt;"",IF(貼り付け用!O85&lt;&gt;"",貼り付け用!O85,""),"")),
IF(ROW(O85)+2&gt;=MATCH("*【合計】*", 貼り付け用!$A:$A, 0),"",
IF(O$3&lt;&gt;"",IF(貼り付け用!O86&lt;&gt;"",貼り付け用!O86,""),"")))</f>
        <v>#N/A</v>
      </c>
      <c r="P85" s="3" t="e">
        <f>IF(貼り付け用!$A$6&lt;&gt;"",
IF(ROW(P84)+2&gt;=MATCH("*【合計】*", 貼り付け用!$A:$A, 0),"",
IF(P$3&lt;&gt;"",IF(貼り付け用!P85&lt;&gt;"",貼り付け用!P85,""),"")),
IF(ROW(P85)+2&gt;=MATCH("*【合計】*", 貼り付け用!$A:$A, 0),"",
IF(P$3&lt;&gt;"",IF(貼り付け用!P86&lt;&gt;"",貼り付け用!P86,""),"")))</f>
        <v>#N/A</v>
      </c>
      <c r="Q85" s="3" t="e">
        <f>IF(貼り付け用!$A$6&lt;&gt;"",
IF(ROW(Q84)+2&gt;=MATCH("*【合計】*", 貼り付け用!$A:$A, 0),"",
IF(Q$3&lt;&gt;"",IF(貼り付け用!Q85&lt;&gt;"",貼り付け用!Q85,""),"")),
IF(ROW(Q85)+2&gt;=MATCH("*【合計】*", 貼り付け用!$A:$A, 0),"",
IF(Q$3&lt;&gt;"",IF(貼り付け用!Q86&lt;&gt;"",貼り付け用!Q86,""),"")))</f>
        <v>#N/A</v>
      </c>
      <c r="R85" s="3" t="e">
        <f>IF(貼り付け用!$A$6&lt;&gt;"",
IF(ROW(R84)+2&gt;=MATCH("*【合計】*", 貼り付け用!$A:$A, 0),"",
IF(R$3&lt;&gt;"",IF(貼り付け用!R85&lt;&gt;"",貼り付け用!R85,""),"")),
IF(ROW(R85)+2&gt;=MATCH("*【合計】*", 貼り付け用!$A:$A, 0),"",
IF(R$3&lt;&gt;"",IF(貼り付け用!R86&lt;&gt;"",貼り付け用!R86,""),"")))</f>
        <v>#N/A</v>
      </c>
      <c r="S85" s="3" t="e">
        <f>IF(貼り付け用!$A$6&lt;&gt;"",
IF(ROW(S84)+2&gt;=MATCH("*【合計】*", 貼り付け用!$A:$A, 0),"",
IF(S$3&lt;&gt;"",IF(貼り付け用!S85&lt;&gt;"",貼り付け用!S85,""),"")),
IF(ROW(S85)+2&gt;=MATCH("*【合計】*", 貼り付け用!$A:$A, 0),"",
IF(S$3&lt;&gt;"",IF(貼り付け用!S86&lt;&gt;"",貼り付け用!S86,""),"")))</f>
        <v>#N/A</v>
      </c>
      <c r="T85" s="2" t="e">
        <f t="array" ref="T85">IF(貼り付け用!$A$6&lt;&gt;"",
IF(INDEX(貼り付け用!A:Z, ROW(T84)+1, MATCH("おやつ", 貼り付け用!$A$3:$Z$3, 0))&lt;&gt;0,
INDEX(貼り付け用!A:Z, ROW(T84)+1, MATCH("おやつ", 貼り付け用!$A$3:$Z$3, 0)),""),
IF(INDEX(貼り付け用!A:Z, ROW(T85)+1, MATCH("おやつ", 貼り付け用!$A$3:$Z$3, 0))&lt;&gt;0,
INDEX(貼り付け用!A:Z, ROW(T85)+1, MATCH("おやつ", 貼り付け用!$A$3:$Z$3, 0)),""))</f>
        <v>#N/A</v>
      </c>
      <c r="U85" s="52"/>
      <c r="V85" s="8" t="e">
        <f t="array" ref="V85">IF(貼り付け用!$A$6&lt;&gt;"",
IF(INDEX(貼り付け用!A:Z, ROW(T84)+1, MATCH("おやつ", 貼り付け用!$A$3:$Z$3, 0)+1)&lt;&gt;0,
INDEX(貼り付け用!A:Z, ROW(T84)+1, MATCH("おやつ", 貼り付け用!$A$3:$Z$3, 0)+1),""),
IF(INDEX(貼り付け用!A:Z, ROW(T85)+1, MATCH("おやつ", 貼り付け用!$A$3:$Z$3, 0)+1)&lt;&gt;0,
INDEX(貼り付け用!A:Z, ROW(T85)+1, MATCH("おやつ", 貼り付け用!$A$3:$Z$3, 0)+1),""))</f>
        <v>#N/A</v>
      </c>
      <c r="W85" s="9" t="e">
        <f t="array" ref="W85">IF(貼り付け用!$A$6&lt;&gt;"",
IF(INDEX(貼り付け用!A:Z, ROW(T84)+1, MATCH("おやつ", 貼り付け用!$A$3:$Z$3, 0)+2)&lt;&gt;0,
INDEX(貼り付け用!A:Z, ROW(T84)+1, MATCH("おやつ", 貼り付け用!$A$3:$Z$3, 0)+2),""),
IF(INDEX(貼り付け用!A:Z, ROW(T85)+1, MATCH("おやつ", 貼り付け用!$A$3:$Z$3, 0)+2)&lt;&gt;0,
INDEX(貼り付け用!A:Z, ROW(T85)+1, MATCH("おやつ", 貼り付け用!$A$3:$Z$3, 0)+2),""))</f>
        <v>#N/A</v>
      </c>
    </row>
    <row r="86" spans="1:23" x14ac:dyDescent="0.45">
      <c r="A86" s="4" t="e">
        <f>IF(貼り付け用!$A$6&lt;&gt;"",
IF(ROW(A85)+1&gt;=MATCH("*10000*", 貼り付け用!$A:$A, 0),
IF(COUNTIF(A84,"*10000*"),"10001",
IF(COUNTIF(A84,"*10001*"),"10002",
IF(COUNTIF(A84,"*10002*"),"",
IF(COUNTIF(A84,""),"","10000")))),
IF(貼り付け用!A86&lt;&gt;"",貼り付け用!A86,"")),
IF(ROW(A86)+1&gt;=MATCH("*10000*", 貼り付け用!$A:$A, 0),
IF(COUNTIF(A84,"*10000*"),"10001",
IF(COUNTIF(A84,"*10001*"),"10002",
IF(COUNTIF(A84,"*10002*"),"",
IF(COUNTIF(A84,""),"","10000")))),
IF(貼り付け用!A87&lt;&gt;"",貼り付け用!A87,"")))</f>
        <v>#N/A</v>
      </c>
      <c r="B86" s="19" t="e">
        <f>IF(貼り付け用!$A$6&lt;&gt;"",
IF(ROW(B85)+2&gt;=MATCH("*【合計】*", 貼り付け用!$A:$A, 0),"",
IF(貼り付け用!B86&lt;&gt;"",貼り付け用!B86,"")),
IF(ROW(B86)+2&gt;=MATCH("*【合計】*", 貼り付け用!$A:$A, 0),"",
IF(貼り付け用!B87&lt;&gt;"",貼り付け用!B87,"")))</f>
        <v>#N/A</v>
      </c>
      <c r="C86" s="19" t="e">
        <f>IF(貼り付け用!$A$6&lt;&gt;"",
IF(ROW(C85)+2&gt;=MATCH("*【合計】*", 貼り付け用!$A:$A, 0),"",
IF(貼り付け用!C86&lt;&gt;"",貼り付け用!C86,"")),
IF(ROW(C86)+2&gt;=MATCH("*【合計】*", 貼り付け用!$A:$A, 0),"",
IF(貼り付け用!C87&lt;&gt;"",貼り付け用!C87,"")))</f>
        <v>#N/A</v>
      </c>
      <c r="D86" s="19" t="e">
        <f>IF(貼り付け用!$A$6&lt;&gt;"",
IF(ROW(D85)+2&gt;=MATCH("*【合計】*", 貼り付け用!$A:$A, 0),"",
IF(貼り付け用!D86&lt;&gt;"",貼り付け用!D86,"")),
IF(ROW(D86)+2&gt;=MATCH("*【合計】*", 貼り付け用!$A:$A, 0),"",
IF(貼り付け用!D87&lt;&gt;"",貼り付け用!D87,"")))</f>
        <v>#N/A</v>
      </c>
      <c r="E86" s="19" t="e">
        <f>IF(貼り付け用!$A$6&lt;&gt;"",
IF(ROW(E85)+2&gt;=MATCH("*【合計】*", 貼り付け用!$A:$A, 0),"",
IF(貼り付け用!E86&lt;&gt;"",貼り付け用!E86,"")),
IF(ROW(E86)+2&gt;=MATCH("*【合計】*", 貼り付け用!$A:$A, 0),"",
IF(貼り付け用!E87&lt;&gt;"",貼り付け用!E87,"")))</f>
        <v>#N/A</v>
      </c>
      <c r="F86" s="19" t="e">
        <f>IF(貼り付け用!$A$6&lt;&gt;"",
IF(ROW(F85)+2&gt;=MATCH("*【合計】*", 貼り付け用!$A:$A, 0),"",
IF(貼り付け用!F86&lt;&gt;"",貼り付け用!F86,"")),
IF(ROW(F86)+2&gt;=MATCH("*【合計】*", 貼り付け用!$A:$A, 0),"",
IF(貼り付け用!F87&lt;&gt;"",貼り付け用!F87,"")))</f>
        <v>#N/A</v>
      </c>
      <c r="G86" s="19" t="e">
        <f>IF(貼り付け用!$A$6&lt;&gt;"",
IF(ROW(G85)+2&gt;=MATCH("*【合計】*", 貼り付け用!$A:$A, 0),"",
IF(貼り付け用!G86&lt;&gt;"",貼り付け用!G86,"")),
IF(ROW(G86)+2&gt;=MATCH("*【合計】*", 貼り付け用!$A:$A, 0),"",
IF(貼り付け用!G87&lt;&gt;"",貼り付け用!G87,"")))</f>
        <v>#N/A</v>
      </c>
      <c r="H86" s="19" t="e">
        <f>IF(貼り付け用!$A$6&lt;&gt;"",
IF(ROW(H85)+2&gt;=MATCH("*【合計】*", 貼り付け用!$A:$A, 0),"",
IF(貼り付け用!H86&lt;&gt;"",貼り付け用!H86,"")),
IF(ROW(H86)+2&gt;=MATCH("*【合計】*", 貼り付け用!$A:$A, 0),"",
IF(貼り付け用!H87&lt;&gt;"",貼り付け用!H87,"")))</f>
        <v>#N/A</v>
      </c>
      <c r="I86" s="19" t="e">
        <f>IF(貼り付け用!$A$6&lt;&gt;"",
IF(ROW(I85)+2&gt;=MATCH("*【合計】*", 貼り付け用!$A:$A, 0),"",
IF(貼り付け用!I86&lt;&gt;"",貼り付け用!I86,"")),
IF(ROW(I86)+2&gt;=MATCH("*【合計】*", 貼り付け用!$A:$A, 0),"",
IF(貼り付け用!I87&lt;&gt;"",貼り付け用!I87,"")))</f>
        <v>#N/A</v>
      </c>
      <c r="J86" s="19" t="e">
        <f>IF(貼り付け用!$A$6&lt;&gt;"",
IF(ROW(J85)+2&gt;=MATCH("*【合計】*", 貼り付け用!$A:$A, 0),"",
IF(貼り付け用!J86&lt;&gt;"",貼り付け用!J86,"")),
IF(ROW(J86)+2&gt;=MATCH("*【合計】*", 貼り付け用!$A:$A, 0),"",
IF(貼り付け用!J87&lt;&gt;"",貼り付け用!J87,"")))</f>
        <v>#N/A</v>
      </c>
      <c r="K86" s="19" t="e">
        <f>IF(貼り付け用!$A$6&lt;&gt;"",
IF(ROW(K85)+2&gt;=MATCH("*【合計】*", 貼り付け用!$A:$A, 0),"",
IF(貼り付け用!K86&lt;&gt;"",貼り付け用!K86,"")),
IF(ROW(K86)+2&gt;=MATCH("*【合計】*", 貼り付け用!$A:$A, 0),"",
IF(貼り付け用!K87&lt;&gt;"",貼り付け用!K87,"")))</f>
        <v>#N/A</v>
      </c>
      <c r="L86" s="19" t="e">
        <f>IF(貼り付け用!$A$6&lt;&gt;"",
IF(ROW(L85)+2&gt;=MATCH("*【合計】*", 貼り付け用!$A:$A, 0),"",
IF(L$3&lt;&gt;"",IF(貼り付け用!L86&lt;&gt;"",貼り付け用!L86,""),"")),
IF(ROW(L86)+2&gt;=MATCH("*【合計】*", 貼り付け用!$A:$A, 0),"",
IF(L$3&lt;&gt;"",IF(貼り付け用!L87&lt;&gt;"",貼り付け用!L87,""),"")))</f>
        <v>#N/A</v>
      </c>
      <c r="M86" s="19" t="e">
        <f>IF(貼り付け用!$A$6&lt;&gt;"",
IF(ROW(M85)+2&gt;=MATCH("*【合計】*", 貼り付け用!$A:$A, 0),"",
IF(M$3&lt;&gt;"",IF(貼り付け用!M86&lt;&gt;"",貼り付け用!M86,""),"")),
IF(ROW(M86)+2&gt;=MATCH("*【合計】*", 貼り付け用!$A:$A, 0),"",
IF(M$3&lt;&gt;"",IF(貼り付け用!M87&lt;&gt;"",貼り付け用!M87,""),"")))</f>
        <v>#N/A</v>
      </c>
      <c r="N86" s="19" t="e">
        <f>IF(貼り付け用!$A$6&lt;&gt;"",
IF(ROW(N85)+2&gt;=MATCH("*【合計】*", 貼り付け用!$A:$A, 0),"",
IF(N$3&lt;&gt;"",IF(貼り付け用!N86&lt;&gt;"",貼り付け用!N86,""),"")),
IF(ROW(N86)+2&gt;=MATCH("*【合計】*", 貼り付け用!$A:$A, 0),"",
IF(N$3&lt;&gt;"",IF(貼り付け用!N87&lt;&gt;"",貼り付け用!N87,""),"")))</f>
        <v>#N/A</v>
      </c>
      <c r="O86" s="19" t="e">
        <f>IF(貼り付け用!$A$6&lt;&gt;"",
IF(ROW(O85)+2&gt;=MATCH("*【合計】*", 貼り付け用!$A:$A, 0),"",
IF(O$3&lt;&gt;"",IF(貼り付け用!O86&lt;&gt;"",貼り付け用!O86,""),"")),
IF(ROW(O86)+2&gt;=MATCH("*【合計】*", 貼り付け用!$A:$A, 0),"",
IF(O$3&lt;&gt;"",IF(貼り付け用!O87&lt;&gt;"",貼り付け用!O87,""),"")))</f>
        <v>#N/A</v>
      </c>
      <c r="P86" s="19" t="e">
        <f>IF(貼り付け用!$A$6&lt;&gt;"",
IF(ROW(P85)+2&gt;=MATCH("*【合計】*", 貼り付け用!$A:$A, 0),"",
IF(P$3&lt;&gt;"",IF(貼り付け用!P86&lt;&gt;"",貼り付け用!P86,""),"")),
IF(ROW(P86)+2&gt;=MATCH("*【合計】*", 貼り付け用!$A:$A, 0),"",
IF(P$3&lt;&gt;"",IF(貼り付け用!P87&lt;&gt;"",貼り付け用!P87,""),"")))</f>
        <v>#N/A</v>
      </c>
      <c r="Q86" s="19" t="e">
        <f>IF(貼り付け用!$A$6&lt;&gt;"",
IF(ROW(Q85)+2&gt;=MATCH("*【合計】*", 貼り付け用!$A:$A, 0),"",
IF(Q$3&lt;&gt;"",IF(貼り付け用!Q86&lt;&gt;"",貼り付け用!Q86,""),"")),
IF(ROW(Q86)+2&gt;=MATCH("*【合計】*", 貼り付け用!$A:$A, 0),"",
IF(Q$3&lt;&gt;"",IF(貼り付け用!Q87&lt;&gt;"",貼り付け用!Q87,""),"")))</f>
        <v>#N/A</v>
      </c>
      <c r="R86" s="19" t="e">
        <f>IF(貼り付け用!$A$6&lt;&gt;"",
IF(ROW(R85)+2&gt;=MATCH("*【合計】*", 貼り付け用!$A:$A, 0),"",
IF(R$3&lt;&gt;"",IF(貼り付け用!R86&lt;&gt;"",貼り付け用!R86,""),"")),
IF(ROW(R86)+2&gt;=MATCH("*【合計】*", 貼り付け用!$A:$A, 0),"",
IF(R$3&lt;&gt;"",IF(貼り付け用!R87&lt;&gt;"",貼り付け用!R87,""),"")))</f>
        <v>#N/A</v>
      </c>
      <c r="S86" s="19" t="e">
        <f>IF(貼り付け用!$A$6&lt;&gt;"",
IF(ROW(S85)+2&gt;=MATCH("*【合計】*", 貼り付け用!$A:$A, 0),"",
IF(S$3&lt;&gt;"",IF(貼り付け用!S86&lt;&gt;"",貼り付け用!S86,""),"")),
IF(ROW(S86)+2&gt;=MATCH("*【合計】*", 貼り付け用!$A:$A, 0),"",
IF(S$3&lt;&gt;"",IF(貼り付け用!S87&lt;&gt;"",貼り付け用!S87,""),"")))</f>
        <v>#N/A</v>
      </c>
      <c r="T86" s="19" t="e">
        <f t="array" ref="T86">IF(貼り付け用!$A$6&lt;&gt;"",
IF(INDEX(貼り付け用!A:Z, ROW(T85)+1, MATCH("おやつ", 貼り付け用!$A$3:$Z$3, 0))&lt;&gt;0,
INDEX(貼り付け用!A:Z, ROW(T85)+1, MATCH("おやつ", 貼り付け用!$A$3:$Z$3, 0)),""),
IF(INDEX(貼り付け用!A:Z, ROW(T86)+1, MATCH("おやつ", 貼り付け用!$A$3:$Z$3, 0))&lt;&gt;0,
INDEX(貼り付け用!A:Z, ROW(T86)+1, MATCH("おやつ", 貼り付け用!$A$3:$Z$3, 0)),""))</f>
        <v>#N/A</v>
      </c>
      <c r="U86" s="16"/>
      <c r="V86" s="5" t="e">
        <f t="array" ref="V86">IF(貼り付け用!$A$6&lt;&gt;"",
IF(INDEX(貼り付け用!A:Z, ROW(T85)+1, MATCH("おやつ", 貼り付け用!$A$3:$Z$3, 0)+1)&lt;&gt;0,
INDEX(貼り付け用!A:Z, ROW(T85)+1, MATCH("おやつ", 貼り付け用!$A$3:$Z$3, 0)+1),""),
IF(INDEX(貼り付け用!A:Z, ROW(T86)+1, MATCH("おやつ", 貼り付け用!$A$3:$Z$3, 0)+1)&lt;&gt;0,
INDEX(貼り付け用!A:Z, ROW(T86)+1, MATCH("おやつ", 貼り付け用!$A$3:$Z$3, 0)+1),""))</f>
        <v>#N/A</v>
      </c>
      <c r="W86" s="7" t="e">
        <f t="array" ref="W86">IF(貼り付け用!$A$6&lt;&gt;"",
IF(INDEX(貼り付け用!A:Z, ROW(T85)+1, MATCH("おやつ", 貼り付け用!$A$3:$Z$3, 0)+2)&lt;&gt;0,
INDEX(貼り付け用!A:Z, ROW(T85)+1, MATCH("おやつ", 貼り付け用!$A$3:$Z$3, 0)+2),""),
IF(INDEX(貼り付け用!A:Z, ROW(T86)+1, MATCH("おやつ", 貼り付け用!$A$3:$Z$3, 0)+2)&lt;&gt;0,
INDEX(貼り付け用!A:Z, ROW(T86)+1, MATCH("おやつ", 貼り付け用!$A$3:$Z$3, 0)+2),""))</f>
        <v>#N/A</v>
      </c>
    </row>
    <row r="87" spans="1:23" x14ac:dyDescent="0.45">
      <c r="A87" s="10" t="e">
        <f>IF(貼り付け用!$A$6&lt;&gt;"",
IF(ROW(A86)+1&gt;=MATCH("*10000*", 貼り付け用!$A:$A, 0),"",
IF(貼り付け用!A87&lt;&gt;"",貼り付け用!A87,"")),
IF(ROW(A87)+1&gt;=MATCH("*10000*", 貼り付け用!$A:$A, 0),"",
IF(貼り付け用!A88&lt;&gt;"",貼り付け用!A88,"")))</f>
        <v>#N/A</v>
      </c>
      <c r="B87" s="3" t="e">
        <f>IF(貼り付け用!$A$6&lt;&gt;"",
IF(ROW(B86)+2&gt;=MATCH("*【合計】*", 貼り付け用!$A:$A, 0),"",
IF(貼り付け用!B87&lt;&gt;"",貼り付け用!B87,"")),
IF(ROW(B87)+2&gt;=MATCH("*【合計】*", 貼り付け用!$A:$A, 0),"",
IF(貼り付け用!B88&lt;&gt;"",貼り付け用!B88,"")))</f>
        <v>#N/A</v>
      </c>
      <c r="C87" s="3" t="e">
        <f>IF(貼り付け用!$A$6&lt;&gt;"",
IF(ROW(C86)+2&gt;=MATCH("*【合計】*", 貼り付け用!$A:$A, 0),"",
IF(貼り付け用!C87&lt;&gt;"",貼り付け用!C87,"")),
IF(ROW(C87)+2&gt;=MATCH("*【合計】*", 貼り付け用!$A:$A, 0),"",
IF(貼り付け用!C88&lt;&gt;"",貼り付け用!C88,"")))</f>
        <v>#N/A</v>
      </c>
      <c r="D87" s="3" t="e">
        <f>IF(貼り付け用!$A$6&lt;&gt;"",
IF(ROW(D86)+2&gt;=MATCH("*【合計】*", 貼り付け用!$A:$A, 0),"",
IF(貼り付け用!D87&lt;&gt;"",貼り付け用!D87,"")),
IF(ROW(D87)+2&gt;=MATCH("*【合計】*", 貼り付け用!$A:$A, 0),"",
IF(貼り付け用!D88&lt;&gt;"",貼り付け用!D88,"")))</f>
        <v>#N/A</v>
      </c>
      <c r="E87" s="3" t="e">
        <f>IF(貼り付け用!$A$6&lt;&gt;"",
IF(ROW(E86)+2&gt;=MATCH("*【合計】*", 貼り付け用!$A:$A, 0),"",
IF(貼り付け用!E87&lt;&gt;"",貼り付け用!E87,"")),
IF(ROW(E87)+2&gt;=MATCH("*【合計】*", 貼り付け用!$A:$A, 0),"",
IF(貼り付け用!E88&lt;&gt;"",貼り付け用!E88,"")))</f>
        <v>#N/A</v>
      </c>
      <c r="F87" s="3" t="e">
        <f>IF(貼り付け用!$A$6&lt;&gt;"",
IF(ROW(F86)+2&gt;=MATCH("*【合計】*", 貼り付け用!$A:$A, 0),"",
IF(貼り付け用!F87&lt;&gt;"",貼り付け用!F87,"")),
IF(ROW(F87)+2&gt;=MATCH("*【合計】*", 貼り付け用!$A:$A, 0),"",
IF(貼り付け用!F88&lt;&gt;"",貼り付け用!F88,"")))</f>
        <v>#N/A</v>
      </c>
      <c r="G87" s="3" t="e">
        <f>IF(貼り付け用!$A$6&lt;&gt;"",
IF(ROW(G86)+2&gt;=MATCH("*【合計】*", 貼り付け用!$A:$A, 0),"",
IF(貼り付け用!G87&lt;&gt;"",貼り付け用!G87,"")),
IF(ROW(G87)+2&gt;=MATCH("*【合計】*", 貼り付け用!$A:$A, 0),"",
IF(貼り付け用!G88&lt;&gt;"",貼り付け用!G88,"")))</f>
        <v>#N/A</v>
      </c>
      <c r="H87" s="3" t="e">
        <f>IF(貼り付け用!$A$6&lt;&gt;"",
IF(ROW(H86)+2&gt;=MATCH("*【合計】*", 貼り付け用!$A:$A, 0),"",
IF(貼り付け用!H87&lt;&gt;"",貼り付け用!H87,"")),
IF(ROW(H87)+2&gt;=MATCH("*【合計】*", 貼り付け用!$A:$A, 0),"",
IF(貼り付け用!H88&lt;&gt;"",貼り付け用!H88,"")))</f>
        <v>#N/A</v>
      </c>
      <c r="I87" s="3" t="e">
        <f>IF(貼り付け用!$A$6&lt;&gt;"",
IF(ROW(I86)+2&gt;=MATCH("*【合計】*", 貼り付け用!$A:$A, 0),"",
IF(貼り付け用!I87&lt;&gt;"",貼り付け用!I87,"")),
IF(ROW(I87)+2&gt;=MATCH("*【合計】*", 貼り付け用!$A:$A, 0),"",
IF(貼り付け用!I88&lt;&gt;"",貼り付け用!I88,"")))</f>
        <v>#N/A</v>
      </c>
      <c r="J87" s="3" t="e">
        <f>IF(貼り付け用!$A$6&lt;&gt;"",
IF(ROW(J86)+2&gt;=MATCH("*【合計】*", 貼り付け用!$A:$A, 0),"",
IF(貼り付け用!J87&lt;&gt;"",貼り付け用!J87,"")),
IF(ROW(J87)+2&gt;=MATCH("*【合計】*", 貼り付け用!$A:$A, 0),"",
IF(貼り付け用!J88&lt;&gt;"",貼り付け用!J88,"")))</f>
        <v>#N/A</v>
      </c>
      <c r="K87" s="3" t="e">
        <f>IF(貼り付け用!$A$6&lt;&gt;"",
IF(ROW(K86)+2&gt;=MATCH("*【合計】*", 貼り付け用!$A:$A, 0),"",
IF(貼り付け用!K87&lt;&gt;"",貼り付け用!K87,"")),
IF(ROW(K87)+2&gt;=MATCH("*【合計】*", 貼り付け用!$A:$A, 0),"",
IF(貼り付け用!K88&lt;&gt;"",貼り付け用!K88,"")))</f>
        <v>#N/A</v>
      </c>
      <c r="L87" s="3" t="e">
        <f>IF(貼り付け用!$A$6&lt;&gt;"",
IF(ROW(L86)+2&gt;=MATCH("*【合計】*", 貼り付け用!$A:$A, 0),"",
IF(L$3&lt;&gt;"",IF(貼り付け用!L87&lt;&gt;"",貼り付け用!L87,""),"")),
IF(ROW(L87)+2&gt;=MATCH("*【合計】*", 貼り付け用!$A:$A, 0),"",
IF(L$3&lt;&gt;"",IF(貼り付け用!L88&lt;&gt;"",貼り付け用!L88,""),"")))</f>
        <v>#N/A</v>
      </c>
      <c r="M87" s="3" t="e">
        <f>IF(貼り付け用!$A$6&lt;&gt;"",
IF(ROW(M86)+2&gt;=MATCH("*【合計】*", 貼り付け用!$A:$A, 0),"",
IF(M$3&lt;&gt;"",IF(貼り付け用!M87&lt;&gt;"",貼り付け用!M87,""),"")),
IF(ROW(M87)+2&gt;=MATCH("*【合計】*", 貼り付け用!$A:$A, 0),"",
IF(M$3&lt;&gt;"",IF(貼り付け用!M88&lt;&gt;"",貼り付け用!M88,""),"")))</f>
        <v>#N/A</v>
      </c>
      <c r="N87" s="3" t="e">
        <f>IF(貼り付け用!$A$6&lt;&gt;"",
IF(ROW(N86)+2&gt;=MATCH("*【合計】*", 貼り付け用!$A:$A, 0),"",
IF(N$3&lt;&gt;"",IF(貼り付け用!N87&lt;&gt;"",貼り付け用!N87,""),"")),
IF(ROW(N87)+2&gt;=MATCH("*【合計】*", 貼り付け用!$A:$A, 0),"",
IF(N$3&lt;&gt;"",IF(貼り付け用!N88&lt;&gt;"",貼り付け用!N88,""),"")))</f>
        <v>#N/A</v>
      </c>
      <c r="O87" s="3" t="e">
        <f>IF(貼り付け用!$A$6&lt;&gt;"",
IF(ROW(O86)+2&gt;=MATCH("*【合計】*", 貼り付け用!$A:$A, 0),"",
IF(O$3&lt;&gt;"",IF(貼り付け用!O87&lt;&gt;"",貼り付け用!O87,""),"")),
IF(ROW(O87)+2&gt;=MATCH("*【合計】*", 貼り付け用!$A:$A, 0),"",
IF(O$3&lt;&gt;"",IF(貼り付け用!O88&lt;&gt;"",貼り付け用!O88,""),"")))</f>
        <v>#N/A</v>
      </c>
      <c r="P87" s="3" t="e">
        <f>IF(貼り付け用!$A$6&lt;&gt;"",
IF(ROW(P86)+2&gt;=MATCH("*【合計】*", 貼り付け用!$A:$A, 0),"",
IF(P$3&lt;&gt;"",IF(貼り付け用!P87&lt;&gt;"",貼り付け用!P87,""),"")),
IF(ROW(P87)+2&gt;=MATCH("*【合計】*", 貼り付け用!$A:$A, 0),"",
IF(P$3&lt;&gt;"",IF(貼り付け用!P88&lt;&gt;"",貼り付け用!P88,""),"")))</f>
        <v>#N/A</v>
      </c>
      <c r="Q87" s="3" t="e">
        <f>IF(貼り付け用!$A$6&lt;&gt;"",
IF(ROW(Q86)+2&gt;=MATCH("*【合計】*", 貼り付け用!$A:$A, 0),"",
IF(Q$3&lt;&gt;"",IF(貼り付け用!Q87&lt;&gt;"",貼り付け用!Q87,""),"")),
IF(ROW(Q87)+2&gt;=MATCH("*【合計】*", 貼り付け用!$A:$A, 0),"",
IF(Q$3&lt;&gt;"",IF(貼り付け用!Q88&lt;&gt;"",貼り付け用!Q88,""),"")))</f>
        <v>#N/A</v>
      </c>
      <c r="R87" s="3" t="e">
        <f>IF(貼り付け用!$A$6&lt;&gt;"",
IF(ROW(R86)+2&gt;=MATCH("*【合計】*", 貼り付け用!$A:$A, 0),"",
IF(R$3&lt;&gt;"",IF(貼り付け用!R87&lt;&gt;"",貼り付け用!R87,""),"")),
IF(ROW(R87)+2&gt;=MATCH("*【合計】*", 貼り付け用!$A:$A, 0),"",
IF(R$3&lt;&gt;"",IF(貼り付け用!R88&lt;&gt;"",貼り付け用!R88,""),"")))</f>
        <v>#N/A</v>
      </c>
      <c r="S87" s="3" t="e">
        <f>IF(貼り付け用!$A$6&lt;&gt;"",
IF(ROW(S86)+2&gt;=MATCH("*【合計】*", 貼り付け用!$A:$A, 0),"",
IF(S$3&lt;&gt;"",IF(貼り付け用!S87&lt;&gt;"",貼り付け用!S87,""),"")),
IF(ROW(S87)+2&gt;=MATCH("*【合計】*", 貼り付け用!$A:$A, 0),"",
IF(S$3&lt;&gt;"",IF(貼り付け用!S88&lt;&gt;"",貼り付け用!S88,""),"")))</f>
        <v>#N/A</v>
      </c>
      <c r="T87" s="2" t="e">
        <f t="array" ref="T87">IF(貼り付け用!$A$6&lt;&gt;"",
IF(INDEX(貼り付け用!A:Z, ROW(T86)+1, MATCH("おやつ", 貼り付け用!$A$3:$Z$3, 0))&lt;&gt;0,
INDEX(貼り付け用!A:Z, ROW(T86)+1, MATCH("おやつ", 貼り付け用!$A$3:$Z$3, 0)),""),
IF(INDEX(貼り付け用!A:Z, ROW(T87)+1, MATCH("おやつ", 貼り付け用!$A$3:$Z$3, 0))&lt;&gt;0,
INDEX(貼り付け用!A:Z, ROW(T87)+1, MATCH("おやつ", 貼り付け用!$A$3:$Z$3, 0)),""))</f>
        <v>#N/A</v>
      </c>
      <c r="U87" s="52"/>
      <c r="V87" s="8" t="e">
        <f t="array" ref="V87">IF(貼り付け用!$A$6&lt;&gt;"",
IF(INDEX(貼り付け用!A:Z, ROW(T86)+1, MATCH("おやつ", 貼り付け用!$A$3:$Z$3, 0)+1)&lt;&gt;0,
INDEX(貼り付け用!A:Z, ROW(T86)+1, MATCH("おやつ", 貼り付け用!$A$3:$Z$3, 0)+1),""),
IF(INDEX(貼り付け用!A:Z, ROW(T87)+1, MATCH("おやつ", 貼り付け用!$A$3:$Z$3, 0)+1)&lt;&gt;0,
INDEX(貼り付け用!A:Z, ROW(T87)+1, MATCH("おやつ", 貼り付け用!$A$3:$Z$3, 0)+1),""))</f>
        <v>#N/A</v>
      </c>
      <c r="W87" s="9" t="e">
        <f t="array" ref="W87">IF(貼り付け用!$A$6&lt;&gt;"",
IF(INDEX(貼り付け用!A:Z, ROW(T86)+1, MATCH("おやつ", 貼り付け用!$A$3:$Z$3, 0)+2)&lt;&gt;0,
INDEX(貼り付け用!A:Z, ROW(T86)+1, MATCH("おやつ", 貼り付け用!$A$3:$Z$3, 0)+2),""),
IF(INDEX(貼り付け用!A:Z, ROW(T87)+1, MATCH("おやつ", 貼り付け用!$A$3:$Z$3, 0)+2)&lt;&gt;0,
INDEX(貼り付け用!A:Z, ROW(T87)+1, MATCH("おやつ", 貼り付け用!$A$3:$Z$3, 0)+2),""))</f>
        <v>#N/A</v>
      </c>
    </row>
    <row r="88" spans="1:23" x14ac:dyDescent="0.45">
      <c r="A88" s="4" t="e">
        <f>IF(貼り付け用!$A$6&lt;&gt;"",
IF(ROW(A87)+1&gt;=MATCH("*10000*", 貼り付け用!$A:$A, 0),
IF(COUNTIF(A86,"*10000*"),"10001",
IF(COUNTIF(A86,"*10001*"),"10002",
IF(COUNTIF(A86,"*10002*"),"",
IF(COUNTIF(A86,""),"","10000")))),
IF(貼り付け用!A88&lt;&gt;"",貼り付け用!A88,"")),
IF(ROW(A88)+1&gt;=MATCH("*10000*", 貼り付け用!$A:$A, 0),
IF(COUNTIF(A86,"*10000*"),"10001",
IF(COUNTIF(A86,"*10001*"),"10002",
IF(COUNTIF(A86,"*10002*"),"",
IF(COUNTIF(A86,""),"","10000")))),
IF(貼り付け用!A89&lt;&gt;"",貼り付け用!A89,"")))</f>
        <v>#N/A</v>
      </c>
      <c r="B88" s="19" t="e">
        <f>IF(貼り付け用!$A$6&lt;&gt;"",
IF(ROW(B87)+2&gt;=MATCH("*【合計】*", 貼り付け用!$A:$A, 0),"",
IF(貼り付け用!B88&lt;&gt;"",貼り付け用!B88,"")),
IF(ROW(B88)+2&gt;=MATCH("*【合計】*", 貼り付け用!$A:$A, 0),"",
IF(貼り付け用!B89&lt;&gt;"",貼り付け用!B89,"")))</f>
        <v>#N/A</v>
      </c>
      <c r="C88" s="19" t="e">
        <f>IF(貼り付け用!$A$6&lt;&gt;"",
IF(ROW(C87)+2&gt;=MATCH("*【合計】*", 貼り付け用!$A:$A, 0),"",
IF(貼り付け用!C88&lt;&gt;"",貼り付け用!C88,"")),
IF(ROW(C88)+2&gt;=MATCH("*【合計】*", 貼り付け用!$A:$A, 0),"",
IF(貼り付け用!C89&lt;&gt;"",貼り付け用!C89,"")))</f>
        <v>#N/A</v>
      </c>
      <c r="D88" s="19" t="e">
        <f>IF(貼り付け用!$A$6&lt;&gt;"",
IF(ROW(D87)+2&gt;=MATCH("*【合計】*", 貼り付け用!$A:$A, 0),"",
IF(貼り付け用!D88&lt;&gt;"",貼り付け用!D88,"")),
IF(ROW(D88)+2&gt;=MATCH("*【合計】*", 貼り付け用!$A:$A, 0),"",
IF(貼り付け用!D89&lt;&gt;"",貼り付け用!D89,"")))</f>
        <v>#N/A</v>
      </c>
      <c r="E88" s="19" t="e">
        <f>IF(貼り付け用!$A$6&lt;&gt;"",
IF(ROW(E87)+2&gt;=MATCH("*【合計】*", 貼り付け用!$A:$A, 0),"",
IF(貼り付け用!E88&lt;&gt;"",貼り付け用!E88,"")),
IF(ROW(E88)+2&gt;=MATCH("*【合計】*", 貼り付け用!$A:$A, 0),"",
IF(貼り付け用!E89&lt;&gt;"",貼り付け用!E89,"")))</f>
        <v>#N/A</v>
      </c>
      <c r="F88" s="19" t="e">
        <f>IF(貼り付け用!$A$6&lt;&gt;"",
IF(ROW(F87)+2&gt;=MATCH("*【合計】*", 貼り付け用!$A:$A, 0),"",
IF(貼り付け用!F88&lt;&gt;"",貼り付け用!F88,"")),
IF(ROW(F88)+2&gt;=MATCH("*【合計】*", 貼り付け用!$A:$A, 0),"",
IF(貼り付け用!F89&lt;&gt;"",貼り付け用!F89,"")))</f>
        <v>#N/A</v>
      </c>
      <c r="G88" s="19" t="e">
        <f>IF(貼り付け用!$A$6&lt;&gt;"",
IF(ROW(G87)+2&gt;=MATCH("*【合計】*", 貼り付け用!$A:$A, 0),"",
IF(貼り付け用!G88&lt;&gt;"",貼り付け用!G88,"")),
IF(ROW(G88)+2&gt;=MATCH("*【合計】*", 貼り付け用!$A:$A, 0),"",
IF(貼り付け用!G89&lt;&gt;"",貼り付け用!G89,"")))</f>
        <v>#N/A</v>
      </c>
      <c r="H88" s="19" t="e">
        <f>IF(貼り付け用!$A$6&lt;&gt;"",
IF(ROW(H87)+2&gt;=MATCH("*【合計】*", 貼り付け用!$A:$A, 0),"",
IF(貼り付け用!H88&lt;&gt;"",貼り付け用!H88,"")),
IF(ROW(H88)+2&gt;=MATCH("*【合計】*", 貼り付け用!$A:$A, 0),"",
IF(貼り付け用!H89&lt;&gt;"",貼り付け用!H89,"")))</f>
        <v>#N/A</v>
      </c>
      <c r="I88" s="19" t="e">
        <f>IF(貼り付け用!$A$6&lt;&gt;"",
IF(ROW(I87)+2&gt;=MATCH("*【合計】*", 貼り付け用!$A:$A, 0),"",
IF(貼り付け用!I88&lt;&gt;"",貼り付け用!I88,"")),
IF(ROW(I88)+2&gt;=MATCH("*【合計】*", 貼り付け用!$A:$A, 0),"",
IF(貼り付け用!I89&lt;&gt;"",貼り付け用!I89,"")))</f>
        <v>#N/A</v>
      </c>
      <c r="J88" s="19" t="e">
        <f>IF(貼り付け用!$A$6&lt;&gt;"",
IF(ROW(J87)+2&gt;=MATCH("*【合計】*", 貼り付け用!$A:$A, 0),"",
IF(貼り付け用!J88&lt;&gt;"",貼り付け用!J88,"")),
IF(ROW(J88)+2&gt;=MATCH("*【合計】*", 貼り付け用!$A:$A, 0),"",
IF(貼り付け用!J89&lt;&gt;"",貼り付け用!J89,"")))</f>
        <v>#N/A</v>
      </c>
      <c r="K88" s="19" t="e">
        <f>IF(貼り付け用!$A$6&lt;&gt;"",
IF(ROW(K87)+2&gt;=MATCH("*【合計】*", 貼り付け用!$A:$A, 0),"",
IF(貼り付け用!K88&lt;&gt;"",貼り付け用!K88,"")),
IF(ROW(K88)+2&gt;=MATCH("*【合計】*", 貼り付け用!$A:$A, 0),"",
IF(貼り付け用!K89&lt;&gt;"",貼り付け用!K89,"")))</f>
        <v>#N/A</v>
      </c>
      <c r="L88" s="19" t="e">
        <f>IF(貼り付け用!$A$6&lt;&gt;"",
IF(ROW(L87)+2&gt;=MATCH("*【合計】*", 貼り付け用!$A:$A, 0),"",
IF(L$3&lt;&gt;"",IF(貼り付け用!L88&lt;&gt;"",貼り付け用!L88,""),"")),
IF(ROW(L88)+2&gt;=MATCH("*【合計】*", 貼り付け用!$A:$A, 0),"",
IF(L$3&lt;&gt;"",IF(貼り付け用!L89&lt;&gt;"",貼り付け用!L89,""),"")))</f>
        <v>#N/A</v>
      </c>
      <c r="M88" s="19" t="e">
        <f>IF(貼り付け用!$A$6&lt;&gt;"",
IF(ROW(M87)+2&gt;=MATCH("*【合計】*", 貼り付け用!$A:$A, 0),"",
IF(M$3&lt;&gt;"",IF(貼り付け用!M88&lt;&gt;"",貼り付け用!M88,""),"")),
IF(ROW(M88)+2&gt;=MATCH("*【合計】*", 貼り付け用!$A:$A, 0),"",
IF(M$3&lt;&gt;"",IF(貼り付け用!M89&lt;&gt;"",貼り付け用!M89,""),"")))</f>
        <v>#N/A</v>
      </c>
      <c r="N88" s="19" t="e">
        <f>IF(貼り付け用!$A$6&lt;&gt;"",
IF(ROW(N87)+2&gt;=MATCH("*【合計】*", 貼り付け用!$A:$A, 0),"",
IF(N$3&lt;&gt;"",IF(貼り付け用!N88&lt;&gt;"",貼り付け用!N88,""),"")),
IF(ROW(N88)+2&gt;=MATCH("*【合計】*", 貼り付け用!$A:$A, 0),"",
IF(N$3&lt;&gt;"",IF(貼り付け用!N89&lt;&gt;"",貼り付け用!N89,""),"")))</f>
        <v>#N/A</v>
      </c>
      <c r="O88" s="19" t="e">
        <f>IF(貼り付け用!$A$6&lt;&gt;"",
IF(ROW(O87)+2&gt;=MATCH("*【合計】*", 貼り付け用!$A:$A, 0),"",
IF(O$3&lt;&gt;"",IF(貼り付け用!O88&lt;&gt;"",貼り付け用!O88,""),"")),
IF(ROW(O88)+2&gt;=MATCH("*【合計】*", 貼り付け用!$A:$A, 0),"",
IF(O$3&lt;&gt;"",IF(貼り付け用!O89&lt;&gt;"",貼り付け用!O89,""),"")))</f>
        <v>#N/A</v>
      </c>
      <c r="P88" s="19" t="e">
        <f>IF(貼り付け用!$A$6&lt;&gt;"",
IF(ROW(P87)+2&gt;=MATCH("*【合計】*", 貼り付け用!$A:$A, 0),"",
IF(P$3&lt;&gt;"",IF(貼り付け用!P88&lt;&gt;"",貼り付け用!P88,""),"")),
IF(ROW(P88)+2&gt;=MATCH("*【合計】*", 貼り付け用!$A:$A, 0),"",
IF(P$3&lt;&gt;"",IF(貼り付け用!P89&lt;&gt;"",貼り付け用!P89,""),"")))</f>
        <v>#N/A</v>
      </c>
      <c r="Q88" s="19" t="e">
        <f>IF(貼り付け用!$A$6&lt;&gt;"",
IF(ROW(Q87)+2&gt;=MATCH("*【合計】*", 貼り付け用!$A:$A, 0),"",
IF(Q$3&lt;&gt;"",IF(貼り付け用!Q88&lt;&gt;"",貼り付け用!Q88,""),"")),
IF(ROW(Q88)+2&gt;=MATCH("*【合計】*", 貼り付け用!$A:$A, 0),"",
IF(Q$3&lt;&gt;"",IF(貼り付け用!Q89&lt;&gt;"",貼り付け用!Q89,""),"")))</f>
        <v>#N/A</v>
      </c>
      <c r="R88" s="19" t="e">
        <f>IF(貼り付け用!$A$6&lt;&gt;"",
IF(ROW(R87)+2&gt;=MATCH("*【合計】*", 貼り付け用!$A:$A, 0),"",
IF(R$3&lt;&gt;"",IF(貼り付け用!R88&lt;&gt;"",貼り付け用!R88,""),"")),
IF(ROW(R88)+2&gt;=MATCH("*【合計】*", 貼り付け用!$A:$A, 0),"",
IF(R$3&lt;&gt;"",IF(貼り付け用!R89&lt;&gt;"",貼り付け用!R89,""),"")))</f>
        <v>#N/A</v>
      </c>
      <c r="S88" s="19" t="e">
        <f>IF(貼り付け用!$A$6&lt;&gt;"",
IF(ROW(S87)+2&gt;=MATCH("*【合計】*", 貼り付け用!$A:$A, 0),"",
IF(S$3&lt;&gt;"",IF(貼り付け用!S88&lt;&gt;"",貼り付け用!S88,""),"")),
IF(ROW(S88)+2&gt;=MATCH("*【合計】*", 貼り付け用!$A:$A, 0),"",
IF(S$3&lt;&gt;"",IF(貼り付け用!S89&lt;&gt;"",貼り付け用!S89,""),"")))</f>
        <v>#N/A</v>
      </c>
      <c r="T88" s="19" t="e">
        <f t="array" ref="T88">IF(貼り付け用!$A$6&lt;&gt;"",
IF(INDEX(貼り付け用!A:Z, ROW(T87)+1, MATCH("おやつ", 貼り付け用!$A$3:$Z$3, 0))&lt;&gt;0,
INDEX(貼り付け用!A:Z, ROW(T87)+1, MATCH("おやつ", 貼り付け用!$A$3:$Z$3, 0)),""),
IF(INDEX(貼り付け用!A:Z, ROW(T88)+1, MATCH("おやつ", 貼り付け用!$A$3:$Z$3, 0))&lt;&gt;0,
INDEX(貼り付け用!A:Z, ROW(T88)+1, MATCH("おやつ", 貼り付け用!$A$3:$Z$3, 0)),""))</f>
        <v>#N/A</v>
      </c>
      <c r="U88" s="16"/>
      <c r="V88" s="5" t="e">
        <f t="array" ref="V88">IF(貼り付け用!$A$6&lt;&gt;"",
IF(INDEX(貼り付け用!A:Z, ROW(T87)+1, MATCH("おやつ", 貼り付け用!$A$3:$Z$3, 0)+1)&lt;&gt;0,
INDEX(貼り付け用!A:Z, ROW(T87)+1, MATCH("おやつ", 貼り付け用!$A$3:$Z$3, 0)+1),""),
IF(INDEX(貼り付け用!A:Z, ROW(T88)+1, MATCH("おやつ", 貼り付け用!$A$3:$Z$3, 0)+1)&lt;&gt;0,
INDEX(貼り付け用!A:Z, ROW(T88)+1, MATCH("おやつ", 貼り付け用!$A$3:$Z$3, 0)+1),""))</f>
        <v>#N/A</v>
      </c>
      <c r="W88" s="7" t="e">
        <f t="array" ref="W88">IF(貼り付け用!$A$6&lt;&gt;"",
IF(INDEX(貼り付け用!A:Z, ROW(T87)+1, MATCH("おやつ", 貼り付け用!$A$3:$Z$3, 0)+2)&lt;&gt;0,
INDEX(貼り付け用!A:Z, ROW(T87)+1, MATCH("おやつ", 貼り付け用!$A$3:$Z$3, 0)+2),""),
IF(INDEX(貼り付け用!A:Z, ROW(T88)+1, MATCH("おやつ", 貼り付け用!$A$3:$Z$3, 0)+2)&lt;&gt;0,
INDEX(貼り付け用!A:Z, ROW(T88)+1, MATCH("おやつ", 貼り付け用!$A$3:$Z$3, 0)+2),""))</f>
        <v>#N/A</v>
      </c>
    </row>
    <row r="89" spans="1:23" x14ac:dyDescent="0.45">
      <c r="A89" s="10" t="e">
        <f>IF(貼り付け用!$A$6&lt;&gt;"",
IF(ROW(A88)+1&gt;=MATCH("*10000*", 貼り付け用!$A:$A, 0),"",
IF(貼り付け用!A89&lt;&gt;"",貼り付け用!A89,"")),
IF(ROW(A89)+1&gt;=MATCH("*10000*", 貼り付け用!$A:$A, 0),"",
IF(貼り付け用!A90&lt;&gt;"",貼り付け用!A90,"")))</f>
        <v>#N/A</v>
      </c>
      <c r="B89" s="3" t="e">
        <f>IF(貼り付け用!$A$6&lt;&gt;"",
IF(ROW(B88)+2&gt;=MATCH("*【合計】*", 貼り付け用!$A:$A, 0),"",
IF(貼り付け用!B89&lt;&gt;"",貼り付け用!B89,"")),
IF(ROW(B89)+2&gt;=MATCH("*【合計】*", 貼り付け用!$A:$A, 0),"",
IF(貼り付け用!B90&lt;&gt;"",貼り付け用!B90,"")))</f>
        <v>#N/A</v>
      </c>
      <c r="C89" s="3" t="e">
        <f>IF(貼り付け用!$A$6&lt;&gt;"",
IF(ROW(C88)+2&gt;=MATCH("*【合計】*", 貼り付け用!$A:$A, 0),"",
IF(貼り付け用!C89&lt;&gt;"",貼り付け用!C89,"")),
IF(ROW(C89)+2&gt;=MATCH("*【合計】*", 貼り付け用!$A:$A, 0),"",
IF(貼り付け用!C90&lt;&gt;"",貼り付け用!C90,"")))</f>
        <v>#N/A</v>
      </c>
      <c r="D89" s="3" t="e">
        <f>IF(貼り付け用!$A$6&lt;&gt;"",
IF(ROW(D88)+2&gt;=MATCH("*【合計】*", 貼り付け用!$A:$A, 0),"",
IF(貼り付け用!D89&lt;&gt;"",貼り付け用!D89,"")),
IF(ROW(D89)+2&gt;=MATCH("*【合計】*", 貼り付け用!$A:$A, 0),"",
IF(貼り付け用!D90&lt;&gt;"",貼り付け用!D90,"")))</f>
        <v>#N/A</v>
      </c>
      <c r="E89" s="3" t="e">
        <f>IF(貼り付け用!$A$6&lt;&gt;"",
IF(ROW(E88)+2&gt;=MATCH("*【合計】*", 貼り付け用!$A:$A, 0),"",
IF(貼り付け用!E89&lt;&gt;"",貼り付け用!E89,"")),
IF(ROW(E89)+2&gt;=MATCH("*【合計】*", 貼り付け用!$A:$A, 0),"",
IF(貼り付け用!E90&lt;&gt;"",貼り付け用!E90,"")))</f>
        <v>#N/A</v>
      </c>
      <c r="F89" s="3" t="e">
        <f>IF(貼り付け用!$A$6&lt;&gt;"",
IF(ROW(F88)+2&gt;=MATCH("*【合計】*", 貼り付け用!$A:$A, 0),"",
IF(貼り付け用!F89&lt;&gt;"",貼り付け用!F89,"")),
IF(ROW(F89)+2&gt;=MATCH("*【合計】*", 貼り付け用!$A:$A, 0),"",
IF(貼り付け用!F90&lt;&gt;"",貼り付け用!F90,"")))</f>
        <v>#N/A</v>
      </c>
      <c r="G89" s="3" t="e">
        <f>IF(貼り付け用!$A$6&lt;&gt;"",
IF(ROW(G88)+2&gt;=MATCH("*【合計】*", 貼り付け用!$A:$A, 0),"",
IF(貼り付け用!G89&lt;&gt;"",貼り付け用!G89,"")),
IF(ROW(G89)+2&gt;=MATCH("*【合計】*", 貼り付け用!$A:$A, 0),"",
IF(貼り付け用!G90&lt;&gt;"",貼り付け用!G90,"")))</f>
        <v>#N/A</v>
      </c>
      <c r="H89" s="3" t="e">
        <f>IF(貼り付け用!$A$6&lt;&gt;"",
IF(ROW(H88)+2&gt;=MATCH("*【合計】*", 貼り付け用!$A:$A, 0),"",
IF(貼り付け用!H89&lt;&gt;"",貼り付け用!H89,"")),
IF(ROW(H89)+2&gt;=MATCH("*【合計】*", 貼り付け用!$A:$A, 0),"",
IF(貼り付け用!H90&lt;&gt;"",貼り付け用!H90,"")))</f>
        <v>#N/A</v>
      </c>
      <c r="I89" s="3" t="e">
        <f>IF(貼り付け用!$A$6&lt;&gt;"",
IF(ROW(I88)+2&gt;=MATCH("*【合計】*", 貼り付け用!$A:$A, 0),"",
IF(貼り付け用!I89&lt;&gt;"",貼り付け用!I89,"")),
IF(ROW(I89)+2&gt;=MATCH("*【合計】*", 貼り付け用!$A:$A, 0),"",
IF(貼り付け用!I90&lt;&gt;"",貼り付け用!I90,"")))</f>
        <v>#N/A</v>
      </c>
      <c r="J89" s="3" t="e">
        <f>IF(貼り付け用!$A$6&lt;&gt;"",
IF(ROW(J88)+2&gt;=MATCH("*【合計】*", 貼り付け用!$A:$A, 0),"",
IF(貼り付け用!J89&lt;&gt;"",貼り付け用!J89,"")),
IF(ROW(J89)+2&gt;=MATCH("*【合計】*", 貼り付け用!$A:$A, 0),"",
IF(貼り付け用!J90&lt;&gt;"",貼り付け用!J90,"")))</f>
        <v>#N/A</v>
      </c>
      <c r="K89" s="3" t="e">
        <f>IF(貼り付け用!$A$6&lt;&gt;"",
IF(ROW(K88)+2&gt;=MATCH("*【合計】*", 貼り付け用!$A:$A, 0),"",
IF(貼り付け用!K89&lt;&gt;"",貼り付け用!K89,"")),
IF(ROW(K89)+2&gt;=MATCH("*【合計】*", 貼り付け用!$A:$A, 0),"",
IF(貼り付け用!K90&lt;&gt;"",貼り付け用!K90,"")))</f>
        <v>#N/A</v>
      </c>
      <c r="L89" s="3" t="e">
        <f>IF(貼り付け用!$A$6&lt;&gt;"",
IF(ROW(L88)+2&gt;=MATCH("*【合計】*", 貼り付け用!$A:$A, 0),"",
IF(L$3&lt;&gt;"",IF(貼り付け用!L89&lt;&gt;"",貼り付け用!L89,""),"")),
IF(ROW(L89)+2&gt;=MATCH("*【合計】*", 貼り付け用!$A:$A, 0),"",
IF(L$3&lt;&gt;"",IF(貼り付け用!L90&lt;&gt;"",貼り付け用!L90,""),"")))</f>
        <v>#N/A</v>
      </c>
      <c r="M89" s="3" t="e">
        <f>IF(貼り付け用!$A$6&lt;&gt;"",
IF(ROW(M88)+2&gt;=MATCH("*【合計】*", 貼り付け用!$A:$A, 0),"",
IF(M$3&lt;&gt;"",IF(貼り付け用!M89&lt;&gt;"",貼り付け用!M89,""),"")),
IF(ROW(M89)+2&gt;=MATCH("*【合計】*", 貼り付け用!$A:$A, 0),"",
IF(M$3&lt;&gt;"",IF(貼り付け用!M90&lt;&gt;"",貼り付け用!M90,""),"")))</f>
        <v>#N/A</v>
      </c>
      <c r="N89" s="3" t="e">
        <f>IF(貼り付け用!$A$6&lt;&gt;"",
IF(ROW(N88)+2&gt;=MATCH("*【合計】*", 貼り付け用!$A:$A, 0),"",
IF(N$3&lt;&gt;"",IF(貼り付け用!N89&lt;&gt;"",貼り付け用!N89,""),"")),
IF(ROW(N89)+2&gt;=MATCH("*【合計】*", 貼り付け用!$A:$A, 0),"",
IF(N$3&lt;&gt;"",IF(貼り付け用!N90&lt;&gt;"",貼り付け用!N90,""),"")))</f>
        <v>#N/A</v>
      </c>
      <c r="O89" s="3" t="e">
        <f>IF(貼り付け用!$A$6&lt;&gt;"",
IF(ROW(O88)+2&gt;=MATCH("*【合計】*", 貼り付け用!$A:$A, 0),"",
IF(O$3&lt;&gt;"",IF(貼り付け用!O89&lt;&gt;"",貼り付け用!O89,""),"")),
IF(ROW(O89)+2&gt;=MATCH("*【合計】*", 貼り付け用!$A:$A, 0),"",
IF(O$3&lt;&gt;"",IF(貼り付け用!O90&lt;&gt;"",貼り付け用!O90,""),"")))</f>
        <v>#N/A</v>
      </c>
      <c r="P89" s="3" t="e">
        <f>IF(貼り付け用!$A$6&lt;&gt;"",
IF(ROW(P88)+2&gt;=MATCH("*【合計】*", 貼り付け用!$A:$A, 0),"",
IF(P$3&lt;&gt;"",IF(貼り付け用!P89&lt;&gt;"",貼り付け用!P89,""),"")),
IF(ROW(P89)+2&gt;=MATCH("*【合計】*", 貼り付け用!$A:$A, 0),"",
IF(P$3&lt;&gt;"",IF(貼り付け用!P90&lt;&gt;"",貼り付け用!P90,""),"")))</f>
        <v>#N/A</v>
      </c>
      <c r="Q89" s="3" t="e">
        <f>IF(貼り付け用!$A$6&lt;&gt;"",
IF(ROW(Q88)+2&gt;=MATCH("*【合計】*", 貼り付け用!$A:$A, 0),"",
IF(Q$3&lt;&gt;"",IF(貼り付け用!Q89&lt;&gt;"",貼り付け用!Q89,""),"")),
IF(ROW(Q89)+2&gt;=MATCH("*【合計】*", 貼り付け用!$A:$A, 0),"",
IF(Q$3&lt;&gt;"",IF(貼り付け用!Q90&lt;&gt;"",貼り付け用!Q90,""),"")))</f>
        <v>#N/A</v>
      </c>
      <c r="R89" s="3" t="e">
        <f>IF(貼り付け用!$A$6&lt;&gt;"",
IF(ROW(R88)+2&gt;=MATCH("*【合計】*", 貼り付け用!$A:$A, 0),"",
IF(R$3&lt;&gt;"",IF(貼り付け用!R89&lt;&gt;"",貼り付け用!R89,""),"")),
IF(ROW(R89)+2&gt;=MATCH("*【合計】*", 貼り付け用!$A:$A, 0),"",
IF(R$3&lt;&gt;"",IF(貼り付け用!R90&lt;&gt;"",貼り付け用!R90,""),"")))</f>
        <v>#N/A</v>
      </c>
      <c r="S89" s="3" t="e">
        <f>IF(貼り付け用!$A$6&lt;&gt;"",
IF(ROW(S88)+2&gt;=MATCH("*【合計】*", 貼り付け用!$A:$A, 0),"",
IF(S$3&lt;&gt;"",IF(貼り付け用!S89&lt;&gt;"",貼り付け用!S89,""),"")),
IF(ROW(S89)+2&gt;=MATCH("*【合計】*", 貼り付け用!$A:$A, 0),"",
IF(S$3&lt;&gt;"",IF(貼り付け用!S90&lt;&gt;"",貼り付け用!S90,""),"")))</f>
        <v>#N/A</v>
      </c>
      <c r="T89" s="2" t="e">
        <f t="array" ref="T89">IF(貼り付け用!$A$6&lt;&gt;"",
IF(INDEX(貼り付け用!A:Z, ROW(T88)+1, MATCH("おやつ", 貼り付け用!$A$3:$Z$3, 0))&lt;&gt;0,
INDEX(貼り付け用!A:Z, ROW(T88)+1, MATCH("おやつ", 貼り付け用!$A$3:$Z$3, 0)),""),
IF(INDEX(貼り付け用!A:Z, ROW(T89)+1, MATCH("おやつ", 貼り付け用!$A$3:$Z$3, 0))&lt;&gt;0,
INDEX(貼り付け用!A:Z, ROW(T89)+1, MATCH("おやつ", 貼り付け用!$A$3:$Z$3, 0)),""))</f>
        <v>#N/A</v>
      </c>
      <c r="U89" s="52"/>
      <c r="V89" s="8" t="e">
        <f t="array" ref="V89">IF(貼り付け用!$A$6&lt;&gt;"",
IF(INDEX(貼り付け用!A:Z, ROW(T88)+1, MATCH("おやつ", 貼り付け用!$A$3:$Z$3, 0)+1)&lt;&gt;0,
INDEX(貼り付け用!A:Z, ROW(T88)+1, MATCH("おやつ", 貼り付け用!$A$3:$Z$3, 0)+1),""),
IF(INDEX(貼り付け用!A:Z, ROW(T89)+1, MATCH("おやつ", 貼り付け用!$A$3:$Z$3, 0)+1)&lt;&gt;0,
INDEX(貼り付け用!A:Z, ROW(T89)+1, MATCH("おやつ", 貼り付け用!$A$3:$Z$3, 0)+1),""))</f>
        <v>#N/A</v>
      </c>
      <c r="W89" s="9" t="e">
        <f t="array" ref="W89">IF(貼り付け用!$A$6&lt;&gt;"",
IF(INDEX(貼り付け用!A:Z, ROW(T88)+1, MATCH("おやつ", 貼り付け用!$A$3:$Z$3, 0)+2)&lt;&gt;0,
INDEX(貼り付け用!A:Z, ROW(T88)+1, MATCH("おやつ", 貼り付け用!$A$3:$Z$3, 0)+2),""),
IF(INDEX(貼り付け用!A:Z, ROW(T89)+1, MATCH("おやつ", 貼り付け用!$A$3:$Z$3, 0)+2)&lt;&gt;0,
INDEX(貼り付け用!A:Z, ROW(T89)+1, MATCH("おやつ", 貼り付け用!$A$3:$Z$3, 0)+2),""))</f>
        <v>#N/A</v>
      </c>
    </row>
    <row r="90" spans="1:23" x14ac:dyDescent="0.45">
      <c r="A90" s="4" t="e">
        <f>IF(貼り付け用!$A$6&lt;&gt;"",
IF(ROW(A89)+1&gt;=MATCH("*10000*", 貼り付け用!$A:$A, 0),
IF(COUNTIF(A88,"*10000*"),"10001",
IF(COUNTIF(A88,"*10001*"),"10002",
IF(COUNTIF(A88,"*10002*"),"",
IF(COUNTIF(A88,""),"","10000")))),
IF(貼り付け用!A90&lt;&gt;"",貼り付け用!A90,"")),
IF(ROW(A90)+1&gt;=MATCH("*10000*", 貼り付け用!$A:$A, 0),
IF(COUNTIF(A88,"*10000*"),"10001",
IF(COUNTIF(A88,"*10001*"),"10002",
IF(COUNTIF(A88,"*10002*"),"",
IF(COUNTIF(A88,""),"","10000")))),
IF(貼り付け用!A91&lt;&gt;"",貼り付け用!A91,"")))</f>
        <v>#N/A</v>
      </c>
      <c r="B90" s="19" t="e">
        <f>IF(貼り付け用!$A$6&lt;&gt;"",
IF(ROW(B89)+2&gt;=MATCH("*【合計】*", 貼り付け用!$A:$A, 0),"",
IF(貼り付け用!B90&lt;&gt;"",貼り付け用!B90,"")),
IF(ROW(B90)+2&gt;=MATCH("*【合計】*", 貼り付け用!$A:$A, 0),"",
IF(貼り付け用!B91&lt;&gt;"",貼り付け用!B91,"")))</f>
        <v>#N/A</v>
      </c>
      <c r="C90" s="19" t="e">
        <f>IF(貼り付け用!$A$6&lt;&gt;"",
IF(ROW(C89)+2&gt;=MATCH("*【合計】*", 貼り付け用!$A:$A, 0),"",
IF(貼り付け用!C90&lt;&gt;"",貼り付け用!C90,"")),
IF(ROW(C90)+2&gt;=MATCH("*【合計】*", 貼り付け用!$A:$A, 0),"",
IF(貼り付け用!C91&lt;&gt;"",貼り付け用!C91,"")))</f>
        <v>#N/A</v>
      </c>
      <c r="D90" s="19" t="e">
        <f>IF(貼り付け用!$A$6&lt;&gt;"",
IF(ROW(D89)+2&gt;=MATCH("*【合計】*", 貼り付け用!$A:$A, 0),"",
IF(貼り付け用!D90&lt;&gt;"",貼り付け用!D90,"")),
IF(ROW(D90)+2&gt;=MATCH("*【合計】*", 貼り付け用!$A:$A, 0),"",
IF(貼り付け用!D91&lt;&gt;"",貼り付け用!D91,"")))</f>
        <v>#N/A</v>
      </c>
      <c r="E90" s="19" t="e">
        <f>IF(貼り付け用!$A$6&lt;&gt;"",
IF(ROW(E89)+2&gt;=MATCH("*【合計】*", 貼り付け用!$A:$A, 0),"",
IF(貼り付け用!E90&lt;&gt;"",貼り付け用!E90,"")),
IF(ROW(E90)+2&gt;=MATCH("*【合計】*", 貼り付け用!$A:$A, 0),"",
IF(貼り付け用!E91&lt;&gt;"",貼り付け用!E91,"")))</f>
        <v>#N/A</v>
      </c>
      <c r="F90" s="19" t="e">
        <f>IF(貼り付け用!$A$6&lt;&gt;"",
IF(ROW(F89)+2&gt;=MATCH("*【合計】*", 貼り付け用!$A:$A, 0),"",
IF(貼り付け用!F90&lt;&gt;"",貼り付け用!F90,"")),
IF(ROW(F90)+2&gt;=MATCH("*【合計】*", 貼り付け用!$A:$A, 0),"",
IF(貼り付け用!F91&lt;&gt;"",貼り付け用!F91,"")))</f>
        <v>#N/A</v>
      </c>
      <c r="G90" s="19" t="e">
        <f>IF(貼り付け用!$A$6&lt;&gt;"",
IF(ROW(G89)+2&gt;=MATCH("*【合計】*", 貼り付け用!$A:$A, 0),"",
IF(貼り付け用!G90&lt;&gt;"",貼り付け用!G90,"")),
IF(ROW(G90)+2&gt;=MATCH("*【合計】*", 貼り付け用!$A:$A, 0),"",
IF(貼り付け用!G91&lt;&gt;"",貼り付け用!G91,"")))</f>
        <v>#N/A</v>
      </c>
      <c r="H90" s="19" t="e">
        <f>IF(貼り付け用!$A$6&lt;&gt;"",
IF(ROW(H89)+2&gt;=MATCH("*【合計】*", 貼り付け用!$A:$A, 0),"",
IF(貼り付け用!H90&lt;&gt;"",貼り付け用!H90,"")),
IF(ROW(H90)+2&gt;=MATCH("*【合計】*", 貼り付け用!$A:$A, 0),"",
IF(貼り付け用!H91&lt;&gt;"",貼り付け用!H91,"")))</f>
        <v>#N/A</v>
      </c>
      <c r="I90" s="19" t="e">
        <f>IF(貼り付け用!$A$6&lt;&gt;"",
IF(ROW(I89)+2&gt;=MATCH("*【合計】*", 貼り付け用!$A:$A, 0),"",
IF(貼り付け用!I90&lt;&gt;"",貼り付け用!I90,"")),
IF(ROW(I90)+2&gt;=MATCH("*【合計】*", 貼り付け用!$A:$A, 0),"",
IF(貼り付け用!I91&lt;&gt;"",貼り付け用!I91,"")))</f>
        <v>#N/A</v>
      </c>
      <c r="J90" s="19" t="e">
        <f>IF(貼り付け用!$A$6&lt;&gt;"",
IF(ROW(J89)+2&gt;=MATCH("*【合計】*", 貼り付け用!$A:$A, 0),"",
IF(貼り付け用!J90&lt;&gt;"",貼り付け用!J90,"")),
IF(ROW(J90)+2&gt;=MATCH("*【合計】*", 貼り付け用!$A:$A, 0),"",
IF(貼り付け用!J91&lt;&gt;"",貼り付け用!J91,"")))</f>
        <v>#N/A</v>
      </c>
      <c r="K90" s="19" t="e">
        <f>IF(貼り付け用!$A$6&lt;&gt;"",
IF(ROW(K89)+2&gt;=MATCH("*【合計】*", 貼り付け用!$A:$A, 0),"",
IF(貼り付け用!K90&lt;&gt;"",貼り付け用!K90,"")),
IF(ROW(K90)+2&gt;=MATCH("*【合計】*", 貼り付け用!$A:$A, 0),"",
IF(貼り付け用!K91&lt;&gt;"",貼り付け用!K91,"")))</f>
        <v>#N/A</v>
      </c>
      <c r="L90" s="19" t="e">
        <f>IF(貼り付け用!$A$6&lt;&gt;"",
IF(ROW(L89)+2&gt;=MATCH("*【合計】*", 貼り付け用!$A:$A, 0),"",
IF(L$3&lt;&gt;"",IF(貼り付け用!L90&lt;&gt;"",貼り付け用!L90,""),"")),
IF(ROW(L90)+2&gt;=MATCH("*【合計】*", 貼り付け用!$A:$A, 0),"",
IF(L$3&lt;&gt;"",IF(貼り付け用!L91&lt;&gt;"",貼り付け用!L91,""),"")))</f>
        <v>#N/A</v>
      </c>
      <c r="M90" s="19" t="e">
        <f>IF(貼り付け用!$A$6&lt;&gt;"",
IF(ROW(M89)+2&gt;=MATCH("*【合計】*", 貼り付け用!$A:$A, 0),"",
IF(M$3&lt;&gt;"",IF(貼り付け用!M90&lt;&gt;"",貼り付け用!M90,""),"")),
IF(ROW(M90)+2&gt;=MATCH("*【合計】*", 貼り付け用!$A:$A, 0),"",
IF(M$3&lt;&gt;"",IF(貼り付け用!M91&lt;&gt;"",貼り付け用!M91,""),"")))</f>
        <v>#N/A</v>
      </c>
      <c r="N90" s="19" t="e">
        <f>IF(貼り付け用!$A$6&lt;&gt;"",
IF(ROW(N89)+2&gt;=MATCH("*【合計】*", 貼り付け用!$A:$A, 0),"",
IF(N$3&lt;&gt;"",IF(貼り付け用!N90&lt;&gt;"",貼り付け用!N90,""),"")),
IF(ROW(N90)+2&gt;=MATCH("*【合計】*", 貼り付け用!$A:$A, 0),"",
IF(N$3&lt;&gt;"",IF(貼り付け用!N91&lt;&gt;"",貼り付け用!N91,""),"")))</f>
        <v>#N/A</v>
      </c>
      <c r="O90" s="19" t="e">
        <f>IF(貼り付け用!$A$6&lt;&gt;"",
IF(ROW(O89)+2&gt;=MATCH("*【合計】*", 貼り付け用!$A:$A, 0),"",
IF(O$3&lt;&gt;"",IF(貼り付け用!O90&lt;&gt;"",貼り付け用!O90,""),"")),
IF(ROW(O90)+2&gt;=MATCH("*【合計】*", 貼り付け用!$A:$A, 0),"",
IF(O$3&lt;&gt;"",IF(貼り付け用!O91&lt;&gt;"",貼り付け用!O91,""),"")))</f>
        <v>#N/A</v>
      </c>
      <c r="P90" s="19" t="e">
        <f>IF(貼り付け用!$A$6&lt;&gt;"",
IF(ROW(P89)+2&gt;=MATCH("*【合計】*", 貼り付け用!$A:$A, 0),"",
IF(P$3&lt;&gt;"",IF(貼り付け用!P90&lt;&gt;"",貼り付け用!P90,""),"")),
IF(ROW(P90)+2&gt;=MATCH("*【合計】*", 貼り付け用!$A:$A, 0),"",
IF(P$3&lt;&gt;"",IF(貼り付け用!P91&lt;&gt;"",貼り付け用!P91,""),"")))</f>
        <v>#N/A</v>
      </c>
      <c r="Q90" s="19" t="e">
        <f>IF(貼り付け用!$A$6&lt;&gt;"",
IF(ROW(Q89)+2&gt;=MATCH("*【合計】*", 貼り付け用!$A:$A, 0),"",
IF(Q$3&lt;&gt;"",IF(貼り付け用!Q90&lt;&gt;"",貼り付け用!Q90,""),"")),
IF(ROW(Q90)+2&gt;=MATCH("*【合計】*", 貼り付け用!$A:$A, 0),"",
IF(Q$3&lt;&gt;"",IF(貼り付け用!Q91&lt;&gt;"",貼り付け用!Q91,""),"")))</f>
        <v>#N/A</v>
      </c>
      <c r="R90" s="19" t="e">
        <f>IF(貼り付け用!$A$6&lt;&gt;"",
IF(ROW(R89)+2&gt;=MATCH("*【合計】*", 貼り付け用!$A:$A, 0),"",
IF(R$3&lt;&gt;"",IF(貼り付け用!R90&lt;&gt;"",貼り付け用!R90,""),"")),
IF(ROW(R90)+2&gt;=MATCH("*【合計】*", 貼り付け用!$A:$A, 0),"",
IF(R$3&lt;&gt;"",IF(貼り付け用!R91&lt;&gt;"",貼り付け用!R91,""),"")))</f>
        <v>#N/A</v>
      </c>
      <c r="S90" s="19" t="e">
        <f>IF(貼り付け用!$A$6&lt;&gt;"",
IF(ROW(S89)+2&gt;=MATCH("*【合計】*", 貼り付け用!$A:$A, 0),"",
IF(S$3&lt;&gt;"",IF(貼り付け用!S90&lt;&gt;"",貼り付け用!S90,""),"")),
IF(ROW(S90)+2&gt;=MATCH("*【合計】*", 貼り付け用!$A:$A, 0),"",
IF(S$3&lt;&gt;"",IF(貼り付け用!S91&lt;&gt;"",貼り付け用!S91,""),"")))</f>
        <v>#N/A</v>
      </c>
      <c r="T90" s="19" t="e">
        <f t="array" ref="T90">IF(貼り付け用!$A$6&lt;&gt;"",
IF(INDEX(貼り付け用!A:Z, ROW(T89)+1, MATCH("おやつ", 貼り付け用!$A$3:$Z$3, 0))&lt;&gt;0,
INDEX(貼り付け用!A:Z, ROW(T89)+1, MATCH("おやつ", 貼り付け用!$A$3:$Z$3, 0)),""),
IF(INDEX(貼り付け用!A:Z, ROW(T90)+1, MATCH("おやつ", 貼り付け用!$A$3:$Z$3, 0))&lt;&gt;0,
INDEX(貼り付け用!A:Z, ROW(T90)+1, MATCH("おやつ", 貼り付け用!$A$3:$Z$3, 0)),""))</f>
        <v>#N/A</v>
      </c>
      <c r="U90" s="16"/>
      <c r="V90" s="5" t="e">
        <f t="array" ref="V90">IF(貼り付け用!$A$6&lt;&gt;"",
IF(INDEX(貼り付け用!A:Z, ROW(T89)+1, MATCH("おやつ", 貼り付け用!$A$3:$Z$3, 0)+1)&lt;&gt;0,
INDEX(貼り付け用!A:Z, ROW(T89)+1, MATCH("おやつ", 貼り付け用!$A$3:$Z$3, 0)+1),""),
IF(INDEX(貼り付け用!A:Z, ROW(T90)+1, MATCH("おやつ", 貼り付け用!$A$3:$Z$3, 0)+1)&lt;&gt;0,
INDEX(貼り付け用!A:Z, ROW(T90)+1, MATCH("おやつ", 貼り付け用!$A$3:$Z$3, 0)+1),""))</f>
        <v>#N/A</v>
      </c>
      <c r="W90" s="7" t="e">
        <f t="array" ref="W90">IF(貼り付け用!$A$6&lt;&gt;"",
IF(INDEX(貼り付け用!A:Z, ROW(T89)+1, MATCH("おやつ", 貼り付け用!$A$3:$Z$3, 0)+2)&lt;&gt;0,
INDEX(貼り付け用!A:Z, ROW(T89)+1, MATCH("おやつ", 貼り付け用!$A$3:$Z$3, 0)+2),""),
IF(INDEX(貼り付け用!A:Z, ROW(T90)+1, MATCH("おやつ", 貼り付け用!$A$3:$Z$3, 0)+2)&lt;&gt;0,
INDEX(貼り付け用!A:Z, ROW(T90)+1, MATCH("おやつ", 貼り付け用!$A$3:$Z$3, 0)+2),""))</f>
        <v>#N/A</v>
      </c>
    </row>
    <row r="91" spans="1:23" x14ac:dyDescent="0.45">
      <c r="A91" s="10" t="e">
        <f>IF(貼り付け用!$A$6&lt;&gt;"",
IF(ROW(A90)+1&gt;=MATCH("*10000*", 貼り付け用!$A:$A, 0),"",
IF(貼り付け用!A91&lt;&gt;"",貼り付け用!A91,"")),
IF(ROW(A91)+1&gt;=MATCH("*10000*", 貼り付け用!$A:$A, 0),"",
IF(貼り付け用!A92&lt;&gt;"",貼り付け用!A92,"")))</f>
        <v>#N/A</v>
      </c>
      <c r="B91" s="3" t="e">
        <f>IF(貼り付け用!$A$6&lt;&gt;"",
IF(ROW(B90)+2&gt;=MATCH("*【合計】*", 貼り付け用!$A:$A, 0),"",
IF(貼り付け用!B91&lt;&gt;"",貼り付け用!B91,"")),
IF(ROW(B91)+2&gt;=MATCH("*【合計】*", 貼り付け用!$A:$A, 0),"",
IF(貼り付け用!B92&lt;&gt;"",貼り付け用!B92,"")))</f>
        <v>#N/A</v>
      </c>
      <c r="C91" s="3" t="e">
        <f>IF(貼り付け用!$A$6&lt;&gt;"",
IF(ROW(C90)+2&gt;=MATCH("*【合計】*", 貼り付け用!$A:$A, 0),"",
IF(貼り付け用!C91&lt;&gt;"",貼り付け用!C91,"")),
IF(ROW(C91)+2&gt;=MATCH("*【合計】*", 貼り付け用!$A:$A, 0),"",
IF(貼り付け用!C92&lt;&gt;"",貼り付け用!C92,"")))</f>
        <v>#N/A</v>
      </c>
      <c r="D91" s="3" t="e">
        <f>IF(貼り付け用!$A$6&lt;&gt;"",
IF(ROW(D90)+2&gt;=MATCH("*【合計】*", 貼り付け用!$A:$A, 0),"",
IF(貼り付け用!D91&lt;&gt;"",貼り付け用!D91,"")),
IF(ROW(D91)+2&gt;=MATCH("*【合計】*", 貼り付け用!$A:$A, 0),"",
IF(貼り付け用!D92&lt;&gt;"",貼り付け用!D92,"")))</f>
        <v>#N/A</v>
      </c>
      <c r="E91" s="3" t="e">
        <f>IF(貼り付け用!$A$6&lt;&gt;"",
IF(ROW(E90)+2&gt;=MATCH("*【合計】*", 貼り付け用!$A:$A, 0),"",
IF(貼り付け用!E91&lt;&gt;"",貼り付け用!E91,"")),
IF(ROW(E91)+2&gt;=MATCH("*【合計】*", 貼り付け用!$A:$A, 0),"",
IF(貼り付け用!E92&lt;&gt;"",貼り付け用!E92,"")))</f>
        <v>#N/A</v>
      </c>
      <c r="F91" s="3" t="e">
        <f>IF(貼り付け用!$A$6&lt;&gt;"",
IF(ROW(F90)+2&gt;=MATCH("*【合計】*", 貼り付け用!$A:$A, 0),"",
IF(貼り付け用!F91&lt;&gt;"",貼り付け用!F91,"")),
IF(ROW(F91)+2&gt;=MATCH("*【合計】*", 貼り付け用!$A:$A, 0),"",
IF(貼り付け用!F92&lt;&gt;"",貼り付け用!F92,"")))</f>
        <v>#N/A</v>
      </c>
      <c r="G91" s="3" t="e">
        <f>IF(貼り付け用!$A$6&lt;&gt;"",
IF(ROW(G90)+2&gt;=MATCH("*【合計】*", 貼り付け用!$A:$A, 0),"",
IF(貼り付け用!G91&lt;&gt;"",貼り付け用!G91,"")),
IF(ROW(G91)+2&gt;=MATCH("*【合計】*", 貼り付け用!$A:$A, 0),"",
IF(貼り付け用!G92&lt;&gt;"",貼り付け用!G92,"")))</f>
        <v>#N/A</v>
      </c>
      <c r="H91" s="3" t="e">
        <f>IF(貼り付け用!$A$6&lt;&gt;"",
IF(ROW(H90)+2&gt;=MATCH("*【合計】*", 貼り付け用!$A:$A, 0),"",
IF(貼り付け用!H91&lt;&gt;"",貼り付け用!H91,"")),
IF(ROW(H91)+2&gt;=MATCH("*【合計】*", 貼り付け用!$A:$A, 0),"",
IF(貼り付け用!H92&lt;&gt;"",貼り付け用!H92,"")))</f>
        <v>#N/A</v>
      </c>
      <c r="I91" s="3" t="e">
        <f>IF(貼り付け用!$A$6&lt;&gt;"",
IF(ROW(I90)+2&gt;=MATCH("*【合計】*", 貼り付け用!$A:$A, 0),"",
IF(貼り付け用!I91&lt;&gt;"",貼り付け用!I91,"")),
IF(ROW(I91)+2&gt;=MATCH("*【合計】*", 貼り付け用!$A:$A, 0),"",
IF(貼り付け用!I92&lt;&gt;"",貼り付け用!I92,"")))</f>
        <v>#N/A</v>
      </c>
      <c r="J91" s="3" t="e">
        <f>IF(貼り付け用!$A$6&lt;&gt;"",
IF(ROW(J90)+2&gt;=MATCH("*【合計】*", 貼り付け用!$A:$A, 0),"",
IF(貼り付け用!J91&lt;&gt;"",貼り付け用!J91,"")),
IF(ROW(J91)+2&gt;=MATCH("*【合計】*", 貼り付け用!$A:$A, 0),"",
IF(貼り付け用!J92&lt;&gt;"",貼り付け用!J92,"")))</f>
        <v>#N/A</v>
      </c>
      <c r="K91" s="3" t="e">
        <f>IF(貼り付け用!$A$6&lt;&gt;"",
IF(ROW(K90)+2&gt;=MATCH("*【合計】*", 貼り付け用!$A:$A, 0),"",
IF(貼り付け用!K91&lt;&gt;"",貼り付け用!K91,"")),
IF(ROW(K91)+2&gt;=MATCH("*【合計】*", 貼り付け用!$A:$A, 0),"",
IF(貼り付け用!K92&lt;&gt;"",貼り付け用!K92,"")))</f>
        <v>#N/A</v>
      </c>
      <c r="L91" s="3" t="e">
        <f>IF(貼り付け用!$A$6&lt;&gt;"",
IF(ROW(L90)+2&gt;=MATCH("*【合計】*", 貼り付け用!$A:$A, 0),"",
IF(L$3&lt;&gt;"",IF(貼り付け用!L91&lt;&gt;"",貼り付け用!L91,""),"")),
IF(ROW(L91)+2&gt;=MATCH("*【合計】*", 貼り付け用!$A:$A, 0),"",
IF(L$3&lt;&gt;"",IF(貼り付け用!L92&lt;&gt;"",貼り付け用!L92,""),"")))</f>
        <v>#N/A</v>
      </c>
      <c r="M91" s="3" t="e">
        <f>IF(貼り付け用!$A$6&lt;&gt;"",
IF(ROW(M90)+2&gt;=MATCH("*【合計】*", 貼り付け用!$A:$A, 0),"",
IF(M$3&lt;&gt;"",IF(貼り付け用!M91&lt;&gt;"",貼り付け用!M91,""),"")),
IF(ROW(M91)+2&gt;=MATCH("*【合計】*", 貼り付け用!$A:$A, 0),"",
IF(M$3&lt;&gt;"",IF(貼り付け用!M92&lt;&gt;"",貼り付け用!M92,""),"")))</f>
        <v>#N/A</v>
      </c>
      <c r="N91" s="3" t="e">
        <f>IF(貼り付け用!$A$6&lt;&gt;"",
IF(ROW(N90)+2&gt;=MATCH("*【合計】*", 貼り付け用!$A:$A, 0),"",
IF(N$3&lt;&gt;"",IF(貼り付け用!N91&lt;&gt;"",貼り付け用!N91,""),"")),
IF(ROW(N91)+2&gt;=MATCH("*【合計】*", 貼り付け用!$A:$A, 0),"",
IF(N$3&lt;&gt;"",IF(貼り付け用!N92&lt;&gt;"",貼り付け用!N92,""),"")))</f>
        <v>#N/A</v>
      </c>
      <c r="O91" s="3" t="e">
        <f>IF(貼り付け用!$A$6&lt;&gt;"",
IF(ROW(O90)+2&gt;=MATCH("*【合計】*", 貼り付け用!$A:$A, 0),"",
IF(O$3&lt;&gt;"",IF(貼り付け用!O91&lt;&gt;"",貼り付け用!O91,""),"")),
IF(ROW(O91)+2&gt;=MATCH("*【合計】*", 貼り付け用!$A:$A, 0),"",
IF(O$3&lt;&gt;"",IF(貼り付け用!O92&lt;&gt;"",貼り付け用!O92,""),"")))</f>
        <v>#N/A</v>
      </c>
      <c r="P91" s="3" t="e">
        <f>IF(貼り付け用!$A$6&lt;&gt;"",
IF(ROW(P90)+2&gt;=MATCH("*【合計】*", 貼り付け用!$A:$A, 0),"",
IF(P$3&lt;&gt;"",IF(貼り付け用!P91&lt;&gt;"",貼り付け用!P91,""),"")),
IF(ROW(P91)+2&gt;=MATCH("*【合計】*", 貼り付け用!$A:$A, 0),"",
IF(P$3&lt;&gt;"",IF(貼り付け用!P92&lt;&gt;"",貼り付け用!P92,""),"")))</f>
        <v>#N/A</v>
      </c>
      <c r="Q91" s="3" t="e">
        <f>IF(貼り付け用!$A$6&lt;&gt;"",
IF(ROW(Q90)+2&gt;=MATCH("*【合計】*", 貼り付け用!$A:$A, 0),"",
IF(Q$3&lt;&gt;"",IF(貼り付け用!Q91&lt;&gt;"",貼り付け用!Q91,""),"")),
IF(ROW(Q91)+2&gt;=MATCH("*【合計】*", 貼り付け用!$A:$A, 0),"",
IF(Q$3&lt;&gt;"",IF(貼り付け用!Q92&lt;&gt;"",貼り付け用!Q92,""),"")))</f>
        <v>#N/A</v>
      </c>
      <c r="R91" s="3" t="e">
        <f>IF(貼り付け用!$A$6&lt;&gt;"",
IF(ROW(R90)+2&gt;=MATCH("*【合計】*", 貼り付け用!$A:$A, 0),"",
IF(R$3&lt;&gt;"",IF(貼り付け用!R91&lt;&gt;"",貼り付け用!R91,""),"")),
IF(ROW(R91)+2&gt;=MATCH("*【合計】*", 貼り付け用!$A:$A, 0),"",
IF(R$3&lt;&gt;"",IF(貼り付け用!R92&lt;&gt;"",貼り付け用!R92,""),"")))</f>
        <v>#N/A</v>
      </c>
      <c r="S91" s="3" t="e">
        <f>IF(貼り付け用!$A$6&lt;&gt;"",
IF(ROW(S90)+2&gt;=MATCH("*【合計】*", 貼り付け用!$A:$A, 0),"",
IF(S$3&lt;&gt;"",IF(貼り付け用!S91&lt;&gt;"",貼り付け用!S91,""),"")),
IF(ROW(S91)+2&gt;=MATCH("*【合計】*", 貼り付け用!$A:$A, 0),"",
IF(S$3&lt;&gt;"",IF(貼り付け用!S92&lt;&gt;"",貼り付け用!S92,""),"")))</f>
        <v>#N/A</v>
      </c>
      <c r="T91" s="2" t="e">
        <f t="array" ref="T91">IF(貼り付け用!$A$6&lt;&gt;"",
IF(INDEX(貼り付け用!A:Z, ROW(T90)+1, MATCH("おやつ", 貼り付け用!$A$3:$Z$3, 0))&lt;&gt;0,
INDEX(貼り付け用!A:Z, ROW(T90)+1, MATCH("おやつ", 貼り付け用!$A$3:$Z$3, 0)),""),
IF(INDEX(貼り付け用!A:Z, ROW(T91)+1, MATCH("おやつ", 貼り付け用!$A$3:$Z$3, 0))&lt;&gt;0,
INDEX(貼り付け用!A:Z, ROW(T91)+1, MATCH("おやつ", 貼り付け用!$A$3:$Z$3, 0)),""))</f>
        <v>#N/A</v>
      </c>
      <c r="U91" s="52"/>
      <c r="V91" s="8" t="e">
        <f t="array" ref="V91">IF(貼り付け用!$A$6&lt;&gt;"",
IF(INDEX(貼り付け用!A:Z, ROW(T90)+1, MATCH("おやつ", 貼り付け用!$A$3:$Z$3, 0)+1)&lt;&gt;0,
INDEX(貼り付け用!A:Z, ROW(T90)+1, MATCH("おやつ", 貼り付け用!$A$3:$Z$3, 0)+1),""),
IF(INDEX(貼り付け用!A:Z, ROW(T91)+1, MATCH("おやつ", 貼り付け用!$A$3:$Z$3, 0)+1)&lt;&gt;0,
INDEX(貼り付け用!A:Z, ROW(T91)+1, MATCH("おやつ", 貼り付け用!$A$3:$Z$3, 0)+1),""))</f>
        <v>#N/A</v>
      </c>
      <c r="W91" s="9" t="e">
        <f t="array" ref="W91">IF(貼り付け用!$A$6&lt;&gt;"",
IF(INDEX(貼り付け用!A:Z, ROW(T90)+1, MATCH("おやつ", 貼り付け用!$A$3:$Z$3, 0)+2)&lt;&gt;0,
INDEX(貼り付け用!A:Z, ROW(T90)+1, MATCH("おやつ", 貼り付け用!$A$3:$Z$3, 0)+2),""),
IF(INDEX(貼り付け用!A:Z, ROW(T91)+1, MATCH("おやつ", 貼り付け用!$A$3:$Z$3, 0)+2)&lt;&gt;0,
INDEX(貼り付け用!A:Z, ROW(T91)+1, MATCH("おやつ", 貼り付け用!$A$3:$Z$3, 0)+2),""))</f>
        <v>#N/A</v>
      </c>
    </row>
    <row r="92" spans="1:23" x14ac:dyDescent="0.45">
      <c r="A92" s="4" t="e">
        <f>IF(貼り付け用!$A$6&lt;&gt;"",
IF(ROW(A91)+1&gt;=MATCH("*10000*", 貼り付け用!$A:$A, 0),
IF(COUNTIF(A90,"*10000*"),"10001",
IF(COUNTIF(A90,"*10001*"),"10002",
IF(COUNTIF(A90,"*10002*"),"",
IF(COUNTIF(A90,""),"","10000")))),
IF(貼り付け用!A92&lt;&gt;"",貼り付け用!A92,"")),
IF(ROW(A92)+1&gt;=MATCH("*10000*", 貼り付け用!$A:$A, 0),
IF(COUNTIF(A90,"*10000*"),"10001",
IF(COUNTIF(A90,"*10001*"),"10002",
IF(COUNTIF(A90,"*10002*"),"",
IF(COUNTIF(A90,""),"","10000")))),
IF(貼り付け用!A93&lt;&gt;"",貼り付け用!A93,"")))</f>
        <v>#N/A</v>
      </c>
      <c r="B92" s="19" t="e">
        <f>IF(貼り付け用!$A$6&lt;&gt;"",
IF(ROW(B91)+2&gt;=MATCH("*【合計】*", 貼り付け用!$A:$A, 0),"",
IF(貼り付け用!B92&lt;&gt;"",貼り付け用!B92,"")),
IF(ROW(B92)+2&gt;=MATCH("*【合計】*", 貼り付け用!$A:$A, 0),"",
IF(貼り付け用!B93&lt;&gt;"",貼り付け用!B93,"")))</f>
        <v>#N/A</v>
      </c>
      <c r="C92" s="19" t="e">
        <f>IF(貼り付け用!$A$6&lt;&gt;"",
IF(ROW(C91)+2&gt;=MATCH("*【合計】*", 貼り付け用!$A:$A, 0),"",
IF(貼り付け用!C92&lt;&gt;"",貼り付け用!C92,"")),
IF(ROW(C92)+2&gt;=MATCH("*【合計】*", 貼り付け用!$A:$A, 0),"",
IF(貼り付け用!C93&lt;&gt;"",貼り付け用!C93,"")))</f>
        <v>#N/A</v>
      </c>
      <c r="D92" s="19" t="e">
        <f>IF(貼り付け用!$A$6&lt;&gt;"",
IF(ROW(D91)+2&gt;=MATCH("*【合計】*", 貼り付け用!$A:$A, 0),"",
IF(貼り付け用!D92&lt;&gt;"",貼り付け用!D92,"")),
IF(ROW(D92)+2&gt;=MATCH("*【合計】*", 貼り付け用!$A:$A, 0),"",
IF(貼り付け用!D93&lt;&gt;"",貼り付け用!D93,"")))</f>
        <v>#N/A</v>
      </c>
      <c r="E92" s="19" t="e">
        <f>IF(貼り付け用!$A$6&lt;&gt;"",
IF(ROW(E91)+2&gt;=MATCH("*【合計】*", 貼り付け用!$A:$A, 0),"",
IF(貼り付け用!E92&lt;&gt;"",貼り付け用!E92,"")),
IF(ROW(E92)+2&gt;=MATCH("*【合計】*", 貼り付け用!$A:$A, 0),"",
IF(貼り付け用!E93&lt;&gt;"",貼り付け用!E93,"")))</f>
        <v>#N/A</v>
      </c>
      <c r="F92" s="19" t="e">
        <f>IF(貼り付け用!$A$6&lt;&gt;"",
IF(ROW(F91)+2&gt;=MATCH("*【合計】*", 貼り付け用!$A:$A, 0),"",
IF(貼り付け用!F92&lt;&gt;"",貼り付け用!F92,"")),
IF(ROW(F92)+2&gt;=MATCH("*【合計】*", 貼り付け用!$A:$A, 0),"",
IF(貼り付け用!F93&lt;&gt;"",貼り付け用!F93,"")))</f>
        <v>#N/A</v>
      </c>
      <c r="G92" s="19" t="e">
        <f>IF(貼り付け用!$A$6&lt;&gt;"",
IF(ROW(G91)+2&gt;=MATCH("*【合計】*", 貼り付け用!$A:$A, 0),"",
IF(貼り付け用!G92&lt;&gt;"",貼り付け用!G92,"")),
IF(ROW(G92)+2&gt;=MATCH("*【合計】*", 貼り付け用!$A:$A, 0),"",
IF(貼り付け用!G93&lt;&gt;"",貼り付け用!G93,"")))</f>
        <v>#N/A</v>
      </c>
      <c r="H92" s="19" t="e">
        <f>IF(貼り付け用!$A$6&lt;&gt;"",
IF(ROW(H91)+2&gt;=MATCH("*【合計】*", 貼り付け用!$A:$A, 0),"",
IF(貼り付け用!H92&lt;&gt;"",貼り付け用!H92,"")),
IF(ROW(H92)+2&gt;=MATCH("*【合計】*", 貼り付け用!$A:$A, 0),"",
IF(貼り付け用!H93&lt;&gt;"",貼り付け用!H93,"")))</f>
        <v>#N/A</v>
      </c>
      <c r="I92" s="19" t="e">
        <f>IF(貼り付け用!$A$6&lt;&gt;"",
IF(ROW(I91)+2&gt;=MATCH("*【合計】*", 貼り付け用!$A:$A, 0),"",
IF(貼り付け用!I92&lt;&gt;"",貼り付け用!I92,"")),
IF(ROW(I92)+2&gt;=MATCH("*【合計】*", 貼り付け用!$A:$A, 0),"",
IF(貼り付け用!I93&lt;&gt;"",貼り付け用!I93,"")))</f>
        <v>#N/A</v>
      </c>
      <c r="J92" s="19" t="e">
        <f>IF(貼り付け用!$A$6&lt;&gt;"",
IF(ROW(J91)+2&gt;=MATCH("*【合計】*", 貼り付け用!$A:$A, 0),"",
IF(貼り付け用!J92&lt;&gt;"",貼り付け用!J92,"")),
IF(ROW(J92)+2&gt;=MATCH("*【合計】*", 貼り付け用!$A:$A, 0),"",
IF(貼り付け用!J93&lt;&gt;"",貼り付け用!J93,"")))</f>
        <v>#N/A</v>
      </c>
      <c r="K92" s="19" t="e">
        <f>IF(貼り付け用!$A$6&lt;&gt;"",
IF(ROW(K91)+2&gt;=MATCH("*【合計】*", 貼り付け用!$A:$A, 0),"",
IF(貼り付け用!K92&lt;&gt;"",貼り付け用!K92,"")),
IF(ROW(K92)+2&gt;=MATCH("*【合計】*", 貼り付け用!$A:$A, 0),"",
IF(貼り付け用!K93&lt;&gt;"",貼り付け用!K93,"")))</f>
        <v>#N/A</v>
      </c>
      <c r="L92" s="19" t="e">
        <f>IF(貼り付け用!$A$6&lt;&gt;"",
IF(ROW(L91)+2&gt;=MATCH("*【合計】*", 貼り付け用!$A:$A, 0),"",
IF(L$3&lt;&gt;"",IF(貼り付け用!L92&lt;&gt;"",貼り付け用!L92,""),"")),
IF(ROW(L92)+2&gt;=MATCH("*【合計】*", 貼り付け用!$A:$A, 0),"",
IF(L$3&lt;&gt;"",IF(貼り付け用!L93&lt;&gt;"",貼り付け用!L93,""),"")))</f>
        <v>#N/A</v>
      </c>
      <c r="M92" s="19" t="e">
        <f>IF(貼り付け用!$A$6&lt;&gt;"",
IF(ROW(M91)+2&gt;=MATCH("*【合計】*", 貼り付け用!$A:$A, 0),"",
IF(M$3&lt;&gt;"",IF(貼り付け用!M92&lt;&gt;"",貼り付け用!M92,""),"")),
IF(ROW(M92)+2&gt;=MATCH("*【合計】*", 貼り付け用!$A:$A, 0),"",
IF(M$3&lt;&gt;"",IF(貼り付け用!M93&lt;&gt;"",貼り付け用!M93,""),"")))</f>
        <v>#N/A</v>
      </c>
      <c r="N92" s="19" t="e">
        <f>IF(貼り付け用!$A$6&lt;&gt;"",
IF(ROW(N91)+2&gt;=MATCH("*【合計】*", 貼り付け用!$A:$A, 0),"",
IF(N$3&lt;&gt;"",IF(貼り付け用!N92&lt;&gt;"",貼り付け用!N92,""),"")),
IF(ROW(N92)+2&gt;=MATCH("*【合計】*", 貼り付け用!$A:$A, 0),"",
IF(N$3&lt;&gt;"",IF(貼り付け用!N93&lt;&gt;"",貼り付け用!N93,""),"")))</f>
        <v>#N/A</v>
      </c>
      <c r="O92" s="19" t="e">
        <f>IF(貼り付け用!$A$6&lt;&gt;"",
IF(ROW(O91)+2&gt;=MATCH("*【合計】*", 貼り付け用!$A:$A, 0),"",
IF(O$3&lt;&gt;"",IF(貼り付け用!O92&lt;&gt;"",貼り付け用!O92,""),"")),
IF(ROW(O92)+2&gt;=MATCH("*【合計】*", 貼り付け用!$A:$A, 0),"",
IF(O$3&lt;&gt;"",IF(貼り付け用!O93&lt;&gt;"",貼り付け用!O93,""),"")))</f>
        <v>#N/A</v>
      </c>
      <c r="P92" s="19" t="e">
        <f>IF(貼り付け用!$A$6&lt;&gt;"",
IF(ROW(P91)+2&gt;=MATCH("*【合計】*", 貼り付け用!$A:$A, 0),"",
IF(P$3&lt;&gt;"",IF(貼り付け用!P92&lt;&gt;"",貼り付け用!P92,""),"")),
IF(ROW(P92)+2&gt;=MATCH("*【合計】*", 貼り付け用!$A:$A, 0),"",
IF(P$3&lt;&gt;"",IF(貼り付け用!P93&lt;&gt;"",貼り付け用!P93,""),"")))</f>
        <v>#N/A</v>
      </c>
      <c r="Q92" s="19" t="e">
        <f>IF(貼り付け用!$A$6&lt;&gt;"",
IF(ROW(Q91)+2&gt;=MATCH("*【合計】*", 貼り付け用!$A:$A, 0),"",
IF(Q$3&lt;&gt;"",IF(貼り付け用!Q92&lt;&gt;"",貼り付け用!Q92,""),"")),
IF(ROW(Q92)+2&gt;=MATCH("*【合計】*", 貼り付け用!$A:$A, 0),"",
IF(Q$3&lt;&gt;"",IF(貼り付け用!Q93&lt;&gt;"",貼り付け用!Q93,""),"")))</f>
        <v>#N/A</v>
      </c>
      <c r="R92" s="19" t="e">
        <f>IF(貼り付け用!$A$6&lt;&gt;"",
IF(ROW(R91)+2&gt;=MATCH("*【合計】*", 貼り付け用!$A:$A, 0),"",
IF(R$3&lt;&gt;"",IF(貼り付け用!R92&lt;&gt;"",貼り付け用!R92,""),"")),
IF(ROW(R92)+2&gt;=MATCH("*【合計】*", 貼り付け用!$A:$A, 0),"",
IF(R$3&lt;&gt;"",IF(貼り付け用!R93&lt;&gt;"",貼り付け用!R93,""),"")))</f>
        <v>#N/A</v>
      </c>
      <c r="S92" s="19" t="e">
        <f>IF(貼り付け用!$A$6&lt;&gt;"",
IF(ROW(S91)+2&gt;=MATCH("*【合計】*", 貼り付け用!$A:$A, 0),"",
IF(S$3&lt;&gt;"",IF(貼り付け用!S92&lt;&gt;"",貼り付け用!S92,""),"")),
IF(ROW(S92)+2&gt;=MATCH("*【合計】*", 貼り付け用!$A:$A, 0),"",
IF(S$3&lt;&gt;"",IF(貼り付け用!S93&lt;&gt;"",貼り付け用!S93,""),"")))</f>
        <v>#N/A</v>
      </c>
      <c r="T92" s="19" t="e">
        <f t="array" ref="T92">IF(貼り付け用!$A$6&lt;&gt;"",
IF(INDEX(貼り付け用!A:Z, ROW(T91)+1, MATCH("おやつ", 貼り付け用!$A$3:$Z$3, 0))&lt;&gt;0,
INDEX(貼り付け用!A:Z, ROW(T91)+1, MATCH("おやつ", 貼り付け用!$A$3:$Z$3, 0)),""),
IF(INDEX(貼り付け用!A:Z, ROW(T92)+1, MATCH("おやつ", 貼り付け用!$A$3:$Z$3, 0))&lt;&gt;0,
INDEX(貼り付け用!A:Z, ROW(T92)+1, MATCH("おやつ", 貼り付け用!$A$3:$Z$3, 0)),""))</f>
        <v>#N/A</v>
      </c>
      <c r="U92" s="16"/>
      <c r="V92" s="5" t="e">
        <f t="array" ref="V92">IF(貼り付け用!$A$6&lt;&gt;"",
IF(INDEX(貼り付け用!A:Z, ROW(T91)+1, MATCH("おやつ", 貼り付け用!$A$3:$Z$3, 0)+1)&lt;&gt;0,
INDEX(貼り付け用!A:Z, ROW(T91)+1, MATCH("おやつ", 貼り付け用!$A$3:$Z$3, 0)+1),""),
IF(INDEX(貼り付け用!A:Z, ROW(T92)+1, MATCH("おやつ", 貼り付け用!$A$3:$Z$3, 0)+1)&lt;&gt;0,
INDEX(貼り付け用!A:Z, ROW(T92)+1, MATCH("おやつ", 貼り付け用!$A$3:$Z$3, 0)+1),""))</f>
        <v>#N/A</v>
      </c>
      <c r="W92" s="7" t="e">
        <f t="array" ref="W92">IF(貼り付け用!$A$6&lt;&gt;"",
IF(INDEX(貼り付け用!A:Z, ROW(T91)+1, MATCH("おやつ", 貼り付け用!$A$3:$Z$3, 0)+2)&lt;&gt;0,
INDEX(貼り付け用!A:Z, ROW(T91)+1, MATCH("おやつ", 貼り付け用!$A$3:$Z$3, 0)+2),""),
IF(INDEX(貼り付け用!A:Z, ROW(T92)+1, MATCH("おやつ", 貼り付け用!$A$3:$Z$3, 0)+2)&lt;&gt;0,
INDEX(貼り付け用!A:Z, ROW(T92)+1, MATCH("おやつ", 貼り付け用!$A$3:$Z$3, 0)+2),""))</f>
        <v>#N/A</v>
      </c>
    </row>
    <row r="93" spans="1:23" x14ac:dyDescent="0.45">
      <c r="A93" s="10" t="e">
        <f>IF(貼り付け用!$A$6&lt;&gt;"",
IF(ROW(A92)+1&gt;=MATCH("*10000*", 貼り付け用!$A:$A, 0),"",
IF(貼り付け用!A93&lt;&gt;"",貼り付け用!A93,"")),
IF(ROW(A93)+1&gt;=MATCH("*10000*", 貼り付け用!$A:$A, 0),"",
IF(貼り付け用!A94&lt;&gt;"",貼り付け用!A94,"")))</f>
        <v>#N/A</v>
      </c>
      <c r="B93" s="3" t="e">
        <f>IF(貼り付け用!$A$6&lt;&gt;"",
IF(ROW(B92)+2&gt;=MATCH("*【合計】*", 貼り付け用!$A:$A, 0),"",
IF(貼り付け用!B93&lt;&gt;"",貼り付け用!B93,"")),
IF(ROW(B93)+2&gt;=MATCH("*【合計】*", 貼り付け用!$A:$A, 0),"",
IF(貼り付け用!B94&lt;&gt;"",貼り付け用!B94,"")))</f>
        <v>#N/A</v>
      </c>
      <c r="C93" s="3" t="e">
        <f>IF(貼り付け用!$A$6&lt;&gt;"",
IF(ROW(C92)+2&gt;=MATCH("*【合計】*", 貼り付け用!$A:$A, 0),"",
IF(貼り付け用!C93&lt;&gt;"",貼り付け用!C93,"")),
IF(ROW(C93)+2&gt;=MATCH("*【合計】*", 貼り付け用!$A:$A, 0),"",
IF(貼り付け用!C94&lt;&gt;"",貼り付け用!C94,"")))</f>
        <v>#N/A</v>
      </c>
      <c r="D93" s="3" t="e">
        <f>IF(貼り付け用!$A$6&lt;&gt;"",
IF(ROW(D92)+2&gt;=MATCH("*【合計】*", 貼り付け用!$A:$A, 0),"",
IF(貼り付け用!D93&lt;&gt;"",貼り付け用!D93,"")),
IF(ROW(D93)+2&gt;=MATCH("*【合計】*", 貼り付け用!$A:$A, 0),"",
IF(貼り付け用!D94&lt;&gt;"",貼り付け用!D94,"")))</f>
        <v>#N/A</v>
      </c>
      <c r="E93" s="3" t="e">
        <f>IF(貼り付け用!$A$6&lt;&gt;"",
IF(ROW(E92)+2&gt;=MATCH("*【合計】*", 貼り付け用!$A:$A, 0),"",
IF(貼り付け用!E93&lt;&gt;"",貼り付け用!E93,"")),
IF(ROW(E93)+2&gt;=MATCH("*【合計】*", 貼り付け用!$A:$A, 0),"",
IF(貼り付け用!E94&lt;&gt;"",貼り付け用!E94,"")))</f>
        <v>#N/A</v>
      </c>
      <c r="F93" s="3" t="e">
        <f>IF(貼り付け用!$A$6&lt;&gt;"",
IF(ROW(F92)+2&gt;=MATCH("*【合計】*", 貼り付け用!$A:$A, 0),"",
IF(貼り付け用!F93&lt;&gt;"",貼り付け用!F93,"")),
IF(ROW(F93)+2&gt;=MATCH("*【合計】*", 貼り付け用!$A:$A, 0),"",
IF(貼り付け用!F94&lt;&gt;"",貼り付け用!F94,"")))</f>
        <v>#N/A</v>
      </c>
      <c r="G93" s="3" t="e">
        <f>IF(貼り付け用!$A$6&lt;&gt;"",
IF(ROW(G92)+2&gt;=MATCH("*【合計】*", 貼り付け用!$A:$A, 0),"",
IF(貼り付け用!G93&lt;&gt;"",貼り付け用!G93,"")),
IF(ROW(G93)+2&gt;=MATCH("*【合計】*", 貼り付け用!$A:$A, 0),"",
IF(貼り付け用!G94&lt;&gt;"",貼り付け用!G94,"")))</f>
        <v>#N/A</v>
      </c>
      <c r="H93" s="3" t="e">
        <f>IF(貼り付け用!$A$6&lt;&gt;"",
IF(ROW(H92)+2&gt;=MATCH("*【合計】*", 貼り付け用!$A:$A, 0),"",
IF(貼り付け用!H93&lt;&gt;"",貼り付け用!H93,"")),
IF(ROW(H93)+2&gt;=MATCH("*【合計】*", 貼り付け用!$A:$A, 0),"",
IF(貼り付け用!H94&lt;&gt;"",貼り付け用!H94,"")))</f>
        <v>#N/A</v>
      </c>
      <c r="I93" s="3" t="e">
        <f>IF(貼り付け用!$A$6&lt;&gt;"",
IF(ROW(I92)+2&gt;=MATCH("*【合計】*", 貼り付け用!$A:$A, 0),"",
IF(貼り付け用!I93&lt;&gt;"",貼り付け用!I93,"")),
IF(ROW(I93)+2&gt;=MATCH("*【合計】*", 貼り付け用!$A:$A, 0),"",
IF(貼り付け用!I94&lt;&gt;"",貼り付け用!I94,"")))</f>
        <v>#N/A</v>
      </c>
      <c r="J93" s="3" t="e">
        <f>IF(貼り付け用!$A$6&lt;&gt;"",
IF(ROW(J92)+2&gt;=MATCH("*【合計】*", 貼り付け用!$A:$A, 0),"",
IF(貼り付け用!J93&lt;&gt;"",貼り付け用!J93,"")),
IF(ROW(J93)+2&gt;=MATCH("*【合計】*", 貼り付け用!$A:$A, 0),"",
IF(貼り付け用!J94&lt;&gt;"",貼り付け用!J94,"")))</f>
        <v>#N/A</v>
      </c>
      <c r="K93" s="3" t="e">
        <f>IF(貼り付け用!$A$6&lt;&gt;"",
IF(ROW(K92)+2&gt;=MATCH("*【合計】*", 貼り付け用!$A:$A, 0),"",
IF(貼り付け用!K93&lt;&gt;"",貼り付け用!K93,"")),
IF(ROW(K93)+2&gt;=MATCH("*【合計】*", 貼り付け用!$A:$A, 0),"",
IF(貼り付け用!K94&lt;&gt;"",貼り付け用!K94,"")))</f>
        <v>#N/A</v>
      </c>
      <c r="L93" s="3" t="e">
        <f>IF(貼り付け用!$A$6&lt;&gt;"",
IF(ROW(L92)+2&gt;=MATCH("*【合計】*", 貼り付け用!$A:$A, 0),"",
IF(L$3&lt;&gt;"",IF(貼り付け用!L93&lt;&gt;"",貼り付け用!L93,""),"")),
IF(ROW(L93)+2&gt;=MATCH("*【合計】*", 貼り付け用!$A:$A, 0),"",
IF(L$3&lt;&gt;"",IF(貼り付け用!L94&lt;&gt;"",貼り付け用!L94,""),"")))</f>
        <v>#N/A</v>
      </c>
      <c r="M93" s="3" t="e">
        <f>IF(貼り付け用!$A$6&lt;&gt;"",
IF(ROW(M92)+2&gt;=MATCH("*【合計】*", 貼り付け用!$A:$A, 0),"",
IF(M$3&lt;&gt;"",IF(貼り付け用!M93&lt;&gt;"",貼り付け用!M93,""),"")),
IF(ROW(M93)+2&gt;=MATCH("*【合計】*", 貼り付け用!$A:$A, 0),"",
IF(M$3&lt;&gt;"",IF(貼り付け用!M94&lt;&gt;"",貼り付け用!M94,""),"")))</f>
        <v>#N/A</v>
      </c>
      <c r="N93" s="3" t="e">
        <f>IF(貼り付け用!$A$6&lt;&gt;"",
IF(ROW(N92)+2&gt;=MATCH("*【合計】*", 貼り付け用!$A:$A, 0),"",
IF(N$3&lt;&gt;"",IF(貼り付け用!N93&lt;&gt;"",貼り付け用!N93,""),"")),
IF(ROW(N93)+2&gt;=MATCH("*【合計】*", 貼り付け用!$A:$A, 0),"",
IF(N$3&lt;&gt;"",IF(貼り付け用!N94&lt;&gt;"",貼り付け用!N94,""),"")))</f>
        <v>#N/A</v>
      </c>
      <c r="O93" s="3" t="e">
        <f>IF(貼り付け用!$A$6&lt;&gt;"",
IF(ROW(O92)+2&gt;=MATCH("*【合計】*", 貼り付け用!$A:$A, 0),"",
IF(O$3&lt;&gt;"",IF(貼り付け用!O93&lt;&gt;"",貼り付け用!O93,""),"")),
IF(ROW(O93)+2&gt;=MATCH("*【合計】*", 貼り付け用!$A:$A, 0),"",
IF(O$3&lt;&gt;"",IF(貼り付け用!O94&lt;&gt;"",貼り付け用!O94,""),"")))</f>
        <v>#N/A</v>
      </c>
      <c r="P93" s="3" t="e">
        <f>IF(貼り付け用!$A$6&lt;&gt;"",
IF(ROW(P92)+2&gt;=MATCH("*【合計】*", 貼り付け用!$A:$A, 0),"",
IF(P$3&lt;&gt;"",IF(貼り付け用!P93&lt;&gt;"",貼り付け用!P93,""),"")),
IF(ROW(P93)+2&gt;=MATCH("*【合計】*", 貼り付け用!$A:$A, 0),"",
IF(P$3&lt;&gt;"",IF(貼り付け用!P94&lt;&gt;"",貼り付け用!P94,""),"")))</f>
        <v>#N/A</v>
      </c>
      <c r="Q93" s="3" t="e">
        <f>IF(貼り付け用!$A$6&lt;&gt;"",
IF(ROW(Q92)+2&gt;=MATCH("*【合計】*", 貼り付け用!$A:$A, 0),"",
IF(Q$3&lt;&gt;"",IF(貼り付け用!Q93&lt;&gt;"",貼り付け用!Q93,""),"")),
IF(ROW(Q93)+2&gt;=MATCH("*【合計】*", 貼り付け用!$A:$A, 0),"",
IF(Q$3&lt;&gt;"",IF(貼り付け用!Q94&lt;&gt;"",貼り付け用!Q94,""),"")))</f>
        <v>#N/A</v>
      </c>
      <c r="R93" s="3" t="e">
        <f>IF(貼り付け用!$A$6&lt;&gt;"",
IF(ROW(R92)+2&gt;=MATCH("*【合計】*", 貼り付け用!$A:$A, 0),"",
IF(R$3&lt;&gt;"",IF(貼り付け用!R93&lt;&gt;"",貼り付け用!R93,""),"")),
IF(ROW(R93)+2&gt;=MATCH("*【合計】*", 貼り付け用!$A:$A, 0),"",
IF(R$3&lt;&gt;"",IF(貼り付け用!R94&lt;&gt;"",貼り付け用!R94,""),"")))</f>
        <v>#N/A</v>
      </c>
      <c r="S93" s="3" t="e">
        <f>IF(貼り付け用!$A$6&lt;&gt;"",
IF(ROW(S92)+2&gt;=MATCH("*【合計】*", 貼り付け用!$A:$A, 0),"",
IF(S$3&lt;&gt;"",IF(貼り付け用!S93&lt;&gt;"",貼り付け用!S93,""),"")),
IF(ROW(S93)+2&gt;=MATCH("*【合計】*", 貼り付け用!$A:$A, 0),"",
IF(S$3&lt;&gt;"",IF(貼り付け用!S94&lt;&gt;"",貼り付け用!S94,""),"")))</f>
        <v>#N/A</v>
      </c>
      <c r="T93" s="2" t="e">
        <f t="array" ref="T93">IF(貼り付け用!$A$6&lt;&gt;"",
IF(INDEX(貼り付け用!A:Z, ROW(T92)+1, MATCH("おやつ", 貼り付け用!$A$3:$Z$3, 0))&lt;&gt;0,
INDEX(貼り付け用!A:Z, ROW(T92)+1, MATCH("おやつ", 貼り付け用!$A$3:$Z$3, 0)),""),
IF(INDEX(貼り付け用!A:Z, ROW(T93)+1, MATCH("おやつ", 貼り付け用!$A$3:$Z$3, 0))&lt;&gt;0,
INDEX(貼り付け用!A:Z, ROW(T93)+1, MATCH("おやつ", 貼り付け用!$A$3:$Z$3, 0)),""))</f>
        <v>#N/A</v>
      </c>
      <c r="U93" s="52"/>
      <c r="V93" s="8" t="e">
        <f t="array" ref="V93">IF(貼り付け用!$A$6&lt;&gt;"",
IF(INDEX(貼り付け用!A:Z, ROW(T92)+1, MATCH("おやつ", 貼り付け用!$A$3:$Z$3, 0)+1)&lt;&gt;0,
INDEX(貼り付け用!A:Z, ROW(T92)+1, MATCH("おやつ", 貼り付け用!$A$3:$Z$3, 0)+1),""),
IF(INDEX(貼り付け用!A:Z, ROW(T93)+1, MATCH("おやつ", 貼り付け用!$A$3:$Z$3, 0)+1)&lt;&gt;0,
INDEX(貼り付け用!A:Z, ROW(T93)+1, MATCH("おやつ", 貼り付け用!$A$3:$Z$3, 0)+1),""))</f>
        <v>#N/A</v>
      </c>
      <c r="W93" s="9" t="e">
        <f t="array" ref="W93">IF(貼り付け用!$A$6&lt;&gt;"",
IF(INDEX(貼り付け用!A:Z, ROW(T92)+1, MATCH("おやつ", 貼り付け用!$A$3:$Z$3, 0)+2)&lt;&gt;0,
INDEX(貼り付け用!A:Z, ROW(T92)+1, MATCH("おやつ", 貼り付け用!$A$3:$Z$3, 0)+2),""),
IF(INDEX(貼り付け用!A:Z, ROW(T93)+1, MATCH("おやつ", 貼り付け用!$A$3:$Z$3, 0)+2)&lt;&gt;0,
INDEX(貼り付け用!A:Z, ROW(T93)+1, MATCH("おやつ", 貼り付け用!$A$3:$Z$3, 0)+2),""))</f>
        <v>#N/A</v>
      </c>
    </row>
    <row r="94" spans="1:23" x14ac:dyDescent="0.45">
      <c r="A94" s="4" t="e">
        <f>IF(貼り付け用!$A$6&lt;&gt;"",
IF(ROW(A93)+1&gt;=MATCH("*10000*", 貼り付け用!$A:$A, 0),
IF(COUNTIF(A92,"*10000*"),"10001",
IF(COUNTIF(A92,"*10001*"),"10002",
IF(COUNTIF(A92,"*10002*"),"",
IF(COUNTIF(A92,""),"","10000")))),
IF(貼り付け用!A94&lt;&gt;"",貼り付け用!A94,"")),
IF(ROW(A94)+1&gt;=MATCH("*10000*", 貼り付け用!$A:$A, 0),
IF(COUNTIF(A92,"*10000*"),"10001",
IF(COUNTIF(A92,"*10001*"),"10002",
IF(COUNTIF(A92,"*10002*"),"",
IF(COUNTIF(A92,""),"","10000")))),
IF(貼り付け用!A95&lt;&gt;"",貼り付け用!A95,"")))</f>
        <v>#N/A</v>
      </c>
      <c r="B94" s="19" t="e">
        <f>IF(貼り付け用!$A$6&lt;&gt;"",
IF(ROW(B93)+2&gt;=MATCH("*【合計】*", 貼り付け用!$A:$A, 0),"",
IF(貼り付け用!B94&lt;&gt;"",貼り付け用!B94,"")),
IF(ROW(B94)+2&gt;=MATCH("*【合計】*", 貼り付け用!$A:$A, 0),"",
IF(貼り付け用!B95&lt;&gt;"",貼り付け用!B95,"")))</f>
        <v>#N/A</v>
      </c>
      <c r="C94" s="19" t="e">
        <f>IF(貼り付け用!$A$6&lt;&gt;"",
IF(ROW(C93)+2&gt;=MATCH("*【合計】*", 貼り付け用!$A:$A, 0),"",
IF(貼り付け用!C94&lt;&gt;"",貼り付け用!C94,"")),
IF(ROW(C94)+2&gt;=MATCH("*【合計】*", 貼り付け用!$A:$A, 0),"",
IF(貼り付け用!C95&lt;&gt;"",貼り付け用!C95,"")))</f>
        <v>#N/A</v>
      </c>
      <c r="D94" s="19" t="e">
        <f>IF(貼り付け用!$A$6&lt;&gt;"",
IF(ROW(D93)+2&gt;=MATCH("*【合計】*", 貼り付け用!$A:$A, 0),"",
IF(貼り付け用!D94&lt;&gt;"",貼り付け用!D94,"")),
IF(ROW(D94)+2&gt;=MATCH("*【合計】*", 貼り付け用!$A:$A, 0),"",
IF(貼り付け用!D95&lt;&gt;"",貼り付け用!D95,"")))</f>
        <v>#N/A</v>
      </c>
      <c r="E94" s="19" t="e">
        <f>IF(貼り付け用!$A$6&lt;&gt;"",
IF(ROW(E93)+2&gt;=MATCH("*【合計】*", 貼り付け用!$A:$A, 0),"",
IF(貼り付け用!E94&lt;&gt;"",貼り付け用!E94,"")),
IF(ROW(E94)+2&gt;=MATCH("*【合計】*", 貼り付け用!$A:$A, 0),"",
IF(貼り付け用!E95&lt;&gt;"",貼り付け用!E95,"")))</f>
        <v>#N/A</v>
      </c>
      <c r="F94" s="19" t="e">
        <f>IF(貼り付け用!$A$6&lt;&gt;"",
IF(ROW(F93)+2&gt;=MATCH("*【合計】*", 貼り付け用!$A:$A, 0),"",
IF(貼り付け用!F94&lt;&gt;"",貼り付け用!F94,"")),
IF(ROW(F94)+2&gt;=MATCH("*【合計】*", 貼り付け用!$A:$A, 0),"",
IF(貼り付け用!F95&lt;&gt;"",貼り付け用!F95,"")))</f>
        <v>#N/A</v>
      </c>
      <c r="G94" s="19" t="e">
        <f>IF(貼り付け用!$A$6&lt;&gt;"",
IF(ROW(G93)+2&gt;=MATCH("*【合計】*", 貼り付け用!$A:$A, 0),"",
IF(貼り付け用!G94&lt;&gt;"",貼り付け用!G94,"")),
IF(ROW(G94)+2&gt;=MATCH("*【合計】*", 貼り付け用!$A:$A, 0),"",
IF(貼り付け用!G95&lt;&gt;"",貼り付け用!G95,"")))</f>
        <v>#N/A</v>
      </c>
      <c r="H94" s="19" t="e">
        <f>IF(貼り付け用!$A$6&lt;&gt;"",
IF(ROW(H93)+2&gt;=MATCH("*【合計】*", 貼り付け用!$A:$A, 0),"",
IF(貼り付け用!H94&lt;&gt;"",貼り付け用!H94,"")),
IF(ROW(H94)+2&gt;=MATCH("*【合計】*", 貼り付け用!$A:$A, 0),"",
IF(貼り付け用!H95&lt;&gt;"",貼り付け用!H95,"")))</f>
        <v>#N/A</v>
      </c>
      <c r="I94" s="19" t="e">
        <f>IF(貼り付け用!$A$6&lt;&gt;"",
IF(ROW(I93)+2&gt;=MATCH("*【合計】*", 貼り付け用!$A:$A, 0),"",
IF(貼り付け用!I94&lt;&gt;"",貼り付け用!I94,"")),
IF(ROW(I94)+2&gt;=MATCH("*【合計】*", 貼り付け用!$A:$A, 0),"",
IF(貼り付け用!I95&lt;&gt;"",貼り付け用!I95,"")))</f>
        <v>#N/A</v>
      </c>
      <c r="J94" s="19" t="e">
        <f>IF(貼り付け用!$A$6&lt;&gt;"",
IF(ROW(J93)+2&gt;=MATCH("*【合計】*", 貼り付け用!$A:$A, 0),"",
IF(貼り付け用!J94&lt;&gt;"",貼り付け用!J94,"")),
IF(ROW(J94)+2&gt;=MATCH("*【合計】*", 貼り付け用!$A:$A, 0),"",
IF(貼り付け用!J95&lt;&gt;"",貼り付け用!J95,"")))</f>
        <v>#N/A</v>
      </c>
      <c r="K94" s="19" t="e">
        <f>IF(貼り付け用!$A$6&lt;&gt;"",
IF(ROW(K93)+2&gt;=MATCH("*【合計】*", 貼り付け用!$A:$A, 0),"",
IF(貼り付け用!K94&lt;&gt;"",貼り付け用!K94,"")),
IF(ROW(K94)+2&gt;=MATCH("*【合計】*", 貼り付け用!$A:$A, 0),"",
IF(貼り付け用!K95&lt;&gt;"",貼り付け用!K95,"")))</f>
        <v>#N/A</v>
      </c>
      <c r="L94" s="19" t="e">
        <f>IF(貼り付け用!$A$6&lt;&gt;"",
IF(ROW(L93)+2&gt;=MATCH("*【合計】*", 貼り付け用!$A:$A, 0),"",
IF(L$3&lt;&gt;"",IF(貼り付け用!L94&lt;&gt;"",貼り付け用!L94,""),"")),
IF(ROW(L94)+2&gt;=MATCH("*【合計】*", 貼り付け用!$A:$A, 0),"",
IF(L$3&lt;&gt;"",IF(貼り付け用!L95&lt;&gt;"",貼り付け用!L95,""),"")))</f>
        <v>#N/A</v>
      </c>
      <c r="M94" s="19" t="e">
        <f>IF(貼り付け用!$A$6&lt;&gt;"",
IF(ROW(M93)+2&gt;=MATCH("*【合計】*", 貼り付け用!$A:$A, 0),"",
IF(M$3&lt;&gt;"",IF(貼り付け用!M94&lt;&gt;"",貼り付け用!M94,""),"")),
IF(ROW(M94)+2&gt;=MATCH("*【合計】*", 貼り付け用!$A:$A, 0),"",
IF(M$3&lt;&gt;"",IF(貼り付け用!M95&lt;&gt;"",貼り付け用!M95,""),"")))</f>
        <v>#N/A</v>
      </c>
      <c r="N94" s="19" t="e">
        <f>IF(貼り付け用!$A$6&lt;&gt;"",
IF(ROW(N93)+2&gt;=MATCH("*【合計】*", 貼り付け用!$A:$A, 0),"",
IF(N$3&lt;&gt;"",IF(貼り付け用!N94&lt;&gt;"",貼り付け用!N94,""),"")),
IF(ROW(N94)+2&gt;=MATCH("*【合計】*", 貼り付け用!$A:$A, 0),"",
IF(N$3&lt;&gt;"",IF(貼り付け用!N95&lt;&gt;"",貼り付け用!N95,""),"")))</f>
        <v>#N/A</v>
      </c>
      <c r="O94" s="19" t="e">
        <f>IF(貼り付け用!$A$6&lt;&gt;"",
IF(ROW(O93)+2&gt;=MATCH("*【合計】*", 貼り付け用!$A:$A, 0),"",
IF(O$3&lt;&gt;"",IF(貼り付け用!O94&lt;&gt;"",貼り付け用!O94,""),"")),
IF(ROW(O94)+2&gt;=MATCH("*【合計】*", 貼り付け用!$A:$A, 0),"",
IF(O$3&lt;&gt;"",IF(貼り付け用!O95&lt;&gt;"",貼り付け用!O95,""),"")))</f>
        <v>#N/A</v>
      </c>
      <c r="P94" s="19" t="e">
        <f>IF(貼り付け用!$A$6&lt;&gt;"",
IF(ROW(P93)+2&gt;=MATCH("*【合計】*", 貼り付け用!$A:$A, 0),"",
IF(P$3&lt;&gt;"",IF(貼り付け用!P94&lt;&gt;"",貼り付け用!P94,""),"")),
IF(ROW(P94)+2&gt;=MATCH("*【合計】*", 貼り付け用!$A:$A, 0),"",
IF(P$3&lt;&gt;"",IF(貼り付け用!P95&lt;&gt;"",貼り付け用!P95,""),"")))</f>
        <v>#N/A</v>
      </c>
      <c r="Q94" s="19" t="e">
        <f>IF(貼り付け用!$A$6&lt;&gt;"",
IF(ROW(Q93)+2&gt;=MATCH("*【合計】*", 貼り付け用!$A:$A, 0),"",
IF(Q$3&lt;&gt;"",IF(貼り付け用!Q94&lt;&gt;"",貼り付け用!Q94,""),"")),
IF(ROW(Q94)+2&gt;=MATCH("*【合計】*", 貼り付け用!$A:$A, 0),"",
IF(Q$3&lt;&gt;"",IF(貼り付け用!Q95&lt;&gt;"",貼り付け用!Q95,""),"")))</f>
        <v>#N/A</v>
      </c>
      <c r="R94" s="19" t="e">
        <f>IF(貼り付け用!$A$6&lt;&gt;"",
IF(ROW(R93)+2&gt;=MATCH("*【合計】*", 貼り付け用!$A:$A, 0),"",
IF(R$3&lt;&gt;"",IF(貼り付け用!R94&lt;&gt;"",貼り付け用!R94,""),"")),
IF(ROW(R94)+2&gt;=MATCH("*【合計】*", 貼り付け用!$A:$A, 0),"",
IF(R$3&lt;&gt;"",IF(貼り付け用!R95&lt;&gt;"",貼り付け用!R95,""),"")))</f>
        <v>#N/A</v>
      </c>
      <c r="S94" s="19" t="e">
        <f>IF(貼り付け用!$A$6&lt;&gt;"",
IF(ROW(S93)+2&gt;=MATCH("*【合計】*", 貼り付け用!$A:$A, 0),"",
IF(S$3&lt;&gt;"",IF(貼り付け用!S94&lt;&gt;"",貼り付け用!S94,""),"")),
IF(ROW(S94)+2&gt;=MATCH("*【合計】*", 貼り付け用!$A:$A, 0),"",
IF(S$3&lt;&gt;"",IF(貼り付け用!S95&lt;&gt;"",貼り付け用!S95,""),"")))</f>
        <v>#N/A</v>
      </c>
      <c r="T94" s="19" t="e">
        <f t="array" ref="T94">IF(貼り付け用!$A$6&lt;&gt;"",
IF(INDEX(貼り付け用!A:Z, ROW(T93)+1, MATCH("おやつ", 貼り付け用!$A$3:$Z$3, 0))&lt;&gt;0,
INDEX(貼り付け用!A:Z, ROW(T93)+1, MATCH("おやつ", 貼り付け用!$A$3:$Z$3, 0)),""),
IF(INDEX(貼り付け用!A:Z, ROW(T94)+1, MATCH("おやつ", 貼り付け用!$A$3:$Z$3, 0))&lt;&gt;0,
INDEX(貼り付け用!A:Z, ROW(T94)+1, MATCH("おやつ", 貼り付け用!$A$3:$Z$3, 0)),""))</f>
        <v>#N/A</v>
      </c>
      <c r="U94" s="16"/>
      <c r="V94" s="5" t="e">
        <f t="array" ref="V94">IF(貼り付け用!$A$6&lt;&gt;"",
IF(INDEX(貼り付け用!A:Z, ROW(T93)+1, MATCH("おやつ", 貼り付け用!$A$3:$Z$3, 0)+1)&lt;&gt;0,
INDEX(貼り付け用!A:Z, ROW(T93)+1, MATCH("おやつ", 貼り付け用!$A$3:$Z$3, 0)+1),""),
IF(INDEX(貼り付け用!A:Z, ROW(T94)+1, MATCH("おやつ", 貼り付け用!$A$3:$Z$3, 0)+1)&lt;&gt;0,
INDEX(貼り付け用!A:Z, ROW(T94)+1, MATCH("おやつ", 貼り付け用!$A$3:$Z$3, 0)+1),""))</f>
        <v>#N/A</v>
      </c>
      <c r="W94" s="7" t="e">
        <f t="array" ref="W94">IF(貼り付け用!$A$6&lt;&gt;"",
IF(INDEX(貼り付け用!A:Z, ROW(T93)+1, MATCH("おやつ", 貼り付け用!$A$3:$Z$3, 0)+2)&lt;&gt;0,
INDEX(貼り付け用!A:Z, ROW(T93)+1, MATCH("おやつ", 貼り付け用!$A$3:$Z$3, 0)+2),""),
IF(INDEX(貼り付け用!A:Z, ROW(T94)+1, MATCH("おやつ", 貼り付け用!$A$3:$Z$3, 0)+2)&lt;&gt;0,
INDEX(貼り付け用!A:Z, ROW(T94)+1, MATCH("おやつ", 貼り付け用!$A$3:$Z$3, 0)+2),""))</f>
        <v>#N/A</v>
      </c>
    </row>
    <row r="95" spans="1:23" x14ac:dyDescent="0.45">
      <c r="A95" s="10" t="e">
        <f>IF(貼り付け用!$A$6&lt;&gt;"",
IF(ROW(A94)+1&gt;=MATCH("*10000*", 貼り付け用!$A:$A, 0),"",
IF(貼り付け用!A95&lt;&gt;"",貼り付け用!A95,"")),
IF(ROW(A95)+1&gt;=MATCH("*10000*", 貼り付け用!$A:$A, 0),"",
IF(貼り付け用!A96&lt;&gt;"",貼り付け用!A96,"")))</f>
        <v>#N/A</v>
      </c>
      <c r="B95" s="3" t="e">
        <f>IF(貼り付け用!$A$6&lt;&gt;"",
IF(ROW(B94)+2&gt;=MATCH("*【合計】*", 貼り付け用!$A:$A, 0),"",
IF(貼り付け用!B95&lt;&gt;"",貼り付け用!B95,"")),
IF(ROW(B95)+2&gt;=MATCH("*【合計】*", 貼り付け用!$A:$A, 0),"",
IF(貼り付け用!B96&lt;&gt;"",貼り付け用!B96,"")))</f>
        <v>#N/A</v>
      </c>
      <c r="C95" s="3" t="e">
        <f>IF(貼り付け用!$A$6&lt;&gt;"",
IF(ROW(C94)+2&gt;=MATCH("*【合計】*", 貼り付け用!$A:$A, 0),"",
IF(貼り付け用!C95&lt;&gt;"",貼り付け用!C95,"")),
IF(ROW(C95)+2&gt;=MATCH("*【合計】*", 貼り付け用!$A:$A, 0),"",
IF(貼り付け用!C96&lt;&gt;"",貼り付け用!C96,"")))</f>
        <v>#N/A</v>
      </c>
      <c r="D95" s="3" t="e">
        <f>IF(貼り付け用!$A$6&lt;&gt;"",
IF(ROW(D94)+2&gt;=MATCH("*【合計】*", 貼り付け用!$A:$A, 0),"",
IF(貼り付け用!D95&lt;&gt;"",貼り付け用!D95,"")),
IF(ROW(D95)+2&gt;=MATCH("*【合計】*", 貼り付け用!$A:$A, 0),"",
IF(貼り付け用!D96&lt;&gt;"",貼り付け用!D96,"")))</f>
        <v>#N/A</v>
      </c>
      <c r="E95" s="3" t="e">
        <f>IF(貼り付け用!$A$6&lt;&gt;"",
IF(ROW(E94)+2&gt;=MATCH("*【合計】*", 貼り付け用!$A:$A, 0),"",
IF(貼り付け用!E95&lt;&gt;"",貼り付け用!E95,"")),
IF(ROW(E95)+2&gt;=MATCH("*【合計】*", 貼り付け用!$A:$A, 0),"",
IF(貼り付け用!E96&lt;&gt;"",貼り付け用!E96,"")))</f>
        <v>#N/A</v>
      </c>
      <c r="F95" s="3" t="e">
        <f>IF(貼り付け用!$A$6&lt;&gt;"",
IF(ROW(F94)+2&gt;=MATCH("*【合計】*", 貼り付け用!$A:$A, 0),"",
IF(貼り付け用!F95&lt;&gt;"",貼り付け用!F95,"")),
IF(ROW(F95)+2&gt;=MATCH("*【合計】*", 貼り付け用!$A:$A, 0),"",
IF(貼り付け用!F96&lt;&gt;"",貼り付け用!F96,"")))</f>
        <v>#N/A</v>
      </c>
      <c r="G95" s="3" t="e">
        <f>IF(貼り付け用!$A$6&lt;&gt;"",
IF(ROW(G94)+2&gt;=MATCH("*【合計】*", 貼り付け用!$A:$A, 0),"",
IF(貼り付け用!G95&lt;&gt;"",貼り付け用!G95,"")),
IF(ROW(G95)+2&gt;=MATCH("*【合計】*", 貼り付け用!$A:$A, 0),"",
IF(貼り付け用!G96&lt;&gt;"",貼り付け用!G96,"")))</f>
        <v>#N/A</v>
      </c>
      <c r="H95" s="3" t="e">
        <f>IF(貼り付け用!$A$6&lt;&gt;"",
IF(ROW(H94)+2&gt;=MATCH("*【合計】*", 貼り付け用!$A:$A, 0),"",
IF(貼り付け用!H95&lt;&gt;"",貼り付け用!H95,"")),
IF(ROW(H95)+2&gt;=MATCH("*【合計】*", 貼り付け用!$A:$A, 0),"",
IF(貼り付け用!H96&lt;&gt;"",貼り付け用!H96,"")))</f>
        <v>#N/A</v>
      </c>
      <c r="I95" s="3" t="e">
        <f>IF(貼り付け用!$A$6&lt;&gt;"",
IF(ROW(I94)+2&gt;=MATCH("*【合計】*", 貼り付け用!$A:$A, 0),"",
IF(貼り付け用!I95&lt;&gt;"",貼り付け用!I95,"")),
IF(ROW(I95)+2&gt;=MATCH("*【合計】*", 貼り付け用!$A:$A, 0),"",
IF(貼り付け用!I96&lt;&gt;"",貼り付け用!I96,"")))</f>
        <v>#N/A</v>
      </c>
      <c r="J95" s="3" t="e">
        <f>IF(貼り付け用!$A$6&lt;&gt;"",
IF(ROW(J94)+2&gt;=MATCH("*【合計】*", 貼り付け用!$A:$A, 0),"",
IF(貼り付け用!J95&lt;&gt;"",貼り付け用!J95,"")),
IF(ROW(J95)+2&gt;=MATCH("*【合計】*", 貼り付け用!$A:$A, 0),"",
IF(貼り付け用!J96&lt;&gt;"",貼り付け用!J96,"")))</f>
        <v>#N/A</v>
      </c>
      <c r="K95" s="3" t="e">
        <f>IF(貼り付け用!$A$6&lt;&gt;"",
IF(ROW(K94)+2&gt;=MATCH("*【合計】*", 貼り付け用!$A:$A, 0),"",
IF(貼り付け用!K95&lt;&gt;"",貼り付け用!K95,"")),
IF(ROW(K95)+2&gt;=MATCH("*【合計】*", 貼り付け用!$A:$A, 0),"",
IF(貼り付け用!K96&lt;&gt;"",貼り付け用!K96,"")))</f>
        <v>#N/A</v>
      </c>
      <c r="L95" s="3" t="e">
        <f>IF(貼り付け用!$A$6&lt;&gt;"",
IF(ROW(L94)+2&gt;=MATCH("*【合計】*", 貼り付け用!$A:$A, 0),"",
IF(L$3&lt;&gt;"",IF(貼り付け用!L95&lt;&gt;"",貼り付け用!L95,""),"")),
IF(ROW(L95)+2&gt;=MATCH("*【合計】*", 貼り付け用!$A:$A, 0),"",
IF(L$3&lt;&gt;"",IF(貼り付け用!L96&lt;&gt;"",貼り付け用!L96,""),"")))</f>
        <v>#N/A</v>
      </c>
      <c r="M95" s="3" t="e">
        <f>IF(貼り付け用!$A$6&lt;&gt;"",
IF(ROW(M94)+2&gt;=MATCH("*【合計】*", 貼り付け用!$A:$A, 0),"",
IF(M$3&lt;&gt;"",IF(貼り付け用!M95&lt;&gt;"",貼り付け用!M95,""),"")),
IF(ROW(M95)+2&gt;=MATCH("*【合計】*", 貼り付け用!$A:$A, 0),"",
IF(M$3&lt;&gt;"",IF(貼り付け用!M96&lt;&gt;"",貼り付け用!M96,""),"")))</f>
        <v>#N/A</v>
      </c>
      <c r="N95" s="3" t="e">
        <f>IF(貼り付け用!$A$6&lt;&gt;"",
IF(ROW(N94)+2&gt;=MATCH("*【合計】*", 貼り付け用!$A:$A, 0),"",
IF(N$3&lt;&gt;"",IF(貼り付け用!N95&lt;&gt;"",貼り付け用!N95,""),"")),
IF(ROW(N95)+2&gt;=MATCH("*【合計】*", 貼り付け用!$A:$A, 0),"",
IF(N$3&lt;&gt;"",IF(貼り付け用!N96&lt;&gt;"",貼り付け用!N96,""),"")))</f>
        <v>#N/A</v>
      </c>
      <c r="O95" s="3" t="e">
        <f>IF(貼り付け用!$A$6&lt;&gt;"",
IF(ROW(O94)+2&gt;=MATCH("*【合計】*", 貼り付け用!$A:$A, 0),"",
IF(O$3&lt;&gt;"",IF(貼り付け用!O95&lt;&gt;"",貼り付け用!O95,""),"")),
IF(ROW(O95)+2&gt;=MATCH("*【合計】*", 貼り付け用!$A:$A, 0),"",
IF(O$3&lt;&gt;"",IF(貼り付け用!O96&lt;&gt;"",貼り付け用!O96,""),"")))</f>
        <v>#N/A</v>
      </c>
      <c r="P95" s="3" t="e">
        <f>IF(貼り付け用!$A$6&lt;&gt;"",
IF(ROW(P94)+2&gt;=MATCH("*【合計】*", 貼り付け用!$A:$A, 0),"",
IF(P$3&lt;&gt;"",IF(貼り付け用!P95&lt;&gt;"",貼り付け用!P95,""),"")),
IF(ROW(P95)+2&gt;=MATCH("*【合計】*", 貼り付け用!$A:$A, 0),"",
IF(P$3&lt;&gt;"",IF(貼り付け用!P96&lt;&gt;"",貼り付け用!P96,""),"")))</f>
        <v>#N/A</v>
      </c>
      <c r="Q95" s="3" t="e">
        <f>IF(貼り付け用!$A$6&lt;&gt;"",
IF(ROW(Q94)+2&gt;=MATCH("*【合計】*", 貼り付け用!$A:$A, 0),"",
IF(Q$3&lt;&gt;"",IF(貼り付け用!Q95&lt;&gt;"",貼り付け用!Q95,""),"")),
IF(ROW(Q95)+2&gt;=MATCH("*【合計】*", 貼り付け用!$A:$A, 0),"",
IF(Q$3&lt;&gt;"",IF(貼り付け用!Q96&lt;&gt;"",貼り付け用!Q96,""),"")))</f>
        <v>#N/A</v>
      </c>
      <c r="R95" s="3" t="e">
        <f>IF(貼り付け用!$A$6&lt;&gt;"",
IF(ROW(R94)+2&gt;=MATCH("*【合計】*", 貼り付け用!$A:$A, 0),"",
IF(R$3&lt;&gt;"",IF(貼り付け用!R95&lt;&gt;"",貼り付け用!R95,""),"")),
IF(ROW(R95)+2&gt;=MATCH("*【合計】*", 貼り付け用!$A:$A, 0),"",
IF(R$3&lt;&gt;"",IF(貼り付け用!R96&lt;&gt;"",貼り付け用!R96,""),"")))</f>
        <v>#N/A</v>
      </c>
      <c r="S95" s="3" t="e">
        <f>IF(貼り付け用!$A$6&lt;&gt;"",
IF(ROW(S94)+2&gt;=MATCH("*【合計】*", 貼り付け用!$A:$A, 0),"",
IF(S$3&lt;&gt;"",IF(貼り付け用!S95&lt;&gt;"",貼り付け用!S95,""),"")),
IF(ROW(S95)+2&gt;=MATCH("*【合計】*", 貼り付け用!$A:$A, 0),"",
IF(S$3&lt;&gt;"",IF(貼り付け用!S96&lt;&gt;"",貼り付け用!S96,""),"")))</f>
        <v>#N/A</v>
      </c>
      <c r="T95" s="2" t="e">
        <f t="array" ref="T95">IF(貼り付け用!$A$6&lt;&gt;"",
IF(INDEX(貼り付け用!A:Z, ROW(T94)+1, MATCH("おやつ", 貼り付け用!$A$3:$Z$3, 0))&lt;&gt;0,
INDEX(貼り付け用!A:Z, ROW(T94)+1, MATCH("おやつ", 貼り付け用!$A$3:$Z$3, 0)),""),
IF(INDEX(貼り付け用!A:Z, ROW(T95)+1, MATCH("おやつ", 貼り付け用!$A$3:$Z$3, 0))&lt;&gt;0,
INDEX(貼り付け用!A:Z, ROW(T95)+1, MATCH("おやつ", 貼り付け用!$A$3:$Z$3, 0)),""))</f>
        <v>#N/A</v>
      </c>
      <c r="U95" s="52"/>
      <c r="V95" s="8" t="e">
        <f t="array" ref="V95">IF(貼り付け用!$A$6&lt;&gt;"",
IF(INDEX(貼り付け用!A:Z, ROW(T94)+1, MATCH("おやつ", 貼り付け用!$A$3:$Z$3, 0)+1)&lt;&gt;0,
INDEX(貼り付け用!A:Z, ROW(T94)+1, MATCH("おやつ", 貼り付け用!$A$3:$Z$3, 0)+1),""),
IF(INDEX(貼り付け用!A:Z, ROW(T95)+1, MATCH("おやつ", 貼り付け用!$A$3:$Z$3, 0)+1)&lt;&gt;0,
INDEX(貼り付け用!A:Z, ROW(T95)+1, MATCH("おやつ", 貼り付け用!$A$3:$Z$3, 0)+1),""))</f>
        <v>#N/A</v>
      </c>
      <c r="W95" s="9" t="e">
        <f t="array" ref="W95">IF(貼り付け用!$A$6&lt;&gt;"",
IF(INDEX(貼り付け用!A:Z, ROW(T94)+1, MATCH("おやつ", 貼り付け用!$A$3:$Z$3, 0)+2)&lt;&gt;0,
INDEX(貼り付け用!A:Z, ROW(T94)+1, MATCH("おやつ", 貼り付け用!$A$3:$Z$3, 0)+2),""),
IF(INDEX(貼り付け用!A:Z, ROW(T95)+1, MATCH("おやつ", 貼り付け用!$A$3:$Z$3, 0)+2)&lt;&gt;0,
INDEX(貼り付け用!A:Z, ROW(T95)+1, MATCH("おやつ", 貼り付け用!$A$3:$Z$3, 0)+2),""))</f>
        <v>#N/A</v>
      </c>
    </row>
    <row r="96" spans="1:23" x14ac:dyDescent="0.45">
      <c r="A96" s="4" t="e">
        <f>IF(貼り付け用!$A$6&lt;&gt;"",
IF(ROW(A95)+1&gt;=MATCH("*10000*", 貼り付け用!$A:$A, 0),
IF(COUNTIF(A94,"*10000*"),"10001",
IF(COUNTIF(A94,"*10001*"),"10002",
IF(COUNTIF(A94,"*10002*"),"",
IF(COUNTIF(A94,""),"","10000")))),
IF(貼り付け用!A96&lt;&gt;"",貼り付け用!A96,"")),
IF(ROW(A96)+1&gt;=MATCH("*10000*", 貼り付け用!$A:$A, 0),
IF(COUNTIF(A94,"*10000*"),"10001",
IF(COUNTIF(A94,"*10001*"),"10002",
IF(COUNTIF(A94,"*10002*"),"",
IF(COUNTIF(A94,""),"","10000")))),
IF(貼り付け用!A97&lt;&gt;"",貼り付け用!A97,"")))</f>
        <v>#N/A</v>
      </c>
      <c r="B96" s="19" t="e">
        <f>IF(貼り付け用!$A$6&lt;&gt;"",
IF(ROW(B95)+2&gt;=MATCH("*【合計】*", 貼り付け用!$A:$A, 0),"",
IF(貼り付け用!B96&lt;&gt;"",貼り付け用!B96,"")),
IF(ROW(B96)+2&gt;=MATCH("*【合計】*", 貼り付け用!$A:$A, 0),"",
IF(貼り付け用!B97&lt;&gt;"",貼り付け用!B97,"")))</f>
        <v>#N/A</v>
      </c>
      <c r="C96" s="19" t="e">
        <f>IF(貼り付け用!$A$6&lt;&gt;"",
IF(ROW(C95)+2&gt;=MATCH("*【合計】*", 貼り付け用!$A:$A, 0),"",
IF(貼り付け用!C96&lt;&gt;"",貼り付け用!C96,"")),
IF(ROW(C96)+2&gt;=MATCH("*【合計】*", 貼り付け用!$A:$A, 0),"",
IF(貼り付け用!C97&lt;&gt;"",貼り付け用!C97,"")))</f>
        <v>#N/A</v>
      </c>
      <c r="D96" s="19" t="e">
        <f>IF(貼り付け用!$A$6&lt;&gt;"",
IF(ROW(D95)+2&gt;=MATCH("*【合計】*", 貼り付け用!$A:$A, 0),"",
IF(貼り付け用!D96&lt;&gt;"",貼り付け用!D96,"")),
IF(ROW(D96)+2&gt;=MATCH("*【合計】*", 貼り付け用!$A:$A, 0),"",
IF(貼り付け用!D97&lt;&gt;"",貼り付け用!D97,"")))</f>
        <v>#N/A</v>
      </c>
      <c r="E96" s="19" t="e">
        <f>IF(貼り付け用!$A$6&lt;&gt;"",
IF(ROW(E95)+2&gt;=MATCH("*【合計】*", 貼り付け用!$A:$A, 0),"",
IF(貼り付け用!E96&lt;&gt;"",貼り付け用!E96,"")),
IF(ROW(E96)+2&gt;=MATCH("*【合計】*", 貼り付け用!$A:$A, 0),"",
IF(貼り付け用!E97&lt;&gt;"",貼り付け用!E97,"")))</f>
        <v>#N/A</v>
      </c>
      <c r="F96" s="19" t="e">
        <f>IF(貼り付け用!$A$6&lt;&gt;"",
IF(ROW(F95)+2&gt;=MATCH("*【合計】*", 貼り付け用!$A:$A, 0),"",
IF(貼り付け用!F96&lt;&gt;"",貼り付け用!F96,"")),
IF(ROW(F96)+2&gt;=MATCH("*【合計】*", 貼り付け用!$A:$A, 0),"",
IF(貼り付け用!F97&lt;&gt;"",貼り付け用!F97,"")))</f>
        <v>#N/A</v>
      </c>
      <c r="G96" s="19" t="e">
        <f>IF(貼り付け用!$A$6&lt;&gt;"",
IF(ROW(G95)+2&gt;=MATCH("*【合計】*", 貼り付け用!$A:$A, 0),"",
IF(貼り付け用!G96&lt;&gt;"",貼り付け用!G96,"")),
IF(ROW(G96)+2&gt;=MATCH("*【合計】*", 貼り付け用!$A:$A, 0),"",
IF(貼り付け用!G97&lt;&gt;"",貼り付け用!G97,"")))</f>
        <v>#N/A</v>
      </c>
      <c r="H96" s="19" t="e">
        <f>IF(貼り付け用!$A$6&lt;&gt;"",
IF(ROW(H95)+2&gt;=MATCH("*【合計】*", 貼り付け用!$A:$A, 0),"",
IF(貼り付け用!H96&lt;&gt;"",貼り付け用!H96,"")),
IF(ROW(H96)+2&gt;=MATCH("*【合計】*", 貼り付け用!$A:$A, 0),"",
IF(貼り付け用!H97&lt;&gt;"",貼り付け用!H97,"")))</f>
        <v>#N/A</v>
      </c>
      <c r="I96" s="19" t="e">
        <f>IF(貼り付け用!$A$6&lt;&gt;"",
IF(ROW(I95)+2&gt;=MATCH("*【合計】*", 貼り付け用!$A:$A, 0),"",
IF(貼り付け用!I96&lt;&gt;"",貼り付け用!I96,"")),
IF(ROW(I96)+2&gt;=MATCH("*【合計】*", 貼り付け用!$A:$A, 0),"",
IF(貼り付け用!I97&lt;&gt;"",貼り付け用!I97,"")))</f>
        <v>#N/A</v>
      </c>
      <c r="J96" s="19" t="e">
        <f>IF(貼り付け用!$A$6&lt;&gt;"",
IF(ROW(J95)+2&gt;=MATCH("*【合計】*", 貼り付け用!$A:$A, 0),"",
IF(貼り付け用!J96&lt;&gt;"",貼り付け用!J96,"")),
IF(ROW(J96)+2&gt;=MATCH("*【合計】*", 貼り付け用!$A:$A, 0),"",
IF(貼り付け用!J97&lt;&gt;"",貼り付け用!J97,"")))</f>
        <v>#N/A</v>
      </c>
      <c r="K96" s="19" t="e">
        <f>IF(貼り付け用!$A$6&lt;&gt;"",
IF(ROW(K95)+2&gt;=MATCH("*【合計】*", 貼り付け用!$A:$A, 0),"",
IF(貼り付け用!K96&lt;&gt;"",貼り付け用!K96,"")),
IF(ROW(K96)+2&gt;=MATCH("*【合計】*", 貼り付け用!$A:$A, 0),"",
IF(貼り付け用!K97&lt;&gt;"",貼り付け用!K97,"")))</f>
        <v>#N/A</v>
      </c>
      <c r="L96" s="19" t="e">
        <f>IF(貼り付け用!$A$6&lt;&gt;"",
IF(ROW(L95)+2&gt;=MATCH("*【合計】*", 貼り付け用!$A:$A, 0),"",
IF(L$3&lt;&gt;"",IF(貼り付け用!L96&lt;&gt;"",貼り付け用!L96,""),"")),
IF(ROW(L96)+2&gt;=MATCH("*【合計】*", 貼り付け用!$A:$A, 0),"",
IF(L$3&lt;&gt;"",IF(貼り付け用!L97&lt;&gt;"",貼り付け用!L97,""),"")))</f>
        <v>#N/A</v>
      </c>
      <c r="M96" s="19" t="e">
        <f>IF(貼り付け用!$A$6&lt;&gt;"",
IF(ROW(M95)+2&gt;=MATCH("*【合計】*", 貼り付け用!$A:$A, 0),"",
IF(M$3&lt;&gt;"",IF(貼り付け用!M96&lt;&gt;"",貼り付け用!M96,""),"")),
IF(ROW(M96)+2&gt;=MATCH("*【合計】*", 貼り付け用!$A:$A, 0),"",
IF(M$3&lt;&gt;"",IF(貼り付け用!M97&lt;&gt;"",貼り付け用!M97,""),"")))</f>
        <v>#N/A</v>
      </c>
      <c r="N96" s="19" t="e">
        <f>IF(貼り付け用!$A$6&lt;&gt;"",
IF(ROW(N95)+2&gt;=MATCH("*【合計】*", 貼り付け用!$A:$A, 0),"",
IF(N$3&lt;&gt;"",IF(貼り付け用!N96&lt;&gt;"",貼り付け用!N96,""),"")),
IF(ROW(N96)+2&gt;=MATCH("*【合計】*", 貼り付け用!$A:$A, 0),"",
IF(N$3&lt;&gt;"",IF(貼り付け用!N97&lt;&gt;"",貼り付け用!N97,""),"")))</f>
        <v>#N/A</v>
      </c>
      <c r="O96" s="19" t="e">
        <f>IF(貼り付け用!$A$6&lt;&gt;"",
IF(ROW(O95)+2&gt;=MATCH("*【合計】*", 貼り付け用!$A:$A, 0),"",
IF(O$3&lt;&gt;"",IF(貼り付け用!O96&lt;&gt;"",貼り付け用!O96,""),"")),
IF(ROW(O96)+2&gt;=MATCH("*【合計】*", 貼り付け用!$A:$A, 0),"",
IF(O$3&lt;&gt;"",IF(貼り付け用!O97&lt;&gt;"",貼り付け用!O97,""),"")))</f>
        <v>#N/A</v>
      </c>
      <c r="P96" s="19" t="e">
        <f>IF(貼り付け用!$A$6&lt;&gt;"",
IF(ROW(P95)+2&gt;=MATCH("*【合計】*", 貼り付け用!$A:$A, 0),"",
IF(P$3&lt;&gt;"",IF(貼り付け用!P96&lt;&gt;"",貼り付け用!P96,""),"")),
IF(ROW(P96)+2&gt;=MATCH("*【合計】*", 貼り付け用!$A:$A, 0),"",
IF(P$3&lt;&gt;"",IF(貼り付け用!P97&lt;&gt;"",貼り付け用!P97,""),"")))</f>
        <v>#N/A</v>
      </c>
      <c r="Q96" s="19" t="e">
        <f>IF(貼り付け用!$A$6&lt;&gt;"",
IF(ROW(Q95)+2&gt;=MATCH("*【合計】*", 貼り付け用!$A:$A, 0),"",
IF(Q$3&lt;&gt;"",IF(貼り付け用!Q96&lt;&gt;"",貼り付け用!Q96,""),"")),
IF(ROW(Q96)+2&gt;=MATCH("*【合計】*", 貼り付け用!$A:$A, 0),"",
IF(Q$3&lt;&gt;"",IF(貼り付け用!Q97&lt;&gt;"",貼り付け用!Q97,""),"")))</f>
        <v>#N/A</v>
      </c>
      <c r="R96" s="19" t="e">
        <f>IF(貼り付け用!$A$6&lt;&gt;"",
IF(ROW(R95)+2&gt;=MATCH("*【合計】*", 貼り付け用!$A:$A, 0),"",
IF(R$3&lt;&gt;"",IF(貼り付け用!R96&lt;&gt;"",貼り付け用!R96,""),"")),
IF(ROW(R96)+2&gt;=MATCH("*【合計】*", 貼り付け用!$A:$A, 0),"",
IF(R$3&lt;&gt;"",IF(貼り付け用!R97&lt;&gt;"",貼り付け用!R97,""),"")))</f>
        <v>#N/A</v>
      </c>
      <c r="S96" s="19" t="e">
        <f>IF(貼り付け用!$A$6&lt;&gt;"",
IF(ROW(S95)+2&gt;=MATCH("*【合計】*", 貼り付け用!$A:$A, 0),"",
IF(S$3&lt;&gt;"",IF(貼り付け用!S96&lt;&gt;"",貼り付け用!S96,""),"")),
IF(ROW(S96)+2&gt;=MATCH("*【合計】*", 貼り付け用!$A:$A, 0),"",
IF(S$3&lt;&gt;"",IF(貼り付け用!S97&lt;&gt;"",貼り付け用!S97,""),"")))</f>
        <v>#N/A</v>
      </c>
      <c r="T96" s="19" t="e">
        <f t="array" ref="T96">IF(貼り付け用!$A$6&lt;&gt;"",
IF(INDEX(貼り付け用!A:Z, ROW(T95)+1, MATCH("おやつ", 貼り付け用!$A$3:$Z$3, 0))&lt;&gt;0,
INDEX(貼り付け用!A:Z, ROW(T95)+1, MATCH("おやつ", 貼り付け用!$A$3:$Z$3, 0)),""),
IF(INDEX(貼り付け用!A:Z, ROW(T96)+1, MATCH("おやつ", 貼り付け用!$A$3:$Z$3, 0))&lt;&gt;0,
INDEX(貼り付け用!A:Z, ROW(T96)+1, MATCH("おやつ", 貼り付け用!$A$3:$Z$3, 0)),""))</f>
        <v>#N/A</v>
      </c>
      <c r="U96" s="16"/>
      <c r="V96" s="5" t="e">
        <f t="array" ref="V96">IF(貼り付け用!$A$6&lt;&gt;"",
IF(INDEX(貼り付け用!A:Z, ROW(T95)+1, MATCH("おやつ", 貼り付け用!$A$3:$Z$3, 0)+1)&lt;&gt;0,
INDEX(貼り付け用!A:Z, ROW(T95)+1, MATCH("おやつ", 貼り付け用!$A$3:$Z$3, 0)+1),""),
IF(INDEX(貼り付け用!A:Z, ROW(T96)+1, MATCH("おやつ", 貼り付け用!$A$3:$Z$3, 0)+1)&lt;&gt;0,
INDEX(貼り付け用!A:Z, ROW(T96)+1, MATCH("おやつ", 貼り付け用!$A$3:$Z$3, 0)+1),""))</f>
        <v>#N/A</v>
      </c>
      <c r="W96" s="7" t="e">
        <f t="array" ref="W96">IF(貼り付け用!$A$6&lt;&gt;"",
IF(INDEX(貼り付け用!A:Z, ROW(T95)+1, MATCH("おやつ", 貼り付け用!$A$3:$Z$3, 0)+2)&lt;&gt;0,
INDEX(貼り付け用!A:Z, ROW(T95)+1, MATCH("おやつ", 貼り付け用!$A$3:$Z$3, 0)+2),""),
IF(INDEX(貼り付け用!A:Z, ROW(T96)+1, MATCH("おやつ", 貼り付け用!$A$3:$Z$3, 0)+2)&lt;&gt;0,
INDEX(貼り付け用!A:Z, ROW(T96)+1, MATCH("おやつ", 貼り付け用!$A$3:$Z$3, 0)+2),""))</f>
        <v>#N/A</v>
      </c>
    </row>
    <row r="97" spans="1:23" x14ac:dyDescent="0.45">
      <c r="A97" s="10" t="e">
        <f>IF(貼り付け用!$A$6&lt;&gt;"",
IF(ROW(A96)+1&gt;=MATCH("*10000*", 貼り付け用!$A:$A, 0),"",
IF(貼り付け用!A97&lt;&gt;"",貼り付け用!A97,"")),
IF(ROW(A97)+1&gt;=MATCH("*10000*", 貼り付け用!$A:$A, 0),"",
IF(貼り付け用!A98&lt;&gt;"",貼り付け用!A98,"")))</f>
        <v>#N/A</v>
      </c>
      <c r="B97" s="3" t="e">
        <f>IF(貼り付け用!$A$6&lt;&gt;"",
IF(ROW(B96)+2&gt;=MATCH("*【合計】*", 貼り付け用!$A:$A, 0),"",
IF(貼り付け用!B97&lt;&gt;"",貼り付け用!B97,"")),
IF(ROW(B97)+2&gt;=MATCH("*【合計】*", 貼り付け用!$A:$A, 0),"",
IF(貼り付け用!B98&lt;&gt;"",貼り付け用!B98,"")))</f>
        <v>#N/A</v>
      </c>
      <c r="C97" s="3" t="e">
        <f>IF(貼り付け用!$A$6&lt;&gt;"",
IF(ROW(C96)+2&gt;=MATCH("*【合計】*", 貼り付け用!$A:$A, 0),"",
IF(貼り付け用!C97&lt;&gt;"",貼り付け用!C97,"")),
IF(ROW(C97)+2&gt;=MATCH("*【合計】*", 貼り付け用!$A:$A, 0),"",
IF(貼り付け用!C98&lt;&gt;"",貼り付け用!C98,"")))</f>
        <v>#N/A</v>
      </c>
      <c r="D97" s="3" t="e">
        <f>IF(貼り付け用!$A$6&lt;&gt;"",
IF(ROW(D96)+2&gt;=MATCH("*【合計】*", 貼り付け用!$A:$A, 0),"",
IF(貼り付け用!D97&lt;&gt;"",貼り付け用!D97,"")),
IF(ROW(D97)+2&gt;=MATCH("*【合計】*", 貼り付け用!$A:$A, 0),"",
IF(貼り付け用!D98&lt;&gt;"",貼り付け用!D98,"")))</f>
        <v>#N/A</v>
      </c>
      <c r="E97" s="3" t="e">
        <f>IF(貼り付け用!$A$6&lt;&gt;"",
IF(ROW(E96)+2&gt;=MATCH("*【合計】*", 貼り付け用!$A:$A, 0),"",
IF(貼り付け用!E97&lt;&gt;"",貼り付け用!E97,"")),
IF(ROW(E97)+2&gt;=MATCH("*【合計】*", 貼り付け用!$A:$A, 0),"",
IF(貼り付け用!E98&lt;&gt;"",貼り付け用!E98,"")))</f>
        <v>#N/A</v>
      </c>
      <c r="F97" s="3" t="e">
        <f>IF(貼り付け用!$A$6&lt;&gt;"",
IF(ROW(F96)+2&gt;=MATCH("*【合計】*", 貼り付け用!$A:$A, 0),"",
IF(貼り付け用!F97&lt;&gt;"",貼り付け用!F97,"")),
IF(ROW(F97)+2&gt;=MATCH("*【合計】*", 貼り付け用!$A:$A, 0),"",
IF(貼り付け用!F98&lt;&gt;"",貼り付け用!F98,"")))</f>
        <v>#N/A</v>
      </c>
      <c r="G97" s="3" t="e">
        <f>IF(貼り付け用!$A$6&lt;&gt;"",
IF(ROW(G96)+2&gt;=MATCH("*【合計】*", 貼り付け用!$A:$A, 0),"",
IF(貼り付け用!G97&lt;&gt;"",貼り付け用!G97,"")),
IF(ROW(G97)+2&gt;=MATCH("*【合計】*", 貼り付け用!$A:$A, 0),"",
IF(貼り付け用!G98&lt;&gt;"",貼り付け用!G98,"")))</f>
        <v>#N/A</v>
      </c>
      <c r="H97" s="3" t="e">
        <f>IF(貼り付け用!$A$6&lt;&gt;"",
IF(ROW(H96)+2&gt;=MATCH("*【合計】*", 貼り付け用!$A:$A, 0),"",
IF(貼り付け用!H97&lt;&gt;"",貼り付け用!H97,"")),
IF(ROW(H97)+2&gt;=MATCH("*【合計】*", 貼り付け用!$A:$A, 0),"",
IF(貼り付け用!H98&lt;&gt;"",貼り付け用!H98,"")))</f>
        <v>#N/A</v>
      </c>
      <c r="I97" s="3" t="e">
        <f>IF(貼り付け用!$A$6&lt;&gt;"",
IF(ROW(I96)+2&gt;=MATCH("*【合計】*", 貼り付け用!$A:$A, 0),"",
IF(貼り付け用!I97&lt;&gt;"",貼り付け用!I97,"")),
IF(ROW(I97)+2&gt;=MATCH("*【合計】*", 貼り付け用!$A:$A, 0),"",
IF(貼り付け用!I98&lt;&gt;"",貼り付け用!I98,"")))</f>
        <v>#N/A</v>
      </c>
      <c r="J97" s="3" t="e">
        <f>IF(貼り付け用!$A$6&lt;&gt;"",
IF(ROW(J96)+2&gt;=MATCH("*【合計】*", 貼り付け用!$A:$A, 0),"",
IF(貼り付け用!J97&lt;&gt;"",貼り付け用!J97,"")),
IF(ROW(J97)+2&gt;=MATCH("*【合計】*", 貼り付け用!$A:$A, 0),"",
IF(貼り付け用!J98&lt;&gt;"",貼り付け用!J98,"")))</f>
        <v>#N/A</v>
      </c>
      <c r="K97" s="3" t="e">
        <f>IF(貼り付け用!$A$6&lt;&gt;"",
IF(ROW(K96)+2&gt;=MATCH("*【合計】*", 貼り付け用!$A:$A, 0),"",
IF(貼り付け用!K97&lt;&gt;"",貼り付け用!K97,"")),
IF(ROW(K97)+2&gt;=MATCH("*【合計】*", 貼り付け用!$A:$A, 0),"",
IF(貼り付け用!K98&lt;&gt;"",貼り付け用!K98,"")))</f>
        <v>#N/A</v>
      </c>
      <c r="L97" s="3" t="e">
        <f>IF(貼り付け用!$A$6&lt;&gt;"",
IF(ROW(L96)+2&gt;=MATCH("*【合計】*", 貼り付け用!$A:$A, 0),"",
IF(L$3&lt;&gt;"",IF(貼り付け用!L97&lt;&gt;"",貼り付け用!L97,""),"")),
IF(ROW(L97)+2&gt;=MATCH("*【合計】*", 貼り付け用!$A:$A, 0),"",
IF(L$3&lt;&gt;"",IF(貼り付け用!L98&lt;&gt;"",貼り付け用!L98,""),"")))</f>
        <v>#N/A</v>
      </c>
      <c r="M97" s="3" t="e">
        <f>IF(貼り付け用!$A$6&lt;&gt;"",
IF(ROW(M96)+2&gt;=MATCH("*【合計】*", 貼り付け用!$A:$A, 0),"",
IF(M$3&lt;&gt;"",IF(貼り付け用!M97&lt;&gt;"",貼り付け用!M97,""),"")),
IF(ROW(M97)+2&gt;=MATCH("*【合計】*", 貼り付け用!$A:$A, 0),"",
IF(M$3&lt;&gt;"",IF(貼り付け用!M98&lt;&gt;"",貼り付け用!M98,""),"")))</f>
        <v>#N/A</v>
      </c>
      <c r="N97" s="3" t="e">
        <f>IF(貼り付け用!$A$6&lt;&gt;"",
IF(ROW(N96)+2&gt;=MATCH("*【合計】*", 貼り付け用!$A:$A, 0),"",
IF(N$3&lt;&gt;"",IF(貼り付け用!N97&lt;&gt;"",貼り付け用!N97,""),"")),
IF(ROW(N97)+2&gt;=MATCH("*【合計】*", 貼り付け用!$A:$A, 0),"",
IF(N$3&lt;&gt;"",IF(貼り付け用!N98&lt;&gt;"",貼り付け用!N98,""),"")))</f>
        <v>#N/A</v>
      </c>
      <c r="O97" s="3" t="e">
        <f>IF(貼り付け用!$A$6&lt;&gt;"",
IF(ROW(O96)+2&gt;=MATCH("*【合計】*", 貼り付け用!$A:$A, 0),"",
IF(O$3&lt;&gt;"",IF(貼り付け用!O97&lt;&gt;"",貼り付け用!O97,""),"")),
IF(ROW(O97)+2&gt;=MATCH("*【合計】*", 貼り付け用!$A:$A, 0),"",
IF(O$3&lt;&gt;"",IF(貼り付け用!O98&lt;&gt;"",貼り付け用!O98,""),"")))</f>
        <v>#N/A</v>
      </c>
      <c r="P97" s="3" t="e">
        <f>IF(貼り付け用!$A$6&lt;&gt;"",
IF(ROW(P96)+2&gt;=MATCH("*【合計】*", 貼り付け用!$A:$A, 0),"",
IF(P$3&lt;&gt;"",IF(貼り付け用!P97&lt;&gt;"",貼り付け用!P97,""),"")),
IF(ROW(P97)+2&gt;=MATCH("*【合計】*", 貼り付け用!$A:$A, 0),"",
IF(P$3&lt;&gt;"",IF(貼り付け用!P98&lt;&gt;"",貼り付け用!P98,""),"")))</f>
        <v>#N/A</v>
      </c>
      <c r="Q97" s="3" t="e">
        <f>IF(貼り付け用!$A$6&lt;&gt;"",
IF(ROW(Q96)+2&gt;=MATCH("*【合計】*", 貼り付け用!$A:$A, 0),"",
IF(Q$3&lt;&gt;"",IF(貼り付け用!Q97&lt;&gt;"",貼り付け用!Q97,""),"")),
IF(ROW(Q97)+2&gt;=MATCH("*【合計】*", 貼り付け用!$A:$A, 0),"",
IF(Q$3&lt;&gt;"",IF(貼り付け用!Q98&lt;&gt;"",貼り付け用!Q98,""),"")))</f>
        <v>#N/A</v>
      </c>
      <c r="R97" s="3" t="e">
        <f>IF(貼り付け用!$A$6&lt;&gt;"",
IF(ROW(R96)+2&gt;=MATCH("*【合計】*", 貼り付け用!$A:$A, 0),"",
IF(R$3&lt;&gt;"",IF(貼り付け用!R97&lt;&gt;"",貼り付け用!R97,""),"")),
IF(ROW(R97)+2&gt;=MATCH("*【合計】*", 貼り付け用!$A:$A, 0),"",
IF(R$3&lt;&gt;"",IF(貼り付け用!R98&lt;&gt;"",貼り付け用!R98,""),"")))</f>
        <v>#N/A</v>
      </c>
      <c r="S97" s="3" t="e">
        <f>IF(貼り付け用!$A$6&lt;&gt;"",
IF(ROW(S96)+2&gt;=MATCH("*【合計】*", 貼り付け用!$A:$A, 0),"",
IF(S$3&lt;&gt;"",IF(貼り付け用!S97&lt;&gt;"",貼り付け用!S97,""),"")),
IF(ROW(S97)+2&gt;=MATCH("*【合計】*", 貼り付け用!$A:$A, 0),"",
IF(S$3&lt;&gt;"",IF(貼り付け用!S98&lt;&gt;"",貼り付け用!S98,""),"")))</f>
        <v>#N/A</v>
      </c>
      <c r="T97" s="2" t="e">
        <f t="array" ref="T97">IF(貼り付け用!$A$6&lt;&gt;"",
IF(INDEX(貼り付け用!A:Z, ROW(T96)+1, MATCH("おやつ", 貼り付け用!$A$3:$Z$3, 0))&lt;&gt;0,
INDEX(貼り付け用!A:Z, ROW(T96)+1, MATCH("おやつ", 貼り付け用!$A$3:$Z$3, 0)),""),
IF(INDEX(貼り付け用!A:Z, ROW(T97)+1, MATCH("おやつ", 貼り付け用!$A$3:$Z$3, 0))&lt;&gt;0,
INDEX(貼り付け用!A:Z, ROW(T97)+1, MATCH("おやつ", 貼り付け用!$A$3:$Z$3, 0)),""))</f>
        <v>#N/A</v>
      </c>
      <c r="U97" s="52"/>
      <c r="V97" s="8" t="e">
        <f t="array" ref="V97">IF(貼り付け用!$A$6&lt;&gt;"",
IF(INDEX(貼り付け用!A:Z, ROW(T96)+1, MATCH("おやつ", 貼り付け用!$A$3:$Z$3, 0)+1)&lt;&gt;0,
INDEX(貼り付け用!A:Z, ROW(T96)+1, MATCH("おやつ", 貼り付け用!$A$3:$Z$3, 0)+1),""),
IF(INDEX(貼り付け用!A:Z, ROW(T97)+1, MATCH("おやつ", 貼り付け用!$A$3:$Z$3, 0)+1)&lt;&gt;0,
INDEX(貼り付け用!A:Z, ROW(T97)+1, MATCH("おやつ", 貼り付け用!$A$3:$Z$3, 0)+1),""))</f>
        <v>#N/A</v>
      </c>
      <c r="W97" s="9" t="e">
        <f t="array" ref="W97">IF(貼り付け用!$A$6&lt;&gt;"",
IF(INDEX(貼り付け用!A:Z, ROW(T96)+1, MATCH("おやつ", 貼り付け用!$A$3:$Z$3, 0)+2)&lt;&gt;0,
INDEX(貼り付け用!A:Z, ROW(T96)+1, MATCH("おやつ", 貼り付け用!$A$3:$Z$3, 0)+2),""),
IF(INDEX(貼り付け用!A:Z, ROW(T97)+1, MATCH("おやつ", 貼り付け用!$A$3:$Z$3, 0)+2)&lt;&gt;0,
INDEX(貼り付け用!A:Z, ROW(T97)+1, MATCH("おやつ", 貼り付け用!$A$3:$Z$3, 0)+2),""))</f>
        <v>#N/A</v>
      </c>
    </row>
    <row r="98" spans="1:23" x14ac:dyDescent="0.45">
      <c r="A98" s="4" t="e">
        <f>IF(貼り付け用!$A$6&lt;&gt;"",
IF(ROW(A97)+1&gt;=MATCH("*10000*", 貼り付け用!$A:$A, 0),
IF(COUNTIF(A96,"*10000*"),"10001",
IF(COUNTIF(A96,"*10001*"),"10002",
IF(COUNTIF(A96,"*10002*"),"",
IF(COUNTIF(A96,""),"","10000")))),
IF(貼り付け用!A98&lt;&gt;"",貼り付け用!A98,"")),
IF(ROW(A98)+1&gt;=MATCH("*10000*", 貼り付け用!$A:$A, 0),
IF(COUNTIF(A96,"*10000*"),"10001",
IF(COUNTIF(A96,"*10001*"),"10002",
IF(COUNTIF(A96,"*10002*"),"",
IF(COUNTIF(A96,""),"","10000")))),
IF(貼り付け用!A99&lt;&gt;"",貼り付け用!A99,"")))</f>
        <v>#N/A</v>
      </c>
      <c r="B98" s="19" t="e">
        <f>IF(貼り付け用!$A$6&lt;&gt;"",
IF(ROW(B97)+2&gt;=MATCH("*【合計】*", 貼り付け用!$A:$A, 0),"",
IF(貼り付け用!B98&lt;&gt;"",貼り付け用!B98,"")),
IF(ROW(B98)+2&gt;=MATCH("*【合計】*", 貼り付け用!$A:$A, 0),"",
IF(貼り付け用!B99&lt;&gt;"",貼り付け用!B99,"")))</f>
        <v>#N/A</v>
      </c>
      <c r="C98" s="19" t="e">
        <f>IF(貼り付け用!$A$6&lt;&gt;"",
IF(ROW(C97)+2&gt;=MATCH("*【合計】*", 貼り付け用!$A:$A, 0),"",
IF(貼り付け用!C98&lt;&gt;"",貼り付け用!C98,"")),
IF(ROW(C98)+2&gt;=MATCH("*【合計】*", 貼り付け用!$A:$A, 0),"",
IF(貼り付け用!C99&lt;&gt;"",貼り付け用!C99,"")))</f>
        <v>#N/A</v>
      </c>
      <c r="D98" s="19" t="e">
        <f>IF(貼り付け用!$A$6&lt;&gt;"",
IF(ROW(D97)+2&gt;=MATCH("*【合計】*", 貼り付け用!$A:$A, 0),"",
IF(貼り付け用!D98&lt;&gt;"",貼り付け用!D98,"")),
IF(ROW(D98)+2&gt;=MATCH("*【合計】*", 貼り付け用!$A:$A, 0),"",
IF(貼り付け用!D99&lt;&gt;"",貼り付け用!D99,"")))</f>
        <v>#N/A</v>
      </c>
      <c r="E98" s="19" t="e">
        <f>IF(貼り付け用!$A$6&lt;&gt;"",
IF(ROW(E97)+2&gt;=MATCH("*【合計】*", 貼り付け用!$A:$A, 0),"",
IF(貼り付け用!E98&lt;&gt;"",貼り付け用!E98,"")),
IF(ROW(E98)+2&gt;=MATCH("*【合計】*", 貼り付け用!$A:$A, 0),"",
IF(貼り付け用!E99&lt;&gt;"",貼り付け用!E99,"")))</f>
        <v>#N/A</v>
      </c>
      <c r="F98" s="19" t="e">
        <f>IF(貼り付け用!$A$6&lt;&gt;"",
IF(ROW(F97)+2&gt;=MATCH("*【合計】*", 貼り付け用!$A:$A, 0),"",
IF(貼り付け用!F98&lt;&gt;"",貼り付け用!F98,"")),
IF(ROW(F98)+2&gt;=MATCH("*【合計】*", 貼り付け用!$A:$A, 0),"",
IF(貼り付け用!F99&lt;&gt;"",貼り付け用!F99,"")))</f>
        <v>#N/A</v>
      </c>
      <c r="G98" s="19" t="e">
        <f>IF(貼り付け用!$A$6&lt;&gt;"",
IF(ROW(G97)+2&gt;=MATCH("*【合計】*", 貼り付け用!$A:$A, 0),"",
IF(貼り付け用!G98&lt;&gt;"",貼り付け用!G98,"")),
IF(ROW(G98)+2&gt;=MATCH("*【合計】*", 貼り付け用!$A:$A, 0),"",
IF(貼り付け用!G99&lt;&gt;"",貼り付け用!G99,"")))</f>
        <v>#N/A</v>
      </c>
      <c r="H98" s="19" t="e">
        <f>IF(貼り付け用!$A$6&lt;&gt;"",
IF(ROW(H97)+2&gt;=MATCH("*【合計】*", 貼り付け用!$A:$A, 0),"",
IF(貼り付け用!H98&lt;&gt;"",貼り付け用!H98,"")),
IF(ROW(H98)+2&gt;=MATCH("*【合計】*", 貼り付け用!$A:$A, 0),"",
IF(貼り付け用!H99&lt;&gt;"",貼り付け用!H99,"")))</f>
        <v>#N/A</v>
      </c>
      <c r="I98" s="19" t="e">
        <f>IF(貼り付け用!$A$6&lt;&gt;"",
IF(ROW(I97)+2&gt;=MATCH("*【合計】*", 貼り付け用!$A:$A, 0),"",
IF(貼り付け用!I98&lt;&gt;"",貼り付け用!I98,"")),
IF(ROW(I98)+2&gt;=MATCH("*【合計】*", 貼り付け用!$A:$A, 0),"",
IF(貼り付け用!I99&lt;&gt;"",貼り付け用!I99,"")))</f>
        <v>#N/A</v>
      </c>
      <c r="J98" s="19" t="e">
        <f>IF(貼り付け用!$A$6&lt;&gt;"",
IF(ROW(J97)+2&gt;=MATCH("*【合計】*", 貼り付け用!$A:$A, 0),"",
IF(貼り付け用!J98&lt;&gt;"",貼り付け用!J98,"")),
IF(ROW(J98)+2&gt;=MATCH("*【合計】*", 貼り付け用!$A:$A, 0),"",
IF(貼り付け用!J99&lt;&gt;"",貼り付け用!J99,"")))</f>
        <v>#N/A</v>
      </c>
      <c r="K98" s="19" t="e">
        <f>IF(貼り付け用!$A$6&lt;&gt;"",
IF(ROW(K97)+2&gt;=MATCH("*【合計】*", 貼り付け用!$A:$A, 0),"",
IF(貼り付け用!K98&lt;&gt;"",貼り付け用!K98,"")),
IF(ROW(K98)+2&gt;=MATCH("*【合計】*", 貼り付け用!$A:$A, 0),"",
IF(貼り付け用!K99&lt;&gt;"",貼り付け用!K99,"")))</f>
        <v>#N/A</v>
      </c>
      <c r="L98" s="19" t="e">
        <f>IF(貼り付け用!$A$6&lt;&gt;"",
IF(ROW(L97)+2&gt;=MATCH("*【合計】*", 貼り付け用!$A:$A, 0),"",
IF(L$3&lt;&gt;"",IF(貼り付け用!L98&lt;&gt;"",貼り付け用!L98,""),"")),
IF(ROW(L98)+2&gt;=MATCH("*【合計】*", 貼り付け用!$A:$A, 0),"",
IF(L$3&lt;&gt;"",IF(貼り付け用!L99&lt;&gt;"",貼り付け用!L99,""),"")))</f>
        <v>#N/A</v>
      </c>
      <c r="M98" s="19" t="e">
        <f>IF(貼り付け用!$A$6&lt;&gt;"",
IF(ROW(M97)+2&gt;=MATCH("*【合計】*", 貼り付け用!$A:$A, 0),"",
IF(M$3&lt;&gt;"",IF(貼り付け用!M98&lt;&gt;"",貼り付け用!M98,""),"")),
IF(ROW(M98)+2&gt;=MATCH("*【合計】*", 貼り付け用!$A:$A, 0),"",
IF(M$3&lt;&gt;"",IF(貼り付け用!M99&lt;&gt;"",貼り付け用!M99,""),"")))</f>
        <v>#N/A</v>
      </c>
      <c r="N98" s="19" t="e">
        <f>IF(貼り付け用!$A$6&lt;&gt;"",
IF(ROW(N97)+2&gt;=MATCH("*【合計】*", 貼り付け用!$A:$A, 0),"",
IF(N$3&lt;&gt;"",IF(貼り付け用!N98&lt;&gt;"",貼り付け用!N98,""),"")),
IF(ROW(N98)+2&gt;=MATCH("*【合計】*", 貼り付け用!$A:$A, 0),"",
IF(N$3&lt;&gt;"",IF(貼り付け用!N99&lt;&gt;"",貼り付け用!N99,""),"")))</f>
        <v>#N/A</v>
      </c>
      <c r="O98" s="19" t="e">
        <f>IF(貼り付け用!$A$6&lt;&gt;"",
IF(ROW(O97)+2&gt;=MATCH("*【合計】*", 貼り付け用!$A:$A, 0),"",
IF(O$3&lt;&gt;"",IF(貼り付け用!O98&lt;&gt;"",貼り付け用!O98,""),"")),
IF(ROW(O98)+2&gt;=MATCH("*【合計】*", 貼り付け用!$A:$A, 0),"",
IF(O$3&lt;&gt;"",IF(貼り付け用!O99&lt;&gt;"",貼り付け用!O99,""),"")))</f>
        <v>#N/A</v>
      </c>
      <c r="P98" s="19" t="e">
        <f>IF(貼り付け用!$A$6&lt;&gt;"",
IF(ROW(P97)+2&gt;=MATCH("*【合計】*", 貼り付け用!$A:$A, 0),"",
IF(P$3&lt;&gt;"",IF(貼り付け用!P98&lt;&gt;"",貼り付け用!P98,""),"")),
IF(ROW(P98)+2&gt;=MATCH("*【合計】*", 貼り付け用!$A:$A, 0),"",
IF(P$3&lt;&gt;"",IF(貼り付け用!P99&lt;&gt;"",貼り付け用!P99,""),"")))</f>
        <v>#N/A</v>
      </c>
      <c r="Q98" s="19" t="e">
        <f>IF(貼り付け用!$A$6&lt;&gt;"",
IF(ROW(Q97)+2&gt;=MATCH("*【合計】*", 貼り付け用!$A:$A, 0),"",
IF(Q$3&lt;&gt;"",IF(貼り付け用!Q98&lt;&gt;"",貼り付け用!Q98,""),"")),
IF(ROW(Q98)+2&gt;=MATCH("*【合計】*", 貼り付け用!$A:$A, 0),"",
IF(Q$3&lt;&gt;"",IF(貼り付け用!Q99&lt;&gt;"",貼り付け用!Q99,""),"")))</f>
        <v>#N/A</v>
      </c>
      <c r="R98" s="19" t="e">
        <f>IF(貼り付け用!$A$6&lt;&gt;"",
IF(ROW(R97)+2&gt;=MATCH("*【合計】*", 貼り付け用!$A:$A, 0),"",
IF(R$3&lt;&gt;"",IF(貼り付け用!R98&lt;&gt;"",貼り付け用!R98,""),"")),
IF(ROW(R98)+2&gt;=MATCH("*【合計】*", 貼り付け用!$A:$A, 0),"",
IF(R$3&lt;&gt;"",IF(貼り付け用!R99&lt;&gt;"",貼り付け用!R99,""),"")))</f>
        <v>#N/A</v>
      </c>
      <c r="S98" s="19" t="e">
        <f>IF(貼り付け用!$A$6&lt;&gt;"",
IF(ROW(S97)+2&gt;=MATCH("*【合計】*", 貼り付け用!$A:$A, 0),"",
IF(S$3&lt;&gt;"",IF(貼り付け用!S98&lt;&gt;"",貼り付け用!S98,""),"")),
IF(ROW(S98)+2&gt;=MATCH("*【合計】*", 貼り付け用!$A:$A, 0),"",
IF(S$3&lt;&gt;"",IF(貼り付け用!S99&lt;&gt;"",貼り付け用!S99,""),"")))</f>
        <v>#N/A</v>
      </c>
      <c r="T98" s="19" t="e">
        <f t="array" ref="T98">IF(貼り付け用!$A$6&lt;&gt;"",
IF(INDEX(貼り付け用!A:Z, ROW(T97)+1, MATCH("おやつ", 貼り付け用!$A$3:$Z$3, 0))&lt;&gt;0,
INDEX(貼り付け用!A:Z, ROW(T97)+1, MATCH("おやつ", 貼り付け用!$A$3:$Z$3, 0)),""),
IF(INDEX(貼り付け用!A:Z, ROW(T98)+1, MATCH("おやつ", 貼り付け用!$A$3:$Z$3, 0))&lt;&gt;0,
INDEX(貼り付け用!A:Z, ROW(T98)+1, MATCH("おやつ", 貼り付け用!$A$3:$Z$3, 0)),""))</f>
        <v>#N/A</v>
      </c>
      <c r="U98" s="16"/>
      <c r="V98" s="5" t="e">
        <f t="array" ref="V98">IF(貼り付け用!$A$6&lt;&gt;"",
IF(INDEX(貼り付け用!A:Z, ROW(T97)+1, MATCH("おやつ", 貼り付け用!$A$3:$Z$3, 0)+1)&lt;&gt;0,
INDEX(貼り付け用!A:Z, ROW(T97)+1, MATCH("おやつ", 貼り付け用!$A$3:$Z$3, 0)+1),""),
IF(INDEX(貼り付け用!A:Z, ROW(T98)+1, MATCH("おやつ", 貼り付け用!$A$3:$Z$3, 0)+1)&lt;&gt;0,
INDEX(貼り付け用!A:Z, ROW(T98)+1, MATCH("おやつ", 貼り付け用!$A$3:$Z$3, 0)+1),""))</f>
        <v>#N/A</v>
      </c>
      <c r="W98" s="7" t="e">
        <f t="array" ref="W98">IF(貼り付け用!$A$6&lt;&gt;"",
IF(INDEX(貼り付け用!A:Z, ROW(T97)+1, MATCH("おやつ", 貼り付け用!$A$3:$Z$3, 0)+2)&lt;&gt;0,
INDEX(貼り付け用!A:Z, ROW(T97)+1, MATCH("おやつ", 貼り付け用!$A$3:$Z$3, 0)+2),""),
IF(INDEX(貼り付け用!A:Z, ROW(T98)+1, MATCH("おやつ", 貼り付け用!$A$3:$Z$3, 0)+2)&lt;&gt;0,
INDEX(貼り付け用!A:Z, ROW(T98)+1, MATCH("おやつ", 貼り付け用!$A$3:$Z$3, 0)+2),""))</f>
        <v>#N/A</v>
      </c>
    </row>
    <row r="99" spans="1:23" x14ac:dyDescent="0.45">
      <c r="A99" s="10" t="e">
        <f>IF(貼り付け用!$A$6&lt;&gt;"",
IF(ROW(A98)+1&gt;=MATCH("*10000*", 貼り付け用!$A:$A, 0),"",
IF(貼り付け用!A99&lt;&gt;"",貼り付け用!A99,"")),
IF(ROW(A99)+1&gt;=MATCH("*10000*", 貼り付け用!$A:$A, 0),"",
IF(貼り付け用!A100&lt;&gt;"",貼り付け用!A100,"")))</f>
        <v>#N/A</v>
      </c>
      <c r="B99" s="3" t="e">
        <f>IF(貼り付け用!$A$6&lt;&gt;"",
IF(ROW(B98)+2&gt;=MATCH("*【合計】*", 貼り付け用!$A:$A, 0),"",
IF(貼り付け用!B99&lt;&gt;"",貼り付け用!B99,"")),
IF(ROW(B99)+2&gt;=MATCH("*【合計】*", 貼り付け用!$A:$A, 0),"",
IF(貼り付け用!B100&lt;&gt;"",貼り付け用!B100,"")))</f>
        <v>#N/A</v>
      </c>
      <c r="C99" s="3" t="e">
        <f>IF(貼り付け用!$A$6&lt;&gt;"",
IF(ROW(C98)+2&gt;=MATCH("*【合計】*", 貼り付け用!$A:$A, 0),"",
IF(貼り付け用!C99&lt;&gt;"",貼り付け用!C99,"")),
IF(ROW(C99)+2&gt;=MATCH("*【合計】*", 貼り付け用!$A:$A, 0),"",
IF(貼り付け用!C100&lt;&gt;"",貼り付け用!C100,"")))</f>
        <v>#N/A</v>
      </c>
      <c r="D99" s="3" t="e">
        <f>IF(貼り付け用!$A$6&lt;&gt;"",
IF(ROW(D98)+2&gt;=MATCH("*【合計】*", 貼り付け用!$A:$A, 0),"",
IF(貼り付け用!D99&lt;&gt;"",貼り付け用!D99,"")),
IF(ROW(D99)+2&gt;=MATCH("*【合計】*", 貼り付け用!$A:$A, 0),"",
IF(貼り付け用!D100&lt;&gt;"",貼り付け用!D100,"")))</f>
        <v>#N/A</v>
      </c>
      <c r="E99" s="3" t="e">
        <f>IF(貼り付け用!$A$6&lt;&gt;"",
IF(ROW(E98)+2&gt;=MATCH("*【合計】*", 貼り付け用!$A:$A, 0),"",
IF(貼り付け用!E99&lt;&gt;"",貼り付け用!E99,"")),
IF(ROW(E99)+2&gt;=MATCH("*【合計】*", 貼り付け用!$A:$A, 0),"",
IF(貼り付け用!E100&lt;&gt;"",貼り付け用!E100,"")))</f>
        <v>#N/A</v>
      </c>
      <c r="F99" s="3" t="e">
        <f>IF(貼り付け用!$A$6&lt;&gt;"",
IF(ROW(F98)+2&gt;=MATCH("*【合計】*", 貼り付け用!$A:$A, 0),"",
IF(貼り付け用!F99&lt;&gt;"",貼り付け用!F99,"")),
IF(ROW(F99)+2&gt;=MATCH("*【合計】*", 貼り付け用!$A:$A, 0),"",
IF(貼り付け用!F100&lt;&gt;"",貼り付け用!F100,"")))</f>
        <v>#N/A</v>
      </c>
      <c r="G99" s="3" t="e">
        <f>IF(貼り付け用!$A$6&lt;&gt;"",
IF(ROW(G98)+2&gt;=MATCH("*【合計】*", 貼り付け用!$A:$A, 0),"",
IF(貼り付け用!G99&lt;&gt;"",貼り付け用!G99,"")),
IF(ROW(G99)+2&gt;=MATCH("*【合計】*", 貼り付け用!$A:$A, 0),"",
IF(貼り付け用!G100&lt;&gt;"",貼り付け用!G100,"")))</f>
        <v>#N/A</v>
      </c>
      <c r="H99" s="3" t="e">
        <f>IF(貼り付け用!$A$6&lt;&gt;"",
IF(ROW(H98)+2&gt;=MATCH("*【合計】*", 貼り付け用!$A:$A, 0),"",
IF(貼り付け用!H99&lt;&gt;"",貼り付け用!H99,"")),
IF(ROW(H99)+2&gt;=MATCH("*【合計】*", 貼り付け用!$A:$A, 0),"",
IF(貼り付け用!H100&lt;&gt;"",貼り付け用!H100,"")))</f>
        <v>#N/A</v>
      </c>
      <c r="I99" s="3" t="e">
        <f>IF(貼り付け用!$A$6&lt;&gt;"",
IF(ROW(I98)+2&gt;=MATCH("*【合計】*", 貼り付け用!$A:$A, 0),"",
IF(貼り付け用!I99&lt;&gt;"",貼り付け用!I99,"")),
IF(ROW(I99)+2&gt;=MATCH("*【合計】*", 貼り付け用!$A:$A, 0),"",
IF(貼り付け用!I100&lt;&gt;"",貼り付け用!I100,"")))</f>
        <v>#N/A</v>
      </c>
      <c r="J99" s="3" t="e">
        <f>IF(貼り付け用!$A$6&lt;&gt;"",
IF(ROW(J98)+2&gt;=MATCH("*【合計】*", 貼り付け用!$A:$A, 0),"",
IF(貼り付け用!J99&lt;&gt;"",貼り付け用!J99,"")),
IF(ROW(J99)+2&gt;=MATCH("*【合計】*", 貼り付け用!$A:$A, 0),"",
IF(貼り付け用!J100&lt;&gt;"",貼り付け用!J100,"")))</f>
        <v>#N/A</v>
      </c>
      <c r="K99" s="3" t="e">
        <f>IF(貼り付け用!$A$6&lt;&gt;"",
IF(ROW(K98)+2&gt;=MATCH("*【合計】*", 貼り付け用!$A:$A, 0),"",
IF(貼り付け用!K99&lt;&gt;"",貼り付け用!K99,"")),
IF(ROW(K99)+2&gt;=MATCH("*【合計】*", 貼り付け用!$A:$A, 0),"",
IF(貼り付け用!K100&lt;&gt;"",貼り付け用!K100,"")))</f>
        <v>#N/A</v>
      </c>
      <c r="L99" s="3" t="e">
        <f>IF(貼り付け用!$A$6&lt;&gt;"",
IF(ROW(L98)+2&gt;=MATCH("*【合計】*", 貼り付け用!$A:$A, 0),"",
IF(L$3&lt;&gt;"",IF(貼り付け用!L99&lt;&gt;"",貼り付け用!L99,""),"")),
IF(ROW(L99)+2&gt;=MATCH("*【合計】*", 貼り付け用!$A:$A, 0),"",
IF(L$3&lt;&gt;"",IF(貼り付け用!L100&lt;&gt;"",貼り付け用!L100,""),"")))</f>
        <v>#N/A</v>
      </c>
      <c r="M99" s="3" t="e">
        <f>IF(貼り付け用!$A$6&lt;&gt;"",
IF(ROW(M98)+2&gt;=MATCH("*【合計】*", 貼り付け用!$A:$A, 0),"",
IF(M$3&lt;&gt;"",IF(貼り付け用!M99&lt;&gt;"",貼り付け用!M99,""),"")),
IF(ROW(M99)+2&gt;=MATCH("*【合計】*", 貼り付け用!$A:$A, 0),"",
IF(M$3&lt;&gt;"",IF(貼り付け用!M100&lt;&gt;"",貼り付け用!M100,""),"")))</f>
        <v>#N/A</v>
      </c>
      <c r="N99" s="3" t="e">
        <f>IF(貼り付け用!$A$6&lt;&gt;"",
IF(ROW(N98)+2&gt;=MATCH("*【合計】*", 貼り付け用!$A:$A, 0),"",
IF(N$3&lt;&gt;"",IF(貼り付け用!N99&lt;&gt;"",貼り付け用!N99,""),"")),
IF(ROW(N99)+2&gt;=MATCH("*【合計】*", 貼り付け用!$A:$A, 0),"",
IF(N$3&lt;&gt;"",IF(貼り付け用!N100&lt;&gt;"",貼り付け用!N100,""),"")))</f>
        <v>#N/A</v>
      </c>
      <c r="O99" s="3" t="e">
        <f>IF(貼り付け用!$A$6&lt;&gt;"",
IF(ROW(O98)+2&gt;=MATCH("*【合計】*", 貼り付け用!$A:$A, 0),"",
IF(O$3&lt;&gt;"",IF(貼り付け用!O99&lt;&gt;"",貼り付け用!O99,""),"")),
IF(ROW(O99)+2&gt;=MATCH("*【合計】*", 貼り付け用!$A:$A, 0),"",
IF(O$3&lt;&gt;"",IF(貼り付け用!O100&lt;&gt;"",貼り付け用!O100,""),"")))</f>
        <v>#N/A</v>
      </c>
      <c r="P99" s="3" t="e">
        <f>IF(貼り付け用!$A$6&lt;&gt;"",
IF(ROW(P98)+2&gt;=MATCH("*【合計】*", 貼り付け用!$A:$A, 0),"",
IF(P$3&lt;&gt;"",IF(貼り付け用!P99&lt;&gt;"",貼り付け用!P99,""),"")),
IF(ROW(P99)+2&gt;=MATCH("*【合計】*", 貼り付け用!$A:$A, 0),"",
IF(P$3&lt;&gt;"",IF(貼り付け用!P100&lt;&gt;"",貼り付け用!P100,""),"")))</f>
        <v>#N/A</v>
      </c>
      <c r="Q99" s="3" t="e">
        <f>IF(貼り付け用!$A$6&lt;&gt;"",
IF(ROW(Q98)+2&gt;=MATCH("*【合計】*", 貼り付け用!$A:$A, 0),"",
IF(Q$3&lt;&gt;"",IF(貼り付け用!Q99&lt;&gt;"",貼り付け用!Q99,""),"")),
IF(ROW(Q99)+2&gt;=MATCH("*【合計】*", 貼り付け用!$A:$A, 0),"",
IF(Q$3&lt;&gt;"",IF(貼り付け用!Q100&lt;&gt;"",貼り付け用!Q100,""),"")))</f>
        <v>#N/A</v>
      </c>
      <c r="R99" s="3" t="e">
        <f>IF(貼り付け用!$A$6&lt;&gt;"",
IF(ROW(R98)+2&gt;=MATCH("*【合計】*", 貼り付け用!$A:$A, 0),"",
IF(R$3&lt;&gt;"",IF(貼り付け用!R99&lt;&gt;"",貼り付け用!R99,""),"")),
IF(ROW(R99)+2&gt;=MATCH("*【合計】*", 貼り付け用!$A:$A, 0),"",
IF(R$3&lt;&gt;"",IF(貼り付け用!R100&lt;&gt;"",貼り付け用!R100,""),"")))</f>
        <v>#N/A</v>
      </c>
      <c r="S99" s="3" t="e">
        <f>IF(貼り付け用!$A$6&lt;&gt;"",
IF(ROW(S98)+2&gt;=MATCH("*【合計】*", 貼り付け用!$A:$A, 0),"",
IF(S$3&lt;&gt;"",IF(貼り付け用!S99&lt;&gt;"",貼り付け用!S99,""),"")),
IF(ROW(S99)+2&gt;=MATCH("*【合計】*", 貼り付け用!$A:$A, 0),"",
IF(S$3&lt;&gt;"",IF(貼り付け用!S100&lt;&gt;"",貼り付け用!S100,""),"")))</f>
        <v>#N/A</v>
      </c>
      <c r="T99" s="2" t="e">
        <f t="array" ref="T99">IF(貼り付け用!$A$6&lt;&gt;"",
IF(INDEX(貼り付け用!A:Z, ROW(T98)+1, MATCH("おやつ", 貼り付け用!$A$3:$Z$3, 0))&lt;&gt;0,
INDEX(貼り付け用!A:Z, ROW(T98)+1, MATCH("おやつ", 貼り付け用!$A$3:$Z$3, 0)),""),
IF(INDEX(貼り付け用!A:Z, ROW(T99)+1, MATCH("おやつ", 貼り付け用!$A$3:$Z$3, 0))&lt;&gt;0,
INDEX(貼り付け用!A:Z, ROW(T99)+1, MATCH("おやつ", 貼り付け用!$A$3:$Z$3, 0)),""))</f>
        <v>#N/A</v>
      </c>
      <c r="U99" s="52"/>
      <c r="V99" s="8" t="e">
        <f t="array" ref="V99">IF(貼り付け用!$A$6&lt;&gt;"",
IF(INDEX(貼り付け用!A:Z, ROW(T98)+1, MATCH("おやつ", 貼り付け用!$A$3:$Z$3, 0)+1)&lt;&gt;0,
INDEX(貼り付け用!A:Z, ROW(T98)+1, MATCH("おやつ", 貼り付け用!$A$3:$Z$3, 0)+1),""),
IF(INDEX(貼り付け用!A:Z, ROW(T99)+1, MATCH("おやつ", 貼り付け用!$A$3:$Z$3, 0)+1)&lt;&gt;0,
INDEX(貼り付け用!A:Z, ROW(T99)+1, MATCH("おやつ", 貼り付け用!$A$3:$Z$3, 0)+1),""))</f>
        <v>#N/A</v>
      </c>
      <c r="W99" s="9" t="e">
        <f t="array" ref="W99">IF(貼り付け用!$A$6&lt;&gt;"",
IF(INDEX(貼り付け用!A:Z, ROW(T98)+1, MATCH("おやつ", 貼り付け用!$A$3:$Z$3, 0)+2)&lt;&gt;0,
INDEX(貼り付け用!A:Z, ROW(T98)+1, MATCH("おやつ", 貼り付け用!$A$3:$Z$3, 0)+2),""),
IF(INDEX(貼り付け用!A:Z, ROW(T99)+1, MATCH("おやつ", 貼り付け用!$A$3:$Z$3, 0)+2)&lt;&gt;0,
INDEX(貼り付け用!A:Z, ROW(T99)+1, MATCH("おやつ", 貼り付け用!$A$3:$Z$3, 0)+2),""))</f>
        <v>#N/A</v>
      </c>
    </row>
    <row r="100" spans="1:23" x14ac:dyDescent="0.45">
      <c r="A100" s="4" t="e">
        <f>IF(貼り付け用!$A$6&lt;&gt;"",
IF(ROW(A99)+1&gt;=MATCH("*10000*", 貼り付け用!$A:$A, 0),
IF(COUNTIF(A98,"*10000*"),"10001",
IF(COUNTIF(A98,"*10001*"),"10002",
IF(COUNTIF(A98,"*10002*"),"",
IF(COUNTIF(A98,""),"","10000")))),
IF(貼り付け用!A100&lt;&gt;"",貼り付け用!A100,"")),
IF(ROW(A100)+1&gt;=MATCH("*10000*", 貼り付け用!$A:$A, 0),
IF(COUNTIF(A98,"*10000*"),"10001",
IF(COUNTIF(A98,"*10001*"),"10002",
IF(COUNTIF(A98,"*10002*"),"",
IF(COUNTIF(A98,""),"","10000")))),
IF(貼り付け用!A101&lt;&gt;"",貼り付け用!A101,"")))</f>
        <v>#N/A</v>
      </c>
      <c r="B100" s="19" t="e">
        <f>IF(貼り付け用!$A$6&lt;&gt;"",
IF(ROW(B99)+2&gt;=MATCH("*【合計】*", 貼り付け用!$A:$A, 0),"",
IF(貼り付け用!B100&lt;&gt;"",貼り付け用!B100,"")),
IF(ROW(B100)+2&gt;=MATCH("*【合計】*", 貼り付け用!$A:$A, 0),"",
IF(貼り付け用!B101&lt;&gt;"",貼り付け用!B101,"")))</f>
        <v>#N/A</v>
      </c>
      <c r="C100" s="19" t="e">
        <f>IF(貼り付け用!$A$6&lt;&gt;"",
IF(ROW(C99)+2&gt;=MATCH("*【合計】*", 貼り付け用!$A:$A, 0),"",
IF(貼り付け用!C100&lt;&gt;"",貼り付け用!C100,"")),
IF(ROW(C100)+2&gt;=MATCH("*【合計】*", 貼り付け用!$A:$A, 0),"",
IF(貼り付け用!C101&lt;&gt;"",貼り付け用!C101,"")))</f>
        <v>#N/A</v>
      </c>
      <c r="D100" s="19" t="e">
        <f>IF(貼り付け用!$A$6&lt;&gt;"",
IF(ROW(D99)+2&gt;=MATCH("*【合計】*", 貼り付け用!$A:$A, 0),"",
IF(貼り付け用!D100&lt;&gt;"",貼り付け用!D100,"")),
IF(ROW(D100)+2&gt;=MATCH("*【合計】*", 貼り付け用!$A:$A, 0),"",
IF(貼り付け用!D101&lt;&gt;"",貼り付け用!D101,"")))</f>
        <v>#N/A</v>
      </c>
      <c r="E100" s="19" t="e">
        <f>IF(貼り付け用!$A$6&lt;&gt;"",
IF(ROW(E99)+2&gt;=MATCH("*【合計】*", 貼り付け用!$A:$A, 0),"",
IF(貼り付け用!E100&lt;&gt;"",貼り付け用!E100,"")),
IF(ROW(E100)+2&gt;=MATCH("*【合計】*", 貼り付け用!$A:$A, 0),"",
IF(貼り付け用!E101&lt;&gt;"",貼り付け用!E101,"")))</f>
        <v>#N/A</v>
      </c>
      <c r="F100" s="19" t="e">
        <f>IF(貼り付け用!$A$6&lt;&gt;"",
IF(ROW(F99)+2&gt;=MATCH("*【合計】*", 貼り付け用!$A:$A, 0),"",
IF(貼り付け用!F100&lt;&gt;"",貼り付け用!F100,"")),
IF(ROW(F100)+2&gt;=MATCH("*【合計】*", 貼り付け用!$A:$A, 0),"",
IF(貼り付け用!F101&lt;&gt;"",貼り付け用!F101,"")))</f>
        <v>#N/A</v>
      </c>
      <c r="G100" s="19" t="e">
        <f>IF(貼り付け用!$A$6&lt;&gt;"",
IF(ROW(G99)+2&gt;=MATCH("*【合計】*", 貼り付け用!$A:$A, 0),"",
IF(貼り付け用!G100&lt;&gt;"",貼り付け用!G100,"")),
IF(ROW(G100)+2&gt;=MATCH("*【合計】*", 貼り付け用!$A:$A, 0),"",
IF(貼り付け用!G101&lt;&gt;"",貼り付け用!G101,"")))</f>
        <v>#N/A</v>
      </c>
      <c r="H100" s="19" t="e">
        <f>IF(貼り付け用!$A$6&lt;&gt;"",
IF(ROW(H99)+2&gt;=MATCH("*【合計】*", 貼り付け用!$A:$A, 0),"",
IF(貼り付け用!H100&lt;&gt;"",貼り付け用!H100,"")),
IF(ROW(H100)+2&gt;=MATCH("*【合計】*", 貼り付け用!$A:$A, 0),"",
IF(貼り付け用!H101&lt;&gt;"",貼り付け用!H101,"")))</f>
        <v>#N/A</v>
      </c>
      <c r="I100" s="19" t="e">
        <f>IF(貼り付け用!$A$6&lt;&gt;"",
IF(ROW(I99)+2&gt;=MATCH("*【合計】*", 貼り付け用!$A:$A, 0),"",
IF(貼り付け用!I100&lt;&gt;"",貼り付け用!I100,"")),
IF(ROW(I100)+2&gt;=MATCH("*【合計】*", 貼り付け用!$A:$A, 0),"",
IF(貼り付け用!I101&lt;&gt;"",貼り付け用!I101,"")))</f>
        <v>#N/A</v>
      </c>
      <c r="J100" s="19" t="e">
        <f>IF(貼り付け用!$A$6&lt;&gt;"",
IF(ROW(J99)+2&gt;=MATCH("*【合計】*", 貼り付け用!$A:$A, 0),"",
IF(貼り付け用!J100&lt;&gt;"",貼り付け用!J100,"")),
IF(ROW(J100)+2&gt;=MATCH("*【合計】*", 貼り付け用!$A:$A, 0),"",
IF(貼り付け用!J101&lt;&gt;"",貼り付け用!J101,"")))</f>
        <v>#N/A</v>
      </c>
      <c r="K100" s="19" t="e">
        <f>IF(貼り付け用!$A$6&lt;&gt;"",
IF(ROW(K99)+2&gt;=MATCH("*【合計】*", 貼り付け用!$A:$A, 0),"",
IF(貼り付け用!K100&lt;&gt;"",貼り付け用!K100,"")),
IF(ROW(K100)+2&gt;=MATCH("*【合計】*", 貼り付け用!$A:$A, 0),"",
IF(貼り付け用!K101&lt;&gt;"",貼り付け用!K101,"")))</f>
        <v>#N/A</v>
      </c>
      <c r="L100" s="19" t="e">
        <f>IF(貼り付け用!$A$6&lt;&gt;"",
IF(ROW(L99)+2&gt;=MATCH("*【合計】*", 貼り付け用!$A:$A, 0),"",
IF(L$3&lt;&gt;"",IF(貼り付け用!L100&lt;&gt;"",貼り付け用!L100,""),"")),
IF(ROW(L100)+2&gt;=MATCH("*【合計】*", 貼り付け用!$A:$A, 0),"",
IF(L$3&lt;&gt;"",IF(貼り付け用!L101&lt;&gt;"",貼り付け用!L101,""),"")))</f>
        <v>#N/A</v>
      </c>
      <c r="M100" s="19" t="e">
        <f>IF(貼り付け用!$A$6&lt;&gt;"",
IF(ROW(M99)+2&gt;=MATCH("*【合計】*", 貼り付け用!$A:$A, 0),"",
IF(M$3&lt;&gt;"",IF(貼り付け用!M100&lt;&gt;"",貼り付け用!M100,""),"")),
IF(ROW(M100)+2&gt;=MATCH("*【合計】*", 貼り付け用!$A:$A, 0),"",
IF(M$3&lt;&gt;"",IF(貼り付け用!M101&lt;&gt;"",貼り付け用!M101,""),"")))</f>
        <v>#N/A</v>
      </c>
      <c r="N100" s="19" t="e">
        <f>IF(貼り付け用!$A$6&lt;&gt;"",
IF(ROW(N99)+2&gt;=MATCH("*【合計】*", 貼り付け用!$A:$A, 0),"",
IF(N$3&lt;&gt;"",IF(貼り付け用!N100&lt;&gt;"",貼り付け用!N100,""),"")),
IF(ROW(N100)+2&gt;=MATCH("*【合計】*", 貼り付け用!$A:$A, 0),"",
IF(N$3&lt;&gt;"",IF(貼り付け用!N101&lt;&gt;"",貼り付け用!N101,""),"")))</f>
        <v>#N/A</v>
      </c>
      <c r="O100" s="19" t="e">
        <f>IF(貼り付け用!$A$6&lt;&gt;"",
IF(ROW(O99)+2&gt;=MATCH("*【合計】*", 貼り付け用!$A:$A, 0),"",
IF(O$3&lt;&gt;"",IF(貼り付け用!O100&lt;&gt;"",貼り付け用!O100,""),"")),
IF(ROW(O100)+2&gt;=MATCH("*【合計】*", 貼り付け用!$A:$A, 0),"",
IF(O$3&lt;&gt;"",IF(貼り付け用!O101&lt;&gt;"",貼り付け用!O101,""),"")))</f>
        <v>#N/A</v>
      </c>
      <c r="P100" s="19" t="e">
        <f>IF(貼り付け用!$A$6&lt;&gt;"",
IF(ROW(P99)+2&gt;=MATCH("*【合計】*", 貼り付け用!$A:$A, 0),"",
IF(P$3&lt;&gt;"",IF(貼り付け用!P100&lt;&gt;"",貼り付け用!P100,""),"")),
IF(ROW(P100)+2&gt;=MATCH("*【合計】*", 貼り付け用!$A:$A, 0),"",
IF(P$3&lt;&gt;"",IF(貼り付け用!P101&lt;&gt;"",貼り付け用!P101,""),"")))</f>
        <v>#N/A</v>
      </c>
      <c r="Q100" s="19" t="e">
        <f>IF(貼り付け用!$A$6&lt;&gt;"",
IF(ROW(Q99)+2&gt;=MATCH("*【合計】*", 貼り付け用!$A:$A, 0),"",
IF(Q$3&lt;&gt;"",IF(貼り付け用!Q100&lt;&gt;"",貼り付け用!Q100,""),"")),
IF(ROW(Q100)+2&gt;=MATCH("*【合計】*", 貼り付け用!$A:$A, 0),"",
IF(Q$3&lt;&gt;"",IF(貼り付け用!Q101&lt;&gt;"",貼り付け用!Q101,""),"")))</f>
        <v>#N/A</v>
      </c>
      <c r="R100" s="19" t="e">
        <f>IF(貼り付け用!$A$6&lt;&gt;"",
IF(ROW(R99)+2&gt;=MATCH("*【合計】*", 貼り付け用!$A:$A, 0),"",
IF(R$3&lt;&gt;"",IF(貼り付け用!R100&lt;&gt;"",貼り付け用!R100,""),"")),
IF(ROW(R100)+2&gt;=MATCH("*【合計】*", 貼り付け用!$A:$A, 0),"",
IF(R$3&lt;&gt;"",IF(貼り付け用!R101&lt;&gt;"",貼り付け用!R101,""),"")))</f>
        <v>#N/A</v>
      </c>
      <c r="S100" s="19" t="e">
        <f>IF(貼り付け用!$A$6&lt;&gt;"",
IF(ROW(S99)+2&gt;=MATCH("*【合計】*", 貼り付け用!$A:$A, 0),"",
IF(S$3&lt;&gt;"",IF(貼り付け用!S100&lt;&gt;"",貼り付け用!S100,""),"")),
IF(ROW(S100)+2&gt;=MATCH("*【合計】*", 貼り付け用!$A:$A, 0),"",
IF(S$3&lt;&gt;"",IF(貼り付け用!S101&lt;&gt;"",貼り付け用!S101,""),"")))</f>
        <v>#N/A</v>
      </c>
      <c r="T100" s="19" t="e">
        <f t="array" ref="T100">IF(貼り付け用!$A$6&lt;&gt;"",
IF(INDEX(貼り付け用!A:Z, ROW(T99)+1, MATCH("おやつ", 貼り付け用!$A$3:$Z$3, 0))&lt;&gt;0,
INDEX(貼り付け用!A:Z, ROW(T99)+1, MATCH("おやつ", 貼り付け用!$A$3:$Z$3, 0)),""),
IF(INDEX(貼り付け用!A:Z, ROW(T100)+1, MATCH("おやつ", 貼り付け用!$A$3:$Z$3, 0))&lt;&gt;0,
INDEX(貼り付け用!A:Z, ROW(T100)+1, MATCH("おやつ", 貼り付け用!$A$3:$Z$3, 0)),""))</f>
        <v>#N/A</v>
      </c>
      <c r="U100" s="16"/>
      <c r="V100" s="5" t="e">
        <f t="array" ref="V100">IF(貼り付け用!$A$6&lt;&gt;"",
IF(INDEX(貼り付け用!A:Z, ROW(T99)+1, MATCH("おやつ", 貼り付け用!$A$3:$Z$3, 0)+1)&lt;&gt;0,
INDEX(貼り付け用!A:Z, ROW(T99)+1, MATCH("おやつ", 貼り付け用!$A$3:$Z$3, 0)+1),""),
IF(INDEX(貼り付け用!A:Z, ROW(T100)+1, MATCH("おやつ", 貼り付け用!$A$3:$Z$3, 0)+1)&lt;&gt;0,
INDEX(貼り付け用!A:Z, ROW(T100)+1, MATCH("おやつ", 貼り付け用!$A$3:$Z$3, 0)+1),""))</f>
        <v>#N/A</v>
      </c>
      <c r="W100" s="7" t="e">
        <f t="array" ref="W100">IF(貼り付け用!$A$6&lt;&gt;"",
IF(INDEX(貼り付け用!A:Z, ROW(T99)+1, MATCH("おやつ", 貼り付け用!$A$3:$Z$3, 0)+2)&lt;&gt;0,
INDEX(貼り付け用!A:Z, ROW(T99)+1, MATCH("おやつ", 貼り付け用!$A$3:$Z$3, 0)+2),""),
IF(INDEX(貼り付け用!A:Z, ROW(T100)+1, MATCH("おやつ", 貼り付け用!$A$3:$Z$3, 0)+2)&lt;&gt;0,
INDEX(貼り付け用!A:Z, ROW(T100)+1, MATCH("おやつ", 貼り付け用!$A$3:$Z$3, 0)+2),""))</f>
        <v>#N/A</v>
      </c>
    </row>
    <row r="101" spans="1:23" x14ac:dyDescent="0.45">
      <c r="A101" s="10" t="e">
        <f>IF(貼り付け用!$A$6&lt;&gt;"",
IF(ROW(A100)+1&gt;=MATCH("*10000*", 貼り付け用!$A:$A, 0),"",
IF(貼り付け用!A101&lt;&gt;"",貼り付け用!A101,"")),
IF(ROW(A101)+1&gt;=MATCH("*10000*", 貼り付け用!$A:$A, 0),"",
IF(貼り付け用!A102&lt;&gt;"",貼り付け用!A102,"")))</f>
        <v>#N/A</v>
      </c>
      <c r="B101" s="3" t="e">
        <f>IF(貼り付け用!$A$6&lt;&gt;"",
IF(ROW(B100)+2&gt;=MATCH("*【合計】*", 貼り付け用!$A:$A, 0),"",
IF(貼り付け用!B101&lt;&gt;"",貼り付け用!B101,"")),
IF(ROW(B101)+2&gt;=MATCH("*【合計】*", 貼り付け用!$A:$A, 0),"",
IF(貼り付け用!B102&lt;&gt;"",貼り付け用!B102,"")))</f>
        <v>#N/A</v>
      </c>
      <c r="C101" s="3" t="e">
        <f>IF(貼り付け用!$A$6&lt;&gt;"",
IF(ROW(C100)+2&gt;=MATCH("*【合計】*", 貼り付け用!$A:$A, 0),"",
IF(貼り付け用!C101&lt;&gt;"",貼り付け用!C101,"")),
IF(ROW(C101)+2&gt;=MATCH("*【合計】*", 貼り付け用!$A:$A, 0),"",
IF(貼り付け用!C102&lt;&gt;"",貼り付け用!C102,"")))</f>
        <v>#N/A</v>
      </c>
      <c r="D101" s="3" t="e">
        <f>IF(貼り付け用!$A$6&lt;&gt;"",
IF(ROW(D100)+2&gt;=MATCH("*【合計】*", 貼り付け用!$A:$A, 0),"",
IF(貼り付け用!D101&lt;&gt;"",貼り付け用!D101,"")),
IF(ROW(D101)+2&gt;=MATCH("*【合計】*", 貼り付け用!$A:$A, 0),"",
IF(貼り付け用!D102&lt;&gt;"",貼り付け用!D102,"")))</f>
        <v>#N/A</v>
      </c>
      <c r="E101" s="3" t="e">
        <f>IF(貼り付け用!$A$6&lt;&gt;"",
IF(ROW(E100)+2&gt;=MATCH("*【合計】*", 貼り付け用!$A:$A, 0),"",
IF(貼り付け用!E101&lt;&gt;"",貼り付け用!E101,"")),
IF(ROW(E101)+2&gt;=MATCH("*【合計】*", 貼り付け用!$A:$A, 0),"",
IF(貼り付け用!E102&lt;&gt;"",貼り付け用!E102,"")))</f>
        <v>#N/A</v>
      </c>
      <c r="F101" s="3" t="e">
        <f>IF(貼り付け用!$A$6&lt;&gt;"",
IF(ROW(F100)+2&gt;=MATCH("*【合計】*", 貼り付け用!$A:$A, 0),"",
IF(貼り付け用!F101&lt;&gt;"",貼り付け用!F101,"")),
IF(ROW(F101)+2&gt;=MATCH("*【合計】*", 貼り付け用!$A:$A, 0),"",
IF(貼り付け用!F102&lt;&gt;"",貼り付け用!F102,"")))</f>
        <v>#N/A</v>
      </c>
      <c r="G101" s="3" t="e">
        <f>IF(貼り付け用!$A$6&lt;&gt;"",
IF(ROW(G100)+2&gt;=MATCH("*【合計】*", 貼り付け用!$A:$A, 0),"",
IF(貼り付け用!G101&lt;&gt;"",貼り付け用!G101,"")),
IF(ROW(G101)+2&gt;=MATCH("*【合計】*", 貼り付け用!$A:$A, 0),"",
IF(貼り付け用!G102&lt;&gt;"",貼り付け用!G102,"")))</f>
        <v>#N/A</v>
      </c>
      <c r="H101" s="3" t="e">
        <f>IF(貼り付け用!$A$6&lt;&gt;"",
IF(ROW(H100)+2&gt;=MATCH("*【合計】*", 貼り付け用!$A:$A, 0),"",
IF(貼り付け用!H101&lt;&gt;"",貼り付け用!H101,"")),
IF(ROW(H101)+2&gt;=MATCH("*【合計】*", 貼り付け用!$A:$A, 0),"",
IF(貼り付け用!H102&lt;&gt;"",貼り付け用!H102,"")))</f>
        <v>#N/A</v>
      </c>
      <c r="I101" s="3" t="e">
        <f>IF(貼り付け用!$A$6&lt;&gt;"",
IF(ROW(I100)+2&gt;=MATCH("*【合計】*", 貼り付け用!$A:$A, 0),"",
IF(貼り付け用!I101&lt;&gt;"",貼り付け用!I101,"")),
IF(ROW(I101)+2&gt;=MATCH("*【合計】*", 貼り付け用!$A:$A, 0),"",
IF(貼り付け用!I102&lt;&gt;"",貼り付け用!I102,"")))</f>
        <v>#N/A</v>
      </c>
      <c r="J101" s="3" t="e">
        <f>IF(貼り付け用!$A$6&lt;&gt;"",
IF(ROW(J100)+2&gt;=MATCH("*【合計】*", 貼り付け用!$A:$A, 0),"",
IF(貼り付け用!J101&lt;&gt;"",貼り付け用!J101,"")),
IF(ROW(J101)+2&gt;=MATCH("*【合計】*", 貼り付け用!$A:$A, 0),"",
IF(貼り付け用!J102&lt;&gt;"",貼り付け用!J102,"")))</f>
        <v>#N/A</v>
      </c>
      <c r="K101" s="3" t="e">
        <f>IF(貼り付け用!$A$6&lt;&gt;"",
IF(ROW(K100)+2&gt;=MATCH("*【合計】*", 貼り付け用!$A:$A, 0),"",
IF(貼り付け用!K101&lt;&gt;"",貼り付け用!K101,"")),
IF(ROW(K101)+2&gt;=MATCH("*【合計】*", 貼り付け用!$A:$A, 0),"",
IF(貼り付け用!K102&lt;&gt;"",貼り付け用!K102,"")))</f>
        <v>#N/A</v>
      </c>
      <c r="L101" s="3" t="e">
        <f>IF(貼り付け用!$A$6&lt;&gt;"",
IF(ROW(L100)+2&gt;=MATCH("*【合計】*", 貼り付け用!$A:$A, 0),"",
IF(L$3&lt;&gt;"",IF(貼り付け用!L101&lt;&gt;"",貼り付け用!L101,""),"")),
IF(ROW(L101)+2&gt;=MATCH("*【合計】*", 貼り付け用!$A:$A, 0),"",
IF(L$3&lt;&gt;"",IF(貼り付け用!L102&lt;&gt;"",貼り付け用!L102,""),"")))</f>
        <v>#N/A</v>
      </c>
      <c r="M101" s="3" t="e">
        <f>IF(貼り付け用!$A$6&lt;&gt;"",
IF(ROW(M100)+2&gt;=MATCH("*【合計】*", 貼り付け用!$A:$A, 0),"",
IF(M$3&lt;&gt;"",IF(貼り付け用!M101&lt;&gt;"",貼り付け用!M101,""),"")),
IF(ROW(M101)+2&gt;=MATCH("*【合計】*", 貼り付け用!$A:$A, 0),"",
IF(M$3&lt;&gt;"",IF(貼り付け用!M102&lt;&gt;"",貼り付け用!M102,""),"")))</f>
        <v>#N/A</v>
      </c>
      <c r="N101" s="3" t="e">
        <f>IF(貼り付け用!$A$6&lt;&gt;"",
IF(ROW(N100)+2&gt;=MATCH("*【合計】*", 貼り付け用!$A:$A, 0),"",
IF(N$3&lt;&gt;"",IF(貼り付け用!N101&lt;&gt;"",貼り付け用!N101,""),"")),
IF(ROW(N101)+2&gt;=MATCH("*【合計】*", 貼り付け用!$A:$A, 0),"",
IF(N$3&lt;&gt;"",IF(貼り付け用!N102&lt;&gt;"",貼り付け用!N102,""),"")))</f>
        <v>#N/A</v>
      </c>
      <c r="O101" s="3" t="e">
        <f>IF(貼り付け用!$A$6&lt;&gt;"",
IF(ROW(O100)+2&gt;=MATCH("*【合計】*", 貼り付け用!$A:$A, 0),"",
IF(O$3&lt;&gt;"",IF(貼り付け用!O101&lt;&gt;"",貼り付け用!O101,""),"")),
IF(ROW(O101)+2&gt;=MATCH("*【合計】*", 貼り付け用!$A:$A, 0),"",
IF(O$3&lt;&gt;"",IF(貼り付け用!O102&lt;&gt;"",貼り付け用!O102,""),"")))</f>
        <v>#N/A</v>
      </c>
      <c r="P101" s="3" t="e">
        <f>IF(貼り付け用!$A$6&lt;&gt;"",
IF(ROW(P100)+2&gt;=MATCH("*【合計】*", 貼り付け用!$A:$A, 0),"",
IF(P$3&lt;&gt;"",IF(貼り付け用!P101&lt;&gt;"",貼り付け用!P101,""),"")),
IF(ROW(P101)+2&gt;=MATCH("*【合計】*", 貼り付け用!$A:$A, 0),"",
IF(P$3&lt;&gt;"",IF(貼り付け用!P102&lt;&gt;"",貼り付け用!P102,""),"")))</f>
        <v>#N/A</v>
      </c>
      <c r="Q101" s="3" t="e">
        <f>IF(貼り付け用!$A$6&lt;&gt;"",
IF(ROW(Q100)+2&gt;=MATCH("*【合計】*", 貼り付け用!$A:$A, 0),"",
IF(Q$3&lt;&gt;"",IF(貼り付け用!Q101&lt;&gt;"",貼り付け用!Q101,""),"")),
IF(ROW(Q101)+2&gt;=MATCH("*【合計】*", 貼り付け用!$A:$A, 0),"",
IF(Q$3&lt;&gt;"",IF(貼り付け用!Q102&lt;&gt;"",貼り付け用!Q102,""),"")))</f>
        <v>#N/A</v>
      </c>
      <c r="R101" s="3" t="e">
        <f>IF(貼り付け用!$A$6&lt;&gt;"",
IF(ROW(R100)+2&gt;=MATCH("*【合計】*", 貼り付け用!$A:$A, 0),"",
IF(R$3&lt;&gt;"",IF(貼り付け用!R101&lt;&gt;"",貼り付け用!R101,""),"")),
IF(ROW(R101)+2&gt;=MATCH("*【合計】*", 貼り付け用!$A:$A, 0),"",
IF(R$3&lt;&gt;"",IF(貼り付け用!R102&lt;&gt;"",貼り付け用!R102,""),"")))</f>
        <v>#N/A</v>
      </c>
      <c r="S101" s="3" t="e">
        <f>IF(貼り付け用!$A$6&lt;&gt;"",
IF(ROW(S100)+2&gt;=MATCH("*【合計】*", 貼り付け用!$A:$A, 0),"",
IF(S$3&lt;&gt;"",IF(貼り付け用!S101&lt;&gt;"",貼り付け用!S101,""),"")),
IF(ROW(S101)+2&gt;=MATCH("*【合計】*", 貼り付け用!$A:$A, 0),"",
IF(S$3&lt;&gt;"",IF(貼り付け用!S102&lt;&gt;"",貼り付け用!S102,""),"")))</f>
        <v>#N/A</v>
      </c>
      <c r="T101" s="2" t="e">
        <f t="array" ref="T101">IF(貼り付け用!$A$6&lt;&gt;"",
IF(INDEX(貼り付け用!A:Z, ROW(T100)+1, MATCH("おやつ", 貼り付け用!$A$3:$Z$3, 0))&lt;&gt;0,
INDEX(貼り付け用!A:Z, ROW(T100)+1, MATCH("おやつ", 貼り付け用!$A$3:$Z$3, 0)),""),
IF(INDEX(貼り付け用!A:Z, ROW(T101)+1, MATCH("おやつ", 貼り付け用!$A$3:$Z$3, 0))&lt;&gt;0,
INDEX(貼り付け用!A:Z, ROW(T101)+1, MATCH("おやつ", 貼り付け用!$A$3:$Z$3, 0)),""))</f>
        <v>#N/A</v>
      </c>
      <c r="U101" s="52"/>
      <c r="V101" s="8" t="e">
        <f t="array" ref="V101">IF(貼り付け用!$A$6&lt;&gt;"",
IF(INDEX(貼り付け用!A:Z, ROW(T100)+1, MATCH("おやつ", 貼り付け用!$A$3:$Z$3, 0)+1)&lt;&gt;0,
INDEX(貼り付け用!A:Z, ROW(T100)+1, MATCH("おやつ", 貼り付け用!$A$3:$Z$3, 0)+1),""),
IF(INDEX(貼り付け用!A:Z, ROW(T101)+1, MATCH("おやつ", 貼り付け用!$A$3:$Z$3, 0)+1)&lt;&gt;0,
INDEX(貼り付け用!A:Z, ROW(T101)+1, MATCH("おやつ", 貼り付け用!$A$3:$Z$3, 0)+1),""))</f>
        <v>#N/A</v>
      </c>
      <c r="W101" s="9" t="e">
        <f t="array" ref="W101">IF(貼り付け用!$A$6&lt;&gt;"",
IF(INDEX(貼り付け用!A:Z, ROW(T100)+1, MATCH("おやつ", 貼り付け用!$A$3:$Z$3, 0)+2)&lt;&gt;0,
INDEX(貼り付け用!A:Z, ROW(T100)+1, MATCH("おやつ", 貼り付け用!$A$3:$Z$3, 0)+2),""),
IF(INDEX(貼り付け用!A:Z, ROW(T101)+1, MATCH("おやつ", 貼り付け用!$A$3:$Z$3, 0)+2)&lt;&gt;0,
INDEX(貼り付け用!A:Z, ROW(T101)+1, MATCH("おやつ", 貼り付け用!$A$3:$Z$3, 0)+2),""))</f>
        <v>#N/A</v>
      </c>
    </row>
    <row r="102" spans="1:23" x14ac:dyDescent="0.45">
      <c r="A102" s="4" t="e">
        <f>IF(貼り付け用!$A$6&lt;&gt;"",
IF(ROW(A101)+1&gt;=MATCH("*10000*", 貼り付け用!$A:$A, 0),
IF(COUNTIF(A100,"*10000*"),"10001",
IF(COUNTIF(A100,"*10001*"),"10002",
IF(COUNTIF(A100,"*10002*"),"",
IF(COUNTIF(A100,""),"","10000")))),
IF(貼り付け用!A102&lt;&gt;"",貼り付け用!A102,"")),
IF(ROW(A102)+1&gt;=MATCH("*10000*", 貼り付け用!$A:$A, 0),
IF(COUNTIF(A100,"*10000*"),"10001",
IF(COUNTIF(A100,"*10001*"),"10002",
IF(COUNTIF(A100,"*10002*"),"",
IF(COUNTIF(A100,""),"","10000")))),
IF(貼り付け用!A103&lt;&gt;"",貼り付け用!A103,"")))</f>
        <v>#N/A</v>
      </c>
      <c r="B102" s="19" t="e">
        <f>IF(貼り付け用!$A$6&lt;&gt;"",
IF(ROW(B101)+2&gt;=MATCH("*【合計】*", 貼り付け用!$A:$A, 0),"",
IF(貼り付け用!B102&lt;&gt;"",貼り付け用!B102,"")),
IF(ROW(B102)+2&gt;=MATCH("*【合計】*", 貼り付け用!$A:$A, 0),"",
IF(貼り付け用!B103&lt;&gt;"",貼り付け用!B103,"")))</f>
        <v>#N/A</v>
      </c>
      <c r="C102" s="19" t="e">
        <f>IF(貼り付け用!$A$6&lt;&gt;"",
IF(ROW(C101)+2&gt;=MATCH("*【合計】*", 貼り付け用!$A:$A, 0),"",
IF(貼り付け用!C102&lt;&gt;"",貼り付け用!C102,"")),
IF(ROW(C102)+2&gt;=MATCH("*【合計】*", 貼り付け用!$A:$A, 0),"",
IF(貼り付け用!C103&lt;&gt;"",貼り付け用!C103,"")))</f>
        <v>#N/A</v>
      </c>
      <c r="D102" s="19" t="e">
        <f>IF(貼り付け用!$A$6&lt;&gt;"",
IF(ROW(D101)+2&gt;=MATCH("*【合計】*", 貼り付け用!$A:$A, 0),"",
IF(貼り付け用!D102&lt;&gt;"",貼り付け用!D102,"")),
IF(ROW(D102)+2&gt;=MATCH("*【合計】*", 貼り付け用!$A:$A, 0),"",
IF(貼り付け用!D103&lt;&gt;"",貼り付け用!D103,"")))</f>
        <v>#N/A</v>
      </c>
      <c r="E102" s="19" t="e">
        <f>IF(貼り付け用!$A$6&lt;&gt;"",
IF(ROW(E101)+2&gt;=MATCH("*【合計】*", 貼り付け用!$A:$A, 0),"",
IF(貼り付け用!E102&lt;&gt;"",貼り付け用!E102,"")),
IF(ROW(E102)+2&gt;=MATCH("*【合計】*", 貼り付け用!$A:$A, 0),"",
IF(貼り付け用!E103&lt;&gt;"",貼り付け用!E103,"")))</f>
        <v>#N/A</v>
      </c>
      <c r="F102" s="19" t="e">
        <f>IF(貼り付け用!$A$6&lt;&gt;"",
IF(ROW(F101)+2&gt;=MATCH("*【合計】*", 貼り付け用!$A:$A, 0),"",
IF(貼り付け用!F102&lt;&gt;"",貼り付け用!F102,"")),
IF(ROW(F102)+2&gt;=MATCH("*【合計】*", 貼り付け用!$A:$A, 0),"",
IF(貼り付け用!F103&lt;&gt;"",貼り付け用!F103,"")))</f>
        <v>#N/A</v>
      </c>
      <c r="G102" s="19" t="e">
        <f>IF(貼り付け用!$A$6&lt;&gt;"",
IF(ROW(G101)+2&gt;=MATCH("*【合計】*", 貼り付け用!$A:$A, 0),"",
IF(貼り付け用!G102&lt;&gt;"",貼り付け用!G102,"")),
IF(ROW(G102)+2&gt;=MATCH("*【合計】*", 貼り付け用!$A:$A, 0),"",
IF(貼り付け用!G103&lt;&gt;"",貼り付け用!G103,"")))</f>
        <v>#N/A</v>
      </c>
      <c r="H102" s="19" t="e">
        <f>IF(貼り付け用!$A$6&lt;&gt;"",
IF(ROW(H101)+2&gt;=MATCH("*【合計】*", 貼り付け用!$A:$A, 0),"",
IF(貼り付け用!H102&lt;&gt;"",貼り付け用!H102,"")),
IF(ROW(H102)+2&gt;=MATCH("*【合計】*", 貼り付け用!$A:$A, 0),"",
IF(貼り付け用!H103&lt;&gt;"",貼り付け用!H103,"")))</f>
        <v>#N/A</v>
      </c>
      <c r="I102" s="19" t="e">
        <f>IF(貼り付け用!$A$6&lt;&gt;"",
IF(ROW(I101)+2&gt;=MATCH("*【合計】*", 貼り付け用!$A:$A, 0),"",
IF(貼り付け用!I102&lt;&gt;"",貼り付け用!I102,"")),
IF(ROW(I102)+2&gt;=MATCH("*【合計】*", 貼り付け用!$A:$A, 0),"",
IF(貼り付け用!I103&lt;&gt;"",貼り付け用!I103,"")))</f>
        <v>#N/A</v>
      </c>
      <c r="J102" s="19" t="e">
        <f>IF(貼り付け用!$A$6&lt;&gt;"",
IF(ROW(J101)+2&gt;=MATCH("*【合計】*", 貼り付け用!$A:$A, 0),"",
IF(貼り付け用!J102&lt;&gt;"",貼り付け用!J102,"")),
IF(ROW(J102)+2&gt;=MATCH("*【合計】*", 貼り付け用!$A:$A, 0),"",
IF(貼り付け用!J103&lt;&gt;"",貼り付け用!J103,"")))</f>
        <v>#N/A</v>
      </c>
      <c r="K102" s="19" t="e">
        <f>IF(貼り付け用!$A$6&lt;&gt;"",
IF(ROW(K101)+2&gt;=MATCH("*【合計】*", 貼り付け用!$A:$A, 0),"",
IF(貼り付け用!K102&lt;&gt;"",貼り付け用!K102,"")),
IF(ROW(K102)+2&gt;=MATCH("*【合計】*", 貼り付け用!$A:$A, 0),"",
IF(貼り付け用!K103&lt;&gt;"",貼り付け用!K103,"")))</f>
        <v>#N/A</v>
      </c>
      <c r="L102" s="19" t="e">
        <f>IF(貼り付け用!$A$6&lt;&gt;"",
IF(ROW(L101)+2&gt;=MATCH("*【合計】*", 貼り付け用!$A:$A, 0),"",
IF(L$3&lt;&gt;"",IF(貼り付け用!L102&lt;&gt;"",貼り付け用!L102,""),"")),
IF(ROW(L102)+2&gt;=MATCH("*【合計】*", 貼り付け用!$A:$A, 0),"",
IF(L$3&lt;&gt;"",IF(貼り付け用!L103&lt;&gt;"",貼り付け用!L103,""),"")))</f>
        <v>#N/A</v>
      </c>
      <c r="M102" s="19" t="e">
        <f>IF(貼り付け用!$A$6&lt;&gt;"",
IF(ROW(M101)+2&gt;=MATCH("*【合計】*", 貼り付け用!$A:$A, 0),"",
IF(M$3&lt;&gt;"",IF(貼り付け用!M102&lt;&gt;"",貼り付け用!M102,""),"")),
IF(ROW(M102)+2&gt;=MATCH("*【合計】*", 貼り付け用!$A:$A, 0),"",
IF(M$3&lt;&gt;"",IF(貼り付け用!M103&lt;&gt;"",貼り付け用!M103,""),"")))</f>
        <v>#N/A</v>
      </c>
      <c r="N102" s="19" t="e">
        <f>IF(貼り付け用!$A$6&lt;&gt;"",
IF(ROW(N101)+2&gt;=MATCH("*【合計】*", 貼り付け用!$A:$A, 0),"",
IF(N$3&lt;&gt;"",IF(貼り付け用!N102&lt;&gt;"",貼り付け用!N102,""),"")),
IF(ROW(N102)+2&gt;=MATCH("*【合計】*", 貼り付け用!$A:$A, 0),"",
IF(N$3&lt;&gt;"",IF(貼り付け用!N103&lt;&gt;"",貼り付け用!N103,""),"")))</f>
        <v>#N/A</v>
      </c>
      <c r="O102" s="19" t="e">
        <f>IF(貼り付け用!$A$6&lt;&gt;"",
IF(ROW(O101)+2&gt;=MATCH("*【合計】*", 貼り付け用!$A:$A, 0),"",
IF(O$3&lt;&gt;"",IF(貼り付け用!O102&lt;&gt;"",貼り付け用!O102,""),"")),
IF(ROW(O102)+2&gt;=MATCH("*【合計】*", 貼り付け用!$A:$A, 0),"",
IF(O$3&lt;&gt;"",IF(貼り付け用!O103&lt;&gt;"",貼り付け用!O103,""),"")))</f>
        <v>#N/A</v>
      </c>
      <c r="P102" s="19" t="e">
        <f>IF(貼り付け用!$A$6&lt;&gt;"",
IF(ROW(P101)+2&gt;=MATCH("*【合計】*", 貼り付け用!$A:$A, 0),"",
IF(P$3&lt;&gt;"",IF(貼り付け用!P102&lt;&gt;"",貼り付け用!P102,""),"")),
IF(ROW(P102)+2&gt;=MATCH("*【合計】*", 貼り付け用!$A:$A, 0),"",
IF(P$3&lt;&gt;"",IF(貼り付け用!P103&lt;&gt;"",貼り付け用!P103,""),"")))</f>
        <v>#N/A</v>
      </c>
      <c r="Q102" s="19" t="e">
        <f>IF(貼り付け用!$A$6&lt;&gt;"",
IF(ROW(Q101)+2&gt;=MATCH("*【合計】*", 貼り付け用!$A:$A, 0),"",
IF(Q$3&lt;&gt;"",IF(貼り付け用!Q102&lt;&gt;"",貼り付け用!Q102,""),"")),
IF(ROW(Q102)+2&gt;=MATCH("*【合計】*", 貼り付け用!$A:$A, 0),"",
IF(Q$3&lt;&gt;"",IF(貼り付け用!Q103&lt;&gt;"",貼り付け用!Q103,""),"")))</f>
        <v>#N/A</v>
      </c>
      <c r="R102" s="19" t="e">
        <f>IF(貼り付け用!$A$6&lt;&gt;"",
IF(ROW(R101)+2&gt;=MATCH("*【合計】*", 貼り付け用!$A:$A, 0),"",
IF(R$3&lt;&gt;"",IF(貼り付け用!R102&lt;&gt;"",貼り付け用!R102,""),"")),
IF(ROW(R102)+2&gt;=MATCH("*【合計】*", 貼り付け用!$A:$A, 0),"",
IF(R$3&lt;&gt;"",IF(貼り付け用!R103&lt;&gt;"",貼り付け用!R103,""),"")))</f>
        <v>#N/A</v>
      </c>
      <c r="S102" s="19" t="e">
        <f>IF(貼り付け用!$A$6&lt;&gt;"",
IF(ROW(S101)+2&gt;=MATCH("*【合計】*", 貼り付け用!$A:$A, 0),"",
IF(S$3&lt;&gt;"",IF(貼り付け用!S102&lt;&gt;"",貼り付け用!S102,""),"")),
IF(ROW(S102)+2&gt;=MATCH("*【合計】*", 貼り付け用!$A:$A, 0),"",
IF(S$3&lt;&gt;"",IF(貼り付け用!S103&lt;&gt;"",貼り付け用!S103,""),"")))</f>
        <v>#N/A</v>
      </c>
      <c r="T102" s="19" t="e">
        <f t="array" ref="T102">IF(貼り付け用!$A$6&lt;&gt;"",
IF(INDEX(貼り付け用!A:Z, ROW(T101)+1, MATCH("おやつ", 貼り付け用!$A$3:$Z$3, 0))&lt;&gt;0,
INDEX(貼り付け用!A:Z, ROW(T101)+1, MATCH("おやつ", 貼り付け用!$A$3:$Z$3, 0)),""),
IF(INDEX(貼り付け用!A:Z, ROW(T102)+1, MATCH("おやつ", 貼り付け用!$A$3:$Z$3, 0))&lt;&gt;0,
INDEX(貼り付け用!A:Z, ROW(T102)+1, MATCH("おやつ", 貼り付け用!$A$3:$Z$3, 0)),""))</f>
        <v>#N/A</v>
      </c>
      <c r="U102" s="16"/>
      <c r="V102" s="5" t="e">
        <f t="array" ref="V102">IF(貼り付け用!$A$6&lt;&gt;"",
IF(INDEX(貼り付け用!A:Z, ROW(T101)+1, MATCH("おやつ", 貼り付け用!$A$3:$Z$3, 0)+1)&lt;&gt;0,
INDEX(貼り付け用!A:Z, ROW(T101)+1, MATCH("おやつ", 貼り付け用!$A$3:$Z$3, 0)+1),""),
IF(INDEX(貼り付け用!A:Z, ROW(T102)+1, MATCH("おやつ", 貼り付け用!$A$3:$Z$3, 0)+1)&lt;&gt;0,
INDEX(貼り付け用!A:Z, ROW(T102)+1, MATCH("おやつ", 貼り付け用!$A$3:$Z$3, 0)+1),""))</f>
        <v>#N/A</v>
      </c>
      <c r="W102" s="7" t="e">
        <f t="array" ref="W102">IF(貼り付け用!$A$6&lt;&gt;"",
IF(INDEX(貼り付け用!A:Z, ROW(T101)+1, MATCH("おやつ", 貼り付け用!$A$3:$Z$3, 0)+2)&lt;&gt;0,
INDEX(貼り付け用!A:Z, ROW(T101)+1, MATCH("おやつ", 貼り付け用!$A$3:$Z$3, 0)+2),""),
IF(INDEX(貼り付け用!A:Z, ROW(T102)+1, MATCH("おやつ", 貼り付け用!$A$3:$Z$3, 0)+2)&lt;&gt;0,
INDEX(貼り付け用!A:Z, ROW(T102)+1, MATCH("おやつ", 貼り付け用!$A$3:$Z$3, 0)+2),""))</f>
        <v>#N/A</v>
      </c>
    </row>
    <row r="103" spans="1:23" x14ac:dyDescent="0.45">
      <c r="A103" s="10" t="e">
        <f>IF(貼り付け用!$A$6&lt;&gt;"",
IF(ROW(A102)+1&gt;=MATCH("*10000*", 貼り付け用!$A:$A, 0),"",
IF(貼り付け用!A103&lt;&gt;"",貼り付け用!A103,"")),
IF(ROW(A103)+1&gt;=MATCH("*10000*", 貼り付け用!$A:$A, 0),"",
IF(貼り付け用!A104&lt;&gt;"",貼り付け用!A104,"")))</f>
        <v>#N/A</v>
      </c>
      <c r="B103" s="3" t="e">
        <f>IF(貼り付け用!$A$6&lt;&gt;"",
IF(ROW(B102)+2&gt;=MATCH("*【合計】*", 貼り付け用!$A:$A, 0),"",
IF(貼り付け用!B103&lt;&gt;"",貼り付け用!B103,"")),
IF(ROW(B103)+2&gt;=MATCH("*【合計】*", 貼り付け用!$A:$A, 0),"",
IF(貼り付け用!B104&lt;&gt;"",貼り付け用!B104,"")))</f>
        <v>#N/A</v>
      </c>
      <c r="C103" s="3" t="e">
        <f>IF(貼り付け用!$A$6&lt;&gt;"",
IF(ROW(C102)+2&gt;=MATCH("*【合計】*", 貼り付け用!$A:$A, 0),"",
IF(貼り付け用!C103&lt;&gt;"",貼り付け用!C103,"")),
IF(ROW(C103)+2&gt;=MATCH("*【合計】*", 貼り付け用!$A:$A, 0),"",
IF(貼り付け用!C104&lt;&gt;"",貼り付け用!C104,"")))</f>
        <v>#N/A</v>
      </c>
      <c r="D103" s="3" t="e">
        <f>IF(貼り付け用!$A$6&lt;&gt;"",
IF(ROW(D102)+2&gt;=MATCH("*【合計】*", 貼り付け用!$A:$A, 0),"",
IF(貼り付け用!D103&lt;&gt;"",貼り付け用!D103,"")),
IF(ROW(D103)+2&gt;=MATCH("*【合計】*", 貼り付け用!$A:$A, 0),"",
IF(貼り付け用!D104&lt;&gt;"",貼り付け用!D104,"")))</f>
        <v>#N/A</v>
      </c>
      <c r="E103" s="3" t="e">
        <f>IF(貼り付け用!$A$6&lt;&gt;"",
IF(ROW(E102)+2&gt;=MATCH("*【合計】*", 貼り付け用!$A:$A, 0),"",
IF(貼り付け用!E103&lt;&gt;"",貼り付け用!E103,"")),
IF(ROW(E103)+2&gt;=MATCH("*【合計】*", 貼り付け用!$A:$A, 0),"",
IF(貼り付け用!E104&lt;&gt;"",貼り付け用!E104,"")))</f>
        <v>#N/A</v>
      </c>
      <c r="F103" s="3" t="e">
        <f>IF(貼り付け用!$A$6&lt;&gt;"",
IF(ROW(F102)+2&gt;=MATCH("*【合計】*", 貼り付け用!$A:$A, 0),"",
IF(貼り付け用!F103&lt;&gt;"",貼り付け用!F103,"")),
IF(ROW(F103)+2&gt;=MATCH("*【合計】*", 貼り付け用!$A:$A, 0),"",
IF(貼り付け用!F104&lt;&gt;"",貼り付け用!F104,"")))</f>
        <v>#N/A</v>
      </c>
      <c r="G103" s="3" t="e">
        <f>IF(貼り付け用!$A$6&lt;&gt;"",
IF(ROW(G102)+2&gt;=MATCH("*【合計】*", 貼り付け用!$A:$A, 0),"",
IF(貼り付け用!G103&lt;&gt;"",貼り付け用!G103,"")),
IF(ROW(G103)+2&gt;=MATCH("*【合計】*", 貼り付け用!$A:$A, 0),"",
IF(貼り付け用!G104&lt;&gt;"",貼り付け用!G104,"")))</f>
        <v>#N/A</v>
      </c>
      <c r="H103" s="3" t="e">
        <f>IF(貼り付け用!$A$6&lt;&gt;"",
IF(ROW(H102)+2&gt;=MATCH("*【合計】*", 貼り付け用!$A:$A, 0),"",
IF(貼り付け用!H103&lt;&gt;"",貼り付け用!H103,"")),
IF(ROW(H103)+2&gt;=MATCH("*【合計】*", 貼り付け用!$A:$A, 0),"",
IF(貼り付け用!H104&lt;&gt;"",貼り付け用!H104,"")))</f>
        <v>#N/A</v>
      </c>
      <c r="I103" s="3" t="e">
        <f>IF(貼り付け用!$A$6&lt;&gt;"",
IF(ROW(I102)+2&gt;=MATCH("*【合計】*", 貼り付け用!$A:$A, 0),"",
IF(貼り付け用!I103&lt;&gt;"",貼り付け用!I103,"")),
IF(ROW(I103)+2&gt;=MATCH("*【合計】*", 貼り付け用!$A:$A, 0),"",
IF(貼り付け用!I104&lt;&gt;"",貼り付け用!I104,"")))</f>
        <v>#N/A</v>
      </c>
      <c r="J103" s="3" t="e">
        <f>IF(貼り付け用!$A$6&lt;&gt;"",
IF(ROW(J102)+2&gt;=MATCH("*【合計】*", 貼り付け用!$A:$A, 0),"",
IF(貼り付け用!J103&lt;&gt;"",貼り付け用!J103,"")),
IF(ROW(J103)+2&gt;=MATCH("*【合計】*", 貼り付け用!$A:$A, 0),"",
IF(貼り付け用!J104&lt;&gt;"",貼り付け用!J104,"")))</f>
        <v>#N/A</v>
      </c>
      <c r="K103" s="3" t="e">
        <f>IF(貼り付け用!$A$6&lt;&gt;"",
IF(ROW(K102)+2&gt;=MATCH("*【合計】*", 貼り付け用!$A:$A, 0),"",
IF(貼り付け用!K103&lt;&gt;"",貼り付け用!K103,"")),
IF(ROW(K103)+2&gt;=MATCH("*【合計】*", 貼り付け用!$A:$A, 0),"",
IF(貼り付け用!K104&lt;&gt;"",貼り付け用!K104,"")))</f>
        <v>#N/A</v>
      </c>
      <c r="L103" s="3" t="e">
        <f>IF(貼り付け用!$A$6&lt;&gt;"",
IF(ROW(L102)+2&gt;=MATCH("*【合計】*", 貼り付け用!$A:$A, 0),"",
IF(L$3&lt;&gt;"",IF(貼り付け用!L103&lt;&gt;"",貼り付け用!L103,""),"")),
IF(ROW(L103)+2&gt;=MATCH("*【合計】*", 貼り付け用!$A:$A, 0),"",
IF(L$3&lt;&gt;"",IF(貼り付け用!L104&lt;&gt;"",貼り付け用!L104,""),"")))</f>
        <v>#N/A</v>
      </c>
      <c r="M103" s="3" t="e">
        <f>IF(貼り付け用!$A$6&lt;&gt;"",
IF(ROW(M102)+2&gt;=MATCH("*【合計】*", 貼り付け用!$A:$A, 0),"",
IF(M$3&lt;&gt;"",IF(貼り付け用!M103&lt;&gt;"",貼り付け用!M103,""),"")),
IF(ROW(M103)+2&gt;=MATCH("*【合計】*", 貼り付け用!$A:$A, 0),"",
IF(M$3&lt;&gt;"",IF(貼り付け用!M104&lt;&gt;"",貼り付け用!M104,""),"")))</f>
        <v>#N/A</v>
      </c>
      <c r="N103" s="3" t="e">
        <f>IF(貼り付け用!$A$6&lt;&gt;"",
IF(ROW(N102)+2&gt;=MATCH("*【合計】*", 貼り付け用!$A:$A, 0),"",
IF(N$3&lt;&gt;"",IF(貼り付け用!N103&lt;&gt;"",貼り付け用!N103,""),"")),
IF(ROW(N103)+2&gt;=MATCH("*【合計】*", 貼り付け用!$A:$A, 0),"",
IF(N$3&lt;&gt;"",IF(貼り付け用!N104&lt;&gt;"",貼り付け用!N104,""),"")))</f>
        <v>#N/A</v>
      </c>
      <c r="O103" s="3" t="e">
        <f>IF(貼り付け用!$A$6&lt;&gt;"",
IF(ROW(O102)+2&gt;=MATCH("*【合計】*", 貼り付け用!$A:$A, 0),"",
IF(O$3&lt;&gt;"",IF(貼り付け用!O103&lt;&gt;"",貼り付け用!O103,""),"")),
IF(ROW(O103)+2&gt;=MATCH("*【合計】*", 貼り付け用!$A:$A, 0),"",
IF(O$3&lt;&gt;"",IF(貼り付け用!O104&lt;&gt;"",貼り付け用!O104,""),"")))</f>
        <v>#N/A</v>
      </c>
      <c r="P103" s="3" t="e">
        <f>IF(貼り付け用!$A$6&lt;&gt;"",
IF(ROW(P102)+2&gt;=MATCH("*【合計】*", 貼り付け用!$A:$A, 0),"",
IF(P$3&lt;&gt;"",IF(貼り付け用!P103&lt;&gt;"",貼り付け用!P103,""),"")),
IF(ROW(P103)+2&gt;=MATCH("*【合計】*", 貼り付け用!$A:$A, 0),"",
IF(P$3&lt;&gt;"",IF(貼り付け用!P104&lt;&gt;"",貼り付け用!P104,""),"")))</f>
        <v>#N/A</v>
      </c>
      <c r="Q103" s="3" t="e">
        <f>IF(貼り付け用!$A$6&lt;&gt;"",
IF(ROW(Q102)+2&gt;=MATCH("*【合計】*", 貼り付け用!$A:$A, 0),"",
IF(Q$3&lt;&gt;"",IF(貼り付け用!Q103&lt;&gt;"",貼り付け用!Q103,""),"")),
IF(ROW(Q103)+2&gt;=MATCH("*【合計】*", 貼り付け用!$A:$A, 0),"",
IF(Q$3&lt;&gt;"",IF(貼り付け用!Q104&lt;&gt;"",貼り付け用!Q104,""),"")))</f>
        <v>#N/A</v>
      </c>
      <c r="R103" s="3" t="e">
        <f>IF(貼り付け用!$A$6&lt;&gt;"",
IF(ROW(R102)+2&gt;=MATCH("*【合計】*", 貼り付け用!$A:$A, 0),"",
IF(R$3&lt;&gt;"",IF(貼り付け用!R103&lt;&gt;"",貼り付け用!R103,""),"")),
IF(ROW(R103)+2&gt;=MATCH("*【合計】*", 貼り付け用!$A:$A, 0),"",
IF(R$3&lt;&gt;"",IF(貼り付け用!R104&lt;&gt;"",貼り付け用!R104,""),"")))</f>
        <v>#N/A</v>
      </c>
      <c r="S103" s="3" t="e">
        <f>IF(貼り付け用!$A$6&lt;&gt;"",
IF(ROW(S102)+2&gt;=MATCH("*【合計】*", 貼り付け用!$A:$A, 0),"",
IF(S$3&lt;&gt;"",IF(貼り付け用!S103&lt;&gt;"",貼り付け用!S103,""),"")),
IF(ROW(S103)+2&gt;=MATCH("*【合計】*", 貼り付け用!$A:$A, 0),"",
IF(S$3&lt;&gt;"",IF(貼り付け用!S104&lt;&gt;"",貼り付け用!S104,""),"")))</f>
        <v>#N/A</v>
      </c>
      <c r="T103" s="2" t="e">
        <f t="array" ref="T103">IF(貼り付け用!$A$6&lt;&gt;"",
IF(INDEX(貼り付け用!A:Z, ROW(T102)+1, MATCH("おやつ", 貼り付け用!$A$3:$Z$3, 0))&lt;&gt;0,
INDEX(貼り付け用!A:Z, ROW(T102)+1, MATCH("おやつ", 貼り付け用!$A$3:$Z$3, 0)),""),
IF(INDEX(貼り付け用!A:Z, ROW(T103)+1, MATCH("おやつ", 貼り付け用!$A$3:$Z$3, 0))&lt;&gt;0,
INDEX(貼り付け用!A:Z, ROW(T103)+1, MATCH("おやつ", 貼り付け用!$A$3:$Z$3, 0)),""))</f>
        <v>#N/A</v>
      </c>
      <c r="U103" s="52"/>
      <c r="V103" s="8" t="e">
        <f t="array" ref="V103">IF(貼り付け用!$A$6&lt;&gt;"",
IF(INDEX(貼り付け用!A:Z, ROW(T102)+1, MATCH("おやつ", 貼り付け用!$A$3:$Z$3, 0)+1)&lt;&gt;0,
INDEX(貼り付け用!A:Z, ROW(T102)+1, MATCH("おやつ", 貼り付け用!$A$3:$Z$3, 0)+1),""),
IF(INDEX(貼り付け用!A:Z, ROW(T103)+1, MATCH("おやつ", 貼り付け用!$A$3:$Z$3, 0)+1)&lt;&gt;0,
INDEX(貼り付け用!A:Z, ROW(T103)+1, MATCH("おやつ", 貼り付け用!$A$3:$Z$3, 0)+1),""))</f>
        <v>#N/A</v>
      </c>
      <c r="W103" s="9" t="e">
        <f t="array" ref="W103">IF(貼り付け用!$A$6&lt;&gt;"",
IF(INDEX(貼り付け用!A:Z, ROW(T102)+1, MATCH("おやつ", 貼り付け用!$A$3:$Z$3, 0)+2)&lt;&gt;0,
INDEX(貼り付け用!A:Z, ROW(T102)+1, MATCH("おやつ", 貼り付け用!$A$3:$Z$3, 0)+2),""),
IF(INDEX(貼り付け用!A:Z, ROW(T103)+1, MATCH("おやつ", 貼り付け用!$A$3:$Z$3, 0)+2)&lt;&gt;0,
INDEX(貼り付け用!A:Z, ROW(T103)+1, MATCH("おやつ", 貼り付け用!$A$3:$Z$3, 0)+2),""))</f>
        <v>#N/A</v>
      </c>
    </row>
    <row r="104" spans="1:23" x14ac:dyDescent="0.45">
      <c r="A104" s="4" t="e">
        <f>IF(貼り付け用!$A$6&lt;&gt;"",
IF(ROW(A103)+1&gt;=MATCH("*10000*", 貼り付け用!$A:$A, 0),
IF(COUNTIF(A102,"*10000*"),"10001",
IF(COUNTIF(A102,"*10001*"),"10002",
IF(COUNTIF(A102,"*10002*"),"",
IF(COUNTIF(A102,""),"","10000")))),
IF(貼り付け用!A104&lt;&gt;"",貼り付け用!A104,"")),
IF(ROW(A104)+1&gt;=MATCH("*10000*", 貼り付け用!$A:$A, 0),
IF(COUNTIF(A102,"*10000*"),"10001",
IF(COUNTIF(A102,"*10001*"),"10002",
IF(COUNTIF(A102,"*10002*"),"",
IF(COUNTIF(A102,""),"","10000")))),
IF(貼り付け用!A105&lt;&gt;"",貼り付け用!A105,"")))</f>
        <v>#N/A</v>
      </c>
      <c r="B104" s="19" t="e">
        <f>IF(貼り付け用!$A$6&lt;&gt;"",
IF(ROW(B103)+2&gt;=MATCH("*【合計】*", 貼り付け用!$A:$A, 0),"",
IF(貼り付け用!B104&lt;&gt;"",貼り付け用!B104,"")),
IF(ROW(B104)+2&gt;=MATCH("*【合計】*", 貼り付け用!$A:$A, 0),"",
IF(貼り付け用!B105&lt;&gt;"",貼り付け用!B105,"")))</f>
        <v>#N/A</v>
      </c>
      <c r="C104" s="19" t="e">
        <f>IF(貼り付け用!$A$6&lt;&gt;"",
IF(ROW(C103)+2&gt;=MATCH("*【合計】*", 貼り付け用!$A:$A, 0),"",
IF(貼り付け用!C104&lt;&gt;"",貼り付け用!C104,"")),
IF(ROW(C104)+2&gt;=MATCH("*【合計】*", 貼り付け用!$A:$A, 0),"",
IF(貼り付け用!C105&lt;&gt;"",貼り付け用!C105,"")))</f>
        <v>#N/A</v>
      </c>
      <c r="D104" s="19" t="e">
        <f>IF(貼り付け用!$A$6&lt;&gt;"",
IF(ROW(D103)+2&gt;=MATCH("*【合計】*", 貼り付け用!$A:$A, 0),"",
IF(貼り付け用!D104&lt;&gt;"",貼り付け用!D104,"")),
IF(ROW(D104)+2&gt;=MATCH("*【合計】*", 貼り付け用!$A:$A, 0),"",
IF(貼り付け用!D105&lt;&gt;"",貼り付け用!D105,"")))</f>
        <v>#N/A</v>
      </c>
      <c r="E104" s="19" t="e">
        <f>IF(貼り付け用!$A$6&lt;&gt;"",
IF(ROW(E103)+2&gt;=MATCH("*【合計】*", 貼り付け用!$A:$A, 0),"",
IF(貼り付け用!E104&lt;&gt;"",貼り付け用!E104,"")),
IF(ROW(E104)+2&gt;=MATCH("*【合計】*", 貼り付け用!$A:$A, 0),"",
IF(貼り付け用!E105&lt;&gt;"",貼り付け用!E105,"")))</f>
        <v>#N/A</v>
      </c>
      <c r="F104" s="19" t="e">
        <f>IF(貼り付け用!$A$6&lt;&gt;"",
IF(ROW(F103)+2&gt;=MATCH("*【合計】*", 貼り付け用!$A:$A, 0),"",
IF(貼り付け用!F104&lt;&gt;"",貼り付け用!F104,"")),
IF(ROW(F104)+2&gt;=MATCH("*【合計】*", 貼り付け用!$A:$A, 0),"",
IF(貼り付け用!F105&lt;&gt;"",貼り付け用!F105,"")))</f>
        <v>#N/A</v>
      </c>
      <c r="G104" s="19" t="e">
        <f>IF(貼り付け用!$A$6&lt;&gt;"",
IF(ROW(G103)+2&gt;=MATCH("*【合計】*", 貼り付け用!$A:$A, 0),"",
IF(貼り付け用!G104&lt;&gt;"",貼り付け用!G104,"")),
IF(ROW(G104)+2&gt;=MATCH("*【合計】*", 貼り付け用!$A:$A, 0),"",
IF(貼り付け用!G105&lt;&gt;"",貼り付け用!G105,"")))</f>
        <v>#N/A</v>
      </c>
      <c r="H104" s="19" t="e">
        <f>IF(貼り付け用!$A$6&lt;&gt;"",
IF(ROW(H103)+2&gt;=MATCH("*【合計】*", 貼り付け用!$A:$A, 0),"",
IF(貼り付け用!H104&lt;&gt;"",貼り付け用!H104,"")),
IF(ROW(H104)+2&gt;=MATCH("*【合計】*", 貼り付け用!$A:$A, 0),"",
IF(貼り付け用!H105&lt;&gt;"",貼り付け用!H105,"")))</f>
        <v>#N/A</v>
      </c>
      <c r="I104" s="19" t="e">
        <f>IF(貼り付け用!$A$6&lt;&gt;"",
IF(ROW(I103)+2&gt;=MATCH("*【合計】*", 貼り付け用!$A:$A, 0),"",
IF(貼り付け用!I104&lt;&gt;"",貼り付け用!I104,"")),
IF(ROW(I104)+2&gt;=MATCH("*【合計】*", 貼り付け用!$A:$A, 0),"",
IF(貼り付け用!I105&lt;&gt;"",貼り付け用!I105,"")))</f>
        <v>#N/A</v>
      </c>
      <c r="J104" s="19" t="e">
        <f>IF(貼り付け用!$A$6&lt;&gt;"",
IF(ROW(J103)+2&gt;=MATCH("*【合計】*", 貼り付け用!$A:$A, 0),"",
IF(貼り付け用!J104&lt;&gt;"",貼り付け用!J104,"")),
IF(ROW(J104)+2&gt;=MATCH("*【合計】*", 貼り付け用!$A:$A, 0),"",
IF(貼り付け用!J105&lt;&gt;"",貼り付け用!J105,"")))</f>
        <v>#N/A</v>
      </c>
      <c r="K104" s="19" t="e">
        <f>IF(貼り付け用!$A$6&lt;&gt;"",
IF(ROW(K103)+2&gt;=MATCH("*【合計】*", 貼り付け用!$A:$A, 0),"",
IF(貼り付け用!K104&lt;&gt;"",貼り付け用!K104,"")),
IF(ROW(K104)+2&gt;=MATCH("*【合計】*", 貼り付け用!$A:$A, 0),"",
IF(貼り付け用!K105&lt;&gt;"",貼り付け用!K105,"")))</f>
        <v>#N/A</v>
      </c>
      <c r="L104" s="19" t="e">
        <f>IF(貼り付け用!$A$6&lt;&gt;"",
IF(ROW(L103)+2&gt;=MATCH("*【合計】*", 貼り付け用!$A:$A, 0),"",
IF(L$3&lt;&gt;"",IF(貼り付け用!L104&lt;&gt;"",貼り付け用!L104,""),"")),
IF(ROW(L104)+2&gt;=MATCH("*【合計】*", 貼り付け用!$A:$A, 0),"",
IF(L$3&lt;&gt;"",IF(貼り付け用!L105&lt;&gt;"",貼り付け用!L105,""),"")))</f>
        <v>#N/A</v>
      </c>
      <c r="M104" s="19" t="e">
        <f>IF(貼り付け用!$A$6&lt;&gt;"",
IF(ROW(M103)+2&gt;=MATCH("*【合計】*", 貼り付け用!$A:$A, 0),"",
IF(M$3&lt;&gt;"",IF(貼り付け用!M104&lt;&gt;"",貼り付け用!M104,""),"")),
IF(ROW(M104)+2&gt;=MATCH("*【合計】*", 貼り付け用!$A:$A, 0),"",
IF(M$3&lt;&gt;"",IF(貼り付け用!M105&lt;&gt;"",貼り付け用!M105,""),"")))</f>
        <v>#N/A</v>
      </c>
      <c r="N104" s="19" t="e">
        <f>IF(貼り付け用!$A$6&lt;&gt;"",
IF(ROW(N103)+2&gt;=MATCH("*【合計】*", 貼り付け用!$A:$A, 0),"",
IF(N$3&lt;&gt;"",IF(貼り付け用!N104&lt;&gt;"",貼り付け用!N104,""),"")),
IF(ROW(N104)+2&gt;=MATCH("*【合計】*", 貼り付け用!$A:$A, 0),"",
IF(N$3&lt;&gt;"",IF(貼り付け用!N105&lt;&gt;"",貼り付け用!N105,""),"")))</f>
        <v>#N/A</v>
      </c>
      <c r="O104" s="19" t="e">
        <f>IF(貼り付け用!$A$6&lt;&gt;"",
IF(ROW(O103)+2&gt;=MATCH("*【合計】*", 貼り付け用!$A:$A, 0),"",
IF(O$3&lt;&gt;"",IF(貼り付け用!O104&lt;&gt;"",貼り付け用!O104,""),"")),
IF(ROW(O104)+2&gt;=MATCH("*【合計】*", 貼り付け用!$A:$A, 0),"",
IF(O$3&lt;&gt;"",IF(貼り付け用!O105&lt;&gt;"",貼り付け用!O105,""),"")))</f>
        <v>#N/A</v>
      </c>
      <c r="P104" s="19" t="e">
        <f>IF(貼り付け用!$A$6&lt;&gt;"",
IF(ROW(P103)+2&gt;=MATCH("*【合計】*", 貼り付け用!$A:$A, 0),"",
IF(P$3&lt;&gt;"",IF(貼り付け用!P104&lt;&gt;"",貼り付け用!P104,""),"")),
IF(ROW(P104)+2&gt;=MATCH("*【合計】*", 貼り付け用!$A:$A, 0),"",
IF(P$3&lt;&gt;"",IF(貼り付け用!P105&lt;&gt;"",貼り付け用!P105,""),"")))</f>
        <v>#N/A</v>
      </c>
      <c r="Q104" s="19" t="e">
        <f>IF(貼り付け用!$A$6&lt;&gt;"",
IF(ROW(Q103)+2&gt;=MATCH("*【合計】*", 貼り付け用!$A:$A, 0),"",
IF(Q$3&lt;&gt;"",IF(貼り付け用!Q104&lt;&gt;"",貼り付け用!Q104,""),"")),
IF(ROW(Q104)+2&gt;=MATCH("*【合計】*", 貼り付け用!$A:$A, 0),"",
IF(Q$3&lt;&gt;"",IF(貼り付け用!Q105&lt;&gt;"",貼り付け用!Q105,""),"")))</f>
        <v>#N/A</v>
      </c>
      <c r="R104" s="19" t="e">
        <f>IF(貼り付け用!$A$6&lt;&gt;"",
IF(ROW(R103)+2&gt;=MATCH("*【合計】*", 貼り付け用!$A:$A, 0),"",
IF(R$3&lt;&gt;"",IF(貼り付け用!R104&lt;&gt;"",貼り付け用!R104,""),"")),
IF(ROW(R104)+2&gt;=MATCH("*【合計】*", 貼り付け用!$A:$A, 0),"",
IF(R$3&lt;&gt;"",IF(貼り付け用!R105&lt;&gt;"",貼り付け用!R105,""),"")))</f>
        <v>#N/A</v>
      </c>
      <c r="S104" s="19" t="e">
        <f>IF(貼り付け用!$A$6&lt;&gt;"",
IF(ROW(S103)+2&gt;=MATCH("*【合計】*", 貼り付け用!$A:$A, 0),"",
IF(S$3&lt;&gt;"",IF(貼り付け用!S104&lt;&gt;"",貼り付け用!S104,""),"")),
IF(ROW(S104)+2&gt;=MATCH("*【合計】*", 貼り付け用!$A:$A, 0),"",
IF(S$3&lt;&gt;"",IF(貼り付け用!S105&lt;&gt;"",貼り付け用!S105,""),"")))</f>
        <v>#N/A</v>
      </c>
      <c r="T104" s="19" t="e">
        <f t="array" ref="T104">IF(貼り付け用!$A$6&lt;&gt;"",
IF(INDEX(貼り付け用!A:Z, ROW(T103)+1, MATCH("おやつ", 貼り付け用!$A$3:$Z$3, 0))&lt;&gt;0,
INDEX(貼り付け用!A:Z, ROW(T103)+1, MATCH("おやつ", 貼り付け用!$A$3:$Z$3, 0)),""),
IF(INDEX(貼り付け用!A:Z, ROW(T104)+1, MATCH("おやつ", 貼り付け用!$A$3:$Z$3, 0))&lt;&gt;0,
INDEX(貼り付け用!A:Z, ROW(T104)+1, MATCH("おやつ", 貼り付け用!$A$3:$Z$3, 0)),""))</f>
        <v>#N/A</v>
      </c>
      <c r="U104" s="16"/>
      <c r="V104" s="5" t="e">
        <f t="array" ref="V104">IF(貼り付け用!$A$6&lt;&gt;"",
IF(INDEX(貼り付け用!A:Z, ROW(T103)+1, MATCH("おやつ", 貼り付け用!$A$3:$Z$3, 0)+1)&lt;&gt;0,
INDEX(貼り付け用!A:Z, ROW(T103)+1, MATCH("おやつ", 貼り付け用!$A$3:$Z$3, 0)+1),""),
IF(INDEX(貼り付け用!A:Z, ROW(T104)+1, MATCH("おやつ", 貼り付け用!$A$3:$Z$3, 0)+1)&lt;&gt;0,
INDEX(貼り付け用!A:Z, ROW(T104)+1, MATCH("おやつ", 貼り付け用!$A$3:$Z$3, 0)+1),""))</f>
        <v>#N/A</v>
      </c>
      <c r="W104" s="7" t="e">
        <f t="array" ref="W104">IF(貼り付け用!$A$6&lt;&gt;"",
IF(INDEX(貼り付け用!A:Z, ROW(T103)+1, MATCH("おやつ", 貼り付け用!$A$3:$Z$3, 0)+2)&lt;&gt;0,
INDEX(貼り付け用!A:Z, ROW(T103)+1, MATCH("おやつ", 貼り付け用!$A$3:$Z$3, 0)+2),""),
IF(INDEX(貼り付け用!A:Z, ROW(T104)+1, MATCH("おやつ", 貼り付け用!$A$3:$Z$3, 0)+2)&lt;&gt;0,
INDEX(貼り付け用!A:Z, ROW(T104)+1, MATCH("おやつ", 貼り付け用!$A$3:$Z$3, 0)+2),""))</f>
        <v>#N/A</v>
      </c>
    </row>
    <row r="105" spans="1:23" x14ac:dyDescent="0.45">
      <c r="A105" s="10" t="e">
        <f>IF(貼り付け用!$A$6&lt;&gt;"",
IF(ROW(A104)+1&gt;=MATCH("*10000*", 貼り付け用!$A:$A, 0),"",
IF(貼り付け用!A105&lt;&gt;"",貼り付け用!A105,"")),
IF(ROW(A105)+1&gt;=MATCH("*10000*", 貼り付け用!$A:$A, 0),"",
IF(貼り付け用!A106&lt;&gt;"",貼り付け用!A106,"")))</f>
        <v>#N/A</v>
      </c>
      <c r="B105" s="3" t="e">
        <f>IF(貼り付け用!$A$6&lt;&gt;"",
IF(ROW(B104)+2&gt;=MATCH("*【合計】*", 貼り付け用!$A:$A, 0),"",
IF(貼り付け用!B105&lt;&gt;"",貼り付け用!B105,"")),
IF(ROW(B105)+2&gt;=MATCH("*【合計】*", 貼り付け用!$A:$A, 0),"",
IF(貼り付け用!B106&lt;&gt;"",貼り付け用!B106,"")))</f>
        <v>#N/A</v>
      </c>
      <c r="C105" s="3" t="e">
        <f>IF(貼り付け用!$A$6&lt;&gt;"",
IF(ROW(C104)+2&gt;=MATCH("*【合計】*", 貼り付け用!$A:$A, 0),"",
IF(貼り付け用!C105&lt;&gt;"",貼り付け用!C105,"")),
IF(ROW(C105)+2&gt;=MATCH("*【合計】*", 貼り付け用!$A:$A, 0),"",
IF(貼り付け用!C106&lt;&gt;"",貼り付け用!C106,"")))</f>
        <v>#N/A</v>
      </c>
      <c r="D105" s="3" t="e">
        <f>IF(貼り付け用!$A$6&lt;&gt;"",
IF(ROW(D104)+2&gt;=MATCH("*【合計】*", 貼り付け用!$A:$A, 0),"",
IF(貼り付け用!D105&lt;&gt;"",貼り付け用!D105,"")),
IF(ROW(D105)+2&gt;=MATCH("*【合計】*", 貼り付け用!$A:$A, 0),"",
IF(貼り付け用!D106&lt;&gt;"",貼り付け用!D106,"")))</f>
        <v>#N/A</v>
      </c>
      <c r="E105" s="3" t="e">
        <f>IF(貼り付け用!$A$6&lt;&gt;"",
IF(ROW(E104)+2&gt;=MATCH("*【合計】*", 貼り付け用!$A:$A, 0),"",
IF(貼り付け用!E105&lt;&gt;"",貼り付け用!E105,"")),
IF(ROW(E105)+2&gt;=MATCH("*【合計】*", 貼り付け用!$A:$A, 0),"",
IF(貼り付け用!E106&lt;&gt;"",貼り付け用!E106,"")))</f>
        <v>#N/A</v>
      </c>
      <c r="F105" s="3" t="e">
        <f>IF(貼り付け用!$A$6&lt;&gt;"",
IF(ROW(F104)+2&gt;=MATCH("*【合計】*", 貼り付け用!$A:$A, 0),"",
IF(貼り付け用!F105&lt;&gt;"",貼り付け用!F105,"")),
IF(ROW(F105)+2&gt;=MATCH("*【合計】*", 貼り付け用!$A:$A, 0),"",
IF(貼り付け用!F106&lt;&gt;"",貼り付け用!F106,"")))</f>
        <v>#N/A</v>
      </c>
      <c r="G105" s="3" t="e">
        <f>IF(貼り付け用!$A$6&lt;&gt;"",
IF(ROW(G104)+2&gt;=MATCH("*【合計】*", 貼り付け用!$A:$A, 0),"",
IF(貼り付け用!G105&lt;&gt;"",貼り付け用!G105,"")),
IF(ROW(G105)+2&gt;=MATCH("*【合計】*", 貼り付け用!$A:$A, 0),"",
IF(貼り付け用!G106&lt;&gt;"",貼り付け用!G106,"")))</f>
        <v>#N/A</v>
      </c>
      <c r="H105" s="3" t="e">
        <f>IF(貼り付け用!$A$6&lt;&gt;"",
IF(ROW(H104)+2&gt;=MATCH("*【合計】*", 貼り付け用!$A:$A, 0),"",
IF(貼り付け用!H105&lt;&gt;"",貼り付け用!H105,"")),
IF(ROW(H105)+2&gt;=MATCH("*【合計】*", 貼り付け用!$A:$A, 0),"",
IF(貼り付け用!H106&lt;&gt;"",貼り付け用!H106,"")))</f>
        <v>#N/A</v>
      </c>
      <c r="I105" s="3" t="e">
        <f>IF(貼り付け用!$A$6&lt;&gt;"",
IF(ROW(I104)+2&gt;=MATCH("*【合計】*", 貼り付け用!$A:$A, 0),"",
IF(貼り付け用!I105&lt;&gt;"",貼り付け用!I105,"")),
IF(ROW(I105)+2&gt;=MATCH("*【合計】*", 貼り付け用!$A:$A, 0),"",
IF(貼り付け用!I106&lt;&gt;"",貼り付け用!I106,"")))</f>
        <v>#N/A</v>
      </c>
      <c r="J105" s="3" t="e">
        <f>IF(貼り付け用!$A$6&lt;&gt;"",
IF(ROW(J104)+2&gt;=MATCH("*【合計】*", 貼り付け用!$A:$A, 0),"",
IF(貼り付け用!J105&lt;&gt;"",貼り付け用!J105,"")),
IF(ROW(J105)+2&gt;=MATCH("*【合計】*", 貼り付け用!$A:$A, 0),"",
IF(貼り付け用!J106&lt;&gt;"",貼り付け用!J106,"")))</f>
        <v>#N/A</v>
      </c>
      <c r="K105" s="3" t="e">
        <f>IF(貼り付け用!$A$6&lt;&gt;"",
IF(ROW(K104)+2&gt;=MATCH("*【合計】*", 貼り付け用!$A:$A, 0),"",
IF(貼り付け用!K105&lt;&gt;"",貼り付け用!K105,"")),
IF(ROW(K105)+2&gt;=MATCH("*【合計】*", 貼り付け用!$A:$A, 0),"",
IF(貼り付け用!K106&lt;&gt;"",貼り付け用!K106,"")))</f>
        <v>#N/A</v>
      </c>
      <c r="L105" s="3" t="e">
        <f>IF(貼り付け用!$A$6&lt;&gt;"",
IF(ROW(L104)+2&gt;=MATCH("*【合計】*", 貼り付け用!$A:$A, 0),"",
IF(L$3&lt;&gt;"",IF(貼り付け用!L105&lt;&gt;"",貼り付け用!L105,""),"")),
IF(ROW(L105)+2&gt;=MATCH("*【合計】*", 貼り付け用!$A:$A, 0),"",
IF(L$3&lt;&gt;"",IF(貼り付け用!L106&lt;&gt;"",貼り付け用!L106,""),"")))</f>
        <v>#N/A</v>
      </c>
      <c r="M105" s="3" t="e">
        <f>IF(貼り付け用!$A$6&lt;&gt;"",
IF(ROW(M104)+2&gt;=MATCH("*【合計】*", 貼り付け用!$A:$A, 0),"",
IF(M$3&lt;&gt;"",IF(貼り付け用!M105&lt;&gt;"",貼り付け用!M105,""),"")),
IF(ROW(M105)+2&gt;=MATCH("*【合計】*", 貼り付け用!$A:$A, 0),"",
IF(M$3&lt;&gt;"",IF(貼り付け用!M106&lt;&gt;"",貼り付け用!M106,""),"")))</f>
        <v>#N/A</v>
      </c>
      <c r="N105" s="3" t="e">
        <f>IF(貼り付け用!$A$6&lt;&gt;"",
IF(ROW(N104)+2&gt;=MATCH("*【合計】*", 貼り付け用!$A:$A, 0),"",
IF(N$3&lt;&gt;"",IF(貼り付け用!N105&lt;&gt;"",貼り付け用!N105,""),"")),
IF(ROW(N105)+2&gt;=MATCH("*【合計】*", 貼り付け用!$A:$A, 0),"",
IF(N$3&lt;&gt;"",IF(貼り付け用!N106&lt;&gt;"",貼り付け用!N106,""),"")))</f>
        <v>#N/A</v>
      </c>
      <c r="O105" s="3" t="e">
        <f>IF(貼り付け用!$A$6&lt;&gt;"",
IF(ROW(O104)+2&gt;=MATCH("*【合計】*", 貼り付け用!$A:$A, 0),"",
IF(O$3&lt;&gt;"",IF(貼り付け用!O105&lt;&gt;"",貼り付け用!O105,""),"")),
IF(ROW(O105)+2&gt;=MATCH("*【合計】*", 貼り付け用!$A:$A, 0),"",
IF(O$3&lt;&gt;"",IF(貼り付け用!O106&lt;&gt;"",貼り付け用!O106,""),"")))</f>
        <v>#N/A</v>
      </c>
      <c r="P105" s="3" t="e">
        <f>IF(貼り付け用!$A$6&lt;&gt;"",
IF(ROW(P104)+2&gt;=MATCH("*【合計】*", 貼り付け用!$A:$A, 0),"",
IF(P$3&lt;&gt;"",IF(貼り付け用!P105&lt;&gt;"",貼り付け用!P105,""),"")),
IF(ROW(P105)+2&gt;=MATCH("*【合計】*", 貼り付け用!$A:$A, 0),"",
IF(P$3&lt;&gt;"",IF(貼り付け用!P106&lt;&gt;"",貼り付け用!P106,""),"")))</f>
        <v>#N/A</v>
      </c>
      <c r="Q105" s="3" t="e">
        <f>IF(貼り付け用!$A$6&lt;&gt;"",
IF(ROW(Q104)+2&gt;=MATCH("*【合計】*", 貼り付け用!$A:$A, 0),"",
IF(Q$3&lt;&gt;"",IF(貼り付け用!Q105&lt;&gt;"",貼り付け用!Q105,""),"")),
IF(ROW(Q105)+2&gt;=MATCH("*【合計】*", 貼り付け用!$A:$A, 0),"",
IF(Q$3&lt;&gt;"",IF(貼り付け用!Q106&lt;&gt;"",貼り付け用!Q106,""),"")))</f>
        <v>#N/A</v>
      </c>
      <c r="R105" s="3" t="e">
        <f>IF(貼り付け用!$A$6&lt;&gt;"",
IF(ROW(R104)+2&gt;=MATCH("*【合計】*", 貼り付け用!$A:$A, 0),"",
IF(R$3&lt;&gt;"",IF(貼り付け用!R105&lt;&gt;"",貼り付け用!R105,""),"")),
IF(ROW(R105)+2&gt;=MATCH("*【合計】*", 貼り付け用!$A:$A, 0),"",
IF(R$3&lt;&gt;"",IF(貼り付け用!R106&lt;&gt;"",貼り付け用!R106,""),"")))</f>
        <v>#N/A</v>
      </c>
      <c r="S105" s="3" t="e">
        <f>IF(貼り付け用!$A$6&lt;&gt;"",
IF(ROW(S104)+2&gt;=MATCH("*【合計】*", 貼り付け用!$A:$A, 0),"",
IF(S$3&lt;&gt;"",IF(貼り付け用!S105&lt;&gt;"",貼り付け用!S105,""),"")),
IF(ROW(S105)+2&gt;=MATCH("*【合計】*", 貼り付け用!$A:$A, 0),"",
IF(S$3&lt;&gt;"",IF(貼り付け用!S106&lt;&gt;"",貼り付け用!S106,""),"")))</f>
        <v>#N/A</v>
      </c>
      <c r="T105" s="2" t="e">
        <f t="array" ref="T105">IF(貼り付け用!$A$6&lt;&gt;"",
IF(INDEX(貼り付け用!A:Z, ROW(T104)+1, MATCH("おやつ", 貼り付け用!$A$3:$Z$3, 0))&lt;&gt;0,
INDEX(貼り付け用!A:Z, ROW(T104)+1, MATCH("おやつ", 貼り付け用!$A$3:$Z$3, 0)),""),
IF(INDEX(貼り付け用!A:Z, ROW(T105)+1, MATCH("おやつ", 貼り付け用!$A$3:$Z$3, 0))&lt;&gt;0,
INDEX(貼り付け用!A:Z, ROW(T105)+1, MATCH("おやつ", 貼り付け用!$A$3:$Z$3, 0)),""))</f>
        <v>#N/A</v>
      </c>
      <c r="U105" s="52"/>
      <c r="V105" s="8" t="e">
        <f t="array" ref="V105">IF(貼り付け用!$A$6&lt;&gt;"",
IF(INDEX(貼り付け用!A:Z, ROW(T104)+1, MATCH("おやつ", 貼り付け用!$A$3:$Z$3, 0)+1)&lt;&gt;0,
INDEX(貼り付け用!A:Z, ROW(T104)+1, MATCH("おやつ", 貼り付け用!$A$3:$Z$3, 0)+1),""),
IF(INDEX(貼り付け用!A:Z, ROW(T105)+1, MATCH("おやつ", 貼り付け用!$A$3:$Z$3, 0)+1)&lt;&gt;0,
INDEX(貼り付け用!A:Z, ROW(T105)+1, MATCH("おやつ", 貼り付け用!$A$3:$Z$3, 0)+1),""))</f>
        <v>#N/A</v>
      </c>
      <c r="W105" s="9" t="e">
        <f t="array" ref="W105">IF(貼り付け用!$A$6&lt;&gt;"",
IF(INDEX(貼り付け用!A:Z, ROW(T104)+1, MATCH("おやつ", 貼り付け用!$A$3:$Z$3, 0)+2)&lt;&gt;0,
INDEX(貼り付け用!A:Z, ROW(T104)+1, MATCH("おやつ", 貼り付け用!$A$3:$Z$3, 0)+2),""),
IF(INDEX(貼り付け用!A:Z, ROW(T105)+1, MATCH("おやつ", 貼り付け用!$A$3:$Z$3, 0)+2)&lt;&gt;0,
INDEX(貼り付け用!A:Z, ROW(T105)+1, MATCH("おやつ", 貼り付け用!$A$3:$Z$3, 0)+2),""))</f>
        <v>#N/A</v>
      </c>
    </row>
    <row r="106" spans="1:23" x14ac:dyDescent="0.45">
      <c r="A106" s="4" t="e">
        <f>IF(貼り付け用!$A$6&lt;&gt;"",
IF(ROW(A105)+1&gt;=MATCH("*10000*", 貼り付け用!$A:$A, 0),
IF(COUNTIF(A104,"*10000*"),"10001",
IF(COUNTIF(A104,"*10001*"),"10002",
IF(COUNTIF(A104,"*10002*"),"",
IF(COUNTIF(A104,""),"","10000")))),
IF(貼り付け用!A106&lt;&gt;"",貼り付け用!A106,"")),
IF(ROW(A106)+1&gt;=MATCH("*10000*", 貼り付け用!$A:$A, 0),
IF(COUNTIF(A104,"*10000*"),"10001",
IF(COUNTIF(A104,"*10001*"),"10002",
IF(COUNTIF(A104,"*10002*"),"",
IF(COUNTIF(A104,""),"","10000")))),
IF(貼り付け用!A107&lt;&gt;"",貼り付け用!A107,"")))</f>
        <v>#N/A</v>
      </c>
      <c r="B106" s="19" t="e">
        <f>IF(貼り付け用!$A$6&lt;&gt;"",
IF(ROW(B105)+2&gt;=MATCH("*【合計】*", 貼り付け用!$A:$A, 0),"",
IF(貼り付け用!B106&lt;&gt;"",貼り付け用!B106,"")),
IF(ROW(B106)+2&gt;=MATCH("*【合計】*", 貼り付け用!$A:$A, 0),"",
IF(貼り付け用!B107&lt;&gt;"",貼り付け用!B107,"")))</f>
        <v>#N/A</v>
      </c>
      <c r="C106" s="19" t="e">
        <f>IF(貼り付け用!$A$6&lt;&gt;"",
IF(ROW(C105)+2&gt;=MATCH("*【合計】*", 貼り付け用!$A:$A, 0),"",
IF(貼り付け用!C106&lt;&gt;"",貼り付け用!C106,"")),
IF(ROW(C106)+2&gt;=MATCH("*【合計】*", 貼り付け用!$A:$A, 0),"",
IF(貼り付け用!C107&lt;&gt;"",貼り付け用!C107,"")))</f>
        <v>#N/A</v>
      </c>
      <c r="D106" s="19" t="e">
        <f>IF(貼り付け用!$A$6&lt;&gt;"",
IF(ROW(D105)+2&gt;=MATCH("*【合計】*", 貼り付け用!$A:$A, 0),"",
IF(貼り付け用!D106&lt;&gt;"",貼り付け用!D106,"")),
IF(ROW(D106)+2&gt;=MATCH("*【合計】*", 貼り付け用!$A:$A, 0),"",
IF(貼り付け用!D107&lt;&gt;"",貼り付け用!D107,"")))</f>
        <v>#N/A</v>
      </c>
      <c r="E106" s="19" t="e">
        <f>IF(貼り付け用!$A$6&lt;&gt;"",
IF(ROW(E105)+2&gt;=MATCH("*【合計】*", 貼り付け用!$A:$A, 0),"",
IF(貼り付け用!E106&lt;&gt;"",貼り付け用!E106,"")),
IF(ROW(E106)+2&gt;=MATCH("*【合計】*", 貼り付け用!$A:$A, 0),"",
IF(貼り付け用!E107&lt;&gt;"",貼り付け用!E107,"")))</f>
        <v>#N/A</v>
      </c>
      <c r="F106" s="19" t="e">
        <f>IF(貼り付け用!$A$6&lt;&gt;"",
IF(ROW(F105)+2&gt;=MATCH("*【合計】*", 貼り付け用!$A:$A, 0),"",
IF(貼り付け用!F106&lt;&gt;"",貼り付け用!F106,"")),
IF(ROW(F106)+2&gt;=MATCH("*【合計】*", 貼り付け用!$A:$A, 0),"",
IF(貼り付け用!F107&lt;&gt;"",貼り付け用!F107,"")))</f>
        <v>#N/A</v>
      </c>
      <c r="G106" s="19" t="e">
        <f>IF(貼り付け用!$A$6&lt;&gt;"",
IF(ROW(G105)+2&gt;=MATCH("*【合計】*", 貼り付け用!$A:$A, 0),"",
IF(貼り付け用!G106&lt;&gt;"",貼り付け用!G106,"")),
IF(ROW(G106)+2&gt;=MATCH("*【合計】*", 貼り付け用!$A:$A, 0),"",
IF(貼り付け用!G107&lt;&gt;"",貼り付け用!G107,"")))</f>
        <v>#N/A</v>
      </c>
      <c r="H106" s="19" t="e">
        <f>IF(貼り付け用!$A$6&lt;&gt;"",
IF(ROW(H105)+2&gt;=MATCH("*【合計】*", 貼り付け用!$A:$A, 0),"",
IF(貼り付け用!H106&lt;&gt;"",貼り付け用!H106,"")),
IF(ROW(H106)+2&gt;=MATCH("*【合計】*", 貼り付け用!$A:$A, 0),"",
IF(貼り付け用!H107&lt;&gt;"",貼り付け用!H107,"")))</f>
        <v>#N/A</v>
      </c>
      <c r="I106" s="19" t="e">
        <f>IF(貼り付け用!$A$6&lt;&gt;"",
IF(ROW(I105)+2&gt;=MATCH("*【合計】*", 貼り付け用!$A:$A, 0),"",
IF(貼り付け用!I106&lt;&gt;"",貼り付け用!I106,"")),
IF(ROW(I106)+2&gt;=MATCH("*【合計】*", 貼り付け用!$A:$A, 0),"",
IF(貼り付け用!I107&lt;&gt;"",貼り付け用!I107,"")))</f>
        <v>#N/A</v>
      </c>
      <c r="J106" s="19" t="e">
        <f>IF(貼り付け用!$A$6&lt;&gt;"",
IF(ROW(J105)+2&gt;=MATCH("*【合計】*", 貼り付け用!$A:$A, 0),"",
IF(貼り付け用!J106&lt;&gt;"",貼り付け用!J106,"")),
IF(ROW(J106)+2&gt;=MATCH("*【合計】*", 貼り付け用!$A:$A, 0),"",
IF(貼り付け用!J107&lt;&gt;"",貼り付け用!J107,"")))</f>
        <v>#N/A</v>
      </c>
      <c r="K106" s="19" t="e">
        <f>IF(貼り付け用!$A$6&lt;&gt;"",
IF(ROW(K105)+2&gt;=MATCH("*【合計】*", 貼り付け用!$A:$A, 0),"",
IF(貼り付け用!K106&lt;&gt;"",貼り付け用!K106,"")),
IF(ROW(K106)+2&gt;=MATCH("*【合計】*", 貼り付け用!$A:$A, 0),"",
IF(貼り付け用!K107&lt;&gt;"",貼り付け用!K107,"")))</f>
        <v>#N/A</v>
      </c>
      <c r="L106" s="19" t="e">
        <f>IF(貼り付け用!$A$6&lt;&gt;"",
IF(ROW(L105)+2&gt;=MATCH("*【合計】*", 貼り付け用!$A:$A, 0),"",
IF(L$3&lt;&gt;"",IF(貼り付け用!L106&lt;&gt;"",貼り付け用!L106,""),"")),
IF(ROW(L106)+2&gt;=MATCH("*【合計】*", 貼り付け用!$A:$A, 0),"",
IF(L$3&lt;&gt;"",IF(貼り付け用!L107&lt;&gt;"",貼り付け用!L107,""),"")))</f>
        <v>#N/A</v>
      </c>
      <c r="M106" s="19" t="e">
        <f>IF(貼り付け用!$A$6&lt;&gt;"",
IF(ROW(M105)+2&gt;=MATCH("*【合計】*", 貼り付け用!$A:$A, 0),"",
IF(M$3&lt;&gt;"",IF(貼り付け用!M106&lt;&gt;"",貼り付け用!M106,""),"")),
IF(ROW(M106)+2&gt;=MATCH("*【合計】*", 貼り付け用!$A:$A, 0),"",
IF(M$3&lt;&gt;"",IF(貼り付け用!M107&lt;&gt;"",貼り付け用!M107,""),"")))</f>
        <v>#N/A</v>
      </c>
      <c r="N106" s="19" t="e">
        <f>IF(貼り付け用!$A$6&lt;&gt;"",
IF(ROW(N105)+2&gt;=MATCH("*【合計】*", 貼り付け用!$A:$A, 0),"",
IF(N$3&lt;&gt;"",IF(貼り付け用!N106&lt;&gt;"",貼り付け用!N106,""),"")),
IF(ROW(N106)+2&gt;=MATCH("*【合計】*", 貼り付け用!$A:$A, 0),"",
IF(N$3&lt;&gt;"",IF(貼り付け用!N107&lt;&gt;"",貼り付け用!N107,""),"")))</f>
        <v>#N/A</v>
      </c>
      <c r="O106" s="19" t="e">
        <f>IF(貼り付け用!$A$6&lt;&gt;"",
IF(ROW(O105)+2&gt;=MATCH("*【合計】*", 貼り付け用!$A:$A, 0),"",
IF(O$3&lt;&gt;"",IF(貼り付け用!O106&lt;&gt;"",貼り付け用!O106,""),"")),
IF(ROW(O106)+2&gt;=MATCH("*【合計】*", 貼り付け用!$A:$A, 0),"",
IF(O$3&lt;&gt;"",IF(貼り付け用!O107&lt;&gt;"",貼り付け用!O107,""),"")))</f>
        <v>#N/A</v>
      </c>
      <c r="P106" s="19" t="e">
        <f>IF(貼り付け用!$A$6&lt;&gt;"",
IF(ROW(P105)+2&gt;=MATCH("*【合計】*", 貼り付け用!$A:$A, 0),"",
IF(P$3&lt;&gt;"",IF(貼り付け用!P106&lt;&gt;"",貼り付け用!P106,""),"")),
IF(ROW(P106)+2&gt;=MATCH("*【合計】*", 貼り付け用!$A:$A, 0),"",
IF(P$3&lt;&gt;"",IF(貼り付け用!P107&lt;&gt;"",貼り付け用!P107,""),"")))</f>
        <v>#N/A</v>
      </c>
      <c r="Q106" s="19" t="e">
        <f>IF(貼り付け用!$A$6&lt;&gt;"",
IF(ROW(Q105)+2&gt;=MATCH("*【合計】*", 貼り付け用!$A:$A, 0),"",
IF(Q$3&lt;&gt;"",IF(貼り付け用!Q106&lt;&gt;"",貼り付け用!Q106,""),"")),
IF(ROW(Q106)+2&gt;=MATCH("*【合計】*", 貼り付け用!$A:$A, 0),"",
IF(Q$3&lt;&gt;"",IF(貼り付け用!Q107&lt;&gt;"",貼り付け用!Q107,""),"")))</f>
        <v>#N/A</v>
      </c>
      <c r="R106" s="19" t="e">
        <f>IF(貼り付け用!$A$6&lt;&gt;"",
IF(ROW(R105)+2&gt;=MATCH("*【合計】*", 貼り付け用!$A:$A, 0),"",
IF(R$3&lt;&gt;"",IF(貼り付け用!R106&lt;&gt;"",貼り付け用!R106,""),"")),
IF(ROW(R106)+2&gt;=MATCH("*【合計】*", 貼り付け用!$A:$A, 0),"",
IF(R$3&lt;&gt;"",IF(貼り付け用!R107&lt;&gt;"",貼り付け用!R107,""),"")))</f>
        <v>#N/A</v>
      </c>
      <c r="S106" s="19" t="e">
        <f>IF(貼り付け用!$A$6&lt;&gt;"",
IF(ROW(S105)+2&gt;=MATCH("*【合計】*", 貼り付け用!$A:$A, 0),"",
IF(S$3&lt;&gt;"",IF(貼り付け用!S106&lt;&gt;"",貼り付け用!S106,""),"")),
IF(ROW(S106)+2&gt;=MATCH("*【合計】*", 貼り付け用!$A:$A, 0),"",
IF(S$3&lt;&gt;"",IF(貼り付け用!S107&lt;&gt;"",貼り付け用!S107,""),"")))</f>
        <v>#N/A</v>
      </c>
      <c r="T106" s="19" t="e">
        <f t="array" ref="T106">IF(貼り付け用!$A$6&lt;&gt;"",
IF(INDEX(貼り付け用!A:Z, ROW(T105)+1, MATCH("おやつ", 貼り付け用!$A$3:$Z$3, 0))&lt;&gt;0,
INDEX(貼り付け用!A:Z, ROW(T105)+1, MATCH("おやつ", 貼り付け用!$A$3:$Z$3, 0)),""),
IF(INDEX(貼り付け用!A:Z, ROW(T106)+1, MATCH("おやつ", 貼り付け用!$A$3:$Z$3, 0))&lt;&gt;0,
INDEX(貼り付け用!A:Z, ROW(T106)+1, MATCH("おやつ", 貼り付け用!$A$3:$Z$3, 0)),""))</f>
        <v>#N/A</v>
      </c>
      <c r="U106" s="16"/>
      <c r="V106" s="5" t="e">
        <f t="array" ref="V106">IF(貼り付け用!$A$6&lt;&gt;"",
IF(INDEX(貼り付け用!A:Z, ROW(T105)+1, MATCH("おやつ", 貼り付け用!$A$3:$Z$3, 0)+1)&lt;&gt;0,
INDEX(貼り付け用!A:Z, ROW(T105)+1, MATCH("おやつ", 貼り付け用!$A$3:$Z$3, 0)+1),""),
IF(INDEX(貼り付け用!A:Z, ROW(T106)+1, MATCH("おやつ", 貼り付け用!$A$3:$Z$3, 0)+1)&lt;&gt;0,
INDEX(貼り付け用!A:Z, ROW(T106)+1, MATCH("おやつ", 貼り付け用!$A$3:$Z$3, 0)+1),""))</f>
        <v>#N/A</v>
      </c>
      <c r="W106" s="7" t="e">
        <f t="array" ref="W106">IF(貼り付け用!$A$6&lt;&gt;"",
IF(INDEX(貼り付け用!A:Z, ROW(T105)+1, MATCH("おやつ", 貼り付け用!$A$3:$Z$3, 0)+2)&lt;&gt;0,
INDEX(貼り付け用!A:Z, ROW(T105)+1, MATCH("おやつ", 貼り付け用!$A$3:$Z$3, 0)+2),""),
IF(INDEX(貼り付け用!A:Z, ROW(T106)+1, MATCH("おやつ", 貼り付け用!$A$3:$Z$3, 0)+2)&lt;&gt;0,
INDEX(貼り付け用!A:Z, ROW(T106)+1, MATCH("おやつ", 貼り付け用!$A$3:$Z$3, 0)+2),""))</f>
        <v>#N/A</v>
      </c>
    </row>
    <row r="107" spans="1:23" x14ac:dyDescent="0.45">
      <c r="A107" s="10" t="e">
        <f>IF(貼り付け用!$A$6&lt;&gt;"",
IF(ROW(A106)+1&gt;=MATCH("*10000*", 貼り付け用!$A:$A, 0),"",
IF(貼り付け用!A107&lt;&gt;"",貼り付け用!A107,"")),
IF(ROW(A107)+1&gt;=MATCH("*10000*", 貼り付け用!$A:$A, 0),"",
IF(貼り付け用!A108&lt;&gt;"",貼り付け用!A108,"")))</f>
        <v>#N/A</v>
      </c>
      <c r="B107" s="3" t="e">
        <f>IF(貼り付け用!$A$6&lt;&gt;"",
IF(ROW(B106)+2&gt;=MATCH("*【合計】*", 貼り付け用!$A:$A, 0),"",
IF(貼り付け用!B107&lt;&gt;"",貼り付け用!B107,"")),
IF(ROW(B107)+2&gt;=MATCH("*【合計】*", 貼り付け用!$A:$A, 0),"",
IF(貼り付け用!B108&lt;&gt;"",貼り付け用!B108,"")))</f>
        <v>#N/A</v>
      </c>
      <c r="C107" s="3" t="e">
        <f>IF(貼り付け用!$A$6&lt;&gt;"",
IF(ROW(C106)+2&gt;=MATCH("*【合計】*", 貼り付け用!$A:$A, 0),"",
IF(貼り付け用!C107&lt;&gt;"",貼り付け用!C107,"")),
IF(ROW(C107)+2&gt;=MATCH("*【合計】*", 貼り付け用!$A:$A, 0),"",
IF(貼り付け用!C108&lt;&gt;"",貼り付け用!C108,"")))</f>
        <v>#N/A</v>
      </c>
      <c r="D107" s="3" t="e">
        <f>IF(貼り付け用!$A$6&lt;&gt;"",
IF(ROW(D106)+2&gt;=MATCH("*【合計】*", 貼り付け用!$A:$A, 0),"",
IF(貼り付け用!D107&lt;&gt;"",貼り付け用!D107,"")),
IF(ROW(D107)+2&gt;=MATCH("*【合計】*", 貼り付け用!$A:$A, 0),"",
IF(貼り付け用!D108&lt;&gt;"",貼り付け用!D108,"")))</f>
        <v>#N/A</v>
      </c>
      <c r="E107" s="3" t="e">
        <f>IF(貼り付け用!$A$6&lt;&gt;"",
IF(ROW(E106)+2&gt;=MATCH("*【合計】*", 貼り付け用!$A:$A, 0),"",
IF(貼り付け用!E107&lt;&gt;"",貼り付け用!E107,"")),
IF(ROW(E107)+2&gt;=MATCH("*【合計】*", 貼り付け用!$A:$A, 0),"",
IF(貼り付け用!E108&lt;&gt;"",貼り付け用!E108,"")))</f>
        <v>#N/A</v>
      </c>
      <c r="F107" s="3" t="e">
        <f>IF(貼り付け用!$A$6&lt;&gt;"",
IF(ROW(F106)+2&gt;=MATCH("*【合計】*", 貼り付け用!$A:$A, 0),"",
IF(貼り付け用!F107&lt;&gt;"",貼り付け用!F107,"")),
IF(ROW(F107)+2&gt;=MATCH("*【合計】*", 貼り付け用!$A:$A, 0),"",
IF(貼り付け用!F108&lt;&gt;"",貼り付け用!F108,"")))</f>
        <v>#N/A</v>
      </c>
      <c r="G107" s="3" t="e">
        <f>IF(貼り付け用!$A$6&lt;&gt;"",
IF(ROW(G106)+2&gt;=MATCH("*【合計】*", 貼り付け用!$A:$A, 0),"",
IF(貼り付け用!G107&lt;&gt;"",貼り付け用!G107,"")),
IF(ROW(G107)+2&gt;=MATCH("*【合計】*", 貼り付け用!$A:$A, 0),"",
IF(貼り付け用!G108&lt;&gt;"",貼り付け用!G108,"")))</f>
        <v>#N/A</v>
      </c>
      <c r="H107" s="3" t="e">
        <f>IF(貼り付け用!$A$6&lt;&gt;"",
IF(ROW(H106)+2&gt;=MATCH("*【合計】*", 貼り付け用!$A:$A, 0),"",
IF(貼り付け用!H107&lt;&gt;"",貼り付け用!H107,"")),
IF(ROW(H107)+2&gt;=MATCH("*【合計】*", 貼り付け用!$A:$A, 0),"",
IF(貼り付け用!H108&lt;&gt;"",貼り付け用!H108,"")))</f>
        <v>#N/A</v>
      </c>
      <c r="I107" s="3" t="e">
        <f>IF(貼り付け用!$A$6&lt;&gt;"",
IF(ROW(I106)+2&gt;=MATCH("*【合計】*", 貼り付け用!$A:$A, 0),"",
IF(貼り付け用!I107&lt;&gt;"",貼り付け用!I107,"")),
IF(ROW(I107)+2&gt;=MATCH("*【合計】*", 貼り付け用!$A:$A, 0),"",
IF(貼り付け用!I108&lt;&gt;"",貼り付け用!I108,"")))</f>
        <v>#N/A</v>
      </c>
      <c r="J107" s="3" t="e">
        <f>IF(貼り付け用!$A$6&lt;&gt;"",
IF(ROW(J106)+2&gt;=MATCH("*【合計】*", 貼り付け用!$A:$A, 0),"",
IF(貼り付け用!J107&lt;&gt;"",貼り付け用!J107,"")),
IF(ROW(J107)+2&gt;=MATCH("*【合計】*", 貼り付け用!$A:$A, 0),"",
IF(貼り付け用!J108&lt;&gt;"",貼り付け用!J108,"")))</f>
        <v>#N/A</v>
      </c>
      <c r="K107" s="3" t="e">
        <f>IF(貼り付け用!$A$6&lt;&gt;"",
IF(ROW(K106)+2&gt;=MATCH("*【合計】*", 貼り付け用!$A:$A, 0),"",
IF(貼り付け用!K107&lt;&gt;"",貼り付け用!K107,"")),
IF(ROW(K107)+2&gt;=MATCH("*【合計】*", 貼り付け用!$A:$A, 0),"",
IF(貼り付け用!K108&lt;&gt;"",貼り付け用!K108,"")))</f>
        <v>#N/A</v>
      </c>
      <c r="L107" s="3" t="e">
        <f>IF(貼り付け用!$A$6&lt;&gt;"",
IF(ROW(L106)+2&gt;=MATCH("*【合計】*", 貼り付け用!$A:$A, 0),"",
IF(L$3&lt;&gt;"",IF(貼り付け用!L107&lt;&gt;"",貼り付け用!L107,""),"")),
IF(ROW(L107)+2&gt;=MATCH("*【合計】*", 貼り付け用!$A:$A, 0),"",
IF(L$3&lt;&gt;"",IF(貼り付け用!L108&lt;&gt;"",貼り付け用!L108,""),"")))</f>
        <v>#N/A</v>
      </c>
      <c r="M107" s="3" t="e">
        <f>IF(貼り付け用!$A$6&lt;&gt;"",
IF(ROW(M106)+2&gt;=MATCH("*【合計】*", 貼り付け用!$A:$A, 0),"",
IF(M$3&lt;&gt;"",IF(貼り付け用!M107&lt;&gt;"",貼り付け用!M107,""),"")),
IF(ROW(M107)+2&gt;=MATCH("*【合計】*", 貼り付け用!$A:$A, 0),"",
IF(M$3&lt;&gt;"",IF(貼り付け用!M108&lt;&gt;"",貼り付け用!M108,""),"")))</f>
        <v>#N/A</v>
      </c>
      <c r="N107" s="3" t="e">
        <f>IF(貼り付け用!$A$6&lt;&gt;"",
IF(ROW(N106)+2&gt;=MATCH("*【合計】*", 貼り付け用!$A:$A, 0),"",
IF(N$3&lt;&gt;"",IF(貼り付け用!N107&lt;&gt;"",貼り付け用!N107,""),"")),
IF(ROW(N107)+2&gt;=MATCH("*【合計】*", 貼り付け用!$A:$A, 0),"",
IF(N$3&lt;&gt;"",IF(貼り付け用!N108&lt;&gt;"",貼り付け用!N108,""),"")))</f>
        <v>#N/A</v>
      </c>
      <c r="O107" s="3" t="e">
        <f>IF(貼り付け用!$A$6&lt;&gt;"",
IF(ROW(O106)+2&gt;=MATCH("*【合計】*", 貼り付け用!$A:$A, 0),"",
IF(O$3&lt;&gt;"",IF(貼り付け用!O107&lt;&gt;"",貼り付け用!O107,""),"")),
IF(ROW(O107)+2&gt;=MATCH("*【合計】*", 貼り付け用!$A:$A, 0),"",
IF(O$3&lt;&gt;"",IF(貼り付け用!O108&lt;&gt;"",貼り付け用!O108,""),"")))</f>
        <v>#N/A</v>
      </c>
      <c r="P107" s="3" t="e">
        <f>IF(貼り付け用!$A$6&lt;&gt;"",
IF(ROW(P106)+2&gt;=MATCH("*【合計】*", 貼り付け用!$A:$A, 0),"",
IF(P$3&lt;&gt;"",IF(貼り付け用!P107&lt;&gt;"",貼り付け用!P107,""),"")),
IF(ROW(P107)+2&gt;=MATCH("*【合計】*", 貼り付け用!$A:$A, 0),"",
IF(P$3&lt;&gt;"",IF(貼り付け用!P108&lt;&gt;"",貼り付け用!P108,""),"")))</f>
        <v>#N/A</v>
      </c>
      <c r="Q107" s="3" t="e">
        <f>IF(貼り付け用!$A$6&lt;&gt;"",
IF(ROW(Q106)+2&gt;=MATCH("*【合計】*", 貼り付け用!$A:$A, 0),"",
IF(Q$3&lt;&gt;"",IF(貼り付け用!Q107&lt;&gt;"",貼り付け用!Q107,""),"")),
IF(ROW(Q107)+2&gt;=MATCH("*【合計】*", 貼り付け用!$A:$A, 0),"",
IF(Q$3&lt;&gt;"",IF(貼り付け用!Q108&lt;&gt;"",貼り付け用!Q108,""),"")))</f>
        <v>#N/A</v>
      </c>
      <c r="R107" s="3" t="e">
        <f>IF(貼り付け用!$A$6&lt;&gt;"",
IF(ROW(R106)+2&gt;=MATCH("*【合計】*", 貼り付け用!$A:$A, 0),"",
IF(R$3&lt;&gt;"",IF(貼り付け用!R107&lt;&gt;"",貼り付け用!R107,""),"")),
IF(ROW(R107)+2&gt;=MATCH("*【合計】*", 貼り付け用!$A:$A, 0),"",
IF(R$3&lt;&gt;"",IF(貼り付け用!R108&lt;&gt;"",貼り付け用!R108,""),"")))</f>
        <v>#N/A</v>
      </c>
      <c r="S107" s="3" t="e">
        <f>IF(貼り付け用!$A$6&lt;&gt;"",
IF(ROW(S106)+2&gt;=MATCH("*【合計】*", 貼り付け用!$A:$A, 0),"",
IF(S$3&lt;&gt;"",IF(貼り付け用!S107&lt;&gt;"",貼り付け用!S107,""),"")),
IF(ROW(S107)+2&gt;=MATCH("*【合計】*", 貼り付け用!$A:$A, 0),"",
IF(S$3&lt;&gt;"",IF(貼り付け用!S108&lt;&gt;"",貼り付け用!S108,""),"")))</f>
        <v>#N/A</v>
      </c>
      <c r="T107" s="2" t="e">
        <f t="array" ref="T107">IF(貼り付け用!$A$6&lt;&gt;"",
IF(INDEX(貼り付け用!A:Z, ROW(T106)+1, MATCH("おやつ", 貼り付け用!$A$3:$Z$3, 0))&lt;&gt;0,
INDEX(貼り付け用!A:Z, ROW(T106)+1, MATCH("おやつ", 貼り付け用!$A$3:$Z$3, 0)),""),
IF(INDEX(貼り付け用!A:Z, ROW(T107)+1, MATCH("おやつ", 貼り付け用!$A$3:$Z$3, 0))&lt;&gt;0,
INDEX(貼り付け用!A:Z, ROW(T107)+1, MATCH("おやつ", 貼り付け用!$A$3:$Z$3, 0)),""))</f>
        <v>#N/A</v>
      </c>
      <c r="U107" s="52"/>
      <c r="V107" s="8" t="e">
        <f t="array" ref="V107">IF(貼り付け用!$A$6&lt;&gt;"",
IF(INDEX(貼り付け用!A:Z, ROW(T106)+1, MATCH("おやつ", 貼り付け用!$A$3:$Z$3, 0)+1)&lt;&gt;0,
INDEX(貼り付け用!A:Z, ROW(T106)+1, MATCH("おやつ", 貼り付け用!$A$3:$Z$3, 0)+1),""),
IF(INDEX(貼り付け用!A:Z, ROW(T107)+1, MATCH("おやつ", 貼り付け用!$A$3:$Z$3, 0)+1)&lt;&gt;0,
INDEX(貼り付け用!A:Z, ROW(T107)+1, MATCH("おやつ", 貼り付け用!$A$3:$Z$3, 0)+1),""))</f>
        <v>#N/A</v>
      </c>
      <c r="W107" s="9" t="e">
        <f t="array" ref="W107">IF(貼り付け用!$A$6&lt;&gt;"",
IF(INDEX(貼り付け用!A:Z, ROW(T106)+1, MATCH("おやつ", 貼り付け用!$A$3:$Z$3, 0)+2)&lt;&gt;0,
INDEX(貼り付け用!A:Z, ROW(T106)+1, MATCH("おやつ", 貼り付け用!$A$3:$Z$3, 0)+2),""),
IF(INDEX(貼り付け用!A:Z, ROW(T107)+1, MATCH("おやつ", 貼り付け用!$A$3:$Z$3, 0)+2)&lt;&gt;0,
INDEX(貼り付け用!A:Z, ROW(T107)+1, MATCH("おやつ", 貼り付け用!$A$3:$Z$3, 0)+2),""))</f>
        <v>#N/A</v>
      </c>
    </row>
    <row r="108" spans="1:23" x14ac:dyDescent="0.45">
      <c r="A108" s="4" t="e">
        <f>IF(貼り付け用!$A$6&lt;&gt;"",
IF(ROW(A107)+1&gt;=MATCH("*10000*", 貼り付け用!$A:$A, 0),
IF(COUNTIF(A106,"*10000*"),"10001",
IF(COUNTIF(A106,"*10001*"),"10002",
IF(COUNTIF(A106,"*10002*"),"",
IF(COUNTIF(A106,""),"","10000")))),
IF(貼り付け用!A108&lt;&gt;"",貼り付け用!A108,"")),
IF(ROW(A108)+1&gt;=MATCH("*10000*", 貼り付け用!$A:$A, 0),
IF(COUNTIF(A106,"*10000*"),"10001",
IF(COUNTIF(A106,"*10001*"),"10002",
IF(COUNTIF(A106,"*10002*"),"",
IF(COUNTIF(A106,""),"","10000")))),
IF(貼り付け用!A109&lt;&gt;"",貼り付け用!A109,"")))</f>
        <v>#N/A</v>
      </c>
      <c r="B108" s="19" t="e">
        <f>IF(貼り付け用!$A$6&lt;&gt;"",
IF(ROW(B107)+2&gt;=MATCH("*【合計】*", 貼り付け用!$A:$A, 0),"",
IF(貼り付け用!B108&lt;&gt;"",貼り付け用!B108,"")),
IF(ROW(B108)+2&gt;=MATCH("*【合計】*", 貼り付け用!$A:$A, 0),"",
IF(貼り付け用!B109&lt;&gt;"",貼り付け用!B109,"")))</f>
        <v>#N/A</v>
      </c>
      <c r="C108" s="19" t="e">
        <f>IF(貼り付け用!$A$6&lt;&gt;"",
IF(ROW(C107)+2&gt;=MATCH("*【合計】*", 貼り付け用!$A:$A, 0),"",
IF(貼り付け用!C108&lt;&gt;"",貼り付け用!C108,"")),
IF(ROW(C108)+2&gt;=MATCH("*【合計】*", 貼り付け用!$A:$A, 0),"",
IF(貼り付け用!C109&lt;&gt;"",貼り付け用!C109,"")))</f>
        <v>#N/A</v>
      </c>
      <c r="D108" s="19" t="e">
        <f>IF(貼り付け用!$A$6&lt;&gt;"",
IF(ROW(D107)+2&gt;=MATCH("*【合計】*", 貼り付け用!$A:$A, 0),"",
IF(貼り付け用!D108&lt;&gt;"",貼り付け用!D108,"")),
IF(ROW(D108)+2&gt;=MATCH("*【合計】*", 貼り付け用!$A:$A, 0),"",
IF(貼り付け用!D109&lt;&gt;"",貼り付け用!D109,"")))</f>
        <v>#N/A</v>
      </c>
      <c r="E108" s="19" t="e">
        <f>IF(貼り付け用!$A$6&lt;&gt;"",
IF(ROW(E107)+2&gt;=MATCH("*【合計】*", 貼り付け用!$A:$A, 0),"",
IF(貼り付け用!E108&lt;&gt;"",貼り付け用!E108,"")),
IF(ROW(E108)+2&gt;=MATCH("*【合計】*", 貼り付け用!$A:$A, 0),"",
IF(貼り付け用!E109&lt;&gt;"",貼り付け用!E109,"")))</f>
        <v>#N/A</v>
      </c>
      <c r="F108" s="19" t="e">
        <f>IF(貼り付け用!$A$6&lt;&gt;"",
IF(ROW(F107)+2&gt;=MATCH("*【合計】*", 貼り付け用!$A:$A, 0),"",
IF(貼り付け用!F108&lt;&gt;"",貼り付け用!F108,"")),
IF(ROW(F108)+2&gt;=MATCH("*【合計】*", 貼り付け用!$A:$A, 0),"",
IF(貼り付け用!F109&lt;&gt;"",貼り付け用!F109,"")))</f>
        <v>#N/A</v>
      </c>
      <c r="G108" s="19" t="e">
        <f>IF(貼り付け用!$A$6&lt;&gt;"",
IF(ROW(G107)+2&gt;=MATCH("*【合計】*", 貼り付け用!$A:$A, 0),"",
IF(貼り付け用!G108&lt;&gt;"",貼り付け用!G108,"")),
IF(ROW(G108)+2&gt;=MATCH("*【合計】*", 貼り付け用!$A:$A, 0),"",
IF(貼り付け用!G109&lt;&gt;"",貼り付け用!G109,"")))</f>
        <v>#N/A</v>
      </c>
      <c r="H108" s="19" t="e">
        <f>IF(貼り付け用!$A$6&lt;&gt;"",
IF(ROW(H107)+2&gt;=MATCH("*【合計】*", 貼り付け用!$A:$A, 0),"",
IF(貼り付け用!H108&lt;&gt;"",貼り付け用!H108,"")),
IF(ROW(H108)+2&gt;=MATCH("*【合計】*", 貼り付け用!$A:$A, 0),"",
IF(貼り付け用!H109&lt;&gt;"",貼り付け用!H109,"")))</f>
        <v>#N/A</v>
      </c>
      <c r="I108" s="19" t="e">
        <f>IF(貼り付け用!$A$6&lt;&gt;"",
IF(ROW(I107)+2&gt;=MATCH("*【合計】*", 貼り付け用!$A:$A, 0),"",
IF(貼り付け用!I108&lt;&gt;"",貼り付け用!I108,"")),
IF(ROW(I108)+2&gt;=MATCH("*【合計】*", 貼り付け用!$A:$A, 0),"",
IF(貼り付け用!I109&lt;&gt;"",貼り付け用!I109,"")))</f>
        <v>#N/A</v>
      </c>
      <c r="J108" s="19" t="e">
        <f>IF(貼り付け用!$A$6&lt;&gt;"",
IF(ROW(J107)+2&gt;=MATCH("*【合計】*", 貼り付け用!$A:$A, 0),"",
IF(貼り付け用!J108&lt;&gt;"",貼り付け用!J108,"")),
IF(ROW(J108)+2&gt;=MATCH("*【合計】*", 貼り付け用!$A:$A, 0),"",
IF(貼り付け用!J109&lt;&gt;"",貼り付け用!J109,"")))</f>
        <v>#N/A</v>
      </c>
      <c r="K108" s="19" t="e">
        <f>IF(貼り付け用!$A$6&lt;&gt;"",
IF(ROW(K107)+2&gt;=MATCH("*【合計】*", 貼り付け用!$A:$A, 0),"",
IF(貼り付け用!K108&lt;&gt;"",貼り付け用!K108,"")),
IF(ROW(K108)+2&gt;=MATCH("*【合計】*", 貼り付け用!$A:$A, 0),"",
IF(貼り付け用!K109&lt;&gt;"",貼り付け用!K109,"")))</f>
        <v>#N/A</v>
      </c>
      <c r="L108" s="19" t="e">
        <f>IF(貼り付け用!$A$6&lt;&gt;"",
IF(ROW(L107)+2&gt;=MATCH("*【合計】*", 貼り付け用!$A:$A, 0),"",
IF(L$3&lt;&gt;"",IF(貼り付け用!L108&lt;&gt;"",貼り付け用!L108,""),"")),
IF(ROW(L108)+2&gt;=MATCH("*【合計】*", 貼り付け用!$A:$A, 0),"",
IF(L$3&lt;&gt;"",IF(貼り付け用!L109&lt;&gt;"",貼り付け用!L109,""),"")))</f>
        <v>#N/A</v>
      </c>
      <c r="M108" s="19" t="e">
        <f>IF(貼り付け用!$A$6&lt;&gt;"",
IF(ROW(M107)+2&gt;=MATCH("*【合計】*", 貼り付け用!$A:$A, 0),"",
IF(M$3&lt;&gt;"",IF(貼り付け用!M108&lt;&gt;"",貼り付け用!M108,""),"")),
IF(ROW(M108)+2&gt;=MATCH("*【合計】*", 貼り付け用!$A:$A, 0),"",
IF(M$3&lt;&gt;"",IF(貼り付け用!M109&lt;&gt;"",貼り付け用!M109,""),"")))</f>
        <v>#N/A</v>
      </c>
      <c r="N108" s="19" t="e">
        <f>IF(貼り付け用!$A$6&lt;&gt;"",
IF(ROW(N107)+2&gt;=MATCH("*【合計】*", 貼り付け用!$A:$A, 0),"",
IF(N$3&lt;&gt;"",IF(貼り付け用!N108&lt;&gt;"",貼り付け用!N108,""),"")),
IF(ROW(N108)+2&gt;=MATCH("*【合計】*", 貼り付け用!$A:$A, 0),"",
IF(N$3&lt;&gt;"",IF(貼り付け用!N109&lt;&gt;"",貼り付け用!N109,""),"")))</f>
        <v>#N/A</v>
      </c>
      <c r="O108" s="19" t="e">
        <f>IF(貼り付け用!$A$6&lt;&gt;"",
IF(ROW(O107)+2&gt;=MATCH("*【合計】*", 貼り付け用!$A:$A, 0),"",
IF(O$3&lt;&gt;"",IF(貼り付け用!O108&lt;&gt;"",貼り付け用!O108,""),"")),
IF(ROW(O108)+2&gt;=MATCH("*【合計】*", 貼り付け用!$A:$A, 0),"",
IF(O$3&lt;&gt;"",IF(貼り付け用!O109&lt;&gt;"",貼り付け用!O109,""),"")))</f>
        <v>#N/A</v>
      </c>
      <c r="P108" s="19" t="e">
        <f>IF(貼り付け用!$A$6&lt;&gt;"",
IF(ROW(P107)+2&gt;=MATCH("*【合計】*", 貼り付け用!$A:$A, 0),"",
IF(P$3&lt;&gt;"",IF(貼り付け用!P108&lt;&gt;"",貼り付け用!P108,""),"")),
IF(ROW(P108)+2&gt;=MATCH("*【合計】*", 貼り付け用!$A:$A, 0),"",
IF(P$3&lt;&gt;"",IF(貼り付け用!P109&lt;&gt;"",貼り付け用!P109,""),"")))</f>
        <v>#N/A</v>
      </c>
      <c r="Q108" s="19" t="e">
        <f>IF(貼り付け用!$A$6&lt;&gt;"",
IF(ROW(Q107)+2&gt;=MATCH("*【合計】*", 貼り付け用!$A:$A, 0),"",
IF(Q$3&lt;&gt;"",IF(貼り付け用!Q108&lt;&gt;"",貼り付け用!Q108,""),"")),
IF(ROW(Q108)+2&gt;=MATCH("*【合計】*", 貼り付け用!$A:$A, 0),"",
IF(Q$3&lt;&gt;"",IF(貼り付け用!Q109&lt;&gt;"",貼り付け用!Q109,""),"")))</f>
        <v>#N/A</v>
      </c>
      <c r="R108" s="19" t="e">
        <f>IF(貼り付け用!$A$6&lt;&gt;"",
IF(ROW(R107)+2&gt;=MATCH("*【合計】*", 貼り付け用!$A:$A, 0),"",
IF(R$3&lt;&gt;"",IF(貼り付け用!R108&lt;&gt;"",貼り付け用!R108,""),"")),
IF(ROW(R108)+2&gt;=MATCH("*【合計】*", 貼り付け用!$A:$A, 0),"",
IF(R$3&lt;&gt;"",IF(貼り付け用!R109&lt;&gt;"",貼り付け用!R109,""),"")))</f>
        <v>#N/A</v>
      </c>
      <c r="S108" s="19" t="e">
        <f>IF(貼り付け用!$A$6&lt;&gt;"",
IF(ROW(S107)+2&gt;=MATCH("*【合計】*", 貼り付け用!$A:$A, 0),"",
IF(S$3&lt;&gt;"",IF(貼り付け用!S108&lt;&gt;"",貼り付け用!S108,""),"")),
IF(ROW(S108)+2&gt;=MATCH("*【合計】*", 貼り付け用!$A:$A, 0),"",
IF(S$3&lt;&gt;"",IF(貼り付け用!S109&lt;&gt;"",貼り付け用!S109,""),"")))</f>
        <v>#N/A</v>
      </c>
      <c r="T108" s="19" t="e">
        <f t="array" ref="T108">IF(貼り付け用!$A$6&lt;&gt;"",
IF(INDEX(貼り付け用!A:Z, ROW(T107)+1, MATCH("おやつ", 貼り付け用!$A$3:$Z$3, 0))&lt;&gt;0,
INDEX(貼り付け用!A:Z, ROW(T107)+1, MATCH("おやつ", 貼り付け用!$A$3:$Z$3, 0)),""),
IF(INDEX(貼り付け用!A:Z, ROW(T108)+1, MATCH("おやつ", 貼り付け用!$A$3:$Z$3, 0))&lt;&gt;0,
INDEX(貼り付け用!A:Z, ROW(T108)+1, MATCH("おやつ", 貼り付け用!$A$3:$Z$3, 0)),""))</f>
        <v>#N/A</v>
      </c>
      <c r="U108" s="16"/>
      <c r="V108" s="5" t="e">
        <f t="array" ref="V108">IF(貼り付け用!$A$6&lt;&gt;"",
IF(INDEX(貼り付け用!A:Z, ROW(T107)+1, MATCH("おやつ", 貼り付け用!$A$3:$Z$3, 0)+1)&lt;&gt;0,
INDEX(貼り付け用!A:Z, ROW(T107)+1, MATCH("おやつ", 貼り付け用!$A$3:$Z$3, 0)+1),""),
IF(INDEX(貼り付け用!A:Z, ROW(T108)+1, MATCH("おやつ", 貼り付け用!$A$3:$Z$3, 0)+1)&lt;&gt;0,
INDEX(貼り付け用!A:Z, ROW(T108)+1, MATCH("おやつ", 貼り付け用!$A$3:$Z$3, 0)+1),""))</f>
        <v>#N/A</v>
      </c>
      <c r="W108" s="7" t="e">
        <f t="array" ref="W108">IF(貼り付け用!$A$6&lt;&gt;"",
IF(INDEX(貼り付け用!A:Z, ROW(T107)+1, MATCH("おやつ", 貼り付け用!$A$3:$Z$3, 0)+2)&lt;&gt;0,
INDEX(貼り付け用!A:Z, ROW(T107)+1, MATCH("おやつ", 貼り付け用!$A$3:$Z$3, 0)+2),""),
IF(INDEX(貼り付け用!A:Z, ROW(T108)+1, MATCH("おやつ", 貼り付け用!$A$3:$Z$3, 0)+2)&lt;&gt;0,
INDEX(貼り付け用!A:Z, ROW(T108)+1, MATCH("おやつ", 貼り付け用!$A$3:$Z$3, 0)+2),""))</f>
        <v>#N/A</v>
      </c>
    </row>
    <row r="109" spans="1:23" x14ac:dyDescent="0.45">
      <c r="A109" s="10" t="e">
        <f>IF(貼り付け用!$A$6&lt;&gt;"",
IF(ROW(A108)+1&gt;=MATCH("*10000*", 貼り付け用!$A:$A, 0),"",
IF(貼り付け用!A109&lt;&gt;"",貼り付け用!A109,"")),
IF(ROW(A109)+1&gt;=MATCH("*10000*", 貼り付け用!$A:$A, 0),"",
IF(貼り付け用!A110&lt;&gt;"",貼り付け用!A110,"")))</f>
        <v>#N/A</v>
      </c>
      <c r="B109" s="3" t="e">
        <f>IF(貼り付け用!$A$6&lt;&gt;"",
IF(ROW(B108)+2&gt;=MATCH("*【合計】*", 貼り付け用!$A:$A, 0),"",
IF(貼り付け用!B109&lt;&gt;"",貼り付け用!B109,"")),
IF(ROW(B109)+2&gt;=MATCH("*【合計】*", 貼り付け用!$A:$A, 0),"",
IF(貼り付け用!B110&lt;&gt;"",貼り付け用!B110,"")))</f>
        <v>#N/A</v>
      </c>
      <c r="C109" s="3" t="e">
        <f>IF(貼り付け用!$A$6&lt;&gt;"",
IF(ROW(C108)+2&gt;=MATCH("*【合計】*", 貼り付け用!$A:$A, 0),"",
IF(貼り付け用!C109&lt;&gt;"",貼り付け用!C109,"")),
IF(ROW(C109)+2&gt;=MATCH("*【合計】*", 貼り付け用!$A:$A, 0),"",
IF(貼り付け用!C110&lt;&gt;"",貼り付け用!C110,"")))</f>
        <v>#N/A</v>
      </c>
      <c r="D109" s="3" t="e">
        <f>IF(貼り付け用!$A$6&lt;&gt;"",
IF(ROW(D108)+2&gt;=MATCH("*【合計】*", 貼り付け用!$A:$A, 0),"",
IF(貼り付け用!D109&lt;&gt;"",貼り付け用!D109,"")),
IF(ROW(D109)+2&gt;=MATCH("*【合計】*", 貼り付け用!$A:$A, 0),"",
IF(貼り付け用!D110&lt;&gt;"",貼り付け用!D110,"")))</f>
        <v>#N/A</v>
      </c>
      <c r="E109" s="3" t="e">
        <f>IF(貼り付け用!$A$6&lt;&gt;"",
IF(ROW(E108)+2&gt;=MATCH("*【合計】*", 貼り付け用!$A:$A, 0),"",
IF(貼り付け用!E109&lt;&gt;"",貼り付け用!E109,"")),
IF(ROW(E109)+2&gt;=MATCH("*【合計】*", 貼り付け用!$A:$A, 0),"",
IF(貼り付け用!E110&lt;&gt;"",貼り付け用!E110,"")))</f>
        <v>#N/A</v>
      </c>
      <c r="F109" s="3" t="e">
        <f>IF(貼り付け用!$A$6&lt;&gt;"",
IF(ROW(F108)+2&gt;=MATCH("*【合計】*", 貼り付け用!$A:$A, 0),"",
IF(貼り付け用!F109&lt;&gt;"",貼り付け用!F109,"")),
IF(ROW(F109)+2&gt;=MATCH("*【合計】*", 貼り付け用!$A:$A, 0),"",
IF(貼り付け用!F110&lt;&gt;"",貼り付け用!F110,"")))</f>
        <v>#N/A</v>
      </c>
      <c r="G109" s="3" t="e">
        <f>IF(貼り付け用!$A$6&lt;&gt;"",
IF(ROW(G108)+2&gt;=MATCH("*【合計】*", 貼り付け用!$A:$A, 0),"",
IF(貼り付け用!G109&lt;&gt;"",貼り付け用!G109,"")),
IF(ROW(G109)+2&gt;=MATCH("*【合計】*", 貼り付け用!$A:$A, 0),"",
IF(貼り付け用!G110&lt;&gt;"",貼り付け用!G110,"")))</f>
        <v>#N/A</v>
      </c>
      <c r="H109" s="3" t="e">
        <f>IF(貼り付け用!$A$6&lt;&gt;"",
IF(ROW(H108)+2&gt;=MATCH("*【合計】*", 貼り付け用!$A:$A, 0),"",
IF(貼り付け用!H109&lt;&gt;"",貼り付け用!H109,"")),
IF(ROW(H109)+2&gt;=MATCH("*【合計】*", 貼り付け用!$A:$A, 0),"",
IF(貼り付け用!H110&lt;&gt;"",貼り付け用!H110,"")))</f>
        <v>#N/A</v>
      </c>
      <c r="I109" s="3" t="e">
        <f>IF(貼り付け用!$A$6&lt;&gt;"",
IF(ROW(I108)+2&gt;=MATCH("*【合計】*", 貼り付け用!$A:$A, 0),"",
IF(貼り付け用!I109&lt;&gt;"",貼り付け用!I109,"")),
IF(ROW(I109)+2&gt;=MATCH("*【合計】*", 貼り付け用!$A:$A, 0),"",
IF(貼り付け用!I110&lt;&gt;"",貼り付け用!I110,"")))</f>
        <v>#N/A</v>
      </c>
      <c r="J109" s="3" t="e">
        <f>IF(貼り付け用!$A$6&lt;&gt;"",
IF(ROW(J108)+2&gt;=MATCH("*【合計】*", 貼り付け用!$A:$A, 0),"",
IF(貼り付け用!J109&lt;&gt;"",貼り付け用!J109,"")),
IF(ROW(J109)+2&gt;=MATCH("*【合計】*", 貼り付け用!$A:$A, 0),"",
IF(貼り付け用!J110&lt;&gt;"",貼り付け用!J110,"")))</f>
        <v>#N/A</v>
      </c>
      <c r="K109" s="3" t="e">
        <f>IF(貼り付け用!$A$6&lt;&gt;"",
IF(ROW(K108)+2&gt;=MATCH("*【合計】*", 貼り付け用!$A:$A, 0),"",
IF(貼り付け用!K109&lt;&gt;"",貼り付け用!K109,"")),
IF(ROW(K109)+2&gt;=MATCH("*【合計】*", 貼り付け用!$A:$A, 0),"",
IF(貼り付け用!K110&lt;&gt;"",貼り付け用!K110,"")))</f>
        <v>#N/A</v>
      </c>
      <c r="L109" s="3" t="e">
        <f>IF(貼り付け用!$A$6&lt;&gt;"",
IF(ROW(L108)+2&gt;=MATCH("*【合計】*", 貼り付け用!$A:$A, 0),"",
IF(L$3&lt;&gt;"",IF(貼り付け用!L109&lt;&gt;"",貼り付け用!L109,""),"")),
IF(ROW(L109)+2&gt;=MATCH("*【合計】*", 貼り付け用!$A:$A, 0),"",
IF(L$3&lt;&gt;"",IF(貼り付け用!L110&lt;&gt;"",貼り付け用!L110,""),"")))</f>
        <v>#N/A</v>
      </c>
      <c r="M109" s="3" t="e">
        <f>IF(貼り付け用!$A$6&lt;&gt;"",
IF(ROW(M108)+2&gt;=MATCH("*【合計】*", 貼り付け用!$A:$A, 0),"",
IF(M$3&lt;&gt;"",IF(貼り付け用!M109&lt;&gt;"",貼り付け用!M109,""),"")),
IF(ROW(M109)+2&gt;=MATCH("*【合計】*", 貼り付け用!$A:$A, 0),"",
IF(M$3&lt;&gt;"",IF(貼り付け用!M110&lt;&gt;"",貼り付け用!M110,""),"")))</f>
        <v>#N/A</v>
      </c>
      <c r="N109" s="3" t="e">
        <f>IF(貼り付け用!$A$6&lt;&gt;"",
IF(ROW(N108)+2&gt;=MATCH("*【合計】*", 貼り付け用!$A:$A, 0),"",
IF(N$3&lt;&gt;"",IF(貼り付け用!N109&lt;&gt;"",貼り付け用!N109,""),"")),
IF(ROW(N109)+2&gt;=MATCH("*【合計】*", 貼り付け用!$A:$A, 0),"",
IF(N$3&lt;&gt;"",IF(貼り付け用!N110&lt;&gt;"",貼り付け用!N110,""),"")))</f>
        <v>#N/A</v>
      </c>
      <c r="O109" s="3" t="e">
        <f>IF(貼り付け用!$A$6&lt;&gt;"",
IF(ROW(O108)+2&gt;=MATCH("*【合計】*", 貼り付け用!$A:$A, 0),"",
IF(O$3&lt;&gt;"",IF(貼り付け用!O109&lt;&gt;"",貼り付け用!O109,""),"")),
IF(ROW(O109)+2&gt;=MATCH("*【合計】*", 貼り付け用!$A:$A, 0),"",
IF(O$3&lt;&gt;"",IF(貼り付け用!O110&lt;&gt;"",貼り付け用!O110,""),"")))</f>
        <v>#N/A</v>
      </c>
      <c r="P109" s="3" t="e">
        <f>IF(貼り付け用!$A$6&lt;&gt;"",
IF(ROW(P108)+2&gt;=MATCH("*【合計】*", 貼り付け用!$A:$A, 0),"",
IF(P$3&lt;&gt;"",IF(貼り付け用!P109&lt;&gt;"",貼り付け用!P109,""),"")),
IF(ROW(P109)+2&gt;=MATCH("*【合計】*", 貼り付け用!$A:$A, 0),"",
IF(P$3&lt;&gt;"",IF(貼り付け用!P110&lt;&gt;"",貼り付け用!P110,""),"")))</f>
        <v>#N/A</v>
      </c>
      <c r="Q109" s="3" t="e">
        <f>IF(貼り付け用!$A$6&lt;&gt;"",
IF(ROW(Q108)+2&gt;=MATCH("*【合計】*", 貼り付け用!$A:$A, 0),"",
IF(Q$3&lt;&gt;"",IF(貼り付け用!Q109&lt;&gt;"",貼り付け用!Q109,""),"")),
IF(ROW(Q109)+2&gt;=MATCH("*【合計】*", 貼り付け用!$A:$A, 0),"",
IF(Q$3&lt;&gt;"",IF(貼り付け用!Q110&lt;&gt;"",貼り付け用!Q110,""),"")))</f>
        <v>#N/A</v>
      </c>
      <c r="R109" s="3" t="e">
        <f>IF(貼り付け用!$A$6&lt;&gt;"",
IF(ROW(R108)+2&gt;=MATCH("*【合計】*", 貼り付け用!$A:$A, 0),"",
IF(R$3&lt;&gt;"",IF(貼り付け用!R109&lt;&gt;"",貼り付け用!R109,""),"")),
IF(ROW(R109)+2&gt;=MATCH("*【合計】*", 貼り付け用!$A:$A, 0),"",
IF(R$3&lt;&gt;"",IF(貼り付け用!R110&lt;&gt;"",貼り付け用!R110,""),"")))</f>
        <v>#N/A</v>
      </c>
      <c r="S109" s="3" t="e">
        <f>IF(貼り付け用!$A$6&lt;&gt;"",
IF(ROW(S108)+2&gt;=MATCH("*【合計】*", 貼り付け用!$A:$A, 0),"",
IF(S$3&lt;&gt;"",IF(貼り付け用!S109&lt;&gt;"",貼り付け用!S109,""),"")),
IF(ROW(S109)+2&gt;=MATCH("*【合計】*", 貼り付け用!$A:$A, 0),"",
IF(S$3&lt;&gt;"",IF(貼り付け用!S110&lt;&gt;"",貼り付け用!S110,""),"")))</f>
        <v>#N/A</v>
      </c>
      <c r="T109" s="2" t="e">
        <f t="array" ref="T109">IF(貼り付け用!$A$6&lt;&gt;"",
IF(INDEX(貼り付け用!A:Z, ROW(T108)+1, MATCH("おやつ", 貼り付け用!$A$3:$Z$3, 0))&lt;&gt;0,
INDEX(貼り付け用!A:Z, ROW(T108)+1, MATCH("おやつ", 貼り付け用!$A$3:$Z$3, 0)),""),
IF(INDEX(貼り付け用!A:Z, ROW(T109)+1, MATCH("おやつ", 貼り付け用!$A$3:$Z$3, 0))&lt;&gt;0,
INDEX(貼り付け用!A:Z, ROW(T109)+1, MATCH("おやつ", 貼り付け用!$A$3:$Z$3, 0)),""))</f>
        <v>#N/A</v>
      </c>
      <c r="U109" s="52"/>
      <c r="V109" s="8" t="e">
        <f t="array" ref="V109">IF(貼り付け用!$A$6&lt;&gt;"",
IF(INDEX(貼り付け用!A:Z, ROW(T108)+1, MATCH("おやつ", 貼り付け用!$A$3:$Z$3, 0)+1)&lt;&gt;0,
INDEX(貼り付け用!A:Z, ROW(T108)+1, MATCH("おやつ", 貼り付け用!$A$3:$Z$3, 0)+1),""),
IF(INDEX(貼り付け用!A:Z, ROW(T109)+1, MATCH("おやつ", 貼り付け用!$A$3:$Z$3, 0)+1)&lt;&gt;0,
INDEX(貼り付け用!A:Z, ROW(T109)+1, MATCH("おやつ", 貼り付け用!$A$3:$Z$3, 0)+1),""))</f>
        <v>#N/A</v>
      </c>
      <c r="W109" s="9" t="e">
        <f t="array" ref="W109">IF(貼り付け用!$A$6&lt;&gt;"",
IF(INDEX(貼り付け用!A:Z, ROW(T108)+1, MATCH("おやつ", 貼り付け用!$A$3:$Z$3, 0)+2)&lt;&gt;0,
INDEX(貼り付け用!A:Z, ROW(T108)+1, MATCH("おやつ", 貼り付け用!$A$3:$Z$3, 0)+2),""),
IF(INDEX(貼り付け用!A:Z, ROW(T109)+1, MATCH("おやつ", 貼り付け用!$A$3:$Z$3, 0)+2)&lt;&gt;0,
INDEX(貼り付け用!A:Z, ROW(T109)+1, MATCH("おやつ", 貼り付け用!$A$3:$Z$3, 0)+2),""))</f>
        <v>#N/A</v>
      </c>
    </row>
    <row r="110" spans="1:23" x14ac:dyDescent="0.45">
      <c r="A110" s="4" t="e">
        <f>IF(貼り付け用!$A$6&lt;&gt;"",
IF(ROW(A109)+1&gt;=MATCH("*10000*", 貼り付け用!$A:$A, 0),
IF(COUNTIF(A108,"*10000*"),"10001",
IF(COUNTIF(A108,"*10001*"),"10002",
IF(COUNTIF(A108,"*10002*"),"",
IF(COUNTIF(A108,""),"","10000")))),
IF(貼り付け用!A110&lt;&gt;"",貼り付け用!A110,"")),
IF(ROW(A110)+1&gt;=MATCH("*10000*", 貼り付け用!$A:$A, 0),
IF(COUNTIF(A108,"*10000*"),"10001",
IF(COUNTIF(A108,"*10001*"),"10002",
IF(COUNTIF(A108,"*10002*"),"",
IF(COUNTIF(A108,""),"","10000")))),
IF(貼り付け用!A111&lt;&gt;"",貼り付け用!A111,"")))</f>
        <v>#N/A</v>
      </c>
      <c r="B110" s="19" t="e">
        <f>IF(貼り付け用!$A$6&lt;&gt;"",
IF(ROW(B109)+2&gt;=MATCH("*【合計】*", 貼り付け用!$A:$A, 0),"",
IF(貼り付け用!B110&lt;&gt;"",貼り付け用!B110,"")),
IF(ROW(B110)+2&gt;=MATCH("*【合計】*", 貼り付け用!$A:$A, 0),"",
IF(貼り付け用!B111&lt;&gt;"",貼り付け用!B111,"")))</f>
        <v>#N/A</v>
      </c>
      <c r="C110" s="19" t="e">
        <f>IF(貼り付け用!$A$6&lt;&gt;"",
IF(ROW(C109)+2&gt;=MATCH("*【合計】*", 貼り付け用!$A:$A, 0),"",
IF(貼り付け用!C110&lt;&gt;"",貼り付け用!C110,"")),
IF(ROW(C110)+2&gt;=MATCH("*【合計】*", 貼り付け用!$A:$A, 0),"",
IF(貼り付け用!C111&lt;&gt;"",貼り付け用!C111,"")))</f>
        <v>#N/A</v>
      </c>
      <c r="D110" s="19" t="e">
        <f>IF(貼り付け用!$A$6&lt;&gt;"",
IF(ROW(D109)+2&gt;=MATCH("*【合計】*", 貼り付け用!$A:$A, 0),"",
IF(貼り付け用!D110&lt;&gt;"",貼り付け用!D110,"")),
IF(ROW(D110)+2&gt;=MATCH("*【合計】*", 貼り付け用!$A:$A, 0),"",
IF(貼り付け用!D111&lt;&gt;"",貼り付け用!D111,"")))</f>
        <v>#N/A</v>
      </c>
      <c r="E110" s="19" t="e">
        <f>IF(貼り付け用!$A$6&lt;&gt;"",
IF(ROW(E109)+2&gt;=MATCH("*【合計】*", 貼り付け用!$A:$A, 0),"",
IF(貼り付け用!E110&lt;&gt;"",貼り付け用!E110,"")),
IF(ROW(E110)+2&gt;=MATCH("*【合計】*", 貼り付け用!$A:$A, 0),"",
IF(貼り付け用!E111&lt;&gt;"",貼り付け用!E111,"")))</f>
        <v>#N/A</v>
      </c>
      <c r="F110" s="19" t="e">
        <f>IF(貼り付け用!$A$6&lt;&gt;"",
IF(ROW(F109)+2&gt;=MATCH("*【合計】*", 貼り付け用!$A:$A, 0),"",
IF(貼り付け用!F110&lt;&gt;"",貼り付け用!F110,"")),
IF(ROW(F110)+2&gt;=MATCH("*【合計】*", 貼り付け用!$A:$A, 0),"",
IF(貼り付け用!F111&lt;&gt;"",貼り付け用!F111,"")))</f>
        <v>#N/A</v>
      </c>
      <c r="G110" s="19" t="e">
        <f>IF(貼り付け用!$A$6&lt;&gt;"",
IF(ROW(G109)+2&gt;=MATCH("*【合計】*", 貼り付け用!$A:$A, 0),"",
IF(貼り付け用!G110&lt;&gt;"",貼り付け用!G110,"")),
IF(ROW(G110)+2&gt;=MATCH("*【合計】*", 貼り付け用!$A:$A, 0),"",
IF(貼り付け用!G111&lt;&gt;"",貼り付け用!G111,"")))</f>
        <v>#N/A</v>
      </c>
      <c r="H110" s="19" t="e">
        <f>IF(貼り付け用!$A$6&lt;&gt;"",
IF(ROW(H109)+2&gt;=MATCH("*【合計】*", 貼り付け用!$A:$A, 0),"",
IF(貼り付け用!H110&lt;&gt;"",貼り付け用!H110,"")),
IF(ROW(H110)+2&gt;=MATCH("*【合計】*", 貼り付け用!$A:$A, 0),"",
IF(貼り付け用!H111&lt;&gt;"",貼り付け用!H111,"")))</f>
        <v>#N/A</v>
      </c>
      <c r="I110" s="19" t="e">
        <f>IF(貼り付け用!$A$6&lt;&gt;"",
IF(ROW(I109)+2&gt;=MATCH("*【合計】*", 貼り付け用!$A:$A, 0),"",
IF(貼り付け用!I110&lt;&gt;"",貼り付け用!I110,"")),
IF(ROW(I110)+2&gt;=MATCH("*【合計】*", 貼り付け用!$A:$A, 0),"",
IF(貼り付け用!I111&lt;&gt;"",貼り付け用!I111,"")))</f>
        <v>#N/A</v>
      </c>
      <c r="J110" s="19" t="e">
        <f>IF(貼り付け用!$A$6&lt;&gt;"",
IF(ROW(J109)+2&gt;=MATCH("*【合計】*", 貼り付け用!$A:$A, 0),"",
IF(貼り付け用!J110&lt;&gt;"",貼り付け用!J110,"")),
IF(ROW(J110)+2&gt;=MATCH("*【合計】*", 貼り付け用!$A:$A, 0),"",
IF(貼り付け用!J111&lt;&gt;"",貼り付け用!J111,"")))</f>
        <v>#N/A</v>
      </c>
      <c r="K110" s="19" t="e">
        <f>IF(貼り付け用!$A$6&lt;&gt;"",
IF(ROW(K109)+2&gt;=MATCH("*【合計】*", 貼り付け用!$A:$A, 0),"",
IF(貼り付け用!K110&lt;&gt;"",貼り付け用!K110,"")),
IF(ROW(K110)+2&gt;=MATCH("*【合計】*", 貼り付け用!$A:$A, 0),"",
IF(貼り付け用!K111&lt;&gt;"",貼り付け用!K111,"")))</f>
        <v>#N/A</v>
      </c>
      <c r="L110" s="19" t="e">
        <f>IF(貼り付け用!$A$6&lt;&gt;"",
IF(ROW(L109)+2&gt;=MATCH("*【合計】*", 貼り付け用!$A:$A, 0),"",
IF(L$3&lt;&gt;"",IF(貼り付け用!L110&lt;&gt;"",貼り付け用!L110,""),"")),
IF(ROW(L110)+2&gt;=MATCH("*【合計】*", 貼り付け用!$A:$A, 0),"",
IF(L$3&lt;&gt;"",IF(貼り付け用!L111&lt;&gt;"",貼り付け用!L111,""),"")))</f>
        <v>#N/A</v>
      </c>
      <c r="M110" s="19" t="e">
        <f>IF(貼り付け用!$A$6&lt;&gt;"",
IF(ROW(M109)+2&gt;=MATCH("*【合計】*", 貼り付け用!$A:$A, 0),"",
IF(M$3&lt;&gt;"",IF(貼り付け用!M110&lt;&gt;"",貼り付け用!M110,""),"")),
IF(ROW(M110)+2&gt;=MATCH("*【合計】*", 貼り付け用!$A:$A, 0),"",
IF(M$3&lt;&gt;"",IF(貼り付け用!M111&lt;&gt;"",貼り付け用!M111,""),"")))</f>
        <v>#N/A</v>
      </c>
      <c r="N110" s="19" t="e">
        <f>IF(貼り付け用!$A$6&lt;&gt;"",
IF(ROW(N109)+2&gt;=MATCH("*【合計】*", 貼り付け用!$A:$A, 0),"",
IF(N$3&lt;&gt;"",IF(貼り付け用!N110&lt;&gt;"",貼り付け用!N110,""),"")),
IF(ROW(N110)+2&gt;=MATCH("*【合計】*", 貼り付け用!$A:$A, 0),"",
IF(N$3&lt;&gt;"",IF(貼り付け用!N111&lt;&gt;"",貼り付け用!N111,""),"")))</f>
        <v>#N/A</v>
      </c>
      <c r="O110" s="19" t="e">
        <f>IF(貼り付け用!$A$6&lt;&gt;"",
IF(ROW(O109)+2&gt;=MATCH("*【合計】*", 貼り付け用!$A:$A, 0),"",
IF(O$3&lt;&gt;"",IF(貼り付け用!O110&lt;&gt;"",貼り付け用!O110,""),"")),
IF(ROW(O110)+2&gt;=MATCH("*【合計】*", 貼り付け用!$A:$A, 0),"",
IF(O$3&lt;&gt;"",IF(貼り付け用!O111&lt;&gt;"",貼り付け用!O111,""),"")))</f>
        <v>#N/A</v>
      </c>
      <c r="P110" s="19" t="e">
        <f>IF(貼り付け用!$A$6&lt;&gt;"",
IF(ROW(P109)+2&gt;=MATCH("*【合計】*", 貼り付け用!$A:$A, 0),"",
IF(P$3&lt;&gt;"",IF(貼り付け用!P110&lt;&gt;"",貼り付け用!P110,""),"")),
IF(ROW(P110)+2&gt;=MATCH("*【合計】*", 貼り付け用!$A:$A, 0),"",
IF(P$3&lt;&gt;"",IF(貼り付け用!P111&lt;&gt;"",貼り付け用!P111,""),"")))</f>
        <v>#N/A</v>
      </c>
      <c r="Q110" s="19" t="e">
        <f>IF(貼り付け用!$A$6&lt;&gt;"",
IF(ROW(Q109)+2&gt;=MATCH("*【合計】*", 貼り付け用!$A:$A, 0),"",
IF(Q$3&lt;&gt;"",IF(貼り付け用!Q110&lt;&gt;"",貼り付け用!Q110,""),"")),
IF(ROW(Q110)+2&gt;=MATCH("*【合計】*", 貼り付け用!$A:$A, 0),"",
IF(Q$3&lt;&gt;"",IF(貼り付け用!Q111&lt;&gt;"",貼り付け用!Q111,""),"")))</f>
        <v>#N/A</v>
      </c>
      <c r="R110" s="19" t="e">
        <f>IF(貼り付け用!$A$6&lt;&gt;"",
IF(ROW(R109)+2&gt;=MATCH("*【合計】*", 貼り付け用!$A:$A, 0),"",
IF(R$3&lt;&gt;"",IF(貼り付け用!R110&lt;&gt;"",貼り付け用!R110,""),"")),
IF(ROW(R110)+2&gt;=MATCH("*【合計】*", 貼り付け用!$A:$A, 0),"",
IF(R$3&lt;&gt;"",IF(貼り付け用!R111&lt;&gt;"",貼り付け用!R111,""),"")))</f>
        <v>#N/A</v>
      </c>
      <c r="S110" s="19" t="e">
        <f>IF(貼り付け用!$A$6&lt;&gt;"",
IF(ROW(S109)+2&gt;=MATCH("*【合計】*", 貼り付け用!$A:$A, 0),"",
IF(S$3&lt;&gt;"",IF(貼り付け用!S110&lt;&gt;"",貼り付け用!S110,""),"")),
IF(ROW(S110)+2&gt;=MATCH("*【合計】*", 貼り付け用!$A:$A, 0),"",
IF(S$3&lt;&gt;"",IF(貼り付け用!S111&lt;&gt;"",貼り付け用!S111,""),"")))</f>
        <v>#N/A</v>
      </c>
      <c r="T110" s="19" t="e">
        <f t="array" ref="T110">IF(貼り付け用!$A$6&lt;&gt;"",
IF(INDEX(貼り付け用!A:Z, ROW(T109)+1, MATCH("おやつ", 貼り付け用!$A$3:$Z$3, 0))&lt;&gt;0,
INDEX(貼り付け用!A:Z, ROW(T109)+1, MATCH("おやつ", 貼り付け用!$A$3:$Z$3, 0)),""),
IF(INDEX(貼り付け用!A:Z, ROW(T110)+1, MATCH("おやつ", 貼り付け用!$A$3:$Z$3, 0))&lt;&gt;0,
INDEX(貼り付け用!A:Z, ROW(T110)+1, MATCH("おやつ", 貼り付け用!$A$3:$Z$3, 0)),""))</f>
        <v>#N/A</v>
      </c>
      <c r="U110" s="16"/>
      <c r="V110" s="5" t="e">
        <f t="array" ref="V110">IF(貼り付け用!$A$6&lt;&gt;"",
IF(INDEX(貼り付け用!A:Z, ROW(T109)+1, MATCH("おやつ", 貼り付け用!$A$3:$Z$3, 0)+1)&lt;&gt;0,
INDEX(貼り付け用!A:Z, ROW(T109)+1, MATCH("おやつ", 貼り付け用!$A$3:$Z$3, 0)+1),""),
IF(INDEX(貼り付け用!A:Z, ROW(T110)+1, MATCH("おやつ", 貼り付け用!$A$3:$Z$3, 0)+1)&lt;&gt;0,
INDEX(貼り付け用!A:Z, ROW(T110)+1, MATCH("おやつ", 貼り付け用!$A$3:$Z$3, 0)+1),""))</f>
        <v>#N/A</v>
      </c>
      <c r="W110" s="7" t="e">
        <f t="array" ref="W110">IF(貼り付け用!$A$6&lt;&gt;"",
IF(INDEX(貼り付け用!A:Z, ROW(T109)+1, MATCH("おやつ", 貼り付け用!$A$3:$Z$3, 0)+2)&lt;&gt;0,
INDEX(貼り付け用!A:Z, ROW(T109)+1, MATCH("おやつ", 貼り付け用!$A$3:$Z$3, 0)+2),""),
IF(INDEX(貼り付け用!A:Z, ROW(T110)+1, MATCH("おやつ", 貼り付け用!$A$3:$Z$3, 0)+2)&lt;&gt;0,
INDEX(貼り付け用!A:Z, ROW(T110)+1, MATCH("おやつ", 貼り付け用!$A$3:$Z$3, 0)+2),""))</f>
        <v>#N/A</v>
      </c>
    </row>
    <row r="111" spans="1:23" x14ac:dyDescent="0.45">
      <c r="A111" s="10" t="e">
        <f>IF(貼り付け用!$A$6&lt;&gt;"",
IF(ROW(A110)+1&gt;=MATCH("*10000*", 貼り付け用!$A:$A, 0),"",
IF(貼り付け用!A111&lt;&gt;"",貼り付け用!A111,"")),
IF(ROW(A111)+1&gt;=MATCH("*10000*", 貼り付け用!$A:$A, 0),"",
IF(貼り付け用!A112&lt;&gt;"",貼り付け用!A112,"")))</f>
        <v>#N/A</v>
      </c>
      <c r="B111" s="3" t="e">
        <f>IF(貼り付け用!$A$6&lt;&gt;"",
IF(ROW(B110)+2&gt;=MATCH("*【合計】*", 貼り付け用!$A:$A, 0),"",
IF(貼り付け用!B111&lt;&gt;"",貼り付け用!B111,"")),
IF(ROW(B111)+2&gt;=MATCH("*【合計】*", 貼り付け用!$A:$A, 0),"",
IF(貼り付け用!B112&lt;&gt;"",貼り付け用!B112,"")))</f>
        <v>#N/A</v>
      </c>
      <c r="C111" s="3" t="e">
        <f>IF(貼り付け用!$A$6&lt;&gt;"",
IF(ROW(C110)+2&gt;=MATCH("*【合計】*", 貼り付け用!$A:$A, 0),"",
IF(貼り付け用!C111&lt;&gt;"",貼り付け用!C111,"")),
IF(ROW(C111)+2&gt;=MATCH("*【合計】*", 貼り付け用!$A:$A, 0),"",
IF(貼り付け用!C112&lt;&gt;"",貼り付け用!C112,"")))</f>
        <v>#N/A</v>
      </c>
      <c r="D111" s="3" t="e">
        <f>IF(貼り付け用!$A$6&lt;&gt;"",
IF(ROW(D110)+2&gt;=MATCH("*【合計】*", 貼り付け用!$A:$A, 0),"",
IF(貼り付け用!D111&lt;&gt;"",貼り付け用!D111,"")),
IF(ROW(D111)+2&gt;=MATCH("*【合計】*", 貼り付け用!$A:$A, 0),"",
IF(貼り付け用!D112&lt;&gt;"",貼り付け用!D112,"")))</f>
        <v>#N/A</v>
      </c>
      <c r="E111" s="3" t="e">
        <f>IF(貼り付け用!$A$6&lt;&gt;"",
IF(ROW(E110)+2&gt;=MATCH("*【合計】*", 貼り付け用!$A:$A, 0),"",
IF(貼り付け用!E111&lt;&gt;"",貼り付け用!E111,"")),
IF(ROW(E111)+2&gt;=MATCH("*【合計】*", 貼り付け用!$A:$A, 0),"",
IF(貼り付け用!E112&lt;&gt;"",貼り付け用!E112,"")))</f>
        <v>#N/A</v>
      </c>
      <c r="F111" s="3" t="e">
        <f>IF(貼り付け用!$A$6&lt;&gt;"",
IF(ROW(F110)+2&gt;=MATCH("*【合計】*", 貼り付け用!$A:$A, 0),"",
IF(貼り付け用!F111&lt;&gt;"",貼り付け用!F111,"")),
IF(ROW(F111)+2&gt;=MATCH("*【合計】*", 貼り付け用!$A:$A, 0),"",
IF(貼り付け用!F112&lt;&gt;"",貼り付け用!F112,"")))</f>
        <v>#N/A</v>
      </c>
      <c r="G111" s="3" t="e">
        <f>IF(貼り付け用!$A$6&lt;&gt;"",
IF(ROW(G110)+2&gt;=MATCH("*【合計】*", 貼り付け用!$A:$A, 0),"",
IF(貼り付け用!G111&lt;&gt;"",貼り付け用!G111,"")),
IF(ROW(G111)+2&gt;=MATCH("*【合計】*", 貼り付け用!$A:$A, 0),"",
IF(貼り付け用!G112&lt;&gt;"",貼り付け用!G112,"")))</f>
        <v>#N/A</v>
      </c>
      <c r="H111" s="3" t="e">
        <f>IF(貼り付け用!$A$6&lt;&gt;"",
IF(ROW(H110)+2&gt;=MATCH("*【合計】*", 貼り付け用!$A:$A, 0),"",
IF(貼り付け用!H111&lt;&gt;"",貼り付け用!H111,"")),
IF(ROW(H111)+2&gt;=MATCH("*【合計】*", 貼り付け用!$A:$A, 0),"",
IF(貼り付け用!H112&lt;&gt;"",貼り付け用!H112,"")))</f>
        <v>#N/A</v>
      </c>
      <c r="I111" s="3" t="e">
        <f>IF(貼り付け用!$A$6&lt;&gt;"",
IF(ROW(I110)+2&gt;=MATCH("*【合計】*", 貼り付け用!$A:$A, 0),"",
IF(貼り付け用!I111&lt;&gt;"",貼り付け用!I111,"")),
IF(ROW(I111)+2&gt;=MATCH("*【合計】*", 貼り付け用!$A:$A, 0),"",
IF(貼り付け用!I112&lt;&gt;"",貼り付け用!I112,"")))</f>
        <v>#N/A</v>
      </c>
      <c r="J111" s="3" t="e">
        <f>IF(貼り付け用!$A$6&lt;&gt;"",
IF(ROW(J110)+2&gt;=MATCH("*【合計】*", 貼り付け用!$A:$A, 0),"",
IF(貼り付け用!J111&lt;&gt;"",貼り付け用!J111,"")),
IF(ROW(J111)+2&gt;=MATCH("*【合計】*", 貼り付け用!$A:$A, 0),"",
IF(貼り付け用!J112&lt;&gt;"",貼り付け用!J112,"")))</f>
        <v>#N/A</v>
      </c>
      <c r="K111" s="3" t="e">
        <f>IF(貼り付け用!$A$6&lt;&gt;"",
IF(ROW(K110)+2&gt;=MATCH("*【合計】*", 貼り付け用!$A:$A, 0),"",
IF(貼り付け用!K111&lt;&gt;"",貼り付け用!K111,"")),
IF(ROW(K111)+2&gt;=MATCH("*【合計】*", 貼り付け用!$A:$A, 0),"",
IF(貼り付け用!K112&lt;&gt;"",貼り付け用!K112,"")))</f>
        <v>#N/A</v>
      </c>
      <c r="L111" s="3" t="e">
        <f>IF(貼り付け用!$A$6&lt;&gt;"",
IF(ROW(L110)+2&gt;=MATCH("*【合計】*", 貼り付け用!$A:$A, 0),"",
IF(L$3&lt;&gt;"",IF(貼り付け用!L111&lt;&gt;"",貼り付け用!L111,""),"")),
IF(ROW(L111)+2&gt;=MATCH("*【合計】*", 貼り付け用!$A:$A, 0),"",
IF(L$3&lt;&gt;"",IF(貼り付け用!L112&lt;&gt;"",貼り付け用!L112,""),"")))</f>
        <v>#N/A</v>
      </c>
      <c r="M111" s="3" t="e">
        <f>IF(貼り付け用!$A$6&lt;&gt;"",
IF(ROW(M110)+2&gt;=MATCH("*【合計】*", 貼り付け用!$A:$A, 0),"",
IF(M$3&lt;&gt;"",IF(貼り付け用!M111&lt;&gt;"",貼り付け用!M111,""),"")),
IF(ROW(M111)+2&gt;=MATCH("*【合計】*", 貼り付け用!$A:$A, 0),"",
IF(M$3&lt;&gt;"",IF(貼り付け用!M112&lt;&gt;"",貼り付け用!M112,""),"")))</f>
        <v>#N/A</v>
      </c>
      <c r="N111" s="3" t="e">
        <f>IF(貼り付け用!$A$6&lt;&gt;"",
IF(ROW(N110)+2&gt;=MATCH("*【合計】*", 貼り付け用!$A:$A, 0),"",
IF(N$3&lt;&gt;"",IF(貼り付け用!N111&lt;&gt;"",貼り付け用!N111,""),"")),
IF(ROW(N111)+2&gt;=MATCH("*【合計】*", 貼り付け用!$A:$A, 0),"",
IF(N$3&lt;&gt;"",IF(貼り付け用!N112&lt;&gt;"",貼り付け用!N112,""),"")))</f>
        <v>#N/A</v>
      </c>
      <c r="O111" s="3" t="e">
        <f>IF(貼り付け用!$A$6&lt;&gt;"",
IF(ROW(O110)+2&gt;=MATCH("*【合計】*", 貼り付け用!$A:$A, 0),"",
IF(O$3&lt;&gt;"",IF(貼り付け用!O111&lt;&gt;"",貼り付け用!O111,""),"")),
IF(ROW(O111)+2&gt;=MATCH("*【合計】*", 貼り付け用!$A:$A, 0),"",
IF(O$3&lt;&gt;"",IF(貼り付け用!O112&lt;&gt;"",貼り付け用!O112,""),"")))</f>
        <v>#N/A</v>
      </c>
      <c r="P111" s="3" t="e">
        <f>IF(貼り付け用!$A$6&lt;&gt;"",
IF(ROW(P110)+2&gt;=MATCH("*【合計】*", 貼り付け用!$A:$A, 0),"",
IF(P$3&lt;&gt;"",IF(貼り付け用!P111&lt;&gt;"",貼り付け用!P111,""),"")),
IF(ROW(P111)+2&gt;=MATCH("*【合計】*", 貼り付け用!$A:$A, 0),"",
IF(P$3&lt;&gt;"",IF(貼り付け用!P112&lt;&gt;"",貼り付け用!P112,""),"")))</f>
        <v>#N/A</v>
      </c>
      <c r="Q111" s="3" t="e">
        <f>IF(貼り付け用!$A$6&lt;&gt;"",
IF(ROW(Q110)+2&gt;=MATCH("*【合計】*", 貼り付け用!$A:$A, 0),"",
IF(Q$3&lt;&gt;"",IF(貼り付け用!Q111&lt;&gt;"",貼り付け用!Q111,""),"")),
IF(ROW(Q111)+2&gt;=MATCH("*【合計】*", 貼り付け用!$A:$A, 0),"",
IF(Q$3&lt;&gt;"",IF(貼り付け用!Q112&lt;&gt;"",貼り付け用!Q112,""),"")))</f>
        <v>#N/A</v>
      </c>
      <c r="R111" s="3" t="e">
        <f>IF(貼り付け用!$A$6&lt;&gt;"",
IF(ROW(R110)+2&gt;=MATCH("*【合計】*", 貼り付け用!$A:$A, 0),"",
IF(R$3&lt;&gt;"",IF(貼り付け用!R111&lt;&gt;"",貼り付け用!R111,""),"")),
IF(ROW(R111)+2&gt;=MATCH("*【合計】*", 貼り付け用!$A:$A, 0),"",
IF(R$3&lt;&gt;"",IF(貼り付け用!R112&lt;&gt;"",貼り付け用!R112,""),"")))</f>
        <v>#N/A</v>
      </c>
      <c r="S111" s="3" t="e">
        <f>IF(貼り付け用!$A$6&lt;&gt;"",
IF(ROW(S110)+2&gt;=MATCH("*【合計】*", 貼り付け用!$A:$A, 0),"",
IF(S$3&lt;&gt;"",IF(貼り付け用!S111&lt;&gt;"",貼り付け用!S111,""),"")),
IF(ROW(S111)+2&gt;=MATCH("*【合計】*", 貼り付け用!$A:$A, 0),"",
IF(S$3&lt;&gt;"",IF(貼り付け用!S112&lt;&gt;"",貼り付け用!S112,""),"")))</f>
        <v>#N/A</v>
      </c>
      <c r="T111" s="2" t="e">
        <f t="array" ref="T111">IF(貼り付け用!$A$6&lt;&gt;"",
IF(INDEX(貼り付け用!A:Z, ROW(T110)+1, MATCH("おやつ", 貼り付け用!$A$3:$Z$3, 0))&lt;&gt;0,
INDEX(貼り付け用!A:Z, ROW(T110)+1, MATCH("おやつ", 貼り付け用!$A$3:$Z$3, 0)),""),
IF(INDEX(貼り付け用!A:Z, ROW(T111)+1, MATCH("おやつ", 貼り付け用!$A$3:$Z$3, 0))&lt;&gt;0,
INDEX(貼り付け用!A:Z, ROW(T111)+1, MATCH("おやつ", 貼り付け用!$A$3:$Z$3, 0)),""))</f>
        <v>#N/A</v>
      </c>
      <c r="U111" s="52"/>
      <c r="V111" s="8" t="e">
        <f t="array" ref="V111">IF(貼り付け用!$A$6&lt;&gt;"",
IF(INDEX(貼り付け用!A:Z, ROW(T110)+1, MATCH("おやつ", 貼り付け用!$A$3:$Z$3, 0)+1)&lt;&gt;0,
INDEX(貼り付け用!A:Z, ROW(T110)+1, MATCH("おやつ", 貼り付け用!$A$3:$Z$3, 0)+1),""),
IF(INDEX(貼り付け用!A:Z, ROW(T111)+1, MATCH("おやつ", 貼り付け用!$A$3:$Z$3, 0)+1)&lt;&gt;0,
INDEX(貼り付け用!A:Z, ROW(T111)+1, MATCH("おやつ", 貼り付け用!$A$3:$Z$3, 0)+1),""))</f>
        <v>#N/A</v>
      </c>
      <c r="W111" s="9" t="e">
        <f t="array" ref="W111">IF(貼り付け用!$A$6&lt;&gt;"",
IF(INDEX(貼り付け用!A:Z, ROW(T110)+1, MATCH("おやつ", 貼り付け用!$A$3:$Z$3, 0)+2)&lt;&gt;0,
INDEX(貼り付け用!A:Z, ROW(T110)+1, MATCH("おやつ", 貼り付け用!$A$3:$Z$3, 0)+2),""),
IF(INDEX(貼り付け用!A:Z, ROW(T111)+1, MATCH("おやつ", 貼り付け用!$A$3:$Z$3, 0)+2)&lt;&gt;0,
INDEX(貼り付け用!A:Z, ROW(T111)+1, MATCH("おやつ", 貼り付け用!$A$3:$Z$3, 0)+2),""))</f>
        <v>#N/A</v>
      </c>
    </row>
    <row r="112" spans="1:23" x14ac:dyDescent="0.45">
      <c r="A112" s="4" t="e">
        <f>IF(貼り付け用!$A$6&lt;&gt;"",
IF(ROW(A111)+1&gt;=MATCH("*10000*", 貼り付け用!$A:$A, 0),
IF(COUNTIF(A110,"*10000*"),"10001",
IF(COUNTIF(A110,"*10001*"),"10002",
IF(COUNTIF(A110,"*10002*"),"",
IF(COUNTIF(A110,""),"","10000")))),
IF(貼り付け用!A112&lt;&gt;"",貼り付け用!A112,"")),
IF(ROW(A112)+1&gt;=MATCH("*10000*", 貼り付け用!$A:$A, 0),
IF(COUNTIF(A110,"*10000*"),"10001",
IF(COUNTIF(A110,"*10001*"),"10002",
IF(COUNTIF(A110,"*10002*"),"",
IF(COUNTIF(A110,""),"","10000")))),
IF(貼り付け用!A113&lt;&gt;"",貼り付け用!A113,"")))</f>
        <v>#N/A</v>
      </c>
      <c r="B112" s="19" t="e">
        <f>IF(貼り付け用!$A$6&lt;&gt;"",
IF(ROW(B111)+2&gt;=MATCH("*【合計】*", 貼り付け用!$A:$A, 0),"",
IF(貼り付け用!B112&lt;&gt;"",貼り付け用!B112,"")),
IF(ROW(B112)+2&gt;=MATCH("*【合計】*", 貼り付け用!$A:$A, 0),"",
IF(貼り付け用!B113&lt;&gt;"",貼り付け用!B113,"")))</f>
        <v>#N/A</v>
      </c>
      <c r="C112" s="19" t="e">
        <f>IF(貼り付け用!$A$6&lt;&gt;"",
IF(ROW(C111)+2&gt;=MATCH("*【合計】*", 貼り付け用!$A:$A, 0),"",
IF(貼り付け用!C112&lt;&gt;"",貼り付け用!C112,"")),
IF(ROW(C112)+2&gt;=MATCH("*【合計】*", 貼り付け用!$A:$A, 0),"",
IF(貼り付け用!C113&lt;&gt;"",貼り付け用!C113,"")))</f>
        <v>#N/A</v>
      </c>
      <c r="D112" s="19" t="e">
        <f>IF(貼り付け用!$A$6&lt;&gt;"",
IF(ROW(D111)+2&gt;=MATCH("*【合計】*", 貼り付け用!$A:$A, 0),"",
IF(貼り付け用!D112&lt;&gt;"",貼り付け用!D112,"")),
IF(ROW(D112)+2&gt;=MATCH("*【合計】*", 貼り付け用!$A:$A, 0),"",
IF(貼り付け用!D113&lt;&gt;"",貼り付け用!D113,"")))</f>
        <v>#N/A</v>
      </c>
      <c r="E112" s="19" t="e">
        <f>IF(貼り付け用!$A$6&lt;&gt;"",
IF(ROW(E111)+2&gt;=MATCH("*【合計】*", 貼り付け用!$A:$A, 0),"",
IF(貼り付け用!E112&lt;&gt;"",貼り付け用!E112,"")),
IF(ROW(E112)+2&gt;=MATCH("*【合計】*", 貼り付け用!$A:$A, 0),"",
IF(貼り付け用!E113&lt;&gt;"",貼り付け用!E113,"")))</f>
        <v>#N/A</v>
      </c>
      <c r="F112" s="19" t="e">
        <f>IF(貼り付け用!$A$6&lt;&gt;"",
IF(ROW(F111)+2&gt;=MATCH("*【合計】*", 貼り付け用!$A:$A, 0),"",
IF(貼り付け用!F112&lt;&gt;"",貼り付け用!F112,"")),
IF(ROW(F112)+2&gt;=MATCH("*【合計】*", 貼り付け用!$A:$A, 0),"",
IF(貼り付け用!F113&lt;&gt;"",貼り付け用!F113,"")))</f>
        <v>#N/A</v>
      </c>
      <c r="G112" s="19" t="e">
        <f>IF(貼り付け用!$A$6&lt;&gt;"",
IF(ROW(G111)+2&gt;=MATCH("*【合計】*", 貼り付け用!$A:$A, 0),"",
IF(貼り付け用!G112&lt;&gt;"",貼り付け用!G112,"")),
IF(ROW(G112)+2&gt;=MATCH("*【合計】*", 貼り付け用!$A:$A, 0),"",
IF(貼り付け用!G113&lt;&gt;"",貼り付け用!G113,"")))</f>
        <v>#N/A</v>
      </c>
      <c r="H112" s="19" t="e">
        <f>IF(貼り付け用!$A$6&lt;&gt;"",
IF(ROW(H111)+2&gt;=MATCH("*【合計】*", 貼り付け用!$A:$A, 0),"",
IF(貼り付け用!H112&lt;&gt;"",貼り付け用!H112,"")),
IF(ROW(H112)+2&gt;=MATCH("*【合計】*", 貼り付け用!$A:$A, 0),"",
IF(貼り付け用!H113&lt;&gt;"",貼り付け用!H113,"")))</f>
        <v>#N/A</v>
      </c>
      <c r="I112" s="19" t="e">
        <f>IF(貼り付け用!$A$6&lt;&gt;"",
IF(ROW(I111)+2&gt;=MATCH("*【合計】*", 貼り付け用!$A:$A, 0),"",
IF(貼り付け用!I112&lt;&gt;"",貼り付け用!I112,"")),
IF(ROW(I112)+2&gt;=MATCH("*【合計】*", 貼り付け用!$A:$A, 0),"",
IF(貼り付け用!I113&lt;&gt;"",貼り付け用!I113,"")))</f>
        <v>#N/A</v>
      </c>
      <c r="J112" s="19" t="e">
        <f>IF(貼り付け用!$A$6&lt;&gt;"",
IF(ROW(J111)+2&gt;=MATCH("*【合計】*", 貼り付け用!$A:$A, 0),"",
IF(貼り付け用!J112&lt;&gt;"",貼り付け用!J112,"")),
IF(ROW(J112)+2&gt;=MATCH("*【合計】*", 貼り付け用!$A:$A, 0),"",
IF(貼り付け用!J113&lt;&gt;"",貼り付け用!J113,"")))</f>
        <v>#N/A</v>
      </c>
      <c r="K112" s="19" t="e">
        <f>IF(貼り付け用!$A$6&lt;&gt;"",
IF(ROW(K111)+2&gt;=MATCH("*【合計】*", 貼り付け用!$A:$A, 0),"",
IF(貼り付け用!K112&lt;&gt;"",貼り付け用!K112,"")),
IF(ROW(K112)+2&gt;=MATCH("*【合計】*", 貼り付け用!$A:$A, 0),"",
IF(貼り付け用!K113&lt;&gt;"",貼り付け用!K113,"")))</f>
        <v>#N/A</v>
      </c>
      <c r="L112" s="19" t="e">
        <f>IF(貼り付け用!$A$6&lt;&gt;"",
IF(ROW(L111)+2&gt;=MATCH("*【合計】*", 貼り付け用!$A:$A, 0),"",
IF(L$3&lt;&gt;"",IF(貼り付け用!L112&lt;&gt;"",貼り付け用!L112,""),"")),
IF(ROW(L112)+2&gt;=MATCH("*【合計】*", 貼り付け用!$A:$A, 0),"",
IF(L$3&lt;&gt;"",IF(貼り付け用!L113&lt;&gt;"",貼り付け用!L113,""),"")))</f>
        <v>#N/A</v>
      </c>
      <c r="M112" s="19" t="e">
        <f>IF(貼り付け用!$A$6&lt;&gt;"",
IF(ROW(M111)+2&gt;=MATCH("*【合計】*", 貼り付け用!$A:$A, 0),"",
IF(M$3&lt;&gt;"",IF(貼り付け用!M112&lt;&gt;"",貼り付け用!M112,""),"")),
IF(ROW(M112)+2&gt;=MATCH("*【合計】*", 貼り付け用!$A:$A, 0),"",
IF(M$3&lt;&gt;"",IF(貼り付け用!M113&lt;&gt;"",貼り付け用!M113,""),"")))</f>
        <v>#N/A</v>
      </c>
      <c r="N112" s="19" t="e">
        <f>IF(貼り付け用!$A$6&lt;&gt;"",
IF(ROW(N111)+2&gt;=MATCH("*【合計】*", 貼り付け用!$A:$A, 0),"",
IF(N$3&lt;&gt;"",IF(貼り付け用!N112&lt;&gt;"",貼り付け用!N112,""),"")),
IF(ROW(N112)+2&gt;=MATCH("*【合計】*", 貼り付け用!$A:$A, 0),"",
IF(N$3&lt;&gt;"",IF(貼り付け用!N113&lt;&gt;"",貼り付け用!N113,""),"")))</f>
        <v>#N/A</v>
      </c>
      <c r="O112" s="19" t="e">
        <f>IF(貼り付け用!$A$6&lt;&gt;"",
IF(ROW(O111)+2&gt;=MATCH("*【合計】*", 貼り付け用!$A:$A, 0),"",
IF(O$3&lt;&gt;"",IF(貼り付け用!O112&lt;&gt;"",貼り付け用!O112,""),"")),
IF(ROW(O112)+2&gt;=MATCH("*【合計】*", 貼り付け用!$A:$A, 0),"",
IF(O$3&lt;&gt;"",IF(貼り付け用!O113&lt;&gt;"",貼り付け用!O113,""),"")))</f>
        <v>#N/A</v>
      </c>
      <c r="P112" s="19" t="e">
        <f>IF(貼り付け用!$A$6&lt;&gt;"",
IF(ROW(P111)+2&gt;=MATCH("*【合計】*", 貼り付け用!$A:$A, 0),"",
IF(P$3&lt;&gt;"",IF(貼り付け用!P112&lt;&gt;"",貼り付け用!P112,""),"")),
IF(ROW(P112)+2&gt;=MATCH("*【合計】*", 貼り付け用!$A:$A, 0),"",
IF(P$3&lt;&gt;"",IF(貼り付け用!P113&lt;&gt;"",貼り付け用!P113,""),"")))</f>
        <v>#N/A</v>
      </c>
      <c r="Q112" s="19" t="e">
        <f>IF(貼り付け用!$A$6&lt;&gt;"",
IF(ROW(Q111)+2&gt;=MATCH("*【合計】*", 貼り付け用!$A:$A, 0),"",
IF(Q$3&lt;&gt;"",IF(貼り付け用!Q112&lt;&gt;"",貼り付け用!Q112,""),"")),
IF(ROW(Q112)+2&gt;=MATCH("*【合計】*", 貼り付け用!$A:$A, 0),"",
IF(Q$3&lt;&gt;"",IF(貼り付け用!Q113&lt;&gt;"",貼り付け用!Q113,""),"")))</f>
        <v>#N/A</v>
      </c>
      <c r="R112" s="19" t="e">
        <f>IF(貼り付け用!$A$6&lt;&gt;"",
IF(ROW(R111)+2&gt;=MATCH("*【合計】*", 貼り付け用!$A:$A, 0),"",
IF(R$3&lt;&gt;"",IF(貼り付け用!R112&lt;&gt;"",貼り付け用!R112,""),"")),
IF(ROW(R112)+2&gt;=MATCH("*【合計】*", 貼り付け用!$A:$A, 0),"",
IF(R$3&lt;&gt;"",IF(貼り付け用!R113&lt;&gt;"",貼り付け用!R113,""),"")))</f>
        <v>#N/A</v>
      </c>
      <c r="S112" s="19" t="e">
        <f>IF(貼り付け用!$A$6&lt;&gt;"",
IF(ROW(S111)+2&gt;=MATCH("*【合計】*", 貼り付け用!$A:$A, 0),"",
IF(S$3&lt;&gt;"",IF(貼り付け用!S112&lt;&gt;"",貼り付け用!S112,""),"")),
IF(ROW(S112)+2&gt;=MATCH("*【合計】*", 貼り付け用!$A:$A, 0),"",
IF(S$3&lt;&gt;"",IF(貼り付け用!S113&lt;&gt;"",貼り付け用!S113,""),"")))</f>
        <v>#N/A</v>
      </c>
      <c r="T112" s="19" t="e">
        <f t="array" ref="T112">IF(貼り付け用!$A$6&lt;&gt;"",
IF(INDEX(貼り付け用!A:Z, ROW(T111)+1, MATCH("おやつ", 貼り付け用!$A$3:$Z$3, 0))&lt;&gt;0,
INDEX(貼り付け用!A:Z, ROW(T111)+1, MATCH("おやつ", 貼り付け用!$A$3:$Z$3, 0)),""),
IF(INDEX(貼り付け用!A:Z, ROW(T112)+1, MATCH("おやつ", 貼り付け用!$A$3:$Z$3, 0))&lt;&gt;0,
INDEX(貼り付け用!A:Z, ROW(T112)+1, MATCH("おやつ", 貼り付け用!$A$3:$Z$3, 0)),""))</f>
        <v>#N/A</v>
      </c>
      <c r="U112" s="16"/>
      <c r="V112" s="5" t="e">
        <f t="array" ref="V112">IF(貼り付け用!$A$6&lt;&gt;"",
IF(INDEX(貼り付け用!A:Z, ROW(T111)+1, MATCH("おやつ", 貼り付け用!$A$3:$Z$3, 0)+1)&lt;&gt;0,
INDEX(貼り付け用!A:Z, ROW(T111)+1, MATCH("おやつ", 貼り付け用!$A$3:$Z$3, 0)+1),""),
IF(INDEX(貼り付け用!A:Z, ROW(T112)+1, MATCH("おやつ", 貼り付け用!$A$3:$Z$3, 0)+1)&lt;&gt;0,
INDEX(貼り付け用!A:Z, ROW(T112)+1, MATCH("おやつ", 貼り付け用!$A$3:$Z$3, 0)+1),""))</f>
        <v>#N/A</v>
      </c>
      <c r="W112" s="7" t="e">
        <f t="array" ref="W112">IF(貼り付け用!$A$6&lt;&gt;"",
IF(INDEX(貼り付け用!A:Z, ROW(T111)+1, MATCH("おやつ", 貼り付け用!$A$3:$Z$3, 0)+2)&lt;&gt;0,
INDEX(貼り付け用!A:Z, ROW(T111)+1, MATCH("おやつ", 貼り付け用!$A$3:$Z$3, 0)+2),""),
IF(INDEX(貼り付け用!A:Z, ROW(T112)+1, MATCH("おやつ", 貼り付け用!$A$3:$Z$3, 0)+2)&lt;&gt;0,
INDEX(貼り付け用!A:Z, ROW(T112)+1, MATCH("おやつ", 貼り付け用!$A$3:$Z$3, 0)+2),""))</f>
        <v>#N/A</v>
      </c>
    </row>
    <row r="113" spans="1:23" x14ac:dyDescent="0.45">
      <c r="A113" s="10" t="e">
        <f>IF(貼り付け用!$A$6&lt;&gt;"",
IF(ROW(A112)+1&gt;=MATCH("*10000*", 貼り付け用!$A:$A, 0),"",
IF(貼り付け用!A113&lt;&gt;"",貼り付け用!A113,"")),
IF(ROW(A113)+1&gt;=MATCH("*10000*", 貼り付け用!$A:$A, 0),"",
IF(貼り付け用!A114&lt;&gt;"",貼り付け用!A114,"")))</f>
        <v>#N/A</v>
      </c>
      <c r="B113" s="3" t="e">
        <f>IF(貼り付け用!$A$6&lt;&gt;"",
IF(ROW(B112)+2&gt;=MATCH("*【合計】*", 貼り付け用!$A:$A, 0),"",
IF(貼り付け用!B113&lt;&gt;"",貼り付け用!B113,"")),
IF(ROW(B113)+2&gt;=MATCH("*【合計】*", 貼り付け用!$A:$A, 0),"",
IF(貼り付け用!B114&lt;&gt;"",貼り付け用!B114,"")))</f>
        <v>#N/A</v>
      </c>
      <c r="C113" s="3" t="e">
        <f>IF(貼り付け用!$A$6&lt;&gt;"",
IF(ROW(C112)+2&gt;=MATCH("*【合計】*", 貼り付け用!$A:$A, 0),"",
IF(貼り付け用!C113&lt;&gt;"",貼り付け用!C113,"")),
IF(ROW(C113)+2&gt;=MATCH("*【合計】*", 貼り付け用!$A:$A, 0),"",
IF(貼り付け用!C114&lt;&gt;"",貼り付け用!C114,"")))</f>
        <v>#N/A</v>
      </c>
      <c r="D113" s="3" t="e">
        <f>IF(貼り付け用!$A$6&lt;&gt;"",
IF(ROW(D112)+2&gt;=MATCH("*【合計】*", 貼り付け用!$A:$A, 0),"",
IF(貼り付け用!D113&lt;&gt;"",貼り付け用!D113,"")),
IF(ROW(D113)+2&gt;=MATCH("*【合計】*", 貼り付け用!$A:$A, 0),"",
IF(貼り付け用!D114&lt;&gt;"",貼り付け用!D114,"")))</f>
        <v>#N/A</v>
      </c>
      <c r="E113" s="3" t="e">
        <f>IF(貼り付け用!$A$6&lt;&gt;"",
IF(ROW(E112)+2&gt;=MATCH("*【合計】*", 貼り付け用!$A:$A, 0),"",
IF(貼り付け用!E113&lt;&gt;"",貼り付け用!E113,"")),
IF(ROW(E113)+2&gt;=MATCH("*【合計】*", 貼り付け用!$A:$A, 0),"",
IF(貼り付け用!E114&lt;&gt;"",貼り付け用!E114,"")))</f>
        <v>#N/A</v>
      </c>
      <c r="F113" s="3" t="e">
        <f>IF(貼り付け用!$A$6&lt;&gt;"",
IF(ROW(F112)+2&gt;=MATCH("*【合計】*", 貼り付け用!$A:$A, 0),"",
IF(貼り付け用!F113&lt;&gt;"",貼り付け用!F113,"")),
IF(ROW(F113)+2&gt;=MATCH("*【合計】*", 貼り付け用!$A:$A, 0),"",
IF(貼り付け用!F114&lt;&gt;"",貼り付け用!F114,"")))</f>
        <v>#N/A</v>
      </c>
      <c r="G113" s="3" t="e">
        <f>IF(貼り付け用!$A$6&lt;&gt;"",
IF(ROW(G112)+2&gt;=MATCH("*【合計】*", 貼り付け用!$A:$A, 0),"",
IF(貼り付け用!G113&lt;&gt;"",貼り付け用!G113,"")),
IF(ROW(G113)+2&gt;=MATCH("*【合計】*", 貼り付け用!$A:$A, 0),"",
IF(貼り付け用!G114&lt;&gt;"",貼り付け用!G114,"")))</f>
        <v>#N/A</v>
      </c>
      <c r="H113" s="3" t="e">
        <f>IF(貼り付け用!$A$6&lt;&gt;"",
IF(ROW(H112)+2&gt;=MATCH("*【合計】*", 貼り付け用!$A:$A, 0),"",
IF(貼り付け用!H113&lt;&gt;"",貼り付け用!H113,"")),
IF(ROW(H113)+2&gt;=MATCH("*【合計】*", 貼り付け用!$A:$A, 0),"",
IF(貼り付け用!H114&lt;&gt;"",貼り付け用!H114,"")))</f>
        <v>#N/A</v>
      </c>
      <c r="I113" s="3" t="e">
        <f>IF(貼り付け用!$A$6&lt;&gt;"",
IF(ROW(I112)+2&gt;=MATCH("*【合計】*", 貼り付け用!$A:$A, 0),"",
IF(貼り付け用!I113&lt;&gt;"",貼り付け用!I113,"")),
IF(ROW(I113)+2&gt;=MATCH("*【合計】*", 貼り付け用!$A:$A, 0),"",
IF(貼り付け用!I114&lt;&gt;"",貼り付け用!I114,"")))</f>
        <v>#N/A</v>
      </c>
      <c r="J113" s="3" t="e">
        <f>IF(貼り付け用!$A$6&lt;&gt;"",
IF(ROW(J112)+2&gt;=MATCH("*【合計】*", 貼り付け用!$A:$A, 0),"",
IF(貼り付け用!J113&lt;&gt;"",貼り付け用!J113,"")),
IF(ROW(J113)+2&gt;=MATCH("*【合計】*", 貼り付け用!$A:$A, 0),"",
IF(貼り付け用!J114&lt;&gt;"",貼り付け用!J114,"")))</f>
        <v>#N/A</v>
      </c>
      <c r="K113" s="3" t="e">
        <f>IF(貼り付け用!$A$6&lt;&gt;"",
IF(ROW(K112)+2&gt;=MATCH("*【合計】*", 貼り付け用!$A:$A, 0),"",
IF(貼り付け用!K113&lt;&gt;"",貼り付け用!K113,"")),
IF(ROW(K113)+2&gt;=MATCH("*【合計】*", 貼り付け用!$A:$A, 0),"",
IF(貼り付け用!K114&lt;&gt;"",貼り付け用!K114,"")))</f>
        <v>#N/A</v>
      </c>
      <c r="L113" s="3" t="e">
        <f>IF(貼り付け用!$A$6&lt;&gt;"",
IF(ROW(L112)+2&gt;=MATCH("*【合計】*", 貼り付け用!$A:$A, 0),"",
IF(L$3&lt;&gt;"",IF(貼り付け用!L113&lt;&gt;"",貼り付け用!L113,""),"")),
IF(ROW(L113)+2&gt;=MATCH("*【合計】*", 貼り付け用!$A:$A, 0),"",
IF(L$3&lt;&gt;"",IF(貼り付け用!L114&lt;&gt;"",貼り付け用!L114,""),"")))</f>
        <v>#N/A</v>
      </c>
      <c r="M113" s="3" t="e">
        <f>IF(貼り付け用!$A$6&lt;&gt;"",
IF(ROW(M112)+2&gt;=MATCH("*【合計】*", 貼り付け用!$A:$A, 0),"",
IF(M$3&lt;&gt;"",IF(貼り付け用!M113&lt;&gt;"",貼り付け用!M113,""),"")),
IF(ROW(M113)+2&gt;=MATCH("*【合計】*", 貼り付け用!$A:$A, 0),"",
IF(M$3&lt;&gt;"",IF(貼り付け用!M114&lt;&gt;"",貼り付け用!M114,""),"")))</f>
        <v>#N/A</v>
      </c>
      <c r="N113" s="3" t="e">
        <f>IF(貼り付け用!$A$6&lt;&gt;"",
IF(ROW(N112)+2&gt;=MATCH("*【合計】*", 貼り付け用!$A:$A, 0),"",
IF(N$3&lt;&gt;"",IF(貼り付け用!N113&lt;&gt;"",貼り付け用!N113,""),"")),
IF(ROW(N113)+2&gt;=MATCH("*【合計】*", 貼り付け用!$A:$A, 0),"",
IF(N$3&lt;&gt;"",IF(貼り付け用!N114&lt;&gt;"",貼り付け用!N114,""),"")))</f>
        <v>#N/A</v>
      </c>
      <c r="O113" s="3" t="e">
        <f>IF(貼り付け用!$A$6&lt;&gt;"",
IF(ROW(O112)+2&gt;=MATCH("*【合計】*", 貼り付け用!$A:$A, 0),"",
IF(O$3&lt;&gt;"",IF(貼り付け用!O113&lt;&gt;"",貼り付け用!O113,""),"")),
IF(ROW(O113)+2&gt;=MATCH("*【合計】*", 貼り付け用!$A:$A, 0),"",
IF(O$3&lt;&gt;"",IF(貼り付け用!O114&lt;&gt;"",貼り付け用!O114,""),"")))</f>
        <v>#N/A</v>
      </c>
      <c r="P113" s="3" t="e">
        <f>IF(貼り付け用!$A$6&lt;&gt;"",
IF(ROW(P112)+2&gt;=MATCH("*【合計】*", 貼り付け用!$A:$A, 0),"",
IF(P$3&lt;&gt;"",IF(貼り付け用!P113&lt;&gt;"",貼り付け用!P113,""),"")),
IF(ROW(P113)+2&gt;=MATCH("*【合計】*", 貼り付け用!$A:$A, 0),"",
IF(P$3&lt;&gt;"",IF(貼り付け用!P114&lt;&gt;"",貼り付け用!P114,""),"")))</f>
        <v>#N/A</v>
      </c>
      <c r="Q113" s="3" t="e">
        <f>IF(貼り付け用!$A$6&lt;&gt;"",
IF(ROW(Q112)+2&gt;=MATCH("*【合計】*", 貼り付け用!$A:$A, 0),"",
IF(Q$3&lt;&gt;"",IF(貼り付け用!Q113&lt;&gt;"",貼り付け用!Q113,""),"")),
IF(ROW(Q113)+2&gt;=MATCH("*【合計】*", 貼り付け用!$A:$A, 0),"",
IF(Q$3&lt;&gt;"",IF(貼り付け用!Q114&lt;&gt;"",貼り付け用!Q114,""),"")))</f>
        <v>#N/A</v>
      </c>
      <c r="R113" s="3" t="e">
        <f>IF(貼り付け用!$A$6&lt;&gt;"",
IF(ROW(R112)+2&gt;=MATCH("*【合計】*", 貼り付け用!$A:$A, 0),"",
IF(R$3&lt;&gt;"",IF(貼り付け用!R113&lt;&gt;"",貼り付け用!R113,""),"")),
IF(ROW(R113)+2&gt;=MATCH("*【合計】*", 貼り付け用!$A:$A, 0),"",
IF(R$3&lt;&gt;"",IF(貼り付け用!R114&lt;&gt;"",貼り付け用!R114,""),"")))</f>
        <v>#N/A</v>
      </c>
      <c r="S113" s="3" t="e">
        <f>IF(貼り付け用!$A$6&lt;&gt;"",
IF(ROW(S112)+2&gt;=MATCH("*【合計】*", 貼り付け用!$A:$A, 0),"",
IF(S$3&lt;&gt;"",IF(貼り付け用!S113&lt;&gt;"",貼り付け用!S113,""),"")),
IF(ROW(S113)+2&gt;=MATCH("*【合計】*", 貼り付け用!$A:$A, 0),"",
IF(S$3&lt;&gt;"",IF(貼り付け用!S114&lt;&gt;"",貼り付け用!S114,""),"")))</f>
        <v>#N/A</v>
      </c>
      <c r="T113" s="2" t="e">
        <f t="array" ref="T113">IF(貼り付け用!$A$6&lt;&gt;"",
IF(INDEX(貼り付け用!A:Z, ROW(T112)+1, MATCH("おやつ", 貼り付け用!$A$3:$Z$3, 0))&lt;&gt;0,
INDEX(貼り付け用!A:Z, ROW(T112)+1, MATCH("おやつ", 貼り付け用!$A$3:$Z$3, 0)),""),
IF(INDEX(貼り付け用!A:Z, ROW(T113)+1, MATCH("おやつ", 貼り付け用!$A$3:$Z$3, 0))&lt;&gt;0,
INDEX(貼り付け用!A:Z, ROW(T113)+1, MATCH("おやつ", 貼り付け用!$A$3:$Z$3, 0)),""))</f>
        <v>#N/A</v>
      </c>
      <c r="U113" s="52"/>
      <c r="V113" s="8" t="e">
        <f t="array" ref="V113">IF(貼り付け用!$A$6&lt;&gt;"",
IF(INDEX(貼り付け用!A:Z, ROW(T112)+1, MATCH("おやつ", 貼り付け用!$A$3:$Z$3, 0)+1)&lt;&gt;0,
INDEX(貼り付け用!A:Z, ROW(T112)+1, MATCH("おやつ", 貼り付け用!$A$3:$Z$3, 0)+1),""),
IF(INDEX(貼り付け用!A:Z, ROW(T113)+1, MATCH("おやつ", 貼り付け用!$A$3:$Z$3, 0)+1)&lt;&gt;0,
INDEX(貼り付け用!A:Z, ROW(T113)+1, MATCH("おやつ", 貼り付け用!$A$3:$Z$3, 0)+1),""))</f>
        <v>#N/A</v>
      </c>
      <c r="W113" s="9" t="e">
        <f t="array" ref="W113">IF(貼り付け用!$A$6&lt;&gt;"",
IF(INDEX(貼り付け用!A:Z, ROW(T112)+1, MATCH("おやつ", 貼り付け用!$A$3:$Z$3, 0)+2)&lt;&gt;0,
INDEX(貼り付け用!A:Z, ROW(T112)+1, MATCH("おやつ", 貼り付け用!$A$3:$Z$3, 0)+2),""),
IF(INDEX(貼り付け用!A:Z, ROW(T113)+1, MATCH("おやつ", 貼り付け用!$A$3:$Z$3, 0)+2)&lt;&gt;0,
INDEX(貼り付け用!A:Z, ROW(T113)+1, MATCH("おやつ", 貼り付け用!$A$3:$Z$3, 0)+2),""))</f>
        <v>#N/A</v>
      </c>
    </row>
    <row r="114" spans="1:23" x14ac:dyDescent="0.45">
      <c r="A114" s="4" t="e">
        <f>IF(貼り付け用!$A$6&lt;&gt;"",
IF(ROW(A113)+1&gt;=MATCH("*10000*", 貼り付け用!$A:$A, 0),
IF(COUNTIF(A112,"*10000*"),"10001",
IF(COUNTIF(A112,"*10001*"),"10002",
IF(COUNTIF(A112,"*10002*"),"",
IF(COUNTIF(A112,""),"","10000")))),
IF(貼り付け用!A114&lt;&gt;"",貼り付け用!A114,"")),
IF(ROW(A114)+1&gt;=MATCH("*10000*", 貼り付け用!$A:$A, 0),
IF(COUNTIF(A112,"*10000*"),"10001",
IF(COUNTIF(A112,"*10001*"),"10002",
IF(COUNTIF(A112,"*10002*"),"",
IF(COUNTIF(A112,""),"","10000")))),
IF(貼り付け用!A115&lt;&gt;"",貼り付け用!A115,"")))</f>
        <v>#N/A</v>
      </c>
      <c r="B114" s="19" t="e">
        <f>IF(貼り付け用!$A$6&lt;&gt;"",
IF(ROW(B113)+2&gt;=MATCH("*【合計】*", 貼り付け用!$A:$A, 0),"",
IF(貼り付け用!B114&lt;&gt;"",貼り付け用!B114,"")),
IF(ROW(B114)+2&gt;=MATCH("*【合計】*", 貼り付け用!$A:$A, 0),"",
IF(貼り付け用!B115&lt;&gt;"",貼り付け用!B115,"")))</f>
        <v>#N/A</v>
      </c>
      <c r="C114" s="19" t="e">
        <f>IF(貼り付け用!$A$6&lt;&gt;"",
IF(ROW(C113)+2&gt;=MATCH("*【合計】*", 貼り付け用!$A:$A, 0),"",
IF(貼り付け用!C114&lt;&gt;"",貼り付け用!C114,"")),
IF(ROW(C114)+2&gt;=MATCH("*【合計】*", 貼り付け用!$A:$A, 0),"",
IF(貼り付け用!C115&lt;&gt;"",貼り付け用!C115,"")))</f>
        <v>#N/A</v>
      </c>
      <c r="D114" s="19" t="e">
        <f>IF(貼り付け用!$A$6&lt;&gt;"",
IF(ROW(D113)+2&gt;=MATCH("*【合計】*", 貼り付け用!$A:$A, 0),"",
IF(貼り付け用!D114&lt;&gt;"",貼り付け用!D114,"")),
IF(ROW(D114)+2&gt;=MATCH("*【合計】*", 貼り付け用!$A:$A, 0),"",
IF(貼り付け用!D115&lt;&gt;"",貼り付け用!D115,"")))</f>
        <v>#N/A</v>
      </c>
      <c r="E114" s="19" t="e">
        <f>IF(貼り付け用!$A$6&lt;&gt;"",
IF(ROW(E113)+2&gt;=MATCH("*【合計】*", 貼り付け用!$A:$A, 0),"",
IF(貼り付け用!E114&lt;&gt;"",貼り付け用!E114,"")),
IF(ROW(E114)+2&gt;=MATCH("*【合計】*", 貼り付け用!$A:$A, 0),"",
IF(貼り付け用!E115&lt;&gt;"",貼り付け用!E115,"")))</f>
        <v>#N/A</v>
      </c>
      <c r="F114" s="19" t="e">
        <f>IF(貼り付け用!$A$6&lt;&gt;"",
IF(ROW(F113)+2&gt;=MATCH("*【合計】*", 貼り付け用!$A:$A, 0),"",
IF(貼り付け用!F114&lt;&gt;"",貼り付け用!F114,"")),
IF(ROW(F114)+2&gt;=MATCH("*【合計】*", 貼り付け用!$A:$A, 0),"",
IF(貼り付け用!F115&lt;&gt;"",貼り付け用!F115,"")))</f>
        <v>#N/A</v>
      </c>
      <c r="G114" s="19" t="e">
        <f>IF(貼り付け用!$A$6&lt;&gt;"",
IF(ROW(G113)+2&gt;=MATCH("*【合計】*", 貼り付け用!$A:$A, 0),"",
IF(貼り付け用!G114&lt;&gt;"",貼り付け用!G114,"")),
IF(ROW(G114)+2&gt;=MATCH("*【合計】*", 貼り付け用!$A:$A, 0),"",
IF(貼り付け用!G115&lt;&gt;"",貼り付け用!G115,"")))</f>
        <v>#N/A</v>
      </c>
      <c r="H114" s="19" t="e">
        <f>IF(貼り付け用!$A$6&lt;&gt;"",
IF(ROW(H113)+2&gt;=MATCH("*【合計】*", 貼り付け用!$A:$A, 0),"",
IF(貼り付け用!H114&lt;&gt;"",貼り付け用!H114,"")),
IF(ROW(H114)+2&gt;=MATCH("*【合計】*", 貼り付け用!$A:$A, 0),"",
IF(貼り付け用!H115&lt;&gt;"",貼り付け用!H115,"")))</f>
        <v>#N/A</v>
      </c>
      <c r="I114" s="19" t="e">
        <f>IF(貼り付け用!$A$6&lt;&gt;"",
IF(ROW(I113)+2&gt;=MATCH("*【合計】*", 貼り付け用!$A:$A, 0),"",
IF(貼り付け用!I114&lt;&gt;"",貼り付け用!I114,"")),
IF(ROW(I114)+2&gt;=MATCH("*【合計】*", 貼り付け用!$A:$A, 0),"",
IF(貼り付け用!I115&lt;&gt;"",貼り付け用!I115,"")))</f>
        <v>#N/A</v>
      </c>
      <c r="J114" s="19" t="e">
        <f>IF(貼り付け用!$A$6&lt;&gt;"",
IF(ROW(J113)+2&gt;=MATCH("*【合計】*", 貼り付け用!$A:$A, 0),"",
IF(貼り付け用!J114&lt;&gt;"",貼り付け用!J114,"")),
IF(ROW(J114)+2&gt;=MATCH("*【合計】*", 貼り付け用!$A:$A, 0),"",
IF(貼り付け用!J115&lt;&gt;"",貼り付け用!J115,"")))</f>
        <v>#N/A</v>
      </c>
      <c r="K114" s="19" t="e">
        <f>IF(貼り付け用!$A$6&lt;&gt;"",
IF(ROW(K113)+2&gt;=MATCH("*【合計】*", 貼り付け用!$A:$A, 0),"",
IF(貼り付け用!K114&lt;&gt;"",貼り付け用!K114,"")),
IF(ROW(K114)+2&gt;=MATCH("*【合計】*", 貼り付け用!$A:$A, 0),"",
IF(貼り付け用!K115&lt;&gt;"",貼り付け用!K115,"")))</f>
        <v>#N/A</v>
      </c>
      <c r="L114" s="19" t="e">
        <f>IF(貼り付け用!$A$6&lt;&gt;"",
IF(ROW(L113)+2&gt;=MATCH("*【合計】*", 貼り付け用!$A:$A, 0),"",
IF(L$3&lt;&gt;"",IF(貼り付け用!L114&lt;&gt;"",貼り付け用!L114,""),"")),
IF(ROW(L114)+2&gt;=MATCH("*【合計】*", 貼り付け用!$A:$A, 0),"",
IF(L$3&lt;&gt;"",IF(貼り付け用!L115&lt;&gt;"",貼り付け用!L115,""),"")))</f>
        <v>#N/A</v>
      </c>
      <c r="M114" s="19" t="e">
        <f>IF(貼り付け用!$A$6&lt;&gt;"",
IF(ROW(M113)+2&gt;=MATCH("*【合計】*", 貼り付け用!$A:$A, 0),"",
IF(M$3&lt;&gt;"",IF(貼り付け用!M114&lt;&gt;"",貼り付け用!M114,""),"")),
IF(ROW(M114)+2&gt;=MATCH("*【合計】*", 貼り付け用!$A:$A, 0),"",
IF(M$3&lt;&gt;"",IF(貼り付け用!M115&lt;&gt;"",貼り付け用!M115,""),"")))</f>
        <v>#N/A</v>
      </c>
      <c r="N114" s="19" t="e">
        <f>IF(貼り付け用!$A$6&lt;&gt;"",
IF(ROW(N113)+2&gt;=MATCH("*【合計】*", 貼り付け用!$A:$A, 0),"",
IF(N$3&lt;&gt;"",IF(貼り付け用!N114&lt;&gt;"",貼り付け用!N114,""),"")),
IF(ROW(N114)+2&gt;=MATCH("*【合計】*", 貼り付け用!$A:$A, 0),"",
IF(N$3&lt;&gt;"",IF(貼り付け用!N115&lt;&gt;"",貼り付け用!N115,""),"")))</f>
        <v>#N/A</v>
      </c>
      <c r="O114" s="19" t="e">
        <f>IF(貼り付け用!$A$6&lt;&gt;"",
IF(ROW(O113)+2&gt;=MATCH("*【合計】*", 貼り付け用!$A:$A, 0),"",
IF(O$3&lt;&gt;"",IF(貼り付け用!O114&lt;&gt;"",貼り付け用!O114,""),"")),
IF(ROW(O114)+2&gt;=MATCH("*【合計】*", 貼り付け用!$A:$A, 0),"",
IF(O$3&lt;&gt;"",IF(貼り付け用!O115&lt;&gt;"",貼り付け用!O115,""),"")))</f>
        <v>#N/A</v>
      </c>
      <c r="P114" s="19" t="e">
        <f>IF(貼り付け用!$A$6&lt;&gt;"",
IF(ROW(P113)+2&gt;=MATCH("*【合計】*", 貼り付け用!$A:$A, 0),"",
IF(P$3&lt;&gt;"",IF(貼り付け用!P114&lt;&gt;"",貼り付け用!P114,""),"")),
IF(ROW(P114)+2&gt;=MATCH("*【合計】*", 貼り付け用!$A:$A, 0),"",
IF(P$3&lt;&gt;"",IF(貼り付け用!P115&lt;&gt;"",貼り付け用!P115,""),"")))</f>
        <v>#N/A</v>
      </c>
      <c r="Q114" s="19" t="e">
        <f>IF(貼り付け用!$A$6&lt;&gt;"",
IF(ROW(Q113)+2&gt;=MATCH("*【合計】*", 貼り付け用!$A:$A, 0),"",
IF(Q$3&lt;&gt;"",IF(貼り付け用!Q114&lt;&gt;"",貼り付け用!Q114,""),"")),
IF(ROW(Q114)+2&gt;=MATCH("*【合計】*", 貼り付け用!$A:$A, 0),"",
IF(Q$3&lt;&gt;"",IF(貼り付け用!Q115&lt;&gt;"",貼り付け用!Q115,""),"")))</f>
        <v>#N/A</v>
      </c>
      <c r="R114" s="19" t="e">
        <f>IF(貼り付け用!$A$6&lt;&gt;"",
IF(ROW(R113)+2&gt;=MATCH("*【合計】*", 貼り付け用!$A:$A, 0),"",
IF(R$3&lt;&gt;"",IF(貼り付け用!R114&lt;&gt;"",貼り付け用!R114,""),"")),
IF(ROW(R114)+2&gt;=MATCH("*【合計】*", 貼り付け用!$A:$A, 0),"",
IF(R$3&lt;&gt;"",IF(貼り付け用!R115&lt;&gt;"",貼り付け用!R115,""),"")))</f>
        <v>#N/A</v>
      </c>
      <c r="S114" s="19" t="e">
        <f>IF(貼り付け用!$A$6&lt;&gt;"",
IF(ROW(S113)+2&gt;=MATCH("*【合計】*", 貼り付け用!$A:$A, 0),"",
IF(S$3&lt;&gt;"",IF(貼り付け用!S114&lt;&gt;"",貼り付け用!S114,""),"")),
IF(ROW(S114)+2&gt;=MATCH("*【合計】*", 貼り付け用!$A:$A, 0),"",
IF(S$3&lt;&gt;"",IF(貼り付け用!S115&lt;&gt;"",貼り付け用!S115,""),"")))</f>
        <v>#N/A</v>
      </c>
      <c r="T114" s="19" t="e">
        <f t="array" ref="T114">IF(貼り付け用!$A$6&lt;&gt;"",
IF(INDEX(貼り付け用!A:Z, ROW(T113)+1, MATCH("おやつ", 貼り付け用!$A$3:$Z$3, 0))&lt;&gt;0,
INDEX(貼り付け用!A:Z, ROW(T113)+1, MATCH("おやつ", 貼り付け用!$A$3:$Z$3, 0)),""),
IF(INDEX(貼り付け用!A:Z, ROW(T114)+1, MATCH("おやつ", 貼り付け用!$A$3:$Z$3, 0))&lt;&gt;0,
INDEX(貼り付け用!A:Z, ROW(T114)+1, MATCH("おやつ", 貼り付け用!$A$3:$Z$3, 0)),""))</f>
        <v>#N/A</v>
      </c>
      <c r="U114" s="16"/>
      <c r="V114" s="5" t="e">
        <f t="array" ref="V114">IF(貼り付け用!$A$6&lt;&gt;"",
IF(INDEX(貼り付け用!A:Z, ROW(T113)+1, MATCH("おやつ", 貼り付け用!$A$3:$Z$3, 0)+1)&lt;&gt;0,
INDEX(貼り付け用!A:Z, ROW(T113)+1, MATCH("おやつ", 貼り付け用!$A$3:$Z$3, 0)+1),""),
IF(INDEX(貼り付け用!A:Z, ROW(T114)+1, MATCH("おやつ", 貼り付け用!$A$3:$Z$3, 0)+1)&lt;&gt;0,
INDEX(貼り付け用!A:Z, ROW(T114)+1, MATCH("おやつ", 貼り付け用!$A$3:$Z$3, 0)+1),""))</f>
        <v>#N/A</v>
      </c>
      <c r="W114" s="7" t="e">
        <f t="array" ref="W114">IF(貼り付け用!$A$6&lt;&gt;"",
IF(INDEX(貼り付け用!A:Z, ROW(T113)+1, MATCH("おやつ", 貼り付け用!$A$3:$Z$3, 0)+2)&lt;&gt;0,
INDEX(貼り付け用!A:Z, ROW(T113)+1, MATCH("おやつ", 貼り付け用!$A$3:$Z$3, 0)+2),""),
IF(INDEX(貼り付け用!A:Z, ROW(T114)+1, MATCH("おやつ", 貼り付け用!$A$3:$Z$3, 0)+2)&lt;&gt;0,
INDEX(貼り付け用!A:Z, ROW(T114)+1, MATCH("おやつ", 貼り付け用!$A$3:$Z$3, 0)+2),""))</f>
        <v>#N/A</v>
      </c>
    </row>
    <row r="115" spans="1:23" x14ac:dyDescent="0.45">
      <c r="A115" s="10" t="e">
        <f>IF(貼り付け用!$A$6&lt;&gt;"",
IF(ROW(A114)+1&gt;=MATCH("*10000*", 貼り付け用!$A:$A, 0),"",
IF(貼り付け用!A115&lt;&gt;"",貼り付け用!A115,"")),
IF(ROW(A115)+1&gt;=MATCH("*10000*", 貼り付け用!$A:$A, 0),"",
IF(貼り付け用!A116&lt;&gt;"",貼り付け用!A116,"")))</f>
        <v>#N/A</v>
      </c>
      <c r="B115" s="3" t="e">
        <f>IF(貼り付け用!$A$6&lt;&gt;"",
IF(ROW(B114)+2&gt;=MATCH("*【合計】*", 貼り付け用!$A:$A, 0),"",
IF(貼り付け用!B115&lt;&gt;"",貼り付け用!B115,"")),
IF(ROW(B115)+2&gt;=MATCH("*【合計】*", 貼り付け用!$A:$A, 0),"",
IF(貼り付け用!B116&lt;&gt;"",貼り付け用!B116,"")))</f>
        <v>#N/A</v>
      </c>
      <c r="C115" s="3" t="e">
        <f>IF(貼り付け用!$A$6&lt;&gt;"",
IF(ROW(C114)+2&gt;=MATCH("*【合計】*", 貼り付け用!$A:$A, 0),"",
IF(貼り付け用!C115&lt;&gt;"",貼り付け用!C115,"")),
IF(ROW(C115)+2&gt;=MATCH("*【合計】*", 貼り付け用!$A:$A, 0),"",
IF(貼り付け用!C116&lt;&gt;"",貼り付け用!C116,"")))</f>
        <v>#N/A</v>
      </c>
      <c r="D115" s="3" t="e">
        <f>IF(貼り付け用!$A$6&lt;&gt;"",
IF(ROW(D114)+2&gt;=MATCH("*【合計】*", 貼り付け用!$A:$A, 0),"",
IF(貼り付け用!D115&lt;&gt;"",貼り付け用!D115,"")),
IF(ROW(D115)+2&gt;=MATCH("*【合計】*", 貼り付け用!$A:$A, 0),"",
IF(貼り付け用!D116&lt;&gt;"",貼り付け用!D116,"")))</f>
        <v>#N/A</v>
      </c>
      <c r="E115" s="3" t="e">
        <f>IF(貼り付け用!$A$6&lt;&gt;"",
IF(ROW(E114)+2&gt;=MATCH("*【合計】*", 貼り付け用!$A:$A, 0),"",
IF(貼り付け用!E115&lt;&gt;"",貼り付け用!E115,"")),
IF(ROW(E115)+2&gt;=MATCH("*【合計】*", 貼り付け用!$A:$A, 0),"",
IF(貼り付け用!E116&lt;&gt;"",貼り付け用!E116,"")))</f>
        <v>#N/A</v>
      </c>
      <c r="F115" s="3" t="e">
        <f>IF(貼り付け用!$A$6&lt;&gt;"",
IF(ROW(F114)+2&gt;=MATCH("*【合計】*", 貼り付け用!$A:$A, 0),"",
IF(貼り付け用!F115&lt;&gt;"",貼り付け用!F115,"")),
IF(ROW(F115)+2&gt;=MATCH("*【合計】*", 貼り付け用!$A:$A, 0),"",
IF(貼り付け用!F116&lt;&gt;"",貼り付け用!F116,"")))</f>
        <v>#N/A</v>
      </c>
      <c r="G115" s="3" t="e">
        <f>IF(貼り付け用!$A$6&lt;&gt;"",
IF(ROW(G114)+2&gt;=MATCH("*【合計】*", 貼り付け用!$A:$A, 0),"",
IF(貼り付け用!G115&lt;&gt;"",貼り付け用!G115,"")),
IF(ROW(G115)+2&gt;=MATCH("*【合計】*", 貼り付け用!$A:$A, 0),"",
IF(貼り付け用!G116&lt;&gt;"",貼り付け用!G116,"")))</f>
        <v>#N/A</v>
      </c>
      <c r="H115" s="3" t="e">
        <f>IF(貼り付け用!$A$6&lt;&gt;"",
IF(ROW(H114)+2&gt;=MATCH("*【合計】*", 貼り付け用!$A:$A, 0),"",
IF(貼り付け用!H115&lt;&gt;"",貼り付け用!H115,"")),
IF(ROW(H115)+2&gt;=MATCH("*【合計】*", 貼り付け用!$A:$A, 0),"",
IF(貼り付け用!H116&lt;&gt;"",貼り付け用!H116,"")))</f>
        <v>#N/A</v>
      </c>
      <c r="I115" s="3" t="e">
        <f>IF(貼り付け用!$A$6&lt;&gt;"",
IF(ROW(I114)+2&gt;=MATCH("*【合計】*", 貼り付け用!$A:$A, 0),"",
IF(貼り付け用!I115&lt;&gt;"",貼り付け用!I115,"")),
IF(ROW(I115)+2&gt;=MATCH("*【合計】*", 貼り付け用!$A:$A, 0),"",
IF(貼り付け用!I116&lt;&gt;"",貼り付け用!I116,"")))</f>
        <v>#N/A</v>
      </c>
      <c r="J115" s="3" t="e">
        <f>IF(貼り付け用!$A$6&lt;&gt;"",
IF(ROW(J114)+2&gt;=MATCH("*【合計】*", 貼り付け用!$A:$A, 0),"",
IF(貼り付け用!J115&lt;&gt;"",貼り付け用!J115,"")),
IF(ROW(J115)+2&gt;=MATCH("*【合計】*", 貼り付け用!$A:$A, 0),"",
IF(貼り付け用!J116&lt;&gt;"",貼り付け用!J116,"")))</f>
        <v>#N/A</v>
      </c>
      <c r="K115" s="3" t="e">
        <f>IF(貼り付け用!$A$6&lt;&gt;"",
IF(ROW(K114)+2&gt;=MATCH("*【合計】*", 貼り付け用!$A:$A, 0),"",
IF(貼り付け用!K115&lt;&gt;"",貼り付け用!K115,"")),
IF(ROW(K115)+2&gt;=MATCH("*【合計】*", 貼り付け用!$A:$A, 0),"",
IF(貼り付け用!K116&lt;&gt;"",貼り付け用!K116,"")))</f>
        <v>#N/A</v>
      </c>
      <c r="L115" s="3" t="e">
        <f>IF(貼り付け用!$A$6&lt;&gt;"",
IF(ROW(L114)+2&gt;=MATCH("*【合計】*", 貼り付け用!$A:$A, 0),"",
IF(L$3&lt;&gt;"",IF(貼り付け用!L115&lt;&gt;"",貼り付け用!L115,""),"")),
IF(ROW(L115)+2&gt;=MATCH("*【合計】*", 貼り付け用!$A:$A, 0),"",
IF(L$3&lt;&gt;"",IF(貼り付け用!L116&lt;&gt;"",貼り付け用!L116,""),"")))</f>
        <v>#N/A</v>
      </c>
      <c r="M115" s="3" t="e">
        <f>IF(貼り付け用!$A$6&lt;&gt;"",
IF(ROW(M114)+2&gt;=MATCH("*【合計】*", 貼り付け用!$A:$A, 0),"",
IF(M$3&lt;&gt;"",IF(貼り付け用!M115&lt;&gt;"",貼り付け用!M115,""),"")),
IF(ROW(M115)+2&gt;=MATCH("*【合計】*", 貼り付け用!$A:$A, 0),"",
IF(M$3&lt;&gt;"",IF(貼り付け用!M116&lt;&gt;"",貼り付け用!M116,""),"")))</f>
        <v>#N/A</v>
      </c>
      <c r="N115" s="3" t="e">
        <f>IF(貼り付け用!$A$6&lt;&gt;"",
IF(ROW(N114)+2&gt;=MATCH("*【合計】*", 貼り付け用!$A:$A, 0),"",
IF(N$3&lt;&gt;"",IF(貼り付け用!N115&lt;&gt;"",貼り付け用!N115,""),"")),
IF(ROW(N115)+2&gt;=MATCH("*【合計】*", 貼り付け用!$A:$A, 0),"",
IF(N$3&lt;&gt;"",IF(貼り付け用!N116&lt;&gt;"",貼り付け用!N116,""),"")))</f>
        <v>#N/A</v>
      </c>
      <c r="O115" s="3" t="e">
        <f>IF(貼り付け用!$A$6&lt;&gt;"",
IF(ROW(O114)+2&gt;=MATCH("*【合計】*", 貼り付け用!$A:$A, 0),"",
IF(O$3&lt;&gt;"",IF(貼り付け用!O115&lt;&gt;"",貼り付け用!O115,""),"")),
IF(ROW(O115)+2&gt;=MATCH("*【合計】*", 貼り付け用!$A:$A, 0),"",
IF(O$3&lt;&gt;"",IF(貼り付け用!O116&lt;&gt;"",貼り付け用!O116,""),"")))</f>
        <v>#N/A</v>
      </c>
      <c r="P115" s="3" t="e">
        <f>IF(貼り付け用!$A$6&lt;&gt;"",
IF(ROW(P114)+2&gt;=MATCH("*【合計】*", 貼り付け用!$A:$A, 0),"",
IF(P$3&lt;&gt;"",IF(貼り付け用!P115&lt;&gt;"",貼り付け用!P115,""),"")),
IF(ROW(P115)+2&gt;=MATCH("*【合計】*", 貼り付け用!$A:$A, 0),"",
IF(P$3&lt;&gt;"",IF(貼り付け用!P116&lt;&gt;"",貼り付け用!P116,""),"")))</f>
        <v>#N/A</v>
      </c>
      <c r="Q115" s="3" t="e">
        <f>IF(貼り付け用!$A$6&lt;&gt;"",
IF(ROW(Q114)+2&gt;=MATCH("*【合計】*", 貼り付け用!$A:$A, 0),"",
IF(Q$3&lt;&gt;"",IF(貼り付け用!Q115&lt;&gt;"",貼り付け用!Q115,""),"")),
IF(ROW(Q115)+2&gt;=MATCH("*【合計】*", 貼り付け用!$A:$A, 0),"",
IF(Q$3&lt;&gt;"",IF(貼り付け用!Q116&lt;&gt;"",貼り付け用!Q116,""),"")))</f>
        <v>#N/A</v>
      </c>
      <c r="R115" s="3" t="e">
        <f>IF(貼り付け用!$A$6&lt;&gt;"",
IF(ROW(R114)+2&gt;=MATCH("*【合計】*", 貼り付け用!$A:$A, 0),"",
IF(R$3&lt;&gt;"",IF(貼り付け用!R115&lt;&gt;"",貼り付け用!R115,""),"")),
IF(ROW(R115)+2&gt;=MATCH("*【合計】*", 貼り付け用!$A:$A, 0),"",
IF(R$3&lt;&gt;"",IF(貼り付け用!R116&lt;&gt;"",貼り付け用!R116,""),"")))</f>
        <v>#N/A</v>
      </c>
      <c r="S115" s="3" t="e">
        <f>IF(貼り付け用!$A$6&lt;&gt;"",
IF(ROW(S114)+2&gt;=MATCH("*【合計】*", 貼り付け用!$A:$A, 0),"",
IF(S$3&lt;&gt;"",IF(貼り付け用!S115&lt;&gt;"",貼り付け用!S115,""),"")),
IF(ROW(S115)+2&gt;=MATCH("*【合計】*", 貼り付け用!$A:$A, 0),"",
IF(S$3&lt;&gt;"",IF(貼り付け用!S116&lt;&gt;"",貼り付け用!S116,""),"")))</f>
        <v>#N/A</v>
      </c>
      <c r="T115" s="2" t="e">
        <f t="array" ref="T115">IF(貼り付け用!$A$6&lt;&gt;"",
IF(INDEX(貼り付け用!A:Z, ROW(T114)+1, MATCH("おやつ", 貼り付け用!$A$3:$Z$3, 0))&lt;&gt;0,
INDEX(貼り付け用!A:Z, ROW(T114)+1, MATCH("おやつ", 貼り付け用!$A$3:$Z$3, 0)),""),
IF(INDEX(貼り付け用!A:Z, ROW(T115)+1, MATCH("おやつ", 貼り付け用!$A$3:$Z$3, 0))&lt;&gt;0,
INDEX(貼り付け用!A:Z, ROW(T115)+1, MATCH("おやつ", 貼り付け用!$A$3:$Z$3, 0)),""))</f>
        <v>#N/A</v>
      </c>
      <c r="U115" s="52"/>
      <c r="V115" s="8" t="e">
        <f t="array" ref="V115">IF(貼り付け用!$A$6&lt;&gt;"",
IF(INDEX(貼り付け用!A:Z, ROW(T114)+1, MATCH("おやつ", 貼り付け用!$A$3:$Z$3, 0)+1)&lt;&gt;0,
INDEX(貼り付け用!A:Z, ROW(T114)+1, MATCH("おやつ", 貼り付け用!$A$3:$Z$3, 0)+1),""),
IF(INDEX(貼り付け用!A:Z, ROW(T115)+1, MATCH("おやつ", 貼り付け用!$A$3:$Z$3, 0)+1)&lt;&gt;0,
INDEX(貼り付け用!A:Z, ROW(T115)+1, MATCH("おやつ", 貼り付け用!$A$3:$Z$3, 0)+1),""))</f>
        <v>#N/A</v>
      </c>
      <c r="W115" s="9" t="e">
        <f t="array" ref="W115">IF(貼り付け用!$A$6&lt;&gt;"",
IF(INDEX(貼り付け用!A:Z, ROW(T114)+1, MATCH("おやつ", 貼り付け用!$A$3:$Z$3, 0)+2)&lt;&gt;0,
INDEX(貼り付け用!A:Z, ROW(T114)+1, MATCH("おやつ", 貼り付け用!$A$3:$Z$3, 0)+2),""),
IF(INDEX(貼り付け用!A:Z, ROW(T115)+1, MATCH("おやつ", 貼り付け用!$A$3:$Z$3, 0)+2)&lt;&gt;0,
INDEX(貼り付け用!A:Z, ROW(T115)+1, MATCH("おやつ", 貼り付け用!$A$3:$Z$3, 0)+2),""))</f>
        <v>#N/A</v>
      </c>
    </row>
    <row r="116" spans="1:23" x14ac:dyDescent="0.45">
      <c r="A116" s="4" t="e">
        <f>IF(貼り付け用!$A$6&lt;&gt;"",
IF(ROW(A115)+1&gt;=MATCH("*10000*", 貼り付け用!$A:$A, 0),
IF(COUNTIF(A114,"*10000*"),"10001",
IF(COUNTIF(A114,"*10001*"),"10002",
IF(COUNTIF(A114,"*10002*"),"",
IF(COUNTIF(A114,""),"","10000")))),
IF(貼り付け用!A116&lt;&gt;"",貼り付け用!A116,"")),
IF(ROW(A116)+1&gt;=MATCH("*10000*", 貼り付け用!$A:$A, 0),
IF(COUNTIF(A114,"*10000*"),"10001",
IF(COUNTIF(A114,"*10001*"),"10002",
IF(COUNTIF(A114,"*10002*"),"",
IF(COUNTIF(A114,""),"","10000")))),
IF(貼り付け用!A117&lt;&gt;"",貼り付け用!A117,"")))</f>
        <v>#N/A</v>
      </c>
      <c r="B116" s="19" t="e">
        <f>IF(貼り付け用!$A$6&lt;&gt;"",
IF(ROW(B115)+2&gt;=MATCH("*【合計】*", 貼り付け用!$A:$A, 0),"",
IF(貼り付け用!B116&lt;&gt;"",貼り付け用!B116,"")),
IF(ROW(B116)+2&gt;=MATCH("*【合計】*", 貼り付け用!$A:$A, 0),"",
IF(貼り付け用!B117&lt;&gt;"",貼り付け用!B117,"")))</f>
        <v>#N/A</v>
      </c>
      <c r="C116" s="19" t="e">
        <f>IF(貼り付け用!$A$6&lt;&gt;"",
IF(ROW(C115)+2&gt;=MATCH("*【合計】*", 貼り付け用!$A:$A, 0),"",
IF(貼り付け用!C116&lt;&gt;"",貼り付け用!C116,"")),
IF(ROW(C116)+2&gt;=MATCH("*【合計】*", 貼り付け用!$A:$A, 0),"",
IF(貼り付け用!C117&lt;&gt;"",貼り付け用!C117,"")))</f>
        <v>#N/A</v>
      </c>
      <c r="D116" s="19" t="e">
        <f>IF(貼り付け用!$A$6&lt;&gt;"",
IF(ROW(D115)+2&gt;=MATCH("*【合計】*", 貼り付け用!$A:$A, 0),"",
IF(貼り付け用!D116&lt;&gt;"",貼り付け用!D116,"")),
IF(ROW(D116)+2&gt;=MATCH("*【合計】*", 貼り付け用!$A:$A, 0),"",
IF(貼り付け用!D117&lt;&gt;"",貼り付け用!D117,"")))</f>
        <v>#N/A</v>
      </c>
      <c r="E116" s="19" t="e">
        <f>IF(貼り付け用!$A$6&lt;&gt;"",
IF(ROW(E115)+2&gt;=MATCH("*【合計】*", 貼り付け用!$A:$A, 0),"",
IF(貼り付け用!E116&lt;&gt;"",貼り付け用!E116,"")),
IF(ROW(E116)+2&gt;=MATCH("*【合計】*", 貼り付け用!$A:$A, 0),"",
IF(貼り付け用!E117&lt;&gt;"",貼り付け用!E117,"")))</f>
        <v>#N/A</v>
      </c>
      <c r="F116" s="19" t="e">
        <f>IF(貼り付け用!$A$6&lt;&gt;"",
IF(ROW(F115)+2&gt;=MATCH("*【合計】*", 貼り付け用!$A:$A, 0),"",
IF(貼り付け用!F116&lt;&gt;"",貼り付け用!F116,"")),
IF(ROW(F116)+2&gt;=MATCH("*【合計】*", 貼り付け用!$A:$A, 0),"",
IF(貼り付け用!F117&lt;&gt;"",貼り付け用!F117,"")))</f>
        <v>#N/A</v>
      </c>
      <c r="G116" s="19" t="e">
        <f>IF(貼り付け用!$A$6&lt;&gt;"",
IF(ROW(G115)+2&gt;=MATCH("*【合計】*", 貼り付け用!$A:$A, 0),"",
IF(貼り付け用!G116&lt;&gt;"",貼り付け用!G116,"")),
IF(ROW(G116)+2&gt;=MATCH("*【合計】*", 貼り付け用!$A:$A, 0),"",
IF(貼り付け用!G117&lt;&gt;"",貼り付け用!G117,"")))</f>
        <v>#N/A</v>
      </c>
      <c r="H116" s="19" t="e">
        <f>IF(貼り付け用!$A$6&lt;&gt;"",
IF(ROW(H115)+2&gt;=MATCH("*【合計】*", 貼り付け用!$A:$A, 0),"",
IF(貼り付け用!H116&lt;&gt;"",貼り付け用!H116,"")),
IF(ROW(H116)+2&gt;=MATCH("*【合計】*", 貼り付け用!$A:$A, 0),"",
IF(貼り付け用!H117&lt;&gt;"",貼り付け用!H117,"")))</f>
        <v>#N/A</v>
      </c>
      <c r="I116" s="19" t="e">
        <f>IF(貼り付け用!$A$6&lt;&gt;"",
IF(ROW(I115)+2&gt;=MATCH("*【合計】*", 貼り付け用!$A:$A, 0),"",
IF(貼り付け用!I116&lt;&gt;"",貼り付け用!I116,"")),
IF(ROW(I116)+2&gt;=MATCH("*【合計】*", 貼り付け用!$A:$A, 0),"",
IF(貼り付け用!I117&lt;&gt;"",貼り付け用!I117,"")))</f>
        <v>#N/A</v>
      </c>
      <c r="J116" s="19" t="e">
        <f>IF(貼り付け用!$A$6&lt;&gt;"",
IF(ROW(J115)+2&gt;=MATCH("*【合計】*", 貼り付け用!$A:$A, 0),"",
IF(貼り付け用!J116&lt;&gt;"",貼り付け用!J116,"")),
IF(ROW(J116)+2&gt;=MATCH("*【合計】*", 貼り付け用!$A:$A, 0),"",
IF(貼り付け用!J117&lt;&gt;"",貼り付け用!J117,"")))</f>
        <v>#N/A</v>
      </c>
      <c r="K116" s="19" t="e">
        <f>IF(貼り付け用!$A$6&lt;&gt;"",
IF(ROW(K115)+2&gt;=MATCH("*【合計】*", 貼り付け用!$A:$A, 0),"",
IF(貼り付け用!K116&lt;&gt;"",貼り付け用!K116,"")),
IF(ROW(K116)+2&gt;=MATCH("*【合計】*", 貼り付け用!$A:$A, 0),"",
IF(貼り付け用!K117&lt;&gt;"",貼り付け用!K117,"")))</f>
        <v>#N/A</v>
      </c>
      <c r="L116" s="19" t="e">
        <f>IF(貼り付け用!$A$6&lt;&gt;"",
IF(ROW(L115)+2&gt;=MATCH("*【合計】*", 貼り付け用!$A:$A, 0),"",
IF(L$3&lt;&gt;"",IF(貼り付け用!L116&lt;&gt;"",貼り付け用!L116,""),"")),
IF(ROW(L116)+2&gt;=MATCH("*【合計】*", 貼り付け用!$A:$A, 0),"",
IF(L$3&lt;&gt;"",IF(貼り付け用!L117&lt;&gt;"",貼り付け用!L117,""),"")))</f>
        <v>#N/A</v>
      </c>
      <c r="M116" s="19" t="e">
        <f>IF(貼り付け用!$A$6&lt;&gt;"",
IF(ROW(M115)+2&gt;=MATCH("*【合計】*", 貼り付け用!$A:$A, 0),"",
IF(M$3&lt;&gt;"",IF(貼り付け用!M116&lt;&gt;"",貼り付け用!M116,""),"")),
IF(ROW(M116)+2&gt;=MATCH("*【合計】*", 貼り付け用!$A:$A, 0),"",
IF(M$3&lt;&gt;"",IF(貼り付け用!M117&lt;&gt;"",貼り付け用!M117,""),"")))</f>
        <v>#N/A</v>
      </c>
      <c r="N116" s="19" t="e">
        <f>IF(貼り付け用!$A$6&lt;&gt;"",
IF(ROW(N115)+2&gt;=MATCH("*【合計】*", 貼り付け用!$A:$A, 0),"",
IF(N$3&lt;&gt;"",IF(貼り付け用!N116&lt;&gt;"",貼り付け用!N116,""),"")),
IF(ROW(N116)+2&gt;=MATCH("*【合計】*", 貼り付け用!$A:$A, 0),"",
IF(N$3&lt;&gt;"",IF(貼り付け用!N117&lt;&gt;"",貼り付け用!N117,""),"")))</f>
        <v>#N/A</v>
      </c>
      <c r="O116" s="19" t="e">
        <f>IF(貼り付け用!$A$6&lt;&gt;"",
IF(ROW(O115)+2&gt;=MATCH("*【合計】*", 貼り付け用!$A:$A, 0),"",
IF(O$3&lt;&gt;"",IF(貼り付け用!O116&lt;&gt;"",貼り付け用!O116,""),"")),
IF(ROW(O116)+2&gt;=MATCH("*【合計】*", 貼り付け用!$A:$A, 0),"",
IF(O$3&lt;&gt;"",IF(貼り付け用!O117&lt;&gt;"",貼り付け用!O117,""),"")))</f>
        <v>#N/A</v>
      </c>
      <c r="P116" s="19" t="e">
        <f>IF(貼り付け用!$A$6&lt;&gt;"",
IF(ROW(P115)+2&gt;=MATCH("*【合計】*", 貼り付け用!$A:$A, 0),"",
IF(P$3&lt;&gt;"",IF(貼り付け用!P116&lt;&gt;"",貼り付け用!P116,""),"")),
IF(ROW(P116)+2&gt;=MATCH("*【合計】*", 貼り付け用!$A:$A, 0),"",
IF(P$3&lt;&gt;"",IF(貼り付け用!P117&lt;&gt;"",貼り付け用!P117,""),"")))</f>
        <v>#N/A</v>
      </c>
      <c r="Q116" s="19" t="e">
        <f>IF(貼り付け用!$A$6&lt;&gt;"",
IF(ROW(Q115)+2&gt;=MATCH("*【合計】*", 貼り付け用!$A:$A, 0),"",
IF(Q$3&lt;&gt;"",IF(貼り付け用!Q116&lt;&gt;"",貼り付け用!Q116,""),"")),
IF(ROW(Q116)+2&gt;=MATCH("*【合計】*", 貼り付け用!$A:$A, 0),"",
IF(Q$3&lt;&gt;"",IF(貼り付け用!Q117&lt;&gt;"",貼り付け用!Q117,""),"")))</f>
        <v>#N/A</v>
      </c>
      <c r="R116" s="19" t="e">
        <f>IF(貼り付け用!$A$6&lt;&gt;"",
IF(ROW(R115)+2&gt;=MATCH("*【合計】*", 貼り付け用!$A:$A, 0),"",
IF(R$3&lt;&gt;"",IF(貼り付け用!R116&lt;&gt;"",貼り付け用!R116,""),"")),
IF(ROW(R116)+2&gt;=MATCH("*【合計】*", 貼り付け用!$A:$A, 0),"",
IF(R$3&lt;&gt;"",IF(貼り付け用!R117&lt;&gt;"",貼り付け用!R117,""),"")))</f>
        <v>#N/A</v>
      </c>
      <c r="S116" s="19" t="e">
        <f>IF(貼り付け用!$A$6&lt;&gt;"",
IF(ROW(S115)+2&gt;=MATCH("*【合計】*", 貼り付け用!$A:$A, 0),"",
IF(S$3&lt;&gt;"",IF(貼り付け用!S116&lt;&gt;"",貼り付け用!S116,""),"")),
IF(ROW(S116)+2&gt;=MATCH("*【合計】*", 貼り付け用!$A:$A, 0),"",
IF(S$3&lt;&gt;"",IF(貼り付け用!S117&lt;&gt;"",貼り付け用!S117,""),"")))</f>
        <v>#N/A</v>
      </c>
      <c r="T116" s="19" t="e">
        <f t="array" ref="T116">IF(貼り付け用!$A$6&lt;&gt;"",
IF(INDEX(貼り付け用!A:Z, ROW(T115)+1, MATCH("おやつ", 貼り付け用!$A$3:$Z$3, 0))&lt;&gt;0,
INDEX(貼り付け用!A:Z, ROW(T115)+1, MATCH("おやつ", 貼り付け用!$A$3:$Z$3, 0)),""),
IF(INDEX(貼り付け用!A:Z, ROW(T116)+1, MATCH("おやつ", 貼り付け用!$A$3:$Z$3, 0))&lt;&gt;0,
INDEX(貼り付け用!A:Z, ROW(T116)+1, MATCH("おやつ", 貼り付け用!$A$3:$Z$3, 0)),""))</f>
        <v>#N/A</v>
      </c>
      <c r="U116" s="16"/>
      <c r="V116" s="5" t="e">
        <f t="array" ref="V116">IF(貼り付け用!$A$6&lt;&gt;"",
IF(INDEX(貼り付け用!A:Z, ROW(T115)+1, MATCH("おやつ", 貼り付け用!$A$3:$Z$3, 0)+1)&lt;&gt;0,
INDEX(貼り付け用!A:Z, ROW(T115)+1, MATCH("おやつ", 貼り付け用!$A$3:$Z$3, 0)+1),""),
IF(INDEX(貼り付け用!A:Z, ROW(T116)+1, MATCH("おやつ", 貼り付け用!$A$3:$Z$3, 0)+1)&lt;&gt;0,
INDEX(貼り付け用!A:Z, ROW(T116)+1, MATCH("おやつ", 貼り付け用!$A$3:$Z$3, 0)+1),""))</f>
        <v>#N/A</v>
      </c>
      <c r="W116" s="7" t="e">
        <f t="array" ref="W116">IF(貼り付け用!$A$6&lt;&gt;"",
IF(INDEX(貼り付け用!A:Z, ROW(T115)+1, MATCH("おやつ", 貼り付け用!$A$3:$Z$3, 0)+2)&lt;&gt;0,
INDEX(貼り付け用!A:Z, ROW(T115)+1, MATCH("おやつ", 貼り付け用!$A$3:$Z$3, 0)+2),""),
IF(INDEX(貼り付け用!A:Z, ROW(T116)+1, MATCH("おやつ", 貼り付け用!$A$3:$Z$3, 0)+2)&lt;&gt;0,
INDEX(貼り付け用!A:Z, ROW(T116)+1, MATCH("おやつ", 貼り付け用!$A$3:$Z$3, 0)+2),""))</f>
        <v>#N/A</v>
      </c>
    </row>
    <row r="117" spans="1:23" x14ac:dyDescent="0.45">
      <c r="A117" s="10" t="e">
        <f>IF(貼り付け用!$A$6&lt;&gt;"",
IF(ROW(A116)+1&gt;=MATCH("*10000*", 貼り付け用!$A:$A, 0),"",
IF(貼り付け用!A117&lt;&gt;"",貼り付け用!A117,"")),
IF(ROW(A117)+1&gt;=MATCH("*10000*", 貼り付け用!$A:$A, 0),"",
IF(貼り付け用!A118&lt;&gt;"",貼り付け用!A118,"")))</f>
        <v>#N/A</v>
      </c>
      <c r="B117" s="3" t="e">
        <f>IF(貼り付け用!$A$6&lt;&gt;"",
IF(ROW(B116)+2&gt;=MATCH("*【合計】*", 貼り付け用!$A:$A, 0),"",
IF(貼り付け用!B117&lt;&gt;"",貼り付け用!B117,"")),
IF(ROW(B117)+2&gt;=MATCH("*【合計】*", 貼り付け用!$A:$A, 0),"",
IF(貼り付け用!B118&lt;&gt;"",貼り付け用!B118,"")))</f>
        <v>#N/A</v>
      </c>
      <c r="C117" s="3" t="e">
        <f>IF(貼り付け用!$A$6&lt;&gt;"",
IF(ROW(C116)+2&gt;=MATCH("*【合計】*", 貼り付け用!$A:$A, 0),"",
IF(貼り付け用!C117&lt;&gt;"",貼り付け用!C117,"")),
IF(ROW(C117)+2&gt;=MATCH("*【合計】*", 貼り付け用!$A:$A, 0),"",
IF(貼り付け用!C118&lt;&gt;"",貼り付け用!C118,"")))</f>
        <v>#N/A</v>
      </c>
      <c r="D117" s="3" t="e">
        <f>IF(貼り付け用!$A$6&lt;&gt;"",
IF(ROW(D116)+2&gt;=MATCH("*【合計】*", 貼り付け用!$A:$A, 0),"",
IF(貼り付け用!D117&lt;&gt;"",貼り付け用!D117,"")),
IF(ROW(D117)+2&gt;=MATCH("*【合計】*", 貼り付け用!$A:$A, 0),"",
IF(貼り付け用!D118&lt;&gt;"",貼り付け用!D118,"")))</f>
        <v>#N/A</v>
      </c>
      <c r="E117" s="3" t="e">
        <f>IF(貼り付け用!$A$6&lt;&gt;"",
IF(ROW(E116)+2&gt;=MATCH("*【合計】*", 貼り付け用!$A:$A, 0),"",
IF(貼り付け用!E117&lt;&gt;"",貼り付け用!E117,"")),
IF(ROW(E117)+2&gt;=MATCH("*【合計】*", 貼り付け用!$A:$A, 0),"",
IF(貼り付け用!E118&lt;&gt;"",貼り付け用!E118,"")))</f>
        <v>#N/A</v>
      </c>
      <c r="F117" s="3" t="e">
        <f>IF(貼り付け用!$A$6&lt;&gt;"",
IF(ROW(F116)+2&gt;=MATCH("*【合計】*", 貼り付け用!$A:$A, 0),"",
IF(貼り付け用!F117&lt;&gt;"",貼り付け用!F117,"")),
IF(ROW(F117)+2&gt;=MATCH("*【合計】*", 貼り付け用!$A:$A, 0),"",
IF(貼り付け用!F118&lt;&gt;"",貼り付け用!F118,"")))</f>
        <v>#N/A</v>
      </c>
      <c r="G117" s="3" t="e">
        <f>IF(貼り付け用!$A$6&lt;&gt;"",
IF(ROW(G116)+2&gt;=MATCH("*【合計】*", 貼り付け用!$A:$A, 0),"",
IF(貼り付け用!G117&lt;&gt;"",貼り付け用!G117,"")),
IF(ROW(G117)+2&gt;=MATCH("*【合計】*", 貼り付け用!$A:$A, 0),"",
IF(貼り付け用!G118&lt;&gt;"",貼り付け用!G118,"")))</f>
        <v>#N/A</v>
      </c>
      <c r="H117" s="3" t="e">
        <f>IF(貼り付け用!$A$6&lt;&gt;"",
IF(ROW(H116)+2&gt;=MATCH("*【合計】*", 貼り付け用!$A:$A, 0),"",
IF(貼り付け用!H117&lt;&gt;"",貼り付け用!H117,"")),
IF(ROW(H117)+2&gt;=MATCH("*【合計】*", 貼り付け用!$A:$A, 0),"",
IF(貼り付け用!H118&lt;&gt;"",貼り付け用!H118,"")))</f>
        <v>#N/A</v>
      </c>
      <c r="I117" s="3" t="e">
        <f>IF(貼り付け用!$A$6&lt;&gt;"",
IF(ROW(I116)+2&gt;=MATCH("*【合計】*", 貼り付け用!$A:$A, 0),"",
IF(貼り付け用!I117&lt;&gt;"",貼り付け用!I117,"")),
IF(ROW(I117)+2&gt;=MATCH("*【合計】*", 貼り付け用!$A:$A, 0),"",
IF(貼り付け用!I118&lt;&gt;"",貼り付け用!I118,"")))</f>
        <v>#N/A</v>
      </c>
      <c r="J117" s="3" t="e">
        <f>IF(貼り付け用!$A$6&lt;&gt;"",
IF(ROW(J116)+2&gt;=MATCH("*【合計】*", 貼り付け用!$A:$A, 0),"",
IF(貼り付け用!J117&lt;&gt;"",貼り付け用!J117,"")),
IF(ROW(J117)+2&gt;=MATCH("*【合計】*", 貼り付け用!$A:$A, 0),"",
IF(貼り付け用!J118&lt;&gt;"",貼り付け用!J118,"")))</f>
        <v>#N/A</v>
      </c>
      <c r="K117" s="3" t="e">
        <f>IF(貼り付け用!$A$6&lt;&gt;"",
IF(ROW(K116)+2&gt;=MATCH("*【合計】*", 貼り付け用!$A:$A, 0),"",
IF(貼り付け用!K117&lt;&gt;"",貼り付け用!K117,"")),
IF(ROW(K117)+2&gt;=MATCH("*【合計】*", 貼り付け用!$A:$A, 0),"",
IF(貼り付け用!K118&lt;&gt;"",貼り付け用!K118,"")))</f>
        <v>#N/A</v>
      </c>
      <c r="L117" s="3" t="e">
        <f>IF(貼り付け用!$A$6&lt;&gt;"",
IF(ROW(L116)+2&gt;=MATCH("*【合計】*", 貼り付け用!$A:$A, 0),"",
IF(L$3&lt;&gt;"",IF(貼り付け用!L117&lt;&gt;"",貼り付け用!L117,""),"")),
IF(ROW(L117)+2&gt;=MATCH("*【合計】*", 貼り付け用!$A:$A, 0),"",
IF(L$3&lt;&gt;"",IF(貼り付け用!L118&lt;&gt;"",貼り付け用!L118,""),"")))</f>
        <v>#N/A</v>
      </c>
      <c r="M117" s="3" t="e">
        <f>IF(貼り付け用!$A$6&lt;&gt;"",
IF(ROW(M116)+2&gt;=MATCH("*【合計】*", 貼り付け用!$A:$A, 0),"",
IF(M$3&lt;&gt;"",IF(貼り付け用!M117&lt;&gt;"",貼り付け用!M117,""),"")),
IF(ROW(M117)+2&gt;=MATCH("*【合計】*", 貼り付け用!$A:$A, 0),"",
IF(M$3&lt;&gt;"",IF(貼り付け用!M118&lt;&gt;"",貼り付け用!M118,""),"")))</f>
        <v>#N/A</v>
      </c>
      <c r="N117" s="3" t="e">
        <f>IF(貼り付け用!$A$6&lt;&gt;"",
IF(ROW(N116)+2&gt;=MATCH("*【合計】*", 貼り付け用!$A:$A, 0),"",
IF(N$3&lt;&gt;"",IF(貼り付け用!N117&lt;&gt;"",貼り付け用!N117,""),"")),
IF(ROW(N117)+2&gt;=MATCH("*【合計】*", 貼り付け用!$A:$A, 0),"",
IF(N$3&lt;&gt;"",IF(貼り付け用!N118&lt;&gt;"",貼り付け用!N118,""),"")))</f>
        <v>#N/A</v>
      </c>
      <c r="O117" s="3" t="e">
        <f>IF(貼り付け用!$A$6&lt;&gt;"",
IF(ROW(O116)+2&gt;=MATCH("*【合計】*", 貼り付け用!$A:$A, 0),"",
IF(O$3&lt;&gt;"",IF(貼り付け用!O117&lt;&gt;"",貼り付け用!O117,""),"")),
IF(ROW(O117)+2&gt;=MATCH("*【合計】*", 貼り付け用!$A:$A, 0),"",
IF(O$3&lt;&gt;"",IF(貼り付け用!O118&lt;&gt;"",貼り付け用!O118,""),"")))</f>
        <v>#N/A</v>
      </c>
      <c r="P117" s="3" t="e">
        <f>IF(貼り付け用!$A$6&lt;&gt;"",
IF(ROW(P116)+2&gt;=MATCH("*【合計】*", 貼り付け用!$A:$A, 0),"",
IF(P$3&lt;&gt;"",IF(貼り付け用!P117&lt;&gt;"",貼り付け用!P117,""),"")),
IF(ROW(P117)+2&gt;=MATCH("*【合計】*", 貼り付け用!$A:$A, 0),"",
IF(P$3&lt;&gt;"",IF(貼り付け用!P118&lt;&gt;"",貼り付け用!P118,""),"")))</f>
        <v>#N/A</v>
      </c>
      <c r="Q117" s="3" t="e">
        <f>IF(貼り付け用!$A$6&lt;&gt;"",
IF(ROW(Q116)+2&gt;=MATCH("*【合計】*", 貼り付け用!$A:$A, 0),"",
IF(Q$3&lt;&gt;"",IF(貼り付け用!Q117&lt;&gt;"",貼り付け用!Q117,""),"")),
IF(ROW(Q117)+2&gt;=MATCH("*【合計】*", 貼り付け用!$A:$A, 0),"",
IF(Q$3&lt;&gt;"",IF(貼り付け用!Q118&lt;&gt;"",貼り付け用!Q118,""),"")))</f>
        <v>#N/A</v>
      </c>
      <c r="R117" s="3" t="e">
        <f>IF(貼り付け用!$A$6&lt;&gt;"",
IF(ROW(R116)+2&gt;=MATCH("*【合計】*", 貼り付け用!$A:$A, 0),"",
IF(R$3&lt;&gt;"",IF(貼り付け用!R117&lt;&gt;"",貼り付け用!R117,""),"")),
IF(ROW(R117)+2&gt;=MATCH("*【合計】*", 貼り付け用!$A:$A, 0),"",
IF(R$3&lt;&gt;"",IF(貼り付け用!R118&lt;&gt;"",貼り付け用!R118,""),"")))</f>
        <v>#N/A</v>
      </c>
      <c r="S117" s="3" t="e">
        <f>IF(貼り付け用!$A$6&lt;&gt;"",
IF(ROW(S116)+2&gt;=MATCH("*【合計】*", 貼り付け用!$A:$A, 0),"",
IF(S$3&lt;&gt;"",IF(貼り付け用!S117&lt;&gt;"",貼り付け用!S117,""),"")),
IF(ROW(S117)+2&gt;=MATCH("*【合計】*", 貼り付け用!$A:$A, 0),"",
IF(S$3&lt;&gt;"",IF(貼り付け用!S118&lt;&gt;"",貼り付け用!S118,""),"")))</f>
        <v>#N/A</v>
      </c>
      <c r="T117" s="2" t="e">
        <f t="array" ref="T117">IF(貼り付け用!$A$6&lt;&gt;"",
IF(INDEX(貼り付け用!A:Z, ROW(T116)+1, MATCH("おやつ", 貼り付け用!$A$3:$Z$3, 0))&lt;&gt;0,
INDEX(貼り付け用!A:Z, ROW(T116)+1, MATCH("おやつ", 貼り付け用!$A$3:$Z$3, 0)),""),
IF(INDEX(貼り付け用!A:Z, ROW(T117)+1, MATCH("おやつ", 貼り付け用!$A$3:$Z$3, 0))&lt;&gt;0,
INDEX(貼り付け用!A:Z, ROW(T117)+1, MATCH("おやつ", 貼り付け用!$A$3:$Z$3, 0)),""))</f>
        <v>#N/A</v>
      </c>
      <c r="U117" s="52"/>
      <c r="V117" s="8" t="e">
        <f t="array" ref="V117">IF(貼り付け用!$A$6&lt;&gt;"",
IF(INDEX(貼り付け用!A:Z, ROW(T116)+1, MATCH("おやつ", 貼り付け用!$A$3:$Z$3, 0)+1)&lt;&gt;0,
INDEX(貼り付け用!A:Z, ROW(T116)+1, MATCH("おやつ", 貼り付け用!$A$3:$Z$3, 0)+1),""),
IF(INDEX(貼り付け用!A:Z, ROW(T117)+1, MATCH("おやつ", 貼り付け用!$A$3:$Z$3, 0)+1)&lt;&gt;0,
INDEX(貼り付け用!A:Z, ROW(T117)+1, MATCH("おやつ", 貼り付け用!$A$3:$Z$3, 0)+1),""))</f>
        <v>#N/A</v>
      </c>
      <c r="W117" s="9" t="e">
        <f t="array" ref="W117">IF(貼り付け用!$A$6&lt;&gt;"",
IF(INDEX(貼り付け用!A:Z, ROW(T116)+1, MATCH("おやつ", 貼り付け用!$A$3:$Z$3, 0)+2)&lt;&gt;0,
INDEX(貼り付け用!A:Z, ROW(T116)+1, MATCH("おやつ", 貼り付け用!$A$3:$Z$3, 0)+2),""),
IF(INDEX(貼り付け用!A:Z, ROW(T117)+1, MATCH("おやつ", 貼り付け用!$A$3:$Z$3, 0)+2)&lt;&gt;0,
INDEX(貼り付け用!A:Z, ROW(T117)+1, MATCH("おやつ", 貼り付け用!$A$3:$Z$3, 0)+2),""))</f>
        <v>#N/A</v>
      </c>
    </row>
    <row r="118" spans="1:23" x14ac:dyDescent="0.45">
      <c r="A118" s="4" t="e">
        <f>IF(貼り付け用!$A$6&lt;&gt;"",
IF(ROW(A117)+1&gt;=MATCH("*10000*", 貼り付け用!$A:$A, 0),
IF(COUNTIF(A116,"*10000*"),"10001",
IF(COUNTIF(A116,"*10001*"),"10002",
IF(COUNTIF(A116,"*10002*"),"",
IF(COUNTIF(A116,""),"","10000")))),
IF(貼り付け用!A118&lt;&gt;"",貼り付け用!A118,"")),
IF(ROW(A118)+1&gt;=MATCH("*10000*", 貼り付け用!$A:$A, 0),
IF(COUNTIF(A116,"*10000*"),"10001",
IF(COUNTIF(A116,"*10001*"),"10002",
IF(COUNTIF(A116,"*10002*"),"",
IF(COUNTIF(A116,""),"","10000")))),
IF(貼り付け用!A119&lt;&gt;"",貼り付け用!A119,"")))</f>
        <v>#N/A</v>
      </c>
      <c r="B118" s="19" t="e">
        <f>IF(貼り付け用!$A$6&lt;&gt;"",
IF(ROW(B117)+2&gt;=MATCH("*【合計】*", 貼り付け用!$A:$A, 0),"",
IF(貼り付け用!B118&lt;&gt;"",貼り付け用!B118,"")),
IF(ROW(B118)+2&gt;=MATCH("*【合計】*", 貼り付け用!$A:$A, 0),"",
IF(貼り付け用!B119&lt;&gt;"",貼り付け用!B119,"")))</f>
        <v>#N/A</v>
      </c>
      <c r="C118" s="19" t="e">
        <f>IF(貼り付け用!$A$6&lt;&gt;"",
IF(ROW(C117)+2&gt;=MATCH("*【合計】*", 貼り付け用!$A:$A, 0),"",
IF(貼り付け用!C118&lt;&gt;"",貼り付け用!C118,"")),
IF(ROW(C118)+2&gt;=MATCH("*【合計】*", 貼り付け用!$A:$A, 0),"",
IF(貼り付け用!C119&lt;&gt;"",貼り付け用!C119,"")))</f>
        <v>#N/A</v>
      </c>
      <c r="D118" s="19" t="e">
        <f>IF(貼り付け用!$A$6&lt;&gt;"",
IF(ROW(D117)+2&gt;=MATCH("*【合計】*", 貼り付け用!$A:$A, 0),"",
IF(貼り付け用!D118&lt;&gt;"",貼り付け用!D118,"")),
IF(ROW(D118)+2&gt;=MATCH("*【合計】*", 貼り付け用!$A:$A, 0),"",
IF(貼り付け用!D119&lt;&gt;"",貼り付け用!D119,"")))</f>
        <v>#N/A</v>
      </c>
      <c r="E118" s="19" t="e">
        <f>IF(貼り付け用!$A$6&lt;&gt;"",
IF(ROW(E117)+2&gt;=MATCH("*【合計】*", 貼り付け用!$A:$A, 0),"",
IF(貼り付け用!E118&lt;&gt;"",貼り付け用!E118,"")),
IF(ROW(E118)+2&gt;=MATCH("*【合計】*", 貼り付け用!$A:$A, 0),"",
IF(貼り付け用!E119&lt;&gt;"",貼り付け用!E119,"")))</f>
        <v>#N/A</v>
      </c>
      <c r="F118" s="19" t="e">
        <f>IF(貼り付け用!$A$6&lt;&gt;"",
IF(ROW(F117)+2&gt;=MATCH("*【合計】*", 貼り付け用!$A:$A, 0),"",
IF(貼り付け用!F118&lt;&gt;"",貼り付け用!F118,"")),
IF(ROW(F118)+2&gt;=MATCH("*【合計】*", 貼り付け用!$A:$A, 0),"",
IF(貼り付け用!F119&lt;&gt;"",貼り付け用!F119,"")))</f>
        <v>#N/A</v>
      </c>
      <c r="G118" s="19" t="e">
        <f>IF(貼り付け用!$A$6&lt;&gt;"",
IF(ROW(G117)+2&gt;=MATCH("*【合計】*", 貼り付け用!$A:$A, 0),"",
IF(貼り付け用!G118&lt;&gt;"",貼り付け用!G118,"")),
IF(ROW(G118)+2&gt;=MATCH("*【合計】*", 貼り付け用!$A:$A, 0),"",
IF(貼り付け用!G119&lt;&gt;"",貼り付け用!G119,"")))</f>
        <v>#N/A</v>
      </c>
      <c r="H118" s="19" t="e">
        <f>IF(貼り付け用!$A$6&lt;&gt;"",
IF(ROW(H117)+2&gt;=MATCH("*【合計】*", 貼り付け用!$A:$A, 0),"",
IF(貼り付け用!H118&lt;&gt;"",貼り付け用!H118,"")),
IF(ROW(H118)+2&gt;=MATCH("*【合計】*", 貼り付け用!$A:$A, 0),"",
IF(貼り付け用!H119&lt;&gt;"",貼り付け用!H119,"")))</f>
        <v>#N/A</v>
      </c>
      <c r="I118" s="19" t="e">
        <f>IF(貼り付け用!$A$6&lt;&gt;"",
IF(ROW(I117)+2&gt;=MATCH("*【合計】*", 貼り付け用!$A:$A, 0),"",
IF(貼り付け用!I118&lt;&gt;"",貼り付け用!I118,"")),
IF(ROW(I118)+2&gt;=MATCH("*【合計】*", 貼り付け用!$A:$A, 0),"",
IF(貼り付け用!I119&lt;&gt;"",貼り付け用!I119,"")))</f>
        <v>#N/A</v>
      </c>
      <c r="J118" s="19" t="e">
        <f>IF(貼り付け用!$A$6&lt;&gt;"",
IF(ROW(J117)+2&gt;=MATCH("*【合計】*", 貼り付け用!$A:$A, 0),"",
IF(貼り付け用!J118&lt;&gt;"",貼り付け用!J118,"")),
IF(ROW(J118)+2&gt;=MATCH("*【合計】*", 貼り付け用!$A:$A, 0),"",
IF(貼り付け用!J119&lt;&gt;"",貼り付け用!J119,"")))</f>
        <v>#N/A</v>
      </c>
      <c r="K118" s="19" t="e">
        <f>IF(貼り付け用!$A$6&lt;&gt;"",
IF(ROW(K117)+2&gt;=MATCH("*【合計】*", 貼り付け用!$A:$A, 0),"",
IF(貼り付け用!K118&lt;&gt;"",貼り付け用!K118,"")),
IF(ROW(K118)+2&gt;=MATCH("*【合計】*", 貼り付け用!$A:$A, 0),"",
IF(貼り付け用!K119&lt;&gt;"",貼り付け用!K119,"")))</f>
        <v>#N/A</v>
      </c>
      <c r="L118" s="19" t="e">
        <f>IF(貼り付け用!$A$6&lt;&gt;"",
IF(ROW(L117)+2&gt;=MATCH("*【合計】*", 貼り付け用!$A:$A, 0),"",
IF(L$3&lt;&gt;"",IF(貼り付け用!L118&lt;&gt;"",貼り付け用!L118,""),"")),
IF(ROW(L118)+2&gt;=MATCH("*【合計】*", 貼り付け用!$A:$A, 0),"",
IF(L$3&lt;&gt;"",IF(貼り付け用!L119&lt;&gt;"",貼り付け用!L119,""),"")))</f>
        <v>#N/A</v>
      </c>
      <c r="M118" s="19" t="e">
        <f>IF(貼り付け用!$A$6&lt;&gt;"",
IF(ROW(M117)+2&gt;=MATCH("*【合計】*", 貼り付け用!$A:$A, 0),"",
IF(M$3&lt;&gt;"",IF(貼り付け用!M118&lt;&gt;"",貼り付け用!M118,""),"")),
IF(ROW(M118)+2&gt;=MATCH("*【合計】*", 貼り付け用!$A:$A, 0),"",
IF(M$3&lt;&gt;"",IF(貼り付け用!M119&lt;&gt;"",貼り付け用!M119,""),"")))</f>
        <v>#N/A</v>
      </c>
      <c r="N118" s="19" t="e">
        <f>IF(貼り付け用!$A$6&lt;&gt;"",
IF(ROW(N117)+2&gt;=MATCH("*【合計】*", 貼り付け用!$A:$A, 0),"",
IF(N$3&lt;&gt;"",IF(貼り付け用!N118&lt;&gt;"",貼り付け用!N118,""),"")),
IF(ROW(N118)+2&gt;=MATCH("*【合計】*", 貼り付け用!$A:$A, 0),"",
IF(N$3&lt;&gt;"",IF(貼り付け用!N119&lt;&gt;"",貼り付け用!N119,""),"")))</f>
        <v>#N/A</v>
      </c>
      <c r="O118" s="19" t="e">
        <f>IF(貼り付け用!$A$6&lt;&gt;"",
IF(ROW(O117)+2&gt;=MATCH("*【合計】*", 貼り付け用!$A:$A, 0),"",
IF(O$3&lt;&gt;"",IF(貼り付け用!O118&lt;&gt;"",貼り付け用!O118,""),"")),
IF(ROW(O118)+2&gt;=MATCH("*【合計】*", 貼り付け用!$A:$A, 0),"",
IF(O$3&lt;&gt;"",IF(貼り付け用!O119&lt;&gt;"",貼り付け用!O119,""),"")))</f>
        <v>#N/A</v>
      </c>
      <c r="P118" s="19" t="e">
        <f>IF(貼り付け用!$A$6&lt;&gt;"",
IF(ROW(P117)+2&gt;=MATCH("*【合計】*", 貼り付け用!$A:$A, 0),"",
IF(P$3&lt;&gt;"",IF(貼り付け用!P118&lt;&gt;"",貼り付け用!P118,""),"")),
IF(ROW(P118)+2&gt;=MATCH("*【合計】*", 貼り付け用!$A:$A, 0),"",
IF(P$3&lt;&gt;"",IF(貼り付け用!P119&lt;&gt;"",貼り付け用!P119,""),"")))</f>
        <v>#N/A</v>
      </c>
      <c r="Q118" s="19" t="e">
        <f>IF(貼り付け用!$A$6&lt;&gt;"",
IF(ROW(Q117)+2&gt;=MATCH("*【合計】*", 貼り付け用!$A:$A, 0),"",
IF(Q$3&lt;&gt;"",IF(貼り付け用!Q118&lt;&gt;"",貼り付け用!Q118,""),"")),
IF(ROW(Q118)+2&gt;=MATCH("*【合計】*", 貼り付け用!$A:$A, 0),"",
IF(Q$3&lt;&gt;"",IF(貼り付け用!Q119&lt;&gt;"",貼り付け用!Q119,""),"")))</f>
        <v>#N/A</v>
      </c>
      <c r="R118" s="19" t="e">
        <f>IF(貼り付け用!$A$6&lt;&gt;"",
IF(ROW(R117)+2&gt;=MATCH("*【合計】*", 貼り付け用!$A:$A, 0),"",
IF(R$3&lt;&gt;"",IF(貼り付け用!R118&lt;&gt;"",貼り付け用!R118,""),"")),
IF(ROW(R118)+2&gt;=MATCH("*【合計】*", 貼り付け用!$A:$A, 0),"",
IF(R$3&lt;&gt;"",IF(貼り付け用!R119&lt;&gt;"",貼り付け用!R119,""),"")))</f>
        <v>#N/A</v>
      </c>
      <c r="S118" s="19" t="e">
        <f>IF(貼り付け用!$A$6&lt;&gt;"",
IF(ROW(S117)+2&gt;=MATCH("*【合計】*", 貼り付け用!$A:$A, 0),"",
IF(S$3&lt;&gt;"",IF(貼り付け用!S118&lt;&gt;"",貼り付け用!S118,""),"")),
IF(ROW(S118)+2&gt;=MATCH("*【合計】*", 貼り付け用!$A:$A, 0),"",
IF(S$3&lt;&gt;"",IF(貼り付け用!S119&lt;&gt;"",貼り付け用!S119,""),"")))</f>
        <v>#N/A</v>
      </c>
      <c r="T118" s="19" t="e">
        <f t="array" ref="T118">IF(貼り付け用!$A$6&lt;&gt;"",
IF(INDEX(貼り付け用!A:Z, ROW(T117)+1, MATCH("おやつ", 貼り付け用!$A$3:$Z$3, 0))&lt;&gt;0,
INDEX(貼り付け用!A:Z, ROW(T117)+1, MATCH("おやつ", 貼り付け用!$A$3:$Z$3, 0)),""),
IF(INDEX(貼り付け用!A:Z, ROW(T118)+1, MATCH("おやつ", 貼り付け用!$A$3:$Z$3, 0))&lt;&gt;0,
INDEX(貼り付け用!A:Z, ROW(T118)+1, MATCH("おやつ", 貼り付け用!$A$3:$Z$3, 0)),""))</f>
        <v>#N/A</v>
      </c>
      <c r="U118" s="16"/>
      <c r="V118" s="5" t="e">
        <f t="array" ref="V118">IF(貼り付け用!$A$6&lt;&gt;"",
IF(INDEX(貼り付け用!A:Z, ROW(T117)+1, MATCH("おやつ", 貼り付け用!$A$3:$Z$3, 0)+1)&lt;&gt;0,
INDEX(貼り付け用!A:Z, ROW(T117)+1, MATCH("おやつ", 貼り付け用!$A$3:$Z$3, 0)+1),""),
IF(INDEX(貼り付け用!A:Z, ROW(T118)+1, MATCH("おやつ", 貼り付け用!$A$3:$Z$3, 0)+1)&lt;&gt;0,
INDEX(貼り付け用!A:Z, ROW(T118)+1, MATCH("おやつ", 貼り付け用!$A$3:$Z$3, 0)+1),""))</f>
        <v>#N/A</v>
      </c>
      <c r="W118" s="7" t="e">
        <f t="array" ref="W118">IF(貼り付け用!$A$6&lt;&gt;"",
IF(INDEX(貼り付け用!A:Z, ROW(T117)+1, MATCH("おやつ", 貼り付け用!$A$3:$Z$3, 0)+2)&lt;&gt;0,
INDEX(貼り付け用!A:Z, ROW(T117)+1, MATCH("おやつ", 貼り付け用!$A$3:$Z$3, 0)+2),""),
IF(INDEX(貼り付け用!A:Z, ROW(T118)+1, MATCH("おやつ", 貼り付け用!$A$3:$Z$3, 0)+2)&lt;&gt;0,
INDEX(貼り付け用!A:Z, ROW(T118)+1, MATCH("おやつ", 貼り付け用!$A$3:$Z$3, 0)+2),""))</f>
        <v>#N/A</v>
      </c>
    </row>
    <row r="119" spans="1:23" x14ac:dyDescent="0.45">
      <c r="A119" s="10" t="e">
        <f>IF(貼り付け用!$A$6&lt;&gt;"",
IF(ROW(A118)+1&gt;=MATCH("*10000*", 貼り付け用!$A:$A, 0),"",
IF(貼り付け用!A119&lt;&gt;"",貼り付け用!A119,"")),
IF(ROW(A119)+1&gt;=MATCH("*10000*", 貼り付け用!$A:$A, 0),"",
IF(貼り付け用!A120&lt;&gt;"",貼り付け用!A120,"")))</f>
        <v>#N/A</v>
      </c>
      <c r="B119" s="3" t="e">
        <f>IF(貼り付け用!$A$6&lt;&gt;"",
IF(ROW(B118)+2&gt;=MATCH("*【合計】*", 貼り付け用!$A:$A, 0),"",
IF(貼り付け用!B119&lt;&gt;"",貼り付け用!B119,"")),
IF(ROW(B119)+2&gt;=MATCH("*【合計】*", 貼り付け用!$A:$A, 0),"",
IF(貼り付け用!B120&lt;&gt;"",貼り付け用!B120,"")))</f>
        <v>#N/A</v>
      </c>
      <c r="C119" s="3" t="e">
        <f>IF(貼り付け用!$A$6&lt;&gt;"",
IF(ROW(C118)+2&gt;=MATCH("*【合計】*", 貼り付け用!$A:$A, 0),"",
IF(貼り付け用!C119&lt;&gt;"",貼り付け用!C119,"")),
IF(ROW(C119)+2&gt;=MATCH("*【合計】*", 貼り付け用!$A:$A, 0),"",
IF(貼り付け用!C120&lt;&gt;"",貼り付け用!C120,"")))</f>
        <v>#N/A</v>
      </c>
      <c r="D119" s="3" t="e">
        <f>IF(貼り付け用!$A$6&lt;&gt;"",
IF(ROW(D118)+2&gt;=MATCH("*【合計】*", 貼り付け用!$A:$A, 0),"",
IF(貼り付け用!D119&lt;&gt;"",貼り付け用!D119,"")),
IF(ROW(D119)+2&gt;=MATCH("*【合計】*", 貼り付け用!$A:$A, 0),"",
IF(貼り付け用!D120&lt;&gt;"",貼り付け用!D120,"")))</f>
        <v>#N/A</v>
      </c>
      <c r="E119" s="3" t="e">
        <f>IF(貼り付け用!$A$6&lt;&gt;"",
IF(ROW(E118)+2&gt;=MATCH("*【合計】*", 貼り付け用!$A:$A, 0),"",
IF(貼り付け用!E119&lt;&gt;"",貼り付け用!E119,"")),
IF(ROW(E119)+2&gt;=MATCH("*【合計】*", 貼り付け用!$A:$A, 0),"",
IF(貼り付け用!E120&lt;&gt;"",貼り付け用!E120,"")))</f>
        <v>#N/A</v>
      </c>
      <c r="F119" s="3" t="e">
        <f>IF(貼り付け用!$A$6&lt;&gt;"",
IF(ROW(F118)+2&gt;=MATCH("*【合計】*", 貼り付け用!$A:$A, 0),"",
IF(貼り付け用!F119&lt;&gt;"",貼り付け用!F119,"")),
IF(ROW(F119)+2&gt;=MATCH("*【合計】*", 貼り付け用!$A:$A, 0),"",
IF(貼り付け用!F120&lt;&gt;"",貼り付け用!F120,"")))</f>
        <v>#N/A</v>
      </c>
      <c r="G119" s="3" t="e">
        <f>IF(貼り付け用!$A$6&lt;&gt;"",
IF(ROW(G118)+2&gt;=MATCH("*【合計】*", 貼り付け用!$A:$A, 0),"",
IF(貼り付け用!G119&lt;&gt;"",貼り付け用!G119,"")),
IF(ROW(G119)+2&gt;=MATCH("*【合計】*", 貼り付け用!$A:$A, 0),"",
IF(貼り付け用!G120&lt;&gt;"",貼り付け用!G120,"")))</f>
        <v>#N/A</v>
      </c>
      <c r="H119" s="3" t="e">
        <f>IF(貼り付け用!$A$6&lt;&gt;"",
IF(ROW(H118)+2&gt;=MATCH("*【合計】*", 貼り付け用!$A:$A, 0),"",
IF(貼り付け用!H119&lt;&gt;"",貼り付け用!H119,"")),
IF(ROW(H119)+2&gt;=MATCH("*【合計】*", 貼り付け用!$A:$A, 0),"",
IF(貼り付け用!H120&lt;&gt;"",貼り付け用!H120,"")))</f>
        <v>#N/A</v>
      </c>
      <c r="I119" s="3" t="e">
        <f>IF(貼り付け用!$A$6&lt;&gt;"",
IF(ROW(I118)+2&gt;=MATCH("*【合計】*", 貼り付け用!$A:$A, 0),"",
IF(貼り付け用!I119&lt;&gt;"",貼り付け用!I119,"")),
IF(ROW(I119)+2&gt;=MATCH("*【合計】*", 貼り付け用!$A:$A, 0),"",
IF(貼り付け用!I120&lt;&gt;"",貼り付け用!I120,"")))</f>
        <v>#N/A</v>
      </c>
      <c r="J119" s="3" t="e">
        <f>IF(貼り付け用!$A$6&lt;&gt;"",
IF(ROW(J118)+2&gt;=MATCH("*【合計】*", 貼り付け用!$A:$A, 0),"",
IF(貼り付け用!J119&lt;&gt;"",貼り付け用!J119,"")),
IF(ROW(J119)+2&gt;=MATCH("*【合計】*", 貼り付け用!$A:$A, 0),"",
IF(貼り付け用!J120&lt;&gt;"",貼り付け用!J120,"")))</f>
        <v>#N/A</v>
      </c>
      <c r="K119" s="3" t="e">
        <f>IF(貼り付け用!$A$6&lt;&gt;"",
IF(ROW(K118)+2&gt;=MATCH("*【合計】*", 貼り付け用!$A:$A, 0),"",
IF(貼り付け用!K119&lt;&gt;"",貼り付け用!K119,"")),
IF(ROW(K119)+2&gt;=MATCH("*【合計】*", 貼り付け用!$A:$A, 0),"",
IF(貼り付け用!K120&lt;&gt;"",貼り付け用!K120,"")))</f>
        <v>#N/A</v>
      </c>
      <c r="L119" s="3" t="e">
        <f>IF(貼り付け用!$A$6&lt;&gt;"",
IF(ROW(L118)+2&gt;=MATCH("*【合計】*", 貼り付け用!$A:$A, 0),"",
IF(L$3&lt;&gt;"",IF(貼り付け用!L119&lt;&gt;"",貼り付け用!L119,""),"")),
IF(ROW(L119)+2&gt;=MATCH("*【合計】*", 貼り付け用!$A:$A, 0),"",
IF(L$3&lt;&gt;"",IF(貼り付け用!L120&lt;&gt;"",貼り付け用!L120,""),"")))</f>
        <v>#N/A</v>
      </c>
      <c r="M119" s="3" t="e">
        <f>IF(貼り付け用!$A$6&lt;&gt;"",
IF(ROW(M118)+2&gt;=MATCH("*【合計】*", 貼り付け用!$A:$A, 0),"",
IF(M$3&lt;&gt;"",IF(貼り付け用!M119&lt;&gt;"",貼り付け用!M119,""),"")),
IF(ROW(M119)+2&gt;=MATCH("*【合計】*", 貼り付け用!$A:$A, 0),"",
IF(M$3&lt;&gt;"",IF(貼り付け用!M120&lt;&gt;"",貼り付け用!M120,""),"")))</f>
        <v>#N/A</v>
      </c>
      <c r="N119" s="3" t="e">
        <f>IF(貼り付け用!$A$6&lt;&gt;"",
IF(ROW(N118)+2&gt;=MATCH("*【合計】*", 貼り付け用!$A:$A, 0),"",
IF(N$3&lt;&gt;"",IF(貼り付け用!N119&lt;&gt;"",貼り付け用!N119,""),"")),
IF(ROW(N119)+2&gt;=MATCH("*【合計】*", 貼り付け用!$A:$A, 0),"",
IF(N$3&lt;&gt;"",IF(貼り付け用!N120&lt;&gt;"",貼り付け用!N120,""),"")))</f>
        <v>#N/A</v>
      </c>
      <c r="O119" s="3" t="e">
        <f>IF(貼り付け用!$A$6&lt;&gt;"",
IF(ROW(O118)+2&gt;=MATCH("*【合計】*", 貼り付け用!$A:$A, 0),"",
IF(O$3&lt;&gt;"",IF(貼り付け用!O119&lt;&gt;"",貼り付け用!O119,""),"")),
IF(ROW(O119)+2&gt;=MATCH("*【合計】*", 貼り付け用!$A:$A, 0),"",
IF(O$3&lt;&gt;"",IF(貼り付け用!O120&lt;&gt;"",貼り付け用!O120,""),"")))</f>
        <v>#N/A</v>
      </c>
      <c r="P119" s="3" t="e">
        <f>IF(貼り付け用!$A$6&lt;&gt;"",
IF(ROW(P118)+2&gt;=MATCH("*【合計】*", 貼り付け用!$A:$A, 0),"",
IF(P$3&lt;&gt;"",IF(貼り付け用!P119&lt;&gt;"",貼り付け用!P119,""),"")),
IF(ROW(P119)+2&gt;=MATCH("*【合計】*", 貼り付け用!$A:$A, 0),"",
IF(P$3&lt;&gt;"",IF(貼り付け用!P120&lt;&gt;"",貼り付け用!P120,""),"")))</f>
        <v>#N/A</v>
      </c>
      <c r="Q119" s="3" t="e">
        <f>IF(貼り付け用!$A$6&lt;&gt;"",
IF(ROW(Q118)+2&gt;=MATCH("*【合計】*", 貼り付け用!$A:$A, 0),"",
IF(Q$3&lt;&gt;"",IF(貼り付け用!Q119&lt;&gt;"",貼り付け用!Q119,""),"")),
IF(ROW(Q119)+2&gt;=MATCH("*【合計】*", 貼り付け用!$A:$A, 0),"",
IF(Q$3&lt;&gt;"",IF(貼り付け用!Q120&lt;&gt;"",貼り付け用!Q120,""),"")))</f>
        <v>#N/A</v>
      </c>
      <c r="R119" s="3" t="e">
        <f>IF(貼り付け用!$A$6&lt;&gt;"",
IF(ROW(R118)+2&gt;=MATCH("*【合計】*", 貼り付け用!$A:$A, 0),"",
IF(R$3&lt;&gt;"",IF(貼り付け用!R119&lt;&gt;"",貼り付け用!R119,""),"")),
IF(ROW(R119)+2&gt;=MATCH("*【合計】*", 貼り付け用!$A:$A, 0),"",
IF(R$3&lt;&gt;"",IF(貼り付け用!R120&lt;&gt;"",貼り付け用!R120,""),"")))</f>
        <v>#N/A</v>
      </c>
      <c r="S119" s="3" t="e">
        <f>IF(貼り付け用!$A$6&lt;&gt;"",
IF(ROW(S118)+2&gt;=MATCH("*【合計】*", 貼り付け用!$A:$A, 0),"",
IF(S$3&lt;&gt;"",IF(貼り付け用!S119&lt;&gt;"",貼り付け用!S119,""),"")),
IF(ROW(S119)+2&gt;=MATCH("*【合計】*", 貼り付け用!$A:$A, 0),"",
IF(S$3&lt;&gt;"",IF(貼り付け用!S120&lt;&gt;"",貼り付け用!S120,""),"")))</f>
        <v>#N/A</v>
      </c>
      <c r="T119" s="2" t="e">
        <f t="array" ref="T119">IF(貼り付け用!$A$6&lt;&gt;"",
IF(INDEX(貼り付け用!A:Z, ROW(T118)+1, MATCH("おやつ", 貼り付け用!$A$3:$Z$3, 0))&lt;&gt;0,
INDEX(貼り付け用!A:Z, ROW(T118)+1, MATCH("おやつ", 貼り付け用!$A$3:$Z$3, 0)),""),
IF(INDEX(貼り付け用!A:Z, ROW(T119)+1, MATCH("おやつ", 貼り付け用!$A$3:$Z$3, 0))&lt;&gt;0,
INDEX(貼り付け用!A:Z, ROW(T119)+1, MATCH("おやつ", 貼り付け用!$A$3:$Z$3, 0)),""))</f>
        <v>#N/A</v>
      </c>
      <c r="U119" s="52"/>
      <c r="V119" s="8" t="e">
        <f t="array" ref="V119">IF(貼り付け用!$A$6&lt;&gt;"",
IF(INDEX(貼り付け用!A:Z, ROW(T118)+1, MATCH("おやつ", 貼り付け用!$A$3:$Z$3, 0)+1)&lt;&gt;0,
INDEX(貼り付け用!A:Z, ROW(T118)+1, MATCH("おやつ", 貼り付け用!$A$3:$Z$3, 0)+1),""),
IF(INDEX(貼り付け用!A:Z, ROW(T119)+1, MATCH("おやつ", 貼り付け用!$A$3:$Z$3, 0)+1)&lt;&gt;0,
INDEX(貼り付け用!A:Z, ROW(T119)+1, MATCH("おやつ", 貼り付け用!$A$3:$Z$3, 0)+1),""))</f>
        <v>#N/A</v>
      </c>
      <c r="W119" s="9" t="e">
        <f t="array" ref="W119">IF(貼り付け用!$A$6&lt;&gt;"",
IF(INDEX(貼り付け用!A:Z, ROW(T118)+1, MATCH("おやつ", 貼り付け用!$A$3:$Z$3, 0)+2)&lt;&gt;0,
INDEX(貼り付け用!A:Z, ROW(T118)+1, MATCH("おやつ", 貼り付け用!$A$3:$Z$3, 0)+2),""),
IF(INDEX(貼り付け用!A:Z, ROW(T119)+1, MATCH("おやつ", 貼り付け用!$A$3:$Z$3, 0)+2)&lt;&gt;0,
INDEX(貼り付け用!A:Z, ROW(T119)+1, MATCH("おやつ", 貼り付け用!$A$3:$Z$3, 0)+2),""))</f>
        <v>#N/A</v>
      </c>
    </row>
    <row r="120" spans="1:23" x14ac:dyDescent="0.45">
      <c r="A120" s="4" t="e">
        <f>IF(貼り付け用!$A$6&lt;&gt;"",
IF(ROW(A119)+1&gt;=MATCH("*10000*", 貼り付け用!$A:$A, 0),
IF(COUNTIF(A118,"*10000*"),"10001",
IF(COUNTIF(A118,"*10001*"),"10002",
IF(COUNTIF(A118,"*10002*"),"",
IF(COUNTIF(A118,""),"","10000")))),
IF(貼り付け用!A120&lt;&gt;"",貼り付け用!A120,"")),
IF(ROW(A120)+1&gt;=MATCH("*10000*", 貼り付け用!$A:$A, 0),
IF(COUNTIF(A118,"*10000*"),"10001",
IF(COUNTIF(A118,"*10001*"),"10002",
IF(COUNTIF(A118,"*10002*"),"",
IF(COUNTIF(A118,""),"","10000")))),
IF(貼り付け用!A121&lt;&gt;"",貼り付け用!A121,"")))</f>
        <v>#N/A</v>
      </c>
      <c r="B120" s="19" t="e">
        <f>IF(貼り付け用!$A$6&lt;&gt;"",
IF(ROW(B119)+2&gt;=MATCH("*【合計】*", 貼り付け用!$A:$A, 0),"",
IF(貼り付け用!B120&lt;&gt;"",貼り付け用!B120,"")),
IF(ROW(B120)+2&gt;=MATCH("*【合計】*", 貼り付け用!$A:$A, 0),"",
IF(貼り付け用!B121&lt;&gt;"",貼り付け用!B121,"")))</f>
        <v>#N/A</v>
      </c>
      <c r="C120" s="19" t="e">
        <f>IF(貼り付け用!$A$6&lt;&gt;"",
IF(ROW(C119)+2&gt;=MATCH("*【合計】*", 貼り付け用!$A:$A, 0),"",
IF(貼り付け用!C120&lt;&gt;"",貼り付け用!C120,"")),
IF(ROW(C120)+2&gt;=MATCH("*【合計】*", 貼り付け用!$A:$A, 0),"",
IF(貼り付け用!C121&lt;&gt;"",貼り付け用!C121,"")))</f>
        <v>#N/A</v>
      </c>
      <c r="D120" s="19" t="e">
        <f>IF(貼り付け用!$A$6&lt;&gt;"",
IF(ROW(D119)+2&gt;=MATCH("*【合計】*", 貼り付け用!$A:$A, 0),"",
IF(貼り付け用!D120&lt;&gt;"",貼り付け用!D120,"")),
IF(ROW(D120)+2&gt;=MATCH("*【合計】*", 貼り付け用!$A:$A, 0),"",
IF(貼り付け用!D121&lt;&gt;"",貼り付け用!D121,"")))</f>
        <v>#N/A</v>
      </c>
      <c r="E120" s="19" t="e">
        <f>IF(貼り付け用!$A$6&lt;&gt;"",
IF(ROW(E119)+2&gt;=MATCH("*【合計】*", 貼り付け用!$A:$A, 0),"",
IF(貼り付け用!E120&lt;&gt;"",貼り付け用!E120,"")),
IF(ROW(E120)+2&gt;=MATCH("*【合計】*", 貼り付け用!$A:$A, 0),"",
IF(貼り付け用!E121&lt;&gt;"",貼り付け用!E121,"")))</f>
        <v>#N/A</v>
      </c>
      <c r="F120" s="19" t="e">
        <f>IF(貼り付け用!$A$6&lt;&gt;"",
IF(ROW(F119)+2&gt;=MATCH("*【合計】*", 貼り付け用!$A:$A, 0),"",
IF(貼り付け用!F120&lt;&gt;"",貼り付け用!F120,"")),
IF(ROW(F120)+2&gt;=MATCH("*【合計】*", 貼り付け用!$A:$A, 0),"",
IF(貼り付け用!F121&lt;&gt;"",貼り付け用!F121,"")))</f>
        <v>#N/A</v>
      </c>
      <c r="G120" s="19" t="e">
        <f>IF(貼り付け用!$A$6&lt;&gt;"",
IF(ROW(G119)+2&gt;=MATCH("*【合計】*", 貼り付け用!$A:$A, 0),"",
IF(貼り付け用!G120&lt;&gt;"",貼り付け用!G120,"")),
IF(ROW(G120)+2&gt;=MATCH("*【合計】*", 貼り付け用!$A:$A, 0),"",
IF(貼り付け用!G121&lt;&gt;"",貼り付け用!G121,"")))</f>
        <v>#N/A</v>
      </c>
      <c r="H120" s="19" t="e">
        <f>IF(貼り付け用!$A$6&lt;&gt;"",
IF(ROW(H119)+2&gt;=MATCH("*【合計】*", 貼り付け用!$A:$A, 0),"",
IF(貼り付け用!H120&lt;&gt;"",貼り付け用!H120,"")),
IF(ROW(H120)+2&gt;=MATCH("*【合計】*", 貼り付け用!$A:$A, 0),"",
IF(貼り付け用!H121&lt;&gt;"",貼り付け用!H121,"")))</f>
        <v>#N/A</v>
      </c>
      <c r="I120" s="19" t="e">
        <f>IF(貼り付け用!$A$6&lt;&gt;"",
IF(ROW(I119)+2&gt;=MATCH("*【合計】*", 貼り付け用!$A:$A, 0),"",
IF(貼り付け用!I120&lt;&gt;"",貼り付け用!I120,"")),
IF(ROW(I120)+2&gt;=MATCH("*【合計】*", 貼り付け用!$A:$A, 0),"",
IF(貼り付け用!I121&lt;&gt;"",貼り付け用!I121,"")))</f>
        <v>#N/A</v>
      </c>
      <c r="J120" s="19" t="e">
        <f>IF(貼り付け用!$A$6&lt;&gt;"",
IF(ROW(J119)+2&gt;=MATCH("*【合計】*", 貼り付け用!$A:$A, 0),"",
IF(貼り付け用!J120&lt;&gt;"",貼り付け用!J120,"")),
IF(ROW(J120)+2&gt;=MATCH("*【合計】*", 貼り付け用!$A:$A, 0),"",
IF(貼り付け用!J121&lt;&gt;"",貼り付け用!J121,"")))</f>
        <v>#N/A</v>
      </c>
      <c r="K120" s="19" t="e">
        <f>IF(貼り付け用!$A$6&lt;&gt;"",
IF(ROW(K119)+2&gt;=MATCH("*【合計】*", 貼り付け用!$A:$A, 0),"",
IF(貼り付け用!K120&lt;&gt;"",貼り付け用!K120,"")),
IF(ROW(K120)+2&gt;=MATCH("*【合計】*", 貼り付け用!$A:$A, 0),"",
IF(貼り付け用!K121&lt;&gt;"",貼り付け用!K121,"")))</f>
        <v>#N/A</v>
      </c>
      <c r="L120" s="19" t="e">
        <f>IF(貼り付け用!$A$6&lt;&gt;"",
IF(ROW(L119)+2&gt;=MATCH("*【合計】*", 貼り付け用!$A:$A, 0),"",
IF(L$3&lt;&gt;"",IF(貼り付け用!L120&lt;&gt;"",貼り付け用!L120,""),"")),
IF(ROW(L120)+2&gt;=MATCH("*【合計】*", 貼り付け用!$A:$A, 0),"",
IF(L$3&lt;&gt;"",IF(貼り付け用!L121&lt;&gt;"",貼り付け用!L121,""),"")))</f>
        <v>#N/A</v>
      </c>
      <c r="M120" s="19" t="e">
        <f>IF(貼り付け用!$A$6&lt;&gt;"",
IF(ROW(M119)+2&gt;=MATCH("*【合計】*", 貼り付け用!$A:$A, 0),"",
IF(M$3&lt;&gt;"",IF(貼り付け用!M120&lt;&gt;"",貼り付け用!M120,""),"")),
IF(ROW(M120)+2&gt;=MATCH("*【合計】*", 貼り付け用!$A:$A, 0),"",
IF(M$3&lt;&gt;"",IF(貼り付け用!M121&lt;&gt;"",貼り付け用!M121,""),"")))</f>
        <v>#N/A</v>
      </c>
      <c r="N120" s="19" t="e">
        <f>IF(貼り付け用!$A$6&lt;&gt;"",
IF(ROW(N119)+2&gt;=MATCH("*【合計】*", 貼り付け用!$A:$A, 0),"",
IF(N$3&lt;&gt;"",IF(貼り付け用!N120&lt;&gt;"",貼り付け用!N120,""),"")),
IF(ROW(N120)+2&gt;=MATCH("*【合計】*", 貼り付け用!$A:$A, 0),"",
IF(N$3&lt;&gt;"",IF(貼り付け用!N121&lt;&gt;"",貼り付け用!N121,""),"")))</f>
        <v>#N/A</v>
      </c>
      <c r="O120" s="19" t="e">
        <f>IF(貼り付け用!$A$6&lt;&gt;"",
IF(ROW(O119)+2&gt;=MATCH("*【合計】*", 貼り付け用!$A:$A, 0),"",
IF(O$3&lt;&gt;"",IF(貼り付け用!O120&lt;&gt;"",貼り付け用!O120,""),"")),
IF(ROW(O120)+2&gt;=MATCH("*【合計】*", 貼り付け用!$A:$A, 0),"",
IF(O$3&lt;&gt;"",IF(貼り付け用!O121&lt;&gt;"",貼り付け用!O121,""),"")))</f>
        <v>#N/A</v>
      </c>
      <c r="P120" s="19" t="e">
        <f>IF(貼り付け用!$A$6&lt;&gt;"",
IF(ROW(P119)+2&gt;=MATCH("*【合計】*", 貼り付け用!$A:$A, 0),"",
IF(P$3&lt;&gt;"",IF(貼り付け用!P120&lt;&gt;"",貼り付け用!P120,""),"")),
IF(ROW(P120)+2&gt;=MATCH("*【合計】*", 貼り付け用!$A:$A, 0),"",
IF(P$3&lt;&gt;"",IF(貼り付け用!P121&lt;&gt;"",貼り付け用!P121,""),"")))</f>
        <v>#N/A</v>
      </c>
      <c r="Q120" s="19" t="e">
        <f>IF(貼り付け用!$A$6&lt;&gt;"",
IF(ROW(Q119)+2&gt;=MATCH("*【合計】*", 貼り付け用!$A:$A, 0),"",
IF(Q$3&lt;&gt;"",IF(貼り付け用!Q120&lt;&gt;"",貼り付け用!Q120,""),"")),
IF(ROW(Q120)+2&gt;=MATCH("*【合計】*", 貼り付け用!$A:$A, 0),"",
IF(Q$3&lt;&gt;"",IF(貼り付け用!Q121&lt;&gt;"",貼り付け用!Q121,""),"")))</f>
        <v>#N/A</v>
      </c>
      <c r="R120" s="19" t="e">
        <f>IF(貼り付け用!$A$6&lt;&gt;"",
IF(ROW(R119)+2&gt;=MATCH("*【合計】*", 貼り付け用!$A:$A, 0),"",
IF(R$3&lt;&gt;"",IF(貼り付け用!R120&lt;&gt;"",貼り付け用!R120,""),"")),
IF(ROW(R120)+2&gt;=MATCH("*【合計】*", 貼り付け用!$A:$A, 0),"",
IF(R$3&lt;&gt;"",IF(貼り付け用!R121&lt;&gt;"",貼り付け用!R121,""),"")))</f>
        <v>#N/A</v>
      </c>
      <c r="S120" s="19" t="e">
        <f>IF(貼り付け用!$A$6&lt;&gt;"",
IF(ROW(S119)+2&gt;=MATCH("*【合計】*", 貼り付け用!$A:$A, 0),"",
IF(S$3&lt;&gt;"",IF(貼り付け用!S120&lt;&gt;"",貼り付け用!S120,""),"")),
IF(ROW(S120)+2&gt;=MATCH("*【合計】*", 貼り付け用!$A:$A, 0),"",
IF(S$3&lt;&gt;"",IF(貼り付け用!S121&lt;&gt;"",貼り付け用!S121,""),"")))</f>
        <v>#N/A</v>
      </c>
      <c r="T120" s="19" t="e">
        <f t="array" ref="T120">IF(貼り付け用!$A$6&lt;&gt;"",
IF(INDEX(貼り付け用!A:Z, ROW(T119)+1, MATCH("おやつ", 貼り付け用!$A$3:$Z$3, 0))&lt;&gt;0,
INDEX(貼り付け用!A:Z, ROW(T119)+1, MATCH("おやつ", 貼り付け用!$A$3:$Z$3, 0)),""),
IF(INDEX(貼り付け用!A:Z, ROW(T120)+1, MATCH("おやつ", 貼り付け用!$A$3:$Z$3, 0))&lt;&gt;0,
INDEX(貼り付け用!A:Z, ROW(T120)+1, MATCH("おやつ", 貼り付け用!$A$3:$Z$3, 0)),""))</f>
        <v>#N/A</v>
      </c>
      <c r="U120" s="16"/>
      <c r="V120" s="5" t="e">
        <f t="array" ref="V120">IF(貼り付け用!$A$6&lt;&gt;"",
IF(INDEX(貼り付け用!A:Z, ROW(T119)+1, MATCH("おやつ", 貼り付け用!$A$3:$Z$3, 0)+1)&lt;&gt;0,
INDEX(貼り付け用!A:Z, ROW(T119)+1, MATCH("おやつ", 貼り付け用!$A$3:$Z$3, 0)+1),""),
IF(INDEX(貼り付け用!A:Z, ROW(T120)+1, MATCH("おやつ", 貼り付け用!$A$3:$Z$3, 0)+1)&lt;&gt;0,
INDEX(貼り付け用!A:Z, ROW(T120)+1, MATCH("おやつ", 貼り付け用!$A$3:$Z$3, 0)+1),""))</f>
        <v>#N/A</v>
      </c>
      <c r="W120" s="7" t="e">
        <f t="array" ref="W120">IF(貼り付け用!$A$6&lt;&gt;"",
IF(INDEX(貼り付け用!A:Z, ROW(T119)+1, MATCH("おやつ", 貼り付け用!$A$3:$Z$3, 0)+2)&lt;&gt;0,
INDEX(貼り付け用!A:Z, ROW(T119)+1, MATCH("おやつ", 貼り付け用!$A$3:$Z$3, 0)+2),""),
IF(INDEX(貼り付け用!A:Z, ROW(T120)+1, MATCH("おやつ", 貼り付け用!$A$3:$Z$3, 0)+2)&lt;&gt;0,
INDEX(貼り付け用!A:Z, ROW(T120)+1, MATCH("おやつ", 貼り付け用!$A$3:$Z$3, 0)+2),""))</f>
        <v>#N/A</v>
      </c>
    </row>
    <row r="121" spans="1:23" x14ac:dyDescent="0.45">
      <c r="A121" s="10" t="e">
        <f>IF(貼り付け用!$A$6&lt;&gt;"",
IF(ROW(A120)+1&gt;=MATCH("*10000*", 貼り付け用!$A:$A, 0),"",
IF(貼り付け用!A121&lt;&gt;"",貼り付け用!A121,"")),
IF(ROW(A121)+1&gt;=MATCH("*10000*", 貼り付け用!$A:$A, 0),"",
IF(貼り付け用!A122&lt;&gt;"",貼り付け用!A122,"")))</f>
        <v>#N/A</v>
      </c>
      <c r="B121" s="3" t="e">
        <f>IF(貼り付け用!$A$6&lt;&gt;"",
IF(ROW(B120)+2&gt;=MATCH("*【合計】*", 貼り付け用!$A:$A, 0),"",
IF(貼り付け用!B121&lt;&gt;"",貼り付け用!B121,"")),
IF(ROW(B121)+2&gt;=MATCH("*【合計】*", 貼り付け用!$A:$A, 0),"",
IF(貼り付け用!B122&lt;&gt;"",貼り付け用!B122,"")))</f>
        <v>#N/A</v>
      </c>
      <c r="C121" s="3" t="e">
        <f>IF(貼り付け用!$A$6&lt;&gt;"",
IF(ROW(C120)+2&gt;=MATCH("*【合計】*", 貼り付け用!$A:$A, 0),"",
IF(貼り付け用!C121&lt;&gt;"",貼り付け用!C121,"")),
IF(ROW(C121)+2&gt;=MATCH("*【合計】*", 貼り付け用!$A:$A, 0),"",
IF(貼り付け用!C122&lt;&gt;"",貼り付け用!C122,"")))</f>
        <v>#N/A</v>
      </c>
      <c r="D121" s="3" t="e">
        <f>IF(貼り付け用!$A$6&lt;&gt;"",
IF(ROW(D120)+2&gt;=MATCH("*【合計】*", 貼り付け用!$A:$A, 0),"",
IF(貼り付け用!D121&lt;&gt;"",貼り付け用!D121,"")),
IF(ROW(D121)+2&gt;=MATCH("*【合計】*", 貼り付け用!$A:$A, 0),"",
IF(貼り付け用!D122&lt;&gt;"",貼り付け用!D122,"")))</f>
        <v>#N/A</v>
      </c>
      <c r="E121" s="3" t="e">
        <f>IF(貼り付け用!$A$6&lt;&gt;"",
IF(ROW(E120)+2&gt;=MATCH("*【合計】*", 貼り付け用!$A:$A, 0),"",
IF(貼り付け用!E121&lt;&gt;"",貼り付け用!E121,"")),
IF(ROW(E121)+2&gt;=MATCH("*【合計】*", 貼り付け用!$A:$A, 0),"",
IF(貼り付け用!E122&lt;&gt;"",貼り付け用!E122,"")))</f>
        <v>#N/A</v>
      </c>
      <c r="F121" s="3" t="e">
        <f>IF(貼り付け用!$A$6&lt;&gt;"",
IF(ROW(F120)+2&gt;=MATCH("*【合計】*", 貼り付け用!$A:$A, 0),"",
IF(貼り付け用!F121&lt;&gt;"",貼り付け用!F121,"")),
IF(ROW(F121)+2&gt;=MATCH("*【合計】*", 貼り付け用!$A:$A, 0),"",
IF(貼り付け用!F122&lt;&gt;"",貼り付け用!F122,"")))</f>
        <v>#N/A</v>
      </c>
      <c r="G121" s="3" t="e">
        <f>IF(貼り付け用!$A$6&lt;&gt;"",
IF(ROW(G120)+2&gt;=MATCH("*【合計】*", 貼り付け用!$A:$A, 0),"",
IF(貼り付け用!G121&lt;&gt;"",貼り付け用!G121,"")),
IF(ROW(G121)+2&gt;=MATCH("*【合計】*", 貼り付け用!$A:$A, 0),"",
IF(貼り付け用!G122&lt;&gt;"",貼り付け用!G122,"")))</f>
        <v>#N/A</v>
      </c>
      <c r="H121" s="3" t="e">
        <f>IF(貼り付け用!$A$6&lt;&gt;"",
IF(ROW(H120)+2&gt;=MATCH("*【合計】*", 貼り付け用!$A:$A, 0),"",
IF(貼り付け用!H121&lt;&gt;"",貼り付け用!H121,"")),
IF(ROW(H121)+2&gt;=MATCH("*【合計】*", 貼り付け用!$A:$A, 0),"",
IF(貼り付け用!H122&lt;&gt;"",貼り付け用!H122,"")))</f>
        <v>#N/A</v>
      </c>
      <c r="I121" s="3" t="e">
        <f>IF(貼り付け用!$A$6&lt;&gt;"",
IF(ROW(I120)+2&gt;=MATCH("*【合計】*", 貼り付け用!$A:$A, 0),"",
IF(貼り付け用!I121&lt;&gt;"",貼り付け用!I121,"")),
IF(ROW(I121)+2&gt;=MATCH("*【合計】*", 貼り付け用!$A:$A, 0),"",
IF(貼り付け用!I122&lt;&gt;"",貼り付け用!I122,"")))</f>
        <v>#N/A</v>
      </c>
      <c r="J121" s="3" t="e">
        <f>IF(貼り付け用!$A$6&lt;&gt;"",
IF(ROW(J120)+2&gt;=MATCH("*【合計】*", 貼り付け用!$A:$A, 0),"",
IF(貼り付け用!J121&lt;&gt;"",貼り付け用!J121,"")),
IF(ROW(J121)+2&gt;=MATCH("*【合計】*", 貼り付け用!$A:$A, 0),"",
IF(貼り付け用!J122&lt;&gt;"",貼り付け用!J122,"")))</f>
        <v>#N/A</v>
      </c>
      <c r="K121" s="3" t="e">
        <f>IF(貼り付け用!$A$6&lt;&gt;"",
IF(ROW(K120)+2&gt;=MATCH("*【合計】*", 貼り付け用!$A:$A, 0),"",
IF(貼り付け用!K121&lt;&gt;"",貼り付け用!K121,"")),
IF(ROW(K121)+2&gt;=MATCH("*【合計】*", 貼り付け用!$A:$A, 0),"",
IF(貼り付け用!K122&lt;&gt;"",貼り付け用!K122,"")))</f>
        <v>#N/A</v>
      </c>
      <c r="L121" s="3" t="e">
        <f>IF(貼り付け用!$A$6&lt;&gt;"",
IF(ROW(L120)+2&gt;=MATCH("*【合計】*", 貼り付け用!$A:$A, 0),"",
IF(L$3&lt;&gt;"",IF(貼り付け用!L121&lt;&gt;"",貼り付け用!L121,""),"")),
IF(ROW(L121)+2&gt;=MATCH("*【合計】*", 貼り付け用!$A:$A, 0),"",
IF(L$3&lt;&gt;"",IF(貼り付け用!L122&lt;&gt;"",貼り付け用!L122,""),"")))</f>
        <v>#N/A</v>
      </c>
      <c r="M121" s="3" t="e">
        <f>IF(貼り付け用!$A$6&lt;&gt;"",
IF(ROW(M120)+2&gt;=MATCH("*【合計】*", 貼り付け用!$A:$A, 0),"",
IF(M$3&lt;&gt;"",IF(貼り付け用!M121&lt;&gt;"",貼り付け用!M121,""),"")),
IF(ROW(M121)+2&gt;=MATCH("*【合計】*", 貼り付け用!$A:$A, 0),"",
IF(M$3&lt;&gt;"",IF(貼り付け用!M122&lt;&gt;"",貼り付け用!M122,""),"")))</f>
        <v>#N/A</v>
      </c>
      <c r="N121" s="3" t="e">
        <f>IF(貼り付け用!$A$6&lt;&gt;"",
IF(ROW(N120)+2&gt;=MATCH("*【合計】*", 貼り付け用!$A:$A, 0),"",
IF(N$3&lt;&gt;"",IF(貼り付け用!N121&lt;&gt;"",貼り付け用!N121,""),"")),
IF(ROW(N121)+2&gt;=MATCH("*【合計】*", 貼り付け用!$A:$A, 0),"",
IF(N$3&lt;&gt;"",IF(貼り付け用!N122&lt;&gt;"",貼り付け用!N122,""),"")))</f>
        <v>#N/A</v>
      </c>
      <c r="O121" s="3" t="e">
        <f>IF(貼り付け用!$A$6&lt;&gt;"",
IF(ROW(O120)+2&gt;=MATCH("*【合計】*", 貼り付け用!$A:$A, 0),"",
IF(O$3&lt;&gt;"",IF(貼り付け用!O121&lt;&gt;"",貼り付け用!O121,""),"")),
IF(ROW(O121)+2&gt;=MATCH("*【合計】*", 貼り付け用!$A:$A, 0),"",
IF(O$3&lt;&gt;"",IF(貼り付け用!O122&lt;&gt;"",貼り付け用!O122,""),"")))</f>
        <v>#N/A</v>
      </c>
      <c r="P121" s="3" t="e">
        <f>IF(貼り付け用!$A$6&lt;&gt;"",
IF(ROW(P120)+2&gt;=MATCH("*【合計】*", 貼り付け用!$A:$A, 0),"",
IF(P$3&lt;&gt;"",IF(貼り付け用!P121&lt;&gt;"",貼り付け用!P121,""),"")),
IF(ROW(P121)+2&gt;=MATCH("*【合計】*", 貼り付け用!$A:$A, 0),"",
IF(P$3&lt;&gt;"",IF(貼り付け用!P122&lt;&gt;"",貼り付け用!P122,""),"")))</f>
        <v>#N/A</v>
      </c>
      <c r="Q121" s="3" t="e">
        <f>IF(貼り付け用!$A$6&lt;&gt;"",
IF(ROW(Q120)+2&gt;=MATCH("*【合計】*", 貼り付け用!$A:$A, 0),"",
IF(Q$3&lt;&gt;"",IF(貼り付け用!Q121&lt;&gt;"",貼り付け用!Q121,""),"")),
IF(ROW(Q121)+2&gt;=MATCH("*【合計】*", 貼り付け用!$A:$A, 0),"",
IF(Q$3&lt;&gt;"",IF(貼り付け用!Q122&lt;&gt;"",貼り付け用!Q122,""),"")))</f>
        <v>#N/A</v>
      </c>
      <c r="R121" s="3" t="e">
        <f>IF(貼り付け用!$A$6&lt;&gt;"",
IF(ROW(R120)+2&gt;=MATCH("*【合計】*", 貼り付け用!$A:$A, 0),"",
IF(R$3&lt;&gt;"",IF(貼り付け用!R121&lt;&gt;"",貼り付け用!R121,""),"")),
IF(ROW(R121)+2&gt;=MATCH("*【合計】*", 貼り付け用!$A:$A, 0),"",
IF(R$3&lt;&gt;"",IF(貼り付け用!R122&lt;&gt;"",貼り付け用!R122,""),"")))</f>
        <v>#N/A</v>
      </c>
      <c r="S121" s="3" t="e">
        <f>IF(貼り付け用!$A$6&lt;&gt;"",
IF(ROW(S120)+2&gt;=MATCH("*【合計】*", 貼り付け用!$A:$A, 0),"",
IF(S$3&lt;&gt;"",IF(貼り付け用!S121&lt;&gt;"",貼り付け用!S121,""),"")),
IF(ROW(S121)+2&gt;=MATCH("*【合計】*", 貼り付け用!$A:$A, 0),"",
IF(S$3&lt;&gt;"",IF(貼り付け用!S122&lt;&gt;"",貼り付け用!S122,""),"")))</f>
        <v>#N/A</v>
      </c>
      <c r="T121" s="2" t="e">
        <f t="array" ref="T121">IF(貼り付け用!$A$6&lt;&gt;"",
IF(INDEX(貼り付け用!A:Z, ROW(T120)+1, MATCH("おやつ", 貼り付け用!$A$3:$Z$3, 0))&lt;&gt;0,
INDEX(貼り付け用!A:Z, ROW(T120)+1, MATCH("おやつ", 貼り付け用!$A$3:$Z$3, 0)),""),
IF(INDEX(貼り付け用!A:Z, ROW(T121)+1, MATCH("おやつ", 貼り付け用!$A$3:$Z$3, 0))&lt;&gt;0,
INDEX(貼り付け用!A:Z, ROW(T121)+1, MATCH("おやつ", 貼り付け用!$A$3:$Z$3, 0)),""))</f>
        <v>#N/A</v>
      </c>
      <c r="U121" s="52"/>
      <c r="V121" s="8" t="e">
        <f t="array" ref="V121">IF(貼り付け用!$A$6&lt;&gt;"",
IF(INDEX(貼り付け用!A:Z, ROW(T120)+1, MATCH("おやつ", 貼り付け用!$A$3:$Z$3, 0)+1)&lt;&gt;0,
INDEX(貼り付け用!A:Z, ROW(T120)+1, MATCH("おやつ", 貼り付け用!$A$3:$Z$3, 0)+1),""),
IF(INDEX(貼り付け用!A:Z, ROW(T121)+1, MATCH("おやつ", 貼り付け用!$A$3:$Z$3, 0)+1)&lt;&gt;0,
INDEX(貼り付け用!A:Z, ROW(T121)+1, MATCH("おやつ", 貼り付け用!$A$3:$Z$3, 0)+1),""))</f>
        <v>#N/A</v>
      </c>
      <c r="W121" s="9" t="e">
        <f t="array" ref="W121">IF(貼り付け用!$A$6&lt;&gt;"",
IF(INDEX(貼り付け用!A:Z, ROW(T120)+1, MATCH("おやつ", 貼り付け用!$A$3:$Z$3, 0)+2)&lt;&gt;0,
INDEX(貼り付け用!A:Z, ROW(T120)+1, MATCH("おやつ", 貼り付け用!$A$3:$Z$3, 0)+2),""),
IF(INDEX(貼り付け用!A:Z, ROW(T121)+1, MATCH("おやつ", 貼り付け用!$A$3:$Z$3, 0)+2)&lt;&gt;0,
INDEX(貼り付け用!A:Z, ROW(T121)+1, MATCH("おやつ", 貼り付け用!$A$3:$Z$3, 0)+2),""))</f>
        <v>#N/A</v>
      </c>
    </row>
    <row r="122" spans="1:23" x14ac:dyDescent="0.45">
      <c r="A122" s="4" t="e">
        <f>IF(貼り付け用!$A$6&lt;&gt;"",
IF(ROW(A121)+1&gt;=MATCH("*10000*", 貼り付け用!$A:$A, 0),
IF(COUNTIF(A120,"*10000*"),"10001",
IF(COUNTIF(A120,"*10001*"),"10002",
IF(COUNTIF(A120,"*10002*"),"",
IF(COUNTIF(A120,""),"","10000")))),
IF(貼り付け用!A122&lt;&gt;"",貼り付け用!A122,"")),
IF(ROW(A122)+1&gt;=MATCH("*10000*", 貼り付け用!$A:$A, 0),
IF(COUNTIF(A120,"*10000*"),"10001",
IF(COUNTIF(A120,"*10001*"),"10002",
IF(COUNTIF(A120,"*10002*"),"",
IF(COUNTIF(A120,""),"","10000")))),
IF(貼り付け用!A123&lt;&gt;"",貼り付け用!A123,"")))</f>
        <v>#N/A</v>
      </c>
      <c r="B122" s="19" t="e">
        <f>IF(貼り付け用!$A$6&lt;&gt;"",
IF(ROW(B121)+2&gt;=MATCH("*【合計】*", 貼り付け用!$A:$A, 0),"",
IF(貼り付け用!B122&lt;&gt;"",貼り付け用!B122,"")),
IF(ROW(B122)+2&gt;=MATCH("*【合計】*", 貼り付け用!$A:$A, 0),"",
IF(貼り付け用!B123&lt;&gt;"",貼り付け用!B123,"")))</f>
        <v>#N/A</v>
      </c>
      <c r="C122" s="19" t="e">
        <f>IF(貼り付け用!$A$6&lt;&gt;"",
IF(ROW(C121)+2&gt;=MATCH("*【合計】*", 貼り付け用!$A:$A, 0),"",
IF(貼り付け用!C122&lt;&gt;"",貼り付け用!C122,"")),
IF(ROW(C122)+2&gt;=MATCH("*【合計】*", 貼り付け用!$A:$A, 0),"",
IF(貼り付け用!C123&lt;&gt;"",貼り付け用!C123,"")))</f>
        <v>#N/A</v>
      </c>
      <c r="D122" s="19" t="e">
        <f>IF(貼り付け用!$A$6&lt;&gt;"",
IF(ROW(D121)+2&gt;=MATCH("*【合計】*", 貼り付け用!$A:$A, 0),"",
IF(貼り付け用!D122&lt;&gt;"",貼り付け用!D122,"")),
IF(ROW(D122)+2&gt;=MATCH("*【合計】*", 貼り付け用!$A:$A, 0),"",
IF(貼り付け用!D123&lt;&gt;"",貼り付け用!D123,"")))</f>
        <v>#N/A</v>
      </c>
      <c r="E122" s="19" t="e">
        <f>IF(貼り付け用!$A$6&lt;&gt;"",
IF(ROW(E121)+2&gt;=MATCH("*【合計】*", 貼り付け用!$A:$A, 0),"",
IF(貼り付け用!E122&lt;&gt;"",貼り付け用!E122,"")),
IF(ROW(E122)+2&gt;=MATCH("*【合計】*", 貼り付け用!$A:$A, 0),"",
IF(貼り付け用!E123&lt;&gt;"",貼り付け用!E123,"")))</f>
        <v>#N/A</v>
      </c>
      <c r="F122" s="19" t="e">
        <f>IF(貼り付け用!$A$6&lt;&gt;"",
IF(ROW(F121)+2&gt;=MATCH("*【合計】*", 貼り付け用!$A:$A, 0),"",
IF(貼り付け用!F122&lt;&gt;"",貼り付け用!F122,"")),
IF(ROW(F122)+2&gt;=MATCH("*【合計】*", 貼り付け用!$A:$A, 0),"",
IF(貼り付け用!F123&lt;&gt;"",貼り付け用!F123,"")))</f>
        <v>#N/A</v>
      </c>
      <c r="G122" s="19" t="e">
        <f>IF(貼り付け用!$A$6&lt;&gt;"",
IF(ROW(G121)+2&gt;=MATCH("*【合計】*", 貼り付け用!$A:$A, 0),"",
IF(貼り付け用!G122&lt;&gt;"",貼り付け用!G122,"")),
IF(ROW(G122)+2&gt;=MATCH("*【合計】*", 貼り付け用!$A:$A, 0),"",
IF(貼り付け用!G123&lt;&gt;"",貼り付け用!G123,"")))</f>
        <v>#N/A</v>
      </c>
      <c r="H122" s="19" t="e">
        <f>IF(貼り付け用!$A$6&lt;&gt;"",
IF(ROW(H121)+2&gt;=MATCH("*【合計】*", 貼り付け用!$A:$A, 0),"",
IF(貼り付け用!H122&lt;&gt;"",貼り付け用!H122,"")),
IF(ROW(H122)+2&gt;=MATCH("*【合計】*", 貼り付け用!$A:$A, 0),"",
IF(貼り付け用!H123&lt;&gt;"",貼り付け用!H123,"")))</f>
        <v>#N/A</v>
      </c>
      <c r="I122" s="19" t="e">
        <f>IF(貼り付け用!$A$6&lt;&gt;"",
IF(ROW(I121)+2&gt;=MATCH("*【合計】*", 貼り付け用!$A:$A, 0),"",
IF(貼り付け用!I122&lt;&gt;"",貼り付け用!I122,"")),
IF(ROW(I122)+2&gt;=MATCH("*【合計】*", 貼り付け用!$A:$A, 0),"",
IF(貼り付け用!I123&lt;&gt;"",貼り付け用!I123,"")))</f>
        <v>#N/A</v>
      </c>
      <c r="J122" s="19" t="e">
        <f>IF(貼り付け用!$A$6&lt;&gt;"",
IF(ROW(J121)+2&gt;=MATCH("*【合計】*", 貼り付け用!$A:$A, 0),"",
IF(貼り付け用!J122&lt;&gt;"",貼り付け用!J122,"")),
IF(ROW(J122)+2&gt;=MATCH("*【合計】*", 貼り付け用!$A:$A, 0),"",
IF(貼り付け用!J123&lt;&gt;"",貼り付け用!J123,"")))</f>
        <v>#N/A</v>
      </c>
      <c r="K122" s="19" t="e">
        <f>IF(貼り付け用!$A$6&lt;&gt;"",
IF(ROW(K121)+2&gt;=MATCH("*【合計】*", 貼り付け用!$A:$A, 0),"",
IF(貼り付け用!K122&lt;&gt;"",貼り付け用!K122,"")),
IF(ROW(K122)+2&gt;=MATCH("*【合計】*", 貼り付け用!$A:$A, 0),"",
IF(貼り付け用!K123&lt;&gt;"",貼り付け用!K123,"")))</f>
        <v>#N/A</v>
      </c>
      <c r="L122" s="19" t="e">
        <f>IF(貼り付け用!$A$6&lt;&gt;"",
IF(ROW(L121)+2&gt;=MATCH("*【合計】*", 貼り付け用!$A:$A, 0),"",
IF(L$3&lt;&gt;"",IF(貼り付け用!L122&lt;&gt;"",貼り付け用!L122,""),"")),
IF(ROW(L122)+2&gt;=MATCH("*【合計】*", 貼り付け用!$A:$A, 0),"",
IF(L$3&lt;&gt;"",IF(貼り付け用!L123&lt;&gt;"",貼り付け用!L123,""),"")))</f>
        <v>#N/A</v>
      </c>
      <c r="M122" s="19" t="e">
        <f>IF(貼り付け用!$A$6&lt;&gt;"",
IF(ROW(M121)+2&gt;=MATCH("*【合計】*", 貼り付け用!$A:$A, 0),"",
IF(M$3&lt;&gt;"",IF(貼り付け用!M122&lt;&gt;"",貼り付け用!M122,""),"")),
IF(ROW(M122)+2&gt;=MATCH("*【合計】*", 貼り付け用!$A:$A, 0),"",
IF(M$3&lt;&gt;"",IF(貼り付け用!M123&lt;&gt;"",貼り付け用!M123,""),"")))</f>
        <v>#N/A</v>
      </c>
      <c r="N122" s="19" t="e">
        <f>IF(貼り付け用!$A$6&lt;&gt;"",
IF(ROW(N121)+2&gt;=MATCH("*【合計】*", 貼り付け用!$A:$A, 0),"",
IF(N$3&lt;&gt;"",IF(貼り付け用!N122&lt;&gt;"",貼り付け用!N122,""),"")),
IF(ROW(N122)+2&gt;=MATCH("*【合計】*", 貼り付け用!$A:$A, 0),"",
IF(N$3&lt;&gt;"",IF(貼り付け用!N123&lt;&gt;"",貼り付け用!N123,""),"")))</f>
        <v>#N/A</v>
      </c>
      <c r="O122" s="19" t="e">
        <f>IF(貼り付け用!$A$6&lt;&gt;"",
IF(ROW(O121)+2&gt;=MATCH("*【合計】*", 貼り付け用!$A:$A, 0),"",
IF(O$3&lt;&gt;"",IF(貼り付け用!O122&lt;&gt;"",貼り付け用!O122,""),"")),
IF(ROW(O122)+2&gt;=MATCH("*【合計】*", 貼り付け用!$A:$A, 0),"",
IF(O$3&lt;&gt;"",IF(貼り付け用!O123&lt;&gt;"",貼り付け用!O123,""),"")))</f>
        <v>#N/A</v>
      </c>
      <c r="P122" s="19" t="e">
        <f>IF(貼り付け用!$A$6&lt;&gt;"",
IF(ROW(P121)+2&gt;=MATCH("*【合計】*", 貼り付け用!$A:$A, 0),"",
IF(P$3&lt;&gt;"",IF(貼り付け用!P122&lt;&gt;"",貼り付け用!P122,""),"")),
IF(ROW(P122)+2&gt;=MATCH("*【合計】*", 貼り付け用!$A:$A, 0),"",
IF(P$3&lt;&gt;"",IF(貼り付け用!P123&lt;&gt;"",貼り付け用!P123,""),"")))</f>
        <v>#N/A</v>
      </c>
      <c r="Q122" s="19" t="e">
        <f>IF(貼り付け用!$A$6&lt;&gt;"",
IF(ROW(Q121)+2&gt;=MATCH("*【合計】*", 貼り付け用!$A:$A, 0),"",
IF(Q$3&lt;&gt;"",IF(貼り付け用!Q122&lt;&gt;"",貼り付け用!Q122,""),"")),
IF(ROW(Q122)+2&gt;=MATCH("*【合計】*", 貼り付け用!$A:$A, 0),"",
IF(Q$3&lt;&gt;"",IF(貼り付け用!Q123&lt;&gt;"",貼り付け用!Q123,""),"")))</f>
        <v>#N/A</v>
      </c>
      <c r="R122" s="19" t="e">
        <f>IF(貼り付け用!$A$6&lt;&gt;"",
IF(ROW(R121)+2&gt;=MATCH("*【合計】*", 貼り付け用!$A:$A, 0),"",
IF(R$3&lt;&gt;"",IF(貼り付け用!R122&lt;&gt;"",貼り付け用!R122,""),"")),
IF(ROW(R122)+2&gt;=MATCH("*【合計】*", 貼り付け用!$A:$A, 0),"",
IF(R$3&lt;&gt;"",IF(貼り付け用!R123&lt;&gt;"",貼り付け用!R123,""),"")))</f>
        <v>#N/A</v>
      </c>
      <c r="S122" s="19" t="e">
        <f>IF(貼り付け用!$A$6&lt;&gt;"",
IF(ROW(S121)+2&gt;=MATCH("*【合計】*", 貼り付け用!$A:$A, 0),"",
IF(S$3&lt;&gt;"",IF(貼り付け用!S122&lt;&gt;"",貼り付け用!S122,""),"")),
IF(ROW(S122)+2&gt;=MATCH("*【合計】*", 貼り付け用!$A:$A, 0),"",
IF(S$3&lt;&gt;"",IF(貼り付け用!S123&lt;&gt;"",貼り付け用!S123,""),"")))</f>
        <v>#N/A</v>
      </c>
      <c r="T122" s="19" t="e">
        <f t="array" ref="T122">IF(貼り付け用!$A$6&lt;&gt;"",
IF(INDEX(貼り付け用!A:Z, ROW(T121)+1, MATCH("おやつ", 貼り付け用!$A$3:$Z$3, 0))&lt;&gt;0,
INDEX(貼り付け用!A:Z, ROW(T121)+1, MATCH("おやつ", 貼り付け用!$A$3:$Z$3, 0)),""),
IF(INDEX(貼り付け用!A:Z, ROW(T122)+1, MATCH("おやつ", 貼り付け用!$A$3:$Z$3, 0))&lt;&gt;0,
INDEX(貼り付け用!A:Z, ROW(T122)+1, MATCH("おやつ", 貼り付け用!$A$3:$Z$3, 0)),""))</f>
        <v>#N/A</v>
      </c>
      <c r="U122" s="16"/>
      <c r="V122" s="5" t="e">
        <f t="array" ref="V122">IF(貼り付け用!$A$6&lt;&gt;"",
IF(INDEX(貼り付け用!A:Z, ROW(T121)+1, MATCH("おやつ", 貼り付け用!$A$3:$Z$3, 0)+1)&lt;&gt;0,
INDEX(貼り付け用!A:Z, ROW(T121)+1, MATCH("おやつ", 貼り付け用!$A$3:$Z$3, 0)+1),""),
IF(INDEX(貼り付け用!A:Z, ROW(T122)+1, MATCH("おやつ", 貼り付け用!$A$3:$Z$3, 0)+1)&lt;&gt;0,
INDEX(貼り付け用!A:Z, ROW(T122)+1, MATCH("おやつ", 貼り付け用!$A$3:$Z$3, 0)+1),""))</f>
        <v>#N/A</v>
      </c>
      <c r="W122" s="7" t="e">
        <f t="array" ref="W122">IF(貼り付け用!$A$6&lt;&gt;"",
IF(INDEX(貼り付け用!A:Z, ROW(T121)+1, MATCH("おやつ", 貼り付け用!$A$3:$Z$3, 0)+2)&lt;&gt;0,
INDEX(貼り付け用!A:Z, ROW(T121)+1, MATCH("おやつ", 貼り付け用!$A$3:$Z$3, 0)+2),""),
IF(INDEX(貼り付け用!A:Z, ROW(T122)+1, MATCH("おやつ", 貼り付け用!$A$3:$Z$3, 0)+2)&lt;&gt;0,
INDEX(貼り付け用!A:Z, ROW(T122)+1, MATCH("おやつ", 貼り付け用!$A$3:$Z$3, 0)+2),""))</f>
        <v>#N/A</v>
      </c>
    </row>
    <row r="123" spans="1:23" x14ac:dyDescent="0.45">
      <c r="A123" s="10" t="e">
        <f>IF(貼り付け用!$A$6&lt;&gt;"",
IF(ROW(A122)+1&gt;=MATCH("*10000*", 貼り付け用!$A:$A, 0),"",
IF(貼り付け用!A123&lt;&gt;"",貼り付け用!A123,"")),
IF(ROW(A123)+1&gt;=MATCH("*10000*", 貼り付け用!$A:$A, 0),"",
IF(貼り付け用!A124&lt;&gt;"",貼り付け用!A124,"")))</f>
        <v>#N/A</v>
      </c>
      <c r="B123" s="3" t="e">
        <f>IF(貼り付け用!$A$6&lt;&gt;"",
IF(ROW(B122)+2&gt;=MATCH("*【合計】*", 貼り付け用!$A:$A, 0),"",
IF(貼り付け用!B123&lt;&gt;"",貼り付け用!B123,"")),
IF(ROW(B123)+2&gt;=MATCH("*【合計】*", 貼り付け用!$A:$A, 0),"",
IF(貼り付け用!B124&lt;&gt;"",貼り付け用!B124,"")))</f>
        <v>#N/A</v>
      </c>
      <c r="C123" s="3" t="e">
        <f>IF(貼り付け用!$A$6&lt;&gt;"",
IF(ROW(C122)+2&gt;=MATCH("*【合計】*", 貼り付け用!$A:$A, 0),"",
IF(貼り付け用!C123&lt;&gt;"",貼り付け用!C123,"")),
IF(ROW(C123)+2&gt;=MATCH("*【合計】*", 貼り付け用!$A:$A, 0),"",
IF(貼り付け用!C124&lt;&gt;"",貼り付け用!C124,"")))</f>
        <v>#N/A</v>
      </c>
      <c r="D123" s="3" t="e">
        <f>IF(貼り付け用!$A$6&lt;&gt;"",
IF(ROW(D122)+2&gt;=MATCH("*【合計】*", 貼り付け用!$A:$A, 0),"",
IF(貼り付け用!D123&lt;&gt;"",貼り付け用!D123,"")),
IF(ROW(D123)+2&gt;=MATCH("*【合計】*", 貼り付け用!$A:$A, 0),"",
IF(貼り付け用!D124&lt;&gt;"",貼り付け用!D124,"")))</f>
        <v>#N/A</v>
      </c>
      <c r="E123" s="3" t="e">
        <f>IF(貼り付け用!$A$6&lt;&gt;"",
IF(ROW(E122)+2&gt;=MATCH("*【合計】*", 貼り付け用!$A:$A, 0),"",
IF(貼り付け用!E123&lt;&gt;"",貼り付け用!E123,"")),
IF(ROW(E123)+2&gt;=MATCH("*【合計】*", 貼り付け用!$A:$A, 0),"",
IF(貼り付け用!E124&lt;&gt;"",貼り付け用!E124,"")))</f>
        <v>#N/A</v>
      </c>
      <c r="F123" s="3" t="e">
        <f>IF(貼り付け用!$A$6&lt;&gt;"",
IF(ROW(F122)+2&gt;=MATCH("*【合計】*", 貼り付け用!$A:$A, 0),"",
IF(貼り付け用!F123&lt;&gt;"",貼り付け用!F123,"")),
IF(ROW(F123)+2&gt;=MATCH("*【合計】*", 貼り付け用!$A:$A, 0),"",
IF(貼り付け用!F124&lt;&gt;"",貼り付け用!F124,"")))</f>
        <v>#N/A</v>
      </c>
      <c r="G123" s="3" t="e">
        <f>IF(貼り付け用!$A$6&lt;&gt;"",
IF(ROW(G122)+2&gt;=MATCH("*【合計】*", 貼り付け用!$A:$A, 0),"",
IF(貼り付け用!G123&lt;&gt;"",貼り付け用!G123,"")),
IF(ROW(G123)+2&gt;=MATCH("*【合計】*", 貼り付け用!$A:$A, 0),"",
IF(貼り付け用!G124&lt;&gt;"",貼り付け用!G124,"")))</f>
        <v>#N/A</v>
      </c>
      <c r="H123" s="3" t="e">
        <f>IF(貼り付け用!$A$6&lt;&gt;"",
IF(ROW(H122)+2&gt;=MATCH("*【合計】*", 貼り付け用!$A:$A, 0),"",
IF(貼り付け用!H123&lt;&gt;"",貼り付け用!H123,"")),
IF(ROW(H123)+2&gt;=MATCH("*【合計】*", 貼り付け用!$A:$A, 0),"",
IF(貼り付け用!H124&lt;&gt;"",貼り付け用!H124,"")))</f>
        <v>#N/A</v>
      </c>
      <c r="I123" s="3" t="e">
        <f>IF(貼り付け用!$A$6&lt;&gt;"",
IF(ROW(I122)+2&gt;=MATCH("*【合計】*", 貼り付け用!$A:$A, 0),"",
IF(貼り付け用!I123&lt;&gt;"",貼り付け用!I123,"")),
IF(ROW(I123)+2&gt;=MATCH("*【合計】*", 貼り付け用!$A:$A, 0),"",
IF(貼り付け用!I124&lt;&gt;"",貼り付け用!I124,"")))</f>
        <v>#N/A</v>
      </c>
      <c r="J123" s="3" t="e">
        <f>IF(貼り付け用!$A$6&lt;&gt;"",
IF(ROW(J122)+2&gt;=MATCH("*【合計】*", 貼り付け用!$A:$A, 0),"",
IF(貼り付け用!J123&lt;&gt;"",貼り付け用!J123,"")),
IF(ROW(J123)+2&gt;=MATCH("*【合計】*", 貼り付け用!$A:$A, 0),"",
IF(貼り付け用!J124&lt;&gt;"",貼り付け用!J124,"")))</f>
        <v>#N/A</v>
      </c>
      <c r="K123" s="3" t="e">
        <f>IF(貼り付け用!$A$6&lt;&gt;"",
IF(ROW(K122)+2&gt;=MATCH("*【合計】*", 貼り付け用!$A:$A, 0),"",
IF(貼り付け用!K123&lt;&gt;"",貼り付け用!K123,"")),
IF(ROW(K123)+2&gt;=MATCH("*【合計】*", 貼り付け用!$A:$A, 0),"",
IF(貼り付け用!K124&lt;&gt;"",貼り付け用!K124,"")))</f>
        <v>#N/A</v>
      </c>
      <c r="L123" s="3" t="e">
        <f>IF(貼り付け用!$A$6&lt;&gt;"",
IF(ROW(L122)+2&gt;=MATCH("*【合計】*", 貼り付け用!$A:$A, 0),"",
IF(L$3&lt;&gt;"",IF(貼り付け用!L123&lt;&gt;"",貼り付け用!L123,""),"")),
IF(ROW(L123)+2&gt;=MATCH("*【合計】*", 貼り付け用!$A:$A, 0),"",
IF(L$3&lt;&gt;"",IF(貼り付け用!L124&lt;&gt;"",貼り付け用!L124,""),"")))</f>
        <v>#N/A</v>
      </c>
      <c r="M123" s="3" t="e">
        <f>IF(貼り付け用!$A$6&lt;&gt;"",
IF(ROW(M122)+2&gt;=MATCH("*【合計】*", 貼り付け用!$A:$A, 0),"",
IF(M$3&lt;&gt;"",IF(貼り付け用!M123&lt;&gt;"",貼り付け用!M123,""),"")),
IF(ROW(M123)+2&gt;=MATCH("*【合計】*", 貼り付け用!$A:$A, 0),"",
IF(M$3&lt;&gt;"",IF(貼り付け用!M124&lt;&gt;"",貼り付け用!M124,""),"")))</f>
        <v>#N/A</v>
      </c>
      <c r="N123" s="3" t="e">
        <f>IF(貼り付け用!$A$6&lt;&gt;"",
IF(ROW(N122)+2&gt;=MATCH("*【合計】*", 貼り付け用!$A:$A, 0),"",
IF(N$3&lt;&gt;"",IF(貼り付け用!N123&lt;&gt;"",貼り付け用!N123,""),"")),
IF(ROW(N123)+2&gt;=MATCH("*【合計】*", 貼り付け用!$A:$A, 0),"",
IF(N$3&lt;&gt;"",IF(貼り付け用!N124&lt;&gt;"",貼り付け用!N124,""),"")))</f>
        <v>#N/A</v>
      </c>
      <c r="O123" s="3" t="e">
        <f>IF(貼り付け用!$A$6&lt;&gt;"",
IF(ROW(O122)+2&gt;=MATCH("*【合計】*", 貼り付け用!$A:$A, 0),"",
IF(O$3&lt;&gt;"",IF(貼り付け用!O123&lt;&gt;"",貼り付け用!O123,""),"")),
IF(ROW(O123)+2&gt;=MATCH("*【合計】*", 貼り付け用!$A:$A, 0),"",
IF(O$3&lt;&gt;"",IF(貼り付け用!O124&lt;&gt;"",貼り付け用!O124,""),"")))</f>
        <v>#N/A</v>
      </c>
      <c r="P123" s="3" t="e">
        <f>IF(貼り付け用!$A$6&lt;&gt;"",
IF(ROW(P122)+2&gt;=MATCH("*【合計】*", 貼り付け用!$A:$A, 0),"",
IF(P$3&lt;&gt;"",IF(貼り付け用!P123&lt;&gt;"",貼り付け用!P123,""),"")),
IF(ROW(P123)+2&gt;=MATCH("*【合計】*", 貼り付け用!$A:$A, 0),"",
IF(P$3&lt;&gt;"",IF(貼り付け用!P124&lt;&gt;"",貼り付け用!P124,""),"")))</f>
        <v>#N/A</v>
      </c>
      <c r="Q123" s="3" t="e">
        <f>IF(貼り付け用!$A$6&lt;&gt;"",
IF(ROW(Q122)+2&gt;=MATCH("*【合計】*", 貼り付け用!$A:$A, 0),"",
IF(Q$3&lt;&gt;"",IF(貼り付け用!Q123&lt;&gt;"",貼り付け用!Q123,""),"")),
IF(ROW(Q123)+2&gt;=MATCH("*【合計】*", 貼り付け用!$A:$A, 0),"",
IF(Q$3&lt;&gt;"",IF(貼り付け用!Q124&lt;&gt;"",貼り付け用!Q124,""),"")))</f>
        <v>#N/A</v>
      </c>
      <c r="R123" s="3" t="e">
        <f>IF(貼り付け用!$A$6&lt;&gt;"",
IF(ROW(R122)+2&gt;=MATCH("*【合計】*", 貼り付け用!$A:$A, 0),"",
IF(R$3&lt;&gt;"",IF(貼り付け用!R123&lt;&gt;"",貼り付け用!R123,""),"")),
IF(ROW(R123)+2&gt;=MATCH("*【合計】*", 貼り付け用!$A:$A, 0),"",
IF(R$3&lt;&gt;"",IF(貼り付け用!R124&lt;&gt;"",貼り付け用!R124,""),"")))</f>
        <v>#N/A</v>
      </c>
      <c r="S123" s="3" t="e">
        <f>IF(貼り付け用!$A$6&lt;&gt;"",
IF(ROW(S122)+2&gt;=MATCH("*【合計】*", 貼り付け用!$A:$A, 0),"",
IF(S$3&lt;&gt;"",IF(貼り付け用!S123&lt;&gt;"",貼り付け用!S123,""),"")),
IF(ROW(S123)+2&gt;=MATCH("*【合計】*", 貼り付け用!$A:$A, 0),"",
IF(S$3&lt;&gt;"",IF(貼り付け用!S124&lt;&gt;"",貼り付け用!S124,""),"")))</f>
        <v>#N/A</v>
      </c>
      <c r="T123" s="2" t="e">
        <f t="array" ref="T123">IF(貼り付け用!$A$6&lt;&gt;"",
IF(INDEX(貼り付け用!A:Z, ROW(T122)+1, MATCH("おやつ", 貼り付け用!$A$3:$Z$3, 0))&lt;&gt;0,
INDEX(貼り付け用!A:Z, ROW(T122)+1, MATCH("おやつ", 貼り付け用!$A$3:$Z$3, 0)),""),
IF(INDEX(貼り付け用!A:Z, ROW(T123)+1, MATCH("おやつ", 貼り付け用!$A$3:$Z$3, 0))&lt;&gt;0,
INDEX(貼り付け用!A:Z, ROW(T123)+1, MATCH("おやつ", 貼り付け用!$A$3:$Z$3, 0)),""))</f>
        <v>#N/A</v>
      </c>
      <c r="U123" s="52"/>
      <c r="V123" s="8" t="e">
        <f t="array" ref="V123">IF(貼り付け用!$A$6&lt;&gt;"",
IF(INDEX(貼り付け用!A:Z, ROW(T122)+1, MATCH("おやつ", 貼り付け用!$A$3:$Z$3, 0)+1)&lt;&gt;0,
INDEX(貼り付け用!A:Z, ROW(T122)+1, MATCH("おやつ", 貼り付け用!$A$3:$Z$3, 0)+1),""),
IF(INDEX(貼り付け用!A:Z, ROW(T123)+1, MATCH("おやつ", 貼り付け用!$A$3:$Z$3, 0)+1)&lt;&gt;0,
INDEX(貼り付け用!A:Z, ROW(T123)+1, MATCH("おやつ", 貼り付け用!$A$3:$Z$3, 0)+1),""))</f>
        <v>#N/A</v>
      </c>
      <c r="W123" s="9" t="e">
        <f t="array" ref="W123">IF(貼り付け用!$A$6&lt;&gt;"",
IF(INDEX(貼り付け用!A:Z, ROW(T122)+1, MATCH("おやつ", 貼り付け用!$A$3:$Z$3, 0)+2)&lt;&gt;0,
INDEX(貼り付け用!A:Z, ROW(T122)+1, MATCH("おやつ", 貼り付け用!$A$3:$Z$3, 0)+2),""),
IF(INDEX(貼り付け用!A:Z, ROW(T123)+1, MATCH("おやつ", 貼り付け用!$A$3:$Z$3, 0)+2)&lt;&gt;0,
INDEX(貼り付け用!A:Z, ROW(T123)+1, MATCH("おやつ", 貼り付け用!$A$3:$Z$3, 0)+2),""))</f>
        <v>#N/A</v>
      </c>
    </row>
    <row r="124" spans="1:23" x14ac:dyDescent="0.45">
      <c r="A124" s="4" t="e">
        <f>IF(貼り付け用!$A$6&lt;&gt;"",
IF(ROW(A123)+1&gt;=MATCH("*10000*", 貼り付け用!$A:$A, 0),
IF(COUNTIF(A122,"*10000*"),"10001",
IF(COUNTIF(A122,"*10001*"),"10002",
IF(COUNTIF(A122,"*10002*"),"",
IF(COUNTIF(A122,""),"","10000")))),
IF(貼り付け用!A124&lt;&gt;"",貼り付け用!A124,"")),
IF(ROW(A124)+1&gt;=MATCH("*10000*", 貼り付け用!$A:$A, 0),
IF(COUNTIF(A122,"*10000*"),"10001",
IF(COUNTIF(A122,"*10001*"),"10002",
IF(COUNTIF(A122,"*10002*"),"",
IF(COUNTIF(A122,""),"","10000")))),
IF(貼り付け用!A125&lt;&gt;"",貼り付け用!A125,"")))</f>
        <v>#N/A</v>
      </c>
      <c r="B124" s="19" t="e">
        <f>IF(貼り付け用!$A$6&lt;&gt;"",
IF(ROW(B123)+2&gt;=MATCH("*【合計】*", 貼り付け用!$A:$A, 0),"",
IF(貼り付け用!B124&lt;&gt;"",貼り付け用!B124,"")),
IF(ROW(B124)+2&gt;=MATCH("*【合計】*", 貼り付け用!$A:$A, 0),"",
IF(貼り付け用!B125&lt;&gt;"",貼り付け用!B125,"")))</f>
        <v>#N/A</v>
      </c>
      <c r="C124" s="19" t="e">
        <f>IF(貼り付け用!$A$6&lt;&gt;"",
IF(ROW(C123)+2&gt;=MATCH("*【合計】*", 貼り付け用!$A:$A, 0),"",
IF(貼り付け用!C124&lt;&gt;"",貼り付け用!C124,"")),
IF(ROW(C124)+2&gt;=MATCH("*【合計】*", 貼り付け用!$A:$A, 0),"",
IF(貼り付け用!C125&lt;&gt;"",貼り付け用!C125,"")))</f>
        <v>#N/A</v>
      </c>
      <c r="D124" s="19" t="e">
        <f>IF(貼り付け用!$A$6&lt;&gt;"",
IF(ROW(D123)+2&gt;=MATCH("*【合計】*", 貼り付け用!$A:$A, 0),"",
IF(貼り付け用!D124&lt;&gt;"",貼り付け用!D124,"")),
IF(ROW(D124)+2&gt;=MATCH("*【合計】*", 貼り付け用!$A:$A, 0),"",
IF(貼り付け用!D125&lt;&gt;"",貼り付け用!D125,"")))</f>
        <v>#N/A</v>
      </c>
      <c r="E124" s="19" t="e">
        <f>IF(貼り付け用!$A$6&lt;&gt;"",
IF(ROW(E123)+2&gt;=MATCH("*【合計】*", 貼り付け用!$A:$A, 0),"",
IF(貼り付け用!E124&lt;&gt;"",貼り付け用!E124,"")),
IF(ROW(E124)+2&gt;=MATCH("*【合計】*", 貼り付け用!$A:$A, 0),"",
IF(貼り付け用!E125&lt;&gt;"",貼り付け用!E125,"")))</f>
        <v>#N/A</v>
      </c>
      <c r="F124" s="19" t="e">
        <f>IF(貼り付け用!$A$6&lt;&gt;"",
IF(ROW(F123)+2&gt;=MATCH("*【合計】*", 貼り付け用!$A:$A, 0),"",
IF(貼り付け用!F124&lt;&gt;"",貼り付け用!F124,"")),
IF(ROW(F124)+2&gt;=MATCH("*【合計】*", 貼り付け用!$A:$A, 0),"",
IF(貼り付け用!F125&lt;&gt;"",貼り付け用!F125,"")))</f>
        <v>#N/A</v>
      </c>
      <c r="G124" s="19" t="e">
        <f>IF(貼り付け用!$A$6&lt;&gt;"",
IF(ROW(G123)+2&gt;=MATCH("*【合計】*", 貼り付け用!$A:$A, 0),"",
IF(貼り付け用!G124&lt;&gt;"",貼り付け用!G124,"")),
IF(ROW(G124)+2&gt;=MATCH("*【合計】*", 貼り付け用!$A:$A, 0),"",
IF(貼り付け用!G125&lt;&gt;"",貼り付け用!G125,"")))</f>
        <v>#N/A</v>
      </c>
      <c r="H124" s="19" t="e">
        <f>IF(貼り付け用!$A$6&lt;&gt;"",
IF(ROW(H123)+2&gt;=MATCH("*【合計】*", 貼り付け用!$A:$A, 0),"",
IF(貼り付け用!H124&lt;&gt;"",貼り付け用!H124,"")),
IF(ROW(H124)+2&gt;=MATCH("*【合計】*", 貼り付け用!$A:$A, 0),"",
IF(貼り付け用!H125&lt;&gt;"",貼り付け用!H125,"")))</f>
        <v>#N/A</v>
      </c>
      <c r="I124" s="19" t="e">
        <f>IF(貼り付け用!$A$6&lt;&gt;"",
IF(ROW(I123)+2&gt;=MATCH("*【合計】*", 貼り付け用!$A:$A, 0),"",
IF(貼り付け用!I124&lt;&gt;"",貼り付け用!I124,"")),
IF(ROW(I124)+2&gt;=MATCH("*【合計】*", 貼り付け用!$A:$A, 0),"",
IF(貼り付け用!I125&lt;&gt;"",貼り付け用!I125,"")))</f>
        <v>#N/A</v>
      </c>
      <c r="J124" s="19" t="e">
        <f>IF(貼り付け用!$A$6&lt;&gt;"",
IF(ROW(J123)+2&gt;=MATCH("*【合計】*", 貼り付け用!$A:$A, 0),"",
IF(貼り付け用!J124&lt;&gt;"",貼り付け用!J124,"")),
IF(ROW(J124)+2&gt;=MATCH("*【合計】*", 貼り付け用!$A:$A, 0),"",
IF(貼り付け用!J125&lt;&gt;"",貼り付け用!J125,"")))</f>
        <v>#N/A</v>
      </c>
      <c r="K124" s="19" t="e">
        <f>IF(貼り付け用!$A$6&lt;&gt;"",
IF(ROW(K123)+2&gt;=MATCH("*【合計】*", 貼り付け用!$A:$A, 0),"",
IF(貼り付け用!K124&lt;&gt;"",貼り付け用!K124,"")),
IF(ROW(K124)+2&gt;=MATCH("*【合計】*", 貼り付け用!$A:$A, 0),"",
IF(貼り付け用!K125&lt;&gt;"",貼り付け用!K125,"")))</f>
        <v>#N/A</v>
      </c>
      <c r="L124" s="19" t="e">
        <f>IF(貼り付け用!$A$6&lt;&gt;"",
IF(ROW(L123)+2&gt;=MATCH("*【合計】*", 貼り付け用!$A:$A, 0),"",
IF(L$3&lt;&gt;"",IF(貼り付け用!L124&lt;&gt;"",貼り付け用!L124,""),"")),
IF(ROW(L124)+2&gt;=MATCH("*【合計】*", 貼り付け用!$A:$A, 0),"",
IF(L$3&lt;&gt;"",IF(貼り付け用!L125&lt;&gt;"",貼り付け用!L125,""),"")))</f>
        <v>#N/A</v>
      </c>
      <c r="M124" s="19" t="e">
        <f>IF(貼り付け用!$A$6&lt;&gt;"",
IF(ROW(M123)+2&gt;=MATCH("*【合計】*", 貼り付け用!$A:$A, 0),"",
IF(M$3&lt;&gt;"",IF(貼り付け用!M124&lt;&gt;"",貼り付け用!M124,""),"")),
IF(ROW(M124)+2&gt;=MATCH("*【合計】*", 貼り付け用!$A:$A, 0),"",
IF(M$3&lt;&gt;"",IF(貼り付け用!M125&lt;&gt;"",貼り付け用!M125,""),"")))</f>
        <v>#N/A</v>
      </c>
      <c r="N124" s="19" t="e">
        <f>IF(貼り付け用!$A$6&lt;&gt;"",
IF(ROW(N123)+2&gt;=MATCH("*【合計】*", 貼り付け用!$A:$A, 0),"",
IF(N$3&lt;&gt;"",IF(貼り付け用!N124&lt;&gt;"",貼り付け用!N124,""),"")),
IF(ROW(N124)+2&gt;=MATCH("*【合計】*", 貼り付け用!$A:$A, 0),"",
IF(N$3&lt;&gt;"",IF(貼り付け用!N125&lt;&gt;"",貼り付け用!N125,""),"")))</f>
        <v>#N/A</v>
      </c>
      <c r="O124" s="19" t="e">
        <f>IF(貼り付け用!$A$6&lt;&gt;"",
IF(ROW(O123)+2&gt;=MATCH("*【合計】*", 貼り付け用!$A:$A, 0),"",
IF(O$3&lt;&gt;"",IF(貼り付け用!O124&lt;&gt;"",貼り付け用!O124,""),"")),
IF(ROW(O124)+2&gt;=MATCH("*【合計】*", 貼り付け用!$A:$A, 0),"",
IF(O$3&lt;&gt;"",IF(貼り付け用!O125&lt;&gt;"",貼り付け用!O125,""),"")))</f>
        <v>#N/A</v>
      </c>
      <c r="P124" s="19" t="e">
        <f>IF(貼り付け用!$A$6&lt;&gt;"",
IF(ROW(P123)+2&gt;=MATCH("*【合計】*", 貼り付け用!$A:$A, 0),"",
IF(P$3&lt;&gt;"",IF(貼り付け用!P124&lt;&gt;"",貼り付け用!P124,""),"")),
IF(ROW(P124)+2&gt;=MATCH("*【合計】*", 貼り付け用!$A:$A, 0),"",
IF(P$3&lt;&gt;"",IF(貼り付け用!P125&lt;&gt;"",貼り付け用!P125,""),"")))</f>
        <v>#N/A</v>
      </c>
      <c r="Q124" s="19" t="e">
        <f>IF(貼り付け用!$A$6&lt;&gt;"",
IF(ROW(Q123)+2&gt;=MATCH("*【合計】*", 貼り付け用!$A:$A, 0),"",
IF(Q$3&lt;&gt;"",IF(貼り付け用!Q124&lt;&gt;"",貼り付け用!Q124,""),"")),
IF(ROW(Q124)+2&gt;=MATCH("*【合計】*", 貼り付け用!$A:$A, 0),"",
IF(Q$3&lt;&gt;"",IF(貼り付け用!Q125&lt;&gt;"",貼り付け用!Q125,""),"")))</f>
        <v>#N/A</v>
      </c>
      <c r="R124" s="19" t="e">
        <f>IF(貼り付け用!$A$6&lt;&gt;"",
IF(ROW(R123)+2&gt;=MATCH("*【合計】*", 貼り付け用!$A:$A, 0),"",
IF(R$3&lt;&gt;"",IF(貼り付け用!R124&lt;&gt;"",貼り付け用!R124,""),"")),
IF(ROW(R124)+2&gt;=MATCH("*【合計】*", 貼り付け用!$A:$A, 0),"",
IF(R$3&lt;&gt;"",IF(貼り付け用!R125&lt;&gt;"",貼り付け用!R125,""),"")))</f>
        <v>#N/A</v>
      </c>
      <c r="S124" s="19" t="e">
        <f>IF(貼り付け用!$A$6&lt;&gt;"",
IF(ROW(S123)+2&gt;=MATCH("*【合計】*", 貼り付け用!$A:$A, 0),"",
IF(S$3&lt;&gt;"",IF(貼り付け用!S124&lt;&gt;"",貼り付け用!S124,""),"")),
IF(ROW(S124)+2&gt;=MATCH("*【合計】*", 貼り付け用!$A:$A, 0),"",
IF(S$3&lt;&gt;"",IF(貼り付け用!S125&lt;&gt;"",貼り付け用!S125,""),"")))</f>
        <v>#N/A</v>
      </c>
      <c r="T124" s="19" t="e">
        <f t="array" ref="T124">IF(貼り付け用!$A$6&lt;&gt;"",
IF(INDEX(貼り付け用!A:Z, ROW(T123)+1, MATCH("おやつ", 貼り付け用!$A$3:$Z$3, 0))&lt;&gt;0,
INDEX(貼り付け用!A:Z, ROW(T123)+1, MATCH("おやつ", 貼り付け用!$A$3:$Z$3, 0)),""),
IF(INDEX(貼り付け用!A:Z, ROW(T124)+1, MATCH("おやつ", 貼り付け用!$A$3:$Z$3, 0))&lt;&gt;0,
INDEX(貼り付け用!A:Z, ROW(T124)+1, MATCH("おやつ", 貼り付け用!$A$3:$Z$3, 0)),""))</f>
        <v>#N/A</v>
      </c>
      <c r="U124" s="16"/>
      <c r="V124" s="5" t="e">
        <f t="array" ref="V124">IF(貼り付け用!$A$6&lt;&gt;"",
IF(INDEX(貼り付け用!A:Z, ROW(T123)+1, MATCH("おやつ", 貼り付け用!$A$3:$Z$3, 0)+1)&lt;&gt;0,
INDEX(貼り付け用!A:Z, ROW(T123)+1, MATCH("おやつ", 貼り付け用!$A$3:$Z$3, 0)+1),""),
IF(INDEX(貼り付け用!A:Z, ROW(T124)+1, MATCH("おやつ", 貼り付け用!$A$3:$Z$3, 0)+1)&lt;&gt;0,
INDEX(貼り付け用!A:Z, ROW(T124)+1, MATCH("おやつ", 貼り付け用!$A$3:$Z$3, 0)+1),""))</f>
        <v>#N/A</v>
      </c>
      <c r="W124" s="7" t="e">
        <f t="array" ref="W124">IF(貼り付け用!$A$6&lt;&gt;"",
IF(INDEX(貼り付け用!A:Z, ROW(T123)+1, MATCH("おやつ", 貼り付け用!$A$3:$Z$3, 0)+2)&lt;&gt;0,
INDEX(貼り付け用!A:Z, ROW(T123)+1, MATCH("おやつ", 貼り付け用!$A$3:$Z$3, 0)+2),""),
IF(INDEX(貼り付け用!A:Z, ROW(T124)+1, MATCH("おやつ", 貼り付け用!$A$3:$Z$3, 0)+2)&lt;&gt;0,
INDEX(貼り付け用!A:Z, ROW(T124)+1, MATCH("おやつ", 貼り付け用!$A$3:$Z$3, 0)+2),""))</f>
        <v>#N/A</v>
      </c>
    </row>
    <row r="125" spans="1:23" x14ac:dyDescent="0.45">
      <c r="A125" s="10" t="e">
        <f>IF(貼り付け用!$A$6&lt;&gt;"",
IF(ROW(A124)+1&gt;=MATCH("*10000*", 貼り付け用!$A:$A, 0),"",
IF(貼り付け用!A125&lt;&gt;"",貼り付け用!A125,"")),
IF(ROW(A125)+1&gt;=MATCH("*10000*", 貼り付け用!$A:$A, 0),"",
IF(貼り付け用!A126&lt;&gt;"",貼り付け用!A126,"")))</f>
        <v>#N/A</v>
      </c>
      <c r="B125" s="3" t="e">
        <f>IF(貼り付け用!$A$6&lt;&gt;"",
IF(ROW(B124)+2&gt;=MATCH("*【合計】*", 貼り付け用!$A:$A, 0),"",
IF(貼り付け用!B125&lt;&gt;"",貼り付け用!B125,"")),
IF(ROW(B125)+2&gt;=MATCH("*【合計】*", 貼り付け用!$A:$A, 0),"",
IF(貼り付け用!B126&lt;&gt;"",貼り付け用!B126,"")))</f>
        <v>#N/A</v>
      </c>
      <c r="C125" s="3" t="e">
        <f>IF(貼り付け用!$A$6&lt;&gt;"",
IF(ROW(C124)+2&gt;=MATCH("*【合計】*", 貼り付け用!$A:$A, 0),"",
IF(貼り付け用!C125&lt;&gt;"",貼り付け用!C125,"")),
IF(ROW(C125)+2&gt;=MATCH("*【合計】*", 貼り付け用!$A:$A, 0),"",
IF(貼り付け用!C126&lt;&gt;"",貼り付け用!C126,"")))</f>
        <v>#N/A</v>
      </c>
      <c r="D125" s="3" t="e">
        <f>IF(貼り付け用!$A$6&lt;&gt;"",
IF(ROW(D124)+2&gt;=MATCH("*【合計】*", 貼り付け用!$A:$A, 0),"",
IF(貼り付け用!D125&lt;&gt;"",貼り付け用!D125,"")),
IF(ROW(D125)+2&gt;=MATCH("*【合計】*", 貼り付け用!$A:$A, 0),"",
IF(貼り付け用!D126&lt;&gt;"",貼り付け用!D126,"")))</f>
        <v>#N/A</v>
      </c>
      <c r="E125" s="3" t="e">
        <f>IF(貼り付け用!$A$6&lt;&gt;"",
IF(ROW(E124)+2&gt;=MATCH("*【合計】*", 貼り付け用!$A:$A, 0),"",
IF(貼り付け用!E125&lt;&gt;"",貼り付け用!E125,"")),
IF(ROW(E125)+2&gt;=MATCH("*【合計】*", 貼り付け用!$A:$A, 0),"",
IF(貼り付け用!E126&lt;&gt;"",貼り付け用!E126,"")))</f>
        <v>#N/A</v>
      </c>
      <c r="F125" s="3" t="e">
        <f>IF(貼り付け用!$A$6&lt;&gt;"",
IF(ROW(F124)+2&gt;=MATCH("*【合計】*", 貼り付け用!$A:$A, 0),"",
IF(貼り付け用!F125&lt;&gt;"",貼り付け用!F125,"")),
IF(ROW(F125)+2&gt;=MATCH("*【合計】*", 貼り付け用!$A:$A, 0),"",
IF(貼り付け用!F126&lt;&gt;"",貼り付け用!F126,"")))</f>
        <v>#N/A</v>
      </c>
      <c r="G125" s="3" t="e">
        <f>IF(貼り付け用!$A$6&lt;&gt;"",
IF(ROW(G124)+2&gt;=MATCH("*【合計】*", 貼り付け用!$A:$A, 0),"",
IF(貼り付け用!G125&lt;&gt;"",貼り付け用!G125,"")),
IF(ROW(G125)+2&gt;=MATCH("*【合計】*", 貼り付け用!$A:$A, 0),"",
IF(貼り付け用!G126&lt;&gt;"",貼り付け用!G126,"")))</f>
        <v>#N/A</v>
      </c>
      <c r="H125" s="3" t="e">
        <f>IF(貼り付け用!$A$6&lt;&gt;"",
IF(ROW(H124)+2&gt;=MATCH("*【合計】*", 貼り付け用!$A:$A, 0),"",
IF(貼り付け用!H125&lt;&gt;"",貼り付け用!H125,"")),
IF(ROW(H125)+2&gt;=MATCH("*【合計】*", 貼り付け用!$A:$A, 0),"",
IF(貼り付け用!H126&lt;&gt;"",貼り付け用!H126,"")))</f>
        <v>#N/A</v>
      </c>
      <c r="I125" s="3" t="e">
        <f>IF(貼り付け用!$A$6&lt;&gt;"",
IF(ROW(I124)+2&gt;=MATCH("*【合計】*", 貼り付け用!$A:$A, 0),"",
IF(貼り付け用!I125&lt;&gt;"",貼り付け用!I125,"")),
IF(ROW(I125)+2&gt;=MATCH("*【合計】*", 貼り付け用!$A:$A, 0),"",
IF(貼り付け用!I126&lt;&gt;"",貼り付け用!I126,"")))</f>
        <v>#N/A</v>
      </c>
      <c r="J125" s="3" t="e">
        <f>IF(貼り付け用!$A$6&lt;&gt;"",
IF(ROW(J124)+2&gt;=MATCH("*【合計】*", 貼り付け用!$A:$A, 0),"",
IF(貼り付け用!J125&lt;&gt;"",貼り付け用!J125,"")),
IF(ROW(J125)+2&gt;=MATCH("*【合計】*", 貼り付け用!$A:$A, 0),"",
IF(貼り付け用!J126&lt;&gt;"",貼り付け用!J126,"")))</f>
        <v>#N/A</v>
      </c>
      <c r="K125" s="3" t="e">
        <f>IF(貼り付け用!$A$6&lt;&gt;"",
IF(ROW(K124)+2&gt;=MATCH("*【合計】*", 貼り付け用!$A:$A, 0),"",
IF(貼り付け用!K125&lt;&gt;"",貼り付け用!K125,"")),
IF(ROW(K125)+2&gt;=MATCH("*【合計】*", 貼り付け用!$A:$A, 0),"",
IF(貼り付け用!K126&lt;&gt;"",貼り付け用!K126,"")))</f>
        <v>#N/A</v>
      </c>
      <c r="L125" s="3" t="e">
        <f>IF(貼り付け用!$A$6&lt;&gt;"",
IF(ROW(L124)+2&gt;=MATCH("*【合計】*", 貼り付け用!$A:$A, 0),"",
IF(L$3&lt;&gt;"",IF(貼り付け用!L125&lt;&gt;"",貼り付け用!L125,""),"")),
IF(ROW(L125)+2&gt;=MATCH("*【合計】*", 貼り付け用!$A:$A, 0),"",
IF(L$3&lt;&gt;"",IF(貼り付け用!L126&lt;&gt;"",貼り付け用!L126,""),"")))</f>
        <v>#N/A</v>
      </c>
      <c r="M125" s="3" t="e">
        <f>IF(貼り付け用!$A$6&lt;&gt;"",
IF(ROW(M124)+2&gt;=MATCH("*【合計】*", 貼り付け用!$A:$A, 0),"",
IF(M$3&lt;&gt;"",IF(貼り付け用!M125&lt;&gt;"",貼り付け用!M125,""),"")),
IF(ROW(M125)+2&gt;=MATCH("*【合計】*", 貼り付け用!$A:$A, 0),"",
IF(M$3&lt;&gt;"",IF(貼り付け用!M126&lt;&gt;"",貼り付け用!M126,""),"")))</f>
        <v>#N/A</v>
      </c>
      <c r="N125" s="3" t="e">
        <f>IF(貼り付け用!$A$6&lt;&gt;"",
IF(ROW(N124)+2&gt;=MATCH("*【合計】*", 貼り付け用!$A:$A, 0),"",
IF(N$3&lt;&gt;"",IF(貼り付け用!N125&lt;&gt;"",貼り付け用!N125,""),"")),
IF(ROW(N125)+2&gt;=MATCH("*【合計】*", 貼り付け用!$A:$A, 0),"",
IF(N$3&lt;&gt;"",IF(貼り付け用!N126&lt;&gt;"",貼り付け用!N126,""),"")))</f>
        <v>#N/A</v>
      </c>
      <c r="O125" s="3" t="e">
        <f>IF(貼り付け用!$A$6&lt;&gt;"",
IF(ROW(O124)+2&gt;=MATCH("*【合計】*", 貼り付け用!$A:$A, 0),"",
IF(O$3&lt;&gt;"",IF(貼り付け用!O125&lt;&gt;"",貼り付け用!O125,""),"")),
IF(ROW(O125)+2&gt;=MATCH("*【合計】*", 貼り付け用!$A:$A, 0),"",
IF(O$3&lt;&gt;"",IF(貼り付け用!O126&lt;&gt;"",貼り付け用!O126,""),"")))</f>
        <v>#N/A</v>
      </c>
      <c r="P125" s="3" t="e">
        <f>IF(貼り付け用!$A$6&lt;&gt;"",
IF(ROW(P124)+2&gt;=MATCH("*【合計】*", 貼り付け用!$A:$A, 0),"",
IF(P$3&lt;&gt;"",IF(貼り付け用!P125&lt;&gt;"",貼り付け用!P125,""),"")),
IF(ROW(P125)+2&gt;=MATCH("*【合計】*", 貼り付け用!$A:$A, 0),"",
IF(P$3&lt;&gt;"",IF(貼り付け用!P126&lt;&gt;"",貼り付け用!P126,""),"")))</f>
        <v>#N/A</v>
      </c>
      <c r="Q125" s="3" t="e">
        <f>IF(貼り付け用!$A$6&lt;&gt;"",
IF(ROW(Q124)+2&gt;=MATCH("*【合計】*", 貼り付け用!$A:$A, 0),"",
IF(Q$3&lt;&gt;"",IF(貼り付け用!Q125&lt;&gt;"",貼り付け用!Q125,""),"")),
IF(ROW(Q125)+2&gt;=MATCH("*【合計】*", 貼り付け用!$A:$A, 0),"",
IF(Q$3&lt;&gt;"",IF(貼り付け用!Q126&lt;&gt;"",貼り付け用!Q126,""),"")))</f>
        <v>#N/A</v>
      </c>
      <c r="R125" s="3" t="e">
        <f>IF(貼り付け用!$A$6&lt;&gt;"",
IF(ROW(R124)+2&gt;=MATCH("*【合計】*", 貼り付け用!$A:$A, 0),"",
IF(R$3&lt;&gt;"",IF(貼り付け用!R125&lt;&gt;"",貼り付け用!R125,""),"")),
IF(ROW(R125)+2&gt;=MATCH("*【合計】*", 貼り付け用!$A:$A, 0),"",
IF(R$3&lt;&gt;"",IF(貼り付け用!R126&lt;&gt;"",貼り付け用!R126,""),"")))</f>
        <v>#N/A</v>
      </c>
      <c r="S125" s="3" t="e">
        <f>IF(貼り付け用!$A$6&lt;&gt;"",
IF(ROW(S124)+2&gt;=MATCH("*【合計】*", 貼り付け用!$A:$A, 0),"",
IF(S$3&lt;&gt;"",IF(貼り付け用!S125&lt;&gt;"",貼り付け用!S125,""),"")),
IF(ROW(S125)+2&gt;=MATCH("*【合計】*", 貼り付け用!$A:$A, 0),"",
IF(S$3&lt;&gt;"",IF(貼り付け用!S126&lt;&gt;"",貼り付け用!S126,""),"")))</f>
        <v>#N/A</v>
      </c>
      <c r="T125" s="2" t="e">
        <f t="array" ref="T125">IF(貼り付け用!$A$6&lt;&gt;"",
IF(INDEX(貼り付け用!A:Z, ROW(T124)+1, MATCH("おやつ", 貼り付け用!$A$3:$Z$3, 0))&lt;&gt;0,
INDEX(貼り付け用!A:Z, ROW(T124)+1, MATCH("おやつ", 貼り付け用!$A$3:$Z$3, 0)),""),
IF(INDEX(貼り付け用!A:Z, ROW(T125)+1, MATCH("おやつ", 貼り付け用!$A$3:$Z$3, 0))&lt;&gt;0,
INDEX(貼り付け用!A:Z, ROW(T125)+1, MATCH("おやつ", 貼り付け用!$A$3:$Z$3, 0)),""))</f>
        <v>#N/A</v>
      </c>
      <c r="U125" s="52"/>
      <c r="V125" s="8" t="e">
        <f t="array" ref="V125">IF(貼り付け用!$A$6&lt;&gt;"",
IF(INDEX(貼り付け用!A:Z, ROW(T124)+1, MATCH("おやつ", 貼り付け用!$A$3:$Z$3, 0)+1)&lt;&gt;0,
INDEX(貼り付け用!A:Z, ROW(T124)+1, MATCH("おやつ", 貼り付け用!$A$3:$Z$3, 0)+1),""),
IF(INDEX(貼り付け用!A:Z, ROW(T125)+1, MATCH("おやつ", 貼り付け用!$A$3:$Z$3, 0)+1)&lt;&gt;0,
INDEX(貼り付け用!A:Z, ROW(T125)+1, MATCH("おやつ", 貼り付け用!$A$3:$Z$3, 0)+1),""))</f>
        <v>#N/A</v>
      </c>
      <c r="W125" s="9" t="e">
        <f t="array" ref="W125">IF(貼り付け用!$A$6&lt;&gt;"",
IF(INDEX(貼り付け用!A:Z, ROW(T124)+1, MATCH("おやつ", 貼り付け用!$A$3:$Z$3, 0)+2)&lt;&gt;0,
INDEX(貼り付け用!A:Z, ROW(T124)+1, MATCH("おやつ", 貼り付け用!$A$3:$Z$3, 0)+2),""),
IF(INDEX(貼り付け用!A:Z, ROW(T125)+1, MATCH("おやつ", 貼り付け用!$A$3:$Z$3, 0)+2)&lt;&gt;0,
INDEX(貼り付け用!A:Z, ROW(T125)+1, MATCH("おやつ", 貼り付け用!$A$3:$Z$3, 0)+2),""))</f>
        <v>#N/A</v>
      </c>
    </row>
    <row r="126" spans="1:23" x14ac:dyDescent="0.45">
      <c r="A126" s="4" t="e">
        <f>IF(貼り付け用!$A$6&lt;&gt;"",
IF(ROW(A125)+1&gt;=MATCH("*10000*", 貼り付け用!$A:$A, 0),
IF(COUNTIF(A124,"*10000*"),"10001",
IF(COUNTIF(A124,"*10001*"),"10002",
IF(COUNTIF(A124,"*10002*"),"",
IF(COUNTIF(A124,""),"","10000")))),
IF(貼り付け用!A126&lt;&gt;"",貼り付け用!A126,"")),
IF(ROW(A126)+1&gt;=MATCH("*10000*", 貼り付け用!$A:$A, 0),
IF(COUNTIF(A124,"*10000*"),"10001",
IF(COUNTIF(A124,"*10001*"),"10002",
IF(COUNTIF(A124,"*10002*"),"",
IF(COUNTIF(A124,""),"","10000")))),
IF(貼り付け用!A127&lt;&gt;"",貼り付け用!A127,"")))</f>
        <v>#N/A</v>
      </c>
      <c r="B126" s="19" t="e">
        <f>IF(貼り付け用!$A$6&lt;&gt;"",
IF(ROW(B125)+2&gt;=MATCH("*【合計】*", 貼り付け用!$A:$A, 0),"",
IF(貼り付け用!B126&lt;&gt;"",貼り付け用!B126,"")),
IF(ROW(B126)+2&gt;=MATCH("*【合計】*", 貼り付け用!$A:$A, 0),"",
IF(貼り付け用!B127&lt;&gt;"",貼り付け用!B127,"")))</f>
        <v>#N/A</v>
      </c>
      <c r="C126" s="19" t="e">
        <f>IF(貼り付け用!$A$6&lt;&gt;"",
IF(ROW(C125)+2&gt;=MATCH("*【合計】*", 貼り付け用!$A:$A, 0),"",
IF(貼り付け用!C126&lt;&gt;"",貼り付け用!C126,"")),
IF(ROW(C126)+2&gt;=MATCH("*【合計】*", 貼り付け用!$A:$A, 0),"",
IF(貼り付け用!C127&lt;&gt;"",貼り付け用!C127,"")))</f>
        <v>#N/A</v>
      </c>
      <c r="D126" s="19" t="e">
        <f>IF(貼り付け用!$A$6&lt;&gt;"",
IF(ROW(D125)+2&gt;=MATCH("*【合計】*", 貼り付け用!$A:$A, 0),"",
IF(貼り付け用!D126&lt;&gt;"",貼り付け用!D126,"")),
IF(ROW(D126)+2&gt;=MATCH("*【合計】*", 貼り付け用!$A:$A, 0),"",
IF(貼り付け用!D127&lt;&gt;"",貼り付け用!D127,"")))</f>
        <v>#N/A</v>
      </c>
      <c r="E126" s="19" t="e">
        <f>IF(貼り付け用!$A$6&lt;&gt;"",
IF(ROW(E125)+2&gt;=MATCH("*【合計】*", 貼り付け用!$A:$A, 0),"",
IF(貼り付け用!E126&lt;&gt;"",貼り付け用!E126,"")),
IF(ROW(E126)+2&gt;=MATCH("*【合計】*", 貼り付け用!$A:$A, 0),"",
IF(貼り付け用!E127&lt;&gt;"",貼り付け用!E127,"")))</f>
        <v>#N/A</v>
      </c>
      <c r="F126" s="19" t="e">
        <f>IF(貼り付け用!$A$6&lt;&gt;"",
IF(ROW(F125)+2&gt;=MATCH("*【合計】*", 貼り付け用!$A:$A, 0),"",
IF(貼り付け用!F126&lt;&gt;"",貼り付け用!F126,"")),
IF(ROW(F126)+2&gt;=MATCH("*【合計】*", 貼り付け用!$A:$A, 0),"",
IF(貼り付け用!F127&lt;&gt;"",貼り付け用!F127,"")))</f>
        <v>#N/A</v>
      </c>
      <c r="G126" s="19" t="e">
        <f>IF(貼り付け用!$A$6&lt;&gt;"",
IF(ROW(G125)+2&gt;=MATCH("*【合計】*", 貼り付け用!$A:$A, 0),"",
IF(貼り付け用!G126&lt;&gt;"",貼り付け用!G126,"")),
IF(ROW(G126)+2&gt;=MATCH("*【合計】*", 貼り付け用!$A:$A, 0),"",
IF(貼り付け用!G127&lt;&gt;"",貼り付け用!G127,"")))</f>
        <v>#N/A</v>
      </c>
      <c r="H126" s="19" t="e">
        <f>IF(貼り付け用!$A$6&lt;&gt;"",
IF(ROW(H125)+2&gt;=MATCH("*【合計】*", 貼り付け用!$A:$A, 0),"",
IF(貼り付け用!H126&lt;&gt;"",貼り付け用!H126,"")),
IF(ROW(H126)+2&gt;=MATCH("*【合計】*", 貼り付け用!$A:$A, 0),"",
IF(貼り付け用!H127&lt;&gt;"",貼り付け用!H127,"")))</f>
        <v>#N/A</v>
      </c>
      <c r="I126" s="19" t="e">
        <f>IF(貼り付け用!$A$6&lt;&gt;"",
IF(ROW(I125)+2&gt;=MATCH("*【合計】*", 貼り付け用!$A:$A, 0),"",
IF(貼り付け用!I126&lt;&gt;"",貼り付け用!I126,"")),
IF(ROW(I126)+2&gt;=MATCH("*【合計】*", 貼り付け用!$A:$A, 0),"",
IF(貼り付け用!I127&lt;&gt;"",貼り付け用!I127,"")))</f>
        <v>#N/A</v>
      </c>
      <c r="J126" s="19" t="e">
        <f>IF(貼り付け用!$A$6&lt;&gt;"",
IF(ROW(J125)+2&gt;=MATCH("*【合計】*", 貼り付け用!$A:$A, 0),"",
IF(貼り付け用!J126&lt;&gt;"",貼り付け用!J126,"")),
IF(ROW(J126)+2&gt;=MATCH("*【合計】*", 貼り付け用!$A:$A, 0),"",
IF(貼り付け用!J127&lt;&gt;"",貼り付け用!J127,"")))</f>
        <v>#N/A</v>
      </c>
      <c r="K126" s="19" t="e">
        <f>IF(貼り付け用!$A$6&lt;&gt;"",
IF(ROW(K125)+2&gt;=MATCH("*【合計】*", 貼り付け用!$A:$A, 0),"",
IF(貼り付け用!K126&lt;&gt;"",貼り付け用!K126,"")),
IF(ROW(K126)+2&gt;=MATCH("*【合計】*", 貼り付け用!$A:$A, 0),"",
IF(貼り付け用!K127&lt;&gt;"",貼り付け用!K127,"")))</f>
        <v>#N/A</v>
      </c>
      <c r="L126" s="19" t="e">
        <f>IF(貼り付け用!$A$6&lt;&gt;"",
IF(ROW(L125)+2&gt;=MATCH("*【合計】*", 貼り付け用!$A:$A, 0),"",
IF(L$3&lt;&gt;"",IF(貼り付け用!L126&lt;&gt;"",貼り付け用!L126,""),"")),
IF(ROW(L126)+2&gt;=MATCH("*【合計】*", 貼り付け用!$A:$A, 0),"",
IF(L$3&lt;&gt;"",IF(貼り付け用!L127&lt;&gt;"",貼り付け用!L127,""),"")))</f>
        <v>#N/A</v>
      </c>
      <c r="M126" s="19" t="e">
        <f>IF(貼り付け用!$A$6&lt;&gt;"",
IF(ROW(M125)+2&gt;=MATCH("*【合計】*", 貼り付け用!$A:$A, 0),"",
IF(M$3&lt;&gt;"",IF(貼り付け用!M126&lt;&gt;"",貼り付け用!M126,""),"")),
IF(ROW(M126)+2&gt;=MATCH("*【合計】*", 貼り付け用!$A:$A, 0),"",
IF(M$3&lt;&gt;"",IF(貼り付け用!M127&lt;&gt;"",貼り付け用!M127,""),"")))</f>
        <v>#N/A</v>
      </c>
      <c r="N126" s="19" t="e">
        <f>IF(貼り付け用!$A$6&lt;&gt;"",
IF(ROW(N125)+2&gt;=MATCH("*【合計】*", 貼り付け用!$A:$A, 0),"",
IF(N$3&lt;&gt;"",IF(貼り付け用!N126&lt;&gt;"",貼り付け用!N126,""),"")),
IF(ROW(N126)+2&gt;=MATCH("*【合計】*", 貼り付け用!$A:$A, 0),"",
IF(N$3&lt;&gt;"",IF(貼り付け用!N127&lt;&gt;"",貼り付け用!N127,""),"")))</f>
        <v>#N/A</v>
      </c>
      <c r="O126" s="19" t="e">
        <f>IF(貼り付け用!$A$6&lt;&gt;"",
IF(ROW(O125)+2&gt;=MATCH("*【合計】*", 貼り付け用!$A:$A, 0),"",
IF(O$3&lt;&gt;"",IF(貼り付け用!O126&lt;&gt;"",貼り付け用!O126,""),"")),
IF(ROW(O126)+2&gt;=MATCH("*【合計】*", 貼り付け用!$A:$A, 0),"",
IF(O$3&lt;&gt;"",IF(貼り付け用!O127&lt;&gt;"",貼り付け用!O127,""),"")))</f>
        <v>#N/A</v>
      </c>
      <c r="P126" s="19" t="e">
        <f>IF(貼り付け用!$A$6&lt;&gt;"",
IF(ROW(P125)+2&gt;=MATCH("*【合計】*", 貼り付け用!$A:$A, 0),"",
IF(P$3&lt;&gt;"",IF(貼り付け用!P126&lt;&gt;"",貼り付け用!P126,""),"")),
IF(ROW(P126)+2&gt;=MATCH("*【合計】*", 貼り付け用!$A:$A, 0),"",
IF(P$3&lt;&gt;"",IF(貼り付け用!P127&lt;&gt;"",貼り付け用!P127,""),"")))</f>
        <v>#N/A</v>
      </c>
      <c r="Q126" s="19" t="e">
        <f>IF(貼り付け用!$A$6&lt;&gt;"",
IF(ROW(Q125)+2&gt;=MATCH("*【合計】*", 貼り付け用!$A:$A, 0),"",
IF(Q$3&lt;&gt;"",IF(貼り付け用!Q126&lt;&gt;"",貼り付け用!Q126,""),"")),
IF(ROW(Q126)+2&gt;=MATCH("*【合計】*", 貼り付け用!$A:$A, 0),"",
IF(Q$3&lt;&gt;"",IF(貼り付け用!Q127&lt;&gt;"",貼り付け用!Q127,""),"")))</f>
        <v>#N/A</v>
      </c>
      <c r="R126" s="19" t="e">
        <f>IF(貼り付け用!$A$6&lt;&gt;"",
IF(ROW(R125)+2&gt;=MATCH("*【合計】*", 貼り付け用!$A:$A, 0),"",
IF(R$3&lt;&gt;"",IF(貼り付け用!R126&lt;&gt;"",貼り付け用!R126,""),"")),
IF(ROW(R126)+2&gt;=MATCH("*【合計】*", 貼り付け用!$A:$A, 0),"",
IF(R$3&lt;&gt;"",IF(貼り付け用!R127&lt;&gt;"",貼り付け用!R127,""),"")))</f>
        <v>#N/A</v>
      </c>
      <c r="S126" s="19" t="e">
        <f>IF(貼り付け用!$A$6&lt;&gt;"",
IF(ROW(S125)+2&gt;=MATCH("*【合計】*", 貼り付け用!$A:$A, 0),"",
IF(S$3&lt;&gt;"",IF(貼り付け用!S126&lt;&gt;"",貼り付け用!S126,""),"")),
IF(ROW(S126)+2&gt;=MATCH("*【合計】*", 貼り付け用!$A:$A, 0),"",
IF(S$3&lt;&gt;"",IF(貼り付け用!S127&lt;&gt;"",貼り付け用!S127,""),"")))</f>
        <v>#N/A</v>
      </c>
      <c r="T126" s="19" t="e">
        <f t="array" ref="T126">IF(貼り付け用!$A$6&lt;&gt;"",
IF(INDEX(貼り付け用!A:Z, ROW(T125)+1, MATCH("おやつ", 貼り付け用!$A$3:$Z$3, 0))&lt;&gt;0,
INDEX(貼り付け用!A:Z, ROW(T125)+1, MATCH("おやつ", 貼り付け用!$A$3:$Z$3, 0)),""),
IF(INDEX(貼り付け用!A:Z, ROW(T126)+1, MATCH("おやつ", 貼り付け用!$A$3:$Z$3, 0))&lt;&gt;0,
INDEX(貼り付け用!A:Z, ROW(T126)+1, MATCH("おやつ", 貼り付け用!$A$3:$Z$3, 0)),""))</f>
        <v>#N/A</v>
      </c>
      <c r="U126" s="16"/>
      <c r="V126" s="5" t="e">
        <f t="array" ref="V126">IF(貼り付け用!$A$6&lt;&gt;"",
IF(INDEX(貼り付け用!A:Z, ROW(T125)+1, MATCH("おやつ", 貼り付け用!$A$3:$Z$3, 0)+1)&lt;&gt;0,
INDEX(貼り付け用!A:Z, ROW(T125)+1, MATCH("おやつ", 貼り付け用!$A$3:$Z$3, 0)+1),""),
IF(INDEX(貼り付け用!A:Z, ROW(T126)+1, MATCH("おやつ", 貼り付け用!$A$3:$Z$3, 0)+1)&lt;&gt;0,
INDEX(貼り付け用!A:Z, ROW(T126)+1, MATCH("おやつ", 貼り付け用!$A$3:$Z$3, 0)+1),""))</f>
        <v>#N/A</v>
      </c>
      <c r="W126" s="7" t="e">
        <f t="array" ref="W126">IF(貼り付け用!$A$6&lt;&gt;"",
IF(INDEX(貼り付け用!A:Z, ROW(T125)+1, MATCH("おやつ", 貼り付け用!$A$3:$Z$3, 0)+2)&lt;&gt;0,
INDEX(貼り付け用!A:Z, ROW(T125)+1, MATCH("おやつ", 貼り付け用!$A$3:$Z$3, 0)+2),""),
IF(INDEX(貼り付け用!A:Z, ROW(T126)+1, MATCH("おやつ", 貼り付け用!$A$3:$Z$3, 0)+2)&lt;&gt;0,
INDEX(貼り付け用!A:Z, ROW(T126)+1, MATCH("おやつ", 貼り付け用!$A$3:$Z$3, 0)+2),""))</f>
        <v>#N/A</v>
      </c>
    </row>
    <row r="127" spans="1:23" x14ac:dyDescent="0.45">
      <c r="A127" s="10" t="e">
        <f>IF(貼り付け用!$A$6&lt;&gt;"",
IF(ROW(A126)+1&gt;=MATCH("*10000*", 貼り付け用!$A:$A, 0),"",
IF(貼り付け用!A127&lt;&gt;"",貼り付け用!A127,"")),
IF(ROW(A127)+1&gt;=MATCH("*10000*", 貼り付け用!$A:$A, 0),"",
IF(貼り付け用!A128&lt;&gt;"",貼り付け用!A128,"")))</f>
        <v>#N/A</v>
      </c>
      <c r="B127" s="3" t="e">
        <f>IF(貼り付け用!$A$6&lt;&gt;"",
IF(ROW(B126)+2&gt;=MATCH("*【合計】*", 貼り付け用!$A:$A, 0),"",
IF(貼り付け用!B127&lt;&gt;"",貼り付け用!B127,"")),
IF(ROW(B127)+2&gt;=MATCH("*【合計】*", 貼り付け用!$A:$A, 0),"",
IF(貼り付け用!B128&lt;&gt;"",貼り付け用!B128,"")))</f>
        <v>#N/A</v>
      </c>
      <c r="C127" s="3" t="e">
        <f>IF(貼り付け用!$A$6&lt;&gt;"",
IF(ROW(C126)+2&gt;=MATCH("*【合計】*", 貼り付け用!$A:$A, 0),"",
IF(貼り付け用!C127&lt;&gt;"",貼り付け用!C127,"")),
IF(ROW(C127)+2&gt;=MATCH("*【合計】*", 貼り付け用!$A:$A, 0),"",
IF(貼り付け用!C128&lt;&gt;"",貼り付け用!C128,"")))</f>
        <v>#N/A</v>
      </c>
      <c r="D127" s="3" t="e">
        <f>IF(貼り付け用!$A$6&lt;&gt;"",
IF(ROW(D126)+2&gt;=MATCH("*【合計】*", 貼り付け用!$A:$A, 0),"",
IF(貼り付け用!D127&lt;&gt;"",貼り付け用!D127,"")),
IF(ROW(D127)+2&gt;=MATCH("*【合計】*", 貼り付け用!$A:$A, 0),"",
IF(貼り付け用!D128&lt;&gt;"",貼り付け用!D128,"")))</f>
        <v>#N/A</v>
      </c>
      <c r="E127" s="3" t="e">
        <f>IF(貼り付け用!$A$6&lt;&gt;"",
IF(ROW(E126)+2&gt;=MATCH("*【合計】*", 貼り付け用!$A:$A, 0),"",
IF(貼り付け用!E127&lt;&gt;"",貼り付け用!E127,"")),
IF(ROW(E127)+2&gt;=MATCH("*【合計】*", 貼り付け用!$A:$A, 0),"",
IF(貼り付け用!E128&lt;&gt;"",貼り付け用!E128,"")))</f>
        <v>#N/A</v>
      </c>
      <c r="F127" s="3" t="e">
        <f>IF(貼り付け用!$A$6&lt;&gt;"",
IF(ROW(F126)+2&gt;=MATCH("*【合計】*", 貼り付け用!$A:$A, 0),"",
IF(貼り付け用!F127&lt;&gt;"",貼り付け用!F127,"")),
IF(ROW(F127)+2&gt;=MATCH("*【合計】*", 貼り付け用!$A:$A, 0),"",
IF(貼り付け用!F128&lt;&gt;"",貼り付け用!F128,"")))</f>
        <v>#N/A</v>
      </c>
      <c r="G127" s="3" t="e">
        <f>IF(貼り付け用!$A$6&lt;&gt;"",
IF(ROW(G126)+2&gt;=MATCH("*【合計】*", 貼り付け用!$A:$A, 0),"",
IF(貼り付け用!G127&lt;&gt;"",貼り付け用!G127,"")),
IF(ROW(G127)+2&gt;=MATCH("*【合計】*", 貼り付け用!$A:$A, 0),"",
IF(貼り付け用!G128&lt;&gt;"",貼り付け用!G128,"")))</f>
        <v>#N/A</v>
      </c>
      <c r="H127" s="3" t="e">
        <f>IF(貼り付け用!$A$6&lt;&gt;"",
IF(ROW(H126)+2&gt;=MATCH("*【合計】*", 貼り付け用!$A:$A, 0),"",
IF(貼り付け用!H127&lt;&gt;"",貼り付け用!H127,"")),
IF(ROW(H127)+2&gt;=MATCH("*【合計】*", 貼り付け用!$A:$A, 0),"",
IF(貼り付け用!H128&lt;&gt;"",貼り付け用!H128,"")))</f>
        <v>#N/A</v>
      </c>
      <c r="I127" s="3" t="e">
        <f>IF(貼り付け用!$A$6&lt;&gt;"",
IF(ROW(I126)+2&gt;=MATCH("*【合計】*", 貼り付け用!$A:$A, 0),"",
IF(貼り付け用!I127&lt;&gt;"",貼り付け用!I127,"")),
IF(ROW(I127)+2&gt;=MATCH("*【合計】*", 貼り付け用!$A:$A, 0),"",
IF(貼り付け用!I128&lt;&gt;"",貼り付け用!I128,"")))</f>
        <v>#N/A</v>
      </c>
      <c r="J127" s="3" t="e">
        <f>IF(貼り付け用!$A$6&lt;&gt;"",
IF(ROW(J126)+2&gt;=MATCH("*【合計】*", 貼り付け用!$A:$A, 0),"",
IF(貼り付け用!J127&lt;&gt;"",貼り付け用!J127,"")),
IF(ROW(J127)+2&gt;=MATCH("*【合計】*", 貼り付け用!$A:$A, 0),"",
IF(貼り付け用!J128&lt;&gt;"",貼り付け用!J128,"")))</f>
        <v>#N/A</v>
      </c>
      <c r="K127" s="3" t="e">
        <f>IF(貼り付け用!$A$6&lt;&gt;"",
IF(ROW(K126)+2&gt;=MATCH("*【合計】*", 貼り付け用!$A:$A, 0),"",
IF(貼り付け用!K127&lt;&gt;"",貼り付け用!K127,"")),
IF(ROW(K127)+2&gt;=MATCH("*【合計】*", 貼り付け用!$A:$A, 0),"",
IF(貼り付け用!K128&lt;&gt;"",貼り付け用!K128,"")))</f>
        <v>#N/A</v>
      </c>
      <c r="L127" s="3" t="e">
        <f>IF(貼り付け用!$A$6&lt;&gt;"",
IF(ROW(L126)+2&gt;=MATCH("*【合計】*", 貼り付け用!$A:$A, 0),"",
IF(L$3&lt;&gt;"",IF(貼り付け用!L127&lt;&gt;"",貼り付け用!L127,""),"")),
IF(ROW(L127)+2&gt;=MATCH("*【合計】*", 貼り付け用!$A:$A, 0),"",
IF(L$3&lt;&gt;"",IF(貼り付け用!L128&lt;&gt;"",貼り付け用!L128,""),"")))</f>
        <v>#N/A</v>
      </c>
      <c r="M127" s="3" t="e">
        <f>IF(貼り付け用!$A$6&lt;&gt;"",
IF(ROW(M126)+2&gt;=MATCH("*【合計】*", 貼り付け用!$A:$A, 0),"",
IF(M$3&lt;&gt;"",IF(貼り付け用!M127&lt;&gt;"",貼り付け用!M127,""),"")),
IF(ROW(M127)+2&gt;=MATCH("*【合計】*", 貼り付け用!$A:$A, 0),"",
IF(M$3&lt;&gt;"",IF(貼り付け用!M128&lt;&gt;"",貼り付け用!M128,""),"")))</f>
        <v>#N/A</v>
      </c>
      <c r="N127" s="3" t="e">
        <f>IF(貼り付け用!$A$6&lt;&gt;"",
IF(ROW(N126)+2&gt;=MATCH("*【合計】*", 貼り付け用!$A:$A, 0),"",
IF(N$3&lt;&gt;"",IF(貼り付け用!N127&lt;&gt;"",貼り付け用!N127,""),"")),
IF(ROW(N127)+2&gt;=MATCH("*【合計】*", 貼り付け用!$A:$A, 0),"",
IF(N$3&lt;&gt;"",IF(貼り付け用!N128&lt;&gt;"",貼り付け用!N128,""),"")))</f>
        <v>#N/A</v>
      </c>
      <c r="O127" s="3" t="e">
        <f>IF(貼り付け用!$A$6&lt;&gt;"",
IF(ROW(O126)+2&gt;=MATCH("*【合計】*", 貼り付け用!$A:$A, 0),"",
IF(O$3&lt;&gt;"",IF(貼り付け用!O127&lt;&gt;"",貼り付け用!O127,""),"")),
IF(ROW(O127)+2&gt;=MATCH("*【合計】*", 貼り付け用!$A:$A, 0),"",
IF(O$3&lt;&gt;"",IF(貼り付け用!O128&lt;&gt;"",貼り付け用!O128,""),"")))</f>
        <v>#N/A</v>
      </c>
      <c r="P127" s="3" t="e">
        <f>IF(貼り付け用!$A$6&lt;&gt;"",
IF(ROW(P126)+2&gt;=MATCH("*【合計】*", 貼り付け用!$A:$A, 0),"",
IF(P$3&lt;&gt;"",IF(貼り付け用!P127&lt;&gt;"",貼り付け用!P127,""),"")),
IF(ROW(P127)+2&gt;=MATCH("*【合計】*", 貼り付け用!$A:$A, 0),"",
IF(P$3&lt;&gt;"",IF(貼り付け用!P128&lt;&gt;"",貼り付け用!P128,""),"")))</f>
        <v>#N/A</v>
      </c>
      <c r="Q127" s="3" t="e">
        <f>IF(貼り付け用!$A$6&lt;&gt;"",
IF(ROW(Q126)+2&gt;=MATCH("*【合計】*", 貼り付け用!$A:$A, 0),"",
IF(Q$3&lt;&gt;"",IF(貼り付け用!Q127&lt;&gt;"",貼り付け用!Q127,""),"")),
IF(ROW(Q127)+2&gt;=MATCH("*【合計】*", 貼り付け用!$A:$A, 0),"",
IF(Q$3&lt;&gt;"",IF(貼り付け用!Q128&lt;&gt;"",貼り付け用!Q128,""),"")))</f>
        <v>#N/A</v>
      </c>
      <c r="R127" s="3" t="e">
        <f>IF(貼り付け用!$A$6&lt;&gt;"",
IF(ROW(R126)+2&gt;=MATCH("*【合計】*", 貼り付け用!$A:$A, 0),"",
IF(R$3&lt;&gt;"",IF(貼り付け用!R127&lt;&gt;"",貼り付け用!R127,""),"")),
IF(ROW(R127)+2&gt;=MATCH("*【合計】*", 貼り付け用!$A:$A, 0),"",
IF(R$3&lt;&gt;"",IF(貼り付け用!R128&lt;&gt;"",貼り付け用!R128,""),"")))</f>
        <v>#N/A</v>
      </c>
      <c r="S127" s="3" t="e">
        <f>IF(貼り付け用!$A$6&lt;&gt;"",
IF(ROW(S126)+2&gt;=MATCH("*【合計】*", 貼り付け用!$A:$A, 0),"",
IF(S$3&lt;&gt;"",IF(貼り付け用!S127&lt;&gt;"",貼り付け用!S127,""),"")),
IF(ROW(S127)+2&gt;=MATCH("*【合計】*", 貼り付け用!$A:$A, 0),"",
IF(S$3&lt;&gt;"",IF(貼り付け用!S128&lt;&gt;"",貼り付け用!S128,""),"")))</f>
        <v>#N/A</v>
      </c>
      <c r="T127" s="2" t="e">
        <f t="array" ref="T127">IF(貼り付け用!$A$6&lt;&gt;"",
IF(INDEX(貼り付け用!A:Z, ROW(T126)+1, MATCH("おやつ", 貼り付け用!$A$3:$Z$3, 0))&lt;&gt;0,
INDEX(貼り付け用!A:Z, ROW(T126)+1, MATCH("おやつ", 貼り付け用!$A$3:$Z$3, 0)),""),
IF(INDEX(貼り付け用!A:Z, ROW(T127)+1, MATCH("おやつ", 貼り付け用!$A$3:$Z$3, 0))&lt;&gt;0,
INDEX(貼り付け用!A:Z, ROW(T127)+1, MATCH("おやつ", 貼り付け用!$A$3:$Z$3, 0)),""))</f>
        <v>#N/A</v>
      </c>
      <c r="U127" s="52"/>
      <c r="V127" s="8" t="e">
        <f t="array" ref="V127">IF(貼り付け用!$A$6&lt;&gt;"",
IF(INDEX(貼り付け用!A:Z, ROW(T126)+1, MATCH("おやつ", 貼り付け用!$A$3:$Z$3, 0)+1)&lt;&gt;0,
INDEX(貼り付け用!A:Z, ROW(T126)+1, MATCH("おやつ", 貼り付け用!$A$3:$Z$3, 0)+1),""),
IF(INDEX(貼り付け用!A:Z, ROW(T127)+1, MATCH("おやつ", 貼り付け用!$A$3:$Z$3, 0)+1)&lt;&gt;0,
INDEX(貼り付け用!A:Z, ROW(T127)+1, MATCH("おやつ", 貼り付け用!$A$3:$Z$3, 0)+1),""))</f>
        <v>#N/A</v>
      </c>
      <c r="W127" s="9" t="e">
        <f t="array" ref="W127">IF(貼り付け用!$A$6&lt;&gt;"",
IF(INDEX(貼り付け用!A:Z, ROW(T126)+1, MATCH("おやつ", 貼り付け用!$A$3:$Z$3, 0)+2)&lt;&gt;0,
INDEX(貼り付け用!A:Z, ROW(T126)+1, MATCH("おやつ", 貼り付け用!$A$3:$Z$3, 0)+2),""),
IF(INDEX(貼り付け用!A:Z, ROW(T127)+1, MATCH("おやつ", 貼り付け用!$A$3:$Z$3, 0)+2)&lt;&gt;0,
INDEX(貼り付け用!A:Z, ROW(T127)+1, MATCH("おやつ", 貼り付け用!$A$3:$Z$3, 0)+2),""))</f>
        <v>#N/A</v>
      </c>
    </row>
    <row r="128" spans="1:23" x14ac:dyDescent="0.45">
      <c r="A128" s="4" t="e">
        <f>IF(貼り付け用!$A$6&lt;&gt;"",
IF(ROW(A127)+1&gt;=MATCH("*10000*", 貼り付け用!$A:$A, 0),
IF(COUNTIF(A126,"*10000*"),"10001",
IF(COUNTIF(A126,"*10001*"),"10002",
IF(COUNTIF(A126,"*10002*"),"",
IF(COUNTIF(A126,""),"","10000")))),
IF(貼り付け用!A128&lt;&gt;"",貼り付け用!A128,"")),
IF(ROW(A128)+1&gt;=MATCH("*10000*", 貼り付け用!$A:$A, 0),
IF(COUNTIF(A126,"*10000*"),"10001",
IF(COUNTIF(A126,"*10001*"),"10002",
IF(COUNTIF(A126,"*10002*"),"",
IF(COUNTIF(A126,""),"","10000")))),
IF(貼り付け用!A129&lt;&gt;"",貼り付け用!A129,"")))</f>
        <v>#N/A</v>
      </c>
      <c r="B128" s="19" t="e">
        <f>IF(貼り付け用!$A$6&lt;&gt;"",
IF(ROW(B127)+2&gt;=MATCH("*【合計】*", 貼り付け用!$A:$A, 0),"",
IF(貼り付け用!B128&lt;&gt;"",貼り付け用!B128,"")),
IF(ROW(B128)+2&gt;=MATCH("*【合計】*", 貼り付け用!$A:$A, 0),"",
IF(貼り付け用!B129&lt;&gt;"",貼り付け用!B129,"")))</f>
        <v>#N/A</v>
      </c>
      <c r="C128" s="19" t="e">
        <f>IF(貼り付け用!$A$6&lt;&gt;"",
IF(ROW(C127)+2&gt;=MATCH("*【合計】*", 貼り付け用!$A:$A, 0),"",
IF(貼り付け用!C128&lt;&gt;"",貼り付け用!C128,"")),
IF(ROW(C128)+2&gt;=MATCH("*【合計】*", 貼り付け用!$A:$A, 0),"",
IF(貼り付け用!C129&lt;&gt;"",貼り付け用!C129,"")))</f>
        <v>#N/A</v>
      </c>
      <c r="D128" s="19" t="e">
        <f>IF(貼り付け用!$A$6&lt;&gt;"",
IF(ROW(D127)+2&gt;=MATCH("*【合計】*", 貼り付け用!$A:$A, 0),"",
IF(貼り付け用!D128&lt;&gt;"",貼り付け用!D128,"")),
IF(ROW(D128)+2&gt;=MATCH("*【合計】*", 貼り付け用!$A:$A, 0),"",
IF(貼り付け用!D129&lt;&gt;"",貼り付け用!D129,"")))</f>
        <v>#N/A</v>
      </c>
      <c r="E128" s="19" t="e">
        <f>IF(貼り付け用!$A$6&lt;&gt;"",
IF(ROW(E127)+2&gt;=MATCH("*【合計】*", 貼り付け用!$A:$A, 0),"",
IF(貼り付け用!E128&lt;&gt;"",貼り付け用!E128,"")),
IF(ROW(E128)+2&gt;=MATCH("*【合計】*", 貼り付け用!$A:$A, 0),"",
IF(貼り付け用!E129&lt;&gt;"",貼り付け用!E129,"")))</f>
        <v>#N/A</v>
      </c>
      <c r="F128" s="19" t="e">
        <f>IF(貼り付け用!$A$6&lt;&gt;"",
IF(ROW(F127)+2&gt;=MATCH("*【合計】*", 貼り付け用!$A:$A, 0),"",
IF(貼り付け用!F128&lt;&gt;"",貼り付け用!F128,"")),
IF(ROW(F128)+2&gt;=MATCH("*【合計】*", 貼り付け用!$A:$A, 0),"",
IF(貼り付け用!F129&lt;&gt;"",貼り付け用!F129,"")))</f>
        <v>#N/A</v>
      </c>
      <c r="G128" s="19" t="e">
        <f>IF(貼り付け用!$A$6&lt;&gt;"",
IF(ROW(G127)+2&gt;=MATCH("*【合計】*", 貼り付け用!$A:$A, 0),"",
IF(貼り付け用!G128&lt;&gt;"",貼り付け用!G128,"")),
IF(ROW(G128)+2&gt;=MATCH("*【合計】*", 貼り付け用!$A:$A, 0),"",
IF(貼り付け用!G129&lt;&gt;"",貼り付け用!G129,"")))</f>
        <v>#N/A</v>
      </c>
      <c r="H128" s="19" t="e">
        <f>IF(貼り付け用!$A$6&lt;&gt;"",
IF(ROW(H127)+2&gt;=MATCH("*【合計】*", 貼り付け用!$A:$A, 0),"",
IF(貼り付け用!H128&lt;&gt;"",貼り付け用!H128,"")),
IF(ROW(H128)+2&gt;=MATCH("*【合計】*", 貼り付け用!$A:$A, 0),"",
IF(貼り付け用!H129&lt;&gt;"",貼り付け用!H129,"")))</f>
        <v>#N/A</v>
      </c>
      <c r="I128" s="19" t="e">
        <f>IF(貼り付け用!$A$6&lt;&gt;"",
IF(ROW(I127)+2&gt;=MATCH("*【合計】*", 貼り付け用!$A:$A, 0),"",
IF(貼り付け用!I128&lt;&gt;"",貼り付け用!I128,"")),
IF(ROW(I128)+2&gt;=MATCH("*【合計】*", 貼り付け用!$A:$A, 0),"",
IF(貼り付け用!I129&lt;&gt;"",貼り付け用!I129,"")))</f>
        <v>#N/A</v>
      </c>
      <c r="J128" s="19" t="e">
        <f>IF(貼り付け用!$A$6&lt;&gt;"",
IF(ROW(J127)+2&gt;=MATCH("*【合計】*", 貼り付け用!$A:$A, 0),"",
IF(貼り付け用!J128&lt;&gt;"",貼り付け用!J128,"")),
IF(ROW(J128)+2&gt;=MATCH("*【合計】*", 貼り付け用!$A:$A, 0),"",
IF(貼り付け用!J129&lt;&gt;"",貼り付け用!J129,"")))</f>
        <v>#N/A</v>
      </c>
      <c r="K128" s="19" t="e">
        <f>IF(貼り付け用!$A$6&lt;&gt;"",
IF(ROW(K127)+2&gt;=MATCH("*【合計】*", 貼り付け用!$A:$A, 0),"",
IF(貼り付け用!K128&lt;&gt;"",貼り付け用!K128,"")),
IF(ROW(K128)+2&gt;=MATCH("*【合計】*", 貼り付け用!$A:$A, 0),"",
IF(貼り付け用!K129&lt;&gt;"",貼り付け用!K129,"")))</f>
        <v>#N/A</v>
      </c>
      <c r="L128" s="19" t="e">
        <f>IF(貼り付け用!$A$6&lt;&gt;"",
IF(ROW(L127)+2&gt;=MATCH("*【合計】*", 貼り付け用!$A:$A, 0),"",
IF(L$3&lt;&gt;"",IF(貼り付け用!L128&lt;&gt;"",貼り付け用!L128,""),"")),
IF(ROW(L128)+2&gt;=MATCH("*【合計】*", 貼り付け用!$A:$A, 0),"",
IF(L$3&lt;&gt;"",IF(貼り付け用!L129&lt;&gt;"",貼り付け用!L129,""),"")))</f>
        <v>#N/A</v>
      </c>
      <c r="M128" s="19" t="e">
        <f>IF(貼り付け用!$A$6&lt;&gt;"",
IF(ROW(M127)+2&gt;=MATCH("*【合計】*", 貼り付け用!$A:$A, 0),"",
IF(M$3&lt;&gt;"",IF(貼り付け用!M128&lt;&gt;"",貼り付け用!M128,""),"")),
IF(ROW(M128)+2&gt;=MATCH("*【合計】*", 貼り付け用!$A:$A, 0),"",
IF(M$3&lt;&gt;"",IF(貼り付け用!M129&lt;&gt;"",貼り付け用!M129,""),"")))</f>
        <v>#N/A</v>
      </c>
      <c r="N128" s="19" t="e">
        <f>IF(貼り付け用!$A$6&lt;&gt;"",
IF(ROW(N127)+2&gt;=MATCH("*【合計】*", 貼り付け用!$A:$A, 0),"",
IF(N$3&lt;&gt;"",IF(貼り付け用!N128&lt;&gt;"",貼り付け用!N128,""),"")),
IF(ROW(N128)+2&gt;=MATCH("*【合計】*", 貼り付け用!$A:$A, 0),"",
IF(N$3&lt;&gt;"",IF(貼り付け用!N129&lt;&gt;"",貼り付け用!N129,""),"")))</f>
        <v>#N/A</v>
      </c>
      <c r="O128" s="19" t="e">
        <f>IF(貼り付け用!$A$6&lt;&gt;"",
IF(ROW(O127)+2&gt;=MATCH("*【合計】*", 貼り付け用!$A:$A, 0),"",
IF(O$3&lt;&gt;"",IF(貼り付け用!O128&lt;&gt;"",貼り付け用!O128,""),"")),
IF(ROW(O128)+2&gt;=MATCH("*【合計】*", 貼り付け用!$A:$A, 0),"",
IF(O$3&lt;&gt;"",IF(貼り付け用!O129&lt;&gt;"",貼り付け用!O129,""),"")))</f>
        <v>#N/A</v>
      </c>
      <c r="P128" s="19" t="e">
        <f>IF(貼り付け用!$A$6&lt;&gt;"",
IF(ROW(P127)+2&gt;=MATCH("*【合計】*", 貼り付け用!$A:$A, 0),"",
IF(P$3&lt;&gt;"",IF(貼り付け用!P128&lt;&gt;"",貼り付け用!P128,""),"")),
IF(ROW(P128)+2&gt;=MATCH("*【合計】*", 貼り付け用!$A:$A, 0),"",
IF(P$3&lt;&gt;"",IF(貼り付け用!P129&lt;&gt;"",貼り付け用!P129,""),"")))</f>
        <v>#N/A</v>
      </c>
      <c r="Q128" s="19" t="e">
        <f>IF(貼り付け用!$A$6&lt;&gt;"",
IF(ROW(Q127)+2&gt;=MATCH("*【合計】*", 貼り付け用!$A:$A, 0),"",
IF(Q$3&lt;&gt;"",IF(貼り付け用!Q128&lt;&gt;"",貼り付け用!Q128,""),"")),
IF(ROW(Q128)+2&gt;=MATCH("*【合計】*", 貼り付け用!$A:$A, 0),"",
IF(Q$3&lt;&gt;"",IF(貼り付け用!Q129&lt;&gt;"",貼り付け用!Q129,""),"")))</f>
        <v>#N/A</v>
      </c>
      <c r="R128" s="19" t="e">
        <f>IF(貼り付け用!$A$6&lt;&gt;"",
IF(ROW(R127)+2&gt;=MATCH("*【合計】*", 貼り付け用!$A:$A, 0),"",
IF(R$3&lt;&gt;"",IF(貼り付け用!R128&lt;&gt;"",貼り付け用!R128,""),"")),
IF(ROW(R128)+2&gt;=MATCH("*【合計】*", 貼り付け用!$A:$A, 0),"",
IF(R$3&lt;&gt;"",IF(貼り付け用!R129&lt;&gt;"",貼り付け用!R129,""),"")))</f>
        <v>#N/A</v>
      </c>
      <c r="S128" s="19" t="e">
        <f>IF(貼り付け用!$A$6&lt;&gt;"",
IF(ROW(S127)+2&gt;=MATCH("*【合計】*", 貼り付け用!$A:$A, 0),"",
IF(S$3&lt;&gt;"",IF(貼り付け用!S128&lt;&gt;"",貼り付け用!S128,""),"")),
IF(ROW(S128)+2&gt;=MATCH("*【合計】*", 貼り付け用!$A:$A, 0),"",
IF(S$3&lt;&gt;"",IF(貼り付け用!S129&lt;&gt;"",貼り付け用!S129,""),"")))</f>
        <v>#N/A</v>
      </c>
      <c r="T128" s="19" t="e">
        <f t="array" ref="T128">IF(貼り付け用!$A$6&lt;&gt;"",
IF(INDEX(貼り付け用!A:Z, ROW(T127)+1, MATCH("おやつ", 貼り付け用!$A$3:$Z$3, 0))&lt;&gt;0,
INDEX(貼り付け用!A:Z, ROW(T127)+1, MATCH("おやつ", 貼り付け用!$A$3:$Z$3, 0)),""),
IF(INDEX(貼り付け用!A:Z, ROW(T128)+1, MATCH("おやつ", 貼り付け用!$A$3:$Z$3, 0))&lt;&gt;0,
INDEX(貼り付け用!A:Z, ROW(T128)+1, MATCH("おやつ", 貼り付け用!$A$3:$Z$3, 0)),""))</f>
        <v>#N/A</v>
      </c>
      <c r="U128" s="16"/>
      <c r="V128" s="5" t="e">
        <f t="array" ref="V128">IF(貼り付け用!$A$6&lt;&gt;"",
IF(INDEX(貼り付け用!A:Z, ROW(T127)+1, MATCH("おやつ", 貼り付け用!$A$3:$Z$3, 0)+1)&lt;&gt;0,
INDEX(貼り付け用!A:Z, ROW(T127)+1, MATCH("おやつ", 貼り付け用!$A$3:$Z$3, 0)+1),""),
IF(INDEX(貼り付け用!A:Z, ROW(T128)+1, MATCH("おやつ", 貼り付け用!$A$3:$Z$3, 0)+1)&lt;&gt;0,
INDEX(貼り付け用!A:Z, ROW(T128)+1, MATCH("おやつ", 貼り付け用!$A$3:$Z$3, 0)+1),""))</f>
        <v>#N/A</v>
      </c>
      <c r="W128" s="7" t="e">
        <f t="array" ref="W128">IF(貼り付け用!$A$6&lt;&gt;"",
IF(INDEX(貼り付け用!A:Z, ROW(T127)+1, MATCH("おやつ", 貼り付け用!$A$3:$Z$3, 0)+2)&lt;&gt;0,
INDEX(貼り付け用!A:Z, ROW(T127)+1, MATCH("おやつ", 貼り付け用!$A$3:$Z$3, 0)+2),""),
IF(INDEX(貼り付け用!A:Z, ROW(T128)+1, MATCH("おやつ", 貼り付け用!$A$3:$Z$3, 0)+2)&lt;&gt;0,
INDEX(貼り付け用!A:Z, ROW(T128)+1, MATCH("おやつ", 貼り付け用!$A$3:$Z$3, 0)+2),""))</f>
        <v>#N/A</v>
      </c>
    </row>
    <row r="129" spans="1:23" x14ac:dyDescent="0.45">
      <c r="A129" s="10" t="e">
        <f>IF(貼り付け用!$A$6&lt;&gt;"",
IF(ROW(A128)+1&gt;=MATCH("*10000*", 貼り付け用!$A:$A, 0),"",
IF(貼り付け用!A129&lt;&gt;"",貼り付け用!A129,"")),
IF(ROW(A129)+1&gt;=MATCH("*10000*", 貼り付け用!$A:$A, 0),"",
IF(貼り付け用!A130&lt;&gt;"",貼り付け用!A130,"")))</f>
        <v>#N/A</v>
      </c>
      <c r="B129" s="3" t="e">
        <f>IF(貼り付け用!$A$6&lt;&gt;"",
IF(ROW(B128)+2&gt;=MATCH("*【合計】*", 貼り付け用!$A:$A, 0),"",
IF(貼り付け用!B129&lt;&gt;"",貼り付け用!B129,"")),
IF(ROW(B129)+2&gt;=MATCH("*【合計】*", 貼り付け用!$A:$A, 0),"",
IF(貼り付け用!B130&lt;&gt;"",貼り付け用!B130,"")))</f>
        <v>#N/A</v>
      </c>
      <c r="C129" s="3" t="e">
        <f>IF(貼り付け用!$A$6&lt;&gt;"",
IF(ROW(C128)+2&gt;=MATCH("*【合計】*", 貼り付け用!$A:$A, 0),"",
IF(貼り付け用!C129&lt;&gt;"",貼り付け用!C129,"")),
IF(ROW(C129)+2&gt;=MATCH("*【合計】*", 貼り付け用!$A:$A, 0),"",
IF(貼り付け用!C130&lt;&gt;"",貼り付け用!C130,"")))</f>
        <v>#N/A</v>
      </c>
      <c r="D129" s="3" t="e">
        <f>IF(貼り付け用!$A$6&lt;&gt;"",
IF(ROW(D128)+2&gt;=MATCH("*【合計】*", 貼り付け用!$A:$A, 0),"",
IF(貼り付け用!D129&lt;&gt;"",貼り付け用!D129,"")),
IF(ROW(D129)+2&gt;=MATCH("*【合計】*", 貼り付け用!$A:$A, 0),"",
IF(貼り付け用!D130&lt;&gt;"",貼り付け用!D130,"")))</f>
        <v>#N/A</v>
      </c>
      <c r="E129" s="3" t="e">
        <f>IF(貼り付け用!$A$6&lt;&gt;"",
IF(ROW(E128)+2&gt;=MATCH("*【合計】*", 貼り付け用!$A:$A, 0),"",
IF(貼り付け用!E129&lt;&gt;"",貼り付け用!E129,"")),
IF(ROW(E129)+2&gt;=MATCH("*【合計】*", 貼り付け用!$A:$A, 0),"",
IF(貼り付け用!E130&lt;&gt;"",貼り付け用!E130,"")))</f>
        <v>#N/A</v>
      </c>
      <c r="F129" s="3" t="e">
        <f>IF(貼り付け用!$A$6&lt;&gt;"",
IF(ROW(F128)+2&gt;=MATCH("*【合計】*", 貼り付け用!$A:$A, 0),"",
IF(貼り付け用!F129&lt;&gt;"",貼り付け用!F129,"")),
IF(ROW(F129)+2&gt;=MATCH("*【合計】*", 貼り付け用!$A:$A, 0),"",
IF(貼り付け用!F130&lt;&gt;"",貼り付け用!F130,"")))</f>
        <v>#N/A</v>
      </c>
      <c r="G129" s="3" t="e">
        <f>IF(貼り付け用!$A$6&lt;&gt;"",
IF(ROW(G128)+2&gt;=MATCH("*【合計】*", 貼り付け用!$A:$A, 0),"",
IF(貼り付け用!G129&lt;&gt;"",貼り付け用!G129,"")),
IF(ROW(G129)+2&gt;=MATCH("*【合計】*", 貼り付け用!$A:$A, 0),"",
IF(貼り付け用!G130&lt;&gt;"",貼り付け用!G130,"")))</f>
        <v>#N/A</v>
      </c>
      <c r="H129" s="3" t="e">
        <f>IF(貼り付け用!$A$6&lt;&gt;"",
IF(ROW(H128)+2&gt;=MATCH("*【合計】*", 貼り付け用!$A:$A, 0),"",
IF(貼り付け用!H129&lt;&gt;"",貼り付け用!H129,"")),
IF(ROW(H129)+2&gt;=MATCH("*【合計】*", 貼り付け用!$A:$A, 0),"",
IF(貼り付け用!H130&lt;&gt;"",貼り付け用!H130,"")))</f>
        <v>#N/A</v>
      </c>
      <c r="I129" s="3" t="e">
        <f>IF(貼り付け用!$A$6&lt;&gt;"",
IF(ROW(I128)+2&gt;=MATCH("*【合計】*", 貼り付け用!$A:$A, 0),"",
IF(貼り付け用!I129&lt;&gt;"",貼り付け用!I129,"")),
IF(ROW(I129)+2&gt;=MATCH("*【合計】*", 貼り付け用!$A:$A, 0),"",
IF(貼り付け用!I130&lt;&gt;"",貼り付け用!I130,"")))</f>
        <v>#N/A</v>
      </c>
      <c r="J129" s="3" t="e">
        <f>IF(貼り付け用!$A$6&lt;&gt;"",
IF(ROW(J128)+2&gt;=MATCH("*【合計】*", 貼り付け用!$A:$A, 0),"",
IF(貼り付け用!J129&lt;&gt;"",貼り付け用!J129,"")),
IF(ROW(J129)+2&gt;=MATCH("*【合計】*", 貼り付け用!$A:$A, 0),"",
IF(貼り付け用!J130&lt;&gt;"",貼り付け用!J130,"")))</f>
        <v>#N/A</v>
      </c>
      <c r="K129" s="3" t="e">
        <f>IF(貼り付け用!$A$6&lt;&gt;"",
IF(ROW(K128)+2&gt;=MATCH("*【合計】*", 貼り付け用!$A:$A, 0),"",
IF(貼り付け用!K129&lt;&gt;"",貼り付け用!K129,"")),
IF(ROW(K129)+2&gt;=MATCH("*【合計】*", 貼り付け用!$A:$A, 0),"",
IF(貼り付け用!K130&lt;&gt;"",貼り付け用!K130,"")))</f>
        <v>#N/A</v>
      </c>
      <c r="L129" s="3" t="e">
        <f>IF(貼り付け用!$A$6&lt;&gt;"",
IF(ROW(L128)+2&gt;=MATCH("*【合計】*", 貼り付け用!$A:$A, 0),"",
IF(L$3&lt;&gt;"",IF(貼り付け用!L129&lt;&gt;"",貼り付け用!L129,""),"")),
IF(ROW(L129)+2&gt;=MATCH("*【合計】*", 貼り付け用!$A:$A, 0),"",
IF(L$3&lt;&gt;"",IF(貼り付け用!L130&lt;&gt;"",貼り付け用!L130,""),"")))</f>
        <v>#N/A</v>
      </c>
      <c r="M129" s="3" t="e">
        <f>IF(貼り付け用!$A$6&lt;&gt;"",
IF(ROW(M128)+2&gt;=MATCH("*【合計】*", 貼り付け用!$A:$A, 0),"",
IF(M$3&lt;&gt;"",IF(貼り付け用!M129&lt;&gt;"",貼り付け用!M129,""),"")),
IF(ROW(M129)+2&gt;=MATCH("*【合計】*", 貼り付け用!$A:$A, 0),"",
IF(M$3&lt;&gt;"",IF(貼り付け用!M130&lt;&gt;"",貼り付け用!M130,""),"")))</f>
        <v>#N/A</v>
      </c>
      <c r="N129" s="3" t="e">
        <f>IF(貼り付け用!$A$6&lt;&gt;"",
IF(ROW(N128)+2&gt;=MATCH("*【合計】*", 貼り付け用!$A:$A, 0),"",
IF(N$3&lt;&gt;"",IF(貼り付け用!N129&lt;&gt;"",貼り付け用!N129,""),"")),
IF(ROW(N129)+2&gt;=MATCH("*【合計】*", 貼り付け用!$A:$A, 0),"",
IF(N$3&lt;&gt;"",IF(貼り付け用!N130&lt;&gt;"",貼り付け用!N130,""),"")))</f>
        <v>#N/A</v>
      </c>
      <c r="O129" s="3" t="e">
        <f>IF(貼り付け用!$A$6&lt;&gt;"",
IF(ROW(O128)+2&gt;=MATCH("*【合計】*", 貼り付け用!$A:$A, 0),"",
IF(O$3&lt;&gt;"",IF(貼り付け用!O129&lt;&gt;"",貼り付け用!O129,""),"")),
IF(ROW(O129)+2&gt;=MATCH("*【合計】*", 貼り付け用!$A:$A, 0),"",
IF(O$3&lt;&gt;"",IF(貼り付け用!O130&lt;&gt;"",貼り付け用!O130,""),"")))</f>
        <v>#N/A</v>
      </c>
      <c r="P129" s="3" t="e">
        <f>IF(貼り付け用!$A$6&lt;&gt;"",
IF(ROW(P128)+2&gt;=MATCH("*【合計】*", 貼り付け用!$A:$A, 0),"",
IF(P$3&lt;&gt;"",IF(貼り付け用!P129&lt;&gt;"",貼り付け用!P129,""),"")),
IF(ROW(P129)+2&gt;=MATCH("*【合計】*", 貼り付け用!$A:$A, 0),"",
IF(P$3&lt;&gt;"",IF(貼り付け用!P130&lt;&gt;"",貼り付け用!P130,""),"")))</f>
        <v>#N/A</v>
      </c>
      <c r="Q129" s="3" t="e">
        <f>IF(貼り付け用!$A$6&lt;&gt;"",
IF(ROW(Q128)+2&gt;=MATCH("*【合計】*", 貼り付け用!$A:$A, 0),"",
IF(Q$3&lt;&gt;"",IF(貼り付け用!Q129&lt;&gt;"",貼り付け用!Q129,""),"")),
IF(ROW(Q129)+2&gt;=MATCH("*【合計】*", 貼り付け用!$A:$A, 0),"",
IF(Q$3&lt;&gt;"",IF(貼り付け用!Q130&lt;&gt;"",貼り付け用!Q130,""),"")))</f>
        <v>#N/A</v>
      </c>
      <c r="R129" s="3" t="e">
        <f>IF(貼り付け用!$A$6&lt;&gt;"",
IF(ROW(R128)+2&gt;=MATCH("*【合計】*", 貼り付け用!$A:$A, 0),"",
IF(R$3&lt;&gt;"",IF(貼り付け用!R129&lt;&gt;"",貼り付け用!R129,""),"")),
IF(ROW(R129)+2&gt;=MATCH("*【合計】*", 貼り付け用!$A:$A, 0),"",
IF(R$3&lt;&gt;"",IF(貼り付け用!R130&lt;&gt;"",貼り付け用!R130,""),"")))</f>
        <v>#N/A</v>
      </c>
      <c r="S129" s="3" t="e">
        <f>IF(貼り付け用!$A$6&lt;&gt;"",
IF(ROW(S128)+2&gt;=MATCH("*【合計】*", 貼り付け用!$A:$A, 0),"",
IF(S$3&lt;&gt;"",IF(貼り付け用!S129&lt;&gt;"",貼り付け用!S129,""),"")),
IF(ROW(S129)+2&gt;=MATCH("*【合計】*", 貼り付け用!$A:$A, 0),"",
IF(S$3&lt;&gt;"",IF(貼り付け用!S130&lt;&gt;"",貼り付け用!S130,""),"")))</f>
        <v>#N/A</v>
      </c>
      <c r="T129" s="2" t="e">
        <f t="array" ref="T129">IF(貼り付け用!$A$6&lt;&gt;"",
IF(INDEX(貼り付け用!A:Z, ROW(T128)+1, MATCH("おやつ", 貼り付け用!$A$3:$Z$3, 0))&lt;&gt;0,
INDEX(貼り付け用!A:Z, ROW(T128)+1, MATCH("おやつ", 貼り付け用!$A$3:$Z$3, 0)),""),
IF(INDEX(貼り付け用!A:Z, ROW(T129)+1, MATCH("おやつ", 貼り付け用!$A$3:$Z$3, 0))&lt;&gt;0,
INDEX(貼り付け用!A:Z, ROW(T129)+1, MATCH("おやつ", 貼り付け用!$A$3:$Z$3, 0)),""))</f>
        <v>#N/A</v>
      </c>
      <c r="U129" s="52"/>
      <c r="V129" s="8" t="e">
        <f t="array" ref="V129">IF(貼り付け用!$A$6&lt;&gt;"",
IF(INDEX(貼り付け用!A:Z, ROW(T128)+1, MATCH("おやつ", 貼り付け用!$A$3:$Z$3, 0)+1)&lt;&gt;0,
INDEX(貼り付け用!A:Z, ROW(T128)+1, MATCH("おやつ", 貼り付け用!$A$3:$Z$3, 0)+1),""),
IF(INDEX(貼り付け用!A:Z, ROW(T129)+1, MATCH("おやつ", 貼り付け用!$A$3:$Z$3, 0)+1)&lt;&gt;0,
INDEX(貼り付け用!A:Z, ROW(T129)+1, MATCH("おやつ", 貼り付け用!$A$3:$Z$3, 0)+1),""))</f>
        <v>#N/A</v>
      </c>
      <c r="W129" s="9" t="e">
        <f t="array" ref="W129">IF(貼り付け用!$A$6&lt;&gt;"",
IF(INDEX(貼り付け用!A:Z, ROW(T128)+1, MATCH("おやつ", 貼り付け用!$A$3:$Z$3, 0)+2)&lt;&gt;0,
INDEX(貼り付け用!A:Z, ROW(T128)+1, MATCH("おやつ", 貼り付け用!$A$3:$Z$3, 0)+2),""),
IF(INDEX(貼り付け用!A:Z, ROW(T129)+1, MATCH("おやつ", 貼り付け用!$A$3:$Z$3, 0)+2)&lt;&gt;0,
INDEX(貼り付け用!A:Z, ROW(T129)+1, MATCH("おやつ", 貼り付け用!$A$3:$Z$3, 0)+2),""))</f>
        <v>#N/A</v>
      </c>
    </row>
    <row r="130" spans="1:23" x14ac:dyDescent="0.45">
      <c r="A130" s="4" t="e">
        <f>IF(貼り付け用!$A$6&lt;&gt;"",
IF(ROW(A129)+1&gt;=MATCH("*10000*", 貼り付け用!$A:$A, 0),
IF(COUNTIF(A128,"*10000*"),"10001",
IF(COUNTIF(A128,"*10001*"),"10002",
IF(COUNTIF(A128,"*10002*"),"",
IF(COUNTIF(A128,""),"","10000")))),
IF(貼り付け用!A130&lt;&gt;"",貼り付け用!A130,"")),
IF(ROW(A130)+1&gt;=MATCH("*10000*", 貼り付け用!$A:$A, 0),
IF(COUNTIF(A128,"*10000*"),"10001",
IF(COUNTIF(A128,"*10001*"),"10002",
IF(COUNTIF(A128,"*10002*"),"",
IF(COUNTIF(A128,""),"","10000")))),
IF(貼り付け用!A131&lt;&gt;"",貼り付け用!A131,"")))</f>
        <v>#N/A</v>
      </c>
      <c r="B130" s="19" t="e">
        <f>IF(貼り付け用!$A$6&lt;&gt;"",
IF(ROW(B129)+2&gt;=MATCH("*【合計】*", 貼り付け用!$A:$A, 0),"",
IF(貼り付け用!B130&lt;&gt;"",貼り付け用!B130,"")),
IF(ROW(B130)+2&gt;=MATCH("*【合計】*", 貼り付け用!$A:$A, 0),"",
IF(貼り付け用!B131&lt;&gt;"",貼り付け用!B131,"")))</f>
        <v>#N/A</v>
      </c>
      <c r="C130" s="19" t="e">
        <f>IF(貼り付け用!$A$6&lt;&gt;"",
IF(ROW(C129)+2&gt;=MATCH("*【合計】*", 貼り付け用!$A:$A, 0),"",
IF(貼り付け用!C130&lt;&gt;"",貼り付け用!C130,"")),
IF(ROW(C130)+2&gt;=MATCH("*【合計】*", 貼り付け用!$A:$A, 0),"",
IF(貼り付け用!C131&lt;&gt;"",貼り付け用!C131,"")))</f>
        <v>#N/A</v>
      </c>
      <c r="D130" s="19" t="e">
        <f>IF(貼り付け用!$A$6&lt;&gt;"",
IF(ROW(D129)+2&gt;=MATCH("*【合計】*", 貼り付け用!$A:$A, 0),"",
IF(貼り付け用!D130&lt;&gt;"",貼り付け用!D130,"")),
IF(ROW(D130)+2&gt;=MATCH("*【合計】*", 貼り付け用!$A:$A, 0),"",
IF(貼り付け用!D131&lt;&gt;"",貼り付け用!D131,"")))</f>
        <v>#N/A</v>
      </c>
      <c r="E130" s="19" t="e">
        <f>IF(貼り付け用!$A$6&lt;&gt;"",
IF(ROW(E129)+2&gt;=MATCH("*【合計】*", 貼り付け用!$A:$A, 0),"",
IF(貼り付け用!E130&lt;&gt;"",貼り付け用!E130,"")),
IF(ROW(E130)+2&gt;=MATCH("*【合計】*", 貼り付け用!$A:$A, 0),"",
IF(貼り付け用!E131&lt;&gt;"",貼り付け用!E131,"")))</f>
        <v>#N/A</v>
      </c>
      <c r="F130" s="19" t="e">
        <f>IF(貼り付け用!$A$6&lt;&gt;"",
IF(ROW(F129)+2&gt;=MATCH("*【合計】*", 貼り付け用!$A:$A, 0),"",
IF(貼り付け用!F130&lt;&gt;"",貼り付け用!F130,"")),
IF(ROW(F130)+2&gt;=MATCH("*【合計】*", 貼り付け用!$A:$A, 0),"",
IF(貼り付け用!F131&lt;&gt;"",貼り付け用!F131,"")))</f>
        <v>#N/A</v>
      </c>
      <c r="G130" s="19" t="e">
        <f>IF(貼り付け用!$A$6&lt;&gt;"",
IF(ROW(G129)+2&gt;=MATCH("*【合計】*", 貼り付け用!$A:$A, 0),"",
IF(貼り付け用!G130&lt;&gt;"",貼り付け用!G130,"")),
IF(ROW(G130)+2&gt;=MATCH("*【合計】*", 貼り付け用!$A:$A, 0),"",
IF(貼り付け用!G131&lt;&gt;"",貼り付け用!G131,"")))</f>
        <v>#N/A</v>
      </c>
      <c r="H130" s="19" t="e">
        <f>IF(貼り付け用!$A$6&lt;&gt;"",
IF(ROW(H129)+2&gt;=MATCH("*【合計】*", 貼り付け用!$A:$A, 0),"",
IF(貼り付け用!H130&lt;&gt;"",貼り付け用!H130,"")),
IF(ROW(H130)+2&gt;=MATCH("*【合計】*", 貼り付け用!$A:$A, 0),"",
IF(貼り付け用!H131&lt;&gt;"",貼り付け用!H131,"")))</f>
        <v>#N/A</v>
      </c>
      <c r="I130" s="19" t="e">
        <f>IF(貼り付け用!$A$6&lt;&gt;"",
IF(ROW(I129)+2&gt;=MATCH("*【合計】*", 貼り付け用!$A:$A, 0),"",
IF(貼り付け用!I130&lt;&gt;"",貼り付け用!I130,"")),
IF(ROW(I130)+2&gt;=MATCH("*【合計】*", 貼り付け用!$A:$A, 0),"",
IF(貼り付け用!I131&lt;&gt;"",貼り付け用!I131,"")))</f>
        <v>#N/A</v>
      </c>
      <c r="J130" s="19" t="e">
        <f>IF(貼り付け用!$A$6&lt;&gt;"",
IF(ROW(J129)+2&gt;=MATCH("*【合計】*", 貼り付け用!$A:$A, 0),"",
IF(貼り付け用!J130&lt;&gt;"",貼り付け用!J130,"")),
IF(ROW(J130)+2&gt;=MATCH("*【合計】*", 貼り付け用!$A:$A, 0),"",
IF(貼り付け用!J131&lt;&gt;"",貼り付け用!J131,"")))</f>
        <v>#N/A</v>
      </c>
      <c r="K130" s="19" t="e">
        <f>IF(貼り付け用!$A$6&lt;&gt;"",
IF(ROW(K129)+2&gt;=MATCH("*【合計】*", 貼り付け用!$A:$A, 0),"",
IF(貼り付け用!K130&lt;&gt;"",貼り付け用!K130,"")),
IF(ROW(K130)+2&gt;=MATCH("*【合計】*", 貼り付け用!$A:$A, 0),"",
IF(貼り付け用!K131&lt;&gt;"",貼り付け用!K131,"")))</f>
        <v>#N/A</v>
      </c>
      <c r="L130" s="19" t="e">
        <f>IF(貼り付け用!$A$6&lt;&gt;"",
IF(ROW(L129)+2&gt;=MATCH("*【合計】*", 貼り付け用!$A:$A, 0),"",
IF(L$3&lt;&gt;"",IF(貼り付け用!L130&lt;&gt;"",貼り付け用!L130,""),"")),
IF(ROW(L130)+2&gt;=MATCH("*【合計】*", 貼り付け用!$A:$A, 0),"",
IF(L$3&lt;&gt;"",IF(貼り付け用!L131&lt;&gt;"",貼り付け用!L131,""),"")))</f>
        <v>#N/A</v>
      </c>
      <c r="M130" s="19" t="e">
        <f>IF(貼り付け用!$A$6&lt;&gt;"",
IF(ROW(M129)+2&gt;=MATCH("*【合計】*", 貼り付け用!$A:$A, 0),"",
IF(M$3&lt;&gt;"",IF(貼り付け用!M130&lt;&gt;"",貼り付け用!M130,""),"")),
IF(ROW(M130)+2&gt;=MATCH("*【合計】*", 貼り付け用!$A:$A, 0),"",
IF(M$3&lt;&gt;"",IF(貼り付け用!M131&lt;&gt;"",貼り付け用!M131,""),"")))</f>
        <v>#N/A</v>
      </c>
      <c r="N130" s="19" t="e">
        <f>IF(貼り付け用!$A$6&lt;&gt;"",
IF(ROW(N129)+2&gt;=MATCH("*【合計】*", 貼り付け用!$A:$A, 0),"",
IF(N$3&lt;&gt;"",IF(貼り付け用!N130&lt;&gt;"",貼り付け用!N130,""),"")),
IF(ROW(N130)+2&gt;=MATCH("*【合計】*", 貼り付け用!$A:$A, 0),"",
IF(N$3&lt;&gt;"",IF(貼り付け用!N131&lt;&gt;"",貼り付け用!N131,""),"")))</f>
        <v>#N/A</v>
      </c>
      <c r="O130" s="19" t="e">
        <f>IF(貼り付け用!$A$6&lt;&gt;"",
IF(ROW(O129)+2&gt;=MATCH("*【合計】*", 貼り付け用!$A:$A, 0),"",
IF(O$3&lt;&gt;"",IF(貼り付け用!O130&lt;&gt;"",貼り付け用!O130,""),"")),
IF(ROW(O130)+2&gt;=MATCH("*【合計】*", 貼り付け用!$A:$A, 0),"",
IF(O$3&lt;&gt;"",IF(貼り付け用!O131&lt;&gt;"",貼り付け用!O131,""),"")))</f>
        <v>#N/A</v>
      </c>
      <c r="P130" s="19" t="e">
        <f>IF(貼り付け用!$A$6&lt;&gt;"",
IF(ROW(P129)+2&gt;=MATCH("*【合計】*", 貼り付け用!$A:$A, 0),"",
IF(P$3&lt;&gt;"",IF(貼り付け用!P130&lt;&gt;"",貼り付け用!P130,""),"")),
IF(ROW(P130)+2&gt;=MATCH("*【合計】*", 貼り付け用!$A:$A, 0),"",
IF(P$3&lt;&gt;"",IF(貼り付け用!P131&lt;&gt;"",貼り付け用!P131,""),"")))</f>
        <v>#N/A</v>
      </c>
      <c r="Q130" s="19" t="e">
        <f>IF(貼り付け用!$A$6&lt;&gt;"",
IF(ROW(Q129)+2&gt;=MATCH("*【合計】*", 貼り付け用!$A:$A, 0),"",
IF(Q$3&lt;&gt;"",IF(貼り付け用!Q130&lt;&gt;"",貼り付け用!Q130,""),"")),
IF(ROW(Q130)+2&gt;=MATCH("*【合計】*", 貼り付け用!$A:$A, 0),"",
IF(Q$3&lt;&gt;"",IF(貼り付け用!Q131&lt;&gt;"",貼り付け用!Q131,""),"")))</f>
        <v>#N/A</v>
      </c>
      <c r="R130" s="19" t="e">
        <f>IF(貼り付け用!$A$6&lt;&gt;"",
IF(ROW(R129)+2&gt;=MATCH("*【合計】*", 貼り付け用!$A:$A, 0),"",
IF(R$3&lt;&gt;"",IF(貼り付け用!R130&lt;&gt;"",貼り付け用!R130,""),"")),
IF(ROW(R130)+2&gt;=MATCH("*【合計】*", 貼り付け用!$A:$A, 0),"",
IF(R$3&lt;&gt;"",IF(貼り付け用!R131&lt;&gt;"",貼り付け用!R131,""),"")))</f>
        <v>#N/A</v>
      </c>
      <c r="S130" s="19" t="e">
        <f>IF(貼り付け用!$A$6&lt;&gt;"",
IF(ROW(S129)+2&gt;=MATCH("*【合計】*", 貼り付け用!$A:$A, 0),"",
IF(S$3&lt;&gt;"",IF(貼り付け用!S130&lt;&gt;"",貼り付け用!S130,""),"")),
IF(ROW(S130)+2&gt;=MATCH("*【合計】*", 貼り付け用!$A:$A, 0),"",
IF(S$3&lt;&gt;"",IF(貼り付け用!S131&lt;&gt;"",貼り付け用!S131,""),"")))</f>
        <v>#N/A</v>
      </c>
      <c r="T130" s="19" t="e">
        <f t="array" ref="T130">IF(貼り付け用!$A$6&lt;&gt;"",
IF(INDEX(貼り付け用!A:Z, ROW(T129)+1, MATCH("おやつ", 貼り付け用!$A$3:$Z$3, 0))&lt;&gt;0,
INDEX(貼り付け用!A:Z, ROW(T129)+1, MATCH("おやつ", 貼り付け用!$A$3:$Z$3, 0)),""),
IF(INDEX(貼り付け用!A:Z, ROW(T130)+1, MATCH("おやつ", 貼り付け用!$A$3:$Z$3, 0))&lt;&gt;0,
INDEX(貼り付け用!A:Z, ROW(T130)+1, MATCH("おやつ", 貼り付け用!$A$3:$Z$3, 0)),""))</f>
        <v>#N/A</v>
      </c>
      <c r="U130" s="16"/>
      <c r="V130" s="5" t="e">
        <f t="array" ref="V130">IF(貼り付け用!$A$6&lt;&gt;"",
IF(INDEX(貼り付け用!A:Z, ROW(T129)+1, MATCH("おやつ", 貼り付け用!$A$3:$Z$3, 0)+1)&lt;&gt;0,
INDEX(貼り付け用!A:Z, ROW(T129)+1, MATCH("おやつ", 貼り付け用!$A$3:$Z$3, 0)+1),""),
IF(INDEX(貼り付け用!A:Z, ROW(T130)+1, MATCH("おやつ", 貼り付け用!$A$3:$Z$3, 0)+1)&lt;&gt;0,
INDEX(貼り付け用!A:Z, ROW(T130)+1, MATCH("おやつ", 貼り付け用!$A$3:$Z$3, 0)+1),""))</f>
        <v>#N/A</v>
      </c>
      <c r="W130" s="7" t="e">
        <f t="array" ref="W130">IF(貼り付け用!$A$6&lt;&gt;"",
IF(INDEX(貼り付け用!A:Z, ROW(T129)+1, MATCH("おやつ", 貼り付け用!$A$3:$Z$3, 0)+2)&lt;&gt;0,
INDEX(貼り付け用!A:Z, ROW(T129)+1, MATCH("おやつ", 貼り付け用!$A$3:$Z$3, 0)+2),""),
IF(INDEX(貼り付け用!A:Z, ROW(T130)+1, MATCH("おやつ", 貼り付け用!$A$3:$Z$3, 0)+2)&lt;&gt;0,
INDEX(貼り付け用!A:Z, ROW(T130)+1, MATCH("おやつ", 貼り付け用!$A$3:$Z$3, 0)+2),""))</f>
        <v>#N/A</v>
      </c>
    </row>
    <row r="131" spans="1:23" x14ac:dyDescent="0.45">
      <c r="A131" s="10" t="e">
        <f>IF(貼り付け用!$A$6&lt;&gt;"",
IF(ROW(A130)+1&gt;=MATCH("*10000*", 貼り付け用!$A:$A, 0),"",
IF(貼り付け用!A131&lt;&gt;"",貼り付け用!A131,"")),
IF(ROW(A131)+1&gt;=MATCH("*10000*", 貼り付け用!$A:$A, 0),"",
IF(貼り付け用!A132&lt;&gt;"",貼り付け用!A132,"")))</f>
        <v>#N/A</v>
      </c>
      <c r="B131" s="3" t="e">
        <f>IF(貼り付け用!$A$6&lt;&gt;"",
IF(ROW(B130)+2&gt;=MATCH("*【合計】*", 貼り付け用!$A:$A, 0),"",
IF(貼り付け用!B131&lt;&gt;"",貼り付け用!B131,"")),
IF(ROW(B131)+2&gt;=MATCH("*【合計】*", 貼り付け用!$A:$A, 0),"",
IF(貼り付け用!B132&lt;&gt;"",貼り付け用!B132,"")))</f>
        <v>#N/A</v>
      </c>
      <c r="C131" s="3" t="e">
        <f>IF(貼り付け用!$A$6&lt;&gt;"",
IF(ROW(C130)+2&gt;=MATCH("*【合計】*", 貼り付け用!$A:$A, 0),"",
IF(貼り付け用!C131&lt;&gt;"",貼り付け用!C131,"")),
IF(ROW(C131)+2&gt;=MATCH("*【合計】*", 貼り付け用!$A:$A, 0),"",
IF(貼り付け用!C132&lt;&gt;"",貼り付け用!C132,"")))</f>
        <v>#N/A</v>
      </c>
      <c r="D131" s="3" t="e">
        <f>IF(貼り付け用!$A$6&lt;&gt;"",
IF(ROW(D130)+2&gt;=MATCH("*【合計】*", 貼り付け用!$A:$A, 0),"",
IF(貼り付け用!D131&lt;&gt;"",貼り付け用!D131,"")),
IF(ROW(D131)+2&gt;=MATCH("*【合計】*", 貼り付け用!$A:$A, 0),"",
IF(貼り付け用!D132&lt;&gt;"",貼り付け用!D132,"")))</f>
        <v>#N/A</v>
      </c>
      <c r="E131" s="3" t="e">
        <f>IF(貼り付け用!$A$6&lt;&gt;"",
IF(ROW(E130)+2&gt;=MATCH("*【合計】*", 貼り付け用!$A:$A, 0),"",
IF(貼り付け用!E131&lt;&gt;"",貼り付け用!E131,"")),
IF(ROW(E131)+2&gt;=MATCH("*【合計】*", 貼り付け用!$A:$A, 0),"",
IF(貼り付け用!E132&lt;&gt;"",貼り付け用!E132,"")))</f>
        <v>#N/A</v>
      </c>
      <c r="F131" s="3" t="e">
        <f>IF(貼り付け用!$A$6&lt;&gt;"",
IF(ROW(F130)+2&gt;=MATCH("*【合計】*", 貼り付け用!$A:$A, 0),"",
IF(貼り付け用!F131&lt;&gt;"",貼り付け用!F131,"")),
IF(ROW(F131)+2&gt;=MATCH("*【合計】*", 貼り付け用!$A:$A, 0),"",
IF(貼り付け用!F132&lt;&gt;"",貼り付け用!F132,"")))</f>
        <v>#N/A</v>
      </c>
      <c r="G131" s="3" t="e">
        <f>IF(貼り付け用!$A$6&lt;&gt;"",
IF(ROW(G130)+2&gt;=MATCH("*【合計】*", 貼り付け用!$A:$A, 0),"",
IF(貼り付け用!G131&lt;&gt;"",貼り付け用!G131,"")),
IF(ROW(G131)+2&gt;=MATCH("*【合計】*", 貼り付け用!$A:$A, 0),"",
IF(貼り付け用!G132&lt;&gt;"",貼り付け用!G132,"")))</f>
        <v>#N/A</v>
      </c>
      <c r="H131" s="3" t="e">
        <f>IF(貼り付け用!$A$6&lt;&gt;"",
IF(ROW(H130)+2&gt;=MATCH("*【合計】*", 貼り付け用!$A:$A, 0),"",
IF(貼り付け用!H131&lt;&gt;"",貼り付け用!H131,"")),
IF(ROW(H131)+2&gt;=MATCH("*【合計】*", 貼り付け用!$A:$A, 0),"",
IF(貼り付け用!H132&lt;&gt;"",貼り付け用!H132,"")))</f>
        <v>#N/A</v>
      </c>
      <c r="I131" s="3" t="e">
        <f>IF(貼り付け用!$A$6&lt;&gt;"",
IF(ROW(I130)+2&gt;=MATCH("*【合計】*", 貼り付け用!$A:$A, 0),"",
IF(貼り付け用!I131&lt;&gt;"",貼り付け用!I131,"")),
IF(ROW(I131)+2&gt;=MATCH("*【合計】*", 貼り付け用!$A:$A, 0),"",
IF(貼り付け用!I132&lt;&gt;"",貼り付け用!I132,"")))</f>
        <v>#N/A</v>
      </c>
      <c r="J131" s="3" t="e">
        <f>IF(貼り付け用!$A$6&lt;&gt;"",
IF(ROW(J130)+2&gt;=MATCH("*【合計】*", 貼り付け用!$A:$A, 0),"",
IF(貼り付け用!J131&lt;&gt;"",貼り付け用!J131,"")),
IF(ROW(J131)+2&gt;=MATCH("*【合計】*", 貼り付け用!$A:$A, 0),"",
IF(貼り付け用!J132&lt;&gt;"",貼り付け用!J132,"")))</f>
        <v>#N/A</v>
      </c>
      <c r="K131" s="3" t="e">
        <f>IF(貼り付け用!$A$6&lt;&gt;"",
IF(ROW(K130)+2&gt;=MATCH("*【合計】*", 貼り付け用!$A:$A, 0),"",
IF(貼り付け用!K131&lt;&gt;"",貼り付け用!K131,"")),
IF(ROW(K131)+2&gt;=MATCH("*【合計】*", 貼り付け用!$A:$A, 0),"",
IF(貼り付け用!K132&lt;&gt;"",貼り付け用!K132,"")))</f>
        <v>#N/A</v>
      </c>
      <c r="L131" s="3" t="e">
        <f>IF(貼り付け用!$A$6&lt;&gt;"",
IF(ROW(L130)+2&gt;=MATCH("*【合計】*", 貼り付け用!$A:$A, 0),"",
IF(L$3&lt;&gt;"",IF(貼り付け用!L131&lt;&gt;"",貼り付け用!L131,""),"")),
IF(ROW(L131)+2&gt;=MATCH("*【合計】*", 貼り付け用!$A:$A, 0),"",
IF(L$3&lt;&gt;"",IF(貼り付け用!L132&lt;&gt;"",貼り付け用!L132,""),"")))</f>
        <v>#N/A</v>
      </c>
      <c r="M131" s="3" t="e">
        <f>IF(貼り付け用!$A$6&lt;&gt;"",
IF(ROW(M130)+2&gt;=MATCH("*【合計】*", 貼り付け用!$A:$A, 0),"",
IF(M$3&lt;&gt;"",IF(貼り付け用!M131&lt;&gt;"",貼り付け用!M131,""),"")),
IF(ROW(M131)+2&gt;=MATCH("*【合計】*", 貼り付け用!$A:$A, 0),"",
IF(M$3&lt;&gt;"",IF(貼り付け用!M132&lt;&gt;"",貼り付け用!M132,""),"")))</f>
        <v>#N/A</v>
      </c>
      <c r="N131" s="3" t="e">
        <f>IF(貼り付け用!$A$6&lt;&gt;"",
IF(ROW(N130)+2&gt;=MATCH("*【合計】*", 貼り付け用!$A:$A, 0),"",
IF(N$3&lt;&gt;"",IF(貼り付け用!N131&lt;&gt;"",貼り付け用!N131,""),"")),
IF(ROW(N131)+2&gt;=MATCH("*【合計】*", 貼り付け用!$A:$A, 0),"",
IF(N$3&lt;&gt;"",IF(貼り付け用!N132&lt;&gt;"",貼り付け用!N132,""),"")))</f>
        <v>#N/A</v>
      </c>
      <c r="O131" s="3" t="e">
        <f>IF(貼り付け用!$A$6&lt;&gt;"",
IF(ROW(O130)+2&gt;=MATCH("*【合計】*", 貼り付け用!$A:$A, 0),"",
IF(O$3&lt;&gt;"",IF(貼り付け用!O131&lt;&gt;"",貼り付け用!O131,""),"")),
IF(ROW(O131)+2&gt;=MATCH("*【合計】*", 貼り付け用!$A:$A, 0),"",
IF(O$3&lt;&gt;"",IF(貼り付け用!O132&lt;&gt;"",貼り付け用!O132,""),"")))</f>
        <v>#N/A</v>
      </c>
      <c r="P131" s="3" t="e">
        <f>IF(貼り付け用!$A$6&lt;&gt;"",
IF(ROW(P130)+2&gt;=MATCH("*【合計】*", 貼り付け用!$A:$A, 0),"",
IF(P$3&lt;&gt;"",IF(貼り付け用!P131&lt;&gt;"",貼り付け用!P131,""),"")),
IF(ROW(P131)+2&gt;=MATCH("*【合計】*", 貼り付け用!$A:$A, 0),"",
IF(P$3&lt;&gt;"",IF(貼り付け用!P132&lt;&gt;"",貼り付け用!P132,""),"")))</f>
        <v>#N/A</v>
      </c>
      <c r="Q131" s="3" t="e">
        <f>IF(貼り付け用!$A$6&lt;&gt;"",
IF(ROW(Q130)+2&gt;=MATCH("*【合計】*", 貼り付け用!$A:$A, 0),"",
IF(Q$3&lt;&gt;"",IF(貼り付け用!Q131&lt;&gt;"",貼り付け用!Q131,""),"")),
IF(ROW(Q131)+2&gt;=MATCH("*【合計】*", 貼り付け用!$A:$A, 0),"",
IF(Q$3&lt;&gt;"",IF(貼り付け用!Q132&lt;&gt;"",貼り付け用!Q132,""),"")))</f>
        <v>#N/A</v>
      </c>
      <c r="R131" s="3" t="e">
        <f>IF(貼り付け用!$A$6&lt;&gt;"",
IF(ROW(R130)+2&gt;=MATCH("*【合計】*", 貼り付け用!$A:$A, 0),"",
IF(R$3&lt;&gt;"",IF(貼り付け用!R131&lt;&gt;"",貼り付け用!R131,""),"")),
IF(ROW(R131)+2&gt;=MATCH("*【合計】*", 貼り付け用!$A:$A, 0),"",
IF(R$3&lt;&gt;"",IF(貼り付け用!R132&lt;&gt;"",貼り付け用!R132,""),"")))</f>
        <v>#N/A</v>
      </c>
      <c r="S131" s="3" t="e">
        <f>IF(貼り付け用!$A$6&lt;&gt;"",
IF(ROW(S130)+2&gt;=MATCH("*【合計】*", 貼り付け用!$A:$A, 0),"",
IF(S$3&lt;&gt;"",IF(貼り付け用!S131&lt;&gt;"",貼り付け用!S131,""),"")),
IF(ROW(S131)+2&gt;=MATCH("*【合計】*", 貼り付け用!$A:$A, 0),"",
IF(S$3&lt;&gt;"",IF(貼り付け用!S132&lt;&gt;"",貼り付け用!S132,""),"")))</f>
        <v>#N/A</v>
      </c>
      <c r="T131" s="2" t="e">
        <f t="array" ref="T131">IF(貼り付け用!$A$6&lt;&gt;"",
IF(INDEX(貼り付け用!A:Z, ROW(T130)+1, MATCH("おやつ", 貼り付け用!$A$3:$Z$3, 0))&lt;&gt;0,
INDEX(貼り付け用!A:Z, ROW(T130)+1, MATCH("おやつ", 貼り付け用!$A$3:$Z$3, 0)),""),
IF(INDEX(貼り付け用!A:Z, ROW(T131)+1, MATCH("おやつ", 貼り付け用!$A$3:$Z$3, 0))&lt;&gt;0,
INDEX(貼り付け用!A:Z, ROW(T131)+1, MATCH("おやつ", 貼り付け用!$A$3:$Z$3, 0)),""))</f>
        <v>#N/A</v>
      </c>
      <c r="U131" s="52"/>
      <c r="V131" s="8" t="e">
        <f t="array" ref="V131">IF(貼り付け用!$A$6&lt;&gt;"",
IF(INDEX(貼り付け用!A:Z, ROW(T130)+1, MATCH("おやつ", 貼り付け用!$A$3:$Z$3, 0)+1)&lt;&gt;0,
INDEX(貼り付け用!A:Z, ROW(T130)+1, MATCH("おやつ", 貼り付け用!$A$3:$Z$3, 0)+1),""),
IF(INDEX(貼り付け用!A:Z, ROW(T131)+1, MATCH("おやつ", 貼り付け用!$A$3:$Z$3, 0)+1)&lt;&gt;0,
INDEX(貼り付け用!A:Z, ROW(T131)+1, MATCH("おやつ", 貼り付け用!$A$3:$Z$3, 0)+1),""))</f>
        <v>#N/A</v>
      </c>
      <c r="W131" s="9" t="e">
        <f t="array" ref="W131">IF(貼り付け用!$A$6&lt;&gt;"",
IF(INDEX(貼り付け用!A:Z, ROW(T130)+1, MATCH("おやつ", 貼り付け用!$A$3:$Z$3, 0)+2)&lt;&gt;0,
INDEX(貼り付け用!A:Z, ROW(T130)+1, MATCH("おやつ", 貼り付け用!$A$3:$Z$3, 0)+2),""),
IF(INDEX(貼り付け用!A:Z, ROW(T131)+1, MATCH("おやつ", 貼り付け用!$A$3:$Z$3, 0)+2)&lt;&gt;0,
INDEX(貼り付け用!A:Z, ROW(T131)+1, MATCH("おやつ", 貼り付け用!$A$3:$Z$3, 0)+2),""))</f>
        <v>#N/A</v>
      </c>
    </row>
    <row r="132" spans="1:23" x14ac:dyDescent="0.45">
      <c r="A132" s="4" t="e">
        <f>IF(貼り付け用!$A$6&lt;&gt;"",
IF(ROW(A131)+1&gt;=MATCH("*10000*", 貼り付け用!$A:$A, 0),
IF(COUNTIF(A130,"*10000*"),"10001",
IF(COUNTIF(A130,"*10001*"),"10002",
IF(COUNTIF(A130,"*10002*"),"",
IF(COUNTIF(A130,""),"","10000")))),
IF(貼り付け用!A132&lt;&gt;"",貼り付け用!A132,"")),
IF(ROW(A132)+1&gt;=MATCH("*10000*", 貼り付け用!$A:$A, 0),
IF(COUNTIF(A130,"*10000*"),"10001",
IF(COUNTIF(A130,"*10001*"),"10002",
IF(COUNTIF(A130,"*10002*"),"",
IF(COUNTIF(A130,""),"","10000")))),
IF(貼り付け用!A133&lt;&gt;"",貼り付け用!A133,"")))</f>
        <v>#N/A</v>
      </c>
      <c r="B132" s="19" t="e">
        <f>IF(貼り付け用!$A$6&lt;&gt;"",
IF(ROW(B131)+2&gt;=MATCH("*【合計】*", 貼り付け用!$A:$A, 0),"",
IF(貼り付け用!B132&lt;&gt;"",貼り付け用!B132,"")),
IF(ROW(B132)+2&gt;=MATCH("*【合計】*", 貼り付け用!$A:$A, 0),"",
IF(貼り付け用!B133&lt;&gt;"",貼り付け用!B133,"")))</f>
        <v>#N/A</v>
      </c>
      <c r="C132" s="19" t="e">
        <f>IF(貼り付け用!$A$6&lt;&gt;"",
IF(ROW(C131)+2&gt;=MATCH("*【合計】*", 貼り付け用!$A:$A, 0),"",
IF(貼り付け用!C132&lt;&gt;"",貼り付け用!C132,"")),
IF(ROW(C132)+2&gt;=MATCH("*【合計】*", 貼り付け用!$A:$A, 0),"",
IF(貼り付け用!C133&lt;&gt;"",貼り付け用!C133,"")))</f>
        <v>#N/A</v>
      </c>
      <c r="D132" s="19" t="e">
        <f>IF(貼り付け用!$A$6&lt;&gt;"",
IF(ROW(D131)+2&gt;=MATCH("*【合計】*", 貼り付け用!$A:$A, 0),"",
IF(貼り付け用!D132&lt;&gt;"",貼り付け用!D132,"")),
IF(ROW(D132)+2&gt;=MATCH("*【合計】*", 貼り付け用!$A:$A, 0),"",
IF(貼り付け用!D133&lt;&gt;"",貼り付け用!D133,"")))</f>
        <v>#N/A</v>
      </c>
      <c r="E132" s="19" t="e">
        <f>IF(貼り付け用!$A$6&lt;&gt;"",
IF(ROW(E131)+2&gt;=MATCH("*【合計】*", 貼り付け用!$A:$A, 0),"",
IF(貼り付け用!E132&lt;&gt;"",貼り付け用!E132,"")),
IF(ROW(E132)+2&gt;=MATCH("*【合計】*", 貼り付け用!$A:$A, 0),"",
IF(貼り付け用!E133&lt;&gt;"",貼り付け用!E133,"")))</f>
        <v>#N/A</v>
      </c>
      <c r="F132" s="19" t="e">
        <f>IF(貼り付け用!$A$6&lt;&gt;"",
IF(ROW(F131)+2&gt;=MATCH("*【合計】*", 貼り付け用!$A:$A, 0),"",
IF(貼り付け用!F132&lt;&gt;"",貼り付け用!F132,"")),
IF(ROW(F132)+2&gt;=MATCH("*【合計】*", 貼り付け用!$A:$A, 0),"",
IF(貼り付け用!F133&lt;&gt;"",貼り付け用!F133,"")))</f>
        <v>#N/A</v>
      </c>
      <c r="G132" s="19" t="e">
        <f>IF(貼り付け用!$A$6&lt;&gt;"",
IF(ROW(G131)+2&gt;=MATCH("*【合計】*", 貼り付け用!$A:$A, 0),"",
IF(貼り付け用!G132&lt;&gt;"",貼り付け用!G132,"")),
IF(ROW(G132)+2&gt;=MATCH("*【合計】*", 貼り付け用!$A:$A, 0),"",
IF(貼り付け用!G133&lt;&gt;"",貼り付け用!G133,"")))</f>
        <v>#N/A</v>
      </c>
      <c r="H132" s="19" t="e">
        <f>IF(貼り付け用!$A$6&lt;&gt;"",
IF(ROW(H131)+2&gt;=MATCH("*【合計】*", 貼り付け用!$A:$A, 0),"",
IF(貼り付け用!H132&lt;&gt;"",貼り付け用!H132,"")),
IF(ROW(H132)+2&gt;=MATCH("*【合計】*", 貼り付け用!$A:$A, 0),"",
IF(貼り付け用!H133&lt;&gt;"",貼り付け用!H133,"")))</f>
        <v>#N/A</v>
      </c>
      <c r="I132" s="19" t="e">
        <f>IF(貼り付け用!$A$6&lt;&gt;"",
IF(ROW(I131)+2&gt;=MATCH("*【合計】*", 貼り付け用!$A:$A, 0),"",
IF(貼り付け用!I132&lt;&gt;"",貼り付け用!I132,"")),
IF(ROW(I132)+2&gt;=MATCH("*【合計】*", 貼り付け用!$A:$A, 0),"",
IF(貼り付け用!I133&lt;&gt;"",貼り付け用!I133,"")))</f>
        <v>#N/A</v>
      </c>
      <c r="J132" s="19" t="e">
        <f>IF(貼り付け用!$A$6&lt;&gt;"",
IF(ROW(J131)+2&gt;=MATCH("*【合計】*", 貼り付け用!$A:$A, 0),"",
IF(貼り付け用!J132&lt;&gt;"",貼り付け用!J132,"")),
IF(ROW(J132)+2&gt;=MATCH("*【合計】*", 貼り付け用!$A:$A, 0),"",
IF(貼り付け用!J133&lt;&gt;"",貼り付け用!J133,"")))</f>
        <v>#N/A</v>
      </c>
      <c r="K132" s="19" t="e">
        <f>IF(貼り付け用!$A$6&lt;&gt;"",
IF(ROW(K131)+2&gt;=MATCH("*【合計】*", 貼り付け用!$A:$A, 0),"",
IF(貼り付け用!K132&lt;&gt;"",貼り付け用!K132,"")),
IF(ROW(K132)+2&gt;=MATCH("*【合計】*", 貼り付け用!$A:$A, 0),"",
IF(貼り付け用!K133&lt;&gt;"",貼り付け用!K133,"")))</f>
        <v>#N/A</v>
      </c>
      <c r="L132" s="19" t="e">
        <f>IF(貼り付け用!$A$6&lt;&gt;"",
IF(ROW(L131)+2&gt;=MATCH("*【合計】*", 貼り付け用!$A:$A, 0),"",
IF(L$3&lt;&gt;"",IF(貼り付け用!L132&lt;&gt;"",貼り付け用!L132,""),"")),
IF(ROW(L132)+2&gt;=MATCH("*【合計】*", 貼り付け用!$A:$A, 0),"",
IF(L$3&lt;&gt;"",IF(貼り付け用!L133&lt;&gt;"",貼り付け用!L133,""),"")))</f>
        <v>#N/A</v>
      </c>
      <c r="M132" s="19" t="e">
        <f>IF(貼り付け用!$A$6&lt;&gt;"",
IF(ROW(M131)+2&gt;=MATCH("*【合計】*", 貼り付け用!$A:$A, 0),"",
IF(M$3&lt;&gt;"",IF(貼り付け用!M132&lt;&gt;"",貼り付け用!M132,""),"")),
IF(ROW(M132)+2&gt;=MATCH("*【合計】*", 貼り付け用!$A:$A, 0),"",
IF(M$3&lt;&gt;"",IF(貼り付け用!M133&lt;&gt;"",貼り付け用!M133,""),"")))</f>
        <v>#N/A</v>
      </c>
      <c r="N132" s="19" t="e">
        <f>IF(貼り付け用!$A$6&lt;&gt;"",
IF(ROW(N131)+2&gt;=MATCH("*【合計】*", 貼り付け用!$A:$A, 0),"",
IF(N$3&lt;&gt;"",IF(貼り付け用!N132&lt;&gt;"",貼り付け用!N132,""),"")),
IF(ROW(N132)+2&gt;=MATCH("*【合計】*", 貼り付け用!$A:$A, 0),"",
IF(N$3&lt;&gt;"",IF(貼り付け用!N133&lt;&gt;"",貼り付け用!N133,""),"")))</f>
        <v>#N/A</v>
      </c>
      <c r="O132" s="19" t="e">
        <f>IF(貼り付け用!$A$6&lt;&gt;"",
IF(ROW(O131)+2&gt;=MATCH("*【合計】*", 貼り付け用!$A:$A, 0),"",
IF(O$3&lt;&gt;"",IF(貼り付け用!O132&lt;&gt;"",貼り付け用!O132,""),"")),
IF(ROW(O132)+2&gt;=MATCH("*【合計】*", 貼り付け用!$A:$A, 0),"",
IF(O$3&lt;&gt;"",IF(貼り付け用!O133&lt;&gt;"",貼り付け用!O133,""),"")))</f>
        <v>#N/A</v>
      </c>
      <c r="P132" s="19" t="e">
        <f>IF(貼り付け用!$A$6&lt;&gt;"",
IF(ROW(P131)+2&gt;=MATCH("*【合計】*", 貼り付け用!$A:$A, 0),"",
IF(P$3&lt;&gt;"",IF(貼り付け用!P132&lt;&gt;"",貼り付け用!P132,""),"")),
IF(ROW(P132)+2&gt;=MATCH("*【合計】*", 貼り付け用!$A:$A, 0),"",
IF(P$3&lt;&gt;"",IF(貼り付け用!P133&lt;&gt;"",貼り付け用!P133,""),"")))</f>
        <v>#N/A</v>
      </c>
      <c r="Q132" s="19" t="e">
        <f>IF(貼り付け用!$A$6&lt;&gt;"",
IF(ROW(Q131)+2&gt;=MATCH("*【合計】*", 貼り付け用!$A:$A, 0),"",
IF(Q$3&lt;&gt;"",IF(貼り付け用!Q132&lt;&gt;"",貼り付け用!Q132,""),"")),
IF(ROW(Q132)+2&gt;=MATCH("*【合計】*", 貼り付け用!$A:$A, 0),"",
IF(Q$3&lt;&gt;"",IF(貼り付け用!Q133&lt;&gt;"",貼り付け用!Q133,""),"")))</f>
        <v>#N/A</v>
      </c>
      <c r="R132" s="19" t="e">
        <f>IF(貼り付け用!$A$6&lt;&gt;"",
IF(ROW(R131)+2&gt;=MATCH("*【合計】*", 貼り付け用!$A:$A, 0),"",
IF(R$3&lt;&gt;"",IF(貼り付け用!R132&lt;&gt;"",貼り付け用!R132,""),"")),
IF(ROW(R132)+2&gt;=MATCH("*【合計】*", 貼り付け用!$A:$A, 0),"",
IF(R$3&lt;&gt;"",IF(貼り付け用!R133&lt;&gt;"",貼り付け用!R133,""),"")))</f>
        <v>#N/A</v>
      </c>
      <c r="S132" s="19" t="e">
        <f>IF(貼り付け用!$A$6&lt;&gt;"",
IF(ROW(S131)+2&gt;=MATCH("*【合計】*", 貼り付け用!$A:$A, 0),"",
IF(S$3&lt;&gt;"",IF(貼り付け用!S132&lt;&gt;"",貼り付け用!S132,""),"")),
IF(ROW(S132)+2&gt;=MATCH("*【合計】*", 貼り付け用!$A:$A, 0),"",
IF(S$3&lt;&gt;"",IF(貼り付け用!S133&lt;&gt;"",貼り付け用!S133,""),"")))</f>
        <v>#N/A</v>
      </c>
      <c r="T132" s="19" t="e">
        <f t="array" ref="T132">IF(貼り付け用!$A$6&lt;&gt;"",
IF(INDEX(貼り付け用!A:Z, ROW(T131)+1, MATCH("おやつ", 貼り付け用!$A$3:$Z$3, 0))&lt;&gt;0,
INDEX(貼り付け用!A:Z, ROW(T131)+1, MATCH("おやつ", 貼り付け用!$A$3:$Z$3, 0)),""),
IF(INDEX(貼り付け用!A:Z, ROW(T132)+1, MATCH("おやつ", 貼り付け用!$A$3:$Z$3, 0))&lt;&gt;0,
INDEX(貼り付け用!A:Z, ROW(T132)+1, MATCH("おやつ", 貼り付け用!$A$3:$Z$3, 0)),""))</f>
        <v>#N/A</v>
      </c>
      <c r="U132" s="16"/>
      <c r="V132" s="5" t="e">
        <f t="array" ref="V132">IF(貼り付け用!$A$6&lt;&gt;"",
IF(INDEX(貼り付け用!A:Z, ROW(T131)+1, MATCH("おやつ", 貼り付け用!$A$3:$Z$3, 0)+1)&lt;&gt;0,
INDEX(貼り付け用!A:Z, ROW(T131)+1, MATCH("おやつ", 貼り付け用!$A$3:$Z$3, 0)+1),""),
IF(INDEX(貼り付け用!A:Z, ROW(T132)+1, MATCH("おやつ", 貼り付け用!$A$3:$Z$3, 0)+1)&lt;&gt;0,
INDEX(貼り付け用!A:Z, ROW(T132)+1, MATCH("おやつ", 貼り付け用!$A$3:$Z$3, 0)+1),""))</f>
        <v>#N/A</v>
      </c>
      <c r="W132" s="7" t="e">
        <f t="array" ref="W132">IF(貼り付け用!$A$6&lt;&gt;"",
IF(INDEX(貼り付け用!A:Z, ROW(T131)+1, MATCH("おやつ", 貼り付け用!$A$3:$Z$3, 0)+2)&lt;&gt;0,
INDEX(貼り付け用!A:Z, ROW(T131)+1, MATCH("おやつ", 貼り付け用!$A$3:$Z$3, 0)+2),""),
IF(INDEX(貼り付け用!A:Z, ROW(T132)+1, MATCH("おやつ", 貼り付け用!$A$3:$Z$3, 0)+2)&lt;&gt;0,
INDEX(貼り付け用!A:Z, ROW(T132)+1, MATCH("おやつ", 貼り付け用!$A$3:$Z$3, 0)+2),""))</f>
        <v>#N/A</v>
      </c>
    </row>
    <row r="133" spans="1:23" x14ac:dyDescent="0.45">
      <c r="A133" s="10" t="e">
        <f>IF(貼り付け用!$A$6&lt;&gt;"",
IF(ROW(A132)+1&gt;=MATCH("*10000*", 貼り付け用!$A:$A, 0),"",
IF(貼り付け用!A133&lt;&gt;"",貼り付け用!A133,"")),
IF(ROW(A133)+1&gt;=MATCH("*10000*", 貼り付け用!$A:$A, 0),"",
IF(貼り付け用!A134&lt;&gt;"",貼り付け用!A134,"")))</f>
        <v>#N/A</v>
      </c>
      <c r="B133" s="3" t="e">
        <f>IF(貼り付け用!$A$6&lt;&gt;"",
IF(ROW(B132)+2&gt;=MATCH("*【合計】*", 貼り付け用!$A:$A, 0),"",
IF(貼り付け用!B133&lt;&gt;"",貼り付け用!B133,"")),
IF(ROW(B133)+2&gt;=MATCH("*【合計】*", 貼り付け用!$A:$A, 0),"",
IF(貼り付け用!B134&lt;&gt;"",貼り付け用!B134,"")))</f>
        <v>#N/A</v>
      </c>
      <c r="C133" s="3" t="e">
        <f>IF(貼り付け用!$A$6&lt;&gt;"",
IF(ROW(C132)+2&gt;=MATCH("*【合計】*", 貼り付け用!$A:$A, 0),"",
IF(貼り付け用!C133&lt;&gt;"",貼り付け用!C133,"")),
IF(ROW(C133)+2&gt;=MATCH("*【合計】*", 貼り付け用!$A:$A, 0),"",
IF(貼り付け用!C134&lt;&gt;"",貼り付け用!C134,"")))</f>
        <v>#N/A</v>
      </c>
      <c r="D133" s="3" t="e">
        <f>IF(貼り付け用!$A$6&lt;&gt;"",
IF(ROW(D132)+2&gt;=MATCH("*【合計】*", 貼り付け用!$A:$A, 0),"",
IF(貼り付け用!D133&lt;&gt;"",貼り付け用!D133,"")),
IF(ROW(D133)+2&gt;=MATCH("*【合計】*", 貼り付け用!$A:$A, 0),"",
IF(貼り付け用!D134&lt;&gt;"",貼り付け用!D134,"")))</f>
        <v>#N/A</v>
      </c>
      <c r="E133" s="3" t="e">
        <f>IF(貼り付け用!$A$6&lt;&gt;"",
IF(ROW(E132)+2&gt;=MATCH("*【合計】*", 貼り付け用!$A:$A, 0),"",
IF(貼り付け用!E133&lt;&gt;"",貼り付け用!E133,"")),
IF(ROW(E133)+2&gt;=MATCH("*【合計】*", 貼り付け用!$A:$A, 0),"",
IF(貼り付け用!E134&lt;&gt;"",貼り付け用!E134,"")))</f>
        <v>#N/A</v>
      </c>
      <c r="F133" s="3" t="e">
        <f>IF(貼り付け用!$A$6&lt;&gt;"",
IF(ROW(F132)+2&gt;=MATCH("*【合計】*", 貼り付け用!$A:$A, 0),"",
IF(貼り付け用!F133&lt;&gt;"",貼り付け用!F133,"")),
IF(ROW(F133)+2&gt;=MATCH("*【合計】*", 貼り付け用!$A:$A, 0),"",
IF(貼り付け用!F134&lt;&gt;"",貼り付け用!F134,"")))</f>
        <v>#N/A</v>
      </c>
      <c r="G133" s="3" t="e">
        <f>IF(貼り付け用!$A$6&lt;&gt;"",
IF(ROW(G132)+2&gt;=MATCH("*【合計】*", 貼り付け用!$A:$A, 0),"",
IF(貼り付け用!G133&lt;&gt;"",貼り付け用!G133,"")),
IF(ROW(G133)+2&gt;=MATCH("*【合計】*", 貼り付け用!$A:$A, 0),"",
IF(貼り付け用!G134&lt;&gt;"",貼り付け用!G134,"")))</f>
        <v>#N/A</v>
      </c>
      <c r="H133" s="3" t="e">
        <f>IF(貼り付け用!$A$6&lt;&gt;"",
IF(ROW(H132)+2&gt;=MATCH("*【合計】*", 貼り付け用!$A:$A, 0),"",
IF(貼り付け用!H133&lt;&gt;"",貼り付け用!H133,"")),
IF(ROW(H133)+2&gt;=MATCH("*【合計】*", 貼り付け用!$A:$A, 0),"",
IF(貼り付け用!H134&lt;&gt;"",貼り付け用!H134,"")))</f>
        <v>#N/A</v>
      </c>
      <c r="I133" s="3" t="e">
        <f>IF(貼り付け用!$A$6&lt;&gt;"",
IF(ROW(I132)+2&gt;=MATCH("*【合計】*", 貼り付け用!$A:$A, 0),"",
IF(貼り付け用!I133&lt;&gt;"",貼り付け用!I133,"")),
IF(ROW(I133)+2&gt;=MATCH("*【合計】*", 貼り付け用!$A:$A, 0),"",
IF(貼り付け用!I134&lt;&gt;"",貼り付け用!I134,"")))</f>
        <v>#N/A</v>
      </c>
      <c r="J133" s="3" t="e">
        <f>IF(貼り付け用!$A$6&lt;&gt;"",
IF(ROW(J132)+2&gt;=MATCH("*【合計】*", 貼り付け用!$A:$A, 0),"",
IF(貼り付け用!J133&lt;&gt;"",貼り付け用!J133,"")),
IF(ROW(J133)+2&gt;=MATCH("*【合計】*", 貼り付け用!$A:$A, 0),"",
IF(貼り付け用!J134&lt;&gt;"",貼り付け用!J134,"")))</f>
        <v>#N/A</v>
      </c>
      <c r="K133" s="3" t="e">
        <f>IF(貼り付け用!$A$6&lt;&gt;"",
IF(ROW(K132)+2&gt;=MATCH("*【合計】*", 貼り付け用!$A:$A, 0),"",
IF(貼り付け用!K133&lt;&gt;"",貼り付け用!K133,"")),
IF(ROW(K133)+2&gt;=MATCH("*【合計】*", 貼り付け用!$A:$A, 0),"",
IF(貼り付け用!K134&lt;&gt;"",貼り付け用!K134,"")))</f>
        <v>#N/A</v>
      </c>
      <c r="L133" s="3" t="e">
        <f>IF(貼り付け用!$A$6&lt;&gt;"",
IF(ROW(L132)+2&gt;=MATCH("*【合計】*", 貼り付け用!$A:$A, 0),"",
IF(L$3&lt;&gt;"",IF(貼り付け用!L133&lt;&gt;"",貼り付け用!L133,""),"")),
IF(ROW(L133)+2&gt;=MATCH("*【合計】*", 貼り付け用!$A:$A, 0),"",
IF(L$3&lt;&gt;"",IF(貼り付け用!L134&lt;&gt;"",貼り付け用!L134,""),"")))</f>
        <v>#N/A</v>
      </c>
      <c r="M133" s="3" t="e">
        <f>IF(貼り付け用!$A$6&lt;&gt;"",
IF(ROW(M132)+2&gt;=MATCH("*【合計】*", 貼り付け用!$A:$A, 0),"",
IF(M$3&lt;&gt;"",IF(貼り付け用!M133&lt;&gt;"",貼り付け用!M133,""),"")),
IF(ROW(M133)+2&gt;=MATCH("*【合計】*", 貼り付け用!$A:$A, 0),"",
IF(M$3&lt;&gt;"",IF(貼り付け用!M134&lt;&gt;"",貼り付け用!M134,""),"")))</f>
        <v>#N/A</v>
      </c>
      <c r="N133" s="3" t="e">
        <f>IF(貼り付け用!$A$6&lt;&gt;"",
IF(ROW(N132)+2&gt;=MATCH("*【合計】*", 貼り付け用!$A:$A, 0),"",
IF(N$3&lt;&gt;"",IF(貼り付け用!N133&lt;&gt;"",貼り付け用!N133,""),"")),
IF(ROW(N133)+2&gt;=MATCH("*【合計】*", 貼り付け用!$A:$A, 0),"",
IF(N$3&lt;&gt;"",IF(貼り付け用!N134&lt;&gt;"",貼り付け用!N134,""),"")))</f>
        <v>#N/A</v>
      </c>
      <c r="O133" s="3" t="e">
        <f>IF(貼り付け用!$A$6&lt;&gt;"",
IF(ROW(O132)+2&gt;=MATCH("*【合計】*", 貼り付け用!$A:$A, 0),"",
IF(O$3&lt;&gt;"",IF(貼り付け用!O133&lt;&gt;"",貼り付け用!O133,""),"")),
IF(ROW(O133)+2&gt;=MATCH("*【合計】*", 貼り付け用!$A:$A, 0),"",
IF(O$3&lt;&gt;"",IF(貼り付け用!O134&lt;&gt;"",貼り付け用!O134,""),"")))</f>
        <v>#N/A</v>
      </c>
      <c r="P133" s="3" t="e">
        <f>IF(貼り付け用!$A$6&lt;&gt;"",
IF(ROW(P132)+2&gt;=MATCH("*【合計】*", 貼り付け用!$A:$A, 0),"",
IF(P$3&lt;&gt;"",IF(貼り付け用!P133&lt;&gt;"",貼り付け用!P133,""),"")),
IF(ROW(P133)+2&gt;=MATCH("*【合計】*", 貼り付け用!$A:$A, 0),"",
IF(P$3&lt;&gt;"",IF(貼り付け用!P134&lt;&gt;"",貼り付け用!P134,""),"")))</f>
        <v>#N/A</v>
      </c>
      <c r="Q133" s="3" t="e">
        <f>IF(貼り付け用!$A$6&lt;&gt;"",
IF(ROW(Q132)+2&gt;=MATCH("*【合計】*", 貼り付け用!$A:$A, 0),"",
IF(Q$3&lt;&gt;"",IF(貼り付け用!Q133&lt;&gt;"",貼り付け用!Q133,""),"")),
IF(ROW(Q133)+2&gt;=MATCH("*【合計】*", 貼り付け用!$A:$A, 0),"",
IF(Q$3&lt;&gt;"",IF(貼り付け用!Q134&lt;&gt;"",貼り付け用!Q134,""),"")))</f>
        <v>#N/A</v>
      </c>
      <c r="R133" s="3" t="e">
        <f>IF(貼り付け用!$A$6&lt;&gt;"",
IF(ROW(R132)+2&gt;=MATCH("*【合計】*", 貼り付け用!$A:$A, 0),"",
IF(R$3&lt;&gt;"",IF(貼り付け用!R133&lt;&gt;"",貼り付け用!R133,""),"")),
IF(ROW(R133)+2&gt;=MATCH("*【合計】*", 貼り付け用!$A:$A, 0),"",
IF(R$3&lt;&gt;"",IF(貼り付け用!R134&lt;&gt;"",貼り付け用!R134,""),"")))</f>
        <v>#N/A</v>
      </c>
      <c r="S133" s="3" t="e">
        <f>IF(貼り付け用!$A$6&lt;&gt;"",
IF(ROW(S132)+2&gt;=MATCH("*【合計】*", 貼り付け用!$A:$A, 0),"",
IF(S$3&lt;&gt;"",IF(貼り付け用!S133&lt;&gt;"",貼り付け用!S133,""),"")),
IF(ROW(S133)+2&gt;=MATCH("*【合計】*", 貼り付け用!$A:$A, 0),"",
IF(S$3&lt;&gt;"",IF(貼り付け用!S134&lt;&gt;"",貼り付け用!S134,""),"")))</f>
        <v>#N/A</v>
      </c>
      <c r="T133" s="2" t="e">
        <f t="array" ref="T133">IF(貼り付け用!$A$6&lt;&gt;"",
IF(INDEX(貼り付け用!A:Z, ROW(T132)+1, MATCH("おやつ", 貼り付け用!$A$3:$Z$3, 0))&lt;&gt;0,
INDEX(貼り付け用!A:Z, ROW(T132)+1, MATCH("おやつ", 貼り付け用!$A$3:$Z$3, 0)),""),
IF(INDEX(貼り付け用!A:Z, ROW(T133)+1, MATCH("おやつ", 貼り付け用!$A$3:$Z$3, 0))&lt;&gt;0,
INDEX(貼り付け用!A:Z, ROW(T133)+1, MATCH("おやつ", 貼り付け用!$A$3:$Z$3, 0)),""))</f>
        <v>#N/A</v>
      </c>
      <c r="U133" s="52"/>
      <c r="V133" s="8" t="e">
        <f t="array" ref="V133">IF(貼り付け用!$A$6&lt;&gt;"",
IF(INDEX(貼り付け用!A:Z, ROW(T132)+1, MATCH("おやつ", 貼り付け用!$A$3:$Z$3, 0)+1)&lt;&gt;0,
INDEX(貼り付け用!A:Z, ROW(T132)+1, MATCH("おやつ", 貼り付け用!$A$3:$Z$3, 0)+1),""),
IF(INDEX(貼り付け用!A:Z, ROW(T133)+1, MATCH("おやつ", 貼り付け用!$A$3:$Z$3, 0)+1)&lt;&gt;0,
INDEX(貼り付け用!A:Z, ROW(T133)+1, MATCH("おやつ", 貼り付け用!$A$3:$Z$3, 0)+1),""))</f>
        <v>#N/A</v>
      </c>
      <c r="W133" s="9" t="e">
        <f t="array" ref="W133">IF(貼り付け用!$A$6&lt;&gt;"",
IF(INDEX(貼り付け用!A:Z, ROW(T132)+1, MATCH("おやつ", 貼り付け用!$A$3:$Z$3, 0)+2)&lt;&gt;0,
INDEX(貼り付け用!A:Z, ROW(T132)+1, MATCH("おやつ", 貼り付け用!$A$3:$Z$3, 0)+2),""),
IF(INDEX(貼り付け用!A:Z, ROW(T133)+1, MATCH("おやつ", 貼り付け用!$A$3:$Z$3, 0)+2)&lt;&gt;0,
INDEX(貼り付け用!A:Z, ROW(T133)+1, MATCH("おやつ", 貼り付け用!$A$3:$Z$3, 0)+2),""))</f>
        <v>#N/A</v>
      </c>
    </row>
    <row r="134" spans="1:23" x14ac:dyDescent="0.45">
      <c r="A134" s="4" t="e">
        <f>IF(貼り付け用!$A$6&lt;&gt;"",
IF(ROW(A133)+1&gt;=MATCH("*10000*", 貼り付け用!$A:$A, 0),
IF(COUNTIF(A132,"*10000*"),"10001",
IF(COUNTIF(A132,"*10001*"),"10002",
IF(COUNTIF(A132,"*10002*"),"",
IF(COUNTIF(A132,""),"","10000")))),
IF(貼り付け用!A134&lt;&gt;"",貼り付け用!A134,"")),
IF(ROW(A134)+1&gt;=MATCH("*10000*", 貼り付け用!$A:$A, 0),
IF(COUNTIF(A132,"*10000*"),"10001",
IF(COUNTIF(A132,"*10001*"),"10002",
IF(COUNTIF(A132,"*10002*"),"",
IF(COUNTIF(A132,""),"","10000")))),
IF(貼り付け用!A135&lt;&gt;"",貼り付け用!A135,"")))</f>
        <v>#N/A</v>
      </c>
      <c r="B134" s="19" t="e">
        <f>IF(貼り付け用!$A$6&lt;&gt;"",
IF(ROW(B133)+2&gt;=MATCH("*【合計】*", 貼り付け用!$A:$A, 0),"",
IF(貼り付け用!B134&lt;&gt;"",貼り付け用!B134,"")),
IF(ROW(B134)+2&gt;=MATCH("*【合計】*", 貼り付け用!$A:$A, 0),"",
IF(貼り付け用!B135&lt;&gt;"",貼り付け用!B135,"")))</f>
        <v>#N/A</v>
      </c>
      <c r="C134" s="19" t="e">
        <f>IF(貼り付け用!$A$6&lt;&gt;"",
IF(ROW(C133)+2&gt;=MATCH("*【合計】*", 貼り付け用!$A:$A, 0),"",
IF(貼り付け用!C134&lt;&gt;"",貼り付け用!C134,"")),
IF(ROW(C134)+2&gt;=MATCH("*【合計】*", 貼り付け用!$A:$A, 0),"",
IF(貼り付け用!C135&lt;&gt;"",貼り付け用!C135,"")))</f>
        <v>#N/A</v>
      </c>
      <c r="D134" s="19" t="e">
        <f>IF(貼り付け用!$A$6&lt;&gt;"",
IF(ROW(D133)+2&gt;=MATCH("*【合計】*", 貼り付け用!$A:$A, 0),"",
IF(貼り付け用!D134&lt;&gt;"",貼り付け用!D134,"")),
IF(ROW(D134)+2&gt;=MATCH("*【合計】*", 貼り付け用!$A:$A, 0),"",
IF(貼り付け用!D135&lt;&gt;"",貼り付け用!D135,"")))</f>
        <v>#N/A</v>
      </c>
      <c r="E134" s="19" t="e">
        <f>IF(貼り付け用!$A$6&lt;&gt;"",
IF(ROW(E133)+2&gt;=MATCH("*【合計】*", 貼り付け用!$A:$A, 0),"",
IF(貼り付け用!E134&lt;&gt;"",貼り付け用!E134,"")),
IF(ROW(E134)+2&gt;=MATCH("*【合計】*", 貼り付け用!$A:$A, 0),"",
IF(貼り付け用!E135&lt;&gt;"",貼り付け用!E135,"")))</f>
        <v>#N/A</v>
      </c>
      <c r="F134" s="19" t="e">
        <f>IF(貼り付け用!$A$6&lt;&gt;"",
IF(ROW(F133)+2&gt;=MATCH("*【合計】*", 貼り付け用!$A:$A, 0),"",
IF(貼り付け用!F134&lt;&gt;"",貼り付け用!F134,"")),
IF(ROW(F134)+2&gt;=MATCH("*【合計】*", 貼り付け用!$A:$A, 0),"",
IF(貼り付け用!F135&lt;&gt;"",貼り付け用!F135,"")))</f>
        <v>#N/A</v>
      </c>
      <c r="G134" s="19" t="e">
        <f>IF(貼り付け用!$A$6&lt;&gt;"",
IF(ROW(G133)+2&gt;=MATCH("*【合計】*", 貼り付け用!$A:$A, 0),"",
IF(貼り付け用!G134&lt;&gt;"",貼り付け用!G134,"")),
IF(ROW(G134)+2&gt;=MATCH("*【合計】*", 貼り付け用!$A:$A, 0),"",
IF(貼り付け用!G135&lt;&gt;"",貼り付け用!G135,"")))</f>
        <v>#N/A</v>
      </c>
      <c r="H134" s="19" t="e">
        <f>IF(貼り付け用!$A$6&lt;&gt;"",
IF(ROW(H133)+2&gt;=MATCH("*【合計】*", 貼り付け用!$A:$A, 0),"",
IF(貼り付け用!H134&lt;&gt;"",貼り付け用!H134,"")),
IF(ROW(H134)+2&gt;=MATCH("*【合計】*", 貼り付け用!$A:$A, 0),"",
IF(貼り付け用!H135&lt;&gt;"",貼り付け用!H135,"")))</f>
        <v>#N/A</v>
      </c>
      <c r="I134" s="19" t="e">
        <f>IF(貼り付け用!$A$6&lt;&gt;"",
IF(ROW(I133)+2&gt;=MATCH("*【合計】*", 貼り付け用!$A:$A, 0),"",
IF(貼り付け用!I134&lt;&gt;"",貼り付け用!I134,"")),
IF(ROW(I134)+2&gt;=MATCH("*【合計】*", 貼り付け用!$A:$A, 0),"",
IF(貼り付け用!I135&lt;&gt;"",貼り付け用!I135,"")))</f>
        <v>#N/A</v>
      </c>
      <c r="J134" s="19" t="e">
        <f>IF(貼り付け用!$A$6&lt;&gt;"",
IF(ROW(J133)+2&gt;=MATCH("*【合計】*", 貼り付け用!$A:$A, 0),"",
IF(貼り付け用!J134&lt;&gt;"",貼り付け用!J134,"")),
IF(ROW(J134)+2&gt;=MATCH("*【合計】*", 貼り付け用!$A:$A, 0),"",
IF(貼り付け用!J135&lt;&gt;"",貼り付け用!J135,"")))</f>
        <v>#N/A</v>
      </c>
      <c r="K134" s="19" t="e">
        <f>IF(貼り付け用!$A$6&lt;&gt;"",
IF(ROW(K133)+2&gt;=MATCH("*【合計】*", 貼り付け用!$A:$A, 0),"",
IF(貼り付け用!K134&lt;&gt;"",貼り付け用!K134,"")),
IF(ROW(K134)+2&gt;=MATCH("*【合計】*", 貼り付け用!$A:$A, 0),"",
IF(貼り付け用!K135&lt;&gt;"",貼り付け用!K135,"")))</f>
        <v>#N/A</v>
      </c>
      <c r="L134" s="19" t="e">
        <f>IF(貼り付け用!$A$6&lt;&gt;"",
IF(ROW(L133)+2&gt;=MATCH("*【合計】*", 貼り付け用!$A:$A, 0),"",
IF(L$3&lt;&gt;"",IF(貼り付け用!L134&lt;&gt;"",貼り付け用!L134,""),"")),
IF(ROW(L134)+2&gt;=MATCH("*【合計】*", 貼り付け用!$A:$A, 0),"",
IF(L$3&lt;&gt;"",IF(貼り付け用!L135&lt;&gt;"",貼り付け用!L135,""),"")))</f>
        <v>#N/A</v>
      </c>
      <c r="M134" s="19" t="e">
        <f>IF(貼り付け用!$A$6&lt;&gt;"",
IF(ROW(M133)+2&gt;=MATCH("*【合計】*", 貼り付け用!$A:$A, 0),"",
IF(M$3&lt;&gt;"",IF(貼り付け用!M134&lt;&gt;"",貼り付け用!M134,""),"")),
IF(ROW(M134)+2&gt;=MATCH("*【合計】*", 貼り付け用!$A:$A, 0),"",
IF(M$3&lt;&gt;"",IF(貼り付け用!M135&lt;&gt;"",貼り付け用!M135,""),"")))</f>
        <v>#N/A</v>
      </c>
      <c r="N134" s="19" t="e">
        <f>IF(貼り付け用!$A$6&lt;&gt;"",
IF(ROW(N133)+2&gt;=MATCH("*【合計】*", 貼り付け用!$A:$A, 0),"",
IF(N$3&lt;&gt;"",IF(貼り付け用!N134&lt;&gt;"",貼り付け用!N134,""),"")),
IF(ROW(N134)+2&gt;=MATCH("*【合計】*", 貼り付け用!$A:$A, 0),"",
IF(N$3&lt;&gt;"",IF(貼り付け用!N135&lt;&gt;"",貼り付け用!N135,""),"")))</f>
        <v>#N/A</v>
      </c>
      <c r="O134" s="19" t="e">
        <f>IF(貼り付け用!$A$6&lt;&gt;"",
IF(ROW(O133)+2&gt;=MATCH("*【合計】*", 貼り付け用!$A:$A, 0),"",
IF(O$3&lt;&gt;"",IF(貼り付け用!O134&lt;&gt;"",貼り付け用!O134,""),"")),
IF(ROW(O134)+2&gt;=MATCH("*【合計】*", 貼り付け用!$A:$A, 0),"",
IF(O$3&lt;&gt;"",IF(貼り付け用!O135&lt;&gt;"",貼り付け用!O135,""),"")))</f>
        <v>#N/A</v>
      </c>
      <c r="P134" s="19" t="e">
        <f>IF(貼り付け用!$A$6&lt;&gt;"",
IF(ROW(P133)+2&gt;=MATCH("*【合計】*", 貼り付け用!$A:$A, 0),"",
IF(P$3&lt;&gt;"",IF(貼り付け用!P134&lt;&gt;"",貼り付け用!P134,""),"")),
IF(ROW(P134)+2&gt;=MATCH("*【合計】*", 貼り付け用!$A:$A, 0),"",
IF(P$3&lt;&gt;"",IF(貼り付け用!P135&lt;&gt;"",貼り付け用!P135,""),"")))</f>
        <v>#N/A</v>
      </c>
      <c r="Q134" s="19" t="e">
        <f>IF(貼り付け用!$A$6&lt;&gt;"",
IF(ROW(Q133)+2&gt;=MATCH("*【合計】*", 貼り付け用!$A:$A, 0),"",
IF(Q$3&lt;&gt;"",IF(貼り付け用!Q134&lt;&gt;"",貼り付け用!Q134,""),"")),
IF(ROW(Q134)+2&gt;=MATCH("*【合計】*", 貼り付け用!$A:$A, 0),"",
IF(Q$3&lt;&gt;"",IF(貼り付け用!Q135&lt;&gt;"",貼り付け用!Q135,""),"")))</f>
        <v>#N/A</v>
      </c>
      <c r="R134" s="19" t="e">
        <f>IF(貼り付け用!$A$6&lt;&gt;"",
IF(ROW(R133)+2&gt;=MATCH("*【合計】*", 貼り付け用!$A:$A, 0),"",
IF(R$3&lt;&gt;"",IF(貼り付け用!R134&lt;&gt;"",貼り付け用!R134,""),"")),
IF(ROW(R134)+2&gt;=MATCH("*【合計】*", 貼り付け用!$A:$A, 0),"",
IF(R$3&lt;&gt;"",IF(貼り付け用!R135&lt;&gt;"",貼り付け用!R135,""),"")))</f>
        <v>#N/A</v>
      </c>
      <c r="S134" s="19" t="e">
        <f>IF(貼り付け用!$A$6&lt;&gt;"",
IF(ROW(S133)+2&gt;=MATCH("*【合計】*", 貼り付け用!$A:$A, 0),"",
IF(S$3&lt;&gt;"",IF(貼り付け用!S134&lt;&gt;"",貼り付け用!S134,""),"")),
IF(ROW(S134)+2&gt;=MATCH("*【合計】*", 貼り付け用!$A:$A, 0),"",
IF(S$3&lt;&gt;"",IF(貼り付け用!S135&lt;&gt;"",貼り付け用!S135,""),"")))</f>
        <v>#N/A</v>
      </c>
      <c r="T134" s="19" t="e">
        <f t="array" ref="T134">IF(貼り付け用!$A$6&lt;&gt;"",
IF(INDEX(貼り付け用!A:Z, ROW(T133)+1, MATCH("おやつ", 貼り付け用!$A$3:$Z$3, 0))&lt;&gt;0,
INDEX(貼り付け用!A:Z, ROW(T133)+1, MATCH("おやつ", 貼り付け用!$A$3:$Z$3, 0)),""),
IF(INDEX(貼り付け用!A:Z, ROW(T134)+1, MATCH("おやつ", 貼り付け用!$A$3:$Z$3, 0))&lt;&gt;0,
INDEX(貼り付け用!A:Z, ROW(T134)+1, MATCH("おやつ", 貼り付け用!$A$3:$Z$3, 0)),""))</f>
        <v>#N/A</v>
      </c>
      <c r="U134" s="16"/>
      <c r="V134" s="5" t="e">
        <f t="array" ref="V134">IF(貼り付け用!$A$6&lt;&gt;"",
IF(INDEX(貼り付け用!A:Z, ROW(T133)+1, MATCH("おやつ", 貼り付け用!$A$3:$Z$3, 0)+1)&lt;&gt;0,
INDEX(貼り付け用!A:Z, ROW(T133)+1, MATCH("おやつ", 貼り付け用!$A$3:$Z$3, 0)+1),""),
IF(INDEX(貼り付け用!A:Z, ROW(T134)+1, MATCH("おやつ", 貼り付け用!$A$3:$Z$3, 0)+1)&lt;&gt;0,
INDEX(貼り付け用!A:Z, ROW(T134)+1, MATCH("おやつ", 貼り付け用!$A$3:$Z$3, 0)+1),""))</f>
        <v>#N/A</v>
      </c>
      <c r="W134" s="7" t="e">
        <f t="array" ref="W134">IF(貼り付け用!$A$6&lt;&gt;"",
IF(INDEX(貼り付け用!A:Z, ROW(T133)+1, MATCH("おやつ", 貼り付け用!$A$3:$Z$3, 0)+2)&lt;&gt;0,
INDEX(貼り付け用!A:Z, ROW(T133)+1, MATCH("おやつ", 貼り付け用!$A$3:$Z$3, 0)+2),""),
IF(INDEX(貼り付け用!A:Z, ROW(T134)+1, MATCH("おやつ", 貼り付け用!$A$3:$Z$3, 0)+2)&lt;&gt;0,
INDEX(貼り付け用!A:Z, ROW(T134)+1, MATCH("おやつ", 貼り付け用!$A$3:$Z$3, 0)+2),""))</f>
        <v>#N/A</v>
      </c>
    </row>
    <row r="135" spans="1:23" x14ac:dyDescent="0.45">
      <c r="A135" s="10" t="e">
        <f>IF(貼り付け用!$A$6&lt;&gt;"",
IF(ROW(A134)+1&gt;=MATCH("*10000*", 貼り付け用!$A:$A, 0),"",
IF(貼り付け用!A135&lt;&gt;"",貼り付け用!A135,"")),
IF(ROW(A135)+1&gt;=MATCH("*10000*", 貼り付け用!$A:$A, 0),"",
IF(貼り付け用!A136&lt;&gt;"",貼り付け用!A136,"")))</f>
        <v>#N/A</v>
      </c>
      <c r="B135" s="3" t="e">
        <f>IF(貼り付け用!$A$6&lt;&gt;"",
IF(ROW(B134)+2&gt;=MATCH("*【合計】*", 貼り付け用!$A:$A, 0),"",
IF(貼り付け用!B135&lt;&gt;"",貼り付け用!B135,"")),
IF(ROW(B135)+2&gt;=MATCH("*【合計】*", 貼り付け用!$A:$A, 0),"",
IF(貼り付け用!B136&lt;&gt;"",貼り付け用!B136,"")))</f>
        <v>#N/A</v>
      </c>
      <c r="C135" s="3" t="e">
        <f>IF(貼り付け用!$A$6&lt;&gt;"",
IF(ROW(C134)+2&gt;=MATCH("*【合計】*", 貼り付け用!$A:$A, 0),"",
IF(貼り付け用!C135&lt;&gt;"",貼り付け用!C135,"")),
IF(ROW(C135)+2&gt;=MATCH("*【合計】*", 貼り付け用!$A:$A, 0),"",
IF(貼り付け用!C136&lt;&gt;"",貼り付け用!C136,"")))</f>
        <v>#N/A</v>
      </c>
      <c r="D135" s="3" t="e">
        <f>IF(貼り付け用!$A$6&lt;&gt;"",
IF(ROW(D134)+2&gt;=MATCH("*【合計】*", 貼り付け用!$A:$A, 0),"",
IF(貼り付け用!D135&lt;&gt;"",貼り付け用!D135,"")),
IF(ROW(D135)+2&gt;=MATCH("*【合計】*", 貼り付け用!$A:$A, 0),"",
IF(貼り付け用!D136&lt;&gt;"",貼り付け用!D136,"")))</f>
        <v>#N/A</v>
      </c>
      <c r="E135" s="3" t="e">
        <f>IF(貼り付け用!$A$6&lt;&gt;"",
IF(ROW(E134)+2&gt;=MATCH("*【合計】*", 貼り付け用!$A:$A, 0),"",
IF(貼り付け用!E135&lt;&gt;"",貼り付け用!E135,"")),
IF(ROW(E135)+2&gt;=MATCH("*【合計】*", 貼り付け用!$A:$A, 0),"",
IF(貼り付け用!E136&lt;&gt;"",貼り付け用!E136,"")))</f>
        <v>#N/A</v>
      </c>
      <c r="F135" s="3" t="e">
        <f>IF(貼り付け用!$A$6&lt;&gt;"",
IF(ROW(F134)+2&gt;=MATCH("*【合計】*", 貼り付け用!$A:$A, 0),"",
IF(貼り付け用!F135&lt;&gt;"",貼り付け用!F135,"")),
IF(ROW(F135)+2&gt;=MATCH("*【合計】*", 貼り付け用!$A:$A, 0),"",
IF(貼り付け用!F136&lt;&gt;"",貼り付け用!F136,"")))</f>
        <v>#N/A</v>
      </c>
      <c r="G135" s="3" t="e">
        <f>IF(貼り付け用!$A$6&lt;&gt;"",
IF(ROW(G134)+2&gt;=MATCH("*【合計】*", 貼り付け用!$A:$A, 0),"",
IF(貼り付け用!G135&lt;&gt;"",貼り付け用!G135,"")),
IF(ROW(G135)+2&gt;=MATCH("*【合計】*", 貼り付け用!$A:$A, 0),"",
IF(貼り付け用!G136&lt;&gt;"",貼り付け用!G136,"")))</f>
        <v>#N/A</v>
      </c>
      <c r="H135" s="3" t="e">
        <f>IF(貼り付け用!$A$6&lt;&gt;"",
IF(ROW(H134)+2&gt;=MATCH("*【合計】*", 貼り付け用!$A:$A, 0),"",
IF(貼り付け用!H135&lt;&gt;"",貼り付け用!H135,"")),
IF(ROW(H135)+2&gt;=MATCH("*【合計】*", 貼り付け用!$A:$A, 0),"",
IF(貼り付け用!H136&lt;&gt;"",貼り付け用!H136,"")))</f>
        <v>#N/A</v>
      </c>
      <c r="I135" s="3" t="e">
        <f>IF(貼り付け用!$A$6&lt;&gt;"",
IF(ROW(I134)+2&gt;=MATCH("*【合計】*", 貼り付け用!$A:$A, 0),"",
IF(貼り付け用!I135&lt;&gt;"",貼り付け用!I135,"")),
IF(ROW(I135)+2&gt;=MATCH("*【合計】*", 貼り付け用!$A:$A, 0),"",
IF(貼り付け用!I136&lt;&gt;"",貼り付け用!I136,"")))</f>
        <v>#N/A</v>
      </c>
      <c r="J135" s="3" t="e">
        <f>IF(貼り付け用!$A$6&lt;&gt;"",
IF(ROW(J134)+2&gt;=MATCH("*【合計】*", 貼り付け用!$A:$A, 0),"",
IF(貼り付け用!J135&lt;&gt;"",貼り付け用!J135,"")),
IF(ROW(J135)+2&gt;=MATCH("*【合計】*", 貼り付け用!$A:$A, 0),"",
IF(貼り付け用!J136&lt;&gt;"",貼り付け用!J136,"")))</f>
        <v>#N/A</v>
      </c>
      <c r="K135" s="3" t="e">
        <f>IF(貼り付け用!$A$6&lt;&gt;"",
IF(ROW(K134)+2&gt;=MATCH("*【合計】*", 貼り付け用!$A:$A, 0),"",
IF(貼り付け用!K135&lt;&gt;"",貼り付け用!K135,"")),
IF(ROW(K135)+2&gt;=MATCH("*【合計】*", 貼り付け用!$A:$A, 0),"",
IF(貼り付け用!K136&lt;&gt;"",貼り付け用!K136,"")))</f>
        <v>#N/A</v>
      </c>
      <c r="L135" s="3" t="e">
        <f>IF(貼り付け用!$A$6&lt;&gt;"",
IF(ROW(L134)+2&gt;=MATCH("*【合計】*", 貼り付け用!$A:$A, 0),"",
IF(L$3&lt;&gt;"",IF(貼り付け用!L135&lt;&gt;"",貼り付け用!L135,""),"")),
IF(ROW(L135)+2&gt;=MATCH("*【合計】*", 貼り付け用!$A:$A, 0),"",
IF(L$3&lt;&gt;"",IF(貼り付け用!L136&lt;&gt;"",貼り付け用!L136,""),"")))</f>
        <v>#N/A</v>
      </c>
      <c r="M135" s="3" t="e">
        <f>IF(貼り付け用!$A$6&lt;&gt;"",
IF(ROW(M134)+2&gt;=MATCH("*【合計】*", 貼り付け用!$A:$A, 0),"",
IF(M$3&lt;&gt;"",IF(貼り付け用!M135&lt;&gt;"",貼り付け用!M135,""),"")),
IF(ROW(M135)+2&gt;=MATCH("*【合計】*", 貼り付け用!$A:$A, 0),"",
IF(M$3&lt;&gt;"",IF(貼り付け用!M136&lt;&gt;"",貼り付け用!M136,""),"")))</f>
        <v>#N/A</v>
      </c>
      <c r="N135" s="3" t="e">
        <f>IF(貼り付け用!$A$6&lt;&gt;"",
IF(ROW(N134)+2&gt;=MATCH("*【合計】*", 貼り付け用!$A:$A, 0),"",
IF(N$3&lt;&gt;"",IF(貼り付け用!N135&lt;&gt;"",貼り付け用!N135,""),"")),
IF(ROW(N135)+2&gt;=MATCH("*【合計】*", 貼り付け用!$A:$A, 0),"",
IF(N$3&lt;&gt;"",IF(貼り付け用!N136&lt;&gt;"",貼り付け用!N136,""),"")))</f>
        <v>#N/A</v>
      </c>
      <c r="O135" s="3" t="e">
        <f>IF(貼り付け用!$A$6&lt;&gt;"",
IF(ROW(O134)+2&gt;=MATCH("*【合計】*", 貼り付け用!$A:$A, 0),"",
IF(O$3&lt;&gt;"",IF(貼り付け用!O135&lt;&gt;"",貼り付け用!O135,""),"")),
IF(ROW(O135)+2&gt;=MATCH("*【合計】*", 貼り付け用!$A:$A, 0),"",
IF(O$3&lt;&gt;"",IF(貼り付け用!O136&lt;&gt;"",貼り付け用!O136,""),"")))</f>
        <v>#N/A</v>
      </c>
      <c r="P135" s="3" t="e">
        <f>IF(貼り付け用!$A$6&lt;&gt;"",
IF(ROW(P134)+2&gt;=MATCH("*【合計】*", 貼り付け用!$A:$A, 0),"",
IF(P$3&lt;&gt;"",IF(貼り付け用!P135&lt;&gt;"",貼り付け用!P135,""),"")),
IF(ROW(P135)+2&gt;=MATCH("*【合計】*", 貼り付け用!$A:$A, 0),"",
IF(P$3&lt;&gt;"",IF(貼り付け用!P136&lt;&gt;"",貼り付け用!P136,""),"")))</f>
        <v>#N/A</v>
      </c>
      <c r="Q135" s="3" t="e">
        <f>IF(貼り付け用!$A$6&lt;&gt;"",
IF(ROW(Q134)+2&gt;=MATCH("*【合計】*", 貼り付け用!$A:$A, 0),"",
IF(Q$3&lt;&gt;"",IF(貼り付け用!Q135&lt;&gt;"",貼り付け用!Q135,""),"")),
IF(ROW(Q135)+2&gt;=MATCH("*【合計】*", 貼り付け用!$A:$A, 0),"",
IF(Q$3&lt;&gt;"",IF(貼り付け用!Q136&lt;&gt;"",貼り付け用!Q136,""),"")))</f>
        <v>#N/A</v>
      </c>
      <c r="R135" s="3" t="e">
        <f>IF(貼り付け用!$A$6&lt;&gt;"",
IF(ROW(R134)+2&gt;=MATCH("*【合計】*", 貼り付け用!$A:$A, 0),"",
IF(R$3&lt;&gt;"",IF(貼り付け用!R135&lt;&gt;"",貼り付け用!R135,""),"")),
IF(ROW(R135)+2&gt;=MATCH("*【合計】*", 貼り付け用!$A:$A, 0),"",
IF(R$3&lt;&gt;"",IF(貼り付け用!R136&lt;&gt;"",貼り付け用!R136,""),"")))</f>
        <v>#N/A</v>
      </c>
      <c r="S135" s="3" t="e">
        <f>IF(貼り付け用!$A$6&lt;&gt;"",
IF(ROW(S134)+2&gt;=MATCH("*【合計】*", 貼り付け用!$A:$A, 0),"",
IF(S$3&lt;&gt;"",IF(貼り付け用!S135&lt;&gt;"",貼り付け用!S135,""),"")),
IF(ROW(S135)+2&gt;=MATCH("*【合計】*", 貼り付け用!$A:$A, 0),"",
IF(S$3&lt;&gt;"",IF(貼り付け用!S136&lt;&gt;"",貼り付け用!S136,""),"")))</f>
        <v>#N/A</v>
      </c>
      <c r="T135" s="2" t="e">
        <f t="array" ref="T135">IF(貼り付け用!$A$6&lt;&gt;"",
IF(INDEX(貼り付け用!A:Z, ROW(T134)+1, MATCH("おやつ", 貼り付け用!$A$3:$Z$3, 0))&lt;&gt;0,
INDEX(貼り付け用!A:Z, ROW(T134)+1, MATCH("おやつ", 貼り付け用!$A$3:$Z$3, 0)),""),
IF(INDEX(貼り付け用!A:Z, ROW(T135)+1, MATCH("おやつ", 貼り付け用!$A$3:$Z$3, 0))&lt;&gt;0,
INDEX(貼り付け用!A:Z, ROW(T135)+1, MATCH("おやつ", 貼り付け用!$A$3:$Z$3, 0)),""))</f>
        <v>#N/A</v>
      </c>
      <c r="U135" s="52"/>
      <c r="V135" s="8" t="e">
        <f t="array" ref="V135">IF(貼り付け用!$A$6&lt;&gt;"",
IF(INDEX(貼り付け用!A:Z, ROW(T134)+1, MATCH("おやつ", 貼り付け用!$A$3:$Z$3, 0)+1)&lt;&gt;0,
INDEX(貼り付け用!A:Z, ROW(T134)+1, MATCH("おやつ", 貼り付け用!$A$3:$Z$3, 0)+1),""),
IF(INDEX(貼り付け用!A:Z, ROW(T135)+1, MATCH("おやつ", 貼り付け用!$A$3:$Z$3, 0)+1)&lt;&gt;0,
INDEX(貼り付け用!A:Z, ROW(T135)+1, MATCH("おやつ", 貼り付け用!$A$3:$Z$3, 0)+1),""))</f>
        <v>#N/A</v>
      </c>
      <c r="W135" s="9" t="e">
        <f t="array" ref="W135">IF(貼り付け用!$A$6&lt;&gt;"",
IF(INDEX(貼り付け用!A:Z, ROW(T134)+1, MATCH("おやつ", 貼り付け用!$A$3:$Z$3, 0)+2)&lt;&gt;0,
INDEX(貼り付け用!A:Z, ROW(T134)+1, MATCH("おやつ", 貼り付け用!$A$3:$Z$3, 0)+2),""),
IF(INDEX(貼り付け用!A:Z, ROW(T135)+1, MATCH("おやつ", 貼り付け用!$A$3:$Z$3, 0)+2)&lt;&gt;0,
INDEX(貼り付け用!A:Z, ROW(T135)+1, MATCH("おやつ", 貼り付け用!$A$3:$Z$3, 0)+2),""))</f>
        <v>#N/A</v>
      </c>
    </row>
    <row r="136" spans="1:23" x14ac:dyDescent="0.45">
      <c r="A136" s="4" t="e">
        <f>IF(貼り付け用!$A$6&lt;&gt;"",
IF(ROW(A135)+1&gt;=MATCH("*10000*", 貼り付け用!$A:$A, 0),
IF(COUNTIF(A134,"*10000*"),"10001",
IF(COUNTIF(A134,"*10001*"),"10002",
IF(COUNTIF(A134,"*10002*"),"",
IF(COUNTIF(A134,""),"","10000")))),
IF(貼り付け用!A136&lt;&gt;"",貼り付け用!A136,"")),
IF(ROW(A136)+1&gt;=MATCH("*10000*", 貼り付け用!$A:$A, 0),
IF(COUNTIF(A134,"*10000*"),"10001",
IF(COUNTIF(A134,"*10001*"),"10002",
IF(COUNTIF(A134,"*10002*"),"",
IF(COUNTIF(A134,""),"","10000")))),
IF(貼り付け用!A137&lt;&gt;"",貼り付け用!A137,"")))</f>
        <v>#N/A</v>
      </c>
      <c r="B136" s="19" t="e">
        <f>IF(貼り付け用!$A$6&lt;&gt;"",
IF(ROW(B135)+2&gt;=MATCH("*【合計】*", 貼り付け用!$A:$A, 0),"",
IF(貼り付け用!B136&lt;&gt;"",貼り付け用!B136,"")),
IF(ROW(B136)+2&gt;=MATCH("*【合計】*", 貼り付け用!$A:$A, 0),"",
IF(貼り付け用!B137&lt;&gt;"",貼り付け用!B137,"")))</f>
        <v>#N/A</v>
      </c>
      <c r="C136" s="19" t="e">
        <f>IF(貼り付け用!$A$6&lt;&gt;"",
IF(ROW(C135)+2&gt;=MATCH("*【合計】*", 貼り付け用!$A:$A, 0),"",
IF(貼り付け用!C136&lt;&gt;"",貼り付け用!C136,"")),
IF(ROW(C136)+2&gt;=MATCH("*【合計】*", 貼り付け用!$A:$A, 0),"",
IF(貼り付け用!C137&lt;&gt;"",貼り付け用!C137,"")))</f>
        <v>#N/A</v>
      </c>
      <c r="D136" s="19" t="e">
        <f>IF(貼り付け用!$A$6&lt;&gt;"",
IF(ROW(D135)+2&gt;=MATCH("*【合計】*", 貼り付け用!$A:$A, 0),"",
IF(貼り付け用!D136&lt;&gt;"",貼り付け用!D136,"")),
IF(ROW(D136)+2&gt;=MATCH("*【合計】*", 貼り付け用!$A:$A, 0),"",
IF(貼り付け用!D137&lt;&gt;"",貼り付け用!D137,"")))</f>
        <v>#N/A</v>
      </c>
      <c r="E136" s="19" t="e">
        <f>IF(貼り付け用!$A$6&lt;&gt;"",
IF(ROW(E135)+2&gt;=MATCH("*【合計】*", 貼り付け用!$A:$A, 0),"",
IF(貼り付け用!E136&lt;&gt;"",貼り付け用!E136,"")),
IF(ROW(E136)+2&gt;=MATCH("*【合計】*", 貼り付け用!$A:$A, 0),"",
IF(貼り付け用!E137&lt;&gt;"",貼り付け用!E137,"")))</f>
        <v>#N/A</v>
      </c>
      <c r="F136" s="19" t="e">
        <f>IF(貼り付け用!$A$6&lt;&gt;"",
IF(ROW(F135)+2&gt;=MATCH("*【合計】*", 貼り付け用!$A:$A, 0),"",
IF(貼り付け用!F136&lt;&gt;"",貼り付け用!F136,"")),
IF(ROW(F136)+2&gt;=MATCH("*【合計】*", 貼り付け用!$A:$A, 0),"",
IF(貼り付け用!F137&lt;&gt;"",貼り付け用!F137,"")))</f>
        <v>#N/A</v>
      </c>
      <c r="G136" s="19" t="e">
        <f>IF(貼り付け用!$A$6&lt;&gt;"",
IF(ROW(G135)+2&gt;=MATCH("*【合計】*", 貼り付け用!$A:$A, 0),"",
IF(貼り付け用!G136&lt;&gt;"",貼り付け用!G136,"")),
IF(ROW(G136)+2&gt;=MATCH("*【合計】*", 貼り付け用!$A:$A, 0),"",
IF(貼り付け用!G137&lt;&gt;"",貼り付け用!G137,"")))</f>
        <v>#N/A</v>
      </c>
      <c r="H136" s="19" t="e">
        <f>IF(貼り付け用!$A$6&lt;&gt;"",
IF(ROW(H135)+2&gt;=MATCH("*【合計】*", 貼り付け用!$A:$A, 0),"",
IF(貼り付け用!H136&lt;&gt;"",貼り付け用!H136,"")),
IF(ROW(H136)+2&gt;=MATCH("*【合計】*", 貼り付け用!$A:$A, 0),"",
IF(貼り付け用!H137&lt;&gt;"",貼り付け用!H137,"")))</f>
        <v>#N/A</v>
      </c>
      <c r="I136" s="19" t="e">
        <f>IF(貼り付け用!$A$6&lt;&gt;"",
IF(ROW(I135)+2&gt;=MATCH("*【合計】*", 貼り付け用!$A:$A, 0),"",
IF(貼り付け用!I136&lt;&gt;"",貼り付け用!I136,"")),
IF(ROW(I136)+2&gt;=MATCH("*【合計】*", 貼り付け用!$A:$A, 0),"",
IF(貼り付け用!I137&lt;&gt;"",貼り付け用!I137,"")))</f>
        <v>#N/A</v>
      </c>
      <c r="J136" s="19" t="e">
        <f>IF(貼り付け用!$A$6&lt;&gt;"",
IF(ROW(J135)+2&gt;=MATCH("*【合計】*", 貼り付け用!$A:$A, 0),"",
IF(貼り付け用!J136&lt;&gt;"",貼り付け用!J136,"")),
IF(ROW(J136)+2&gt;=MATCH("*【合計】*", 貼り付け用!$A:$A, 0),"",
IF(貼り付け用!J137&lt;&gt;"",貼り付け用!J137,"")))</f>
        <v>#N/A</v>
      </c>
      <c r="K136" s="19" t="e">
        <f>IF(貼り付け用!$A$6&lt;&gt;"",
IF(ROW(K135)+2&gt;=MATCH("*【合計】*", 貼り付け用!$A:$A, 0),"",
IF(貼り付け用!K136&lt;&gt;"",貼り付け用!K136,"")),
IF(ROW(K136)+2&gt;=MATCH("*【合計】*", 貼り付け用!$A:$A, 0),"",
IF(貼り付け用!K137&lt;&gt;"",貼り付け用!K137,"")))</f>
        <v>#N/A</v>
      </c>
      <c r="L136" s="19" t="e">
        <f>IF(貼り付け用!$A$6&lt;&gt;"",
IF(ROW(L135)+2&gt;=MATCH("*【合計】*", 貼り付け用!$A:$A, 0),"",
IF(L$3&lt;&gt;"",IF(貼り付け用!L136&lt;&gt;"",貼り付け用!L136,""),"")),
IF(ROW(L136)+2&gt;=MATCH("*【合計】*", 貼り付け用!$A:$A, 0),"",
IF(L$3&lt;&gt;"",IF(貼り付け用!L137&lt;&gt;"",貼り付け用!L137,""),"")))</f>
        <v>#N/A</v>
      </c>
      <c r="M136" s="19" t="e">
        <f>IF(貼り付け用!$A$6&lt;&gt;"",
IF(ROW(M135)+2&gt;=MATCH("*【合計】*", 貼り付け用!$A:$A, 0),"",
IF(M$3&lt;&gt;"",IF(貼り付け用!M136&lt;&gt;"",貼り付け用!M136,""),"")),
IF(ROW(M136)+2&gt;=MATCH("*【合計】*", 貼り付け用!$A:$A, 0),"",
IF(M$3&lt;&gt;"",IF(貼り付け用!M137&lt;&gt;"",貼り付け用!M137,""),"")))</f>
        <v>#N/A</v>
      </c>
      <c r="N136" s="19" t="e">
        <f>IF(貼り付け用!$A$6&lt;&gt;"",
IF(ROW(N135)+2&gt;=MATCH("*【合計】*", 貼り付け用!$A:$A, 0),"",
IF(N$3&lt;&gt;"",IF(貼り付け用!N136&lt;&gt;"",貼り付け用!N136,""),"")),
IF(ROW(N136)+2&gt;=MATCH("*【合計】*", 貼り付け用!$A:$A, 0),"",
IF(N$3&lt;&gt;"",IF(貼り付け用!N137&lt;&gt;"",貼り付け用!N137,""),"")))</f>
        <v>#N/A</v>
      </c>
      <c r="O136" s="19" t="e">
        <f>IF(貼り付け用!$A$6&lt;&gt;"",
IF(ROW(O135)+2&gt;=MATCH("*【合計】*", 貼り付け用!$A:$A, 0),"",
IF(O$3&lt;&gt;"",IF(貼り付け用!O136&lt;&gt;"",貼り付け用!O136,""),"")),
IF(ROW(O136)+2&gt;=MATCH("*【合計】*", 貼り付け用!$A:$A, 0),"",
IF(O$3&lt;&gt;"",IF(貼り付け用!O137&lt;&gt;"",貼り付け用!O137,""),"")))</f>
        <v>#N/A</v>
      </c>
      <c r="P136" s="19" t="e">
        <f>IF(貼り付け用!$A$6&lt;&gt;"",
IF(ROW(P135)+2&gt;=MATCH("*【合計】*", 貼り付け用!$A:$A, 0),"",
IF(P$3&lt;&gt;"",IF(貼り付け用!P136&lt;&gt;"",貼り付け用!P136,""),"")),
IF(ROW(P136)+2&gt;=MATCH("*【合計】*", 貼り付け用!$A:$A, 0),"",
IF(P$3&lt;&gt;"",IF(貼り付け用!P137&lt;&gt;"",貼り付け用!P137,""),"")))</f>
        <v>#N/A</v>
      </c>
      <c r="Q136" s="19" t="e">
        <f>IF(貼り付け用!$A$6&lt;&gt;"",
IF(ROW(Q135)+2&gt;=MATCH("*【合計】*", 貼り付け用!$A:$A, 0),"",
IF(Q$3&lt;&gt;"",IF(貼り付け用!Q136&lt;&gt;"",貼り付け用!Q136,""),"")),
IF(ROW(Q136)+2&gt;=MATCH("*【合計】*", 貼り付け用!$A:$A, 0),"",
IF(Q$3&lt;&gt;"",IF(貼り付け用!Q137&lt;&gt;"",貼り付け用!Q137,""),"")))</f>
        <v>#N/A</v>
      </c>
      <c r="R136" s="19" t="e">
        <f>IF(貼り付け用!$A$6&lt;&gt;"",
IF(ROW(R135)+2&gt;=MATCH("*【合計】*", 貼り付け用!$A:$A, 0),"",
IF(R$3&lt;&gt;"",IF(貼り付け用!R136&lt;&gt;"",貼り付け用!R136,""),"")),
IF(ROW(R136)+2&gt;=MATCH("*【合計】*", 貼り付け用!$A:$A, 0),"",
IF(R$3&lt;&gt;"",IF(貼り付け用!R137&lt;&gt;"",貼り付け用!R137,""),"")))</f>
        <v>#N/A</v>
      </c>
      <c r="S136" s="19" t="e">
        <f>IF(貼り付け用!$A$6&lt;&gt;"",
IF(ROW(S135)+2&gt;=MATCH("*【合計】*", 貼り付け用!$A:$A, 0),"",
IF(S$3&lt;&gt;"",IF(貼り付け用!S136&lt;&gt;"",貼り付け用!S136,""),"")),
IF(ROW(S136)+2&gt;=MATCH("*【合計】*", 貼り付け用!$A:$A, 0),"",
IF(S$3&lt;&gt;"",IF(貼り付け用!S137&lt;&gt;"",貼り付け用!S137,""),"")))</f>
        <v>#N/A</v>
      </c>
      <c r="T136" s="19" t="e">
        <f t="array" ref="T136">IF(貼り付け用!$A$6&lt;&gt;"",
IF(INDEX(貼り付け用!A:Z, ROW(T135)+1, MATCH("おやつ", 貼り付け用!$A$3:$Z$3, 0))&lt;&gt;0,
INDEX(貼り付け用!A:Z, ROW(T135)+1, MATCH("おやつ", 貼り付け用!$A$3:$Z$3, 0)),""),
IF(INDEX(貼り付け用!A:Z, ROW(T136)+1, MATCH("おやつ", 貼り付け用!$A$3:$Z$3, 0))&lt;&gt;0,
INDEX(貼り付け用!A:Z, ROW(T136)+1, MATCH("おやつ", 貼り付け用!$A$3:$Z$3, 0)),""))</f>
        <v>#N/A</v>
      </c>
      <c r="U136" s="16"/>
      <c r="V136" s="5" t="e">
        <f t="array" ref="V136">IF(貼り付け用!$A$6&lt;&gt;"",
IF(INDEX(貼り付け用!A:Z, ROW(T135)+1, MATCH("おやつ", 貼り付け用!$A$3:$Z$3, 0)+1)&lt;&gt;0,
INDEX(貼り付け用!A:Z, ROW(T135)+1, MATCH("おやつ", 貼り付け用!$A$3:$Z$3, 0)+1),""),
IF(INDEX(貼り付け用!A:Z, ROW(T136)+1, MATCH("おやつ", 貼り付け用!$A$3:$Z$3, 0)+1)&lt;&gt;0,
INDEX(貼り付け用!A:Z, ROW(T136)+1, MATCH("おやつ", 貼り付け用!$A$3:$Z$3, 0)+1),""))</f>
        <v>#N/A</v>
      </c>
      <c r="W136" s="7" t="e">
        <f t="array" ref="W136">IF(貼り付け用!$A$6&lt;&gt;"",
IF(INDEX(貼り付け用!A:Z, ROW(T135)+1, MATCH("おやつ", 貼り付け用!$A$3:$Z$3, 0)+2)&lt;&gt;0,
INDEX(貼り付け用!A:Z, ROW(T135)+1, MATCH("おやつ", 貼り付け用!$A$3:$Z$3, 0)+2),""),
IF(INDEX(貼り付け用!A:Z, ROW(T136)+1, MATCH("おやつ", 貼り付け用!$A$3:$Z$3, 0)+2)&lt;&gt;0,
INDEX(貼り付け用!A:Z, ROW(T136)+1, MATCH("おやつ", 貼り付け用!$A$3:$Z$3, 0)+2),""))</f>
        <v>#N/A</v>
      </c>
    </row>
    <row r="137" spans="1:23" x14ac:dyDescent="0.45">
      <c r="A137" s="10" t="e">
        <f>IF(貼り付け用!$A$6&lt;&gt;"",
IF(ROW(A136)+1&gt;=MATCH("*10000*", 貼り付け用!$A:$A, 0),"",
IF(貼り付け用!A137&lt;&gt;"",貼り付け用!A137,"")),
IF(ROW(A137)+1&gt;=MATCH("*10000*", 貼り付け用!$A:$A, 0),"",
IF(貼り付け用!A138&lt;&gt;"",貼り付け用!A138,"")))</f>
        <v>#N/A</v>
      </c>
      <c r="B137" s="3" t="e">
        <f>IF(貼り付け用!$A$6&lt;&gt;"",
IF(ROW(B136)+2&gt;=MATCH("*【合計】*", 貼り付け用!$A:$A, 0),"",
IF(貼り付け用!B137&lt;&gt;"",貼り付け用!B137,"")),
IF(ROW(B137)+2&gt;=MATCH("*【合計】*", 貼り付け用!$A:$A, 0),"",
IF(貼り付け用!B138&lt;&gt;"",貼り付け用!B138,"")))</f>
        <v>#N/A</v>
      </c>
      <c r="C137" s="3" t="e">
        <f>IF(貼り付け用!$A$6&lt;&gt;"",
IF(ROW(C136)+2&gt;=MATCH("*【合計】*", 貼り付け用!$A:$A, 0),"",
IF(貼り付け用!C137&lt;&gt;"",貼り付け用!C137,"")),
IF(ROW(C137)+2&gt;=MATCH("*【合計】*", 貼り付け用!$A:$A, 0),"",
IF(貼り付け用!C138&lt;&gt;"",貼り付け用!C138,"")))</f>
        <v>#N/A</v>
      </c>
      <c r="D137" s="3" t="e">
        <f>IF(貼り付け用!$A$6&lt;&gt;"",
IF(ROW(D136)+2&gt;=MATCH("*【合計】*", 貼り付け用!$A:$A, 0),"",
IF(貼り付け用!D137&lt;&gt;"",貼り付け用!D137,"")),
IF(ROW(D137)+2&gt;=MATCH("*【合計】*", 貼り付け用!$A:$A, 0),"",
IF(貼り付け用!D138&lt;&gt;"",貼り付け用!D138,"")))</f>
        <v>#N/A</v>
      </c>
      <c r="E137" s="3" t="e">
        <f>IF(貼り付け用!$A$6&lt;&gt;"",
IF(ROW(E136)+2&gt;=MATCH("*【合計】*", 貼り付け用!$A:$A, 0),"",
IF(貼り付け用!E137&lt;&gt;"",貼り付け用!E137,"")),
IF(ROW(E137)+2&gt;=MATCH("*【合計】*", 貼り付け用!$A:$A, 0),"",
IF(貼り付け用!E138&lt;&gt;"",貼り付け用!E138,"")))</f>
        <v>#N/A</v>
      </c>
      <c r="F137" s="3" t="e">
        <f>IF(貼り付け用!$A$6&lt;&gt;"",
IF(ROW(F136)+2&gt;=MATCH("*【合計】*", 貼り付け用!$A:$A, 0),"",
IF(貼り付け用!F137&lt;&gt;"",貼り付け用!F137,"")),
IF(ROW(F137)+2&gt;=MATCH("*【合計】*", 貼り付け用!$A:$A, 0),"",
IF(貼り付け用!F138&lt;&gt;"",貼り付け用!F138,"")))</f>
        <v>#N/A</v>
      </c>
      <c r="G137" s="3" t="e">
        <f>IF(貼り付け用!$A$6&lt;&gt;"",
IF(ROW(G136)+2&gt;=MATCH("*【合計】*", 貼り付け用!$A:$A, 0),"",
IF(貼り付け用!G137&lt;&gt;"",貼り付け用!G137,"")),
IF(ROW(G137)+2&gt;=MATCH("*【合計】*", 貼り付け用!$A:$A, 0),"",
IF(貼り付け用!G138&lt;&gt;"",貼り付け用!G138,"")))</f>
        <v>#N/A</v>
      </c>
      <c r="H137" s="3" t="e">
        <f>IF(貼り付け用!$A$6&lt;&gt;"",
IF(ROW(H136)+2&gt;=MATCH("*【合計】*", 貼り付け用!$A:$A, 0),"",
IF(貼り付け用!H137&lt;&gt;"",貼り付け用!H137,"")),
IF(ROW(H137)+2&gt;=MATCH("*【合計】*", 貼り付け用!$A:$A, 0),"",
IF(貼り付け用!H138&lt;&gt;"",貼り付け用!H138,"")))</f>
        <v>#N/A</v>
      </c>
      <c r="I137" s="3" t="e">
        <f>IF(貼り付け用!$A$6&lt;&gt;"",
IF(ROW(I136)+2&gt;=MATCH("*【合計】*", 貼り付け用!$A:$A, 0),"",
IF(貼り付け用!I137&lt;&gt;"",貼り付け用!I137,"")),
IF(ROW(I137)+2&gt;=MATCH("*【合計】*", 貼り付け用!$A:$A, 0),"",
IF(貼り付け用!I138&lt;&gt;"",貼り付け用!I138,"")))</f>
        <v>#N/A</v>
      </c>
      <c r="J137" s="3" t="e">
        <f>IF(貼り付け用!$A$6&lt;&gt;"",
IF(ROW(J136)+2&gt;=MATCH("*【合計】*", 貼り付け用!$A:$A, 0),"",
IF(貼り付け用!J137&lt;&gt;"",貼り付け用!J137,"")),
IF(ROW(J137)+2&gt;=MATCH("*【合計】*", 貼り付け用!$A:$A, 0),"",
IF(貼り付け用!J138&lt;&gt;"",貼り付け用!J138,"")))</f>
        <v>#N/A</v>
      </c>
      <c r="K137" s="3" t="e">
        <f>IF(貼り付け用!$A$6&lt;&gt;"",
IF(ROW(K136)+2&gt;=MATCH("*【合計】*", 貼り付け用!$A:$A, 0),"",
IF(貼り付け用!K137&lt;&gt;"",貼り付け用!K137,"")),
IF(ROW(K137)+2&gt;=MATCH("*【合計】*", 貼り付け用!$A:$A, 0),"",
IF(貼り付け用!K138&lt;&gt;"",貼り付け用!K138,"")))</f>
        <v>#N/A</v>
      </c>
      <c r="L137" s="3" t="e">
        <f>IF(貼り付け用!$A$6&lt;&gt;"",
IF(ROW(L136)+2&gt;=MATCH("*【合計】*", 貼り付け用!$A:$A, 0),"",
IF(L$3&lt;&gt;"",IF(貼り付け用!L137&lt;&gt;"",貼り付け用!L137,""),"")),
IF(ROW(L137)+2&gt;=MATCH("*【合計】*", 貼り付け用!$A:$A, 0),"",
IF(L$3&lt;&gt;"",IF(貼り付け用!L138&lt;&gt;"",貼り付け用!L138,""),"")))</f>
        <v>#N/A</v>
      </c>
      <c r="M137" s="3" t="e">
        <f>IF(貼り付け用!$A$6&lt;&gt;"",
IF(ROW(M136)+2&gt;=MATCH("*【合計】*", 貼り付け用!$A:$A, 0),"",
IF(M$3&lt;&gt;"",IF(貼り付け用!M137&lt;&gt;"",貼り付け用!M137,""),"")),
IF(ROW(M137)+2&gt;=MATCH("*【合計】*", 貼り付け用!$A:$A, 0),"",
IF(M$3&lt;&gt;"",IF(貼り付け用!M138&lt;&gt;"",貼り付け用!M138,""),"")))</f>
        <v>#N/A</v>
      </c>
      <c r="N137" s="3" t="e">
        <f>IF(貼り付け用!$A$6&lt;&gt;"",
IF(ROW(N136)+2&gt;=MATCH("*【合計】*", 貼り付け用!$A:$A, 0),"",
IF(N$3&lt;&gt;"",IF(貼り付け用!N137&lt;&gt;"",貼り付け用!N137,""),"")),
IF(ROW(N137)+2&gt;=MATCH("*【合計】*", 貼り付け用!$A:$A, 0),"",
IF(N$3&lt;&gt;"",IF(貼り付け用!N138&lt;&gt;"",貼り付け用!N138,""),"")))</f>
        <v>#N/A</v>
      </c>
      <c r="O137" s="3" t="e">
        <f>IF(貼り付け用!$A$6&lt;&gt;"",
IF(ROW(O136)+2&gt;=MATCH("*【合計】*", 貼り付け用!$A:$A, 0),"",
IF(O$3&lt;&gt;"",IF(貼り付け用!O137&lt;&gt;"",貼り付け用!O137,""),"")),
IF(ROW(O137)+2&gt;=MATCH("*【合計】*", 貼り付け用!$A:$A, 0),"",
IF(O$3&lt;&gt;"",IF(貼り付け用!O138&lt;&gt;"",貼り付け用!O138,""),"")))</f>
        <v>#N/A</v>
      </c>
      <c r="P137" s="3" t="e">
        <f>IF(貼り付け用!$A$6&lt;&gt;"",
IF(ROW(P136)+2&gt;=MATCH("*【合計】*", 貼り付け用!$A:$A, 0),"",
IF(P$3&lt;&gt;"",IF(貼り付け用!P137&lt;&gt;"",貼り付け用!P137,""),"")),
IF(ROW(P137)+2&gt;=MATCH("*【合計】*", 貼り付け用!$A:$A, 0),"",
IF(P$3&lt;&gt;"",IF(貼り付け用!P138&lt;&gt;"",貼り付け用!P138,""),"")))</f>
        <v>#N/A</v>
      </c>
      <c r="Q137" s="3" t="e">
        <f>IF(貼り付け用!$A$6&lt;&gt;"",
IF(ROW(Q136)+2&gt;=MATCH("*【合計】*", 貼り付け用!$A:$A, 0),"",
IF(Q$3&lt;&gt;"",IF(貼り付け用!Q137&lt;&gt;"",貼り付け用!Q137,""),"")),
IF(ROW(Q137)+2&gt;=MATCH("*【合計】*", 貼り付け用!$A:$A, 0),"",
IF(Q$3&lt;&gt;"",IF(貼り付け用!Q138&lt;&gt;"",貼り付け用!Q138,""),"")))</f>
        <v>#N/A</v>
      </c>
      <c r="R137" s="3" t="e">
        <f>IF(貼り付け用!$A$6&lt;&gt;"",
IF(ROW(R136)+2&gt;=MATCH("*【合計】*", 貼り付け用!$A:$A, 0),"",
IF(R$3&lt;&gt;"",IF(貼り付け用!R137&lt;&gt;"",貼り付け用!R137,""),"")),
IF(ROW(R137)+2&gt;=MATCH("*【合計】*", 貼り付け用!$A:$A, 0),"",
IF(R$3&lt;&gt;"",IF(貼り付け用!R138&lt;&gt;"",貼り付け用!R138,""),"")))</f>
        <v>#N/A</v>
      </c>
      <c r="S137" s="3" t="e">
        <f>IF(貼り付け用!$A$6&lt;&gt;"",
IF(ROW(S136)+2&gt;=MATCH("*【合計】*", 貼り付け用!$A:$A, 0),"",
IF(S$3&lt;&gt;"",IF(貼り付け用!S137&lt;&gt;"",貼り付け用!S137,""),"")),
IF(ROW(S137)+2&gt;=MATCH("*【合計】*", 貼り付け用!$A:$A, 0),"",
IF(S$3&lt;&gt;"",IF(貼り付け用!S138&lt;&gt;"",貼り付け用!S138,""),"")))</f>
        <v>#N/A</v>
      </c>
      <c r="T137" s="2" t="e">
        <f t="array" ref="T137">IF(貼り付け用!$A$6&lt;&gt;"",
IF(INDEX(貼り付け用!A:Z, ROW(T136)+1, MATCH("おやつ", 貼り付け用!$A$3:$Z$3, 0))&lt;&gt;0,
INDEX(貼り付け用!A:Z, ROW(T136)+1, MATCH("おやつ", 貼り付け用!$A$3:$Z$3, 0)),""),
IF(INDEX(貼り付け用!A:Z, ROW(T137)+1, MATCH("おやつ", 貼り付け用!$A$3:$Z$3, 0))&lt;&gt;0,
INDEX(貼り付け用!A:Z, ROW(T137)+1, MATCH("おやつ", 貼り付け用!$A$3:$Z$3, 0)),""))</f>
        <v>#N/A</v>
      </c>
      <c r="U137" s="52"/>
      <c r="V137" s="8" t="e">
        <f t="array" ref="V137">IF(貼り付け用!$A$6&lt;&gt;"",
IF(INDEX(貼り付け用!A:Z, ROW(T136)+1, MATCH("おやつ", 貼り付け用!$A$3:$Z$3, 0)+1)&lt;&gt;0,
INDEX(貼り付け用!A:Z, ROW(T136)+1, MATCH("おやつ", 貼り付け用!$A$3:$Z$3, 0)+1),""),
IF(INDEX(貼り付け用!A:Z, ROW(T137)+1, MATCH("おやつ", 貼り付け用!$A$3:$Z$3, 0)+1)&lt;&gt;0,
INDEX(貼り付け用!A:Z, ROW(T137)+1, MATCH("おやつ", 貼り付け用!$A$3:$Z$3, 0)+1),""))</f>
        <v>#N/A</v>
      </c>
      <c r="W137" s="9" t="e">
        <f t="array" ref="W137">IF(貼り付け用!$A$6&lt;&gt;"",
IF(INDEX(貼り付け用!A:Z, ROW(T136)+1, MATCH("おやつ", 貼り付け用!$A$3:$Z$3, 0)+2)&lt;&gt;0,
INDEX(貼り付け用!A:Z, ROW(T136)+1, MATCH("おやつ", 貼り付け用!$A$3:$Z$3, 0)+2),""),
IF(INDEX(貼り付け用!A:Z, ROW(T137)+1, MATCH("おやつ", 貼り付け用!$A$3:$Z$3, 0)+2)&lt;&gt;0,
INDEX(貼り付け用!A:Z, ROW(T137)+1, MATCH("おやつ", 貼り付け用!$A$3:$Z$3, 0)+2),""))</f>
        <v>#N/A</v>
      </c>
    </row>
    <row r="138" spans="1:23" x14ac:dyDescent="0.45">
      <c r="A138" s="4" t="e">
        <f>IF(貼り付け用!$A$6&lt;&gt;"",
IF(ROW(A137)+1&gt;=MATCH("*10000*", 貼り付け用!$A:$A, 0),
IF(COUNTIF(A136,"*10000*"),"10001",
IF(COUNTIF(A136,"*10001*"),"10002",
IF(COUNTIF(A136,"*10002*"),"",
IF(COUNTIF(A136,""),"","10000")))),
IF(貼り付け用!A138&lt;&gt;"",貼り付け用!A138,"")),
IF(ROW(A138)+1&gt;=MATCH("*10000*", 貼り付け用!$A:$A, 0),
IF(COUNTIF(A136,"*10000*"),"10001",
IF(COUNTIF(A136,"*10001*"),"10002",
IF(COUNTIF(A136,"*10002*"),"",
IF(COUNTIF(A136,""),"","10000")))),
IF(貼り付け用!A139&lt;&gt;"",貼り付け用!A139,"")))</f>
        <v>#N/A</v>
      </c>
      <c r="B138" s="19" t="e">
        <f>IF(貼り付け用!$A$6&lt;&gt;"",
IF(ROW(B137)+2&gt;=MATCH("*【合計】*", 貼り付け用!$A:$A, 0),"",
IF(貼り付け用!B138&lt;&gt;"",貼り付け用!B138,"")),
IF(ROW(B138)+2&gt;=MATCH("*【合計】*", 貼り付け用!$A:$A, 0),"",
IF(貼り付け用!B139&lt;&gt;"",貼り付け用!B139,"")))</f>
        <v>#N/A</v>
      </c>
      <c r="C138" s="19" t="e">
        <f>IF(貼り付け用!$A$6&lt;&gt;"",
IF(ROW(C137)+2&gt;=MATCH("*【合計】*", 貼り付け用!$A:$A, 0),"",
IF(貼り付け用!C138&lt;&gt;"",貼り付け用!C138,"")),
IF(ROW(C138)+2&gt;=MATCH("*【合計】*", 貼り付け用!$A:$A, 0),"",
IF(貼り付け用!C139&lt;&gt;"",貼り付け用!C139,"")))</f>
        <v>#N/A</v>
      </c>
      <c r="D138" s="19" t="e">
        <f>IF(貼り付け用!$A$6&lt;&gt;"",
IF(ROW(D137)+2&gt;=MATCH("*【合計】*", 貼り付け用!$A:$A, 0),"",
IF(貼り付け用!D138&lt;&gt;"",貼り付け用!D138,"")),
IF(ROW(D138)+2&gt;=MATCH("*【合計】*", 貼り付け用!$A:$A, 0),"",
IF(貼り付け用!D139&lt;&gt;"",貼り付け用!D139,"")))</f>
        <v>#N/A</v>
      </c>
      <c r="E138" s="19" t="e">
        <f>IF(貼り付け用!$A$6&lt;&gt;"",
IF(ROW(E137)+2&gt;=MATCH("*【合計】*", 貼り付け用!$A:$A, 0),"",
IF(貼り付け用!E138&lt;&gt;"",貼り付け用!E138,"")),
IF(ROW(E138)+2&gt;=MATCH("*【合計】*", 貼り付け用!$A:$A, 0),"",
IF(貼り付け用!E139&lt;&gt;"",貼り付け用!E139,"")))</f>
        <v>#N/A</v>
      </c>
      <c r="F138" s="19" t="e">
        <f>IF(貼り付け用!$A$6&lt;&gt;"",
IF(ROW(F137)+2&gt;=MATCH("*【合計】*", 貼り付け用!$A:$A, 0),"",
IF(貼り付け用!F138&lt;&gt;"",貼り付け用!F138,"")),
IF(ROW(F138)+2&gt;=MATCH("*【合計】*", 貼り付け用!$A:$A, 0),"",
IF(貼り付け用!F139&lt;&gt;"",貼り付け用!F139,"")))</f>
        <v>#N/A</v>
      </c>
      <c r="G138" s="19" t="e">
        <f>IF(貼り付け用!$A$6&lt;&gt;"",
IF(ROW(G137)+2&gt;=MATCH("*【合計】*", 貼り付け用!$A:$A, 0),"",
IF(貼り付け用!G138&lt;&gt;"",貼り付け用!G138,"")),
IF(ROW(G138)+2&gt;=MATCH("*【合計】*", 貼り付け用!$A:$A, 0),"",
IF(貼り付け用!G139&lt;&gt;"",貼り付け用!G139,"")))</f>
        <v>#N/A</v>
      </c>
      <c r="H138" s="19" t="e">
        <f>IF(貼り付け用!$A$6&lt;&gt;"",
IF(ROW(H137)+2&gt;=MATCH("*【合計】*", 貼り付け用!$A:$A, 0),"",
IF(貼り付け用!H138&lt;&gt;"",貼り付け用!H138,"")),
IF(ROW(H138)+2&gt;=MATCH("*【合計】*", 貼り付け用!$A:$A, 0),"",
IF(貼り付け用!H139&lt;&gt;"",貼り付け用!H139,"")))</f>
        <v>#N/A</v>
      </c>
      <c r="I138" s="19" t="e">
        <f>IF(貼り付け用!$A$6&lt;&gt;"",
IF(ROW(I137)+2&gt;=MATCH("*【合計】*", 貼り付け用!$A:$A, 0),"",
IF(貼り付け用!I138&lt;&gt;"",貼り付け用!I138,"")),
IF(ROW(I138)+2&gt;=MATCH("*【合計】*", 貼り付け用!$A:$A, 0),"",
IF(貼り付け用!I139&lt;&gt;"",貼り付け用!I139,"")))</f>
        <v>#N/A</v>
      </c>
      <c r="J138" s="19" t="e">
        <f>IF(貼り付け用!$A$6&lt;&gt;"",
IF(ROW(J137)+2&gt;=MATCH("*【合計】*", 貼り付け用!$A:$A, 0),"",
IF(貼り付け用!J138&lt;&gt;"",貼り付け用!J138,"")),
IF(ROW(J138)+2&gt;=MATCH("*【合計】*", 貼り付け用!$A:$A, 0),"",
IF(貼り付け用!J139&lt;&gt;"",貼り付け用!J139,"")))</f>
        <v>#N/A</v>
      </c>
      <c r="K138" s="19" t="e">
        <f>IF(貼り付け用!$A$6&lt;&gt;"",
IF(ROW(K137)+2&gt;=MATCH("*【合計】*", 貼り付け用!$A:$A, 0),"",
IF(貼り付け用!K138&lt;&gt;"",貼り付け用!K138,"")),
IF(ROW(K138)+2&gt;=MATCH("*【合計】*", 貼り付け用!$A:$A, 0),"",
IF(貼り付け用!K139&lt;&gt;"",貼り付け用!K139,"")))</f>
        <v>#N/A</v>
      </c>
      <c r="L138" s="19" t="e">
        <f>IF(貼り付け用!$A$6&lt;&gt;"",
IF(ROW(L137)+2&gt;=MATCH("*【合計】*", 貼り付け用!$A:$A, 0),"",
IF(L$3&lt;&gt;"",IF(貼り付け用!L138&lt;&gt;"",貼り付け用!L138,""),"")),
IF(ROW(L138)+2&gt;=MATCH("*【合計】*", 貼り付け用!$A:$A, 0),"",
IF(L$3&lt;&gt;"",IF(貼り付け用!L139&lt;&gt;"",貼り付け用!L139,""),"")))</f>
        <v>#N/A</v>
      </c>
      <c r="M138" s="19" t="e">
        <f>IF(貼り付け用!$A$6&lt;&gt;"",
IF(ROW(M137)+2&gt;=MATCH("*【合計】*", 貼り付け用!$A:$A, 0),"",
IF(M$3&lt;&gt;"",IF(貼り付け用!M138&lt;&gt;"",貼り付け用!M138,""),"")),
IF(ROW(M138)+2&gt;=MATCH("*【合計】*", 貼り付け用!$A:$A, 0),"",
IF(M$3&lt;&gt;"",IF(貼り付け用!M139&lt;&gt;"",貼り付け用!M139,""),"")))</f>
        <v>#N/A</v>
      </c>
      <c r="N138" s="19" t="e">
        <f>IF(貼り付け用!$A$6&lt;&gt;"",
IF(ROW(N137)+2&gt;=MATCH("*【合計】*", 貼り付け用!$A:$A, 0),"",
IF(N$3&lt;&gt;"",IF(貼り付け用!N138&lt;&gt;"",貼り付け用!N138,""),"")),
IF(ROW(N138)+2&gt;=MATCH("*【合計】*", 貼り付け用!$A:$A, 0),"",
IF(N$3&lt;&gt;"",IF(貼り付け用!N139&lt;&gt;"",貼り付け用!N139,""),"")))</f>
        <v>#N/A</v>
      </c>
      <c r="O138" s="19" t="e">
        <f>IF(貼り付け用!$A$6&lt;&gt;"",
IF(ROW(O137)+2&gt;=MATCH("*【合計】*", 貼り付け用!$A:$A, 0),"",
IF(O$3&lt;&gt;"",IF(貼り付け用!O138&lt;&gt;"",貼り付け用!O138,""),"")),
IF(ROW(O138)+2&gt;=MATCH("*【合計】*", 貼り付け用!$A:$A, 0),"",
IF(O$3&lt;&gt;"",IF(貼り付け用!O139&lt;&gt;"",貼り付け用!O139,""),"")))</f>
        <v>#N/A</v>
      </c>
      <c r="P138" s="19" t="e">
        <f>IF(貼り付け用!$A$6&lt;&gt;"",
IF(ROW(P137)+2&gt;=MATCH("*【合計】*", 貼り付け用!$A:$A, 0),"",
IF(P$3&lt;&gt;"",IF(貼り付け用!P138&lt;&gt;"",貼り付け用!P138,""),"")),
IF(ROW(P138)+2&gt;=MATCH("*【合計】*", 貼り付け用!$A:$A, 0),"",
IF(P$3&lt;&gt;"",IF(貼り付け用!P139&lt;&gt;"",貼り付け用!P139,""),"")))</f>
        <v>#N/A</v>
      </c>
      <c r="Q138" s="19" t="e">
        <f>IF(貼り付け用!$A$6&lt;&gt;"",
IF(ROW(Q137)+2&gt;=MATCH("*【合計】*", 貼り付け用!$A:$A, 0),"",
IF(Q$3&lt;&gt;"",IF(貼り付け用!Q138&lt;&gt;"",貼り付け用!Q138,""),"")),
IF(ROW(Q138)+2&gt;=MATCH("*【合計】*", 貼り付け用!$A:$A, 0),"",
IF(Q$3&lt;&gt;"",IF(貼り付け用!Q139&lt;&gt;"",貼り付け用!Q139,""),"")))</f>
        <v>#N/A</v>
      </c>
      <c r="R138" s="19" t="e">
        <f>IF(貼り付け用!$A$6&lt;&gt;"",
IF(ROW(R137)+2&gt;=MATCH("*【合計】*", 貼り付け用!$A:$A, 0),"",
IF(R$3&lt;&gt;"",IF(貼り付け用!R138&lt;&gt;"",貼り付け用!R138,""),"")),
IF(ROW(R138)+2&gt;=MATCH("*【合計】*", 貼り付け用!$A:$A, 0),"",
IF(R$3&lt;&gt;"",IF(貼り付け用!R139&lt;&gt;"",貼り付け用!R139,""),"")))</f>
        <v>#N/A</v>
      </c>
      <c r="S138" s="19" t="e">
        <f>IF(貼り付け用!$A$6&lt;&gt;"",
IF(ROW(S137)+2&gt;=MATCH("*【合計】*", 貼り付け用!$A:$A, 0),"",
IF(S$3&lt;&gt;"",IF(貼り付け用!S138&lt;&gt;"",貼り付け用!S138,""),"")),
IF(ROW(S138)+2&gt;=MATCH("*【合計】*", 貼り付け用!$A:$A, 0),"",
IF(S$3&lt;&gt;"",IF(貼り付け用!S139&lt;&gt;"",貼り付け用!S139,""),"")))</f>
        <v>#N/A</v>
      </c>
      <c r="T138" s="19" t="e">
        <f t="array" ref="T138">IF(貼り付け用!$A$6&lt;&gt;"",
IF(INDEX(貼り付け用!A:Z, ROW(T137)+1, MATCH("おやつ", 貼り付け用!$A$3:$Z$3, 0))&lt;&gt;0,
INDEX(貼り付け用!A:Z, ROW(T137)+1, MATCH("おやつ", 貼り付け用!$A$3:$Z$3, 0)),""),
IF(INDEX(貼り付け用!A:Z, ROW(T138)+1, MATCH("おやつ", 貼り付け用!$A$3:$Z$3, 0))&lt;&gt;0,
INDEX(貼り付け用!A:Z, ROW(T138)+1, MATCH("おやつ", 貼り付け用!$A$3:$Z$3, 0)),""))</f>
        <v>#N/A</v>
      </c>
      <c r="U138" s="16"/>
      <c r="V138" s="5" t="e">
        <f t="array" ref="V138">IF(貼り付け用!$A$6&lt;&gt;"",
IF(INDEX(貼り付け用!A:Z, ROW(T137)+1, MATCH("おやつ", 貼り付け用!$A$3:$Z$3, 0)+1)&lt;&gt;0,
INDEX(貼り付け用!A:Z, ROW(T137)+1, MATCH("おやつ", 貼り付け用!$A$3:$Z$3, 0)+1),""),
IF(INDEX(貼り付け用!A:Z, ROW(T138)+1, MATCH("おやつ", 貼り付け用!$A$3:$Z$3, 0)+1)&lt;&gt;0,
INDEX(貼り付け用!A:Z, ROW(T138)+1, MATCH("おやつ", 貼り付け用!$A$3:$Z$3, 0)+1),""))</f>
        <v>#N/A</v>
      </c>
      <c r="W138" s="7" t="e">
        <f t="array" ref="W138">IF(貼り付け用!$A$6&lt;&gt;"",
IF(INDEX(貼り付け用!A:Z, ROW(T137)+1, MATCH("おやつ", 貼り付け用!$A$3:$Z$3, 0)+2)&lt;&gt;0,
INDEX(貼り付け用!A:Z, ROW(T137)+1, MATCH("おやつ", 貼り付け用!$A$3:$Z$3, 0)+2),""),
IF(INDEX(貼り付け用!A:Z, ROW(T138)+1, MATCH("おやつ", 貼り付け用!$A$3:$Z$3, 0)+2)&lt;&gt;0,
INDEX(貼り付け用!A:Z, ROW(T138)+1, MATCH("おやつ", 貼り付け用!$A$3:$Z$3, 0)+2),""))</f>
        <v>#N/A</v>
      </c>
    </row>
    <row r="139" spans="1:23" x14ac:dyDescent="0.45">
      <c r="A139" s="10" t="e">
        <f>IF(貼り付け用!$A$6&lt;&gt;"",
IF(ROW(A138)+1&gt;=MATCH("*10000*", 貼り付け用!$A:$A, 0),"",
IF(貼り付け用!A139&lt;&gt;"",貼り付け用!A139,"")),
IF(ROW(A139)+1&gt;=MATCH("*10000*", 貼り付け用!$A:$A, 0),"",
IF(貼り付け用!A140&lt;&gt;"",貼り付け用!A140,"")))</f>
        <v>#N/A</v>
      </c>
      <c r="B139" s="3" t="e">
        <f>IF(貼り付け用!$A$6&lt;&gt;"",
IF(ROW(B138)+2&gt;=MATCH("*【合計】*", 貼り付け用!$A:$A, 0),"",
IF(貼り付け用!B139&lt;&gt;"",貼り付け用!B139,"")),
IF(ROW(B139)+2&gt;=MATCH("*【合計】*", 貼り付け用!$A:$A, 0),"",
IF(貼り付け用!B140&lt;&gt;"",貼り付け用!B140,"")))</f>
        <v>#N/A</v>
      </c>
      <c r="C139" s="3" t="e">
        <f>IF(貼り付け用!$A$6&lt;&gt;"",
IF(ROW(C138)+2&gt;=MATCH("*【合計】*", 貼り付け用!$A:$A, 0),"",
IF(貼り付け用!C139&lt;&gt;"",貼り付け用!C139,"")),
IF(ROW(C139)+2&gt;=MATCH("*【合計】*", 貼り付け用!$A:$A, 0),"",
IF(貼り付け用!C140&lt;&gt;"",貼り付け用!C140,"")))</f>
        <v>#N/A</v>
      </c>
      <c r="D139" s="3" t="e">
        <f>IF(貼り付け用!$A$6&lt;&gt;"",
IF(ROW(D138)+2&gt;=MATCH("*【合計】*", 貼り付け用!$A:$A, 0),"",
IF(貼り付け用!D139&lt;&gt;"",貼り付け用!D139,"")),
IF(ROW(D139)+2&gt;=MATCH("*【合計】*", 貼り付け用!$A:$A, 0),"",
IF(貼り付け用!D140&lt;&gt;"",貼り付け用!D140,"")))</f>
        <v>#N/A</v>
      </c>
      <c r="E139" s="3" t="e">
        <f>IF(貼り付け用!$A$6&lt;&gt;"",
IF(ROW(E138)+2&gt;=MATCH("*【合計】*", 貼り付け用!$A:$A, 0),"",
IF(貼り付け用!E139&lt;&gt;"",貼り付け用!E139,"")),
IF(ROW(E139)+2&gt;=MATCH("*【合計】*", 貼り付け用!$A:$A, 0),"",
IF(貼り付け用!E140&lt;&gt;"",貼り付け用!E140,"")))</f>
        <v>#N/A</v>
      </c>
      <c r="F139" s="3" t="e">
        <f>IF(貼り付け用!$A$6&lt;&gt;"",
IF(ROW(F138)+2&gt;=MATCH("*【合計】*", 貼り付け用!$A:$A, 0),"",
IF(貼り付け用!F139&lt;&gt;"",貼り付け用!F139,"")),
IF(ROW(F139)+2&gt;=MATCH("*【合計】*", 貼り付け用!$A:$A, 0),"",
IF(貼り付け用!F140&lt;&gt;"",貼り付け用!F140,"")))</f>
        <v>#N/A</v>
      </c>
      <c r="G139" s="3" t="e">
        <f>IF(貼り付け用!$A$6&lt;&gt;"",
IF(ROW(G138)+2&gt;=MATCH("*【合計】*", 貼り付け用!$A:$A, 0),"",
IF(貼り付け用!G139&lt;&gt;"",貼り付け用!G139,"")),
IF(ROW(G139)+2&gt;=MATCH("*【合計】*", 貼り付け用!$A:$A, 0),"",
IF(貼り付け用!G140&lt;&gt;"",貼り付け用!G140,"")))</f>
        <v>#N/A</v>
      </c>
      <c r="H139" s="3" t="e">
        <f>IF(貼り付け用!$A$6&lt;&gt;"",
IF(ROW(H138)+2&gt;=MATCH("*【合計】*", 貼り付け用!$A:$A, 0),"",
IF(貼り付け用!H139&lt;&gt;"",貼り付け用!H139,"")),
IF(ROW(H139)+2&gt;=MATCH("*【合計】*", 貼り付け用!$A:$A, 0),"",
IF(貼り付け用!H140&lt;&gt;"",貼り付け用!H140,"")))</f>
        <v>#N/A</v>
      </c>
      <c r="I139" s="3" t="e">
        <f>IF(貼り付け用!$A$6&lt;&gt;"",
IF(ROW(I138)+2&gt;=MATCH("*【合計】*", 貼り付け用!$A:$A, 0),"",
IF(貼り付け用!I139&lt;&gt;"",貼り付け用!I139,"")),
IF(ROW(I139)+2&gt;=MATCH("*【合計】*", 貼り付け用!$A:$A, 0),"",
IF(貼り付け用!I140&lt;&gt;"",貼り付け用!I140,"")))</f>
        <v>#N/A</v>
      </c>
      <c r="J139" s="3" t="e">
        <f>IF(貼り付け用!$A$6&lt;&gt;"",
IF(ROW(J138)+2&gt;=MATCH("*【合計】*", 貼り付け用!$A:$A, 0),"",
IF(貼り付け用!J139&lt;&gt;"",貼り付け用!J139,"")),
IF(ROW(J139)+2&gt;=MATCH("*【合計】*", 貼り付け用!$A:$A, 0),"",
IF(貼り付け用!J140&lt;&gt;"",貼り付け用!J140,"")))</f>
        <v>#N/A</v>
      </c>
      <c r="K139" s="3" t="e">
        <f>IF(貼り付け用!$A$6&lt;&gt;"",
IF(ROW(K138)+2&gt;=MATCH("*【合計】*", 貼り付け用!$A:$A, 0),"",
IF(貼り付け用!K139&lt;&gt;"",貼り付け用!K139,"")),
IF(ROW(K139)+2&gt;=MATCH("*【合計】*", 貼り付け用!$A:$A, 0),"",
IF(貼り付け用!K140&lt;&gt;"",貼り付け用!K140,"")))</f>
        <v>#N/A</v>
      </c>
      <c r="L139" s="3" t="e">
        <f>IF(貼り付け用!$A$6&lt;&gt;"",
IF(ROW(L138)+2&gt;=MATCH("*【合計】*", 貼り付け用!$A:$A, 0),"",
IF(L$3&lt;&gt;"",IF(貼り付け用!L139&lt;&gt;"",貼り付け用!L139,""),"")),
IF(ROW(L139)+2&gt;=MATCH("*【合計】*", 貼り付け用!$A:$A, 0),"",
IF(L$3&lt;&gt;"",IF(貼り付け用!L140&lt;&gt;"",貼り付け用!L140,""),"")))</f>
        <v>#N/A</v>
      </c>
      <c r="M139" s="3" t="e">
        <f>IF(貼り付け用!$A$6&lt;&gt;"",
IF(ROW(M138)+2&gt;=MATCH("*【合計】*", 貼り付け用!$A:$A, 0),"",
IF(M$3&lt;&gt;"",IF(貼り付け用!M139&lt;&gt;"",貼り付け用!M139,""),"")),
IF(ROW(M139)+2&gt;=MATCH("*【合計】*", 貼り付け用!$A:$A, 0),"",
IF(M$3&lt;&gt;"",IF(貼り付け用!M140&lt;&gt;"",貼り付け用!M140,""),"")))</f>
        <v>#N/A</v>
      </c>
      <c r="N139" s="3" t="e">
        <f>IF(貼り付け用!$A$6&lt;&gt;"",
IF(ROW(N138)+2&gt;=MATCH("*【合計】*", 貼り付け用!$A:$A, 0),"",
IF(N$3&lt;&gt;"",IF(貼り付け用!N139&lt;&gt;"",貼り付け用!N139,""),"")),
IF(ROW(N139)+2&gt;=MATCH("*【合計】*", 貼り付け用!$A:$A, 0),"",
IF(N$3&lt;&gt;"",IF(貼り付け用!N140&lt;&gt;"",貼り付け用!N140,""),"")))</f>
        <v>#N/A</v>
      </c>
      <c r="O139" s="3" t="e">
        <f>IF(貼り付け用!$A$6&lt;&gt;"",
IF(ROW(O138)+2&gt;=MATCH("*【合計】*", 貼り付け用!$A:$A, 0),"",
IF(O$3&lt;&gt;"",IF(貼り付け用!O139&lt;&gt;"",貼り付け用!O139,""),"")),
IF(ROW(O139)+2&gt;=MATCH("*【合計】*", 貼り付け用!$A:$A, 0),"",
IF(O$3&lt;&gt;"",IF(貼り付け用!O140&lt;&gt;"",貼り付け用!O140,""),"")))</f>
        <v>#N/A</v>
      </c>
      <c r="P139" s="3" t="e">
        <f>IF(貼り付け用!$A$6&lt;&gt;"",
IF(ROW(P138)+2&gt;=MATCH("*【合計】*", 貼り付け用!$A:$A, 0),"",
IF(P$3&lt;&gt;"",IF(貼り付け用!P139&lt;&gt;"",貼り付け用!P139,""),"")),
IF(ROW(P139)+2&gt;=MATCH("*【合計】*", 貼り付け用!$A:$A, 0),"",
IF(P$3&lt;&gt;"",IF(貼り付け用!P140&lt;&gt;"",貼り付け用!P140,""),"")))</f>
        <v>#N/A</v>
      </c>
      <c r="Q139" s="3" t="e">
        <f>IF(貼り付け用!$A$6&lt;&gt;"",
IF(ROW(Q138)+2&gt;=MATCH("*【合計】*", 貼り付け用!$A:$A, 0),"",
IF(Q$3&lt;&gt;"",IF(貼り付け用!Q139&lt;&gt;"",貼り付け用!Q139,""),"")),
IF(ROW(Q139)+2&gt;=MATCH("*【合計】*", 貼り付け用!$A:$A, 0),"",
IF(Q$3&lt;&gt;"",IF(貼り付け用!Q140&lt;&gt;"",貼り付け用!Q140,""),"")))</f>
        <v>#N/A</v>
      </c>
      <c r="R139" s="3" t="e">
        <f>IF(貼り付け用!$A$6&lt;&gt;"",
IF(ROW(R138)+2&gt;=MATCH("*【合計】*", 貼り付け用!$A:$A, 0),"",
IF(R$3&lt;&gt;"",IF(貼り付け用!R139&lt;&gt;"",貼り付け用!R139,""),"")),
IF(ROW(R139)+2&gt;=MATCH("*【合計】*", 貼り付け用!$A:$A, 0),"",
IF(R$3&lt;&gt;"",IF(貼り付け用!R140&lt;&gt;"",貼り付け用!R140,""),"")))</f>
        <v>#N/A</v>
      </c>
      <c r="S139" s="3" t="e">
        <f>IF(貼り付け用!$A$6&lt;&gt;"",
IF(ROW(S138)+2&gt;=MATCH("*【合計】*", 貼り付け用!$A:$A, 0),"",
IF(S$3&lt;&gt;"",IF(貼り付け用!S139&lt;&gt;"",貼り付け用!S139,""),"")),
IF(ROW(S139)+2&gt;=MATCH("*【合計】*", 貼り付け用!$A:$A, 0),"",
IF(S$3&lt;&gt;"",IF(貼り付け用!S140&lt;&gt;"",貼り付け用!S140,""),"")))</f>
        <v>#N/A</v>
      </c>
      <c r="T139" s="2" t="e">
        <f t="array" ref="T139">IF(貼り付け用!$A$6&lt;&gt;"",
IF(INDEX(貼り付け用!A:Z, ROW(T138)+1, MATCH("おやつ", 貼り付け用!$A$3:$Z$3, 0))&lt;&gt;0,
INDEX(貼り付け用!A:Z, ROW(T138)+1, MATCH("おやつ", 貼り付け用!$A$3:$Z$3, 0)),""),
IF(INDEX(貼り付け用!A:Z, ROW(T139)+1, MATCH("おやつ", 貼り付け用!$A$3:$Z$3, 0))&lt;&gt;0,
INDEX(貼り付け用!A:Z, ROW(T139)+1, MATCH("おやつ", 貼り付け用!$A$3:$Z$3, 0)),""))</f>
        <v>#N/A</v>
      </c>
      <c r="U139" s="52"/>
      <c r="V139" s="8" t="e">
        <f t="array" ref="V139">IF(貼り付け用!$A$6&lt;&gt;"",
IF(INDEX(貼り付け用!A:Z, ROW(T138)+1, MATCH("おやつ", 貼り付け用!$A$3:$Z$3, 0)+1)&lt;&gt;0,
INDEX(貼り付け用!A:Z, ROW(T138)+1, MATCH("おやつ", 貼り付け用!$A$3:$Z$3, 0)+1),""),
IF(INDEX(貼り付け用!A:Z, ROW(T139)+1, MATCH("おやつ", 貼り付け用!$A$3:$Z$3, 0)+1)&lt;&gt;0,
INDEX(貼り付け用!A:Z, ROW(T139)+1, MATCH("おやつ", 貼り付け用!$A$3:$Z$3, 0)+1),""))</f>
        <v>#N/A</v>
      </c>
      <c r="W139" s="9" t="e">
        <f t="array" ref="W139">IF(貼り付け用!$A$6&lt;&gt;"",
IF(INDEX(貼り付け用!A:Z, ROW(T138)+1, MATCH("おやつ", 貼り付け用!$A$3:$Z$3, 0)+2)&lt;&gt;0,
INDEX(貼り付け用!A:Z, ROW(T138)+1, MATCH("おやつ", 貼り付け用!$A$3:$Z$3, 0)+2),""),
IF(INDEX(貼り付け用!A:Z, ROW(T139)+1, MATCH("おやつ", 貼り付け用!$A$3:$Z$3, 0)+2)&lt;&gt;0,
INDEX(貼り付け用!A:Z, ROW(T139)+1, MATCH("おやつ", 貼り付け用!$A$3:$Z$3, 0)+2),""))</f>
        <v>#N/A</v>
      </c>
    </row>
    <row r="140" spans="1:23" x14ac:dyDescent="0.45">
      <c r="A140" s="4" t="e">
        <f>IF(貼り付け用!$A$6&lt;&gt;"",
IF(ROW(A139)+1&gt;=MATCH("*10000*", 貼り付け用!$A:$A, 0),
IF(COUNTIF(A138,"*10000*"),"10001",
IF(COUNTIF(A138,"*10001*"),"10002",
IF(COUNTIF(A138,"*10002*"),"",
IF(COUNTIF(A138,""),"","10000")))),
IF(貼り付け用!A140&lt;&gt;"",貼り付け用!A140,"")),
IF(ROW(A140)+1&gt;=MATCH("*10000*", 貼り付け用!$A:$A, 0),
IF(COUNTIF(A138,"*10000*"),"10001",
IF(COUNTIF(A138,"*10001*"),"10002",
IF(COUNTIF(A138,"*10002*"),"",
IF(COUNTIF(A138,""),"","10000")))),
IF(貼り付け用!A141&lt;&gt;"",貼り付け用!A141,"")))</f>
        <v>#N/A</v>
      </c>
      <c r="B140" s="19" t="e">
        <f>IF(貼り付け用!$A$6&lt;&gt;"",
IF(ROW(B139)+2&gt;=MATCH("*【合計】*", 貼り付け用!$A:$A, 0),"",
IF(貼り付け用!B140&lt;&gt;"",貼り付け用!B140,"")),
IF(ROW(B140)+2&gt;=MATCH("*【合計】*", 貼り付け用!$A:$A, 0),"",
IF(貼り付け用!B141&lt;&gt;"",貼り付け用!B141,"")))</f>
        <v>#N/A</v>
      </c>
      <c r="C140" s="19" t="e">
        <f>IF(貼り付け用!$A$6&lt;&gt;"",
IF(ROW(C139)+2&gt;=MATCH("*【合計】*", 貼り付け用!$A:$A, 0),"",
IF(貼り付け用!C140&lt;&gt;"",貼り付け用!C140,"")),
IF(ROW(C140)+2&gt;=MATCH("*【合計】*", 貼り付け用!$A:$A, 0),"",
IF(貼り付け用!C141&lt;&gt;"",貼り付け用!C141,"")))</f>
        <v>#N/A</v>
      </c>
      <c r="D140" s="19" t="e">
        <f>IF(貼り付け用!$A$6&lt;&gt;"",
IF(ROW(D139)+2&gt;=MATCH("*【合計】*", 貼り付け用!$A:$A, 0),"",
IF(貼り付け用!D140&lt;&gt;"",貼り付け用!D140,"")),
IF(ROW(D140)+2&gt;=MATCH("*【合計】*", 貼り付け用!$A:$A, 0),"",
IF(貼り付け用!D141&lt;&gt;"",貼り付け用!D141,"")))</f>
        <v>#N/A</v>
      </c>
      <c r="E140" s="19" t="e">
        <f>IF(貼り付け用!$A$6&lt;&gt;"",
IF(ROW(E139)+2&gt;=MATCH("*【合計】*", 貼り付け用!$A:$A, 0),"",
IF(貼り付け用!E140&lt;&gt;"",貼り付け用!E140,"")),
IF(ROW(E140)+2&gt;=MATCH("*【合計】*", 貼り付け用!$A:$A, 0),"",
IF(貼り付け用!E141&lt;&gt;"",貼り付け用!E141,"")))</f>
        <v>#N/A</v>
      </c>
      <c r="F140" s="19" t="e">
        <f>IF(貼り付け用!$A$6&lt;&gt;"",
IF(ROW(F139)+2&gt;=MATCH("*【合計】*", 貼り付け用!$A:$A, 0),"",
IF(貼り付け用!F140&lt;&gt;"",貼り付け用!F140,"")),
IF(ROW(F140)+2&gt;=MATCH("*【合計】*", 貼り付け用!$A:$A, 0),"",
IF(貼り付け用!F141&lt;&gt;"",貼り付け用!F141,"")))</f>
        <v>#N/A</v>
      </c>
      <c r="G140" s="19" t="e">
        <f>IF(貼り付け用!$A$6&lt;&gt;"",
IF(ROW(G139)+2&gt;=MATCH("*【合計】*", 貼り付け用!$A:$A, 0),"",
IF(貼り付け用!G140&lt;&gt;"",貼り付け用!G140,"")),
IF(ROW(G140)+2&gt;=MATCH("*【合計】*", 貼り付け用!$A:$A, 0),"",
IF(貼り付け用!G141&lt;&gt;"",貼り付け用!G141,"")))</f>
        <v>#N/A</v>
      </c>
      <c r="H140" s="19" t="e">
        <f>IF(貼り付け用!$A$6&lt;&gt;"",
IF(ROW(H139)+2&gt;=MATCH("*【合計】*", 貼り付け用!$A:$A, 0),"",
IF(貼り付け用!H140&lt;&gt;"",貼り付け用!H140,"")),
IF(ROW(H140)+2&gt;=MATCH("*【合計】*", 貼り付け用!$A:$A, 0),"",
IF(貼り付け用!H141&lt;&gt;"",貼り付け用!H141,"")))</f>
        <v>#N/A</v>
      </c>
      <c r="I140" s="19" t="e">
        <f>IF(貼り付け用!$A$6&lt;&gt;"",
IF(ROW(I139)+2&gt;=MATCH("*【合計】*", 貼り付け用!$A:$A, 0),"",
IF(貼り付け用!I140&lt;&gt;"",貼り付け用!I140,"")),
IF(ROW(I140)+2&gt;=MATCH("*【合計】*", 貼り付け用!$A:$A, 0),"",
IF(貼り付け用!I141&lt;&gt;"",貼り付け用!I141,"")))</f>
        <v>#N/A</v>
      </c>
      <c r="J140" s="19" t="e">
        <f>IF(貼り付け用!$A$6&lt;&gt;"",
IF(ROW(J139)+2&gt;=MATCH("*【合計】*", 貼り付け用!$A:$A, 0),"",
IF(貼り付け用!J140&lt;&gt;"",貼り付け用!J140,"")),
IF(ROW(J140)+2&gt;=MATCH("*【合計】*", 貼り付け用!$A:$A, 0),"",
IF(貼り付け用!J141&lt;&gt;"",貼り付け用!J141,"")))</f>
        <v>#N/A</v>
      </c>
      <c r="K140" s="19" t="e">
        <f>IF(貼り付け用!$A$6&lt;&gt;"",
IF(ROW(K139)+2&gt;=MATCH("*【合計】*", 貼り付け用!$A:$A, 0),"",
IF(貼り付け用!K140&lt;&gt;"",貼り付け用!K140,"")),
IF(ROW(K140)+2&gt;=MATCH("*【合計】*", 貼り付け用!$A:$A, 0),"",
IF(貼り付け用!K141&lt;&gt;"",貼り付け用!K141,"")))</f>
        <v>#N/A</v>
      </c>
      <c r="L140" s="19" t="e">
        <f>IF(貼り付け用!$A$6&lt;&gt;"",
IF(ROW(L139)+2&gt;=MATCH("*【合計】*", 貼り付け用!$A:$A, 0),"",
IF(L$3&lt;&gt;"",IF(貼り付け用!L140&lt;&gt;"",貼り付け用!L140,""),"")),
IF(ROW(L140)+2&gt;=MATCH("*【合計】*", 貼り付け用!$A:$A, 0),"",
IF(L$3&lt;&gt;"",IF(貼り付け用!L141&lt;&gt;"",貼り付け用!L141,""),"")))</f>
        <v>#N/A</v>
      </c>
      <c r="M140" s="19" t="e">
        <f>IF(貼り付け用!$A$6&lt;&gt;"",
IF(ROW(M139)+2&gt;=MATCH("*【合計】*", 貼り付け用!$A:$A, 0),"",
IF(M$3&lt;&gt;"",IF(貼り付け用!M140&lt;&gt;"",貼り付け用!M140,""),"")),
IF(ROW(M140)+2&gt;=MATCH("*【合計】*", 貼り付け用!$A:$A, 0),"",
IF(M$3&lt;&gt;"",IF(貼り付け用!M141&lt;&gt;"",貼り付け用!M141,""),"")))</f>
        <v>#N/A</v>
      </c>
      <c r="N140" s="19" t="e">
        <f>IF(貼り付け用!$A$6&lt;&gt;"",
IF(ROW(N139)+2&gt;=MATCH("*【合計】*", 貼り付け用!$A:$A, 0),"",
IF(N$3&lt;&gt;"",IF(貼り付け用!N140&lt;&gt;"",貼り付け用!N140,""),"")),
IF(ROW(N140)+2&gt;=MATCH("*【合計】*", 貼り付け用!$A:$A, 0),"",
IF(N$3&lt;&gt;"",IF(貼り付け用!N141&lt;&gt;"",貼り付け用!N141,""),"")))</f>
        <v>#N/A</v>
      </c>
      <c r="O140" s="19" t="e">
        <f>IF(貼り付け用!$A$6&lt;&gt;"",
IF(ROW(O139)+2&gt;=MATCH("*【合計】*", 貼り付け用!$A:$A, 0),"",
IF(O$3&lt;&gt;"",IF(貼り付け用!O140&lt;&gt;"",貼り付け用!O140,""),"")),
IF(ROW(O140)+2&gt;=MATCH("*【合計】*", 貼り付け用!$A:$A, 0),"",
IF(O$3&lt;&gt;"",IF(貼り付け用!O141&lt;&gt;"",貼り付け用!O141,""),"")))</f>
        <v>#N/A</v>
      </c>
      <c r="P140" s="19" t="e">
        <f>IF(貼り付け用!$A$6&lt;&gt;"",
IF(ROW(P139)+2&gt;=MATCH("*【合計】*", 貼り付け用!$A:$A, 0),"",
IF(P$3&lt;&gt;"",IF(貼り付け用!P140&lt;&gt;"",貼り付け用!P140,""),"")),
IF(ROW(P140)+2&gt;=MATCH("*【合計】*", 貼り付け用!$A:$A, 0),"",
IF(P$3&lt;&gt;"",IF(貼り付け用!P141&lt;&gt;"",貼り付け用!P141,""),"")))</f>
        <v>#N/A</v>
      </c>
      <c r="Q140" s="19" t="e">
        <f>IF(貼り付け用!$A$6&lt;&gt;"",
IF(ROW(Q139)+2&gt;=MATCH("*【合計】*", 貼り付け用!$A:$A, 0),"",
IF(Q$3&lt;&gt;"",IF(貼り付け用!Q140&lt;&gt;"",貼り付け用!Q140,""),"")),
IF(ROW(Q140)+2&gt;=MATCH("*【合計】*", 貼り付け用!$A:$A, 0),"",
IF(Q$3&lt;&gt;"",IF(貼り付け用!Q141&lt;&gt;"",貼り付け用!Q141,""),"")))</f>
        <v>#N/A</v>
      </c>
      <c r="R140" s="19" t="e">
        <f>IF(貼り付け用!$A$6&lt;&gt;"",
IF(ROW(R139)+2&gt;=MATCH("*【合計】*", 貼り付け用!$A:$A, 0),"",
IF(R$3&lt;&gt;"",IF(貼り付け用!R140&lt;&gt;"",貼り付け用!R140,""),"")),
IF(ROW(R140)+2&gt;=MATCH("*【合計】*", 貼り付け用!$A:$A, 0),"",
IF(R$3&lt;&gt;"",IF(貼り付け用!R141&lt;&gt;"",貼り付け用!R141,""),"")))</f>
        <v>#N/A</v>
      </c>
      <c r="S140" s="19" t="e">
        <f>IF(貼り付け用!$A$6&lt;&gt;"",
IF(ROW(S139)+2&gt;=MATCH("*【合計】*", 貼り付け用!$A:$A, 0),"",
IF(S$3&lt;&gt;"",IF(貼り付け用!S140&lt;&gt;"",貼り付け用!S140,""),"")),
IF(ROW(S140)+2&gt;=MATCH("*【合計】*", 貼り付け用!$A:$A, 0),"",
IF(S$3&lt;&gt;"",IF(貼り付け用!S141&lt;&gt;"",貼り付け用!S141,""),"")))</f>
        <v>#N/A</v>
      </c>
      <c r="T140" s="19" t="e">
        <f t="array" ref="T140">IF(貼り付け用!$A$6&lt;&gt;"",
IF(INDEX(貼り付け用!A:Z, ROW(T139)+1, MATCH("おやつ", 貼り付け用!$A$3:$Z$3, 0))&lt;&gt;0,
INDEX(貼り付け用!A:Z, ROW(T139)+1, MATCH("おやつ", 貼り付け用!$A$3:$Z$3, 0)),""),
IF(INDEX(貼り付け用!A:Z, ROW(T140)+1, MATCH("おやつ", 貼り付け用!$A$3:$Z$3, 0))&lt;&gt;0,
INDEX(貼り付け用!A:Z, ROW(T140)+1, MATCH("おやつ", 貼り付け用!$A$3:$Z$3, 0)),""))</f>
        <v>#N/A</v>
      </c>
      <c r="U140" s="16"/>
      <c r="V140" s="5" t="e">
        <f t="array" ref="V140">IF(貼り付け用!$A$6&lt;&gt;"",
IF(INDEX(貼り付け用!A:Z, ROW(T139)+1, MATCH("おやつ", 貼り付け用!$A$3:$Z$3, 0)+1)&lt;&gt;0,
INDEX(貼り付け用!A:Z, ROW(T139)+1, MATCH("おやつ", 貼り付け用!$A$3:$Z$3, 0)+1),""),
IF(INDEX(貼り付け用!A:Z, ROW(T140)+1, MATCH("おやつ", 貼り付け用!$A$3:$Z$3, 0)+1)&lt;&gt;0,
INDEX(貼り付け用!A:Z, ROW(T140)+1, MATCH("おやつ", 貼り付け用!$A$3:$Z$3, 0)+1),""))</f>
        <v>#N/A</v>
      </c>
      <c r="W140" s="7" t="e">
        <f t="array" ref="W140">IF(貼り付け用!$A$6&lt;&gt;"",
IF(INDEX(貼り付け用!A:Z, ROW(T139)+1, MATCH("おやつ", 貼り付け用!$A$3:$Z$3, 0)+2)&lt;&gt;0,
INDEX(貼り付け用!A:Z, ROW(T139)+1, MATCH("おやつ", 貼り付け用!$A$3:$Z$3, 0)+2),""),
IF(INDEX(貼り付け用!A:Z, ROW(T140)+1, MATCH("おやつ", 貼り付け用!$A$3:$Z$3, 0)+2)&lt;&gt;0,
INDEX(貼り付け用!A:Z, ROW(T140)+1, MATCH("おやつ", 貼り付け用!$A$3:$Z$3, 0)+2),""))</f>
        <v>#N/A</v>
      </c>
    </row>
    <row r="141" spans="1:23" x14ac:dyDescent="0.45">
      <c r="A141" s="10" t="e">
        <f>IF(貼り付け用!$A$6&lt;&gt;"",
IF(ROW(A140)+1&gt;=MATCH("*10000*", 貼り付け用!$A:$A, 0),"",
IF(貼り付け用!A141&lt;&gt;"",貼り付け用!A141,"")),
IF(ROW(A141)+1&gt;=MATCH("*10000*", 貼り付け用!$A:$A, 0),"",
IF(貼り付け用!A142&lt;&gt;"",貼り付け用!A142,"")))</f>
        <v>#N/A</v>
      </c>
      <c r="B141" s="3" t="e">
        <f>IF(貼り付け用!$A$6&lt;&gt;"",
IF(ROW(B140)+2&gt;=MATCH("*【合計】*", 貼り付け用!$A:$A, 0),"",
IF(貼り付け用!B141&lt;&gt;"",貼り付け用!B141,"")),
IF(ROW(B141)+2&gt;=MATCH("*【合計】*", 貼り付け用!$A:$A, 0),"",
IF(貼り付け用!B142&lt;&gt;"",貼り付け用!B142,"")))</f>
        <v>#N/A</v>
      </c>
      <c r="C141" s="3" t="e">
        <f>IF(貼り付け用!$A$6&lt;&gt;"",
IF(ROW(C140)+2&gt;=MATCH("*【合計】*", 貼り付け用!$A:$A, 0),"",
IF(貼り付け用!C141&lt;&gt;"",貼り付け用!C141,"")),
IF(ROW(C141)+2&gt;=MATCH("*【合計】*", 貼り付け用!$A:$A, 0),"",
IF(貼り付け用!C142&lt;&gt;"",貼り付け用!C142,"")))</f>
        <v>#N/A</v>
      </c>
      <c r="D141" s="3" t="e">
        <f>IF(貼り付け用!$A$6&lt;&gt;"",
IF(ROW(D140)+2&gt;=MATCH("*【合計】*", 貼り付け用!$A:$A, 0),"",
IF(貼り付け用!D141&lt;&gt;"",貼り付け用!D141,"")),
IF(ROW(D141)+2&gt;=MATCH("*【合計】*", 貼り付け用!$A:$A, 0),"",
IF(貼り付け用!D142&lt;&gt;"",貼り付け用!D142,"")))</f>
        <v>#N/A</v>
      </c>
      <c r="E141" s="3" t="e">
        <f>IF(貼り付け用!$A$6&lt;&gt;"",
IF(ROW(E140)+2&gt;=MATCH("*【合計】*", 貼り付け用!$A:$A, 0),"",
IF(貼り付け用!E141&lt;&gt;"",貼り付け用!E141,"")),
IF(ROW(E141)+2&gt;=MATCH("*【合計】*", 貼り付け用!$A:$A, 0),"",
IF(貼り付け用!E142&lt;&gt;"",貼り付け用!E142,"")))</f>
        <v>#N/A</v>
      </c>
      <c r="F141" s="3" t="e">
        <f>IF(貼り付け用!$A$6&lt;&gt;"",
IF(ROW(F140)+2&gt;=MATCH("*【合計】*", 貼り付け用!$A:$A, 0),"",
IF(貼り付け用!F141&lt;&gt;"",貼り付け用!F141,"")),
IF(ROW(F141)+2&gt;=MATCH("*【合計】*", 貼り付け用!$A:$A, 0),"",
IF(貼り付け用!F142&lt;&gt;"",貼り付け用!F142,"")))</f>
        <v>#N/A</v>
      </c>
      <c r="G141" s="3" t="e">
        <f>IF(貼り付け用!$A$6&lt;&gt;"",
IF(ROW(G140)+2&gt;=MATCH("*【合計】*", 貼り付け用!$A:$A, 0),"",
IF(貼り付け用!G141&lt;&gt;"",貼り付け用!G141,"")),
IF(ROW(G141)+2&gt;=MATCH("*【合計】*", 貼り付け用!$A:$A, 0),"",
IF(貼り付け用!G142&lt;&gt;"",貼り付け用!G142,"")))</f>
        <v>#N/A</v>
      </c>
      <c r="H141" s="3" t="e">
        <f>IF(貼り付け用!$A$6&lt;&gt;"",
IF(ROW(H140)+2&gt;=MATCH("*【合計】*", 貼り付け用!$A:$A, 0),"",
IF(貼り付け用!H141&lt;&gt;"",貼り付け用!H141,"")),
IF(ROW(H141)+2&gt;=MATCH("*【合計】*", 貼り付け用!$A:$A, 0),"",
IF(貼り付け用!H142&lt;&gt;"",貼り付け用!H142,"")))</f>
        <v>#N/A</v>
      </c>
      <c r="I141" s="3" t="e">
        <f>IF(貼り付け用!$A$6&lt;&gt;"",
IF(ROW(I140)+2&gt;=MATCH("*【合計】*", 貼り付け用!$A:$A, 0),"",
IF(貼り付け用!I141&lt;&gt;"",貼り付け用!I141,"")),
IF(ROW(I141)+2&gt;=MATCH("*【合計】*", 貼り付け用!$A:$A, 0),"",
IF(貼り付け用!I142&lt;&gt;"",貼り付け用!I142,"")))</f>
        <v>#N/A</v>
      </c>
      <c r="J141" s="3" t="e">
        <f>IF(貼り付け用!$A$6&lt;&gt;"",
IF(ROW(J140)+2&gt;=MATCH("*【合計】*", 貼り付け用!$A:$A, 0),"",
IF(貼り付け用!J141&lt;&gt;"",貼り付け用!J141,"")),
IF(ROW(J141)+2&gt;=MATCH("*【合計】*", 貼り付け用!$A:$A, 0),"",
IF(貼り付け用!J142&lt;&gt;"",貼り付け用!J142,"")))</f>
        <v>#N/A</v>
      </c>
      <c r="K141" s="3" t="e">
        <f>IF(貼り付け用!$A$6&lt;&gt;"",
IF(ROW(K140)+2&gt;=MATCH("*【合計】*", 貼り付け用!$A:$A, 0),"",
IF(貼り付け用!K141&lt;&gt;"",貼り付け用!K141,"")),
IF(ROW(K141)+2&gt;=MATCH("*【合計】*", 貼り付け用!$A:$A, 0),"",
IF(貼り付け用!K142&lt;&gt;"",貼り付け用!K142,"")))</f>
        <v>#N/A</v>
      </c>
      <c r="L141" s="3" t="e">
        <f>IF(貼り付け用!$A$6&lt;&gt;"",
IF(ROW(L140)+2&gt;=MATCH("*【合計】*", 貼り付け用!$A:$A, 0),"",
IF(L$3&lt;&gt;"",IF(貼り付け用!L141&lt;&gt;"",貼り付け用!L141,""),"")),
IF(ROW(L141)+2&gt;=MATCH("*【合計】*", 貼り付け用!$A:$A, 0),"",
IF(L$3&lt;&gt;"",IF(貼り付け用!L142&lt;&gt;"",貼り付け用!L142,""),"")))</f>
        <v>#N/A</v>
      </c>
      <c r="M141" s="3" t="e">
        <f>IF(貼り付け用!$A$6&lt;&gt;"",
IF(ROW(M140)+2&gt;=MATCH("*【合計】*", 貼り付け用!$A:$A, 0),"",
IF(M$3&lt;&gt;"",IF(貼り付け用!M141&lt;&gt;"",貼り付け用!M141,""),"")),
IF(ROW(M141)+2&gt;=MATCH("*【合計】*", 貼り付け用!$A:$A, 0),"",
IF(M$3&lt;&gt;"",IF(貼り付け用!M142&lt;&gt;"",貼り付け用!M142,""),"")))</f>
        <v>#N/A</v>
      </c>
      <c r="N141" s="3" t="e">
        <f>IF(貼り付け用!$A$6&lt;&gt;"",
IF(ROW(N140)+2&gt;=MATCH("*【合計】*", 貼り付け用!$A:$A, 0),"",
IF(N$3&lt;&gt;"",IF(貼り付け用!N141&lt;&gt;"",貼り付け用!N141,""),"")),
IF(ROW(N141)+2&gt;=MATCH("*【合計】*", 貼り付け用!$A:$A, 0),"",
IF(N$3&lt;&gt;"",IF(貼り付け用!N142&lt;&gt;"",貼り付け用!N142,""),"")))</f>
        <v>#N/A</v>
      </c>
      <c r="O141" s="3" t="e">
        <f>IF(貼り付け用!$A$6&lt;&gt;"",
IF(ROW(O140)+2&gt;=MATCH("*【合計】*", 貼り付け用!$A:$A, 0),"",
IF(O$3&lt;&gt;"",IF(貼り付け用!O141&lt;&gt;"",貼り付け用!O141,""),"")),
IF(ROW(O141)+2&gt;=MATCH("*【合計】*", 貼り付け用!$A:$A, 0),"",
IF(O$3&lt;&gt;"",IF(貼り付け用!O142&lt;&gt;"",貼り付け用!O142,""),"")))</f>
        <v>#N/A</v>
      </c>
      <c r="P141" s="3" t="e">
        <f>IF(貼り付け用!$A$6&lt;&gt;"",
IF(ROW(P140)+2&gt;=MATCH("*【合計】*", 貼り付け用!$A:$A, 0),"",
IF(P$3&lt;&gt;"",IF(貼り付け用!P141&lt;&gt;"",貼り付け用!P141,""),"")),
IF(ROW(P141)+2&gt;=MATCH("*【合計】*", 貼り付け用!$A:$A, 0),"",
IF(P$3&lt;&gt;"",IF(貼り付け用!P142&lt;&gt;"",貼り付け用!P142,""),"")))</f>
        <v>#N/A</v>
      </c>
      <c r="Q141" s="3" t="e">
        <f>IF(貼り付け用!$A$6&lt;&gt;"",
IF(ROW(Q140)+2&gt;=MATCH("*【合計】*", 貼り付け用!$A:$A, 0),"",
IF(Q$3&lt;&gt;"",IF(貼り付け用!Q141&lt;&gt;"",貼り付け用!Q141,""),"")),
IF(ROW(Q141)+2&gt;=MATCH("*【合計】*", 貼り付け用!$A:$A, 0),"",
IF(Q$3&lt;&gt;"",IF(貼り付け用!Q142&lt;&gt;"",貼り付け用!Q142,""),"")))</f>
        <v>#N/A</v>
      </c>
      <c r="R141" s="3" t="e">
        <f>IF(貼り付け用!$A$6&lt;&gt;"",
IF(ROW(R140)+2&gt;=MATCH("*【合計】*", 貼り付け用!$A:$A, 0),"",
IF(R$3&lt;&gt;"",IF(貼り付け用!R141&lt;&gt;"",貼り付け用!R141,""),"")),
IF(ROW(R141)+2&gt;=MATCH("*【合計】*", 貼り付け用!$A:$A, 0),"",
IF(R$3&lt;&gt;"",IF(貼り付け用!R142&lt;&gt;"",貼り付け用!R142,""),"")))</f>
        <v>#N/A</v>
      </c>
      <c r="S141" s="3" t="e">
        <f>IF(貼り付け用!$A$6&lt;&gt;"",
IF(ROW(S140)+2&gt;=MATCH("*【合計】*", 貼り付け用!$A:$A, 0),"",
IF(S$3&lt;&gt;"",IF(貼り付け用!S141&lt;&gt;"",貼り付け用!S141,""),"")),
IF(ROW(S141)+2&gt;=MATCH("*【合計】*", 貼り付け用!$A:$A, 0),"",
IF(S$3&lt;&gt;"",IF(貼り付け用!S142&lt;&gt;"",貼り付け用!S142,""),"")))</f>
        <v>#N/A</v>
      </c>
      <c r="T141" s="2" t="e">
        <f t="array" ref="T141">IF(貼り付け用!$A$6&lt;&gt;"",
IF(INDEX(貼り付け用!A:Z, ROW(T140)+1, MATCH("おやつ", 貼り付け用!$A$3:$Z$3, 0))&lt;&gt;0,
INDEX(貼り付け用!A:Z, ROW(T140)+1, MATCH("おやつ", 貼り付け用!$A$3:$Z$3, 0)),""),
IF(INDEX(貼り付け用!A:Z, ROW(T141)+1, MATCH("おやつ", 貼り付け用!$A$3:$Z$3, 0))&lt;&gt;0,
INDEX(貼り付け用!A:Z, ROW(T141)+1, MATCH("おやつ", 貼り付け用!$A$3:$Z$3, 0)),""))</f>
        <v>#N/A</v>
      </c>
      <c r="U141" s="52"/>
      <c r="V141" s="8" t="e">
        <f t="array" ref="V141">IF(貼り付け用!$A$6&lt;&gt;"",
IF(INDEX(貼り付け用!A:Z, ROW(T140)+1, MATCH("おやつ", 貼り付け用!$A$3:$Z$3, 0)+1)&lt;&gt;0,
INDEX(貼り付け用!A:Z, ROW(T140)+1, MATCH("おやつ", 貼り付け用!$A$3:$Z$3, 0)+1),""),
IF(INDEX(貼り付け用!A:Z, ROW(T141)+1, MATCH("おやつ", 貼り付け用!$A$3:$Z$3, 0)+1)&lt;&gt;0,
INDEX(貼り付け用!A:Z, ROW(T141)+1, MATCH("おやつ", 貼り付け用!$A$3:$Z$3, 0)+1),""))</f>
        <v>#N/A</v>
      </c>
      <c r="W141" s="9" t="e">
        <f t="array" ref="W141">IF(貼り付け用!$A$6&lt;&gt;"",
IF(INDEX(貼り付け用!A:Z, ROW(T140)+1, MATCH("おやつ", 貼り付け用!$A$3:$Z$3, 0)+2)&lt;&gt;0,
INDEX(貼り付け用!A:Z, ROW(T140)+1, MATCH("おやつ", 貼り付け用!$A$3:$Z$3, 0)+2),""),
IF(INDEX(貼り付け用!A:Z, ROW(T141)+1, MATCH("おやつ", 貼り付け用!$A$3:$Z$3, 0)+2)&lt;&gt;0,
INDEX(貼り付け用!A:Z, ROW(T141)+1, MATCH("おやつ", 貼り付け用!$A$3:$Z$3, 0)+2),""))</f>
        <v>#N/A</v>
      </c>
    </row>
    <row r="142" spans="1:23" x14ac:dyDescent="0.45">
      <c r="A142" s="4" t="e">
        <f>IF(貼り付け用!$A$6&lt;&gt;"",
IF(ROW(A141)+1&gt;=MATCH("*10000*", 貼り付け用!$A:$A, 0),
IF(COUNTIF(A140,"*10000*"),"10001",
IF(COUNTIF(A140,"*10001*"),"10002",
IF(COUNTIF(A140,"*10002*"),"",
IF(COUNTIF(A140,""),"","10000")))),
IF(貼り付け用!A142&lt;&gt;"",貼り付け用!A142,"")),
IF(ROW(A142)+1&gt;=MATCH("*10000*", 貼り付け用!$A:$A, 0),
IF(COUNTIF(A140,"*10000*"),"10001",
IF(COUNTIF(A140,"*10001*"),"10002",
IF(COUNTIF(A140,"*10002*"),"",
IF(COUNTIF(A140,""),"","10000")))),
IF(貼り付け用!A143&lt;&gt;"",貼り付け用!A143,"")))</f>
        <v>#N/A</v>
      </c>
      <c r="B142" s="19" t="e">
        <f>IF(貼り付け用!$A$6&lt;&gt;"",
IF(ROW(B141)+2&gt;=MATCH("*【合計】*", 貼り付け用!$A:$A, 0),"",
IF(貼り付け用!B142&lt;&gt;"",貼り付け用!B142,"")),
IF(ROW(B142)+2&gt;=MATCH("*【合計】*", 貼り付け用!$A:$A, 0),"",
IF(貼り付け用!B143&lt;&gt;"",貼り付け用!B143,"")))</f>
        <v>#N/A</v>
      </c>
      <c r="C142" s="19" t="e">
        <f>IF(貼り付け用!$A$6&lt;&gt;"",
IF(ROW(C141)+2&gt;=MATCH("*【合計】*", 貼り付け用!$A:$A, 0),"",
IF(貼り付け用!C142&lt;&gt;"",貼り付け用!C142,"")),
IF(ROW(C142)+2&gt;=MATCH("*【合計】*", 貼り付け用!$A:$A, 0),"",
IF(貼り付け用!C143&lt;&gt;"",貼り付け用!C143,"")))</f>
        <v>#N/A</v>
      </c>
      <c r="D142" s="19" t="e">
        <f>IF(貼り付け用!$A$6&lt;&gt;"",
IF(ROW(D141)+2&gt;=MATCH("*【合計】*", 貼り付け用!$A:$A, 0),"",
IF(貼り付け用!D142&lt;&gt;"",貼り付け用!D142,"")),
IF(ROW(D142)+2&gt;=MATCH("*【合計】*", 貼り付け用!$A:$A, 0),"",
IF(貼り付け用!D143&lt;&gt;"",貼り付け用!D143,"")))</f>
        <v>#N/A</v>
      </c>
      <c r="E142" s="19" t="e">
        <f>IF(貼り付け用!$A$6&lt;&gt;"",
IF(ROW(E141)+2&gt;=MATCH("*【合計】*", 貼り付け用!$A:$A, 0),"",
IF(貼り付け用!E142&lt;&gt;"",貼り付け用!E142,"")),
IF(ROW(E142)+2&gt;=MATCH("*【合計】*", 貼り付け用!$A:$A, 0),"",
IF(貼り付け用!E143&lt;&gt;"",貼り付け用!E143,"")))</f>
        <v>#N/A</v>
      </c>
      <c r="F142" s="19" t="e">
        <f>IF(貼り付け用!$A$6&lt;&gt;"",
IF(ROW(F141)+2&gt;=MATCH("*【合計】*", 貼り付け用!$A:$A, 0),"",
IF(貼り付け用!F142&lt;&gt;"",貼り付け用!F142,"")),
IF(ROW(F142)+2&gt;=MATCH("*【合計】*", 貼り付け用!$A:$A, 0),"",
IF(貼り付け用!F143&lt;&gt;"",貼り付け用!F143,"")))</f>
        <v>#N/A</v>
      </c>
      <c r="G142" s="19" t="e">
        <f>IF(貼り付け用!$A$6&lt;&gt;"",
IF(ROW(G141)+2&gt;=MATCH("*【合計】*", 貼り付け用!$A:$A, 0),"",
IF(貼り付け用!G142&lt;&gt;"",貼り付け用!G142,"")),
IF(ROW(G142)+2&gt;=MATCH("*【合計】*", 貼り付け用!$A:$A, 0),"",
IF(貼り付け用!G143&lt;&gt;"",貼り付け用!G143,"")))</f>
        <v>#N/A</v>
      </c>
      <c r="H142" s="19" t="e">
        <f>IF(貼り付け用!$A$6&lt;&gt;"",
IF(ROW(H141)+2&gt;=MATCH("*【合計】*", 貼り付け用!$A:$A, 0),"",
IF(貼り付け用!H142&lt;&gt;"",貼り付け用!H142,"")),
IF(ROW(H142)+2&gt;=MATCH("*【合計】*", 貼り付け用!$A:$A, 0),"",
IF(貼り付け用!H143&lt;&gt;"",貼り付け用!H143,"")))</f>
        <v>#N/A</v>
      </c>
      <c r="I142" s="19" t="e">
        <f>IF(貼り付け用!$A$6&lt;&gt;"",
IF(ROW(I141)+2&gt;=MATCH("*【合計】*", 貼り付け用!$A:$A, 0),"",
IF(貼り付け用!I142&lt;&gt;"",貼り付け用!I142,"")),
IF(ROW(I142)+2&gt;=MATCH("*【合計】*", 貼り付け用!$A:$A, 0),"",
IF(貼り付け用!I143&lt;&gt;"",貼り付け用!I143,"")))</f>
        <v>#N/A</v>
      </c>
      <c r="J142" s="19" t="e">
        <f>IF(貼り付け用!$A$6&lt;&gt;"",
IF(ROW(J141)+2&gt;=MATCH("*【合計】*", 貼り付け用!$A:$A, 0),"",
IF(貼り付け用!J142&lt;&gt;"",貼り付け用!J142,"")),
IF(ROW(J142)+2&gt;=MATCH("*【合計】*", 貼り付け用!$A:$A, 0),"",
IF(貼り付け用!J143&lt;&gt;"",貼り付け用!J143,"")))</f>
        <v>#N/A</v>
      </c>
      <c r="K142" s="19" t="e">
        <f>IF(貼り付け用!$A$6&lt;&gt;"",
IF(ROW(K141)+2&gt;=MATCH("*【合計】*", 貼り付け用!$A:$A, 0),"",
IF(貼り付け用!K142&lt;&gt;"",貼り付け用!K142,"")),
IF(ROW(K142)+2&gt;=MATCH("*【合計】*", 貼り付け用!$A:$A, 0),"",
IF(貼り付け用!K143&lt;&gt;"",貼り付け用!K143,"")))</f>
        <v>#N/A</v>
      </c>
      <c r="L142" s="19" t="e">
        <f>IF(貼り付け用!$A$6&lt;&gt;"",
IF(ROW(L141)+2&gt;=MATCH("*【合計】*", 貼り付け用!$A:$A, 0),"",
IF(L$3&lt;&gt;"",IF(貼り付け用!L142&lt;&gt;"",貼り付け用!L142,""),"")),
IF(ROW(L142)+2&gt;=MATCH("*【合計】*", 貼り付け用!$A:$A, 0),"",
IF(L$3&lt;&gt;"",IF(貼り付け用!L143&lt;&gt;"",貼り付け用!L143,""),"")))</f>
        <v>#N/A</v>
      </c>
      <c r="M142" s="19" t="e">
        <f>IF(貼り付け用!$A$6&lt;&gt;"",
IF(ROW(M141)+2&gt;=MATCH("*【合計】*", 貼り付け用!$A:$A, 0),"",
IF(M$3&lt;&gt;"",IF(貼り付け用!M142&lt;&gt;"",貼り付け用!M142,""),"")),
IF(ROW(M142)+2&gt;=MATCH("*【合計】*", 貼り付け用!$A:$A, 0),"",
IF(M$3&lt;&gt;"",IF(貼り付け用!M143&lt;&gt;"",貼り付け用!M143,""),"")))</f>
        <v>#N/A</v>
      </c>
      <c r="N142" s="19" t="e">
        <f>IF(貼り付け用!$A$6&lt;&gt;"",
IF(ROW(N141)+2&gt;=MATCH("*【合計】*", 貼り付け用!$A:$A, 0),"",
IF(N$3&lt;&gt;"",IF(貼り付け用!N142&lt;&gt;"",貼り付け用!N142,""),"")),
IF(ROW(N142)+2&gt;=MATCH("*【合計】*", 貼り付け用!$A:$A, 0),"",
IF(N$3&lt;&gt;"",IF(貼り付け用!N143&lt;&gt;"",貼り付け用!N143,""),"")))</f>
        <v>#N/A</v>
      </c>
      <c r="O142" s="19" t="e">
        <f>IF(貼り付け用!$A$6&lt;&gt;"",
IF(ROW(O141)+2&gt;=MATCH("*【合計】*", 貼り付け用!$A:$A, 0),"",
IF(O$3&lt;&gt;"",IF(貼り付け用!O142&lt;&gt;"",貼り付け用!O142,""),"")),
IF(ROW(O142)+2&gt;=MATCH("*【合計】*", 貼り付け用!$A:$A, 0),"",
IF(O$3&lt;&gt;"",IF(貼り付け用!O143&lt;&gt;"",貼り付け用!O143,""),"")))</f>
        <v>#N/A</v>
      </c>
      <c r="P142" s="19" t="e">
        <f>IF(貼り付け用!$A$6&lt;&gt;"",
IF(ROW(P141)+2&gt;=MATCH("*【合計】*", 貼り付け用!$A:$A, 0),"",
IF(P$3&lt;&gt;"",IF(貼り付け用!P142&lt;&gt;"",貼り付け用!P142,""),"")),
IF(ROW(P142)+2&gt;=MATCH("*【合計】*", 貼り付け用!$A:$A, 0),"",
IF(P$3&lt;&gt;"",IF(貼り付け用!P143&lt;&gt;"",貼り付け用!P143,""),"")))</f>
        <v>#N/A</v>
      </c>
      <c r="Q142" s="19" t="e">
        <f>IF(貼り付け用!$A$6&lt;&gt;"",
IF(ROW(Q141)+2&gt;=MATCH("*【合計】*", 貼り付け用!$A:$A, 0),"",
IF(Q$3&lt;&gt;"",IF(貼り付け用!Q142&lt;&gt;"",貼り付け用!Q142,""),"")),
IF(ROW(Q142)+2&gt;=MATCH("*【合計】*", 貼り付け用!$A:$A, 0),"",
IF(Q$3&lt;&gt;"",IF(貼り付け用!Q143&lt;&gt;"",貼り付け用!Q143,""),"")))</f>
        <v>#N/A</v>
      </c>
      <c r="R142" s="19" t="e">
        <f>IF(貼り付け用!$A$6&lt;&gt;"",
IF(ROW(R141)+2&gt;=MATCH("*【合計】*", 貼り付け用!$A:$A, 0),"",
IF(R$3&lt;&gt;"",IF(貼り付け用!R142&lt;&gt;"",貼り付け用!R142,""),"")),
IF(ROW(R142)+2&gt;=MATCH("*【合計】*", 貼り付け用!$A:$A, 0),"",
IF(R$3&lt;&gt;"",IF(貼り付け用!R143&lt;&gt;"",貼り付け用!R143,""),"")))</f>
        <v>#N/A</v>
      </c>
      <c r="S142" s="19" t="e">
        <f>IF(貼り付け用!$A$6&lt;&gt;"",
IF(ROW(S141)+2&gt;=MATCH("*【合計】*", 貼り付け用!$A:$A, 0),"",
IF(S$3&lt;&gt;"",IF(貼り付け用!S142&lt;&gt;"",貼り付け用!S142,""),"")),
IF(ROW(S142)+2&gt;=MATCH("*【合計】*", 貼り付け用!$A:$A, 0),"",
IF(S$3&lt;&gt;"",IF(貼り付け用!S143&lt;&gt;"",貼り付け用!S143,""),"")))</f>
        <v>#N/A</v>
      </c>
      <c r="T142" s="19" t="e">
        <f t="array" ref="T142">IF(貼り付け用!$A$6&lt;&gt;"",
IF(INDEX(貼り付け用!A:Z, ROW(T141)+1, MATCH("おやつ", 貼り付け用!$A$3:$Z$3, 0))&lt;&gt;0,
INDEX(貼り付け用!A:Z, ROW(T141)+1, MATCH("おやつ", 貼り付け用!$A$3:$Z$3, 0)),""),
IF(INDEX(貼り付け用!A:Z, ROW(T142)+1, MATCH("おやつ", 貼り付け用!$A$3:$Z$3, 0))&lt;&gt;0,
INDEX(貼り付け用!A:Z, ROW(T142)+1, MATCH("おやつ", 貼り付け用!$A$3:$Z$3, 0)),""))</f>
        <v>#N/A</v>
      </c>
      <c r="U142" s="16"/>
      <c r="V142" s="5" t="e">
        <f t="array" ref="V142">IF(貼り付け用!$A$6&lt;&gt;"",
IF(INDEX(貼り付け用!A:Z, ROW(T141)+1, MATCH("おやつ", 貼り付け用!$A$3:$Z$3, 0)+1)&lt;&gt;0,
INDEX(貼り付け用!A:Z, ROW(T141)+1, MATCH("おやつ", 貼り付け用!$A$3:$Z$3, 0)+1),""),
IF(INDEX(貼り付け用!A:Z, ROW(T142)+1, MATCH("おやつ", 貼り付け用!$A$3:$Z$3, 0)+1)&lt;&gt;0,
INDEX(貼り付け用!A:Z, ROW(T142)+1, MATCH("おやつ", 貼り付け用!$A$3:$Z$3, 0)+1),""))</f>
        <v>#N/A</v>
      </c>
      <c r="W142" s="7" t="e">
        <f t="array" ref="W142">IF(貼り付け用!$A$6&lt;&gt;"",
IF(INDEX(貼り付け用!A:Z, ROW(T141)+1, MATCH("おやつ", 貼り付け用!$A$3:$Z$3, 0)+2)&lt;&gt;0,
INDEX(貼り付け用!A:Z, ROW(T141)+1, MATCH("おやつ", 貼り付け用!$A$3:$Z$3, 0)+2),""),
IF(INDEX(貼り付け用!A:Z, ROW(T142)+1, MATCH("おやつ", 貼り付け用!$A$3:$Z$3, 0)+2)&lt;&gt;0,
INDEX(貼り付け用!A:Z, ROW(T142)+1, MATCH("おやつ", 貼り付け用!$A$3:$Z$3, 0)+2),""))</f>
        <v>#N/A</v>
      </c>
    </row>
    <row r="143" spans="1:23" x14ac:dyDescent="0.45">
      <c r="A143" s="10" t="e">
        <f>IF(貼り付け用!$A$6&lt;&gt;"",
IF(ROW(A142)+1&gt;=MATCH("*10000*", 貼り付け用!$A:$A, 0),"",
IF(貼り付け用!A143&lt;&gt;"",貼り付け用!A143,"")),
IF(ROW(A143)+1&gt;=MATCH("*10000*", 貼り付け用!$A:$A, 0),"",
IF(貼り付け用!A144&lt;&gt;"",貼り付け用!A144,"")))</f>
        <v>#N/A</v>
      </c>
      <c r="B143" s="3" t="e">
        <f>IF(貼り付け用!$A$6&lt;&gt;"",
IF(ROW(B142)+2&gt;=MATCH("*【合計】*", 貼り付け用!$A:$A, 0),"",
IF(貼り付け用!B143&lt;&gt;"",貼り付け用!B143,"")),
IF(ROW(B143)+2&gt;=MATCH("*【合計】*", 貼り付け用!$A:$A, 0),"",
IF(貼り付け用!B144&lt;&gt;"",貼り付け用!B144,"")))</f>
        <v>#N/A</v>
      </c>
      <c r="C143" s="3" t="e">
        <f>IF(貼り付け用!$A$6&lt;&gt;"",
IF(ROW(C142)+2&gt;=MATCH("*【合計】*", 貼り付け用!$A:$A, 0),"",
IF(貼り付け用!C143&lt;&gt;"",貼り付け用!C143,"")),
IF(ROW(C143)+2&gt;=MATCH("*【合計】*", 貼り付け用!$A:$A, 0),"",
IF(貼り付け用!C144&lt;&gt;"",貼り付け用!C144,"")))</f>
        <v>#N/A</v>
      </c>
      <c r="D143" s="3" t="e">
        <f>IF(貼り付け用!$A$6&lt;&gt;"",
IF(ROW(D142)+2&gt;=MATCH("*【合計】*", 貼り付け用!$A:$A, 0),"",
IF(貼り付け用!D143&lt;&gt;"",貼り付け用!D143,"")),
IF(ROW(D143)+2&gt;=MATCH("*【合計】*", 貼り付け用!$A:$A, 0),"",
IF(貼り付け用!D144&lt;&gt;"",貼り付け用!D144,"")))</f>
        <v>#N/A</v>
      </c>
      <c r="E143" s="3" t="e">
        <f>IF(貼り付け用!$A$6&lt;&gt;"",
IF(ROW(E142)+2&gt;=MATCH("*【合計】*", 貼り付け用!$A:$A, 0),"",
IF(貼り付け用!E143&lt;&gt;"",貼り付け用!E143,"")),
IF(ROW(E143)+2&gt;=MATCH("*【合計】*", 貼り付け用!$A:$A, 0),"",
IF(貼り付け用!E144&lt;&gt;"",貼り付け用!E144,"")))</f>
        <v>#N/A</v>
      </c>
      <c r="F143" s="3" t="e">
        <f>IF(貼り付け用!$A$6&lt;&gt;"",
IF(ROW(F142)+2&gt;=MATCH("*【合計】*", 貼り付け用!$A:$A, 0),"",
IF(貼り付け用!F143&lt;&gt;"",貼り付け用!F143,"")),
IF(ROW(F143)+2&gt;=MATCH("*【合計】*", 貼り付け用!$A:$A, 0),"",
IF(貼り付け用!F144&lt;&gt;"",貼り付け用!F144,"")))</f>
        <v>#N/A</v>
      </c>
      <c r="G143" s="3" t="e">
        <f>IF(貼り付け用!$A$6&lt;&gt;"",
IF(ROW(G142)+2&gt;=MATCH("*【合計】*", 貼り付け用!$A:$A, 0),"",
IF(貼り付け用!G143&lt;&gt;"",貼り付け用!G143,"")),
IF(ROW(G143)+2&gt;=MATCH("*【合計】*", 貼り付け用!$A:$A, 0),"",
IF(貼り付け用!G144&lt;&gt;"",貼り付け用!G144,"")))</f>
        <v>#N/A</v>
      </c>
      <c r="H143" s="3" t="e">
        <f>IF(貼り付け用!$A$6&lt;&gt;"",
IF(ROW(H142)+2&gt;=MATCH("*【合計】*", 貼り付け用!$A:$A, 0),"",
IF(貼り付け用!H143&lt;&gt;"",貼り付け用!H143,"")),
IF(ROW(H143)+2&gt;=MATCH("*【合計】*", 貼り付け用!$A:$A, 0),"",
IF(貼り付け用!H144&lt;&gt;"",貼り付け用!H144,"")))</f>
        <v>#N/A</v>
      </c>
      <c r="I143" s="3" t="e">
        <f>IF(貼り付け用!$A$6&lt;&gt;"",
IF(ROW(I142)+2&gt;=MATCH("*【合計】*", 貼り付け用!$A:$A, 0),"",
IF(貼り付け用!I143&lt;&gt;"",貼り付け用!I143,"")),
IF(ROW(I143)+2&gt;=MATCH("*【合計】*", 貼り付け用!$A:$A, 0),"",
IF(貼り付け用!I144&lt;&gt;"",貼り付け用!I144,"")))</f>
        <v>#N/A</v>
      </c>
      <c r="J143" s="3" t="e">
        <f>IF(貼り付け用!$A$6&lt;&gt;"",
IF(ROW(J142)+2&gt;=MATCH("*【合計】*", 貼り付け用!$A:$A, 0),"",
IF(貼り付け用!J143&lt;&gt;"",貼り付け用!J143,"")),
IF(ROW(J143)+2&gt;=MATCH("*【合計】*", 貼り付け用!$A:$A, 0),"",
IF(貼り付け用!J144&lt;&gt;"",貼り付け用!J144,"")))</f>
        <v>#N/A</v>
      </c>
      <c r="K143" s="3" t="e">
        <f>IF(貼り付け用!$A$6&lt;&gt;"",
IF(ROW(K142)+2&gt;=MATCH("*【合計】*", 貼り付け用!$A:$A, 0),"",
IF(貼り付け用!K143&lt;&gt;"",貼り付け用!K143,"")),
IF(ROW(K143)+2&gt;=MATCH("*【合計】*", 貼り付け用!$A:$A, 0),"",
IF(貼り付け用!K144&lt;&gt;"",貼り付け用!K144,"")))</f>
        <v>#N/A</v>
      </c>
      <c r="L143" s="3" t="e">
        <f>IF(貼り付け用!$A$6&lt;&gt;"",
IF(ROW(L142)+2&gt;=MATCH("*【合計】*", 貼り付け用!$A:$A, 0),"",
IF(L$3&lt;&gt;"",IF(貼り付け用!L143&lt;&gt;"",貼り付け用!L143,""),"")),
IF(ROW(L143)+2&gt;=MATCH("*【合計】*", 貼り付け用!$A:$A, 0),"",
IF(L$3&lt;&gt;"",IF(貼り付け用!L144&lt;&gt;"",貼り付け用!L144,""),"")))</f>
        <v>#N/A</v>
      </c>
      <c r="M143" s="3" t="e">
        <f>IF(貼り付け用!$A$6&lt;&gt;"",
IF(ROW(M142)+2&gt;=MATCH("*【合計】*", 貼り付け用!$A:$A, 0),"",
IF(M$3&lt;&gt;"",IF(貼り付け用!M143&lt;&gt;"",貼り付け用!M143,""),"")),
IF(ROW(M143)+2&gt;=MATCH("*【合計】*", 貼り付け用!$A:$A, 0),"",
IF(M$3&lt;&gt;"",IF(貼り付け用!M144&lt;&gt;"",貼り付け用!M144,""),"")))</f>
        <v>#N/A</v>
      </c>
      <c r="N143" s="3" t="e">
        <f>IF(貼り付け用!$A$6&lt;&gt;"",
IF(ROW(N142)+2&gt;=MATCH("*【合計】*", 貼り付け用!$A:$A, 0),"",
IF(N$3&lt;&gt;"",IF(貼り付け用!N143&lt;&gt;"",貼り付け用!N143,""),"")),
IF(ROW(N143)+2&gt;=MATCH("*【合計】*", 貼り付け用!$A:$A, 0),"",
IF(N$3&lt;&gt;"",IF(貼り付け用!N144&lt;&gt;"",貼り付け用!N144,""),"")))</f>
        <v>#N/A</v>
      </c>
      <c r="O143" s="3" t="e">
        <f>IF(貼り付け用!$A$6&lt;&gt;"",
IF(ROW(O142)+2&gt;=MATCH("*【合計】*", 貼り付け用!$A:$A, 0),"",
IF(O$3&lt;&gt;"",IF(貼り付け用!O143&lt;&gt;"",貼り付け用!O143,""),"")),
IF(ROW(O143)+2&gt;=MATCH("*【合計】*", 貼り付け用!$A:$A, 0),"",
IF(O$3&lt;&gt;"",IF(貼り付け用!O144&lt;&gt;"",貼り付け用!O144,""),"")))</f>
        <v>#N/A</v>
      </c>
      <c r="P143" s="3" t="e">
        <f>IF(貼り付け用!$A$6&lt;&gt;"",
IF(ROW(P142)+2&gt;=MATCH("*【合計】*", 貼り付け用!$A:$A, 0),"",
IF(P$3&lt;&gt;"",IF(貼り付け用!P143&lt;&gt;"",貼り付け用!P143,""),"")),
IF(ROW(P143)+2&gt;=MATCH("*【合計】*", 貼り付け用!$A:$A, 0),"",
IF(P$3&lt;&gt;"",IF(貼り付け用!P144&lt;&gt;"",貼り付け用!P144,""),"")))</f>
        <v>#N/A</v>
      </c>
      <c r="Q143" s="3" t="e">
        <f>IF(貼り付け用!$A$6&lt;&gt;"",
IF(ROW(Q142)+2&gt;=MATCH("*【合計】*", 貼り付け用!$A:$A, 0),"",
IF(Q$3&lt;&gt;"",IF(貼り付け用!Q143&lt;&gt;"",貼り付け用!Q143,""),"")),
IF(ROW(Q143)+2&gt;=MATCH("*【合計】*", 貼り付け用!$A:$A, 0),"",
IF(Q$3&lt;&gt;"",IF(貼り付け用!Q144&lt;&gt;"",貼り付け用!Q144,""),"")))</f>
        <v>#N/A</v>
      </c>
      <c r="R143" s="3" t="e">
        <f>IF(貼り付け用!$A$6&lt;&gt;"",
IF(ROW(R142)+2&gt;=MATCH("*【合計】*", 貼り付け用!$A:$A, 0),"",
IF(R$3&lt;&gt;"",IF(貼り付け用!R143&lt;&gt;"",貼り付け用!R143,""),"")),
IF(ROW(R143)+2&gt;=MATCH("*【合計】*", 貼り付け用!$A:$A, 0),"",
IF(R$3&lt;&gt;"",IF(貼り付け用!R144&lt;&gt;"",貼り付け用!R144,""),"")))</f>
        <v>#N/A</v>
      </c>
      <c r="S143" s="3" t="e">
        <f>IF(貼り付け用!$A$6&lt;&gt;"",
IF(ROW(S142)+2&gt;=MATCH("*【合計】*", 貼り付け用!$A:$A, 0),"",
IF(S$3&lt;&gt;"",IF(貼り付け用!S143&lt;&gt;"",貼り付け用!S143,""),"")),
IF(ROW(S143)+2&gt;=MATCH("*【合計】*", 貼り付け用!$A:$A, 0),"",
IF(S$3&lt;&gt;"",IF(貼り付け用!S144&lt;&gt;"",貼り付け用!S144,""),"")))</f>
        <v>#N/A</v>
      </c>
      <c r="T143" s="2" t="e">
        <f t="array" ref="T143">IF(貼り付け用!$A$6&lt;&gt;"",
IF(INDEX(貼り付け用!A:Z, ROW(T142)+1, MATCH("おやつ", 貼り付け用!$A$3:$Z$3, 0))&lt;&gt;0,
INDEX(貼り付け用!A:Z, ROW(T142)+1, MATCH("おやつ", 貼り付け用!$A$3:$Z$3, 0)),""),
IF(INDEX(貼り付け用!A:Z, ROW(T143)+1, MATCH("おやつ", 貼り付け用!$A$3:$Z$3, 0))&lt;&gt;0,
INDEX(貼り付け用!A:Z, ROW(T143)+1, MATCH("おやつ", 貼り付け用!$A$3:$Z$3, 0)),""))</f>
        <v>#N/A</v>
      </c>
      <c r="U143" s="52"/>
      <c r="V143" s="8" t="e">
        <f t="array" ref="V143">IF(貼り付け用!$A$6&lt;&gt;"",
IF(INDEX(貼り付け用!A:Z, ROW(T142)+1, MATCH("おやつ", 貼り付け用!$A$3:$Z$3, 0)+1)&lt;&gt;0,
INDEX(貼り付け用!A:Z, ROW(T142)+1, MATCH("おやつ", 貼り付け用!$A$3:$Z$3, 0)+1),""),
IF(INDEX(貼り付け用!A:Z, ROW(T143)+1, MATCH("おやつ", 貼り付け用!$A$3:$Z$3, 0)+1)&lt;&gt;0,
INDEX(貼り付け用!A:Z, ROW(T143)+1, MATCH("おやつ", 貼り付け用!$A$3:$Z$3, 0)+1),""))</f>
        <v>#N/A</v>
      </c>
      <c r="W143" s="9" t="e">
        <f t="array" ref="W143">IF(貼り付け用!$A$6&lt;&gt;"",
IF(INDEX(貼り付け用!A:Z, ROW(T142)+1, MATCH("おやつ", 貼り付け用!$A$3:$Z$3, 0)+2)&lt;&gt;0,
INDEX(貼り付け用!A:Z, ROW(T142)+1, MATCH("おやつ", 貼り付け用!$A$3:$Z$3, 0)+2),""),
IF(INDEX(貼り付け用!A:Z, ROW(T143)+1, MATCH("おやつ", 貼り付け用!$A$3:$Z$3, 0)+2)&lt;&gt;0,
INDEX(貼り付け用!A:Z, ROW(T143)+1, MATCH("おやつ", 貼り付け用!$A$3:$Z$3, 0)+2),""))</f>
        <v>#N/A</v>
      </c>
    </row>
    <row r="144" spans="1:23" x14ac:dyDescent="0.45">
      <c r="A144" s="4" t="e">
        <f>IF(貼り付け用!$A$6&lt;&gt;"",
IF(ROW(A143)+1&gt;=MATCH("*10000*", 貼り付け用!$A:$A, 0),
IF(COUNTIF(A142,"*10000*"),"10001",
IF(COUNTIF(A142,"*10001*"),"10002",
IF(COUNTIF(A142,"*10002*"),"",
IF(COUNTIF(A142,""),"","10000")))),
IF(貼り付け用!A144&lt;&gt;"",貼り付け用!A144,"")),
IF(ROW(A144)+1&gt;=MATCH("*10000*", 貼り付け用!$A:$A, 0),
IF(COUNTIF(A142,"*10000*"),"10001",
IF(COUNTIF(A142,"*10001*"),"10002",
IF(COUNTIF(A142,"*10002*"),"",
IF(COUNTIF(A142,""),"","10000")))),
IF(貼り付け用!A145&lt;&gt;"",貼り付け用!A145,"")))</f>
        <v>#N/A</v>
      </c>
      <c r="B144" s="19" t="e">
        <f>IF(貼り付け用!$A$6&lt;&gt;"",
IF(ROW(B143)+2&gt;=MATCH("*【合計】*", 貼り付け用!$A:$A, 0),"",
IF(貼り付け用!B144&lt;&gt;"",貼り付け用!B144,"")),
IF(ROW(B144)+2&gt;=MATCH("*【合計】*", 貼り付け用!$A:$A, 0),"",
IF(貼り付け用!B145&lt;&gt;"",貼り付け用!B145,"")))</f>
        <v>#N/A</v>
      </c>
      <c r="C144" s="19" t="e">
        <f>IF(貼り付け用!$A$6&lt;&gt;"",
IF(ROW(C143)+2&gt;=MATCH("*【合計】*", 貼り付け用!$A:$A, 0),"",
IF(貼り付け用!C144&lt;&gt;"",貼り付け用!C144,"")),
IF(ROW(C144)+2&gt;=MATCH("*【合計】*", 貼り付け用!$A:$A, 0),"",
IF(貼り付け用!C145&lt;&gt;"",貼り付け用!C145,"")))</f>
        <v>#N/A</v>
      </c>
      <c r="D144" s="19" t="e">
        <f>IF(貼り付け用!$A$6&lt;&gt;"",
IF(ROW(D143)+2&gt;=MATCH("*【合計】*", 貼り付け用!$A:$A, 0),"",
IF(貼り付け用!D144&lt;&gt;"",貼り付け用!D144,"")),
IF(ROW(D144)+2&gt;=MATCH("*【合計】*", 貼り付け用!$A:$A, 0),"",
IF(貼り付け用!D145&lt;&gt;"",貼り付け用!D145,"")))</f>
        <v>#N/A</v>
      </c>
      <c r="E144" s="19" t="e">
        <f>IF(貼り付け用!$A$6&lt;&gt;"",
IF(ROW(E143)+2&gt;=MATCH("*【合計】*", 貼り付け用!$A:$A, 0),"",
IF(貼り付け用!E144&lt;&gt;"",貼り付け用!E144,"")),
IF(ROW(E144)+2&gt;=MATCH("*【合計】*", 貼り付け用!$A:$A, 0),"",
IF(貼り付け用!E145&lt;&gt;"",貼り付け用!E145,"")))</f>
        <v>#N/A</v>
      </c>
      <c r="F144" s="19" t="e">
        <f>IF(貼り付け用!$A$6&lt;&gt;"",
IF(ROW(F143)+2&gt;=MATCH("*【合計】*", 貼り付け用!$A:$A, 0),"",
IF(貼り付け用!F144&lt;&gt;"",貼り付け用!F144,"")),
IF(ROW(F144)+2&gt;=MATCH("*【合計】*", 貼り付け用!$A:$A, 0),"",
IF(貼り付け用!F145&lt;&gt;"",貼り付け用!F145,"")))</f>
        <v>#N/A</v>
      </c>
      <c r="G144" s="19" t="e">
        <f>IF(貼り付け用!$A$6&lt;&gt;"",
IF(ROW(G143)+2&gt;=MATCH("*【合計】*", 貼り付け用!$A:$A, 0),"",
IF(貼り付け用!G144&lt;&gt;"",貼り付け用!G144,"")),
IF(ROW(G144)+2&gt;=MATCH("*【合計】*", 貼り付け用!$A:$A, 0),"",
IF(貼り付け用!G145&lt;&gt;"",貼り付け用!G145,"")))</f>
        <v>#N/A</v>
      </c>
      <c r="H144" s="19" t="e">
        <f>IF(貼り付け用!$A$6&lt;&gt;"",
IF(ROW(H143)+2&gt;=MATCH("*【合計】*", 貼り付け用!$A:$A, 0),"",
IF(貼り付け用!H144&lt;&gt;"",貼り付け用!H144,"")),
IF(ROW(H144)+2&gt;=MATCH("*【合計】*", 貼り付け用!$A:$A, 0),"",
IF(貼り付け用!H145&lt;&gt;"",貼り付け用!H145,"")))</f>
        <v>#N/A</v>
      </c>
      <c r="I144" s="19" t="e">
        <f>IF(貼り付け用!$A$6&lt;&gt;"",
IF(ROW(I143)+2&gt;=MATCH("*【合計】*", 貼り付け用!$A:$A, 0),"",
IF(貼り付け用!I144&lt;&gt;"",貼り付け用!I144,"")),
IF(ROW(I144)+2&gt;=MATCH("*【合計】*", 貼り付け用!$A:$A, 0),"",
IF(貼り付け用!I145&lt;&gt;"",貼り付け用!I145,"")))</f>
        <v>#N/A</v>
      </c>
      <c r="J144" s="19" t="e">
        <f>IF(貼り付け用!$A$6&lt;&gt;"",
IF(ROW(J143)+2&gt;=MATCH("*【合計】*", 貼り付け用!$A:$A, 0),"",
IF(貼り付け用!J144&lt;&gt;"",貼り付け用!J144,"")),
IF(ROW(J144)+2&gt;=MATCH("*【合計】*", 貼り付け用!$A:$A, 0),"",
IF(貼り付け用!J145&lt;&gt;"",貼り付け用!J145,"")))</f>
        <v>#N/A</v>
      </c>
      <c r="K144" s="19" t="e">
        <f>IF(貼り付け用!$A$6&lt;&gt;"",
IF(ROW(K143)+2&gt;=MATCH("*【合計】*", 貼り付け用!$A:$A, 0),"",
IF(貼り付け用!K144&lt;&gt;"",貼り付け用!K144,"")),
IF(ROW(K144)+2&gt;=MATCH("*【合計】*", 貼り付け用!$A:$A, 0),"",
IF(貼り付け用!K145&lt;&gt;"",貼り付け用!K145,"")))</f>
        <v>#N/A</v>
      </c>
      <c r="L144" s="19" t="e">
        <f>IF(貼り付け用!$A$6&lt;&gt;"",
IF(ROW(L143)+2&gt;=MATCH("*【合計】*", 貼り付け用!$A:$A, 0),"",
IF(L$3&lt;&gt;"",IF(貼り付け用!L144&lt;&gt;"",貼り付け用!L144,""),"")),
IF(ROW(L144)+2&gt;=MATCH("*【合計】*", 貼り付け用!$A:$A, 0),"",
IF(L$3&lt;&gt;"",IF(貼り付け用!L145&lt;&gt;"",貼り付け用!L145,""),"")))</f>
        <v>#N/A</v>
      </c>
      <c r="M144" s="19" t="e">
        <f>IF(貼り付け用!$A$6&lt;&gt;"",
IF(ROW(M143)+2&gt;=MATCH("*【合計】*", 貼り付け用!$A:$A, 0),"",
IF(M$3&lt;&gt;"",IF(貼り付け用!M144&lt;&gt;"",貼り付け用!M144,""),"")),
IF(ROW(M144)+2&gt;=MATCH("*【合計】*", 貼り付け用!$A:$A, 0),"",
IF(M$3&lt;&gt;"",IF(貼り付け用!M145&lt;&gt;"",貼り付け用!M145,""),"")))</f>
        <v>#N/A</v>
      </c>
      <c r="N144" s="19" t="e">
        <f>IF(貼り付け用!$A$6&lt;&gt;"",
IF(ROW(N143)+2&gt;=MATCH("*【合計】*", 貼り付け用!$A:$A, 0),"",
IF(N$3&lt;&gt;"",IF(貼り付け用!N144&lt;&gt;"",貼り付け用!N144,""),"")),
IF(ROW(N144)+2&gt;=MATCH("*【合計】*", 貼り付け用!$A:$A, 0),"",
IF(N$3&lt;&gt;"",IF(貼り付け用!N145&lt;&gt;"",貼り付け用!N145,""),"")))</f>
        <v>#N/A</v>
      </c>
      <c r="O144" s="19" t="e">
        <f>IF(貼り付け用!$A$6&lt;&gt;"",
IF(ROW(O143)+2&gt;=MATCH("*【合計】*", 貼り付け用!$A:$A, 0),"",
IF(O$3&lt;&gt;"",IF(貼り付け用!O144&lt;&gt;"",貼り付け用!O144,""),"")),
IF(ROW(O144)+2&gt;=MATCH("*【合計】*", 貼り付け用!$A:$A, 0),"",
IF(O$3&lt;&gt;"",IF(貼り付け用!O145&lt;&gt;"",貼り付け用!O145,""),"")))</f>
        <v>#N/A</v>
      </c>
      <c r="P144" s="19" t="e">
        <f>IF(貼り付け用!$A$6&lt;&gt;"",
IF(ROW(P143)+2&gt;=MATCH("*【合計】*", 貼り付け用!$A:$A, 0),"",
IF(P$3&lt;&gt;"",IF(貼り付け用!P144&lt;&gt;"",貼り付け用!P144,""),"")),
IF(ROW(P144)+2&gt;=MATCH("*【合計】*", 貼り付け用!$A:$A, 0),"",
IF(P$3&lt;&gt;"",IF(貼り付け用!P145&lt;&gt;"",貼り付け用!P145,""),"")))</f>
        <v>#N/A</v>
      </c>
      <c r="Q144" s="19" t="e">
        <f>IF(貼り付け用!$A$6&lt;&gt;"",
IF(ROW(Q143)+2&gt;=MATCH("*【合計】*", 貼り付け用!$A:$A, 0),"",
IF(Q$3&lt;&gt;"",IF(貼り付け用!Q144&lt;&gt;"",貼り付け用!Q144,""),"")),
IF(ROW(Q144)+2&gt;=MATCH("*【合計】*", 貼り付け用!$A:$A, 0),"",
IF(Q$3&lt;&gt;"",IF(貼り付け用!Q145&lt;&gt;"",貼り付け用!Q145,""),"")))</f>
        <v>#N/A</v>
      </c>
      <c r="R144" s="19" t="e">
        <f>IF(貼り付け用!$A$6&lt;&gt;"",
IF(ROW(R143)+2&gt;=MATCH("*【合計】*", 貼り付け用!$A:$A, 0),"",
IF(R$3&lt;&gt;"",IF(貼り付け用!R144&lt;&gt;"",貼り付け用!R144,""),"")),
IF(ROW(R144)+2&gt;=MATCH("*【合計】*", 貼り付け用!$A:$A, 0),"",
IF(R$3&lt;&gt;"",IF(貼り付け用!R145&lt;&gt;"",貼り付け用!R145,""),"")))</f>
        <v>#N/A</v>
      </c>
      <c r="S144" s="19" t="e">
        <f>IF(貼り付け用!$A$6&lt;&gt;"",
IF(ROW(S143)+2&gt;=MATCH("*【合計】*", 貼り付け用!$A:$A, 0),"",
IF(S$3&lt;&gt;"",IF(貼り付け用!S144&lt;&gt;"",貼り付け用!S144,""),"")),
IF(ROW(S144)+2&gt;=MATCH("*【合計】*", 貼り付け用!$A:$A, 0),"",
IF(S$3&lt;&gt;"",IF(貼り付け用!S145&lt;&gt;"",貼り付け用!S145,""),"")))</f>
        <v>#N/A</v>
      </c>
      <c r="T144" s="19" t="e">
        <f t="array" ref="T144">IF(貼り付け用!$A$6&lt;&gt;"",
IF(INDEX(貼り付け用!A:Z, ROW(T143)+1, MATCH("おやつ", 貼り付け用!$A$3:$Z$3, 0))&lt;&gt;0,
INDEX(貼り付け用!A:Z, ROW(T143)+1, MATCH("おやつ", 貼り付け用!$A$3:$Z$3, 0)),""),
IF(INDEX(貼り付け用!A:Z, ROW(T144)+1, MATCH("おやつ", 貼り付け用!$A$3:$Z$3, 0))&lt;&gt;0,
INDEX(貼り付け用!A:Z, ROW(T144)+1, MATCH("おやつ", 貼り付け用!$A$3:$Z$3, 0)),""))</f>
        <v>#N/A</v>
      </c>
      <c r="U144" s="16"/>
      <c r="V144" s="5" t="e">
        <f t="array" ref="V144">IF(貼り付け用!$A$6&lt;&gt;"",
IF(INDEX(貼り付け用!A:Z, ROW(T143)+1, MATCH("おやつ", 貼り付け用!$A$3:$Z$3, 0)+1)&lt;&gt;0,
INDEX(貼り付け用!A:Z, ROW(T143)+1, MATCH("おやつ", 貼り付け用!$A$3:$Z$3, 0)+1),""),
IF(INDEX(貼り付け用!A:Z, ROW(T144)+1, MATCH("おやつ", 貼り付け用!$A$3:$Z$3, 0)+1)&lt;&gt;0,
INDEX(貼り付け用!A:Z, ROW(T144)+1, MATCH("おやつ", 貼り付け用!$A$3:$Z$3, 0)+1),""))</f>
        <v>#N/A</v>
      </c>
      <c r="W144" s="7" t="e">
        <f t="array" ref="W144">IF(貼り付け用!$A$6&lt;&gt;"",
IF(INDEX(貼り付け用!A:Z, ROW(T143)+1, MATCH("おやつ", 貼り付け用!$A$3:$Z$3, 0)+2)&lt;&gt;0,
INDEX(貼り付け用!A:Z, ROW(T143)+1, MATCH("おやつ", 貼り付け用!$A$3:$Z$3, 0)+2),""),
IF(INDEX(貼り付け用!A:Z, ROW(T144)+1, MATCH("おやつ", 貼り付け用!$A$3:$Z$3, 0)+2)&lt;&gt;0,
INDEX(貼り付け用!A:Z, ROW(T144)+1, MATCH("おやつ", 貼り付け用!$A$3:$Z$3, 0)+2),""))</f>
        <v>#N/A</v>
      </c>
    </row>
    <row r="145" spans="1:23" x14ac:dyDescent="0.45">
      <c r="A145" s="10" t="e">
        <f>IF(貼り付け用!$A$6&lt;&gt;"",
IF(ROW(A144)+1&gt;=MATCH("*10000*", 貼り付け用!$A:$A, 0),"",
IF(貼り付け用!A145&lt;&gt;"",貼り付け用!A145,"")),
IF(ROW(A145)+1&gt;=MATCH("*10000*", 貼り付け用!$A:$A, 0),"",
IF(貼り付け用!A146&lt;&gt;"",貼り付け用!A146,"")))</f>
        <v>#N/A</v>
      </c>
      <c r="B145" s="3" t="e">
        <f>IF(貼り付け用!$A$6&lt;&gt;"",
IF(ROW(B144)+2&gt;=MATCH("*【合計】*", 貼り付け用!$A:$A, 0),"",
IF(貼り付け用!B145&lt;&gt;"",貼り付け用!B145,"")),
IF(ROW(B145)+2&gt;=MATCH("*【合計】*", 貼り付け用!$A:$A, 0),"",
IF(貼り付け用!B146&lt;&gt;"",貼り付け用!B146,"")))</f>
        <v>#N/A</v>
      </c>
      <c r="C145" s="3" t="e">
        <f>IF(貼り付け用!$A$6&lt;&gt;"",
IF(ROW(C144)+2&gt;=MATCH("*【合計】*", 貼り付け用!$A:$A, 0),"",
IF(貼り付け用!C145&lt;&gt;"",貼り付け用!C145,"")),
IF(ROW(C145)+2&gt;=MATCH("*【合計】*", 貼り付け用!$A:$A, 0),"",
IF(貼り付け用!C146&lt;&gt;"",貼り付け用!C146,"")))</f>
        <v>#N/A</v>
      </c>
      <c r="D145" s="3" t="e">
        <f>IF(貼り付け用!$A$6&lt;&gt;"",
IF(ROW(D144)+2&gt;=MATCH("*【合計】*", 貼り付け用!$A:$A, 0),"",
IF(貼り付け用!D145&lt;&gt;"",貼り付け用!D145,"")),
IF(ROW(D145)+2&gt;=MATCH("*【合計】*", 貼り付け用!$A:$A, 0),"",
IF(貼り付け用!D146&lt;&gt;"",貼り付け用!D146,"")))</f>
        <v>#N/A</v>
      </c>
      <c r="E145" s="3" t="e">
        <f>IF(貼り付け用!$A$6&lt;&gt;"",
IF(ROW(E144)+2&gt;=MATCH("*【合計】*", 貼り付け用!$A:$A, 0),"",
IF(貼り付け用!E145&lt;&gt;"",貼り付け用!E145,"")),
IF(ROW(E145)+2&gt;=MATCH("*【合計】*", 貼り付け用!$A:$A, 0),"",
IF(貼り付け用!E146&lt;&gt;"",貼り付け用!E146,"")))</f>
        <v>#N/A</v>
      </c>
      <c r="F145" s="3" t="e">
        <f>IF(貼り付け用!$A$6&lt;&gt;"",
IF(ROW(F144)+2&gt;=MATCH("*【合計】*", 貼り付け用!$A:$A, 0),"",
IF(貼り付け用!F145&lt;&gt;"",貼り付け用!F145,"")),
IF(ROW(F145)+2&gt;=MATCH("*【合計】*", 貼り付け用!$A:$A, 0),"",
IF(貼り付け用!F146&lt;&gt;"",貼り付け用!F146,"")))</f>
        <v>#N/A</v>
      </c>
      <c r="G145" s="3" t="e">
        <f>IF(貼り付け用!$A$6&lt;&gt;"",
IF(ROW(G144)+2&gt;=MATCH("*【合計】*", 貼り付け用!$A:$A, 0),"",
IF(貼り付け用!G145&lt;&gt;"",貼り付け用!G145,"")),
IF(ROW(G145)+2&gt;=MATCH("*【合計】*", 貼り付け用!$A:$A, 0),"",
IF(貼り付け用!G146&lt;&gt;"",貼り付け用!G146,"")))</f>
        <v>#N/A</v>
      </c>
      <c r="H145" s="3" t="e">
        <f>IF(貼り付け用!$A$6&lt;&gt;"",
IF(ROW(H144)+2&gt;=MATCH("*【合計】*", 貼り付け用!$A:$A, 0),"",
IF(貼り付け用!H145&lt;&gt;"",貼り付け用!H145,"")),
IF(ROW(H145)+2&gt;=MATCH("*【合計】*", 貼り付け用!$A:$A, 0),"",
IF(貼り付け用!H146&lt;&gt;"",貼り付け用!H146,"")))</f>
        <v>#N/A</v>
      </c>
      <c r="I145" s="3" t="e">
        <f>IF(貼り付け用!$A$6&lt;&gt;"",
IF(ROW(I144)+2&gt;=MATCH("*【合計】*", 貼り付け用!$A:$A, 0),"",
IF(貼り付け用!I145&lt;&gt;"",貼り付け用!I145,"")),
IF(ROW(I145)+2&gt;=MATCH("*【合計】*", 貼り付け用!$A:$A, 0),"",
IF(貼り付け用!I146&lt;&gt;"",貼り付け用!I146,"")))</f>
        <v>#N/A</v>
      </c>
      <c r="J145" s="3" t="e">
        <f>IF(貼り付け用!$A$6&lt;&gt;"",
IF(ROW(J144)+2&gt;=MATCH("*【合計】*", 貼り付け用!$A:$A, 0),"",
IF(貼り付け用!J145&lt;&gt;"",貼り付け用!J145,"")),
IF(ROW(J145)+2&gt;=MATCH("*【合計】*", 貼り付け用!$A:$A, 0),"",
IF(貼り付け用!J146&lt;&gt;"",貼り付け用!J146,"")))</f>
        <v>#N/A</v>
      </c>
      <c r="K145" s="3" t="e">
        <f>IF(貼り付け用!$A$6&lt;&gt;"",
IF(ROW(K144)+2&gt;=MATCH("*【合計】*", 貼り付け用!$A:$A, 0),"",
IF(貼り付け用!K145&lt;&gt;"",貼り付け用!K145,"")),
IF(ROW(K145)+2&gt;=MATCH("*【合計】*", 貼り付け用!$A:$A, 0),"",
IF(貼り付け用!K146&lt;&gt;"",貼り付け用!K146,"")))</f>
        <v>#N/A</v>
      </c>
      <c r="L145" s="3" t="e">
        <f>IF(貼り付け用!$A$6&lt;&gt;"",
IF(ROW(L144)+2&gt;=MATCH("*【合計】*", 貼り付け用!$A:$A, 0),"",
IF(L$3&lt;&gt;"",IF(貼り付け用!L145&lt;&gt;"",貼り付け用!L145,""),"")),
IF(ROW(L145)+2&gt;=MATCH("*【合計】*", 貼り付け用!$A:$A, 0),"",
IF(L$3&lt;&gt;"",IF(貼り付け用!L146&lt;&gt;"",貼り付け用!L146,""),"")))</f>
        <v>#N/A</v>
      </c>
      <c r="M145" s="3" t="e">
        <f>IF(貼り付け用!$A$6&lt;&gt;"",
IF(ROW(M144)+2&gt;=MATCH("*【合計】*", 貼り付け用!$A:$A, 0),"",
IF(M$3&lt;&gt;"",IF(貼り付け用!M145&lt;&gt;"",貼り付け用!M145,""),"")),
IF(ROW(M145)+2&gt;=MATCH("*【合計】*", 貼り付け用!$A:$A, 0),"",
IF(M$3&lt;&gt;"",IF(貼り付け用!M146&lt;&gt;"",貼り付け用!M146,""),"")))</f>
        <v>#N/A</v>
      </c>
      <c r="N145" s="3" t="e">
        <f>IF(貼り付け用!$A$6&lt;&gt;"",
IF(ROW(N144)+2&gt;=MATCH("*【合計】*", 貼り付け用!$A:$A, 0),"",
IF(N$3&lt;&gt;"",IF(貼り付け用!N145&lt;&gt;"",貼り付け用!N145,""),"")),
IF(ROW(N145)+2&gt;=MATCH("*【合計】*", 貼り付け用!$A:$A, 0),"",
IF(N$3&lt;&gt;"",IF(貼り付け用!N146&lt;&gt;"",貼り付け用!N146,""),"")))</f>
        <v>#N/A</v>
      </c>
      <c r="O145" s="3" t="e">
        <f>IF(貼り付け用!$A$6&lt;&gt;"",
IF(ROW(O144)+2&gt;=MATCH("*【合計】*", 貼り付け用!$A:$A, 0),"",
IF(O$3&lt;&gt;"",IF(貼り付け用!O145&lt;&gt;"",貼り付け用!O145,""),"")),
IF(ROW(O145)+2&gt;=MATCH("*【合計】*", 貼り付け用!$A:$A, 0),"",
IF(O$3&lt;&gt;"",IF(貼り付け用!O146&lt;&gt;"",貼り付け用!O146,""),"")))</f>
        <v>#N/A</v>
      </c>
      <c r="P145" s="3" t="e">
        <f>IF(貼り付け用!$A$6&lt;&gt;"",
IF(ROW(P144)+2&gt;=MATCH("*【合計】*", 貼り付け用!$A:$A, 0),"",
IF(P$3&lt;&gt;"",IF(貼り付け用!P145&lt;&gt;"",貼り付け用!P145,""),"")),
IF(ROW(P145)+2&gt;=MATCH("*【合計】*", 貼り付け用!$A:$A, 0),"",
IF(P$3&lt;&gt;"",IF(貼り付け用!P146&lt;&gt;"",貼り付け用!P146,""),"")))</f>
        <v>#N/A</v>
      </c>
      <c r="Q145" s="3" t="e">
        <f>IF(貼り付け用!$A$6&lt;&gt;"",
IF(ROW(Q144)+2&gt;=MATCH("*【合計】*", 貼り付け用!$A:$A, 0),"",
IF(Q$3&lt;&gt;"",IF(貼り付け用!Q145&lt;&gt;"",貼り付け用!Q145,""),"")),
IF(ROW(Q145)+2&gt;=MATCH("*【合計】*", 貼り付け用!$A:$A, 0),"",
IF(Q$3&lt;&gt;"",IF(貼り付け用!Q146&lt;&gt;"",貼り付け用!Q146,""),"")))</f>
        <v>#N/A</v>
      </c>
      <c r="R145" s="3" t="e">
        <f>IF(貼り付け用!$A$6&lt;&gt;"",
IF(ROW(R144)+2&gt;=MATCH("*【合計】*", 貼り付け用!$A:$A, 0),"",
IF(R$3&lt;&gt;"",IF(貼り付け用!R145&lt;&gt;"",貼り付け用!R145,""),"")),
IF(ROW(R145)+2&gt;=MATCH("*【合計】*", 貼り付け用!$A:$A, 0),"",
IF(R$3&lt;&gt;"",IF(貼り付け用!R146&lt;&gt;"",貼り付け用!R146,""),"")))</f>
        <v>#N/A</v>
      </c>
      <c r="S145" s="3" t="e">
        <f>IF(貼り付け用!$A$6&lt;&gt;"",
IF(ROW(S144)+2&gt;=MATCH("*【合計】*", 貼り付け用!$A:$A, 0),"",
IF(S$3&lt;&gt;"",IF(貼り付け用!S145&lt;&gt;"",貼り付け用!S145,""),"")),
IF(ROW(S145)+2&gt;=MATCH("*【合計】*", 貼り付け用!$A:$A, 0),"",
IF(S$3&lt;&gt;"",IF(貼り付け用!S146&lt;&gt;"",貼り付け用!S146,""),"")))</f>
        <v>#N/A</v>
      </c>
      <c r="T145" s="2" t="e">
        <f t="array" ref="T145">IF(貼り付け用!$A$6&lt;&gt;"",
IF(INDEX(貼り付け用!A:Z, ROW(T144)+1, MATCH("おやつ", 貼り付け用!$A$3:$Z$3, 0))&lt;&gt;0,
INDEX(貼り付け用!A:Z, ROW(T144)+1, MATCH("おやつ", 貼り付け用!$A$3:$Z$3, 0)),""),
IF(INDEX(貼り付け用!A:Z, ROW(T145)+1, MATCH("おやつ", 貼り付け用!$A$3:$Z$3, 0))&lt;&gt;0,
INDEX(貼り付け用!A:Z, ROW(T145)+1, MATCH("おやつ", 貼り付け用!$A$3:$Z$3, 0)),""))</f>
        <v>#N/A</v>
      </c>
      <c r="U145" s="52"/>
      <c r="V145" s="8" t="e">
        <f t="array" ref="V145">IF(貼り付け用!$A$6&lt;&gt;"",
IF(INDEX(貼り付け用!A:Z, ROW(T144)+1, MATCH("おやつ", 貼り付け用!$A$3:$Z$3, 0)+1)&lt;&gt;0,
INDEX(貼り付け用!A:Z, ROW(T144)+1, MATCH("おやつ", 貼り付け用!$A$3:$Z$3, 0)+1),""),
IF(INDEX(貼り付け用!A:Z, ROW(T145)+1, MATCH("おやつ", 貼り付け用!$A$3:$Z$3, 0)+1)&lt;&gt;0,
INDEX(貼り付け用!A:Z, ROW(T145)+1, MATCH("おやつ", 貼り付け用!$A$3:$Z$3, 0)+1),""))</f>
        <v>#N/A</v>
      </c>
      <c r="W145" s="9" t="e">
        <f t="array" ref="W145">IF(貼り付け用!$A$6&lt;&gt;"",
IF(INDEX(貼り付け用!A:Z, ROW(T144)+1, MATCH("おやつ", 貼り付け用!$A$3:$Z$3, 0)+2)&lt;&gt;0,
INDEX(貼り付け用!A:Z, ROW(T144)+1, MATCH("おやつ", 貼り付け用!$A$3:$Z$3, 0)+2),""),
IF(INDEX(貼り付け用!A:Z, ROW(T145)+1, MATCH("おやつ", 貼り付け用!$A$3:$Z$3, 0)+2)&lt;&gt;0,
INDEX(貼り付け用!A:Z, ROW(T145)+1, MATCH("おやつ", 貼り付け用!$A$3:$Z$3, 0)+2),""))</f>
        <v>#N/A</v>
      </c>
    </row>
    <row r="146" spans="1:23" x14ac:dyDescent="0.45">
      <c r="A146" s="5" t="e">
        <f t="array" ref="A146">IF(INDEX(貼り付け用!A:A, MATCH("*【合計】*", 貼り付け用!A:A, 0)-1)&lt;&gt;0,
INDEX(貼り付け用!A:A, MATCH("*【合計】*", 貼り付け用!A:A, 0)-1),"")</f>
        <v>#N/A</v>
      </c>
      <c r="B146" s="19" t="e">
        <f t="array" ref="B146">IF(INDEX(貼り付け用!B:B, MATCH("*【合計】*", 貼り付け用!$A:$A, 0)-1)&lt;&gt;0,
INDEX(貼り付け用!B:B, MATCH("*【合計】*", 貼り付け用!$A:$A, 0)-1),"")</f>
        <v>#N/A</v>
      </c>
      <c r="C146" s="19" t="e">
        <f t="array" ref="C146">IF(INDEX(貼り付け用!C:C, MATCH("*【合計】*", 貼り付け用!$A:$A, 0)-1)&lt;&gt;0,
INDEX(貼り付け用!C:C, MATCH("*【合計】*", 貼り付け用!$A:$A, 0)-1),"")</f>
        <v>#N/A</v>
      </c>
      <c r="D146" s="19" t="e">
        <f t="array" ref="D146">IF(INDEX(貼り付け用!D:D, MATCH("*【合計】*", 貼り付け用!$A:$A, 0)-1)&lt;&gt;0,
INDEX(貼り付け用!D:D, MATCH("*【合計】*", 貼り付け用!$A:$A, 0)-1),"")</f>
        <v>#N/A</v>
      </c>
      <c r="E146" s="19" t="e">
        <f t="array" ref="E146">IF(INDEX(貼り付け用!E:E, MATCH("*【合計】*", 貼り付け用!$A:$A, 0)-1)&lt;&gt;0,
INDEX(貼り付け用!E:E, MATCH("*【合計】*", 貼り付け用!$A:$A, 0)-1),"")</f>
        <v>#N/A</v>
      </c>
      <c r="F146" s="19" t="e">
        <f t="array" ref="F146">IF(INDEX(貼り付け用!F:F, MATCH("*【合計】*", 貼り付け用!$A:$A, 0)-1)&lt;&gt;0,
INDEX(貼り付け用!F:F, MATCH("*【合計】*", 貼り付け用!$A:$A, 0)-1),"")</f>
        <v>#N/A</v>
      </c>
      <c r="G146" s="19" t="e">
        <f t="array" ref="G146">IF(INDEX(貼り付け用!G:G, MATCH("*【合計】*", 貼り付け用!$A:$A, 0)-1)&lt;&gt;0,
INDEX(貼り付け用!G:G, MATCH("*【合計】*", 貼り付け用!$A:$A, 0)-1),"")</f>
        <v>#N/A</v>
      </c>
      <c r="H146" s="19" t="e">
        <f t="array" ref="H146">IF(INDEX(貼り付け用!H:H, MATCH("*【合計】*", 貼り付け用!$A:$A, 0)-1)&lt;&gt;0,
INDEX(貼り付け用!H:H, MATCH("*【合計】*", 貼り付け用!$A:$A, 0)-1),"")</f>
        <v>#N/A</v>
      </c>
      <c r="I146" s="19" t="e">
        <f t="array" ref="I146">IF(INDEX(貼り付け用!I:I, MATCH("*【合計】*", 貼り付け用!$A:$A, 0)-1)&lt;&gt;0,
INDEX(貼り付け用!I:I, MATCH("*【合計】*", 貼り付け用!$A:$A, 0)-1),"")</f>
        <v>#N/A</v>
      </c>
      <c r="J146" s="19" t="e">
        <f t="array" ref="J146">IF(INDEX(貼り付け用!J:J, MATCH("*【合計】*", 貼り付け用!$A:$A, 0)-1)&lt;&gt;0,
INDEX(貼り付け用!J:J, MATCH("*【合計】*", 貼り付け用!$A:$A, 0)-1),"")</f>
        <v>#N/A</v>
      </c>
      <c r="K146" s="19" t="e">
        <f t="array" ref="K146">IF(INDEX(貼り付け用!K:K, MATCH("*【合計】*", 貼り付け用!$A:$A, 0)-1)&lt;&gt;0,
INDEX(貼り付け用!K:K, MATCH("*【合計】*", 貼り付け用!$A:$A, 0)-1),"")</f>
        <v>#N/A</v>
      </c>
      <c r="L146" s="19" t="e">
        <f t="array" ref="L146">IF(INDEX(貼り付け用!L:L, MATCH("*【合計】*", 貼り付け用!$A:$A, 0)-1)&lt;&gt;0,
INDEX(貼り付け用!L:L, MATCH("*【合計】*", 貼り付け用!$A:$A, 0)-1),"")</f>
        <v>#N/A</v>
      </c>
      <c r="M146" s="19" t="e">
        <f t="array" ref="M146">IF(INDEX(貼り付け用!M:M, MATCH("*【合計】*", 貼り付け用!$A:$A, 0)-1)&lt;&gt;0,
INDEX(貼り付け用!M:M, MATCH("*【合計】*", 貼り付け用!$A:$A, 0)-1),"")</f>
        <v>#N/A</v>
      </c>
      <c r="N146" s="19" t="e">
        <f t="array" ref="N146">IF(INDEX(貼り付け用!N:N, MATCH("*【合計】*", 貼り付け用!$A:$A, 0)-1)&lt;&gt;0,
INDEX(貼り付け用!N:N, MATCH("*【合計】*", 貼り付け用!$A:$A, 0)-1),"")</f>
        <v>#N/A</v>
      </c>
      <c r="O146" s="19" t="e">
        <f t="array" ref="O146">IF(INDEX(貼り付け用!O:O, MATCH("*【合計】*", 貼り付け用!$A:$A, 0)-1)&lt;&gt;0,
INDEX(貼り付け用!O:O, MATCH("*【合計】*", 貼り付け用!$A:$A, 0)-1),"")</f>
        <v>#N/A</v>
      </c>
      <c r="P146" s="19" t="e">
        <f t="array" ref="P146">IF(INDEX(貼り付け用!P:P, MATCH("*【合計】*", 貼り付け用!$A:$A, 0)-1)&lt;&gt;0,
INDEX(貼り付け用!P:P, MATCH("*【合計】*", 貼り付け用!$A:$A, 0)-1),"")</f>
        <v>#N/A</v>
      </c>
      <c r="Q146" s="19" t="e">
        <f t="array" ref="Q146">IF(INDEX(貼り付け用!Q:Q, MATCH("*【合計】*", 貼り付け用!$A:$A, 0)-1)&lt;&gt;0,
INDEX(貼り付け用!Q:Q, MATCH("*【合計】*", 貼り付け用!$A:$A, 0)-1),"")</f>
        <v>#N/A</v>
      </c>
      <c r="R146" s="19" t="e">
        <f t="array" ref="R146">IF(INDEX(貼り付け用!R:R, MATCH("*【合計】*", 貼り付け用!$A:$A, 0)-1)&lt;&gt;0,
INDEX(貼り付け用!R:R, MATCH("*【合計】*", 貼り付け用!$A:$A, 0)-1),"")</f>
        <v>#N/A</v>
      </c>
      <c r="S146" s="19" t="e">
        <f t="array" ref="S146">IF(INDEX(貼り付け用!S:S, MATCH("*【合計】*", 貼り付け用!$A:$A, 0)-1)&lt;&gt;0,
INDEX(貼り付け用!S:S, MATCH("*【合計】*", 貼り付け用!$A:$A, 0)-1),"")</f>
        <v>#N/A</v>
      </c>
      <c r="T146" s="19" t="e">
        <f t="array" ref="T146">IF(INDEX(貼り付け用!T:T, MATCH("*【合計】*", 貼り付け用!$A:$A, 0)-1)&lt;&gt;0,
INDEX(貼り付け用!T:T, MATCH("*【合計】*", 貼り付け用!$A:$A, 0)-1),"")</f>
        <v>#N/A</v>
      </c>
      <c r="U146" s="16"/>
      <c r="V146" s="16" t="e">
        <f t="array" ref="V146">IF(INDEX(貼り付け用!U:U, MATCH("*【合計】*", 貼り付け用!$A:$A, 0)-1)&lt;&gt;0,
INDEX(貼り付け用!U:U, MATCH("*【合計】*", 貼り付け用!$A:$A, 0)-1),"")</f>
        <v>#N/A</v>
      </c>
      <c r="W146" s="17" t="e">
        <f t="array" ref="W146">IF(INDEX(貼り付け用!V:V, MATCH("*【合計】*", 貼り付け用!$A:$A, 0)-1)&lt;&gt;0,
INDEX(貼り付け用!V:V, MATCH("*【合計】*", 貼り付け用!$A:$A, 0)-1),"")</f>
        <v>#N/A</v>
      </c>
    </row>
    <row r="147" spans="1:23" x14ac:dyDescent="0.45">
      <c r="A147" s="8" t="e">
        <f>IF(INDEX(貼り付け用!A:A, MATCH("*【合計】*", 貼り付け用!A:A, 0))&lt;&gt;0,
INDEX(貼り付け用!A:A, MATCH("*【合計】*", 貼り付け用!A:A, 0)),"")</f>
        <v>#N/A</v>
      </c>
      <c r="B147" s="3" t="e">
        <f>IF(INDEX(貼り付け用!B:B, MATCH("*【合計】*", 貼り付け用!$A:$A, 0))&lt;&gt;0,
INDEX(貼り付け用!B:B, MATCH("*【合計】*", 貼り付け用!$A:$A, 0)),"")</f>
        <v>#N/A</v>
      </c>
      <c r="C147" s="3" t="e">
        <f>IF(INDEX(貼り付け用!C:C, MATCH("*【合計】*", 貼り付け用!$A:$A, 0))&lt;&gt;0,
INDEX(貼り付け用!C:C, MATCH("*【合計】*", 貼り付け用!$A:$A, 0)),"")</f>
        <v>#N/A</v>
      </c>
      <c r="D147" s="3" t="e">
        <f>IF(INDEX(貼り付け用!D:D, MATCH("*【合計】*", 貼り付け用!$A:$A, 0))&lt;&gt;0,
INDEX(貼り付け用!D:D, MATCH("*【合計】*", 貼り付け用!$A:$A, 0)),"")</f>
        <v>#N/A</v>
      </c>
      <c r="E147" s="3" t="e">
        <f>IF(INDEX(貼り付け用!E:E, MATCH("*【合計】*", 貼り付け用!$A:$A, 0))&lt;&gt;0,
INDEX(貼り付け用!E:E, MATCH("*【合計】*", 貼り付け用!$A:$A, 0)),"")</f>
        <v>#N/A</v>
      </c>
      <c r="F147" s="3" t="e">
        <f>IF(INDEX(貼り付け用!F:F, MATCH("*【合計】*", 貼り付け用!$A:$A, 0))&lt;&gt;0,
INDEX(貼り付け用!F:F, MATCH("*【合計】*", 貼り付け用!$A:$A, 0)),"")</f>
        <v>#N/A</v>
      </c>
      <c r="G147" s="3" t="e">
        <f>IF(INDEX(貼り付け用!G:G, MATCH("*【合計】*", 貼り付け用!$A:$A, 0))&lt;&gt;0,
INDEX(貼り付け用!G:G, MATCH("*【合計】*", 貼り付け用!$A:$A, 0)),"")</f>
        <v>#N/A</v>
      </c>
      <c r="H147" s="3" t="e">
        <f>IF(INDEX(貼り付け用!H:H, MATCH("*【合計】*", 貼り付け用!$A:$A, 0))&lt;&gt;0,
INDEX(貼り付け用!H:H, MATCH("*【合計】*", 貼り付け用!$A:$A, 0)),"")</f>
        <v>#N/A</v>
      </c>
      <c r="I147" s="3" t="e">
        <f>IF(INDEX(貼り付け用!I:I, MATCH("*【合計】*", 貼り付け用!$A:$A, 0))&lt;&gt;0,
INDEX(貼り付け用!I:I, MATCH("*【合計】*", 貼り付け用!$A:$A, 0)),"")</f>
        <v>#N/A</v>
      </c>
      <c r="J147" s="3" t="e">
        <f>IF(INDEX(貼り付け用!J:J, MATCH("*【合計】*", 貼り付け用!$A:$A, 0))&lt;&gt;0,
INDEX(貼り付け用!J:J, MATCH("*【合計】*", 貼り付け用!$A:$A, 0)),"")</f>
        <v>#N/A</v>
      </c>
      <c r="K147" s="3" t="e">
        <f>IF(INDEX(貼り付け用!K:K, MATCH("*【合計】*", 貼り付け用!$A:$A, 0))&lt;&gt;0,
INDEX(貼り付け用!K:K, MATCH("*【合計】*", 貼り付け用!$A:$A, 0)),"")</f>
        <v>#N/A</v>
      </c>
      <c r="L147" s="3" t="e">
        <f>IF(INDEX(貼り付け用!L:L, MATCH("*【合計】*", 貼り付け用!$A:$A, 0))&lt;&gt;0,
INDEX(貼り付け用!L:L, MATCH("*【合計】*", 貼り付け用!$A:$A, 0)),"")</f>
        <v>#N/A</v>
      </c>
      <c r="M147" s="3" t="e">
        <f>IF(INDEX(貼り付け用!M:M, MATCH("*【合計】*", 貼り付け用!$A:$A, 0))&lt;&gt;0,
INDEX(貼り付け用!M:M, MATCH("*【合計】*", 貼り付け用!$A:$A, 0)),"")</f>
        <v>#N/A</v>
      </c>
      <c r="N147" s="3" t="e">
        <f>IF(INDEX(貼り付け用!N:N, MATCH("*【合計】*", 貼り付け用!$A:$A, 0))&lt;&gt;0,
INDEX(貼り付け用!N:N, MATCH("*【合計】*", 貼り付け用!$A:$A, 0)),"")</f>
        <v>#N/A</v>
      </c>
      <c r="O147" s="3" t="e">
        <f>IF(INDEX(貼り付け用!O:O, MATCH("*【合計】*", 貼り付け用!$A:$A, 0))&lt;&gt;0,
INDEX(貼り付け用!O:O, MATCH("*【合計】*", 貼り付け用!$A:$A, 0)),"")</f>
        <v>#N/A</v>
      </c>
      <c r="P147" s="3" t="e">
        <f>IF(INDEX(貼り付け用!P:P, MATCH("*【合計】*", 貼り付け用!$A:$A, 0))&lt;&gt;0,
INDEX(貼り付け用!P:P, MATCH("*【合計】*", 貼り付け用!$A:$A, 0)),"")</f>
        <v>#N/A</v>
      </c>
      <c r="Q147" s="3" t="e">
        <f>IF(INDEX(貼り付け用!Q:Q, MATCH("*【合計】*", 貼り付け用!$A:$A, 0))&lt;&gt;0,
INDEX(貼り付け用!Q:Q, MATCH("*【合計】*", 貼り付け用!$A:$A, 0)),"")</f>
        <v>#N/A</v>
      </c>
      <c r="R147" s="3" t="e">
        <f>IF(INDEX(貼り付け用!R:R, MATCH("*【合計】*", 貼り付け用!$A:$A, 0))&lt;&gt;0,
INDEX(貼り付け用!R:R, MATCH("*【合計】*", 貼り付け用!$A:$A, 0)),"")</f>
        <v>#N/A</v>
      </c>
      <c r="S147" s="3" t="e">
        <f>IF(INDEX(貼り付け用!S:S, MATCH("*【合計】*", 貼り付け用!$A:$A, 0))&lt;&gt;0,
INDEX(貼り付け用!S:S, MATCH("*【合計】*", 貼り付け用!$A:$A, 0)),"")</f>
        <v>#N/A</v>
      </c>
      <c r="T147" s="3" t="e">
        <f>IF(INDEX(貼り付け用!T:T, MATCH("*【合計】*", 貼り付け用!$A:$A, 0))&lt;&gt;0,
INDEX(貼り付け用!T:T, MATCH("*【合計】*", 貼り付け用!$A:$A, 0)),"")</f>
        <v>#N/A</v>
      </c>
      <c r="U147" s="46"/>
      <c r="V147" s="46" t="e">
        <f>IF(INDEX(貼り付け用!U:U, MATCH("*【合計】*", 貼り付け用!$A:$A, 0))&lt;&gt;0,
INDEX(貼り付け用!U:U, MATCH("*【合計】*", 貼り付け用!$A:$A, 0)),"")</f>
        <v>#N/A</v>
      </c>
      <c r="W147" s="47" t="e">
        <f>IF(INDEX(貼り付け用!V:V, MATCH("*【合計】*", 貼り付け用!$A:$A, 0))&lt;&gt;0,
INDEX(貼り付け用!V:V, MATCH("*【合計】*", 貼り付け用!$A:$A, 0)),"")</f>
        <v>#N/A</v>
      </c>
    </row>
  </sheetData>
  <phoneticPr fontId="1"/>
  <pageMargins left="0.7" right="0.7" top="0.75" bottom="0.75" header="0.3" footer="0.3"/>
  <pageSetup paperSize="9" scale="26" orientation="portrait" horizontalDpi="1200" verticalDpi="12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N152"/>
  <sheetViews>
    <sheetView zoomScale="60" zoomScaleNormal="60" workbookViewId="0">
      <pane xSplit="1" ySplit="5" topLeftCell="B6" activePane="bottomRight" state="frozen"/>
      <selection pane="topRight" activeCell="B1" sqref="B1"/>
      <selection pane="bottomLeft" activeCell="A6" sqref="A6"/>
      <selection pane="bottomRight" activeCell="X4" sqref="X4"/>
    </sheetView>
  </sheetViews>
  <sheetFormatPr defaultRowHeight="18" x14ac:dyDescent="0.45"/>
  <cols>
    <col min="1" max="1" width="26.69921875" style="65" customWidth="1"/>
    <col min="2" max="2" width="8.796875" style="64" customWidth="1"/>
    <col min="3" max="3" width="3.59765625" style="64" customWidth="1"/>
    <col min="4" max="4" width="8.796875" style="64" customWidth="1"/>
    <col min="5" max="5" width="3.59765625" style="64" customWidth="1"/>
    <col min="6" max="6" width="8.796875" style="64" customWidth="1"/>
    <col min="7" max="7" width="3.59765625" style="64" customWidth="1"/>
    <col min="8" max="8" width="8.796875" style="64" customWidth="1"/>
    <col min="9" max="9" width="3.59765625" style="64" customWidth="1"/>
    <col min="10" max="10" width="8.796875" style="64" customWidth="1"/>
    <col min="11" max="11" width="3.59765625" style="64" customWidth="1"/>
    <col min="12" max="12" width="8.796875" style="64" customWidth="1"/>
    <col min="13" max="13" width="3.59765625" style="64" customWidth="1"/>
    <col min="14" max="14" width="8.796875" style="64" customWidth="1"/>
    <col min="15" max="15" width="3.59765625" style="64" customWidth="1"/>
    <col min="16" max="16" width="8.796875" style="64" customWidth="1"/>
    <col min="17" max="17" width="3.59765625" style="64" customWidth="1"/>
    <col min="18" max="18" width="8.796875" style="64" customWidth="1"/>
    <col min="19" max="19" width="3.59765625" style="64" customWidth="1"/>
    <col min="20" max="20" width="8.796875" style="64" customWidth="1"/>
    <col min="21" max="21" width="3.59765625" style="64" customWidth="1"/>
    <col min="22" max="22" width="11.3984375" style="66" customWidth="1"/>
    <col min="23" max="23" width="3.59765625" style="64" customWidth="1"/>
    <col min="24" max="24" width="11.3984375" style="66" customWidth="1"/>
    <col min="25" max="25" width="3.59765625" style="64" customWidth="1"/>
    <col min="26" max="26" width="11.3984375" style="66" customWidth="1"/>
    <col min="27" max="27" width="3.59765625" style="64" customWidth="1"/>
    <col min="28" max="28" width="11.3984375" style="66" customWidth="1"/>
    <col min="29" max="29" width="3.59765625" style="64" customWidth="1"/>
    <col min="30" max="30" width="11.3984375" style="66" customWidth="1"/>
    <col min="31" max="31" width="3.59765625" style="64" customWidth="1"/>
    <col min="32" max="32" width="11.3984375" style="66" customWidth="1"/>
    <col min="33" max="33" width="3.59765625" style="64" customWidth="1"/>
    <col min="34" max="34" width="11.3984375" style="66" customWidth="1"/>
    <col min="35" max="35" width="3.59765625" style="64" customWidth="1"/>
    <col min="36" max="36" width="11.3984375" style="66" customWidth="1"/>
    <col min="37" max="37" width="3.59765625" style="64" customWidth="1"/>
    <col min="38" max="38" width="11.3984375" style="66" customWidth="1"/>
    <col min="39" max="39" width="32.796875" style="65" customWidth="1"/>
    <col min="40" max="40" width="27.69921875" style="65" customWidth="1"/>
  </cols>
  <sheetData>
    <row r="1" spans="1:40" x14ac:dyDescent="0.45">
      <c r="A1"/>
      <c r="V1" s="64"/>
      <c r="X1" s="64"/>
      <c r="Z1" s="64"/>
      <c r="AB1" s="64"/>
      <c r="AD1" s="64"/>
      <c r="AF1" s="64"/>
      <c r="AH1" s="64"/>
      <c r="AJ1" s="64"/>
      <c r="AK1" s="61"/>
      <c r="AL1" s="62"/>
      <c r="AM1" s="63" t="s">
        <v>14</v>
      </c>
      <c r="AN1"/>
    </row>
    <row r="2" spans="1:40" s="14" customFormat="1" ht="26.4" customHeight="1" x14ac:dyDescent="0.45">
      <c r="A2" s="14" t="str">
        <f>貼り付け用!A2&amp;"　"&amp;貼り付け用!B2&amp;"　"&amp;貼り付け用!C2</f>
        <v>　　</v>
      </c>
      <c r="B2" s="15"/>
      <c r="C2" s="45"/>
      <c r="D2" s="15"/>
      <c r="E2" s="45"/>
      <c r="F2" s="15"/>
      <c r="G2" s="45"/>
      <c r="H2" s="15"/>
      <c r="I2" s="45"/>
      <c r="J2" s="15"/>
      <c r="K2" s="45"/>
      <c r="L2" s="15"/>
      <c r="M2" s="45"/>
      <c r="N2" s="15"/>
      <c r="O2" s="45"/>
      <c r="P2" s="45" t="s">
        <v>0</v>
      </c>
      <c r="Q2" s="45"/>
      <c r="R2" s="45"/>
      <c r="S2" s="45"/>
      <c r="T2" s="45" t="s">
        <v>1</v>
      </c>
      <c r="U2" s="45"/>
      <c r="V2" s="45"/>
      <c r="W2" s="45"/>
      <c r="X2" s="45" t="s">
        <v>0</v>
      </c>
      <c r="Y2" s="45"/>
      <c r="Z2" s="15"/>
      <c r="AA2" s="45"/>
      <c r="AB2" s="64" t="s">
        <v>2</v>
      </c>
      <c r="AC2" s="45"/>
      <c r="AD2" s="64"/>
      <c r="AE2" s="45"/>
      <c r="AF2" s="64"/>
      <c r="AG2" s="45"/>
      <c r="AI2" s="45"/>
      <c r="AJ2" s="64"/>
      <c r="AK2" s="45"/>
      <c r="AL2" s="64" t="s">
        <v>3</v>
      </c>
      <c r="AM2" s="14" t="str">
        <f>貼り付け用!T2&amp;"　"&amp;貼り付け用!U2&amp;"　"&amp;貼り付け用!V2&amp;"　"&amp;貼り付け用!W2</f>
        <v>　　　</v>
      </c>
    </row>
    <row r="3" spans="1:40" s="106" customFormat="1" ht="13.2" x14ac:dyDescent="0.45">
      <c r="A3" s="93"/>
      <c r="B3" s="94" t="s">
        <v>4</v>
      </c>
      <c r="C3" s="95"/>
      <c r="D3" s="96" t="s">
        <v>4</v>
      </c>
      <c r="E3" s="95"/>
      <c r="F3" s="97" t="s">
        <v>5</v>
      </c>
      <c r="G3" s="95"/>
      <c r="H3" s="98" t="s">
        <v>5</v>
      </c>
      <c r="I3" s="95"/>
      <c r="J3" s="99" t="s">
        <v>5</v>
      </c>
      <c r="K3" s="95"/>
      <c r="L3" s="97" t="s">
        <v>6</v>
      </c>
      <c r="M3" s="95"/>
      <c r="N3" s="100" t="s">
        <v>6</v>
      </c>
      <c r="O3" s="95"/>
      <c r="P3" s="101" t="s">
        <v>6</v>
      </c>
      <c r="Q3" s="95"/>
      <c r="R3" s="100" t="s">
        <v>6</v>
      </c>
      <c r="S3" s="95"/>
      <c r="T3" s="99" t="s">
        <v>6</v>
      </c>
      <c r="U3" s="95"/>
      <c r="V3" s="102" t="str">
        <f>数出表_Excel!L3</f>
        <v>商品予定名</v>
      </c>
      <c r="W3" s="95"/>
      <c r="X3" s="102" t="str">
        <f ca="1">数出表_Excel!M3</f>
        <v/>
      </c>
      <c r="Y3" s="95"/>
      <c r="Z3" s="102" t="str">
        <f ca="1">数出表_Excel!N3</f>
        <v/>
      </c>
      <c r="AA3" s="95"/>
      <c r="AB3" s="102" t="str">
        <f ca="1">数出表_Excel!O3</f>
        <v/>
      </c>
      <c r="AC3" s="95"/>
      <c r="AD3" s="102" t="str">
        <f ca="1">数出表_Excel!P3</f>
        <v/>
      </c>
      <c r="AE3" s="95"/>
      <c r="AF3" s="102" t="str">
        <f ca="1">数出表_Excel!Q3</f>
        <v/>
      </c>
      <c r="AG3" s="95"/>
      <c r="AH3" s="102" t="str">
        <f ca="1">数出表_Excel!R3</f>
        <v/>
      </c>
      <c r="AI3" s="95"/>
      <c r="AJ3" s="102" t="str">
        <f ca="1">数出表_Excel!S3</f>
        <v/>
      </c>
      <c r="AK3" s="95"/>
      <c r="AL3" s="103" t="s">
        <v>8</v>
      </c>
      <c r="AM3" s="104"/>
      <c r="AN3" s="105"/>
    </row>
    <row r="4" spans="1:40" s="106" customFormat="1" ht="13.2" x14ac:dyDescent="0.45">
      <c r="A4" s="107">
        <f>貼り付け用!A4</f>
        <v>0</v>
      </c>
      <c r="B4" s="108" t="s">
        <v>9</v>
      </c>
      <c r="C4" s="108"/>
      <c r="D4" s="108" t="s">
        <v>9</v>
      </c>
      <c r="E4" s="108"/>
      <c r="F4" s="108" t="s">
        <v>9</v>
      </c>
      <c r="G4" s="108"/>
      <c r="H4" s="108" t="s">
        <v>10</v>
      </c>
      <c r="I4" s="108"/>
      <c r="J4" s="108" t="s">
        <v>11</v>
      </c>
      <c r="K4" s="108"/>
      <c r="L4" s="108" t="s">
        <v>9</v>
      </c>
      <c r="M4" s="108"/>
      <c r="N4" s="108" t="s">
        <v>9</v>
      </c>
      <c r="O4" s="108"/>
      <c r="P4" s="108" t="s">
        <v>10</v>
      </c>
      <c r="Q4" s="108"/>
      <c r="R4" s="108" t="s">
        <v>10</v>
      </c>
      <c r="S4" s="108"/>
      <c r="T4" s="108" t="s">
        <v>11</v>
      </c>
      <c r="U4" s="108"/>
      <c r="V4" s="109"/>
      <c r="W4" s="108"/>
      <c r="X4" s="110">
        <f>IF(V3&lt;&gt;"",IF(AND(COUNTIF(貼り付け用!$L$3:$Z$3,"*"&amp;SUBSTITUTE(V3,"　","")&amp;"*"),LEN(SUBSTITUTE(V3,"　",""))&gt;2),
LEN(SUBSTITUTE(V3,"　","")),
IF(AND(COUNTIF(貼り付け用!$L$3:$Z$3,"*"&amp;LEFT(SUBSTITUTE(V3,"　",""),LEN(SUBSTITUTE(V3,"　",""))-1)&amp;"*"),LEN(LEFT(SUBSTITUTE(V3,"　",""),LEN(SUBSTITUTE(V3,"　",""))-1))&gt;2),
LEN(LEFT(SUBSTITUTE(V3,"　",""),LEN(SUBSTITUTE(V3,"　",""))-1)),
IF(AND(COUNTIF(貼り付け用!$L$3:$Z$3,"*"&amp;LEFT(SUBSTITUTE(V3,"　",""),LEN(SUBSTITUTE(V3,"　",""))-2)&amp;"*"),LEN(LEFT(SUBSTITUTE(V3,"　",""),LEN(SUBSTITUTE(V3,"　",""))-2))&gt;2),
LEN(LEFT(SUBSTITUTE(V3,"　",""),LEN(SUBSTITUTE(V3,"　",""))-2)),
IF(AND(COUNTIF(貼り付け用!$L$3:$Z$3,"*"&amp;LEFT(SUBSTITUTE(V3,"　",""),LEN(SUBSTITUTE(V3,"　",""))-3)&amp;"*"),LEN(LEFT(SUBSTITUTE(V3,"　",""),LEN(SUBSTITUTE(V3,"　",""))-3))&gt;2),
LEN(LEFT(SUBSTITUTE(V3,"　",""),LEN(SUBSTITUTE(V3,"　",""))-3)),
IF(AND(COUNTIF(貼り付け用!$L$3:$Z$3,"*"&amp;LEFT(SUBSTITUTE(V3,"　",""),LEN(SUBSTITUTE(V3,"　",""))-4)&amp;"*"),LEN(LEFT(SUBSTITUTE(V3,"　",""),LEN(SUBSTITUTE(V3,"　",""))-4))&gt;2),
LEN(LEFT(SUBSTITUTE(V3,"　",""),LEN(SUBSTITUTE(V3,"　",""))-4)),
10))))),"")</f>
        <v>10</v>
      </c>
      <c r="Y4" s="108"/>
      <c r="Z4" s="110" t="str">
        <f ca="1">IF(X3&lt;&gt;"",IF(AND(COUNTIF(貼り付け用!$L$3:$Z$3,"*"&amp;SUBSTITUTE(X3,"　","")&amp;"*"),LEN(SUBSTITUTE(X3,"　",""))&gt;2),
LEN(SUBSTITUTE(X3,"　","")),
IF(AND(COUNTIF(貼り付け用!$L$3:$Z$3,"*"&amp;LEFT(SUBSTITUTE(X3,"　",""),LEN(SUBSTITUTE(X3,"　",""))-1)&amp;"*"),LEN(LEFT(SUBSTITUTE(X3,"　",""),LEN(SUBSTITUTE(X3,"　",""))-1))&gt;2),
LEN(LEFT(SUBSTITUTE(X3,"　",""),LEN(SUBSTITUTE(X3,"　",""))-1)),
IF(AND(COUNTIF(貼り付け用!$L$3:$Z$3,"*"&amp;LEFT(SUBSTITUTE(X3,"　",""),LEN(SUBSTITUTE(X3,"　",""))-2)&amp;"*"),LEN(LEFT(SUBSTITUTE(X3,"　",""),LEN(SUBSTITUTE(X3,"　",""))-2))&gt;2),
LEN(LEFT(SUBSTITUTE(X3,"　",""),LEN(SUBSTITUTE(X3,"　",""))-2)),
IF(AND(COUNTIF(貼り付け用!$L$3:$Z$3,"*"&amp;LEFT(SUBSTITUTE(X3,"　",""),LEN(SUBSTITUTE(X3,"　",""))-3)&amp;"*"),LEN(LEFT(SUBSTITUTE(X3,"　",""),LEN(SUBSTITUTE(X3,"　",""))-3))&gt;2),
LEN(LEFT(SUBSTITUTE(X3,"　",""),LEN(SUBSTITUTE(X3,"　",""))-3)),
IF(AND(COUNTIF(貼り付け用!$L$3:$Z$3,"*"&amp;LEFT(SUBSTITUTE(X3,"　",""),LEN(SUBSTITUTE(X3,"　",""))-4)&amp;"*"),LEN(LEFT(SUBSTITUTE(X3,"　",""),LEN(SUBSTITUTE(X3,"　",""))-4))&gt;2),
LEN(LEFT(SUBSTITUTE(X3,"　",""),LEN(SUBSTITUTE(X3,"　",""))-4)),
10))))),"")</f>
        <v/>
      </c>
      <c r="AA4" s="108"/>
      <c r="AB4" s="110" t="str">
        <f ca="1">IF(Z3&lt;&gt;"",IF(AND(COUNTIF(貼り付け用!$L$3:$Z$3,"*"&amp;SUBSTITUTE(Z3,"　","")&amp;"*"),LEN(SUBSTITUTE(Z3,"　",""))&gt;2),
LEN(SUBSTITUTE(Z3,"　","")),
IF(AND(COUNTIF(貼り付け用!$L$3:$Z$3,"*"&amp;LEFT(SUBSTITUTE(Z3,"　",""),LEN(SUBSTITUTE(Z3,"　",""))-1)&amp;"*"),LEN(LEFT(SUBSTITUTE(Z3,"　",""),LEN(SUBSTITUTE(Z3,"　",""))-1))&gt;2),
LEN(LEFT(SUBSTITUTE(Z3,"　",""),LEN(SUBSTITUTE(Z3,"　",""))-1)),
IF(AND(COUNTIF(貼り付け用!$L$3:$Z$3,"*"&amp;LEFT(SUBSTITUTE(Z3,"　",""),LEN(SUBSTITUTE(Z3,"　",""))-2)&amp;"*"),LEN(LEFT(SUBSTITUTE(Z3,"　",""),LEN(SUBSTITUTE(Z3,"　",""))-2))&gt;2),
LEN(LEFT(SUBSTITUTE(Z3,"　",""),LEN(SUBSTITUTE(Z3,"　",""))-2)),
IF(AND(COUNTIF(貼り付け用!$L$3:$Z$3,"*"&amp;LEFT(SUBSTITUTE(Z3,"　",""),LEN(SUBSTITUTE(Z3,"　",""))-3)&amp;"*"),LEN(LEFT(SUBSTITUTE(Z3,"　",""),LEN(SUBSTITUTE(Z3,"　",""))-3))&gt;2),
LEN(LEFT(SUBSTITUTE(Z3,"　",""),LEN(SUBSTITUTE(Z3,"　",""))-3)),
IF(AND(COUNTIF(貼り付け用!$L$3:$Z$3,"*"&amp;LEFT(SUBSTITUTE(Z3,"　",""),LEN(SUBSTITUTE(Z3,"　",""))-4)&amp;"*"),LEN(LEFT(SUBSTITUTE(Z3,"　",""),LEN(SUBSTITUTE(Z3,"　",""))-4))&gt;2),
LEN(LEFT(SUBSTITUTE(Z3,"　",""),LEN(SUBSTITUTE(Z3,"　",""))-4)),
10))))),"")</f>
        <v/>
      </c>
      <c r="AC4" s="108"/>
      <c r="AD4" s="110" t="str">
        <f ca="1">IF(AB3&lt;&gt;"",IF(AND(COUNTIF(貼り付け用!$L$3:$Z$3,"*"&amp;SUBSTITUTE(AB3,"　","")&amp;"*"),LEN(SUBSTITUTE(AB3,"　",""))&gt;2),
LEN(SUBSTITUTE(AB3,"　","")),
IF(AND(COUNTIF(貼り付け用!$L$3:$Z$3,"*"&amp;LEFT(SUBSTITUTE(AB3,"　",""),LEN(SUBSTITUTE(AB3,"　",""))-1)&amp;"*"),LEN(LEFT(SUBSTITUTE(AB3,"　",""),LEN(SUBSTITUTE(AB3,"　",""))-1))&gt;2),
LEN(LEFT(SUBSTITUTE(AB3,"　",""),LEN(SUBSTITUTE(AB3,"　",""))-1)),
IF(AND(COUNTIF(貼り付け用!$L$3:$Z$3,"*"&amp;LEFT(SUBSTITUTE(AB3,"　",""),LEN(SUBSTITUTE(AB3,"　",""))-2)&amp;"*"),LEN(LEFT(SUBSTITUTE(AB3,"　",""),LEN(SUBSTITUTE(AB3,"　",""))-2))&gt;2),
LEN(LEFT(SUBSTITUTE(AB3,"　",""),LEN(SUBSTITUTE(AB3,"　",""))-2)),
IF(AND(COUNTIF(貼り付け用!$L$3:$Z$3,"*"&amp;LEFT(SUBSTITUTE(AB3,"　",""),LEN(SUBSTITUTE(AB3,"　",""))-3)&amp;"*"),LEN(LEFT(SUBSTITUTE(AB3,"　",""),LEN(SUBSTITUTE(AB3,"　",""))-3))&gt;2),
LEN(LEFT(SUBSTITUTE(AB3,"　",""),LEN(SUBSTITUTE(AB3,"　",""))-3)),
IF(AND(COUNTIF(貼り付け用!$L$3:$Z$3,"*"&amp;LEFT(SUBSTITUTE(AB3,"　",""),LEN(SUBSTITUTE(AB3,"　",""))-4)&amp;"*"),LEN(LEFT(SUBSTITUTE(AB3,"　",""),LEN(SUBSTITUTE(AB3,"　",""))-4))&gt;2),
LEN(LEFT(SUBSTITUTE(AB3,"　",""),LEN(SUBSTITUTE(AB3,"　",""))-4)),
10))))),"")</f>
        <v/>
      </c>
      <c r="AE4" s="108"/>
      <c r="AF4" s="110" t="str">
        <f ca="1">IF(AD3&lt;&gt;"",IF(AND(COUNTIF(貼り付け用!$L$3:$Z$3,"*"&amp;SUBSTITUTE(AD3,"　","")&amp;"*"),LEN(SUBSTITUTE(AD3,"　",""))&gt;2),
LEN(SUBSTITUTE(AD3,"　","")),
IF(AND(COUNTIF(貼り付け用!$L$3:$Z$3,"*"&amp;LEFT(SUBSTITUTE(AD3,"　",""),LEN(SUBSTITUTE(AD3,"　",""))-1)&amp;"*"),LEN(LEFT(SUBSTITUTE(AD3,"　",""),LEN(SUBSTITUTE(AD3,"　",""))-1))&gt;2),
LEN(LEFT(SUBSTITUTE(AD3,"　",""),LEN(SUBSTITUTE(AD3,"　",""))-1)),
IF(AND(COUNTIF(貼り付け用!$L$3:$Z$3,"*"&amp;LEFT(SUBSTITUTE(AD3,"　",""),LEN(SUBSTITUTE(AD3,"　",""))-2)&amp;"*"),LEN(LEFT(SUBSTITUTE(AD3,"　",""),LEN(SUBSTITUTE(AD3,"　",""))-2))&gt;2),
LEN(LEFT(SUBSTITUTE(AD3,"　",""),LEN(SUBSTITUTE(AD3,"　",""))-2)),
IF(AND(COUNTIF(貼り付け用!$L$3:$Z$3,"*"&amp;LEFT(SUBSTITUTE(AD3,"　",""),LEN(SUBSTITUTE(AD3,"　",""))-3)&amp;"*"),LEN(LEFT(SUBSTITUTE(AD3,"　",""),LEN(SUBSTITUTE(AD3,"　",""))-3))&gt;2),
LEN(LEFT(SUBSTITUTE(AD3,"　",""),LEN(SUBSTITUTE(AD3,"　",""))-3)),
IF(AND(COUNTIF(貼り付け用!$L$3:$Z$3,"*"&amp;LEFT(SUBSTITUTE(AD3,"　",""),LEN(SUBSTITUTE(AD3,"　",""))-4)&amp;"*"),LEN(LEFT(SUBSTITUTE(AD3,"　",""),LEN(SUBSTITUTE(AD3,"　",""))-4))&gt;2),
LEN(LEFT(SUBSTITUTE(AD3,"　",""),LEN(SUBSTITUTE(AD3,"　",""))-4)),
10))))),"")</f>
        <v/>
      </c>
      <c r="AG4" s="108"/>
      <c r="AH4" s="110" t="str">
        <f ca="1">IF(AF3&lt;&gt;"",IF(AND(COUNTIF(貼り付け用!$L$3:$Z$3,"*"&amp;SUBSTITUTE(AF3,"　","")&amp;"*"),LEN(SUBSTITUTE(AF3,"　",""))&gt;2),
LEN(SUBSTITUTE(AF3,"　","")),
IF(AND(COUNTIF(貼り付け用!$L$3:$Z$3,"*"&amp;LEFT(SUBSTITUTE(AF3,"　",""),LEN(SUBSTITUTE(AF3,"　",""))-1)&amp;"*"),LEN(LEFT(SUBSTITUTE(AF3,"　",""),LEN(SUBSTITUTE(AF3,"　",""))-1))&gt;2),
LEN(LEFT(SUBSTITUTE(AF3,"　",""),LEN(SUBSTITUTE(AF3,"　",""))-1)),
IF(AND(COUNTIF(貼り付け用!$L$3:$Z$3,"*"&amp;LEFT(SUBSTITUTE(AF3,"　",""),LEN(SUBSTITUTE(AF3,"　",""))-2)&amp;"*"),LEN(LEFT(SUBSTITUTE(AF3,"　",""),LEN(SUBSTITUTE(AF3,"　",""))-2))&gt;2),
LEN(LEFT(SUBSTITUTE(AF3,"　",""),LEN(SUBSTITUTE(AF3,"　",""))-2)),
IF(AND(COUNTIF(貼り付け用!$L$3:$Z$3,"*"&amp;LEFT(SUBSTITUTE(AF3,"　",""),LEN(SUBSTITUTE(AF3,"　",""))-3)&amp;"*"),LEN(LEFT(SUBSTITUTE(AF3,"　",""),LEN(SUBSTITUTE(AF3,"　",""))-3))&gt;2),
LEN(LEFT(SUBSTITUTE(AF3,"　",""),LEN(SUBSTITUTE(AF3,"　",""))-3)),
IF(AND(COUNTIF(貼り付け用!$L$3:$Z$3,"*"&amp;LEFT(SUBSTITUTE(AF3,"　",""),LEN(SUBSTITUTE(AF3,"　",""))-4)&amp;"*"),LEN(LEFT(SUBSTITUTE(AF3,"　",""),LEN(SUBSTITUTE(AF3,"　",""))-4))&gt;2),
LEN(LEFT(SUBSTITUTE(AF3,"　",""),LEN(SUBSTITUTE(AF3,"　",""))-4)),
10))))),"")</f>
        <v/>
      </c>
      <c r="AI4" s="108"/>
      <c r="AJ4" s="110" t="str">
        <f ca="1">IF(AH3&lt;&gt;"",IF(AND(COUNTIF(貼り付け用!$L$3:$Z$3,"*"&amp;SUBSTITUTE(AH3,"　","")&amp;"*"),LEN(SUBSTITUTE(AH3,"　",""))&gt;2),
LEN(SUBSTITUTE(AH3,"　","")),
IF(AND(COUNTIF(貼り付け用!$L$3:$Z$3,"*"&amp;LEFT(SUBSTITUTE(AH3,"　",""),LEN(SUBSTITUTE(AH3,"　",""))-1)&amp;"*"),LEN(LEFT(SUBSTITUTE(AH3,"　",""),LEN(SUBSTITUTE(AH3,"　",""))-1))&gt;2),
LEN(LEFT(SUBSTITUTE(AH3,"　",""),LEN(SUBSTITUTE(AH3,"　",""))-1)),
IF(AND(COUNTIF(貼り付け用!$L$3:$Z$3,"*"&amp;LEFT(SUBSTITUTE(AH3,"　",""),LEN(SUBSTITUTE(AH3,"　",""))-2)&amp;"*"),LEN(LEFT(SUBSTITUTE(AH3,"　",""),LEN(SUBSTITUTE(AH3,"　",""))-2))&gt;2),
LEN(LEFT(SUBSTITUTE(AH3,"　",""),LEN(SUBSTITUTE(AH3,"　",""))-2)),
IF(AND(COUNTIF(貼り付け用!$L$3:$Z$3,"*"&amp;LEFT(SUBSTITUTE(AH3,"　",""),LEN(SUBSTITUTE(AH3,"　",""))-3)&amp;"*"),LEN(LEFT(SUBSTITUTE(AH3,"　",""),LEN(SUBSTITUTE(AH3,"　",""))-3))&gt;2),
LEN(LEFT(SUBSTITUTE(AH3,"　",""),LEN(SUBSTITUTE(AH3,"　",""))-3)),
IF(AND(COUNTIF(貼り付け用!$L$3:$Z$3,"*"&amp;LEFT(SUBSTITUTE(AH3,"　",""),LEN(SUBSTITUTE(AH3,"　",""))-4)&amp;"*"),LEN(LEFT(SUBSTITUTE(AH3,"　",""),LEN(SUBSTITUTE(AH3,"　",""))-4))&gt;2),
LEN(LEFT(SUBSTITUTE(AH3,"　",""),LEN(SUBSTITUTE(AH3,"　",""))-4)),
10))))),"")</f>
        <v/>
      </c>
      <c r="AK4" s="108"/>
      <c r="AL4" s="110"/>
      <c r="AM4" s="111"/>
      <c r="AN4" s="112"/>
    </row>
    <row r="5" spans="1:40" s="106" customFormat="1" ht="13.2" x14ac:dyDescent="0.45">
      <c r="A5" s="113"/>
      <c r="B5" s="108">
        <v>100</v>
      </c>
      <c r="C5" s="108"/>
      <c r="D5" s="108">
        <v>150</v>
      </c>
      <c r="E5" s="108"/>
      <c r="F5" s="108">
        <v>120</v>
      </c>
      <c r="G5" s="108"/>
      <c r="H5" s="108" t="s">
        <v>12</v>
      </c>
      <c r="I5" s="108"/>
      <c r="J5" s="108"/>
      <c r="K5" s="108"/>
      <c r="L5" s="108">
        <v>120</v>
      </c>
      <c r="M5" s="108"/>
      <c r="N5" s="108">
        <v>100</v>
      </c>
      <c r="O5" s="108"/>
      <c r="P5" s="108" t="s">
        <v>12</v>
      </c>
      <c r="Q5" s="108"/>
      <c r="R5" s="108" t="s">
        <v>13</v>
      </c>
      <c r="S5" s="108"/>
      <c r="T5" s="108"/>
      <c r="U5" s="108"/>
      <c r="V5" s="103"/>
      <c r="W5" s="108"/>
      <c r="X5" s="103"/>
      <c r="Y5" s="108"/>
      <c r="Z5" s="103"/>
      <c r="AA5" s="108"/>
      <c r="AB5" s="103"/>
      <c r="AC5" s="108"/>
      <c r="AD5" s="103"/>
      <c r="AE5" s="108"/>
      <c r="AF5" s="103"/>
      <c r="AG5" s="108"/>
      <c r="AH5" s="103"/>
      <c r="AI5" s="108"/>
      <c r="AJ5" s="103"/>
      <c r="AK5" s="108"/>
      <c r="AL5" s="103"/>
      <c r="AM5" s="111"/>
      <c r="AN5" s="112"/>
    </row>
    <row r="6" spans="1:40" x14ac:dyDescent="0.45">
      <c r="A6" s="5" t="e">
        <f>数出表_Excel!A6</f>
        <v>#N/A</v>
      </c>
      <c r="B6" s="16" t="e">
        <f>数出表_Excel!B6</f>
        <v>#N/A</v>
      </c>
      <c r="C6" s="60"/>
      <c r="D6" s="16" t="e">
        <f>数出表_Excel!C6</f>
        <v>#N/A</v>
      </c>
      <c r="E6" s="60"/>
      <c r="F6" s="16" t="e">
        <f>数出表_Excel!D6</f>
        <v>#N/A</v>
      </c>
      <c r="G6" s="60"/>
      <c r="H6" s="16" t="e">
        <f>数出表_Excel!E6</f>
        <v>#N/A</v>
      </c>
      <c r="I6" s="60"/>
      <c r="J6" s="16" t="e">
        <f>数出表_Excel!F6</f>
        <v>#N/A</v>
      </c>
      <c r="K6" s="60"/>
      <c r="L6" s="16" t="e">
        <f>数出表_Excel!G6</f>
        <v>#N/A</v>
      </c>
      <c r="M6" s="60"/>
      <c r="N6" s="16" t="e">
        <f>数出表_Excel!H6</f>
        <v>#N/A</v>
      </c>
      <c r="O6" s="60"/>
      <c r="P6" s="16" t="e">
        <f>数出表_Excel!I6</f>
        <v>#N/A</v>
      </c>
      <c r="Q6" s="60"/>
      <c r="R6" s="16" t="e">
        <f>数出表_Excel!J6</f>
        <v>#N/A</v>
      </c>
      <c r="S6" s="60"/>
      <c r="T6" s="16" t="e">
        <f>数出表_Excel!K6</f>
        <v>#N/A</v>
      </c>
      <c r="U6" s="60"/>
      <c r="V6" s="16" t="e">
        <f>数出表_Excel!L6</f>
        <v>#N/A</v>
      </c>
      <c r="W6" s="60"/>
      <c r="X6" s="16" t="e">
        <f>数出表_Excel!M6</f>
        <v>#N/A</v>
      </c>
      <c r="Y6" s="60"/>
      <c r="Z6" s="16" t="e">
        <f>数出表_Excel!N6</f>
        <v>#N/A</v>
      </c>
      <c r="AA6" s="60"/>
      <c r="AB6" s="16" t="e">
        <f>数出表_Excel!O6</f>
        <v>#N/A</v>
      </c>
      <c r="AC6" s="60"/>
      <c r="AD6" s="16" t="e">
        <f>数出表_Excel!P6</f>
        <v>#N/A</v>
      </c>
      <c r="AE6" s="60"/>
      <c r="AF6" s="16" t="e">
        <f>数出表_Excel!Q6</f>
        <v>#N/A</v>
      </c>
      <c r="AG6" s="60"/>
      <c r="AH6" s="16" t="e">
        <f>数出表_Excel!R6</f>
        <v>#N/A</v>
      </c>
      <c r="AI6" s="60"/>
      <c r="AJ6" s="16" t="e">
        <f>数出表_Excel!T6</f>
        <v>#N/A</v>
      </c>
      <c r="AK6" s="60"/>
      <c r="AL6" s="16" t="e">
        <f>数出表_Excel!T6</f>
        <v>#N/A</v>
      </c>
      <c r="AM6" s="5" t="e">
        <f>数出表_Excel!V6</f>
        <v>#N/A</v>
      </c>
      <c r="AN6" s="7" t="e">
        <f>数出表_Excel!W6</f>
        <v>#N/A</v>
      </c>
    </row>
    <row r="7" spans="1:40" x14ac:dyDescent="0.45">
      <c r="A7" s="8" t="e">
        <f>数出表_Excel!A7</f>
        <v>#N/A</v>
      </c>
      <c r="B7" s="46" t="e">
        <f>数出表_Excel!B7</f>
        <v>#N/A</v>
      </c>
      <c r="C7" s="46"/>
      <c r="D7" s="46" t="e">
        <f>数出表_Excel!C7</f>
        <v>#N/A</v>
      </c>
      <c r="E7" s="46"/>
      <c r="F7" s="46" t="e">
        <f>数出表_Excel!D7</f>
        <v>#N/A</v>
      </c>
      <c r="G7" s="46"/>
      <c r="H7" s="46" t="e">
        <f>数出表_Excel!E7</f>
        <v>#N/A</v>
      </c>
      <c r="I7" s="46"/>
      <c r="J7" s="46" t="e">
        <f>数出表_Excel!F7</f>
        <v>#N/A</v>
      </c>
      <c r="K7" s="46"/>
      <c r="L7" s="46" t="e">
        <f>数出表_Excel!G7</f>
        <v>#N/A</v>
      </c>
      <c r="M7" s="46"/>
      <c r="N7" s="46" t="e">
        <f>数出表_Excel!H7</f>
        <v>#N/A</v>
      </c>
      <c r="O7" s="46"/>
      <c r="P7" s="46" t="e">
        <f>数出表_Excel!I7</f>
        <v>#N/A</v>
      </c>
      <c r="Q7" s="46"/>
      <c r="R7" s="46" t="e">
        <f>数出表_Excel!J7</f>
        <v>#N/A</v>
      </c>
      <c r="S7" s="46"/>
      <c r="T7" s="46" t="e">
        <f>数出表_Excel!K7</f>
        <v>#N/A</v>
      </c>
      <c r="U7" s="46"/>
      <c r="V7" s="46" t="e">
        <f>数出表_Excel!L7</f>
        <v>#N/A</v>
      </c>
      <c r="W7" s="46"/>
      <c r="X7" s="46" t="e">
        <f>数出表_Excel!M7</f>
        <v>#N/A</v>
      </c>
      <c r="Y7" s="46"/>
      <c r="Z7" s="46" t="e">
        <f>数出表_Excel!N7</f>
        <v>#N/A</v>
      </c>
      <c r="AA7" s="46"/>
      <c r="AB7" s="46" t="e">
        <f>数出表_Excel!O7</f>
        <v>#N/A</v>
      </c>
      <c r="AC7" s="46"/>
      <c r="AD7" s="46" t="e">
        <f>数出表_Excel!P7</f>
        <v>#N/A</v>
      </c>
      <c r="AE7" s="46"/>
      <c r="AF7" s="46" t="e">
        <f>数出表_Excel!Q7</f>
        <v>#N/A</v>
      </c>
      <c r="AG7" s="46"/>
      <c r="AH7" s="46" t="e">
        <f>数出表_Excel!R7</f>
        <v>#N/A</v>
      </c>
      <c r="AI7" s="46"/>
      <c r="AJ7" s="46" t="e">
        <f>数出表_Excel!T7</f>
        <v>#N/A</v>
      </c>
      <c r="AK7" s="46"/>
      <c r="AL7" s="46" t="e">
        <f>数出表_Excel!T7</f>
        <v>#N/A</v>
      </c>
      <c r="AM7" s="8" t="e">
        <f>数出表_Excel!V7</f>
        <v>#N/A</v>
      </c>
      <c r="AN7" s="9" t="e">
        <f>数出表_Excel!W7</f>
        <v>#N/A</v>
      </c>
    </row>
    <row r="8" spans="1:40" x14ac:dyDescent="0.45">
      <c r="A8" s="5" t="e">
        <f>数出表_Excel!A8</f>
        <v>#N/A</v>
      </c>
      <c r="B8" s="16" t="e">
        <f>数出表_Excel!B8</f>
        <v>#N/A</v>
      </c>
      <c r="C8" s="60"/>
      <c r="D8" s="16" t="e">
        <f>数出表_Excel!C8</f>
        <v>#N/A</v>
      </c>
      <c r="E8" s="60"/>
      <c r="F8" s="16" t="e">
        <f>数出表_Excel!D8</f>
        <v>#N/A</v>
      </c>
      <c r="G8" s="60"/>
      <c r="H8" s="16" t="e">
        <f>数出表_Excel!E8</f>
        <v>#N/A</v>
      </c>
      <c r="I8" s="60"/>
      <c r="J8" s="16" t="e">
        <f>数出表_Excel!F8</f>
        <v>#N/A</v>
      </c>
      <c r="K8" s="60"/>
      <c r="L8" s="16" t="e">
        <f>数出表_Excel!G8</f>
        <v>#N/A</v>
      </c>
      <c r="M8" s="60"/>
      <c r="N8" s="16" t="e">
        <f>数出表_Excel!H8</f>
        <v>#N/A</v>
      </c>
      <c r="O8" s="60"/>
      <c r="P8" s="16" t="e">
        <f>数出表_Excel!I8</f>
        <v>#N/A</v>
      </c>
      <c r="Q8" s="60"/>
      <c r="R8" s="16" t="e">
        <f>数出表_Excel!J8</f>
        <v>#N/A</v>
      </c>
      <c r="S8" s="60"/>
      <c r="T8" s="16" t="e">
        <f>数出表_Excel!K8</f>
        <v>#N/A</v>
      </c>
      <c r="U8" s="60"/>
      <c r="V8" s="16" t="e">
        <f>数出表_Excel!L8</f>
        <v>#N/A</v>
      </c>
      <c r="W8" s="60"/>
      <c r="X8" s="16" t="e">
        <f>数出表_Excel!M8</f>
        <v>#N/A</v>
      </c>
      <c r="Y8" s="60"/>
      <c r="Z8" s="16" t="e">
        <f>数出表_Excel!N8</f>
        <v>#N/A</v>
      </c>
      <c r="AA8" s="60"/>
      <c r="AB8" s="16" t="e">
        <f>数出表_Excel!O8</f>
        <v>#N/A</v>
      </c>
      <c r="AC8" s="60"/>
      <c r="AD8" s="16" t="e">
        <f>数出表_Excel!P8</f>
        <v>#N/A</v>
      </c>
      <c r="AE8" s="60"/>
      <c r="AF8" s="16" t="e">
        <f>数出表_Excel!Q8</f>
        <v>#N/A</v>
      </c>
      <c r="AG8" s="60"/>
      <c r="AH8" s="16" t="e">
        <f>数出表_Excel!R8</f>
        <v>#N/A</v>
      </c>
      <c r="AI8" s="60"/>
      <c r="AJ8" s="16" t="e">
        <f>数出表_Excel!T8</f>
        <v>#N/A</v>
      </c>
      <c r="AK8" s="60"/>
      <c r="AL8" s="16" t="e">
        <f>数出表_Excel!T8</f>
        <v>#N/A</v>
      </c>
      <c r="AM8" s="5" t="e">
        <f>数出表_Excel!V8</f>
        <v>#N/A</v>
      </c>
      <c r="AN8" s="7" t="e">
        <f>数出表_Excel!W8</f>
        <v>#N/A</v>
      </c>
    </row>
    <row r="9" spans="1:40" x14ac:dyDescent="0.45">
      <c r="A9" s="8" t="e">
        <f>数出表_Excel!A9</f>
        <v>#N/A</v>
      </c>
      <c r="B9" s="46" t="e">
        <f>数出表_Excel!B9</f>
        <v>#N/A</v>
      </c>
      <c r="C9" s="46"/>
      <c r="D9" s="46" t="e">
        <f>数出表_Excel!C9</f>
        <v>#N/A</v>
      </c>
      <c r="E9" s="46"/>
      <c r="F9" s="46" t="e">
        <f>数出表_Excel!D9</f>
        <v>#N/A</v>
      </c>
      <c r="G9" s="46"/>
      <c r="H9" s="46" t="e">
        <f>数出表_Excel!E9</f>
        <v>#N/A</v>
      </c>
      <c r="I9" s="46"/>
      <c r="J9" s="46" t="e">
        <f>数出表_Excel!F9</f>
        <v>#N/A</v>
      </c>
      <c r="K9" s="46"/>
      <c r="L9" s="46" t="e">
        <f>数出表_Excel!G9</f>
        <v>#N/A</v>
      </c>
      <c r="M9" s="46"/>
      <c r="N9" s="46" t="e">
        <f>数出表_Excel!H9</f>
        <v>#N/A</v>
      </c>
      <c r="O9" s="46"/>
      <c r="P9" s="46" t="e">
        <f>数出表_Excel!I9</f>
        <v>#N/A</v>
      </c>
      <c r="Q9" s="46"/>
      <c r="R9" s="46" t="e">
        <f>数出表_Excel!J9</f>
        <v>#N/A</v>
      </c>
      <c r="S9" s="46"/>
      <c r="T9" s="46" t="e">
        <f>数出表_Excel!K9</f>
        <v>#N/A</v>
      </c>
      <c r="U9" s="46"/>
      <c r="V9" s="46" t="e">
        <f>数出表_Excel!L9</f>
        <v>#N/A</v>
      </c>
      <c r="W9" s="46"/>
      <c r="X9" s="46" t="e">
        <f>数出表_Excel!M9</f>
        <v>#N/A</v>
      </c>
      <c r="Y9" s="46"/>
      <c r="Z9" s="46" t="e">
        <f>数出表_Excel!N9</f>
        <v>#N/A</v>
      </c>
      <c r="AA9" s="46"/>
      <c r="AB9" s="46" t="e">
        <f>数出表_Excel!O9</f>
        <v>#N/A</v>
      </c>
      <c r="AC9" s="46"/>
      <c r="AD9" s="46" t="e">
        <f>数出表_Excel!P9</f>
        <v>#N/A</v>
      </c>
      <c r="AE9" s="46"/>
      <c r="AF9" s="46" t="e">
        <f>数出表_Excel!Q9</f>
        <v>#N/A</v>
      </c>
      <c r="AG9" s="46"/>
      <c r="AH9" s="46" t="e">
        <f>数出表_Excel!R9</f>
        <v>#N/A</v>
      </c>
      <c r="AI9" s="46"/>
      <c r="AJ9" s="46" t="e">
        <f>数出表_Excel!T9</f>
        <v>#N/A</v>
      </c>
      <c r="AK9" s="46"/>
      <c r="AL9" s="46" t="e">
        <f>数出表_Excel!T9</f>
        <v>#N/A</v>
      </c>
      <c r="AM9" s="8" t="e">
        <f>数出表_Excel!V9</f>
        <v>#N/A</v>
      </c>
      <c r="AN9" s="9" t="e">
        <f>数出表_Excel!W9</f>
        <v>#N/A</v>
      </c>
    </row>
    <row r="10" spans="1:40" x14ac:dyDescent="0.45">
      <c r="A10" s="5" t="e">
        <f>数出表_Excel!A10</f>
        <v>#N/A</v>
      </c>
      <c r="B10" s="16" t="e">
        <f>数出表_Excel!B10</f>
        <v>#N/A</v>
      </c>
      <c r="C10" s="60"/>
      <c r="D10" s="16" t="e">
        <f>数出表_Excel!C10</f>
        <v>#N/A</v>
      </c>
      <c r="E10" s="60"/>
      <c r="F10" s="16" t="e">
        <f>数出表_Excel!D10</f>
        <v>#N/A</v>
      </c>
      <c r="G10" s="60"/>
      <c r="H10" s="16" t="e">
        <f>数出表_Excel!E10</f>
        <v>#N/A</v>
      </c>
      <c r="I10" s="60"/>
      <c r="J10" s="16" t="e">
        <f>数出表_Excel!F10</f>
        <v>#N/A</v>
      </c>
      <c r="K10" s="60"/>
      <c r="L10" s="16" t="e">
        <f>数出表_Excel!G10</f>
        <v>#N/A</v>
      </c>
      <c r="M10" s="60"/>
      <c r="N10" s="16" t="e">
        <f>数出表_Excel!H10</f>
        <v>#N/A</v>
      </c>
      <c r="O10" s="60"/>
      <c r="P10" s="16" t="e">
        <f>数出表_Excel!I10</f>
        <v>#N/A</v>
      </c>
      <c r="Q10" s="60"/>
      <c r="R10" s="16" t="e">
        <f>数出表_Excel!J10</f>
        <v>#N/A</v>
      </c>
      <c r="S10" s="60"/>
      <c r="T10" s="16" t="e">
        <f>数出表_Excel!K10</f>
        <v>#N/A</v>
      </c>
      <c r="U10" s="60"/>
      <c r="V10" s="16" t="e">
        <f>数出表_Excel!L10</f>
        <v>#N/A</v>
      </c>
      <c r="W10" s="60"/>
      <c r="X10" s="16" t="e">
        <f>数出表_Excel!M10</f>
        <v>#N/A</v>
      </c>
      <c r="Y10" s="60"/>
      <c r="Z10" s="16" t="e">
        <f>数出表_Excel!N10</f>
        <v>#N/A</v>
      </c>
      <c r="AA10" s="60"/>
      <c r="AB10" s="16" t="e">
        <f>数出表_Excel!O10</f>
        <v>#N/A</v>
      </c>
      <c r="AC10" s="60"/>
      <c r="AD10" s="16" t="e">
        <f>数出表_Excel!P10</f>
        <v>#N/A</v>
      </c>
      <c r="AE10" s="60"/>
      <c r="AF10" s="16" t="e">
        <f>数出表_Excel!Q10</f>
        <v>#N/A</v>
      </c>
      <c r="AG10" s="60"/>
      <c r="AH10" s="16" t="e">
        <f>数出表_Excel!R10</f>
        <v>#N/A</v>
      </c>
      <c r="AI10" s="60"/>
      <c r="AJ10" s="16" t="e">
        <f>数出表_Excel!T10</f>
        <v>#N/A</v>
      </c>
      <c r="AK10" s="60"/>
      <c r="AL10" s="16" t="e">
        <f>数出表_Excel!T10</f>
        <v>#N/A</v>
      </c>
      <c r="AM10" s="5" t="e">
        <f>数出表_Excel!V10</f>
        <v>#N/A</v>
      </c>
      <c r="AN10" s="7" t="e">
        <f>数出表_Excel!W10</f>
        <v>#N/A</v>
      </c>
    </row>
    <row r="11" spans="1:40" x14ac:dyDescent="0.45">
      <c r="A11" s="8" t="e">
        <f>数出表_Excel!A11</f>
        <v>#N/A</v>
      </c>
      <c r="B11" s="46" t="e">
        <f>数出表_Excel!B11</f>
        <v>#N/A</v>
      </c>
      <c r="C11" s="46"/>
      <c r="D11" s="46" t="e">
        <f>数出表_Excel!C11</f>
        <v>#N/A</v>
      </c>
      <c r="E11" s="46"/>
      <c r="F11" s="46" t="e">
        <f>数出表_Excel!D11</f>
        <v>#N/A</v>
      </c>
      <c r="G11" s="46"/>
      <c r="H11" s="46" t="e">
        <f>数出表_Excel!E11</f>
        <v>#N/A</v>
      </c>
      <c r="I11" s="46"/>
      <c r="J11" s="46" t="e">
        <f>数出表_Excel!F11</f>
        <v>#N/A</v>
      </c>
      <c r="K11" s="46"/>
      <c r="L11" s="46" t="e">
        <f>数出表_Excel!G11</f>
        <v>#N/A</v>
      </c>
      <c r="M11" s="46"/>
      <c r="N11" s="46" t="e">
        <f>数出表_Excel!H11</f>
        <v>#N/A</v>
      </c>
      <c r="O11" s="46"/>
      <c r="P11" s="46" t="e">
        <f>数出表_Excel!I11</f>
        <v>#N/A</v>
      </c>
      <c r="Q11" s="46"/>
      <c r="R11" s="46" t="e">
        <f>数出表_Excel!J11</f>
        <v>#N/A</v>
      </c>
      <c r="S11" s="46"/>
      <c r="T11" s="46" t="e">
        <f>数出表_Excel!K11</f>
        <v>#N/A</v>
      </c>
      <c r="U11" s="46"/>
      <c r="V11" s="46" t="e">
        <f>数出表_Excel!L11</f>
        <v>#N/A</v>
      </c>
      <c r="W11" s="46"/>
      <c r="X11" s="46" t="e">
        <f>数出表_Excel!M11</f>
        <v>#N/A</v>
      </c>
      <c r="Y11" s="46"/>
      <c r="Z11" s="46" t="e">
        <f>数出表_Excel!N11</f>
        <v>#N/A</v>
      </c>
      <c r="AA11" s="46"/>
      <c r="AB11" s="46" t="e">
        <f>数出表_Excel!O11</f>
        <v>#N/A</v>
      </c>
      <c r="AC11" s="46"/>
      <c r="AD11" s="46" t="e">
        <f>数出表_Excel!P11</f>
        <v>#N/A</v>
      </c>
      <c r="AE11" s="46"/>
      <c r="AF11" s="46" t="e">
        <f>数出表_Excel!Q11</f>
        <v>#N/A</v>
      </c>
      <c r="AG11" s="46"/>
      <c r="AH11" s="46" t="e">
        <f>数出表_Excel!R11</f>
        <v>#N/A</v>
      </c>
      <c r="AI11" s="46"/>
      <c r="AJ11" s="46" t="e">
        <f>数出表_Excel!T11</f>
        <v>#N/A</v>
      </c>
      <c r="AK11" s="46"/>
      <c r="AL11" s="46" t="e">
        <f>数出表_Excel!T11</f>
        <v>#N/A</v>
      </c>
      <c r="AM11" s="8" t="e">
        <f>数出表_Excel!V11</f>
        <v>#N/A</v>
      </c>
      <c r="AN11" s="9" t="e">
        <f>数出表_Excel!W11</f>
        <v>#N/A</v>
      </c>
    </row>
    <row r="12" spans="1:40" x14ac:dyDescent="0.45">
      <c r="A12" s="5" t="e">
        <f>数出表_Excel!A12</f>
        <v>#N/A</v>
      </c>
      <c r="B12" s="16" t="e">
        <f>数出表_Excel!B12</f>
        <v>#N/A</v>
      </c>
      <c r="C12" s="60"/>
      <c r="D12" s="16" t="e">
        <f>数出表_Excel!C12</f>
        <v>#N/A</v>
      </c>
      <c r="E12" s="60"/>
      <c r="F12" s="16" t="e">
        <f>数出表_Excel!D12</f>
        <v>#N/A</v>
      </c>
      <c r="G12" s="60"/>
      <c r="H12" s="16" t="e">
        <f>数出表_Excel!E12</f>
        <v>#N/A</v>
      </c>
      <c r="I12" s="60"/>
      <c r="J12" s="16" t="e">
        <f>数出表_Excel!F12</f>
        <v>#N/A</v>
      </c>
      <c r="K12" s="60"/>
      <c r="L12" s="16" t="e">
        <f>数出表_Excel!G12</f>
        <v>#N/A</v>
      </c>
      <c r="M12" s="60"/>
      <c r="N12" s="16" t="e">
        <f>数出表_Excel!H12</f>
        <v>#N/A</v>
      </c>
      <c r="O12" s="60"/>
      <c r="P12" s="16" t="e">
        <f>数出表_Excel!I12</f>
        <v>#N/A</v>
      </c>
      <c r="Q12" s="60"/>
      <c r="R12" s="16" t="e">
        <f>数出表_Excel!J12</f>
        <v>#N/A</v>
      </c>
      <c r="S12" s="60"/>
      <c r="T12" s="16" t="e">
        <f>数出表_Excel!K12</f>
        <v>#N/A</v>
      </c>
      <c r="U12" s="60"/>
      <c r="V12" s="16" t="e">
        <f>数出表_Excel!L12</f>
        <v>#N/A</v>
      </c>
      <c r="W12" s="60"/>
      <c r="X12" s="16" t="e">
        <f>数出表_Excel!M12</f>
        <v>#N/A</v>
      </c>
      <c r="Y12" s="60"/>
      <c r="Z12" s="16" t="e">
        <f>数出表_Excel!N12</f>
        <v>#N/A</v>
      </c>
      <c r="AA12" s="60"/>
      <c r="AB12" s="16" t="e">
        <f>数出表_Excel!O12</f>
        <v>#N/A</v>
      </c>
      <c r="AC12" s="60"/>
      <c r="AD12" s="16" t="e">
        <f>数出表_Excel!P12</f>
        <v>#N/A</v>
      </c>
      <c r="AE12" s="60"/>
      <c r="AF12" s="16" t="e">
        <f>数出表_Excel!Q12</f>
        <v>#N/A</v>
      </c>
      <c r="AG12" s="60"/>
      <c r="AH12" s="16" t="e">
        <f>数出表_Excel!R12</f>
        <v>#N/A</v>
      </c>
      <c r="AI12" s="60"/>
      <c r="AJ12" s="16" t="e">
        <f>数出表_Excel!T12</f>
        <v>#N/A</v>
      </c>
      <c r="AK12" s="60"/>
      <c r="AL12" s="16" t="e">
        <f>数出表_Excel!T12</f>
        <v>#N/A</v>
      </c>
      <c r="AM12" s="5" t="e">
        <f>数出表_Excel!V12</f>
        <v>#N/A</v>
      </c>
      <c r="AN12" s="7" t="e">
        <f>数出表_Excel!W12</f>
        <v>#N/A</v>
      </c>
    </row>
    <row r="13" spans="1:40" x14ac:dyDescent="0.45">
      <c r="A13" s="8" t="e">
        <f>数出表_Excel!A13</f>
        <v>#N/A</v>
      </c>
      <c r="B13" s="46" t="e">
        <f>数出表_Excel!B13</f>
        <v>#N/A</v>
      </c>
      <c r="C13" s="46"/>
      <c r="D13" s="46" t="e">
        <f>数出表_Excel!C13</f>
        <v>#N/A</v>
      </c>
      <c r="E13" s="46"/>
      <c r="F13" s="46" t="e">
        <f>数出表_Excel!D13</f>
        <v>#N/A</v>
      </c>
      <c r="G13" s="46"/>
      <c r="H13" s="46" t="e">
        <f>数出表_Excel!E13</f>
        <v>#N/A</v>
      </c>
      <c r="I13" s="46"/>
      <c r="J13" s="46" t="e">
        <f>数出表_Excel!F13</f>
        <v>#N/A</v>
      </c>
      <c r="K13" s="46"/>
      <c r="L13" s="46" t="e">
        <f>数出表_Excel!G13</f>
        <v>#N/A</v>
      </c>
      <c r="M13" s="46"/>
      <c r="N13" s="46" t="e">
        <f>数出表_Excel!H13</f>
        <v>#N/A</v>
      </c>
      <c r="O13" s="46"/>
      <c r="P13" s="46" t="e">
        <f>数出表_Excel!I13</f>
        <v>#N/A</v>
      </c>
      <c r="Q13" s="46"/>
      <c r="R13" s="46" t="e">
        <f>数出表_Excel!J13</f>
        <v>#N/A</v>
      </c>
      <c r="S13" s="46"/>
      <c r="T13" s="46" t="e">
        <f>数出表_Excel!K13</f>
        <v>#N/A</v>
      </c>
      <c r="U13" s="46"/>
      <c r="V13" s="46" t="e">
        <f>数出表_Excel!L13</f>
        <v>#N/A</v>
      </c>
      <c r="W13" s="46"/>
      <c r="X13" s="46" t="e">
        <f>数出表_Excel!M13</f>
        <v>#N/A</v>
      </c>
      <c r="Y13" s="46"/>
      <c r="Z13" s="46" t="e">
        <f>数出表_Excel!N13</f>
        <v>#N/A</v>
      </c>
      <c r="AA13" s="46"/>
      <c r="AB13" s="46" t="e">
        <f>数出表_Excel!O13</f>
        <v>#N/A</v>
      </c>
      <c r="AC13" s="46"/>
      <c r="AD13" s="46" t="e">
        <f>数出表_Excel!P13</f>
        <v>#N/A</v>
      </c>
      <c r="AE13" s="46"/>
      <c r="AF13" s="46" t="e">
        <f>数出表_Excel!Q13</f>
        <v>#N/A</v>
      </c>
      <c r="AG13" s="46"/>
      <c r="AH13" s="46" t="e">
        <f>数出表_Excel!R13</f>
        <v>#N/A</v>
      </c>
      <c r="AI13" s="46"/>
      <c r="AJ13" s="46" t="e">
        <f>数出表_Excel!T13</f>
        <v>#N/A</v>
      </c>
      <c r="AK13" s="46"/>
      <c r="AL13" s="46" t="e">
        <f>数出表_Excel!T13</f>
        <v>#N/A</v>
      </c>
      <c r="AM13" s="8" t="e">
        <f>数出表_Excel!V13</f>
        <v>#N/A</v>
      </c>
      <c r="AN13" s="9" t="e">
        <f>数出表_Excel!W13</f>
        <v>#N/A</v>
      </c>
    </row>
    <row r="14" spans="1:40" x14ac:dyDescent="0.45">
      <c r="A14" s="5" t="e">
        <f>数出表_Excel!A14</f>
        <v>#N/A</v>
      </c>
      <c r="B14" s="16" t="e">
        <f>数出表_Excel!B14</f>
        <v>#N/A</v>
      </c>
      <c r="C14" s="60"/>
      <c r="D14" s="16" t="e">
        <f>数出表_Excel!C14</f>
        <v>#N/A</v>
      </c>
      <c r="E14" s="60"/>
      <c r="F14" s="16" t="e">
        <f>数出表_Excel!D14</f>
        <v>#N/A</v>
      </c>
      <c r="G14" s="60"/>
      <c r="H14" s="16" t="e">
        <f>数出表_Excel!E14</f>
        <v>#N/A</v>
      </c>
      <c r="I14" s="60"/>
      <c r="J14" s="16" t="e">
        <f>数出表_Excel!F14</f>
        <v>#N/A</v>
      </c>
      <c r="K14" s="60"/>
      <c r="L14" s="16" t="e">
        <f>数出表_Excel!G14</f>
        <v>#N/A</v>
      </c>
      <c r="M14" s="60"/>
      <c r="N14" s="16" t="e">
        <f>数出表_Excel!H14</f>
        <v>#N/A</v>
      </c>
      <c r="O14" s="60"/>
      <c r="P14" s="16" t="e">
        <f>数出表_Excel!I14</f>
        <v>#N/A</v>
      </c>
      <c r="Q14" s="60"/>
      <c r="R14" s="16" t="e">
        <f>数出表_Excel!J14</f>
        <v>#N/A</v>
      </c>
      <c r="S14" s="60"/>
      <c r="T14" s="16" t="e">
        <f>数出表_Excel!K14</f>
        <v>#N/A</v>
      </c>
      <c r="U14" s="60"/>
      <c r="V14" s="16" t="e">
        <f>数出表_Excel!L14</f>
        <v>#N/A</v>
      </c>
      <c r="W14" s="60"/>
      <c r="X14" s="16" t="e">
        <f>数出表_Excel!M14</f>
        <v>#N/A</v>
      </c>
      <c r="Y14" s="60"/>
      <c r="Z14" s="16" t="e">
        <f>数出表_Excel!N14</f>
        <v>#N/A</v>
      </c>
      <c r="AA14" s="60"/>
      <c r="AB14" s="16" t="e">
        <f>数出表_Excel!O14</f>
        <v>#N/A</v>
      </c>
      <c r="AC14" s="60"/>
      <c r="AD14" s="16" t="e">
        <f>数出表_Excel!P14</f>
        <v>#N/A</v>
      </c>
      <c r="AE14" s="60"/>
      <c r="AF14" s="16" t="e">
        <f>数出表_Excel!Q14</f>
        <v>#N/A</v>
      </c>
      <c r="AG14" s="60"/>
      <c r="AH14" s="16" t="e">
        <f>数出表_Excel!R14</f>
        <v>#N/A</v>
      </c>
      <c r="AI14" s="60"/>
      <c r="AJ14" s="16" t="e">
        <f>数出表_Excel!T14</f>
        <v>#N/A</v>
      </c>
      <c r="AK14" s="60"/>
      <c r="AL14" s="16" t="e">
        <f>数出表_Excel!T14</f>
        <v>#N/A</v>
      </c>
      <c r="AM14" s="5" t="e">
        <f>数出表_Excel!V14</f>
        <v>#N/A</v>
      </c>
      <c r="AN14" s="7" t="e">
        <f>数出表_Excel!W14</f>
        <v>#N/A</v>
      </c>
    </row>
    <row r="15" spans="1:40" x14ac:dyDescent="0.45">
      <c r="A15" s="8" t="e">
        <f>数出表_Excel!A15</f>
        <v>#N/A</v>
      </c>
      <c r="B15" s="46" t="e">
        <f>数出表_Excel!B15</f>
        <v>#N/A</v>
      </c>
      <c r="C15" s="46"/>
      <c r="D15" s="46" t="e">
        <f>数出表_Excel!C15</f>
        <v>#N/A</v>
      </c>
      <c r="E15" s="46"/>
      <c r="F15" s="46" t="e">
        <f>数出表_Excel!D15</f>
        <v>#N/A</v>
      </c>
      <c r="G15" s="46"/>
      <c r="H15" s="46" t="e">
        <f>数出表_Excel!E15</f>
        <v>#N/A</v>
      </c>
      <c r="I15" s="46"/>
      <c r="J15" s="46" t="e">
        <f>数出表_Excel!F15</f>
        <v>#N/A</v>
      </c>
      <c r="K15" s="46"/>
      <c r="L15" s="46" t="e">
        <f>数出表_Excel!G15</f>
        <v>#N/A</v>
      </c>
      <c r="M15" s="46"/>
      <c r="N15" s="46" t="e">
        <f>数出表_Excel!H15</f>
        <v>#N/A</v>
      </c>
      <c r="O15" s="46"/>
      <c r="P15" s="46" t="e">
        <f>数出表_Excel!I15</f>
        <v>#N/A</v>
      </c>
      <c r="Q15" s="46"/>
      <c r="R15" s="46" t="e">
        <f>数出表_Excel!J15</f>
        <v>#N/A</v>
      </c>
      <c r="S15" s="46"/>
      <c r="T15" s="46" t="e">
        <f>数出表_Excel!K15</f>
        <v>#N/A</v>
      </c>
      <c r="U15" s="46"/>
      <c r="V15" s="46" t="e">
        <f>数出表_Excel!L15</f>
        <v>#N/A</v>
      </c>
      <c r="W15" s="46"/>
      <c r="X15" s="46" t="e">
        <f>数出表_Excel!M15</f>
        <v>#N/A</v>
      </c>
      <c r="Y15" s="46"/>
      <c r="Z15" s="46" t="e">
        <f>数出表_Excel!N15</f>
        <v>#N/A</v>
      </c>
      <c r="AA15" s="46"/>
      <c r="AB15" s="46" t="e">
        <f>数出表_Excel!O15</f>
        <v>#N/A</v>
      </c>
      <c r="AC15" s="46"/>
      <c r="AD15" s="46" t="e">
        <f>数出表_Excel!P15</f>
        <v>#N/A</v>
      </c>
      <c r="AE15" s="46"/>
      <c r="AF15" s="46" t="e">
        <f>数出表_Excel!Q15</f>
        <v>#N/A</v>
      </c>
      <c r="AG15" s="46"/>
      <c r="AH15" s="46" t="e">
        <f>数出表_Excel!R15</f>
        <v>#N/A</v>
      </c>
      <c r="AI15" s="46"/>
      <c r="AJ15" s="46" t="e">
        <f>数出表_Excel!T15</f>
        <v>#N/A</v>
      </c>
      <c r="AK15" s="46"/>
      <c r="AL15" s="46" t="e">
        <f>数出表_Excel!T15</f>
        <v>#N/A</v>
      </c>
      <c r="AM15" s="8" t="e">
        <f>数出表_Excel!V15</f>
        <v>#N/A</v>
      </c>
      <c r="AN15" s="9" t="e">
        <f>数出表_Excel!W15</f>
        <v>#N/A</v>
      </c>
    </row>
    <row r="16" spans="1:40" x14ac:dyDescent="0.45">
      <c r="A16" s="5" t="e">
        <f>数出表_Excel!A16</f>
        <v>#N/A</v>
      </c>
      <c r="B16" s="16" t="e">
        <f>数出表_Excel!B16</f>
        <v>#N/A</v>
      </c>
      <c r="C16" s="60"/>
      <c r="D16" s="16" t="e">
        <f>数出表_Excel!C16</f>
        <v>#N/A</v>
      </c>
      <c r="E16" s="60"/>
      <c r="F16" s="16" t="e">
        <f>数出表_Excel!D16</f>
        <v>#N/A</v>
      </c>
      <c r="G16" s="60"/>
      <c r="H16" s="16" t="e">
        <f>数出表_Excel!E16</f>
        <v>#N/A</v>
      </c>
      <c r="I16" s="60"/>
      <c r="J16" s="16" t="e">
        <f>数出表_Excel!F16</f>
        <v>#N/A</v>
      </c>
      <c r="K16" s="60"/>
      <c r="L16" s="16" t="e">
        <f>数出表_Excel!G16</f>
        <v>#N/A</v>
      </c>
      <c r="M16" s="60"/>
      <c r="N16" s="16" t="e">
        <f>数出表_Excel!H16</f>
        <v>#N/A</v>
      </c>
      <c r="O16" s="60"/>
      <c r="P16" s="16" t="e">
        <f>数出表_Excel!I16</f>
        <v>#N/A</v>
      </c>
      <c r="Q16" s="60"/>
      <c r="R16" s="16" t="e">
        <f>数出表_Excel!J16</f>
        <v>#N/A</v>
      </c>
      <c r="S16" s="60"/>
      <c r="T16" s="16" t="e">
        <f>数出表_Excel!K16</f>
        <v>#N/A</v>
      </c>
      <c r="U16" s="60"/>
      <c r="V16" s="16" t="e">
        <f>数出表_Excel!L16</f>
        <v>#N/A</v>
      </c>
      <c r="W16" s="60"/>
      <c r="X16" s="16" t="e">
        <f>数出表_Excel!M16</f>
        <v>#N/A</v>
      </c>
      <c r="Y16" s="60"/>
      <c r="Z16" s="16" t="e">
        <f>数出表_Excel!N16</f>
        <v>#N/A</v>
      </c>
      <c r="AA16" s="60"/>
      <c r="AB16" s="16" t="e">
        <f>数出表_Excel!O16</f>
        <v>#N/A</v>
      </c>
      <c r="AC16" s="60"/>
      <c r="AD16" s="16" t="e">
        <f>数出表_Excel!P16</f>
        <v>#N/A</v>
      </c>
      <c r="AE16" s="60"/>
      <c r="AF16" s="16" t="e">
        <f>数出表_Excel!Q16</f>
        <v>#N/A</v>
      </c>
      <c r="AG16" s="60"/>
      <c r="AH16" s="16" t="e">
        <f>数出表_Excel!R16</f>
        <v>#N/A</v>
      </c>
      <c r="AI16" s="60"/>
      <c r="AJ16" s="16" t="e">
        <f>数出表_Excel!T16</f>
        <v>#N/A</v>
      </c>
      <c r="AK16" s="60"/>
      <c r="AL16" s="16" t="e">
        <f>数出表_Excel!T16</f>
        <v>#N/A</v>
      </c>
      <c r="AM16" s="5" t="e">
        <f>数出表_Excel!V16</f>
        <v>#N/A</v>
      </c>
      <c r="AN16" s="7" t="e">
        <f>数出表_Excel!W16</f>
        <v>#N/A</v>
      </c>
    </row>
    <row r="17" spans="1:40" x14ac:dyDescent="0.45">
      <c r="A17" s="8" t="e">
        <f>数出表_Excel!A17</f>
        <v>#N/A</v>
      </c>
      <c r="B17" s="46" t="e">
        <f>数出表_Excel!B17</f>
        <v>#N/A</v>
      </c>
      <c r="C17" s="46"/>
      <c r="D17" s="46" t="e">
        <f>数出表_Excel!C17</f>
        <v>#N/A</v>
      </c>
      <c r="E17" s="46"/>
      <c r="F17" s="46" t="e">
        <f>数出表_Excel!D17</f>
        <v>#N/A</v>
      </c>
      <c r="G17" s="46"/>
      <c r="H17" s="46" t="e">
        <f>数出表_Excel!E17</f>
        <v>#N/A</v>
      </c>
      <c r="I17" s="46"/>
      <c r="J17" s="46" t="e">
        <f>数出表_Excel!F17</f>
        <v>#N/A</v>
      </c>
      <c r="K17" s="46"/>
      <c r="L17" s="46" t="e">
        <f>数出表_Excel!G17</f>
        <v>#N/A</v>
      </c>
      <c r="M17" s="46"/>
      <c r="N17" s="46" t="e">
        <f>数出表_Excel!H17</f>
        <v>#N/A</v>
      </c>
      <c r="O17" s="46"/>
      <c r="P17" s="46" t="e">
        <f>数出表_Excel!I17</f>
        <v>#N/A</v>
      </c>
      <c r="Q17" s="46"/>
      <c r="R17" s="46" t="e">
        <f>数出表_Excel!J17</f>
        <v>#N/A</v>
      </c>
      <c r="S17" s="46"/>
      <c r="T17" s="46" t="e">
        <f>数出表_Excel!K17</f>
        <v>#N/A</v>
      </c>
      <c r="U17" s="46"/>
      <c r="V17" s="46" t="e">
        <f>数出表_Excel!L17</f>
        <v>#N/A</v>
      </c>
      <c r="W17" s="46"/>
      <c r="X17" s="46" t="e">
        <f>数出表_Excel!M17</f>
        <v>#N/A</v>
      </c>
      <c r="Y17" s="46"/>
      <c r="Z17" s="46" t="e">
        <f>数出表_Excel!N17</f>
        <v>#N/A</v>
      </c>
      <c r="AA17" s="46"/>
      <c r="AB17" s="46" t="e">
        <f>数出表_Excel!O17</f>
        <v>#N/A</v>
      </c>
      <c r="AC17" s="46"/>
      <c r="AD17" s="46" t="e">
        <f>数出表_Excel!P17</f>
        <v>#N/A</v>
      </c>
      <c r="AE17" s="46"/>
      <c r="AF17" s="46" t="e">
        <f>数出表_Excel!Q17</f>
        <v>#N/A</v>
      </c>
      <c r="AG17" s="46"/>
      <c r="AH17" s="46" t="e">
        <f>数出表_Excel!R17</f>
        <v>#N/A</v>
      </c>
      <c r="AI17" s="46"/>
      <c r="AJ17" s="46" t="e">
        <f>数出表_Excel!T17</f>
        <v>#N/A</v>
      </c>
      <c r="AK17" s="46"/>
      <c r="AL17" s="46" t="e">
        <f>数出表_Excel!T17</f>
        <v>#N/A</v>
      </c>
      <c r="AM17" s="8" t="e">
        <f>数出表_Excel!V17</f>
        <v>#N/A</v>
      </c>
      <c r="AN17" s="9" t="e">
        <f>数出表_Excel!W17</f>
        <v>#N/A</v>
      </c>
    </row>
    <row r="18" spans="1:40" x14ac:dyDescent="0.45">
      <c r="A18" s="5" t="e">
        <f>数出表_Excel!A18</f>
        <v>#N/A</v>
      </c>
      <c r="B18" s="16" t="e">
        <f>数出表_Excel!B18</f>
        <v>#N/A</v>
      </c>
      <c r="C18" s="60"/>
      <c r="D18" s="16" t="e">
        <f>数出表_Excel!C18</f>
        <v>#N/A</v>
      </c>
      <c r="E18" s="60"/>
      <c r="F18" s="16" t="e">
        <f>数出表_Excel!D18</f>
        <v>#N/A</v>
      </c>
      <c r="G18" s="60"/>
      <c r="H18" s="16" t="e">
        <f>数出表_Excel!E18</f>
        <v>#N/A</v>
      </c>
      <c r="I18" s="60"/>
      <c r="J18" s="16" t="e">
        <f>数出表_Excel!F18</f>
        <v>#N/A</v>
      </c>
      <c r="K18" s="60"/>
      <c r="L18" s="16" t="e">
        <f>数出表_Excel!G18</f>
        <v>#N/A</v>
      </c>
      <c r="M18" s="60"/>
      <c r="N18" s="16" t="e">
        <f>数出表_Excel!H18</f>
        <v>#N/A</v>
      </c>
      <c r="O18" s="60"/>
      <c r="P18" s="16" t="e">
        <f>数出表_Excel!I18</f>
        <v>#N/A</v>
      </c>
      <c r="Q18" s="60"/>
      <c r="R18" s="16" t="e">
        <f>数出表_Excel!J18</f>
        <v>#N/A</v>
      </c>
      <c r="S18" s="60"/>
      <c r="T18" s="16" t="e">
        <f>数出表_Excel!K18</f>
        <v>#N/A</v>
      </c>
      <c r="U18" s="60"/>
      <c r="V18" s="16" t="e">
        <f>数出表_Excel!L18</f>
        <v>#N/A</v>
      </c>
      <c r="W18" s="60"/>
      <c r="X18" s="16" t="e">
        <f>数出表_Excel!M18</f>
        <v>#N/A</v>
      </c>
      <c r="Y18" s="60"/>
      <c r="Z18" s="16" t="e">
        <f>数出表_Excel!N18</f>
        <v>#N/A</v>
      </c>
      <c r="AA18" s="60"/>
      <c r="AB18" s="16" t="e">
        <f>数出表_Excel!O18</f>
        <v>#N/A</v>
      </c>
      <c r="AC18" s="60"/>
      <c r="AD18" s="16" t="e">
        <f>数出表_Excel!P18</f>
        <v>#N/A</v>
      </c>
      <c r="AE18" s="60"/>
      <c r="AF18" s="16" t="e">
        <f>数出表_Excel!Q18</f>
        <v>#N/A</v>
      </c>
      <c r="AG18" s="60"/>
      <c r="AH18" s="16" t="e">
        <f>数出表_Excel!R18</f>
        <v>#N/A</v>
      </c>
      <c r="AI18" s="60"/>
      <c r="AJ18" s="16" t="e">
        <f>数出表_Excel!T18</f>
        <v>#N/A</v>
      </c>
      <c r="AK18" s="60"/>
      <c r="AL18" s="16" t="e">
        <f>数出表_Excel!T18</f>
        <v>#N/A</v>
      </c>
      <c r="AM18" s="5" t="e">
        <f>数出表_Excel!V18</f>
        <v>#N/A</v>
      </c>
      <c r="AN18" s="7" t="e">
        <f>数出表_Excel!W18</f>
        <v>#N/A</v>
      </c>
    </row>
    <row r="19" spans="1:40" x14ac:dyDescent="0.45">
      <c r="A19" s="8" t="e">
        <f>数出表_Excel!A19</f>
        <v>#N/A</v>
      </c>
      <c r="B19" s="46" t="e">
        <f>数出表_Excel!B19</f>
        <v>#N/A</v>
      </c>
      <c r="C19" s="46"/>
      <c r="D19" s="46" t="e">
        <f>数出表_Excel!C19</f>
        <v>#N/A</v>
      </c>
      <c r="E19" s="46"/>
      <c r="F19" s="46" t="e">
        <f>数出表_Excel!D19</f>
        <v>#N/A</v>
      </c>
      <c r="G19" s="46"/>
      <c r="H19" s="46" t="e">
        <f>数出表_Excel!E19</f>
        <v>#N/A</v>
      </c>
      <c r="I19" s="46"/>
      <c r="J19" s="46" t="e">
        <f>数出表_Excel!F19</f>
        <v>#N/A</v>
      </c>
      <c r="K19" s="46"/>
      <c r="L19" s="46" t="e">
        <f>数出表_Excel!G19</f>
        <v>#N/A</v>
      </c>
      <c r="M19" s="46"/>
      <c r="N19" s="46" t="e">
        <f>数出表_Excel!H19</f>
        <v>#N/A</v>
      </c>
      <c r="O19" s="46"/>
      <c r="P19" s="46" t="e">
        <f>数出表_Excel!I19</f>
        <v>#N/A</v>
      </c>
      <c r="Q19" s="46"/>
      <c r="R19" s="46" t="e">
        <f>数出表_Excel!J19</f>
        <v>#N/A</v>
      </c>
      <c r="S19" s="46"/>
      <c r="T19" s="46" t="e">
        <f>数出表_Excel!K19</f>
        <v>#N/A</v>
      </c>
      <c r="U19" s="46"/>
      <c r="V19" s="46" t="e">
        <f>数出表_Excel!L19</f>
        <v>#N/A</v>
      </c>
      <c r="W19" s="46"/>
      <c r="X19" s="46" t="e">
        <f>数出表_Excel!M19</f>
        <v>#N/A</v>
      </c>
      <c r="Y19" s="46"/>
      <c r="Z19" s="46" t="e">
        <f>数出表_Excel!N19</f>
        <v>#N/A</v>
      </c>
      <c r="AA19" s="46"/>
      <c r="AB19" s="46" t="e">
        <f>数出表_Excel!O19</f>
        <v>#N/A</v>
      </c>
      <c r="AC19" s="46"/>
      <c r="AD19" s="46" t="e">
        <f>数出表_Excel!P19</f>
        <v>#N/A</v>
      </c>
      <c r="AE19" s="46"/>
      <c r="AF19" s="46" t="e">
        <f>数出表_Excel!Q19</f>
        <v>#N/A</v>
      </c>
      <c r="AG19" s="46"/>
      <c r="AH19" s="46" t="e">
        <f>数出表_Excel!R19</f>
        <v>#N/A</v>
      </c>
      <c r="AI19" s="46"/>
      <c r="AJ19" s="46" t="e">
        <f>数出表_Excel!T19</f>
        <v>#N/A</v>
      </c>
      <c r="AK19" s="46"/>
      <c r="AL19" s="46" t="e">
        <f>数出表_Excel!T19</f>
        <v>#N/A</v>
      </c>
      <c r="AM19" s="8" t="e">
        <f>数出表_Excel!V19</f>
        <v>#N/A</v>
      </c>
      <c r="AN19" s="9" t="e">
        <f>数出表_Excel!W19</f>
        <v>#N/A</v>
      </c>
    </row>
    <row r="20" spans="1:40" x14ac:dyDescent="0.45">
      <c r="A20" s="5" t="e">
        <f>数出表_Excel!A20</f>
        <v>#N/A</v>
      </c>
      <c r="B20" s="16" t="e">
        <f>数出表_Excel!B20</f>
        <v>#N/A</v>
      </c>
      <c r="C20" s="60"/>
      <c r="D20" s="16" t="e">
        <f>数出表_Excel!C20</f>
        <v>#N/A</v>
      </c>
      <c r="E20" s="60"/>
      <c r="F20" s="16" t="e">
        <f>数出表_Excel!D20</f>
        <v>#N/A</v>
      </c>
      <c r="G20" s="60"/>
      <c r="H20" s="16" t="e">
        <f>数出表_Excel!E20</f>
        <v>#N/A</v>
      </c>
      <c r="I20" s="60"/>
      <c r="J20" s="16" t="e">
        <f>数出表_Excel!F20</f>
        <v>#N/A</v>
      </c>
      <c r="K20" s="60"/>
      <c r="L20" s="16" t="e">
        <f>数出表_Excel!G20</f>
        <v>#N/A</v>
      </c>
      <c r="M20" s="60"/>
      <c r="N20" s="16" t="e">
        <f>数出表_Excel!H20</f>
        <v>#N/A</v>
      </c>
      <c r="O20" s="60"/>
      <c r="P20" s="16" t="e">
        <f>数出表_Excel!I20</f>
        <v>#N/A</v>
      </c>
      <c r="Q20" s="60"/>
      <c r="R20" s="16" t="e">
        <f>数出表_Excel!J20</f>
        <v>#N/A</v>
      </c>
      <c r="S20" s="60"/>
      <c r="T20" s="16" t="e">
        <f>数出表_Excel!K20</f>
        <v>#N/A</v>
      </c>
      <c r="U20" s="60"/>
      <c r="V20" s="16" t="e">
        <f>数出表_Excel!L20</f>
        <v>#N/A</v>
      </c>
      <c r="W20" s="60"/>
      <c r="X20" s="16" t="e">
        <f>数出表_Excel!M20</f>
        <v>#N/A</v>
      </c>
      <c r="Y20" s="60"/>
      <c r="Z20" s="16" t="e">
        <f>数出表_Excel!N20</f>
        <v>#N/A</v>
      </c>
      <c r="AA20" s="60"/>
      <c r="AB20" s="16" t="e">
        <f>数出表_Excel!O20</f>
        <v>#N/A</v>
      </c>
      <c r="AC20" s="60"/>
      <c r="AD20" s="16" t="e">
        <f>数出表_Excel!P20</f>
        <v>#N/A</v>
      </c>
      <c r="AE20" s="60"/>
      <c r="AF20" s="16" t="e">
        <f>数出表_Excel!Q20</f>
        <v>#N/A</v>
      </c>
      <c r="AG20" s="60"/>
      <c r="AH20" s="16" t="e">
        <f>数出表_Excel!R20</f>
        <v>#N/A</v>
      </c>
      <c r="AI20" s="60"/>
      <c r="AJ20" s="16" t="e">
        <f>数出表_Excel!T20</f>
        <v>#N/A</v>
      </c>
      <c r="AK20" s="60"/>
      <c r="AL20" s="16" t="e">
        <f>数出表_Excel!T20</f>
        <v>#N/A</v>
      </c>
      <c r="AM20" s="5" t="e">
        <f>数出表_Excel!V20</f>
        <v>#N/A</v>
      </c>
      <c r="AN20" s="7" t="e">
        <f>数出表_Excel!W20</f>
        <v>#N/A</v>
      </c>
    </row>
    <row r="21" spans="1:40" x14ac:dyDescent="0.45">
      <c r="A21" s="8" t="e">
        <f>数出表_Excel!A21</f>
        <v>#N/A</v>
      </c>
      <c r="B21" s="46" t="e">
        <f>数出表_Excel!B21</f>
        <v>#N/A</v>
      </c>
      <c r="C21" s="46"/>
      <c r="D21" s="46" t="e">
        <f>数出表_Excel!C21</f>
        <v>#N/A</v>
      </c>
      <c r="E21" s="46"/>
      <c r="F21" s="46" t="e">
        <f>数出表_Excel!D21</f>
        <v>#N/A</v>
      </c>
      <c r="G21" s="46"/>
      <c r="H21" s="46" t="e">
        <f>数出表_Excel!E21</f>
        <v>#N/A</v>
      </c>
      <c r="I21" s="46"/>
      <c r="J21" s="46" t="e">
        <f>数出表_Excel!F21</f>
        <v>#N/A</v>
      </c>
      <c r="K21" s="46"/>
      <c r="L21" s="46" t="e">
        <f>数出表_Excel!G21</f>
        <v>#N/A</v>
      </c>
      <c r="M21" s="46"/>
      <c r="N21" s="46" t="e">
        <f>数出表_Excel!H21</f>
        <v>#N/A</v>
      </c>
      <c r="O21" s="46"/>
      <c r="P21" s="46" t="e">
        <f>数出表_Excel!I21</f>
        <v>#N/A</v>
      </c>
      <c r="Q21" s="46"/>
      <c r="R21" s="46" t="e">
        <f>数出表_Excel!J21</f>
        <v>#N/A</v>
      </c>
      <c r="S21" s="46"/>
      <c r="T21" s="46" t="e">
        <f>数出表_Excel!K21</f>
        <v>#N/A</v>
      </c>
      <c r="U21" s="46"/>
      <c r="V21" s="46" t="e">
        <f>数出表_Excel!L21</f>
        <v>#N/A</v>
      </c>
      <c r="W21" s="46"/>
      <c r="X21" s="46" t="e">
        <f>数出表_Excel!M21</f>
        <v>#N/A</v>
      </c>
      <c r="Y21" s="46"/>
      <c r="Z21" s="46" t="e">
        <f>数出表_Excel!N21</f>
        <v>#N/A</v>
      </c>
      <c r="AA21" s="46"/>
      <c r="AB21" s="46" t="e">
        <f>数出表_Excel!O21</f>
        <v>#N/A</v>
      </c>
      <c r="AC21" s="46"/>
      <c r="AD21" s="46" t="e">
        <f>数出表_Excel!P21</f>
        <v>#N/A</v>
      </c>
      <c r="AE21" s="46"/>
      <c r="AF21" s="46" t="e">
        <f>数出表_Excel!Q21</f>
        <v>#N/A</v>
      </c>
      <c r="AG21" s="46"/>
      <c r="AH21" s="46" t="e">
        <f>数出表_Excel!R21</f>
        <v>#N/A</v>
      </c>
      <c r="AI21" s="46"/>
      <c r="AJ21" s="46" t="e">
        <f>数出表_Excel!T21</f>
        <v>#N/A</v>
      </c>
      <c r="AK21" s="46"/>
      <c r="AL21" s="46" t="e">
        <f>数出表_Excel!T21</f>
        <v>#N/A</v>
      </c>
      <c r="AM21" s="8" t="e">
        <f>数出表_Excel!V21</f>
        <v>#N/A</v>
      </c>
      <c r="AN21" s="9" t="e">
        <f>数出表_Excel!W21</f>
        <v>#N/A</v>
      </c>
    </row>
    <row r="22" spans="1:40" x14ac:dyDescent="0.45">
      <c r="A22" s="5" t="e">
        <f>数出表_Excel!A22</f>
        <v>#N/A</v>
      </c>
      <c r="B22" s="16" t="e">
        <f>数出表_Excel!B22</f>
        <v>#N/A</v>
      </c>
      <c r="C22" s="60"/>
      <c r="D22" s="16" t="e">
        <f>数出表_Excel!C22</f>
        <v>#N/A</v>
      </c>
      <c r="E22" s="60"/>
      <c r="F22" s="16" t="e">
        <f>数出表_Excel!D22</f>
        <v>#N/A</v>
      </c>
      <c r="G22" s="60"/>
      <c r="H22" s="16" t="e">
        <f>数出表_Excel!E22</f>
        <v>#N/A</v>
      </c>
      <c r="I22" s="60"/>
      <c r="J22" s="16" t="e">
        <f>数出表_Excel!F22</f>
        <v>#N/A</v>
      </c>
      <c r="K22" s="60"/>
      <c r="L22" s="16" t="e">
        <f>数出表_Excel!G22</f>
        <v>#N/A</v>
      </c>
      <c r="M22" s="60"/>
      <c r="N22" s="16" t="e">
        <f>数出表_Excel!H22</f>
        <v>#N/A</v>
      </c>
      <c r="O22" s="60"/>
      <c r="P22" s="16" t="e">
        <f>数出表_Excel!I22</f>
        <v>#N/A</v>
      </c>
      <c r="Q22" s="60"/>
      <c r="R22" s="16" t="e">
        <f>数出表_Excel!J22</f>
        <v>#N/A</v>
      </c>
      <c r="S22" s="60"/>
      <c r="T22" s="16" t="e">
        <f>数出表_Excel!K22</f>
        <v>#N/A</v>
      </c>
      <c r="U22" s="60"/>
      <c r="V22" s="16" t="e">
        <f>数出表_Excel!L22</f>
        <v>#N/A</v>
      </c>
      <c r="W22" s="60"/>
      <c r="X22" s="16" t="e">
        <f>数出表_Excel!M22</f>
        <v>#N/A</v>
      </c>
      <c r="Y22" s="60"/>
      <c r="Z22" s="16" t="e">
        <f>数出表_Excel!N22</f>
        <v>#N/A</v>
      </c>
      <c r="AA22" s="60"/>
      <c r="AB22" s="16" t="e">
        <f>数出表_Excel!O22</f>
        <v>#N/A</v>
      </c>
      <c r="AC22" s="60"/>
      <c r="AD22" s="16" t="e">
        <f>数出表_Excel!P22</f>
        <v>#N/A</v>
      </c>
      <c r="AE22" s="60"/>
      <c r="AF22" s="16" t="e">
        <f>数出表_Excel!Q22</f>
        <v>#N/A</v>
      </c>
      <c r="AG22" s="60"/>
      <c r="AH22" s="16" t="e">
        <f>数出表_Excel!R22</f>
        <v>#N/A</v>
      </c>
      <c r="AI22" s="60"/>
      <c r="AJ22" s="16" t="e">
        <f>数出表_Excel!T22</f>
        <v>#N/A</v>
      </c>
      <c r="AK22" s="60"/>
      <c r="AL22" s="16" t="e">
        <f>数出表_Excel!T22</f>
        <v>#N/A</v>
      </c>
      <c r="AM22" s="5" t="e">
        <f>数出表_Excel!V22</f>
        <v>#N/A</v>
      </c>
      <c r="AN22" s="7" t="e">
        <f>数出表_Excel!W22</f>
        <v>#N/A</v>
      </c>
    </row>
    <row r="23" spans="1:40" x14ac:dyDescent="0.45">
      <c r="A23" s="8" t="e">
        <f>数出表_Excel!A23</f>
        <v>#N/A</v>
      </c>
      <c r="B23" s="46" t="e">
        <f>数出表_Excel!B23</f>
        <v>#N/A</v>
      </c>
      <c r="C23" s="46"/>
      <c r="D23" s="46" t="e">
        <f>数出表_Excel!C23</f>
        <v>#N/A</v>
      </c>
      <c r="E23" s="46"/>
      <c r="F23" s="46" t="e">
        <f>数出表_Excel!D23</f>
        <v>#N/A</v>
      </c>
      <c r="G23" s="46"/>
      <c r="H23" s="46" t="e">
        <f>数出表_Excel!E23</f>
        <v>#N/A</v>
      </c>
      <c r="I23" s="46"/>
      <c r="J23" s="46" t="e">
        <f>数出表_Excel!F23</f>
        <v>#N/A</v>
      </c>
      <c r="K23" s="46"/>
      <c r="L23" s="46" t="e">
        <f>数出表_Excel!G23</f>
        <v>#N/A</v>
      </c>
      <c r="M23" s="46"/>
      <c r="N23" s="46" t="e">
        <f>数出表_Excel!H23</f>
        <v>#N/A</v>
      </c>
      <c r="O23" s="46"/>
      <c r="P23" s="46" t="e">
        <f>数出表_Excel!I23</f>
        <v>#N/A</v>
      </c>
      <c r="Q23" s="46"/>
      <c r="R23" s="46" t="e">
        <f>数出表_Excel!J23</f>
        <v>#N/A</v>
      </c>
      <c r="S23" s="46"/>
      <c r="T23" s="46" t="e">
        <f>数出表_Excel!K23</f>
        <v>#N/A</v>
      </c>
      <c r="U23" s="46"/>
      <c r="V23" s="46" t="e">
        <f>数出表_Excel!L23</f>
        <v>#N/A</v>
      </c>
      <c r="W23" s="46"/>
      <c r="X23" s="46" t="e">
        <f>数出表_Excel!M23</f>
        <v>#N/A</v>
      </c>
      <c r="Y23" s="46"/>
      <c r="Z23" s="46" t="e">
        <f>数出表_Excel!N23</f>
        <v>#N/A</v>
      </c>
      <c r="AA23" s="46"/>
      <c r="AB23" s="46" t="e">
        <f>数出表_Excel!O23</f>
        <v>#N/A</v>
      </c>
      <c r="AC23" s="46"/>
      <c r="AD23" s="46" t="e">
        <f>数出表_Excel!P23</f>
        <v>#N/A</v>
      </c>
      <c r="AE23" s="46"/>
      <c r="AF23" s="46" t="e">
        <f>数出表_Excel!Q23</f>
        <v>#N/A</v>
      </c>
      <c r="AG23" s="46"/>
      <c r="AH23" s="46" t="e">
        <f>数出表_Excel!R23</f>
        <v>#N/A</v>
      </c>
      <c r="AI23" s="46"/>
      <c r="AJ23" s="46" t="e">
        <f>数出表_Excel!T23</f>
        <v>#N/A</v>
      </c>
      <c r="AK23" s="46"/>
      <c r="AL23" s="46" t="e">
        <f>数出表_Excel!T23</f>
        <v>#N/A</v>
      </c>
      <c r="AM23" s="8" t="e">
        <f>数出表_Excel!V23</f>
        <v>#N/A</v>
      </c>
      <c r="AN23" s="9" t="e">
        <f>数出表_Excel!W23</f>
        <v>#N/A</v>
      </c>
    </row>
    <row r="24" spans="1:40" x14ac:dyDescent="0.45">
      <c r="A24" s="5" t="e">
        <f>数出表_Excel!A24</f>
        <v>#N/A</v>
      </c>
      <c r="B24" s="16" t="e">
        <f>数出表_Excel!B24</f>
        <v>#N/A</v>
      </c>
      <c r="C24" s="60"/>
      <c r="D24" s="16" t="e">
        <f>数出表_Excel!C24</f>
        <v>#N/A</v>
      </c>
      <c r="E24" s="60"/>
      <c r="F24" s="16" t="e">
        <f>数出表_Excel!D24</f>
        <v>#N/A</v>
      </c>
      <c r="G24" s="60"/>
      <c r="H24" s="16" t="e">
        <f>数出表_Excel!E24</f>
        <v>#N/A</v>
      </c>
      <c r="I24" s="60"/>
      <c r="J24" s="16" t="e">
        <f>数出表_Excel!F24</f>
        <v>#N/A</v>
      </c>
      <c r="K24" s="60"/>
      <c r="L24" s="16" t="e">
        <f>数出表_Excel!G24</f>
        <v>#N/A</v>
      </c>
      <c r="M24" s="60"/>
      <c r="N24" s="16" t="e">
        <f>数出表_Excel!H24</f>
        <v>#N/A</v>
      </c>
      <c r="O24" s="60"/>
      <c r="P24" s="16" t="e">
        <f>数出表_Excel!I24</f>
        <v>#N/A</v>
      </c>
      <c r="Q24" s="60"/>
      <c r="R24" s="16" t="e">
        <f>数出表_Excel!J24</f>
        <v>#N/A</v>
      </c>
      <c r="S24" s="60"/>
      <c r="T24" s="16" t="e">
        <f>数出表_Excel!K24</f>
        <v>#N/A</v>
      </c>
      <c r="U24" s="60"/>
      <c r="V24" s="16" t="e">
        <f>数出表_Excel!L24</f>
        <v>#N/A</v>
      </c>
      <c r="W24" s="60"/>
      <c r="X24" s="16" t="e">
        <f>数出表_Excel!M24</f>
        <v>#N/A</v>
      </c>
      <c r="Y24" s="60"/>
      <c r="Z24" s="16" t="e">
        <f>数出表_Excel!N24</f>
        <v>#N/A</v>
      </c>
      <c r="AA24" s="60"/>
      <c r="AB24" s="16" t="e">
        <f>数出表_Excel!O24</f>
        <v>#N/A</v>
      </c>
      <c r="AC24" s="60"/>
      <c r="AD24" s="16" t="e">
        <f>数出表_Excel!P24</f>
        <v>#N/A</v>
      </c>
      <c r="AE24" s="60"/>
      <c r="AF24" s="16" t="e">
        <f>数出表_Excel!Q24</f>
        <v>#N/A</v>
      </c>
      <c r="AG24" s="60"/>
      <c r="AH24" s="16" t="e">
        <f>数出表_Excel!R24</f>
        <v>#N/A</v>
      </c>
      <c r="AI24" s="60"/>
      <c r="AJ24" s="16" t="e">
        <f>数出表_Excel!T24</f>
        <v>#N/A</v>
      </c>
      <c r="AK24" s="60"/>
      <c r="AL24" s="16" t="e">
        <f>数出表_Excel!T24</f>
        <v>#N/A</v>
      </c>
      <c r="AM24" s="5" t="e">
        <f>数出表_Excel!V24</f>
        <v>#N/A</v>
      </c>
      <c r="AN24" s="7" t="e">
        <f>数出表_Excel!W24</f>
        <v>#N/A</v>
      </c>
    </row>
    <row r="25" spans="1:40" x14ac:dyDescent="0.45">
      <c r="A25" s="8" t="e">
        <f>数出表_Excel!A25</f>
        <v>#N/A</v>
      </c>
      <c r="B25" s="46" t="e">
        <f>数出表_Excel!B25</f>
        <v>#N/A</v>
      </c>
      <c r="C25" s="46"/>
      <c r="D25" s="46" t="e">
        <f>数出表_Excel!C25</f>
        <v>#N/A</v>
      </c>
      <c r="E25" s="46"/>
      <c r="F25" s="46" t="e">
        <f>数出表_Excel!D25</f>
        <v>#N/A</v>
      </c>
      <c r="G25" s="46"/>
      <c r="H25" s="46" t="e">
        <f>数出表_Excel!E25</f>
        <v>#N/A</v>
      </c>
      <c r="I25" s="46"/>
      <c r="J25" s="46" t="e">
        <f>数出表_Excel!F25</f>
        <v>#N/A</v>
      </c>
      <c r="K25" s="46"/>
      <c r="L25" s="46" t="e">
        <f>数出表_Excel!G25</f>
        <v>#N/A</v>
      </c>
      <c r="M25" s="46"/>
      <c r="N25" s="46" t="e">
        <f>数出表_Excel!H25</f>
        <v>#N/A</v>
      </c>
      <c r="O25" s="46"/>
      <c r="P25" s="46" t="e">
        <f>数出表_Excel!I25</f>
        <v>#N/A</v>
      </c>
      <c r="Q25" s="46"/>
      <c r="R25" s="46" t="e">
        <f>数出表_Excel!J25</f>
        <v>#N/A</v>
      </c>
      <c r="S25" s="46"/>
      <c r="T25" s="46" t="e">
        <f>数出表_Excel!K25</f>
        <v>#N/A</v>
      </c>
      <c r="U25" s="46"/>
      <c r="V25" s="46" t="e">
        <f>数出表_Excel!L25</f>
        <v>#N/A</v>
      </c>
      <c r="W25" s="46"/>
      <c r="X25" s="46" t="e">
        <f>数出表_Excel!M25</f>
        <v>#N/A</v>
      </c>
      <c r="Y25" s="46"/>
      <c r="Z25" s="46" t="e">
        <f>数出表_Excel!N25</f>
        <v>#N/A</v>
      </c>
      <c r="AA25" s="46"/>
      <c r="AB25" s="46" t="e">
        <f>数出表_Excel!O25</f>
        <v>#N/A</v>
      </c>
      <c r="AC25" s="46"/>
      <c r="AD25" s="46" t="e">
        <f>数出表_Excel!P25</f>
        <v>#N/A</v>
      </c>
      <c r="AE25" s="46"/>
      <c r="AF25" s="46" t="e">
        <f>数出表_Excel!Q25</f>
        <v>#N/A</v>
      </c>
      <c r="AG25" s="46"/>
      <c r="AH25" s="46" t="e">
        <f>数出表_Excel!R25</f>
        <v>#N/A</v>
      </c>
      <c r="AI25" s="46"/>
      <c r="AJ25" s="46" t="e">
        <f>数出表_Excel!T25</f>
        <v>#N/A</v>
      </c>
      <c r="AK25" s="46"/>
      <c r="AL25" s="46" t="e">
        <f>数出表_Excel!T25</f>
        <v>#N/A</v>
      </c>
      <c r="AM25" s="8" t="e">
        <f>数出表_Excel!V25</f>
        <v>#N/A</v>
      </c>
      <c r="AN25" s="9" t="e">
        <f>数出表_Excel!W25</f>
        <v>#N/A</v>
      </c>
    </row>
    <row r="26" spans="1:40" x14ac:dyDescent="0.45">
      <c r="A26" s="5" t="e">
        <f>数出表_Excel!A26</f>
        <v>#N/A</v>
      </c>
      <c r="B26" s="16" t="e">
        <f>数出表_Excel!B26</f>
        <v>#N/A</v>
      </c>
      <c r="C26" s="60"/>
      <c r="D26" s="16" t="e">
        <f>数出表_Excel!C26</f>
        <v>#N/A</v>
      </c>
      <c r="E26" s="60"/>
      <c r="F26" s="16" t="e">
        <f>数出表_Excel!D26</f>
        <v>#N/A</v>
      </c>
      <c r="G26" s="60"/>
      <c r="H26" s="16" t="e">
        <f>数出表_Excel!E26</f>
        <v>#N/A</v>
      </c>
      <c r="I26" s="60"/>
      <c r="J26" s="16" t="e">
        <f>数出表_Excel!F26</f>
        <v>#N/A</v>
      </c>
      <c r="K26" s="60"/>
      <c r="L26" s="16" t="e">
        <f>数出表_Excel!G26</f>
        <v>#N/A</v>
      </c>
      <c r="M26" s="60"/>
      <c r="N26" s="16" t="e">
        <f>数出表_Excel!H26</f>
        <v>#N/A</v>
      </c>
      <c r="O26" s="60"/>
      <c r="P26" s="16" t="e">
        <f>数出表_Excel!I26</f>
        <v>#N/A</v>
      </c>
      <c r="Q26" s="60"/>
      <c r="R26" s="16" t="e">
        <f>数出表_Excel!J26</f>
        <v>#N/A</v>
      </c>
      <c r="S26" s="60"/>
      <c r="T26" s="16" t="e">
        <f>数出表_Excel!K26</f>
        <v>#N/A</v>
      </c>
      <c r="U26" s="60"/>
      <c r="V26" s="16" t="e">
        <f>数出表_Excel!L26</f>
        <v>#N/A</v>
      </c>
      <c r="W26" s="60"/>
      <c r="X26" s="16" t="e">
        <f>数出表_Excel!M26</f>
        <v>#N/A</v>
      </c>
      <c r="Y26" s="60"/>
      <c r="Z26" s="16" t="e">
        <f>数出表_Excel!N26</f>
        <v>#N/A</v>
      </c>
      <c r="AA26" s="60"/>
      <c r="AB26" s="16" t="e">
        <f>数出表_Excel!O26</f>
        <v>#N/A</v>
      </c>
      <c r="AC26" s="60"/>
      <c r="AD26" s="16" t="e">
        <f>数出表_Excel!P26</f>
        <v>#N/A</v>
      </c>
      <c r="AE26" s="60"/>
      <c r="AF26" s="16" t="e">
        <f>数出表_Excel!Q26</f>
        <v>#N/A</v>
      </c>
      <c r="AG26" s="60"/>
      <c r="AH26" s="16" t="e">
        <f>数出表_Excel!R26</f>
        <v>#N/A</v>
      </c>
      <c r="AI26" s="60"/>
      <c r="AJ26" s="16" t="e">
        <f>数出表_Excel!T26</f>
        <v>#N/A</v>
      </c>
      <c r="AK26" s="60"/>
      <c r="AL26" s="16" t="e">
        <f>数出表_Excel!T26</f>
        <v>#N/A</v>
      </c>
      <c r="AM26" s="5" t="e">
        <f>数出表_Excel!V26</f>
        <v>#N/A</v>
      </c>
      <c r="AN26" s="7" t="e">
        <f>数出表_Excel!W26</f>
        <v>#N/A</v>
      </c>
    </row>
    <row r="27" spans="1:40" x14ac:dyDescent="0.45">
      <c r="A27" s="8" t="e">
        <f>数出表_Excel!A27</f>
        <v>#N/A</v>
      </c>
      <c r="B27" s="46" t="e">
        <f>数出表_Excel!B27</f>
        <v>#N/A</v>
      </c>
      <c r="C27" s="46"/>
      <c r="D27" s="46" t="e">
        <f>数出表_Excel!C27</f>
        <v>#N/A</v>
      </c>
      <c r="E27" s="46"/>
      <c r="F27" s="46" t="e">
        <f>数出表_Excel!D27</f>
        <v>#N/A</v>
      </c>
      <c r="G27" s="46"/>
      <c r="H27" s="46" t="e">
        <f>数出表_Excel!E27</f>
        <v>#N/A</v>
      </c>
      <c r="I27" s="46"/>
      <c r="J27" s="46" t="e">
        <f>数出表_Excel!F27</f>
        <v>#N/A</v>
      </c>
      <c r="K27" s="46"/>
      <c r="L27" s="46" t="e">
        <f>数出表_Excel!G27</f>
        <v>#N/A</v>
      </c>
      <c r="M27" s="46"/>
      <c r="N27" s="46" t="e">
        <f>数出表_Excel!H27</f>
        <v>#N/A</v>
      </c>
      <c r="O27" s="46"/>
      <c r="P27" s="46" t="e">
        <f>数出表_Excel!I27</f>
        <v>#N/A</v>
      </c>
      <c r="Q27" s="46"/>
      <c r="R27" s="46" t="e">
        <f>数出表_Excel!J27</f>
        <v>#N/A</v>
      </c>
      <c r="S27" s="46"/>
      <c r="T27" s="46" t="e">
        <f>数出表_Excel!K27</f>
        <v>#N/A</v>
      </c>
      <c r="U27" s="46"/>
      <c r="V27" s="46" t="e">
        <f>数出表_Excel!L27</f>
        <v>#N/A</v>
      </c>
      <c r="W27" s="46"/>
      <c r="X27" s="46" t="e">
        <f>数出表_Excel!M27</f>
        <v>#N/A</v>
      </c>
      <c r="Y27" s="46"/>
      <c r="Z27" s="46" t="e">
        <f>数出表_Excel!N27</f>
        <v>#N/A</v>
      </c>
      <c r="AA27" s="46"/>
      <c r="AB27" s="46" t="e">
        <f>数出表_Excel!O27</f>
        <v>#N/A</v>
      </c>
      <c r="AC27" s="46"/>
      <c r="AD27" s="46" t="e">
        <f>数出表_Excel!P27</f>
        <v>#N/A</v>
      </c>
      <c r="AE27" s="46"/>
      <c r="AF27" s="46" t="e">
        <f>数出表_Excel!Q27</f>
        <v>#N/A</v>
      </c>
      <c r="AG27" s="46"/>
      <c r="AH27" s="46" t="e">
        <f>数出表_Excel!R27</f>
        <v>#N/A</v>
      </c>
      <c r="AI27" s="46"/>
      <c r="AJ27" s="46" t="e">
        <f>数出表_Excel!T27</f>
        <v>#N/A</v>
      </c>
      <c r="AK27" s="46"/>
      <c r="AL27" s="46" t="e">
        <f>数出表_Excel!T27</f>
        <v>#N/A</v>
      </c>
      <c r="AM27" s="8" t="e">
        <f>数出表_Excel!V27</f>
        <v>#N/A</v>
      </c>
      <c r="AN27" s="9" t="e">
        <f>数出表_Excel!W27</f>
        <v>#N/A</v>
      </c>
    </row>
    <row r="28" spans="1:40" x14ac:dyDescent="0.45">
      <c r="A28" s="5" t="e">
        <f>数出表_Excel!A28</f>
        <v>#N/A</v>
      </c>
      <c r="B28" s="16" t="e">
        <f>数出表_Excel!B28</f>
        <v>#N/A</v>
      </c>
      <c r="C28" s="60"/>
      <c r="D28" s="16" t="e">
        <f>数出表_Excel!C28</f>
        <v>#N/A</v>
      </c>
      <c r="E28" s="60"/>
      <c r="F28" s="16" t="e">
        <f>数出表_Excel!D28</f>
        <v>#N/A</v>
      </c>
      <c r="G28" s="60"/>
      <c r="H28" s="16" t="e">
        <f>数出表_Excel!E28</f>
        <v>#N/A</v>
      </c>
      <c r="I28" s="60"/>
      <c r="J28" s="16" t="e">
        <f>数出表_Excel!F28</f>
        <v>#N/A</v>
      </c>
      <c r="K28" s="60"/>
      <c r="L28" s="16" t="e">
        <f>数出表_Excel!G28</f>
        <v>#N/A</v>
      </c>
      <c r="M28" s="60"/>
      <c r="N28" s="16" t="e">
        <f>数出表_Excel!H28</f>
        <v>#N/A</v>
      </c>
      <c r="O28" s="60"/>
      <c r="P28" s="16" t="e">
        <f>数出表_Excel!I28</f>
        <v>#N/A</v>
      </c>
      <c r="Q28" s="60"/>
      <c r="R28" s="16" t="e">
        <f>数出表_Excel!J28</f>
        <v>#N/A</v>
      </c>
      <c r="S28" s="60"/>
      <c r="T28" s="16" t="e">
        <f>数出表_Excel!K28</f>
        <v>#N/A</v>
      </c>
      <c r="U28" s="60"/>
      <c r="V28" s="16" t="e">
        <f>数出表_Excel!L28</f>
        <v>#N/A</v>
      </c>
      <c r="W28" s="60"/>
      <c r="X28" s="16" t="e">
        <f>数出表_Excel!M28</f>
        <v>#N/A</v>
      </c>
      <c r="Y28" s="60"/>
      <c r="Z28" s="16" t="e">
        <f>数出表_Excel!N28</f>
        <v>#N/A</v>
      </c>
      <c r="AA28" s="60"/>
      <c r="AB28" s="16" t="e">
        <f>数出表_Excel!O28</f>
        <v>#N/A</v>
      </c>
      <c r="AC28" s="60"/>
      <c r="AD28" s="16" t="e">
        <f>数出表_Excel!P28</f>
        <v>#N/A</v>
      </c>
      <c r="AE28" s="60"/>
      <c r="AF28" s="16" t="e">
        <f>数出表_Excel!Q28</f>
        <v>#N/A</v>
      </c>
      <c r="AG28" s="60"/>
      <c r="AH28" s="16" t="e">
        <f>数出表_Excel!R28</f>
        <v>#N/A</v>
      </c>
      <c r="AI28" s="60"/>
      <c r="AJ28" s="16" t="e">
        <f>数出表_Excel!T28</f>
        <v>#N/A</v>
      </c>
      <c r="AK28" s="60"/>
      <c r="AL28" s="16" t="e">
        <f>数出表_Excel!T28</f>
        <v>#N/A</v>
      </c>
      <c r="AM28" s="5" t="e">
        <f>数出表_Excel!V28</f>
        <v>#N/A</v>
      </c>
      <c r="AN28" s="7" t="e">
        <f>数出表_Excel!W28</f>
        <v>#N/A</v>
      </c>
    </row>
    <row r="29" spans="1:40" x14ac:dyDescent="0.45">
      <c r="A29" s="8" t="e">
        <f>数出表_Excel!A29</f>
        <v>#N/A</v>
      </c>
      <c r="B29" s="46" t="e">
        <f>数出表_Excel!B29</f>
        <v>#N/A</v>
      </c>
      <c r="C29" s="46"/>
      <c r="D29" s="46" t="e">
        <f>数出表_Excel!C29</f>
        <v>#N/A</v>
      </c>
      <c r="E29" s="46"/>
      <c r="F29" s="46" t="e">
        <f>数出表_Excel!D29</f>
        <v>#N/A</v>
      </c>
      <c r="G29" s="46"/>
      <c r="H29" s="46" t="e">
        <f>数出表_Excel!E29</f>
        <v>#N/A</v>
      </c>
      <c r="I29" s="46"/>
      <c r="J29" s="46" t="e">
        <f>数出表_Excel!F29</f>
        <v>#N/A</v>
      </c>
      <c r="K29" s="46"/>
      <c r="L29" s="46" t="e">
        <f>数出表_Excel!G29</f>
        <v>#N/A</v>
      </c>
      <c r="M29" s="46"/>
      <c r="N29" s="46" t="e">
        <f>数出表_Excel!H29</f>
        <v>#N/A</v>
      </c>
      <c r="O29" s="46"/>
      <c r="P29" s="46" t="e">
        <f>数出表_Excel!I29</f>
        <v>#N/A</v>
      </c>
      <c r="Q29" s="46"/>
      <c r="R29" s="46" t="e">
        <f>数出表_Excel!J29</f>
        <v>#N/A</v>
      </c>
      <c r="S29" s="46"/>
      <c r="T29" s="46" t="e">
        <f>数出表_Excel!K29</f>
        <v>#N/A</v>
      </c>
      <c r="U29" s="46"/>
      <c r="V29" s="46" t="e">
        <f>数出表_Excel!L29</f>
        <v>#N/A</v>
      </c>
      <c r="W29" s="46"/>
      <c r="X29" s="46" t="e">
        <f>数出表_Excel!M29</f>
        <v>#N/A</v>
      </c>
      <c r="Y29" s="46"/>
      <c r="Z29" s="46" t="e">
        <f>数出表_Excel!N29</f>
        <v>#N/A</v>
      </c>
      <c r="AA29" s="46"/>
      <c r="AB29" s="46" t="e">
        <f>数出表_Excel!O29</f>
        <v>#N/A</v>
      </c>
      <c r="AC29" s="46"/>
      <c r="AD29" s="46" t="e">
        <f>数出表_Excel!P29</f>
        <v>#N/A</v>
      </c>
      <c r="AE29" s="46"/>
      <c r="AF29" s="46" t="e">
        <f>数出表_Excel!Q29</f>
        <v>#N/A</v>
      </c>
      <c r="AG29" s="46"/>
      <c r="AH29" s="46" t="e">
        <f>数出表_Excel!R29</f>
        <v>#N/A</v>
      </c>
      <c r="AI29" s="46"/>
      <c r="AJ29" s="46" t="e">
        <f>数出表_Excel!T29</f>
        <v>#N/A</v>
      </c>
      <c r="AK29" s="46"/>
      <c r="AL29" s="46" t="e">
        <f>数出表_Excel!T29</f>
        <v>#N/A</v>
      </c>
      <c r="AM29" s="8" t="e">
        <f>数出表_Excel!V29</f>
        <v>#N/A</v>
      </c>
      <c r="AN29" s="9" t="e">
        <f>数出表_Excel!W29</f>
        <v>#N/A</v>
      </c>
    </row>
    <row r="30" spans="1:40" x14ac:dyDescent="0.45">
      <c r="A30" s="5" t="e">
        <f>数出表_Excel!A30</f>
        <v>#N/A</v>
      </c>
      <c r="B30" s="16" t="e">
        <f>数出表_Excel!B30</f>
        <v>#N/A</v>
      </c>
      <c r="C30" s="60"/>
      <c r="D30" s="16" t="e">
        <f>数出表_Excel!C30</f>
        <v>#N/A</v>
      </c>
      <c r="E30" s="60"/>
      <c r="F30" s="16" t="e">
        <f>数出表_Excel!D30</f>
        <v>#N/A</v>
      </c>
      <c r="G30" s="60"/>
      <c r="H30" s="16" t="e">
        <f>数出表_Excel!E30</f>
        <v>#N/A</v>
      </c>
      <c r="I30" s="60"/>
      <c r="J30" s="16" t="e">
        <f>数出表_Excel!F30</f>
        <v>#N/A</v>
      </c>
      <c r="K30" s="60"/>
      <c r="L30" s="16" t="e">
        <f>数出表_Excel!G30</f>
        <v>#N/A</v>
      </c>
      <c r="M30" s="60"/>
      <c r="N30" s="16" t="e">
        <f>数出表_Excel!H30</f>
        <v>#N/A</v>
      </c>
      <c r="O30" s="60"/>
      <c r="P30" s="16" t="e">
        <f>数出表_Excel!I30</f>
        <v>#N/A</v>
      </c>
      <c r="Q30" s="60"/>
      <c r="R30" s="16" t="e">
        <f>数出表_Excel!J30</f>
        <v>#N/A</v>
      </c>
      <c r="S30" s="60"/>
      <c r="T30" s="16" t="e">
        <f>数出表_Excel!K30</f>
        <v>#N/A</v>
      </c>
      <c r="U30" s="60"/>
      <c r="V30" s="16" t="e">
        <f>数出表_Excel!L30</f>
        <v>#N/A</v>
      </c>
      <c r="W30" s="60"/>
      <c r="X30" s="16" t="e">
        <f>数出表_Excel!M30</f>
        <v>#N/A</v>
      </c>
      <c r="Y30" s="60"/>
      <c r="Z30" s="16" t="e">
        <f>数出表_Excel!N30</f>
        <v>#N/A</v>
      </c>
      <c r="AA30" s="60"/>
      <c r="AB30" s="16" t="e">
        <f>数出表_Excel!O30</f>
        <v>#N/A</v>
      </c>
      <c r="AC30" s="60"/>
      <c r="AD30" s="16" t="e">
        <f>数出表_Excel!P30</f>
        <v>#N/A</v>
      </c>
      <c r="AE30" s="60"/>
      <c r="AF30" s="16" t="e">
        <f>数出表_Excel!Q30</f>
        <v>#N/A</v>
      </c>
      <c r="AG30" s="60"/>
      <c r="AH30" s="16" t="e">
        <f>数出表_Excel!R30</f>
        <v>#N/A</v>
      </c>
      <c r="AI30" s="60"/>
      <c r="AJ30" s="16" t="e">
        <f>数出表_Excel!T30</f>
        <v>#N/A</v>
      </c>
      <c r="AK30" s="60"/>
      <c r="AL30" s="16" t="e">
        <f>数出表_Excel!T30</f>
        <v>#N/A</v>
      </c>
      <c r="AM30" s="5" t="e">
        <f>数出表_Excel!V30</f>
        <v>#N/A</v>
      </c>
      <c r="AN30" s="7" t="e">
        <f>数出表_Excel!W30</f>
        <v>#N/A</v>
      </c>
    </row>
    <row r="31" spans="1:40" x14ac:dyDescent="0.45">
      <c r="A31" s="8" t="e">
        <f>数出表_Excel!A31</f>
        <v>#N/A</v>
      </c>
      <c r="B31" s="46" t="e">
        <f>数出表_Excel!B31</f>
        <v>#N/A</v>
      </c>
      <c r="C31" s="46"/>
      <c r="D31" s="46" t="e">
        <f>数出表_Excel!C31</f>
        <v>#N/A</v>
      </c>
      <c r="E31" s="46"/>
      <c r="F31" s="46" t="e">
        <f>数出表_Excel!D31</f>
        <v>#N/A</v>
      </c>
      <c r="G31" s="46"/>
      <c r="H31" s="46" t="e">
        <f>数出表_Excel!E31</f>
        <v>#N/A</v>
      </c>
      <c r="I31" s="46"/>
      <c r="J31" s="46" t="e">
        <f>数出表_Excel!F31</f>
        <v>#N/A</v>
      </c>
      <c r="K31" s="46"/>
      <c r="L31" s="46" t="e">
        <f>数出表_Excel!G31</f>
        <v>#N/A</v>
      </c>
      <c r="M31" s="46"/>
      <c r="N31" s="46" t="e">
        <f>数出表_Excel!H31</f>
        <v>#N/A</v>
      </c>
      <c r="O31" s="46"/>
      <c r="P31" s="46" t="e">
        <f>数出表_Excel!I31</f>
        <v>#N/A</v>
      </c>
      <c r="Q31" s="46"/>
      <c r="R31" s="46" t="e">
        <f>数出表_Excel!J31</f>
        <v>#N/A</v>
      </c>
      <c r="S31" s="46"/>
      <c r="T31" s="46" t="e">
        <f>数出表_Excel!K31</f>
        <v>#N/A</v>
      </c>
      <c r="U31" s="46"/>
      <c r="V31" s="46" t="e">
        <f>数出表_Excel!L31</f>
        <v>#N/A</v>
      </c>
      <c r="W31" s="46"/>
      <c r="X31" s="46" t="e">
        <f>数出表_Excel!M31</f>
        <v>#N/A</v>
      </c>
      <c r="Y31" s="46"/>
      <c r="Z31" s="46" t="e">
        <f>数出表_Excel!N31</f>
        <v>#N/A</v>
      </c>
      <c r="AA31" s="46"/>
      <c r="AB31" s="46" t="e">
        <f>数出表_Excel!O31</f>
        <v>#N/A</v>
      </c>
      <c r="AC31" s="46"/>
      <c r="AD31" s="46" t="e">
        <f>数出表_Excel!P31</f>
        <v>#N/A</v>
      </c>
      <c r="AE31" s="46"/>
      <c r="AF31" s="46" t="e">
        <f>数出表_Excel!Q31</f>
        <v>#N/A</v>
      </c>
      <c r="AG31" s="46"/>
      <c r="AH31" s="46" t="e">
        <f>数出表_Excel!R31</f>
        <v>#N/A</v>
      </c>
      <c r="AI31" s="46"/>
      <c r="AJ31" s="46" t="e">
        <f>数出表_Excel!T31</f>
        <v>#N/A</v>
      </c>
      <c r="AK31" s="46"/>
      <c r="AL31" s="46" t="e">
        <f>数出表_Excel!T31</f>
        <v>#N/A</v>
      </c>
      <c r="AM31" s="8" t="e">
        <f>数出表_Excel!V31</f>
        <v>#N/A</v>
      </c>
      <c r="AN31" s="9" t="e">
        <f>数出表_Excel!W31</f>
        <v>#N/A</v>
      </c>
    </row>
    <row r="32" spans="1:40" x14ac:dyDescent="0.45">
      <c r="A32" s="5" t="e">
        <f>数出表_Excel!A32</f>
        <v>#N/A</v>
      </c>
      <c r="B32" s="16" t="e">
        <f>数出表_Excel!B32</f>
        <v>#N/A</v>
      </c>
      <c r="C32" s="60"/>
      <c r="D32" s="16" t="e">
        <f>数出表_Excel!C32</f>
        <v>#N/A</v>
      </c>
      <c r="E32" s="60"/>
      <c r="F32" s="16" t="e">
        <f>数出表_Excel!D32</f>
        <v>#N/A</v>
      </c>
      <c r="G32" s="60"/>
      <c r="H32" s="16" t="e">
        <f>数出表_Excel!E32</f>
        <v>#N/A</v>
      </c>
      <c r="I32" s="60"/>
      <c r="J32" s="16" t="e">
        <f>数出表_Excel!F32</f>
        <v>#N/A</v>
      </c>
      <c r="K32" s="60"/>
      <c r="L32" s="16" t="e">
        <f>数出表_Excel!G32</f>
        <v>#N/A</v>
      </c>
      <c r="M32" s="60"/>
      <c r="N32" s="16" t="e">
        <f>数出表_Excel!H32</f>
        <v>#N/A</v>
      </c>
      <c r="O32" s="60"/>
      <c r="P32" s="16" t="e">
        <f>数出表_Excel!I32</f>
        <v>#N/A</v>
      </c>
      <c r="Q32" s="60"/>
      <c r="R32" s="16" t="e">
        <f>数出表_Excel!J32</f>
        <v>#N/A</v>
      </c>
      <c r="S32" s="60"/>
      <c r="T32" s="16" t="e">
        <f>数出表_Excel!K32</f>
        <v>#N/A</v>
      </c>
      <c r="U32" s="60"/>
      <c r="V32" s="16" t="e">
        <f>数出表_Excel!L32</f>
        <v>#N/A</v>
      </c>
      <c r="W32" s="60"/>
      <c r="X32" s="16" t="e">
        <f>数出表_Excel!M32</f>
        <v>#N/A</v>
      </c>
      <c r="Y32" s="60"/>
      <c r="Z32" s="16" t="e">
        <f>数出表_Excel!N32</f>
        <v>#N/A</v>
      </c>
      <c r="AA32" s="60"/>
      <c r="AB32" s="16" t="e">
        <f>数出表_Excel!O32</f>
        <v>#N/A</v>
      </c>
      <c r="AC32" s="60"/>
      <c r="AD32" s="16" t="e">
        <f>数出表_Excel!P32</f>
        <v>#N/A</v>
      </c>
      <c r="AE32" s="60"/>
      <c r="AF32" s="16" t="e">
        <f>数出表_Excel!Q32</f>
        <v>#N/A</v>
      </c>
      <c r="AG32" s="60"/>
      <c r="AH32" s="16" t="e">
        <f>数出表_Excel!R32</f>
        <v>#N/A</v>
      </c>
      <c r="AI32" s="60"/>
      <c r="AJ32" s="16" t="e">
        <f>数出表_Excel!T32</f>
        <v>#N/A</v>
      </c>
      <c r="AK32" s="60"/>
      <c r="AL32" s="16" t="e">
        <f>数出表_Excel!T32</f>
        <v>#N/A</v>
      </c>
      <c r="AM32" s="5" t="e">
        <f>数出表_Excel!V32</f>
        <v>#N/A</v>
      </c>
      <c r="AN32" s="7" t="e">
        <f>数出表_Excel!W32</f>
        <v>#N/A</v>
      </c>
    </row>
    <row r="33" spans="1:40" x14ac:dyDescent="0.45">
      <c r="A33" s="8" t="e">
        <f>数出表_Excel!A33</f>
        <v>#N/A</v>
      </c>
      <c r="B33" s="46" t="e">
        <f>数出表_Excel!B33</f>
        <v>#N/A</v>
      </c>
      <c r="C33" s="46"/>
      <c r="D33" s="46" t="e">
        <f>数出表_Excel!C33</f>
        <v>#N/A</v>
      </c>
      <c r="E33" s="46"/>
      <c r="F33" s="46" t="e">
        <f>数出表_Excel!D33</f>
        <v>#N/A</v>
      </c>
      <c r="G33" s="46"/>
      <c r="H33" s="46" t="e">
        <f>数出表_Excel!E33</f>
        <v>#N/A</v>
      </c>
      <c r="I33" s="46"/>
      <c r="J33" s="46" t="e">
        <f>数出表_Excel!F33</f>
        <v>#N/A</v>
      </c>
      <c r="K33" s="46"/>
      <c r="L33" s="46" t="e">
        <f>数出表_Excel!G33</f>
        <v>#N/A</v>
      </c>
      <c r="M33" s="46"/>
      <c r="N33" s="46" t="e">
        <f>数出表_Excel!H33</f>
        <v>#N/A</v>
      </c>
      <c r="O33" s="46"/>
      <c r="P33" s="46" t="e">
        <f>数出表_Excel!I33</f>
        <v>#N/A</v>
      </c>
      <c r="Q33" s="46"/>
      <c r="R33" s="46" t="e">
        <f>数出表_Excel!J33</f>
        <v>#N/A</v>
      </c>
      <c r="S33" s="46"/>
      <c r="T33" s="46" t="e">
        <f>数出表_Excel!K33</f>
        <v>#N/A</v>
      </c>
      <c r="U33" s="46"/>
      <c r="V33" s="46" t="e">
        <f>数出表_Excel!L33</f>
        <v>#N/A</v>
      </c>
      <c r="W33" s="46"/>
      <c r="X33" s="46" t="e">
        <f>数出表_Excel!M33</f>
        <v>#N/A</v>
      </c>
      <c r="Y33" s="46"/>
      <c r="Z33" s="46" t="e">
        <f>数出表_Excel!N33</f>
        <v>#N/A</v>
      </c>
      <c r="AA33" s="46"/>
      <c r="AB33" s="46" t="e">
        <f>数出表_Excel!O33</f>
        <v>#N/A</v>
      </c>
      <c r="AC33" s="46"/>
      <c r="AD33" s="46" t="e">
        <f>数出表_Excel!P33</f>
        <v>#N/A</v>
      </c>
      <c r="AE33" s="46"/>
      <c r="AF33" s="46" t="e">
        <f>数出表_Excel!Q33</f>
        <v>#N/A</v>
      </c>
      <c r="AG33" s="46"/>
      <c r="AH33" s="46" t="e">
        <f>数出表_Excel!R33</f>
        <v>#N/A</v>
      </c>
      <c r="AI33" s="46"/>
      <c r="AJ33" s="46" t="e">
        <f>数出表_Excel!T33</f>
        <v>#N/A</v>
      </c>
      <c r="AK33" s="46"/>
      <c r="AL33" s="46" t="e">
        <f>数出表_Excel!T33</f>
        <v>#N/A</v>
      </c>
      <c r="AM33" s="8" t="e">
        <f>数出表_Excel!V33</f>
        <v>#N/A</v>
      </c>
      <c r="AN33" s="9" t="e">
        <f>数出表_Excel!W33</f>
        <v>#N/A</v>
      </c>
    </row>
    <row r="34" spans="1:40" x14ac:dyDescent="0.45">
      <c r="A34" s="5" t="e">
        <f>数出表_Excel!A34</f>
        <v>#N/A</v>
      </c>
      <c r="B34" s="16" t="e">
        <f>数出表_Excel!B34</f>
        <v>#N/A</v>
      </c>
      <c r="C34" s="60"/>
      <c r="D34" s="16" t="e">
        <f>数出表_Excel!C34</f>
        <v>#N/A</v>
      </c>
      <c r="E34" s="60"/>
      <c r="F34" s="16" t="e">
        <f>数出表_Excel!D34</f>
        <v>#N/A</v>
      </c>
      <c r="G34" s="60"/>
      <c r="H34" s="16" t="e">
        <f>数出表_Excel!E34</f>
        <v>#N/A</v>
      </c>
      <c r="I34" s="60"/>
      <c r="J34" s="16" t="e">
        <f>数出表_Excel!F34</f>
        <v>#N/A</v>
      </c>
      <c r="K34" s="60"/>
      <c r="L34" s="16" t="e">
        <f>数出表_Excel!G34</f>
        <v>#N/A</v>
      </c>
      <c r="M34" s="60"/>
      <c r="N34" s="16" t="e">
        <f>数出表_Excel!H34</f>
        <v>#N/A</v>
      </c>
      <c r="O34" s="60"/>
      <c r="P34" s="16" t="e">
        <f>数出表_Excel!I34</f>
        <v>#N/A</v>
      </c>
      <c r="Q34" s="60"/>
      <c r="R34" s="16" t="e">
        <f>数出表_Excel!J34</f>
        <v>#N/A</v>
      </c>
      <c r="S34" s="60"/>
      <c r="T34" s="16" t="e">
        <f>数出表_Excel!K34</f>
        <v>#N/A</v>
      </c>
      <c r="U34" s="60"/>
      <c r="V34" s="16" t="e">
        <f>数出表_Excel!L34</f>
        <v>#N/A</v>
      </c>
      <c r="W34" s="60"/>
      <c r="X34" s="16" t="e">
        <f>数出表_Excel!M34</f>
        <v>#N/A</v>
      </c>
      <c r="Y34" s="60"/>
      <c r="Z34" s="16" t="e">
        <f>数出表_Excel!N34</f>
        <v>#N/A</v>
      </c>
      <c r="AA34" s="60"/>
      <c r="AB34" s="16" t="e">
        <f>数出表_Excel!O34</f>
        <v>#N/A</v>
      </c>
      <c r="AC34" s="60"/>
      <c r="AD34" s="16" t="e">
        <f>数出表_Excel!P34</f>
        <v>#N/A</v>
      </c>
      <c r="AE34" s="60"/>
      <c r="AF34" s="16" t="e">
        <f>数出表_Excel!Q34</f>
        <v>#N/A</v>
      </c>
      <c r="AG34" s="60"/>
      <c r="AH34" s="16" t="e">
        <f>数出表_Excel!R34</f>
        <v>#N/A</v>
      </c>
      <c r="AI34" s="60"/>
      <c r="AJ34" s="16" t="e">
        <f>数出表_Excel!T34</f>
        <v>#N/A</v>
      </c>
      <c r="AK34" s="60"/>
      <c r="AL34" s="16" t="e">
        <f>数出表_Excel!T34</f>
        <v>#N/A</v>
      </c>
      <c r="AM34" s="5" t="e">
        <f>数出表_Excel!V34</f>
        <v>#N/A</v>
      </c>
      <c r="AN34" s="7" t="e">
        <f>数出表_Excel!W34</f>
        <v>#N/A</v>
      </c>
    </row>
    <row r="35" spans="1:40" x14ac:dyDescent="0.45">
      <c r="A35" s="8" t="e">
        <f>数出表_Excel!A35</f>
        <v>#N/A</v>
      </c>
      <c r="B35" s="46" t="e">
        <f>数出表_Excel!B35</f>
        <v>#N/A</v>
      </c>
      <c r="C35" s="46"/>
      <c r="D35" s="46" t="e">
        <f>数出表_Excel!C35</f>
        <v>#N/A</v>
      </c>
      <c r="E35" s="46"/>
      <c r="F35" s="46" t="e">
        <f>数出表_Excel!D35</f>
        <v>#N/A</v>
      </c>
      <c r="G35" s="46"/>
      <c r="H35" s="46" t="e">
        <f>数出表_Excel!E35</f>
        <v>#N/A</v>
      </c>
      <c r="I35" s="46"/>
      <c r="J35" s="46" t="e">
        <f>数出表_Excel!F35</f>
        <v>#N/A</v>
      </c>
      <c r="K35" s="46"/>
      <c r="L35" s="46" t="e">
        <f>数出表_Excel!G35</f>
        <v>#N/A</v>
      </c>
      <c r="M35" s="46"/>
      <c r="N35" s="46" t="e">
        <f>数出表_Excel!H35</f>
        <v>#N/A</v>
      </c>
      <c r="O35" s="46"/>
      <c r="P35" s="46" t="e">
        <f>数出表_Excel!I35</f>
        <v>#N/A</v>
      </c>
      <c r="Q35" s="46"/>
      <c r="R35" s="46" t="e">
        <f>数出表_Excel!J35</f>
        <v>#N/A</v>
      </c>
      <c r="S35" s="46"/>
      <c r="T35" s="46" t="e">
        <f>数出表_Excel!K35</f>
        <v>#N/A</v>
      </c>
      <c r="U35" s="46"/>
      <c r="V35" s="46" t="e">
        <f>数出表_Excel!L35</f>
        <v>#N/A</v>
      </c>
      <c r="W35" s="46"/>
      <c r="X35" s="46" t="e">
        <f>数出表_Excel!M35</f>
        <v>#N/A</v>
      </c>
      <c r="Y35" s="46"/>
      <c r="Z35" s="46" t="e">
        <f>数出表_Excel!N35</f>
        <v>#N/A</v>
      </c>
      <c r="AA35" s="46"/>
      <c r="AB35" s="46" t="e">
        <f>数出表_Excel!O35</f>
        <v>#N/A</v>
      </c>
      <c r="AC35" s="46"/>
      <c r="AD35" s="46" t="e">
        <f>数出表_Excel!P35</f>
        <v>#N/A</v>
      </c>
      <c r="AE35" s="46"/>
      <c r="AF35" s="46" t="e">
        <f>数出表_Excel!Q35</f>
        <v>#N/A</v>
      </c>
      <c r="AG35" s="46"/>
      <c r="AH35" s="46" t="e">
        <f>数出表_Excel!R35</f>
        <v>#N/A</v>
      </c>
      <c r="AI35" s="46"/>
      <c r="AJ35" s="46" t="e">
        <f>数出表_Excel!T35</f>
        <v>#N/A</v>
      </c>
      <c r="AK35" s="46"/>
      <c r="AL35" s="46" t="e">
        <f>数出表_Excel!T35</f>
        <v>#N/A</v>
      </c>
      <c r="AM35" s="8" t="e">
        <f>数出表_Excel!V35</f>
        <v>#N/A</v>
      </c>
      <c r="AN35" s="9" t="e">
        <f>数出表_Excel!W35</f>
        <v>#N/A</v>
      </c>
    </row>
    <row r="36" spans="1:40" x14ac:dyDescent="0.45">
      <c r="A36" s="5" t="e">
        <f>数出表_Excel!A36</f>
        <v>#N/A</v>
      </c>
      <c r="B36" s="16" t="e">
        <f>数出表_Excel!B36</f>
        <v>#N/A</v>
      </c>
      <c r="C36" s="60"/>
      <c r="D36" s="16" t="e">
        <f>数出表_Excel!C36</f>
        <v>#N/A</v>
      </c>
      <c r="E36" s="60"/>
      <c r="F36" s="16" t="e">
        <f>数出表_Excel!D36</f>
        <v>#N/A</v>
      </c>
      <c r="G36" s="60"/>
      <c r="H36" s="16" t="e">
        <f>数出表_Excel!E36</f>
        <v>#N/A</v>
      </c>
      <c r="I36" s="60"/>
      <c r="J36" s="16" t="e">
        <f>数出表_Excel!F36</f>
        <v>#N/A</v>
      </c>
      <c r="K36" s="60"/>
      <c r="L36" s="16" t="e">
        <f>数出表_Excel!G36</f>
        <v>#N/A</v>
      </c>
      <c r="M36" s="60"/>
      <c r="N36" s="16" t="e">
        <f>数出表_Excel!H36</f>
        <v>#N/A</v>
      </c>
      <c r="O36" s="60"/>
      <c r="P36" s="16" t="e">
        <f>数出表_Excel!I36</f>
        <v>#N/A</v>
      </c>
      <c r="Q36" s="60"/>
      <c r="R36" s="16" t="e">
        <f>数出表_Excel!J36</f>
        <v>#N/A</v>
      </c>
      <c r="S36" s="60"/>
      <c r="T36" s="16" t="e">
        <f>数出表_Excel!K36</f>
        <v>#N/A</v>
      </c>
      <c r="U36" s="60"/>
      <c r="V36" s="16" t="e">
        <f>数出表_Excel!L36</f>
        <v>#N/A</v>
      </c>
      <c r="W36" s="60"/>
      <c r="X36" s="16" t="e">
        <f>数出表_Excel!M36</f>
        <v>#N/A</v>
      </c>
      <c r="Y36" s="60"/>
      <c r="Z36" s="16" t="e">
        <f>数出表_Excel!N36</f>
        <v>#N/A</v>
      </c>
      <c r="AA36" s="60"/>
      <c r="AB36" s="16" t="e">
        <f>数出表_Excel!O36</f>
        <v>#N/A</v>
      </c>
      <c r="AC36" s="60"/>
      <c r="AD36" s="16" t="e">
        <f>数出表_Excel!P36</f>
        <v>#N/A</v>
      </c>
      <c r="AE36" s="60"/>
      <c r="AF36" s="16" t="e">
        <f>数出表_Excel!Q36</f>
        <v>#N/A</v>
      </c>
      <c r="AG36" s="60"/>
      <c r="AH36" s="16" t="e">
        <f>数出表_Excel!R36</f>
        <v>#N/A</v>
      </c>
      <c r="AI36" s="60"/>
      <c r="AJ36" s="16" t="e">
        <f>数出表_Excel!T36</f>
        <v>#N/A</v>
      </c>
      <c r="AK36" s="60"/>
      <c r="AL36" s="16" t="e">
        <f>数出表_Excel!T36</f>
        <v>#N/A</v>
      </c>
      <c r="AM36" s="5" t="e">
        <f>数出表_Excel!V36</f>
        <v>#N/A</v>
      </c>
      <c r="AN36" s="7" t="e">
        <f>数出表_Excel!W36</f>
        <v>#N/A</v>
      </c>
    </row>
    <row r="37" spans="1:40" x14ac:dyDescent="0.45">
      <c r="A37" s="8" t="e">
        <f>数出表_Excel!A37</f>
        <v>#N/A</v>
      </c>
      <c r="B37" s="46" t="e">
        <f>数出表_Excel!B37</f>
        <v>#N/A</v>
      </c>
      <c r="C37" s="46"/>
      <c r="D37" s="46" t="e">
        <f>数出表_Excel!C37</f>
        <v>#N/A</v>
      </c>
      <c r="E37" s="46"/>
      <c r="F37" s="46" t="e">
        <f>数出表_Excel!D37</f>
        <v>#N/A</v>
      </c>
      <c r="G37" s="46"/>
      <c r="H37" s="46" t="e">
        <f>数出表_Excel!E37</f>
        <v>#N/A</v>
      </c>
      <c r="I37" s="46"/>
      <c r="J37" s="46" t="e">
        <f>数出表_Excel!F37</f>
        <v>#N/A</v>
      </c>
      <c r="K37" s="46"/>
      <c r="L37" s="46" t="e">
        <f>数出表_Excel!G37</f>
        <v>#N/A</v>
      </c>
      <c r="M37" s="46"/>
      <c r="N37" s="46" t="e">
        <f>数出表_Excel!H37</f>
        <v>#N/A</v>
      </c>
      <c r="O37" s="46"/>
      <c r="P37" s="46" t="e">
        <f>数出表_Excel!I37</f>
        <v>#N/A</v>
      </c>
      <c r="Q37" s="46"/>
      <c r="R37" s="46" t="e">
        <f>数出表_Excel!J37</f>
        <v>#N/A</v>
      </c>
      <c r="S37" s="46"/>
      <c r="T37" s="46" t="e">
        <f>数出表_Excel!K37</f>
        <v>#N/A</v>
      </c>
      <c r="U37" s="46"/>
      <c r="V37" s="46" t="e">
        <f>数出表_Excel!L37</f>
        <v>#N/A</v>
      </c>
      <c r="W37" s="46"/>
      <c r="X37" s="46" t="e">
        <f>数出表_Excel!M37</f>
        <v>#N/A</v>
      </c>
      <c r="Y37" s="46"/>
      <c r="Z37" s="46" t="e">
        <f>数出表_Excel!N37</f>
        <v>#N/A</v>
      </c>
      <c r="AA37" s="46"/>
      <c r="AB37" s="46" t="e">
        <f>数出表_Excel!O37</f>
        <v>#N/A</v>
      </c>
      <c r="AC37" s="46"/>
      <c r="AD37" s="46" t="e">
        <f>数出表_Excel!P37</f>
        <v>#N/A</v>
      </c>
      <c r="AE37" s="46"/>
      <c r="AF37" s="46" t="e">
        <f>数出表_Excel!Q37</f>
        <v>#N/A</v>
      </c>
      <c r="AG37" s="46"/>
      <c r="AH37" s="46" t="e">
        <f>数出表_Excel!R37</f>
        <v>#N/A</v>
      </c>
      <c r="AI37" s="46"/>
      <c r="AJ37" s="46" t="e">
        <f>数出表_Excel!T37</f>
        <v>#N/A</v>
      </c>
      <c r="AK37" s="46"/>
      <c r="AL37" s="46" t="e">
        <f>数出表_Excel!T37</f>
        <v>#N/A</v>
      </c>
      <c r="AM37" s="8" t="e">
        <f>数出表_Excel!V37</f>
        <v>#N/A</v>
      </c>
      <c r="AN37" s="9" t="e">
        <f>数出表_Excel!W37</f>
        <v>#N/A</v>
      </c>
    </row>
    <row r="38" spans="1:40" x14ac:dyDescent="0.45">
      <c r="A38" s="5" t="e">
        <f>数出表_Excel!A38</f>
        <v>#N/A</v>
      </c>
      <c r="B38" s="16" t="e">
        <f>数出表_Excel!B38</f>
        <v>#N/A</v>
      </c>
      <c r="C38" s="60"/>
      <c r="D38" s="16" t="e">
        <f>数出表_Excel!C38</f>
        <v>#N/A</v>
      </c>
      <c r="E38" s="60"/>
      <c r="F38" s="16" t="e">
        <f>数出表_Excel!D38</f>
        <v>#N/A</v>
      </c>
      <c r="G38" s="60"/>
      <c r="H38" s="16" t="e">
        <f>数出表_Excel!E38</f>
        <v>#N/A</v>
      </c>
      <c r="I38" s="60"/>
      <c r="J38" s="16" t="e">
        <f>数出表_Excel!F38</f>
        <v>#N/A</v>
      </c>
      <c r="K38" s="60"/>
      <c r="L38" s="16" t="e">
        <f>数出表_Excel!G38</f>
        <v>#N/A</v>
      </c>
      <c r="M38" s="60"/>
      <c r="N38" s="16" t="e">
        <f>数出表_Excel!H38</f>
        <v>#N/A</v>
      </c>
      <c r="O38" s="60"/>
      <c r="P38" s="16" t="e">
        <f>数出表_Excel!I38</f>
        <v>#N/A</v>
      </c>
      <c r="Q38" s="60"/>
      <c r="R38" s="16" t="e">
        <f>数出表_Excel!J38</f>
        <v>#N/A</v>
      </c>
      <c r="S38" s="60"/>
      <c r="T38" s="16" t="e">
        <f>数出表_Excel!K38</f>
        <v>#N/A</v>
      </c>
      <c r="U38" s="60"/>
      <c r="V38" s="16" t="e">
        <f>数出表_Excel!L38</f>
        <v>#N/A</v>
      </c>
      <c r="W38" s="60"/>
      <c r="X38" s="16" t="e">
        <f>数出表_Excel!M38</f>
        <v>#N/A</v>
      </c>
      <c r="Y38" s="60"/>
      <c r="Z38" s="16" t="e">
        <f>数出表_Excel!N38</f>
        <v>#N/A</v>
      </c>
      <c r="AA38" s="60"/>
      <c r="AB38" s="16" t="e">
        <f>数出表_Excel!O38</f>
        <v>#N/A</v>
      </c>
      <c r="AC38" s="60"/>
      <c r="AD38" s="16" t="e">
        <f>数出表_Excel!P38</f>
        <v>#N/A</v>
      </c>
      <c r="AE38" s="60"/>
      <c r="AF38" s="16" t="e">
        <f>数出表_Excel!Q38</f>
        <v>#N/A</v>
      </c>
      <c r="AG38" s="60"/>
      <c r="AH38" s="16" t="e">
        <f>数出表_Excel!R38</f>
        <v>#N/A</v>
      </c>
      <c r="AI38" s="60"/>
      <c r="AJ38" s="16" t="e">
        <f>数出表_Excel!T38</f>
        <v>#N/A</v>
      </c>
      <c r="AK38" s="60"/>
      <c r="AL38" s="16" t="e">
        <f>数出表_Excel!T38</f>
        <v>#N/A</v>
      </c>
      <c r="AM38" s="5" t="e">
        <f>数出表_Excel!V38</f>
        <v>#N/A</v>
      </c>
      <c r="AN38" s="7" t="e">
        <f>数出表_Excel!W38</f>
        <v>#N/A</v>
      </c>
    </row>
    <row r="39" spans="1:40" x14ac:dyDescent="0.45">
      <c r="A39" s="8" t="e">
        <f>数出表_Excel!A39</f>
        <v>#N/A</v>
      </c>
      <c r="B39" s="46" t="e">
        <f>数出表_Excel!B39</f>
        <v>#N/A</v>
      </c>
      <c r="C39" s="46"/>
      <c r="D39" s="46" t="e">
        <f>数出表_Excel!C39</f>
        <v>#N/A</v>
      </c>
      <c r="E39" s="46"/>
      <c r="F39" s="46" t="e">
        <f>数出表_Excel!D39</f>
        <v>#N/A</v>
      </c>
      <c r="G39" s="46"/>
      <c r="H39" s="46" t="e">
        <f>数出表_Excel!E39</f>
        <v>#N/A</v>
      </c>
      <c r="I39" s="46"/>
      <c r="J39" s="46" t="e">
        <f>数出表_Excel!F39</f>
        <v>#N/A</v>
      </c>
      <c r="K39" s="46"/>
      <c r="L39" s="46" t="e">
        <f>数出表_Excel!G39</f>
        <v>#N/A</v>
      </c>
      <c r="M39" s="46"/>
      <c r="N39" s="46" t="e">
        <f>数出表_Excel!H39</f>
        <v>#N/A</v>
      </c>
      <c r="O39" s="46"/>
      <c r="P39" s="46" t="e">
        <f>数出表_Excel!I39</f>
        <v>#N/A</v>
      </c>
      <c r="Q39" s="46"/>
      <c r="R39" s="46" t="e">
        <f>数出表_Excel!J39</f>
        <v>#N/A</v>
      </c>
      <c r="S39" s="46"/>
      <c r="T39" s="46" t="e">
        <f>数出表_Excel!K39</f>
        <v>#N/A</v>
      </c>
      <c r="U39" s="46"/>
      <c r="V39" s="46" t="e">
        <f>数出表_Excel!L39</f>
        <v>#N/A</v>
      </c>
      <c r="W39" s="46"/>
      <c r="X39" s="46" t="e">
        <f>数出表_Excel!M39</f>
        <v>#N/A</v>
      </c>
      <c r="Y39" s="46"/>
      <c r="Z39" s="46" t="e">
        <f>数出表_Excel!N39</f>
        <v>#N/A</v>
      </c>
      <c r="AA39" s="46"/>
      <c r="AB39" s="46" t="e">
        <f>数出表_Excel!O39</f>
        <v>#N/A</v>
      </c>
      <c r="AC39" s="46"/>
      <c r="AD39" s="46" t="e">
        <f>数出表_Excel!P39</f>
        <v>#N/A</v>
      </c>
      <c r="AE39" s="46"/>
      <c r="AF39" s="46" t="e">
        <f>数出表_Excel!Q39</f>
        <v>#N/A</v>
      </c>
      <c r="AG39" s="46"/>
      <c r="AH39" s="46" t="e">
        <f>数出表_Excel!R39</f>
        <v>#N/A</v>
      </c>
      <c r="AI39" s="46"/>
      <c r="AJ39" s="46" t="e">
        <f>数出表_Excel!T39</f>
        <v>#N/A</v>
      </c>
      <c r="AK39" s="46"/>
      <c r="AL39" s="46" t="e">
        <f>数出表_Excel!T39</f>
        <v>#N/A</v>
      </c>
      <c r="AM39" s="8" t="e">
        <f>数出表_Excel!V39</f>
        <v>#N/A</v>
      </c>
      <c r="AN39" s="9" t="e">
        <f>数出表_Excel!W39</f>
        <v>#N/A</v>
      </c>
    </row>
    <row r="40" spans="1:40" x14ac:dyDescent="0.45">
      <c r="A40" s="5" t="e">
        <f>数出表_Excel!A40</f>
        <v>#N/A</v>
      </c>
      <c r="B40" s="16" t="e">
        <f>数出表_Excel!B40</f>
        <v>#N/A</v>
      </c>
      <c r="C40" s="60"/>
      <c r="D40" s="16" t="e">
        <f>数出表_Excel!C40</f>
        <v>#N/A</v>
      </c>
      <c r="E40" s="60"/>
      <c r="F40" s="16" t="e">
        <f>数出表_Excel!D40</f>
        <v>#N/A</v>
      </c>
      <c r="G40" s="60"/>
      <c r="H40" s="16" t="e">
        <f>数出表_Excel!E40</f>
        <v>#N/A</v>
      </c>
      <c r="I40" s="60"/>
      <c r="J40" s="16" t="e">
        <f>数出表_Excel!F40</f>
        <v>#N/A</v>
      </c>
      <c r="K40" s="60"/>
      <c r="L40" s="16" t="e">
        <f>数出表_Excel!G40</f>
        <v>#N/A</v>
      </c>
      <c r="M40" s="60"/>
      <c r="N40" s="16" t="e">
        <f>数出表_Excel!H40</f>
        <v>#N/A</v>
      </c>
      <c r="O40" s="60"/>
      <c r="P40" s="16" t="e">
        <f>数出表_Excel!I40</f>
        <v>#N/A</v>
      </c>
      <c r="Q40" s="60"/>
      <c r="R40" s="16" t="e">
        <f>数出表_Excel!J40</f>
        <v>#N/A</v>
      </c>
      <c r="S40" s="60"/>
      <c r="T40" s="16" t="e">
        <f>数出表_Excel!K40</f>
        <v>#N/A</v>
      </c>
      <c r="U40" s="60"/>
      <c r="V40" s="16" t="e">
        <f>数出表_Excel!L40</f>
        <v>#N/A</v>
      </c>
      <c r="W40" s="60"/>
      <c r="X40" s="16" t="e">
        <f>数出表_Excel!M40</f>
        <v>#N/A</v>
      </c>
      <c r="Y40" s="60"/>
      <c r="Z40" s="16" t="e">
        <f>数出表_Excel!N40</f>
        <v>#N/A</v>
      </c>
      <c r="AA40" s="60"/>
      <c r="AB40" s="16" t="e">
        <f>数出表_Excel!O40</f>
        <v>#N/A</v>
      </c>
      <c r="AC40" s="60"/>
      <c r="AD40" s="16" t="e">
        <f>数出表_Excel!P40</f>
        <v>#N/A</v>
      </c>
      <c r="AE40" s="60"/>
      <c r="AF40" s="16" t="e">
        <f>数出表_Excel!Q40</f>
        <v>#N/A</v>
      </c>
      <c r="AG40" s="60"/>
      <c r="AH40" s="16" t="e">
        <f>数出表_Excel!R40</f>
        <v>#N/A</v>
      </c>
      <c r="AI40" s="60"/>
      <c r="AJ40" s="16" t="e">
        <f>数出表_Excel!T40</f>
        <v>#N/A</v>
      </c>
      <c r="AK40" s="60"/>
      <c r="AL40" s="16" t="e">
        <f>数出表_Excel!T40</f>
        <v>#N/A</v>
      </c>
      <c r="AM40" s="5" t="e">
        <f>数出表_Excel!V40</f>
        <v>#N/A</v>
      </c>
      <c r="AN40" s="7" t="e">
        <f>数出表_Excel!W40</f>
        <v>#N/A</v>
      </c>
    </row>
    <row r="41" spans="1:40" x14ac:dyDescent="0.45">
      <c r="A41" s="8" t="e">
        <f>数出表_Excel!A41</f>
        <v>#N/A</v>
      </c>
      <c r="B41" s="46" t="e">
        <f>数出表_Excel!B41</f>
        <v>#N/A</v>
      </c>
      <c r="C41" s="46"/>
      <c r="D41" s="46" t="e">
        <f>数出表_Excel!C41</f>
        <v>#N/A</v>
      </c>
      <c r="E41" s="46"/>
      <c r="F41" s="46" t="e">
        <f>数出表_Excel!D41</f>
        <v>#N/A</v>
      </c>
      <c r="G41" s="46"/>
      <c r="H41" s="46" t="e">
        <f>数出表_Excel!E41</f>
        <v>#N/A</v>
      </c>
      <c r="I41" s="46"/>
      <c r="J41" s="46" t="e">
        <f>数出表_Excel!F41</f>
        <v>#N/A</v>
      </c>
      <c r="K41" s="46"/>
      <c r="L41" s="46" t="e">
        <f>数出表_Excel!G41</f>
        <v>#N/A</v>
      </c>
      <c r="M41" s="46"/>
      <c r="N41" s="46" t="e">
        <f>数出表_Excel!H41</f>
        <v>#N/A</v>
      </c>
      <c r="O41" s="46"/>
      <c r="P41" s="46" t="e">
        <f>数出表_Excel!I41</f>
        <v>#N/A</v>
      </c>
      <c r="Q41" s="46"/>
      <c r="R41" s="46" t="e">
        <f>数出表_Excel!J41</f>
        <v>#N/A</v>
      </c>
      <c r="S41" s="46"/>
      <c r="T41" s="46" t="e">
        <f>数出表_Excel!K41</f>
        <v>#N/A</v>
      </c>
      <c r="U41" s="46"/>
      <c r="V41" s="46" t="e">
        <f>数出表_Excel!L41</f>
        <v>#N/A</v>
      </c>
      <c r="W41" s="46"/>
      <c r="X41" s="46" t="e">
        <f>数出表_Excel!M41</f>
        <v>#N/A</v>
      </c>
      <c r="Y41" s="46"/>
      <c r="Z41" s="46" t="e">
        <f>数出表_Excel!N41</f>
        <v>#N/A</v>
      </c>
      <c r="AA41" s="46"/>
      <c r="AB41" s="46" t="e">
        <f>数出表_Excel!O41</f>
        <v>#N/A</v>
      </c>
      <c r="AC41" s="46"/>
      <c r="AD41" s="46" t="e">
        <f>数出表_Excel!P41</f>
        <v>#N/A</v>
      </c>
      <c r="AE41" s="46"/>
      <c r="AF41" s="46" t="e">
        <f>数出表_Excel!Q41</f>
        <v>#N/A</v>
      </c>
      <c r="AG41" s="46"/>
      <c r="AH41" s="46" t="e">
        <f>数出表_Excel!R41</f>
        <v>#N/A</v>
      </c>
      <c r="AI41" s="46"/>
      <c r="AJ41" s="46" t="e">
        <f>数出表_Excel!T41</f>
        <v>#N/A</v>
      </c>
      <c r="AK41" s="46"/>
      <c r="AL41" s="46" t="e">
        <f>数出表_Excel!T41</f>
        <v>#N/A</v>
      </c>
      <c r="AM41" s="8" t="e">
        <f>数出表_Excel!V41</f>
        <v>#N/A</v>
      </c>
      <c r="AN41" s="9" t="e">
        <f>数出表_Excel!W41</f>
        <v>#N/A</v>
      </c>
    </row>
    <row r="42" spans="1:40" x14ac:dyDescent="0.45">
      <c r="A42" s="5" t="e">
        <f>数出表_Excel!A42</f>
        <v>#N/A</v>
      </c>
      <c r="B42" s="16" t="e">
        <f>数出表_Excel!B42</f>
        <v>#N/A</v>
      </c>
      <c r="C42" s="60"/>
      <c r="D42" s="16" t="e">
        <f>数出表_Excel!C42</f>
        <v>#N/A</v>
      </c>
      <c r="E42" s="60"/>
      <c r="F42" s="16" t="e">
        <f>数出表_Excel!D42</f>
        <v>#N/A</v>
      </c>
      <c r="G42" s="60"/>
      <c r="H42" s="16" t="e">
        <f>数出表_Excel!E42</f>
        <v>#N/A</v>
      </c>
      <c r="I42" s="60"/>
      <c r="J42" s="16" t="e">
        <f>数出表_Excel!F42</f>
        <v>#N/A</v>
      </c>
      <c r="K42" s="60"/>
      <c r="L42" s="16" t="e">
        <f>数出表_Excel!G42</f>
        <v>#N/A</v>
      </c>
      <c r="M42" s="60"/>
      <c r="N42" s="16" t="e">
        <f>数出表_Excel!H42</f>
        <v>#N/A</v>
      </c>
      <c r="O42" s="60"/>
      <c r="P42" s="16" t="e">
        <f>数出表_Excel!I42</f>
        <v>#N/A</v>
      </c>
      <c r="Q42" s="60"/>
      <c r="R42" s="16" t="e">
        <f>数出表_Excel!J42</f>
        <v>#N/A</v>
      </c>
      <c r="S42" s="60"/>
      <c r="T42" s="16" t="e">
        <f>数出表_Excel!K42</f>
        <v>#N/A</v>
      </c>
      <c r="U42" s="60"/>
      <c r="V42" s="16" t="e">
        <f>数出表_Excel!L42</f>
        <v>#N/A</v>
      </c>
      <c r="W42" s="60"/>
      <c r="X42" s="16" t="e">
        <f>数出表_Excel!M42</f>
        <v>#N/A</v>
      </c>
      <c r="Y42" s="60"/>
      <c r="Z42" s="16" t="e">
        <f>数出表_Excel!N42</f>
        <v>#N/A</v>
      </c>
      <c r="AA42" s="60"/>
      <c r="AB42" s="16" t="e">
        <f>数出表_Excel!O42</f>
        <v>#N/A</v>
      </c>
      <c r="AC42" s="60"/>
      <c r="AD42" s="16" t="e">
        <f>数出表_Excel!P42</f>
        <v>#N/A</v>
      </c>
      <c r="AE42" s="60"/>
      <c r="AF42" s="16" t="e">
        <f>数出表_Excel!Q42</f>
        <v>#N/A</v>
      </c>
      <c r="AG42" s="60"/>
      <c r="AH42" s="16" t="e">
        <f>数出表_Excel!R42</f>
        <v>#N/A</v>
      </c>
      <c r="AI42" s="60"/>
      <c r="AJ42" s="16" t="e">
        <f>数出表_Excel!T42</f>
        <v>#N/A</v>
      </c>
      <c r="AK42" s="60"/>
      <c r="AL42" s="16" t="e">
        <f>数出表_Excel!T42</f>
        <v>#N/A</v>
      </c>
      <c r="AM42" s="5" t="e">
        <f>数出表_Excel!V42</f>
        <v>#N/A</v>
      </c>
      <c r="AN42" s="7" t="e">
        <f>数出表_Excel!W42</f>
        <v>#N/A</v>
      </c>
    </row>
    <row r="43" spans="1:40" x14ac:dyDescent="0.45">
      <c r="A43" s="8" t="e">
        <f>数出表_Excel!A43</f>
        <v>#N/A</v>
      </c>
      <c r="B43" s="46" t="e">
        <f>数出表_Excel!B43</f>
        <v>#N/A</v>
      </c>
      <c r="C43" s="46"/>
      <c r="D43" s="46" t="e">
        <f>数出表_Excel!C43</f>
        <v>#N/A</v>
      </c>
      <c r="E43" s="46"/>
      <c r="F43" s="46" t="e">
        <f>数出表_Excel!D43</f>
        <v>#N/A</v>
      </c>
      <c r="G43" s="46"/>
      <c r="H43" s="46" t="e">
        <f>数出表_Excel!E43</f>
        <v>#N/A</v>
      </c>
      <c r="I43" s="46"/>
      <c r="J43" s="46" t="e">
        <f>数出表_Excel!F43</f>
        <v>#N/A</v>
      </c>
      <c r="K43" s="46"/>
      <c r="L43" s="46" t="e">
        <f>数出表_Excel!G43</f>
        <v>#N/A</v>
      </c>
      <c r="M43" s="46"/>
      <c r="N43" s="46" t="e">
        <f>数出表_Excel!H43</f>
        <v>#N/A</v>
      </c>
      <c r="O43" s="46"/>
      <c r="P43" s="46" t="e">
        <f>数出表_Excel!I43</f>
        <v>#N/A</v>
      </c>
      <c r="Q43" s="46"/>
      <c r="R43" s="46" t="e">
        <f>数出表_Excel!J43</f>
        <v>#N/A</v>
      </c>
      <c r="S43" s="46"/>
      <c r="T43" s="46" t="e">
        <f>数出表_Excel!K43</f>
        <v>#N/A</v>
      </c>
      <c r="U43" s="46"/>
      <c r="V43" s="46" t="e">
        <f>数出表_Excel!L43</f>
        <v>#N/A</v>
      </c>
      <c r="W43" s="46"/>
      <c r="X43" s="46" t="e">
        <f>数出表_Excel!M43</f>
        <v>#N/A</v>
      </c>
      <c r="Y43" s="46"/>
      <c r="Z43" s="46" t="e">
        <f>数出表_Excel!N43</f>
        <v>#N/A</v>
      </c>
      <c r="AA43" s="46"/>
      <c r="AB43" s="46" t="e">
        <f>数出表_Excel!O43</f>
        <v>#N/A</v>
      </c>
      <c r="AC43" s="46"/>
      <c r="AD43" s="46" t="e">
        <f>数出表_Excel!P43</f>
        <v>#N/A</v>
      </c>
      <c r="AE43" s="46"/>
      <c r="AF43" s="46" t="e">
        <f>数出表_Excel!Q43</f>
        <v>#N/A</v>
      </c>
      <c r="AG43" s="46"/>
      <c r="AH43" s="46" t="e">
        <f>数出表_Excel!R43</f>
        <v>#N/A</v>
      </c>
      <c r="AI43" s="46"/>
      <c r="AJ43" s="46" t="e">
        <f>数出表_Excel!T43</f>
        <v>#N/A</v>
      </c>
      <c r="AK43" s="46"/>
      <c r="AL43" s="46" t="e">
        <f>数出表_Excel!T43</f>
        <v>#N/A</v>
      </c>
      <c r="AM43" s="8" t="e">
        <f>数出表_Excel!V43</f>
        <v>#N/A</v>
      </c>
      <c r="AN43" s="9" t="e">
        <f>数出表_Excel!W43</f>
        <v>#N/A</v>
      </c>
    </row>
    <row r="44" spans="1:40" x14ac:dyDescent="0.45">
      <c r="A44" s="5" t="e">
        <f>数出表_Excel!A44</f>
        <v>#N/A</v>
      </c>
      <c r="B44" s="16" t="e">
        <f>数出表_Excel!B44</f>
        <v>#N/A</v>
      </c>
      <c r="C44" s="60"/>
      <c r="D44" s="16" t="e">
        <f>数出表_Excel!C44</f>
        <v>#N/A</v>
      </c>
      <c r="E44" s="60"/>
      <c r="F44" s="16" t="e">
        <f>数出表_Excel!D44</f>
        <v>#N/A</v>
      </c>
      <c r="G44" s="60"/>
      <c r="H44" s="16" t="e">
        <f>数出表_Excel!E44</f>
        <v>#N/A</v>
      </c>
      <c r="I44" s="60"/>
      <c r="J44" s="16" t="e">
        <f>数出表_Excel!F44</f>
        <v>#N/A</v>
      </c>
      <c r="K44" s="60"/>
      <c r="L44" s="16" t="e">
        <f>数出表_Excel!G44</f>
        <v>#N/A</v>
      </c>
      <c r="M44" s="60"/>
      <c r="N44" s="16" t="e">
        <f>数出表_Excel!H44</f>
        <v>#N/A</v>
      </c>
      <c r="O44" s="60"/>
      <c r="P44" s="16" t="e">
        <f>数出表_Excel!I44</f>
        <v>#N/A</v>
      </c>
      <c r="Q44" s="60"/>
      <c r="R44" s="16" t="e">
        <f>数出表_Excel!J44</f>
        <v>#N/A</v>
      </c>
      <c r="S44" s="60"/>
      <c r="T44" s="16" t="e">
        <f>数出表_Excel!K44</f>
        <v>#N/A</v>
      </c>
      <c r="U44" s="60"/>
      <c r="V44" s="16" t="e">
        <f>数出表_Excel!L44</f>
        <v>#N/A</v>
      </c>
      <c r="W44" s="60"/>
      <c r="X44" s="16" t="e">
        <f>数出表_Excel!M44</f>
        <v>#N/A</v>
      </c>
      <c r="Y44" s="60"/>
      <c r="Z44" s="16" t="e">
        <f>数出表_Excel!N44</f>
        <v>#N/A</v>
      </c>
      <c r="AA44" s="60"/>
      <c r="AB44" s="16" t="e">
        <f>数出表_Excel!O44</f>
        <v>#N/A</v>
      </c>
      <c r="AC44" s="60"/>
      <c r="AD44" s="16" t="e">
        <f>数出表_Excel!P44</f>
        <v>#N/A</v>
      </c>
      <c r="AE44" s="60"/>
      <c r="AF44" s="16" t="e">
        <f>数出表_Excel!Q44</f>
        <v>#N/A</v>
      </c>
      <c r="AG44" s="60"/>
      <c r="AH44" s="16" t="e">
        <f>数出表_Excel!R44</f>
        <v>#N/A</v>
      </c>
      <c r="AI44" s="60"/>
      <c r="AJ44" s="16" t="e">
        <f>数出表_Excel!T44</f>
        <v>#N/A</v>
      </c>
      <c r="AK44" s="60"/>
      <c r="AL44" s="16" t="e">
        <f>数出表_Excel!T44</f>
        <v>#N/A</v>
      </c>
      <c r="AM44" s="5" t="e">
        <f>数出表_Excel!V44</f>
        <v>#N/A</v>
      </c>
      <c r="AN44" s="7" t="e">
        <f>数出表_Excel!W44</f>
        <v>#N/A</v>
      </c>
    </row>
    <row r="45" spans="1:40" x14ac:dyDescent="0.45">
      <c r="A45" s="8" t="e">
        <f>数出表_Excel!A45</f>
        <v>#N/A</v>
      </c>
      <c r="B45" s="46" t="e">
        <f>数出表_Excel!B45</f>
        <v>#N/A</v>
      </c>
      <c r="C45" s="46"/>
      <c r="D45" s="46" t="e">
        <f>数出表_Excel!C45</f>
        <v>#N/A</v>
      </c>
      <c r="E45" s="46"/>
      <c r="F45" s="46" t="e">
        <f>数出表_Excel!D45</f>
        <v>#N/A</v>
      </c>
      <c r="G45" s="46"/>
      <c r="H45" s="46" t="e">
        <f>数出表_Excel!E45</f>
        <v>#N/A</v>
      </c>
      <c r="I45" s="46"/>
      <c r="J45" s="46" t="e">
        <f>数出表_Excel!F45</f>
        <v>#N/A</v>
      </c>
      <c r="K45" s="46"/>
      <c r="L45" s="46" t="e">
        <f>数出表_Excel!G45</f>
        <v>#N/A</v>
      </c>
      <c r="M45" s="46"/>
      <c r="N45" s="46" t="e">
        <f>数出表_Excel!H45</f>
        <v>#N/A</v>
      </c>
      <c r="O45" s="46"/>
      <c r="P45" s="46" t="e">
        <f>数出表_Excel!I45</f>
        <v>#N/A</v>
      </c>
      <c r="Q45" s="46"/>
      <c r="R45" s="46" t="e">
        <f>数出表_Excel!J45</f>
        <v>#N/A</v>
      </c>
      <c r="S45" s="46"/>
      <c r="T45" s="46" t="e">
        <f>数出表_Excel!K45</f>
        <v>#N/A</v>
      </c>
      <c r="U45" s="46"/>
      <c r="V45" s="46" t="e">
        <f>数出表_Excel!L45</f>
        <v>#N/A</v>
      </c>
      <c r="W45" s="46"/>
      <c r="X45" s="46" t="e">
        <f>数出表_Excel!M45</f>
        <v>#N/A</v>
      </c>
      <c r="Y45" s="46"/>
      <c r="Z45" s="46" t="e">
        <f>数出表_Excel!N45</f>
        <v>#N/A</v>
      </c>
      <c r="AA45" s="46"/>
      <c r="AB45" s="46" t="e">
        <f>数出表_Excel!O45</f>
        <v>#N/A</v>
      </c>
      <c r="AC45" s="46"/>
      <c r="AD45" s="46" t="e">
        <f>数出表_Excel!P45</f>
        <v>#N/A</v>
      </c>
      <c r="AE45" s="46"/>
      <c r="AF45" s="46" t="e">
        <f>数出表_Excel!Q45</f>
        <v>#N/A</v>
      </c>
      <c r="AG45" s="46"/>
      <c r="AH45" s="46" t="e">
        <f>数出表_Excel!R45</f>
        <v>#N/A</v>
      </c>
      <c r="AI45" s="46"/>
      <c r="AJ45" s="46" t="e">
        <f>数出表_Excel!T45</f>
        <v>#N/A</v>
      </c>
      <c r="AK45" s="46"/>
      <c r="AL45" s="46" t="e">
        <f>数出表_Excel!T45</f>
        <v>#N/A</v>
      </c>
      <c r="AM45" s="8" t="e">
        <f>数出表_Excel!V45</f>
        <v>#N/A</v>
      </c>
      <c r="AN45" s="9" t="e">
        <f>数出表_Excel!W45</f>
        <v>#N/A</v>
      </c>
    </row>
    <row r="46" spans="1:40" x14ac:dyDescent="0.45">
      <c r="A46" s="5" t="e">
        <f>数出表_Excel!A46</f>
        <v>#N/A</v>
      </c>
      <c r="B46" s="16" t="e">
        <f>数出表_Excel!B46</f>
        <v>#N/A</v>
      </c>
      <c r="C46" s="60"/>
      <c r="D46" s="16" t="e">
        <f>数出表_Excel!C46</f>
        <v>#N/A</v>
      </c>
      <c r="E46" s="60"/>
      <c r="F46" s="16" t="e">
        <f>数出表_Excel!D46</f>
        <v>#N/A</v>
      </c>
      <c r="G46" s="60"/>
      <c r="H46" s="16" t="e">
        <f>数出表_Excel!E46</f>
        <v>#N/A</v>
      </c>
      <c r="I46" s="60"/>
      <c r="J46" s="16" t="e">
        <f>数出表_Excel!F46</f>
        <v>#N/A</v>
      </c>
      <c r="K46" s="60"/>
      <c r="L46" s="16" t="e">
        <f>数出表_Excel!G46</f>
        <v>#N/A</v>
      </c>
      <c r="M46" s="60"/>
      <c r="N46" s="16" t="e">
        <f>数出表_Excel!H46</f>
        <v>#N/A</v>
      </c>
      <c r="O46" s="60"/>
      <c r="P46" s="16" t="e">
        <f>数出表_Excel!I46</f>
        <v>#N/A</v>
      </c>
      <c r="Q46" s="60"/>
      <c r="R46" s="16" t="e">
        <f>数出表_Excel!J46</f>
        <v>#N/A</v>
      </c>
      <c r="S46" s="60"/>
      <c r="T46" s="16" t="e">
        <f>数出表_Excel!K46</f>
        <v>#N/A</v>
      </c>
      <c r="U46" s="60"/>
      <c r="V46" s="16" t="e">
        <f>数出表_Excel!L46</f>
        <v>#N/A</v>
      </c>
      <c r="W46" s="60"/>
      <c r="X46" s="16" t="e">
        <f>数出表_Excel!M46</f>
        <v>#N/A</v>
      </c>
      <c r="Y46" s="60"/>
      <c r="Z46" s="16" t="e">
        <f>数出表_Excel!N46</f>
        <v>#N/A</v>
      </c>
      <c r="AA46" s="60"/>
      <c r="AB46" s="16" t="e">
        <f>数出表_Excel!O46</f>
        <v>#N/A</v>
      </c>
      <c r="AC46" s="60"/>
      <c r="AD46" s="16" t="e">
        <f>数出表_Excel!P46</f>
        <v>#N/A</v>
      </c>
      <c r="AE46" s="60"/>
      <c r="AF46" s="16" t="e">
        <f>数出表_Excel!Q46</f>
        <v>#N/A</v>
      </c>
      <c r="AG46" s="60"/>
      <c r="AH46" s="16" t="e">
        <f>数出表_Excel!R46</f>
        <v>#N/A</v>
      </c>
      <c r="AI46" s="60"/>
      <c r="AJ46" s="16" t="e">
        <f>数出表_Excel!T46</f>
        <v>#N/A</v>
      </c>
      <c r="AK46" s="60"/>
      <c r="AL46" s="16" t="e">
        <f>数出表_Excel!T46</f>
        <v>#N/A</v>
      </c>
      <c r="AM46" s="5" t="e">
        <f>数出表_Excel!V46</f>
        <v>#N/A</v>
      </c>
      <c r="AN46" s="7" t="e">
        <f>数出表_Excel!W46</f>
        <v>#N/A</v>
      </c>
    </row>
    <row r="47" spans="1:40" x14ac:dyDescent="0.45">
      <c r="A47" s="8" t="e">
        <f>数出表_Excel!A47</f>
        <v>#N/A</v>
      </c>
      <c r="B47" s="46" t="e">
        <f>数出表_Excel!B47</f>
        <v>#N/A</v>
      </c>
      <c r="C47" s="46"/>
      <c r="D47" s="46" t="e">
        <f>数出表_Excel!C47</f>
        <v>#N/A</v>
      </c>
      <c r="E47" s="46"/>
      <c r="F47" s="46" t="e">
        <f>数出表_Excel!D47</f>
        <v>#N/A</v>
      </c>
      <c r="G47" s="46"/>
      <c r="H47" s="46" t="e">
        <f>数出表_Excel!E47</f>
        <v>#N/A</v>
      </c>
      <c r="I47" s="46"/>
      <c r="J47" s="46" t="e">
        <f>数出表_Excel!F47</f>
        <v>#N/A</v>
      </c>
      <c r="K47" s="46"/>
      <c r="L47" s="46" t="e">
        <f>数出表_Excel!G47</f>
        <v>#N/A</v>
      </c>
      <c r="M47" s="46"/>
      <c r="N47" s="46" t="e">
        <f>数出表_Excel!H47</f>
        <v>#N/A</v>
      </c>
      <c r="O47" s="46"/>
      <c r="P47" s="46" t="e">
        <f>数出表_Excel!I47</f>
        <v>#N/A</v>
      </c>
      <c r="Q47" s="46"/>
      <c r="R47" s="46" t="e">
        <f>数出表_Excel!J47</f>
        <v>#N/A</v>
      </c>
      <c r="S47" s="46"/>
      <c r="T47" s="46" t="e">
        <f>数出表_Excel!K47</f>
        <v>#N/A</v>
      </c>
      <c r="U47" s="46"/>
      <c r="V47" s="46" t="e">
        <f>数出表_Excel!L47</f>
        <v>#N/A</v>
      </c>
      <c r="W47" s="46"/>
      <c r="X47" s="46" t="e">
        <f>数出表_Excel!M47</f>
        <v>#N/A</v>
      </c>
      <c r="Y47" s="46"/>
      <c r="Z47" s="46" t="e">
        <f>数出表_Excel!N47</f>
        <v>#N/A</v>
      </c>
      <c r="AA47" s="46"/>
      <c r="AB47" s="46" t="e">
        <f>数出表_Excel!O47</f>
        <v>#N/A</v>
      </c>
      <c r="AC47" s="46"/>
      <c r="AD47" s="46" t="e">
        <f>数出表_Excel!P47</f>
        <v>#N/A</v>
      </c>
      <c r="AE47" s="46"/>
      <c r="AF47" s="46" t="e">
        <f>数出表_Excel!Q47</f>
        <v>#N/A</v>
      </c>
      <c r="AG47" s="46"/>
      <c r="AH47" s="46" t="e">
        <f>数出表_Excel!R47</f>
        <v>#N/A</v>
      </c>
      <c r="AI47" s="46"/>
      <c r="AJ47" s="46" t="e">
        <f>数出表_Excel!T47</f>
        <v>#N/A</v>
      </c>
      <c r="AK47" s="46"/>
      <c r="AL47" s="46" t="e">
        <f>数出表_Excel!T47</f>
        <v>#N/A</v>
      </c>
      <c r="AM47" s="8" t="e">
        <f>数出表_Excel!V47</f>
        <v>#N/A</v>
      </c>
      <c r="AN47" s="9" t="e">
        <f>数出表_Excel!W47</f>
        <v>#N/A</v>
      </c>
    </row>
    <row r="48" spans="1:40" x14ac:dyDescent="0.45">
      <c r="A48" s="5" t="e">
        <f>数出表_Excel!A48</f>
        <v>#N/A</v>
      </c>
      <c r="B48" s="16" t="e">
        <f>数出表_Excel!B48</f>
        <v>#N/A</v>
      </c>
      <c r="C48" s="60"/>
      <c r="D48" s="16" t="e">
        <f>数出表_Excel!C48</f>
        <v>#N/A</v>
      </c>
      <c r="E48" s="60"/>
      <c r="F48" s="16" t="e">
        <f>数出表_Excel!D48</f>
        <v>#N/A</v>
      </c>
      <c r="G48" s="60"/>
      <c r="H48" s="16" t="e">
        <f>数出表_Excel!E48</f>
        <v>#N/A</v>
      </c>
      <c r="I48" s="60"/>
      <c r="J48" s="16" t="e">
        <f>数出表_Excel!F48</f>
        <v>#N/A</v>
      </c>
      <c r="K48" s="60"/>
      <c r="L48" s="16" t="e">
        <f>数出表_Excel!G48</f>
        <v>#N/A</v>
      </c>
      <c r="M48" s="60"/>
      <c r="N48" s="16" t="e">
        <f>数出表_Excel!H48</f>
        <v>#N/A</v>
      </c>
      <c r="O48" s="60"/>
      <c r="P48" s="16" t="e">
        <f>数出表_Excel!I48</f>
        <v>#N/A</v>
      </c>
      <c r="Q48" s="60"/>
      <c r="R48" s="16" t="e">
        <f>数出表_Excel!J48</f>
        <v>#N/A</v>
      </c>
      <c r="S48" s="60"/>
      <c r="T48" s="16" t="e">
        <f>数出表_Excel!K48</f>
        <v>#N/A</v>
      </c>
      <c r="U48" s="60"/>
      <c r="V48" s="16" t="e">
        <f>数出表_Excel!L48</f>
        <v>#N/A</v>
      </c>
      <c r="W48" s="60"/>
      <c r="X48" s="16" t="e">
        <f>数出表_Excel!M48</f>
        <v>#N/A</v>
      </c>
      <c r="Y48" s="60"/>
      <c r="Z48" s="16" t="e">
        <f>数出表_Excel!N48</f>
        <v>#N/A</v>
      </c>
      <c r="AA48" s="60"/>
      <c r="AB48" s="16" t="e">
        <f>数出表_Excel!O48</f>
        <v>#N/A</v>
      </c>
      <c r="AC48" s="60"/>
      <c r="AD48" s="16" t="e">
        <f>数出表_Excel!P48</f>
        <v>#N/A</v>
      </c>
      <c r="AE48" s="60"/>
      <c r="AF48" s="16" t="e">
        <f>数出表_Excel!Q48</f>
        <v>#N/A</v>
      </c>
      <c r="AG48" s="60"/>
      <c r="AH48" s="16" t="e">
        <f>数出表_Excel!R48</f>
        <v>#N/A</v>
      </c>
      <c r="AI48" s="60"/>
      <c r="AJ48" s="16" t="e">
        <f>数出表_Excel!T48</f>
        <v>#N/A</v>
      </c>
      <c r="AK48" s="60"/>
      <c r="AL48" s="16" t="e">
        <f>数出表_Excel!T48</f>
        <v>#N/A</v>
      </c>
      <c r="AM48" s="5" t="e">
        <f>数出表_Excel!V48</f>
        <v>#N/A</v>
      </c>
      <c r="AN48" s="7" t="e">
        <f>数出表_Excel!W48</f>
        <v>#N/A</v>
      </c>
    </row>
    <row r="49" spans="1:40" x14ac:dyDescent="0.45">
      <c r="A49" s="8" t="e">
        <f>数出表_Excel!A49</f>
        <v>#N/A</v>
      </c>
      <c r="B49" s="46" t="e">
        <f>数出表_Excel!B49</f>
        <v>#N/A</v>
      </c>
      <c r="C49" s="46"/>
      <c r="D49" s="46" t="e">
        <f>数出表_Excel!C49</f>
        <v>#N/A</v>
      </c>
      <c r="E49" s="46"/>
      <c r="F49" s="46" t="e">
        <f>数出表_Excel!D49</f>
        <v>#N/A</v>
      </c>
      <c r="G49" s="46"/>
      <c r="H49" s="46" t="e">
        <f>数出表_Excel!E49</f>
        <v>#N/A</v>
      </c>
      <c r="I49" s="46"/>
      <c r="J49" s="46" t="e">
        <f>数出表_Excel!F49</f>
        <v>#N/A</v>
      </c>
      <c r="K49" s="46"/>
      <c r="L49" s="46" t="e">
        <f>数出表_Excel!G49</f>
        <v>#N/A</v>
      </c>
      <c r="M49" s="46"/>
      <c r="N49" s="46" t="e">
        <f>数出表_Excel!H49</f>
        <v>#N/A</v>
      </c>
      <c r="O49" s="46"/>
      <c r="P49" s="46" t="e">
        <f>数出表_Excel!I49</f>
        <v>#N/A</v>
      </c>
      <c r="Q49" s="46"/>
      <c r="R49" s="46" t="e">
        <f>数出表_Excel!J49</f>
        <v>#N/A</v>
      </c>
      <c r="S49" s="46"/>
      <c r="T49" s="46" t="e">
        <f>数出表_Excel!K49</f>
        <v>#N/A</v>
      </c>
      <c r="U49" s="46"/>
      <c r="V49" s="46" t="e">
        <f>数出表_Excel!L49</f>
        <v>#N/A</v>
      </c>
      <c r="W49" s="46"/>
      <c r="X49" s="46" t="e">
        <f>数出表_Excel!M49</f>
        <v>#N/A</v>
      </c>
      <c r="Y49" s="46"/>
      <c r="Z49" s="46" t="e">
        <f>数出表_Excel!N49</f>
        <v>#N/A</v>
      </c>
      <c r="AA49" s="46"/>
      <c r="AB49" s="46" t="e">
        <f>数出表_Excel!O49</f>
        <v>#N/A</v>
      </c>
      <c r="AC49" s="46"/>
      <c r="AD49" s="46" t="e">
        <f>数出表_Excel!P49</f>
        <v>#N/A</v>
      </c>
      <c r="AE49" s="46"/>
      <c r="AF49" s="46" t="e">
        <f>数出表_Excel!Q49</f>
        <v>#N/A</v>
      </c>
      <c r="AG49" s="46"/>
      <c r="AH49" s="46" t="e">
        <f>数出表_Excel!R49</f>
        <v>#N/A</v>
      </c>
      <c r="AI49" s="46"/>
      <c r="AJ49" s="46" t="e">
        <f>数出表_Excel!T49</f>
        <v>#N/A</v>
      </c>
      <c r="AK49" s="46"/>
      <c r="AL49" s="46" t="e">
        <f>数出表_Excel!T49</f>
        <v>#N/A</v>
      </c>
      <c r="AM49" s="8" t="e">
        <f>数出表_Excel!V49</f>
        <v>#N/A</v>
      </c>
      <c r="AN49" s="9" t="e">
        <f>数出表_Excel!W49</f>
        <v>#N/A</v>
      </c>
    </row>
    <row r="50" spans="1:40" x14ac:dyDescent="0.45">
      <c r="A50" s="5" t="e">
        <f>数出表_Excel!A50</f>
        <v>#N/A</v>
      </c>
      <c r="B50" s="16" t="e">
        <f>数出表_Excel!B50</f>
        <v>#N/A</v>
      </c>
      <c r="C50" s="60"/>
      <c r="D50" s="16" t="e">
        <f>数出表_Excel!C50</f>
        <v>#N/A</v>
      </c>
      <c r="E50" s="60"/>
      <c r="F50" s="16" t="e">
        <f>数出表_Excel!D50</f>
        <v>#N/A</v>
      </c>
      <c r="G50" s="60"/>
      <c r="H50" s="16" t="e">
        <f>数出表_Excel!E50</f>
        <v>#N/A</v>
      </c>
      <c r="I50" s="60"/>
      <c r="J50" s="16" t="e">
        <f>数出表_Excel!F50</f>
        <v>#N/A</v>
      </c>
      <c r="K50" s="60"/>
      <c r="L50" s="16" t="e">
        <f>数出表_Excel!G50</f>
        <v>#N/A</v>
      </c>
      <c r="M50" s="60"/>
      <c r="N50" s="16" t="e">
        <f>数出表_Excel!H50</f>
        <v>#N/A</v>
      </c>
      <c r="O50" s="60"/>
      <c r="P50" s="16" t="e">
        <f>数出表_Excel!I50</f>
        <v>#N/A</v>
      </c>
      <c r="Q50" s="60"/>
      <c r="R50" s="16" t="e">
        <f>数出表_Excel!J50</f>
        <v>#N/A</v>
      </c>
      <c r="S50" s="60"/>
      <c r="T50" s="16" t="e">
        <f>数出表_Excel!K50</f>
        <v>#N/A</v>
      </c>
      <c r="U50" s="60"/>
      <c r="V50" s="16" t="e">
        <f>数出表_Excel!L50</f>
        <v>#N/A</v>
      </c>
      <c r="W50" s="60"/>
      <c r="X50" s="16" t="e">
        <f>数出表_Excel!M50</f>
        <v>#N/A</v>
      </c>
      <c r="Y50" s="60"/>
      <c r="Z50" s="16" t="e">
        <f>数出表_Excel!N50</f>
        <v>#N/A</v>
      </c>
      <c r="AA50" s="60"/>
      <c r="AB50" s="16" t="e">
        <f>数出表_Excel!O50</f>
        <v>#N/A</v>
      </c>
      <c r="AC50" s="60"/>
      <c r="AD50" s="16" t="e">
        <f>数出表_Excel!P50</f>
        <v>#N/A</v>
      </c>
      <c r="AE50" s="60"/>
      <c r="AF50" s="16" t="e">
        <f>数出表_Excel!Q50</f>
        <v>#N/A</v>
      </c>
      <c r="AG50" s="60"/>
      <c r="AH50" s="16" t="e">
        <f>数出表_Excel!R50</f>
        <v>#N/A</v>
      </c>
      <c r="AI50" s="60"/>
      <c r="AJ50" s="16" t="e">
        <f>数出表_Excel!T50</f>
        <v>#N/A</v>
      </c>
      <c r="AK50" s="60"/>
      <c r="AL50" s="16" t="e">
        <f>数出表_Excel!T50</f>
        <v>#N/A</v>
      </c>
      <c r="AM50" s="5" t="e">
        <f>数出表_Excel!V50</f>
        <v>#N/A</v>
      </c>
      <c r="AN50" s="7" t="e">
        <f>数出表_Excel!W50</f>
        <v>#N/A</v>
      </c>
    </row>
    <row r="51" spans="1:40" x14ac:dyDescent="0.45">
      <c r="A51" s="8" t="e">
        <f>数出表_Excel!A51</f>
        <v>#N/A</v>
      </c>
      <c r="B51" s="46" t="e">
        <f>数出表_Excel!B51</f>
        <v>#N/A</v>
      </c>
      <c r="C51" s="46"/>
      <c r="D51" s="46" t="e">
        <f>数出表_Excel!C51</f>
        <v>#N/A</v>
      </c>
      <c r="E51" s="46"/>
      <c r="F51" s="46" t="e">
        <f>数出表_Excel!D51</f>
        <v>#N/A</v>
      </c>
      <c r="G51" s="46"/>
      <c r="H51" s="46" t="e">
        <f>数出表_Excel!E51</f>
        <v>#N/A</v>
      </c>
      <c r="I51" s="46"/>
      <c r="J51" s="46" t="e">
        <f>数出表_Excel!F51</f>
        <v>#N/A</v>
      </c>
      <c r="K51" s="46"/>
      <c r="L51" s="46" t="e">
        <f>数出表_Excel!G51</f>
        <v>#N/A</v>
      </c>
      <c r="M51" s="46"/>
      <c r="N51" s="46" t="e">
        <f>数出表_Excel!H51</f>
        <v>#N/A</v>
      </c>
      <c r="O51" s="46"/>
      <c r="P51" s="46" t="e">
        <f>数出表_Excel!I51</f>
        <v>#N/A</v>
      </c>
      <c r="Q51" s="46"/>
      <c r="R51" s="46" t="e">
        <f>数出表_Excel!J51</f>
        <v>#N/A</v>
      </c>
      <c r="S51" s="46"/>
      <c r="T51" s="46" t="e">
        <f>数出表_Excel!K51</f>
        <v>#N/A</v>
      </c>
      <c r="U51" s="46"/>
      <c r="V51" s="46" t="e">
        <f>数出表_Excel!L51</f>
        <v>#N/A</v>
      </c>
      <c r="W51" s="46"/>
      <c r="X51" s="46" t="e">
        <f>数出表_Excel!M51</f>
        <v>#N/A</v>
      </c>
      <c r="Y51" s="46"/>
      <c r="Z51" s="46" t="e">
        <f>数出表_Excel!N51</f>
        <v>#N/A</v>
      </c>
      <c r="AA51" s="46"/>
      <c r="AB51" s="46" t="e">
        <f>数出表_Excel!O51</f>
        <v>#N/A</v>
      </c>
      <c r="AC51" s="46"/>
      <c r="AD51" s="46" t="e">
        <f>数出表_Excel!P51</f>
        <v>#N/A</v>
      </c>
      <c r="AE51" s="46"/>
      <c r="AF51" s="46" t="e">
        <f>数出表_Excel!Q51</f>
        <v>#N/A</v>
      </c>
      <c r="AG51" s="46"/>
      <c r="AH51" s="46" t="e">
        <f>数出表_Excel!R51</f>
        <v>#N/A</v>
      </c>
      <c r="AI51" s="46"/>
      <c r="AJ51" s="46" t="e">
        <f>数出表_Excel!T51</f>
        <v>#N/A</v>
      </c>
      <c r="AK51" s="46"/>
      <c r="AL51" s="46" t="e">
        <f>数出表_Excel!T51</f>
        <v>#N/A</v>
      </c>
      <c r="AM51" s="8" t="e">
        <f>数出表_Excel!V51</f>
        <v>#N/A</v>
      </c>
      <c r="AN51" s="9" t="e">
        <f>数出表_Excel!W51</f>
        <v>#N/A</v>
      </c>
    </row>
    <row r="52" spans="1:40" x14ac:dyDescent="0.45">
      <c r="A52" s="5" t="e">
        <f>数出表_Excel!A52</f>
        <v>#N/A</v>
      </c>
      <c r="B52" s="16" t="e">
        <f>数出表_Excel!B52</f>
        <v>#N/A</v>
      </c>
      <c r="C52" s="60"/>
      <c r="D52" s="16" t="e">
        <f>数出表_Excel!C52</f>
        <v>#N/A</v>
      </c>
      <c r="E52" s="60"/>
      <c r="F52" s="16" t="e">
        <f>数出表_Excel!D52</f>
        <v>#N/A</v>
      </c>
      <c r="G52" s="60"/>
      <c r="H52" s="16" t="e">
        <f>数出表_Excel!E52</f>
        <v>#N/A</v>
      </c>
      <c r="I52" s="60"/>
      <c r="J52" s="16" t="e">
        <f>数出表_Excel!F52</f>
        <v>#N/A</v>
      </c>
      <c r="K52" s="60"/>
      <c r="L52" s="16" t="e">
        <f>数出表_Excel!G52</f>
        <v>#N/A</v>
      </c>
      <c r="M52" s="60"/>
      <c r="N52" s="16" t="e">
        <f>数出表_Excel!H52</f>
        <v>#N/A</v>
      </c>
      <c r="O52" s="60"/>
      <c r="P52" s="16" t="e">
        <f>数出表_Excel!I52</f>
        <v>#N/A</v>
      </c>
      <c r="Q52" s="60"/>
      <c r="R52" s="16" t="e">
        <f>数出表_Excel!J52</f>
        <v>#N/A</v>
      </c>
      <c r="S52" s="60"/>
      <c r="T52" s="16" t="e">
        <f>数出表_Excel!K52</f>
        <v>#N/A</v>
      </c>
      <c r="U52" s="60"/>
      <c r="V52" s="16" t="e">
        <f>数出表_Excel!L52</f>
        <v>#N/A</v>
      </c>
      <c r="W52" s="60"/>
      <c r="X52" s="16" t="e">
        <f>数出表_Excel!M52</f>
        <v>#N/A</v>
      </c>
      <c r="Y52" s="60"/>
      <c r="Z52" s="16" t="e">
        <f>数出表_Excel!N52</f>
        <v>#N/A</v>
      </c>
      <c r="AA52" s="60"/>
      <c r="AB52" s="16" t="e">
        <f>数出表_Excel!O52</f>
        <v>#N/A</v>
      </c>
      <c r="AC52" s="60"/>
      <c r="AD52" s="16" t="e">
        <f>数出表_Excel!P52</f>
        <v>#N/A</v>
      </c>
      <c r="AE52" s="60"/>
      <c r="AF52" s="16" t="e">
        <f>数出表_Excel!Q52</f>
        <v>#N/A</v>
      </c>
      <c r="AG52" s="60"/>
      <c r="AH52" s="16" t="e">
        <f>数出表_Excel!R52</f>
        <v>#N/A</v>
      </c>
      <c r="AI52" s="60"/>
      <c r="AJ52" s="16" t="e">
        <f>数出表_Excel!T52</f>
        <v>#N/A</v>
      </c>
      <c r="AK52" s="60"/>
      <c r="AL52" s="16" t="e">
        <f>数出表_Excel!T52</f>
        <v>#N/A</v>
      </c>
      <c r="AM52" s="5" t="e">
        <f>数出表_Excel!V52</f>
        <v>#N/A</v>
      </c>
      <c r="AN52" s="7" t="e">
        <f>数出表_Excel!W52</f>
        <v>#N/A</v>
      </c>
    </row>
    <row r="53" spans="1:40" x14ac:dyDescent="0.45">
      <c r="A53" s="8" t="e">
        <f>数出表_Excel!A53</f>
        <v>#N/A</v>
      </c>
      <c r="B53" s="46" t="e">
        <f>数出表_Excel!B53</f>
        <v>#N/A</v>
      </c>
      <c r="C53" s="46"/>
      <c r="D53" s="46" t="e">
        <f>数出表_Excel!C53</f>
        <v>#N/A</v>
      </c>
      <c r="E53" s="46"/>
      <c r="F53" s="46" t="e">
        <f>数出表_Excel!D53</f>
        <v>#N/A</v>
      </c>
      <c r="G53" s="46"/>
      <c r="H53" s="46" t="e">
        <f>数出表_Excel!E53</f>
        <v>#N/A</v>
      </c>
      <c r="I53" s="46"/>
      <c r="J53" s="46" t="e">
        <f>数出表_Excel!F53</f>
        <v>#N/A</v>
      </c>
      <c r="K53" s="46"/>
      <c r="L53" s="46" t="e">
        <f>数出表_Excel!G53</f>
        <v>#N/A</v>
      </c>
      <c r="M53" s="46"/>
      <c r="N53" s="46" t="e">
        <f>数出表_Excel!H53</f>
        <v>#N/A</v>
      </c>
      <c r="O53" s="46"/>
      <c r="P53" s="46" t="e">
        <f>数出表_Excel!I53</f>
        <v>#N/A</v>
      </c>
      <c r="Q53" s="46"/>
      <c r="R53" s="46" t="e">
        <f>数出表_Excel!J53</f>
        <v>#N/A</v>
      </c>
      <c r="S53" s="46"/>
      <c r="T53" s="46" t="e">
        <f>数出表_Excel!K53</f>
        <v>#N/A</v>
      </c>
      <c r="U53" s="46"/>
      <c r="V53" s="46" t="e">
        <f>数出表_Excel!L53</f>
        <v>#N/A</v>
      </c>
      <c r="W53" s="46"/>
      <c r="X53" s="46" t="e">
        <f>数出表_Excel!M53</f>
        <v>#N/A</v>
      </c>
      <c r="Y53" s="46"/>
      <c r="Z53" s="46" t="e">
        <f>数出表_Excel!N53</f>
        <v>#N/A</v>
      </c>
      <c r="AA53" s="46"/>
      <c r="AB53" s="46" t="e">
        <f>数出表_Excel!O53</f>
        <v>#N/A</v>
      </c>
      <c r="AC53" s="46"/>
      <c r="AD53" s="46" t="e">
        <f>数出表_Excel!P53</f>
        <v>#N/A</v>
      </c>
      <c r="AE53" s="46"/>
      <c r="AF53" s="46" t="e">
        <f>数出表_Excel!Q53</f>
        <v>#N/A</v>
      </c>
      <c r="AG53" s="46"/>
      <c r="AH53" s="46" t="e">
        <f>数出表_Excel!R53</f>
        <v>#N/A</v>
      </c>
      <c r="AI53" s="46"/>
      <c r="AJ53" s="46" t="e">
        <f>数出表_Excel!T53</f>
        <v>#N/A</v>
      </c>
      <c r="AK53" s="46"/>
      <c r="AL53" s="46" t="e">
        <f>数出表_Excel!T53</f>
        <v>#N/A</v>
      </c>
      <c r="AM53" s="8" t="e">
        <f>数出表_Excel!V53</f>
        <v>#N/A</v>
      </c>
      <c r="AN53" s="9" t="e">
        <f>数出表_Excel!W53</f>
        <v>#N/A</v>
      </c>
    </row>
    <row r="54" spans="1:40" x14ac:dyDescent="0.45">
      <c r="A54" s="5" t="e">
        <f>数出表_Excel!A54</f>
        <v>#N/A</v>
      </c>
      <c r="B54" s="16" t="e">
        <f>数出表_Excel!B54</f>
        <v>#N/A</v>
      </c>
      <c r="C54" s="60"/>
      <c r="D54" s="16" t="e">
        <f>数出表_Excel!C54</f>
        <v>#N/A</v>
      </c>
      <c r="E54" s="60"/>
      <c r="F54" s="16" t="e">
        <f>数出表_Excel!D54</f>
        <v>#N/A</v>
      </c>
      <c r="G54" s="60"/>
      <c r="H54" s="16" t="e">
        <f>数出表_Excel!E54</f>
        <v>#N/A</v>
      </c>
      <c r="I54" s="60"/>
      <c r="J54" s="16" t="e">
        <f>数出表_Excel!F54</f>
        <v>#N/A</v>
      </c>
      <c r="K54" s="60"/>
      <c r="L54" s="16" t="e">
        <f>数出表_Excel!G54</f>
        <v>#N/A</v>
      </c>
      <c r="M54" s="60"/>
      <c r="N54" s="16" t="e">
        <f>数出表_Excel!H54</f>
        <v>#N/A</v>
      </c>
      <c r="O54" s="60"/>
      <c r="P54" s="16" t="e">
        <f>数出表_Excel!I54</f>
        <v>#N/A</v>
      </c>
      <c r="Q54" s="60"/>
      <c r="R54" s="16" t="e">
        <f>数出表_Excel!J54</f>
        <v>#N/A</v>
      </c>
      <c r="S54" s="60"/>
      <c r="T54" s="16" t="e">
        <f>数出表_Excel!K54</f>
        <v>#N/A</v>
      </c>
      <c r="U54" s="60"/>
      <c r="V54" s="16" t="e">
        <f>数出表_Excel!L54</f>
        <v>#N/A</v>
      </c>
      <c r="W54" s="60"/>
      <c r="X54" s="16" t="e">
        <f>数出表_Excel!M54</f>
        <v>#N/A</v>
      </c>
      <c r="Y54" s="60"/>
      <c r="Z54" s="16" t="e">
        <f>数出表_Excel!N54</f>
        <v>#N/A</v>
      </c>
      <c r="AA54" s="60"/>
      <c r="AB54" s="16" t="e">
        <f>数出表_Excel!O54</f>
        <v>#N/A</v>
      </c>
      <c r="AC54" s="60"/>
      <c r="AD54" s="16" t="e">
        <f>数出表_Excel!P54</f>
        <v>#N/A</v>
      </c>
      <c r="AE54" s="60"/>
      <c r="AF54" s="16" t="e">
        <f>数出表_Excel!Q54</f>
        <v>#N/A</v>
      </c>
      <c r="AG54" s="60"/>
      <c r="AH54" s="16" t="e">
        <f>数出表_Excel!R54</f>
        <v>#N/A</v>
      </c>
      <c r="AI54" s="60"/>
      <c r="AJ54" s="16" t="e">
        <f>数出表_Excel!T54</f>
        <v>#N/A</v>
      </c>
      <c r="AK54" s="60"/>
      <c r="AL54" s="16" t="e">
        <f>数出表_Excel!T54</f>
        <v>#N/A</v>
      </c>
      <c r="AM54" s="5" t="e">
        <f>数出表_Excel!V54</f>
        <v>#N/A</v>
      </c>
      <c r="AN54" s="7" t="e">
        <f>数出表_Excel!W54</f>
        <v>#N/A</v>
      </c>
    </row>
    <row r="55" spans="1:40" x14ac:dyDescent="0.45">
      <c r="A55" s="8" t="e">
        <f>数出表_Excel!A55</f>
        <v>#N/A</v>
      </c>
      <c r="B55" s="46" t="e">
        <f>数出表_Excel!B55</f>
        <v>#N/A</v>
      </c>
      <c r="C55" s="46"/>
      <c r="D55" s="46" t="e">
        <f>数出表_Excel!C55</f>
        <v>#N/A</v>
      </c>
      <c r="E55" s="46"/>
      <c r="F55" s="46" t="e">
        <f>数出表_Excel!D55</f>
        <v>#N/A</v>
      </c>
      <c r="G55" s="46"/>
      <c r="H55" s="46" t="e">
        <f>数出表_Excel!E55</f>
        <v>#N/A</v>
      </c>
      <c r="I55" s="46"/>
      <c r="J55" s="46" t="e">
        <f>数出表_Excel!F55</f>
        <v>#N/A</v>
      </c>
      <c r="K55" s="46"/>
      <c r="L55" s="46" t="e">
        <f>数出表_Excel!G55</f>
        <v>#N/A</v>
      </c>
      <c r="M55" s="46"/>
      <c r="N55" s="46" t="e">
        <f>数出表_Excel!H55</f>
        <v>#N/A</v>
      </c>
      <c r="O55" s="46"/>
      <c r="P55" s="46" t="e">
        <f>数出表_Excel!I55</f>
        <v>#N/A</v>
      </c>
      <c r="Q55" s="46"/>
      <c r="R55" s="46" t="e">
        <f>数出表_Excel!J55</f>
        <v>#N/A</v>
      </c>
      <c r="S55" s="46"/>
      <c r="T55" s="46" t="e">
        <f>数出表_Excel!K55</f>
        <v>#N/A</v>
      </c>
      <c r="U55" s="46"/>
      <c r="V55" s="46" t="e">
        <f>数出表_Excel!L55</f>
        <v>#N/A</v>
      </c>
      <c r="W55" s="46"/>
      <c r="X55" s="46" t="e">
        <f>数出表_Excel!M55</f>
        <v>#N/A</v>
      </c>
      <c r="Y55" s="46"/>
      <c r="Z55" s="46" t="e">
        <f>数出表_Excel!N55</f>
        <v>#N/A</v>
      </c>
      <c r="AA55" s="46"/>
      <c r="AB55" s="46" t="e">
        <f>数出表_Excel!O55</f>
        <v>#N/A</v>
      </c>
      <c r="AC55" s="46"/>
      <c r="AD55" s="46" t="e">
        <f>数出表_Excel!P55</f>
        <v>#N/A</v>
      </c>
      <c r="AE55" s="46"/>
      <c r="AF55" s="46" t="e">
        <f>数出表_Excel!Q55</f>
        <v>#N/A</v>
      </c>
      <c r="AG55" s="46"/>
      <c r="AH55" s="46" t="e">
        <f>数出表_Excel!R55</f>
        <v>#N/A</v>
      </c>
      <c r="AI55" s="46"/>
      <c r="AJ55" s="46" t="e">
        <f>数出表_Excel!T55</f>
        <v>#N/A</v>
      </c>
      <c r="AK55" s="46"/>
      <c r="AL55" s="46" t="e">
        <f>数出表_Excel!T55</f>
        <v>#N/A</v>
      </c>
      <c r="AM55" s="8" t="e">
        <f>数出表_Excel!V55</f>
        <v>#N/A</v>
      </c>
      <c r="AN55" s="9" t="e">
        <f>数出表_Excel!W55</f>
        <v>#N/A</v>
      </c>
    </row>
    <row r="56" spans="1:40" x14ac:dyDescent="0.45">
      <c r="A56" s="5" t="e">
        <f>数出表_Excel!A56</f>
        <v>#N/A</v>
      </c>
      <c r="B56" s="16" t="e">
        <f>数出表_Excel!B56</f>
        <v>#N/A</v>
      </c>
      <c r="C56" s="60"/>
      <c r="D56" s="16" t="e">
        <f>数出表_Excel!C56</f>
        <v>#N/A</v>
      </c>
      <c r="E56" s="60"/>
      <c r="F56" s="16" t="e">
        <f>数出表_Excel!D56</f>
        <v>#N/A</v>
      </c>
      <c r="G56" s="60"/>
      <c r="H56" s="16" t="e">
        <f>数出表_Excel!E56</f>
        <v>#N/A</v>
      </c>
      <c r="I56" s="60"/>
      <c r="J56" s="16" t="e">
        <f>数出表_Excel!F56</f>
        <v>#N/A</v>
      </c>
      <c r="K56" s="60"/>
      <c r="L56" s="16" t="e">
        <f>数出表_Excel!G56</f>
        <v>#N/A</v>
      </c>
      <c r="M56" s="60"/>
      <c r="N56" s="16" t="e">
        <f>数出表_Excel!H56</f>
        <v>#N/A</v>
      </c>
      <c r="O56" s="60"/>
      <c r="P56" s="16" t="e">
        <f>数出表_Excel!I56</f>
        <v>#N/A</v>
      </c>
      <c r="Q56" s="60"/>
      <c r="R56" s="16" t="e">
        <f>数出表_Excel!J56</f>
        <v>#N/A</v>
      </c>
      <c r="S56" s="60"/>
      <c r="T56" s="16" t="e">
        <f>数出表_Excel!K56</f>
        <v>#N/A</v>
      </c>
      <c r="U56" s="60"/>
      <c r="V56" s="16" t="e">
        <f>数出表_Excel!L56</f>
        <v>#N/A</v>
      </c>
      <c r="W56" s="60"/>
      <c r="X56" s="16" t="e">
        <f>数出表_Excel!M56</f>
        <v>#N/A</v>
      </c>
      <c r="Y56" s="60"/>
      <c r="Z56" s="16" t="e">
        <f>数出表_Excel!N56</f>
        <v>#N/A</v>
      </c>
      <c r="AA56" s="60"/>
      <c r="AB56" s="16" t="e">
        <f>数出表_Excel!O56</f>
        <v>#N/A</v>
      </c>
      <c r="AC56" s="60"/>
      <c r="AD56" s="16" t="e">
        <f>数出表_Excel!P56</f>
        <v>#N/A</v>
      </c>
      <c r="AE56" s="60"/>
      <c r="AF56" s="16" t="e">
        <f>数出表_Excel!Q56</f>
        <v>#N/A</v>
      </c>
      <c r="AG56" s="60"/>
      <c r="AH56" s="16" t="e">
        <f>数出表_Excel!R56</f>
        <v>#N/A</v>
      </c>
      <c r="AI56" s="60"/>
      <c r="AJ56" s="16" t="e">
        <f>数出表_Excel!T56</f>
        <v>#N/A</v>
      </c>
      <c r="AK56" s="60"/>
      <c r="AL56" s="16" t="e">
        <f>数出表_Excel!T56</f>
        <v>#N/A</v>
      </c>
      <c r="AM56" s="5" t="e">
        <f>数出表_Excel!V56</f>
        <v>#N/A</v>
      </c>
      <c r="AN56" s="7" t="e">
        <f>数出表_Excel!W56</f>
        <v>#N/A</v>
      </c>
    </row>
    <row r="57" spans="1:40" x14ac:dyDescent="0.45">
      <c r="A57" s="8" t="e">
        <f>数出表_Excel!A57</f>
        <v>#N/A</v>
      </c>
      <c r="B57" s="46" t="e">
        <f>数出表_Excel!B57</f>
        <v>#N/A</v>
      </c>
      <c r="C57" s="46"/>
      <c r="D57" s="46" t="e">
        <f>数出表_Excel!C57</f>
        <v>#N/A</v>
      </c>
      <c r="E57" s="46"/>
      <c r="F57" s="46" t="e">
        <f>数出表_Excel!D57</f>
        <v>#N/A</v>
      </c>
      <c r="G57" s="46"/>
      <c r="H57" s="46" t="e">
        <f>数出表_Excel!E57</f>
        <v>#N/A</v>
      </c>
      <c r="I57" s="46"/>
      <c r="J57" s="46" t="e">
        <f>数出表_Excel!F57</f>
        <v>#N/A</v>
      </c>
      <c r="K57" s="46"/>
      <c r="L57" s="46" t="e">
        <f>数出表_Excel!G57</f>
        <v>#N/A</v>
      </c>
      <c r="M57" s="46"/>
      <c r="N57" s="46" t="e">
        <f>数出表_Excel!H57</f>
        <v>#N/A</v>
      </c>
      <c r="O57" s="46"/>
      <c r="P57" s="46" t="e">
        <f>数出表_Excel!I57</f>
        <v>#N/A</v>
      </c>
      <c r="Q57" s="46"/>
      <c r="R57" s="46" t="e">
        <f>数出表_Excel!J57</f>
        <v>#N/A</v>
      </c>
      <c r="S57" s="46"/>
      <c r="T57" s="46" t="e">
        <f>数出表_Excel!K57</f>
        <v>#N/A</v>
      </c>
      <c r="U57" s="46"/>
      <c r="V57" s="46" t="e">
        <f>数出表_Excel!L57</f>
        <v>#N/A</v>
      </c>
      <c r="W57" s="46"/>
      <c r="X57" s="46" t="e">
        <f>数出表_Excel!M57</f>
        <v>#N/A</v>
      </c>
      <c r="Y57" s="46"/>
      <c r="Z57" s="46" t="e">
        <f>数出表_Excel!N57</f>
        <v>#N/A</v>
      </c>
      <c r="AA57" s="46"/>
      <c r="AB57" s="46" t="e">
        <f>数出表_Excel!O57</f>
        <v>#N/A</v>
      </c>
      <c r="AC57" s="46"/>
      <c r="AD57" s="46" t="e">
        <f>数出表_Excel!P57</f>
        <v>#N/A</v>
      </c>
      <c r="AE57" s="46"/>
      <c r="AF57" s="46" t="e">
        <f>数出表_Excel!Q57</f>
        <v>#N/A</v>
      </c>
      <c r="AG57" s="46"/>
      <c r="AH57" s="46" t="e">
        <f>数出表_Excel!R57</f>
        <v>#N/A</v>
      </c>
      <c r="AI57" s="46"/>
      <c r="AJ57" s="46" t="e">
        <f>数出表_Excel!T57</f>
        <v>#N/A</v>
      </c>
      <c r="AK57" s="46"/>
      <c r="AL57" s="46" t="e">
        <f>数出表_Excel!T57</f>
        <v>#N/A</v>
      </c>
      <c r="AM57" s="8" t="e">
        <f>数出表_Excel!V57</f>
        <v>#N/A</v>
      </c>
      <c r="AN57" s="9" t="e">
        <f>数出表_Excel!W57</f>
        <v>#N/A</v>
      </c>
    </row>
    <row r="58" spans="1:40" x14ac:dyDescent="0.45">
      <c r="A58" s="5" t="e">
        <f>数出表_Excel!A58</f>
        <v>#N/A</v>
      </c>
      <c r="B58" s="16" t="e">
        <f>数出表_Excel!B58</f>
        <v>#N/A</v>
      </c>
      <c r="C58" s="60"/>
      <c r="D58" s="16" t="e">
        <f>数出表_Excel!C58</f>
        <v>#N/A</v>
      </c>
      <c r="E58" s="60"/>
      <c r="F58" s="16" t="e">
        <f>数出表_Excel!D58</f>
        <v>#N/A</v>
      </c>
      <c r="G58" s="60"/>
      <c r="H58" s="16" t="e">
        <f>数出表_Excel!E58</f>
        <v>#N/A</v>
      </c>
      <c r="I58" s="60"/>
      <c r="J58" s="16" t="e">
        <f>数出表_Excel!F58</f>
        <v>#N/A</v>
      </c>
      <c r="K58" s="60"/>
      <c r="L58" s="16" t="e">
        <f>数出表_Excel!G58</f>
        <v>#N/A</v>
      </c>
      <c r="M58" s="60"/>
      <c r="N58" s="16" t="e">
        <f>数出表_Excel!H58</f>
        <v>#N/A</v>
      </c>
      <c r="O58" s="60"/>
      <c r="P58" s="16" t="e">
        <f>数出表_Excel!I58</f>
        <v>#N/A</v>
      </c>
      <c r="Q58" s="60"/>
      <c r="R58" s="16" t="e">
        <f>数出表_Excel!J58</f>
        <v>#N/A</v>
      </c>
      <c r="S58" s="60"/>
      <c r="T58" s="16" t="e">
        <f>数出表_Excel!K58</f>
        <v>#N/A</v>
      </c>
      <c r="U58" s="60"/>
      <c r="V58" s="16" t="e">
        <f>数出表_Excel!L58</f>
        <v>#N/A</v>
      </c>
      <c r="W58" s="60"/>
      <c r="X58" s="16" t="e">
        <f>数出表_Excel!M58</f>
        <v>#N/A</v>
      </c>
      <c r="Y58" s="60"/>
      <c r="Z58" s="16" t="e">
        <f>数出表_Excel!N58</f>
        <v>#N/A</v>
      </c>
      <c r="AA58" s="60"/>
      <c r="AB58" s="16" t="e">
        <f>数出表_Excel!O58</f>
        <v>#N/A</v>
      </c>
      <c r="AC58" s="60"/>
      <c r="AD58" s="16" t="e">
        <f>数出表_Excel!P58</f>
        <v>#N/A</v>
      </c>
      <c r="AE58" s="60"/>
      <c r="AF58" s="16" t="e">
        <f>数出表_Excel!Q58</f>
        <v>#N/A</v>
      </c>
      <c r="AG58" s="60"/>
      <c r="AH58" s="16" t="e">
        <f>数出表_Excel!R58</f>
        <v>#N/A</v>
      </c>
      <c r="AI58" s="60"/>
      <c r="AJ58" s="16" t="e">
        <f>数出表_Excel!T58</f>
        <v>#N/A</v>
      </c>
      <c r="AK58" s="60"/>
      <c r="AL58" s="16" t="e">
        <f>数出表_Excel!T58</f>
        <v>#N/A</v>
      </c>
      <c r="AM58" s="5" t="e">
        <f>数出表_Excel!V58</f>
        <v>#N/A</v>
      </c>
      <c r="AN58" s="7" t="e">
        <f>数出表_Excel!W58</f>
        <v>#N/A</v>
      </c>
    </row>
    <row r="59" spans="1:40" x14ac:dyDescent="0.45">
      <c r="A59" s="8" t="e">
        <f>数出表_Excel!A59</f>
        <v>#N/A</v>
      </c>
      <c r="B59" s="46" t="e">
        <f>数出表_Excel!B59</f>
        <v>#N/A</v>
      </c>
      <c r="C59" s="46"/>
      <c r="D59" s="46" t="e">
        <f>数出表_Excel!C59</f>
        <v>#N/A</v>
      </c>
      <c r="E59" s="46"/>
      <c r="F59" s="46" t="e">
        <f>数出表_Excel!D59</f>
        <v>#N/A</v>
      </c>
      <c r="G59" s="46"/>
      <c r="H59" s="46" t="e">
        <f>数出表_Excel!E59</f>
        <v>#N/A</v>
      </c>
      <c r="I59" s="46"/>
      <c r="J59" s="46" t="e">
        <f>数出表_Excel!F59</f>
        <v>#N/A</v>
      </c>
      <c r="K59" s="46"/>
      <c r="L59" s="46" t="e">
        <f>数出表_Excel!G59</f>
        <v>#N/A</v>
      </c>
      <c r="M59" s="46"/>
      <c r="N59" s="46" t="e">
        <f>数出表_Excel!H59</f>
        <v>#N/A</v>
      </c>
      <c r="O59" s="46"/>
      <c r="P59" s="46" t="e">
        <f>数出表_Excel!I59</f>
        <v>#N/A</v>
      </c>
      <c r="Q59" s="46"/>
      <c r="R59" s="46" t="e">
        <f>数出表_Excel!J59</f>
        <v>#N/A</v>
      </c>
      <c r="S59" s="46"/>
      <c r="T59" s="46" t="e">
        <f>数出表_Excel!K59</f>
        <v>#N/A</v>
      </c>
      <c r="U59" s="46"/>
      <c r="V59" s="46" t="e">
        <f>数出表_Excel!L59</f>
        <v>#N/A</v>
      </c>
      <c r="W59" s="46"/>
      <c r="X59" s="46" t="e">
        <f>数出表_Excel!M59</f>
        <v>#N/A</v>
      </c>
      <c r="Y59" s="46"/>
      <c r="Z59" s="46" t="e">
        <f>数出表_Excel!N59</f>
        <v>#N/A</v>
      </c>
      <c r="AA59" s="46"/>
      <c r="AB59" s="46" t="e">
        <f>数出表_Excel!O59</f>
        <v>#N/A</v>
      </c>
      <c r="AC59" s="46"/>
      <c r="AD59" s="46" t="e">
        <f>数出表_Excel!P59</f>
        <v>#N/A</v>
      </c>
      <c r="AE59" s="46"/>
      <c r="AF59" s="46" t="e">
        <f>数出表_Excel!Q59</f>
        <v>#N/A</v>
      </c>
      <c r="AG59" s="46"/>
      <c r="AH59" s="46" t="e">
        <f>数出表_Excel!R59</f>
        <v>#N/A</v>
      </c>
      <c r="AI59" s="46"/>
      <c r="AJ59" s="46" t="e">
        <f>数出表_Excel!T59</f>
        <v>#N/A</v>
      </c>
      <c r="AK59" s="46"/>
      <c r="AL59" s="46" t="e">
        <f>数出表_Excel!T59</f>
        <v>#N/A</v>
      </c>
      <c r="AM59" s="8" t="e">
        <f>数出表_Excel!V59</f>
        <v>#N/A</v>
      </c>
      <c r="AN59" s="9" t="e">
        <f>数出表_Excel!W59</f>
        <v>#N/A</v>
      </c>
    </row>
    <row r="60" spans="1:40" x14ac:dyDescent="0.45">
      <c r="A60" s="5" t="e">
        <f>数出表_Excel!A60</f>
        <v>#N/A</v>
      </c>
      <c r="B60" s="16" t="e">
        <f>数出表_Excel!B60</f>
        <v>#N/A</v>
      </c>
      <c r="C60" s="60"/>
      <c r="D60" s="16" t="e">
        <f>数出表_Excel!C60</f>
        <v>#N/A</v>
      </c>
      <c r="E60" s="60"/>
      <c r="F60" s="16" t="e">
        <f>数出表_Excel!D60</f>
        <v>#N/A</v>
      </c>
      <c r="G60" s="60"/>
      <c r="H60" s="16" t="e">
        <f>数出表_Excel!E60</f>
        <v>#N/A</v>
      </c>
      <c r="I60" s="60"/>
      <c r="J60" s="16" t="e">
        <f>数出表_Excel!F60</f>
        <v>#N/A</v>
      </c>
      <c r="K60" s="60"/>
      <c r="L60" s="16" t="e">
        <f>数出表_Excel!G60</f>
        <v>#N/A</v>
      </c>
      <c r="M60" s="60"/>
      <c r="N60" s="16" t="e">
        <f>数出表_Excel!H60</f>
        <v>#N/A</v>
      </c>
      <c r="O60" s="60"/>
      <c r="P60" s="16" t="e">
        <f>数出表_Excel!I60</f>
        <v>#N/A</v>
      </c>
      <c r="Q60" s="60"/>
      <c r="R60" s="16" t="e">
        <f>数出表_Excel!J60</f>
        <v>#N/A</v>
      </c>
      <c r="S60" s="60"/>
      <c r="T60" s="16" t="e">
        <f>数出表_Excel!K60</f>
        <v>#N/A</v>
      </c>
      <c r="U60" s="60"/>
      <c r="V60" s="16" t="e">
        <f>数出表_Excel!L60</f>
        <v>#N/A</v>
      </c>
      <c r="W60" s="60"/>
      <c r="X60" s="16" t="e">
        <f>数出表_Excel!M60</f>
        <v>#N/A</v>
      </c>
      <c r="Y60" s="60"/>
      <c r="Z60" s="16" t="e">
        <f>数出表_Excel!N60</f>
        <v>#N/A</v>
      </c>
      <c r="AA60" s="60"/>
      <c r="AB60" s="16" t="e">
        <f>数出表_Excel!O60</f>
        <v>#N/A</v>
      </c>
      <c r="AC60" s="60"/>
      <c r="AD60" s="16" t="e">
        <f>数出表_Excel!P60</f>
        <v>#N/A</v>
      </c>
      <c r="AE60" s="60"/>
      <c r="AF60" s="16" t="e">
        <f>数出表_Excel!Q60</f>
        <v>#N/A</v>
      </c>
      <c r="AG60" s="60"/>
      <c r="AH60" s="16" t="e">
        <f>数出表_Excel!R60</f>
        <v>#N/A</v>
      </c>
      <c r="AI60" s="60"/>
      <c r="AJ60" s="16" t="e">
        <f>数出表_Excel!T60</f>
        <v>#N/A</v>
      </c>
      <c r="AK60" s="60"/>
      <c r="AL60" s="16" t="e">
        <f>数出表_Excel!T60</f>
        <v>#N/A</v>
      </c>
      <c r="AM60" s="5" t="e">
        <f>数出表_Excel!V60</f>
        <v>#N/A</v>
      </c>
      <c r="AN60" s="7" t="e">
        <f>数出表_Excel!W60</f>
        <v>#N/A</v>
      </c>
    </row>
    <row r="61" spans="1:40" x14ac:dyDescent="0.45">
      <c r="A61" s="8" t="e">
        <f>数出表_Excel!A61</f>
        <v>#N/A</v>
      </c>
      <c r="B61" s="46" t="e">
        <f>数出表_Excel!B61</f>
        <v>#N/A</v>
      </c>
      <c r="C61" s="46"/>
      <c r="D61" s="46" t="e">
        <f>数出表_Excel!C61</f>
        <v>#N/A</v>
      </c>
      <c r="E61" s="46"/>
      <c r="F61" s="46" t="e">
        <f>数出表_Excel!D61</f>
        <v>#N/A</v>
      </c>
      <c r="G61" s="46"/>
      <c r="H61" s="46" t="e">
        <f>数出表_Excel!E61</f>
        <v>#N/A</v>
      </c>
      <c r="I61" s="46"/>
      <c r="J61" s="46" t="e">
        <f>数出表_Excel!F61</f>
        <v>#N/A</v>
      </c>
      <c r="K61" s="46"/>
      <c r="L61" s="46" t="e">
        <f>数出表_Excel!G61</f>
        <v>#N/A</v>
      </c>
      <c r="M61" s="46"/>
      <c r="N61" s="46" t="e">
        <f>数出表_Excel!H61</f>
        <v>#N/A</v>
      </c>
      <c r="O61" s="46"/>
      <c r="P61" s="46" t="e">
        <f>数出表_Excel!I61</f>
        <v>#N/A</v>
      </c>
      <c r="Q61" s="46"/>
      <c r="R61" s="46" t="e">
        <f>数出表_Excel!J61</f>
        <v>#N/A</v>
      </c>
      <c r="S61" s="46"/>
      <c r="T61" s="46" t="e">
        <f>数出表_Excel!K61</f>
        <v>#N/A</v>
      </c>
      <c r="U61" s="46"/>
      <c r="V61" s="46" t="e">
        <f>数出表_Excel!L61</f>
        <v>#N/A</v>
      </c>
      <c r="W61" s="46"/>
      <c r="X61" s="46" t="e">
        <f>数出表_Excel!M61</f>
        <v>#N/A</v>
      </c>
      <c r="Y61" s="46"/>
      <c r="Z61" s="46" t="e">
        <f>数出表_Excel!N61</f>
        <v>#N/A</v>
      </c>
      <c r="AA61" s="46"/>
      <c r="AB61" s="46" t="e">
        <f>数出表_Excel!O61</f>
        <v>#N/A</v>
      </c>
      <c r="AC61" s="46"/>
      <c r="AD61" s="46" t="e">
        <f>数出表_Excel!P61</f>
        <v>#N/A</v>
      </c>
      <c r="AE61" s="46"/>
      <c r="AF61" s="46" t="e">
        <f>数出表_Excel!Q61</f>
        <v>#N/A</v>
      </c>
      <c r="AG61" s="46"/>
      <c r="AH61" s="46" t="e">
        <f>数出表_Excel!R61</f>
        <v>#N/A</v>
      </c>
      <c r="AI61" s="46"/>
      <c r="AJ61" s="46" t="e">
        <f>数出表_Excel!T61</f>
        <v>#N/A</v>
      </c>
      <c r="AK61" s="46"/>
      <c r="AL61" s="46" t="e">
        <f>数出表_Excel!T61</f>
        <v>#N/A</v>
      </c>
      <c r="AM61" s="8" t="e">
        <f>数出表_Excel!V61</f>
        <v>#N/A</v>
      </c>
      <c r="AN61" s="9" t="e">
        <f>数出表_Excel!W61</f>
        <v>#N/A</v>
      </c>
    </row>
    <row r="62" spans="1:40" x14ac:dyDescent="0.45">
      <c r="A62" s="5" t="e">
        <f>数出表_Excel!A62</f>
        <v>#N/A</v>
      </c>
      <c r="B62" s="16" t="e">
        <f>数出表_Excel!B62</f>
        <v>#N/A</v>
      </c>
      <c r="C62" s="60"/>
      <c r="D62" s="16" t="e">
        <f>数出表_Excel!C62</f>
        <v>#N/A</v>
      </c>
      <c r="E62" s="60"/>
      <c r="F62" s="16" t="e">
        <f>数出表_Excel!D62</f>
        <v>#N/A</v>
      </c>
      <c r="G62" s="60"/>
      <c r="H62" s="16" t="e">
        <f>数出表_Excel!E62</f>
        <v>#N/A</v>
      </c>
      <c r="I62" s="60"/>
      <c r="J62" s="16" t="e">
        <f>数出表_Excel!F62</f>
        <v>#N/A</v>
      </c>
      <c r="K62" s="60"/>
      <c r="L62" s="16" t="e">
        <f>数出表_Excel!G62</f>
        <v>#N/A</v>
      </c>
      <c r="M62" s="60"/>
      <c r="N62" s="16" t="e">
        <f>数出表_Excel!H62</f>
        <v>#N/A</v>
      </c>
      <c r="O62" s="60"/>
      <c r="P62" s="16" t="e">
        <f>数出表_Excel!I62</f>
        <v>#N/A</v>
      </c>
      <c r="Q62" s="60"/>
      <c r="R62" s="16" t="e">
        <f>数出表_Excel!J62</f>
        <v>#N/A</v>
      </c>
      <c r="S62" s="60"/>
      <c r="T62" s="16" t="e">
        <f>数出表_Excel!K62</f>
        <v>#N/A</v>
      </c>
      <c r="U62" s="60"/>
      <c r="V62" s="16" t="e">
        <f>数出表_Excel!L62</f>
        <v>#N/A</v>
      </c>
      <c r="W62" s="60"/>
      <c r="X62" s="16" t="e">
        <f>数出表_Excel!M62</f>
        <v>#N/A</v>
      </c>
      <c r="Y62" s="60"/>
      <c r="Z62" s="16" t="e">
        <f>数出表_Excel!N62</f>
        <v>#N/A</v>
      </c>
      <c r="AA62" s="60"/>
      <c r="AB62" s="16" t="e">
        <f>数出表_Excel!O62</f>
        <v>#N/A</v>
      </c>
      <c r="AC62" s="60"/>
      <c r="AD62" s="16" t="e">
        <f>数出表_Excel!P62</f>
        <v>#N/A</v>
      </c>
      <c r="AE62" s="60"/>
      <c r="AF62" s="16" t="e">
        <f>数出表_Excel!Q62</f>
        <v>#N/A</v>
      </c>
      <c r="AG62" s="60"/>
      <c r="AH62" s="16" t="e">
        <f>数出表_Excel!R62</f>
        <v>#N/A</v>
      </c>
      <c r="AI62" s="60"/>
      <c r="AJ62" s="16" t="e">
        <f>数出表_Excel!T62</f>
        <v>#N/A</v>
      </c>
      <c r="AK62" s="60"/>
      <c r="AL62" s="16" t="e">
        <f>数出表_Excel!T62</f>
        <v>#N/A</v>
      </c>
      <c r="AM62" s="5" t="e">
        <f>数出表_Excel!V62</f>
        <v>#N/A</v>
      </c>
      <c r="AN62" s="7" t="e">
        <f>数出表_Excel!W62</f>
        <v>#N/A</v>
      </c>
    </row>
    <row r="63" spans="1:40" x14ac:dyDescent="0.45">
      <c r="A63" s="8" t="e">
        <f>数出表_Excel!A63</f>
        <v>#N/A</v>
      </c>
      <c r="B63" s="46" t="e">
        <f>数出表_Excel!B63</f>
        <v>#N/A</v>
      </c>
      <c r="C63" s="46"/>
      <c r="D63" s="46" t="e">
        <f>数出表_Excel!C63</f>
        <v>#N/A</v>
      </c>
      <c r="E63" s="46"/>
      <c r="F63" s="46" t="e">
        <f>数出表_Excel!D63</f>
        <v>#N/A</v>
      </c>
      <c r="G63" s="46"/>
      <c r="H63" s="46" t="e">
        <f>数出表_Excel!E63</f>
        <v>#N/A</v>
      </c>
      <c r="I63" s="46"/>
      <c r="J63" s="46" t="e">
        <f>数出表_Excel!F63</f>
        <v>#N/A</v>
      </c>
      <c r="K63" s="46"/>
      <c r="L63" s="46" t="e">
        <f>数出表_Excel!G63</f>
        <v>#N/A</v>
      </c>
      <c r="M63" s="46"/>
      <c r="N63" s="46" t="e">
        <f>数出表_Excel!H63</f>
        <v>#N/A</v>
      </c>
      <c r="O63" s="46"/>
      <c r="P63" s="46" t="e">
        <f>数出表_Excel!I63</f>
        <v>#N/A</v>
      </c>
      <c r="Q63" s="46"/>
      <c r="R63" s="46" t="e">
        <f>数出表_Excel!J63</f>
        <v>#N/A</v>
      </c>
      <c r="S63" s="46"/>
      <c r="T63" s="46" t="e">
        <f>数出表_Excel!K63</f>
        <v>#N/A</v>
      </c>
      <c r="U63" s="46"/>
      <c r="V63" s="46" t="e">
        <f>数出表_Excel!L63</f>
        <v>#N/A</v>
      </c>
      <c r="W63" s="46"/>
      <c r="X63" s="46" t="e">
        <f>数出表_Excel!M63</f>
        <v>#N/A</v>
      </c>
      <c r="Y63" s="46"/>
      <c r="Z63" s="46" t="e">
        <f>数出表_Excel!N63</f>
        <v>#N/A</v>
      </c>
      <c r="AA63" s="46"/>
      <c r="AB63" s="46" t="e">
        <f>数出表_Excel!O63</f>
        <v>#N/A</v>
      </c>
      <c r="AC63" s="46"/>
      <c r="AD63" s="46" t="e">
        <f>数出表_Excel!P63</f>
        <v>#N/A</v>
      </c>
      <c r="AE63" s="46"/>
      <c r="AF63" s="46" t="e">
        <f>数出表_Excel!Q63</f>
        <v>#N/A</v>
      </c>
      <c r="AG63" s="46"/>
      <c r="AH63" s="46" t="e">
        <f>数出表_Excel!R63</f>
        <v>#N/A</v>
      </c>
      <c r="AI63" s="46"/>
      <c r="AJ63" s="46" t="e">
        <f>数出表_Excel!T63</f>
        <v>#N/A</v>
      </c>
      <c r="AK63" s="46"/>
      <c r="AL63" s="46" t="e">
        <f>数出表_Excel!T63</f>
        <v>#N/A</v>
      </c>
      <c r="AM63" s="8" t="e">
        <f>数出表_Excel!V63</f>
        <v>#N/A</v>
      </c>
      <c r="AN63" s="9" t="e">
        <f>数出表_Excel!W63</f>
        <v>#N/A</v>
      </c>
    </row>
    <row r="64" spans="1:40" x14ac:dyDescent="0.45">
      <c r="A64" s="5" t="e">
        <f>数出表_Excel!A64</f>
        <v>#N/A</v>
      </c>
      <c r="B64" s="16" t="e">
        <f>数出表_Excel!B64</f>
        <v>#N/A</v>
      </c>
      <c r="C64" s="60"/>
      <c r="D64" s="16" t="e">
        <f>数出表_Excel!C64</f>
        <v>#N/A</v>
      </c>
      <c r="E64" s="60"/>
      <c r="F64" s="16" t="e">
        <f>数出表_Excel!D64</f>
        <v>#N/A</v>
      </c>
      <c r="G64" s="60"/>
      <c r="H64" s="16" t="e">
        <f>数出表_Excel!E64</f>
        <v>#N/A</v>
      </c>
      <c r="I64" s="60"/>
      <c r="J64" s="16" t="e">
        <f>数出表_Excel!F64</f>
        <v>#N/A</v>
      </c>
      <c r="K64" s="60"/>
      <c r="L64" s="16" t="e">
        <f>数出表_Excel!G64</f>
        <v>#N/A</v>
      </c>
      <c r="M64" s="60"/>
      <c r="N64" s="16" t="e">
        <f>数出表_Excel!H64</f>
        <v>#N/A</v>
      </c>
      <c r="O64" s="60"/>
      <c r="P64" s="16" t="e">
        <f>数出表_Excel!I64</f>
        <v>#N/A</v>
      </c>
      <c r="Q64" s="60"/>
      <c r="R64" s="16" t="e">
        <f>数出表_Excel!J64</f>
        <v>#N/A</v>
      </c>
      <c r="S64" s="60"/>
      <c r="T64" s="16" t="e">
        <f>数出表_Excel!K64</f>
        <v>#N/A</v>
      </c>
      <c r="U64" s="60"/>
      <c r="V64" s="16" t="e">
        <f>数出表_Excel!L64</f>
        <v>#N/A</v>
      </c>
      <c r="W64" s="60"/>
      <c r="X64" s="16" t="e">
        <f>数出表_Excel!M64</f>
        <v>#N/A</v>
      </c>
      <c r="Y64" s="60"/>
      <c r="Z64" s="16" t="e">
        <f>数出表_Excel!N64</f>
        <v>#N/A</v>
      </c>
      <c r="AA64" s="60"/>
      <c r="AB64" s="16" t="e">
        <f>数出表_Excel!O64</f>
        <v>#N/A</v>
      </c>
      <c r="AC64" s="60"/>
      <c r="AD64" s="16" t="e">
        <f>数出表_Excel!P64</f>
        <v>#N/A</v>
      </c>
      <c r="AE64" s="60"/>
      <c r="AF64" s="16" t="e">
        <f>数出表_Excel!Q64</f>
        <v>#N/A</v>
      </c>
      <c r="AG64" s="60"/>
      <c r="AH64" s="16" t="e">
        <f>数出表_Excel!R64</f>
        <v>#N/A</v>
      </c>
      <c r="AI64" s="60"/>
      <c r="AJ64" s="16" t="e">
        <f>数出表_Excel!T64</f>
        <v>#N/A</v>
      </c>
      <c r="AK64" s="60"/>
      <c r="AL64" s="16" t="e">
        <f>数出表_Excel!T64</f>
        <v>#N/A</v>
      </c>
      <c r="AM64" s="5" t="e">
        <f>数出表_Excel!V64</f>
        <v>#N/A</v>
      </c>
      <c r="AN64" s="7" t="e">
        <f>数出表_Excel!W64</f>
        <v>#N/A</v>
      </c>
    </row>
    <row r="65" spans="1:40" x14ac:dyDescent="0.45">
      <c r="A65" s="8" t="e">
        <f>数出表_Excel!A65</f>
        <v>#N/A</v>
      </c>
      <c r="B65" s="46" t="e">
        <f>数出表_Excel!B65</f>
        <v>#N/A</v>
      </c>
      <c r="C65" s="46"/>
      <c r="D65" s="46" t="e">
        <f>数出表_Excel!C65</f>
        <v>#N/A</v>
      </c>
      <c r="E65" s="46"/>
      <c r="F65" s="46" t="e">
        <f>数出表_Excel!D65</f>
        <v>#N/A</v>
      </c>
      <c r="G65" s="46"/>
      <c r="H65" s="46" t="e">
        <f>数出表_Excel!E65</f>
        <v>#N/A</v>
      </c>
      <c r="I65" s="46"/>
      <c r="J65" s="46" t="e">
        <f>数出表_Excel!F65</f>
        <v>#N/A</v>
      </c>
      <c r="K65" s="46"/>
      <c r="L65" s="46" t="e">
        <f>数出表_Excel!G65</f>
        <v>#N/A</v>
      </c>
      <c r="M65" s="46"/>
      <c r="N65" s="46" t="e">
        <f>数出表_Excel!H65</f>
        <v>#N/A</v>
      </c>
      <c r="O65" s="46"/>
      <c r="P65" s="46" t="e">
        <f>数出表_Excel!I65</f>
        <v>#N/A</v>
      </c>
      <c r="Q65" s="46"/>
      <c r="R65" s="46" t="e">
        <f>数出表_Excel!J65</f>
        <v>#N/A</v>
      </c>
      <c r="S65" s="46"/>
      <c r="T65" s="46" t="e">
        <f>数出表_Excel!K65</f>
        <v>#N/A</v>
      </c>
      <c r="U65" s="46"/>
      <c r="V65" s="46" t="e">
        <f>数出表_Excel!L65</f>
        <v>#N/A</v>
      </c>
      <c r="W65" s="46"/>
      <c r="X65" s="46" t="e">
        <f>数出表_Excel!M65</f>
        <v>#N/A</v>
      </c>
      <c r="Y65" s="46"/>
      <c r="Z65" s="46" t="e">
        <f>数出表_Excel!N65</f>
        <v>#N/A</v>
      </c>
      <c r="AA65" s="46"/>
      <c r="AB65" s="46" t="e">
        <f>数出表_Excel!O65</f>
        <v>#N/A</v>
      </c>
      <c r="AC65" s="46"/>
      <c r="AD65" s="46" t="e">
        <f>数出表_Excel!P65</f>
        <v>#N/A</v>
      </c>
      <c r="AE65" s="46"/>
      <c r="AF65" s="46" t="e">
        <f>数出表_Excel!Q65</f>
        <v>#N/A</v>
      </c>
      <c r="AG65" s="46"/>
      <c r="AH65" s="46" t="e">
        <f>数出表_Excel!R65</f>
        <v>#N/A</v>
      </c>
      <c r="AI65" s="46"/>
      <c r="AJ65" s="46" t="e">
        <f>数出表_Excel!T65</f>
        <v>#N/A</v>
      </c>
      <c r="AK65" s="46"/>
      <c r="AL65" s="46" t="e">
        <f>数出表_Excel!T65</f>
        <v>#N/A</v>
      </c>
      <c r="AM65" s="8" t="e">
        <f>数出表_Excel!V65</f>
        <v>#N/A</v>
      </c>
      <c r="AN65" s="9" t="e">
        <f>数出表_Excel!W65</f>
        <v>#N/A</v>
      </c>
    </row>
    <row r="66" spans="1:40" x14ac:dyDescent="0.45">
      <c r="A66" s="5" t="e">
        <f>数出表_Excel!A66</f>
        <v>#N/A</v>
      </c>
      <c r="B66" s="16" t="e">
        <f>数出表_Excel!B66</f>
        <v>#N/A</v>
      </c>
      <c r="C66" s="60"/>
      <c r="D66" s="16" t="e">
        <f>数出表_Excel!C66</f>
        <v>#N/A</v>
      </c>
      <c r="E66" s="60"/>
      <c r="F66" s="16" t="e">
        <f>数出表_Excel!D66</f>
        <v>#N/A</v>
      </c>
      <c r="G66" s="60"/>
      <c r="H66" s="16" t="e">
        <f>数出表_Excel!E66</f>
        <v>#N/A</v>
      </c>
      <c r="I66" s="60"/>
      <c r="J66" s="16" t="e">
        <f>数出表_Excel!F66</f>
        <v>#N/A</v>
      </c>
      <c r="K66" s="60"/>
      <c r="L66" s="16" t="e">
        <f>数出表_Excel!G66</f>
        <v>#N/A</v>
      </c>
      <c r="M66" s="60"/>
      <c r="N66" s="16" t="e">
        <f>数出表_Excel!H66</f>
        <v>#N/A</v>
      </c>
      <c r="O66" s="60"/>
      <c r="P66" s="16" t="e">
        <f>数出表_Excel!I66</f>
        <v>#N/A</v>
      </c>
      <c r="Q66" s="60"/>
      <c r="R66" s="16" t="e">
        <f>数出表_Excel!J66</f>
        <v>#N/A</v>
      </c>
      <c r="S66" s="60"/>
      <c r="T66" s="16" t="e">
        <f>数出表_Excel!K66</f>
        <v>#N/A</v>
      </c>
      <c r="U66" s="60"/>
      <c r="V66" s="16" t="e">
        <f>数出表_Excel!L66</f>
        <v>#N/A</v>
      </c>
      <c r="W66" s="60"/>
      <c r="X66" s="16" t="e">
        <f>数出表_Excel!M66</f>
        <v>#N/A</v>
      </c>
      <c r="Y66" s="60"/>
      <c r="Z66" s="16" t="e">
        <f>数出表_Excel!N66</f>
        <v>#N/A</v>
      </c>
      <c r="AA66" s="60"/>
      <c r="AB66" s="16" t="e">
        <f>数出表_Excel!O66</f>
        <v>#N/A</v>
      </c>
      <c r="AC66" s="60"/>
      <c r="AD66" s="16" t="e">
        <f>数出表_Excel!P66</f>
        <v>#N/A</v>
      </c>
      <c r="AE66" s="60"/>
      <c r="AF66" s="16" t="e">
        <f>数出表_Excel!Q66</f>
        <v>#N/A</v>
      </c>
      <c r="AG66" s="60"/>
      <c r="AH66" s="16" t="e">
        <f>数出表_Excel!R66</f>
        <v>#N/A</v>
      </c>
      <c r="AI66" s="60"/>
      <c r="AJ66" s="16" t="e">
        <f>数出表_Excel!T66</f>
        <v>#N/A</v>
      </c>
      <c r="AK66" s="60"/>
      <c r="AL66" s="16" t="e">
        <f>数出表_Excel!T66</f>
        <v>#N/A</v>
      </c>
      <c r="AM66" s="5" t="e">
        <f>数出表_Excel!V66</f>
        <v>#N/A</v>
      </c>
      <c r="AN66" s="7" t="e">
        <f>数出表_Excel!W66</f>
        <v>#N/A</v>
      </c>
    </row>
    <row r="67" spans="1:40" x14ac:dyDescent="0.45">
      <c r="A67" s="8" t="e">
        <f>数出表_Excel!A67</f>
        <v>#N/A</v>
      </c>
      <c r="B67" s="46" t="e">
        <f>数出表_Excel!B67</f>
        <v>#N/A</v>
      </c>
      <c r="C67" s="46"/>
      <c r="D67" s="46" t="e">
        <f>数出表_Excel!C67</f>
        <v>#N/A</v>
      </c>
      <c r="E67" s="46"/>
      <c r="F67" s="46" t="e">
        <f>数出表_Excel!D67</f>
        <v>#N/A</v>
      </c>
      <c r="G67" s="46"/>
      <c r="H67" s="46" t="e">
        <f>数出表_Excel!E67</f>
        <v>#N/A</v>
      </c>
      <c r="I67" s="46"/>
      <c r="J67" s="46" t="e">
        <f>数出表_Excel!F67</f>
        <v>#N/A</v>
      </c>
      <c r="K67" s="46"/>
      <c r="L67" s="46" t="e">
        <f>数出表_Excel!G67</f>
        <v>#N/A</v>
      </c>
      <c r="M67" s="46"/>
      <c r="N67" s="46" t="e">
        <f>数出表_Excel!H67</f>
        <v>#N/A</v>
      </c>
      <c r="O67" s="46"/>
      <c r="P67" s="46" t="e">
        <f>数出表_Excel!I67</f>
        <v>#N/A</v>
      </c>
      <c r="Q67" s="46"/>
      <c r="R67" s="46" t="e">
        <f>数出表_Excel!J67</f>
        <v>#N/A</v>
      </c>
      <c r="S67" s="46"/>
      <c r="T67" s="46" t="e">
        <f>数出表_Excel!K67</f>
        <v>#N/A</v>
      </c>
      <c r="U67" s="46"/>
      <c r="V67" s="46" t="e">
        <f>数出表_Excel!L67</f>
        <v>#N/A</v>
      </c>
      <c r="W67" s="46"/>
      <c r="X67" s="46" t="e">
        <f>数出表_Excel!M67</f>
        <v>#N/A</v>
      </c>
      <c r="Y67" s="46"/>
      <c r="Z67" s="46" t="e">
        <f>数出表_Excel!N67</f>
        <v>#N/A</v>
      </c>
      <c r="AA67" s="46"/>
      <c r="AB67" s="46" t="e">
        <f>数出表_Excel!O67</f>
        <v>#N/A</v>
      </c>
      <c r="AC67" s="46"/>
      <c r="AD67" s="46" t="e">
        <f>数出表_Excel!P67</f>
        <v>#N/A</v>
      </c>
      <c r="AE67" s="46"/>
      <c r="AF67" s="46" t="e">
        <f>数出表_Excel!Q67</f>
        <v>#N/A</v>
      </c>
      <c r="AG67" s="46"/>
      <c r="AH67" s="46" t="e">
        <f>数出表_Excel!R67</f>
        <v>#N/A</v>
      </c>
      <c r="AI67" s="46"/>
      <c r="AJ67" s="46" t="e">
        <f>数出表_Excel!T67</f>
        <v>#N/A</v>
      </c>
      <c r="AK67" s="46"/>
      <c r="AL67" s="46" t="e">
        <f>数出表_Excel!T67</f>
        <v>#N/A</v>
      </c>
      <c r="AM67" s="8" t="e">
        <f>数出表_Excel!V67</f>
        <v>#N/A</v>
      </c>
      <c r="AN67" s="9" t="e">
        <f>数出表_Excel!W67</f>
        <v>#N/A</v>
      </c>
    </row>
    <row r="68" spans="1:40" x14ac:dyDescent="0.45">
      <c r="A68" s="5" t="e">
        <f>数出表_Excel!A68</f>
        <v>#N/A</v>
      </c>
      <c r="B68" s="16" t="e">
        <f>数出表_Excel!B68</f>
        <v>#N/A</v>
      </c>
      <c r="C68" s="60"/>
      <c r="D68" s="16" t="e">
        <f>数出表_Excel!C68</f>
        <v>#N/A</v>
      </c>
      <c r="E68" s="60"/>
      <c r="F68" s="16" t="e">
        <f>数出表_Excel!D68</f>
        <v>#N/A</v>
      </c>
      <c r="G68" s="60"/>
      <c r="H68" s="16" t="e">
        <f>数出表_Excel!E68</f>
        <v>#N/A</v>
      </c>
      <c r="I68" s="60"/>
      <c r="J68" s="16" t="e">
        <f>数出表_Excel!F68</f>
        <v>#N/A</v>
      </c>
      <c r="K68" s="60"/>
      <c r="L68" s="16" t="e">
        <f>数出表_Excel!G68</f>
        <v>#N/A</v>
      </c>
      <c r="M68" s="60"/>
      <c r="N68" s="16" t="e">
        <f>数出表_Excel!H68</f>
        <v>#N/A</v>
      </c>
      <c r="O68" s="60"/>
      <c r="P68" s="16" t="e">
        <f>数出表_Excel!I68</f>
        <v>#N/A</v>
      </c>
      <c r="Q68" s="60"/>
      <c r="R68" s="16" t="e">
        <f>数出表_Excel!J68</f>
        <v>#N/A</v>
      </c>
      <c r="S68" s="60"/>
      <c r="T68" s="16" t="e">
        <f>数出表_Excel!K68</f>
        <v>#N/A</v>
      </c>
      <c r="U68" s="60"/>
      <c r="V68" s="16" t="e">
        <f>数出表_Excel!L68</f>
        <v>#N/A</v>
      </c>
      <c r="W68" s="60"/>
      <c r="X68" s="16" t="e">
        <f>数出表_Excel!M68</f>
        <v>#N/A</v>
      </c>
      <c r="Y68" s="60"/>
      <c r="Z68" s="16" t="e">
        <f>数出表_Excel!N68</f>
        <v>#N/A</v>
      </c>
      <c r="AA68" s="60"/>
      <c r="AB68" s="16" t="e">
        <f>数出表_Excel!O68</f>
        <v>#N/A</v>
      </c>
      <c r="AC68" s="60"/>
      <c r="AD68" s="16" t="e">
        <f>数出表_Excel!P68</f>
        <v>#N/A</v>
      </c>
      <c r="AE68" s="60"/>
      <c r="AF68" s="16" t="e">
        <f>数出表_Excel!Q68</f>
        <v>#N/A</v>
      </c>
      <c r="AG68" s="60"/>
      <c r="AH68" s="16" t="e">
        <f>数出表_Excel!R68</f>
        <v>#N/A</v>
      </c>
      <c r="AI68" s="60"/>
      <c r="AJ68" s="16" t="e">
        <f>数出表_Excel!T68</f>
        <v>#N/A</v>
      </c>
      <c r="AK68" s="60"/>
      <c r="AL68" s="16" t="e">
        <f>数出表_Excel!T68</f>
        <v>#N/A</v>
      </c>
      <c r="AM68" s="5" t="e">
        <f>数出表_Excel!V68</f>
        <v>#N/A</v>
      </c>
      <c r="AN68" s="7" t="e">
        <f>数出表_Excel!W68</f>
        <v>#N/A</v>
      </c>
    </row>
    <row r="69" spans="1:40" x14ac:dyDescent="0.45">
      <c r="A69" s="8" t="e">
        <f>数出表_Excel!A69</f>
        <v>#N/A</v>
      </c>
      <c r="B69" s="46" t="e">
        <f>数出表_Excel!B69</f>
        <v>#N/A</v>
      </c>
      <c r="C69" s="46"/>
      <c r="D69" s="46" t="e">
        <f>数出表_Excel!C69</f>
        <v>#N/A</v>
      </c>
      <c r="E69" s="46"/>
      <c r="F69" s="46" t="e">
        <f>数出表_Excel!D69</f>
        <v>#N/A</v>
      </c>
      <c r="G69" s="46"/>
      <c r="H69" s="46" t="e">
        <f>数出表_Excel!E69</f>
        <v>#N/A</v>
      </c>
      <c r="I69" s="46"/>
      <c r="J69" s="46" t="e">
        <f>数出表_Excel!F69</f>
        <v>#N/A</v>
      </c>
      <c r="K69" s="46"/>
      <c r="L69" s="46" t="e">
        <f>数出表_Excel!G69</f>
        <v>#N/A</v>
      </c>
      <c r="M69" s="46"/>
      <c r="N69" s="46" t="e">
        <f>数出表_Excel!H69</f>
        <v>#N/A</v>
      </c>
      <c r="O69" s="46"/>
      <c r="P69" s="46" t="e">
        <f>数出表_Excel!I69</f>
        <v>#N/A</v>
      </c>
      <c r="Q69" s="46"/>
      <c r="R69" s="46" t="e">
        <f>数出表_Excel!J69</f>
        <v>#N/A</v>
      </c>
      <c r="S69" s="46"/>
      <c r="T69" s="46" t="e">
        <f>数出表_Excel!K69</f>
        <v>#N/A</v>
      </c>
      <c r="U69" s="46"/>
      <c r="V69" s="46" t="e">
        <f>数出表_Excel!L69</f>
        <v>#N/A</v>
      </c>
      <c r="W69" s="46"/>
      <c r="X69" s="46" t="e">
        <f>数出表_Excel!M69</f>
        <v>#N/A</v>
      </c>
      <c r="Y69" s="46"/>
      <c r="Z69" s="46" t="e">
        <f>数出表_Excel!N69</f>
        <v>#N/A</v>
      </c>
      <c r="AA69" s="46"/>
      <c r="AB69" s="46" t="e">
        <f>数出表_Excel!O69</f>
        <v>#N/A</v>
      </c>
      <c r="AC69" s="46"/>
      <c r="AD69" s="46" t="e">
        <f>数出表_Excel!P69</f>
        <v>#N/A</v>
      </c>
      <c r="AE69" s="46"/>
      <c r="AF69" s="46" t="e">
        <f>数出表_Excel!Q69</f>
        <v>#N/A</v>
      </c>
      <c r="AG69" s="46"/>
      <c r="AH69" s="46" t="e">
        <f>数出表_Excel!R69</f>
        <v>#N/A</v>
      </c>
      <c r="AI69" s="46"/>
      <c r="AJ69" s="46" t="e">
        <f>数出表_Excel!T69</f>
        <v>#N/A</v>
      </c>
      <c r="AK69" s="46"/>
      <c r="AL69" s="46" t="e">
        <f>数出表_Excel!T69</f>
        <v>#N/A</v>
      </c>
      <c r="AM69" s="8" t="e">
        <f>数出表_Excel!V69</f>
        <v>#N/A</v>
      </c>
      <c r="AN69" s="9" t="e">
        <f>数出表_Excel!W69</f>
        <v>#N/A</v>
      </c>
    </row>
    <row r="70" spans="1:40" x14ac:dyDescent="0.45">
      <c r="A70" s="5" t="e">
        <f>数出表_Excel!A70</f>
        <v>#N/A</v>
      </c>
      <c r="B70" s="16" t="e">
        <f>数出表_Excel!B70</f>
        <v>#N/A</v>
      </c>
      <c r="C70" s="60"/>
      <c r="D70" s="16" t="e">
        <f>数出表_Excel!C70</f>
        <v>#N/A</v>
      </c>
      <c r="E70" s="60"/>
      <c r="F70" s="16" t="e">
        <f>数出表_Excel!D70</f>
        <v>#N/A</v>
      </c>
      <c r="G70" s="60"/>
      <c r="H70" s="16" t="e">
        <f>数出表_Excel!E70</f>
        <v>#N/A</v>
      </c>
      <c r="I70" s="60"/>
      <c r="J70" s="16" t="e">
        <f>数出表_Excel!F70</f>
        <v>#N/A</v>
      </c>
      <c r="K70" s="60"/>
      <c r="L70" s="16" t="e">
        <f>数出表_Excel!G70</f>
        <v>#N/A</v>
      </c>
      <c r="M70" s="60"/>
      <c r="N70" s="16" t="e">
        <f>数出表_Excel!H70</f>
        <v>#N/A</v>
      </c>
      <c r="O70" s="60"/>
      <c r="P70" s="16" t="e">
        <f>数出表_Excel!I70</f>
        <v>#N/A</v>
      </c>
      <c r="Q70" s="60"/>
      <c r="R70" s="16" t="e">
        <f>数出表_Excel!J70</f>
        <v>#N/A</v>
      </c>
      <c r="S70" s="60"/>
      <c r="T70" s="16" t="e">
        <f>数出表_Excel!K70</f>
        <v>#N/A</v>
      </c>
      <c r="U70" s="60"/>
      <c r="V70" s="16" t="e">
        <f>数出表_Excel!L70</f>
        <v>#N/A</v>
      </c>
      <c r="W70" s="60"/>
      <c r="X70" s="16" t="e">
        <f>数出表_Excel!M70</f>
        <v>#N/A</v>
      </c>
      <c r="Y70" s="60"/>
      <c r="Z70" s="16" t="e">
        <f>数出表_Excel!N70</f>
        <v>#N/A</v>
      </c>
      <c r="AA70" s="60"/>
      <c r="AB70" s="16" t="e">
        <f>数出表_Excel!O70</f>
        <v>#N/A</v>
      </c>
      <c r="AC70" s="60"/>
      <c r="AD70" s="16" t="e">
        <f>数出表_Excel!P70</f>
        <v>#N/A</v>
      </c>
      <c r="AE70" s="60"/>
      <c r="AF70" s="16" t="e">
        <f>数出表_Excel!Q70</f>
        <v>#N/A</v>
      </c>
      <c r="AG70" s="60"/>
      <c r="AH70" s="16" t="e">
        <f>数出表_Excel!R70</f>
        <v>#N/A</v>
      </c>
      <c r="AI70" s="60"/>
      <c r="AJ70" s="16" t="e">
        <f>数出表_Excel!T70</f>
        <v>#N/A</v>
      </c>
      <c r="AK70" s="60"/>
      <c r="AL70" s="16" t="e">
        <f>数出表_Excel!T70</f>
        <v>#N/A</v>
      </c>
      <c r="AM70" s="5" t="e">
        <f>数出表_Excel!V70</f>
        <v>#N/A</v>
      </c>
      <c r="AN70" s="7" t="e">
        <f>数出表_Excel!W70</f>
        <v>#N/A</v>
      </c>
    </row>
    <row r="71" spans="1:40" x14ac:dyDescent="0.45">
      <c r="A71" s="8" t="e">
        <f>数出表_Excel!A71</f>
        <v>#N/A</v>
      </c>
      <c r="B71" s="46" t="e">
        <f>数出表_Excel!B71</f>
        <v>#N/A</v>
      </c>
      <c r="C71" s="46"/>
      <c r="D71" s="46" t="e">
        <f>数出表_Excel!C71</f>
        <v>#N/A</v>
      </c>
      <c r="E71" s="46"/>
      <c r="F71" s="46" t="e">
        <f>数出表_Excel!D71</f>
        <v>#N/A</v>
      </c>
      <c r="G71" s="46"/>
      <c r="H71" s="46" t="e">
        <f>数出表_Excel!E71</f>
        <v>#N/A</v>
      </c>
      <c r="I71" s="46"/>
      <c r="J71" s="46" t="e">
        <f>数出表_Excel!F71</f>
        <v>#N/A</v>
      </c>
      <c r="K71" s="46"/>
      <c r="L71" s="46" t="e">
        <f>数出表_Excel!G71</f>
        <v>#N/A</v>
      </c>
      <c r="M71" s="46"/>
      <c r="N71" s="46" t="e">
        <f>数出表_Excel!H71</f>
        <v>#N/A</v>
      </c>
      <c r="O71" s="46"/>
      <c r="P71" s="46" t="e">
        <f>数出表_Excel!I71</f>
        <v>#N/A</v>
      </c>
      <c r="Q71" s="46"/>
      <c r="R71" s="46" t="e">
        <f>数出表_Excel!J71</f>
        <v>#N/A</v>
      </c>
      <c r="S71" s="46"/>
      <c r="T71" s="46" t="e">
        <f>数出表_Excel!K71</f>
        <v>#N/A</v>
      </c>
      <c r="U71" s="46"/>
      <c r="V71" s="46" t="e">
        <f>数出表_Excel!L71</f>
        <v>#N/A</v>
      </c>
      <c r="W71" s="46"/>
      <c r="X71" s="46" t="e">
        <f>数出表_Excel!M71</f>
        <v>#N/A</v>
      </c>
      <c r="Y71" s="46"/>
      <c r="Z71" s="46" t="e">
        <f>数出表_Excel!N71</f>
        <v>#N/A</v>
      </c>
      <c r="AA71" s="46"/>
      <c r="AB71" s="46" t="e">
        <f>数出表_Excel!O71</f>
        <v>#N/A</v>
      </c>
      <c r="AC71" s="46"/>
      <c r="AD71" s="46" t="e">
        <f>数出表_Excel!P71</f>
        <v>#N/A</v>
      </c>
      <c r="AE71" s="46"/>
      <c r="AF71" s="46" t="e">
        <f>数出表_Excel!Q71</f>
        <v>#N/A</v>
      </c>
      <c r="AG71" s="46"/>
      <c r="AH71" s="46" t="e">
        <f>数出表_Excel!R71</f>
        <v>#N/A</v>
      </c>
      <c r="AI71" s="46"/>
      <c r="AJ71" s="46" t="e">
        <f>数出表_Excel!T71</f>
        <v>#N/A</v>
      </c>
      <c r="AK71" s="46"/>
      <c r="AL71" s="46" t="e">
        <f>数出表_Excel!T71</f>
        <v>#N/A</v>
      </c>
      <c r="AM71" s="8" t="e">
        <f>数出表_Excel!V71</f>
        <v>#N/A</v>
      </c>
      <c r="AN71" s="9" t="e">
        <f>数出表_Excel!W71</f>
        <v>#N/A</v>
      </c>
    </row>
    <row r="72" spans="1:40" x14ac:dyDescent="0.45">
      <c r="A72" s="5" t="e">
        <f>数出表_Excel!A72</f>
        <v>#N/A</v>
      </c>
      <c r="B72" s="16" t="e">
        <f>数出表_Excel!B72</f>
        <v>#N/A</v>
      </c>
      <c r="C72" s="60"/>
      <c r="D72" s="16" t="e">
        <f>数出表_Excel!C72</f>
        <v>#N/A</v>
      </c>
      <c r="E72" s="60"/>
      <c r="F72" s="16" t="e">
        <f>数出表_Excel!D72</f>
        <v>#N/A</v>
      </c>
      <c r="G72" s="60"/>
      <c r="H72" s="16" t="e">
        <f>数出表_Excel!E72</f>
        <v>#N/A</v>
      </c>
      <c r="I72" s="60"/>
      <c r="J72" s="16" t="e">
        <f>数出表_Excel!F72</f>
        <v>#N/A</v>
      </c>
      <c r="K72" s="60"/>
      <c r="L72" s="16" t="e">
        <f>数出表_Excel!G72</f>
        <v>#N/A</v>
      </c>
      <c r="M72" s="60"/>
      <c r="N72" s="16" t="e">
        <f>数出表_Excel!H72</f>
        <v>#N/A</v>
      </c>
      <c r="O72" s="60"/>
      <c r="P72" s="16" t="e">
        <f>数出表_Excel!I72</f>
        <v>#N/A</v>
      </c>
      <c r="Q72" s="60"/>
      <c r="R72" s="16" t="e">
        <f>数出表_Excel!J72</f>
        <v>#N/A</v>
      </c>
      <c r="S72" s="60"/>
      <c r="T72" s="16" t="e">
        <f>数出表_Excel!K72</f>
        <v>#N/A</v>
      </c>
      <c r="U72" s="60"/>
      <c r="V72" s="16" t="e">
        <f>数出表_Excel!L72</f>
        <v>#N/A</v>
      </c>
      <c r="W72" s="60"/>
      <c r="X72" s="16" t="e">
        <f>数出表_Excel!M72</f>
        <v>#N/A</v>
      </c>
      <c r="Y72" s="60"/>
      <c r="Z72" s="16" t="e">
        <f>数出表_Excel!N72</f>
        <v>#N/A</v>
      </c>
      <c r="AA72" s="60"/>
      <c r="AB72" s="16" t="e">
        <f>数出表_Excel!O72</f>
        <v>#N/A</v>
      </c>
      <c r="AC72" s="60"/>
      <c r="AD72" s="16" t="e">
        <f>数出表_Excel!P72</f>
        <v>#N/A</v>
      </c>
      <c r="AE72" s="60"/>
      <c r="AF72" s="16" t="e">
        <f>数出表_Excel!Q72</f>
        <v>#N/A</v>
      </c>
      <c r="AG72" s="60"/>
      <c r="AH72" s="16" t="e">
        <f>数出表_Excel!R72</f>
        <v>#N/A</v>
      </c>
      <c r="AI72" s="60"/>
      <c r="AJ72" s="16" t="e">
        <f>数出表_Excel!T72</f>
        <v>#N/A</v>
      </c>
      <c r="AK72" s="60"/>
      <c r="AL72" s="16" t="e">
        <f>数出表_Excel!T72</f>
        <v>#N/A</v>
      </c>
      <c r="AM72" s="5" t="e">
        <f>数出表_Excel!V72</f>
        <v>#N/A</v>
      </c>
      <c r="AN72" s="7" t="e">
        <f>数出表_Excel!W72</f>
        <v>#N/A</v>
      </c>
    </row>
    <row r="73" spans="1:40" x14ac:dyDescent="0.45">
      <c r="A73" s="8" t="e">
        <f>数出表_Excel!A73</f>
        <v>#N/A</v>
      </c>
      <c r="B73" s="46" t="e">
        <f>数出表_Excel!B73</f>
        <v>#N/A</v>
      </c>
      <c r="C73" s="46"/>
      <c r="D73" s="46" t="e">
        <f>数出表_Excel!C73</f>
        <v>#N/A</v>
      </c>
      <c r="E73" s="46"/>
      <c r="F73" s="46" t="e">
        <f>数出表_Excel!D73</f>
        <v>#N/A</v>
      </c>
      <c r="G73" s="46"/>
      <c r="H73" s="46" t="e">
        <f>数出表_Excel!E73</f>
        <v>#N/A</v>
      </c>
      <c r="I73" s="46"/>
      <c r="J73" s="46" t="e">
        <f>数出表_Excel!F73</f>
        <v>#N/A</v>
      </c>
      <c r="K73" s="46"/>
      <c r="L73" s="46" t="e">
        <f>数出表_Excel!G73</f>
        <v>#N/A</v>
      </c>
      <c r="M73" s="46"/>
      <c r="N73" s="46" t="e">
        <f>数出表_Excel!H73</f>
        <v>#N/A</v>
      </c>
      <c r="O73" s="46"/>
      <c r="P73" s="46" t="e">
        <f>数出表_Excel!I73</f>
        <v>#N/A</v>
      </c>
      <c r="Q73" s="46"/>
      <c r="R73" s="46" t="e">
        <f>数出表_Excel!J73</f>
        <v>#N/A</v>
      </c>
      <c r="S73" s="46"/>
      <c r="T73" s="46" t="e">
        <f>数出表_Excel!K73</f>
        <v>#N/A</v>
      </c>
      <c r="U73" s="46"/>
      <c r="V73" s="46" t="e">
        <f>数出表_Excel!L73</f>
        <v>#N/A</v>
      </c>
      <c r="W73" s="46"/>
      <c r="X73" s="46" t="e">
        <f>数出表_Excel!M73</f>
        <v>#N/A</v>
      </c>
      <c r="Y73" s="46"/>
      <c r="Z73" s="46" t="e">
        <f>数出表_Excel!N73</f>
        <v>#N/A</v>
      </c>
      <c r="AA73" s="46"/>
      <c r="AB73" s="46" t="e">
        <f>数出表_Excel!O73</f>
        <v>#N/A</v>
      </c>
      <c r="AC73" s="46"/>
      <c r="AD73" s="46" t="e">
        <f>数出表_Excel!P73</f>
        <v>#N/A</v>
      </c>
      <c r="AE73" s="46"/>
      <c r="AF73" s="46" t="e">
        <f>数出表_Excel!Q73</f>
        <v>#N/A</v>
      </c>
      <c r="AG73" s="46"/>
      <c r="AH73" s="46" t="e">
        <f>数出表_Excel!R73</f>
        <v>#N/A</v>
      </c>
      <c r="AI73" s="46"/>
      <c r="AJ73" s="46" t="e">
        <f>数出表_Excel!T73</f>
        <v>#N/A</v>
      </c>
      <c r="AK73" s="46"/>
      <c r="AL73" s="46" t="e">
        <f>数出表_Excel!T73</f>
        <v>#N/A</v>
      </c>
      <c r="AM73" s="8" t="e">
        <f>数出表_Excel!V73</f>
        <v>#N/A</v>
      </c>
      <c r="AN73" s="9" t="e">
        <f>数出表_Excel!W73</f>
        <v>#N/A</v>
      </c>
    </row>
    <row r="74" spans="1:40" x14ac:dyDescent="0.45">
      <c r="A74" s="5" t="e">
        <f>数出表_Excel!A74</f>
        <v>#N/A</v>
      </c>
      <c r="B74" s="16" t="e">
        <f>数出表_Excel!B74</f>
        <v>#N/A</v>
      </c>
      <c r="C74" s="60"/>
      <c r="D74" s="16" t="e">
        <f>数出表_Excel!C74</f>
        <v>#N/A</v>
      </c>
      <c r="E74" s="60"/>
      <c r="F74" s="16" t="e">
        <f>数出表_Excel!D74</f>
        <v>#N/A</v>
      </c>
      <c r="G74" s="60"/>
      <c r="H74" s="16" t="e">
        <f>数出表_Excel!E74</f>
        <v>#N/A</v>
      </c>
      <c r="I74" s="60"/>
      <c r="J74" s="16" t="e">
        <f>数出表_Excel!F74</f>
        <v>#N/A</v>
      </c>
      <c r="K74" s="60"/>
      <c r="L74" s="16" t="e">
        <f>数出表_Excel!G74</f>
        <v>#N/A</v>
      </c>
      <c r="M74" s="60"/>
      <c r="N74" s="16" t="e">
        <f>数出表_Excel!H74</f>
        <v>#N/A</v>
      </c>
      <c r="O74" s="60"/>
      <c r="P74" s="16" t="e">
        <f>数出表_Excel!I74</f>
        <v>#N/A</v>
      </c>
      <c r="Q74" s="60"/>
      <c r="R74" s="16" t="e">
        <f>数出表_Excel!J74</f>
        <v>#N/A</v>
      </c>
      <c r="S74" s="60"/>
      <c r="T74" s="16" t="e">
        <f>数出表_Excel!K74</f>
        <v>#N/A</v>
      </c>
      <c r="U74" s="60"/>
      <c r="V74" s="16" t="e">
        <f>数出表_Excel!L74</f>
        <v>#N/A</v>
      </c>
      <c r="W74" s="60"/>
      <c r="X74" s="16" t="e">
        <f>数出表_Excel!M74</f>
        <v>#N/A</v>
      </c>
      <c r="Y74" s="60"/>
      <c r="Z74" s="16" t="e">
        <f>数出表_Excel!N74</f>
        <v>#N/A</v>
      </c>
      <c r="AA74" s="60"/>
      <c r="AB74" s="16" t="e">
        <f>数出表_Excel!O74</f>
        <v>#N/A</v>
      </c>
      <c r="AC74" s="60"/>
      <c r="AD74" s="16" t="e">
        <f>数出表_Excel!P74</f>
        <v>#N/A</v>
      </c>
      <c r="AE74" s="60"/>
      <c r="AF74" s="16" t="e">
        <f>数出表_Excel!Q74</f>
        <v>#N/A</v>
      </c>
      <c r="AG74" s="60"/>
      <c r="AH74" s="16" t="e">
        <f>数出表_Excel!R74</f>
        <v>#N/A</v>
      </c>
      <c r="AI74" s="60"/>
      <c r="AJ74" s="16" t="e">
        <f>数出表_Excel!T74</f>
        <v>#N/A</v>
      </c>
      <c r="AK74" s="60"/>
      <c r="AL74" s="16" t="e">
        <f>数出表_Excel!T74</f>
        <v>#N/A</v>
      </c>
      <c r="AM74" s="5" t="e">
        <f>数出表_Excel!V74</f>
        <v>#N/A</v>
      </c>
      <c r="AN74" s="7" t="e">
        <f>数出表_Excel!W74</f>
        <v>#N/A</v>
      </c>
    </row>
    <row r="75" spans="1:40" x14ac:dyDescent="0.45">
      <c r="A75" s="8" t="e">
        <f>数出表_Excel!A75</f>
        <v>#N/A</v>
      </c>
      <c r="B75" s="46" t="e">
        <f>数出表_Excel!B75</f>
        <v>#N/A</v>
      </c>
      <c r="C75" s="46"/>
      <c r="D75" s="46" t="e">
        <f>数出表_Excel!C75</f>
        <v>#N/A</v>
      </c>
      <c r="E75" s="46"/>
      <c r="F75" s="46" t="e">
        <f>数出表_Excel!D75</f>
        <v>#N/A</v>
      </c>
      <c r="G75" s="46"/>
      <c r="H75" s="46" t="e">
        <f>数出表_Excel!E75</f>
        <v>#N/A</v>
      </c>
      <c r="I75" s="46"/>
      <c r="J75" s="46" t="e">
        <f>数出表_Excel!F75</f>
        <v>#N/A</v>
      </c>
      <c r="K75" s="46"/>
      <c r="L75" s="46" t="e">
        <f>数出表_Excel!G75</f>
        <v>#N/A</v>
      </c>
      <c r="M75" s="46"/>
      <c r="N75" s="46" t="e">
        <f>数出表_Excel!H75</f>
        <v>#N/A</v>
      </c>
      <c r="O75" s="46"/>
      <c r="P75" s="46" t="e">
        <f>数出表_Excel!I75</f>
        <v>#N/A</v>
      </c>
      <c r="Q75" s="46"/>
      <c r="R75" s="46" t="e">
        <f>数出表_Excel!J75</f>
        <v>#N/A</v>
      </c>
      <c r="S75" s="46"/>
      <c r="T75" s="46" t="e">
        <f>数出表_Excel!K75</f>
        <v>#N/A</v>
      </c>
      <c r="U75" s="46"/>
      <c r="V75" s="46" t="e">
        <f>数出表_Excel!L75</f>
        <v>#N/A</v>
      </c>
      <c r="W75" s="46"/>
      <c r="X75" s="46" t="e">
        <f>数出表_Excel!M75</f>
        <v>#N/A</v>
      </c>
      <c r="Y75" s="46"/>
      <c r="Z75" s="46" t="e">
        <f>数出表_Excel!N75</f>
        <v>#N/A</v>
      </c>
      <c r="AA75" s="46"/>
      <c r="AB75" s="46" t="e">
        <f>数出表_Excel!O75</f>
        <v>#N/A</v>
      </c>
      <c r="AC75" s="46"/>
      <c r="AD75" s="46" t="e">
        <f>数出表_Excel!P75</f>
        <v>#N/A</v>
      </c>
      <c r="AE75" s="46"/>
      <c r="AF75" s="46" t="e">
        <f>数出表_Excel!Q75</f>
        <v>#N/A</v>
      </c>
      <c r="AG75" s="46"/>
      <c r="AH75" s="46" t="e">
        <f>数出表_Excel!R75</f>
        <v>#N/A</v>
      </c>
      <c r="AI75" s="46"/>
      <c r="AJ75" s="46" t="e">
        <f>数出表_Excel!T75</f>
        <v>#N/A</v>
      </c>
      <c r="AK75" s="46"/>
      <c r="AL75" s="46" t="e">
        <f>数出表_Excel!T75</f>
        <v>#N/A</v>
      </c>
      <c r="AM75" s="8" t="e">
        <f>数出表_Excel!V75</f>
        <v>#N/A</v>
      </c>
      <c r="AN75" s="9" t="e">
        <f>数出表_Excel!W75</f>
        <v>#N/A</v>
      </c>
    </row>
    <row r="76" spans="1:40" x14ac:dyDescent="0.45">
      <c r="A76" s="5" t="e">
        <f>数出表_Excel!A76</f>
        <v>#N/A</v>
      </c>
      <c r="B76" s="16" t="e">
        <f>数出表_Excel!B76</f>
        <v>#N/A</v>
      </c>
      <c r="C76" s="60"/>
      <c r="D76" s="16" t="e">
        <f>数出表_Excel!C76</f>
        <v>#N/A</v>
      </c>
      <c r="E76" s="60"/>
      <c r="F76" s="16" t="e">
        <f>数出表_Excel!D76</f>
        <v>#N/A</v>
      </c>
      <c r="G76" s="60"/>
      <c r="H76" s="16" t="e">
        <f>数出表_Excel!E76</f>
        <v>#N/A</v>
      </c>
      <c r="I76" s="60"/>
      <c r="J76" s="16" t="e">
        <f>数出表_Excel!F76</f>
        <v>#N/A</v>
      </c>
      <c r="K76" s="60"/>
      <c r="L76" s="16" t="e">
        <f>数出表_Excel!G76</f>
        <v>#N/A</v>
      </c>
      <c r="M76" s="60"/>
      <c r="N76" s="16" t="e">
        <f>数出表_Excel!H76</f>
        <v>#N/A</v>
      </c>
      <c r="O76" s="60"/>
      <c r="P76" s="16" t="e">
        <f>数出表_Excel!I76</f>
        <v>#N/A</v>
      </c>
      <c r="Q76" s="60"/>
      <c r="R76" s="16" t="e">
        <f>数出表_Excel!J76</f>
        <v>#N/A</v>
      </c>
      <c r="S76" s="60"/>
      <c r="T76" s="16" t="e">
        <f>数出表_Excel!K76</f>
        <v>#N/A</v>
      </c>
      <c r="U76" s="60"/>
      <c r="V76" s="16" t="e">
        <f>数出表_Excel!L76</f>
        <v>#N/A</v>
      </c>
      <c r="W76" s="60"/>
      <c r="X76" s="16" t="e">
        <f>数出表_Excel!M76</f>
        <v>#N/A</v>
      </c>
      <c r="Y76" s="60"/>
      <c r="Z76" s="16" t="e">
        <f>数出表_Excel!N76</f>
        <v>#N/A</v>
      </c>
      <c r="AA76" s="60"/>
      <c r="AB76" s="16" t="e">
        <f>数出表_Excel!O76</f>
        <v>#N/A</v>
      </c>
      <c r="AC76" s="60"/>
      <c r="AD76" s="16" t="e">
        <f>数出表_Excel!P76</f>
        <v>#N/A</v>
      </c>
      <c r="AE76" s="60"/>
      <c r="AF76" s="16" t="e">
        <f>数出表_Excel!Q76</f>
        <v>#N/A</v>
      </c>
      <c r="AG76" s="60"/>
      <c r="AH76" s="16" t="e">
        <f>数出表_Excel!R76</f>
        <v>#N/A</v>
      </c>
      <c r="AI76" s="60"/>
      <c r="AJ76" s="16" t="e">
        <f>数出表_Excel!T76</f>
        <v>#N/A</v>
      </c>
      <c r="AK76" s="60"/>
      <c r="AL76" s="16" t="e">
        <f>数出表_Excel!T76</f>
        <v>#N/A</v>
      </c>
      <c r="AM76" s="5" t="e">
        <f>数出表_Excel!V76</f>
        <v>#N/A</v>
      </c>
      <c r="AN76" s="7" t="e">
        <f>数出表_Excel!W76</f>
        <v>#N/A</v>
      </c>
    </row>
    <row r="77" spans="1:40" x14ac:dyDescent="0.45">
      <c r="A77" s="8" t="e">
        <f>数出表_Excel!A77</f>
        <v>#N/A</v>
      </c>
      <c r="B77" s="46" t="e">
        <f>数出表_Excel!B77</f>
        <v>#N/A</v>
      </c>
      <c r="C77" s="46"/>
      <c r="D77" s="46" t="e">
        <f>数出表_Excel!C77</f>
        <v>#N/A</v>
      </c>
      <c r="E77" s="46"/>
      <c r="F77" s="46" t="e">
        <f>数出表_Excel!D77</f>
        <v>#N/A</v>
      </c>
      <c r="G77" s="46"/>
      <c r="H77" s="46" t="e">
        <f>数出表_Excel!E77</f>
        <v>#N/A</v>
      </c>
      <c r="I77" s="46"/>
      <c r="J77" s="46" t="e">
        <f>数出表_Excel!F77</f>
        <v>#N/A</v>
      </c>
      <c r="K77" s="46"/>
      <c r="L77" s="46" t="e">
        <f>数出表_Excel!G77</f>
        <v>#N/A</v>
      </c>
      <c r="M77" s="46"/>
      <c r="N77" s="46" t="e">
        <f>数出表_Excel!H77</f>
        <v>#N/A</v>
      </c>
      <c r="O77" s="46"/>
      <c r="P77" s="46" t="e">
        <f>数出表_Excel!I77</f>
        <v>#N/A</v>
      </c>
      <c r="Q77" s="46"/>
      <c r="R77" s="46" t="e">
        <f>数出表_Excel!J77</f>
        <v>#N/A</v>
      </c>
      <c r="S77" s="46"/>
      <c r="T77" s="46" t="e">
        <f>数出表_Excel!K77</f>
        <v>#N/A</v>
      </c>
      <c r="U77" s="46"/>
      <c r="V77" s="46" t="e">
        <f>数出表_Excel!L77</f>
        <v>#N/A</v>
      </c>
      <c r="W77" s="46"/>
      <c r="X77" s="46" t="e">
        <f>数出表_Excel!M77</f>
        <v>#N/A</v>
      </c>
      <c r="Y77" s="46"/>
      <c r="Z77" s="46" t="e">
        <f>数出表_Excel!N77</f>
        <v>#N/A</v>
      </c>
      <c r="AA77" s="46"/>
      <c r="AB77" s="46" t="e">
        <f>数出表_Excel!O77</f>
        <v>#N/A</v>
      </c>
      <c r="AC77" s="46"/>
      <c r="AD77" s="46" t="e">
        <f>数出表_Excel!P77</f>
        <v>#N/A</v>
      </c>
      <c r="AE77" s="46"/>
      <c r="AF77" s="46" t="e">
        <f>数出表_Excel!Q77</f>
        <v>#N/A</v>
      </c>
      <c r="AG77" s="46"/>
      <c r="AH77" s="46" t="e">
        <f>数出表_Excel!R77</f>
        <v>#N/A</v>
      </c>
      <c r="AI77" s="46"/>
      <c r="AJ77" s="46" t="e">
        <f>数出表_Excel!T77</f>
        <v>#N/A</v>
      </c>
      <c r="AK77" s="46"/>
      <c r="AL77" s="46" t="e">
        <f>数出表_Excel!T77</f>
        <v>#N/A</v>
      </c>
      <c r="AM77" s="8" t="e">
        <f>数出表_Excel!V77</f>
        <v>#N/A</v>
      </c>
      <c r="AN77" s="9" t="e">
        <f>数出表_Excel!W77</f>
        <v>#N/A</v>
      </c>
    </row>
    <row r="78" spans="1:40" x14ac:dyDescent="0.45">
      <c r="A78" s="5" t="e">
        <f>数出表_Excel!A78</f>
        <v>#N/A</v>
      </c>
      <c r="B78" s="16" t="e">
        <f>数出表_Excel!B78</f>
        <v>#N/A</v>
      </c>
      <c r="C78" s="60"/>
      <c r="D78" s="16" t="e">
        <f>数出表_Excel!C78</f>
        <v>#N/A</v>
      </c>
      <c r="E78" s="60"/>
      <c r="F78" s="16" t="e">
        <f>数出表_Excel!D78</f>
        <v>#N/A</v>
      </c>
      <c r="G78" s="60"/>
      <c r="H78" s="16" t="e">
        <f>数出表_Excel!E78</f>
        <v>#N/A</v>
      </c>
      <c r="I78" s="60"/>
      <c r="J78" s="16" t="e">
        <f>数出表_Excel!F78</f>
        <v>#N/A</v>
      </c>
      <c r="K78" s="60"/>
      <c r="L78" s="16" t="e">
        <f>数出表_Excel!G78</f>
        <v>#N/A</v>
      </c>
      <c r="M78" s="60"/>
      <c r="N78" s="16" t="e">
        <f>数出表_Excel!H78</f>
        <v>#N/A</v>
      </c>
      <c r="O78" s="60"/>
      <c r="P78" s="16" t="e">
        <f>数出表_Excel!I78</f>
        <v>#N/A</v>
      </c>
      <c r="Q78" s="60"/>
      <c r="R78" s="16" t="e">
        <f>数出表_Excel!J78</f>
        <v>#N/A</v>
      </c>
      <c r="S78" s="60"/>
      <c r="T78" s="16" t="e">
        <f>数出表_Excel!K78</f>
        <v>#N/A</v>
      </c>
      <c r="U78" s="60"/>
      <c r="V78" s="16" t="e">
        <f>数出表_Excel!L78</f>
        <v>#N/A</v>
      </c>
      <c r="W78" s="60"/>
      <c r="X78" s="16" t="e">
        <f>数出表_Excel!M78</f>
        <v>#N/A</v>
      </c>
      <c r="Y78" s="60"/>
      <c r="Z78" s="16" t="e">
        <f>数出表_Excel!N78</f>
        <v>#N/A</v>
      </c>
      <c r="AA78" s="60"/>
      <c r="AB78" s="16" t="e">
        <f>数出表_Excel!O78</f>
        <v>#N/A</v>
      </c>
      <c r="AC78" s="60"/>
      <c r="AD78" s="16" t="e">
        <f>数出表_Excel!P78</f>
        <v>#N/A</v>
      </c>
      <c r="AE78" s="60"/>
      <c r="AF78" s="16" t="e">
        <f>数出表_Excel!Q78</f>
        <v>#N/A</v>
      </c>
      <c r="AG78" s="60"/>
      <c r="AH78" s="16" t="e">
        <f>数出表_Excel!R78</f>
        <v>#N/A</v>
      </c>
      <c r="AI78" s="60"/>
      <c r="AJ78" s="16" t="e">
        <f>数出表_Excel!T78</f>
        <v>#N/A</v>
      </c>
      <c r="AK78" s="60"/>
      <c r="AL78" s="16" t="e">
        <f>数出表_Excel!T78</f>
        <v>#N/A</v>
      </c>
      <c r="AM78" s="5" t="e">
        <f>数出表_Excel!V78</f>
        <v>#N/A</v>
      </c>
      <c r="AN78" s="7" t="e">
        <f>数出表_Excel!W78</f>
        <v>#N/A</v>
      </c>
    </row>
    <row r="79" spans="1:40" x14ac:dyDescent="0.45">
      <c r="A79" s="8" t="e">
        <f>数出表_Excel!A79</f>
        <v>#N/A</v>
      </c>
      <c r="B79" s="46" t="e">
        <f>数出表_Excel!B79</f>
        <v>#N/A</v>
      </c>
      <c r="C79" s="46"/>
      <c r="D79" s="46" t="e">
        <f>数出表_Excel!C79</f>
        <v>#N/A</v>
      </c>
      <c r="E79" s="46"/>
      <c r="F79" s="46" t="e">
        <f>数出表_Excel!D79</f>
        <v>#N/A</v>
      </c>
      <c r="G79" s="46"/>
      <c r="H79" s="46" t="e">
        <f>数出表_Excel!E79</f>
        <v>#N/A</v>
      </c>
      <c r="I79" s="46"/>
      <c r="J79" s="46" t="e">
        <f>数出表_Excel!F79</f>
        <v>#N/A</v>
      </c>
      <c r="K79" s="46"/>
      <c r="L79" s="46" t="e">
        <f>数出表_Excel!G79</f>
        <v>#N/A</v>
      </c>
      <c r="M79" s="46"/>
      <c r="N79" s="46" t="e">
        <f>数出表_Excel!H79</f>
        <v>#N/A</v>
      </c>
      <c r="O79" s="46"/>
      <c r="P79" s="46" t="e">
        <f>数出表_Excel!I79</f>
        <v>#N/A</v>
      </c>
      <c r="Q79" s="46"/>
      <c r="R79" s="46" t="e">
        <f>数出表_Excel!J79</f>
        <v>#N/A</v>
      </c>
      <c r="S79" s="46"/>
      <c r="T79" s="46" t="e">
        <f>数出表_Excel!K79</f>
        <v>#N/A</v>
      </c>
      <c r="U79" s="46"/>
      <c r="V79" s="46" t="e">
        <f>数出表_Excel!L79</f>
        <v>#N/A</v>
      </c>
      <c r="W79" s="46"/>
      <c r="X79" s="46" t="e">
        <f>数出表_Excel!M79</f>
        <v>#N/A</v>
      </c>
      <c r="Y79" s="46"/>
      <c r="Z79" s="46" t="e">
        <f>数出表_Excel!N79</f>
        <v>#N/A</v>
      </c>
      <c r="AA79" s="46"/>
      <c r="AB79" s="46" t="e">
        <f>数出表_Excel!O79</f>
        <v>#N/A</v>
      </c>
      <c r="AC79" s="46"/>
      <c r="AD79" s="46" t="e">
        <f>数出表_Excel!P79</f>
        <v>#N/A</v>
      </c>
      <c r="AE79" s="46"/>
      <c r="AF79" s="46" t="e">
        <f>数出表_Excel!Q79</f>
        <v>#N/A</v>
      </c>
      <c r="AG79" s="46"/>
      <c r="AH79" s="46" t="e">
        <f>数出表_Excel!R79</f>
        <v>#N/A</v>
      </c>
      <c r="AI79" s="46"/>
      <c r="AJ79" s="46" t="e">
        <f>数出表_Excel!T79</f>
        <v>#N/A</v>
      </c>
      <c r="AK79" s="46"/>
      <c r="AL79" s="46" t="e">
        <f>数出表_Excel!T79</f>
        <v>#N/A</v>
      </c>
      <c r="AM79" s="8" t="e">
        <f>数出表_Excel!V79</f>
        <v>#N/A</v>
      </c>
      <c r="AN79" s="9" t="e">
        <f>数出表_Excel!W79</f>
        <v>#N/A</v>
      </c>
    </row>
    <row r="80" spans="1:40" x14ac:dyDescent="0.45">
      <c r="A80" s="5" t="e">
        <f>数出表_Excel!A80</f>
        <v>#N/A</v>
      </c>
      <c r="B80" s="16" t="e">
        <f>数出表_Excel!B80</f>
        <v>#N/A</v>
      </c>
      <c r="C80" s="60"/>
      <c r="D80" s="16" t="e">
        <f>数出表_Excel!C80</f>
        <v>#N/A</v>
      </c>
      <c r="E80" s="60"/>
      <c r="F80" s="16" t="e">
        <f>数出表_Excel!D80</f>
        <v>#N/A</v>
      </c>
      <c r="G80" s="60"/>
      <c r="H80" s="16" t="e">
        <f>数出表_Excel!E80</f>
        <v>#N/A</v>
      </c>
      <c r="I80" s="60"/>
      <c r="J80" s="16" t="e">
        <f>数出表_Excel!F80</f>
        <v>#N/A</v>
      </c>
      <c r="K80" s="60"/>
      <c r="L80" s="16" t="e">
        <f>数出表_Excel!G80</f>
        <v>#N/A</v>
      </c>
      <c r="M80" s="60"/>
      <c r="N80" s="16" t="e">
        <f>数出表_Excel!H80</f>
        <v>#N/A</v>
      </c>
      <c r="O80" s="60"/>
      <c r="P80" s="16" t="e">
        <f>数出表_Excel!I80</f>
        <v>#N/A</v>
      </c>
      <c r="Q80" s="60"/>
      <c r="R80" s="16" t="e">
        <f>数出表_Excel!J80</f>
        <v>#N/A</v>
      </c>
      <c r="S80" s="60"/>
      <c r="T80" s="16" t="e">
        <f>数出表_Excel!K80</f>
        <v>#N/A</v>
      </c>
      <c r="U80" s="60"/>
      <c r="V80" s="16" t="e">
        <f>数出表_Excel!L80</f>
        <v>#N/A</v>
      </c>
      <c r="W80" s="60"/>
      <c r="X80" s="16" t="e">
        <f>数出表_Excel!M80</f>
        <v>#N/A</v>
      </c>
      <c r="Y80" s="60"/>
      <c r="Z80" s="16" t="e">
        <f>数出表_Excel!N80</f>
        <v>#N/A</v>
      </c>
      <c r="AA80" s="60"/>
      <c r="AB80" s="16" t="e">
        <f>数出表_Excel!O80</f>
        <v>#N/A</v>
      </c>
      <c r="AC80" s="60"/>
      <c r="AD80" s="16" t="e">
        <f>数出表_Excel!P80</f>
        <v>#N/A</v>
      </c>
      <c r="AE80" s="60"/>
      <c r="AF80" s="16" t="e">
        <f>数出表_Excel!Q80</f>
        <v>#N/A</v>
      </c>
      <c r="AG80" s="60"/>
      <c r="AH80" s="16" t="e">
        <f>数出表_Excel!R80</f>
        <v>#N/A</v>
      </c>
      <c r="AI80" s="60"/>
      <c r="AJ80" s="16" t="e">
        <f>数出表_Excel!T80</f>
        <v>#N/A</v>
      </c>
      <c r="AK80" s="60"/>
      <c r="AL80" s="16" t="e">
        <f>数出表_Excel!T80</f>
        <v>#N/A</v>
      </c>
      <c r="AM80" s="5" t="e">
        <f>数出表_Excel!V80</f>
        <v>#N/A</v>
      </c>
      <c r="AN80" s="7" t="e">
        <f>数出表_Excel!W80</f>
        <v>#N/A</v>
      </c>
    </row>
    <row r="81" spans="1:40" x14ac:dyDescent="0.45">
      <c r="A81" s="8" t="e">
        <f>数出表_Excel!A81</f>
        <v>#N/A</v>
      </c>
      <c r="B81" s="46" t="e">
        <f>数出表_Excel!B81</f>
        <v>#N/A</v>
      </c>
      <c r="C81" s="46"/>
      <c r="D81" s="46" t="e">
        <f>数出表_Excel!C81</f>
        <v>#N/A</v>
      </c>
      <c r="E81" s="46"/>
      <c r="F81" s="46" t="e">
        <f>数出表_Excel!D81</f>
        <v>#N/A</v>
      </c>
      <c r="G81" s="46"/>
      <c r="H81" s="46" t="e">
        <f>数出表_Excel!E81</f>
        <v>#N/A</v>
      </c>
      <c r="I81" s="46"/>
      <c r="J81" s="46" t="e">
        <f>数出表_Excel!F81</f>
        <v>#N/A</v>
      </c>
      <c r="K81" s="46"/>
      <c r="L81" s="46" t="e">
        <f>数出表_Excel!G81</f>
        <v>#N/A</v>
      </c>
      <c r="M81" s="46"/>
      <c r="N81" s="46" t="e">
        <f>数出表_Excel!H81</f>
        <v>#N/A</v>
      </c>
      <c r="O81" s="46"/>
      <c r="P81" s="46" t="e">
        <f>数出表_Excel!I81</f>
        <v>#N/A</v>
      </c>
      <c r="Q81" s="46"/>
      <c r="R81" s="46" t="e">
        <f>数出表_Excel!J81</f>
        <v>#N/A</v>
      </c>
      <c r="S81" s="46"/>
      <c r="T81" s="46" t="e">
        <f>数出表_Excel!K81</f>
        <v>#N/A</v>
      </c>
      <c r="U81" s="46"/>
      <c r="V81" s="46" t="e">
        <f>数出表_Excel!L81</f>
        <v>#N/A</v>
      </c>
      <c r="W81" s="46"/>
      <c r="X81" s="46" t="e">
        <f>数出表_Excel!M81</f>
        <v>#N/A</v>
      </c>
      <c r="Y81" s="46"/>
      <c r="Z81" s="46" t="e">
        <f>数出表_Excel!N81</f>
        <v>#N/A</v>
      </c>
      <c r="AA81" s="46"/>
      <c r="AB81" s="46" t="e">
        <f>数出表_Excel!O81</f>
        <v>#N/A</v>
      </c>
      <c r="AC81" s="46"/>
      <c r="AD81" s="46" t="e">
        <f>数出表_Excel!P81</f>
        <v>#N/A</v>
      </c>
      <c r="AE81" s="46"/>
      <c r="AF81" s="46" t="e">
        <f>数出表_Excel!Q81</f>
        <v>#N/A</v>
      </c>
      <c r="AG81" s="46"/>
      <c r="AH81" s="46" t="e">
        <f>数出表_Excel!R81</f>
        <v>#N/A</v>
      </c>
      <c r="AI81" s="46"/>
      <c r="AJ81" s="46" t="e">
        <f>数出表_Excel!T81</f>
        <v>#N/A</v>
      </c>
      <c r="AK81" s="46"/>
      <c r="AL81" s="46" t="e">
        <f>数出表_Excel!T81</f>
        <v>#N/A</v>
      </c>
      <c r="AM81" s="8" t="e">
        <f>数出表_Excel!V81</f>
        <v>#N/A</v>
      </c>
      <c r="AN81" s="9" t="e">
        <f>数出表_Excel!W81</f>
        <v>#N/A</v>
      </c>
    </row>
    <row r="82" spans="1:40" x14ac:dyDescent="0.45">
      <c r="A82" s="5" t="e">
        <f>数出表_Excel!A82</f>
        <v>#N/A</v>
      </c>
      <c r="B82" s="16" t="e">
        <f>数出表_Excel!B82</f>
        <v>#N/A</v>
      </c>
      <c r="C82" s="60"/>
      <c r="D82" s="16" t="e">
        <f>数出表_Excel!C82</f>
        <v>#N/A</v>
      </c>
      <c r="E82" s="60"/>
      <c r="F82" s="16" t="e">
        <f>数出表_Excel!D82</f>
        <v>#N/A</v>
      </c>
      <c r="G82" s="60"/>
      <c r="H82" s="16" t="e">
        <f>数出表_Excel!E82</f>
        <v>#N/A</v>
      </c>
      <c r="I82" s="60"/>
      <c r="J82" s="16" t="e">
        <f>数出表_Excel!F82</f>
        <v>#N/A</v>
      </c>
      <c r="K82" s="60"/>
      <c r="L82" s="16" t="e">
        <f>数出表_Excel!G82</f>
        <v>#N/A</v>
      </c>
      <c r="M82" s="60"/>
      <c r="N82" s="16" t="e">
        <f>数出表_Excel!H82</f>
        <v>#N/A</v>
      </c>
      <c r="O82" s="60"/>
      <c r="P82" s="16" t="e">
        <f>数出表_Excel!I82</f>
        <v>#N/A</v>
      </c>
      <c r="Q82" s="60"/>
      <c r="R82" s="16" t="e">
        <f>数出表_Excel!J82</f>
        <v>#N/A</v>
      </c>
      <c r="S82" s="60"/>
      <c r="T82" s="16" t="e">
        <f>数出表_Excel!K82</f>
        <v>#N/A</v>
      </c>
      <c r="U82" s="60"/>
      <c r="V82" s="16" t="e">
        <f>数出表_Excel!L82</f>
        <v>#N/A</v>
      </c>
      <c r="W82" s="60"/>
      <c r="X82" s="16" t="e">
        <f>数出表_Excel!M82</f>
        <v>#N/A</v>
      </c>
      <c r="Y82" s="60"/>
      <c r="Z82" s="16" t="e">
        <f>数出表_Excel!N82</f>
        <v>#N/A</v>
      </c>
      <c r="AA82" s="60"/>
      <c r="AB82" s="16" t="e">
        <f>数出表_Excel!O82</f>
        <v>#N/A</v>
      </c>
      <c r="AC82" s="60"/>
      <c r="AD82" s="16" t="e">
        <f>数出表_Excel!P82</f>
        <v>#N/A</v>
      </c>
      <c r="AE82" s="60"/>
      <c r="AF82" s="16" t="e">
        <f>数出表_Excel!Q82</f>
        <v>#N/A</v>
      </c>
      <c r="AG82" s="60"/>
      <c r="AH82" s="16" t="e">
        <f>数出表_Excel!R82</f>
        <v>#N/A</v>
      </c>
      <c r="AI82" s="60"/>
      <c r="AJ82" s="16" t="e">
        <f>数出表_Excel!T82</f>
        <v>#N/A</v>
      </c>
      <c r="AK82" s="60"/>
      <c r="AL82" s="16" t="e">
        <f>数出表_Excel!T82</f>
        <v>#N/A</v>
      </c>
      <c r="AM82" s="5" t="e">
        <f>数出表_Excel!V82</f>
        <v>#N/A</v>
      </c>
      <c r="AN82" s="7" t="e">
        <f>数出表_Excel!W82</f>
        <v>#N/A</v>
      </c>
    </row>
    <row r="83" spans="1:40" x14ac:dyDescent="0.45">
      <c r="A83" s="8" t="e">
        <f>数出表_Excel!A83</f>
        <v>#N/A</v>
      </c>
      <c r="B83" s="46" t="e">
        <f>数出表_Excel!B83</f>
        <v>#N/A</v>
      </c>
      <c r="C83" s="46"/>
      <c r="D83" s="46" t="e">
        <f>数出表_Excel!C83</f>
        <v>#N/A</v>
      </c>
      <c r="E83" s="46"/>
      <c r="F83" s="46" t="e">
        <f>数出表_Excel!D83</f>
        <v>#N/A</v>
      </c>
      <c r="G83" s="46"/>
      <c r="H83" s="46" t="e">
        <f>数出表_Excel!E83</f>
        <v>#N/A</v>
      </c>
      <c r="I83" s="46"/>
      <c r="J83" s="46" t="e">
        <f>数出表_Excel!F83</f>
        <v>#N/A</v>
      </c>
      <c r="K83" s="46"/>
      <c r="L83" s="46" t="e">
        <f>数出表_Excel!G83</f>
        <v>#N/A</v>
      </c>
      <c r="M83" s="46"/>
      <c r="N83" s="46" t="e">
        <f>数出表_Excel!H83</f>
        <v>#N/A</v>
      </c>
      <c r="O83" s="46"/>
      <c r="P83" s="46" t="e">
        <f>数出表_Excel!I83</f>
        <v>#N/A</v>
      </c>
      <c r="Q83" s="46"/>
      <c r="R83" s="46" t="e">
        <f>数出表_Excel!J83</f>
        <v>#N/A</v>
      </c>
      <c r="S83" s="46"/>
      <c r="T83" s="46" t="e">
        <f>数出表_Excel!K83</f>
        <v>#N/A</v>
      </c>
      <c r="U83" s="46"/>
      <c r="V83" s="46" t="e">
        <f>数出表_Excel!L83</f>
        <v>#N/A</v>
      </c>
      <c r="W83" s="46"/>
      <c r="X83" s="46" t="e">
        <f>数出表_Excel!M83</f>
        <v>#N/A</v>
      </c>
      <c r="Y83" s="46"/>
      <c r="Z83" s="46" t="e">
        <f>数出表_Excel!N83</f>
        <v>#N/A</v>
      </c>
      <c r="AA83" s="46"/>
      <c r="AB83" s="46" t="e">
        <f>数出表_Excel!O83</f>
        <v>#N/A</v>
      </c>
      <c r="AC83" s="46"/>
      <c r="AD83" s="46" t="e">
        <f>数出表_Excel!P83</f>
        <v>#N/A</v>
      </c>
      <c r="AE83" s="46"/>
      <c r="AF83" s="46" t="e">
        <f>数出表_Excel!Q83</f>
        <v>#N/A</v>
      </c>
      <c r="AG83" s="46"/>
      <c r="AH83" s="46" t="e">
        <f>数出表_Excel!R83</f>
        <v>#N/A</v>
      </c>
      <c r="AI83" s="46"/>
      <c r="AJ83" s="46" t="e">
        <f>数出表_Excel!T83</f>
        <v>#N/A</v>
      </c>
      <c r="AK83" s="46"/>
      <c r="AL83" s="46" t="e">
        <f>数出表_Excel!T83</f>
        <v>#N/A</v>
      </c>
      <c r="AM83" s="8" t="e">
        <f>数出表_Excel!V83</f>
        <v>#N/A</v>
      </c>
      <c r="AN83" s="9" t="e">
        <f>数出表_Excel!W83</f>
        <v>#N/A</v>
      </c>
    </row>
    <row r="84" spans="1:40" x14ac:dyDescent="0.45">
      <c r="A84" s="5" t="e">
        <f>数出表_Excel!A84</f>
        <v>#N/A</v>
      </c>
      <c r="B84" s="16" t="e">
        <f>数出表_Excel!B84</f>
        <v>#N/A</v>
      </c>
      <c r="C84" s="60"/>
      <c r="D84" s="16" t="e">
        <f>数出表_Excel!C84</f>
        <v>#N/A</v>
      </c>
      <c r="E84" s="60"/>
      <c r="F84" s="16" t="e">
        <f>数出表_Excel!D84</f>
        <v>#N/A</v>
      </c>
      <c r="G84" s="60"/>
      <c r="H84" s="16" t="e">
        <f>数出表_Excel!E84</f>
        <v>#N/A</v>
      </c>
      <c r="I84" s="60"/>
      <c r="J84" s="16" t="e">
        <f>数出表_Excel!F84</f>
        <v>#N/A</v>
      </c>
      <c r="K84" s="60"/>
      <c r="L84" s="16" t="e">
        <f>数出表_Excel!G84</f>
        <v>#N/A</v>
      </c>
      <c r="M84" s="60"/>
      <c r="N84" s="16" t="e">
        <f>数出表_Excel!H84</f>
        <v>#N/A</v>
      </c>
      <c r="O84" s="60"/>
      <c r="P84" s="16" t="e">
        <f>数出表_Excel!I84</f>
        <v>#N/A</v>
      </c>
      <c r="Q84" s="60"/>
      <c r="R84" s="16" t="e">
        <f>数出表_Excel!J84</f>
        <v>#N/A</v>
      </c>
      <c r="S84" s="60"/>
      <c r="T84" s="16" t="e">
        <f>数出表_Excel!K84</f>
        <v>#N/A</v>
      </c>
      <c r="U84" s="60"/>
      <c r="V84" s="16" t="e">
        <f>数出表_Excel!L84</f>
        <v>#N/A</v>
      </c>
      <c r="W84" s="60"/>
      <c r="X84" s="16" t="e">
        <f>数出表_Excel!M84</f>
        <v>#N/A</v>
      </c>
      <c r="Y84" s="60"/>
      <c r="Z84" s="16" t="e">
        <f>数出表_Excel!N84</f>
        <v>#N/A</v>
      </c>
      <c r="AA84" s="60"/>
      <c r="AB84" s="16" t="e">
        <f>数出表_Excel!O84</f>
        <v>#N/A</v>
      </c>
      <c r="AC84" s="60"/>
      <c r="AD84" s="16" t="e">
        <f>数出表_Excel!P84</f>
        <v>#N/A</v>
      </c>
      <c r="AE84" s="60"/>
      <c r="AF84" s="16" t="e">
        <f>数出表_Excel!Q84</f>
        <v>#N/A</v>
      </c>
      <c r="AG84" s="60"/>
      <c r="AH84" s="16" t="e">
        <f>数出表_Excel!R84</f>
        <v>#N/A</v>
      </c>
      <c r="AI84" s="60"/>
      <c r="AJ84" s="16" t="e">
        <f>数出表_Excel!T84</f>
        <v>#N/A</v>
      </c>
      <c r="AK84" s="60"/>
      <c r="AL84" s="16" t="e">
        <f>数出表_Excel!T84</f>
        <v>#N/A</v>
      </c>
      <c r="AM84" s="5" t="e">
        <f>数出表_Excel!V84</f>
        <v>#N/A</v>
      </c>
      <c r="AN84" s="7" t="e">
        <f>数出表_Excel!W84</f>
        <v>#N/A</v>
      </c>
    </row>
    <row r="85" spans="1:40" x14ac:dyDescent="0.45">
      <c r="A85" s="8" t="e">
        <f>数出表_Excel!A85</f>
        <v>#N/A</v>
      </c>
      <c r="B85" s="46" t="e">
        <f>数出表_Excel!B85</f>
        <v>#N/A</v>
      </c>
      <c r="C85" s="46"/>
      <c r="D85" s="46" t="e">
        <f>数出表_Excel!C85</f>
        <v>#N/A</v>
      </c>
      <c r="E85" s="46"/>
      <c r="F85" s="46" t="e">
        <f>数出表_Excel!D85</f>
        <v>#N/A</v>
      </c>
      <c r="G85" s="46"/>
      <c r="H85" s="46" t="e">
        <f>数出表_Excel!E85</f>
        <v>#N/A</v>
      </c>
      <c r="I85" s="46"/>
      <c r="J85" s="46" t="e">
        <f>数出表_Excel!F85</f>
        <v>#N/A</v>
      </c>
      <c r="K85" s="46"/>
      <c r="L85" s="46" t="e">
        <f>数出表_Excel!G85</f>
        <v>#N/A</v>
      </c>
      <c r="M85" s="46"/>
      <c r="N85" s="46" t="e">
        <f>数出表_Excel!H85</f>
        <v>#N/A</v>
      </c>
      <c r="O85" s="46"/>
      <c r="P85" s="46" t="e">
        <f>数出表_Excel!I85</f>
        <v>#N/A</v>
      </c>
      <c r="Q85" s="46"/>
      <c r="R85" s="46" t="e">
        <f>数出表_Excel!J85</f>
        <v>#N/A</v>
      </c>
      <c r="S85" s="46"/>
      <c r="T85" s="46" t="e">
        <f>数出表_Excel!K85</f>
        <v>#N/A</v>
      </c>
      <c r="U85" s="46"/>
      <c r="V85" s="46" t="e">
        <f>数出表_Excel!L85</f>
        <v>#N/A</v>
      </c>
      <c r="W85" s="46"/>
      <c r="X85" s="46" t="e">
        <f>数出表_Excel!M85</f>
        <v>#N/A</v>
      </c>
      <c r="Y85" s="46"/>
      <c r="Z85" s="46" t="e">
        <f>数出表_Excel!N85</f>
        <v>#N/A</v>
      </c>
      <c r="AA85" s="46"/>
      <c r="AB85" s="46" t="e">
        <f>数出表_Excel!O85</f>
        <v>#N/A</v>
      </c>
      <c r="AC85" s="46"/>
      <c r="AD85" s="46" t="e">
        <f>数出表_Excel!P85</f>
        <v>#N/A</v>
      </c>
      <c r="AE85" s="46"/>
      <c r="AF85" s="46" t="e">
        <f>数出表_Excel!Q85</f>
        <v>#N/A</v>
      </c>
      <c r="AG85" s="46"/>
      <c r="AH85" s="46" t="e">
        <f>数出表_Excel!R85</f>
        <v>#N/A</v>
      </c>
      <c r="AI85" s="46"/>
      <c r="AJ85" s="46" t="e">
        <f>数出表_Excel!T85</f>
        <v>#N/A</v>
      </c>
      <c r="AK85" s="46"/>
      <c r="AL85" s="46" t="e">
        <f>数出表_Excel!T85</f>
        <v>#N/A</v>
      </c>
      <c r="AM85" s="8" t="e">
        <f>数出表_Excel!V85</f>
        <v>#N/A</v>
      </c>
      <c r="AN85" s="9" t="e">
        <f>数出表_Excel!W85</f>
        <v>#N/A</v>
      </c>
    </row>
    <row r="86" spans="1:40" x14ac:dyDescent="0.45">
      <c r="A86" s="5" t="e">
        <f>数出表_Excel!A86</f>
        <v>#N/A</v>
      </c>
      <c r="B86" s="16" t="e">
        <f>数出表_Excel!B86</f>
        <v>#N/A</v>
      </c>
      <c r="C86" s="60"/>
      <c r="D86" s="16" t="e">
        <f>数出表_Excel!C86</f>
        <v>#N/A</v>
      </c>
      <c r="E86" s="60"/>
      <c r="F86" s="16" t="e">
        <f>数出表_Excel!D86</f>
        <v>#N/A</v>
      </c>
      <c r="G86" s="60"/>
      <c r="H86" s="16" t="e">
        <f>数出表_Excel!E86</f>
        <v>#N/A</v>
      </c>
      <c r="I86" s="60"/>
      <c r="J86" s="16" t="e">
        <f>数出表_Excel!F86</f>
        <v>#N/A</v>
      </c>
      <c r="K86" s="60"/>
      <c r="L86" s="16" t="e">
        <f>数出表_Excel!G86</f>
        <v>#N/A</v>
      </c>
      <c r="M86" s="60"/>
      <c r="N86" s="16" t="e">
        <f>数出表_Excel!H86</f>
        <v>#N/A</v>
      </c>
      <c r="O86" s="60"/>
      <c r="P86" s="16" t="e">
        <f>数出表_Excel!I86</f>
        <v>#N/A</v>
      </c>
      <c r="Q86" s="60"/>
      <c r="R86" s="16" t="e">
        <f>数出表_Excel!J86</f>
        <v>#N/A</v>
      </c>
      <c r="S86" s="60"/>
      <c r="T86" s="16" t="e">
        <f>数出表_Excel!K86</f>
        <v>#N/A</v>
      </c>
      <c r="U86" s="60"/>
      <c r="V86" s="16" t="e">
        <f>数出表_Excel!L86</f>
        <v>#N/A</v>
      </c>
      <c r="W86" s="60"/>
      <c r="X86" s="16" t="e">
        <f>数出表_Excel!M86</f>
        <v>#N/A</v>
      </c>
      <c r="Y86" s="60"/>
      <c r="Z86" s="16" t="e">
        <f>数出表_Excel!N86</f>
        <v>#N/A</v>
      </c>
      <c r="AA86" s="60"/>
      <c r="AB86" s="16" t="e">
        <f>数出表_Excel!O86</f>
        <v>#N/A</v>
      </c>
      <c r="AC86" s="60"/>
      <c r="AD86" s="16" t="e">
        <f>数出表_Excel!P86</f>
        <v>#N/A</v>
      </c>
      <c r="AE86" s="60"/>
      <c r="AF86" s="16" t="e">
        <f>数出表_Excel!Q86</f>
        <v>#N/A</v>
      </c>
      <c r="AG86" s="60"/>
      <c r="AH86" s="16" t="e">
        <f>数出表_Excel!R86</f>
        <v>#N/A</v>
      </c>
      <c r="AI86" s="60"/>
      <c r="AJ86" s="16" t="e">
        <f>数出表_Excel!T86</f>
        <v>#N/A</v>
      </c>
      <c r="AK86" s="60"/>
      <c r="AL86" s="16" t="e">
        <f>数出表_Excel!T86</f>
        <v>#N/A</v>
      </c>
      <c r="AM86" s="5" t="e">
        <f>数出表_Excel!V86</f>
        <v>#N/A</v>
      </c>
      <c r="AN86" s="7" t="e">
        <f>数出表_Excel!W86</f>
        <v>#N/A</v>
      </c>
    </row>
    <row r="87" spans="1:40" x14ac:dyDescent="0.45">
      <c r="A87" s="8" t="e">
        <f>数出表_Excel!A87</f>
        <v>#N/A</v>
      </c>
      <c r="B87" s="46" t="e">
        <f>数出表_Excel!B87</f>
        <v>#N/A</v>
      </c>
      <c r="C87" s="46"/>
      <c r="D87" s="46" t="e">
        <f>数出表_Excel!C87</f>
        <v>#N/A</v>
      </c>
      <c r="E87" s="46"/>
      <c r="F87" s="46" t="e">
        <f>数出表_Excel!D87</f>
        <v>#N/A</v>
      </c>
      <c r="G87" s="46"/>
      <c r="H87" s="46" t="e">
        <f>数出表_Excel!E87</f>
        <v>#N/A</v>
      </c>
      <c r="I87" s="46"/>
      <c r="J87" s="46" t="e">
        <f>数出表_Excel!F87</f>
        <v>#N/A</v>
      </c>
      <c r="K87" s="46"/>
      <c r="L87" s="46" t="e">
        <f>数出表_Excel!G87</f>
        <v>#N/A</v>
      </c>
      <c r="M87" s="46"/>
      <c r="N87" s="46" t="e">
        <f>数出表_Excel!H87</f>
        <v>#N/A</v>
      </c>
      <c r="O87" s="46"/>
      <c r="P87" s="46" t="e">
        <f>数出表_Excel!I87</f>
        <v>#N/A</v>
      </c>
      <c r="Q87" s="46"/>
      <c r="R87" s="46" t="e">
        <f>数出表_Excel!J87</f>
        <v>#N/A</v>
      </c>
      <c r="S87" s="46"/>
      <c r="T87" s="46" t="e">
        <f>数出表_Excel!K87</f>
        <v>#N/A</v>
      </c>
      <c r="U87" s="46"/>
      <c r="V87" s="46" t="e">
        <f>数出表_Excel!L87</f>
        <v>#N/A</v>
      </c>
      <c r="W87" s="46"/>
      <c r="X87" s="46" t="e">
        <f>数出表_Excel!M87</f>
        <v>#N/A</v>
      </c>
      <c r="Y87" s="46"/>
      <c r="Z87" s="46" t="e">
        <f>数出表_Excel!N87</f>
        <v>#N/A</v>
      </c>
      <c r="AA87" s="46"/>
      <c r="AB87" s="46" t="e">
        <f>数出表_Excel!O87</f>
        <v>#N/A</v>
      </c>
      <c r="AC87" s="46"/>
      <c r="AD87" s="46" t="e">
        <f>数出表_Excel!P87</f>
        <v>#N/A</v>
      </c>
      <c r="AE87" s="46"/>
      <c r="AF87" s="46" t="e">
        <f>数出表_Excel!Q87</f>
        <v>#N/A</v>
      </c>
      <c r="AG87" s="46"/>
      <c r="AH87" s="46" t="e">
        <f>数出表_Excel!R87</f>
        <v>#N/A</v>
      </c>
      <c r="AI87" s="46"/>
      <c r="AJ87" s="46" t="e">
        <f>数出表_Excel!T87</f>
        <v>#N/A</v>
      </c>
      <c r="AK87" s="46"/>
      <c r="AL87" s="46" t="e">
        <f>数出表_Excel!T87</f>
        <v>#N/A</v>
      </c>
      <c r="AM87" s="8" t="e">
        <f>数出表_Excel!V87</f>
        <v>#N/A</v>
      </c>
      <c r="AN87" s="9" t="e">
        <f>数出表_Excel!W87</f>
        <v>#N/A</v>
      </c>
    </row>
    <row r="88" spans="1:40" x14ac:dyDescent="0.45">
      <c r="A88" s="5" t="e">
        <f>数出表_Excel!A88</f>
        <v>#N/A</v>
      </c>
      <c r="B88" s="16" t="e">
        <f>数出表_Excel!B88</f>
        <v>#N/A</v>
      </c>
      <c r="C88" s="60"/>
      <c r="D88" s="16" t="e">
        <f>数出表_Excel!C88</f>
        <v>#N/A</v>
      </c>
      <c r="E88" s="60"/>
      <c r="F88" s="16" t="e">
        <f>数出表_Excel!D88</f>
        <v>#N/A</v>
      </c>
      <c r="G88" s="60"/>
      <c r="H88" s="16" t="e">
        <f>数出表_Excel!E88</f>
        <v>#N/A</v>
      </c>
      <c r="I88" s="60"/>
      <c r="J88" s="16" t="e">
        <f>数出表_Excel!F88</f>
        <v>#N/A</v>
      </c>
      <c r="K88" s="60"/>
      <c r="L88" s="16" t="e">
        <f>数出表_Excel!G88</f>
        <v>#N/A</v>
      </c>
      <c r="M88" s="60"/>
      <c r="N88" s="16" t="e">
        <f>数出表_Excel!H88</f>
        <v>#N/A</v>
      </c>
      <c r="O88" s="60"/>
      <c r="P88" s="16" t="e">
        <f>数出表_Excel!I88</f>
        <v>#N/A</v>
      </c>
      <c r="Q88" s="60"/>
      <c r="R88" s="16" t="e">
        <f>数出表_Excel!J88</f>
        <v>#N/A</v>
      </c>
      <c r="S88" s="60"/>
      <c r="T88" s="16" t="e">
        <f>数出表_Excel!K88</f>
        <v>#N/A</v>
      </c>
      <c r="U88" s="60"/>
      <c r="V88" s="16" t="e">
        <f>数出表_Excel!L88</f>
        <v>#N/A</v>
      </c>
      <c r="W88" s="60"/>
      <c r="X88" s="16" t="e">
        <f>数出表_Excel!M88</f>
        <v>#N/A</v>
      </c>
      <c r="Y88" s="60"/>
      <c r="Z88" s="16" t="e">
        <f>数出表_Excel!N88</f>
        <v>#N/A</v>
      </c>
      <c r="AA88" s="60"/>
      <c r="AB88" s="16" t="e">
        <f>数出表_Excel!O88</f>
        <v>#N/A</v>
      </c>
      <c r="AC88" s="60"/>
      <c r="AD88" s="16" t="e">
        <f>数出表_Excel!P88</f>
        <v>#N/A</v>
      </c>
      <c r="AE88" s="60"/>
      <c r="AF88" s="16" t="e">
        <f>数出表_Excel!Q88</f>
        <v>#N/A</v>
      </c>
      <c r="AG88" s="60"/>
      <c r="AH88" s="16" t="e">
        <f>数出表_Excel!R88</f>
        <v>#N/A</v>
      </c>
      <c r="AI88" s="60"/>
      <c r="AJ88" s="16" t="e">
        <f>数出表_Excel!T88</f>
        <v>#N/A</v>
      </c>
      <c r="AK88" s="60"/>
      <c r="AL88" s="16" t="e">
        <f>数出表_Excel!T88</f>
        <v>#N/A</v>
      </c>
      <c r="AM88" s="5" t="e">
        <f>数出表_Excel!V88</f>
        <v>#N/A</v>
      </c>
      <c r="AN88" s="7" t="e">
        <f>数出表_Excel!W88</f>
        <v>#N/A</v>
      </c>
    </row>
    <row r="89" spans="1:40" x14ac:dyDescent="0.45">
      <c r="A89" s="8" t="e">
        <f>数出表_Excel!A89</f>
        <v>#N/A</v>
      </c>
      <c r="B89" s="46" t="e">
        <f>数出表_Excel!B89</f>
        <v>#N/A</v>
      </c>
      <c r="C89" s="46"/>
      <c r="D89" s="46" t="e">
        <f>数出表_Excel!C89</f>
        <v>#N/A</v>
      </c>
      <c r="E89" s="46"/>
      <c r="F89" s="46" t="e">
        <f>数出表_Excel!D89</f>
        <v>#N/A</v>
      </c>
      <c r="G89" s="46"/>
      <c r="H89" s="46" t="e">
        <f>数出表_Excel!E89</f>
        <v>#N/A</v>
      </c>
      <c r="I89" s="46"/>
      <c r="J89" s="46" t="e">
        <f>数出表_Excel!F89</f>
        <v>#N/A</v>
      </c>
      <c r="K89" s="46"/>
      <c r="L89" s="46" t="e">
        <f>数出表_Excel!G89</f>
        <v>#N/A</v>
      </c>
      <c r="M89" s="46"/>
      <c r="N89" s="46" t="e">
        <f>数出表_Excel!H89</f>
        <v>#N/A</v>
      </c>
      <c r="O89" s="46"/>
      <c r="P89" s="46" t="e">
        <f>数出表_Excel!I89</f>
        <v>#N/A</v>
      </c>
      <c r="Q89" s="46"/>
      <c r="R89" s="46" t="e">
        <f>数出表_Excel!J89</f>
        <v>#N/A</v>
      </c>
      <c r="S89" s="46"/>
      <c r="T89" s="46" t="e">
        <f>数出表_Excel!K89</f>
        <v>#N/A</v>
      </c>
      <c r="U89" s="46"/>
      <c r="V89" s="46" t="e">
        <f>数出表_Excel!L89</f>
        <v>#N/A</v>
      </c>
      <c r="W89" s="46"/>
      <c r="X89" s="46" t="e">
        <f>数出表_Excel!M89</f>
        <v>#N/A</v>
      </c>
      <c r="Y89" s="46"/>
      <c r="Z89" s="46" t="e">
        <f>数出表_Excel!N89</f>
        <v>#N/A</v>
      </c>
      <c r="AA89" s="46"/>
      <c r="AB89" s="46" t="e">
        <f>数出表_Excel!O89</f>
        <v>#N/A</v>
      </c>
      <c r="AC89" s="46"/>
      <c r="AD89" s="46" t="e">
        <f>数出表_Excel!P89</f>
        <v>#N/A</v>
      </c>
      <c r="AE89" s="46"/>
      <c r="AF89" s="46" t="e">
        <f>数出表_Excel!Q89</f>
        <v>#N/A</v>
      </c>
      <c r="AG89" s="46"/>
      <c r="AH89" s="46" t="e">
        <f>数出表_Excel!R89</f>
        <v>#N/A</v>
      </c>
      <c r="AI89" s="46"/>
      <c r="AJ89" s="46" t="e">
        <f>数出表_Excel!T89</f>
        <v>#N/A</v>
      </c>
      <c r="AK89" s="46"/>
      <c r="AL89" s="46" t="e">
        <f>数出表_Excel!T89</f>
        <v>#N/A</v>
      </c>
      <c r="AM89" s="8" t="e">
        <f>数出表_Excel!V89</f>
        <v>#N/A</v>
      </c>
      <c r="AN89" s="9" t="e">
        <f>数出表_Excel!W89</f>
        <v>#N/A</v>
      </c>
    </row>
    <row r="90" spans="1:40" x14ac:dyDescent="0.45">
      <c r="A90" s="5" t="e">
        <f>数出表_Excel!A90</f>
        <v>#N/A</v>
      </c>
      <c r="B90" s="16" t="e">
        <f>数出表_Excel!B90</f>
        <v>#N/A</v>
      </c>
      <c r="C90" s="60"/>
      <c r="D90" s="16" t="e">
        <f>数出表_Excel!C90</f>
        <v>#N/A</v>
      </c>
      <c r="E90" s="60"/>
      <c r="F90" s="16" t="e">
        <f>数出表_Excel!D90</f>
        <v>#N/A</v>
      </c>
      <c r="G90" s="60"/>
      <c r="H90" s="16" t="e">
        <f>数出表_Excel!E90</f>
        <v>#N/A</v>
      </c>
      <c r="I90" s="60"/>
      <c r="J90" s="16" t="e">
        <f>数出表_Excel!F90</f>
        <v>#N/A</v>
      </c>
      <c r="K90" s="60"/>
      <c r="L90" s="16" t="e">
        <f>数出表_Excel!G90</f>
        <v>#N/A</v>
      </c>
      <c r="M90" s="60"/>
      <c r="N90" s="16" t="e">
        <f>数出表_Excel!H90</f>
        <v>#N/A</v>
      </c>
      <c r="O90" s="60"/>
      <c r="P90" s="16" t="e">
        <f>数出表_Excel!I90</f>
        <v>#N/A</v>
      </c>
      <c r="Q90" s="60"/>
      <c r="R90" s="16" t="e">
        <f>数出表_Excel!J90</f>
        <v>#N/A</v>
      </c>
      <c r="S90" s="60"/>
      <c r="T90" s="16" t="e">
        <f>数出表_Excel!K90</f>
        <v>#N/A</v>
      </c>
      <c r="U90" s="60"/>
      <c r="V90" s="16" t="e">
        <f>数出表_Excel!L90</f>
        <v>#N/A</v>
      </c>
      <c r="W90" s="60"/>
      <c r="X90" s="16" t="e">
        <f>数出表_Excel!M90</f>
        <v>#N/A</v>
      </c>
      <c r="Y90" s="60"/>
      <c r="Z90" s="16" t="e">
        <f>数出表_Excel!N90</f>
        <v>#N/A</v>
      </c>
      <c r="AA90" s="60"/>
      <c r="AB90" s="16" t="e">
        <f>数出表_Excel!O90</f>
        <v>#N/A</v>
      </c>
      <c r="AC90" s="60"/>
      <c r="AD90" s="16" t="e">
        <f>数出表_Excel!P90</f>
        <v>#N/A</v>
      </c>
      <c r="AE90" s="60"/>
      <c r="AF90" s="16" t="e">
        <f>数出表_Excel!Q90</f>
        <v>#N/A</v>
      </c>
      <c r="AG90" s="60"/>
      <c r="AH90" s="16" t="e">
        <f>数出表_Excel!R90</f>
        <v>#N/A</v>
      </c>
      <c r="AI90" s="60"/>
      <c r="AJ90" s="16" t="e">
        <f>数出表_Excel!T90</f>
        <v>#N/A</v>
      </c>
      <c r="AK90" s="60"/>
      <c r="AL90" s="16" t="e">
        <f>数出表_Excel!T90</f>
        <v>#N/A</v>
      </c>
      <c r="AM90" s="5" t="e">
        <f>数出表_Excel!V90</f>
        <v>#N/A</v>
      </c>
      <c r="AN90" s="7" t="e">
        <f>数出表_Excel!W90</f>
        <v>#N/A</v>
      </c>
    </row>
    <row r="91" spans="1:40" x14ac:dyDescent="0.45">
      <c r="A91" s="8" t="e">
        <f>数出表_Excel!A91</f>
        <v>#N/A</v>
      </c>
      <c r="B91" s="46" t="e">
        <f>数出表_Excel!B91</f>
        <v>#N/A</v>
      </c>
      <c r="C91" s="46"/>
      <c r="D91" s="46" t="e">
        <f>数出表_Excel!C91</f>
        <v>#N/A</v>
      </c>
      <c r="E91" s="46"/>
      <c r="F91" s="46" t="e">
        <f>数出表_Excel!D91</f>
        <v>#N/A</v>
      </c>
      <c r="G91" s="46"/>
      <c r="H91" s="46" t="e">
        <f>数出表_Excel!E91</f>
        <v>#N/A</v>
      </c>
      <c r="I91" s="46"/>
      <c r="J91" s="46" t="e">
        <f>数出表_Excel!F91</f>
        <v>#N/A</v>
      </c>
      <c r="K91" s="46"/>
      <c r="L91" s="46" t="e">
        <f>数出表_Excel!G91</f>
        <v>#N/A</v>
      </c>
      <c r="M91" s="46"/>
      <c r="N91" s="46" t="e">
        <f>数出表_Excel!H91</f>
        <v>#N/A</v>
      </c>
      <c r="O91" s="46"/>
      <c r="P91" s="46" t="e">
        <f>数出表_Excel!I91</f>
        <v>#N/A</v>
      </c>
      <c r="Q91" s="46"/>
      <c r="R91" s="46" t="e">
        <f>数出表_Excel!J91</f>
        <v>#N/A</v>
      </c>
      <c r="S91" s="46"/>
      <c r="T91" s="46" t="e">
        <f>数出表_Excel!K91</f>
        <v>#N/A</v>
      </c>
      <c r="U91" s="46"/>
      <c r="V91" s="46" t="e">
        <f>数出表_Excel!L91</f>
        <v>#N/A</v>
      </c>
      <c r="W91" s="46"/>
      <c r="X91" s="46" t="e">
        <f>数出表_Excel!M91</f>
        <v>#N/A</v>
      </c>
      <c r="Y91" s="46"/>
      <c r="Z91" s="46" t="e">
        <f>数出表_Excel!N91</f>
        <v>#N/A</v>
      </c>
      <c r="AA91" s="46"/>
      <c r="AB91" s="46" t="e">
        <f>数出表_Excel!O91</f>
        <v>#N/A</v>
      </c>
      <c r="AC91" s="46"/>
      <c r="AD91" s="46" t="e">
        <f>数出表_Excel!P91</f>
        <v>#N/A</v>
      </c>
      <c r="AE91" s="46"/>
      <c r="AF91" s="46" t="e">
        <f>数出表_Excel!Q91</f>
        <v>#N/A</v>
      </c>
      <c r="AG91" s="46"/>
      <c r="AH91" s="46" t="e">
        <f>数出表_Excel!R91</f>
        <v>#N/A</v>
      </c>
      <c r="AI91" s="46"/>
      <c r="AJ91" s="46" t="e">
        <f>数出表_Excel!T91</f>
        <v>#N/A</v>
      </c>
      <c r="AK91" s="46"/>
      <c r="AL91" s="46" t="e">
        <f>数出表_Excel!T91</f>
        <v>#N/A</v>
      </c>
      <c r="AM91" s="8" t="e">
        <f>数出表_Excel!V91</f>
        <v>#N/A</v>
      </c>
      <c r="AN91" s="9" t="e">
        <f>数出表_Excel!W91</f>
        <v>#N/A</v>
      </c>
    </row>
    <row r="92" spans="1:40" x14ac:dyDescent="0.45">
      <c r="A92" s="5" t="e">
        <f>数出表_Excel!A92</f>
        <v>#N/A</v>
      </c>
      <c r="B92" s="16" t="e">
        <f>数出表_Excel!B92</f>
        <v>#N/A</v>
      </c>
      <c r="C92" s="60"/>
      <c r="D92" s="16" t="e">
        <f>数出表_Excel!C92</f>
        <v>#N/A</v>
      </c>
      <c r="E92" s="60"/>
      <c r="F92" s="16" t="e">
        <f>数出表_Excel!D92</f>
        <v>#N/A</v>
      </c>
      <c r="G92" s="60"/>
      <c r="H92" s="16" t="e">
        <f>数出表_Excel!E92</f>
        <v>#N/A</v>
      </c>
      <c r="I92" s="60"/>
      <c r="J92" s="16" t="e">
        <f>数出表_Excel!F92</f>
        <v>#N/A</v>
      </c>
      <c r="K92" s="60"/>
      <c r="L92" s="16" t="e">
        <f>数出表_Excel!G92</f>
        <v>#N/A</v>
      </c>
      <c r="M92" s="60"/>
      <c r="N92" s="16" t="e">
        <f>数出表_Excel!H92</f>
        <v>#N/A</v>
      </c>
      <c r="O92" s="60"/>
      <c r="P92" s="16" t="e">
        <f>数出表_Excel!I92</f>
        <v>#N/A</v>
      </c>
      <c r="Q92" s="60"/>
      <c r="R92" s="16" t="e">
        <f>数出表_Excel!J92</f>
        <v>#N/A</v>
      </c>
      <c r="S92" s="60"/>
      <c r="T92" s="16" t="e">
        <f>数出表_Excel!K92</f>
        <v>#N/A</v>
      </c>
      <c r="U92" s="60"/>
      <c r="V92" s="16" t="e">
        <f>数出表_Excel!L92</f>
        <v>#N/A</v>
      </c>
      <c r="W92" s="60"/>
      <c r="X92" s="16" t="e">
        <f>数出表_Excel!M92</f>
        <v>#N/A</v>
      </c>
      <c r="Y92" s="60"/>
      <c r="Z92" s="16" t="e">
        <f>数出表_Excel!N92</f>
        <v>#N/A</v>
      </c>
      <c r="AA92" s="60"/>
      <c r="AB92" s="16" t="e">
        <f>数出表_Excel!O92</f>
        <v>#N/A</v>
      </c>
      <c r="AC92" s="60"/>
      <c r="AD92" s="16" t="e">
        <f>数出表_Excel!P92</f>
        <v>#N/A</v>
      </c>
      <c r="AE92" s="60"/>
      <c r="AF92" s="16" t="e">
        <f>数出表_Excel!Q92</f>
        <v>#N/A</v>
      </c>
      <c r="AG92" s="60"/>
      <c r="AH92" s="16" t="e">
        <f>数出表_Excel!R92</f>
        <v>#N/A</v>
      </c>
      <c r="AI92" s="60"/>
      <c r="AJ92" s="16" t="e">
        <f>数出表_Excel!T92</f>
        <v>#N/A</v>
      </c>
      <c r="AK92" s="60"/>
      <c r="AL92" s="16" t="e">
        <f>数出表_Excel!T92</f>
        <v>#N/A</v>
      </c>
      <c r="AM92" s="5" t="e">
        <f>数出表_Excel!V92</f>
        <v>#N/A</v>
      </c>
      <c r="AN92" s="7" t="e">
        <f>数出表_Excel!W92</f>
        <v>#N/A</v>
      </c>
    </row>
    <row r="93" spans="1:40" x14ac:dyDescent="0.45">
      <c r="A93" s="8" t="e">
        <f>数出表_Excel!A93</f>
        <v>#N/A</v>
      </c>
      <c r="B93" s="46" t="e">
        <f>数出表_Excel!B93</f>
        <v>#N/A</v>
      </c>
      <c r="C93" s="46"/>
      <c r="D93" s="46" t="e">
        <f>数出表_Excel!C93</f>
        <v>#N/A</v>
      </c>
      <c r="E93" s="46"/>
      <c r="F93" s="46" t="e">
        <f>数出表_Excel!D93</f>
        <v>#N/A</v>
      </c>
      <c r="G93" s="46"/>
      <c r="H93" s="46" t="e">
        <f>数出表_Excel!E93</f>
        <v>#N/A</v>
      </c>
      <c r="I93" s="46"/>
      <c r="J93" s="46" t="e">
        <f>数出表_Excel!F93</f>
        <v>#N/A</v>
      </c>
      <c r="K93" s="46"/>
      <c r="L93" s="46" t="e">
        <f>数出表_Excel!G93</f>
        <v>#N/A</v>
      </c>
      <c r="M93" s="46"/>
      <c r="N93" s="46" t="e">
        <f>数出表_Excel!H93</f>
        <v>#N/A</v>
      </c>
      <c r="O93" s="46"/>
      <c r="P93" s="46" t="e">
        <f>数出表_Excel!I93</f>
        <v>#N/A</v>
      </c>
      <c r="Q93" s="46"/>
      <c r="R93" s="46" t="e">
        <f>数出表_Excel!J93</f>
        <v>#N/A</v>
      </c>
      <c r="S93" s="46"/>
      <c r="T93" s="46" t="e">
        <f>数出表_Excel!K93</f>
        <v>#N/A</v>
      </c>
      <c r="U93" s="46"/>
      <c r="V93" s="46" t="e">
        <f>数出表_Excel!L93</f>
        <v>#N/A</v>
      </c>
      <c r="W93" s="46"/>
      <c r="X93" s="46" t="e">
        <f>数出表_Excel!M93</f>
        <v>#N/A</v>
      </c>
      <c r="Y93" s="46"/>
      <c r="Z93" s="46" t="e">
        <f>数出表_Excel!N93</f>
        <v>#N/A</v>
      </c>
      <c r="AA93" s="46"/>
      <c r="AB93" s="46" t="e">
        <f>数出表_Excel!O93</f>
        <v>#N/A</v>
      </c>
      <c r="AC93" s="46"/>
      <c r="AD93" s="46" t="e">
        <f>数出表_Excel!P93</f>
        <v>#N/A</v>
      </c>
      <c r="AE93" s="46"/>
      <c r="AF93" s="46" t="e">
        <f>数出表_Excel!Q93</f>
        <v>#N/A</v>
      </c>
      <c r="AG93" s="46"/>
      <c r="AH93" s="46" t="e">
        <f>数出表_Excel!R93</f>
        <v>#N/A</v>
      </c>
      <c r="AI93" s="46"/>
      <c r="AJ93" s="46" t="e">
        <f>数出表_Excel!T93</f>
        <v>#N/A</v>
      </c>
      <c r="AK93" s="46"/>
      <c r="AL93" s="46" t="e">
        <f>数出表_Excel!T93</f>
        <v>#N/A</v>
      </c>
      <c r="AM93" s="8" t="e">
        <f>数出表_Excel!V93</f>
        <v>#N/A</v>
      </c>
      <c r="AN93" s="9" t="e">
        <f>数出表_Excel!W93</f>
        <v>#N/A</v>
      </c>
    </row>
    <row r="94" spans="1:40" x14ac:dyDescent="0.45">
      <c r="A94" s="5" t="e">
        <f>数出表_Excel!A94</f>
        <v>#N/A</v>
      </c>
      <c r="B94" s="16" t="e">
        <f>数出表_Excel!B94</f>
        <v>#N/A</v>
      </c>
      <c r="C94" s="60"/>
      <c r="D94" s="16" t="e">
        <f>数出表_Excel!C94</f>
        <v>#N/A</v>
      </c>
      <c r="E94" s="60"/>
      <c r="F94" s="16" t="e">
        <f>数出表_Excel!D94</f>
        <v>#N/A</v>
      </c>
      <c r="G94" s="60"/>
      <c r="H94" s="16" t="e">
        <f>数出表_Excel!E94</f>
        <v>#N/A</v>
      </c>
      <c r="I94" s="60"/>
      <c r="J94" s="16" t="e">
        <f>数出表_Excel!F94</f>
        <v>#N/A</v>
      </c>
      <c r="K94" s="60"/>
      <c r="L94" s="16" t="e">
        <f>数出表_Excel!G94</f>
        <v>#N/A</v>
      </c>
      <c r="M94" s="60"/>
      <c r="N94" s="16" t="e">
        <f>数出表_Excel!H94</f>
        <v>#N/A</v>
      </c>
      <c r="O94" s="60"/>
      <c r="P94" s="16" t="e">
        <f>数出表_Excel!I94</f>
        <v>#N/A</v>
      </c>
      <c r="Q94" s="60"/>
      <c r="R94" s="16" t="e">
        <f>数出表_Excel!J94</f>
        <v>#N/A</v>
      </c>
      <c r="S94" s="60"/>
      <c r="T94" s="16" t="e">
        <f>数出表_Excel!K94</f>
        <v>#N/A</v>
      </c>
      <c r="U94" s="60"/>
      <c r="V94" s="16" t="e">
        <f>数出表_Excel!L94</f>
        <v>#N/A</v>
      </c>
      <c r="W94" s="60"/>
      <c r="X94" s="16" t="e">
        <f>数出表_Excel!M94</f>
        <v>#N/A</v>
      </c>
      <c r="Y94" s="60"/>
      <c r="Z94" s="16" t="e">
        <f>数出表_Excel!N94</f>
        <v>#N/A</v>
      </c>
      <c r="AA94" s="60"/>
      <c r="AB94" s="16" t="e">
        <f>数出表_Excel!O94</f>
        <v>#N/A</v>
      </c>
      <c r="AC94" s="60"/>
      <c r="AD94" s="16" t="e">
        <f>数出表_Excel!P94</f>
        <v>#N/A</v>
      </c>
      <c r="AE94" s="60"/>
      <c r="AF94" s="16" t="e">
        <f>数出表_Excel!Q94</f>
        <v>#N/A</v>
      </c>
      <c r="AG94" s="60"/>
      <c r="AH94" s="16" t="e">
        <f>数出表_Excel!R94</f>
        <v>#N/A</v>
      </c>
      <c r="AI94" s="60"/>
      <c r="AJ94" s="16" t="e">
        <f>数出表_Excel!T94</f>
        <v>#N/A</v>
      </c>
      <c r="AK94" s="60"/>
      <c r="AL94" s="16" t="e">
        <f>数出表_Excel!T94</f>
        <v>#N/A</v>
      </c>
      <c r="AM94" s="5" t="e">
        <f>数出表_Excel!V94</f>
        <v>#N/A</v>
      </c>
      <c r="AN94" s="7" t="e">
        <f>数出表_Excel!W94</f>
        <v>#N/A</v>
      </c>
    </row>
    <row r="95" spans="1:40" x14ac:dyDescent="0.45">
      <c r="A95" s="8" t="e">
        <f>数出表_Excel!A95</f>
        <v>#N/A</v>
      </c>
      <c r="B95" s="46" t="e">
        <f>数出表_Excel!B95</f>
        <v>#N/A</v>
      </c>
      <c r="C95" s="46"/>
      <c r="D95" s="46" t="e">
        <f>数出表_Excel!C95</f>
        <v>#N/A</v>
      </c>
      <c r="E95" s="46"/>
      <c r="F95" s="46" t="e">
        <f>数出表_Excel!D95</f>
        <v>#N/A</v>
      </c>
      <c r="G95" s="46"/>
      <c r="H95" s="46" t="e">
        <f>数出表_Excel!E95</f>
        <v>#N/A</v>
      </c>
      <c r="I95" s="46"/>
      <c r="J95" s="46" t="e">
        <f>数出表_Excel!F95</f>
        <v>#N/A</v>
      </c>
      <c r="K95" s="46"/>
      <c r="L95" s="46" t="e">
        <f>数出表_Excel!G95</f>
        <v>#N/A</v>
      </c>
      <c r="M95" s="46"/>
      <c r="N95" s="46" t="e">
        <f>数出表_Excel!H95</f>
        <v>#N/A</v>
      </c>
      <c r="O95" s="46"/>
      <c r="P95" s="46" t="e">
        <f>数出表_Excel!I95</f>
        <v>#N/A</v>
      </c>
      <c r="Q95" s="46"/>
      <c r="R95" s="46" t="e">
        <f>数出表_Excel!J95</f>
        <v>#N/A</v>
      </c>
      <c r="S95" s="46"/>
      <c r="T95" s="46" t="e">
        <f>数出表_Excel!K95</f>
        <v>#N/A</v>
      </c>
      <c r="U95" s="46"/>
      <c r="V95" s="46" t="e">
        <f>数出表_Excel!L95</f>
        <v>#N/A</v>
      </c>
      <c r="W95" s="46"/>
      <c r="X95" s="46" t="e">
        <f>数出表_Excel!M95</f>
        <v>#N/A</v>
      </c>
      <c r="Y95" s="46"/>
      <c r="Z95" s="46" t="e">
        <f>数出表_Excel!N95</f>
        <v>#N/A</v>
      </c>
      <c r="AA95" s="46"/>
      <c r="AB95" s="46" t="e">
        <f>数出表_Excel!O95</f>
        <v>#N/A</v>
      </c>
      <c r="AC95" s="46"/>
      <c r="AD95" s="46" t="e">
        <f>数出表_Excel!P95</f>
        <v>#N/A</v>
      </c>
      <c r="AE95" s="46"/>
      <c r="AF95" s="46" t="e">
        <f>数出表_Excel!Q95</f>
        <v>#N/A</v>
      </c>
      <c r="AG95" s="46"/>
      <c r="AH95" s="46" t="e">
        <f>数出表_Excel!R95</f>
        <v>#N/A</v>
      </c>
      <c r="AI95" s="46"/>
      <c r="AJ95" s="46" t="e">
        <f>数出表_Excel!T95</f>
        <v>#N/A</v>
      </c>
      <c r="AK95" s="46"/>
      <c r="AL95" s="46" t="e">
        <f>数出表_Excel!T95</f>
        <v>#N/A</v>
      </c>
      <c r="AM95" s="8" t="e">
        <f>数出表_Excel!V95</f>
        <v>#N/A</v>
      </c>
      <c r="AN95" s="9" t="e">
        <f>数出表_Excel!W95</f>
        <v>#N/A</v>
      </c>
    </row>
    <row r="96" spans="1:40" x14ac:dyDescent="0.45">
      <c r="A96" s="5" t="e">
        <f>数出表_Excel!A96</f>
        <v>#N/A</v>
      </c>
      <c r="B96" s="16" t="e">
        <f>数出表_Excel!B96</f>
        <v>#N/A</v>
      </c>
      <c r="C96" s="60"/>
      <c r="D96" s="16" t="e">
        <f>数出表_Excel!C96</f>
        <v>#N/A</v>
      </c>
      <c r="E96" s="60"/>
      <c r="F96" s="16" t="e">
        <f>数出表_Excel!D96</f>
        <v>#N/A</v>
      </c>
      <c r="G96" s="60"/>
      <c r="H96" s="16" t="e">
        <f>数出表_Excel!E96</f>
        <v>#N/A</v>
      </c>
      <c r="I96" s="60"/>
      <c r="J96" s="16" t="e">
        <f>数出表_Excel!F96</f>
        <v>#N/A</v>
      </c>
      <c r="K96" s="60"/>
      <c r="L96" s="16" t="e">
        <f>数出表_Excel!G96</f>
        <v>#N/A</v>
      </c>
      <c r="M96" s="60"/>
      <c r="N96" s="16" t="e">
        <f>数出表_Excel!H96</f>
        <v>#N/A</v>
      </c>
      <c r="O96" s="60"/>
      <c r="P96" s="16" t="e">
        <f>数出表_Excel!I96</f>
        <v>#N/A</v>
      </c>
      <c r="Q96" s="60"/>
      <c r="R96" s="16" t="e">
        <f>数出表_Excel!J96</f>
        <v>#N/A</v>
      </c>
      <c r="S96" s="60"/>
      <c r="T96" s="16" t="e">
        <f>数出表_Excel!K96</f>
        <v>#N/A</v>
      </c>
      <c r="U96" s="60"/>
      <c r="V96" s="16" t="e">
        <f>数出表_Excel!L96</f>
        <v>#N/A</v>
      </c>
      <c r="W96" s="60"/>
      <c r="X96" s="16" t="e">
        <f>数出表_Excel!M96</f>
        <v>#N/A</v>
      </c>
      <c r="Y96" s="60"/>
      <c r="Z96" s="16" t="e">
        <f>数出表_Excel!N96</f>
        <v>#N/A</v>
      </c>
      <c r="AA96" s="60"/>
      <c r="AB96" s="16" t="e">
        <f>数出表_Excel!O96</f>
        <v>#N/A</v>
      </c>
      <c r="AC96" s="60"/>
      <c r="AD96" s="16" t="e">
        <f>数出表_Excel!P96</f>
        <v>#N/A</v>
      </c>
      <c r="AE96" s="60"/>
      <c r="AF96" s="16" t="e">
        <f>数出表_Excel!Q96</f>
        <v>#N/A</v>
      </c>
      <c r="AG96" s="60"/>
      <c r="AH96" s="16" t="e">
        <f>数出表_Excel!R96</f>
        <v>#N/A</v>
      </c>
      <c r="AI96" s="60"/>
      <c r="AJ96" s="16" t="e">
        <f>数出表_Excel!T96</f>
        <v>#N/A</v>
      </c>
      <c r="AK96" s="60"/>
      <c r="AL96" s="16" t="e">
        <f>数出表_Excel!T96</f>
        <v>#N/A</v>
      </c>
      <c r="AM96" s="5" t="e">
        <f>数出表_Excel!V96</f>
        <v>#N/A</v>
      </c>
      <c r="AN96" s="7" t="e">
        <f>数出表_Excel!W96</f>
        <v>#N/A</v>
      </c>
    </row>
    <row r="97" spans="1:40" x14ac:dyDescent="0.45">
      <c r="A97" s="8" t="e">
        <f>数出表_Excel!A97</f>
        <v>#N/A</v>
      </c>
      <c r="B97" s="46" t="e">
        <f>数出表_Excel!B97</f>
        <v>#N/A</v>
      </c>
      <c r="C97" s="46"/>
      <c r="D97" s="46" t="e">
        <f>数出表_Excel!C97</f>
        <v>#N/A</v>
      </c>
      <c r="E97" s="46"/>
      <c r="F97" s="46" t="e">
        <f>数出表_Excel!D97</f>
        <v>#N/A</v>
      </c>
      <c r="G97" s="46"/>
      <c r="H97" s="46" t="e">
        <f>数出表_Excel!E97</f>
        <v>#N/A</v>
      </c>
      <c r="I97" s="46"/>
      <c r="J97" s="46" t="e">
        <f>数出表_Excel!F97</f>
        <v>#N/A</v>
      </c>
      <c r="K97" s="46"/>
      <c r="L97" s="46" t="e">
        <f>数出表_Excel!G97</f>
        <v>#N/A</v>
      </c>
      <c r="M97" s="46"/>
      <c r="N97" s="46" t="e">
        <f>数出表_Excel!H97</f>
        <v>#N/A</v>
      </c>
      <c r="O97" s="46"/>
      <c r="P97" s="46" t="e">
        <f>数出表_Excel!I97</f>
        <v>#N/A</v>
      </c>
      <c r="Q97" s="46"/>
      <c r="R97" s="46" t="e">
        <f>数出表_Excel!J97</f>
        <v>#N/A</v>
      </c>
      <c r="S97" s="46"/>
      <c r="T97" s="46" t="e">
        <f>数出表_Excel!K97</f>
        <v>#N/A</v>
      </c>
      <c r="U97" s="46"/>
      <c r="V97" s="46" t="e">
        <f>数出表_Excel!L97</f>
        <v>#N/A</v>
      </c>
      <c r="W97" s="46"/>
      <c r="X97" s="46" t="e">
        <f>数出表_Excel!M97</f>
        <v>#N/A</v>
      </c>
      <c r="Y97" s="46"/>
      <c r="Z97" s="46" t="e">
        <f>数出表_Excel!N97</f>
        <v>#N/A</v>
      </c>
      <c r="AA97" s="46"/>
      <c r="AB97" s="46" t="e">
        <f>数出表_Excel!O97</f>
        <v>#N/A</v>
      </c>
      <c r="AC97" s="46"/>
      <c r="AD97" s="46" t="e">
        <f>数出表_Excel!P97</f>
        <v>#N/A</v>
      </c>
      <c r="AE97" s="46"/>
      <c r="AF97" s="46" t="e">
        <f>数出表_Excel!Q97</f>
        <v>#N/A</v>
      </c>
      <c r="AG97" s="46"/>
      <c r="AH97" s="46" t="e">
        <f>数出表_Excel!R97</f>
        <v>#N/A</v>
      </c>
      <c r="AI97" s="46"/>
      <c r="AJ97" s="46" t="e">
        <f>数出表_Excel!T97</f>
        <v>#N/A</v>
      </c>
      <c r="AK97" s="46"/>
      <c r="AL97" s="46" t="e">
        <f>数出表_Excel!T97</f>
        <v>#N/A</v>
      </c>
      <c r="AM97" s="8" t="e">
        <f>数出表_Excel!V97</f>
        <v>#N/A</v>
      </c>
      <c r="AN97" s="9" t="e">
        <f>数出表_Excel!W97</f>
        <v>#N/A</v>
      </c>
    </row>
    <row r="98" spans="1:40" x14ac:dyDescent="0.45">
      <c r="A98" s="5" t="e">
        <f>数出表_Excel!A98</f>
        <v>#N/A</v>
      </c>
      <c r="B98" s="16" t="e">
        <f>数出表_Excel!B98</f>
        <v>#N/A</v>
      </c>
      <c r="C98" s="60"/>
      <c r="D98" s="16" t="e">
        <f>数出表_Excel!C98</f>
        <v>#N/A</v>
      </c>
      <c r="E98" s="60"/>
      <c r="F98" s="16" t="e">
        <f>数出表_Excel!D98</f>
        <v>#N/A</v>
      </c>
      <c r="G98" s="60"/>
      <c r="H98" s="16" t="e">
        <f>数出表_Excel!E98</f>
        <v>#N/A</v>
      </c>
      <c r="I98" s="60"/>
      <c r="J98" s="16" t="e">
        <f>数出表_Excel!F98</f>
        <v>#N/A</v>
      </c>
      <c r="K98" s="60"/>
      <c r="L98" s="16" t="e">
        <f>数出表_Excel!G98</f>
        <v>#N/A</v>
      </c>
      <c r="M98" s="60"/>
      <c r="N98" s="16" t="e">
        <f>数出表_Excel!H98</f>
        <v>#N/A</v>
      </c>
      <c r="O98" s="60"/>
      <c r="P98" s="16" t="e">
        <f>数出表_Excel!I98</f>
        <v>#N/A</v>
      </c>
      <c r="Q98" s="60"/>
      <c r="R98" s="16" t="e">
        <f>数出表_Excel!J98</f>
        <v>#N/A</v>
      </c>
      <c r="S98" s="60"/>
      <c r="T98" s="16" t="e">
        <f>数出表_Excel!K98</f>
        <v>#N/A</v>
      </c>
      <c r="U98" s="60"/>
      <c r="V98" s="16" t="e">
        <f>数出表_Excel!L98</f>
        <v>#N/A</v>
      </c>
      <c r="W98" s="60"/>
      <c r="X98" s="16" t="e">
        <f>数出表_Excel!M98</f>
        <v>#N/A</v>
      </c>
      <c r="Y98" s="60"/>
      <c r="Z98" s="16" t="e">
        <f>数出表_Excel!N98</f>
        <v>#N/A</v>
      </c>
      <c r="AA98" s="60"/>
      <c r="AB98" s="16" t="e">
        <f>数出表_Excel!O98</f>
        <v>#N/A</v>
      </c>
      <c r="AC98" s="60"/>
      <c r="AD98" s="16" t="e">
        <f>数出表_Excel!P98</f>
        <v>#N/A</v>
      </c>
      <c r="AE98" s="60"/>
      <c r="AF98" s="16" t="e">
        <f>数出表_Excel!Q98</f>
        <v>#N/A</v>
      </c>
      <c r="AG98" s="60"/>
      <c r="AH98" s="16" t="e">
        <f>数出表_Excel!R98</f>
        <v>#N/A</v>
      </c>
      <c r="AI98" s="60"/>
      <c r="AJ98" s="16" t="e">
        <f>数出表_Excel!T98</f>
        <v>#N/A</v>
      </c>
      <c r="AK98" s="60"/>
      <c r="AL98" s="16" t="e">
        <f>数出表_Excel!T98</f>
        <v>#N/A</v>
      </c>
      <c r="AM98" s="5" t="e">
        <f>数出表_Excel!V98</f>
        <v>#N/A</v>
      </c>
      <c r="AN98" s="7" t="e">
        <f>数出表_Excel!W98</f>
        <v>#N/A</v>
      </c>
    </row>
    <row r="99" spans="1:40" x14ac:dyDescent="0.45">
      <c r="A99" s="8" t="e">
        <f>数出表_Excel!A99</f>
        <v>#N/A</v>
      </c>
      <c r="B99" s="46" t="e">
        <f>数出表_Excel!B99</f>
        <v>#N/A</v>
      </c>
      <c r="C99" s="46"/>
      <c r="D99" s="46" t="e">
        <f>数出表_Excel!C99</f>
        <v>#N/A</v>
      </c>
      <c r="E99" s="46"/>
      <c r="F99" s="46" t="e">
        <f>数出表_Excel!D99</f>
        <v>#N/A</v>
      </c>
      <c r="G99" s="46"/>
      <c r="H99" s="46" t="e">
        <f>数出表_Excel!E99</f>
        <v>#N/A</v>
      </c>
      <c r="I99" s="46"/>
      <c r="J99" s="46" t="e">
        <f>数出表_Excel!F99</f>
        <v>#N/A</v>
      </c>
      <c r="K99" s="46"/>
      <c r="L99" s="46" t="e">
        <f>数出表_Excel!G99</f>
        <v>#N/A</v>
      </c>
      <c r="M99" s="46"/>
      <c r="N99" s="46" t="e">
        <f>数出表_Excel!H99</f>
        <v>#N/A</v>
      </c>
      <c r="O99" s="46"/>
      <c r="P99" s="46" t="e">
        <f>数出表_Excel!I99</f>
        <v>#N/A</v>
      </c>
      <c r="Q99" s="46"/>
      <c r="R99" s="46" t="e">
        <f>数出表_Excel!J99</f>
        <v>#N/A</v>
      </c>
      <c r="S99" s="46"/>
      <c r="T99" s="46" t="e">
        <f>数出表_Excel!K99</f>
        <v>#N/A</v>
      </c>
      <c r="U99" s="46"/>
      <c r="V99" s="46" t="e">
        <f>数出表_Excel!L99</f>
        <v>#N/A</v>
      </c>
      <c r="W99" s="46"/>
      <c r="X99" s="46" t="e">
        <f>数出表_Excel!M99</f>
        <v>#N/A</v>
      </c>
      <c r="Y99" s="46"/>
      <c r="Z99" s="46" t="e">
        <f>数出表_Excel!N99</f>
        <v>#N/A</v>
      </c>
      <c r="AA99" s="46"/>
      <c r="AB99" s="46" t="e">
        <f>数出表_Excel!O99</f>
        <v>#N/A</v>
      </c>
      <c r="AC99" s="46"/>
      <c r="AD99" s="46" t="e">
        <f>数出表_Excel!P99</f>
        <v>#N/A</v>
      </c>
      <c r="AE99" s="46"/>
      <c r="AF99" s="46" t="e">
        <f>数出表_Excel!Q99</f>
        <v>#N/A</v>
      </c>
      <c r="AG99" s="46"/>
      <c r="AH99" s="46" t="e">
        <f>数出表_Excel!R99</f>
        <v>#N/A</v>
      </c>
      <c r="AI99" s="46"/>
      <c r="AJ99" s="46" t="e">
        <f>数出表_Excel!T99</f>
        <v>#N/A</v>
      </c>
      <c r="AK99" s="46"/>
      <c r="AL99" s="46" t="e">
        <f>数出表_Excel!T99</f>
        <v>#N/A</v>
      </c>
      <c r="AM99" s="8" t="e">
        <f>数出表_Excel!V99</f>
        <v>#N/A</v>
      </c>
      <c r="AN99" s="9" t="e">
        <f>数出表_Excel!W99</f>
        <v>#N/A</v>
      </c>
    </row>
    <row r="100" spans="1:40" x14ac:dyDescent="0.45">
      <c r="A100" s="5" t="e">
        <f>数出表_Excel!A100</f>
        <v>#N/A</v>
      </c>
      <c r="B100" s="16" t="e">
        <f>数出表_Excel!B100</f>
        <v>#N/A</v>
      </c>
      <c r="C100" s="60"/>
      <c r="D100" s="16" t="e">
        <f>数出表_Excel!C100</f>
        <v>#N/A</v>
      </c>
      <c r="E100" s="60"/>
      <c r="F100" s="16" t="e">
        <f>数出表_Excel!D100</f>
        <v>#N/A</v>
      </c>
      <c r="G100" s="60"/>
      <c r="H100" s="16" t="e">
        <f>数出表_Excel!E100</f>
        <v>#N/A</v>
      </c>
      <c r="I100" s="60"/>
      <c r="J100" s="16" t="e">
        <f>数出表_Excel!F100</f>
        <v>#N/A</v>
      </c>
      <c r="K100" s="60"/>
      <c r="L100" s="16" t="e">
        <f>数出表_Excel!G100</f>
        <v>#N/A</v>
      </c>
      <c r="M100" s="60"/>
      <c r="N100" s="16" t="e">
        <f>数出表_Excel!H100</f>
        <v>#N/A</v>
      </c>
      <c r="O100" s="60"/>
      <c r="P100" s="16" t="e">
        <f>数出表_Excel!I100</f>
        <v>#N/A</v>
      </c>
      <c r="Q100" s="60"/>
      <c r="R100" s="16" t="e">
        <f>数出表_Excel!J100</f>
        <v>#N/A</v>
      </c>
      <c r="S100" s="60"/>
      <c r="T100" s="16" t="e">
        <f>数出表_Excel!K100</f>
        <v>#N/A</v>
      </c>
      <c r="U100" s="60"/>
      <c r="V100" s="16" t="e">
        <f>数出表_Excel!L100</f>
        <v>#N/A</v>
      </c>
      <c r="W100" s="60"/>
      <c r="X100" s="16" t="e">
        <f>数出表_Excel!M100</f>
        <v>#N/A</v>
      </c>
      <c r="Y100" s="60"/>
      <c r="Z100" s="16" t="e">
        <f>数出表_Excel!N100</f>
        <v>#N/A</v>
      </c>
      <c r="AA100" s="60"/>
      <c r="AB100" s="16" t="e">
        <f>数出表_Excel!O100</f>
        <v>#N/A</v>
      </c>
      <c r="AC100" s="60"/>
      <c r="AD100" s="16" t="e">
        <f>数出表_Excel!P100</f>
        <v>#N/A</v>
      </c>
      <c r="AE100" s="60"/>
      <c r="AF100" s="16" t="e">
        <f>数出表_Excel!Q100</f>
        <v>#N/A</v>
      </c>
      <c r="AG100" s="60"/>
      <c r="AH100" s="16" t="e">
        <f>数出表_Excel!R100</f>
        <v>#N/A</v>
      </c>
      <c r="AI100" s="60"/>
      <c r="AJ100" s="16" t="e">
        <f>数出表_Excel!T100</f>
        <v>#N/A</v>
      </c>
      <c r="AK100" s="60"/>
      <c r="AL100" s="16" t="e">
        <f>数出表_Excel!T100</f>
        <v>#N/A</v>
      </c>
      <c r="AM100" s="5" t="e">
        <f>数出表_Excel!V100</f>
        <v>#N/A</v>
      </c>
      <c r="AN100" s="7" t="e">
        <f>数出表_Excel!W100</f>
        <v>#N/A</v>
      </c>
    </row>
    <row r="101" spans="1:40" x14ac:dyDescent="0.45">
      <c r="A101" s="8" t="e">
        <f>数出表_Excel!A101</f>
        <v>#N/A</v>
      </c>
      <c r="B101" s="46" t="e">
        <f>数出表_Excel!B101</f>
        <v>#N/A</v>
      </c>
      <c r="C101" s="46"/>
      <c r="D101" s="46" t="e">
        <f>数出表_Excel!C101</f>
        <v>#N/A</v>
      </c>
      <c r="E101" s="46"/>
      <c r="F101" s="46" t="e">
        <f>数出表_Excel!D101</f>
        <v>#N/A</v>
      </c>
      <c r="G101" s="46"/>
      <c r="H101" s="46" t="e">
        <f>数出表_Excel!E101</f>
        <v>#N/A</v>
      </c>
      <c r="I101" s="46"/>
      <c r="J101" s="46" t="e">
        <f>数出表_Excel!F101</f>
        <v>#N/A</v>
      </c>
      <c r="K101" s="46"/>
      <c r="L101" s="46" t="e">
        <f>数出表_Excel!G101</f>
        <v>#N/A</v>
      </c>
      <c r="M101" s="46"/>
      <c r="N101" s="46" t="e">
        <f>数出表_Excel!H101</f>
        <v>#N/A</v>
      </c>
      <c r="O101" s="46"/>
      <c r="P101" s="46" t="e">
        <f>数出表_Excel!I101</f>
        <v>#N/A</v>
      </c>
      <c r="Q101" s="46"/>
      <c r="R101" s="46" t="e">
        <f>数出表_Excel!J101</f>
        <v>#N/A</v>
      </c>
      <c r="S101" s="46"/>
      <c r="T101" s="46" t="e">
        <f>数出表_Excel!K101</f>
        <v>#N/A</v>
      </c>
      <c r="U101" s="46"/>
      <c r="V101" s="46" t="e">
        <f>数出表_Excel!L101</f>
        <v>#N/A</v>
      </c>
      <c r="W101" s="46"/>
      <c r="X101" s="46" t="e">
        <f>数出表_Excel!M101</f>
        <v>#N/A</v>
      </c>
      <c r="Y101" s="46"/>
      <c r="Z101" s="46" t="e">
        <f>数出表_Excel!N101</f>
        <v>#N/A</v>
      </c>
      <c r="AA101" s="46"/>
      <c r="AB101" s="46" t="e">
        <f>数出表_Excel!O101</f>
        <v>#N/A</v>
      </c>
      <c r="AC101" s="46"/>
      <c r="AD101" s="46" t="e">
        <f>数出表_Excel!P101</f>
        <v>#N/A</v>
      </c>
      <c r="AE101" s="46"/>
      <c r="AF101" s="46" t="e">
        <f>数出表_Excel!Q101</f>
        <v>#N/A</v>
      </c>
      <c r="AG101" s="46"/>
      <c r="AH101" s="46" t="e">
        <f>数出表_Excel!R101</f>
        <v>#N/A</v>
      </c>
      <c r="AI101" s="46"/>
      <c r="AJ101" s="46" t="e">
        <f>数出表_Excel!T101</f>
        <v>#N/A</v>
      </c>
      <c r="AK101" s="46"/>
      <c r="AL101" s="46" t="e">
        <f>数出表_Excel!T101</f>
        <v>#N/A</v>
      </c>
      <c r="AM101" s="8" t="e">
        <f>数出表_Excel!V101</f>
        <v>#N/A</v>
      </c>
      <c r="AN101" s="9" t="e">
        <f>数出表_Excel!W101</f>
        <v>#N/A</v>
      </c>
    </row>
    <row r="102" spans="1:40" x14ac:dyDescent="0.45">
      <c r="A102" s="5" t="e">
        <f>数出表_Excel!A102</f>
        <v>#N/A</v>
      </c>
      <c r="B102" s="16" t="e">
        <f>数出表_Excel!B102</f>
        <v>#N/A</v>
      </c>
      <c r="C102" s="60"/>
      <c r="D102" s="16" t="e">
        <f>数出表_Excel!C102</f>
        <v>#N/A</v>
      </c>
      <c r="E102" s="60"/>
      <c r="F102" s="16" t="e">
        <f>数出表_Excel!D102</f>
        <v>#N/A</v>
      </c>
      <c r="G102" s="60"/>
      <c r="H102" s="16" t="e">
        <f>数出表_Excel!E102</f>
        <v>#N/A</v>
      </c>
      <c r="I102" s="60"/>
      <c r="J102" s="16" t="e">
        <f>数出表_Excel!F102</f>
        <v>#N/A</v>
      </c>
      <c r="K102" s="60"/>
      <c r="L102" s="16" t="e">
        <f>数出表_Excel!G102</f>
        <v>#N/A</v>
      </c>
      <c r="M102" s="60"/>
      <c r="N102" s="16" t="e">
        <f>数出表_Excel!H102</f>
        <v>#N/A</v>
      </c>
      <c r="O102" s="60"/>
      <c r="P102" s="16" t="e">
        <f>数出表_Excel!I102</f>
        <v>#N/A</v>
      </c>
      <c r="Q102" s="60"/>
      <c r="R102" s="16" t="e">
        <f>数出表_Excel!J102</f>
        <v>#N/A</v>
      </c>
      <c r="S102" s="60"/>
      <c r="T102" s="16" t="e">
        <f>数出表_Excel!K102</f>
        <v>#N/A</v>
      </c>
      <c r="U102" s="60"/>
      <c r="V102" s="16" t="e">
        <f>数出表_Excel!L102</f>
        <v>#N/A</v>
      </c>
      <c r="W102" s="60"/>
      <c r="X102" s="16" t="e">
        <f>数出表_Excel!M102</f>
        <v>#N/A</v>
      </c>
      <c r="Y102" s="60"/>
      <c r="Z102" s="16" t="e">
        <f>数出表_Excel!N102</f>
        <v>#N/A</v>
      </c>
      <c r="AA102" s="60"/>
      <c r="AB102" s="16" t="e">
        <f>数出表_Excel!O102</f>
        <v>#N/A</v>
      </c>
      <c r="AC102" s="60"/>
      <c r="AD102" s="16" t="e">
        <f>数出表_Excel!P102</f>
        <v>#N/A</v>
      </c>
      <c r="AE102" s="60"/>
      <c r="AF102" s="16" t="e">
        <f>数出表_Excel!Q102</f>
        <v>#N/A</v>
      </c>
      <c r="AG102" s="60"/>
      <c r="AH102" s="16" t="e">
        <f>数出表_Excel!R102</f>
        <v>#N/A</v>
      </c>
      <c r="AI102" s="60"/>
      <c r="AJ102" s="16" t="e">
        <f>数出表_Excel!T102</f>
        <v>#N/A</v>
      </c>
      <c r="AK102" s="60"/>
      <c r="AL102" s="16" t="e">
        <f>数出表_Excel!T102</f>
        <v>#N/A</v>
      </c>
      <c r="AM102" s="5" t="e">
        <f>数出表_Excel!V102</f>
        <v>#N/A</v>
      </c>
      <c r="AN102" s="7" t="e">
        <f>数出表_Excel!W102</f>
        <v>#N/A</v>
      </c>
    </row>
    <row r="103" spans="1:40" x14ac:dyDescent="0.45">
      <c r="A103" s="8" t="e">
        <f>数出表_Excel!A103</f>
        <v>#N/A</v>
      </c>
      <c r="B103" s="46" t="e">
        <f>数出表_Excel!B103</f>
        <v>#N/A</v>
      </c>
      <c r="C103" s="46"/>
      <c r="D103" s="46" t="e">
        <f>数出表_Excel!C103</f>
        <v>#N/A</v>
      </c>
      <c r="E103" s="46"/>
      <c r="F103" s="46" t="e">
        <f>数出表_Excel!D103</f>
        <v>#N/A</v>
      </c>
      <c r="G103" s="46"/>
      <c r="H103" s="46" t="e">
        <f>数出表_Excel!E103</f>
        <v>#N/A</v>
      </c>
      <c r="I103" s="46"/>
      <c r="J103" s="46" t="e">
        <f>数出表_Excel!F103</f>
        <v>#N/A</v>
      </c>
      <c r="K103" s="46"/>
      <c r="L103" s="46" t="e">
        <f>数出表_Excel!G103</f>
        <v>#N/A</v>
      </c>
      <c r="M103" s="46"/>
      <c r="N103" s="46" t="e">
        <f>数出表_Excel!H103</f>
        <v>#N/A</v>
      </c>
      <c r="O103" s="46"/>
      <c r="P103" s="46" t="e">
        <f>数出表_Excel!I103</f>
        <v>#N/A</v>
      </c>
      <c r="Q103" s="46"/>
      <c r="R103" s="46" t="e">
        <f>数出表_Excel!J103</f>
        <v>#N/A</v>
      </c>
      <c r="S103" s="46"/>
      <c r="T103" s="46" t="e">
        <f>数出表_Excel!K103</f>
        <v>#N/A</v>
      </c>
      <c r="U103" s="46"/>
      <c r="V103" s="46" t="e">
        <f>数出表_Excel!L103</f>
        <v>#N/A</v>
      </c>
      <c r="W103" s="46"/>
      <c r="X103" s="46" t="e">
        <f>数出表_Excel!M103</f>
        <v>#N/A</v>
      </c>
      <c r="Y103" s="46"/>
      <c r="Z103" s="46" t="e">
        <f>数出表_Excel!N103</f>
        <v>#N/A</v>
      </c>
      <c r="AA103" s="46"/>
      <c r="AB103" s="46" t="e">
        <f>数出表_Excel!O103</f>
        <v>#N/A</v>
      </c>
      <c r="AC103" s="46"/>
      <c r="AD103" s="46" t="e">
        <f>数出表_Excel!P103</f>
        <v>#N/A</v>
      </c>
      <c r="AE103" s="46"/>
      <c r="AF103" s="46" t="e">
        <f>数出表_Excel!Q103</f>
        <v>#N/A</v>
      </c>
      <c r="AG103" s="46"/>
      <c r="AH103" s="46" t="e">
        <f>数出表_Excel!R103</f>
        <v>#N/A</v>
      </c>
      <c r="AI103" s="46"/>
      <c r="AJ103" s="46" t="e">
        <f>数出表_Excel!T103</f>
        <v>#N/A</v>
      </c>
      <c r="AK103" s="46"/>
      <c r="AL103" s="46" t="e">
        <f>数出表_Excel!T103</f>
        <v>#N/A</v>
      </c>
      <c r="AM103" s="8" t="e">
        <f>数出表_Excel!V103</f>
        <v>#N/A</v>
      </c>
      <c r="AN103" s="9" t="e">
        <f>数出表_Excel!W103</f>
        <v>#N/A</v>
      </c>
    </row>
    <row r="104" spans="1:40" x14ac:dyDescent="0.45">
      <c r="A104" s="5" t="e">
        <f>数出表_Excel!A104</f>
        <v>#N/A</v>
      </c>
      <c r="B104" s="16" t="e">
        <f>数出表_Excel!B104</f>
        <v>#N/A</v>
      </c>
      <c r="C104" s="60"/>
      <c r="D104" s="16" t="e">
        <f>数出表_Excel!C104</f>
        <v>#N/A</v>
      </c>
      <c r="E104" s="60"/>
      <c r="F104" s="16" t="e">
        <f>数出表_Excel!D104</f>
        <v>#N/A</v>
      </c>
      <c r="G104" s="60"/>
      <c r="H104" s="16" t="e">
        <f>数出表_Excel!E104</f>
        <v>#N/A</v>
      </c>
      <c r="I104" s="60"/>
      <c r="J104" s="16" t="e">
        <f>数出表_Excel!F104</f>
        <v>#N/A</v>
      </c>
      <c r="K104" s="60"/>
      <c r="L104" s="16" t="e">
        <f>数出表_Excel!G104</f>
        <v>#N/A</v>
      </c>
      <c r="M104" s="60"/>
      <c r="N104" s="16" t="e">
        <f>数出表_Excel!H104</f>
        <v>#N/A</v>
      </c>
      <c r="O104" s="60"/>
      <c r="P104" s="16" t="e">
        <f>数出表_Excel!I104</f>
        <v>#N/A</v>
      </c>
      <c r="Q104" s="60"/>
      <c r="R104" s="16" t="e">
        <f>数出表_Excel!J104</f>
        <v>#N/A</v>
      </c>
      <c r="S104" s="60"/>
      <c r="T104" s="16" t="e">
        <f>数出表_Excel!K104</f>
        <v>#N/A</v>
      </c>
      <c r="U104" s="60"/>
      <c r="V104" s="16" t="e">
        <f>数出表_Excel!L104</f>
        <v>#N/A</v>
      </c>
      <c r="W104" s="60"/>
      <c r="X104" s="16" t="e">
        <f>数出表_Excel!M104</f>
        <v>#N/A</v>
      </c>
      <c r="Y104" s="60"/>
      <c r="Z104" s="16" t="e">
        <f>数出表_Excel!N104</f>
        <v>#N/A</v>
      </c>
      <c r="AA104" s="60"/>
      <c r="AB104" s="16" t="e">
        <f>数出表_Excel!O104</f>
        <v>#N/A</v>
      </c>
      <c r="AC104" s="60"/>
      <c r="AD104" s="16" t="e">
        <f>数出表_Excel!P104</f>
        <v>#N/A</v>
      </c>
      <c r="AE104" s="60"/>
      <c r="AF104" s="16" t="e">
        <f>数出表_Excel!Q104</f>
        <v>#N/A</v>
      </c>
      <c r="AG104" s="60"/>
      <c r="AH104" s="16" t="e">
        <f>数出表_Excel!R104</f>
        <v>#N/A</v>
      </c>
      <c r="AI104" s="60"/>
      <c r="AJ104" s="16" t="e">
        <f>数出表_Excel!T104</f>
        <v>#N/A</v>
      </c>
      <c r="AK104" s="60"/>
      <c r="AL104" s="16" t="e">
        <f>数出表_Excel!T104</f>
        <v>#N/A</v>
      </c>
      <c r="AM104" s="5" t="e">
        <f>数出表_Excel!V104</f>
        <v>#N/A</v>
      </c>
      <c r="AN104" s="7" t="e">
        <f>数出表_Excel!W104</f>
        <v>#N/A</v>
      </c>
    </row>
    <row r="105" spans="1:40" x14ac:dyDescent="0.45">
      <c r="A105" s="8" t="e">
        <f>数出表_Excel!A105</f>
        <v>#N/A</v>
      </c>
      <c r="B105" s="46" t="e">
        <f>数出表_Excel!B105</f>
        <v>#N/A</v>
      </c>
      <c r="C105" s="46"/>
      <c r="D105" s="46" t="e">
        <f>数出表_Excel!C105</f>
        <v>#N/A</v>
      </c>
      <c r="E105" s="46"/>
      <c r="F105" s="46" t="e">
        <f>数出表_Excel!D105</f>
        <v>#N/A</v>
      </c>
      <c r="G105" s="46"/>
      <c r="H105" s="46" t="e">
        <f>数出表_Excel!E105</f>
        <v>#N/A</v>
      </c>
      <c r="I105" s="46"/>
      <c r="J105" s="46" t="e">
        <f>数出表_Excel!F105</f>
        <v>#N/A</v>
      </c>
      <c r="K105" s="46"/>
      <c r="L105" s="46" t="e">
        <f>数出表_Excel!G105</f>
        <v>#N/A</v>
      </c>
      <c r="M105" s="46"/>
      <c r="N105" s="46" t="e">
        <f>数出表_Excel!H105</f>
        <v>#N/A</v>
      </c>
      <c r="O105" s="46"/>
      <c r="P105" s="46" t="e">
        <f>数出表_Excel!I105</f>
        <v>#N/A</v>
      </c>
      <c r="Q105" s="46"/>
      <c r="R105" s="46" t="e">
        <f>数出表_Excel!J105</f>
        <v>#N/A</v>
      </c>
      <c r="S105" s="46"/>
      <c r="T105" s="46" t="e">
        <f>数出表_Excel!K105</f>
        <v>#N/A</v>
      </c>
      <c r="U105" s="46"/>
      <c r="V105" s="46" t="e">
        <f>数出表_Excel!L105</f>
        <v>#N/A</v>
      </c>
      <c r="W105" s="46"/>
      <c r="X105" s="46" t="e">
        <f>数出表_Excel!M105</f>
        <v>#N/A</v>
      </c>
      <c r="Y105" s="46"/>
      <c r="Z105" s="46" t="e">
        <f>数出表_Excel!N105</f>
        <v>#N/A</v>
      </c>
      <c r="AA105" s="46"/>
      <c r="AB105" s="46" t="e">
        <f>数出表_Excel!O105</f>
        <v>#N/A</v>
      </c>
      <c r="AC105" s="46"/>
      <c r="AD105" s="46" t="e">
        <f>数出表_Excel!P105</f>
        <v>#N/A</v>
      </c>
      <c r="AE105" s="46"/>
      <c r="AF105" s="46" t="e">
        <f>数出表_Excel!Q105</f>
        <v>#N/A</v>
      </c>
      <c r="AG105" s="46"/>
      <c r="AH105" s="46" t="e">
        <f>数出表_Excel!R105</f>
        <v>#N/A</v>
      </c>
      <c r="AI105" s="46"/>
      <c r="AJ105" s="46" t="e">
        <f>数出表_Excel!T105</f>
        <v>#N/A</v>
      </c>
      <c r="AK105" s="46"/>
      <c r="AL105" s="46" t="e">
        <f>数出表_Excel!T105</f>
        <v>#N/A</v>
      </c>
      <c r="AM105" s="8" t="e">
        <f>数出表_Excel!V105</f>
        <v>#N/A</v>
      </c>
      <c r="AN105" s="9" t="e">
        <f>数出表_Excel!W105</f>
        <v>#N/A</v>
      </c>
    </row>
    <row r="106" spans="1:40" x14ac:dyDescent="0.45">
      <c r="A106" s="5" t="e">
        <f>数出表_Excel!A106</f>
        <v>#N/A</v>
      </c>
      <c r="B106" s="16" t="e">
        <f>数出表_Excel!B106</f>
        <v>#N/A</v>
      </c>
      <c r="C106" s="60"/>
      <c r="D106" s="16" t="e">
        <f>数出表_Excel!C106</f>
        <v>#N/A</v>
      </c>
      <c r="E106" s="60"/>
      <c r="F106" s="16" t="e">
        <f>数出表_Excel!D106</f>
        <v>#N/A</v>
      </c>
      <c r="G106" s="60"/>
      <c r="H106" s="16" t="e">
        <f>数出表_Excel!E106</f>
        <v>#N/A</v>
      </c>
      <c r="I106" s="60"/>
      <c r="J106" s="16" t="e">
        <f>数出表_Excel!F106</f>
        <v>#N/A</v>
      </c>
      <c r="K106" s="60"/>
      <c r="L106" s="16" t="e">
        <f>数出表_Excel!G106</f>
        <v>#N/A</v>
      </c>
      <c r="M106" s="60"/>
      <c r="N106" s="16" t="e">
        <f>数出表_Excel!H106</f>
        <v>#N/A</v>
      </c>
      <c r="O106" s="60"/>
      <c r="P106" s="16" t="e">
        <f>数出表_Excel!I106</f>
        <v>#N/A</v>
      </c>
      <c r="Q106" s="60"/>
      <c r="R106" s="16" t="e">
        <f>数出表_Excel!J106</f>
        <v>#N/A</v>
      </c>
      <c r="S106" s="60"/>
      <c r="T106" s="16" t="e">
        <f>数出表_Excel!K106</f>
        <v>#N/A</v>
      </c>
      <c r="U106" s="60"/>
      <c r="V106" s="16" t="e">
        <f>数出表_Excel!L106</f>
        <v>#N/A</v>
      </c>
      <c r="W106" s="60"/>
      <c r="X106" s="16" t="e">
        <f>数出表_Excel!M106</f>
        <v>#N/A</v>
      </c>
      <c r="Y106" s="60"/>
      <c r="Z106" s="16" t="e">
        <f>数出表_Excel!N106</f>
        <v>#N/A</v>
      </c>
      <c r="AA106" s="60"/>
      <c r="AB106" s="16" t="e">
        <f>数出表_Excel!O106</f>
        <v>#N/A</v>
      </c>
      <c r="AC106" s="60"/>
      <c r="AD106" s="16" t="e">
        <f>数出表_Excel!P106</f>
        <v>#N/A</v>
      </c>
      <c r="AE106" s="60"/>
      <c r="AF106" s="16" t="e">
        <f>数出表_Excel!Q106</f>
        <v>#N/A</v>
      </c>
      <c r="AG106" s="60"/>
      <c r="AH106" s="16" t="e">
        <f>数出表_Excel!R106</f>
        <v>#N/A</v>
      </c>
      <c r="AI106" s="60"/>
      <c r="AJ106" s="16" t="e">
        <f>数出表_Excel!T106</f>
        <v>#N/A</v>
      </c>
      <c r="AK106" s="60"/>
      <c r="AL106" s="16" t="e">
        <f>数出表_Excel!T106</f>
        <v>#N/A</v>
      </c>
      <c r="AM106" s="5" t="e">
        <f>数出表_Excel!V106</f>
        <v>#N/A</v>
      </c>
      <c r="AN106" s="7" t="e">
        <f>数出表_Excel!W106</f>
        <v>#N/A</v>
      </c>
    </row>
    <row r="107" spans="1:40" x14ac:dyDescent="0.45">
      <c r="A107" s="8" t="e">
        <f>数出表_Excel!A107</f>
        <v>#N/A</v>
      </c>
      <c r="B107" s="46" t="e">
        <f>数出表_Excel!B107</f>
        <v>#N/A</v>
      </c>
      <c r="C107" s="46"/>
      <c r="D107" s="46" t="e">
        <f>数出表_Excel!C107</f>
        <v>#N/A</v>
      </c>
      <c r="E107" s="46"/>
      <c r="F107" s="46" t="e">
        <f>数出表_Excel!D107</f>
        <v>#N/A</v>
      </c>
      <c r="G107" s="46"/>
      <c r="H107" s="46" t="e">
        <f>数出表_Excel!E107</f>
        <v>#N/A</v>
      </c>
      <c r="I107" s="46"/>
      <c r="J107" s="46" t="e">
        <f>数出表_Excel!F107</f>
        <v>#N/A</v>
      </c>
      <c r="K107" s="46"/>
      <c r="L107" s="46" t="e">
        <f>数出表_Excel!G107</f>
        <v>#N/A</v>
      </c>
      <c r="M107" s="46"/>
      <c r="N107" s="46" t="e">
        <f>数出表_Excel!H107</f>
        <v>#N/A</v>
      </c>
      <c r="O107" s="46"/>
      <c r="P107" s="46" t="e">
        <f>数出表_Excel!I107</f>
        <v>#N/A</v>
      </c>
      <c r="Q107" s="46"/>
      <c r="R107" s="46" t="e">
        <f>数出表_Excel!J107</f>
        <v>#N/A</v>
      </c>
      <c r="S107" s="46"/>
      <c r="T107" s="46" t="e">
        <f>数出表_Excel!K107</f>
        <v>#N/A</v>
      </c>
      <c r="U107" s="46"/>
      <c r="V107" s="46" t="e">
        <f>数出表_Excel!L107</f>
        <v>#N/A</v>
      </c>
      <c r="W107" s="46"/>
      <c r="X107" s="46" t="e">
        <f>数出表_Excel!M107</f>
        <v>#N/A</v>
      </c>
      <c r="Y107" s="46"/>
      <c r="Z107" s="46" t="e">
        <f>数出表_Excel!N107</f>
        <v>#N/A</v>
      </c>
      <c r="AA107" s="46"/>
      <c r="AB107" s="46" t="e">
        <f>数出表_Excel!O107</f>
        <v>#N/A</v>
      </c>
      <c r="AC107" s="46"/>
      <c r="AD107" s="46" t="e">
        <f>数出表_Excel!P107</f>
        <v>#N/A</v>
      </c>
      <c r="AE107" s="46"/>
      <c r="AF107" s="46" t="e">
        <f>数出表_Excel!Q107</f>
        <v>#N/A</v>
      </c>
      <c r="AG107" s="46"/>
      <c r="AH107" s="46" t="e">
        <f>数出表_Excel!R107</f>
        <v>#N/A</v>
      </c>
      <c r="AI107" s="46"/>
      <c r="AJ107" s="46" t="e">
        <f>数出表_Excel!T107</f>
        <v>#N/A</v>
      </c>
      <c r="AK107" s="46"/>
      <c r="AL107" s="46" t="e">
        <f>数出表_Excel!T107</f>
        <v>#N/A</v>
      </c>
      <c r="AM107" s="8" t="e">
        <f>数出表_Excel!V107</f>
        <v>#N/A</v>
      </c>
      <c r="AN107" s="9" t="e">
        <f>数出表_Excel!W107</f>
        <v>#N/A</v>
      </c>
    </row>
    <row r="108" spans="1:40" x14ac:dyDescent="0.45">
      <c r="A108" s="5" t="e">
        <f>数出表_Excel!A108</f>
        <v>#N/A</v>
      </c>
      <c r="B108" s="16" t="e">
        <f>数出表_Excel!B108</f>
        <v>#N/A</v>
      </c>
      <c r="C108" s="60"/>
      <c r="D108" s="16" t="e">
        <f>数出表_Excel!C108</f>
        <v>#N/A</v>
      </c>
      <c r="E108" s="60"/>
      <c r="F108" s="16" t="e">
        <f>数出表_Excel!D108</f>
        <v>#N/A</v>
      </c>
      <c r="G108" s="60"/>
      <c r="H108" s="16" t="e">
        <f>数出表_Excel!E108</f>
        <v>#N/A</v>
      </c>
      <c r="I108" s="60"/>
      <c r="J108" s="16" t="e">
        <f>数出表_Excel!F108</f>
        <v>#N/A</v>
      </c>
      <c r="K108" s="60"/>
      <c r="L108" s="16" t="e">
        <f>数出表_Excel!G108</f>
        <v>#N/A</v>
      </c>
      <c r="M108" s="60"/>
      <c r="N108" s="16" t="e">
        <f>数出表_Excel!H108</f>
        <v>#N/A</v>
      </c>
      <c r="O108" s="60"/>
      <c r="P108" s="16" t="e">
        <f>数出表_Excel!I108</f>
        <v>#N/A</v>
      </c>
      <c r="Q108" s="60"/>
      <c r="R108" s="16" t="e">
        <f>数出表_Excel!J108</f>
        <v>#N/A</v>
      </c>
      <c r="S108" s="60"/>
      <c r="T108" s="16" t="e">
        <f>数出表_Excel!K108</f>
        <v>#N/A</v>
      </c>
      <c r="U108" s="60"/>
      <c r="V108" s="16" t="e">
        <f>数出表_Excel!L108</f>
        <v>#N/A</v>
      </c>
      <c r="W108" s="60"/>
      <c r="X108" s="16" t="e">
        <f>数出表_Excel!M108</f>
        <v>#N/A</v>
      </c>
      <c r="Y108" s="60"/>
      <c r="Z108" s="16" t="e">
        <f>数出表_Excel!N108</f>
        <v>#N/A</v>
      </c>
      <c r="AA108" s="60"/>
      <c r="AB108" s="16" t="e">
        <f>数出表_Excel!O108</f>
        <v>#N/A</v>
      </c>
      <c r="AC108" s="60"/>
      <c r="AD108" s="16" t="e">
        <f>数出表_Excel!P108</f>
        <v>#N/A</v>
      </c>
      <c r="AE108" s="60"/>
      <c r="AF108" s="16" t="e">
        <f>数出表_Excel!Q108</f>
        <v>#N/A</v>
      </c>
      <c r="AG108" s="60"/>
      <c r="AH108" s="16" t="e">
        <f>数出表_Excel!R108</f>
        <v>#N/A</v>
      </c>
      <c r="AI108" s="60"/>
      <c r="AJ108" s="16" t="e">
        <f>数出表_Excel!T108</f>
        <v>#N/A</v>
      </c>
      <c r="AK108" s="60"/>
      <c r="AL108" s="16" t="e">
        <f>数出表_Excel!T108</f>
        <v>#N/A</v>
      </c>
      <c r="AM108" s="5" t="e">
        <f>数出表_Excel!V108</f>
        <v>#N/A</v>
      </c>
      <c r="AN108" s="7" t="e">
        <f>数出表_Excel!W108</f>
        <v>#N/A</v>
      </c>
    </row>
    <row r="109" spans="1:40" x14ac:dyDescent="0.45">
      <c r="A109" s="8" t="e">
        <f>数出表_Excel!A109</f>
        <v>#N/A</v>
      </c>
      <c r="B109" s="46" t="e">
        <f>数出表_Excel!B109</f>
        <v>#N/A</v>
      </c>
      <c r="C109" s="46"/>
      <c r="D109" s="46" t="e">
        <f>数出表_Excel!C109</f>
        <v>#N/A</v>
      </c>
      <c r="E109" s="46"/>
      <c r="F109" s="46" t="e">
        <f>数出表_Excel!D109</f>
        <v>#N/A</v>
      </c>
      <c r="G109" s="46"/>
      <c r="H109" s="46" t="e">
        <f>数出表_Excel!E109</f>
        <v>#N/A</v>
      </c>
      <c r="I109" s="46"/>
      <c r="J109" s="46" t="e">
        <f>数出表_Excel!F109</f>
        <v>#N/A</v>
      </c>
      <c r="K109" s="46"/>
      <c r="L109" s="46" t="e">
        <f>数出表_Excel!G109</f>
        <v>#N/A</v>
      </c>
      <c r="M109" s="46"/>
      <c r="N109" s="46" t="e">
        <f>数出表_Excel!H109</f>
        <v>#N/A</v>
      </c>
      <c r="O109" s="46"/>
      <c r="P109" s="46" t="e">
        <f>数出表_Excel!I109</f>
        <v>#N/A</v>
      </c>
      <c r="Q109" s="46"/>
      <c r="R109" s="46" t="e">
        <f>数出表_Excel!J109</f>
        <v>#N/A</v>
      </c>
      <c r="S109" s="46"/>
      <c r="T109" s="46" t="e">
        <f>数出表_Excel!K109</f>
        <v>#N/A</v>
      </c>
      <c r="U109" s="46"/>
      <c r="V109" s="46" t="e">
        <f>数出表_Excel!L109</f>
        <v>#N/A</v>
      </c>
      <c r="W109" s="46"/>
      <c r="X109" s="46" t="e">
        <f>数出表_Excel!M109</f>
        <v>#N/A</v>
      </c>
      <c r="Y109" s="46"/>
      <c r="Z109" s="46" t="e">
        <f>数出表_Excel!N109</f>
        <v>#N/A</v>
      </c>
      <c r="AA109" s="46"/>
      <c r="AB109" s="46" t="e">
        <f>数出表_Excel!O109</f>
        <v>#N/A</v>
      </c>
      <c r="AC109" s="46"/>
      <c r="AD109" s="46" t="e">
        <f>数出表_Excel!P109</f>
        <v>#N/A</v>
      </c>
      <c r="AE109" s="46"/>
      <c r="AF109" s="46" t="e">
        <f>数出表_Excel!Q109</f>
        <v>#N/A</v>
      </c>
      <c r="AG109" s="46"/>
      <c r="AH109" s="46" t="e">
        <f>数出表_Excel!R109</f>
        <v>#N/A</v>
      </c>
      <c r="AI109" s="46"/>
      <c r="AJ109" s="46" t="e">
        <f>数出表_Excel!T109</f>
        <v>#N/A</v>
      </c>
      <c r="AK109" s="46"/>
      <c r="AL109" s="46" t="e">
        <f>数出表_Excel!T109</f>
        <v>#N/A</v>
      </c>
      <c r="AM109" s="8" t="e">
        <f>数出表_Excel!V109</f>
        <v>#N/A</v>
      </c>
      <c r="AN109" s="9" t="e">
        <f>数出表_Excel!W109</f>
        <v>#N/A</v>
      </c>
    </row>
    <row r="110" spans="1:40" x14ac:dyDescent="0.45">
      <c r="A110" s="5" t="e">
        <f>数出表_Excel!A110</f>
        <v>#N/A</v>
      </c>
      <c r="B110" s="16" t="e">
        <f>数出表_Excel!B110</f>
        <v>#N/A</v>
      </c>
      <c r="C110" s="60"/>
      <c r="D110" s="16" t="e">
        <f>数出表_Excel!C110</f>
        <v>#N/A</v>
      </c>
      <c r="E110" s="60"/>
      <c r="F110" s="16" t="e">
        <f>数出表_Excel!D110</f>
        <v>#N/A</v>
      </c>
      <c r="G110" s="60"/>
      <c r="H110" s="16" t="e">
        <f>数出表_Excel!E110</f>
        <v>#N/A</v>
      </c>
      <c r="I110" s="60"/>
      <c r="J110" s="16" t="e">
        <f>数出表_Excel!F110</f>
        <v>#N/A</v>
      </c>
      <c r="K110" s="60"/>
      <c r="L110" s="16" t="e">
        <f>数出表_Excel!G110</f>
        <v>#N/A</v>
      </c>
      <c r="M110" s="60"/>
      <c r="N110" s="16" t="e">
        <f>数出表_Excel!H110</f>
        <v>#N/A</v>
      </c>
      <c r="O110" s="60"/>
      <c r="P110" s="16" t="e">
        <f>数出表_Excel!I110</f>
        <v>#N/A</v>
      </c>
      <c r="Q110" s="60"/>
      <c r="R110" s="16" t="e">
        <f>数出表_Excel!J110</f>
        <v>#N/A</v>
      </c>
      <c r="S110" s="60"/>
      <c r="T110" s="16" t="e">
        <f>数出表_Excel!K110</f>
        <v>#N/A</v>
      </c>
      <c r="U110" s="60"/>
      <c r="V110" s="16" t="e">
        <f>数出表_Excel!L110</f>
        <v>#N/A</v>
      </c>
      <c r="W110" s="60"/>
      <c r="X110" s="16" t="e">
        <f>数出表_Excel!M110</f>
        <v>#N/A</v>
      </c>
      <c r="Y110" s="60"/>
      <c r="Z110" s="16" t="e">
        <f>数出表_Excel!N110</f>
        <v>#N/A</v>
      </c>
      <c r="AA110" s="60"/>
      <c r="AB110" s="16" t="e">
        <f>数出表_Excel!O110</f>
        <v>#N/A</v>
      </c>
      <c r="AC110" s="60"/>
      <c r="AD110" s="16" t="e">
        <f>数出表_Excel!P110</f>
        <v>#N/A</v>
      </c>
      <c r="AE110" s="60"/>
      <c r="AF110" s="16" t="e">
        <f>数出表_Excel!Q110</f>
        <v>#N/A</v>
      </c>
      <c r="AG110" s="60"/>
      <c r="AH110" s="16" t="e">
        <f>数出表_Excel!R110</f>
        <v>#N/A</v>
      </c>
      <c r="AI110" s="60"/>
      <c r="AJ110" s="16" t="e">
        <f>数出表_Excel!T110</f>
        <v>#N/A</v>
      </c>
      <c r="AK110" s="60"/>
      <c r="AL110" s="16" t="e">
        <f>数出表_Excel!T110</f>
        <v>#N/A</v>
      </c>
      <c r="AM110" s="5" t="e">
        <f>数出表_Excel!V110</f>
        <v>#N/A</v>
      </c>
      <c r="AN110" s="7" t="e">
        <f>数出表_Excel!W110</f>
        <v>#N/A</v>
      </c>
    </row>
    <row r="111" spans="1:40" x14ac:dyDescent="0.45">
      <c r="A111" s="8" t="e">
        <f>数出表_Excel!A111</f>
        <v>#N/A</v>
      </c>
      <c r="B111" s="46" t="e">
        <f>数出表_Excel!B111</f>
        <v>#N/A</v>
      </c>
      <c r="C111" s="46"/>
      <c r="D111" s="46" t="e">
        <f>数出表_Excel!C111</f>
        <v>#N/A</v>
      </c>
      <c r="E111" s="46"/>
      <c r="F111" s="46" t="e">
        <f>数出表_Excel!D111</f>
        <v>#N/A</v>
      </c>
      <c r="G111" s="46"/>
      <c r="H111" s="46" t="e">
        <f>数出表_Excel!E111</f>
        <v>#N/A</v>
      </c>
      <c r="I111" s="46"/>
      <c r="J111" s="46" t="e">
        <f>数出表_Excel!F111</f>
        <v>#N/A</v>
      </c>
      <c r="K111" s="46"/>
      <c r="L111" s="46" t="e">
        <f>数出表_Excel!G111</f>
        <v>#N/A</v>
      </c>
      <c r="M111" s="46"/>
      <c r="N111" s="46" t="e">
        <f>数出表_Excel!H111</f>
        <v>#N/A</v>
      </c>
      <c r="O111" s="46"/>
      <c r="P111" s="46" t="e">
        <f>数出表_Excel!I111</f>
        <v>#N/A</v>
      </c>
      <c r="Q111" s="46"/>
      <c r="R111" s="46" t="e">
        <f>数出表_Excel!J111</f>
        <v>#N/A</v>
      </c>
      <c r="S111" s="46"/>
      <c r="T111" s="46" t="e">
        <f>数出表_Excel!K111</f>
        <v>#N/A</v>
      </c>
      <c r="U111" s="46"/>
      <c r="V111" s="46" t="e">
        <f>数出表_Excel!L111</f>
        <v>#N/A</v>
      </c>
      <c r="W111" s="46"/>
      <c r="X111" s="46" t="e">
        <f>数出表_Excel!M111</f>
        <v>#N/A</v>
      </c>
      <c r="Y111" s="46"/>
      <c r="Z111" s="46" t="e">
        <f>数出表_Excel!N111</f>
        <v>#N/A</v>
      </c>
      <c r="AA111" s="46"/>
      <c r="AB111" s="46" t="e">
        <f>数出表_Excel!O111</f>
        <v>#N/A</v>
      </c>
      <c r="AC111" s="46"/>
      <c r="AD111" s="46" t="e">
        <f>数出表_Excel!P111</f>
        <v>#N/A</v>
      </c>
      <c r="AE111" s="46"/>
      <c r="AF111" s="46" t="e">
        <f>数出表_Excel!Q111</f>
        <v>#N/A</v>
      </c>
      <c r="AG111" s="46"/>
      <c r="AH111" s="46" t="e">
        <f>数出表_Excel!R111</f>
        <v>#N/A</v>
      </c>
      <c r="AI111" s="46"/>
      <c r="AJ111" s="46" t="e">
        <f>数出表_Excel!T111</f>
        <v>#N/A</v>
      </c>
      <c r="AK111" s="46"/>
      <c r="AL111" s="46" t="e">
        <f>数出表_Excel!T111</f>
        <v>#N/A</v>
      </c>
      <c r="AM111" s="8" t="e">
        <f>数出表_Excel!V111</f>
        <v>#N/A</v>
      </c>
      <c r="AN111" s="9" t="e">
        <f>数出表_Excel!W111</f>
        <v>#N/A</v>
      </c>
    </row>
    <row r="112" spans="1:40" x14ac:dyDescent="0.45">
      <c r="A112" s="5" t="e">
        <f>数出表_Excel!A112</f>
        <v>#N/A</v>
      </c>
      <c r="B112" s="16" t="e">
        <f>数出表_Excel!B112</f>
        <v>#N/A</v>
      </c>
      <c r="C112" s="60"/>
      <c r="D112" s="16" t="e">
        <f>数出表_Excel!C112</f>
        <v>#N/A</v>
      </c>
      <c r="E112" s="60"/>
      <c r="F112" s="16" t="e">
        <f>数出表_Excel!D112</f>
        <v>#N/A</v>
      </c>
      <c r="G112" s="60"/>
      <c r="H112" s="16" t="e">
        <f>数出表_Excel!E112</f>
        <v>#N/A</v>
      </c>
      <c r="I112" s="60"/>
      <c r="J112" s="16" t="e">
        <f>数出表_Excel!F112</f>
        <v>#N/A</v>
      </c>
      <c r="K112" s="60"/>
      <c r="L112" s="16" t="e">
        <f>数出表_Excel!G112</f>
        <v>#N/A</v>
      </c>
      <c r="M112" s="60"/>
      <c r="N112" s="16" t="e">
        <f>数出表_Excel!H112</f>
        <v>#N/A</v>
      </c>
      <c r="O112" s="60"/>
      <c r="P112" s="16" t="e">
        <f>数出表_Excel!I112</f>
        <v>#N/A</v>
      </c>
      <c r="Q112" s="60"/>
      <c r="R112" s="16" t="e">
        <f>数出表_Excel!J112</f>
        <v>#N/A</v>
      </c>
      <c r="S112" s="60"/>
      <c r="T112" s="16" t="e">
        <f>数出表_Excel!K112</f>
        <v>#N/A</v>
      </c>
      <c r="U112" s="60"/>
      <c r="V112" s="16" t="e">
        <f>数出表_Excel!L112</f>
        <v>#N/A</v>
      </c>
      <c r="W112" s="60"/>
      <c r="X112" s="16" t="e">
        <f>数出表_Excel!M112</f>
        <v>#N/A</v>
      </c>
      <c r="Y112" s="60"/>
      <c r="Z112" s="16" t="e">
        <f>数出表_Excel!N112</f>
        <v>#N/A</v>
      </c>
      <c r="AA112" s="60"/>
      <c r="AB112" s="16" t="e">
        <f>数出表_Excel!O112</f>
        <v>#N/A</v>
      </c>
      <c r="AC112" s="60"/>
      <c r="AD112" s="16" t="e">
        <f>数出表_Excel!P112</f>
        <v>#N/A</v>
      </c>
      <c r="AE112" s="60"/>
      <c r="AF112" s="16" t="e">
        <f>数出表_Excel!Q112</f>
        <v>#N/A</v>
      </c>
      <c r="AG112" s="60"/>
      <c r="AH112" s="16" t="e">
        <f>数出表_Excel!R112</f>
        <v>#N/A</v>
      </c>
      <c r="AI112" s="60"/>
      <c r="AJ112" s="16" t="e">
        <f>数出表_Excel!T112</f>
        <v>#N/A</v>
      </c>
      <c r="AK112" s="60"/>
      <c r="AL112" s="16" t="e">
        <f>数出表_Excel!T112</f>
        <v>#N/A</v>
      </c>
      <c r="AM112" s="5" t="e">
        <f>数出表_Excel!V112</f>
        <v>#N/A</v>
      </c>
      <c r="AN112" s="7" t="e">
        <f>数出表_Excel!W112</f>
        <v>#N/A</v>
      </c>
    </row>
    <row r="113" spans="1:40" x14ac:dyDescent="0.45">
      <c r="A113" s="8" t="e">
        <f>数出表_Excel!A113</f>
        <v>#N/A</v>
      </c>
      <c r="B113" s="46" t="e">
        <f>数出表_Excel!B113</f>
        <v>#N/A</v>
      </c>
      <c r="C113" s="46"/>
      <c r="D113" s="46" t="e">
        <f>数出表_Excel!C113</f>
        <v>#N/A</v>
      </c>
      <c r="E113" s="46"/>
      <c r="F113" s="46" t="e">
        <f>数出表_Excel!D113</f>
        <v>#N/A</v>
      </c>
      <c r="G113" s="46"/>
      <c r="H113" s="46" t="e">
        <f>数出表_Excel!E113</f>
        <v>#N/A</v>
      </c>
      <c r="I113" s="46"/>
      <c r="J113" s="46" t="e">
        <f>数出表_Excel!F113</f>
        <v>#N/A</v>
      </c>
      <c r="K113" s="46"/>
      <c r="L113" s="46" t="e">
        <f>数出表_Excel!G113</f>
        <v>#N/A</v>
      </c>
      <c r="M113" s="46"/>
      <c r="N113" s="46" t="e">
        <f>数出表_Excel!H113</f>
        <v>#N/A</v>
      </c>
      <c r="O113" s="46"/>
      <c r="P113" s="46" t="e">
        <f>数出表_Excel!I113</f>
        <v>#N/A</v>
      </c>
      <c r="Q113" s="46"/>
      <c r="R113" s="46" t="e">
        <f>数出表_Excel!J113</f>
        <v>#N/A</v>
      </c>
      <c r="S113" s="46"/>
      <c r="T113" s="46" t="e">
        <f>数出表_Excel!K113</f>
        <v>#N/A</v>
      </c>
      <c r="U113" s="46"/>
      <c r="V113" s="46" t="e">
        <f>数出表_Excel!L113</f>
        <v>#N/A</v>
      </c>
      <c r="W113" s="46"/>
      <c r="X113" s="46" t="e">
        <f>数出表_Excel!M113</f>
        <v>#N/A</v>
      </c>
      <c r="Y113" s="46"/>
      <c r="Z113" s="46" t="e">
        <f>数出表_Excel!N113</f>
        <v>#N/A</v>
      </c>
      <c r="AA113" s="46"/>
      <c r="AB113" s="46" t="e">
        <f>数出表_Excel!O113</f>
        <v>#N/A</v>
      </c>
      <c r="AC113" s="46"/>
      <c r="AD113" s="46" t="e">
        <f>数出表_Excel!P113</f>
        <v>#N/A</v>
      </c>
      <c r="AE113" s="46"/>
      <c r="AF113" s="46" t="e">
        <f>数出表_Excel!Q113</f>
        <v>#N/A</v>
      </c>
      <c r="AG113" s="46"/>
      <c r="AH113" s="46" t="e">
        <f>数出表_Excel!R113</f>
        <v>#N/A</v>
      </c>
      <c r="AI113" s="46"/>
      <c r="AJ113" s="46" t="e">
        <f>数出表_Excel!T113</f>
        <v>#N/A</v>
      </c>
      <c r="AK113" s="46"/>
      <c r="AL113" s="46" t="e">
        <f>数出表_Excel!T113</f>
        <v>#N/A</v>
      </c>
      <c r="AM113" s="8" t="e">
        <f>数出表_Excel!V113</f>
        <v>#N/A</v>
      </c>
      <c r="AN113" s="9" t="e">
        <f>数出表_Excel!W113</f>
        <v>#N/A</v>
      </c>
    </row>
    <row r="114" spans="1:40" x14ac:dyDescent="0.45">
      <c r="A114" s="5" t="e">
        <f>数出表_Excel!A114</f>
        <v>#N/A</v>
      </c>
      <c r="B114" s="16" t="e">
        <f>数出表_Excel!B114</f>
        <v>#N/A</v>
      </c>
      <c r="C114" s="60"/>
      <c r="D114" s="16" t="e">
        <f>数出表_Excel!C114</f>
        <v>#N/A</v>
      </c>
      <c r="E114" s="60"/>
      <c r="F114" s="16" t="e">
        <f>数出表_Excel!D114</f>
        <v>#N/A</v>
      </c>
      <c r="G114" s="60"/>
      <c r="H114" s="16" t="e">
        <f>数出表_Excel!E114</f>
        <v>#N/A</v>
      </c>
      <c r="I114" s="60"/>
      <c r="J114" s="16" t="e">
        <f>数出表_Excel!F114</f>
        <v>#N/A</v>
      </c>
      <c r="K114" s="60"/>
      <c r="L114" s="16" t="e">
        <f>数出表_Excel!G114</f>
        <v>#N/A</v>
      </c>
      <c r="M114" s="60"/>
      <c r="N114" s="16" t="e">
        <f>数出表_Excel!H114</f>
        <v>#N/A</v>
      </c>
      <c r="O114" s="60"/>
      <c r="P114" s="16" t="e">
        <f>数出表_Excel!I114</f>
        <v>#N/A</v>
      </c>
      <c r="Q114" s="60"/>
      <c r="R114" s="16" t="e">
        <f>数出表_Excel!J114</f>
        <v>#N/A</v>
      </c>
      <c r="S114" s="60"/>
      <c r="T114" s="16" t="e">
        <f>数出表_Excel!K114</f>
        <v>#N/A</v>
      </c>
      <c r="U114" s="60"/>
      <c r="V114" s="16" t="e">
        <f>数出表_Excel!L114</f>
        <v>#N/A</v>
      </c>
      <c r="W114" s="60"/>
      <c r="X114" s="16" t="e">
        <f>数出表_Excel!M114</f>
        <v>#N/A</v>
      </c>
      <c r="Y114" s="60"/>
      <c r="Z114" s="16" t="e">
        <f>数出表_Excel!N114</f>
        <v>#N/A</v>
      </c>
      <c r="AA114" s="60"/>
      <c r="AB114" s="16" t="e">
        <f>数出表_Excel!O114</f>
        <v>#N/A</v>
      </c>
      <c r="AC114" s="60"/>
      <c r="AD114" s="16" t="e">
        <f>数出表_Excel!P114</f>
        <v>#N/A</v>
      </c>
      <c r="AE114" s="60"/>
      <c r="AF114" s="16" t="e">
        <f>数出表_Excel!Q114</f>
        <v>#N/A</v>
      </c>
      <c r="AG114" s="60"/>
      <c r="AH114" s="16" t="e">
        <f>数出表_Excel!R114</f>
        <v>#N/A</v>
      </c>
      <c r="AI114" s="60"/>
      <c r="AJ114" s="16" t="e">
        <f>数出表_Excel!T114</f>
        <v>#N/A</v>
      </c>
      <c r="AK114" s="60"/>
      <c r="AL114" s="16" t="e">
        <f>数出表_Excel!T114</f>
        <v>#N/A</v>
      </c>
      <c r="AM114" s="5" t="e">
        <f>数出表_Excel!V114</f>
        <v>#N/A</v>
      </c>
      <c r="AN114" s="7" t="e">
        <f>数出表_Excel!W114</f>
        <v>#N/A</v>
      </c>
    </row>
    <row r="115" spans="1:40" x14ac:dyDescent="0.45">
      <c r="A115" s="8" t="e">
        <f>数出表_Excel!A115</f>
        <v>#N/A</v>
      </c>
      <c r="B115" s="46" t="e">
        <f>数出表_Excel!B115</f>
        <v>#N/A</v>
      </c>
      <c r="C115" s="46"/>
      <c r="D115" s="46" t="e">
        <f>数出表_Excel!C115</f>
        <v>#N/A</v>
      </c>
      <c r="E115" s="46"/>
      <c r="F115" s="46" t="e">
        <f>数出表_Excel!D115</f>
        <v>#N/A</v>
      </c>
      <c r="G115" s="46"/>
      <c r="H115" s="46" t="e">
        <f>数出表_Excel!E115</f>
        <v>#N/A</v>
      </c>
      <c r="I115" s="46"/>
      <c r="J115" s="46" t="e">
        <f>数出表_Excel!F115</f>
        <v>#N/A</v>
      </c>
      <c r="K115" s="46"/>
      <c r="L115" s="46" t="e">
        <f>数出表_Excel!G115</f>
        <v>#N/A</v>
      </c>
      <c r="M115" s="46"/>
      <c r="N115" s="46" t="e">
        <f>数出表_Excel!H115</f>
        <v>#N/A</v>
      </c>
      <c r="O115" s="46"/>
      <c r="P115" s="46" t="e">
        <f>数出表_Excel!I115</f>
        <v>#N/A</v>
      </c>
      <c r="Q115" s="46"/>
      <c r="R115" s="46" t="e">
        <f>数出表_Excel!J115</f>
        <v>#N/A</v>
      </c>
      <c r="S115" s="46"/>
      <c r="T115" s="46" t="e">
        <f>数出表_Excel!K115</f>
        <v>#N/A</v>
      </c>
      <c r="U115" s="46"/>
      <c r="V115" s="46" t="e">
        <f>数出表_Excel!L115</f>
        <v>#N/A</v>
      </c>
      <c r="W115" s="46"/>
      <c r="X115" s="46" t="e">
        <f>数出表_Excel!M115</f>
        <v>#N/A</v>
      </c>
      <c r="Y115" s="46"/>
      <c r="Z115" s="46" t="e">
        <f>数出表_Excel!N115</f>
        <v>#N/A</v>
      </c>
      <c r="AA115" s="46"/>
      <c r="AB115" s="46" t="e">
        <f>数出表_Excel!O115</f>
        <v>#N/A</v>
      </c>
      <c r="AC115" s="46"/>
      <c r="AD115" s="46" t="e">
        <f>数出表_Excel!P115</f>
        <v>#N/A</v>
      </c>
      <c r="AE115" s="46"/>
      <c r="AF115" s="46" t="e">
        <f>数出表_Excel!Q115</f>
        <v>#N/A</v>
      </c>
      <c r="AG115" s="46"/>
      <c r="AH115" s="46" t="e">
        <f>数出表_Excel!R115</f>
        <v>#N/A</v>
      </c>
      <c r="AI115" s="46"/>
      <c r="AJ115" s="46" t="e">
        <f>数出表_Excel!T115</f>
        <v>#N/A</v>
      </c>
      <c r="AK115" s="46"/>
      <c r="AL115" s="46" t="e">
        <f>数出表_Excel!T115</f>
        <v>#N/A</v>
      </c>
      <c r="AM115" s="8" t="e">
        <f>数出表_Excel!V115</f>
        <v>#N/A</v>
      </c>
      <c r="AN115" s="9" t="e">
        <f>数出表_Excel!W115</f>
        <v>#N/A</v>
      </c>
    </row>
    <row r="116" spans="1:40" x14ac:dyDescent="0.45">
      <c r="A116" s="5" t="e">
        <f>数出表_Excel!A116</f>
        <v>#N/A</v>
      </c>
      <c r="B116" s="16" t="e">
        <f>数出表_Excel!B116</f>
        <v>#N/A</v>
      </c>
      <c r="C116" s="60"/>
      <c r="D116" s="16" t="e">
        <f>数出表_Excel!C116</f>
        <v>#N/A</v>
      </c>
      <c r="E116" s="60"/>
      <c r="F116" s="16" t="e">
        <f>数出表_Excel!D116</f>
        <v>#N/A</v>
      </c>
      <c r="G116" s="60"/>
      <c r="H116" s="16" t="e">
        <f>数出表_Excel!E116</f>
        <v>#N/A</v>
      </c>
      <c r="I116" s="60"/>
      <c r="J116" s="16" t="e">
        <f>数出表_Excel!F116</f>
        <v>#N/A</v>
      </c>
      <c r="K116" s="60"/>
      <c r="L116" s="16" t="e">
        <f>数出表_Excel!G116</f>
        <v>#N/A</v>
      </c>
      <c r="M116" s="60"/>
      <c r="N116" s="16" t="e">
        <f>数出表_Excel!H116</f>
        <v>#N/A</v>
      </c>
      <c r="O116" s="60"/>
      <c r="P116" s="16" t="e">
        <f>数出表_Excel!I116</f>
        <v>#N/A</v>
      </c>
      <c r="Q116" s="60"/>
      <c r="R116" s="16" t="e">
        <f>数出表_Excel!J116</f>
        <v>#N/A</v>
      </c>
      <c r="S116" s="60"/>
      <c r="T116" s="16" t="e">
        <f>数出表_Excel!K116</f>
        <v>#N/A</v>
      </c>
      <c r="U116" s="60"/>
      <c r="V116" s="16" t="e">
        <f>数出表_Excel!L116</f>
        <v>#N/A</v>
      </c>
      <c r="W116" s="60"/>
      <c r="X116" s="16" t="e">
        <f>数出表_Excel!M116</f>
        <v>#N/A</v>
      </c>
      <c r="Y116" s="60"/>
      <c r="Z116" s="16" t="e">
        <f>数出表_Excel!N116</f>
        <v>#N/A</v>
      </c>
      <c r="AA116" s="60"/>
      <c r="AB116" s="16" t="e">
        <f>数出表_Excel!O116</f>
        <v>#N/A</v>
      </c>
      <c r="AC116" s="60"/>
      <c r="AD116" s="16" t="e">
        <f>数出表_Excel!P116</f>
        <v>#N/A</v>
      </c>
      <c r="AE116" s="60"/>
      <c r="AF116" s="16" t="e">
        <f>数出表_Excel!Q116</f>
        <v>#N/A</v>
      </c>
      <c r="AG116" s="60"/>
      <c r="AH116" s="16" t="e">
        <f>数出表_Excel!R116</f>
        <v>#N/A</v>
      </c>
      <c r="AI116" s="60"/>
      <c r="AJ116" s="16" t="e">
        <f>数出表_Excel!T116</f>
        <v>#N/A</v>
      </c>
      <c r="AK116" s="60"/>
      <c r="AL116" s="16" t="e">
        <f>数出表_Excel!T116</f>
        <v>#N/A</v>
      </c>
      <c r="AM116" s="5" t="e">
        <f>数出表_Excel!V116</f>
        <v>#N/A</v>
      </c>
      <c r="AN116" s="7" t="e">
        <f>数出表_Excel!W116</f>
        <v>#N/A</v>
      </c>
    </row>
    <row r="117" spans="1:40" x14ac:dyDescent="0.45">
      <c r="A117" s="8" t="e">
        <f>数出表_Excel!A117</f>
        <v>#N/A</v>
      </c>
      <c r="B117" s="46" t="e">
        <f>数出表_Excel!B117</f>
        <v>#N/A</v>
      </c>
      <c r="C117" s="46"/>
      <c r="D117" s="46" t="e">
        <f>数出表_Excel!C117</f>
        <v>#N/A</v>
      </c>
      <c r="E117" s="46"/>
      <c r="F117" s="46" t="e">
        <f>数出表_Excel!D117</f>
        <v>#N/A</v>
      </c>
      <c r="G117" s="46"/>
      <c r="H117" s="46" t="e">
        <f>数出表_Excel!E117</f>
        <v>#N/A</v>
      </c>
      <c r="I117" s="46"/>
      <c r="J117" s="46" t="e">
        <f>数出表_Excel!F117</f>
        <v>#N/A</v>
      </c>
      <c r="K117" s="46"/>
      <c r="L117" s="46" t="e">
        <f>数出表_Excel!G117</f>
        <v>#N/A</v>
      </c>
      <c r="M117" s="46"/>
      <c r="N117" s="46" t="e">
        <f>数出表_Excel!H117</f>
        <v>#N/A</v>
      </c>
      <c r="O117" s="46"/>
      <c r="P117" s="46" t="e">
        <f>数出表_Excel!I117</f>
        <v>#N/A</v>
      </c>
      <c r="Q117" s="46"/>
      <c r="R117" s="46" t="e">
        <f>数出表_Excel!J117</f>
        <v>#N/A</v>
      </c>
      <c r="S117" s="46"/>
      <c r="T117" s="46" t="e">
        <f>数出表_Excel!K117</f>
        <v>#N/A</v>
      </c>
      <c r="U117" s="46"/>
      <c r="V117" s="46" t="e">
        <f>数出表_Excel!L117</f>
        <v>#N/A</v>
      </c>
      <c r="W117" s="46"/>
      <c r="X117" s="46" t="e">
        <f>数出表_Excel!M117</f>
        <v>#N/A</v>
      </c>
      <c r="Y117" s="46"/>
      <c r="Z117" s="46" t="e">
        <f>数出表_Excel!N117</f>
        <v>#N/A</v>
      </c>
      <c r="AA117" s="46"/>
      <c r="AB117" s="46" t="e">
        <f>数出表_Excel!O117</f>
        <v>#N/A</v>
      </c>
      <c r="AC117" s="46"/>
      <c r="AD117" s="46" t="e">
        <f>数出表_Excel!P117</f>
        <v>#N/A</v>
      </c>
      <c r="AE117" s="46"/>
      <c r="AF117" s="46" t="e">
        <f>数出表_Excel!Q117</f>
        <v>#N/A</v>
      </c>
      <c r="AG117" s="46"/>
      <c r="AH117" s="46" t="e">
        <f>数出表_Excel!R117</f>
        <v>#N/A</v>
      </c>
      <c r="AI117" s="46"/>
      <c r="AJ117" s="46" t="e">
        <f>数出表_Excel!T117</f>
        <v>#N/A</v>
      </c>
      <c r="AK117" s="46"/>
      <c r="AL117" s="46" t="e">
        <f>数出表_Excel!T117</f>
        <v>#N/A</v>
      </c>
      <c r="AM117" s="8" t="e">
        <f>数出表_Excel!V117</f>
        <v>#N/A</v>
      </c>
      <c r="AN117" s="9" t="e">
        <f>数出表_Excel!W117</f>
        <v>#N/A</v>
      </c>
    </row>
    <row r="118" spans="1:40" x14ac:dyDescent="0.45">
      <c r="A118" s="5" t="e">
        <f>数出表_Excel!A118</f>
        <v>#N/A</v>
      </c>
      <c r="B118" s="16" t="e">
        <f>数出表_Excel!B118</f>
        <v>#N/A</v>
      </c>
      <c r="C118" s="60"/>
      <c r="D118" s="16" t="e">
        <f>数出表_Excel!C118</f>
        <v>#N/A</v>
      </c>
      <c r="E118" s="60"/>
      <c r="F118" s="16" t="e">
        <f>数出表_Excel!D118</f>
        <v>#N/A</v>
      </c>
      <c r="G118" s="60"/>
      <c r="H118" s="16" t="e">
        <f>数出表_Excel!E118</f>
        <v>#N/A</v>
      </c>
      <c r="I118" s="60"/>
      <c r="J118" s="16" t="e">
        <f>数出表_Excel!F118</f>
        <v>#N/A</v>
      </c>
      <c r="K118" s="60"/>
      <c r="L118" s="16" t="e">
        <f>数出表_Excel!G118</f>
        <v>#N/A</v>
      </c>
      <c r="M118" s="60"/>
      <c r="N118" s="16" t="e">
        <f>数出表_Excel!H118</f>
        <v>#N/A</v>
      </c>
      <c r="O118" s="60"/>
      <c r="P118" s="16" t="e">
        <f>数出表_Excel!I118</f>
        <v>#N/A</v>
      </c>
      <c r="Q118" s="60"/>
      <c r="R118" s="16" t="e">
        <f>数出表_Excel!J118</f>
        <v>#N/A</v>
      </c>
      <c r="S118" s="60"/>
      <c r="T118" s="16" t="e">
        <f>数出表_Excel!K118</f>
        <v>#N/A</v>
      </c>
      <c r="U118" s="60"/>
      <c r="V118" s="16" t="e">
        <f>数出表_Excel!L118</f>
        <v>#N/A</v>
      </c>
      <c r="W118" s="60"/>
      <c r="X118" s="16" t="e">
        <f>数出表_Excel!M118</f>
        <v>#N/A</v>
      </c>
      <c r="Y118" s="60"/>
      <c r="Z118" s="16" t="e">
        <f>数出表_Excel!N118</f>
        <v>#N/A</v>
      </c>
      <c r="AA118" s="60"/>
      <c r="AB118" s="16" t="e">
        <f>数出表_Excel!O118</f>
        <v>#N/A</v>
      </c>
      <c r="AC118" s="60"/>
      <c r="AD118" s="16" t="e">
        <f>数出表_Excel!P118</f>
        <v>#N/A</v>
      </c>
      <c r="AE118" s="60"/>
      <c r="AF118" s="16" t="e">
        <f>数出表_Excel!Q118</f>
        <v>#N/A</v>
      </c>
      <c r="AG118" s="60"/>
      <c r="AH118" s="16" t="e">
        <f>数出表_Excel!R118</f>
        <v>#N/A</v>
      </c>
      <c r="AI118" s="60"/>
      <c r="AJ118" s="16" t="e">
        <f>数出表_Excel!T118</f>
        <v>#N/A</v>
      </c>
      <c r="AK118" s="60"/>
      <c r="AL118" s="16" t="e">
        <f>数出表_Excel!T118</f>
        <v>#N/A</v>
      </c>
      <c r="AM118" s="5" t="e">
        <f>数出表_Excel!V118</f>
        <v>#N/A</v>
      </c>
      <c r="AN118" s="7" t="e">
        <f>数出表_Excel!W118</f>
        <v>#N/A</v>
      </c>
    </row>
    <row r="119" spans="1:40" x14ac:dyDescent="0.45">
      <c r="A119" s="8" t="e">
        <f>数出表_Excel!A119</f>
        <v>#N/A</v>
      </c>
      <c r="B119" s="46" t="e">
        <f>数出表_Excel!B119</f>
        <v>#N/A</v>
      </c>
      <c r="C119" s="46"/>
      <c r="D119" s="46" t="e">
        <f>数出表_Excel!C119</f>
        <v>#N/A</v>
      </c>
      <c r="E119" s="46"/>
      <c r="F119" s="46" t="e">
        <f>数出表_Excel!D119</f>
        <v>#N/A</v>
      </c>
      <c r="G119" s="46"/>
      <c r="H119" s="46" t="e">
        <f>数出表_Excel!E119</f>
        <v>#N/A</v>
      </c>
      <c r="I119" s="46"/>
      <c r="J119" s="46" t="e">
        <f>数出表_Excel!F119</f>
        <v>#N/A</v>
      </c>
      <c r="K119" s="46"/>
      <c r="L119" s="46" t="e">
        <f>数出表_Excel!G119</f>
        <v>#N/A</v>
      </c>
      <c r="M119" s="46"/>
      <c r="N119" s="46" t="e">
        <f>数出表_Excel!H119</f>
        <v>#N/A</v>
      </c>
      <c r="O119" s="46"/>
      <c r="P119" s="46" t="e">
        <f>数出表_Excel!I119</f>
        <v>#N/A</v>
      </c>
      <c r="Q119" s="46"/>
      <c r="R119" s="46" t="e">
        <f>数出表_Excel!J119</f>
        <v>#N/A</v>
      </c>
      <c r="S119" s="46"/>
      <c r="T119" s="46" t="e">
        <f>数出表_Excel!K119</f>
        <v>#N/A</v>
      </c>
      <c r="U119" s="46"/>
      <c r="V119" s="46" t="e">
        <f>数出表_Excel!L119</f>
        <v>#N/A</v>
      </c>
      <c r="W119" s="46"/>
      <c r="X119" s="46" t="e">
        <f>数出表_Excel!M119</f>
        <v>#N/A</v>
      </c>
      <c r="Y119" s="46"/>
      <c r="Z119" s="46" t="e">
        <f>数出表_Excel!N119</f>
        <v>#N/A</v>
      </c>
      <c r="AA119" s="46"/>
      <c r="AB119" s="46" t="e">
        <f>数出表_Excel!O119</f>
        <v>#N/A</v>
      </c>
      <c r="AC119" s="46"/>
      <c r="AD119" s="46" t="e">
        <f>数出表_Excel!P119</f>
        <v>#N/A</v>
      </c>
      <c r="AE119" s="46"/>
      <c r="AF119" s="46" t="e">
        <f>数出表_Excel!Q119</f>
        <v>#N/A</v>
      </c>
      <c r="AG119" s="46"/>
      <c r="AH119" s="46" t="e">
        <f>数出表_Excel!R119</f>
        <v>#N/A</v>
      </c>
      <c r="AI119" s="46"/>
      <c r="AJ119" s="46" t="e">
        <f>数出表_Excel!T119</f>
        <v>#N/A</v>
      </c>
      <c r="AK119" s="46"/>
      <c r="AL119" s="46" t="e">
        <f>数出表_Excel!T119</f>
        <v>#N/A</v>
      </c>
      <c r="AM119" s="8" t="e">
        <f>数出表_Excel!V119</f>
        <v>#N/A</v>
      </c>
      <c r="AN119" s="9" t="e">
        <f>数出表_Excel!W119</f>
        <v>#N/A</v>
      </c>
    </row>
    <row r="120" spans="1:40" x14ac:dyDescent="0.45">
      <c r="A120" s="5" t="e">
        <f>数出表_Excel!A120</f>
        <v>#N/A</v>
      </c>
      <c r="B120" s="16" t="e">
        <f>数出表_Excel!B120</f>
        <v>#N/A</v>
      </c>
      <c r="C120" s="60"/>
      <c r="D120" s="16" t="e">
        <f>数出表_Excel!C120</f>
        <v>#N/A</v>
      </c>
      <c r="E120" s="60"/>
      <c r="F120" s="16" t="e">
        <f>数出表_Excel!D120</f>
        <v>#N/A</v>
      </c>
      <c r="G120" s="60"/>
      <c r="H120" s="16" t="e">
        <f>数出表_Excel!E120</f>
        <v>#N/A</v>
      </c>
      <c r="I120" s="60"/>
      <c r="J120" s="16" t="e">
        <f>数出表_Excel!F120</f>
        <v>#N/A</v>
      </c>
      <c r="K120" s="60"/>
      <c r="L120" s="16" t="e">
        <f>数出表_Excel!G120</f>
        <v>#N/A</v>
      </c>
      <c r="M120" s="60"/>
      <c r="N120" s="16" t="e">
        <f>数出表_Excel!H120</f>
        <v>#N/A</v>
      </c>
      <c r="O120" s="60"/>
      <c r="P120" s="16" t="e">
        <f>数出表_Excel!I120</f>
        <v>#N/A</v>
      </c>
      <c r="Q120" s="60"/>
      <c r="R120" s="16" t="e">
        <f>数出表_Excel!J120</f>
        <v>#N/A</v>
      </c>
      <c r="S120" s="60"/>
      <c r="T120" s="16" t="e">
        <f>数出表_Excel!K120</f>
        <v>#N/A</v>
      </c>
      <c r="U120" s="60"/>
      <c r="V120" s="16" t="e">
        <f>数出表_Excel!L120</f>
        <v>#N/A</v>
      </c>
      <c r="W120" s="60"/>
      <c r="X120" s="16" t="e">
        <f>数出表_Excel!M120</f>
        <v>#N/A</v>
      </c>
      <c r="Y120" s="60"/>
      <c r="Z120" s="16" t="e">
        <f>数出表_Excel!N120</f>
        <v>#N/A</v>
      </c>
      <c r="AA120" s="60"/>
      <c r="AB120" s="16" t="e">
        <f>数出表_Excel!O120</f>
        <v>#N/A</v>
      </c>
      <c r="AC120" s="60"/>
      <c r="AD120" s="16" t="e">
        <f>数出表_Excel!P120</f>
        <v>#N/A</v>
      </c>
      <c r="AE120" s="60"/>
      <c r="AF120" s="16" t="e">
        <f>数出表_Excel!Q120</f>
        <v>#N/A</v>
      </c>
      <c r="AG120" s="60"/>
      <c r="AH120" s="16" t="e">
        <f>数出表_Excel!R120</f>
        <v>#N/A</v>
      </c>
      <c r="AI120" s="60"/>
      <c r="AJ120" s="16" t="e">
        <f>数出表_Excel!T120</f>
        <v>#N/A</v>
      </c>
      <c r="AK120" s="60"/>
      <c r="AL120" s="16" t="e">
        <f>数出表_Excel!T120</f>
        <v>#N/A</v>
      </c>
      <c r="AM120" s="5" t="e">
        <f>数出表_Excel!V120</f>
        <v>#N/A</v>
      </c>
      <c r="AN120" s="7" t="e">
        <f>数出表_Excel!W120</f>
        <v>#N/A</v>
      </c>
    </row>
    <row r="121" spans="1:40" x14ac:dyDescent="0.45">
      <c r="A121" s="8" t="e">
        <f>数出表_Excel!A121</f>
        <v>#N/A</v>
      </c>
      <c r="B121" s="46" t="e">
        <f>数出表_Excel!B121</f>
        <v>#N/A</v>
      </c>
      <c r="C121" s="46"/>
      <c r="D121" s="46" t="e">
        <f>数出表_Excel!C121</f>
        <v>#N/A</v>
      </c>
      <c r="E121" s="46"/>
      <c r="F121" s="46" t="e">
        <f>数出表_Excel!D121</f>
        <v>#N/A</v>
      </c>
      <c r="G121" s="46"/>
      <c r="H121" s="46" t="e">
        <f>数出表_Excel!E121</f>
        <v>#N/A</v>
      </c>
      <c r="I121" s="46"/>
      <c r="J121" s="46" t="e">
        <f>数出表_Excel!F121</f>
        <v>#N/A</v>
      </c>
      <c r="K121" s="46"/>
      <c r="L121" s="46" t="e">
        <f>数出表_Excel!G121</f>
        <v>#N/A</v>
      </c>
      <c r="M121" s="46"/>
      <c r="N121" s="46" t="e">
        <f>数出表_Excel!H121</f>
        <v>#N/A</v>
      </c>
      <c r="O121" s="46"/>
      <c r="P121" s="46" t="e">
        <f>数出表_Excel!I121</f>
        <v>#N/A</v>
      </c>
      <c r="Q121" s="46"/>
      <c r="R121" s="46" t="e">
        <f>数出表_Excel!J121</f>
        <v>#N/A</v>
      </c>
      <c r="S121" s="46"/>
      <c r="T121" s="46" t="e">
        <f>数出表_Excel!K121</f>
        <v>#N/A</v>
      </c>
      <c r="U121" s="46"/>
      <c r="V121" s="46" t="e">
        <f>数出表_Excel!L121</f>
        <v>#N/A</v>
      </c>
      <c r="W121" s="46"/>
      <c r="X121" s="46" t="e">
        <f>数出表_Excel!M121</f>
        <v>#N/A</v>
      </c>
      <c r="Y121" s="46"/>
      <c r="Z121" s="46" t="e">
        <f>数出表_Excel!N121</f>
        <v>#N/A</v>
      </c>
      <c r="AA121" s="46"/>
      <c r="AB121" s="46" t="e">
        <f>数出表_Excel!O121</f>
        <v>#N/A</v>
      </c>
      <c r="AC121" s="46"/>
      <c r="AD121" s="46" t="e">
        <f>数出表_Excel!P121</f>
        <v>#N/A</v>
      </c>
      <c r="AE121" s="46"/>
      <c r="AF121" s="46" t="e">
        <f>数出表_Excel!Q121</f>
        <v>#N/A</v>
      </c>
      <c r="AG121" s="46"/>
      <c r="AH121" s="46" t="e">
        <f>数出表_Excel!R121</f>
        <v>#N/A</v>
      </c>
      <c r="AI121" s="46"/>
      <c r="AJ121" s="46" t="e">
        <f>数出表_Excel!T121</f>
        <v>#N/A</v>
      </c>
      <c r="AK121" s="46"/>
      <c r="AL121" s="46" t="e">
        <f>数出表_Excel!T121</f>
        <v>#N/A</v>
      </c>
      <c r="AM121" s="8" t="e">
        <f>数出表_Excel!V121</f>
        <v>#N/A</v>
      </c>
      <c r="AN121" s="9" t="e">
        <f>数出表_Excel!W121</f>
        <v>#N/A</v>
      </c>
    </row>
    <row r="122" spans="1:40" x14ac:dyDescent="0.45">
      <c r="A122" s="5" t="e">
        <f>数出表_Excel!A122</f>
        <v>#N/A</v>
      </c>
      <c r="B122" s="16" t="e">
        <f>数出表_Excel!B122</f>
        <v>#N/A</v>
      </c>
      <c r="C122" s="60"/>
      <c r="D122" s="16" t="e">
        <f>数出表_Excel!C122</f>
        <v>#N/A</v>
      </c>
      <c r="E122" s="60"/>
      <c r="F122" s="16" t="e">
        <f>数出表_Excel!D122</f>
        <v>#N/A</v>
      </c>
      <c r="G122" s="60"/>
      <c r="H122" s="16" t="e">
        <f>数出表_Excel!E122</f>
        <v>#N/A</v>
      </c>
      <c r="I122" s="60"/>
      <c r="J122" s="16" t="e">
        <f>数出表_Excel!F122</f>
        <v>#N/A</v>
      </c>
      <c r="K122" s="60"/>
      <c r="L122" s="16" t="e">
        <f>数出表_Excel!G122</f>
        <v>#N/A</v>
      </c>
      <c r="M122" s="60"/>
      <c r="N122" s="16" t="e">
        <f>数出表_Excel!H122</f>
        <v>#N/A</v>
      </c>
      <c r="O122" s="60"/>
      <c r="P122" s="16" t="e">
        <f>数出表_Excel!I122</f>
        <v>#N/A</v>
      </c>
      <c r="Q122" s="60"/>
      <c r="R122" s="16" t="e">
        <f>数出表_Excel!J122</f>
        <v>#N/A</v>
      </c>
      <c r="S122" s="60"/>
      <c r="T122" s="16" t="e">
        <f>数出表_Excel!K122</f>
        <v>#N/A</v>
      </c>
      <c r="U122" s="60"/>
      <c r="V122" s="16" t="e">
        <f>数出表_Excel!L122</f>
        <v>#N/A</v>
      </c>
      <c r="W122" s="60"/>
      <c r="X122" s="16" t="e">
        <f>数出表_Excel!M122</f>
        <v>#N/A</v>
      </c>
      <c r="Y122" s="60"/>
      <c r="Z122" s="16" t="e">
        <f>数出表_Excel!N122</f>
        <v>#N/A</v>
      </c>
      <c r="AA122" s="60"/>
      <c r="AB122" s="16" t="e">
        <f>数出表_Excel!O122</f>
        <v>#N/A</v>
      </c>
      <c r="AC122" s="60"/>
      <c r="AD122" s="16" t="e">
        <f>数出表_Excel!P122</f>
        <v>#N/A</v>
      </c>
      <c r="AE122" s="60"/>
      <c r="AF122" s="16" t="e">
        <f>数出表_Excel!Q122</f>
        <v>#N/A</v>
      </c>
      <c r="AG122" s="60"/>
      <c r="AH122" s="16" t="e">
        <f>数出表_Excel!R122</f>
        <v>#N/A</v>
      </c>
      <c r="AI122" s="60"/>
      <c r="AJ122" s="16" t="e">
        <f>数出表_Excel!T122</f>
        <v>#N/A</v>
      </c>
      <c r="AK122" s="60"/>
      <c r="AL122" s="16" t="e">
        <f>数出表_Excel!T122</f>
        <v>#N/A</v>
      </c>
      <c r="AM122" s="5" t="e">
        <f>数出表_Excel!V122</f>
        <v>#N/A</v>
      </c>
      <c r="AN122" s="7" t="e">
        <f>数出表_Excel!W122</f>
        <v>#N/A</v>
      </c>
    </row>
    <row r="123" spans="1:40" x14ac:dyDescent="0.45">
      <c r="A123" s="8" t="e">
        <f>数出表_Excel!A123</f>
        <v>#N/A</v>
      </c>
      <c r="B123" s="46" t="e">
        <f>数出表_Excel!B123</f>
        <v>#N/A</v>
      </c>
      <c r="C123" s="46"/>
      <c r="D123" s="46" t="e">
        <f>数出表_Excel!C123</f>
        <v>#N/A</v>
      </c>
      <c r="E123" s="46"/>
      <c r="F123" s="46" t="e">
        <f>数出表_Excel!D123</f>
        <v>#N/A</v>
      </c>
      <c r="G123" s="46"/>
      <c r="H123" s="46" t="e">
        <f>数出表_Excel!E123</f>
        <v>#N/A</v>
      </c>
      <c r="I123" s="46"/>
      <c r="J123" s="46" t="e">
        <f>数出表_Excel!F123</f>
        <v>#N/A</v>
      </c>
      <c r="K123" s="46"/>
      <c r="L123" s="46" t="e">
        <f>数出表_Excel!G123</f>
        <v>#N/A</v>
      </c>
      <c r="M123" s="46"/>
      <c r="N123" s="46" t="e">
        <f>数出表_Excel!H123</f>
        <v>#N/A</v>
      </c>
      <c r="O123" s="46"/>
      <c r="P123" s="46" t="e">
        <f>数出表_Excel!I123</f>
        <v>#N/A</v>
      </c>
      <c r="Q123" s="46"/>
      <c r="R123" s="46" t="e">
        <f>数出表_Excel!J123</f>
        <v>#N/A</v>
      </c>
      <c r="S123" s="46"/>
      <c r="T123" s="46" t="e">
        <f>数出表_Excel!K123</f>
        <v>#N/A</v>
      </c>
      <c r="U123" s="46"/>
      <c r="V123" s="46" t="e">
        <f>数出表_Excel!L123</f>
        <v>#N/A</v>
      </c>
      <c r="W123" s="46"/>
      <c r="X123" s="46" t="e">
        <f>数出表_Excel!M123</f>
        <v>#N/A</v>
      </c>
      <c r="Y123" s="46"/>
      <c r="Z123" s="46" t="e">
        <f>数出表_Excel!N123</f>
        <v>#N/A</v>
      </c>
      <c r="AA123" s="46"/>
      <c r="AB123" s="46" t="e">
        <f>数出表_Excel!O123</f>
        <v>#N/A</v>
      </c>
      <c r="AC123" s="46"/>
      <c r="AD123" s="46" t="e">
        <f>数出表_Excel!P123</f>
        <v>#N/A</v>
      </c>
      <c r="AE123" s="46"/>
      <c r="AF123" s="46" t="e">
        <f>数出表_Excel!Q123</f>
        <v>#N/A</v>
      </c>
      <c r="AG123" s="46"/>
      <c r="AH123" s="46" t="e">
        <f>数出表_Excel!R123</f>
        <v>#N/A</v>
      </c>
      <c r="AI123" s="46"/>
      <c r="AJ123" s="46" t="e">
        <f>数出表_Excel!T123</f>
        <v>#N/A</v>
      </c>
      <c r="AK123" s="46"/>
      <c r="AL123" s="46" t="e">
        <f>数出表_Excel!T123</f>
        <v>#N/A</v>
      </c>
      <c r="AM123" s="8" t="e">
        <f>数出表_Excel!V123</f>
        <v>#N/A</v>
      </c>
      <c r="AN123" s="9" t="e">
        <f>数出表_Excel!W123</f>
        <v>#N/A</v>
      </c>
    </row>
    <row r="124" spans="1:40" x14ac:dyDescent="0.45">
      <c r="A124" s="5" t="e">
        <f>数出表_Excel!A124</f>
        <v>#N/A</v>
      </c>
      <c r="B124" s="16" t="e">
        <f>数出表_Excel!B124</f>
        <v>#N/A</v>
      </c>
      <c r="C124" s="60"/>
      <c r="D124" s="16" t="e">
        <f>数出表_Excel!C124</f>
        <v>#N/A</v>
      </c>
      <c r="E124" s="60"/>
      <c r="F124" s="16" t="e">
        <f>数出表_Excel!D124</f>
        <v>#N/A</v>
      </c>
      <c r="G124" s="60"/>
      <c r="H124" s="16" t="e">
        <f>数出表_Excel!E124</f>
        <v>#N/A</v>
      </c>
      <c r="I124" s="60"/>
      <c r="J124" s="16" t="e">
        <f>数出表_Excel!F124</f>
        <v>#N/A</v>
      </c>
      <c r="K124" s="60"/>
      <c r="L124" s="16" t="e">
        <f>数出表_Excel!G124</f>
        <v>#N/A</v>
      </c>
      <c r="M124" s="60"/>
      <c r="N124" s="16" t="e">
        <f>数出表_Excel!H124</f>
        <v>#N/A</v>
      </c>
      <c r="O124" s="60"/>
      <c r="P124" s="16" t="e">
        <f>数出表_Excel!I124</f>
        <v>#N/A</v>
      </c>
      <c r="Q124" s="60"/>
      <c r="R124" s="16" t="e">
        <f>数出表_Excel!J124</f>
        <v>#N/A</v>
      </c>
      <c r="S124" s="60"/>
      <c r="T124" s="16" t="e">
        <f>数出表_Excel!K124</f>
        <v>#N/A</v>
      </c>
      <c r="U124" s="60"/>
      <c r="V124" s="16" t="e">
        <f>数出表_Excel!L124</f>
        <v>#N/A</v>
      </c>
      <c r="W124" s="60"/>
      <c r="X124" s="16" t="e">
        <f>数出表_Excel!M124</f>
        <v>#N/A</v>
      </c>
      <c r="Y124" s="60"/>
      <c r="Z124" s="16" t="e">
        <f>数出表_Excel!N124</f>
        <v>#N/A</v>
      </c>
      <c r="AA124" s="60"/>
      <c r="AB124" s="16" t="e">
        <f>数出表_Excel!O124</f>
        <v>#N/A</v>
      </c>
      <c r="AC124" s="60"/>
      <c r="AD124" s="16" t="e">
        <f>数出表_Excel!P124</f>
        <v>#N/A</v>
      </c>
      <c r="AE124" s="60"/>
      <c r="AF124" s="16" t="e">
        <f>数出表_Excel!Q124</f>
        <v>#N/A</v>
      </c>
      <c r="AG124" s="60"/>
      <c r="AH124" s="16" t="e">
        <f>数出表_Excel!R124</f>
        <v>#N/A</v>
      </c>
      <c r="AI124" s="60"/>
      <c r="AJ124" s="16" t="e">
        <f>数出表_Excel!T124</f>
        <v>#N/A</v>
      </c>
      <c r="AK124" s="60"/>
      <c r="AL124" s="16" t="e">
        <f>数出表_Excel!T124</f>
        <v>#N/A</v>
      </c>
      <c r="AM124" s="5" t="e">
        <f>数出表_Excel!V124</f>
        <v>#N/A</v>
      </c>
      <c r="AN124" s="7" t="e">
        <f>数出表_Excel!W124</f>
        <v>#N/A</v>
      </c>
    </row>
    <row r="125" spans="1:40" x14ac:dyDescent="0.45">
      <c r="A125" s="8" t="e">
        <f>数出表_Excel!A125</f>
        <v>#N/A</v>
      </c>
      <c r="B125" s="46" t="e">
        <f>数出表_Excel!B125</f>
        <v>#N/A</v>
      </c>
      <c r="C125" s="46"/>
      <c r="D125" s="46" t="e">
        <f>数出表_Excel!C125</f>
        <v>#N/A</v>
      </c>
      <c r="E125" s="46"/>
      <c r="F125" s="46" t="e">
        <f>数出表_Excel!D125</f>
        <v>#N/A</v>
      </c>
      <c r="G125" s="46"/>
      <c r="H125" s="46" t="e">
        <f>数出表_Excel!E125</f>
        <v>#N/A</v>
      </c>
      <c r="I125" s="46"/>
      <c r="J125" s="46" t="e">
        <f>数出表_Excel!F125</f>
        <v>#N/A</v>
      </c>
      <c r="K125" s="46"/>
      <c r="L125" s="46" t="e">
        <f>数出表_Excel!G125</f>
        <v>#N/A</v>
      </c>
      <c r="M125" s="46"/>
      <c r="N125" s="46" t="e">
        <f>数出表_Excel!H125</f>
        <v>#N/A</v>
      </c>
      <c r="O125" s="46"/>
      <c r="P125" s="46" t="e">
        <f>数出表_Excel!I125</f>
        <v>#N/A</v>
      </c>
      <c r="Q125" s="46"/>
      <c r="R125" s="46" t="e">
        <f>数出表_Excel!J125</f>
        <v>#N/A</v>
      </c>
      <c r="S125" s="46"/>
      <c r="T125" s="46" t="e">
        <f>数出表_Excel!K125</f>
        <v>#N/A</v>
      </c>
      <c r="U125" s="46"/>
      <c r="V125" s="46" t="e">
        <f>数出表_Excel!L125</f>
        <v>#N/A</v>
      </c>
      <c r="W125" s="46"/>
      <c r="X125" s="46" t="e">
        <f>数出表_Excel!M125</f>
        <v>#N/A</v>
      </c>
      <c r="Y125" s="46"/>
      <c r="Z125" s="46" t="e">
        <f>数出表_Excel!N125</f>
        <v>#N/A</v>
      </c>
      <c r="AA125" s="46"/>
      <c r="AB125" s="46" t="e">
        <f>数出表_Excel!O125</f>
        <v>#N/A</v>
      </c>
      <c r="AC125" s="46"/>
      <c r="AD125" s="46" t="e">
        <f>数出表_Excel!P125</f>
        <v>#N/A</v>
      </c>
      <c r="AE125" s="46"/>
      <c r="AF125" s="46" t="e">
        <f>数出表_Excel!Q125</f>
        <v>#N/A</v>
      </c>
      <c r="AG125" s="46"/>
      <c r="AH125" s="46" t="e">
        <f>数出表_Excel!R125</f>
        <v>#N/A</v>
      </c>
      <c r="AI125" s="46"/>
      <c r="AJ125" s="46" t="e">
        <f>数出表_Excel!T125</f>
        <v>#N/A</v>
      </c>
      <c r="AK125" s="46"/>
      <c r="AL125" s="46" t="e">
        <f>数出表_Excel!T125</f>
        <v>#N/A</v>
      </c>
      <c r="AM125" s="8" t="e">
        <f>数出表_Excel!V125</f>
        <v>#N/A</v>
      </c>
      <c r="AN125" s="9" t="e">
        <f>数出表_Excel!W125</f>
        <v>#N/A</v>
      </c>
    </row>
    <row r="126" spans="1:40" x14ac:dyDescent="0.45">
      <c r="A126" s="5" t="e">
        <f>数出表_Excel!A126</f>
        <v>#N/A</v>
      </c>
      <c r="B126" s="16" t="e">
        <f>数出表_Excel!B126</f>
        <v>#N/A</v>
      </c>
      <c r="C126" s="60"/>
      <c r="D126" s="16" t="e">
        <f>数出表_Excel!C126</f>
        <v>#N/A</v>
      </c>
      <c r="E126" s="60"/>
      <c r="F126" s="16" t="e">
        <f>数出表_Excel!D126</f>
        <v>#N/A</v>
      </c>
      <c r="G126" s="60"/>
      <c r="H126" s="16" t="e">
        <f>数出表_Excel!E126</f>
        <v>#N/A</v>
      </c>
      <c r="I126" s="60"/>
      <c r="J126" s="16" t="e">
        <f>数出表_Excel!F126</f>
        <v>#N/A</v>
      </c>
      <c r="K126" s="60"/>
      <c r="L126" s="16" t="e">
        <f>数出表_Excel!G126</f>
        <v>#N/A</v>
      </c>
      <c r="M126" s="60"/>
      <c r="N126" s="16" t="e">
        <f>数出表_Excel!H126</f>
        <v>#N/A</v>
      </c>
      <c r="O126" s="60"/>
      <c r="P126" s="16" t="e">
        <f>数出表_Excel!I126</f>
        <v>#N/A</v>
      </c>
      <c r="Q126" s="60"/>
      <c r="R126" s="16" t="e">
        <f>数出表_Excel!J126</f>
        <v>#N/A</v>
      </c>
      <c r="S126" s="60"/>
      <c r="T126" s="16" t="e">
        <f>数出表_Excel!K126</f>
        <v>#N/A</v>
      </c>
      <c r="U126" s="60"/>
      <c r="V126" s="16" t="e">
        <f>数出表_Excel!L126</f>
        <v>#N/A</v>
      </c>
      <c r="W126" s="60"/>
      <c r="X126" s="16" t="e">
        <f>数出表_Excel!M126</f>
        <v>#N/A</v>
      </c>
      <c r="Y126" s="60"/>
      <c r="Z126" s="16" t="e">
        <f>数出表_Excel!N126</f>
        <v>#N/A</v>
      </c>
      <c r="AA126" s="60"/>
      <c r="AB126" s="16" t="e">
        <f>数出表_Excel!O126</f>
        <v>#N/A</v>
      </c>
      <c r="AC126" s="60"/>
      <c r="AD126" s="16" t="e">
        <f>数出表_Excel!P126</f>
        <v>#N/A</v>
      </c>
      <c r="AE126" s="60"/>
      <c r="AF126" s="16" t="e">
        <f>数出表_Excel!Q126</f>
        <v>#N/A</v>
      </c>
      <c r="AG126" s="60"/>
      <c r="AH126" s="16" t="e">
        <f>数出表_Excel!R126</f>
        <v>#N/A</v>
      </c>
      <c r="AI126" s="60"/>
      <c r="AJ126" s="16" t="e">
        <f>数出表_Excel!T126</f>
        <v>#N/A</v>
      </c>
      <c r="AK126" s="60"/>
      <c r="AL126" s="16" t="e">
        <f>数出表_Excel!T126</f>
        <v>#N/A</v>
      </c>
      <c r="AM126" s="5" t="e">
        <f>数出表_Excel!V126</f>
        <v>#N/A</v>
      </c>
      <c r="AN126" s="7" t="e">
        <f>数出表_Excel!W126</f>
        <v>#N/A</v>
      </c>
    </row>
    <row r="127" spans="1:40" x14ac:dyDescent="0.45">
      <c r="A127" s="8" t="e">
        <f>数出表_Excel!A127</f>
        <v>#N/A</v>
      </c>
      <c r="B127" s="46" t="e">
        <f>数出表_Excel!B127</f>
        <v>#N/A</v>
      </c>
      <c r="C127" s="46"/>
      <c r="D127" s="46" t="e">
        <f>数出表_Excel!C127</f>
        <v>#N/A</v>
      </c>
      <c r="E127" s="46"/>
      <c r="F127" s="46" t="e">
        <f>数出表_Excel!D127</f>
        <v>#N/A</v>
      </c>
      <c r="G127" s="46"/>
      <c r="H127" s="46" t="e">
        <f>数出表_Excel!E127</f>
        <v>#N/A</v>
      </c>
      <c r="I127" s="46"/>
      <c r="J127" s="46" t="e">
        <f>数出表_Excel!F127</f>
        <v>#N/A</v>
      </c>
      <c r="K127" s="46"/>
      <c r="L127" s="46" t="e">
        <f>数出表_Excel!G127</f>
        <v>#N/A</v>
      </c>
      <c r="M127" s="46"/>
      <c r="N127" s="46" t="e">
        <f>数出表_Excel!H127</f>
        <v>#N/A</v>
      </c>
      <c r="O127" s="46"/>
      <c r="P127" s="46" t="e">
        <f>数出表_Excel!I127</f>
        <v>#N/A</v>
      </c>
      <c r="Q127" s="46"/>
      <c r="R127" s="46" t="e">
        <f>数出表_Excel!J127</f>
        <v>#N/A</v>
      </c>
      <c r="S127" s="46"/>
      <c r="T127" s="46" t="e">
        <f>数出表_Excel!K127</f>
        <v>#N/A</v>
      </c>
      <c r="U127" s="46"/>
      <c r="V127" s="46" t="e">
        <f>数出表_Excel!L127</f>
        <v>#N/A</v>
      </c>
      <c r="W127" s="46"/>
      <c r="X127" s="46" t="e">
        <f>数出表_Excel!M127</f>
        <v>#N/A</v>
      </c>
      <c r="Y127" s="46"/>
      <c r="Z127" s="46" t="e">
        <f>数出表_Excel!N127</f>
        <v>#N/A</v>
      </c>
      <c r="AA127" s="46"/>
      <c r="AB127" s="46" t="e">
        <f>数出表_Excel!O127</f>
        <v>#N/A</v>
      </c>
      <c r="AC127" s="46"/>
      <c r="AD127" s="46" t="e">
        <f>数出表_Excel!P127</f>
        <v>#N/A</v>
      </c>
      <c r="AE127" s="46"/>
      <c r="AF127" s="46" t="e">
        <f>数出表_Excel!Q127</f>
        <v>#N/A</v>
      </c>
      <c r="AG127" s="46"/>
      <c r="AH127" s="46" t="e">
        <f>数出表_Excel!R127</f>
        <v>#N/A</v>
      </c>
      <c r="AI127" s="46"/>
      <c r="AJ127" s="46" t="e">
        <f>数出表_Excel!T127</f>
        <v>#N/A</v>
      </c>
      <c r="AK127" s="46"/>
      <c r="AL127" s="46" t="e">
        <f>数出表_Excel!T127</f>
        <v>#N/A</v>
      </c>
      <c r="AM127" s="8" t="e">
        <f>数出表_Excel!V127</f>
        <v>#N/A</v>
      </c>
      <c r="AN127" s="9" t="e">
        <f>数出表_Excel!W127</f>
        <v>#N/A</v>
      </c>
    </row>
    <row r="128" spans="1:40" x14ac:dyDescent="0.45">
      <c r="A128" s="5" t="e">
        <f>数出表_Excel!A128</f>
        <v>#N/A</v>
      </c>
      <c r="B128" s="16" t="e">
        <f>数出表_Excel!B128</f>
        <v>#N/A</v>
      </c>
      <c r="C128" s="60"/>
      <c r="D128" s="16" t="e">
        <f>数出表_Excel!C128</f>
        <v>#N/A</v>
      </c>
      <c r="E128" s="60"/>
      <c r="F128" s="16" t="e">
        <f>数出表_Excel!D128</f>
        <v>#N/A</v>
      </c>
      <c r="G128" s="60"/>
      <c r="H128" s="16" t="e">
        <f>数出表_Excel!E128</f>
        <v>#N/A</v>
      </c>
      <c r="I128" s="60"/>
      <c r="J128" s="16" t="e">
        <f>数出表_Excel!F128</f>
        <v>#N/A</v>
      </c>
      <c r="K128" s="60"/>
      <c r="L128" s="16" t="e">
        <f>数出表_Excel!G128</f>
        <v>#N/A</v>
      </c>
      <c r="M128" s="60"/>
      <c r="N128" s="16" t="e">
        <f>数出表_Excel!H128</f>
        <v>#N/A</v>
      </c>
      <c r="O128" s="60"/>
      <c r="P128" s="16" t="e">
        <f>数出表_Excel!I128</f>
        <v>#N/A</v>
      </c>
      <c r="Q128" s="60"/>
      <c r="R128" s="16" t="e">
        <f>数出表_Excel!J128</f>
        <v>#N/A</v>
      </c>
      <c r="S128" s="60"/>
      <c r="T128" s="16" t="e">
        <f>数出表_Excel!K128</f>
        <v>#N/A</v>
      </c>
      <c r="U128" s="60"/>
      <c r="V128" s="16" t="e">
        <f>数出表_Excel!L128</f>
        <v>#N/A</v>
      </c>
      <c r="W128" s="60"/>
      <c r="X128" s="16" t="e">
        <f>数出表_Excel!M128</f>
        <v>#N/A</v>
      </c>
      <c r="Y128" s="60"/>
      <c r="Z128" s="16" t="e">
        <f>数出表_Excel!N128</f>
        <v>#N/A</v>
      </c>
      <c r="AA128" s="60"/>
      <c r="AB128" s="16" t="e">
        <f>数出表_Excel!O128</f>
        <v>#N/A</v>
      </c>
      <c r="AC128" s="60"/>
      <c r="AD128" s="16" t="e">
        <f>数出表_Excel!P128</f>
        <v>#N/A</v>
      </c>
      <c r="AE128" s="60"/>
      <c r="AF128" s="16" t="e">
        <f>数出表_Excel!Q128</f>
        <v>#N/A</v>
      </c>
      <c r="AG128" s="60"/>
      <c r="AH128" s="16" t="e">
        <f>数出表_Excel!R128</f>
        <v>#N/A</v>
      </c>
      <c r="AI128" s="60"/>
      <c r="AJ128" s="16" t="e">
        <f>数出表_Excel!T128</f>
        <v>#N/A</v>
      </c>
      <c r="AK128" s="60"/>
      <c r="AL128" s="16" t="e">
        <f>数出表_Excel!T128</f>
        <v>#N/A</v>
      </c>
      <c r="AM128" s="5" t="e">
        <f>数出表_Excel!V128</f>
        <v>#N/A</v>
      </c>
      <c r="AN128" s="7" t="e">
        <f>数出表_Excel!W128</f>
        <v>#N/A</v>
      </c>
    </row>
    <row r="129" spans="1:40" x14ac:dyDescent="0.45">
      <c r="A129" s="8" t="e">
        <f>数出表_Excel!A129</f>
        <v>#N/A</v>
      </c>
      <c r="B129" s="46" t="e">
        <f>数出表_Excel!B129</f>
        <v>#N/A</v>
      </c>
      <c r="C129" s="46"/>
      <c r="D129" s="46" t="e">
        <f>数出表_Excel!C129</f>
        <v>#N/A</v>
      </c>
      <c r="E129" s="46"/>
      <c r="F129" s="46" t="e">
        <f>数出表_Excel!D129</f>
        <v>#N/A</v>
      </c>
      <c r="G129" s="46"/>
      <c r="H129" s="46" t="e">
        <f>数出表_Excel!E129</f>
        <v>#N/A</v>
      </c>
      <c r="I129" s="46"/>
      <c r="J129" s="46" t="e">
        <f>数出表_Excel!F129</f>
        <v>#N/A</v>
      </c>
      <c r="K129" s="46"/>
      <c r="L129" s="46" t="e">
        <f>数出表_Excel!G129</f>
        <v>#N/A</v>
      </c>
      <c r="M129" s="46"/>
      <c r="N129" s="46" t="e">
        <f>数出表_Excel!H129</f>
        <v>#N/A</v>
      </c>
      <c r="O129" s="46"/>
      <c r="P129" s="46" t="e">
        <f>数出表_Excel!I129</f>
        <v>#N/A</v>
      </c>
      <c r="Q129" s="46"/>
      <c r="R129" s="46" t="e">
        <f>数出表_Excel!J129</f>
        <v>#N/A</v>
      </c>
      <c r="S129" s="46"/>
      <c r="T129" s="46" t="e">
        <f>数出表_Excel!K129</f>
        <v>#N/A</v>
      </c>
      <c r="U129" s="46"/>
      <c r="V129" s="46" t="e">
        <f>数出表_Excel!L129</f>
        <v>#N/A</v>
      </c>
      <c r="W129" s="46"/>
      <c r="X129" s="46" t="e">
        <f>数出表_Excel!M129</f>
        <v>#N/A</v>
      </c>
      <c r="Y129" s="46"/>
      <c r="Z129" s="46" t="e">
        <f>数出表_Excel!N129</f>
        <v>#N/A</v>
      </c>
      <c r="AA129" s="46"/>
      <c r="AB129" s="46" t="e">
        <f>数出表_Excel!O129</f>
        <v>#N/A</v>
      </c>
      <c r="AC129" s="46"/>
      <c r="AD129" s="46" t="e">
        <f>数出表_Excel!P129</f>
        <v>#N/A</v>
      </c>
      <c r="AE129" s="46"/>
      <c r="AF129" s="46" t="e">
        <f>数出表_Excel!Q129</f>
        <v>#N/A</v>
      </c>
      <c r="AG129" s="46"/>
      <c r="AH129" s="46" t="e">
        <f>数出表_Excel!R129</f>
        <v>#N/A</v>
      </c>
      <c r="AI129" s="46"/>
      <c r="AJ129" s="46" t="e">
        <f>数出表_Excel!T129</f>
        <v>#N/A</v>
      </c>
      <c r="AK129" s="46"/>
      <c r="AL129" s="46" t="e">
        <f>数出表_Excel!T129</f>
        <v>#N/A</v>
      </c>
      <c r="AM129" s="8" t="e">
        <f>数出表_Excel!V129</f>
        <v>#N/A</v>
      </c>
      <c r="AN129" s="9" t="e">
        <f>数出表_Excel!W129</f>
        <v>#N/A</v>
      </c>
    </row>
    <row r="130" spans="1:40" x14ac:dyDescent="0.45">
      <c r="A130" s="5" t="e">
        <f>数出表_Excel!A130</f>
        <v>#N/A</v>
      </c>
      <c r="B130" s="16" t="e">
        <f>数出表_Excel!B130</f>
        <v>#N/A</v>
      </c>
      <c r="C130" s="60"/>
      <c r="D130" s="16" t="e">
        <f>数出表_Excel!C130</f>
        <v>#N/A</v>
      </c>
      <c r="E130" s="60"/>
      <c r="F130" s="16" t="e">
        <f>数出表_Excel!D130</f>
        <v>#N/A</v>
      </c>
      <c r="G130" s="60"/>
      <c r="H130" s="16" t="e">
        <f>数出表_Excel!E130</f>
        <v>#N/A</v>
      </c>
      <c r="I130" s="60"/>
      <c r="J130" s="16" t="e">
        <f>数出表_Excel!F130</f>
        <v>#N/A</v>
      </c>
      <c r="K130" s="60"/>
      <c r="L130" s="16" t="e">
        <f>数出表_Excel!G130</f>
        <v>#N/A</v>
      </c>
      <c r="M130" s="60"/>
      <c r="N130" s="16" t="e">
        <f>数出表_Excel!H130</f>
        <v>#N/A</v>
      </c>
      <c r="O130" s="60"/>
      <c r="P130" s="16" t="e">
        <f>数出表_Excel!I130</f>
        <v>#N/A</v>
      </c>
      <c r="Q130" s="60"/>
      <c r="R130" s="16" t="e">
        <f>数出表_Excel!J130</f>
        <v>#N/A</v>
      </c>
      <c r="S130" s="60"/>
      <c r="T130" s="16" t="e">
        <f>数出表_Excel!K130</f>
        <v>#N/A</v>
      </c>
      <c r="U130" s="60"/>
      <c r="V130" s="16" t="e">
        <f>数出表_Excel!L130</f>
        <v>#N/A</v>
      </c>
      <c r="W130" s="60"/>
      <c r="X130" s="16" t="e">
        <f>数出表_Excel!M130</f>
        <v>#N/A</v>
      </c>
      <c r="Y130" s="60"/>
      <c r="Z130" s="16" t="e">
        <f>数出表_Excel!N130</f>
        <v>#N/A</v>
      </c>
      <c r="AA130" s="60"/>
      <c r="AB130" s="16" t="e">
        <f>数出表_Excel!O130</f>
        <v>#N/A</v>
      </c>
      <c r="AC130" s="60"/>
      <c r="AD130" s="16" t="e">
        <f>数出表_Excel!P130</f>
        <v>#N/A</v>
      </c>
      <c r="AE130" s="60"/>
      <c r="AF130" s="16" t="e">
        <f>数出表_Excel!Q130</f>
        <v>#N/A</v>
      </c>
      <c r="AG130" s="60"/>
      <c r="AH130" s="16" t="e">
        <f>数出表_Excel!R130</f>
        <v>#N/A</v>
      </c>
      <c r="AI130" s="60"/>
      <c r="AJ130" s="16" t="e">
        <f>数出表_Excel!T130</f>
        <v>#N/A</v>
      </c>
      <c r="AK130" s="60"/>
      <c r="AL130" s="16" t="e">
        <f>数出表_Excel!T130</f>
        <v>#N/A</v>
      </c>
      <c r="AM130" s="5" t="e">
        <f>数出表_Excel!V130</f>
        <v>#N/A</v>
      </c>
      <c r="AN130" s="7" t="e">
        <f>数出表_Excel!W130</f>
        <v>#N/A</v>
      </c>
    </row>
    <row r="131" spans="1:40" x14ac:dyDescent="0.45">
      <c r="A131" s="8" t="e">
        <f>数出表_Excel!A131</f>
        <v>#N/A</v>
      </c>
      <c r="B131" s="46" t="e">
        <f>数出表_Excel!B131</f>
        <v>#N/A</v>
      </c>
      <c r="C131" s="46"/>
      <c r="D131" s="46" t="e">
        <f>数出表_Excel!C131</f>
        <v>#N/A</v>
      </c>
      <c r="E131" s="46"/>
      <c r="F131" s="46" t="e">
        <f>数出表_Excel!D131</f>
        <v>#N/A</v>
      </c>
      <c r="G131" s="46"/>
      <c r="H131" s="46" t="e">
        <f>数出表_Excel!E131</f>
        <v>#N/A</v>
      </c>
      <c r="I131" s="46"/>
      <c r="J131" s="46" t="e">
        <f>数出表_Excel!F131</f>
        <v>#N/A</v>
      </c>
      <c r="K131" s="46"/>
      <c r="L131" s="46" t="e">
        <f>数出表_Excel!G131</f>
        <v>#N/A</v>
      </c>
      <c r="M131" s="46"/>
      <c r="N131" s="46" t="e">
        <f>数出表_Excel!H131</f>
        <v>#N/A</v>
      </c>
      <c r="O131" s="46"/>
      <c r="P131" s="46" t="e">
        <f>数出表_Excel!I131</f>
        <v>#N/A</v>
      </c>
      <c r="Q131" s="46"/>
      <c r="R131" s="46" t="e">
        <f>数出表_Excel!J131</f>
        <v>#N/A</v>
      </c>
      <c r="S131" s="46"/>
      <c r="T131" s="46" t="e">
        <f>数出表_Excel!K131</f>
        <v>#N/A</v>
      </c>
      <c r="U131" s="46"/>
      <c r="V131" s="46" t="e">
        <f>数出表_Excel!L131</f>
        <v>#N/A</v>
      </c>
      <c r="W131" s="46"/>
      <c r="X131" s="46" t="e">
        <f>数出表_Excel!M131</f>
        <v>#N/A</v>
      </c>
      <c r="Y131" s="46"/>
      <c r="Z131" s="46" t="e">
        <f>数出表_Excel!N131</f>
        <v>#N/A</v>
      </c>
      <c r="AA131" s="46"/>
      <c r="AB131" s="46" t="e">
        <f>数出表_Excel!O131</f>
        <v>#N/A</v>
      </c>
      <c r="AC131" s="46"/>
      <c r="AD131" s="46" t="e">
        <f>数出表_Excel!P131</f>
        <v>#N/A</v>
      </c>
      <c r="AE131" s="46"/>
      <c r="AF131" s="46" t="e">
        <f>数出表_Excel!Q131</f>
        <v>#N/A</v>
      </c>
      <c r="AG131" s="46"/>
      <c r="AH131" s="46" t="e">
        <f>数出表_Excel!R131</f>
        <v>#N/A</v>
      </c>
      <c r="AI131" s="46"/>
      <c r="AJ131" s="46" t="e">
        <f>数出表_Excel!T131</f>
        <v>#N/A</v>
      </c>
      <c r="AK131" s="46"/>
      <c r="AL131" s="46" t="e">
        <f>数出表_Excel!T131</f>
        <v>#N/A</v>
      </c>
      <c r="AM131" s="8" t="e">
        <f>数出表_Excel!V131</f>
        <v>#N/A</v>
      </c>
      <c r="AN131" s="9" t="e">
        <f>数出表_Excel!W131</f>
        <v>#N/A</v>
      </c>
    </row>
    <row r="132" spans="1:40" x14ac:dyDescent="0.45">
      <c r="A132" s="5" t="e">
        <f>数出表_Excel!A132</f>
        <v>#N/A</v>
      </c>
      <c r="B132" s="16" t="e">
        <f>数出表_Excel!B132</f>
        <v>#N/A</v>
      </c>
      <c r="C132" s="60"/>
      <c r="D132" s="16" t="e">
        <f>数出表_Excel!C132</f>
        <v>#N/A</v>
      </c>
      <c r="E132" s="60"/>
      <c r="F132" s="16" t="e">
        <f>数出表_Excel!D132</f>
        <v>#N/A</v>
      </c>
      <c r="G132" s="60"/>
      <c r="H132" s="16" t="e">
        <f>数出表_Excel!E132</f>
        <v>#N/A</v>
      </c>
      <c r="I132" s="60"/>
      <c r="J132" s="16" t="e">
        <f>数出表_Excel!F132</f>
        <v>#N/A</v>
      </c>
      <c r="K132" s="60"/>
      <c r="L132" s="16" t="e">
        <f>数出表_Excel!G132</f>
        <v>#N/A</v>
      </c>
      <c r="M132" s="60"/>
      <c r="N132" s="16" t="e">
        <f>数出表_Excel!H132</f>
        <v>#N/A</v>
      </c>
      <c r="O132" s="60"/>
      <c r="P132" s="16" t="e">
        <f>数出表_Excel!I132</f>
        <v>#N/A</v>
      </c>
      <c r="Q132" s="60"/>
      <c r="R132" s="16" t="e">
        <f>数出表_Excel!J132</f>
        <v>#N/A</v>
      </c>
      <c r="S132" s="60"/>
      <c r="T132" s="16" t="e">
        <f>数出表_Excel!K132</f>
        <v>#N/A</v>
      </c>
      <c r="U132" s="60"/>
      <c r="V132" s="16" t="e">
        <f>数出表_Excel!L132</f>
        <v>#N/A</v>
      </c>
      <c r="W132" s="60"/>
      <c r="X132" s="16" t="e">
        <f>数出表_Excel!M132</f>
        <v>#N/A</v>
      </c>
      <c r="Y132" s="60"/>
      <c r="Z132" s="16" t="e">
        <f>数出表_Excel!N132</f>
        <v>#N/A</v>
      </c>
      <c r="AA132" s="60"/>
      <c r="AB132" s="16" t="e">
        <f>数出表_Excel!O132</f>
        <v>#N/A</v>
      </c>
      <c r="AC132" s="60"/>
      <c r="AD132" s="16" t="e">
        <f>数出表_Excel!P132</f>
        <v>#N/A</v>
      </c>
      <c r="AE132" s="60"/>
      <c r="AF132" s="16" t="e">
        <f>数出表_Excel!Q132</f>
        <v>#N/A</v>
      </c>
      <c r="AG132" s="60"/>
      <c r="AH132" s="16" t="e">
        <f>数出表_Excel!R132</f>
        <v>#N/A</v>
      </c>
      <c r="AI132" s="60"/>
      <c r="AJ132" s="16" t="e">
        <f>数出表_Excel!T132</f>
        <v>#N/A</v>
      </c>
      <c r="AK132" s="60"/>
      <c r="AL132" s="16" t="e">
        <f>数出表_Excel!T132</f>
        <v>#N/A</v>
      </c>
      <c r="AM132" s="5" t="e">
        <f>数出表_Excel!V132</f>
        <v>#N/A</v>
      </c>
      <c r="AN132" s="7" t="e">
        <f>数出表_Excel!W132</f>
        <v>#N/A</v>
      </c>
    </row>
    <row r="133" spans="1:40" x14ac:dyDescent="0.45">
      <c r="A133" s="8" t="e">
        <f>数出表_Excel!A133</f>
        <v>#N/A</v>
      </c>
      <c r="B133" s="46" t="e">
        <f>数出表_Excel!B133</f>
        <v>#N/A</v>
      </c>
      <c r="C133" s="46"/>
      <c r="D133" s="46" t="e">
        <f>数出表_Excel!C133</f>
        <v>#N/A</v>
      </c>
      <c r="E133" s="46"/>
      <c r="F133" s="46" t="e">
        <f>数出表_Excel!D133</f>
        <v>#N/A</v>
      </c>
      <c r="G133" s="46"/>
      <c r="H133" s="46" t="e">
        <f>数出表_Excel!E133</f>
        <v>#N/A</v>
      </c>
      <c r="I133" s="46"/>
      <c r="J133" s="46" t="e">
        <f>数出表_Excel!F133</f>
        <v>#N/A</v>
      </c>
      <c r="K133" s="46"/>
      <c r="L133" s="46" t="e">
        <f>数出表_Excel!G133</f>
        <v>#N/A</v>
      </c>
      <c r="M133" s="46"/>
      <c r="N133" s="46" t="e">
        <f>数出表_Excel!H133</f>
        <v>#N/A</v>
      </c>
      <c r="O133" s="46"/>
      <c r="P133" s="46" t="e">
        <f>数出表_Excel!I133</f>
        <v>#N/A</v>
      </c>
      <c r="Q133" s="46"/>
      <c r="R133" s="46" t="e">
        <f>数出表_Excel!J133</f>
        <v>#N/A</v>
      </c>
      <c r="S133" s="46"/>
      <c r="T133" s="46" t="e">
        <f>数出表_Excel!K133</f>
        <v>#N/A</v>
      </c>
      <c r="U133" s="46"/>
      <c r="V133" s="46" t="e">
        <f>数出表_Excel!L133</f>
        <v>#N/A</v>
      </c>
      <c r="W133" s="46"/>
      <c r="X133" s="46" t="e">
        <f>数出表_Excel!M133</f>
        <v>#N/A</v>
      </c>
      <c r="Y133" s="46"/>
      <c r="Z133" s="46" t="e">
        <f>数出表_Excel!N133</f>
        <v>#N/A</v>
      </c>
      <c r="AA133" s="46"/>
      <c r="AB133" s="46" t="e">
        <f>数出表_Excel!O133</f>
        <v>#N/A</v>
      </c>
      <c r="AC133" s="46"/>
      <c r="AD133" s="46" t="e">
        <f>数出表_Excel!P133</f>
        <v>#N/A</v>
      </c>
      <c r="AE133" s="46"/>
      <c r="AF133" s="46" t="e">
        <f>数出表_Excel!Q133</f>
        <v>#N/A</v>
      </c>
      <c r="AG133" s="46"/>
      <c r="AH133" s="46" t="e">
        <f>数出表_Excel!R133</f>
        <v>#N/A</v>
      </c>
      <c r="AI133" s="46"/>
      <c r="AJ133" s="46" t="e">
        <f>数出表_Excel!T133</f>
        <v>#N/A</v>
      </c>
      <c r="AK133" s="46"/>
      <c r="AL133" s="46" t="e">
        <f>数出表_Excel!T133</f>
        <v>#N/A</v>
      </c>
      <c r="AM133" s="8" t="e">
        <f>数出表_Excel!V133</f>
        <v>#N/A</v>
      </c>
      <c r="AN133" s="9" t="e">
        <f>数出表_Excel!W133</f>
        <v>#N/A</v>
      </c>
    </row>
    <row r="134" spans="1:40" x14ac:dyDescent="0.45">
      <c r="A134" s="5" t="e">
        <f>数出表_Excel!A134</f>
        <v>#N/A</v>
      </c>
      <c r="B134" s="16" t="e">
        <f>数出表_Excel!B134</f>
        <v>#N/A</v>
      </c>
      <c r="C134" s="60"/>
      <c r="D134" s="16" t="e">
        <f>数出表_Excel!C134</f>
        <v>#N/A</v>
      </c>
      <c r="E134" s="60"/>
      <c r="F134" s="16" t="e">
        <f>数出表_Excel!D134</f>
        <v>#N/A</v>
      </c>
      <c r="G134" s="60"/>
      <c r="H134" s="16" t="e">
        <f>数出表_Excel!E134</f>
        <v>#N/A</v>
      </c>
      <c r="I134" s="60"/>
      <c r="J134" s="16" t="e">
        <f>数出表_Excel!F134</f>
        <v>#N/A</v>
      </c>
      <c r="K134" s="60"/>
      <c r="L134" s="16" t="e">
        <f>数出表_Excel!G134</f>
        <v>#N/A</v>
      </c>
      <c r="M134" s="60"/>
      <c r="N134" s="16" t="e">
        <f>数出表_Excel!H134</f>
        <v>#N/A</v>
      </c>
      <c r="O134" s="60"/>
      <c r="P134" s="16" t="e">
        <f>数出表_Excel!I134</f>
        <v>#N/A</v>
      </c>
      <c r="Q134" s="60"/>
      <c r="R134" s="16" t="e">
        <f>数出表_Excel!J134</f>
        <v>#N/A</v>
      </c>
      <c r="S134" s="60"/>
      <c r="T134" s="16" t="e">
        <f>数出表_Excel!K134</f>
        <v>#N/A</v>
      </c>
      <c r="U134" s="60"/>
      <c r="V134" s="16" t="e">
        <f>数出表_Excel!L134</f>
        <v>#N/A</v>
      </c>
      <c r="W134" s="60"/>
      <c r="X134" s="16" t="e">
        <f>数出表_Excel!M134</f>
        <v>#N/A</v>
      </c>
      <c r="Y134" s="60"/>
      <c r="Z134" s="16" t="e">
        <f>数出表_Excel!N134</f>
        <v>#N/A</v>
      </c>
      <c r="AA134" s="60"/>
      <c r="AB134" s="16" t="e">
        <f>数出表_Excel!O134</f>
        <v>#N/A</v>
      </c>
      <c r="AC134" s="60"/>
      <c r="AD134" s="16" t="e">
        <f>数出表_Excel!P134</f>
        <v>#N/A</v>
      </c>
      <c r="AE134" s="60"/>
      <c r="AF134" s="16" t="e">
        <f>数出表_Excel!Q134</f>
        <v>#N/A</v>
      </c>
      <c r="AG134" s="60"/>
      <c r="AH134" s="16" t="e">
        <f>数出表_Excel!R134</f>
        <v>#N/A</v>
      </c>
      <c r="AI134" s="60"/>
      <c r="AJ134" s="16" t="e">
        <f>数出表_Excel!T134</f>
        <v>#N/A</v>
      </c>
      <c r="AK134" s="60"/>
      <c r="AL134" s="16" t="e">
        <f>数出表_Excel!T134</f>
        <v>#N/A</v>
      </c>
      <c r="AM134" s="5" t="e">
        <f>数出表_Excel!V134</f>
        <v>#N/A</v>
      </c>
      <c r="AN134" s="7" t="e">
        <f>数出表_Excel!W134</f>
        <v>#N/A</v>
      </c>
    </row>
    <row r="135" spans="1:40" x14ac:dyDescent="0.45">
      <c r="A135" s="8" t="e">
        <f>数出表_Excel!A135</f>
        <v>#N/A</v>
      </c>
      <c r="B135" s="46" t="e">
        <f>数出表_Excel!B135</f>
        <v>#N/A</v>
      </c>
      <c r="C135" s="46"/>
      <c r="D135" s="46" t="e">
        <f>数出表_Excel!C135</f>
        <v>#N/A</v>
      </c>
      <c r="E135" s="46"/>
      <c r="F135" s="46" t="e">
        <f>数出表_Excel!D135</f>
        <v>#N/A</v>
      </c>
      <c r="G135" s="46"/>
      <c r="H135" s="46" t="e">
        <f>数出表_Excel!E135</f>
        <v>#N/A</v>
      </c>
      <c r="I135" s="46"/>
      <c r="J135" s="46" t="e">
        <f>数出表_Excel!F135</f>
        <v>#N/A</v>
      </c>
      <c r="K135" s="46"/>
      <c r="L135" s="46" t="e">
        <f>数出表_Excel!G135</f>
        <v>#N/A</v>
      </c>
      <c r="M135" s="46"/>
      <c r="N135" s="46" t="e">
        <f>数出表_Excel!H135</f>
        <v>#N/A</v>
      </c>
      <c r="O135" s="46"/>
      <c r="P135" s="46" t="e">
        <f>数出表_Excel!I135</f>
        <v>#N/A</v>
      </c>
      <c r="Q135" s="46"/>
      <c r="R135" s="46" t="e">
        <f>数出表_Excel!J135</f>
        <v>#N/A</v>
      </c>
      <c r="S135" s="46"/>
      <c r="T135" s="46" t="e">
        <f>数出表_Excel!K135</f>
        <v>#N/A</v>
      </c>
      <c r="U135" s="46"/>
      <c r="V135" s="46" t="e">
        <f>数出表_Excel!L135</f>
        <v>#N/A</v>
      </c>
      <c r="W135" s="46"/>
      <c r="X135" s="46" t="e">
        <f>数出表_Excel!M135</f>
        <v>#N/A</v>
      </c>
      <c r="Y135" s="46"/>
      <c r="Z135" s="46" t="e">
        <f>数出表_Excel!N135</f>
        <v>#N/A</v>
      </c>
      <c r="AA135" s="46"/>
      <c r="AB135" s="46" t="e">
        <f>数出表_Excel!O135</f>
        <v>#N/A</v>
      </c>
      <c r="AC135" s="46"/>
      <c r="AD135" s="46" t="e">
        <f>数出表_Excel!P135</f>
        <v>#N/A</v>
      </c>
      <c r="AE135" s="46"/>
      <c r="AF135" s="46" t="e">
        <f>数出表_Excel!Q135</f>
        <v>#N/A</v>
      </c>
      <c r="AG135" s="46"/>
      <c r="AH135" s="46" t="e">
        <f>数出表_Excel!R135</f>
        <v>#N/A</v>
      </c>
      <c r="AI135" s="46"/>
      <c r="AJ135" s="46" t="e">
        <f>数出表_Excel!T135</f>
        <v>#N/A</v>
      </c>
      <c r="AK135" s="46"/>
      <c r="AL135" s="46" t="e">
        <f>数出表_Excel!T135</f>
        <v>#N/A</v>
      </c>
      <c r="AM135" s="8" t="e">
        <f>数出表_Excel!V135</f>
        <v>#N/A</v>
      </c>
      <c r="AN135" s="9" t="e">
        <f>数出表_Excel!W135</f>
        <v>#N/A</v>
      </c>
    </row>
    <row r="136" spans="1:40" x14ac:dyDescent="0.45">
      <c r="A136" s="5" t="e">
        <f>数出表_Excel!A136</f>
        <v>#N/A</v>
      </c>
      <c r="B136" s="16" t="e">
        <f>数出表_Excel!B136</f>
        <v>#N/A</v>
      </c>
      <c r="C136" s="60"/>
      <c r="D136" s="16" t="e">
        <f>数出表_Excel!C136</f>
        <v>#N/A</v>
      </c>
      <c r="E136" s="60"/>
      <c r="F136" s="16" t="e">
        <f>数出表_Excel!D136</f>
        <v>#N/A</v>
      </c>
      <c r="G136" s="60"/>
      <c r="H136" s="16" t="e">
        <f>数出表_Excel!E136</f>
        <v>#N/A</v>
      </c>
      <c r="I136" s="60"/>
      <c r="J136" s="16" t="e">
        <f>数出表_Excel!F136</f>
        <v>#N/A</v>
      </c>
      <c r="K136" s="60"/>
      <c r="L136" s="16" t="e">
        <f>数出表_Excel!G136</f>
        <v>#N/A</v>
      </c>
      <c r="M136" s="60"/>
      <c r="N136" s="16" t="e">
        <f>数出表_Excel!H136</f>
        <v>#N/A</v>
      </c>
      <c r="O136" s="60"/>
      <c r="P136" s="16" t="e">
        <f>数出表_Excel!I136</f>
        <v>#N/A</v>
      </c>
      <c r="Q136" s="60"/>
      <c r="R136" s="16" t="e">
        <f>数出表_Excel!J136</f>
        <v>#N/A</v>
      </c>
      <c r="S136" s="60"/>
      <c r="T136" s="16" t="e">
        <f>数出表_Excel!K136</f>
        <v>#N/A</v>
      </c>
      <c r="U136" s="60"/>
      <c r="V136" s="16" t="e">
        <f>数出表_Excel!L136</f>
        <v>#N/A</v>
      </c>
      <c r="W136" s="60"/>
      <c r="X136" s="16" t="e">
        <f>数出表_Excel!M136</f>
        <v>#N/A</v>
      </c>
      <c r="Y136" s="60"/>
      <c r="Z136" s="16" t="e">
        <f>数出表_Excel!N136</f>
        <v>#N/A</v>
      </c>
      <c r="AA136" s="60"/>
      <c r="AB136" s="16" t="e">
        <f>数出表_Excel!O136</f>
        <v>#N/A</v>
      </c>
      <c r="AC136" s="60"/>
      <c r="AD136" s="16" t="e">
        <f>数出表_Excel!P136</f>
        <v>#N/A</v>
      </c>
      <c r="AE136" s="60"/>
      <c r="AF136" s="16" t="e">
        <f>数出表_Excel!Q136</f>
        <v>#N/A</v>
      </c>
      <c r="AG136" s="60"/>
      <c r="AH136" s="16" t="e">
        <f>数出表_Excel!R136</f>
        <v>#N/A</v>
      </c>
      <c r="AI136" s="60"/>
      <c r="AJ136" s="16" t="e">
        <f>数出表_Excel!T136</f>
        <v>#N/A</v>
      </c>
      <c r="AK136" s="60"/>
      <c r="AL136" s="16" t="e">
        <f>数出表_Excel!T136</f>
        <v>#N/A</v>
      </c>
      <c r="AM136" s="5" t="e">
        <f>数出表_Excel!V136</f>
        <v>#N/A</v>
      </c>
      <c r="AN136" s="7" t="e">
        <f>数出表_Excel!W136</f>
        <v>#N/A</v>
      </c>
    </row>
    <row r="137" spans="1:40" x14ac:dyDescent="0.45">
      <c r="A137" s="8" t="e">
        <f>数出表_Excel!A137</f>
        <v>#N/A</v>
      </c>
      <c r="B137" s="46" t="e">
        <f>数出表_Excel!B137</f>
        <v>#N/A</v>
      </c>
      <c r="C137" s="46"/>
      <c r="D137" s="46" t="e">
        <f>数出表_Excel!C137</f>
        <v>#N/A</v>
      </c>
      <c r="E137" s="46"/>
      <c r="F137" s="46" t="e">
        <f>数出表_Excel!D137</f>
        <v>#N/A</v>
      </c>
      <c r="G137" s="46"/>
      <c r="H137" s="46" t="e">
        <f>数出表_Excel!E137</f>
        <v>#N/A</v>
      </c>
      <c r="I137" s="46"/>
      <c r="J137" s="46" t="e">
        <f>数出表_Excel!F137</f>
        <v>#N/A</v>
      </c>
      <c r="K137" s="46"/>
      <c r="L137" s="46" t="e">
        <f>数出表_Excel!G137</f>
        <v>#N/A</v>
      </c>
      <c r="M137" s="46"/>
      <c r="N137" s="46" t="e">
        <f>数出表_Excel!H137</f>
        <v>#N/A</v>
      </c>
      <c r="O137" s="46"/>
      <c r="P137" s="46" t="e">
        <f>数出表_Excel!I137</f>
        <v>#N/A</v>
      </c>
      <c r="Q137" s="46"/>
      <c r="R137" s="46" t="e">
        <f>数出表_Excel!J137</f>
        <v>#N/A</v>
      </c>
      <c r="S137" s="46"/>
      <c r="T137" s="46" t="e">
        <f>数出表_Excel!K137</f>
        <v>#N/A</v>
      </c>
      <c r="U137" s="46"/>
      <c r="V137" s="46" t="e">
        <f>数出表_Excel!L137</f>
        <v>#N/A</v>
      </c>
      <c r="W137" s="46"/>
      <c r="X137" s="46" t="e">
        <f>数出表_Excel!M137</f>
        <v>#N/A</v>
      </c>
      <c r="Y137" s="46"/>
      <c r="Z137" s="46" t="e">
        <f>数出表_Excel!N137</f>
        <v>#N/A</v>
      </c>
      <c r="AA137" s="46"/>
      <c r="AB137" s="46" t="e">
        <f>数出表_Excel!O137</f>
        <v>#N/A</v>
      </c>
      <c r="AC137" s="46"/>
      <c r="AD137" s="46" t="e">
        <f>数出表_Excel!P137</f>
        <v>#N/A</v>
      </c>
      <c r="AE137" s="46"/>
      <c r="AF137" s="46" t="e">
        <f>数出表_Excel!Q137</f>
        <v>#N/A</v>
      </c>
      <c r="AG137" s="46"/>
      <c r="AH137" s="46" t="e">
        <f>数出表_Excel!R137</f>
        <v>#N/A</v>
      </c>
      <c r="AI137" s="46"/>
      <c r="AJ137" s="46" t="e">
        <f>数出表_Excel!T137</f>
        <v>#N/A</v>
      </c>
      <c r="AK137" s="46"/>
      <c r="AL137" s="46" t="e">
        <f>数出表_Excel!T137</f>
        <v>#N/A</v>
      </c>
      <c r="AM137" s="8" t="e">
        <f>数出表_Excel!V137</f>
        <v>#N/A</v>
      </c>
      <c r="AN137" s="9" t="e">
        <f>数出表_Excel!W137</f>
        <v>#N/A</v>
      </c>
    </row>
    <row r="138" spans="1:40" x14ac:dyDescent="0.45">
      <c r="A138" s="5" t="e">
        <f>数出表_Excel!A138</f>
        <v>#N/A</v>
      </c>
      <c r="B138" s="16" t="e">
        <f>数出表_Excel!B138</f>
        <v>#N/A</v>
      </c>
      <c r="C138" s="60"/>
      <c r="D138" s="16" t="e">
        <f>数出表_Excel!C138</f>
        <v>#N/A</v>
      </c>
      <c r="E138" s="60"/>
      <c r="F138" s="16" t="e">
        <f>数出表_Excel!D138</f>
        <v>#N/A</v>
      </c>
      <c r="G138" s="60"/>
      <c r="H138" s="16" t="e">
        <f>数出表_Excel!E138</f>
        <v>#N/A</v>
      </c>
      <c r="I138" s="60"/>
      <c r="J138" s="16" t="e">
        <f>数出表_Excel!F138</f>
        <v>#N/A</v>
      </c>
      <c r="K138" s="60"/>
      <c r="L138" s="16" t="e">
        <f>数出表_Excel!G138</f>
        <v>#N/A</v>
      </c>
      <c r="M138" s="60"/>
      <c r="N138" s="16" t="e">
        <f>数出表_Excel!H138</f>
        <v>#N/A</v>
      </c>
      <c r="O138" s="60"/>
      <c r="P138" s="16" t="e">
        <f>数出表_Excel!I138</f>
        <v>#N/A</v>
      </c>
      <c r="Q138" s="60"/>
      <c r="R138" s="16" t="e">
        <f>数出表_Excel!J138</f>
        <v>#N/A</v>
      </c>
      <c r="S138" s="60"/>
      <c r="T138" s="16" t="e">
        <f>数出表_Excel!K138</f>
        <v>#N/A</v>
      </c>
      <c r="U138" s="60"/>
      <c r="V138" s="16" t="e">
        <f>数出表_Excel!L138</f>
        <v>#N/A</v>
      </c>
      <c r="W138" s="60"/>
      <c r="X138" s="16" t="e">
        <f>数出表_Excel!M138</f>
        <v>#N/A</v>
      </c>
      <c r="Y138" s="60"/>
      <c r="Z138" s="16" t="e">
        <f>数出表_Excel!N138</f>
        <v>#N/A</v>
      </c>
      <c r="AA138" s="60"/>
      <c r="AB138" s="16" t="e">
        <f>数出表_Excel!O138</f>
        <v>#N/A</v>
      </c>
      <c r="AC138" s="60"/>
      <c r="AD138" s="16" t="e">
        <f>数出表_Excel!P138</f>
        <v>#N/A</v>
      </c>
      <c r="AE138" s="60"/>
      <c r="AF138" s="16" t="e">
        <f>数出表_Excel!Q138</f>
        <v>#N/A</v>
      </c>
      <c r="AG138" s="60"/>
      <c r="AH138" s="16" t="e">
        <f>数出表_Excel!R138</f>
        <v>#N/A</v>
      </c>
      <c r="AI138" s="60"/>
      <c r="AJ138" s="16" t="e">
        <f>数出表_Excel!T138</f>
        <v>#N/A</v>
      </c>
      <c r="AK138" s="60"/>
      <c r="AL138" s="16" t="e">
        <f>数出表_Excel!T138</f>
        <v>#N/A</v>
      </c>
      <c r="AM138" s="5" t="e">
        <f>数出表_Excel!V138</f>
        <v>#N/A</v>
      </c>
      <c r="AN138" s="7" t="e">
        <f>数出表_Excel!W138</f>
        <v>#N/A</v>
      </c>
    </row>
    <row r="139" spans="1:40" x14ac:dyDescent="0.45">
      <c r="A139" s="8" t="e">
        <f>数出表_Excel!A139</f>
        <v>#N/A</v>
      </c>
      <c r="B139" s="46" t="e">
        <f>数出表_Excel!B139</f>
        <v>#N/A</v>
      </c>
      <c r="C139" s="46"/>
      <c r="D139" s="46" t="e">
        <f>数出表_Excel!C139</f>
        <v>#N/A</v>
      </c>
      <c r="E139" s="46"/>
      <c r="F139" s="46" t="e">
        <f>数出表_Excel!D139</f>
        <v>#N/A</v>
      </c>
      <c r="G139" s="46"/>
      <c r="H139" s="46" t="e">
        <f>数出表_Excel!E139</f>
        <v>#N/A</v>
      </c>
      <c r="I139" s="46"/>
      <c r="J139" s="46" t="e">
        <f>数出表_Excel!F139</f>
        <v>#N/A</v>
      </c>
      <c r="K139" s="46"/>
      <c r="L139" s="46" t="e">
        <f>数出表_Excel!G139</f>
        <v>#N/A</v>
      </c>
      <c r="M139" s="46"/>
      <c r="N139" s="46" t="e">
        <f>数出表_Excel!H139</f>
        <v>#N/A</v>
      </c>
      <c r="O139" s="46"/>
      <c r="P139" s="46" t="e">
        <f>数出表_Excel!I139</f>
        <v>#N/A</v>
      </c>
      <c r="Q139" s="46"/>
      <c r="R139" s="46" t="e">
        <f>数出表_Excel!J139</f>
        <v>#N/A</v>
      </c>
      <c r="S139" s="46"/>
      <c r="T139" s="46" t="e">
        <f>数出表_Excel!K139</f>
        <v>#N/A</v>
      </c>
      <c r="U139" s="46"/>
      <c r="V139" s="46" t="e">
        <f>数出表_Excel!L139</f>
        <v>#N/A</v>
      </c>
      <c r="W139" s="46"/>
      <c r="X139" s="46" t="e">
        <f>数出表_Excel!M139</f>
        <v>#N/A</v>
      </c>
      <c r="Y139" s="46"/>
      <c r="Z139" s="46" t="e">
        <f>数出表_Excel!N139</f>
        <v>#N/A</v>
      </c>
      <c r="AA139" s="46"/>
      <c r="AB139" s="46" t="e">
        <f>数出表_Excel!O139</f>
        <v>#N/A</v>
      </c>
      <c r="AC139" s="46"/>
      <c r="AD139" s="46" t="e">
        <f>数出表_Excel!P139</f>
        <v>#N/A</v>
      </c>
      <c r="AE139" s="46"/>
      <c r="AF139" s="46" t="e">
        <f>数出表_Excel!Q139</f>
        <v>#N/A</v>
      </c>
      <c r="AG139" s="46"/>
      <c r="AH139" s="46" t="e">
        <f>数出表_Excel!R139</f>
        <v>#N/A</v>
      </c>
      <c r="AI139" s="46"/>
      <c r="AJ139" s="46" t="e">
        <f>数出表_Excel!T139</f>
        <v>#N/A</v>
      </c>
      <c r="AK139" s="46"/>
      <c r="AL139" s="46" t="e">
        <f>数出表_Excel!T139</f>
        <v>#N/A</v>
      </c>
      <c r="AM139" s="8" t="e">
        <f>数出表_Excel!V139</f>
        <v>#N/A</v>
      </c>
      <c r="AN139" s="9" t="e">
        <f>数出表_Excel!W139</f>
        <v>#N/A</v>
      </c>
    </row>
    <row r="140" spans="1:40" x14ac:dyDescent="0.45">
      <c r="A140" s="5" t="e">
        <f>数出表_Excel!A140</f>
        <v>#N/A</v>
      </c>
      <c r="B140" s="16" t="e">
        <f>数出表_Excel!B140</f>
        <v>#N/A</v>
      </c>
      <c r="C140" s="60"/>
      <c r="D140" s="16" t="e">
        <f>数出表_Excel!C140</f>
        <v>#N/A</v>
      </c>
      <c r="E140" s="60"/>
      <c r="F140" s="16" t="e">
        <f>数出表_Excel!D140</f>
        <v>#N/A</v>
      </c>
      <c r="G140" s="60"/>
      <c r="H140" s="16" t="e">
        <f>数出表_Excel!E140</f>
        <v>#N/A</v>
      </c>
      <c r="I140" s="60"/>
      <c r="J140" s="16" t="e">
        <f>数出表_Excel!F140</f>
        <v>#N/A</v>
      </c>
      <c r="K140" s="60"/>
      <c r="L140" s="16" t="e">
        <f>数出表_Excel!G140</f>
        <v>#N/A</v>
      </c>
      <c r="M140" s="60"/>
      <c r="N140" s="16" t="e">
        <f>数出表_Excel!H140</f>
        <v>#N/A</v>
      </c>
      <c r="O140" s="60"/>
      <c r="P140" s="16" t="e">
        <f>数出表_Excel!I140</f>
        <v>#N/A</v>
      </c>
      <c r="Q140" s="60"/>
      <c r="R140" s="16" t="e">
        <f>数出表_Excel!J140</f>
        <v>#N/A</v>
      </c>
      <c r="S140" s="60"/>
      <c r="T140" s="16" t="e">
        <f>数出表_Excel!K140</f>
        <v>#N/A</v>
      </c>
      <c r="U140" s="60"/>
      <c r="V140" s="16" t="e">
        <f>数出表_Excel!L140</f>
        <v>#N/A</v>
      </c>
      <c r="W140" s="60"/>
      <c r="X140" s="16" t="e">
        <f>数出表_Excel!M140</f>
        <v>#N/A</v>
      </c>
      <c r="Y140" s="60"/>
      <c r="Z140" s="16" t="e">
        <f>数出表_Excel!N140</f>
        <v>#N/A</v>
      </c>
      <c r="AA140" s="60"/>
      <c r="AB140" s="16" t="e">
        <f>数出表_Excel!O140</f>
        <v>#N/A</v>
      </c>
      <c r="AC140" s="60"/>
      <c r="AD140" s="16" t="e">
        <f>数出表_Excel!P140</f>
        <v>#N/A</v>
      </c>
      <c r="AE140" s="60"/>
      <c r="AF140" s="16" t="e">
        <f>数出表_Excel!Q140</f>
        <v>#N/A</v>
      </c>
      <c r="AG140" s="60"/>
      <c r="AH140" s="16" t="e">
        <f>数出表_Excel!R140</f>
        <v>#N/A</v>
      </c>
      <c r="AI140" s="60"/>
      <c r="AJ140" s="16" t="e">
        <f>数出表_Excel!T140</f>
        <v>#N/A</v>
      </c>
      <c r="AK140" s="60"/>
      <c r="AL140" s="16" t="e">
        <f>数出表_Excel!T140</f>
        <v>#N/A</v>
      </c>
      <c r="AM140" s="5" t="e">
        <f>数出表_Excel!V140</f>
        <v>#N/A</v>
      </c>
      <c r="AN140" s="7" t="e">
        <f>数出表_Excel!W140</f>
        <v>#N/A</v>
      </c>
    </row>
    <row r="141" spans="1:40" x14ac:dyDescent="0.45">
      <c r="A141" s="8" t="e">
        <f>数出表_Excel!A141</f>
        <v>#N/A</v>
      </c>
      <c r="B141" s="46" t="e">
        <f>数出表_Excel!B141</f>
        <v>#N/A</v>
      </c>
      <c r="C141" s="46"/>
      <c r="D141" s="46" t="e">
        <f>数出表_Excel!C141</f>
        <v>#N/A</v>
      </c>
      <c r="E141" s="46"/>
      <c r="F141" s="46" t="e">
        <f>数出表_Excel!D141</f>
        <v>#N/A</v>
      </c>
      <c r="G141" s="46"/>
      <c r="H141" s="46" t="e">
        <f>数出表_Excel!E141</f>
        <v>#N/A</v>
      </c>
      <c r="I141" s="46"/>
      <c r="J141" s="46" t="e">
        <f>数出表_Excel!F141</f>
        <v>#N/A</v>
      </c>
      <c r="K141" s="46"/>
      <c r="L141" s="46" t="e">
        <f>数出表_Excel!G141</f>
        <v>#N/A</v>
      </c>
      <c r="M141" s="46"/>
      <c r="N141" s="46" t="e">
        <f>数出表_Excel!H141</f>
        <v>#N/A</v>
      </c>
      <c r="O141" s="46"/>
      <c r="P141" s="46" t="e">
        <f>数出表_Excel!I141</f>
        <v>#N/A</v>
      </c>
      <c r="Q141" s="46"/>
      <c r="R141" s="46" t="e">
        <f>数出表_Excel!J141</f>
        <v>#N/A</v>
      </c>
      <c r="S141" s="46"/>
      <c r="T141" s="46" t="e">
        <f>数出表_Excel!K141</f>
        <v>#N/A</v>
      </c>
      <c r="U141" s="46"/>
      <c r="V141" s="46" t="e">
        <f>数出表_Excel!L141</f>
        <v>#N/A</v>
      </c>
      <c r="W141" s="46"/>
      <c r="X141" s="46" t="e">
        <f>数出表_Excel!M141</f>
        <v>#N/A</v>
      </c>
      <c r="Y141" s="46"/>
      <c r="Z141" s="46" t="e">
        <f>数出表_Excel!N141</f>
        <v>#N/A</v>
      </c>
      <c r="AA141" s="46"/>
      <c r="AB141" s="46" t="e">
        <f>数出表_Excel!O141</f>
        <v>#N/A</v>
      </c>
      <c r="AC141" s="46"/>
      <c r="AD141" s="46" t="e">
        <f>数出表_Excel!P141</f>
        <v>#N/A</v>
      </c>
      <c r="AE141" s="46"/>
      <c r="AF141" s="46" t="e">
        <f>数出表_Excel!Q141</f>
        <v>#N/A</v>
      </c>
      <c r="AG141" s="46"/>
      <c r="AH141" s="46" t="e">
        <f>数出表_Excel!R141</f>
        <v>#N/A</v>
      </c>
      <c r="AI141" s="46"/>
      <c r="AJ141" s="46" t="e">
        <f>数出表_Excel!T141</f>
        <v>#N/A</v>
      </c>
      <c r="AK141" s="46"/>
      <c r="AL141" s="46" t="e">
        <f>数出表_Excel!T141</f>
        <v>#N/A</v>
      </c>
      <c r="AM141" s="8" t="e">
        <f>数出表_Excel!V141</f>
        <v>#N/A</v>
      </c>
      <c r="AN141" s="9" t="e">
        <f>数出表_Excel!W141</f>
        <v>#N/A</v>
      </c>
    </row>
    <row r="142" spans="1:40" x14ac:dyDescent="0.45">
      <c r="A142" s="5" t="e">
        <f>数出表_Excel!A142</f>
        <v>#N/A</v>
      </c>
      <c r="B142" s="16" t="e">
        <f>数出表_Excel!B142</f>
        <v>#N/A</v>
      </c>
      <c r="C142" s="60"/>
      <c r="D142" s="16" t="e">
        <f>数出表_Excel!C142</f>
        <v>#N/A</v>
      </c>
      <c r="E142" s="60"/>
      <c r="F142" s="16" t="e">
        <f>数出表_Excel!D142</f>
        <v>#N/A</v>
      </c>
      <c r="G142" s="60"/>
      <c r="H142" s="16" t="e">
        <f>数出表_Excel!E142</f>
        <v>#N/A</v>
      </c>
      <c r="I142" s="60"/>
      <c r="J142" s="16" t="e">
        <f>数出表_Excel!F142</f>
        <v>#N/A</v>
      </c>
      <c r="K142" s="60"/>
      <c r="L142" s="16" t="e">
        <f>数出表_Excel!G142</f>
        <v>#N/A</v>
      </c>
      <c r="M142" s="60"/>
      <c r="N142" s="16" t="e">
        <f>数出表_Excel!H142</f>
        <v>#N/A</v>
      </c>
      <c r="O142" s="60"/>
      <c r="P142" s="16" t="e">
        <f>数出表_Excel!I142</f>
        <v>#N/A</v>
      </c>
      <c r="Q142" s="60"/>
      <c r="R142" s="16" t="e">
        <f>数出表_Excel!J142</f>
        <v>#N/A</v>
      </c>
      <c r="S142" s="60"/>
      <c r="T142" s="16" t="e">
        <f>数出表_Excel!K142</f>
        <v>#N/A</v>
      </c>
      <c r="U142" s="60"/>
      <c r="V142" s="16" t="e">
        <f>数出表_Excel!L142</f>
        <v>#N/A</v>
      </c>
      <c r="W142" s="60"/>
      <c r="X142" s="16" t="e">
        <f>数出表_Excel!M142</f>
        <v>#N/A</v>
      </c>
      <c r="Y142" s="60"/>
      <c r="Z142" s="16" t="e">
        <f>数出表_Excel!N142</f>
        <v>#N/A</v>
      </c>
      <c r="AA142" s="60"/>
      <c r="AB142" s="16" t="e">
        <f>数出表_Excel!O142</f>
        <v>#N/A</v>
      </c>
      <c r="AC142" s="60"/>
      <c r="AD142" s="16" t="e">
        <f>数出表_Excel!P142</f>
        <v>#N/A</v>
      </c>
      <c r="AE142" s="60"/>
      <c r="AF142" s="16" t="e">
        <f>数出表_Excel!Q142</f>
        <v>#N/A</v>
      </c>
      <c r="AG142" s="60"/>
      <c r="AH142" s="16" t="e">
        <f>数出表_Excel!R142</f>
        <v>#N/A</v>
      </c>
      <c r="AI142" s="60"/>
      <c r="AJ142" s="16" t="e">
        <f>数出表_Excel!T142</f>
        <v>#N/A</v>
      </c>
      <c r="AK142" s="60"/>
      <c r="AL142" s="16" t="e">
        <f>数出表_Excel!T142</f>
        <v>#N/A</v>
      </c>
      <c r="AM142" s="5" t="e">
        <f>数出表_Excel!V142</f>
        <v>#N/A</v>
      </c>
      <c r="AN142" s="7" t="e">
        <f>数出表_Excel!W142</f>
        <v>#N/A</v>
      </c>
    </row>
    <row r="143" spans="1:40" x14ac:dyDescent="0.45">
      <c r="A143" s="8" t="e">
        <f>数出表_Excel!A143</f>
        <v>#N/A</v>
      </c>
      <c r="B143" s="46" t="e">
        <f>数出表_Excel!B143</f>
        <v>#N/A</v>
      </c>
      <c r="C143" s="46"/>
      <c r="D143" s="46" t="e">
        <f>数出表_Excel!C143</f>
        <v>#N/A</v>
      </c>
      <c r="E143" s="46"/>
      <c r="F143" s="46" t="e">
        <f>数出表_Excel!D143</f>
        <v>#N/A</v>
      </c>
      <c r="G143" s="46"/>
      <c r="H143" s="46" t="e">
        <f>数出表_Excel!E143</f>
        <v>#N/A</v>
      </c>
      <c r="I143" s="46"/>
      <c r="J143" s="46" t="e">
        <f>数出表_Excel!F143</f>
        <v>#N/A</v>
      </c>
      <c r="K143" s="46"/>
      <c r="L143" s="46" t="e">
        <f>数出表_Excel!G143</f>
        <v>#N/A</v>
      </c>
      <c r="M143" s="46"/>
      <c r="N143" s="46" t="e">
        <f>数出表_Excel!H143</f>
        <v>#N/A</v>
      </c>
      <c r="O143" s="46"/>
      <c r="P143" s="46" t="e">
        <f>数出表_Excel!I143</f>
        <v>#N/A</v>
      </c>
      <c r="Q143" s="46"/>
      <c r="R143" s="46" t="e">
        <f>数出表_Excel!J143</f>
        <v>#N/A</v>
      </c>
      <c r="S143" s="46"/>
      <c r="T143" s="46" t="e">
        <f>数出表_Excel!K143</f>
        <v>#N/A</v>
      </c>
      <c r="U143" s="46"/>
      <c r="V143" s="46" t="e">
        <f>数出表_Excel!L143</f>
        <v>#N/A</v>
      </c>
      <c r="W143" s="46"/>
      <c r="X143" s="46" t="e">
        <f>数出表_Excel!M143</f>
        <v>#N/A</v>
      </c>
      <c r="Y143" s="46"/>
      <c r="Z143" s="46" t="e">
        <f>数出表_Excel!N143</f>
        <v>#N/A</v>
      </c>
      <c r="AA143" s="46"/>
      <c r="AB143" s="46" t="e">
        <f>数出表_Excel!O143</f>
        <v>#N/A</v>
      </c>
      <c r="AC143" s="46"/>
      <c r="AD143" s="46" t="e">
        <f>数出表_Excel!P143</f>
        <v>#N/A</v>
      </c>
      <c r="AE143" s="46"/>
      <c r="AF143" s="46" t="e">
        <f>数出表_Excel!Q143</f>
        <v>#N/A</v>
      </c>
      <c r="AG143" s="46"/>
      <c r="AH143" s="46" t="e">
        <f>数出表_Excel!R143</f>
        <v>#N/A</v>
      </c>
      <c r="AI143" s="46"/>
      <c r="AJ143" s="46" t="e">
        <f>数出表_Excel!T143</f>
        <v>#N/A</v>
      </c>
      <c r="AK143" s="46"/>
      <c r="AL143" s="46" t="e">
        <f>数出表_Excel!T143</f>
        <v>#N/A</v>
      </c>
      <c r="AM143" s="8" t="e">
        <f>数出表_Excel!V143</f>
        <v>#N/A</v>
      </c>
      <c r="AN143" s="9" t="e">
        <f>数出表_Excel!W143</f>
        <v>#N/A</v>
      </c>
    </row>
    <row r="144" spans="1:40" x14ac:dyDescent="0.45">
      <c r="A144" s="5" t="e">
        <f>数出表_Excel!A144</f>
        <v>#N/A</v>
      </c>
      <c r="B144" s="16" t="e">
        <f>数出表_Excel!B144</f>
        <v>#N/A</v>
      </c>
      <c r="C144" s="60"/>
      <c r="D144" s="16" t="e">
        <f>数出表_Excel!C144</f>
        <v>#N/A</v>
      </c>
      <c r="E144" s="60"/>
      <c r="F144" s="16" t="e">
        <f>数出表_Excel!D144</f>
        <v>#N/A</v>
      </c>
      <c r="G144" s="60"/>
      <c r="H144" s="16" t="e">
        <f>数出表_Excel!E144</f>
        <v>#N/A</v>
      </c>
      <c r="I144" s="60"/>
      <c r="J144" s="16" t="e">
        <f>数出表_Excel!F144</f>
        <v>#N/A</v>
      </c>
      <c r="K144" s="60"/>
      <c r="L144" s="16" t="e">
        <f>数出表_Excel!G144</f>
        <v>#N/A</v>
      </c>
      <c r="M144" s="60"/>
      <c r="N144" s="16" t="e">
        <f>数出表_Excel!H144</f>
        <v>#N/A</v>
      </c>
      <c r="O144" s="60"/>
      <c r="P144" s="16" t="e">
        <f>数出表_Excel!I144</f>
        <v>#N/A</v>
      </c>
      <c r="Q144" s="60"/>
      <c r="R144" s="16" t="e">
        <f>数出表_Excel!J144</f>
        <v>#N/A</v>
      </c>
      <c r="S144" s="60"/>
      <c r="T144" s="16" t="e">
        <f>数出表_Excel!K144</f>
        <v>#N/A</v>
      </c>
      <c r="U144" s="60"/>
      <c r="V144" s="16" t="e">
        <f>数出表_Excel!L144</f>
        <v>#N/A</v>
      </c>
      <c r="W144" s="60"/>
      <c r="X144" s="16" t="e">
        <f>数出表_Excel!M144</f>
        <v>#N/A</v>
      </c>
      <c r="Y144" s="60"/>
      <c r="Z144" s="16" t="e">
        <f>数出表_Excel!N144</f>
        <v>#N/A</v>
      </c>
      <c r="AA144" s="60"/>
      <c r="AB144" s="16" t="e">
        <f>数出表_Excel!O144</f>
        <v>#N/A</v>
      </c>
      <c r="AC144" s="60"/>
      <c r="AD144" s="16" t="e">
        <f>数出表_Excel!P144</f>
        <v>#N/A</v>
      </c>
      <c r="AE144" s="60"/>
      <c r="AF144" s="16" t="e">
        <f>数出表_Excel!Q144</f>
        <v>#N/A</v>
      </c>
      <c r="AG144" s="60"/>
      <c r="AH144" s="16" t="e">
        <f>数出表_Excel!R144</f>
        <v>#N/A</v>
      </c>
      <c r="AI144" s="60"/>
      <c r="AJ144" s="16" t="e">
        <f>数出表_Excel!T144</f>
        <v>#N/A</v>
      </c>
      <c r="AK144" s="60"/>
      <c r="AL144" s="16" t="e">
        <f>数出表_Excel!T144</f>
        <v>#N/A</v>
      </c>
      <c r="AM144" s="5" t="e">
        <f>数出表_Excel!V144</f>
        <v>#N/A</v>
      </c>
      <c r="AN144" s="7" t="e">
        <f>数出表_Excel!W144</f>
        <v>#N/A</v>
      </c>
    </row>
    <row r="145" spans="1:40" x14ac:dyDescent="0.45">
      <c r="A145" s="8" t="e">
        <f>数出表_Excel!A145</f>
        <v>#N/A</v>
      </c>
      <c r="B145" s="46" t="e">
        <f>数出表_Excel!B145</f>
        <v>#N/A</v>
      </c>
      <c r="C145" s="46"/>
      <c r="D145" s="46" t="e">
        <f>数出表_Excel!C145</f>
        <v>#N/A</v>
      </c>
      <c r="E145" s="46"/>
      <c r="F145" s="46" t="e">
        <f>数出表_Excel!D145</f>
        <v>#N/A</v>
      </c>
      <c r="G145" s="46"/>
      <c r="H145" s="46" t="e">
        <f>数出表_Excel!E145</f>
        <v>#N/A</v>
      </c>
      <c r="I145" s="46"/>
      <c r="J145" s="46" t="e">
        <f>数出表_Excel!F145</f>
        <v>#N/A</v>
      </c>
      <c r="K145" s="46"/>
      <c r="L145" s="46" t="e">
        <f>数出表_Excel!G145</f>
        <v>#N/A</v>
      </c>
      <c r="M145" s="46"/>
      <c r="N145" s="46" t="e">
        <f>数出表_Excel!H145</f>
        <v>#N/A</v>
      </c>
      <c r="O145" s="46"/>
      <c r="P145" s="46" t="e">
        <f>数出表_Excel!I145</f>
        <v>#N/A</v>
      </c>
      <c r="Q145" s="46"/>
      <c r="R145" s="46" t="e">
        <f>数出表_Excel!J145</f>
        <v>#N/A</v>
      </c>
      <c r="S145" s="46"/>
      <c r="T145" s="46" t="e">
        <f>数出表_Excel!K145</f>
        <v>#N/A</v>
      </c>
      <c r="U145" s="46"/>
      <c r="V145" s="46" t="e">
        <f>数出表_Excel!L145</f>
        <v>#N/A</v>
      </c>
      <c r="W145" s="46"/>
      <c r="X145" s="46" t="e">
        <f>数出表_Excel!M145</f>
        <v>#N/A</v>
      </c>
      <c r="Y145" s="46"/>
      <c r="Z145" s="46" t="e">
        <f>数出表_Excel!N145</f>
        <v>#N/A</v>
      </c>
      <c r="AA145" s="46"/>
      <c r="AB145" s="46" t="e">
        <f>数出表_Excel!O145</f>
        <v>#N/A</v>
      </c>
      <c r="AC145" s="46"/>
      <c r="AD145" s="46" t="e">
        <f>数出表_Excel!P145</f>
        <v>#N/A</v>
      </c>
      <c r="AE145" s="46"/>
      <c r="AF145" s="46" t="e">
        <f>数出表_Excel!Q145</f>
        <v>#N/A</v>
      </c>
      <c r="AG145" s="46"/>
      <c r="AH145" s="46" t="e">
        <f>数出表_Excel!R145</f>
        <v>#N/A</v>
      </c>
      <c r="AI145" s="46"/>
      <c r="AJ145" s="46" t="e">
        <f>数出表_Excel!T145</f>
        <v>#N/A</v>
      </c>
      <c r="AK145" s="46"/>
      <c r="AL145" s="46" t="e">
        <f>数出表_Excel!T145</f>
        <v>#N/A</v>
      </c>
      <c r="AM145" s="8" t="e">
        <f>数出表_Excel!V145</f>
        <v>#N/A</v>
      </c>
      <c r="AN145" s="9" t="e">
        <f>数出表_Excel!W145</f>
        <v>#N/A</v>
      </c>
    </row>
    <row r="146" spans="1:40" x14ac:dyDescent="0.45">
      <c r="A146" s="5" t="e">
        <f>数出表_Excel!A146</f>
        <v>#N/A</v>
      </c>
      <c r="B146" s="16" t="e">
        <f>数出表_Excel!B146</f>
        <v>#N/A</v>
      </c>
      <c r="C146" s="16"/>
      <c r="D146" s="16" t="e">
        <f>数出表_Excel!C146</f>
        <v>#N/A</v>
      </c>
      <c r="E146" s="16"/>
      <c r="F146" s="16" t="e">
        <f>数出表_Excel!D146</f>
        <v>#N/A</v>
      </c>
      <c r="G146" s="16"/>
      <c r="H146" s="16" t="e">
        <f>数出表_Excel!E146</f>
        <v>#N/A</v>
      </c>
      <c r="I146" s="16"/>
      <c r="J146" s="16" t="e">
        <f>数出表_Excel!F146</f>
        <v>#N/A</v>
      </c>
      <c r="K146" s="16"/>
      <c r="L146" s="16" t="e">
        <f>数出表_Excel!G146</f>
        <v>#N/A</v>
      </c>
      <c r="M146" s="16"/>
      <c r="N146" s="16" t="e">
        <f>数出表_Excel!H146</f>
        <v>#N/A</v>
      </c>
      <c r="O146" s="16"/>
      <c r="P146" s="16" t="e">
        <f>数出表_Excel!I146</f>
        <v>#N/A</v>
      </c>
      <c r="Q146" s="16"/>
      <c r="R146" s="16" t="e">
        <f>数出表_Excel!J146</f>
        <v>#N/A</v>
      </c>
      <c r="S146" s="16"/>
      <c r="T146" s="16" t="e">
        <f>数出表_Excel!K146</f>
        <v>#N/A</v>
      </c>
      <c r="U146" s="16"/>
      <c r="V146" s="16" t="e">
        <f>数出表_Excel!L146</f>
        <v>#N/A</v>
      </c>
      <c r="W146" s="16"/>
      <c r="X146" s="16" t="e">
        <f>数出表_Excel!M146</f>
        <v>#N/A</v>
      </c>
      <c r="Y146" s="16"/>
      <c r="Z146" s="16" t="e">
        <f>数出表_Excel!N146</f>
        <v>#N/A</v>
      </c>
      <c r="AA146" s="16"/>
      <c r="AB146" s="16" t="e">
        <f>数出表_Excel!O146</f>
        <v>#N/A</v>
      </c>
      <c r="AC146" s="16"/>
      <c r="AD146" s="16" t="e">
        <f>数出表_Excel!P146</f>
        <v>#N/A</v>
      </c>
      <c r="AE146" s="16"/>
      <c r="AF146" s="16" t="e">
        <f>数出表_Excel!Q146</f>
        <v>#N/A</v>
      </c>
      <c r="AG146" s="16"/>
      <c r="AH146" s="16" t="e">
        <f>数出表_Excel!R146</f>
        <v>#N/A</v>
      </c>
      <c r="AI146" s="16"/>
      <c r="AJ146" s="16" t="e">
        <f>数出表_Excel!T146</f>
        <v>#N/A</v>
      </c>
      <c r="AK146" s="16"/>
      <c r="AL146" s="16" t="e">
        <f>数出表_Excel!T146</f>
        <v>#N/A</v>
      </c>
      <c r="AM146" s="5" t="e">
        <f>数出表_Excel!V146</f>
        <v>#N/A</v>
      </c>
      <c r="AN146" s="7" t="e">
        <f>数出表_Excel!W146</f>
        <v>#N/A</v>
      </c>
    </row>
    <row r="147" spans="1:40" x14ac:dyDescent="0.45">
      <c r="A147" s="8" t="e">
        <f>数出表_Excel!A147</f>
        <v>#N/A</v>
      </c>
      <c r="B147" s="46" t="e">
        <f>数出表_Excel!B147</f>
        <v>#N/A</v>
      </c>
      <c r="C147" s="46"/>
      <c r="D147" s="46" t="e">
        <f>数出表_Excel!C147</f>
        <v>#N/A</v>
      </c>
      <c r="E147" s="46"/>
      <c r="F147" s="46" t="e">
        <f>数出表_Excel!D147</f>
        <v>#N/A</v>
      </c>
      <c r="G147" s="46"/>
      <c r="H147" s="46" t="e">
        <f>数出表_Excel!E147</f>
        <v>#N/A</v>
      </c>
      <c r="I147" s="46"/>
      <c r="J147" s="46" t="e">
        <f>数出表_Excel!F147</f>
        <v>#N/A</v>
      </c>
      <c r="K147" s="46"/>
      <c r="L147" s="46" t="e">
        <f>数出表_Excel!G147</f>
        <v>#N/A</v>
      </c>
      <c r="M147" s="46"/>
      <c r="N147" s="46" t="e">
        <f>数出表_Excel!H147</f>
        <v>#N/A</v>
      </c>
      <c r="O147" s="46"/>
      <c r="P147" s="46" t="e">
        <f>数出表_Excel!I147</f>
        <v>#N/A</v>
      </c>
      <c r="Q147" s="46"/>
      <c r="R147" s="46" t="e">
        <f>数出表_Excel!J147</f>
        <v>#N/A</v>
      </c>
      <c r="S147" s="46"/>
      <c r="T147" s="46" t="e">
        <f>数出表_Excel!K147</f>
        <v>#N/A</v>
      </c>
      <c r="U147" s="46"/>
      <c r="V147" s="46" t="e">
        <f>数出表_Excel!L147</f>
        <v>#N/A</v>
      </c>
      <c r="W147" s="46"/>
      <c r="X147" s="46" t="e">
        <f>数出表_Excel!M147</f>
        <v>#N/A</v>
      </c>
      <c r="Y147" s="46"/>
      <c r="Z147" s="46" t="e">
        <f>数出表_Excel!N147</f>
        <v>#N/A</v>
      </c>
      <c r="AA147" s="46"/>
      <c r="AB147" s="46" t="e">
        <f>数出表_Excel!O147</f>
        <v>#N/A</v>
      </c>
      <c r="AC147" s="46"/>
      <c r="AD147" s="46" t="e">
        <f>数出表_Excel!P147</f>
        <v>#N/A</v>
      </c>
      <c r="AE147" s="46"/>
      <c r="AF147" s="46" t="e">
        <f>数出表_Excel!Q147</f>
        <v>#N/A</v>
      </c>
      <c r="AG147" s="46"/>
      <c r="AH147" s="46" t="e">
        <f>数出表_Excel!R147</f>
        <v>#N/A</v>
      </c>
      <c r="AI147" s="46"/>
      <c r="AJ147" s="46" t="e">
        <f>数出表_Excel!T147</f>
        <v>#N/A</v>
      </c>
      <c r="AK147" s="46"/>
      <c r="AL147" s="46" t="e">
        <f>数出表_Excel!T147</f>
        <v>#N/A</v>
      </c>
      <c r="AM147" s="8" t="e">
        <f>数出表_Excel!V147</f>
        <v>#N/A</v>
      </c>
      <c r="AN147" s="9" t="e">
        <f>数出表_Excel!W147</f>
        <v>#N/A</v>
      </c>
    </row>
    <row r="150" spans="1:40" ht="27.6" customHeight="1" x14ac:dyDescent="0.45">
      <c r="A150" s="89" t="s">
        <v>571</v>
      </c>
      <c r="B150" s="91"/>
      <c r="C150" s="114">
        <f>SUM(C6:C145)</f>
        <v>0</v>
      </c>
      <c r="D150" s="91"/>
      <c r="E150" s="114">
        <f>SUM(E6:E145)</f>
        <v>0</v>
      </c>
      <c r="F150" s="91"/>
      <c r="G150" s="114">
        <f>SUM(G6:G145)</f>
        <v>0</v>
      </c>
      <c r="H150" s="91"/>
      <c r="I150" s="114">
        <f>SUM(I6:I145)</f>
        <v>0</v>
      </c>
      <c r="J150" s="91"/>
      <c r="K150" s="114">
        <f>SUM(K6:K145)</f>
        <v>0</v>
      </c>
      <c r="L150" s="91"/>
      <c r="M150" s="114">
        <f>SUM(M6:M145)</f>
        <v>0</v>
      </c>
      <c r="N150" s="91"/>
      <c r="O150" s="114">
        <f>SUM(O6:O145)</f>
        <v>0</v>
      </c>
      <c r="P150" s="91"/>
      <c r="Q150" s="114">
        <f>SUM(Q6:Q145)</f>
        <v>0</v>
      </c>
      <c r="R150" s="91"/>
      <c r="S150" s="114">
        <f>SUM(S6:S145)</f>
        <v>0</v>
      </c>
      <c r="T150" s="91"/>
      <c r="U150" s="114">
        <f>SUM(U6:U145)</f>
        <v>0</v>
      </c>
      <c r="V150" s="92"/>
      <c r="W150" s="114">
        <f>SUM(W6:W145)</f>
        <v>0</v>
      </c>
      <c r="X150" s="92"/>
      <c r="Y150" s="114">
        <f>SUM(Y6:Y145)</f>
        <v>0</v>
      </c>
      <c r="Z150" s="92"/>
      <c r="AA150" s="114">
        <f>SUM(AA6:AA145)</f>
        <v>0</v>
      </c>
      <c r="AB150" s="92"/>
      <c r="AC150" s="114">
        <f>SUM(AC6:AC145)</f>
        <v>0</v>
      </c>
      <c r="AD150" s="92"/>
      <c r="AE150" s="114">
        <f>SUM(AE6:AE145)</f>
        <v>0</v>
      </c>
      <c r="AF150" s="92"/>
      <c r="AG150" s="114">
        <f>SUM(AG6:AG145)</f>
        <v>0</v>
      </c>
      <c r="AH150" s="92"/>
      <c r="AI150" s="114">
        <f>SUM(AI6:AI145)</f>
        <v>0</v>
      </c>
      <c r="AJ150" s="92"/>
      <c r="AK150" s="114">
        <f>SUM(AK6:AK145)</f>
        <v>0</v>
      </c>
      <c r="AL150" s="92"/>
      <c r="AM150" s="89"/>
      <c r="AN150" s="89"/>
    </row>
    <row r="151" spans="1:40" ht="27.6" customHeight="1" x14ac:dyDescent="0.45">
      <c r="A151" s="89" t="s">
        <v>572</v>
      </c>
      <c r="B151" s="91"/>
      <c r="C151" s="115"/>
      <c r="D151" s="91"/>
      <c r="E151" s="115"/>
      <c r="F151" s="91"/>
      <c r="G151" s="115"/>
      <c r="H151" s="91"/>
      <c r="I151" s="115"/>
      <c r="J151" s="91"/>
      <c r="K151" s="115"/>
      <c r="L151" s="91"/>
      <c r="M151" s="115"/>
      <c r="N151" s="91"/>
      <c r="O151" s="115"/>
      <c r="P151" s="91"/>
      <c r="Q151" s="115"/>
      <c r="R151" s="91"/>
      <c r="S151" s="115"/>
      <c r="T151" s="91"/>
      <c r="U151" s="115"/>
      <c r="V151" s="92"/>
      <c r="W151" s="115"/>
      <c r="X151" s="92"/>
      <c r="Y151" s="115"/>
      <c r="Z151" s="92"/>
      <c r="AA151" s="115"/>
      <c r="AB151" s="92"/>
      <c r="AC151" s="115"/>
      <c r="AD151" s="92"/>
      <c r="AE151" s="115"/>
      <c r="AF151" s="92"/>
      <c r="AG151" s="115"/>
      <c r="AH151" s="92"/>
      <c r="AI151" s="115"/>
      <c r="AJ151" s="92"/>
      <c r="AK151" s="115"/>
      <c r="AL151" s="92"/>
      <c r="AM151" s="89"/>
      <c r="AN151" s="89"/>
    </row>
    <row r="152" spans="1:40" ht="24" customHeight="1" x14ac:dyDescent="0.5">
      <c r="A152" s="90" t="s">
        <v>573</v>
      </c>
    </row>
  </sheetData>
  <mergeCells count="18">
    <mergeCell ref="AK150:AK151"/>
    <mergeCell ref="O150:O151"/>
    <mergeCell ref="Q150:Q151"/>
    <mergeCell ref="S150:S151"/>
    <mergeCell ref="U150:U151"/>
    <mergeCell ref="W150:W151"/>
    <mergeCell ref="Y150:Y151"/>
    <mergeCell ref="AA150:AA151"/>
    <mergeCell ref="AC150:AC151"/>
    <mergeCell ref="AE150:AE151"/>
    <mergeCell ref="AG150:AG151"/>
    <mergeCell ref="AI150:AI151"/>
    <mergeCell ref="M150:M151"/>
    <mergeCell ref="C150:C151"/>
    <mergeCell ref="E150:E151"/>
    <mergeCell ref="G150:G151"/>
    <mergeCell ref="I150:I151"/>
    <mergeCell ref="K150:K151"/>
  </mergeCells>
  <phoneticPr fontId="1"/>
  <pageMargins left="0.7" right="0.7" top="0.75" bottom="0.75" header="0.3" footer="0.3"/>
  <pageSetup paperSize="9" orientation="portrait" horizontalDpi="1200" verticalDpi="12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29FD93-BC53-4A83-9E91-9202F061C093}">
  <sheetPr codeName="Sheet7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CA30A7-5AC1-4D77-A1A1-CCC16B313D0C}">
  <sheetPr codeName="Sheet8"/>
  <dimension ref="A1"/>
  <sheetViews>
    <sheetView workbookViewId="0"/>
  </sheetViews>
  <sheetFormatPr defaultRowHeight="18" x14ac:dyDescent="0.45"/>
  <sheetData/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B9FE9A-50F5-4084-ADF4-E2F22F357AEA}">
  <sheetPr codeName="Sheet9"/>
  <dimension ref="A1:F5"/>
  <sheetViews>
    <sheetView workbookViewId="0">
      <selection activeCell="E6" sqref="E6"/>
    </sheetView>
  </sheetViews>
  <sheetFormatPr defaultRowHeight="18" x14ac:dyDescent="0.45"/>
  <sheetData>
    <row r="1" spans="1:6" x14ac:dyDescent="0.45">
      <c r="A1" t="e" cm="1">
        <f t="array" aca="1" ref="A1" ca="1">INDIRECT("貼り付け用!A"&amp;MATCH("社食",数出表_Excel!$A:$A,0)&amp;"")</f>
        <v>#N/A</v>
      </c>
      <c r="D1" t="s">
        <v>574</v>
      </c>
      <c r="E1" t="e" cm="1">
        <f t="array" aca="1" ref="E1" ca="1">INDIRECT("貼り付け用!"&amp;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&amp;MATCH("社食",数出表_Excel!$A:$A,0)-1&amp;"")</f>
        <v>#N/A</v>
      </c>
    </row>
    <row r="2" spans="1:6" x14ac:dyDescent="0.45">
      <c r="A2" t="e" cm="1">
        <f t="array" aca="1" ref="A2" ca="1">INDIRECT("貼り付け用!A"&amp;MATCH("社食",数出表_Excel!$A:$A,0)&amp;"")</f>
        <v>#N/A</v>
      </c>
      <c r="F2" t="e" cm="1">
        <f t="array" aca="1" ref="F2" ca="1">INDIRECT("貼り付け用!"&amp;
IF(COUNTIF(A1,"*合計*"),"",
IFERROR(
SUBSTITUTE(ADDRESS(1,
COLUMN(INDIRECT("数出表_Excel!B" &amp; (MATCH(A1,数出表_Excel!$A:$A,0)-1))) - 1 +
MATCH(TRUE, ISNUMBER(--INDIRECT("数出表_Excel!B" &amp; (MATCH(A1,数出表_Excel!$A:$A,0)-1) &amp; ":U" &amp; (MATCH(A1,数出表_Excel!$A:$A,0)-1))), 0),4),"1",""),
""))
&amp;MATCH("社食",数出表_Excel!$A:$A,0)&amp;"")</f>
        <v>#N/A</v>
      </c>
    </row>
    <row r="3" spans="1:6" x14ac:dyDescent="0.45">
      <c r="A3" t="s">
        <v>576</v>
      </c>
      <c r="B3" t="e" cm="1">
        <f t="array" aca="1" ref="B3" ca="1">IF(INDIRECT("数出表_Excel!V"&amp;MATCH("はたなか",数出表_Excel!$A:$A,0)-1&amp;"")="",
INDIRECT("数出表_Excel!W"&amp;MATCH("はたなか",数出表_Excel!$A:$A,0)-1&amp;""),
INDIRECT("数出表_Excel!V"&amp;MATCH("はたなか",数出表_Excel!$A:$A,0)-1&amp;""))</f>
        <v>#N/A</v>
      </c>
      <c r="E3" t="e">
        <f ca="1">MID(B3,FIND("電子",B3)+2,LEN(B3)-FIND("電子",B3)+1)</f>
        <v>#N/A</v>
      </c>
    </row>
    <row r="4" spans="1:6" x14ac:dyDescent="0.45">
      <c r="A4" t="s">
        <v>577</v>
      </c>
      <c r="E4" t="e">
        <f ca="1">MID(B3,FIND("新日本",B3)+3,FIND("ニシム",B3)-1-(FIND("新日本",B3)+3))</f>
        <v>#N/A</v>
      </c>
    </row>
    <row r="5" spans="1:6" x14ac:dyDescent="0.45">
      <c r="A5" t="s">
        <v>578</v>
      </c>
      <c r="E5">
        <v>2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U124"/>
  <sheetViews>
    <sheetView topLeftCell="BO23" zoomScale="55" zoomScaleNormal="55" zoomScalePageLayoutView="55" workbookViewId="0">
      <selection activeCell="CT19" sqref="CT19"/>
    </sheetView>
  </sheetViews>
  <sheetFormatPr defaultRowHeight="18" x14ac:dyDescent="0.45"/>
  <cols>
    <col min="1" max="1" width="3.59765625" style="142" customWidth="1"/>
    <col min="2" max="6" width="7.19921875" style="142" customWidth="1"/>
    <col min="7" max="7" width="7.59765625" style="161" customWidth="1"/>
    <col min="8" max="9" width="7.59765625" style="142" customWidth="1"/>
    <col min="10" max="13" width="7.19921875" style="142" customWidth="1"/>
    <col min="14" max="14" width="7.19921875" style="156" customWidth="1"/>
    <col min="15" max="16" width="3.59765625" style="142" customWidth="1"/>
    <col min="17" max="21" width="7.19921875" style="142" customWidth="1"/>
    <col min="22" max="22" width="7.3984375" style="156" customWidth="1"/>
    <col min="23" max="24" width="7.3984375" style="142" customWidth="1"/>
    <col min="25" max="28" width="7.19921875" style="142" customWidth="1"/>
    <col min="29" max="29" width="7.19921875" style="156" customWidth="1"/>
    <col min="30" max="31" width="3.59765625" style="142" customWidth="1"/>
    <col min="32" max="36" width="7.19921875" style="142" customWidth="1"/>
    <col min="37" max="37" width="7.59765625" style="156" customWidth="1"/>
    <col min="38" max="39" width="7.59765625" style="142" customWidth="1"/>
    <col min="40" max="43" width="7.19921875" style="142" customWidth="1"/>
    <col min="44" max="44" width="7.19921875" style="156" customWidth="1"/>
    <col min="45" max="46" width="3.59765625" style="142" customWidth="1"/>
    <col min="47" max="51" width="7.19921875" style="142" customWidth="1"/>
    <col min="52" max="52" width="7.3984375" style="156" customWidth="1"/>
    <col min="53" max="54" width="7.3984375" style="142" customWidth="1"/>
    <col min="55" max="58" width="7.19921875" style="142" customWidth="1"/>
    <col min="59" max="59" width="7.19921875" style="156" customWidth="1"/>
    <col min="60" max="61" width="3.59765625" style="142" customWidth="1"/>
    <col min="62" max="66" width="7.19921875" style="142" customWidth="1"/>
    <col min="67" max="67" width="7.59765625" style="156" customWidth="1"/>
    <col min="68" max="69" width="7.59765625" style="142" customWidth="1"/>
    <col min="70" max="73" width="7.19921875" style="142" customWidth="1"/>
    <col min="74" max="74" width="7.19921875" style="156" customWidth="1"/>
    <col min="75" max="75" width="3.59765625" style="142" customWidth="1"/>
    <col min="76" max="76" width="8.796875" style="146"/>
    <col min="77" max="77" width="17.09765625" style="142" bestFit="1" customWidth="1"/>
    <col min="78" max="80" width="11.69921875" style="142" customWidth="1"/>
    <col min="81" max="89" width="8.796875" style="146"/>
    <col min="90" max="90" width="39.3984375" style="142" bestFit="1" customWidth="1"/>
    <col min="91" max="16384" width="8.796875" style="146"/>
  </cols>
  <sheetData>
    <row r="1" spans="1:99" s="132" customFormat="1" ht="18" customHeight="1" x14ac:dyDescent="0.55000000000000004">
      <c r="A1" s="129">
        <v>7</v>
      </c>
      <c r="B1" s="130" cm="1">
        <f t="array" ref="B1">GetResult(A1)</f>
        <v>7</v>
      </c>
      <c r="C1" s="117" t="str">
        <f ca="1">IF(C2&lt;&gt;"",
IF(LEFT(G1,2)="博多",
LEFT(G1,FIND("週",G1)-1),
G1),"")</f>
        <v/>
      </c>
      <c r="D1" s="131"/>
      <c r="E1" s="131"/>
      <c r="F1" s="131"/>
      <c r="G1" s="157" t="e" cm="1">
        <f t="array" aca="1" ref="G1" ca="1">INDIRECT("数出表_Excel!A"&amp;B1)</f>
        <v>#N/A</v>
      </c>
      <c r="H1" s="129" t="e" cm="1">
        <f t="array" aca="1" ref="H1" ca="1">IF(AND(LEFT(G1,2)="博多",LEFT(INDIRECT("数出表_Excel!A"&amp;B1-1),2)=LEFT(INDIRECT("数出表_Excel!A"&amp;B1+1),2)),
IF(AND(LEFT(INDIRECT("数出表_Excel!A"&amp;B1+2),2)="博多",LEFT(INDIRECT("数出表_Excel!A"&amp;B1+1),2)=LEFT(INDIRECT("数出表_Excel!A"&amp;B1+3),2)),
IF(AND(LEFT(INDIRECT("数出表_Excel!A"&amp;B1+4),2)="博多",LEFT(INDIRECT("数出表_Excel!A"&amp;B1+3),2)=LEFT(INDIRECT("数出表_Excel!A"&amp;B1+5),2)),
B1+8,
B1+2),
B1+4),
IF(LEFT(G1,3)="奈良屋",
IF(LEFT(INDIRECT("数出表_Excel!A"&amp;B1+2),3)="奈良屋",
IF(LEFT(INDIRECT("数出表_Excel!A"&amp;B1+4),3)="奈良屋",
B1+6,
B1+4),
B1+2),
B1+2))</f>
        <v>#N/A</v>
      </c>
      <c r="I1" s="130" t="e" cm="1">
        <f t="array" aca="1" ref="I1" ca="1">GetResult(H1)</f>
        <v>#VALUE!</v>
      </c>
      <c r="J1" s="117" t="str">
        <f ca="1">IF(J2&lt;&gt;"",
IF(LEFT(N1,2)="博多",
LEFT(N1,FIND("週",N1)-1),
N1),"")</f>
        <v/>
      </c>
      <c r="K1" s="131"/>
      <c r="L1" s="131"/>
      <c r="M1" s="131"/>
      <c r="N1" s="152" t="e" cm="1">
        <f t="array" aca="1" ref="N1" ca="1">INDIRECT("数出表_Excel!A"&amp;I1)</f>
        <v>#VALUE!</v>
      </c>
      <c r="O1" s="129"/>
      <c r="P1" s="129" t="e">
        <f t="array" aca="1" ref="P1" ca="1">IF(LEFT(N36,2)="博多",
IF(LEFT(INDIRECT("数出表_Excel!A"&amp;I36+2),2)="博多",
IF(LEFT(INDIRECT("数出表_Excel!A"&amp;I36+4),2)="博多",
I36+6,
I36+4),
I36+2),
IF(LEFT(N36,3)="奈良屋",
IF(LEFT(INDIRECT("数出表_Excel!A"&amp;I36+2),3)="奈良屋",
IF(LEFT(INDIRECT("数出表_Excel!A"&amp;I36+4),3)="奈良屋",
I36+6,
I36+4),
I36+2),
I36+2))</f>
        <v>#VALUE!</v>
      </c>
      <c r="Q1" s="130" t="e">
        <f t="array" aca="1" ref="Q1" ca="1">GetResult(P1)</f>
        <v>#VALUE!</v>
      </c>
      <c r="R1" s="117" t="str">
        <f ca="1">IF(R2&lt;&gt;"",
IF(LEFT(V1,2)="博多",
LEFT(V1,FIND("週",V1)-1),
V1),"")</f>
        <v/>
      </c>
      <c r="S1" s="131"/>
      <c r="T1" s="131"/>
      <c r="U1" s="131"/>
      <c r="V1" s="152" t="e">
        <f t="array" aca="1" ref="V1" ca="1">INDIRECT("数出表_Excel!A"&amp;Q1)</f>
        <v>#VALUE!</v>
      </c>
      <c r="W1" s="129" t="e">
        <f t="array" aca="1" ref="W1" ca="1">IF(LEFT(V1,2)="博多",
IF(LEFT(INDIRECT("数出表_Excel!A"&amp;Q1+2),2)="博多",
IF(LEFT(INDIRECT("数出表_Excel!A"&amp;Q1+4),2)="博多",
Q1+6,
Q1+4),
Q1+2),
IF(LEFT(V1,3)="奈良屋",
IF(LEFT(INDIRECT("数出表_Excel!A"&amp;Q1+2),3)="奈良屋",
IF(LEFT(INDIRECT("数出表_Excel!A"&amp;Q1+4),3)="奈良屋",
Q1+6,
Q1+4),
Q1+2),
Q1+2))</f>
        <v>#VALUE!</v>
      </c>
      <c r="X1" s="130" t="e">
        <f t="array" aca="1" ref="X1" ca="1">GetResult(W1)</f>
        <v>#VALUE!</v>
      </c>
      <c r="Y1" s="117" t="str">
        <f ca="1">IF(Y2&lt;&gt;"",
IF(LEFT(AC1,2)="博多",
LEFT(AC1,FIND("週",AC1)-1),
AC1),"")</f>
        <v/>
      </c>
      <c r="Z1" s="131"/>
      <c r="AA1" s="131"/>
      <c r="AB1" s="131"/>
      <c r="AC1" s="152" t="e">
        <f t="array" aca="1" ref="AC1" ca="1">INDIRECT("数出表_Excel!A"&amp;X1)</f>
        <v>#VALUE!</v>
      </c>
      <c r="AD1" s="129"/>
      <c r="AE1" s="129" t="e">
        <f t="array" aca="1" ref="AE1" ca="1">IF(LEFT(AC36,2)="博多",
IF(LEFT(INDIRECT("数出表_Excel!A"&amp;X36+2),2)="博多",
IF(LEFT(INDIRECT("数出表_Excel!A"&amp;X36+4),2)="博多",
X36+6,
X36+4),
X36+2),
IF(LEFT(AC36,3)="奈良屋",
IF(LEFT(INDIRECT("数出表_Excel!A"&amp;X36+2),3)="奈良屋",
IF(LEFT(INDIRECT("数出表_Excel!A"&amp;X36+4),3)="奈良屋",
X36+6,
X36+4),
X36+2),
X36+2))</f>
        <v>#VALUE!</v>
      </c>
      <c r="AF1" s="130" t="e">
        <f t="array" aca="1" ref="AF1" ca="1">GetResult(AE1)</f>
        <v>#VALUE!</v>
      </c>
      <c r="AG1" s="117" t="str">
        <f ca="1">IF(AG2&lt;&gt;"",
IF(LEFT(AK1,2)="博多",
LEFT(AK1,FIND("週",AK1)-1),
AK1),"")</f>
        <v/>
      </c>
      <c r="AH1" s="131"/>
      <c r="AI1" s="131"/>
      <c r="AJ1" s="131"/>
      <c r="AK1" s="152" t="e">
        <f t="array" aca="1" ref="AK1" ca="1">INDIRECT("数出表_Excel!A"&amp;AF1)</f>
        <v>#VALUE!</v>
      </c>
      <c r="AL1" s="129" t="e">
        <f t="array" aca="1" ref="AL1" ca="1">IF(LEFT(AK1,2)="博多",
IF(LEFT(INDIRECT("数出表_Excel!A"&amp;AF1+2),2)="博多",
IF(LEFT(INDIRECT("数出表_Excel!A"&amp;AF1+4),2)="博多",
AF1+6,
AF1+4),
AF1+2),
IF(LEFT(AK1,3)="奈良屋",
IF(LEFT(INDIRECT("数出表_Excel!A"&amp;AF1+2),3)="奈良屋",
IF(LEFT(INDIRECT("数出表_Excel!A"&amp;AF1+4),3)="奈良屋",
AF1+6,
AF1+4),
AF1+2),
AF1+2))</f>
        <v>#VALUE!</v>
      </c>
      <c r="AM1" s="130" t="e">
        <f t="array" aca="1" ref="AM1" ca="1">GetResult(AL1)</f>
        <v>#VALUE!</v>
      </c>
      <c r="AN1" s="117" t="str">
        <f ca="1">IF(AN2&lt;&gt;"",
IF(LEFT(AR1,2)="博多",
LEFT(AR1,FIND("週",AR1)-1),
AR1),"")</f>
        <v/>
      </c>
      <c r="AO1" s="131"/>
      <c r="AP1" s="131"/>
      <c r="AQ1" s="131"/>
      <c r="AR1" s="152" t="e">
        <f t="array" aca="1" ref="AR1" ca="1">INDIRECT("数出表_Excel!A"&amp;AM1)</f>
        <v>#VALUE!</v>
      </c>
      <c r="AS1" s="129"/>
      <c r="AT1" s="129" t="e">
        <f t="array" aca="1" ref="AT1" ca="1">IF(LEFT(AR36,2)="博多",
IF(LEFT(INDIRECT("数出表_Excel!A"&amp;AM36+2),2)="博多",
IF(LEFT(INDIRECT("数出表_Excel!A"&amp;AM36+4),2)="博多",
AM36+6,
AM36+4),
AM36+2),
IF(LEFT(AR36,3)="奈良屋",
IF(LEFT(INDIRECT("数出表_Excel!A"&amp;AM36+2),3)="奈良屋",
IF(LEFT(INDIRECT("数出表_Excel!A"&amp;AM36+4),3)="奈良屋",
AM36+6,
AM36+4),
AM36+2),
AM36+2))</f>
        <v>#VALUE!</v>
      </c>
      <c r="AU1" s="130" t="e">
        <f t="array" aca="1" ref="AU1" ca="1">GetResult(AT1)</f>
        <v>#VALUE!</v>
      </c>
      <c r="AV1" s="117" t="str">
        <f ca="1">IF(AV2&lt;&gt;"",
IF(LEFT(AZ1,2)="博多",
LEFT(AZ1,FIND("週",AZ1)-1),
AZ1),"")</f>
        <v/>
      </c>
      <c r="AW1" s="131"/>
      <c r="AX1" s="131"/>
      <c r="AY1" s="131"/>
      <c r="AZ1" s="152" t="e">
        <f t="array" aca="1" ref="AZ1" ca="1">INDIRECT("数出表_Excel!A"&amp;AU1)</f>
        <v>#VALUE!</v>
      </c>
      <c r="BA1" s="129" t="e">
        <f t="array" aca="1" ref="BA1" ca="1">IF(LEFT(AZ1,2)="博多",
IF(LEFT(INDIRECT("数出表_Excel!A"&amp;AU1+2),2)="博多",
IF(LEFT(INDIRECT("数出表_Excel!A"&amp;AU1+4),2)="博多",
AU1+6,
AU1+4),
AU1+2),
IF(LEFT(AZ1,3)="奈良屋",
IF(LEFT(INDIRECT("数出表_Excel!A"&amp;AU1+2),3)="奈良屋",
IF(LEFT(INDIRECT("数出表_Excel!A"&amp;AU1+4),3)="奈良屋",
AU1+6,
AU1+4),
AU1+2),
AU1+2))</f>
        <v>#VALUE!</v>
      </c>
      <c r="BB1" s="130" t="e">
        <f t="array" aca="1" ref="BB1" ca="1">GetResult(BA1)</f>
        <v>#VALUE!</v>
      </c>
      <c r="BC1" s="117" t="str">
        <f ca="1">IF(BC2&lt;&gt;"",
IF(LEFT(BG1,2)="博多",
LEFT(BG1,FIND("週",BG1)-1),
BG1),"")</f>
        <v/>
      </c>
      <c r="BD1" s="131"/>
      <c r="BE1" s="131"/>
      <c r="BF1" s="131"/>
      <c r="BG1" s="152" t="e">
        <f t="array" aca="1" ref="BG1" ca="1">INDIRECT("数出表_Excel!A"&amp;BB1)</f>
        <v>#VALUE!</v>
      </c>
      <c r="BH1" s="129"/>
      <c r="BI1" s="129" t="e">
        <f t="array" aca="1" ref="BI1" ca="1">IF(LEFT(BG36,2)="博多",
IF(LEFT(INDIRECT("数出表_Excel!A"&amp;BB36+2),2)="博多",
IF(LEFT(INDIRECT("数出表_Excel!A"&amp;BB36+4),2)="博多",
BB36+6,
BB36+4),
BB36+2),
IF(LEFT(BG36,3)="奈良屋",
IF(LEFT(INDIRECT("数出表_Excel!A"&amp;BB36+2),3)="奈良屋",
IF(LEFT(INDIRECT("数出表_Excel!A"&amp;BB36+4),3)="奈良屋",
BB36+6,
BB36+4),
BB36+2),
BB36+2))</f>
        <v>#VALUE!</v>
      </c>
      <c r="BJ1" s="130" t="e">
        <f t="array" aca="1" ref="BJ1" ca="1">GetResult(BI1)</f>
        <v>#VALUE!</v>
      </c>
      <c r="BK1" s="117" t="str">
        <f ca="1">IF(BK2&lt;&gt;"",
IF(LEFT(BO1,2)="博多",
LEFT(BO1,FIND("週",BO1)-1),
BO1),"")</f>
        <v/>
      </c>
      <c r="BL1" s="131"/>
      <c r="BM1" s="131"/>
      <c r="BN1" s="131"/>
      <c r="BO1" s="152" t="e">
        <f t="array" aca="1" ref="BO1" ca="1">INDIRECT("数出表_Excel!A"&amp;BJ1)</f>
        <v>#VALUE!</v>
      </c>
      <c r="BP1" s="129" t="e">
        <f t="array" aca="1" ref="BP1" ca="1">IF(LEFT(BO1,2)="博多",
IF(LEFT(INDIRECT("数出表_Excel!A"&amp;BJ1+2),2)="博多",
IF(LEFT(INDIRECT("数出表_Excel!A"&amp;BJ1+4),2)="博多",
BJ1+6,
BJ1+4),
BJ1+2),
IF(LEFT(BO1,3)="奈良屋",
IF(LEFT(INDIRECT("数出表_Excel!A"&amp;BJ1+2),3)="奈良屋",
IF(LEFT(INDIRECT("数出表_Excel!A"&amp;BJ1+4),3)="奈良屋",
BJ1+6,
BJ1+4),
BJ1+2),
BJ1+2))</f>
        <v>#VALUE!</v>
      </c>
      <c r="BQ1" s="130" t="e">
        <f t="array" aca="1" ref="BQ1" ca="1">GetResult(BP1)</f>
        <v>#VALUE!</v>
      </c>
      <c r="BR1" s="117" t="str">
        <f ca="1">IF(BR2&lt;&gt;"",
IF(LEFT(BV1,2)="博多",
LEFT(BV1,FIND("週",BV1)-1),
BV1),"")</f>
        <v/>
      </c>
      <c r="BS1" s="131"/>
      <c r="BT1" s="131"/>
      <c r="BU1" s="131"/>
      <c r="BV1" s="152" t="e">
        <f t="array" aca="1" ref="BV1" ca="1">INDIRECT("数出表_Excel!A"&amp;BQ1)</f>
        <v>#VALUE!</v>
      </c>
      <c r="BW1" s="129"/>
      <c r="BY1" s="133" t="str">
        <f ca="1">C1</f>
        <v/>
      </c>
      <c r="BZ1" s="133" t="str">
        <f ca="1">C2</f>
        <v/>
      </c>
      <c r="CA1" s="133" t="str">
        <f ca="1">E2</f>
        <v/>
      </c>
      <c r="CB1" s="134" t="str">
        <f ca="1">F2</f>
        <v/>
      </c>
      <c r="CC1" s="133" t="str">
        <f ca="1">C4</f>
        <v/>
      </c>
      <c r="CD1" s="133" t="str">
        <f ca="1">E4</f>
        <v/>
      </c>
      <c r="CE1" s="133" t="str">
        <f ca="1">C6</f>
        <v/>
      </c>
      <c r="CF1" s="133" t="str">
        <f ca="1">B7</f>
        <v/>
      </c>
      <c r="CG1" s="133" t="str">
        <f ca="1">D7</f>
        <v/>
      </c>
      <c r="CH1" s="133" t="str">
        <f ca="1">F7</f>
        <v/>
      </c>
      <c r="CI1" s="132">
        <f t="shared" ref="CI1:CI32" ca="1" si="0">IF(COUNTIF(CJ1,"TRUE"),ROW(),0)</f>
        <v>0</v>
      </c>
      <c r="CJ1" s="132" t="b">
        <f t="array" aca="1" ref="CJ1" ca="1">SUMPRODUCT((LEN(BY1:CH1)&gt;0)*1)&gt;0</f>
        <v>0</v>
      </c>
      <c r="CK1" s="132" cm="1">
        <f t="array" aca="1" ref="CK1" ca="1">IFERROR(SMALL(IF(CI$1:CI$150&lt;&gt;0,CI$1:CI$150),ROW(A1)),"")</f>
        <v>121</v>
      </c>
      <c r="CL1" s="132" t="str">
        <f t="array" aca="1" ref="CL1" ca="1">IF($CK1&lt;&gt;"",
INDIRECT(""&amp;IF(COLUMN(BY1)&lt;=26,CHAR(COLUMN(BY1)+64),CHAR(INT((COLUMN(BY1)-1)/26)+64)&amp;CHAR(MOD(COLUMN(BY1)-1,26)+65))&amp;$CK1&amp;""),"")</f>
        <v>ニシム</v>
      </c>
      <c r="CM1" s="132">
        <f t="array" aca="1" ref="CM1" ca="1">IF($CK1&lt;&gt;"",
INDIRECT(""&amp;IF(COLUMN(BZ1)&lt;=26,CHAR(COLUMN(BZ1)+64),CHAR(INT((COLUMN(BZ1)-1)/26)+64)&amp;CHAR(MOD(COLUMN(BZ1)-1,26)+65))&amp;$CK1&amp;""),"")</f>
        <v>0</v>
      </c>
      <c r="CN1" s="132">
        <f t="array" aca="1" ref="CN1" ca="1">IF($CK1&lt;&gt;"",
INDIRECT(""&amp;IF(COLUMN(CA1)&lt;=26,CHAR(COLUMN(CA1)+64),CHAR(INT((COLUMN(CA1)-1)/26)+64)&amp;CHAR(MOD(COLUMN(CA1)-1,26)+65))&amp;$CK1&amp;""),"")</f>
        <v>0</v>
      </c>
      <c r="CO1" s="132">
        <f t="array" aca="1" ref="CO1" ca="1">IF($CK1&lt;&gt;"",
INDIRECT(""&amp;IF(COLUMN(CB1)&lt;=26,CHAR(COLUMN(CB1)+64),CHAR(INT((COLUMN(CB1)-1)/26)+64)&amp;CHAR(MOD(COLUMN(CB1)-1,26)+65))&amp;$CK1&amp;""),"")</f>
        <v>0</v>
      </c>
      <c r="CP1" s="132" t="e">
        <f t="array" aca="1" ref="CP1" ca="1">IF($CK1&lt;&gt;"",
INDIRECT(""&amp;IF(COLUMN(CC1)&lt;=26,CHAR(COLUMN(CC1)+64),CHAR(INT((COLUMN(CC1)-1)/26)+64)&amp;CHAR(MOD(COLUMN(CC1)-1,26)+65))&amp;$CK1&amp;""),"")</f>
        <v>#N/A</v>
      </c>
      <c r="CQ1" s="132">
        <f t="array" aca="1" ref="CQ1" ca="1">IF($CK1&lt;&gt;"",
INDIRECT(""&amp;IF(COLUMN(CD1)&lt;=26,CHAR(COLUMN(CD1)+64),CHAR(INT((COLUMN(CD1)-1)/26)+64)&amp;CHAR(MOD(COLUMN(CD1)-1,26)+65))&amp;$CK1&amp;""),"")</f>
        <v>0</v>
      </c>
      <c r="CR1" s="132">
        <f t="array" aca="1" ref="CR1" ca="1">IF($CK1&lt;&gt;"",
INDIRECT(""&amp;IF(COLUMN(CE1)&lt;=26,CHAR(COLUMN(CE1)+64),CHAR(INT((COLUMN(CE1)-1)/26)+64)&amp;CHAR(MOD(COLUMN(CE1)-1,26)+65))&amp;$CK1&amp;""),"")</f>
        <v>0</v>
      </c>
      <c r="CS1" s="132">
        <f t="array" aca="1" ref="CS1" ca="1">IF($CK1&lt;&gt;"",
INDIRECT(""&amp;IF(COLUMN(CF1)&lt;=26,CHAR(COLUMN(CF1)+64),CHAR(INT((COLUMN(CF1)-1)/26)+64)&amp;CHAR(MOD(COLUMN(CF1)-1,26)+65))&amp;$CK1&amp;""),"")</f>
        <v>0</v>
      </c>
      <c r="CT1" s="132">
        <f t="array" aca="1" ref="CT1" ca="1">IF($CK1&lt;&gt;"",
INDIRECT(""&amp;IF(COLUMN(CG1)&lt;=26,CHAR(COLUMN(CG1)+64),CHAR(INT((COLUMN(CG1)-1)/26)+64)&amp;CHAR(MOD(COLUMN(CG1)-1,26)+65))&amp;$CK1&amp;""),"")</f>
        <v>0</v>
      </c>
      <c r="CU1" s="132">
        <f t="array" aca="1" ref="CU1" ca="1">IF($CK1&lt;&gt;"",
INDIRECT(""&amp;IF(COLUMN(CH1)&lt;=26,CHAR(COLUMN(CH1)+64),CHAR(INT((COLUMN(CH1)-1)/26)+64)&amp;CHAR(MOD(COLUMN(CH1)-1,26)+65))&amp;$CK1&amp;""),"")</f>
        <v>0</v>
      </c>
    </row>
    <row r="2" spans="1:99" s="132" customFormat="1" ht="18" customHeight="1" x14ac:dyDescent="0.55000000000000004">
      <c r="A2" s="129"/>
      <c r="B2" s="135" t="e" cm="1">
        <f t="array" aca="1" ref="B2" ca="1">IF(B3&lt;&gt;100,
IF(C4&lt;&gt;"",MATCH(C4,INDIRECT("数出表_Excel!B"&amp;MATCH(G1,数出表_Excel!$A:$A,0)-1&amp;":U"&amp;MATCH(G1,数出表_Excel!$A:$A,0)-1&amp;""),0)+1,""),
IF(C4&lt;&gt;"",
MATCH(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2" s="70" t="str">
        <f t="array" aca="1" ref="C2" ca="1">IF(COUNTIF(G1,"*合計*"),"",
IF(IFERROR(INDIRECT("数出表_Excel!" &amp;
CHAR(MATCH(TRUE,
ISNUMBER(--INDIRECT("数出表_Excel!B"&amp;MATCH(G1,数出表_Excel!$A:$A,0)-1&amp;":U"&amp;MATCH(G1,数出表_Excel!$A:$A,0)-1&amp;"")),0)+65) &amp; "3"),0)=0,"",
IFERROR(INDIRECT("数出表_Excel!" &amp;
CHAR(MATCH(TRUE,
ISNUMBER(--INDIRECT("数出表_Excel!B"&amp;MATCH(G1,数出表_Excel!$A:$A,0)-1&amp;":U"&amp;MATCH(G1,数出表_Excel!$A:$A,0)-1&amp;"")),0)+65) &amp; "3"),"")))</f>
        <v/>
      </c>
      <c r="D2" s="129"/>
      <c r="E2" s="136" t="str">
        <f ca="1">IF(F2&lt;&gt;"","",
IF(C1&lt;&gt;"",
IFERROR(
INDEX('数出表_Excel（アレルギー入力）'!$4:$4,
 1,
MATCH(C4,INDIRECT("'数出表_Excel（アレルギー入力）'!"&amp;B1-1&amp;":"&amp;B1-1&amp;""),0)),
 "")
&amp;IFERROR(
INDEX('数出表_Excel（アレルギー入力）'!$5:$5,
 1,
MATCH(C4,INDIRECT("'数出表_Excel（アレルギー入力）'!"&amp;B1-1&amp;":"&amp;B1-1&amp;""),0)),
 ""),""))</f>
        <v/>
      </c>
      <c r="F2" s="137" t="str">
        <f t="array" aca="1" ref="F2" ca="1">IF(C2&lt;&gt;"",
IF(MATCH(TRUE,
ISNUMBER(--INDIRECT("数出表_Excel!B"&amp;MATCH(G1,数出表_Excel!$A:$A,0)-1&amp;":U"&amp;MATCH(G1,数出表_Excel!$A:$A,0)-1&amp;"")),0)&gt;10,
IF(C2&lt;&gt;"",
IF(IF(COUNTIF('盛付札（関数）'!C2,"*キャラ*"),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VLOOKUP('盛付札（関数）'!C2,商品マスタ一覧!$D:$J,7,FALSE)))=0,"",
IF(ROUND(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VLOOKUP('盛付札（関数）'!C2,商品マスタ一覧!$D:$J,7,FALSE))),0)&lt;=0,1,
ROUND(
IF(F7&lt;&gt;"",(C4-F7),C4)
/IF(COUNTIF('盛付札（関数）'!C2,"*キャラ*"),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VLOOKUP('盛付札（関数）'!C2,商品マスタ一覧!$D:$J,7,FALSE))),0))),""),""),"")</f>
        <v/>
      </c>
      <c r="G2" s="158" t="str">
        <f ca="1">IF(F2&lt;&gt;"",IF(VALUE(IF(F7&lt;&gt;"",C4-F7,C4))&gt;VALUE(IF(COUNTIF('盛付札（関数）'!C2,"*キャラ*"),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
"+"&amp;IF(F7&lt;&gt;"",C4-F7,C4)-IF(COUNTIF('盛付札（関数）'!C2,"*キャラ*"),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VLOOKUP('盛付札（関数）'!C2,商品マスタ一覧!$D:$J,7,FALSE)))*F2,
IF(F7&lt;&gt;"",C4-F7,C4)-IF(COUNTIF('盛付札（関数）'!C2,"*キャラ*"),
VLOOKUP("*キャラ*",商品マスタ一覧!$D:$J,7,FALSE),
IF(COUNTIF('盛付札（関数）'!C2,"*赤*"),
VLOOKUP("*赤*",商品マスタ一覧!$D:$J,7,FALSE),
VLOOKUP('盛付札（関数）'!C2,商品マスタ一覧!$D:$J,7,FALSE)))*F2),"")</f>
        <v/>
      </c>
      <c r="H2" s="129"/>
      <c r="I2" s="135" t="e">
        <f t="array" aca="1" ref="I2" ca="1">IF(I3&lt;&gt;100,
IF(J4&lt;&gt;"",MATCH(J4,INDIRECT("数出表_Excel!B"&amp;MATCH(N1,数出表_Excel!$A:$A,0)-1&amp;":U"&amp;MATCH(N1,数出表_Excel!$A:$A,0)-1&amp;""),0)+1,""),
IF(J4&lt;&gt;"",
MATCH(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2" s="70" t="str">
        <f t="array" aca="1" ref="J2" ca="1">IF(COUNTIF(N1,"*合計*"),"",
IF(IFERROR(INDIRECT("数出表_Excel!" &amp;
CHAR(MATCH(TRUE,
ISNUMBER(--INDIRECT("数出表_Excel!B"&amp;MATCH(N1,数出表_Excel!$A:$A,0)-1&amp;":U"&amp;MATCH(N1,数出表_Excel!$A:$A,0)-1&amp;"")),0)+65) &amp; "3"),0)=0,"",
IFERROR(INDIRECT("数出表_Excel!" &amp;
CHAR(MATCH(TRUE,
ISNUMBER(--INDIRECT("数出表_Excel!B"&amp;MATCH(N1,数出表_Excel!$A:$A,0)-1&amp;":U"&amp;MATCH(N1,数出表_Excel!$A:$A,0)-1&amp;"")),0)+65) &amp; "3"),"")))</f>
        <v/>
      </c>
      <c r="K2" s="129"/>
      <c r="L2" s="136" t="str">
        <f ca="1">IF(M2&lt;&gt;"","",
IF(J1&lt;&gt;"",
IFERROR(
INDEX('数出表_Excel（アレルギー入力）'!$4:$4,
 1,
MATCH(J4,INDIRECT("'数出表_Excel（アレルギー入力）'!"&amp;I1-1&amp;":"&amp;I1-1&amp;""),0)),
 "")
&amp;IFERROR(
INDEX('数出表_Excel（アレルギー入力）'!$5:$5,
 1,
MATCH(J4,INDIRECT("'数出表_Excel（アレルギー入力）'!"&amp;I1-1&amp;":"&amp;I1-1&amp;""),0)),
 ""),""))</f>
        <v/>
      </c>
      <c r="M2" s="137" t="str">
        <f t="array" aca="1" ref="M2" ca="1">IF(J2&lt;&gt;"",
IF(MATCH(TRUE,
ISNUMBER(--INDIRECT("数出表_Excel!B"&amp;MATCH(N1,数出表_Excel!$A:$A,0)-1&amp;":U"&amp;MATCH(N1,数出表_Excel!$A:$A,0)-1&amp;"")),0)&gt;10,
IF(J2&lt;&gt;"",
IF(IF(COUNTIF('盛付札（関数）'!J2,"*キャラ*"),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VLOOKUP('盛付札（関数）'!J2,商品マスタ一覧!$D:$J,7,FALSE)))=0,"",
IF(ROUND(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VLOOKUP('盛付札（関数）'!J2,商品マスタ一覧!$D:$J,7,FALSE))),0)&lt;=0,1,
ROUND(
IF(M7&lt;&gt;"",(J4-M7),J4)
/IF(COUNTIF('盛付札（関数）'!J2,"*キャラ*"),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VLOOKUP('盛付札（関数）'!J2,商品マスタ一覧!$D:$J,7,FALSE))),0))),""),""),"")</f>
        <v/>
      </c>
      <c r="N2" s="153" t="str">
        <f ca="1">IF(M2&lt;&gt;"",IF(VALUE(IF(M7&lt;&gt;"",J4-M7,J4))&gt;VALUE(IF(COUNTIF('盛付札（関数）'!J2,"*キャラ*"),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
"+"&amp;IF(M7&lt;&gt;"",J4-M7,J4)-IF(COUNTIF('盛付札（関数）'!J2,"*キャラ*"),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VLOOKUP('盛付札（関数）'!J2,商品マスタ一覧!$D:$J,7,FALSE)))*M2,
IF(M7&lt;&gt;"",J4-M7,J4)-IF(COUNTIF('盛付札（関数）'!J2,"*キャラ*"),
VLOOKUP("*キャラ*",商品マスタ一覧!$D:$J,7,FALSE),
IF(COUNTIF('盛付札（関数）'!J2,"*赤*"),
VLOOKUP("*赤*",商品マスタ一覧!$D:$J,7,FALSE),
VLOOKUP('盛付札（関数）'!J2,商品マスタ一覧!$D:$J,7,FALSE)))*M2),"")</f>
        <v/>
      </c>
      <c r="O2" s="129"/>
      <c r="P2" s="129"/>
      <c r="Q2" s="135" t="e">
        <f t="array" aca="1" ref="Q2" ca="1">IF(Q3&lt;&gt;100,
IF(R4&lt;&gt;"",MATCH(R4,INDIRECT("数出表_Excel!B"&amp;MATCH(V1,数出表_Excel!$A:$A,0)-1&amp;":U"&amp;MATCH(V1,数出表_Excel!$A:$A,0)-1&amp;""),0)+1,""),
IF(R4&lt;&gt;"",
MATCH(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2" s="70" t="str">
        <f t="array" aca="1" ref="R2" ca="1">IF(COUNTIF(V1,"*合計*"),"",
IF(IFERROR(INDIRECT("数出表_Excel!" &amp;
CHAR(MATCH(TRUE,
ISNUMBER(--INDIRECT("数出表_Excel!B"&amp;MATCH(V1,数出表_Excel!$A:$A,0)-1&amp;":U"&amp;MATCH(V1,数出表_Excel!$A:$A,0)-1&amp;"")),0)+65) &amp; "3"),0)=0,"",
IFERROR(INDIRECT("数出表_Excel!" &amp;
CHAR(MATCH(TRUE,
ISNUMBER(--INDIRECT("数出表_Excel!B"&amp;MATCH(V1,数出表_Excel!$A:$A,0)-1&amp;":U"&amp;MATCH(V1,数出表_Excel!$A:$A,0)-1&amp;"")),0)+65) &amp; "3"),"")))</f>
        <v/>
      </c>
      <c r="S2" s="129"/>
      <c r="T2" s="136" t="str">
        <f ca="1">IF(U2&lt;&gt;"","",
IF(R1&lt;&gt;"",
IFERROR(
INDEX('数出表_Excel（アレルギー入力）'!$4:$4,
 1,
MATCH(R4,INDIRECT("'数出表_Excel（アレルギー入力）'!"&amp;Q1-1&amp;":"&amp;Q1-1&amp;""),0)),
 "")
&amp;IFERROR(
INDEX('数出表_Excel（アレルギー入力）'!$5:$5,
 1,
MATCH(R4,INDIRECT("'数出表_Excel（アレルギー入力）'!"&amp;Q1-1&amp;":"&amp;Q1-1&amp;""),0)),
 ""),""))</f>
        <v/>
      </c>
      <c r="U2" s="137" t="str">
        <f t="array" aca="1" ref="U2" ca="1">IF(R2&lt;&gt;"",
IF(MATCH(TRUE,
ISNUMBER(--INDIRECT("数出表_Excel!B"&amp;MATCH(V1,数出表_Excel!$A:$A,0)-1&amp;":U"&amp;MATCH(V1,数出表_Excel!$A:$A,0)-1&amp;"")),0)&gt;10,
IF(R2&lt;&gt;"",
IF(IF(COUNTIF('盛付札（関数）'!R2,"*キャラ*"),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VLOOKUP('盛付札（関数）'!R2,商品マスタ一覧!$D:$J,7,FALSE)))=0,"",
IF(ROUND(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VLOOKUP('盛付札（関数）'!R2,商品マスタ一覧!$D:$J,7,FALSE))),0)&lt;=0,1,
ROUND(
IF(U7&lt;&gt;"",(R4-U7),R4)
/IF(COUNTIF('盛付札（関数）'!R2,"*キャラ*"),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VLOOKUP('盛付札（関数）'!R2,商品マスタ一覧!$D:$J,7,FALSE))),0))),""),""),"")</f>
        <v/>
      </c>
      <c r="V2" s="153" t="str">
        <f ca="1">IF(U2&lt;&gt;"",IF(VALUE(IF(U7&lt;&gt;"",R4-U7,R4))&gt;VALUE(IF(COUNTIF('盛付札（関数）'!R2,"*キャラ*"),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
"+"&amp;IF(U7&lt;&gt;"",R4-U7,R4)-IF(COUNTIF('盛付札（関数）'!R2,"*キャラ*"),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VLOOKUP('盛付札（関数）'!R2,商品マスタ一覧!$D:$J,7,FALSE)))*U2,
IF(U7&lt;&gt;"",R4-U7,R4)-IF(COUNTIF('盛付札（関数）'!R2,"*キャラ*"),
VLOOKUP("*キャラ*",商品マスタ一覧!$D:$J,7,FALSE),
IF(COUNTIF('盛付札（関数）'!R2,"*赤*"),
VLOOKUP("*赤*",商品マスタ一覧!$D:$J,7,FALSE),
VLOOKUP('盛付札（関数）'!R2,商品マスタ一覧!$D:$J,7,FALSE)))*U2),"")</f>
        <v/>
      </c>
      <c r="W2" s="129"/>
      <c r="X2" s="135" t="e">
        <f t="array" aca="1" ref="X2" ca="1">IF(X3&lt;&gt;100,
IF(Y4&lt;&gt;"",MATCH(Y4,INDIRECT("数出表_Excel!B"&amp;MATCH(AC1,数出表_Excel!$A:$A,0)-1&amp;":U"&amp;MATCH(AC1,数出表_Excel!$A:$A,0)-1&amp;""),0)+1,""),
IF(Y4&lt;&gt;"",
MATCH(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2" s="70" t="str">
        <f t="array" aca="1" ref="Y2" ca="1">IF(COUNTIF(AC1,"*合計*"),"",
IF(IFERROR(INDIRECT("数出表_Excel!" &amp;
CHAR(MATCH(TRUE,
ISNUMBER(--INDIRECT("数出表_Excel!B"&amp;MATCH(AC1,数出表_Excel!$A:$A,0)-1&amp;":U"&amp;MATCH(AC1,数出表_Excel!$A:$A,0)-1&amp;"")),0)+65) &amp; "3"),0)=0,"",
IFERROR(INDIRECT("数出表_Excel!" &amp;
CHAR(MATCH(TRUE,
ISNUMBER(--INDIRECT("数出表_Excel!B"&amp;MATCH(AC1,数出表_Excel!$A:$A,0)-1&amp;":U"&amp;MATCH(AC1,数出表_Excel!$A:$A,0)-1&amp;"")),0)+65) &amp; "3"),"")))</f>
        <v/>
      </c>
      <c r="Z2" s="129"/>
      <c r="AA2" s="136" t="str">
        <f ca="1">IF(AB2&lt;&gt;"","",
IF(Y1&lt;&gt;"",
IFERROR(
INDEX('数出表_Excel（アレルギー入力）'!$4:$4,
 1,
MATCH(Y4,INDIRECT("'数出表_Excel（アレルギー入力）'!"&amp;X1-1&amp;":"&amp;X1-1&amp;""),0)),
 "")
&amp;IFERROR(
INDEX('数出表_Excel（アレルギー入力）'!$5:$5,
 1,
MATCH(Y4,INDIRECT("'数出表_Excel（アレルギー入力）'!"&amp;X1-1&amp;":"&amp;X1-1&amp;""),0)),
 ""),""))</f>
        <v/>
      </c>
      <c r="AB2" s="137" t="str">
        <f t="array" aca="1" ref="AB2" ca="1">IF(Y2&lt;&gt;"",
IF(MATCH(TRUE,
ISNUMBER(--INDIRECT("数出表_Excel!B"&amp;MATCH(AC1,数出表_Excel!$A:$A,0)-1&amp;":U"&amp;MATCH(AC1,数出表_Excel!$A:$A,0)-1&amp;"")),0)&gt;10,
IF(Y2&lt;&gt;"",
IF(IF(COUNTIF('盛付札（関数）'!Y2,"*キャラ*"),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VLOOKUP('盛付札（関数）'!Y2,商品マスタ一覧!$D:$J,7,FALSE)))=0,"",
IF(ROUND(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VLOOKUP('盛付札（関数）'!Y2,商品マスタ一覧!$D:$J,7,FALSE))),0)&lt;=0,1,
ROUND(
IF(AB7&lt;&gt;"",(Y4-AB7),Y4)
/IF(COUNTIF('盛付札（関数）'!Y2,"*キャラ*"),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VLOOKUP('盛付札（関数）'!Y2,商品マスタ一覧!$D:$J,7,FALSE))),0))),""),""),"")</f>
        <v/>
      </c>
      <c r="AC2" s="153" t="str">
        <f ca="1">IF(AB2&lt;&gt;"",IF(VALUE(IF(AB7&lt;&gt;"",Y4-AB7,Y4))&gt;VALUE(IF(COUNTIF('盛付札（関数）'!Y2,"*キャラ*"),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
"+"&amp;IF(AB7&lt;&gt;"",Y4-AB7,Y4)-IF(COUNTIF('盛付札（関数）'!Y2,"*キャラ*"),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VLOOKUP('盛付札（関数）'!Y2,商品マスタ一覧!$D:$J,7,FALSE)))*AB2,
IF(AB7&lt;&gt;"",Y4-AB7,Y4)-IF(COUNTIF('盛付札（関数）'!Y2,"*キャラ*"),
VLOOKUP("*キャラ*",商品マスタ一覧!$D:$J,7,FALSE),
IF(COUNTIF('盛付札（関数）'!Y2,"*赤*"),
VLOOKUP("*赤*",商品マスタ一覧!$D:$J,7,FALSE),
VLOOKUP('盛付札（関数）'!Y2,商品マスタ一覧!$D:$J,7,FALSE)))*AB2),"")</f>
        <v/>
      </c>
      <c r="AD2" s="129"/>
      <c r="AE2" s="129"/>
      <c r="AF2" s="135" t="e">
        <f t="array" aca="1" ref="AF2" ca="1">IF(AF3&lt;&gt;100,
IF(AG4&lt;&gt;"",MATCH(AG4,INDIRECT("数出表_Excel!B"&amp;MATCH(AK1,数出表_Excel!$A:$A,0)-1&amp;":U"&amp;MATCH(AK1,数出表_Excel!$A:$A,0)-1&amp;""),0)+1,""),
IF(AG4&lt;&gt;"",
MATCH(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2" s="70" t="str">
        <f t="array" aca="1" ref="AG2" ca="1">IF(COUNTIF(AK1,"*合計*"),"",
IF(IFERROR(INDIRECT("数出表_Excel!" &amp;
CHAR(MATCH(TRUE,
ISNUMBER(--INDIRECT("数出表_Excel!B"&amp;MATCH(AK1,数出表_Excel!$A:$A,0)-1&amp;":U"&amp;MATCH(AK1,数出表_Excel!$A:$A,0)-1&amp;"")),0)+65) &amp; "3"),0)=0,"",
IFERROR(INDIRECT("数出表_Excel!" &amp;
CHAR(MATCH(TRUE,
ISNUMBER(--INDIRECT("数出表_Excel!B"&amp;MATCH(AK1,数出表_Excel!$A:$A,0)-1&amp;":U"&amp;MATCH(AK1,数出表_Excel!$A:$A,0)-1&amp;"")),0)+65) &amp; "3"),"")))</f>
        <v/>
      </c>
      <c r="AH2" s="129"/>
      <c r="AI2" s="136" t="str">
        <f ca="1">IF(AJ2&lt;&gt;"","",
IF(AG1&lt;&gt;"",
IFERROR(
INDEX('数出表_Excel（アレルギー入力）'!$4:$4,
 1,
MATCH(AG4,INDIRECT("'数出表_Excel（アレルギー入力）'!"&amp;AF1-1&amp;":"&amp;AF1-1&amp;""),0)),
 "")
&amp;IFERROR(
INDEX('数出表_Excel（アレルギー入力）'!$5:$5,
 1,
MATCH(AG4,INDIRECT("'数出表_Excel（アレルギー入力）'!"&amp;AF1-1&amp;":"&amp;AF1-1&amp;""),0)),
 ""),""))</f>
        <v/>
      </c>
      <c r="AJ2" s="137" t="str">
        <f t="array" aca="1" ref="AJ2" ca="1">IF(AG2&lt;&gt;"",
IF(MATCH(TRUE,
ISNUMBER(--INDIRECT("数出表_Excel!B"&amp;MATCH(AK1,数出表_Excel!$A:$A,0)-1&amp;":U"&amp;MATCH(AK1,数出表_Excel!$A:$A,0)-1&amp;"")),0)&gt;10,
IF(AG2&lt;&gt;"",
IF(IF(COUNTIF('盛付札（関数）'!AG2,"*キャラ*"),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VLOOKUP('盛付札（関数）'!AG2,商品マスタ一覧!$D:$J,7,FALSE)))=0,"",
IF(ROUND(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VLOOKUP('盛付札（関数）'!AG2,商品マスタ一覧!$D:$J,7,FALSE))),0)&lt;=0,1,
ROUND(
IF(AJ7&lt;&gt;"",(AG4-AJ7),AG4)
/IF(COUNTIF('盛付札（関数）'!AG2,"*キャラ*"),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VLOOKUP('盛付札（関数）'!AG2,商品マスタ一覧!$D:$J,7,FALSE))),0))),""),""),"")</f>
        <v/>
      </c>
      <c r="AK2" s="153" t="str">
        <f ca="1">IF(AJ2&lt;&gt;"",IF(VALUE(IF(AJ7&lt;&gt;"",AG4-AJ7,AG4))&gt;VALUE(IF(COUNTIF('盛付札（関数）'!AG2,"*キャラ*"),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
"+"&amp;IF(AJ7&lt;&gt;"",AG4-AJ7,AG4)-IF(COUNTIF('盛付札（関数）'!AG2,"*キャラ*"),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VLOOKUP('盛付札（関数）'!AG2,商品マスタ一覧!$D:$J,7,FALSE)))*AJ2,
IF(AJ7&lt;&gt;"",AG4-AJ7,AG4)-IF(COUNTIF('盛付札（関数）'!AG2,"*キャラ*"),
VLOOKUP("*キャラ*",商品マスタ一覧!$D:$J,7,FALSE),
IF(COUNTIF('盛付札（関数）'!AG2,"*赤*"),
VLOOKUP("*赤*",商品マスタ一覧!$D:$J,7,FALSE),
VLOOKUP('盛付札（関数）'!AG2,商品マスタ一覧!$D:$J,7,FALSE)))*AJ2),"")</f>
        <v/>
      </c>
      <c r="AL2" s="129"/>
      <c r="AM2" s="135" t="e">
        <f t="array" aca="1" ref="AM2" ca="1">IF(AM3&lt;&gt;100,
IF(AN4&lt;&gt;"",MATCH(AN4,INDIRECT("数出表_Excel!B"&amp;MATCH(AR1,数出表_Excel!$A:$A,0)-1&amp;":U"&amp;MATCH(AR1,数出表_Excel!$A:$A,0)-1&amp;""),0)+1,""),
IF(AN4&lt;&gt;"",
MATCH(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2" s="70" t="str">
        <f t="array" aca="1" ref="AN2" ca="1">IF(COUNTIF(AR1,"*合計*"),"",
IF(IFERROR(INDIRECT("数出表_Excel!" &amp;
CHAR(MATCH(TRUE,
ISNUMBER(--INDIRECT("数出表_Excel!B"&amp;MATCH(AR1,数出表_Excel!$A:$A,0)-1&amp;":U"&amp;MATCH(AR1,数出表_Excel!$A:$A,0)-1&amp;"")),0)+65) &amp; "3"),0)=0,"",
IFERROR(INDIRECT("数出表_Excel!" &amp;
CHAR(MATCH(TRUE,
ISNUMBER(--INDIRECT("数出表_Excel!B"&amp;MATCH(AR1,数出表_Excel!$A:$A,0)-1&amp;":U"&amp;MATCH(AR1,数出表_Excel!$A:$A,0)-1&amp;"")),0)+65) &amp; "3"),"")))</f>
        <v/>
      </c>
      <c r="AO2" s="129"/>
      <c r="AP2" s="136" t="str">
        <f ca="1">IF(AQ2&lt;&gt;"","",
IF(AN1&lt;&gt;"",
IFERROR(
INDEX('数出表_Excel（アレルギー入力）'!$4:$4,
 1,
MATCH(AN4,INDIRECT("'数出表_Excel（アレルギー入力）'!"&amp;AM1-1&amp;":"&amp;AM1-1&amp;""),0)),
 "")
&amp;IFERROR(
INDEX('数出表_Excel（アレルギー入力）'!$5:$5,
 1,
MATCH(AN4,INDIRECT("'数出表_Excel（アレルギー入力）'!"&amp;AM1-1&amp;":"&amp;AM1-1&amp;""),0)),
 ""),""))</f>
        <v/>
      </c>
      <c r="AQ2" s="137" t="str">
        <f t="array" aca="1" ref="AQ2" ca="1">IF(AN2&lt;&gt;"",
IF(MATCH(TRUE,
ISNUMBER(--INDIRECT("数出表_Excel!B"&amp;MATCH(AR1,数出表_Excel!$A:$A,0)-1&amp;":U"&amp;MATCH(AR1,数出表_Excel!$A:$A,0)-1&amp;"")),0)&gt;10,
IF(AN2&lt;&gt;"",
IF(IF(COUNTIF('盛付札（関数）'!AN2,"*キャラ*"),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VLOOKUP('盛付札（関数）'!AN2,商品マスタ一覧!$D:$J,7,FALSE)))=0,"",
IF(ROUND(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VLOOKUP('盛付札（関数）'!AN2,商品マスタ一覧!$D:$J,7,FALSE))),0)&lt;=0,1,
ROUND(
IF(AQ7&lt;&gt;"",(AN4-AQ7),AN4)
/IF(COUNTIF('盛付札（関数）'!AN2,"*キャラ*"),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VLOOKUP('盛付札（関数）'!AN2,商品マスタ一覧!$D:$J,7,FALSE))),0))),""),""),"")</f>
        <v/>
      </c>
      <c r="AR2" s="153" t="str">
        <f ca="1">IF(AQ2&lt;&gt;"",IF(VALUE(IF(AQ7&lt;&gt;"",AN4-AQ7,AN4))&gt;VALUE(IF(COUNTIF('盛付札（関数）'!AN2,"*キャラ*"),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
"+"&amp;IF(AQ7&lt;&gt;"",AN4-AQ7,AN4)-IF(COUNTIF('盛付札（関数）'!AN2,"*キャラ*"),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VLOOKUP('盛付札（関数）'!AN2,商品マスタ一覧!$D:$J,7,FALSE)))*AQ2,
IF(AQ7&lt;&gt;"",AN4-AQ7,AN4)-IF(COUNTIF('盛付札（関数）'!AN2,"*キャラ*"),
VLOOKUP("*キャラ*",商品マスタ一覧!$D:$J,7,FALSE),
IF(COUNTIF('盛付札（関数）'!AN2,"*赤*"),
VLOOKUP("*赤*",商品マスタ一覧!$D:$J,7,FALSE),
VLOOKUP('盛付札（関数）'!AN2,商品マスタ一覧!$D:$J,7,FALSE)))*AQ2),"")</f>
        <v/>
      </c>
      <c r="AS2" s="129"/>
      <c r="AT2" s="129"/>
      <c r="AU2" s="135" t="e">
        <f t="array" aca="1" ref="AU2" ca="1">IF(AU3&lt;&gt;100,
IF(AV4&lt;&gt;"",MATCH(AV4,INDIRECT("数出表_Excel!B"&amp;MATCH(AZ1,数出表_Excel!$A:$A,0)-1&amp;":U"&amp;MATCH(AZ1,数出表_Excel!$A:$A,0)-1&amp;""),0)+1,""),
IF(AV4&lt;&gt;"",
MATCH(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2" s="70" t="str">
        <f t="array" aca="1" ref="AV2" ca="1">IF(COUNTIF(AZ1,"*合計*"),"",
IF(IFERROR(INDIRECT("数出表_Excel!" &amp;
CHAR(MATCH(TRUE,
ISNUMBER(--INDIRECT("数出表_Excel!B"&amp;MATCH(AZ1,数出表_Excel!$A:$A,0)-1&amp;":U"&amp;MATCH(AZ1,数出表_Excel!$A:$A,0)-1&amp;"")),0)+65) &amp; "3"),0)=0,"",
IFERROR(INDIRECT("数出表_Excel!" &amp;
CHAR(MATCH(TRUE,
ISNUMBER(--INDIRECT("数出表_Excel!B"&amp;MATCH(AZ1,数出表_Excel!$A:$A,0)-1&amp;":U"&amp;MATCH(AZ1,数出表_Excel!$A:$A,0)-1&amp;"")),0)+65) &amp; "3"),"")))</f>
        <v/>
      </c>
      <c r="AW2" s="129"/>
      <c r="AX2" s="136" t="str">
        <f ca="1">IF(AY2&lt;&gt;"","",
IF(AV1&lt;&gt;"",
IFERROR(
INDEX('数出表_Excel（アレルギー入力）'!$4:$4,
 1,
MATCH(AV4,INDIRECT("'数出表_Excel（アレルギー入力）'!"&amp;AU1-1&amp;":"&amp;AU1-1&amp;""),0)),
 "")
&amp;IFERROR(
INDEX('数出表_Excel（アレルギー入力）'!$5:$5,
 1,
MATCH(AV4,INDIRECT("'数出表_Excel（アレルギー入力）'!"&amp;AU1-1&amp;":"&amp;AU1-1&amp;""),0)),
 ""),""))</f>
        <v/>
      </c>
      <c r="AY2" s="137" t="str">
        <f t="array" aca="1" ref="AY2" ca="1">IF(AV2&lt;&gt;"",
IF(MATCH(TRUE,
ISNUMBER(--INDIRECT("数出表_Excel!B"&amp;MATCH(AZ1,数出表_Excel!$A:$A,0)-1&amp;":U"&amp;MATCH(AZ1,数出表_Excel!$A:$A,0)-1&amp;"")),0)&gt;10,
IF(AV2&lt;&gt;"",
IF(IF(COUNTIF('盛付札（関数）'!AV2,"*キャラ*"),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VLOOKUP('盛付札（関数）'!AV2,商品マスタ一覧!$D:$J,7,FALSE)))=0,"",
IF(ROUND(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VLOOKUP('盛付札（関数）'!AV2,商品マスタ一覧!$D:$J,7,FALSE))),0)&lt;=0,1,
ROUND(
IF(AY7&lt;&gt;"",(AV4-AY7),AV4)
/IF(COUNTIF('盛付札（関数）'!AV2,"*キャラ*"),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VLOOKUP('盛付札（関数）'!AV2,商品マスタ一覧!$D:$J,7,FALSE))),0))),""),""),"")</f>
        <v/>
      </c>
      <c r="AZ2" s="153" t="str">
        <f ca="1">IF(AY2&lt;&gt;"",IF(VALUE(IF(AY7&lt;&gt;"",AV4-AY7,AV4))&gt;VALUE(IF(COUNTIF('盛付札（関数）'!AV2,"*キャラ*"),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
"+"&amp;IF(AY7&lt;&gt;"",AV4-AY7,AV4)-IF(COUNTIF('盛付札（関数）'!AV2,"*キャラ*"),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VLOOKUP('盛付札（関数）'!AV2,商品マスタ一覧!$D:$J,7,FALSE)))*AY2,
IF(AY7&lt;&gt;"",AV4-AY7,AV4)-IF(COUNTIF('盛付札（関数）'!AV2,"*キャラ*"),
VLOOKUP("*キャラ*",商品マスタ一覧!$D:$J,7,FALSE),
IF(COUNTIF('盛付札（関数）'!AV2,"*赤*"),
VLOOKUP("*赤*",商品マスタ一覧!$D:$J,7,FALSE),
VLOOKUP('盛付札（関数）'!AV2,商品マスタ一覧!$D:$J,7,FALSE)))*AY2),"")</f>
        <v/>
      </c>
      <c r="BA2" s="129"/>
      <c r="BB2" s="135" t="e">
        <f t="array" aca="1" ref="BB2" ca="1">IF(BB3&lt;&gt;100,
IF(BC4&lt;&gt;"",MATCH(BC4,INDIRECT("数出表_Excel!B"&amp;MATCH(BG1,数出表_Excel!$A:$A,0)-1&amp;":U"&amp;MATCH(BG1,数出表_Excel!$A:$A,0)-1&amp;""),0)+1,""),
IF(BC4&lt;&gt;"",
MATCH(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2" s="70" t="str">
        <f t="array" aca="1" ref="BC2" ca="1">IF(COUNTIF(BG1,"*合計*"),"",
IF(IFERROR(INDIRECT("数出表_Excel!" &amp;
CHAR(MATCH(TRUE,
ISNUMBER(--INDIRECT("数出表_Excel!B"&amp;MATCH(BG1,数出表_Excel!$A:$A,0)-1&amp;":U"&amp;MATCH(BG1,数出表_Excel!$A:$A,0)-1&amp;"")),0)+65) &amp; "3"),0)=0,"",
IFERROR(INDIRECT("数出表_Excel!" &amp;
CHAR(MATCH(TRUE,
ISNUMBER(--INDIRECT("数出表_Excel!B"&amp;MATCH(BG1,数出表_Excel!$A:$A,0)-1&amp;":U"&amp;MATCH(BG1,数出表_Excel!$A:$A,0)-1&amp;"")),0)+65) &amp; "3"),"")))</f>
        <v/>
      </c>
      <c r="BD2" s="129"/>
      <c r="BE2" s="136" t="str">
        <f ca="1">IF(BF2&lt;&gt;"","",
IF(BC1&lt;&gt;"",
IFERROR(
INDEX('数出表_Excel（アレルギー入力）'!$4:$4,
 1,
MATCH(BC4,INDIRECT("'数出表_Excel（アレルギー入力）'!"&amp;BB1-1&amp;":"&amp;BB1-1&amp;""),0)),
 "")
&amp;IFERROR(
INDEX('数出表_Excel（アレルギー入力）'!$5:$5,
 1,
MATCH(BC4,INDIRECT("'数出表_Excel（アレルギー入力）'!"&amp;BB1-1&amp;":"&amp;BB1-1&amp;""),0)),
 ""),""))</f>
        <v/>
      </c>
      <c r="BF2" s="137" t="str">
        <f t="array" aca="1" ref="BF2" ca="1">IF(BC2&lt;&gt;"",
IF(MATCH(TRUE,
ISNUMBER(--INDIRECT("数出表_Excel!B"&amp;MATCH(BG1,数出表_Excel!$A:$A,0)-1&amp;":U"&amp;MATCH(BG1,数出表_Excel!$A:$A,0)-1&amp;"")),0)&gt;10,
IF(BC2&lt;&gt;"",
IF(IF(COUNTIF('盛付札（関数）'!BC2,"*キャラ*"),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VLOOKUP('盛付札（関数）'!BC2,商品マスタ一覧!$D:$J,7,FALSE)))=0,"",
IF(ROUND(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VLOOKUP('盛付札（関数）'!BC2,商品マスタ一覧!$D:$J,7,FALSE))),0)&lt;=0,1,
ROUND(
IF(BF7&lt;&gt;"",(BC4-BF7),BC4)
/IF(COUNTIF('盛付札（関数）'!BC2,"*キャラ*"),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VLOOKUP('盛付札（関数）'!BC2,商品マスタ一覧!$D:$J,7,FALSE))),0))),""),""),"")</f>
        <v/>
      </c>
      <c r="BG2" s="153" t="str">
        <f ca="1">IF(BF2&lt;&gt;"",IF(VALUE(IF(BF7&lt;&gt;"",BC4-BF7,BC4))&gt;VALUE(IF(COUNTIF('盛付札（関数）'!BC2,"*キャラ*"),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
"+"&amp;IF(BF7&lt;&gt;"",BC4-BF7,BC4)-IF(COUNTIF('盛付札（関数）'!BC2,"*キャラ*"),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VLOOKUP('盛付札（関数）'!BC2,商品マスタ一覧!$D:$J,7,FALSE)))*BF2,
IF(BF7&lt;&gt;"",BC4-BF7,BC4)-IF(COUNTIF('盛付札（関数）'!BC2,"*キャラ*"),
VLOOKUP("*キャラ*",商品マスタ一覧!$D:$J,7,FALSE),
IF(COUNTIF('盛付札（関数）'!BC2,"*赤*"),
VLOOKUP("*赤*",商品マスタ一覧!$D:$J,7,FALSE),
VLOOKUP('盛付札（関数）'!BC2,商品マスタ一覧!$D:$J,7,FALSE)))*BF2),"")</f>
        <v/>
      </c>
      <c r="BH2" s="129"/>
      <c r="BI2" s="129"/>
      <c r="BJ2" s="135" t="e">
        <f t="array" aca="1" ref="BJ2" ca="1">IF(BJ3&lt;&gt;100,
IF(BK4&lt;&gt;"",MATCH(BK4,INDIRECT("数出表_Excel!B"&amp;MATCH(BO1,数出表_Excel!$A:$A,0)-1&amp;":U"&amp;MATCH(BO1,数出表_Excel!$A:$A,0)-1&amp;""),0)+1,""),
IF(BK4&lt;&gt;"",
MATCH(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2" s="70" t="str">
        <f t="array" aca="1" ref="BK2" ca="1">IF(COUNTIF(BO1,"*合計*"),"",
IF(IFERROR(INDIRECT("数出表_Excel!" &amp;
CHAR(MATCH(TRUE,
ISNUMBER(--INDIRECT("数出表_Excel!B"&amp;MATCH(BO1,数出表_Excel!$A:$A,0)-1&amp;":U"&amp;MATCH(BO1,数出表_Excel!$A:$A,0)-1&amp;"")),0)+65) &amp; "3"),0)=0,"",
IFERROR(INDIRECT("数出表_Excel!" &amp;
CHAR(MATCH(TRUE,
ISNUMBER(--INDIRECT("数出表_Excel!B"&amp;MATCH(BO1,数出表_Excel!$A:$A,0)-1&amp;":U"&amp;MATCH(BO1,数出表_Excel!$A:$A,0)-1&amp;"")),0)+65) &amp; "3"),"")))</f>
        <v/>
      </c>
      <c r="BL2" s="129"/>
      <c r="BM2" s="136" t="str">
        <f ca="1">IF(BN2&lt;&gt;"","",
IF(BK1&lt;&gt;"",
IFERROR(
INDEX('数出表_Excel（アレルギー入力）'!$4:$4,
 1,
MATCH(BK4,INDIRECT("'数出表_Excel（アレルギー入力）'!"&amp;BJ1-1&amp;":"&amp;BJ1-1&amp;""),0)),
 "")
&amp;IFERROR(
INDEX('数出表_Excel（アレルギー入力）'!$5:$5,
 1,
MATCH(BK4,INDIRECT("'数出表_Excel（アレルギー入力）'!"&amp;BJ1-1&amp;":"&amp;BJ1-1&amp;""),0)),
 ""),""))</f>
        <v/>
      </c>
      <c r="BN2" s="137" t="str">
        <f t="array" aca="1" ref="BN2" ca="1">IF(BK2&lt;&gt;"",
IF(MATCH(TRUE,
ISNUMBER(--INDIRECT("数出表_Excel!B"&amp;MATCH(BO1,数出表_Excel!$A:$A,0)-1&amp;":U"&amp;MATCH(BO1,数出表_Excel!$A:$A,0)-1&amp;"")),0)&gt;10,
IF(BK2&lt;&gt;"",
IF(IF(COUNTIF('盛付札（関数）'!BK2,"*キャラ*"),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VLOOKUP('盛付札（関数）'!BK2,商品マスタ一覧!$D:$J,7,FALSE)))=0,"",
IF(ROUND(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VLOOKUP('盛付札（関数）'!BK2,商品マスタ一覧!$D:$J,7,FALSE))),0)&lt;=0,1,
ROUND(
IF(BN7&lt;&gt;"",(BK4-BN7),BK4)
/IF(COUNTIF('盛付札（関数）'!BK2,"*キャラ*"),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VLOOKUP('盛付札（関数）'!BK2,商品マスタ一覧!$D:$J,7,FALSE))),0))),""),""),"")</f>
        <v/>
      </c>
      <c r="BO2" s="153" t="str">
        <f ca="1">IF(BN2&lt;&gt;"",IF(VALUE(IF(BN7&lt;&gt;"",BK4-BN7,BK4))&gt;VALUE(IF(COUNTIF('盛付札（関数）'!BK2,"*キャラ*"),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
"+"&amp;IF(BN7&lt;&gt;"",BK4-BN7,BK4)-IF(COUNTIF('盛付札（関数）'!BK2,"*キャラ*"),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VLOOKUP('盛付札（関数）'!BK2,商品マスタ一覧!$D:$J,7,FALSE)))*BN2,
IF(BN7&lt;&gt;"",BK4-BN7,BK4)-IF(COUNTIF('盛付札（関数）'!BK2,"*キャラ*"),
VLOOKUP("*キャラ*",商品マスタ一覧!$D:$J,7,FALSE),
IF(COUNTIF('盛付札（関数）'!BK2,"*赤*"),
VLOOKUP("*赤*",商品マスタ一覧!$D:$J,7,FALSE),
VLOOKUP('盛付札（関数）'!BK2,商品マスタ一覧!$D:$J,7,FALSE)))*BN2),"")</f>
        <v/>
      </c>
      <c r="BP2" s="129"/>
      <c r="BQ2" s="135" t="e">
        <f t="array" aca="1" ref="BQ2" ca="1">IF(BQ3&lt;&gt;100,
IF(BR4&lt;&gt;"",MATCH(BR4,INDIRECT("数出表_Excel!B"&amp;MATCH(BV1,数出表_Excel!$A:$A,0)-1&amp;":U"&amp;MATCH(BV1,数出表_Excel!$A:$A,0)-1&amp;""),0)+1,""),
IF(BR4&lt;&gt;"",
MATCH(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2" s="70" t="str">
        <f t="array" aca="1" ref="BR2" ca="1">IF(COUNTIF(BV1,"*合計*"),"",
IF(IFERROR(INDIRECT("数出表_Excel!" &amp;
CHAR(MATCH(TRUE,
ISNUMBER(--INDIRECT("数出表_Excel!B"&amp;MATCH(BV1,数出表_Excel!$A:$A,0)-1&amp;":U"&amp;MATCH(BV1,数出表_Excel!$A:$A,0)-1&amp;"")),0)+65) &amp; "3"),0)=0,"",
IFERROR(INDIRECT("数出表_Excel!" &amp;
CHAR(MATCH(TRUE,
ISNUMBER(--INDIRECT("数出表_Excel!B"&amp;MATCH(BV1,数出表_Excel!$A:$A,0)-1&amp;":U"&amp;MATCH(BV1,数出表_Excel!$A:$A,0)-1&amp;"")),0)+65) &amp; "3"),"")))</f>
        <v/>
      </c>
      <c r="BS2" s="129"/>
      <c r="BT2" s="136" t="str">
        <f ca="1">IF(BU2&lt;&gt;"","",
IF(BR1&lt;&gt;"",
IFERROR(
INDEX('数出表_Excel（アレルギー入力）'!$4:$4,
 1,
MATCH(BR4,INDIRECT("'数出表_Excel（アレルギー入力）'!"&amp;BQ1-1&amp;":"&amp;BQ1-1&amp;""),0)),
 "")
&amp;IFERROR(
INDEX('数出表_Excel（アレルギー入力）'!$5:$5,
 1,
MATCH(BR4,INDIRECT("'数出表_Excel（アレルギー入力）'!"&amp;BQ1-1&amp;":"&amp;BQ1-1&amp;""),0)),
 ""),""))</f>
        <v/>
      </c>
      <c r="BU2" s="137" t="str">
        <f t="array" aca="1" ref="BU2" ca="1">IF(BR2&lt;&gt;"",
IF(MATCH(TRUE,
ISNUMBER(--INDIRECT("数出表_Excel!B"&amp;MATCH(BV1,数出表_Excel!$A:$A,0)-1&amp;":U"&amp;MATCH(BV1,数出表_Excel!$A:$A,0)-1&amp;"")),0)&gt;10,
IF(BR2&lt;&gt;"",
IF(IF(COUNTIF('盛付札（関数）'!BR2,"*キャラ*"),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VLOOKUP('盛付札（関数）'!BR2,商品マスタ一覧!$D:$J,7,FALSE)))=0,"",
IF(ROUND(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VLOOKUP('盛付札（関数）'!BR2,商品マスタ一覧!$D:$J,7,FALSE))),0)&lt;=0,1,
ROUND(
IF(BU7&lt;&gt;"",(BR4-BU7),BR4)
/IF(COUNTIF('盛付札（関数）'!BR2,"*キャラ*"),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VLOOKUP('盛付札（関数）'!BR2,商品マスタ一覧!$D:$J,7,FALSE))),0))),""),""),"")</f>
        <v/>
      </c>
      <c r="BV2" s="153" t="str">
        <f ca="1">IF(BU2&lt;&gt;"",IF(VALUE(IF(BU7&lt;&gt;"",BR4-BU7,BR4))&gt;VALUE(IF(COUNTIF('盛付札（関数）'!BR2,"*キャラ*"),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
"+"&amp;IF(BU7&lt;&gt;"",BR4-BU7,BR4)-IF(COUNTIF('盛付札（関数）'!BR2,"*キャラ*"),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VLOOKUP('盛付札（関数）'!BR2,商品マスタ一覧!$D:$J,7,FALSE)))*BU2,
IF(BU7&lt;&gt;"",BR4-BU7,BR4)-IF(COUNTIF('盛付札（関数）'!BR2,"*キャラ*"),
VLOOKUP("*キャラ*",商品マスタ一覧!$D:$J,7,FALSE),
IF(COUNTIF('盛付札（関数）'!BR2,"*赤*"),
VLOOKUP("*赤*",商品マスタ一覧!$D:$J,7,FALSE),
VLOOKUP('盛付札（関数）'!BR2,商品マスタ一覧!$D:$J,7,FALSE)))*BU2),"")</f>
        <v/>
      </c>
      <c r="BW2" s="129"/>
      <c r="BX2" s="132">
        <v>42</v>
      </c>
      <c r="BY2" s="132" t="str">
        <f t="array" aca="1" ref="BY2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LEN(SUBSTITUTE(_xlfn.FORMULATEXT(BY$1),"=","")))+$BX2)</f>
        <v/>
      </c>
      <c r="BZ2" s="132" t="str">
        <f t="array" aca="1" ref="BZ2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LEN(SUBSTITUTE(_xlfn.FORMULATEXT(BZ$1),"=","")))+$BX2)</f>
        <v/>
      </c>
      <c r="CA2" s="132" t="str">
        <f t="array" aca="1" ref="CA2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LEN(SUBSTITUTE(_xlfn.FORMULATEXT(CA$1),"=","")))+$BX2)</f>
        <v/>
      </c>
      <c r="CB2" s="132" t="str">
        <f t="array" aca="1" ref="CB2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LEN(SUBSTITUTE(_xlfn.FORMULATEXT(CB$1),"=","")))+$BX2)</f>
        <v/>
      </c>
      <c r="CC2" s="132" t="str">
        <f t="array" aca="1" ref="CC2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LEN(SUBSTITUTE(_xlfn.FORMULATEXT(CC$1),"=","")))+$BX2)</f>
        <v/>
      </c>
      <c r="CD2" s="132" t="str">
        <f t="array" aca="1" ref="CD2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LEN(SUBSTITUTE(_xlfn.FORMULATEXT(CD$1),"=","")))+$BX2)</f>
        <v/>
      </c>
      <c r="CE2" s="132" t="str">
        <f t="array" aca="1" ref="CE2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LEN(SUBSTITUTE(_xlfn.FORMULATEXT(CE$1),"=","")))+$BX2)</f>
        <v/>
      </c>
      <c r="CF2" s="132" t="str">
        <f t="array" aca="1" ref="CF2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LEN(SUBSTITUTE(_xlfn.FORMULATEXT(CF$1),"=","")))+$BX2)</f>
        <v/>
      </c>
      <c r="CG2" s="132" t="str">
        <f t="array" aca="1" ref="CG2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LEN(SUBSTITUTE(_xlfn.FORMULATEXT(CG$1),"=","")))+$BX2)</f>
        <v/>
      </c>
      <c r="CH2" s="132" t="str">
        <f t="array" aca="1" ref="CH2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LEN(SUBSTITUTE(_xlfn.FORMULATEXT(CH$1),"=","")))+$BX2)</f>
        <v/>
      </c>
      <c r="CI2" s="132">
        <f t="shared" ca="1" si="0"/>
        <v>0</v>
      </c>
      <c r="CJ2" s="132" t="b">
        <f t="array" aca="1" ref="CJ2" ca="1">SUMPRODUCT((LEN(BY2:CH2)&gt;0)*1)&gt;0</f>
        <v>0</v>
      </c>
      <c r="CK2" s="132" cm="1">
        <f t="array" aca="1" ref="CK2" ca="1">IFERROR(SMALL(IF(CI$1:CI$150&lt;&gt;0,CI$1:CI$150),ROW(A2)),"")</f>
        <v>122</v>
      </c>
      <c r="CL2" s="132" t="str" cm="1">
        <f t="array" aca="1" ref="CL2" ca="1">IF($CK2&lt;&gt;"",
INDIRECT(""&amp;IF(COLUMN(BY2)&lt;=26,CHAR(COLUMN(BY2)+64),CHAR(INT((COLUMN(BY2)-1)/26)+64)&amp;CHAR(MOD(COLUMN(BY2)-1,26)+65))&amp;$CK2&amp;""),"")</f>
        <v>新日本製薬</v>
      </c>
      <c r="CM2" s="132" cm="1">
        <f t="array" aca="1" ref="CM2" ca="1">IF($CK2&lt;&gt;"",
INDIRECT(""&amp;IF(COLUMN(BZ2)&lt;=26,CHAR(COLUMN(BZ2)+64),CHAR(INT((COLUMN(BZ2)-1)/26)+64)&amp;CHAR(MOD(COLUMN(BZ2)-1,26)+65))&amp;$CK2&amp;""),"")</f>
        <v>0</v>
      </c>
      <c r="CN2" s="132" cm="1">
        <f t="array" aca="1" ref="CN2" ca="1">IF($CK2&lt;&gt;"",
INDIRECT(""&amp;IF(COLUMN(CA2)&lt;=26,CHAR(COLUMN(CA2)+64),CHAR(INT((COLUMN(CA2)-1)/26)+64)&amp;CHAR(MOD(COLUMN(CA2)-1,26)+65))&amp;$CK2&amp;""),"")</f>
        <v>0</v>
      </c>
      <c r="CO2" s="132" cm="1">
        <f t="array" aca="1" ref="CO2" ca="1">IF($CK2&lt;&gt;"",
INDIRECT(""&amp;IF(COLUMN(CB2)&lt;=26,CHAR(COLUMN(CB2)+64),CHAR(INT((COLUMN(CB2)-1)/26)+64)&amp;CHAR(MOD(COLUMN(CB2)-1,26)+65))&amp;$CK2&amp;""),"")</f>
        <v>0</v>
      </c>
      <c r="CP2" s="132" t="e" cm="1">
        <f t="array" aca="1" ref="CP2" ca="1">IF($CK2&lt;&gt;"",
INDIRECT(""&amp;IF(COLUMN(CC2)&lt;=26,CHAR(COLUMN(CC2)+64),CHAR(INT((COLUMN(CC2)-1)/26)+64)&amp;CHAR(MOD(COLUMN(CC2)-1,26)+65))&amp;$CK2&amp;""),"")</f>
        <v>#N/A</v>
      </c>
      <c r="CQ2" s="132">
        <f t="array" aca="1" ref="CQ2" ca="1">IF($CK2&lt;&gt;"",
INDIRECT(""&amp;IF(COLUMN(CD2)&lt;=26,CHAR(COLUMN(CD2)+64),CHAR(INT((COLUMN(CD2)-1)/26)+64)&amp;CHAR(MOD(COLUMN(CD2)-1,26)+65))&amp;$CK2&amp;""),"")</f>
        <v>0</v>
      </c>
      <c r="CR2" s="132">
        <f t="array" aca="1" ref="CR2" ca="1">IF($CK2&lt;&gt;"",
INDIRECT(""&amp;IF(COLUMN(CE2)&lt;=26,CHAR(COLUMN(CE2)+64),CHAR(INT((COLUMN(CE2)-1)/26)+64)&amp;CHAR(MOD(COLUMN(CE2)-1,26)+65))&amp;$CK2&amp;""),"")</f>
        <v>0</v>
      </c>
      <c r="CS2" s="132">
        <f t="array" aca="1" ref="CS2" ca="1">IF($CK2&lt;&gt;"",
INDIRECT(""&amp;IF(COLUMN(CF2)&lt;=26,CHAR(COLUMN(CF2)+64),CHAR(INT((COLUMN(CF2)-1)/26)+64)&amp;CHAR(MOD(COLUMN(CF2)-1,26)+65))&amp;$CK2&amp;""),"")</f>
        <v>0</v>
      </c>
      <c r="CT2" s="132">
        <f t="array" aca="1" ref="CT2" ca="1">IF($CK2&lt;&gt;"",
INDIRECT(""&amp;IF(COLUMN(CG2)&lt;=26,CHAR(COLUMN(CG2)+64),CHAR(INT((COLUMN(CG2)-1)/26)+64)&amp;CHAR(MOD(COLUMN(CG2)-1,26)+65))&amp;$CK2&amp;""),"")</f>
        <v>0</v>
      </c>
      <c r="CU2" s="132">
        <f t="array" aca="1" ref="CU2" ca="1">IF($CK2&lt;&gt;"",
INDIRECT(""&amp;IF(COLUMN(CH2)&lt;=26,CHAR(COLUMN(CH2)+64),CHAR(INT((COLUMN(CH2)-1)/26)+64)&amp;CHAR(MOD(COLUMN(CH2)-1,26)+65))&amp;$CK2&amp;""),"")</f>
        <v>0</v>
      </c>
    </row>
    <row r="3" spans="1:99" s="132" customFormat="1" ht="22.2" customHeight="1" x14ac:dyDescent="0.55000000000000004">
      <c r="A3" s="129"/>
      <c r="B3" s="138" t="e" cm="1">
        <f t="array" aca="1" ref="B3" ca="1">IF(AND(LEFT(G1,2)="博多",
LEFT(INDIRECT("数出表_Excel!A"&amp;MATCH(G1,数出表_Excel!$A:$A,0)-1),2)
=LEFT(INDIRECT("数出表_Excel!A"&amp;MATCH(G1,数出表_Excel!$A:$A,0)+1),2)),100,
IF(AND(LEFT(G1,3)="奈良屋",
LEFT(INDIRECT("数出表_Excel!A"&amp;MATCH(G1,数出表_Excel!$A:$A,0)-1),2)
=LEFT(INDIRECT("数出表_Excel!A"&amp;MATCH(G1,数出表_Excel!$A:$A,0)+1),2)),200,""))</f>
        <v>#N/A</v>
      </c>
      <c r="C3" s="139" t="str">
        <f ca="1">IF(C2&lt;&gt;"",
"園児","")</f>
        <v/>
      </c>
      <c r="D3" s="140"/>
      <c r="E3" s="141" t="str">
        <f ca="1">IF(C2&lt;&gt;"",
"先生","")</f>
        <v/>
      </c>
      <c r="F3" s="140"/>
      <c r="G3" s="159"/>
      <c r="H3" s="129"/>
      <c r="I3" s="138" t="e">
        <f t="array" aca="1" ref="I3" ca="1">IF(AND(LEFT(N1,2)="博多",
LEFT(INDIRECT("数出表_Excel!A"&amp;MATCH(N1,数出表_Excel!$A:$A,0)-1),2)
=LEFT(INDIRECT("数出表_Excel!A"&amp;MATCH(N1,数出表_Excel!$A:$A,0)+1),2)),100,
IF(AND(LEFT(N1,3)="奈良屋",
LEFT(INDIRECT("数出表_Excel!A"&amp;MATCH(N1,数出表_Excel!$A:$A,0)-1),2)
=LEFT(INDIRECT("数出表_Excel!A"&amp;MATCH(N1,数出表_Excel!$A:$A,0)+1),2)),200,""))</f>
        <v>#VALUE!</v>
      </c>
      <c r="J3" s="139" t="str">
        <f ca="1">IF(J2&lt;&gt;"",
"園児","")</f>
        <v/>
      </c>
      <c r="K3" s="140"/>
      <c r="L3" s="141" t="str">
        <f ca="1">IF(J2&lt;&gt;"",
"先生","")</f>
        <v/>
      </c>
      <c r="M3" s="140"/>
      <c r="N3" s="154"/>
      <c r="O3" s="129"/>
      <c r="P3" s="129"/>
      <c r="Q3" s="138" t="e">
        <f t="array" aca="1" ref="Q3" ca="1">IF(AND(LEFT(V1,2)="博多",
LEFT(INDIRECT("数出表_Excel!A"&amp;MATCH(V1,数出表_Excel!$A:$A,0)-1),2)
=LEFT(INDIRECT("数出表_Excel!A"&amp;MATCH(V1,数出表_Excel!$A:$A,0)+1),2)),100,
IF(AND(LEFT(V1,3)="奈良屋",
LEFT(INDIRECT("数出表_Excel!A"&amp;MATCH(V1,数出表_Excel!$A:$A,0)-1),2)
=LEFT(INDIRECT("数出表_Excel!A"&amp;MATCH(V1,数出表_Excel!$A:$A,0)+1),2)),200,""))</f>
        <v>#VALUE!</v>
      </c>
      <c r="R3" s="139" t="str">
        <f ca="1">IF(R2&lt;&gt;"",
"園児","")</f>
        <v/>
      </c>
      <c r="S3" s="140"/>
      <c r="T3" s="141" t="str">
        <f ca="1">IF(R2&lt;&gt;"",
"先生","")</f>
        <v/>
      </c>
      <c r="U3" s="140"/>
      <c r="V3" s="154"/>
      <c r="W3" s="129"/>
      <c r="X3" s="138" t="e">
        <f t="array" aca="1" ref="X3" ca="1">IF(AND(LEFT(AC1,2)="博多",
LEFT(INDIRECT("数出表_Excel!A"&amp;MATCH(AC1,数出表_Excel!$A:$A,0)-1),2)
=LEFT(INDIRECT("数出表_Excel!A"&amp;MATCH(AC1,数出表_Excel!$A:$A,0)+1),2)),100,
IF(AND(LEFT(AC1,3)="奈良屋",
LEFT(INDIRECT("数出表_Excel!A"&amp;MATCH(AC1,数出表_Excel!$A:$A,0)-1),2)
=LEFT(INDIRECT("数出表_Excel!A"&amp;MATCH(AC1,数出表_Excel!$A:$A,0)+1),2)),200,""))</f>
        <v>#VALUE!</v>
      </c>
      <c r="Y3" s="139" t="str">
        <f ca="1">IF(Y2&lt;&gt;"",
"園児","")</f>
        <v/>
      </c>
      <c r="Z3" s="140"/>
      <c r="AA3" s="141" t="str">
        <f ca="1">IF(Y2&lt;&gt;"",
"先生","")</f>
        <v/>
      </c>
      <c r="AB3" s="140"/>
      <c r="AC3" s="154"/>
      <c r="AD3" s="129"/>
      <c r="AE3" s="129"/>
      <c r="AF3" s="138" t="e">
        <f t="array" aca="1" ref="AF3" ca="1">IF(AND(LEFT(AK1,2)="博多",
LEFT(INDIRECT("数出表_Excel!A"&amp;MATCH(AK1,数出表_Excel!$A:$A,0)-1),2)
=LEFT(INDIRECT("数出表_Excel!A"&amp;MATCH(AK1,数出表_Excel!$A:$A,0)+1),2)),100,
IF(AND(LEFT(AK1,3)="奈良屋",
LEFT(INDIRECT("数出表_Excel!A"&amp;MATCH(AK1,数出表_Excel!$A:$A,0)-1),2)
=LEFT(INDIRECT("数出表_Excel!A"&amp;MATCH(AK1,数出表_Excel!$A:$A,0)+1),2)),200,""))</f>
        <v>#VALUE!</v>
      </c>
      <c r="AG3" s="139" t="str">
        <f ca="1">IF(AG2&lt;&gt;"",
"園児","")</f>
        <v/>
      </c>
      <c r="AH3" s="140"/>
      <c r="AI3" s="141" t="str">
        <f ca="1">IF(AG2&lt;&gt;"",
"先生","")</f>
        <v/>
      </c>
      <c r="AJ3" s="140"/>
      <c r="AK3" s="154"/>
      <c r="AL3" s="129"/>
      <c r="AM3" s="138" t="e">
        <f t="array" aca="1" ref="AM3" ca="1">IF(AND(LEFT(AR1,2)="博多",
LEFT(INDIRECT("数出表_Excel!A"&amp;MATCH(AR1,数出表_Excel!$A:$A,0)-1),2)
=LEFT(INDIRECT("数出表_Excel!A"&amp;MATCH(AR1,数出表_Excel!$A:$A,0)+1),2)),100,
IF(AND(LEFT(AR1,3)="奈良屋",
LEFT(INDIRECT("数出表_Excel!A"&amp;MATCH(AR1,数出表_Excel!$A:$A,0)-1),2)
=LEFT(INDIRECT("数出表_Excel!A"&amp;MATCH(AR1,数出表_Excel!$A:$A,0)+1),2)),200,""))</f>
        <v>#VALUE!</v>
      </c>
      <c r="AN3" s="139" t="str">
        <f ca="1">IF(AN2&lt;&gt;"",
"園児","")</f>
        <v/>
      </c>
      <c r="AO3" s="140"/>
      <c r="AP3" s="141" t="str">
        <f ca="1">IF(AN2&lt;&gt;"",
"先生","")</f>
        <v/>
      </c>
      <c r="AQ3" s="140"/>
      <c r="AR3" s="154"/>
      <c r="AS3" s="129"/>
      <c r="AT3" s="129"/>
      <c r="AU3" s="138" t="e">
        <f t="array" aca="1" ref="AU3" ca="1">IF(AND(LEFT(AZ1,2)="博多",
LEFT(INDIRECT("数出表_Excel!A"&amp;MATCH(AZ1,数出表_Excel!$A:$A,0)-1),2)
=LEFT(INDIRECT("数出表_Excel!A"&amp;MATCH(AZ1,数出表_Excel!$A:$A,0)+1),2)),100,
IF(AND(LEFT(AZ1,3)="奈良屋",
LEFT(INDIRECT("数出表_Excel!A"&amp;MATCH(AZ1,数出表_Excel!$A:$A,0)-1),2)
=LEFT(INDIRECT("数出表_Excel!A"&amp;MATCH(AZ1,数出表_Excel!$A:$A,0)+1),2)),200,""))</f>
        <v>#VALUE!</v>
      </c>
      <c r="AV3" s="139" t="str">
        <f ca="1">IF(AV2&lt;&gt;"",
"園児","")</f>
        <v/>
      </c>
      <c r="AW3" s="140"/>
      <c r="AX3" s="141" t="str">
        <f ca="1">IF(AV2&lt;&gt;"",
"先生","")</f>
        <v/>
      </c>
      <c r="AY3" s="140"/>
      <c r="AZ3" s="154"/>
      <c r="BA3" s="129"/>
      <c r="BB3" s="138" t="e">
        <f t="array" aca="1" ref="BB3" ca="1">IF(AND(LEFT(BG1,2)="博多",
LEFT(INDIRECT("数出表_Excel!A"&amp;MATCH(BG1,数出表_Excel!$A:$A,0)-1),2)
=LEFT(INDIRECT("数出表_Excel!A"&amp;MATCH(BG1,数出表_Excel!$A:$A,0)+1),2)),100,
IF(AND(LEFT(BG1,3)="奈良屋",
LEFT(INDIRECT("数出表_Excel!A"&amp;MATCH(BG1,数出表_Excel!$A:$A,0)-1),2)
=LEFT(INDIRECT("数出表_Excel!A"&amp;MATCH(BG1,数出表_Excel!$A:$A,0)+1),2)),200,""))</f>
        <v>#VALUE!</v>
      </c>
      <c r="BC3" s="139" t="str">
        <f ca="1">IF(BC2&lt;&gt;"",
"園児","")</f>
        <v/>
      </c>
      <c r="BD3" s="140"/>
      <c r="BE3" s="141" t="str">
        <f ca="1">IF(BC2&lt;&gt;"",
"先生","")</f>
        <v/>
      </c>
      <c r="BF3" s="140"/>
      <c r="BG3" s="154"/>
      <c r="BH3" s="129"/>
      <c r="BI3" s="129"/>
      <c r="BJ3" s="138" t="e">
        <f t="array" aca="1" ref="BJ3" ca="1">IF(AND(LEFT(BO1,2)="博多",
LEFT(INDIRECT("数出表_Excel!A"&amp;MATCH(BO1,数出表_Excel!$A:$A,0)-1),2)
=LEFT(INDIRECT("数出表_Excel!A"&amp;MATCH(BO1,数出表_Excel!$A:$A,0)+1),2)),100,
IF(AND(LEFT(BO1,3)="奈良屋",
LEFT(INDIRECT("数出表_Excel!A"&amp;MATCH(BO1,数出表_Excel!$A:$A,0)-1),2)
=LEFT(INDIRECT("数出表_Excel!A"&amp;MATCH(BO1,数出表_Excel!$A:$A,0)+1),2)),200,""))</f>
        <v>#VALUE!</v>
      </c>
      <c r="BK3" s="139" t="str">
        <f ca="1">IF(BK2&lt;&gt;"",
"園児","")</f>
        <v/>
      </c>
      <c r="BL3" s="140"/>
      <c r="BM3" s="141" t="str">
        <f ca="1">IF(BK2&lt;&gt;"",
"先生","")</f>
        <v/>
      </c>
      <c r="BN3" s="140"/>
      <c r="BO3" s="154"/>
      <c r="BP3" s="129"/>
      <c r="BQ3" s="138" t="e">
        <f t="array" aca="1" ref="BQ3" ca="1">IF(AND(LEFT(BV1,2)="博多",
LEFT(INDIRECT("数出表_Excel!A"&amp;MATCH(BV1,数出表_Excel!$A:$A,0)-1),2)
=LEFT(INDIRECT("数出表_Excel!A"&amp;MATCH(BV1,数出表_Excel!$A:$A,0)+1),2)),100,
IF(AND(LEFT(BV1,3)="奈良屋",
LEFT(INDIRECT("数出表_Excel!A"&amp;MATCH(BV1,数出表_Excel!$A:$A,0)-1),2)
=LEFT(INDIRECT("数出表_Excel!A"&amp;MATCH(BV1,数出表_Excel!$A:$A,0)+1),2)),200,""))</f>
        <v>#VALUE!</v>
      </c>
      <c r="BR3" s="139" t="str">
        <f ca="1">IF(BR2&lt;&gt;"",
"園児","")</f>
        <v/>
      </c>
      <c r="BS3" s="140"/>
      <c r="BT3" s="141" t="str">
        <f ca="1">IF(BR2&lt;&gt;"",
"先生","")</f>
        <v/>
      </c>
      <c r="BU3" s="140"/>
      <c r="BV3" s="154"/>
      <c r="BW3" s="129"/>
      <c r="BY3" s="133" t="str">
        <f ca="1">J1</f>
        <v/>
      </c>
      <c r="BZ3" s="133" t="str">
        <f ca="1">J2</f>
        <v/>
      </c>
      <c r="CA3" s="133" t="str">
        <f ca="1">L2</f>
        <v/>
      </c>
      <c r="CB3" s="134" t="str">
        <f ca="1">M2</f>
        <v/>
      </c>
      <c r="CC3" s="133" t="str">
        <f ca="1">J4</f>
        <v/>
      </c>
      <c r="CD3" s="133" t="str">
        <f ca="1">L4</f>
        <v/>
      </c>
      <c r="CE3" s="133" t="str">
        <f ca="1">J6</f>
        <v/>
      </c>
      <c r="CF3" s="133" t="str">
        <f ca="1">I7</f>
        <v/>
      </c>
      <c r="CG3" s="133" t="str">
        <f ca="1">K7</f>
        <v/>
      </c>
      <c r="CH3" s="133" t="str">
        <f ca="1">M7</f>
        <v/>
      </c>
      <c r="CI3" s="132">
        <f t="shared" ca="1" si="0"/>
        <v>0</v>
      </c>
      <c r="CJ3" s="132" t="b">
        <f t="array" aca="1" ref="CJ3" ca="1">SUMPRODUCT((LEN(BY3:CH3)&gt;0)*1)&gt;0</f>
        <v>0</v>
      </c>
      <c r="CK3" s="132" cm="1">
        <f t="array" aca="1" ref="CK3" ca="1">IFERROR(SMALL(IF(CI$1:CI$150&lt;&gt;0,CI$1:CI$150),ROW(A3)),"")</f>
        <v>123</v>
      </c>
      <c r="CL3" s="132" t="str">
        <f t="array" aca="1" ref="CL3" ca="1">IF($CK3&lt;&gt;"",
INDIRECT(""&amp;IF(COLUMN(BY3)&lt;=26,CHAR(COLUMN(BY3)+64),CHAR(INT((COLUMN(BY3)-1)/26)+64)&amp;CHAR(MOD(COLUMN(BY3)-1,26)+65))&amp;$CK3&amp;""),"")</f>
        <v>配送</v>
      </c>
      <c r="CM3" s="132">
        <f t="array" aca="1" ref="CM3" ca="1">IF($CK3&lt;&gt;"",
INDIRECT(""&amp;IF(COLUMN(BZ3)&lt;=26,CHAR(COLUMN(BZ3)+64),CHAR(INT((COLUMN(BZ3)-1)/26)+64)&amp;CHAR(MOD(COLUMN(BZ3)-1,26)+65))&amp;$CK3&amp;""),"")</f>
        <v>0</v>
      </c>
      <c r="CN3" s="132">
        <f t="array" aca="1" ref="CN3" ca="1">IF($CK3&lt;&gt;"",
INDIRECT(""&amp;IF(COLUMN(CA3)&lt;=26,CHAR(COLUMN(CA3)+64),CHAR(INT((COLUMN(CA3)-1)/26)+64)&amp;CHAR(MOD(COLUMN(CA3)-1,26)+65))&amp;$CK3&amp;""),"")</f>
        <v>0</v>
      </c>
      <c r="CO3" s="132">
        <f t="array" aca="1" ref="CO3" ca="1">IF($CK3&lt;&gt;"",
INDIRECT(""&amp;IF(COLUMN(CB3)&lt;=26,CHAR(COLUMN(CB3)+64),CHAR(INT((COLUMN(CB3)-1)/26)+64)&amp;CHAR(MOD(COLUMN(CB3)-1,26)+65))&amp;$CK3&amp;""),"")</f>
        <v>0</v>
      </c>
      <c r="CP3" s="132">
        <f t="array" aca="1" ref="CP3" ca="1">IF($CK3&lt;&gt;"",
INDIRECT(""&amp;IF(COLUMN(CC3)&lt;=26,CHAR(COLUMN(CC3)+64),CHAR(INT((COLUMN(CC3)-1)/26)+64)&amp;CHAR(MOD(COLUMN(CC3)-1,26)+65))&amp;$CK3&amp;""),"")</f>
        <v>2</v>
      </c>
      <c r="CQ3" s="132">
        <f t="array" aca="1" ref="CQ3" ca="1">IF($CK3&lt;&gt;"",
INDIRECT(""&amp;IF(COLUMN(CD3)&lt;=26,CHAR(COLUMN(CD3)+64),CHAR(INT((COLUMN(CD3)-1)/26)+64)&amp;CHAR(MOD(COLUMN(CD3)-1,26)+65))&amp;$CK3&amp;""),"")</f>
        <v>0</v>
      </c>
      <c r="CR3" s="132">
        <f t="array" aca="1" ref="CR3" ca="1">IF($CK3&lt;&gt;"",
INDIRECT(""&amp;IF(COLUMN(CE3)&lt;=26,CHAR(COLUMN(CE3)+64),CHAR(INT((COLUMN(CE3)-1)/26)+64)&amp;CHAR(MOD(COLUMN(CE3)-1,26)+65))&amp;$CK3&amp;""),"")</f>
        <v>0</v>
      </c>
      <c r="CS3" s="132">
        <f t="array" aca="1" ref="CS3" ca="1">IF($CK3&lt;&gt;"",
INDIRECT(""&amp;IF(COLUMN(CF3)&lt;=26,CHAR(COLUMN(CF3)+64),CHAR(INT((COLUMN(CF3)-1)/26)+64)&amp;CHAR(MOD(COLUMN(CF3)-1,26)+65))&amp;$CK3&amp;""),"")</f>
        <v>0</v>
      </c>
      <c r="CT3" s="132">
        <f t="array" aca="1" ref="CT3" ca="1">IF($CK3&lt;&gt;"",
INDIRECT(""&amp;IF(COLUMN(CG3)&lt;=26,CHAR(COLUMN(CG3)+64),CHAR(INT((COLUMN(CG3)-1)/26)+64)&amp;CHAR(MOD(COLUMN(CG3)-1,26)+65))&amp;$CK3&amp;""),"")</f>
        <v>0</v>
      </c>
      <c r="CU3" s="132">
        <f t="array" aca="1" ref="CU3" ca="1">IF($CK3&lt;&gt;"",
INDIRECT(""&amp;IF(COLUMN(CH3)&lt;=26,CHAR(COLUMN(CH3)+64),CHAR(INT((COLUMN(CH3)-1)/26)+64)&amp;CHAR(MOD(COLUMN(CH3)-1,26)+65))&amp;$CK3&amp;""),"")</f>
        <v>0</v>
      </c>
    </row>
    <row r="4" spans="1:99" ht="18" customHeight="1" x14ac:dyDescent="0.45">
      <c r="B4" s="143"/>
      <c r="C4" s="120" t="str" cm="1">
        <f t="array" aca="1" ref="C4" ca="1">IF(C2&lt;&gt;"",
IF(IFERROR(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"")=0,"",
IF(B3=100,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IF(AND(B3=200,COUNTIF(数出表_Excel!$A:$A,"*奈良屋*")=2),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""),
IF(AND(B3=200,COUNTIF(数出表_Excel!$A:$A,"*奈良屋*")=3),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
+IFERROR(
INDEX(INDIRECT("数出表_Excel!B"&amp;MATCH(G1,数出表_Excel!$A:$A,0)-1+2&amp;":U"&amp;MATCH(G1,数出表_Excel!$A:$A,0)-1+2&amp;""),
 1,
 MATCH(TRUE, ISNUMBER(--INDIRECT("数出表_Excel!B"&amp;MATCH(G1,数出表_Excel!$A:$A,0)-1+2&amp;":U"&amp;MATCH(G1,数出表_Excel!$A:$A,0)-1+2&amp;"")), 0)),
 "")
+IFERROR(
INDEX(INDIRECT("数出表_Excel!B"&amp;MATCH(G1,数出表_Excel!$A:$A,0)-1+4&amp;":U"&amp;MATCH(G1,数出表_Excel!$A:$A,0)-1+4&amp;""),
 1,
 MATCH(TRUE, ISNUMBER(--INDIRECT("数出表_Excel!B"&amp;MATCH(G1,数出表_Excel!$A:$A,0)-1+4&amp;":U"&amp;MATCH(G1,数出表_Excel!$A:$A,0)-1+4&amp;"")), 0)),
 ""),
IFERROR(
INDEX(INDIRECT("数出表_Excel!B"&amp;MATCH(G1,数出表_Excel!$A:$A,0)-1&amp;":U"&amp;MATCH(G1,数出表_Excel!$A:$A,0)-1&amp;""),
 1,
 MATCH(TRUE, ISNUMBER(--INDIRECT("数出表_Excel!B"&amp;MATCH(G1,数出表_Excel!$A:$A,0)-1&amp;":U"&amp;MATCH(G1,数出表_Excel!$A:$A,0)-1&amp;"")), 0)),
 ""))))),"")</f>
        <v/>
      </c>
      <c r="D4" s="144"/>
      <c r="E4" s="145" t="str">
        <f t="array" aca="1" ref="E4" ca="1">IF(C2&lt;&gt;"",
IF(IFERROR(
INDEX(INDIRECT("数出表_Excel!B"&amp;MATCH(G1,数出表_Excel!$A:$A,0)&amp;":U"&amp;MATCH(G1,数出表_Excel!$A:$A,0)&amp;""),
 1,B2-1),
 "")=0,"",
IFERROR(
INDEX(INDIRECT("数出表_Excel!B"&amp;MATCH(G1,数出表_Excel!$A:$A,0)&amp;":U"&amp;MATCH(G1,数出表_Excel!$A:$A,0)&amp;""),
 1,B2-1),
 "")),"")</f>
        <v/>
      </c>
      <c r="F4" s="144"/>
      <c r="G4" s="159"/>
      <c r="I4" s="143"/>
      <c r="J4" s="120" t="str">
        <f t="array" aca="1" ref="J4" ca="1">IF(J2&lt;&gt;"",
IF(IFERROR(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"")=0,"",
IF(I3=100,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IF(AND(I3=200,COUNTIF(数出表_Excel!$A:$A,"*奈良屋*")=2),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""),
IF(AND(I3=200,COUNTIF(数出表_Excel!$A:$A,"*奈良屋*")=3),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
+IFERROR(
INDEX(INDIRECT("数出表_Excel!B"&amp;MATCH(N1,数出表_Excel!$A:$A,0)-1+2&amp;":U"&amp;MATCH(N1,数出表_Excel!$A:$A,0)-1+2&amp;""),
 1,
 MATCH(TRUE, ISNUMBER(--INDIRECT("数出表_Excel!B"&amp;MATCH(N1,数出表_Excel!$A:$A,0)-1+2&amp;":U"&amp;MATCH(N1,数出表_Excel!$A:$A,0)-1+2&amp;"")), 0)),
 "")
+IFERROR(
INDEX(INDIRECT("数出表_Excel!B"&amp;MATCH(N1,数出表_Excel!$A:$A,0)-1+4&amp;":U"&amp;MATCH(N1,数出表_Excel!$A:$A,0)-1+4&amp;""),
 1,
 MATCH(TRUE, ISNUMBER(--INDIRECT("数出表_Excel!B"&amp;MATCH(N1,数出表_Excel!$A:$A,0)-1+4&amp;":U"&amp;MATCH(N1,数出表_Excel!$A:$A,0)-1+4&amp;"")), 0)),
 ""),
IFERROR(
INDEX(INDIRECT("数出表_Excel!B"&amp;MATCH(N1,数出表_Excel!$A:$A,0)-1&amp;":U"&amp;MATCH(N1,数出表_Excel!$A:$A,0)-1&amp;""),
 1,
 MATCH(TRUE, ISNUMBER(--INDIRECT("数出表_Excel!B"&amp;MATCH(N1,数出表_Excel!$A:$A,0)-1&amp;":U"&amp;MATCH(N1,数出表_Excel!$A:$A,0)-1&amp;"")), 0)),
 ""))))),"")</f>
        <v/>
      </c>
      <c r="K4" s="144"/>
      <c r="L4" s="145" t="str">
        <f t="array" aca="1" ref="L4" ca="1">IF(J2&lt;&gt;"",
IF(IFERROR(
INDEX(INDIRECT("数出表_Excel!B"&amp;MATCH(N1,数出表_Excel!$A:$A,0)&amp;":U"&amp;MATCH(N1,数出表_Excel!$A:$A,0)&amp;""),
 1,I2-1),
 "")=0,"",
IFERROR(
INDEX(INDIRECT("数出表_Excel!B"&amp;MATCH(N1,数出表_Excel!$A:$A,0)&amp;":U"&amp;MATCH(N1,数出表_Excel!$A:$A,0)&amp;""),
 1,I2-1),
 "")),"")</f>
        <v/>
      </c>
      <c r="M4" s="144"/>
      <c r="N4" s="154"/>
      <c r="Q4" s="143"/>
      <c r="R4" s="120" t="str">
        <f t="array" aca="1" ref="R4" ca="1">IF(R2&lt;&gt;"",
IF(IFERROR(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"")=0,"",
IF(Q3=100,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IF(AND(Q3=200,COUNTIF(数出表_Excel!$A:$A,"*奈良屋*")=2),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""),
IF(AND(Q3=200,COUNTIF(数出表_Excel!$A:$A,"*奈良屋*")=3),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
+IFERROR(
INDEX(INDIRECT("数出表_Excel!B"&amp;MATCH(V1,数出表_Excel!$A:$A,0)-1+2&amp;":U"&amp;MATCH(V1,数出表_Excel!$A:$A,0)-1+2&amp;""),
 1,
 MATCH(TRUE, ISNUMBER(--INDIRECT("数出表_Excel!B"&amp;MATCH(V1,数出表_Excel!$A:$A,0)-1+2&amp;":U"&amp;MATCH(V1,数出表_Excel!$A:$A,0)-1+2&amp;"")), 0)),
 "")
+IFERROR(
INDEX(INDIRECT("数出表_Excel!B"&amp;MATCH(V1,数出表_Excel!$A:$A,0)-1+4&amp;":U"&amp;MATCH(V1,数出表_Excel!$A:$A,0)-1+4&amp;""),
 1,
 MATCH(TRUE, ISNUMBER(--INDIRECT("数出表_Excel!B"&amp;MATCH(V1,数出表_Excel!$A:$A,0)-1+4&amp;":U"&amp;MATCH(V1,数出表_Excel!$A:$A,0)-1+4&amp;"")), 0)),
 ""),
IFERROR(
INDEX(INDIRECT("数出表_Excel!B"&amp;MATCH(V1,数出表_Excel!$A:$A,0)-1&amp;":U"&amp;MATCH(V1,数出表_Excel!$A:$A,0)-1&amp;""),
 1,
 MATCH(TRUE, ISNUMBER(--INDIRECT("数出表_Excel!B"&amp;MATCH(V1,数出表_Excel!$A:$A,0)-1&amp;":U"&amp;MATCH(V1,数出表_Excel!$A:$A,0)-1&amp;"")), 0)),
 ""))))),"")</f>
        <v/>
      </c>
      <c r="S4" s="144"/>
      <c r="T4" s="145" t="str">
        <f t="array" aca="1" ref="T4" ca="1">IF(R2&lt;&gt;"",
IF(IFERROR(
INDEX(INDIRECT("数出表_Excel!B"&amp;MATCH(V1,数出表_Excel!$A:$A,0)&amp;":U"&amp;MATCH(V1,数出表_Excel!$A:$A,0)&amp;""),
 1,Q2-1),
 "")=0,"",
IFERROR(
INDEX(INDIRECT("数出表_Excel!B"&amp;MATCH(V1,数出表_Excel!$A:$A,0)&amp;":U"&amp;MATCH(V1,数出表_Excel!$A:$A,0)&amp;""),
 1,Q2-1),
 "")),"")</f>
        <v/>
      </c>
      <c r="U4" s="144"/>
      <c r="V4" s="154"/>
      <c r="X4" s="143"/>
      <c r="Y4" s="120" t="str">
        <f t="array" aca="1" ref="Y4" ca="1">IF(Y2&lt;&gt;"",
IF(IFERROR(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"")=0,"",
IF(X3=100,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IF(AND(X3=200,COUNTIF(数出表_Excel!$A:$A,"*奈良屋*")=2),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""),
IF(AND(X3=200,COUNTIF(数出表_Excel!$A:$A,"*奈良屋*")=3),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
+IFERROR(
INDEX(INDIRECT("数出表_Excel!B"&amp;MATCH(AC1,数出表_Excel!$A:$A,0)-1+2&amp;":U"&amp;MATCH(AC1,数出表_Excel!$A:$A,0)-1+2&amp;""),
 1,
 MATCH(TRUE, ISNUMBER(--INDIRECT("数出表_Excel!B"&amp;MATCH(AC1,数出表_Excel!$A:$A,0)-1+2&amp;":U"&amp;MATCH(AC1,数出表_Excel!$A:$A,0)-1+2&amp;"")), 0)),
 "")
+IFERROR(
INDEX(INDIRECT("数出表_Excel!B"&amp;MATCH(AC1,数出表_Excel!$A:$A,0)-1+4&amp;":U"&amp;MATCH(AC1,数出表_Excel!$A:$A,0)-1+4&amp;""),
 1,
 MATCH(TRUE, ISNUMBER(--INDIRECT("数出表_Excel!B"&amp;MATCH(AC1,数出表_Excel!$A:$A,0)-1+4&amp;":U"&amp;MATCH(AC1,数出表_Excel!$A:$A,0)-1+4&amp;"")), 0)),
 ""),
IFERROR(
INDEX(INDIRECT("数出表_Excel!B"&amp;MATCH(AC1,数出表_Excel!$A:$A,0)-1&amp;":U"&amp;MATCH(AC1,数出表_Excel!$A:$A,0)-1&amp;""),
 1,
 MATCH(TRUE, ISNUMBER(--INDIRECT("数出表_Excel!B"&amp;MATCH(AC1,数出表_Excel!$A:$A,0)-1&amp;":U"&amp;MATCH(AC1,数出表_Excel!$A:$A,0)-1&amp;"")), 0)),
 ""))))),"")</f>
        <v/>
      </c>
      <c r="Z4" s="144"/>
      <c r="AA4" s="145" t="str">
        <f t="array" aca="1" ref="AA4" ca="1">IF(Y2&lt;&gt;"",
IF(IFERROR(
INDEX(INDIRECT("数出表_Excel!B"&amp;MATCH(AC1,数出表_Excel!$A:$A,0)&amp;":U"&amp;MATCH(AC1,数出表_Excel!$A:$A,0)&amp;""),
 1,X2-1),
 "")=0,"",
IFERROR(
INDEX(INDIRECT("数出表_Excel!B"&amp;MATCH(AC1,数出表_Excel!$A:$A,0)&amp;":U"&amp;MATCH(AC1,数出表_Excel!$A:$A,0)&amp;""),
 1,X2-1),
 "")),"")</f>
        <v/>
      </c>
      <c r="AB4" s="144"/>
      <c r="AC4" s="154"/>
      <c r="AF4" s="143"/>
      <c r="AG4" s="120" t="str">
        <f t="array" aca="1" ref="AG4" ca="1">IF(AG2&lt;&gt;"",
IF(IFERROR(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"")=0,"",
IF(AF3=100,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IF(AND(AF3=200,COUNTIF(数出表_Excel!$A:$A,"*奈良屋*")=2),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""),
IF(AND(AF3=200,COUNTIF(数出表_Excel!$A:$A,"*奈良屋*")=3),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
+IFERROR(
INDEX(INDIRECT("数出表_Excel!B"&amp;MATCH(AK1,数出表_Excel!$A:$A,0)-1+2&amp;":U"&amp;MATCH(AK1,数出表_Excel!$A:$A,0)-1+2&amp;""),
 1,
 MATCH(TRUE, ISNUMBER(--INDIRECT("数出表_Excel!B"&amp;MATCH(AK1,数出表_Excel!$A:$A,0)-1+2&amp;":U"&amp;MATCH(AK1,数出表_Excel!$A:$A,0)-1+2&amp;"")), 0)),
 "")
+IFERROR(
INDEX(INDIRECT("数出表_Excel!B"&amp;MATCH(AK1,数出表_Excel!$A:$A,0)-1+4&amp;":U"&amp;MATCH(AK1,数出表_Excel!$A:$A,0)-1+4&amp;""),
 1,
 MATCH(TRUE, ISNUMBER(--INDIRECT("数出表_Excel!B"&amp;MATCH(AK1,数出表_Excel!$A:$A,0)-1+4&amp;":U"&amp;MATCH(AK1,数出表_Excel!$A:$A,0)-1+4&amp;"")), 0)),
 ""),
IFERROR(
INDEX(INDIRECT("数出表_Excel!B"&amp;MATCH(AK1,数出表_Excel!$A:$A,0)-1&amp;":U"&amp;MATCH(AK1,数出表_Excel!$A:$A,0)-1&amp;""),
 1,
 MATCH(TRUE, ISNUMBER(--INDIRECT("数出表_Excel!B"&amp;MATCH(AK1,数出表_Excel!$A:$A,0)-1&amp;":U"&amp;MATCH(AK1,数出表_Excel!$A:$A,0)-1&amp;"")), 0)),
 ""))))),"")</f>
        <v/>
      </c>
      <c r="AH4" s="144"/>
      <c r="AI4" s="145" t="str">
        <f t="array" aca="1" ref="AI4" ca="1">IF(AG2&lt;&gt;"",
IF(IFERROR(
INDEX(INDIRECT("数出表_Excel!B"&amp;MATCH(AK1,数出表_Excel!$A:$A,0)&amp;":U"&amp;MATCH(AK1,数出表_Excel!$A:$A,0)&amp;""),
 1,AF2-1),
 "")=0,"",
IFERROR(
INDEX(INDIRECT("数出表_Excel!B"&amp;MATCH(AK1,数出表_Excel!$A:$A,0)&amp;":U"&amp;MATCH(AK1,数出表_Excel!$A:$A,0)&amp;""),
 1,AF2-1),
 "")),"")</f>
        <v/>
      </c>
      <c r="AJ4" s="144"/>
      <c r="AK4" s="154"/>
      <c r="AM4" s="143"/>
      <c r="AN4" s="120" t="str">
        <f t="array" aca="1" ref="AN4" ca="1">IF(AN2&lt;&gt;"",
IF(IFERROR(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"")=0,"",
IF(AM3=100,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IF(AND(AM3=200,COUNTIF(数出表_Excel!$A:$A,"*奈良屋*")=2),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""),
IF(AND(AM3=200,COUNTIF(数出表_Excel!$A:$A,"*奈良屋*")=3),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
+IFERROR(
INDEX(INDIRECT("数出表_Excel!B"&amp;MATCH(AR1,数出表_Excel!$A:$A,0)-1+2&amp;":U"&amp;MATCH(AR1,数出表_Excel!$A:$A,0)-1+2&amp;""),
 1,
 MATCH(TRUE, ISNUMBER(--INDIRECT("数出表_Excel!B"&amp;MATCH(AR1,数出表_Excel!$A:$A,0)-1+2&amp;":U"&amp;MATCH(AR1,数出表_Excel!$A:$A,0)-1+2&amp;"")), 0)),
 "")
+IFERROR(
INDEX(INDIRECT("数出表_Excel!B"&amp;MATCH(AR1,数出表_Excel!$A:$A,0)-1+4&amp;":U"&amp;MATCH(AR1,数出表_Excel!$A:$A,0)-1+4&amp;""),
 1,
 MATCH(TRUE, ISNUMBER(--INDIRECT("数出表_Excel!B"&amp;MATCH(AR1,数出表_Excel!$A:$A,0)-1+4&amp;":U"&amp;MATCH(AR1,数出表_Excel!$A:$A,0)-1+4&amp;"")), 0)),
 ""),
IFERROR(
INDEX(INDIRECT("数出表_Excel!B"&amp;MATCH(AR1,数出表_Excel!$A:$A,0)-1&amp;":U"&amp;MATCH(AR1,数出表_Excel!$A:$A,0)-1&amp;""),
 1,
 MATCH(TRUE, ISNUMBER(--INDIRECT("数出表_Excel!B"&amp;MATCH(AR1,数出表_Excel!$A:$A,0)-1&amp;":U"&amp;MATCH(AR1,数出表_Excel!$A:$A,0)-1&amp;"")), 0)),
 ""))))),"")</f>
        <v/>
      </c>
      <c r="AO4" s="144"/>
      <c r="AP4" s="145" t="str">
        <f t="array" aca="1" ref="AP4" ca="1">IF(AN2&lt;&gt;"",
IF(IFERROR(
INDEX(INDIRECT("数出表_Excel!B"&amp;MATCH(AR1,数出表_Excel!$A:$A,0)&amp;":U"&amp;MATCH(AR1,数出表_Excel!$A:$A,0)&amp;""),
 1,AM2-1),
 "")=0,"",
IFERROR(
INDEX(INDIRECT("数出表_Excel!B"&amp;MATCH(AR1,数出表_Excel!$A:$A,0)&amp;":U"&amp;MATCH(AR1,数出表_Excel!$A:$A,0)&amp;""),
 1,AM2-1),
 "")),"")</f>
        <v/>
      </c>
      <c r="AQ4" s="144"/>
      <c r="AR4" s="154"/>
      <c r="AU4" s="143"/>
      <c r="AV4" s="120" t="str">
        <f t="array" aca="1" ref="AV4" ca="1">IF(AV2&lt;&gt;"",
IF(IFERROR(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"")=0,"",
IF(AU3=100,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IF(AND(AU3=200,COUNTIF(数出表_Excel!$A:$A,"*奈良屋*")=2),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""),
IF(AND(AU3=200,COUNTIF(数出表_Excel!$A:$A,"*奈良屋*")=3),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
+IFERROR(
INDEX(INDIRECT("数出表_Excel!B"&amp;MATCH(AZ1,数出表_Excel!$A:$A,0)-1+2&amp;":U"&amp;MATCH(AZ1,数出表_Excel!$A:$A,0)-1+2&amp;""),
 1,
 MATCH(TRUE, ISNUMBER(--INDIRECT("数出表_Excel!B"&amp;MATCH(AZ1,数出表_Excel!$A:$A,0)-1+2&amp;":U"&amp;MATCH(AZ1,数出表_Excel!$A:$A,0)-1+2&amp;"")), 0)),
 "")
+IFERROR(
INDEX(INDIRECT("数出表_Excel!B"&amp;MATCH(AZ1,数出表_Excel!$A:$A,0)-1+4&amp;":U"&amp;MATCH(AZ1,数出表_Excel!$A:$A,0)-1+4&amp;""),
 1,
 MATCH(TRUE, ISNUMBER(--INDIRECT("数出表_Excel!B"&amp;MATCH(AZ1,数出表_Excel!$A:$A,0)-1+4&amp;":U"&amp;MATCH(AZ1,数出表_Excel!$A:$A,0)-1+4&amp;"")), 0)),
 ""),
IFERROR(
INDEX(INDIRECT("数出表_Excel!B"&amp;MATCH(AZ1,数出表_Excel!$A:$A,0)-1&amp;":U"&amp;MATCH(AZ1,数出表_Excel!$A:$A,0)-1&amp;""),
 1,
 MATCH(TRUE, ISNUMBER(--INDIRECT("数出表_Excel!B"&amp;MATCH(AZ1,数出表_Excel!$A:$A,0)-1&amp;":U"&amp;MATCH(AZ1,数出表_Excel!$A:$A,0)-1&amp;"")), 0)),
 ""))))),"")</f>
        <v/>
      </c>
      <c r="AW4" s="144"/>
      <c r="AX4" s="145" t="str">
        <f t="array" aca="1" ref="AX4" ca="1">IF(AV2&lt;&gt;"",
IF(IFERROR(
INDEX(INDIRECT("数出表_Excel!B"&amp;MATCH(AZ1,数出表_Excel!$A:$A,0)&amp;":U"&amp;MATCH(AZ1,数出表_Excel!$A:$A,0)&amp;""),
 1,AU2-1),
 "")=0,"",
IFERROR(
INDEX(INDIRECT("数出表_Excel!B"&amp;MATCH(AZ1,数出表_Excel!$A:$A,0)&amp;":U"&amp;MATCH(AZ1,数出表_Excel!$A:$A,0)&amp;""),
 1,AU2-1),
 "")),"")</f>
        <v/>
      </c>
      <c r="AY4" s="144"/>
      <c r="AZ4" s="154"/>
      <c r="BB4" s="143"/>
      <c r="BC4" s="120" t="str">
        <f t="array" aca="1" ref="BC4" ca="1">IF(BC2&lt;&gt;"",
IF(IFERROR(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"")=0,"",
IF(BB3=100,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IF(AND(BB3=200,COUNTIF(数出表_Excel!$A:$A,"*奈良屋*")=2),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""),
IF(AND(BB3=200,COUNTIF(数出表_Excel!$A:$A,"*奈良屋*")=3),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
+IFERROR(
INDEX(INDIRECT("数出表_Excel!B"&amp;MATCH(BG1,数出表_Excel!$A:$A,0)-1+2&amp;":U"&amp;MATCH(BG1,数出表_Excel!$A:$A,0)-1+2&amp;""),
 1,
 MATCH(TRUE, ISNUMBER(--INDIRECT("数出表_Excel!B"&amp;MATCH(BG1,数出表_Excel!$A:$A,0)-1+2&amp;":U"&amp;MATCH(BG1,数出表_Excel!$A:$A,0)-1+2&amp;"")), 0)),
 "")
+IFERROR(
INDEX(INDIRECT("数出表_Excel!B"&amp;MATCH(BG1,数出表_Excel!$A:$A,0)-1+4&amp;":U"&amp;MATCH(BG1,数出表_Excel!$A:$A,0)-1+4&amp;""),
 1,
 MATCH(TRUE, ISNUMBER(--INDIRECT("数出表_Excel!B"&amp;MATCH(BG1,数出表_Excel!$A:$A,0)-1+4&amp;":U"&amp;MATCH(BG1,数出表_Excel!$A:$A,0)-1+4&amp;"")), 0)),
 ""),
IFERROR(
INDEX(INDIRECT("数出表_Excel!B"&amp;MATCH(BG1,数出表_Excel!$A:$A,0)-1&amp;":U"&amp;MATCH(BG1,数出表_Excel!$A:$A,0)-1&amp;""),
 1,
 MATCH(TRUE, ISNUMBER(--INDIRECT("数出表_Excel!B"&amp;MATCH(BG1,数出表_Excel!$A:$A,0)-1&amp;":U"&amp;MATCH(BG1,数出表_Excel!$A:$A,0)-1&amp;"")), 0)),
 ""))))),"")</f>
        <v/>
      </c>
      <c r="BD4" s="144"/>
      <c r="BE4" s="145" t="str">
        <f t="array" aca="1" ref="BE4" ca="1">IF(BC2&lt;&gt;"",
IF(IFERROR(
INDEX(INDIRECT("数出表_Excel!B"&amp;MATCH(BG1,数出表_Excel!$A:$A,0)&amp;":U"&amp;MATCH(BG1,数出表_Excel!$A:$A,0)&amp;""),
 1,BB2-1),
 "")=0,"",
IFERROR(
INDEX(INDIRECT("数出表_Excel!B"&amp;MATCH(BG1,数出表_Excel!$A:$A,0)&amp;":U"&amp;MATCH(BG1,数出表_Excel!$A:$A,0)&amp;""),
 1,BB2-1),
 "")),"")</f>
        <v/>
      </c>
      <c r="BF4" s="144"/>
      <c r="BG4" s="154"/>
      <c r="BJ4" s="143"/>
      <c r="BK4" s="120" t="str">
        <f t="array" aca="1" ref="BK4" ca="1">IF(BK2&lt;&gt;"",
IF(IFERROR(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"")=0,"",
IF(BJ3=100,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IF(AND(BJ3=200,COUNTIF(数出表_Excel!$A:$A,"*奈良屋*")=2),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""),
IF(AND(BJ3=200,COUNTIF(数出表_Excel!$A:$A,"*奈良屋*")=3),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
+IFERROR(
INDEX(INDIRECT("数出表_Excel!B"&amp;MATCH(BO1,数出表_Excel!$A:$A,0)-1+2&amp;":U"&amp;MATCH(BO1,数出表_Excel!$A:$A,0)-1+2&amp;""),
 1,
 MATCH(TRUE, ISNUMBER(--INDIRECT("数出表_Excel!B"&amp;MATCH(BO1,数出表_Excel!$A:$A,0)-1+2&amp;":U"&amp;MATCH(BO1,数出表_Excel!$A:$A,0)-1+2&amp;"")), 0)),
 "")
+IFERROR(
INDEX(INDIRECT("数出表_Excel!B"&amp;MATCH(BO1,数出表_Excel!$A:$A,0)-1+4&amp;":U"&amp;MATCH(BO1,数出表_Excel!$A:$A,0)-1+4&amp;""),
 1,
 MATCH(TRUE, ISNUMBER(--INDIRECT("数出表_Excel!B"&amp;MATCH(BO1,数出表_Excel!$A:$A,0)-1+4&amp;":U"&amp;MATCH(BO1,数出表_Excel!$A:$A,0)-1+4&amp;"")), 0)),
 ""),
IFERROR(
INDEX(INDIRECT("数出表_Excel!B"&amp;MATCH(BO1,数出表_Excel!$A:$A,0)-1&amp;":U"&amp;MATCH(BO1,数出表_Excel!$A:$A,0)-1&amp;""),
 1,
 MATCH(TRUE, ISNUMBER(--INDIRECT("数出表_Excel!B"&amp;MATCH(BO1,数出表_Excel!$A:$A,0)-1&amp;":U"&amp;MATCH(BO1,数出表_Excel!$A:$A,0)-1&amp;"")), 0)),
 ""))))),"")</f>
        <v/>
      </c>
      <c r="BL4" s="144"/>
      <c r="BM4" s="145" t="str">
        <f t="array" aca="1" ref="BM4" ca="1">IF(BK2&lt;&gt;"",
IF(IFERROR(
INDEX(INDIRECT("数出表_Excel!B"&amp;MATCH(BO1,数出表_Excel!$A:$A,0)&amp;":U"&amp;MATCH(BO1,数出表_Excel!$A:$A,0)&amp;""),
 1,BJ2-1),
 "")=0,"",
IFERROR(
INDEX(INDIRECT("数出表_Excel!B"&amp;MATCH(BO1,数出表_Excel!$A:$A,0)&amp;":U"&amp;MATCH(BO1,数出表_Excel!$A:$A,0)&amp;""),
 1,BJ2-1),
 "")),"")</f>
        <v/>
      </c>
      <c r="BN4" s="144"/>
      <c r="BO4" s="154"/>
      <c r="BQ4" s="143"/>
      <c r="BR4" s="120" t="str">
        <f t="array" aca="1" ref="BR4" ca="1">IF(BR2&lt;&gt;"",
IF(IFERROR(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"")=0,"",
IF(BQ3=100,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IF(AND(BQ3=200,COUNTIF(数出表_Excel!$A:$A,"*奈良屋*")=2),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""),
IF(AND(BQ3=200,COUNTIF(数出表_Excel!$A:$A,"*奈良屋*")=3),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
+IFERROR(
INDEX(INDIRECT("数出表_Excel!B"&amp;MATCH(BV1,数出表_Excel!$A:$A,0)-1+2&amp;":U"&amp;MATCH(BV1,数出表_Excel!$A:$A,0)-1+2&amp;""),
 1,
 MATCH(TRUE, ISNUMBER(--INDIRECT("数出表_Excel!B"&amp;MATCH(BV1,数出表_Excel!$A:$A,0)-1+2&amp;":U"&amp;MATCH(BV1,数出表_Excel!$A:$A,0)-1+2&amp;"")), 0)),
 "")
+IFERROR(
INDEX(INDIRECT("数出表_Excel!B"&amp;MATCH(BV1,数出表_Excel!$A:$A,0)-1+4&amp;":U"&amp;MATCH(BV1,数出表_Excel!$A:$A,0)-1+4&amp;""),
 1,
 MATCH(TRUE, ISNUMBER(--INDIRECT("数出表_Excel!B"&amp;MATCH(BV1,数出表_Excel!$A:$A,0)-1+4&amp;":U"&amp;MATCH(BV1,数出表_Excel!$A:$A,0)-1+4&amp;"")), 0)),
 ""),
IFERROR(
INDEX(INDIRECT("数出表_Excel!B"&amp;MATCH(BV1,数出表_Excel!$A:$A,0)-1&amp;":U"&amp;MATCH(BV1,数出表_Excel!$A:$A,0)-1&amp;""),
 1,
 MATCH(TRUE, ISNUMBER(--INDIRECT("数出表_Excel!B"&amp;MATCH(BV1,数出表_Excel!$A:$A,0)-1&amp;":U"&amp;MATCH(BV1,数出表_Excel!$A:$A,0)-1&amp;"")), 0)),
 ""))))),"")</f>
        <v/>
      </c>
      <c r="BS4" s="144"/>
      <c r="BT4" s="145" t="str">
        <f t="array" aca="1" ref="BT4" ca="1">IF(BR2&lt;&gt;"",
IF(IFERROR(
INDEX(INDIRECT("数出表_Excel!B"&amp;MATCH(BV1,数出表_Excel!$A:$A,0)&amp;":U"&amp;MATCH(BV1,数出表_Excel!$A:$A,0)&amp;""),
 1,BQ2-1),
 "")=0,"",
IFERROR(
INDEX(INDIRECT("数出表_Excel!B"&amp;MATCH(BV1,数出表_Excel!$A:$A,0)&amp;":U"&amp;MATCH(BV1,数出表_Excel!$A:$A,0)&amp;""),
 1,BQ2-1),
 "")),"")</f>
        <v/>
      </c>
      <c r="BU4" s="144"/>
      <c r="BV4" s="154"/>
      <c r="BX4" s="132">
        <v>42</v>
      </c>
      <c r="BY4" s="132" t="str">
        <f t="array" aca="1" ref="BY4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LEN(SUBSTITUTE(_xlfn.FORMULATEXT(BY$3),"=","")))+$BX4)</f>
        <v/>
      </c>
      <c r="BZ4" s="132" t="str">
        <f t="array" aca="1" ref="BZ4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LEN(SUBSTITUTE(_xlfn.FORMULATEXT(BZ$3),"=","")))+$BX4)</f>
        <v/>
      </c>
      <c r="CA4" s="132" t="str">
        <f t="array" aca="1" ref="CA4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LEN(SUBSTITUTE(_xlfn.FORMULATEXT(CA$3),"=","")))+$BX4)</f>
        <v/>
      </c>
      <c r="CB4" s="132" t="str">
        <f t="array" aca="1" ref="CB4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LEN(SUBSTITUTE(_xlfn.FORMULATEXT(CB$3),"=","")))+$BX4)</f>
        <v/>
      </c>
      <c r="CC4" s="132" t="str">
        <f t="array" aca="1" ref="CC4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LEN(SUBSTITUTE(_xlfn.FORMULATEXT(CC$3),"=","")))+$BX4)</f>
        <v/>
      </c>
      <c r="CD4" s="132" t="str">
        <f t="array" aca="1" ref="CD4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LEN(SUBSTITUTE(_xlfn.FORMULATEXT(CD$3),"=","")))+$BX4)</f>
        <v/>
      </c>
      <c r="CE4" s="132" t="str">
        <f t="array" aca="1" ref="CE4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LEN(SUBSTITUTE(_xlfn.FORMULATEXT(CE$3),"=","")))+$BX4)</f>
        <v/>
      </c>
      <c r="CF4" s="132" t="str">
        <f t="array" aca="1" ref="CF4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LEN(SUBSTITUTE(_xlfn.FORMULATEXT(CF$3),"=","")))+$BX4)</f>
        <v/>
      </c>
      <c r="CG4" s="132" t="str">
        <f t="array" aca="1" ref="CG4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LEN(SUBSTITUTE(_xlfn.FORMULATEXT(CG$3),"=","")))+$BX4)</f>
        <v/>
      </c>
      <c r="CH4" s="132" t="str">
        <f t="array" aca="1" ref="CH4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LEN(SUBSTITUTE(_xlfn.FORMULATEXT(CH$3),"=","")))+$BX4)</f>
        <v/>
      </c>
      <c r="CI4" s="132">
        <f t="shared" ca="1" si="0"/>
        <v>0</v>
      </c>
      <c r="CJ4" s="132" t="b">
        <f t="array" aca="1" ref="CJ4" ca="1">SUMPRODUCT((LEN(BY4:CH4)&gt;0)*1)&gt;0</f>
        <v>0</v>
      </c>
      <c r="CK4" s="132" cm="1">
        <f t="array" aca="1" ref="CK4" ca="1">IFERROR(SMALL(IF(CI$1:CI$150&lt;&gt;0,CI$1:CI$150),ROW(A4)),"")</f>
        <v>124</v>
      </c>
      <c r="CL4" s="132" t="e">
        <f t="array" aca="1" ref="CL4" ca="1">IF($CK4&lt;&gt;"",
INDIRECT(""&amp;IF(COLUMN(BY4)&lt;=26,CHAR(COLUMN(BY4)+64),CHAR(INT((COLUMN(BY4)-1)/26)+64)&amp;CHAR(MOD(COLUMN(BY4)-1,26)+65))&amp;$CK4&amp;""),"")</f>
        <v>#N/A</v>
      </c>
      <c r="CM4" s="132">
        <f t="array" aca="1" ref="CM4" ca="1">IF($CK4&lt;&gt;"",
INDIRECT(""&amp;IF(COLUMN(BZ4)&lt;=26,CHAR(COLUMN(BZ4)+64),CHAR(INT((COLUMN(BZ4)-1)/26)+64)&amp;CHAR(MOD(COLUMN(BZ4)-1,26)+65))&amp;$CK4&amp;""),"")</f>
        <v>0</v>
      </c>
      <c r="CN4" s="132">
        <f t="array" aca="1" ref="CN4" ca="1">IF($CK4&lt;&gt;"",
INDIRECT(""&amp;IF(COLUMN(CA4)&lt;=26,CHAR(COLUMN(CA4)+64),CHAR(INT((COLUMN(CA4)-1)/26)+64)&amp;CHAR(MOD(COLUMN(CA4)-1,26)+65))&amp;$CK4&amp;""),"")</f>
        <v>0</v>
      </c>
      <c r="CO4" s="132">
        <f t="array" aca="1" ref="CO4" ca="1">IF($CK4&lt;&gt;"",
INDIRECT(""&amp;IF(COLUMN(CB4)&lt;=26,CHAR(COLUMN(CB4)+64),CHAR(INT((COLUMN(CB4)-1)/26)+64)&amp;CHAR(MOD(COLUMN(CB4)-1,26)+65))&amp;$CK4&amp;""),"")</f>
        <v>0</v>
      </c>
      <c r="CP4" s="132" t="e">
        <f t="array" aca="1" ref="CP4" ca="1">IF($CK4&lt;&gt;"",
INDIRECT(""&amp;IF(COLUMN(CC4)&lt;=26,CHAR(COLUMN(CC4)+64),CHAR(INT((COLUMN(CC4)-1)/26)+64)&amp;CHAR(MOD(COLUMN(CC4)-1,26)+65))&amp;$CK4&amp;""),"")</f>
        <v>#N/A</v>
      </c>
      <c r="CQ4" s="132">
        <f t="array" aca="1" ref="CQ4" ca="1">IF($CK4&lt;&gt;"",
INDIRECT(""&amp;IF(COLUMN(CD4)&lt;=26,CHAR(COLUMN(CD4)+64),CHAR(INT((COLUMN(CD4)-1)/26)+64)&amp;CHAR(MOD(COLUMN(CD4)-1,26)+65))&amp;$CK4&amp;""),"")</f>
        <v>0</v>
      </c>
      <c r="CR4" s="132">
        <f t="array" aca="1" ref="CR4" ca="1">IF($CK4&lt;&gt;"",
INDIRECT(""&amp;IF(COLUMN(CE4)&lt;=26,CHAR(COLUMN(CE4)+64),CHAR(INT((COLUMN(CE4)-1)/26)+64)&amp;CHAR(MOD(COLUMN(CE4)-1,26)+65))&amp;$CK4&amp;""),"")</f>
        <v>0</v>
      </c>
      <c r="CS4" s="132">
        <f t="array" aca="1" ref="CS4" ca="1">IF($CK4&lt;&gt;"",
INDIRECT(""&amp;IF(COLUMN(CF4)&lt;=26,CHAR(COLUMN(CF4)+64),CHAR(INT((COLUMN(CF4)-1)/26)+64)&amp;CHAR(MOD(COLUMN(CF4)-1,26)+65))&amp;$CK4&amp;""),"")</f>
        <v>0</v>
      </c>
      <c r="CT4" s="132">
        <f t="array" aca="1" ref="CT4" ca="1">IF($CK4&lt;&gt;"",
INDIRECT(""&amp;IF(COLUMN(CG4)&lt;=26,CHAR(COLUMN(CG4)+64),CHAR(INT((COLUMN(CG4)-1)/26)+64)&amp;CHAR(MOD(COLUMN(CG4)-1,26)+65))&amp;$CK4&amp;""),"")</f>
        <v>0</v>
      </c>
      <c r="CU4" s="132">
        <f t="array" aca="1" ref="CU4" ca="1">IF($CK4&lt;&gt;"",
INDIRECT(""&amp;IF(COLUMN(CH4)&lt;=26,CHAR(COLUMN(CH4)+64),CHAR(INT((COLUMN(CH4)-1)/26)+64)&amp;CHAR(MOD(COLUMN(CH4)-1,26)+65))&amp;$CK4&amp;""),"")</f>
        <v>0</v>
      </c>
    </row>
    <row r="5" spans="1:99" ht="18" customHeight="1" x14ac:dyDescent="0.45">
      <c r="B5" s="147"/>
      <c r="C5" s="148"/>
      <c r="D5" s="148"/>
      <c r="E5" s="148"/>
      <c r="F5" s="148"/>
      <c r="G5" s="160"/>
      <c r="I5" s="147"/>
      <c r="J5" s="148"/>
      <c r="K5" s="148"/>
      <c r="L5" s="148"/>
      <c r="M5" s="148"/>
      <c r="N5" s="155"/>
      <c r="Q5" s="147"/>
      <c r="R5" s="148"/>
      <c r="S5" s="148"/>
      <c r="T5" s="148"/>
      <c r="U5" s="148"/>
      <c r="V5" s="155"/>
      <c r="X5" s="147"/>
      <c r="Y5" s="148"/>
      <c r="Z5" s="148"/>
      <c r="AA5" s="148"/>
      <c r="AB5" s="148"/>
      <c r="AC5" s="155"/>
      <c r="AF5" s="147"/>
      <c r="AG5" s="148"/>
      <c r="AH5" s="148"/>
      <c r="AI5" s="148"/>
      <c r="AJ5" s="148"/>
      <c r="AK5" s="155"/>
      <c r="AM5" s="147"/>
      <c r="AN5" s="148"/>
      <c r="AO5" s="148"/>
      <c r="AP5" s="148"/>
      <c r="AQ5" s="148"/>
      <c r="AR5" s="155"/>
      <c r="AU5" s="147"/>
      <c r="AV5" s="148"/>
      <c r="AW5" s="148"/>
      <c r="AX5" s="148"/>
      <c r="AY5" s="148"/>
      <c r="AZ5" s="155"/>
      <c r="BB5" s="147"/>
      <c r="BC5" s="148"/>
      <c r="BD5" s="148"/>
      <c r="BE5" s="148"/>
      <c r="BF5" s="148"/>
      <c r="BG5" s="155"/>
      <c r="BJ5" s="147"/>
      <c r="BK5" s="148"/>
      <c r="BL5" s="148"/>
      <c r="BM5" s="148"/>
      <c r="BN5" s="148"/>
      <c r="BO5" s="155"/>
      <c r="BQ5" s="147"/>
      <c r="BR5" s="148"/>
      <c r="BS5" s="148"/>
      <c r="BT5" s="148"/>
      <c r="BU5" s="148"/>
      <c r="BV5" s="155"/>
      <c r="BX5" s="146">
        <v>7</v>
      </c>
      <c r="BY5" s="132" t="str">
        <f t="array" aca="1" ref="BY5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LEN(SUBSTITUTE(_xlfn.FORMULATEXT(BY$1),"=","")))+$BX5)</f>
        <v/>
      </c>
      <c r="BZ5" s="132" t="str">
        <f t="array" aca="1" ref="BZ5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LEN(SUBSTITUTE(_xlfn.FORMULATEXT(BZ$1),"=","")))+$BX5)</f>
        <v/>
      </c>
      <c r="CA5" s="132" t="str">
        <f t="array" aca="1" ref="CA5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LEN(SUBSTITUTE(_xlfn.FORMULATEXT(CA$1),"=","")))+$BX5)</f>
        <v/>
      </c>
      <c r="CB5" s="132" t="str">
        <f t="array" aca="1" ref="CB5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LEN(SUBSTITUTE(_xlfn.FORMULATEXT(CB$1),"=","")))+$BX5)</f>
        <v/>
      </c>
      <c r="CC5" s="132" t="str">
        <f t="array" aca="1" ref="CC5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LEN(SUBSTITUTE(_xlfn.FORMULATEXT(CC$1),"=","")))+$BX5)</f>
        <v/>
      </c>
      <c r="CD5" s="132" t="str">
        <f t="array" aca="1" ref="CD5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LEN(SUBSTITUTE(_xlfn.FORMULATEXT(CD$1),"=","")))+$BX5)</f>
        <v/>
      </c>
      <c r="CE5" s="132" t="str">
        <f t="array" aca="1" ref="CE5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LEN(SUBSTITUTE(_xlfn.FORMULATEXT(CE$1),"=","")))+$BX5)</f>
        <v/>
      </c>
      <c r="CF5" s="132" t="str">
        <f t="array" aca="1" ref="CF5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LEN(SUBSTITUTE(_xlfn.FORMULATEXT(CF$1),"=","")))+$BX5)</f>
        <v/>
      </c>
      <c r="CG5" s="132" t="str">
        <f t="array" aca="1" ref="CG5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LEN(SUBSTITUTE(_xlfn.FORMULATEXT(CG$1),"=","")))+$BX5)</f>
        <v/>
      </c>
      <c r="CH5" s="132" t="str">
        <f t="array" aca="1" ref="CH5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LEN(SUBSTITUTE(_xlfn.FORMULATEXT(CH$1),"=","")))+$BX5)</f>
        <v/>
      </c>
      <c r="CI5" s="132">
        <f t="shared" ca="1" si="0"/>
        <v>0</v>
      </c>
      <c r="CJ5" s="132" t="b">
        <f t="array" aca="1" ref="CJ5" ca="1">SUMPRODUCT((LEN(BY5:CH5)&gt;0)*1)&gt;0</f>
        <v>0</v>
      </c>
      <c r="CK5" s="132" t="str" cm="1">
        <f t="array" aca="1" ref="CK5" ca="1">IFERROR(SMALL(IF(CI$1:CI$150&lt;&gt;0,CI$1:CI$150),ROW(A5)),"")</f>
        <v/>
      </c>
      <c r="CL5" s="132" t="str">
        <f t="array" aca="1" ref="CL5" ca="1">IF($CK5&lt;&gt;"",
INDIRECT(""&amp;IF(COLUMN(BY5)&lt;=26,CHAR(COLUMN(BY5)+64),CHAR(INT((COLUMN(BY5)-1)/26)+64)&amp;CHAR(MOD(COLUMN(BY5)-1,26)+65))&amp;$CK5&amp;""),"")</f>
        <v/>
      </c>
      <c r="CM5" s="132" t="str">
        <f t="array" aca="1" ref="CM5" ca="1">IF($CK5&lt;&gt;"",
INDIRECT(""&amp;IF(COLUMN(BZ5)&lt;=26,CHAR(COLUMN(BZ5)+64),CHAR(INT((COLUMN(BZ5)-1)/26)+64)&amp;CHAR(MOD(COLUMN(BZ5)-1,26)+65))&amp;$CK5&amp;""),"")</f>
        <v/>
      </c>
      <c r="CN5" s="132" t="str">
        <f t="array" aca="1" ref="CN5" ca="1">IF($CK5&lt;&gt;"",
INDIRECT(""&amp;IF(COLUMN(CA5)&lt;=26,CHAR(COLUMN(CA5)+64),CHAR(INT((COLUMN(CA5)-1)/26)+64)&amp;CHAR(MOD(COLUMN(CA5)-1,26)+65))&amp;$CK5&amp;""),"")</f>
        <v/>
      </c>
      <c r="CO5" s="132" t="str">
        <f t="array" aca="1" ref="CO5" ca="1">IF($CK5&lt;&gt;"",
INDIRECT(""&amp;IF(COLUMN(CB5)&lt;=26,CHAR(COLUMN(CB5)+64),CHAR(INT((COLUMN(CB5)-1)/26)+64)&amp;CHAR(MOD(COLUMN(CB5)-1,26)+65))&amp;$CK5&amp;""),"")</f>
        <v/>
      </c>
      <c r="CP5" s="132" t="str">
        <f t="array" aca="1" ref="CP5" ca="1">IF($CK5&lt;&gt;"",
INDIRECT(""&amp;IF(COLUMN(CC5)&lt;=26,CHAR(COLUMN(CC5)+64),CHAR(INT((COLUMN(CC5)-1)/26)+64)&amp;CHAR(MOD(COLUMN(CC5)-1,26)+65))&amp;$CK5&amp;""),"")</f>
        <v/>
      </c>
      <c r="CQ5" s="132" t="str">
        <f t="array" aca="1" ref="CQ5" ca="1">IF($CK5&lt;&gt;"",
INDIRECT(""&amp;IF(COLUMN(CD5)&lt;=26,CHAR(COLUMN(CD5)+64),CHAR(INT((COLUMN(CD5)-1)/26)+64)&amp;CHAR(MOD(COLUMN(CD5)-1,26)+65))&amp;$CK5&amp;""),"")</f>
        <v/>
      </c>
      <c r="CR5" s="132" t="str">
        <f t="array" aca="1" ref="CR5" ca="1">IF($CK5&lt;&gt;"",
INDIRECT(""&amp;IF(COLUMN(CE5)&lt;=26,CHAR(COLUMN(CE5)+64),CHAR(INT((COLUMN(CE5)-1)/26)+64)&amp;CHAR(MOD(COLUMN(CE5)-1,26)+65))&amp;$CK5&amp;""),"")</f>
        <v/>
      </c>
      <c r="CS5" s="132" t="str">
        <f t="array" aca="1" ref="CS5" ca="1">IF($CK5&lt;&gt;"",
INDIRECT(""&amp;IF(COLUMN(CF5)&lt;=26,CHAR(COLUMN(CF5)+64),CHAR(INT((COLUMN(CF5)-1)/26)+64)&amp;CHAR(MOD(COLUMN(CF5)-1,26)+65))&amp;$CK5&amp;""),"")</f>
        <v/>
      </c>
      <c r="CT5" s="132" t="str">
        <f t="array" aca="1" ref="CT5" ca="1">IF($CK5&lt;&gt;"",
INDIRECT(""&amp;IF(COLUMN(CG5)&lt;=26,CHAR(COLUMN(CG5)+64),CHAR(INT((COLUMN(CG5)-1)/26)+64)&amp;CHAR(MOD(COLUMN(CG5)-1,26)+65))&amp;$CK5&amp;""),"")</f>
        <v/>
      </c>
      <c r="CU5" s="132" t="str">
        <f t="array" aca="1" ref="CU5" ca="1">IF($CK5&lt;&gt;"",
INDIRECT(""&amp;IF(COLUMN(CH5)&lt;=26,CHAR(COLUMN(CH5)+64),CHAR(INT((COLUMN(CH5)-1)/26)+64)&amp;CHAR(MOD(COLUMN(CH5)-1,26)+65))&amp;$CK5&amp;""),"")</f>
        <v/>
      </c>
    </row>
    <row r="6" spans="1:99" s="132" customFormat="1" ht="22.2" customHeight="1" x14ac:dyDescent="0.55000000000000004">
      <c r="A6" s="129"/>
      <c r="B6" s="149" t="str">
        <f ca="1">IF(C2&lt;&gt;"",
"パン箱","")</f>
        <v/>
      </c>
      <c r="C6" s="150" t="str">
        <f ca="1">IF(C2&lt;&gt;"",
IF(OR(COUNTIF('盛付札（関数）'!C2,"*キャラ*"),COUNTIF('盛付札（関数）'!C2,"*赤*")),24,
VLOOKUP('盛付札（関数）'!C2,商品マスタ一覧!$D:$I,6,FALSE)),"")</f>
        <v/>
      </c>
      <c r="D6" s="149" t="str">
        <f ca="1">IF(C2&lt;&gt;"",
" 端数","")</f>
        <v/>
      </c>
      <c r="E6" s="150"/>
      <c r="F6" s="149" t="str">
        <f ca="1">IF(C2&lt;&gt;"",
"アレルギー","")</f>
        <v/>
      </c>
      <c r="G6" s="159"/>
      <c r="H6" s="129"/>
      <c r="I6" s="149" t="str">
        <f ca="1">IF(J2&lt;&gt;"",
"パン箱","")</f>
        <v/>
      </c>
      <c r="J6" s="150" t="str">
        <f ca="1">IF(J2&lt;&gt;"",
IF(OR(COUNTIF('盛付札（関数）'!J2,"*キャラ*"),COUNTIF('盛付札（関数）'!J2,"*赤*")),24,
VLOOKUP('盛付札（関数）'!J2,商品マスタ一覧!$D:$I,6,FALSE)),"")</f>
        <v/>
      </c>
      <c r="K6" s="149" t="str">
        <f ca="1">IF(J2&lt;&gt;"",
" 端数","")</f>
        <v/>
      </c>
      <c r="L6" s="150"/>
      <c r="M6" s="149" t="str">
        <f ca="1">IF(J2&lt;&gt;"",
"アレルギー","")</f>
        <v/>
      </c>
      <c r="N6" s="154"/>
      <c r="O6" s="129"/>
      <c r="P6" s="129"/>
      <c r="Q6" s="149" t="str">
        <f ca="1">IF(R2&lt;&gt;"",
"パン箱","")</f>
        <v/>
      </c>
      <c r="R6" s="150" t="str">
        <f ca="1">IF(R2&lt;&gt;"",
IF(OR(COUNTIF('盛付札（関数）'!R2,"*キャラ*"),COUNTIF('盛付札（関数）'!R2,"*赤*")),24,
VLOOKUP('盛付札（関数）'!R2,商品マスタ一覧!$D:$I,6,FALSE)),"")</f>
        <v/>
      </c>
      <c r="S6" s="149" t="str">
        <f ca="1">IF(R2&lt;&gt;"",
" 端数","")</f>
        <v/>
      </c>
      <c r="T6" s="150"/>
      <c r="U6" s="149" t="str">
        <f ca="1">IF(R2&lt;&gt;"",
"アレルギー","")</f>
        <v/>
      </c>
      <c r="V6" s="154"/>
      <c r="W6" s="129"/>
      <c r="X6" s="149" t="str">
        <f ca="1">IF(Y2&lt;&gt;"",
"パン箱","")</f>
        <v/>
      </c>
      <c r="Y6" s="150" t="str">
        <f ca="1">IF(Y2&lt;&gt;"",
IF(OR(COUNTIF('盛付札（関数）'!Y2,"*キャラ*"),COUNTIF('盛付札（関数）'!Y2,"*赤*")),24,
VLOOKUP('盛付札（関数）'!Y2,商品マスタ一覧!$D:$I,6,FALSE)),"")</f>
        <v/>
      </c>
      <c r="Z6" s="149" t="str">
        <f ca="1">IF(Y2&lt;&gt;"",
" 端数","")</f>
        <v/>
      </c>
      <c r="AA6" s="150"/>
      <c r="AB6" s="149" t="str">
        <f ca="1">IF(Y2&lt;&gt;"",
"アレルギー","")</f>
        <v/>
      </c>
      <c r="AC6" s="154"/>
      <c r="AD6" s="129"/>
      <c r="AE6" s="129"/>
      <c r="AF6" s="149" t="str">
        <f ca="1">IF(AG2&lt;&gt;"",
"パン箱","")</f>
        <v/>
      </c>
      <c r="AG6" s="150" t="str">
        <f ca="1">IF(AG2&lt;&gt;"",
IF(OR(COUNTIF('盛付札（関数）'!AG2,"*キャラ*"),COUNTIF('盛付札（関数）'!AG2,"*赤*")),24,
VLOOKUP('盛付札（関数）'!AG2,商品マスタ一覧!$D:$I,6,FALSE)),"")</f>
        <v/>
      </c>
      <c r="AH6" s="149" t="str">
        <f ca="1">IF(AG2&lt;&gt;"",
" 端数","")</f>
        <v/>
      </c>
      <c r="AI6" s="150"/>
      <c r="AJ6" s="149" t="str">
        <f ca="1">IF(AG2&lt;&gt;"",
"アレルギー","")</f>
        <v/>
      </c>
      <c r="AK6" s="154"/>
      <c r="AL6" s="129"/>
      <c r="AM6" s="149" t="str">
        <f ca="1">IF(AN2&lt;&gt;"",
"パン箱","")</f>
        <v/>
      </c>
      <c r="AN6" s="150" t="str">
        <f ca="1">IF(AN2&lt;&gt;"",
IF(OR(COUNTIF('盛付札（関数）'!AN2,"*キャラ*"),COUNTIF('盛付札（関数）'!AN2,"*赤*")),24,
VLOOKUP('盛付札（関数）'!AN2,商品マスタ一覧!$D:$I,6,FALSE)),"")</f>
        <v/>
      </c>
      <c r="AO6" s="149" t="str">
        <f ca="1">IF(AN2&lt;&gt;"",
" 端数","")</f>
        <v/>
      </c>
      <c r="AP6" s="150"/>
      <c r="AQ6" s="149" t="str">
        <f ca="1">IF(AN2&lt;&gt;"",
"アレルギー","")</f>
        <v/>
      </c>
      <c r="AR6" s="154"/>
      <c r="AS6" s="129"/>
      <c r="AT6" s="129"/>
      <c r="AU6" s="149" t="str">
        <f ca="1">IF(AV2&lt;&gt;"",
"パン箱","")</f>
        <v/>
      </c>
      <c r="AV6" s="150" t="str">
        <f ca="1">IF(AV2&lt;&gt;"",
IF(OR(COUNTIF('盛付札（関数）'!AV2,"*キャラ*"),COUNTIF('盛付札（関数）'!AV2,"*赤*")),24,
VLOOKUP('盛付札（関数）'!AV2,商品マスタ一覧!$D:$I,6,FALSE)),"")</f>
        <v/>
      </c>
      <c r="AW6" s="149" t="str">
        <f ca="1">IF(AV2&lt;&gt;"",
" 端数","")</f>
        <v/>
      </c>
      <c r="AX6" s="150"/>
      <c r="AY6" s="149" t="str">
        <f ca="1">IF(AV2&lt;&gt;"",
"アレルギー","")</f>
        <v/>
      </c>
      <c r="AZ6" s="154"/>
      <c r="BA6" s="129"/>
      <c r="BB6" s="149" t="str">
        <f ca="1">IF(BC2&lt;&gt;"",
"パン箱","")</f>
        <v/>
      </c>
      <c r="BC6" s="150" t="str">
        <f ca="1">IF(BC2&lt;&gt;"",
IF(OR(COUNTIF('盛付札（関数）'!BC2,"*キャラ*"),COUNTIF('盛付札（関数）'!BC2,"*赤*")),24,
VLOOKUP('盛付札（関数）'!BC2,商品マスタ一覧!$D:$I,6,FALSE)),"")</f>
        <v/>
      </c>
      <c r="BD6" s="149" t="str">
        <f ca="1">IF(BC2&lt;&gt;"",
" 端数","")</f>
        <v/>
      </c>
      <c r="BE6" s="150"/>
      <c r="BF6" s="149" t="str">
        <f ca="1">IF(BC2&lt;&gt;"",
"アレルギー","")</f>
        <v/>
      </c>
      <c r="BG6" s="154"/>
      <c r="BH6" s="129"/>
      <c r="BI6" s="129"/>
      <c r="BJ6" s="149" t="str">
        <f ca="1">IF(BK2&lt;&gt;"",
"パン箱","")</f>
        <v/>
      </c>
      <c r="BK6" s="150" t="str">
        <f ca="1">IF(BK2&lt;&gt;"",
IF(OR(COUNTIF('盛付札（関数）'!BK2,"*キャラ*"),COUNTIF('盛付札（関数）'!BK2,"*赤*")),24,
VLOOKUP('盛付札（関数）'!BK2,商品マスタ一覧!$D:$I,6,FALSE)),"")</f>
        <v/>
      </c>
      <c r="BL6" s="149" t="str">
        <f ca="1">IF(BK2&lt;&gt;"",
" 端数","")</f>
        <v/>
      </c>
      <c r="BM6" s="150"/>
      <c r="BN6" s="149" t="str">
        <f ca="1">IF(BK2&lt;&gt;"",
"アレルギー","")</f>
        <v/>
      </c>
      <c r="BO6" s="154"/>
      <c r="BP6" s="129"/>
      <c r="BQ6" s="149" t="str">
        <f ca="1">IF(BR2&lt;&gt;"",
"パン箱","")</f>
        <v/>
      </c>
      <c r="BR6" s="150" t="str">
        <f ca="1">IF(BR2&lt;&gt;"",
IF(OR(COUNTIF('盛付札（関数）'!BR2,"*キャラ*"),COUNTIF('盛付札（関数）'!BR2,"*赤*")),24,
VLOOKUP('盛付札（関数）'!BR2,商品マスタ一覧!$D:$I,6,FALSE)),"")</f>
        <v/>
      </c>
      <c r="BS6" s="149" t="str">
        <f ca="1">IF(BR2&lt;&gt;"",
" 端数","")</f>
        <v/>
      </c>
      <c r="BT6" s="150"/>
      <c r="BU6" s="149" t="str">
        <f ca="1">IF(BR2&lt;&gt;"",
"アレルギー","")</f>
        <v/>
      </c>
      <c r="BV6" s="154"/>
      <c r="BW6" s="129"/>
      <c r="BX6" s="132">
        <f>BX2+7</f>
        <v>49</v>
      </c>
      <c r="BY6" s="132" t="str">
        <f t="array" aca="1" ref="BY6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LEN(SUBSTITUTE(_xlfn.FORMULATEXT(BY$1),"=","")))+$BX6)</f>
        <v/>
      </c>
      <c r="BZ6" s="132" t="str">
        <f t="array" aca="1" ref="BZ6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LEN(SUBSTITUTE(_xlfn.FORMULATEXT(BZ$1),"=","")))+$BX6)</f>
        <v/>
      </c>
      <c r="CA6" s="132" t="str">
        <f t="array" aca="1" ref="CA6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LEN(SUBSTITUTE(_xlfn.FORMULATEXT(CA$1),"=","")))+$BX6)</f>
        <v/>
      </c>
      <c r="CB6" s="132" t="str">
        <f t="array" aca="1" ref="CB6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LEN(SUBSTITUTE(_xlfn.FORMULATEXT(CB$1),"=","")))+$BX6)</f>
        <v/>
      </c>
      <c r="CC6" s="132" t="str">
        <f t="array" aca="1" ref="CC6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LEN(SUBSTITUTE(_xlfn.FORMULATEXT(CC$1),"=","")))+$BX6)</f>
        <v/>
      </c>
      <c r="CD6" s="132" t="str">
        <f t="array" aca="1" ref="CD6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LEN(SUBSTITUTE(_xlfn.FORMULATEXT(CD$1),"=","")))+$BX6)</f>
        <v/>
      </c>
      <c r="CE6" s="132" t="str">
        <f t="array" aca="1" ref="CE6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LEN(SUBSTITUTE(_xlfn.FORMULATEXT(CE$1),"=","")))+$BX6)</f>
        <v/>
      </c>
      <c r="CF6" s="132" t="str">
        <f t="array" aca="1" ref="CF6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LEN(SUBSTITUTE(_xlfn.FORMULATEXT(CF$1),"=","")))+$BX6)</f>
        <v/>
      </c>
      <c r="CG6" s="132" t="str">
        <f t="array" aca="1" ref="CG6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LEN(SUBSTITUTE(_xlfn.FORMULATEXT(CG$1),"=","")))+$BX6)</f>
        <v/>
      </c>
      <c r="CH6" s="132" t="str">
        <f t="array" aca="1" ref="CH6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LEN(SUBSTITUTE(_xlfn.FORMULATEXT(CH$1),"=","")))+$BX6)</f>
        <v/>
      </c>
      <c r="CI6" s="132">
        <f t="shared" ca="1" si="0"/>
        <v>0</v>
      </c>
      <c r="CJ6" s="132" t="b">
        <f t="array" aca="1" ref="CJ6" ca="1">SUMPRODUCT((LEN(BY6:CH6)&gt;0)*1)&gt;0</f>
        <v>0</v>
      </c>
      <c r="CK6" s="132" t="str" cm="1">
        <f t="array" aca="1" ref="CK6" ca="1">IFERROR(SMALL(IF(CI$1:CI$150&lt;&gt;0,CI$1:CI$150),ROW(A6)),"")</f>
        <v/>
      </c>
      <c r="CL6" s="132" t="str">
        <f t="array" aca="1" ref="CL6" ca="1">IF($CK6&lt;&gt;"",
INDIRECT(""&amp;IF(COLUMN(BY6)&lt;=26,CHAR(COLUMN(BY6)+64),CHAR(INT((COLUMN(BY6)-1)/26)+64)&amp;CHAR(MOD(COLUMN(BY6)-1,26)+65))&amp;$CK6&amp;""),"")</f>
        <v/>
      </c>
      <c r="CM6" s="132" t="str">
        <f t="array" aca="1" ref="CM6" ca="1">IF($CK6&lt;&gt;"",
INDIRECT(""&amp;IF(COLUMN(BZ6)&lt;=26,CHAR(COLUMN(BZ6)+64),CHAR(INT((COLUMN(BZ6)-1)/26)+64)&amp;CHAR(MOD(COLUMN(BZ6)-1,26)+65))&amp;$CK6&amp;""),"")</f>
        <v/>
      </c>
      <c r="CN6" s="132" t="str">
        <f t="array" aca="1" ref="CN6" ca="1">IF($CK6&lt;&gt;"",
INDIRECT(""&amp;IF(COLUMN(CA6)&lt;=26,CHAR(COLUMN(CA6)+64),CHAR(INT((COLUMN(CA6)-1)/26)+64)&amp;CHAR(MOD(COLUMN(CA6)-1,26)+65))&amp;$CK6&amp;""),"")</f>
        <v/>
      </c>
      <c r="CO6" s="132" t="str">
        <f t="array" aca="1" ref="CO6" ca="1">IF($CK6&lt;&gt;"",
INDIRECT(""&amp;IF(COLUMN(CB6)&lt;=26,CHAR(COLUMN(CB6)+64),CHAR(INT((COLUMN(CB6)-1)/26)+64)&amp;CHAR(MOD(COLUMN(CB6)-1,26)+65))&amp;$CK6&amp;""),"")</f>
        <v/>
      </c>
      <c r="CP6" s="132" t="str">
        <f t="array" aca="1" ref="CP6" ca="1">IF($CK6&lt;&gt;"",
INDIRECT(""&amp;IF(COLUMN(CC6)&lt;=26,CHAR(COLUMN(CC6)+64),CHAR(INT((COLUMN(CC6)-1)/26)+64)&amp;CHAR(MOD(COLUMN(CC6)-1,26)+65))&amp;$CK6&amp;""),"")</f>
        <v/>
      </c>
      <c r="CQ6" s="132" t="str">
        <f t="array" aca="1" ref="CQ6" ca="1">IF($CK6&lt;&gt;"",
INDIRECT(""&amp;IF(COLUMN(CD6)&lt;=26,CHAR(COLUMN(CD6)+64),CHAR(INT((COLUMN(CD6)-1)/26)+64)&amp;CHAR(MOD(COLUMN(CD6)-1,26)+65))&amp;$CK6&amp;""),"")</f>
        <v/>
      </c>
      <c r="CR6" s="132" t="str">
        <f t="array" aca="1" ref="CR6" ca="1">IF($CK6&lt;&gt;"",
INDIRECT(""&amp;IF(COLUMN(CE6)&lt;=26,CHAR(COLUMN(CE6)+64),CHAR(INT((COLUMN(CE6)-1)/26)+64)&amp;CHAR(MOD(COLUMN(CE6)-1,26)+65))&amp;$CK6&amp;""),"")</f>
        <v/>
      </c>
      <c r="CS6" s="132" t="str">
        <f t="array" aca="1" ref="CS6" ca="1">IF($CK6&lt;&gt;"",
INDIRECT(""&amp;IF(COLUMN(CF6)&lt;=26,CHAR(COLUMN(CF6)+64),CHAR(INT((COLUMN(CF6)-1)/26)+64)&amp;CHAR(MOD(COLUMN(CF6)-1,26)+65))&amp;$CK6&amp;""),"")</f>
        <v/>
      </c>
      <c r="CT6" s="132" t="str">
        <f t="array" aca="1" ref="CT6" ca="1">IF($CK6&lt;&gt;"",
INDIRECT(""&amp;IF(COLUMN(CG6)&lt;=26,CHAR(COLUMN(CG6)+64),CHAR(INT((COLUMN(CG6)-1)/26)+64)&amp;CHAR(MOD(COLUMN(CG6)-1,26)+65))&amp;$CK6&amp;""),"")</f>
        <v/>
      </c>
      <c r="CU6" s="132" t="str">
        <f t="array" aca="1" ref="CU6" ca="1">IF($CK6&lt;&gt;"",
INDIRECT(""&amp;IF(COLUMN(CH6)&lt;=26,CHAR(COLUMN(CH6)+64),CHAR(INT((COLUMN(CH6)-1)/26)+64)&amp;CHAR(MOD(COLUMN(CH6)-1,26)+65))&amp;$CK6&amp;""),"")</f>
        <v/>
      </c>
    </row>
    <row r="7" spans="1:99" ht="21" customHeight="1" x14ac:dyDescent="0.45">
      <c r="B7" s="124" t="str">
        <f ca="1">IF(C4&lt;&gt;"",
IFERROR(INT(C4/C6),""),"")</f>
        <v/>
      </c>
      <c r="C7" s="151"/>
      <c r="D7" s="124" t="str">
        <f ca="1">IFERROR(MOD(C4,C6),"")</f>
        <v/>
      </c>
      <c r="E7" s="151"/>
      <c r="F7" s="118" t="str">
        <f t="array" aca="1" ref="F7" ca="1">IF(C1&lt;&gt;"",
IF(IFERROR(
INDEX(INDIRECT("'数出表_Excel（アレルギー入力）'!B"&amp;MATCH(G1,'数出表_Excel（アレルギー入力）'!$A:$A,0)-1&amp;":AC"&amp;MATCH(G1,'数出表_Excel（アレルギー入力）'!$A:$A,0)-1&amp;""),
 1,
MATCH(C4,INDIRECT("'数出表_Excel（アレルギー入力）'!"&amp;B1-1&amp;":"&amp;B1-1&amp;""),0)),
 "")&lt;&gt;0,
IF(IFERROR(
INDEX(INDIRECT("'数出表_Excel（アレルギー入力）'!B"&amp;MATCH(G1,'数出表_Excel（アレルギー入力）'!$A:$A,0)-1&amp;":AC"&amp;MATCH(G1,'数出表_Excel（アレルギー入力）'!$A:$A,0)-1&amp;""),
 1,
MATCH(C4,INDIRECT("'数出表_Excel（アレルギー入力）'!"&amp;B1-1&amp;":"&amp;B1-1&amp;""),0)),
 "")="",
IFERROR(
INDEX(INDIRECT("'数出表_Excel（アレルギー入力）'!B"&amp;MATCH(G1,'数出表_Excel（アレルギー入力）'!$A:$A,0)-1&amp;":AC"&amp;MATCH(G1,'数出表_Excel（アレルギー入力）'!$A:$A,0)-1&amp;""),
 1,
MATCH(TRUE,INDEX(INDIRECT("'数出表_Excel（アレルギー入力）'!B"&amp;B1-1&amp;":AC"&amp;B1-1&amp;"")&lt;&gt;"",0),0)+1),
 ""),
IFERROR(
INDEX(INDIRECT("'数出表_Excel（アレルギー入力）'!B"&amp;MATCH(G1,'数出表_Excel（アレルギー入力）'!$A:$A,0)-1&amp;":AC"&amp;MATCH(G1,'数出表_Excel（アレルギー入力）'!$A:$A,0)-1&amp;""),
 1,
MATCH(C4,INDIRECT("'数出表_Excel（アレルギー入力）'!"&amp;B1-1&amp;":"&amp;B1-1&amp;""),0)),
 "")),0),"")</f>
        <v/>
      </c>
      <c r="G7" s="151"/>
      <c r="I7" s="124" t="str">
        <f ca="1">IF(J4&lt;&gt;"",
IFERROR(INT(J4/J6),""),"")</f>
        <v/>
      </c>
      <c r="J7" s="151"/>
      <c r="K7" s="124" t="str">
        <f ca="1">IFERROR(MOD(J4,J6),"")</f>
        <v/>
      </c>
      <c r="L7" s="151"/>
      <c r="M7" s="118" t="str">
        <f t="array" aca="1" ref="M7" ca="1">IF(J1&lt;&gt;"",
IF(IFERROR(
INDEX(INDIRECT("'数出表_Excel（アレルギー入力）'!B"&amp;MATCH(N1,'数出表_Excel（アレルギー入力）'!$A:$A,0)-1&amp;":AC"&amp;MATCH(N1,'数出表_Excel（アレルギー入力）'!$A:$A,0)-1&amp;""),
 1,
MATCH(J4,INDIRECT("'数出表_Excel（アレルギー入力）'!"&amp;I1-1&amp;":"&amp;I1-1&amp;""),0)),
 "")&lt;&gt;0,
IF(IFERROR(
INDEX(INDIRECT("'数出表_Excel（アレルギー入力）'!B"&amp;MATCH(N1,'数出表_Excel（アレルギー入力）'!$A:$A,0)-1&amp;":AC"&amp;MATCH(N1,'数出表_Excel（アレルギー入力）'!$A:$A,0)-1&amp;""),
 1,
MATCH(J4,INDIRECT("'数出表_Excel（アレルギー入力）'!"&amp;I1-1&amp;":"&amp;I1-1&amp;""),0)),
 "")="",
IFERROR(
INDEX(INDIRECT("'数出表_Excel（アレルギー入力）'!B"&amp;MATCH(N1,'数出表_Excel（アレルギー入力）'!$A:$A,0)-1&amp;":AC"&amp;MATCH(N1,'数出表_Excel（アレルギー入力）'!$A:$A,0)-1&amp;""),
 1,
MATCH(TRUE,INDEX(INDIRECT("'数出表_Excel（アレルギー入力）'!B"&amp;I1-1&amp;":AC"&amp;I1-1&amp;"")&lt;&gt;"",0),0)+1),
 ""),
IFERROR(
INDEX(INDIRECT("'数出表_Excel（アレルギー入力）'!B"&amp;MATCH(N1,'数出表_Excel（アレルギー入力）'!$A:$A,0)-1&amp;":AC"&amp;MATCH(N1,'数出表_Excel（アレルギー入力）'!$A:$A,0)-1&amp;""),
 1,
MATCH(J4,INDIRECT("'数出表_Excel（アレルギー入力）'!"&amp;I1-1&amp;":"&amp;I1-1&amp;""),0)),
 "")),0),"")</f>
        <v/>
      </c>
      <c r="N7" s="151"/>
      <c r="Q7" s="124" t="str">
        <f ca="1">IF(R4&lt;&gt;"",
IFERROR(INT(R4/R6),""),"")</f>
        <v/>
      </c>
      <c r="R7" s="151"/>
      <c r="S7" s="124" t="str">
        <f ca="1">IFERROR(MOD(R4,R6),"")</f>
        <v/>
      </c>
      <c r="T7" s="151"/>
      <c r="U7" s="118" t="str">
        <f t="array" aca="1" ref="U7" ca="1">IF(R1&lt;&gt;"",
IF(IFERROR(
INDEX(INDIRECT("'数出表_Excel（アレルギー入力）'!B"&amp;MATCH(V1,'数出表_Excel（アレルギー入力）'!$A:$A,0)-1&amp;":AC"&amp;MATCH(V1,'数出表_Excel（アレルギー入力）'!$A:$A,0)-1&amp;""),
 1,
MATCH(R4,INDIRECT("'数出表_Excel（アレルギー入力）'!"&amp;Q1-1&amp;":"&amp;Q1-1&amp;""),0)),
 "")&lt;&gt;0,
IF(IFERROR(
INDEX(INDIRECT("'数出表_Excel（アレルギー入力）'!B"&amp;MATCH(V1,'数出表_Excel（アレルギー入力）'!$A:$A,0)-1&amp;":AC"&amp;MATCH(V1,'数出表_Excel（アレルギー入力）'!$A:$A,0)-1&amp;""),
 1,
MATCH(R4,INDIRECT("'数出表_Excel（アレルギー入力）'!"&amp;Q1-1&amp;":"&amp;Q1-1&amp;""),0)),
 "")="",
IFERROR(
INDEX(INDIRECT("'数出表_Excel（アレルギー入力）'!B"&amp;MATCH(V1,'数出表_Excel（アレルギー入力）'!$A:$A,0)-1&amp;":AC"&amp;MATCH(V1,'数出表_Excel（アレルギー入力）'!$A:$A,0)-1&amp;""),
 1,
MATCH(TRUE,INDEX(INDIRECT("'数出表_Excel（アレルギー入力）'!B"&amp;Q1-1&amp;":AC"&amp;Q1-1&amp;"")&lt;&gt;"",0),0)+1),
 ""),
IFERROR(
INDEX(INDIRECT("'数出表_Excel（アレルギー入力）'!B"&amp;MATCH(V1,'数出表_Excel（アレルギー入力）'!$A:$A,0)-1&amp;":AC"&amp;MATCH(V1,'数出表_Excel（アレルギー入力）'!$A:$A,0)-1&amp;""),
 1,
MATCH(R4,INDIRECT("'数出表_Excel（アレルギー入力）'!"&amp;Q1-1&amp;":"&amp;Q1-1&amp;""),0)),
 "")),0),"")</f>
        <v/>
      </c>
      <c r="V7" s="151"/>
      <c r="X7" s="124" t="str">
        <f ca="1">IF(Y4&lt;&gt;"",
IFERROR(INT(Y4/Y6),""),"")</f>
        <v/>
      </c>
      <c r="Y7" s="151"/>
      <c r="Z7" s="124" t="str">
        <f ca="1">IFERROR(MOD(Y4,Y6),"")</f>
        <v/>
      </c>
      <c r="AA7" s="151"/>
      <c r="AB7" s="118" t="str">
        <f t="array" aca="1" ref="AB7" ca="1">IF(Y1&lt;&gt;"",
IF(IFERROR(
INDEX(INDIRECT("'数出表_Excel（アレルギー入力）'!B"&amp;MATCH(AC1,'数出表_Excel（アレルギー入力）'!$A:$A,0)-1&amp;":AC"&amp;MATCH(AC1,'数出表_Excel（アレルギー入力）'!$A:$A,0)-1&amp;""),
 1,
MATCH(Y4,INDIRECT("'数出表_Excel（アレルギー入力）'!"&amp;X1-1&amp;":"&amp;X1-1&amp;""),0)),
 "")&lt;&gt;0,
IF(IFERROR(
INDEX(INDIRECT("'数出表_Excel（アレルギー入力）'!B"&amp;MATCH(AC1,'数出表_Excel（アレルギー入力）'!$A:$A,0)-1&amp;":AC"&amp;MATCH(AC1,'数出表_Excel（アレルギー入力）'!$A:$A,0)-1&amp;""),
 1,
MATCH(Y4,INDIRECT("'数出表_Excel（アレルギー入力）'!"&amp;X1-1&amp;":"&amp;X1-1&amp;""),0)),
 "")="",
IFERROR(
INDEX(INDIRECT("'数出表_Excel（アレルギー入力）'!B"&amp;MATCH(AC1,'数出表_Excel（アレルギー入力）'!$A:$A,0)-1&amp;":AC"&amp;MATCH(AC1,'数出表_Excel（アレルギー入力）'!$A:$A,0)-1&amp;""),
 1,
MATCH(TRUE,INDEX(INDIRECT("'数出表_Excel（アレルギー入力）'!B"&amp;X1-1&amp;":AC"&amp;X1-1&amp;"")&lt;&gt;"",0),0)+1),
 ""),
IFERROR(
INDEX(INDIRECT("'数出表_Excel（アレルギー入力）'!B"&amp;MATCH(AC1,'数出表_Excel（アレルギー入力）'!$A:$A,0)-1&amp;":AC"&amp;MATCH(AC1,'数出表_Excel（アレルギー入力）'!$A:$A,0)-1&amp;""),
 1,
MATCH(Y4,INDIRECT("'数出表_Excel（アレルギー入力）'!"&amp;X1-1&amp;":"&amp;X1-1&amp;""),0)),
 "")),0),"")</f>
        <v/>
      </c>
      <c r="AC7" s="151"/>
      <c r="AF7" s="124" t="str">
        <f ca="1">IF(AG4&lt;&gt;"",
IFERROR(INT(AG4/AG6),""),"")</f>
        <v/>
      </c>
      <c r="AG7" s="151"/>
      <c r="AH7" s="124" t="str">
        <f ca="1">IFERROR(MOD(AG4,AG6),"")</f>
        <v/>
      </c>
      <c r="AI7" s="151"/>
      <c r="AJ7" s="118" t="str">
        <f t="array" aca="1" ref="AJ7" ca="1">IF(AG1&lt;&gt;"",
IF(IFERROR(
INDEX(INDIRECT("'数出表_Excel（アレルギー入力）'!B"&amp;MATCH(AK1,'数出表_Excel（アレルギー入力）'!$A:$A,0)-1&amp;":AC"&amp;MATCH(AK1,'数出表_Excel（アレルギー入力）'!$A:$A,0)-1&amp;""),
 1,
MATCH(AG4,INDIRECT("'数出表_Excel（アレルギー入力）'!"&amp;AF1-1&amp;":"&amp;AF1-1&amp;""),0)),
 "")&lt;&gt;0,
IF(IFERROR(
INDEX(INDIRECT("'数出表_Excel（アレルギー入力）'!B"&amp;MATCH(AK1,'数出表_Excel（アレルギー入力）'!$A:$A,0)-1&amp;":AC"&amp;MATCH(AK1,'数出表_Excel（アレルギー入力）'!$A:$A,0)-1&amp;""),
 1,
MATCH(AG4,INDIRECT("'数出表_Excel（アレルギー入力）'!"&amp;AF1-1&amp;":"&amp;AF1-1&amp;""),0)),
 "")="",
IFERROR(
INDEX(INDIRECT("'数出表_Excel（アレルギー入力）'!B"&amp;MATCH(AK1,'数出表_Excel（アレルギー入力）'!$A:$A,0)-1&amp;":AC"&amp;MATCH(AK1,'数出表_Excel（アレルギー入力）'!$A:$A,0)-1&amp;""),
 1,
MATCH(TRUE,INDEX(INDIRECT("'数出表_Excel（アレルギー入力）'!B"&amp;AF1-1&amp;":AC"&amp;AF1-1&amp;"")&lt;&gt;"",0),0)+1),
 ""),
IFERROR(
INDEX(INDIRECT("'数出表_Excel（アレルギー入力）'!B"&amp;MATCH(AK1,'数出表_Excel（アレルギー入力）'!$A:$A,0)-1&amp;":AC"&amp;MATCH(AK1,'数出表_Excel（アレルギー入力）'!$A:$A,0)-1&amp;""),
 1,
MATCH(AG4,INDIRECT("'数出表_Excel（アレルギー入力）'!"&amp;AF1-1&amp;":"&amp;AF1-1&amp;""),0)),
 "")),0),"")</f>
        <v/>
      </c>
      <c r="AK7" s="151"/>
      <c r="AM7" s="124" t="str">
        <f ca="1">IF(AN4&lt;&gt;"",
IFERROR(INT(AN4/AN6),""),"")</f>
        <v/>
      </c>
      <c r="AN7" s="151"/>
      <c r="AO7" s="124" t="str">
        <f ca="1">IFERROR(MOD(AN4,AN6),"")</f>
        <v/>
      </c>
      <c r="AP7" s="151"/>
      <c r="AQ7" s="118" t="str">
        <f t="array" aca="1" ref="AQ7" ca="1">IF(AN1&lt;&gt;"",
IF(IFERROR(
INDEX(INDIRECT("'数出表_Excel（アレルギー入力）'!B"&amp;MATCH(AR1,'数出表_Excel（アレルギー入力）'!$A:$A,0)-1&amp;":AC"&amp;MATCH(AR1,'数出表_Excel（アレルギー入力）'!$A:$A,0)-1&amp;""),
 1,
MATCH(AN4,INDIRECT("'数出表_Excel（アレルギー入力）'!"&amp;AM1-1&amp;":"&amp;AM1-1&amp;""),0)),
 "")&lt;&gt;0,
IF(IFERROR(
INDEX(INDIRECT("'数出表_Excel（アレルギー入力）'!B"&amp;MATCH(AR1,'数出表_Excel（アレルギー入力）'!$A:$A,0)-1&amp;":AC"&amp;MATCH(AR1,'数出表_Excel（アレルギー入力）'!$A:$A,0)-1&amp;""),
 1,
MATCH(AN4,INDIRECT("'数出表_Excel（アレルギー入力）'!"&amp;AM1-1&amp;":"&amp;AM1-1&amp;""),0)),
 "")="",
IFERROR(
INDEX(INDIRECT("'数出表_Excel（アレルギー入力）'!B"&amp;MATCH(AR1,'数出表_Excel（アレルギー入力）'!$A:$A,0)-1&amp;":AC"&amp;MATCH(AR1,'数出表_Excel（アレルギー入力）'!$A:$A,0)-1&amp;""),
 1,
MATCH(TRUE,INDEX(INDIRECT("'数出表_Excel（アレルギー入力）'!B"&amp;AM1-1&amp;":AC"&amp;AM1-1&amp;"")&lt;&gt;"",0),0)+1),
 ""),
IFERROR(
INDEX(INDIRECT("'数出表_Excel（アレルギー入力）'!B"&amp;MATCH(AR1,'数出表_Excel（アレルギー入力）'!$A:$A,0)-1&amp;":AC"&amp;MATCH(AR1,'数出表_Excel（アレルギー入力）'!$A:$A,0)-1&amp;""),
 1,
MATCH(AN4,INDIRECT("'数出表_Excel（アレルギー入力）'!"&amp;AM1-1&amp;":"&amp;AM1-1&amp;""),0)),
 "")),0),"")</f>
        <v/>
      </c>
      <c r="AR7" s="151"/>
      <c r="AU7" s="124" t="str">
        <f ca="1">IF(AV4&lt;&gt;"",
IFERROR(INT(AV4/AV6),""),"")</f>
        <v/>
      </c>
      <c r="AV7" s="151"/>
      <c r="AW7" s="124" t="str">
        <f ca="1">IFERROR(MOD(AV4,AV6),"")</f>
        <v/>
      </c>
      <c r="AX7" s="151"/>
      <c r="AY7" s="118" t="str">
        <f t="array" aca="1" ref="AY7" ca="1">IF(AV1&lt;&gt;"",
IF(IFERROR(
INDEX(INDIRECT("'数出表_Excel（アレルギー入力）'!B"&amp;MATCH(AZ1,'数出表_Excel（アレルギー入力）'!$A:$A,0)-1&amp;":AC"&amp;MATCH(AZ1,'数出表_Excel（アレルギー入力）'!$A:$A,0)-1&amp;""),
 1,
MATCH(AV4,INDIRECT("'数出表_Excel（アレルギー入力）'!"&amp;AU1-1&amp;":"&amp;AU1-1&amp;""),0)),
 "")&lt;&gt;0,
IF(IFERROR(
INDEX(INDIRECT("'数出表_Excel（アレルギー入力）'!B"&amp;MATCH(AZ1,'数出表_Excel（アレルギー入力）'!$A:$A,0)-1&amp;":AC"&amp;MATCH(AZ1,'数出表_Excel（アレルギー入力）'!$A:$A,0)-1&amp;""),
 1,
MATCH(AV4,INDIRECT("'数出表_Excel（アレルギー入力）'!"&amp;AU1-1&amp;":"&amp;AU1-1&amp;""),0)),
 "")="",
IFERROR(
INDEX(INDIRECT("'数出表_Excel（アレルギー入力）'!B"&amp;MATCH(AZ1,'数出表_Excel（アレルギー入力）'!$A:$A,0)-1&amp;":AC"&amp;MATCH(AZ1,'数出表_Excel（アレルギー入力）'!$A:$A,0)-1&amp;""),
 1,
MATCH(TRUE,INDEX(INDIRECT("'数出表_Excel（アレルギー入力）'!B"&amp;AU1-1&amp;":AC"&amp;AU1-1&amp;"")&lt;&gt;"",0),0)+1),
 ""),
IFERROR(
INDEX(INDIRECT("'数出表_Excel（アレルギー入力）'!B"&amp;MATCH(AZ1,'数出表_Excel（アレルギー入力）'!$A:$A,0)-1&amp;":AC"&amp;MATCH(AZ1,'数出表_Excel（アレルギー入力）'!$A:$A,0)-1&amp;""),
 1,
MATCH(AV4,INDIRECT("'数出表_Excel（アレルギー入力）'!"&amp;AU1-1&amp;":"&amp;AU1-1&amp;""),0)),
 "")),0),"")</f>
        <v/>
      </c>
      <c r="AZ7" s="151"/>
      <c r="BB7" s="124" t="str">
        <f ca="1">IF(BC4&lt;&gt;"",
IFERROR(INT(BC4/BC6),""),"")</f>
        <v/>
      </c>
      <c r="BC7" s="151"/>
      <c r="BD7" s="124" t="str">
        <f ca="1">IFERROR(MOD(BC4,BC6),"")</f>
        <v/>
      </c>
      <c r="BE7" s="151"/>
      <c r="BF7" s="118" t="str">
        <f t="array" aca="1" ref="BF7" ca="1">IF(BC1&lt;&gt;"",
IF(IFERROR(
INDEX(INDIRECT("'数出表_Excel（アレルギー入力）'!B"&amp;MATCH(BG1,'数出表_Excel（アレルギー入力）'!$A:$A,0)-1&amp;":AC"&amp;MATCH(BG1,'数出表_Excel（アレルギー入力）'!$A:$A,0)-1&amp;""),
 1,
MATCH(BC4,INDIRECT("'数出表_Excel（アレルギー入力）'!"&amp;BB1-1&amp;":"&amp;BB1-1&amp;""),0)),
 "")&lt;&gt;0,
IF(IFERROR(
INDEX(INDIRECT("'数出表_Excel（アレルギー入力）'!B"&amp;MATCH(BG1,'数出表_Excel（アレルギー入力）'!$A:$A,0)-1&amp;":AC"&amp;MATCH(BG1,'数出表_Excel（アレルギー入力）'!$A:$A,0)-1&amp;""),
 1,
MATCH(BC4,INDIRECT("'数出表_Excel（アレルギー入力）'!"&amp;BB1-1&amp;":"&amp;BB1-1&amp;""),0)),
 "")="",
IFERROR(
INDEX(INDIRECT("'数出表_Excel（アレルギー入力）'!B"&amp;MATCH(BG1,'数出表_Excel（アレルギー入力）'!$A:$A,0)-1&amp;":AC"&amp;MATCH(BG1,'数出表_Excel（アレルギー入力）'!$A:$A,0)-1&amp;""),
 1,
MATCH(TRUE,INDEX(INDIRECT("'数出表_Excel（アレルギー入力）'!B"&amp;BB1-1&amp;":AC"&amp;BB1-1&amp;"")&lt;&gt;"",0),0)+1),
 ""),
IFERROR(
INDEX(INDIRECT("'数出表_Excel（アレルギー入力）'!B"&amp;MATCH(BG1,'数出表_Excel（アレルギー入力）'!$A:$A,0)-1&amp;":AC"&amp;MATCH(BG1,'数出表_Excel（アレルギー入力）'!$A:$A,0)-1&amp;""),
 1,
MATCH(BC4,INDIRECT("'数出表_Excel（アレルギー入力）'!"&amp;BB1-1&amp;":"&amp;BB1-1&amp;""),0)),
 "")),0),"")</f>
        <v/>
      </c>
      <c r="BG7" s="151"/>
      <c r="BJ7" s="124" t="str">
        <f ca="1">IF(BK4&lt;&gt;"",
IFERROR(INT(BK4/BK6),""),"")</f>
        <v/>
      </c>
      <c r="BK7" s="151"/>
      <c r="BL7" s="124" t="str">
        <f ca="1">IFERROR(MOD(BK4,BK6),"")</f>
        <v/>
      </c>
      <c r="BM7" s="151"/>
      <c r="BN7" s="118" t="str">
        <f t="array" aca="1" ref="BN7" ca="1">IF(BK1&lt;&gt;"",
IF(IFERROR(
INDEX(INDIRECT("'数出表_Excel（アレルギー入力）'!B"&amp;MATCH(BO1,'数出表_Excel（アレルギー入力）'!$A:$A,0)-1&amp;":AC"&amp;MATCH(BO1,'数出表_Excel（アレルギー入力）'!$A:$A,0)-1&amp;""),
 1,
MATCH(BK4,INDIRECT("'数出表_Excel（アレルギー入力）'!"&amp;BJ1-1&amp;":"&amp;BJ1-1&amp;""),0)),
 "")&lt;&gt;0,
IF(IFERROR(
INDEX(INDIRECT("'数出表_Excel（アレルギー入力）'!B"&amp;MATCH(BO1,'数出表_Excel（アレルギー入力）'!$A:$A,0)-1&amp;":AC"&amp;MATCH(BO1,'数出表_Excel（アレルギー入力）'!$A:$A,0)-1&amp;""),
 1,
MATCH(BK4,INDIRECT("'数出表_Excel（アレルギー入力）'!"&amp;BJ1-1&amp;":"&amp;BJ1-1&amp;""),0)),
 "")="",
IFERROR(
INDEX(INDIRECT("'数出表_Excel（アレルギー入力）'!B"&amp;MATCH(BO1,'数出表_Excel（アレルギー入力）'!$A:$A,0)-1&amp;":AC"&amp;MATCH(BO1,'数出表_Excel（アレルギー入力）'!$A:$A,0)-1&amp;""),
 1,
MATCH(TRUE,INDEX(INDIRECT("'数出表_Excel（アレルギー入力）'!B"&amp;BJ1-1&amp;":AC"&amp;BJ1-1&amp;"")&lt;&gt;"",0),0)+1),
 ""),
IFERROR(
INDEX(INDIRECT("'数出表_Excel（アレルギー入力）'!B"&amp;MATCH(BO1,'数出表_Excel（アレルギー入力）'!$A:$A,0)-1&amp;":AC"&amp;MATCH(BO1,'数出表_Excel（アレルギー入力）'!$A:$A,0)-1&amp;""),
 1,
MATCH(BK4,INDIRECT("'数出表_Excel（アレルギー入力）'!"&amp;BJ1-1&amp;":"&amp;BJ1-1&amp;""),0)),
 "")),0),"")</f>
        <v/>
      </c>
      <c r="BO7" s="151"/>
      <c r="BQ7" s="124" t="str">
        <f ca="1">IF(BR4&lt;&gt;"",
IFERROR(INT(BR4/BR6),""),"")</f>
        <v/>
      </c>
      <c r="BR7" s="151"/>
      <c r="BS7" s="124" t="str">
        <f ca="1">IFERROR(MOD(BR4,BR6),"")</f>
        <v/>
      </c>
      <c r="BT7" s="151"/>
      <c r="BU7" s="118" t="str">
        <f t="array" aca="1" ref="BU7" ca="1">IF(BR1&lt;&gt;"",
IF(IFERROR(
INDEX(INDIRECT("'数出表_Excel（アレルギー入力）'!B"&amp;MATCH(BV1,'数出表_Excel（アレルギー入力）'!$A:$A,0)-1&amp;":AC"&amp;MATCH(BV1,'数出表_Excel（アレルギー入力）'!$A:$A,0)-1&amp;""),
 1,
MATCH(BR4,INDIRECT("'数出表_Excel（アレルギー入力）'!"&amp;BQ1-1&amp;":"&amp;BQ1-1&amp;""),0)),
 "")&lt;&gt;0,
IF(IFERROR(
INDEX(INDIRECT("'数出表_Excel（アレルギー入力）'!B"&amp;MATCH(BV1,'数出表_Excel（アレルギー入力）'!$A:$A,0)-1&amp;":AC"&amp;MATCH(BV1,'数出表_Excel（アレルギー入力）'!$A:$A,0)-1&amp;""),
 1,
MATCH(BR4,INDIRECT("'数出表_Excel（アレルギー入力）'!"&amp;BQ1-1&amp;":"&amp;BQ1-1&amp;""),0)),
 "")="",
IFERROR(
INDEX(INDIRECT("'数出表_Excel（アレルギー入力）'!B"&amp;MATCH(BV1,'数出表_Excel（アレルギー入力）'!$A:$A,0)-1&amp;":AC"&amp;MATCH(BV1,'数出表_Excel（アレルギー入力）'!$A:$A,0)-1&amp;""),
 1,
MATCH(TRUE,INDEX(INDIRECT("'数出表_Excel（アレルギー入力）'!B"&amp;BQ1-1&amp;":AC"&amp;BQ1-1&amp;"")&lt;&gt;"",0),0)+1),
 ""),
IFERROR(
INDEX(INDIRECT("'数出表_Excel（アレルギー入力）'!B"&amp;MATCH(BV1,'数出表_Excel（アレルギー入力）'!$A:$A,0)-1&amp;":AC"&amp;MATCH(BV1,'数出表_Excel（アレルギー入力）'!$A:$A,0)-1&amp;""),
 1,
MATCH(BR4,INDIRECT("'数出表_Excel（アレルギー入力）'!"&amp;BQ1-1&amp;":"&amp;BQ1-1&amp;""),0)),
 "")),0),"")</f>
        <v/>
      </c>
      <c r="BV7" s="151"/>
      <c r="BX7" s="132">
        <v>7</v>
      </c>
      <c r="BY7" s="132" t="str">
        <f t="array" aca="1" ref="BY7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LEN(SUBSTITUTE(_xlfn.FORMULATEXT(BY$3),"=","")))+$BX7)</f>
        <v/>
      </c>
      <c r="BZ7" s="132" t="str">
        <f t="array" aca="1" ref="BZ7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LEN(SUBSTITUTE(_xlfn.FORMULATEXT(BZ$3),"=","")))+$BX7)</f>
        <v/>
      </c>
      <c r="CA7" s="132" t="str">
        <f t="array" aca="1" ref="CA7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LEN(SUBSTITUTE(_xlfn.FORMULATEXT(CA$3),"=","")))+$BX7)</f>
        <v/>
      </c>
      <c r="CB7" s="132" t="str">
        <f t="array" aca="1" ref="CB7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LEN(SUBSTITUTE(_xlfn.FORMULATEXT(CB$3),"=","")))+$BX7)</f>
        <v/>
      </c>
      <c r="CC7" s="132" t="str">
        <f t="array" aca="1" ref="CC7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LEN(SUBSTITUTE(_xlfn.FORMULATEXT(CC$3),"=","")))+$BX7)</f>
        <v/>
      </c>
      <c r="CD7" s="132" t="str">
        <f t="array" aca="1" ref="CD7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LEN(SUBSTITUTE(_xlfn.FORMULATEXT(CD$3),"=","")))+$BX7)</f>
        <v/>
      </c>
      <c r="CE7" s="132" t="str">
        <f t="array" aca="1" ref="CE7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LEN(SUBSTITUTE(_xlfn.FORMULATEXT(CE$3),"=","")))+$BX7)</f>
        <v/>
      </c>
      <c r="CF7" s="132" t="str">
        <f t="array" aca="1" ref="CF7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LEN(SUBSTITUTE(_xlfn.FORMULATEXT(CF$3),"=","")))+$BX7)</f>
        <v/>
      </c>
      <c r="CG7" s="132" t="str">
        <f t="array" aca="1" ref="CG7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LEN(SUBSTITUTE(_xlfn.FORMULATEXT(CG$3),"=","")))+$BX7)</f>
        <v/>
      </c>
      <c r="CH7" s="132" t="str">
        <f t="array" aca="1" ref="CH7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LEN(SUBSTITUTE(_xlfn.FORMULATEXT(CH$3),"=","")))+$BX7)</f>
        <v/>
      </c>
      <c r="CI7" s="132">
        <f t="shared" ca="1" si="0"/>
        <v>0</v>
      </c>
      <c r="CJ7" s="132" t="b">
        <f t="array" aca="1" ref="CJ7" ca="1">SUMPRODUCT((LEN(BY7:CH7)&gt;0)*1)&gt;0</f>
        <v>0</v>
      </c>
      <c r="CK7" s="132" t="str" cm="1">
        <f t="array" aca="1" ref="CK7" ca="1">IFERROR(SMALL(IF(CI$1:CI$150&lt;&gt;0,CI$1:CI$150),ROW(A7)),"")</f>
        <v/>
      </c>
      <c r="CL7" s="132" t="str">
        <f t="array" aca="1" ref="CL7" ca="1">IF($CK7&lt;&gt;"",
INDIRECT(""&amp;IF(COLUMN(BY7)&lt;=26,CHAR(COLUMN(BY7)+64),CHAR(INT((COLUMN(BY7)-1)/26)+64)&amp;CHAR(MOD(COLUMN(BY7)-1,26)+65))&amp;$CK7&amp;""),"")</f>
        <v/>
      </c>
      <c r="CM7" s="132" t="str">
        <f t="array" aca="1" ref="CM7" ca="1">IF($CK7&lt;&gt;"",
INDIRECT(""&amp;IF(COLUMN(BZ7)&lt;=26,CHAR(COLUMN(BZ7)+64),CHAR(INT((COLUMN(BZ7)-1)/26)+64)&amp;CHAR(MOD(COLUMN(BZ7)-1,26)+65))&amp;$CK7&amp;""),"")</f>
        <v/>
      </c>
      <c r="CN7" s="132" t="str">
        <f t="array" aca="1" ref="CN7" ca="1">IF($CK7&lt;&gt;"",
INDIRECT(""&amp;IF(COLUMN(CA7)&lt;=26,CHAR(COLUMN(CA7)+64),CHAR(INT((COLUMN(CA7)-1)/26)+64)&amp;CHAR(MOD(COLUMN(CA7)-1,26)+65))&amp;$CK7&amp;""),"")</f>
        <v/>
      </c>
      <c r="CO7" s="132" t="str">
        <f t="array" aca="1" ref="CO7" ca="1">IF($CK7&lt;&gt;"",
INDIRECT(""&amp;IF(COLUMN(CB7)&lt;=26,CHAR(COLUMN(CB7)+64),CHAR(INT((COLUMN(CB7)-1)/26)+64)&amp;CHAR(MOD(COLUMN(CB7)-1,26)+65))&amp;$CK7&amp;""),"")</f>
        <v/>
      </c>
      <c r="CP7" s="132" t="str">
        <f t="array" aca="1" ref="CP7" ca="1">IF($CK7&lt;&gt;"",
INDIRECT(""&amp;IF(COLUMN(CC7)&lt;=26,CHAR(COLUMN(CC7)+64),CHAR(INT((COLUMN(CC7)-1)/26)+64)&amp;CHAR(MOD(COLUMN(CC7)-1,26)+65))&amp;$CK7&amp;""),"")</f>
        <v/>
      </c>
      <c r="CQ7" s="132" t="str">
        <f t="array" aca="1" ref="CQ7" ca="1">IF($CK7&lt;&gt;"",
INDIRECT(""&amp;IF(COLUMN(CD7)&lt;=26,CHAR(COLUMN(CD7)+64),CHAR(INT((COLUMN(CD7)-1)/26)+64)&amp;CHAR(MOD(COLUMN(CD7)-1,26)+65))&amp;$CK7&amp;""),"")</f>
        <v/>
      </c>
      <c r="CR7" s="132" t="str">
        <f t="array" aca="1" ref="CR7" ca="1">IF($CK7&lt;&gt;"",
INDIRECT(""&amp;IF(COLUMN(CE7)&lt;=26,CHAR(COLUMN(CE7)+64),CHAR(INT((COLUMN(CE7)-1)/26)+64)&amp;CHAR(MOD(COLUMN(CE7)-1,26)+65))&amp;$CK7&amp;""),"")</f>
        <v/>
      </c>
      <c r="CS7" s="132" t="str">
        <f t="array" aca="1" ref="CS7" ca="1">IF($CK7&lt;&gt;"",
INDIRECT(""&amp;IF(COLUMN(CF7)&lt;=26,CHAR(COLUMN(CF7)+64),CHAR(INT((COLUMN(CF7)-1)/26)+64)&amp;CHAR(MOD(COLUMN(CF7)-1,26)+65))&amp;$CK7&amp;""),"")</f>
        <v/>
      </c>
      <c r="CT7" s="132" t="str">
        <f t="array" aca="1" ref="CT7" ca="1">IF($CK7&lt;&gt;"",
INDIRECT(""&amp;IF(COLUMN(CG7)&lt;=26,CHAR(COLUMN(CG7)+64),CHAR(INT((COLUMN(CG7)-1)/26)+64)&amp;CHAR(MOD(COLUMN(CG7)-1,26)+65))&amp;$CK7&amp;""),"")</f>
        <v/>
      </c>
      <c r="CU7" s="132" t="str">
        <f t="array" aca="1" ref="CU7" ca="1">IF($CK7&lt;&gt;"",
INDIRECT(""&amp;IF(COLUMN(CH7)&lt;=26,CHAR(COLUMN(CH7)+64),CHAR(INT((COLUMN(CH7)-1)/26)+64)&amp;CHAR(MOD(COLUMN(CH7)-1,26)+65))&amp;$CK7&amp;""),"")</f>
        <v/>
      </c>
    </row>
    <row r="8" spans="1:99" s="132" customFormat="1" ht="18" customHeight="1" x14ac:dyDescent="0.55000000000000004">
      <c r="A8" s="129" t="e" cm="1">
        <f t="array" aca="1" ref="A8" ca="1">IF(AND(LEFT(N1,2)="博多",LEFT(INDIRECT("数出表_Excel!A"&amp;I1-1),2)=LEFT(INDIRECT("数出表_Excel!A"&amp;I1+1),2)),
IF(AND(LEFT(INDIRECT("数出表_Excel!A"&amp;I1+2),2)="博多",LEFT(INDIRECT("数出表_Excel!A"&amp;I1+1),2)=LEFT(INDIRECT("数出表_Excel!A"&amp;I1+3),2)),
IF(AND(LEFT(INDIRECT("数出表_Excel!A"&amp;I1+4),2)="博多",LEFT(INDIRECT("数出表_Excel!A"&amp;I1+3),2)=LEFT(INDIRECT("数出表_Excel!A"&amp;I1+5),2)),
I1+8,
I1+6),
I1+4),
IF(LEFT(N1,3)="奈良屋",
IF(LEFT(INDIRECT("数出表_Excel!A"&amp;I1+2),3)="奈良屋",
IF(LEFT(INDIRECT("数出表_Excel!A"&amp;I1+4),3)="奈良屋",
I1+6,
I1+4),
I1+2),
I1+2))</f>
        <v>#VALUE!</v>
      </c>
      <c r="B8" s="130" t="e" cm="1">
        <f t="array" aca="1" ref="B8" ca="1">GetResult(A8)</f>
        <v>#VALUE!</v>
      </c>
      <c r="C8" s="117" t="str">
        <f ca="1">IF(C9&lt;&gt;"",
IF(LEFT(G8,2)="博多",
LEFT(G8,FIND("週",G8)-1),
G8),"")</f>
        <v/>
      </c>
      <c r="D8" s="131"/>
      <c r="E8" s="131"/>
      <c r="F8" s="131"/>
      <c r="G8" s="157" t="e">
        <f t="array" aca="1" ref="G8" ca="1">INDIRECT("数出表_Excel!A"&amp;B8)</f>
        <v>#VALUE!</v>
      </c>
      <c r="H8" s="129" t="e" cm="1">
        <f t="array" aca="1" ref="H8" ca="1">IF(AND(LEFT(G8,2)="博多",LEFT(INDIRECT("数出表_Excel!A"&amp;B8-1),2)=LEFT(INDIRECT("数出表_Excel!A"&amp;B8+1),2)),
IF(AND(LEFT(INDIRECT("数出表_Excel!A"&amp;B8+2),2)="博多",LEFT(INDIRECT("数出表_Excel!A"&amp;B8+1),2)=LEFT(INDIRECT("数出表_Excel!A"&amp;B8+3),2)),
IF(AND(LEFT(INDIRECT("数出表_Excel!A"&amp;B8+4),2)="博多",LEFT(INDIRECT("数出表_Excel!A"&amp;B8+3),2)=LEFT(INDIRECT("数出表_Excel!A"&amp;B8+5),2)),
B8+8,
B8+2),
B8+4),
IF(LEFT(G8,3)="奈良屋",
IF(LEFT(INDIRECT("数出表_Excel!A"&amp;B8+2),3)="奈良屋",
IF(LEFT(INDIRECT("数出表_Excel!A"&amp;B8+4),3)="奈良屋",
B8+6,
B8+4),
B8+2),
B8+2))</f>
        <v>#VALUE!</v>
      </c>
      <c r="I8" s="130" t="e">
        <f t="array" aca="1" ref="I8" ca="1">GetResult(H8)</f>
        <v>#VALUE!</v>
      </c>
      <c r="J8" s="117" t="str">
        <f ca="1">IF(J9&lt;&gt;"",
IF(LEFT(N8,2)="博多",
LEFT(N8,FIND("週",N8)-1),
N8),"")</f>
        <v/>
      </c>
      <c r="K8" s="131"/>
      <c r="L8" s="131"/>
      <c r="M8" s="131"/>
      <c r="N8" s="152" t="e">
        <f t="array" aca="1" ref="N8" ca="1">INDIRECT("数出表_Excel!A"&amp;I8)</f>
        <v>#VALUE!</v>
      </c>
      <c r="O8" s="129"/>
      <c r="P8" s="129" t="e">
        <f t="array" aca="1" ref="P8" ca="1">IF(LEFT(AC1,2)="博多",
IF(LEFT(INDIRECT("数出表_Excel!A"&amp;X1+2),2)="博多",
IF(LEFT(INDIRECT("数出表_Excel!A"&amp;X1+4),2)="博多",
X1+6,
X1+4),
X1+2),
IF(LEFT(AC1,3)="奈良屋",
IF(LEFT(INDIRECT("数出表_Excel!A"&amp;X1+2),3)="奈良屋",
IF(LEFT(INDIRECT("数出表_Excel!A"&amp;X1+4),3)="奈良屋",
X1+6,
X1+4),
X1+2),
X1+2))</f>
        <v>#VALUE!</v>
      </c>
      <c r="Q8" s="130" t="e">
        <f t="array" aca="1" ref="Q8" ca="1">GetResult(P8)</f>
        <v>#VALUE!</v>
      </c>
      <c r="R8" s="117" t="str">
        <f ca="1">IF(R9&lt;&gt;"",
IF(LEFT(V8,2)="博多",
LEFT(V8,FIND("週",V8)-1),
V8),"")</f>
        <v/>
      </c>
      <c r="S8" s="131"/>
      <c r="T8" s="131"/>
      <c r="U8" s="131"/>
      <c r="V8" s="152" t="e">
        <f t="array" aca="1" ref="V8" ca="1">INDIRECT("数出表_Excel!A"&amp;Q8)</f>
        <v>#VALUE!</v>
      </c>
      <c r="W8" s="129" t="e">
        <f t="array" aca="1" ref="W8" ca="1">IF(LEFT(V8,2)="博多",
IF(LEFT(INDIRECT("数出表_Excel!A"&amp;Q8+2),2)="博多",
IF(LEFT(INDIRECT("数出表_Excel!A"&amp;Q8+4),2)="博多",
Q8+6,
Q8+4),
Q8+2),
IF(LEFT(V8,3)="奈良屋",
IF(LEFT(INDIRECT("数出表_Excel!A"&amp;Q8+2),3)="奈良屋",
IF(LEFT(INDIRECT("数出表_Excel!A"&amp;Q8+4),3)="奈良屋",
Q8+6,
Q8+4),
Q8+2),
Q8+2))</f>
        <v>#VALUE!</v>
      </c>
      <c r="X8" s="130" t="e">
        <f t="array" aca="1" ref="X8" ca="1">GetResult(W8)</f>
        <v>#VALUE!</v>
      </c>
      <c r="Y8" s="117" t="str">
        <f ca="1">IF(Y9&lt;&gt;"",
IF(LEFT(AC8,2)="博多",
LEFT(AC8,FIND("週",AC8)-1),
AC8),"")</f>
        <v/>
      </c>
      <c r="Z8" s="131"/>
      <c r="AA8" s="131"/>
      <c r="AB8" s="131"/>
      <c r="AC8" s="152" t="e">
        <f t="array" aca="1" ref="AC8" ca="1">INDIRECT("数出表_Excel!A"&amp;X8)</f>
        <v>#VALUE!</v>
      </c>
      <c r="AD8" s="129"/>
      <c r="AE8" s="129" t="e">
        <f t="array" aca="1" ref="AE8" ca="1">IF(LEFT(AR1,2)="博多",
IF(LEFT(INDIRECT("数出表_Excel!A"&amp;AM1+2),2)="博多",
IF(LEFT(INDIRECT("数出表_Excel!A"&amp;AM1+4),2)="博多",
AM1+6,
AM1+4),
AM1+2),
IF(LEFT(AR1,3)="奈良屋",
IF(LEFT(INDIRECT("数出表_Excel!A"&amp;AM1+2),3)="奈良屋",
IF(LEFT(INDIRECT("数出表_Excel!A"&amp;AM1+4),3)="奈良屋",
AM1+6,
AM1+4),
AM1+2),
AM1+2))</f>
        <v>#VALUE!</v>
      </c>
      <c r="AF8" s="130" t="e">
        <f t="array" aca="1" ref="AF8" ca="1">GetResult(AE8)</f>
        <v>#VALUE!</v>
      </c>
      <c r="AG8" s="117" t="str">
        <f ca="1">IF(AG9&lt;&gt;"",
IF(LEFT(AK8,2)="博多",
LEFT(AK8,FIND("週",AK8)-1),
AK8),"")</f>
        <v/>
      </c>
      <c r="AH8" s="131"/>
      <c r="AI8" s="131"/>
      <c r="AJ8" s="131"/>
      <c r="AK8" s="152" t="e">
        <f t="array" aca="1" ref="AK8" ca="1">INDIRECT("数出表_Excel!A"&amp;AF8)</f>
        <v>#VALUE!</v>
      </c>
      <c r="AL8" s="129" t="e">
        <f t="array" aca="1" ref="AL8" ca="1">IF(LEFT(AK8,2)="博多",
IF(LEFT(INDIRECT("数出表_Excel!A"&amp;AF8+2),2)="博多",
IF(LEFT(INDIRECT("数出表_Excel!A"&amp;AF8+4),2)="博多",
AF8+6,
AF8+4),
AF8+2),
IF(LEFT(AK8,3)="奈良屋",
IF(LEFT(INDIRECT("数出表_Excel!A"&amp;AF8+2),3)="奈良屋",
IF(LEFT(INDIRECT("数出表_Excel!A"&amp;AF8+4),3)="奈良屋",
AF8+6,
AF8+4),
AF8+2),
AF8+2))</f>
        <v>#VALUE!</v>
      </c>
      <c r="AM8" s="130" t="e">
        <f t="array" aca="1" ref="AM8" ca="1">GetResult(AL8)</f>
        <v>#VALUE!</v>
      </c>
      <c r="AN8" s="117" t="str">
        <f ca="1">IF(AN9&lt;&gt;"",
IF(LEFT(AR8,2)="博多",
LEFT(AR8,FIND("週",AR8)-1),
AR8),"")</f>
        <v/>
      </c>
      <c r="AO8" s="131"/>
      <c r="AP8" s="131"/>
      <c r="AQ8" s="131"/>
      <c r="AR8" s="152" t="e">
        <f t="array" aca="1" ref="AR8" ca="1">INDIRECT("数出表_Excel!A"&amp;AM8)</f>
        <v>#VALUE!</v>
      </c>
      <c r="AS8" s="129"/>
      <c r="AT8" s="129" t="e">
        <f t="array" aca="1" ref="AT8" ca="1">IF(LEFT(BG1,2)="博多",
IF(LEFT(INDIRECT("数出表_Excel!A"&amp;BB1+2),2)="博多",
IF(LEFT(INDIRECT("数出表_Excel!A"&amp;BB1+4),2)="博多",
BB1+6,
BB1+4),
BB1+2),
IF(LEFT(BG1,3)="奈良屋",
IF(LEFT(INDIRECT("数出表_Excel!A"&amp;BB1+2),3)="奈良屋",
IF(LEFT(INDIRECT("数出表_Excel!A"&amp;BB1+4),3)="奈良屋",
BB1+6,
BB1+4),
BB1+2),
BB1+2))</f>
        <v>#VALUE!</v>
      </c>
      <c r="AU8" s="130" t="e">
        <f t="array" aca="1" ref="AU8" ca="1">GetResult(AT8)</f>
        <v>#VALUE!</v>
      </c>
      <c r="AV8" s="117" t="str">
        <f ca="1">IF(AV9&lt;&gt;"",
IF(LEFT(AZ8,2)="博多",
LEFT(AZ8,FIND("週",AZ8)-1),
AZ8),"")</f>
        <v/>
      </c>
      <c r="AW8" s="131"/>
      <c r="AX8" s="131"/>
      <c r="AY8" s="131"/>
      <c r="AZ8" s="152" t="e">
        <f t="array" aca="1" ref="AZ8" ca="1">INDIRECT("数出表_Excel!A"&amp;AU8)</f>
        <v>#VALUE!</v>
      </c>
      <c r="BA8" s="129" t="e">
        <f t="array" aca="1" ref="BA8" ca="1">IF(LEFT(AZ8,2)="博多",
IF(LEFT(INDIRECT("数出表_Excel!A"&amp;AU8+2),2)="博多",
IF(LEFT(INDIRECT("数出表_Excel!A"&amp;AU8+4),2)="博多",
AU8+6,
AU8+4),
AU8+2),
IF(LEFT(AZ8,3)="奈良屋",
IF(LEFT(INDIRECT("数出表_Excel!A"&amp;AU8+2),3)="奈良屋",
IF(LEFT(INDIRECT("数出表_Excel!A"&amp;AU8+4),3)="奈良屋",
AU8+6,
AU8+4),
AU8+2),
AU8+2))</f>
        <v>#VALUE!</v>
      </c>
      <c r="BB8" s="130" t="e">
        <f t="array" aca="1" ref="BB8" ca="1">GetResult(BA8)</f>
        <v>#VALUE!</v>
      </c>
      <c r="BC8" s="117" t="str">
        <f ca="1">IF(BC9&lt;&gt;"",
IF(LEFT(BG8,2)="博多",
LEFT(BG8,FIND("週",BG8)-1),
BG8),"")</f>
        <v/>
      </c>
      <c r="BD8" s="131"/>
      <c r="BE8" s="131"/>
      <c r="BF8" s="131"/>
      <c r="BG8" s="152" t="e">
        <f t="array" aca="1" ref="BG8" ca="1">INDIRECT("数出表_Excel!A"&amp;BB8)</f>
        <v>#VALUE!</v>
      </c>
      <c r="BH8" s="129"/>
      <c r="BI8" s="129" t="e">
        <f t="array" aca="1" ref="BI8" ca="1">IF(LEFT(BV1,2)="博多",
IF(LEFT(INDIRECT("数出表_Excel!A"&amp;BQ1+2),2)="博多",
IF(LEFT(INDIRECT("数出表_Excel!A"&amp;BQ1+4),2)="博多",
BQ1+6,
BQ1+4),
BQ1+2),
IF(LEFT(BV1,3)="奈良屋",
IF(LEFT(INDIRECT("数出表_Excel!A"&amp;BQ1+2),3)="奈良屋",
IF(LEFT(INDIRECT("数出表_Excel!A"&amp;BQ1+4),3)="奈良屋",
BQ1+6,
BQ1+4),
BQ1+2),
BQ1+2))</f>
        <v>#VALUE!</v>
      </c>
      <c r="BJ8" s="130" t="e">
        <f t="array" aca="1" ref="BJ8" ca="1">GetResult(BI8)</f>
        <v>#VALUE!</v>
      </c>
      <c r="BK8" s="117" t="str">
        <f ca="1">IF(BK9&lt;&gt;"",
IF(LEFT(BO8,2)="博多",
LEFT(BO8,FIND("週",BO8)-1),
BO8),"")</f>
        <v/>
      </c>
      <c r="BL8" s="131"/>
      <c r="BM8" s="131"/>
      <c r="BN8" s="131"/>
      <c r="BO8" s="152" t="e">
        <f t="array" aca="1" ref="BO8" ca="1">INDIRECT("数出表_Excel!A"&amp;BJ8)</f>
        <v>#VALUE!</v>
      </c>
      <c r="BP8" s="129" t="e">
        <f t="array" aca="1" ref="BP8" ca="1">IF(LEFT(BO8,2)="博多",
IF(LEFT(INDIRECT("数出表_Excel!A"&amp;BJ8+2),2)="博多",
IF(LEFT(INDIRECT("数出表_Excel!A"&amp;BJ8+4),2)="博多",
BJ8+6,
BJ8+4),
BJ8+2),
IF(LEFT(BO8,3)="奈良屋",
IF(LEFT(INDIRECT("数出表_Excel!A"&amp;BJ8+2),3)="奈良屋",
IF(LEFT(INDIRECT("数出表_Excel!A"&amp;BJ8+4),3)="奈良屋",
BJ8+6,
BJ8+4),
BJ8+2),
BJ8+2))</f>
        <v>#VALUE!</v>
      </c>
      <c r="BQ8" s="130" t="e">
        <f t="array" aca="1" ref="BQ8" ca="1">GetResult(BP8)</f>
        <v>#VALUE!</v>
      </c>
      <c r="BR8" s="117" t="str">
        <f ca="1">IF(BR9&lt;&gt;"",
IF(LEFT(BV8,2)="博多",
LEFT(BV8,FIND("週",BV8)-1),
BV8),"")</f>
        <v/>
      </c>
      <c r="BS8" s="131"/>
      <c r="BT8" s="131"/>
      <c r="BU8" s="131"/>
      <c r="BV8" s="152" t="e">
        <f t="array" aca="1" ref="BV8" ca="1">INDIRECT("数出表_Excel!A"&amp;BQ8)</f>
        <v>#VALUE!</v>
      </c>
      <c r="BW8" s="129"/>
      <c r="BX8" s="132">
        <f t="shared" ref="BX8:BX24" si="1">BX4+7</f>
        <v>49</v>
      </c>
      <c r="BY8" s="132" t="str">
        <f t="array" aca="1" ref="BY8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LEN(SUBSTITUTE(_xlfn.FORMULATEXT(BY$3),"=","")))+$BX8)</f>
        <v/>
      </c>
      <c r="BZ8" s="132" t="str">
        <f t="array" aca="1" ref="BZ8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LEN(SUBSTITUTE(_xlfn.FORMULATEXT(BZ$3),"=","")))+$BX8)</f>
        <v/>
      </c>
      <c r="CA8" s="132" t="str">
        <f t="array" aca="1" ref="CA8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LEN(SUBSTITUTE(_xlfn.FORMULATEXT(CA$3),"=","")))+$BX8)</f>
        <v/>
      </c>
      <c r="CB8" s="132" t="str">
        <f t="array" aca="1" ref="CB8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LEN(SUBSTITUTE(_xlfn.FORMULATEXT(CB$3),"=","")))+$BX8)</f>
        <v/>
      </c>
      <c r="CC8" s="132" t="str">
        <f t="array" aca="1" ref="CC8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LEN(SUBSTITUTE(_xlfn.FORMULATEXT(CC$3),"=","")))+$BX8)</f>
        <v/>
      </c>
      <c r="CD8" s="132" t="str">
        <f t="array" aca="1" ref="CD8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LEN(SUBSTITUTE(_xlfn.FORMULATEXT(CD$3),"=","")))+$BX8)</f>
        <v/>
      </c>
      <c r="CE8" s="132" t="str">
        <f t="array" aca="1" ref="CE8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LEN(SUBSTITUTE(_xlfn.FORMULATEXT(CE$3),"=","")))+$BX8)</f>
        <v/>
      </c>
      <c r="CF8" s="132" t="str">
        <f t="array" aca="1" ref="CF8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LEN(SUBSTITUTE(_xlfn.FORMULATEXT(CF$3),"=","")))+$BX8)</f>
        <v/>
      </c>
      <c r="CG8" s="132" t="str">
        <f t="array" aca="1" ref="CG8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LEN(SUBSTITUTE(_xlfn.FORMULATEXT(CG$3),"=","")))+$BX8)</f>
        <v/>
      </c>
      <c r="CH8" s="132" t="str">
        <f t="array" aca="1" ref="CH8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LEN(SUBSTITUTE(_xlfn.FORMULATEXT(CH$3),"=","")))+$BX8)</f>
        <v/>
      </c>
      <c r="CI8" s="132">
        <f t="shared" ca="1" si="0"/>
        <v>0</v>
      </c>
      <c r="CJ8" s="132" t="b">
        <f t="array" aca="1" ref="CJ8" ca="1">SUMPRODUCT((LEN(BY8:CH8)&gt;0)*1)&gt;0</f>
        <v>0</v>
      </c>
      <c r="CK8" s="132" t="str" cm="1">
        <f t="array" aca="1" ref="CK8" ca="1">IFERROR(SMALL(IF(CI$1:CI$150&lt;&gt;0,CI$1:CI$150),ROW(A8)),"")</f>
        <v/>
      </c>
      <c r="CL8" s="132" t="str">
        <f t="array" aca="1" ref="CL8" ca="1">IF($CK8&lt;&gt;"",
INDIRECT(""&amp;IF(COLUMN(BY8)&lt;=26,CHAR(COLUMN(BY8)+64),CHAR(INT((COLUMN(BY8)-1)/26)+64)&amp;CHAR(MOD(COLUMN(BY8)-1,26)+65))&amp;$CK8&amp;""),"")</f>
        <v/>
      </c>
      <c r="CM8" s="132" t="str">
        <f t="array" aca="1" ref="CM8" ca="1">IF($CK8&lt;&gt;"",
INDIRECT(""&amp;IF(COLUMN(BZ8)&lt;=26,CHAR(COLUMN(BZ8)+64),CHAR(INT((COLUMN(BZ8)-1)/26)+64)&amp;CHAR(MOD(COLUMN(BZ8)-1,26)+65))&amp;$CK8&amp;""),"")</f>
        <v/>
      </c>
      <c r="CN8" s="132" t="str">
        <f t="array" aca="1" ref="CN8" ca="1">IF($CK8&lt;&gt;"",
INDIRECT(""&amp;IF(COLUMN(CA8)&lt;=26,CHAR(COLUMN(CA8)+64),CHAR(INT((COLUMN(CA8)-1)/26)+64)&amp;CHAR(MOD(COLUMN(CA8)-1,26)+65))&amp;$CK8&amp;""),"")</f>
        <v/>
      </c>
      <c r="CO8" s="132" t="str">
        <f t="array" aca="1" ref="CO8" ca="1">IF($CK8&lt;&gt;"",
INDIRECT(""&amp;IF(COLUMN(CB8)&lt;=26,CHAR(COLUMN(CB8)+64),CHAR(INT((COLUMN(CB8)-1)/26)+64)&amp;CHAR(MOD(COLUMN(CB8)-1,26)+65))&amp;$CK8&amp;""),"")</f>
        <v/>
      </c>
      <c r="CP8" s="132" t="str">
        <f t="array" aca="1" ref="CP8" ca="1">IF($CK8&lt;&gt;"",
INDIRECT(""&amp;IF(COLUMN(CC8)&lt;=26,CHAR(COLUMN(CC8)+64),CHAR(INT((COLUMN(CC8)-1)/26)+64)&amp;CHAR(MOD(COLUMN(CC8)-1,26)+65))&amp;$CK8&amp;""),"")</f>
        <v/>
      </c>
      <c r="CQ8" s="132" t="str">
        <f t="array" aca="1" ref="CQ8" ca="1">IF($CK8&lt;&gt;"",
INDIRECT(""&amp;IF(COLUMN(CD8)&lt;=26,CHAR(COLUMN(CD8)+64),CHAR(INT((COLUMN(CD8)-1)/26)+64)&amp;CHAR(MOD(COLUMN(CD8)-1,26)+65))&amp;$CK8&amp;""),"")</f>
        <v/>
      </c>
      <c r="CR8" s="132" t="str">
        <f t="array" aca="1" ref="CR8" ca="1">IF($CK8&lt;&gt;"",
INDIRECT(""&amp;IF(COLUMN(CE8)&lt;=26,CHAR(COLUMN(CE8)+64),CHAR(INT((COLUMN(CE8)-1)/26)+64)&amp;CHAR(MOD(COLUMN(CE8)-1,26)+65))&amp;$CK8&amp;""),"")</f>
        <v/>
      </c>
      <c r="CS8" s="132" t="str">
        <f t="array" aca="1" ref="CS8" ca="1">IF($CK8&lt;&gt;"",
INDIRECT(""&amp;IF(COLUMN(CF8)&lt;=26,CHAR(COLUMN(CF8)+64),CHAR(INT((COLUMN(CF8)-1)/26)+64)&amp;CHAR(MOD(COLUMN(CF8)-1,26)+65))&amp;$CK8&amp;""),"")</f>
        <v/>
      </c>
      <c r="CT8" s="132" t="str">
        <f t="array" aca="1" ref="CT8" ca="1">IF($CK8&lt;&gt;"",
INDIRECT(""&amp;IF(COLUMN(CG8)&lt;=26,CHAR(COLUMN(CG8)+64),CHAR(INT((COLUMN(CG8)-1)/26)+64)&amp;CHAR(MOD(COLUMN(CG8)-1,26)+65))&amp;$CK8&amp;""),"")</f>
        <v/>
      </c>
      <c r="CU8" s="132" t="str">
        <f t="array" aca="1" ref="CU8" ca="1">IF($CK8&lt;&gt;"",
INDIRECT(""&amp;IF(COLUMN(CH8)&lt;=26,CHAR(COLUMN(CH8)+64),CHAR(INT((COLUMN(CH8)-1)/26)+64)&amp;CHAR(MOD(COLUMN(CH8)-1,26)+65))&amp;$CK8&amp;""),"")</f>
        <v/>
      </c>
    </row>
    <row r="9" spans="1:99" s="132" customFormat="1" ht="18" customHeight="1" x14ac:dyDescent="0.55000000000000004">
      <c r="A9" s="129"/>
      <c r="B9" s="135" t="e">
        <f t="array" aca="1" ref="B9" ca="1">IF(B10&lt;&gt;100,
IF(C11&lt;&gt;"",MATCH(C11,INDIRECT("数出表_Excel!B"&amp;MATCH(G8,数出表_Excel!$A:$A,0)-1&amp;":U"&amp;MATCH(G8,数出表_Excel!$A:$A,0)-1&amp;""),0)+1,""),
IF(C11&lt;&gt;"",
MATCH(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""),
INDIRECT("数出表_Excel!B"&amp;MATCH(G8,数出表_Excel!$A:$A,0)-1&amp;":U"&amp;MATCH(G8,数出表_Excel!$A:$A,0)-1&amp;""),0)+1,""))</f>
        <v>#VALUE!</v>
      </c>
      <c r="C9" s="70" t="str">
        <f t="array" aca="1" ref="C9" ca="1">IF(COUNTIF(G8,"*合計*"),"",
IF(IFERROR(INDIRECT("数出表_Excel!" &amp;
CHAR(MATCH(TRUE,
ISNUMBER(--INDIRECT("数出表_Excel!B"&amp;MATCH(G8,数出表_Excel!$A:$A,0)-1&amp;":U"&amp;MATCH(G8,数出表_Excel!$A:$A,0)-1&amp;"")),0)+65) &amp; "3"),0)=0,"",
IFERROR(INDIRECT("数出表_Excel!" &amp;
CHAR(MATCH(TRUE,
ISNUMBER(--INDIRECT("数出表_Excel!B"&amp;MATCH(G8,数出表_Excel!$A:$A,0)-1&amp;":U"&amp;MATCH(G8,数出表_Excel!$A:$A,0)-1&amp;"")),0)+65) &amp; "3"),"")))</f>
        <v/>
      </c>
      <c r="D9" s="129"/>
      <c r="E9" s="136" t="str">
        <f ca="1">IF(F9&lt;&gt;"","",
IF(C8&lt;&gt;"",
IFERROR(
INDEX('数出表_Excel（アレルギー入力）'!$4:$4,
 1,
MATCH(C11,INDIRECT("'数出表_Excel（アレルギー入力）'!"&amp;B8-1&amp;":"&amp;B8-1&amp;""),0)),
 "")
&amp;IFERROR(
INDEX('数出表_Excel（アレルギー入力）'!$5:$5,
 1,
MATCH(C11,INDIRECT("'数出表_Excel（アレルギー入力）'!"&amp;B8-1&amp;":"&amp;B8-1&amp;""),0)),
 ""),""))</f>
        <v/>
      </c>
      <c r="F9" s="137" t="str">
        <f t="array" aca="1" ref="F9" ca="1">IF(C9&lt;&gt;"",
IF(MATCH(TRUE,
ISNUMBER(--INDIRECT("数出表_Excel!B"&amp;MATCH(G8,数出表_Excel!$A:$A,0)-1&amp;":U"&amp;MATCH(G8,数出表_Excel!$A:$A,0)-1&amp;"")),0)&gt;10,
IF(C9&lt;&gt;"",
IF(IF(COUNTIF('盛付札（関数）'!C9,"*キャラ*"),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VLOOKUP('盛付札（関数）'!C9,商品マスタ一覧!$D:$J,7,FALSE)))=0,"",
IF(ROUND(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VLOOKUP('盛付札（関数）'!C9,商品マスタ一覧!$D:$J,7,FALSE))),0)&lt;=0,1,
ROUND(
IF(F14&lt;&gt;"",(C11-F14),C11)
/IF(COUNTIF('盛付札（関数）'!C9,"*キャラ*"),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VLOOKUP('盛付札（関数）'!C9,商品マスタ一覧!$D:$J,7,FALSE))),0))),""),""),"")</f>
        <v/>
      </c>
      <c r="G9" s="158" t="str">
        <f ca="1">IF(F9&lt;&gt;"",IF(VALUE(IF(F14&lt;&gt;"",C11-F14,C11))&gt;VALUE(IF(COUNTIF('盛付札（関数）'!C9,"*キャラ*"),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
"+"&amp;IF(F14&lt;&gt;"",C11-F14,C11)-IF(COUNTIF('盛付札（関数）'!C9,"*キャラ*"),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VLOOKUP('盛付札（関数）'!C9,商品マスタ一覧!$D:$J,7,FALSE)))*F9,
IF(F14&lt;&gt;"",C11-F14,C11)-IF(COUNTIF('盛付札（関数）'!C9,"*キャラ*"),
VLOOKUP("*キャラ*",商品マスタ一覧!$D:$J,7,FALSE),
IF(COUNTIF('盛付札（関数）'!C9,"*赤*"),
VLOOKUP("*赤*",商品マスタ一覧!$D:$J,7,FALSE),
VLOOKUP('盛付札（関数）'!C9,商品マスタ一覧!$D:$J,7,FALSE)))*F9),"")</f>
        <v/>
      </c>
      <c r="H9" s="129"/>
      <c r="I9" s="135" t="e">
        <f t="array" aca="1" ref="I9" ca="1">IF(I10&lt;&gt;100,
IF(J11&lt;&gt;"",MATCH(J11,INDIRECT("数出表_Excel!B"&amp;MATCH(N8,数出表_Excel!$A:$A,0)-1&amp;":U"&amp;MATCH(N8,数出表_Excel!$A:$A,0)-1&amp;""),0)+1,""),
IF(J11&lt;&gt;"",
MATCH(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""),
INDIRECT("数出表_Excel!B"&amp;MATCH(N8,数出表_Excel!$A:$A,0)-1&amp;":U"&amp;MATCH(N8,数出表_Excel!$A:$A,0)-1&amp;""),0)+1,""))</f>
        <v>#VALUE!</v>
      </c>
      <c r="J9" s="70" t="str">
        <f t="array" aca="1" ref="J9" ca="1">IF(COUNTIF(N8,"*合計*"),"",
IF(IFERROR(INDIRECT("数出表_Excel!" &amp;
CHAR(MATCH(TRUE,
ISNUMBER(--INDIRECT("数出表_Excel!B"&amp;MATCH(N8,数出表_Excel!$A:$A,0)-1&amp;":U"&amp;MATCH(N8,数出表_Excel!$A:$A,0)-1&amp;"")),0)+65) &amp; "3"),0)=0,"",
IFERROR(INDIRECT("数出表_Excel!" &amp;
CHAR(MATCH(TRUE,
ISNUMBER(--INDIRECT("数出表_Excel!B"&amp;MATCH(N8,数出表_Excel!$A:$A,0)-1&amp;":U"&amp;MATCH(N8,数出表_Excel!$A:$A,0)-1&amp;"")),0)+65) &amp; "3"),"")))</f>
        <v/>
      </c>
      <c r="K9" s="129"/>
      <c r="L9" s="136" t="str">
        <f ca="1">IF(M9&lt;&gt;"","",
IF(J8&lt;&gt;"",
IFERROR(
INDEX('数出表_Excel（アレルギー入力）'!$4:$4,
 1,
MATCH(J11,INDIRECT("'数出表_Excel（アレルギー入力）'!"&amp;I8-1&amp;":"&amp;I8-1&amp;""),0)),
 "")
&amp;IFERROR(
INDEX('数出表_Excel（アレルギー入力）'!$5:$5,
 1,
MATCH(J11,INDIRECT("'数出表_Excel（アレルギー入力）'!"&amp;I8-1&amp;":"&amp;I8-1&amp;""),0)),
 ""),""))</f>
        <v/>
      </c>
      <c r="M9" s="137" t="str">
        <f t="array" aca="1" ref="M9" ca="1">IF(J9&lt;&gt;"",
IF(MATCH(TRUE,
ISNUMBER(--INDIRECT("数出表_Excel!B"&amp;MATCH(N8,数出表_Excel!$A:$A,0)-1&amp;":U"&amp;MATCH(N8,数出表_Excel!$A:$A,0)-1&amp;"")),0)&gt;10,
IF(J9&lt;&gt;"",
IF(IF(COUNTIF('盛付札（関数）'!J9,"*キャラ*"),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VLOOKUP('盛付札（関数）'!J9,商品マスタ一覧!$D:$J,7,FALSE)))=0,"",
IF(ROUND(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VLOOKUP('盛付札（関数）'!J9,商品マスタ一覧!$D:$J,7,FALSE))),0)&lt;=0,1,
ROUND(
IF(M14&lt;&gt;"",(J11-M14),J11)
/IF(COUNTIF('盛付札（関数）'!J9,"*キャラ*"),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VLOOKUP('盛付札（関数）'!J9,商品マスタ一覧!$D:$J,7,FALSE))),0))),""),""),"")</f>
        <v/>
      </c>
      <c r="N9" s="153" t="str">
        <f ca="1">IF(M9&lt;&gt;"",IF(VALUE(IF(M14&lt;&gt;"",J11-M14,J11))&gt;VALUE(IF(COUNTIF('盛付札（関数）'!J9,"*キャラ*"),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
"+"&amp;IF(M14&lt;&gt;"",J11-M14,J11)-IF(COUNTIF('盛付札（関数）'!J9,"*キャラ*"),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VLOOKUP('盛付札（関数）'!J9,商品マスタ一覧!$D:$J,7,FALSE)))*M9,
IF(M14&lt;&gt;"",J11-M14,J11)-IF(COUNTIF('盛付札（関数）'!J9,"*キャラ*"),
VLOOKUP("*キャラ*",商品マスタ一覧!$D:$J,7,FALSE),
IF(COUNTIF('盛付札（関数）'!J9,"*赤*"),
VLOOKUP("*赤*",商品マスタ一覧!$D:$J,7,FALSE),
VLOOKUP('盛付札（関数）'!J9,商品マスタ一覧!$D:$J,7,FALSE)))*M9),"")</f>
        <v/>
      </c>
      <c r="O9" s="129"/>
      <c r="P9" s="129"/>
      <c r="Q9" s="135" t="e">
        <f t="array" aca="1" ref="Q9" ca="1">IF(Q10&lt;&gt;100,
IF(R11&lt;&gt;"",MATCH(R11,INDIRECT("数出表_Excel!B"&amp;MATCH(V8,数出表_Excel!$A:$A,0)-1&amp;":U"&amp;MATCH(V8,数出表_Excel!$A:$A,0)-1&amp;""),0)+1,""),
IF(R11&lt;&gt;"",
MATCH(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""),
INDIRECT("数出表_Excel!B"&amp;MATCH(V8,数出表_Excel!$A:$A,0)-1&amp;":U"&amp;MATCH(V8,数出表_Excel!$A:$A,0)-1&amp;""),0)+1,""))</f>
        <v>#VALUE!</v>
      </c>
      <c r="R9" s="70" t="str">
        <f t="array" aca="1" ref="R9" ca="1">IF(COUNTIF(V8,"*合計*"),"",
IF(IFERROR(INDIRECT("数出表_Excel!" &amp;
CHAR(MATCH(TRUE,
ISNUMBER(--INDIRECT("数出表_Excel!B"&amp;MATCH(V8,数出表_Excel!$A:$A,0)-1&amp;":U"&amp;MATCH(V8,数出表_Excel!$A:$A,0)-1&amp;"")),0)+65) &amp; "3"),0)=0,"",
IFERROR(INDIRECT("数出表_Excel!" &amp;
CHAR(MATCH(TRUE,
ISNUMBER(--INDIRECT("数出表_Excel!B"&amp;MATCH(V8,数出表_Excel!$A:$A,0)-1&amp;":U"&amp;MATCH(V8,数出表_Excel!$A:$A,0)-1&amp;"")),0)+65) &amp; "3"),"")))</f>
        <v/>
      </c>
      <c r="S9" s="129"/>
      <c r="T9" s="136" t="str">
        <f ca="1">IF(U9&lt;&gt;"","",
IF(R8&lt;&gt;"",
IFERROR(
INDEX('数出表_Excel（アレルギー入力）'!$4:$4,
 1,
MATCH(R11,INDIRECT("'数出表_Excel（アレルギー入力）'!"&amp;Q8-1&amp;":"&amp;Q8-1&amp;""),0)),
 "")
&amp;IFERROR(
INDEX('数出表_Excel（アレルギー入力）'!$5:$5,
 1,
MATCH(R11,INDIRECT("'数出表_Excel（アレルギー入力）'!"&amp;Q8-1&amp;":"&amp;Q8-1&amp;""),0)),
 ""),""))</f>
        <v/>
      </c>
      <c r="U9" s="137" t="str">
        <f t="array" aca="1" ref="U9" ca="1">IF(R9&lt;&gt;"",
IF(MATCH(TRUE,
ISNUMBER(--INDIRECT("数出表_Excel!B"&amp;MATCH(V8,数出表_Excel!$A:$A,0)-1&amp;":U"&amp;MATCH(V8,数出表_Excel!$A:$A,0)-1&amp;"")),0)&gt;10,
IF(R9&lt;&gt;"",
IF(IF(COUNTIF('盛付札（関数）'!R9,"*キャラ*"),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VLOOKUP('盛付札（関数）'!R9,商品マスタ一覧!$D:$J,7,FALSE)))=0,"",
IF(ROUND(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VLOOKUP('盛付札（関数）'!R9,商品マスタ一覧!$D:$J,7,FALSE))),0)&lt;=0,1,
ROUND(
IF(U14&lt;&gt;"",(R11-U14),R11)
/IF(COUNTIF('盛付札（関数）'!R9,"*キャラ*"),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VLOOKUP('盛付札（関数）'!R9,商品マスタ一覧!$D:$J,7,FALSE))),0))),""),""),"")</f>
        <v/>
      </c>
      <c r="V9" s="153" t="str">
        <f ca="1">IF(U9&lt;&gt;"",IF(VALUE(IF(U14&lt;&gt;"",R11-U14,R11))&gt;VALUE(IF(COUNTIF('盛付札（関数）'!R9,"*キャラ*"),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
"+"&amp;IF(U14&lt;&gt;"",R11-U14,R11)-IF(COUNTIF('盛付札（関数）'!R9,"*キャラ*"),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VLOOKUP('盛付札（関数）'!R9,商品マスタ一覧!$D:$J,7,FALSE)))*U9,
IF(U14&lt;&gt;"",R11-U14,R11)-IF(COUNTIF('盛付札（関数）'!R9,"*キャラ*"),
VLOOKUP("*キャラ*",商品マスタ一覧!$D:$J,7,FALSE),
IF(COUNTIF('盛付札（関数）'!R9,"*赤*"),
VLOOKUP("*赤*",商品マスタ一覧!$D:$J,7,FALSE),
VLOOKUP('盛付札（関数）'!R9,商品マスタ一覧!$D:$J,7,FALSE)))*U9),"")</f>
        <v/>
      </c>
      <c r="W9" s="129"/>
      <c r="X9" s="135" t="e">
        <f t="array" aca="1" ref="X9" ca="1">IF(X10&lt;&gt;100,
IF(Y11&lt;&gt;"",MATCH(Y11,INDIRECT("数出表_Excel!B"&amp;MATCH(AC8,数出表_Excel!$A:$A,0)-1&amp;":U"&amp;MATCH(AC8,数出表_Excel!$A:$A,0)-1&amp;""),0)+1,""),
IF(Y11&lt;&gt;"",
MATCH(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""),
INDIRECT("数出表_Excel!B"&amp;MATCH(AC8,数出表_Excel!$A:$A,0)-1&amp;":U"&amp;MATCH(AC8,数出表_Excel!$A:$A,0)-1&amp;""),0)+1,""))</f>
        <v>#VALUE!</v>
      </c>
      <c r="Y9" s="70" t="str">
        <f t="array" aca="1" ref="Y9" ca="1">IF(COUNTIF(AC8,"*合計*"),"",
IF(IFERROR(INDIRECT("数出表_Excel!" &amp;
CHAR(MATCH(TRUE,
ISNUMBER(--INDIRECT("数出表_Excel!B"&amp;MATCH(AC8,数出表_Excel!$A:$A,0)-1&amp;":U"&amp;MATCH(AC8,数出表_Excel!$A:$A,0)-1&amp;"")),0)+65) &amp; "3"),0)=0,"",
IFERROR(INDIRECT("数出表_Excel!" &amp;
CHAR(MATCH(TRUE,
ISNUMBER(--INDIRECT("数出表_Excel!B"&amp;MATCH(AC8,数出表_Excel!$A:$A,0)-1&amp;":U"&amp;MATCH(AC8,数出表_Excel!$A:$A,0)-1&amp;"")),0)+65) &amp; "3"),"")))</f>
        <v/>
      </c>
      <c r="Z9" s="129"/>
      <c r="AA9" s="136" t="str">
        <f ca="1">IF(AB9&lt;&gt;"","",
IF(Y8&lt;&gt;"",
IFERROR(
INDEX('数出表_Excel（アレルギー入力）'!$4:$4,
 1,
MATCH(Y11,INDIRECT("'数出表_Excel（アレルギー入力）'!"&amp;X8-1&amp;":"&amp;X8-1&amp;""),0)),
 "")
&amp;IFERROR(
INDEX('数出表_Excel（アレルギー入力）'!$5:$5,
 1,
MATCH(Y11,INDIRECT("'数出表_Excel（アレルギー入力）'!"&amp;X8-1&amp;":"&amp;X8-1&amp;""),0)),
 ""),""))</f>
        <v/>
      </c>
      <c r="AB9" s="137" t="str">
        <f t="array" aca="1" ref="AB9" ca="1">IF(Y9&lt;&gt;"",
IF(MATCH(TRUE,
ISNUMBER(--INDIRECT("数出表_Excel!B"&amp;MATCH(AC8,数出表_Excel!$A:$A,0)-1&amp;":U"&amp;MATCH(AC8,数出表_Excel!$A:$A,0)-1&amp;"")),0)&gt;10,
IF(Y9&lt;&gt;"",
IF(IF(COUNTIF('盛付札（関数）'!Y9,"*キャラ*"),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VLOOKUP('盛付札（関数）'!Y9,商品マスタ一覧!$D:$J,7,FALSE)))=0,"",
IF(ROUND(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VLOOKUP('盛付札（関数）'!Y9,商品マスタ一覧!$D:$J,7,FALSE))),0)&lt;=0,1,
ROUND(
IF(AB14&lt;&gt;"",(Y11-AB14),Y11)
/IF(COUNTIF('盛付札（関数）'!Y9,"*キャラ*"),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VLOOKUP('盛付札（関数）'!Y9,商品マスタ一覧!$D:$J,7,FALSE))),0))),""),""),"")</f>
        <v/>
      </c>
      <c r="AC9" s="153" t="str">
        <f ca="1">IF(AB9&lt;&gt;"",IF(VALUE(IF(AB14&lt;&gt;"",Y11-AB14,Y11))&gt;VALUE(IF(COUNTIF('盛付札（関数）'!Y9,"*キャラ*"),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
"+"&amp;IF(AB14&lt;&gt;"",Y11-AB14,Y11)-IF(COUNTIF('盛付札（関数）'!Y9,"*キャラ*"),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VLOOKUP('盛付札（関数）'!Y9,商品マスタ一覧!$D:$J,7,FALSE)))*AB9,
IF(AB14&lt;&gt;"",Y11-AB14,Y11)-IF(COUNTIF('盛付札（関数）'!Y9,"*キャラ*"),
VLOOKUP("*キャラ*",商品マスタ一覧!$D:$J,7,FALSE),
IF(COUNTIF('盛付札（関数）'!Y9,"*赤*"),
VLOOKUP("*赤*",商品マスタ一覧!$D:$J,7,FALSE),
VLOOKUP('盛付札（関数）'!Y9,商品マスタ一覧!$D:$J,7,FALSE)))*AB9),"")</f>
        <v/>
      </c>
      <c r="AD9" s="129"/>
      <c r="AE9" s="129"/>
      <c r="AF9" s="135" t="e">
        <f t="array" aca="1" ref="AF9" ca="1">IF(AF10&lt;&gt;100,
IF(AG11&lt;&gt;"",MATCH(AG11,INDIRECT("数出表_Excel!B"&amp;MATCH(AK8,数出表_Excel!$A:$A,0)-1&amp;":U"&amp;MATCH(AK8,数出表_Excel!$A:$A,0)-1&amp;""),0)+1,""),
IF(AG11&lt;&gt;"",
MATCH(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""),
INDIRECT("数出表_Excel!B"&amp;MATCH(AK8,数出表_Excel!$A:$A,0)-1&amp;":U"&amp;MATCH(AK8,数出表_Excel!$A:$A,0)-1&amp;""),0)+1,""))</f>
        <v>#VALUE!</v>
      </c>
      <c r="AG9" s="70" t="str">
        <f t="array" aca="1" ref="AG9" ca="1">IF(COUNTIF(AK8,"*合計*"),"",
IF(IFERROR(INDIRECT("数出表_Excel!" &amp;
CHAR(MATCH(TRUE,
ISNUMBER(--INDIRECT("数出表_Excel!B"&amp;MATCH(AK8,数出表_Excel!$A:$A,0)-1&amp;":U"&amp;MATCH(AK8,数出表_Excel!$A:$A,0)-1&amp;"")),0)+65) &amp; "3"),0)=0,"",
IFERROR(INDIRECT("数出表_Excel!" &amp;
CHAR(MATCH(TRUE,
ISNUMBER(--INDIRECT("数出表_Excel!B"&amp;MATCH(AK8,数出表_Excel!$A:$A,0)-1&amp;":U"&amp;MATCH(AK8,数出表_Excel!$A:$A,0)-1&amp;"")),0)+65) &amp; "3"),"")))</f>
        <v/>
      </c>
      <c r="AH9" s="129"/>
      <c r="AI9" s="136" t="str">
        <f ca="1">IF(AJ9&lt;&gt;"","",
IF(AG8&lt;&gt;"",
IFERROR(
INDEX('数出表_Excel（アレルギー入力）'!$4:$4,
 1,
MATCH(AG11,INDIRECT("'数出表_Excel（アレルギー入力）'!"&amp;AF8-1&amp;":"&amp;AF8-1&amp;""),0)),
 "")
&amp;IFERROR(
INDEX('数出表_Excel（アレルギー入力）'!$5:$5,
 1,
MATCH(AG11,INDIRECT("'数出表_Excel（アレルギー入力）'!"&amp;AF8-1&amp;":"&amp;AF8-1&amp;""),0)),
 ""),""))</f>
        <v/>
      </c>
      <c r="AJ9" s="137" t="str">
        <f t="array" aca="1" ref="AJ9" ca="1">IF(AG9&lt;&gt;"",
IF(MATCH(TRUE,
ISNUMBER(--INDIRECT("数出表_Excel!B"&amp;MATCH(AK8,数出表_Excel!$A:$A,0)-1&amp;":U"&amp;MATCH(AK8,数出表_Excel!$A:$A,0)-1&amp;"")),0)&gt;10,
IF(AG9&lt;&gt;"",
IF(IF(COUNTIF('盛付札（関数）'!AG9,"*キャラ*"),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VLOOKUP('盛付札（関数）'!AG9,商品マスタ一覧!$D:$J,7,FALSE)))=0,"",
IF(ROUND(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VLOOKUP('盛付札（関数）'!AG9,商品マスタ一覧!$D:$J,7,FALSE))),0)&lt;=0,1,
ROUND(
IF(AJ14&lt;&gt;"",(AG11-AJ14),AG11)
/IF(COUNTIF('盛付札（関数）'!AG9,"*キャラ*"),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VLOOKUP('盛付札（関数）'!AG9,商品マスタ一覧!$D:$J,7,FALSE))),0))),""),""),"")</f>
        <v/>
      </c>
      <c r="AK9" s="153" t="str">
        <f ca="1">IF(AJ9&lt;&gt;"",IF(VALUE(IF(AJ14&lt;&gt;"",AG11-AJ14,AG11))&gt;VALUE(IF(COUNTIF('盛付札（関数）'!AG9,"*キャラ*"),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
"+"&amp;IF(AJ14&lt;&gt;"",AG11-AJ14,AG11)-IF(COUNTIF('盛付札（関数）'!AG9,"*キャラ*"),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VLOOKUP('盛付札（関数）'!AG9,商品マスタ一覧!$D:$J,7,FALSE)))*AJ9,
IF(AJ14&lt;&gt;"",AG11-AJ14,AG11)-IF(COUNTIF('盛付札（関数）'!AG9,"*キャラ*"),
VLOOKUP("*キャラ*",商品マスタ一覧!$D:$J,7,FALSE),
IF(COUNTIF('盛付札（関数）'!AG9,"*赤*"),
VLOOKUP("*赤*",商品マスタ一覧!$D:$J,7,FALSE),
VLOOKUP('盛付札（関数）'!AG9,商品マスタ一覧!$D:$J,7,FALSE)))*AJ9),"")</f>
        <v/>
      </c>
      <c r="AL9" s="129"/>
      <c r="AM9" s="135" t="e">
        <f t="array" aca="1" ref="AM9" ca="1">IF(AM10&lt;&gt;100,
IF(AN11&lt;&gt;"",MATCH(AN11,INDIRECT("数出表_Excel!B"&amp;MATCH(AR8,数出表_Excel!$A:$A,0)-1&amp;":U"&amp;MATCH(AR8,数出表_Excel!$A:$A,0)-1&amp;""),0)+1,""),
IF(AN11&lt;&gt;"",
MATCH(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""),
INDIRECT("数出表_Excel!B"&amp;MATCH(AR8,数出表_Excel!$A:$A,0)-1&amp;":U"&amp;MATCH(AR8,数出表_Excel!$A:$A,0)-1&amp;""),0)+1,""))</f>
        <v>#VALUE!</v>
      </c>
      <c r="AN9" s="70" t="str">
        <f t="array" aca="1" ref="AN9" ca="1">IF(COUNTIF(AR8,"*合計*"),"",
IF(IFERROR(INDIRECT("数出表_Excel!" &amp;
CHAR(MATCH(TRUE,
ISNUMBER(--INDIRECT("数出表_Excel!B"&amp;MATCH(AR8,数出表_Excel!$A:$A,0)-1&amp;":U"&amp;MATCH(AR8,数出表_Excel!$A:$A,0)-1&amp;"")),0)+65) &amp; "3"),0)=0,"",
IFERROR(INDIRECT("数出表_Excel!" &amp;
CHAR(MATCH(TRUE,
ISNUMBER(--INDIRECT("数出表_Excel!B"&amp;MATCH(AR8,数出表_Excel!$A:$A,0)-1&amp;":U"&amp;MATCH(AR8,数出表_Excel!$A:$A,0)-1&amp;"")),0)+65) &amp; "3"),"")))</f>
        <v/>
      </c>
      <c r="AO9" s="129"/>
      <c r="AP9" s="136" t="str">
        <f ca="1">IF(AQ9&lt;&gt;"","",
IF(AN8&lt;&gt;"",
IFERROR(
INDEX('数出表_Excel（アレルギー入力）'!$4:$4,
 1,
MATCH(AN11,INDIRECT("'数出表_Excel（アレルギー入力）'!"&amp;AM8-1&amp;":"&amp;AM8-1&amp;""),0)),
 "")
&amp;IFERROR(
INDEX('数出表_Excel（アレルギー入力）'!$5:$5,
 1,
MATCH(AN11,INDIRECT("'数出表_Excel（アレルギー入力）'!"&amp;AM8-1&amp;":"&amp;AM8-1&amp;""),0)),
 ""),""))</f>
        <v/>
      </c>
      <c r="AQ9" s="137" t="str">
        <f t="array" aca="1" ref="AQ9" ca="1">IF(AN9&lt;&gt;"",
IF(MATCH(TRUE,
ISNUMBER(--INDIRECT("数出表_Excel!B"&amp;MATCH(AR8,数出表_Excel!$A:$A,0)-1&amp;":U"&amp;MATCH(AR8,数出表_Excel!$A:$A,0)-1&amp;"")),0)&gt;10,
IF(AN9&lt;&gt;"",
IF(IF(COUNTIF('盛付札（関数）'!AN9,"*キャラ*"),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VLOOKUP('盛付札（関数）'!AN9,商品マスタ一覧!$D:$J,7,FALSE)))=0,"",
IF(ROUND(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VLOOKUP('盛付札（関数）'!AN9,商品マスタ一覧!$D:$J,7,FALSE))),0)&lt;=0,1,
ROUND(
IF(AQ14&lt;&gt;"",(AN11-AQ14),AN11)
/IF(COUNTIF('盛付札（関数）'!AN9,"*キャラ*"),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VLOOKUP('盛付札（関数）'!AN9,商品マスタ一覧!$D:$J,7,FALSE))),0))),""),""),"")</f>
        <v/>
      </c>
      <c r="AR9" s="153" t="str">
        <f ca="1">IF(AQ9&lt;&gt;"",IF(VALUE(IF(AQ14&lt;&gt;"",AN11-AQ14,AN11))&gt;VALUE(IF(COUNTIF('盛付札（関数）'!AN9,"*キャラ*"),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
"+"&amp;IF(AQ14&lt;&gt;"",AN11-AQ14,AN11)-IF(COUNTIF('盛付札（関数）'!AN9,"*キャラ*"),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VLOOKUP('盛付札（関数）'!AN9,商品マスタ一覧!$D:$J,7,FALSE)))*AQ9,
IF(AQ14&lt;&gt;"",AN11-AQ14,AN11)-IF(COUNTIF('盛付札（関数）'!AN9,"*キャラ*"),
VLOOKUP("*キャラ*",商品マスタ一覧!$D:$J,7,FALSE),
IF(COUNTIF('盛付札（関数）'!AN9,"*赤*"),
VLOOKUP("*赤*",商品マスタ一覧!$D:$J,7,FALSE),
VLOOKUP('盛付札（関数）'!AN9,商品マスタ一覧!$D:$J,7,FALSE)))*AQ9),"")</f>
        <v/>
      </c>
      <c r="AS9" s="129"/>
      <c r="AT9" s="129"/>
      <c r="AU9" s="135" t="e">
        <f t="array" aca="1" ref="AU9" ca="1">IF(AU10&lt;&gt;100,
IF(AV11&lt;&gt;"",MATCH(AV11,INDIRECT("数出表_Excel!B"&amp;MATCH(AZ8,数出表_Excel!$A:$A,0)-1&amp;":U"&amp;MATCH(AZ8,数出表_Excel!$A:$A,0)-1&amp;""),0)+1,""),
IF(AV11&lt;&gt;"",
MATCH(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""),
INDIRECT("数出表_Excel!B"&amp;MATCH(AZ8,数出表_Excel!$A:$A,0)-1&amp;":U"&amp;MATCH(AZ8,数出表_Excel!$A:$A,0)-1&amp;""),0)+1,""))</f>
        <v>#VALUE!</v>
      </c>
      <c r="AV9" s="70" t="str">
        <f t="array" aca="1" ref="AV9" ca="1">IF(COUNTIF(AZ8,"*合計*"),"",
IF(IFERROR(INDIRECT("数出表_Excel!" &amp;
CHAR(MATCH(TRUE,
ISNUMBER(--INDIRECT("数出表_Excel!B"&amp;MATCH(AZ8,数出表_Excel!$A:$A,0)-1&amp;":U"&amp;MATCH(AZ8,数出表_Excel!$A:$A,0)-1&amp;"")),0)+65) &amp; "3"),0)=0,"",
IFERROR(INDIRECT("数出表_Excel!" &amp;
CHAR(MATCH(TRUE,
ISNUMBER(--INDIRECT("数出表_Excel!B"&amp;MATCH(AZ8,数出表_Excel!$A:$A,0)-1&amp;":U"&amp;MATCH(AZ8,数出表_Excel!$A:$A,0)-1&amp;"")),0)+65) &amp; "3"),"")))</f>
        <v/>
      </c>
      <c r="AW9" s="129"/>
      <c r="AX9" s="136" t="str">
        <f ca="1">IF(AY9&lt;&gt;"","",
IF(AV8&lt;&gt;"",
IFERROR(
INDEX('数出表_Excel（アレルギー入力）'!$4:$4,
 1,
MATCH(AV11,INDIRECT("'数出表_Excel（アレルギー入力）'!"&amp;AU8-1&amp;":"&amp;AU8-1&amp;""),0)),
 "")
&amp;IFERROR(
INDEX('数出表_Excel（アレルギー入力）'!$5:$5,
 1,
MATCH(AV11,INDIRECT("'数出表_Excel（アレルギー入力）'!"&amp;AU8-1&amp;":"&amp;AU8-1&amp;""),0)),
 ""),""))</f>
        <v/>
      </c>
      <c r="AY9" s="137" t="str">
        <f t="array" aca="1" ref="AY9" ca="1">IF(AV9&lt;&gt;"",
IF(MATCH(TRUE,
ISNUMBER(--INDIRECT("数出表_Excel!B"&amp;MATCH(AZ8,数出表_Excel!$A:$A,0)-1&amp;":U"&amp;MATCH(AZ8,数出表_Excel!$A:$A,0)-1&amp;"")),0)&gt;10,
IF(AV9&lt;&gt;"",
IF(IF(COUNTIF('盛付札（関数）'!AV9,"*キャラ*"),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VLOOKUP('盛付札（関数）'!AV9,商品マスタ一覧!$D:$J,7,FALSE)))=0,"",
IF(ROUND(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VLOOKUP('盛付札（関数）'!AV9,商品マスタ一覧!$D:$J,7,FALSE))),0)&lt;=0,1,
ROUND(
IF(AY14&lt;&gt;"",(AV11-AY14),AV11)
/IF(COUNTIF('盛付札（関数）'!AV9,"*キャラ*"),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VLOOKUP('盛付札（関数）'!AV9,商品マスタ一覧!$D:$J,7,FALSE))),0))),""),""),"")</f>
        <v/>
      </c>
      <c r="AZ9" s="153" t="str">
        <f ca="1">IF(AY9&lt;&gt;"",IF(VALUE(IF(AY14&lt;&gt;"",AV11-AY14,AV11))&gt;VALUE(IF(COUNTIF('盛付札（関数）'!AV9,"*キャラ*"),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
"+"&amp;IF(AY14&lt;&gt;"",AV11-AY14,AV11)-IF(COUNTIF('盛付札（関数）'!AV9,"*キャラ*"),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VLOOKUP('盛付札（関数）'!AV9,商品マスタ一覧!$D:$J,7,FALSE)))*AY9,
IF(AY14&lt;&gt;"",AV11-AY14,AV11)-IF(COUNTIF('盛付札（関数）'!AV9,"*キャラ*"),
VLOOKUP("*キャラ*",商品マスタ一覧!$D:$J,7,FALSE),
IF(COUNTIF('盛付札（関数）'!AV9,"*赤*"),
VLOOKUP("*赤*",商品マスタ一覧!$D:$J,7,FALSE),
VLOOKUP('盛付札（関数）'!AV9,商品マスタ一覧!$D:$J,7,FALSE)))*AY9),"")</f>
        <v/>
      </c>
      <c r="BA9" s="129"/>
      <c r="BB9" s="135" t="e">
        <f t="array" aca="1" ref="BB9" ca="1">IF(BB10&lt;&gt;100,
IF(BC11&lt;&gt;"",MATCH(BC11,INDIRECT("数出表_Excel!B"&amp;MATCH(BG8,数出表_Excel!$A:$A,0)-1&amp;":U"&amp;MATCH(BG8,数出表_Excel!$A:$A,0)-1&amp;""),0)+1,""),
IF(BC11&lt;&gt;"",
MATCH(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""),
INDIRECT("数出表_Excel!B"&amp;MATCH(BG8,数出表_Excel!$A:$A,0)-1&amp;":U"&amp;MATCH(BG8,数出表_Excel!$A:$A,0)-1&amp;""),0)+1,""))</f>
        <v>#VALUE!</v>
      </c>
      <c r="BC9" s="70" t="str">
        <f t="array" aca="1" ref="BC9" ca="1">IF(COUNTIF(BG8,"*合計*"),"",
IF(IFERROR(INDIRECT("数出表_Excel!" &amp;
CHAR(MATCH(TRUE,
ISNUMBER(--INDIRECT("数出表_Excel!B"&amp;MATCH(BG8,数出表_Excel!$A:$A,0)-1&amp;":U"&amp;MATCH(BG8,数出表_Excel!$A:$A,0)-1&amp;"")),0)+65) &amp; "3"),0)=0,"",
IFERROR(INDIRECT("数出表_Excel!" &amp;
CHAR(MATCH(TRUE,
ISNUMBER(--INDIRECT("数出表_Excel!B"&amp;MATCH(BG8,数出表_Excel!$A:$A,0)-1&amp;":U"&amp;MATCH(BG8,数出表_Excel!$A:$A,0)-1&amp;"")),0)+65) &amp; "3"),"")))</f>
        <v/>
      </c>
      <c r="BD9" s="129"/>
      <c r="BE9" s="136" t="str">
        <f ca="1">IF(BF9&lt;&gt;"","",
IF(BC8&lt;&gt;"",
IFERROR(
INDEX('数出表_Excel（アレルギー入力）'!$4:$4,
 1,
MATCH(BC11,INDIRECT("'数出表_Excel（アレルギー入力）'!"&amp;BB8-1&amp;":"&amp;BB8-1&amp;""),0)),
 "")
&amp;IFERROR(
INDEX('数出表_Excel（アレルギー入力）'!$5:$5,
 1,
MATCH(BC11,INDIRECT("'数出表_Excel（アレルギー入力）'!"&amp;BB8-1&amp;":"&amp;BB8-1&amp;""),0)),
 ""),""))</f>
        <v/>
      </c>
      <c r="BF9" s="137" t="str">
        <f t="array" aca="1" ref="BF9" ca="1">IF(BC9&lt;&gt;"",
IF(MATCH(TRUE,
ISNUMBER(--INDIRECT("数出表_Excel!B"&amp;MATCH(BG8,数出表_Excel!$A:$A,0)-1&amp;":U"&amp;MATCH(BG8,数出表_Excel!$A:$A,0)-1&amp;"")),0)&gt;10,
IF(BC9&lt;&gt;"",
IF(IF(COUNTIF('盛付札（関数）'!BC9,"*キャラ*"),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VLOOKUP('盛付札（関数）'!BC9,商品マスタ一覧!$D:$J,7,FALSE)))=0,"",
IF(ROUND(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VLOOKUP('盛付札（関数）'!BC9,商品マスタ一覧!$D:$J,7,FALSE))),0)&lt;=0,1,
ROUND(
IF(BF14&lt;&gt;"",(BC11-BF14),BC11)
/IF(COUNTIF('盛付札（関数）'!BC9,"*キャラ*"),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VLOOKUP('盛付札（関数）'!BC9,商品マスタ一覧!$D:$J,7,FALSE))),0))),""),""),"")</f>
        <v/>
      </c>
      <c r="BG9" s="153" t="str">
        <f ca="1">IF(BF9&lt;&gt;"",IF(VALUE(IF(BF14&lt;&gt;"",BC11-BF14,BC11))&gt;VALUE(IF(COUNTIF('盛付札（関数）'!BC9,"*キャラ*"),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
"+"&amp;IF(BF14&lt;&gt;"",BC11-BF14,BC11)-IF(COUNTIF('盛付札（関数）'!BC9,"*キャラ*"),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VLOOKUP('盛付札（関数）'!BC9,商品マスタ一覧!$D:$J,7,FALSE)))*BF9,
IF(BF14&lt;&gt;"",BC11-BF14,BC11)-IF(COUNTIF('盛付札（関数）'!BC9,"*キャラ*"),
VLOOKUP("*キャラ*",商品マスタ一覧!$D:$J,7,FALSE),
IF(COUNTIF('盛付札（関数）'!BC9,"*赤*"),
VLOOKUP("*赤*",商品マスタ一覧!$D:$J,7,FALSE),
VLOOKUP('盛付札（関数）'!BC9,商品マスタ一覧!$D:$J,7,FALSE)))*BF9),"")</f>
        <v/>
      </c>
      <c r="BH9" s="129"/>
      <c r="BI9" s="129"/>
      <c r="BJ9" s="135" t="e">
        <f t="array" aca="1" ref="BJ9" ca="1">IF(BJ10&lt;&gt;100,
IF(BK11&lt;&gt;"",MATCH(BK11,INDIRECT("数出表_Excel!B"&amp;MATCH(BO8,数出表_Excel!$A:$A,0)-1&amp;":U"&amp;MATCH(BO8,数出表_Excel!$A:$A,0)-1&amp;""),0)+1,""),
IF(BK11&lt;&gt;"",
MATCH(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""),
INDIRECT("数出表_Excel!B"&amp;MATCH(BO8,数出表_Excel!$A:$A,0)-1&amp;":U"&amp;MATCH(BO8,数出表_Excel!$A:$A,0)-1&amp;""),0)+1,""))</f>
        <v>#VALUE!</v>
      </c>
      <c r="BK9" s="70" t="str">
        <f t="array" aca="1" ref="BK9" ca="1">IF(COUNTIF(BO8,"*合計*"),"",
IF(IFERROR(INDIRECT("数出表_Excel!" &amp;
CHAR(MATCH(TRUE,
ISNUMBER(--INDIRECT("数出表_Excel!B"&amp;MATCH(BO8,数出表_Excel!$A:$A,0)-1&amp;":U"&amp;MATCH(BO8,数出表_Excel!$A:$A,0)-1&amp;"")),0)+65) &amp; "3"),0)=0,"",
IFERROR(INDIRECT("数出表_Excel!" &amp;
CHAR(MATCH(TRUE,
ISNUMBER(--INDIRECT("数出表_Excel!B"&amp;MATCH(BO8,数出表_Excel!$A:$A,0)-1&amp;":U"&amp;MATCH(BO8,数出表_Excel!$A:$A,0)-1&amp;"")),0)+65) &amp; "3"),"")))</f>
        <v/>
      </c>
      <c r="BL9" s="129"/>
      <c r="BM9" s="136" t="str">
        <f ca="1">IF(BN9&lt;&gt;"","",
IF(BK8&lt;&gt;"",
IFERROR(
INDEX('数出表_Excel（アレルギー入力）'!$4:$4,
 1,
MATCH(BK11,INDIRECT("'数出表_Excel（アレルギー入力）'!"&amp;BJ8-1&amp;":"&amp;BJ8-1&amp;""),0)),
 "")
&amp;IFERROR(
INDEX('数出表_Excel（アレルギー入力）'!$5:$5,
 1,
MATCH(BK11,INDIRECT("'数出表_Excel（アレルギー入力）'!"&amp;BJ8-1&amp;":"&amp;BJ8-1&amp;""),0)),
 ""),""))</f>
        <v/>
      </c>
      <c r="BN9" s="137" t="str">
        <f t="array" aca="1" ref="BN9" ca="1">IF(BK9&lt;&gt;"",
IF(MATCH(TRUE,
ISNUMBER(--INDIRECT("数出表_Excel!B"&amp;MATCH(BO8,数出表_Excel!$A:$A,0)-1&amp;":U"&amp;MATCH(BO8,数出表_Excel!$A:$A,0)-1&amp;"")),0)&gt;10,
IF(BK9&lt;&gt;"",
IF(IF(COUNTIF('盛付札（関数）'!BK9,"*キャラ*"),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VLOOKUP('盛付札（関数）'!BK9,商品マスタ一覧!$D:$J,7,FALSE)))=0,"",
IF(ROUND(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VLOOKUP('盛付札（関数）'!BK9,商品マスタ一覧!$D:$J,7,FALSE))),0)&lt;=0,1,
ROUND(
IF(BN14&lt;&gt;"",(BK11-BN14),BK11)
/IF(COUNTIF('盛付札（関数）'!BK9,"*キャラ*"),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VLOOKUP('盛付札（関数）'!BK9,商品マスタ一覧!$D:$J,7,FALSE))),0))),""),""),"")</f>
        <v/>
      </c>
      <c r="BO9" s="153" t="str">
        <f ca="1">IF(BN9&lt;&gt;"",IF(VALUE(IF(BN14&lt;&gt;"",BK11-BN14,BK11))&gt;VALUE(IF(COUNTIF('盛付札（関数）'!BK9,"*キャラ*"),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
"+"&amp;IF(BN14&lt;&gt;"",BK11-BN14,BK11)-IF(COUNTIF('盛付札（関数）'!BK9,"*キャラ*"),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VLOOKUP('盛付札（関数）'!BK9,商品マスタ一覧!$D:$J,7,FALSE)))*BN9,
IF(BN14&lt;&gt;"",BK11-BN14,BK11)-IF(COUNTIF('盛付札（関数）'!BK9,"*キャラ*"),
VLOOKUP("*キャラ*",商品マスタ一覧!$D:$J,7,FALSE),
IF(COUNTIF('盛付札（関数）'!BK9,"*赤*"),
VLOOKUP("*赤*",商品マスタ一覧!$D:$J,7,FALSE),
VLOOKUP('盛付札（関数）'!BK9,商品マスタ一覧!$D:$J,7,FALSE)))*BN9),"")</f>
        <v/>
      </c>
      <c r="BP9" s="129"/>
      <c r="BQ9" s="135" t="e">
        <f t="array" aca="1" ref="BQ9" ca="1">IF(BQ10&lt;&gt;100,
IF(BR11&lt;&gt;"",MATCH(BR11,INDIRECT("数出表_Excel!B"&amp;MATCH(BV8,数出表_Excel!$A:$A,0)-1&amp;":U"&amp;MATCH(BV8,数出表_Excel!$A:$A,0)-1&amp;""),0)+1,""),
IF(BR11&lt;&gt;"",
MATCH(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""),
INDIRECT("数出表_Excel!B"&amp;MATCH(BV8,数出表_Excel!$A:$A,0)-1&amp;":U"&amp;MATCH(BV8,数出表_Excel!$A:$A,0)-1&amp;""),0)+1,""))</f>
        <v>#VALUE!</v>
      </c>
      <c r="BR9" s="70" t="str">
        <f t="array" aca="1" ref="BR9" ca="1">IF(COUNTIF(BV8,"*合計*"),"",
IF(IFERROR(INDIRECT("数出表_Excel!" &amp;
CHAR(MATCH(TRUE,
ISNUMBER(--INDIRECT("数出表_Excel!B"&amp;MATCH(BV8,数出表_Excel!$A:$A,0)-1&amp;":U"&amp;MATCH(BV8,数出表_Excel!$A:$A,0)-1&amp;"")),0)+65) &amp; "3"),0)=0,"",
IFERROR(INDIRECT("数出表_Excel!" &amp;
CHAR(MATCH(TRUE,
ISNUMBER(--INDIRECT("数出表_Excel!B"&amp;MATCH(BV8,数出表_Excel!$A:$A,0)-1&amp;":U"&amp;MATCH(BV8,数出表_Excel!$A:$A,0)-1&amp;"")),0)+65) &amp; "3"),"")))</f>
        <v/>
      </c>
      <c r="BS9" s="129"/>
      <c r="BT9" s="136" t="str">
        <f ca="1">IF(BU9&lt;&gt;"","",
IF(BR8&lt;&gt;"",
IFERROR(
INDEX('数出表_Excel（アレルギー入力）'!$4:$4,
 1,
MATCH(BR11,INDIRECT("'数出表_Excel（アレルギー入力）'!"&amp;BQ8-1&amp;":"&amp;BQ8-1&amp;""),0)),
 "")
&amp;IFERROR(
INDEX('数出表_Excel（アレルギー入力）'!$5:$5,
 1,
MATCH(BR11,INDIRECT("'数出表_Excel（アレルギー入力）'!"&amp;BQ8-1&amp;":"&amp;BQ8-1&amp;""),0)),
 ""),""))</f>
        <v/>
      </c>
      <c r="BU9" s="137" t="str">
        <f t="array" aca="1" ref="BU9" ca="1">IF(BR9&lt;&gt;"",
IF(MATCH(TRUE,
ISNUMBER(--INDIRECT("数出表_Excel!B"&amp;MATCH(BV8,数出表_Excel!$A:$A,0)-1&amp;":U"&amp;MATCH(BV8,数出表_Excel!$A:$A,0)-1&amp;"")),0)&gt;10,
IF(BR9&lt;&gt;"",
IF(IF(COUNTIF('盛付札（関数）'!BR9,"*キャラ*"),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VLOOKUP('盛付札（関数）'!BR9,商品マスタ一覧!$D:$J,7,FALSE)))=0,"",
IF(ROUND(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VLOOKUP('盛付札（関数）'!BR9,商品マスタ一覧!$D:$J,7,FALSE))),0)&lt;=0,1,
ROUND(
IF(BU14&lt;&gt;"",(BR11-BU14),BR11)
/IF(COUNTIF('盛付札（関数）'!BR9,"*キャラ*"),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VLOOKUP('盛付札（関数）'!BR9,商品マスタ一覧!$D:$J,7,FALSE))),0))),""),""),"")</f>
        <v/>
      </c>
      <c r="BV9" s="153" t="str">
        <f ca="1">IF(BU9&lt;&gt;"",IF(VALUE(IF(BU14&lt;&gt;"",BR11-BU14,BR11))&gt;VALUE(IF(COUNTIF('盛付札（関数）'!BR9,"*キャラ*"),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
"+"&amp;IF(BU14&lt;&gt;"",BR11-BU14,BR11)-IF(COUNTIF('盛付札（関数）'!BR9,"*キャラ*"),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VLOOKUP('盛付札（関数）'!BR9,商品マスタ一覧!$D:$J,7,FALSE)))*BU9,
IF(BU14&lt;&gt;"",BR11-BU14,BR11)-IF(COUNTIF('盛付札（関数）'!BR9,"*キャラ*"),
VLOOKUP("*キャラ*",商品マスタ一覧!$D:$J,7,FALSE),
IF(COUNTIF('盛付札（関数）'!BR9,"*赤*"),
VLOOKUP("*赤*",商品マスタ一覧!$D:$J,7,FALSE),
VLOOKUP('盛付札（関数）'!BR9,商品マスタ一覧!$D:$J,7,FALSE)))*BU9),"")</f>
        <v/>
      </c>
      <c r="BW9" s="129"/>
      <c r="BX9" s="132">
        <f t="shared" si="1"/>
        <v>14</v>
      </c>
      <c r="BY9" s="132" t="str">
        <f t="array" aca="1" ref="BY9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LEN(SUBSTITUTE(_xlfn.FORMULATEXT(BY$1),"=","")))+$BX9)</f>
        <v/>
      </c>
      <c r="BZ9" s="132" t="str">
        <f t="array" aca="1" ref="BZ9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LEN(SUBSTITUTE(_xlfn.FORMULATEXT(BZ$1),"=","")))+$BX9)</f>
        <v/>
      </c>
      <c r="CA9" s="132" t="str">
        <f t="array" aca="1" ref="CA9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LEN(SUBSTITUTE(_xlfn.FORMULATEXT(CA$1),"=","")))+$BX9)</f>
        <v/>
      </c>
      <c r="CB9" s="132" t="str">
        <f t="array" aca="1" ref="CB9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LEN(SUBSTITUTE(_xlfn.FORMULATEXT(CB$1),"=","")))+$BX9)</f>
        <v/>
      </c>
      <c r="CC9" s="132" t="str">
        <f t="array" aca="1" ref="CC9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LEN(SUBSTITUTE(_xlfn.FORMULATEXT(CC$1),"=","")))+$BX9)</f>
        <v/>
      </c>
      <c r="CD9" s="132" t="str">
        <f t="array" aca="1" ref="CD9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LEN(SUBSTITUTE(_xlfn.FORMULATEXT(CD$1),"=","")))+$BX9)</f>
        <v/>
      </c>
      <c r="CE9" s="132" t="str">
        <f t="array" aca="1" ref="CE9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LEN(SUBSTITUTE(_xlfn.FORMULATEXT(CE$1),"=","")))+$BX9)</f>
        <v/>
      </c>
      <c r="CF9" s="132" t="str">
        <f t="array" aca="1" ref="CF9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LEN(SUBSTITUTE(_xlfn.FORMULATEXT(CF$1),"=","")))+$BX9)</f>
        <v/>
      </c>
      <c r="CG9" s="132" t="str">
        <f t="array" aca="1" ref="CG9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LEN(SUBSTITUTE(_xlfn.FORMULATEXT(CG$1),"=","")))+$BX9)</f>
        <v/>
      </c>
      <c r="CH9" s="132" t="str">
        <f t="array" aca="1" ref="CH9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LEN(SUBSTITUTE(_xlfn.FORMULATEXT(CH$1),"=","")))+$BX9)</f>
        <v/>
      </c>
      <c r="CI9" s="132">
        <f t="shared" ca="1" si="0"/>
        <v>0</v>
      </c>
      <c r="CJ9" s="132" t="b">
        <f t="array" aca="1" ref="CJ9" ca="1">SUMPRODUCT((LEN(BY9:CH9)&gt;0)*1)&gt;0</f>
        <v>0</v>
      </c>
      <c r="CK9" s="132" t="str" cm="1">
        <f t="array" aca="1" ref="CK9" ca="1">IFERROR(SMALL(IF(CI$1:CI$150&lt;&gt;0,CI$1:CI$150),ROW(A9)),"")</f>
        <v/>
      </c>
      <c r="CL9" s="132" t="str">
        <f t="array" aca="1" ref="CL9" ca="1">IF($CK9&lt;&gt;"",
INDIRECT(""&amp;IF(COLUMN(BY9)&lt;=26,CHAR(COLUMN(BY9)+64),CHAR(INT((COLUMN(BY9)-1)/26)+64)&amp;CHAR(MOD(COLUMN(BY9)-1,26)+65))&amp;$CK9&amp;""),"")</f>
        <v/>
      </c>
      <c r="CM9" s="132" t="str">
        <f t="array" aca="1" ref="CM9" ca="1">IF($CK9&lt;&gt;"",
INDIRECT(""&amp;IF(COLUMN(BZ9)&lt;=26,CHAR(COLUMN(BZ9)+64),CHAR(INT((COLUMN(BZ9)-1)/26)+64)&amp;CHAR(MOD(COLUMN(BZ9)-1,26)+65))&amp;$CK9&amp;""),"")</f>
        <v/>
      </c>
      <c r="CN9" s="132" t="str">
        <f t="array" aca="1" ref="CN9" ca="1">IF($CK9&lt;&gt;"",
INDIRECT(""&amp;IF(COLUMN(CA9)&lt;=26,CHAR(COLUMN(CA9)+64),CHAR(INT((COLUMN(CA9)-1)/26)+64)&amp;CHAR(MOD(COLUMN(CA9)-1,26)+65))&amp;$CK9&amp;""),"")</f>
        <v/>
      </c>
      <c r="CO9" s="132" t="str">
        <f t="array" aca="1" ref="CO9" ca="1">IF($CK9&lt;&gt;"",
INDIRECT(""&amp;IF(COLUMN(CB9)&lt;=26,CHAR(COLUMN(CB9)+64),CHAR(INT((COLUMN(CB9)-1)/26)+64)&amp;CHAR(MOD(COLUMN(CB9)-1,26)+65))&amp;$CK9&amp;""),"")</f>
        <v/>
      </c>
      <c r="CP9" s="132" t="str">
        <f t="array" aca="1" ref="CP9" ca="1">IF($CK9&lt;&gt;"",
INDIRECT(""&amp;IF(COLUMN(CC9)&lt;=26,CHAR(COLUMN(CC9)+64),CHAR(INT((COLUMN(CC9)-1)/26)+64)&amp;CHAR(MOD(COLUMN(CC9)-1,26)+65))&amp;$CK9&amp;""),"")</f>
        <v/>
      </c>
      <c r="CQ9" s="132" t="str">
        <f t="array" aca="1" ref="CQ9" ca="1">IF($CK9&lt;&gt;"",
INDIRECT(""&amp;IF(COLUMN(CD9)&lt;=26,CHAR(COLUMN(CD9)+64),CHAR(INT((COLUMN(CD9)-1)/26)+64)&amp;CHAR(MOD(COLUMN(CD9)-1,26)+65))&amp;$CK9&amp;""),"")</f>
        <v/>
      </c>
      <c r="CR9" s="132" t="str">
        <f t="array" aca="1" ref="CR9" ca="1">IF($CK9&lt;&gt;"",
INDIRECT(""&amp;IF(COLUMN(CE9)&lt;=26,CHAR(COLUMN(CE9)+64),CHAR(INT((COLUMN(CE9)-1)/26)+64)&amp;CHAR(MOD(COLUMN(CE9)-1,26)+65))&amp;$CK9&amp;""),"")</f>
        <v/>
      </c>
      <c r="CS9" s="132" t="str">
        <f t="array" aca="1" ref="CS9" ca="1">IF($CK9&lt;&gt;"",
INDIRECT(""&amp;IF(COLUMN(CF9)&lt;=26,CHAR(COLUMN(CF9)+64),CHAR(INT((COLUMN(CF9)-1)/26)+64)&amp;CHAR(MOD(COLUMN(CF9)-1,26)+65))&amp;$CK9&amp;""),"")</f>
        <v/>
      </c>
      <c r="CT9" s="132" t="str">
        <f t="array" aca="1" ref="CT9" ca="1">IF($CK9&lt;&gt;"",
INDIRECT(""&amp;IF(COLUMN(CG9)&lt;=26,CHAR(COLUMN(CG9)+64),CHAR(INT((COLUMN(CG9)-1)/26)+64)&amp;CHAR(MOD(COLUMN(CG9)-1,26)+65))&amp;$CK9&amp;""),"")</f>
        <v/>
      </c>
      <c r="CU9" s="132" t="str">
        <f t="array" aca="1" ref="CU9" ca="1">IF($CK9&lt;&gt;"",
INDIRECT(""&amp;IF(COLUMN(CH9)&lt;=26,CHAR(COLUMN(CH9)+64),CHAR(INT((COLUMN(CH9)-1)/26)+64)&amp;CHAR(MOD(COLUMN(CH9)-1,26)+65))&amp;$CK9&amp;""),"")</f>
        <v/>
      </c>
    </row>
    <row r="10" spans="1:99" s="132" customFormat="1" ht="22.2" customHeight="1" x14ac:dyDescent="0.55000000000000004">
      <c r="A10" s="129"/>
      <c r="B10" s="138" t="e">
        <f t="array" aca="1" ref="B10" ca="1">IF(AND(LEFT(G8,2)="博多",
LEFT(INDIRECT("数出表_Excel!A"&amp;MATCH(G8,数出表_Excel!$A:$A,0)-1),2)
=LEFT(INDIRECT("数出表_Excel!A"&amp;MATCH(G8,数出表_Excel!$A:$A,0)+1),2)),100,"")</f>
        <v>#VALUE!</v>
      </c>
      <c r="C10" s="139" t="str">
        <f ca="1">IF(C9&lt;&gt;"",
"園児","")</f>
        <v/>
      </c>
      <c r="D10" s="140"/>
      <c r="E10" s="141" t="str">
        <f ca="1">IF(C9&lt;&gt;"",
"先生","")</f>
        <v/>
      </c>
      <c r="F10" s="140"/>
      <c r="G10" s="159"/>
      <c r="H10" s="129"/>
      <c r="I10" s="138" t="e" cm="1">
        <f t="array" aca="1" ref="I10" ca="1">IF(AND(LEFT(N8,2)="博多",
LEFT(INDIRECT("数出表_Excel!A"&amp;MATCH(N8,数出表_Excel!$A:$A,0)-1),2)
=LEFT(INDIRECT("数出表_Excel!A"&amp;MATCH(N8,数出表_Excel!$A:$A,0)+1),2)),100,
IF(AND(LEFT(N8,3)="奈良屋",
LEFT(INDIRECT("数出表_Excel!A"&amp;MATCH(N8,数出表_Excel!$A:$A,0)-1),2)
=LEFT(INDIRECT("数出表_Excel!A"&amp;MATCH(N8,数出表_Excel!$A:$A,0)+1),2)),200,""))</f>
        <v>#VALUE!</v>
      </c>
      <c r="J10" s="139" t="str">
        <f ca="1">IF(J9&lt;&gt;"",
"園児","")</f>
        <v/>
      </c>
      <c r="K10" s="140"/>
      <c r="L10" s="141" t="str">
        <f ca="1">IF(J9&lt;&gt;"",
"先生","")</f>
        <v/>
      </c>
      <c r="M10" s="140"/>
      <c r="N10" s="154"/>
      <c r="O10" s="129"/>
      <c r="P10" s="129"/>
      <c r="Q10" s="138" t="e">
        <f t="array" aca="1" ref="Q10" ca="1">IF(AND(LEFT(V8,2)="博多",
LEFT(INDIRECT("数出表_Excel!A"&amp;MATCH(V8,数出表_Excel!$A:$A,0)-1),2)
=LEFT(INDIRECT("数出表_Excel!A"&amp;MATCH(V8,数出表_Excel!$A:$A,0)+1),2)),100,"")</f>
        <v>#VALUE!</v>
      </c>
      <c r="R10" s="139" t="str">
        <f ca="1">IF(R9&lt;&gt;"",
"園児","")</f>
        <v/>
      </c>
      <c r="S10" s="140"/>
      <c r="T10" s="141" t="str">
        <f ca="1">IF(R9&lt;&gt;"",
"先生","")</f>
        <v/>
      </c>
      <c r="U10" s="140"/>
      <c r="V10" s="154"/>
      <c r="W10" s="129"/>
      <c r="X10" s="138" t="e">
        <f t="array" aca="1" ref="X10" ca="1">IF(AND(LEFT(AC8,2)="博多",
LEFT(INDIRECT("数出表_Excel!A"&amp;MATCH(AC8,数出表_Excel!$A:$A,0)-1),2)
=LEFT(INDIRECT("数出表_Excel!A"&amp;MATCH(AC8,数出表_Excel!$A:$A,0)+1),2)),100,
IF(AND(LEFT(AC8,3)="奈良屋",
LEFT(INDIRECT("数出表_Excel!A"&amp;MATCH(AC8,数出表_Excel!$A:$A,0)-1),2)
=LEFT(INDIRECT("数出表_Excel!A"&amp;MATCH(AC8,数出表_Excel!$A:$A,0)+1),2)),200,""))</f>
        <v>#VALUE!</v>
      </c>
      <c r="Y10" s="139" t="str">
        <f ca="1">IF(Y9&lt;&gt;"",
"園児","")</f>
        <v/>
      </c>
      <c r="Z10" s="140"/>
      <c r="AA10" s="141" t="str">
        <f ca="1">IF(Y9&lt;&gt;"",
"先生","")</f>
        <v/>
      </c>
      <c r="AB10" s="140"/>
      <c r="AC10" s="154"/>
      <c r="AD10" s="129"/>
      <c r="AE10" s="129"/>
      <c r="AF10" s="138" t="e">
        <f t="array" aca="1" ref="AF10" ca="1">IF(AND(LEFT(AK8,2)="博多",
LEFT(INDIRECT("数出表_Excel!A"&amp;MATCH(AK8,数出表_Excel!$A:$A,0)-1),2)
=LEFT(INDIRECT("数出表_Excel!A"&amp;MATCH(AK8,数出表_Excel!$A:$A,0)+1),2)),100,"")</f>
        <v>#VALUE!</v>
      </c>
      <c r="AG10" s="139" t="str">
        <f ca="1">IF(AG9&lt;&gt;"",
"園児","")</f>
        <v/>
      </c>
      <c r="AH10" s="140"/>
      <c r="AI10" s="141" t="str">
        <f ca="1">IF(AG9&lt;&gt;"",
"先生","")</f>
        <v/>
      </c>
      <c r="AJ10" s="140"/>
      <c r="AK10" s="154"/>
      <c r="AL10" s="129"/>
      <c r="AM10" s="138" t="e">
        <f t="array" aca="1" ref="AM10" ca="1">IF(AND(LEFT(AR8,2)="博多",
LEFT(INDIRECT("数出表_Excel!A"&amp;MATCH(AR8,数出表_Excel!$A:$A,0)-1),2)
=LEFT(INDIRECT("数出表_Excel!A"&amp;MATCH(AR8,数出表_Excel!$A:$A,0)+1),2)),100,
IF(AND(LEFT(AR8,3)="奈良屋",
LEFT(INDIRECT("数出表_Excel!A"&amp;MATCH(AR8,数出表_Excel!$A:$A,0)-1),2)
=LEFT(INDIRECT("数出表_Excel!A"&amp;MATCH(AR8,数出表_Excel!$A:$A,0)+1),2)),200,""))</f>
        <v>#VALUE!</v>
      </c>
      <c r="AN10" s="139" t="str">
        <f ca="1">IF(AN9&lt;&gt;"",
"園児","")</f>
        <v/>
      </c>
      <c r="AO10" s="140"/>
      <c r="AP10" s="141" t="str">
        <f ca="1">IF(AN9&lt;&gt;"",
"先生","")</f>
        <v/>
      </c>
      <c r="AQ10" s="140"/>
      <c r="AR10" s="154"/>
      <c r="AS10" s="129"/>
      <c r="AT10" s="129"/>
      <c r="AU10" s="138" t="e">
        <f t="array" aca="1" ref="AU10" ca="1">IF(AND(LEFT(AZ8,2)="博多",
LEFT(INDIRECT("数出表_Excel!A"&amp;MATCH(AZ8,数出表_Excel!$A:$A,0)-1),2)
=LEFT(INDIRECT("数出表_Excel!A"&amp;MATCH(AZ8,数出表_Excel!$A:$A,0)+1),2)),100,"")</f>
        <v>#VALUE!</v>
      </c>
      <c r="AV10" s="139" t="str">
        <f ca="1">IF(AV9&lt;&gt;"",
"園児","")</f>
        <v/>
      </c>
      <c r="AW10" s="140"/>
      <c r="AX10" s="141" t="str">
        <f ca="1">IF(AV9&lt;&gt;"",
"先生","")</f>
        <v/>
      </c>
      <c r="AY10" s="140"/>
      <c r="AZ10" s="154"/>
      <c r="BA10" s="129"/>
      <c r="BB10" s="138" t="e">
        <f t="array" aca="1" ref="BB10" ca="1">IF(AND(LEFT(BG8,2)="博多",
LEFT(INDIRECT("数出表_Excel!A"&amp;MATCH(BG8,数出表_Excel!$A:$A,0)-1),2)
=LEFT(INDIRECT("数出表_Excel!A"&amp;MATCH(BG8,数出表_Excel!$A:$A,0)+1),2)),100,
IF(AND(LEFT(BG8,3)="奈良屋",
LEFT(INDIRECT("数出表_Excel!A"&amp;MATCH(BG8,数出表_Excel!$A:$A,0)-1),2)
=LEFT(INDIRECT("数出表_Excel!A"&amp;MATCH(BG8,数出表_Excel!$A:$A,0)+1),2)),200,""))</f>
        <v>#VALUE!</v>
      </c>
      <c r="BC10" s="139" t="str">
        <f ca="1">IF(BC9&lt;&gt;"",
"園児","")</f>
        <v/>
      </c>
      <c r="BD10" s="140"/>
      <c r="BE10" s="141" t="str">
        <f ca="1">IF(BC9&lt;&gt;"",
"先生","")</f>
        <v/>
      </c>
      <c r="BF10" s="140"/>
      <c r="BG10" s="154"/>
      <c r="BH10" s="129"/>
      <c r="BI10" s="129"/>
      <c r="BJ10" s="138" t="e">
        <f t="array" aca="1" ref="BJ10" ca="1">IF(AND(LEFT(BO8,2)="博多",
LEFT(INDIRECT("数出表_Excel!A"&amp;MATCH(BO8,数出表_Excel!$A:$A,0)-1),2)
=LEFT(INDIRECT("数出表_Excel!A"&amp;MATCH(BO8,数出表_Excel!$A:$A,0)+1),2)),100,"")</f>
        <v>#VALUE!</v>
      </c>
      <c r="BK10" s="139" t="str">
        <f ca="1">IF(BK9&lt;&gt;"",
"園児","")</f>
        <v/>
      </c>
      <c r="BL10" s="140"/>
      <c r="BM10" s="141" t="str">
        <f ca="1">IF(BK9&lt;&gt;"",
"先生","")</f>
        <v/>
      </c>
      <c r="BN10" s="140"/>
      <c r="BO10" s="154"/>
      <c r="BP10" s="129"/>
      <c r="BQ10" s="138" t="e">
        <f t="array" aca="1" ref="BQ10" ca="1">IF(AND(LEFT(BV8,2)="博多",
LEFT(INDIRECT("数出表_Excel!A"&amp;MATCH(BV8,数出表_Excel!$A:$A,0)-1),2)
=LEFT(INDIRECT("数出表_Excel!A"&amp;MATCH(BV8,数出表_Excel!$A:$A,0)+1),2)),100,
IF(AND(LEFT(BV8,3)="奈良屋",
LEFT(INDIRECT("数出表_Excel!A"&amp;MATCH(BV8,数出表_Excel!$A:$A,0)-1),2)
=LEFT(INDIRECT("数出表_Excel!A"&amp;MATCH(BV8,数出表_Excel!$A:$A,0)+1),2)),200,""))</f>
        <v>#VALUE!</v>
      </c>
      <c r="BR10" s="139" t="str">
        <f ca="1">IF(BR9&lt;&gt;"",
"園児","")</f>
        <v/>
      </c>
      <c r="BS10" s="140"/>
      <c r="BT10" s="141" t="str">
        <f ca="1">IF(BR9&lt;&gt;"",
"先生","")</f>
        <v/>
      </c>
      <c r="BU10" s="140"/>
      <c r="BV10" s="154"/>
      <c r="BW10" s="129"/>
      <c r="BX10" s="132">
        <f t="shared" si="1"/>
        <v>56</v>
      </c>
      <c r="BY10" s="132" t="str">
        <f t="array" aca="1" ref="BY10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LEN(SUBSTITUTE(_xlfn.FORMULATEXT(BY$1),"=","")))+$BX10)</f>
        <v/>
      </c>
      <c r="BZ10" s="132" t="str">
        <f t="array" aca="1" ref="BZ10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LEN(SUBSTITUTE(_xlfn.FORMULATEXT(BZ$1),"=","")))+$BX10)</f>
        <v/>
      </c>
      <c r="CA10" s="132" t="str">
        <f t="array" aca="1" ref="CA10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LEN(SUBSTITUTE(_xlfn.FORMULATEXT(CA$1),"=","")))+$BX10)</f>
        <v/>
      </c>
      <c r="CB10" s="132" t="str">
        <f t="array" aca="1" ref="CB10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LEN(SUBSTITUTE(_xlfn.FORMULATEXT(CB$1),"=","")))+$BX10)</f>
        <v/>
      </c>
      <c r="CC10" s="132" t="str">
        <f t="array" aca="1" ref="CC10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LEN(SUBSTITUTE(_xlfn.FORMULATEXT(CC$1),"=","")))+$BX10)</f>
        <v/>
      </c>
      <c r="CD10" s="132" t="str">
        <f t="array" aca="1" ref="CD10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LEN(SUBSTITUTE(_xlfn.FORMULATEXT(CD$1),"=","")))+$BX10)</f>
        <v/>
      </c>
      <c r="CE10" s="132" t="str">
        <f t="array" aca="1" ref="CE10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LEN(SUBSTITUTE(_xlfn.FORMULATEXT(CE$1),"=","")))+$BX10)</f>
        <v/>
      </c>
      <c r="CF10" s="132" t="str">
        <f t="array" aca="1" ref="CF10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LEN(SUBSTITUTE(_xlfn.FORMULATEXT(CF$1),"=","")))+$BX10)</f>
        <v/>
      </c>
      <c r="CG10" s="132" t="str">
        <f t="array" aca="1" ref="CG10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LEN(SUBSTITUTE(_xlfn.FORMULATEXT(CG$1),"=","")))+$BX10)</f>
        <v/>
      </c>
      <c r="CH10" s="132" t="str">
        <f t="array" aca="1" ref="CH10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LEN(SUBSTITUTE(_xlfn.FORMULATEXT(CH$1),"=","")))+$BX10)</f>
        <v/>
      </c>
      <c r="CI10" s="132">
        <f t="shared" ca="1" si="0"/>
        <v>0</v>
      </c>
      <c r="CJ10" s="132" t="b">
        <f t="array" aca="1" ref="CJ10" ca="1">SUMPRODUCT((LEN(BY10:CH10)&gt;0)*1)&gt;0</f>
        <v>0</v>
      </c>
      <c r="CK10" s="132" t="str" cm="1">
        <f t="array" aca="1" ref="CK10" ca="1">IFERROR(SMALL(IF(CI$1:CI$150&lt;&gt;0,CI$1:CI$150),ROW(A10)),"")</f>
        <v/>
      </c>
      <c r="CL10" s="132" t="str">
        <f t="array" aca="1" ref="CL10" ca="1">IF($CK10&lt;&gt;"",
INDIRECT(""&amp;IF(COLUMN(BY10)&lt;=26,CHAR(COLUMN(BY10)+64),CHAR(INT((COLUMN(BY10)-1)/26)+64)&amp;CHAR(MOD(COLUMN(BY10)-1,26)+65))&amp;$CK10&amp;""),"")</f>
        <v/>
      </c>
      <c r="CM10" s="132" t="str">
        <f t="array" aca="1" ref="CM10" ca="1">IF($CK10&lt;&gt;"",
INDIRECT(""&amp;IF(COLUMN(BZ10)&lt;=26,CHAR(COLUMN(BZ10)+64),CHAR(INT((COLUMN(BZ10)-1)/26)+64)&amp;CHAR(MOD(COLUMN(BZ10)-1,26)+65))&amp;$CK10&amp;""),"")</f>
        <v/>
      </c>
      <c r="CN10" s="132" t="str">
        <f t="array" aca="1" ref="CN10" ca="1">IF($CK10&lt;&gt;"",
INDIRECT(""&amp;IF(COLUMN(CA10)&lt;=26,CHAR(COLUMN(CA10)+64),CHAR(INT((COLUMN(CA10)-1)/26)+64)&amp;CHAR(MOD(COLUMN(CA10)-1,26)+65))&amp;$CK10&amp;""),"")</f>
        <v/>
      </c>
      <c r="CO10" s="132" t="str">
        <f t="array" aca="1" ref="CO10" ca="1">IF($CK10&lt;&gt;"",
INDIRECT(""&amp;IF(COLUMN(CB10)&lt;=26,CHAR(COLUMN(CB10)+64),CHAR(INT((COLUMN(CB10)-1)/26)+64)&amp;CHAR(MOD(COLUMN(CB10)-1,26)+65))&amp;$CK10&amp;""),"")</f>
        <v/>
      </c>
      <c r="CP10" s="132" t="str">
        <f t="array" aca="1" ref="CP10" ca="1">IF($CK10&lt;&gt;"",
INDIRECT(""&amp;IF(COLUMN(CC10)&lt;=26,CHAR(COLUMN(CC10)+64),CHAR(INT((COLUMN(CC10)-1)/26)+64)&amp;CHAR(MOD(COLUMN(CC10)-1,26)+65))&amp;$CK10&amp;""),"")</f>
        <v/>
      </c>
      <c r="CQ10" s="132" t="str">
        <f t="array" aca="1" ref="CQ10" ca="1">IF($CK10&lt;&gt;"",
INDIRECT(""&amp;IF(COLUMN(CD10)&lt;=26,CHAR(COLUMN(CD10)+64),CHAR(INT((COLUMN(CD10)-1)/26)+64)&amp;CHAR(MOD(COLUMN(CD10)-1,26)+65))&amp;$CK10&amp;""),"")</f>
        <v/>
      </c>
      <c r="CR10" s="132" t="str">
        <f t="array" aca="1" ref="CR10" ca="1">IF($CK10&lt;&gt;"",
INDIRECT(""&amp;IF(COLUMN(CE10)&lt;=26,CHAR(COLUMN(CE10)+64),CHAR(INT((COLUMN(CE10)-1)/26)+64)&amp;CHAR(MOD(COLUMN(CE10)-1,26)+65))&amp;$CK10&amp;""),"")</f>
        <v/>
      </c>
      <c r="CS10" s="132" t="str">
        <f t="array" aca="1" ref="CS10" ca="1">IF($CK10&lt;&gt;"",
INDIRECT(""&amp;IF(COLUMN(CF10)&lt;=26,CHAR(COLUMN(CF10)+64),CHAR(INT((COLUMN(CF10)-1)/26)+64)&amp;CHAR(MOD(COLUMN(CF10)-1,26)+65))&amp;$CK10&amp;""),"")</f>
        <v/>
      </c>
      <c r="CT10" s="132" t="str">
        <f t="array" aca="1" ref="CT10" ca="1">IF($CK10&lt;&gt;"",
INDIRECT(""&amp;IF(COLUMN(CG10)&lt;=26,CHAR(COLUMN(CG10)+64),CHAR(INT((COLUMN(CG10)-1)/26)+64)&amp;CHAR(MOD(COLUMN(CG10)-1,26)+65))&amp;$CK10&amp;""),"")</f>
        <v/>
      </c>
      <c r="CU10" s="132" t="str">
        <f t="array" aca="1" ref="CU10" ca="1">IF($CK10&lt;&gt;"",
INDIRECT(""&amp;IF(COLUMN(CH10)&lt;=26,CHAR(COLUMN(CH10)+64),CHAR(INT((COLUMN(CH10)-1)/26)+64)&amp;CHAR(MOD(COLUMN(CH10)-1,26)+65))&amp;$CK10&amp;""),"")</f>
        <v/>
      </c>
    </row>
    <row r="11" spans="1:99" ht="18" customHeight="1" x14ac:dyDescent="0.45">
      <c r="B11" s="143"/>
      <c r="C11" s="120" t="str">
        <f t="array" aca="1" ref="C11" ca="1">IF(C9&lt;&gt;"",
IF(IFERROR(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"")=0,"",
IF(B10=100,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IF(AND(B10=200,COUNTIF(数出表_Excel!$A:$A,"*奈良屋*")=2),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""),
IF(AND(B10=200,COUNTIF(数出表_Excel!$A:$A,"*奈良屋*")=3),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
+IFERROR(
INDEX(INDIRECT("数出表_Excel!B"&amp;MATCH(G8,数出表_Excel!$A:$A,0)-1+2&amp;":U"&amp;MATCH(G8,数出表_Excel!$A:$A,0)-1+2&amp;""),
 1,
 MATCH(TRUE, ISNUMBER(--INDIRECT("数出表_Excel!B"&amp;MATCH(G8,数出表_Excel!$A:$A,0)-1+2&amp;":U"&amp;MATCH(G8,数出表_Excel!$A:$A,0)-1+2&amp;"")), 0)),
 "")
+IFERROR(
INDEX(INDIRECT("数出表_Excel!B"&amp;MATCH(G8,数出表_Excel!$A:$A,0)-1+4&amp;":U"&amp;MATCH(G8,数出表_Excel!$A:$A,0)-1+4&amp;""),
 1,
 MATCH(TRUE, ISNUMBER(--INDIRECT("数出表_Excel!B"&amp;MATCH(G8,数出表_Excel!$A:$A,0)-1+4&amp;":U"&amp;MATCH(G8,数出表_Excel!$A:$A,0)-1+4&amp;"")), 0)),
 ""),
IFERROR(
INDEX(INDIRECT("数出表_Excel!B"&amp;MATCH(G8,数出表_Excel!$A:$A,0)-1&amp;":U"&amp;MATCH(G8,数出表_Excel!$A:$A,0)-1&amp;""),
 1,
 MATCH(TRUE, ISNUMBER(--INDIRECT("数出表_Excel!B"&amp;MATCH(G8,数出表_Excel!$A:$A,0)-1&amp;":U"&amp;MATCH(G8,数出表_Excel!$A:$A,0)-1&amp;"")), 0)),
 ""))))),"")</f>
        <v/>
      </c>
      <c r="D11" s="144"/>
      <c r="E11" s="145" t="str">
        <f t="array" aca="1" ref="E11" ca="1">IF(C9&lt;&gt;"",
IF(IFERROR(
INDEX(INDIRECT("数出表_Excel!B"&amp;MATCH(G8,数出表_Excel!$A:$A,0)&amp;":U"&amp;MATCH(G8,数出表_Excel!$A:$A,0)&amp;""),
 1,B9-1),
 "")=0,"",
IFERROR(
INDEX(INDIRECT("数出表_Excel!B"&amp;MATCH(G8,数出表_Excel!$A:$A,0)&amp;":U"&amp;MATCH(G8,数出表_Excel!$A:$A,0)&amp;""),
 1,B9-1),
 "")),"")</f>
        <v/>
      </c>
      <c r="F11" s="144"/>
      <c r="G11" s="159"/>
      <c r="I11" s="143"/>
      <c r="J11" s="120" t="str">
        <f t="array" aca="1" ref="J11" ca="1">IF(J9&lt;&gt;"",
IF(IFERROR(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"")=0,"",
IF(I10=100,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IF(AND(I10=200,COUNTIF(数出表_Excel!$A:$A,"*奈良屋*")=2),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""),
IF(AND(I10=200,COUNTIF(数出表_Excel!$A:$A,"*奈良屋*")=3),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
+IFERROR(
INDEX(INDIRECT("数出表_Excel!B"&amp;MATCH(N8,数出表_Excel!$A:$A,0)-1+2&amp;":U"&amp;MATCH(N8,数出表_Excel!$A:$A,0)-1+2&amp;""),
 1,
 MATCH(TRUE, ISNUMBER(--INDIRECT("数出表_Excel!B"&amp;MATCH(N8,数出表_Excel!$A:$A,0)-1+2&amp;":U"&amp;MATCH(N8,数出表_Excel!$A:$A,0)-1+2&amp;"")), 0)),
 "")
+IFERROR(
INDEX(INDIRECT("数出表_Excel!B"&amp;MATCH(N8,数出表_Excel!$A:$A,0)-1+4&amp;":U"&amp;MATCH(N8,数出表_Excel!$A:$A,0)-1+4&amp;""),
 1,
 MATCH(TRUE, ISNUMBER(--INDIRECT("数出表_Excel!B"&amp;MATCH(N8,数出表_Excel!$A:$A,0)-1+4&amp;":U"&amp;MATCH(N8,数出表_Excel!$A:$A,0)-1+4&amp;"")), 0)),
 ""),
IFERROR(
INDEX(INDIRECT("数出表_Excel!B"&amp;MATCH(N8,数出表_Excel!$A:$A,0)-1&amp;":U"&amp;MATCH(N8,数出表_Excel!$A:$A,0)-1&amp;""),
 1,
 MATCH(TRUE, ISNUMBER(--INDIRECT("数出表_Excel!B"&amp;MATCH(N8,数出表_Excel!$A:$A,0)-1&amp;":U"&amp;MATCH(N8,数出表_Excel!$A:$A,0)-1&amp;"")), 0)),
 ""))))),"")</f>
        <v/>
      </c>
      <c r="K11" s="144"/>
      <c r="L11" s="145" t="str">
        <f t="array" aca="1" ref="L11" ca="1">IF(J9&lt;&gt;"",
IF(IFERROR(
INDEX(INDIRECT("数出表_Excel!B"&amp;MATCH(N8,数出表_Excel!$A:$A,0)&amp;":U"&amp;MATCH(N8,数出表_Excel!$A:$A,0)&amp;""),
 1,I9-1),
 "")=0,"",
IFERROR(
INDEX(INDIRECT("数出表_Excel!B"&amp;MATCH(N8,数出表_Excel!$A:$A,0)&amp;":U"&amp;MATCH(N8,数出表_Excel!$A:$A,0)&amp;""),
 1,I9-1),
 "")),"")</f>
        <v/>
      </c>
      <c r="M11" s="144"/>
      <c r="N11" s="154"/>
      <c r="Q11" s="143"/>
      <c r="R11" s="120" t="str">
        <f t="array" aca="1" ref="R11" ca="1">IF(R9&lt;&gt;"",
IF(IFERROR(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"")=0,"",
IF(Q10=100,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IF(AND(Q10=200,COUNTIF(数出表_Excel!$A:$A,"*奈良屋*")=2),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""),
IF(AND(Q10=200,COUNTIF(数出表_Excel!$A:$A,"*奈良屋*")=3),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
+IFERROR(
INDEX(INDIRECT("数出表_Excel!B"&amp;MATCH(V8,数出表_Excel!$A:$A,0)-1+2&amp;":U"&amp;MATCH(V8,数出表_Excel!$A:$A,0)-1+2&amp;""),
 1,
 MATCH(TRUE, ISNUMBER(--INDIRECT("数出表_Excel!B"&amp;MATCH(V8,数出表_Excel!$A:$A,0)-1+2&amp;":U"&amp;MATCH(V8,数出表_Excel!$A:$A,0)-1+2&amp;"")), 0)),
 "")
+IFERROR(
INDEX(INDIRECT("数出表_Excel!B"&amp;MATCH(V8,数出表_Excel!$A:$A,0)-1+4&amp;":U"&amp;MATCH(V8,数出表_Excel!$A:$A,0)-1+4&amp;""),
 1,
 MATCH(TRUE, ISNUMBER(--INDIRECT("数出表_Excel!B"&amp;MATCH(V8,数出表_Excel!$A:$A,0)-1+4&amp;":U"&amp;MATCH(V8,数出表_Excel!$A:$A,0)-1+4&amp;"")), 0)),
 ""),
IFERROR(
INDEX(INDIRECT("数出表_Excel!B"&amp;MATCH(V8,数出表_Excel!$A:$A,0)-1&amp;":U"&amp;MATCH(V8,数出表_Excel!$A:$A,0)-1&amp;""),
 1,
 MATCH(TRUE, ISNUMBER(--INDIRECT("数出表_Excel!B"&amp;MATCH(V8,数出表_Excel!$A:$A,0)-1&amp;":U"&amp;MATCH(V8,数出表_Excel!$A:$A,0)-1&amp;"")), 0)),
 ""))))),"")</f>
        <v/>
      </c>
      <c r="S11" s="144"/>
      <c r="T11" s="145" t="str">
        <f t="array" aca="1" ref="T11" ca="1">IF(R9&lt;&gt;"",
IF(IFERROR(
INDEX(INDIRECT("数出表_Excel!B"&amp;MATCH(V8,数出表_Excel!$A:$A,0)&amp;":U"&amp;MATCH(V8,数出表_Excel!$A:$A,0)&amp;""),
 1,Q9-1),
 "")=0,"",
IFERROR(
INDEX(INDIRECT("数出表_Excel!B"&amp;MATCH(V8,数出表_Excel!$A:$A,0)&amp;":U"&amp;MATCH(V8,数出表_Excel!$A:$A,0)&amp;""),
 1,Q9-1),
 "")),"")</f>
        <v/>
      </c>
      <c r="U11" s="144"/>
      <c r="V11" s="154"/>
      <c r="X11" s="143"/>
      <c r="Y11" s="120" t="str">
        <f t="array" aca="1" ref="Y11" ca="1">IF(Y9&lt;&gt;"",
IF(IFERROR(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"")=0,"",
IF(X10=100,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IF(AND(X10=200,COUNTIF(数出表_Excel!$A:$A,"*奈良屋*")=2),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""),
IF(AND(X10=200,COUNTIF(数出表_Excel!$A:$A,"*奈良屋*")=3),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
+IFERROR(
INDEX(INDIRECT("数出表_Excel!B"&amp;MATCH(AC8,数出表_Excel!$A:$A,0)-1+2&amp;":U"&amp;MATCH(AC8,数出表_Excel!$A:$A,0)-1+2&amp;""),
 1,
 MATCH(TRUE, ISNUMBER(--INDIRECT("数出表_Excel!B"&amp;MATCH(AC8,数出表_Excel!$A:$A,0)-1+2&amp;":U"&amp;MATCH(AC8,数出表_Excel!$A:$A,0)-1+2&amp;"")), 0)),
 "")
+IFERROR(
INDEX(INDIRECT("数出表_Excel!B"&amp;MATCH(AC8,数出表_Excel!$A:$A,0)-1+4&amp;":U"&amp;MATCH(AC8,数出表_Excel!$A:$A,0)-1+4&amp;""),
 1,
 MATCH(TRUE, ISNUMBER(--INDIRECT("数出表_Excel!B"&amp;MATCH(AC8,数出表_Excel!$A:$A,0)-1+4&amp;":U"&amp;MATCH(AC8,数出表_Excel!$A:$A,0)-1+4&amp;"")), 0)),
 ""),
IFERROR(
INDEX(INDIRECT("数出表_Excel!B"&amp;MATCH(AC8,数出表_Excel!$A:$A,0)-1&amp;":U"&amp;MATCH(AC8,数出表_Excel!$A:$A,0)-1&amp;""),
 1,
 MATCH(TRUE, ISNUMBER(--INDIRECT("数出表_Excel!B"&amp;MATCH(AC8,数出表_Excel!$A:$A,0)-1&amp;":U"&amp;MATCH(AC8,数出表_Excel!$A:$A,0)-1&amp;"")), 0)),
 ""))))),"")</f>
        <v/>
      </c>
      <c r="Z11" s="144"/>
      <c r="AA11" s="145" t="str">
        <f t="array" aca="1" ref="AA11" ca="1">IF(Y9&lt;&gt;"",
IF(IFERROR(
INDEX(INDIRECT("数出表_Excel!B"&amp;MATCH(AC8,数出表_Excel!$A:$A,0)&amp;":U"&amp;MATCH(AC8,数出表_Excel!$A:$A,0)&amp;""),
 1,X9-1),
 "")=0,"",
IFERROR(
INDEX(INDIRECT("数出表_Excel!B"&amp;MATCH(AC8,数出表_Excel!$A:$A,0)&amp;":U"&amp;MATCH(AC8,数出表_Excel!$A:$A,0)&amp;""),
 1,X9-1),
 "")),"")</f>
        <v/>
      </c>
      <c r="AB11" s="144"/>
      <c r="AC11" s="154"/>
      <c r="AF11" s="143"/>
      <c r="AG11" s="120" t="str">
        <f t="array" aca="1" ref="AG11" ca="1">IF(AG9&lt;&gt;"",
IF(IFERROR(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"")=0,"",
IF(AF10=100,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IF(AND(AF10=200,COUNTIF(数出表_Excel!$A:$A,"*奈良屋*")=2),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""),
IF(AND(AF10=200,COUNTIF(数出表_Excel!$A:$A,"*奈良屋*")=3),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
+IFERROR(
INDEX(INDIRECT("数出表_Excel!B"&amp;MATCH(AK8,数出表_Excel!$A:$A,0)-1+2&amp;":U"&amp;MATCH(AK8,数出表_Excel!$A:$A,0)-1+2&amp;""),
 1,
 MATCH(TRUE, ISNUMBER(--INDIRECT("数出表_Excel!B"&amp;MATCH(AK8,数出表_Excel!$A:$A,0)-1+2&amp;":U"&amp;MATCH(AK8,数出表_Excel!$A:$A,0)-1+2&amp;"")), 0)),
 "")
+IFERROR(
INDEX(INDIRECT("数出表_Excel!B"&amp;MATCH(AK8,数出表_Excel!$A:$A,0)-1+4&amp;":U"&amp;MATCH(AK8,数出表_Excel!$A:$A,0)-1+4&amp;""),
 1,
 MATCH(TRUE, ISNUMBER(--INDIRECT("数出表_Excel!B"&amp;MATCH(AK8,数出表_Excel!$A:$A,0)-1+4&amp;":U"&amp;MATCH(AK8,数出表_Excel!$A:$A,0)-1+4&amp;"")), 0)),
 ""),
IFERROR(
INDEX(INDIRECT("数出表_Excel!B"&amp;MATCH(AK8,数出表_Excel!$A:$A,0)-1&amp;":U"&amp;MATCH(AK8,数出表_Excel!$A:$A,0)-1&amp;""),
 1,
 MATCH(TRUE, ISNUMBER(--INDIRECT("数出表_Excel!B"&amp;MATCH(AK8,数出表_Excel!$A:$A,0)-1&amp;":U"&amp;MATCH(AK8,数出表_Excel!$A:$A,0)-1&amp;"")), 0)),
 ""))))),"")</f>
        <v/>
      </c>
      <c r="AH11" s="144"/>
      <c r="AI11" s="145" t="str">
        <f t="array" aca="1" ref="AI11" ca="1">IF(AG9&lt;&gt;"",
IF(IFERROR(
INDEX(INDIRECT("数出表_Excel!B"&amp;MATCH(AK8,数出表_Excel!$A:$A,0)&amp;":U"&amp;MATCH(AK8,数出表_Excel!$A:$A,0)&amp;""),
 1,AF9-1),
 "")=0,"",
IFERROR(
INDEX(INDIRECT("数出表_Excel!B"&amp;MATCH(AK8,数出表_Excel!$A:$A,0)&amp;":U"&amp;MATCH(AK8,数出表_Excel!$A:$A,0)&amp;""),
 1,AF9-1),
 "")),"")</f>
        <v/>
      </c>
      <c r="AJ11" s="144"/>
      <c r="AK11" s="154"/>
      <c r="AM11" s="143"/>
      <c r="AN11" s="120" t="str">
        <f t="array" aca="1" ref="AN11" ca="1">IF(AN9&lt;&gt;"",
IF(IFERROR(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"")=0,"",
IF(AM10=100,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IF(AND(AM10=200,COUNTIF(数出表_Excel!$A:$A,"*奈良屋*")=2),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""),
IF(AND(AM10=200,COUNTIF(数出表_Excel!$A:$A,"*奈良屋*")=3),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
+IFERROR(
INDEX(INDIRECT("数出表_Excel!B"&amp;MATCH(AR8,数出表_Excel!$A:$A,0)-1+2&amp;":U"&amp;MATCH(AR8,数出表_Excel!$A:$A,0)-1+2&amp;""),
 1,
 MATCH(TRUE, ISNUMBER(--INDIRECT("数出表_Excel!B"&amp;MATCH(AR8,数出表_Excel!$A:$A,0)-1+2&amp;":U"&amp;MATCH(AR8,数出表_Excel!$A:$A,0)-1+2&amp;"")), 0)),
 "")
+IFERROR(
INDEX(INDIRECT("数出表_Excel!B"&amp;MATCH(AR8,数出表_Excel!$A:$A,0)-1+4&amp;":U"&amp;MATCH(AR8,数出表_Excel!$A:$A,0)-1+4&amp;""),
 1,
 MATCH(TRUE, ISNUMBER(--INDIRECT("数出表_Excel!B"&amp;MATCH(AR8,数出表_Excel!$A:$A,0)-1+4&amp;":U"&amp;MATCH(AR8,数出表_Excel!$A:$A,0)-1+4&amp;"")), 0)),
 ""),
IFERROR(
INDEX(INDIRECT("数出表_Excel!B"&amp;MATCH(AR8,数出表_Excel!$A:$A,0)-1&amp;":U"&amp;MATCH(AR8,数出表_Excel!$A:$A,0)-1&amp;""),
 1,
 MATCH(TRUE, ISNUMBER(--INDIRECT("数出表_Excel!B"&amp;MATCH(AR8,数出表_Excel!$A:$A,0)-1&amp;":U"&amp;MATCH(AR8,数出表_Excel!$A:$A,0)-1&amp;"")), 0)),
 ""))))),"")</f>
        <v/>
      </c>
      <c r="AO11" s="144"/>
      <c r="AP11" s="145" t="str">
        <f t="array" aca="1" ref="AP11" ca="1">IF(AN9&lt;&gt;"",
IF(IFERROR(
INDEX(INDIRECT("数出表_Excel!B"&amp;MATCH(AR8,数出表_Excel!$A:$A,0)&amp;":U"&amp;MATCH(AR8,数出表_Excel!$A:$A,0)&amp;""),
 1,AM9-1),
 "")=0,"",
IFERROR(
INDEX(INDIRECT("数出表_Excel!B"&amp;MATCH(AR8,数出表_Excel!$A:$A,0)&amp;":U"&amp;MATCH(AR8,数出表_Excel!$A:$A,0)&amp;""),
 1,AM9-1),
 "")),"")</f>
        <v/>
      </c>
      <c r="AQ11" s="144"/>
      <c r="AR11" s="154"/>
      <c r="AU11" s="143"/>
      <c r="AV11" s="120" t="str">
        <f t="array" aca="1" ref="AV11" ca="1">IF(AV9&lt;&gt;"",
IF(IFERROR(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"")=0,"",
IF(AU10=100,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IF(AND(AU10=200,COUNTIF(数出表_Excel!$A:$A,"*奈良屋*")=2),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""),
IF(AND(AU10=200,COUNTIF(数出表_Excel!$A:$A,"*奈良屋*")=3),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
+IFERROR(
INDEX(INDIRECT("数出表_Excel!B"&amp;MATCH(AZ8,数出表_Excel!$A:$A,0)-1+2&amp;":U"&amp;MATCH(AZ8,数出表_Excel!$A:$A,0)-1+2&amp;""),
 1,
 MATCH(TRUE, ISNUMBER(--INDIRECT("数出表_Excel!B"&amp;MATCH(AZ8,数出表_Excel!$A:$A,0)-1+2&amp;":U"&amp;MATCH(AZ8,数出表_Excel!$A:$A,0)-1+2&amp;"")), 0)),
 "")
+IFERROR(
INDEX(INDIRECT("数出表_Excel!B"&amp;MATCH(AZ8,数出表_Excel!$A:$A,0)-1+4&amp;":U"&amp;MATCH(AZ8,数出表_Excel!$A:$A,0)-1+4&amp;""),
 1,
 MATCH(TRUE, ISNUMBER(--INDIRECT("数出表_Excel!B"&amp;MATCH(AZ8,数出表_Excel!$A:$A,0)-1+4&amp;":U"&amp;MATCH(AZ8,数出表_Excel!$A:$A,0)-1+4&amp;"")), 0)),
 ""),
IFERROR(
INDEX(INDIRECT("数出表_Excel!B"&amp;MATCH(AZ8,数出表_Excel!$A:$A,0)-1&amp;":U"&amp;MATCH(AZ8,数出表_Excel!$A:$A,0)-1&amp;""),
 1,
 MATCH(TRUE, ISNUMBER(--INDIRECT("数出表_Excel!B"&amp;MATCH(AZ8,数出表_Excel!$A:$A,0)-1&amp;":U"&amp;MATCH(AZ8,数出表_Excel!$A:$A,0)-1&amp;"")), 0)),
 ""))))),"")</f>
        <v/>
      </c>
      <c r="AW11" s="144"/>
      <c r="AX11" s="145" t="str">
        <f t="array" aca="1" ref="AX11" ca="1">IF(AV9&lt;&gt;"",
IF(IFERROR(
INDEX(INDIRECT("数出表_Excel!B"&amp;MATCH(AZ8,数出表_Excel!$A:$A,0)&amp;":U"&amp;MATCH(AZ8,数出表_Excel!$A:$A,0)&amp;""),
 1,AU9-1),
 "")=0,"",
IFERROR(
INDEX(INDIRECT("数出表_Excel!B"&amp;MATCH(AZ8,数出表_Excel!$A:$A,0)&amp;":U"&amp;MATCH(AZ8,数出表_Excel!$A:$A,0)&amp;""),
 1,AU9-1),
 "")),"")</f>
        <v/>
      </c>
      <c r="AY11" s="144"/>
      <c r="AZ11" s="154"/>
      <c r="BB11" s="143"/>
      <c r="BC11" s="120" t="str">
        <f t="array" aca="1" ref="BC11" ca="1">IF(BC9&lt;&gt;"",
IF(IFERROR(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"")=0,"",
IF(BB10=100,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IF(AND(BB10=200,COUNTIF(数出表_Excel!$A:$A,"*奈良屋*")=2),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""),
IF(AND(BB10=200,COUNTIF(数出表_Excel!$A:$A,"*奈良屋*")=3),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
+IFERROR(
INDEX(INDIRECT("数出表_Excel!B"&amp;MATCH(BG8,数出表_Excel!$A:$A,0)-1+2&amp;":U"&amp;MATCH(BG8,数出表_Excel!$A:$A,0)-1+2&amp;""),
 1,
 MATCH(TRUE, ISNUMBER(--INDIRECT("数出表_Excel!B"&amp;MATCH(BG8,数出表_Excel!$A:$A,0)-1+2&amp;":U"&amp;MATCH(BG8,数出表_Excel!$A:$A,0)-1+2&amp;"")), 0)),
 "")
+IFERROR(
INDEX(INDIRECT("数出表_Excel!B"&amp;MATCH(BG8,数出表_Excel!$A:$A,0)-1+4&amp;":U"&amp;MATCH(BG8,数出表_Excel!$A:$A,0)-1+4&amp;""),
 1,
 MATCH(TRUE, ISNUMBER(--INDIRECT("数出表_Excel!B"&amp;MATCH(BG8,数出表_Excel!$A:$A,0)-1+4&amp;":U"&amp;MATCH(BG8,数出表_Excel!$A:$A,0)-1+4&amp;"")), 0)),
 ""),
IFERROR(
INDEX(INDIRECT("数出表_Excel!B"&amp;MATCH(BG8,数出表_Excel!$A:$A,0)-1&amp;":U"&amp;MATCH(BG8,数出表_Excel!$A:$A,0)-1&amp;""),
 1,
 MATCH(TRUE, ISNUMBER(--INDIRECT("数出表_Excel!B"&amp;MATCH(BG8,数出表_Excel!$A:$A,0)-1&amp;":U"&amp;MATCH(BG8,数出表_Excel!$A:$A,0)-1&amp;"")), 0)),
 ""))))),"")</f>
        <v/>
      </c>
      <c r="BD11" s="144"/>
      <c r="BE11" s="145" t="str">
        <f t="array" aca="1" ref="BE11" ca="1">IF(BC9&lt;&gt;"",
IF(IFERROR(
INDEX(INDIRECT("数出表_Excel!B"&amp;MATCH(BG8,数出表_Excel!$A:$A,0)&amp;":U"&amp;MATCH(BG8,数出表_Excel!$A:$A,0)&amp;""),
 1,BB9-1),
 "")=0,"",
IFERROR(
INDEX(INDIRECT("数出表_Excel!B"&amp;MATCH(BG8,数出表_Excel!$A:$A,0)&amp;":U"&amp;MATCH(BG8,数出表_Excel!$A:$A,0)&amp;""),
 1,BB9-1),
 "")),"")</f>
        <v/>
      </c>
      <c r="BF11" s="144"/>
      <c r="BG11" s="154"/>
      <c r="BJ11" s="143"/>
      <c r="BK11" s="120" t="str">
        <f t="array" aca="1" ref="BK11" ca="1">IF(BK9&lt;&gt;"",
IF(IFERROR(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"")=0,"",
IF(BJ10=100,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IF(AND(BJ10=200,COUNTIF(数出表_Excel!$A:$A,"*奈良屋*")=2),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""),
IF(AND(BJ10=200,COUNTIF(数出表_Excel!$A:$A,"*奈良屋*")=3),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
+IFERROR(
INDEX(INDIRECT("数出表_Excel!B"&amp;MATCH(BO8,数出表_Excel!$A:$A,0)-1+2&amp;":U"&amp;MATCH(BO8,数出表_Excel!$A:$A,0)-1+2&amp;""),
 1,
 MATCH(TRUE, ISNUMBER(--INDIRECT("数出表_Excel!B"&amp;MATCH(BO8,数出表_Excel!$A:$A,0)-1+2&amp;":U"&amp;MATCH(BO8,数出表_Excel!$A:$A,0)-1+2&amp;"")), 0)),
 "")
+IFERROR(
INDEX(INDIRECT("数出表_Excel!B"&amp;MATCH(BO8,数出表_Excel!$A:$A,0)-1+4&amp;":U"&amp;MATCH(BO8,数出表_Excel!$A:$A,0)-1+4&amp;""),
 1,
 MATCH(TRUE, ISNUMBER(--INDIRECT("数出表_Excel!B"&amp;MATCH(BO8,数出表_Excel!$A:$A,0)-1+4&amp;":U"&amp;MATCH(BO8,数出表_Excel!$A:$A,0)-1+4&amp;"")), 0)),
 ""),
IFERROR(
INDEX(INDIRECT("数出表_Excel!B"&amp;MATCH(BO8,数出表_Excel!$A:$A,0)-1&amp;":U"&amp;MATCH(BO8,数出表_Excel!$A:$A,0)-1&amp;""),
 1,
 MATCH(TRUE, ISNUMBER(--INDIRECT("数出表_Excel!B"&amp;MATCH(BO8,数出表_Excel!$A:$A,0)-1&amp;":U"&amp;MATCH(BO8,数出表_Excel!$A:$A,0)-1&amp;"")), 0)),
 ""))))),"")</f>
        <v/>
      </c>
      <c r="BL11" s="144"/>
      <c r="BM11" s="145" t="str">
        <f t="array" aca="1" ref="BM11" ca="1">IF(BK9&lt;&gt;"",
IF(IFERROR(
INDEX(INDIRECT("数出表_Excel!B"&amp;MATCH(BO8,数出表_Excel!$A:$A,0)&amp;":U"&amp;MATCH(BO8,数出表_Excel!$A:$A,0)&amp;""),
 1,BJ9-1),
 "")=0,"",
IFERROR(
INDEX(INDIRECT("数出表_Excel!B"&amp;MATCH(BO8,数出表_Excel!$A:$A,0)&amp;":U"&amp;MATCH(BO8,数出表_Excel!$A:$A,0)&amp;""),
 1,BJ9-1),
 "")),"")</f>
        <v/>
      </c>
      <c r="BN11" s="144"/>
      <c r="BO11" s="154"/>
      <c r="BQ11" s="143"/>
      <c r="BR11" s="120" t="str">
        <f t="array" aca="1" ref="BR11" ca="1">IF(BR9&lt;&gt;"",
IF(IFERROR(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"")=0,"",
IF(BQ10=100,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IF(AND(BQ10=200,COUNTIF(数出表_Excel!$A:$A,"*奈良屋*")=2),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""),
IF(AND(BQ10=200,COUNTIF(数出表_Excel!$A:$A,"*奈良屋*")=3),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
+IFERROR(
INDEX(INDIRECT("数出表_Excel!B"&amp;MATCH(BV8,数出表_Excel!$A:$A,0)-1+2&amp;":U"&amp;MATCH(BV8,数出表_Excel!$A:$A,0)-1+2&amp;""),
 1,
 MATCH(TRUE, ISNUMBER(--INDIRECT("数出表_Excel!B"&amp;MATCH(BV8,数出表_Excel!$A:$A,0)-1+2&amp;":U"&amp;MATCH(BV8,数出表_Excel!$A:$A,0)-1+2&amp;"")), 0)),
 "")
+IFERROR(
INDEX(INDIRECT("数出表_Excel!B"&amp;MATCH(BV8,数出表_Excel!$A:$A,0)-1+4&amp;":U"&amp;MATCH(BV8,数出表_Excel!$A:$A,0)-1+4&amp;""),
 1,
 MATCH(TRUE, ISNUMBER(--INDIRECT("数出表_Excel!B"&amp;MATCH(BV8,数出表_Excel!$A:$A,0)-1+4&amp;":U"&amp;MATCH(BV8,数出表_Excel!$A:$A,0)-1+4&amp;"")), 0)),
 ""),
IFERROR(
INDEX(INDIRECT("数出表_Excel!B"&amp;MATCH(BV8,数出表_Excel!$A:$A,0)-1&amp;":U"&amp;MATCH(BV8,数出表_Excel!$A:$A,0)-1&amp;""),
 1,
 MATCH(TRUE, ISNUMBER(--INDIRECT("数出表_Excel!B"&amp;MATCH(BV8,数出表_Excel!$A:$A,0)-1&amp;":U"&amp;MATCH(BV8,数出表_Excel!$A:$A,0)-1&amp;"")), 0)),
 ""))))),"")</f>
        <v/>
      </c>
      <c r="BS11" s="144"/>
      <c r="BT11" s="145" t="str">
        <f t="array" aca="1" ref="BT11" ca="1">IF(BR9&lt;&gt;"",
IF(IFERROR(
INDEX(INDIRECT("数出表_Excel!B"&amp;MATCH(BV8,数出表_Excel!$A:$A,0)&amp;":U"&amp;MATCH(BV8,数出表_Excel!$A:$A,0)&amp;""),
 1,BQ9-1),
 "")=0,"",
IFERROR(
INDEX(INDIRECT("数出表_Excel!B"&amp;MATCH(BV8,数出表_Excel!$A:$A,0)&amp;":U"&amp;MATCH(BV8,数出表_Excel!$A:$A,0)&amp;""),
 1,BQ9-1),
 "")),"")</f>
        <v/>
      </c>
      <c r="BU11" s="144"/>
      <c r="BV11" s="154"/>
      <c r="BX11" s="146">
        <f t="shared" si="1"/>
        <v>14</v>
      </c>
      <c r="BY11" s="132" t="str">
        <f t="array" aca="1" ref="BY11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LEN(SUBSTITUTE(_xlfn.FORMULATEXT(BY$3),"=","")))+$BX11)</f>
        <v/>
      </c>
      <c r="BZ11" s="132" t="str">
        <f t="array" aca="1" ref="BZ11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LEN(SUBSTITUTE(_xlfn.FORMULATEXT(BZ$3),"=","")))+$BX11)</f>
        <v/>
      </c>
      <c r="CA11" s="132" t="str">
        <f t="array" aca="1" ref="CA11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LEN(SUBSTITUTE(_xlfn.FORMULATEXT(CA$3),"=","")))+$BX11)</f>
        <v/>
      </c>
      <c r="CB11" s="132" t="str">
        <f t="array" aca="1" ref="CB11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LEN(SUBSTITUTE(_xlfn.FORMULATEXT(CB$3),"=","")))+$BX11)</f>
        <v/>
      </c>
      <c r="CC11" s="132" t="str">
        <f t="array" aca="1" ref="CC11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LEN(SUBSTITUTE(_xlfn.FORMULATEXT(CC$3),"=","")))+$BX11)</f>
        <v/>
      </c>
      <c r="CD11" s="132" t="str">
        <f t="array" aca="1" ref="CD11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LEN(SUBSTITUTE(_xlfn.FORMULATEXT(CD$3),"=","")))+$BX11)</f>
        <v/>
      </c>
      <c r="CE11" s="132" t="str">
        <f t="array" aca="1" ref="CE11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LEN(SUBSTITUTE(_xlfn.FORMULATEXT(CE$3),"=","")))+$BX11)</f>
        <v/>
      </c>
      <c r="CF11" s="132" t="str">
        <f t="array" aca="1" ref="CF11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LEN(SUBSTITUTE(_xlfn.FORMULATEXT(CF$3),"=","")))+$BX11)</f>
        <v/>
      </c>
      <c r="CG11" s="132" t="str">
        <f t="array" aca="1" ref="CG11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LEN(SUBSTITUTE(_xlfn.FORMULATEXT(CG$3),"=","")))+$BX11)</f>
        <v/>
      </c>
      <c r="CH11" s="132" t="str">
        <f t="array" aca="1" ref="CH11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LEN(SUBSTITUTE(_xlfn.FORMULATEXT(CH$3),"=","")))+$BX11)</f>
        <v/>
      </c>
      <c r="CI11" s="132">
        <f t="shared" ca="1" si="0"/>
        <v>0</v>
      </c>
      <c r="CJ11" s="132" t="b">
        <f t="array" aca="1" ref="CJ11" ca="1">SUMPRODUCT((LEN(BY11:CH11)&gt;0)*1)&gt;0</f>
        <v>0</v>
      </c>
      <c r="CK11" s="132" t="str" cm="1">
        <f t="array" aca="1" ref="CK11" ca="1">IFERROR(SMALL(IF(CI$1:CI$150&lt;&gt;0,CI$1:CI$150),ROW(A11)),"")</f>
        <v/>
      </c>
      <c r="CL11" s="132" t="str">
        <f t="array" aca="1" ref="CL11" ca="1">IF($CK11&lt;&gt;"",
INDIRECT(""&amp;IF(COLUMN(BY11)&lt;=26,CHAR(COLUMN(BY11)+64),CHAR(INT((COLUMN(BY11)-1)/26)+64)&amp;CHAR(MOD(COLUMN(BY11)-1,26)+65))&amp;$CK11&amp;""),"")</f>
        <v/>
      </c>
      <c r="CM11" s="132" t="str">
        <f t="array" aca="1" ref="CM11" ca="1">IF($CK11&lt;&gt;"",
INDIRECT(""&amp;IF(COLUMN(BZ11)&lt;=26,CHAR(COLUMN(BZ11)+64),CHAR(INT((COLUMN(BZ11)-1)/26)+64)&amp;CHAR(MOD(COLUMN(BZ11)-1,26)+65))&amp;$CK11&amp;""),"")</f>
        <v/>
      </c>
      <c r="CN11" s="132" t="str">
        <f t="array" aca="1" ref="CN11" ca="1">IF($CK11&lt;&gt;"",
INDIRECT(""&amp;IF(COLUMN(CA11)&lt;=26,CHAR(COLUMN(CA11)+64),CHAR(INT((COLUMN(CA11)-1)/26)+64)&amp;CHAR(MOD(COLUMN(CA11)-1,26)+65))&amp;$CK11&amp;""),"")</f>
        <v/>
      </c>
      <c r="CO11" s="132" t="str">
        <f t="array" aca="1" ref="CO11" ca="1">IF($CK11&lt;&gt;"",
INDIRECT(""&amp;IF(COLUMN(CB11)&lt;=26,CHAR(COLUMN(CB11)+64),CHAR(INT((COLUMN(CB11)-1)/26)+64)&amp;CHAR(MOD(COLUMN(CB11)-1,26)+65))&amp;$CK11&amp;""),"")</f>
        <v/>
      </c>
      <c r="CP11" s="132" t="str">
        <f t="array" aca="1" ref="CP11" ca="1">IF($CK11&lt;&gt;"",
INDIRECT(""&amp;IF(COLUMN(CC11)&lt;=26,CHAR(COLUMN(CC11)+64),CHAR(INT((COLUMN(CC11)-1)/26)+64)&amp;CHAR(MOD(COLUMN(CC11)-1,26)+65))&amp;$CK11&amp;""),"")</f>
        <v/>
      </c>
      <c r="CQ11" s="132" t="str">
        <f t="array" aca="1" ref="CQ11" ca="1">IF($CK11&lt;&gt;"",
INDIRECT(""&amp;IF(COLUMN(CD11)&lt;=26,CHAR(COLUMN(CD11)+64),CHAR(INT((COLUMN(CD11)-1)/26)+64)&amp;CHAR(MOD(COLUMN(CD11)-1,26)+65))&amp;$CK11&amp;""),"")</f>
        <v/>
      </c>
      <c r="CR11" s="132" t="str">
        <f t="array" aca="1" ref="CR11" ca="1">IF($CK11&lt;&gt;"",
INDIRECT(""&amp;IF(COLUMN(CE11)&lt;=26,CHAR(COLUMN(CE11)+64),CHAR(INT((COLUMN(CE11)-1)/26)+64)&amp;CHAR(MOD(COLUMN(CE11)-1,26)+65))&amp;$CK11&amp;""),"")</f>
        <v/>
      </c>
      <c r="CS11" s="132" t="str">
        <f t="array" aca="1" ref="CS11" ca="1">IF($CK11&lt;&gt;"",
INDIRECT(""&amp;IF(COLUMN(CF11)&lt;=26,CHAR(COLUMN(CF11)+64),CHAR(INT((COLUMN(CF11)-1)/26)+64)&amp;CHAR(MOD(COLUMN(CF11)-1,26)+65))&amp;$CK11&amp;""),"")</f>
        <v/>
      </c>
      <c r="CT11" s="132" t="str">
        <f t="array" aca="1" ref="CT11" ca="1">IF($CK11&lt;&gt;"",
INDIRECT(""&amp;IF(COLUMN(CG11)&lt;=26,CHAR(COLUMN(CG11)+64),CHAR(INT((COLUMN(CG11)-1)/26)+64)&amp;CHAR(MOD(COLUMN(CG11)-1,26)+65))&amp;$CK11&amp;""),"")</f>
        <v/>
      </c>
      <c r="CU11" s="132" t="str">
        <f t="array" aca="1" ref="CU11" ca="1">IF($CK11&lt;&gt;"",
INDIRECT(""&amp;IF(COLUMN(CH11)&lt;=26,CHAR(COLUMN(CH11)+64),CHAR(INT((COLUMN(CH11)-1)/26)+64)&amp;CHAR(MOD(COLUMN(CH11)-1,26)+65))&amp;$CK11&amp;""),"")</f>
        <v/>
      </c>
    </row>
    <row r="12" spans="1:99" ht="18" customHeight="1" x14ac:dyDescent="0.45">
      <c r="B12" s="147"/>
      <c r="C12" s="148"/>
      <c r="D12" s="148"/>
      <c r="E12" s="148"/>
      <c r="F12" s="148"/>
      <c r="G12" s="160"/>
      <c r="I12" s="147"/>
      <c r="J12" s="148"/>
      <c r="K12" s="148"/>
      <c r="L12" s="148"/>
      <c r="M12" s="148"/>
      <c r="N12" s="155"/>
      <c r="Q12" s="147"/>
      <c r="R12" s="148"/>
      <c r="S12" s="148"/>
      <c r="T12" s="148"/>
      <c r="U12" s="148"/>
      <c r="V12" s="155"/>
      <c r="X12" s="147"/>
      <c r="Y12" s="148"/>
      <c r="Z12" s="148"/>
      <c r="AA12" s="148"/>
      <c r="AB12" s="148"/>
      <c r="AC12" s="155"/>
      <c r="AF12" s="147"/>
      <c r="AG12" s="148"/>
      <c r="AH12" s="148"/>
      <c r="AI12" s="148"/>
      <c r="AJ12" s="148"/>
      <c r="AK12" s="155"/>
      <c r="AM12" s="147"/>
      <c r="AN12" s="148"/>
      <c r="AO12" s="148"/>
      <c r="AP12" s="148"/>
      <c r="AQ12" s="148"/>
      <c r="AR12" s="155"/>
      <c r="AU12" s="147"/>
      <c r="AV12" s="148"/>
      <c r="AW12" s="148"/>
      <c r="AX12" s="148"/>
      <c r="AY12" s="148"/>
      <c r="AZ12" s="155"/>
      <c r="BB12" s="147"/>
      <c r="BC12" s="148"/>
      <c r="BD12" s="148"/>
      <c r="BE12" s="148"/>
      <c r="BF12" s="148"/>
      <c r="BG12" s="155"/>
      <c r="BJ12" s="147"/>
      <c r="BK12" s="148"/>
      <c r="BL12" s="148"/>
      <c r="BM12" s="148"/>
      <c r="BN12" s="148"/>
      <c r="BO12" s="155"/>
      <c r="BQ12" s="147"/>
      <c r="BR12" s="148"/>
      <c r="BS12" s="148"/>
      <c r="BT12" s="148"/>
      <c r="BU12" s="148"/>
      <c r="BV12" s="155"/>
      <c r="BX12" s="132">
        <f t="shared" si="1"/>
        <v>56</v>
      </c>
      <c r="BY12" s="132" t="str">
        <f t="array" aca="1" ref="BY12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LEN(SUBSTITUTE(_xlfn.FORMULATEXT(BY$3),"=","")))+$BX12)</f>
        <v/>
      </c>
      <c r="BZ12" s="132" t="str">
        <f t="array" aca="1" ref="BZ12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LEN(SUBSTITUTE(_xlfn.FORMULATEXT(BZ$3),"=","")))+$BX12)</f>
        <v/>
      </c>
      <c r="CA12" s="132" t="str">
        <f t="array" aca="1" ref="CA12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LEN(SUBSTITUTE(_xlfn.FORMULATEXT(CA$3),"=","")))+$BX12)</f>
        <v/>
      </c>
      <c r="CB12" s="132" t="str">
        <f t="array" aca="1" ref="CB12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LEN(SUBSTITUTE(_xlfn.FORMULATEXT(CB$3),"=","")))+$BX12)</f>
        <v/>
      </c>
      <c r="CC12" s="132" t="str">
        <f t="array" aca="1" ref="CC12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LEN(SUBSTITUTE(_xlfn.FORMULATEXT(CC$3),"=","")))+$BX12)</f>
        <v/>
      </c>
      <c r="CD12" s="132" t="str">
        <f t="array" aca="1" ref="CD12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LEN(SUBSTITUTE(_xlfn.FORMULATEXT(CD$3),"=","")))+$BX12)</f>
        <v/>
      </c>
      <c r="CE12" s="132" t="str">
        <f t="array" aca="1" ref="CE12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LEN(SUBSTITUTE(_xlfn.FORMULATEXT(CE$3),"=","")))+$BX12)</f>
        <v/>
      </c>
      <c r="CF12" s="132" t="str">
        <f t="array" aca="1" ref="CF12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LEN(SUBSTITUTE(_xlfn.FORMULATEXT(CF$3),"=","")))+$BX12)</f>
        <v/>
      </c>
      <c r="CG12" s="132" t="str">
        <f t="array" aca="1" ref="CG12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LEN(SUBSTITUTE(_xlfn.FORMULATEXT(CG$3),"=","")))+$BX12)</f>
        <v/>
      </c>
      <c r="CH12" s="132" t="str">
        <f t="array" aca="1" ref="CH12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LEN(SUBSTITUTE(_xlfn.FORMULATEXT(CH$3),"=","")))+$BX12)</f>
        <v/>
      </c>
      <c r="CI12" s="132">
        <f t="shared" ca="1" si="0"/>
        <v>0</v>
      </c>
      <c r="CJ12" s="132" t="b">
        <f t="array" aca="1" ref="CJ12" ca="1">SUMPRODUCT((LEN(BY12:CH12)&gt;0)*1)&gt;0</f>
        <v>0</v>
      </c>
      <c r="CK12" s="132" t="str" cm="1">
        <f t="array" aca="1" ref="CK12" ca="1">IFERROR(SMALL(IF(CI$1:CI$150&lt;&gt;0,CI$1:CI$150),ROW(A12)),"")</f>
        <v/>
      </c>
      <c r="CL12" s="132" t="str">
        <f t="array" aca="1" ref="CL12" ca="1">IF($CK12&lt;&gt;"",
INDIRECT(""&amp;IF(COLUMN(BY12)&lt;=26,CHAR(COLUMN(BY12)+64),CHAR(INT((COLUMN(BY12)-1)/26)+64)&amp;CHAR(MOD(COLUMN(BY12)-1,26)+65))&amp;$CK12&amp;""),"")</f>
        <v/>
      </c>
      <c r="CM12" s="132" t="str">
        <f t="array" aca="1" ref="CM12" ca="1">IF($CK12&lt;&gt;"",
INDIRECT(""&amp;IF(COLUMN(BZ12)&lt;=26,CHAR(COLUMN(BZ12)+64),CHAR(INT((COLUMN(BZ12)-1)/26)+64)&amp;CHAR(MOD(COLUMN(BZ12)-1,26)+65))&amp;$CK12&amp;""),"")</f>
        <v/>
      </c>
      <c r="CN12" s="132" t="str">
        <f t="array" aca="1" ref="CN12" ca="1">IF($CK12&lt;&gt;"",
INDIRECT(""&amp;IF(COLUMN(CA12)&lt;=26,CHAR(COLUMN(CA12)+64),CHAR(INT((COLUMN(CA12)-1)/26)+64)&amp;CHAR(MOD(COLUMN(CA12)-1,26)+65))&amp;$CK12&amp;""),"")</f>
        <v/>
      </c>
      <c r="CO12" s="132" t="str">
        <f t="array" aca="1" ref="CO12" ca="1">IF($CK12&lt;&gt;"",
INDIRECT(""&amp;IF(COLUMN(CB12)&lt;=26,CHAR(COLUMN(CB12)+64),CHAR(INT((COLUMN(CB12)-1)/26)+64)&amp;CHAR(MOD(COLUMN(CB12)-1,26)+65))&amp;$CK12&amp;""),"")</f>
        <v/>
      </c>
      <c r="CP12" s="132" t="str">
        <f t="array" aca="1" ref="CP12" ca="1">IF($CK12&lt;&gt;"",
INDIRECT(""&amp;IF(COLUMN(CC12)&lt;=26,CHAR(COLUMN(CC12)+64),CHAR(INT((COLUMN(CC12)-1)/26)+64)&amp;CHAR(MOD(COLUMN(CC12)-1,26)+65))&amp;$CK12&amp;""),"")</f>
        <v/>
      </c>
      <c r="CQ12" s="132" t="str">
        <f t="array" aca="1" ref="CQ12" ca="1">IF($CK12&lt;&gt;"",
INDIRECT(""&amp;IF(COLUMN(CD12)&lt;=26,CHAR(COLUMN(CD12)+64),CHAR(INT((COLUMN(CD12)-1)/26)+64)&amp;CHAR(MOD(COLUMN(CD12)-1,26)+65))&amp;$CK12&amp;""),"")</f>
        <v/>
      </c>
      <c r="CR12" s="132" t="str">
        <f t="array" aca="1" ref="CR12" ca="1">IF($CK12&lt;&gt;"",
INDIRECT(""&amp;IF(COLUMN(CE12)&lt;=26,CHAR(COLUMN(CE12)+64),CHAR(INT((COLUMN(CE12)-1)/26)+64)&amp;CHAR(MOD(COLUMN(CE12)-1,26)+65))&amp;$CK12&amp;""),"")</f>
        <v/>
      </c>
      <c r="CS12" s="132" t="str">
        <f t="array" aca="1" ref="CS12" ca="1">IF($CK12&lt;&gt;"",
INDIRECT(""&amp;IF(COLUMN(CF12)&lt;=26,CHAR(COLUMN(CF12)+64),CHAR(INT((COLUMN(CF12)-1)/26)+64)&amp;CHAR(MOD(COLUMN(CF12)-1,26)+65))&amp;$CK12&amp;""),"")</f>
        <v/>
      </c>
      <c r="CT12" s="132" t="str">
        <f t="array" aca="1" ref="CT12" ca="1">IF($CK12&lt;&gt;"",
INDIRECT(""&amp;IF(COLUMN(CG12)&lt;=26,CHAR(COLUMN(CG12)+64),CHAR(INT((COLUMN(CG12)-1)/26)+64)&amp;CHAR(MOD(COLUMN(CG12)-1,26)+65))&amp;$CK12&amp;""),"")</f>
        <v/>
      </c>
      <c r="CU12" s="132" t="str">
        <f t="array" aca="1" ref="CU12" ca="1">IF($CK12&lt;&gt;"",
INDIRECT(""&amp;IF(COLUMN(CH12)&lt;=26,CHAR(COLUMN(CH12)+64),CHAR(INT((COLUMN(CH12)-1)/26)+64)&amp;CHAR(MOD(COLUMN(CH12)-1,26)+65))&amp;$CK12&amp;""),"")</f>
        <v/>
      </c>
    </row>
    <row r="13" spans="1:99" s="132" customFormat="1" ht="22.2" customHeight="1" x14ac:dyDescent="0.55000000000000004">
      <c r="A13" s="129"/>
      <c r="B13" s="149" t="str">
        <f ca="1">IF(C9&lt;&gt;"",
"パン箱","")</f>
        <v/>
      </c>
      <c r="C13" s="150" t="str">
        <f ca="1">IF(C9&lt;&gt;"",
IF(OR(COUNTIF('盛付札（関数）'!C9,"*キャラ*"),COUNTIF('盛付札（関数）'!C9,"*赤*")),24,
VLOOKUP('盛付札（関数）'!C9,商品マスタ一覧!$D:$I,6,FALSE)),"")</f>
        <v/>
      </c>
      <c r="D13" s="149" t="str">
        <f ca="1">IF(C9&lt;&gt;"",
" 端数","")</f>
        <v/>
      </c>
      <c r="E13" s="150"/>
      <c r="F13" s="149" t="str">
        <f ca="1">IF(C9&lt;&gt;"",
"アレルギー","")</f>
        <v/>
      </c>
      <c r="G13" s="159"/>
      <c r="H13" s="129"/>
      <c r="I13" s="149" t="str">
        <f ca="1">IF(J9&lt;&gt;"",
"パン箱","")</f>
        <v/>
      </c>
      <c r="J13" s="150" t="str">
        <f ca="1">IF(J9&lt;&gt;"",
IF(OR(COUNTIF('盛付札（関数）'!J9,"*キャラ*"),COUNTIF('盛付札（関数）'!J9,"*赤*")),24,
VLOOKUP('盛付札（関数）'!J9,商品マスタ一覧!$D:$I,6,FALSE)),"")</f>
        <v/>
      </c>
      <c r="K13" s="149" t="str">
        <f ca="1">IF(J9&lt;&gt;"",
" 端数","")</f>
        <v/>
      </c>
      <c r="L13" s="150"/>
      <c r="M13" s="149" t="str">
        <f ca="1">IF(J9&lt;&gt;"",
"アレルギー","")</f>
        <v/>
      </c>
      <c r="N13" s="154"/>
      <c r="O13" s="129"/>
      <c r="P13" s="129"/>
      <c r="Q13" s="149" t="str">
        <f ca="1">IF(R9&lt;&gt;"",
"パン箱","")</f>
        <v/>
      </c>
      <c r="R13" s="150" t="str">
        <f ca="1">IF(R9&lt;&gt;"",
IF(OR(COUNTIF('盛付札（関数）'!R9,"*キャラ*"),COUNTIF('盛付札（関数）'!R9,"*赤*")),24,
VLOOKUP('盛付札（関数）'!R9,商品マスタ一覧!$D:$I,6,FALSE)),"")</f>
        <v/>
      </c>
      <c r="S13" s="149" t="str">
        <f ca="1">IF(R9&lt;&gt;"",
" 端数","")</f>
        <v/>
      </c>
      <c r="T13" s="150"/>
      <c r="U13" s="149" t="str">
        <f ca="1">IF(R9&lt;&gt;"",
"アレルギー","")</f>
        <v/>
      </c>
      <c r="V13" s="154"/>
      <c r="W13" s="129"/>
      <c r="X13" s="149" t="str">
        <f ca="1">IF(Y9&lt;&gt;"",
"パン箱","")</f>
        <v/>
      </c>
      <c r="Y13" s="150" t="str">
        <f ca="1">IF(Y9&lt;&gt;"",
IF(OR(COUNTIF('盛付札（関数）'!Y9,"*キャラ*"),COUNTIF('盛付札（関数）'!Y9,"*赤*")),24,
VLOOKUP('盛付札（関数）'!Y9,商品マスタ一覧!$D:$I,6,FALSE)),"")</f>
        <v/>
      </c>
      <c r="Z13" s="149" t="str">
        <f ca="1">IF(Y9&lt;&gt;"",
" 端数","")</f>
        <v/>
      </c>
      <c r="AA13" s="150"/>
      <c r="AB13" s="149" t="str">
        <f ca="1">IF(Y9&lt;&gt;"",
"アレルギー","")</f>
        <v/>
      </c>
      <c r="AC13" s="154"/>
      <c r="AD13" s="129"/>
      <c r="AE13" s="129"/>
      <c r="AF13" s="149" t="str">
        <f ca="1">IF(AG9&lt;&gt;"",
"パン箱","")</f>
        <v/>
      </c>
      <c r="AG13" s="150" t="str">
        <f ca="1">IF(AG9&lt;&gt;"",
IF(OR(COUNTIF('盛付札（関数）'!AG9,"*キャラ*"),COUNTIF('盛付札（関数）'!AG9,"*赤*")),24,
VLOOKUP('盛付札（関数）'!AG9,商品マスタ一覧!$D:$I,6,FALSE)),"")</f>
        <v/>
      </c>
      <c r="AH13" s="149" t="str">
        <f ca="1">IF(AG9&lt;&gt;"",
" 端数","")</f>
        <v/>
      </c>
      <c r="AI13" s="150"/>
      <c r="AJ13" s="149" t="str">
        <f ca="1">IF(AG9&lt;&gt;"",
"アレルギー","")</f>
        <v/>
      </c>
      <c r="AK13" s="154"/>
      <c r="AL13" s="129"/>
      <c r="AM13" s="149" t="str">
        <f ca="1">IF(AN9&lt;&gt;"",
"パン箱","")</f>
        <v/>
      </c>
      <c r="AN13" s="150" t="str">
        <f ca="1">IF(AN9&lt;&gt;"",
IF(OR(COUNTIF('盛付札（関数）'!AN9,"*キャラ*"),COUNTIF('盛付札（関数）'!AN9,"*赤*")),24,
VLOOKUP('盛付札（関数）'!AN9,商品マスタ一覧!$D:$I,6,FALSE)),"")</f>
        <v/>
      </c>
      <c r="AO13" s="149" t="str">
        <f ca="1">IF(AN9&lt;&gt;"",
" 端数","")</f>
        <v/>
      </c>
      <c r="AP13" s="150"/>
      <c r="AQ13" s="149" t="str">
        <f ca="1">IF(AN9&lt;&gt;"",
"アレルギー","")</f>
        <v/>
      </c>
      <c r="AR13" s="154"/>
      <c r="AS13" s="129"/>
      <c r="AT13" s="129"/>
      <c r="AU13" s="149" t="str">
        <f ca="1">IF(AV9&lt;&gt;"",
"パン箱","")</f>
        <v/>
      </c>
      <c r="AV13" s="150" t="str">
        <f ca="1">IF(AV9&lt;&gt;"",
IF(OR(COUNTIF('盛付札（関数）'!AV9,"*キャラ*"),COUNTIF('盛付札（関数）'!AV9,"*赤*")),24,
VLOOKUP('盛付札（関数）'!AV9,商品マスタ一覧!$D:$I,6,FALSE)),"")</f>
        <v/>
      </c>
      <c r="AW13" s="149" t="str">
        <f ca="1">IF(AV9&lt;&gt;"",
" 端数","")</f>
        <v/>
      </c>
      <c r="AX13" s="150"/>
      <c r="AY13" s="149" t="str">
        <f ca="1">IF(AV9&lt;&gt;"",
"アレルギー","")</f>
        <v/>
      </c>
      <c r="AZ13" s="154"/>
      <c r="BA13" s="129"/>
      <c r="BB13" s="149" t="str">
        <f ca="1">IF(BC9&lt;&gt;"",
"パン箱","")</f>
        <v/>
      </c>
      <c r="BC13" s="150" t="str">
        <f ca="1">IF(BC9&lt;&gt;"",
IF(OR(COUNTIF('盛付札（関数）'!BC9,"*キャラ*"),COUNTIF('盛付札（関数）'!BC9,"*赤*")),24,
VLOOKUP('盛付札（関数）'!BC9,商品マスタ一覧!$D:$I,6,FALSE)),"")</f>
        <v/>
      </c>
      <c r="BD13" s="149" t="str">
        <f ca="1">IF(BC9&lt;&gt;"",
" 端数","")</f>
        <v/>
      </c>
      <c r="BE13" s="150"/>
      <c r="BF13" s="149" t="str">
        <f ca="1">IF(BC9&lt;&gt;"",
"アレルギー","")</f>
        <v/>
      </c>
      <c r="BG13" s="154"/>
      <c r="BH13" s="129"/>
      <c r="BI13" s="129"/>
      <c r="BJ13" s="149" t="str">
        <f ca="1">IF(BK9&lt;&gt;"",
"パン箱","")</f>
        <v/>
      </c>
      <c r="BK13" s="150" t="str">
        <f ca="1">IF(BK9&lt;&gt;"",
IF(OR(COUNTIF('盛付札（関数）'!BK9,"*キャラ*"),COUNTIF('盛付札（関数）'!BK9,"*赤*")),24,
VLOOKUP('盛付札（関数）'!BK9,商品マスタ一覧!$D:$I,6,FALSE)),"")</f>
        <v/>
      </c>
      <c r="BL13" s="149" t="str">
        <f ca="1">IF(BK9&lt;&gt;"",
" 端数","")</f>
        <v/>
      </c>
      <c r="BM13" s="150"/>
      <c r="BN13" s="149" t="str">
        <f ca="1">IF(BK9&lt;&gt;"",
"アレルギー","")</f>
        <v/>
      </c>
      <c r="BO13" s="154"/>
      <c r="BP13" s="129"/>
      <c r="BQ13" s="149" t="str">
        <f ca="1">IF(BR9&lt;&gt;"",
"パン箱","")</f>
        <v/>
      </c>
      <c r="BR13" s="150" t="str">
        <f ca="1">IF(BR9&lt;&gt;"",
IF(OR(COUNTIF('盛付札（関数）'!BR9,"*キャラ*"),COUNTIF('盛付札（関数）'!BR9,"*赤*")),24,
VLOOKUP('盛付札（関数）'!BR9,商品マスタ一覧!$D:$I,6,FALSE)),"")</f>
        <v/>
      </c>
      <c r="BS13" s="149" t="str">
        <f ca="1">IF(BR9&lt;&gt;"",
" 端数","")</f>
        <v/>
      </c>
      <c r="BT13" s="150"/>
      <c r="BU13" s="149" t="str">
        <f ca="1">IF(BR9&lt;&gt;"",
"アレルギー","")</f>
        <v/>
      </c>
      <c r="BV13" s="154"/>
      <c r="BW13" s="129"/>
      <c r="BX13" s="132">
        <f t="shared" si="1"/>
        <v>21</v>
      </c>
      <c r="BY13" s="132" t="str">
        <f t="array" aca="1" ref="BY13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LEN(SUBSTITUTE(_xlfn.FORMULATEXT(BY$1),"=","")))+$BX13)</f>
        <v/>
      </c>
      <c r="BZ13" s="132" t="str">
        <f t="array" aca="1" ref="BZ13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LEN(SUBSTITUTE(_xlfn.FORMULATEXT(BZ$1),"=","")))+$BX13)</f>
        <v/>
      </c>
      <c r="CA13" s="132" t="str">
        <f t="array" aca="1" ref="CA13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LEN(SUBSTITUTE(_xlfn.FORMULATEXT(CA$1),"=","")))+$BX13)</f>
        <v/>
      </c>
      <c r="CB13" s="132" t="str">
        <f t="array" aca="1" ref="CB13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LEN(SUBSTITUTE(_xlfn.FORMULATEXT(CB$1),"=","")))+$BX13)</f>
        <v/>
      </c>
      <c r="CC13" s="132" t="str">
        <f t="array" aca="1" ref="CC13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LEN(SUBSTITUTE(_xlfn.FORMULATEXT(CC$1),"=","")))+$BX13)</f>
        <v/>
      </c>
      <c r="CD13" s="132" t="str">
        <f t="array" aca="1" ref="CD13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LEN(SUBSTITUTE(_xlfn.FORMULATEXT(CD$1),"=","")))+$BX13)</f>
        <v/>
      </c>
      <c r="CE13" s="132" t="str">
        <f t="array" aca="1" ref="CE13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LEN(SUBSTITUTE(_xlfn.FORMULATEXT(CE$1),"=","")))+$BX13)</f>
        <v/>
      </c>
      <c r="CF13" s="132" t="str">
        <f t="array" aca="1" ref="CF13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LEN(SUBSTITUTE(_xlfn.FORMULATEXT(CF$1),"=","")))+$BX13)</f>
        <v/>
      </c>
      <c r="CG13" s="132" t="str">
        <f t="array" aca="1" ref="CG13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LEN(SUBSTITUTE(_xlfn.FORMULATEXT(CG$1),"=","")))+$BX13)</f>
        <v/>
      </c>
      <c r="CH13" s="132" t="str">
        <f t="array" aca="1" ref="CH13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LEN(SUBSTITUTE(_xlfn.FORMULATEXT(CH$1),"=","")))+$BX13)</f>
        <v/>
      </c>
      <c r="CI13" s="132">
        <f t="shared" ca="1" si="0"/>
        <v>0</v>
      </c>
      <c r="CJ13" s="132" t="b">
        <f t="array" aca="1" ref="CJ13" ca="1">SUMPRODUCT((LEN(BY13:CH13)&gt;0)*1)&gt;0</f>
        <v>0</v>
      </c>
      <c r="CK13" s="132" t="str" cm="1">
        <f t="array" aca="1" ref="CK13" ca="1">IFERROR(SMALL(IF(CI$1:CI$150&lt;&gt;0,CI$1:CI$150),ROW(A13)),"")</f>
        <v/>
      </c>
      <c r="CL13" s="132" t="str">
        <f t="array" aca="1" ref="CL13" ca="1">IF($CK13&lt;&gt;"",
INDIRECT(""&amp;IF(COLUMN(BY13)&lt;=26,CHAR(COLUMN(BY13)+64),CHAR(INT((COLUMN(BY13)-1)/26)+64)&amp;CHAR(MOD(COLUMN(BY13)-1,26)+65))&amp;$CK13&amp;""),"")</f>
        <v/>
      </c>
      <c r="CM13" s="132" t="str">
        <f t="array" aca="1" ref="CM13" ca="1">IF($CK13&lt;&gt;"",
INDIRECT(""&amp;IF(COLUMN(BZ13)&lt;=26,CHAR(COLUMN(BZ13)+64),CHAR(INT((COLUMN(BZ13)-1)/26)+64)&amp;CHAR(MOD(COLUMN(BZ13)-1,26)+65))&amp;$CK13&amp;""),"")</f>
        <v/>
      </c>
      <c r="CN13" s="132" t="str">
        <f t="array" aca="1" ref="CN13" ca="1">IF($CK13&lt;&gt;"",
INDIRECT(""&amp;IF(COLUMN(CA13)&lt;=26,CHAR(COLUMN(CA13)+64),CHAR(INT((COLUMN(CA13)-1)/26)+64)&amp;CHAR(MOD(COLUMN(CA13)-1,26)+65))&amp;$CK13&amp;""),"")</f>
        <v/>
      </c>
      <c r="CO13" s="132" t="str">
        <f t="array" aca="1" ref="CO13" ca="1">IF($CK13&lt;&gt;"",
INDIRECT(""&amp;IF(COLUMN(CB13)&lt;=26,CHAR(COLUMN(CB13)+64),CHAR(INT((COLUMN(CB13)-1)/26)+64)&amp;CHAR(MOD(COLUMN(CB13)-1,26)+65))&amp;$CK13&amp;""),"")</f>
        <v/>
      </c>
      <c r="CP13" s="132" t="str">
        <f t="array" aca="1" ref="CP13" ca="1">IF($CK13&lt;&gt;"",
INDIRECT(""&amp;IF(COLUMN(CC13)&lt;=26,CHAR(COLUMN(CC13)+64),CHAR(INT((COLUMN(CC13)-1)/26)+64)&amp;CHAR(MOD(COLUMN(CC13)-1,26)+65))&amp;$CK13&amp;""),"")</f>
        <v/>
      </c>
      <c r="CQ13" s="132" t="str">
        <f t="array" aca="1" ref="CQ13" ca="1">IF($CK13&lt;&gt;"",
INDIRECT(""&amp;IF(COLUMN(CD13)&lt;=26,CHAR(COLUMN(CD13)+64),CHAR(INT((COLUMN(CD13)-1)/26)+64)&amp;CHAR(MOD(COLUMN(CD13)-1,26)+65))&amp;$CK13&amp;""),"")</f>
        <v/>
      </c>
      <c r="CR13" s="132" t="str">
        <f t="array" aca="1" ref="CR13" ca="1">IF($CK13&lt;&gt;"",
INDIRECT(""&amp;IF(COLUMN(CE13)&lt;=26,CHAR(COLUMN(CE13)+64),CHAR(INT((COLUMN(CE13)-1)/26)+64)&amp;CHAR(MOD(COLUMN(CE13)-1,26)+65))&amp;$CK13&amp;""),"")</f>
        <v/>
      </c>
      <c r="CS13" s="132" t="str">
        <f t="array" aca="1" ref="CS13" ca="1">IF($CK13&lt;&gt;"",
INDIRECT(""&amp;IF(COLUMN(CF13)&lt;=26,CHAR(COLUMN(CF13)+64),CHAR(INT((COLUMN(CF13)-1)/26)+64)&amp;CHAR(MOD(COLUMN(CF13)-1,26)+65))&amp;$CK13&amp;""),"")</f>
        <v/>
      </c>
      <c r="CT13" s="132" t="str">
        <f t="array" aca="1" ref="CT13" ca="1">IF($CK13&lt;&gt;"",
INDIRECT(""&amp;IF(COLUMN(CG13)&lt;=26,CHAR(COLUMN(CG13)+64),CHAR(INT((COLUMN(CG13)-1)/26)+64)&amp;CHAR(MOD(COLUMN(CG13)-1,26)+65))&amp;$CK13&amp;""),"")</f>
        <v/>
      </c>
      <c r="CU13" s="132" t="str">
        <f t="array" aca="1" ref="CU13" ca="1">IF($CK13&lt;&gt;"",
INDIRECT(""&amp;IF(COLUMN(CH13)&lt;=26,CHAR(COLUMN(CH13)+64),CHAR(INT((COLUMN(CH13)-1)/26)+64)&amp;CHAR(MOD(COLUMN(CH13)-1,26)+65))&amp;$CK13&amp;""),"")</f>
        <v/>
      </c>
    </row>
    <row r="14" spans="1:99" ht="21" customHeight="1" x14ac:dyDescent="0.45">
      <c r="B14" s="124" t="str">
        <f ca="1">IF(C11&lt;&gt;"",
IFERROR(INT(C11/C13),""),"")</f>
        <v/>
      </c>
      <c r="C14" s="151"/>
      <c r="D14" s="124" t="str">
        <f ca="1">IFERROR(MOD(C11,C13),"")</f>
        <v/>
      </c>
      <c r="E14" s="151"/>
      <c r="F14" s="118" t="str">
        <f t="array" aca="1" ref="F14" ca="1">IF(C8&lt;&gt;"",
IF(IFERROR(
INDEX(INDIRECT("'数出表_Excel（アレルギー入力）'!B"&amp;MATCH(G8,'数出表_Excel（アレルギー入力）'!$A:$A,0)-1&amp;":AC"&amp;MATCH(G8,'数出表_Excel（アレルギー入力）'!$A:$A,0)-1&amp;""),
 1,
MATCH(C11,INDIRECT("'数出表_Excel（アレルギー入力）'!"&amp;B8-1&amp;":"&amp;B8-1&amp;""),0)),
 "")&lt;&gt;0,
IF(IFERROR(
INDEX(INDIRECT("'数出表_Excel（アレルギー入力）'!B"&amp;MATCH(G8,'数出表_Excel（アレルギー入力）'!$A:$A,0)-1&amp;":AC"&amp;MATCH(G8,'数出表_Excel（アレルギー入力）'!$A:$A,0)-1&amp;""),
 1,
MATCH(C11,INDIRECT("'数出表_Excel（アレルギー入力）'!"&amp;B8-1&amp;":"&amp;B8-1&amp;""),0)),
 "")="",
IFERROR(
INDEX(INDIRECT("'数出表_Excel（アレルギー入力）'!B"&amp;MATCH(G8,'数出表_Excel（アレルギー入力）'!$A:$A,0)-1&amp;":AC"&amp;MATCH(G8,'数出表_Excel（アレルギー入力）'!$A:$A,0)-1&amp;""),
 1,
MATCH(TRUE,INDEX(INDIRECT("'数出表_Excel（アレルギー入力）'!B"&amp;B8-1&amp;":AC"&amp;B8-1&amp;"")&lt;&gt;"",0),0)+1),
 ""),
IFERROR(
INDEX(INDIRECT("'数出表_Excel（アレルギー入力）'!B"&amp;MATCH(G8,'数出表_Excel（アレルギー入力）'!$A:$A,0)-1&amp;":AC"&amp;MATCH(G8,'数出表_Excel（アレルギー入力）'!$A:$A,0)-1&amp;""),
 1,
MATCH(C11,INDIRECT("'数出表_Excel（アレルギー入力）'!"&amp;B8-1&amp;":"&amp;B8-1&amp;""),0)),
 "")),0),"")</f>
        <v/>
      </c>
      <c r="G14" s="151"/>
      <c r="I14" s="124" t="str">
        <f ca="1">IF(J11&lt;&gt;"",
IFERROR(INT(J11/J13),""),"")</f>
        <v/>
      </c>
      <c r="J14" s="151"/>
      <c r="K14" s="124" t="str">
        <f ca="1">IFERROR(MOD(J11,J13),"")</f>
        <v/>
      </c>
      <c r="L14" s="151"/>
      <c r="M14" s="118" t="str">
        <f t="array" aca="1" ref="M14" ca="1">IF(J8&lt;&gt;"",
IF(IFERROR(
INDEX(INDIRECT("'数出表_Excel（アレルギー入力）'!B"&amp;MATCH(N8,'数出表_Excel（アレルギー入力）'!$A:$A,0)-1&amp;":AC"&amp;MATCH(N8,'数出表_Excel（アレルギー入力）'!$A:$A,0)-1&amp;""),
 1,
MATCH(J11,INDIRECT("'数出表_Excel（アレルギー入力）'!"&amp;I8-1&amp;":"&amp;I8-1&amp;""),0)),
 "")&lt;&gt;0,
IF(IFERROR(
INDEX(INDIRECT("'数出表_Excel（アレルギー入力）'!B"&amp;MATCH(N8,'数出表_Excel（アレルギー入力）'!$A:$A,0)-1&amp;":AC"&amp;MATCH(N8,'数出表_Excel（アレルギー入力）'!$A:$A,0)-1&amp;""),
 1,
MATCH(J11,INDIRECT("'数出表_Excel（アレルギー入力）'!"&amp;I8-1&amp;":"&amp;I8-1&amp;""),0)),
 "")="",
IFERROR(
INDEX(INDIRECT("'数出表_Excel（アレルギー入力）'!B"&amp;MATCH(N8,'数出表_Excel（アレルギー入力）'!$A:$A,0)-1&amp;":AC"&amp;MATCH(N8,'数出表_Excel（アレルギー入力）'!$A:$A,0)-1&amp;""),
 1,
MATCH(TRUE,INDEX(INDIRECT("'数出表_Excel（アレルギー入力）'!B"&amp;I8-1&amp;":AC"&amp;I8-1&amp;"")&lt;&gt;"",0),0)+1),
 ""),
IFERROR(
INDEX(INDIRECT("'数出表_Excel（アレルギー入力）'!B"&amp;MATCH(N8,'数出表_Excel（アレルギー入力）'!$A:$A,0)-1&amp;":AC"&amp;MATCH(N8,'数出表_Excel（アレルギー入力）'!$A:$A,0)-1&amp;""),
 1,
MATCH(J11,INDIRECT("'数出表_Excel（アレルギー入力）'!"&amp;I8-1&amp;":"&amp;I8-1&amp;""),0)),
 "")),0),"")</f>
        <v/>
      </c>
      <c r="N14" s="151"/>
      <c r="Q14" s="124" t="str">
        <f ca="1">IF(R11&lt;&gt;"",
IFERROR(INT(R11/R13),""),"")</f>
        <v/>
      </c>
      <c r="R14" s="151"/>
      <c r="S14" s="124" t="str">
        <f ca="1">IFERROR(MOD(R11,R13),"")</f>
        <v/>
      </c>
      <c r="T14" s="151"/>
      <c r="U14" s="118" t="str">
        <f t="array" aca="1" ref="U14" ca="1">IF(R8&lt;&gt;"",
IF(IFERROR(
INDEX(INDIRECT("'数出表_Excel（アレルギー入力）'!B"&amp;MATCH(V8,'数出表_Excel（アレルギー入力）'!$A:$A,0)-1&amp;":AC"&amp;MATCH(V8,'数出表_Excel（アレルギー入力）'!$A:$A,0)-1&amp;""),
 1,
MATCH(R11,INDIRECT("'数出表_Excel（アレルギー入力）'!"&amp;Q8-1&amp;":"&amp;Q8-1&amp;""),0)),
 "")&lt;&gt;0,
IF(IFERROR(
INDEX(INDIRECT("'数出表_Excel（アレルギー入力）'!B"&amp;MATCH(V8,'数出表_Excel（アレルギー入力）'!$A:$A,0)-1&amp;":AC"&amp;MATCH(V8,'数出表_Excel（アレルギー入力）'!$A:$A,0)-1&amp;""),
 1,
MATCH(R11,INDIRECT("'数出表_Excel（アレルギー入力）'!"&amp;Q8-1&amp;":"&amp;Q8-1&amp;""),0)),
 "")="",
IFERROR(
INDEX(INDIRECT("'数出表_Excel（アレルギー入力）'!B"&amp;MATCH(V8,'数出表_Excel（アレルギー入力）'!$A:$A,0)-1&amp;":AC"&amp;MATCH(V8,'数出表_Excel（アレルギー入力）'!$A:$A,0)-1&amp;""),
 1,
MATCH(TRUE,INDEX(INDIRECT("'数出表_Excel（アレルギー入力）'!B"&amp;Q8-1&amp;":AC"&amp;Q8-1&amp;"")&lt;&gt;"",0),0)+1),
 ""),
IFERROR(
INDEX(INDIRECT("'数出表_Excel（アレルギー入力）'!B"&amp;MATCH(V8,'数出表_Excel（アレルギー入力）'!$A:$A,0)-1&amp;":AC"&amp;MATCH(V8,'数出表_Excel（アレルギー入力）'!$A:$A,0)-1&amp;""),
 1,
MATCH(R11,INDIRECT("'数出表_Excel（アレルギー入力）'!"&amp;Q8-1&amp;":"&amp;Q8-1&amp;""),0)),
 "")),0),"")</f>
        <v/>
      </c>
      <c r="V14" s="151"/>
      <c r="X14" s="124" t="str">
        <f ca="1">IF(Y11&lt;&gt;"",
IFERROR(INT(Y11/Y13),""),"")</f>
        <v/>
      </c>
      <c r="Y14" s="151"/>
      <c r="Z14" s="124" t="str">
        <f ca="1">IFERROR(MOD(Y11,Y13),"")</f>
        <v/>
      </c>
      <c r="AA14" s="151"/>
      <c r="AB14" s="118" t="str">
        <f t="array" aca="1" ref="AB14" ca="1">IF(Y8&lt;&gt;"",
IF(IFERROR(
INDEX(INDIRECT("'数出表_Excel（アレルギー入力）'!B"&amp;MATCH(AC8,'数出表_Excel（アレルギー入力）'!$A:$A,0)-1&amp;":AC"&amp;MATCH(AC8,'数出表_Excel（アレルギー入力）'!$A:$A,0)-1&amp;""),
 1,
MATCH(Y11,INDIRECT("'数出表_Excel（アレルギー入力）'!"&amp;X8-1&amp;":"&amp;X8-1&amp;""),0)),
 "")&lt;&gt;0,
IF(IFERROR(
INDEX(INDIRECT("'数出表_Excel（アレルギー入力）'!B"&amp;MATCH(AC8,'数出表_Excel（アレルギー入力）'!$A:$A,0)-1&amp;":AC"&amp;MATCH(AC8,'数出表_Excel（アレルギー入力）'!$A:$A,0)-1&amp;""),
 1,
MATCH(Y11,INDIRECT("'数出表_Excel（アレルギー入力）'!"&amp;X8-1&amp;":"&amp;X8-1&amp;""),0)),
 "")="",
IFERROR(
INDEX(INDIRECT("'数出表_Excel（アレルギー入力）'!B"&amp;MATCH(AC8,'数出表_Excel（アレルギー入力）'!$A:$A,0)-1&amp;":AC"&amp;MATCH(AC8,'数出表_Excel（アレルギー入力）'!$A:$A,0)-1&amp;""),
 1,
MATCH(TRUE,INDEX(INDIRECT("'数出表_Excel（アレルギー入力）'!B"&amp;X8-1&amp;":AC"&amp;X8-1&amp;"")&lt;&gt;"",0),0)+1),
 ""),
IFERROR(
INDEX(INDIRECT("'数出表_Excel（アレルギー入力）'!B"&amp;MATCH(AC8,'数出表_Excel（アレルギー入力）'!$A:$A,0)-1&amp;":AC"&amp;MATCH(AC8,'数出表_Excel（アレルギー入力）'!$A:$A,0)-1&amp;""),
 1,
MATCH(Y11,INDIRECT("'数出表_Excel（アレルギー入力）'!"&amp;X8-1&amp;":"&amp;X8-1&amp;""),0)),
 "")),0),"")</f>
        <v/>
      </c>
      <c r="AC14" s="151"/>
      <c r="AF14" s="124" t="str">
        <f ca="1">IF(AG11&lt;&gt;"",
IFERROR(INT(AG11/AG13),""),"")</f>
        <v/>
      </c>
      <c r="AG14" s="151"/>
      <c r="AH14" s="124" t="str">
        <f ca="1">IFERROR(MOD(AG11,AG13),"")</f>
        <v/>
      </c>
      <c r="AI14" s="151"/>
      <c r="AJ14" s="118" t="str">
        <f t="array" aca="1" ref="AJ14" ca="1">IF(AG8&lt;&gt;"",
IF(IFERROR(
INDEX(INDIRECT("'数出表_Excel（アレルギー入力）'!B"&amp;MATCH(AK8,'数出表_Excel（アレルギー入力）'!$A:$A,0)-1&amp;":AC"&amp;MATCH(AK8,'数出表_Excel（アレルギー入力）'!$A:$A,0)-1&amp;""),
 1,
MATCH(AG11,INDIRECT("'数出表_Excel（アレルギー入力）'!"&amp;AF8-1&amp;":"&amp;AF8-1&amp;""),0)),
 "")&lt;&gt;0,
IF(IFERROR(
INDEX(INDIRECT("'数出表_Excel（アレルギー入力）'!B"&amp;MATCH(AK8,'数出表_Excel（アレルギー入力）'!$A:$A,0)-1&amp;":AC"&amp;MATCH(AK8,'数出表_Excel（アレルギー入力）'!$A:$A,0)-1&amp;""),
 1,
MATCH(AG11,INDIRECT("'数出表_Excel（アレルギー入力）'!"&amp;AF8-1&amp;":"&amp;AF8-1&amp;""),0)),
 "")="",
IFERROR(
INDEX(INDIRECT("'数出表_Excel（アレルギー入力）'!B"&amp;MATCH(AK8,'数出表_Excel（アレルギー入力）'!$A:$A,0)-1&amp;":AC"&amp;MATCH(AK8,'数出表_Excel（アレルギー入力）'!$A:$A,0)-1&amp;""),
 1,
MATCH(TRUE,INDEX(INDIRECT("'数出表_Excel（アレルギー入力）'!B"&amp;AF8-1&amp;":AC"&amp;AF8-1&amp;"")&lt;&gt;"",0),0)+1),
 ""),
IFERROR(
INDEX(INDIRECT("'数出表_Excel（アレルギー入力）'!B"&amp;MATCH(AK8,'数出表_Excel（アレルギー入力）'!$A:$A,0)-1&amp;":AC"&amp;MATCH(AK8,'数出表_Excel（アレルギー入力）'!$A:$A,0)-1&amp;""),
 1,
MATCH(AG11,INDIRECT("'数出表_Excel（アレルギー入力）'!"&amp;AF8-1&amp;":"&amp;AF8-1&amp;""),0)),
 "")),0),"")</f>
        <v/>
      </c>
      <c r="AK14" s="151"/>
      <c r="AM14" s="124" t="str">
        <f ca="1">IF(AN11&lt;&gt;"",
IFERROR(INT(AN11/AN13),""),"")</f>
        <v/>
      </c>
      <c r="AN14" s="151"/>
      <c r="AO14" s="124" t="str">
        <f ca="1">IFERROR(MOD(AN11,AN13),"")</f>
        <v/>
      </c>
      <c r="AP14" s="151"/>
      <c r="AQ14" s="118" t="str">
        <f t="array" aca="1" ref="AQ14" ca="1">IF(AN8&lt;&gt;"",
IF(IFERROR(
INDEX(INDIRECT("'数出表_Excel（アレルギー入力）'!B"&amp;MATCH(AR8,'数出表_Excel（アレルギー入力）'!$A:$A,0)-1&amp;":AC"&amp;MATCH(AR8,'数出表_Excel（アレルギー入力）'!$A:$A,0)-1&amp;""),
 1,
MATCH(AN11,INDIRECT("'数出表_Excel（アレルギー入力）'!"&amp;AM8-1&amp;":"&amp;AM8-1&amp;""),0)),
 "")&lt;&gt;0,
IF(IFERROR(
INDEX(INDIRECT("'数出表_Excel（アレルギー入力）'!B"&amp;MATCH(AR8,'数出表_Excel（アレルギー入力）'!$A:$A,0)-1&amp;":AC"&amp;MATCH(AR8,'数出表_Excel（アレルギー入力）'!$A:$A,0)-1&amp;""),
 1,
MATCH(AN11,INDIRECT("'数出表_Excel（アレルギー入力）'!"&amp;AM8-1&amp;":"&amp;AM8-1&amp;""),0)),
 "")="",
IFERROR(
INDEX(INDIRECT("'数出表_Excel（アレルギー入力）'!B"&amp;MATCH(AR8,'数出表_Excel（アレルギー入力）'!$A:$A,0)-1&amp;":AC"&amp;MATCH(AR8,'数出表_Excel（アレルギー入力）'!$A:$A,0)-1&amp;""),
 1,
MATCH(TRUE,INDEX(INDIRECT("'数出表_Excel（アレルギー入力）'!B"&amp;AM8-1&amp;":AC"&amp;AM8-1&amp;"")&lt;&gt;"",0),0)+1),
 ""),
IFERROR(
INDEX(INDIRECT("'数出表_Excel（アレルギー入力）'!B"&amp;MATCH(AR8,'数出表_Excel（アレルギー入力）'!$A:$A,0)-1&amp;":AC"&amp;MATCH(AR8,'数出表_Excel（アレルギー入力）'!$A:$A,0)-1&amp;""),
 1,
MATCH(AN11,INDIRECT("'数出表_Excel（アレルギー入力）'!"&amp;AM8-1&amp;":"&amp;AM8-1&amp;""),0)),
 "")),0),"")</f>
        <v/>
      </c>
      <c r="AR14" s="151"/>
      <c r="AU14" s="124" t="str">
        <f ca="1">IF(AV11&lt;&gt;"",
IFERROR(INT(AV11/AV13),""),"")</f>
        <v/>
      </c>
      <c r="AV14" s="151"/>
      <c r="AW14" s="124" t="str">
        <f ca="1">IFERROR(MOD(AV11,AV13),"")</f>
        <v/>
      </c>
      <c r="AX14" s="151"/>
      <c r="AY14" s="118" t="str">
        <f t="array" aca="1" ref="AY14" ca="1">IF(AV8&lt;&gt;"",
IF(IFERROR(
INDEX(INDIRECT("'数出表_Excel（アレルギー入力）'!B"&amp;MATCH(AZ8,'数出表_Excel（アレルギー入力）'!$A:$A,0)-1&amp;":AC"&amp;MATCH(AZ8,'数出表_Excel（アレルギー入力）'!$A:$A,0)-1&amp;""),
 1,
MATCH(AV11,INDIRECT("'数出表_Excel（アレルギー入力）'!"&amp;AU8-1&amp;":"&amp;AU8-1&amp;""),0)),
 "")&lt;&gt;0,
IF(IFERROR(
INDEX(INDIRECT("'数出表_Excel（アレルギー入力）'!B"&amp;MATCH(AZ8,'数出表_Excel（アレルギー入力）'!$A:$A,0)-1&amp;":AC"&amp;MATCH(AZ8,'数出表_Excel（アレルギー入力）'!$A:$A,0)-1&amp;""),
 1,
MATCH(AV11,INDIRECT("'数出表_Excel（アレルギー入力）'!"&amp;AU8-1&amp;":"&amp;AU8-1&amp;""),0)),
 "")="",
IFERROR(
INDEX(INDIRECT("'数出表_Excel（アレルギー入力）'!B"&amp;MATCH(AZ8,'数出表_Excel（アレルギー入力）'!$A:$A,0)-1&amp;":AC"&amp;MATCH(AZ8,'数出表_Excel（アレルギー入力）'!$A:$A,0)-1&amp;""),
 1,
MATCH(TRUE,INDEX(INDIRECT("'数出表_Excel（アレルギー入力）'!B"&amp;AU8-1&amp;":AC"&amp;AU8-1&amp;"")&lt;&gt;"",0),0)+1),
 ""),
IFERROR(
INDEX(INDIRECT("'数出表_Excel（アレルギー入力）'!B"&amp;MATCH(AZ8,'数出表_Excel（アレルギー入力）'!$A:$A,0)-1&amp;":AC"&amp;MATCH(AZ8,'数出表_Excel（アレルギー入力）'!$A:$A,0)-1&amp;""),
 1,
MATCH(AV11,INDIRECT("'数出表_Excel（アレルギー入力）'!"&amp;AU8-1&amp;":"&amp;AU8-1&amp;""),0)),
 "")),0),"")</f>
        <v/>
      </c>
      <c r="AZ14" s="151"/>
      <c r="BB14" s="124" t="str">
        <f ca="1">IF(BC11&lt;&gt;"",
IFERROR(INT(BC11/BC13),""),"")</f>
        <v/>
      </c>
      <c r="BC14" s="151"/>
      <c r="BD14" s="124" t="str">
        <f ca="1">IFERROR(MOD(BC11,BC13),"")</f>
        <v/>
      </c>
      <c r="BE14" s="151"/>
      <c r="BF14" s="118" t="str">
        <f t="array" aca="1" ref="BF14" ca="1">IF(BC8&lt;&gt;"",
IF(IFERROR(
INDEX(INDIRECT("'数出表_Excel（アレルギー入力）'!B"&amp;MATCH(BG8,'数出表_Excel（アレルギー入力）'!$A:$A,0)-1&amp;":AC"&amp;MATCH(BG8,'数出表_Excel（アレルギー入力）'!$A:$A,0)-1&amp;""),
 1,
MATCH(BC11,INDIRECT("'数出表_Excel（アレルギー入力）'!"&amp;BB8-1&amp;":"&amp;BB8-1&amp;""),0)),
 "")&lt;&gt;0,
IF(IFERROR(
INDEX(INDIRECT("'数出表_Excel（アレルギー入力）'!B"&amp;MATCH(BG8,'数出表_Excel（アレルギー入力）'!$A:$A,0)-1&amp;":AC"&amp;MATCH(BG8,'数出表_Excel（アレルギー入力）'!$A:$A,0)-1&amp;""),
 1,
MATCH(BC11,INDIRECT("'数出表_Excel（アレルギー入力）'!"&amp;BB8-1&amp;":"&amp;BB8-1&amp;""),0)),
 "")="",
IFERROR(
INDEX(INDIRECT("'数出表_Excel（アレルギー入力）'!B"&amp;MATCH(BG8,'数出表_Excel（アレルギー入力）'!$A:$A,0)-1&amp;":AC"&amp;MATCH(BG8,'数出表_Excel（アレルギー入力）'!$A:$A,0)-1&amp;""),
 1,
MATCH(TRUE,INDEX(INDIRECT("'数出表_Excel（アレルギー入力）'!B"&amp;BB8-1&amp;":AC"&amp;BB8-1&amp;"")&lt;&gt;"",0),0)+1),
 ""),
IFERROR(
INDEX(INDIRECT("'数出表_Excel（アレルギー入力）'!B"&amp;MATCH(BG8,'数出表_Excel（アレルギー入力）'!$A:$A,0)-1&amp;":AC"&amp;MATCH(BG8,'数出表_Excel（アレルギー入力）'!$A:$A,0)-1&amp;""),
 1,
MATCH(BC11,INDIRECT("'数出表_Excel（アレルギー入力）'!"&amp;BB8-1&amp;":"&amp;BB8-1&amp;""),0)),
 "")),0),"")</f>
        <v/>
      </c>
      <c r="BG14" s="151"/>
      <c r="BJ14" s="124" t="str">
        <f ca="1">IF(BK11&lt;&gt;"",
IFERROR(INT(BK11/BK13),""),"")</f>
        <v/>
      </c>
      <c r="BK14" s="151"/>
      <c r="BL14" s="124" t="str">
        <f ca="1">IFERROR(MOD(BK11,BK13),"")</f>
        <v/>
      </c>
      <c r="BM14" s="151"/>
      <c r="BN14" s="118" t="str">
        <f t="array" aca="1" ref="BN14" ca="1">IF(BK8&lt;&gt;"",
IF(IFERROR(
INDEX(INDIRECT("'数出表_Excel（アレルギー入力）'!B"&amp;MATCH(BO8,'数出表_Excel（アレルギー入力）'!$A:$A,0)-1&amp;":AC"&amp;MATCH(BO8,'数出表_Excel（アレルギー入力）'!$A:$A,0)-1&amp;""),
 1,
MATCH(BK11,INDIRECT("'数出表_Excel（アレルギー入力）'!"&amp;BJ8-1&amp;":"&amp;BJ8-1&amp;""),0)),
 "")&lt;&gt;0,
IF(IFERROR(
INDEX(INDIRECT("'数出表_Excel（アレルギー入力）'!B"&amp;MATCH(BO8,'数出表_Excel（アレルギー入力）'!$A:$A,0)-1&amp;":AC"&amp;MATCH(BO8,'数出表_Excel（アレルギー入力）'!$A:$A,0)-1&amp;""),
 1,
MATCH(BK11,INDIRECT("'数出表_Excel（アレルギー入力）'!"&amp;BJ8-1&amp;":"&amp;BJ8-1&amp;""),0)),
 "")="",
IFERROR(
INDEX(INDIRECT("'数出表_Excel（アレルギー入力）'!B"&amp;MATCH(BO8,'数出表_Excel（アレルギー入力）'!$A:$A,0)-1&amp;":AC"&amp;MATCH(BO8,'数出表_Excel（アレルギー入力）'!$A:$A,0)-1&amp;""),
 1,
MATCH(TRUE,INDEX(INDIRECT("'数出表_Excel（アレルギー入力）'!B"&amp;BJ8-1&amp;":AC"&amp;BJ8-1&amp;"")&lt;&gt;"",0),0)+1),
 ""),
IFERROR(
INDEX(INDIRECT("'数出表_Excel（アレルギー入力）'!B"&amp;MATCH(BO8,'数出表_Excel（アレルギー入力）'!$A:$A,0)-1&amp;":AC"&amp;MATCH(BO8,'数出表_Excel（アレルギー入力）'!$A:$A,0)-1&amp;""),
 1,
MATCH(BK11,INDIRECT("'数出表_Excel（アレルギー入力）'!"&amp;BJ8-1&amp;":"&amp;BJ8-1&amp;""),0)),
 "")),0),"")</f>
        <v/>
      </c>
      <c r="BO14" s="151"/>
      <c r="BQ14" s="124" t="str">
        <f ca="1">IF(BR11&lt;&gt;"",
IFERROR(INT(BR11/BR13),""),"")</f>
        <v/>
      </c>
      <c r="BR14" s="151"/>
      <c r="BS14" s="124" t="str">
        <f ca="1">IFERROR(MOD(BR11,BR13),"")</f>
        <v/>
      </c>
      <c r="BT14" s="151"/>
      <c r="BU14" s="118" t="str">
        <f t="array" aca="1" ref="BU14" ca="1">IF(BR8&lt;&gt;"",
IF(IFERROR(
INDEX(INDIRECT("'数出表_Excel（アレルギー入力）'!B"&amp;MATCH(BV8,'数出表_Excel（アレルギー入力）'!$A:$A,0)-1&amp;":AC"&amp;MATCH(BV8,'数出表_Excel（アレルギー入力）'!$A:$A,0)-1&amp;""),
 1,
MATCH(BR11,INDIRECT("'数出表_Excel（アレルギー入力）'!"&amp;BQ8-1&amp;":"&amp;BQ8-1&amp;""),0)),
 "")&lt;&gt;0,
IF(IFERROR(
INDEX(INDIRECT("'数出表_Excel（アレルギー入力）'!B"&amp;MATCH(BV8,'数出表_Excel（アレルギー入力）'!$A:$A,0)-1&amp;":AC"&amp;MATCH(BV8,'数出表_Excel（アレルギー入力）'!$A:$A,0)-1&amp;""),
 1,
MATCH(BR11,INDIRECT("'数出表_Excel（アレルギー入力）'!"&amp;BQ8-1&amp;":"&amp;BQ8-1&amp;""),0)),
 "")="",
IFERROR(
INDEX(INDIRECT("'数出表_Excel（アレルギー入力）'!B"&amp;MATCH(BV8,'数出表_Excel（アレルギー入力）'!$A:$A,0)-1&amp;":AC"&amp;MATCH(BV8,'数出表_Excel（アレルギー入力）'!$A:$A,0)-1&amp;""),
 1,
MATCH(TRUE,INDEX(INDIRECT("'数出表_Excel（アレルギー入力）'!B"&amp;BQ8-1&amp;":AC"&amp;BQ8-1&amp;"")&lt;&gt;"",0),0)+1),
 ""),
IFERROR(
INDEX(INDIRECT("'数出表_Excel（アレルギー入力）'!B"&amp;MATCH(BV8,'数出表_Excel（アレルギー入力）'!$A:$A,0)-1&amp;":AC"&amp;MATCH(BV8,'数出表_Excel（アレルギー入力）'!$A:$A,0)-1&amp;""),
 1,
MATCH(BR11,INDIRECT("'数出表_Excel（アレルギー入力）'!"&amp;BQ8-1&amp;":"&amp;BQ8-1&amp;""),0)),
 "")),0),"")</f>
        <v/>
      </c>
      <c r="BV14" s="151"/>
      <c r="BX14" s="132">
        <f t="shared" si="1"/>
        <v>63</v>
      </c>
      <c r="BY14" s="132" t="str">
        <f t="array" aca="1" ref="BY14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LEN(SUBSTITUTE(_xlfn.FORMULATEXT(BY$1),"=","")))+$BX14)</f>
        <v/>
      </c>
      <c r="BZ14" s="132" t="str">
        <f t="array" aca="1" ref="BZ14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LEN(SUBSTITUTE(_xlfn.FORMULATEXT(BZ$1),"=","")))+$BX14)</f>
        <v/>
      </c>
      <c r="CA14" s="132" t="str">
        <f t="array" aca="1" ref="CA14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LEN(SUBSTITUTE(_xlfn.FORMULATEXT(CA$1),"=","")))+$BX14)</f>
        <v/>
      </c>
      <c r="CB14" s="132" t="str">
        <f t="array" aca="1" ref="CB14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LEN(SUBSTITUTE(_xlfn.FORMULATEXT(CB$1),"=","")))+$BX14)</f>
        <v/>
      </c>
      <c r="CC14" s="132" t="str">
        <f t="array" aca="1" ref="CC14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LEN(SUBSTITUTE(_xlfn.FORMULATEXT(CC$1),"=","")))+$BX14)</f>
        <v/>
      </c>
      <c r="CD14" s="132" t="str">
        <f t="array" aca="1" ref="CD14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LEN(SUBSTITUTE(_xlfn.FORMULATEXT(CD$1),"=","")))+$BX14)</f>
        <v/>
      </c>
      <c r="CE14" s="132" t="str">
        <f t="array" aca="1" ref="CE14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LEN(SUBSTITUTE(_xlfn.FORMULATEXT(CE$1),"=","")))+$BX14)</f>
        <v/>
      </c>
      <c r="CF14" s="132" t="str">
        <f t="array" aca="1" ref="CF14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LEN(SUBSTITUTE(_xlfn.FORMULATEXT(CF$1),"=","")))+$BX14)</f>
        <v/>
      </c>
      <c r="CG14" s="132" t="str">
        <f t="array" aca="1" ref="CG14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LEN(SUBSTITUTE(_xlfn.FORMULATEXT(CG$1),"=","")))+$BX14)</f>
        <v/>
      </c>
      <c r="CH14" s="132" t="str">
        <f t="array" aca="1" ref="CH14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LEN(SUBSTITUTE(_xlfn.FORMULATEXT(CH$1),"=","")))+$BX14)</f>
        <v/>
      </c>
      <c r="CI14" s="132">
        <f t="shared" ca="1" si="0"/>
        <v>0</v>
      </c>
      <c r="CJ14" s="132" t="b">
        <f t="array" aca="1" ref="CJ14" ca="1">SUMPRODUCT((LEN(BY14:CH14)&gt;0)*1)&gt;0</f>
        <v>0</v>
      </c>
      <c r="CK14" s="132" t="str" cm="1">
        <f t="array" aca="1" ref="CK14" ca="1">IFERROR(SMALL(IF(CI$1:CI$150&lt;&gt;0,CI$1:CI$150),ROW(A14)),"")</f>
        <v/>
      </c>
      <c r="CL14" s="132" t="str">
        <f t="array" aca="1" ref="CL14" ca="1">IF($CK14&lt;&gt;"",
INDIRECT(""&amp;IF(COLUMN(BY14)&lt;=26,CHAR(COLUMN(BY14)+64),CHAR(INT((COLUMN(BY14)-1)/26)+64)&amp;CHAR(MOD(COLUMN(BY14)-1,26)+65))&amp;$CK14&amp;""),"")</f>
        <v/>
      </c>
      <c r="CM14" s="132" t="str">
        <f t="array" aca="1" ref="CM14" ca="1">IF($CK14&lt;&gt;"",
INDIRECT(""&amp;IF(COLUMN(BZ14)&lt;=26,CHAR(COLUMN(BZ14)+64),CHAR(INT((COLUMN(BZ14)-1)/26)+64)&amp;CHAR(MOD(COLUMN(BZ14)-1,26)+65))&amp;$CK14&amp;""),"")</f>
        <v/>
      </c>
      <c r="CN14" s="132" t="str">
        <f t="array" aca="1" ref="CN14" ca="1">IF($CK14&lt;&gt;"",
INDIRECT(""&amp;IF(COLUMN(CA14)&lt;=26,CHAR(COLUMN(CA14)+64),CHAR(INT((COLUMN(CA14)-1)/26)+64)&amp;CHAR(MOD(COLUMN(CA14)-1,26)+65))&amp;$CK14&amp;""),"")</f>
        <v/>
      </c>
      <c r="CO14" s="132" t="str">
        <f t="array" aca="1" ref="CO14" ca="1">IF($CK14&lt;&gt;"",
INDIRECT(""&amp;IF(COLUMN(CB14)&lt;=26,CHAR(COLUMN(CB14)+64),CHAR(INT((COLUMN(CB14)-1)/26)+64)&amp;CHAR(MOD(COLUMN(CB14)-1,26)+65))&amp;$CK14&amp;""),"")</f>
        <v/>
      </c>
      <c r="CP14" s="132" t="str">
        <f t="array" aca="1" ref="CP14" ca="1">IF($CK14&lt;&gt;"",
INDIRECT(""&amp;IF(COLUMN(CC14)&lt;=26,CHAR(COLUMN(CC14)+64),CHAR(INT((COLUMN(CC14)-1)/26)+64)&amp;CHAR(MOD(COLUMN(CC14)-1,26)+65))&amp;$CK14&amp;""),"")</f>
        <v/>
      </c>
      <c r="CQ14" s="132" t="str">
        <f t="array" aca="1" ref="CQ14" ca="1">IF($CK14&lt;&gt;"",
INDIRECT(""&amp;IF(COLUMN(CD14)&lt;=26,CHAR(COLUMN(CD14)+64),CHAR(INT((COLUMN(CD14)-1)/26)+64)&amp;CHAR(MOD(COLUMN(CD14)-1,26)+65))&amp;$CK14&amp;""),"")</f>
        <v/>
      </c>
      <c r="CR14" s="132" t="str">
        <f t="array" aca="1" ref="CR14" ca="1">IF($CK14&lt;&gt;"",
INDIRECT(""&amp;IF(COLUMN(CE14)&lt;=26,CHAR(COLUMN(CE14)+64),CHAR(INT((COLUMN(CE14)-1)/26)+64)&amp;CHAR(MOD(COLUMN(CE14)-1,26)+65))&amp;$CK14&amp;""),"")</f>
        <v/>
      </c>
      <c r="CS14" s="132" t="str">
        <f t="array" aca="1" ref="CS14" ca="1">IF($CK14&lt;&gt;"",
INDIRECT(""&amp;IF(COLUMN(CF14)&lt;=26,CHAR(COLUMN(CF14)+64),CHAR(INT((COLUMN(CF14)-1)/26)+64)&amp;CHAR(MOD(COLUMN(CF14)-1,26)+65))&amp;$CK14&amp;""),"")</f>
        <v/>
      </c>
      <c r="CT14" s="132" t="str">
        <f t="array" aca="1" ref="CT14" ca="1">IF($CK14&lt;&gt;"",
INDIRECT(""&amp;IF(COLUMN(CG14)&lt;=26,CHAR(COLUMN(CG14)+64),CHAR(INT((COLUMN(CG14)-1)/26)+64)&amp;CHAR(MOD(COLUMN(CG14)-1,26)+65))&amp;$CK14&amp;""),"")</f>
        <v/>
      </c>
      <c r="CU14" s="132" t="str">
        <f t="array" aca="1" ref="CU14" ca="1">IF($CK14&lt;&gt;"",
INDIRECT(""&amp;IF(COLUMN(CH14)&lt;=26,CHAR(COLUMN(CH14)+64),CHAR(INT((COLUMN(CH14)-1)/26)+64)&amp;CHAR(MOD(COLUMN(CH14)-1,26)+65))&amp;$CK14&amp;""),"")</f>
        <v/>
      </c>
    </row>
    <row r="15" spans="1:99" s="132" customFormat="1" ht="18" customHeight="1" x14ac:dyDescent="0.55000000000000004">
      <c r="A15" s="129" t="e" cm="1">
        <f t="array" aca="1" ref="A15" ca="1">IF(AND(LEFT(N8,2)="博多",LEFT(INDIRECT("数出表_Excel!A"&amp;I8-1),2)=LEFT(INDIRECT("数出表_Excel!A"&amp;I8+1),2)),
IF(AND(LEFT(INDIRECT("数出表_Excel!A"&amp;I8+2),2)="博多",LEFT(INDIRECT("数出表_Excel!A"&amp;I8+1),2)=LEFT(INDIRECT("数出表_Excel!A"&amp;I8+3),2)),
IF(AND(LEFT(INDIRECT("数出表_Excel!A"&amp;I8+4),2)="博多",LEFT(INDIRECT("数出表_Excel!A"&amp;I8+3),2)=LEFT(INDIRECT("数出表_Excel!A"&amp;I8+5),2)),
I8+8,
I8+6),
I8+4),
IF(LEFT(N8,3)="奈良屋",
IF(LEFT(INDIRECT("数出表_Excel!A"&amp;I8+2),3)="奈良屋",
IF(LEFT(INDIRECT("数出表_Excel!A"&amp;I8+4),3)="奈良屋",
I8+6,
I8+4),
I8+2),
I8+2))</f>
        <v>#VALUE!</v>
      </c>
      <c r="B15" s="130" t="e" cm="1">
        <f t="array" aca="1" ref="B15" ca="1">GetResult(A15)</f>
        <v>#VALUE!</v>
      </c>
      <c r="C15" s="117" t="str">
        <f ca="1">IF(C16&lt;&gt;"",
IF(LEFT(G15,2)="博多",
LEFT(G15,FIND("週",G15)-1),
G15),"")</f>
        <v/>
      </c>
      <c r="D15" s="131"/>
      <c r="E15" s="131"/>
      <c r="F15" s="131"/>
      <c r="G15" s="157" t="e" cm="1">
        <f t="array" aca="1" ref="G15" ca="1">INDIRECT("数出表_Excel!A"&amp;B15)</f>
        <v>#VALUE!</v>
      </c>
      <c r="H15" s="129" t="e" cm="1">
        <f t="array" aca="1" ref="H15" ca="1">IF(AND(LEFT(G15,2)="博多",LEFT(INDIRECT("数出表_Excel!A"&amp;B15-1),2)=LEFT(INDIRECT("数出表_Excel!A"&amp;B15+1),2)),
IF(AND(LEFT(INDIRECT("数出表_Excel!A"&amp;B15+2),2)="博多",LEFT(INDIRECT("数出表_Excel!A"&amp;B15+1),2)=LEFT(INDIRECT("数出表_Excel!A"&amp;B15+3),2)),
IF(AND(LEFT(INDIRECT("数出表_Excel!A"&amp;B15+4),2)="博多",LEFT(INDIRECT("数出表_Excel!A"&amp;B15+3),2)=LEFT(INDIRECT("数出表_Excel!A"&amp;B15+5),2)),
B15+8,
B15+2),
B15+4),
IF(LEFT(G15,3)="奈良屋",
IF(LEFT(INDIRECT("数出表_Excel!A"&amp;B15+2),3)="奈良屋",
IF(LEFT(INDIRECT("数出表_Excel!A"&amp;B15+4),3)="奈良屋",
B15+6,
B15+4),
B15+2),
B15+2))</f>
        <v>#VALUE!</v>
      </c>
      <c r="I15" s="130" t="e">
        <f t="array" aca="1" ref="I15" ca="1">GetResult(H15)</f>
        <v>#VALUE!</v>
      </c>
      <c r="J15" s="117" t="str">
        <f ca="1">IF(J16&lt;&gt;"",
IF(LEFT(N15,2)="博多",
LEFT(N15,FIND("週",N15)-1),
N15),"")</f>
        <v/>
      </c>
      <c r="K15" s="131"/>
      <c r="L15" s="131"/>
      <c r="M15" s="131"/>
      <c r="N15" s="152" t="e" cm="1">
        <f t="array" aca="1" ref="N15" ca="1">INDIRECT("数出表_Excel!A"&amp;I15)</f>
        <v>#VALUE!</v>
      </c>
      <c r="O15" s="129"/>
      <c r="P15" s="129" t="e">
        <f t="array" aca="1" ref="P15" ca="1">IF(LEFT(AC8,2)="博多",
IF(LEFT(INDIRECT("数出表_Excel!A"&amp;X8+2),2)="博多",
IF(LEFT(INDIRECT("数出表_Excel!A"&amp;X8+4),2)="博多",
X8+6,
X8+4),
X8+2),
IF(LEFT(AC8,3)="奈良屋",
IF(LEFT(INDIRECT("数出表_Excel!A"&amp;X8+2),3)="奈良屋",
IF(LEFT(INDIRECT("数出表_Excel!A"&amp;X8+4),3)="奈良屋",
X8+6,
X8+4),
X8+2),
X8+2))</f>
        <v>#VALUE!</v>
      </c>
      <c r="Q15" s="130" t="e">
        <f t="array" aca="1" ref="Q15" ca="1">GetResult(P15)</f>
        <v>#VALUE!</v>
      </c>
      <c r="R15" s="117" t="str">
        <f ca="1">IF(R16&lt;&gt;"",
IF(LEFT(V15,2)="博多",
LEFT(V15,FIND("週",V15)-1),
V15),"")</f>
        <v/>
      </c>
      <c r="S15" s="131"/>
      <c r="T15" s="131"/>
      <c r="U15" s="131"/>
      <c r="V15" s="152" t="e">
        <f t="array" aca="1" ref="V15" ca="1">INDIRECT("数出表_Excel!A"&amp;Q15)</f>
        <v>#VALUE!</v>
      </c>
      <c r="W15" s="129" t="e">
        <f t="array" aca="1" ref="W15" ca="1">IF(LEFT(V15,2)="博多",
IF(LEFT(INDIRECT("数出表_Excel!A"&amp;Q15+2),2)="博多",
IF(LEFT(INDIRECT("数出表_Excel!A"&amp;Q15+4),2)="博多",
Q15+6,
Q15+4),
Q15+2),
IF(LEFT(V15,3)="奈良屋",
IF(LEFT(INDIRECT("数出表_Excel!A"&amp;Q15+2),3)="奈良屋",
IF(LEFT(INDIRECT("数出表_Excel!A"&amp;Q15+4),3)="奈良屋",
Q15+6,
Q15+4),
Q15+2),
Q15+2))</f>
        <v>#VALUE!</v>
      </c>
      <c r="X15" s="130" t="e">
        <f t="array" aca="1" ref="X15" ca="1">GetResult(W15)</f>
        <v>#VALUE!</v>
      </c>
      <c r="Y15" s="117" t="str">
        <f ca="1">IF(Y16&lt;&gt;"",
IF(LEFT(AC15,2)="博多",
LEFT(AC15,FIND("週",AC15)-1),
AC15),"")</f>
        <v/>
      </c>
      <c r="Z15" s="131"/>
      <c r="AA15" s="131"/>
      <c r="AB15" s="131"/>
      <c r="AC15" s="152" t="e">
        <f t="array" aca="1" ref="AC15" ca="1">INDIRECT("数出表_Excel!A"&amp;X15)</f>
        <v>#VALUE!</v>
      </c>
      <c r="AD15" s="129"/>
      <c r="AE15" s="129" t="e">
        <f t="array" aca="1" ref="AE15" ca="1">IF(LEFT(AR8,2)="博多",
IF(LEFT(INDIRECT("数出表_Excel!A"&amp;AM8+2),2)="博多",
IF(LEFT(INDIRECT("数出表_Excel!A"&amp;AM8+4),2)="博多",
AM8+6,
AM8+4),
AM8+2),
IF(LEFT(AR8,3)="奈良屋",
IF(LEFT(INDIRECT("数出表_Excel!A"&amp;AM8+2),3)="奈良屋",
IF(LEFT(INDIRECT("数出表_Excel!A"&amp;AM8+4),3)="奈良屋",
AM8+6,
AM8+4),
AM8+2),
AM8+2))</f>
        <v>#VALUE!</v>
      </c>
      <c r="AF15" s="130" t="e">
        <f t="array" aca="1" ref="AF15" ca="1">GetResult(AE15)</f>
        <v>#VALUE!</v>
      </c>
      <c r="AG15" s="117" t="str">
        <f ca="1">IF(AG16&lt;&gt;"",
IF(LEFT(AK15,2)="博多",
LEFT(AK15,FIND("週",AK15)-1),
AK15),"")</f>
        <v/>
      </c>
      <c r="AH15" s="131"/>
      <c r="AI15" s="131"/>
      <c r="AJ15" s="131"/>
      <c r="AK15" s="152" t="e">
        <f t="array" aca="1" ref="AK15" ca="1">INDIRECT("数出表_Excel!A"&amp;AF15)</f>
        <v>#VALUE!</v>
      </c>
      <c r="AL15" s="129" t="e">
        <f t="array" aca="1" ref="AL15" ca="1">IF(LEFT(AK15,2)="博多",
IF(LEFT(INDIRECT("数出表_Excel!A"&amp;AF15+2),2)="博多",
IF(LEFT(INDIRECT("数出表_Excel!A"&amp;AF15+4),2)="博多",
AF15+6,
AF15+4),
AF15+2),
IF(LEFT(AK15,3)="奈良屋",
IF(LEFT(INDIRECT("数出表_Excel!A"&amp;AF15+2),3)="奈良屋",
IF(LEFT(INDIRECT("数出表_Excel!A"&amp;AF15+4),3)="奈良屋",
AF15+6,
AF15+4),
AF15+2),
AF15+2))</f>
        <v>#VALUE!</v>
      </c>
      <c r="AM15" s="130" t="e">
        <f t="array" aca="1" ref="AM15" ca="1">GetResult(AL15)</f>
        <v>#VALUE!</v>
      </c>
      <c r="AN15" s="117" t="str">
        <f ca="1">IF(AN16&lt;&gt;"",
IF(LEFT(AR15,2)="博多",
LEFT(AR15,FIND("週",AR15)-1),
AR15),"")</f>
        <v/>
      </c>
      <c r="AO15" s="131"/>
      <c r="AP15" s="131"/>
      <c r="AQ15" s="131"/>
      <c r="AR15" s="152" t="e">
        <f t="array" aca="1" ref="AR15" ca="1">INDIRECT("数出表_Excel!A"&amp;AM15)</f>
        <v>#VALUE!</v>
      </c>
      <c r="AS15" s="129"/>
      <c r="AT15" s="129" t="e">
        <f t="array" aca="1" ref="AT15" ca="1">IF(LEFT(BG8,2)="博多",
IF(LEFT(INDIRECT("数出表_Excel!A"&amp;BB8+2),2)="博多",
IF(LEFT(INDIRECT("数出表_Excel!A"&amp;BB8+4),2)="博多",
BB8+6,
BB8+4),
BB8+2),
IF(LEFT(BG8,3)="奈良屋",
IF(LEFT(INDIRECT("数出表_Excel!A"&amp;BB8+2),3)="奈良屋",
IF(LEFT(INDIRECT("数出表_Excel!A"&amp;BB8+4),3)="奈良屋",
BB8+6,
BB8+4),
BB8+2),
BB8+2))</f>
        <v>#VALUE!</v>
      </c>
      <c r="AU15" s="130" t="e">
        <f t="array" aca="1" ref="AU15" ca="1">GetResult(AT15)</f>
        <v>#VALUE!</v>
      </c>
      <c r="AV15" s="117" t="str">
        <f ca="1">IF(AV16&lt;&gt;"",
IF(LEFT(AZ15,2)="博多",
LEFT(AZ15,FIND("週",AZ15)-1),
AZ15),"")</f>
        <v/>
      </c>
      <c r="AW15" s="131"/>
      <c r="AX15" s="131"/>
      <c r="AY15" s="131"/>
      <c r="AZ15" s="152" t="e">
        <f t="array" aca="1" ref="AZ15" ca="1">INDIRECT("数出表_Excel!A"&amp;AU15)</f>
        <v>#VALUE!</v>
      </c>
      <c r="BA15" s="129" t="e">
        <f t="array" aca="1" ref="BA15" ca="1">IF(LEFT(AZ15,2)="博多",
IF(LEFT(INDIRECT("数出表_Excel!A"&amp;AU15+2),2)="博多",
IF(LEFT(INDIRECT("数出表_Excel!A"&amp;AU15+4),2)="博多",
AU15+6,
AU15+4),
AU15+2),
IF(LEFT(AZ15,3)="奈良屋",
IF(LEFT(INDIRECT("数出表_Excel!A"&amp;AU15+2),3)="奈良屋",
IF(LEFT(INDIRECT("数出表_Excel!A"&amp;AU15+4),3)="奈良屋",
AU15+6,
AU15+4),
AU15+2),
AU15+2))</f>
        <v>#VALUE!</v>
      </c>
      <c r="BB15" s="130" t="e">
        <f t="array" aca="1" ref="BB15" ca="1">GetResult(BA15)</f>
        <v>#VALUE!</v>
      </c>
      <c r="BC15" s="117" t="str">
        <f ca="1">IF(BC16&lt;&gt;"",
IF(LEFT(BG15,2)="博多",
LEFT(BG15,FIND("週",BG15)-1),
BG15),"")</f>
        <v/>
      </c>
      <c r="BD15" s="131"/>
      <c r="BE15" s="131"/>
      <c r="BF15" s="131"/>
      <c r="BG15" s="152" t="e">
        <f t="array" aca="1" ref="BG15" ca="1">INDIRECT("数出表_Excel!A"&amp;BB15)</f>
        <v>#VALUE!</v>
      </c>
      <c r="BH15" s="129"/>
      <c r="BI15" s="129" t="e">
        <f t="array" aca="1" ref="BI15" ca="1">IF(LEFT(BV8,2)="博多",
IF(LEFT(INDIRECT("数出表_Excel!A"&amp;BQ8+2),2)="博多",
IF(LEFT(INDIRECT("数出表_Excel!A"&amp;BQ8+4),2)="博多",
BQ8+6,
BQ8+4),
BQ8+2),
IF(LEFT(BV8,3)="奈良屋",
IF(LEFT(INDIRECT("数出表_Excel!A"&amp;BQ8+2),3)="奈良屋",
IF(LEFT(INDIRECT("数出表_Excel!A"&amp;BQ8+4),3)="奈良屋",
BQ8+6,
BQ8+4),
BQ8+2),
BQ8+2))</f>
        <v>#VALUE!</v>
      </c>
      <c r="BJ15" s="130" t="e">
        <f t="array" aca="1" ref="BJ15" ca="1">GetResult(BI15)</f>
        <v>#VALUE!</v>
      </c>
      <c r="BK15" s="117" t="str">
        <f ca="1">IF(BK16&lt;&gt;"",
IF(LEFT(BO15,2)="博多",
LEFT(BO15,FIND("週",BO15)-1),
BO15),"")</f>
        <v/>
      </c>
      <c r="BL15" s="131"/>
      <c r="BM15" s="131"/>
      <c r="BN15" s="131"/>
      <c r="BO15" s="152" t="e">
        <f t="array" aca="1" ref="BO15" ca="1">INDIRECT("数出表_Excel!A"&amp;BJ15)</f>
        <v>#VALUE!</v>
      </c>
      <c r="BP15" s="129" t="e">
        <f t="array" aca="1" ref="BP15" ca="1">IF(LEFT(BO15,2)="博多",
IF(LEFT(INDIRECT("数出表_Excel!A"&amp;BJ15+2),2)="博多",
IF(LEFT(INDIRECT("数出表_Excel!A"&amp;BJ15+4),2)="博多",
BJ15+6,
BJ15+4),
BJ15+2),
IF(LEFT(BO15,3)="奈良屋",
IF(LEFT(INDIRECT("数出表_Excel!A"&amp;BJ15+2),3)="奈良屋",
IF(LEFT(INDIRECT("数出表_Excel!A"&amp;BJ15+4),3)="奈良屋",
BJ15+6,
BJ15+4),
BJ15+2),
BJ15+2))</f>
        <v>#VALUE!</v>
      </c>
      <c r="BQ15" s="130" t="e">
        <f t="array" aca="1" ref="BQ15" ca="1">GetResult(BP15)</f>
        <v>#VALUE!</v>
      </c>
      <c r="BR15" s="117" t="str">
        <f ca="1">IF(BR16&lt;&gt;"",
IF(LEFT(BV15,2)="博多",
LEFT(BV15,FIND("週",BV15)-1),
BV15),"")</f>
        <v/>
      </c>
      <c r="BS15" s="131"/>
      <c r="BT15" s="131"/>
      <c r="BU15" s="131"/>
      <c r="BV15" s="152" t="e">
        <f t="array" aca="1" ref="BV15" ca="1">INDIRECT("数出表_Excel!A"&amp;BQ15)</f>
        <v>#VALUE!</v>
      </c>
      <c r="BW15" s="129"/>
      <c r="BX15" s="146">
        <f t="shared" si="1"/>
        <v>21</v>
      </c>
      <c r="BY15" s="132" t="str">
        <f t="array" aca="1" ref="BY15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LEN(SUBSTITUTE(_xlfn.FORMULATEXT(BY$3),"=","")))+$BX15)</f>
        <v/>
      </c>
      <c r="BZ15" s="132" t="str">
        <f t="array" aca="1" ref="BZ15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LEN(SUBSTITUTE(_xlfn.FORMULATEXT(BZ$3),"=","")))+$BX15)</f>
        <v/>
      </c>
      <c r="CA15" s="132" t="str">
        <f t="array" aca="1" ref="CA15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LEN(SUBSTITUTE(_xlfn.FORMULATEXT(CA$3),"=","")))+$BX15)</f>
        <v/>
      </c>
      <c r="CB15" s="132" t="str">
        <f t="array" aca="1" ref="CB15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LEN(SUBSTITUTE(_xlfn.FORMULATEXT(CB$3),"=","")))+$BX15)</f>
        <v/>
      </c>
      <c r="CC15" s="132" t="str">
        <f t="array" aca="1" ref="CC15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LEN(SUBSTITUTE(_xlfn.FORMULATEXT(CC$3),"=","")))+$BX15)</f>
        <v/>
      </c>
      <c r="CD15" s="132" t="str">
        <f t="array" aca="1" ref="CD15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LEN(SUBSTITUTE(_xlfn.FORMULATEXT(CD$3),"=","")))+$BX15)</f>
        <v/>
      </c>
      <c r="CE15" s="132" t="str">
        <f t="array" aca="1" ref="CE15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LEN(SUBSTITUTE(_xlfn.FORMULATEXT(CE$3),"=","")))+$BX15)</f>
        <v/>
      </c>
      <c r="CF15" s="132" t="str">
        <f t="array" aca="1" ref="CF15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LEN(SUBSTITUTE(_xlfn.FORMULATEXT(CF$3),"=","")))+$BX15)</f>
        <v/>
      </c>
      <c r="CG15" s="132" t="str">
        <f t="array" aca="1" ref="CG15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LEN(SUBSTITUTE(_xlfn.FORMULATEXT(CG$3),"=","")))+$BX15)</f>
        <v/>
      </c>
      <c r="CH15" s="132" t="str">
        <f t="array" aca="1" ref="CH15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LEN(SUBSTITUTE(_xlfn.FORMULATEXT(CH$3),"=","")))+$BX15)</f>
        <v/>
      </c>
      <c r="CI15" s="132">
        <f t="shared" ca="1" si="0"/>
        <v>0</v>
      </c>
      <c r="CJ15" s="132" t="b">
        <f t="array" aca="1" ref="CJ15" ca="1">SUMPRODUCT((LEN(BY15:CH15)&gt;0)*1)&gt;0</f>
        <v>0</v>
      </c>
      <c r="CK15" s="132" t="str" cm="1">
        <f t="array" aca="1" ref="CK15" ca="1">IFERROR(SMALL(IF(CI$1:CI$150&lt;&gt;0,CI$1:CI$150),ROW(A15)),"")</f>
        <v/>
      </c>
      <c r="CL15" s="132" t="str">
        <f t="array" aca="1" ref="CL15" ca="1">IF($CK15&lt;&gt;"",
INDIRECT(""&amp;IF(COLUMN(BY15)&lt;=26,CHAR(COLUMN(BY15)+64),CHAR(INT((COLUMN(BY15)-1)/26)+64)&amp;CHAR(MOD(COLUMN(BY15)-1,26)+65))&amp;$CK15&amp;""),"")</f>
        <v/>
      </c>
      <c r="CM15" s="132" t="str">
        <f t="array" aca="1" ref="CM15" ca="1">IF($CK15&lt;&gt;"",
INDIRECT(""&amp;IF(COLUMN(BZ15)&lt;=26,CHAR(COLUMN(BZ15)+64),CHAR(INT((COLUMN(BZ15)-1)/26)+64)&amp;CHAR(MOD(COLUMN(BZ15)-1,26)+65))&amp;$CK15&amp;""),"")</f>
        <v/>
      </c>
      <c r="CN15" s="132" t="str">
        <f t="array" aca="1" ref="CN15" ca="1">IF($CK15&lt;&gt;"",
INDIRECT(""&amp;IF(COLUMN(CA15)&lt;=26,CHAR(COLUMN(CA15)+64),CHAR(INT((COLUMN(CA15)-1)/26)+64)&amp;CHAR(MOD(COLUMN(CA15)-1,26)+65))&amp;$CK15&amp;""),"")</f>
        <v/>
      </c>
      <c r="CO15" s="132" t="str">
        <f t="array" aca="1" ref="CO15" ca="1">IF($CK15&lt;&gt;"",
INDIRECT(""&amp;IF(COLUMN(CB15)&lt;=26,CHAR(COLUMN(CB15)+64),CHAR(INT((COLUMN(CB15)-1)/26)+64)&amp;CHAR(MOD(COLUMN(CB15)-1,26)+65))&amp;$CK15&amp;""),"")</f>
        <v/>
      </c>
      <c r="CP15" s="132" t="str">
        <f t="array" aca="1" ref="CP15" ca="1">IF($CK15&lt;&gt;"",
INDIRECT(""&amp;IF(COLUMN(CC15)&lt;=26,CHAR(COLUMN(CC15)+64),CHAR(INT((COLUMN(CC15)-1)/26)+64)&amp;CHAR(MOD(COLUMN(CC15)-1,26)+65))&amp;$CK15&amp;""),"")</f>
        <v/>
      </c>
      <c r="CQ15" s="132" t="str">
        <f t="array" aca="1" ref="CQ15" ca="1">IF($CK15&lt;&gt;"",
INDIRECT(""&amp;IF(COLUMN(CD15)&lt;=26,CHAR(COLUMN(CD15)+64),CHAR(INT((COLUMN(CD15)-1)/26)+64)&amp;CHAR(MOD(COLUMN(CD15)-1,26)+65))&amp;$CK15&amp;""),"")</f>
        <v/>
      </c>
      <c r="CR15" s="132" t="str">
        <f t="array" aca="1" ref="CR15" ca="1">IF($CK15&lt;&gt;"",
INDIRECT(""&amp;IF(COLUMN(CE15)&lt;=26,CHAR(COLUMN(CE15)+64),CHAR(INT((COLUMN(CE15)-1)/26)+64)&amp;CHAR(MOD(COLUMN(CE15)-1,26)+65))&amp;$CK15&amp;""),"")</f>
        <v/>
      </c>
      <c r="CS15" s="132" t="str">
        <f t="array" aca="1" ref="CS15" ca="1">IF($CK15&lt;&gt;"",
INDIRECT(""&amp;IF(COLUMN(CF15)&lt;=26,CHAR(COLUMN(CF15)+64),CHAR(INT((COLUMN(CF15)-1)/26)+64)&amp;CHAR(MOD(COLUMN(CF15)-1,26)+65))&amp;$CK15&amp;""),"")</f>
        <v/>
      </c>
      <c r="CT15" s="132" t="str">
        <f t="array" aca="1" ref="CT15" ca="1">IF($CK15&lt;&gt;"",
INDIRECT(""&amp;IF(COLUMN(CG15)&lt;=26,CHAR(COLUMN(CG15)+64),CHAR(INT((COLUMN(CG15)-1)/26)+64)&amp;CHAR(MOD(COLUMN(CG15)-1,26)+65))&amp;$CK15&amp;""),"")</f>
        <v/>
      </c>
      <c r="CU15" s="132" t="str">
        <f t="array" aca="1" ref="CU15" ca="1">IF($CK15&lt;&gt;"",
INDIRECT(""&amp;IF(COLUMN(CH15)&lt;=26,CHAR(COLUMN(CH15)+64),CHAR(INT((COLUMN(CH15)-1)/26)+64)&amp;CHAR(MOD(COLUMN(CH15)-1,26)+65))&amp;$CK15&amp;""),"")</f>
        <v/>
      </c>
    </row>
    <row r="16" spans="1:99" s="132" customFormat="1" ht="18" customHeight="1" x14ac:dyDescent="0.55000000000000004">
      <c r="A16" s="129"/>
      <c r="B16" s="135" t="e">
        <f t="array" aca="1" ref="B16" ca="1">IF(B17&lt;&gt;100,
IF(C18&lt;&gt;"",MATCH(C18,INDIRECT("数出表_Excel!B"&amp;MATCH(G15,数出表_Excel!$A:$A,0)-1&amp;":U"&amp;MATCH(G15,数出表_Excel!$A:$A,0)-1&amp;""),0)+1,""),
IF(C18&lt;&gt;"",
MATCH(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""),
INDIRECT("数出表_Excel!B"&amp;MATCH(G15,数出表_Excel!$A:$A,0)-1&amp;":U"&amp;MATCH(G15,数出表_Excel!$A:$A,0)-1&amp;""),0)+1,""))</f>
        <v>#VALUE!</v>
      </c>
      <c r="C16" s="70" t="str" cm="1">
        <f t="array" aca="1" ref="C16" ca="1">IF(COUNTIF(G15,"*合計*"),"",
IF(IFERROR(INDIRECT("数出表_Excel!" &amp;
CHAR(MATCH(TRUE,
ISNUMBER(--INDIRECT("数出表_Excel!B"&amp;MATCH(G15,数出表_Excel!$A:$A,0)-1&amp;":U"&amp;MATCH(G15,数出表_Excel!$A:$A,0)-1&amp;"")),0)+65) &amp; "3"),0)=0,"",
IFERROR(INDIRECT("数出表_Excel!" &amp;
CHAR(MATCH(TRUE,
ISNUMBER(--INDIRECT("数出表_Excel!B"&amp;MATCH(G15,数出表_Excel!$A:$A,0)-1&amp;":U"&amp;MATCH(G15,数出表_Excel!$A:$A,0)-1&amp;"")),0)+65) &amp; "3"),"")))</f>
        <v/>
      </c>
      <c r="D16" s="129"/>
      <c r="E16" s="136" t="str">
        <f ca="1">IF(F16&lt;&gt;"","",
IF(C15&lt;&gt;"",
IFERROR(
INDEX('数出表_Excel（アレルギー入力）'!$4:$4,
 1,
MATCH(C18,INDIRECT("'数出表_Excel（アレルギー入力）'!"&amp;B15-1&amp;":"&amp;B15-1&amp;""),0)),
 "")
&amp;IFERROR(
INDEX('数出表_Excel（アレルギー入力）'!$5:$5,
 1,
MATCH(C18,INDIRECT("'数出表_Excel（アレルギー入力）'!"&amp;B15-1&amp;":"&amp;B15-1&amp;""),0)),
 ""),""))</f>
        <v/>
      </c>
      <c r="F16" s="137" t="str">
        <f t="array" aca="1" ref="F16" ca="1">IF(C16&lt;&gt;"",
IF(MATCH(TRUE,
ISNUMBER(--INDIRECT("数出表_Excel!B"&amp;MATCH(G15,数出表_Excel!$A:$A,0)-1&amp;":U"&amp;MATCH(G15,数出表_Excel!$A:$A,0)-1&amp;"")),0)&gt;10,
IF(C16&lt;&gt;"",
IF(IF(COUNTIF('盛付札（関数）'!C16,"*キャラ*"),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VLOOKUP('盛付札（関数）'!C16,商品マスタ一覧!$D:$J,7,FALSE)))=0,"",
IF(ROUND(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VLOOKUP('盛付札（関数）'!C16,商品マスタ一覧!$D:$J,7,FALSE))),0)&lt;=0,1,
ROUND(
IF(F21&lt;&gt;"",(C18-F21),C18)
/IF(COUNTIF('盛付札（関数）'!C16,"*キャラ*"),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VLOOKUP('盛付札（関数）'!C16,商品マスタ一覧!$D:$J,7,FALSE))),0))),""),""),"")</f>
        <v/>
      </c>
      <c r="G16" s="158" t="str">
        <f ca="1">IF(F16&lt;&gt;"",IF(VALUE(IF(F21&lt;&gt;"",C18-F21,C18))&gt;VALUE(IF(COUNTIF('盛付札（関数）'!C16,"*キャラ*"),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
"+"&amp;IF(F21&lt;&gt;"",C18-F21,C18)-IF(COUNTIF('盛付札（関数）'!C16,"*キャラ*"),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VLOOKUP('盛付札（関数）'!C16,商品マスタ一覧!$D:$J,7,FALSE)))*F16,
IF(F21&lt;&gt;"",C18-F21,C18)-IF(COUNTIF('盛付札（関数）'!C16,"*キャラ*"),
VLOOKUP("*キャラ*",商品マスタ一覧!$D:$J,7,FALSE),
IF(COUNTIF('盛付札（関数）'!C16,"*赤*"),
VLOOKUP("*赤*",商品マスタ一覧!$D:$J,7,FALSE),
VLOOKUP('盛付札（関数）'!C16,商品マスタ一覧!$D:$J,7,FALSE)))*F16),"")</f>
        <v/>
      </c>
      <c r="H16" s="129"/>
      <c r="I16" s="135" t="e">
        <f t="array" aca="1" ref="I16" ca="1">IF(I17&lt;&gt;100,
IF(J18&lt;&gt;"",MATCH(J18,INDIRECT("数出表_Excel!B"&amp;MATCH(N15,数出表_Excel!$A:$A,0)-1&amp;":U"&amp;MATCH(N15,数出表_Excel!$A:$A,0)-1&amp;""),0)+1,""),
IF(J18&lt;&gt;"",
MATCH(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""),
INDIRECT("数出表_Excel!B"&amp;MATCH(N15,数出表_Excel!$A:$A,0)-1&amp;":U"&amp;MATCH(N15,数出表_Excel!$A:$A,0)-1&amp;""),0)+1,""))</f>
        <v>#VALUE!</v>
      </c>
      <c r="J16" s="70" t="str">
        <f t="array" aca="1" ref="J16" ca="1">IF(COUNTIF(N15,"*合計*"),"",
IF(IFERROR(INDIRECT("数出表_Excel!" &amp;
CHAR(MATCH(TRUE,
ISNUMBER(--INDIRECT("数出表_Excel!B"&amp;MATCH(N15,数出表_Excel!$A:$A,0)-1&amp;":U"&amp;MATCH(N15,数出表_Excel!$A:$A,0)-1&amp;"")),0)+65) &amp; "3"),0)=0,"",
IFERROR(INDIRECT("数出表_Excel!" &amp;
CHAR(MATCH(TRUE,
ISNUMBER(--INDIRECT("数出表_Excel!B"&amp;MATCH(N15,数出表_Excel!$A:$A,0)-1&amp;":U"&amp;MATCH(N15,数出表_Excel!$A:$A,0)-1&amp;"")),0)+65) &amp; "3"),"")))</f>
        <v/>
      </c>
      <c r="K16" s="129"/>
      <c r="L16" s="136" t="str">
        <f ca="1">IF(M16&lt;&gt;"","",
IF(J15&lt;&gt;"",
IFERROR(
INDEX('数出表_Excel（アレルギー入力）'!$4:$4,
 1,
MATCH(J18,INDIRECT("'数出表_Excel（アレルギー入力）'!"&amp;I15-1&amp;":"&amp;I15-1&amp;""),0)),
 "")
&amp;IFERROR(
INDEX('数出表_Excel（アレルギー入力）'!$5:$5,
 1,
MATCH(J18,INDIRECT("'数出表_Excel（アレルギー入力）'!"&amp;I15-1&amp;":"&amp;I15-1&amp;""),0)),
 ""),""))</f>
        <v/>
      </c>
      <c r="M16" s="137" t="str">
        <f t="array" aca="1" ref="M16" ca="1">IF(J16&lt;&gt;"",
IF(MATCH(TRUE,
ISNUMBER(--INDIRECT("数出表_Excel!B"&amp;MATCH(N15,数出表_Excel!$A:$A,0)-1&amp;":U"&amp;MATCH(N15,数出表_Excel!$A:$A,0)-1&amp;"")),0)&gt;10,
IF(J16&lt;&gt;"",
IF(IF(COUNTIF('盛付札（関数）'!J16,"*キャラ*"),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VLOOKUP('盛付札（関数）'!J16,商品マスタ一覧!$D:$J,7,FALSE)))=0,"",
IF(ROUND(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VLOOKUP('盛付札（関数）'!J16,商品マスタ一覧!$D:$J,7,FALSE))),0)&lt;=0,1,
ROUND(
IF(M21&lt;&gt;"",(J18-M21),J18)
/IF(COUNTIF('盛付札（関数）'!J16,"*キャラ*"),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VLOOKUP('盛付札（関数）'!J16,商品マスタ一覧!$D:$J,7,FALSE))),0))),""),""),"")</f>
        <v/>
      </c>
      <c r="N16" s="153" t="str">
        <f ca="1">IF(M16&lt;&gt;"",IF(VALUE(IF(M21&lt;&gt;"",J18-M21,J18))&gt;VALUE(IF(COUNTIF('盛付札（関数）'!J16,"*キャラ*"),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
"+"&amp;IF(M21&lt;&gt;"",J18-M21,J18)-IF(COUNTIF('盛付札（関数）'!J16,"*キャラ*"),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VLOOKUP('盛付札（関数）'!J16,商品マスタ一覧!$D:$J,7,FALSE)))*M16,
IF(M21&lt;&gt;"",J18-M21,J18)-IF(COUNTIF('盛付札（関数）'!J16,"*キャラ*"),
VLOOKUP("*キャラ*",商品マスタ一覧!$D:$J,7,FALSE),
IF(COUNTIF('盛付札（関数）'!J16,"*赤*"),
VLOOKUP("*赤*",商品マスタ一覧!$D:$J,7,FALSE),
VLOOKUP('盛付札（関数）'!J16,商品マスタ一覧!$D:$J,7,FALSE)))*M16),"")</f>
        <v/>
      </c>
      <c r="O16" s="129"/>
      <c r="P16" s="129"/>
      <c r="Q16" s="135" t="e">
        <f t="array" aca="1" ref="Q16" ca="1">IF(Q17&lt;&gt;100,
IF(R18&lt;&gt;"",MATCH(R18,INDIRECT("数出表_Excel!B"&amp;MATCH(V15,数出表_Excel!$A:$A,0)-1&amp;":U"&amp;MATCH(V15,数出表_Excel!$A:$A,0)-1&amp;""),0)+1,""),
IF(R18&lt;&gt;"",
MATCH(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""),
INDIRECT("数出表_Excel!B"&amp;MATCH(V15,数出表_Excel!$A:$A,0)-1&amp;":U"&amp;MATCH(V15,数出表_Excel!$A:$A,0)-1&amp;""),0)+1,""))</f>
        <v>#VALUE!</v>
      </c>
      <c r="R16" s="70" t="str">
        <f t="array" aca="1" ref="R16" ca="1">IF(COUNTIF(V15,"*合計*"),"",
IF(IFERROR(INDIRECT("数出表_Excel!" &amp;
CHAR(MATCH(TRUE,
ISNUMBER(--INDIRECT("数出表_Excel!B"&amp;MATCH(V15,数出表_Excel!$A:$A,0)-1&amp;":U"&amp;MATCH(V15,数出表_Excel!$A:$A,0)-1&amp;"")),0)+65) &amp; "3"),0)=0,"",
IFERROR(INDIRECT("数出表_Excel!" &amp;
CHAR(MATCH(TRUE,
ISNUMBER(--INDIRECT("数出表_Excel!B"&amp;MATCH(V15,数出表_Excel!$A:$A,0)-1&amp;":U"&amp;MATCH(V15,数出表_Excel!$A:$A,0)-1&amp;"")),0)+65) &amp; "3"),"")))</f>
        <v/>
      </c>
      <c r="S16" s="129"/>
      <c r="T16" s="136" t="str">
        <f ca="1">IF(U16&lt;&gt;"","",
IF(R15&lt;&gt;"",
IFERROR(
INDEX('数出表_Excel（アレルギー入力）'!$4:$4,
 1,
MATCH(R18,INDIRECT("'数出表_Excel（アレルギー入力）'!"&amp;Q15-1&amp;":"&amp;Q15-1&amp;""),0)),
 "")
&amp;IFERROR(
INDEX('数出表_Excel（アレルギー入力）'!$5:$5,
 1,
MATCH(R18,INDIRECT("'数出表_Excel（アレルギー入力）'!"&amp;Q15-1&amp;":"&amp;Q15-1&amp;""),0)),
 ""),""))</f>
        <v/>
      </c>
      <c r="U16" s="137" t="str">
        <f t="array" aca="1" ref="U16" ca="1">IF(R16&lt;&gt;"",
IF(MATCH(TRUE,
ISNUMBER(--INDIRECT("数出表_Excel!B"&amp;MATCH(V15,数出表_Excel!$A:$A,0)-1&amp;":U"&amp;MATCH(V15,数出表_Excel!$A:$A,0)-1&amp;"")),0)&gt;10,
IF(R16&lt;&gt;"",
IF(IF(COUNTIF('盛付札（関数）'!R16,"*キャラ*"),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VLOOKUP('盛付札（関数）'!R16,商品マスタ一覧!$D:$J,7,FALSE)))=0,"",
IF(ROUND(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VLOOKUP('盛付札（関数）'!R16,商品マスタ一覧!$D:$J,7,FALSE))),0)&lt;=0,1,
ROUND(
IF(U21&lt;&gt;"",(R18-U21),R18)
/IF(COUNTIF('盛付札（関数）'!R16,"*キャラ*"),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VLOOKUP('盛付札（関数）'!R16,商品マスタ一覧!$D:$J,7,FALSE))),0))),""),""),"")</f>
        <v/>
      </c>
      <c r="V16" s="153" t="str">
        <f ca="1">IF(U16&lt;&gt;"",IF(VALUE(IF(U21&lt;&gt;"",R18-U21,R18))&gt;VALUE(IF(COUNTIF('盛付札（関数）'!R16,"*キャラ*"),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
"+"&amp;IF(U21&lt;&gt;"",R18-U21,R18)-IF(COUNTIF('盛付札（関数）'!R16,"*キャラ*"),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VLOOKUP('盛付札（関数）'!R16,商品マスタ一覧!$D:$J,7,FALSE)))*U16,
IF(U21&lt;&gt;"",R18-U21,R18)-IF(COUNTIF('盛付札（関数）'!R16,"*キャラ*"),
VLOOKUP("*キャラ*",商品マスタ一覧!$D:$J,7,FALSE),
IF(COUNTIF('盛付札（関数）'!R16,"*赤*"),
VLOOKUP("*赤*",商品マスタ一覧!$D:$J,7,FALSE),
VLOOKUP('盛付札（関数）'!R16,商品マスタ一覧!$D:$J,7,FALSE)))*U16),"")</f>
        <v/>
      </c>
      <c r="W16" s="129"/>
      <c r="X16" s="135" t="e">
        <f t="array" aca="1" ref="X16" ca="1">IF(X17&lt;&gt;100,
IF(Y18&lt;&gt;"",MATCH(Y18,INDIRECT("数出表_Excel!B"&amp;MATCH(AC15,数出表_Excel!$A:$A,0)-1&amp;":U"&amp;MATCH(AC15,数出表_Excel!$A:$A,0)-1&amp;""),0)+1,""),
IF(Y18&lt;&gt;"",
MATCH(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""),
INDIRECT("数出表_Excel!B"&amp;MATCH(AC15,数出表_Excel!$A:$A,0)-1&amp;":U"&amp;MATCH(AC15,数出表_Excel!$A:$A,0)-1&amp;""),0)+1,""))</f>
        <v>#VALUE!</v>
      </c>
      <c r="Y16" s="70" t="str">
        <f t="array" aca="1" ref="Y16" ca="1">IF(COUNTIF(AC15,"*合計*"),"",
IF(IFERROR(INDIRECT("数出表_Excel!" &amp;
CHAR(MATCH(TRUE,
ISNUMBER(--INDIRECT("数出表_Excel!B"&amp;MATCH(AC15,数出表_Excel!$A:$A,0)-1&amp;":U"&amp;MATCH(AC15,数出表_Excel!$A:$A,0)-1&amp;"")),0)+65) &amp; "3"),0)=0,"",
IFERROR(INDIRECT("数出表_Excel!" &amp;
CHAR(MATCH(TRUE,
ISNUMBER(--INDIRECT("数出表_Excel!B"&amp;MATCH(AC15,数出表_Excel!$A:$A,0)-1&amp;":U"&amp;MATCH(AC15,数出表_Excel!$A:$A,0)-1&amp;"")),0)+65) &amp; "3"),"")))</f>
        <v/>
      </c>
      <c r="Z16" s="129"/>
      <c r="AA16" s="136" t="str">
        <f ca="1">IF(AB16&lt;&gt;"","",
IF(Y15&lt;&gt;"",
IFERROR(
INDEX('数出表_Excel（アレルギー入力）'!$4:$4,
 1,
MATCH(Y18,INDIRECT("'数出表_Excel（アレルギー入力）'!"&amp;X15-1&amp;":"&amp;X15-1&amp;""),0)),
 "")
&amp;IFERROR(
INDEX('数出表_Excel（アレルギー入力）'!$5:$5,
 1,
MATCH(Y18,INDIRECT("'数出表_Excel（アレルギー入力）'!"&amp;X15-1&amp;":"&amp;X15-1&amp;""),0)),
 ""),""))</f>
        <v/>
      </c>
      <c r="AB16" s="137" t="str">
        <f t="array" aca="1" ref="AB16" ca="1">IF(Y16&lt;&gt;"",
IF(MATCH(TRUE,
ISNUMBER(--INDIRECT("数出表_Excel!B"&amp;MATCH(AC15,数出表_Excel!$A:$A,0)-1&amp;":U"&amp;MATCH(AC15,数出表_Excel!$A:$A,0)-1&amp;"")),0)&gt;10,
IF(Y16&lt;&gt;"",
IF(IF(COUNTIF('盛付札（関数）'!Y16,"*キャラ*"),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VLOOKUP('盛付札（関数）'!Y16,商品マスタ一覧!$D:$J,7,FALSE)))=0,"",
IF(ROUND(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VLOOKUP('盛付札（関数）'!Y16,商品マスタ一覧!$D:$J,7,FALSE))),0)&lt;=0,1,
ROUND(
IF(AB21&lt;&gt;"",(Y18-AB21),Y18)
/IF(COUNTIF('盛付札（関数）'!Y16,"*キャラ*"),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VLOOKUP('盛付札（関数）'!Y16,商品マスタ一覧!$D:$J,7,FALSE))),0))),""),""),"")</f>
        <v/>
      </c>
      <c r="AC16" s="153" t="str">
        <f ca="1">IF(AB16&lt;&gt;"",IF(VALUE(IF(AB21&lt;&gt;"",Y18-AB21,Y18))&gt;VALUE(IF(COUNTIF('盛付札（関数）'!Y16,"*キャラ*"),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
"+"&amp;IF(AB21&lt;&gt;"",Y18-AB21,Y18)-IF(COUNTIF('盛付札（関数）'!Y16,"*キャラ*"),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VLOOKUP('盛付札（関数）'!Y16,商品マスタ一覧!$D:$J,7,FALSE)))*AB16,
IF(AB21&lt;&gt;"",Y18-AB21,Y18)-IF(COUNTIF('盛付札（関数）'!Y16,"*キャラ*"),
VLOOKUP("*キャラ*",商品マスタ一覧!$D:$J,7,FALSE),
IF(COUNTIF('盛付札（関数）'!Y16,"*赤*"),
VLOOKUP("*赤*",商品マスタ一覧!$D:$J,7,FALSE),
VLOOKUP('盛付札（関数）'!Y16,商品マスタ一覧!$D:$J,7,FALSE)))*AB16),"")</f>
        <v/>
      </c>
      <c r="AD16" s="129"/>
      <c r="AE16" s="129"/>
      <c r="AF16" s="135" t="e">
        <f t="array" aca="1" ref="AF16" ca="1">IF(AF17&lt;&gt;100,
IF(AG18&lt;&gt;"",MATCH(AG18,INDIRECT("数出表_Excel!B"&amp;MATCH(AK15,数出表_Excel!$A:$A,0)-1&amp;":U"&amp;MATCH(AK15,数出表_Excel!$A:$A,0)-1&amp;""),0)+1,""),
IF(AG18&lt;&gt;"",
MATCH(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""),
INDIRECT("数出表_Excel!B"&amp;MATCH(AK15,数出表_Excel!$A:$A,0)-1&amp;":U"&amp;MATCH(AK15,数出表_Excel!$A:$A,0)-1&amp;""),0)+1,""))</f>
        <v>#VALUE!</v>
      </c>
      <c r="AG16" s="70" t="str">
        <f t="array" aca="1" ref="AG16" ca="1">IF(COUNTIF(AK15,"*合計*"),"",
IF(IFERROR(INDIRECT("数出表_Excel!" &amp;
CHAR(MATCH(TRUE,
ISNUMBER(--INDIRECT("数出表_Excel!B"&amp;MATCH(AK15,数出表_Excel!$A:$A,0)-1&amp;":U"&amp;MATCH(AK15,数出表_Excel!$A:$A,0)-1&amp;"")),0)+65) &amp; "3"),0)=0,"",
IFERROR(INDIRECT("数出表_Excel!" &amp;
CHAR(MATCH(TRUE,
ISNUMBER(--INDIRECT("数出表_Excel!B"&amp;MATCH(AK15,数出表_Excel!$A:$A,0)-1&amp;":U"&amp;MATCH(AK15,数出表_Excel!$A:$A,0)-1&amp;"")),0)+65) &amp; "3"),"")))</f>
        <v/>
      </c>
      <c r="AH16" s="129"/>
      <c r="AI16" s="136" t="str">
        <f ca="1">IF(AJ16&lt;&gt;"","",
IF(AG15&lt;&gt;"",
IFERROR(
INDEX('数出表_Excel（アレルギー入力）'!$4:$4,
 1,
MATCH(AG18,INDIRECT("'数出表_Excel（アレルギー入力）'!"&amp;AF15-1&amp;":"&amp;AF15-1&amp;""),0)),
 "")
&amp;IFERROR(
INDEX('数出表_Excel（アレルギー入力）'!$5:$5,
 1,
MATCH(AG18,INDIRECT("'数出表_Excel（アレルギー入力）'!"&amp;AF15-1&amp;":"&amp;AF15-1&amp;""),0)),
 ""),""))</f>
        <v/>
      </c>
      <c r="AJ16" s="137" t="str">
        <f t="array" aca="1" ref="AJ16" ca="1">IF(AG16&lt;&gt;"",
IF(MATCH(TRUE,
ISNUMBER(--INDIRECT("数出表_Excel!B"&amp;MATCH(AK15,数出表_Excel!$A:$A,0)-1&amp;":U"&amp;MATCH(AK15,数出表_Excel!$A:$A,0)-1&amp;"")),0)&gt;10,
IF(AG16&lt;&gt;"",
IF(IF(COUNTIF('盛付札（関数）'!AG16,"*キャラ*"),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VLOOKUP('盛付札（関数）'!AG16,商品マスタ一覧!$D:$J,7,FALSE)))=0,"",
IF(ROUND(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VLOOKUP('盛付札（関数）'!AG16,商品マスタ一覧!$D:$J,7,FALSE))),0)&lt;=0,1,
ROUND(
IF(AJ21&lt;&gt;"",(AG18-AJ21),AG18)
/IF(COUNTIF('盛付札（関数）'!AG16,"*キャラ*"),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VLOOKUP('盛付札（関数）'!AG16,商品マスタ一覧!$D:$J,7,FALSE))),0))),""),""),"")</f>
        <v/>
      </c>
      <c r="AK16" s="153" t="str">
        <f ca="1">IF(AJ16&lt;&gt;"",IF(VALUE(IF(AJ21&lt;&gt;"",AG18-AJ21,AG18))&gt;VALUE(IF(COUNTIF('盛付札（関数）'!AG16,"*キャラ*"),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
"+"&amp;IF(AJ21&lt;&gt;"",AG18-AJ21,AG18)-IF(COUNTIF('盛付札（関数）'!AG16,"*キャラ*"),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VLOOKUP('盛付札（関数）'!AG16,商品マスタ一覧!$D:$J,7,FALSE)))*AJ16,
IF(AJ21&lt;&gt;"",AG18-AJ21,AG18)-IF(COUNTIF('盛付札（関数）'!AG16,"*キャラ*"),
VLOOKUP("*キャラ*",商品マスタ一覧!$D:$J,7,FALSE),
IF(COUNTIF('盛付札（関数）'!AG16,"*赤*"),
VLOOKUP("*赤*",商品マスタ一覧!$D:$J,7,FALSE),
VLOOKUP('盛付札（関数）'!AG16,商品マスタ一覧!$D:$J,7,FALSE)))*AJ16),"")</f>
        <v/>
      </c>
      <c r="AL16" s="129"/>
      <c r="AM16" s="135" t="e">
        <f t="array" aca="1" ref="AM16" ca="1">IF(AM17&lt;&gt;100,
IF(AN18&lt;&gt;"",MATCH(AN18,INDIRECT("数出表_Excel!B"&amp;MATCH(AR15,数出表_Excel!$A:$A,0)-1&amp;":U"&amp;MATCH(AR15,数出表_Excel!$A:$A,0)-1&amp;""),0)+1,""),
IF(AN18&lt;&gt;"",
MATCH(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""),
INDIRECT("数出表_Excel!B"&amp;MATCH(AR15,数出表_Excel!$A:$A,0)-1&amp;":U"&amp;MATCH(AR15,数出表_Excel!$A:$A,0)-1&amp;""),0)+1,""))</f>
        <v>#VALUE!</v>
      </c>
      <c r="AN16" s="70" t="str">
        <f t="array" aca="1" ref="AN16" ca="1">IF(COUNTIF(AR15,"*合計*"),"",
IF(IFERROR(INDIRECT("数出表_Excel!" &amp;
CHAR(MATCH(TRUE,
ISNUMBER(--INDIRECT("数出表_Excel!B"&amp;MATCH(AR15,数出表_Excel!$A:$A,0)-1&amp;":U"&amp;MATCH(AR15,数出表_Excel!$A:$A,0)-1&amp;"")),0)+65) &amp; "3"),0)=0,"",
IFERROR(INDIRECT("数出表_Excel!" &amp;
CHAR(MATCH(TRUE,
ISNUMBER(--INDIRECT("数出表_Excel!B"&amp;MATCH(AR15,数出表_Excel!$A:$A,0)-1&amp;":U"&amp;MATCH(AR15,数出表_Excel!$A:$A,0)-1&amp;"")),0)+65) &amp; "3"),"")))</f>
        <v/>
      </c>
      <c r="AO16" s="129"/>
      <c r="AP16" s="136" t="str">
        <f ca="1">IF(AQ16&lt;&gt;"","",
IF(AN15&lt;&gt;"",
IFERROR(
INDEX('数出表_Excel（アレルギー入力）'!$4:$4,
 1,
MATCH(AN18,INDIRECT("'数出表_Excel（アレルギー入力）'!"&amp;AM15-1&amp;":"&amp;AM15-1&amp;""),0)),
 "")
&amp;IFERROR(
INDEX('数出表_Excel（アレルギー入力）'!$5:$5,
 1,
MATCH(AN18,INDIRECT("'数出表_Excel（アレルギー入力）'!"&amp;AM15-1&amp;":"&amp;AM15-1&amp;""),0)),
 ""),""))</f>
        <v/>
      </c>
      <c r="AQ16" s="137" t="str">
        <f t="array" aca="1" ref="AQ16" ca="1">IF(AN16&lt;&gt;"",
IF(MATCH(TRUE,
ISNUMBER(--INDIRECT("数出表_Excel!B"&amp;MATCH(AR15,数出表_Excel!$A:$A,0)-1&amp;":U"&amp;MATCH(AR15,数出表_Excel!$A:$A,0)-1&amp;"")),0)&gt;10,
IF(AN16&lt;&gt;"",
IF(IF(COUNTIF('盛付札（関数）'!AN16,"*キャラ*"),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VLOOKUP('盛付札（関数）'!AN16,商品マスタ一覧!$D:$J,7,FALSE)))=0,"",
IF(ROUND(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VLOOKUP('盛付札（関数）'!AN16,商品マスタ一覧!$D:$J,7,FALSE))),0)&lt;=0,1,
ROUND(
IF(AQ21&lt;&gt;"",(AN18-AQ21),AN18)
/IF(COUNTIF('盛付札（関数）'!AN16,"*キャラ*"),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VLOOKUP('盛付札（関数）'!AN16,商品マスタ一覧!$D:$J,7,FALSE))),0))),""),""),"")</f>
        <v/>
      </c>
      <c r="AR16" s="153" t="str">
        <f ca="1">IF(AQ16&lt;&gt;"",IF(VALUE(IF(AQ21&lt;&gt;"",AN18-AQ21,AN18))&gt;VALUE(IF(COUNTIF('盛付札（関数）'!AN16,"*キャラ*"),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
"+"&amp;IF(AQ21&lt;&gt;"",AN18-AQ21,AN18)-IF(COUNTIF('盛付札（関数）'!AN16,"*キャラ*"),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VLOOKUP('盛付札（関数）'!AN16,商品マスタ一覧!$D:$J,7,FALSE)))*AQ16,
IF(AQ21&lt;&gt;"",AN18-AQ21,AN18)-IF(COUNTIF('盛付札（関数）'!AN16,"*キャラ*"),
VLOOKUP("*キャラ*",商品マスタ一覧!$D:$J,7,FALSE),
IF(COUNTIF('盛付札（関数）'!AN16,"*赤*"),
VLOOKUP("*赤*",商品マスタ一覧!$D:$J,7,FALSE),
VLOOKUP('盛付札（関数）'!AN16,商品マスタ一覧!$D:$J,7,FALSE)))*AQ16),"")</f>
        <v/>
      </c>
      <c r="AS16" s="129"/>
      <c r="AT16" s="129"/>
      <c r="AU16" s="135" t="e">
        <f t="array" aca="1" ref="AU16" ca="1">IF(AU17&lt;&gt;100,
IF(AV18&lt;&gt;"",MATCH(AV18,INDIRECT("数出表_Excel!B"&amp;MATCH(AZ15,数出表_Excel!$A:$A,0)-1&amp;":U"&amp;MATCH(AZ15,数出表_Excel!$A:$A,0)-1&amp;""),0)+1,""),
IF(AV18&lt;&gt;"",
MATCH(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""),
INDIRECT("数出表_Excel!B"&amp;MATCH(AZ15,数出表_Excel!$A:$A,0)-1&amp;":U"&amp;MATCH(AZ15,数出表_Excel!$A:$A,0)-1&amp;""),0)+1,""))</f>
        <v>#VALUE!</v>
      </c>
      <c r="AV16" s="70" t="str">
        <f t="array" aca="1" ref="AV16" ca="1">IF(COUNTIF(AZ15,"*合計*"),"",
IF(IFERROR(INDIRECT("数出表_Excel!" &amp;
CHAR(MATCH(TRUE,
ISNUMBER(--INDIRECT("数出表_Excel!B"&amp;MATCH(AZ15,数出表_Excel!$A:$A,0)-1&amp;":U"&amp;MATCH(AZ15,数出表_Excel!$A:$A,0)-1&amp;"")),0)+65) &amp; "3"),0)=0,"",
IFERROR(INDIRECT("数出表_Excel!" &amp;
CHAR(MATCH(TRUE,
ISNUMBER(--INDIRECT("数出表_Excel!B"&amp;MATCH(AZ15,数出表_Excel!$A:$A,0)-1&amp;":U"&amp;MATCH(AZ15,数出表_Excel!$A:$A,0)-1&amp;"")),0)+65) &amp; "3"),"")))</f>
        <v/>
      </c>
      <c r="AW16" s="129"/>
      <c r="AX16" s="136" t="str">
        <f ca="1">IF(AY16&lt;&gt;"","",
IF(AV15&lt;&gt;"",
IFERROR(
INDEX('数出表_Excel（アレルギー入力）'!$4:$4,
 1,
MATCH(AV18,INDIRECT("'数出表_Excel（アレルギー入力）'!"&amp;AU15-1&amp;":"&amp;AU15-1&amp;""),0)),
 "")
&amp;IFERROR(
INDEX('数出表_Excel（アレルギー入力）'!$5:$5,
 1,
MATCH(AV18,INDIRECT("'数出表_Excel（アレルギー入力）'!"&amp;AU15-1&amp;":"&amp;AU15-1&amp;""),0)),
 ""),""))</f>
        <v/>
      </c>
      <c r="AY16" s="137" t="str">
        <f t="array" aca="1" ref="AY16" ca="1">IF(AV16&lt;&gt;"",
IF(MATCH(TRUE,
ISNUMBER(--INDIRECT("数出表_Excel!B"&amp;MATCH(AZ15,数出表_Excel!$A:$A,0)-1&amp;":U"&amp;MATCH(AZ15,数出表_Excel!$A:$A,0)-1&amp;"")),0)&gt;10,
IF(AV16&lt;&gt;"",
IF(IF(COUNTIF('盛付札（関数）'!AV16,"*キャラ*"),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VLOOKUP('盛付札（関数）'!AV16,商品マスタ一覧!$D:$J,7,FALSE)))=0,"",
IF(ROUND(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VLOOKUP('盛付札（関数）'!AV16,商品マスタ一覧!$D:$J,7,FALSE))),0)&lt;=0,1,
ROUND(
IF(AY21&lt;&gt;"",(AV18-AY21),AV18)
/IF(COUNTIF('盛付札（関数）'!AV16,"*キャラ*"),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VLOOKUP('盛付札（関数）'!AV16,商品マスタ一覧!$D:$J,7,FALSE))),0))),""),""),"")</f>
        <v/>
      </c>
      <c r="AZ16" s="153" t="str">
        <f ca="1">IF(AY16&lt;&gt;"",IF(VALUE(IF(AY21&lt;&gt;"",AV18-AY21,AV18))&gt;VALUE(IF(COUNTIF('盛付札（関数）'!AV16,"*キャラ*"),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
"+"&amp;IF(AY21&lt;&gt;"",AV18-AY21,AV18)-IF(COUNTIF('盛付札（関数）'!AV16,"*キャラ*"),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VLOOKUP('盛付札（関数）'!AV16,商品マスタ一覧!$D:$J,7,FALSE)))*AY16,
IF(AY21&lt;&gt;"",AV18-AY21,AV18)-IF(COUNTIF('盛付札（関数）'!AV16,"*キャラ*"),
VLOOKUP("*キャラ*",商品マスタ一覧!$D:$J,7,FALSE),
IF(COUNTIF('盛付札（関数）'!AV16,"*赤*"),
VLOOKUP("*赤*",商品マスタ一覧!$D:$J,7,FALSE),
VLOOKUP('盛付札（関数）'!AV16,商品マスタ一覧!$D:$J,7,FALSE)))*AY16),"")</f>
        <v/>
      </c>
      <c r="BA16" s="129"/>
      <c r="BB16" s="135" t="e">
        <f t="array" aca="1" ref="BB16" ca="1">IF(BB17&lt;&gt;100,
IF(BC18&lt;&gt;"",MATCH(BC18,INDIRECT("数出表_Excel!B"&amp;MATCH(BG15,数出表_Excel!$A:$A,0)-1&amp;":U"&amp;MATCH(BG15,数出表_Excel!$A:$A,0)-1&amp;""),0)+1,""),
IF(BC18&lt;&gt;"",
MATCH(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""),
INDIRECT("数出表_Excel!B"&amp;MATCH(BG15,数出表_Excel!$A:$A,0)-1&amp;":U"&amp;MATCH(BG15,数出表_Excel!$A:$A,0)-1&amp;""),0)+1,""))</f>
        <v>#VALUE!</v>
      </c>
      <c r="BC16" s="70" t="str">
        <f t="array" aca="1" ref="BC16" ca="1">IF(COUNTIF(BG15,"*合計*"),"",
IF(IFERROR(INDIRECT("数出表_Excel!" &amp;
CHAR(MATCH(TRUE,
ISNUMBER(--INDIRECT("数出表_Excel!B"&amp;MATCH(BG15,数出表_Excel!$A:$A,0)-1&amp;":U"&amp;MATCH(BG15,数出表_Excel!$A:$A,0)-1&amp;"")),0)+65) &amp; "3"),0)=0,"",
IFERROR(INDIRECT("数出表_Excel!" &amp;
CHAR(MATCH(TRUE,
ISNUMBER(--INDIRECT("数出表_Excel!B"&amp;MATCH(BG15,数出表_Excel!$A:$A,0)-1&amp;":U"&amp;MATCH(BG15,数出表_Excel!$A:$A,0)-1&amp;"")),0)+65) &amp; "3"),"")))</f>
        <v/>
      </c>
      <c r="BD16" s="129"/>
      <c r="BE16" s="136" t="str">
        <f ca="1">IF(BF16&lt;&gt;"","",
IF(BC15&lt;&gt;"",
IFERROR(
INDEX('数出表_Excel（アレルギー入力）'!$4:$4,
 1,
MATCH(BC18,INDIRECT("'数出表_Excel（アレルギー入力）'!"&amp;BB15-1&amp;":"&amp;BB15-1&amp;""),0)),
 "")
&amp;IFERROR(
INDEX('数出表_Excel（アレルギー入力）'!$5:$5,
 1,
MATCH(BC18,INDIRECT("'数出表_Excel（アレルギー入力）'!"&amp;BB15-1&amp;":"&amp;BB15-1&amp;""),0)),
 ""),""))</f>
        <v/>
      </c>
      <c r="BF16" s="137" t="str">
        <f t="array" aca="1" ref="BF16" ca="1">IF(BC16&lt;&gt;"",
IF(MATCH(TRUE,
ISNUMBER(--INDIRECT("数出表_Excel!B"&amp;MATCH(BG15,数出表_Excel!$A:$A,0)-1&amp;":U"&amp;MATCH(BG15,数出表_Excel!$A:$A,0)-1&amp;"")),0)&gt;10,
IF(BC16&lt;&gt;"",
IF(IF(COUNTIF('盛付札（関数）'!BC16,"*キャラ*"),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VLOOKUP('盛付札（関数）'!BC16,商品マスタ一覧!$D:$J,7,FALSE)))=0,"",
IF(ROUND(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VLOOKUP('盛付札（関数）'!BC16,商品マスタ一覧!$D:$J,7,FALSE))),0)&lt;=0,1,
ROUND(
IF(BF21&lt;&gt;"",(BC18-BF21),BC18)
/IF(COUNTIF('盛付札（関数）'!BC16,"*キャラ*"),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VLOOKUP('盛付札（関数）'!BC16,商品マスタ一覧!$D:$J,7,FALSE))),0))),""),""),"")</f>
        <v/>
      </c>
      <c r="BG16" s="153" t="str">
        <f ca="1">IF(BF16&lt;&gt;"",IF(VALUE(IF(BF21&lt;&gt;"",BC18-BF21,BC18))&gt;VALUE(IF(COUNTIF('盛付札（関数）'!BC16,"*キャラ*"),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
"+"&amp;IF(BF21&lt;&gt;"",BC18-BF21,BC18)-IF(COUNTIF('盛付札（関数）'!BC16,"*キャラ*"),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VLOOKUP('盛付札（関数）'!BC16,商品マスタ一覧!$D:$J,7,FALSE)))*BF16,
IF(BF21&lt;&gt;"",BC18-BF21,BC18)-IF(COUNTIF('盛付札（関数）'!BC16,"*キャラ*"),
VLOOKUP("*キャラ*",商品マスタ一覧!$D:$J,7,FALSE),
IF(COUNTIF('盛付札（関数）'!BC16,"*赤*"),
VLOOKUP("*赤*",商品マスタ一覧!$D:$J,7,FALSE),
VLOOKUP('盛付札（関数）'!BC16,商品マスタ一覧!$D:$J,7,FALSE)))*BF16),"")</f>
        <v/>
      </c>
      <c r="BH16" s="129"/>
      <c r="BI16" s="129"/>
      <c r="BJ16" s="135" t="e">
        <f t="array" aca="1" ref="BJ16" ca="1">IF(BJ17&lt;&gt;100,
IF(BK18&lt;&gt;"",MATCH(BK18,INDIRECT("数出表_Excel!B"&amp;MATCH(BO15,数出表_Excel!$A:$A,0)-1&amp;":U"&amp;MATCH(BO15,数出表_Excel!$A:$A,0)-1&amp;""),0)+1,""),
IF(BK18&lt;&gt;"",
MATCH(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""),
INDIRECT("数出表_Excel!B"&amp;MATCH(BO15,数出表_Excel!$A:$A,0)-1&amp;":U"&amp;MATCH(BO15,数出表_Excel!$A:$A,0)-1&amp;""),0)+1,""))</f>
        <v>#VALUE!</v>
      </c>
      <c r="BK16" s="70" t="str">
        <f t="array" aca="1" ref="BK16" ca="1">IF(COUNTIF(BO15,"*合計*"),"",
IF(IFERROR(INDIRECT("数出表_Excel!" &amp;
CHAR(MATCH(TRUE,
ISNUMBER(--INDIRECT("数出表_Excel!B"&amp;MATCH(BO15,数出表_Excel!$A:$A,0)-1&amp;":U"&amp;MATCH(BO15,数出表_Excel!$A:$A,0)-1&amp;"")),0)+65) &amp; "3"),0)=0,"",
IFERROR(INDIRECT("数出表_Excel!" &amp;
CHAR(MATCH(TRUE,
ISNUMBER(--INDIRECT("数出表_Excel!B"&amp;MATCH(BO15,数出表_Excel!$A:$A,0)-1&amp;":U"&amp;MATCH(BO15,数出表_Excel!$A:$A,0)-1&amp;"")),0)+65) &amp; "3"),"")))</f>
        <v/>
      </c>
      <c r="BL16" s="129"/>
      <c r="BM16" s="136" t="str">
        <f ca="1">IF(BN16&lt;&gt;"","",
IF(BK15&lt;&gt;"",
IFERROR(
INDEX('数出表_Excel（アレルギー入力）'!$4:$4,
 1,
MATCH(BK18,INDIRECT("'数出表_Excel（アレルギー入力）'!"&amp;BJ15-1&amp;":"&amp;BJ15-1&amp;""),0)),
 "")
&amp;IFERROR(
INDEX('数出表_Excel（アレルギー入力）'!$5:$5,
 1,
MATCH(BK18,INDIRECT("'数出表_Excel（アレルギー入力）'!"&amp;BJ15-1&amp;":"&amp;BJ15-1&amp;""),0)),
 ""),""))</f>
        <v/>
      </c>
      <c r="BN16" s="137" t="str">
        <f t="array" aca="1" ref="BN16" ca="1">IF(BK16&lt;&gt;"",
IF(MATCH(TRUE,
ISNUMBER(--INDIRECT("数出表_Excel!B"&amp;MATCH(BO15,数出表_Excel!$A:$A,0)-1&amp;":U"&amp;MATCH(BO15,数出表_Excel!$A:$A,0)-1&amp;"")),0)&gt;10,
IF(BK16&lt;&gt;"",
IF(IF(COUNTIF('盛付札（関数）'!BK16,"*キャラ*"),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VLOOKUP('盛付札（関数）'!BK16,商品マスタ一覧!$D:$J,7,FALSE)))=0,"",
IF(ROUND(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VLOOKUP('盛付札（関数）'!BK16,商品マスタ一覧!$D:$J,7,FALSE))),0)&lt;=0,1,
ROUND(
IF(BN21&lt;&gt;"",(BK18-BN21),BK18)
/IF(COUNTIF('盛付札（関数）'!BK16,"*キャラ*"),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VLOOKUP('盛付札（関数）'!BK16,商品マスタ一覧!$D:$J,7,FALSE))),0))),""),""),"")</f>
        <v/>
      </c>
      <c r="BO16" s="153" t="str">
        <f ca="1">IF(BN16&lt;&gt;"",IF(VALUE(IF(BN21&lt;&gt;"",BK18-BN21,BK18))&gt;VALUE(IF(COUNTIF('盛付札（関数）'!BK16,"*キャラ*"),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
"+"&amp;IF(BN21&lt;&gt;"",BK18-BN21,BK18)-IF(COUNTIF('盛付札（関数）'!BK16,"*キャラ*"),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VLOOKUP('盛付札（関数）'!BK16,商品マスタ一覧!$D:$J,7,FALSE)))*BN16,
IF(BN21&lt;&gt;"",BK18-BN21,BK18)-IF(COUNTIF('盛付札（関数）'!BK16,"*キャラ*"),
VLOOKUP("*キャラ*",商品マスタ一覧!$D:$J,7,FALSE),
IF(COUNTIF('盛付札（関数）'!BK16,"*赤*"),
VLOOKUP("*赤*",商品マスタ一覧!$D:$J,7,FALSE),
VLOOKUP('盛付札（関数）'!BK16,商品マスタ一覧!$D:$J,7,FALSE)))*BN16),"")</f>
        <v/>
      </c>
      <c r="BP16" s="129"/>
      <c r="BQ16" s="135" t="e">
        <f t="array" aca="1" ref="BQ16" ca="1">IF(BQ17&lt;&gt;100,
IF(BR18&lt;&gt;"",MATCH(BR18,INDIRECT("数出表_Excel!B"&amp;MATCH(BV15,数出表_Excel!$A:$A,0)-1&amp;":U"&amp;MATCH(BV15,数出表_Excel!$A:$A,0)-1&amp;""),0)+1,""),
IF(BR18&lt;&gt;"",
MATCH(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""),
INDIRECT("数出表_Excel!B"&amp;MATCH(BV15,数出表_Excel!$A:$A,0)-1&amp;":U"&amp;MATCH(BV15,数出表_Excel!$A:$A,0)-1&amp;""),0)+1,""))</f>
        <v>#VALUE!</v>
      </c>
      <c r="BR16" s="70" t="str">
        <f t="array" aca="1" ref="BR16" ca="1">IF(COUNTIF(BV15,"*合計*"),"",
IF(IFERROR(INDIRECT("数出表_Excel!" &amp;
CHAR(MATCH(TRUE,
ISNUMBER(--INDIRECT("数出表_Excel!B"&amp;MATCH(BV15,数出表_Excel!$A:$A,0)-1&amp;":U"&amp;MATCH(BV15,数出表_Excel!$A:$A,0)-1&amp;"")),0)+65) &amp; "3"),0)=0,"",
IFERROR(INDIRECT("数出表_Excel!" &amp;
CHAR(MATCH(TRUE,
ISNUMBER(--INDIRECT("数出表_Excel!B"&amp;MATCH(BV15,数出表_Excel!$A:$A,0)-1&amp;":U"&amp;MATCH(BV15,数出表_Excel!$A:$A,0)-1&amp;"")),0)+65) &amp; "3"),"")))</f>
        <v/>
      </c>
      <c r="BS16" s="129"/>
      <c r="BT16" s="136" t="str">
        <f ca="1">IF(BU16&lt;&gt;"","",
IF(BR15&lt;&gt;"",
IFERROR(
INDEX('数出表_Excel（アレルギー入力）'!$4:$4,
 1,
MATCH(BR18,INDIRECT("'数出表_Excel（アレルギー入力）'!"&amp;BQ15-1&amp;":"&amp;BQ15-1&amp;""),0)),
 "")
&amp;IFERROR(
INDEX('数出表_Excel（アレルギー入力）'!$5:$5,
 1,
MATCH(BR18,INDIRECT("'数出表_Excel（アレルギー入力）'!"&amp;BQ15-1&amp;":"&amp;BQ15-1&amp;""),0)),
 ""),""))</f>
        <v/>
      </c>
      <c r="BU16" s="137" t="str">
        <f t="array" aca="1" ref="BU16" ca="1">IF(BR16&lt;&gt;"",
IF(MATCH(TRUE,
ISNUMBER(--INDIRECT("数出表_Excel!B"&amp;MATCH(BV15,数出表_Excel!$A:$A,0)-1&amp;":U"&amp;MATCH(BV15,数出表_Excel!$A:$A,0)-1&amp;"")),0)&gt;10,
IF(BR16&lt;&gt;"",
IF(IF(COUNTIF('盛付札（関数）'!BR16,"*キャラ*"),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VLOOKUP('盛付札（関数）'!BR16,商品マスタ一覧!$D:$J,7,FALSE)))=0,"",
IF(ROUND(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VLOOKUP('盛付札（関数）'!BR16,商品マスタ一覧!$D:$J,7,FALSE))),0)&lt;=0,1,
ROUND(
IF(BU21&lt;&gt;"",(BR18-BU21),BR18)
/IF(COUNTIF('盛付札（関数）'!BR16,"*キャラ*"),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VLOOKUP('盛付札（関数）'!BR16,商品マスタ一覧!$D:$J,7,FALSE))),0))),""),""),"")</f>
        <v/>
      </c>
      <c r="BV16" s="153" t="str">
        <f ca="1">IF(BU16&lt;&gt;"",IF(VALUE(IF(BU21&lt;&gt;"",BR18-BU21,BR18))&gt;VALUE(IF(COUNTIF('盛付札（関数）'!BR16,"*キャラ*"),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
"+"&amp;IF(BU21&lt;&gt;"",BR18-BU21,BR18)-IF(COUNTIF('盛付札（関数）'!BR16,"*キャラ*"),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VLOOKUP('盛付札（関数）'!BR16,商品マスタ一覧!$D:$J,7,FALSE)))*BU16,
IF(BU21&lt;&gt;"",BR18-BU21,BR18)-IF(COUNTIF('盛付札（関数）'!BR16,"*キャラ*"),
VLOOKUP("*キャラ*",商品マスタ一覧!$D:$J,7,FALSE),
IF(COUNTIF('盛付札（関数）'!BR16,"*赤*"),
VLOOKUP("*赤*",商品マスタ一覧!$D:$J,7,FALSE),
VLOOKUP('盛付札（関数）'!BR16,商品マスタ一覧!$D:$J,7,FALSE)))*BU16),"")</f>
        <v/>
      </c>
      <c r="BW16" s="129"/>
      <c r="BX16" s="132">
        <f t="shared" si="1"/>
        <v>63</v>
      </c>
      <c r="BY16" s="132" t="str">
        <f t="array" aca="1" ref="BY16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LEN(SUBSTITUTE(_xlfn.FORMULATEXT(BY$3),"=","")))+$BX16)</f>
        <v/>
      </c>
      <c r="BZ16" s="132" t="str">
        <f t="array" aca="1" ref="BZ16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LEN(SUBSTITUTE(_xlfn.FORMULATEXT(BZ$3),"=","")))+$BX16)</f>
        <v/>
      </c>
      <c r="CA16" s="132" t="str">
        <f t="array" aca="1" ref="CA16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LEN(SUBSTITUTE(_xlfn.FORMULATEXT(CA$3),"=","")))+$BX16)</f>
        <v/>
      </c>
      <c r="CB16" s="132" t="str">
        <f t="array" aca="1" ref="CB16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LEN(SUBSTITUTE(_xlfn.FORMULATEXT(CB$3),"=","")))+$BX16)</f>
        <v/>
      </c>
      <c r="CC16" s="132" t="str">
        <f t="array" aca="1" ref="CC16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LEN(SUBSTITUTE(_xlfn.FORMULATEXT(CC$3),"=","")))+$BX16)</f>
        <v/>
      </c>
      <c r="CD16" s="132" t="str">
        <f t="array" aca="1" ref="CD16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LEN(SUBSTITUTE(_xlfn.FORMULATEXT(CD$3),"=","")))+$BX16)</f>
        <v/>
      </c>
      <c r="CE16" s="132" t="str">
        <f t="array" aca="1" ref="CE16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LEN(SUBSTITUTE(_xlfn.FORMULATEXT(CE$3),"=","")))+$BX16)</f>
        <v/>
      </c>
      <c r="CF16" s="132" t="str">
        <f t="array" aca="1" ref="CF16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LEN(SUBSTITUTE(_xlfn.FORMULATEXT(CF$3),"=","")))+$BX16)</f>
        <v/>
      </c>
      <c r="CG16" s="132" t="str">
        <f t="array" aca="1" ref="CG16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LEN(SUBSTITUTE(_xlfn.FORMULATEXT(CG$3),"=","")))+$BX16)</f>
        <v/>
      </c>
      <c r="CH16" s="132" t="str">
        <f t="array" aca="1" ref="CH16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LEN(SUBSTITUTE(_xlfn.FORMULATEXT(CH$3),"=","")))+$BX16)</f>
        <v/>
      </c>
      <c r="CI16" s="132">
        <f t="shared" ca="1" si="0"/>
        <v>0</v>
      </c>
      <c r="CJ16" s="132" t="b">
        <f t="array" aca="1" ref="CJ16" ca="1">SUMPRODUCT((LEN(BY16:CH16)&gt;0)*1)&gt;0</f>
        <v>0</v>
      </c>
      <c r="CK16" s="132" t="str" cm="1">
        <f t="array" aca="1" ref="CK16" ca="1">IFERROR(SMALL(IF(CI$1:CI$150&lt;&gt;0,CI$1:CI$150),ROW(A16)),"")</f>
        <v/>
      </c>
      <c r="CL16" s="132" t="str">
        <f t="array" aca="1" ref="CL16" ca="1">IF($CK16&lt;&gt;"",
INDIRECT(""&amp;IF(COLUMN(BY16)&lt;=26,CHAR(COLUMN(BY16)+64),CHAR(INT((COLUMN(BY16)-1)/26)+64)&amp;CHAR(MOD(COLUMN(BY16)-1,26)+65))&amp;$CK16&amp;""),"")</f>
        <v/>
      </c>
      <c r="CM16" s="132" t="str">
        <f t="array" aca="1" ref="CM16" ca="1">IF($CK16&lt;&gt;"",
INDIRECT(""&amp;IF(COLUMN(BZ16)&lt;=26,CHAR(COLUMN(BZ16)+64),CHAR(INT((COLUMN(BZ16)-1)/26)+64)&amp;CHAR(MOD(COLUMN(BZ16)-1,26)+65))&amp;$CK16&amp;""),"")</f>
        <v/>
      </c>
      <c r="CN16" s="132" t="str">
        <f t="array" aca="1" ref="CN16" ca="1">IF($CK16&lt;&gt;"",
INDIRECT(""&amp;IF(COLUMN(CA16)&lt;=26,CHAR(COLUMN(CA16)+64),CHAR(INT((COLUMN(CA16)-1)/26)+64)&amp;CHAR(MOD(COLUMN(CA16)-1,26)+65))&amp;$CK16&amp;""),"")</f>
        <v/>
      </c>
      <c r="CO16" s="132" t="str">
        <f t="array" aca="1" ref="CO16" ca="1">IF($CK16&lt;&gt;"",
INDIRECT(""&amp;IF(COLUMN(CB16)&lt;=26,CHAR(COLUMN(CB16)+64),CHAR(INT((COLUMN(CB16)-1)/26)+64)&amp;CHAR(MOD(COLUMN(CB16)-1,26)+65))&amp;$CK16&amp;""),"")</f>
        <v/>
      </c>
      <c r="CP16" s="132" t="str">
        <f t="array" aca="1" ref="CP16" ca="1">IF($CK16&lt;&gt;"",
INDIRECT(""&amp;IF(COLUMN(CC16)&lt;=26,CHAR(COLUMN(CC16)+64),CHAR(INT((COLUMN(CC16)-1)/26)+64)&amp;CHAR(MOD(COLUMN(CC16)-1,26)+65))&amp;$CK16&amp;""),"")</f>
        <v/>
      </c>
      <c r="CQ16" s="132" t="str">
        <f t="array" aca="1" ref="CQ16" ca="1">IF($CK16&lt;&gt;"",
INDIRECT(""&amp;IF(COLUMN(CD16)&lt;=26,CHAR(COLUMN(CD16)+64),CHAR(INT((COLUMN(CD16)-1)/26)+64)&amp;CHAR(MOD(COLUMN(CD16)-1,26)+65))&amp;$CK16&amp;""),"")</f>
        <v/>
      </c>
      <c r="CR16" s="132" t="str">
        <f t="array" aca="1" ref="CR16" ca="1">IF($CK16&lt;&gt;"",
INDIRECT(""&amp;IF(COLUMN(CE16)&lt;=26,CHAR(COLUMN(CE16)+64),CHAR(INT((COLUMN(CE16)-1)/26)+64)&amp;CHAR(MOD(COLUMN(CE16)-1,26)+65))&amp;$CK16&amp;""),"")</f>
        <v/>
      </c>
      <c r="CS16" s="132" t="str">
        <f t="array" aca="1" ref="CS16" ca="1">IF($CK16&lt;&gt;"",
INDIRECT(""&amp;IF(COLUMN(CF16)&lt;=26,CHAR(COLUMN(CF16)+64),CHAR(INT((COLUMN(CF16)-1)/26)+64)&amp;CHAR(MOD(COLUMN(CF16)-1,26)+65))&amp;$CK16&amp;""),"")</f>
        <v/>
      </c>
      <c r="CT16" s="132" t="str">
        <f t="array" aca="1" ref="CT16" ca="1">IF($CK16&lt;&gt;"",
INDIRECT(""&amp;IF(COLUMN(CG16)&lt;=26,CHAR(COLUMN(CG16)+64),CHAR(INT((COLUMN(CG16)-1)/26)+64)&amp;CHAR(MOD(COLUMN(CG16)-1,26)+65))&amp;$CK16&amp;""),"")</f>
        <v/>
      </c>
      <c r="CU16" s="132" t="str">
        <f t="array" aca="1" ref="CU16" ca="1">IF($CK16&lt;&gt;"",
INDIRECT(""&amp;IF(COLUMN(CH16)&lt;=26,CHAR(COLUMN(CH16)+64),CHAR(INT((COLUMN(CH16)-1)/26)+64)&amp;CHAR(MOD(COLUMN(CH16)-1,26)+65))&amp;$CK16&amp;""),"")</f>
        <v/>
      </c>
    </row>
    <row r="17" spans="1:99" s="132" customFormat="1" ht="22.2" customHeight="1" x14ac:dyDescent="0.55000000000000004">
      <c r="A17" s="129"/>
      <c r="B17" s="138" t="e">
        <f t="array" aca="1" ref="B17" ca="1">IF(AND(LEFT(G15,2)="博多",
LEFT(INDIRECT("数出表_Excel!A"&amp;MATCH(G15,数出表_Excel!$A:$A,0)-1),2)
=LEFT(INDIRECT("数出表_Excel!A"&amp;MATCH(G15,数出表_Excel!$A:$A,0)+1),2)),100,
IF(AND(LEFT(G15,3)="奈良屋",
LEFT(INDIRECT("数出表_Excel!A"&amp;MATCH(G15,数出表_Excel!$A:$A,0)-1),2)
=LEFT(INDIRECT("数出表_Excel!A"&amp;MATCH(G15,数出表_Excel!$A:$A,0)+1),2)),200,""))</f>
        <v>#VALUE!</v>
      </c>
      <c r="C17" s="139" t="str">
        <f ca="1">IF(C16&lt;&gt;"",
"園児","")</f>
        <v/>
      </c>
      <c r="D17" s="140"/>
      <c r="E17" s="141" t="str">
        <f ca="1">IF(C16&lt;&gt;"",
"先生","")</f>
        <v/>
      </c>
      <c r="F17" s="140"/>
      <c r="G17" s="159"/>
      <c r="H17" s="129"/>
      <c r="I17" s="138" t="e">
        <f t="array" aca="1" ref="I17" ca="1">IF(AND(LEFT(N15,2)="博多",
LEFT(INDIRECT("数出表_Excel!A"&amp;MATCH(N15,数出表_Excel!$A:$A,0)-1),2)
=LEFT(INDIRECT("数出表_Excel!A"&amp;MATCH(N15,数出表_Excel!$A:$A,0)+1),2)),100,
IF(AND(LEFT(N15,3)="奈良屋",
LEFT(INDIRECT("数出表_Excel!A"&amp;MATCH(N15,数出表_Excel!$A:$A,0)-1),2)
=LEFT(INDIRECT("数出表_Excel!A"&amp;MATCH(N15,数出表_Excel!$A:$A,0)+1),2)),200,""))</f>
        <v>#VALUE!</v>
      </c>
      <c r="J17" s="139" t="str">
        <f ca="1">IF(J16&lt;&gt;"",
"園児","")</f>
        <v/>
      </c>
      <c r="K17" s="140"/>
      <c r="L17" s="141" t="str">
        <f ca="1">IF(J16&lt;&gt;"",
"先生","")</f>
        <v/>
      </c>
      <c r="M17" s="140"/>
      <c r="N17" s="154"/>
      <c r="O17" s="129"/>
      <c r="P17" s="129"/>
      <c r="Q17" s="138" t="e">
        <f t="array" aca="1" ref="Q17" ca="1">IF(AND(LEFT(V15,2)="博多",
LEFT(INDIRECT("数出表_Excel!A"&amp;MATCH(V15,数出表_Excel!$A:$A,0)-1),2)
=LEFT(INDIRECT("数出表_Excel!A"&amp;MATCH(V15,数出表_Excel!$A:$A,0)+1),2)),100,
IF(AND(LEFT(V15,3)="奈良屋",
LEFT(INDIRECT("数出表_Excel!A"&amp;MATCH(V15,数出表_Excel!$A:$A,0)-1),2)
=LEFT(INDIRECT("数出表_Excel!A"&amp;MATCH(V15,数出表_Excel!$A:$A,0)+1),2)),200,""))</f>
        <v>#VALUE!</v>
      </c>
      <c r="R17" s="139" t="str">
        <f ca="1">IF(R16&lt;&gt;"",
"園児","")</f>
        <v/>
      </c>
      <c r="S17" s="140"/>
      <c r="T17" s="141" t="str">
        <f ca="1">IF(R16&lt;&gt;"",
"先生","")</f>
        <v/>
      </c>
      <c r="U17" s="140"/>
      <c r="V17" s="154"/>
      <c r="W17" s="129"/>
      <c r="X17" s="138" t="e">
        <f t="array" aca="1" ref="X17" ca="1">IF(AND(LEFT(AC15,2)="博多",
LEFT(INDIRECT("数出表_Excel!A"&amp;MATCH(AC15,数出表_Excel!$A:$A,0)-1),2)
=LEFT(INDIRECT("数出表_Excel!A"&amp;MATCH(AC15,数出表_Excel!$A:$A,0)+1),2)),100,
IF(AND(LEFT(AC15,3)="奈良屋",
LEFT(INDIRECT("数出表_Excel!A"&amp;MATCH(AC15,数出表_Excel!$A:$A,0)-1),2)
=LEFT(INDIRECT("数出表_Excel!A"&amp;MATCH(AC15,数出表_Excel!$A:$A,0)+1),2)),200,""))</f>
        <v>#VALUE!</v>
      </c>
      <c r="Y17" s="139" t="str">
        <f ca="1">IF(Y16&lt;&gt;"",
"園児","")</f>
        <v/>
      </c>
      <c r="Z17" s="140"/>
      <c r="AA17" s="141" t="str">
        <f ca="1">IF(Y16&lt;&gt;"",
"先生","")</f>
        <v/>
      </c>
      <c r="AB17" s="140"/>
      <c r="AC17" s="154"/>
      <c r="AD17" s="129"/>
      <c r="AE17" s="129"/>
      <c r="AF17" s="138" t="e">
        <f t="array" aca="1" ref="AF17" ca="1">IF(AND(LEFT(AK15,2)="博多",
LEFT(INDIRECT("数出表_Excel!A"&amp;MATCH(AK15,数出表_Excel!$A:$A,0)-1),2)
=LEFT(INDIRECT("数出表_Excel!A"&amp;MATCH(AK15,数出表_Excel!$A:$A,0)+1),2)),100,
IF(AND(LEFT(AK15,3)="奈良屋",
LEFT(INDIRECT("数出表_Excel!A"&amp;MATCH(AK15,数出表_Excel!$A:$A,0)-1),2)
=LEFT(INDIRECT("数出表_Excel!A"&amp;MATCH(AK15,数出表_Excel!$A:$A,0)+1),2)),200,""))</f>
        <v>#VALUE!</v>
      </c>
      <c r="AG17" s="139" t="str">
        <f ca="1">IF(AG16&lt;&gt;"",
"園児","")</f>
        <v/>
      </c>
      <c r="AH17" s="140"/>
      <c r="AI17" s="141" t="str">
        <f ca="1">IF(AG16&lt;&gt;"",
"先生","")</f>
        <v/>
      </c>
      <c r="AJ17" s="140"/>
      <c r="AK17" s="154"/>
      <c r="AL17" s="129"/>
      <c r="AM17" s="138" t="e">
        <f t="array" aca="1" ref="AM17" ca="1">IF(AND(LEFT(AR15,2)="博多",
LEFT(INDIRECT("数出表_Excel!A"&amp;MATCH(AR15,数出表_Excel!$A:$A,0)-1),2)
=LEFT(INDIRECT("数出表_Excel!A"&amp;MATCH(AR15,数出表_Excel!$A:$A,0)+1),2)),100,
IF(AND(LEFT(AR15,3)="奈良屋",
LEFT(INDIRECT("数出表_Excel!A"&amp;MATCH(AR15,数出表_Excel!$A:$A,0)-1),2)
=LEFT(INDIRECT("数出表_Excel!A"&amp;MATCH(AR15,数出表_Excel!$A:$A,0)+1),2)),200,""))</f>
        <v>#VALUE!</v>
      </c>
      <c r="AN17" s="139" t="str">
        <f ca="1">IF(AN16&lt;&gt;"",
"園児","")</f>
        <v/>
      </c>
      <c r="AO17" s="140"/>
      <c r="AP17" s="141" t="str">
        <f ca="1">IF(AN16&lt;&gt;"",
"先生","")</f>
        <v/>
      </c>
      <c r="AQ17" s="140"/>
      <c r="AR17" s="154"/>
      <c r="AS17" s="129"/>
      <c r="AT17" s="129"/>
      <c r="AU17" s="138" t="e">
        <f t="array" aca="1" ref="AU17" ca="1">IF(AND(LEFT(AZ15,2)="博多",
LEFT(INDIRECT("数出表_Excel!A"&amp;MATCH(AZ15,数出表_Excel!$A:$A,0)-1),2)
=LEFT(INDIRECT("数出表_Excel!A"&amp;MATCH(AZ15,数出表_Excel!$A:$A,0)+1),2)),100,
IF(AND(LEFT(AZ15,3)="奈良屋",
LEFT(INDIRECT("数出表_Excel!A"&amp;MATCH(AZ15,数出表_Excel!$A:$A,0)-1),2)
=LEFT(INDIRECT("数出表_Excel!A"&amp;MATCH(AZ15,数出表_Excel!$A:$A,0)+1),2)),200,""))</f>
        <v>#VALUE!</v>
      </c>
      <c r="AV17" s="139" t="str">
        <f ca="1">IF(AV16&lt;&gt;"",
"園児","")</f>
        <v/>
      </c>
      <c r="AW17" s="140"/>
      <c r="AX17" s="141" t="str">
        <f ca="1">IF(AV16&lt;&gt;"",
"先生","")</f>
        <v/>
      </c>
      <c r="AY17" s="140"/>
      <c r="AZ17" s="154"/>
      <c r="BA17" s="129"/>
      <c r="BB17" s="138" t="e">
        <f t="array" aca="1" ref="BB17" ca="1">IF(AND(LEFT(BG15,2)="博多",
LEFT(INDIRECT("数出表_Excel!A"&amp;MATCH(BG15,数出表_Excel!$A:$A,0)-1),2)
=LEFT(INDIRECT("数出表_Excel!A"&amp;MATCH(BG15,数出表_Excel!$A:$A,0)+1),2)),100,
IF(AND(LEFT(BG15,3)="奈良屋",
LEFT(INDIRECT("数出表_Excel!A"&amp;MATCH(BG15,数出表_Excel!$A:$A,0)-1),2)
=LEFT(INDIRECT("数出表_Excel!A"&amp;MATCH(BG15,数出表_Excel!$A:$A,0)+1),2)),200,""))</f>
        <v>#VALUE!</v>
      </c>
      <c r="BC17" s="139" t="str">
        <f ca="1">IF(BC16&lt;&gt;"",
"園児","")</f>
        <v/>
      </c>
      <c r="BD17" s="140"/>
      <c r="BE17" s="141" t="str">
        <f ca="1">IF(BC16&lt;&gt;"",
"先生","")</f>
        <v/>
      </c>
      <c r="BF17" s="140"/>
      <c r="BG17" s="154"/>
      <c r="BH17" s="129"/>
      <c r="BI17" s="129"/>
      <c r="BJ17" s="138" t="e">
        <f t="array" aca="1" ref="BJ17" ca="1">IF(AND(LEFT(BO15,2)="博多",
LEFT(INDIRECT("数出表_Excel!A"&amp;MATCH(BO15,数出表_Excel!$A:$A,0)-1),2)
=LEFT(INDIRECT("数出表_Excel!A"&amp;MATCH(BO15,数出表_Excel!$A:$A,0)+1),2)),100,
IF(AND(LEFT(BO15,3)="奈良屋",
LEFT(INDIRECT("数出表_Excel!A"&amp;MATCH(BO15,数出表_Excel!$A:$A,0)-1),2)
=LEFT(INDIRECT("数出表_Excel!A"&amp;MATCH(BO15,数出表_Excel!$A:$A,0)+1),2)),200,""))</f>
        <v>#VALUE!</v>
      </c>
      <c r="BK17" s="139" t="str">
        <f ca="1">IF(BK16&lt;&gt;"",
"園児","")</f>
        <v/>
      </c>
      <c r="BL17" s="140"/>
      <c r="BM17" s="141" t="str">
        <f ca="1">IF(BK16&lt;&gt;"",
"先生","")</f>
        <v/>
      </c>
      <c r="BN17" s="140"/>
      <c r="BO17" s="154"/>
      <c r="BP17" s="129"/>
      <c r="BQ17" s="138" t="e">
        <f t="array" aca="1" ref="BQ17" ca="1">IF(AND(LEFT(BV15,2)="博多",
LEFT(INDIRECT("数出表_Excel!A"&amp;MATCH(BV15,数出表_Excel!$A:$A,0)-1),2)
=LEFT(INDIRECT("数出表_Excel!A"&amp;MATCH(BV15,数出表_Excel!$A:$A,0)+1),2)),100,
IF(AND(LEFT(BV15,3)="奈良屋",
LEFT(INDIRECT("数出表_Excel!A"&amp;MATCH(BV15,数出表_Excel!$A:$A,0)-1),2)
=LEFT(INDIRECT("数出表_Excel!A"&amp;MATCH(BV15,数出表_Excel!$A:$A,0)+1),2)),200,""))</f>
        <v>#VALUE!</v>
      </c>
      <c r="BR17" s="139" t="str">
        <f ca="1">IF(BR16&lt;&gt;"",
"園児","")</f>
        <v/>
      </c>
      <c r="BS17" s="140"/>
      <c r="BT17" s="141" t="str">
        <f ca="1">IF(BR16&lt;&gt;"",
"先生","")</f>
        <v/>
      </c>
      <c r="BU17" s="140"/>
      <c r="BV17" s="154"/>
      <c r="BW17" s="129"/>
      <c r="BX17" s="132">
        <f t="shared" si="1"/>
        <v>28</v>
      </c>
      <c r="BY17" s="132" t="str">
        <f t="array" aca="1" ref="BY17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LEN(SUBSTITUTE(_xlfn.FORMULATEXT(BY$1),"=","")))+$BX17)</f>
        <v/>
      </c>
      <c r="BZ17" s="132" t="str">
        <f t="array" aca="1" ref="BZ17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LEN(SUBSTITUTE(_xlfn.FORMULATEXT(BZ$1),"=","")))+$BX17)</f>
        <v/>
      </c>
      <c r="CA17" s="132" t="str">
        <f t="array" aca="1" ref="CA17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LEN(SUBSTITUTE(_xlfn.FORMULATEXT(CA$1),"=","")))+$BX17)</f>
        <v/>
      </c>
      <c r="CB17" s="132" t="str">
        <f t="array" aca="1" ref="CB17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LEN(SUBSTITUTE(_xlfn.FORMULATEXT(CB$1),"=","")))+$BX17)</f>
        <v/>
      </c>
      <c r="CC17" s="132" t="str">
        <f t="array" aca="1" ref="CC17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LEN(SUBSTITUTE(_xlfn.FORMULATEXT(CC$1),"=","")))+$BX17)</f>
        <v/>
      </c>
      <c r="CD17" s="132" t="str">
        <f t="array" aca="1" ref="CD17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LEN(SUBSTITUTE(_xlfn.FORMULATEXT(CD$1),"=","")))+$BX17)</f>
        <v/>
      </c>
      <c r="CE17" s="132" t="str">
        <f t="array" aca="1" ref="CE17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LEN(SUBSTITUTE(_xlfn.FORMULATEXT(CE$1),"=","")))+$BX17)</f>
        <v/>
      </c>
      <c r="CF17" s="132" t="str">
        <f t="array" aca="1" ref="CF17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LEN(SUBSTITUTE(_xlfn.FORMULATEXT(CF$1),"=","")))+$BX17)</f>
        <v/>
      </c>
      <c r="CG17" s="132" t="str">
        <f t="array" aca="1" ref="CG17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LEN(SUBSTITUTE(_xlfn.FORMULATEXT(CG$1),"=","")))+$BX17)</f>
        <v/>
      </c>
      <c r="CH17" s="132" t="str">
        <f t="array" aca="1" ref="CH17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LEN(SUBSTITUTE(_xlfn.FORMULATEXT(CH$1),"=","")))+$BX17)</f>
        <v/>
      </c>
      <c r="CI17" s="132">
        <f t="shared" ca="1" si="0"/>
        <v>0</v>
      </c>
      <c r="CJ17" s="132" t="b">
        <f t="array" aca="1" ref="CJ17" ca="1">SUMPRODUCT((LEN(BY17:CH17)&gt;0)*1)&gt;0</f>
        <v>0</v>
      </c>
      <c r="CK17" s="132" t="str" cm="1">
        <f t="array" aca="1" ref="CK17" ca="1">IFERROR(SMALL(IF(CI$1:CI$150&lt;&gt;0,CI$1:CI$150),ROW(A17)),"")</f>
        <v/>
      </c>
      <c r="CL17" s="132" t="str">
        <f t="array" aca="1" ref="CL17" ca="1">IF($CK17&lt;&gt;"",
INDIRECT(""&amp;IF(COLUMN(BY17)&lt;=26,CHAR(COLUMN(BY17)+64),CHAR(INT((COLUMN(BY17)-1)/26)+64)&amp;CHAR(MOD(COLUMN(BY17)-1,26)+65))&amp;$CK17&amp;""),"")</f>
        <v/>
      </c>
      <c r="CM17" s="132" t="str">
        <f t="array" aca="1" ref="CM17" ca="1">IF($CK17&lt;&gt;"",
INDIRECT(""&amp;IF(COLUMN(BZ17)&lt;=26,CHAR(COLUMN(BZ17)+64),CHAR(INT((COLUMN(BZ17)-1)/26)+64)&amp;CHAR(MOD(COLUMN(BZ17)-1,26)+65))&amp;$CK17&amp;""),"")</f>
        <v/>
      </c>
      <c r="CN17" s="132" t="str">
        <f t="array" aca="1" ref="CN17" ca="1">IF($CK17&lt;&gt;"",
INDIRECT(""&amp;IF(COLUMN(CA17)&lt;=26,CHAR(COLUMN(CA17)+64),CHAR(INT((COLUMN(CA17)-1)/26)+64)&amp;CHAR(MOD(COLUMN(CA17)-1,26)+65))&amp;$CK17&amp;""),"")</f>
        <v/>
      </c>
      <c r="CO17" s="132" t="str">
        <f t="array" aca="1" ref="CO17" ca="1">IF($CK17&lt;&gt;"",
INDIRECT(""&amp;IF(COLUMN(CB17)&lt;=26,CHAR(COLUMN(CB17)+64),CHAR(INT((COLUMN(CB17)-1)/26)+64)&amp;CHAR(MOD(COLUMN(CB17)-1,26)+65))&amp;$CK17&amp;""),"")</f>
        <v/>
      </c>
      <c r="CP17" s="132" t="str">
        <f t="array" aca="1" ref="CP17" ca="1">IF($CK17&lt;&gt;"",
INDIRECT(""&amp;IF(COLUMN(CC17)&lt;=26,CHAR(COLUMN(CC17)+64),CHAR(INT((COLUMN(CC17)-1)/26)+64)&amp;CHAR(MOD(COLUMN(CC17)-1,26)+65))&amp;$CK17&amp;""),"")</f>
        <v/>
      </c>
      <c r="CQ17" s="132" t="str">
        <f t="array" aca="1" ref="CQ17" ca="1">IF($CK17&lt;&gt;"",
INDIRECT(""&amp;IF(COLUMN(CD17)&lt;=26,CHAR(COLUMN(CD17)+64),CHAR(INT((COLUMN(CD17)-1)/26)+64)&amp;CHAR(MOD(COLUMN(CD17)-1,26)+65))&amp;$CK17&amp;""),"")</f>
        <v/>
      </c>
      <c r="CR17" s="132" t="str">
        <f t="array" aca="1" ref="CR17" ca="1">IF($CK17&lt;&gt;"",
INDIRECT(""&amp;IF(COLUMN(CE17)&lt;=26,CHAR(COLUMN(CE17)+64),CHAR(INT((COLUMN(CE17)-1)/26)+64)&amp;CHAR(MOD(COLUMN(CE17)-1,26)+65))&amp;$CK17&amp;""),"")</f>
        <v/>
      </c>
      <c r="CS17" s="132" t="str">
        <f t="array" aca="1" ref="CS17" ca="1">IF($CK17&lt;&gt;"",
INDIRECT(""&amp;IF(COLUMN(CF17)&lt;=26,CHAR(COLUMN(CF17)+64),CHAR(INT((COLUMN(CF17)-1)/26)+64)&amp;CHAR(MOD(COLUMN(CF17)-1,26)+65))&amp;$CK17&amp;""),"")</f>
        <v/>
      </c>
      <c r="CT17" s="132" t="str">
        <f t="array" aca="1" ref="CT17" ca="1">IF($CK17&lt;&gt;"",
INDIRECT(""&amp;IF(COLUMN(CG17)&lt;=26,CHAR(COLUMN(CG17)+64),CHAR(INT((COLUMN(CG17)-1)/26)+64)&amp;CHAR(MOD(COLUMN(CG17)-1,26)+65))&amp;$CK17&amp;""),"")</f>
        <v/>
      </c>
      <c r="CU17" s="132" t="str">
        <f t="array" aca="1" ref="CU17" ca="1">IF($CK17&lt;&gt;"",
INDIRECT(""&amp;IF(COLUMN(CH17)&lt;=26,CHAR(COLUMN(CH17)+64),CHAR(INT((COLUMN(CH17)-1)/26)+64)&amp;CHAR(MOD(COLUMN(CH17)-1,26)+65))&amp;$CK17&amp;""),"")</f>
        <v/>
      </c>
    </row>
    <row r="18" spans="1:99" ht="18" customHeight="1" x14ac:dyDescent="0.45">
      <c r="B18" s="143"/>
      <c r="C18" s="120" t="str">
        <f t="array" aca="1" ref="C18" ca="1">IF(C16&lt;&gt;"",
IF(IFERROR(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"")=0,"",
IF(B17=100,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IF(AND(B17=200,COUNTIF(数出表_Excel!$A:$A,"*奈良屋*")=2),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""),
IF(AND(B17=200,COUNTIF(数出表_Excel!$A:$A,"*奈良屋*")=3),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
+IFERROR(
INDEX(INDIRECT("数出表_Excel!B"&amp;MATCH(G15,数出表_Excel!$A:$A,0)-1+2&amp;":U"&amp;MATCH(G15,数出表_Excel!$A:$A,0)-1+2&amp;""),
 1,
 MATCH(TRUE, ISNUMBER(--INDIRECT("数出表_Excel!B"&amp;MATCH(G15,数出表_Excel!$A:$A,0)-1+2&amp;":U"&amp;MATCH(G15,数出表_Excel!$A:$A,0)-1+2&amp;"")), 0)),
 "")
+IFERROR(
INDEX(INDIRECT("数出表_Excel!B"&amp;MATCH(G15,数出表_Excel!$A:$A,0)-1+4&amp;":U"&amp;MATCH(G15,数出表_Excel!$A:$A,0)-1+4&amp;""),
 1,
 MATCH(TRUE, ISNUMBER(--INDIRECT("数出表_Excel!B"&amp;MATCH(G15,数出表_Excel!$A:$A,0)-1+4&amp;":U"&amp;MATCH(G15,数出表_Excel!$A:$A,0)-1+4&amp;"")), 0)),
 ""),
IFERROR(
INDEX(INDIRECT("数出表_Excel!B"&amp;MATCH(G15,数出表_Excel!$A:$A,0)-1&amp;":U"&amp;MATCH(G15,数出表_Excel!$A:$A,0)-1&amp;""),
 1,
 MATCH(TRUE, ISNUMBER(--INDIRECT("数出表_Excel!B"&amp;MATCH(G15,数出表_Excel!$A:$A,0)-1&amp;":U"&amp;MATCH(G15,数出表_Excel!$A:$A,0)-1&amp;"")), 0)),
 ""))))),"")</f>
        <v/>
      </c>
      <c r="D18" s="144"/>
      <c r="E18" s="145" t="str">
        <f t="array" aca="1" ref="E18" ca="1">IF(C16&lt;&gt;"",
IF(IFERROR(
INDEX(INDIRECT("数出表_Excel!B"&amp;MATCH(G15,数出表_Excel!$A:$A,0)&amp;":U"&amp;MATCH(G15,数出表_Excel!$A:$A,0)&amp;""),
 1,B16-1),
 "")=0,"",
IFERROR(
INDEX(INDIRECT("数出表_Excel!B"&amp;MATCH(G15,数出表_Excel!$A:$A,0)&amp;":U"&amp;MATCH(G15,数出表_Excel!$A:$A,0)&amp;""),
 1,B16-1),
 "")),"")</f>
        <v/>
      </c>
      <c r="F18" s="144"/>
      <c r="G18" s="159"/>
      <c r="I18" s="143"/>
      <c r="J18" s="120" t="str" cm="1">
        <f t="array" aca="1" ref="J18" ca="1">IF(J16&lt;&gt;"",
IF(IFERROR(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"")=0,"",
IF(I17=100,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IF(AND(I17=200,COUNTIF(数出表_Excel!$A:$A,"*奈良屋*")=2),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""),
IF(AND(I17=200,COUNTIF(数出表_Excel!$A:$A,"*奈良屋*")=3),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
+IFERROR(
INDEX(INDIRECT("数出表_Excel!B"&amp;MATCH(N15,数出表_Excel!$A:$A,0)-1+2&amp;":U"&amp;MATCH(N15,数出表_Excel!$A:$A,0)-1+2&amp;""),
 1,
 MATCH(TRUE, ISNUMBER(--INDIRECT("数出表_Excel!B"&amp;MATCH(N15,数出表_Excel!$A:$A,0)-1+2&amp;":U"&amp;MATCH(N15,数出表_Excel!$A:$A,0)-1+2&amp;"")), 0)),
 "")
+IFERROR(
INDEX(INDIRECT("数出表_Excel!B"&amp;MATCH(N15,数出表_Excel!$A:$A,0)-1+4&amp;":U"&amp;MATCH(N15,数出表_Excel!$A:$A,0)-1+4&amp;""),
 1,
 MATCH(TRUE, ISNUMBER(--INDIRECT("数出表_Excel!B"&amp;MATCH(N15,数出表_Excel!$A:$A,0)-1+4&amp;":U"&amp;MATCH(N15,数出表_Excel!$A:$A,0)-1+4&amp;"")), 0)),
 ""),
IFERROR(
INDEX(INDIRECT("数出表_Excel!B"&amp;MATCH(N15,数出表_Excel!$A:$A,0)-1&amp;":U"&amp;MATCH(N15,数出表_Excel!$A:$A,0)-1&amp;""),
 1,
 MATCH(TRUE, ISNUMBER(--INDIRECT("数出表_Excel!B"&amp;MATCH(N15,数出表_Excel!$A:$A,0)-1&amp;":U"&amp;MATCH(N15,数出表_Excel!$A:$A,0)-1&amp;"")), 0)),
 ""))))),"")</f>
        <v/>
      </c>
      <c r="K18" s="144"/>
      <c r="L18" s="145" t="str">
        <f t="array" aca="1" ref="L18" ca="1">IF(J16&lt;&gt;"",
IF(IFERROR(
INDEX(INDIRECT("数出表_Excel!B"&amp;MATCH(N15,数出表_Excel!$A:$A,0)&amp;":U"&amp;MATCH(N15,数出表_Excel!$A:$A,0)&amp;""),
 1,I16-1),
 "")=0,"",
IFERROR(
INDEX(INDIRECT("数出表_Excel!B"&amp;MATCH(N15,数出表_Excel!$A:$A,0)&amp;":U"&amp;MATCH(N15,数出表_Excel!$A:$A,0)&amp;""),
 1,I16-1),
 "")),"")</f>
        <v/>
      </c>
      <c r="M18" s="144"/>
      <c r="N18" s="154"/>
      <c r="Q18" s="143"/>
      <c r="R18" s="120" t="str">
        <f t="array" aca="1" ref="R18" ca="1">IF(R16&lt;&gt;"",
IF(IFERROR(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"")=0,"",
IF(Q17=100,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IF(AND(Q17=200,COUNTIF(数出表_Excel!$A:$A,"*奈良屋*")=2),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""),
IF(AND(Q17=200,COUNTIF(数出表_Excel!$A:$A,"*奈良屋*")=3),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
+IFERROR(
INDEX(INDIRECT("数出表_Excel!B"&amp;MATCH(V15,数出表_Excel!$A:$A,0)-1+2&amp;":U"&amp;MATCH(V15,数出表_Excel!$A:$A,0)-1+2&amp;""),
 1,
 MATCH(TRUE, ISNUMBER(--INDIRECT("数出表_Excel!B"&amp;MATCH(V15,数出表_Excel!$A:$A,0)-1+2&amp;":U"&amp;MATCH(V15,数出表_Excel!$A:$A,0)-1+2&amp;"")), 0)),
 "")
+IFERROR(
INDEX(INDIRECT("数出表_Excel!B"&amp;MATCH(V15,数出表_Excel!$A:$A,0)-1+4&amp;":U"&amp;MATCH(V15,数出表_Excel!$A:$A,0)-1+4&amp;""),
 1,
 MATCH(TRUE, ISNUMBER(--INDIRECT("数出表_Excel!B"&amp;MATCH(V15,数出表_Excel!$A:$A,0)-1+4&amp;":U"&amp;MATCH(V15,数出表_Excel!$A:$A,0)-1+4&amp;"")), 0)),
 ""),
IFERROR(
INDEX(INDIRECT("数出表_Excel!B"&amp;MATCH(V15,数出表_Excel!$A:$A,0)-1&amp;":U"&amp;MATCH(V15,数出表_Excel!$A:$A,0)-1&amp;""),
 1,
 MATCH(TRUE, ISNUMBER(--INDIRECT("数出表_Excel!B"&amp;MATCH(V15,数出表_Excel!$A:$A,0)-1&amp;":U"&amp;MATCH(V15,数出表_Excel!$A:$A,0)-1&amp;"")), 0)),
 ""))))),"")</f>
        <v/>
      </c>
      <c r="S18" s="144"/>
      <c r="T18" s="145" t="str">
        <f t="array" aca="1" ref="T18" ca="1">IF(R16&lt;&gt;"",
IF(IFERROR(
INDEX(INDIRECT("数出表_Excel!B"&amp;MATCH(V15,数出表_Excel!$A:$A,0)&amp;":U"&amp;MATCH(V15,数出表_Excel!$A:$A,0)&amp;""),
 1,Q16-1),
 "")=0,"",
IFERROR(
INDEX(INDIRECT("数出表_Excel!B"&amp;MATCH(V15,数出表_Excel!$A:$A,0)&amp;":U"&amp;MATCH(V15,数出表_Excel!$A:$A,0)&amp;""),
 1,Q16-1),
 "")),"")</f>
        <v/>
      </c>
      <c r="U18" s="144"/>
      <c r="V18" s="154"/>
      <c r="X18" s="143"/>
      <c r="Y18" s="120" t="str">
        <f t="array" aca="1" ref="Y18" ca="1">IF(Y16&lt;&gt;"",
IF(IFERROR(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"")=0,"",
IF(X17=100,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IF(AND(X17=200,COUNTIF(数出表_Excel!$A:$A,"*奈良屋*")=2),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""),
IF(AND(X17=200,COUNTIF(数出表_Excel!$A:$A,"*奈良屋*")=3),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
+IFERROR(
INDEX(INDIRECT("数出表_Excel!B"&amp;MATCH(AC15,数出表_Excel!$A:$A,0)-1+2&amp;":U"&amp;MATCH(AC15,数出表_Excel!$A:$A,0)-1+2&amp;""),
 1,
 MATCH(TRUE, ISNUMBER(--INDIRECT("数出表_Excel!B"&amp;MATCH(AC15,数出表_Excel!$A:$A,0)-1+2&amp;":U"&amp;MATCH(AC15,数出表_Excel!$A:$A,0)-1+2&amp;"")), 0)),
 "")
+IFERROR(
INDEX(INDIRECT("数出表_Excel!B"&amp;MATCH(AC15,数出表_Excel!$A:$A,0)-1+4&amp;":U"&amp;MATCH(AC15,数出表_Excel!$A:$A,0)-1+4&amp;""),
 1,
 MATCH(TRUE, ISNUMBER(--INDIRECT("数出表_Excel!B"&amp;MATCH(AC15,数出表_Excel!$A:$A,0)-1+4&amp;":U"&amp;MATCH(AC15,数出表_Excel!$A:$A,0)-1+4&amp;"")), 0)),
 ""),
IFERROR(
INDEX(INDIRECT("数出表_Excel!B"&amp;MATCH(AC15,数出表_Excel!$A:$A,0)-1&amp;":U"&amp;MATCH(AC15,数出表_Excel!$A:$A,0)-1&amp;""),
 1,
 MATCH(TRUE, ISNUMBER(--INDIRECT("数出表_Excel!B"&amp;MATCH(AC15,数出表_Excel!$A:$A,0)-1&amp;":U"&amp;MATCH(AC15,数出表_Excel!$A:$A,0)-1&amp;"")), 0)),
 ""))))),"")</f>
        <v/>
      </c>
      <c r="Z18" s="144"/>
      <c r="AA18" s="145" t="str">
        <f t="array" aca="1" ref="AA18" ca="1">IF(Y16&lt;&gt;"",
IF(IFERROR(
INDEX(INDIRECT("数出表_Excel!B"&amp;MATCH(AC15,数出表_Excel!$A:$A,0)&amp;":U"&amp;MATCH(AC15,数出表_Excel!$A:$A,0)&amp;""),
 1,X16-1),
 "")=0,"",
IFERROR(
INDEX(INDIRECT("数出表_Excel!B"&amp;MATCH(AC15,数出表_Excel!$A:$A,0)&amp;":U"&amp;MATCH(AC15,数出表_Excel!$A:$A,0)&amp;""),
 1,X16-1),
 "")),"")</f>
        <v/>
      </c>
      <c r="AB18" s="144"/>
      <c r="AC18" s="154"/>
      <c r="AF18" s="143"/>
      <c r="AG18" s="120" t="str">
        <f t="array" aca="1" ref="AG18" ca="1">IF(AG16&lt;&gt;"",
IF(IFERROR(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"")=0,"",
IF(AF17=100,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IF(AND(AF17=200,COUNTIF(数出表_Excel!$A:$A,"*奈良屋*")=2),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""),
IF(AND(AF17=200,COUNTIF(数出表_Excel!$A:$A,"*奈良屋*")=3),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
+IFERROR(
INDEX(INDIRECT("数出表_Excel!B"&amp;MATCH(AK15,数出表_Excel!$A:$A,0)-1+2&amp;":U"&amp;MATCH(AK15,数出表_Excel!$A:$A,0)-1+2&amp;""),
 1,
 MATCH(TRUE, ISNUMBER(--INDIRECT("数出表_Excel!B"&amp;MATCH(AK15,数出表_Excel!$A:$A,0)-1+2&amp;":U"&amp;MATCH(AK15,数出表_Excel!$A:$A,0)-1+2&amp;"")), 0)),
 "")
+IFERROR(
INDEX(INDIRECT("数出表_Excel!B"&amp;MATCH(AK15,数出表_Excel!$A:$A,0)-1+4&amp;":U"&amp;MATCH(AK15,数出表_Excel!$A:$A,0)-1+4&amp;""),
 1,
 MATCH(TRUE, ISNUMBER(--INDIRECT("数出表_Excel!B"&amp;MATCH(AK15,数出表_Excel!$A:$A,0)-1+4&amp;":U"&amp;MATCH(AK15,数出表_Excel!$A:$A,0)-1+4&amp;"")), 0)),
 ""),
IFERROR(
INDEX(INDIRECT("数出表_Excel!B"&amp;MATCH(AK15,数出表_Excel!$A:$A,0)-1&amp;":U"&amp;MATCH(AK15,数出表_Excel!$A:$A,0)-1&amp;""),
 1,
 MATCH(TRUE, ISNUMBER(--INDIRECT("数出表_Excel!B"&amp;MATCH(AK15,数出表_Excel!$A:$A,0)-1&amp;":U"&amp;MATCH(AK15,数出表_Excel!$A:$A,0)-1&amp;"")), 0)),
 ""))))),"")</f>
        <v/>
      </c>
      <c r="AH18" s="144"/>
      <c r="AI18" s="145" t="str">
        <f t="array" aca="1" ref="AI18" ca="1">IF(AG16&lt;&gt;"",
IF(IFERROR(
INDEX(INDIRECT("数出表_Excel!B"&amp;MATCH(AK15,数出表_Excel!$A:$A,0)&amp;":U"&amp;MATCH(AK15,数出表_Excel!$A:$A,0)&amp;""),
 1,AF16-1),
 "")=0,"",
IFERROR(
INDEX(INDIRECT("数出表_Excel!B"&amp;MATCH(AK15,数出表_Excel!$A:$A,0)&amp;":U"&amp;MATCH(AK15,数出表_Excel!$A:$A,0)&amp;""),
 1,AF16-1),
 "")),"")</f>
        <v/>
      </c>
      <c r="AJ18" s="144"/>
      <c r="AK18" s="154"/>
      <c r="AM18" s="143"/>
      <c r="AN18" s="120" t="str">
        <f t="array" aca="1" ref="AN18" ca="1">IF(AN16&lt;&gt;"",
IF(IFERROR(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"")=0,"",
IF(AM17=100,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IF(AND(AM17=200,COUNTIF(数出表_Excel!$A:$A,"*奈良屋*")=2),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""),
IF(AND(AM17=200,COUNTIF(数出表_Excel!$A:$A,"*奈良屋*")=3),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
+IFERROR(
INDEX(INDIRECT("数出表_Excel!B"&amp;MATCH(AR15,数出表_Excel!$A:$A,0)-1+2&amp;":U"&amp;MATCH(AR15,数出表_Excel!$A:$A,0)-1+2&amp;""),
 1,
 MATCH(TRUE, ISNUMBER(--INDIRECT("数出表_Excel!B"&amp;MATCH(AR15,数出表_Excel!$A:$A,0)-1+2&amp;":U"&amp;MATCH(AR15,数出表_Excel!$A:$A,0)-1+2&amp;"")), 0)),
 "")
+IFERROR(
INDEX(INDIRECT("数出表_Excel!B"&amp;MATCH(AR15,数出表_Excel!$A:$A,0)-1+4&amp;":U"&amp;MATCH(AR15,数出表_Excel!$A:$A,0)-1+4&amp;""),
 1,
 MATCH(TRUE, ISNUMBER(--INDIRECT("数出表_Excel!B"&amp;MATCH(AR15,数出表_Excel!$A:$A,0)-1+4&amp;":U"&amp;MATCH(AR15,数出表_Excel!$A:$A,0)-1+4&amp;"")), 0)),
 ""),
IFERROR(
INDEX(INDIRECT("数出表_Excel!B"&amp;MATCH(AR15,数出表_Excel!$A:$A,0)-1&amp;":U"&amp;MATCH(AR15,数出表_Excel!$A:$A,0)-1&amp;""),
 1,
 MATCH(TRUE, ISNUMBER(--INDIRECT("数出表_Excel!B"&amp;MATCH(AR15,数出表_Excel!$A:$A,0)-1&amp;":U"&amp;MATCH(AR15,数出表_Excel!$A:$A,0)-1&amp;"")), 0)),
 ""))))),"")</f>
        <v/>
      </c>
      <c r="AO18" s="144"/>
      <c r="AP18" s="145" t="str">
        <f t="array" aca="1" ref="AP18" ca="1">IF(AN16&lt;&gt;"",
IF(IFERROR(
INDEX(INDIRECT("数出表_Excel!B"&amp;MATCH(AR15,数出表_Excel!$A:$A,0)&amp;":U"&amp;MATCH(AR15,数出表_Excel!$A:$A,0)&amp;""),
 1,AM16-1),
 "")=0,"",
IFERROR(
INDEX(INDIRECT("数出表_Excel!B"&amp;MATCH(AR15,数出表_Excel!$A:$A,0)&amp;":U"&amp;MATCH(AR15,数出表_Excel!$A:$A,0)&amp;""),
 1,AM16-1),
 "")),"")</f>
        <v/>
      </c>
      <c r="AQ18" s="144"/>
      <c r="AR18" s="154"/>
      <c r="AU18" s="143"/>
      <c r="AV18" s="120" t="str">
        <f t="array" aca="1" ref="AV18" ca="1">IF(AV16&lt;&gt;"",
IF(IFERROR(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"")=0,"",
IF(AU17=100,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IF(AND(AU17=200,COUNTIF(数出表_Excel!$A:$A,"*奈良屋*")=2),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""),
IF(AND(AU17=200,COUNTIF(数出表_Excel!$A:$A,"*奈良屋*")=3),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
+IFERROR(
INDEX(INDIRECT("数出表_Excel!B"&amp;MATCH(AZ15,数出表_Excel!$A:$A,0)-1+2&amp;":U"&amp;MATCH(AZ15,数出表_Excel!$A:$A,0)-1+2&amp;""),
 1,
 MATCH(TRUE, ISNUMBER(--INDIRECT("数出表_Excel!B"&amp;MATCH(AZ15,数出表_Excel!$A:$A,0)-1+2&amp;":U"&amp;MATCH(AZ15,数出表_Excel!$A:$A,0)-1+2&amp;"")), 0)),
 "")
+IFERROR(
INDEX(INDIRECT("数出表_Excel!B"&amp;MATCH(AZ15,数出表_Excel!$A:$A,0)-1+4&amp;":U"&amp;MATCH(AZ15,数出表_Excel!$A:$A,0)-1+4&amp;""),
 1,
 MATCH(TRUE, ISNUMBER(--INDIRECT("数出表_Excel!B"&amp;MATCH(AZ15,数出表_Excel!$A:$A,0)-1+4&amp;":U"&amp;MATCH(AZ15,数出表_Excel!$A:$A,0)-1+4&amp;"")), 0)),
 ""),
IFERROR(
INDEX(INDIRECT("数出表_Excel!B"&amp;MATCH(AZ15,数出表_Excel!$A:$A,0)-1&amp;":U"&amp;MATCH(AZ15,数出表_Excel!$A:$A,0)-1&amp;""),
 1,
 MATCH(TRUE, ISNUMBER(--INDIRECT("数出表_Excel!B"&amp;MATCH(AZ15,数出表_Excel!$A:$A,0)-1&amp;":U"&amp;MATCH(AZ15,数出表_Excel!$A:$A,0)-1&amp;"")), 0)),
 ""))))),"")</f>
        <v/>
      </c>
      <c r="AW18" s="144"/>
      <c r="AX18" s="145" t="str">
        <f t="array" aca="1" ref="AX18" ca="1">IF(AV16&lt;&gt;"",
IF(IFERROR(
INDEX(INDIRECT("数出表_Excel!B"&amp;MATCH(AZ15,数出表_Excel!$A:$A,0)&amp;":U"&amp;MATCH(AZ15,数出表_Excel!$A:$A,0)&amp;""),
 1,AU16-1),
 "")=0,"",
IFERROR(
INDEX(INDIRECT("数出表_Excel!B"&amp;MATCH(AZ15,数出表_Excel!$A:$A,0)&amp;":U"&amp;MATCH(AZ15,数出表_Excel!$A:$A,0)&amp;""),
 1,AU16-1),
 "")),"")</f>
        <v/>
      </c>
      <c r="AY18" s="144"/>
      <c r="AZ18" s="154"/>
      <c r="BB18" s="143"/>
      <c r="BC18" s="120" t="str">
        <f t="array" aca="1" ref="BC18" ca="1">IF(BC16&lt;&gt;"",
IF(IFERROR(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"")=0,"",
IF(BB17=100,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IF(AND(BB17=200,COUNTIF(数出表_Excel!$A:$A,"*奈良屋*")=2),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""),
IF(AND(BB17=200,COUNTIF(数出表_Excel!$A:$A,"*奈良屋*")=3),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
+IFERROR(
INDEX(INDIRECT("数出表_Excel!B"&amp;MATCH(BG15,数出表_Excel!$A:$A,0)-1+2&amp;":U"&amp;MATCH(BG15,数出表_Excel!$A:$A,0)-1+2&amp;""),
 1,
 MATCH(TRUE, ISNUMBER(--INDIRECT("数出表_Excel!B"&amp;MATCH(BG15,数出表_Excel!$A:$A,0)-1+2&amp;":U"&amp;MATCH(BG15,数出表_Excel!$A:$A,0)-1+2&amp;"")), 0)),
 "")
+IFERROR(
INDEX(INDIRECT("数出表_Excel!B"&amp;MATCH(BG15,数出表_Excel!$A:$A,0)-1+4&amp;":U"&amp;MATCH(BG15,数出表_Excel!$A:$A,0)-1+4&amp;""),
 1,
 MATCH(TRUE, ISNUMBER(--INDIRECT("数出表_Excel!B"&amp;MATCH(BG15,数出表_Excel!$A:$A,0)-1+4&amp;":U"&amp;MATCH(BG15,数出表_Excel!$A:$A,0)-1+4&amp;"")), 0)),
 ""),
IFERROR(
INDEX(INDIRECT("数出表_Excel!B"&amp;MATCH(BG15,数出表_Excel!$A:$A,0)-1&amp;":U"&amp;MATCH(BG15,数出表_Excel!$A:$A,0)-1&amp;""),
 1,
 MATCH(TRUE, ISNUMBER(--INDIRECT("数出表_Excel!B"&amp;MATCH(BG15,数出表_Excel!$A:$A,0)-1&amp;":U"&amp;MATCH(BG15,数出表_Excel!$A:$A,0)-1&amp;"")), 0)),
 ""))))),"")</f>
        <v/>
      </c>
      <c r="BD18" s="144"/>
      <c r="BE18" s="145" t="str">
        <f t="array" aca="1" ref="BE18" ca="1">IF(BC16&lt;&gt;"",
IF(IFERROR(
INDEX(INDIRECT("数出表_Excel!B"&amp;MATCH(BG15,数出表_Excel!$A:$A,0)&amp;":U"&amp;MATCH(BG15,数出表_Excel!$A:$A,0)&amp;""),
 1,BB16-1),
 "")=0,"",
IFERROR(
INDEX(INDIRECT("数出表_Excel!B"&amp;MATCH(BG15,数出表_Excel!$A:$A,0)&amp;":U"&amp;MATCH(BG15,数出表_Excel!$A:$A,0)&amp;""),
 1,BB16-1),
 "")),"")</f>
        <v/>
      </c>
      <c r="BF18" s="144"/>
      <c r="BG18" s="154"/>
      <c r="BJ18" s="143"/>
      <c r="BK18" s="120" t="str">
        <f t="array" aca="1" ref="BK18" ca="1">IF(BK16&lt;&gt;"",
IF(IFERROR(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"")=0,"",
IF(BJ17=100,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IF(AND(BJ17=200,COUNTIF(数出表_Excel!$A:$A,"*奈良屋*")=2),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""),
IF(AND(BJ17=200,COUNTIF(数出表_Excel!$A:$A,"*奈良屋*")=3),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
+IFERROR(
INDEX(INDIRECT("数出表_Excel!B"&amp;MATCH(BO15,数出表_Excel!$A:$A,0)-1+2&amp;":U"&amp;MATCH(BO15,数出表_Excel!$A:$A,0)-1+2&amp;""),
 1,
 MATCH(TRUE, ISNUMBER(--INDIRECT("数出表_Excel!B"&amp;MATCH(BO15,数出表_Excel!$A:$A,0)-1+2&amp;":U"&amp;MATCH(BO15,数出表_Excel!$A:$A,0)-1+2&amp;"")), 0)),
 "")
+IFERROR(
INDEX(INDIRECT("数出表_Excel!B"&amp;MATCH(BO15,数出表_Excel!$A:$A,0)-1+4&amp;":U"&amp;MATCH(BO15,数出表_Excel!$A:$A,0)-1+4&amp;""),
 1,
 MATCH(TRUE, ISNUMBER(--INDIRECT("数出表_Excel!B"&amp;MATCH(BO15,数出表_Excel!$A:$A,0)-1+4&amp;":U"&amp;MATCH(BO15,数出表_Excel!$A:$A,0)-1+4&amp;"")), 0)),
 ""),
IFERROR(
INDEX(INDIRECT("数出表_Excel!B"&amp;MATCH(BO15,数出表_Excel!$A:$A,0)-1&amp;":U"&amp;MATCH(BO15,数出表_Excel!$A:$A,0)-1&amp;""),
 1,
 MATCH(TRUE, ISNUMBER(--INDIRECT("数出表_Excel!B"&amp;MATCH(BO15,数出表_Excel!$A:$A,0)-1&amp;":U"&amp;MATCH(BO15,数出表_Excel!$A:$A,0)-1&amp;"")), 0)),
 ""))))),"")</f>
        <v/>
      </c>
      <c r="BL18" s="144"/>
      <c r="BM18" s="145" t="str">
        <f t="array" aca="1" ref="BM18" ca="1">IF(BK16&lt;&gt;"",
IF(IFERROR(
INDEX(INDIRECT("数出表_Excel!B"&amp;MATCH(BO15,数出表_Excel!$A:$A,0)&amp;":U"&amp;MATCH(BO15,数出表_Excel!$A:$A,0)&amp;""),
 1,BJ16-1),
 "")=0,"",
IFERROR(
INDEX(INDIRECT("数出表_Excel!B"&amp;MATCH(BO15,数出表_Excel!$A:$A,0)&amp;":U"&amp;MATCH(BO15,数出表_Excel!$A:$A,0)&amp;""),
 1,BJ16-1),
 "")),"")</f>
        <v/>
      </c>
      <c r="BN18" s="144"/>
      <c r="BO18" s="154"/>
      <c r="BQ18" s="143"/>
      <c r="BR18" s="120" t="str">
        <f t="array" aca="1" ref="BR18" ca="1">IF(BR16&lt;&gt;"",
IF(IFERROR(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"")=0,"",
IF(BQ17=100,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IF(AND(BQ17=200,COUNTIF(数出表_Excel!$A:$A,"*奈良屋*")=2),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""),
IF(AND(BQ17=200,COUNTIF(数出表_Excel!$A:$A,"*奈良屋*")=3),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
+IFERROR(
INDEX(INDIRECT("数出表_Excel!B"&amp;MATCH(BV15,数出表_Excel!$A:$A,0)-1+2&amp;":U"&amp;MATCH(BV15,数出表_Excel!$A:$A,0)-1+2&amp;""),
 1,
 MATCH(TRUE, ISNUMBER(--INDIRECT("数出表_Excel!B"&amp;MATCH(BV15,数出表_Excel!$A:$A,0)-1+2&amp;":U"&amp;MATCH(BV15,数出表_Excel!$A:$A,0)-1+2&amp;"")), 0)),
 "")
+IFERROR(
INDEX(INDIRECT("数出表_Excel!B"&amp;MATCH(BV15,数出表_Excel!$A:$A,0)-1+4&amp;":U"&amp;MATCH(BV15,数出表_Excel!$A:$A,0)-1+4&amp;""),
 1,
 MATCH(TRUE, ISNUMBER(--INDIRECT("数出表_Excel!B"&amp;MATCH(BV15,数出表_Excel!$A:$A,0)-1+4&amp;":U"&amp;MATCH(BV15,数出表_Excel!$A:$A,0)-1+4&amp;"")), 0)),
 ""),
IFERROR(
INDEX(INDIRECT("数出表_Excel!B"&amp;MATCH(BV15,数出表_Excel!$A:$A,0)-1&amp;":U"&amp;MATCH(BV15,数出表_Excel!$A:$A,0)-1&amp;""),
 1,
 MATCH(TRUE, ISNUMBER(--INDIRECT("数出表_Excel!B"&amp;MATCH(BV15,数出表_Excel!$A:$A,0)-1&amp;":U"&amp;MATCH(BV15,数出表_Excel!$A:$A,0)-1&amp;"")), 0)),
 ""))))),"")</f>
        <v/>
      </c>
      <c r="BS18" s="144"/>
      <c r="BT18" s="145" t="str">
        <f t="array" aca="1" ref="BT18" ca="1">IF(BR16&lt;&gt;"",
IF(IFERROR(
INDEX(INDIRECT("数出表_Excel!B"&amp;MATCH(BV15,数出表_Excel!$A:$A,0)&amp;":U"&amp;MATCH(BV15,数出表_Excel!$A:$A,0)&amp;""),
 1,BQ16-1),
 "")=0,"",
IFERROR(
INDEX(INDIRECT("数出表_Excel!B"&amp;MATCH(BV15,数出表_Excel!$A:$A,0)&amp;":U"&amp;MATCH(BV15,数出表_Excel!$A:$A,0)&amp;""),
 1,BQ16-1),
 "")),"")</f>
        <v/>
      </c>
      <c r="BU18" s="144"/>
      <c r="BV18" s="154"/>
      <c r="BX18" s="132">
        <f t="shared" si="1"/>
        <v>70</v>
      </c>
      <c r="BY18" s="132" t="str">
        <f t="array" aca="1" ref="BY18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LEN(SUBSTITUTE(_xlfn.FORMULATEXT(BY$1),"=","")))+$BX18)</f>
        <v/>
      </c>
      <c r="BZ18" s="132" t="str">
        <f t="array" aca="1" ref="BZ18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LEN(SUBSTITUTE(_xlfn.FORMULATEXT(BZ$1),"=","")))+$BX18)</f>
        <v/>
      </c>
      <c r="CA18" s="132" t="str">
        <f t="array" aca="1" ref="CA18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LEN(SUBSTITUTE(_xlfn.FORMULATEXT(CA$1),"=","")))+$BX18)</f>
        <v/>
      </c>
      <c r="CB18" s="132" t="str">
        <f t="array" aca="1" ref="CB18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LEN(SUBSTITUTE(_xlfn.FORMULATEXT(CB$1),"=","")))+$BX18)</f>
        <v/>
      </c>
      <c r="CC18" s="132" t="str">
        <f t="array" aca="1" ref="CC18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LEN(SUBSTITUTE(_xlfn.FORMULATEXT(CC$1),"=","")))+$BX18)</f>
        <v/>
      </c>
      <c r="CD18" s="132" t="str">
        <f t="array" aca="1" ref="CD18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LEN(SUBSTITUTE(_xlfn.FORMULATEXT(CD$1),"=","")))+$BX18)</f>
        <v/>
      </c>
      <c r="CE18" s="132" t="str">
        <f t="array" aca="1" ref="CE18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LEN(SUBSTITUTE(_xlfn.FORMULATEXT(CE$1),"=","")))+$BX18)</f>
        <v/>
      </c>
      <c r="CF18" s="132" t="str">
        <f t="array" aca="1" ref="CF18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LEN(SUBSTITUTE(_xlfn.FORMULATEXT(CF$1),"=","")))+$BX18)</f>
        <v/>
      </c>
      <c r="CG18" s="132" t="str">
        <f t="array" aca="1" ref="CG18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LEN(SUBSTITUTE(_xlfn.FORMULATEXT(CG$1),"=","")))+$BX18)</f>
        <v/>
      </c>
      <c r="CH18" s="132" t="str">
        <f t="array" aca="1" ref="CH18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LEN(SUBSTITUTE(_xlfn.FORMULATEXT(CH$1),"=","")))+$BX18)</f>
        <v/>
      </c>
      <c r="CI18" s="132">
        <f t="shared" ca="1" si="0"/>
        <v>0</v>
      </c>
      <c r="CJ18" s="132" t="b">
        <f t="array" aca="1" ref="CJ18" ca="1">SUMPRODUCT((LEN(BY18:CH18)&gt;0)*1)&gt;0</f>
        <v>0</v>
      </c>
      <c r="CK18" s="132" t="str" cm="1">
        <f t="array" aca="1" ref="CK18" ca="1">IFERROR(SMALL(IF(CI$1:CI$150&lt;&gt;0,CI$1:CI$150),ROW(A18)),"")</f>
        <v/>
      </c>
      <c r="CL18" s="132" t="str">
        <f t="array" aca="1" ref="CL18" ca="1">IF($CK18&lt;&gt;"",
INDIRECT(""&amp;IF(COLUMN(BY18)&lt;=26,CHAR(COLUMN(BY18)+64),CHAR(INT((COLUMN(BY18)-1)/26)+64)&amp;CHAR(MOD(COLUMN(BY18)-1,26)+65))&amp;$CK18&amp;""),"")</f>
        <v/>
      </c>
      <c r="CM18" s="132" t="str">
        <f t="array" aca="1" ref="CM18" ca="1">IF($CK18&lt;&gt;"",
INDIRECT(""&amp;IF(COLUMN(BZ18)&lt;=26,CHAR(COLUMN(BZ18)+64),CHAR(INT((COLUMN(BZ18)-1)/26)+64)&amp;CHAR(MOD(COLUMN(BZ18)-1,26)+65))&amp;$CK18&amp;""),"")</f>
        <v/>
      </c>
      <c r="CN18" s="132" t="str">
        <f t="array" aca="1" ref="CN18" ca="1">IF($CK18&lt;&gt;"",
INDIRECT(""&amp;IF(COLUMN(CA18)&lt;=26,CHAR(COLUMN(CA18)+64),CHAR(INT((COLUMN(CA18)-1)/26)+64)&amp;CHAR(MOD(COLUMN(CA18)-1,26)+65))&amp;$CK18&amp;""),"")</f>
        <v/>
      </c>
      <c r="CO18" s="132" t="str">
        <f t="array" aca="1" ref="CO18" ca="1">IF($CK18&lt;&gt;"",
INDIRECT(""&amp;IF(COLUMN(CB18)&lt;=26,CHAR(COLUMN(CB18)+64),CHAR(INT((COLUMN(CB18)-1)/26)+64)&amp;CHAR(MOD(COLUMN(CB18)-1,26)+65))&amp;$CK18&amp;""),"")</f>
        <v/>
      </c>
      <c r="CP18" s="132" t="str">
        <f t="array" aca="1" ref="CP18" ca="1">IF($CK18&lt;&gt;"",
INDIRECT(""&amp;IF(COLUMN(CC18)&lt;=26,CHAR(COLUMN(CC18)+64),CHAR(INT((COLUMN(CC18)-1)/26)+64)&amp;CHAR(MOD(COLUMN(CC18)-1,26)+65))&amp;$CK18&amp;""),"")</f>
        <v/>
      </c>
      <c r="CQ18" s="132" t="str">
        <f t="array" aca="1" ref="CQ18" ca="1">IF($CK18&lt;&gt;"",
INDIRECT(""&amp;IF(COLUMN(CD18)&lt;=26,CHAR(COLUMN(CD18)+64),CHAR(INT((COLUMN(CD18)-1)/26)+64)&amp;CHAR(MOD(COLUMN(CD18)-1,26)+65))&amp;$CK18&amp;""),"")</f>
        <v/>
      </c>
      <c r="CR18" s="132" t="str">
        <f t="array" aca="1" ref="CR18" ca="1">IF($CK18&lt;&gt;"",
INDIRECT(""&amp;IF(COLUMN(CE18)&lt;=26,CHAR(COLUMN(CE18)+64),CHAR(INT((COLUMN(CE18)-1)/26)+64)&amp;CHAR(MOD(COLUMN(CE18)-1,26)+65))&amp;$CK18&amp;""),"")</f>
        <v/>
      </c>
      <c r="CS18" s="132" t="str">
        <f t="array" aca="1" ref="CS18" ca="1">IF($CK18&lt;&gt;"",
INDIRECT(""&amp;IF(COLUMN(CF18)&lt;=26,CHAR(COLUMN(CF18)+64),CHAR(INT((COLUMN(CF18)-1)/26)+64)&amp;CHAR(MOD(COLUMN(CF18)-1,26)+65))&amp;$CK18&amp;""),"")</f>
        <v/>
      </c>
      <c r="CT18" s="132" t="str">
        <f t="array" aca="1" ref="CT18" ca="1">IF($CK18&lt;&gt;"",
INDIRECT(""&amp;IF(COLUMN(CG18)&lt;=26,CHAR(COLUMN(CG18)+64),CHAR(INT((COLUMN(CG18)-1)/26)+64)&amp;CHAR(MOD(COLUMN(CG18)-1,26)+65))&amp;$CK18&amp;""),"")</f>
        <v/>
      </c>
      <c r="CU18" s="132" t="str">
        <f t="array" aca="1" ref="CU18" ca="1">IF($CK18&lt;&gt;"",
INDIRECT(""&amp;IF(COLUMN(CH18)&lt;=26,CHAR(COLUMN(CH18)+64),CHAR(INT((COLUMN(CH18)-1)/26)+64)&amp;CHAR(MOD(COLUMN(CH18)-1,26)+65))&amp;$CK18&amp;""),"")</f>
        <v/>
      </c>
    </row>
    <row r="19" spans="1:99" ht="18" customHeight="1" x14ac:dyDescent="0.45">
      <c r="B19" s="147"/>
      <c r="C19" s="148"/>
      <c r="D19" s="148"/>
      <c r="E19" s="148"/>
      <c r="F19" s="148"/>
      <c r="G19" s="160"/>
      <c r="I19" s="147"/>
      <c r="J19" s="148"/>
      <c r="K19" s="148"/>
      <c r="L19" s="148"/>
      <c r="M19" s="148"/>
      <c r="N19" s="155"/>
      <c r="Q19" s="147"/>
      <c r="R19" s="148"/>
      <c r="S19" s="148"/>
      <c r="T19" s="148"/>
      <c r="U19" s="148"/>
      <c r="V19" s="155"/>
      <c r="X19" s="147"/>
      <c r="Y19" s="148"/>
      <c r="Z19" s="148"/>
      <c r="AA19" s="148"/>
      <c r="AB19" s="148"/>
      <c r="AC19" s="155"/>
      <c r="AF19" s="147"/>
      <c r="AG19" s="148"/>
      <c r="AH19" s="148"/>
      <c r="AI19" s="148"/>
      <c r="AJ19" s="148"/>
      <c r="AK19" s="155"/>
      <c r="AM19" s="147"/>
      <c r="AN19" s="148"/>
      <c r="AO19" s="148"/>
      <c r="AP19" s="148"/>
      <c r="AQ19" s="148"/>
      <c r="AR19" s="155"/>
      <c r="AU19" s="147"/>
      <c r="AV19" s="148"/>
      <c r="AW19" s="148"/>
      <c r="AX19" s="148"/>
      <c r="AY19" s="148"/>
      <c r="AZ19" s="155"/>
      <c r="BB19" s="147"/>
      <c r="BC19" s="148"/>
      <c r="BD19" s="148"/>
      <c r="BE19" s="148"/>
      <c r="BF19" s="148"/>
      <c r="BG19" s="155"/>
      <c r="BJ19" s="147"/>
      <c r="BK19" s="148"/>
      <c r="BL19" s="148"/>
      <c r="BM19" s="148"/>
      <c r="BN19" s="148"/>
      <c r="BO19" s="155"/>
      <c r="BQ19" s="147"/>
      <c r="BR19" s="148"/>
      <c r="BS19" s="148"/>
      <c r="BT19" s="148"/>
      <c r="BU19" s="148"/>
      <c r="BV19" s="155"/>
      <c r="BX19" s="146">
        <f t="shared" si="1"/>
        <v>28</v>
      </c>
      <c r="BY19" s="132" t="str">
        <f t="array" aca="1" ref="BY19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LEN(SUBSTITUTE(_xlfn.FORMULATEXT(BY$3),"=","")))+$BX19)</f>
        <v/>
      </c>
      <c r="BZ19" s="132" t="str">
        <f t="array" aca="1" ref="BZ19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LEN(SUBSTITUTE(_xlfn.FORMULATEXT(BZ$3),"=","")))+$BX19)</f>
        <v/>
      </c>
      <c r="CA19" s="132" t="str">
        <f t="array" aca="1" ref="CA19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LEN(SUBSTITUTE(_xlfn.FORMULATEXT(CA$3),"=","")))+$BX19)</f>
        <v/>
      </c>
      <c r="CB19" s="132" t="str">
        <f t="array" aca="1" ref="CB19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LEN(SUBSTITUTE(_xlfn.FORMULATEXT(CB$3),"=","")))+$BX19)</f>
        <v/>
      </c>
      <c r="CC19" s="132" t="str">
        <f t="array" aca="1" ref="CC19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LEN(SUBSTITUTE(_xlfn.FORMULATEXT(CC$3),"=","")))+$BX19)</f>
        <v/>
      </c>
      <c r="CD19" s="132" t="str">
        <f t="array" aca="1" ref="CD19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LEN(SUBSTITUTE(_xlfn.FORMULATEXT(CD$3),"=","")))+$BX19)</f>
        <v/>
      </c>
      <c r="CE19" s="132" t="str">
        <f t="array" aca="1" ref="CE19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LEN(SUBSTITUTE(_xlfn.FORMULATEXT(CE$3),"=","")))+$BX19)</f>
        <v/>
      </c>
      <c r="CF19" s="132" t="str">
        <f t="array" aca="1" ref="CF19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LEN(SUBSTITUTE(_xlfn.FORMULATEXT(CF$3),"=","")))+$BX19)</f>
        <v/>
      </c>
      <c r="CG19" s="132" t="str">
        <f t="array" aca="1" ref="CG19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LEN(SUBSTITUTE(_xlfn.FORMULATEXT(CG$3),"=","")))+$BX19)</f>
        <v/>
      </c>
      <c r="CH19" s="132" t="str">
        <f t="array" aca="1" ref="CH19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LEN(SUBSTITUTE(_xlfn.FORMULATEXT(CH$3),"=","")))+$BX19)</f>
        <v/>
      </c>
      <c r="CI19" s="132">
        <f t="shared" ca="1" si="0"/>
        <v>0</v>
      </c>
      <c r="CJ19" s="132" t="b">
        <f t="array" aca="1" ref="CJ19" ca="1">SUMPRODUCT((LEN(BY19:CH19)&gt;0)*1)&gt;0</f>
        <v>0</v>
      </c>
      <c r="CK19" s="132" t="str" cm="1">
        <f t="array" aca="1" ref="CK19" ca="1">IFERROR(SMALL(IF(CI$1:CI$150&lt;&gt;0,CI$1:CI$150),ROW(A19)),"")</f>
        <v/>
      </c>
      <c r="CL19" s="132" t="str">
        <f t="array" aca="1" ref="CL19" ca="1">IF($CK19&lt;&gt;"",
INDIRECT(""&amp;IF(COLUMN(BY19)&lt;=26,CHAR(COLUMN(BY19)+64),CHAR(INT((COLUMN(BY19)-1)/26)+64)&amp;CHAR(MOD(COLUMN(BY19)-1,26)+65))&amp;$CK19&amp;""),"")</f>
        <v/>
      </c>
      <c r="CM19" s="132" t="str">
        <f t="array" aca="1" ref="CM19" ca="1">IF($CK19&lt;&gt;"",
INDIRECT(""&amp;IF(COLUMN(BZ19)&lt;=26,CHAR(COLUMN(BZ19)+64),CHAR(INT((COLUMN(BZ19)-1)/26)+64)&amp;CHAR(MOD(COLUMN(BZ19)-1,26)+65))&amp;$CK19&amp;""),"")</f>
        <v/>
      </c>
      <c r="CN19" s="132" t="str">
        <f t="array" aca="1" ref="CN19" ca="1">IF($CK19&lt;&gt;"",
INDIRECT(""&amp;IF(COLUMN(CA19)&lt;=26,CHAR(COLUMN(CA19)+64),CHAR(INT((COLUMN(CA19)-1)/26)+64)&amp;CHAR(MOD(COLUMN(CA19)-1,26)+65))&amp;$CK19&amp;""),"")</f>
        <v/>
      </c>
      <c r="CO19" s="132" t="str">
        <f t="array" aca="1" ref="CO19" ca="1">IF($CK19&lt;&gt;"",
INDIRECT(""&amp;IF(COLUMN(CB19)&lt;=26,CHAR(COLUMN(CB19)+64),CHAR(INT((COLUMN(CB19)-1)/26)+64)&amp;CHAR(MOD(COLUMN(CB19)-1,26)+65))&amp;$CK19&amp;""),"")</f>
        <v/>
      </c>
      <c r="CP19" s="132" t="str">
        <f t="array" aca="1" ref="CP19" ca="1">IF($CK19&lt;&gt;"",
INDIRECT(""&amp;IF(COLUMN(CC19)&lt;=26,CHAR(COLUMN(CC19)+64),CHAR(INT((COLUMN(CC19)-1)/26)+64)&amp;CHAR(MOD(COLUMN(CC19)-1,26)+65))&amp;$CK19&amp;""),"")</f>
        <v/>
      </c>
      <c r="CQ19" s="132" t="str">
        <f t="array" aca="1" ref="CQ19" ca="1">IF($CK19&lt;&gt;"",
INDIRECT(""&amp;IF(COLUMN(CD19)&lt;=26,CHAR(COLUMN(CD19)+64),CHAR(INT((COLUMN(CD19)-1)/26)+64)&amp;CHAR(MOD(COLUMN(CD19)-1,26)+65))&amp;$CK19&amp;""),"")</f>
        <v/>
      </c>
      <c r="CR19" s="132" t="str">
        <f t="array" aca="1" ref="CR19" ca="1">IF($CK19&lt;&gt;"",
INDIRECT(""&amp;IF(COLUMN(CE19)&lt;=26,CHAR(COLUMN(CE19)+64),CHAR(INT((COLUMN(CE19)-1)/26)+64)&amp;CHAR(MOD(COLUMN(CE19)-1,26)+65))&amp;$CK19&amp;""),"")</f>
        <v/>
      </c>
      <c r="CS19" s="132" t="str">
        <f t="array" aca="1" ref="CS19" ca="1">IF($CK19&lt;&gt;"",
INDIRECT(""&amp;IF(COLUMN(CF19)&lt;=26,CHAR(COLUMN(CF19)+64),CHAR(INT((COLUMN(CF19)-1)/26)+64)&amp;CHAR(MOD(COLUMN(CF19)-1,26)+65))&amp;$CK19&amp;""),"")</f>
        <v/>
      </c>
      <c r="CT19" s="132" t="str">
        <f t="array" aca="1" ref="CT19" ca="1">IF($CK19&lt;&gt;"",
INDIRECT(""&amp;IF(COLUMN(CG19)&lt;=26,CHAR(COLUMN(CG19)+64),CHAR(INT((COLUMN(CG19)-1)/26)+64)&amp;CHAR(MOD(COLUMN(CG19)-1,26)+65))&amp;$CK19&amp;""),"")</f>
        <v/>
      </c>
      <c r="CU19" s="132" t="str">
        <f t="array" aca="1" ref="CU19" ca="1">IF($CK19&lt;&gt;"",
INDIRECT(""&amp;IF(COLUMN(CH19)&lt;=26,CHAR(COLUMN(CH19)+64),CHAR(INT((COLUMN(CH19)-1)/26)+64)&amp;CHAR(MOD(COLUMN(CH19)-1,26)+65))&amp;$CK19&amp;""),"")</f>
        <v/>
      </c>
    </row>
    <row r="20" spans="1:99" s="132" customFormat="1" ht="22.2" customHeight="1" x14ac:dyDescent="0.55000000000000004">
      <c r="A20" s="129"/>
      <c r="B20" s="149" t="str">
        <f ca="1">IF(C16&lt;&gt;"",
"パン箱","")</f>
        <v/>
      </c>
      <c r="C20" s="150" t="str">
        <f ca="1">IF(C16&lt;&gt;"",
IF(OR(COUNTIF('盛付札（関数）'!C16,"*キャラ*"),COUNTIF('盛付札（関数）'!C16,"*赤*")),24,
VLOOKUP('盛付札（関数）'!C16,商品マスタ一覧!$D:$I,6,FALSE)),"")</f>
        <v/>
      </c>
      <c r="D20" s="149" t="str">
        <f ca="1">IF(C16&lt;&gt;"",
" 端数","")</f>
        <v/>
      </c>
      <c r="E20" s="150"/>
      <c r="F20" s="149" t="str">
        <f ca="1">IF(C16&lt;&gt;"",
"アレルギー","")</f>
        <v/>
      </c>
      <c r="G20" s="159"/>
      <c r="H20" s="129"/>
      <c r="I20" s="149" t="str">
        <f ca="1">IF(J16&lt;&gt;"",
"パン箱","")</f>
        <v/>
      </c>
      <c r="J20" s="150" t="str">
        <f ca="1">IF(J16&lt;&gt;"",
IF(OR(COUNTIF('盛付札（関数）'!J16,"*キャラ*"),COUNTIF('盛付札（関数）'!J16,"*赤*")),24,
VLOOKUP('盛付札（関数）'!J16,商品マスタ一覧!$D:$I,6,FALSE)),"")</f>
        <v/>
      </c>
      <c r="K20" s="149" t="str">
        <f ca="1">IF(J16&lt;&gt;"",
" 端数","")</f>
        <v/>
      </c>
      <c r="L20" s="150"/>
      <c r="M20" s="149" t="str">
        <f ca="1">IF(J16&lt;&gt;"",
"アレルギー","")</f>
        <v/>
      </c>
      <c r="N20" s="154"/>
      <c r="O20" s="129"/>
      <c r="P20" s="129"/>
      <c r="Q20" s="149" t="str">
        <f ca="1">IF(R16&lt;&gt;"",
"パン箱","")</f>
        <v/>
      </c>
      <c r="R20" s="150" t="str">
        <f ca="1">IF(R16&lt;&gt;"",
IF(OR(COUNTIF('盛付札（関数）'!R16,"*キャラ*"),COUNTIF('盛付札（関数）'!R16,"*赤*")),24,
VLOOKUP('盛付札（関数）'!R16,商品マスタ一覧!$D:$I,6,FALSE)),"")</f>
        <v/>
      </c>
      <c r="S20" s="149" t="str">
        <f ca="1">IF(R16&lt;&gt;"",
" 端数","")</f>
        <v/>
      </c>
      <c r="T20" s="150"/>
      <c r="U20" s="149" t="str">
        <f ca="1">IF(R16&lt;&gt;"",
"アレルギー","")</f>
        <v/>
      </c>
      <c r="V20" s="154"/>
      <c r="W20" s="129"/>
      <c r="X20" s="149" t="str">
        <f ca="1">IF(Y16&lt;&gt;"",
"パン箱","")</f>
        <v/>
      </c>
      <c r="Y20" s="150" t="str">
        <f ca="1">IF(Y16&lt;&gt;"",
IF(OR(COUNTIF('盛付札（関数）'!Y16,"*キャラ*"),COUNTIF('盛付札（関数）'!Y16,"*赤*")),24,
VLOOKUP('盛付札（関数）'!Y16,商品マスタ一覧!$D:$I,6,FALSE)),"")</f>
        <v/>
      </c>
      <c r="Z20" s="149" t="str">
        <f ca="1">IF(Y16&lt;&gt;"",
" 端数","")</f>
        <v/>
      </c>
      <c r="AA20" s="150"/>
      <c r="AB20" s="149" t="str">
        <f ca="1">IF(Y16&lt;&gt;"",
"アレルギー","")</f>
        <v/>
      </c>
      <c r="AC20" s="154"/>
      <c r="AD20" s="129"/>
      <c r="AE20" s="129"/>
      <c r="AF20" s="149" t="str">
        <f ca="1">IF(AG16&lt;&gt;"",
"パン箱","")</f>
        <v/>
      </c>
      <c r="AG20" s="150" t="str">
        <f ca="1">IF(AG16&lt;&gt;"",
IF(OR(COUNTIF('盛付札（関数）'!AG16,"*キャラ*"),COUNTIF('盛付札（関数）'!AG16,"*赤*")),24,
VLOOKUP('盛付札（関数）'!AG16,商品マスタ一覧!$D:$I,6,FALSE)),"")</f>
        <v/>
      </c>
      <c r="AH20" s="149" t="str">
        <f ca="1">IF(AG16&lt;&gt;"",
" 端数","")</f>
        <v/>
      </c>
      <c r="AI20" s="150"/>
      <c r="AJ20" s="149" t="str">
        <f ca="1">IF(AG16&lt;&gt;"",
"アレルギー","")</f>
        <v/>
      </c>
      <c r="AK20" s="154"/>
      <c r="AL20" s="129"/>
      <c r="AM20" s="149" t="str">
        <f ca="1">IF(AN16&lt;&gt;"",
"パン箱","")</f>
        <v/>
      </c>
      <c r="AN20" s="150" t="str">
        <f ca="1">IF(AN16&lt;&gt;"",
IF(OR(COUNTIF('盛付札（関数）'!AN16,"*キャラ*"),COUNTIF('盛付札（関数）'!AN16,"*赤*")),24,
VLOOKUP('盛付札（関数）'!AN16,商品マスタ一覧!$D:$I,6,FALSE)),"")</f>
        <v/>
      </c>
      <c r="AO20" s="149" t="str">
        <f ca="1">IF(AN16&lt;&gt;"",
" 端数","")</f>
        <v/>
      </c>
      <c r="AP20" s="150"/>
      <c r="AQ20" s="149" t="str">
        <f ca="1">IF(AN16&lt;&gt;"",
"アレルギー","")</f>
        <v/>
      </c>
      <c r="AR20" s="154"/>
      <c r="AS20" s="129"/>
      <c r="AT20" s="129"/>
      <c r="AU20" s="149" t="str">
        <f ca="1">IF(AV16&lt;&gt;"",
"パン箱","")</f>
        <v/>
      </c>
      <c r="AV20" s="150" t="str">
        <f ca="1">IF(AV16&lt;&gt;"",
IF(OR(COUNTIF('盛付札（関数）'!AV16,"*キャラ*"),COUNTIF('盛付札（関数）'!AV16,"*赤*")),24,
VLOOKUP('盛付札（関数）'!AV16,商品マスタ一覧!$D:$I,6,FALSE)),"")</f>
        <v/>
      </c>
      <c r="AW20" s="149" t="str">
        <f ca="1">IF(AV16&lt;&gt;"",
" 端数","")</f>
        <v/>
      </c>
      <c r="AX20" s="150"/>
      <c r="AY20" s="149" t="str">
        <f ca="1">IF(AV16&lt;&gt;"",
"アレルギー","")</f>
        <v/>
      </c>
      <c r="AZ20" s="154"/>
      <c r="BA20" s="129"/>
      <c r="BB20" s="149" t="str">
        <f ca="1">IF(BC16&lt;&gt;"",
"パン箱","")</f>
        <v/>
      </c>
      <c r="BC20" s="150" t="str">
        <f ca="1">IF(BC16&lt;&gt;"",
IF(OR(COUNTIF('盛付札（関数）'!BC16,"*キャラ*"),COUNTIF('盛付札（関数）'!BC16,"*赤*")),24,
VLOOKUP('盛付札（関数）'!BC16,商品マスタ一覧!$D:$I,6,FALSE)),"")</f>
        <v/>
      </c>
      <c r="BD20" s="149" t="str">
        <f ca="1">IF(BC16&lt;&gt;"",
" 端数","")</f>
        <v/>
      </c>
      <c r="BE20" s="150"/>
      <c r="BF20" s="149" t="str">
        <f ca="1">IF(BC16&lt;&gt;"",
"アレルギー","")</f>
        <v/>
      </c>
      <c r="BG20" s="154"/>
      <c r="BH20" s="129"/>
      <c r="BI20" s="129"/>
      <c r="BJ20" s="149" t="str">
        <f ca="1">IF(BK16&lt;&gt;"",
"パン箱","")</f>
        <v/>
      </c>
      <c r="BK20" s="150" t="str">
        <f ca="1">IF(BK16&lt;&gt;"",
IF(OR(COUNTIF('盛付札（関数）'!BK16,"*キャラ*"),COUNTIF('盛付札（関数）'!BK16,"*赤*")),24,
VLOOKUP('盛付札（関数）'!BK16,商品マスタ一覧!$D:$I,6,FALSE)),"")</f>
        <v/>
      </c>
      <c r="BL20" s="149" t="str">
        <f ca="1">IF(BK16&lt;&gt;"",
" 端数","")</f>
        <v/>
      </c>
      <c r="BM20" s="150"/>
      <c r="BN20" s="149" t="str">
        <f ca="1">IF(BK16&lt;&gt;"",
"アレルギー","")</f>
        <v/>
      </c>
      <c r="BO20" s="154"/>
      <c r="BP20" s="129"/>
      <c r="BQ20" s="149" t="str">
        <f ca="1">IF(BR16&lt;&gt;"",
"パン箱","")</f>
        <v/>
      </c>
      <c r="BR20" s="150" t="str">
        <f ca="1">IF(BR16&lt;&gt;"",
IF(OR(COUNTIF('盛付札（関数）'!BR16,"*キャラ*"),COUNTIF('盛付札（関数）'!BR16,"*赤*")),24,
VLOOKUP('盛付札（関数）'!BR16,商品マスタ一覧!$D:$I,6,FALSE)),"")</f>
        <v/>
      </c>
      <c r="BS20" s="149" t="str">
        <f ca="1">IF(BR16&lt;&gt;"",
" 端数","")</f>
        <v/>
      </c>
      <c r="BT20" s="150"/>
      <c r="BU20" s="149" t="str">
        <f ca="1">IF(BR16&lt;&gt;"",
"アレルギー","")</f>
        <v/>
      </c>
      <c r="BV20" s="154"/>
      <c r="BW20" s="129"/>
      <c r="BX20" s="132">
        <f t="shared" si="1"/>
        <v>70</v>
      </c>
      <c r="BY20" s="132" t="str">
        <f t="array" aca="1" ref="BY20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LEN(SUBSTITUTE(_xlfn.FORMULATEXT(BY$3),"=","")))+$BX20)</f>
        <v/>
      </c>
      <c r="BZ20" s="132" t="str">
        <f t="array" aca="1" ref="BZ20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LEN(SUBSTITUTE(_xlfn.FORMULATEXT(BZ$3),"=","")))+$BX20)</f>
        <v/>
      </c>
      <c r="CA20" s="132" t="str">
        <f t="array" aca="1" ref="CA20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LEN(SUBSTITUTE(_xlfn.FORMULATEXT(CA$3),"=","")))+$BX20)</f>
        <v/>
      </c>
      <c r="CB20" s="132" t="str">
        <f t="array" aca="1" ref="CB20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LEN(SUBSTITUTE(_xlfn.FORMULATEXT(CB$3),"=","")))+$BX20)</f>
        <v/>
      </c>
      <c r="CC20" s="132" t="str">
        <f t="array" aca="1" ref="CC20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LEN(SUBSTITUTE(_xlfn.FORMULATEXT(CC$3),"=","")))+$BX20)</f>
        <v/>
      </c>
      <c r="CD20" s="132" t="str">
        <f t="array" aca="1" ref="CD20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LEN(SUBSTITUTE(_xlfn.FORMULATEXT(CD$3),"=","")))+$BX20)</f>
        <v/>
      </c>
      <c r="CE20" s="132" t="str">
        <f t="array" aca="1" ref="CE20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LEN(SUBSTITUTE(_xlfn.FORMULATEXT(CE$3),"=","")))+$BX20)</f>
        <v/>
      </c>
      <c r="CF20" s="132" t="str">
        <f t="array" aca="1" ref="CF20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LEN(SUBSTITUTE(_xlfn.FORMULATEXT(CF$3),"=","")))+$BX20)</f>
        <v/>
      </c>
      <c r="CG20" s="132" t="str">
        <f t="array" aca="1" ref="CG20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LEN(SUBSTITUTE(_xlfn.FORMULATEXT(CG$3),"=","")))+$BX20)</f>
        <v/>
      </c>
      <c r="CH20" s="132" t="str">
        <f t="array" aca="1" ref="CH20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LEN(SUBSTITUTE(_xlfn.FORMULATEXT(CH$3),"=","")))+$BX20)</f>
        <v/>
      </c>
      <c r="CI20" s="132">
        <f t="shared" ca="1" si="0"/>
        <v>0</v>
      </c>
      <c r="CJ20" s="132" t="b">
        <f t="array" aca="1" ref="CJ20" ca="1">SUMPRODUCT((LEN(BY20:CH20)&gt;0)*1)&gt;0</f>
        <v>0</v>
      </c>
      <c r="CK20" s="132" t="str" cm="1">
        <f t="array" aca="1" ref="CK20" ca="1">IFERROR(SMALL(IF(CI$1:CI$150&lt;&gt;0,CI$1:CI$150),ROW(A20)),"")</f>
        <v/>
      </c>
      <c r="CL20" s="132" t="str">
        <f t="array" aca="1" ref="CL20" ca="1">IF($CK20&lt;&gt;"",
INDIRECT(""&amp;IF(COLUMN(BY20)&lt;=26,CHAR(COLUMN(BY20)+64),CHAR(INT((COLUMN(BY20)-1)/26)+64)&amp;CHAR(MOD(COLUMN(BY20)-1,26)+65))&amp;$CK20&amp;""),"")</f>
        <v/>
      </c>
      <c r="CM20" s="132" t="str">
        <f t="array" aca="1" ref="CM20" ca="1">IF($CK20&lt;&gt;"",
INDIRECT(""&amp;IF(COLUMN(BZ20)&lt;=26,CHAR(COLUMN(BZ20)+64),CHAR(INT((COLUMN(BZ20)-1)/26)+64)&amp;CHAR(MOD(COLUMN(BZ20)-1,26)+65))&amp;$CK20&amp;""),"")</f>
        <v/>
      </c>
      <c r="CN20" s="132" t="str">
        <f t="array" aca="1" ref="CN20" ca="1">IF($CK20&lt;&gt;"",
INDIRECT(""&amp;IF(COLUMN(CA20)&lt;=26,CHAR(COLUMN(CA20)+64),CHAR(INT((COLUMN(CA20)-1)/26)+64)&amp;CHAR(MOD(COLUMN(CA20)-1,26)+65))&amp;$CK20&amp;""),"")</f>
        <v/>
      </c>
      <c r="CO20" s="132" t="str">
        <f t="array" aca="1" ref="CO20" ca="1">IF($CK20&lt;&gt;"",
INDIRECT(""&amp;IF(COLUMN(CB20)&lt;=26,CHAR(COLUMN(CB20)+64),CHAR(INT((COLUMN(CB20)-1)/26)+64)&amp;CHAR(MOD(COLUMN(CB20)-1,26)+65))&amp;$CK20&amp;""),"")</f>
        <v/>
      </c>
      <c r="CP20" s="132" t="str">
        <f t="array" aca="1" ref="CP20" ca="1">IF($CK20&lt;&gt;"",
INDIRECT(""&amp;IF(COLUMN(CC20)&lt;=26,CHAR(COLUMN(CC20)+64),CHAR(INT((COLUMN(CC20)-1)/26)+64)&amp;CHAR(MOD(COLUMN(CC20)-1,26)+65))&amp;$CK20&amp;""),"")</f>
        <v/>
      </c>
      <c r="CQ20" s="132" t="str">
        <f t="array" aca="1" ref="CQ20" ca="1">IF($CK20&lt;&gt;"",
INDIRECT(""&amp;IF(COLUMN(CD20)&lt;=26,CHAR(COLUMN(CD20)+64),CHAR(INT((COLUMN(CD20)-1)/26)+64)&amp;CHAR(MOD(COLUMN(CD20)-1,26)+65))&amp;$CK20&amp;""),"")</f>
        <v/>
      </c>
      <c r="CR20" s="132" t="str">
        <f t="array" aca="1" ref="CR20" ca="1">IF($CK20&lt;&gt;"",
INDIRECT(""&amp;IF(COLUMN(CE20)&lt;=26,CHAR(COLUMN(CE20)+64),CHAR(INT((COLUMN(CE20)-1)/26)+64)&amp;CHAR(MOD(COLUMN(CE20)-1,26)+65))&amp;$CK20&amp;""),"")</f>
        <v/>
      </c>
      <c r="CS20" s="132" t="str">
        <f t="array" aca="1" ref="CS20" ca="1">IF($CK20&lt;&gt;"",
INDIRECT(""&amp;IF(COLUMN(CF20)&lt;=26,CHAR(COLUMN(CF20)+64),CHAR(INT((COLUMN(CF20)-1)/26)+64)&amp;CHAR(MOD(COLUMN(CF20)-1,26)+65))&amp;$CK20&amp;""),"")</f>
        <v/>
      </c>
      <c r="CT20" s="132" t="str">
        <f t="array" aca="1" ref="CT20" ca="1">IF($CK20&lt;&gt;"",
INDIRECT(""&amp;IF(COLUMN(CG20)&lt;=26,CHAR(COLUMN(CG20)+64),CHAR(INT((COLUMN(CG20)-1)/26)+64)&amp;CHAR(MOD(COLUMN(CG20)-1,26)+65))&amp;$CK20&amp;""),"")</f>
        <v/>
      </c>
      <c r="CU20" s="132" t="str">
        <f t="array" aca="1" ref="CU20" ca="1">IF($CK20&lt;&gt;"",
INDIRECT(""&amp;IF(COLUMN(CH20)&lt;=26,CHAR(COLUMN(CH20)+64),CHAR(INT((COLUMN(CH20)-1)/26)+64)&amp;CHAR(MOD(COLUMN(CH20)-1,26)+65))&amp;$CK20&amp;""),"")</f>
        <v/>
      </c>
    </row>
    <row r="21" spans="1:99" ht="21" customHeight="1" x14ac:dyDescent="0.45">
      <c r="B21" s="124" t="str">
        <f ca="1">IF(C18&lt;&gt;"",
IFERROR(INT(C18/C20),""),"")</f>
        <v/>
      </c>
      <c r="C21" s="151"/>
      <c r="D21" s="124" t="str">
        <f ca="1">IFERROR(MOD(C18,C20),"")</f>
        <v/>
      </c>
      <c r="E21" s="151"/>
      <c r="F21" s="118" t="str" cm="1">
        <f t="array" aca="1" ref="F21" ca="1">IF(C15&lt;&gt;"",
IF(IFERROR(
INDEX(INDIRECT("'数出表_Excel（アレルギー入力）'!B"&amp;MATCH(G15,'数出表_Excel（アレルギー入力）'!$A:$A,0)-1&amp;":AC"&amp;MATCH(G15,'数出表_Excel（アレルギー入力）'!$A:$A,0)-1&amp;""),
 1,
MATCH(C18,INDIRECT("'数出表_Excel（アレルギー入力）'!"&amp;B15-1&amp;":"&amp;B15-1&amp;""),0)),
 "")&lt;&gt;0,
IF(IFERROR(
INDEX(INDIRECT("'数出表_Excel（アレルギー入力）'!B"&amp;MATCH(G15,'数出表_Excel（アレルギー入力）'!$A:$A,0)-1&amp;":AC"&amp;MATCH(G15,'数出表_Excel（アレルギー入力）'!$A:$A,0)-1&amp;""),
 1,
MATCH(C18,INDIRECT("'数出表_Excel（アレルギー入力）'!"&amp;B15-1&amp;":"&amp;B15-1&amp;""),0)),
 "")="",
IFERROR(
INDEX(INDIRECT("'数出表_Excel（アレルギー入力）'!B"&amp;MATCH(G15,'数出表_Excel（アレルギー入力）'!$A:$A,0)-1&amp;":AC"&amp;MATCH(G15,'数出表_Excel（アレルギー入力）'!$A:$A,0)-1&amp;""),
 1,
MATCH(TRUE,INDEX(INDIRECT("'数出表_Excel（アレルギー入力）'!B"&amp;B15-1&amp;":AC"&amp;B15-1&amp;"")&lt;&gt;"",0),0)+1),
 ""),
IFERROR(
INDEX(INDIRECT("'数出表_Excel（アレルギー入力）'!B"&amp;MATCH(G15,'数出表_Excel（アレルギー入力）'!$A:$A,0)-1&amp;":AC"&amp;MATCH(G15,'数出表_Excel（アレルギー入力）'!$A:$A,0)-1&amp;""),
 1,
MATCH(C18,INDIRECT("'数出表_Excel（アレルギー入力）'!"&amp;B15-1&amp;":"&amp;B15-1&amp;""),0)),
 "")),0),"")</f>
        <v/>
      </c>
      <c r="G21" s="151"/>
      <c r="I21" s="124" t="str">
        <f ca="1">IF(J18&lt;&gt;"",
IFERROR(INT(J18/J20),""),"")</f>
        <v/>
      </c>
      <c r="J21" s="151"/>
      <c r="K21" s="124" t="str">
        <f ca="1">IFERROR(MOD(J18,J20),"")</f>
        <v/>
      </c>
      <c r="L21" s="151"/>
      <c r="M21" s="118" t="str">
        <f t="array" aca="1" ref="M21" ca="1">IF(J15&lt;&gt;"",
IF(IFERROR(
INDEX(INDIRECT("'数出表_Excel（アレルギー入力）'!B"&amp;MATCH(N15,'数出表_Excel（アレルギー入力）'!$A:$A,0)-1&amp;":AC"&amp;MATCH(N15,'数出表_Excel（アレルギー入力）'!$A:$A,0)-1&amp;""),
 1,
MATCH(J18,INDIRECT("'数出表_Excel（アレルギー入力）'!"&amp;I15-1&amp;":"&amp;I15-1&amp;""),0)),
 "")&lt;&gt;0,
IF(IFERROR(
INDEX(INDIRECT("'数出表_Excel（アレルギー入力）'!B"&amp;MATCH(N15,'数出表_Excel（アレルギー入力）'!$A:$A,0)-1&amp;":AC"&amp;MATCH(N15,'数出表_Excel（アレルギー入力）'!$A:$A,0)-1&amp;""),
 1,
MATCH(J18,INDIRECT("'数出表_Excel（アレルギー入力）'!"&amp;I15-1&amp;":"&amp;I15-1&amp;""),0)),
 "")="",
IFERROR(
INDEX(INDIRECT("'数出表_Excel（アレルギー入力）'!B"&amp;MATCH(N15,'数出表_Excel（アレルギー入力）'!$A:$A,0)-1&amp;":AC"&amp;MATCH(N15,'数出表_Excel（アレルギー入力）'!$A:$A,0)-1&amp;""),
 1,
MATCH(TRUE,INDEX(INDIRECT("'数出表_Excel（アレルギー入力）'!B"&amp;I15-1&amp;":AC"&amp;I15-1&amp;"")&lt;&gt;"",0),0)+1),
 ""),
IFERROR(
INDEX(INDIRECT("'数出表_Excel（アレルギー入力）'!B"&amp;MATCH(N15,'数出表_Excel（アレルギー入力）'!$A:$A,0)-1&amp;":AC"&amp;MATCH(N15,'数出表_Excel（アレルギー入力）'!$A:$A,0)-1&amp;""),
 1,
MATCH(J18,INDIRECT("'数出表_Excel（アレルギー入力）'!"&amp;I15-1&amp;":"&amp;I15-1&amp;""),0)),
 "")),0),"")</f>
        <v/>
      </c>
      <c r="N21" s="151"/>
      <c r="Q21" s="124" t="str">
        <f ca="1">IF(R18&lt;&gt;"",
IFERROR(INT(R18/R20),""),"")</f>
        <v/>
      </c>
      <c r="R21" s="151"/>
      <c r="S21" s="124" t="str">
        <f ca="1">IFERROR(MOD(R18,R20),"")</f>
        <v/>
      </c>
      <c r="T21" s="151"/>
      <c r="U21" s="118" t="str">
        <f t="array" aca="1" ref="U21" ca="1">IF(R15&lt;&gt;"",
IF(IFERROR(
INDEX(INDIRECT("'数出表_Excel（アレルギー入力）'!B"&amp;MATCH(V15,'数出表_Excel（アレルギー入力）'!$A:$A,0)-1&amp;":AC"&amp;MATCH(V15,'数出表_Excel（アレルギー入力）'!$A:$A,0)-1&amp;""),
 1,
MATCH(R18,INDIRECT("'数出表_Excel（アレルギー入力）'!"&amp;Q15-1&amp;":"&amp;Q15-1&amp;""),0)),
 "")&lt;&gt;0,
IF(IFERROR(
INDEX(INDIRECT("'数出表_Excel（アレルギー入力）'!B"&amp;MATCH(V15,'数出表_Excel（アレルギー入力）'!$A:$A,0)-1&amp;":AC"&amp;MATCH(V15,'数出表_Excel（アレルギー入力）'!$A:$A,0)-1&amp;""),
 1,
MATCH(R18,INDIRECT("'数出表_Excel（アレルギー入力）'!"&amp;Q15-1&amp;":"&amp;Q15-1&amp;""),0)),
 "")="",
IFERROR(
INDEX(INDIRECT("'数出表_Excel（アレルギー入力）'!B"&amp;MATCH(V15,'数出表_Excel（アレルギー入力）'!$A:$A,0)-1&amp;":AC"&amp;MATCH(V15,'数出表_Excel（アレルギー入力）'!$A:$A,0)-1&amp;""),
 1,
MATCH(TRUE,INDEX(INDIRECT("'数出表_Excel（アレルギー入力）'!B"&amp;Q15-1&amp;":AC"&amp;Q15-1&amp;"")&lt;&gt;"",0),0)+1),
 ""),
IFERROR(
INDEX(INDIRECT("'数出表_Excel（アレルギー入力）'!B"&amp;MATCH(V15,'数出表_Excel（アレルギー入力）'!$A:$A,0)-1&amp;":AC"&amp;MATCH(V15,'数出表_Excel（アレルギー入力）'!$A:$A,0)-1&amp;""),
 1,
MATCH(R18,INDIRECT("'数出表_Excel（アレルギー入力）'!"&amp;Q15-1&amp;":"&amp;Q15-1&amp;""),0)),
 "")),0),"")</f>
        <v/>
      </c>
      <c r="V21" s="151"/>
      <c r="X21" s="124" t="str">
        <f ca="1">IF(Y18&lt;&gt;"",
IFERROR(INT(Y18/Y20),""),"")</f>
        <v/>
      </c>
      <c r="Y21" s="151"/>
      <c r="Z21" s="124" t="str">
        <f ca="1">IFERROR(MOD(Y18,Y20),"")</f>
        <v/>
      </c>
      <c r="AA21" s="151"/>
      <c r="AB21" s="118" t="str">
        <f t="array" aca="1" ref="AB21" ca="1">IF(Y15&lt;&gt;"",
IF(IFERROR(
INDEX(INDIRECT("'数出表_Excel（アレルギー入力）'!B"&amp;MATCH(AC15,'数出表_Excel（アレルギー入力）'!$A:$A,0)-1&amp;":AC"&amp;MATCH(AC15,'数出表_Excel（アレルギー入力）'!$A:$A,0)-1&amp;""),
 1,
MATCH(Y18,INDIRECT("'数出表_Excel（アレルギー入力）'!"&amp;X15-1&amp;":"&amp;X15-1&amp;""),0)),
 "")&lt;&gt;0,
IF(IFERROR(
INDEX(INDIRECT("'数出表_Excel（アレルギー入力）'!B"&amp;MATCH(AC15,'数出表_Excel（アレルギー入力）'!$A:$A,0)-1&amp;":AC"&amp;MATCH(AC15,'数出表_Excel（アレルギー入力）'!$A:$A,0)-1&amp;""),
 1,
MATCH(Y18,INDIRECT("'数出表_Excel（アレルギー入力）'!"&amp;X15-1&amp;":"&amp;X15-1&amp;""),0)),
 "")="",
IFERROR(
INDEX(INDIRECT("'数出表_Excel（アレルギー入力）'!B"&amp;MATCH(AC15,'数出表_Excel（アレルギー入力）'!$A:$A,0)-1&amp;":AC"&amp;MATCH(AC15,'数出表_Excel（アレルギー入力）'!$A:$A,0)-1&amp;""),
 1,
MATCH(TRUE,INDEX(INDIRECT("'数出表_Excel（アレルギー入力）'!B"&amp;X15-1&amp;":AC"&amp;X15-1&amp;"")&lt;&gt;"",0),0)+1),
 ""),
IFERROR(
INDEX(INDIRECT("'数出表_Excel（アレルギー入力）'!B"&amp;MATCH(AC15,'数出表_Excel（アレルギー入力）'!$A:$A,0)-1&amp;":AC"&amp;MATCH(AC15,'数出表_Excel（アレルギー入力）'!$A:$A,0)-1&amp;""),
 1,
MATCH(Y18,INDIRECT("'数出表_Excel（アレルギー入力）'!"&amp;X15-1&amp;":"&amp;X15-1&amp;""),0)),
 "")),0),"")</f>
        <v/>
      </c>
      <c r="AC21" s="151"/>
      <c r="AF21" s="124" t="str">
        <f ca="1">IF(AG18&lt;&gt;"",
IFERROR(INT(AG18/AG20),""),"")</f>
        <v/>
      </c>
      <c r="AG21" s="151"/>
      <c r="AH21" s="124" t="str">
        <f ca="1">IFERROR(MOD(AG18,AG20),"")</f>
        <v/>
      </c>
      <c r="AI21" s="151"/>
      <c r="AJ21" s="118" t="str">
        <f t="array" aca="1" ref="AJ21" ca="1">IF(AG15&lt;&gt;"",
IF(IFERROR(
INDEX(INDIRECT("'数出表_Excel（アレルギー入力）'!B"&amp;MATCH(AK15,'数出表_Excel（アレルギー入力）'!$A:$A,0)-1&amp;":AC"&amp;MATCH(AK15,'数出表_Excel（アレルギー入力）'!$A:$A,0)-1&amp;""),
 1,
MATCH(AG18,INDIRECT("'数出表_Excel（アレルギー入力）'!"&amp;AF15-1&amp;":"&amp;AF15-1&amp;""),0)),
 "")&lt;&gt;0,
IF(IFERROR(
INDEX(INDIRECT("'数出表_Excel（アレルギー入力）'!B"&amp;MATCH(AK15,'数出表_Excel（アレルギー入力）'!$A:$A,0)-1&amp;":AC"&amp;MATCH(AK15,'数出表_Excel（アレルギー入力）'!$A:$A,0)-1&amp;""),
 1,
MATCH(AG18,INDIRECT("'数出表_Excel（アレルギー入力）'!"&amp;AF15-1&amp;":"&amp;AF15-1&amp;""),0)),
 "")="",
IFERROR(
INDEX(INDIRECT("'数出表_Excel（アレルギー入力）'!B"&amp;MATCH(AK15,'数出表_Excel（アレルギー入力）'!$A:$A,0)-1&amp;":AC"&amp;MATCH(AK15,'数出表_Excel（アレルギー入力）'!$A:$A,0)-1&amp;""),
 1,
MATCH(TRUE,INDEX(INDIRECT("'数出表_Excel（アレルギー入力）'!B"&amp;AF15-1&amp;":AC"&amp;AF15-1&amp;"")&lt;&gt;"",0),0)+1),
 ""),
IFERROR(
INDEX(INDIRECT("'数出表_Excel（アレルギー入力）'!B"&amp;MATCH(AK15,'数出表_Excel（アレルギー入力）'!$A:$A,0)-1&amp;":AC"&amp;MATCH(AK15,'数出表_Excel（アレルギー入力）'!$A:$A,0)-1&amp;""),
 1,
MATCH(AG18,INDIRECT("'数出表_Excel（アレルギー入力）'!"&amp;AF15-1&amp;":"&amp;AF15-1&amp;""),0)),
 "")),0),"")</f>
        <v/>
      </c>
      <c r="AK21" s="151"/>
      <c r="AM21" s="124" t="str">
        <f ca="1">IF(AN18&lt;&gt;"",
IFERROR(INT(AN18/AN20),""),"")</f>
        <v/>
      </c>
      <c r="AN21" s="151"/>
      <c r="AO21" s="124" t="str">
        <f ca="1">IFERROR(MOD(AN18,AN20),"")</f>
        <v/>
      </c>
      <c r="AP21" s="151"/>
      <c r="AQ21" s="118" t="str">
        <f t="array" aca="1" ref="AQ21" ca="1">IF(AN15&lt;&gt;"",
IF(IFERROR(
INDEX(INDIRECT("'数出表_Excel（アレルギー入力）'!B"&amp;MATCH(AR15,'数出表_Excel（アレルギー入力）'!$A:$A,0)-1&amp;":AC"&amp;MATCH(AR15,'数出表_Excel（アレルギー入力）'!$A:$A,0)-1&amp;""),
 1,
MATCH(AN18,INDIRECT("'数出表_Excel（アレルギー入力）'!"&amp;AM15-1&amp;":"&amp;AM15-1&amp;""),0)),
 "")&lt;&gt;0,
IF(IFERROR(
INDEX(INDIRECT("'数出表_Excel（アレルギー入力）'!B"&amp;MATCH(AR15,'数出表_Excel（アレルギー入力）'!$A:$A,0)-1&amp;":AC"&amp;MATCH(AR15,'数出表_Excel（アレルギー入力）'!$A:$A,0)-1&amp;""),
 1,
MATCH(AN18,INDIRECT("'数出表_Excel（アレルギー入力）'!"&amp;AM15-1&amp;":"&amp;AM15-1&amp;""),0)),
 "")="",
IFERROR(
INDEX(INDIRECT("'数出表_Excel（アレルギー入力）'!B"&amp;MATCH(AR15,'数出表_Excel（アレルギー入力）'!$A:$A,0)-1&amp;":AC"&amp;MATCH(AR15,'数出表_Excel（アレルギー入力）'!$A:$A,0)-1&amp;""),
 1,
MATCH(TRUE,INDEX(INDIRECT("'数出表_Excel（アレルギー入力）'!B"&amp;AM15-1&amp;":AC"&amp;AM15-1&amp;"")&lt;&gt;"",0),0)+1),
 ""),
IFERROR(
INDEX(INDIRECT("'数出表_Excel（アレルギー入力）'!B"&amp;MATCH(AR15,'数出表_Excel（アレルギー入力）'!$A:$A,0)-1&amp;":AC"&amp;MATCH(AR15,'数出表_Excel（アレルギー入力）'!$A:$A,0)-1&amp;""),
 1,
MATCH(AN18,INDIRECT("'数出表_Excel（アレルギー入力）'!"&amp;AM15-1&amp;":"&amp;AM15-1&amp;""),0)),
 "")),0),"")</f>
        <v/>
      </c>
      <c r="AR21" s="151"/>
      <c r="AU21" s="124" t="str">
        <f ca="1">IF(AV18&lt;&gt;"",
IFERROR(INT(AV18/AV20),""),"")</f>
        <v/>
      </c>
      <c r="AV21" s="151"/>
      <c r="AW21" s="124" t="str">
        <f ca="1">IFERROR(MOD(AV18,AV20),"")</f>
        <v/>
      </c>
      <c r="AX21" s="151"/>
      <c r="AY21" s="118" t="str">
        <f t="array" aca="1" ref="AY21" ca="1">IF(AV15&lt;&gt;"",
IF(IFERROR(
INDEX(INDIRECT("'数出表_Excel（アレルギー入力）'!B"&amp;MATCH(AZ15,'数出表_Excel（アレルギー入力）'!$A:$A,0)-1&amp;":AC"&amp;MATCH(AZ15,'数出表_Excel（アレルギー入力）'!$A:$A,0)-1&amp;""),
 1,
MATCH(AV18,INDIRECT("'数出表_Excel（アレルギー入力）'!"&amp;AU15-1&amp;":"&amp;AU15-1&amp;""),0)),
 "")&lt;&gt;0,
IF(IFERROR(
INDEX(INDIRECT("'数出表_Excel（アレルギー入力）'!B"&amp;MATCH(AZ15,'数出表_Excel（アレルギー入力）'!$A:$A,0)-1&amp;":AC"&amp;MATCH(AZ15,'数出表_Excel（アレルギー入力）'!$A:$A,0)-1&amp;""),
 1,
MATCH(AV18,INDIRECT("'数出表_Excel（アレルギー入力）'!"&amp;AU15-1&amp;":"&amp;AU15-1&amp;""),0)),
 "")="",
IFERROR(
INDEX(INDIRECT("'数出表_Excel（アレルギー入力）'!B"&amp;MATCH(AZ15,'数出表_Excel（アレルギー入力）'!$A:$A,0)-1&amp;":AC"&amp;MATCH(AZ15,'数出表_Excel（アレルギー入力）'!$A:$A,0)-1&amp;""),
 1,
MATCH(TRUE,INDEX(INDIRECT("'数出表_Excel（アレルギー入力）'!B"&amp;AU15-1&amp;":AC"&amp;AU15-1&amp;"")&lt;&gt;"",0),0)+1),
 ""),
IFERROR(
INDEX(INDIRECT("'数出表_Excel（アレルギー入力）'!B"&amp;MATCH(AZ15,'数出表_Excel（アレルギー入力）'!$A:$A,0)-1&amp;":AC"&amp;MATCH(AZ15,'数出表_Excel（アレルギー入力）'!$A:$A,0)-1&amp;""),
 1,
MATCH(AV18,INDIRECT("'数出表_Excel（アレルギー入力）'!"&amp;AU15-1&amp;":"&amp;AU15-1&amp;""),0)),
 "")),0),"")</f>
        <v/>
      </c>
      <c r="AZ21" s="151"/>
      <c r="BB21" s="124" t="str">
        <f ca="1">IF(BC18&lt;&gt;"",
IFERROR(INT(BC18/BC20),""),"")</f>
        <v/>
      </c>
      <c r="BC21" s="151"/>
      <c r="BD21" s="124" t="str">
        <f ca="1">IFERROR(MOD(BC18,BC20),"")</f>
        <v/>
      </c>
      <c r="BE21" s="151"/>
      <c r="BF21" s="118" t="str">
        <f t="array" aca="1" ref="BF21" ca="1">IF(BC15&lt;&gt;"",
IF(IFERROR(
INDEX(INDIRECT("'数出表_Excel（アレルギー入力）'!B"&amp;MATCH(BG15,'数出表_Excel（アレルギー入力）'!$A:$A,0)-1&amp;":AC"&amp;MATCH(BG15,'数出表_Excel（アレルギー入力）'!$A:$A,0)-1&amp;""),
 1,
MATCH(BC18,INDIRECT("'数出表_Excel（アレルギー入力）'!"&amp;BB15-1&amp;":"&amp;BB15-1&amp;""),0)),
 "")&lt;&gt;0,
IF(IFERROR(
INDEX(INDIRECT("'数出表_Excel（アレルギー入力）'!B"&amp;MATCH(BG15,'数出表_Excel（アレルギー入力）'!$A:$A,0)-1&amp;":AC"&amp;MATCH(BG15,'数出表_Excel（アレルギー入力）'!$A:$A,0)-1&amp;""),
 1,
MATCH(BC18,INDIRECT("'数出表_Excel（アレルギー入力）'!"&amp;BB15-1&amp;":"&amp;BB15-1&amp;""),0)),
 "")="",
IFERROR(
INDEX(INDIRECT("'数出表_Excel（アレルギー入力）'!B"&amp;MATCH(BG15,'数出表_Excel（アレルギー入力）'!$A:$A,0)-1&amp;":AC"&amp;MATCH(BG15,'数出表_Excel（アレルギー入力）'!$A:$A,0)-1&amp;""),
 1,
MATCH(TRUE,INDEX(INDIRECT("'数出表_Excel（アレルギー入力）'!B"&amp;BB15-1&amp;":AC"&amp;BB15-1&amp;"")&lt;&gt;"",0),0)+1),
 ""),
IFERROR(
INDEX(INDIRECT("'数出表_Excel（アレルギー入力）'!B"&amp;MATCH(BG15,'数出表_Excel（アレルギー入力）'!$A:$A,0)-1&amp;":AC"&amp;MATCH(BG15,'数出表_Excel（アレルギー入力）'!$A:$A,0)-1&amp;""),
 1,
MATCH(BC18,INDIRECT("'数出表_Excel（アレルギー入力）'!"&amp;BB15-1&amp;":"&amp;BB15-1&amp;""),0)),
 "")),0),"")</f>
        <v/>
      </c>
      <c r="BG21" s="151"/>
      <c r="BJ21" s="124" t="str">
        <f ca="1">IF(BK18&lt;&gt;"",
IFERROR(INT(BK18/BK20),""),"")</f>
        <v/>
      </c>
      <c r="BK21" s="151"/>
      <c r="BL21" s="124" t="str">
        <f ca="1">IFERROR(MOD(BK18,BK20),"")</f>
        <v/>
      </c>
      <c r="BM21" s="151"/>
      <c r="BN21" s="118" t="str">
        <f t="array" aca="1" ref="BN21" ca="1">IF(BK15&lt;&gt;"",
IF(IFERROR(
INDEX(INDIRECT("'数出表_Excel（アレルギー入力）'!B"&amp;MATCH(BO15,'数出表_Excel（アレルギー入力）'!$A:$A,0)-1&amp;":AC"&amp;MATCH(BO15,'数出表_Excel（アレルギー入力）'!$A:$A,0)-1&amp;""),
 1,
MATCH(BK18,INDIRECT("'数出表_Excel（アレルギー入力）'!"&amp;BJ15-1&amp;":"&amp;BJ15-1&amp;""),0)),
 "")&lt;&gt;0,
IF(IFERROR(
INDEX(INDIRECT("'数出表_Excel（アレルギー入力）'!B"&amp;MATCH(BO15,'数出表_Excel（アレルギー入力）'!$A:$A,0)-1&amp;":AC"&amp;MATCH(BO15,'数出表_Excel（アレルギー入力）'!$A:$A,0)-1&amp;""),
 1,
MATCH(BK18,INDIRECT("'数出表_Excel（アレルギー入力）'!"&amp;BJ15-1&amp;":"&amp;BJ15-1&amp;""),0)),
 "")="",
IFERROR(
INDEX(INDIRECT("'数出表_Excel（アレルギー入力）'!B"&amp;MATCH(BO15,'数出表_Excel（アレルギー入力）'!$A:$A,0)-1&amp;":AC"&amp;MATCH(BO15,'数出表_Excel（アレルギー入力）'!$A:$A,0)-1&amp;""),
 1,
MATCH(TRUE,INDEX(INDIRECT("'数出表_Excel（アレルギー入力）'!B"&amp;BJ15-1&amp;":AC"&amp;BJ15-1&amp;"")&lt;&gt;"",0),0)+1),
 ""),
IFERROR(
INDEX(INDIRECT("'数出表_Excel（アレルギー入力）'!B"&amp;MATCH(BO15,'数出表_Excel（アレルギー入力）'!$A:$A,0)-1&amp;":AC"&amp;MATCH(BO15,'数出表_Excel（アレルギー入力）'!$A:$A,0)-1&amp;""),
 1,
MATCH(BK18,INDIRECT("'数出表_Excel（アレルギー入力）'!"&amp;BJ15-1&amp;":"&amp;BJ15-1&amp;""),0)),
 "")),0),"")</f>
        <v/>
      </c>
      <c r="BO21" s="151"/>
      <c r="BQ21" s="124" t="str">
        <f ca="1">IF(BR18&lt;&gt;"",
IFERROR(INT(BR18/BR20),""),"")</f>
        <v/>
      </c>
      <c r="BR21" s="151"/>
      <c r="BS21" s="124" t="str">
        <f ca="1">IFERROR(MOD(BR18,BR20),"")</f>
        <v/>
      </c>
      <c r="BT21" s="151"/>
      <c r="BU21" s="118" t="str">
        <f t="array" aca="1" ref="BU21" ca="1">IF(BR15&lt;&gt;"",
IF(IFERROR(
INDEX(INDIRECT("'数出表_Excel（アレルギー入力）'!B"&amp;MATCH(BV15,'数出表_Excel（アレルギー入力）'!$A:$A,0)-1&amp;":AC"&amp;MATCH(BV15,'数出表_Excel（アレルギー入力）'!$A:$A,0)-1&amp;""),
 1,
MATCH(BR18,INDIRECT("'数出表_Excel（アレルギー入力）'!"&amp;BQ15-1&amp;":"&amp;BQ15-1&amp;""),0)),
 "")&lt;&gt;0,
IF(IFERROR(
INDEX(INDIRECT("'数出表_Excel（アレルギー入力）'!B"&amp;MATCH(BV15,'数出表_Excel（アレルギー入力）'!$A:$A,0)-1&amp;":AC"&amp;MATCH(BV15,'数出表_Excel（アレルギー入力）'!$A:$A,0)-1&amp;""),
 1,
MATCH(BR18,INDIRECT("'数出表_Excel（アレルギー入力）'!"&amp;BQ15-1&amp;":"&amp;BQ15-1&amp;""),0)),
 "")="",
IFERROR(
INDEX(INDIRECT("'数出表_Excel（アレルギー入力）'!B"&amp;MATCH(BV15,'数出表_Excel（アレルギー入力）'!$A:$A,0)-1&amp;":AC"&amp;MATCH(BV15,'数出表_Excel（アレルギー入力）'!$A:$A,0)-1&amp;""),
 1,
MATCH(TRUE,INDEX(INDIRECT("'数出表_Excel（アレルギー入力）'!B"&amp;BQ15-1&amp;":AC"&amp;BQ15-1&amp;"")&lt;&gt;"",0),0)+1),
 ""),
IFERROR(
INDEX(INDIRECT("'数出表_Excel（アレルギー入力）'!B"&amp;MATCH(BV15,'数出表_Excel（アレルギー入力）'!$A:$A,0)-1&amp;":AC"&amp;MATCH(BV15,'数出表_Excel（アレルギー入力）'!$A:$A,0)-1&amp;""),
 1,
MATCH(BR18,INDIRECT("'数出表_Excel（アレルギー入力）'!"&amp;BQ15-1&amp;":"&amp;BQ15-1&amp;""),0)),
 "")),0),"")</f>
        <v/>
      </c>
      <c r="BV21" s="151"/>
      <c r="BX21" s="132">
        <f t="shared" si="1"/>
        <v>35</v>
      </c>
      <c r="BY21" s="132" t="str">
        <f t="array" aca="1" ref="BY21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LEN(SUBSTITUTE(_xlfn.FORMULATEXT(BY$1),"=","")))+$BX21)</f>
        <v/>
      </c>
      <c r="BZ21" s="132" t="str">
        <f t="array" aca="1" ref="BZ21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LEN(SUBSTITUTE(_xlfn.FORMULATEXT(BZ$1),"=","")))+$BX21)</f>
        <v/>
      </c>
      <c r="CA21" s="132" t="str">
        <f t="array" aca="1" ref="CA21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LEN(SUBSTITUTE(_xlfn.FORMULATEXT(CA$1),"=","")))+$BX21)</f>
        <v/>
      </c>
      <c r="CB21" s="132" t="str">
        <f t="array" aca="1" ref="CB21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LEN(SUBSTITUTE(_xlfn.FORMULATEXT(CB$1),"=","")))+$BX21)</f>
        <v/>
      </c>
      <c r="CC21" s="132" t="str">
        <f t="array" aca="1" ref="CC21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LEN(SUBSTITUTE(_xlfn.FORMULATEXT(CC$1),"=","")))+$BX21)</f>
        <v/>
      </c>
      <c r="CD21" s="132" t="str">
        <f t="array" aca="1" ref="CD21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LEN(SUBSTITUTE(_xlfn.FORMULATEXT(CD$1),"=","")))+$BX21)</f>
        <v/>
      </c>
      <c r="CE21" s="132" t="str">
        <f t="array" aca="1" ref="CE21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LEN(SUBSTITUTE(_xlfn.FORMULATEXT(CE$1),"=","")))+$BX21)</f>
        <v/>
      </c>
      <c r="CF21" s="132" t="str">
        <f t="array" aca="1" ref="CF21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LEN(SUBSTITUTE(_xlfn.FORMULATEXT(CF$1),"=","")))+$BX21)</f>
        <v/>
      </c>
      <c r="CG21" s="132" t="str">
        <f t="array" aca="1" ref="CG21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LEN(SUBSTITUTE(_xlfn.FORMULATEXT(CG$1),"=","")))+$BX21)</f>
        <v/>
      </c>
      <c r="CH21" s="132" t="str">
        <f t="array" aca="1" ref="CH21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LEN(SUBSTITUTE(_xlfn.FORMULATEXT(CH$1),"=","")))+$BX21)</f>
        <v/>
      </c>
      <c r="CI21" s="132">
        <f t="shared" ca="1" si="0"/>
        <v>0</v>
      </c>
      <c r="CJ21" s="132" t="b">
        <f t="array" aca="1" ref="CJ21" ca="1">SUMPRODUCT((LEN(BY21:CH21)&gt;0)*1)&gt;0</f>
        <v>0</v>
      </c>
      <c r="CK21" s="132" t="str" cm="1">
        <f t="array" aca="1" ref="CK21" ca="1">IFERROR(SMALL(IF(CI$1:CI$150&lt;&gt;0,CI$1:CI$150),ROW(A21)),"")</f>
        <v/>
      </c>
      <c r="CL21" s="132" t="str">
        <f t="array" aca="1" ref="CL21" ca="1">IF($CK21&lt;&gt;"",
INDIRECT(""&amp;IF(COLUMN(BY21)&lt;=26,CHAR(COLUMN(BY21)+64),CHAR(INT((COLUMN(BY21)-1)/26)+64)&amp;CHAR(MOD(COLUMN(BY21)-1,26)+65))&amp;$CK21&amp;""),"")</f>
        <v/>
      </c>
      <c r="CM21" s="132" t="str">
        <f t="array" aca="1" ref="CM21" ca="1">IF($CK21&lt;&gt;"",
INDIRECT(""&amp;IF(COLUMN(BZ21)&lt;=26,CHAR(COLUMN(BZ21)+64),CHAR(INT((COLUMN(BZ21)-1)/26)+64)&amp;CHAR(MOD(COLUMN(BZ21)-1,26)+65))&amp;$CK21&amp;""),"")</f>
        <v/>
      </c>
      <c r="CN21" s="132" t="str">
        <f t="array" aca="1" ref="CN21" ca="1">IF($CK21&lt;&gt;"",
INDIRECT(""&amp;IF(COLUMN(CA21)&lt;=26,CHAR(COLUMN(CA21)+64),CHAR(INT((COLUMN(CA21)-1)/26)+64)&amp;CHAR(MOD(COLUMN(CA21)-1,26)+65))&amp;$CK21&amp;""),"")</f>
        <v/>
      </c>
      <c r="CO21" s="132" t="str">
        <f t="array" aca="1" ref="CO21" ca="1">IF($CK21&lt;&gt;"",
INDIRECT(""&amp;IF(COLUMN(CB21)&lt;=26,CHAR(COLUMN(CB21)+64),CHAR(INT((COLUMN(CB21)-1)/26)+64)&amp;CHAR(MOD(COLUMN(CB21)-1,26)+65))&amp;$CK21&amp;""),"")</f>
        <v/>
      </c>
      <c r="CP21" s="132" t="str">
        <f t="array" aca="1" ref="CP21" ca="1">IF($CK21&lt;&gt;"",
INDIRECT(""&amp;IF(COLUMN(CC21)&lt;=26,CHAR(COLUMN(CC21)+64),CHAR(INT((COLUMN(CC21)-1)/26)+64)&amp;CHAR(MOD(COLUMN(CC21)-1,26)+65))&amp;$CK21&amp;""),"")</f>
        <v/>
      </c>
      <c r="CQ21" s="132" t="str">
        <f t="array" aca="1" ref="CQ21" ca="1">IF($CK21&lt;&gt;"",
INDIRECT(""&amp;IF(COLUMN(CD21)&lt;=26,CHAR(COLUMN(CD21)+64),CHAR(INT((COLUMN(CD21)-1)/26)+64)&amp;CHAR(MOD(COLUMN(CD21)-1,26)+65))&amp;$CK21&amp;""),"")</f>
        <v/>
      </c>
      <c r="CR21" s="132" t="str">
        <f t="array" aca="1" ref="CR21" ca="1">IF($CK21&lt;&gt;"",
INDIRECT(""&amp;IF(COLUMN(CE21)&lt;=26,CHAR(COLUMN(CE21)+64),CHAR(INT((COLUMN(CE21)-1)/26)+64)&amp;CHAR(MOD(COLUMN(CE21)-1,26)+65))&amp;$CK21&amp;""),"")</f>
        <v/>
      </c>
      <c r="CS21" s="132" t="str">
        <f t="array" aca="1" ref="CS21" ca="1">IF($CK21&lt;&gt;"",
INDIRECT(""&amp;IF(COLUMN(CF21)&lt;=26,CHAR(COLUMN(CF21)+64),CHAR(INT((COLUMN(CF21)-1)/26)+64)&amp;CHAR(MOD(COLUMN(CF21)-1,26)+65))&amp;$CK21&amp;""),"")</f>
        <v/>
      </c>
      <c r="CT21" s="132" t="str">
        <f t="array" aca="1" ref="CT21" ca="1">IF($CK21&lt;&gt;"",
INDIRECT(""&amp;IF(COLUMN(CG21)&lt;=26,CHAR(COLUMN(CG21)+64),CHAR(INT((COLUMN(CG21)-1)/26)+64)&amp;CHAR(MOD(COLUMN(CG21)-1,26)+65))&amp;$CK21&amp;""),"")</f>
        <v/>
      </c>
      <c r="CU21" s="132" t="str">
        <f t="array" aca="1" ref="CU21" ca="1">IF($CK21&lt;&gt;"",
INDIRECT(""&amp;IF(COLUMN(CH21)&lt;=26,CHAR(COLUMN(CH21)+64),CHAR(INT((COLUMN(CH21)-1)/26)+64)&amp;CHAR(MOD(COLUMN(CH21)-1,26)+65))&amp;$CK21&amp;""),"")</f>
        <v/>
      </c>
    </row>
    <row r="22" spans="1:99" s="132" customFormat="1" ht="18" customHeight="1" x14ac:dyDescent="0.55000000000000004">
      <c r="A22" s="129" t="e" cm="1">
        <f t="array" aca="1" ref="A22" ca="1">IF(AND(LEFT(N15,2)="博多",LEFT(INDIRECT("数出表_Excel!A"&amp;I15-1),2)=LEFT(INDIRECT("数出表_Excel!A"&amp;I15+1),2)),
IF(AND(LEFT(INDIRECT("数出表_Excel!A"&amp;I15+2),2)="博多",LEFT(INDIRECT("数出表_Excel!A"&amp;I15+1),2)=LEFT(INDIRECT("数出表_Excel!A"&amp;I15+3),2)),
IF(AND(LEFT(INDIRECT("数出表_Excel!A"&amp;I15+4),2)="博多",LEFT(INDIRECT("数出表_Excel!A"&amp;I15+3),2)=LEFT(INDIRECT("数出表_Excel!A"&amp;I15+5),2)),
I15+8,
I15+6),
I15+4),
IF(LEFT(N15,3)="奈良屋",
IF(LEFT(INDIRECT("数出表_Excel!A"&amp;I15+2),3)="奈良屋",
IF(LEFT(INDIRECT("数出表_Excel!A"&amp;I15+4),3)="奈良屋",
I15+6,
I15+4),
I15+2),
I15+2))</f>
        <v>#VALUE!</v>
      </c>
      <c r="B22" s="130" t="e">
        <f t="array" aca="1" ref="B22" ca="1">GetResult(A22)</f>
        <v>#VALUE!</v>
      </c>
      <c r="C22" s="117" t="str">
        <f ca="1">IF(C23&lt;&gt;"",
IF(LEFT(G22,2)="博多",
LEFT(G22,FIND("週",G22)-1),
G22),"")</f>
        <v/>
      </c>
      <c r="D22" s="131"/>
      <c r="E22" s="131"/>
      <c r="F22" s="131"/>
      <c r="G22" s="157" t="e">
        <f t="array" aca="1" ref="G22" ca="1">INDIRECT("数出表_Excel!A"&amp;B22)</f>
        <v>#VALUE!</v>
      </c>
      <c r="H22" s="129" t="e" cm="1">
        <f t="array" aca="1" ref="H22" ca="1">IF(AND(LEFT(G22,2)="博多",LEFT(INDIRECT("数出表_Excel!A"&amp;B22-1),2)=LEFT(INDIRECT("数出表_Excel!A"&amp;B22+1),2)),
IF(AND(LEFT(INDIRECT("数出表_Excel!A"&amp;B22+2),2)="博多",LEFT(INDIRECT("数出表_Excel!A"&amp;B22+1),2)=LEFT(INDIRECT("数出表_Excel!A"&amp;B22+3),2)),
IF(AND(LEFT(INDIRECT("数出表_Excel!A"&amp;B22+4),2)="博多",LEFT(INDIRECT("数出表_Excel!A"&amp;B22+3),2)=LEFT(INDIRECT("数出表_Excel!A"&amp;B22+5),2)),
B22+8,
B22+2),
B22+4),
IF(LEFT(G22,3)="奈良屋",
IF(LEFT(INDIRECT("数出表_Excel!A"&amp;B22+2),3)="奈良屋",
IF(LEFT(INDIRECT("数出表_Excel!A"&amp;B22+4),3)="奈良屋",
B22+6,
B22+4),
B22+2),
B22+2))</f>
        <v>#VALUE!</v>
      </c>
      <c r="I22" s="130" t="e">
        <f t="array" aca="1" ref="I22" ca="1">GetResult(H22)</f>
        <v>#VALUE!</v>
      </c>
      <c r="J22" s="117" t="str">
        <f ca="1">IF(J23&lt;&gt;"",
IF(LEFT(N22,2)="博多",
LEFT(N22,FIND("週",N22)-1),
N22),"")</f>
        <v/>
      </c>
      <c r="K22" s="131"/>
      <c r="L22" s="131"/>
      <c r="M22" s="131"/>
      <c r="N22" s="152" t="e">
        <f t="array" aca="1" ref="N22" ca="1">INDIRECT("数出表_Excel!A"&amp;I22)</f>
        <v>#VALUE!</v>
      </c>
      <c r="O22" s="129"/>
      <c r="P22" s="129" t="e">
        <f t="array" aca="1" ref="P22" ca="1">IF(LEFT(AC15,2)="博多",
IF(LEFT(INDIRECT("数出表_Excel!A"&amp;X15+2),2)="博多",
IF(LEFT(INDIRECT("数出表_Excel!A"&amp;X15+4),2)="博多",
X15+6,
X15+4),
X15+2),
IF(LEFT(AC15,3)="奈良屋",
IF(LEFT(INDIRECT("数出表_Excel!A"&amp;X15+2),3)="奈良屋",
IF(LEFT(INDIRECT("数出表_Excel!A"&amp;X15+4),3)="奈良屋",
X15+6,
X15+4),
X15+2),
X15+2))</f>
        <v>#VALUE!</v>
      </c>
      <c r="Q22" s="130" t="e">
        <f t="array" aca="1" ref="Q22" ca="1">GetResult(P22)</f>
        <v>#VALUE!</v>
      </c>
      <c r="R22" s="117" t="str">
        <f ca="1">IF(R23&lt;&gt;"",
IF(LEFT(V22,2)="博多",
LEFT(V22,FIND("週",V22)-1),
V22),"")</f>
        <v/>
      </c>
      <c r="S22" s="131"/>
      <c r="T22" s="131"/>
      <c r="U22" s="131"/>
      <c r="V22" s="152" t="e">
        <f t="array" aca="1" ref="V22" ca="1">INDIRECT("数出表_Excel!A"&amp;Q22)</f>
        <v>#VALUE!</v>
      </c>
      <c r="W22" s="129" t="e">
        <f t="array" aca="1" ref="W22" ca="1">IF(LEFT(V22,2)="博多",
IF(LEFT(INDIRECT("数出表_Excel!A"&amp;Q22+2),2)="博多",
IF(LEFT(INDIRECT("数出表_Excel!A"&amp;Q22+4),2)="博多",
Q22+6,
Q22+4),
Q22+2),
IF(LEFT(V22,3)="奈良屋",
IF(LEFT(INDIRECT("数出表_Excel!A"&amp;Q22+2),3)="奈良屋",
IF(LEFT(INDIRECT("数出表_Excel!A"&amp;Q22+4),3)="奈良屋",
Q22+6,
Q22+4),
Q22+2),
Q22+2))</f>
        <v>#VALUE!</v>
      </c>
      <c r="X22" s="130" t="e">
        <f t="array" aca="1" ref="X22" ca="1">GetResult(W22)</f>
        <v>#VALUE!</v>
      </c>
      <c r="Y22" s="117" t="str">
        <f ca="1">IF(Y23&lt;&gt;"",
IF(LEFT(AC22,2)="博多",
LEFT(AC22,FIND("週",AC22)-1),
AC22),"")</f>
        <v/>
      </c>
      <c r="Z22" s="131"/>
      <c r="AA22" s="131"/>
      <c r="AB22" s="131"/>
      <c r="AC22" s="152" t="e">
        <f t="array" aca="1" ref="AC22" ca="1">INDIRECT("数出表_Excel!A"&amp;X22)</f>
        <v>#VALUE!</v>
      </c>
      <c r="AD22" s="129"/>
      <c r="AE22" s="129" t="e">
        <f t="array" aca="1" ref="AE22" ca="1">IF(LEFT(AR15,2)="博多",
IF(LEFT(INDIRECT("数出表_Excel!A"&amp;AM15+2),2)="博多",
IF(LEFT(INDIRECT("数出表_Excel!A"&amp;AM15+4),2)="博多",
AM15+6,
AM15+4),
AM15+2),
IF(LEFT(AR15,3)="奈良屋",
IF(LEFT(INDIRECT("数出表_Excel!A"&amp;AM15+2),3)="奈良屋",
IF(LEFT(INDIRECT("数出表_Excel!A"&amp;AM15+4),3)="奈良屋",
AM15+6,
AM15+4),
AM15+2),
AM15+2))</f>
        <v>#VALUE!</v>
      </c>
      <c r="AF22" s="130" t="e">
        <f t="array" aca="1" ref="AF22" ca="1">GetResult(AE22)</f>
        <v>#VALUE!</v>
      </c>
      <c r="AG22" s="117" t="str">
        <f ca="1">IF(AG23&lt;&gt;"",
IF(LEFT(AK22,2)="博多",
LEFT(AK22,FIND("週",AK22)-1),
AK22),"")</f>
        <v/>
      </c>
      <c r="AH22" s="131"/>
      <c r="AI22" s="131"/>
      <c r="AJ22" s="131"/>
      <c r="AK22" s="152" t="e">
        <f t="array" aca="1" ref="AK22" ca="1">INDIRECT("数出表_Excel!A"&amp;AF22)</f>
        <v>#VALUE!</v>
      </c>
      <c r="AL22" s="129" t="e">
        <f t="array" aca="1" ref="AL22" ca="1">IF(LEFT(AK22,2)="博多",
IF(LEFT(INDIRECT("数出表_Excel!A"&amp;AF22+2),2)="博多",
IF(LEFT(INDIRECT("数出表_Excel!A"&amp;AF22+4),2)="博多",
AF22+6,
AF22+4),
AF22+2),
IF(LEFT(AK22,3)="奈良屋",
IF(LEFT(INDIRECT("数出表_Excel!A"&amp;AF22+2),3)="奈良屋",
IF(LEFT(INDIRECT("数出表_Excel!A"&amp;AF22+4),3)="奈良屋",
AF22+6,
AF22+4),
AF22+2),
AF22+2))</f>
        <v>#VALUE!</v>
      </c>
      <c r="AM22" s="130" t="e">
        <f t="array" aca="1" ref="AM22" ca="1">GetResult(AL22)</f>
        <v>#VALUE!</v>
      </c>
      <c r="AN22" s="117" t="str">
        <f ca="1">IF(AN23&lt;&gt;"",
IF(LEFT(AR22,2)="博多",
LEFT(AR22,FIND("週",AR22)-1),
AR22),"")</f>
        <v/>
      </c>
      <c r="AO22" s="131"/>
      <c r="AP22" s="131"/>
      <c r="AQ22" s="131"/>
      <c r="AR22" s="152" t="e">
        <f t="array" aca="1" ref="AR22" ca="1">INDIRECT("数出表_Excel!A"&amp;AM22)</f>
        <v>#VALUE!</v>
      </c>
      <c r="AS22" s="129"/>
      <c r="AT22" s="129" t="e">
        <f t="array" aca="1" ref="AT22" ca="1">IF(LEFT(BG15,2)="博多",
IF(LEFT(INDIRECT("数出表_Excel!A"&amp;BB15+2),2)="博多",
IF(LEFT(INDIRECT("数出表_Excel!A"&amp;BB15+4),2)="博多",
BB15+6,
BB15+4),
BB15+2),
IF(LEFT(BG15,3)="奈良屋",
IF(LEFT(INDIRECT("数出表_Excel!A"&amp;BB15+2),3)="奈良屋",
IF(LEFT(INDIRECT("数出表_Excel!A"&amp;BB15+4),3)="奈良屋",
BB15+6,
BB15+4),
BB15+2),
BB15+2))</f>
        <v>#VALUE!</v>
      </c>
      <c r="AU22" s="130" t="e">
        <f t="array" aca="1" ref="AU22" ca="1">GetResult(AT22)</f>
        <v>#VALUE!</v>
      </c>
      <c r="AV22" s="117" t="str">
        <f ca="1">IF(AV23&lt;&gt;"",
IF(LEFT(AZ22,2)="博多",
LEFT(AZ22,FIND("週",AZ22)-1),
AZ22),"")</f>
        <v/>
      </c>
      <c r="AW22" s="131"/>
      <c r="AX22" s="131"/>
      <c r="AY22" s="131"/>
      <c r="AZ22" s="152" t="e">
        <f t="array" aca="1" ref="AZ22" ca="1">INDIRECT("数出表_Excel!A"&amp;AU22)</f>
        <v>#VALUE!</v>
      </c>
      <c r="BA22" s="129" t="e">
        <f t="array" aca="1" ref="BA22" ca="1">IF(LEFT(AZ22,2)="博多",
IF(LEFT(INDIRECT("数出表_Excel!A"&amp;AU22+2),2)="博多",
IF(LEFT(INDIRECT("数出表_Excel!A"&amp;AU22+4),2)="博多",
AU22+6,
AU22+4),
AU22+2),
IF(LEFT(AZ22,3)="奈良屋",
IF(LEFT(INDIRECT("数出表_Excel!A"&amp;AU22+2),3)="奈良屋",
IF(LEFT(INDIRECT("数出表_Excel!A"&amp;AU22+4),3)="奈良屋",
AU22+6,
AU22+4),
AU22+2),
AU22+2))</f>
        <v>#VALUE!</v>
      </c>
      <c r="BB22" s="130" t="e">
        <f t="array" aca="1" ref="BB22" ca="1">GetResult(BA22)</f>
        <v>#VALUE!</v>
      </c>
      <c r="BC22" s="117" t="str">
        <f ca="1">IF(BC23&lt;&gt;"",
IF(LEFT(BG22,2)="博多",
LEFT(BG22,FIND("週",BG22)-1),
BG22),"")</f>
        <v/>
      </c>
      <c r="BD22" s="131"/>
      <c r="BE22" s="131"/>
      <c r="BF22" s="131"/>
      <c r="BG22" s="152" t="e">
        <f t="array" aca="1" ref="BG22" ca="1">INDIRECT("数出表_Excel!A"&amp;BB22)</f>
        <v>#VALUE!</v>
      </c>
      <c r="BH22" s="129"/>
      <c r="BI22" s="129" t="e">
        <f t="array" aca="1" ref="BI22" ca="1">IF(LEFT(BV15,2)="博多",
IF(LEFT(INDIRECT("数出表_Excel!A"&amp;BQ15+2),2)="博多",
IF(LEFT(INDIRECT("数出表_Excel!A"&amp;BQ15+4),2)="博多",
BQ15+6,
BQ15+4),
BQ15+2),
IF(LEFT(BV15,3)="奈良屋",
IF(LEFT(INDIRECT("数出表_Excel!A"&amp;BQ15+2),3)="奈良屋",
IF(LEFT(INDIRECT("数出表_Excel!A"&amp;BQ15+4),3)="奈良屋",
BQ15+6,
BQ15+4),
BQ15+2),
BQ15+2))</f>
        <v>#VALUE!</v>
      </c>
      <c r="BJ22" s="130" t="e">
        <f t="array" aca="1" ref="BJ22" ca="1">GetResult(BI22)</f>
        <v>#VALUE!</v>
      </c>
      <c r="BK22" s="117" t="str">
        <f ca="1">IF(BK23&lt;&gt;"",
IF(LEFT(BO22,2)="博多",
LEFT(BO22,FIND("週",BO22)-1),
BO22),"")</f>
        <v/>
      </c>
      <c r="BL22" s="131"/>
      <c r="BM22" s="131"/>
      <c r="BN22" s="131"/>
      <c r="BO22" s="152" t="e">
        <f t="array" aca="1" ref="BO22" ca="1">INDIRECT("数出表_Excel!A"&amp;BJ22)</f>
        <v>#VALUE!</v>
      </c>
      <c r="BP22" s="129" t="e">
        <f t="array" aca="1" ref="BP22" ca="1">IF(LEFT(BO22,2)="博多",
IF(LEFT(INDIRECT("数出表_Excel!A"&amp;BJ22+2),2)="博多",
IF(LEFT(INDIRECT("数出表_Excel!A"&amp;BJ22+4),2)="博多",
BJ22+6,
BJ22+4),
BJ22+2),
IF(LEFT(BO22,3)="奈良屋",
IF(LEFT(INDIRECT("数出表_Excel!A"&amp;BJ22+2),3)="奈良屋",
IF(LEFT(INDIRECT("数出表_Excel!A"&amp;BJ22+4),3)="奈良屋",
BJ22+6,
BJ22+4),
BJ22+2),
BJ22+2))</f>
        <v>#VALUE!</v>
      </c>
      <c r="BQ22" s="130" t="e">
        <f t="array" aca="1" ref="BQ22" ca="1">GetResult(BP22)</f>
        <v>#VALUE!</v>
      </c>
      <c r="BR22" s="117" t="str">
        <f ca="1">IF(BR23&lt;&gt;"",
IF(LEFT(BV22,2)="博多",
LEFT(BV22,FIND("週",BV22)-1),
BV22),"")</f>
        <v/>
      </c>
      <c r="BS22" s="131"/>
      <c r="BT22" s="131"/>
      <c r="BU22" s="131"/>
      <c r="BV22" s="152" t="e">
        <f t="array" aca="1" ref="BV22" ca="1">INDIRECT("数出表_Excel!A"&amp;BQ22)</f>
        <v>#VALUE!</v>
      </c>
      <c r="BW22" s="129"/>
      <c r="BX22" s="132">
        <f t="shared" si="1"/>
        <v>77</v>
      </c>
      <c r="BY22" s="132" t="str">
        <f t="array" aca="1" ref="BY22" ca="1">INDIRECT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
&amp;MID(SUBSTITUTE(_xlfn.FORMULATEXT(BY$1),"=",""), LEN(_xlfn.TEXTJOIN("",TRUE,IF(ISERROR(MID(SUBSTITUTE(_xlfn.FORMULATEXT(BY$1),"=",""),ROW(INDIRECT("1:"&amp;LEN(SUBSTITUTE(_xlfn.FORMULATEXT(BY$1),"=","")))),1)*1),MID(SUBSTITUTE(_xlfn.FORMULATEXT(BY$1),"=",""),ROW(INDIRECT("1:"&amp;LEN(SUBSTITUTE(_xlfn.FORMULATEXT(BY$1),"=","")))),1),"")))+1, LEN(SUBSTITUTE(_xlfn.FORMULATEXT(BY$1),"=","")))+$BX22)</f>
        <v/>
      </c>
      <c r="BZ22" s="132" t="str">
        <f t="array" aca="1" ref="BZ22" ca="1">INDIRECT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
&amp;MID(SUBSTITUTE(_xlfn.FORMULATEXT(BZ$1),"=",""), LEN(_xlfn.TEXTJOIN("",TRUE,IF(ISERROR(MID(SUBSTITUTE(_xlfn.FORMULATEXT(BZ$1),"=",""),ROW(INDIRECT("1:"&amp;LEN(SUBSTITUTE(_xlfn.FORMULATEXT(BZ$1),"=","")))),1)*1),MID(SUBSTITUTE(_xlfn.FORMULATEXT(BZ$1),"=",""),ROW(INDIRECT("1:"&amp;LEN(SUBSTITUTE(_xlfn.FORMULATEXT(BZ$1),"=","")))),1),"")))+1, LEN(SUBSTITUTE(_xlfn.FORMULATEXT(BZ$1),"=","")))+$BX22)</f>
        <v/>
      </c>
      <c r="CA22" s="132" t="str">
        <f t="array" aca="1" ref="CA22" ca="1">INDIRECT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
&amp;MID(SUBSTITUTE(_xlfn.FORMULATEXT(CA$1),"=",""), LEN(_xlfn.TEXTJOIN("",TRUE,IF(ISERROR(MID(SUBSTITUTE(_xlfn.FORMULATEXT(CA$1),"=",""),ROW(INDIRECT("1:"&amp;LEN(SUBSTITUTE(_xlfn.FORMULATEXT(CA$1),"=","")))),1)*1),MID(SUBSTITUTE(_xlfn.FORMULATEXT(CA$1),"=",""),ROW(INDIRECT("1:"&amp;LEN(SUBSTITUTE(_xlfn.FORMULATEXT(CA$1),"=","")))),1),"")))+1, LEN(SUBSTITUTE(_xlfn.FORMULATEXT(CA$1),"=","")))+$BX22)</f>
        <v/>
      </c>
      <c r="CB22" s="132" t="str">
        <f t="array" aca="1" ref="CB22" ca="1">INDIRECT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
&amp;MID(SUBSTITUTE(_xlfn.FORMULATEXT(CB$1),"=",""), LEN(_xlfn.TEXTJOIN("",TRUE,IF(ISERROR(MID(SUBSTITUTE(_xlfn.FORMULATEXT(CB$1),"=",""),ROW(INDIRECT("1:"&amp;LEN(SUBSTITUTE(_xlfn.FORMULATEXT(CB$1),"=","")))),1)*1),MID(SUBSTITUTE(_xlfn.FORMULATEXT(CB$1),"=",""),ROW(INDIRECT("1:"&amp;LEN(SUBSTITUTE(_xlfn.FORMULATEXT(CB$1),"=","")))),1),"")))+1, LEN(SUBSTITUTE(_xlfn.FORMULATEXT(CB$1),"=","")))+$BX22)</f>
        <v/>
      </c>
      <c r="CC22" s="132" t="str">
        <f t="array" aca="1" ref="CC22" ca="1">INDIRECT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
&amp;MID(SUBSTITUTE(_xlfn.FORMULATEXT(CC$1),"=",""), LEN(_xlfn.TEXTJOIN("",TRUE,IF(ISERROR(MID(SUBSTITUTE(_xlfn.FORMULATEXT(CC$1),"=",""),ROW(INDIRECT("1:"&amp;LEN(SUBSTITUTE(_xlfn.FORMULATEXT(CC$1),"=","")))),1)*1),MID(SUBSTITUTE(_xlfn.FORMULATEXT(CC$1),"=",""),ROW(INDIRECT("1:"&amp;LEN(SUBSTITUTE(_xlfn.FORMULATEXT(CC$1),"=","")))),1),"")))+1, LEN(SUBSTITUTE(_xlfn.FORMULATEXT(CC$1),"=","")))+$BX22)</f>
        <v/>
      </c>
      <c r="CD22" s="132" t="str">
        <f t="array" aca="1" ref="CD22" ca="1">INDIRECT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
&amp;MID(SUBSTITUTE(_xlfn.FORMULATEXT(CD$1),"=",""), LEN(_xlfn.TEXTJOIN("",TRUE,IF(ISERROR(MID(SUBSTITUTE(_xlfn.FORMULATEXT(CD$1),"=",""),ROW(INDIRECT("1:"&amp;LEN(SUBSTITUTE(_xlfn.FORMULATEXT(CD$1),"=","")))),1)*1),MID(SUBSTITUTE(_xlfn.FORMULATEXT(CD$1),"=",""),ROW(INDIRECT("1:"&amp;LEN(SUBSTITUTE(_xlfn.FORMULATEXT(CD$1),"=","")))),1),"")))+1, LEN(SUBSTITUTE(_xlfn.FORMULATEXT(CD$1),"=","")))+$BX22)</f>
        <v/>
      </c>
      <c r="CE22" s="132" t="str">
        <f t="array" aca="1" ref="CE22" ca="1">INDIRECT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
&amp;MID(SUBSTITUTE(_xlfn.FORMULATEXT(CE$1),"=",""), LEN(_xlfn.TEXTJOIN("",TRUE,IF(ISERROR(MID(SUBSTITUTE(_xlfn.FORMULATEXT(CE$1),"=",""),ROW(INDIRECT("1:"&amp;LEN(SUBSTITUTE(_xlfn.FORMULATEXT(CE$1),"=","")))),1)*1),MID(SUBSTITUTE(_xlfn.FORMULATEXT(CE$1),"=",""),ROW(INDIRECT("1:"&amp;LEN(SUBSTITUTE(_xlfn.FORMULATEXT(CE$1),"=","")))),1),"")))+1, LEN(SUBSTITUTE(_xlfn.FORMULATEXT(CE$1),"=","")))+$BX22)</f>
        <v/>
      </c>
      <c r="CF22" s="132" t="str">
        <f t="array" aca="1" ref="CF22" ca="1">INDIRECT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
&amp;MID(SUBSTITUTE(_xlfn.FORMULATEXT(CF$1),"=",""), LEN(_xlfn.TEXTJOIN("",TRUE,IF(ISERROR(MID(SUBSTITUTE(_xlfn.FORMULATEXT(CF$1),"=",""),ROW(INDIRECT("1:"&amp;LEN(SUBSTITUTE(_xlfn.FORMULATEXT(CF$1),"=","")))),1)*1),MID(SUBSTITUTE(_xlfn.FORMULATEXT(CF$1),"=",""),ROW(INDIRECT("1:"&amp;LEN(SUBSTITUTE(_xlfn.FORMULATEXT(CF$1),"=","")))),1),"")))+1, LEN(SUBSTITUTE(_xlfn.FORMULATEXT(CF$1),"=","")))+$BX22)</f>
        <v/>
      </c>
      <c r="CG22" s="132" t="str">
        <f t="array" aca="1" ref="CG22" ca="1">INDIRECT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
&amp;MID(SUBSTITUTE(_xlfn.FORMULATEXT(CG$1),"=",""), LEN(_xlfn.TEXTJOIN("",TRUE,IF(ISERROR(MID(SUBSTITUTE(_xlfn.FORMULATEXT(CG$1),"=",""),ROW(INDIRECT("1:"&amp;LEN(SUBSTITUTE(_xlfn.FORMULATEXT(CG$1),"=","")))),1)*1),MID(SUBSTITUTE(_xlfn.FORMULATEXT(CG$1),"=",""),ROW(INDIRECT("1:"&amp;LEN(SUBSTITUTE(_xlfn.FORMULATEXT(CG$1),"=","")))),1),"")))+1, LEN(SUBSTITUTE(_xlfn.FORMULATEXT(CG$1),"=","")))+$BX22)</f>
        <v/>
      </c>
      <c r="CH22" s="132" t="str">
        <f t="array" aca="1" ref="CH22" ca="1">INDIRECT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
&amp;MID(SUBSTITUTE(_xlfn.FORMULATEXT(CH$1),"=",""), LEN(_xlfn.TEXTJOIN("",TRUE,IF(ISERROR(MID(SUBSTITUTE(_xlfn.FORMULATEXT(CH$1),"=",""),ROW(INDIRECT("1:"&amp;LEN(SUBSTITUTE(_xlfn.FORMULATEXT(CH$1),"=","")))),1)*1),MID(SUBSTITUTE(_xlfn.FORMULATEXT(CH$1),"=",""),ROW(INDIRECT("1:"&amp;LEN(SUBSTITUTE(_xlfn.FORMULATEXT(CH$1),"=","")))),1),"")))+1, LEN(SUBSTITUTE(_xlfn.FORMULATEXT(CH$1),"=","")))+$BX22)</f>
        <v/>
      </c>
      <c r="CI22" s="132">
        <f t="shared" ca="1" si="0"/>
        <v>0</v>
      </c>
      <c r="CJ22" s="132" t="b">
        <f t="array" aca="1" ref="CJ22" ca="1">SUMPRODUCT((LEN(BY22:CH22)&gt;0)*1)&gt;0</f>
        <v>0</v>
      </c>
      <c r="CK22" s="132" t="str" cm="1">
        <f t="array" aca="1" ref="CK22" ca="1">IFERROR(SMALL(IF(CI$1:CI$150&lt;&gt;0,CI$1:CI$150),ROW(A22)),"")</f>
        <v/>
      </c>
      <c r="CL22" s="132" t="str">
        <f t="array" aca="1" ref="CL22" ca="1">IF($CK22&lt;&gt;"",
INDIRECT(""&amp;IF(COLUMN(BY22)&lt;=26,CHAR(COLUMN(BY22)+64),CHAR(INT((COLUMN(BY22)-1)/26)+64)&amp;CHAR(MOD(COLUMN(BY22)-1,26)+65))&amp;$CK22&amp;""),"")</f>
        <v/>
      </c>
      <c r="CM22" s="132" t="str">
        <f t="array" aca="1" ref="CM22" ca="1">IF($CK22&lt;&gt;"",
INDIRECT(""&amp;IF(COLUMN(BZ22)&lt;=26,CHAR(COLUMN(BZ22)+64),CHAR(INT((COLUMN(BZ22)-1)/26)+64)&amp;CHAR(MOD(COLUMN(BZ22)-1,26)+65))&amp;$CK22&amp;""),"")</f>
        <v/>
      </c>
      <c r="CN22" s="132" t="str">
        <f t="array" aca="1" ref="CN22" ca="1">IF($CK22&lt;&gt;"",
INDIRECT(""&amp;IF(COLUMN(CA22)&lt;=26,CHAR(COLUMN(CA22)+64),CHAR(INT((COLUMN(CA22)-1)/26)+64)&amp;CHAR(MOD(COLUMN(CA22)-1,26)+65))&amp;$CK22&amp;""),"")</f>
        <v/>
      </c>
      <c r="CO22" s="132" t="str">
        <f t="array" aca="1" ref="CO22" ca="1">IF($CK22&lt;&gt;"",
INDIRECT(""&amp;IF(COLUMN(CB22)&lt;=26,CHAR(COLUMN(CB22)+64),CHAR(INT((COLUMN(CB22)-1)/26)+64)&amp;CHAR(MOD(COLUMN(CB22)-1,26)+65))&amp;$CK22&amp;""),"")</f>
        <v/>
      </c>
      <c r="CP22" s="132" t="str">
        <f t="array" aca="1" ref="CP22" ca="1">IF($CK22&lt;&gt;"",
INDIRECT(""&amp;IF(COLUMN(CC22)&lt;=26,CHAR(COLUMN(CC22)+64),CHAR(INT((COLUMN(CC22)-1)/26)+64)&amp;CHAR(MOD(COLUMN(CC22)-1,26)+65))&amp;$CK22&amp;""),"")</f>
        <v/>
      </c>
      <c r="CQ22" s="132" t="str">
        <f t="array" aca="1" ref="CQ22" ca="1">IF($CK22&lt;&gt;"",
INDIRECT(""&amp;IF(COLUMN(CD22)&lt;=26,CHAR(COLUMN(CD22)+64),CHAR(INT((COLUMN(CD22)-1)/26)+64)&amp;CHAR(MOD(COLUMN(CD22)-1,26)+65))&amp;$CK22&amp;""),"")</f>
        <v/>
      </c>
      <c r="CR22" s="132" t="str">
        <f t="array" aca="1" ref="CR22" ca="1">IF($CK22&lt;&gt;"",
INDIRECT(""&amp;IF(COLUMN(CE22)&lt;=26,CHAR(COLUMN(CE22)+64),CHAR(INT((COLUMN(CE22)-1)/26)+64)&amp;CHAR(MOD(COLUMN(CE22)-1,26)+65))&amp;$CK22&amp;""),"")</f>
        <v/>
      </c>
      <c r="CS22" s="132" t="str">
        <f t="array" aca="1" ref="CS22" ca="1">IF($CK22&lt;&gt;"",
INDIRECT(""&amp;IF(COLUMN(CF22)&lt;=26,CHAR(COLUMN(CF22)+64),CHAR(INT((COLUMN(CF22)-1)/26)+64)&amp;CHAR(MOD(COLUMN(CF22)-1,26)+65))&amp;$CK22&amp;""),"")</f>
        <v/>
      </c>
      <c r="CT22" s="132" t="str">
        <f t="array" aca="1" ref="CT22" ca="1">IF($CK22&lt;&gt;"",
INDIRECT(""&amp;IF(COLUMN(CG22)&lt;=26,CHAR(COLUMN(CG22)+64),CHAR(INT((COLUMN(CG22)-1)/26)+64)&amp;CHAR(MOD(COLUMN(CG22)-1,26)+65))&amp;$CK22&amp;""),"")</f>
        <v/>
      </c>
      <c r="CU22" s="132" t="str">
        <f t="array" aca="1" ref="CU22" ca="1">IF($CK22&lt;&gt;"",
INDIRECT(""&amp;IF(COLUMN(CH22)&lt;=26,CHAR(COLUMN(CH22)+64),CHAR(INT((COLUMN(CH22)-1)/26)+64)&amp;CHAR(MOD(COLUMN(CH22)-1,26)+65))&amp;$CK22&amp;""),"")</f>
        <v/>
      </c>
    </row>
    <row r="23" spans="1:99" s="132" customFormat="1" ht="18" customHeight="1" x14ac:dyDescent="0.55000000000000004">
      <c r="A23" s="129"/>
      <c r="B23" s="135" t="e">
        <f t="array" aca="1" ref="B23" ca="1">IF(B24&lt;&gt;100,
IF(C25&lt;&gt;"",MATCH(C25,INDIRECT("数出表_Excel!B"&amp;MATCH(G22,数出表_Excel!$A:$A,0)-1&amp;":U"&amp;MATCH(G22,数出表_Excel!$A:$A,0)-1&amp;""),0)+1,""),
IF(C25&lt;&gt;"",
MATCH(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""),
INDIRECT("数出表_Excel!B"&amp;MATCH(G22,数出表_Excel!$A:$A,0)-1&amp;":U"&amp;MATCH(G22,数出表_Excel!$A:$A,0)-1&amp;""),0)+1,""))</f>
        <v>#VALUE!</v>
      </c>
      <c r="C23" s="70" t="str">
        <f t="array" aca="1" ref="C23" ca="1">IF(COUNTIF(G22,"*合計*"),"",
IF(IFERROR(INDIRECT("数出表_Excel!" &amp;
CHAR(MATCH(TRUE,
ISNUMBER(--INDIRECT("数出表_Excel!B"&amp;MATCH(G22,数出表_Excel!$A:$A,0)-1&amp;":U"&amp;MATCH(G22,数出表_Excel!$A:$A,0)-1&amp;"")),0)+65) &amp; "3"),0)=0,"",
IFERROR(INDIRECT("数出表_Excel!" &amp;
CHAR(MATCH(TRUE,
ISNUMBER(--INDIRECT("数出表_Excel!B"&amp;MATCH(G22,数出表_Excel!$A:$A,0)-1&amp;":U"&amp;MATCH(G22,数出表_Excel!$A:$A,0)-1&amp;"")),0)+65) &amp; "3"),"")))</f>
        <v/>
      </c>
      <c r="D23" s="129"/>
      <c r="E23" s="136" t="str">
        <f ca="1">IF(F23&lt;&gt;"","",
IF(C22&lt;&gt;"",
IFERROR(
INDEX('数出表_Excel（アレルギー入力）'!$4:$4,
 1,
MATCH(C25,INDIRECT("'数出表_Excel（アレルギー入力）'!"&amp;B22-1&amp;":"&amp;B22-1&amp;""),0)),
 "")
&amp;IFERROR(
INDEX('数出表_Excel（アレルギー入力）'!$5:$5,
 1,
MATCH(C25,INDIRECT("'数出表_Excel（アレルギー入力）'!"&amp;B22-1&amp;":"&amp;B22-1&amp;""),0)),
 ""),""))</f>
        <v/>
      </c>
      <c r="F23" s="137" t="str">
        <f t="array" aca="1" ref="F23" ca="1">IF(C23&lt;&gt;"",
IF(MATCH(TRUE,
ISNUMBER(--INDIRECT("数出表_Excel!B"&amp;MATCH(G22,数出表_Excel!$A:$A,0)-1&amp;":U"&amp;MATCH(G22,数出表_Excel!$A:$A,0)-1&amp;"")),0)&gt;10,
IF(C23&lt;&gt;"",
IF(IF(COUNTIF('盛付札（関数）'!C23,"*キャラ*"),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VLOOKUP('盛付札（関数）'!C23,商品マスタ一覧!$D:$J,7,FALSE)))=0,"",
IF(ROUND(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VLOOKUP('盛付札（関数）'!C23,商品マスタ一覧!$D:$J,7,FALSE))),0)&lt;=0,1,
ROUND(
IF(F28&lt;&gt;"",(C25-F28),C25)
/IF(COUNTIF('盛付札（関数）'!C23,"*キャラ*"),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VLOOKUP('盛付札（関数）'!C23,商品マスタ一覧!$D:$J,7,FALSE))),0))),""),""),"")</f>
        <v/>
      </c>
      <c r="G23" s="158" t="str">
        <f ca="1">IF(F23&lt;&gt;"",IF(VALUE(IF(F28&lt;&gt;"",C25-F28,C25))&gt;VALUE(IF(COUNTIF('盛付札（関数）'!C23,"*キャラ*"),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
"+"&amp;IF(F28&lt;&gt;"",C25-F28,C25)-IF(COUNTIF('盛付札（関数）'!C23,"*キャラ*"),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VLOOKUP('盛付札（関数）'!C23,商品マスタ一覧!$D:$J,7,FALSE)))*F23,
IF(F28&lt;&gt;"",C25-F28,C25)-IF(COUNTIF('盛付札（関数）'!C23,"*キャラ*"),
VLOOKUP("*キャラ*",商品マスタ一覧!$D:$J,7,FALSE),
IF(COUNTIF('盛付札（関数）'!C23,"*赤*"),
VLOOKUP("*赤*",商品マスタ一覧!$D:$J,7,FALSE),
VLOOKUP('盛付札（関数）'!C23,商品マスタ一覧!$D:$J,7,FALSE)))*F23),"")</f>
        <v/>
      </c>
      <c r="H23" s="129"/>
      <c r="I23" s="135" t="e">
        <f t="array" aca="1" ref="I23" ca="1">IF(I24&lt;&gt;100,
IF(J25&lt;&gt;"",MATCH(J25,INDIRECT("数出表_Excel!B"&amp;MATCH(N22,数出表_Excel!$A:$A,0)-1&amp;":U"&amp;MATCH(N22,数出表_Excel!$A:$A,0)-1&amp;""),0)+1,""),
IF(J25&lt;&gt;"",
MATCH(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""),
INDIRECT("数出表_Excel!B"&amp;MATCH(N22,数出表_Excel!$A:$A,0)-1&amp;":U"&amp;MATCH(N22,数出表_Excel!$A:$A,0)-1&amp;""),0)+1,""))</f>
        <v>#VALUE!</v>
      </c>
      <c r="J23" s="70" t="str">
        <f t="array" aca="1" ref="J23" ca="1">IF(COUNTIF(N22,"*合計*"),"",
IF(IFERROR(INDIRECT("数出表_Excel!" &amp;
CHAR(MATCH(TRUE,
ISNUMBER(--INDIRECT("数出表_Excel!B"&amp;MATCH(N22,数出表_Excel!$A:$A,0)-1&amp;":U"&amp;MATCH(N22,数出表_Excel!$A:$A,0)-1&amp;"")),0)+65) &amp; "3"),0)=0,"",
IFERROR(INDIRECT("数出表_Excel!" &amp;
CHAR(MATCH(TRUE,
ISNUMBER(--INDIRECT("数出表_Excel!B"&amp;MATCH(N22,数出表_Excel!$A:$A,0)-1&amp;":U"&amp;MATCH(N22,数出表_Excel!$A:$A,0)-1&amp;"")),0)+65) &amp; "3"),"")))</f>
        <v/>
      </c>
      <c r="K23" s="129"/>
      <c r="L23" s="136" t="str">
        <f ca="1">IF(M23&lt;&gt;"","",
IF(J22&lt;&gt;"",
IFERROR(
INDEX('数出表_Excel（アレルギー入力）'!$4:$4,
 1,
MATCH(J25,INDIRECT("'数出表_Excel（アレルギー入力）'!"&amp;I22-1&amp;":"&amp;I22-1&amp;""),0)),
 "")
&amp;IFERROR(
INDEX('数出表_Excel（アレルギー入力）'!$5:$5,
 1,
MATCH(J25,INDIRECT("'数出表_Excel（アレルギー入力）'!"&amp;I22-1&amp;":"&amp;I22-1&amp;""),0)),
 ""),""))</f>
        <v/>
      </c>
      <c r="M23" s="137" t="str">
        <f t="array" aca="1" ref="M23" ca="1">IF(J23&lt;&gt;"",
IF(MATCH(TRUE,
ISNUMBER(--INDIRECT("数出表_Excel!B"&amp;MATCH(N22,数出表_Excel!$A:$A,0)-1&amp;":U"&amp;MATCH(N22,数出表_Excel!$A:$A,0)-1&amp;"")),0)&gt;10,
IF(J23&lt;&gt;"",
IF(IF(COUNTIF('盛付札（関数）'!J23,"*キャラ*"),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VLOOKUP('盛付札（関数）'!J23,商品マスタ一覧!$D:$J,7,FALSE)))=0,"",
IF(ROUND(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VLOOKUP('盛付札（関数）'!J23,商品マスタ一覧!$D:$J,7,FALSE))),0)&lt;=0,1,
ROUND(
IF(M28&lt;&gt;"",(J25-M28),J25)
/IF(COUNTIF('盛付札（関数）'!J23,"*キャラ*"),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VLOOKUP('盛付札（関数）'!J23,商品マスタ一覧!$D:$J,7,FALSE))),0))),""),""),"")</f>
        <v/>
      </c>
      <c r="N23" s="153" t="str">
        <f ca="1">IF(M23&lt;&gt;"",IF(VALUE(IF(M28&lt;&gt;"",J25-M28,J25))&gt;VALUE(IF(COUNTIF('盛付札（関数）'!J23,"*キャラ*"),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
"+"&amp;IF(M28&lt;&gt;"",J25-M28,J25)-IF(COUNTIF('盛付札（関数）'!J23,"*キャラ*"),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VLOOKUP('盛付札（関数）'!J23,商品マスタ一覧!$D:$J,7,FALSE)))*M23,
IF(M28&lt;&gt;"",J25-M28,J25)-IF(COUNTIF('盛付札（関数）'!J23,"*キャラ*"),
VLOOKUP("*キャラ*",商品マスタ一覧!$D:$J,7,FALSE),
IF(COUNTIF('盛付札（関数）'!J23,"*赤*"),
VLOOKUP("*赤*",商品マスタ一覧!$D:$J,7,FALSE),
VLOOKUP('盛付札（関数）'!J23,商品マスタ一覧!$D:$J,7,FALSE)))*M23),"")</f>
        <v/>
      </c>
      <c r="O23" s="129"/>
      <c r="P23" s="129"/>
      <c r="Q23" s="135" t="e">
        <f t="array" aca="1" ref="Q23" ca="1">IF(Q24&lt;&gt;100,
IF(R25&lt;&gt;"",MATCH(R25,INDIRECT("数出表_Excel!B"&amp;MATCH(V22,数出表_Excel!$A:$A,0)-1&amp;":U"&amp;MATCH(V22,数出表_Excel!$A:$A,0)-1&amp;""),0)+1,""),
IF(R25&lt;&gt;"",
MATCH(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""),
INDIRECT("数出表_Excel!B"&amp;MATCH(V22,数出表_Excel!$A:$A,0)-1&amp;":U"&amp;MATCH(V22,数出表_Excel!$A:$A,0)-1&amp;""),0)+1,""))</f>
        <v>#VALUE!</v>
      </c>
      <c r="R23" s="70" t="str">
        <f t="array" aca="1" ref="R23" ca="1">IF(COUNTIF(V22,"*合計*"),"",
IF(IFERROR(INDIRECT("数出表_Excel!" &amp;
CHAR(MATCH(TRUE,
ISNUMBER(--INDIRECT("数出表_Excel!B"&amp;MATCH(V22,数出表_Excel!$A:$A,0)-1&amp;":U"&amp;MATCH(V22,数出表_Excel!$A:$A,0)-1&amp;"")),0)+65) &amp; "3"),0)=0,"",
IFERROR(INDIRECT("数出表_Excel!" &amp;
CHAR(MATCH(TRUE,
ISNUMBER(--INDIRECT("数出表_Excel!B"&amp;MATCH(V22,数出表_Excel!$A:$A,0)-1&amp;":U"&amp;MATCH(V22,数出表_Excel!$A:$A,0)-1&amp;"")),0)+65) &amp; "3"),"")))</f>
        <v/>
      </c>
      <c r="S23" s="129"/>
      <c r="T23" s="136" t="str">
        <f ca="1">IF(U23&lt;&gt;"","",
IF(R22&lt;&gt;"",
IFERROR(
INDEX('数出表_Excel（アレルギー入力）'!$4:$4,
 1,
MATCH(R25,INDIRECT("'数出表_Excel（アレルギー入力）'!"&amp;Q22-1&amp;":"&amp;Q22-1&amp;""),0)),
 "")
&amp;IFERROR(
INDEX('数出表_Excel（アレルギー入力）'!$5:$5,
 1,
MATCH(R25,INDIRECT("'数出表_Excel（アレルギー入力）'!"&amp;Q22-1&amp;":"&amp;Q22-1&amp;""),0)),
 ""),""))</f>
        <v/>
      </c>
      <c r="U23" s="137" t="str">
        <f t="array" aca="1" ref="U23" ca="1">IF(R23&lt;&gt;"",
IF(MATCH(TRUE,
ISNUMBER(--INDIRECT("数出表_Excel!B"&amp;MATCH(V22,数出表_Excel!$A:$A,0)-1&amp;":U"&amp;MATCH(V22,数出表_Excel!$A:$A,0)-1&amp;"")),0)&gt;10,
IF(R23&lt;&gt;"",
IF(IF(COUNTIF('盛付札（関数）'!R23,"*キャラ*"),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VLOOKUP('盛付札（関数）'!R23,商品マスタ一覧!$D:$J,7,FALSE)))=0,"",
IF(ROUND(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VLOOKUP('盛付札（関数）'!R23,商品マスタ一覧!$D:$J,7,FALSE))),0)&lt;=0,1,
ROUND(
IF(U28&lt;&gt;"",(R25-U28),R25)
/IF(COUNTIF('盛付札（関数）'!R23,"*キャラ*"),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VLOOKUP('盛付札（関数）'!R23,商品マスタ一覧!$D:$J,7,FALSE))),0))),""),""),"")</f>
        <v/>
      </c>
      <c r="V23" s="153" t="str">
        <f ca="1">IF(U23&lt;&gt;"",IF(VALUE(IF(U28&lt;&gt;"",R25-U28,R25))&gt;VALUE(IF(COUNTIF('盛付札（関数）'!R23,"*キャラ*"),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
"+"&amp;IF(U28&lt;&gt;"",R25-U28,R25)-IF(COUNTIF('盛付札（関数）'!R23,"*キャラ*"),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VLOOKUP('盛付札（関数）'!R23,商品マスタ一覧!$D:$J,7,FALSE)))*U23,
IF(U28&lt;&gt;"",R25-U28,R25)-IF(COUNTIF('盛付札（関数）'!R23,"*キャラ*"),
VLOOKUP("*キャラ*",商品マスタ一覧!$D:$J,7,FALSE),
IF(COUNTIF('盛付札（関数）'!R23,"*赤*"),
VLOOKUP("*赤*",商品マスタ一覧!$D:$J,7,FALSE),
VLOOKUP('盛付札（関数）'!R23,商品マスタ一覧!$D:$J,7,FALSE)))*U23),"")</f>
        <v/>
      </c>
      <c r="W23" s="129"/>
      <c r="X23" s="135" t="e">
        <f t="array" aca="1" ref="X23" ca="1">IF(X24&lt;&gt;100,
IF(Y25&lt;&gt;"",MATCH(Y25,INDIRECT("数出表_Excel!B"&amp;MATCH(AC22,数出表_Excel!$A:$A,0)-1&amp;":U"&amp;MATCH(AC22,数出表_Excel!$A:$A,0)-1&amp;""),0)+1,""),
IF(Y25&lt;&gt;"",
MATCH(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""),
INDIRECT("数出表_Excel!B"&amp;MATCH(AC22,数出表_Excel!$A:$A,0)-1&amp;":U"&amp;MATCH(AC22,数出表_Excel!$A:$A,0)-1&amp;""),0)+1,""))</f>
        <v>#VALUE!</v>
      </c>
      <c r="Y23" s="70" t="str">
        <f t="array" aca="1" ref="Y23" ca="1">IF(COUNTIF(AC22,"*合計*"),"",
IF(IFERROR(INDIRECT("数出表_Excel!" &amp;
CHAR(MATCH(TRUE,
ISNUMBER(--INDIRECT("数出表_Excel!B"&amp;MATCH(AC22,数出表_Excel!$A:$A,0)-1&amp;":U"&amp;MATCH(AC22,数出表_Excel!$A:$A,0)-1&amp;"")),0)+65) &amp; "3"),0)=0,"",
IFERROR(INDIRECT("数出表_Excel!" &amp;
CHAR(MATCH(TRUE,
ISNUMBER(--INDIRECT("数出表_Excel!B"&amp;MATCH(AC22,数出表_Excel!$A:$A,0)-1&amp;":U"&amp;MATCH(AC22,数出表_Excel!$A:$A,0)-1&amp;"")),0)+65) &amp; "3"),"")))</f>
        <v/>
      </c>
      <c r="Z23" s="129"/>
      <c r="AA23" s="136" t="str">
        <f ca="1">IF(AB23&lt;&gt;"","",
IF(Y22&lt;&gt;"",
IFERROR(
INDEX('数出表_Excel（アレルギー入力）'!$4:$4,
 1,
MATCH(Y25,INDIRECT("'数出表_Excel（アレルギー入力）'!"&amp;X22-1&amp;":"&amp;X22-1&amp;""),0)),
 "")
&amp;IFERROR(
INDEX('数出表_Excel（アレルギー入力）'!$5:$5,
 1,
MATCH(Y25,INDIRECT("'数出表_Excel（アレルギー入力）'!"&amp;X22-1&amp;":"&amp;X22-1&amp;""),0)),
 ""),""))</f>
        <v/>
      </c>
      <c r="AB23" s="137" t="str">
        <f t="array" aca="1" ref="AB23" ca="1">IF(Y23&lt;&gt;"",
IF(MATCH(TRUE,
ISNUMBER(--INDIRECT("数出表_Excel!B"&amp;MATCH(AC22,数出表_Excel!$A:$A,0)-1&amp;":U"&amp;MATCH(AC22,数出表_Excel!$A:$A,0)-1&amp;"")),0)&gt;10,
IF(Y23&lt;&gt;"",
IF(IF(COUNTIF('盛付札（関数）'!Y23,"*キャラ*"),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VLOOKUP('盛付札（関数）'!Y23,商品マスタ一覧!$D:$J,7,FALSE)))=0,"",
IF(ROUND(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VLOOKUP('盛付札（関数）'!Y23,商品マスタ一覧!$D:$J,7,FALSE))),0)&lt;=0,1,
ROUND(
IF(AB28&lt;&gt;"",(Y25-AB28),Y25)
/IF(COUNTIF('盛付札（関数）'!Y23,"*キャラ*"),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VLOOKUP('盛付札（関数）'!Y23,商品マスタ一覧!$D:$J,7,FALSE))),0))),""),""),"")</f>
        <v/>
      </c>
      <c r="AC23" s="153" t="str">
        <f ca="1">IF(AB23&lt;&gt;"",IF(VALUE(IF(AB28&lt;&gt;"",Y25-AB28,Y25))&gt;VALUE(IF(COUNTIF('盛付札（関数）'!Y23,"*キャラ*"),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
"+"&amp;IF(AB28&lt;&gt;"",Y25-AB28,Y25)-IF(COUNTIF('盛付札（関数）'!Y23,"*キャラ*"),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VLOOKUP('盛付札（関数）'!Y23,商品マスタ一覧!$D:$J,7,FALSE)))*AB23,
IF(AB28&lt;&gt;"",Y25-AB28,Y25)-IF(COUNTIF('盛付札（関数）'!Y23,"*キャラ*"),
VLOOKUP("*キャラ*",商品マスタ一覧!$D:$J,7,FALSE),
IF(COUNTIF('盛付札（関数）'!Y23,"*赤*"),
VLOOKUP("*赤*",商品マスタ一覧!$D:$J,7,FALSE),
VLOOKUP('盛付札（関数）'!Y23,商品マスタ一覧!$D:$J,7,FALSE)))*AB23),"")</f>
        <v/>
      </c>
      <c r="AD23" s="129"/>
      <c r="AE23" s="129"/>
      <c r="AF23" s="135" t="e">
        <f t="array" aca="1" ref="AF23" ca="1">IF(AF24&lt;&gt;100,
IF(AG25&lt;&gt;"",MATCH(AG25,INDIRECT("数出表_Excel!B"&amp;MATCH(AK22,数出表_Excel!$A:$A,0)-1&amp;":U"&amp;MATCH(AK22,数出表_Excel!$A:$A,0)-1&amp;""),0)+1,""),
IF(AG25&lt;&gt;"",
MATCH(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""),
INDIRECT("数出表_Excel!B"&amp;MATCH(AK22,数出表_Excel!$A:$A,0)-1&amp;":U"&amp;MATCH(AK22,数出表_Excel!$A:$A,0)-1&amp;""),0)+1,""))</f>
        <v>#VALUE!</v>
      </c>
      <c r="AG23" s="70" t="str">
        <f t="array" aca="1" ref="AG23" ca="1">IF(COUNTIF(AK22,"*合計*"),"",
IF(IFERROR(INDIRECT("数出表_Excel!" &amp;
CHAR(MATCH(TRUE,
ISNUMBER(--INDIRECT("数出表_Excel!B"&amp;MATCH(AK22,数出表_Excel!$A:$A,0)-1&amp;":U"&amp;MATCH(AK22,数出表_Excel!$A:$A,0)-1&amp;"")),0)+65) &amp; "3"),0)=0,"",
IFERROR(INDIRECT("数出表_Excel!" &amp;
CHAR(MATCH(TRUE,
ISNUMBER(--INDIRECT("数出表_Excel!B"&amp;MATCH(AK22,数出表_Excel!$A:$A,0)-1&amp;":U"&amp;MATCH(AK22,数出表_Excel!$A:$A,0)-1&amp;"")),0)+65) &amp; "3"),"")))</f>
        <v/>
      </c>
      <c r="AH23" s="129"/>
      <c r="AI23" s="136" t="str">
        <f ca="1">IF(AJ23&lt;&gt;"","",
IF(AG22&lt;&gt;"",
IFERROR(
INDEX('数出表_Excel（アレルギー入力）'!$4:$4,
 1,
MATCH(AG25,INDIRECT("'数出表_Excel（アレルギー入力）'!"&amp;AF22-1&amp;":"&amp;AF22-1&amp;""),0)),
 "")
&amp;IFERROR(
INDEX('数出表_Excel（アレルギー入力）'!$5:$5,
 1,
MATCH(AG25,INDIRECT("'数出表_Excel（アレルギー入力）'!"&amp;AF22-1&amp;":"&amp;AF22-1&amp;""),0)),
 ""),""))</f>
        <v/>
      </c>
      <c r="AJ23" s="137" t="str">
        <f t="array" aca="1" ref="AJ23" ca="1">IF(AG23&lt;&gt;"",
IF(MATCH(TRUE,
ISNUMBER(--INDIRECT("数出表_Excel!B"&amp;MATCH(AK22,数出表_Excel!$A:$A,0)-1&amp;":U"&amp;MATCH(AK22,数出表_Excel!$A:$A,0)-1&amp;"")),0)&gt;10,
IF(AG23&lt;&gt;"",
IF(IF(COUNTIF('盛付札（関数）'!AG23,"*キャラ*"),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VLOOKUP('盛付札（関数）'!AG23,商品マスタ一覧!$D:$J,7,FALSE)))=0,"",
IF(ROUND(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VLOOKUP('盛付札（関数）'!AG23,商品マスタ一覧!$D:$J,7,FALSE))),0)&lt;=0,1,
ROUND(
IF(AJ28&lt;&gt;"",(AG25-AJ28),AG25)
/IF(COUNTIF('盛付札（関数）'!AG23,"*キャラ*"),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VLOOKUP('盛付札（関数）'!AG23,商品マスタ一覧!$D:$J,7,FALSE))),0))),""),""),"")</f>
        <v/>
      </c>
      <c r="AK23" s="153" t="str">
        <f ca="1">IF(AJ23&lt;&gt;"",IF(VALUE(IF(AJ28&lt;&gt;"",AG25-AJ28,AG25))&gt;VALUE(IF(COUNTIF('盛付札（関数）'!AG23,"*キャラ*"),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
"+"&amp;IF(AJ28&lt;&gt;"",AG25-AJ28,AG25)-IF(COUNTIF('盛付札（関数）'!AG23,"*キャラ*"),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VLOOKUP('盛付札（関数）'!AG23,商品マスタ一覧!$D:$J,7,FALSE)))*AJ23,
IF(AJ28&lt;&gt;"",AG25-AJ28,AG25)-IF(COUNTIF('盛付札（関数）'!AG23,"*キャラ*"),
VLOOKUP("*キャラ*",商品マスタ一覧!$D:$J,7,FALSE),
IF(COUNTIF('盛付札（関数）'!AG23,"*赤*"),
VLOOKUP("*赤*",商品マスタ一覧!$D:$J,7,FALSE),
VLOOKUP('盛付札（関数）'!AG23,商品マスタ一覧!$D:$J,7,FALSE)))*AJ23),"")</f>
        <v/>
      </c>
      <c r="AL23" s="129"/>
      <c r="AM23" s="135" t="e">
        <f t="array" aca="1" ref="AM23" ca="1">IF(AM24&lt;&gt;100,
IF(AN25&lt;&gt;"",MATCH(AN25,INDIRECT("数出表_Excel!B"&amp;MATCH(AR22,数出表_Excel!$A:$A,0)-1&amp;":U"&amp;MATCH(AR22,数出表_Excel!$A:$A,0)-1&amp;""),0)+1,""),
IF(AN25&lt;&gt;"",
MATCH(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""),
INDIRECT("数出表_Excel!B"&amp;MATCH(AR22,数出表_Excel!$A:$A,0)-1&amp;":U"&amp;MATCH(AR22,数出表_Excel!$A:$A,0)-1&amp;""),0)+1,""))</f>
        <v>#VALUE!</v>
      </c>
      <c r="AN23" s="70" t="str">
        <f t="array" aca="1" ref="AN23" ca="1">IF(COUNTIF(AR22,"*合計*"),"",
IF(IFERROR(INDIRECT("数出表_Excel!" &amp;
CHAR(MATCH(TRUE,
ISNUMBER(--INDIRECT("数出表_Excel!B"&amp;MATCH(AR22,数出表_Excel!$A:$A,0)-1&amp;":U"&amp;MATCH(AR22,数出表_Excel!$A:$A,0)-1&amp;"")),0)+65) &amp; "3"),0)=0,"",
IFERROR(INDIRECT("数出表_Excel!" &amp;
CHAR(MATCH(TRUE,
ISNUMBER(--INDIRECT("数出表_Excel!B"&amp;MATCH(AR22,数出表_Excel!$A:$A,0)-1&amp;":U"&amp;MATCH(AR22,数出表_Excel!$A:$A,0)-1&amp;"")),0)+65) &amp; "3"),"")))</f>
        <v/>
      </c>
      <c r="AO23" s="129"/>
      <c r="AP23" s="136" t="str">
        <f ca="1">IF(AQ23&lt;&gt;"","",
IF(AN22&lt;&gt;"",
IFERROR(
INDEX('数出表_Excel（アレルギー入力）'!$4:$4,
 1,
MATCH(AN25,INDIRECT("'数出表_Excel（アレルギー入力）'!"&amp;AM22-1&amp;":"&amp;AM22-1&amp;""),0)),
 "")
&amp;IFERROR(
INDEX('数出表_Excel（アレルギー入力）'!$5:$5,
 1,
MATCH(AN25,INDIRECT("'数出表_Excel（アレルギー入力）'!"&amp;AM22-1&amp;":"&amp;AM22-1&amp;""),0)),
 ""),""))</f>
        <v/>
      </c>
      <c r="AQ23" s="137" t="str">
        <f t="array" aca="1" ref="AQ23" ca="1">IF(AN23&lt;&gt;"",
IF(MATCH(TRUE,
ISNUMBER(--INDIRECT("数出表_Excel!B"&amp;MATCH(AR22,数出表_Excel!$A:$A,0)-1&amp;":U"&amp;MATCH(AR22,数出表_Excel!$A:$A,0)-1&amp;"")),0)&gt;10,
IF(AN23&lt;&gt;"",
IF(IF(COUNTIF('盛付札（関数）'!AN23,"*キャラ*"),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VLOOKUP('盛付札（関数）'!AN23,商品マスタ一覧!$D:$J,7,FALSE)))=0,"",
IF(ROUND(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VLOOKUP('盛付札（関数）'!AN23,商品マスタ一覧!$D:$J,7,FALSE))),0)&lt;=0,1,
ROUND(
IF(AQ28&lt;&gt;"",(AN25-AQ28),AN25)
/IF(COUNTIF('盛付札（関数）'!AN23,"*キャラ*"),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VLOOKUP('盛付札（関数）'!AN23,商品マスタ一覧!$D:$J,7,FALSE))),0))),""),""),"")</f>
        <v/>
      </c>
      <c r="AR23" s="153" t="str">
        <f ca="1">IF(AQ23&lt;&gt;"",IF(VALUE(IF(AQ28&lt;&gt;"",AN25-AQ28,AN25))&gt;VALUE(IF(COUNTIF('盛付札（関数）'!AN23,"*キャラ*"),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
"+"&amp;IF(AQ28&lt;&gt;"",AN25-AQ28,AN25)-IF(COUNTIF('盛付札（関数）'!AN23,"*キャラ*"),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VLOOKUP('盛付札（関数）'!AN23,商品マスタ一覧!$D:$J,7,FALSE)))*AQ23,
IF(AQ28&lt;&gt;"",AN25-AQ28,AN25)-IF(COUNTIF('盛付札（関数）'!AN23,"*キャラ*"),
VLOOKUP("*キャラ*",商品マスタ一覧!$D:$J,7,FALSE),
IF(COUNTIF('盛付札（関数）'!AN23,"*赤*"),
VLOOKUP("*赤*",商品マスタ一覧!$D:$J,7,FALSE),
VLOOKUP('盛付札（関数）'!AN23,商品マスタ一覧!$D:$J,7,FALSE)))*AQ23),"")</f>
        <v/>
      </c>
      <c r="AS23" s="129"/>
      <c r="AT23" s="129"/>
      <c r="AU23" s="135" t="e">
        <f t="array" aca="1" ref="AU23" ca="1">IF(AU24&lt;&gt;100,
IF(AV25&lt;&gt;"",MATCH(AV25,INDIRECT("数出表_Excel!B"&amp;MATCH(AZ22,数出表_Excel!$A:$A,0)-1&amp;":U"&amp;MATCH(AZ22,数出表_Excel!$A:$A,0)-1&amp;""),0)+1,""),
IF(AV25&lt;&gt;"",
MATCH(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""),
INDIRECT("数出表_Excel!B"&amp;MATCH(AZ22,数出表_Excel!$A:$A,0)-1&amp;":U"&amp;MATCH(AZ22,数出表_Excel!$A:$A,0)-1&amp;""),0)+1,""))</f>
        <v>#VALUE!</v>
      </c>
      <c r="AV23" s="70" t="str">
        <f t="array" aca="1" ref="AV23" ca="1">IF(COUNTIF(AZ22,"*合計*"),"",
IF(IFERROR(INDIRECT("数出表_Excel!" &amp;
CHAR(MATCH(TRUE,
ISNUMBER(--INDIRECT("数出表_Excel!B"&amp;MATCH(AZ22,数出表_Excel!$A:$A,0)-1&amp;":U"&amp;MATCH(AZ22,数出表_Excel!$A:$A,0)-1&amp;"")),0)+65) &amp; "3"),0)=0,"",
IFERROR(INDIRECT("数出表_Excel!" &amp;
CHAR(MATCH(TRUE,
ISNUMBER(--INDIRECT("数出表_Excel!B"&amp;MATCH(AZ22,数出表_Excel!$A:$A,0)-1&amp;":U"&amp;MATCH(AZ22,数出表_Excel!$A:$A,0)-1&amp;"")),0)+65) &amp; "3"),"")))</f>
        <v/>
      </c>
      <c r="AW23" s="129"/>
      <c r="AX23" s="136" t="str">
        <f ca="1">IF(AY23&lt;&gt;"","",
IF(AV22&lt;&gt;"",
IFERROR(
INDEX('数出表_Excel（アレルギー入力）'!$4:$4,
 1,
MATCH(AV25,INDIRECT("'数出表_Excel（アレルギー入力）'!"&amp;AU22-1&amp;":"&amp;AU22-1&amp;""),0)),
 "")
&amp;IFERROR(
INDEX('数出表_Excel（アレルギー入力）'!$5:$5,
 1,
MATCH(AV25,INDIRECT("'数出表_Excel（アレルギー入力）'!"&amp;AU22-1&amp;":"&amp;AU22-1&amp;""),0)),
 ""),""))</f>
        <v/>
      </c>
      <c r="AY23" s="137" t="str">
        <f t="array" aca="1" ref="AY23" ca="1">IF(AV23&lt;&gt;"",
IF(MATCH(TRUE,
ISNUMBER(--INDIRECT("数出表_Excel!B"&amp;MATCH(AZ22,数出表_Excel!$A:$A,0)-1&amp;":U"&amp;MATCH(AZ22,数出表_Excel!$A:$A,0)-1&amp;"")),0)&gt;10,
IF(AV23&lt;&gt;"",
IF(IF(COUNTIF('盛付札（関数）'!AV23,"*キャラ*"),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VLOOKUP('盛付札（関数）'!AV23,商品マスタ一覧!$D:$J,7,FALSE)))=0,"",
IF(ROUND(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VLOOKUP('盛付札（関数）'!AV23,商品マスタ一覧!$D:$J,7,FALSE))),0)&lt;=0,1,
ROUND(
IF(AY28&lt;&gt;"",(AV25-AY28),AV25)
/IF(COUNTIF('盛付札（関数）'!AV23,"*キャラ*"),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VLOOKUP('盛付札（関数）'!AV23,商品マスタ一覧!$D:$J,7,FALSE))),0))),""),""),"")</f>
        <v/>
      </c>
      <c r="AZ23" s="153" t="str">
        <f ca="1">IF(AY23&lt;&gt;"",IF(VALUE(IF(AY28&lt;&gt;"",AV25-AY28,AV25))&gt;VALUE(IF(COUNTIF('盛付札（関数）'!AV23,"*キャラ*"),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
"+"&amp;IF(AY28&lt;&gt;"",AV25-AY28,AV25)-IF(COUNTIF('盛付札（関数）'!AV23,"*キャラ*"),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VLOOKUP('盛付札（関数）'!AV23,商品マスタ一覧!$D:$J,7,FALSE)))*AY23,
IF(AY28&lt;&gt;"",AV25-AY28,AV25)-IF(COUNTIF('盛付札（関数）'!AV23,"*キャラ*"),
VLOOKUP("*キャラ*",商品マスタ一覧!$D:$J,7,FALSE),
IF(COUNTIF('盛付札（関数）'!AV23,"*赤*"),
VLOOKUP("*赤*",商品マスタ一覧!$D:$J,7,FALSE),
VLOOKUP('盛付札（関数）'!AV23,商品マスタ一覧!$D:$J,7,FALSE)))*AY23),"")</f>
        <v/>
      </c>
      <c r="BA23" s="129"/>
      <c r="BB23" s="135" t="e">
        <f t="array" aca="1" ref="BB23" ca="1">IF(BB24&lt;&gt;100,
IF(BC25&lt;&gt;"",MATCH(BC25,INDIRECT("数出表_Excel!B"&amp;MATCH(BG22,数出表_Excel!$A:$A,0)-1&amp;":U"&amp;MATCH(BG22,数出表_Excel!$A:$A,0)-1&amp;""),0)+1,""),
IF(BC25&lt;&gt;"",
MATCH(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""),
INDIRECT("数出表_Excel!B"&amp;MATCH(BG22,数出表_Excel!$A:$A,0)-1&amp;":U"&amp;MATCH(BG22,数出表_Excel!$A:$A,0)-1&amp;""),0)+1,""))</f>
        <v>#VALUE!</v>
      </c>
      <c r="BC23" s="70" t="str">
        <f t="array" aca="1" ref="BC23" ca="1">IF(COUNTIF(BG22,"*合計*"),"",
IF(IFERROR(INDIRECT("数出表_Excel!" &amp;
CHAR(MATCH(TRUE,
ISNUMBER(--INDIRECT("数出表_Excel!B"&amp;MATCH(BG22,数出表_Excel!$A:$A,0)-1&amp;":U"&amp;MATCH(BG22,数出表_Excel!$A:$A,0)-1&amp;"")),0)+65) &amp; "3"),0)=0,"",
IFERROR(INDIRECT("数出表_Excel!" &amp;
CHAR(MATCH(TRUE,
ISNUMBER(--INDIRECT("数出表_Excel!B"&amp;MATCH(BG22,数出表_Excel!$A:$A,0)-1&amp;":U"&amp;MATCH(BG22,数出表_Excel!$A:$A,0)-1&amp;"")),0)+65) &amp; "3"),"")))</f>
        <v/>
      </c>
      <c r="BD23" s="129"/>
      <c r="BE23" s="136" t="str">
        <f ca="1">IF(BF23&lt;&gt;"","",
IF(BC22&lt;&gt;"",
IFERROR(
INDEX('数出表_Excel（アレルギー入力）'!$4:$4,
 1,
MATCH(BC25,INDIRECT("'数出表_Excel（アレルギー入力）'!"&amp;BB22-1&amp;":"&amp;BB22-1&amp;""),0)),
 "")
&amp;IFERROR(
INDEX('数出表_Excel（アレルギー入力）'!$5:$5,
 1,
MATCH(BC25,INDIRECT("'数出表_Excel（アレルギー入力）'!"&amp;BB22-1&amp;":"&amp;BB22-1&amp;""),0)),
 ""),""))</f>
        <v/>
      </c>
      <c r="BF23" s="137" t="str">
        <f t="array" aca="1" ref="BF23" ca="1">IF(BC23&lt;&gt;"",
IF(MATCH(TRUE,
ISNUMBER(--INDIRECT("数出表_Excel!B"&amp;MATCH(BG22,数出表_Excel!$A:$A,0)-1&amp;":U"&amp;MATCH(BG22,数出表_Excel!$A:$A,0)-1&amp;"")),0)&gt;10,
IF(BC23&lt;&gt;"",
IF(IF(COUNTIF('盛付札（関数）'!BC23,"*キャラ*"),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VLOOKUP('盛付札（関数）'!BC23,商品マスタ一覧!$D:$J,7,FALSE)))=0,"",
IF(ROUND(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VLOOKUP('盛付札（関数）'!BC23,商品マスタ一覧!$D:$J,7,FALSE))),0)&lt;=0,1,
ROUND(
IF(BF28&lt;&gt;"",(BC25-BF28),BC25)
/IF(COUNTIF('盛付札（関数）'!BC23,"*キャラ*"),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VLOOKUP('盛付札（関数）'!BC23,商品マスタ一覧!$D:$J,7,FALSE))),0))),""),""),"")</f>
        <v/>
      </c>
      <c r="BG23" s="153" t="str">
        <f ca="1">IF(BF23&lt;&gt;"",IF(VALUE(IF(BF28&lt;&gt;"",BC25-BF28,BC25))&gt;VALUE(IF(COUNTIF('盛付札（関数）'!BC23,"*キャラ*"),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
"+"&amp;IF(BF28&lt;&gt;"",BC25-BF28,BC25)-IF(COUNTIF('盛付札（関数）'!BC23,"*キャラ*"),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VLOOKUP('盛付札（関数）'!BC23,商品マスタ一覧!$D:$J,7,FALSE)))*BF23,
IF(BF28&lt;&gt;"",BC25-BF28,BC25)-IF(COUNTIF('盛付札（関数）'!BC23,"*キャラ*"),
VLOOKUP("*キャラ*",商品マスタ一覧!$D:$J,7,FALSE),
IF(COUNTIF('盛付札（関数）'!BC23,"*赤*"),
VLOOKUP("*赤*",商品マスタ一覧!$D:$J,7,FALSE),
VLOOKUP('盛付札（関数）'!BC23,商品マスタ一覧!$D:$J,7,FALSE)))*BF23),"")</f>
        <v/>
      </c>
      <c r="BH23" s="129"/>
      <c r="BI23" s="129"/>
      <c r="BJ23" s="135" t="e">
        <f t="array" aca="1" ref="BJ23" ca="1">IF(BJ24&lt;&gt;100,
IF(BK25&lt;&gt;"",MATCH(BK25,INDIRECT("数出表_Excel!B"&amp;MATCH(BO22,数出表_Excel!$A:$A,0)-1&amp;":U"&amp;MATCH(BO22,数出表_Excel!$A:$A,0)-1&amp;""),0)+1,""),
IF(BK25&lt;&gt;"",
MATCH(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""),
INDIRECT("数出表_Excel!B"&amp;MATCH(BO22,数出表_Excel!$A:$A,0)-1&amp;":U"&amp;MATCH(BO22,数出表_Excel!$A:$A,0)-1&amp;""),0)+1,""))</f>
        <v>#VALUE!</v>
      </c>
      <c r="BK23" s="70" t="str">
        <f t="array" aca="1" ref="BK23" ca="1">IF(COUNTIF(BO22,"*合計*"),"",
IF(IFERROR(INDIRECT("数出表_Excel!" &amp;
CHAR(MATCH(TRUE,
ISNUMBER(--INDIRECT("数出表_Excel!B"&amp;MATCH(BO22,数出表_Excel!$A:$A,0)-1&amp;":U"&amp;MATCH(BO22,数出表_Excel!$A:$A,0)-1&amp;"")),0)+65) &amp; "3"),0)=0,"",
IFERROR(INDIRECT("数出表_Excel!" &amp;
CHAR(MATCH(TRUE,
ISNUMBER(--INDIRECT("数出表_Excel!B"&amp;MATCH(BO22,数出表_Excel!$A:$A,0)-1&amp;":U"&amp;MATCH(BO22,数出表_Excel!$A:$A,0)-1&amp;"")),0)+65) &amp; "3"),"")))</f>
        <v/>
      </c>
      <c r="BL23" s="129"/>
      <c r="BM23" s="136" t="str">
        <f ca="1">IF(BN23&lt;&gt;"","",
IF(BK22&lt;&gt;"",
IFERROR(
INDEX('数出表_Excel（アレルギー入力）'!$4:$4,
 1,
MATCH(BK25,INDIRECT("'数出表_Excel（アレルギー入力）'!"&amp;BJ22-1&amp;":"&amp;BJ22-1&amp;""),0)),
 "")
&amp;IFERROR(
INDEX('数出表_Excel（アレルギー入力）'!$5:$5,
 1,
MATCH(BK25,INDIRECT("'数出表_Excel（アレルギー入力）'!"&amp;BJ22-1&amp;":"&amp;BJ22-1&amp;""),0)),
 ""),""))</f>
        <v/>
      </c>
      <c r="BN23" s="137" t="str">
        <f t="array" aca="1" ref="BN23" ca="1">IF(BK23&lt;&gt;"",
IF(MATCH(TRUE,
ISNUMBER(--INDIRECT("数出表_Excel!B"&amp;MATCH(BO22,数出表_Excel!$A:$A,0)-1&amp;":U"&amp;MATCH(BO22,数出表_Excel!$A:$A,0)-1&amp;"")),0)&gt;10,
IF(BK23&lt;&gt;"",
IF(IF(COUNTIF('盛付札（関数）'!BK23,"*キャラ*"),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VLOOKUP('盛付札（関数）'!BK23,商品マスタ一覧!$D:$J,7,FALSE)))=0,"",
IF(ROUND(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VLOOKUP('盛付札（関数）'!BK23,商品マスタ一覧!$D:$J,7,FALSE))),0)&lt;=0,1,
ROUND(
IF(BN28&lt;&gt;"",(BK25-BN28),BK25)
/IF(COUNTIF('盛付札（関数）'!BK23,"*キャラ*"),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VLOOKUP('盛付札（関数）'!BK23,商品マスタ一覧!$D:$J,7,FALSE))),0))),""),""),"")</f>
        <v/>
      </c>
      <c r="BO23" s="153" t="str">
        <f ca="1">IF(BN23&lt;&gt;"",IF(VALUE(IF(BN28&lt;&gt;"",BK25-BN28,BK25))&gt;VALUE(IF(COUNTIF('盛付札（関数）'!BK23,"*キャラ*"),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
"+"&amp;IF(BN28&lt;&gt;"",BK25-BN28,BK25)-IF(COUNTIF('盛付札（関数）'!BK23,"*キャラ*"),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VLOOKUP('盛付札（関数）'!BK23,商品マスタ一覧!$D:$J,7,FALSE)))*BN23,
IF(BN28&lt;&gt;"",BK25-BN28,BK25)-IF(COUNTIF('盛付札（関数）'!BK23,"*キャラ*"),
VLOOKUP("*キャラ*",商品マスタ一覧!$D:$J,7,FALSE),
IF(COUNTIF('盛付札（関数）'!BK23,"*赤*"),
VLOOKUP("*赤*",商品マスタ一覧!$D:$J,7,FALSE),
VLOOKUP('盛付札（関数）'!BK23,商品マスタ一覧!$D:$J,7,FALSE)))*BN23),"")</f>
        <v/>
      </c>
      <c r="BP23" s="129"/>
      <c r="BQ23" s="135" t="e">
        <f t="array" aca="1" ref="BQ23" ca="1">IF(BQ24&lt;&gt;100,
IF(BR25&lt;&gt;"",MATCH(BR25,INDIRECT("数出表_Excel!B"&amp;MATCH(BV22,数出表_Excel!$A:$A,0)-1&amp;":U"&amp;MATCH(BV22,数出表_Excel!$A:$A,0)-1&amp;""),0)+1,""),
IF(BR25&lt;&gt;"",
MATCH(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""),
INDIRECT("数出表_Excel!B"&amp;MATCH(BV22,数出表_Excel!$A:$A,0)-1&amp;":U"&amp;MATCH(BV22,数出表_Excel!$A:$A,0)-1&amp;""),0)+1,""))</f>
        <v>#VALUE!</v>
      </c>
      <c r="BR23" s="70" t="str">
        <f t="array" aca="1" ref="BR23" ca="1">IF(COUNTIF(BV22,"*合計*"),"",
IF(IFERROR(INDIRECT("数出表_Excel!" &amp;
CHAR(MATCH(TRUE,
ISNUMBER(--INDIRECT("数出表_Excel!B"&amp;MATCH(BV22,数出表_Excel!$A:$A,0)-1&amp;":U"&amp;MATCH(BV22,数出表_Excel!$A:$A,0)-1&amp;"")),0)+65) &amp; "3"),0)=0,"",
IFERROR(INDIRECT("数出表_Excel!" &amp;
CHAR(MATCH(TRUE,
ISNUMBER(--INDIRECT("数出表_Excel!B"&amp;MATCH(BV22,数出表_Excel!$A:$A,0)-1&amp;":U"&amp;MATCH(BV22,数出表_Excel!$A:$A,0)-1&amp;"")),0)+65) &amp; "3"),"")))</f>
        <v/>
      </c>
      <c r="BS23" s="129"/>
      <c r="BT23" s="136" t="str">
        <f ca="1">IF(BU23&lt;&gt;"","",
IF(BR22&lt;&gt;"",
IFERROR(
INDEX('数出表_Excel（アレルギー入力）'!$4:$4,
 1,
MATCH(BR25,INDIRECT("'数出表_Excel（アレルギー入力）'!"&amp;BQ22-1&amp;":"&amp;BQ22-1&amp;""),0)),
 "")
&amp;IFERROR(
INDEX('数出表_Excel（アレルギー入力）'!$5:$5,
 1,
MATCH(BR25,INDIRECT("'数出表_Excel（アレルギー入力）'!"&amp;BQ22-1&amp;":"&amp;BQ22-1&amp;""),0)),
 ""),""))</f>
        <v/>
      </c>
      <c r="BU23" s="137" t="str">
        <f t="array" aca="1" ref="BU23" ca="1">IF(BR23&lt;&gt;"",
IF(MATCH(TRUE,
ISNUMBER(--INDIRECT("数出表_Excel!B"&amp;MATCH(BV22,数出表_Excel!$A:$A,0)-1&amp;":U"&amp;MATCH(BV22,数出表_Excel!$A:$A,0)-1&amp;"")),0)&gt;10,
IF(BR23&lt;&gt;"",
IF(IF(COUNTIF('盛付札（関数）'!BR23,"*キャラ*"),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VLOOKUP('盛付札（関数）'!BR23,商品マスタ一覧!$D:$J,7,FALSE)))=0,"",
IF(ROUND(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VLOOKUP('盛付札（関数）'!BR23,商品マスタ一覧!$D:$J,7,FALSE))),0)&lt;=0,1,
ROUND(
IF(BU28&lt;&gt;"",(BR25-BU28),BR25)
/IF(COUNTIF('盛付札（関数）'!BR23,"*キャラ*"),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VLOOKUP('盛付札（関数）'!BR23,商品マスタ一覧!$D:$J,7,FALSE))),0))),""),""),"")</f>
        <v/>
      </c>
      <c r="BV23" s="153" t="str">
        <f ca="1">IF(BU23&lt;&gt;"",IF(VALUE(IF(BU28&lt;&gt;"",BR25-BU28,BR25))&gt;VALUE(IF(COUNTIF('盛付札（関数）'!BR23,"*キャラ*"),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
"+"&amp;IF(BU28&lt;&gt;"",BR25-BU28,BR25)-IF(COUNTIF('盛付札（関数）'!BR23,"*キャラ*"),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VLOOKUP('盛付札（関数）'!BR23,商品マスタ一覧!$D:$J,7,FALSE)))*BU23,
IF(BU28&lt;&gt;"",BR25-BU28,BR25)-IF(COUNTIF('盛付札（関数）'!BR23,"*キャラ*"),
VLOOKUP("*キャラ*",商品マスタ一覧!$D:$J,7,FALSE),
IF(COUNTIF('盛付札（関数）'!BR23,"*赤*"),
VLOOKUP("*赤*",商品マスタ一覧!$D:$J,7,FALSE),
VLOOKUP('盛付札（関数）'!BR23,商品マスタ一覧!$D:$J,7,FALSE)))*BU23),"")</f>
        <v/>
      </c>
      <c r="BW23" s="129"/>
      <c r="BX23" s="146">
        <f t="shared" si="1"/>
        <v>35</v>
      </c>
      <c r="BY23" s="132" t="str">
        <f t="array" aca="1" ref="BY23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LEN(SUBSTITUTE(_xlfn.FORMULATEXT(BY$3),"=","")))+$BX23)</f>
        <v/>
      </c>
      <c r="BZ23" s="132" t="str">
        <f t="array" aca="1" ref="BZ23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LEN(SUBSTITUTE(_xlfn.FORMULATEXT(BZ$3),"=","")))+$BX23)</f>
        <v/>
      </c>
      <c r="CA23" s="132" t="str">
        <f t="array" aca="1" ref="CA23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LEN(SUBSTITUTE(_xlfn.FORMULATEXT(CA$3),"=","")))+$BX23)</f>
        <v/>
      </c>
      <c r="CB23" s="132" t="str">
        <f t="array" aca="1" ref="CB23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LEN(SUBSTITUTE(_xlfn.FORMULATEXT(CB$3),"=","")))+$BX23)</f>
        <v/>
      </c>
      <c r="CC23" s="132" t="str">
        <f t="array" aca="1" ref="CC23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LEN(SUBSTITUTE(_xlfn.FORMULATEXT(CC$3),"=","")))+$BX23)</f>
        <v/>
      </c>
      <c r="CD23" s="132" t="str">
        <f t="array" aca="1" ref="CD23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LEN(SUBSTITUTE(_xlfn.FORMULATEXT(CD$3),"=","")))+$BX23)</f>
        <v/>
      </c>
      <c r="CE23" s="132" t="str">
        <f t="array" aca="1" ref="CE23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LEN(SUBSTITUTE(_xlfn.FORMULATEXT(CE$3),"=","")))+$BX23)</f>
        <v/>
      </c>
      <c r="CF23" s="132" t="str">
        <f t="array" aca="1" ref="CF23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LEN(SUBSTITUTE(_xlfn.FORMULATEXT(CF$3),"=","")))+$BX23)</f>
        <v/>
      </c>
      <c r="CG23" s="132" t="str">
        <f t="array" aca="1" ref="CG23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LEN(SUBSTITUTE(_xlfn.FORMULATEXT(CG$3),"=","")))+$BX23)</f>
        <v/>
      </c>
      <c r="CH23" s="132" t="str">
        <f t="array" aca="1" ref="CH23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LEN(SUBSTITUTE(_xlfn.FORMULATEXT(CH$3),"=","")))+$BX23)</f>
        <v/>
      </c>
      <c r="CI23" s="132">
        <f t="shared" ca="1" si="0"/>
        <v>0</v>
      </c>
      <c r="CJ23" s="132" t="b">
        <f t="array" aca="1" ref="CJ23" ca="1">SUMPRODUCT((LEN(BY23:CH23)&gt;0)*1)&gt;0</f>
        <v>0</v>
      </c>
      <c r="CK23" s="132" t="str" cm="1">
        <f t="array" aca="1" ref="CK23" ca="1">IFERROR(SMALL(IF(CI$1:CI$150&lt;&gt;0,CI$1:CI$150),ROW(A23)),"")</f>
        <v/>
      </c>
      <c r="CL23" s="132" t="str">
        <f t="array" aca="1" ref="CL23" ca="1">IF($CK23&lt;&gt;"",
INDIRECT(""&amp;IF(COLUMN(BY23)&lt;=26,CHAR(COLUMN(BY23)+64),CHAR(INT((COLUMN(BY23)-1)/26)+64)&amp;CHAR(MOD(COLUMN(BY23)-1,26)+65))&amp;$CK23&amp;""),"")</f>
        <v/>
      </c>
      <c r="CM23" s="132" t="str">
        <f t="array" aca="1" ref="CM23" ca="1">IF($CK23&lt;&gt;"",
INDIRECT(""&amp;IF(COLUMN(BZ23)&lt;=26,CHAR(COLUMN(BZ23)+64),CHAR(INT((COLUMN(BZ23)-1)/26)+64)&amp;CHAR(MOD(COLUMN(BZ23)-1,26)+65))&amp;$CK23&amp;""),"")</f>
        <v/>
      </c>
      <c r="CN23" s="132" t="str">
        <f t="array" aca="1" ref="CN23" ca="1">IF($CK23&lt;&gt;"",
INDIRECT(""&amp;IF(COLUMN(CA23)&lt;=26,CHAR(COLUMN(CA23)+64),CHAR(INT((COLUMN(CA23)-1)/26)+64)&amp;CHAR(MOD(COLUMN(CA23)-1,26)+65))&amp;$CK23&amp;""),"")</f>
        <v/>
      </c>
      <c r="CO23" s="132" t="str">
        <f t="array" aca="1" ref="CO23" ca="1">IF($CK23&lt;&gt;"",
INDIRECT(""&amp;IF(COLUMN(CB23)&lt;=26,CHAR(COLUMN(CB23)+64),CHAR(INT((COLUMN(CB23)-1)/26)+64)&amp;CHAR(MOD(COLUMN(CB23)-1,26)+65))&amp;$CK23&amp;""),"")</f>
        <v/>
      </c>
      <c r="CP23" s="132" t="str">
        <f t="array" aca="1" ref="CP23" ca="1">IF($CK23&lt;&gt;"",
INDIRECT(""&amp;IF(COLUMN(CC23)&lt;=26,CHAR(COLUMN(CC23)+64),CHAR(INT((COLUMN(CC23)-1)/26)+64)&amp;CHAR(MOD(COLUMN(CC23)-1,26)+65))&amp;$CK23&amp;""),"")</f>
        <v/>
      </c>
      <c r="CQ23" s="132" t="str">
        <f t="array" aca="1" ref="CQ23" ca="1">IF($CK23&lt;&gt;"",
INDIRECT(""&amp;IF(COLUMN(CD23)&lt;=26,CHAR(COLUMN(CD23)+64),CHAR(INT((COLUMN(CD23)-1)/26)+64)&amp;CHAR(MOD(COLUMN(CD23)-1,26)+65))&amp;$CK23&amp;""),"")</f>
        <v/>
      </c>
      <c r="CR23" s="132" t="str">
        <f t="array" aca="1" ref="CR23" ca="1">IF($CK23&lt;&gt;"",
INDIRECT(""&amp;IF(COLUMN(CE23)&lt;=26,CHAR(COLUMN(CE23)+64),CHAR(INT((COLUMN(CE23)-1)/26)+64)&amp;CHAR(MOD(COLUMN(CE23)-1,26)+65))&amp;$CK23&amp;""),"")</f>
        <v/>
      </c>
      <c r="CS23" s="132" t="str">
        <f t="array" aca="1" ref="CS23" ca="1">IF($CK23&lt;&gt;"",
INDIRECT(""&amp;IF(COLUMN(CF23)&lt;=26,CHAR(COLUMN(CF23)+64),CHAR(INT((COLUMN(CF23)-1)/26)+64)&amp;CHAR(MOD(COLUMN(CF23)-1,26)+65))&amp;$CK23&amp;""),"")</f>
        <v/>
      </c>
      <c r="CT23" s="132" t="str">
        <f t="array" aca="1" ref="CT23" ca="1">IF($CK23&lt;&gt;"",
INDIRECT(""&amp;IF(COLUMN(CG23)&lt;=26,CHAR(COLUMN(CG23)+64),CHAR(INT((COLUMN(CG23)-1)/26)+64)&amp;CHAR(MOD(COLUMN(CG23)-1,26)+65))&amp;$CK23&amp;""),"")</f>
        <v/>
      </c>
      <c r="CU23" s="132" t="str">
        <f t="array" aca="1" ref="CU23" ca="1">IF($CK23&lt;&gt;"",
INDIRECT(""&amp;IF(COLUMN(CH23)&lt;=26,CHAR(COLUMN(CH23)+64),CHAR(INT((COLUMN(CH23)-1)/26)+64)&amp;CHAR(MOD(COLUMN(CH23)-1,26)+65))&amp;$CK23&amp;""),"")</f>
        <v/>
      </c>
    </row>
    <row r="24" spans="1:99" s="132" customFormat="1" ht="22.2" customHeight="1" x14ac:dyDescent="0.55000000000000004">
      <c r="A24" s="129"/>
      <c r="B24" s="138" t="e">
        <f t="array" aca="1" ref="B24" ca="1">IF(AND(LEFT(G22,2)="博多",
LEFT(INDIRECT("数出表_Excel!A"&amp;MATCH(G22,数出表_Excel!$A:$A,0)-1),2)
=LEFT(INDIRECT("数出表_Excel!A"&amp;MATCH(G22,数出表_Excel!$A:$A,0)+1),2)),100,
IF(AND(LEFT(G22,3)="奈良屋",
LEFT(INDIRECT("数出表_Excel!A"&amp;MATCH(G22,数出表_Excel!$A:$A,0)-1),2)
=LEFT(INDIRECT("数出表_Excel!A"&amp;MATCH(G22,数出表_Excel!$A:$A,0)+1),2)),200,""))</f>
        <v>#VALUE!</v>
      </c>
      <c r="C24" s="139" t="str">
        <f ca="1">IF(C23&lt;&gt;"",
"園児","")</f>
        <v/>
      </c>
      <c r="D24" s="140"/>
      <c r="E24" s="141" t="str">
        <f ca="1">IF(C23&lt;&gt;"",
"先生","")</f>
        <v/>
      </c>
      <c r="F24" s="140"/>
      <c r="G24" s="159"/>
      <c r="H24" s="129"/>
      <c r="I24" s="138" t="e">
        <f t="array" aca="1" ref="I24" ca="1">IF(AND(LEFT(N22,2)="博多",
LEFT(INDIRECT("数出表_Excel!A"&amp;MATCH(N22,数出表_Excel!$A:$A,0)-1),2)
=LEFT(INDIRECT("数出表_Excel!A"&amp;MATCH(N22,数出表_Excel!$A:$A,0)+1),2)),100,
IF(AND(LEFT(N22,3)="奈良屋",
LEFT(INDIRECT("数出表_Excel!A"&amp;MATCH(N22,数出表_Excel!$A:$A,0)-1),2)
=LEFT(INDIRECT("数出表_Excel!A"&amp;MATCH(N22,数出表_Excel!$A:$A,0)+1),2)),200,""))</f>
        <v>#VALUE!</v>
      </c>
      <c r="J24" s="139" t="str">
        <f ca="1">IF(J23&lt;&gt;"",
"園児","")</f>
        <v/>
      </c>
      <c r="K24" s="140"/>
      <c r="L24" s="141" t="str">
        <f ca="1">IF(J23&lt;&gt;"",
"先生","")</f>
        <v/>
      </c>
      <c r="M24" s="140"/>
      <c r="N24" s="154"/>
      <c r="O24" s="129"/>
      <c r="P24" s="129"/>
      <c r="Q24" s="138" t="e">
        <f t="array" aca="1" ref="Q24" ca="1">IF(AND(LEFT(V22,2)="博多",
LEFT(INDIRECT("数出表_Excel!A"&amp;MATCH(V22,数出表_Excel!$A:$A,0)-1),2)
=LEFT(INDIRECT("数出表_Excel!A"&amp;MATCH(V22,数出表_Excel!$A:$A,0)+1),2)),100,
IF(AND(LEFT(V22,3)="奈良屋",
LEFT(INDIRECT("数出表_Excel!A"&amp;MATCH(V22,数出表_Excel!$A:$A,0)-1),2)
=LEFT(INDIRECT("数出表_Excel!A"&amp;MATCH(V22,数出表_Excel!$A:$A,0)+1),2)),200,""))</f>
        <v>#VALUE!</v>
      </c>
      <c r="R24" s="139" t="str">
        <f ca="1">IF(R23&lt;&gt;"",
"園児","")</f>
        <v/>
      </c>
      <c r="S24" s="140"/>
      <c r="T24" s="141" t="str">
        <f ca="1">IF(R23&lt;&gt;"",
"先生","")</f>
        <v/>
      </c>
      <c r="U24" s="140"/>
      <c r="V24" s="154"/>
      <c r="W24" s="129"/>
      <c r="X24" s="138" t="e">
        <f t="array" aca="1" ref="X24" ca="1">IF(AND(LEFT(AC22,2)="博多",
LEFT(INDIRECT("数出表_Excel!A"&amp;MATCH(AC22,数出表_Excel!$A:$A,0)-1),2)
=LEFT(INDIRECT("数出表_Excel!A"&amp;MATCH(AC22,数出表_Excel!$A:$A,0)+1),2)),100,
IF(AND(LEFT(AC22,3)="奈良屋",
LEFT(INDIRECT("数出表_Excel!A"&amp;MATCH(AC22,数出表_Excel!$A:$A,0)-1),2)
=LEFT(INDIRECT("数出表_Excel!A"&amp;MATCH(AC22,数出表_Excel!$A:$A,0)+1),2)),200,""))</f>
        <v>#VALUE!</v>
      </c>
      <c r="Y24" s="139" t="str">
        <f ca="1">IF(Y23&lt;&gt;"",
"園児","")</f>
        <v/>
      </c>
      <c r="Z24" s="140"/>
      <c r="AA24" s="141" t="str">
        <f ca="1">IF(Y23&lt;&gt;"",
"先生","")</f>
        <v/>
      </c>
      <c r="AB24" s="140"/>
      <c r="AC24" s="154"/>
      <c r="AD24" s="129"/>
      <c r="AE24" s="129"/>
      <c r="AF24" s="138" t="e">
        <f t="array" aca="1" ref="AF24" ca="1">IF(AND(LEFT(AK22,2)="博多",
LEFT(INDIRECT("数出表_Excel!A"&amp;MATCH(AK22,数出表_Excel!$A:$A,0)-1),2)
=LEFT(INDIRECT("数出表_Excel!A"&amp;MATCH(AK22,数出表_Excel!$A:$A,0)+1),2)),100,
IF(AND(LEFT(AK22,3)="奈良屋",
LEFT(INDIRECT("数出表_Excel!A"&amp;MATCH(AK22,数出表_Excel!$A:$A,0)-1),2)
=LEFT(INDIRECT("数出表_Excel!A"&amp;MATCH(AK22,数出表_Excel!$A:$A,0)+1),2)),200,""))</f>
        <v>#VALUE!</v>
      </c>
      <c r="AG24" s="139" t="str">
        <f ca="1">IF(AG23&lt;&gt;"",
"園児","")</f>
        <v/>
      </c>
      <c r="AH24" s="140"/>
      <c r="AI24" s="141" t="str">
        <f ca="1">IF(AG23&lt;&gt;"",
"先生","")</f>
        <v/>
      </c>
      <c r="AJ24" s="140"/>
      <c r="AK24" s="154"/>
      <c r="AL24" s="129"/>
      <c r="AM24" s="138" t="e">
        <f t="array" aca="1" ref="AM24" ca="1">IF(AND(LEFT(AR22,2)="博多",
LEFT(INDIRECT("数出表_Excel!A"&amp;MATCH(AR22,数出表_Excel!$A:$A,0)-1),2)
=LEFT(INDIRECT("数出表_Excel!A"&amp;MATCH(AR22,数出表_Excel!$A:$A,0)+1),2)),100,
IF(AND(LEFT(AR22,3)="奈良屋",
LEFT(INDIRECT("数出表_Excel!A"&amp;MATCH(AR22,数出表_Excel!$A:$A,0)-1),2)
=LEFT(INDIRECT("数出表_Excel!A"&amp;MATCH(AR22,数出表_Excel!$A:$A,0)+1),2)),200,""))</f>
        <v>#VALUE!</v>
      </c>
      <c r="AN24" s="139" t="str">
        <f ca="1">IF(AN23&lt;&gt;"",
"園児","")</f>
        <v/>
      </c>
      <c r="AO24" s="140"/>
      <c r="AP24" s="141" t="str">
        <f ca="1">IF(AN23&lt;&gt;"",
"先生","")</f>
        <v/>
      </c>
      <c r="AQ24" s="140"/>
      <c r="AR24" s="154"/>
      <c r="AS24" s="129"/>
      <c r="AT24" s="129"/>
      <c r="AU24" s="138" t="e">
        <f t="array" aca="1" ref="AU24" ca="1">IF(AND(LEFT(AZ22,2)="博多",
LEFT(INDIRECT("数出表_Excel!A"&amp;MATCH(AZ22,数出表_Excel!$A:$A,0)-1),2)
=LEFT(INDIRECT("数出表_Excel!A"&amp;MATCH(AZ22,数出表_Excel!$A:$A,0)+1),2)),100,
IF(AND(LEFT(AZ22,3)="奈良屋",
LEFT(INDIRECT("数出表_Excel!A"&amp;MATCH(AZ22,数出表_Excel!$A:$A,0)-1),2)
=LEFT(INDIRECT("数出表_Excel!A"&amp;MATCH(AZ22,数出表_Excel!$A:$A,0)+1),2)),200,""))</f>
        <v>#VALUE!</v>
      </c>
      <c r="AV24" s="139" t="str">
        <f ca="1">IF(AV23&lt;&gt;"",
"園児","")</f>
        <v/>
      </c>
      <c r="AW24" s="140"/>
      <c r="AX24" s="141" t="str">
        <f ca="1">IF(AV23&lt;&gt;"",
"先生","")</f>
        <v/>
      </c>
      <c r="AY24" s="140"/>
      <c r="AZ24" s="154"/>
      <c r="BA24" s="129"/>
      <c r="BB24" s="138" t="e">
        <f t="array" aca="1" ref="BB24" ca="1">IF(AND(LEFT(BG22,2)="博多",
LEFT(INDIRECT("数出表_Excel!A"&amp;MATCH(BG22,数出表_Excel!$A:$A,0)-1),2)
=LEFT(INDIRECT("数出表_Excel!A"&amp;MATCH(BG22,数出表_Excel!$A:$A,0)+1),2)),100,
IF(AND(LEFT(BG22,3)="奈良屋",
LEFT(INDIRECT("数出表_Excel!A"&amp;MATCH(BG22,数出表_Excel!$A:$A,0)-1),2)
=LEFT(INDIRECT("数出表_Excel!A"&amp;MATCH(BG22,数出表_Excel!$A:$A,0)+1),2)),200,""))</f>
        <v>#VALUE!</v>
      </c>
      <c r="BC24" s="139" t="str">
        <f ca="1">IF(BC23&lt;&gt;"",
"園児","")</f>
        <v/>
      </c>
      <c r="BD24" s="140"/>
      <c r="BE24" s="141" t="str">
        <f ca="1">IF(BC23&lt;&gt;"",
"先生","")</f>
        <v/>
      </c>
      <c r="BF24" s="140"/>
      <c r="BG24" s="154"/>
      <c r="BH24" s="129"/>
      <c r="BI24" s="129"/>
      <c r="BJ24" s="138" t="e">
        <f t="array" aca="1" ref="BJ24" ca="1">IF(AND(LEFT(BO22,2)="博多",
LEFT(INDIRECT("数出表_Excel!A"&amp;MATCH(BO22,数出表_Excel!$A:$A,0)-1),2)
=LEFT(INDIRECT("数出表_Excel!A"&amp;MATCH(BO22,数出表_Excel!$A:$A,0)+1),2)),100,
IF(AND(LEFT(BO22,3)="奈良屋",
LEFT(INDIRECT("数出表_Excel!A"&amp;MATCH(BO22,数出表_Excel!$A:$A,0)-1),2)
=LEFT(INDIRECT("数出表_Excel!A"&amp;MATCH(BO22,数出表_Excel!$A:$A,0)+1),2)),200,""))</f>
        <v>#VALUE!</v>
      </c>
      <c r="BK24" s="139" t="str">
        <f ca="1">IF(BK23&lt;&gt;"",
"園児","")</f>
        <v/>
      </c>
      <c r="BL24" s="140"/>
      <c r="BM24" s="141" t="str">
        <f ca="1">IF(BK23&lt;&gt;"",
"先生","")</f>
        <v/>
      </c>
      <c r="BN24" s="140"/>
      <c r="BO24" s="154"/>
      <c r="BP24" s="129"/>
      <c r="BQ24" s="138" t="e">
        <f t="array" aca="1" ref="BQ24" ca="1">IF(AND(LEFT(BV22,2)="博多",
LEFT(INDIRECT("数出表_Excel!A"&amp;MATCH(BV22,数出表_Excel!$A:$A,0)-1),2)
=LEFT(INDIRECT("数出表_Excel!A"&amp;MATCH(BV22,数出表_Excel!$A:$A,0)+1),2)),100,
IF(AND(LEFT(BV22,3)="奈良屋",
LEFT(INDIRECT("数出表_Excel!A"&amp;MATCH(BV22,数出表_Excel!$A:$A,0)-1),2)
=LEFT(INDIRECT("数出表_Excel!A"&amp;MATCH(BV22,数出表_Excel!$A:$A,0)+1),2)),200,""))</f>
        <v>#VALUE!</v>
      </c>
      <c r="BR24" s="139" t="str">
        <f ca="1">IF(BR23&lt;&gt;"",
"園児","")</f>
        <v/>
      </c>
      <c r="BS24" s="140"/>
      <c r="BT24" s="141" t="str">
        <f ca="1">IF(BR23&lt;&gt;"",
"先生","")</f>
        <v/>
      </c>
      <c r="BU24" s="140"/>
      <c r="BV24" s="154"/>
      <c r="BW24" s="129"/>
      <c r="BX24" s="132">
        <f t="shared" si="1"/>
        <v>77</v>
      </c>
      <c r="BY24" s="132" t="str">
        <f t="array" aca="1" ref="BY24" ca="1">INDIRECT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
&amp;MID(SUBSTITUTE(_xlfn.FORMULATEXT(BY$3),"=",""), LEN(_xlfn.TEXTJOIN("",TRUE,IF(ISERROR(MID(SUBSTITUTE(_xlfn.FORMULATEXT(BY$3),"=",""),ROW(INDIRECT("1:"&amp;LEN(SUBSTITUTE(_xlfn.FORMULATEXT(BY$3),"=","")))),1)*1),MID(SUBSTITUTE(_xlfn.FORMULATEXT(BY$3),"=",""),ROW(INDIRECT("1:"&amp;LEN(SUBSTITUTE(_xlfn.FORMULATEXT(BY$3),"=","")))),1),"")))+1, LEN(SUBSTITUTE(_xlfn.FORMULATEXT(BY$3),"=","")))+$BX24)</f>
        <v/>
      </c>
      <c r="BZ24" s="132" t="str">
        <f t="array" aca="1" ref="BZ24" ca="1">INDIRECT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
&amp;MID(SUBSTITUTE(_xlfn.FORMULATEXT(BZ$3),"=",""), LEN(_xlfn.TEXTJOIN("",TRUE,IF(ISERROR(MID(SUBSTITUTE(_xlfn.FORMULATEXT(BZ$3),"=",""),ROW(INDIRECT("1:"&amp;LEN(SUBSTITUTE(_xlfn.FORMULATEXT(BZ$3),"=","")))),1)*1),MID(SUBSTITUTE(_xlfn.FORMULATEXT(BZ$3),"=",""),ROW(INDIRECT("1:"&amp;LEN(SUBSTITUTE(_xlfn.FORMULATEXT(BZ$3),"=","")))),1),"")))+1, LEN(SUBSTITUTE(_xlfn.FORMULATEXT(BZ$3),"=","")))+$BX24)</f>
        <v/>
      </c>
      <c r="CA24" s="132" t="str">
        <f t="array" aca="1" ref="CA24" ca="1">INDIRECT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
&amp;MID(SUBSTITUTE(_xlfn.FORMULATEXT(CA$3),"=",""), LEN(_xlfn.TEXTJOIN("",TRUE,IF(ISERROR(MID(SUBSTITUTE(_xlfn.FORMULATEXT(CA$3),"=",""),ROW(INDIRECT("1:"&amp;LEN(SUBSTITUTE(_xlfn.FORMULATEXT(CA$3),"=","")))),1)*1),MID(SUBSTITUTE(_xlfn.FORMULATEXT(CA$3),"=",""),ROW(INDIRECT("1:"&amp;LEN(SUBSTITUTE(_xlfn.FORMULATEXT(CA$3),"=","")))),1),"")))+1, LEN(SUBSTITUTE(_xlfn.FORMULATEXT(CA$3),"=","")))+$BX24)</f>
        <v/>
      </c>
      <c r="CB24" s="132" t="str">
        <f t="array" aca="1" ref="CB24" ca="1">INDIRECT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
&amp;MID(SUBSTITUTE(_xlfn.FORMULATEXT(CB$3),"=",""), LEN(_xlfn.TEXTJOIN("",TRUE,IF(ISERROR(MID(SUBSTITUTE(_xlfn.FORMULATEXT(CB$3),"=",""),ROW(INDIRECT("1:"&amp;LEN(SUBSTITUTE(_xlfn.FORMULATEXT(CB$3),"=","")))),1)*1),MID(SUBSTITUTE(_xlfn.FORMULATEXT(CB$3),"=",""),ROW(INDIRECT("1:"&amp;LEN(SUBSTITUTE(_xlfn.FORMULATEXT(CB$3),"=","")))),1),"")))+1, LEN(SUBSTITUTE(_xlfn.FORMULATEXT(CB$3),"=","")))+$BX24)</f>
        <v/>
      </c>
      <c r="CC24" s="132" t="str">
        <f t="array" aca="1" ref="CC24" ca="1">INDIRECT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
&amp;MID(SUBSTITUTE(_xlfn.FORMULATEXT(CC$3),"=",""), LEN(_xlfn.TEXTJOIN("",TRUE,IF(ISERROR(MID(SUBSTITUTE(_xlfn.FORMULATEXT(CC$3),"=",""),ROW(INDIRECT("1:"&amp;LEN(SUBSTITUTE(_xlfn.FORMULATEXT(CC$3),"=","")))),1)*1),MID(SUBSTITUTE(_xlfn.FORMULATEXT(CC$3),"=",""),ROW(INDIRECT("1:"&amp;LEN(SUBSTITUTE(_xlfn.FORMULATEXT(CC$3),"=","")))),1),"")))+1, LEN(SUBSTITUTE(_xlfn.FORMULATEXT(CC$3),"=","")))+$BX24)</f>
        <v/>
      </c>
      <c r="CD24" s="132" t="str">
        <f t="array" aca="1" ref="CD24" ca="1">INDIRECT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
&amp;MID(SUBSTITUTE(_xlfn.FORMULATEXT(CD$3),"=",""), LEN(_xlfn.TEXTJOIN("",TRUE,IF(ISERROR(MID(SUBSTITUTE(_xlfn.FORMULATEXT(CD$3),"=",""),ROW(INDIRECT("1:"&amp;LEN(SUBSTITUTE(_xlfn.FORMULATEXT(CD$3),"=","")))),1)*1),MID(SUBSTITUTE(_xlfn.FORMULATEXT(CD$3),"=",""),ROW(INDIRECT("1:"&amp;LEN(SUBSTITUTE(_xlfn.FORMULATEXT(CD$3),"=","")))),1),"")))+1, LEN(SUBSTITUTE(_xlfn.FORMULATEXT(CD$3),"=","")))+$BX24)</f>
        <v/>
      </c>
      <c r="CE24" s="132" t="str">
        <f t="array" aca="1" ref="CE24" ca="1">INDIRECT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
&amp;MID(SUBSTITUTE(_xlfn.FORMULATEXT(CE$3),"=",""), LEN(_xlfn.TEXTJOIN("",TRUE,IF(ISERROR(MID(SUBSTITUTE(_xlfn.FORMULATEXT(CE$3),"=",""),ROW(INDIRECT("1:"&amp;LEN(SUBSTITUTE(_xlfn.FORMULATEXT(CE$3),"=","")))),1)*1),MID(SUBSTITUTE(_xlfn.FORMULATEXT(CE$3),"=",""),ROW(INDIRECT("1:"&amp;LEN(SUBSTITUTE(_xlfn.FORMULATEXT(CE$3),"=","")))),1),"")))+1, LEN(SUBSTITUTE(_xlfn.FORMULATEXT(CE$3),"=","")))+$BX24)</f>
        <v/>
      </c>
      <c r="CF24" s="132" t="str">
        <f t="array" aca="1" ref="CF24" ca="1">INDIRECT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
&amp;MID(SUBSTITUTE(_xlfn.FORMULATEXT(CF$3),"=",""), LEN(_xlfn.TEXTJOIN("",TRUE,IF(ISERROR(MID(SUBSTITUTE(_xlfn.FORMULATEXT(CF$3),"=",""),ROW(INDIRECT("1:"&amp;LEN(SUBSTITUTE(_xlfn.FORMULATEXT(CF$3),"=","")))),1)*1),MID(SUBSTITUTE(_xlfn.FORMULATEXT(CF$3),"=",""),ROW(INDIRECT("1:"&amp;LEN(SUBSTITUTE(_xlfn.FORMULATEXT(CF$3),"=","")))),1),"")))+1, LEN(SUBSTITUTE(_xlfn.FORMULATEXT(CF$3),"=","")))+$BX24)</f>
        <v/>
      </c>
      <c r="CG24" s="132" t="str">
        <f t="array" aca="1" ref="CG24" ca="1">INDIRECT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
&amp;MID(SUBSTITUTE(_xlfn.FORMULATEXT(CG$3),"=",""), LEN(_xlfn.TEXTJOIN("",TRUE,IF(ISERROR(MID(SUBSTITUTE(_xlfn.FORMULATEXT(CG$3),"=",""),ROW(INDIRECT("1:"&amp;LEN(SUBSTITUTE(_xlfn.FORMULATEXT(CG$3),"=","")))),1)*1),MID(SUBSTITUTE(_xlfn.FORMULATEXT(CG$3),"=",""),ROW(INDIRECT("1:"&amp;LEN(SUBSTITUTE(_xlfn.FORMULATEXT(CG$3),"=","")))),1),"")))+1, LEN(SUBSTITUTE(_xlfn.FORMULATEXT(CG$3),"=","")))+$BX24)</f>
        <v/>
      </c>
      <c r="CH24" s="132" t="str">
        <f t="array" aca="1" ref="CH24" ca="1">INDIRECT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
&amp;MID(SUBSTITUTE(_xlfn.FORMULATEXT(CH$3),"=",""), LEN(_xlfn.TEXTJOIN("",TRUE,IF(ISERROR(MID(SUBSTITUTE(_xlfn.FORMULATEXT(CH$3),"=",""),ROW(INDIRECT("1:"&amp;LEN(SUBSTITUTE(_xlfn.FORMULATEXT(CH$3),"=","")))),1)*1),MID(SUBSTITUTE(_xlfn.FORMULATEXT(CH$3),"=",""),ROW(INDIRECT("1:"&amp;LEN(SUBSTITUTE(_xlfn.FORMULATEXT(CH$3),"=","")))),1),"")))+1, LEN(SUBSTITUTE(_xlfn.FORMULATEXT(CH$3),"=","")))+$BX24)</f>
        <v/>
      </c>
      <c r="CI24" s="132">
        <f t="shared" ca="1" si="0"/>
        <v>0</v>
      </c>
      <c r="CJ24" s="132" t="b">
        <f t="array" aca="1" ref="CJ24" ca="1">SUMPRODUCT((LEN(BY24:CH24)&gt;0)*1)&gt;0</f>
        <v>0</v>
      </c>
      <c r="CK24" s="132" t="str" cm="1">
        <f t="array" aca="1" ref="CK24" ca="1">IFERROR(SMALL(IF(CI$1:CI$150&lt;&gt;0,CI$1:CI$150),ROW(A24)),"")</f>
        <v/>
      </c>
      <c r="CL24" s="132" t="str">
        <f t="array" aca="1" ref="CL24" ca="1">IF($CK24&lt;&gt;"",
INDIRECT(""&amp;IF(COLUMN(BY24)&lt;=26,CHAR(COLUMN(BY24)+64),CHAR(INT((COLUMN(BY24)-1)/26)+64)&amp;CHAR(MOD(COLUMN(BY24)-1,26)+65))&amp;$CK24&amp;""),"")</f>
        <v/>
      </c>
      <c r="CM24" s="132" t="str">
        <f t="array" aca="1" ref="CM24" ca="1">IF($CK24&lt;&gt;"",
INDIRECT(""&amp;IF(COLUMN(BZ24)&lt;=26,CHAR(COLUMN(BZ24)+64),CHAR(INT((COLUMN(BZ24)-1)/26)+64)&amp;CHAR(MOD(COLUMN(BZ24)-1,26)+65))&amp;$CK24&amp;""),"")</f>
        <v/>
      </c>
      <c r="CN24" s="132" t="str">
        <f t="array" aca="1" ref="CN24" ca="1">IF($CK24&lt;&gt;"",
INDIRECT(""&amp;IF(COLUMN(CA24)&lt;=26,CHAR(COLUMN(CA24)+64),CHAR(INT((COLUMN(CA24)-1)/26)+64)&amp;CHAR(MOD(COLUMN(CA24)-1,26)+65))&amp;$CK24&amp;""),"")</f>
        <v/>
      </c>
      <c r="CO24" s="132" t="str">
        <f t="array" aca="1" ref="CO24" ca="1">IF($CK24&lt;&gt;"",
INDIRECT(""&amp;IF(COLUMN(CB24)&lt;=26,CHAR(COLUMN(CB24)+64),CHAR(INT((COLUMN(CB24)-1)/26)+64)&amp;CHAR(MOD(COLUMN(CB24)-1,26)+65))&amp;$CK24&amp;""),"")</f>
        <v/>
      </c>
      <c r="CP24" s="132" t="str">
        <f t="array" aca="1" ref="CP24" ca="1">IF($CK24&lt;&gt;"",
INDIRECT(""&amp;IF(COLUMN(CC24)&lt;=26,CHAR(COLUMN(CC24)+64),CHAR(INT((COLUMN(CC24)-1)/26)+64)&amp;CHAR(MOD(COLUMN(CC24)-1,26)+65))&amp;$CK24&amp;""),"")</f>
        <v/>
      </c>
      <c r="CQ24" s="132" t="str">
        <f t="array" aca="1" ref="CQ24" ca="1">IF($CK24&lt;&gt;"",
INDIRECT(""&amp;IF(COLUMN(CD24)&lt;=26,CHAR(COLUMN(CD24)+64),CHAR(INT((COLUMN(CD24)-1)/26)+64)&amp;CHAR(MOD(COLUMN(CD24)-1,26)+65))&amp;$CK24&amp;""),"")</f>
        <v/>
      </c>
      <c r="CR24" s="132" t="str">
        <f t="array" aca="1" ref="CR24" ca="1">IF($CK24&lt;&gt;"",
INDIRECT(""&amp;IF(COLUMN(CE24)&lt;=26,CHAR(COLUMN(CE24)+64),CHAR(INT((COLUMN(CE24)-1)/26)+64)&amp;CHAR(MOD(COLUMN(CE24)-1,26)+65))&amp;$CK24&amp;""),"")</f>
        <v/>
      </c>
      <c r="CS24" s="132" t="str">
        <f t="array" aca="1" ref="CS24" ca="1">IF($CK24&lt;&gt;"",
INDIRECT(""&amp;IF(COLUMN(CF24)&lt;=26,CHAR(COLUMN(CF24)+64),CHAR(INT((COLUMN(CF24)-1)/26)+64)&amp;CHAR(MOD(COLUMN(CF24)-1,26)+65))&amp;$CK24&amp;""),"")</f>
        <v/>
      </c>
      <c r="CT24" s="132" t="str">
        <f t="array" aca="1" ref="CT24" ca="1">IF($CK24&lt;&gt;"",
INDIRECT(""&amp;IF(COLUMN(CG24)&lt;=26,CHAR(COLUMN(CG24)+64),CHAR(INT((COLUMN(CG24)-1)/26)+64)&amp;CHAR(MOD(COLUMN(CG24)-1,26)+65))&amp;$CK24&amp;""),"")</f>
        <v/>
      </c>
      <c r="CU24" s="132" t="str">
        <f t="array" aca="1" ref="CU24" ca="1">IF($CK24&lt;&gt;"",
INDIRECT(""&amp;IF(COLUMN(CH24)&lt;=26,CHAR(COLUMN(CH24)+64),CHAR(INT((COLUMN(CH24)-1)/26)+64)&amp;CHAR(MOD(COLUMN(CH24)-1,26)+65))&amp;$CK24&amp;""),"")</f>
        <v/>
      </c>
    </row>
    <row r="25" spans="1:99" ht="18" customHeight="1" x14ac:dyDescent="0.45">
      <c r="B25" s="143"/>
      <c r="C25" s="120" t="str">
        <f t="array" aca="1" ref="C25" ca="1">IF(C23&lt;&gt;"",
IF(IFERROR(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"")=0,"",
IF(B24=100,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IF(AND(B24=200,COUNTIF(数出表_Excel!$A:$A,"*奈良屋*")=2),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""),
IF(AND(B24=200,COUNTIF(数出表_Excel!$A:$A,"*奈良屋*")=3),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
+IFERROR(
INDEX(INDIRECT("数出表_Excel!B"&amp;MATCH(G22,数出表_Excel!$A:$A,0)-1+2&amp;":U"&amp;MATCH(G22,数出表_Excel!$A:$A,0)-1+2&amp;""),
 1,
 MATCH(TRUE, ISNUMBER(--INDIRECT("数出表_Excel!B"&amp;MATCH(G22,数出表_Excel!$A:$A,0)-1+2&amp;":U"&amp;MATCH(G22,数出表_Excel!$A:$A,0)-1+2&amp;"")), 0)),
 "")
+IFERROR(
INDEX(INDIRECT("数出表_Excel!B"&amp;MATCH(G22,数出表_Excel!$A:$A,0)-1+4&amp;":U"&amp;MATCH(G22,数出表_Excel!$A:$A,0)-1+4&amp;""),
 1,
 MATCH(TRUE, ISNUMBER(--INDIRECT("数出表_Excel!B"&amp;MATCH(G22,数出表_Excel!$A:$A,0)-1+4&amp;":U"&amp;MATCH(G22,数出表_Excel!$A:$A,0)-1+4&amp;"")), 0)),
 ""),
IFERROR(
INDEX(INDIRECT("数出表_Excel!B"&amp;MATCH(G22,数出表_Excel!$A:$A,0)-1&amp;":U"&amp;MATCH(G22,数出表_Excel!$A:$A,0)-1&amp;""),
 1,
 MATCH(TRUE, ISNUMBER(--INDIRECT("数出表_Excel!B"&amp;MATCH(G22,数出表_Excel!$A:$A,0)-1&amp;":U"&amp;MATCH(G22,数出表_Excel!$A:$A,0)-1&amp;"")), 0)),
 ""))))),"")</f>
        <v/>
      </c>
      <c r="D25" s="144"/>
      <c r="E25" s="145" t="str">
        <f t="array" aca="1" ref="E25" ca="1">IF(C23&lt;&gt;"",
IF(IFERROR(
INDEX(INDIRECT("数出表_Excel!B"&amp;MATCH(G22,数出表_Excel!$A:$A,0)&amp;":U"&amp;MATCH(G22,数出表_Excel!$A:$A,0)&amp;""),
 1,B23-1),
 "")=0,"",
IFERROR(
INDEX(INDIRECT("数出表_Excel!B"&amp;MATCH(G22,数出表_Excel!$A:$A,0)&amp;":U"&amp;MATCH(G22,数出表_Excel!$A:$A,0)&amp;""),
 1,B23-1),
 "")),"")</f>
        <v/>
      </c>
      <c r="F25" s="144"/>
      <c r="G25" s="159"/>
      <c r="I25" s="143"/>
      <c r="J25" s="120" t="str">
        <f t="array" aca="1" ref="J25" ca="1">IF(J23&lt;&gt;"",
IF(IFERROR(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"")=0,"",
IF(I24=100,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IF(AND(I24=200,COUNTIF(数出表_Excel!$A:$A,"*奈良屋*")=2),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""),
IF(AND(I24=200,COUNTIF(数出表_Excel!$A:$A,"*奈良屋*")=3),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
+IFERROR(
INDEX(INDIRECT("数出表_Excel!B"&amp;MATCH(N22,数出表_Excel!$A:$A,0)-1+2&amp;":U"&amp;MATCH(N22,数出表_Excel!$A:$A,0)-1+2&amp;""),
 1,
 MATCH(TRUE, ISNUMBER(--INDIRECT("数出表_Excel!B"&amp;MATCH(N22,数出表_Excel!$A:$A,0)-1+2&amp;":U"&amp;MATCH(N22,数出表_Excel!$A:$A,0)-1+2&amp;"")), 0)),
 "")
+IFERROR(
INDEX(INDIRECT("数出表_Excel!B"&amp;MATCH(N22,数出表_Excel!$A:$A,0)-1+4&amp;":U"&amp;MATCH(N22,数出表_Excel!$A:$A,0)-1+4&amp;""),
 1,
 MATCH(TRUE, ISNUMBER(--INDIRECT("数出表_Excel!B"&amp;MATCH(N22,数出表_Excel!$A:$A,0)-1+4&amp;":U"&amp;MATCH(N22,数出表_Excel!$A:$A,0)-1+4&amp;"")), 0)),
 ""),
IFERROR(
INDEX(INDIRECT("数出表_Excel!B"&amp;MATCH(N22,数出表_Excel!$A:$A,0)-1&amp;":U"&amp;MATCH(N22,数出表_Excel!$A:$A,0)-1&amp;""),
 1,
 MATCH(TRUE, ISNUMBER(--INDIRECT("数出表_Excel!B"&amp;MATCH(N22,数出表_Excel!$A:$A,0)-1&amp;":U"&amp;MATCH(N22,数出表_Excel!$A:$A,0)-1&amp;"")), 0)),
 ""))))),"")</f>
        <v/>
      </c>
      <c r="K25" s="144"/>
      <c r="L25" s="145" t="str">
        <f t="array" aca="1" ref="L25" ca="1">IF(J23&lt;&gt;"",
IF(IFERROR(
INDEX(INDIRECT("数出表_Excel!B"&amp;MATCH(N22,数出表_Excel!$A:$A,0)&amp;":U"&amp;MATCH(N22,数出表_Excel!$A:$A,0)&amp;""),
 1,I23-1),
 "")=0,"",
IFERROR(
INDEX(INDIRECT("数出表_Excel!B"&amp;MATCH(N22,数出表_Excel!$A:$A,0)&amp;":U"&amp;MATCH(N22,数出表_Excel!$A:$A,0)&amp;""),
 1,I23-1),
 "")),"")</f>
        <v/>
      </c>
      <c r="M25" s="144"/>
      <c r="N25" s="154"/>
      <c r="Q25" s="143"/>
      <c r="R25" s="120" t="str">
        <f t="array" aca="1" ref="R25" ca="1">IF(R23&lt;&gt;"",
IF(IFERROR(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"")=0,"",
IF(Q24=100,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IF(AND(Q24=200,COUNTIF(数出表_Excel!$A:$A,"*奈良屋*")=2),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""),
IF(AND(Q24=200,COUNTIF(数出表_Excel!$A:$A,"*奈良屋*")=3),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
+IFERROR(
INDEX(INDIRECT("数出表_Excel!B"&amp;MATCH(V22,数出表_Excel!$A:$A,0)-1+2&amp;":U"&amp;MATCH(V22,数出表_Excel!$A:$A,0)-1+2&amp;""),
 1,
 MATCH(TRUE, ISNUMBER(--INDIRECT("数出表_Excel!B"&amp;MATCH(V22,数出表_Excel!$A:$A,0)-1+2&amp;":U"&amp;MATCH(V22,数出表_Excel!$A:$A,0)-1+2&amp;"")), 0)),
 "")
+IFERROR(
INDEX(INDIRECT("数出表_Excel!B"&amp;MATCH(V22,数出表_Excel!$A:$A,0)-1+4&amp;":U"&amp;MATCH(V22,数出表_Excel!$A:$A,0)-1+4&amp;""),
 1,
 MATCH(TRUE, ISNUMBER(--INDIRECT("数出表_Excel!B"&amp;MATCH(V22,数出表_Excel!$A:$A,0)-1+4&amp;":U"&amp;MATCH(V22,数出表_Excel!$A:$A,0)-1+4&amp;"")), 0)),
 ""),
IFERROR(
INDEX(INDIRECT("数出表_Excel!B"&amp;MATCH(V22,数出表_Excel!$A:$A,0)-1&amp;":U"&amp;MATCH(V22,数出表_Excel!$A:$A,0)-1&amp;""),
 1,
 MATCH(TRUE, ISNUMBER(--INDIRECT("数出表_Excel!B"&amp;MATCH(V22,数出表_Excel!$A:$A,0)-1&amp;":U"&amp;MATCH(V22,数出表_Excel!$A:$A,0)-1&amp;"")), 0)),
 ""))))),"")</f>
        <v/>
      </c>
      <c r="S25" s="144"/>
      <c r="T25" s="145" t="str">
        <f t="array" aca="1" ref="T25" ca="1">IF(R23&lt;&gt;"",
IF(IFERROR(
INDEX(INDIRECT("数出表_Excel!B"&amp;MATCH(V22,数出表_Excel!$A:$A,0)&amp;":U"&amp;MATCH(V22,数出表_Excel!$A:$A,0)&amp;""),
 1,Q23-1),
 "")=0,"",
IFERROR(
INDEX(INDIRECT("数出表_Excel!B"&amp;MATCH(V22,数出表_Excel!$A:$A,0)&amp;":U"&amp;MATCH(V22,数出表_Excel!$A:$A,0)&amp;""),
 1,Q23-1),
 "")),"")</f>
        <v/>
      </c>
      <c r="U25" s="144"/>
      <c r="V25" s="154"/>
      <c r="X25" s="143"/>
      <c r="Y25" s="120" t="str">
        <f t="array" aca="1" ref="Y25" ca="1">IF(Y23&lt;&gt;"",
IF(IFERROR(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"")=0,"",
IF(X24=100,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IF(AND(X24=200,COUNTIF(数出表_Excel!$A:$A,"*奈良屋*")=2),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""),
IF(AND(X24=200,COUNTIF(数出表_Excel!$A:$A,"*奈良屋*")=3),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
+IFERROR(
INDEX(INDIRECT("数出表_Excel!B"&amp;MATCH(AC22,数出表_Excel!$A:$A,0)-1+2&amp;":U"&amp;MATCH(AC22,数出表_Excel!$A:$A,0)-1+2&amp;""),
 1,
 MATCH(TRUE, ISNUMBER(--INDIRECT("数出表_Excel!B"&amp;MATCH(AC22,数出表_Excel!$A:$A,0)-1+2&amp;":U"&amp;MATCH(AC22,数出表_Excel!$A:$A,0)-1+2&amp;"")), 0)),
 "")
+IFERROR(
INDEX(INDIRECT("数出表_Excel!B"&amp;MATCH(AC22,数出表_Excel!$A:$A,0)-1+4&amp;":U"&amp;MATCH(AC22,数出表_Excel!$A:$A,0)-1+4&amp;""),
 1,
 MATCH(TRUE, ISNUMBER(--INDIRECT("数出表_Excel!B"&amp;MATCH(AC22,数出表_Excel!$A:$A,0)-1+4&amp;":U"&amp;MATCH(AC22,数出表_Excel!$A:$A,0)-1+4&amp;"")), 0)),
 ""),
IFERROR(
INDEX(INDIRECT("数出表_Excel!B"&amp;MATCH(AC22,数出表_Excel!$A:$A,0)-1&amp;":U"&amp;MATCH(AC22,数出表_Excel!$A:$A,0)-1&amp;""),
 1,
 MATCH(TRUE, ISNUMBER(--INDIRECT("数出表_Excel!B"&amp;MATCH(AC22,数出表_Excel!$A:$A,0)-1&amp;":U"&amp;MATCH(AC22,数出表_Excel!$A:$A,0)-1&amp;"")), 0)),
 ""))))),"")</f>
        <v/>
      </c>
      <c r="Z25" s="144"/>
      <c r="AA25" s="145" t="str">
        <f t="array" aca="1" ref="AA25" ca="1">IF(Y23&lt;&gt;"",
IF(IFERROR(
INDEX(INDIRECT("数出表_Excel!B"&amp;MATCH(AC22,数出表_Excel!$A:$A,0)&amp;":U"&amp;MATCH(AC22,数出表_Excel!$A:$A,0)&amp;""),
 1,X23-1),
 "")=0,"",
IFERROR(
INDEX(INDIRECT("数出表_Excel!B"&amp;MATCH(AC22,数出表_Excel!$A:$A,0)&amp;":U"&amp;MATCH(AC22,数出表_Excel!$A:$A,0)&amp;""),
 1,X23-1),
 "")),"")</f>
        <v/>
      </c>
      <c r="AB25" s="144"/>
      <c r="AC25" s="154"/>
      <c r="AF25" s="143"/>
      <c r="AG25" s="120" t="str">
        <f t="array" aca="1" ref="AG25" ca="1">IF(AG23&lt;&gt;"",
IF(IFERROR(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"")=0,"",
IF(AF24=100,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IF(AND(AF24=200,COUNTIF(数出表_Excel!$A:$A,"*奈良屋*")=2),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""),
IF(AND(AF24=200,COUNTIF(数出表_Excel!$A:$A,"*奈良屋*")=3),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
+IFERROR(
INDEX(INDIRECT("数出表_Excel!B"&amp;MATCH(AK22,数出表_Excel!$A:$A,0)-1+2&amp;":U"&amp;MATCH(AK22,数出表_Excel!$A:$A,0)-1+2&amp;""),
 1,
 MATCH(TRUE, ISNUMBER(--INDIRECT("数出表_Excel!B"&amp;MATCH(AK22,数出表_Excel!$A:$A,0)-1+2&amp;":U"&amp;MATCH(AK22,数出表_Excel!$A:$A,0)-1+2&amp;"")), 0)),
 "")
+IFERROR(
INDEX(INDIRECT("数出表_Excel!B"&amp;MATCH(AK22,数出表_Excel!$A:$A,0)-1+4&amp;":U"&amp;MATCH(AK22,数出表_Excel!$A:$A,0)-1+4&amp;""),
 1,
 MATCH(TRUE, ISNUMBER(--INDIRECT("数出表_Excel!B"&amp;MATCH(AK22,数出表_Excel!$A:$A,0)-1+4&amp;":U"&amp;MATCH(AK22,数出表_Excel!$A:$A,0)-1+4&amp;"")), 0)),
 ""),
IFERROR(
INDEX(INDIRECT("数出表_Excel!B"&amp;MATCH(AK22,数出表_Excel!$A:$A,0)-1&amp;":U"&amp;MATCH(AK22,数出表_Excel!$A:$A,0)-1&amp;""),
 1,
 MATCH(TRUE, ISNUMBER(--INDIRECT("数出表_Excel!B"&amp;MATCH(AK22,数出表_Excel!$A:$A,0)-1&amp;":U"&amp;MATCH(AK22,数出表_Excel!$A:$A,0)-1&amp;"")), 0)),
 ""))))),"")</f>
        <v/>
      </c>
      <c r="AH25" s="144"/>
      <c r="AI25" s="145" t="str">
        <f t="array" aca="1" ref="AI25" ca="1">IF(AG23&lt;&gt;"",
IF(IFERROR(
INDEX(INDIRECT("数出表_Excel!B"&amp;MATCH(AK22,数出表_Excel!$A:$A,0)&amp;":U"&amp;MATCH(AK22,数出表_Excel!$A:$A,0)&amp;""),
 1,AF23-1),
 "")=0,"",
IFERROR(
INDEX(INDIRECT("数出表_Excel!B"&amp;MATCH(AK22,数出表_Excel!$A:$A,0)&amp;":U"&amp;MATCH(AK22,数出表_Excel!$A:$A,0)&amp;""),
 1,AF23-1),
 "")),"")</f>
        <v/>
      </c>
      <c r="AJ25" s="144"/>
      <c r="AK25" s="154"/>
      <c r="AM25" s="143"/>
      <c r="AN25" s="120" t="str">
        <f t="array" aca="1" ref="AN25" ca="1">IF(AN23&lt;&gt;"",
IF(IFERROR(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"")=0,"",
IF(AM24=100,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IF(AND(AM24=200,COUNTIF(数出表_Excel!$A:$A,"*奈良屋*")=2),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""),
IF(AND(AM24=200,COUNTIF(数出表_Excel!$A:$A,"*奈良屋*")=3),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
+IFERROR(
INDEX(INDIRECT("数出表_Excel!B"&amp;MATCH(AR22,数出表_Excel!$A:$A,0)-1+2&amp;":U"&amp;MATCH(AR22,数出表_Excel!$A:$A,0)-1+2&amp;""),
 1,
 MATCH(TRUE, ISNUMBER(--INDIRECT("数出表_Excel!B"&amp;MATCH(AR22,数出表_Excel!$A:$A,0)-1+2&amp;":U"&amp;MATCH(AR22,数出表_Excel!$A:$A,0)-1+2&amp;"")), 0)),
 "")
+IFERROR(
INDEX(INDIRECT("数出表_Excel!B"&amp;MATCH(AR22,数出表_Excel!$A:$A,0)-1+4&amp;":U"&amp;MATCH(AR22,数出表_Excel!$A:$A,0)-1+4&amp;""),
 1,
 MATCH(TRUE, ISNUMBER(--INDIRECT("数出表_Excel!B"&amp;MATCH(AR22,数出表_Excel!$A:$A,0)-1+4&amp;":U"&amp;MATCH(AR22,数出表_Excel!$A:$A,0)-1+4&amp;"")), 0)),
 ""),
IFERROR(
INDEX(INDIRECT("数出表_Excel!B"&amp;MATCH(AR22,数出表_Excel!$A:$A,0)-1&amp;":U"&amp;MATCH(AR22,数出表_Excel!$A:$A,0)-1&amp;""),
 1,
 MATCH(TRUE, ISNUMBER(--INDIRECT("数出表_Excel!B"&amp;MATCH(AR22,数出表_Excel!$A:$A,0)-1&amp;":U"&amp;MATCH(AR22,数出表_Excel!$A:$A,0)-1&amp;"")), 0)),
 ""))))),"")</f>
        <v/>
      </c>
      <c r="AO25" s="144"/>
      <c r="AP25" s="145" t="str">
        <f t="array" aca="1" ref="AP25" ca="1">IF(AN23&lt;&gt;"",
IF(IFERROR(
INDEX(INDIRECT("数出表_Excel!B"&amp;MATCH(AR22,数出表_Excel!$A:$A,0)&amp;":U"&amp;MATCH(AR22,数出表_Excel!$A:$A,0)&amp;""),
 1,AM23-1),
 "")=0,"",
IFERROR(
INDEX(INDIRECT("数出表_Excel!B"&amp;MATCH(AR22,数出表_Excel!$A:$A,0)&amp;":U"&amp;MATCH(AR22,数出表_Excel!$A:$A,0)&amp;""),
 1,AM23-1),
 "")),"")</f>
        <v/>
      </c>
      <c r="AQ25" s="144"/>
      <c r="AR25" s="154"/>
      <c r="AU25" s="143"/>
      <c r="AV25" s="120" t="str">
        <f t="array" aca="1" ref="AV25" ca="1">IF(AV23&lt;&gt;"",
IF(IFERROR(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"")=0,"",
IF(AU24=100,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IF(AND(AU24=200,COUNTIF(数出表_Excel!$A:$A,"*奈良屋*")=2),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""),
IF(AND(AU24=200,COUNTIF(数出表_Excel!$A:$A,"*奈良屋*")=3),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
+IFERROR(
INDEX(INDIRECT("数出表_Excel!B"&amp;MATCH(AZ22,数出表_Excel!$A:$A,0)-1+2&amp;":U"&amp;MATCH(AZ22,数出表_Excel!$A:$A,0)-1+2&amp;""),
 1,
 MATCH(TRUE, ISNUMBER(--INDIRECT("数出表_Excel!B"&amp;MATCH(AZ22,数出表_Excel!$A:$A,0)-1+2&amp;":U"&amp;MATCH(AZ22,数出表_Excel!$A:$A,0)-1+2&amp;"")), 0)),
 "")
+IFERROR(
INDEX(INDIRECT("数出表_Excel!B"&amp;MATCH(AZ22,数出表_Excel!$A:$A,0)-1+4&amp;":U"&amp;MATCH(AZ22,数出表_Excel!$A:$A,0)-1+4&amp;""),
 1,
 MATCH(TRUE, ISNUMBER(--INDIRECT("数出表_Excel!B"&amp;MATCH(AZ22,数出表_Excel!$A:$A,0)-1+4&amp;":U"&amp;MATCH(AZ22,数出表_Excel!$A:$A,0)-1+4&amp;"")), 0)),
 ""),
IFERROR(
INDEX(INDIRECT("数出表_Excel!B"&amp;MATCH(AZ22,数出表_Excel!$A:$A,0)-1&amp;":U"&amp;MATCH(AZ22,数出表_Excel!$A:$A,0)-1&amp;""),
 1,
 MATCH(TRUE, ISNUMBER(--INDIRECT("数出表_Excel!B"&amp;MATCH(AZ22,数出表_Excel!$A:$A,0)-1&amp;":U"&amp;MATCH(AZ22,数出表_Excel!$A:$A,0)-1&amp;"")), 0)),
 ""))))),"")</f>
        <v/>
      </c>
      <c r="AW25" s="144"/>
      <c r="AX25" s="145" t="str">
        <f t="array" aca="1" ref="AX25" ca="1">IF(AV23&lt;&gt;"",
IF(IFERROR(
INDEX(INDIRECT("数出表_Excel!B"&amp;MATCH(AZ22,数出表_Excel!$A:$A,0)&amp;":U"&amp;MATCH(AZ22,数出表_Excel!$A:$A,0)&amp;""),
 1,AU23-1),
 "")=0,"",
IFERROR(
INDEX(INDIRECT("数出表_Excel!B"&amp;MATCH(AZ22,数出表_Excel!$A:$A,0)&amp;":U"&amp;MATCH(AZ22,数出表_Excel!$A:$A,0)&amp;""),
 1,AU23-1),
 "")),"")</f>
        <v/>
      </c>
      <c r="AY25" s="144"/>
      <c r="AZ25" s="154"/>
      <c r="BB25" s="143"/>
      <c r="BC25" s="120" t="str">
        <f t="array" aca="1" ref="BC25" ca="1">IF(BC23&lt;&gt;"",
IF(IFERROR(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"")=0,"",
IF(BB24=100,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IF(AND(BB24=200,COUNTIF(数出表_Excel!$A:$A,"*奈良屋*")=2),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""),
IF(AND(BB24=200,COUNTIF(数出表_Excel!$A:$A,"*奈良屋*")=3),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
+IFERROR(
INDEX(INDIRECT("数出表_Excel!B"&amp;MATCH(BG22,数出表_Excel!$A:$A,0)-1+2&amp;":U"&amp;MATCH(BG22,数出表_Excel!$A:$A,0)-1+2&amp;""),
 1,
 MATCH(TRUE, ISNUMBER(--INDIRECT("数出表_Excel!B"&amp;MATCH(BG22,数出表_Excel!$A:$A,0)-1+2&amp;":U"&amp;MATCH(BG22,数出表_Excel!$A:$A,0)-1+2&amp;"")), 0)),
 "")
+IFERROR(
INDEX(INDIRECT("数出表_Excel!B"&amp;MATCH(BG22,数出表_Excel!$A:$A,0)-1+4&amp;":U"&amp;MATCH(BG22,数出表_Excel!$A:$A,0)-1+4&amp;""),
 1,
 MATCH(TRUE, ISNUMBER(--INDIRECT("数出表_Excel!B"&amp;MATCH(BG22,数出表_Excel!$A:$A,0)-1+4&amp;":U"&amp;MATCH(BG22,数出表_Excel!$A:$A,0)-1+4&amp;"")), 0)),
 ""),
IFERROR(
INDEX(INDIRECT("数出表_Excel!B"&amp;MATCH(BG22,数出表_Excel!$A:$A,0)-1&amp;":U"&amp;MATCH(BG22,数出表_Excel!$A:$A,0)-1&amp;""),
 1,
 MATCH(TRUE, ISNUMBER(--INDIRECT("数出表_Excel!B"&amp;MATCH(BG22,数出表_Excel!$A:$A,0)-1&amp;":U"&amp;MATCH(BG22,数出表_Excel!$A:$A,0)-1&amp;"")), 0)),
 ""))))),"")</f>
        <v/>
      </c>
      <c r="BD25" s="144"/>
      <c r="BE25" s="145" t="str">
        <f t="array" aca="1" ref="BE25" ca="1">IF(BC23&lt;&gt;"",
IF(IFERROR(
INDEX(INDIRECT("数出表_Excel!B"&amp;MATCH(BG22,数出表_Excel!$A:$A,0)&amp;":U"&amp;MATCH(BG22,数出表_Excel!$A:$A,0)&amp;""),
 1,BB23-1),
 "")=0,"",
IFERROR(
INDEX(INDIRECT("数出表_Excel!B"&amp;MATCH(BG22,数出表_Excel!$A:$A,0)&amp;":U"&amp;MATCH(BG22,数出表_Excel!$A:$A,0)&amp;""),
 1,BB23-1),
 "")),"")</f>
        <v/>
      </c>
      <c r="BF25" s="144"/>
      <c r="BG25" s="154"/>
      <c r="BJ25" s="143"/>
      <c r="BK25" s="120" t="str">
        <f t="array" aca="1" ref="BK25" ca="1">IF(BK23&lt;&gt;"",
IF(IFERROR(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"")=0,"",
IF(BJ24=100,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IF(AND(BJ24=200,COUNTIF(数出表_Excel!$A:$A,"*奈良屋*")=2),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""),
IF(AND(BJ24=200,COUNTIF(数出表_Excel!$A:$A,"*奈良屋*")=3),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
+IFERROR(
INDEX(INDIRECT("数出表_Excel!B"&amp;MATCH(BO22,数出表_Excel!$A:$A,0)-1+2&amp;":U"&amp;MATCH(BO22,数出表_Excel!$A:$A,0)-1+2&amp;""),
 1,
 MATCH(TRUE, ISNUMBER(--INDIRECT("数出表_Excel!B"&amp;MATCH(BO22,数出表_Excel!$A:$A,0)-1+2&amp;":U"&amp;MATCH(BO22,数出表_Excel!$A:$A,0)-1+2&amp;"")), 0)),
 "")
+IFERROR(
INDEX(INDIRECT("数出表_Excel!B"&amp;MATCH(BO22,数出表_Excel!$A:$A,0)-1+4&amp;":U"&amp;MATCH(BO22,数出表_Excel!$A:$A,0)-1+4&amp;""),
 1,
 MATCH(TRUE, ISNUMBER(--INDIRECT("数出表_Excel!B"&amp;MATCH(BO22,数出表_Excel!$A:$A,0)-1+4&amp;":U"&amp;MATCH(BO22,数出表_Excel!$A:$A,0)-1+4&amp;"")), 0)),
 ""),
IFERROR(
INDEX(INDIRECT("数出表_Excel!B"&amp;MATCH(BO22,数出表_Excel!$A:$A,0)-1&amp;":U"&amp;MATCH(BO22,数出表_Excel!$A:$A,0)-1&amp;""),
 1,
 MATCH(TRUE, ISNUMBER(--INDIRECT("数出表_Excel!B"&amp;MATCH(BO22,数出表_Excel!$A:$A,0)-1&amp;":U"&amp;MATCH(BO22,数出表_Excel!$A:$A,0)-1&amp;"")), 0)),
 ""))))),"")</f>
        <v/>
      </c>
      <c r="BL25" s="144"/>
      <c r="BM25" s="145" t="str">
        <f t="array" aca="1" ref="BM25" ca="1">IF(BK23&lt;&gt;"",
IF(IFERROR(
INDEX(INDIRECT("数出表_Excel!B"&amp;MATCH(BO22,数出表_Excel!$A:$A,0)&amp;":U"&amp;MATCH(BO22,数出表_Excel!$A:$A,0)&amp;""),
 1,BJ23-1),
 "")=0,"",
IFERROR(
INDEX(INDIRECT("数出表_Excel!B"&amp;MATCH(BO22,数出表_Excel!$A:$A,0)&amp;":U"&amp;MATCH(BO22,数出表_Excel!$A:$A,0)&amp;""),
 1,BJ23-1),
 "")),"")</f>
        <v/>
      </c>
      <c r="BN25" s="144"/>
      <c r="BO25" s="154"/>
      <c r="BQ25" s="143"/>
      <c r="BR25" s="120" t="str">
        <f t="array" aca="1" ref="BR25" ca="1">IF(BR23&lt;&gt;"",
IF(IFERROR(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"")=0,"",
IF(BQ24=100,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IF(AND(BQ24=200,COUNTIF(数出表_Excel!$A:$A,"*奈良屋*")=2),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""),
IF(AND(BQ24=200,COUNTIF(数出表_Excel!$A:$A,"*奈良屋*")=3),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
+IFERROR(
INDEX(INDIRECT("数出表_Excel!B"&amp;MATCH(BV22,数出表_Excel!$A:$A,0)-1+2&amp;":U"&amp;MATCH(BV22,数出表_Excel!$A:$A,0)-1+2&amp;""),
 1,
 MATCH(TRUE, ISNUMBER(--INDIRECT("数出表_Excel!B"&amp;MATCH(BV22,数出表_Excel!$A:$A,0)-1+2&amp;":U"&amp;MATCH(BV22,数出表_Excel!$A:$A,0)-1+2&amp;"")), 0)),
 "")
+IFERROR(
INDEX(INDIRECT("数出表_Excel!B"&amp;MATCH(BV22,数出表_Excel!$A:$A,0)-1+4&amp;":U"&amp;MATCH(BV22,数出表_Excel!$A:$A,0)-1+4&amp;""),
 1,
 MATCH(TRUE, ISNUMBER(--INDIRECT("数出表_Excel!B"&amp;MATCH(BV22,数出表_Excel!$A:$A,0)-1+4&amp;":U"&amp;MATCH(BV22,数出表_Excel!$A:$A,0)-1+4&amp;"")), 0)),
 ""),
IFERROR(
INDEX(INDIRECT("数出表_Excel!B"&amp;MATCH(BV22,数出表_Excel!$A:$A,0)-1&amp;":U"&amp;MATCH(BV22,数出表_Excel!$A:$A,0)-1&amp;""),
 1,
 MATCH(TRUE, ISNUMBER(--INDIRECT("数出表_Excel!B"&amp;MATCH(BV22,数出表_Excel!$A:$A,0)-1&amp;":U"&amp;MATCH(BV22,数出表_Excel!$A:$A,0)-1&amp;"")), 0)),
 ""))))),"")</f>
        <v/>
      </c>
      <c r="BS25" s="144"/>
      <c r="BT25" s="145" t="str">
        <f t="array" aca="1" ref="BT25" ca="1">IF(BR23&lt;&gt;"",
IF(IFERROR(
INDEX(INDIRECT("数出表_Excel!B"&amp;MATCH(BV22,数出表_Excel!$A:$A,0)&amp;":U"&amp;MATCH(BV22,数出表_Excel!$A:$A,0)&amp;""),
 1,BQ23-1),
 "")=0,"",
IFERROR(
INDEX(INDIRECT("数出表_Excel!B"&amp;MATCH(BV22,数出表_Excel!$A:$A,0)&amp;":U"&amp;MATCH(BV22,数出表_Excel!$A:$A,0)&amp;""),
 1,BQ23-1),
 "")),"")</f>
        <v/>
      </c>
      <c r="BU25" s="144"/>
      <c r="BV25" s="154"/>
      <c r="BX25" s="132"/>
      <c r="BY25" s="133" t="str">
        <f ca="1">R1</f>
        <v/>
      </c>
      <c r="BZ25" s="133" t="str">
        <f ca="1">R2</f>
        <v/>
      </c>
      <c r="CA25" s="133" t="str">
        <f ca="1">T2</f>
        <v/>
      </c>
      <c r="CB25" s="134" t="str">
        <f ca="1">U2</f>
        <v/>
      </c>
      <c r="CC25" s="133" t="str">
        <f ca="1">R4</f>
        <v/>
      </c>
      <c r="CD25" s="133" t="str">
        <f ca="1">T4</f>
        <v/>
      </c>
      <c r="CE25" s="133" t="str">
        <f ca="1">R6</f>
        <v/>
      </c>
      <c r="CF25" s="133" t="str">
        <f ca="1">Q7</f>
        <v/>
      </c>
      <c r="CG25" s="133" t="str">
        <f ca="1">S7</f>
        <v/>
      </c>
      <c r="CH25" s="133" t="str">
        <f ca="1">U7</f>
        <v/>
      </c>
      <c r="CI25" s="132">
        <f t="shared" ca="1" si="0"/>
        <v>0</v>
      </c>
      <c r="CJ25" s="132" t="b">
        <f t="array" aca="1" ref="CJ25" ca="1">SUMPRODUCT((LEN(BY25:CH25)&gt;0)*1)&gt;0</f>
        <v>0</v>
      </c>
      <c r="CK25" s="132" t="str" cm="1">
        <f t="array" aca="1" ref="CK25" ca="1">IFERROR(SMALL(IF(CI$1:CI$150&lt;&gt;0,CI$1:CI$150),ROW(A25)),"")</f>
        <v/>
      </c>
      <c r="CL25" s="132" t="str">
        <f t="array" aca="1" ref="CL25" ca="1">IF($CK25&lt;&gt;"",
INDIRECT(""&amp;IF(COLUMN(BY25)&lt;=26,CHAR(COLUMN(BY25)+64),CHAR(INT((COLUMN(BY25)-1)/26)+64)&amp;CHAR(MOD(COLUMN(BY25)-1,26)+65))&amp;$CK25&amp;""),"")</f>
        <v/>
      </c>
      <c r="CM25" s="132" t="str">
        <f t="array" aca="1" ref="CM25" ca="1">IF($CK25&lt;&gt;"",
INDIRECT(""&amp;IF(COLUMN(BZ25)&lt;=26,CHAR(COLUMN(BZ25)+64),CHAR(INT((COLUMN(BZ25)-1)/26)+64)&amp;CHAR(MOD(COLUMN(BZ25)-1,26)+65))&amp;$CK25&amp;""),"")</f>
        <v/>
      </c>
      <c r="CN25" s="132" t="str">
        <f t="array" aca="1" ref="CN25" ca="1">IF($CK25&lt;&gt;"",
INDIRECT(""&amp;IF(COLUMN(CA25)&lt;=26,CHAR(COLUMN(CA25)+64),CHAR(INT((COLUMN(CA25)-1)/26)+64)&amp;CHAR(MOD(COLUMN(CA25)-1,26)+65))&amp;$CK25&amp;""),"")</f>
        <v/>
      </c>
      <c r="CO25" s="132" t="str">
        <f t="array" aca="1" ref="CO25" ca="1">IF($CK25&lt;&gt;"",
INDIRECT(""&amp;IF(COLUMN(CB25)&lt;=26,CHAR(COLUMN(CB25)+64),CHAR(INT((COLUMN(CB25)-1)/26)+64)&amp;CHAR(MOD(COLUMN(CB25)-1,26)+65))&amp;$CK25&amp;""),"")</f>
        <v/>
      </c>
      <c r="CP25" s="132" t="str">
        <f t="array" aca="1" ref="CP25" ca="1">IF($CK25&lt;&gt;"",
INDIRECT(""&amp;IF(COLUMN(CC25)&lt;=26,CHAR(COLUMN(CC25)+64),CHAR(INT((COLUMN(CC25)-1)/26)+64)&amp;CHAR(MOD(COLUMN(CC25)-1,26)+65))&amp;$CK25&amp;""),"")</f>
        <v/>
      </c>
      <c r="CQ25" s="132" t="str">
        <f t="array" aca="1" ref="CQ25" ca="1">IF($CK25&lt;&gt;"",
INDIRECT(""&amp;IF(COLUMN(CD25)&lt;=26,CHAR(COLUMN(CD25)+64),CHAR(INT((COLUMN(CD25)-1)/26)+64)&amp;CHAR(MOD(COLUMN(CD25)-1,26)+65))&amp;$CK25&amp;""),"")</f>
        <v/>
      </c>
      <c r="CR25" s="132" t="str">
        <f t="array" aca="1" ref="CR25" ca="1">IF($CK25&lt;&gt;"",
INDIRECT(""&amp;IF(COLUMN(CE25)&lt;=26,CHAR(COLUMN(CE25)+64),CHAR(INT((COLUMN(CE25)-1)/26)+64)&amp;CHAR(MOD(COLUMN(CE25)-1,26)+65))&amp;$CK25&amp;""),"")</f>
        <v/>
      </c>
      <c r="CS25" s="132" t="str">
        <f t="array" aca="1" ref="CS25" ca="1">IF($CK25&lt;&gt;"",
INDIRECT(""&amp;IF(COLUMN(CF25)&lt;=26,CHAR(COLUMN(CF25)+64),CHAR(INT((COLUMN(CF25)-1)/26)+64)&amp;CHAR(MOD(COLUMN(CF25)-1,26)+65))&amp;$CK25&amp;""),"")</f>
        <v/>
      </c>
      <c r="CT25" s="132" t="str">
        <f t="array" aca="1" ref="CT25" ca="1">IF($CK25&lt;&gt;"",
INDIRECT(""&amp;IF(COLUMN(CG25)&lt;=26,CHAR(COLUMN(CG25)+64),CHAR(INT((COLUMN(CG25)-1)/26)+64)&amp;CHAR(MOD(COLUMN(CG25)-1,26)+65))&amp;$CK25&amp;""),"")</f>
        <v/>
      </c>
      <c r="CU25" s="132" t="str">
        <f t="array" aca="1" ref="CU25" ca="1">IF($CK25&lt;&gt;"",
INDIRECT(""&amp;IF(COLUMN(CH25)&lt;=26,CHAR(COLUMN(CH25)+64),CHAR(INT((COLUMN(CH25)-1)/26)+64)&amp;CHAR(MOD(COLUMN(CH25)-1,26)+65))&amp;$CK25&amp;""),"")</f>
        <v/>
      </c>
    </row>
    <row r="26" spans="1:99" ht="18" customHeight="1" x14ac:dyDescent="0.45">
      <c r="B26" s="147"/>
      <c r="C26" s="148"/>
      <c r="D26" s="148"/>
      <c r="E26" s="148"/>
      <c r="F26" s="148"/>
      <c r="G26" s="160"/>
      <c r="I26" s="147"/>
      <c r="J26" s="148"/>
      <c r="K26" s="148"/>
      <c r="L26" s="148"/>
      <c r="M26" s="148"/>
      <c r="N26" s="155"/>
      <c r="Q26" s="147"/>
      <c r="R26" s="148"/>
      <c r="S26" s="148"/>
      <c r="T26" s="148"/>
      <c r="U26" s="148"/>
      <c r="V26" s="155"/>
      <c r="X26" s="147"/>
      <c r="Y26" s="148"/>
      <c r="Z26" s="148"/>
      <c r="AA26" s="148"/>
      <c r="AB26" s="148"/>
      <c r="AC26" s="155"/>
      <c r="AF26" s="147"/>
      <c r="AG26" s="148"/>
      <c r="AH26" s="148"/>
      <c r="AI26" s="148"/>
      <c r="AJ26" s="148"/>
      <c r="AK26" s="155"/>
      <c r="AM26" s="147"/>
      <c r="AN26" s="148"/>
      <c r="AO26" s="148"/>
      <c r="AP26" s="148"/>
      <c r="AQ26" s="148"/>
      <c r="AR26" s="155"/>
      <c r="AU26" s="147"/>
      <c r="AV26" s="148"/>
      <c r="AW26" s="148"/>
      <c r="AX26" s="148"/>
      <c r="AY26" s="148"/>
      <c r="AZ26" s="155"/>
      <c r="BB26" s="147"/>
      <c r="BC26" s="148"/>
      <c r="BD26" s="148"/>
      <c r="BE26" s="148"/>
      <c r="BF26" s="148"/>
      <c r="BG26" s="155"/>
      <c r="BJ26" s="147"/>
      <c r="BK26" s="148"/>
      <c r="BL26" s="148"/>
      <c r="BM26" s="148"/>
      <c r="BN26" s="148"/>
      <c r="BO26" s="155"/>
      <c r="BQ26" s="147"/>
      <c r="BR26" s="148"/>
      <c r="BS26" s="148"/>
      <c r="BT26" s="148"/>
      <c r="BU26" s="148"/>
      <c r="BV26" s="155"/>
      <c r="BX26" s="132">
        <v>42</v>
      </c>
      <c r="BY26" s="132" t="str">
        <f t="array" aca="1" ref="BY26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LEN(SUBSTITUTE(_xlfn.FORMULATEXT(BY$25),"=","")))+$BX26)</f>
        <v/>
      </c>
      <c r="BZ26" s="132" t="str">
        <f t="array" aca="1" ref="BZ26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LEN(SUBSTITUTE(_xlfn.FORMULATEXT(BZ$25),"=","")))+$BX26)</f>
        <v/>
      </c>
      <c r="CA26" s="132" t="str">
        <f t="array" aca="1" ref="CA26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LEN(SUBSTITUTE(_xlfn.FORMULATEXT(CA$25),"=","")))+$BX26)</f>
        <v/>
      </c>
      <c r="CB26" s="132" t="str">
        <f t="array" aca="1" ref="CB26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LEN(SUBSTITUTE(_xlfn.FORMULATEXT(CB$25),"=","")))+$BX26)</f>
        <v/>
      </c>
      <c r="CC26" s="132" t="str">
        <f t="array" aca="1" ref="CC26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LEN(SUBSTITUTE(_xlfn.FORMULATEXT(CC$25),"=","")))+$BX26)</f>
        <v/>
      </c>
      <c r="CD26" s="132" t="str">
        <f t="array" aca="1" ref="CD26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LEN(SUBSTITUTE(_xlfn.FORMULATEXT(CD$25),"=","")))+$BX26)</f>
        <v/>
      </c>
      <c r="CE26" s="132" t="str">
        <f t="array" aca="1" ref="CE26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LEN(SUBSTITUTE(_xlfn.FORMULATEXT(CE$25),"=","")))+$BX26)</f>
        <v/>
      </c>
      <c r="CF26" s="132" t="str">
        <f t="array" aca="1" ref="CF26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LEN(SUBSTITUTE(_xlfn.FORMULATEXT(CF$25),"=","")))+$BX26)</f>
        <v/>
      </c>
      <c r="CG26" s="132" t="str">
        <f t="array" aca="1" ref="CG26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LEN(SUBSTITUTE(_xlfn.FORMULATEXT(CG$25),"=","")))+$BX26)</f>
        <v/>
      </c>
      <c r="CH26" s="132" t="str">
        <f t="array" aca="1" ref="CH26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LEN(SUBSTITUTE(_xlfn.FORMULATEXT(CH$25),"=","")))+$BX26)</f>
        <v/>
      </c>
      <c r="CI26" s="132">
        <f t="shared" ca="1" si="0"/>
        <v>0</v>
      </c>
      <c r="CJ26" s="132" t="b">
        <f t="array" aca="1" ref="CJ26" ca="1">SUMPRODUCT((LEN(BY26:CH26)&gt;0)*1)&gt;0</f>
        <v>0</v>
      </c>
      <c r="CK26" s="132" t="str" cm="1">
        <f t="array" aca="1" ref="CK26" ca="1">IFERROR(SMALL(IF(CI$1:CI$150&lt;&gt;0,CI$1:CI$150),ROW(A26)),"")</f>
        <v/>
      </c>
      <c r="CL26" s="132" t="str">
        <f t="array" aca="1" ref="CL26" ca="1">IF($CK26&lt;&gt;"",
INDIRECT(""&amp;IF(COLUMN(BY26)&lt;=26,CHAR(COLUMN(BY26)+64),CHAR(INT((COLUMN(BY26)-1)/26)+64)&amp;CHAR(MOD(COLUMN(BY26)-1,26)+65))&amp;$CK26&amp;""),"")</f>
        <v/>
      </c>
      <c r="CM26" s="132" t="str">
        <f t="array" aca="1" ref="CM26" ca="1">IF($CK26&lt;&gt;"",
INDIRECT(""&amp;IF(COLUMN(BZ26)&lt;=26,CHAR(COLUMN(BZ26)+64),CHAR(INT((COLUMN(BZ26)-1)/26)+64)&amp;CHAR(MOD(COLUMN(BZ26)-1,26)+65))&amp;$CK26&amp;""),"")</f>
        <v/>
      </c>
      <c r="CN26" s="132" t="str">
        <f t="array" aca="1" ref="CN26" ca="1">IF($CK26&lt;&gt;"",
INDIRECT(""&amp;IF(COLUMN(CA26)&lt;=26,CHAR(COLUMN(CA26)+64),CHAR(INT((COLUMN(CA26)-1)/26)+64)&amp;CHAR(MOD(COLUMN(CA26)-1,26)+65))&amp;$CK26&amp;""),"")</f>
        <v/>
      </c>
      <c r="CO26" s="132" t="str">
        <f t="array" aca="1" ref="CO26" ca="1">IF($CK26&lt;&gt;"",
INDIRECT(""&amp;IF(COLUMN(CB26)&lt;=26,CHAR(COLUMN(CB26)+64),CHAR(INT((COLUMN(CB26)-1)/26)+64)&amp;CHAR(MOD(COLUMN(CB26)-1,26)+65))&amp;$CK26&amp;""),"")</f>
        <v/>
      </c>
      <c r="CP26" s="132" t="str">
        <f t="array" aca="1" ref="CP26" ca="1">IF($CK26&lt;&gt;"",
INDIRECT(""&amp;IF(COLUMN(CC26)&lt;=26,CHAR(COLUMN(CC26)+64),CHAR(INT((COLUMN(CC26)-1)/26)+64)&amp;CHAR(MOD(COLUMN(CC26)-1,26)+65))&amp;$CK26&amp;""),"")</f>
        <v/>
      </c>
      <c r="CQ26" s="132" t="str">
        <f t="array" aca="1" ref="CQ26" ca="1">IF($CK26&lt;&gt;"",
INDIRECT(""&amp;IF(COLUMN(CD26)&lt;=26,CHAR(COLUMN(CD26)+64),CHAR(INT((COLUMN(CD26)-1)/26)+64)&amp;CHAR(MOD(COLUMN(CD26)-1,26)+65))&amp;$CK26&amp;""),"")</f>
        <v/>
      </c>
      <c r="CR26" s="132" t="str">
        <f t="array" aca="1" ref="CR26" ca="1">IF($CK26&lt;&gt;"",
INDIRECT(""&amp;IF(COLUMN(CE26)&lt;=26,CHAR(COLUMN(CE26)+64),CHAR(INT((COLUMN(CE26)-1)/26)+64)&amp;CHAR(MOD(COLUMN(CE26)-1,26)+65))&amp;$CK26&amp;""),"")</f>
        <v/>
      </c>
      <c r="CS26" s="132" t="str">
        <f t="array" aca="1" ref="CS26" ca="1">IF($CK26&lt;&gt;"",
INDIRECT(""&amp;IF(COLUMN(CF26)&lt;=26,CHAR(COLUMN(CF26)+64),CHAR(INT((COLUMN(CF26)-1)/26)+64)&amp;CHAR(MOD(COLUMN(CF26)-1,26)+65))&amp;$CK26&amp;""),"")</f>
        <v/>
      </c>
      <c r="CT26" s="132" t="str">
        <f t="array" aca="1" ref="CT26" ca="1">IF($CK26&lt;&gt;"",
INDIRECT(""&amp;IF(COLUMN(CG26)&lt;=26,CHAR(COLUMN(CG26)+64),CHAR(INT((COLUMN(CG26)-1)/26)+64)&amp;CHAR(MOD(COLUMN(CG26)-1,26)+65))&amp;$CK26&amp;""),"")</f>
        <v/>
      </c>
      <c r="CU26" s="132" t="str">
        <f t="array" aca="1" ref="CU26" ca="1">IF($CK26&lt;&gt;"",
INDIRECT(""&amp;IF(COLUMN(CH26)&lt;=26,CHAR(COLUMN(CH26)+64),CHAR(INT((COLUMN(CH26)-1)/26)+64)&amp;CHAR(MOD(COLUMN(CH26)-1,26)+65))&amp;$CK26&amp;""),"")</f>
        <v/>
      </c>
    </row>
    <row r="27" spans="1:99" s="132" customFormat="1" ht="22.2" customHeight="1" x14ac:dyDescent="0.55000000000000004">
      <c r="A27" s="129"/>
      <c r="B27" s="149" t="str">
        <f ca="1">IF(C23&lt;&gt;"",
"パン箱","")</f>
        <v/>
      </c>
      <c r="C27" s="150" t="str">
        <f ca="1">IF(C23&lt;&gt;"",
IF(OR(COUNTIF('盛付札（関数）'!C23,"*キャラ*"),COUNTIF('盛付札（関数）'!C23,"*赤*")),24,
VLOOKUP('盛付札（関数）'!C23,商品マスタ一覧!$D:$I,6,FALSE)),"")</f>
        <v/>
      </c>
      <c r="D27" s="149" t="str">
        <f ca="1">IF(C23&lt;&gt;"",
" 端数","")</f>
        <v/>
      </c>
      <c r="E27" s="150"/>
      <c r="F27" s="149" t="str">
        <f ca="1">IF(C23&lt;&gt;"",
"アレルギー","")</f>
        <v/>
      </c>
      <c r="G27" s="159"/>
      <c r="H27" s="129"/>
      <c r="I27" s="149" t="str">
        <f ca="1">IF(J23&lt;&gt;"",
"パン箱","")</f>
        <v/>
      </c>
      <c r="J27" s="150" t="str">
        <f ca="1">IF(J23&lt;&gt;"",
IF(OR(COUNTIF('盛付札（関数）'!J23,"*キャラ*"),COUNTIF('盛付札（関数）'!J23,"*赤*")),24,
VLOOKUP('盛付札（関数）'!J23,商品マスタ一覧!$D:$I,6,FALSE)),"")</f>
        <v/>
      </c>
      <c r="K27" s="149" t="str">
        <f ca="1">IF(J23&lt;&gt;"",
" 端数","")</f>
        <v/>
      </c>
      <c r="L27" s="150"/>
      <c r="M27" s="149" t="str">
        <f ca="1">IF(J23&lt;&gt;"",
"アレルギー","")</f>
        <v/>
      </c>
      <c r="N27" s="154"/>
      <c r="O27" s="129"/>
      <c r="P27" s="129"/>
      <c r="Q27" s="149" t="str">
        <f ca="1">IF(R23&lt;&gt;"",
"パン箱","")</f>
        <v/>
      </c>
      <c r="R27" s="150" t="str">
        <f ca="1">IF(R23&lt;&gt;"",
IF(OR(COUNTIF('盛付札（関数）'!R23,"*キャラ*"),COUNTIF('盛付札（関数）'!R23,"*赤*")),24,
VLOOKUP('盛付札（関数）'!R23,商品マスタ一覧!$D:$I,6,FALSE)),"")</f>
        <v/>
      </c>
      <c r="S27" s="149" t="str">
        <f ca="1">IF(R23&lt;&gt;"",
" 端数","")</f>
        <v/>
      </c>
      <c r="T27" s="150"/>
      <c r="U27" s="149" t="str">
        <f ca="1">IF(R23&lt;&gt;"",
"アレルギー","")</f>
        <v/>
      </c>
      <c r="V27" s="154"/>
      <c r="W27" s="129"/>
      <c r="X27" s="149" t="str">
        <f ca="1">IF(Y23&lt;&gt;"",
"パン箱","")</f>
        <v/>
      </c>
      <c r="Y27" s="150" t="str">
        <f ca="1">IF(Y23&lt;&gt;"",
IF(OR(COUNTIF('盛付札（関数）'!Y23,"*キャラ*"),COUNTIF('盛付札（関数）'!Y23,"*赤*")),24,
VLOOKUP('盛付札（関数）'!Y23,商品マスタ一覧!$D:$I,6,FALSE)),"")</f>
        <v/>
      </c>
      <c r="Z27" s="149" t="str">
        <f ca="1">IF(Y23&lt;&gt;"",
" 端数","")</f>
        <v/>
      </c>
      <c r="AA27" s="150"/>
      <c r="AB27" s="149" t="str">
        <f ca="1">IF(Y23&lt;&gt;"",
"アレルギー","")</f>
        <v/>
      </c>
      <c r="AC27" s="154"/>
      <c r="AD27" s="129"/>
      <c r="AE27" s="129"/>
      <c r="AF27" s="149" t="str">
        <f ca="1">IF(AG23&lt;&gt;"",
"パン箱","")</f>
        <v/>
      </c>
      <c r="AG27" s="150" t="str">
        <f ca="1">IF(AG23&lt;&gt;"",
IF(OR(COUNTIF('盛付札（関数）'!AG23,"*キャラ*"),COUNTIF('盛付札（関数）'!AG23,"*赤*")),24,
VLOOKUP('盛付札（関数）'!AG23,商品マスタ一覧!$D:$I,6,FALSE)),"")</f>
        <v/>
      </c>
      <c r="AH27" s="149" t="str">
        <f ca="1">IF(AG23&lt;&gt;"",
" 端数","")</f>
        <v/>
      </c>
      <c r="AI27" s="150"/>
      <c r="AJ27" s="149" t="str">
        <f ca="1">IF(AG23&lt;&gt;"",
"アレルギー","")</f>
        <v/>
      </c>
      <c r="AK27" s="154"/>
      <c r="AL27" s="129"/>
      <c r="AM27" s="149" t="str">
        <f ca="1">IF(AN23&lt;&gt;"",
"パン箱","")</f>
        <v/>
      </c>
      <c r="AN27" s="150" t="str">
        <f ca="1">IF(AN23&lt;&gt;"",
IF(OR(COUNTIF('盛付札（関数）'!AN23,"*キャラ*"),COUNTIF('盛付札（関数）'!AN23,"*赤*")),24,
VLOOKUP('盛付札（関数）'!AN23,商品マスタ一覧!$D:$I,6,FALSE)),"")</f>
        <v/>
      </c>
      <c r="AO27" s="149" t="str">
        <f ca="1">IF(AN23&lt;&gt;"",
" 端数","")</f>
        <v/>
      </c>
      <c r="AP27" s="150"/>
      <c r="AQ27" s="149" t="str">
        <f ca="1">IF(AN23&lt;&gt;"",
"アレルギー","")</f>
        <v/>
      </c>
      <c r="AR27" s="154"/>
      <c r="AS27" s="129"/>
      <c r="AT27" s="129"/>
      <c r="AU27" s="149" t="str">
        <f ca="1">IF(AV23&lt;&gt;"",
"パン箱","")</f>
        <v/>
      </c>
      <c r="AV27" s="150" t="str">
        <f ca="1">IF(AV23&lt;&gt;"",
IF(OR(COUNTIF('盛付札（関数）'!AV23,"*キャラ*"),COUNTIF('盛付札（関数）'!AV23,"*赤*")),24,
VLOOKUP('盛付札（関数）'!AV23,商品マスタ一覧!$D:$I,6,FALSE)),"")</f>
        <v/>
      </c>
      <c r="AW27" s="149" t="str">
        <f ca="1">IF(AV23&lt;&gt;"",
" 端数","")</f>
        <v/>
      </c>
      <c r="AX27" s="150"/>
      <c r="AY27" s="149" t="str">
        <f ca="1">IF(AV23&lt;&gt;"",
"アレルギー","")</f>
        <v/>
      </c>
      <c r="AZ27" s="154"/>
      <c r="BA27" s="129"/>
      <c r="BB27" s="149" t="str">
        <f ca="1">IF(BC23&lt;&gt;"",
"パン箱","")</f>
        <v/>
      </c>
      <c r="BC27" s="150" t="str">
        <f ca="1">IF(BC23&lt;&gt;"",
IF(OR(COUNTIF('盛付札（関数）'!BC23,"*キャラ*"),COUNTIF('盛付札（関数）'!BC23,"*赤*")),24,
VLOOKUP('盛付札（関数）'!BC23,商品マスタ一覧!$D:$I,6,FALSE)),"")</f>
        <v/>
      </c>
      <c r="BD27" s="149" t="str">
        <f ca="1">IF(BC23&lt;&gt;"",
" 端数","")</f>
        <v/>
      </c>
      <c r="BE27" s="150"/>
      <c r="BF27" s="149" t="str">
        <f ca="1">IF(BC23&lt;&gt;"",
"アレルギー","")</f>
        <v/>
      </c>
      <c r="BG27" s="154"/>
      <c r="BH27" s="129"/>
      <c r="BI27" s="129"/>
      <c r="BJ27" s="149" t="str">
        <f ca="1">IF(BK23&lt;&gt;"",
"パン箱","")</f>
        <v/>
      </c>
      <c r="BK27" s="150" t="str">
        <f ca="1">IF(BK23&lt;&gt;"",
IF(OR(COUNTIF('盛付札（関数）'!BK23,"*キャラ*"),COUNTIF('盛付札（関数）'!BK23,"*赤*")),24,
VLOOKUP('盛付札（関数）'!BK23,商品マスタ一覧!$D:$I,6,FALSE)),"")</f>
        <v/>
      </c>
      <c r="BL27" s="149" t="str">
        <f ca="1">IF(BK23&lt;&gt;"",
" 端数","")</f>
        <v/>
      </c>
      <c r="BM27" s="150"/>
      <c r="BN27" s="149" t="str">
        <f ca="1">IF(BK23&lt;&gt;"",
"アレルギー","")</f>
        <v/>
      </c>
      <c r="BO27" s="154"/>
      <c r="BP27" s="129"/>
      <c r="BQ27" s="149" t="str">
        <f ca="1">IF(BR23&lt;&gt;"",
"パン箱","")</f>
        <v/>
      </c>
      <c r="BR27" s="150" t="str">
        <f ca="1">IF(BR23&lt;&gt;"",
IF(OR(COUNTIF('盛付札（関数）'!BR23,"*キャラ*"),COUNTIF('盛付札（関数）'!BR23,"*赤*")),24,
VLOOKUP('盛付札（関数）'!BR23,商品マスタ一覧!$D:$I,6,FALSE)),"")</f>
        <v/>
      </c>
      <c r="BS27" s="149" t="str">
        <f ca="1">IF(BR23&lt;&gt;"",
" 端数","")</f>
        <v/>
      </c>
      <c r="BT27" s="150"/>
      <c r="BU27" s="149" t="str">
        <f ca="1">IF(BR23&lt;&gt;"",
"アレルギー","")</f>
        <v/>
      </c>
      <c r="BV27" s="154"/>
      <c r="BW27" s="129"/>
      <c r="BY27" s="133" t="str">
        <f ca="1">Y1</f>
        <v/>
      </c>
      <c r="BZ27" s="133" t="str">
        <f ca="1">Y2</f>
        <v/>
      </c>
      <c r="CA27" s="133" t="str">
        <f ca="1">AA2</f>
        <v/>
      </c>
      <c r="CB27" s="134" t="str">
        <f ca="1">AB2</f>
        <v/>
      </c>
      <c r="CC27" s="133" t="str">
        <f ca="1">Y4</f>
        <v/>
      </c>
      <c r="CD27" s="133" t="str">
        <f ca="1">AA4</f>
        <v/>
      </c>
      <c r="CE27" s="133" t="str">
        <f ca="1">Y6</f>
        <v/>
      </c>
      <c r="CF27" s="133" t="str">
        <f ca="1">X7</f>
        <v/>
      </c>
      <c r="CG27" s="133" t="str">
        <f ca="1">Z7</f>
        <v/>
      </c>
      <c r="CH27" s="133" t="str">
        <f ca="1">AB7</f>
        <v/>
      </c>
      <c r="CI27" s="132">
        <f t="shared" ca="1" si="0"/>
        <v>0</v>
      </c>
      <c r="CJ27" s="132" t="b">
        <f t="array" aca="1" ref="CJ27" ca="1">SUMPRODUCT((LEN(BY27:CH27)&gt;0)*1)&gt;0</f>
        <v>0</v>
      </c>
      <c r="CK27" s="132" t="str" cm="1">
        <f t="array" aca="1" ref="CK27" ca="1">IFERROR(SMALL(IF(CI$1:CI$150&lt;&gt;0,CI$1:CI$150),ROW(A27)),"")</f>
        <v/>
      </c>
      <c r="CL27" s="132" t="str">
        <f t="array" aca="1" ref="CL27" ca="1">IF($CK27&lt;&gt;"",
INDIRECT(""&amp;IF(COLUMN(BY27)&lt;=26,CHAR(COLUMN(BY27)+64),CHAR(INT((COLUMN(BY27)-1)/26)+64)&amp;CHAR(MOD(COLUMN(BY27)-1,26)+65))&amp;$CK27&amp;""),"")</f>
        <v/>
      </c>
      <c r="CM27" s="132" t="str">
        <f t="array" aca="1" ref="CM27" ca="1">IF($CK27&lt;&gt;"",
INDIRECT(""&amp;IF(COLUMN(BZ27)&lt;=26,CHAR(COLUMN(BZ27)+64),CHAR(INT((COLUMN(BZ27)-1)/26)+64)&amp;CHAR(MOD(COLUMN(BZ27)-1,26)+65))&amp;$CK27&amp;""),"")</f>
        <v/>
      </c>
      <c r="CN27" s="132" t="str">
        <f t="array" aca="1" ref="CN27" ca="1">IF($CK27&lt;&gt;"",
INDIRECT(""&amp;IF(COLUMN(CA27)&lt;=26,CHAR(COLUMN(CA27)+64),CHAR(INT((COLUMN(CA27)-1)/26)+64)&amp;CHAR(MOD(COLUMN(CA27)-1,26)+65))&amp;$CK27&amp;""),"")</f>
        <v/>
      </c>
      <c r="CO27" s="132" t="str">
        <f t="array" aca="1" ref="CO27" ca="1">IF($CK27&lt;&gt;"",
INDIRECT(""&amp;IF(COLUMN(CB27)&lt;=26,CHAR(COLUMN(CB27)+64),CHAR(INT((COLUMN(CB27)-1)/26)+64)&amp;CHAR(MOD(COLUMN(CB27)-1,26)+65))&amp;$CK27&amp;""),"")</f>
        <v/>
      </c>
      <c r="CP27" s="132" t="str">
        <f t="array" aca="1" ref="CP27" ca="1">IF($CK27&lt;&gt;"",
INDIRECT(""&amp;IF(COLUMN(CC27)&lt;=26,CHAR(COLUMN(CC27)+64),CHAR(INT((COLUMN(CC27)-1)/26)+64)&amp;CHAR(MOD(COLUMN(CC27)-1,26)+65))&amp;$CK27&amp;""),"")</f>
        <v/>
      </c>
      <c r="CQ27" s="132" t="str">
        <f t="array" aca="1" ref="CQ27" ca="1">IF($CK27&lt;&gt;"",
INDIRECT(""&amp;IF(COLUMN(CD27)&lt;=26,CHAR(COLUMN(CD27)+64),CHAR(INT((COLUMN(CD27)-1)/26)+64)&amp;CHAR(MOD(COLUMN(CD27)-1,26)+65))&amp;$CK27&amp;""),"")</f>
        <v/>
      </c>
      <c r="CR27" s="132" t="str">
        <f t="array" aca="1" ref="CR27" ca="1">IF($CK27&lt;&gt;"",
INDIRECT(""&amp;IF(COLUMN(CE27)&lt;=26,CHAR(COLUMN(CE27)+64),CHAR(INT((COLUMN(CE27)-1)/26)+64)&amp;CHAR(MOD(COLUMN(CE27)-1,26)+65))&amp;$CK27&amp;""),"")</f>
        <v/>
      </c>
      <c r="CS27" s="132" t="str">
        <f t="array" aca="1" ref="CS27" ca="1">IF($CK27&lt;&gt;"",
INDIRECT(""&amp;IF(COLUMN(CF27)&lt;=26,CHAR(COLUMN(CF27)+64),CHAR(INT((COLUMN(CF27)-1)/26)+64)&amp;CHAR(MOD(COLUMN(CF27)-1,26)+65))&amp;$CK27&amp;""),"")</f>
        <v/>
      </c>
      <c r="CT27" s="132" t="str">
        <f t="array" aca="1" ref="CT27" ca="1">IF($CK27&lt;&gt;"",
INDIRECT(""&amp;IF(COLUMN(CG27)&lt;=26,CHAR(COLUMN(CG27)+64),CHAR(INT((COLUMN(CG27)-1)/26)+64)&amp;CHAR(MOD(COLUMN(CG27)-1,26)+65))&amp;$CK27&amp;""),"")</f>
        <v/>
      </c>
      <c r="CU27" s="132" t="str">
        <f t="array" aca="1" ref="CU27" ca="1">IF($CK27&lt;&gt;"",
INDIRECT(""&amp;IF(COLUMN(CH27)&lt;=26,CHAR(COLUMN(CH27)+64),CHAR(INT((COLUMN(CH27)-1)/26)+64)&amp;CHAR(MOD(COLUMN(CH27)-1,26)+65))&amp;$CK27&amp;""),"")</f>
        <v/>
      </c>
    </row>
    <row r="28" spans="1:99" ht="21" customHeight="1" x14ac:dyDescent="0.45">
      <c r="B28" s="124" t="str">
        <f ca="1">IF(C25&lt;&gt;"",
IFERROR(INT(C25/C27),""),"")</f>
        <v/>
      </c>
      <c r="C28" s="151"/>
      <c r="D28" s="124" t="str">
        <f ca="1">IFERROR(MOD(C25,C27),"")</f>
        <v/>
      </c>
      <c r="E28" s="151"/>
      <c r="F28" s="118" t="str">
        <f t="array" aca="1" ref="F28" ca="1">IF(C22&lt;&gt;"",
IF(IFERROR(
INDEX(INDIRECT("'数出表_Excel（アレルギー入力）'!B"&amp;MATCH(G22,'数出表_Excel（アレルギー入力）'!$A:$A,0)-1&amp;":AC"&amp;MATCH(G22,'数出表_Excel（アレルギー入力）'!$A:$A,0)-1&amp;""),
 1,
MATCH(C25,INDIRECT("'数出表_Excel（アレルギー入力）'!"&amp;B22-1&amp;":"&amp;B22-1&amp;""),0)),
 "")&lt;&gt;0,
IF(IFERROR(
INDEX(INDIRECT("'数出表_Excel（アレルギー入力）'!B"&amp;MATCH(G22,'数出表_Excel（アレルギー入力）'!$A:$A,0)-1&amp;":AC"&amp;MATCH(G22,'数出表_Excel（アレルギー入力）'!$A:$A,0)-1&amp;""),
 1,
MATCH(C25,INDIRECT("'数出表_Excel（アレルギー入力）'!"&amp;B22-1&amp;":"&amp;B22-1&amp;""),0)),
 "")="",
IFERROR(
INDEX(INDIRECT("'数出表_Excel（アレルギー入力）'!B"&amp;MATCH(G22,'数出表_Excel（アレルギー入力）'!$A:$A,0)-1&amp;":AC"&amp;MATCH(G22,'数出表_Excel（アレルギー入力）'!$A:$A,0)-1&amp;""),
 1,
MATCH(TRUE,INDEX(INDIRECT("'数出表_Excel（アレルギー入力）'!B"&amp;B22-1&amp;":AC"&amp;B22-1&amp;"")&lt;&gt;"",0),0)+1),
 ""),
IFERROR(
INDEX(INDIRECT("'数出表_Excel（アレルギー入力）'!B"&amp;MATCH(G22,'数出表_Excel（アレルギー入力）'!$A:$A,0)-1&amp;":AC"&amp;MATCH(G22,'数出表_Excel（アレルギー入力）'!$A:$A,0)-1&amp;""),
 1,
MATCH(C25,INDIRECT("'数出表_Excel（アレルギー入力）'!"&amp;B22-1&amp;":"&amp;B22-1&amp;""),0)),
 "")),0),"")</f>
        <v/>
      </c>
      <c r="G28" s="151"/>
      <c r="I28" s="124" t="str">
        <f ca="1">IF(J25&lt;&gt;"",
IFERROR(INT(J25/J27),""),"")</f>
        <v/>
      </c>
      <c r="J28" s="151"/>
      <c r="K28" s="124" t="str">
        <f ca="1">IFERROR(MOD(J25,J27),"")</f>
        <v/>
      </c>
      <c r="L28" s="151"/>
      <c r="M28" s="118" t="str">
        <f t="array" aca="1" ref="M28" ca="1">IF(J22&lt;&gt;"",
IF(IFERROR(
INDEX(INDIRECT("'数出表_Excel（アレルギー入力）'!B"&amp;MATCH(N22,'数出表_Excel（アレルギー入力）'!$A:$A,0)-1&amp;":AC"&amp;MATCH(N22,'数出表_Excel（アレルギー入力）'!$A:$A,0)-1&amp;""),
 1,
MATCH(J25,INDIRECT("'数出表_Excel（アレルギー入力）'!"&amp;I22-1&amp;":"&amp;I22-1&amp;""),0)),
 "")&lt;&gt;0,
IF(IFERROR(
INDEX(INDIRECT("'数出表_Excel（アレルギー入力）'!B"&amp;MATCH(N22,'数出表_Excel（アレルギー入力）'!$A:$A,0)-1&amp;":AC"&amp;MATCH(N22,'数出表_Excel（アレルギー入力）'!$A:$A,0)-1&amp;""),
 1,
MATCH(J25,INDIRECT("'数出表_Excel（アレルギー入力）'!"&amp;I22-1&amp;":"&amp;I22-1&amp;""),0)),
 "")="",
IFERROR(
INDEX(INDIRECT("'数出表_Excel（アレルギー入力）'!B"&amp;MATCH(N22,'数出表_Excel（アレルギー入力）'!$A:$A,0)-1&amp;":AC"&amp;MATCH(N22,'数出表_Excel（アレルギー入力）'!$A:$A,0)-1&amp;""),
 1,
MATCH(TRUE,INDEX(INDIRECT("'数出表_Excel（アレルギー入力）'!B"&amp;I22-1&amp;":AC"&amp;I22-1&amp;"")&lt;&gt;"",0),0)+1),
 ""),
IFERROR(
INDEX(INDIRECT("'数出表_Excel（アレルギー入力）'!B"&amp;MATCH(N22,'数出表_Excel（アレルギー入力）'!$A:$A,0)-1&amp;":AC"&amp;MATCH(N22,'数出表_Excel（アレルギー入力）'!$A:$A,0)-1&amp;""),
 1,
MATCH(J25,INDIRECT("'数出表_Excel（アレルギー入力）'!"&amp;I22-1&amp;":"&amp;I22-1&amp;""),0)),
 "")),0),"")</f>
        <v/>
      </c>
      <c r="N28" s="151"/>
      <c r="Q28" s="124" t="str">
        <f ca="1">IF(R25&lt;&gt;"",
IFERROR(INT(R25/R27),""),"")</f>
        <v/>
      </c>
      <c r="R28" s="151"/>
      <c r="S28" s="124" t="str">
        <f ca="1">IFERROR(MOD(R25,R27),"")</f>
        <v/>
      </c>
      <c r="T28" s="151"/>
      <c r="U28" s="118" t="str">
        <f t="array" aca="1" ref="U28" ca="1">IF(R22&lt;&gt;"",
IF(IFERROR(
INDEX(INDIRECT("'数出表_Excel（アレルギー入力）'!B"&amp;MATCH(V22,'数出表_Excel（アレルギー入力）'!$A:$A,0)-1&amp;":AC"&amp;MATCH(V22,'数出表_Excel（アレルギー入力）'!$A:$A,0)-1&amp;""),
 1,
MATCH(R25,INDIRECT("'数出表_Excel（アレルギー入力）'!"&amp;Q22-1&amp;":"&amp;Q22-1&amp;""),0)),
 "")&lt;&gt;0,
IF(IFERROR(
INDEX(INDIRECT("'数出表_Excel（アレルギー入力）'!B"&amp;MATCH(V22,'数出表_Excel（アレルギー入力）'!$A:$A,0)-1&amp;":AC"&amp;MATCH(V22,'数出表_Excel（アレルギー入力）'!$A:$A,0)-1&amp;""),
 1,
MATCH(R25,INDIRECT("'数出表_Excel（アレルギー入力）'!"&amp;Q22-1&amp;":"&amp;Q22-1&amp;""),0)),
 "")="",
IFERROR(
INDEX(INDIRECT("'数出表_Excel（アレルギー入力）'!B"&amp;MATCH(V22,'数出表_Excel（アレルギー入力）'!$A:$A,0)-1&amp;":AC"&amp;MATCH(V22,'数出表_Excel（アレルギー入力）'!$A:$A,0)-1&amp;""),
 1,
MATCH(TRUE,INDEX(INDIRECT("'数出表_Excel（アレルギー入力）'!B"&amp;Q22-1&amp;":AC"&amp;Q22-1&amp;"")&lt;&gt;"",0),0)+1),
 ""),
IFERROR(
INDEX(INDIRECT("'数出表_Excel（アレルギー入力）'!B"&amp;MATCH(V22,'数出表_Excel（アレルギー入力）'!$A:$A,0)-1&amp;":AC"&amp;MATCH(V22,'数出表_Excel（アレルギー入力）'!$A:$A,0)-1&amp;""),
 1,
MATCH(R25,INDIRECT("'数出表_Excel（アレルギー入力）'!"&amp;Q22-1&amp;":"&amp;Q22-1&amp;""),0)),
 "")),0),"")</f>
        <v/>
      </c>
      <c r="V28" s="151"/>
      <c r="X28" s="124" t="str">
        <f ca="1">IF(Y25&lt;&gt;"",
IFERROR(INT(Y25/Y27),""),"")</f>
        <v/>
      </c>
      <c r="Y28" s="151"/>
      <c r="Z28" s="124" t="str">
        <f ca="1">IFERROR(MOD(Y25,Y27),"")</f>
        <v/>
      </c>
      <c r="AA28" s="151"/>
      <c r="AB28" s="118" t="str">
        <f t="array" aca="1" ref="AB28" ca="1">IF(Y22&lt;&gt;"",
IF(IFERROR(
INDEX(INDIRECT("'数出表_Excel（アレルギー入力）'!B"&amp;MATCH(AC22,'数出表_Excel（アレルギー入力）'!$A:$A,0)-1&amp;":AC"&amp;MATCH(AC22,'数出表_Excel（アレルギー入力）'!$A:$A,0)-1&amp;""),
 1,
MATCH(Y25,INDIRECT("'数出表_Excel（アレルギー入力）'!"&amp;X22-1&amp;":"&amp;X22-1&amp;""),0)),
 "")&lt;&gt;0,
IF(IFERROR(
INDEX(INDIRECT("'数出表_Excel（アレルギー入力）'!B"&amp;MATCH(AC22,'数出表_Excel（アレルギー入力）'!$A:$A,0)-1&amp;":AC"&amp;MATCH(AC22,'数出表_Excel（アレルギー入力）'!$A:$A,0)-1&amp;""),
 1,
MATCH(Y25,INDIRECT("'数出表_Excel（アレルギー入力）'!"&amp;X22-1&amp;":"&amp;X22-1&amp;""),0)),
 "")="",
IFERROR(
INDEX(INDIRECT("'数出表_Excel（アレルギー入力）'!B"&amp;MATCH(AC22,'数出表_Excel（アレルギー入力）'!$A:$A,0)-1&amp;":AC"&amp;MATCH(AC22,'数出表_Excel（アレルギー入力）'!$A:$A,0)-1&amp;""),
 1,
MATCH(TRUE,INDEX(INDIRECT("'数出表_Excel（アレルギー入力）'!B"&amp;X22-1&amp;":AC"&amp;X22-1&amp;"")&lt;&gt;"",0),0)+1),
 ""),
IFERROR(
INDEX(INDIRECT("'数出表_Excel（アレルギー入力）'!B"&amp;MATCH(AC22,'数出表_Excel（アレルギー入力）'!$A:$A,0)-1&amp;":AC"&amp;MATCH(AC22,'数出表_Excel（アレルギー入力）'!$A:$A,0)-1&amp;""),
 1,
MATCH(Y25,INDIRECT("'数出表_Excel（アレルギー入力）'!"&amp;X22-1&amp;":"&amp;X22-1&amp;""),0)),
 "")),0),"")</f>
        <v/>
      </c>
      <c r="AC28" s="151"/>
      <c r="AF28" s="124" t="str">
        <f ca="1">IF(AG25&lt;&gt;"",
IFERROR(INT(AG25/AG27),""),"")</f>
        <v/>
      </c>
      <c r="AG28" s="151"/>
      <c r="AH28" s="124" t="str">
        <f ca="1">IFERROR(MOD(AG25,AG27),"")</f>
        <v/>
      </c>
      <c r="AI28" s="151"/>
      <c r="AJ28" s="118" t="str">
        <f t="array" aca="1" ref="AJ28" ca="1">IF(AG22&lt;&gt;"",
IF(IFERROR(
INDEX(INDIRECT("'数出表_Excel（アレルギー入力）'!B"&amp;MATCH(AK22,'数出表_Excel（アレルギー入力）'!$A:$A,0)-1&amp;":AC"&amp;MATCH(AK22,'数出表_Excel（アレルギー入力）'!$A:$A,0)-1&amp;""),
 1,
MATCH(AG25,INDIRECT("'数出表_Excel（アレルギー入力）'!"&amp;AF22-1&amp;":"&amp;AF22-1&amp;""),0)),
 "")&lt;&gt;0,
IF(IFERROR(
INDEX(INDIRECT("'数出表_Excel（アレルギー入力）'!B"&amp;MATCH(AK22,'数出表_Excel（アレルギー入力）'!$A:$A,0)-1&amp;":AC"&amp;MATCH(AK22,'数出表_Excel（アレルギー入力）'!$A:$A,0)-1&amp;""),
 1,
MATCH(AG25,INDIRECT("'数出表_Excel（アレルギー入力）'!"&amp;AF22-1&amp;":"&amp;AF22-1&amp;""),0)),
 "")="",
IFERROR(
INDEX(INDIRECT("'数出表_Excel（アレルギー入力）'!B"&amp;MATCH(AK22,'数出表_Excel（アレルギー入力）'!$A:$A,0)-1&amp;":AC"&amp;MATCH(AK22,'数出表_Excel（アレルギー入力）'!$A:$A,0)-1&amp;""),
 1,
MATCH(TRUE,INDEX(INDIRECT("'数出表_Excel（アレルギー入力）'!B"&amp;AF22-1&amp;":AC"&amp;AF22-1&amp;"")&lt;&gt;"",0),0)+1),
 ""),
IFERROR(
INDEX(INDIRECT("'数出表_Excel（アレルギー入力）'!B"&amp;MATCH(AK22,'数出表_Excel（アレルギー入力）'!$A:$A,0)-1&amp;":AC"&amp;MATCH(AK22,'数出表_Excel（アレルギー入力）'!$A:$A,0)-1&amp;""),
 1,
MATCH(AG25,INDIRECT("'数出表_Excel（アレルギー入力）'!"&amp;AF22-1&amp;":"&amp;AF22-1&amp;""),0)),
 "")),0),"")</f>
        <v/>
      </c>
      <c r="AK28" s="151"/>
      <c r="AM28" s="124" t="str">
        <f ca="1">IF(AN25&lt;&gt;"",
IFERROR(INT(AN25/AN27),""),"")</f>
        <v/>
      </c>
      <c r="AN28" s="151"/>
      <c r="AO28" s="124" t="str">
        <f ca="1">IFERROR(MOD(AN25,AN27),"")</f>
        <v/>
      </c>
      <c r="AP28" s="151"/>
      <c r="AQ28" s="118" t="str">
        <f t="array" aca="1" ref="AQ28" ca="1">IF(AN22&lt;&gt;"",
IF(IFERROR(
INDEX(INDIRECT("'数出表_Excel（アレルギー入力）'!B"&amp;MATCH(AR22,'数出表_Excel（アレルギー入力）'!$A:$A,0)-1&amp;":AC"&amp;MATCH(AR22,'数出表_Excel（アレルギー入力）'!$A:$A,0)-1&amp;""),
 1,
MATCH(AN25,INDIRECT("'数出表_Excel（アレルギー入力）'!"&amp;AM22-1&amp;":"&amp;AM22-1&amp;""),0)),
 "")&lt;&gt;0,
IF(IFERROR(
INDEX(INDIRECT("'数出表_Excel（アレルギー入力）'!B"&amp;MATCH(AR22,'数出表_Excel（アレルギー入力）'!$A:$A,0)-1&amp;":AC"&amp;MATCH(AR22,'数出表_Excel（アレルギー入力）'!$A:$A,0)-1&amp;""),
 1,
MATCH(AN25,INDIRECT("'数出表_Excel（アレルギー入力）'!"&amp;AM22-1&amp;":"&amp;AM22-1&amp;""),0)),
 "")="",
IFERROR(
INDEX(INDIRECT("'数出表_Excel（アレルギー入力）'!B"&amp;MATCH(AR22,'数出表_Excel（アレルギー入力）'!$A:$A,0)-1&amp;":AC"&amp;MATCH(AR22,'数出表_Excel（アレルギー入力）'!$A:$A,0)-1&amp;""),
 1,
MATCH(TRUE,INDEX(INDIRECT("'数出表_Excel（アレルギー入力）'!B"&amp;AM22-1&amp;":AC"&amp;AM22-1&amp;"")&lt;&gt;"",0),0)+1),
 ""),
IFERROR(
INDEX(INDIRECT("'数出表_Excel（アレルギー入力）'!B"&amp;MATCH(AR22,'数出表_Excel（アレルギー入力）'!$A:$A,0)-1&amp;":AC"&amp;MATCH(AR22,'数出表_Excel（アレルギー入力）'!$A:$A,0)-1&amp;""),
 1,
MATCH(AN25,INDIRECT("'数出表_Excel（アレルギー入力）'!"&amp;AM22-1&amp;":"&amp;AM22-1&amp;""),0)),
 "")),0),"")</f>
        <v/>
      </c>
      <c r="AR28" s="151"/>
      <c r="AU28" s="124" t="str">
        <f ca="1">IF(AV25&lt;&gt;"",
IFERROR(INT(AV25/AV27),""),"")</f>
        <v/>
      </c>
      <c r="AV28" s="151"/>
      <c r="AW28" s="124" t="str">
        <f ca="1">IFERROR(MOD(AV25,AV27),"")</f>
        <v/>
      </c>
      <c r="AX28" s="151"/>
      <c r="AY28" s="118" t="str">
        <f t="array" aca="1" ref="AY28" ca="1">IF(AV22&lt;&gt;"",
IF(IFERROR(
INDEX(INDIRECT("'数出表_Excel（アレルギー入力）'!B"&amp;MATCH(AZ22,'数出表_Excel（アレルギー入力）'!$A:$A,0)-1&amp;":AC"&amp;MATCH(AZ22,'数出表_Excel（アレルギー入力）'!$A:$A,0)-1&amp;""),
 1,
MATCH(AV25,INDIRECT("'数出表_Excel（アレルギー入力）'!"&amp;AU22-1&amp;":"&amp;AU22-1&amp;""),0)),
 "")&lt;&gt;0,
IF(IFERROR(
INDEX(INDIRECT("'数出表_Excel（アレルギー入力）'!B"&amp;MATCH(AZ22,'数出表_Excel（アレルギー入力）'!$A:$A,0)-1&amp;":AC"&amp;MATCH(AZ22,'数出表_Excel（アレルギー入力）'!$A:$A,0)-1&amp;""),
 1,
MATCH(AV25,INDIRECT("'数出表_Excel（アレルギー入力）'!"&amp;AU22-1&amp;":"&amp;AU22-1&amp;""),0)),
 "")="",
IFERROR(
INDEX(INDIRECT("'数出表_Excel（アレルギー入力）'!B"&amp;MATCH(AZ22,'数出表_Excel（アレルギー入力）'!$A:$A,0)-1&amp;":AC"&amp;MATCH(AZ22,'数出表_Excel（アレルギー入力）'!$A:$A,0)-1&amp;""),
 1,
MATCH(TRUE,INDEX(INDIRECT("'数出表_Excel（アレルギー入力）'!B"&amp;AU22-1&amp;":AC"&amp;AU22-1&amp;"")&lt;&gt;"",0),0)+1),
 ""),
IFERROR(
INDEX(INDIRECT("'数出表_Excel（アレルギー入力）'!B"&amp;MATCH(AZ22,'数出表_Excel（アレルギー入力）'!$A:$A,0)-1&amp;":AC"&amp;MATCH(AZ22,'数出表_Excel（アレルギー入力）'!$A:$A,0)-1&amp;""),
 1,
MATCH(AV25,INDIRECT("'数出表_Excel（アレルギー入力）'!"&amp;AU22-1&amp;":"&amp;AU22-1&amp;""),0)),
 "")),0),"")</f>
        <v/>
      </c>
      <c r="AZ28" s="151"/>
      <c r="BB28" s="124" t="str">
        <f ca="1">IF(BC25&lt;&gt;"",
IFERROR(INT(BC25/BC27),""),"")</f>
        <v/>
      </c>
      <c r="BC28" s="151"/>
      <c r="BD28" s="124" t="str">
        <f ca="1">IFERROR(MOD(BC25,BC27),"")</f>
        <v/>
      </c>
      <c r="BE28" s="151"/>
      <c r="BF28" s="118" t="str">
        <f t="array" aca="1" ref="BF28" ca="1">IF(BC22&lt;&gt;"",
IF(IFERROR(
INDEX(INDIRECT("'数出表_Excel（アレルギー入力）'!B"&amp;MATCH(BG22,'数出表_Excel（アレルギー入力）'!$A:$A,0)-1&amp;":AC"&amp;MATCH(BG22,'数出表_Excel（アレルギー入力）'!$A:$A,0)-1&amp;""),
 1,
MATCH(BC25,INDIRECT("'数出表_Excel（アレルギー入力）'!"&amp;BB22-1&amp;":"&amp;BB22-1&amp;""),0)),
 "")&lt;&gt;0,
IF(IFERROR(
INDEX(INDIRECT("'数出表_Excel（アレルギー入力）'!B"&amp;MATCH(BG22,'数出表_Excel（アレルギー入力）'!$A:$A,0)-1&amp;":AC"&amp;MATCH(BG22,'数出表_Excel（アレルギー入力）'!$A:$A,0)-1&amp;""),
 1,
MATCH(BC25,INDIRECT("'数出表_Excel（アレルギー入力）'!"&amp;BB22-1&amp;":"&amp;BB22-1&amp;""),0)),
 "")="",
IFERROR(
INDEX(INDIRECT("'数出表_Excel（アレルギー入力）'!B"&amp;MATCH(BG22,'数出表_Excel（アレルギー入力）'!$A:$A,0)-1&amp;":AC"&amp;MATCH(BG22,'数出表_Excel（アレルギー入力）'!$A:$A,0)-1&amp;""),
 1,
MATCH(TRUE,INDEX(INDIRECT("'数出表_Excel（アレルギー入力）'!B"&amp;BB22-1&amp;":AC"&amp;BB22-1&amp;"")&lt;&gt;"",0),0)+1),
 ""),
IFERROR(
INDEX(INDIRECT("'数出表_Excel（アレルギー入力）'!B"&amp;MATCH(BG22,'数出表_Excel（アレルギー入力）'!$A:$A,0)-1&amp;":AC"&amp;MATCH(BG22,'数出表_Excel（アレルギー入力）'!$A:$A,0)-1&amp;""),
 1,
MATCH(BC25,INDIRECT("'数出表_Excel（アレルギー入力）'!"&amp;BB22-1&amp;":"&amp;BB22-1&amp;""),0)),
 "")),0),"")</f>
        <v/>
      </c>
      <c r="BG28" s="151"/>
      <c r="BJ28" s="124" t="str">
        <f ca="1">IF(BK25&lt;&gt;"",
IFERROR(INT(BK25/BK27),""),"")</f>
        <v/>
      </c>
      <c r="BK28" s="151"/>
      <c r="BL28" s="124" t="str">
        <f ca="1">IFERROR(MOD(BK25,BK27),"")</f>
        <v/>
      </c>
      <c r="BM28" s="151"/>
      <c r="BN28" s="118" t="str">
        <f t="array" aca="1" ref="BN28" ca="1">IF(BK22&lt;&gt;"",
IF(IFERROR(
INDEX(INDIRECT("'数出表_Excel（アレルギー入力）'!B"&amp;MATCH(BO22,'数出表_Excel（アレルギー入力）'!$A:$A,0)-1&amp;":AC"&amp;MATCH(BO22,'数出表_Excel（アレルギー入力）'!$A:$A,0)-1&amp;""),
 1,
MATCH(BK25,INDIRECT("'数出表_Excel（アレルギー入力）'!"&amp;BJ22-1&amp;":"&amp;BJ22-1&amp;""),0)),
 "")&lt;&gt;0,
IF(IFERROR(
INDEX(INDIRECT("'数出表_Excel（アレルギー入力）'!B"&amp;MATCH(BO22,'数出表_Excel（アレルギー入力）'!$A:$A,0)-1&amp;":AC"&amp;MATCH(BO22,'数出表_Excel（アレルギー入力）'!$A:$A,0)-1&amp;""),
 1,
MATCH(BK25,INDIRECT("'数出表_Excel（アレルギー入力）'!"&amp;BJ22-1&amp;":"&amp;BJ22-1&amp;""),0)),
 "")="",
IFERROR(
INDEX(INDIRECT("'数出表_Excel（アレルギー入力）'!B"&amp;MATCH(BO22,'数出表_Excel（アレルギー入力）'!$A:$A,0)-1&amp;":AC"&amp;MATCH(BO22,'数出表_Excel（アレルギー入力）'!$A:$A,0)-1&amp;""),
 1,
MATCH(TRUE,INDEX(INDIRECT("'数出表_Excel（アレルギー入力）'!B"&amp;BJ22-1&amp;":AC"&amp;BJ22-1&amp;"")&lt;&gt;"",0),0)+1),
 ""),
IFERROR(
INDEX(INDIRECT("'数出表_Excel（アレルギー入力）'!B"&amp;MATCH(BO22,'数出表_Excel（アレルギー入力）'!$A:$A,0)-1&amp;":AC"&amp;MATCH(BO22,'数出表_Excel（アレルギー入力）'!$A:$A,0)-1&amp;""),
 1,
MATCH(BK25,INDIRECT("'数出表_Excel（アレルギー入力）'!"&amp;BJ22-1&amp;":"&amp;BJ22-1&amp;""),0)),
 "")),0),"")</f>
        <v/>
      </c>
      <c r="BO28" s="151"/>
      <c r="BQ28" s="124" t="str">
        <f ca="1">IF(BR25&lt;&gt;"",
IFERROR(INT(BR25/BR27),""),"")</f>
        <v/>
      </c>
      <c r="BR28" s="151"/>
      <c r="BS28" s="124" t="str">
        <f ca="1">IFERROR(MOD(BR25,BR27),"")</f>
        <v/>
      </c>
      <c r="BT28" s="151"/>
      <c r="BU28" s="118" t="str">
        <f t="array" aca="1" ref="BU28" ca="1">IF(BR22&lt;&gt;"",
IF(IFERROR(
INDEX(INDIRECT("'数出表_Excel（アレルギー入力）'!B"&amp;MATCH(BV22,'数出表_Excel（アレルギー入力）'!$A:$A,0)-1&amp;":AC"&amp;MATCH(BV22,'数出表_Excel（アレルギー入力）'!$A:$A,0)-1&amp;""),
 1,
MATCH(BR25,INDIRECT("'数出表_Excel（アレルギー入力）'!"&amp;BQ22-1&amp;":"&amp;BQ22-1&amp;""),0)),
 "")&lt;&gt;0,
IF(IFERROR(
INDEX(INDIRECT("'数出表_Excel（アレルギー入力）'!B"&amp;MATCH(BV22,'数出表_Excel（アレルギー入力）'!$A:$A,0)-1&amp;":AC"&amp;MATCH(BV22,'数出表_Excel（アレルギー入力）'!$A:$A,0)-1&amp;""),
 1,
MATCH(BR25,INDIRECT("'数出表_Excel（アレルギー入力）'!"&amp;BQ22-1&amp;":"&amp;BQ22-1&amp;""),0)),
 "")="",
IFERROR(
INDEX(INDIRECT("'数出表_Excel（アレルギー入力）'!B"&amp;MATCH(BV22,'数出表_Excel（アレルギー入力）'!$A:$A,0)-1&amp;":AC"&amp;MATCH(BV22,'数出表_Excel（アレルギー入力）'!$A:$A,0)-1&amp;""),
 1,
MATCH(TRUE,INDEX(INDIRECT("'数出表_Excel（アレルギー入力）'!B"&amp;BQ22-1&amp;":AC"&amp;BQ22-1&amp;"")&lt;&gt;"",0),0)+1),
 ""),
IFERROR(
INDEX(INDIRECT("'数出表_Excel（アレルギー入力）'!B"&amp;MATCH(BV22,'数出表_Excel（アレルギー入力）'!$A:$A,0)-1&amp;":AC"&amp;MATCH(BV22,'数出表_Excel（アレルギー入力）'!$A:$A,0)-1&amp;""),
 1,
MATCH(BR25,INDIRECT("'数出表_Excel（アレルギー入力）'!"&amp;BQ22-1&amp;":"&amp;BQ22-1&amp;""),0)),
 "")),0),"")</f>
        <v/>
      </c>
      <c r="BV28" s="151"/>
      <c r="BX28" s="132">
        <v>42</v>
      </c>
      <c r="BY28" s="132" t="str">
        <f t="array" aca="1" ref="BY28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LEN(SUBSTITUTE(_xlfn.FORMULATEXT(BY$27),"=","")))+$BX28)</f>
        <v/>
      </c>
      <c r="BZ28" s="132" t="str">
        <f t="array" aca="1" ref="BZ28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LEN(SUBSTITUTE(_xlfn.FORMULATEXT(BZ$27),"=","")))+$BX28)</f>
        <v/>
      </c>
      <c r="CA28" s="132" t="str">
        <f t="array" aca="1" ref="CA28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LEN(SUBSTITUTE(_xlfn.FORMULATEXT(CA$27),"=","")))+$BX28)</f>
        <v/>
      </c>
      <c r="CB28" s="132" t="str">
        <f t="array" aca="1" ref="CB28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LEN(SUBSTITUTE(_xlfn.FORMULATEXT(CB$27),"=","")))+$BX28)</f>
        <v/>
      </c>
      <c r="CC28" s="132" t="str">
        <f t="array" aca="1" ref="CC28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LEN(SUBSTITUTE(_xlfn.FORMULATEXT(CC$27),"=","")))+$BX28)</f>
        <v/>
      </c>
      <c r="CD28" s="132" t="str">
        <f t="array" aca="1" ref="CD28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LEN(SUBSTITUTE(_xlfn.FORMULATEXT(CD$27),"=","")))+$BX28)</f>
        <v/>
      </c>
      <c r="CE28" s="132" t="str">
        <f t="array" aca="1" ref="CE28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LEN(SUBSTITUTE(_xlfn.FORMULATEXT(CE$27),"=","")))+$BX28)</f>
        <v/>
      </c>
      <c r="CF28" s="132" t="str">
        <f t="array" aca="1" ref="CF28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LEN(SUBSTITUTE(_xlfn.FORMULATEXT(CF$27),"=","")))+$BX28)</f>
        <v/>
      </c>
      <c r="CG28" s="132" t="str">
        <f t="array" aca="1" ref="CG28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LEN(SUBSTITUTE(_xlfn.FORMULATEXT(CG$27),"=","")))+$BX28)</f>
        <v/>
      </c>
      <c r="CH28" s="132" t="str">
        <f t="array" aca="1" ref="CH28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LEN(SUBSTITUTE(_xlfn.FORMULATEXT(CH$27),"=","")))+$BX28)</f>
        <v/>
      </c>
      <c r="CI28" s="132">
        <f t="shared" ca="1" si="0"/>
        <v>0</v>
      </c>
      <c r="CJ28" s="132" t="b">
        <f t="array" aca="1" ref="CJ28" ca="1">SUMPRODUCT((LEN(BY28:CH28)&gt;0)*1)&gt;0</f>
        <v>0</v>
      </c>
      <c r="CK28" s="132" t="str" cm="1">
        <f t="array" aca="1" ref="CK28" ca="1">IFERROR(SMALL(IF(CI$1:CI$150&lt;&gt;0,CI$1:CI$150),ROW(A28)),"")</f>
        <v/>
      </c>
      <c r="CL28" s="132" t="str">
        <f t="array" aca="1" ref="CL28" ca="1">IF($CK28&lt;&gt;"",
INDIRECT(""&amp;IF(COLUMN(BY28)&lt;=26,CHAR(COLUMN(BY28)+64),CHAR(INT((COLUMN(BY28)-1)/26)+64)&amp;CHAR(MOD(COLUMN(BY28)-1,26)+65))&amp;$CK28&amp;""),"")</f>
        <v/>
      </c>
      <c r="CM28" s="132" t="str">
        <f t="array" aca="1" ref="CM28" ca="1">IF($CK28&lt;&gt;"",
INDIRECT(""&amp;IF(COLUMN(BZ28)&lt;=26,CHAR(COLUMN(BZ28)+64),CHAR(INT((COLUMN(BZ28)-1)/26)+64)&amp;CHAR(MOD(COLUMN(BZ28)-1,26)+65))&amp;$CK28&amp;""),"")</f>
        <v/>
      </c>
      <c r="CN28" s="132" t="str">
        <f t="array" aca="1" ref="CN28" ca="1">IF($CK28&lt;&gt;"",
INDIRECT(""&amp;IF(COLUMN(CA28)&lt;=26,CHAR(COLUMN(CA28)+64),CHAR(INT((COLUMN(CA28)-1)/26)+64)&amp;CHAR(MOD(COLUMN(CA28)-1,26)+65))&amp;$CK28&amp;""),"")</f>
        <v/>
      </c>
      <c r="CO28" s="132" t="str">
        <f t="array" aca="1" ref="CO28" ca="1">IF($CK28&lt;&gt;"",
INDIRECT(""&amp;IF(COLUMN(CB28)&lt;=26,CHAR(COLUMN(CB28)+64),CHAR(INT((COLUMN(CB28)-1)/26)+64)&amp;CHAR(MOD(COLUMN(CB28)-1,26)+65))&amp;$CK28&amp;""),"")</f>
        <v/>
      </c>
      <c r="CP28" s="132" t="str">
        <f t="array" aca="1" ref="CP28" ca="1">IF($CK28&lt;&gt;"",
INDIRECT(""&amp;IF(COLUMN(CC28)&lt;=26,CHAR(COLUMN(CC28)+64),CHAR(INT((COLUMN(CC28)-1)/26)+64)&amp;CHAR(MOD(COLUMN(CC28)-1,26)+65))&amp;$CK28&amp;""),"")</f>
        <v/>
      </c>
      <c r="CQ28" s="132" t="str">
        <f t="array" aca="1" ref="CQ28" ca="1">IF($CK28&lt;&gt;"",
INDIRECT(""&amp;IF(COLUMN(CD28)&lt;=26,CHAR(COLUMN(CD28)+64),CHAR(INT((COLUMN(CD28)-1)/26)+64)&amp;CHAR(MOD(COLUMN(CD28)-1,26)+65))&amp;$CK28&amp;""),"")</f>
        <v/>
      </c>
      <c r="CR28" s="132" t="str">
        <f t="array" aca="1" ref="CR28" ca="1">IF($CK28&lt;&gt;"",
INDIRECT(""&amp;IF(COLUMN(CE28)&lt;=26,CHAR(COLUMN(CE28)+64),CHAR(INT((COLUMN(CE28)-1)/26)+64)&amp;CHAR(MOD(COLUMN(CE28)-1,26)+65))&amp;$CK28&amp;""),"")</f>
        <v/>
      </c>
      <c r="CS28" s="132" t="str">
        <f t="array" aca="1" ref="CS28" ca="1">IF($CK28&lt;&gt;"",
INDIRECT(""&amp;IF(COLUMN(CF28)&lt;=26,CHAR(COLUMN(CF28)+64),CHAR(INT((COLUMN(CF28)-1)/26)+64)&amp;CHAR(MOD(COLUMN(CF28)-1,26)+65))&amp;$CK28&amp;""),"")</f>
        <v/>
      </c>
      <c r="CT28" s="132" t="str">
        <f t="array" aca="1" ref="CT28" ca="1">IF($CK28&lt;&gt;"",
INDIRECT(""&amp;IF(COLUMN(CG28)&lt;=26,CHAR(COLUMN(CG28)+64),CHAR(INT((COLUMN(CG28)-1)/26)+64)&amp;CHAR(MOD(COLUMN(CG28)-1,26)+65))&amp;$CK28&amp;""),"")</f>
        <v/>
      </c>
      <c r="CU28" s="132" t="str">
        <f t="array" aca="1" ref="CU28" ca="1">IF($CK28&lt;&gt;"",
INDIRECT(""&amp;IF(COLUMN(CH28)&lt;=26,CHAR(COLUMN(CH28)+64),CHAR(INT((COLUMN(CH28)-1)/26)+64)&amp;CHAR(MOD(COLUMN(CH28)-1,26)+65))&amp;$CK28&amp;""),"")</f>
        <v/>
      </c>
    </row>
    <row r="29" spans="1:99" s="132" customFormat="1" ht="18" customHeight="1" x14ac:dyDescent="0.55000000000000004">
      <c r="A29" s="129" t="e" cm="1">
        <f t="array" aca="1" ref="A29" ca="1">IF(AND(LEFT(N22,2)="博多",LEFT(INDIRECT("数出表_Excel!A"&amp;I22-1),2)=LEFT(INDIRECT("数出表_Excel!A"&amp;I22+1),2)),
IF(AND(LEFT(INDIRECT("数出表_Excel!A"&amp;I22+2),2)="博多",LEFT(INDIRECT("数出表_Excel!A"&amp;I22+1),2)=LEFT(INDIRECT("数出表_Excel!A"&amp;I22+3),2)),
IF(AND(LEFT(INDIRECT("数出表_Excel!A"&amp;I22+4),2)="博多",LEFT(INDIRECT("数出表_Excel!A"&amp;I22+3),2)=LEFT(INDIRECT("数出表_Excel!A"&amp;I22+5),2)),
I22+8,
I22+6),
I22+4),
IF(LEFT(N22,3)="奈良屋",
IF(LEFT(INDIRECT("数出表_Excel!A"&amp;I22+2),3)="奈良屋",
IF(LEFT(INDIRECT("数出表_Excel!A"&amp;I22+4),3)="奈良屋",
I22+6,
I22+4),
I22+2),
I22+2))</f>
        <v>#VALUE!</v>
      </c>
      <c r="B29" s="130" t="e">
        <f t="array" aca="1" ref="B29" ca="1">GetResult(A29)</f>
        <v>#VALUE!</v>
      </c>
      <c r="C29" s="117" t="str">
        <f ca="1">IF(C30&lt;&gt;"",
IF(LEFT(G29,2)="博多",
LEFT(G29,FIND("週",G29)-1),
G29),"")</f>
        <v/>
      </c>
      <c r="D29" s="131"/>
      <c r="E29" s="131"/>
      <c r="F29" s="131"/>
      <c r="G29" s="157" t="e">
        <f t="array" aca="1" ref="G29" ca="1">INDIRECT("数出表_Excel!A"&amp;B29)</f>
        <v>#VALUE!</v>
      </c>
      <c r="H29" s="129" t="e" cm="1">
        <f t="array" aca="1" ref="H29" ca="1">IF(AND(LEFT(G29,2)="博多",LEFT(INDIRECT("数出表_Excel!A"&amp;B29-1),2)=LEFT(INDIRECT("数出表_Excel!A"&amp;B29+1),2)),
IF(AND(LEFT(INDIRECT("数出表_Excel!A"&amp;B29+2),2)="博多",LEFT(INDIRECT("数出表_Excel!A"&amp;B29+1),2)=LEFT(INDIRECT("数出表_Excel!A"&amp;B29+3),2)),
IF(AND(LEFT(INDIRECT("数出表_Excel!A"&amp;B29+4),2)="博多",LEFT(INDIRECT("数出表_Excel!A"&amp;B29+3),2)=LEFT(INDIRECT("数出表_Excel!A"&amp;B29+5),2)),
B29+8,
B29+2),
B29+4),
IF(LEFT(G29,3)="奈良屋",
IF(LEFT(INDIRECT("数出表_Excel!A"&amp;B29+2),3)="奈良屋",
IF(LEFT(INDIRECT("数出表_Excel!A"&amp;B29+4),3)="奈良屋",
B29+6,
B29+4),
B29+2),
B29+2))</f>
        <v>#VALUE!</v>
      </c>
      <c r="I29" s="130" t="e">
        <f t="array" aca="1" ref="I29" ca="1">GetResult(H29)</f>
        <v>#VALUE!</v>
      </c>
      <c r="J29" s="117" t="str">
        <f ca="1">IF(J30&lt;&gt;"",
IF(LEFT(N29,2)="博多",
LEFT(N29,FIND("週",N29)-1),
N29),"")</f>
        <v/>
      </c>
      <c r="K29" s="131"/>
      <c r="L29" s="131"/>
      <c r="M29" s="131"/>
      <c r="N29" s="152" t="e">
        <f t="array" aca="1" ref="N29" ca="1">INDIRECT("数出表_Excel!A"&amp;I29)</f>
        <v>#VALUE!</v>
      </c>
      <c r="O29" s="129"/>
      <c r="P29" s="129" t="e">
        <f t="array" aca="1" ref="P29" ca="1">IF(LEFT(AC22,2)="博多",
IF(LEFT(INDIRECT("数出表_Excel!A"&amp;X22+2),2)="博多",
IF(LEFT(INDIRECT("数出表_Excel!A"&amp;X22+4),2)="博多",
X22+6,
X22+4),
X22+2),
IF(LEFT(AC22,3)="奈良屋",
IF(LEFT(INDIRECT("数出表_Excel!A"&amp;X22+2),3)="奈良屋",
IF(LEFT(INDIRECT("数出表_Excel!A"&amp;X22+4),3)="奈良屋",
X22+6,
X22+4),
X22+2),
X22+2))</f>
        <v>#VALUE!</v>
      </c>
      <c r="Q29" s="130" t="e">
        <f t="array" aca="1" ref="Q29" ca="1">GetResult(P29)</f>
        <v>#VALUE!</v>
      </c>
      <c r="R29" s="117" t="str">
        <f ca="1">IF(R30&lt;&gt;"",
IF(LEFT(V29,2)="博多",
LEFT(V29,FIND("週",V29)-1),
V29),"")</f>
        <v/>
      </c>
      <c r="S29" s="131"/>
      <c r="T29" s="131"/>
      <c r="U29" s="131"/>
      <c r="V29" s="152" t="e">
        <f t="array" aca="1" ref="V29" ca="1">INDIRECT("数出表_Excel!A"&amp;Q29)</f>
        <v>#VALUE!</v>
      </c>
      <c r="W29" s="129" t="e">
        <f t="array" aca="1" ref="W29" ca="1">IF(LEFT(V29,2)="博多",
IF(LEFT(INDIRECT("数出表_Excel!A"&amp;Q29+2),2)="博多",
IF(LEFT(INDIRECT("数出表_Excel!A"&amp;Q29+4),2)="博多",
Q29+6,
Q29+4),
Q29+2),
IF(LEFT(V29,3)="奈良屋",
IF(LEFT(INDIRECT("数出表_Excel!A"&amp;Q29+2),3)="奈良屋",
IF(LEFT(INDIRECT("数出表_Excel!A"&amp;Q29+4),3)="奈良屋",
Q29+6,
Q29+4),
Q29+2),
Q29+2))</f>
        <v>#VALUE!</v>
      </c>
      <c r="X29" s="130" t="e">
        <f t="array" aca="1" ref="X29" ca="1">GetResult(W29)</f>
        <v>#VALUE!</v>
      </c>
      <c r="Y29" s="117" t="str">
        <f ca="1">IF(Y30&lt;&gt;"",
IF(LEFT(AC29,2)="博多",
LEFT(AC29,FIND("週",AC29)-1),
AC29),"")</f>
        <v/>
      </c>
      <c r="Z29" s="131"/>
      <c r="AA29" s="131"/>
      <c r="AB29" s="131"/>
      <c r="AC29" s="152" t="e">
        <f t="array" aca="1" ref="AC29" ca="1">INDIRECT("数出表_Excel!A"&amp;X29)</f>
        <v>#VALUE!</v>
      </c>
      <c r="AD29" s="129"/>
      <c r="AE29" s="129" t="e">
        <f t="array" aca="1" ref="AE29" ca="1">IF(LEFT(AR22,2)="博多",
IF(LEFT(INDIRECT("数出表_Excel!A"&amp;AM22+2),2)="博多",
IF(LEFT(INDIRECT("数出表_Excel!A"&amp;AM22+4),2)="博多",
AM22+6,
AM22+4),
AM22+2),
IF(LEFT(AR22,3)="奈良屋",
IF(LEFT(INDIRECT("数出表_Excel!A"&amp;AM22+2),3)="奈良屋",
IF(LEFT(INDIRECT("数出表_Excel!A"&amp;AM22+4),3)="奈良屋",
AM22+6,
AM22+4),
AM22+2),
AM22+2))</f>
        <v>#VALUE!</v>
      </c>
      <c r="AF29" s="130" t="e">
        <f t="array" aca="1" ref="AF29" ca="1">GetResult(AE29)</f>
        <v>#VALUE!</v>
      </c>
      <c r="AG29" s="117" t="str">
        <f ca="1">IF(AG30&lt;&gt;"",
IF(LEFT(AK29,2)="博多",
LEFT(AK29,FIND("週",AK29)-1),
AK29),"")</f>
        <v/>
      </c>
      <c r="AH29" s="131"/>
      <c r="AI29" s="131"/>
      <c r="AJ29" s="131"/>
      <c r="AK29" s="152" t="e">
        <f t="array" aca="1" ref="AK29" ca="1">INDIRECT("数出表_Excel!A"&amp;AF29)</f>
        <v>#VALUE!</v>
      </c>
      <c r="AL29" s="129" t="e">
        <f t="array" aca="1" ref="AL29" ca="1">IF(LEFT(AK29,2)="博多",
IF(LEFT(INDIRECT("数出表_Excel!A"&amp;AF29+2),2)="博多",
IF(LEFT(INDIRECT("数出表_Excel!A"&amp;AF29+4),2)="博多",
AF29+6,
AF29+4),
AF29+2),
IF(LEFT(AK29,3)="奈良屋",
IF(LEFT(INDIRECT("数出表_Excel!A"&amp;AF29+2),3)="奈良屋",
IF(LEFT(INDIRECT("数出表_Excel!A"&amp;AF29+4),3)="奈良屋",
AF29+6,
AF29+4),
AF29+2),
AF29+2))</f>
        <v>#VALUE!</v>
      </c>
      <c r="AM29" s="130" t="e">
        <f t="array" aca="1" ref="AM29" ca="1">GetResult(AL29)</f>
        <v>#VALUE!</v>
      </c>
      <c r="AN29" s="117" t="str">
        <f ca="1">IF(AN30&lt;&gt;"",
IF(LEFT(AR29,2)="博多",
LEFT(AR29,FIND("週",AR29)-1),
AR29),"")</f>
        <v/>
      </c>
      <c r="AO29" s="131"/>
      <c r="AP29" s="131"/>
      <c r="AQ29" s="131"/>
      <c r="AR29" s="152" t="e">
        <f t="array" aca="1" ref="AR29" ca="1">INDIRECT("数出表_Excel!A"&amp;AM29)</f>
        <v>#VALUE!</v>
      </c>
      <c r="AS29" s="129"/>
      <c r="AT29" s="129" t="e">
        <f t="array" aca="1" ref="AT29" ca="1">IF(LEFT(BG22,2)="博多",
IF(LEFT(INDIRECT("数出表_Excel!A"&amp;BB22+2),2)="博多",
IF(LEFT(INDIRECT("数出表_Excel!A"&amp;BB22+4),2)="博多",
BB22+6,
BB22+4),
BB22+2),
IF(LEFT(BG22,3)="奈良屋",
IF(LEFT(INDIRECT("数出表_Excel!A"&amp;BB22+2),3)="奈良屋",
IF(LEFT(INDIRECT("数出表_Excel!A"&amp;BB22+4),3)="奈良屋",
BB22+6,
BB22+4),
BB22+2),
BB22+2))</f>
        <v>#VALUE!</v>
      </c>
      <c r="AU29" s="130" t="e">
        <f t="array" aca="1" ref="AU29" ca="1">GetResult(AT29)</f>
        <v>#VALUE!</v>
      </c>
      <c r="AV29" s="117" t="str">
        <f ca="1">IF(AV30&lt;&gt;"",
IF(LEFT(AZ29,2)="博多",
LEFT(AZ29,FIND("週",AZ29)-1),
AZ29),"")</f>
        <v/>
      </c>
      <c r="AW29" s="131"/>
      <c r="AX29" s="131"/>
      <c r="AY29" s="131"/>
      <c r="AZ29" s="152" t="e">
        <f t="array" aca="1" ref="AZ29" ca="1">INDIRECT("数出表_Excel!A"&amp;AU29)</f>
        <v>#VALUE!</v>
      </c>
      <c r="BA29" s="129" t="e">
        <f t="array" aca="1" ref="BA29" ca="1">IF(LEFT(AZ29,2)="博多",
IF(LEFT(INDIRECT("数出表_Excel!A"&amp;AU29+2),2)="博多",
IF(LEFT(INDIRECT("数出表_Excel!A"&amp;AU29+4),2)="博多",
AU29+6,
AU29+4),
AU29+2),
IF(LEFT(AZ29,3)="奈良屋",
IF(LEFT(INDIRECT("数出表_Excel!A"&amp;AU29+2),3)="奈良屋",
IF(LEFT(INDIRECT("数出表_Excel!A"&amp;AU29+4),3)="奈良屋",
AU29+6,
AU29+4),
AU29+2),
AU29+2))</f>
        <v>#VALUE!</v>
      </c>
      <c r="BB29" s="130" t="e">
        <f t="array" aca="1" ref="BB29" ca="1">GetResult(BA29)</f>
        <v>#VALUE!</v>
      </c>
      <c r="BC29" s="117" t="str">
        <f ca="1">IF(BC30&lt;&gt;"",
IF(LEFT(BG29,2)="博多",
LEFT(BG29,FIND("週",BG29)-1),
BG29),"")</f>
        <v/>
      </c>
      <c r="BD29" s="131"/>
      <c r="BE29" s="131"/>
      <c r="BF29" s="131"/>
      <c r="BG29" s="152" t="e">
        <f t="array" aca="1" ref="BG29" ca="1">INDIRECT("数出表_Excel!A"&amp;BB29)</f>
        <v>#VALUE!</v>
      </c>
      <c r="BH29" s="129"/>
      <c r="BI29" s="129" t="e">
        <f t="array" aca="1" ref="BI29" ca="1">IF(LEFT(BV22,2)="博多",
IF(LEFT(INDIRECT("数出表_Excel!A"&amp;BQ22+2),2)="博多",
IF(LEFT(INDIRECT("数出表_Excel!A"&amp;BQ22+4),2)="博多",
BQ22+6,
BQ22+4),
BQ22+2),
IF(LEFT(BV22,3)="奈良屋",
IF(LEFT(INDIRECT("数出表_Excel!A"&amp;BQ22+2),3)="奈良屋",
IF(LEFT(INDIRECT("数出表_Excel!A"&amp;BQ22+4),3)="奈良屋",
BQ22+6,
BQ22+4),
BQ22+2),
BQ22+2))</f>
        <v>#VALUE!</v>
      </c>
      <c r="BJ29" s="130" t="e">
        <f t="array" aca="1" ref="BJ29" ca="1">GetResult(BI29)</f>
        <v>#VALUE!</v>
      </c>
      <c r="BK29" s="117" t="str">
        <f ca="1">IF(BK30&lt;&gt;"",
IF(LEFT(BO29,2)="博多",
LEFT(BO29,FIND("週",BO29)-1),
BO29),"")</f>
        <v/>
      </c>
      <c r="BL29" s="131"/>
      <c r="BM29" s="131"/>
      <c r="BN29" s="131"/>
      <c r="BO29" s="152" t="e">
        <f t="array" aca="1" ref="BO29" ca="1">INDIRECT("数出表_Excel!A"&amp;BJ29)</f>
        <v>#VALUE!</v>
      </c>
      <c r="BP29" s="129" t="e">
        <f t="array" aca="1" ref="BP29" ca="1">IF(LEFT(BO29,2)="博多",
IF(LEFT(INDIRECT("数出表_Excel!A"&amp;BJ29+2),2)="博多",
IF(LEFT(INDIRECT("数出表_Excel!A"&amp;BJ29+4),2)="博多",
BJ29+6,
BJ29+4),
BJ29+2),
IF(LEFT(BO29,3)="奈良屋",
IF(LEFT(INDIRECT("数出表_Excel!A"&amp;BJ29+2),3)="奈良屋",
IF(LEFT(INDIRECT("数出表_Excel!A"&amp;BJ29+4),3)="奈良屋",
BJ29+6,
BJ29+4),
BJ29+2),
BJ29+2))</f>
        <v>#VALUE!</v>
      </c>
      <c r="BQ29" s="130" t="e">
        <f t="array" aca="1" ref="BQ29" ca="1">GetResult(BP29)</f>
        <v>#VALUE!</v>
      </c>
      <c r="BR29" s="117" t="str">
        <f ca="1">IF(BR30&lt;&gt;"",
IF(LEFT(BV29,2)="博多",
LEFT(BV29,FIND("週",BV29)-1),
BV29),"")</f>
        <v/>
      </c>
      <c r="BS29" s="131"/>
      <c r="BT29" s="131"/>
      <c r="BU29" s="131"/>
      <c r="BV29" s="152" t="e">
        <f t="array" aca="1" ref="BV29" ca="1">INDIRECT("数出表_Excel!A"&amp;BQ29)</f>
        <v>#VALUE!</v>
      </c>
      <c r="BW29" s="129"/>
      <c r="BX29" s="146">
        <v>7</v>
      </c>
      <c r="BY29" s="132" t="str">
        <f t="array" aca="1" ref="BY29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LEN(SUBSTITUTE(_xlfn.FORMULATEXT(BY$25),"=","")))+$BX29)</f>
        <v/>
      </c>
      <c r="BZ29" s="132" t="str">
        <f t="array" aca="1" ref="BZ29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LEN(SUBSTITUTE(_xlfn.FORMULATEXT(BZ$25),"=","")))+$BX29)</f>
        <v/>
      </c>
      <c r="CA29" s="132" t="str">
        <f t="array" aca="1" ref="CA29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LEN(SUBSTITUTE(_xlfn.FORMULATEXT(CA$25),"=","")))+$BX29)</f>
        <v/>
      </c>
      <c r="CB29" s="132" t="str">
        <f t="array" aca="1" ref="CB29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LEN(SUBSTITUTE(_xlfn.FORMULATEXT(CB$25),"=","")))+$BX29)</f>
        <v/>
      </c>
      <c r="CC29" s="132" t="str">
        <f t="array" aca="1" ref="CC29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LEN(SUBSTITUTE(_xlfn.FORMULATEXT(CC$25),"=","")))+$BX29)</f>
        <v/>
      </c>
      <c r="CD29" s="132" t="str">
        <f t="array" aca="1" ref="CD29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LEN(SUBSTITUTE(_xlfn.FORMULATEXT(CD$25),"=","")))+$BX29)</f>
        <v/>
      </c>
      <c r="CE29" s="132" t="str">
        <f t="array" aca="1" ref="CE29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LEN(SUBSTITUTE(_xlfn.FORMULATEXT(CE$25),"=","")))+$BX29)</f>
        <v/>
      </c>
      <c r="CF29" s="132" t="str">
        <f t="array" aca="1" ref="CF29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LEN(SUBSTITUTE(_xlfn.FORMULATEXT(CF$25),"=","")))+$BX29)</f>
        <v/>
      </c>
      <c r="CG29" s="132" t="str">
        <f t="array" aca="1" ref="CG29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LEN(SUBSTITUTE(_xlfn.FORMULATEXT(CG$25),"=","")))+$BX29)</f>
        <v/>
      </c>
      <c r="CH29" s="132" t="str">
        <f t="array" aca="1" ref="CH29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LEN(SUBSTITUTE(_xlfn.FORMULATEXT(CH$25),"=","")))+$BX29)</f>
        <v/>
      </c>
      <c r="CI29" s="132">
        <f t="shared" ca="1" si="0"/>
        <v>0</v>
      </c>
      <c r="CJ29" s="132" t="b">
        <f t="array" aca="1" ref="CJ29" ca="1">SUMPRODUCT((LEN(BY29:CH29)&gt;0)*1)&gt;0</f>
        <v>0</v>
      </c>
      <c r="CK29" s="132" t="str" cm="1">
        <f t="array" aca="1" ref="CK29" ca="1">IFERROR(SMALL(IF(CI$1:CI$150&lt;&gt;0,CI$1:CI$150),ROW(A29)),"")</f>
        <v/>
      </c>
      <c r="CL29" s="132" t="str">
        <f t="array" aca="1" ref="CL29" ca="1">IF($CK29&lt;&gt;"",
INDIRECT(""&amp;IF(COLUMN(BY29)&lt;=26,CHAR(COLUMN(BY29)+64),CHAR(INT((COLUMN(BY29)-1)/26)+64)&amp;CHAR(MOD(COLUMN(BY29)-1,26)+65))&amp;$CK29&amp;""),"")</f>
        <v/>
      </c>
      <c r="CM29" s="132" t="str">
        <f t="array" aca="1" ref="CM29" ca="1">IF($CK29&lt;&gt;"",
INDIRECT(""&amp;IF(COLUMN(BZ29)&lt;=26,CHAR(COLUMN(BZ29)+64),CHAR(INT((COLUMN(BZ29)-1)/26)+64)&amp;CHAR(MOD(COLUMN(BZ29)-1,26)+65))&amp;$CK29&amp;""),"")</f>
        <v/>
      </c>
      <c r="CN29" s="132" t="str">
        <f t="array" aca="1" ref="CN29" ca="1">IF($CK29&lt;&gt;"",
INDIRECT(""&amp;IF(COLUMN(CA29)&lt;=26,CHAR(COLUMN(CA29)+64),CHAR(INT((COLUMN(CA29)-1)/26)+64)&amp;CHAR(MOD(COLUMN(CA29)-1,26)+65))&amp;$CK29&amp;""),"")</f>
        <v/>
      </c>
      <c r="CO29" s="132" t="str">
        <f t="array" aca="1" ref="CO29" ca="1">IF($CK29&lt;&gt;"",
INDIRECT(""&amp;IF(COLUMN(CB29)&lt;=26,CHAR(COLUMN(CB29)+64),CHAR(INT((COLUMN(CB29)-1)/26)+64)&amp;CHAR(MOD(COLUMN(CB29)-1,26)+65))&amp;$CK29&amp;""),"")</f>
        <v/>
      </c>
      <c r="CP29" s="132" t="str">
        <f t="array" aca="1" ref="CP29" ca="1">IF($CK29&lt;&gt;"",
INDIRECT(""&amp;IF(COLUMN(CC29)&lt;=26,CHAR(COLUMN(CC29)+64),CHAR(INT((COLUMN(CC29)-1)/26)+64)&amp;CHAR(MOD(COLUMN(CC29)-1,26)+65))&amp;$CK29&amp;""),"")</f>
        <v/>
      </c>
      <c r="CQ29" s="132" t="str">
        <f t="array" aca="1" ref="CQ29" ca="1">IF($CK29&lt;&gt;"",
INDIRECT(""&amp;IF(COLUMN(CD29)&lt;=26,CHAR(COLUMN(CD29)+64),CHAR(INT((COLUMN(CD29)-1)/26)+64)&amp;CHAR(MOD(COLUMN(CD29)-1,26)+65))&amp;$CK29&amp;""),"")</f>
        <v/>
      </c>
      <c r="CR29" s="132" t="str">
        <f t="array" aca="1" ref="CR29" ca="1">IF($CK29&lt;&gt;"",
INDIRECT(""&amp;IF(COLUMN(CE29)&lt;=26,CHAR(COLUMN(CE29)+64),CHAR(INT((COLUMN(CE29)-1)/26)+64)&amp;CHAR(MOD(COLUMN(CE29)-1,26)+65))&amp;$CK29&amp;""),"")</f>
        <v/>
      </c>
      <c r="CS29" s="132" t="str">
        <f t="array" aca="1" ref="CS29" ca="1">IF($CK29&lt;&gt;"",
INDIRECT(""&amp;IF(COLUMN(CF29)&lt;=26,CHAR(COLUMN(CF29)+64),CHAR(INT((COLUMN(CF29)-1)/26)+64)&amp;CHAR(MOD(COLUMN(CF29)-1,26)+65))&amp;$CK29&amp;""),"")</f>
        <v/>
      </c>
      <c r="CT29" s="132" t="str">
        <f t="array" aca="1" ref="CT29" ca="1">IF($CK29&lt;&gt;"",
INDIRECT(""&amp;IF(COLUMN(CG29)&lt;=26,CHAR(COLUMN(CG29)+64),CHAR(INT((COLUMN(CG29)-1)/26)+64)&amp;CHAR(MOD(COLUMN(CG29)-1,26)+65))&amp;$CK29&amp;""),"")</f>
        <v/>
      </c>
      <c r="CU29" s="132" t="str">
        <f t="array" aca="1" ref="CU29" ca="1">IF($CK29&lt;&gt;"",
INDIRECT(""&amp;IF(COLUMN(CH29)&lt;=26,CHAR(COLUMN(CH29)+64),CHAR(INT((COLUMN(CH29)-1)/26)+64)&amp;CHAR(MOD(COLUMN(CH29)-1,26)+65))&amp;$CK29&amp;""),"")</f>
        <v/>
      </c>
    </row>
    <row r="30" spans="1:99" s="132" customFormat="1" ht="18" customHeight="1" x14ac:dyDescent="0.55000000000000004">
      <c r="A30" s="129"/>
      <c r="B30" s="135" t="e">
        <f t="array" aca="1" ref="B30" ca="1">IF(B31&lt;&gt;100,
IF(C32&lt;&gt;"",MATCH(C32,INDIRECT("数出表_Excel!B"&amp;MATCH(G29,数出表_Excel!$A:$A,0)-1&amp;":U"&amp;MATCH(G29,数出表_Excel!$A:$A,0)-1&amp;""),0)+1,""),
IF(C32&lt;&gt;"",
MATCH(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""),
INDIRECT("数出表_Excel!B"&amp;MATCH(G29,数出表_Excel!$A:$A,0)-1&amp;":U"&amp;MATCH(G29,数出表_Excel!$A:$A,0)-1&amp;""),0)+1,""))</f>
        <v>#VALUE!</v>
      </c>
      <c r="C30" s="70" t="str">
        <f t="array" aca="1" ref="C30" ca="1">IF(COUNTIF(G29,"*合計*"),"",
IF(IFERROR(INDIRECT("数出表_Excel!" &amp;
CHAR(MATCH(TRUE,
ISNUMBER(--INDIRECT("数出表_Excel!B"&amp;MATCH(G29,数出表_Excel!$A:$A,0)-1&amp;":U"&amp;MATCH(G29,数出表_Excel!$A:$A,0)-1&amp;"")),0)+65) &amp; "3"),0)=0,"",
IFERROR(INDIRECT("数出表_Excel!" &amp;
CHAR(MATCH(TRUE,
ISNUMBER(--INDIRECT("数出表_Excel!B"&amp;MATCH(G29,数出表_Excel!$A:$A,0)-1&amp;":U"&amp;MATCH(G29,数出表_Excel!$A:$A,0)-1&amp;"")),0)+65) &amp; "3"),"")))</f>
        <v/>
      </c>
      <c r="D30" s="129"/>
      <c r="E30" s="136" t="str">
        <f ca="1">IF(F30&lt;&gt;"","",
IF(C29&lt;&gt;"",
IFERROR(
INDEX('数出表_Excel（アレルギー入力）'!$4:$4,
 1,
MATCH(C32,INDIRECT("'数出表_Excel（アレルギー入力）'!"&amp;B29-1&amp;":"&amp;B29-1&amp;""),0)),
 "")
&amp;IFERROR(
INDEX('数出表_Excel（アレルギー入力）'!$5:$5,
 1,
MATCH(C32,INDIRECT("'数出表_Excel（アレルギー入力）'!"&amp;B29-1&amp;":"&amp;B29-1&amp;""),0)),
 ""),""))</f>
        <v/>
      </c>
      <c r="F30" s="137" t="str">
        <f t="array" aca="1" ref="F30" ca="1">IF(C30&lt;&gt;"",
IF(MATCH(TRUE,
ISNUMBER(--INDIRECT("数出表_Excel!B"&amp;MATCH(G29,数出表_Excel!$A:$A,0)-1&amp;":U"&amp;MATCH(G29,数出表_Excel!$A:$A,0)-1&amp;"")),0)&gt;10,
IF(C30&lt;&gt;"",
IF(IF(COUNTIF('盛付札（関数）'!C30,"*キャラ*"),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VLOOKUP('盛付札（関数）'!C30,商品マスタ一覧!$D:$J,7,FALSE)))=0,"",
IF(ROUND(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VLOOKUP('盛付札（関数）'!C30,商品マスタ一覧!$D:$J,7,FALSE))),0)&lt;=0,1,
ROUND(
IF(F35&lt;&gt;"",(C32-F35),C32)
/IF(COUNTIF('盛付札（関数）'!C30,"*キャラ*"),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VLOOKUP('盛付札（関数）'!C30,商品マスタ一覧!$D:$J,7,FALSE))),0))),""),""),"")</f>
        <v/>
      </c>
      <c r="G30" s="158" t="str">
        <f ca="1">IF(F30&lt;&gt;"",IF(VALUE(IF(F35&lt;&gt;"",C32-F35,C32))&gt;VALUE(IF(COUNTIF('盛付札（関数）'!C30,"*キャラ*"),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
"+"&amp;IF(F35&lt;&gt;"",C32-F35,C32)-IF(COUNTIF('盛付札（関数）'!C30,"*キャラ*"),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VLOOKUP('盛付札（関数）'!C30,商品マスタ一覧!$D:$J,7,FALSE)))*F30,
IF(F35&lt;&gt;"",C32-F35,C32)-IF(COUNTIF('盛付札（関数）'!C30,"*キャラ*"),
VLOOKUP("*キャラ*",商品マスタ一覧!$D:$J,7,FALSE),
IF(COUNTIF('盛付札（関数）'!C30,"*赤*"),
VLOOKUP("*赤*",商品マスタ一覧!$D:$J,7,FALSE),
VLOOKUP('盛付札（関数）'!C30,商品マスタ一覧!$D:$J,7,FALSE)))*F30),"")</f>
        <v/>
      </c>
      <c r="H30" s="129"/>
      <c r="I30" s="135" t="e">
        <f t="array" aca="1" ref="I30" ca="1">IF(I31&lt;&gt;100,
IF(J32&lt;&gt;"",MATCH(J32,INDIRECT("数出表_Excel!B"&amp;MATCH(N29,数出表_Excel!$A:$A,0)-1&amp;":U"&amp;MATCH(N29,数出表_Excel!$A:$A,0)-1&amp;""),0)+1,""),
IF(J32&lt;&gt;"",
MATCH(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""),
INDIRECT("数出表_Excel!B"&amp;MATCH(N29,数出表_Excel!$A:$A,0)-1&amp;":U"&amp;MATCH(N29,数出表_Excel!$A:$A,0)-1&amp;""),0)+1,""))</f>
        <v>#VALUE!</v>
      </c>
      <c r="J30" s="70" t="str">
        <f t="array" aca="1" ref="J30" ca="1">IF(COUNTIF(N29,"*合計*"),"",
IF(IFERROR(INDIRECT("数出表_Excel!" &amp;
CHAR(MATCH(TRUE,
ISNUMBER(--INDIRECT("数出表_Excel!B"&amp;MATCH(N29,数出表_Excel!$A:$A,0)-1&amp;":U"&amp;MATCH(N29,数出表_Excel!$A:$A,0)-1&amp;"")),0)+65) &amp; "3"),0)=0,"",
IFERROR(INDIRECT("数出表_Excel!" &amp;
CHAR(MATCH(TRUE,
ISNUMBER(--INDIRECT("数出表_Excel!B"&amp;MATCH(N29,数出表_Excel!$A:$A,0)-1&amp;":U"&amp;MATCH(N29,数出表_Excel!$A:$A,0)-1&amp;"")),0)+65) &amp; "3"),"")))</f>
        <v/>
      </c>
      <c r="K30" s="129"/>
      <c r="L30" s="136" t="str">
        <f ca="1">IF(M30&lt;&gt;"","",
IF(J29&lt;&gt;"",
IFERROR(
INDEX('数出表_Excel（アレルギー入力）'!$4:$4,
 1,
MATCH(J32,INDIRECT("'数出表_Excel（アレルギー入力）'!"&amp;I29-1&amp;":"&amp;I29-1&amp;""),0)),
 "")
&amp;IFERROR(
INDEX('数出表_Excel（アレルギー入力）'!$5:$5,
 1,
MATCH(J32,INDIRECT("'数出表_Excel（アレルギー入力）'!"&amp;I29-1&amp;":"&amp;I29-1&amp;""),0)),
 ""),""))</f>
        <v/>
      </c>
      <c r="M30" s="137" t="str">
        <f t="array" aca="1" ref="M30" ca="1">IF(J30&lt;&gt;"",
IF(MATCH(TRUE,
ISNUMBER(--INDIRECT("数出表_Excel!B"&amp;MATCH(N29,数出表_Excel!$A:$A,0)-1&amp;":U"&amp;MATCH(N29,数出表_Excel!$A:$A,0)-1&amp;"")),0)&gt;10,
IF(J30&lt;&gt;"",
IF(IF(COUNTIF('盛付札（関数）'!J30,"*キャラ*"),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VLOOKUP('盛付札（関数）'!J30,商品マスタ一覧!$D:$J,7,FALSE)))=0,"",
IF(ROUND(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VLOOKUP('盛付札（関数）'!J30,商品マスタ一覧!$D:$J,7,FALSE))),0)&lt;=0,1,
ROUND(
IF(M35&lt;&gt;"",(J32-M35),J32)
/IF(COUNTIF('盛付札（関数）'!J30,"*キャラ*"),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VLOOKUP('盛付札（関数）'!J30,商品マスタ一覧!$D:$J,7,FALSE))),0))),""),""),"")</f>
        <v/>
      </c>
      <c r="N30" s="153" t="str">
        <f ca="1">IF(M30&lt;&gt;"",IF(VALUE(IF(M35&lt;&gt;"",J32-M35,J32))&gt;VALUE(IF(COUNTIF('盛付札（関数）'!J30,"*キャラ*"),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
"+"&amp;IF(M35&lt;&gt;"",J32-M35,J32)-IF(COUNTIF('盛付札（関数）'!J30,"*キャラ*"),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VLOOKUP('盛付札（関数）'!J30,商品マスタ一覧!$D:$J,7,FALSE)))*M30,
IF(M35&lt;&gt;"",J32-M35,J32)-IF(COUNTIF('盛付札（関数）'!J30,"*キャラ*"),
VLOOKUP("*キャラ*",商品マスタ一覧!$D:$J,7,FALSE),
IF(COUNTIF('盛付札（関数）'!J30,"*赤*"),
VLOOKUP("*赤*",商品マスタ一覧!$D:$J,7,FALSE),
VLOOKUP('盛付札（関数）'!J30,商品マスタ一覧!$D:$J,7,FALSE)))*M30),"")</f>
        <v/>
      </c>
      <c r="O30" s="129"/>
      <c r="P30" s="129"/>
      <c r="Q30" s="135" t="e">
        <f t="array" aca="1" ref="Q30" ca="1">IF(Q31&lt;&gt;100,
IF(R32&lt;&gt;"",MATCH(R32,INDIRECT("数出表_Excel!B"&amp;MATCH(V29,数出表_Excel!$A:$A,0)-1&amp;":U"&amp;MATCH(V29,数出表_Excel!$A:$A,0)-1&amp;""),0)+1,""),
IF(R32&lt;&gt;"",
MATCH(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""),
INDIRECT("数出表_Excel!B"&amp;MATCH(V29,数出表_Excel!$A:$A,0)-1&amp;":U"&amp;MATCH(V29,数出表_Excel!$A:$A,0)-1&amp;""),0)+1,""))</f>
        <v>#VALUE!</v>
      </c>
      <c r="R30" s="70" t="str">
        <f t="array" aca="1" ref="R30" ca="1">IF(COUNTIF(V29,"*合計*"),"",
IF(IFERROR(INDIRECT("数出表_Excel!" &amp;
CHAR(MATCH(TRUE,
ISNUMBER(--INDIRECT("数出表_Excel!B"&amp;MATCH(V29,数出表_Excel!$A:$A,0)-1&amp;":U"&amp;MATCH(V29,数出表_Excel!$A:$A,0)-1&amp;"")),0)+65) &amp; "3"),0)=0,"",
IFERROR(INDIRECT("数出表_Excel!" &amp;
CHAR(MATCH(TRUE,
ISNUMBER(--INDIRECT("数出表_Excel!B"&amp;MATCH(V29,数出表_Excel!$A:$A,0)-1&amp;":U"&amp;MATCH(V29,数出表_Excel!$A:$A,0)-1&amp;"")),0)+65) &amp; "3"),"")))</f>
        <v/>
      </c>
      <c r="S30" s="129"/>
      <c r="T30" s="136" t="str">
        <f ca="1">IF(U30&lt;&gt;"","",
IF(R29&lt;&gt;"",
IFERROR(
INDEX('数出表_Excel（アレルギー入力）'!$4:$4,
 1,
MATCH(R32,INDIRECT("'数出表_Excel（アレルギー入力）'!"&amp;Q29-1&amp;":"&amp;Q29-1&amp;""),0)),
 "")
&amp;IFERROR(
INDEX('数出表_Excel（アレルギー入力）'!$5:$5,
 1,
MATCH(R32,INDIRECT("'数出表_Excel（アレルギー入力）'!"&amp;Q29-1&amp;":"&amp;Q29-1&amp;""),0)),
 ""),""))</f>
        <v/>
      </c>
      <c r="U30" s="137" t="str">
        <f t="array" aca="1" ref="U30" ca="1">IF(R30&lt;&gt;"",
IF(MATCH(TRUE,
ISNUMBER(--INDIRECT("数出表_Excel!B"&amp;MATCH(V29,数出表_Excel!$A:$A,0)-1&amp;":U"&amp;MATCH(V29,数出表_Excel!$A:$A,0)-1&amp;"")),0)&gt;10,
IF(R30&lt;&gt;"",
IF(IF(COUNTIF('盛付札（関数）'!R30,"*キャラ*"),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VLOOKUP('盛付札（関数）'!R30,商品マスタ一覧!$D:$J,7,FALSE)))=0,"",
IF(ROUND(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VLOOKUP('盛付札（関数）'!R30,商品マスタ一覧!$D:$J,7,FALSE))),0)&lt;=0,1,
ROUND(
IF(U35&lt;&gt;"",(R32-U35),R32)
/IF(COUNTIF('盛付札（関数）'!R30,"*キャラ*"),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VLOOKUP('盛付札（関数）'!R30,商品マスタ一覧!$D:$J,7,FALSE))),0))),""),""),"")</f>
        <v/>
      </c>
      <c r="V30" s="153" t="str">
        <f ca="1">IF(U30&lt;&gt;"",IF(VALUE(IF(U35&lt;&gt;"",R32-U35,R32))&gt;VALUE(IF(COUNTIF('盛付札（関数）'!R30,"*キャラ*"),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
"+"&amp;IF(U35&lt;&gt;"",R32-U35,R32)-IF(COUNTIF('盛付札（関数）'!R30,"*キャラ*"),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VLOOKUP('盛付札（関数）'!R30,商品マスタ一覧!$D:$J,7,FALSE)))*U30,
IF(U35&lt;&gt;"",R32-U35,R32)-IF(COUNTIF('盛付札（関数）'!R30,"*キャラ*"),
VLOOKUP("*キャラ*",商品マスタ一覧!$D:$J,7,FALSE),
IF(COUNTIF('盛付札（関数）'!R30,"*赤*"),
VLOOKUP("*赤*",商品マスタ一覧!$D:$J,7,FALSE),
VLOOKUP('盛付札（関数）'!R30,商品マスタ一覧!$D:$J,7,FALSE)))*U30),"")</f>
        <v/>
      </c>
      <c r="W30" s="129"/>
      <c r="X30" s="135" t="e">
        <f t="array" aca="1" ref="X30" ca="1">IF(X31&lt;&gt;100,
IF(Y32&lt;&gt;"",MATCH(Y32,INDIRECT("数出表_Excel!B"&amp;MATCH(AC29,数出表_Excel!$A:$A,0)-1&amp;":U"&amp;MATCH(AC29,数出表_Excel!$A:$A,0)-1&amp;""),0)+1,""),
IF(Y32&lt;&gt;"",
MATCH(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""),
INDIRECT("数出表_Excel!B"&amp;MATCH(AC29,数出表_Excel!$A:$A,0)-1&amp;":U"&amp;MATCH(AC29,数出表_Excel!$A:$A,0)-1&amp;""),0)+1,""))</f>
        <v>#VALUE!</v>
      </c>
      <c r="Y30" s="70" t="str">
        <f t="array" aca="1" ref="Y30" ca="1">IF(COUNTIF(AC29,"*合計*"),"",
IF(IFERROR(INDIRECT("数出表_Excel!" &amp;
CHAR(MATCH(TRUE,
ISNUMBER(--INDIRECT("数出表_Excel!B"&amp;MATCH(AC29,数出表_Excel!$A:$A,0)-1&amp;":U"&amp;MATCH(AC29,数出表_Excel!$A:$A,0)-1&amp;"")),0)+65) &amp; "3"),0)=0,"",
IFERROR(INDIRECT("数出表_Excel!" &amp;
CHAR(MATCH(TRUE,
ISNUMBER(--INDIRECT("数出表_Excel!B"&amp;MATCH(AC29,数出表_Excel!$A:$A,0)-1&amp;":U"&amp;MATCH(AC29,数出表_Excel!$A:$A,0)-1&amp;"")),0)+65) &amp; "3"),"")))</f>
        <v/>
      </c>
      <c r="Z30" s="129"/>
      <c r="AA30" s="136" t="str">
        <f ca="1">IF(AB30&lt;&gt;"","",
IF(Y29&lt;&gt;"",
IFERROR(
INDEX('数出表_Excel（アレルギー入力）'!$4:$4,
 1,
MATCH(Y32,INDIRECT("'数出表_Excel（アレルギー入力）'!"&amp;X29-1&amp;":"&amp;X29-1&amp;""),0)),
 "")
&amp;IFERROR(
INDEX('数出表_Excel（アレルギー入力）'!$5:$5,
 1,
MATCH(Y32,INDIRECT("'数出表_Excel（アレルギー入力）'!"&amp;X29-1&amp;":"&amp;X29-1&amp;""),0)),
 ""),""))</f>
        <v/>
      </c>
      <c r="AB30" s="137" t="str">
        <f t="array" aca="1" ref="AB30" ca="1">IF(Y30&lt;&gt;"",
IF(MATCH(TRUE,
ISNUMBER(--INDIRECT("数出表_Excel!B"&amp;MATCH(AC29,数出表_Excel!$A:$A,0)-1&amp;":U"&amp;MATCH(AC29,数出表_Excel!$A:$A,0)-1&amp;"")),0)&gt;10,
IF(Y30&lt;&gt;"",
IF(IF(COUNTIF('盛付札（関数）'!Y30,"*キャラ*"),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VLOOKUP('盛付札（関数）'!Y30,商品マスタ一覧!$D:$J,7,FALSE)))=0,"",
IF(ROUND(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VLOOKUP('盛付札（関数）'!Y30,商品マスタ一覧!$D:$J,7,FALSE))),0)&lt;=0,1,
ROUND(
IF(AB35&lt;&gt;"",(Y32-AB35),Y32)
/IF(COUNTIF('盛付札（関数）'!Y30,"*キャラ*"),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VLOOKUP('盛付札（関数）'!Y30,商品マスタ一覧!$D:$J,7,FALSE))),0))),""),""),"")</f>
        <v/>
      </c>
      <c r="AC30" s="153" t="str">
        <f ca="1">IF(AB30&lt;&gt;"",IF(VALUE(IF(AB35&lt;&gt;"",Y32-AB35,Y32))&gt;VALUE(IF(COUNTIF('盛付札（関数）'!Y30,"*キャラ*"),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
"+"&amp;IF(AB35&lt;&gt;"",Y32-AB35,Y32)-IF(COUNTIF('盛付札（関数）'!Y30,"*キャラ*"),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VLOOKUP('盛付札（関数）'!Y30,商品マスタ一覧!$D:$J,7,FALSE)))*AB30,
IF(AB35&lt;&gt;"",Y32-AB35,Y32)-IF(COUNTIF('盛付札（関数）'!Y30,"*キャラ*"),
VLOOKUP("*キャラ*",商品マスタ一覧!$D:$J,7,FALSE),
IF(COUNTIF('盛付札（関数）'!Y30,"*赤*"),
VLOOKUP("*赤*",商品マスタ一覧!$D:$J,7,FALSE),
VLOOKUP('盛付札（関数）'!Y30,商品マスタ一覧!$D:$J,7,FALSE)))*AB30),"")</f>
        <v/>
      </c>
      <c r="AD30" s="129"/>
      <c r="AE30" s="129"/>
      <c r="AF30" s="135" t="e">
        <f t="array" aca="1" ref="AF30" ca="1">IF(AF31&lt;&gt;100,
IF(AG32&lt;&gt;"",MATCH(AG32,INDIRECT("数出表_Excel!B"&amp;MATCH(AK29,数出表_Excel!$A:$A,0)-1&amp;":U"&amp;MATCH(AK29,数出表_Excel!$A:$A,0)-1&amp;""),0)+1,""),
IF(AG32&lt;&gt;"",
MATCH(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""),
INDIRECT("数出表_Excel!B"&amp;MATCH(AK29,数出表_Excel!$A:$A,0)-1&amp;":U"&amp;MATCH(AK29,数出表_Excel!$A:$A,0)-1&amp;""),0)+1,""))</f>
        <v>#VALUE!</v>
      </c>
      <c r="AG30" s="70" t="str">
        <f t="array" aca="1" ref="AG30" ca="1">IF(COUNTIF(AK29,"*合計*"),"",
IF(IFERROR(INDIRECT("数出表_Excel!" &amp;
CHAR(MATCH(TRUE,
ISNUMBER(--INDIRECT("数出表_Excel!B"&amp;MATCH(AK29,数出表_Excel!$A:$A,0)-1&amp;":U"&amp;MATCH(AK29,数出表_Excel!$A:$A,0)-1&amp;"")),0)+65) &amp; "3"),0)=0,"",
IFERROR(INDIRECT("数出表_Excel!" &amp;
CHAR(MATCH(TRUE,
ISNUMBER(--INDIRECT("数出表_Excel!B"&amp;MATCH(AK29,数出表_Excel!$A:$A,0)-1&amp;":U"&amp;MATCH(AK29,数出表_Excel!$A:$A,0)-1&amp;"")),0)+65) &amp; "3"),"")))</f>
        <v/>
      </c>
      <c r="AH30" s="129"/>
      <c r="AI30" s="136" t="str">
        <f ca="1">IF(AJ30&lt;&gt;"","",
IF(AG29&lt;&gt;"",
IFERROR(
INDEX('数出表_Excel（アレルギー入力）'!$4:$4,
 1,
MATCH(AG32,INDIRECT("'数出表_Excel（アレルギー入力）'!"&amp;AF29-1&amp;":"&amp;AF29-1&amp;""),0)),
 "")
&amp;IFERROR(
INDEX('数出表_Excel（アレルギー入力）'!$5:$5,
 1,
MATCH(AG32,INDIRECT("'数出表_Excel（アレルギー入力）'!"&amp;AF29-1&amp;":"&amp;AF29-1&amp;""),0)),
 ""),""))</f>
        <v/>
      </c>
      <c r="AJ30" s="137" t="str">
        <f t="array" aca="1" ref="AJ30" ca="1">IF(AG30&lt;&gt;"",
IF(MATCH(TRUE,
ISNUMBER(--INDIRECT("数出表_Excel!B"&amp;MATCH(AK29,数出表_Excel!$A:$A,0)-1&amp;":U"&amp;MATCH(AK29,数出表_Excel!$A:$A,0)-1&amp;"")),0)&gt;10,
IF(AG30&lt;&gt;"",
IF(IF(COUNTIF('盛付札（関数）'!AG30,"*キャラ*"),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VLOOKUP('盛付札（関数）'!AG30,商品マスタ一覧!$D:$J,7,FALSE)))=0,"",
IF(ROUND(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VLOOKUP('盛付札（関数）'!AG30,商品マスタ一覧!$D:$J,7,FALSE))),0)&lt;=0,1,
ROUND(
IF(AJ35&lt;&gt;"",(AG32-AJ35),AG32)
/IF(COUNTIF('盛付札（関数）'!AG30,"*キャラ*"),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VLOOKUP('盛付札（関数）'!AG30,商品マスタ一覧!$D:$J,7,FALSE))),0))),""),""),"")</f>
        <v/>
      </c>
      <c r="AK30" s="153" t="str">
        <f ca="1">IF(AJ30&lt;&gt;"",IF(VALUE(IF(AJ35&lt;&gt;"",AG32-AJ35,AG32))&gt;VALUE(IF(COUNTIF('盛付札（関数）'!AG30,"*キャラ*"),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
"+"&amp;IF(AJ35&lt;&gt;"",AG32-AJ35,AG32)-IF(COUNTIF('盛付札（関数）'!AG30,"*キャラ*"),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VLOOKUP('盛付札（関数）'!AG30,商品マスタ一覧!$D:$J,7,FALSE)))*AJ30,
IF(AJ35&lt;&gt;"",AG32-AJ35,AG32)-IF(COUNTIF('盛付札（関数）'!AG30,"*キャラ*"),
VLOOKUP("*キャラ*",商品マスタ一覧!$D:$J,7,FALSE),
IF(COUNTIF('盛付札（関数）'!AG30,"*赤*"),
VLOOKUP("*赤*",商品マスタ一覧!$D:$J,7,FALSE),
VLOOKUP('盛付札（関数）'!AG30,商品マスタ一覧!$D:$J,7,FALSE)))*AJ30),"")</f>
        <v/>
      </c>
      <c r="AL30" s="129"/>
      <c r="AM30" s="135" t="e">
        <f t="array" aca="1" ref="AM30" ca="1">IF(AM31&lt;&gt;100,
IF(AN32&lt;&gt;"",MATCH(AN32,INDIRECT("数出表_Excel!B"&amp;MATCH(AR29,数出表_Excel!$A:$A,0)-1&amp;":U"&amp;MATCH(AR29,数出表_Excel!$A:$A,0)-1&amp;""),0)+1,""),
IF(AN32&lt;&gt;"",
MATCH(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""),
INDIRECT("数出表_Excel!B"&amp;MATCH(AR29,数出表_Excel!$A:$A,0)-1&amp;":U"&amp;MATCH(AR29,数出表_Excel!$A:$A,0)-1&amp;""),0)+1,""))</f>
        <v>#VALUE!</v>
      </c>
      <c r="AN30" s="70" t="str">
        <f t="array" aca="1" ref="AN30" ca="1">IF(COUNTIF(AR29,"*合計*"),"",
IF(IFERROR(INDIRECT("数出表_Excel!" &amp;
CHAR(MATCH(TRUE,
ISNUMBER(--INDIRECT("数出表_Excel!B"&amp;MATCH(AR29,数出表_Excel!$A:$A,0)-1&amp;":U"&amp;MATCH(AR29,数出表_Excel!$A:$A,0)-1&amp;"")),0)+65) &amp; "3"),0)=0,"",
IFERROR(INDIRECT("数出表_Excel!" &amp;
CHAR(MATCH(TRUE,
ISNUMBER(--INDIRECT("数出表_Excel!B"&amp;MATCH(AR29,数出表_Excel!$A:$A,0)-1&amp;":U"&amp;MATCH(AR29,数出表_Excel!$A:$A,0)-1&amp;"")),0)+65) &amp; "3"),"")))</f>
        <v/>
      </c>
      <c r="AO30" s="129"/>
      <c r="AP30" s="136" t="str">
        <f ca="1">IF(AQ30&lt;&gt;"","",
IF(AN29&lt;&gt;"",
IFERROR(
INDEX('数出表_Excel（アレルギー入力）'!$4:$4,
 1,
MATCH(AN32,INDIRECT("'数出表_Excel（アレルギー入力）'!"&amp;AM29-1&amp;":"&amp;AM29-1&amp;""),0)),
 "")
&amp;IFERROR(
INDEX('数出表_Excel（アレルギー入力）'!$5:$5,
 1,
MATCH(AN32,INDIRECT("'数出表_Excel（アレルギー入力）'!"&amp;AM29-1&amp;":"&amp;AM29-1&amp;""),0)),
 ""),""))</f>
        <v/>
      </c>
      <c r="AQ30" s="137" t="str">
        <f t="array" aca="1" ref="AQ30" ca="1">IF(AN30&lt;&gt;"",
IF(MATCH(TRUE,
ISNUMBER(--INDIRECT("数出表_Excel!B"&amp;MATCH(AR29,数出表_Excel!$A:$A,0)-1&amp;":U"&amp;MATCH(AR29,数出表_Excel!$A:$A,0)-1&amp;"")),0)&gt;10,
IF(AN30&lt;&gt;"",
IF(IF(COUNTIF('盛付札（関数）'!AN30,"*キャラ*"),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VLOOKUP('盛付札（関数）'!AN30,商品マスタ一覧!$D:$J,7,FALSE)))=0,"",
IF(ROUND(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VLOOKUP('盛付札（関数）'!AN30,商品マスタ一覧!$D:$J,7,FALSE))),0)&lt;=0,1,
ROUND(
IF(AQ35&lt;&gt;"",(AN32-AQ35),AN32)
/IF(COUNTIF('盛付札（関数）'!AN30,"*キャラ*"),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VLOOKUP('盛付札（関数）'!AN30,商品マスタ一覧!$D:$J,7,FALSE))),0))),""),""),"")</f>
        <v/>
      </c>
      <c r="AR30" s="153" t="str">
        <f ca="1">IF(AQ30&lt;&gt;"",IF(VALUE(IF(AQ35&lt;&gt;"",AN32-AQ35,AN32))&gt;VALUE(IF(COUNTIF('盛付札（関数）'!AN30,"*キャラ*"),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
"+"&amp;IF(AQ35&lt;&gt;"",AN32-AQ35,AN32)-IF(COUNTIF('盛付札（関数）'!AN30,"*キャラ*"),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VLOOKUP('盛付札（関数）'!AN30,商品マスタ一覧!$D:$J,7,FALSE)))*AQ30,
IF(AQ35&lt;&gt;"",AN32-AQ35,AN32)-IF(COUNTIF('盛付札（関数）'!AN30,"*キャラ*"),
VLOOKUP("*キャラ*",商品マスタ一覧!$D:$J,7,FALSE),
IF(COUNTIF('盛付札（関数）'!AN30,"*赤*"),
VLOOKUP("*赤*",商品マスタ一覧!$D:$J,7,FALSE),
VLOOKUP('盛付札（関数）'!AN30,商品マスタ一覧!$D:$J,7,FALSE)))*AQ30),"")</f>
        <v/>
      </c>
      <c r="AS30" s="129"/>
      <c r="AT30" s="129"/>
      <c r="AU30" s="135" t="e">
        <f t="array" aca="1" ref="AU30" ca="1">IF(AU31&lt;&gt;100,
IF(AV32&lt;&gt;"",MATCH(AV32,INDIRECT("数出表_Excel!B"&amp;MATCH(AZ29,数出表_Excel!$A:$A,0)-1&amp;":U"&amp;MATCH(AZ29,数出表_Excel!$A:$A,0)-1&amp;""),0)+1,""),
IF(AV32&lt;&gt;"",
MATCH(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""),
INDIRECT("数出表_Excel!B"&amp;MATCH(AZ29,数出表_Excel!$A:$A,0)-1&amp;":U"&amp;MATCH(AZ29,数出表_Excel!$A:$A,0)-1&amp;""),0)+1,""))</f>
        <v>#VALUE!</v>
      </c>
      <c r="AV30" s="70" t="str">
        <f t="array" aca="1" ref="AV30" ca="1">IF(COUNTIF(AZ29,"*合計*"),"",
IF(IFERROR(INDIRECT("数出表_Excel!" &amp;
CHAR(MATCH(TRUE,
ISNUMBER(--INDIRECT("数出表_Excel!B"&amp;MATCH(AZ29,数出表_Excel!$A:$A,0)-1&amp;":U"&amp;MATCH(AZ29,数出表_Excel!$A:$A,0)-1&amp;"")),0)+65) &amp; "3"),0)=0,"",
IFERROR(INDIRECT("数出表_Excel!" &amp;
CHAR(MATCH(TRUE,
ISNUMBER(--INDIRECT("数出表_Excel!B"&amp;MATCH(AZ29,数出表_Excel!$A:$A,0)-1&amp;":U"&amp;MATCH(AZ29,数出表_Excel!$A:$A,0)-1&amp;"")),0)+65) &amp; "3"),"")))</f>
        <v/>
      </c>
      <c r="AW30" s="129"/>
      <c r="AX30" s="136" t="str">
        <f ca="1">IF(AY30&lt;&gt;"","",
IF(AV29&lt;&gt;"",
IFERROR(
INDEX('数出表_Excel（アレルギー入力）'!$4:$4,
 1,
MATCH(AV32,INDIRECT("'数出表_Excel（アレルギー入力）'!"&amp;AU29-1&amp;":"&amp;AU29-1&amp;""),0)),
 "")
&amp;IFERROR(
INDEX('数出表_Excel（アレルギー入力）'!$5:$5,
 1,
MATCH(AV32,INDIRECT("'数出表_Excel（アレルギー入力）'!"&amp;AU29-1&amp;":"&amp;AU29-1&amp;""),0)),
 ""),""))</f>
        <v/>
      </c>
      <c r="AY30" s="137" t="str">
        <f t="array" aca="1" ref="AY30" ca="1">IF(AV30&lt;&gt;"",
IF(MATCH(TRUE,
ISNUMBER(--INDIRECT("数出表_Excel!B"&amp;MATCH(AZ29,数出表_Excel!$A:$A,0)-1&amp;":U"&amp;MATCH(AZ29,数出表_Excel!$A:$A,0)-1&amp;"")),0)&gt;10,
IF(AV30&lt;&gt;"",
IF(IF(COUNTIF('盛付札（関数）'!AV30,"*キャラ*"),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VLOOKUP('盛付札（関数）'!AV30,商品マスタ一覧!$D:$J,7,FALSE)))=0,"",
IF(ROUND(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VLOOKUP('盛付札（関数）'!AV30,商品マスタ一覧!$D:$J,7,FALSE))),0)&lt;=0,1,
ROUND(
IF(AY35&lt;&gt;"",(AV32-AY35),AV32)
/IF(COUNTIF('盛付札（関数）'!AV30,"*キャラ*"),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VLOOKUP('盛付札（関数）'!AV30,商品マスタ一覧!$D:$J,7,FALSE))),0))),""),""),"")</f>
        <v/>
      </c>
      <c r="AZ30" s="153" t="str">
        <f ca="1">IF(AY30&lt;&gt;"",IF(VALUE(IF(AY35&lt;&gt;"",AV32-AY35,AV32))&gt;VALUE(IF(COUNTIF('盛付札（関数）'!AV30,"*キャラ*"),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
"+"&amp;IF(AY35&lt;&gt;"",AV32-AY35,AV32)-IF(COUNTIF('盛付札（関数）'!AV30,"*キャラ*"),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VLOOKUP('盛付札（関数）'!AV30,商品マスタ一覧!$D:$J,7,FALSE)))*AY30,
IF(AY35&lt;&gt;"",AV32-AY35,AV32)-IF(COUNTIF('盛付札（関数）'!AV30,"*キャラ*"),
VLOOKUP("*キャラ*",商品マスタ一覧!$D:$J,7,FALSE),
IF(COUNTIF('盛付札（関数）'!AV30,"*赤*"),
VLOOKUP("*赤*",商品マスタ一覧!$D:$J,7,FALSE),
VLOOKUP('盛付札（関数）'!AV30,商品マスタ一覧!$D:$J,7,FALSE)))*AY30),"")</f>
        <v/>
      </c>
      <c r="BA30" s="129"/>
      <c r="BB30" s="135" t="e">
        <f t="array" aca="1" ref="BB30" ca="1">IF(BB31&lt;&gt;100,
IF(BC32&lt;&gt;"",MATCH(BC32,INDIRECT("数出表_Excel!B"&amp;MATCH(BG29,数出表_Excel!$A:$A,0)-1&amp;":U"&amp;MATCH(BG29,数出表_Excel!$A:$A,0)-1&amp;""),0)+1,""),
IF(BC32&lt;&gt;"",
MATCH(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""),
INDIRECT("数出表_Excel!B"&amp;MATCH(BG29,数出表_Excel!$A:$A,0)-1&amp;":U"&amp;MATCH(BG29,数出表_Excel!$A:$A,0)-1&amp;""),0)+1,""))</f>
        <v>#VALUE!</v>
      </c>
      <c r="BC30" s="70" t="str">
        <f t="array" aca="1" ref="BC30" ca="1">IF(COUNTIF(BG29,"*合計*"),"",
IF(IFERROR(INDIRECT("数出表_Excel!" &amp;
CHAR(MATCH(TRUE,
ISNUMBER(--INDIRECT("数出表_Excel!B"&amp;MATCH(BG29,数出表_Excel!$A:$A,0)-1&amp;":U"&amp;MATCH(BG29,数出表_Excel!$A:$A,0)-1&amp;"")),0)+65) &amp; "3"),0)=0,"",
IFERROR(INDIRECT("数出表_Excel!" &amp;
CHAR(MATCH(TRUE,
ISNUMBER(--INDIRECT("数出表_Excel!B"&amp;MATCH(BG29,数出表_Excel!$A:$A,0)-1&amp;":U"&amp;MATCH(BG29,数出表_Excel!$A:$A,0)-1&amp;"")),0)+65) &amp; "3"),"")))</f>
        <v/>
      </c>
      <c r="BD30" s="129"/>
      <c r="BE30" s="136" t="str">
        <f ca="1">IF(BF30&lt;&gt;"","",
IF(BC29&lt;&gt;"",
IFERROR(
INDEX('数出表_Excel（アレルギー入力）'!$4:$4,
 1,
MATCH(BC32,INDIRECT("'数出表_Excel（アレルギー入力）'!"&amp;BB29-1&amp;":"&amp;BB29-1&amp;""),0)),
 "")
&amp;IFERROR(
INDEX('数出表_Excel（アレルギー入力）'!$5:$5,
 1,
MATCH(BC32,INDIRECT("'数出表_Excel（アレルギー入力）'!"&amp;BB29-1&amp;":"&amp;BB29-1&amp;""),0)),
 ""),""))</f>
        <v/>
      </c>
      <c r="BF30" s="137" t="str">
        <f t="array" aca="1" ref="BF30" ca="1">IF(BC30&lt;&gt;"",
IF(MATCH(TRUE,
ISNUMBER(--INDIRECT("数出表_Excel!B"&amp;MATCH(BG29,数出表_Excel!$A:$A,0)-1&amp;":U"&amp;MATCH(BG29,数出表_Excel!$A:$A,0)-1&amp;"")),0)&gt;10,
IF(BC30&lt;&gt;"",
IF(IF(COUNTIF('盛付札（関数）'!BC30,"*キャラ*"),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VLOOKUP('盛付札（関数）'!BC30,商品マスタ一覧!$D:$J,7,FALSE)))=0,"",
IF(ROUND(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VLOOKUP('盛付札（関数）'!BC30,商品マスタ一覧!$D:$J,7,FALSE))),0)&lt;=0,1,
ROUND(
IF(BF35&lt;&gt;"",(BC32-BF35),BC32)
/IF(COUNTIF('盛付札（関数）'!BC30,"*キャラ*"),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VLOOKUP('盛付札（関数）'!BC30,商品マスタ一覧!$D:$J,7,FALSE))),0))),""),""),"")</f>
        <v/>
      </c>
      <c r="BG30" s="153" t="str">
        <f ca="1">IF(BF30&lt;&gt;"",IF(VALUE(IF(BF35&lt;&gt;"",BC32-BF35,BC32))&gt;VALUE(IF(COUNTIF('盛付札（関数）'!BC30,"*キャラ*"),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
"+"&amp;IF(BF35&lt;&gt;"",BC32-BF35,BC32)-IF(COUNTIF('盛付札（関数）'!BC30,"*キャラ*"),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VLOOKUP('盛付札（関数）'!BC30,商品マスタ一覧!$D:$J,7,FALSE)))*BF30,
IF(BF35&lt;&gt;"",BC32-BF35,BC32)-IF(COUNTIF('盛付札（関数）'!BC30,"*キャラ*"),
VLOOKUP("*キャラ*",商品マスタ一覧!$D:$J,7,FALSE),
IF(COUNTIF('盛付札（関数）'!BC30,"*赤*"),
VLOOKUP("*赤*",商品マスタ一覧!$D:$J,7,FALSE),
VLOOKUP('盛付札（関数）'!BC30,商品マスタ一覧!$D:$J,7,FALSE)))*BF30),"")</f>
        <v/>
      </c>
      <c r="BH30" s="129"/>
      <c r="BI30" s="129"/>
      <c r="BJ30" s="135" t="e">
        <f t="array" aca="1" ref="BJ30" ca="1">IF(BJ31&lt;&gt;100,
IF(BK32&lt;&gt;"",MATCH(BK32,INDIRECT("数出表_Excel!B"&amp;MATCH(BO29,数出表_Excel!$A:$A,0)-1&amp;":U"&amp;MATCH(BO29,数出表_Excel!$A:$A,0)-1&amp;""),0)+1,""),
IF(BK32&lt;&gt;"",
MATCH(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""),
INDIRECT("数出表_Excel!B"&amp;MATCH(BO29,数出表_Excel!$A:$A,0)-1&amp;":U"&amp;MATCH(BO29,数出表_Excel!$A:$A,0)-1&amp;""),0)+1,""))</f>
        <v>#VALUE!</v>
      </c>
      <c r="BK30" s="70" t="str">
        <f t="array" aca="1" ref="BK30" ca="1">IF(COUNTIF(BO29,"*合計*"),"",
IF(IFERROR(INDIRECT("数出表_Excel!" &amp;
CHAR(MATCH(TRUE,
ISNUMBER(--INDIRECT("数出表_Excel!B"&amp;MATCH(BO29,数出表_Excel!$A:$A,0)-1&amp;":U"&amp;MATCH(BO29,数出表_Excel!$A:$A,0)-1&amp;"")),0)+65) &amp; "3"),0)=0,"",
IFERROR(INDIRECT("数出表_Excel!" &amp;
CHAR(MATCH(TRUE,
ISNUMBER(--INDIRECT("数出表_Excel!B"&amp;MATCH(BO29,数出表_Excel!$A:$A,0)-1&amp;":U"&amp;MATCH(BO29,数出表_Excel!$A:$A,0)-1&amp;"")),0)+65) &amp; "3"),"")))</f>
        <v/>
      </c>
      <c r="BL30" s="129"/>
      <c r="BM30" s="136" t="str">
        <f ca="1">IF(BN30&lt;&gt;"","",
IF(BK29&lt;&gt;"",
IFERROR(
INDEX('数出表_Excel（アレルギー入力）'!$4:$4,
 1,
MATCH(BK32,INDIRECT("'数出表_Excel（アレルギー入力）'!"&amp;BJ29-1&amp;":"&amp;BJ29-1&amp;""),0)),
 "")
&amp;IFERROR(
INDEX('数出表_Excel（アレルギー入力）'!$5:$5,
 1,
MATCH(BK32,INDIRECT("'数出表_Excel（アレルギー入力）'!"&amp;BJ29-1&amp;":"&amp;BJ29-1&amp;""),0)),
 ""),""))</f>
        <v/>
      </c>
      <c r="BN30" s="137" t="str">
        <f t="array" aca="1" ref="BN30" ca="1">IF(BK30&lt;&gt;"",
IF(MATCH(TRUE,
ISNUMBER(--INDIRECT("数出表_Excel!B"&amp;MATCH(BO29,数出表_Excel!$A:$A,0)-1&amp;":U"&amp;MATCH(BO29,数出表_Excel!$A:$A,0)-1&amp;"")),0)&gt;10,
IF(BK30&lt;&gt;"",
IF(IF(COUNTIF('盛付札（関数）'!BK30,"*キャラ*"),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VLOOKUP('盛付札（関数）'!BK30,商品マスタ一覧!$D:$J,7,FALSE)))=0,"",
IF(ROUND(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VLOOKUP('盛付札（関数）'!BK30,商品マスタ一覧!$D:$J,7,FALSE))),0)&lt;=0,1,
ROUND(
IF(BN35&lt;&gt;"",(BK32-BN35),BK32)
/IF(COUNTIF('盛付札（関数）'!BK30,"*キャラ*"),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VLOOKUP('盛付札（関数）'!BK30,商品マスタ一覧!$D:$J,7,FALSE))),0))),""),""),"")</f>
        <v/>
      </c>
      <c r="BO30" s="153" t="str">
        <f ca="1">IF(BN30&lt;&gt;"",IF(VALUE(IF(BN35&lt;&gt;"",BK32-BN35,BK32))&gt;VALUE(IF(COUNTIF('盛付札（関数）'!BK30,"*キャラ*"),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
"+"&amp;IF(BN35&lt;&gt;"",BK32-BN35,BK32)-IF(COUNTIF('盛付札（関数）'!BK30,"*キャラ*"),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VLOOKUP('盛付札（関数）'!BK30,商品マスタ一覧!$D:$J,7,FALSE)))*BN30,
IF(BN35&lt;&gt;"",BK32-BN35,BK32)-IF(COUNTIF('盛付札（関数）'!BK30,"*キャラ*"),
VLOOKUP("*キャラ*",商品マスタ一覧!$D:$J,7,FALSE),
IF(COUNTIF('盛付札（関数）'!BK30,"*赤*"),
VLOOKUP("*赤*",商品マスタ一覧!$D:$J,7,FALSE),
VLOOKUP('盛付札（関数）'!BK30,商品マスタ一覧!$D:$J,7,FALSE)))*BN30),"")</f>
        <v/>
      </c>
      <c r="BP30" s="129"/>
      <c r="BQ30" s="135" t="e">
        <f t="array" aca="1" ref="BQ30" ca="1">IF(BQ31&lt;&gt;100,
IF(BR32&lt;&gt;"",MATCH(BR32,INDIRECT("数出表_Excel!B"&amp;MATCH(BV29,数出表_Excel!$A:$A,0)-1&amp;":U"&amp;MATCH(BV29,数出表_Excel!$A:$A,0)-1&amp;""),0)+1,""),
IF(BR32&lt;&gt;"",
MATCH(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""),
INDIRECT("数出表_Excel!B"&amp;MATCH(BV29,数出表_Excel!$A:$A,0)-1&amp;":U"&amp;MATCH(BV29,数出表_Excel!$A:$A,0)-1&amp;""),0)+1,""))</f>
        <v>#VALUE!</v>
      </c>
      <c r="BR30" s="70" t="str">
        <f t="array" aca="1" ref="BR30" ca="1">IF(COUNTIF(BV29,"*合計*"),"",
IF(IFERROR(INDIRECT("数出表_Excel!" &amp;
CHAR(MATCH(TRUE,
ISNUMBER(--INDIRECT("数出表_Excel!B"&amp;MATCH(BV29,数出表_Excel!$A:$A,0)-1&amp;":U"&amp;MATCH(BV29,数出表_Excel!$A:$A,0)-1&amp;"")),0)+65) &amp; "3"),0)=0,"",
IFERROR(INDIRECT("数出表_Excel!" &amp;
CHAR(MATCH(TRUE,
ISNUMBER(--INDIRECT("数出表_Excel!B"&amp;MATCH(BV29,数出表_Excel!$A:$A,0)-1&amp;":U"&amp;MATCH(BV29,数出表_Excel!$A:$A,0)-1&amp;"")),0)+65) &amp; "3"),"")))</f>
        <v/>
      </c>
      <c r="BS30" s="129"/>
      <c r="BT30" s="136" t="str">
        <f ca="1">IF(BU30&lt;&gt;"","",
IF(BR29&lt;&gt;"",
IFERROR(
INDEX('数出表_Excel（アレルギー入力）'!$4:$4,
 1,
MATCH(BR32,INDIRECT("'数出表_Excel（アレルギー入力）'!"&amp;BQ29-1&amp;":"&amp;BQ29-1&amp;""),0)),
 "")
&amp;IFERROR(
INDEX('数出表_Excel（アレルギー入力）'!$5:$5,
 1,
MATCH(BR32,INDIRECT("'数出表_Excel（アレルギー入力）'!"&amp;BQ29-1&amp;":"&amp;BQ29-1&amp;""),0)),
 ""),""))</f>
        <v/>
      </c>
      <c r="BU30" s="137" t="str">
        <f t="array" aca="1" ref="BU30" ca="1">IF(BR30&lt;&gt;"",
IF(MATCH(TRUE,
ISNUMBER(--INDIRECT("数出表_Excel!B"&amp;MATCH(BV29,数出表_Excel!$A:$A,0)-1&amp;":U"&amp;MATCH(BV29,数出表_Excel!$A:$A,0)-1&amp;"")),0)&gt;10,
IF(BR30&lt;&gt;"",
IF(IF(COUNTIF('盛付札（関数）'!BR30,"*キャラ*"),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VLOOKUP('盛付札（関数）'!BR30,商品マスタ一覧!$D:$J,7,FALSE)))=0,"",
IF(ROUND(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VLOOKUP('盛付札（関数）'!BR30,商品マスタ一覧!$D:$J,7,FALSE))),0)&lt;=0,1,
ROUND(
IF(BU35&lt;&gt;"",(BR32-BU35),BR32)
/IF(COUNTIF('盛付札（関数）'!BR30,"*キャラ*"),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VLOOKUP('盛付札（関数）'!BR30,商品マスタ一覧!$D:$J,7,FALSE))),0))),""),""),"")</f>
        <v/>
      </c>
      <c r="BV30" s="153" t="str">
        <f ca="1">IF(BU30&lt;&gt;"",IF(VALUE(IF(BU35&lt;&gt;"",BR32-BU35,BR32))&gt;VALUE(IF(COUNTIF('盛付札（関数）'!BR30,"*キャラ*"),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
"+"&amp;IF(BU35&lt;&gt;"",BR32-BU35,BR32)-IF(COUNTIF('盛付札（関数）'!BR30,"*キャラ*"),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VLOOKUP('盛付札（関数）'!BR30,商品マスタ一覧!$D:$J,7,FALSE)))*BU30,
IF(BU35&lt;&gt;"",BR32-BU35,BR32)-IF(COUNTIF('盛付札（関数）'!BR30,"*キャラ*"),
VLOOKUP("*キャラ*",商品マスタ一覧!$D:$J,7,FALSE),
IF(COUNTIF('盛付札（関数）'!BR30,"*赤*"),
VLOOKUP("*赤*",商品マスタ一覧!$D:$J,7,FALSE),
VLOOKUP('盛付札（関数）'!BR30,商品マスタ一覧!$D:$J,7,FALSE)))*BU30),"")</f>
        <v/>
      </c>
      <c r="BW30" s="129"/>
      <c r="BX30" s="132">
        <f>BX26+7</f>
        <v>49</v>
      </c>
      <c r="BY30" s="132" t="str">
        <f t="array" aca="1" ref="BY30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LEN(SUBSTITUTE(_xlfn.FORMULATEXT(BY$25),"=","")))+$BX30)</f>
        <v/>
      </c>
      <c r="BZ30" s="132" t="str">
        <f t="array" aca="1" ref="BZ30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LEN(SUBSTITUTE(_xlfn.FORMULATEXT(BZ$25),"=","")))+$BX30)</f>
        <v/>
      </c>
      <c r="CA30" s="132" t="str">
        <f t="array" aca="1" ref="CA30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LEN(SUBSTITUTE(_xlfn.FORMULATEXT(CA$25),"=","")))+$BX30)</f>
        <v/>
      </c>
      <c r="CB30" s="132" t="str">
        <f t="array" aca="1" ref="CB30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LEN(SUBSTITUTE(_xlfn.FORMULATEXT(CB$25),"=","")))+$BX30)</f>
        <v/>
      </c>
      <c r="CC30" s="132" t="str">
        <f t="array" aca="1" ref="CC30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LEN(SUBSTITUTE(_xlfn.FORMULATEXT(CC$25),"=","")))+$BX30)</f>
        <v/>
      </c>
      <c r="CD30" s="132" t="str">
        <f t="array" aca="1" ref="CD30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LEN(SUBSTITUTE(_xlfn.FORMULATEXT(CD$25),"=","")))+$BX30)</f>
        <v/>
      </c>
      <c r="CE30" s="132" t="str">
        <f t="array" aca="1" ref="CE30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LEN(SUBSTITUTE(_xlfn.FORMULATEXT(CE$25),"=","")))+$BX30)</f>
        <v/>
      </c>
      <c r="CF30" s="132" t="str">
        <f t="array" aca="1" ref="CF30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LEN(SUBSTITUTE(_xlfn.FORMULATEXT(CF$25),"=","")))+$BX30)</f>
        <v/>
      </c>
      <c r="CG30" s="132" t="str">
        <f t="array" aca="1" ref="CG30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LEN(SUBSTITUTE(_xlfn.FORMULATEXT(CG$25),"=","")))+$BX30)</f>
        <v/>
      </c>
      <c r="CH30" s="132" t="str">
        <f t="array" aca="1" ref="CH30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LEN(SUBSTITUTE(_xlfn.FORMULATEXT(CH$25),"=","")))+$BX30)</f>
        <v/>
      </c>
      <c r="CI30" s="132">
        <f t="shared" ca="1" si="0"/>
        <v>0</v>
      </c>
      <c r="CJ30" s="132" t="b">
        <f t="array" aca="1" ref="CJ30" ca="1">SUMPRODUCT((LEN(BY30:CH30)&gt;0)*1)&gt;0</f>
        <v>0</v>
      </c>
      <c r="CK30" s="132" t="str" cm="1">
        <f t="array" aca="1" ref="CK30" ca="1">IFERROR(SMALL(IF(CI$1:CI$150&lt;&gt;0,CI$1:CI$150),ROW(A30)),"")</f>
        <v/>
      </c>
      <c r="CL30" s="132" t="str">
        <f t="array" aca="1" ref="CL30" ca="1">IF($CK30&lt;&gt;"",
INDIRECT(""&amp;IF(COLUMN(BY30)&lt;=26,CHAR(COLUMN(BY30)+64),CHAR(INT((COLUMN(BY30)-1)/26)+64)&amp;CHAR(MOD(COLUMN(BY30)-1,26)+65))&amp;$CK30&amp;""),"")</f>
        <v/>
      </c>
      <c r="CM30" s="132" t="str">
        <f t="array" aca="1" ref="CM30" ca="1">IF($CK30&lt;&gt;"",
INDIRECT(""&amp;IF(COLUMN(BZ30)&lt;=26,CHAR(COLUMN(BZ30)+64),CHAR(INT((COLUMN(BZ30)-1)/26)+64)&amp;CHAR(MOD(COLUMN(BZ30)-1,26)+65))&amp;$CK30&amp;""),"")</f>
        <v/>
      </c>
      <c r="CN30" s="132" t="str">
        <f t="array" aca="1" ref="CN30" ca="1">IF($CK30&lt;&gt;"",
INDIRECT(""&amp;IF(COLUMN(CA30)&lt;=26,CHAR(COLUMN(CA30)+64),CHAR(INT((COLUMN(CA30)-1)/26)+64)&amp;CHAR(MOD(COLUMN(CA30)-1,26)+65))&amp;$CK30&amp;""),"")</f>
        <v/>
      </c>
      <c r="CO30" s="132" t="str">
        <f t="array" aca="1" ref="CO30" ca="1">IF($CK30&lt;&gt;"",
INDIRECT(""&amp;IF(COLUMN(CB30)&lt;=26,CHAR(COLUMN(CB30)+64),CHAR(INT((COLUMN(CB30)-1)/26)+64)&amp;CHAR(MOD(COLUMN(CB30)-1,26)+65))&amp;$CK30&amp;""),"")</f>
        <v/>
      </c>
      <c r="CP30" s="132" t="str">
        <f t="array" aca="1" ref="CP30" ca="1">IF($CK30&lt;&gt;"",
INDIRECT(""&amp;IF(COLUMN(CC30)&lt;=26,CHAR(COLUMN(CC30)+64),CHAR(INT((COLUMN(CC30)-1)/26)+64)&amp;CHAR(MOD(COLUMN(CC30)-1,26)+65))&amp;$CK30&amp;""),"")</f>
        <v/>
      </c>
      <c r="CQ30" s="132" t="str">
        <f t="array" aca="1" ref="CQ30" ca="1">IF($CK30&lt;&gt;"",
INDIRECT(""&amp;IF(COLUMN(CD30)&lt;=26,CHAR(COLUMN(CD30)+64),CHAR(INT((COLUMN(CD30)-1)/26)+64)&amp;CHAR(MOD(COLUMN(CD30)-1,26)+65))&amp;$CK30&amp;""),"")</f>
        <v/>
      </c>
      <c r="CR30" s="132" t="str">
        <f t="array" aca="1" ref="CR30" ca="1">IF($CK30&lt;&gt;"",
INDIRECT(""&amp;IF(COLUMN(CE30)&lt;=26,CHAR(COLUMN(CE30)+64),CHAR(INT((COLUMN(CE30)-1)/26)+64)&amp;CHAR(MOD(COLUMN(CE30)-1,26)+65))&amp;$CK30&amp;""),"")</f>
        <v/>
      </c>
      <c r="CS30" s="132" t="str">
        <f t="array" aca="1" ref="CS30" ca="1">IF($CK30&lt;&gt;"",
INDIRECT(""&amp;IF(COLUMN(CF30)&lt;=26,CHAR(COLUMN(CF30)+64),CHAR(INT((COLUMN(CF30)-1)/26)+64)&amp;CHAR(MOD(COLUMN(CF30)-1,26)+65))&amp;$CK30&amp;""),"")</f>
        <v/>
      </c>
      <c r="CT30" s="132" t="str">
        <f t="array" aca="1" ref="CT30" ca="1">IF($CK30&lt;&gt;"",
INDIRECT(""&amp;IF(COLUMN(CG30)&lt;=26,CHAR(COLUMN(CG30)+64),CHAR(INT((COLUMN(CG30)-1)/26)+64)&amp;CHAR(MOD(COLUMN(CG30)-1,26)+65))&amp;$CK30&amp;""),"")</f>
        <v/>
      </c>
      <c r="CU30" s="132" t="str">
        <f t="array" aca="1" ref="CU30" ca="1">IF($CK30&lt;&gt;"",
INDIRECT(""&amp;IF(COLUMN(CH30)&lt;=26,CHAR(COLUMN(CH30)+64),CHAR(INT((COLUMN(CH30)-1)/26)+64)&amp;CHAR(MOD(COLUMN(CH30)-1,26)+65))&amp;$CK30&amp;""),"")</f>
        <v/>
      </c>
    </row>
    <row r="31" spans="1:99" s="132" customFormat="1" ht="22.2" customHeight="1" x14ac:dyDescent="0.55000000000000004">
      <c r="A31" s="129"/>
      <c r="B31" s="138" t="e">
        <f t="array" aca="1" ref="B31" ca="1">IF(AND(LEFT(G29,2)="博多",
LEFT(INDIRECT("数出表_Excel!A"&amp;MATCH(G29,数出表_Excel!$A:$A,0)-1),2)
=LEFT(INDIRECT("数出表_Excel!A"&amp;MATCH(G29,数出表_Excel!$A:$A,0)+1),2)),100,
IF(AND(LEFT(G29,3)="奈良屋",
LEFT(INDIRECT("数出表_Excel!A"&amp;MATCH(G29,数出表_Excel!$A:$A,0)-1),2)
=LEFT(INDIRECT("数出表_Excel!A"&amp;MATCH(G29,数出表_Excel!$A:$A,0)+1),2)),200,""))</f>
        <v>#VALUE!</v>
      </c>
      <c r="C31" s="139" t="str">
        <f ca="1">IF(C30&lt;&gt;"",
"園児","")</f>
        <v/>
      </c>
      <c r="D31" s="140"/>
      <c r="E31" s="141" t="str">
        <f ca="1">IF(C30&lt;&gt;"",
"先生","")</f>
        <v/>
      </c>
      <c r="F31" s="140"/>
      <c r="G31" s="159"/>
      <c r="H31" s="129"/>
      <c r="I31" s="138" t="e">
        <f t="array" aca="1" ref="I31" ca="1">IF(AND(LEFT(N29,2)="博多",
LEFT(INDIRECT("数出表_Excel!A"&amp;MATCH(N29,数出表_Excel!$A:$A,0)-1),2)
=LEFT(INDIRECT("数出表_Excel!A"&amp;MATCH(N29,数出表_Excel!$A:$A,0)+1),2)),100,
IF(AND(LEFT(N29,3)="奈良屋",
LEFT(INDIRECT("数出表_Excel!A"&amp;MATCH(N29,数出表_Excel!$A:$A,0)-1),2)
=LEFT(INDIRECT("数出表_Excel!A"&amp;MATCH(N29,数出表_Excel!$A:$A,0)+1),2)),200,""))</f>
        <v>#VALUE!</v>
      </c>
      <c r="J31" s="139" t="str">
        <f ca="1">IF(J30&lt;&gt;"",
"園児","")</f>
        <v/>
      </c>
      <c r="K31" s="140"/>
      <c r="L31" s="141" t="str">
        <f ca="1">IF(J30&lt;&gt;"",
"先生","")</f>
        <v/>
      </c>
      <c r="M31" s="140"/>
      <c r="N31" s="154"/>
      <c r="O31" s="129"/>
      <c r="P31" s="129"/>
      <c r="Q31" s="138" t="e">
        <f t="array" aca="1" ref="Q31" ca="1">IF(AND(LEFT(V29,2)="博多",
LEFT(INDIRECT("数出表_Excel!A"&amp;MATCH(V29,数出表_Excel!$A:$A,0)-1),2)
=LEFT(INDIRECT("数出表_Excel!A"&amp;MATCH(V29,数出表_Excel!$A:$A,0)+1),2)),100,
IF(AND(LEFT(V29,3)="奈良屋",
LEFT(INDIRECT("数出表_Excel!A"&amp;MATCH(V29,数出表_Excel!$A:$A,0)-1),2)
=LEFT(INDIRECT("数出表_Excel!A"&amp;MATCH(V29,数出表_Excel!$A:$A,0)+1),2)),200,""))</f>
        <v>#VALUE!</v>
      </c>
      <c r="R31" s="139" t="str">
        <f ca="1">IF(R30&lt;&gt;"",
"園児","")</f>
        <v/>
      </c>
      <c r="S31" s="140"/>
      <c r="T31" s="141" t="str">
        <f ca="1">IF(R30&lt;&gt;"",
"先生","")</f>
        <v/>
      </c>
      <c r="U31" s="140"/>
      <c r="V31" s="154"/>
      <c r="W31" s="129"/>
      <c r="X31" s="138" t="e">
        <f t="array" aca="1" ref="X31" ca="1">IF(AND(LEFT(AC29,2)="博多",
LEFT(INDIRECT("数出表_Excel!A"&amp;MATCH(AC29,数出表_Excel!$A:$A,0)-1),2)
=LEFT(INDIRECT("数出表_Excel!A"&amp;MATCH(AC29,数出表_Excel!$A:$A,0)+1),2)),100,
IF(AND(LEFT(AC29,3)="奈良屋",
LEFT(INDIRECT("数出表_Excel!A"&amp;MATCH(AC29,数出表_Excel!$A:$A,0)-1),2)
=LEFT(INDIRECT("数出表_Excel!A"&amp;MATCH(AC29,数出表_Excel!$A:$A,0)+1),2)),200,""))</f>
        <v>#VALUE!</v>
      </c>
      <c r="Y31" s="139" t="str">
        <f ca="1">IF(Y30&lt;&gt;"",
"園児","")</f>
        <v/>
      </c>
      <c r="Z31" s="140"/>
      <c r="AA31" s="141" t="str">
        <f ca="1">IF(Y30&lt;&gt;"",
"先生","")</f>
        <v/>
      </c>
      <c r="AB31" s="140"/>
      <c r="AC31" s="154"/>
      <c r="AD31" s="129"/>
      <c r="AE31" s="129"/>
      <c r="AF31" s="138" t="e">
        <f t="array" aca="1" ref="AF31" ca="1">IF(AND(LEFT(AK29,2)="博多",
LEFT(INDIRECT("数出表_Excel!A"&amp;MATCH(AK29,数出表_Excel!$A:$A,0)-1),2)
=LEFT(INDIRECT("数出表_Excel!A"&amp;MATCH(AK29,数出表_Excel!$A:$A,0)+1),2)),100,
IF(AND(LEFT(AK29,3)="奈良屋",
LEFT(INDIRECT("数出表_Excel!A"&amp;MATCH(AK29,数出表_Excel!$A:$A,0)-1),2)
=LEFT(INDIRECT("数出表_Excel!A"&amp;MATCH(AK29,数出表_Excel!$A:$A,0)+1),2)),200,""))</f>
        <v>#VALUE!</v>
      </c>
      <c r="AG31" s="139" t="str">
        <f ca="1">IF(AG30&lt;&gt;"",
"園児","")</f>
        <v/>
      </c>
      <c r="AH31" s="140"/>
      <c r="AI31" s="141" t="str">
        <f ca="1">IF(AG30&lt;&gt;"",
"先生","")</f>
        <v/>
      </c>
      <c r="AJ31" s="140"/>
      <c r="AK31" s="154"/>
      <c r="AL31" s="129"/>
      <c r="AM31" s="138" t="e">
        <f t="array" aca="1" ref="AM31" ca="1">IF(AND(LEFT(AR29,2)="博多",
LEFT(INDIRECT("数出表_Excel!A"&amp;MATCH(AR29,数出表_Excel!$A:$A,0)-1),2)
=LEFT(INDIRECT("数出表_Excel!A"&amp;MATCH(AR29,数出表_Excel!$A:$A,0)+1),2)),100,
IF(AND(LEFT(AR29,3)="奈良屋",
LEFT(INDIRECT("数出表_Excel!A"&amp;MATCH(AR29,数出表_Excel!$A:$A,0)-1),2)
=LEFT(INDIRECT("数出表_Excel!A"&amp;MATCH(AR29,数出表_Excel!$A:$A,0)+1),2)),200,""))</f>
        <v>#VALUE!</v>
      </c>
      <c r="AN31" s="139" t="str">
        <f ca="1">IF(AN30&lt;&gt;"",
"園児","")</f>
        <v/>
      </c>
      <c r="AO31" s="140"/>
      <c r="AP31" s="141" t="str">
        <f ca="1">IF(AN30&lt;&gt;"",
"先生","")</f>
        <v/>
      </c>
      <c r="AQ31" s="140"/>
      <c r="AR31" s="154"/>
      <c r="AS31" s="129"/>
      <c r="AT31" s="129"/>
      <c r="AU31" s="138" t="e">
        <f t="array" aca="1" ref="AU31" ca="1">IF(AND(LEFT(AZ29,2)="博多",
LEFT(INDIRECT("数出表_Excel!A"&amp;MATCH(AZ29,数出表_Excel!$A:$A,0)-1),2)
=LEFT(INDIRECT("数出表_Excel!A"&amp;MATCH(AZ29,数出表_Excel!$A:$A,0)+1),2)),100,
IF(AND(LEFT(AZ29,3)="奈良屋",
LEFT(INDIRECT("数出表_Excel!A"&amp;MATCH(AZ29,数出表_Excel!$A:$A,0)-1),2)
=LEFT(INDIRECT("数出表_Excel!A"&amp;MATCH(AZ29,数出表_Excel!$A:$A,0)+1),2)),200,""))</f>
        <v>#VALUE!</v>
      </c>
      <c r="AV31" s="139" t="str">
        <f ca="1">IF(AV30&lt;&gt;"",
"園児","")</f>
        <v/>
      </c>
      <c r="AW31" s="140"/>
      <c r="AX31" s="141" t="str">
        <f ca="1">IF(AV30&lt;&gt;"",
"先生","")</f>
        <v/>
      </c>
      <c r="AY31" s="140"/>
      <c r="AZ31" s="154"/>
      <c r="BA31" s="129"/>
      <c r="BB31" s="138" t="e">
        <f t="array" aca="1" ref="BB31" ca="1">IF(AND(LEFT(BG29,2)="博多",
LEFT(INDIRECT("数出表_Excel!A"&amp;MATCH(BG29,数出表_Excel!$A:$A,0)-1),2)
=LEFT(INDIRECT("数出表_Excel!A"&amp;MATCH(BG29,数出表_Excel!$A:$A,0)+1),2)),100,
IF(AND(LEFT(BG29,3)="奈良屋",
LEFT(INDIRECT("数出表_Excel!A"&amp;MATCH(BG29,数出表_Excel!$A:$A,0)-1),2)
=LEFT(INDIRECT("数出表_Excel!A"&amp;MATCH(BG29,数出表_Excel!$A:$A,0)+1),2)),200,""))</f>
        <v>#VALUE!</v>
      </c>
      <c r="BC31" s="139" t="str">
        <f ca="1">IF(BC30&lt;&gt;"",
"園児","")</f>
        <v/>
      </c>
      <c r="BD31" s="140"/>
      <c r="BE31" s="141" t="str">
        <f ca="1">IF(BC30&lt;&gt;"",
"先生","")</f>
        <v/>
      </c>
      <c r="BF31" s="140"/>
      <c r="BG31" s="154"/>
      <c r="BH31" s="129"/>
      <c r="BI31" s="129"/>
      <c r="BJ31" s="138" t="e">
        <f t="array" aca="1" ref="BJ31" ca="1">IF(AND(LEFT(BO29,2)="博多",
LEFT(INDIRECT("数出表_Excel!A"&amp;MATCH(BO29,数出表_Excel!$A:$A,0)-1),2)
=LEFT(INDIRECT("数出表_Excel!A"&amp;MATCH(BO29,数出表_Excel!$A:$A,0)+1),2)),100,
IF(AND(LEFT(BO29,3)="奈良屋",
LEFT(INDIRECT("数出表_Excel!A"&amp;MATCH(BO29,数出表_Excel!$A:$A,0)-1),2)
=LEFT(INDIRECT("数出表_Excel!A"&amp;MATCH(BO29,数出表_Excel!$A:$A,0)+1),2)),200,""))</f>
        <v>#VALUE!</v>
      </c>
      <c r="BK31" s="139" t="str">
        <f ca="1">IF(BK30&lt;&gt;"",
"園児","")</f>
        <v/>
      </c>
      <c r="BL31" s="140"/>
      <c r="BM31" s="141" t="str">
        <f ca="1">IF(BK30&lt;&gt;"",
"先生","")</f>
        <v/>
      </c>
      <c r="BN31" s="140"/>
      <c r="BO31" s="154"/>
      <c r="BP31" s="129"/>
      <c r="BQ31" s="138" t="e">
        <f t="array" aca="1" ref="BQ31" ca="1">IF(AND(LEFT(BV29,2)="博多",
LEFT(INDIRECT("数出表_Excel!A"&amp;MATCH(BV29,数出表_Excel!$A:$A,0)-1),2)
=LEFT(INDIRECT("数出表_Excel!A"&amp;MATCH(BV29,数出表_Excel!$A:$A,0)+1),2)),100,
IF(AND(LEFT(BV29,3)="奈良屋",
LEFT(INDIRECT("数出表_Excel!A"&amp;MATCH(BV29,数出表_Excel!$A:$A,0)-1),2)
=LEFT(INDIRECT("数出表_Excel!A"&amp;MATCH(BV29,数出表_Excel!$A:$A,0)+1),2)),200,""))</f>
        <v>#VALUE!</v>
      </c>
      <c r="BR31" s="139" t="str">
        <f ca="1">IF(BR30&lt;&gt;"",
"園児","")</f>
        <v/>
      </c>
      <c r="BS31" s="140"/>
      <c r="BT31" s="141" t="str">
        <f ca="1">IF(BR30&lt;&gt;"",
"先生","")</f>
        <v/>
      </c>
      <c r="BU31" s="140"/>
      <c r="BV31" s="154"/>
      <c r="BW31" s="129"/>
      <c r="BX31" s="132">
        <v>7</v>
      </c>
      <c r="BY31" s="132" t="str">
        <f t="array" aca="1" ref="BY31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LEN(SUBSTITUTE(_xlfn.FORMULATEXT(BY$27),"=","")))+$BX31)</f>
        <v/>
      </c>
      <c r="BZ31" s="132" t="str">
        <f t="array" aca="1" ref="BZ31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LEN(SUBSTITUTE(_xlfn.FORMULATEXT(BZ$27),"=","")))+$BX31)</f>
        <v/>
      </c>
      <c r="CA31" s="132" t="str">
        <f t="array" aca="1" ref="CA31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LEN(SUBSTITUTE(_xlfn.FORMULATEXT(CA$27),"=","")))+$BX31)</f>
        <v/>
      </c>
      <c r="CB31" s="132" t="str">
        <f t="array" aca="1" ref="CB31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LEN(SUBSTITUTE(_xlfn.FORMULATEXT(CB$27),"=","")))+$BX31)</f>
        <v/>
      </c>
      <c r="CC31" s="132" t="str">
        <f t="array" aca="1" ref="CC31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LEN(SUBSTITUTE(_xlfn.FORMULATEXT(CC$27),"=","")))+$BX31)</f>
        <v/>
      </c>
      <c r="CD31" s="132" t="str">
        <f t="array" aca="1" ref="CD31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LEN(SUBSTITUTE(_xlfn.FORMULATEXT(CD$27),"=","")))+$BX31)</f>
        <v/>
      </c>
      <c r="CE31" s="132" t="str">
        <f t="array" aca="1" ref="CE31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LEN(SUBSTITUTE(_xlfn.FORMULATEXT(CE$27),"=","")))+$BX31)</f>
        <v/>
      </c>
      <c r="CF31" s="132" t="str">
        <f t="array" aca="1" ref="CF31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LEN(SUBSTITUTE(_xlfn.FORMULATEXT(CF$27),"=","")))+$BX31)</f>
        <v/>
      </c>
      <c r="CG31" s="132" t="str">
        <f t="array" aca="1" ref="CG31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LEN(SUBSTITUTE(_xlfn.FORMULATEXT(CG$27),"=","")))+$BX31)</f>
        <v/>
      </c>
      <c r="CH31" s="132" t="str">
        <f t="array" aca="1" ref="CH31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LEN(SUBSTITUTE(_xlfn.FORMULATEXT(CH$27),"=","")))+$BX31)</f>
        <v/>
      </c>
      <c r="CI31" s="132">
        <f t="shared" ca="1" si="0"/>
        <v>0</v>
      </c>
      <c r="CJ31" s="132" t="b">
        <f t="array" aca="1" ref="CJ31" ca="1">SUMPRODUCT((LEN(BY31:CH31)&gt;0)*1)&gt;0</f>
        <v>0</v>
      </c>
      <c r="CK31" s="132" t="str" cm="1">
        <f t="array" aca="1" ref="CK31" ca="1">IFERROR(SMALL(IF(CI$1:CI$150&lt;&gt;0,CI$1:CI$150),ROW(A31)),"")</f>
        <v/>
      </c>
      <c r="CL31" s="132" t="str">
        <f t="array" aca="1" ref="CL31" ca="1">IF($CK31&lt;&gt;"",
INDIRECT(""&amp;IF(COLUMN(BY31)&lt;=26,CHAR(COLUMN(BY31)+64),CHAR(INT((COLUMN(BY31)-1)/26)+64)&amp;CHAR(MOD(COLUMN(BY31)-1,26)+65))&amp;$CK31&amp;""),"")</f>
        <v/>
      </c>
      <c r="CM31" s="132" t="str">
        <f t="array" aca="1" ref="CM31" ca="1">IF($CK31&lt;&gt;"",
INDIRECT(""&amp;IF(COLUMN(BZ31)&lt;=26,CHAR(COLUMN(BZ31)+64),CHAR(INT((COLUMN(BZ31)-1)/26)+64)&amp;CHAR(MOD(COLUMN(BZ31)-1,26)+65))&amp;$CK31&amp;""),"")</f>
        <v/>
      </c>
      <c r="CN31" s="132" t="str">
        <f t="array" aca="1" ref="CN31" ca="1">IF($CK31&lt;&gt;"",
INDIRECT(""&amp;IF(COLUMN(CA31)&lt;=26,CHAR(COLUMN(CA31)+64),CHAR(INT((COLUMN(CA31)-1)/26)+64)&amp;CHAR(MOD(COLUMN(CA31)-1,26)+65))&amp;$CK31&amp;""),"")</f>
        <v/>
      </c>
      <c r="CO31" s="132" t="str">
        <f t="array" aca="1" ref="CO31" ca="1">IF($CK31&lt;&gt;"",
INDIRECT(""&amp;IF(COLUMN(CB31)&lt;=26,CHAR(COLUMN(CB31)+64),CHAR(INT((COLUMN(CB31)-1)/26)+64)&amp;CHAR(MOD(COLUMN(CB31)-1,26)+65))&amp;$CK31&amp;""),"")</f>
        <v/>
      </c>
      <c r="CP31" s="132" t="str">
        <f t="array" aca="1" ref="CP31" ca="1">IF($CK31&lt;&gt;"",
INDIRECT(""&amp;IF(COLUMN(CC31)&lt;=26,CHAR(COLUMN(CC31)+64),CHAR(INT((COLUMN(CC31)-1)/26)+64)&amp;CHAR(MOD(COLUMN(CC31)-1,26)+65))&amp;$CK31&amp;""),"")</f>
        <v/>
      </c>
      <c r="CQ31" s="132" t="str">
        <f t="array" aca="1" ref="CQ31" ca="1">IF($CK31&lt;&gt;"",
INDIRECT(""&amp;IF(COLUMN(CD31)&lt;=26,CHAR(COLUMN(CD31)+64),CHAR(INT((COLUMN(CD31)-1)/26)+64)&amp;CHAR(MOD(COLUMN(CD31)-1,26)+65))&amp;$CK31&amp;""),"")</f>
        <v/>
      </c>
      <c r="CR31" s="132" t="str">
        <f t="array" aca="1" ref="CR31" ca="1">IF($CK31&lt;&gt;"",
INDIRECT(""&amp;IF(COLUMN(CE31)&lt;=26,CHAR(COLUMN(CE31)+64),CHAR(INT((COLUMN(CE31)-1)/26)+64)&amp;CHAR(MOD(COLUMN(CE31)-1,26)+65))&amp;$CK31&amp;""),"")</f>
        <v/>
      </c>
      <c r="CS31" s="132" t="str">
        <f t="array" aca="1" ref="CS31" ca="1">IF($CK31&lt;&gt;"",
INDIRECT(""&amp;IF(COLUMN(CF31)&lt;=26,CHAR(COLUMN(CF31)+64),CHAR(INT((COLUMN(CF31)-1)/26)+64)&amp;CHAR(MOD(COLUMN(CF31)-1,26)+65))&amp;$CK31&amp;""),"")</f>
        <v/>
      </c>
      <c r="CT31" s="132" t="str">
        <f t="array" aca="1" ref="CT31" ca="1">IF($CK31&lt;&gt;"",
INDIRECT(""&amp;IF(COLUMN(CG31)&lt;=26,CHAR(COLUMN(CG31)+64),CHAR(INT((COLUMN(CG31)-1)/26)+64)&amp;CHAR(MOD(COLUMN(CG31)-1,26)+65))&amp;$CK31&amp;""),"")</f>
        <v/>
      </c>
      <c r="CU31" s="132" t="str">
        <f t="array" aca="1" ref="CU31" ca="1">IF($CK31&lt;&gt;"",
INDIRECT(""&amp;IF(COLUMN(CH31)&lt;=26,CHAR(COLUMN(CH31)+64),CHAR(INT((COLUMN(CH31)-1)/26)+64)&amp;CHAR(MOD(COLUMN(CH31)-1,26)+65))&amp;$CK31&amp;""),"")</f>
        <v/>
      </c>
    </row>
    <row r="32" spans="1:99" ht="18" customHeight="1" x14ac:dyDescent="0.45">
      <c r="B32" s="143"/>
      <c r="C32" s="120" t="str">
        <f t="array" aca="1" ref="C32" ca="1">IF(C30&lt;&gt;"",
IF(IFERROR(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"")=0,"",
IF(B31=100,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IF(AND(B31=200,COUNTIF(数出表_Excel!$A:$A,"*奈良屋*")=2),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""),
IF(AND(B31=200,COUNTIF(数出表_Excel!$A:$A,"*奈良屋*")=3),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
+IFERROR(
INDEX(INDIRECT("数出表_Excel!B"&amp;MATCH(G29,数出表_Excel!$A:$A,0)-1+2&amp;":U"&amp;MATCH(G29,数出表_Excel!$A:$A,0)-1+2&amp;""),
 1,
 MATCH(TRUE, ISNUMBER(--INDIRECT("数出表_Excel!B"&amp;MATCH(G29,数出表_Excel!$A:$A,0)-1+2&amp;":U"&amp;MATCH(G29,数出表_Excel!$A:$A,0)-1+2&amp;"")), 0)),
 "")
+IFERROR(
INDEX(INDIRECT("数出表_Excel!B"&amp;MATCH(G29,数出表_Excel!$A:$A,0)-1+4&amp;":U"&amp;MATCH(G29,数出表_Excel!$A:$A,0)-1+4&amp;""),
 1,
 MATCH(TRUE, ISNUMBER(--INDIRECT("数出表_Excel!B"&amp;MATCH(G29,数出表_Excel!$A:$A,0)-1+4&amp;":U"&amp;MATCH(G29,数出表_Excel!$A:$A,0)-1+4&amp;"")), 0)),
 ""),
IFERROR(
INDEX(INDIRECT("数出表_Excel!B"&amp;MATCH(G29,数出表_Excel!$A:$A,0)-1&amp;":U"&amp;MATCH(G29,数出表_Excel!$A:$A,0)-1&amp;""),
 1,
 MATCH(TRUE, ISNUMBER(--INDIRECT("数出表_Excel!B"&amp;MATCH(G29,数出表_Excel!$A:$A,0)-1&amp;":U"&amp;MATCH(G29,数出表_Excel!$A:$A,0)-1&amp;"")), 0)),
 ""))))),"")</f>
        <v/>
      </c>
      <c r="D32" s="144"/>
      <c r="E32" s="145" t="str">
        <f t="array" aca="1" ref="E32" ca="1">IF(C30&lt;&gt;"",
IF(IFERROR(
INDEX(INDIRECT("数出表_Excel!B"&amp;MATCH(G29,数出表_Excel!$A:$A,0)&amp;":U"&amp;MATCH(G29,数出表_Excel!$A:$A,0)&amp;""),
 1,B30-1),
 "")=0,"",
IFERROR(
INDEX(INDIRECT("数出表_Excel!B"&amp;MATCH(G29,数出表_Excel!$A:$A,0)&amp;":U"&amp;MATCH(G29,数出表_Excel!$A:$A,0)&amp;""),
 1,B30-1),
 "")),"")</f>
        <v/>
      </c>
      <c r="F32" s="144"/>
      <c r="G32" s="159"/>
      <c r="I32" s="143"/>
      <c r="J32" s="120" t="str">
        <f t="array" aca="1" ref="J32" ca="1">IF(J30&lt;&gt;"",
IF(IFERROR(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"")=0,"",
IF(I31=100,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IF(AND(I31=200,COUNTIF(数出表_Excel!$A:$A,"*奈良屋*")=2),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""),
IF(AND(I31=200,COUNTIF(数出表_Excel!$A:$A,"*奈良屋*")=3),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
+IFERROR(
INDEX(INDIRECT("数出表_Excel!B"&amp;MATCH(N29,数出表_Excel!$A:$A,0)-1+2&amp;":U"&amp;MATCH(N29,数出表_Excel!$A:$A,0)-1+2&amp;""),
 1,
 MATCH(TRUE, ISNUMBER(--INDIRECT("数出表_Excel!B"&amp;MATCH(N29,数出表_Excel!$A:$A,0)-1+2&amp;":U"&amp;MATCH(N29,数出表_Excel!$A:$A,0)-1+2&amp;"")), 0)),
 "")
+IFERROR(
INDEX(INDIRECT("数出表_Excel!B"&amp;MATCH(N29,数出表_Excel!$A:$A,0)-1+4&amp;":U"&amp;MATCH(N29,数出表_Excel!$A:$A,0)-1+4&amp;""),
 1,
 MATCH(TRUE, ISNUMBER(--INDIRECT("数出表_Excel!B"&amp;MATCH(N29,数出表_Excel!$A:$A,0)-1+4&amp;":U"&amp;MATCH(N29,数出表_Excel!$A:$A,0)-1+4&amp;"")), 0)),
 ""),
IFERROR(
INDEX(INDIRECT("数出表_Excel!B"&amp;MATCH(N29,数出表_Excel!$A:$A,0)-1&amp;":U"&amp;MATCH(N29,数出表_Excel!$A:$A,0)-1&amp;""),
 1,
 MATCH(TRUE, ISNUMBER(--INDIRECT("数出表_Excel!B"&amp;MATCH(N29,数出表_Excel!$A:$A,0)-1&amp;":U"&amp;MATCH(N29,数出表_Excel!$A:$A,0)-1&amp;"")), 0)),
 ""))))),"")</f>
        <v/>
      </c>
      <c r="K32" s="144"/>
      <c r="L32" s="145" t="str">
        <f t="array" aca="1" ref="L32" ca="1">IF(J30&lt;&gt;"",
IF(IFERROR(
INDEX(INDIRECT("数出表_Excel!B"&amp;MATCH(N29,数出表_Excel!$A:$A,0)&amp;":U"&amp;MATCH(N29,数出表_Excel!$A:$A,0)&amp;""),
 1,I30-1),
 "")=0,"",
IFERROR(
INDEX(INDIRECT("数出表_Excel!B"&amp;MATCH(N29,数出表_Excel!$A:$A,0)&amp;":U"&amp;MATCH(N29,数出表_Excel!$A:$A,0)&amp;""),
 1,I30-1),
 "")),"")</f>
        <v/>
      </c>
      <c r="M32" s="144"/>
      <c r="N32" s="154"/>
      <c r="Q32" s="143"/>
      <c r="R32" s="120" t="str">
        <f t="array" aca="1" ref="R32" ca="1">IF(R30&lt;&gt;"",
IF(IFERROR(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"")=0,"",
IF(Q31=100,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IF(AND(Q31=200,COUNTIF(数出表_Excel!$A:$A,"*奈良屋*")=2),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""),
IF(AND(Q31=200,COUNTIF(数出表_Excel!$A:$A,"*奈良屋*")=3),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
+IFERROR(
INDEX(INDIRECT("数出表_Excel!B"&amp;MATCH(V29,数出表_Excel!$A:$A,0)-1+2&amp;":U"&amp;MATCH(V29,数出表_Excel!$A:$A,0)-1+2&amp;""),
 1,
 MATCH(TRUE, ISNUMBER(--INDIRECT("数出表_Excel!B"&amp;MATCH(V29,数出表_Excel!$A:$A,0)-1+2&amp;":U"&amp;MATCH(V29,数出表_Excel!$A:$A,0)-1+2&amp;"")), 0)),
 "")
+IFERROR(
INDEX(INDIRECT("数出表_Excel!B"&amp;MATCH(V29,数出表_Excel!$A:$A,0)-1+4&amp;":U"&amp;MATCH(V29,数出表_Excel!$A:$A,0)-1+4&amp;""),
 1,
 MATCH(TRUE, ISNUMBER(--INDIRECT("数出表_Excel!B"&amp;MATCH(V29,数出表_Excel!$A:$A,0)-1+4&amp;":U"&amp;MATCH(V29,数出表_Excel!$A:$A,0)-1+4&amp;"")), 0)),
 ""),
IFERROR(
INDEX(INDIRECT("数出表_Excel!B"&amp;MATCH(V29,数出表_Excel!$A:$A,0)-1&amp;":U"&amp;MATCH(V29,数出表_Excel!$A:$A,0)-1&amp;""),
 1,
 MATCH(TRUE, ISNUMBER(--INDIRECT("数出表_Excel!B"&amp;MATCH(V29,数出表_Excel!$A:$A,0)-1&amp;":U"&amp;MATCH(V29,数出表_Excel!$A:$A,0)-1&amp;"")), 0)),
 ""))))),"")</f>
        <v/>
      </c>
      <c r="S32" s="144"/>
      <c r="T32" s="145" t="str">
        <f t="array" aca="1" ref="T32" ca="1">IF(R30&lt;&gt;"",
IF(IFERROR(
INDEX(INDIRECT("数出表_Excel!B"&amp;MATCH(V29,数出表_Excel!$A:$A,0)&amp;":U"&amp;MATCH(V29,数出表_Excel!$A:$A,0)&amp;""),
 1,Q30-1),
 "")=0,"",
IFERROR(
INDEX(INDIRECT("数出表_Excel!B"&amp;MATCH(V29,数出表_Excel!$A:$A,0)&amp;":U"&amp;MATCH(V29,数出表_Excel!$A:$A,0)&amp;""),
 1,Q30-1),
 "")),"")</f>
        <v/>
      </c>
      <c r="U32" s="144"/>
      <c r="V32" s="154"/>
      <c r="X32" s="143"/>
      <c r="Y32" s="120" t="str">
        <f t="array" aca="1" ref="Y32" ca="1">IF(Y30&lt;&gt;"",
IF(IFERROR(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"")=0,"",
IF(X31=100,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IF(AND(X31=200,COUNTIF(数出表_Excel!$A:$A,"*奈良屋*")=2),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""),
IF(AND(X31=200,COUNTIF(数出表_Excel!$A:$A,"*奈良屋*")=3),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
+IFERROR(
INDEX(INDIRECT("数出表_Excel!B"&amp;MATCH(AC29,数出表_Excel!$A:$A,0)-1+2&amp;":U"&amp;MATCH(AC29,数出表_Excel!$A:$A,0)-1+2&amp;""),
 1,
 MATCH(TRUE, ISNUMBER(--INDIRECT("数出表_Excel!B"&amp;MATCH(AC29,数出表_Excel!$A:$A,0)-1+2&amp;":U"&amp;MATCH(AC29,数出表_Excel!$A:$A,0)-1+2&amp;"")), 0)),
 "")
+IFERROR(
INDEX(INDIRECT("数出表_Excel!B"&amp;MATCH(AC29,数出表_Excel!$A:$A,0)-1+4&amp;":U"&amp;MATCH(AC29,数出表_Excel!$A:$A,0)-1+4&amp;""),
 1,
 MATCH(TRUE, ISNUMBER(--INDIRECT("数出表_Excel!B"&amp;MATCH(AC29,数出表_Excel!$A:$A,0)-1+4&amp;":U"&amp;MATCH(AC29,数出表_Excel!$A:$A,0)-1+4&amp;"")), 0)),
 ""),
IFERROR(
INDEX(INDIRECT("数出表_Excel!B"&amp;MATCH(AC29,数出表_Excel!$A:$A,0)-1&amp;":U"&amp;MATCH(AC29,数出表_Excel!$A:$A,0)-1&amp;""),
 1,
 MATCH(TRUE, ISNUMBER(--INDIRECT("数出表_Excel!B"&amp;MATCH(AC29,数出表_Excel!$A:$A,0)-1&amp;":U"&amp;MATCH(AC29,数出表_Excel!$A:$A,0)-1&amp;"")), 0)),
 ""))))),"")</f>
        <v/>
      </c>
      <c r="Z32" s="144"/>
      <c r="AA32" s="145" t="str">
        <f t="array" aca="1" ref="AA32" ca="1">IF(Y30&lt;&gt;"",
IF(IFERROR(
INDEX(INDIRECT("数出表_Excel!B"&amp;MATCH(AC29,数出表_Excel!$A:$A,0)&amp;":U"&amp;MATCH(AC29,数出表_Excel!$A:$A,0)&amp;""),
 1,X30-1),
 "")=0,"",
IFERROR(
INDEX(INDIRECT("数出表_Excel!B"&amp;MATCH(AC29,数出表_Excel!$A:$A,0)&amp;":U"&amp;MATCH(AC29,数出表_Excel!$A:$A,0)&amp;""),
 1,X30-1),
 "")),"")</f>
        <v/>
      </c>
      <c r="AB32" s="144"/>
      <c r="AC32" s="154"/>
      <c r="AF32" s="143"/>
      <c r="AG32" s="120" t="str">
        <f t="array" aca="1" ref="AG32" ca="1">IF(AG30&lt;&gt;"",
IF(IFERROR(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"")=0,"",
IF(AF31=100,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IF(AND(AF31=200,COUNTIF(数出表_Excel!$A:$A,"*奈良屋*")=2),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""),
IF(AND(AF31=200,COUNTIF(数出表_Excel!$A:$A,"*奈良屋*")=3),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
+IFERROR(
INDEX(INDIRECT("数出表_Excel!B"&amp;MATCH(AK29,数出表_Excel!$A:$A,0)-1+2&amp;":U"&amp;MATCH(AK29,数出表_Excel!$A:$A,0)-1+2&amp;""),
 1,
 MATCH(TRUE, ISNUMBER(--INDIRECT("数出表_Excel!B"&amp;MATCH(AK29,数出表_Excel!$A:$A,0)-1+2&amp;":U"&amp;MATCH(AK29,数出表_Excel!$A:$A,0)-1+2&amp;"")), 0)),
 "")
+IFERROR(
INDEX(INDIRECT("数出表_Excel!B"&amp;MATCH(AK29,数出表_Excel!$A:$A,0)-1+4&amp;":U"&amp;MATCH(AK29,数出表_Excel!$A:$A,0)-1+4&amp;""),
 1,
 MATCH(TRUE, ISNUMBER(--INDIRECT("数出表_Excel!B"&amp;MATCH(AK29,数出表_Excel!$A:$A,0)-1+4&amp;":U"&amp;MATCH(AK29,数出表_Excel!$A:$A,0)-1+4&amp;"")), 0)),
 ""),
IFERROR(
INDEX(INDIRECT("数出表_Excel!B"&amp;MATCH(AK29,数出表_Excel!$A:$A,0)-1&amp;":U"&amp;MATCH(AK29,数出表_Excel!$A:$A,0)-1&amp;""),
 1,
 MATCH(TRUE, ISNUMBER(--INDIRECT("数出表_Excel!B"&amp;MATCH(AK29,数出表_Excel!$A:$A,0)-1&amp;":U"&amp;MATCH(AK29,数出表_Excel!$A:$A,0)-1&amp;"")), 0)),
 ""))))),"")</f>
        <v/>
      </c>
      <c r="AH32" s="144"/>
      <c r="AI32" s="145" t="str">
        <f t="array" aca="1" ref="AI32" ca="1">IF(AG30&lt;&gt;"",
IF(IFERROR(
INDEX(INDIRECT("数出表_Excel!B"&amp;MATCH(AK29,数出表_Excel!$A:$A,0)&amp;":U"&amp;MATCH(AK29,数出表_Excel!$A:$A,0)&amp;""),
 1,AF30-1),
 "")=0,"",
IFERROR(
INDEX(INDIRECT("数出表_Excel!B"&amp;MATCH(AK29,数出表_Excel!$A:$A,0)&amp;":U"&amp;MATCH(AK29,数出表_Excel!$A:$A,0)&amp;""),
 1,AF30-1),
 "")),"")</f>
        <v/>
      </c>
      <c r="AJ32" s="144"/>
      <c r="AK32" s="154"/>
      <c r="AM32" s="143"/>
      <c r="AN32" s="120" t="str">
        <f t="array" aca="1" ref="AN32" ca="1">IF(AN30&lt;&gt;"",
IF(IFERROR(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"")=0,"",
IF(AM31=100,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IF(AND(AM31=200,COUNTIF(数出表_Excel!$A:$A,"*奈良屋*")=2),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""),
IF(AND(AM31=200,COUNTIF(数出表_Excel!$A:$A,"*奈良屋*")=3),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
+IFERROR(
INDEX(INDIRECT("数出表_Excel!B"&amp;MATCH(AR29,数出表_Excel!$A:$A,0)-1+2&amp;":U"&amp;MATCH(AR29,数出表_Excel!$A:$A,0)-1+2&amp;""),
 1,
 MATCH(TRUE, ISNUMBER(--INDIRECT("数出表_Excel!B"&amp;MATCH(AR29,数出表_Excel!$A:$A,0)-1+2&amp;":U"&amp;MATCH(AR29,数出表_Excel!$A:$A,0)-1+2&amp;"")), 0)),
 "")
+IFERROR(
INDEX(INDIRECT("数出表_Excel!B"&amp;MATCH(AR29,数出表_Excel!$A:$A,0)-1+4&amp;":U"&amp;MATCH(AR29,数出表_Excel!$A:$A,0)-1+4&amp;""),
 1,
 MATCH(TRUE, ISNUMBER(--INDIRECT("数出表_Excel!B"&amp;MATCH(AR29,数出表_Excel!$A:$A,0)-1+4&amp;":U"&amp;MATCH(AR29,数出表_Excel!$A:$A,0)-1+4&amp;"")), 0)),
 ""),
IFERROR(
INDEX(INDIRECT("数出表_Excel!B"&amp;MATCH(AR29,数出表_Excel!$A:$A,0)-1&amp;":U"&amp;MATCH(AR29,数出表_Excel!$A:$A,0)-1&amp;""),
 1,
 MATCH(TRUE, ISNUMBER(--INDIRECT("数出表_Excel!B"&amp;MATCH(AR29,数出表_Excel!$A:$A,0)-1&amp;":U"&amp;MATCH(AR29,数出表_Excel!$A:$A,0)-1&amp;"")), 0)),
 ""))))),"")</f>
        <v/>
      </c>
      <c r="AO32" s="144"/>
      <c r="AP32" s="145" t="str">
        <f t="array" aca="1" ref="AP32" ca="1">IF(AN30&lt;&gt;"",
IF(IFERROR(
INDEX(INDIRECT("数出表_Excel!B"&amp;MATCH(AR29,数出表_Excel!$A:$A,0)&amp;":U"&amp;MATCH(AR29,数出表_Excel!$A:$A,0)&amp;""),
 1,AM30-1),
 "")=0,"",
IFERROR(
INDEX(INDIRECT("数出表_Excel!B"&amp;MATCH(AR29,数出表_Excel!$A:$A,0)&amp;":U"&amp;MATCH(AR29,数出表_Excel!$A:$A,0)&amp;""),
 1,AM30-1),
 "")),"")</f>
        <v/>
      </c>
      <c r="AQ32" s="144"/>
      <c r="AR32" s="154"/>
      <c r="AU32" s="143"/>
      <c r="AV32" s="120" t="str">
        <f t="array" aca="1" ref="AV32" ca="1">IF(AV30&lt;&gt;"",
IF(IFERROR(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"")=0,"",
IF(AU31=100,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IF(AND(AU31=200,COUNTIF(数出表_Excel!$A:$A,"*奈良屋*")=2),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""),
IF(AND(AU31=200,COUNTIF(数出表_Excel!$A:$A,"*奈良屋*")=3),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
+IFERROR(
INDEX(INDIRECT("数出表_Excel!B"&amp;MATCH(AZ29,数出表_Excel!$A:$A,0)-1+2&amp;":U"&amp;MATCH(AZ29,数出表_Excel!$A:$A,0)-1+2&amp;""),
 1,
 MATCH(TRUE, ISNUMBER(--INDIRECT("数出表_Excel!B"&amp;MATCH(AZ29,数出表_Excel!$A:$A,0)-1+2&amp;":U"&amp;MATCH(AZ29,数出表_Excel!$A:$A,0)-1+2&amp;"")), 0)),
 "")
+IFERROR(
INDEX(INDIRECT("数出表_Excel!B"&amp;MATCH(AZ29,数出表_Excel!$A:$A,0)-1+4&amp;":U"&amp;MATCH(AZ29,数出表_Excel!$A:$A,0)-1+4&amp;""),
 1,
 MATCH(TRUE, ISNUMBER(--INDIRECT("数出表_Excel!B"&amp;MATCH(AZ29,数出表_Excel!$A:$A,0)-1+4&amp;":U"&amp;MATCH(AZ29,数出表_Excel!$A:$A,0)-1+4&amp;"")), 0)),
 ""),
IFERROR(
INDEX(INDIRECT("数出表_Excel!B"&amp;MATCH(AZ29,数出表_Excel!$A:$A,0)-1&amp;":U"&amp;MATCH(AZ29,数出表_Excel!$A:$A,0)-1&amp;""),
 1,
 MATCH(TRUE, ISNUMBER(--INDIRECT("数出表_Excel!B"&amp;MATCH(AZ29,数出表_Excel!$A:$A,0)-1&amp;":U"&amp;MATCH(AZ29,数出表_Excel!$A:$A,0)-1&amp;"")), 0)),
 ""))))),"")</f>
        <v/>
      </c>
      <c r="AW32" s="144"/>
      <c r="AX32" s="145" t="str">
        <f t="array" aca="1" ref="AX32" ca="1">IF(AV30&lt;&gt;"",
IF(IFERROR(
INDEX(INDIRECT("数出表_Excel!B"&amp;MATCH(AZ29,数出表_Excel!$A:$A,0)&amp;":U"&amp;MATCH(AZ29,数出表_Excel!$A:$A,0)&amp;""),
 1,AU30-1),
 "")=0,"",
IFERROR(
INDEX(INDIRECT("数出表_Excel!B"&amp;MATCH(AZ29,数出表_Excel!$A:$A,0)&amp;":U"&amp;MATCH(AZ29,数出表_Excel!$A:$A,0)&amp;""),
 1,AU30-1),
 "")),"")</f>
        <v/>
      </c>
      <c r="AY32" s="144"/>
      <c r="AZ32" s="154"/>
      <c r="BB32" s="143"/>
      <c r="BC32" s="120" t="str">
        <f t="array" aca="1" ref="BC32" ca="1">IF(BC30&lt;&gt;"",
IF(IFERROR(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"")=0,"",
IF(BB31=100,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IF(AND(BB31=200,COUNTIF(数出表_Excel!$A:$A,"*奈良屋*")=2),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""),
IF(AND(BB31=200,COUNTIF(数出表_Excel!$A:$A,"*奈良屋*")=3),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
+IFERROR(
INDEX(INDIRECT("数出表_Excel!B"&amp;MATCH(BG29,数出表_Excel!$A:$A,0)-1+2&amp;":U"&amp;MATCH(BG29,数出表_Excel!$A:$A,0)-1+2&amp;""),
 1,
 MATCH(TRUE, ISNUMBER(--INDIRECT("数出表_Excel!B"&amp;MATCH(BG29,数出表_Excel!$A:$A,0)-1+2&amp;":U"&amp;MATCH(BG29,数出表_Excel!$A:$A,0)-1+2&amp;"")), 0)),
 "")
+IFERROR(
INDEX(INDIRECT("数出表_Excel!B"&amp;MATCH(BG29,数出表_Excel!$A:$A,0)-1+4&amp;":U"&amp;MATCH(BG29,数出表_Excel!$A:$A,0)-1+4&amp;""),
 1,
 MATCH(TRUE, ISNUMBER(--INDIRECT("数出表_Excel!B"&amp;MATCH(BG29,数出表_Excel!$A:$A,0)-1+4&amp;":U"&amp;MATCH(BG29,数出表_Excel!$A:$A,0)-1+4&amp;"")), 0)),
 ""),
IFERROR(
INDEX(INDIRECT("数出表_Excel!B"&amp;MATCH(BG29,数出表_Excel!$A:$A,0)-1&amp;":U"&amp;MATCH(BG29,数出表_Excel!$A:$A,0)-1&amp;""),
 1,
 MATCH(TRUE, ISNUMBER(--INDIRECT("数出表_Excel!B"&amp;MATCH(BG29,数出表_Excel!$A:$A,0)-1&amp;":U"&amp;MATCH(BG29,数出表_Excel!$A:$A,0)-1&amp;"")), 0)),
 ""))))),"")</f>
        <v/>
      </c>
      <c r="BD32" s="144"/>
      <c r="BE32" s="145" t="str">
        <f t="array" aca="1" ref="BE32" ca="1">IF(BC30&lt;&gt;"",
IF(IFERROR(
INDEX(INDIRECT("数出表_Excel!B"&amp;MATCH(BG29,数出表_Excel!$A:$A,0)&amp;":U"&amp;MATCH(BG29,数出表_Excel!$A:$A,0)&amp;""),
 1,BB30-1),
 "")=0,"",
IFERROR(
INDEX(INDIRECT("数出表_Excel!B"&amp;MATCH(BG29,数出表_Excel!$A:$A,0)&amp;":U"&amp;MATCH(BG29,数出表_Excel!$A:$A,0)&amp;""),
 1,BB30-1),
 "")),"")</f>
        <v/>
      </c>
      <c r="BF32" s="144"/>
      <c r="BG32" s="154"/>
      <c r="BJ32" s="143"/>
      <c r="BK32" s="120" t="str">
        <f t="array" aca="1" ref="BK32" ca="1">IF(BK30&lt;&gt;"",
IF(IFERROR(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"")=0,"",
IF(BJ31=100,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IF(AND(BJ31=200,COUNTIF(数出表_Excel!$A:$A,"*奈良屋*")=2),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""),
IF(AND(BJ31=200,COUNTIF(数出表_Excel!$A:$A,"*奈良屋*")=3),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
+IFERROR(
INDEX(INDIRECT("数出表_Excel!B"&amp;MATCH(BO29,数出表_Excel!$A:$A,0)-1+2&amp;":U"&amp;MATCH(BO29,数出表_Excel!$A:$A,0)-1+2&amp;""),
 1,
 MATCH(TRUE, ISNUMBER(--INDIRECT("数出表_Excel!B"&amp;MATCH(BO29,数出表_Excel!$A:$A,0)-1+2&amp;":U"&amp;MATCH(BO29,数出表_Excel!$A:$A,0)-1+2&amp;"")), 0)),
 "")
+IFERROR(
INDEX(INDIRECT("数出表_Excel!B"&amp;MATCH(BO29,数出表_Excel!$A:$A,0)-1+4&amp;":U"&amp;MATCH(BO29,数出表_Excel!$A:$A,0)-1+4&amp;""),
 1,
 MATCH(TRUE, ISNUMBER(--INDIRECT("数出表_Excel!B"&amp;MATCH(BO29,数出表_Excel!$A:$A,0)-1+4&amp;":U"&amp;MATCH(BO29,数出表_Excel!$A:$A,0)-1+4&amp;"")), 0)),
 ""),
IFERROR(
INDEX(INDIRECT("数出表_Excel!B"&amp;MATCH(BO29,数出表_Excel!$A:$A,0)-1&amp;":U"&amp;MATCH(BO29,数出表_Excel!$A:$A,0)-1&amp;""),
 1,
 MATCH(TRUE, ISNUMBER(--INDIRECT("数出表_Excel!B"&amp;MATCH(BO29,数出表_Excel!$A:$A,0)-1&amp;":U"&amp;MATCH(BO29,数出表_Excel!$A:$A,0)-1&amp;"")), 0)),
 ""))))),"")</f>
        <v/>
      </c>
      <c r="BL32" s="144"/>
      <c r="BM32" s="145" t="str">
        <f t="array" aca="1" ref="BM32" ca="1">IF(BK30&lt;&gt;"",
IF(IFERROR(
INDEX(INDIRECT("数出表_Excel!B"&amp;MATCH(BO29,数出表_Excel!$A:$A,0)&amp;":U"&amp;MATCH(BO29,数出表_Excel!$A:$A,0)&amp;""),
 1,BJ30-1),
 "")=0,"",
IFERROR(
INDEX(INDIRECT("数出表_Excel!B"&amp;MATCH(BO29,数出表_Excel!$A:$A,0)&amp;":U"&amp;MATCH(BO29,数出表_Excel!$A:$A,0)&amp;""),
 1,BJ30-1),
 "")),"")</f>
        <v/>
      </c>
      <c r="BN32" s="144"/>
      <c r="BO32" s="154"/>
      <c r="BQ32" s="143"/>
      <c r="BR32" s="120" t="str">
        <f t="array" aca="1" ref="BR32" ca="1">IF(BR30&lt;&gt;"",
IF(IFERROR(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"")=0,"",
IF(BQ31=100,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IF(AND(BQ31=200,COUNTIF(数出表_Excel!$A:$A,"*奈良屋*")=2),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""),
IF(AND(BQ31=200,COUNTIF(数出表_Excel!$A:$A,"*奈良屋*")=3),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
+IFERROR(
INDEX(INDIRECT("数出表_Excel!B"&amp;MATCH(BV29,数出表_Excel!$A:$A,0)-1+2&amp;":U"&amp;MATCH(BV29,数出表_Excel!$A:$A,0)-1+2&amp;""),
 1,
 MATCH(TRUE, ISNUMBER(--INDIRECT("数出表_Excel!B"&amp;MATCH(BV29,数出表_Excel!$A:$A,0)-1+2&amp;":U"&amp;MATCH(BV29,数出表_Excel!$A:$A,0)-1+2&amp;"")), 0)),
 "")
+IFERROR(
INDEX(INDIRECT("数出表_Excel!B"&amp;MATCH(BV29,数出表_Excel!$A:$A,0)-1+4&amp;":U"&amp;MATCH(BV29,数出表_Excel!$A:$A,0)-1+4&amp;""),
 1,
 MATCH(TRUE, ISNUMBER(--INDIRECT("数出表_Excel!B"&amp;MATCH(BV29,数出表_Excel!$A:$A,0)-1+4&amp;":U"&amp;MATCH(BV29,数出表_Excel!$A:$A,0)-1+4&amp;"")), 0)),
 ""),
IFERROR(
INDEX(INDIRECT("数出表_Excel!B"&amp;MATCH(BV29,数出表_Excel!$A:$A,0)-1&amp;":U"&amp;MATCH(BV29,数出表_Excel!$A:$A,0)-1&amp;""),
 1,
 MATCH(TRUE, ISNUMBER(--INDIRECT("数出表_Excel!B"&amp;MATCH(BV29,数出表_Excel!$A:$A,0)-1&amp;":U"&amp;MATCH(BV29,数出表_Excel!$A:$A,0)-1&amp;"")), 0)),
 ""))))),"")</f>
        <v/>
      </c>
      <c r="BS32" s="144"/>
      <c r="BT32" s="145" t="str">
        <f t="array" aca="1" ref="BT32" ca="1">IF(BR30&lt;&gt;"",
IF(IFERROR(
INDEX(INDIRECT("数出表_Excel!B"&amp;MATCH(BV29,数出表_Excel!$A:$A,0)&amp;":U"&amp;MATCH(BV29,数出表_Excel!$A:$A,0)&amp;""),
 1,BQ30-1),
 "")=0,"",
IFERROR(
INDEX(INDIRECT("数出表_Excel!B"&amp;MATCH(BV29,数出表_Excel!$A:$A,0)&amp;":U"&amp;MATCH(BV29,数出表_Excel!$A:$A,0)&amp;""),
 1,BQ30-1),
 "")),"")</f>
        <v/>
      </c>
      <c r="BU32" s="144"/>
      <c r="BV32" s="154"/>
      <c r="BX32" s="132">
        <f t="shared" ref="BX32:BX48" si="2">BX28+7</f>
        <v>49</v>
      </c>
      <c r="BY32" s="132" t="str">
        <f t="array" aca="1" ref="BY32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LEN(SUBSTITUTE(_xlfn.FORMULATEXT(BY$27),"=","")))+$BX32)</f>
        <v/>
      </c>
      <c r="BZ32" s="132" t="str">
        <f t="array" aca="1" ref="BZ32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LEN(SUBSTITUTE(_xlfn.FORMULATEXT(BZ$27),"=","")))+$BX32)</f>
        <v/>
      </c>
      <c r="CA32" s="132" t="str">
        <f t="array" aca="1" ref="CA32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LEN(SUBSTITUTE(_xlfn.FORMULATEXT(CA$27),"=","")))+$BX32)</f>
        <v/>
      </c>
      <c r="CB32" s="132" t="str">
        <f t="array" aca="1" ref="CB32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LEN(SUBSTITUTE(_xlfn.FORMULATEXT(CB$27),"=","")))+$BX32)</f>
        <v/>
      </c>
      <c r="CC32" s="132" t="str">
        <f t="array" aca="1" ref="CC32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LEN(SUBSTITUTE(_xlfn.FORMULATEXT(CC$27),"=","")))+$BX32)</f>
        <v/>
      </c>
      <c r="CD32" s="132" t="str">
        <f t="array" aca="1" ref="CD32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LEN(SUBSTITUTE(_xlfn.FORMULATEXT(CD$27),"=","")))+$BX32)</f>
        <v/>
      </c>
      <c r="CE32" s="132" t="str">
        <f t="array" aca="1" ref="CE32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LEN(SUBSTITUTE(_xlfn.FORMULATEXT(CE$27),"=","")))+$BX32)</f>
        <v/>
      </c>
      <c r="CF32" s="132" t="str">
        <f t="array" aca="1" ref="CF32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LEN(SUBSTITUTE(_xlfn.FORMULATEXT(CF$27),"=","")))+$BX32)</f>
        <v/>
      </c>
      <c r="CG32" s="132" t="str">
        <f t="array" aca="1" ref="CG32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LEN(SUBSTITUTE(_xlfn.FORMULATEXT(CG$27),"=","")))+$BX32)</f>
        <v/>
      </c>
      <c r="CH32" s="132" t="str">
        <f t="array" aca="1" ref="CH32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LEN(SUBSTITUTE(_xlfn.FORMULATEXT(CH$27),"=","")))+$BX32)</f>
        <v/>
      </c>
      <c r="CI32" s="132">
        <f t="shared" ca="1" si="0"/>
        <v>0</v>
      </c>
      <c r="CJ32" s="132" t="b">
        <f t="array" aca="1" ref="CJ32" ca="1">SUMPRODUCT((LEN(BY32:CH32)&gt;0)*1)&gt;0</f>
        <v>0</v>
      </c>
      <c r="CK32" s="132" t="str" cm="1">
        <f t="array" aca="1" ref="CK32" ca="1">IFERROR(SMALL(IF(CI$1:CI$150&lt;&gt;0,CI$1:CI$150),ROW(A32)),"")</f>
        <v/>
      </c>
      <c r="CL32" s="132" t="str">
        <f t="array" aca="1" ref="CL32" ca="1">IF($CK32&lt;&gt;"",
INDIRECT(""&amp;IF(COLUMN(BY32)&lt;=26,CHAR(COLUMN(BY32)+64),CHAR(INT((COLUMN(BY32)-1)/26)+64)&amp;CHAR(MOD(COLUMN(BY32)-1,26)+65))&amp;$CK32&amp;""),"")</f>
        <v/>
      </c>
      <c r="CM32" s="132" t="str">
        <f t="array" aca="1" ref="CM32" ca="1">IF($CK32&lt;&gt;"",
INDIRECT(""&amp;IF(COLUMN(BZ32)&lt;=26,CHAR(COLUMN(BZ32)+64),CHAR(INT((COLUMN(BZ32)-1)/26)+64)&amp;CHAR(MOD(COLUMN(BZ32)-1,26)+65))&amp;$CK32&amp;""),"")</f>
        <v/>
      </c>
      <c r="CN32" s="132" t="str">
        <f t="array" aca="1" ref="CN32" ca="1">IF($CK32&lt;&gt;"",
INDIRECT(""&amp;IF(COLUMN(CA32)&lt;=26,CHAR(COLUMN(CA32)+64),CHAR(INT((COLUMN(CA32)-1)/26)+64)&amp;CHAR(MOD(COLUMN(CA32)-1,26)+65))&amp;$CK32&amp;""),"")</f>
        <v/>
      </c>
      <c r="CO32" s="132" t="str">
        <f t="array" aca="1" ref="CO32" ca="1">IF($CK32&lt;&gt;"",
INDIRECT(""&amp;IF(COLUMN(CB32)&lt;=26,CHAR(COLUMN(CB32)+64),CHAR(INT((COLUMN(CB32)-1)/26)+64)&amp;CHAR(MOD(COLUMN(CB32)-1,26)+65))&amp;$CK32&amp;""),"")</f>
        <v/>
      </c>
      <c r="CP32" s="132" t="str">
        <f t="array" aca="1" ref="CP32" ca="1">IF($CK32&lt;&gt;"",
INDIRECT(""&amp;IF(COLUMN(CC32)&lt;=26,CHAR(COLUMN(CC32)+64),CHAR(INT((COLUMN(CC32)-1)/26)+64)&amp;CHAR(MOD(COLUMN(CC32)-1,26)+65))&amp;$CK32&amp;""),"")</f>
        <v/>
      </c>
      <c r="CQ32" s="132" t="str">
        <f t="array" aca="1" ref="CQ32" ca="1">IF($CK32&lt;&gt;"",
INDIRECT(""&amp;IF(COLUMN(CD32)&lt;=26,CHAR(COLUMN(CD32)+64),CHAR(INT((COLUMN(CD32)-1)/26)+64)&amp;CHAR(MOD(COLUMN(CD32)-1,26)+65))&amp;$CK32&amp;""),"")</f>
        <v/>
      </c>
      <c r="CR32" s="132" t="str">
        <f t="array" aca="1" ref="CR32" ca="1">IF($CK32&lt;&gt;"",
INDIRECT(""&amp;IF(COLUMN(CE32)&lt;=26,CHAR(COLUMN(CE32)+64),CHAR(INT((COLUMN(CE32)-1)/26)+64)&amp;CHAR(MOD(COLUMN(CE32)-1,26)+65))&amp;$CK32&amp;""),"")</f>
        <v/>
      </c>
      <c r="CS32" s="132" t="str">
        <f t="array" aca="1" ref="CS32" ca="1">IF($CK32&lt;&gt;"",
INDIRECT(""&amp;IF(COLUMN(CF32)&lt;=26,CHAR(COLUMN(CF32)+64),CHAR(INT((COLUMN(CF32)-1)/26)+64)&amp;CHAR(MOD(COLUMN(CF32)-1,26)+65))&amp;$CK32&amp;""),"")</f>
        <v/>
      </c>
      <c r="CT32" s="132" t="str">
        <f t="array" aca="1" ref="CT32" ca="1">IF($CK32&lt;&gt;"",
INDIRECT(""&amp;IF(COLUMN(CG32)&lt;=26,CHAR(COLUMN(CG32)+64),CHAR(INT((COLUMN(CG32)-1)/26)+64)&amp;CHAR(MOD(COLUMN(CG32)-1,26)+65))&amp;$CK32&amp;""),"")</f>
        <v/>
      </c>
      <c r="CU32" s="132" t="str">
        <f t="array" aca="1" ref="CU32" ca="1">IF($CK32&lt;&gt;"",
INDIRECT(""&amp;IF(COLUMN(CH32)&lt;=26,CHAR(COLUMN(CH32)+64),CHAR(INT((COLUMN(CH32)-1)/26)+64)&amp;CHAR(MOD(COLUMN(CH32)-1,26)+65))&amp;$CK32&amp;""),"")</f>
        <v/>
      </c>
    </row>
    <row r="33" spans="1:99" ht="18" customHeight="1" x14ac:dyDescent="0.45">
      <c r="B33" s="147"/>
      <c r="C33" s="148"/>
      <c r="D33" s="148"/>
      <c r="E33" s="148"/>
      <c r="F33" s="148"/>
      <c r="G33" s="160"/>
      <c r="I33" s="147"/>
      <c r="J33" s="148"/>
      <c r="K33" s="148"/>
      <c r="L33" s="148"/>
      <c r="M33" s="148"/>
      <c r="N33" s="155"/>
      <c r="Q33" s="147"/>
      <c r="R33" s="148"/>
      <c r="S33" s="148"/>
      <c r="T33" s="148"/>
      <c r="U33" s="148"/>
      <c r="V33" s="155"/>
      <c r="X33" s="147"/>
      <c r="Y33" s="148"/>
      <c r="Z33" s="148"/>
      <c r="AA33" s="148"/>
      <c r="AB33" s="148"/>
      <c r="AC33" s="155"/>
      <c r="AF33" s="147"/>
      <c r="AG33" s="148"/>
      <c r="AH33" s="148"/>
      <c r="AI33" s="148"/>
      <c r="AJ33" s="148"/>
      <c r="AK33" s="155"/>
      <c r="AM33" s="147"/>
      <c r="AN33" s="148"/>
      <c r="AO33" s="148"/>
      <c r="AP33" s="148"/>
      <c r="AQ33" s="148"/>
      <c r="AR33" s="155"/>
      <c r="AU33" s="147"/>
      <c r="AV33" s="148"/>
      <c r="AW33" s="148"/>
      <c r="AX33" s="148"/>
      <c r="AY33" s="148"/>
      <c r="AZ33" s="155"/>
      <c r="BB33" s="147"/>
      <c r="BC33" s="148"/>
      <c r="BD33" s="148"/>
      <c r="BE33" s="148"/>
      <c r="BF33" s="148"/>
      <c r="BG33" s="155"/>
      <c r="BJ33" s="147"/>
      <c r="BK33" s="148"/>
      <c r="BL33" s="148"/>
      <c r="BM33" s="148"/>
      <c r="BN33" s="148"/>
      <c r="BO33" s="155"/>
      <c r="BQ33" s="147"/>
      <c r="BR33" s="148"/>
      <c r="BS33" s="148"/>
      <c r="BT33" s="148"/>
      <c r="BU33" s="148"/>
      <c r="BV33" s="155"/>
      <c r="BX33" s="132">
        <f t="shared" si="2"/>
        <v>14</v>
      </c>
      <c r="BY33" s="132" t="str">
        <f t="array" aca="1" ref="BY33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LEN(SUBSTITUTE(_xlfn.FORMULATEXT(BY$25),"=","")))+$BX33)</f>
        <v/>
      </c>
      <c r="BZ33" s="132" t="str">
        <f t="array" aca="1" ref="BZ33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LEN(SUBSTITUTE(_xlfn.FORMULATEXT(BZ$25),"=","")))+$BX33)</f>
        <v/>
      </c>
      <c r="CA33" s="132" t="str">
        <f t="array" aca="1" ref="CA33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LEN(SUBSTITUTE(_xlfn.FORMULATEXT(CA$25),"=","")))+$BX33)</f>
        <v/>
      </c>
      <c r="CB33" s="132" t="str">
        <f t="array" aca="1" ref="CB33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LEN(SUBSTITUTE(_xlfn.FORMULATEXT(CB$25),"=","")))+$BX33)</f>
        <v/>
      </c>
      <c r="CC33" s="132" t="str">
        <f t="array" aca="1" ref="CC33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LEN(SUBSTITUTE(_xlfn.FORMULATEXT(CC$25),"=","")))+$BX33)</f>
        <v/>
      </c>
      <c r="CD33" s="132" t="str">
        <f t="array" aca="1" ref="CD33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LEN(SUBSTITUTE(_xlfn.FORMULATEXT(CD$25),"=","")))+$BX33)</f>
        <v/>
      </c>
      <c r="CE33" s="132" t="str">
        <f t="array" aca="1" ref="CE33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LEN(SUBSTITUTE(_xlfn.FORMULATEXT(CE$25),"=","")))+$BX33)</f>
        <v/>
      </c>
      <c r="CF33" s="132" t="str">
        <f t="array" aca="1" ref="CF33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LEN(SUBSTITUTE(_xlfn.FORMULATEXT(CF$25),"=","")))+$BX33)</f>
        <v/>
      </c>
      <c r="CG33" s="132" t="str">
        <f t="array" aca="1" ref="CG33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LEN(SUBSTITUTE(_xlfn.FORMULATEXT(CG$25),"=","")))+$BX33)</f>
        <v/>
      </c>
      <c r="CH33" s="132" t="str">
        <f t="array" aca="1" ref="CH33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LEN(SUBSTITUTE(_xlfn.FORMULATEXT(CH$25),"=","")))+$BX33)</f>
        <v/>
      </c>
      <c r="CI33" s="132">
        <f t="shared" ref="CI33:CI64" ca="1" si="3">IF(COUNTIF(CJ33,"TRUE"),ROW(),0)</f>
        <v>0</v>
      </c>
      <c r="CJ33" s="132" t="b">
        <f t="array" aca="1" ref="CJ33" ca="1">SUMPRODUCT((LEN(BY33:CH33)&gt;0)*1)&gt;0</f>
        <v>0</v>
      </c>
      <c r="CK33" s="132" t="str" cm="1">
        <f t="array" aca="1" ref="CK33" ca="1">IFERROR(SMALL(IF(CI$1:CI$150&lt;&gt;0,CI$1:CI$150),ROW(A33)),"")</f>
        <v/>
      </c>
      <c r="CL33" s="132" t="str">
        <f t="array" aca="1" ref="CL33" ca="1">IF($CK33&lt;&gt;"",
INDIRECT(""&amp;IF(COLUMN(BY33)&lt;=26,CHAR(COLUMN(BY33)+64),CHAR(INT((COLUMN(BY33)-1)/26)+64)&amp;CHAR(MOD(COLUMN(BY33)-1,26)+65))&amp;$CK33&amp;""),"")</f>
        <v/>
      </c>
      <c r="CM33" s="132" t="str">
        <f t="array" aca="1" ref="CM33" ca="1">IF($CK33&lt;&gt;"",
INDIRECT(""&amp;IF(COLUMN(BZ33)&lt;=26,CHAR(COLUMN(BZ33)+64),CHAR(INT((COLUMN(BZ33)-1)/26)+64)&amp;CHAR(MOD(COLUMN(BZ33)-1,26)+65))&amp;$CK33&amp;""),"")</f>
        <v/>
      </c>
      <c r="CN33" s="132" t="str">
        <f t="array" aca="1" ref="CN33" ca="1">IF($CK33&lt;&gt;"",
INDIRECT(""&amp;IF(COLUMN(CA33)&lt;=26,CHAR(COLUMN(CA33)+64),CHAR(INT((COLUMN(CA33)-1)/26)+64)&amp;CHAR(MOD(COLUMN(CA33)-1,26)+65))&amp;$CK33&amp;""),"")</f>
        <v/>
      </c>
      <c r="CO33" s="132" t="str">
        <f t="array" aca="1" ref="CO33" ca="1">IF($CK33&lt;&gt;"",
INDIRECT(""&amp;IF(COLUMN(CB33)&lt;=26,CHAR(COLUMN(CB33)+64),CHAR(INT((COLUMN(CB33)-1)/26)+64)&amp;CHAR(MOD(COLUMN(CB33)-1,26)+65))&amp;$CK33&amp;""),"")</f>
        <v/>
      </c>
      <c r="CP33" s="132" t="str">
        <f t="array" aca="1" ref="CP33" ca="1">IF($CK33&lt;&gt;"",
INDIRECT(""&amp;IF(COLUMN(CC33)&lt;=26,CHAR(COLUMN(CC33)+64),CHAR(INT((COLUMN(CC33)-1)/26)+64)&amp;CHAR(MOD(COLUMN(CC33)-1,26)+65))&amp;$CK33&amp;""),"")</f>
        <v/>
      </c>
      <c r="CQ33" s="132" t="str">
        <f t="array" aca="1" ref="CQ33" ca="1">IF($CK33&lt;&gt;"",
INDIRECT(""&amp;IF(COLUMN(CD33)&lt;=26,CHAR(COLUMN(CD33)+64),CHAR(INT((COLUMN(CD33)-1)/26)+64)&amp;CHAR(MOD(COLUMN(CD33)-1,26)+65))&amp;$CK33&amp;""),"")</f>
        <v/>
      </c>
      <c r="CR33" s="132" t="str">
        <f t="array" aca="1" ref="CR33" ca="1">IF($CK33&lt;&gt;"",
INDIRECT(""&amp;IF(COLUMN(CE33)&lt;=26,CHAR(COLUMN(CE33)+64),CHAR(INT((COLUMN(CE33)-1)/26)+64)&amp;CHAR(MOD(COLUMN(CE33)-1,26)+65))&amp;$CK33&amp;""),"")</f>
        <v/>
      </c>
      <c r="CS33" s="132" t="str">
        <f t="array" aca="1" ref="CS33" ca="1">IF($CK33&lt;&gt;"",
INDIRECT(""&amp;IF(COLUMN(CF33)&lt;=26,CHAR(COLUMN(CF33)+64),CHAR(INT((COLUMN(CF33)-1)/26)+64)&amp;CHAR(MOD(COLUMN(CF33)-1,26)+65))&amp;$CK33&amp;""),"")</f>
        <v/>
      </c>
      <c r="CT33" s="132" t="str">
        <f t="array" aca="1" ref="CT33" ca="1">IF($CK33&lt;&gt;"",
INDIRECT(""&amp;IF(COLUMN(CG33)&lt;=26,CHAR(COLUMN(CG33)+64),CHAR(INT((COLUMN(CG33)-1)/26)+64)&amp;CHAR(MOD(COLUMN(CG33)-1,26)+65))&amp;$CK33&amp;""),"")</f>
        <v/>
      </c>
      <c r="CU33" s="132" t="str">
        <f t="array" aca="1" ref="CU33" ca="1">IF($CK33&lt;&gt;"",
INDIRECT(""&amp;IF(COLUMN(CH33)&lt;=26,CHAR(COLUMN(CH33)+64),CHAR(INT((COLUMN(CH33)-1)/26)+64)&amp;CHAR(MOD(COLUMN(CH33)-1,26)+65))&amp;$CK33&amp;""),"")</f>
        <v/>
      </c>
    </row>
    <row r="34" spans="1:99" s="132" customFormat="1" ht="22.2" customHeight="1" x14ac:dyDescent="0.55000000000000004">
      <c r="A34" s="129"/>
      <c r="B34" s="149" t="str">
        <f ca="1">IF(C30&lt;&gt;"",
"パン箱","")</f>
        <v/>
      </c>
      <c r="C34" s="150" t="str">
        <f ca="1">IF(C30&lt;&gt;"",
IF(OR(COUNTIF('盛付札（関数）'!C30,"*キャラ*"),COUNTIF('盛付札（関数）'!C30,"*赤*")),24,
VLOOKUP('盛付札（関数）'!C30,商品マスタ一覧!$D:$I,6,FALSE)),"")</f>
        <v/>
      </c>
      <c r="D34" s="149" t="str">
        <f ca="1">IF(C30&lt;&gt;"",
" 端数","")</f>
        <v/>
      </c>
      <c r="E34" s="150"/>
      <c r="F34" s="149" t="str">
        <f ca="1">IF(C30&lt;&gt;"",
"アレルギー","")</f>
        <v/>
      </c>
      <c r="G34" s="159"/>
      <c r="H34" s="129"/>
      <c r="I34" s="149" t="str">
        <f ca="1">IF(J30&lt;&gt;"",
"パン箱","")</f>
        <v/>
      </c>
      <c r="J34" s="150" t="str">
        <f ca="1">IF(J30&lt;&gt;"",
IF(OR(COUNTIF('盛付札（関数）'!J30,"*キャラ*"),COUNTIF('盛付札（関数）'!J30,"*赤*")),24,
VLOOKUP('盛付札（関数）'!J30,商品マスタ一覧!$D:$I,6,FALSE)),"")</f>
        <v/>
      </c>
      <c r="K34" s="149" t="str">
        <f ca="1">IF(J30&lt;&gt;"",
" 端数","")</f>
        <v/>
      </c>
      <c r="L34" s="150"/>
      <c r="M34" s="149" t="str">
        <f ca="1">IF(J30&lt;&gt;"",
"アレルギー","")</f>
        <v/>
      </c>
      <c r="N34" s="154"/>
      <c r="O34" s="129"/>
      <c r="P34" s="129"/>
      <c r="Q34" s="149" t="str">
        <f ca="1">IF(R30&lt;&gt;"",
"パン箱","")</f>
        <v/>
      </c>
      <c r="R34" s="150" t="str">
        <f ca="1">IF(R30&lt;&gt;"",
IF(OR(COUNTIF('盛付札（関数）'!R30,"*キャラ*"),COUNTIF('盛付札（関数）'!R30,"*赤*")),24,
VLOOKUP('盛付札（関数）'!R30,商品マスタ一覧!$D:$I,6,FALSE)),"")</f>
        <v/>
      </c>
      <c r="S34" s="149" t="str">
        <f ca="1">IF(R30&lt;&gt;"",
" 端数","")</f>
        <v/>
      </c>
      <c r="T34" s="150"/>
      <c r="U34" s="149" t="str">
        <f ca="1">IF(R30&lt;&gt;"",
"アレルギー","")</f>
        <v/>
      </c>
      <c r="V34" s="154"/>
      <c r="W34" s="129"/>
      <c r="X34" s="149" t="str">
        <f ca="1">IF(Y30&lt;&gt;"",
"パン箱","")</f>
        <v/>
      </c>
      <c r="Y34" s="150" t="str">
        <f ca="1">IF(Y30&lt;&gt;"",
IF(OR(COUNTIF('盛付札（関数）'!Y30,"*キャラ*"),COUNTIF('盛付札（関数）'!Y30,"*赤*")),24,
VLOOKUP('盛付札（関数）'!Y30,商品マスタ一覧!$D:$I,6,FALSE)),"")</f>
        <v/>
      </c>
      <c r="Z34" s="149" t="str">
        <f ca="1">IF(Y30&lt;&gt;"",
" 端数","")</f>
        <v/>
      </c>
      <c r="AA34" s="150"/>
      <c r="AB34" s="149" t="str">
        <f ca="1">IF(Y30&lt;&gt;"",
"アレルギー","")</f>
        <v/>
      </c>
      <c r="AC34" s="154"/>
      <c r="AD34" s="129"/>
      <c r="AE34" s="129"/>
      <c r="AF34" s="149" t="str">
        <f ca="1">IF(AG30&lt;&gt;"",
"パン箱","")</f>
        <v/>
      </c>
      <c r="AG34" s="150" t="str">
        <f ca="1">IF(AG30&lt;&gt;"",
IF(OR(COUNTIF('盛付札（関数）'!AG30,"*キャラ*"),COUNTIF('盛付札（関数）'!AG30,"*赤*")),24,
VLOOKUP('盛付札（関数）'!AG30,商品マスタ一覧!$D:$I,6,FALSE)),"")</f>
        <v/>
      </c>
      <c r="AH34" s="149" t="str">
        <f ca="1">IF(AG30&lt;&gt;"",
" 端数","")</f>
        <v/>
      </c>
      <c r="AI34" s="150"/>
      <c r="AJ34" s="149" t="str">
        <f ca="1">IF(AG30&lt;&gt;"",
"アレルギー","")</f>
        <v/>
      </c>
      <c r="AK34" s="154"/>
      <c r="AL34" s="129"/>
      <c r="AM34" s="149" t="str">
        <f ca="1">IF(AN30&lt;&gt;"",
"パン箱","")</f>
        <v/>
      </c>
      <c r="AN34" s="150" t="str">
        <f ca="1">IF(AN30&lt;&gt;"",
IF(OR(COUNTIF('盛付札（関数）'!AN30,"*キャラ*"),COUNTIF('盛付札（関数）'!AN30,"*赤*")),24,
VLOOKUP('盛付札（関数）'!AN30,商品マスタ一覧!$D:$I,6,FALSE)),"")</f>
        <v/>
      </c>
      <c r="AO34" s="149" t="str">
        <f ca="1">IF(AN30&lt;&gt;"",
" 端数","")</f>
        <v/>
      </c>
      <c r="AP34" s="150"/>
      <c r="AQ34" s="149" t="str">
        <f ca="1">IF(AN30&lt;&gt;"",
"アレルギー","")</f>
        <v/>
      </c>
      <c r="AR34" s="154"/>
      <c r="AS34" s="129"/>
      <c r="AT34" s="129"/>
      <c r="AU34" s="149" t="str">
        <f ca="1">IF(AV30&lt;&gt;"",
"パン箱","")</f>
        <v/>
      </c>
      <c r="AV34" s="150" t="str">
        <f ca="1">IF(AV30&lt;&gt;"",
IF(OR(COUNTIF('盛付札（関数）'!AV30,"*キャラ*"),COUNTIF('盛付札（関数）'!AV30,"*赤*")),24,
VLOOKUP('盛付札（関数）'!AV30,商品マスタ一覧!$D:$I,6,FALSE)),"")</f>
        <v/>
      </c>
      <c r="AW34" s="149" t="str">
        <f ca="1">IF(AV30&lt;&gt;"",
" 端数","")</f>
        <v/>
      </c>
      <c r="AX34" s="150"/>
      <c r="AY34" s="149" t="str">
        <f ca="1">IF(AV30&lt;&gt;"",
"アレルギー","")</f>
        <v/>
      </c>
      <c r="AZ34" s="154"/>
      <c r="BA34" s="129"/>
      <c r="BB34" s="149" t="str">
        <f ca="1">IF(BC30&lt;&gt;"",
"パン箱","")</f>
        <v/>
      </c>
      <c r="BC34" s="150" t="str">
        <f ca="1">IF(BC30&lt;&gt;"",
IF(OR(COUNTIF('盛付札（関数）'!BC30,"*キャラ*"),COUNTIF('盛付札（関数）'!BC30,"*赤*")),24,
VLOOKUP('盛付札（関数）'!BC30,商品マスタ一覧!$D:$I,6,FALSE)),"")</f>
        <v/>
      </c>
      <c r="BD34" s="149" t="str">
        <f ca="1">IF(BC30&lt;&gt;"",
" 端数","")</f>
        <v/>
      </c>
      <c r="BE34" s="150"/>
      <c r="BF34" s="149" t="str">
        <f ca="1">IF(BC30&lt;&gt;"",
"アレルギー","")</f>
        <v/>
      </c>
      <c r="BG34" s="154"/>
      <c r="BH34" s="129"/>
      <c r="BI34" s="129"/>
      <c r="BJ34" s="149" t="str">
        <f ca="1">IF(BK30&lt;&gt;"",
"パン箱","")</f>
        <v/>
      </c>
      <c r="BK34" s="150" t="str">
        <f ca="1">IF(BK30&lt;&gt;"",
IF(OR(COUNTIF('盛付札（関数）'!BK30,"*キャラ*"),COUNTIF('盛付札（関数）'!BK30,"*赤*")),24,
VLOOKUP('盛付札（関数）'!BK30,商品マスタ一覧!$D:$I,6,FALSE)),"")</f>
        <v/>
      </c>
      <c r="BL34" s="149" t="str">
        <f ca="1">IF(BK30&lt;&gt;"",
" 端数","")</f>
        <v/>
      </c>
      <c r="BM34" s="150"/>
      <c r="BN34" s="149" t="str">
        <f ca="1">IF(BK30&lt;&gt;"",
"アレルギー","")</f>
        <v/>
      </c>
      <c r="BO34" s="154"/>
      <c r="BP34" s="129"/>
      <c r="BQ34" s="149" t="str">
        <f ca="1">IF(BR30&lt;&gt;"",
"パン箱","")</f>
        <v/>
      </c>
      <c r="BR34" s="150" t="str">
        <f ca="1">IF(BR30&lt;&gt;"",
IF(OR(COUNTIF('盛付札（関数）'!BR30,"*キャラ*"),COUNTIF('盛付札（関数）'!BR30,"*赤*")),24,
VLOOKUP('盛付札（関数）'!BR30,商品マスタ一覧!$D:$I,6,FALSE)),"")</f>
        <v/>
      </c>
      <c r="BS34" s="149" t="str">
        <f ca="1">IF(BR30&lt;&gt;"",
" 端数","")</f>
        <v/>
      </c>
      <c r="BT34" s="150"/>
      <c r="BU34" s="149" t="str">
        <f ca="1">IF(BR30&lt;&gt;"",
"アレルギー","")</f>
        <v/>
      </c>
      <c r="BV34" s="154"/>
      <c r="BW34" s="129"/>
      <c r="BX34" s="132">
        <f t="shared" si="2"/>
        <v>56</v>
      </c>
      <c r="BY34" s="132" t="str">
        <f t="array" aca="1" ref="BY34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LEN(SUBSTITUTE(_xlfn.FORMULATEXT(BY$25),"=","")))+$BX34)</f>
        <v/>
      </c>
      <c r="BZ34" s="132" t="str">
        <f t="array" aca="1" ref="BZ34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LEN(SUBSTITUTE(_xlfn.FORMULATEXT(BZ$25),"=","")))+$BX34)</f>
        <v/>
      </c>
      <c r="CA34" s="132" t="str">
        <f t="array" aca="1" ref="CA34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LEN(SUBSTITUTE(_xlfn.FORMULATEXT(CA$25),"=","")))+$BX34)</f>
        <v/>
      </c>
      <c r="CB34" s="132" t="str">
        <f t="array" aca="1" ref="CB34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LEN(SUBSTITUTE(_xlfn.FORMULATEXT(CB$25),"=","")))+$BX34)</f>
        <v/>
      </c>
      <c r="CC34" s="132" t="str">
        <f t="array" aca="1" ref="CC34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LEN(SUBSTITUTE(_xlfn.FORMULATEXT(CC$25),"=","")))+$BX34)</f>
        <v/>
      </c>
      <c r="CD34" s="132" t="str">
        <f t="array" aca="1" ref="CD34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LEN(SUBSTITUTE(_xlfn.FORMULATEXT(CD$25),"=","")))+$BX34)</f>
        <v/>
      </c>
      <c r="CE34" s="132" t="str">
        <f t="array" aca="1" ref="CE34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LEN(SUBSTITUTE(_xlfn.FORMULATEXT(CE$25),"=","")))+$BX34)</f>
        <v/>
      </c>
      <c r="CF34" s="132" t="str">
        <f t="array" aca="1" ref="CF34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LEN(SUBSTITUTE(_xlfn.FORMULATEXT(CF$25),"=","")))+$BX34)</f>
        <v/>
      </c>
      <c r="CG34" s="132" t="str">
        <f t="array" aca="1" ref="CG34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LEN(SUBSTITUTE(_xlfn.FORMULATEXT(CG$25),"=","")))+$BX34)</f>
        <v/>
      </c>
      <c r="CH34" s="132" t="str">
        <f t="array" aca="1" ref="CH34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LEN(SUBSTITUTE(_xlfn.FORMULATEXT(CH$25),"=","")))+$BX34)</f>
        <v/>
      </c>
      <c r="CI34" s="132">
        <f t="shared" ca="1" si="3"/>
        <v>0</v>
      </c>
      <c r="CJ34" s="132" t="b">
        <f t="array" aca="1" ref="CJ34" ca="1">SUMPRODUCT((LEN(BY34:CH34)&gt;0)*1)&gt;0</f>
        <v>0</v>
      </c>
      <c r="CK34" s="132" t="str" cm="1">
        <f t="array" aca="1" ref="CK34" ca="1">IFERROR(SMALL(IF(CI$1:CI$150&lt;&gt;0,CI$1:CI$150),ROW(A34)),"")</f>
        <v/>
      </c>
      <c r="CL34" s="132" t="str">
        <f t="array" aca="1" ref="CL34" ca="1">IF($CK34&lt;&gt;"",
INDIRECT(""&amp;IF(COLUMN(BY34)&lt;=26,CHAR(COLUMN(BY34)+64),CHAR(INT((COLUMN(BY34)-1)/26)+64)&amp;CHAR(MOD(COLUMN(BY34)-1,26)+65))&amp;$CK34&amp;""),"")</f>
        <v/>
      </c>
      <c r="CM34" s="132" t="str">
        <f t="array" aca="1" ref="CM34" ca="1">IF($CK34&lt;&gt;"",
INDIRECT(""&amp;IF(COLUMN(BZ34)&lt;=26,CHAR(COLUMN(BZ34)+64),CHAR(INT((COLUMN(BZ34)-1)/26)+64)&amp;CHAR(MOD(COLUMN(BZ34)-1,26)+65))&amp;$CK34&amp;""),"")</f>
        <v/>
      </c>
      <c r="CN34" s="132" t="str">
        <f t="array" aca="1" ref="CN34" ca="1">IF($CK34&lt;&gt;"",
INDIRECT(""&amp;IF(COLUMN(CA34)&lt;=26,CHAR(COLUMN(CA34)+64),CHAR(INT((COLUMN(CA34)-1)/26)+64)&amp;CHAR(MOD(COLUMN(CA34)-1,26)+65))&amp;$CK34&amp;""),"")</f>
        <v/>
      </c>
      <c r="CO34" s="132" t="str">
        <f t="array" aca="1" ref="CO34" ca="1">IF($CK34&lt;&gt;"",
INDIRECT(""&amp;IF(COLUMN(CB34)&lt;=26,CHAR(COLUMN(CB34)+64),CHAR(INT((COLUMN(CB34)-1)/26)+64)&amp;CHAR(MOD(COLUMN(CB34)-1,26)+65))&amp;$CK34&amp;""),"")</f>
        <v/>
      </c>
      <c r="CP34" s="132" t="str">
        <f t="array" aca="1" ref="CP34" ca="1">IF($CK34&lt;&gt;"",
INDIRECT(""&amp;IF(COLUMN(CC34)&lt;=26,CHAR(COLUMN(CC34)+64),CHAR(INT((COLUMN(CC34)-1)/26)+64)&amp;CHAR(MOD(COLUMN(CC34)-1,26)+65))&amp;$CK34&amp;""),"")</f>
        <v/>
      </c>
      <c r="CQ34" s="132" t="str">
        <f t="array" aca="1" ref="CQ34" ca="1">IF($CK34&lt;&gt;"",
INDIRECT(""&amp;IF(COLUMN(CD34)&lt;=26,CHAR(COLUMN(CD34)+64),CHAR(INT((COLUMN(CD34)-1)/26)+64)&amp;CHAR(MOD(COLUMN(CD34)-1,26)+65))&amp;$CK34&amp;""),"")</f>
        <v/>
      </c>
      <c r="CR34" s="132" t="str">
        <f t="array" aca="1" ref="CR34" ca="1">IF($CK34&lt;&gt;"",
INDIRECT(""&amp;IF(COLUMN(CE34)&lt;=26,CHAR(COLUMN(CE34)+64),CHAR(INT((COLUMN(CE34)-1)/26)+64)&amp;CHAR(MOD(COLUMN(CE34)-1,26)+65))&amp;$CK34&amp;""),"")</f>
        <v/>
      </c>
      <c r="CS34" s="132" t="str">
        <f t="array" aca="1" ref="CS34" ca="1">IF($CK34&lt;&gt;"",
INDIRECT(""&amp;IF(COLUMN(CF34)&lt;=26,CHAR(COLUMN(CF34)+64),CHAR(INT((COLUMN(CF34)-1)/26)+64)&amp;CHAR(MOD(COLUMN(CF34)-1,26)+65))&amp;$CK34&amp;""),"")</f>
        <v/>
      </c>
      <c r="CT34" s="132" t="str">
        <f t="array" aca="1" ref="CT34" ca="1">IF($CK34&lt;&gt;"",
INDIRECT(""&amp;IF(COLUMN(CG34)&lt;=26,CHAR(COLUMN(CG34)+64),CHAR(INT((COLUMN(CG34)-1)/26)+64)&amp;CHAR(MOD(COLUMN(CG34)-1,26)+65))&amp;$CK34&amp;""),"")</f>
        <v/>
      </c>
      <c r="CU34" s="132" t="str">
        <f t="array" aca="1" ref="CU34" ca="1">IF($CK34&lt;&gt;"",
INDIRECT(""&amp;IF(COLUMN(CH34)&lt;=26,CHAR(COLUMN(CH34)+64),CHAR(INT((COLUMN(CH34)-1)/26)+64)&amp;CHAR(MOD(COLUMN(CH34)-1,26)+65))&amp;$CK34&amp;""),"")</f>
        <v/>
      </c>
    </row>
    <row r="35" spans="1:99" ht="21" customHeight="1" x14ac:dyDescent="0.45">
      <c r="B35" s="124" t="str">
        <f ca="1">IF(C32&lt;&gt;"",
IFERROR(INT(C32/C34),""),"")</f>
        <v/>
      </c>
      <c r="C35" s="151"/>
      <c r="D35" s="124" t="str">
        <f ca="1">IFERROR(MOD(C32,C34),"")</f>
        <v/>
      </c>
      <c r="E35" s="151"/>
      <c r="F35" s="118" t="str">
        <f t="array" aca="1" ref="F35" ca="1">IF(C29&lt;&gt;"",
IF(IFERROR(
INDEX(INDIRECT("'数出表_Excel（アレルギー入力）'!B"&amp;MATCH(G29,'数出表_Excel（アレルギー入力）'!$A:$A,0)-1&amp;":AC"&amp;MATCH(G29,'数出表_Excel（アレルギー入力）'!$A:$A,0)-1&amp;""),
 1,
MATCH(C32,INDIRECT("'数出表_Excel（アレルギー入力）'!"&amp;B29-1&amp;":"&amp;B29-1&amp;""),0)),
 "")&lt;&gt;0,
IF(IFERROR(
INDEX(INDIRECT("'数出表_Excel（アレルギー入力）'!B"&amp;MATCH(G29,'数出表_Excel（アレルギー入力）'!$A:$A,0)-1&amp;":AC"&amp;MATCH(G29,'数出表_Excel（アレルギー入力）'!$A:$A,0)-1&amp;""),
 1,
MATCH(C32,INDIRECT("'数出表_Excel（アレルギー入力）'!"&amp;B29-1&amp;":"&amp;B29-1&amp;""),0)),
 "")="",
IFERROR(
INDEX(INDIRECT("'数出表_Excel（アレルギー入力）'!B"&amp;MATCH(G29,'数出表_Excel（アレルギー入力）'!$A:$A,0)-1&amp;":AC"&amp;MATCH(G29,'数出表_Excel（アレルギー入力）'!$A:$A,0)-1&amp;""),
 1,
MATCH(TRUE,INDEX(INDIRECT("'数出表_Excel（アレルギー入力）'!B"&amp;B29-1&amp;":AC"&amp;B29-1&amp;"")&lt;&gt;"",0),0)+1),
 ""),
IFERROR(
INDEX(INDIRECT("'数出表_Excel（アレルギー入力）'!B"&amp;MATCH(G29,'数出表_Excel（アレルギー入力）'!$A:$A,0)-1&amp;":AC"&amp;MATCH(G29,'数出表_Excel（アレルギー入力）'!$A:$A,0)-1&amp;""),
 1,
MATCH(C32,INDIRECT("'数出表_Excel（アレルギー入力）'!"&amp;B29-1&amp;":"&amp;B29-1&amp;""),0)),
 "")),0),"")</f>
        <v/>
      </c>
      <c r="G35" s="151"/>
      <c r="I35" s="124" t="str">
        <f ca="1">IF(J32&lt;&gt;"",
IFERROR(INT(J32/J34),""),"")</f>
        <v/>
      </c>
      <c r="J35" s="151"/>
      <c r="K35" s="124" t="str">
        <f ca="1">IFERROR(MOD(J32,J34),"")</f>
        <v/>
      </c>
      <c r="L35" s="151"/>
      <c r="M35" s="118" t="str">
        <f t="array" aca="1" ref="M35" ca="1">IF(J29&lt;&gt;"",
IF(IFERROR(
INDEX(INDIRECT("'数出表_Excel（アレルギー入力）'!B"&amp;MATCH(N29,'数出表_Excel（アレルギー入力）'!$A:$A,0)-1&amp;":AC"&amp;MATCH(N29,'数出表_Excel（アレルギー入力）'!$A:$A,0)-1&amp;""),
 1,
MATCH(J32,INDIRECT("'数出表_Excel（アレルギー入力）'!"&amp;I29-1&amp;":"&amp;I29-1&amp;""),0)),
 "")&lt;&gt;0,
IF(IFERROR(
INDEX(INDIRECT("'数出表_Excel（アレルギー入力）'!B"&amp;MATCH(N29,'数出表_Excel（アレルギー入力）'!$A:$A,0)-1&amp;":AC"&amp;MATCH(N29,'数出表_Excel（アレルギー入力）'!$A:$A,0)-1&amp;""),
 1,
MATCH(J32,INDIRECT("'数出表_Excel（アレルギー入力）'!"&amp;I29-1&amp;":"&amp;I29-1&amp;""),0)),
 "")="",
IFERROR(
INDEX(INDIRECT("'数出表_Excel（アレルギー入力）'!B"&amp;MATCH(N29,'数出表_Excel（アレルギー入力）'!$A:$A,0)-1&amp;":AC"&amp;MATCH(N29,'数出表_Excel（アレルギー入力）'!$A:$A,0)-1&amp;""),
 1,
MATCH(TRUE,INDEX(INDIRECT("'数出表_Excel（アレルギー入力）'!B"&amp;I29-1&amp;":AC"&amp;I29-1&amp;"")&lt;&gt;"",0),0)+1),
 ""),
IFERROR(
INDEX(INDIRECT("'数出表_Excel（アレルギー入力）'!B"&amp;MATCH(N29,'数出表_Excel（アレルギー入力）'!$A:$A,0)-1&amp;":AC"&amp;MATCH(N29,'数出表_Excel（アレルギー入力）'!$A:$A,0)-1&amp;""),
 1,
MATCH(J32,INDIRECT("'数出表_Excel（アレルギー入力）'!"&amp;I29-1&amp;":"&amp;I29-1&amp;""),0)),
 "")),0),"")</f>
        <v/>
      </c>
      <c r="N35" s="151"/>
      <c r="Q35" s="124" t="str">
        <f ca="1">IF(R32&lt;&gt;"",
IFERROR(INT(R32/R34),""),"")</f>
        <v/>
      </c>
      <c r="R35" s="151"/>
      <c r="S35" s="124" t="str">
        <f ca="1">IFERROR(MOD(R32,R34),"")</f>
        <v/>
      </c>
      <c r="T35" s="151"/>
      <c r="U35" s="118" t="str">
        <f t="array" aca="1" ref="U35" ca="1">IF(R29&lt;&gt;"",
IF(IFERROR(
INDEX(INDIRECT("'数出表_Excel（アレルギー入力）'!B"&amp;MATCH(V29,'数出表_Excel（アレルギー入力）'!$A:$A,0)-1&amp;":AC"&amp;MATCH(V29,'数出表_Excel（アレルギー入力）'!$A:$A,0)-1&amp;""),
 1,
MATCH(R32,INDIRECT("'数出表_Excel（アレルギー入力）'!"&amp;Q29-1&amp;":"&amp;Q29-1&amp;""),0)),
 "")&lt;&gt;0,
IF(IFERROR(
INDEX(INDIRECT("'数出表_Excel（アレルギー入力）'!B"&amp;MATCH(V29,'数出表_Excel（アレルギー入力）'!$A:$A,0)-1&amp;":AC"&amp;MATCH(V29,'数出表_Excel（アレルギー入力）'!$A:$A,0)-1&amp;""),
 1,
MATCH(R32,INDIRECT("'数出表_Excel（アレルギー入力）'!"&amp;Q29-1&amp;":"&amp;Q29-1&amp;""),0)),
 "")="",
IFERROR(
INDEX(INDIRECT("'数出表_Excel（アレルギー入力）'!B"&amp;MATCH(V29,'数出表_Excel（アレルギー入力）'!$A:$A,0)-1&amp;":AC"&amp;MATCH(V29,'数出表_Excel（アレルギー入力）'!$A:$A,0)-1&amp;""),
 1,
MATCH(TRUE,INDEX(INDIRECT("'数出表_Excel（アレルギー入力）'!B"&amp;Q29-1&amp;":AC"&amp;Q29-1&amp;"")&lt;&gt;"",0),0)+1),
 ""),
IFERROR(
INDEX(INDIRECT("'数出表_Excel（アレルギー入力）'!B"&amp;MATCH(V29,'数出表_Excel（アレルギー入力）'!$A:$A,0)-1&amp;":AC"&amp;MATCH(V29,'数出表_Excel（アレルギー入力）'!$A:$A,0)-1&amp;""),
 1,
MATCH(R32,INDIRECT("'数出表_Excel（アレルギー入力）'!"&amp;Q29-1&amp;":"&amp;Q29-1&amp;""),0)),
 "")),0),"")</f>
        <v/>
      </c>
      <c r="V35" s="151"/>
      <c r="X35" s="124" t="str">
        <f ca="1">IF(Y32&lt;&gt;"",
IFERROR(INT(Y32/Y34),""),"")</f>
        <v/>
      </c>
      <c r="Y35" s="151"/>
      <c r="Z35" s="124" t="str">
        <f ca="1">IFERROR(MOD(Y32,Y34),"")</f>
        <v/>
      </c>
      <c r="AA35" s="151"/>
      <c r="AB35" s="118" t="str">
        <f t="array" aca="1" ref="AB35" ca="1">IF(Y29&lt;&gt;"",
IF(IFERROR(
INDEX(INDIRECT("'数出表_Excel（アレルギー入力）'!B"&amp;MATCH(AC29,'数出表_Excel（アレルギー入力）'!$A:$A,0)-1&amp;":AC"&amp;MATCH(AC29,'数出表_Excel（アレルギー入力）'!$A:$A,0)-1&amp;""),
 1,
MATCH(Y32,INDIRECT("'数出表_Excel（アレルギー入力）'!"&amp;X29-1&amp;":"&amp;X29-1&amp;""),0)),
 "")&lt;&gt;0,
IF(IFERROR(
INDEX(INDIRECT("'数出表_Excel（アレルギー入力）'!B"&amp;MATCH(AC29,'数出表_Excel（アレルギー入力）'!$A:$A,0)-1&amp;":AC"&amp;MATCH(AC29,'数出表_Excel（アレルギー入力）'!$A:$A,0)-1&amp;""),
 1,
MATCH(Y32,INDIRECT("'数出表_Excel（アレルギー入力）'!"&amp;X29-1&amp;":"&amp;X29-1&amp;""),0)),
 "")="",
IFERROR(
INDEX(INDIRECT("'数出表_Excel（アレルギー入力）'!B"&amp;MATCH(AC29,'数出表_Excel（アレルギー入力）'!$A:$A,0)-1&amp;":AC"&amp;MATCH(AC29,'数出表_Excel（アレルギー入力）'!$A:$A,0)-1&amp;""),
 1,
MATCH(TRUE,INDEX(INDIRECT("'数出表_Excel（アレルギー入力）'!B"&amp;X29-1&amp;":AC"&amp;X29-1&amp;"")&lt;&gt;"",0),0)+1),
 ""),
IFERROR(
INDEX(INDIRECT("'数出表_Excel（アレルギー入力）'!B"&amp;MATCH(AC29,'数出表_Excel（アレルギー入力）'!$A:$A,0)-1&amp;":AC"&amp;MATCH(AC29,'数出表_Excel（アレルギー入力）'!$A:$A,0)-1&amp;""),
 1,
MATCH(Y32,INDIRECT("'数出表_Excel（アレルギー入力）'!"&amp;X29-1&amp;":"&amp;X29-1&amp;""),0)),
 "")),0),"")</f>
        <v/>
      </c>
      <c r="AC35" s="151"/>
      <c r="AF35" s="124" t="str">
        <f ca="1">IF(AG32&lt;&gt;"",
IFERROR(INT(AG32/AG34),""),"")</f>
        <v/>
      </c>
      <c r="AG35" s="151"/>
      <c r="AH35" s="124" t="str">
        <f ca="1">IFERROR(MOD(AG32,AG34),"")</f>
        <v/>
      </c>
      <c r="AI35" s="151"/>
      <c r="AJ35" s="118" t="str">
        <f t="array" aca="1" ref="AJ35" ca="1">IF(AG29&lt;&gt;"",
IF(IFERROR(
INDEX(INDIRECT("'数出表_Excel（アレルギー入力）'!B"&amp;MATCH(AK29,'数出表_Excel（アレルギー入力）'!$A:$A,0)-1&amp;":AC"&amp;MATCH(AK29,'数出表_Excel（アレルギー入力）'!$A:$A,0)-1&amp;""),
 1,
MATCH(AG32,INDIRECT("'数出表_Excel（アレルギー入力）'!"&amp;AF29-1&amp;":"&amp;AF29-1&amp;""),0)),
 "")&lt;&gt;0,
IF(IFERROR(
INDEX(INDIRECT("'数出表_Excel（アレルギー入力）'!B"&amp;MATCH(AK29,'数出表_Excel（アレルギー入力）'!$A:$A,0)-1&amp;":AC"&amp;MATCH(AK29,'数出表_Excel（アレルギー入力）'!$A:$A,0)-1&amp;""),
 1,
MATCH(AG32,INDIRECT("'数出表_Excel（アレルギー入力）'!"&amp;AF29-1&amp;":"&amp;AF29-1&amp;""),0)),
 "")="",
IFERROR(
INDEX(INDIRECT("'数出表_Excel（アレルギー入力）'!B"&amp;MATCH(AK29,'数出表_Excel（アレルギー入力）'!$A:$A,0)-1&amp;":AC"&amp;MATCH(AK29,'数出表_Excel（アレルギー入力）'!$A:$A,0)-1&amp;""),
 1,
MATCH(TRUE,INDEX(INDIRECT("'数出表_Excel（アレルギー入力）'!B"&amp;AF29-1&amp;":AC"&amp;AF29-1&amp;"")&lt;&gt;"",0),0)+1),
 ""),
IFERROR(
INDEX(INDIRECT("'数出表_Excel（アレルギー入力）'!B"&amp;MATCH(AK29,'数出表_Excel（アレルギー入力）'!$A:$A,0)-1&amp;":AC"&amp;MATCH(AK29,'数出表_Excel（アレルギー入力）'!$A:$A,0)-1&amp;""),
 1,
MATCH(AG32,INDIRECT("'数出表_Excel（アレルギー入力）'!"&amp;AF29-1&amp;":"&amp;AF29-1&amp;""),0)),
 "")),0),"")</f>
        <v/>
      </c>
      <c r="AK35" s="151"/>
      <c r="AM35" s="124" t="str">
        <f ca="1">IF(AN32&lt;&gt;"",
IFERROR(INT(AN32/AN34),""),"")</f>
        <v/>
      </c>
      <c r="AN35" s="151"/>
      <c r="AO35" s="124" t="str">
        <f ca="1">IFERROR(MOD(AN32,AN34),"")</f>
        <v/>
      </c>
      <c r="AP35" s="151"/>
      <c r="AQ35" s="118" t="str">
        <f t="array" aca="1" ref="AQ35" ca="1">IF(AN29&lt;&gt;"",
IF(IFERROR(
INDEX(INDIRECT("'数出表_Excel（アレルギー入力）'!B"&amp;MATCH(AR29,'数出表_Excel（アレルギー入力）'!$A:$A,0)-1&amp;":AC"&amp;MATCH(AR29,'数出表_Excel（アレルギー入力）'!$A:$A,0)-1&amp;""),
 1,
MATCH(AN32,INDIRECT("'数出表_Excel（アレルギー入力）'!"&amp;AM29-1&amp;":"&amp;AM29-1&amp;""),0)),
 "")&lt;&gt;0,
IF(IFERROR(
INDEX(INDIRECT("'数出表_Excel（アレルギー入力）'!B"&amp;MATCH(AR29,'数出表_Excel（アレルギー入力）'!$A:$A,0)-1&amp;":AC"&amp;MATCH(AR29,'数出表_Excel（アレルギー入力）'!$A:$A,0)-1&amp;""),
 1,
MATCH(AN32,INDIRECT("'数出表_Excel（アレルギー入力）'!"&amp;AM29-1&amp;":"&amp;AM29-1&amp;""),0)),
 "")="",
IFERROR(
INDEX(INDIRECT("'数出表_Excel（アレルギー入力）'!B"&amp;MATCH(AR29,'数出表_Excel（アレルギー入力）'!$A:$A,0)-1&amp;":AC"&amp;MATCH(AR29,'数出表_Excel（アレルギー入力）'!$A:$A,0)-1&amp;""),
 1,
MATCH(TRUE,INDEX(INDIRECT("'数出表_Excel（アレルギー入力）'!B"&amp;AM29-1&amp;":AC"&amp;AM29-1&amp;"")&lt;&gt;"",0),0)+1),
 ""),
IFERROR(
INDEX(INDIRECT("'数出表_Excel（アレルギー入力）'!B"&amp;MATCH(AR29,'数出表_Excel（アレルギー入力）'!$A:$A,0)-1&amp;":AC"&amp;MATCH(AR29,'数出表_Excel（アレルギー入力）'!$A:$A,0)-1&amp;""),
 1,
MATCH(AN32,INDIRECT("'数出表_Excel（アレルギー入力）'!"&amp;AM29-1&amp;":"&amp;AM29-1&amp;""),0)),
 "")),0),"")</f>
        <v/>
      </c>
      <c r="AR35" s="151"/>
      <c r="AU35" s="124" t="str">
        <f ca="1">IF(AV32&lt;&gt;"",
IFERROR(INT(AV32/AV34),""),"")</f>
        <v/>
      </c>
      <c r="AV35" s="151"/>
      <c r="AW35" s="124" t="str">
        <f ca="1">IFERROR(MOD(AV32,AV34),"")</f>
        <v/>
      </c>
      <c r="AX35" s="151"/>
      <c r="AY35" s="118" t="str">
        <f t="array" aca="1" ref="AY35" ca="1">IF(AV29&lt;&gt;"",
IF(IFERROR(
INDEX(INDIRECT("'数出表_Excel（アレルギー入力）'!B"&amp;MATCH(AZ29,'数出表_Excel（アレルギー入力）'!$A:$A,0)-1&amp;":AC"&amp;MATCH(AZ29,'数出表_Excel（アレルギー入力）'!$A:$A,0)-1&amp;""),
 1,
MATCH(AV32,INDIRECT("'数出表_Excel（アレルギー入力）'!"&amp;AU29-1&amp;":"&amp;AU29-1&amp;""),0)),
 "")&lt;&gt;0,
IF(IFERROR(
INDEX(INDIRECT("'数出表_Excel（アレルギー入力）'!B"&amp;MATCH(AZ29,'数出表_Excel（アレルギー入力）'!$A:$A,0)-1&amp;":AC"&amp;MATCH(AZ29,'数出表_Excel（アレルギー入力）'!$A:$A,0)-1&amp;""),
 1,
MATCH(AV32,INDIRECT("'数出表_Excel（アレルギー入力）'!"&amp;AU29-1&amp;":"&amp;AU29-1&amp;""),0)),
 "")="",
IFERROR(
INDEX(INDIRECT("'数出表_Excel（アレルギー入力）'!B"&amp;MATCH(AZ29,'数出表_Excel（アレルギー入力）'!$A:$A,0)-1&amp;":AC"&amp;MATCH(AZ29,'数出表_Excel（アレルギー入力）'!$A:$A,0)-1&amp;""),
 1,
MATCH(TRUE,INDEX(INDIRECT("'数出表_Excel（アレルギー入力）'!B"&amp;AU29-1&amp;":AC"&amp;AU29-1&amp;"")&lt;&gt;"",0),0)+1),
 ""),
IFERROR(
INDEX(INDIRECT("'数出表_Excel（アレルギー入力）'!B"&amp;MATCH(AZ29,'数出表_Excel（アレルギー入力）'!$A:$A,0)-1&amp;":AC"&amp;MATCH(AZ29,'数出表_Excel（アレルギー入力）'!$A:$A,0)-1&amp;""),
 1,
MATCH(AV32,INDIRECT("'数出表_Excel（アレルギー入力）'!"&amp;AU29-1&amp;":"&amp;AU29-1&amp;""),0)),
 "")),0),"")</f>
        <v/>
      </c>
      <c r="AZ35" s="151"/>
      <c r="BB35" s="124" t="str">
        <f ca="1">IF(BC32&lt;&gt;"",
IFERROR(INT(BC32/BC34),""),"")</f>
        <v/>
      </c>
      <c r="BC35" s="151"/>
      <c r="BD35" s="124" t="str">
        <f ca="1">IFERROR(MOD(BC32,BC34),"")</f>
        <v/>
      </c>
      <c r="BE35" s="151"/>
      <c r="BF35" s="118" t="str">
        <f t="array" aca="1" ref="BF35" ca="1">IF(BC29&lt;&gt;"",
IF(IFERROR(
INDEX(INDIRECT("'数出表_Excel（アレルギー入力）'!B"&amp;MATCH(BG29,'数出表_Excel（アレルギー入力）'!$A:$A,0)-1&amp;":AC"&amp;MATCH(BG29,'数出表_Excel（アレルギー入力）'!$A:$A,0)-1&amp;""),
 1,
MATCH(BC32,INDIRECT("'数出表_Excel（アレルギー入力）'!"&amp;BB29-1&amp;":"&amp;BB29-1&amp;""),0)),
 "")&lt;&gt;0,
IF(IFERROR(
INDEX(INDIRECT("'数出表_Excel（アレルギー入力）'!B"&amp;MATCH(BG29,'数出表_Excel（アレルギー入力）'!$A:$A,0)-1&amp;":AC"&amp;MATCH(BG29,'数出表_Excel（アレルギー入力）'!$A:$A,0)-1&amp;""),
 1,
MATCH(BC32,INDIRECT("'数出表_Excel（アレルギー入力）'!"&amp;BB29-1&amp;":"&amp;BB29-1&amp;""),0)),
 "")="",
IFERROR(
INDEX(INDIRECT("'数出表_Excel（アレルギー入力）'!B"&amp;MATCH(BG29,'数出表_Excel（アレルギー入力）'!$A:$A,0)-1&amp;":AC"&amp;MATCH(BG29,'数出表_Excel（アレルギー入力）'!$A:$A,0)-1&amp;""),
 1,
MATCH(TRUE,INDEX(INDIRECT("'数出表_Excel（アレルギー入力）'!B"&amp;BB29-1&amp;":AC"&amp;BB29-1&amp;"")&lt;&gt;"",0),0)+1),
 ""),
IFERROR(
INDEX(INDIRECT("'数出表_Excel（アレルギー入力）'!B"&amp;MATCH(BG29,'数出表_Excel（アレルギー入力）'!$A:$A,0)-1&amp;":AC"&amp;MATCH(BG29,'数出表_Excel（アレルギー入力）'!$A:$A,0)-1&amp;""),
 1,
MATCH(BC32,INDIRECT("'数出表_Excel（アレルギー入力）'!"&amp;BB29-1&amp;":"&amp;BB29-1&amp;""),0)),
 "")),0),"")</f>
        <v/>
      </c>
      <c r="BG35" s="151"/>
      <c r="BJ35" s="124" t="str">
        <f ca="1">IF(BK32&lt;&gt;"",
IFERROR(INT(BK32/BK34),""),"")</f>
        <v/>
      </c>
      <c r="BK35" s="151"/>
      <c r="BL35" s="124" t="str">
        <f ca="1">IFERROR(MOD(BK32,BK34),"")</f>
        <v/>
      </c>
      <c r="BM35" s="151"/>
      <c r="BN35" s="118" t="str">
        <f t="array" aca="1" ref="BN35" ca="1">IF(BK29&lt;&gt;"",
IF(IFERROR(
INDEX(INDIRECT("'数出表_Excel（アレルギー入力）'!B"&amp;MATCH(BO29,'数出表_Excel（アレルギー入力）'!$A:$A,0)-1&amp;":AC"&amp;MATCH(BO29,'数出表_Excel（アレルギー入力）'!$A:$A,0)-1&amp;""),
 1,
MATCH(BK32,INDIRECT("'数出表_Excel（アレルギー入力）'!"&amp;BJ29-1&amp;":"&amp;BJ29-1&amp;""),0)),
 "")&lt;&gt;0,
IF(IFERROR(
INDEX(INDIRECT("'数出表_Excel（アレルギー入力）'!B"&amp;MATCH(BO29,'数出表_Excel（アレルギー入力）'!$A:$A,0)-1&amp;":AC"&amp;MATCH(BO29,'数出表_Excel（アレルギー入力）'!$A:$A,0)-1&amp;""),
 1,
MATCH(BK32,INDIRECT("'数出表_Excel（アレルギー入力）'!"&amp;BJ29-1&amp;":"&amp;BJ29-1&amp;""),0)),
 "")="",
IFERROR(
INDEX(INDIRECT("'数出表_Excel（アレルギー入力）'!B"&amp;MATCH(BO29,'数出表_Excel（アレルギー入力）'!$A:$A,0)-1&amp;":AC"&amp;MATCH(BO29,'数出表_Excel（アレルギー入力）'!$A:$A,0)-1&amp;""),
 1,
MATCH(TRUE,INDEX(INDIRECT("'数出表_Excel（アレルギー入力）'!B"&amp;BJ29-1&amp;":AC"&amp;BJ29-1&amp;"")&lt;&gt;"",0),0)+1),
 ""),
IFERROR(
INDEX(INDIRECT("'数出表_Excel（アレルギー入力）'!B"&amp;MATCH(BO29,'数出表_Excel（アレルギー入力）'!$A:$A,0)-1&amp;":AC"&amp;MATCH(BO29,'数出表_Excel（アレルギー入力）'!$A:$A,0)-1&amp;""),
 1,
MATCH(BK32,INDIRECT("'数出表_Excel（アレルギー入力）'!"&amp;BJ29-1&amp;":"&amp;BJ29-1&amp;""),0)),
 "")),0),"")</f>
        <v/>
      </c>
      <c r="BO35" s="151"/>
      <c r="BQ35" s="124" t="str">
        <f ca="1">IF(BR32&lt;&gt;"",
IFERROR(INT(BR32/BR34),""),"")</f>
        <v/>
      </c>
      <c r="BR35" s="151"/>
      <c r="BS35" s="124" t="str">
        <f ca="1">IFERROR(MOD(BR32,BR34),"")</f>
        <v/>
      </c>
      <c r="BT35" s="151"/>
      <c r="BU35" s="118" t="str">
        <f t="array" aca="1" ref="BU35" ca="1">IF(BR29&lt;&gt;"",
IF(IFERROR(
INDEX(INDIRECT("'数出表_Excel（アレルギー入力）'!B"&amp;MATCH(BV29,'数出表_Excel（アレルギー入力）'!$A:$A,0)-1&amp;":AC"&amp;MATCH(BV29,'数出表_Excel（アレルギー入力）'!$A:$A,0)-1&amp;""),
 1,
MATCH(BR32,INDIRECT("'数出表_Excel（アレルギー入力）'!"&amp;BQ29-1&amp;":"&amp;BQ29-1&amp;""),0)),
 "")&lt;&gt;0,
IF(IFERROR(
INDEX(INDIRECT("'数出表_Excel（アレルギー入力）'!B"&amp;MATCH(BV29,'数出表_Excel（アレルギー入力）'!$A:$A,0)-1&amp;":AC"&amp;MATCH(BV29,'数出表_Excel（アレルギー入力）'!$A:$A,0)-1&amp;""),
 1,
MATCH(BR32,INDIRECT("'数出表_Excel（アレルギー入力）'!"&amp;BQ29-1&amp;":"&amp;BQ29-1&amp;""),0)),
 "")="",
IFERROR(
INDEX(INDIRECT("'数出表_Excel（アレルギー入力）'!B"&amp;MATCH(BV29,'数出表_Excel（アレルギー入力）'!$A:$A,0)-1&amp;":AC"&amp;MATCH(BV29,'数出表_Excel（アレルギー入力）'!$A:$A,0)-1&amp;""),
 1,
MATCH(TRUE,INDEX(INDIRECT("'数出表_Excel（アレルギー入力）'!B"&amp;BQ29-1&amp;":AC"&amp;BQ29-1&amp;"")&lt;&gt;"",0),0)+1),
 ""),
IFERROR(
INDEX(INDIRECT("'数出表_Excel（アレルギー入力）'!B"&amp;MATCH(BV29,'数出表_Excel（アレルギー入力）'!$A:$A,0)-1&amp;":AC"&amp;MATCH(BV29,'数出表_Excel（アレルギー入力）'!$A:$A,0)-1&amp;""),
 1,
MATCH(BR32,INDIRECT("'数出表_Excel（アレルギー入力）'!"&amp;BQ29-1&amp;":"&amp;BQ29-1&amp;""),0)),
 "")),0),"")</f>
        <v/>
      </c>
      <c r="BV35" s="151"/>
      <c r="BX35" s="146">
        <f t="shared" si="2"/>
        <v>14</v>
      </c>
      <c r="BY35" s="132" t="str">
        <f t="array" aca="1" ref="BY35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LEN(SUBSTITUTE(_xlfn.FORMULATEXT(BY$27),"=","")))+$BX35)</f>
        <v/>
      </c>
      <c r="BZ35" s="132" t="str">
        <f t="array" aca="1" ref="BZ35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LEN(SUBSTITUTE(_xlfn.FORMULATEXT(BZ$27),"=","")))+$BX35)</f>
        <v/>
      </c>
      <c r="CA35" s="132" t="str">
        <f t="array" aca="1" ref="CA35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LEN(SUBSTITUTE(_xlfn.FORMULATEXT(CA$27),"=","")))+$BX35)</f>
        <v/>
      </c>
      <c r="CB35" s="132" t="str">
        <f t="array" aca="1" ref="CB35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LEN(SUBSTITUTE(_xlfn.FORMULATEXT(CB$27),"=","")))+$BX35)</f>
        <v/>
      </c>
      <c r="CC35" s="132" t="str">
        <f t="array" aca="1" ref="CC35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LEN(SUBSTITUTE(_xlfn.FORMULATEXT(CC$27),"=","")))+$BX35)</f>
        <v/>
      </c>
      <c r="CD35" s="132" t="str">
        <f t="array" aca="1" ref="CD35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LEN(SUBSTITUTE(_xlfn.FORMULATEXT(CD$27),"=","")))+$BX35)</f>
        <v/>
      </c>
      <c r="CE35" s="132" t="str">
        <f t="array" aca="1" ref="CE35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LEN(SUBSTITUTE(_xlfn.FORMULATEXT(CE$27),"=","")))+$BX35)</f>
        <v/>
      </c>
      <c r="CF35" s="132" t="str">
        <f t="array" aca="1" ref="CF35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LEN(SUBSTITUTE(_xlfn.FORMULATEXT(CF$27),"=","")))+$BX35)</f>
        <v/>
      </c>
      <c r="CG35" s="132" t="str">
        <f t="array" aca="1" ref="CG35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LEN(SUBSTITUTE(_xlfn.FORMULATEXT(CG$27),"=","")))+$BX35)</f>
        <v/>
      </c>
      <c r="CH35" s="132" t="str">
        <f t="array" aca="1" ref="CH35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LEN(SUBSTITUTE(_xlfn.FORMULATEXT(CH$27),"=","")))+$BX35)</f>
        <v/>
      </c>
      <c r="CI35" s="132">
        <f t="shared" ca="1" si="3"/>
        <v>0</v>
      </c>
      <c r="CJ35" s="132" t="b">
        <f t="array" aca="1" ref="CJ35" ca="1">SUMPRODUCT((LEN(BY35:CH35)&gt;0)*1)&gt;0</f>
        <v>0</v>
      </c>
      <c r="CK35" s="132" t="str" cm="1">
        <f t="array" aca="1" ref="CK35" ca="1">IFERROR(SMALL(IF(CI$1:CI$150&lt;&gt;0,CI$1:CI$150),ROW(A35)),"")</f>
        <v/>
      </c>
      <c r="CL35" s="132" t="str">
        <f t="array" aca="1" ref="CL35" ca="1">IF($CK35&lt;&gt;"",
INDIRECT(""&amp;IF(COLUMN(BY35)&lt;=26,CHAR(COLUMN(BY35)+64),CHAR(INT((COLUMN(BY35)-1)/26)+64)&amp;CHAR(MOD(COLUMN(BY35)-1,26)+65))&amp;$CK35&amp;""),"")</f>
        <v/>
      </c>
      <c r="CM35" s="132" t="str">
        <f t="array" aca="1" ref="CM35" ca="1">IF($CK35&lt;&gt;"",
INDIRECT(""&amp;IF(COLUMN(BZ35)&lt;=26,CHAR(COLUMN(BZ35)+64),CHAR(INT((COLUMN(BZ35)-1)/26)+64)&amp;CHAR(MOD(COLUMN(BZ35)-1,26)+65))&amp;$CK35&amp;""),"")</f>
        <v/>
      </c>
      <c r="CN35" s="132" t="str">
        <f t="array" aca="1" ref="CN35" ca="1">IF($CK35&lt;&gt;"",
INDIRECT(""&amp;IF(COLUMN(CA35)&lt;=26,CHAR(COLUMN(CA35)+64),CHAR(INT((COLUMN(CA35)-1)/26)+64)&amp;CHAR(MOD(COLUMN(CA35)-1,26)+65))&amp;$CK35&amp;""),"")</f>
        <v/>
      </c>
      <c r="CO35" s="132" t="str">
        <f t="array" aca="1" ref="CO35" ca="1">IF($CK35&lt;&gt;"",
INDIRECT(""&amp;IF(COLUMN(CB35)&lt;=26,CHAR(COLUMN(CB35)+64),CHAR(INT((COLUMN(CB35)-1)/26)+64)&amp;CHAR(MOD(COLUMN(CB35)-1,26)+65))&amp;$CK35&amp;""),"")</f>
        <v/>
      </c>
      <c r="CP35" s="132" t="str">
        <f t="array" aca="1" ref="CP35" ca="1">IF($CK35&lt;&gt;"",
INDIRECT(""&amp;IF(COLUMN(CC35)&lt;=26,CHAR(COLUMN(CC35)+64),CHAR(INT((COLUMN(CC35)-1)/26)+64)&amp;CHAR(MOD(COLUMN(CC35)-1,26)+65))&amp;$CK35&amp;""),"")</f>
        <v/>
      </c>
      <c r="CQ35" s="132" t="str">
        <f t="array" aca="1" ref="CQ35" ca="1">IF($CK35&lt;&gt;"",
INDIRECT(""&amp;IF(COLUMN(CD35)&lt;=26,CHAR(COLUMN(CD35)+64),CHAR(INT((COLUMN(CD35)-1)/26)+64)&amp;CHAR(MOD(COLUMN(CD35)-1,26)+65))&amp;$CK35&amp;""),"")</f>
        <v/>
      </c>
      <c r="CR35" s="132" t="str">
        <f t="array" aca="1" ref="CR35" ca="1">IF($CK35&lt;&gt;"",
INDIRECT(""&amp;IF(COLUMN(CE35)&lt;=26,CHAR(COLUMN(CE35)+64),CHAR(INT((COLUMN(CE35)-1)/26)+64)&amp;CHAR(MOD(COLUMN(CE35)-1,26)+65))&amp;$CK35&amp;""),"")</f>
        <v/>
      </c>
      <c r="CS35" s="132" t="str">
        <f t="array" aca="1" ref="CS35" ca="1">IF($CK35&lt;&gt;"",
INDIRECT(""&amp;IF(COLUMN(CF35)&lt;=26,CHAR(COLUMN(CF35)+64),CHAR(INT((COLUMN(CF35)-1)/26)+64)&amp;CHAR(MOD(COLUMN(CF35)-1,26)+65))&amp;$CK35&amp;""),"")</f>
        <v/>
      </c>
      <c r="CT35" s="132" t="str">
        <f t="array" aca="1" ref="CT35" ca="1">IF($CK35&lt;&gt;"",
INDIRECT(""&amp;IF(COLUMN(CG35)&lt;=26,CHAR(COLUMN(CG35)+64),CHAR(INT((COLUMN(CG35)-1)/26)+64)&amp;CHAR(MOD(COLUMN(CG35)-1,26)+65))&amp;$CK35&amp;""),"")</f>
        <v/>
      </c>
      <c r="CU35" s="132" t="str">
        <f t="array" aca="1" ref="CU35" ca="1">IF($CK35&lt;&gt;"",
INDIRECT(""&amp;IF(COLUMN(CH35)&lt;=26,CHAR(COLUMN(CH35)+64),CHAR(INT((COLUMN(CH35)-1)/26)+64)&amp;CHAR(MOD(COLUMN(CH35)-1,26)+65))&amp;$CK35&amp;""),"")</f>
        <v/>
      </c>
    </row>
    <row r="36" spans="1:99" s="132" customFormat="1" ht="19.2" customHeight="1" x14ac:dyDescent="0.55000000000000004">
      <c r="A36" s="129" t="e" cm="1">
        <f t="array" aca="1" ref="A36" ca="1">IF(AND(LEFT(N29,2)="博多",LEFT(INDIRECT("数出表_Excel!A"&amp;I29-1),2)=LEFT(INDIRECT("数出表_Excel!A"&amp;I29+1),2)),
IF(AND(LEFT(INDIRECT("数出表_Excel!A"&amp;I29+2),2)="博多",LEFT(INDIRECT("数出表_Excel!A"&amp;I29+1),2)=LEFT(INDIRECT("数出表_Excel!A"&amp;I29+3),2)),
IF(AND(LEFT(INDIRECT("数出表_Excel!A"&amp;I29+4),2)="博多",LEFT(INDIRECT("数出表_Excel!A"&amp;I29+3),2)=LEFT(INDIRECT("数出表_Excel!A"&amp;I29+5),2)),
I29+8,
I29+6),
I29+4),
IF(LEFT(N29,3)="奈良屋",
IF(LEFT(INDIRECT("数出表_Excel!A"&amp;I29+2),3)="奈良屋",
IF(LEFT(INDIRECT("数出表_Excel!A"&amp;I29+4),3)="奈良屋",
I29+6,
I29+4),
I29+2),
I29+2))</f>
        <v>#VALUE!</v>
      </c>
      <c r="B36" s="130" t="e">
        <f t="array" aca="1" ref="B36" ca="1">GetResult(A36)</f>
        <v>#VALUE!</v>
      </c>
      <c r="C36" s="117" t="str">
        <f ca="1">IF(C37&lt;&gt;"",
IF(LEFT(G36,2)="博多",
LEFT(G36,FIND("週",G36)-1),
G36),"")</f>
        <v/>
      </c>
      <c r="D36" s="131"/>
      <c r="E36" s="131"/>
      <c r="F36" s="131"/>
      <c r="G36" s="157" t="e">
        <f t="array" aca="1" ref="G36" ca="1">INDIRECT("数出表_Excel!A"&amp;B36)</f>
        <v>#VALUE!</v>
      </c>
      <c r="H36" s="129" t="e" cm="1">
        <f t="array" aca="1" ref="H36" ca="1">IF(AND(LEFT(G36,2)="博多",LEFT(INDIRECT("数出表_Excel!A"&amp;B36-1),2)=LEFT(INDIRECT("数出表_Excel!A"&amp;B36+1),2)),
IF(AND(LEFT(INDIRECT("数出表_Excel!A"&amp;B36+2),2)="博多",LEFT(INDIRECT("数出表_Excel!A"&amp;B36+1),2)=LEFT(INDIRECT("数出表_Excel!A"&amp;B36+3),2)),
IF(AND(LEFT(INDIRECT("数出表_Excel!A"&amp;B36+4),2)="博多",LEFT(INDIRECT("数出表_Excel!A"&amp;B36+3),2)=LEFT(INDIRECT("数出表_Excel!A"&amp;B36+5),2)),
B36+8,
B36+2),
B36+4),
IF(LEFT(G36,3)="奈良屋",
IF(LEFT(INDIRECT("数出表_Excel!A"&amp;B36+2),3)="奈良屋",
IF(LEFT(INDIRECT("数出表_Excel!A"&amp;B36+4),3)="奈良屋",
B36+6,
B36+4),
B36+2),
B36+2))</f>
        <v>#VALUE!</v>
      </c>
      <c r="I36" s="130" t="e">
        <f t="array" aca="1" ref="I36" ca="1">GetResult(H36)</f>
        <v>#VALUE!</v>
      </c>
      <c r="J36" s="117" t="str">
        <f ca="1">IF(J37&lt;&gt;"",
IF(LEFT(N36,2)="博多",
LEFT(N36,FIND("週",N36)-1),
N36),"")</f>
        <v/>
      </c>
      <c r="K36" s="131"/>
      <c r="L36" s="131"/>
      <c r="M36" s="131"/>
      <c r="N36" s="152" t="e">
        <f t="array" aca="1" ref="N36" ca="1">INDIRECT("数出表_Excel!A"&amp;I36)</f>
        <v>#VALUE!</v>
      </c>
      <c r="O36" s="129"/>
      <c r="P36" s="129" t="e">
        <f t="array" aca="1" ref="P36" ca="1">IF(LEFT(AC29,2)="博多",
IF(LEFT(INDIRECT("数出表_Excel!A"&amp;X29+2),2)="博多",
IF(LEFT(INDIRECT("数出表_Excel!A"&amp;X29+4),2)="博多",
X29+6,
X29+4),
X29+2),
IF(LEFT(AC29,3)="奈良屋",
IF(LEFT(INDIRECT("数出表_Excel!A"&amp;X29+2),3)="奈良屋",
IF(LEFT(INDIRECT("数出表_Excel!A"&amp;X29+4),3)="奈良屋",
X29+6,
X29+4),
X29+2),
X29+2))</f>
        <v>#VALUE!</v>
      </c>
      <c r="Q36" s="130" t="e">
        <f t="array" aca="1" ref="Q36" ca="1">GetResult(P36)</f>
        <v>#VALUE!</v>
      </c>
      <c r="R36" s="117" t="str">
        <f ca="1">IF(R37&lt;&gt;"",
IF(LEFT(V36,2)="博多",
LEFT(V36,FIND("週",V36)-1),
V36),"")</f>
        <v/>
      </c>
      <c r="S36" s="131"/>
      <c r="T36" s="131"/>
      <c r="U36" s="131"/>
      <c r="V36" s="152" t="e">
        <f t="array" aca="1" ref="V36" ca="1">INDIRECT("数出表_Excel!A"&amp;Q36)</f>
        <v>#VALUE!</v>
      </c>
      <c r="W36" s="129" t="e">
        <f t="array" aca="1" ref="W36" ca="1">IF(LEFT(V36,2)="博多",
IF(LEFT(INDIRECT("数出表_Excel!A"&amp;Q36+2),2)="博多",
IF(LEFT(INDIRECT("数出表_Excel!A"&amp;Q36+4),2)="博多",
Q36+6,
Q36+4),
Q36+2),
IF(LEFT(V36,3)="奈良屋",
IF(LEFT(INDIRECT("数出表_Excel!A"&amp;Q36+2),3)="奈良屋",
IF(LEFT(INDIRECT("数出表_Excel!A"&amp;Q36+4),3)="奈良屋",
Q36+6,
Q36+4),
Q36+2),
Q36+2))</f>
        <v>#VALUE!</v>
      </c>
      <c r="X36" s="130" t="e">
        <f t="array" aca="1" ref="X36" ca="1">GetResult(W36)</f>
        <v>#VALUE!</v>
      </c>
      <c r="Y36" s="117" t="str">
        <f ca="1">IF(Y37&lt;&gt;"",
IF(LEFT(AC36,2)="博多",
LEFT(AC36,FIND("週",AC36)-1),
AC36),"")</f>
        <v/>
      </c>
      <c r="Z36" s="131"/>
      <c r="AA36" s="131"/>
      <c r="AB36" s="131"/>
      <c r="AC36" s="152" t="e">
        <f t="array" aca="1" ref="AC36" ca="1">INDIRECT("数出表_Excel!A"&amp;X36)</f>
        <v>#VALUE!</v>
      </c>
      <c r="AD36" s="129"/>
      <c r="AE36" s="129" t="e">
        <f t="array" aca="1" ref="AE36" ca="1">IF(LEFT(AR29,2)="博多",
IF(LEFT(INDIRECT("数出表_Excel!A"&amp;AM29+2),2)="博多",
IF(LEFT(INDIRECT("数出表_Excel!A"&amp;AM29+4),2)="博多",
AM29+6,
AM29+4),
AM29+2),
IF(LEFT(AR29,3)="奈良屋",
IF(LEFT(INDIRECT("数出表_Excel!A"&amp;AM29+2),3)="奈良屋",
IF(LEFT(INDIRECT("数出表_Excel!A"&amp;AM29+4),3)="奈良屋",
AM29+6,
AM29+4),
AM29+2),
AM29+2))</f>
        <v>#VALUE!</v>
      </c>
      <c r="AF36" s="130" t="e">
        <f t="array" aca="1" ref="AF36" ca="1">GetResult(AE36)</f>
        <v>#VALUE!</v>
      </c>
      <c r="AG36" s="117" t="str">
        <f ca="1">IF(AG37&lt;&gt;"",
IF(LEFT(AK36,2)="博多",
LEFT(AK36,FIND("週",AK36)-1),
AK36),"")</f>
        <v/>
      </c>
      <c r="AH36" s="131"/>
      <c r="AI36" s="131"/>
      <c r="AJ36" s="131"/>
      <c r="AK36" s="152" t="e">
        <f t="array" aca="1" ref="AK36" ca="1">INDIRECT("数出表_Excel!A"&amp;AF36)</f>
        <v>#VALUE!</v>
      </c>
      <c r="AL36" s="129" t="e">
        <f t="array" aca="1" ref="AL36" ca="1">IF(LEFT(AK36,2)="博多",
IF(LEFT(INDIRECT("数出表_Excel!A"&amp;AF36+2),2)="博多",
IF(LEFT(INDIRECT("数出表_Excel!A"&amp;AF36+4),2)="博多",
AF36+6,
AF36+4),
AF36+2),
IF(LEFT(AK36,3)="奈良屋",
IF(LEFT(INDIRECT("数出表_Excel!A"&amp;AF36+2),3)="奈良屋",
IF(LEFT(INDIRECT("数出表_Excel!A"&amp;AF36+4),3)="奈良屋",
AF36+6,
AF36+4),
AF36+2),
AF36+2))</f>
        <v>#VALUE!</v>
      </c>
      <c r="AM36" s="130" t="e">
        <f t="array" aca="1" ref="AM36" ca="1">GetResult(AL36)</f>
        <v>#VALUE!</v>
      </c>
      <c r="AN36" s="117" t="str">
        <f ca="1">IF(AN37&lt;&gt;"",
IF(LEFT(AR36,2)="博多",
LEFT(AR36,FIND("週",AR36)-1),
AR36),"")</f>
        <v/>
      </c>
      <c r="AO36" s="131"/>
      <c r="AP36" s="131"/>
      <c r="AQ36" s="131"/>
      <c r="AR36" s="152" t="e">
        <f t="array" aca="1" ref="AR36" ca="1">INDIRECT("数出表_Excel!A"&amp;AM36)</f>
        <v>#VALUE!</v>
      </c>
      <c r="AS36" s="129"/>
      <c r="AT36" s="129" t="e">
        <f t="array" aca="1" ref="AT36" ca="1">IF(LEFT(BG29,2)="博多",
IF(LEFT(INDIRECT("数出表_Excel!A"&amp;BB29+2),2)="博多",
IF(LEFT(INDIRECT("数出表_Excel!A"&amp;BB29+4),2)="博多",
BB29+6,
BB29+4),
BB29+2),
IF(LEFT(BG29,3)="奈良屋",
IF(LEFT(INDIRECT("数出表_Excel!A"&amp;BB29+2),3)="奈良屋",
IF(LEFT(INDIRECT("数出表_Excel!A"&amp;BB29+4),3)="奈良屋",
BB29+6,
BB29+4),
BB29+2),
BB29+2))</f>
        <v>#VALUE!</v>
      </c>
      <c r="AU36" s="130" t="e">
        <f t="array" aca="1" ref="AU36" ca="1">GetResult(AT36)</f>
        <v>#VALUE!</v>
      </c>
      <c r="AV36" s="117" t="str">
        <f ca="1">IF(AV37&lt;&gt;"",
IF(LEFT(AZ36,2)="博多",
LEFT(AZ36,FIND("週",AZ36)-1),
AZ36),"")</f>
        <v/>
      </c>
      <c r="AW36" s="131"/>
      <c r="AX36" s="131"/>
      <c r="AY36" s="131"/>
      <c r="AZ36" s="152" t="e">
        <f t="array" aca="1" ref="AZ36" ca="1">INDIRECT("数出表_Excel!A"&amp;AU36)</f>
        <v>#VALUE!</v>
      </c>
      <c r="BA36" s="129" t="e">
        <f t="array" aca="1" ref="BA36" ca="1">IF(LEFT(AZ36,2)="博多",
IF(LEFT(INDIRECT("数出表_Excel!A"&amp;AU36+2),2)="博多",
IF(LEFT(INDIRECT("数出表_Excel!A"&amp;AU36+4),2)="博多",
AU36+6,
AU36+4),
AU36+2),
IF(LEFT(AZ36,3)="奈良屋",
IF(LEFT(INDIRECT("数出表_Excel!A"&amp;AU36+2),3)="奈良屋",
IF(LEFT(INDIRECT("数出表_Excel!A"&amp;AU36+4),3)="奈良屋",
AU36+6,
AU36+4),
AU36+2),
AU36+2))</f>
        <v>#VALUE!</v>
      </c>
      <c r="BB36" s="130" t="e">
        <f t="array" aca="1" ref="BB36" ca="1">GetResult(BA36)</f>
        <v>#VALUE!</v>
      </c>
      <c r="BC36" s="117" t="str">
        <f ca="1">IF(BC37&lt;&gt;"",
IF(LEFT(BG36,2)="博多",
LEFT(BG36,FIND("週",BG36)-1),
BG36),"")</f>
        <v/>
      </c>
      <c r="BD36" s="131"/>
      <c r="BE36" s="131"/>
      <c r="BF36" s="131"/>
      <c r="BG36" s="152" t="e">
        <f t="array" aca="1" ref="BG36" ca="1">INDIRECT("数出表_Excel!A"&amp;BB36)</f>
        <v>#VALUE!</v>
      </c>
      <c r="BH36" s="129"/>
      <c r="BI36" s="129" t="e">
        <f t="array" aca="1" ref="BI36" ca="1">IF(LEFT(BV29,2)="博多",
IF(LEFT(INDIRECT("数出表_Excel!A"&amp;BQ29+2),2)="博多",
IF(LEFT(INDIRECT("数出表_Excel!A"&amp;BQ29+4),2)="博多",
BQ29+6,
BQ29+4),
BQ29+2),
IF(LEFT(BV29,3)="奈良屋",
IF(LEFT(INDIRECT("数出表_Excel!A"&amp;BQ29+2),3)="奈良屋",
IF(LEFT(INDIRECT("数出表_Excel!A"&amp;BQ29+4),3)="奈良屋",
BQ29+6,
BQ29+4),
BQ29+2),
BQ29+2))</f>
        <v>#VALUE!</v>
      </c>
      <c r="BJ36" s="130" t="e">
        <f t="array" aca="1" ref="BJ36" ca="1">GetResult(BI36)</f>
        <v>#VALUE!</v>
      </c>
      <c r="BK36" s="117" t="str">
        <f ca="1">IF(BK37&lt;&gt;"",
IF(LEFT(BO36,2)="博多",
LEFT(BO36,FIND("週",BO36)-1),
BO36),"")</f>
        <v/>
      </c>
      <c r="BL36" s="131"/>
      <c r="BM36" s="131"/>
      <c r="BN36" s="131"/>
      <c r="BO36" s="152" t="e">
        <f t="array" aca="1" ref="BO36" ca="1">INDIRECT("数出表_Excel!A"&amp;BJ36)</f>
        <v>#VALUE!</v>
      </c>
      <c r="BP36" s="129" t="e">
        <f t="array" aca="1" ref="BP36" ca="1">IF(LEFT(BO36,2)="博多",
IF(LEFT(INDIRECT("数出表_Excel!A"&amp;BJ36+2),2)="博多",
IF(LEFT(INDIRECT("数出表_Excel!A"&amp;BJ36+4),2)="博多",
BJ36+6,
BJ36+4),
BJ36+2),
IF(LEFT(BO36,3)="奈良屋",
IF(LEFT(INDIRECT("数出表_Excel!A"&amp;BJ36+2),3)="奈良屋",
IF(LEFT(INDIRECT("数出表_Excel!A"&amp;BJ36+4),3)="奈良屋",
BJ36+6,
BJ36+4),
BJ36+2),
BJ36+2))</f>
        <v>#VALUE!</v>
      </c>
      <c r="BQ36" s="130" t="e">
        <f t="array" aca="1" ref="BQ36" ca="1">GetResult(BP36)</f>
        <v>#VALUE!</v>
      </c>
      <c r="BR36" s="117" t="str">
        <f ca="1">IF(BR37&lt;&gt;"",
IF(LEFT(BV36,2)="博多",
LEFT(BV36,FIND("週",BV36)-1),
BV36),"")</f>
        <v/>
      </c>
      <c r="BS36" s="131"/>
      <c r="BT36" s="131"/>
      <c r="BU36" s="131"/>
      <c r="BV36" s="152" t="e">
        <f t="array" aca="1" ref="BV36" ca="1">INDIRECT("数出表_Excel!A"&amp;BQ36)</f>
        <v>#VALUE!</v>
      </c>
      <c r="BW36" s="129"/>
      <c r="BX36" s="132">
        <f t="shared" si="2"/>
        <v>56</v>
      </c>
      <c r="BY36" s="132" t="str">
        <f t="array" aca="1" ref="BY36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LEN(SUBSTITUTE(_xlfn.FORMULATEXT(BY$27),"=","")))+$BX36)</f>
        <v/>
      </c>
      <c r="BZ36" s="132" t="str">
        <f t="array" aca="1" ref="BZ36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LEN(SUBSTITUTE(_xlfn.FORMULATEXT(BZ$27),"=","")))+$BX36)</f>
        <v/>
      </c>
      <c r="CA36" s="132" t="str">
        <f t="array" aca="1" ref="CA36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LEN(SUBSTITUTE(_xlfn.FORMULATEXT(CA$27),"=","")))+$BX36)</f>
        <v/>
      </c>
      <c r="CB36" s="132" t="str">
        <f t="array" aca="1" ref="CB36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LEN(SUBSTITUTE(_xlfn.FORMULATEXT(CB$27),"=","")))+$BX36)</f>
        <v/>
      </c>
      <c r="CC36" s="132" t="str">
        <f t="array" aca="1" ref="CC36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LEN(SUBSTITUTE(_xlfn.FORMULATEXT(CC$27),"=","")))+$BX36)</f>
        <v/>
      </c>
      <c r="CD36" s="132" t="str">
        <f t="array" aca="1" ref="CD36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LEN(SUBSTITUTE(_xlfn.FORMULATEXT(CD$27),"=","")))+$BX36)</f>
        <v/>
      </c>
      <c r="CE36" s="132" t="str">
        <f t="array" aca="1" ref="CE36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LEN(SUBSTITUTE(_xlfn.FORMULATEXT(CE$27),"=","")))+$BX36)</f>
        <v/>
      </c>
      <c r="CF36" s="132" t="str">
        <f t="array" aca="1" ref="CF36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LEN(SUBSTITUTE(_xlfn.FORMULATEXT(CF$27),"=","")))+$BX36)</f>
        <v/>
      </c>
      <c r="CG36" s="132" t="str">
        <f t="array" aca="1" ref="CG36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LEN(SUBSTITUTE(_xlfn.FORMULATEXT(CG$27),"=","")))+$BX36)</f>
        <v/>
      </c>
      <c r="CH36" s="132" t="str">
        <f t="array" aca="1" ref="CH36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LEN(SUBSTITUTE(_xlfn.FORMULATEXT(CH$27),"=","")))+$BX36)</f>
        <v/>
      </c>
      <c r="CI36" s="132">
        <f t="shared" ca="1" si="3"/>
        <v>0</v>
      </c>
      <c r="CJ36" s="132" t="b">
        <f t="array" aca="1" ref="CJ36" ca="1">SUMPRODUCT((LEN(BY36:CH36)&gt;0)*1)&gt;0</f>
        <v>0</v>
      </c>
      <c r="CK36" s="132" t="str" cm="1">
        <f t="array" aca="1" ref="CK36" ca="1">IFERROR(SMALL(IF(CI$1:CI$150&lt;&gt;0,CI$1:CI$150),ROW(A36)),"")</f>
        <v/>
      </c>
      <c r="CL36" s="132" t="str">
        <f t="array" aca="1" ref="CL36" ca="1">IF($CK36&lt;&gt;"",
INDIRECT(""&amp;IF(COLUMN(BY36)&lt;=26,CHAR(COLUMN(BY36)+64),CHAR(INT((COLUMN(BY36)-1)/26)+64)&amp;CHAR(MOD(COLUMN(BY36)-1,26)+65))&amp;$CK36&amp;""),"")</f>
        <v/>
      </c>
      <c r="CM36" s="132" t="str">
        <f t="array" aca="1" ref="CM36" ca="1">IF($CK36&lt;&gt;"",
INDIRECT(""&amp;IF(COLUMN(BZ36)&lt;=26,CHAR(COLUMN(BZ36)+64),CHAR(INT((COLUMN(BZ36)-1)/26)+64)&amp;CHAR(MOD(COLUMN(BZ36)-1,26)+65))&amp;$CK36&amp;""),"")</f>
        <v/>
      </c>
      <c r="CN36" s="132" t="str">
        <f t="array" aca="1" ref="CN36" ca="1">IF($CK36&lt;&gt;"",
INDIRECT(""&amp;IF(COLUMN(CA36)&lt;=26,CHAR(COLUMN(CA36)+64),CHAR(INT((COLUMN(CA36)-1)/26)+64)&amp;CHAR(MOD(COLUMN(CA36)-1,26)+65))&amp;$CK36&amp;""),"")</f>
        <v/>
      </c>
      <c r="CO36" s="132" t="str">
        <f t="array" aca="1" ref="CO36" ca="1">IF($CK36&lt;&gt;"",
INDIRECT(""&amp;IF(COLUMN(CB36)&lt;=26,CHAR(COLUMN(CB36)+64),CHAR(INT((COLUMN(CB36)-1)/26)+64)&amp;CHAR(MOD(COLUMN(CB36)-1,26)+65))&amp;$CK36&amp;""),"")</f>
        <v/>
      </c>
      <c r="CP36" s="132" t="str">
        <f t="array" aca="1" ref="CP36" ca="1">IF($CK36&lt;&gt;"",
INDIRECT(""&amp;IF(COLUMN(CC36)&lt;=26,CHAR(COLUMN(CC36)+64),CHAR(INT((COLUMN(CC36)-1)/26)+64)&amp;CHAR(MOD(COLUMN(CC36)-1,26)+65))&amp;$CK36&amp;""),"")</f>
        <v/>
      </c>
      <c r="CQ36" s="132" t="str">
        <f t="array" aca="1" ref="CQ36" ca="1">IF($CK36&lt;&gt;"",
INDIRECT(""&amp;IF(COLUMN(CD36)&lt;=26,CHAR(COLUMN(CD36)+64),CHAR(INT((COLUMN(CD36)-1)/26)+64)&amp;CHAR(MOD(COLUMN(CD36)-1,26)+65))&amp;$CK36&amp;""),"")</f>
        <v/>
      </c>
      <c r="CR36" s="132" t="str">
        <f t="array" aca="1" ref="CR36" ca="1">IF($CK36&lt;&gt;"",
INDIRECT(""&amp;IF(COLUMN(CE36)&lt;=26,CHAR(COLUMN(CE36)+64),CHAR(INT((COLUMN(CE36)-1)/26)+64)&amp;CHAR(MOD(COLUMN(CE36)-1,26)+65))&amp;$CK36&amp;""),"")</f>
        <v/>
      </c>
      <c r="CS36" s="132" t="str">
        <f t="array" aca="1" ref="CS36" ca="1">IF($CK36&lt;&gt;"",
INDIRECT(""&amp;IF(COLUMN(CF36)&lt;=26,CHAR(COLUMN(CF36)+64),CHAR(INT((COLUMN(CF36)-1)/26)+64)&amp;CHAR(MOD(COLUMN(CF36)-1,26)+65))&amp;$CK36&amp;""),"")</f>
        <v/>
      </c>
      <c r="CT36" s="132" t="str">
        <f t="array" aca="1" ref="CT36" ca="1">IF($CK36&lt;&gt;"",
INDIRECT(""&amp;IF(COLUMN(CG36)&lt;=26,CHAR(COLUMN(CG36)+64),CHAR(INT((COLUMN(CG36)-1)/26)+64)&amp;CHAR(MOD(COLUMN(CG36)-1,26)+65))&amp;$CK36&amp;""),"")</f>
        <v/>
      </c>
      <c r="CU36" s="132" t="str">
        <f t="array" aca="1" ref="CU36" ca="1">IF($CK36&lt;&gt;"",
INDIRECT(""&amp;IF(COLUMN(CH36)&lt;=26,CHAR(COLUMN(CH36)+64),CHAR(INT((COLUMN(CH36)-1)/26)+64)&amp;CHAR(MOD(COLUMN(CH36)-1,26)+65))&amp;$CK36&amp;""),"")</f>
        <v/>
      </c>
    </row>
    <row r="37" spans="1:99" s="132" customFormat="1" ht="19.2" customHeight="1" x14ac:dyDescent="0.55000000000000004">
      <c r="A37" s="129"/>
      <c r="B37" s="135" t="e">
        <f t="array" aca="1" ref="B37" ca="1">IF(B38&lt;&gt;100,
IF(C39&lt;&gt;"",MATCH(C39,INDIRECT("数出表_Excel!B"&amp;MATCH(G36,数出表_Excel!$A:$A,0)-1&amp;":U"&amp;MATCH(G36,数出表_Excel!$A:$A,0)-1&amp;""),0)+1,""),
IF(C39&lt;&gt;"",
MATCH(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""),
INDIRECT("数出表_Excel!B"&amp;MATCH(G36,数出表_Excel!$A:$A,0)-1&amp;":U"&amp;MATCH(G36,数出表_Excel!$A:$A,0)-1&amp;""),0)+1,""))</f>
        <v>#VALUE!</v>
      </c>
      <c r="C37" s="70" t="str">
        <f t="array" aca="1" ref="C37" ca="1">IF(COUNTIF(G36,"*合計*"),"",
IF(IFERROR(INDIRECT("数出表_Excel!" &amp;
CHAR(MATCH(TRUE,
ISNUMBER(--INDIRECT("数出表_Excel!B"&amp;MATCH(G36,数出表_Excel!$A:$A,0)-1&amp;":U"&amp;MATCH(G36,数出表_Excel!$A:$A,0)-1&amp;"")),0)+65) &amp; "3"),0)=0,"",
IFERROR(INDIRECT("数出表_Excel!" &amp;
CHAR(MATCH(TRUE,
ISNUMBER(--INDIRECT("数出表_Excel!B"&amp;MATCH(G36,数出表_Excel!$A:$A,0)-1&amp;":U"&amp;MATCH(G36,数出表_Excel!$A:$A,0)-1&amp;"")),0)+65) &amp; "3"),"")))</f>
        <v/>
      </c>
      <c r="D37" s="129"/>
      <c r="E37" s="136" t="str">
        <f ca="1">IF(F37&lt;&gt;"","",
IF(C36&lt;&gt;"",
IFERROR(
INDEX('数出表_Excel（アレルギー入力）'!$4:$4,
 1,
MATCH(C39,INDIRECT("'数出表_Excel（アレルギー入力）'!"&amp;B36-1&amp;":"&amp;B36-1&amp;""),0)),
 "")
&amp;IFERROR(
INDEX('数出表_Excel（アレルギー入力）'!$5:$5,
 1,
MATCH(C39,INDIRECT("'数出表_Excel（アレルギー入力）'!"&amp;B36-1&amp;":"&amp;B36-1&amp;""),0)),
 ""),""))</f>
        <v/>
      </c>
      <c r="F37" s="137" t="str">
        <f t="array" aca="1" ref="F37" ca="1">IF(C37&lt;&gt;"",
IF(MATCH(TRUE,
ISNUMBER(--INDIRECT("数出表_Excel!B"&amp;MATCH(G36,数出表_Excel!$A:$A,0)-1&amp;":U"&amp;MATCH(G36,数出表_Excel!$A:$A,0)-1&amp;"")),0)&gt;10,
IF(C37&lt;&gt;"",
IF(IF(COUNTIF('盛付札（関数）'!C37,"*キャラ*"),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VLOOKUP('盛付札（関数）'!C37,商品マスタ一覧!$D:$J,7,FALSE)))=0,"",
IF(ROUND(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VLOOKUP('盛付札（関数）'!C37,商品マスタ一覧!$D:$J,7,FALSE))),0)&lt;=0,1,
ROUND(
IF(F42&lt;&gt;"",(C39-F42),C39)
/IF(COUNTIF('盛付札（関数）'!C37,"*キャラ*"),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VLOOKUP('盛付札（関数）'!C37,商品マスタ一覧!$D:$J,7,FALSE))),0))),""),""),"")</f>
        <v/>
      </c>
      <c r="G37" s="158" t="str">
        <f ca="1">IF(F37&lt;&gt;"",IF(VALUE(IF(F42&lt;&gt;"",C39-F42,C39))&gt;VALUE(IF(COUNTIF('盛付札（関数）'!C37,"*キャラ*"),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
"+"&amp;IF(F42&lt;&gt;"",C39-F42,C39)-IF(COUNTIF('盛付札（関数）'!C37,"*キャラ*"),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VLOOKUP('盛付札（関数）'!C37,商品マスタ一覧!$D:$J,7,FALSE)))*F37,
IF(F42&lt;&gt;"",C39-F42,C39)-IF(COUNTIF('盛付札（関数）'!C37,"*キャラ*"),
VLOOKUP("*キャラ*",商品マスタ一覧!$D:$J,7,FALSE),
IF(COUNTIF('盛付札（関数）'!C37,"*赤*"),
VLOOKUP("*赤*",商品マスタ一覧!$D:$J,7,FALSE),
VLOOKUP('盛付札（関数）'!C37,商品マスタ一覧!$D:$J,7,FALSE)))*F37),"")</f>
        <v/>
      </c>
      <c r="H37" s="129"/>
      <c r="I37" s="135" t="e">
        <f t="array" aca="1" ref="I37" ca="1">IF(I38&lt;&gt;100,
IF(J39&lt;&gt;"",MATCH(J39,INDIRECT("数出表_Excel!B"&amp;MATCH(N36,数出表_Excel!$A:$A,0)-1&amp;":U"&amp;MATCH(N36,数出表_Excel!$A:$A,0)-1&amp;""),0)+1,""),
IF(J39&lt;&gt;"",
MATCH(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""),
INDIRECT("数出表_Excel!B"&amp;MATCH(N36,数出表_Excel!$A:$A,0)-1&amp;":U"&amp;MATCH(N36,数出表_Excel!$A:$A,0)-1&amp;""),0)+1,""))</f>
        <v>#VALUE!</v>
      </c>
      <c r="J37" s="70" t="str">
        <f t="array" aca="1" ref="J37" ca="1">IF(COUNTIF(N36,"*合計*"),"",
IF(IFERROR(INDIRECT("数出表_Excel!" &amp;
CHAR(MATCH(TRUE,
ISNUMBER(--INDIRECT("数出表_Excel!B"&amp;MATCH(N36,数出表_Excel!$A:$A,0)-1&amp;":U"&amp;MATCH(N36,数出表_Excel!$A:$A,0)-1&amp;"")),0)+65) &amp; "3"),0)=0,"",
IFERROR(INDIRECT("数出表_Excel!" &amp;
CHAR(MATCH(TRUE,
ISNUMBER(--INDIRECT("数出表_Excel!B"&amp;MATCH(N36,数出表_Excel!$A:$A,0)-1&amp;":U"&amp;MATCH(N36,数出表_Excel!$A:$A,0)-1&amp;"")),0)+65) &amp; "3"),"")))</f>
        <v/>
      </c>
      <c r="K37" s="129"/>
      <c r="L37" s="136" t="str">
        <f ca="1">IF(M37&lt;&gt;"","",
IF(J36&lt;&gt;"",
IFERROR(
INDEX('数出表_Excel（アレルギー入力）'!$4:$4,
 1,
MATCH(J39,INDIRECT("'数出表_Excel（アレルギー入力）'!"&amp;I36-1&amp;":"&amp;I36-1&amp;""),0)),
 "")
&amp;IFERROR(
INDEX('数出表_Excel（アレルギー入力）'!$5:$5,
 1,
MATCH(J39,INDIRECT("'数出表_Excel（アレルギー入力）'!"&amp;I36-1&amp;":"&amp;I36-1&amp;""),0)),
 ""),""))</f>
        <v/>
      </c>
      <c r="M37" s="137" t="str">
        <f t="array" aca="1" ref="M37" ca="1">IF(J37&lt;&gt;"",
IF(MATCH(TRUE,
ISNUMBER(--INDIRECT("数出表_Excel!B"&amp;MATCH(N36,数出表_Excel!$A:$A,0)-1&amp;":U"&amp;MATCH(N36,数出表_Excel!$A:$A,0)-1&amp;"")),0)&gt;10,
IF(J37&lt;&gt;"",
IF(IF(COUNTIF('盛付札（関数）'!J37,"*キャラ*"),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VLOOKUP('盛付札（関数）'!J37,商品マスタ一覧!$D:$J,7,FALSE)))=0,"",
IF(ROUND(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VLOOKUP('盛付札（関数）'!J37,商品マスタ一覧!$D:$J,7,FALSE))),0)&lt;=0,1,
ROUND(
IF(M42&lt;&gt;"",(J39-M42),J39)
/IF(COUNTIF('盛付札（関数）'!J37,"*キャラ*"),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VLOOKUP('盛付札（関数）'!J37,商品マスタ一覧!$D:$J,7,FALSE))),0))),""),""),"")</f>
        <v/>
      </c>
      <c r="N37" s="153" t="str">
        <f ca="1">IF(M37&lt;&gt;"",IF(VALUE(IF(M42&lt;&gt;"",J39-M42,J39))&gt;VALUE(IF(COUNTIF('盛付札（関数）'!J37,"*キャラ*"),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
"+"&amp;IF(M42&lt;&gt;"",J39-M42,J39)-IF(COUNTIF('盛付札（関数）'!J37,"*キャラ*"),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VLOOKUP('盛付札（関数）'!J37,商品マスタ一覧!$D:$J,7,FALSE)))*M37,
IF(M42&lt;&gt;"",J39-M42,J39)-IF(COUNTIF('盛付札（関数）'!J37,"*キャラ*"),
VLOOKUP("*キャラ*",商品マスタ一覧!$D:$J,7,FALSE),
IF(COUNTIF('盛付札（関数）'!J37,"*赤*"),
VLOOKUP("*赤*",商品マスタ一覧!$D:$J,7,FALSE),
VLOOKUP('盛付札（関数）'!J37,商品マスタ一覧!$D:$J,7,FALSE)))*M37),"")</f>
        <v/>
      </c>
      <c r="O37" s="129"/>
      <c r="P37" s="129"/>
      <c r="Q37" s="135" t="e">
        <f t="array" aca="1" ref="Q37" ca="1">IF(Q38&lt;&gt;100,
IF(R39&lt;&gt;"",MATCH(R39,INDIRECT("数出表_Excel!B"&amp;MATCH(V36,数出表_Excel!$A:$A,0)-1&amp;":U"&amp;MATCH(V36,数出表_Excel!$A:$A,0)-1&amp;""),0)+1,""),
IF(R39&lt;&gt;"",
MATCH(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""),
INDIRECT("数出表_Excel!B"&amp;MATCH(V36,数出表_Excel!$A:$A,0)-1&amp;":U"&amp;MATCH(V36,数出表_Excel!$A:$A,0)-1&amp;""),0)+1,""))</f>
        <v>#VALUE!</v>
      </c>
      <c r="R37" s="70" t="str">
        <f t="array" aca="1" ref="R37" ca="1">IF(COUNTIF(V36,"*合計*"),"",
IF(IFERROR(INDIRECT("数出表_Excel!" &amp;
CHAR(MATCH(TRUE,
ISNUMBER(--INDIRECT("数出表_Excel!B"&amp;MATCH(V36,数出表_Excel!$A:$A,0)-1&amp;":U"&amp;MATCH(V36,数出表_Excel!$A:$A,0)-1&amp;"")),0)+65) &amp; "3"),0)=0,"",
IFERROR(INDIRECT("数出表_Excel!" &amp;
CHAR(MATCH(TRUE,
ISNUMBER(--INDIRECT("数出表_Excel!B"&amp;MATCH(V36,数出表_Excel!$A:$A,0)-1&amp;":U"&amp;MATCH(V36,数出表_Excel!$A:$A,0)-1&amp;"")),0)+65) &amp; "3"),"")))</f>
        <v/>
      </c>
      <c r="S37" s="129"/>
      <c r="T37" s="136" t="str">
        <f ca="1">IF(U37&lt;&gt;"","",
IF(R36&lt;&gt;"",
IFERROR(
INDEX('数出表_Excel（アレルギー入力）'!$4:$4,
 1,
MATCH(R39,INDIRECT("'数出表_Excel（アレルギー入力）'!"&amp;Q36-1&amp;":"&amp;Q36-1&amp;""),0)),
 "")
&amp;IFERROR(
INDEX('数出表_Excel（アレルギー入力）'!$5:$5,
 1,
MATCH(R39,INDIRECT("'数出表_Excel（アレルギー入力）'!"&amp;Q36-1&amp;":"&amp;Q36-1&amp;""),0)),
 ""),""))</f>
        <v/>
      </c>
      <c r="U37" s="137" t="str">
        <f t="array" aca="1" ref="U37" ca="1">IF(R37&lt;&gt;"",
IF(MATCH(TRUE,
ISNUMBER(--INDIRECT("数出表_Excel!B"&amp;MATCH(V36,数出表_Excel!$A:$A,0)-1&amp;":U"&amp;MATCH(V36,数出表_Excel!$A:$A,0)-1&amp;"")),0)&gt;10,
IF(R37&lt;&gt;"",
IF(IF(COUNTIF('盛付札（関数）'!R37,"*キャラ*"),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VLOOKUP('盛付札（関数）'!R37,商品マスタ一覧!$D:$J,7,FALSE)))=0,"",
IF(ROUND(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VLOOKUP('盛付札（関数）'!R37,商品マスタ一覧!$D:$J,7,FALSE))),0)&lt;=0,1,
ROUND(
IF(U42&lt;&gt;"",(R39-U42),R39)
/IF(COUNTIF('盛付札（関数）'!R37,"*キャラ*"),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VLOOKUP('盛付札（関数）'!R37,商品マスタ一覧!$D:$J,7,FALSE))),0))),""),""),"")</f>
        <v/>
      </c>
      <c r="V37" s="153" t="str">
        <f ca="1">IF(U37&lt;&gt;"",IF(VALUE(IF(U42&lt;&gt;"",R39-U42,R39))&gt;VALUE(IF(COUNTIF('盛付札（関数）'!R37,"*キャラ*"),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
"+"&amp;IF(U42&lt;&gt;"",R39-U42,R39)-IF(COUNTIF('盛付札（関数）'!R37,"*キャラ*"),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VLOOKUP('盛付札（関数）'!R37,商品マスタ一覧!$D:$J,7,FALSE)))*U37,
IF(U42&lt;&gt;"",R39-U42,R39)-IF(COUNTIF('盛付札（関数）'!R37,"*キャラ*"),
VLOOKUP("*キャラ*",商品マスタ一覧!$D:$J,7,FALSE),
IF(COUNTIF('盛付札（関数）'!R37,"*赤*"),
VLOOKUP("*赤*",商品マスタ一覧!$D:$J,7,FALSE),
VLOOKUP('盛付札（関数）'!R37,商品マスタ一覧!$D:$J,7,FALSE)))*U37),"")</f>
        <v/>
      </c>
      <c r="W37" s="129"/>
      <c r="X37" s="135" t="e">
        <f t="array" aca="1" ref="X37" ca="1">IF(X38&lt;&gt;100,
IF(Y39&lt;&gt;"",MATCH(Y39,INDIRECT("数出表_Excel!B"&amp;MATCH(AC36,数出表_Excel!$A:$A,0)-1&amp;":U"&amp;MATCH(AC36,数出表_Excel!$A:$A,0)-1&amp;""),0)+1,""),
IF(Y39&lt;&gt;"",
MATCH(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""),
INDIRECT("数出表_Excel!B"&amp;MATCH(AC36,数出表_Excel!$A:$A,0)-1&amp;":U"&amp;MATCH(AC36,数出表_Excel!$A:$A,0)-1&amp;""),0)+1,""))</f>
        <v>#VALUE!</v>
      </c>
      <c r="Y37" s="70" t="str">
        <f t="array" aca="1" ref="Y37" ca="1">IF(COUNTIF(AC36,"*合計*"),"",
IF(IFERROR(INDIRECT("数出表_Excel!" &amp;
CHAR(MATCH(TRUE,
ISNUMBER(--INDIRECT("数出表_Excel!B"&amp;MATCH(AC36,数出表_Excel!$A:$A,0)-1&amp;":U"&amp;MATCH(AC36,数出表_Excel!$A:$A,0)-1&amp;"")),0)+65) &amp; "3"),0)=0,"",
IFERROR(INDIRECT("数出表_Excel!" &amp;
CHAR(MATCH(TRUE,
ISNUMBER(--INDIRECT("数出表_Excel!B"&amp;MATCH(AC36,数出表_Excel!$A:$A,0)-1&amp;":U"&amp;MATCH(AC36,数出表_Excel!$A:$A,0)-1&amp;"")),0)+65) &amp; "3"),"")))</f>
        <v/>
      </c>
      <c r="Z37" s="129"/>
      <c r="AA37" s="136" t="str">
        <f ca="1">IF(AB37&lt;&gt;"","",
IF(Y36&lt;&gt;"",
IFERROR(
INDEX('数出表_Excel（アレルギー入力）'!$4:$4,
 1,
MATCH(Y39,INDIRECT("'数出表_Excel（アレルギー入力）'!"&amp;X36-1&amp;":"&amp;X36-1&amp;""),0)),
 "")
&amp;IFERROR(
INDEX('数出表_Excel（アレルギー入力）'!$5:$5,
 1,
MATCH(Y39,INDIRECT("'数出表_Excel（アレルギー入力）'!"&amp;X36-1&amp;":"&amp;X36-1&amp;""),0)),
 ""),""))</f>
        <v/>
      </c>
      <c r="AB37" s="137" t="str">
        <f t="array" aca="1" ref="AB37" ca="1">IF(Y37&lt;&gt;"",
IF(MATCH(TRUE,
ISNUMBER(--INDIRECT("数出表_Excel!B"&amp;MATCH(AC36,数出表_Excel!$A:$A,0)-1&amp;":U"&amp;MATCH(AC36,数出表_Excel!$A:$A,0)-1&amp;"")),0)&gt;10,
IF(Y37&lt;&gt;"",
IF(IF(COUNTIF('盛付札（関数）'!Y37,"*キャラ*"),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VLOOKUP('盛付札（関数）'!Y37,商品マスタ一覧!$D:$J,7,FALSE)))=0,"",
IF(ROUND(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VLOOKUP('盛付札（関数）'!Y37,商品マスタ一覧!$D:$J,7,FALSE))),0)&lt;=0,1,
ROUND(
IF(AB42&lt;&gt;"",(Y39-AB42),Y39)
/IF(COUNTIF('盛付札（関数）'!Y37,"*キャラ*"),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VLOOKUP('盛付札（関数）'!Y37,商品マスタ一覧!$D:$J,7,FALSE))),0))),""),""),"")</f>
        <v/>
      </c>
      <c r="AC37" s="153" t="str">
        <f ca="1">IF(AB37&lt;&gt;"",IF(VALUE(IF(AB42&lt;&gt;"",Y39-AB42,Y39))&gt;VALUE(IF(COUNTIF('盛付札（関数）'!Y37,"*キャラ*"),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
"+"&amp;IF(AB42&lt;&gt;"",Y39-AB42,Y39)-IF(COUNTIF('盛付札（関数）'!Y37,"*キャラ*"),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VLOOKUP('盛付札（関数）'!Y37,商品マスタ一覧!$D:$J,7,FALSE)))*AB37,
IF(AB42&lt;&gt;"",Y39-AB42,Y39)-IF(COUNTIF('盛付札（関数）'!Y37,"*キャラ*"),
VLOOKUP("*キャラ*",商品マスタ一覧!$D:$J,7,FALSE),
IF(COUNTIF('盛付札（関数）'!Y37,"*赤*"),
VLOOKUP("*赤*",商品マスタ一覧!$D:$J,7,FALSE),
VLOOKUP('盛付札（関数）'!Y37,商品マスタ一覧!$D:$J,7,FALSE)))*AB37),"")</f>
        <v/>
      </c>
      <c r="AD37" s="129"/>
      <c r="AE37" s="129"/>
      <c r="AF37" s="135" t="e">
        <f t="array" aca="1" ref="AF37" ca="1">IF(AF38&lt;&gt;100,
IF(AG39&lt;&gt;"",MATCH(AG39,INDIRECT("数出表_Excel!B"&amp;MATCH(AK36,数出表_Excel!$A:$A,0)-1&amp;":U"&amp;MATCH(AK36,数出表_Excel!$A:$A,0)-1&amp;""),0)+1,""),
IF(AG39&lt;&gt;"",
MATCH(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""),
INDIRECT("数出表_Excel!B"&amp;MATCH(AK36,数出表_Excel!$A:$A,0)-1&amp;":U"&amp;MATCH(AK36,数出表_Excel!$A:$A,0)-1&amp;""),0)+1,""))</f>
        <v>#VALUE!</v>
      </c>
      <c r="AG37" s="70" t="str">
        <f t="array" aca="1" ref="AG37" ca="1">IF(COUNTIF(AK36,"*合計*"),"",
IF(IFERROR(INDIRECT("数出表_Excel!" &amp;
CHAR(MATCH(TRUE,
ISNUMBER(--INDIRECT("数出表_Excel!B"&amp;MATCH(AK36,数出表_Excel!$A:$A,0)-1&amp;":U"&amp;MATCH(AK36,数出表_Excel!$A:$A,0)-1&amp;"")),0)+65) &amp; "3"),0)=0,"",
IFERROR(INDIRECT("数出表_Excel!" &amp;
CHAR(MATCH(TRUE,
ISNUMBER(--INDIRECT("数出表_Excel!B"&amp;MATCH(AK36,数出表_Excel!$A:$A,0)-1&amp;":U"&amp;MATCH(AK36,数出表_Excel!$A:$A,0)-1&amp;"")),0)+65) &amp; "3"),"")))</f>
        <v/>
      </c>
      <c r="AH37" s="129"/>
      <c r="AI37" s="136" t="str">
        <f ca="1">IF(AJ37&lt;&gt;"","",
IF(AG36&lt;&gt;"",
IFERROR(
INDEX('数出表_Excel（アレルギー入力）'!$4:$4,
 1,
MATCH(AG39,INDIRECT("'数出表_Excel（アレルギー入力）'!"&amp;AF36-1&amp;":"&amp;AF36-1&amp;""),0)),
 "")
&amp;IFERROR(
INDEX('数出表_Excel（アレルギー入力）'!$5:$5,
 1,
MATCH(AG39,INDIRECT("'数出表_Excel（アレルギー入力）'!"&amp;AF36-1&amp;":"&amp;AF36-1&amp;""),0)),
 ""),""))</f>
        <v/>
      </c>
      <c r="AJ37" s="137" t="str">
        <f t="array" aca="1" ref="AJ37" ca="1">IF(AG37&lt;&gt;"",
IF(MATCH(TRUE,
ISNUMBER(--INDIRECT("数出表_Excel!B"&amp;MATCH(AK36,数出表_Excel!$A:$A,0)-1&amp;":U"&amp;MATCH(AK36,数出表_Excel!$A:$A,0)-1&amp;"")),0)&gt;10,
IF(AG37&lt;&gt;"",
IF(IF(COUNTIF('盛付札（関数）'!AG37,"*キャラ*"),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VLOOKUP('盛付札（関数）'!AG37,商品マスタ一覧!$D:$J,7,FALSE)))=0,"",
IF(ROUND(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VLOOKUP('盛付札（関数）'!AG37,商品マスタ一覧!$D:$J,7,FALSE))),0)&lt;=0,1,
ROUND(
IF(AJ42&lt;&gt;"",(AG39-AJ42),AG39)
/IF(COUNTIF('盛付札（関数）'!AG37,"*キャラ*"),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VLOOKUP('盛付札（関数）'!AG37,商品マスタ一覧!$D:$J,7,FALSE))),0))),""),""),"")</f>
        <v/>
      </c>
      <c r="AK37" s="153" t="str">
        <f ca="1">IF(AJ37&lt;&gt;"",IF(VALUE(IF(AJ42&lt;&gt;"",AG39-AJ42,AG39))&gt;VALUE(IF(COUNTIF('盛付札（関数）'!AG37,"*キャラ*"),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
"+"&amp;IF(AJ42&lt;&gt;"",AG39-AJ42,AG39)-IF(COUNTIF('盛付札（関数）'!AG37,"*キャラ*"),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VLOOKUP('盛付札（関数）'!AG37,商品マスタ一覧!$D:$J,7,FALSE)))*AJ37,
IF(AJ42&lt;&gt;"",AG39-AJ42,AG39)-IF(COUNTIF('盛付札（関数）'!AG37,"*キャラ*"),
VLOOKUP("*キャラ*",商品マスタ一覧!$D:$J,7,FALSE),
IF(COUNTIF('盛付札（関数）'!AG37,"*赤*"),
VLOOKUP("*赤*",商品マスタ一覧!$D:$J,7,FALSE),
VLOOKUP('盛付札（関数）'!AG37,商品マスタ一覧!$D:$J,7,FALSE)))*AJ37),"")</f>
        <v/>
      </c>
      <c r="AL37" s="129"/>
      <c r="AM37" s="135" t="e">
        <f t="array" aca="1" ref="AM37" ca="1">IF(AM38&lt;&gt;100,
IF(AN39&lt;&gt;"",MATCH(AN39,INDIRECT("数出表_Excel!B"&amp;MATCH(AR36,数出表_Excel!$A:$A,0)-1&amp;":U"&amp;MATCH(AR36,数出表_Excel!$A:$A,0)-1&amp;""),0)+1,""),
IF(AN39&lt;&gt;"",
MATCH(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""),
INDIRECT("数出表_Excel!B"&amp;MATCH(AR36,数出表_Excel!$A:$A,0)-1&amp;":U"&amp;MATCH(AR36,数出表_Excel!$A:$A,0)-1&amp;""),0)+1,""))</f>
        <v>#VALUE!</v>
      </c>
      <c r="AN37" s="70" t="str">
        <f t="array" aca="1" ref="AN37" ca="1">IF(COUNTIF(AR36,"*合計*"),"",
IF(IFERROR(INDIRECT("数出表_Excel!" &amp;
CHAR(MATCH(TRUE,
ISNUMBER(--INDIRECT("数出表_Excel!B"&amp;MATCH(AR36,数出表_Excel!$A:$A,0)-1&amp;":U"&amp;MATCH(AR36,数出表_Excel!$A:$A,0)-1&amp;"")),0)+65) &amp; "3"),0)=0,"",
IFERROR(INDIRECT("数出表_Excel!" &amp;
CHAR(MATCH(TRUE,
ISNUMBER(--INDIRECT("数出表_Excel!B"&amp;MATCH(AR36,数出表_Excel!$A:$A,0)-1&amp;":U"&amp;MATCH(AR36,数出表_Excel!$A:$A,0)-1&amp;"")),0)+65) &amp; "3"),"")))</f>
        <v/>
      </c>
      <c r="AO37" s="129"/>
      <c r="AP37" s="136" t="str">
        <f ca="1">IF(AQ37&lt;&gt;"","",
IF(AN36&lt;&gt;"",
IFERROR(
INDEX('数出表_Excel（アレルギー入力）'!$4:$4,
 1,
MATCH(AN39,INDIRECT("'数出表_Excel（アレルギー入力）'!"&amp;AM36-1&amp;":"&amp;AM36-1&amp;""),0)),
 "")
&amp;IFERROR(
INDEX('数出表_Excel（アレルギー入力）'!$5:$5,
 1,
MATCH(AN39,INDIRECT("'数出表_Excel（アレルギー入力）'!"&amp;AM36-1&amp;":"&amp;AM36-1&amp;""),0)),
 ""),""))</f>
        <v/>
      </c>
      <c r="AQ37" s="137" t="str">
        <f t="array" aca="1" ref="AQ37" ca="1">IF(AN37&lt;&gt;"",
IF(MATCH(TRUE,
ISNUMBER(--INDIRECT("数出表_Excel!B"&amp;MATCH(AR36,数出表_Excel!$A:$A,0)-1&amp;":U"&amp;MATCH(AR36,数出表_Excel!$A:$A,0)-1&amp;"")),0)&gt;10,
IF(AN37&lt;&gt;"",
IF(IF(COUNTIF('盛付札（関数）'!AN37,"*キャラ*"),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VLOOKUP('盛付札（関数）'!AN37,商品マスタ一覧!$D:$J,7,FALSE)))=0,"",
IF(ROUND(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VLOOKUP('盛付札（関数）'!AN37,商品マスタ一覧!$D:$J,7,FALSE))),0)&lt;=0,1,
ROUND(
IF(AQ42&lt;&gt;"",(AN39-AQ42),AN39)
/IF(COUNTIF('盛付札（関数）'!AN37,"*キャラ*"),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VLOOKUP('盛付札（関数）'!AN37,商品マスタ一覧!$D:$J,7,FALSE))),0))),""),""),"")</f>
        <v/>
      </c>
      <c r="AR37" s="153" t="str">
        <f ca="1">IF(AQ37&lt;&gt;"",IF(VALUE(IF(AQ42&lt;&gt;"",AN39-AQ42,AN39))&gt;VALUE(IF(COUNTIF('盛付札（関数）'!AN37,"*キャラ*"),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
"+"&amp;IF(AQ42&lt;&gt;"",AN39-AQ42,AN39)-IF(COUNTIF('盛付札（関数）'!AN37,"*キャラ*"),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VLOOKUP('盛付札（関数）'!AN37,商品マスタ一覧!$D:$J,7,FALSE)))*AQ37,
IF(AQ42&lt;&gt;"",AN39-AQ42,AN39)-IF(COUNTIF('盛付札（関数）'!AN37,"*キャラ*"),
VLOOKUP("*キャラ*",商品マスタ一覧!$D:$J,7,FALSE),
IF(COUNTIF('盛付札（関数）'!AN37,"*赤*"),
VLOOKUP("*赤*",商品マスタ一覧!$D:$J,7,FALSE),
VLOOKUP('盛付札（関数）'!AN37,商品マスタ一覧!$D:$J,7,FALSE)))*AQ37),"")</f>
        <v/>
      </c>
      <c r="AS37" s="129"/>
      <c r="AT37" s="129"/>
      <c r="AU37" s="135" t="e">
        <f t="array" aca="1" ref="AU37" ca="1">IF(AU38&lt;&gt;100,
IF(AV39&lt;&gt;"",MATCH(AV39,INDIRECT("数出表_Excel!B"&amp;MATCH(AZ36,数出表_Excel!$A:$A,0)-1&amp;":U"&amp;MATCH(AZ36,数出表_Excel!$A:$A,0)-1&amp;""),0)+1,""),
IF(AV39&lt;&gt;"",
MATCH(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""),
INDIRECT("数出表_Excel!B"&amp;MATCH(AZ36,数出表_Excel!$A:$A,0)-1&amp;":U"&amp;MATCH(AZ36,数出表_Excel!$A:$A,0)-1&amp;""),0)+1,""))</f>
        <v>#VALUE!</v>
      </c>
      <c r="AV37" s="70" t="str">
        <f t="array" aca="1" ref="AV37" ca="1">IF(COUNTIF(AZ36,"*合計*"),"",
IF(IFERROR(INDIRECT("数出表_Excel!" &amp;
CHAR(MATCH(TRUE,
ISNUMBER(--INDIRECT("数出表_Excel!B"&amp;MATCH(AZ36,数出表_Excel!$A:$A,0)-1&amp;":U"&amp;MATCH(AZ36,数出表_Excel!$A:$A,0)-1&amp;"")),0)+65) &amp; "3"),0)=0,"",
IFERROR(INDIRECT("数出表_Excel!" &amp;
CHAR(MATCH(TRUE,
ISNUMBER(--INDIRECT("数出表_Excel!B"&amp;MATCH(AZ36,数出表_Excel!$A:$A,0)-1&amp;":U"&amp;MATCH(AZ36,数出表_Excel!$A:$A,0)-1&amp;"")),0)+65) &amp; "3"),"")))</f>
        <v/>
      </c>
      <c r="AW37" s="129"/>
      <c r="AX37" s="136" t="str">
        <f ca="1">IF(AY37&lt;&gt;"","",
IF(AV36&lt;&gt;"",
IFERROR(
INDEX('数出表_Excel（アレルギー入力）'!$4:$4,
 1,
MATCH(AV39,INDIRECT("'数出表_Excel（アレルギー入力）'!"&amp;AU36-1&amp;":"&amp;AU36-1&amp;""),0)),
 "")
&amp;IFERROR(
INDEX('数出表_Excel（アレルギー入力）'!$5:$5,
 1,
MATCH(AV39,INDIRECT("'数出表_Excel（アレルギー入力）'!"&amp;AU36-1&amp;":"&amp;AU36-1&amp;""),0)),
 ""),""))</f>
        <v/>
      </c>
      <c r="AY37" s="137" t="str">
        <f t="array" aca="1" ref="AY37" ca="1">IF(AV37&lt;&gt;"",
IF(MATCH(TRUE,
ISNUMBER(--INDIRECT("数出表_Excel!B"&amp;MATCH(AZ36,数出表_Excel!$A:$A,0)-1&amp;":U"&amp;MATCH(AZ36,数出表_Excel!$A:$A,0)-1&amp;"")),0)&gt;10,
IF(AV37&lt;&gt;"",
IF(IF(COUNTIF('盛付札（関数）'!AV37,"*キャラ*"),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VLOOKUP('盛付札（関数）'!AV37,商品マスタ一覧!$D:$J,7,FALSE)))=0,"",
IF(ROUND(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VLOOKUP('盛付札（関数）'!AV37,商品マスタ一覧!$D:$J,7,FALSE))),0)&lt;=0,1,
ROUND(
IF(AY42&lt;&gt;"",(AV39-AY42),AV39)
/IF(COUNTIF('盛付札（関数）'!AV37,"*キャラ*"),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VLOOKUP('盛付札（関数）'!AV37,商品マスタ一覧!$D:$J,7,FALSE))),0))),""),""),"")</f>
        <v/>
      </c>
      <c r="AZ37" s="153" t="str">
        <f ca="1">IF(AY37&lt;&gt;"",IF(VALUE(IF(AY42&lt;&gt;"",AV39-AY42,AV39))&gt;VALUE(IF(COUNTIF('盛付札（関数）'!AV37,"*キャラ*"),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
"+"&amp;IF(AY42&lt;&gt;"",AV39-AY42,AV39)-IF(COUNTIF('盛付札（関数）'!AV37,"*キャラ*"),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VLOOKUP('盛付札（関数）'!AV37,商品マスタ一覧!$D:$J,7,FALSE)))*AY37,
IF(AY42&lt;&gt;"",AV39-AY42,AV39)-IF(COUNTIF('盛付札（関数）'!AV37,"*キャラ*"),
VLOOKUP("*キャラ*",商品マスタ一覧!$D:$J,7,FALSE),
IF(COUNTIF('盛付札（関数）'!AV37,"*赤*"),
VLOOKUP("*赤*",商品マスタ一覧!$D:$J,7,FALSE),
VLOOKUP('盛付札（関数）'!AV37,商品マスタ一覧!$D:$J,7,FALSE)))*AY37),"")</f>
        <v/>
      </c>
      <c r="BA37" s="129"/>
      <c r="BB37" s="135" t="e">
        <f t="array" aca="1" ref="BB37" ca="1">IF(BB38&lt;&gt;100,
IF(BC39&lt;&gt;"",MATCH(BC39,INDIRECT("数出表_Excel!B"&amp;MATCH(BG36,数出表_Excel!$A:$A,0)-1&amp;":U"&amp;MATCH(BG36,数出表_Excel!$A:$A,0)-1&amp;""),0)+1,""),
IF(BC39&lt;&gt;"",
MATCH(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""),
INDIRECT("数出表_Excel!B"&amp;MATCH(BG36,数出表_Excel!$A:$A,0)-1&amp;":U"&amp;MATCH(BG36,数出表_Excel!$A:$A,0)-1&amp;""),0)+1,""))</f>
        <v>#VALUE!</v>
      </c>
      <c r="BC37" s="70" t="str">
        <f t="array" aca="1" ref="BC37" ca="1">IF(COUNTIF(BG36,"*合計*"),"",
IF(IFERROR(INDIRECT("数出表_Excel!" &amp;
CHAR(MATCH(TRUE,
ISNUMBER(--INDIRECT("数出表_Excel!B"&amp;MATCH(BG36,数出表_Excel!$A:$A,0)-1&amp;":U"&amp;MATCH(BG36,数出表_Excel!$A:$A,0)-1&amp;"")),0)+65) &amp; "3"),0)=0,"",
IFERROR(INDIRECT("数出表_Excel!" &amp;
CHAR(MATCH(TRUE,
ISNUMBER(--INDIRECT("数出表_Excel!B"&amp;MATCH(BG36,数出表_Excel!$A:$A,0)-1&amp;":U"&amp;MATCH(BG36,数出表_Excel!$A:$A,0)-1&amp;"")),0)+65) &amp; "3"),"")))</f>
        <v/>
      </c>
      <c r="BD37" s="129"/>
      <c r="BE37" s="136" t="str">
        <f ca="1">IF(BF37&lt;&gt;"","",
IF(BC36&lt;&gt;"",
IFERROR(
INDEX('数出表_Excel（アレルギー入力）'!$4:$4,
 1,
MATCH(BC39,INDIRECT("'数出表_Excel（アレルギー入力）'!"&amp;BB36-1&amp;":"&amp;BB36-1&amp;""),0)),
 "")
&amp;IFERROR(
INDEX('数出表_Excel（アレルギー入力）'!$5:$5,
 1,
MATCH(BC39,INDIRECT("'数出表_Excel（アレルギー入力）'!"&amp;BB36-1&amp;":"&amp;BB36-1&amp;""),0)),
 ""),""))</f>
        <v/>
      </c>
      <c r="BF37" s="137" t="str">
        <f t="array" aca="1" ref="BF37" ca="1">IF(BC37&lt;&gt;"",
IF(MATCH(TRUE,
ISNUMBER(--INDIRECT("数出表_Excel!B"&amp;MATCH(BG36,数出表_Excel!$A:$A,0)-1&amp;":U"&amp;MATCH(BG36,数出表_Excel!$A:$A,0)-1&amp;"")),0)&gt;10,
IF(BC37&lt;&gt;"",
IF(IF(COUNTIF('盛付札（関数）'!BC37,"*キャラ*"),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VLOOKUP('盛付札（関数）'!BC37,商品マスタ一覧!$D:$J,7,FALSE)))=0,"",
IF(ROUND(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VLOOKUP('盛付札（関数）'!BC37,商品マスタ一覧!$D:$J,7,FALSE))),0)&lt;=0,1,
ROUND(
IF(BF42&lt;&gt;"",(BC39-BF42),BC39)
/IF(COUNTIF('盛付札（関数）'!BC37,"*キャラ*"),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VLOOKUP('盛付札（関数）'!BC37,商品マスタ一覧!$D:$J,7,FALSE))),0))),""),""),"")</f>
        <v/>
      </c>
      <c r="BG37" s="153" t="str">
        <f ca="1">IF(BF37&lt;&gt;"",IF(VALUE(IF(BF42&lt;&gt;"",BC39-BF42,BC39))&gt;VALUE(IF(COUNTIF('盛付札（関数）'!BC37,"*キャラ*"),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
"+"&amp;IF(BF42&lt;&gt;"",BC39-BF42,BC39)-IF(COUNTIF('盛付札（関数）'!BC37,"*キャラ*"),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VLOOKUP('盛付札（関数）'!BC37,商品マスタ一覧!$D:$J,7,FALSE)))*BF37,
IF(BF42&lt;&gt;"",BC39-BF42,BC39)-IF(COUNTIF('盛付札（関数）'!BC37,"*キャラ*"),
VLOOKUP("*キャラ*",商品マスタ一覧!$D:$J,7,FALSE),
IF(COUNTIF('盛付札（関数）'!BC37,"*赤*"),
VLOOKUP("*赤*",商品マスタ一覧!$D:$J,7,FALSE),
VLOOKUP('盛付札（関数）'!BC37,商品マスタ一覧!$D:$J,7,FALSE)))*BF37),"")</f>
        <v/>
      </c>
      <c r="BH37" s="129"/>
      <c r="BI37" s="129"/>
      <c r="BJ37" s="135" t="e">
        <f t="array" aca="1" ref="BJ37" ca="1">IF(BJ38&lt;&gt;100,
IF(BK39&lt;&gt;"",MATCH(BK39,INDIRECT("数出表_Excel!B"&amp;MATCH(BO36,数出表_Excel!$A:$A,0)-1&amp;":U"&amp;MATCH(BO36,数出表_Excel!$A:$A,0)-1&amp;""),0)+1,""),
IF(BK39&lt;&gt;"",
MATCH(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""),
INDIRECT("数出表_Excel!B"&amp;MATCH(BO36,数出表_Excel!$A:$A,0)-1&amp;":U"&amp;MATCH(BO36,数出表_Excel!$A:$A,0)-1&amp;""),0)+1,""))</f>
        <v>#VALUE!</v>
      </c>
      <c r="BK37" s="70" t="str">
        <f t="array" aca="1" ref="BK37" ca="1">IF(COUNTIF(BO36,"*合計*"),"",
IF(IFERROR(INDIRECT("数出表_Excel!" &amp;
CHAR(MATCH(TRUE,
ISNUMBER(--INDIRECT("数出表_Excel!B"&amp;MATCH(BO36,数出表_Excel!$A:$A,0)-1&amp;":U"&amp;MATCH(BO36,数出表_Excel!$A:$A,0)-1&amp;"")),0)+65) &amp; "3"),0)=0,"",
IFERROR(INDIRECT("数出表_Excel!" &amp;
CHAR(MATCH(TRUE,
ISNUMBER(--INDIRECT("数出表_Excel!B"&amp;MATCH(BO36,数出表_Excel!$A:$A,0)-1&amp;":U"&amp;MATCH(BO36,数出表_Excel!$A:$A,0)-1&amp;"")),0)+65) &amp; "3"),"")))</f>
        <v/>
      </c>
      <c r="BL37" s="129"/>
      <c r="BM37" s="136" t="str">
        <f ca="1">IF(BN37&lt;&gt;"","",
IF(BK36&lt;&gt;"",
IFERROR(
INDEX('数出表_Excel（アレルギー入力）'!$4:$4,
 1,
MATCH(BK39,INDIRECT("'数出表_Excel（アレルギー入力）'!"&amp;BJ36-1&amp;":"&amp;BJ36-1&amp;""),0)),
 "")
&amp;IFERROR(
INDEX('数出表_Excel（アレルギー入力）'!$5:$5,
 1,
MATCH(BK39,INDIRECT("'数出表_Excel（アレルギー入力）'!"&amp;BJ36-1&amp;":"&amp;BJ36-1&amp;""),0)),
 ""),""))</f>
        <v/>
      </c>
      <c r="BN37" s="137" t="str">
        <f t="array" aca="1" ref="BN37" ca="1">IF(BK37&lt;&gt;"",
IF(MATCH(TRUE,
ISNUMBER(--INDIRECT("数出表_Excel!B"&amp;MATCH(BO36,数出表_Excel!$A:$A,0)-1&amp;":U"&amp;MATCH(BO36,数出表_Excel!$A:$A,0)-1&amp;"")),0)&gt;10,
IF(BK37&lt;&gt;"",
IF(IF(COUNTIF('盛付札（関数）'!BK37,"*キャラ*"),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VLOOKUP('盛付札（関数）'!BK37,商品マスタ一覧!$D:$J,7,FALSE)))=0,"",
IF(ROUND(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VLOOKUP('盛付札（関数）'!BK37,商品マスタ一覧!$D:$J,7,FALSE))),0)&lt;=0,1,
ROUND(
IF(BN42&lt;&gt;"",(BK39-BN42),BK39)
/IF(COUNTIF('盛付札（関数）'!BK37,"*キャラ*"),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VLOOKUP('盛付札（関数）'!BK37,商品マスタ一覧!$D:$J,7,FALSE))),0))),""),""),"")</f>
        <v/>
      </c>
      <c r="BO37" s="153" t="str">
        <f ca="1">IF(BN37&lt;&gt;"",IF(VALUE(IF(BN42&lt;&gt;"",BK39-BN42,BK39))&gt;VALUE(IF(COUNTIF('盛付札（関数）'!BK37,"*キャラ*"),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
"+"&amp;IF(BN42&lt;&gt;"",BK39-BN42,BK39)-IF(COUNTIF('盛付札（関数）'!BK37,"*キャラ*"),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VLOOKUP('盛付札（関数）'!BK37,商品マスタ一覧!$D:$J,7,FALSE)))*BN37,
IF(BN42&lt;&gt;"",BK39-BN42,BK39)-IF(COUNTIF('盛付札（関数）'!BK37,"*キャラ*"),
VLOOKUP("*キャラ*",商品マスタ一覧!$D:$J,7,FALSE),
IF(COUNTIF('盛付札（関数）'!BK37,"*赤*"),
VLOOKUP("*赤*",商品マスタ一覧!$D:$J,7,FALSE),
VLOOKUP('盛付札（関数）'!BK37,商品マスタ一覧!$D:$J,7,FALSE)))*BN37),"")</f>
        <v/>
      </c>
      <c r="BP37" s="129"/>
      <c r="BQ37" s="135" t="e">
        <f t="array" aca="1" ref="BQ37" ca="1">IF(BQ38&lt;&gt;100,
IF(BR39&lt;&gt;"",MATCH(BR39,INDIRECT("数出表_Excel!B"&amp;MATCH(BV36,数出表_Excel!$A:$A,0)-1&amp;":U"&amp;MATCH(BV36,数出表_Excel!$A:$A,0)-1&amp;""),0)+1,""),
IF(BR39&lt;&gt;"",
MATCH(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""),
INDIRECT("数出表_Excel!B"&amp;MATCH(BV36,数出表_Excel!$A:$A,0)-1&amp;":U"&amp;MATCH(BV36,数出表_Excel!$A:$A,0)-1&amp;""),0)+1,""))</f>
        <v>#VALUE!</v>
      </c>
      <c r="BR37" s="70" t="str">
        <f t="array" aca="1" ref="BR37" ca="1">IF(COUNTIF(BV36,"*合計*"),"",
IF(IFERROR(INDIRECT("数出表_Excel!" &amp;
CHAR(MATCH(TRUE,
ISNUMBER(--INDIRECT("数出表_Excel!B"&amp;MATCH(BV36,数出表_Excel!$A:$A,0)-1&amp;":U"&amp;MATCH(BV36,数出表_Excel!$A:$A,0)-1&amp;"")),0)+65) &amp; "3"),0)=0,"",
IFERROR(INDIRECT("数出表_Excel!" &amp;
CHAR(MATCH(TRUE,
ISNUMBER(--INDIRECT("数出表_Excel!B"&amp;MATCH(BV36,数出表_Excel!$A:$A,0)-1&amp;":U"&amp;MATCH(BV36,数出表_Excel!$A:$A,0)-1&amp;"")),0)+65) &amp; "3"),"")))</f>
        <v/>
      </c>
      <c r="BS37" s="129"/>
      <c r="BT37" s="136" t="str">
        <f ca="1">IF(BU37&lt;&gt;"","",
IF(BR36&lt;&gt;"",
IFERROR(
INDEX('数出表_Excel（アレルギー入力）'!$4:$4,
 1,
MATCH(BR39,INDIRECT("'数出表_Excel（アレルギー入力）'!"&amp;BQ36-1&amp;":"&amp;BQ36-1&amp;""),0)),
 "")
&amp;IFERROR(
INDEX('数出表_Excel（アレルギー入力）'!$5:$5,
 1,
MATCH(BR39,INDIRECT("'数出表_Excel（アレルギー入力）'!"&amp;BQ36-1&amp;":"&amp;BQ36-1&amp;""),0)),
 ""),""))</f>
        <v/>
      </c>
      <c r="BU37" s="137" t="str">
        <f t="array" aca="1" ref="BU37" ca="1">IF(BR37&lt;&gt;"",
IF(MATCH(TRUE,
ISNUMBER(--INDIRECT("数出表_Excel!B"&amp;MATCH(BV36,数出表_Excel!$A:$A,0)-1&amp;":U"&amp;MATCH(BV36,数出表_Excel!$A:$A,0)-1&amp;"")),0)&gt;10,
IF(BR37&lt;&gt;"",
IF(IF(COUNTIF('盛付札（関数）'!BR37,"*キャラ*"),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VLOOKUP('盛付札（関数）'!BR37,商品マスタ一覧!$D:$J,7,FALSE)))=0,"",
IF(ROUND(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VLOOKUP('盛付札（関数）'!BR37,商品マスタ一覧!$D:$J,7,FALSE))),0)&lt;=0,1,
ROUND(
IF(BU42&lt;&gt;"",(BR39-BU42),BR39)
/IF(COUNTIF('盛付札（関数）'!BR37,"*キャラ*"),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VLOOKUP('盛付札（関数）'!BR37,商品マスタ一覧!$D:$J,7,FALSE))),0))),""),""),"")</f>
        <v/>
      </c>
      <c r="BV37" s="153" t="str">
        <f ca="1">IF(BU37&lt;&gt;"",IF(VALUE(IF(BU42&lt;&gt;"",BR39-BU42,BR39))&gt;VALUE(IF(COUNTIF('盛付札（関数）'!BR37,"*キャラ*"),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
"+"&amp;IF(BU42&lt;&gt;"",BR39-BU42,BR39)-IF(COUNTIF('盛付札（関数）'!BR37,"*キャラ*"),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VLOOKUP('盛付札（関数）'!BR37,商品マスタ一覧!$D:$J,7,FALSE)))*BU37,
IF(BU42&lt;&gt;"",BR39-BU42,BR39)-IF(COUNTIF('盛付札（関数）'!BR37,"*キャラ*"),
VLOOKUP("*キャラ*",商品マスタ一覧!$D:$J,7,FALSE),
IF(COUNTIF('盛付札（関数）'!BR37,"*赤*"),
VLOOKUP("*赤*",商品マスタ一覧!$D:$J,7,FALSE),
VLOOKUP('盛付札（関数）'!BR37,商品マスタ一覧!$D:$J,7,FALSE)))*BU37),"")</f>
        <v/>
      </c>
      <c r="BW37" s="129"/>
      <c r="BX37" s="132">
        <f t="shared" si="2"/>
        <v>21</v>
      </c>
      <c r="BY37" s="132" t="str">
        <f t="array" aca="1" ref="BY37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LEN(SUBSTITUTE(_xlfn.FORMULATEXT(BY$25),"=","")))+$BX37)</f>
        <v/>
      </c>
      <c r="BZ37" s="132" t="str">
        <f t="array" aca="1" ref="BZ37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LEN(SUBSTITUTE(_xlfn.FORMULATEXT(BZ$25),"=","")))+$BX37)</f>
        <v/>
      </c>
      <c r="CA37" s="132" t="str">
        <f t="array" aca="1" ref="CA37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LEN(SUBSTITUTE(_xlfn.FORMULATEXT(CA$25),"=","")))+$BX37)</f>
        <v/>
      </c>
      <c r="CB37" s="132" t="str">
        <f t="array" aca="1" ref="CB37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LEN(SUBSTITUTE(_xlfn.FORMULATEXT(CB$25),"=","")))+$BX37)</f>
        <v/>
      </c>
      <c r="CC37" s="132" t="str">
        <f t="array" aca="1" ref="CC37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LEN(SUBSTITUTE(_xlfn.FORMULATEXT(CC$25),"=","")))+$BX37)</f>
        <v/>
      </c>
      <c r="CD37" s="132" t="str">
        <f t="array" aca="1" ref="CD37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LEN(SUBSTITUTE(_xlfn.FORMULATEXT(CD$25),"=","")))+$BX37)</f>
        <v/>
      </c>
      <c r="CE37" s="132" t="str">
        <f t="array" aca="1" ref="CE37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LEN(SUBSTITUTE(_xlfn.FORMULATEXT(CE$25),"=","")))+$BX37)</f>
        <v/>
      </c>
      <c r="CF37" s="132" t="str">
        <f t="array" aca="1" ref="CF37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LEN(SUBSTITUTE(_xlfn.FORMULATEXT(CF$25),"=","")))+$BX37)</f>
        <v/>
      </c>
      <c r="CG37" s="132" t="str">
        <f t="array" aca="1" ref="CG37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LEN(SUBSTITUTE(_xlfn.FORMULATEXT(CG$25),"=","")))+$BX37)</f>
        <v/>
      </c>
      <c r="CH37" s="132" t="str">
        <f t="array" aca="1" ref="CH37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LEN(SUBSTITUTE(_xlfn.FORMULATEXT(CH$25),"=","")))+$BX37)</f>
        <v/>
      </c>
      <c r="CI37" s="132">
        <f t="shared" ca="1" si="3"/>
        <v>0</v>
      </c>
      <c r="CJ37" s="132" t="b">
        <f t="array" aca="1" ref="CJ37" ca="1">SUMPRODUCT((LEN(BY37:CH37)&gt;0)*1)&gt;0</f>
        <v>0</v>
      </c>
      <c r="CK37" s="132" t="str" cm="1">
        <f t="array" aca="1" ref="CK37" ca="1">IFERROR(SMALL(IF(CI$1:CI$150&lt;&gt;0,CI$1:CI$150),ROW(A37)),"")</f>
        <v/>
      </c>
      <c r="CL37" s="132" t="str">
        <f t="array" aca="1" ref="CL37" ca="1">IF($CK37&lt;&gt;"",
INDIRECT(""&amp;IF(COLUMN(BY37)&lt;=26,CHAR(COLUMN(BY37)+64),CHAR(INT((COLUMN(BY37)-1)/26)+64)&amp;CHAR(MOD(COLUMN(BY37)-1,26)+65))&amp;$CK37&amp;""),"")</f>
        <v/>
      </c>
      <c r="CM37" s="132" t="str">
        <f t="array" aca="1" ref="CM37" ca="1">IF($CK37&lt;&gt;"",
INDIRECT(""&amp;IF(COLUMN(BZ37)&lt;=26,CHAR(COLUMN(BZ37)+64),CHAR(INT((COLUMN(BZ37)-1)/26)+64)&amp;CHAR(MOD(COLUMN(BZ37)-1,26)+65))&amp;$CK37&amp;""),"")</f>
        <v/>
      </c>
      <c r="CN37" s="132" t="str">
        <f t="array" aca="1" ref="CN37" ca="1">IF($CK37&lt;&gt;"",
INDIRECT(""&amp;IF(COLUMN(CA37)&lt;=26,CHAR(COLUMN(CA37)+64),CHAR(INT((COLUMN(CA37)-1)/26)+64)&amp;CHAR(MOD(COLUMN(CA37)-1,26)+65))&amp;$CK37&amp;""),"")</f>
        <v/>
      </c>
      <c r="CO37" s="132" t="str">
        <f t="array" aca="1" ref="CO37" ca="1">IF($CK37&lt;&gt;"",
INDIRECT(""&amp;IF(COLUMN(CB37)&lt;=26,CHAR(COLUMN(CB37)+64),CHAR(INT((COLUMN(CB37)-1)/26)+64)&amp;CHAR(MOD(COLUMN(CB37)-1,26)+65))&amp;$CK37&amp;""),"")</f>
        <v/>
      </c>
      <c r="CP37" s="132" t="str">
        <f t="array" aca="1" ref="CP37" ca="1">IF($CK37&lt;&gt;"",
INDIRECT(""&amp;IF(COLUMN(CC37)&lt;=26,CHAR(COLUMN(CC37)+64),CHAR(INT((COLUMN(CC37)-1)/26)+64)&amp;CHAR(MOD(COLUMN(CC37)-1,26)+65))&amp;$CK37&amp;""),"")</f>
        <v/>
      </c>
      <c r="CQ37" s="132" t="str">
        <f t="array" aca="1" ref="CQ37" ca="1">IF($CK37&lt;&gt;"",
INDIRECT(""&amp;IF(COLUMN(CD37)&lt;=26,CHAR(COLUMN(CD37)+64),CHAR(INT((COLUMN(CD37)-1)/26)+64)&amp;CHAR(MOD(COLUMN(CD37)-1,26)+65))&amp;$CK37&amp;""),"")</f>
        <v/>
      </c>
      <c r="CR37" s="132" t="str">
        <f t="array" aca="1" ref="CR37" ca="1">IF($CK37&lt;&gt;"",
INDIRECT(""&amp;IF(COLUMN(CE37)&lt;=26,CHAR(COLUMN(CE37)+64),CHAR(INT((COLUMN(CE37)-1)/26)+64)&amp;CHAR(MOD(COLUMN(CE37)-1,26)+65))&amp;$CK37&amp;""),"")</f>
        <v/>
      </c>
      <c r="CS37" s="132" t="str">
        <f t="array" aca="1" ref="CS37" ca="1">IF($CK37&lt;&gt;"",
INDIRECT(""&amp;IF(COLUMN(CF37)&lt;=26,CHAR(COLUMN(CF37)+64),CHAR(INT((COLUMN(CF37)-1)/26)+64)&amp;CHAR(MOD(COLUMN(CF37)-1,26)+65))&amp;$CK37&amp;""),"")</f>
        <v/>
      </c>
      <c r="CT37" s="132" t="str">
        <f t="array" aca="1" ref="CT37" ca="1">IF($CK37&lt;&gt;"",
INDIRECT(""&amp;IF(COLUMN(CG37)&lt;=26,CHAR(COLUMN(CG37)+64),CHAR(INT((COLUMN(CG37)-1)/26)+64)&amp;CHAR(MOD(COLUMN(CG37)-1,26)+65))&amp;$CK37&amp;""),"")</f>
        <v/>
      </c>
      <c r="CU37" s="132" t="str">
        <f t="array" aca="1" ref="CU37" ca="1">IF($CK37&lt;&gt;"",
INDIRECT(""&amp;IF(COLUMN(CH37)&lt;=26,CHAR(COLUMN(CH37)+64),CHAR(INT((COLUMN(CH37)-1)/26)+64)&amp;CHAR(MOD(COLUMN(CH37)-1,26)+65))&amp;$CK37&amp;""),"")</f>
        <v/>
      </c>
    </row>
    <row r="38" spans="1:99" s="132" customFormat="1" ht="22.2" customHeight="1" x14ac:dyDescent="0.55000000000000004">
      <c r="A38" s="129"/>
      <c r="B38" s="138" t="e">
        <f t="array" aca="1" ref="B38" ca="1">IF(AND(LEFT(G36,2)="博多",
LEFT(INDIRECT("数出表_Excel!A"&amp;MATCH(G36,数出表_Excel!$A:$A,0)-1),2)
=LEFT(INDIRECT("数出表_Excel!A"&amp;MATCH(G36,数出表_Excel!$A:$A,0)+1),2)),100,
IF(AND(LEFT(G36,3)="奈良屋",
LEFT(INDIRECT("数出表_Excel!A"&amp;MATCH(G36,数出表_Excel!$A:$A,0)-1),2)
=LEFT(INDIRECT("数出表_Excel!A"&amp;MATCH(G36,数出表_Excel!$A:$A,0)+1),2)),200,""))</f>
        <v>#VALUE!</v>
      </c>
      <c r="C38" s="139" t="str">
        <f ca="1">IF(C37&lt;&gt;"",
"園児","")</f>
        <v/>
      </c>
      <c r="D38" s="140"/>
      <c r="E38" s="141" t="str">
        <f ca="1">IF(C37&lt;&gt;"",
"先生","")</f>
        <v/>
      </c>
      <c r="F38" s="140"/>
      <c r="G38" s="159"/>
      <c r="H38" s="129"/>
      <c r="I38" s="138" t="e">
        <f t="array" aca="1" ref="I38" ca="1">IF(AND(LEFT(N36,2)="博多",
LEFT(INDIRECT("数出表_Excel!A"&amp;MATCH(N36,数出表_Excel!$A:$A,0)-1),2)
=LEFT(INDIRECT("数出表_Excel!A"&amp;MATCH(N36,数出表_Excel!$A:$A,0)+1),2)),100,
IF(AND(LEFT(N36,3)="奈良屋",
LEFT(INDIRECT("数出表_Excel!A"&amp;MATCH(N36,数出表_Excel!$A:$A,0)-1),2)
=LEFT(INDIRECT("数出表_Excel!A"&amp;MATCH(N36,数出表_Excel!$A:$A,0)+1),2)),200,""))</f>
        <v>#VALUE!</v>
      </c>
      <c r="J38" s="139" t="str">
        <f ca="1">IF(J37&lt;&gt;"",
"園児","")</f>
        <v/>
      </c>
      <c r="K38" s="140"/>
      <c r="L38" s="141" t="str">
        <f ca="1">IF(J37&lt;&gt;"",
"先生","")</f>
        <v/>
      </c>
      <c r="M38" s="140"/>
      <c r="N38" s="154"/>
      <c r="O38" s="129"/>
      <c r="P38" s="129"/>
      <c r="Q38" s="138" t="e">
        <f t="array" aca="1" ref="Q38" ca="1">IF(AND(LEFT(V36,2)="博多",
LEFT(INDIRECT("数出表_Excel!A"&amp;MATCH(V36,数出表_Excel!$A:$A,0)-1),2)
=LEFT(INDIRECT("数出表_Excel!A"&amp;MATCH(V36,数出表_Excel!$A:$A,0)+1),2)),100,
IF(AND(LEFT(V36,3)="奈良屋",
LEFT(INDIRECT("数出表_Excel!A"&amp;MATCH(V36,数出表_Excel!$A:$A,0)-1),2)
=LEFT(INDIRECT("数出表_Excel!A"&amp;MATCH(V36,数出表_Excel!$A:$A,0)+1),2)),200,""))</f>
        <v>#VALUE!</v>
      </c>
      <c r="R38" s="139" t="str">
        <f ca="1">IF(R37&lt;&gt;"",
"園児","")</f>
        <v/>
      </c>
      <c r="S38" s="140"/>
      <c r="T38" s="141" t="str">
        <f ca="1">IF(R37&lt;&gt;"",
"先生","")</f>
        <v/>
      </c>
      <c r="U38" s="140"/>
      <c r="V38" s="154"/>
      <c r="W38" s="129"/>
      <c r="X38" s="138" t="e">
        <f t="array" aca="1" ref="X38" ca="1">IF(AND(LEFT(AC36,2)="博多",
LEFT(INDIRECT("数出表_Excel!A"&amp;MATCH(AC36,数出表_Excel!$A:$A,0)-1),2)
=LEFT(INDIRECT("数出表_Excel!A"&amp;MATCH(AC36,数出表_Excel!$A:$A,0)+1),2)),100,
IF(AND(LEFT(AC36,3)="奈良屋",
LEFT(INDIRECT("数出表_Excel!A"&amp;MATCH(AC36,数出表_Excel!$A:$A,0)-1),2)
=LEFT(INDIRECT("数出表_Excel!A"&amp;MATCH(AC36,数出表_Excel!$A:$A,0)+1),2)),200,""))</f>
        <v>#VALUE!</v>
      </c>
      <c r="Y38" s="139" t="str">
        <f ca="1">IF(Y37&lt;&gt;"",
"園児","")</f>
        <v/>
      </c>
      <c r="Z38" s="140"/>
      <c r="AA38" s="141" t="str">
        <f ca="1">IF(Y37&lt;&gt;"",
"先生","")</f>
        <v/>
      </c>
      <c r="AB38" s="140"/>
      <c r="AC38" s="154"/>
      <c r="AD38" s="129"/>
      <c r="AE38" s="129"/>
      <c r="AF38" s="138" t="e">
        <f t="array" aca="1" ref="AF38" ca="1">IF(AND(LEFT(AK36,2)="博多",
LEFT(INDIRECT("数出表_Excel!A"&amp;MATCH(AK36,数出表_Excel!$A:$A,0)-1),2)
=LEFT(INDIRECT("数出表_Excel!A"&amp;MATCH(AK36,数出表_Excel!$A:$A,0)+1),2)),100,
IF(AND(LEFT(AK36,3)="奈良屋",
LEFT(INDIRECT("数出表_Excel!A"&amp;MATCH(AK36,数出表_Excel!$A:$A,0)-1),2)
=LEFT(INDIRECT("数出表_Excel!A"&amp;MATCH(AK36,数出表_Excel!$A:$A,0)+1),2)),200,""))</f>
        <v>#VALUE!</v>
      </c>
      <c r="AG38" s="139" t="str">
        <f ca="1">IF(AG37&lt;&gt;"",
"園児","")</f>
        <v/>
      </c>
      <c r="AH38" s="140"/>
      <c r="AI38" s="141" t="str">
        <f ca="1">IF(AG37&lt;&gt;"",
"先生","")</f>
        <v/>
      </c>
      <c r="AJ38" s="140"/>
      <c r="AK38" s="154"/>
      <c r="AL38" s="129"/>
      <c r="AM38" s="138" t="e">
        <f t="array" aca="1" ref="AM38" ca="1">IF(AND(LEFT(AR36,2)="博多",
LEFT(INDIRECT("数出表_Excel!A"&amp;MATCH(AR36,数出表_Excel!$A:$A,0)-1),2)
=LEFT(INDIRECT("数出表_Excel!A"&amp;MATCH(AR36,数出表_Excel!$A:$A,0)+1),2)),100,
IF(AND(LEFT(AR36,3)="奈良屋",
LEFT(INDIRECT("数出表_Excel!A"&amp;MATCH(AR36,数出表_Excel!$A:$A,0)-1),2)
=LEFT(INDIRECT("数出表_Excel!A"&amp;MATCH(AR36,数出表_Excel!$A:$A,0)+1),2)),200,""))</f>
        <v>#VALUE!</v>
      </c>
      <c r="AN38" s="139" t="str">
        <f ca="1">IF(AN37&lt;&gt;"",
"園児","")</f>
        <v/>
      </c>
      <c r="AO38" s="140"/>
      <c r="AP38" s="141" t="str">
        <f ca="1">IF(AN37&lt;&gt;"",
"先生","")</f>
        <v/>
      </c>
      <c r="AQ38" s="140"/>
      <c r="AR38" s="154"/>
      <c r="AS38" s="129"/>
      <c r="AT38" s="129"/>
      <c r="AU38" s="138" t="e">
        <f t="array" aca="1" ref="AU38" ca="1">IF(AND(LEFT(AZ36,2)="博多",
LEFT(INDIRECT("数出表_Excel!A"&amp;MATCH(AZ36,数出表_Excel!$A:$A,0)-1),2)
=LEFT(INDIRECT("数出表_Excel!A"&amp;MATCH(AZ36,数出表_Excel!$A:$A,0)+1),2)),100,
IF(AND(LEFT(AZ36,3)="奈良屋",
LEFT(INDIRECT("数出表_Excel!A"&amp;MATCH(AZ36,数出表_Excel!$A:$A,0)-1),2)
=LEFT(INDIRECT("数出表_Excel!A"&amp;MATCH(AZ36,数出表_Excel!$A:$A,0)+1),2)),200,""))</f>
        <v>#VALUE!</v>
      </c>
      <c r="AV38" s="139" t="str">
        <f ca="1">IF(AV37&lt;&gt;"",
"園児","")</f>
        <v/>
      </c>
      <c r="AW38" s="140"/>
      <c r="AX38" s="141" t="str">
        <f ca="1">IF(AV37&lt;&gt;"",
"先生","")</f>
        <v/>
      </c>
      <c r="AY38" s="140"/>
      <c r="AZ38" s="154"/>
      <c r="BA38" s="129"/>
      <c r="BB38" s="138" t="e">
        <f t="array" aca="1" ref="BB38" ca="1">IF(AND(LEFT(BG36,2)="博多",
LEFT(INDIRECT("数出表_Excel!A"&amp;MATCH(BG36,数出表_Excel!$A:$A,0)-1),2)
=LEFT(INDIRECT("数出表_Excel!A"&amp;MATCH(BG36,数出表_Excel!$A:$A,0)+1),2)),100,
IF(AND(LEFT(BG36,3)="奈良屋",
LEFT(INDIRECT("数出表_Excel!A"&amp;MATCH(BG36,数出表_Excel!$A:$A,0)-1),2)
=LEFT(INDIRECT("数出表_Excel!A"&amp;MATCH(BG36,数出表_Excel!$A:$A,0)+1),2)),200,""))</f>
        <v>#VALUE!</v>
      </c>
      <c r="BC38" s="139" t="str">
        <f ca="1">IF(BC37&lt;&gt;"",
"園児","")</f>
        <v/>
      </c>
      <c r="BD38" s="140"/>
      <c r="BE38" s="141" t="str">
        <f ca="1">IF(BC37&lt;&gt;"",
"先生","")</f>
        <v/>
      </c>
      <c r="BF38" s="140"/>
      <c r="BG38" s="154"/>
      <c r="BH38" s="129"/>
      <c r="BI38" s="129"/>
      <c r="BJ38" s="138" t="e">
        <f t="array" aca="1" ref="BJ38" ca="1">IF(AND(LEFT(BO36,2)="博多",
LEFT(INDIRECT("数出表_Excel!A"&amp;MATCH(BO36,数出表_Excel!$A:$A,0)-1),2)
=LEFT(INDIRECT("数出表_Excel!A"&amp;MATCH(BO36,数出表_Excel!$A:$A,0)+1),2)),100,
IF(AND(LEFT(BO36,3)="奈良屋",
LEFT(INDIRECT("数出表_Excel!A"&amp;MATCH(BO36,数出表_Excel!$A:$A,0)-1),2)
=LEFT(INDIRECT("数出表_Excel!A"&amp;MATCH(BO36,数出表_Excel!$A:$A,0)+1),2)),200,""))</f>
        <v>#VALUE!</v>
      </c>
      <c r="BK38" s="139" t="str">
        <f ca="1">IF(BK37&lt;&gt;"",
"園児","")</f>
        <v/>
      </c>
      <c r="BL38" s="140"/>
      <c r="BM38" s="141" t="str">
        <f ca="1">IF(BK37&lt;&gt;"",
"先生","")</f>
        <v/>
      </c>
      <c r="BN38" s="140"/>
      <c r="BO38" s="154"/>
      <c r="BP38" s="129"/>
      <c r="BQ38" s="138" t="e">
        <f t="array" aca="1" ref="BQ38" ca="1">IF(AND(LEFT(BV36,2)="博多",
LEFT(INDIRECT("数出表_Excel!A"&amp;MATCH(BV36,数出表_Excel!$A:$A,0)-1),2)
=LEFT(INDIRECT("数出表_Excel!A"&amp;MATCH(BV36,数出表_Excel!$A:$A,0)+1),2)),100,
IF(AND(LEFT(BV36,3)="奈良屋",
LEFT(INDIRECT("数出表_Excel!A"&amp;MATCH(BV36,数出表_Excel!$A:$A,0)-1),2)
=LEFT(INDIRECT("数出表_Excel!A"&amp;MATCH(BV36,数出表_Excel!$A:$A,0)+1),2)),200,""))</f>
        <v>#VALUE!</v>
      </c>
      <c r="BR38" s="139" t="str">
        <f ca="1">IF(BR37&lt;&gt;"",
"園児","")</f>
        <v/>
      </c>
      <c r="BS38" s="140"/>
      <c r="BT38" s="141" t="str">
        <f ca="1">IF(BR37&lt;&gt;"",
"先生","")</f>
        <v/>
      </c>
      <c r="BU38" s="140"/>
      <c r="BV38" s="154"/>
      <c r="BW38" s="129"/>
      <c r="BX38" s="132">
        <f t="shared" si="2"/>
        <v>63</v>
      </c>
      <c r="BY38" s="132" t="str">
        <f t="array" aca="1" ref="BY38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LEN(SUBSTITUTE(_xlfn.FORMULATEXT(BY$25),"=","")))+$BX38)</f>
        <v/>
      </c>
      <c r="BZ38" s="132" t="str">
        <f t="array" aca="1" ref="BZ38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LEN(SUBSTITUTE(_xlfn.FORMULATEXT(BZ$25),"=","")))+$BX38)</f>
        <v/>
      </c>
      <c r="CA38" s="132" t="str">
        <f t="array" aca="1" ref="CA38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LEN(SUBSTITUTE(_xlfn.FORMULATEXT(CA$25),"=","")))+$BX38)</f>
        <v/>
      </c>
      <c r="CB38" s="132" t="str">
        <f t="array" aca="1" ref="CB38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LEN(SUBSTITUTE(_xlfn.FORMULATEXT(CB$25),"=","")))+$BX38)</f>
        <v/>
      </c>
      <c r="CC38" s="132" t="str">
        <f t="array" aca="1" ref="CC38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LEN(SUBSTITUTE(_xlfn.FORMULATEXT(CC$25),"=","")))+$BX38)</f>
        <v/>
      </c>
      <c r="CD38" s="132" t="str">
        <f t="array" aca="1" ref="CD38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LEN(SUBSTITUTE(_xlfn.FORMULATEXT(CD$25),"=","")))+$BX38)</f>
        <v/>
      </c>
      <c r="CE38" s="132" t="str">
        <f t="array" aca="1" ref="CE38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LEN(SUBSTITUTE(_xlfn.FORMULATEXT(CE$25),"=","")))+$BX38)</f>
        <v/>
      </c>
      <c r="CF38" s="132" t="str">
        <f t="array" aca="1" ref="CF38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LEN(SUBSTITUTE(_xlfn.FORMULATEXT(CF$25),"=","")))+$BX38)</f>
        <v/>
      </c>
      <c r="CG38" s="132" t="str">
        <f t="array" aca="1" ref="CG38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LEN(SUBSTITUTE(_xlfn.FORMULATEXT(CG$25),"=","")))+$BX38)</f>
        <v/>
      </c>
      <c r="CH38" s="132" t="str">
        <f t="array" aca="1" ref="CH38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LEN(SUBSTITUTE(_xlfn.FORMULATEXT(CH$25),"=","")))+$BX38)</f>
        <v/>
      </c>
      <c r="CI38" s="132">
        <f t="shared" ca="1" si="3"/>
        <v>0</v>
      </c>
      <c r="CJ38" s="132" t="b">
        <f t="array" aca="1" ref="CJ38" ca="1">SUMPRODUCT((LEN(BY38:CH38)&gt;0)*1)&gt;0</f>
        <v>0</v>
      </c>
      <c r="CK38" s="132" t="str" cm="1">
        <f t="array" aca="1" ref="CK38" ca="1">IFERROR(SMALL(IF(CI$1:CI$150&lt;&gt;0,CI$1:CI$150),ROW(A38)),"")</f>
        <v/>
      </c>
      <c r="CL38" s="132" t="str">
        <f t="array" aca="1" ref="CL38" ca="1">IF($CK38&lt;&gt;"",
INDIRECT(""&amp;IF(COLUMN(BY38)&lt;=26,CHAR(COLUMN(BY38)+64),CHAR(INT((COLUMN(BY38)-1)/26)+64)&amp;CHAR(MOD(COLUMN(BY38)-1,26)+65))&amp;$CK38&amp;""),"")</f>
        <v/>
      </c>
      <c r="CM38" s="132" t="str">
        <f t="array" aca="1" ref="CM38" ca="1">IF($CK38&lt;&gt;"",
INDIRECT(""&amp;IF(COLUMN(BZ38)&lt;=26,CHAR(COLUMN(BZ38)+64),CHAR(INT((COLUMN(BZ38)-1)/26)+64)&amp;CHAR(MOD(COLUMN(BZ38)-1,26)+65))&amp;$CK38&amp;""),"")</f>
        <v/>
      </c>
      <c r="CN38" s="132" t="str">
        <f t="array" aca="1" ref="CN38" ca="1">IF($CK38&lt;&gt;"",
INDIRECT(""&amp;IF(COLUMN(CA38)&lt;=26,CHAR(COLUMN(CA38)+64),CHAR(INT((COLUMN(CA38)-1)/26)+64)&amp;CHAR(MOD(COLUMN(CA38)-1,26)+65))&amp;$CK38&amp;""),"")</f>
        <v/>
      </c>
      <c r="CO38" s="132" t="str">
        <f t="array" aca="1" ref="CO38" ca="1">IF($CK38&lt;&gt;"",
INDIRECT(""&amp;IF(COLUMN(CB38)&lt;=26,CHAR(COLUMN(CB38)+64),CHAR(INT((COLUMN(CB38)-1)/26)+64)&amp;CHAR(MOD(COLUMN(CB38)-1,26)+65))&amp;$CK38&amp;""),"")</f>
        <v/>
      </c>
      <c r="CP38" s="132" t="str">
        <f t="array" aca="1" ref="CP38" ca="1">IF($CK38&lt;&gt;"",
INDIRECT(""&amp;IF(COLUMN(CC38)&lt;=26,CHAR(COLUMN(CC38)+64),CHAR(INT((COLUMN(CC38)-1)/26)+64)&amp;CHAR(MOD(COLUMN(CC38)-1,26)+65))&amp;$CK38&amp;""),"")</f>
        <v/>
      </c>
      <c r="CQ38" s="132" t="str">
        <f t="array" aca="1" ref="CQ38" ca="1">IF($CK38&lt;&gt;"",
INDIRECT(""&amp;IF(COLUMN(CD38)&lt;=26,CHAR(COLUMN(CD38)+64),CHAR(INT((COLUMN(CD38)-1)/26)+64)&amp;CHAR(MOD(COLUMN(CD38)-1,26)+65))&amp;$CK38&amp;""),"")</f>
        <v/>
      </c>
      <c r="CR38" s="132" t="str">
        <f t="array" aca="1" ref="CR38" ca="1">IF($CK38&lt;&gt;"",
INDIRECT(""&amp;IF(COLUMN(CE38)&lt;=26,CHAR(COLUMN(CE38)+64),CHAR(INT((COLUMN(CE38)-1)/26)+64)&amp;CHAR(MOD(COLUMN(CE38)-1,26)+65))&amp;$CK38&amp;""),"")</f>
        <v/>
      </c>
      <c r="CS38" s="132" t="str">
        <f t="array" aca="1" ref="CS38" ca="1">IF($CK38&lt;&gt;"",
INDIRECT(""&amp;IF(COLUMN(CF38)&lt;=26,CHAR(COLUMN(CF38)+64),CHAR(INT((COLUMN(CF38)-1)/26)+64)&amp;CHAR(MOD(COLUMN(CF38)-1,26)+65))&amp;$CK38&amp;""),"")</f>
        <v/>
      </c>
      <c r="CT38" s="132" t="str">
        <f t="array" aca="1" ref="CT38" ca="1">IF($CK38&lt;&gt;"",
INDIRECT(""&amp;IF(COLUMN(CG38)&lt;=26,CHAR(COLUMN(CG38)+64),CHAR(INT((COLUMN(CG38)-1)/26)+64)&amp;CHAR(MOD(COLUMN(CG38)-1,26)+65))&amp;$CK38&amp;""),"")</f>
        <v/>
      </c>
      <c r="CU38" s="132" t="str">
        <f t="array" aca="1" ref="CU38" ca="1">IF($CK38&lt;&gt;"",
INDIRECT(""&amp;IF(COLUMN(CH38)&lt;=26,CHAR(COLUMN(CH38)+64),CHAR(INT((COLUMN(CH38)-1)/26)+64)&amp;CHAR(MOD(COLUMN(CH38)-1,26)+65))&amp;$CK38&amp;""),"")</f>
        <v/>
      </c>
    </row>
    <row r="39" spans="1:99" ht="18" customHeight="1" x14ac:dyDescent="0.45">
      <c r="B39" s="143"/>
      <c r="C39" s="120" t="str">
        <f t="array" aca="1" ref="C39" ca="1">IF(C37&lt;&gt;"",
IF(IFERROR(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"")=0,"",
IF(B38=100,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IF(AND(B38=200,COUNTIF(数出表_Excel!$A:$A,"*奈良屋*")=2),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""),
IF(AND(B38=200,COUNTIF(数出表_Excel!$A:$A,"*奈良屋*")=3),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
+IFERROR(
INDEX(INDIRECT("数出表_Excel!B"&amp;MATCH(G36,数出表_Excel!$A:$A,0)-1+2&amp;":U"&amp;MATCH(G36,数出表_Excel!$A:$A,0)-1+2&amp;""),
 1,
 MATCH(TRUE, ISNUMBER(--INDIRECT("数出表_Excel!B"&amp;MATCH(G36,数出表_Excel!$A:$A,0)-1+2&amp;":U"&amp;MATCH(G36,数出表_Excel!$A:$A,0)-1+2&amp;"")), 0)),
 "")
+IFERROR(
INDEX(INDIRECT("数出表_Excel!B"&amp;MATCH(G36,数出表_Excel!$A:$A,0)-1+4&amp;":U"&amp;MATCH(G36,数出表_Excel!$A:$A,0)-1+4&amp;""),
 1,
 MATCH(TRUE, ISNUMBER(--INDIRECT("数出表_Excel!B"&amp;MATCH(G36,数出表_Excel!$A:$A,0)-1+4&amp;":U"&amp;MATCH(G36,数出表_Excel!$A:$A,0)-1+4&amp;"")), 0)),
 ""),
IFERROR(
INDEX(INDIRECT("数出表_Excel!B"&amp;MATCH(G36,数出表_Excel!$A:$A,0)-1&amp;":U"&amp;MATCH(G36,数出表_Excel!$A:$A,0)-1&amp;""),
 1,
 MATCH(TRUE, ISNUMBER(--INDIRECT("数出表_Excel!B"&amp;MATCH(G36,数出表_Excel!$A:$A,0)-1&amp;":U"&amp;MATCH(G36,数出表_Excel!$A:$A,0)-1&amp;"")), 0)),
 ""))))),"")</f>
        <v/>
      </c>
      <c r="D39" s="144"/>
      <c r="E39" s="145" t="str">
        <f t="array" aca="1" ref="E39" ca="1">IF(C37&lt;&gt;"",
IF(IFERROR(
INDEX(INDIRECT("数出表_Excel!B"&amp;MATCH(G36,数出表_Excel!$A:$A,0)&amp;":U"&amp;MATCH(G36,数出表_Excel!$A:$A,0)&amp;""),
 1,B37-1),
 "")=0,"",
IFERROR(
INDEX(INDIRECT("数出表_Excel!B"&amp;MATCH(G36,数出表_Excel!$A:$A,0)&amp;":U"&amp;MATCH(G36,数出表_Excel!$A:$A,0)&amp;""),
 1,B37-1),
 "")),"")</f>
        <v/>
      </c>
      <c r="F39" s="144"/>
      <c r="G39" s="159"/>
      <c r="I39" s="143"/>
      <c r="J39" s="120" t="str">
        <f t="array" aca="1" ref="J39" ca="1">IF(J37&lt;&gt;"",
IF(IFERROR(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"")=0,"",
IF(I38=100,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IF(AND(I38=200,COUNTIF(数出表_Excel!$A:$A,"*奈良屋*")=2),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""),
IF(AND(I38=200,COUNTIF(数出表_Excel!$A:$A,"*奈良屋*")=3),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
+IFERROR(
INDEX(INDIRECT("数出表_Excel!B"&amp;MATCH(N36,数出表_Excel!$A:$A,0)-1+2&amp;":U"&amp;MATCH(N36,数出表_Excel!$A:$A,0)-1+2&amp;""),
 1,
 MATCH(TRUE, ISNUMBER(--INDIRECT("数出表_Excel!B"&amp;MATCH(N36,数出表_Excel!$A:$A,0)-1+2&amp;":U"&amp;MATCH(N36,数出表_Excel!$A:$A,0)-1+2&amp;"")), 0)),
 "")
+IFERROR(
INDEX(INDIRECT("数出表_Excel!B"&amp;MATCH(N36,数出表_Excel!$A:$A,0)-1+4&amp;":U"&amp;MATCH(N36,数出表_Excel!$A:$A,0)-1+4&amp;""),
 1,
 MATCH(TRUE, ISNUMBER(--INDIRECT("数出表_Excel!B"&amp;MATCH(N36,数出表_Excel!$A:$A,0)-1+4&amp;":U"&amp;MATCH(N36,数出表_Excel!$A:$A,0)-1+4&amp;"")), 0)),
 ""),
IFERROR(
INDEX(INDIRECT("数出表_Excel!B"&amp;MATCH(N36,数出表_Excel!$A:$A,0)-1&amp;":U"&amp;MATCH(N36,数出表_Excel!$A:$A,0)-1&amp;""),
 1,
 MATCH(TRUE, ISNUMBER(--INDIRECT("数出表_Excel!B"&amp;MATCH(N36,数出表_Excel!$A:$A,0)-1&amp;":U"&amp;MATCH(N36,数出表_Excel!$A:$A,0)-1&amp;"")), 0)),
 ""))))),"")</f>
        <v/>
      </c>
      <c r="K39" s="144"/>
      <c r="L39" s="145" t="str">
        <f t="array" aca="1" ref="L39" ca="1">IF(J37&lt;&gt;"",
IF(IFERROR(
INDEX(INDIRECT("数出表_Excel!B"&amp;MATCH(N36,数出表_Excel!$A:$A,0)&amp;":U"&amp;MATCH(N36,数出表_Excel!$A:$A,0)&amp;""),
 1,I37-1),
 "")=0,"",
IFERROR(
INDEX(INDIRECT("数出表_Excel!B"&amp;MATCH(N36,数出表_Excel!$A:$A,0)&amp;":U"&amp;MATCH(N36,数出表_Excel!$A:$A,0)&amp;""),
 1,I37-1),
 "")),"")</f>
        <v/>
      </c>
      <c r="M39" s="144"/>
      <c r="N39" s="154"/>
      <c r="Q39" s="143"/>
      <c r="R39" s="120" t="str">
        <f t="array" aca="1" ref="R39" ca="1">IF(R37&lt;&gt;"",
IF(IFERROR(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"")=0,"",
IF(Q38=100,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IF(AND(Q38=200,COUNTIF(数出表_Excel!$A:$A,"*奈良屋*")=2),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""),
IF(AND(Q38=200,COUNTIF(数出表_Excel!$A:$A,"*奈良屋*")=3),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
+IFERROR(
INDEX(INDIRECT("数出表_Excel!B"&amp;MATCH(V36,数出表_Excel!$A:$A,0)-1+2&amp;":U"&amp;MATCH(V36,数出表_Excel!$A:$A,0)-1+2&amp;""),
 1,
 MATCH(TRUE, ISNUMBER(--INDIRECT("数出表_Excel!B"&amp;MATCH(V36,数出表_Excel!$A:$A,0)-1+2&amp;":U"&amp;MATCH(V36,数出表_Excel!$A:$A,0)-1+2&amp;"")), 0)),
 "")
+IFERROR(
INDEX(INDIRECT("数出表_Excel!B"&amp;MATCH(V36,数出表_Excel!$A:$A,0)-1+4&amp;":U"&amp;MATCH(V36,数出表_Excel!$A:$A,0)-1+4&amp;""),
 1,
 MATCH(TRUE, ISNUMBER(--INDIRECT("数出表_Excel!B"&amp;MATCH(V36,数出表_Excel!$A:$A,0)-1+4&amp;":U"&amp;MATCH(V36,数出表_Excel!$A:$A,0)-1+4&amp;"")), 0)),
 ""),
IFERROR(
INDEX(INDIRECT("数出表_Excel!B"&amp;MATCH(V36,数出表_Excel!$A:$A,0)-1&amp;":U"&amp;MATCH(V36,数出表_Excel!$A:$A,0)-1&amp;""),
 1,
 MATCH(TRUE, ISNUMBER(--INDIRECT("数出表_Excel!B"&amp;MATCH(V36,数出表_Excel!$A:$A,0)-1&amp;":U"&amp;MATCH(V36,数出表_Excel!$A:$A,0)-1&amp;"")), 0)),
 ""))))),"")</f>
        <v/>
      </c>
      <c r="S39" s="144"/>
      <c r="T39" s="145" t="str">
        <f t="array" aca="1" ref="T39" ca="1">IF(R37&lt;&gt;"",
IF(IFERROR(
INDEX(INDIRECT("数出表_Excel!B"&amp;MATCH(V36,数出表_Excel!$A:$A,0)&amp;":U"&amp;MATCH(V36,数出表_Excel!$A:$A,0)&amp;""),
 1,Q37-1),
 "")=0,"",
IFERROR(
INDEX(INDIRECT("数出表_Excel!B"&amp;MATCH(V36,数出表_Excel!$A:$A,0)&amp;":U"&amp;MATCH(V36,数出表_Excel!$A:$A,0)&amp;""),
 1,Q37-1),
 "")),"")</f>
        <v/>
      </c>
      <c r="U39" s="144"/>
      <c r="V39" s="154"/>
      <c r="X39" s="143"/>
      <c r="Y39" s="120" t="str">
        <f t="array" aca="1" ref="Y39" ca="1">IF(Y37&lt;&gt;"",
IF(IFERROR(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"")=0,"",
IF(X38=100,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IF(AND(X38=200,COUNTIF(数出表_Excel!$A:$A,"*奈良屋*")=2),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""),
IF(AND(X38=200,COUNTIF(数出表_Excel!$A:$A,"*奈良屋*")=3),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
+IFERROR(
INDEX(INDIRECT("数出表_Excel!B"&amp;MATCH(AC36,数出表_Excel!$A:$A,0)-1+2&amp;":U"&amp;MATCH(AC36,数出表_Excel!$A:$A,0)-1+2&amp;""),
 1,
 MATCH(TRUE, ISNUMBER(--INDIRECT("数出表_Excel!B"&amp;MATCH(AC36,数出表_Excel!$A:$A,0)-1+2&amp;":U"&amp;MATCH(AC36,数出表_Excel!$A:$A,0)-1+2&amp;"")), 0)),
 "")
+IFERROR(
INDEX(INDIRECT("数出表_Excel!B"&amp;MATCH(AC36,数出表_Excel!$A:$A,0)-1+4&amp;":U"&amp;MATCH(AC36,数出表_Excel!$A:$A,0)-1+4&amp;""),
 1,
 MATCH(TRUE, ISNUMBER(--INDIRECT("数出表_Excel!B"&amp;MATCH(AC36,数出表_Excel!$A:$A,0)-1+4&amp;":U"&amp;MATCH(AC36,数出表_Excel!$A:$A,0)-1+4&amp;"")), 0)),
 ""),
IFERROR(
INDEX(INDIRECT("数出表_Excel!B"&amp;MATCH(AC36,数出表_Excel!$A:$A,0)-1&amp;":U"&amp;MATCH(AC36,数出表_Excel!$A:$A,0)-1&amp;""),
 1,
 MATCH(TRUE, ISNUMBER(--INDIRECT("数出表_Excel!B"&amp;MATCH(AC36,数出表_Excel!$A:$A,0)-1&amp;":U"&amp;MATCH(AC36,数出表_Excel!$A:$A,0)-1&amp;"")), 0)),
 ""))))),"")</f>
        <v/>
      </c>
      <c r="Z39" s="144"/>
      <c r="AA39" s="145" t="str">
        <f t="array" aca="1" ref="AA39" ca="1">IF(Y37&lt;&gt;"",
IF(IFERROR(
INDEX(INDIRECT("数出表_Excel!B"&amp;MATCH(AC36,数出表_Excel!$A:$A,0)&amp;":U"&amp;MATCH(AC36,数出表_Excel!$A:$A,0)&amp;""),
 1,X37-1),
 "")=0,"",
IFERROR(
INDEX(INDIRECT("数出表_Excel!B"&amp;MATCH(AC36,数出表_Excel!$A:$A,0)&amp;":U"&amp;MATCH(AC36,数出表_Excel!$A:$A,0)&amp;""),
 1,X37-1),
 "")),"")</f>
        <v/>
      </c>
      <c r="AB39" s="144"/>
      <c r="AC39" s="154"/>
      <c r="AF39" s="143"/>
      <c r="AG39" s="120" t="str">
        <f t="array" aca="1" ref="AG39" ca="1">IF(AG37&lt;&gt;"",
IF(IFERROR(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"")=0,"",
IF(AF38=100,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IF(AND(AF38=200,COUNTIF(数出表_Excel!$A:$A,"*奈良屋*")=2),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""),
IF(AND(AF38=200,COUNTIF(数出表_Excel!$A:$A,"*奈良屋*")=3),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
+IFERROR(
INDEX(INDIRECT("数出表_Excel!B"&amp;MATCH(AK36,数出表_Excel!$A:$A,0)-1+2&amp;":U"&amp;MATCH(AK36,数出表_Excel!$A:$A,0)-1+2&amp;""),
 1,
 MATCH(TRUE, ISNUMBER(--INDIRECT("数出表_Excel!B"&amp;MATCH(AK36,数出表_Excel!$A:$A,0)-1+2&amp;":U"&amp;MATCH(AK36,数出表_Excel!$A:$A,0)-1+2&amp;"")), 0)),
 "")
+IFERROR(
INDEX(INDIRECT("数出表_Excel!B"&amp;MATCH(AK36,数出表_Excel!$A:$A,0)-1+4&amp;":U"&amp;MATCH(AK36,数出表_Excel!$A:$A,0)-1+4&amp;""),
 1,
 MATCH(TRUE, ISNUMBER(--INDIRECT("数出表_Excel!B"&amp;MATCH(AK36,数出表_Excel!$A:$A,0)-1+4&amp;":U"&amp;MATCH(AK36,数出表_Excel!$A:$A,0)-1+4&amp;"")), 0)),
 ""),
IFERROR(
INDEX(INDIRECT("数出表_Excel!B"&amp;MATCH(AK36,数出表_Excel!$A:$A,0)-1&amp;":U"&amp;MATCH(AK36,数出表_Excel!$A:$A,0)-1&amp;""),
 1,
 MATCH(TRUE, ISNUMBER(--INDIRECT("数出表_Excel!B"&amp;MATCH(AK36,数出表_Excel!$A:$A,0)-1&amp;":U"&amp;MATCH(AK36,数出表_Excel!$A:$A,0)-1&amp;"")), 0)),
 ""))))),"")</f>
        <v/>
      </c>
      <c r="AH39" s="144"/>
      <c r="AI39" s="145" t="str">
        <f t="array" aca="1" ref="AI39" ca="1">IF(AG37&lt;&gt;"",
IF(IFERROR(
INDEX(INDIRECT("数出表_Excel!B"&amp;MATCH(AK36,数出表_Excel!$A:$A,0)&amp;":U"&amp;MATCH(AK36,数出表_Excel!$A:$A,0)&amp;""),
 1,AF37-1),
 "")=0,"",
IFERROR(
INDEX(INDIRECT("数出表_Excel!B"&amp;MATCH(AK36,数出表_Excel!$A:$A,0)&amp;":U"&amp;MATCH(AK36,数出表_Excel!$A:$A,0)&amp;""),
 1,AF37-1),
 "")),"")</f>
        <v/>
      </c>
      <c r="AJ39" s="144"/>
      <c r="AK39" s="154"/>
      <c r="AM39" s="143"/>
      <c r="AN39" s="120" t="str">
        <f t="array" aca="1" ref="AN39" ca="1">IF(AN37&lt;&gt;"",
IF(IFERROR(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"")=0,"",
IF(AM38=100,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IF(AND(AM38=200,COUNTIF(数出表_Excel!$A:$A,"*奈良屋*")=2),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""),
IF(AND(AM38=200,COUNTIF(数出表_Excel!$A:$A,"*奈良屋*")=3),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
+IFERROR(
INDEX(INDIRECT("数出表_Excel!B"&amp;MATCH(AR36,数出表_Excel!$A:$A,0)-1+2&amp;":U"&amp;MATCH(AR36,数出表_Excel!$A:$A,0)-1+2&amp;""),
 1,
 MATCH(TRUE, ISNUMBER(--INDIRECT("数出表_Excel!B"&amp;MATCH(AR36,数出表_Excel!$A:$A,0)-1+2&amp;":U"&amp;MATCH(AR36,数出表_Excel!$A:$A,0)-1+2&amp;"")), 0)),
 "")
+IFERROR(
INDEX(INDIRECT("数出表_Excel!B"&amp;MATCH(AR36,数出表_Excel!$A:$A,0)-1+4&amp;":U"&amp;MATCH(AR36,数出表_Excel!$A:$A,0)-1+4&amp;""),
 1,
 MATCH(TRUE, ISNUMBER(--INDIRECT("数出表_Excel!B"&amp;MATCH(AR36,数出表_Excel!$A:$A,0)-1+4&amp;":U"&amp;MATCH(AR36,数出表_Excel!$A:$A,0)-1+4&amp;"")), 0)),
 ""),
IFERROR(
INDEX(INDIRECT("数出表_Excel!B"&amp;MATCH(AR36,数出表_Excel!$A:$A,0)-1&amp;":U"&amp;MATCH(AR36,数出表_Excel!$A:$A,0)-1&amp;""),
 1,
 MATCH(TRUE, ISNUMBER(--INDIRECT("数出表_Excel!B"&amp;MATCH(AR36,数出表_Excel!$A:$A,0)-1&amp;":U"&amp;MATCH(AR36,数出表_Excel!$A:$A,0)-1&amp;"")), 0)),
 ""))))),"")</f>
        <v/>
      </c>
      <c r="AO39" s="144"/>
      <c r="AP39" s="145" t="str">
        <f t="array" aca="1" ref="AP39" ca="1">IF(AN37&lt;&gt;"",
IF(IFERROR(
INDEX(INDIRECT("数出表_Excel!B"&amp;MATCH(AR36,数出表_Excel!$A:$A,0)&amp;":U"&amp;MATCH(AR36,数出表_Excel!$A:$A,0)&amp;""),
 1,AM37-1),
 "")=0,"",
IFERROR(
INDEX(INDIRECT("数出表_Excel!B"&amp;MATCH(AR36,数出表_Excel!$A:$A,0)&amp;":U"&amp;MATCH(AR36,数出表_Excel!$A:$A,0)&amp;""),
 1,AM37-1),
 "")),"")</f>
        <v/>
      </c>
      <c r="AQ39" s="144"/>
      <c r="AR39" s="154"/>
      <c r="AU39" s="143"/>
      <c r="AV39" s="120" t="str">
        <f t="array" aca="1" ref="AV39" ca="1">IF(AV37&lt;&gt;"",
IF(IFERROR(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"")=0,"",
IF(AU38=100,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IF(AND(AU38=200,COUNTIF(数出表_Excel!$A:$A,"*奈良屋*")=2),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""),
IF(AND(AU38=200,COUNTIF(数出表_Excel!$A:$A,"*奈良屋*")=3),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
+IFERROR(
INDEX(INDIRECT("数出表_Excel!B"&amp;MATCH(AZ36,数出表_Excel!$A:$A,0)-1+2&amp;":U"&amp;MATCH(AZ36,数出表_Excel!$A:$A,0)-1+2&amp;""),
 1,
 MATCH(TRUE, ISNUMBER(--INDIRECT("数出表_Excel!B"&amp;MATCH(AZ36,数出表_Excel!$A:$A,0)-1+2&amp;":U"&amp;MATCH(AZ36,数出表_Excel!$A:$A,0)-1+2&amp;"")), 0)),
 "")
+IFERROR(
INDEX(INDIRECT("数出表_Excel!B"&amp;MATCH(AZ36,数出表_Excel!$A:$A,0)-1+4&amp;":U"&amp;MATCH(AZ36,数出表_Excel!$A:$A,0)-1+4&amp;""),
 1,
 MATCH(TRUE, ISNUMBER(--INDIRECT("数出表_Excel!B"&amp;MATCH(AZ36,数出表_Excel!$A:$A,0)-1+4&amp;":U"&amp;MATCH(AZ36,数出表_Excel!$A:$A,0)-1+4&amp;"")), 0)),
 ""),
IFERROR(
INDEX(INDIRECT("数出表_Excel!B"&amp;MATCH(AZ36,数出表_Excel!$A:$A,0)-1&amp;":U"&amp;MATCH(AZ36,数出表_Excel!$A:$A,0)-1&amp;""),
 1,
 MATCH(TRUE, ISNUMBER(--INDIRECT("数出表_Excel!B"&amp;MATCH(AZ36,数出表_Excel!$A:$A,0)-1&amp;":U"&amp;MATCH(AZ36,数出表_Excel!$A:$A,0)-1&amp;"")), 0)),
 ""))))),"")</f>
        <v/>
      </c>
      <c r="AW39" s="144"/>
      <c r="AX39" s="145" t="str">
        <f t="array" aca="1" ref="AX39" ca="1">IF(AV37&lt;&gt;"",
IF(IFERROR(
INDEX(INDIRECT("数出表_Excel!B"&amp;MATCH(AZ36,数出表_Excel!$A:$A,0)&amp;":U"&amp;MATCH(AZ36,数出表_Excel!$A:$A,0)&amp;""),
 1,AU37-1),
 "")=0,"",
IFERROR(
INDEX(INDIRECT("数出表_Excel!B"&amp;MATCH(AZ36,数出表_Excel!$A:$A,0)&amp;":U"&amp;MATCH(AZ36,数出表_Excel!$A:$A,0)&amp;""),
 1,AU37-1),
 "")),"")</f>
        <v/>
      </c>
      <c r="AY39" s="144"/>
      <c r="AZ39" s="154"/>
      <c r="BB39" s="143"/>
      <c r="BC39" s="120" t="str">
        <f t="array" aca="1" ref="BC39" ca="1">IF(BC37&lt;&gt;"",
IF(IFERROR(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"")=0,"",
IF(BB38=100,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IF(AND(BB38=200,COUNTIF(数出表_Excel!$A:$A,"*奈良屋*")=2),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""),
IF(AND(BB38=200,COUNTIF(数出表_Excel!$A:$A,"*奈良屋*")=3),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
+IFERROR(
INDEX(INDIRECT("数出表_Excel!B"&amp;MATCH(BG36,数出表_Excel!$A:$A,0)-1+2&amp;":U"&amp;MATCH(BG36,数出表_Excel!$A:$A,0)-1+2&amp;""),
 1,
 MATCH(TRUE, ISNUMBER(--INDIRECT("数出表_Excel!B"&amp;MATCH(BG36,数出表_Excel!$A:$A,0)-1+2&amp;":U"&amp;MATCH(BG36,数出表_Excel!$A:$A,0)-1+2&amp;"")), 0)),
 "")
+IFERROR(
INDEX(INDIRECT("数出表_Excel!B"&amp;MATCH(BG36,数出表_Excel!$A:$A,0)-1+4&amp;":U"&amp;MATCH(BG36,数出表_Excel!$A:$A,0)-1+4&amp;""),
 1,
 MATCH(TRUE, ISNUMBER(--INDIRECT("数出表_Excel!B"&amp;MATCH(BG36,数出表_Excel!$A:$A,0)-1+4&amp;":U"&amp;MATCH(BG36,数出表_Excel!$A:$A,0)-1+4&amp;"")), 0)),
 ""),
IFERROR(
INDEX(INDIRECT("数出表_Excel!B"&amp;MATCH(BG36,数出表_Excel!$A:$A,0)-1&amp;":U"&amp;MATCH(BG36,数出表_Excel!$A:$A,0)-1&amp;""),
 1,
 MATCH(TRUE, ISNUMBER(--INDIRECT("数出表_Excel!B"&amp;MATCH(BG36,数出表_Excel!$A:$A,0)-1&amp;":U"&amp;MATCH(BG36,数出表_Excel!$A:$A,0)-1&amp;"")), 0)),
 ""))))),"")</f>
        <v/>
      </c>
      <c r="BD39" s="144"/>
      <c r="BE39" s="145" t="str">
        <f t="array" aca="1" ref="BE39" ca="1">IF(BC37&lt;&gt;"",
IF(IFERROR(
INDEX(INDIRECT("数出表_Excel!B"&amp;MATCH(BG36,数出表_Excel!$A:$A,0)&amp;":U"&amp;MATCH(BG36,数出表_Excel!$A:$A,0)&amp;""),
 1,BB37-1),
 "")=0,"",
IFERROR(
INDEX(INDIRECT("数出表_Excel!B"&amp;MATCH(BG36,数出表_Excel!$A:$A,0)&amp;":U"&amp;MATCH(BG36,数出表_Excel!$A:$A,0)&amp;""),
 1,BB37-1),
 "")),"")</f>
        <v/>
      </c>
      <c r="BF39" s="144"/>
      <c r="BG39" s="154"/>
      <c r="BJ39" s="143"/>
      <c r="BK39" s="120" t="str">
        <f t="array" aca="1" ref="BK39" ca="1">IF(BK37&lt;&gt;"",
IF(IFERROR(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"")=0,"",
IF(BJ38=100,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IF(AND(BJ38=200,COUNTIF(数出表_Excel!$A:$A,"*奈良屋*")=2),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""),
IF(AND(BJ38=200,COUNTIF(数出表_Excel!$A:$A,"*奈良屋*")=3),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
+IFERROR(
INDEX(INDIRECT("数出表_Excel!B"&amp;MATCH(BO36,数出表_Excel!$A:$A,0)-1+2&amp;":U"&amp;MATCH(BO36,数出表_Excel!$A:$A,0)-1+2&amp;""),
 1,
 MATCH(TRUE, ISNUMBER(--INDIRECT("数出表_Excel!B"&amp;MATCH(BO36,数出表_Excel!$A:$A,0)-1+2&amp;":U"&amp;MATCH(BO36,数出表_Excel!$A:$A,0)-1+2&amp;"")), 0)),
 "")
+IFERROR(
INDEX(INDIRECT("数出表_Excel!B"&amp;MATCH(BO36,数出表_Excel!$A:$A,0)-1+4&amp;":U"&amp;MATCH(BO36,数出表_Excel!$A:$A,0)-1+4&amp;""),
 1,
 MATCH(TRUE, ISNUMBER(--INDIRECT("数出表_Excel!B"&amp;MATCH(BO36,数出表_Excel!$A:$A,0)-1+4&amp;":U"&amp;MATCH(BO36,数出表_Excel!$A:$A,0)-1+4&amp;"")), 0)),
 ""),
IFERROR(
INDEX(INDIRECT("数出表_Excel!B"&amp;MATCH(BO36,数出表_Excel!$A:$A,0)-1&amp;":U"&amp;MATCH(BO36,数出表_Excel!$A:$A,0)-1&amp;""),
 1,
 MATCH(TRUE, ISNUMBER(--INDIRECT("数出表_Excel!B"&amp;MATCH(BO36,数出表_Excel!$A:$A,0)-1&amp;":U"&amp;MATCH(BO36,数出表_Excel!$A:$A,0)-1&amp;"")), 0)),
 ""))))),"")</f>
        <v/>
      </c>
      <c r="BL39" s="144"/>
      <c r="BM39" s="145" t="str">
        <f t="array" aca="1" ref="BM39" ca="1">IF(BK37&lt;&gt;"",
IF(IFERROR(
INDEX(INDIRECT("数出表_Excel!B"&amp;MATCH(BO36,数出表_Excel!$A:$A,0)&amp;":U"&amp;MATCH(BO36,数出表_Excel!$A:$A,0)&amp;""),
 1,BJ37-1),
 "")=0,"",
IFERROR(
INDEX(INDIRECT("数出表_Excel!B"&amp;MATCH(BO36,数出表_Excel!$A:$A,0)&amp;":U"&amp;MATCH(BO36,数出表_Excel!$A:$A,0)&amp;""),
 1,BJ37-1),
 "")),"")</f>
        <v/>
      </c>
      <c r="BN39" s="144"/>
      <c r="BO39" s="154"/>
      <c r="BQ39" s="143"/>
      <c r="BR39" s="120" t="str">
        <f t="array" aca="1" ref="BR39" ca="1">IF(BR37&lt;&gt;"",
IF(IFERROR(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"")=0,"",
IF(BQ38=100,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IF(AND(BQ38=200,COUNTIF(数出表_Excel!$A:$A,"*奈良屋*")=2),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""),
IF(AND(BQ38=200,COUNTIF(数出表_Excel!$A:$A,"*奈良屋*")=3),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
+IFERROR(
INDEX(INDIRECT("数出表_Excel!B"&amp;MATCH(BV36,数出表_Excel!$A:$A,0)-1+2&amp;":U"&amp;MATCH(BV36,数出表_Excel!$A:$A,0)-1+2&amp;""),
 1,
 MATCH(TRUE, ISNUMBER(--INDIRECT("数出表_Excel!B"&amp;MATCH(BV36,数出表_Excel!$A:$A,0)-1+2&amp;":U"&amp;MATCH(BV36,数出表_Excel!$A:$A,0)-1+2&amp;"")), 0)),
 "")
+IFERROR(
INDEX(INDIRECT("数出表_Excel!B"&amp;MATCH(BV36,数出表_Excel!$A:$A,0)-1+4&amp;":U"&amp;MATCH(BV36,数出表_Excel!$A:$A,0)-1+4&amp;""),
 1,
 MATCH(TRUE, ISNUMBER(--INDIRECT("数出表_Excel!B"&amp;MATCH(BV36,数出表_Excel!$A:$A,0)-1+4&amp;":U"&amp;MATCH(BV36,数出表_Excel!$A:$A,0)-1+4&amp;"")), 0)),
 ""),
IFERROR(
INDEX(INDIRECT("数出表_Excel!B"&amp;MATCH(BV36,数出表_Excel!$A:$A,0)-1&amp;":U"&amp;MATCH(BV36,数出表_Excel!$A:$A,0)-1&amp;""),
 1,
 MATCH(TRUE, ISNUMBER(--INDIRECT("数出表_Excel!B"&amp;MATCH(BV36,数出表_Excel!$A:$A,0)-1&amp;":U"&amp;MATCH(BV36,数出表_Excel!$A:$A,0)-1&amp;"")), 0)),
 ""))))),"")</f>
        <v/>
      </c>
      <c r="BS39" s="144"/>
      <c r="BT39" s="145" t="str">
        <f t="array" aca="1" ref="BT39" ca="1">IF(BR37&lt;&gt;"",
IF(IFERROR(
INDEX(INDIRECT("数出表_Excel!B"&amp;MATCH(BV36,数出表_Excel!$A:$A,0)&amp;":U"&amp;MATCH(BV36,数出表_Excel!$A:$A,0)&amp;""),
 1,BQ37-1),
 "")=0,"",
IFERROR(
INDEX(INDIRECT("数出表_Excel!B"&amp;MATCH(BV36,数出表_Excel!$A:$A,0)&amp;":U"&amp;MATCH(BV36,数出表_Excel!$A:$A,0)&amp;""),
 1,BQ37-1),
 "")),"")</f>
        <v/>
      </c>
      <c r="BU39" s="144"/>
      <c r="BV39" s="154"/>
      <c r="BX39" s="146">
        <f t="shared" si="2"/>
        <v>21</v>
      </c>
      <c r="BY39" s="132" t="str">
        <f t="array" aca="1" ref="BY39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LEN(SUBSTITUTE(_xlfn.FORMULATEXT(BY$27),"=","")))+$BX39)</f>
        <v/>
      </c>
      <c r="BZ39" s="132" t="str">
        <f t="array" aca="1" ref="BZ39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LEN(SUBSTITUTE(_xlfn.FORMULATEXT(BZ$27),"=","")))+$BX39)</f>
        <v/>
      </c>
      <c r="CA39" s="132" t="str">
        <f t="array" aca="1" ref="CA39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LEN(SUBSTITUTE(_xlfn.FORMULATEXT(CA$27),"=","")))+$BX39)</f>
        <v/>
      </c>
      <c r="CB39" s="132" t="str">
        <f t="array" aca="1" ref="CB39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LEN(SUBSTITUTE(_xlfn.FORMULATEXT(CB$27),"=","")))+$BX39)</f>
        <v/>
      </c>
      <c r="CC39" s="132" t="str">
        <f t="array" aca="1" ref="CC39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LEN(SUBSTITUTE(_xlfn.FORMULATEXT(CC$27),"=","")))+$BX39)</f>
        <v/>
      </c>
      <c r="CD39" s="132" t="str">
        <f t="array" aca="1" ref="CD39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LEN(SUBSTITUTE(_xlfn.FORMULATEXT(CD$27),"=","")))+$BX39)</f>
        <v/>
      </c>
      <c r="CE39" s="132" t="str">
        <f t="array" aca="1" ref="CE39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LEN(SUBSTITUTE(_xlfn.FORMULATEXT(CE$27),"=","")))+$BX39)</f>
        <v/>
      </c>
      <c r="CF39" s="132" t="str">
        <f t="array" aca="1" ref="CF39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LEN(SUBSTITUTE(_xlfn.FORMULATEXT(CF$27),"=","")))+$BX39)</f>
        <v/>
      </c>
      <c r="CG39" s="132" t="str">
        <f t="array" aca="1" ref="CG39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LEN(SUBSTITUTE(_xlfn.FORMULATEXT(CG$27),"=","")))+$BX39)</f>
        <v/>
      </c>
      <c r="CH39" s="132" t="str">
        <f t="array" aca="1" ref="CH39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LEN(SUBSTITUTE(_xlfn.FORMULATEXT(CH$27),"=","")))+$BX39)</f>
        <v/>
      </c>
      <c r="CI39" s="132">
        <f t="shared" ca="1" si="3"/>
        <v>0</v>
      </c>
      <c r="CJ39" s="132" t="b">
        <f t="array" aca="1" ref="CJ39" ca="1">SUMPRODUCT((LEN(BY39:CH39)&gt;0)*1)&gt;0</f>
        <v>0</v>
      </c>
      <c r="CK39" s="132" t="str" cm="1">
        <f t="array" aca="1" ref="CK39" ca="1">IFERROR(SMALL(IF(CI$1:CI$150&lt;&gt;0,CI$1:CI$150),ROW(A39)),"")</f>
        <v/>
      </c>
      <c r="CL39" s="132" t="str">
        <f t="array" aca="1" ref="CL39" ca="1">IF($CK39&lt;&gt;"",
INDIRECT(""&amp;IF(COLUMN(BY39)&lt;=26,CHAR(COLUMN(BY39)+64),CHAR(INT((COLUMN(BY39)-1)/26)+64)&amp;CHAR(MOD(COLUMN(BY39)-1,26)+65))&amp;$CK39&amp;""),"")</f>
        <v/>
      </c>
      <c r="CM39" s="132" t="str">
        <f t="array" aca="1" ref="CM39" ca="1">IF($CK39&lt;&gt;"",
INDIRECT(""&amp;IF(COLUMN(BZ39)&lt;=26,CHAR(COLUMN(BZ39)+64),CHAR(INT((COLUMN(BZ39)-1)/26)+64)&amp;CHAR(MOD(COLUMN(BZ39)-1,26)+65))&amp;$CK39&amp;""),"")</f>
        <v/>
      </c>
      <c r="CN39" s="132" t="str">
        <f t="array" aca="1" ref="CN39" ca="1">IF($CK39&lt;&gt;"",
INDIRECT(""&amp;IF(COLUMN(CA39)&lt;=26,CHAR(COLUMN(CA39)+64),CHAR(INT((COLUMN(CA39)-1)/26)+64)&amp;CHAR(MOD(COLUMN(CA39)-1,26)+65))&amp;$CK39&amp;""),"")</f>
        <v/>
      </c>
      <c r="CO39" s="132" t="str">
        <f t="array" aca="1" ref="CO39" ca="1">IF($CK39&lt;&gt;"",
INDIRECT(""&amp;IF(COLUMN(CB39)&lt;=26,CHAR(COLUMN(CB39)+64),CHAR(INT((COLUMN(CB39)-1)/26)+64)&amp;CHAR(MOD(COLUMN(CB39)-1,26)+65))&amp;$CK39&amp;""),"")</f>
        <v/>
      </c>
      <c r="CP39" s="132" t="str">
        <f t="array" aca="1" ref="CP39" ca="1">IF($CK39&lt;&gt;"",
INDIRECT(""&amp;IF(COLUMN(CC39)&lt;=26,CHAR(COLUMN(CC39)+64),CHAR(INT((COLUMN(CC39)-1)/26)+64)&amp;CHAR(MOD(COLUMN(CC39)-1,26)+65))&amp;$CK39&amp;""),"")</f>
        <v/>
      </c>
      <c r="CQ39" s="132" t="str">
        <f t="array" aca="1" ref="CQ39" ca="1">IF($CK39&lt;&gt;"",
INDIRECT(""&amp;IF(COLUMN(CD39)&lt;=26,CHAR(COLUMN(CD39)+64),CHAR(INT((COLUMN(CD39)-1)/26)+64)&amp;CHAR(MOD(COLUMN(CD39)-1,26)+65))&amp;$CK39&amp;""),"")</f>
        <v/>
      </c>
      <c r="CR39" s="132" t="str">
        <f t="array" aca="1" ref="CR39" ca="1">IF($CK39&lt;&gt;"",
INDIRECT(""&amp;IF(COLUMN(CE39)&lt;=26,CHAR(COLUMN(CE39)+64),CHAR(INT((COLUMN(CE39)-1)/26)+64)&amp;CHAR(MOD(COLUMN(CE39)-1,26)+65))&amp;$CK39&amp;""),"")</f>
        <v/>
      </c>
      <c r="CS39" s="132" t="str">
        <f t="array" aca="1" ref="CS39" ca="1">IF($CK39&lt;&gt;"",
INDIRECT(""&amp;IF(COLUMN(CF39)&lt;=26,CHAR(COLUMN(CF39)+64),CHAR(INT((COLUMN(CF39)-1)/26)+64)&amp;CHAR(MOD(COLUMN(CF39)-1,26)+65))&amp;$CK39&amp;""),"")</f>
        <v/>
      </c>
      <c r="CT39" s="132" t="str">
        <f t="array" aca="1" ref="CT39" ca="1">IF($CK39&lt;&gt;"",
INDIRECT(""&amp;IF(COLUMN(CG39)&lt;=26,CHAR(COLUMN(CG39)+64),CHAR(INT((COLUMN(CG39)-1)/26)+64)&amp;CHAR(MOD(COLUMN(CG39)-1,26)+65))&amp;$CK39&amp;""),"")</f>
        <v/>
      </c>
      <c r="CU39" s="132" t="str">
        <f t="array" aca="1" ref="CU39" ca="1">IF($CK39&lt;&gt;"",
INDIRECT(""&amp;IF(COLUMN(CH39)&lt;=26,CHAR(COLUMN(CH39)+64),CHAR(INT((COLUMN(CH39)-1)/26)+64)&amp;CHAR(MOD(COLUMN(CH39)-1,26)+65))&amp;$CK39&amp;""),"")</f>
        <v/>
      </c>
    </row>
    <row r="40" spans="1:99" ht="18" customHeight="1" x14ac:dyDescent="0.45">
      <c r="B40" s="147"/>
      <c r="C40" s="148"/>
      <c r="D40" s="148"/>
      <c r="E40" s="148"/>
      <c r="F40" s="148"/>
      <c r="G40" s="160"/>
      <c r="I40" s="147"/>
      <c r="J40" s="148"/>
      <c r="K40" s="148"/>
      <c r="L40" s="148"/>
      <c r="M40" s="148"/>
      <c r="N40" s="155"/>
      <c r="Q40" s="147"/>
      <c r="R40" s="148"/>
      <c r="S40" s="148"/>
      <c r="T40" s="148"/>
      <c r="U40" s="148"/>
      <c r="V40" s="155"/>
      <c r="X40" s="147"/>
      <c r="Y40" s="148"/>
      <c r="Z40" s="148"/>
      <c r="AA40" s="148"/>
      <c r="AB40" s="148"/>
      <c r="AC40" s="155"/>
      <c r="AF40" s="147"/>
      <c r="AG40" s="148"/>
      <c r="AH40" s="148"/>
      <c r="AI40" s="148"/>
      <c r="AJ40" s="148"/>
      <c r="AK40" s="155"/>
      <c r="AM40" s="147"/>
      <c r="AN40" s="148"/>
      <c r="AO40" s="148"/>
      <c r="AP40" s="148"/>
      <c r="AQ40" s="148"/>
      <c r="AR40" s="155"/>
      <c r="AU40" s="147"/>
      <c r="AV40" s="148"/>
      <c r="AW40" s="148"/>
      <c r="AX40" s="148"/>
      <c r="AY40" s="148"/>
      <c r="AZ40" s="155"/>
      <c r="BB40" s="147"/>
      <c r="BC40" s="148"/>
      <c r="BD40" s="148"/>
      <c r="BE40" s="148"/>
      <c r="BF40" s="148"/>
      <c r="BG40" s="155"/>
      <c r="BJ40" s="147"/>
      <c r="BK40" s="148"/>
      <c r="BL40" s="148"/>
      <c r="BM40" s="148"/>
      <c r="BN40" s="148"/>
      <c r="BO40" s="155"/>
      <c r="BQ40" s="147"/>
      <c r="BR40" s="148"/>
      <c r="BS40" s="148"/>
      <c r="BT40" s="148"/>
      <c r="BU40" s="148"/>
      <c r="BV40" s="155"/>
      <c r="BX40" s="132">
        <f t="shared" si="2"/>
        <v>63</v>
      </c>
      <c r="BY40" s="132" t="str">
        <f t="array" aca="1" ref="BY40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LEN(SUBSTITUTE(_xlfn.FORMULATEXT(BY$27),"=","")))+$BX40)</f>
        <v/>
      </c>
      <c r="BZ40" s="132" t="str">
        <f t="array" aca="1" ref="BZ40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LEN(SUBSTITUTE(_xlfn.FORMULATEXT(BZ$27),"=","")))+$BX40)</f>
        <v/>
      </c>
      <c r="CA40" s="132" t="str">
        <f t="array" aca="1" ref="CA40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LEN(SUBSTITUTE(_xlfn.FORMULATEXT(CA$27),"=","")))+$BX40)</f>
        <v/>
      </c>
      <c r="CB40" s="132" t="str">
        <f t="array" aca="1" ref="CB40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LEN(SUBSTITUTE(_xlfn.FORMULATEXT(CB$27),"=","")))+$BX40)</f>
        <v/>
      </c>
      <c r="CC40" s="132" t="str">
        <f t="array" aca="1" ref="CC40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LEN(SUBSTITUTE(_xlfn.FORMULATEXT(CC$27),"=","")))+$BX40)</f>
        <v/>
      </c>
      <c r="CD40" s="132" t="str">
        <f t="array" aca="1" ref="CD40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LEN(SUBSTITUTE(_xlfn.FORMULATEXT(CD$27),"=","")))+$BX40)</f>
        <v/>
      </c>
      <c r="CE40" s="132" t="str">
        <f t="array" aca="1" ref="CE40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LEN(SUBSTITUTE(_xlfn.FORMULATEXT(CE$27),"=","")))+$BX40)</f>
        <v/>
      </c>
      <c r="CF40" s="132" t="str">
        <f t="array" aca="1" ref="CF40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LEN(SUBSTITUTE(_xlfn.FORMULATEXT(CF$27),"=","")))+$BX40)</f>
        <v/>
      </c>
      <c r="CG40" s="132" t="str">
        <f t="array" aca="1" ref="CG40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LEN(SUBSTITUTE(_xlfn.FORMULATEXT(CG$27),"=","")))+$BX40)</f>
        <v/>
      </c>
      <c r="CH40" s="132" t="str">
        <f t="array" aca="1" ref="CH40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LEN(SUBSTITUTE(_xlfn.FORMULATEXT(CH$27),"=","")))+$BX40)</f>
        <v/>
      </c>
      <c r="CI40" s="132">
        <f t="shared" ca="1" si="3"/>
        <v>0</v>
      </c>
      <c r="CJ40" s="132" t="b">
        <f t="array" aca="1" ref="CJ40" ca="1">SUMPRODUCT((LEN(BY40:CH40)&gt;0)*1)&gt;0</f>
        <v>0</v>
      </c>
      <c r="CK40" s="132" t="str" cm="1">
        <f t="array" aca="1" ref="CK40" ca="1">IFERROR(SMALL(IF(CI$1:CI$150&lt;&gt;0,CI$1:CI$150),ROW(A40)),"")</f>
        <v/>
      </c>
      <c r="CL40" s="132" t="str">
        <f t="array" aca="1" ref="CL40" ca="1">IF($CK40&lt;&gt;"",
INDIRECT(""&amp;IF(COLUMN(BY40)&lt;=26,CHAR(COLUMN(BY40)+64),CHAR(INT((COLUMN(BY40)-1)/26)+64)&amp;CHAR(MOD(COLUMN(BY40)-1,26)+65))&amp;$CK40&amp;""),"")</f>
        <v/>
      </c>
      <c r="CM40" s="132" t="str">
        <f t="array" aca="1" ref="CM40" ca="1">IF($CK40&lt;&gt;"",
INDIRECT(""&amp;IF(COLUMN(BZ40)&lt;=26,CHAR(COLUMN(BZ40)+64),CHAR(INT((COLUMN(BZ40)-1)/26)+64)&amp;CHAR(MOD(COLUMN(BZ40)-1,26)+65))&amp;$CK40&amp;""),"")</f>
        <v/>
      </c>
      <c r="CN40" s="132" t="str">
        <f t="array" aca="1" ref="CN40" ca="1">IF($CK40&lt;&gt;"",
INDIRECT(""&amp;IF(COLUMN(CA40)&lt;=26,CHAR(COLUMN(CA40)+64),CHAR(INT((COLUMN(CA40)-1)/26)+64)&amp;CHAR(MOD(COLUMN(CA40)-1,26)+65))&amp;$CK40&amp;""),"")</f>
        <v/>
      </c>
      <c r="CO40" s="132" t="str">
        <f t="array" aca="1" ref="CO40" ca="1">IF($CK40&lt;&gt;"",
INDIRECT(""&amp;IF(COLUMN(CB40)&lt;=26,CHAR(COLUMN(CB40)+64),CHAR(INT((COLUMN(CB40)-1)/26)+64)&amp;CHAR(MOD(COLUMN(CB40)-1,26)+65))&amp;$CK40&amp;""),"")</f>
        <v/>
      </c>
      <c r="CP40" s="132" t="str">
        <f t="array" aca="1" ref="CP40" ca="1">IF($CK40&lt;&gt;"",
INDIRECT(""&amp;IF(COLUMN(CC40)&lt;=26,CHAR(COLUMN(CC40)+64),CHAR(INT((COLUMN(CC40)-1)/26)+64)&amp;CHAR(MOD(COLUMN(CC40)-1,26)+65))&amp;$CK40&amp;""),"")</f>
        <v/>
      </c>
      <c r="CQ40" s="132" t="str">
        <f t="array" aca="1" ref="CQ40" ca="1">IF($CK40&lt;&gt;"",
INDIRECT(""&amp;IF(COLUMN(CD40)&lt;=26,CHAR(COLUMN(CD40)+64),CHAR(INT((COLUMN(CD40)-1)/26)+64)&amp;CHAR(MOD(COLUMN(CD40)-1,26)+65))&amp;$CK40&amp;""),"")</f>
        <v/>
      </c>
      <c r="CR40" s="132" t="str">
        <f t="array" aca="1" ref="CR40" ca="1">IF($CK40&lt;&gt;"",
INDIRECT(""&amp;IF(COLUMN(CE40)&lt;=26,CHAR(COLUMN(CE40)+64),CHAR(INT((COLUMN(CE40)-1)/26)+64)&amp;CHAR(MOD(COLUMN(CE40)-1,26)+65))&amp;$CK40&amp;""),"")</f>
        <v/>
      </c>
      <c r="CS40" s="132" t="str">
        <f t="array" aca="1" ref="CS40" ca="1">IF($CK40&lt;&gt;"",
INDIRECT(""&amp;IF(COLUMN(CF40)&lt;=26,CHAR(COLUMN(CF40)+64),CHAR(INT((COLUMN(CF40)-1)/26)+64)&amp;CHAR(MOD(COLUMN(CF40)-1,26)+65))&amp;$CK40&amp;""),"")</f>
        <v/>
      </c>
      <c r="CT40" s="132" t="str">
        <f t="array" aca="1" ref="CT40" ca="1">IF($CK40&lt;&gt;"",
INDIRECT(""&amp;IF(COLUMN(CG40)&lt;=26,CHAR(COLUMN(CG40)+64),CHAR(INT((COLUMN(CG40)-1)/26)+64)&amp;CHAR(MOD(COLUMN(CG40)-1,26)+65))&amp;$CK40&amp;""),"")</f>
        <v/>
      </c>
      <c r="CU40" s="132" t="str">
        <f t="array" aca="1" ref="CU40" ca="1">IF($CK40&lt;&gt;"",
INDIRECT(""&amp;IF(COLUMN(CH40)&lt;=26,CHAR(COLUMN(CH40)+64),CHAR(INT((COLUMN(CH40)-1)/26)+64)&amp;CHAR(MOD(COLUMN(CH40)-1,26)+65))&amp;$CK40&amp;""),"")</f>
        <v/>
      </c>
    </row>
    <row r="41" spans="1:99" s="132" customFormat="1" ht="22.2" customHeight="1" x14ac:dyDescent="0.55000000000000004">
      <c r="A41" s="129"/>
      <c r="B41" s="149" t="str">
        <f ca="1">IF(C37&lt;&gt;"",
"パン箱","")</f>
        <v/>
      </c>
      <c r="C41" s="150" t="str">
        <f ca="1">IF(C37&lt;&gt;"",
IF(OR(COUNTIF('盛付札（関数）'!C37,"*キャラ*"),COUNTIF('盛付札（関数）'!C37,"*赤*")),24,
VLOOKUP('盛付札（関数）'!C37,商品マスタ一覧!$D:$I,6,FALSE)),"")</f>
        <v/>
      </c>
      <c r="D41" s="149" t="str">
        <f ca="1">IF(C37&lt;&gt;"",
" 端数","")</f>
        <v/>
      </c>
      <c r="E41" s="150"/>
      <c r="F41" s="149" t="str">
        <f ca="1">IF(C37&lt;&gt;"",
"アレルギー","")</f>
        <v/>
      </c>
      <c r="G41" s="159"/>
      <c r="H41" s="129"/>
      <c r="I41" s="149" t="str">
        <f ca="1">IF(J37&lt;&gt;"",
"パン箱","")</f>
        <v/>
      </c>
      <c r="J41" s="150" t="str">
        <f ca="1">IF(J37&lt;&gt;"",
IF(OR(COUNTIF('盛付札（関数）'!J37,"*キャラ*"),COUNTIF('盛付札（関数）'!J37,"*赤*")),24,
VLOOKUP('盛付札（関数）'!J37,商品マスタ一覧!$D:$I,6,FALSE)),"")</f>
        <v/>
      </c>
      <c r="K41" s="149" t="str">
        <f ca="1">IF(J37&lt;&gt;"",
" 端数","")</f>
        <v/>
      </c>
      <c r="L41" s="150"/>
      <c r="M41" s="149" t="str">
        <f ca="1">IF(J37&lt;&gt;"",
"アレルギー","")</f>
        <v/>
      </c>
      <c r="N41" s="154"/>
      <c r="O41" s="129"/>
      <c r="P41" s="129"/>
      <c r="Q41" s="149" t="str">
        <f ca="1">IF(R37&lt;&gt;"",
"パン箱","")</f>
        <v/>
      </c>
      <c r="R41" s="150" t="str">
        <f ca="1">IF(R37&lt;&gt;"",
IF(OR(COUNTIF('盛付札（関数）'!R37,"*キャラ*"),COUNTIF('盛付札（関数）'!R37,"*赤*")),24,
VLOOKUP('盛付札（関数）'!R37,商品マスタ一覧!$D:$I,6,FALSE)),"")</f>
        <v/>
      </c>
      <c r="S41" s="149" t="str">
        <f ca="1">IF(R37&lt;&gt;"",
" 端数","")</f>
        <v/>
      </c>
      <c r="T41" s="150"/>
      <c r="U41" s="149" t="str">
        <f ca="1">IF(R37&lt;&gt;"",
"アレルギー","")</f>
        <v/>
      </c>
      <c r="V41" s="154"/>
      <c r="W41" s="129"/>
      <c r="X41" s="149" t="str">
        <f ca="1">IF(Y37&lt;&gt;"",
"パン箱","")</f>
        <v/>
      </c>
      <c r="Y41" s="150" t="str">
        <f ca="1">IF(Y37&lt;&gt;"",
IF(OR(COUNTIF('盛付札（関数）'!Y37,"*キャラ*"),COUNTIF('盛付札（関数）'!Y37,"*赤*")),24,
VLOOKUP('盛付札（関数）'!Y37,商品マスタ一覧!$D:$I,6,FALSE)),"")</f>
        <v/>
      </c>
      <c r="Z41" s="149" t="str">
        <f ca="1">IF(Y37&lt;&gt;"",
" 端数","")</f>
        <v/>
      </c>
      <c r="AA41" s="150"/>
      <c r="AB41" s="149" t="str">
        <f ca="1">IF(Y37&lt;&gt;"",
"アレルギー","")</f>
        <v/>
      </c>
      <c r="AC41" s="154"/>
      <c r="AD41" s="129"/>
      <c r="AE41" s="129"/>
      <c r="AF41" s="149" t="str">
        <f ca="1">IF(AG37&lt;&gt;"",
"パン箱","")</f>
        <v/>
      </c>
      <c r="AG41" s="150" t="str">
        <f ca="1">IF(AG37&lt;&gt;"",
IF(OR(COUNTIF('盛付札（関数）'!AG37,"*キャラ*"),COUNTIF('盛付札（関数）'!AG37,"*赤*")),24,
VLOOKUP('盛付札（関数）'!AG37,商品マスタ一覧!$D:$I,6,FALSE)),"")</f>
        <v/>
      </c>
      <c r="AH41" s="149" t="str">
        <f ca="1">IF(AG37&lt;&gt;"",
" 端数","")</f>
        <v/>
      </c>
      <c r="AI41" s="150"/>
      <c r="AJ41" s="149" t="str">
        <f ca="1">IF(AG37&lt;&gt;"",
"アレルギー","")</f>
        <v/>
      </c>
      <c r="AK41" s="154"/>
      <c r="AL41" s="129"/>
      <c r="AM41" s="149" t="str">
        <f ca="1">IF(AN37&lt;&gt;"",
"パン箱","")</f>
        <v/>
      </c>
      <c r="AN41" s="150" t="str">
        <f ca="1">IF(AN37&lt;&gt;"",
IF(OR(COUNTIF('盛付札（関数）'!AN37,"*キャラ*"),COUNTIF('盛付札（関数）'!AN37,"*赤*")),24,
VLOOKUP('盛付札（関数）'!AN37,商品マスタ一覧!$D:$I,6,FALSE)),"")</f>
        <v/>
      </c>
      <c r="AO41" s="149" t="str">
        <f ca="1">IF(AN37&lt;&gt;"",
" 端数","")</f>
        <v/>
      </c>
      <c r="AP41" s="150"/>
      <c r="AQ41" s="149" t="str">
        <f ca="1">IF(AN37&lt;&gt;"",
"アレルギー","")</f>
        <v/>
      </c>
      <c r="AR41" s="154"/>
      <c r="AS41" s="129"/>
      <c r="AT41" s="129"/>
      <c r="AU41" s="149" t="str">
        <f ca="1">IF(AV37&lt;&gt;"",
"パン箱","")</f>
        <v/>
      </c>
      <c r="AV41" s="150" t="str">
        <f ca="1">IF(AV37&lt;&gt;"",
IF(OR(COUNTIF('盛付札（関数）'!AV37,"*キャラ*"),COUNTIF('盛付札（関数）'!AV37,"*赤*")),24,
VLOOKUP('盛付札（関数）'!AV37,商品マスタ一覧!$D:$I,6,FALSE)),"")</f>
        <v/>
      </c>
      <c r="AW41" s="149" t="str">
        <f ca="1">IF(AV37&lt;&gt;"",
" 端数","")</f>
        <v/>
      </c>
      <c r="AX41" s="150"/>
      <c r="AY41" s="149" t="str">
        <f ca="1">IF(AV37&lt;&gt;"",
"アレルギー","")</f>
        <v/>
      </c>
      <c r="AZ41" s="154"/>
      <c r="BA41" s="129"/>
      <c r="BB41" s="149" t="str">
        <f ca="1">IF(BC37&lt;&gt;"",
"パン箱","")</f>
        <v/>
      </c>
      <c r="BC41" s="150" t="str">
        <f ca="1">IF(BC37&lt;&gt;"",
IF(OR(COUNTIF('盛付札（関数）'!BC37,"*キャラ*"),COUNTIF('盛付札（関数）'!BC37,"*赤*")),24,
VLOOKUP('盛付札（関数）'!BC37,商品マスタ一覧!$D:$I,6,FALSE)),"")</f>
        <v/>
      </c>
      <c r="BD41" s="149" t="str">
        <f ca="1">IF(BC37&lt;&gt;"",
" 端数","")</f>
        <v/>
      </c>
      <c r="BE41" s="150"/>
      <c r="BF41" s="149" t="str">
        <f ca="1">IF(BC37&lt;&gt;"",
"アレルギー","")</f>
        <v/>
      </c>
      <c r="BG41" s="154"/>
      <c r="BH41" s="129"/>
      <c r="BI41" s="129"/>
      <c r="BJ41" s="149" t="str">
        <f ca="1">IF(BK37&lt;&gt;"",
"パン箱","")</f>
        <v/>
      </c>
      <c r="BK41" s="150" t="str">
        <f ca="1">IF(BK37&lt;&gt;"",
IF(OR(COUNTIF('盛付札（関数）'!BK37,"*キャラ*"),COUNTIF('盛付札（関数）'!BK37,"*赤*")),24,
VLOOKUP('盛付札（関数）'!BK37,商品マスタ一覧!$D:$I,6,FALSE)),"")</f>
        <v/>
      </c>
      <c r="BL41" s="149" t="str">
        <f ca="1">IF(BK37&lt;&gt;"",
" 端数","")</f>
        <v/>
      </c>
      <c r="BM41" s="150"/>
      <c r="BN41" s="149" t="str">
        <f ca="1">IF(BK37&lt;&gt;"",
"アレルギー","")</f>
        <v/>
      </c>
      <c r="BO41" s="154"/>
      <c r="BP41" s="129"/>
      <c r="BQ41" s="149" t="str">
        <f ca="1">IF(BR37&lt;&gt;"",
"パン箱","")</f>
        <v/>
      </c>
      <c r="BR41" s="150" t="str">
        <f ca="1">IF(BR37&lt;&gt;"",
IF(OR(COUNTIF('盛付札（関数）'!BR37,"*キャラ*"),COUNTIF('盛付札（関数）'!BR37,"*赤*")),24,
VLOOKUP('盛付札（関数）'!BR37,商品マスタ一覧!$D:$I,6,FALSE)),"")</f>
        <v/>
      </c>
      <c r="BS41" s="149" t="str">
        <f ca="1">IF(BR37&lt;&gt;"",
" 端数","")</f>
        <v/>
      </c>
      <c r="BT41" s="150"/>
      <c r="BU41" s="149" t="str">
        <f ca="1">IF(BR37&lt;&gt;"",
"アレルギー","")</f>
        <v/>
      </c>
      <c r="BV41" s="154"/>
      <c r="BW41" s="129"/>
      <c r="BX41" s="132">
        <f t="shared" si="2"/>
        <v>28</v>
      </c>
      <c r="BY41" s="132" t="str">
        <f t="array" aca="1" ref="BY41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LEN(SUBSTITUTE(_xlfn.FORMULATEXT(BY$25),"=","")))+$BX41)</f>
        <v/>
      </c>
      <c r="BZ41" s="132" t="str">
        <f t="array" aca="1" ref="BZ41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LEN(SUBSTITUTE(_xlfn.FORMULATEXT(BZ$25),"=","")))+$BX41)</f>
        <v/>
      </c>
      <c r="CA41" s="132" t="str">
        <f t="array" aca="1" ref="CA41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LEN(SUBSTITUTE(_xlfn.FORMULATEXT(CA$25),"=","")))+$BX41)</f>
        <v/>
      </c>
      <c r="CB41" s="132" t="str">
        <f t="array" aca="1" ref="CB41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LEN(SUBSTITUTE(_xlfn.FORMULATEXT(CB$25),"=","")))+$BX41)</f>
        <v/>
      </c>
      <c r="CC41" s="132" t="str">
        <f t="array" aca="1" ref="CC41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LEN(SUBSTITUTE(_xlfn.FORMULATEXT(CC$25),"=","")))+$BX41)</f>
        <v/>
      </c>
      <c r="CD41" s="132" t="str">
        <f t="array" aca="1" ref="CD41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LEN(SUBSTITUTE(_xlfn.FORMULATEXT(CD$25),"=","")))+$BX41)</f>
        <v/>
      </c>
      <c r="CE41" s="132" t="str">
        <f t="array" aca="1" ref="CE41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LEN(SUBSTITUTE(_xlfn.FORMULATEXT(CE$25),"=","")))+$BX41)</f>
        <v/>
      </c>
      <c r="CF41" s="132" t="str">
        <f t="array" aca="1" ref="CF41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LEN(SUBSTITUTE(_xlfn.FORMULATEXT(CF$25),"=","")))+$BX41)</f>
        <v/>
      </c>
      <c r="CG41" s="132" t="str">
        <f t="array" aca="1" ref="CG41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LEN(SUBSTITUTE(_xlfn.FORMULATEXT(CG$25),"=","")))+$BX41)</f>
        <v/>
      </c>
      <c r="CH41" s="132" t="str">
        <f t="array" aca="1" ref="CH41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LEN(SUBSTITUTE(_xlfn.FORMULATEXT(CH$25),"=","")))+$BX41)</f>
        <v/>
      </c>
      <c r="CI41" s="132">
        <f t="shared" ca="1" si="3"/>
        <v>0</v>
      </c>
      <c r="CJ41" s="132" t="b">
        <f t="array" aca="1" ref="CJ41" ca="1">SUMPRODUCT((LEN(BY41:CH41)&gt;0)*1)&gt;0</f>
        <v>0</v>
      </c>
      <c r="CK41" s="132" t="str" cm="1">
        <f t="array" aca="1" ref="CK41" ca="1">IFERROR(SMALL(IF(CI$1:CI$150&lt;&gt;0,CI$1:CI$150),ROW(A41)),"")</f>
        <v/>
      </c>
      <c r="CL41" s="132" t="str">
        <f t="array" aca="1" ref="CL41" ca="1">IF($CK41&lt;&gt;"",
INDIRECT(""&amp;IF(COLUMN(BY41)&lt;=26,CHAR(COLUMN(BY41)+64),CHAR(INT((COLUMN(BY41)-1)/26)+64)&amp;CHAR(MOD(COLUMN(BY41)-1,26)+65))&amp;$CK41&amp;""),"")</f>
        <v/>
      </c>
      <c r="CM41" s="132" t="str">
        <f t="array" aca="1" ref="CM41" ca="1">IF($CK41&lt;&gt;"",
INDIRECT(""&amp;IF(COLUMN(BZ41)&lt;=26,CHAR(COLUMN(BZ41)+64),CHAR(INT((COLUMN(BZ41)-1)/26)+64)&amp;CHAR(MOD(COLUMN(BZ41)-1,26)+65))&amp;$CK41&amp;""),"")</f>
        <v/>
      </c>
      <c r="CN41" s="132" t="str">
        <f t="array" aca="1" ref="CN41" ca="1">IF($CK41&lt;&gt;"",
INDIRECT(""&amp;IF(COLUMN(CA41)&lt;=26,CHAR(COLUMN(CA41)+64),CHAR(INT((COLUMN(CA41)-1)/26)+64)&amp;CHAR(MOD(COLUMN(CA41)-1,26)+65))&amp;$CK41&amp;""),"")</f>
        <v/>
      </c>
      <c r="CO41" s="132" t="str">
        <f t="array" aca="1" ref="CO41" ca="1">IF($CK41&lt;&gt;"",
INDIRECT(""&amp;IF(COLUMN(CB41)&lt;=26,CHAR(COLUMN(CB41)+64),CHAR(INT((COLUMN(CB41)-1)/26)+64)&amp;CHAR(MOD(COLUMN(CB41)-1,26)+65))&amp;$CK41&amp;""),"")</f>
        <v/>
      </c>
      <c r="CP41" s="132" t="str">
        <f t="array" aca="1" ref="CP41" ca="1">IF($CK41&lt;&gt;"",
INDIRECT(""&amp;IF(COLUMN(CC41)&lt;=26,CHAR(COLUMN(CC41)+64),CHAR(INT((COLUMN(CC41)-1)/26)+64)&amp;CHAR(MOD(COLUMN(CC41)-1,26)+65))&amp;$CK41&amp;""),"")</f>
        <v/>
      </c>
      <c r="CQ41" s="132" t="str">
        <f t="array" aca="1" ref="CQ41" ca="1">IF($CK41&lt;&gt;"",
INDIRECT(""&amp;IF(COLUMN(CD41)&lt;=26,CHAR(COLUMN(CD41)+64),CHAR(INT((COLUMN(CD41)-1)/26)+64)&amp;CHAR(MOD(COLUMN(CD41)-1,26)+65))&amp;$CK41&amp;""),"")</f>
        <v/>
      </c>
      <c r="CR41" s="132" t="str">
        <f t="array" aca="1" ref="CR41" ca="1">IF($CK41&lt;&gt;"",
INDIRECT(""&amp;IF(COLUMN(CE41)&lt;=26,CHAR(COLUMN(CE41)+64),CHAR(INT((COLUMN(CE41)-1)/26)+64)&amp;CHAR(MOD(COLUMN(CE41)-1,26)+65))&amp;$CK41&amp;""),"")</f>
        <v/>
      </c>
      <c r="CS41" s="132" t="str">
        <f t="array" aca="1" ref="CS41" ca="1">IF($CK41&lt;&gt;"",
INDIRECT(""&amp;IF(COLUMN(CF41)&lt;=26,CHAR(COLUMN(CF41)+64),CHAR(INT((COLUMN(CF41)-1)/26)+64)&amp;CHAR(MOD(COLUMN(CF41)-1,26)+65))&amp;$CK41&amp;""),"")</f>
        <v/>
      </c>
      <c r="CT41" s="132" t="str">
        <f t="array" aca="1" ref="CT41" ca="1">IF($CK41&lt;&gt;"",
INDIRECT(""&amp;IF(COLUMN(CG41)&lt;=26,CHAR(COLUMN(CG41)+64),CHAR(INT((COLUMN(CG41)-1)/26)+64)&amp;CHAR(MOD(COLUMN(CG41)-1,26)+65))&amp;$CK41&amp;""),"")</f>
        <v/>
      </c>
      <c r="CU41" s="132" t="str">
        <f t="array" aca="1" ref="CU41" ca="1">IF($CK41&lt;&gt;"",
INDIRECT(""&amp;IF(COLUMN(CH41)&lt;=26,CHAR(COLUMN(CH41)+64),CHAR(INT((COLUMN(CH41)-1)/26)+64)&amp;CHAR(MOD(COLUMN(CH41)-1,26)+65))&amp;$CK41&amp;""),"")</f>
        <v/>
      </c>
    </row>
    <row r="42" spans="1:99" ht="21" customHeight="1" x14ac:dyDescent="0.45">
      <c r="B42" s="124" t="str">
        <f ca="1">IF(C39&lt;&gt;"",
IFERROR(INT(C39/C41),""),"")</f>
        <v/>
      </c>
      <c r="C42" s="151"/>
      <c r="D42" s="124" t="str">
        <f ca="1">IFERROR(MOD(C39,C41),"")</f>
        <v/>
      </c>
      <c r="E42" s="151"/>
      <c r="F42" s="118" t="str">
        <f t="array" aca="1" ref="F42" ca="1">IF(C36&lt;&gt;"",
IF(IFERROR(
INDEX(INDIRECT("'数出表_Excel（アレルギー入力）'!B"&amp;MATCH(G36,'数出表_Excel（アレルギー入力）'!$A:$A,0)-1&amp;":AC"&amp;MATCH(G36,'数出表_Excel（アレルギー入力）'!$A:$A,0)-1&amp;""),
 1,
MATCH(C39,INDIRECT("'数出表_Excel（アレルギー入力）'!"&amp;B36-1&amp;":"&amp;B36-1&amp;""),0)),
 "")&lt;&gt;0,
IF(IFERROR(
INDEX(INDIRECT("'数出表_Excel（アレルギー入力）'!B"&amp;MATCH(G36,'数出表_Excel（アレルギー入力）'!$A:$A,0)-1&amp;":AC"&amp;MATCH(G36,'数出表_Excel（アレルギー入力）'!$A:$A,0)-1&amp;""),
 1,
MATCH(C39,INDIRECT("'数出表_Excel（アレルギー入力）'!"&amp;B36-1&amp;":"&amp;B36-1&amp;""),0)),
 "")="",
IFERROR(
INDEX(INDIRECT("'数出表_Excel（アレルギー入力）'!B"&amp;MATCH(G36,'数出表_Excel（アレルギー入力）'!$A:$A,0)-1&amp;":AC"&amp;MATCH(G36,'数出表_Excel（アレルギー入力）'!$A:$A,0)-1&amp;""),
 1,
MATCH(TRUE,INDEX(INDIRECT("'数出表_Excel（アレルギー入力）'!B"&amp;B36-1&amp;":AC"&amp;B36-1&amp;"")&lt;&gt;"",0),0)+1),
 ""),
IFERROR(
INDEX(INDIRECT("'数出表_Excel（アレルギー入力）'!B"&amp;MATCH(G36,'数出表_Excel（アレルギー入力）'!$A:$A,0)-1&amp;":AC"&amp;MATCH(G36,'数出表_Excel（アレルギー入力）'!$A:$A,0)-1&amp;""),
 1,
MATCH(C39,INDIRECT("'数出表_Excel（アレルギー入力）'!"&amp;B36-1&amp;":"&amp;B36-1&amp;""),0)),
 "")),0),"")</f>
        <v/>
      </c>
      <c r="G42" s="151"/>
      <c r="I42" s="124" t="str">
        <f ca="1">IF(J39&lt;&gt;"",
IFERROR(INT(J39/J41),""),"")</f>
        <v/>
      </c>
      <c r="J42" s="151"/>
      <c r="K42" s="124" t="str">
        <f ca="1">IFERROR(MOD(J39,J41),"")</f>
        <v/>
      </c>
      <c r="L42" s="151"/>
      <c r="M42" s="118" t="str">
        <f t="array" aca="1" ref="M42" ca="1">IF(J36&lt;&gt;"",
IF(IFERROR(
INDEX(INDIRECT("'数出表_Excel（アレルギー入力）'!B"&amp;MATCH(N36,'数出表_Excel（アレルギー入力）'!$A:$A,0)-1&amp;":AC"&amp;MATCH(N36,'数出表_Excel（アレルギー入力）'!$A:$A,0)-1&amp;""),
 1,
MATCH(J39,INDIRECT("'数出表_Excel（アレルギー入力）'!"&amp;I36-1&amp;":"&amp;I36-1&amp;""),0)),
 "")&lt;&gt;0,
IF(IFERROR(
INDEX(INDIRECT("'数出表_Excel（アレルギー入力）'!B"&amp;MATCH(N36,'数出表_Excel（アレルギー入力）'!$A:$A,0)-1&amp;":AC"&amp;MATCH(N36,'数出表_Excel（アレルギー入力）'!$A:$A,0)-1&amp;""),
 1,
MATCH(J39,INDIRECT("'数出表_Excel（アレルギー入力）'!"&amp;I36-1&amp;":"&amp;I36-1&amp;""),0)),
 "")="",
IFERROR(
INDEX(INDIRECT("'数出表_Excel（アレルギー入力）'!B"&amp;MATCH(N36,'数出表_Excel（アレルギー入力）'!$A:$A,0)-1&amp;":AC"&amp;MATCH(N36,'数出表_Excel（アレルギー入力）'!$A:$A,0)-1&amp;""),
 1,
MATCH(TRUE,INDEX(INDIRECT("'数出表_Excel（アレルギー入力）'!B"&amp;I36-1&amp;":AC"&amp;I36-1&amp;"")&lt;&gt;"",0),0)+1),
 ""),
IFERROR(
INDEX(INDIRECT("'数出表_Excel（アレルギー入力）'!B"&amp;MATCH(N36,'数出表_Excel（アレルギー入力）'!$A:$A,0)-1&amp;":AC"&amp;MATCH(N36,'数出表_Excel（アレルギー入力）'!$A:$A,0)-1&amp;""),
 1,
MATCH(J39,INDIRECT("'数出表_Excel（アレルギー入力）'!"&amp;I36-1&amp;":"&amp;I36-1&amp;""),0)),
 "")),0),"")</f>
        <v/>
      </c>
      <c r="N42" s="151"/>
      <c r="Q42" s="124" t="str">
        <f ca="1">IF(R39&lt;&gt;"",
IFERROR(INT(R39/R41),""),"")</f>
        <v/>
      </c>
      <c r="R42" s="151"/>
      <c r="S42" s="124" t="str">
        <f ca="1">IFERROR(MOD(R39,R41),"")</f>
        <v/>
      </c>
      <c r="T42" s="151"/>
      <c r="U42" s="118" t="str">
        <f t="array" aca="1" ref="U42" ca="1">IF(R36&lt;&gt;"",
IF(IFERROR(
INDEX(INDIRECT("'数出表_Excel（アレルギー入力）'!B"&amp;MATCH(V36,'数出表_Excel（アレルギー入力）'!$A:$A,0)-1&amp;":AC"&amp;MATCH(V36,'数出表_Excel（アレルギー入力）'!$A:$A,0)-1&amp;""),
 1,
MATCH(R39,INDIRECT("'数出表_Excel（アレルギー入力）'!"&amp;Q36-1&amp;":"&amp;Q36-1&amp;""),0)),
 "")&lt;&gt;0,
IF(IFERROR(
INDEX(INDIRECT("'数出表_Excel（アレルギー入力）'!B"&amp;MATCH(V36,'数出表_Excel（アレルギー入力）'!$A:$A,0)-1&amp;":AC"&amp;MATCH(V36,'数出表_Excel（アレルギー入力）'!$A:$A,0)-1&amp;""),
 1,
MATCH(R39,INDIRECT("'数出表_Excel（アレルギー入力）'!"&amp;Q36-1&amp;":"&amp;Q36-1&amp;""),0)),
 "")="",
IFERROR(
INDEX(INDIRECT("'数出表_Excel（アレルギー入力）'!B"&amp;MATCH(V36,'数出表_Excel（アレルギー入力）'!$A:$A,0)-1&amp;":AC"&amp;MATCH(V36,'数出表_Excel（アレルギー入力）'!$A:$A,0)-1&amp;""),
 1,
MATCH(TRUE,INDEX(INDIRECT("'数出表_Excel（アレルギー入力）'!B"&amp;Q36-1&amp;":AC"&amp;Q36-1&amp;"")&lt;&gt;"",0),0)+1),
 ""),
IFERROR(
INDEX(INDIRECT("'数出表_Excel（アレルギー入力）'!B"&amp;MATCH(V36,'数出表_Excel（アレルギー入力）'!$A:$A,0)-1&amp;":AC"&amp;MATCH(V36,'数出表_Excel（アレルギー入力）'!$A:$A,0)-1&amp;""),
 1,
MATCH(R39,INDIRECT("'数出表_Excel（アレルギー入力）'!"&amp;Q36-1&amp;":"&amp;Q36-1&amp;""),0)),
 "")),0),"")</f>
        <v/>
      </c>
      <c r="V42" s="151"/>
      <c r="X42" s="124" t="str">
        <f ca="1">IF(Y39&lt;&gt;"",
IFERROR(INT(Y39/Y41),""),"")</f>
        <v/>
      </c>
      <c r="Y42" s="151"/>
      <c r="Z42" s="124" t="str">
        <f ca="1">IFERROR(MOD(Y39,Y41),"")</f>
        <v/>
      </c>
      <c r="AA42" s="151"/>
      <c r="AB42" s="118" t="str">
        <f t="array" aca="1" ref="AB42" ca="1">IF(Y36&lt;&gt;"",
IF(IFERROR(
INDEX(INDIRECT("'数出表_Excel（アレルギー入力）'!B"&amp;MATCH(AC36,'数出表_Excel（アレルギー入力）'!$A:$A,0)-1&amp;":AC"&amp;MATCH(AC36,'数出表_Excel（アレルギー入力）'!$A:$A,0)-1&amp;""),
 1,
MATCH(Y39,INDIRECT("'数出表_Excel（アレルギー入力）'!"&amp;X36-1&amp;":"&amp;X36-1&amp;""),0)),
 "")&lt;&gt;0,
IF(IFERROR(
INDEX(INDIRECT("'数出表_Excel（アレルギー入力）'!B"&amp;MATCH(AC36,'数出表_Excel（アレルギー入力）'!$A:$A,0)-1&amp;":AC"&amp;MATCH(AC36,'数出表_Excel（アレルギー入力）'!$A:$A,0)-1&amp;""),
 1,
MATCH(Y39,INDIRECT("'数出表_Excel（アレルギー入力）'!"&amp;X36-1&amp;":"&amp;X36-1&amp;""),0)),
 "")="",
IFERROR(
INDEX(INDIRECT("'数出表_Excel（アレルギー入力）'!B"&amp;MATCH(AC36,'数出表_Excel（アレルギー入力）'!$A:$A,0)-1&amp;":AC"&amp;MATCH(AC36,'数出表_Excel（アレルギー入力）'!$A:$A,0)-1&amp;""),
 1,
MATCH(TRUE,INDEX(INDIRECT("'数出表_Excel（アレルギー入力）'!B"&amp;X36-1&amp;":AC"&amp;X36-1&amp;"")&lt;&gt;"",0),0)+1),
 ""),
IFERROR(
INDEX(INDIRECT("'数出表_Excel（アレルギー入力）'!B"&amp;MATCH(AC36,'数出表_Excel（アレルギー入力）'!$A:$A,0)-1&amp;":AC"&amp;MATCH(AC36,'数出表_Excel（アレルギー入力）'!$A:$A,0)-1&amp;""),
 1,
MATCH(Y39,INDIRECT("'数出表_Excel（アレルギー入力）'!"&amp;X36-1&amp;":"&amp;X36-1&amp;""),0)),
 "")),0),"")</f>
        <v/>
      </c>
      <c r="AC42" s="151"/>
      <c r="AF42" s="124" t="str">
        <f ca="1">IF(AG39&lt;&gt;"",
IFERROR(INT(AG39/AG41),""),"")</f>
        <v/>
      </c>
      <c r="AG42" s="151"/>
      <c r="AH42" s="124" t="str">
        <f ca="1">IFERROR(MOD(AG39,AG41),"")</f>
        <v/>
      </c>
      <c r="AI42" s="151"/>
      <c r="AJ42" s="118" t="str">
        <f t="array" aca="1" ref="AJ42" ca="1">IF(AG36&lt;&gt;"",
IF(IFERROR(
INDEX(INDIRECT("'数出表_Excel（アレルギー入力）'!B"&amp;MATCH(AK36,'数出表_Excel（アレルギー入力）'!$A:$A,0)-1&amp;":AC"&amp;MATCH(AK36,'数出表_Excel（アレルギー入力）'!$A:$A,0)-1&amp;""),
 1,
MATCH(AG39,INDIRECT("'数出表_Excel（アレルギー入力）'!"&amp;AF36-1&amp;":"&amp;AF36-1&amp;""),0)),
 "")&lt;&gt;0,
IF(IFERROR(
INDEX(INDIRECT("'数出表_Excel（アレルギー入力）'!B"&amp;MATCH(AK36,'数出表_Excel（アレルギー入力）'!$A:$A,0)-1&amp;":AC"&amp;MATCH(AK36,'数出表_Excel（アレルギー入力）'!$A:$A,0)-1&amp;""),
 1,
MATCH(AG39,INDIRECT("'数出表_Excel（アレルギー入力）'!"&amp;AF36-1&amp;":"&amp;AF36-1&amp;""),0)),
 "")="",
IFERROR(
INDEX(INDIRECT("'数出表_Excel（アレルギー入力）'!B"&amp;MATCH(AK36,'数出表_Excel（アレルギー入力）'!$A:$A,0)-1&amp;":AC"&amp;MATCH(AK36,'数出表_Excel（アレルギー入力）'!$A:$A,0)-1&amp;""),
 1,
MATCH(TRUE,INDEX(INDIRECT("'数出表_Excel（アレルギー入力）'!B"&amp;AF36-1&amp;":AC"&amp;AF36-1&amp;"")&lt;&gt;"",0),0)+1),
 ""),
IFERROR(
INDEX(INDIRECT("'数出表_Excel（アレルギー入力）'!B"&amp;MATCH(AK36,'数出表_Excel（アレルギー入力）'!$A:$A,0)-1&amp;":AC"&amp;MATCH(AK36,'数出表_Excel（アレルギー入力）'!$A:$A,0)-1&amp;""),
 1,
MATCH(AG39,INDIRECT("'数出表_Excel（アレルギー入力）'!"&amp;AF36-1&amp;":"&amp;AF36-1&amp;""),0)),
 "")),0),"")</f>
        <v/>
      </c>
      <c r="AK42" s="151"/>
      <c r="AM42" s="124" t="str">
        <f ca="1">IF(AN39&lt;&gt;"",
IFERROR(INT(AN39/AN41),""),"")</f>
        <v/>
      </c>
      <c r="AN42" s="151"/>
      <c r="AO42" s="124" t="str">
        <f ca="1">IFERROR(MOD(AN39,AN41),"")</f>
        <v/>
      </c>
      <c r="AP42" s="151"/>
      <c r="AQ42" s="118" t="str">
        <f t="array" aca="1" ref="AQ42" ca="1">IF(AN36&lt;&gt;"",
IF(IFERROR(
INDEX(INDIRECT("'数出表_Excel（アレルギー入力）'!B"&amp;MATCH(AR36,'数出表_Excel（アレルギー入力）'!$A:$A,0)-1&amp;":AC"&amp;MATCH(AR36,'数出表_Excel（アレルギー入力）'!$A:$A,0)-1&amp;""),
 1,
MATCH(AN39,INDIRECT("'数出表_Excel（アレルギー入力）'!"&amp;AM36-1&amp;":"&amp;AM36-1&amp;""),0)),
 "")&lt;&gt;0,
IF(IFERROR(
INDEX(INDIRECT("'数出表_Excel（アレルギー入力）'!B"&amp;MATCH(AR36,'数出表_Excel（アレルギー入力）'!$A:$A,0)-1&amp;":AC"&amp;MATCH(AR36,'数出表_Excel（アレルギー入力）'!$A:$A,0)-1&amp;""),
 1,
MATCH(AN39,INDIRECT("'数出表_Excel（アレルギー入力）'!"&amp;AM36-1&amp;":"&amp;AM36-1&amp;""),0)),
 "")="",
IFERROR(
INDEX(INDIRECT("'数出表_Excel（アレルギー入力）'!B"&amp;MATCH(AR36,'数出表_Excel（アレルギー入力）'!$A:$A,0)-1&amp;":AC"&amp;MATCH(AR36,'数出表_Excel（アレルギー入力）'!$A:$A,0)-1&amp;""),
 1,
MATCH(TRUE,INDEX(INDIRECT("'数出表_Excel（アレルギー入力）'!B"&amp;AM36-1&amp;":AC"&amp;AM36-1&amp;"")&lt;&gt;"",0),0)+1),
 ""),
IFERROR(
INDEX(INDIRECT("'数出表_Excel（アレルギー入力）'!B"&amp;MATCH(AR36,'数出表_Excel（アレルギー入力）'!$A:$A,0)-1&amp;":AC"&amp;MATCH(AR36,'数出表_Excel（アレルギー入力）'!$A:$A,0)-1&amp;""),
 1,
MATCH(AN39,INDIRECT("'数出表_Excel（アレルギー入力）'!"&amp;AM36-1&amp;":"&amp;AM36-1&amp;""),0)),
 "")),0),"")</f>
        <v/>
      </c>
      <c r="AR42" s="151"/>
      <c r="AU42" s="124" t="str">
        <f ca="1">IF(AV39&lt;&gt;"",
IFERROR(INT(AV39/AV41),""),"")</f>
        <v/>
      </c>
      <c r="AV42" s="151"/>
      <c r="AW42" s="124" t="str">
        <f ca="1">IFERROR(MOD(AV39,AV41),"")</f>
        <v/>
      </c>
      <c r="AX42" s="151"/>
      <c r="AY42" s="118" t="str">
        <f t="array" aca="1" ref="AY42" ca="1">IF(AV36&lt;&gt;"",
IF(IFERROR(
INDEX(INDIRECT("'数出表_Excel（アレルギー入力）'!B"&amp;MATCH(AZ36,'数出表_Excel（アレルギー入力）'!$A:$A,0)-1&amp;":AC"&amp;MATCH(AZ36,'数出表_Excel（アレルギー入力）'!$A:$A,0)-1&amp;""),
 1,
MATCH(AV39,INDIRECT("'数出表_Excel（アレルギー入力）'!"&amp;AU36-1&amp;":"&amp;AU36-1&amp;""),0)),
 "")&lt;&gt;0,
IF(IFERROR(
INDEX(INDIRECT("'数出表_Excel（アレルギー入力）'!B"&amp;MATCH(AZ36,'数出表_Excel（アレルギー入力）'!$A:$A,0)-1&amp;":AC"&amp;MATCH(AZ36,'数出表_Excel（アレルギー入力）'!$A:$A,0)-1&amp;""),
 1,
MATCH(AV39,INDIRECT("'数出表_Excel（アレルギー入力）'!"&amp;AU36-1&amp;":"&amp;AU36-1&amp;""),0)),
 "")="",
IFERROR(
INDEX(INDIRECT("'数出表_Excel（アレルギー入力）'!B"&amp;MATCH(AZ36,'数出表_Excel（アレルギー入力）'!$A:$A,0)-1&amp;":AC"&amp;MATCH(AZ36,'数出表_Excel（アレルギー入力）'!$A:$A,0)-1&amp;""),
 1,
MATCH(TRUE,INDEX(INDIRECT("'数出表_Excel（アレルギー入力）'!B"&amp;AU36-1&amp;":AC"&amp;AU36-1&amp;"")&lt;&gt;"",0),0)+1),
 ""),
IFERROR(
INDEX(INDIRECT("'数出表_Excel（アレルギー入力）'!B"&amp;MATCH(AZ36,'数出表_Excel（アレルギー入力）'!$A:$A,0)-1&amp;":AC"&amp;MATCH(AZ36,'数出表_Excel（アレルギー入力）'!$A:$A,0)-1&amp;""),
 1,
MATCH(AV39,INDIRECT("'数出表_Excel（アレルギー入力）'!"&amp;AU36-1&amp;":"&amp;AU36-1&amp;""),0)),
 "")),0),"")</f>
        <v/>
      </c>
      <c r="AZ42" s="151"/>
      <c r="BB42" s="124" t="str">
        <f ca="1">IF(BC39&lt;&gt;"",
IFERROR(INT(BC39/BC41),""),"")</f>
        <v/>
      </c>
      <c r="BC42" s="151"/>
      <c r="BD42" s="124" t="str">
        <f ca="1">IFERROR(MOD(BC39,BC41),"")</f>
        <v/>
      </c>
      <c r="BE42" s="151"/>
      <c r="BF42" s="118" t="str">
        <f t="array" aca="1" ref="BF42" ca="1">IF(BC36&lt;&gt;"",
IF(IFERROR(
INDEX(INDIRECT("'数出表_Excel（アレルギー入力）'!B"&amp;MATCH(BG36,'数出表_Excel（アレルギー入力）'!$A:$A,0)-1&amp;":AC"&amp;MATCH(BG36,'数出表_Excel（アレルギー入力）'!$A:$A,0)-1&amp;""),
 1,
MATCH(BC39,INDIRECT("'数出表_Excel（アレルギー入力）'!"&amp;BB36-1&amp;":"&amp;BB36-1&amp;""),0)),
 "")&lt;&gt;0,
IF(IFERROR(
INDEX(INDIRECT("'数出表_Excel（アレルギー入力）'!B"&amp;MATCH(BG36,'数出表_Excel（アレルギー入力）'!$A:$A,0)-1&amp;":AC"&amp;MATCH(BG36,'数出表_Excel（アレルギー入力）'!$A:$A,0)-1&amp;""),
 1,
MATCH(BC39,INDIRECT("'数出表_Excel（アレルギー入力）'!"&amp;BB36-1&amp;":"&amp;BB36-1&amp;""),0)),
 "")="",
IFERROR(
INDEX(INDIRECT("'数出表_Excel（アレルギー入力）'!B"&amp;MATCH(BG36,'数出表_Excel（アレルギー入力）'!$A:$A,0)-1&amp;":AC"&amp;MATCH(BG36,'数出表_Excel（アレルギー入力）'!$A:$A,0)-1&amp;""),
 1,
MATCH(TRUE,INDEX(INDIRECT("'数出表_Excel（アレルギー入力）'!B"&amp;BB36-1&amp;":AC"&amp;BB36-1&amp;"")&lt;&gt;"",0),0)+1),
 ""),
IFERROR(
INDEX(INDIRECT("'数出表_Excel（アレルギー入力）'!B"&amp;MATCH(BG36,'数出表_Excel（アレルギー入力）'!$A:$A,0)-1&amp;":AC"&amp;MATCH(BG36,'数出表_Excel（アレルギー入力）'!$A:$A,0)-1&amp;""),
 1,
MATCH(BC39,INDIRECT("'数出表_Excel（アレルギー入力）'!"&amp;BB36-1&amp;":"&amp;BB36-1&amp;""),0)),
 "")),0),"")</f>
        <v/>
      </c>
      <c r="BG42" s="151"/>
      <c r="BJ42" s="124" t="str">
        <f ca="1">IF(BK39&lt;&gt;"",
IFERROR(INT(BK39/BK41),""),"")</f>
        <v/>
      </c>
      <c r="BK42" s="151"/>
      <c r="BL42" s="124" t="str">
        <f ca="1">IFERROR(MOD(BK39,BK41),"")</f>
        <v/>
      </c>
      <c r="BM42" s="151"/>
      <c r="BN42" s="118" t="str">
        <f t="array" aca="1" ref="BN42" ca="1">IF(BK36&lt;&gt;"",
IF(IFERROR(
INDEX(INDIRECT("'数出表_Excel（アレルギー入力）'!B"&amp;MATCH(BO36,'数出表_Excel（アレルギー入力）'!$A:$A,0)-1&amp;":AC"&amp;MATCH(BO36,'数出表_Excel（アレルギー入力）'!$A:$A,0)-1&amp;""),
 1,
MATCH(BK39,INDIRECT("'数出表_Excel（アレルギー入力）'!"&amp;BJ36-1&amp;":"&amp;BJ36-1&amp;""),0)),
 "")&lt;&gt;0,
IF(IFERROR(
INDEX(INDIRECT("'数出表_Excel（アレルギー入力）'!B"&amp;MATCH(BO36,'数出表_Excel（アレルギー入力）'!$A:$A,0)-1&amp;":AC"&amp;MATCH(BO36,'数出表_Excel（アレルギー入力）'!$A:$A,0)-1&amp;""),
 1,
MATCH(BK39,INDIRECT("'数出表_Excel（アレルギー入力）'!"&amp;BJ36-1&amp;":"&amp;BJ36-1&amp;""),0)),
 "")="",
IFERROR(
INDEX(INDIRECT("'数出表_Excel（アレルギー入力）'!B"&amp;MATCH(BO36,'数出表_Excel（アレルギー入力）'!$A:$A,0)-1&amp;":AC"&amp;MATCH(BO36,'数出表_Excel（アレルギー入力）'!$A:$A,0)-1&amp;""),
 1,
MATCH(TRUE,INDEX(INDIRECT("'数出表_Excel（アレルギー入力）'!B"&amp;BJ36-1&amp;":AC"&amp;BJ36-1&amp;"")&lt;&gt;"",0),0)+1),
 ""),
IFERROR(
INDEX(INDIRECT("'数出表_Excel（アレルギー入力）'!B"&amp;MATCH(BO36,'数出表_Excel（アレルギー入力）'!$A:$A,0)-1&amp;":AC"&amp;MATCH(BO36,'数出表_Excel（アレルギー入力）'!$A:$A,0)-1&amp;""),
 1,
MATCH(BK39,INDIRECT("'数出表_Excel（アレルギー入力）'!"&amp;BJ36-1&amp;":"&amp;BJ36-1&amp;""),0)),
 "")),0),"")</f>
        <v/>
      </c>
      <c r="BO42" s="151"/>
      <c r="BQ42" s="124" t="str">
        <f ca="1">IF(BR39&lt;&gt;"",
IFERROR(INT(BR39/BR41),""),"")</f>
        <v/>
      </c>
      <c r="BR42" s="151"/>
      <c r="BS42" s="124" t="str">
        <f ca="1">IFERROR(MOD(BR39,BR41),"")</f>
        <v/>
      </c>
      <c r="BT42" s="151"/>
      <c r="BU42" s="118" t="str">
        <f t="array" aca="1" ref="BU42" ca="1">IF(BR36&lt;&gt;"",
IF(IFERROR(
INDEX(INDIRECT("'数出表_Excel（アレルギー入力）'!B"&amp;MATCH(BV36,'数出表_Excel（アレルギー入力）'!$A:$A,0)-1&amp;":AC"&amp;MATCH(BV36,'数出表_Excel（アレルギー入力）'!$A:$A,0)-1&amp;""),
 1,
MATCH(BR39,INDIRECT("'数出表_Excel（アレルギー入力）'!"&amp;BQ36-1&amp;":"&amp;BQ36-1&amp;""),0)),
 "")&lt;&gt;0,
IF(IFERROR(
INDEX(INDIRECT("'数出表_Excel（アレルギー入力）'!B"&amp;MATCH(BV36,'数出表_Excel（アレルギー入力）'!$A:$A,0)-1&amp;":AC"&amp;MATCH(BV36,'数出表_Excel（アレルギー入力）'!$A:$A,0)-1&amp;""),
 1,
MATCH(BR39,INDIRECT("'数出表_Excel（アレルギー入力）'!"&amp;BQ36-1&amp;":"&amp;BQ36-1&amp;""),0)),
 "")="",
IFERROR(
INDEX(INDIRECT("'数出表_Excel（アレルギー入力）'!B"&amp;MATCH(BV36,'数出表_Excel（アレルギー入力）'!$A:$A,0)-1&amp;":AC"&amp;MATCH(BV36,'数出表_Excel（アレルギー入力）'!$A:$A,0)-1&amp;""),
 1,
MATCH(TRUE,INDEX(INDIRECT("'数出表_Excel（アレルギー入力）'!B"&amp;BQ36-1&amp;":AC"&amp;BQ36-1&amp;"")&lt;&gt;"",0),0)+1),
 ""),
IFERROR(
INDEX(INDIRECT("'数出表_Excel（アレルギー入力）'!B"&amp;MATCH(BV36,'数出表_Excel（アレルギー入力）'!$A:$A,0)-1&amp;":AC"&amp;MATCH(BV36,'数出表_Excel（アレルギー入力）'!$A:$A,0)-1&amp;""),
 1,
MATCH(BR39,INDIRECT("'数出表_Excel（アレルギー入力）'!"&amp;BQ36-1&amp;":"&amp;BQ36-1&amp;""),0)),
 "")),0),"")</f>
        <v/>
      </c>
      <c r="BV42" s="151"/>
      <c r="BX42" s="132">
        <f t="shared" si="2"/>
        <v>70</v>
      </c>
      <c r="BY42" s="132" t="str">
        <f t="array" aca="1" ref="BY42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LEN(SUBSTITUTE(_xlfn.FORMULATEXT(BY$25),"=","")))+$BX42)</f>
        <v/>
      </c>
      <c r="BZ42" s="132" t="str">
        <f t="array" aca="1" ref="BZ42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LEN(SUBSTITUTE(_xlfn.FORMULATEXT(BZ$25),"=","")))+$BX42)</f>
        <v/>
      </c>
      <c r="CA42" s="132" t="str">
        <f t="array" aca="1" ref="CA42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LEN(SUBSTITUTE(_xlfn.FORMULATEXT(CA$25),"=","")))+$BX42)</f>
        <v/>
      </c>
      <c r="CB42" s="132" t="str">
        <f t="array" aca="1" ref="CB42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LEN(SUBSTITUTE(_xlfn.FORMULATEXT(CB$25),"=","")))+$BX42)</f>
        <v/>
      </c>
      <c r="CC42" s="132" t="str">
        <f t="array" aca="1" ref="CC42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LEN(SUBSTITUTE(_xlfn.FORMULATEXT(CC$25),"=","")))+$BX42)</f>
        <v/>
      </c>
      <c r="CD42" s="132" t="str">
        <f t="array" aca="1" ref="CD42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LEN(SUBSTITUTE(_xlfn.FORMULATEXT(CD$25),"=","")))+$BX42)</f>
        <v/>
      </c>
      <c r="CE42" s="132" t="str">
        <f t="array" aca="1" ref="CE42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LEN(SUBSTITUTE(_xlfn.FORMULATEXT(CE$25),"=","")))+$BX42)</f>
        <v/>
      </c>
      <c r="CF42" s="132" t="str">
        <f t="array" aca="1" ref="CF42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LEN(SUBSTITUTE(_xlfn.FORMULATEXT(CF$25),"=","")))+$BX42)</f>
        <v/>
      </c>
      <c r="CG42" s="132" t="str">
        <f t="array" aca="1" ref="CG42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LEN(SUBSTITUTE(_xlfn.FORMULATEXT(CG$25),"=","")))+$BX42)</f>
        <v/>
      </c>
      <c r="CH42" s="132" t="str">
        <f t="array" aca="1" ref="CH42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LEN(SUBSTITUTE(_xlfn.FORMULATEXT(CH$25),"=","")))+$BX42)</f>
        <v/>
      </c>
      <c r="CI42" s="132">
        <f t="shared" ca="1" si="3"/>
        <v>0</v>
      </c>
      <c r="CJ42" s="132" t="b">
        <f t="array" aca="1" ref="CJ42" ca="1">SUMPRODUCT((LEN(BY42:CH42)&gt;0)*1)&gt;0</f>
        <v>0</v>
      </c>
      <c r="CK42" s="132" t="str" cm="1">
        <f t="array" aca="1" ref="CK42" ca="1">IFERROR(SMALL(IF(CI$1:CI$150&lt;&gt;0,CI$1:CI$150),ROW(A42)),"")</f>
        <v/>
      </c>
      <c r="CL42" s="132" t="str">
        <f t="array" aca="1" ref="CL42" ca="1">IF($CK42&lt;&gt;"",
INDIRECT(""&amp;IF(COLUMN(BY42)&lt;=26,CHAR(COLUMN(BY42)+64),CHAR(INT((COLUMN(BY42)-1)/26)+64)&amp;CHAR(MOD(COLUMN(BY42)-1,26)+65))&amp;$CK42&amp;""),"")</f>
        <v/>
      </c>
      <c r="CM42" s="132" t="str">
        <f t="array" aca="1" ref="CM42" ca="1">IF($CK42&lt;&gt;"",
INDIRECT(""&amp;IF(COLUMN(BZ42)&lt;=26,CHAR(COLUMN(BZ42)+64),CHAR(INT((COLUMN(BZ42)-1)/26)+64)&amp;CHAR(MOD(COLUMN(BZ42)-1,26)+65))&amp;$CK42&amp;""),"")</f>
        <v/>
      </c>
      <c r="CN42" s="132" t="str">
        <f t="array" aca="1" ref="CN42" ca="1">IF($CK42&lt;&gt;"",
INDIRECT(""&amp;IF(COLUMN(CA42)&lt;=26,CHAR(COLUMN(CA42)+64),CHAR(INT((COLUMN(CA42)-1)/26)+64)&amp;CHAR(MOD(COLUMN(CA42)-1,26)+65))&amp;$CK42&amp;""),"")</f>
        <v/>
      </c>
      <c r="CO42" s="132" t="str">
        <f t="array" aca="1" ref="CO42" ca="1">IF($CK42&lt;&gt;"",
INDIRECT(""&amp;IF(COLUMN(CB42)&lt;=26,CHAR(COLUMN(CB42)+64),CHAR(INT((COLUMN(CB42)-1)/26)+64)&amp;CHAR(MOD(COLUMN(CB42)-1,26)+65))&amp;$CK42&amp;""),"")</f>
        <v/>
      </c>
      <c r="CP42" s="132" t="str">
        <f t="array" aca="1" ref="CP42" ca="1">IF($CK42&lt;&gt;"",
INDIRECT(""&amp;IF(COLUMN(CC42)&lt;=26,CHAR(COLUMN(CC42)+64),CHAR(INT((COLUMN(CC42)-1)/26)+64)&amp;CHAR(MOD(COLUMN(CC42)-1,26)+65))&amp;$CK42&amp;""),"")</f>
        <v/>
      </c>
      <c r="CQ42" s="132" t="str">
        <f t="array" aca="1" ref="CQ42" ca="1">IF($CK42&lt;&gt;"",
INDIRECT(""&amp;IF(COLUMN(CD42)&lt;=26,CHAR(COLUMN(CD42)+64),CHAR(INT((COLUMN(CD42)-1)/26)+64)&amp;CHAR(MOD(COLUMN(CD42)-1,26)+65))&amp;$CK42&amp;""),"")</f>
        <v/>
      </c>
      <c r="CR42" s="132" t="str">
        <f t="array" aca="1" ref="CR42" ca="1">IF($CK42&lt;&gt;"",
INDIRECT(""&amp;IF(COLUMN(CE42)&lt;=26,CHAR(COLUMN(CE42)+64),CHAR(INT((COLUMN(CE42)-1)/26)+64)&amp;CHAR(MOD(COLUMN(CE42)-1,26)+65))&amp;$CK42&amp;""),"")</f>
        <v/>
      </c>
      <c r="CS42" s="132" t="str">
        <f t="array" aca="1" ref="CS42" ca="1">IF($CK42&lt;&gt;"",
INDIRECT(""&amp;IF(COLUMN(CF42)&lt;=26,CHAR(COLUMN(CF42)+64),CHAR(INT((COLUMN(CF42)-1)/26)+64)&amp;CHAR(MOD(COLUMN(CF42)-1,26)+65))&amp;$CK42&amp;""),"")</f>
        <v/>
      </c>
      <c r="CT42" s="132" t="str">
        <f t="array" aca="1" ref="CT42" ca="1">IF($CK42&lt;&gt;"",
INDIRECT(""&amp;IF(COLUMN(CG42)&lt;=26,CHAR(COLUMN(CG42)+64),CHAR(INT((COLUMN(CG42)-1)/26)+64)&amp;CHAR(MOD(COLUMN(CG42)-1,26)+65))&amp;$CK42&amp;""),"")</f>
        <v/>
      </c>
      <c r="CU42" s="132" t="str">
        <f t="array" aca="1" ref="CU42" ca="1">IF($CK42&lt;&gt;"",
INDIRECT(""&amp;IF(COLUMN(CH42)&lt;=26,CHAR(COLUMN(CH42)+64),CHAR(INT((COLUMN(CH42)-1)/26)+64)&amp;CHAR(MOD(COLUMN(CH42)-1,26)+65))&amp;$CK42&amp;""),"")</f>
        <v/>
      </c>
    </row>
    <row r="43" spans="1:99" s="132" customFormat="1" ht="18" customHeight="1" x14ac:dyDescent="0.55000000000000004">
      <c r="A43" s="129" t="str">
        <f t="array" aca="1" ref="A43" ca="1">IF(COUNTIF(G1,"*合計*"),"",
IFERROR(
SUBSTITUTE(ADDRESS(1,
COLUMN(INDIRECT("'数出表_Excel（アレルギー入力）'!B" &amp; (MATCH(G1,'数出表_Excel（アレルギー入力）'!$A:$A,0)-1))) - 1 +
MATCH(TRUE, ISNUMBER(--INDIRECT("'数出表_Excel（アレルギー入力）'!B" &amp; (MATCH(G1,'数出表_Excel（アレルギー入力）'!$A:$A,0)-1) &amp; ":AC" &amp; (MATCH(G1,'数出表_Excel（アレルギー入力）'!$A:$A,0)-1))), 0)+1,4),"1",""),
""))</f>
        <v/>
      </c>
      <c r="B43" s="130" t="str" cm="1">
        <f t="array" aca="1" ref="B43" ca="1">IF(COUNTIF(G1,"*合計*"),"",
IFERROR(
SUBSTITUTE(ADDRESS(1,
COLUMN(INDIRECT("数出表_Excel!B" &amp; (MATCH(G1,数出表_Excel!$A:$A,0)-1))) - 1 +
MATCH(TRUE, ISNUMBER(--INDIRECT("数出表_Excel!B" &amp; (MATCH(G1,数出表_Excel!$A:$A,0)-1) &amp; ":U" &amp; (MATCH(G1,数出表_Excel!$A:$A,0)-1))), 0)+1,4),"1",""),
""))</f>
        <v/>
      </c>
      <c r="C43" s="117" t="str">
        <f ca="1">IF(C46&lt;&gt;"",C1,"")</f>
        <v/>
      </c>
      <c r="D43" s="131"/>
      <c r="E43" s="131"/>
      <c r="F43" s="131"/>
      <c r="G43" s="157"/>
      <c r="H43" s="129"/>
      <c r="I43" s="130" t="str">
        <f t="array" aca="1" ref="I43" ca="1">IF(COUNTIF(N1,"*合計*"),"",
IFERROR(
SUBSTITUTE(ADDRESS(1,
COLUMN(INDIRECT("数出表_Excel!B" &amp; (MATCH(N1,数出表_Excel!$A:$A,0)-1))) - 1 +
MATCH(TRUE, ISNUMBER(--INDIRECT("数出表_Excel!B" &amp; (MATCH(N1,数出表_Excel!$A:$A,0)-1) &amp; ":U" &amp; (MATCH(N1,数出表_Excel!$A:$A,0)-1))), 0)+1,4),"1",""),
""))</f>
        <v/>
      </c>
      <c r="J43" s="117" t="str">
        <f ca="1">IF(J46&lt;&gt;"",J1,"")</f>
        <v/>
      </c>
      <c r="K43" s="131"/>
      <c r="L43" s="131"/>
      <c r="M43" s="131"/>
      <c r="N43" s="152"/>
      <c r="O43" s="129"/>
      <c r="P43" s="129"/>
      <c r="Q43" s="130" t="str">
        <f t="array" aca="1" ref="Q43" ca="1">IF(COUNTIF(V1,"*合計*"),"",
IFERROR(
SUBSTITUTE(ADDRESS(1,
COLUMN(INDIRECT("数出表_Excel!B" &amp; (MATCH(V1,数出表_Excel!$A:$A,0)-1))) - 1 +
MATCH(TRUE, ISNUMBER(--INDIRECT("数出表_Excel!B" &amp; (MATCH(V1,数出表_Excel!$A:$A,0)-1) &amp; ":U" &amp; (MATCH(V1,数出表_Excel!$A:$A,0)-1))), 0)+1,4),"1",""),
""))</f>
        <v/>
      </c>
      <c r="R43" s="117" t="str">
        <f ca="1">IF(R46&lt;&gt;"",R1,"")</f>
        <v/>
      </c>
      <c r="S43" s="131"/>
      <c r="T43" s="131"/>
      <c r="U43" s="131"/>
      <c r="V43" s="152"/>
      <c r="W43" s="129"/>
      <c r="X43" s="130" t="str">
        <f t="array" aca="1" ref="X43" ca="1">IF(COUNTIF(AC1,"*合計*"),"",
IFERROR(
SUBSTITUTE(ADDRESS(1,
COLUMN(INDIRECT("数出表_Excel!B" &amp; (MATCH(AC1,数出表_Excel!$A:$A,0)-1))) - 1 +
MATCH(TRUE, ISNUMBER(--INDIRECT("数出表_Excel!B" &amp; (MATCH(AC1,数出表_Excel!$A:$A,0)-1) &amp; ":U" &amp; (MATCH(AC1,数出表_Excel!$A:$A,0)-1))), 0)+1,4),"1",""),
""))</f>
        <v/>
      </c>
      <c r="Y43" s="117" t="str">
        <f ca="1">IF(Y46&lt;&gt;"",Y1,"")</f>
        <v/>
      </c>
      <c r="Z43" s="131"/>
      <c r="AA43" s="131"/>
      <c r="AB43" s="131"/>
      <c r="AC43" s="152"/>
      <c r="AD43" s="129"/>
      <c r="AE43" s="129"/>
      <c r="AF43" s="130" t="str">
        <f t="array" aca="1" ref="AF43" ca="1">IF(COUNTIF(AK1,"*合計*"),"",
IFERROR(
SUBSTITUTE(ADDRESS(1,
COLUMN(INDIRECT("数出表_Excel!B" &amp; (MATCH(AK1,数出表_Excel!$A:$A,0)-1))) - 1 +
MATCH(TRUE, ISNUMBER(--INDIRECT("数出表_Excel!B" &amp; (MATCH(AK1,数出表_Excel!$A:$A,0)-1) &amp; ":U" &amp; (MATCH(AK1,数出表_Excel!$A:$A,0)-1))), 0)+1,4),"1",""),
""))</f>
        <v/>
      </c>
      <c r="AG43" s="117" t="str">
        <f ca="1">IF(AG46&lt;&gt;"",AG1,"")</f>
        <v/>
      </c>
      <c r="AH43" s="131"/>
      <c r="AI43" s="131"/>
      <c r="AJ43" s="131"/>
      <c r="AK43" s="152"/>
      <c r="AL43" s="129"/>
      <c r="AM43" s="130" t="str">
        <f t="array" aca="1" ref="AM43" ca="1">IF(COUNTIF(AR1,"*合計*"),"",
IFERROR(
SUBSTITUTE(ADDRESS(1,
COLUMN(INDIRECT("数出表_Excel!B" &amp; (MATCH(AR1,数出表_Excel!$A:$A,0)-1))) - 1 +
MATCH(TRUE, ISNUMBER(--INDIRECT("数出表_Excel!B" &amp; (MATCH(AR1,数出表_Excel!$A:$A,0)-1) &amp; ":U" &amp; (MATCH(AR1,数出表_Excel!$A:$A,0)-1))), 0)+1,4),"1",""),
""))</f>
        <v/>
      </c>
      <c r="AN43" s="117" t="str">
        <f ca="1">IF(AN46&lt;&gt;"",AN1,"")</f>
        <v/>
      </c>
      <c r="AO43" s="131"/>
      <c r="AP43" s="131"/>
      <c r="AQ43" s="131"/>
      <c r="AR43" s="152"/>
      <c r="AS43" s="129"/>
      <c r="AT43" s="129"/>
      <c r="AU43" s="130" t="str">
        <f t="array" aca="1" ref="AU43" ca="1">IF(COUNTIF(AZ1,"*合計*"),"",
IFERROR(
SUBSTITUTE(ADDRESS(1,
COLUMN(INDIRECT("数出表_Excel!B" &amp; (MATCH(AZ1,数出表_Excel!$A:$A,0)-1))) - 1 +
MATCH(TRUE, ISNUMBER(--INDIRECT("数出表_Excel!B" &amp; (MATCH(AZ1,数出表_Excel!$A:$A,0)-1) &amp; ":U" &amp; (MATCH(AZ1,数出表_Excel!$A:$A,0)-1))), 0)+1,4),"1",""),
""))</f>
        <v/>
      </c>
      <c r="AV43" s="117" t="str">
        <f ca="1">IF(AV46&lt;&gt;"",AV1,"")</f>
        <v/>
      </c>
      <c r="AW43" s="131"/>
      <c r="AX43" s="131"/>
      <c r="AY43" s="131"/>
      <c r="AZ43" s="152"/>
      <c r="BA43" s="129"/>
      <c r="BB43" s="130" t="str">
        <f t="array" aca="1" ref="BB43" ca="1">IF(COUNTIF(BG1,"*合計*"),"",
IFERROR(
SUBSTITUTE(ADDRESS(1,
COLUMN(INDIRECT("数出表_Excel!B" &amp; (MATCH(BG1,数出表_Excel!$A:$A,0)-1))) - 1 +
MATCH(TRUE, ISNUMBER(--INDIRECT("数出表_Excel!B" &amp; (MATCH(BG1,数出表_Excel!$A:$A,0)-1) &amp; ":U" &amp; (MATCH(BG1,数出表_Excel!$A:$A,0)-1))), 0)+1,4),"1",""),
""))</f>
        <v/>
      </c>
      <c r="BC43" s="117" t="str">
        <f ca="1">IF(BC46&lt;&gt;"",BC1,"")</f>
        <v/>
      </c>
      <c r="BD43" s="131"/>
      <c r="BE43" s="131"/>
      <c r="BF43" s="131"/>
      <c r="BG43" s="152"/>
      <c r="BH43" s="129"/>
      <c r="BI43" s="129"/>
      <c r="BJ43" s="130" t="str">
        <f t="array" aca="1" ref="BJ43" ca="1">IF(COUNTIF(BO1,"*合計*"),"",
IFERROR(
SUBSTITUTE(ADDRESS(1,
COLUMN(INDIRECT("数出表_Excel!B" &amp; (MATCH(BO1,数出表_Excel!$A:$A,0)-1))) - 1 +
MATCH(TRUE, ISNUMBER(--INDIRECT("数出表_Excel!B" &amp; (MATCH(BO1,数出表_Excel!$A:$A,0)-1) &amp; ":U" &amp; (MATCH(BO1,数出表_Excel!$A:$A,0)-1))), 0)+1,4),"1",""),
""))</f>
        <v/>
      </c>
      <c r="BK43" s="117" t="str">
        <f ca="1">IF(BK46&lt;&gt;"",BK1,"")</f>
        <v/>
      </c>
      <c r="BL43" s="131"/>
      <c r="BM43" s="131"/>
      <c r="BN43" s="131"/>
      <c r="BO43" s="152"/>
      <c r="BP43" s="129"/>
      <c r="BQ43" s="130" t="str">
        <f t="array" aca="1" ref="BQ43" ca="1">IF(COUNTIF(BV1,"*合計*"),"",
IFERROR(
SUBSTITUTE(ADDRESS(1,
COLUMN(INDIRECT("数出表_Excel!B" &amp; (MATCH(BV1,数出表_Excel!$A:$A,0)-1))) - 1 +
MATCH(TRUE, ISNUMBER(--INDIRECT("数出表_Excel!B" &amp; (MATCH(BV1,数出表_Excel!$A:$A,0)-1) &amp; ":U" &amp; (MATCH(BV1,数出表_Excel!$A:$A,0)-1))), 0)+1,4),"1",""),
""))</f>
        <v/>
      </c>
      <c r="BR43" s="117" t="str">
        <f ca="1">IF(BR46&lt;&gt;"",BR1,"")</f>
        <v/>
      </c>
      <c r="BS43" s="131"/>
      <c r="BT43" s="131"/>
      <c r="BU43" s="131"/>
      <c r="BV43" s="152"/>
      <c r="BW43" s="129"/>
      <c r="BX43" s="146">
        <f t="shared" si="2"/>
        <v>28</v>
      </c>
      <c r="BY43" s="132" t="str">
        <f t="array" aca="1" ref="BY43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LEN(SUBSTITUTE(_xlfn.FORMULATEXT(BY$27),"=","")))+$BX43)</f>
        <v/>
      </c>
      <c r="BZ43" s="132" t="str">
        <f t="array" aca="1" ref="BZ43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LEN(SUBSTITUTE(_xlfn.FORMULATEXT(BZ$27),"=","")))+$BX43)</f>
        <v/>
      </c>
      <c r="CA43" s="132" t="str">
        <f t="array" aca="1" ref="CA43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LEN(SUBSTITUTE(_xlfn.FORMULATEXT(CA$27),"=","")))+$BX43)</f>
        <v/>
      </c>
      <c r="CB43" s="132" t="str">
        <f t="array" aca="1" ref="CB43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LEN(SUBSTITUTE(_xlfn.FORMULATEXT(CB$27),"=","")))+$BX43)</f>
        <v/>
      </c>
      <c r="CC43" s="132" t="str">
        <f t="array" aca="1" ref="CC43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LEN(SUBSTITUTE(_xlfn.FORMULATEXT(CC$27),"=","")))+$BX43)</f>
        <v/>
      </c>
      <c r="CD43" s="132" t="str">
        <f t="array" aca="1" ref="CD43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LEN(SUBSTITUTE(_xlfn.FORMULATEXT(CD$27),"=","")))+$BX43)</f>
        <v/>
      </c>
      <c r="CE43" s="132" t="str">
        <f t="array" aca="1" ref="CE43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LEN(SUBSTITUTE(_xlfn.FORMULATEXT(CE$27),"=","")))+$BX43)</f>
        <v/>
      </c>
      <c r="CF43" s="132" t="str">
        <f t="array" aca="1" ref="CF43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LEN(SUBSTITUTE(_xlfn.FORMULATEXT(CF$27),"=","")))+$BX43)</f>
        <v/>
      </c>
      <c r="CG43" s="132" t="str">
        <f t="array" aca="1" ref="CG43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LEN(SUBSTITUTE(_xlfn.FORMULATEXT(CG$27),"=","")))+$BX43)</f>
        <v/>
      </c>
      <c r="CH43" s="132" t="str">
        <f t="array" aca="1" ref="CH43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LEN(SUBSTITUTE(_xlfn.FORMULATEXT(CH$27),"=","")))+$BX43)</f>
        <v/>
      </c>
      <c r="CI43" s="132">
        <f t="shared" ca="1" si="3"/>
        <v>0</v>
      </c>
      <c r="CJ43" s="132" t="b">
        <f t="array" aca="1" ref="CJ43" ca="1">SUMPRODUCT((LEN(BY43:CH43)&gt;0)*1)&gt;0</f>
        <v>0</v>
      </c>
      <c r="CK43" s="132" t="str" cm="1">
        <f t="array" aca="1" ref="CK43" ca="1">IFERROR(SMALL(IF(CI$1:CI$150&lt;&gt;0,CI$1:CI$150),ROW(A43)),"")</f>
        <v/>
      </c>
      <c r="CL43" s="132" t="str" cm="1">
        <f t="array" aca="1" ref="CL43" ca="1">IF($CK43&lt;&gt;"",
INDIRECT(""&amp;IF(COLUMN(BY43)&lt;=26,CHAR(COLUMN(BY43)+64),CHAR(INT((COLUMN(BY43)-1)/26)+64)&amp;CHAR(MOD(COLUMN(BY43)-1,26)+65))&amp;$CK43&amp;""),"")</f>
        <v/>
      </c>
      <c r="CM43" s="132" t="str">
        <f t="array" aca="1" ref="CM43" ca="1">IF($CK43&lt;&gt;"",
INDIRECT(""&amp;IF(COLUMN(BZ43)&lt;=26,CHAR(COLUMN(BZ43)+64),CHAR(INT((COLUMN(BZ43)-1)/26)+64)&amp;CHAR(MOD(COLUMN(BZ43)-1,26)+65))&amp;$CK43&amp;""),"")</f>
        <v/>
      </c>
      <c r="CN43" s="132" t="str">
        <f t="array" aca="1" ref="CN43" ca="1">IF($CK43&lt;&gt;"",
INDIRECT(""&amp;IF(COLUMN(CA43)&lt;=26,CHAR(COLUMN(CA43)+64),CHAR(INT((COLUMN(CA43)-1)/26)+64)&amp;CHAR(MOD(COLUMN(CA43)-1,26)+65))&amp;$CK43&amp;""),"")</f>
        <v/>
      </c>
      <c r="CO43" s="132" t="str">
        <f t="array" aca="1" ref="CO43" ca="1">IF($CK43&lt;&gt;"",
INDIRECT(""&amp;IF(COLUMN(CB43)&lt;=26,CHAR(COLUMN(CB43)+64),CHAR(INT((COLUMN(CB43)-1)/26)+64)&amp;CHAR(MOD(COLUMN(CB43)-1,26)+65))&amp;$CK43&amp;""),"")</f>
        <v/>
      </c>
      <c r="CP43" s="132" t="str">
        <f t="array" aca="1" ref="CP43" ca="1">IF($CK43&lt;&gt;"",
INDIRECT(""&amp;IF(COLUMN(CC43)&lt;=26,CHAR(COLUMN(CC43)+64),CHAR(INT((COLUMN(CC43)-1)/26)+64)&amp;CHAR(MOD(COLUMN(CC43)-1,26)+65))&amp;$CK43&amp;""),"")</f>
        <v/>
      </c>
      <c r="CQ43" s="132" t="str">
        <f t="array" aca="1" ref="CQ43" ca="1">IF($CK43&lt;&gt;"",
INDIRECT(""&amp;IF(COLUMN(CD43)&lt;=26,CHAR(COLUMN(CD43)+64),CHAR(INT((COLUMN(CD43)-1)/26)+64)&amp;CHAR(MOD(COLUMN(CD43)-1,26)+65))&amp;$CK43&amp;""),"")</f>
        <v/>
      </c>
      <c r="CR43" s="132" t="str">
        <f t="array" aca="1" ref="CR43" ca="1">IF($CK43&lt;&gt;"",
INDIRECT(""&amp;IF(COLUMN(CE43)&lt;=26,CHAR(COLUMN(CE43)+64),CHAR(INT((COLUMN(CE43)-1)/26)+64)&amp;CHAR(MOD(COLUMN(CE43)-1,26)+65))&amp;$CK43&amp;""),"")</f>
        <v/>
      </c>
      <c r="CS43" s="132" t="str">
        <f t="array" aca="1" ref="CS43" ca="1">IF($CK43&lt;&gt;"",
INDIRECT(""&amp;IF(COLUMN(CF43)&lt;=26,CHAR(COLUMN(CF43)+64),CHAR(INT((COLUMN(CF43)-1)/26)+64)&amp;CHAR(MOD(COLUMN(CF43)-1,26)+65))&amp;$CK43&amp;""),"")</f>
        <v/>
      </c>
      <c r="CT43" s="132" t="str">
        <f t="array" aca="1" ref="CT43" ca="1">IF($CK43&lt;&gt;"",
INDIRECT(""&amp;IF(COLUMN(CG43)&lt;=26,CHAR(COLUMN(CG43)+64),CHAR(INT((COLUMN(CG43)-1)/26)+64)&amp;CHAR(MOD(COLUMN(CG43)-1,26)+65))&amp;$CK43&amp;""),"")</f>
        <v/>
      </c>
      <c r="CU43" s="132" t="str">
        <f t="array" aca="1" ref="CU43" ca="1">IF($CK43&lt;&gt;"",
INDIRECT(""&amp;IF(COLUMN(CH43)&lt;=26,CHAR(COLUMN(CH43)+64),CHAR(INT((COLUMN(CH43)-1)/26)+64)&amp;CHAR(MOD(COLUMN(CH43)-1,26)+65))&amp;$CK43&amp;""),"")</f>
        <v/>
      </c>
    </row>
    <row r="44" spans="1:99" s="132" customFormat="1" ht="18" customHeight="1" x14ac:dyDescent="0.55000000000000004">
      <c r="A44" s="129"/>
      <c r="B44" s="135" t="e">
        <f t="array" aca="1" ref="B44" ca="1">IF(B3&lt;&gt;100,
IF(C46&lt;&gt;"",MATCH(C46,INDIRECT("数出表_Excel!B"&amp;MATCH(G1,数出表_Excel!$A:$A,0)-1&amp;":U"&amp;MATCH(G1,数出表_Excel!$A:$A,0)-1&amp;""),0)+1,""),
IF(C46&lt;&gt;"",
MATCH(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INDIRECT("数出表_Excel!B"&amp;MATCH(G1,数出表_Excel!$A:$A,0)-1&amp;":U"&amp;MATCH(G1,数出表_Excel!$A:$A,0)-1&amp;""),0)+1,""))</f>
        <v>#N/A</v>
      </c>
      <c r="C44" s="70" t="str">
        <f t="array" aca="1" ref="C44" ca="1">IFERROR(IF(OR(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"3"),"*配膳*"),
COUNTIF(INDIRECT("数出表_Excel!"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"3"),"*カレー*"),
COUNTIF(C1,"*合計*")),"",
IF(IFERROR(INDIRECT("数出表_Excel!"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"3"),0)=0,"",
IFERROR(INDIRECT("数出表_Excel!" &amp;
CHAR(MATCH(TRUE,
ISNUMBER(--INDIRECT("数出表_Excel!"&amp;B43&amp;MATCH(G1,数出表_Excel!$A:$A,0)-1&amp;":U"&amp;MATCH(G1,数出表_Excel!$A:$A,0)-1&amp;"")),0)
+MATCH(TRUE, ISNUMBER(--INDIRECT("数出表_Excel!B" &amp; (MATCH(G1,数出表_Excel!$A:$A,0)-1) &amp; ":U" &amp; (MATCH(G1,数出表_Excel!$A:$A,0)-1))), 0)
+65) &amp; "3"),""))),"")</f>
        <v/>
      </c>
      <c r="D44" s="129"/>
      <c r="E44" s="136" t="str">
        <f ca="1">IF(F44&lt;&gt;"","",
IF(C43&lt;&gt;"",
IFERROR(
INDEX('数出表_Excel（アレルギー入力）'!$4:$4,
 1,
MATCH(C46,INDIRECT("'数出表_Excel（アレルギー入力）'!"&amp;B1-1&amp;":"&amp;B1-1&amp;""),0)),
 "")
&amp;IFERROR(
INDEX('数出表_Excel（アレルギー入力）'!$5:$5,
 1,
MATCH(C46,INDIRECT("'数出表_Excel（アレルギー入力）'!"&amp;B1-1&amp;":"&amp;B1-1&amp;""),0)),
 ""),""))</f>
        <v/>
      </c>
      <c r="F44" s="137" t="str">
        <f t="array" aca="1" ref="F44" ca="1">IF(C44&lt;&gt;"",
IF(MATCH(TRUE,
ISNUMBER(--INDIRECT("数出表_Excel!B"&amp;MATCH(G1,数出表_Excel!$A:$A,0)-1&amp;":U"&amp;MATCH(G1,数出表_Excel!$A:$A,0)-1&amp;"")),0)&gt;10,
IF(C44&lt;&gt;"",
IF(IF(COUNTIF('盛付札（関数）'!C44,"*キャラ*"),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VLOOKUP('盛付札（関数）'!C44,商品マスタ一覧!$D:$J,7,FALSE)))=0,"",
IF(ROUND(
IF(F49&lt;&gt;"",(C46-F49),C46)
/IF(COUNTIF('盛付札（関数）'!C44,"*キャラ*"),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VLOOKUP('盛付札（関数）'!C44,商品マスタ一覧!$D:$J,7,FALSE))),0)&lt;=0,1,
ROUND(
IF(F49&lt;&gt;"",(C46-F49),C46)
/IF(COUNTIF('盛付札（関数）'!C44,"*キャラ*"),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VLOOKUP('盛付札（関数）'!C44,商品マスタ一覧!$D:$J,7,FALSE))),0))),""),""),"")</f>
        <v/>
      </c>
      <c r="G44" s="158" t="str">
        <f ca="1">IF(F44&lt;&gt;"",IF(C46&lt;&gt;"",IF(VALUE(IF(F49&lt;&gt;"",C46-F49,C46))&gt;VALUE(IF(COUNTIF('盛付札（関数）'!C44,"*キャラ*"),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
"+"&amp;IF(F49&lt;&gt;"",C46-F49,C46)-IF(COUNTIF('盛付札（関数）'!C44,"*キャラ*"),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VLOOKUP('盛付札（関数）'!C44,商品マスタ一覧!$D:$J,7,FALSE)))*F44,
IF(F49&lt;&gt;"",C46-F49,C46)-IF(COUNTIF('盛付札（関数）'!C44,"*キャラ*"),
VLOOKUP("*キャラ*",商品マスタ一覧!$D:$J,7,FALSE),
IF(COUNTIF('盛付札（関数）'!C44,"*赤*"),
VLOOKUP("*赤*",商品マスタ一覧!$D:$J,7,FALSE),
VLOOKUP('盛付札（関数）'!C44,商品マスタ一覧!$D:$J,7,FALSE)))*F44),""),"")</f>
        <v/>
      </c>
      <c r="H44" s="129"/>
      <c r="I44" s="135" t="e">
        <f t="array" aca="1" ref="I44" ca="1">IF(I3&lt;&gt;100,
IF(J46&lt;&gt;"",MATCH(J46,INDIRECT("数出表_Excel!B"&amp;MATCH(N1,数出表_Excel!$A:$A,0)-1&amp;":U"&amp;MATCH(N1,数出表_Excel!$A:$A,0)-1&amp;""),0)+1,""),
IF(J46&lt;&gt;"",
MATCH(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INDIRECT("数出表_Excel!B"&amp;MATCH(N1,数出表_Excel!$A:$A,0)-1&amp;":U"&amp;MATCH(N1,数出表_Excel!$A:$A,0)-1&amp;""),0)+1,""))</f>
        <v>#VALUE!</v>
      </c>
      <c r="J44" s="70" t="str">
        <f t="array" aca="1" ref="J44" ca="1">IFERROR(IF(OR(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"3"),"*配膳*"),
COUNTIF(INDIRECT("数出表_Excel!"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"3"),"*カレー*"),
COUNTIF(J1,"*合計*")),"",
IF(IFERROR(INDIRECT("数出表_Excel!"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"3"),0)=0,"",
IFERROR(INDIRECT("数出表_Excel!" &amp;
CHAR(MATCH(TRUE,
ISNUMBER(--INDIRECT("数出表_Excel!"&amp;I43&amp;MATCH(N1,数出表_Excel!$A:$A,0)-1&amp;":U"&amp;MATCH(N1,数出表_Excel!$A:$A,0)-1&amp;"")),0)
+MATCH(TRUE, ISNUMBER(--INDIRECT("数出表_Excel!B" &amp; (MATCH(N1,数出表_Excel!$A:$A,0)-1) &amp; ":U" &amp; (MATCH(N1,数出表_Excel!$A:$A,0)-1))), 0)
+65) &amp; "3"),""))),"")</f>
        <v/>
      </c>
      <c r="K44" s="129"/>
      <c r="L44" s="136" t="str">
        <f ca="1">IF(M44&lt;&gt;"","",
IF(J43&lt;&gt;"",
IFERROR(
INDEX('数出表_Excel（アレルギー入力）'!$4:$4,
 1,
MATCH(J46,INDIRECT("'数出表_Excel（アレルギー入力）'!"&amp;I1-1&amp;":"&amp;I1-1&amp;""),0)),
 "")
&amp;IFERROR(
INDEX('数出表_Excel（アレルギー入力）'!$5:$5,
 1,
MATCH(J46,INDIRECT("'数出表_Excel（アレルギー入力）'!"&amp;I1-1&amp;":"&amp;I1-1&amp;""),0)),
 ""),""))</f>
        <v/>
      </c>
      <c r="M44" s="137" t="str">
        <f t="array" aca="1" ref="M44" ca="1">IF(J44&lt;&gt;"",
IF(MATCH(TRUE,
ISNUMBER(--INDIRECT("数出表_Excel!B"&amp;MATCH(N1,数出表_Excel!$A:$A,0)-1&amp;":U"&amp;MATCH(N1,数出表_Excel!$A:$A,0)-1&amp;"")),0)&gt;10,
IF(J44&lt;&gt;"",
IF(IF(COUNTIF('盛付札（関数）'!J44,"*キャラ*"),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VLOOKUP('盛付札（関数）'!J44,商品マスタ一覧!$D:$J,7,FALSE)))=0,"",
IF(ROUND(
IF(M49&lt;&gt;"",(J46-M49),J46)
/IF(COUNTIF('盛付札（関数）'!J44,"*キャラ*"),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VLOOKUP('盛付札（関数）'!J44,商品マスタ一覧!$D:$J,7,FALSE))),0)&lt;=0,1,
ROUND(
IF(M49&lt;&gt;"",(J46-M49),J46)
/IF(COUNTIF('盛付札（関数）'!J44,"*キャラ*"),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VLOOKUP('盛付札（関数）'!J44,商品マスタ一覧!$D:$J,7,FALSE))),0))),""),""),"")</f>
        <v/>
      </c>
      <c r="N44" s="153" t="str">
        <f ca="1">IF(M44&lt;&gt;"",IF(J46&lt;&gt;"",IF(VALUE(IF(M49&lt;&gt;"",J46-M49,J46))&gt;VALUE(IF(COUNTIF('盛付札（関数）'!J44,"*キャラ*"),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
"+"&amp;IF(M49&lt;&gt;"",J46-M49,J46)-IF(COUNTIF('盛付札（関数）'!J44,"*キャラ*"),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VLOOKUP('盛付札（関数）'!J44,商品マスタ一覧!$D:$J,7,FALSE)))*M44,
IF(M49&lt;&gt;"",J46-M49,J46)-IF(COUNTIF('盛付札（関数）'!J44,"*キャラ*"),
VLOOKUP("*キャラ*",商品マスタ一覧!$D:$J,7,FALSE),
IF(COUNTIF('盛付札（関数）'!J44,"*赤*"),
VLOOKUP("*赤*",商品マスタ一覧!$D:$J,7,FALSE),
VLOOKUP('盛付札（関数）'!J44,商品マスタ一覧!$D:$J,7,FALSE)))*M44),""),"")</f>
        <v/>
      </c>
      <c r="O44" s="129"/>
      <c r="P44" s="129"/>
      <c r="Q44" s="135" t="e">
        <f t="array" aca="1" ref="Q44" ca="1">IF(Q3&lt;&gt;100,
IF(R46&lt;&gt;"",MATCH(R46,INDIRECT("数出表_Excel!B"&amp;MATCH(V1,数出表_Excel!$A:$A,0)-1&amp;":U"&amp;MATCH(V1,数出表_Excel!$A:$A,0)-1&amp;""),0)+1,""),
IF(R46&lt;&gt;"",
MATCH(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INDIRECT("数出表_Excel!B"&amp;MATCH(V1,数出表_Excel!$A:$A,0)-1&amp;":U"&amp;MATCH(V1,数出表_Excel!$A:$A,0)-1&amp;""),0)+1,""))</f>
        <v>#VALUE!</v>
      </c>
      <c r="R44" s="70" t="str">
        <f t="array" aca="1" ref="R44" ca="1">IFERROR(IF(OR(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"3"),"*配膳*"),
COUNTIF(INDIRECT("数出表_Excel!"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"3"),"*カレー*"),
COUNTIF(R1,"*合計*")),"",
IF(IFERROR(INDIRECT("数出表_Excel!"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"3"),0)=0,"",
IFERROR(INDIRECT("数出表_Excel!" &amp;
CHAR(MATCH(TRUE,
ISNUMBER(--INDIRECT("数出表_Excel!"&amp;Q43&amp;MATCH(V1,数出表_Excel!$A:$A,0)-1&amp;":U"&amp;MATCH(V1,数出表_Excel!$A:$A,0)-1&amp;"")),0)
+MATCH(TRUE, ISNUMBER(--INDIRECT("数出表_Excel!B" &amp; (MATCH(V1,数出表_Excel!$A:$A,0)-1) &amp; ":U" &amp; (MATCH(V1,数出表_Excel!$A:$A,0)-1))), 0)
+65) &amp; "3"),""))),"")</f>
        <v/>
      </c>
      <c r="S44" s="129"/>
      <c r="T44" s="136" t="str">
        <f ca="1">IF(U44&lt;&gt;"","",
IF(R43&lt;&gt;"",
IFERROR(
INDEX('数出表_Excel（アレルギー入力）'!$4:$4,
 1,
MATCH(R46,INDIRECT("'数出表_Excel（アレルギー入力）'!"&amp;Q1-1&amp;":"&amp;Q1-1&amp;""),0)),
 "")
&amp;IFERROR(
INDEX('数出表_Excel（アレルギー入力）'!$5:$5,
 1,
MATCH(R46,INDIRECT("'数出表_Excel（アレルギー入力）'!"&amp;Q1-1&amp;":"&amp;Q1-1&amp;""),0)),
 ""),""))</f>
        <v/>
      </c>
      <c r="U44" s="137" t="str">
        <f t="array" aca="1" ref="U44" ca="1">IF(R44&lt;&gt;"",
IF(MATCH(TRUE,
ISNUMBER(--INDIRECT("数出表_Excel!B"&amp;MATCH(V1,数出表_Excel!$A:$A,0)-1&amp;":U"&amp;MATCH(V1,数出表_Excel!$A:$A,0)-1&amp;"")),0)&gt;10,
IF(R44&lt;&gt;"",
IF(IF(COUNTIF('盛付札（関数）'!R44,"*キャラ*"),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VLOOKUP('盛付札（関数）'!R44,商品マスタ一覧!$D:$J,7,FALSE)))=0,"",
IF(ROUND(
IF(U49&lt;&gt;"",(R46-U49),R46)
/IF(COUNTIF('盛付札（関数）'!R44,"*キャラ*"),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VLOOKUP('盛付札（関数）'!R44,商品マスタ一覧!$D:$J,7,FALSE))),0)&lt;=0,1,
ROUND(
IF(U49&lt;&gt;"",(R46-U49),R46)
/IF(COUNTIF('盛付札（関数）'!R44,"*キャラ*"),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VLOOKUP('盛付札（関数）'!R44,商品マスタ一覧!$D:$J,7,FALSE))),0))),""),""),"")</f>
        <v/>
      </c>
      <c r="V44" s="153" t="str">
        <f ca="1">IF(U44&lt;&gt;"",IF(R46&lt;&gt;"",IF(VALUE(IF(U49&lt;&gt;"",R46-U49,R46))&gt;VALUE(IF(COUNTIF('盛付札（関数）'!R44,"*キャラ*"),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
"+"&amp;IF(U49&lt;&gt;"",R46-U49,R46)-IF(COUNTIF('盛付札（関数）'!R44,"*キャラ*"),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VLOOKUP('盛付札（関数）'!R44,商品マスタ一覧!$D:$J,7,FALSE)))*U44,
IF(U49&lt;&gt;"",R46-U49,R46)-IF(COUNTIF('盛付札（関数）'!R44,"*キャラ*"),
VLOOKUP("*キャラ*",商品マスタ一覧!$D:$J,7,FALSE),
IF(COUNTIF('盛付札（関数）'!R44,"*赤*"),
VLOOKUP("*赤*",商品マスタ一覧!$D:$J,7,FALSE),
VLOOKUP('盛付札（関数）'!R44,商品マスタ一覧!$D:$J,7,FALSE)))*U44),""),"")</f>
        <v/>
      </c>
      <c r="W44" s="129"/>
      <c r="X44" s="135" t="e">
        <f t="array" aca="1" ref="X44" ca="1">IF(X3&lt;&gt;100,
IF(Y46&lt;&gt;"",MATCH(Y46,INDIRECT("数出表_Excel!B"&amp;MATCH(AC1,数出表_Excel!$A:$A,0)-1&amp;":U"&amp;MATCH(AC1,数出表_Excel!$A:$A,0)-1&amp;""),0)+1,""),
IF(Y46&lt;&gt;"",
MATCH(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INDIRECT("数出表_Excel!B"&amp;MATCH(AC1,数出表_Excel!$A:$A,0)-1&amp;":U"&amp;MATCH(AC1,数出表_Excel!$A:$A,0)-1&amp;""),0)+1,""))</f>
        <v>#VALUE!</v>
      </c>
      <c r="Y44" s="70" t="str">
        <f t="array" aca="1" ref="Y44" ca="1">IFERROR(IF(OR(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"3"),"*配膳*"),
COUNTIF(INDIRECT("数出表_Excel!"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"3"),"*カレー*"),
COUNTIF(Y1,"*合計*")),"",
IF(IFERROR(INDIRECT("数出表_Excel!"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"3"),0)=0,"",
IFERROR(INDIRECT("数出表_Excel!" &amp;
CHAR(MATCH(TRUE,
ISNUMBER(--INDIRECT("数出表_Excel!"&amp;X43&amp;MATCH(AC1,数出表_Excel!$A:$A,0)-1&amp;":U"&amp;MATCH(AC1,数出表_Excel!$A:$A,0)-1&amp;"")),0)
+MATCH(TRUE, ISNUMBER(--INDIRECT("数出表_Excel!B" &amp; (MATCH(AC1,数出表_Excel!$A:$A,0)-1) &amp; ":U" &amp; (MATCH(AC1,数出表_Excel!$A:$A,0)-1))), 0)
+65) &amp; "3"),""))),"")</f>
        <v/>
      </c>
      <c r="Z44" s="129"/>
      <c r="AA44" s="136" t="str">
        <f ca="1">IF(AB44&lt;&gt;"","",
IF(Y43&lt;&gt;"",
IFERROR(
INDEX('数出表_Excel（アレルギー入力）'!$4:$4,
 1,
MATCH(Y46,INDIRECT("'数出表_Excel（アレルギー入力）'!"&amp;X1-1&amp;":"&amp;X1-1&amp;""),0)),
 "")
&amp;IFERROR(
INDEX('数出表_Excel（アレルギー入力）'!$5:$5,
 1,
MATCH(Y46,INDIRECT("'数出表_Excel（アレルギー入力）'!"&amp;X1-1&amp;":"&amp;X1-1&amp;""),0)),
 ""),""))</f>
        <v/>
      </c>
      <c r="AB44" s="137" t="str">
        <f t="array" aca="1" ref="AB44" ca="1">IF(Y44&lt;&gt;"",
IF(MATCH(TRUE,
ISNUMBER(--INDIRECT("数出表_Excel!B"&amp;MATCH(AC1,数出表_Excel!$A:$A,0)-1&amp;":U"&amp;MATCH(AC1,数出表_Excel!$A:$A,0)-1&amp;"")),0)&gt;10,
IF(Y44&lt;&gt;"",
IF(IF(COUNTIF('盛付札（関数）'!Y44,"*キャラ*"),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VLOOKUP('盛付札（関数）'!Y44,商品マスタ一覧!$D:$J,7,FALSE)))=0,"",
IF(ROUND(
IF(AB49&lt;&gt;"",(Y46-AB49),Y46)
/IF(COUNTIF('盛付札（関数）'!Y44,"*キャラ*"),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VLOOKUP('盛付札（関数）'!Y44,商品マスタ一覧!$D:$J,7,FALSE))),0)&lt;=0,1,
ROUND(
IF(AB49&lt;&gt;"",(Y46-AB49),Y46)
/IF(COUNTIF('盛付札（関数）'!Y44,"*キャラ*"),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VLOOKUP('盛付札（関数）'!Y44,商品マスタ一覧!$D:$J,7,FALSE))),0))),""),""),"")</f>
        <v/>
      </c>
      <c r="AC44" s="153" t="str">
        <f ca="1">IF(AB44&lt;&gt;"",IF(Y46&lt;&gt;"",IF(VALUE(IF(AB49&lt;&gt;"",Y46-AB49,Y46))&gt;VALUE(IF(COUNTIF('盛付札（関数）'!Y44,"*キャラ*"),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
"+"&amp;IF(AB49&lt;&gt;"",Y46-AB49,Y46)-IF(COUNTIF('盛付札（関数）'!Y44,"*キャラ*"),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VLOOKUP('盛付札（関数）'!Y44,商品マスタ一覧!$D:$J,7,FALSE)))*AB44,
IF(AB49&lt;&gt;"",Y46-AB49,Y46)-IF(COUNTIF('盛付札（関数）'!Y44,"*キャラ*"),
VLOOKUP("*キャラ*",商品マスタ一覧!$D:$J,7,FALSE),
IF(COUNTIF('盛付札（関数）'!Y44,"*赤*"),
VLOOKUP("*赤*",商品マスタ一覧!$D:$J,7,FALSE),
VLOOKUP('盛付札（関数）'!Y44,商品マスタ一覧!$D:$J,7,FALSE)))*AB44),""),"")</f>
        <v/>
      </c>
      <c r="AD44" s="129"/>
      <c r="AE44" s="129"/>
      <c r="AF44" s="135" t="e">
        <f t="array" aca="1" ref="AF44" ca="1">IF(AF3&lt;&gt;100,
IF(AG46&lt;&gt;"",MATCH(AG46,INDIRECT("数出表_Excel!B"&amp;MATCH(AK1,数出表_Excel!$A:$A,0)-1&amp;":U"&amp;MATCH(AK1,数出表_Excel!$A:$A,0)-1&amp;""),0)+1,""),
IF(AG46&lt;&gt;"",
MATCH(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INDIRECT("数出表_Excel!B"&amp;MATCH(AK1,数出表_Excel!$A:$A,0)-1&amp;":U"&amp;MATCH(AK1,数出表_Excel!$A:$A,0)-1&amp;""),0)+1,""))</f>
        <v>#VALUE!</v>
      </c>
      <c r="AG44" s="70" t="str">
        <f t="array" aca="1" ref="AG44" ca="1">IFERROR(IF(OR(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"3"),"*配膳*"),
COUNTIF(INDIRECT("数出表_Excel!"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"3"),"*カレー*"),
COUNTIF(AG1,"*合計*")),"",
IF(IFERROR(INDIRECT("数出表_Excel!"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"3"),0)=0,"",
IFERROR(INDIRECT("数出表_Excel!" &amp;
CHAR(MATCH(TRUE,
ISNUMBER(--INDIRECT("数出表_Excel!"&amp;AF43&amp;MATCH(AK1,数出表_Excel!$A:$A,0)-1&amp;":U"&amp;MATCH(AK1,数出表_Excel!$A:$A,0)-1&amp;"")),0)
+MATCH(TRUE, ISNUMBER(--INDIRECT("数出表_Excel!B" &amp; (MATCH(AK1,数出表_Excel!$A:$A,0)-1) &amp; ":U" &amp; (MATCH(AK1,数出表_Excel!$A:$A,0)-1))), 0)
+65) &amp; "3"),""))),"")</f>
        <v/>
      </c>
      <c r="AH44" s="129"/>
      <c r="AI44" s="136" t="str">
        <f ca="1">IF(AJ44&lt;&gt;"","",
IF(AG43&lt;&gt;"",
IFERROR(
INDEX('数出表_Excel（アレルギー入力）'!$4:$4,
 1,
MATCH(AG46,INDIRECT("'数出表_Excel（アレルギー入力）'!"&amp;AF1-1&amp;":"&amp;AF1-1&amp;""),0)),
 "")
&amp;IFERROR(
INDEX('数出表_Excel（アレルギー入力）'!$5:$5,
 1,
MATCH(AG46,INDIRECT("'数出表_Excel（アレルギー入力）'!"&amp;AF1-1&amp;":"&amp;AF1-1&amp;""),0)),
 ""),""))</f>
        <v/>
      </c>
      <c r="AJ44" s="137" t="str">
        <f t="array" aca="1" ref="AJ44" ca="1">IF(AG44&lt;&gt;"",
IF(MATCH(TRUE,
ISNUMBER(--INDIRECT("数出表_Excel!B"&amp;MATCH(AK1,数出表_Excel!$A:$A,0)-1&amp;":U"&amp;MATCH(AK1,数出表_Excel!$A:$A,0)-1&amp;"")),0)&gt;10,
IF(AG44&lt;&gt;"",
IF(IF(COUNTIF('盛付札（関数）'!AG44,"*キャラ*"),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VLOOKUP('盛付札（関数）'!AG44,商品マスタ一覧!$D:$J,7,FALSE)))=0,"",
IF(ROUND(
IF(AJ49&lt;&gt;"",(AG46-AJ49),AG46)
/IF(COUNTIF('盛付札（関数）'!AG44,"*キャラ*"),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VLOOKUP('盛付札（関数）'!AG44,商品マスタ一覧!$D:$J,7,FALSE))),0)&lt;=0,1,
ROUND(
IF(AJ49&lt;&gt;"",(AG46-AJ49),AG46)
/IF(COUNTIF('盛付札（関数）'!AG44,"*キャラ*"),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VLOOKUP('盛付札（関数）'!AG44,商品マスタ一覧!$D:$J,7,FALSE))),0))),""),""),"")</f>
        <v/>
      </c>
      <c r="AK44" s="153" t="str">
        <f ca="1">IF(AJ44&lt;&gt;"",IF(AG46&lt;&gt;"",IF(VALUE(IF(AJ49&lt;&gt;"",AG46-AJ49,AG46))&gt;VALUE(IF(COUNTIF('盛付札（関数）'!AG44,"*キャラ*"),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
"+"&amp;IF(AJ49&lt;&gt;"",AG46-AJ49,AG46)-IF(COUNTIF('盛付札（関数）'!AG44,"*キャラ*"),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VLOOKUP('盛付札（関数）'!AG44,商品マスタ一覧!$D:$J,7,FALSE)))*AJ44,
IF(AJ49&lt;&gt;"",AG46-AJ49,AG46)-IF(COUNTIF('盛付札（関数）'!AG44,"*キャラ*"),
VLOOKUP("*キャラ*",商品マスタ一覧!$D:$J,7,FALSE),
IF(COUNTIF('盛付札（関数）'!AG44,"*赤*"),
VLOOKUP("*赤*",商品マスタ一覧!$D:$J,7,FALSE),
VLOOKUP('盛付札（関数）'!AG44,商品マスタ一覧!$D:$J,7,FALSE)))*AJ44),""),"")</f>
        <v/>
      </c>
      <c r="AL44" s="129"/>
      <c r="AM44" s="135" t="e">
        <f t="array" aca="1" ref="AM44" ca="1">IF(AM3&lt;&gt;100,
IF(AN46&lt;&gt;"",MATCH(AN46,INDIRECT("数出表_Excel!B"&amp;MATCH(AR1,数出表_Excel!$A:$A,0)-1&amp;":U"&amp;MATCH(AR1,数出表_Excel!$A:$A,0)-1&amp;""),0)+1,""),
IF(AN46&lt;&gt;"",
MATCH(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INDIRECT("数出表_Excel!B"&amp;MATCH(AR1,数出表_Excel!$A:$A,0)-1&amp;":U"&amp;MATCH(AR1,数出表_Excel!$A:$A,0)-1&amp;""),0)+1,""))</f>
        <v>#VALUE!</v>
      </c>
      <c r="AN44" s="70" t="str">
        <f t="array" aca="1" ref="AN44" ca="1">IFERROR(IF(OR(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"3"),"*配膳*"),
COUNTIF(INDIRECT("数出表_Excel!"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"3"),"*カレー*"),
COUNTIF(AN1,"*合計*")),"",
IF(IFERROR(INDIRECT("数出表_Excel!"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"3"),0)=0,"",
IFERROR(INDIRECT("数出表_Excel!" &amp;
CHAR(MATCH(TRUE,
ISNUMBER(--INDIRECT("数出表_Excel!"&amp;AM43&amp;MATCH(AR1,数出表_Excel!$A:$A,0)-1&amp;":U"&amp;MATCH(AR1,数出表_Excel!$A:$A,0)-1&amp;"")),0)
+MATCH(TRUE, ISNUMBER(--INDIRECT("数出表_Excel!B" &amp; (MATCH(AR1,数出表_Excel!$A:$A,0)-1) &amp; ":U" &amp; (MATCH(AR1,数出表_Excel!$A:$A,0)-1))), 0)
+65) &amp; "3"),""))),"")</f>
        <v/>
      </c>
      <c r="AO44" s="129"/>
      <c r="AP44" s="136" t="str">
        <f ca="1">IF(AQ44&lt;&gt;"","",
IF(AN43&lt;&gt;"",
IFERROR(
INDEX('数出表_Excel（アレルギー入力）'!$4:$4,
 1,
MATCH(AN46,INDIRECT("'数出表_Excel（アレルギー入力）'!"&amp;AM1-1&amp;":"&amp;AM1-1&amp;""),0)),
 "")
&amp;IFERROR(
INDEX('数出表_Excel（アレルギー入力）'!$5:$5,
 1,
MATCH(AN46,INDIRECT("'数出表_Excel（アレルギー入力）'!"&amp;AM1-1&amp;":"&amp;AM1-1&amp;""),0)),
 ""),""))</f>
        <v/>
      </c>
      <c r="AQ44" s="137" t="str">
        <f t="array" aca="1" ref="AQ44" ca="1">IF(AN44&lt;&gt;"",
IF(MATCH(TRUE,
ISNUMBER(--INDIRECT("数出表_Excel!B"&amp;MATCH(AR1,数出表_Excel!$A:$A,0)-1&amp;":U"&amp;MATCH(AR1,数出表_Excel!$A:$A,0)-1&amp;"")),0)&gt;10,
IF(AN44&lt;&gt;"",
IF(IF(COUNTIF('盛付札（関数）'!AN44,"*キャラ*"),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VLOOKUP('盛付札（関数）'!AN44,商品マスタ一覧!$D:$J,7,FALSE)))=0,"",
IF(ROUND(
IF(AQ49&lt;&gt;"",(AN46-AQ49),AN46)
/IF(COUNTIF('盛付札（関数）'!AN44,"*キャラ*"),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VLOOKUP('盛付札（関数）'!AN44,商品マスタ一覧!$D:$J,7,FALSE))),0)&lt;=0,1,
ROUND(
IF(AQ49&lt;&gt;"",(AN46-AQ49),AN46)
/IF(COUNTIF('盛付札（関数）'!AN44,"*キャラ*"),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VLOOKUP('盛付札（関数）'!AN44,商品マスタ一覧!$D:$J,7,FALSE))),0))),""),""),"")</f>
        <v/>
      </c>
      <c r="AR44" s="153" t="str">
        <f ca="1">IF(AQ44&lt;&gt;"",IF(AN46&lt;&gt;"",IF(VALUE(IF(AQ49&lt;&gt;"",AN46-AQ49,AN46))&gt;VALUE(IF(COUNTIF('盛付札（関数）'!AN44,"*キャラ*"),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
"+"&amp;IF(AQ49&lt;&gt;"",AN46-AQ49,AN46)-IF(COUNTIF('盛付札（関数）'!AN44,"*キャラ*"),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VLOOKUP('盛付札（関数）'!AN44,商品マスタ一覧!$D:$J,7,FALSE)))*AQ44,
IF(AQ49&lt;&gt;"",AN46-AQ49,AN46)-IF(COUNTIF('盛付札（関数）'!AN44,"*キャラ*"),
VLOOKUP("*キャラ*",商品マスタ一覧!$D:$J,7,FALSE),
IF(COUNTIF('盛付札（関数）'!AN44,"*赤*"),
VLOOKUP("*赤*",商品マスタ一覧!$D:$J,7,FALSE),
VLOOKUP('盛付札（関数）'!AN44,商品マスタ一覧!$D:$J,7,FALSE)))*AQ44),""),"")</f>
        <v/>
      </c>
      <c r="AS44" s="129"/>
      <c r="AT44" s="129"/>
      <c r="AU44" s="135" t="e">
        <f t="array" aca="1" ref="AU44" ca="1">IF(AU3&lt;&gt;100,
IF(AV46&lt;&gt;"",MATCH(AV46,INDIRECT("数出表_Excel!B"&amp;MATCH(AZ1,数出表_Excel!$A:$A,0)-1&amp;":U"&amp;MATCH(AZ1,数出表_Excel!$A:$A,0)-1&amp;""),0)+1,""),
IF(AV46&lt;&gt;"",
MATCH(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INDIRECT("数出表_Excel!B"&amp;MATCH(AZ1,数出表_Excel!$A:$A,0)-1&amp;":U"&amp;MATCH(AZ1,数出表_Excel!$A:$A,0)-1&amp;""),0)+1,""))</f>
        <v>#VALUE!</v>
      </c>
      <c r="AV44" s="70" t="str">
        <f t="array" aca="1" ref="AV44" ca="1">IFERROR(IF(OR(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"3"),"*配膳*"),
COUNTIF(INDIRECT("数出表_Excel!"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"3"),"*カレー*"),
COUNTIF(AV1,"*合計*")),"",
IF(IFERROR(INDIRECT("数出表_Excel!"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"3"),0)=0,"",
IFERROR(INDIRECT("数出表_Excel!" &amp;
CHAR(MATCH(TRUE,
ISNUMBER(--INDIRECT("数出表_Excel!"&amp;AU43&amp;MATCH(AZ1,数出表_Excel!$A:$A,0)-1&amp;":U"&amp;MATCH(AZ1,数出表_Excel!$A:$A,0)-1&amp;"")),0)
+MATCH(TRUE, ISNUMBER(--INDIRECT("数出表_Excel!B" &amp; (MATCH(AZ1,数出表_Excel!$A:$A,0)-1) &amp; ":U" &amp; (MATCH(AZ1,数出表_Excel!$A:$A,0)-1))), 0)
+65) &amp; "3"),""))),"")</f>
        <v/>
      </c>
      <c r="AW44" s="129"/>
      <c r="AX44" s="136" t="str">
        <f ca="1">IF(AY44&lt;&gt;"","",
IF(AV43&lt;&gt;"",
IFERROR(
INDEX('数出表_Excel（アレルギー入力）'!$4:$4,
 1,
MATCH(AV46,INDIRECT("'数出表_Excel（アレルギー入力）'!"&amp;AU1-1&amp;":"&amp;AU1-1&amp;""),0)),
 "")
&amp;IFERROR(
INDEX('数出表_Excel（アレルギー入力）'!$5:$5,
 1,
MATCH(AV46,INDIRECT("'数出表_Excel（アレルギー入力）'!"&amp;AU1-1&amp;":"&amp;AU1-1&amp;""),0)),
 ""),""))</f>
        <v/>
      </c>
      <c r="AY44" s="137" t="str">
        <f t="array" aca="1" ref="AY44" ca="1">IF(AV44&lt;&gt;"",
IF(MATCH(TRUE,
ISNUMBER(--INDIRECT("数出表_Excel!B"&amp;MATCH(AZ1,数出表_Excel!$A:$A,0)-1&amp;":U"&amp;MATCH(AZ1,数出表_Excel!$A:$A,0)-1&amp;"")),0)&gt;10,
IF(AV44&lt;&gt;"",
IF(IF(COUNTIF('盛付札（関数）'!AV44,"*キャラ*"),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VLOOKUP('盛付札（関数）'!AV44,商品マスタ一覧!$D:$J,7,FALSE)))=0,"",
IF(ROUND(
IF(AY49&lt;&gt;"",(AV46-AY49),AV46)
/IF(COUNTIF('盛付札（関数）'!AV44,"*キャラ*"),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VLOOKUP('盛付札（関数）'!AV44,商品マスタ一覧!$D:$J,7,FALSE))),0)&lt;=0,1,
ROUND(
IF(AY49&lt;&gt;"",(AV46-AY49),AV46)
/IF(COUNTIF('盛付札（関数）'!AV44,"*キャラ*"),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VLOOKUP('盛付札（関数）'!AV44,商品マスタ一覧!$D:$J,7,FALSE))),0))),""),""),"")</f>
        <v/>
      </c>
      <c r="AZ44" s="153" t="str">
        <f ca="1">IF(AY44&lt;&gt;"",IF(AV46&lt;&gt;"",IF(VALUE(IF(AY49&lt;&gt;"",AV46-AY49,AV46))&gt;VALUE(IF(COUNTIF('盛付札（関数）'!AV44,"*キャラ*"),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
"+"&amp;IF(AY49&lt;&gt;"",AV46-AY49,AV46)-IF(COUNTIF('盛付札（関数）'!AV44,"*キャラ*"),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VLOOKUP('盛付札（関数）'!AV44,商品マスタ一覧!$D:$J,7,FALSE)))*AY44,
IF(AY49&lt;&gt;"",AV46-AY49,AV46)-IF(COUNTIF('盛付札（関数）'!AV44,"*キャラ*"),
VLOOKUP("*キャラ*",商品マスタ一覧!$D:$J,7,FALSE),
IF(COUNTIF('盛付札（関数）'!AV44,"*赤*"),
VLOOKUP("*赤*",商品マスタ一覧!$D:$J,7,FALSE),
VLOOKUP('盛付札（関数）'!AV44,商品マスタ一覧!$D:$J,7,FALSE)))*AY44),""),"")</f>
        <v/>
      </c>
      <c r="BA44" s="129"/>
      <c r="BB44" s="135" t="e">
        <f t="array" aca="1" ref="BB44" ca="1">IF(BB3&lt;&gt;100,
IF(BC46&lt;&gt;"",MATCH(BC46,INDIRECT("数出表_Excel!B"&amp;MATCH(BG1,数出表_Excel!$A:$A,0)-1&amp;":U"&amp;MATCH(BG1,数出表_Excel!$A:$A,0)-1&amp;""),0)+1,""),
IF(BC46&lt;&gt;"",
MATCH(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INDIRECT("数出表_Excel!B"&amp;MATCH(BG1,数出表_Excel!$A:$A,0)-1&amp;":U"&amp;MATCH(BG1,数出表_Excel!$A:$A,0)-1&amp;""),0)+1,""))</f>
        <v>#VALUE!</v>
      </c>
      <c r="BC44" s="70" t="str">
        <f t="array" aca="1" ref="BC44" ca="1">IFERROR(IF(OR(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"3"),"*配膳*"),
COUNTIF(INDIRECT("数出表_Excel!"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"3"),"*カレー*"),
COUNTIF(BC1,"*合計*")),"",
IF(IFERROR(INDIRECT("数出表_Excel!"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"3"),0)=0,"",
IFERROR(INDIRECT("数出表_Excel!" &amp;
CHAR(MATCH(TRUE,
ISNUMBER(--INDIRECT("数出表_Excel!"&amp;BB43&amp;MATCH(BG1,数出表_Excel!$A:$A,0)-1&amp;":U"&amp;MATCH(BG1,数出表_Excel!$A:$A,0)-1&amp;"")),0)
+MATCH(TRUE, ISNUMBER(--INDIRECT("数出表_Excel!B" &amp; (MATCH(BG1,数出表_Excel!$A:$A,0)-1) &amp; ":U" &amp; (MATCH(BG1,数出表_Excel!$A:$A,0)-1))), 0)
+65) &amp; "3"),""))),"")</f>
        <v/>
      </c>
      <c r="BD44" s="129"/>
      <c r="BE44" s="136" t="str">
        <f ca="1">IF(BF44&lt;&gt;"","",
IF(BC43&lt;&gt;"",
IFERROR(
INDEX('数出表_Excel（アレルギー入力）'!$4:$4,
 1,
MATCH(BC46,INDIRECT("'数出表_Excel（アレルギー入力）'!"&amp;BB1-1&amp;":"&amp;BB1-1&amp;""),0)),
 "")
&amp;IFERROR(
INDEX('数出表_Excel（アレルギー入力）'!$5:$5,
 1,
MATCH(BC46,INDIRECT("'数出表_Excel（アレルギー入力）'!"&amp;BB1-1&amp;":"&amp;BB1-1&amp;""),0)),
 ""),""))</f>
        <v/>
      </c>
      <c r="BF44" s="137" t="str">
        <f t="array" aca="1" ref="BF44" ca="1">IF(BC44&lt;&gt;"",
IF(MATCH(TRUE,
ISNUMBER(--INDIRECT("数出表_Excel!B"&amp;MATCH(BG1,数出表_Excel!$A:$A,0)-1&amp;":U"&amp;MATCH(BG1,数出表_Excel!$A:$A,0)-1&amp;"")),0)&gt;10,
IF(BC44&lt;&gt;"",
IF(IF(COUNTIF('盛付札（関数）'!BC44,"*キャラ*"),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VLOOKUP('盛付札（関数）'!BC44,商品マスタ一覧!$D:$J,7,FALSE)))=0,"",
IF(ROUND(
IF(BF49&lt;&gt;"",(BC46-BF49),BC46)
/IF(COUNTIF('盛付札（関数）'!BC44,"*キャラ*"),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VLOOKUP('盛付札（関数）'!BC44,商品マスタ一覧!$D:$J,7,FALSE))),0)&lt;=0,1,
ROUND(
IF(BF49&lt;&gt;"",(BC46-BF49),BC46)
/IF(COUNTIF('盛付札（関数）'!BC44,"*キャラ*"),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VLOOKUP('盛付札（関数）'!BC44,商品マスタ一覧!$D:$J,7,FALSE))),0))),""),""),"")</f>
        <v/>
      </c>
      <c r="BG44" s="153" t="str">
        <f ca="1">IF(BF44&lt;&gt;"",IF(BC46&lt;&gt;"",IF(VALUE(IF(BF49&lt;&gt;"",BC46-BF49,BC46))&gt;VALUE(IF(COUNTIF('盛付札（関数）'!BC44,"*キャラ*"),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
"+"&amp;IF(BF49&lt;&gt;"",BC46-BF49,BC46)-IF(COUNTIF('盛付札（関数）'!BC44,"*キャラ*"),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VLOOKUP('盛付札（関数）'!BC44,商品マスタ一覧!$D:$J,7,FALSE)))*BF44,
IF(BF49&lt;&gt;"",BC46-BF49,BC46)-IF(COUNTIF('盛付札（関数）'!BC44,"*キャラ*"),
VLOOKUP("*キャラ*",商品マスタ一覧!$D:$J,7,FALSE),
IF(COUNTIF('盛付札（関数）'!BC44,"*赤*"),
VLOOKUP("*赤*",商品マスタ一覧!$D:$J,7,FALSE),
VLOOKUP('盛付札（関数）'!BC44,商品マスタ一覧!$D:$J,7,FALSE)))*BF44),""),"")</f>
        <v/>
      </c>
      <c r="BH44" s="129"/>
      <c r="BI44" s="129"/>
      <c r="BJ44" s="135" t="e">
        <f t="array" aca="1" ref="BJ44" ca="1">IF(BJ3&lt;&gt;100,
IF(BK46&lt;&gt;"",MATCH(BK46,INDIRECT("数出表_Excel!B"&amp;MATCH(BO1,数出表_Excel!$A:$A,0)-1&amp;":U"&amp;MATCH(BO1,数出表_Excel!$A:$A,0)-1&amp;""),0)+1,""),
IF(BK46&lt;&gt;"",
MATCH(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INDIRECT("数出表_Excel!B"&amp;MATCH(BO1,数出表_Excel!$A:$A,0)-1&amp;":U"&amp;MATCH(BO1,数出表_Excel!$A:$A,0)-1&amp;""),0)+1,""))</f>
        <v>#VALUE!</v>
      </c>
      <c r="BK44" s="70" t="str">
        <f t="array" aca="1" ref="BK44" ca="1">IFERROR(IF(OR(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"3"),"*配膳*"),
COUNTIF(INDIRECT("数出表_Excel!"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"3"),"*カレー*"),
COUNTIF(BK1,"*合計*")),"",
IF(IFERROR(INDIRECT("数出表_Excel!"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"3"),0)=0,"",
IFERROR(INDIRECT("数出表_Excel!" &amp;
CHAR(MATCH(TRUE,
ISNUMBER(--INDIRECT("数出表_Excel!"&amp;BJ43&amp;MATCH(BO1,数出表_Excel!$A:$A,0)-1&amp;":U"&amp;MATCH(BO1,数出表_Excel!$A:$A,0)-1&amp;"")),0)
+MATCH(TRUE, ISNUMBER(--INDIRECT("数出表_Excel!B" &amp; (MATCH(BO1,数出表_Excel!$A:$A,0)-1) &amp; ":U" &amp; (MATCH(BO1,数出表_Excel!$A:$A,0)-1))), 0)
+65) &amp; "3"),""))),"")</f>
        <v/>
      </c>
      <c r="BL44" s="129"/>
      <c r="BM44" s="136" t="str">
        <f ca="1">IF(BN44&lt;&gt;"","",
IF(BK43&lt;&gt;"",
IFERROR(
INDEX('数出表_Excel（アレルギー入力）'!$4:$4,
 1,
MATCH(BK46,INDIRECT("'数出表_Excel（アレルギー入力）'!"&amp;BJ1-1&amp;":"&amp;BJ1-1&amp;""),0)),
 "")
&amp;IFERROR(
INDEX('数出表_Excel（アレルギー入力）'!$5:$5,
 1,
MATCH(BK46,INDIRECT("'数出表_Excel（アレルギー入力）'!"&amp;BJ1-1&amp;":"&amp;BJ1-1&amp;""),0)),
 ""),""))</f>
        <v/>
      </c>
      <c r="BN44" s="137" t="str">
        <f t="array" aca="1" ref="BN44" ca="1">IF(BK44&lt;&gt;"",
IF(MATCH(TRUE,
ISNUMBER(--INDIRECT("数出表_Excel!B"&amp;MATCH(BO1,数出表_Excel!$A:$A,0)-1&amp;":U"&amp;MATCH(BO1,数出表_Excel!$A:$A,0)-1&amp;"")),0)&gt;10,
IF(BK44&lt;&gt;"",
IF(IF(COUNTIF('盛付札（関数）'!BK44,"*キャラ*"),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VLOOKUP('盛付札（関数）'!BK44,商品マスタ一覧!$D:$J,7,FALSE)))=0,"",
IF(ROUND(
IF(BN49&lt;&gt;"",(BK46-BN49),BK46)
/IF(COUNTIF('盛付札（関数）'!BK44,"*キャラ*"),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VLOOKUP('盛付札（関数）'!BK44,商品マスタ一覧!$D:$J,7,FALSE))),0)&lt;=0,1,
ROUND(
IF(BN49&lt;&gt;"",(BK46-BN49),BK46)
/IF(COUNTIF('盛付札（関数）'!BK44,"*キャラ*"),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VLOOKUP('盛付札（関数）'!BK44,商品マスタ一覧!$D:$J,7,FALSE))),0))),""),""),"")</f>
        <v/>
      </c>
      <c r="BO44" s="153" t="str">
        <f ca="1">IF(BN44&lt;&gt;"",IF(BK46&lt;&gt;"",IF(VALUE(IF(BN49&lt;&gt;"",BK46-BN49,BK46))&gt;VALUE(IF(COUNTIF('盛付札（関数）'!BK44,"*キャラ*"),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
"+"&amp;IF(BN49&lt;&gt;"",BK46-BN49,BK46)-IF(COUNTIF('盛付札（関数）'!BK44,"*キャラ*"),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VLOOKUP('盛付札（関数）'!BK44,商品マスタ一覧!$D:$J,7,FALSE)))*BN44,
IF(BN49&lt;&gt;"",BK46-BN49,BK46)-IF(COUNTIF('盛付札（関数）'!BK44,"*キャラ*"),
VLOOKUP("*キャラ*",商品マスタ一覧!$D:$J,7,FALSE),
IF(COUNTIF('盛付札（関数）'!BK44,"*赤*"),
VLOOKUP("*赤*",商品マスタ一覧!$D:$J,7,FALSE),
VLOOKUP('盛付札（関数）'!BK44,商品マスタ一覧!$D:$J,7,FALSE)))*BN44),""),"")</f>
        <v/>
      </c>
      <c r="BP44" s="129"/>
      <c r="BQ44" s="135" t="e">
        <f t="array" aca="1" ref="BQ44" ca="1">IF(BQ3&lt;&gt;100,
IF(BR46&lt;&gt;"",MATCH(BR46,INDIRECT("数出表_Excel!B"&amp;MATCH(BV1,数出表_Excel!$A:$A,0)-1&amp;":U"&amp;MATCH(BV1,数出表_Excel!$A:$A,0)-1&amp;""),0)+1,""),
IF(BR46&lt;&gt;"",
MATCH(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INDIRECT("数出表_Excel!B"&amp;MATCH(BV1,数出表_Excel!$A:$A,0)-1&amp;":U"&amp;MATCH(BV1,数出表_Excel!$A:$A,0)-1&amp;""),0)+1,""))</f>
        <v>#VALUE!</v>
      </c>
      <c r="BR44" s="70" t="str">
        <f t="array" aca="1" ref="BR44" ca="1">IFERROR(IF(OR(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"3"),"*配膳*"),
COUNTIF(INDIRECT("数出表_Excel!"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"3"),"*カレー*"),
COUNTIF(BR1,"*合計*")),"",
IF(IFERROR(INDIRECT("数出表_Excel!"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"3"),0)=0,"",
IFERROR(INDIRECT("数出表_Excel!" &amp;
CHAR(MATCH(TRUE,
ISNUMBER(--INDIRECT("数出表_Excel!"&amp;BQ43&amp;MATCH(BV1,数出表_Excel!$A:$A,0)-1&amp;":U"&amp;MATCH(BV1,数出表_Excel!$A:$A,0)-1&amp;"")),0)
+MATCH(TRUE, ISNUMBER(--INDIRECT("数出表_Excel!B" &amp; (MATCH(BV1,数出表_Excel!$A:$A,0)-1) &amp; ":U" &amp; (MATCH(BV1,数出表_Excel!$A:$A,0)-1))), 0)
+65) &amp; "3"),""))),"")</f>
        <v/>
      </c>
      <c r="BS44" s="129"/>
      <c r="BT44" s="136" t="str">
        <f ca="1">IF(BU44&lt;&gt;"","",
IF(BR43&lt;&gt;"",
IFERROR(
INDEX('数出表_Excel（アレルギー入力）'!$4:$4,
 1,
MATCH(BR46,INDIRECT("'数出表_Excel（アレルギー入力）'!"&amp;BQ1-1&amp;":"&amp;BQ1-1&amp;""),0)),
 "")
&amp;IFERROR(
INDEX('数出表_Excel（アレルギー入力）'!$5:$5,
 1,
MATCH(BR46,INDIRECT("'数出表_Excel（アレルギー入力）'!"&amp;BQ1-1&amp;":"&amp;BQ1-1&amp;""),0)),
 ""),""))</f>
        <v/>
      </c>
      <c r="BU44" s="137" t="str">
        <f t="array" aca="1" ref="BU44" ca="1">IF(BR44&lt;&gt;"",
IF(MATCH(TRUE,
ISNUMBER(--INDIRECT("数出表_Excel!B"&amp;MATCH(BV1,数出表_Excel!$A:$A,0)-1&amp;":U"&amp;MATCH(BV1,数出表_Excel!$A:$A,0)-1&amp;"")),0)&gt;10,
IF(BR44&lt;&gt;"",
IF(IF(COUNTIF('盛付札（関数）'!BR44,"*キャラ*"),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VLOOKUP('盛付札（関数）'!BR44,商品マスタ一覧!$D:$J,7,FALSE)))=0,"",
IF(ROUND(
IF(BU49&lt;&gt;"",(BR46-BU49),BR46)
/IF(COUNTIF('盛付札（関数）'!BR44,"*キャラ*"),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VLOOKUP('盛付札（関数）'!BR44,商品マスタ一覧!$D:$J,7,FALSE))),0)&lt;=0,1,
ROUND(
IF(BU49&lt;&gt;"",(BR46-BU49),BR46)
/IF(COUNTIF('盛付札（関数）'!BR44,"*キャラ*"),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VLOOKUP('盛付札（関数）'!BR44,商品マスタ一覧!$D:$J,7,FALSE))),0))),""),""),"")</f>
        <v/>
      </c>
      <c r="BV44" s="153" t="str">
        <f ca="1">IF(BU44&lt;&gt;"",IF(BR46&lt;&gt;"",IF(VALUE(IF(BU49&lt;&gt;"",BR46-BU49,BR46))&gt;VALUE(IF(COUNTIF('盛付札（関数）'!BR44,"*キャラ*"),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
"+"&amp;IF(BU49&lt;&gt;"",BR46-BU49,BR46)-IF(COUNTIF('盛付札（関数）'!BR44,"*キャラ*"),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VLOOKUP('盛付札（関数）'!BR44,商品マスタ一覧!$D:$J,7,FALSE)))*BU44,
IF(BU49&lt;&gt;"",BR46-BU49,BR46)-IF(COUNTIF('盛付札（関数）'!BR44,"*キャラ*"),
VLOOKUP("*キャラ*",商品マスタ一覧!$D:$J,7,FALSE),
IF(COUNTIF('盛付札（関数）'!BR44,"*赤*"),
VLOOKUP("*赤*",商品マスタ一覧!$D:$J,7,FALSE),
VLOOKUP('盛付札（関数）'!BR44,商品マスタ一覧!$D:$J,7,FALSE)))*BU44),""),"")</f>
        <v/>
      </c>
      <c r="BW44" s="129"/>
      <c r="BX44" s="132">
        <f t="shared" si="2"/>
        <v>70</v>
      </c>
      <c r="BY44" s="132" t="str">
        <f t="array" aca="1" ref="BY44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LEN(SUBSTITUTE(_xlfn.FORMULATEXT(BY$27),"=","")))+$BX44)</f>
        <v/>
      </c>
      <c r="BZ44" s="132" t="str">
        <f t="array" aca="1" ref="BZ44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LEN(SUBSTITUTE(_xlfn.FORMULATEXT(BZ$27),"=","")))+$BX44)</f>
        <v/>
      </c>
      <c r="CA44" s="132" t="str">
        <f t="array" aca="1" ref="CA44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LEN(SUBSTITUTE(_xlfn.FORMULATEXT(CA$27),"=","")))+$BX44)</f>
        <v/>
      </c>
      <c r="CB44" s="132" t="str">
        <f t="array" aca="1" ref="CB44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LEN(SUBSTITUTE(_xlfn.FORMULATEXT(CB$27),"=","")))+$BX44)</f>
        <v/>
      </c>
      <c r="CC44" s="132" t="str">
        <f t="array" aca="1" ref="CC44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LEN(SUBSTITUTE(_xlfn.FORMULATEXT(CC$27),"=","")))+$BX44)</f>
        <v/>
      </c>
      <c r="CD44" s="132" t="str">
        <f t="array" aca="1" ref="CD44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LEN(SUBSTITUTE(_xlfn.FORMULATEXT(CD$27),"=","")))+$BX44)</f>
        <v/>
      </c>
      <c r="CE44" s="132" t="str">
        <f t="array" aca="1" ref="CE44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LEN(SUBSTITUTE(_xlfn.FORMULATEXT(CE$27),"=","")))+$BX44)</f>
        <v/>
      </c>
      <c r="CF44" s="132" t="str">
        <f t="array" aca="1" ref="CF44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LEN(SUBSTITUTE(_xlfn.FORMULATEXT(CF$27),"=","")))+$BX44)</f>
        <v/>
      </c>
      <c r="CG44" s="132" t="str">
        <f t="array" aca="1" ref="CG44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LEN(SUBSTITUTE(_xlfn.FORMULATEXT(CG$27),"=","")))+$BX44)</f>
        <v/>
      </c>
      <c r="CH44" s="132" t="str">
        <f t="array" aca="1" ref="CH44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LEN(SUBSTITUTE(_xlfn.FORMULATEXT(CH$27),"=","")))+$BX44)</f>
        <v/>
      </c>
      <c r="CI44" s="132">
        <f t="shared" ca="1" si="3"/>
        <v>0</v>
      </c>
      <c r="CJ44" s="132" t="b">
        <f t="array" aca="1" ref="CJ44" ca="1">SUMPRODUCT((LEN(BY44:CH44)&gt;0)*1)&gt;0</f>
        <v>0</v>
      </c>
      <c r="CK44" s="132" t="str" cm="1">
        <f t="array" aca="1" ref="CK44" ca="1">IFERROR(SMALL(IF(CI$1:CI$150&lt;&gt;0,CI$1:CI$150),ROW(A44)),"")</f>
        <v/>
      </c>
      <c r="CL44" s="132" t="str" cm="1">
        <f t="array" aca="1" ref="CL44" ca="1">IF($CK44&lt;&gt;"",
INDIRECT(""&amp;IF(COLUMN(BY44)&lt;=26,CHAR(COLUMN(BY44)+64),CHAR(INT((COLUMN(BY44)-1)/26)+64)&amp;CHAR(MOD(COLUMN(BY44)-1,26)+65))&amp;$CK44&amp;""),"")</f>
        <v/>
      </c>
      <c r="CM44" s="132" t="str">
        <f t="array" aca="1" ref="CM44" ca="1">IF($CK44&lt;&gt;"",
INDIRECT(""&amp;IF(COLUMN(BZ44)&lt;=26,CHAR(COLUMN(BZ44)+64),CHAR(INT((COLUMN(BZ44)-1)/26)+64)&amp;CHAR(MOD(COLUMN(BZ44)-1,26)+65))&amp;$CK44&amp;""),"")</f>
        <v/>
      </c>
      <c r="CN44" s="132" t="str">
        <f t="array" aca="1" ref="CN44" ca="1">IF($CK44&lt;&gt;"",
INDIRECT(""&amp;IF(COLUMN(CA44)&lt;=26,CHAR(COLUMN(CA44)+64),CHAR(INT((COLUMN(CA44)-1)/26)+64)&amp;CHAR(MOD(COLUMN(CA44)-1,26)+65))&amp;$CK44&amp;""),"")</f>
        <v/>
      </c>
      <c r="CO44" s="132" t="str">
        <f t="array" aca="1" ref="CO44" ca="1">IF($CK44&lt;&gt;"",
INDIRECT(""&amp;IF(COLUMN(CB44)&lt;=26,CHAR(COLUMN(CB44)+64),CHAR(INT((COLUMN(CB44)-1)/26)+64)&amp;CHAR(MOD(COLUMN(CB44)-1,26)+65))&amp;$CK44&amp;""),"")</f>
        <v/>
      </c>
      <c r="CP44" s="132" t="str">
        <f t="array" aca="1" ref="CP44" ca="1">IF($CK44&lt;&gt;"",
INDIRECT(""&amp;IF(COLUMN(CC44)&lt;=26,CHAR(COLUMN(CC44)+64),CHAR(INT((COLUMN(CC44)-1)/26)+64)&amp;CHAR(MOD(COLUMN(CC44)-1,26)+65))&amp;$CK44&amp;""),"")</f>
        <v/>
      </c>
      <c r="CQ44" s="132" t="str">
        <f t="array" aca="1" ref="CQ44" ca="1">IF($CK44&lt;&gt;"",
INDIRECT(""&amp;IF(COLUMN(CD44)&lt;=26,CHAR(COLUMN(CD44)+64),CHAR(INT((COLUMN(CD44)-1)/26)+64)&amp;CHAR(MOD(COLUMN(CD44)-1,26)+65))&amp;$CK44&amp;""),"")</f>
        <v/>
      </c>
      <c r="CR44" s="132" t="str">
        <f t="array" aca="1" ref="CR44" ca="1">IF($CK44&lt;&gt;"",
INDIRECT(""&amp;IF(COLUMN(CE44)&lt;=26,CHAR(COLUMN(CE44)+64),CHAR(INT((COLUMN(CE44)-1)/26)+64)&amp;CHAR(MOD(COLUMN(CE44)-1,26)+65))&amp;$CK44&amp;""),"")</f>
        <v/>
      </c>
      <c r="CS44" s="132" t="str">
        <f t="array" aca="1" ref="CS44" ca="1">IF($CK44&lt;&gt;"",
INDIRECT(""&amp;IF(COLUMN(CF44)&lt;=26,CHAR(COLUMN(CF44)+64),CHAR(INT((COLUMN(CF44)-1)/26)+64)&amp;CHAR(MOD(COLUMN(CF44)-1,26)+65))&amp;$CK44&amp;""),"")</f>
        <v/>
      </c>
      <c r="CT44" s="132" t="str">
        <f t="array" aca="1" ref="CT44" ca="1">IF($CK44&lt;&gt;"",
INDIRECT(""&amp;IF(COLUMN(CG44)&lt;=26,CHAR(COLUMN(CG44)+64),CHAR(INT((COLUMN(CG44)-1)/26)+64)&amp;CHAR(MOD(COLUMN(CG44)-1,26)+65))&amp;$CK44&amp;""),"")</f>
        <v/>
      </c>
      <c r="CU44" s="132" t="str">
        <f t="array" aca="1" ref="CU44" ca="1">IF($CK44&lt;&gt;"",
INDIRECT(""&amp;IF(COLUMN(CH44)&lt;=26,CHAR(COLUMN(CH44)+64),CHAR(INT((COLUMN(CH44)-1)/26)+64)&amp;CHAR(MOD(COLUMN(CH44)-1,26)+65))&amp;$CK44&amp;""),"")</f>
        <v/>
      </c>
    </row>
    <row r="45" spans="1:99" s="132" customFormat="1" ht="22.2" customHeight="1" x14ac:dyDescent="0.55000000000000004">
      <c r="A45" s="129"/>
      <c r="B45" s="138"/>
      <c r="C45" s="139" t="str">
        <f ca="1">IF(C46&lt;&gt;"","園児","")</f>
        <v/>
      </c>
      <c r="D45" s="140"/>
      <c r="E45" s="141" t="str">
        <f ca="1">IF(C46&lt;&gt;"","先生","")</f>
        <v/>
      </c>
      <c r="F45" s="140"/>
      <c r="G45" s="159"/>
      <c r="H45" s="129"/>
      <c r="I45" s="138"/>
      <c r="J45" s="139" t="str">
        <f ca="1">IF(J46&lt;&gt;"","園児","")</f>
        <v/>
      </c>
      <c r="K45" s="140"/>
      <c r="L45" s="141" t="str">
        <f ca="1">IF(J46&lt;&gt;"","先生","")</f>
        <v/>
      </c>
      <c r="M45" s="140"/>
      <c r="N45" s="154"/>
      <c r="O45" s="129"/>
      <c r="P45" s="129"/>
      <c r="Q45" s="138"/>
      <c r="R45" s="139" t="str">
        <f ca="1">IF(R46&lt;&gt;"","園児","")</f>
        <v/>
      </c>
      <c r="S45" s="140"/>
      <c r="T45" s="141" t="str">
        <f ca="1">IF(R46&lt;&gt;"","先生","")</f>
        <v/>
      </c>
      <c r="U45" s="140"/>
      <c r="V45" s="154"/>
      <c r="W45" s="129"/>
      <c r="X45" s="138"/>
      <c r="Y45" s="139" t="str">
        <f ca="1">IF(Y46&lt;&gt;"","園児","")</f>
        <v/>
      </c>
      <c r="Z45" s="140"/>
      <c r="AA45" s="141" t="str">
        <f ca="1">IF(Y46&lt;&gt;"","先生","")</f>
        <v/>
      </c>
      <c r="AB45" s="140"/>
      <c r="AC45" s="154"/>
      <c r="AD45" s="129"/>
      <c r="AE45" s="129"/>
      <c r="AF45" s="138"/>
      <c r="AG45" s="139" t="str">
        <f ca="1">IF(AG46&lt;&gt;"","園児","")</f>
        <v/>
      </c>
      <c r="AH45" s="140"/>
      <c r="AI45" s="141" t="str">
        <f ca="1">IF(AG46&lt;&gt;"","先生","")</f>
        <v/>
      </c>
      <c r="AJ45" s="140"/>
      <c r="AK45" s="154"/>
      <c r="AL45" s="129"/>
      <c r="AM45" s="138"/>
      <c r="AN45" s="139" t="str">
        <f ca="1">IF(AN46&lt;&gt;"","園児","")</f>
        <v/>
      </c>
      <c r="AO45" s="140"/>
      <c r="AP45" s="141" t="str">
        <f ca="1">IF(AN46&lt;&gt;"","先生","")</f>
        <v/>
      </c>
      <c r="AQ45" s="140"/>
      <c r="AR45" s="154"/>
      <c r="AS45" s="129"/>
      <c r="AT45" s="129"/>
      <c r="AU45" s="138"/>
      <c r="AV45" s="139" t="str">
        <f ca="1">IF(AV46&lt;&gt;"","園児","")</f>
        <v/>
      </c>
      <c r="AW45" s="140"/>
      <c r="AX45" s="141" t="str">
        <f ca="1">IF(AV46&lt;&gt;"","先生","")</f>
        <v/>
      </c>
      <c r="AY45" s="140"/>
      <c r="AZ45" s="154"/>
      <c r="BA45" s="129"/>
      <c r="BB45" s="138"/>
      <c r="BC45" s="139" t="str">
        <f ca="1">IF(BC46&lt;&gt;"","園児","")</f>
        <v/>
      </c>
      <c r="BD45" s="140"/>
      <c r="BE45" s="141" t="str">
        <f ca="1">IF(BC46&lt;&gt;"","先生","")</f>
        <v/>
      </c>
      <c r="BF45" s="140"/>
      <c r="BG45" s="154"/>
      <c r="BH45" s="129"/>
      <c r="BI45" s="129"/>
      <c r="BJ45" s="138"/>
      <c r="BK45" s="139" t="str">
        <f ca="1">IF(BK46&lt;&gt;"","園児","")</f>
        <v/>
      </c>
      <c r="BL45" s="140"/>
      <c r="BM45" s="141" t="str">
        <f ca="1">IF(BK46&lt;&gt;"","先生","")</f>
        <v/>
      </c>
      <c r="BN45" s="140"/>
      <c r="BO45" s="154"/>
      <c r="BP45" s="129"/>
      <c r="BQ45" s="138"/>
      <c r="BR45" s="139" t="str">
        <f ca="1">IF(BR46&lt;&gt;"","園児","")</f>
        <v/>
      </c>
      <c r="BS45" s="140"/>
      <c r="BT45" s="141" t="str">
        <f ca="1">IF(BR46&lt;&gt;"","先生","")</f>
        <v/>
      </c>
      <c r="BU45" s="140"/>
      <c r="BV45" s="154"/>
      <c r="BW45" s="129"/>
      <c r="BX45" s="132">
        <f t="shared" si="2"/>
        <v>35</v>
      </c>
      <c r="BY45" s="132" t="str">
        <f t="array" aca="1" ref="BY45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LEN(SUBSTITUTE(_xlfn.FORMULATEXT(BY$25),"=","")))+$BX45)</f>
        <v/>
      </c>
      <c r="BZ45" s="132" t="str">
        <f t="array" aca="1" ref="BZ45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LEN(SUBSTITUTE(_xlfn.FORMULATEXT(BZ$25),"=","")))+$BX45)</f>
        <v/>
      </c>
      <c r="CA45" s="132" t="str">
        <f t="array" aca="1" ref="CA45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LEN(SUBSTITUTE(_xlfn.FORMULATEXT(CA$25),"=","")))+$BX45)</f>
        <v/>
      </c>
      <c r="CB45" s="132" t="str">
        <f t="array" aca="1" ref="CB45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LEN(SUBSTITUTE(_xlfn.FORMULATEXT(CB$25),"=","")))+$BX45)</f>
        <v/>
      </c>
      <c r="CC45" s="132" t="str">
        <f t="array" aca="1" ref="CC45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LEN(SUBSTITUTE(_xlfn.FORMULATEXT(CC$25),"=","")))+$BX45)</f>
        <v/>
      </c>
      <c r="CD45" s="132" t="str">
        <f t="array" aca="1" ref="CD45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LEN(SUBSTITUTE(_xlfn.FORMULATEXT(CD$25),"=","")))+$BX45)</f>
        <v/>
      </c>
      <c r="CE45" s="132" t="str">
        <f t="array" aca="1" ref="CE45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LEN(SUBSTITUTE(_xlfn.FORMULATEXT(CE$25),"=","")))+$BX45)</f>
        <v/>
      </c>
      <c r="CF45" s="132" t="str">
        <f t="array" aca="1" ref="CF45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LEN(SUBSTITUTE(_xlfn.FORMULATEXT(CF$25),"=","")))+$BX45)</f>
        <v/>
      </c>
      <c r="CG45" s="132" t="str">
        <f t="array" aca="1" ref="CG45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LEN(SUBSTITUTE(_xlfn.FORMULATEXT(CG$25),"=","")))+$BX45)</f>
        <v/>
      </c>
      <c r="CH45" s="132" t="str">
        <f t="array" aca="1" ref="CH45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LEN(SUBSTITUTE(_xlfn.FORMULATEXT(CH$25),"=","")))+$BX45)</f>
        <v/>
      </c>
      <c r="CI45" s="132">
        <f t="shared" ca="1" si="3"/>
        <v>0</v>
      </c>
      <c r="CJ45" s="132" t="b">
        <f t="array" aca="1" ref="CJ45" ca="1">SUMPRODUCT((LEN(BY45:CH45)&gt;0)*1)&gt;0</f>
        <v>0</v>
      </c>
      <c r="CK45" s="132" t="str" cm="1">
        <f t="array" aca="1" ref="CK45" ca="1">IFERROR(SMALL(IF(CI$1:CI$150&lt;&gt;0,CI$1:CI$150),ROW(A45)),"")</f>
        <v/>
      </c>
      <c r="CL45" s="132" t="str">
        <f t="array" aca="1" ref="CL45" ca="1">IF($CK45&lt;&gt;"",
INDIRECT(""&amp;IF(COLUMN(BY45)&lt;=26,CHAR(COLUMN(BY45)+64),CHAR(INT((COLUMN(BY45)-1)/26)+64)&amp;CHAR(MOD(COLUMN(BY45)-1,26)+65))&amp;$CK45&amp;""),"")</f>
        <v/>
      </c>
      <c r="CM45" s="132" t="str">
        <f t="array" aca="1" ref="CM45" ca="1">IF($CK45&lt;&gt;"",
INDIRECT(""&amp;IF(COLUMN(BZ45)&lt;=26,CHAR(COLUMN(BZ45)+64),CHAR(INT((COLUMN(BZ45)-1)/26)+64)&amp;CHAR(MOD(COLUMN(BZ45)-1,26)+65))&amp;$CK45&amp;""),"")</f>
        <v/>
      </c>
      <c r="CN45" s="132" t="str">
        <f t="array" aca="1" ref="CN45" ca="1">IF($CK45&lt;&gt;"",
INDIRECT(""&amp;IF(COLUMN(CA45)&lt;=26,CHAR(COLUMN(CA45)+64),CHAR(INT((COLUMN(CA45)-1)/26)+64)&amp;CHAR(MOD(COLUMN(CA45)-1,26)+65))&amp;$CK45&amp;""),"")</f>
        <v/>
      </c>
      <c r="CO45" s="132" t="str">
        <f t="array" aca="1" ref="CO45" ca="1">IF($CK45&lt;&gt;"",
INDIRECT(""&amp;IF(COLUMN(CB45)&lt;=26,CHAR(COLUMN(CB45)+64),CHAR(INT((COLUMN(CB45)-1)/26)+64)&amp;CHAR(MOD(COLUMN(CB45)-1,26)+65))&amp;$CK45&amp;""),"")</f>
        <v/>
      </c>
      <c r="CP45" s="132" t="str">
        <f t="array" aca="1" ref="CP45" ca="1">IF($CK45&lt;&gt;"",
INDIRECT(""&amp;IF(COLUMN(CC45)&lt;=26,CHAR(COLUMN(CC45)+64),CHAR(INT((COLUMN(CC45)-1)/26)+64)&amp;CHAR(MOD(COLUMN(CC45)-1,26)+65))&amp;$CK45&amp;""),"")</f>
        <v/>
      </c>
      <c r="CQ45" s="132" t="str">
        <f t="array" aca="1" ref="CQ45" ca="1">IF($CK45&lt;&gt;"",
INDIRECT(""&amp;IF(COLUMN(CD45)&lt;=26,CHAR(COLUMN(CD45)+64),CHAR(INT((COLUMN(CD45)-1)/26)+64)&amp;CHAR(MOD(COLUMN(CD45)-1,26)+65))&amp;$CK45&amp;""),"")</f>
        <v/>
      </c>
      <c r="CR45" s="132" t="str">
        <f t="array" aca="1" ref="CR45" ca="1">IF($CK45&lt;&gt;"",
INDIRECT(""&amp;IF(COLUMN(CE45)&lt;=26,CHAR(COLUMN(CE45)+64),CHAR(INT((COLUMN(CE45)-1)/26)+64)&amp;CHAR(MOD(COLUMN(CE45)-1,26)+65))&amp;$CK45&amp;""),"")</f>
        <v/>
      </c>
      <c r="CS45" s="132" t="str">
        <f t="array" aca="1" ref="CS45" ca="1">IF($CK45&lt;&gt;"",
INDIRECT(""&amp;IF(COLUMN(CF45)&lt;=26,CHAR(COLUMN(CF45)+64),CHAR(INT((COLUMN(CF45)-1)/26)+64)&amp;CHAR(MOD(COLUMN(CF45)-1,26)+65))&amp;$CK45&amp;""),"")</f>
        <v/>
      </c>
      <c r="CT45" s="132" t="str">
        <f t="array" aca="1" ref="CT45" ca="1">IF($CK45&lt;&gt;"",
INDIRECT(""&amp;IF(COLUMN(CG45)&lt;=26,CHAR(COLUMN(CG45)+64),CHAR(INT((COLUMN(CG45)-1)/26)+64)&amp;CHAR(MOD(COLUMN(CG45)-1,26)+65))&amp;$CK45&amp;""),"")</f>
        <v/>
      </c>
      <c r="CU45" s="132" t="str">
        <f t="array" aca="1" ref="CU45" ca="1">IF($CK45&lt;&gt;"",
INDIRECT(""&amp;IF(COLUMN(CH45)&lt;=26,CHAR(COLUMN(CH45)+64),CHAR(INT((COLUMN(CH45)-1)/26)+64)&amp;CHAR(MOD(COLUMN(CH45)-1,26)+65))&amp;$CK45&amp;""),"")</f>
        <v/>
      </c>
    </row>
    <row r="46" spans="1:99" ht="18" customHeight="1" x14ac:dyDescent="0.45">
      <c r="B46" s="143"/>
      <c r="C46" s="120" t="str" cm="1">
        <f t="array" aca="1" ref="C46" ca="1">IF(C44&lt;&gt;"",
IF(IFERROR(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"")=0,"",
IF(B3=100,
IFERROR(
INDEX(INDIRECT("数出表_Excel!"&amp;B43&amp;MATCH(G1,数出表_Excel!$A:$A,0)-1+2&amp;":U"&amp;MATCH(G1,数出表_Excel!$A:$A,0)-1+2&amp;""),
 1,
 MATCH(TRUE, ISNUMBER(--INDIRECT("数出表_Excel!"&amp;B43&amp;MATCH(G1,数出表_Excel!$A:$A,0)-1+2&amp;":U"&amp;MATCH(G1,数出表_Excel!$A:$A,0)-1+2&amp;"")), 0)),
 "")
+IFERROR(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""),
IFERROR(
INDEX(INDIRECT("数出表_Excel!"&amp;B43&amp;MATCH(G1,数出表_Excel!$A:$A,0)-1&amp;":U"&amp;MATCH(G1,数出表_Excel!$A:$A,0)-1&amp;""),
 1,
 MATCH(TRUE, ISNUMBER(--INDIRECT("数出表_Excel!"&amp;B43&amp;MATCH(G1,数出表_Excel!$A:$A,0)-1&amp;":U"&amp;MATCH(G1,数出表_Excel!$A:$A,0)-1&amp;"")), 0)),
 ""))),"")</f>
        <v/>
      </c>
      <c r="D46" s="144"/>
      <c r="E46" s="145" t="str">
        <f t="array" aca="1" ref="E46" ca="1">IF(C2&lt;&gt;"",
IF(IFERROR(
INDEX(INDIRECT("数出表_Excel!B"&amp;MATCH(G1,数出表_Excel!$A:$A,0)&amp;":U"&amp;MATCH(G1,数出表_Excel!$A:$A,0)&amp;""),
 1,B44-1),
 "")=0,"",
IFERROR(
INDEX(INDIRECT("数出表_Excel!B"&amp;MATCH(G1,数出表_Excel!$A:$A,0)&amp;":U"&amp;MATCH(G1,数出表_Excel!$A:$A,0)&amp;""),
 1,B44-1),
 "")),"")</f>
        <v/>
      </c>
      <c r="F46" s="144"/>
      <c r="G46" s="159"/>
      <c r="I46" s="143"/>
      <c r="J46" s="120" t="str">
        <f t="array" aca="1" ref="J46" ca="1">IF(J44&lt;&gt;"",
IF(IFERROR(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"")=0,"",
IF(I3=100,
IFERROR(
INDEX(INDIRECT("数出表_Excel!"&amp;I43&amp;MATCH(N1,数出表_Excel!$A:$A,0)-1+2&amp;":U"&amp;MATCH(N1,数出表_Excel!$A:$A,0)-1+2&amp;""),
 1,
 MATCH(TRUE, ISNUMBER(--INDIRECT("数出表_Excel!"&amp;I43&amp;MATCH(N1,数出表_Excel!$A:$A,0)-1+2&amp;":U"&amp;MATCH(N1,数出表_Excel!$A:$A,0)-1+2&amp;"")), 0)),
 "")
+IFERROR(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""),
IFERROR(
INDEX(INDIRECT("数出表_Excel!"&amp;I43&amp;MATCH(N1,数出表_Excel!$A:$A,0)-1&amp;":U"&amp;MATCH(N1,数出表_Excel!$A:$A,0)-1&amp;""),
 1,
 MATCH(TRUE, ISNUMBER(--INDIRECT("数出表_Excel!"&amp;I43&amp;MATCH(N1,数出表_Excel!$A:$A,0)-1&amp;":U"&amp;MATCH(N1,数出表_Excel!$A:$A,0)-1&amp;"")), 0)),
 ""))),"")</f>
        <v/>
      </c>
      <c r="K46" s="144"/>
      <c r="L46" s="145" t="str">
        <f t="array" aca="1" ref="L46" ca="1">IF(J2&lt;&gt;"",
IF(IFERROR(
INDEX(INDIRECT("数出表_Excel!B"&amp;MATCH(N1,数出表_Excel!$A:$A,0)&amp;":U"&amp;MATCH(N1,数出表_Excel!$A:$A,0)&amp;""),
 1,I44-1),
 "")=0,"",
IFERROR(
INDEX(INDIRECT("数出表_Excel!B"&amp;MATCH(N1,数出表_Excel!$A:$A,0)&amp;":U"&amp;MATCH(N1,数出表_Excel!$A:$A,0)&amp;""),
 1,I44-1),
 "")),"")</f>
        <v/>
      </c>
      <c r="M46" s="144"/>
      <c r="N46" s="154"/>
      <c r="Q46" s="143"/>
      <c r="R46" s="120" t="str">
        <f t="array" aca="1" ref="R46" ca="1">IF(R44&lt;&gt;"",
IF(IFERROR(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"")=0,"",
IF(Q3=100,
IFERROR(
INDEX(INDIRECT("数出表_Excel!"&amp;Q43&amp;MATCH(V1,数出表_Excel!$A:$A,0)-1+2&amp;":U"&amp;MATCH(V1,数出表_Excel!$A:$A,0)-1+2&amp;""),
 1,
 MATCH(TRUE, ISNUMBER(--INDIRECT("数出表_Excel!"&amp;Q43&amp;MATCH(V1,数出表_Excel!$A:$A,0)-1+2&amp;":U"&amp;MATCH(V1,数出表_Excel!$A:$A,0)-1+2&amp;"")), 0)),
 "")
+IFERROR(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""),
IFERROR(
INDEX(INDIRECT("数出表_Excel!"&amp;Q43&amp;MATCH(V1,数出表_Excel!$A:$A,0)-1&amp;":U"&amp;MATCH(V1,数出表_Excel!$A:$A,0)-1&amp;""),
 1,
 MATCH(TRUE, ISNUMBER(--INDIRECT("数出表_Excel!"&amp;Q43&amp;MATCH(V1,数出表_Excel!$A:$A,0)-1&amp;":U"&amp;MATCH(V1,数出表_Excel!$A:$A,0)-1&amp;"")), 0)),
 ""))),"")</f>
        <v/>
      </c>
      <c r="S46" s="144"/>
      <c r="T46" s="145" t="str">
        <f t="array" aca="1" ref="T46" ca="1">IF(R2&lt;&gt;"",
IF(IFERROR(
INDEX(INDIRECT("数出表_Excel!B"&amp;MATCH(V1,数出表_Excel!$A:$A,0)&amp;":U"&amp;MATCH(V1,数出表_Excel!$A:$A,0)&amp;""),
 1,Q44-1),
 "")=0,"",
IFERROR(
INDEX(INDIRECT("数出表_Excel!B"&amp;MATCH(V1,数出表_Excel!$A:$A,0)&amp;":U"&amp;MATCH(V1,数出表_Excel!$A:$A,0)&amp;""),
 1,Q44-1),
 "")),"")</f>
        <v/>
      </c>
      <c r="U46" s="144"/>
      <c r="V46" s="154"/>
      <c r="X46" s="143"/>
      <c r="Y46" s="120" t="str">
        <f t="array" aca="1" ref="Y46" ca="1">IF(Y44&lt;&gt;"",
IF(IFERROR(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"")=0,"",
IF(X3=100,
IFERROR(
INDEX(INDIRECT("数出表_Excel!"&amp;X43&amp;MATCH(AC1,数出表_Excel!$A:$A,0)-1+2&amp;":U"&amp;MATCH(AC1,数出表_Excel!$A:$A,0)-1+2&amp;""),
 1,
 MATCH(TRUE, ISNUMBER(--INDIRECT("数出表_Excel!"&amp;X43&amp;MATCH(AC1,数出表_Excel!$A:$A,0)-1+2&amp;":U"&amp;MATCH(AC1,数出表_Excel!$A:$A,0)-1+2&amp;"")), 0)),
 "")
+IFERROR(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""),
IFERROR(
INDEX(INDIRECT("数出表_Excel!"&amp;X43&amp;MATCH(AC1,数出表_Excel!$A:$A,0)-1&amp;":U"&amp;MATCH(AC1,数出表_Excel!$A:$A,0)-1&amp;""),
 1,
 MATCH(TRUE, ISNUMBER(--INDIRECT("数出表_Excel!"&amp;X43&amp;MATCH(AC1,数出表_Excel!$A:$A,0)-1&amp;":U"&amp;MATCH(AC1,数出表_Excel!$A:$A,0)-1&amp;"")), 0)),
 ""))),"")</f>
        <v/>
      </c>
      <c r="Z46" s="144"/>
      <c r="AA46" s="145" t="str">
        <f t="array" aca="1" ref="AA46" ca="1">IF(Y2&lt;&gt;"",
IF(IFERROR(
INDEX(INDIRECT("数出表_Excel!B"&amp;MATCH(AC1,数出表_Excel!$A:$A,0)&amp;":U"&amp;MATCH(AC1,数出表_Excel!$A:$A,0)&amp;""),
 1,X44-1),
 "")=0,"",
IFERROR(
INDEX(INDIRECT("数出表_Excel!B"&amp;MATCH(AC1,数出表_Excel!$A:$A,0)&amp;":U"&amp;MATCH(AC1,数出表_Excel!$A:$A,0)&amp;""),
 1,X44-1),
 "")),"")</f>
        <v/>
      </c>
      <c r="AB46" s="144"/>
      <c r="AC46" s="154"/>
      <c r="AF46" s="143"/>
      <c r="AG46" s="120" t="str">
        <f t="array" aca="1" ref="AG46" ca="1">IF(AG44&lt;&gt;"",
IF(IFERROR(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"")=0,"",
IF(AF3=100,
IFERROR(
INDEX(INDIRECT("数出表_Excel!"&amp;AF43&amp;MATCH(AK1,数出表_Excel!$A:$A,0)-1+2&amp;":U"&amp;MATCH(AK1,数出表_Excel!$A:$A,0)-1+2&amp;""),
 1,
 MATCH(TRUE, ISNUMBER(--INDIRECT("数出表_Excel!"&amp;AF43&amp;MATCH(AK1,数出表_Excel!$A:$A,0)-1+2&amp;":U"&amp;MATCH(AK1,数出表_Excel!$A:$A,0)-1+2&amp;"")), 0)),
 "")
+IFERROR(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""),
IFERROR(
INDEX(INDIRECT("数出表_Excel!"&amp;AF43&amp;MATCH(AK1,数出表_Excel!$A:$A,0)-1&amp;":U"&amp;MATCH(AK1,数出表_Excel!$A:$A,0)-1&amp;""),
 1,
 MATCH(TRUE, ISNUMBER(--INDIRECT("数出表_Excel!"&amp;AF43&amp;MATCH(AK1,数出表_Excel!$A:$A,0)-1&amp;":U"&amp;MATCH(AK1,数出表_Excel!$A:$A,0)-1&amp;"")), 0)),
 ""))),"")</f>
        <v/>
      </c>
      <c r="AH46" s="144"/>
      <c r="AI46" s="145" t="str">
        <f t="array" aca="1" ref="AI46" ca="1">IF(AG2&lt;&gt;"",
IF(IFERROR(
INDEX(INDIRECT("数出表_Excel!B"&amp;MATCH(AK1,数出表_Excel!$A:$A,0)&amp;":U"&amp;MATCH(AK1,数出表_Excel!$A:$A,0)&amp;""),
 1,AF44-1),
 "")=0,"",
IFERROR(
INDEX(INDIRECT("数出表_Excel!B"&amp;MATCH(AK1,数出表_Excel!$A:$A,0)&amp;":U"&amp;MATCH(AK1,数出表_Excel!$A:$A,0)&amp;""),
 1,AF44-1),
 "")),"")</f>
        <v/>
      </c>
      <c r="AJ46" s="144"/>
      <c r="AK46" s="154"/>
      <c r="AM46" s="143"/>
      <c r="AN46" s="120" t="str">
        <f t="array" aca="1" ref="AN46" ca="1">IF(AN44&lt;&gt;"",
IF(IFERROR(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"")=0,"",
IF(AM3=100,
IFERROR(
INDEX(INDIRECT("数出表_Excel!"&amp;AM43&amp;MATCH(AR1,数出表_Excel!$A:$A,0)-1+2&amp;":U"&amp;MATCH(AR1,数出表_Excel!$A:$A,0)-1+2&amp;""),
 1,
 MATCH(TRUE, ISNUMBER(--INDIRECT("数出表_Excel!"&amp;AM43&amp;MATCH(AR1,数出表_Excel!$A:$A,0)-1+2&amp;":U"&amp;MATCH(AR1,数出表_Excel!$A:$A,0)-1+2&amp;"")), 0)),
 "")
+IFERROR(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""),
IFERROR(
INDEX(INDIRECT("数出表_Excel!"&amp;AM43&amp;MATCH(AR1,数出表_Excel!$A:$A,0)-1&amp;":U"&amp;MATCH(AR1,数出表_Excel!$A:$A,0)-1&amp;""),
 1,
 MATCH(TRUE, ISNUMBER(--INDIRECT("数出表_Excel!"&amp;AM43&amp;MATCH(AR1,数出表_Excel!$A:$A,0)-1&amp;":U"&amp;MATCH(AR1,数出表_Excel!$A:$A,0)-1&amp;"")), 0)),
 ""))),"")</f>
        <v/>
      </c>
      <c r="AO46" s="144"/>
      <c r="AP46" s="145" t="str">
        <f t="array" aca="1" ref="AP46" ca="1">IF(AN2&lt;&gt;"",
IF(IFERROR(
INDEX(INDIRECT("数出表_Excel!B"&amp;MATCH(AR1,数出表_Excel!$A:$A,0)&amp;":U"&amp;MATCH(AR1,数出表_Excel!$A:$A,0)&amp;""),
 1,AM44-1),
 "")=0,"",
IFERROR(
INDEX(INDIRECT("数出表_Excel!B"&amp;MATCH(AR1,数出表_Excel!$A:$A,0)&amp;":U"&amp;MATCH(AR1,数出表_Excel!$A:$A,0)&amp;""),
 1,AM44-1),
 "")),"")</f>
        <v/>
      </c>
      <c r="AQ46" s="144"/>
      <c r="AR46" s="154"/>
      <c r="AU46" s="143"/>
      <c r="AV46" s="120" t="str">
        <f t="array" aca="1" ref="AV46" ca="1">IF(AV44&lt;&gt;"",
IF(IFERROR(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"")=0,"",
IF(AU3=100,
IFERROR(
INDEX(INDIRECT("数出表_Excel!"&amp;AU43&amp;MATCH(AZ1,数出表_Excel!$A:$A,0)-1+2&amp;":U"&amp;MATCH(AZ1,数出表_Excel!$A:$A,0)-1+2&amp;""),
 1,
 MATCH(TRUE, ISNUMBER(--INDIRECT("数出表_Excel!"&amp;AU43&amp;MATCH(AZ1,数出表_Excel!$A:$A,0)-1+2&amp;":U"&amp;MATCH(AZ1,数出表_Excel!$A:$A,0)-1+2&amp;"")), 0)),
 "")
+IFERROR(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""),
IFERROR(
INDEX(INDIRECT("数出表_Excel!"&amp;AU43&amp;MATCH(AZ1,数出表_Excel!$A:$A,0)-1&amp;":U"&amp;MATCH(AZ1,数出表_Excel!$A:$A,0)-1&amp;""),
 1,
 MATCH(TRUE, ISNUMBER(--INDIRECT("数出表_Excel!"&amp;AU43&amp;MATCH(AZ1,数出表_Excel!$A:$A,0)-1&amp;":U"&amp;MATCH(AZ1,数出表_Excel!$A:$A,0)-1&amp;"")), 0)),
 ""))),"")</f>
        <v/>
      </c>
      <c r="AW46" s="144"/>
      <c r="AX46" s="145" t="str">
        <f t="array" aca="1" ref="AX46" ca="1">IF(AV2&lt;&gt;"",
IF(IFERROR(
INDEX(INDIRECT("数出表_Excel!B"&amp;MATCH(AZ1,数出表_Excel!$A:$A,0)&amp;":U"&amp;MATCH(AZ1,数出表_Excel!$A:$A,0)&amp;""),
 1,AU44-1),
 "")=0,"",
IFERROR(
INDEX(INDIRECT("数出表_Excel!B"&amp;MATCH(AZ1,数出表_Excel!$A:$A,0)&amp;":U"&amp;MATCH(AZ1,数出表_Excel!$A:$A,0)&amp;""),
 1,AU44-1),
 "")),"")</f>
        <v/>
      </c>
      <c r="AY46" s="144"/>
      <c r="AZ46" s="154"/>
      <c r="BB46" s="143"/>
      <c r="BC46" s="120" t="str">
        <f t="array" aca="1" ref="BC46" ca="1">IF(BC44&lt;&gt;"",
IF(IFERROR(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"")=0,"",
IF(BB3=100,
IFERROR(
INDEX(INDIRECT("数出表_Excel!"&amp;BB43&amp;MATCH(BG1,数出表_Excel!$A:$A,0)-1+2&amp;":U"&amp;MATCH(BG1,数出表_Excel!$A:$A,0)-1+2&amp;""),
 1,
 MATCH(TRUE, ISNUMBER(--INDIRECT("数出表_Excel!"&amp;BB43&amp;MATCH(BG1,数出表_Excel!$A:$A,0)-1+2&amp;":U"&amp;MATCH(BG1,数出表_Excel!$A:$A,0)-1+2&amp;"")), 0)),
 "")
+IFERROR(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""),
IFERROR(
INDEX(INDIRECT("数出表_Excel!"&amp;BB43&amp;MATCH(BG1,数出表_Excel!$A:$A,0)-1&amp;":U"&amp;MATCH(BG1,数出表_Excel!$A:$A,0)-1&amp;""),
 1,
 MATCH(TRUE, ISNUMBER(--INDIRECT("数出表_Excel!"&amp;BB43&amp;MATCH(BG1,数出表_Excel!$A:$A,0)-1&amp;":U"&amp;MATCH(BG1,数出表_Excel!$A:$A,0)-1&amp;"")), 0)),
 ""))),"")</f>
        <v/>
      </c>
      <c r="BD46" s="144"/>
      <c r="BE46" s="145" t="str">
        <f t="array" aca="1" ref="BE46" ca="1">IF(BC2&lt;&gt;"",
IF(IFERROR(
INDEX(INDIRECT("数出表_Excel!B"&amp;MATCH(BG1,数出表_Excel!$A:$A,0)&amp;":U"&amp;MATCH(BG1,数出表_Excel!$A:$A,0)&amp;""),
 1,BB44-1),
 "")=0,"",
IFERROR(
INDEX(INDIRECT("数出表_Excel!B"&amp;MATCH(BG1,数出表_Excel!$A:$A,0)&amp;":U"&amp;MATCH(BG1,数出表_Excel!$A:$A,0)&amp;""),
 1,BB44-1),
 "")),"")</f>
        <v/>
      </c>
      <c r="BF46" s="144"/>
      <c r="BG46" s="154"/>
      <c r="BJ46" s="143"/>
      <c r="BK46" s="120" t="str">
        <f t="array" aca="1" ref="BK46" ca="1">IF(BK44&lt;&gt;"",
IF(IFERROR(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"")=0,"",
IF(BJ3=100,
IFERROR(
INDEX(INDIRECT("数出表_Excel!"&amp;BJ43&amp;MATCH(BO1,数出表_Excel!$A:$A,0)-1+2&amp;":U"&amp;MATCH(BO1,数出表_Excel!$A:$A,0)-1+2&amp;""),
 1,
 MATCH(TRUE, ISNUMBER(--INDIRECT("数出表_Excel!"&amp;BJ43&amp;MATCH(BO1,数出表_Excel!$A:$A,0)-1+2&amp;":U"&amp;MATCH(BO1,数出表_Excel!$A:$A,0)-1+2&amp;"")), 0)),
 "")
+IFERROR(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""),
IFERROR(
INDEX(INDIRECT("数出表_Excel!"&amp;BJ43&amp;MATCH(BO1,数出表_Excel!$A:$A,0)-1&amp;":U"&amp;MATCH(BO1,数出表_Excel!$A:$A,0)-1&amp;""),
 1,
 MATCH(TRUE, ISNUMBER(--INDIRECT("数出表_Excel!"&amp;BJ43&amp;MATCH(BO1,数出表_Excel!$A:$A,0)-1&amp;":U"&amp;MATCH(BO1,数出表_Excel!$A:$A,0)-1&amp;"")), 0)),
 ""))),"")</f>
        <v/>
      </c>
      <c r="BL46" s="144"/>
      <c r="BM46" s="145" t="str">
        <f t="array" aca="1" ref="BM46" ca="1">IF(BK2&lt;&gt;"",
IF(IFERROR(
INDEX(INDIRECT("数出表_Excel!B"&amp;MATCH(BO1,数出表_Excel!$A:$A,0)&amp;":U"&amp;MATCH(BO1,数出表_Excel!$A:$A,0)&amp;""),
 1,BJ44-1),
 "")=0,"",
IFERROR(
INDEX(INDIRECT("数出表_Excel!B"&amp;MATCH(BO1,数出表_Excel!$A:$A,0)&amp;":U"&amp;MATCH(BO1,数出表_Excel!$A:$A,0)&amp;""),
 1,BJ44-1),
 "")),"")</f>
        <v/>
      </c>
      <c r="BN46" s="144"/>
      <c r="BO46" s="154"/>
      <c r="BQ46" s="143"/>
      <c r="BR46" s="120" t="str">
        <f t="array" aca="1" ref="BR46" ca="1">IF(BR44&lt;&gt;"",
IF(IFERROR(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"")=0,"",
IF(BQ3=100,
IFERROR(
INDEX(INDIRECT("数出表_Excel!"&amp;BQ43&amp;MATCH(BV1,数出表_Excel!$A:$A,0)-1+2&amp;":U"&amp;MATCH(BV1,数出表_Excel!$A:$A,0)-1+2&amp;""),
 1,
 MATCH(TRUE, ISNUMBER(--INDIRECT("数出表_Excel!"&amp;BQ43&amp;MATCH(BV1,数出表_Excel!$A:$A,0)-1+2&amp;":U"&amp;MATCH(BV1,数出表_Excel!$A:$A,0)-1+2&amp;"")), 0)),
 "")
+IFERROR(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""),
IFERROR(
INDEX(INDIRECT("数出表_Excel!"&amp;BQ43&amp;MATCH(BV1,数出表_Excel!$A:$A,0)-1&amp;":U"&amp;MATCH(BV1,数出表_Excel!$A:$A,0)-1&amp;""),
 1,
 MATCH(TRUE, ISNUMBER(--INDIRECT("数出表_Excel!"&amp;BQ43&amp;MATCH(BV1,数出表_Excel!$A:$A,0)-1&amp;":U"&amp;MATCH(BV1,数出表_Excel!$A:$A,0)-1&amp;"")), 0)),
 ""))),"")</f>
        <v/>
      </c>
      <c r="BS46" s="144"/>
      <c r="BT46" s="145" t="str">
        <f t="array" aca="1" ref="BT46" ca="1">IF(BR2&lt;&gt;"",
IF(IFERROR(
INDEX(INDIRECT("数出表_Excel!B"&amp;MATCH(BV1,数出表_Excel!$A:$A,0)&amp;":U"&amp;MATCH(BV1,数出表_Excel!$A:$A,0)&amp;""),
 1,BQ44-1),
 "")=0,"",
IFERROR(
INDEX(INDIRECT("数出表_Excel!B"&amp;MATCH(BV1,数出表_Excel!$A:$A,0)&amp;":U"&amp;MATCH(BV1,数出表_Excel!$A:$A,0)&amp;""),
 1,BQ44-1),
 "")),"")</f>
        <v/>
      </c>
      <c r="BU46" s="144"/>
      <c r="BV46" s="154"/>
      <c r="BX46" s="132">
        <f t="shared" si="2"/>
        <v>77</v>
      </c>
      <c r="BY46" s="132" t="str">
        <f t="array" aca="1" ref="BY46" ca="1">INDIRECT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
&amp;MID(SUBSTITUTE(_xlfn.FORMULATEXT(BY$25),"=",""), LEN(_xlfn.TEXTJOIN("",TRUE,IF(ISERROR(MID(SUBSTITUTE(_xlfn.FORMULATEXT(BY$25),"=",""),ROW(INDIRECT("1:"&amp;LEN(SUBSTITUTE(_xlfn.FORMULATEXT(BY$25),"=","")))),1)*1),MID(SUBSTITUTE(_xlfn.FORMULATEXT(BY$25),"=",""),ROW(INDIRECT("1:"&amp;LEN(SUBSTITUTE(_xlfn.FORMULATEXT(BY$25),"=","")))),1),"")))+1, LEN(SUBSTITUTE(_xlfn.FORMULATEXT(BY$25),"=","")))+$BX46)</f>
        <v/>
      </c>
      <c r="BZ46" s="132" t="str">
        <f t="array" aca="1" ref="BZ46" ca="1">INDIRECT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
&amp;MID(SUBSTITUTE(_xlfn.FORMULATEXT(BZ$25),"=",""), LEN(_xlfn.TEXTJOIN("",TRUE,IF(ISERROR(MID(SUBSTITUTE(_xlfn.FORMULATEXT(BZ$25),"=",""),ROW(INDIRECT("1:"&amp;LEN(SUBSTITUTE(_xlfn.FORMULATEXT(BZ$25),"=","")))),1)*1),MID(SUBSTITUTE(_xlfn.FORMULATEXT(BZ$25),"=",""),ROW(INDIRECT("1:"&amp;LEN(SUBSTITUTE(_xlfn.FORMULATEXT(BZ$25),"=","")))),1),"")))+1, LEN(SUBSTITUTE(_xlfn.FORMULATEXT(BZ$25),"=","")))+$BX46)</f>
        <v/>
      </c>
      <c r="CA46" s="132" t="str">
        <f t="array" aca="1" ref="CA46" ca="1">INDIRECT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
&amp;MID(SUBSTITUTE(_xlfn.FORMULATEXT(CA$25),"=",""), LEN(_xlfn.TEXTJOIN("",TRUE,IF(ISERROR(MID(SUBSTITUTE(_xlfn.FORMULATEXT(CA$25),"=",""),ROW(INDIRECT("1:"&amp;LEN(SUBSTITUTE(_xlfn.FORMULATEXT(CA$25),"=","")))),1)*1),MID(SUBSTITUTE(_xlfn.FORMULATEXT(CA$25),"=",""),ROW(INDIRECT("1:"&amp;LEN(SUBSTITUTE(_xlfn.FORMULATEXT(CA$25),"=","")))),1),"")))+1, LEN(SUBSTITUTE(_xlfn.FORMULATEXT(CA$25),"=","")))+$BX46)</f>
        <v/>
      </c>
      <c r="CB46" s="132" t="str">
        <f t="array" aca="1" ref="CB46" ca="1">INDIRECT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
&amp;MID(SUBSTITUTE(_xlfn.FORMULATEXT(CB$25),"=",""), LEN(_xlfn.TEXTJOIN("",TRUE,IF(ISERROR(MID(SUBSTITUTE(_xlfn.FORMULATEXT(CB$25),"=",""),ROW(INDIRECT("1:"&amp;LEN(SUBSTITUTE(_xlfn.FORMULATEXT(CB$25),"=","")))),1)*1),MID(SUBSTITUTE(_xlfn.FORMULATEXT(CB$25),"=",""),ROW(INDIRECT("1:"&amp;LEN(SUBSTITUTE(_xlfn.FORMULATEXT(CB$25),"=","")))),1),"")))+1, LEN(SUBSTITUTE(_xlfn.FORMULATEXT(CB$25),"=","")))+$BX46)</f>
        <v/>
      </c>
      <c r="CC46" s="132" t="str">
        <f t="array" aca="1" ref="CC46" ca="1">INDIRECT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
&amp;MID(SUBSTITUTE(_xlfn.FORMULATEXT(CC$25),"=",""), LEN(_xlfn.TEXTJOIN("",TRUE,IF(ISERROR(MID(SUBSTITUTE(_xlfn.FORMULATEXT(CC$25),"=",""),ROW(INDIRECT("1:"&amp;LEN(SUBSTITUTE(_xlfn.FORMULATEXT(CC$25),"=","")))),1)*1),MID(SUBSTITUTE(_xlfn.FORMULATEXT(CC$25),"=",""),ROW(INDIRECT("1:"&amp;LEN(SUBSTITUTE(_xlfn.FORMULATEXT(CC$25),"=","")))),1),"")))+1, LEN(SUBSTITUTE(_xlfn.FORMULATEXT(CC$25),"=","")))+$BX46)</f>
        <v/>
      </c>
      <c r="CD46" s="132" t="str">
        <f t="array" aca="1" ref="CD46" ca="1">INDIRECT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
&amp;MID(SUBSTITUTE(_xlfn.FORMULATEXT(CD$25),"=",""), LEN(_xlfn.TEXTJOIN("",TRUE,IF(ISERROR(MID(SUBSTITUTE(_xlfn.FORMULATEXT(CD$25),"=",""),ROW(INDIRECT("1:"&amp;LEN(SUBSTITUTE(_xlfn.FORMULATEXT(CD$25),"=","")))),1)*1),MID(SUBSTITUTE(_xlfn.FORMULATEXT(CD$25),"=",""),ROW(INDIRECT("1:"&amp;LEN(SUBSTITUTE(_xlfn.FORMULATEXT(CD$25),"=","")))),1),"")))+1, LEN(SUBSTITUTE(_xlfn.FORMULATEXT(CD$25),"=","")))+$BX46)</f>
        <v/>
      </c>
      <c r="CE46" s="132" t="str">
        <f t="array" aca="1" ref="CE46" ca="1">INDIRECT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
&amp;MID(SUBSTITUTE(_xlfn.FORMULATEXT(CE$25),"=",""), LEN(_xlfn.TEXTJOIN("",TRUE,IF(ISERROR(MID(SUBSTITUTE(_xlfn.FORMULATEXT(CE$25),"=",""),ROW(INDIRECT("1:"&amp;LEN(SUBSTITUTE(_xlfn.FORMULATEXT(CE$25),"=","")))),1)*1),MID(SUBSTITUTE(_xlfn.FORMULATEXT(CE$25),"=",""),ROW(INDIRECT("1:"&amp;LEN(SUBSTITUTE(_xlfn.FORMULATEXT(CE$25),"=","")))),1),"")))+1, LEN(SUBSTITUTE(_xlfn.FORMULATEXT(CE$25),"=","")))+$BX46)</f>
        <v/>
      </c>
      <c r="CF46" s="132" t="str">
        <f t="array" aca="1" ref="CF46" ca="1">INDIRECT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
&amp;MID(SUBSTITUTE(_xlfn.FORMULATEXT(CF$25),"=",""), LEN(_xlfn.TEXTJOIN("",TRUE,IF(ISERROR(MID(SUBSTITUTE(_xlfn.FORMULATEXT(CF$25),"=",""),ROW(INDIRECT("1:"&amp;LEN(SUBSTITUTE(_xlfn.FORMULATEXT(CF$25),"=","")))),1)*1),MID(SUBSTITUTE(_xlfn.FORMULATEXT(CF$25),"=",""),ROW(INDIRECT("1:"&amp;LEN(SUBSTITUTE(_xlfn.FORMULATEXT(CF$25),"=","")))),1),"")))+1, LEN(SUBSTITUTE(_xlfn.FORMULATEXT(CF$25),"=","")))+$BX46)</f>
        <v/>
      </c>
      <c r="CG46" s="132" t="str">
        <f t="array" aca="1" ref="CG46" ca="1">INDIRECT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
&amp;MID(SUBSTITUTE(_xlfn.FORMULATEXT(CG$25),"=",""), LEN(_xlfn.TEXTJOIN("",TRUE,IF(ISERROR(MID(SUBSTITUTE(_xlfn.FORMULATEXT(CG$25),"=",""),ROW(INDIRECT("1:"&amp;LEN(SUBSTITUTE(_xlfn.FORMULATEXT(CG$25),"=","")))),1)*1),MID(SUBSTITUTE(_xlfn.FORMULATEXT(CG$25),"=",""),ROW(INDIRECT("1:"&amp;LEN(SUBSTITUTE(_xlfn.FORMULATEXT(CG$25),"=","")))),1),"")))+1, LEN(SUBSTITUTE(_xlfn.FORMULATEXT(CG$25),"=","")))+$BX46)</f>
        <v/>
      </c>
      <c r="CH46" s="132" t="str">
        <f t="array" aca="1" ref="CH46" ca="1">INDIRECT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
&amp;MID(SUBSTITUTE(_xlfn.FORMULATEXT(CH$25),"=",""), LEN(_xlfn.TEXTJOIN("",TRUE,IF(ISERROR(MID(SUBSTITUTE(_xlfn.FORMULATEXT(CH$25),"=",""),ROW(INDIRECT("1:"&amp;LEN(SUBSTITUTE(_xlfn.FORMULATEXT(CH$25),"=","")))),1)*1),MID(SUBSTITUTE(_xlfn.FORMULATEXT(CH$25),"=",""),ROW(INDIRECT("1:"&amp;LEN(SUBSTITUTE(_xlfn.FORMULATEXT(CH$25),"=","")))),1),"")))+1, LEN(SUBSTITUTE(_xlfn.FORMULATEXT(CH$25),"=","")))+$BX46)</f>
        <v/>
      </c>
      <c r="CI46" s="132">
        <f t="shared" ca="1" si="3"/>
        <v>0</v>
      </c>
      <c r="CJ46" s="132" t="b">
        <f t="array" aca="1" ref="CJ46" ca="1">SUMPRODUCT((LEN(BY46:CH46)&gt;0)*1)&gt;0</f>
        <v>0</v>
      </c>
      <c r="CK46" s="132" t="str" cm="1">
        <f t="array" aca="1" ref="CK46" ca="1">IFERROR(SMALL(IF(CI$1:CI$150&lt;&gt;0,CI$1:CI$150),ROW(A46)),"")</f>
        <v/>
      </c>
      <c r="CL46" s="132" t="str">
        <f t="array" aca="1" ref="CL46" ca="1">IF($CK46&lt;&gt;"",
INDIRECT(""&amp;IF(COLUMN(BY46)&lt;=26,CHAR(COLUMN(BY46)+64),CHAR(INT((COLUMN(BY46)-1)/26)+64)&amp;CHAR(MOD(COLUMN(BY46)-1,26)+65))&amp;$CK46&amp;""),"")</f>
        <v/>
      </c>
      <c r="CM46" s="132" t="str">
        <f t="array" aca="1" ref="CM46" ca="1">IF($CK46&lt;&gt;"",
INDIRECT(""&amp;IF(COLUMN(BZ46)&lt;=26,CHAR(COLUMN(BZ46)+64),CHAR(INT((COLUMN(BZ46)-1)/26)+64)&amp;CHAR(MOD(COLUMN(BZ46)-1,26)+65))&amp;$CK46&amp;""),"")</f>
        <v/>
      </c>
      <c r="CN46" s="132" t="str">
        <f t="array" aca="1" ref="CN46" ca="1">IF($CK46&lt;&gt;"",
INDIRECT(""&amp;IF(COLUMN(CA46)&lt;=26,CHAR(COLUMN(CA46)+64),CHAR(INT((COLUMN(CA46)-1)/26)+64)&amp;CHAR(MOD(COLUMN(CA46)-1,26)+65))&amp;$CK46&amp;""),"")</f>
        <v/>
      </c>
      <c r="CO46" s="132" t="str">
        <f t="array" aca="1" ref="CO46" ca="1">IF($CK46&lt;&gt;"",
INDIRECT(""&amp;IF(COLUMN(CB46)&lt;=26,CHAR(COLUMN(CB46)+64),CHAR(INT((COLUMN(CB46)-1)/26)+64)&amp;CHAR(MOD(COLUMN(CB46)-1,26)+65))&amp;$CK46&amp;""),"")</f>
        <v/>
      </c>
      <c r="CP46" s="132" t="str">
        <f t="array" aca="1" ref="CP46" ca="1">IF($CK46&lt;&gt;"",
INDIRECT(""&amp;IF(COLUMN(CC46)&lt;=26,CHAR(COLUMN(CC46)+64),CHAR(INT((COLUMN(CC46)-1)/26)+64)&amp;CHAR(MOD(COLUMN(CC46)-1,26)+65))&amp;$CK46&amp;""),"")</f>
        <v/>
      </c>
      <c r="CQ46" s="132" t="str">
        <f t="array" aca="1" ref="CQ46" ca="1">IF($CK46&lt;&gt;"",
INDIRECT(""&amp;IF(COLUMN(CD46)&lt;=26,CHAR(COLUMN(CD46)+64),CHAR(INT((COLUMN(CD46)-1)/26)+64)&amp;CHAR(MOD(COLUMN(CD46)-1,26)+65))&amp;$CK46&amp;""),"")</f>
        <v/>
      </c>
      <c r="CR46" s="132" t="str">
        <f t="array" aca="1" ref="CR46" ca="1">IF($CK46&lt;&gt;"",
INDIRECT(""&amp;IF(COLUMN(CE46)&lt;=26,CHAR(COLUMN(CE46)+64),CHAR(INT((COLUMN(CE46)-1)/26)+64)&amp;CHAR(MOD(COLUMN(CE46)-1,26)+65))&amp;$CK46&amp;""),"")</f>
        <v/>
      </c>
      <c r="CS46" s="132" t="str">
        <f t="array" aca="1" ref="CS46" ca="1">IF($CK46&lt;&gt;"",
INDIRECT(""&amp;IF(COLUMN(CF46)&lt;=26,CHAR(COLUMN(CF46)+64),CHAR(INT((COLUMN(CF46)-1)/26)+64)&amp;CHAR(MOD(COLUMN(CF46)-1,26)+65))&amp;$CK46&amp;""),"")</f>
        <v/>
      </c>
      <c r="CT46" s="132" t="str">
        <f t="array" aca="1" ref="CT46" ca="1">IF($CK46&lt;&gt;"",
INDIRECT(""&amp;IF(COLUMN(CG46)&lt;=26,CHAR(COLUMN(CG46)+64),CHAR(INT((COLUMN(CG46)-1)/26)+64)&amp;CHAR(MOD(COLUMN(CG46)-1,26)+65))&amp;$CK46&amp;""),"")</f>
        <v/>
      </c>
      <c r="CU46" s="132" t="str">
        <f t="array" aca="1" ref="CU46" ca="1">IF($CK46&lt;&gt;"",
INDIRECT(""&amp;IF(COLUMN(CH46)&lt;=26,CHAR(COLUMN(CH46)+64),CHAR(INT((COLUMN(CH46)-1)/26)+64)&amp;CHAR(MOD(COLUMN(CH46)-1,26)+65))&amp;$CK46&amp;""),"")</f>
        <v/>
      </c>
    </row>
    <row r="47" spans="1:99" ht="18" customHeight="1" x14ac:dyDescent="0.45">
      <c r="B47" s="147"/>
      <c r="C47" s="148"/>
      <c r="D47" s="148"/>
      <c r="E47" s="148"/>
      <c r="F47" s="148"/>
      <c r="G47" s="160"/>
      <c r="I47" s="147"/>
      <c r="J47" s="148"/>
      <c r="K47" s="148"/>
      <c r="L47" s="148"/>
      <c r="M47" s="148"/>
      <c r="N47" s="155"/>
      <c r="Q47" s="147"/>
      <c r="R47" s="148"/>
      <c r="S47" s="148"/>
      <c r="T47" s="148"/>
      <c r="U47" s="148"/>
      <c r="V47" s="155"/>
      <c r="X47" s="147"/>
      <c r="Y47" s="148"/>
      <c r="Z47" s="148"/>
      <c r="AA47" s="148"/>
      <c r="AB47" s="148"/>
      <c r="AC47" s="155"/>
      <c r="AF47" s="147"/>
      <c r="AG47" s="148"/>
      <c r="AH47" s="148"/>
      <c r="AI47" s="148"/>
      <c r="AJ47" s="148"/>
      <c r="AK47" s="155"/>
      <c r="AM47" s="147"/>
      <c r="AN47" s="148"/>
      <c r="AO47" s="148"/>
      <c r="AP47" s="148"/>
      <c r="AQ47" s="148"/>
      <c r="AR47" s="155"/>
      <c r="AU47" s="147"/>
      <c r="AV47" s="148"/>
      <c r="AW47" s="148"/>
      <c r="AX47" s="148"/>
      <c r="AY47" s="148"/>
      <c r="AZ47" s="155"/>
      <c r="BB47" s="147"/>
      <c r="BC47" s="148"/>
      <c r="BD47" s="148"/>
      <c r="BE47" s="148"/>
      <c r="BF47" s="148"/>
      <c r="BG47" s="155"/>
      <c r="BJ47" s="147"/>
      <c r="BK47" s="148"/>
      <c r="BL47" s="148"/>
      <c r="BM47" s="148"/>
      <c r="BN47" s="148"/>
      <c r="BO47" s="155"/>
      <c r="BQ47" s="147"/>
      <c r="BR47" s="148"/>
      <c r="BS47" s="148"/>
      <c r="BT47" s="148"/>
      <c r="BU47" s="148"/>
      <c r="BV47" s="155"/>
      <c r="BX47" s="146">
        <f t="shared" si="2"/>
        <v>35</v>
      </c>
      <c r="BY47" s="132" t="str">
        <f t="array" aca="1" ref="BY47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LEN(SUBSTITUTE(_xlfn.FORMULATEXT(BY$27),"=","")))+$BX47)</f>
        <v/>
      </c>
      <c r="BZ47" s="132" t="str">
        <f t="array" aca="1" ref="BZ47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LEN(SUBSTITUTE(_xlfn.FORMULATEXT(BZ$27),"=","")))+$BX47)</f>
        <v/>
      </c>
      <c r="CA47" s="132" t="str">
        <f t="array" aca="1" ref="CA47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LEN(SUBSTITUTE(_xlfn.FORMULATEXT(CA$27),"=","")))+$BX47)</f>
        <v/>
      </c>
      <c r="CB47" s="132" t="str">
        <f t="array" aca="1" ref="CB47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LEN(SUBSTITUTE(_xlfn.FORMULATEXT(CB$27),"=","")))+$BX47)</f>
        <v/>
      </c>
      <c r="CC47" s="132" t="str">
        <f t="array" aca="1" ref="CC47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LEN(SUBSTITUTE(_xlfn.FORMULATEXT(CC$27),"=","")))+$BX47)</f>
        <v/>
      </c>
      <c r="CD47" s="132" t="str">
        <f t="array" aca="1" ref="CD47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LEN(SUBSTITUTE(_xlfn.FORMULATEXT(CD$27),"=","")))+$BX47)</f>
        <v/>
      </c>
      <c r="CE47" s="132" t="str">
        <f t="array" aca="1" ref="CE47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LEN(SUBSTITUTE(_xlfn.FORMULATEXT(CE$27),"=","")))+$BX47)</f>
        <v/>
      </c>
      <c r="CF47" s="132" t="str">
        <f t="array" aca="1" ref="CF47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LEN(SUBSTITUTE(_xlfn.FORMULATEXT(CF$27),"=","")))+$BX47)</f>
        <v/>
      </c>
      <c r="CG47" s="132" t="str">
        <f t="array" aca="1" ref="CG47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LEN(SUBSTITUTE(_xlfn.FORMULATEXT(CG$27),"=","")))+$BX47)</f>
        <v/>
      </c>
      <c r="CH47" s="132" t="str">
        <f t="array" aca="1" ref="CH47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LEN(SUBSTITUTE(_xlfn.FORMULATEXT(CH$27),"=","")))+$BX47)</f>
        <v/>
      </c>
      <c r="CI47" s="132">
        <f t="shared" ca="1" si="3"/>
        <v>0</v>
      </c>
      <c r="CJ47" s="132" t="b">
        <f t="array" aca="1" ref="CJ47" ca="1">SUMPRODUCT((LEN(BY47:CH47)&gt;0)*1)&gt;0</f>
        <v>0</v>
      </c>
      <c r="CK47" s="132" t="str" cm="1">
        <f t="array" aca="1" ref="CK47" ca="1">IFERROR(SMALL(IF(CI$1:CI$150&lt;&gt;0,CI$1:CI$150),ROW(A47)),"")</f>
        <v/>
      </c>
      <c r="CL47" s="132" t="str">
        <f t="array" aca="1" ref="CL47" ca="1">IF($CK47&lt;&gt;"",
INDIRECT(""&amp;IF(COLUMN(BY47)&lt;=26,CHAR(COLUMN(BY47)+64),CHAR(INT((COLUMN(BY47)-1)/26)+64)&amp;CHAR(MOD(COLUMN(BY47)-1,26)+65))&amp;$CK47&amp;""),"")</f>
        <v/>
      </c>
      <c r="CM47" s="132" t="str">
        <f t="array" aca="1" ref="CM47" ca="1">IF($CK47&lt;&gt;"",
INDIRECT(""&amp;IF(COLUMN(BZ47)&lt;=26,CHAR(COLUMN(BZ47)+64),CHAR(INT((COLUMN(BZ47)-1)/26)+64)&amp;CHAR(MOD(COLUMN(BZ47)-1,26)+65))&amp;$CK47&amp;""),"")</f>
        <v/>
      </c>
      <c r="CN47" s="132" t="str">
        <f t="array" aca="1" ref="CN47" ca="1">IF($CK47&lt;&gt;"",
INDIRECT(""&amp;IF(COLUMN(CA47)&lt;=26,CHAR(COLUMN(CA47)+64),CHAR(INT((COLUMN(CA47)-1)/26)+64)&amp;CHAR(MOD(COLUMN(CA47)-1,26)+65))&amp;$CK47&amp;""),"")</f>
        <v/>
      </c>
      <c r="CO47" s="132" t="str">
        <f t="array" aca="1" ref="CO47" ca="1">IF($CK47&lt;&gt;"",
INDIRECT(""&amp;IF(COLUMN(CB47)&lt;=26,CHAR(COLUMN(CB47)+64),CHAR(INT((COLUMN(CB47)-1)/26)+64)&amp;CHAR(MOD(COLUMN(CB47)-1,26)+65))&amp;$CK47&amp;""),"")</f>
        <v/>
      </c>
      <c r="CP47" s="132" t="str">
        <f t="array" aca="1" ref="CP47" ca="1">IF($CK47&lt;&gt;"",
INDIRECT(""&amp;IF(COLUMN(CC47)&lt;=26,CHAR(COLUMN(CC47)+64),CHAR(INT((COLUMN(CC47)-1)/26)+64)&amp;CHAR(MOD(COLUMN(CC47)-1,26)+65))&amp;$CK47&amp;""),"")</f>
        <v/>
      </c>
      <c r="CQ47" s="132" t="str">
        <f t="array" aca="1" ref="CQ47" ca="1">IF($CK47&lt;&gt;"",
INDIRECT(""&amp;IF(COLUMN(CD47)&lt;=26,CHAR(COLUMN(CD47)+64),CHAR(INT((COLUMN(CD47)-1)/26)+64)&amp;CHAR(MOD(COLUMN(CD47)-1,26)+65))&amp;$CK47&amp;""),"")</f>
        <v/>
      </c>
      <c r="CR47" s="132" t="str">
        <f t="array" aca="1" ref="CR47" ca="1">IF($CK47&lt;&gt;"",
INDIRECT(""&amp;IF(COLUMN(CE47)&lt;=26,CHAR(COLUMN(CE47)+64),CHAR(INT((COLUMN(CE47)-1)/26)+64)&amp;CHAR(MOD(COLUMN(CE47)-1,26)+65))&amp;$CK47&amp;""),"")</f>
        <v/>
      </c>
      <c r="CS47" s="132" t="str">
        <f t="array" aca="1" ref="CS47" ca="1">IF($CK47&lt;&gt;"",
INDIRECT(""&amp;IF(COLUMN(CF47)&lt;=26,CHAR(COLUMN(CF47)+64),CHAR(INT((COLUMN(CF47)-1)/26)+64)&amp;CHAR(MOD(COLUMN(CF47)-1,26)+65))&amp;$CK47&amp;""),"")</f>
        <v/>
      </c>
      <c r="CT47" s="132" t="str">
        <f t="array" aca="1" ref="CT47" ca="1">IF($CK47&lt;&gt;"",
INDIRECT(""&amp;IF(COLUMN(CG47)&lt;=26,CHAR(COLUMN(CG47)+64),CHAR(INT((COLUMN(CG47)-1)/26)+64)&amp;CHAR(MOD(COLUMN(CG47)-1,26)+65))&amp;$CK47&amp;""),"")</f>
        <v/>
      </c>
      <c r="CU47" s="132" t="str">
        <f t="array" aca="1" ref="CU47" ca="1">IF($CK47&lt;&gt;"",
INDIRECT(""&amp;IF(COLUMN(CH47)&lt;=26,CHAR(COLUMN(CH47)+64),CHAR(INT((COLUMN(CH47)-1)/26)+64)&amp;CHAR(MOD(COLUMN(CH47)-1,26)+65))&amp;$CK47&amp;""),"")</f>
        <v/>
      </c>
    </row>
    <row r="48" spans="1:99" s="132" customFormat="1" ht="22.2" customHeight="1" x14ac:dyDescent="0.55000000000000004">
      <c r="A48" s="129"/>
      <c r="B48" s="149" t="str">
        <f ca="1">IF(C46&lt;&gt;"","パン箱","")</f>
        <v/>
      </c>
      <c r="C48" s="150" t="str">
        <f ca="1">IF(C46&lt;&gt;"",IF(OR(COUNTIF('盛付札（関数）'!C44,"*キャラ*"),COUNTIF('盛付札（関数）'!C44,"*赤*")),24,
VLOOKUP('盛付札（関数）'!C44,商品マスタ一覧!$D:$I,6,FALSE)),"")</f>
        <v/>
      </c>
      <c r="D48" s="149" t="str">
        <f ca="1">IF(C46&lt;&gt;"","　端数","")</f>
        <v/>
      </c>
      <c r="E48" s="150"/>
      <c r="F48" s="149" t="str">
        <f ca="1">IF(C46&lt;&gt;"","アレルギー","")</f>
        <v/>
      </c>
      <c r="G48" s="159"/>
      <c r="H48" s="129"/>
      <c r="I48" s="149" t="str">
        <f ca="1">IF(J46&lt;&gt;"","パン箱","")</f>
        <v/>
      </c>
      <c r="J48" s="150" t="str">
        <f ca="1">IF(J46&lt;&gt;"",IF(OR(COUNTIF('盛付札（関数）'!J44,"*キャラ*"),COUNTIF('盛付札（関数）'!J44,"*赤*")),24,
VLOOKUP('盛付札（関数）'!J44,商品マスタ一覧!$D:$I,6,FALSE)),"")</f>
        <v/>
      </c>
      <c r="K48" s="149" t="str">
        <f ca="1">IF(J46&lt;&gt;"","　端数","")</f>
        <v/>
      </c>
      <c r="L48" s="150"/>
      <c r="M48" s="149" t="str">
        <f ca="1">IF(J46&lt;&gt;"","アレルギー","")</f>
        <v/>
      </c>
      <c r="N48" s="154"/>
      <c r="O48" s="129"/>
      <c r="P48" s="129"/>
      <c r="Q48" s="149" t="str">
        <f ca="1">IF(R46&lt;&gt;"","パン箱","")</f>
        <v/>
      </c>
      <c r="R48" s="150" t="str">
        <f ca="1">IF(R46&lt;&gt;"",IF(OR(COUNTIF('盛付札（関数）'!R44,"*キャラ*"),COUNTIF('盛付札（関数）'!R44,"*赤*")),24,
VLOOKUP('盛付札（関数）'!R44,商品マスタ一覧!$D:$I,6,FALSE)),"")</f>
        <v/>
      </c>
      <c r="S48" s="149" t="str">
        <f ca="1">IF(R46&lt;&gt;"","　端数","")</f>
        <v/>
      </c>
      <c r="T48" s="150"/>
      <c r="U48" s="149" t="str">
        <f ca="1">IF(R46&lt;&gt;"","アレルギー","")</f>
        <v/>
      </c>
      <c r="V48" s="154"/>
      <c r="W48" s="129"/>
      <c r="X48" s="149" t="str">
        <f ca="1">IF(Y46&lt;&gt;"","パン箱","")</f>
        <v/>
      </c>
      <c r="Y48" s="150" t="str">
        <f ca="1">IF(Y46&lt;&gt;"",IF(OR(COUNTIF('盛付札（関数）'!Y44,"*キャラ*"),COUNTIF('盛付札（関数）'!Y44,"*赤*")),24,
VLOOKUP('盛付札（関数）'!Y44,商品マスタ一覧!$D:$I,6,FALSE)),"")</f>
        <v/>
      </c>
      <c r="Z48" s="149" t="str">
        <f ca="1">IF(Y46&lt;&gt;"","　端数","")</f>
        <v/>
      </c>
      <c r="AA48" s="150"/>
      <c r="AB48" s="149" t="str">
        <f ca="1">IF(Y46&lt;&gt;"","アレルギー","")</f>
        <v/>
      </c>
      <c r="AC48" s="154"/>
      <c r="AD48" s="129"/>
      <c r="AE48" s="129"/>
      <c r="AF48" s="149" t="str">
        <f ca="1">IF(AG46&lt;&gt;"","パン箱","")</f>
        <v/>
      </c>
      <c r="AG48" s="150" t="str">
        <f ca="1">IF(AG46&lt;&gt;"",IF(OR(COUNTIF('盛付札（関数）'!AG44,"*キャラ*"),COUNTIF('盛付札（関数）'!AG44,"*赤*")),24,
VLOOKUP('盛付札（関数）'!AG44,商品マスタ一覧!$D:$I,6,FALSE)),"")</f>
        <v/>
      </c>
      <c r="AH48" s="149" t="str">
        <f ca="1">IF(AG46&lt;&gt;"","　端数","")</f>
        <v/>
      </c>
      <c r="AI48" s="150"/>
      <c r="AJ48" s="149" t="str">
        <f ca="1">IF(AG46&lt;&gt;"","アレルギー","")</f>
        <v/>
      </c>
      <c r="AK48" s="154"/>
      <c r="AL48" s="129"/>
      <c r="AM48" s="149" t="str">
        <f ca="1">IF(AN46&lt;&gt;"","パン箱","")</f>
        <v/>
      </c>
      <c r="AN48" s="150" t="str">
        <f ca="1">IF(AN46&lt;&gt;"",IF(OR(COUNTIF('盛付札（関数）'!AN44,"*キャラ*"),COUNTIF('盛付札（関数）'!AN44,"*赤*")),24,
VLOOKUP('盛付札（関数）'!AN44,商品マスタ一覧!$D:$I,6,FALSE)),"")</f>
        <v/>
      </c>
      <c r="AO48" s="149" t="str">
        <f ca="1">IF(AN46&lt;&gt;"","　端数","")</f>
        <v/>
      </c>
      <c r="AP48" s="150"/>
      <c r="AQ48" s="149" t="str">
        <f ca="1">IF(AN46&lt;&gt;"","アレルギー","")</f>
        <v/>
      </c>
      <c r="AR48" s="154"/>
      <c r="AS48" s="129"/>
      <c r="AT48" s="129"/>
      <c r="AU48" s="149" t="str">
        <f ca="1">IF(AV46&lt;&gt;"","パン箱","")</f>
        <v/>
      </c>
      <c r="AV48" s="150" t="str">
        <f ca="1">IF(AV46&lt;&gt;"",IF(OR(COUNTIF('盛付札（関数）'!AV44,"*キャラ*"),COUNTIF('盛付札（関数）'!AV44,"*赤*")),24,
VLOOKUP('盛付札（関数）'!AV44,商品マスタ一覧!$D:$I,6,FALSE)),"")</f>
        <v/>
      </c>
      <c r="AW48" s="149" t="str">
        <f ca="1">IF(AV46&lt;&gt;"","　端数","")</f>
        <v/>
      </c>
      <c r="AX48" s="150"/>
      <c r="AY48" s="149" t="str">
        <f ca="1">IF(AV46&lt;&gt;"","アレルギー","")</f>
        <v/>
      </c>
      <c r="AZ48" s="154"/>
      <c r="BA48" s="129"/>
      <c r="BB48" s="149" t="str">
        <f ca="1">IF(BC46&lt;&gt;"","パン箱","")</f>
        <v/>
      </c>
      <c r="BC48" s="150" t="str">
        <f ca="1">IF(BC46&lt;&gt;"",IF(OR(COUNTIF('盛付札（関数）'!BC44,"*キャラ*"),COUNTIF('盛付札（関数）'!BC44,"*赤*")),24,
VLOOKUP('盛付札（関数）'!BC44,商品マスタ一覧!$D:$I,6,FALSE)),"")</f>
        <v/>
      </c>
      <c r="BD48" s="149" t="str">
        <f ca="1">IF(BC46&lt;&gt;"","　端数","")</f>
        <v/>
      </c>
      <c r="BE48" s="150"/>
      <c r="BF48" s="149" t="str">
        <f ca="1">IF(BC46&lt;&gt;"","アレルギー","")</f>
        <v/>
      </c>
      <c r="BG48" s="154"/>
      <c r="BH48" s="129"/>
      <c r="BI48" s="129"/>
      <c r="BJ48" s="149" t="str">
        <f ca="1">IF(BK46&lt;&gt;"","パン箱","")</f>
        <v/>
      </c>
      <c r="BK48" s="150" t="str">
        <f ca="1">IF(BK46&lt;&gt;"",IF(OR(COUNTIF('盛付札（関数）'!BK44,"*キャラ*"),COUNTIF('盛付札（関数）'!BK44,"*赤*")),24,
VLOOKUP('盛付札（関数）'!BK44,商品マスタ一覧!$D:$I,6,FALSE)),"")</f>
        <v/>
      </c>
      <c r="BL48" s="149" t="str">
        <f ca="1">IF(BK46&lt;&gt;"","　端数","")</f>
        <v/>
      </c>
      <c r="BM48" s="150"/>
      <c r="BN48" s="149" t="str">
        <f ca="1">IF(BK46&lt;&gt;"","アレルギー","")</f>
        <v/>
      </c>
      <c r="BO48" s="154"/>
      <c r="BP48" s="129"/>
      <c r="BQ48" s="149" t="str">
        <f ca="1">IF(BR46&lt;&gt;"","パン箱","")</f>
        <v/>
      </c>
      <c r="BR48" s="150" t="str">
        <f ca="1">IF(BR46&lt;&gt;"",IF(OR(COUNTIF('盛付札（関数）'!BR44,"*キャラ*"),COUNTIF('盛付札（関数）'!BR44,"*赤*")),24,
VLOOKUP('盛付札（関数）'!BR44,商品マスタ一覧!$D:$I,6,FALSE)),"")</f>
        <v/>
      </c>
      <c r="BS48" s="149" t="str">
        <f ca="1">IF(BR46&lt;&gt;"","　端数","")</f>
        <v/>
      </c>
      <c r="BT48" s="150"/>
      <c r="BU48" s="149" t="str">
        <f ca="1">IF(BR46&lt;&gt;"","アレルギー","")</f>
        <v/>
      </c>
      <c r="BV48" s="154"/>
      <c r="BW48" s="129"/>
      <c r="BX48" s="132">
        <f t="shared" si="2"/>
        <v>77</v>
      </c>
      <c r="BY48" s="132" t="str">
        <f t="array" aca="1" ref="BY48" ca="1">INDIRECT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
&amp;MID(SUBSTITUTE(_xlfn.FORMULATEXT(BY$27),"=",""), LEN(_xlfn.TEXTJOIN("",TRUE,IF(ISERROR(MID(SUBSTITUTE(_xlfn.FORMULATEXT(BY$27),"=",""),ROW(INDIRECT("1:"&amp;LEN(SUBSTITUTE(_xlfn.FORMULATEXT(BY$27),"=","")))),1)*1),MID(SUBSTITUTE(_xlfn.FORMULATEXT(BY$27),"=",""),ROW(INDIRECT("1:"&amp;LEN(SUBSTITUTE(_xlfn.FORMULATEXT(BY$27),"=","")))),1),"")))+1, LEN(SUBSTITUTE(_xlfn.FORMULATEXT(BY$27),"=","")))+$BX48)</f>
        <v/>
      </c>
      <c r="BZ48" s="132" t="str">
        <f t="array" aca="1" ref="BZ48" ca="1">INDIRECT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
&amp;MID(SUBSTITUTE(_xlfn.FORMULATEXT(BZ$27),"=",""), LEN(_xlfn.TEXTJOIN("",TRUE,IF(ISERROR(MID(SUBSTITUTE(_xlfn.FORMULATEXT(BZ$27),"=",""),ROW(INDIRECT("1:"&amp;LEN(SUBSTITUTE(_xlfn.FORMULATEXT(BZ$27),"=","")))),1)*1),MID(SUBSTITUTE(_xlfn.FORMULATEXT(BZ$27),"=",""),ROW(INDIRECT("1:"&amp;LEN(SUBSTITUTE(_xlfn.FORMULATEXT(BZ$27),"=","")))),1),"")))+1, LEN(SUBSTITUTE(_xlfn.FORMULATEXT(BZ$27),"=","")))+$BX48)</f>
        <v/>
      </c>
      <c r="CA48" s="132" t="str">
        <f t="array" aca="1" ref="CA48" ca="1">INDIRECT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
&amp;MID(SUBSTITUTE(_xlfn.FORMULATEXT(CA$27),"=",""), LEN(_xlfn.TEXTJOIN("",TRUE,IF(ISERROR(MID(SUBSTITUTE(_xlfn.FORMULATEXT(CA$27),"=",""),ROW(INDIRECT("1:"&amp;LEN(SUBSTITUTE(_xlfn.FORMULATEXT(CA$27),"=","")))),1)*1),MID(SUBSTITUTE(_xlfn.FORMULATEXT(CA$27),"=",""),ROW(INDIRECT("1:"&amp;LEN(SUBSTITUTE(_xlfn.FORMULATEXT(CA$27),"=","")))),1),"")))+1, LEN(SUBSTITUTE(_xlfn.FORMULATEXT(CA$27),"=","")))+$BX48)</f>
        <v/>
      </c>
      <c r="CB48" s="132" t="str">
        <f t="array" aca="1" ref="CB48" ca="1">INDIRECT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
&amp;MID(SUBSTITUTE(_xlfn.FORMULATEXT(CB$27),"=",""), LEN(_xlfn.TEXTJOIN("",TRUE,IF(ISERROR(MID(SUBSTITUTE(_xlfn.FORMULATEXT(CB$27),"=",""),ROW(INDIRECT("1:"&amp;LEN(SUBSTITUTE(_xlfn.FORMULATEXT(CB$27),"=","")))),1)*1),MID(SUBSTITUTE(_xlfn.FORMULATEXT(CB$27),"=",""),ROW(INDIRECT("1:"&amp;LEN(SUBSTITUTE(_xlfn.FORMULATEXT(CB$27),"=","")))),1),"")))+1, LEN(SUBSTITUTE(_xlfn.FORMULATEXT(CB$27),"=","")))+$BX48)</f>
        <v/>
      </c>
      <c r="CC48" s="132" t="str">
        <f t="array" aca="1" ref="CC48" ca="1">INDIRECT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
&amp;MID(SUBSTITUTE(_xlfn.FORMULATEXT(CC$27),"=",""), LEN(_xlfn.TEXTJOIN("",TRUE,IF(ISERROR(MID(SUBSTITUTE(_xlfn.FORMULATEXT(CC$27),"=",""),ROW(INDIRECT("1:"&amp;LEN(SUBSTITUTE(_xlfn.FORMULATEXT(CC$27),"=","")))),1)*1),MID(SUBSTITUTE(_xlfn.FORMULATEXT(CC$27),"=",""),ROW(INDIRECT("1:"&amp;LEN(SUBSTITUTE(_xlfn.FORMULATEXT(CC$27),"=","")))),1),"")))+1, LEN(SUBSTITUTE(_xlfn.FORMULATEXT(CC$27),"=","")))+$BX48)</f>
        <v/>
      </c>
      <c r="CD48" s="132" t="str">
        <f t="array" aca="1" ref="CD48" ca="1">INDIRECT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
&amp;MID(SUBSTITUTE(_xlfn.FORMULATEXT(CD$27),"=",""), LEN(_xlfn.TEXTJOIN("",TRUE,IF(ISERROR(MID(SUBSTITUTE(_xlfn.FORMULATEXT(CD$27),"=",""),ROW(INDIRECT("1:"&amp;LEN(SUBSTITUTE(_xlfn.FORMULATEXT(CD$27),"=","")))),1)*1),MID(SUBSTITUTE(_xlfn.FORMULATEXT(CD$27),"=",""),ROW(INDIRECT("1:"&amp;LEN(SUBSTITUTE(_xlfn.FORMULATEXT(CD$27),"=","")))),1),"")))+1, LEN(SUBSTITUTE(_xlfn.FORMULATEXT(CD$27),"=","")))+$BX48)</f>
        <v/>
      </c>
      <c r="CE48" s="132" t="str">
        <f t="array" aca="1" ref="CE48" ca="1">INDIRECT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
&amp;MID(SUBSTITUTE(_xlfn.FORMULATEXT(CE$27),"=",""), LEN(_xlfn.TEXTJOIN("",TRUE,IF(ISERROR(MID(SUBSTITUTE(_xlfn.FORMULATEXT(CE$27),"=",""),ROW(INDIRECT("1:"&amp;LEN(SUBSTITUTE(_xlfn.FORMULATEXT(CE$27),"=","")))),1)*1),MID(SUBSTITUTE(_xlfn.FORMULATEXT(CE$27),"=",""),ROW(INDIRECT("1:"&amp;LEN(SUBSTITUTE(_xlfn.FORMULATEXT(CE$27),"=","")))),1),"")))+1, LEN(SUBSTITUTE(_xlfn.FORMULATEXT(CE$27),"=","")))+$BX48)</f>
        <v/>
      </c>
      <c r="CF48" s="132" t="str">
        <f t="array" aca="1" ref="CF48" ca="1">INDIRECT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
&amp;MID(SUBSTITUTE(_xlfn.FORMULATEXT(CF$27),"=",""), LEN(_xlfn.TEXTJOIN("",TRUE,IF(ISERROR(MID(SUBSTITUTE(_xlfn.FORMULATEXT(CF$27),"=",""),ROW(INDIRECT("1:"&amp;LEN(SUBSTITUTE(_xlfn.FORMULATEXT(CF$27),"=","")))),1)*1),MID(SUBSTITUTE(_xlfn.FORMULATEXT(CF$27),"=",""),ROW(INDIRECT("1:"&amp;LEN(SUBSTITUTE(_xlfn.FORMULATEXT(CF$27),"=","")))),1),"")))+1, LEN(SUBSTITUTE(_xlfn.FORMULATEXT(CF$27),"=","")))+$BX48)</f>
        <v/>
      </c>
      <c r="CG48" s="132" t="str">
        <f t="array" aca="1" ref="CG48" ca="1">INDIRECT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
&amp;MID(SUBSTITUTE(_xlfn.FORMULATEXT(CG$27),"=",""), LEN(_xlfn.TEXTJOIN("",TRUE,IF(ISERROR(MID(SUBSTITUTE(_xlfn.FORMULATEXT(CG$27),"=",""),ROW(INDIRECT("1:"&amp;LEN(SUBSTITUTE(_xlfn.FORMULATEXT(CG$27),"=","")))),1)*1),MID(SUBSTITUTE(_xlfn.FORMULATEXT(CG$27),"=",""),ROW(INDIRECT("1:"&amp;LEN(SUBSTITUTE(_xlfn.FORMULATEXT(CG$27),"=","")))),1),"")))+1, LEN(SUBSTITUTE(_xlfn.FORMULATEXT(CG$27),"=","")))+$BX48)</f>
        <v/>
      </c>
      <c r="CH48" s="132" t="str">
        <f t="array" aca="1" ref="CH48" ca="1">INDIRECT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
&amp;MID(SUBSTITUTE(_xlfn.FORMULATEXT(CH$27),"=",""), LEN(_xlfn.TEXTJOIN("",TRUE,IF(ISERROR(MID(SUBSTITUTE(_xlfn.FORMULATEXT(CH$27),"=",""),ROW(INDIRECT("1:"&amp;LEN(SUBSTITUTE(_xlfn.FORMULATEXT(CH$27),"=","")))),1)*1),MID(SUBSTITUTE(_xlfn.FORMULATEXT(CH$27),"=",""),ROW(INDIRECT("1:"&amp;LEN(SUBSTITUTE(_xlfn.FORMULATEXT(CH$27),"=","")))),1),"")))+1, LEN(SUBSTITUTE(_xlfn.FORMULATEXT(CH$27),"=","")))+$BX48)</f>
        <v/>
      </c>
      <c r="CI48" s="132">
        <f t="shared" ca="1" si="3"/>
        <v>0</v>
      </c>
      <c r="CJ48" s="132" t="b">
        <f t="array" aca="1" ref="CJ48" ca="1">SUMPRODUCT((LEN(BY48:CH48)&gt;0)*1)&gt;0</f>
        <v>0</v>
      </c>
      <c r="CK48" s="132" t="str" cm="1">
        <f t="array" aca="1" ref="CK48" ca="1">IFERROR(SMALL(IF(CI$1:CI$150&lt;&gt;0,CI$1:CI$150),ROW(A48)),"")</f>
        <v/>
      </c>
      <c r="CL48" s="132" t="str">
        <f t="array" aca="1" ref="CL48" ca="1">IF($CK48&lt;&gt;"",
INDIRECT(""&amp;IF(COLUMN(BY48)&lt;=26,CHAR(COLUMN(BY48)+64),CHAR(INT((COLUMN(BY48)-1)/26)+64)&amp;CHAR(MOD(COLUMN(BY48)-1,26)+65))&amp;$CK48&amp;""),"")</f>
        <v/>
      </c>
      <c r="CM48" s="132" t="str">
        <f t="array" aca="1" ref="CM48" ca="1">IF($CK48&lt;&gt;"",
INDIRECT(""&amp;IF(COLUMN(BZ48)&lt;=26,CHAR(COLUMN(BZ48)+64),CHAR(INT((COLUMN(BZ48)-1)/26)+64)&amp;CHAR(MOD(COLUMN(BZ48)-1,26)+65))&amp;$CK48&amp;""),"")</f>
        <v/>
      </c>
      <c r="CN48" s="132" t="str">
        <f t="array" aca="1" ref="CN48" ca="1">IF($CK48&lt;&gt;"",
INDIRECT(""&amp;IF(COLUMN(CA48)&lt;=26,CHAR(COLUMN(CA48)+64),CHAR(INT((COLUMN(CA48)-1)/26)+64)&amp;CHAR(MOD(COLUMN(CA48)-1,26)+65))&amp;$CK48&amp;""),"")</f>
        <v/>
      </c>
      <c r="CO48" s="132" t="str">
        <f t="array" aca="1" ref="CO48" ca="1">IF($CK48&lt;&gt;"",
INDIRECT(""&amp;IF(COLUMN(CB48)&lt;=26,CHAR(COLUMN(CB48)+64),CHAR(INT((COLUMN(CB48)-1)/26)+64)&amp;CHAR(MOD(COLUMN(CB48)-1,26)+65))&amp;$CK48&amp;""),"")</f>
        <v/>
      </c>
      <c r="CP48" s="132" t="str">
        <f t="array" aca="1" ref="CP48" ca="1">IF($CK48&lt;&gt;"",
INDIRECT(""&amp;IF(COLUMN(CC48)&lt;=26,CHAR(COLUMN(CC48)+64),CHAR(INT((COLUMN(CC48)-1)/26)+64)&amp;CHAR(MOD(COLUMN(CC48)-1,26)+65))&amp;$CK48&amp;""),"")</f>
        <v/>
      </c>
      <c r="CQ48" s="132" t="str">
        <f t="array" aca="1" ref="CQ48" ca="1">IF($CK48&lt;&gt;"",
INDIRECT(""&amp;IF(COLUMN(CD48)&lt;=26,CHAR(COLUMN(CD48)+64),CHAR(INT((COLUMN(CD48)-1)/26)+64)&amp;CHAR(MOD(COLUMN(CD48)-1,26)+65))&amp;$CK48&amp;""),"")</f>
        <v/>
      </c>
      <c r="CR48" s="132" t="str">
        <f t="array" aca="1" ref="CR48" ca="1">IF($CK48&lt;&gt;"",
INDIRECT(""&amp;IF(COLUMN(CE48)&lt;=26,CHAR(COLUMN(CE48)+64),CHAR(INT((COLUMN(CE48)-1)/26)+64)&amp;CHAR(MOD(COLUMN(CE48)-1,26)+65))&amp;$CK48&amp;""),"")</f>
        <v/>
      </c>
      <c r="CS48" s="132" t="str">
        <f t="array" aca="1" ref="CS48" ca="1">IF($CK48&lt;&gt;"",
INDIRECT(""&amp;IF(COLUMN(CF48)&lt;=26,CHAR(COLUMN(CF48)+64),CHAR(INT((COLUMN(CF48)-1)/26)+64)&amp;CHAR(MOD(COLUMN(CF48)-1,26)+65))&amp;$CK48&amp;""),"")</f>
        <v/>
      </c>
      <c r="CT48" s="132" t="str">
        <f t="array" aca="1" ref="CT48" ca="1">IF($CK48&lt;&gt;"",
INDIRECT(""&amp;IF(COLUMN(CG48)&lt;=26,CHAR(COLUMN(CG48)+64),CHAR(INT((COLUMN(CG48)-1)/26)+64)&amp;CHAR(MOD(COLUMN(CG48)-1,26)+65))&amp;$CK48&amp;""),"")</f>
        <v/>
      </c>
      <c r="CU48" s="132" t="str">
        <f t="array" aca="1" ref="CU48" ca="1">IF($CK48&lt;&gt;"",
INDIRECT(""&amp;IF(COLUMN(CH48)&lt;=26,CHAR(COLUMN(CH48)+64),CHAR(INT((COLUMN(CH48)-1)/26)+64)&amp;CHAR(MOD(COLUMN(CH48)-1,26)+65))&amp;$CK48&amp;""),"")</f>
        <v/>
      </c>
    </row>
    <row r="49" spans="1:99" ht="21" customHeight="1" x14ac:dyDescent="0.45">
      <c r="B49" s="124" t="str">
        <f ca="1">IF(C46&lt;&gt;"",
IFERROR(INT(C46/C48),""),"")</f>
        <v/>
      </c>
      <c r="C49" s="151"/>
      <c r="D49" s="124" t="str">
        <f ca="1">IFERROR(MOD(C46,C48),"")</f>
        <v/>
      </c>
      <c r="E49" s="151"/>
      <c r="F49" s="118" t="str">
        <f t="array" aca="1" ref="F49" ca="1">IF(C43&lt;&gt;"",
IF(IFERROR(
INDEX(INDIRECT("'数出表_Excel（アレルギー入力）'!"&amp;B43&amp;MATCH(G1,'数出表_Excel（アレルギー入力）'!$A:$A,0)-1&amp;":AC"&amp;MATCH(G1,'数出表_Excel（アレルギー入力）'!$A:$A,0)-1&amp;""),
 1,
MATCH(C46,INDIRECT("'数出表_Excel（アレルギー入力）'!"&amp;B43&amp;B1-1&amp;":AC"&amp;B1-1&amp;""),0)+1),
 "")&lt;&gt;0,
IF(IFERROR(
INDEX(INDIRECT("'数出表_Excel（アレルギー入力）'!"&amp;B43&amp;MATCH(G1,'数出表_Excel（アレルギー入力）'!$A:$A,0)-1&amp;":AC"&amp;MATCH(G1,'数出表_Excel（アレルギー入力）'!$A:$A,0)-1&amp;""),
 1,
MATCH(C46,INDIRECT("'数出表_Excel（アレルギー入力）'!"&amp;B43&amp;B1-1&amp;":AC"&amp;B1-1&amp;""),0)+1),
 "")="",
IFERROR(
INDEX(INDIRECT("'数出表_Excel（アレルギー入力）'!B"&amp;MATCH(G1,'数出表_Excel（アレルギー入力）'!$A:$A,0)-1&amp;":AC"&amp;MATCH(G1,'数出表_Excel（アレルギー入力）'!$A:$A,0)-1&amp;""),
 1,
MATCH(TRUE,INDEX(INDIRECT("'数出表_Excel（アレルギー入力）'!B"&amp;B1-1&amp;":AC"&amp;B1-1&amp;"")&lt;&gt;"",0),0)+1),
 ""),
IFERROR(
INDEX(INDIRECT("'数出表_Excel（アレルギー入力）'!"&amp;B43&amp;MATCH(G1,'数出表_Excel（アレルギー入力）'!$A:$A,0)-1&amp;":AC"&amp;MATCH(G1,'数出表_Excel（アレルギー入力）'!$A:$A,0)-1&amp;""),
 1,
MATCH(C46,INDIRECT("'数出表_Excel（アレルギー入力）'!"&amp;B43&amp;B1-1&amp;":AC"&amp;B1-1&amp;""),0)+1),
 "")),0),"")</f>
        <v/>
      </c>
      <c r="G49" s="151"/>
      <c r="I49" s="124" t="str">
        <f ca="1">IF(J46&lt;&gt;"",
IFERROR(INT(J46/J48),""),"")</f>
        <v/>
      </c>
      <c r="J49" s="151"/>
      <c r="K49" s="124" t="str">
        <f ca="1">IFERROR(MOD(J46,J48),"")</f>
        <v/>
      </c>
      <c r="L49" s="151"/>
      <c r="M49" s="118" t="str">
        <f t="array" aca="1" ref="M49" ca="1">IF(J43&lt;&gt;"",
IF(IFERROR(
INDEX(INDIRECT("'数出表_Excel（アレルギー入力）'!"&amp;I43&amp;MATCH(N1,'数出表_Excel（アレルギー入力）'!$A:$A,0)-1&amp;":AC"&amp;MATCH(N1,'数出表_Excel（アレルギー入力）'!$A:$A,0)-1&amp;""),
 1,
MATCH(J46,INDIRECT("'数出表_Excel（アレルギー入力）'!"&amp;I43&amp;I1-1&amp;":AC"&amp;I1-1&amp;""),0)+1),
 "")&lt;&gt;0,
IF(IFERROR(
INDEX(INDIRECT("'数出表_Excel（アレルギー入力）'!"&amp;I43&amp;MATCH(N1,'数出表_Excel（アレルギー入力）'!$A:$A,0)-1&amp;":AC"&amp;MATCH(N1,'数出表_Excel（アレルギー入力）'!$A:$A,0)-1&amp;""),
 1,
MATCH(J46,INDIRECT("'数出表_Excel（アレルギー入力）'!"&amp;I43&amp;I1-1&amp;":AC"&amp;I1-1&amp;""),0)+1),
 "")="",
IFERROR(
INDEX(INDIRECT("'数出表_Excel（アレルギー入力）'!B"&amp;MATCH(N1,'数出表_Excel（アレルギー入力）'!$A:$A,0)-1&amp;":AC"&amp;MATCH(N1,'数出表_Excel（アレルギー入力）'!$A:$A,0)-1&amp;""),
 1,
MATCH(TRUE,INDEX(INDIRECT("'数出表_Excel（アレルギー入力）'!B"&amp;I1-1&amp;":AC"&amp;I1-1&amp;"")&lt;&gt;"",0),0)+1),
 ""),
IFERROR(
INDEX(INDIRECT("'数出表_Excel（アレルギー入力）'!"&amp;I43&amp;MATCH(N1,'数出表_Excel（アレルギー入力）'!$A:$A,0)-1&amp;":AC"&amp;MATCH(N1,'数出表_Excel（アレルギー入力）'!$A:$A,0)-1&amp;""),
 1,
MATCH(J46,INDIRECT("'数出表_Excel（アレルギー入力）'!"&amp;I43&amp;I1-1&amp;":AC"&amp;I1-1&amp;""),0)+1),
 "")),0),"")</f>
        <v/>
      </c>
      <c r="N49" s="151"/>
      <c r="Q49" s="124" t="str">
        <f ca="1">IF(R46&lt;&gt;"",
IFERROR(INT(R46/R48),""),"")</f>
        <v/>
      </c>
      <c r="R49" s="151"/>
      <c r="S49" s="124" t="str">
        <f ca="1">IFERROR(MOD(R46,R48),"")</f>
        <v/>
      </c>
      <c r="T49" s="151"/>
      <c r="U49" s="118" t="str">
        <f t="array" aca="1" ref="U49" ca="1">IF(R43&lt;&gt;"",
IF(IFERROR(
INDEX(INDIRECT("'数出表_Excel（アレルギー入力）'!"&amp;Q43&amp;MATCH(V1,'数出表_Excel（アレルギー入力）'!$A:$A,0)-1&amp;":AC"&amp;MATCH(V1,'数出表_Excel（アレルギー入力）'!$A:$A,0)-1&amp;""),
 1,
MATCH(R46,INDIRECT("'数出表_Excel（アレルギー入力）'!"&amp;Q43&amp;Q1-1&amp;":AC"&amp;Q1-1&amp;""),0)+1),
 "")&lt;&gt;0,
IF(IFERROR(
INDEX(INDIRECT("'数出表_Excel（アレルギー入力）'!"&amp;Q43&amp;MATCH(V1,'数出表_Excel（アレルギー入力）'!$A:$A,0)-1&amp;":AC"&amp;MATCH(V1,'数出表_Excel（アレルギー入力）'!$A:$A,0)-1&amp;""),
 1,
MATCH(R46,INDIRECT("'数出表_Excel（アレルギー入力）'!"&amp;Q43&amp;Q1-1&amp;":AC"&amp;Q1-1&amp;""),0)+1),
 "")="",
IFERROR(
INDEX(INDIRECT("'数出表_Excel（アレルギー入力）'!B"&amp;MATCH(V1,'数出表_Excel（アレルギー入力）'!$A:$A,0)-1&amp;":AC"&amp;MATCH(V1,'数出表_Excel（アレルギー入力）'!$A:$A,0)-1&amp;""),
 1,
MATCH(TRUE,INDEX(INDIRECT("'数出表_Excel（アレルギー入力）'!B"&amp;Q1-1&amp;":AC"&amp;Q1-1&amp;"")&lt;&gt;"",0),0)+1),
 ""),
IFERROR(
INDEX(INDIRECT("'数出表_Excel（アレルギー入力）'!"&amp;Q43&amp;MATCH(V1,'数出表_Excel（アレルギー入力）'!$A:$A,0)-1&amp;":AC"&amp;MATCH(V1,'数出表_Excel（アレルギー入力）'!$A:$A,0)-1&amp;""),
 1,
MATCH(R46,INDIRECT("'数出表_Excel（アレルギー入力）'!"&amp;Q43&amp;Q1-1&amp;":AC"&amp;Q1-1&amp;""),0)+1),
 "")),0),"")</f>
        <v/>
      </c>
      <c r="V49" s="151"/>
      <c r="X49" s="124" t="str">
        <f ca="1">IF(Y46&lt;&gt;"",
IFERROR(INT(Y46/Y48),""),"")</f>
        <v/>
      </c>
      <c r="Y49" s="151"/>
      <c r="Z49" s="124" t="str">
        <f ca="1">IFERROR(MOD(Y46,Y48),"")</f>
        <v/>
      </c>
      <c r="AA49" s="151"/>
      <c r="AB49" s="118" t="str">
        <f t="array" aca="1" ref="AB49" ca="1">IF(Y43&lt;&gt;"",
IF(IFERROR(
INDEX(INDIRECT("'数出表_Excel（アレルギー入力）'!"&amp;X43&amp;MATCH(AC1,'数出表_Excel（アレルギー入力）'!$A:$A,0)-1&amp;":AC"&amp;MATCH(AC1,'数出表_Excel（アレルギー入力）'!$A:$A,0)-1&amp;""),
 1,
MATCH(Y46,INDIRECT("'数出表_Excel（アレルギー入力）'!"&amp;X43&amp;X1-1&amp;":AC"&amp;X1-1&amp;""),0)+1),
 "")&lt;&gt;0,
IF(IFERROR(
INDEX(INDIRECT("'数出表_Excel（アレルギー入力）'!"&amp;X43&amp;MATCH(AC1,'数出表_Excel（アレルギー入力）'!$A:$A,0)-1&amp;":AC"&amp;MATCH(AC1,'数出表_Excel（アレルギー入力）'!$A:$A,0)-1&amp;""),
 1,
MATCH(Y46,INDIRECT("'数出表_Excel（アレルギー入力）'!"&amp;X43&amp;X1-1&amp;":AC"&amp;X1-1&amp;""),0)+1),
 "")="",
IFERROR(
INDEX(INDIRECT("'数出表_Excel（アレルギー入力）'!B"&amp;MATCH(AC1,'数出表_Excel（アレルギー入力）'!$A:$A,0)-1&amp;":AC"&amp;MATCH(AC1,'数出表_Excel（アレルギー入力）'!$A:$A,0)-1&amp;""),
 1,
MATCH(TRUE,INDEX(INDIRECT("'数出表_Excel（アレルギー入力）'!B"&amp;X1-1&amp;":AC"&amp;X1-1&amp;"")&lt;&gt;"",0),0)+1),
 ""),
IFERROR(
INDEX(INDIRECT("'数出表_Excel（アレルギー入力）'!"&amp;X43&amp;MATCH(AC1,'数出表_Excel（アレルギー入力）'!$A:$A,0)-1&amp;":AC"&amp;MATCH(AC1,'数出表_Excel（アレルギー入力）'!$A:$A,0)-1&amp;""),
 1,
MATCH(Y46,INDIRECT("'数出表_Excel（アレルギー入力）'!"&amp;X43&amp;X1-1&amp;":AC"&amp;X1-1&amp;""),0)+1),
 "")),0),"")</f>
        <v/>
      </c>
      <c r="AC49" s="151"/>
      <c r="AF49" s="124" t="str">
        <f ca="1">IF(AG46&lt;&gt;"",
IFERROR(INT(AG46/AG48),""),"")</f>
        <v/>
      </c>
      <c r="AG49" s="151"/>
      <c r="AH49" s="124" t="str">
        <f ca="1">IFERROR(MOD(AG46,AG48),"")</f>
        <v/>
      </c>
      <c r="AI49" s="151"/>
      <c r="AJ49" s="118" t="str">
        <f t="array" aca="1" ref="AJ49" ca="1">IF(AG43&lt;&gt;"",
IF(IFERROR(
INDEX(INDIRECT("'数出表_Excel（アレルギー入力）'!"&amp;AF43&amp;MATCH(AK1,'数出表_Excel（アレルギー入力）'!$A:$A,0)-1&amp;":AC"&amp;MATCH(AK1,'数出表_Excel（アレルギー入力）'!$A:$A,0)-1&amp;""),
 1,
MATCH(AG46,INDIRECT("'数出表_Excel（アレルギー入力）'!"&amp;AF43&amp;AF1-1&amp;":AC"&amp;AF1-1&amp;""),0)+1),
 "")&lt;&gt;0,
IF(IFERROR(
INDEX(INDIRECT("'数出表_Excel（アレルギー入力）'!"&amp;AF43&amp;MATCH(AK1,'数出表_Excel（アレルギー入力）'!$A:$A,0)-1&amp;":AC"&amp;MATCH(AK1,'数出表_Excel（アレルギー入力）'!$A:$A,0)-1&amp;""),
 1,
MATCH(AG46,INDIRECT("'数出表_Excel（アレルギー入力）'!"&amp;AF43&amp;AF1-1&amp;":AC"&amp;AF1-1&amp;""),0)+1),
 "")="",
IFERROR(
INDEX(INDIRECT("'数出表_Excel（アレルギー入力）'!B"&amp;MATCH(AK1,'数出表_Excel（アレルギー入力）'!$A:$A,0)-1&amp;":AC"&amp;MATCH(AK1,'数出表_Excel（アレルギー入力）'!$A:$A,0)-1&amp;""),
 1,
MATCH(TRUE,INDEX(INDIRECT("'数出表_Excel（アレルギー入力）'!B"&amp;AF1-1&amp;":AC"&amp;AF1-1&amp;"")&lt;&gt;"",0),0)+1),
 ""),
IFERROR(
INDEX(INDIRECT("'数出表_Excel（アレルギー入力）'!"&amp;AF43&amp;MATCH(AK1,'数出表_Excel（アレルギー入力）'!$A:$A,0)-1&amp;":AC"&amp;MATCH(AK1,'数出表_Excel（アレルギー入力）'!$A:$A,0)-1&amp;""),
 1,
MATCH(AG46,INDIRECT("'数出表_Excel（アレルギー入力）'!"&amp;AF43&amp;AF1-1&amp;":AC"&amp;AF1-1&amp;""),0)+1),
 "")),0),"")</f>
        <v/>
      </c>
      <c r="AK49" s="151"/>
      <c r="AM49" s="124" t="str">
        <f ca="1">IF(AN46&lt;&gt;"",
IFERROR(INT(AN46/AN48),""),"")</f>
        <v/>
      </c>
      <c r="AN49" s="151"/>
      <c r="AO49" s="124" t="str">
        <f ca="1">IFERROR(MOD(AN46,AN48),"")</f>
        <v/>
      </c>
      <c r="AP49" s="151"/>
      <c r="AQ49" s="118" t="str">
        <f t="array" aca="1" ref="AQ49" ca="1">IF(AN43&lt;&gt;"",
IF(IFERROR(
INDEX(INDIRECT("'数出表_Excel（アレルギー入力）'!"&amp;AM43&amp;MATCH(AR1,'数出表_Excel（アレルギー入力）'!$A:$A,0)-1&amp;":AC"&amp;MATCH(AR1,'数出表_Excel（アレルギー入力）'!$A:$A,0)-1&amp;""),
 1,
MATCH(AN46,INDIRECT("'数出表_Excel（アレルギー入力）'!"&amp;AM43&amp;AM1-1&amp;":AC"&amp;AM1-1&amp;""),0)+1),
 "")&lt;&gt;0,
IF(IFERROR(
INDEX(INDIRECT("'数出表_Excel（アレルギー入力）'!"&amp;AM43&amp;MATCH(AR1,'数出表_Excel（アレルギー入力）'!$A:$A,0)-1&amp;":AC"&amp;MATCH(AR1,'数出表_Excel（アレルギー入力）'!$A:$A,0)-1&amp;""),
 1,
MATCH(AN46,INDIRECT("'数出表_Excel（アレルギー入力）'!"&amp;AM43&amp;AM1-1&amp;":AC"&amp;AM1-1&amp;""),0)+1),
 "")="",
IFERROR(
INDEX(INDIRECT("'数出表_Excel（アレルギー入力）'!B"&amp;MATCH(AR1,'数出表_Excel（アレルギー入力）'!$A:$A,0)-1&amp;":AC"&amp;MATCH(AR1,'数出表_Excel（アレルギー入力）'!$A:$A,0)-1&amp;""),
 1,
MATCH(TRUE,INDEX(INDIRECT("'数出表_Excel（アレルギー入力）'!B"&amp;AM1-1&amp;":AC"&amp;AM1-1&amp;"")&lt;&gt;"",0),0)+1),
 ""),
IFERROR(
INDEX(INDIRECT("'数出表_Excel（アレルギー入力）'!"&amp;AM43&amp;MATCH(AR1,'数出表_Excel（アレルギー入力）'!$A:$A,0)-1&amp;":AC"&amp;MATCH(AR1,'数出表_Excel（アレルギー入力）'!$A:$A,0)-1&amp;""),
 1,
MATCH(AN46,INDIRECT("'数出表_Excel（アレルギー入力）'!"&amp;AM43&amp;AM1-1&amp;":AC"&amp;AM1-1&amp;""),0)+1),
 "")),0),"")</f>
        <v/>
      </c>
      <c r="AR49" s="151"/>
      <c r="AU49" s="124" t="str">
        <f ca="1">IF(AV46&lt;&gt;"",
IFERROR(INT(AV46/AV48),""),"")</f>
        <v/>
      </c>
      <c r="AV49" s="151"/>
      <c r="AW49" s="124" t="str">
        <f ca="1">IFERROR(MOD(AV46,AV48),"")</f>
        <v/>
      </c>
      <c r="AX49" s="151"/>
      <c r="AY49" s="118" t="str">
        <f t="array" aca="1" ref="AY49" ca="1">IF(AV43&lt;&gt;"",
IF(IFERROR(
INDEX(INDIRECT("'数出表_Excel（アレルギー入力）'!"&amp;AU43&amp;MATCH(AZ1,'数出表_Excel（アレルギー入力）'!$A:$A,0)-1&amp;":AC"&amp;MATCH(AZ1,'数出表_Excel（アレルギー入力）'!$A:$A,0)-1&amp;""),
 1,
MATCH(AV46,INDIRECT("'数出表_Excel（アレルギー入力）'!"&amp;AU43&amp;AU1-1&amp;":AC"&amp;AU1-1&amp;""),0)+1),
 "")&lt;&gt;0,
IF(IFERROR(
INDEX(INDIRECT("'数出表_Excel（アレルギー入力）'!"&amp;AU43&amp;MATCH(AZ1,'数出表_Excel（アレルギー入力）'!$A:$A,0)-1&amp;":AC"&amp;MATCH(AZ1,'数出表_Excel（アレルギー入力）'!$A:$A,0)-1&amp;""),
 1,
MATCH(AV46,INDIRECT("'数出表_Excel（アレルギー入力）'!"&amp;AU43&amp;AU1-1&amp;":AC"&amp;AU1-1&amp;""),0)+1),
 "")="",
IFERROR(
INDEX(INDIRECT("'数出表_Excel（アレルギー入力）'!B"&amp;MATCH(AZ1,'数出表_Excel（アレルギー入力）'!$A:$A,0)-1&amp;":AC"&amp;MATCH(AZ1,'数出表_Excel（アレルギー入力）'!$A:$A,0)-1&amp;""),
 1,
MATCH(TRUE,INDEX(INDIRECT("'数出表_Excel（アレルギー入力）'!B"&amp;AU1-1&amp;":AC"&amp;AU1-1&amp;"")&lt;&gt;"",0),0)+1),
 ""),
IFERROR(
INDEX(INDIRECT("'数出表_Excel（アレルギー入力）'!"&amp;AU43&amp;MATCH(AZ1,'数出表_Excel（アレルギー入力）'!$A:$A,0)-1&amp;":AC"&amp;MATCH(AZ1,'数出表_Excel（アレルギー入力）'!$A:$A,0)-1&amp;""),
 1,
MATCH(AV46,INDIRECT("'数出表_Excel（アレルギー入力）'!"&amp;AU43&amp;AU1-1&amp;":AC"&amp;AU1-1&amp;""),0)+1),
 "")),0),"")</f>
        <v/>
      </c>
      <c r="AZ49" s="151"/>
      <c r="BB49" s="124" t="str">
        <f ca="1">IF(BC46&lt;&gt;"",
IFERROR(INT(BC46/BC48),""),"")</f>
        <v/>
      </c>
      <c r="BC49" s="151"/>
      <c r="BD49" s="124" t="str">
        <f ca="1">IFERROR(MOD(BC46,BC48),"")</f>
        <v/>
      </c>
      <c r="BE49" s="151"/>
      <c r="BF49" s="118" t="str">
        <f t="array" aca="1" ref="BF49" ca="1">IF(BC43&lt;&gt;"",
IF(IFERROR(
INDEX(INDIRECT("'数出表_Excel（アレルギー入力）'!"&amp;BB43&amp;MATCH(BG1,'数出表_Excel（アレルギー入力）'!$A:$A,0)-1&amp;":AC"&amp;MATCH(BG1,'数出表_Excel（アレルギー入力）'!$A:$A,0)-1&amp;""),
 1,
MATCH(BC46,INDIRECT("'数出表_Excel（アレルギー入力）'!"&amp;BB43&amp;BB1-1&amp;":AC"&amp;BB1-1&amp;""),0)+1),
 "")&lt;&gt;0,
IF(IFERROR(
INDEX(INDIRECT("'数出表_Excel（アレルギー入力）'!"&amp;BB43&amp;MATCH(BG1,'数出表_Excel（アレルギー入力）'!$A:$A,0)-1&amp;":AC"&amp;MATCH(BG1,'数出表_Excel（アレルギー入力）'!$A:$A,0)-1&amp;""),
 1,
MATCH(BC46,INDIRECT("'数出表_Excel（アレルギー入力）'!"&amp;BB43&amp;BB1-1&amp;":AC"&amp;BB1-1&amp;""),0)+1),
 "")="",
IFERROR(
INDEX(INDIRECT("'数出表_Excel（アレルギー入力）'!B"&amp;MATCH(BG1,'数出表_Excel（アレルギー入力）'!$A:$A,0)-1&amp;":AC"&amp;MATCH(BG1,'数出表_Excel（アレルギー入力）'!$A:$A,0)-1&amp;""),
 1,
MATCH(TRUE,INDEX(INDIRECT("'数出表_Excel（アレルギー入力）'!B"&amp;BB1-1&amp;":AC"&amp;BB1-1&amp;"")&lt;&gt;"",0),0)+1),
 ""),
IFERROR(
INDEX(INDIRECT("'数出表_Excel（アレルギー入力）'!"&amp;BB43&amp;MATCH(BG1,'数出表_Excel（アレルギー入力）'!$A:$A,0)-1&amp;":AC"&amp;MATCH(BG1,'数出表_Excel（アレルギー入力）'!$A:$A,0)-1&amp;""),
 1,
MATCH(BC46,INDIRECT("'数出表_Excel（アレルギー入力）'!"&amp;BB43&amp;BB1-1&amp;":AC"&amp;BB1-1&amp;""),0)+1),
 "")),0),"")</f>
        <v/>
      </c>
      <c r="BG49" s="151"/>
      <c r="BJ49" s="124" t="str">
        <f ca="1">IF(BK46&lt;&gt;"",
IFERROR(INT(BK46/BK48),""),"")</f>
        <v/>
      </c>
      <c r="BK49" s="151"/>
      <c r="BL49" s="124" t="str">
        <f ca="1">IFERROR(MOD(BK46,BK48),"")</f>
        <v/>
      </c>
      <c r="BM49" s="151"/>
      <c r="BN49" s="118" t="str">
        <f t="array" aca="1" ref="BN49" ca="1">IF(BK43&lt;&gt;"",
IF(IFERROR(
INDEX(INDIRECT("'数出表_Excel（アレルギー入力）'!"&amp;BJ43&amp;MATCH(BO1,'数出表_Excel（アレルギー入力）'!$A:$A,0)-1&amp;":AC"&amp;MATCH(BO1,'数出表_Excel（アレルギー入力）'!$A:$A,0)-1&amp;""),
 1,
MATCH(BK46,INDIRECT("'数出表_Excel（アレルギー入力）'!"&amp;BJ43&amp;BJ1-1&amp;":AC"&amp;BJ1-1&amp;""),0)+1),
 "")&lt;&gt;0,
IF(IFERROR(
INDEX(INDIRECT("'数出表_Excel（アレルギー入力）'!"&amp;BJ43&amp;MATCH(BO1,'数出表_Excel（アレルギー入力）'!$A:$A,0)-1&amp;":AC"&amp;MATCH(BO1,'数出表_Excel（アレルギー入力）'!$A:$A,0)-1&amp;""),
 1,
MATCH(BK46,INDIRECT("'数出表_Excel（アレルギー入力）'!"&amp;BJ43&amp;BJ1-1&amp;":AC"&amp;BJ1-1&amp;""),0)+1),
 "")="",
IFERROR(
INDEX(INDIRECT("'数出表_Excel（アレルギー入力）'!B"&amp;MATCH(BO1,'数出表_Excel（アレルギー入力）'!$A:$A,0)-1&amp;":AC"&amp;MATCH(BO1,'数出表_Excel（アレルギー入力）'!$A:$A,0)-1&amp;""),
 1,
MATCH(TRUE,INDEX(INDIRECT("'数出表_Excel（アレルギー入力）'!B"&amp;BJ1-1&amp;":AC"&amp;BJ1-1&amp;"")&lt;&gt;"",0),0)+1),
 ""),
IFERROR(
INDEX(INDIRECT("'数出表_Excel（アレルギー入力）'!"&amp;BJ43&amp;MATCH(BO1,'数出表_Excel（アレルギー入力）'!$A:$A,0)-1&amp;":AC"&amp;MATCH(BO1,'数出表_Excel（アレルギー入力）'!$A:$A,0)-1&amp;""),
 1,
MATCH(BK46,INDIRECT("'数出表_Excel（アレルギー入力）'!"&amp;BJ43&amp;BJ1-1&amp;":AC"&amp;BJ1-1&amp;""),0)+1),
 "")),0),"")</f>
        <v/>
      </c>
      <c r="BO49" s="151"/>
      <c r="BQ49" s="124" t="str">
        <f ca="1">IF(BR46&lt;&gt;"",
IFERROR(INT(BR46/BR48),""),"")</f>
        <v/>
      </c>
      <c r="BR49" s="151"/>
      <c r="BS49" s="124" t="str">
        <f ca="1">IFERROR(MOD(BR46,BR48),"")</f>
        <v/>
      </c>
      <c r="BT49" s="151"/>
      <c r="BU49" s="118" t="str">
        <f t="array" aca="1" ref="BU49" ca="1">IF(BR43&lt;&gt;"",
IF(IFERROR(
INDEX(INDIRECT("'数出表_Excel（アレルギー入力）'!"&amp;BQ43&amp;MATCH(BV1,'数出表_Excel（アレルギー入力）'!$A:$A,0)-1&amp;":AC"&amp;MATCH(BV1,'数出表_Excel（アレルギー入力）'!$A:$A,0)-1&amp;""),
 1,
MATCH(BR46,INDIRECT("'数出表_Excel（アレルギー入力）'!"&amp;BQ43&amp;BQ1-1&amp;":AC"&amp;BQ1-1&amp;""),0)+1),
 "")&lt;&gt;0,
IF(IFERROR(
INDEX(INDIRECT("'数出表_Excel（アレルギー入力）'!"&amp;BQ43&amp;MATCH(BV1,'数出表_Excel（アレルギー入力）'!$A:$A,0)-1&amp;":AC"&amp;MATCH(BV1,'数出表_Excel（アレルギー入力）'!$A:$A,0)-1&amp;""),
 1,
MATCH(BR46,INDIRECT("'数出表_Excel（アレルギー入力）'!"&amp;BQ43&amp;BQ1-1&amp;":AC"&amp;BQ1-1&amp;""),0)+1),
 "")="",
IFERROR(
INDEX(INDIRECT("'数出表_Excel（アレルギー入力）'!B"&amp;MATCH(BV1,'数出表_Excel（アレルギー入力）'!$A:$A,0)-1&amp;":AC"&amp;MATCH(BV1,'数出表_Excel（アレルギー入力）'!$A:$A,0)-1&amp;""),
 1,
MATCH(TRUE,INDEX(INDIRECT("'数出表_Excel（アレルギー入力）'!B"&amp;BQ1-1&amp;":AC"&amp;BQ1-1&amp;"")&lt;&gt;"",0),0)+1),
 ""),
IFERROR(
INDEX(INDIRECT("'数出表_Excel（アレルギー入力）'!"&amp;BQ43&amp;MATCH(BV1,'数出表_Excel（アレルギー入力）'!$A:$A,0)-1&amp;":AC"&amp;MATCH(BV1,'数出表_Excel（アレルギー入力）'!$A:$A,0)-1&amp;""),
 1,
MATCH(BR46,INDIRECT("'数出表_Excel（アレルギー入力）'!"&amp;BQ43&amp;BQ1-1&amp;":AC"&amp;BQ1-1&amp;""),0)+1),
 "")),0),"")</f>
        <v/>
      </c>
      <c r="BV49" s="151"/>
      <c r="BX49" s="132"/>
      <c r="BY49" s="133" t="str">
        <f ca="1">AG1</f>
        <v/>
      </c>
      <c r="BZ49" s="133" t="str">
        <f ca="1">AG2</f>
        <v/>
      </c>
      <c r="CA49" s="133" t="str">
        <f ca="1">AI2</f>
        <v/>
      </c>
      <c r="CB49" s="134" t="str">
        <f ca="1">AJ2</f>
        <v/>
      </c>
      <c r="CC49" s="133" t="str">
        <f ca="1">AG4</f>
        <v/>
      </c>
      <c r="CD49" s="133" t="str">
        <f ca="1">AI4</f>
        <v/>
      </c>
      <c r="CE49" s="133" t="str">
        <f ca="1">AG6</f>
        <v/>
      </c>
      <c r="CF49" s="133" t="str">
        <f ca="1">AF7</f>
        <v/>
      </c>
      <c r="CG49" s="133" t="str">
        <f ca="1">AH7</f>
        <v/>
      </c>
      <c r="CH49" s="133" t="str">
        <f ca="1">AJ7</f>
        <v/>
      </c>
      <c r="CI49" s="132">
        <f t="shared" ca="1" si="3"/>
        <v>0</v>
      </c>
      <c r="CJ49" s="132" t="b">
        <f t="array" aca="1" ref="CJ49" ca="1">SUMPRODUCT((LEN(BY49:CH49)&gt;0)*1)&gt;0</f>
        <v>0</v>
      </c>
      <c r="CK49" s="132" t="str" cm="1">
        <f t="array" aca="1" ref="CK49" ca="1">IFERROR(SMALL(IF(CI$1:CI$150&lt;&gt;0,CI$1:CI$150),ROW(A49)),"")</f>
        <v/>
      </c>
      <c r="CL49" s="132" t="str">
        <f t="array" aca="1" ref="CL49" ca="1">IF($CK49&lt;&gt;"",
INDIRECT(""&amp;IF(COLUMN(BY49)&lt;=26,CHAR(COLUMN(BY49)+64),CHAR(INT((COLUMN(BY49)-1)/26)+64)&amp;CHAR(MOD(COLUMN(BY49)-1,26)+65))&amp;$CK49&amp;""),"")</f>
        <v/>
      </c>
      <c r="CM49" s="132" t="str">
        <f t="array" aca="1" ref="CM49" ca="1">IF($CK49&lt;&gt;"",
INDIRECT(""&amp;IF(COLUMN(BZ49)&lt;=26,CHAR(COLUMN(BZ49)+64),CHAR(INT((COLUMN(BZ49)-1)/26)+64)&amp;CHAR(MOD(COLUMN(BZ49)-1,26)+65))&amp;$CK49&amp;""),"")</f>
        <v/>
      </c>
      <c r="CN49" s="132" t="str">
        <f t="array" aca="1" ref="CN49" ca="1">IF($CK49&lt;&gt;"",
INDIRECT(""&amp;IF(COLUMN(CA49)&lt;=26,CHAR(COLUMN(CA49)+64),CHAR(INT((COLUMN(CA49)-1)/26)+64)&amp;CHAR(MOD(COLUMN(CA49)-1,26)+65))&amp;$CK49&amp;""),"")</f>
        <v/>
      </c>
      <c r="CO49" s="132" t="str">
        <f t="array" aca="1" ref="CO49" ca="1">IF($CK49&lt;&gt;"",
INDIRECT(""&amp;IF(COLUMN(CB49)&lt;=26,CHAR(COLUMN(CB49)+64),CHAR(INT((COLUMN(CB49)-1)/26)+64)&amp;CHAR(MOD(COLUMN(CB49)-1,26)+65))&amp;$CK49&amp;""),"")</f>
        <v/>
      </c>
      <c r="CP49" s="132" t="str">
        <f t="array" aca="1" ref="CP49" ca="1">IF($CK49&lt;&gt;"",
INDIRECT(""&amp;IF(COLUMN(CC49)&lt;=26,CHAR(COLUMN(CC49)+64),CHAR(INT((COLUMN(CC49)-1)/26)+64)&amp;CHAR(MOD(COLUMN(CC49)-1,26)+65))&amp;$CK49&amp;""),"")</f>
        <v/>
      </c>
      <c r="CQ49" s="132" t="str">
        <f t="array" aca="1" ref="CQ49" ca="1">IF($CK49&lt;&gt;"",
INDIRECT(""&amp;IF(COLUMN(CD49)&lt;=26,CHAR(COLUMN(CD49)+64),CHAR(INT((COLUMN(CD49)-1)/26)+64)&amp;CHAR(MOD(COLUMN(CD49)-1,26)+65))&amp;$CK49&amp;""),"")</f>
        <v/>
      </c>
      <c r="CR49" s="132" t="str">
        <f t="array" aca="1" ref="CR49" ca="1">IF($CK49&lt;&gt;"",
INDIRECT(""&amp;IF(COLUMN(CE49)&lt;=26,CHAR(COLUMN(CE49)+64),CHAR(INT((COLUMN(CE49)-1)/26)+64)&amp;CHAR(MOD(COLUMN(CE49)-1,26)+65))&amp;$CK49&amp;""),"")</f>
        <v/>
      </c>
      <c r="CS49" s="132" t="str">
        <f t="array" aca="1" ref="CS49" ca="1">IF($CK49&lt;&gt;"",
INDIRECT(""&amp;IF(COLUMN(CF49)&lt;=26,CHAR(COLUMN(CF49)+64),CHAR(INT((COLUMN(CF49)-1)/26)+64)&amp;CHAR(MOD(COLUMN(CF49)-1,26)+65))&amp;$CK49&amp;""),"")</f>
        <v/>
      </c>
      <c r="CT49" s="132" t="str">
        <f t="array" aca="1" ref="CT49" ca="1">IF($CK49&lt;&gt;"",
INDIRECT(""&amp;IF(COLUMN(CG49)&lt;=26,CHAR(COLUMN(CG49)+64),CHAR(INT((COLUMN(CG49)-1)/26)+64)&amp;CHAR(MOD(COLUMN(CG49)-1,26)+65))&amp;$CK49&amp;""),"")</f>
        <v/>
      </c>
      <c r="CU49" s="132" t="str">
        <f t="array" aca="1" ref="CU49" ca="1">IF($CK49&lt;&gt;"",
INDIRECT(""&amp;IF(COLUMN(CH49)&lt;=26,CHAR(COLUMN(CH49)+64),CHAR(INT((COLUMN(CH49)-1)/26)+64)&amp;CHAR(MOD(COLUMN(CH49)-1,26)+65))&amp;$CK49&amp;""),"")</f>
        <v/>
      </c>
    </row>
    <row r="50" spans="1:99" s="132" customFormat="1" ht="18" customHeight="1" x14ac:dyDescent="0.55000000000000004">
      <c r="A50" s="129"/>
      <c r="B50" s="130" t="str">
        <f t="array" aca="1" ref="B50" ca="1">IF(COUNTIF(G8,"*合計*"),"",
IFERROR(
SUBSTITUTE(ADDRESS(1,
COLUMN(INDIRECT("数出表_Excel!B" &amp; (MATCH(G8,数出表_Excel!$A:$A,0)-1))) - 1 +
MATCH(TRUE, ISNUMBER(--INDIRECT("数出表_Excel!B" &amp; (MATCH(G8,数出表_Excel!$A:$A,0)-1) &amp; ":U" &amp; (MATCH(G8,数出表_Excel!$A:$A,0)-1))), 0)+1,4),"1",""),
""))</f>
        <v/>
      </c>
      <c r="C50" s="117" t="str">
        <f ca="1">IF(C53&lt;&gt;"",C8,"")</f>
        <v/>
      </c>
      <c r="D50" s="131"/>
      <c r="E50" s="131"/>
      <c r="F50" s="131"/>
      <c r="G50" s="157"/>
      <c r="H50" s="129"/>
      <c r="I50" s="130" t="str">
        <f t="array" aca="1" ref="I50" ca="1">IF(COUNTIF(N8,"*合計*"),"",
IFERROR(
SUBSTITUTE(ADDRESS(1,
COLUMN(INDIRECT("数出表_Excel!B" &amp; (MATCH(N8,数出表_Excel!$A:$A,0)-1))) - 1 +
MATCH(TRUE, ISNUMBER(--INDIRECT("数出表_Excel!B" &amp; (MATCH(N8,数出表_Excel!$A:$A,0)-1) &amp; ":U" &amp; (MATCH(N8,数出表_Excel!$A:$A,0)-1))), 0)+1,4),"1",""),
""))</f>
        <v/>
      </c>
      <c r="J50" s="117" t="str">
        <f ca="1">IF(J53&lt;&gt;"",J8,"")</f>
        <v/>
      </c>
      <c r="K50" s="131"/>
      <c r="L50" s="131"/>
      <c r="M50" s="131"/>
      <c r="N50" s="152"/>
      <c r="O50" s="129"/>
      <c r="P50" s="129"/>
      <c r="Q50" s="130" t="str">
        <f t="array" aca="1" ref="Q50" ca="1">IF(COUNTIF(V8,"*合計*"),"",
IFERROR(
SUBSTITUTE(ADDRESS(1,
COLUMN(INDIRECT("数出表_Excel!B" &amp; (MATCH(V8,数出表_Excel!$A:$A,0)-1))) - 1 +
MATCH(TRUE, ISNUMBER(--INDIRECT("数出表_Excel!B" &amp; (MATCH(V8,数出表_Excel!$A:$A,0)-1) &amp; ":U" &amp; (MATCH(V8,数出表_Excel!$A:$A,0)-1))), 0)+1,4),"1",""),
""))</f>
        <v/>
      </c>
      <c r="R50" s="117" t="str">
        <f ca="1">IF(R53&lt;&gt;"",R8,"")</f>
        <v/>
      </c>
      <c r="S50" s="131"/>
      <c r="T50" s="131"/>
      <c r="U50" s="131"/>
      <c r="V50" s="152"/>
      <c r="W50" s="129"/>
      <c r="X50" s="130" t="str">
        <f t="array" aca="1" ref="X50" ca="1">IF(COUNTIF(AC8,"*合計*"),"",
IFERROR(
SUBSTITUTE(ADDRESS(1,
COLUMN(INDIRECT("数出表_Excel!B" &amp; (MATCH(AC8,数出表_Excel!$A:$A,0)-1))) - 1 +
MATCH(TRUE, ISNUMBER(--INDIRECT("数出表_Excel!B" &amp; (MATCH(AC8,数出表_Excel!$A:$A,0)-1) &amp; ":U" &amp; (MATCH(AC8,数出表_Excel!$A:$A,0)-1))), 0)+1,4),"1",""),
""))</f>
        <v/>
      </c>
      <c r="Y50" s="117" t="str">
        <f ca="1">IF(Y53&lt;&gt;"",Y8,"")</f>
        <v/>
      </c>
      <c r="Z50" s="131"/>
      <c r="AA50" s="131"/>
      <c r="AB50" s="131"/>
      <c r="AC50" s="152"/>
      <c r="AD50" s="129"/>
      <c r="AE50" s="129"/>
      <c r="AF50" s="130" t="str">
        <f t="array" aca="1" ref="AF50" ca="1">IF(COUNTIF(AK8,"*合計*"),"",
IFERROR(
SUBSTITUTE(ADDRESS(1,
COLUMN(INDIRECT("数出表_Excel!B" &amp; (MATCH(AK8,数出表_Excel!$A:$A,0)-1))) - 1 +
MATCH(TRUE, ISNUMBER(--INDIRECT("数出表_Excel!B" &amp; (MATCH(AK8,数出表_Excel!$A:$A,0)-1) &amp; ":U" &amp; (MATCH(AK8,数出表_Excel!$A:$A,0)-1))), 0)+1,4),"1",""),
""))</f>
        <v/>
      </c>
      <c r="AG50" s="117" t="str">
        <f ca="1">IF(AG53&lt;&gt;"",AG8,"")</f>
        <v/>
      </c>
      <c r="AH50" s="131"/>
      <c r="AI50" s="131"/>
      <c r="AJ50" s="131"/>
      <c r="AK50" s="152"/>
      <c r="AL50" s="129"/>
      <c r="AM50" s="130" t="str">
        <f t="array" aca="1" ref="AM50" ca="1">IF(COUNTIF(AR8,"*合計*"),"",
IFERROR(
SUBSTITUTE(ADDRESS(1,
COLUMN(INDIRECT("数出表_Excel!B" &amp; (MATCH(AR8,数出表_Excel!$A:$A,0)-1))) - 1 +
MATCH(TRUE, ISNUMBER(--INDIRECT("数出表_Excel!B" &amp; (MATCH(AR8,数出表_Excel!$A:$A,0)-1) &amp; ":U" &amp; (MATCH(AR8,数出表_Excel!$A:$A,0)-1))), 0)+1,4),"1",""),
""))</f>
        <v/>
      </c>
      <c r="AN50" s="117" t="str">
        <f ca="1">IF(AN53&lt;&gt;"",AN8,"")</f>
        <v/>
      </c>
      <c r="AO50" s="131"/>
      <c r="AP50" s="131"/>
      <c r="AQ50" s="131"/>
      <c r="AR50" s="152"/>
      <c r="AS50" s="129"/>
      <c r="AT50" s="129"/>
      <c r="AU50" s="130" t="str">
        <f t="array" aca="1" ref="AU50" ca="1">IF(COUNTIF(AZ8,"*合計*"),"",
IFERROR(
SUBSTITUTE(ADDRESS(1,
COLUMN(INDIRECT("数出表_Excel!B" &amp; (MATCH(AZ8,数出表_Excel!$A:$A,0)-1))) - 1 +
MATCH(TRUE, ISNUMBER(--INDIRECT("数出表_Excel!B" &amp; (MATCH(AZ8,数出表_Excel!$A:$A,0)-1) &amp; ":U" &amp; (MATCH(AZ8,数出表_Excel!$A:$A,0)-1))), 0)+1,4),"1",""),
""))</f>
        <v/>
      </c>
      <c r="AV50" s="117" t="str">
        <f ca="1">IF(AV53&lt;&gt;"",AV8,"")</f>
        <v/>
      </c>
      <c r="AW50" s="131"/>
      <c r="AX50" s="131"/>
      <c r="AY50" s="131"/>
      <c r="AZ50" s="152"/>
      <c r="BA50" s="129"/>
      <c r="BB50" s="130" t="str">
        <f t="array" aca="1" ref="BB50" ca="1">IF(COUNTIF(BG8,"*合計*"),"",
IFERROR(
SUBSTITUTE(ADDRESS(1,
COLUMN(INDIRECT("数出表_Excel!B" &amp; (MATCH(BG8,数出表_Excel!$A:$A,0)-1))) - 1 +
MATCH(TRUE, ISNUMBER(--INDIRECT("数出表_Excel!B" &amp; (MATCH(BG8,数出表_Excel!$A:$A,0)-1) &amp; ":U" &amp; (MATCH(BG8,数出表_Excel!$A:$A,0)-1))), 0)+1,4),"1",""),
""))</f>
        <v/>
      </c>
      <c r="BC50" s="117" t="str">
        <f ca="1">IF(BC53&lt;&gt;"",BC8,"")</f>
        <v/>
      </c>
      <c r="BD50" s="131"/>
      <c r="BE50" s="131"/>
      <c r="BF50" s="131"/>
      <c r="BG50" s="152"/>
      <c r="BH50" s="129"/>
      <c r="BI50" s="129"/>
      <c r="BJ50" s="130" t="str">
        <f t="array" aca="1" ref="BJ50" ca="1">IF(COUNTIF(BO8,"*合計*"),"",
IFERROR(
SUBSTITUTE(ADDRESS(1,
COLUMN(INDIRECT("数出表_Excel!B" &amp; (MATCH(BO8,数出表_Excel!$A:$A,0)-1))) - 1 +
MATCH(TRUE, ISNUMBER(--INDIRECT("数出表_Excel!B" &amp; (MATCH(BO8,数出表_Excel!$A:$A,0)-1) &amp; ":U" &amp; (MATCH(BO8,数出表_Excel!$A:$A,0)-1))), 0)+1,4),"1",""),
""))</f>
        <v/>
      </c>
      <c r="BK50" s="117" t="str">
        <f ca="1">IF(BK53&lt;&gt;"",BK8,"")</f>
        <v/>
      </c>
      <c r="BL50" s="131"/>
      <c r="BM50" s="131"/>
      <c r="BN50" s="131"/>
      <c r="BO50" s="152"/>
      <c r="BP50" s="129"/>
      <c r="BQ50" s="130" t="str">
        <f t="array" aca="1" ref="BQ50" ca="1">IF(COUNTIF(BV8,"*合計*"),"",
IFERROR(
SUBSTITUTE(ADDRESS(1,
COLUMN(INDIRECT("数出表_Excel!B" &amp; (MATCH(BV8,数出表_Excel!$A:$A,0)-1))) - 1 +
MATCH(TRUE, ISNUMBER(--INDIRECT("数出表_Excel!B" &amp; (MATCH(BV8,数出表_Excel!$A:$A,0)-1) &amp; ":U" &amp; (MATCH(BV8,数出表_Excel!$A:$A,0)-1))), 0)+1,4),"1",""),
""))</f>
        <v/>
      </c>
      <c r="BR50" s="117" t="str">
        <f ca="1">IF(BR53&lt;&gt;"",BR8,"")</f>
        <v/>
      </c>
      <c r="BS50" s="131"/>
      <c r="BT50" s="131"/>
      <c r="BU50" s="131"/>
      <c r="BV50" s="152"/>
      <c r="BW50" s="129"/>
      <c r="BX50" s="132">
        <v>42</v>
      </c>
      <c r="BY50" s="132" t="str">
        <f t="array" aca="1" ref="BY50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LEN(SUBSTITUTE(_xlfn.FORMULATEXT(BY$49),"=","")))+$BX50)</f>
        <v/>
      </c>
      <c r="BZ50" s="132" t="str">
        <f t="array" aca="1" ref="BZ50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LEN(SUBSTITUTE(_xlfn.FORMULATEXT(BZ$49),"=","")))+$BX50)</f>
        <v/>
      </c>
      <c r="CA50" s="132" t="str">
        <f t="array" aca="1" ref="CA50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LEN(SUBSTITUTE(_xlfn.FORMULATEXT(CA$49),"=","")))+$BX50)</f>
        <v/>
      </c>
      <c r="CB50" s="132" t="str">
        <f t="array" aca="1" ref="CB50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LEN(SUBSTITUTE(_xlfn.FORMULATEXT(CB$49),"=","")))+$BX50)</f>
        <v/>
      </c>
      <c r="CC50" s="132" t="str">
        <f t="array" aca="1" ref="CC50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LEN(SUBSTITUTE(_xlfn.FORMULATEXT(CC$49),"=","")))+$BX50)</f>
        <v/>
      </c>
      <c r="CD50" s="132" t="str">
        <f t="array" aca="1" ref="CD50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LEN(SUBSTITUTE(_xlfn.FORMULATEXT(CD$49),"=","")))+$BX50)</f>
        <v/>
      </c>
      <c r="CE50" s="132" t="str">
        <f t="array" aca="1" ref="CE50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LEN(SUBSTITUTE(_xlfn.FORMULATEXT(CE$49),"=","")))+$BX50)</f>
        <v/>
      </c>
      <c r="CF50" s="132" t="str">
        <f t="array" aca="1" ref="CF50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LEN(SUBSTITUTE(_xlfn.FORMULATEXT(CF$49),"=","")))+$BX50)</f>
        <v/>
      </c>
      <c r="CG50" s="132" t="str">
        <f t="array" aca="1" ref="CG50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LEN(SUBSTITUTE(_xlfn.FORMULATEXT(CG$49),"=","")))+$BX50)</f>
        <v/>
      </c>
      <c r="CH50" s="132" t="str">
        <f t="array" aca="1" ref="CH50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LEN(SUBSTITUTE(_xlfn.FORMULATEXT(CH$49),"=","")))+$BX50)</f>
        <v/>
      </c>
      <c r="CI50" s="132">
        <f t="shared" ca="1" si="3"/>
        <v>0</v>
      </c>
      <c r="CJ50" s="132" t="b">
        <f t="array" aca="1" ref="CJ50" ca="1">SUMPRODUCT((LEN(BY50:CH50)&gt;0)*1)&gt;0</f>
        <v>0</v>
      </c>
      <c r="CK50" s="132" t="str" cm="1">
        <f t="array" aca="1" ref="CK50" ca="1">IFERROR(SMALL(IF(CI$1:CI$150&lt;&gt;0,CI$1:CI$150),ROW(A50)),"")</f>
        <v/>
      </c>
      <c r="CL50" s="132" t="str">
        <f t="array" aca="1" ref="CL50" ca="1">IF($CK50&lt;&gt;"",
INDIRECT(""&amp;IF(COLUMN(BY50)&lt;=26,CHAR(COLUMN(BY50)+64),CHAR(INT((COLUMN(BY50)-1)/26)+64)&amp;CHAR(MOD(COLUMN(BY50)-1,26)+65))&amp;$CK50&amp;""),"")</f>
        <v/>
      </c>
      <c r="CM50" s="132" t="str">
        <f t="array" aca="1" ref="CM50" ca="1">IF($CK50&lt;&gt;"",
INDIRECT(""&amp;IF(COLUMN(BZ50)&lt;=26,CHAR(COLUMN(BZ50)+64),CHAR(INT((COLUMN(BZ50)-1)/26)+64)&amp;CHAR(MOD(COLUMN(BZ50)-1,26)+65))&amp;$CK50&amp;""),"")</f>
        <v/>
      </c>
      <c r="CN50" s="132" t="str">
        <f t="array" aca="1" ref="CN50" ca="1">IF($CK50&lt;&gt;"",
INDIRECT(""&amp;IF(COLUMN(CA50)&lt;=26,CHAR(COLUMN(CA50)+64),CHAR(INT((COLUMN(CA50)-1)/26)+64)&amp;CHAR(MOD(COLUMN(CA50)-1,26)+65))&amp;$CK50&amp;""),"")</f>
        <v/>
      </c>
      <c r="CO50" s="132" t="str">
        <f t="array" aca="1" ref="CO50" ca="1">IF($CK50&lt;&gt;"",
INDIRECT(""&amp;IF(COLUMN(CB50)&lt;=26,CHAR(COLUMN(CB50)+64),CHAR(INT((COLUMN(CB50)-1)/26)+64)&amp;CHAR(MOD(COLUMN(CB50)-1,26)+65))&amp;$CK50&amp;""),"")</f>
        <v/>
      </c>
      <c r="CP50" s="132" t="str">
        <f t="array" aca="1" ref="CP50" ca="1">IF($CK50&lt;&gt;"",
INDIRECT(""&amp;IF(COLUMN(CC50)&lt;=26,CHAR(COLUMN(CC50)+64),CHAR(INT((COLUMN(CC50)-1)/26)+64)&amp;CHAR(MOD(COLUMN(CC50)-1,26)+65))&amp;$CK50&amp;""),"")</f>
        <v/>
      </c>
      <c r="CQ50" s="132" t="str">
        <f t="array" aca="1" ref="CQ50" ca="1">IF($CK50&lt;&gt;"",
INDIRECT(""&amp;IF(COLUMN(CD50)&lt;=26,CHAR(COLUMN(CD50)+64),CHAR(INT((COLUMN(CD50)-1)/26)+64)&amp;CHAR(MOD(COLUMN(CD50)-1,26)+65))&amp;$CK50&amp;""),"")</f>
        <v/>
      </c>
      <c r="CR50" s="132" t="str">
        <f t="array" aca="1" ref="CR50" ca="1">IF($CK50&lt;&gt;"",
INDIRECT(""&amp;IF(COLUMN(CE50)&lt;=26,CHAR(COLUMN(CE50)+64),CHAR(INT((COLUMN(CE50)-1)/26)+64)&amp;CHAR(MOD(COLUMN(CE50)-1,26)+65))&amp;$CK50&amp;""),"")</f>
        <v/>
      </c>
      <c r="CS50" s="132" t="str">
        <f t="array" aca="1" ref="CS50" ca="1">IF($CK50&lt;&gt;"",
INDIRECT(""&amp;IF(COLUMN(CF50)&lt;=26,CHAR(COLUMN(CF50)+64),CHAR(INT((COLUMN(CF50)-1)/26)+64)&amp;CHAR(MOD(COLUMN(CF50)-1,26)+65))&amp;$CK50&amp;""),"")</f>
        <v/>
      </c>
      <c r="CT50" s="132" t="str">
        <f t="array" aca="1" ref="CT50" ca="1">IF($CK50&lt;&gt;"",
INDIRECT(""&amp;IF(COLUMN(CG50)&lt;=26,CHAR(COLUMN(CG50)+64),CHAR(INT((COLUMN(CG50)-1)/26)+64)&amp;CHAR(MOD(COLUMN(CG50)-1,26)+65))&amp;$CK50&amp;""),"")</f>
        <v/>
      </c>
      <c r="CU50" s="132" t="str">
        <f t="array" aca="1" ref="CU50" ca="1">IF($CK50&lt;&gt;"",
INDIRECT(""&amp;IF(COLUMN(CH50)&lt;=26,CHAR(COLUMN(CH50)+64),CHAR(INT((COLUMN(CH50)-1)/26)+64)&amp;CHAR(MOD(COLUMN(CH50)-1,26)+65))&amp;$CK50&amp;""),"")</f>
        <v/>
      </c>
    </row>
    <row r="51" spans="1:99" s="132" customFormat="1" ht="18" customHeight="1" x14ac:dyDescent="0.55000000000000004">
      <c r="A51" s="129"/>
      <c r="B51" s="135" t="e">
        <f t="array" aca="1" ref="B51" ca="1">IF(B10&lt;&gt;100,
IF(C53&lt;&gt;"",MATCH(C53,INDIRECT("数出表_Excel!B"&amp;MATCH(G8,数出表_Excel!$A:$A,0)-1&amp;":U"&amp;MATCH(G8,数出表_Excel!$A:$A,0)-1&amp;""),0)+1,""),
IF(C53&lt;&gt;"",
MATCH(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INDIRECT("数出表_Excel!B"&amp;MATCH(G8,数出表_Excel!$A:$A,0)-1&amp;":U"&amp;MATCH(G8,数出表_Excel!$A:$A,0)-1&amp;""),0)+1,""))</f>
        <v>#VALUE!</v>
      </c>
      <c r="C51" s="70" t="str">
        <f t="array" aca="1" ref="C51" ca="1">IFERROR(IF(OR(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"3"),"*配膳*"),
COUNTIF(INDIRECT("数出表_Excel!"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"3"),"*カレー*"),
COUNTIF(C8,"*合計*")),"",
IF(IFERROR(INDIRECT("数出表_Excel!"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"3"),0)=0,"",
IFERROR(INDIRECT("数出表_Excel!" &amp;
CHAR(MATCH(TRUE,
ISNUMBER(--INDIRECT("数出表_Excel!"&amp;B50&amp;MATCH(G8,数出表_Excel!$A:$A,0)-1&amp;":U"&amp;MATCH(G8,数出表_Excel!$A:$A,0)-1&amp;"")),0)
+MATCH(TRUE, ISNUMBER(--INDIRECT("数出表_Excel!B" &amp; (MATCH(G8,数出表_Excel!$A:$A,0)-1) &amp; ":U" &amp; (MATCH(G8,数出表_Excel!$A:$A,0)-1))), 0)
+65) &amp; "3"),""))),"")</f>
        <v/>
      </c>
      <c r="D51" s="129"/>
      <c r="E51" s="136" t="str">
        <f ca="1">IF(F51&lt;&gt;"","",
IF(C50&lt;&gt;"",
IFERROR(
INDEX('数出表_Excel（アレルギー入力）'!$4:$4,
 1,
MATCH(C53,INDIRECT("'数出表_Excel（アレルギー入力）'!"&amp;B8-1&amp;":"&amp;B8-1&amp;""),0)),
 "")
&amp;IFERROR(
INDEX('数出表_Excel（アレルギー入力）'!$5:$5,
 1,
MATCH(C53,INDIRECT("'数出表_Excel（アレルギー入力）'!"&amp;B8-1&amp;":"&amp;B8-1&amp;""),0)),
 ""),""))</f>
        <v/>
      </c>
      <c r="F51" s="137" t="str">
        <f t="array" aca="1" ref="F51" ca="1">IF(C51&lt;&gt;"",
IF(MATCH(TRUE,
ISNUMBER(--INDIRECT("数出表_Excel!B"&amp;MATCH(G8,数出表_Excel!$A:$A,0)-1&amp;":U"&amp;MATCH(G8,数出表_Excel!$A:$A,0)-1&amp;"")),0)&gt;10,
IF(C51&lt;&gt;"",
IF(IF(COUNTIF('盛付札（関数）'!C51,"*キャラ*"),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VLOOKUP('盛付札（関数）'!C51,商品マスタ一覧!$D:$J,7,FALSE)))=0,"",
IF(ROUND(
IF(F56&lt;&gt;"",(C53-F56),C53)
/IF(COUNTIF('盛付札（関数）'!C51,"*キャラ*"),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VLOOKUP('盛付札（関数）'!C51,商品マスタ一覧!$D:$J,7,FALSE))),0)&lt;=0,1,
ROUND(
IF(F56&lt;&gt;"",(C53-F56),C53)
/IF(COUNTIF('盛付札（関数）'!C51,"*キャラ*"),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VLOOKUP('盛付札（関数）'!C51,商品マスタ一覧!$D:$J,7,FALSE))),0))),""),""),"")</f>
        <v/>
      </c>
      <c r="G51" s="158" t="str">
        <f ca="1">IF(F51&lt;&gt;"",IF(C53&lt;&gt;"",IF(VALUE(IF(F56&lt;&gt;"",C53-F56,C53))&gt;VALUE(IF(COUNTIF('盛付札（関数）'!C51,"*キャラ*"),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
"+"&amp;IF(F56&lt;&gt;"",C53-F56,C53)-IF(COUNTIF('盛付札（関数）'!C51,"*キャラ*"),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VLOOKUP('盛付札（関数）'!C51,商品マスタ一覧!$D:$J,7,FALSE)))*F51,
IF(F56&lt;&gt;"",C53-F56,C53)-IF(COUNTIF('盛付札（関数）'!C51,"*キャラ*"),
VLOOKUP("*キャラ*",商品マスタ一覧!$D:$J,7,FALSE),
IF(COUNTIF('盛付札（関数）'!C51,"*赤*"),
VLOOKUP("*赤*",商品マスタ一覧!$D:$J,7,FALSE),
VLOOKUP('盛付札（関数）'!C51,商品マスタ一覧!$D:$J,7,FALSE)))*F51),""),"")</f>
        <v/>
      </c>
      <c r="H51" s="129"/>
      <c r="I51" s="135" t="e">
        <f t="array" aca="1" ref="I51" ca="1">IF(I10&lt;&gt;100,
IF(J53&lt;&gt;"",MATCH(J53,INDIRECT("数出表_Excel!B"&amp;MATCH(N8,数出表_Excel!$A:$A,0)-1&amp;":U"&amp;MATCH(N8,数出表_Excel!$A:$A,0)-1&amp;""),0)+1,""),
IF(J53&lt;&gt;"",
MATCH(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INDIRECT("数出表_Excel!B"&amp;MATCH(N8,数出表_Excel!$A:$A,0)-1&amp;":U"&amp;MATCH(N8,数出表_Excel!$A:$A,0)-1&amp;""),0)+1,""))</f>
        <v>#VALUE!</v>
      </c>
      <c r="J51" s="70" t="str">
        <f t="array" aca="1" ref="J51" ca="1">IFERROR(IF(OR(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"3"),"*配膳*"),
COUNTIF(INDIRECT("数出表_Excel!"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"3"),"*カレー*"),
COUNTIF(J8,"*合計*")),"",
IF(IFERROR(INDIRECT("数出表_Excel!"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"3"),0)=0,"",
IFERROR(INDIRECT("数出表_Excel!" &amp;
CHAR(MATCH(TRUE,
ISNUMBER(--INDIRECT("数出表_Excel!"&amp;I50&amp;MATCH(N8,数出表_Excel!$A:$A,0)-1&amp;":U"&amp;MATCH(N8,数出表_Excel!$A:$A,0)-1&amp;"")),0)
+MATCH(TRUE, ISNUMBER(--INDIRECT("数出表_Excel!B" &amp; (MATCH(N8,数出表_Excel!$A:$A,0)-1) &amp; ":U" &amp; (MATCH(N8,数出表_Excel!$A:$A,0)-1))), 0)
+65) &amp; "3"),""))),"")</f>
        <v/>
      </c>
      <c r="K51" s="129"/>
      <c r="L51" s="136" t="str">
        <f ca="1">IF(M51&lt;&gt;"","",
IF(J50&lt;&gt;"",
IFERROR(
INDEX('数出表_Excel（アレルギー入力）'!$4:$4,
 1,
MATCH(J53,INDIRECT("'数出表_Excel（アレルギー入力）'!"&amp;I8-1&amp;":"&amp;I8-1&amp;""),0)),
 "")
&amp;IFERROR(
INDEX('数出表_Excel（アレルギー入力）'!$5:$5,
 1,
MATCH(J53,INDIRECT("'数出表_Excel（アレルギー入力）'!"&amp;I8-1&amp;":"&amp;I8-1&amp;""),0)),
 ""),""))</f>
        <v/>
      </c>
      <c r="M51" s="137" t="str">
        <f t="array" aca="1" ref="M51" ca="1">IF(J51&lt;&gt;"",
IF(MATCH(TRUE,
ISNUMBER(--INDIRECT("数出表_Excel!B"&amp;MATCH(N8,数出表_Excel!$A:$A,0)-1&amp;":U"&amp;MATCH(N8,数出表_Excel!$A:$A,0)-1&amp;"")),0)&gt;10,
IF(J51&lt;&gt;"",
IF(IF(COUNTIF('盛付札（関数）'!J51,"*キャラ*"),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VLOOKUP('盛付札（関数）'!J51,商品マスタ一覧!$D:$J,7,FALSE)))=0,"",
IF(ROUND(
IF(M56&lt;&gt;"",(J53-M56),J53)
/IF(COUNTIF('盛付札（関数）'!J51,"*キャラ*"),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VLOOKUP('盛付札（関数）'!J51,商品マスタ一覧!$D:$J,7,FALSE))),0)&lt;=0,1,
ROUND(
IF(M56&lt;&gt;"",(J53-M56),J53)
/IF(COUNTIF('盛付札（関数）'!J51,"*キャラ*"),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VLOOKUP('盛付札（関数）'!J51,商品マスタ一覧!$D:$J,7,FALSE))),0))),""),""),"")</f>
        <v/>
      </c>
      <c r="N51" s="153" t="str">
        <f ca="1">IF(M51&lt;&gt;"",IF(J53&lt;&gt;"",IF(VALUE(IF(M56&lt;&gt;"",J53-M56,J53))&gt;VALUE(IF(COUNTIF('盛付札（関数）'!J51,"*キャラ*"),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
"+"&amp;IF(M56&lt;&gt;"",J53-M56,J53)-IF(COUNTIF('盛付札（関数）'!J51,"*キャラ*"),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VLOOKUP('盛付札（関数）'!J51,商品マスタ一覧!$D:$J,7,FALSE)))*M51,
IF(M56&lt;&gt;"",J53-M56,J53)-IF(COUNTIF('盛付札（関数）'!J51,"*キャラ*"),
VLOOKUP("*キャラ*",商品マスタ一覧!$D:$J,7,FALSE),
IF(COUNTIF('盛付札（関数）'!J51,"*赤*"),
VLOOKUP("*赤*",商品マスタ一覧!$D:$J,7,FALSE),
VLOOKUP('盛付札（関数）'!J51,商品マスタ一覧!$D:$J,7,FALSE)))*M51),""),"")</f>
        <v/>
      </c>
      <c r="O51" s="129"/>
      <c r="P51" s="129"/>
      <c r="Q51" s="135" t="e">
        <f t="array" aca="1" ref="Q51" ca="1">IF(Q10&lt;&gt;100,
IF(R53&lt;&gt;"",MATCH(R53,INDIRECT("数出表_Excel!B"&amp;MATCH(V8,数出表_Excel!$A:$A,0)-1&amp;":U"&amp;MATCH(V8,数出表_Excel!$A:$A,0)-1&amp;""),0)+1,""),
IF(R53&lt;&gt;"",
MATCH(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INDIRECT("数出表_Excel!B"&amp;MATCH(V8,数出表_Excel!$A:$A,0)-1&amp;":U"&amp;MATCH(V8,数出表_Excel!$A:$A,0)-1&amp;""),0)+1,""))</f>
        <v>#VALUE!</v>
      </c>
      <c r="R51" s="70" t="str">
        <f t="array" aca="1" ref="R51" ca="1">IFERROR(IF(OR(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"3"),"*配膳*"),
COUNTIF(INDIRECT("数出表_Excel!"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"3"),"*カレー*"),
COUNTIF(R8,"*合計*")),"",
IF(IFERROR(INDIRECT("数出表_Excel!"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"3"),0)=0,"",
IFERROR(INDIRECT("数出表_Excel!" &amp;
CHAR(MATCH(TRUE,
ISNUMBER(--INDIRECT("数出表_Excel!"&amp;Q50&amp;MATCH(V8,数出表_Excel!$A:$A,0)-1&amp;":U"&amp;MATCH(V8,数出表_Excel!$A:$A,0)-1&amp;"")),0)
+MATCH(TRUE, ISNUMBER(--INDIRECT("数出表_Excel!B" &amp; (MATCH(V8,数出表_Excel!$A:$A,0)-1) &amp; ":U" &amp; (MATCH(V8,数出表_Excel!$A:$A,0)-1))), 0)
+65) &amp; "3"),""))),"")</f>
        <v/>
      </c>
      <c r="S51" s="129"/>
      <c r="T51" s="136" t="str">
        <f ca="1">IF(U51&lt;&gt;"","",
IF(R50&lt;&gt;"",
IFERROR(
INDEX('数出表_Excel（アレルギー入力）'!$4:$4,
 1,
MATCH(R53,INDIRECT("'数出表_Excel（アレルギー入力）'!"&amp;Q8-1&amp;":"&amp;Q8-1&amp;""),0)),
 "")
&amp;IFERROR(
INDEX('数出表_Excel（アレルギー入力）'!$5:$5,
 1,
MATCH(R53,INDIRECT("'数出表_Excel（アレルギー入力）'!"&amp;Q8-1&amp;":"&amp;Q8-1&amp;""),0)),
 ""),""))</f>
        <v/>
      </c>
      <c r="U51" s="137" t="str">
        <f t="array" aca="1" ref="U51" ca="1">IF(R51&lt;&gt;"",
IF(MATCH(TRUE,
ISNUMBER(--INDIRECT("数出表_Excel!B"&amp;MATCH(V8,数出表_Excel!$A:$A,0)-1&amp;":U"&amp;MATCH(V8,数出表_Excel!$A:$A,0)-1&amp;"")),0)&gt;10,
IF(R51&lt;&gt;"",
IF(IF(COUNTIF('盛付札（関数）'!R51,"*キャラ*"),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VLOOKUP('盛付札（関数）'!R51,商品マスタ一覧!$D:$J,7,FALSE)))=0,"",
IF(ROUND(
IF(U56&lt;&gt;"",(R53-U56),R53)
/IF(COUNTIF('盛付札（関数）'!R51,"*キャラ*"),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VLOOKUP('盛付札（関数）'!R51,商品マスタ一覧!$D:$J,7,FALSE))),0)&lt;=0,1,
ROUND(
IF(U56&lt;&gt;"",(R53-U56),R53)
/IF(COUNTIF('盛付札（関数）'!R51,"*キャラ*"),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VLOOKUP('盛付札（関数）'!R51,商品マスタ一覧!$D:$J,7,FALSE))),0))),""),""),"")</f>
        <v/>
      </c>
      <c r="V51" s="153" t="str">
        <f ca="1">IF(U51&lt;&gt;"",IF(R53&lt;&gt;"",IF(VALUE(IF(U56&lt;&gt;"",R53-U56,R53))&gt;VALUE(IF(COUNTIF('盛付札（関数）'!R51,"*キャラ*"),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
"+"&amp;IF(U56&lt;&gt;"",R53-U56,R53)-IF(COUNTIF('盛付札（関数）'!R51,"*キャラ*"),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VLOOKUP('盛付札（関数）'!R51,商品マスタ一覧!$D:$J,7,FALSE)))*U51,
IF(U56&lt;&gt;"",R53-U56,R53)-IF(COUNTIF('盛付札（関数）'!R51,"*キャラ*"),
VLOOKUP("*キャラ*",商品マスタ一覧!$D:$J,7,FALSE),
IF(COUNTIF('盛付札（関数）'!R51,"*赤*"),
VLOOKUP("*赤*",商品マスタ一覧!$D:$J,7,FALSE),
VLOOKUP('盛付札（関数）'!R51,商品マスタ一覧!$D:$J,7,FALSE)))*U51),""),"")</f>
        <v/>
      </c>
      <c r="W51" s="129"/>
      <c r="X51" s="135" t="e">
        <f t="array" aca="1" ref="X51" ca="1">IF(X10&lt;&gt;100,
IF(Y53&lt;&gt;"",MATCH(Y53,INDIRECT("数出表_Excel!B"&amp;MATCH(AC8,数出表_Excel!$A:$A,0)-1&amp;":U"&amp;MATCH(AC8,数出表_Excel!$A:$A,0)-1&amp;""),0)+1,""),
IF(Y53&lt;&gt;"",
MATCH(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INDIRECT("数出表_Excel!B"&amp;MATCH(AC8,数出表_Excel!$A:$A,0)-1&amp;":U"&amp;MATCH(AC8,数出表_Excel!$A:$A,0)-1&amp;""),0)+1,""))</f>
        <v>#VALUE!</v>
      </c>
      <c r="Y51" s="70" t="str">
        <f t="array" aca="1" ref="Y51" ca="1">IFERROR(IF(OR(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"3"),"*配膳*"),
COUNTIF(INDIRECT("数出表_Excel!"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"3"),"*カレー*"),
COUNTIF(Y8,"*合計*")),"",
IF(IFERROR(INDIRECT("数出表_Excel!"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"3"),0)=0,"",
IFERROR(INDIRECT("数出表_Excel!" &amp;
CHAR(MATCH(TRUE,
ISNUMBER(--INDIRECT("数出表_Excel!"&amp;X50&amp;MATCH(AC8,数出表_Excel!$A:$A,0)-1&amp;":U"&amp;MATCH(AC8,数出表_Excel!$A:$A,0)-1&amp;"")),0)
+MATCH(TRUE, ISNUMBER(--INDIRECT("数出表_Excel!B" &amp; (MATCH(AC8,数出表_Excel!$A:$A,0)-1) &amp; ":U" &amp; (MATCH(AC8,数出表_Excel!$A:$A,0)-1))), 0)
+65) &amp; "3"),""))),"")</f>
        <v/>
      </c>
      <c r="Z51" s="129"/>
      <c r="AA51" s="136" t="str">
        <f ca="1">IF(AB51&lt;&gt;"","",
IF(Y50&lt;&gt;"",
IFERROR(
INDEX('数出表_Excel（アレルギー入力）'!$4:$4,
 1,
MATCH(Y53,INDIRECT("'数出表_Excel（アレルギー入力）'!"&amp;X8-1&amp;":"&amp;X8-1&amp;""),0)),
 "")
&amp;IFERROR(
INDEX('数出表_Excel（アレルギー入力）'!$5:$5,
 1,
MATCH(Y53,INDIRECT("'数出表_Excel（アレルギー入力）'!"&amp;X8-1&amp;":"&amp;X8-1&amp;""),0)),
 ""),""))</f>
        <v/>
      </c>
      <c r="AB51" s="137" t="str">
        <f t="array" aca="1" ref="AB51" ca="1">IF(Y51&lt;&gt;"",
IF(MATCH(TRUE,
ISNUMBER(--INDIRECT("数出表_Excel!B"&amp;MATCH(AC8,数出表_Excel!$A:$A,0)-1&amp;":U"&amp;MATCH(AC8,数出表_Excel!$A:$A,0)-1&amp;"")),0)&gt;10,
IF(Y51&lt;&gt;"",
IF(IF(COUNTIF('盛付札（関数）'!Y51,"*キャラ*"),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VLOOKUP('盛付札（関数）'!Y51,商品マスタ一覧!$D:$J,7,FALSE)))=0,"",
IF(ROUND(
IF(AB56&lt;&gt;"",(Y53-AB56),Y53)
/IF(COUNTIF('盛付札（関数）'!Y51,"*キャラ*"),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VLOOKUP('盛付札（関数）'!Y51,商品マスタ一覧!$D:$J,7,FALSE))),0)&lt;=0,1,
ROUND(
IF(AB56&lt;&gt;"",(Y53-AB56),Y53)
/IF(COUNTIF('盛付札（関数）'!Y51,"*キャラ*"),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VLOOKUP('盛付札（関数）'!Y51,商品マスタ一覧!$D:$J,7,FALSE))),0))),""),""),"")</f>
        <v/>
      </c>
      <c r="AC51" s="153" t="str">
        <f ca="1">IF(AB51&lt;&gt;"",IF(Y53&lt;&gt;"",IF(VALUE(IF(AB56&lt;&gt;"",Y53-AB56,Y53))&gt;VALUE(IF(COUNTIF('盛付札（関数）'!Y51,"*キャラ*"),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
"+"&amp;IF(AB56&lt;&gt;"",Y53-AB56,Y53)-IF(COUNTIF('盛付札（関数）'!Y51,"*キャラ*"),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VLOOKUP('盛付札（関数）'!Y51,商品マスタ一覧!$D:$J,7,FALSE)))*AB51,
IF(AB56&lt;&gt;"",Y53-AB56,Y53)-IF(COUNTIF('盛付札（関数）'!Y51,"*キャラ*"),
VLOOKUP("*キャラ*",商品マスタ一覧!$D:$J,7,FALSE),
IF(COUNTIF('盛付札（関数）'!Y51,"*赤*"),
VLOOKUP("*赤*",商品マスタ一覧!$D:$J,7,FALSE),
VLOOKUP('盛付札（関数）'!Y51,商品マスタ一覧!$D:$J,7,FALSE)))*AB51),""),"")</f>
        <v/>
      </c>
      <c r="AD51" s="129"/>
      <c r="AE51" s="129"/>
      <c r="AF51" s="135" t="e">
        <f t="array" aca="1" ref="AF51" ca="1">IF(AF10&lt;&gt;100,
IF(AG53&lt;&gt;"",MATCH(AG53,INDIRECT("数出表_Excel!B"&amp;MATCH(AK8,数出表_Excel!$A:$A,0)-1&amp;":U"&amp;MATCH(AK8,数出表_Excel!$A:$A,0)-1&amp;""),0)+1,""),
IF(AG53&lt;&gt;"",
MATCH(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INDIRECT("数出表_Excel!B"&amp;MATCH(AK8,数出表_Excel!$A:$A,0)-1&amp;":U"&amp;MATCH(AK8,数出表_Excel!$A:$A,0)-1&amp;""),0)+1,""))</f>
        <v>#VALUE!</v>
      </c>
      <c r="AG51" s="70" t="str">
        <f t="array" aca="1" ref="AG51" ca="1">IFERROR(IF(OR(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"3"),"*配膳*"),
COUNTIF(INDIRECT("数出表_Excel!"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"3"),"*カレー*"),
COUNTIF(AG8,"*合計*")),"",
IF(IFERROR(INDIRECT("数出表_Excel!"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"3"),0)=0,"",
IFERROR(INDIRECT("数出表_Excel!" &amp;
CHAR(MATCH(TRUE,
ISNUMBER(--INDIRECT("数出表_Excel!"&amp;AF50&amp;MATCH(AK8,数出表_Excel!$A:$A,0)-1&amp;":U"&amp;MATCH(AK8,数出表_Excel!$A:$A,0)-1&amp;"")),0)
+MATCH(TRUE, ISNUMBER(--INDIRECT("数出表_Excel!B" &amp; (MATCH(AK8,数出表_Excel!$A:$A,0)-1) &amp; ":U" &amp; (MATCH(AK8,数出表_Excel!$A:$A,0)-1))), 0)
+65) &amp; "3"),""))),"")</f>
        <v/>
      </c>
      <c r="AH51" s="129"/>
      <c r="AI51" s="136" t="str">
        <f ca="1">IF(AJ51&lt;&gt;"","",
IF(AG50&lt;&gt;"",
IFERROR(
INDEX('数出表_Excel（アレルギー入力）'!$4:$4,
 1,
MATCH(AG53,INDIRECT("'数出表_Excel（アレルギー入力）'!"&amp;AF8-1&amp;":"&amp;AF8-1&amp;""),0)),
 "")
&amp;IFERROR(
INDEX('数出表_Excel（アレルギー入力）'!$5:$5,
 1,
MATCH(AG53,INDIRECT("'数出表_Excel（アレルギー入力）'!"&amp;AF8-1&amp;":"&amp;AF8-1&amp;""),0)),
 ""),""))</f>
        <v/>
      </c>
      <c r="AJ51" s="137" t="str">
        <f t="array" aca="1" ref="AJ51" ca="1">IF(AG51&lt;&gt;"",
IF(MATCH(TRUE,
ISNUMBER(--INDIRECT("数出表_Excel!B"&amp;MATCH(AK8,数出表_Excel!$A:$A,0)-1&amp;":U"&amp;MATCH(AK8,数出表_Excel!$A:$A,0)-1&amp;"")),0)&gt;10,
IF(AG51&lt;&gt;"",
IF(IF(COUNTIF('盛付札（関数）'!AG51,"*キャラ*"),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VLOOKUP('盛付札（関数）'!AG51,商品マスタ一覧!$D:$J,7,FALSE)))=0,"",
IF(ROUND(
IF(AJ56&lt;&gt;"",(AG53-AJ56),AG53)
/IF(COUNTIF('盛付札（関数）'!AG51,"*キャラ*"),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VLOOKUP('盛付札（関数）'!AG51,商品マスタ一覧!$D:$J,7,FALSE))),0)&lt;=0,1,
ROUND(
IF(AJ56&lt;&gt;"",(AG53-AJ56),AG53)
/IF(COUNTIF('盛付札（関数）'!AG51,"*キャラ*"),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VLOOKUP('盛付札（関数）'!AG51,商品マスタ一覧!$D:$J,7,FALSE))),0))),""),""),"")</f>
        <v/>
      </c>
      <c r="AK51" s="153" t="str">
        <f ca="1">IF(AJ51&lt;&gt;"",IF(AG53&lt;&gt;"",IF(VALUE(IF(AJ56&lt;&gt;"",AG53-AJ56,AG53))&gt;VALUE(IF(COUNTIF('盛付札（関数）'!AG51,"*キャラ*"),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
"+"&amp;IF(AJ56&lt;&gt;"",AG53-AJ56,AG53)-IF(COUNTIF('盛付札（関数）'!AG51,"*キャラ*"),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VLOOKUP('盛付札（関数）'!AG51,商品マスタ一覧!$D:$J,7,FALSE)))*AJ51,
IF(AJ56&lt;&gt;"",AG53-AJ56,AG53)-IF(COUNTIF('盛付札（関数）'!AG51,"*キャラ*"),
VLOOKUP("*キャラ*",商品マスタ一覧!$D:$J,7,FALSE),
IF(COUNTIF('盛付札（関数）'!AG51,"*赤*"),
VLOOKUP("*赤*",商品マスタ一覧!$D:$J,7,FALSE),
VLOOKUP('盛付札（関数）'!AG51,商品マスタ一覧!$D:$J,7,FALSE)))*AJ51),""),"")</f>
        <v/>
      </c>
      <c r="AL51" s="129"/>
      <c r="AM51" s="135" t="e">
        <f t="array" aca="1" ref="AM51" ca="1">IF(AM10&lt;&gt;100,
IF(AN53&lt;&gt;"",MATCH(AN53,INDIRECT("数出表_Excel!B"&amp;MATCH(AR8,数出表_Excel!$A:$A,0)-1&amp;":U"&amp;MATCH(AR8,数出表_Excel!$A:$A,0)-1&amp;""),0)+1,""),
IF(AN53&lt;&gt;"",
MATCH(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INDIRECT("数出表_Excel!B"&amp;MATCH(AR8,数出表_Excel!$A:$A,0)-1&amp;":U"&amp;MATCH(AR8,数出表_Excel!$A:$A,0)-1&amp;""),0)+1,""))</f>
        <v>#VALUE!</v>
      </c>
      <c r="AN51" s="70" t="str">
        <f t="array" aca="1" ref="AN51" ca="1">IFERROR(IF(OR(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"3"),"*配膳*"),
COUNTIF(INDIRECT("数出表_Excel!"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"3"),"*カレー*"),
COUNTIF(AN8,"*合計*")),"",
IF(IFERROR(INDIRECT("数出表_Excel!"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"3"),0)=0,"",
IFERROR(INDIRECT("数出表_Excel!" &amp;
CHAR(MATCH(TRUE,
ISNUMBER(--INDIRECT("数出表_Excel!"&amp;AM50&amp;MATCH(AR8,数出表_Excel!$A:$A,0)-1&amp;":U"&amp;MATCH(AR8,数出表_Excel!$A:$A,0)-1&amp;"")),0)
+MATCH(TRUE, ISNUMBER(--INDIRECT("数出表_Excel!B" &amp; (MATCH(AR8,数出表_Excel!$A:$A,0)-1) &amp; ":U" &amp; (MATCH(AR8,数出表_Excel!$A:$A,0)-1))), 0)
+65) &amp; "3"),""))),"")</f>
        <v/>
      </c>
      <c r="AO51" s="129"/>
      <c r="AP51" s="136" t="str">
        <f ca="1">IF(AQ51&lt;&gt;"","",
IF(AN50&lt;&gt;"",
IFERROR(
INDEX('数出表_Excel（アレルギー入力）'!$4:$4,
 1,
MATCH(AN53,INDIRECT("'数出表_Excel（アレルギー入力）'!"&amp;AM8-1&amp;":"&amp;AM8-1&amp;""),0)),
 "")
&amp;IFERROR(
INDEX('数出表_Excel（アレルギー入力）'!$5:$5,
 1,
MATCH(AN53,INDIRECT("'数出表_Excel（アレルギー入力）'!"&amp;AM8-1&amp;":"&amp;AM8-1&amp;""),0)),
 ""),""))</f>
        <v/>
      </c>
      <c r="AQ51" s="137" t="str">
        <f t="array" aca="1" ref="AQ51" ca="1">IF(AN51&lt;&gt;"",
IF(MATCH(TRUE,
ISNUMBER(--INDIRECT("数出表_Excel!B"&amp;MATCH(AR8,数出表_Excel!$A:$A,0)-1&amp;":U"&amp;MATCH(AR8,数出表_Excel!$A:$A,0)-1&amp;"")),0)&gt;10,
IF(AN51&lt;&gt;"",
IF(IF(COUNTIF('盛付札（関数）'!AN51,"*キャラ*"),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VLOOKUP('盛付札（関数）'!AN51,商品マスタ一覧!$D:$J,7,FALSE)))=0,"",
IF(ROUND(
IF(AQ56&lt;&gt;"",(AN53-AQ56),AN53)
/IF(COUNTIF('盛付札（関数）'!AN51,"*キャラ*"),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VLOOKUP('盛付札（関数）'!AN51,商品マスタ一覧!$D:$J,7,FALSE))),0)&lt;=0,1,
ROUND(
IF(AQ56&lt;&gt;"",(AN53-AQ56),AN53)
/IF(COUNTIF('盛付札（関数）'!AN51,"*キャラ*"),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VLOOKUP('盛付札（関数）'!AN51,商品マスタ一覧!$D:$J,7,FALSE))),0))),""),""),"")</f>
        <v/>
      </c>
      <c r="AR51" s="153" t="str">
        <f ca="1">IF(AQ51&lt;&gt;"",IF(AN53&lt;&gt;"",IF(VALUE(IF(AQ56&lt;&gt;"",AN53-AQ56,AN53))&gt;VALUE(IF(COUNTIF('盛付札（関数）'!AN51,"*キャラ*"),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
"+"&amp;IF(AQ56&lt;&gt;"",AN53-AQ56,AN53)-IF(COUNTIF('盛付札（関数）'!AN51,"*キャラ*"),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VLOOKUP('盛付札（関数）'!AN51,商品マスタ一覧!$D:$J,7,FALSE)))*AQ51,
IF(AQ56&lt;&gt;"",AN53-AQ56,AN53)-IF(COUNTIF('盛付札（関数）'!AN51,"*キャラ*"),
VLOOKUP("*キャラ*",商品マスタ一覧!$D:$J,7,FALSE),
IF(COUNTIF('盛付札（関数）'!AN51,"*赤*"),
VLOOKUP("*赤*",商品マスタ一覧!$D:$J,7,FALSE),
VLOOKUP('盛付札（関数）'!AN51,商品マスタ一覧!$D:$J,7,FALSE)))*AQ51),""),"")</f>
        <v/>
      </c>
      <c r="AS51" s="129"/>
      <c r="AT51" s="129"/>
      <c r="AU51" s="135" t="e">
        <f t="array" aca="1" ref="AU51" ca="1">IF(AU10&lt;&gt;100,
IF(AV53&lt;&gt;"",MATCH(AV53,INDIRECT("数出表_Excel!B"&amp;MATCH(AZ8,数出表_Excel!$A:$A,0)-1&amp;":U"&amp;MATCH(AZ8,数出表_Excel!$A:$A,0)-1&amp;""),0)+1,""),
IF(AV53&lt;&gt;"",
MATCH(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INDIRECT("数出表_Excel!B"&amp;MATCH(AZ8,数出表_Excel!$A:$A,0)-1&amp;":U"&amp;MATCH(AZ8,数出表_Excel!$A:$A,0)-1&amp;""),0)+1,""))</f>
        <v>#VALUE!</v>
      </c>
      <c r="AV51" s="70" t="str">
        <f t="array" aca="1" ref="AV51" ca="1">IFERROR(IF(OR(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"3"),"*配膳*"),
COUNTIF(INDIRECT("数出表_Excel!"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"3"),"*カレー*"),
COUNTIF(AV8,"*合計*")),"",
IF(IFERROR(INDIRECT("数出表_Excel!"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"3"),0)=0,"",
IFERROR(INDIRECT("数出表_Excel!" &amp;
CHAR(MATCH(TRUE,
ISNUMBER(--INDIRECT("数出表_Excel!"&amp;AU50&amp;MATCH(AZ8,数出表_Excel!$A:$A,0)-1&amp;":U"&amp;MATCH(AZ8,数出表_Excel!$A:$A,0)-1&amp;"")),0)
+MATCH(TRUE, ISNUMBER(--INDIRECT("数出表_Excel!B" &amp; (MATCH(AZ8,数出表_Excel!$A:$A,0)-1) &amp; ":U" &amp; (MATCH(AZ8,数出表_Excel!$A:$A,0)-1))), 0)
+65) &amp; "3"),""))),"")</f>
        <v/>
      </c>
      <c r="AW51" s="129"/>
      <c r="AX51" s="136" t="str">
        <f ca="1">IF(AY51&lt;&gt;"","",
IF(AV50&lt;&gt;"",
IFERROR(
INDEX('数出表_Excel（アレルギー入力）'!$4:$4,
 1,
MATCH(AV53,INDIRECT("'数出表_Excel（アレルギー入力）'!"&amp;AU8-1&amp;":"&amp;AU8-1&amp;""),0)),
 "")
&amp;IFERROR(
INDEX('数出表_Excel（アレルギー入力）'!$5:$5,
 1,
MATCH(AV53,INDIRECT("'数出表_Excel（アレルギー入力）'!"&amp;AU8-1&amp;":"&amp;AU8-1&amp;""),0)),
 ""),""))</f>
        <v/>
      </c>
      <c r="AY51" s="137" t="str">
        <f t="array" aca="1" ref="AY51" ca="1">IF(AV51&lt;&gt;"",
IF(MATCH(TRUE,
ISNUMBER(--INDIRECT("数出表_Excel!B"&amp;MATCH(AZ8,数出表_Excel!$A:$A,0)-1&amp;":U"&amp;MATCH(AZ8,数出表_Excel!$A:$A,0)-1&amp;"")),0)&gt;10,
IF(AV51&lt;&gt;"",
IF(IF(COUNTIF('盛付札（関数）'!AV51,"*キャラ*"),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VLOOKUP('盛付札（関数）'!AV51,商品マスタ一覧!$D:$J,7,FALSE)))=0,"",
IF(ROUND(
IF(AY56&lt;&gt;"",(AV53-AY56),AV53)
/IF(COUNTIF('盛付札（関数）'!AV51,"*キャラ*"),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VLOOKUP('盛付札（関数）'!AV51,商品マスタ一覧!$D:$J,7,FALSE))),0)&lt;=0,1,
ROUND(
IF(AY56&lt;&gt;"",(AV53-AY56),AV53)
/IF(COUNTIF('盛付札（関数）'!AV51,"*キャラ*"),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VLOOKUP('盛付札（関数）'!AV51,商品マスタ一覧!$D:$J,7,FALSE))),0))),""),""),"")</f>
        <v/>
      </c>
      <c r="AZ51" s="153" t="str">
        <f ca="1">IF(AY51&lt;&gt;"",IF(AV53&lt;&gt;"",IF(VALUE(IF(AY56&lt;&gt;"",AV53-AY56,AV53))&gt;VALUE(IF(COUNTIF('盛付札（関数）'!AV51,"*キャラ*"),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
"+"&amp;IF(AY56&lt;&gt;"",AV53-AY56,AV53)-IF(COUNTIF('盛付札（関数）'!AV51,"*キャラ*"),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VLOOKUP('盛付札（関数）'!AV51,商品マスタ一覧!$D:$J,7,FALSE)))*AY51,
IF(AY56&lt;&gt;"",AV53-AY56,AV53)-IF(COUNTIF('盛付札（関数）'!AV51,"*キャラ*"),
VLOOKUP("*キャラ*",商品マスタ一覧!$D:$J,7,FALSE),
IF(COUNTIF('盛付札（関数）'!AV51,"*赤*"),
VLOOKUP("*赤*",商品マスタ一覧!$D:$J,7,FALSE),
VLOOKUP('盛付札（関数）'!AV51,商品マスタ一覧!$D:$J,7,FALSE)))*AY51),""),"")</f>
        <v/>
      </c>
      <c r="BA51" s="129"/>
      <c r="BB51" s="135" t="e">
        <f t="array" aca="1" ref="BB51" ca="1">IF(BB10&lt;&gt;100,
IF(BC53&lt;&gt;"",MATCH(BC53,INDIRECT("数出表_Excel!B"&amp;MATCH(BG8,数出表_Excel!$A:$A,0)-1&amp;":U"&amp;MATCH(BG8,数出表_Excel!$A:$A,0)-1&amp;""),0)+1,""),
IF(BC53&lt;&gt;"",
MATCH(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INDIRECT("数出表_Excel!B"&amp;MATCH(BG8,数出表_Excel!$A:$A,0)-1&amp;":U"&amp;MATCH(BG8,数出表_Excel!$A:$A,0)-1&amp;""),0)+1,""))</f>
        <v>#VALUE!</v>
      </c>
      <c r="BC51" s="70" t="str">
        <f t="array" aca="1" ref="BC51" ca="1">IFERROR(IF(OR(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"3"),"*配膳*"),
COUNTIF(INDIRECT("数出表_Excel!"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"3"),"*カレー*"),
COUNTIF(BC8,"*合計*")),"",
IF(IFERROR(INDIRECT("数出表_Excel!"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"3"),0)=0,"",
IFERROR(INDIRECT("数出表_Excel!" &amp;
CHAR(MATCH(TRUE,
ISNUMBER(--INDIRECT("数出表_Excel!"&amp;BB50&amp;MATCH(BG8,数出表_Excel!$A:$A,0)-1&amp;":U"&amp;MATCH(BG8,数出表_Excel!$A:$A,0)-1&amp;"")),0)
+MATCH(TRUE, ISNUMBER(--INDIRECT("数出表_Excel!B" &amp; (MATCH(BG8,数出表_Excel!$A:$A,0)-1) &amp; ":U" &amp; (MATCH(BG8,数出表_Excel!$A:$A,0)-1))), 0)
+65) &amp; "3"),""))),"")</f>
        <v/>
      </c>
      <c r="BD51" s="129"/>
      <c r="BE51" s="136" t="str">
        <f ca="1">IF(BF51&lt;&gt;"","",
IF(BC50&lt;&gt;"",
IFERROR(
INDEX('数出表_Excel（アレルギー入力）'!$4:$4,
 1,
MATCH(BC53,INDIRECT("'数出表_Excel（アレルギー入力）'!"&amp;BB8-1&amp;":"&amp;BB8-1&amp;""),0)),
 "")
&amp;IFERROR(
INDEX('数出表_Excel（アレルギー入力）'!$5:$5,
 1,
MATCH(BC53,INDIRECT("'数出表_Excel（アレルギー入力）'!"&amp;BB8-1&amp;":"&amp;BB8-1&amp;""),0)),
 ""),""))</f>
        <v/>
      </c>
      <c r="BF51" s="137" t="str">
        <f t="array" aca="1" ref="BF51" ca="1">IF(BC51&lt;&gt;"",
IF(MATCH(TRUE,
ISNUMBER(--INDIRECT("数出表_Excel!B"&amp;MATCH(BG8,数出表_Excel!$A:$A,0)-1&amp;":U"&amp;MATCH(BG8,数出表_Excel!$A:$A,0)-1&amp;"")),0)&gt;10,
IF(BC51&lt;&gt;"",
IF(IF(COUNTIF('盛付札（関数）'!BC51,"*キャラ*"),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VLOOKUP('盛付札（関数）'!BC51,商品マスタ一覧!$D:$J,7,FALSE)))=0,"",
IF(ROUND(
IF(BF56&lt;&gt;"",(BC53-BF56),BC53)
/IF(COUNTIF('盛付札（関数）'!BC51,"*キャラ*"),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VLOOKUP('盛付札（関数）'!BC51,商品マスタ一覧!$D:$J,7,FALSE))),0)&lt;=0,1,
ROUND(
IF(BF56&lt;&gt;"",(BC53-BF56),BC53)
/IF(COUNTIF('盛付札（関数）'!BC51,"*キャラ*"),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VLOOKUP('盛付札（関数）'!BC51,商品マスタ一覧!$D:$J,7,FALSE))),0))),""),""),"")</f>
        <v/>
      </c>
      <c r="BG51" s="153" t="str">
        <f ca="1">IF(BF51&lt;&gt;"",IF(BC53&lt;&gt;"",IF(VALUE(IF(BF56&lt;&gt;"",BC53-BF56,BC53))&gt;VALUE(IF(COUNTIF('盛付札（関数）'!BC51,"*キャラ*"),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
"+"&amp;IF(BF56&lt;&gt;"",BC53-BF56,BC53)-IF(COUNTIF('盛付札（関数）'!BC51,"*キャラ*"),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VLOOKUP('盛付札（関数）'!BC51,商品マスタ一覧!$D:$J,7,FALSE)))*BF51,
IF(BF56&lt;&gt;"",BC53-BF56,BC53)-IF(COUNTIF('盛付札（関数）'!BC51,"*キャラ*"),
VLOOKUP("*キャラ*",商品マスタ一覧!$D:$J,7,FALSE),
IF(COUNTIF('盛付札（関数）'!BC51,"*赤*"),
VLOOKUP("*赤*",商品マスタ一覧!$D:$J,7,FALSE),
VLOOKUP('盛付札（関数）'!BC51,商品マスタ一覧!$D:$J,7,FALSE)))*BF51),""),"")</f>
        <v/>
      </c>
      <c r="BH51" s="129"/>
      <c r="BI51" s="129"/>
      <c r="BJ51" s="135" t="e">
        <f t="array" aca="1" ref="BJ51" ca="1">IF(BJ10&lt;&gt;100,
IF(BK53&lt;&gt;"",MATCH(BK53,INDIRECT("数出表_Excel!B"&amp;MATCH(BO8,数出表_Excel!$A:$A,0)-1&amp;":U"&amp;MATCH(BO8,数出表_Excel!$A:$A,0)-1&amp;""),0)+1,""),
IF(BK53&lt;&gt;"",
MATCH(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INDIRECT("数出表_Excel!B"&amp;MATCH(BO8,数出表_Excel!$A:$A,0)-1&amp;":U"&amp;MATCH(BO8,数出表_Excel!$A:$A,0)-1&amp;""),0)+1,""))</f>
        <v>#VALUE!</v>
      </c>
      <c r="BK51" s="70" t="str">
        <f t="array" aca="1" ref="BK51" ca="1">IFERROR(IF(OR(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"3"),"*配膳*"),
COUNTIF(INDIRECT("数出表_Excel!"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"3"),"*カレー*"),
COUNTIF(BK8,"*合計*")),"",
IF(IFERROR(INDIRECT("数出表_Excel!"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"3"),0)=0,"",
IFERROR(INDIRECT("数出表_Excel!" &amp;
CHAR(MATCH(TRUE,
ISNUMBER(--INDIRECT("数出表_Excel!"&amp;BJ50&amp;MATCH(BO8,数出表_Excel!$A:$A,0)-1&amp;":U"&amp;MATCH(BO8,数出表_Excel!$A:$A,0)-1&amp;"")),0)
+MATCH(TRUE, ISNUMBER(--INDIRECT("数出表_Excel!B" &amp; (MATCH(BO8,数出表_Excel!$A:$A,0)-1) &amp; ":U" &amp; (MATCH(BO8,数出表_Excel!$A:$A,0)-1))), 0)
+65) &amp; "3"),""))),"")</f>
        <v/>
      </c>
      <c r="BL51" s="129"/>
      <c r="BM51" s="136" t="str">
        <f ca="1">IF(BN51&lt;&gt;"","",
IF(BK50&lt;&gt;"",
IFERROR(
INDEX('数出表_Excel（アレルギー入力）'!$4:$4,
 1,
MATCH(BK53,INDIRECT("'数出表_Excel（アレルギー入力）'!"&amp;BJ8-1&amp;":"&amp;BJ8-1&amp;""),0)),
 "")
&amp;IFERROR(
INDEX('数出表_Excel（アレルギー入力）'!$5:$5,
 1,
MATCH(BK53,INDIRECT("'数出表_Excel（アレルギー入力）'!"&amp;BJ8-1&amp;":"&amp;BJ8-1&amp;""),0)),
 ""),""))</f>
        <v/>
      </c>
      <c r="BN51" s="137" t="str">
        <f t="array" aca="1" ref="BN51" ca="1">IF(BK51&lt;&gt;"",
IF(MATCH(TRUE,
ISNUMBER(--INDIRECT("数出表_Excel!B"&amp;MATCH(BO8,数出表_Excel!$A:$A,0)-1&amp;":U"&amp;MATCH(BO8,数出表_Excel!$A:$A,0)-1&amp;"")),0)&gt;10,
IF(BK51&lt;&gt;"",
IF(IF(COUNTIF('盛付札（関数）'!BK51,"*キャラ*"),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VLOOKUP('盛付札（関数）'!BK51,商品マスタ一覧!$D:$J,7,FALSE)))=0,"",
IF(ROUND(
IF(BN56&lt;&gt;"",(BK53-BN56),BK53)
/IF(COUNTIF('盛付札（関数）'!BK51,"*キャラ*"),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VLOOKUP('盛付札（関数）'!BK51,商品マスタ一覧!$D:$J,7,FALSE))),0)&lt;=0,1,
ROUND(
IF(BN56&lt;&gt;"",(BK53-BN56),BK53)
/IF(COUNTIF('盛付札（関数）'!BK51,"*キャラ*"),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VLOOKUP('盛付札（関数）'!BK51,商品マスタ一覧!$D:$J,7,FALSE))),0))),""),""),"")</f>
        <v/>
      </c>
      <c r="BO51" s="153" t="str">
        <f ca="1">IF(BN51&lt;&gt;"",IF(BK53&lt;&gt;"",IF(VALUE(IF(BN56&lt;&gt;"",BK53-BN56,BK53))&gt;VALUE(IF(COUNTIF('盛付札（関数）'!BK51,"*キャラ*"),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
"+"&amp;IF(BN56&lt;&gt;"",BK53-BN56,BK53)-IF(COUNTIF('盛付札（関数）'!BK51,"*キャラ*"),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VLOOKUP('盛付札（関数）'!BK51,商品マスタ一覧!$D:$J,7,FALSE)))*BN51,
IF(BN56&lt;&gt;"",BK53-BN56,BK53)-IF(COUNTIF('盛付札（関数）'!BK51,"*キャラ*"),
VLOOKUP("*キャラ*",商品マスタ一覧!$D:$J,7,FALSE),
IF(COUNTIF('盛付札（関数）'!BK51,"*赤*"),
VLOOKUP("*赤*",商品マスタ一覧!$D:$J,7,FALSE),
VLOOKUP('盛付札（関数）'!BK51,商品マスタ一覧!$D:$J,7,FALSE)))*BN51),""),"")</f>
        <v/>
      </c>
      <c r="BP51" s="129"/>
      <c r="BQ51" s="135" t="e">
        <f t="array" aca="1" ref="BQ51" ca="1">IF(BQ10&lt;&gt;100,
IF(BR53&lt;&gt;"",MATCH(BR53,INDIRECT("数出表_Excel!B"&amp;MATCH(BV8,数出表_Excel!$A:$A,0)-1&amp;":U"&amp;MATCH(BV8,数出表_Excel!$A:$A,0)-1&amp;""),0)+1,""),
IF(BR53&lt;&gt;"",
MATCH(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INDIRECT("数出表_Excel!B"&amp;MATCH(BV8,数出表_Excel!$A:$A,0)-1&amp;":U"&amp;MATCH(BV8,数出表_Excel!$A:$A,0)-1&amp;""),0)+1,""))</f>
        <v>#VALUE!</v>
      </c>
      <c r="BR51" s="70" t="str">
        <f t="array" aca="1" ref="BR51" ca="1">IFERROR(IF(OR(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"3"),"*配膳*"),
COUNTIF(INDIRECT("数出表_Excel!"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"3"),"*カレー*"),
COUNTIF(BR8,"*合計*")),"",
IF(IFERROR(INDIRECT("数出表_Excel!"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"3"),0)=0,"",
IFERROR(INDIRECT("数出表_Excel!" &amp;
CHAR(MATCH(TRUE,
ISNUMBER(--INDIRECT("数出表_Excel!"&amp;BQ50&amp;MATCH(BV8,数出表_Excel!$A:$A,0)-1&amp;":U"&amp;MATCH(BV8,数出表_Excel!$A:$A,0)-1&amp;"")),0)
+MATCH(TRUE, ISNUMBER(--INDIRECT("数出表_Excel!B" &amp; (MATCH(BV8,数出表_Excel!$A:$A,0)-1) &amp; ":U" &amp; (MATCH(BV8,数出表_Excel!$A:$A,0)-1))), 0)
+65) &amp; "3"),""))),"")</f>
        <v/>
      </c>
      <c r="BS51" s="129"/>
      <c r="BT51" s="136" t="str">
        <f ca="1">IF(BU51&lt;&gt;"","",
IF(BR50&lt;&gt;"",
IFERROR(
INDEX('数出表_Excel（アレルギー入力）'!$4:$4,
 1,
MATCH(BR53,INDIRECT("'数出表_Excel（アレルギー入力）'!"&amp;BQ8-1&amp;":"&amp;BQ8-1&amp;""),0)),
 "")
&amp;IFERROR(
INDEX('数出表_Excel（アレルギー入力）'!$5:$5,
 1,
MATCH(BR53,INDIRECT("'数出表_Excel（アレルギー入力）'!"&amp;BQ8-1&amp;":"&amp;BQ8-1&amp;""),0)),
 ""),""))</f>
        <v/>
      </c>
      <c r="BU51" s="137" t="str">
        <f t="array" aca="1" ref="BU51" ca="1">IF(BR51&lt;&gt;"",
IF(MATCH(TRUE,
ISNUMBER(--INDIRECT("数出表_Excel!B"&amp;MATCH(BV8,数出表_Excel!$A:$A,0)-1&amp;":U"&amp;MATCH(BV8,数出表_Excel!$A:$A,0)-1&amp;"")),0)&gt;10,
IF(BR51&lt;&gt;"",
IF(IF(COUNTIF('盛付札（関数）'!BR51,"*キャラ*"),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VLOOKUP('盛付札（関数）'!BR51,商品マスタ一覧!$D:$J,7,FALSE)))=0,"",
IF(ROUND(
IF(BU56&lt;&gt;"",(BR53-BU56),BR53)
/IF(COUNTIF('盛付札（関数）'!BR51,"*キャラ*"),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VLOOKUP('盛付札（関数）'!BR51,商品マスタ一覧!$D:$J,7,FALSE))),0)&lt;=0,1,
ROUND(
IF(BU56&lt;&gt;"",(BR53-BU56),BR53)
/IF(COUNTIF('盛付札（関数）'!BR51,"*キャラ*"),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VLOOKUP('盛付札（関数）'!BR51,商品マスタ一覧!$D:$J,7,FALSE))),0))),""),""),"")</f>
        <v/>
      </c>
      <c r="BV51" s="153" t="str">
        <f ca="1">IF(BU51&lt;&gt;"",IF(BR53&lt;&gt;"",IF(VALUE(IF(BU56&lt;&gt;"",BR53-BU56,BR53))&gt;VALUE(IF(COUNTIF('盛付札（関数）'!BR51,"*キャラ*"),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
"+"&amp;IF(BU56&lt;&gt;"",BR53-BU56,BR53)-IF(COUNTIF('盛付札（関数）'!BR51,"*キャラ*"),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VLOOKUP('盛付札（関数）'!BR51,商品マスタ一覧!$D:$J,7,FALSE)))*BU51,
IF(BU56&lt;&gt;"",BR53-BU56,BR53)-IF(COUNTIF('盛付札（関数）'!BR51,"*キャラ*"),
VLOOKUP("*キャラ*",商品マスタ一覧!$D:$J,7,FALSE),
IF(COUNTIF('盛付札（関数）'!BR51,"*赤*"),
VLOOKUP("*赤*",商品マスタ一覧!$D:$J,7,FALSE),
VLOOKUP('盛付札（関数）'!BR51,商品マスタ一覧!$D:$J,7,FALSE)))*BU51),""),"")</f>
        <v/>
      </c>
      <c r="BW51" s="129"/>
      <c r="BY51" s="133" t="str">
        <f ca="1">AN1</f>
        <v/>
      </c>
      <c r="BZ51" s="133" t="str">
        <f ca="1">AN2</f>
        <v/>
      </c>
      <c r="CA51" s="133" t="str">
        <f ca="1">AP2</f>
        <v/>
      </c>
      <c r="CB51" s="134" t="str">
        <f ca="1">AQ2</f>
        <v/>
      </c>
      <c r="CC51" s="133" t="str">
        <f ca="1">AN4</f>
        <v/>
      </c>
      <c r="CD51" s="133" t="str">
        <f ca="1">AP4</f>
        <v/>
      </c>
      <c r="CE51" s="133" t="str">
        <f ca="1">AN6</f>
        <v/>
      </c>
      <c r="CF51" s="133" t="str">
        <f ca="1">AM7</f>
        <v/>
      </c>
      <c r="CG51" s="133" t="str">
        <f ca="1">AO7</f>
        <v/>
      </c>
      <c r="CH51" s="133" t="str">
        <f ca="1">AQ7</f>
        <v/>
      </c>
      <c r="CI51" s="132">
        <f t="shared" ca="1" si="3"/>
        <v>0</v>
      </c>
      <c r="CJ51" s="132" t="b">
        <f t="array" aca="1" ref="CJ51" ca="1">SUMPRODUCT((LEN(BY51:CH51)&gt;0)*1)&gt;0</f>
        <v>0</v>
      </c>
      <c r="CK51" s="132" t="str" cm="1">
        <f t="array" aca="1" ref="CK51" ca="1">IFERROR(SMALL(IF(CI$1:CI$150&lt;&gt;0,CI$1:CI$150),ROW(A51)),"")</f>
        <v/>
      </c>
      <c r="CL51" s="132" t="str">
        <f t="array" aca="1" ref="CL51" ca="1">IF($CK51&lt;&gt;"",
INDIRECT(""&amp;IF(COLUMN(BY51)&lt;=26,CHAR(COLUMN(BY51)+64),CHAR(INT((COLUMN(BY51)-1)/26)+64)&amp;CHAR(MOD(COLUMN(BY51)-1,26)+65))&amp;$CK51&amp;""),"")</f>
        <v/>
      </c>
      <c r="CM51" s="132" t="str">
        <f t="array" aca="1" ref="CM51" ca="1">IF($CK51&lt;&gt;"",
INDIRECT(""&amp;IF(COLUMN(BZ51)&lt;=26,CHAR(COLUMN(BZ51)+64),CHAR(INT((COLUMN(BZ51)-1)/26)+64)&amp;CHAR(MOD(COLUMN(BZ51)-1,26)+65))&amp;$CK51&amp;""),"")</f>
        <v/>
      </c>
      <c r="CN51" s="132" t="str">
        <f t="array" aca="1" ref="CN51" ca="1">IF($CK51&lt;&gt;"",
INDIRECT(""&amp;IF(COLUMN(CA51)&lt;=26,CHAR(COLUMN(CA51)+64),CHAR(INT((COLUMN(CA51)-1)/26)+64)&amp;CHAR(MOD(COLUMN(CA51)-1,26)+65))&amp;$CK51&amp;""),"")</f>
        <v/>
      </c>
      <c r="CO51" s="132" t="str">
        <f t="array" aca="1" ref="CO51" ca="1">IF($CK51&lt;&gt;"",
INDIRECT(""&amp;IF(COLUMN(CB51)&lt;=26,CHAR(COLUMN(CB51)+64),CHAR(INT((COLUMN(CB51)-1)/26)+64)&amp;CHAR(MOD(COLUMN(CB51)-1,26)+65))&amp;$CK51&amp;""),"")</f>
        <v/>
      </c>
      <c r="CP51" s="132" t="str">
        <f t="array" aca="1" ref="CP51" ca="1">IF($CK51&lt;&gt;"",
INDIRECT(""&amp;IF(COLUMN(CC51)&lt;=26,CHAR(COLUMN(CC51)+64),CHAR(INT((COLUMN(CC51)-1)/26)+64)&amp;CHAR(MOD(COLUMN(CC51)-1,26)+65))&amp;$CK51&amp;""),"")</f>
        <v/>
      </c>
      <c r="CQ51" s="132" t="str">
        <f t="array" aca="1" ref="CQ51" ca="1">IF($CK51&lt;&gt;"",
INDIRECT(""&amp;IF(COLUMN(CD51)&lt;=26,CHAR(COLUMN(CD51)+64),CHAR(INT((COLUMN(CD51)-1)/26)+64)&amp;CHAR(MOD(COLUMN(CD51)-1,26)+65))&amp;$CK51&amp;""),"")</f>
        <v/>
      </c>
      <c r="CR51" s="132" t="str">
        <f t="array" aca="1" ref="CR51" ca="1">IF($CK51&lt;&gt;"",
INDIRECT(""&amp;IF(COLUMN(CE51)&lt;=26,CHAR(COLUMN(CE51)+64),CHAR(INT((COLUMN(CE51)-1)/26)+64)&amp;CHAR(MOD(COLUMN(CE51)-1,26)+65))&amp;$CK51&amp;""),"")</f>
        <v/>
      </c>
      <c r="CS51" s="132" t="str">
        <f t="array" aca="1" ref="CS51" ca="1">IF($CK51&lt;&gt;"",
INDIRECT(""&amp;IF(COLUMN(CF51)&lt;=26,CHAR(COLUMN(CF51)+64),CHAR(INT((COLUMN(CF51)-1)/26)+64)&amp;CHAR(MOD(COLUMN(CF51)-1,26)+65))&amp;$CK51&amp;""),"")</f>
        <v/>
      </c>
      <c r="CT51" s="132" t="str">
        <f t="array" aca="1" ref="CT51" ca="1">IF($CK51&lt;&gt;"",
INDIRECT(""&amp;IF(COLUMN(CG51)&lt;=26,CHAR(COLUMN(CG51)+64),CHAR(INT((COLUMN(CG51)-1)/26)+64)&amp;CHAR(MOD(COLUMN(CG51)-1,26)+65))&amp;$CK51&amp;""),"")</f>
        <v/>
      </c>
      <c r="CU51" s="132" t="str">
        <f t="array" aca="1" ref="CU51" ca="1">IF($CK51&lt;&gt;"",
INDIRECT(""&amp;IF(COLUMN(CH51)&lt;=26,CHAR(COLUMN(CH51)+64),CHAR(INT((COLUMN(CH51)-1)/26)+64)&amp;CHAR(MOD(COLUMN(CH51)-1,26)+65))&amp;$CK51&amp;""),"")</f>
        <v/>
      </c>
    </row>
    <row r="52" spans="1:99" s="132" customFormat="1" ht="22.2" customHeight="1" x14ac:dyDescent="0.55000000000000004">
      <c r="A52" s="129"/>
      <c r="B52" s="138"/>
      <c r="C52" s="139" t="str">
        <f ca="1">IF(C53&lt;&gt;"","園児","")</f>
        <v/>
      </c>
      <c r="D52" s="140"/>
      <c r="E52" s="141" t="str">
        <f ca="1">IF(C53&lt;&gt;"","先生","")</f>
        <v/>
      </c>
      <c r="F52" s="140"/>
      <c r="G52" s="159"/>
      <c r="H52" s="129"/>
      <c r="I52" s="138"/>
      <c r="J52" s="139" t="str">
        <f ca="1">IF(J53&lt;&gt;"","園児","")</f>
        <v/>
      </c>
      <c r="K52" s="140"/>
      <c r="L52" s="141" t="str">
        <f ca="1">IF(J53&lt;&gt;"","先生","")</f>
        <v/>
      </c>
      <c r="M52" s="140"/>
      <c r="N52" s="154"/>
      <c r="O52" s="129"/>
      <c r="P52" s="129"/>
      <c r="Q52" s="138"/>
      <c r="R52" s="139" t="str">
        <f ca="1">IF(R53&lt;&gt;"","園児","")</f>
        <v/>
      </c>
      <c r="S52" s="140"/>
      <c r="T52" s="141" t="str">
        <f ca="1">IF(R53&lt;&gt;"","先生","")</f>
        <v/>
      </c>
      <c r="U52" s="140"/>
      <c r="V52" s="154"/>
      <c r="W52" s="129"/>
      <c r="X52" s="138"/>
      <c r="Y52" s="139" t="str">
        <f ca="1">IF(Y53&lt;&gt;"","園児","")</f>
        <v/>
      </c>
      <c r="Z52" s="140"/>
      <c r="AA52" s="141" t="str">
        <f ca="1">IF(Y53&lt;&gt;"","先生","")</f>
        <v/>
      </c>
      <c r="AB52" s="140"/>
      <c r="AC52" s="154"/>
      <c r="AD52" s="129"/>
      <c r="AE52" s="129"/>
      <c r="AF52" s="138"/>
      <c r="AG52" s="139" t="str">
        <f ca="1">IF(AG53&lt;&gt;"","園児","")</f>
        <v/>
      </c>
      <c r="AH52" s="140"/>
      <c r="AI52" s="141" t="str">
        <f ca="1">IF(AG53&lt;&gt;"","先生","")</f>
        <v/>
      </c>
      <c r="AJ52" s="140"/>
      <c r="AK52" s="154"/>
      <c r="AL52" s="129"/>
      <c r="AM52" s="138"/>
      <c r="AN52" s="139" t="str">
        <f ca="1">IF(AN53&lt;&gt;"","園児","")</f>
        <v/>
      </c>
      <c r="AO52" s="140"/>
      <c r="AP52" s="141" t="str">
        <f ca="1">IF(AN53&lt;&gt;"","先生","")</f>
        <v/>
      </c>
      <c r="AQ52" s="140"/>
      <c r="AR52" s="154"/>
      <c r="AS52" s="129"/>
      <c r="AT52" s="129"/>
      <c r="AU52" s="138"/>
      <c r="AV52" s="139" t="str">
        <f ca="1">IF(AV53&lt;&gt;"","園児","")</f>
        <v/>
      </c>
      <c r="AW52" s="140"/>
      <c r="AX52" s="141" t="str">
        <f ca="1">IF(AV53&lt;&gt;"","先生","")</f>
        <v/>
      </c>
      <c r="AY52" s="140"/>
      <c r="AZ52" s="154"/>
      <c r="BA52" s="129"/>
      <c r="BB52" s="138"/>
      <c r="BC52" s="139" t="str">
        <f ca="1">IF(BC53&lt;&gt;"","園児","")</f>
        <v/>
      </c>
      <c r="BD52" s="140"/>
      <c r="BE52" s="141" t="str">
        <f ca="1">IF(BC53&lt;&gt;"","先生","")</f>
        <v/>
      </c>
      <c r="BF52" s="140"/>
      <c r="BG52" s="154"/>
      <c r="BH52" s="129"/>
      <c r="BI52" s="129"/>
      <c r="BJ52" s="138"/>
      <c r="BK52" s="139" t="str">
        <f ca="1">IF(BK53&lt;&gt;"","園児","")</f>
        <v/>
      </c>
      <c r="BL52" s="140"/>
      <c r="BM52" s="141" t="str">
        <f ca="1">IF(BK53&lt;&gt;"","先生","")</f>
        <v/>
      </c>
      <c r="BN52" s="140"/>
      <c r="BO52" s="154"/>
      <c r="BP52" s="129"/>
      <c r="BQ52" s="138"/>
      <c r="BR52" s="139" t="str">
        <f ca="1">IF(BR53&lt;&gt;"","園児","")</f>
        <v/>
      </c>
      <c r="BS52" s="140"/>
      <c r="BT52" s="141" t="str">
        <f ca="1">IF(BR53&lt;&gt;"","先生","")</f>
        <v/>
      </c>
      <c r="BU52" s="140"/>
      <c r="BV52" s="154"/>
      <c r="BW52" s="129"/>
      <c r="BX52" s="132">
        <v>42</v>
      </c>
      <c r="BY52" s="132" t="str">
        <f t="array" aca="1" ref="BY52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LEN(SUBSTITUTE(_xlfn.FORMULATEXT(BY$51),"=","")))+$BX52)</f>
        <v/>
      </c>
      <c r="BZ52" s="132" t="str">
        <f t="array" aca="1" ref="BZ52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LEN(SUBSTITUTE(_xlfn.FORMULATEXT(BZ$51),"=","")))+$BX52)</f>
        <v/>
      </c>
      <c r="CA52" s="132" t="str">
        <f t="array" aca="1" ref="CA52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LEN(SUBSTITUTE(_xlfn.FORMULATEXT(CA$51),"=","")))+$BX52)</f>
        <v/>
      </c>
      <c r="CB52" s="132" t="str">
        <f t="array" aca="1" ref="CB52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LEN(SUBSTITUTE(_xlfn.FORMULATEXT(CB$51),"=","")))+$BX52)</f>
        <v/>
      </c>
      <c r="CC52" s="132" t="str">
        <f t="array" aca="1" ref="CC52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LEN(SUBSTITUTE(_xlfn.FORMULATEXT(CC$51),"=","")))+$BX52)</f>
        <v/>
      </c>
      <c r="CD52" s="132" t="str">
        <f t="array" aca="1" ref="CD52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LEN(SUBSTITUTE(_xlfn.FORMULATEXT(CD$51),"=","")))+$BX52)</f>
        <v/>
      </c>
      <c r="CE52" s="132" t="str">
        <f t="array" aca="1" ref="CE52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LEN(SUBSTITUTE(_xlfn.FORMULATEXT(CE$51),"=","")))+$BX52)</f>
        <v/>
      </c>
      <c r="CF52" s="132" t="str">
        <f t="array" aca="1" ref="CF52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LEN(SUBSTITUTE(_xlfn.FORMULATEXT(CF$51),"=","")))+$BX52)</f>
        <v/>
      </c>
      <c r="CG52" s="132" t="str">
        <f t="array" aca="1" ref="CG52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LEN(SUBSTITUTE(_xlfn.FORMULATEXT(CG$51),"=","")))+$BX52)</f>
        <v/>
      </c>
      <c r="CH52" s="132" t="str">
        <f t="array" aca="1" ref="CH52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LEN(SUBSTITUTE(_xlfn.FORMULATEXT(CH$51),"=","")))+$BX52)</f>
        <v/>
      </c>
      <c r="CI52" s="132">
        <f t="shared" ca="1" si="3"/>
        <v>0</v>
      </c>
      <c r="CJ52" s="132" t="b">
        <f t="array" aca="1" ref="CJ52" ca="1">SUMPRODUCT((LEN(BY52:CH52)&gt;0)*1)&gt;0</f>
        <v>0</v>
      </c>
      <c r="CK52" s="132" t="str" cm="1">
        <f t="array" aca="1" ref="CK52" ca="1">IFERROR(SMALL(IF(CI$1:CI$150&lt;&gt;0,CI$1:CI$150),ROW(A52)),"")</f>
        <v/>
      </c>
      <c r="CL52" s="132" t="str">
        <f t="array" aca="1" ref="CL52" ca="1">IF($CK52&lt;&gt;"",
INDIRECT(""&amp;IF(COLUMN(BY52)&lt;=26,CHAR(COLUMN(BY52)+64),CHAR(INT((COLUMN(BY52)-1)/26)+64)&amp;CHAR(MOD(COLUMN(BY52)-1,26)+65))&amp;$CK52&amp;""),"")</f>
        <v/>
      </c>
      <c r="CM52" s="132" t="str">
        <f t="array" aca="1" ref="CM52" ca="1">IF($CK52&lt;&gt;"",
INDIRECT(""&amp;IF(COLUMN(BZ52)&lt;=26,CHAR(COLUMN(BZ52)+64),CHAR(INT((COLUMN(BZ52)-1)/26)+64)&amp;CHAR(MOD(COLUMN(BZ52)-1,26)+65))&amp;$CK52&amp;""),"")</f>
        <v/>
      </c>
      <c r="CN52" s="132" t="str">
        <f t="array" aca="1" ref="CN52" ca="1">IF($CK52&lt;&gt;"",
INDIRECT(""&amp;IF(COLUMN(CA52)&lt;=26,CHAR(COLUMN(CA52)+64),CHAR(INT((COLUMN(CA52)-1)/26)+64)&amp;CHAR(MOD(COLUMN(CA52)-1,26)+65))&amp;$CK52&amp;""),"")</f>
        <v/>
      </c>
      <c r="CO52" s="132" t="str">
        <f t="array" aca="1" ref="CO52" ca="1">IF($CK52&lt;&gt;"",
INDIRECT(""&amp;IF(COLUMN(CB52)&lt;=26,CHAR(COLUMN(CB52)+64),CHAR(INT((COLUMN(CB52)-1)/26)+64)&amp;CHAR(MOD(COLUMN(CB52)-1,26)+65))&amp;$CK52&amp;""),"")</f>
        <v/>
      </c>
      <c r="CP52" s="132" t="str">
        <f t="array" aca="1" ref="CP52" ca="1">IF($CK52&lt;&gt;"",
INDIRECT(""&amp;IF(COLUMN(CC52)&lt;=26,CHAR(COLUMN(CC52)+64),CHAR(INT((COLUMN(CC52)-1)/26)+64)&amp;CHAR(MOD(COLUMN(CC52)-1,26)+65))&amp;$CK52&amp;""),"")</f>
        <v/>
      </c>
      <c r="CQ52" s="132" t="str">
        <f t="array" aca="1" ref="CQ52" ca="1">IF($CK52&lt;&gt;"",
INDIRECT(""&amp;IF(COLUMN(CD52)&lt;=26,CHAR(COLUMN(CD52)+64),CHAR(INT((COLUMN(CD52)-1)/26)+64)&amp;CHAR(MOD(COLUMN(CD52)-1,26)+65))&amp;$CK52&amp;""),"")</f>
        <v/>
      </c>
      <c r="CR52" s="132" t="str">
        <f t="array" aca="1" ref="CR52" ca="1">IF($CK52&lt;&gt;"",
INDIRECT(""&amp;IF(COLUMN(CE52)&lt;=26,CHAR(COLUMN(CE52)+64),CHAR(INT((COLUMN(CE52)-1)/26)+64)&amp;CHAR(MOD(COLUMN(CE52)-1,26)+65))&amp;$CK52&amp;""),"")</f>
        <v/>
      </c>
      <c r="CS52" s="132" t="str">
        <f t="array" aca="1" ref="CS52" ca="1">IF($CK52&lt;&gt;"",
INDIRECT(""&amp;IF(COLUMN(CF52)&lt;=26,CHAR(COLUMN(CF52)+64),CHAR(INT((COLUMN(CF52)-1)/26)+64)&amp;CHAR(MOD(COLUMN(CF52)-1,26)+65))&amp;$CK52&amp;""),"")</f>
        <v/>
      </c>
      <c r="CT52" s="132" t="str">
        <f t="array" aca="1" ref="CT52" ca="1">IF($CK52&lt;&gt;"",
INDIRECT(""&amp;IF(COLUMN(CG52)&lt;=26,CHAR(COLUMN(CG52)+64),CHAR(INT((COLUMN(CG52)-1)/26)+64)&amp;CHAR(MOD(COLUMN(CG52)-1,26)+65))&amp;$CK52&amp;""),"")</f>
        <v/>
      </c>
      <c r="CU52" s="132" t="str">
        <f t="array" aca="1" ref="CU52" ca="1">IF($CK52&lt;&gt;"",
INDIRECT(""&amp;IF(COLUMN(CH52)&lt;=26,CHAR(COLUMN(CH52)+64),CHAR(INT((COLUMN(CH52)-1)/26)+64)&amp;CHAR(MOD(COLUMN(CH52)-1,26)+65))&amp;$CK52&amp;""),"")</f>
        <v/>
      </c>
    </row>
    <row r="53" spans="1:99" ht="18" customHeight="1" x14ac:dyDescent="0.45">
      <c r="B53" s="143"/>
      <c r="C53" s="120" t="str">
        <f t="array" aca="1" ref="C53" ca="1">IF(C51&lt;&gt;"",
IF(IFERROR(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"")=0,"",
IF(B10=100,
IFERROR(
INDEX(INDIRECT("数出表_Excel!"&amp;B50&amp;MATCH(G8,数出表_Excel!$A:$A,0)-1+2&amp;":U"&amp;MATCH(G8,数出表_Excel!$A:$A,0)-1+2&amp;""),
 1,
 MATCH(TRUE, ISNUMBER(--INDIRECT("数出表_Excel!"&amp;B50&amp;MATCH(G8,数出表_Excel!$A:$A,0)-1+2&amp;":U"&amp;MATCH(G8,数出表_Excel!$A:$A,0)-1+2&amp;"")), 0)),
 "")
+IFERROR(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""),
IFERROR(
INDEX(INDIRECT("数出表_Excel!"&amp;B50&amp;MATCH(G8,数出表_Excel!$A:$A,0)-1&amp;":U"&amp;MATCH(G8,数出表_Excel!$A:$A,0)-1&amp;""),
 1,
 MATCH(TRUE, ISNUMBER(--INDIRECT("数出表_Excel!"&amp;B50&amp;MATCH(G8,数出表_Excel!$A:$A,0)-1&amp;":U"&amp;MATCH(G8,数出表_Excel!$A:$A,0)-1&amp;"")), 0)),
 ""))),"")</f>
        <v/>
      </c>
      <c r="D53" s="144"/>
      <c r="E53" s="145" t="str">
        <f t="array" aca="1" ref="E53" ca="1">IF(C9&lt;&gt;"",
IF(IFERROR(
INDEX(INDIRECT("数出表_Excel!B"&amp;MATCH(G8,数出表_Excel!$A:$A,0)&amp;":U"&amp;MATCH(G8,数出表_Excel!$A:$A,0)&amp;""),
 1,B51-1),
 "")=0,"",
IFERROR(
INDEX(INDIRECT("数出表_Excel!B"&amp;MATCH(G8,数出表_Excel!$A:$A,0)&amp;":U"&amp;MATCH(G8,数出表_Excel!$A:$A,0)&amp;""),
 1,B51-1),
 "")),"")</f>
        <v/>
      </c>
      <c r="F53" s="144"/>
      <c r="G53" s="159"/>
      <c r="I53" s="143"/>
      <c r="J53" s="120" t="str">
        <f t="array" aca="1" ref="J53" ca="1">IF(J51&lt;&gt;"",
IF(IFERROR(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"")=0,"",
IF(I10=100,
IFERROR(
INDEX(INDIRECT("数出表_Excel!"&amp;I50&amp;MATCH(N8,数出表_Excel!$A:$A,0)-1+2&amp;":U"&amp;MATCH(N8,数出表_Excel!$A:$A,0)-1+2&amp;""),
 1,
 MATCH(TRUE, ISNUMBER(--INDIRECT("数出表_Excel!"&amp;I50&amp;MATCH(N8,数出表_Excel!$A:$A,0)-1+2&amp;":U"&amp;MATCH(N8,数出表_Excel!$A:$A,0)-1+2&amp;"")), 0)),
 "")
+IFERROR(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""),
IFERROR(
INDEX(INDIRECT("数出表_Excel!"&amp;I50&amp;MATCH(N8,数出表_Excel!$A:$A,0)-1&amp;":U"&amp;MATCH(N8,数出表_Excel!$A:$A,0)-1&amp;""),
 1,
 MATCH(TRUE, ISNUMBER(--INDIRECT("数出表_Excel!"&amp;I50&amp;MATCH(N8,数出表_Excel!$A:$A,0)-1&amp;":U"&amp;MATCH(N8,数出表_Excel!$A:$A,0)-1&amp;"")), 0)),
 ""))),"")</f>
        <v/>
      </c>
      <c r="K53" s="144"/>
      <c r="L53" s="145" t="str">
        <f t="array" aca="1" ref="L53" ca="1">IF(J9&lt;&gt;"",
IF(IFERROR(
INDEX(INDIRECT("数出表_Excel!B"&amp;MATCH(N8,数出表_Excel!$A:$A,0)&amp;":U"&amp;MATCH(N8,数出表_Excel!$A:$A,0)&amp;""),
 1,I51-1),
 "")=0,"",
IFERROR(
INDEX(INDIRECT("数出表_Excel!B"&amp;MATCH(N8,数出表_Excel!$A:$A,0)&amp;":U"&amp;MATCH(N8,数出表_Excel!$A:$A,0)&amp;""),
 1,I51-1),
 "")),"")</f>
        <v/>
      </c>
      <c r="M53" s="144"/>
      <c r="N53" s="154"/>
      <c r="Q53" s="143"/>
      <c r="R53" s="120" t="str">
        <f t="array" aca="1" ref="R53" ca="1">IF(R51&lt;&gt;"",
IF(IFERROR(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"")=0,"",
IF(Q10=100,
IFERROR(
INDEX(INDIRECT("数出表_Excel!"&amp;Q50&amp;MATCH(V8,数出表_Excel!$A:$A,0)-1+2&amp;":U"&amp;MATCH(V8,数出表_Excel!$A:$A,0)-1+2&amp;""),
 1,
 MATCH(TRUE, ISNUMBER(--INDIRECT("数出表_Excel!"&amp;Q50&amp;MATCH(V8,数出表_Excel!$A:$A,0)-1+2&amp;":U"&amp;MATCH(V8,数出表_Excel!$A:$A,0)-1+2&amp;"")), 0)),
 "")
+IFERROR(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""),
IFERROR(
INDEX(INDIRECT("数出表_Excel!"&amp;Q50&amp;MATCH(V8,数出表_Excel!$A:$A,0)-1&amp;":U"&amp;MATCH(V8,数出表_Excel!$A:$A,0)-1&amp;""),
 1,
 MATCH(TRUE, ISNUMBER(--INDIRECT("数出表_Excel!"&amp;Q50&amp;MATCH(V8,数出表_Excel!$A:$A,0)-1&amp;":U"&amp;MATCH(V8,数出表_Excel!$A:$A,0)-1&amp;"")), 0)),
 ""))),"")</f>
        <v/>
      </c>
      <c r="S53" s="144"/>
      <c r="T53" s="145" t="str">
        <f t="array" aca="1" ref="T53" ca="1">IF(R9&lt;&gt;"",
IF(IFERROR(
INDEX(INDIRECT("数出表_Excel!B"&amp;MATCH(V8,数出表_Excel!$A:$A,0)&amp;":U"&amp;MATCH(V8,数出表_Excel!$A:$A,0)&amp;""),
 1,Q51-1),
 "")=0,"",
IFERROR(
INDEX(INDIRECT("数出表_Excel!B"&amp;MATCH(V8,数出表_Excel!$A:$A,0)&amp;":U"&amp;MATCH(V8,数出表_Excel!$A:$A,0)&amp;""),
 1,Q51-1),
 "")),"")</f>
        <v/>
      </c>
      <c r="U53" s="144"/>
      <c r="V53" s="154"/>
      <c r="X53" s="143"/>
      <c r="Y53" s="120" t="str">
        <f t="array" aca="1" ref="Y53" ca="1">IF(Y51&lt;&gt;"",
IF(IFERROR(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"")=0,"",
IF(X10=100,
IFERROR(
INDEX(INDIRECT("数出表_Excel!"&amp;X50&amp;MATCH(AC8,数出表_Excel!$A:$A,0)-1+2&amp;":U"&amp;MATCH(AC8,数出表_Excel!$A:$A,0)-1+2&amp;""),
 1,
 MATCH(TRUE, ISNUMBER(--INDIRECT("数出表_Excel!"&amp;X50&amp;MATCH(AC8,数出表_Excel!$A:$A,0)-1+2&amp;":U"&amp;MATCH(AC8,数出表_Excel!$A:$A,0)-1+2&amp;"")), 0)),
 "")
+IFERROR(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""),
IFERROR(
INDEX(INDIRECT("数出表_Excel!"&amp;X50&amp;MATCH(AC8,数出表_Excel!$A:$A,0)-1&amp;":U"&amp;MATCH(AC8,数出表_Excel!$A:$A,0)-1&amp;""),
 1,
 MATCH(TRUE, ISNUMBER(--INDIRECT("数出表_Excel!"&amp;X50&amp;MATCH(AC8,数出表_Excel!$A:$A,0)-1&amp;":U"&amp;MATCH(AC8,数出表_Excel!$A:$A,0)-1&amp;"")), 0)),
 ""))),"")</f>
        <v/>
      </c>
      <c r="Z53" s="144"/>
      <c r="AA53" s="145" t="str">
        <f t="array" aca="1" ref="AA53" ca="1">IF(Y9&lt;&gt;"",
IF(IFERROR(
INDEX(INDIRECT("数出表_Excel!B"&amp;MATCH(AC8,数出表_Excel!$A:$A,0)&amp;":U"&amp;MATCH(AC8,数出表_Excel!$A:$A,0)&amp;""),
 1,X51-1),
 "")=0,"",
IFERROR(
INDEX(INDIRECT("数出表_Excel!B"&amp;MATCH(AC8,数出表_Excel!$A:$A,0)&amp;":U"&amp;MATCH(AC8,数出表_Excel!$A:$A,0)&amp;""),
 1,X51-1),
 "")),"")</f>
        <v/>
      </c>
      <c r="AB53" s="144"/>
      <c r="AC53" s="154"/>
      <c r="AF53" s="143"/>
      <c r="AG53" s="120" t="str">
        <f t="array" aca="1" ref="AG53" ca="1">IF(AG51&lt;&gt;"",
IF(IFERROR(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"")=0,"",
IF(AF10=100,
IFERROR(
INDEX(INDIRECT("数出表_Excel!"&amp;AF50&amp;MATCH(AK8,数出表_Excel!$A:$A,0)-1+2&amp;":U"&amp;MATCH(AK8,数出表_Excel!$A:$A,0)-1+2&amp;""),
 1,
 MATCH(TRUE, ISNUMBER(--INDIRECT("数出表_Excel!"&amp;AF50&amp;MATCH(AK8,数出表_Excel!$A:$A,0)-1+2&amp;":U"&amp;MATCH(AK8,数出表_Excel!$A:$A,0)-1+2&amp;"")), 0)),
 "")
+IFERROR(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""),
IFERROR(
INDEX(INDIRECT("数出表_Excel!"&amp;AF50&amp;MATCH(AK8,数出表_Excel!$A:$A,0)-1&amp;":U"&amp;MATCH(AK8,数出表_Excel!$A:$A,0)-1&amp;""),
 1,
 MATCH(TRUE, ISNUMBER(--INDIRECT("数出表_Excel!"&amp;AF50&amp;MATCH(AK8,数出表_Excel!$A:$A,0)-1&amp;":U"&amp;MATCH(AK8,数出表_Excel!$A:$A,0)-1&amp;"")), 0)),
 ""))),"")</f>
        <v/>
      </c>
      <c r="AH53" s="144"/>
      <c r="AI53" s="145" t="str">
        <f t="array" aca="1" ref="AI53" ca="1">IF(AG9&lt;&gt;"",
IF(IFERROR(
INDEX(INDIRECT("数出表_Excel!B"&amp;MATCH(AK8,数出表_Excel!$A:$A,0)&amp;":U"&amp;MATCH(AK8,数出表_Excel!$A:$A,0)&amp;""),
 1,AF51-1),
 "")=0,"",
IFERROR(
INDEX(INDIRECT("数出表_Excel!B"&amp;MATCH(AK8,数出表_Excel!$A:$A,0)&amp;":U"&amp;MATCH(AK8,数出表_Excel!$A:$A,0)&amp;""),
 1,AF51-1),
 "")),"")</f>
        <v/>
      </c>
      <c r="AJ53" s="144"/>
      <c r="AK53" s="154"/>
      <c r="AM53" s="143"/>
      <c r="AN53" s="120" t="str">
        <f t="array" aca="1" ref="AN53" ca="1">IF(AN51&lt;&gt;"",
IF(IFERROR(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"")=0,"",
IF(AM10=100,
IFERROR(
INDEX(INDIRECT("数出表_Excel!"&amp;AM50&amp;MATCH(AR8,数出表_Excel!$A:$A,0)-1+2&amp;":U"&amp;MATCH(AR8,数出表_Excel!$A:$A,0)-1+2&amp;""),
 1,
 MATCH(TRUE, ISNUMBER(--INDIRECT("数出表_Excel!"&amp;AM50&amp;MATCH(AR8,数出表_Excel!$A:$A,0)-1+2&amp;":U"&amp;MATCH(AR8,数出表_Excel!$A:$A,0)-1+2&amp;"")), 0)),
 "")
+IFERROR(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""),
IFERROR(
INDEX(INDIRECT("数出表_Excel!"&amp;AM50&amp;MATCH(AR8,数出表_Excel!$A:$A,0)-1&amp;":U"&amp;MATCH(AR8,数出表_Excel!$A:$A,0)-1&amp;""),
 1,
 MATCH(TRUE, ISNUMBER(--INDIRECT("数出表_Excel!"&amp;AM50&amp;MATCH(AR8,数出表_Excel!$A:$A,0)-1&amp;":U"&amp;MATCH(AR8,数出表_Excel!$A:$A,0)-1&amp;"")), 0)),
 ""))),"")</f>
        <v/>
      </c>
      <c r="AO53" s="144"/>
      <c r="AP53" s="145" t="str">
        <f t="array" aca="1" ref="AP53" ca="1">IF(AN9&lt;&gt;"",
IF(IFERROR(
INDEX(INDIRECT("数出表_Excel!B"&amp;MATCH(AR8,数出表_Excel!$A:$A,0)&amp;":U"&amp;MATCH(AR8,数出表_Excel!$A:$A,0)&amp;""),
 1,AM51-1),
 "")=0,"",
IFERROR(
INDEX(INDIRECT("数出表_Excel!B"&amp;MATCH(AR8,数出表_Excel!$A:$A,0)&amp;":U"&amp;MATCH(AR8,数出表_Excel!$A:$A,0)&amp;""),
 1,AM51-1),
 "")),"")</f>
        <v/>
      </c>
      <c r="AQ53" s="144"/>
      <c r="AR53" s="154"/>
      <c r="AU53" s="143"/>
      <c r="AV53" s="120" t="str">
        <f t="array" aca="1" ref="AV53" ca="1">IF(AV51&lt;&gt;"",
IF(IFERROR(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"")=0,"",
IF(AU10=100,
IFERROR(
INDEX(INDIRECT("数出表_Excel!"&amp;AU50&amp;MATCH(AZ8,数出表_Excel!$A:$A,0)-1+2&amp;":U"&amp;MATCH(AZ8,数出表_Excel!$A:$A,0)-1+2&amp;""),
 1,
 MATCH(TRUE, ISNUMBER(--INDIRECT("数出表_Excel!"&amp;AU50&amp;MATCH(AZ8,数出表_Excel!$A:$A,0)-1+2&amp;":U"&amp;MATCH(AZ8,数出表_Excel!$A:$A,0)-1+2&amp;"")), 0)),
 "")
+IFERROR(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""),
IFERROR(
INDEX(INDIRECT("数出表_Excel!"&amp;AU50&amp;MATCH(AZ8,数出表_Excel!$A:$A,0)-1&amp;":U"&amp;MATCH(AZ8,数出表_Excel!$A:$A,0)-1&amp;""),
 1,
 MATCH(TRUE, ISNUMBER(--INDIRECT("数出表_Excel!"&amp;AU50&amp;MATCH(AZ8,数出表_Excel!$A:$A,0)-1&amp;":U"&amp;MATCH(AZ8,数出表_Excel!$A:$A,0)-1&amp;"")), 0)),
 ""))),"")</f>
        <v/>
      </c>
      <c r="AW53" s="144"/>
      <c r="AX53" s="145" t="str">
        <f t="array" aca="1" ref="AX53" ca="1">IF(AV9&lt;&gt;"",
IF(IFERROR(
INDEX(INDIRECT("数出表_Excel!B"&amp;MATCH(AZ8,数出表_Excel!$A:$A,0)&amp;":U"&amp;MATCH(AZ8,数出表_Excel!$A:$A,0)&amp;""),
 1,AU51-1),
 "")=0,"",
IFERROR(
INDEX(INDIRECT("数出表_Excel!B"&amp;MATCH(AZ8,数出表_Excel!$A:$A,0)&amp;":U"&amp;MATCH(AZ8,数出表_Excel!$A:$A,0)&amp;""),
 1,AU51-1),
 "")),"")</f>
        <v/>
      </c>
      <c r="AY53" s="144"/>
      <c r="AZ53" s="154"/>
      <c r="BB53" s="143"/>
      <c r="BC53" s="120" t="str">
        <f t="array" aca="1" ref="BC53" ca="1">IF(BC51&lt;&gt;"",
IF(IFERROR(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"")=0,"",
IF(BB10=100,
IFERROR(
INDEX(INDIRECT("数出表_Excel!"&amp;BB50&amp;MATCH(BG8,数出表_Excel!$A:$A,0)-1+2&amp;":U"&amp;MATCH(BG8,数出表_Excel!$A:$A,0)-1+2&amp;""),
 1,
 MATCH(TRUE, ISNUMBER(--INDIRECT("数出表_Excel!"&amp;BB50&amp;MATCH(BG8,数出表_Excel!$A:$A,0)-1+2&amp;":U"&amp;MATCH(BG8,数出表_Excel!$A:$A,0)-1+2&amp;"")), 0)),
 "")
+IFERROR(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""),
IFERROR(
INDEX(INDIRECT("数出表_Excel!"&amp;BB50&amp;MATCH(BG8,数出表_Excel!$A:$A,0)-1&amp;":U"&amp;MATCH(BG8,数出表_Excel!$A:$A,0)-1&amp;""),
 1,
 MATCH(TRUE, ISNUMBER(--INDIRECT("数出表_Excel!"&amp;BB50&amp;MATCH(BG8,数出表_Excel!$A:$A,0)-1&amp;":U"&amp;MATCH(BG8,数出表_Excel!$A:$A,0)-1&amp;"")), 0)),
 ""))),"")</f>
        <v/>
      </c>
      <c r="BD53" s="144"/>
      <c r="BE53" s="145" t="str">
        <f t="array" aca="1" ref="BE53" ca="1">IF(BC9&lt;&gt;"",
IF(IFERROR(
INDEX(INDIRECT("数出表_Excel!B"&amp;MATCH(BG8,数出表_Excel!$A:$A,0)&amp;":U"&amp;MATCH(BG8,数出表_Excel!$A:$A,0)&amp;""),
 1,BB51-1),
 "")=0,"",
IFERROR(
INDEX(INDIRECT("数出表_Excel!B"&amp;MATCH(BG8,数出表_Excel!$A:$A,0)&amp;":U"&amp;MATCH(BG8,数出表_Excel!$A:$A,0)&amp;""),
 1,BB51-1),
 "")),"")</f>
        <v/>
      </c>
      <c r="BF53" s="144"/>
      <c r="BG53" s="154"/>
      <c r="BJ53" s="143"/>
      <c r="BK53" s="120" t="str">
        <f t="array" aca="1" ref="BK53" ca="1">IF(BK51&lt;&gt;"",
IF(IFERROR(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"")=0,"",
IF(BJ10=100,
IFERROR(
INDEX(INDIRECT("数出表_Excel!"&amp;BJ50&amp;MATCH(BO8,数出表_Excel!$A:$A,0)-1+2&amp;":U"&amp;MATCH(BO8,数出表_Excel!$A:$A,0)-1+2&amp;""),
 1,
 MATCH(TRUE, ISNUMBER(--INDIRECT("数出表_Excel!"&amp;BJ50&amp;MATCH(BO8,数出表_Excel!$A:$A,0)-1+2&amp;":U"&amp;MATCH(BO8,数出表_Excel!$A:$A,0)-1+2&amp;"")), 0)),
 "")
+IFERROR(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""),
IFERROR(
INDEX(INDIRECT("数出表_Excel!"&amp;BJ50&amp;MATCH(BO8,数出表_Excel!$A:$A,0)-1&amp;":U"&amp;MATCH(BO8,数出表_Excel!$A:$A,0)-1&amp;""),
 1,
 MATCH(TRUE, ISNUMBER(--INDIRECT("数出表_Excel!"&amp;BJ50&amp;MATCH(BO8,数出表_Excel!$A:$A,0)-1&amp;":U"&amp;MATCH(BO8,数出表_Excel!$A:$A,0)-1&amp;"")), 0)),
 ""))),"")</f>
        <v/>
      </c>
      <c r="BL53" s="144"/>
      <c r="BM53" s="145" t="str">
        <f t="array" aca="1" ref="BM53" ca="1">IF(BK9&lt;&gt;"",
IF(IFERROR(
INDEX(INDIRECT("数出表_Excel!B"&amp;MATCH(BO8,数出表_Excel!$A:$A,0)&amp;":U"&amp;MATCH(BO8,数出表_Excel!$A:$A,0)&amp;""),
 1,BJ51-1),
 "")=0,"",
IFERROR(
INDEX(INDIRECT("数出表_Excel!B"&amp;MATCH(BO8,数出表_Excel!$A:$A,0)&amp;":U"&amp;MATCH(BO8,数出表_Excel!$A:$A,0)&amp;""),
 1,BJ51-1),
 "")),"")</f>
        <v/>
      </c>
      <c r="BN53" s="144"/>
      <c r="BO53" s="154"/>
      <c r="BQ53" s="143"/>
      <c r="BR53" s="120" t="str">
        <f t="array" aca="1" ref="BR53" ca="1">IF(BR51&lt;&gt;"",
IF(IFERROR(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"")=0,"",
IF(BQ10=100,
IFERROR(
INDEX(INDIRECT("数出表_Excel!"&amp;BQ50&amp;MATCH(BV8,数出表_Excel!$A:$A,0)-1+2&amp;":U"&amp;MATCH(BV8,数出表_Excel!$A:$A,0)-1+2&amp;""),
 1,
 MATCH(TRUE, ISNUMBER(--INDIRECT("数出表_Excel!"&amp;BQ50&amp;MATCH(BV8,数出表_Excel!$A:$A,0)-1+2&amp;":U"&amp;MATCH(BV8,数出表_Excel!$A:$A,0)-1+2&amp;"")), 0)),
 "")
+IFERROR(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""),
IFERROR(
INDEX(INDIRECT("数出表_Excel!"&amp;BQ50&amp;MATCH(BV8,数出表_Excel!$A:$A,0)-1&amp;":U"&amp;MATCH(BV8,数出表_Excel!$A:$A,0)-1&amp;""),
 1,
 MATCH(TRUE, ISNUMBER(--INDIRECT("数出表_Excel!"&amp;BQ50&amp;MATCH(BV8,数出表_Excel!$A:$A,0)-1&amp;":U"&amp;MATCH(BV8,数出表_Excel!$A:$A,0)-1&amp;"")), 0)),
 ""))),"")</f>
        <v/>
      </c>
      <c r="BS53" s="144"/>
      <c r="BT53" s="145" t="str">
        <f t="array" aca="1" ref="BT53" ca="1">IF(BR9&lt;&gt;"",
IF(IFERROR(
INDEX(INDIRECT("数出表_Excel!B"&amp;MATCH(BV8,数出表_Excel!$A:$A,0)&amp;":U"&amp;MATCH(BV8,数出表_Excel!$A:$A,0)&amp;""),
 1,BQ51-1),
 "")=0,"",
IFERROR(
INDEX(INDIRECT("数出表_Excel!B"&amp;MATCH(BV8,数出表_Excel!$A:$A,0)&amp;":U"&amp;MATCH(BV8,数出表_Excel!$A:$A,0)&amp;""),
 1,BQ51-1),
 "")),"")</f>
        <v/>
      </c>
      <c r="BU53" s="144"/>
      <c r="BV53" s="154"/>
      <c r="BX53" s="146">
        <v>7</v>
      </c>
      <c r="BY53" s="132" t="str">
        <f t="array" aca="1" ref="BY53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LEN(SUBSTITUTE(_xlfn.FORMULATEXT(BY$49),"=","")))+$BX53)</f>
        <v/>
      </c>
      <c r="BZ53" s="132" t="str">
        <f t="array" aca="1" ref="BZ53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LEN(SUBSTITUTE(_xlfn.FORMULATEXT(BZ$49),"=","")))+$BX53)</f>
        <v/>
      </c>
      <c r="CA53" s="132" t="str">
        <f t="array" aca="1" ref="CA53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LEN(SUBSTITUTE(_xlfn.FORMULATEXT(CA$49),"=","")))+$BX53)</f>
        <v/>
      </c>
      <c r="CB53" s="132" t="str">
        <f t="array" aca="1" ref="CB53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LEN(SUBSTITUTE(_xlfn.FORMULATEXT(CB$49),"=","")))+$BX53)</f>
        <v/>
      </c>
      <c r="CC53" s="132" t="str">
        <f t="array" aca="1" ref="CC53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LEN(SUBSTITUTE(_xlfn.FORMULATEXT(CC$49),"=","")))+$BX53)</f>
        <v/>
      </c>
      <c r="CD53" s="132" t="str">
        <f t="array" aca="1" ref="CD53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LEN(SUBSTITUTE(_xlfn.FORMULATEXT(CD$49),"=","")))+$BX53)</f>
        <v/>
      </c>
      <c r="CE53" s="132" t="str">
        <f t="array" aca="1" ref="CE53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LEN(SUBSTITUTE(_xlfn.FORMULATEXT(CE$49),"=","")))+$BX53)</f>
        <v/>
      </c>
      <c r="CF53" s="132" t="str">
        <f t="array" aca="1" ref="CF53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LEN(SUBSTITUTE(_xlfn.FORMULATEXT(CF$49),"=","")))+$BX53)</f>
        <v/>
      </c>
      <c r="CG53" s="132" t="str">
        <f t="array" aca="1" ref="CG53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LEN(SUBSTITUTE(_xlfn.FORMULATEXT(CG$49),"=","")))+$BX53)</f>
        <v/>
      </c>
      <c r="CH53" s="132" t="str">
        <f t="array" aca="1" ref="CH53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LEN(SUBSTITUTE(_xlfn.FORMULATEXT(CH$49),"=","")))+$BX53)</f>
        <v/>
      </c>
      <c r="CI53" s="132">
        <f t="shared" ca="1" si="3"/>
        <v>0</v>
      </c>
      <c r="CJ53" s="132" t="b">
        <f t="array" aca="1" ref="CJ53" ca="1">SUMPRODUCT((LEN(BY53:CH53)&gt;0)*1)&gt;0</f>
        <v>0</v>
      </c>
      <c r="CK53" s="132" t="str" cm="1">
        <f t="array" aca="1" ref="CK53" ca="1">IFERROR(SMALL(IF(CI$1:CI$150&lt;&gt;0,CI$1:CI$150),ROW(A53)),"")</f>
        <v/>
      </c>
      <c r="CL53" s="132" t="str">
        <f t="array" aca="1" ref="CL53" ca="1">IF($CK53&lt;&gt;"",
INDIRECT(""&amp;IF(COLUMN(BY53)&lt;=26,CHAR(COLUMN(BY53)+64),CHAR(INT((COLUMN(BY53)-1)/26)+64)&amp;CHAR(MOD(COLUMN(BY53)-1,26)+65))&amp;$CK53&amp;""),"")</f>
        <v/>
      </c>
      <c r="CM53" s="132" t="str">
        <f t="array" aca="1" ref="CM53" ca="1">IF($CK53&lt;&gt;"",
INDIRECT(""&amp;IF(COLUMN(BZ53)&lt;=26,CHAR(COLUMN(BZ53)+64),CHAR(INT((COLUMN(BZ53)-1)/26)+64)&amp;CHAR(MOD(COLUMN(BZ53)-1,26)+65))&amp;$CK53&amp;""),"")</f>
        <v/>
      </c>
      <c r="CN53" s="132" t="str">
        <f t="array" aca="1" ref="CN53" ca="1">IF($CK53&lt;&gt;"",
INDIRECT(""&amp;IF(COLUMN(CA53)&lt;=26,CHAR(COLUMN(CA53)+64),CHAR(INT((COLUMN(CA53)-1)/26)+64)&amp;CHAR(MOD(COLUMN(CA53)-1,26)+65))&amp;$CK53&amp;""),"")</f>
        <v/>
      </c>
      <c r="CO53" s="132" t="str">
        <f t="array" aca="1" ref="CO53" ca="1">IF($CK53&lt;&gt;"",
INDIRECT(""&amp;IF(COLUMN(CB53)&lt;=26,CHAR(COLUMN(CB53)+64),CHAR(INT((COLUMN(CB53)-1)/26)+64)&amp;CHAR(MOD(COLUMN(CB53)-1,26)+65))&amp;$CK53&amp;""),"")</f>
        <v/>
      </c>
      <c r="CP53" s="132" t="str">
        <f t="array" aca="1" ref="CP53" ca="1">IF($CK53&lt;&gt;"",
INDIRECT(""&amp;IF(COLUMN(CC53)&lt;=26,CHAR(COLUMN(CC53)+64),CHAR(INT((COLUMN(CC53)-1)/26)+64)&amp;CHAR(MOD(COLUMN(CC53)-1,26)+65))&amp;$CK53&amp;""),"")</f>
        <v/>
      </c>
      <c r="CQ53" s="132" t="str">
        <f t="array" aca="1" ref="CQ53" ca="1">IF($CK53&lt;&gt;"",
INDIRECT(""&amp;IF(COLUMN(CD53)&lt;=26,CHAR(COLUMN(CD53)+64),CHAR(INT((COLUMN(CD53)-1)/26)+64)&amp;CHAR(MOD(COLUMN(CD53)-1,26)+65))&amp;$CK53&amp;""),"")</f>
        <v/>
      </c>
      <c r="CR53" s="132" t="str">
        <f t="array" aca="1" ref="CR53" ca="1">IF($CK53&lt;&gt;"",
INDIRECT(""&amp;IF(COLUMN(CE53)&lt;=26,CHAR(COLUMN(CE53)+64),CHAR(INT((COLUMN(CE53)-1)/26)+64)&amp;CHAR(MOD(COLUMN(CE53)-1,26)+65))&amp;$CK53&amp;""),"")</f>
        <v/>
      </c>
      <c r="CS53" s="132" t="str">
        <f t="array" aca="1" ref="CS53" ca="1">IF($CK53&lt;&gt;"",
INDIRECT(""&amp;IF(COLUMN(CF53)&lt;=26,CHAR(COLUMN(CF53)+64),CHAR(INT((COLUMN(CF53)-1)/26)+64)&amp;CHAR(MOD(COLUMN(CF53)-1,26)+65))&amp;$CK53&amp;""),"")</f>
        <v/>
      </c>
      <c r="CT53" s="132" t="str">
        <f t="array" aca="1" ref="CT53" ca="1">IF($CK53&lt;&gt;"",
INDIRECT(""&amp;IF(COLUMN(CG53)&lt;=26,CHAR(COLUMN(CG53)+64),CHAR(INT((COLUMN(CG53)-1)/26)+64)&amp;CHAR(MOD(COLUMN(CG53)-1,26)+65))&amp;$CK53&amp;""),"")</f>
        <v/>
      </c>
      <c r="CU53" s="132" t="str">
        <f t="array" aca="1" ref="CU53" ca="1">IF($CK53&lt;&gt;"",
INDIRECT(""&amp;IF(COLUMN(CH53)&lt;=26,CHAR(COLUMN(CH53)+64),CHAR(INT((COLUMN(CH53)-1)/26)+64)&amp;CHAR(MOD(COLUMN(CH53)-1,26)+65))&amp;$CK53&amp;""),"")</f>
        <v/>
      </c>
    </row>
    <row r="54" spans="1:99" ht="18" customHeight="1" x14ac:dyDescent="0.45">
      <c r="B54" s="147"/>
      <c r="C54" s="148"/>
      <c r="D54" s="148"/>
      <c r="E54" s="148"/>
      <c r="F54" s="148"/>
      <c r="G54" s="160"/>
      <c r="I54" s="147"/>
      <c r="J54" s="148"/>
      <c r="K54" s="148"/>
      <c r="L54" s="148"/>
      <c r="M54" s="148"/>
      <c r="N54" s="155"/>
      <c r="Q54" s="147"/>
      <c r="R54" s="148"/>
      <c r="S54" s="148"/>
      <c r="T54" s="148"/>
      <c r="U54" s="148"/>
      <c r="V54" s="155"/>
      <c r="X54" s="147"/>
      <c r="Y54" s="148"/>
      <c r="Z54" s="148"/>
      <c r="AA54" s="148"/>
      <c r="AB54" s="148"/>
      <c r="AC54" s="155"/>
      <c r="AF54" s="147"/>
      <c r="AG54" s="148"/>
      <c r="AH54" s="148"/>
      <c r="AI54" s="148"/>
      <c r="AJ54" s="148"/>
      <c r="AK54" s="155"/>
      <c r="AM54" s="147"/>
      <c r="AN54" s="148"/>
      <c r="AO54" s="148"/>
      <c r="AP54" s="148"/>
      <c r="AQ54" s="148"/>
      <c r="AR54" s="155"/>
      <c r="AU54" s="147"/>
      <c r="AV54" s="148"/>
      <c r="AW54" s="148"/>
      <c r="AX54" s="148"/>
      <c r="AY54" s="148"/>
      <c r="AZ54" s="155"/>
      <c r="BB54" s="147"/>
      <c r="BC54" s="148"/>
      <c r="BD54" s="148"/>
      <c r="BE54" s="148"/>
      <c r="BF54" s="148"/>
      <c r="BG54" s="155"/>
      <c r="BJ54" s="147"/>
      <c r="BK54" s="148"/>
      <c r="BL54" s="148"/>
      <c r="BM54" s="148"/>
      <c r="BN54" s="148"/>
      <c r="BO54" s="155"/>
      <c r="BQ54" s="147"/>
      <c r="BR54" s="148"/>
      <c r="BS54" s="148"/>
      <c r="BT54" s="148"/>
      <c r="BU54" s="148"/>
      <c r="BV54" s="155"/>
      <c r="BX54" s="132">
        <f>BX50+7</f>
        <v>49</v>
      </c>
      <c r="BY54" s="132" t="str">
        <f t="array" aca="1" ref="BY54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LEN(SUBSTITUTE(_xlfn.FORMULATEXT(BY$49),"=","")))+$BX54)</f>
        <v/>
      </c>
      <c r="BZ54" s="132" t="str">
        <f t="array" aca="1" ref="BZ54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LEN(SUBSTITUTE(_xlfn.FORMULATEXT(BZ$49),"=","")))+$BX54)</f>
        <v/>
      </c>
      <c r="CA54" s="132" t="str">
        <f t="array" aca="1" ref="CA54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LEN(SUBSTITUTE(_xlfn.FORMULATEXT(CA$49),"=","")))+$BX54)</f>
        <v/>
      </c>
      <c r="CB54" s="132" t="str">
        <f t="array" aca="1" ref="CB54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LEN(SUBSTITUTE(_xlfn.FORMULATEXT(CB$49),"=","")))+$BX54)</f>
        <v/>
      </c>
      <c r="CC54" s="132" t="str">
        <f t="array" aca="1" ref="CC54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LEN(SUBSTITUTE(_xlfn.FORMULATEXT(CC$49),"=","")))+$BX54)</f>
        <v/>
      </c>
      <c r="CD54" s="132" t="str">
        <f t="array" aca="1" ref="CD54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LEN(SUBSTITUTE(_xlfn.FORMULATEXT(CD$49),"=","")))+$BX54)</f>
        <v/>
      </c>
      <c r="CE54" s="132" t="str">
        <f t="array" aca="1" ref="CE54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LEN(SUBSTITUTE(_xlfn.FORMULATEXT(CE$49),"=","")))+$BX54)</f>
        <v/>
      </c>
      <c r="CF54" s="132" t="str">
        <f t="array" aca="1" ref="CF54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LEN(SUBSTITUTE(_xlfn.FORMULATEXT(CF$49),"=","")))+$BX54)</f>
        <v/>
      </c>
      <c r="CG54" s="132" t="str">
        <f t="array" aca="1" ref="CG54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LEN(SUBSTITUTE(_xlfn.FORMULATEXT(CG$49),"=","")))+$BX54)</f>
        <v/>
      </c>
      <c r="CH54" s="132" t="str">
        <f t="array" aca="1" ref="CH54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LEN(SUBSTITUTE(_xlfn.FORMULATEXT(CH$49),"=","")))+$BX54)</f>
        <v/>
      </c>
      <c r="CI54" s="132">
        <f t="shared" ca="1" si="3"/>
        <v>0</v>
      </c>
      <c r="CJ54" s="132" t="b">
        <f t="array" aca="1" ref="CJ54" ca="1">SUMPRODUCT((LEN(BY54:CH54)&gt;0)*1)&gt;0</f>
        <v>0</v>
      </c>
      <c r="CK54" s="132" t="str" cm="1">
        <f t="array" aca="1" ref="CK54" ca="1">IFERROR(SMALL(IF(CI$1:CI$150&lt;&gt;0,CI$1:CI$150),ROW(A54)),"")</f>
        <v/>
      </c>
      <c r="CL54" s="132" t="str">
        <f t="array" aca="1" ref="CL54" ca="1">IF($CK54&lt;&gt;"",
INDIRECT(""&amp;IF(COLUMN(BY54)&lt;=26,CHAR(COLUMN(BY54)+64),CHAR(INT((COLUMN(BY54)-1)/26)+64)&amp;CHAR(MOD(COLUMN(BY54)-1,26)+65))&amp;$CK54&amp;""),"")</f>
        <v/>
      </c>
      <c r="CM54" s="132" t="str">
        <f t="array" aca="1" ref="CM54" ca="1">IF($CK54&lt;&gt;"",
INDIRECT(""&amp;IF(COLUMN(BZ54)&lt;=26,CHAR(COLUMN(BZ54)+64),CHAR(INT((COLUMN(BZ54)-1)/26)+64)&amp;CHAR(MOD(COLUMN(BZ54)-1,26)+65))&amp;$CK54&amp;""),"")</f>
        <v/>
      </c>
      <c r="CN54" s="132" t="str">
        <f t="array" aca="1" ref="CN54" ca="1">IF($CK54&lt;&gt;"",
INDIRECT(""&amp;IF(COLUMN(CA54)&lt;=26,CHAR(COLUMN(CA54)+64),CHAR(INT((COLUMN(CA54)-1)/26)+64)&amp;CHAR(MOD(COLUMN(CA54)-1,26)+65))&amp;$CK54&amp;""),"")</f>
        <v/>
      </c>
      <c r="CO54" s="132" t="str">
        <f t="array" aca="1" ref="CO54" ca="1">IF($CK54&lt;&gt;"",
INDIRECT(""&amp;IF(COLUMN(CB54)&lt;=26,CHAR(COLUMN(CB54)+64),CHAR(INT((COLUMN(CB54)-1)/26)+64)&amp;CHAR(MOD(COLUMN(CB54)-1,26)+65))&amp;$CK54&amp;""),"")</f>
        <v/>
      </c>
      <c r="CP54" s="132" t="str">
        <f t="array" aca="1" ref="CP54" ca="1">IF($CK54&lt;&gt;"",
INDIRECT(""&amp;IF(COLUMN(CC54)&lt;=26,CHAR(COLUMN(CC54)+64),CHAR(INT((COLUMN(CC54)-1)/26)+64)&amp;CHAR(MOD(COLUMN(CC54)-1,26)+65))&amp;$CK54&amp;""),"")</f>
        <v/>
      </c>
      <c r="CQ54" s="132" t="str">
        <f t="array" aca="1" ref="CQ54" ca="1">IF($CK54&lt;&gt;"",
INDIRECT(""&amp;IF(COLUMN(CD54)&lt;=26,CHAR(COLUMN(CD54)+64),CHAR(INT((COLUMN(CD54)-1)/26)+64)&amp;CHAR(MOD(COLUMN(CD54)-1,26)+65))&amp;$CK54&amp;""),"")</f>
        <v/>
      </c>
      <c r="CR54" s="132" t="str">
        <f t="array" aca="1" ref="CR54" ca="1">IF($CK54&lt;&gt;"",
INDIRECT(""&amp;IF(COLUMN(CE54)&lt;=26,CHAR(COLUMN(CE54)+64),CHAR(INT((COLUMN(CE54)-1)/26)+64)&amp;CHAR(MOD(COLUMN(CE54)-1,26)+65))&amp;$CK54&amp;""),"")</f>
        <v/>
      </c>
      <c r="CS54" s="132" t="str">
        <f t="array" aca="1" ref="CS54" ca="1">IF($CK54&lt;&gt;"",
INDIRECT(""&amp;IF(COLUMN(CF54)&lt;=26,CHAR(COLUMN(CF54)+64),CHAR(INT((COLUMN(CF54)-1)/26)+64)&amp;CHAR(MOD(COLUMN(CF54)-1,26)+65))&amp;$CK54&amp;""),"")</f>
        <v/>
      </c>
      <c r="CT54" s="132" t="str">
        <f t="array" aca="1" ref="CT54" ca="1">IF($CK54&lt;&gt;"",
INDIRECT(""&amp;IF(COLUMN(CG54)&lt;=26,CHAR(COLUMN(CG54)+64),CHAR(INT((COLUMN(CG54)-1)/26)+64)&amp;CHAR(MOD(COLUMN(CG54)-1,26)+65))&amp;$CK54&amp;""),"")</f>
        <v/>
      </c>
      <c r="CU54" s="132" t="str">
        <f t="array" aca="1" ref="CU54" ca="1">IF($CK54&lt;&gt;"",
INDIRECT(""&amp;IF(COLUMN(CH54)&lt;=26,CHAR(COLUMN(CH54)+64),CHAR(INT((COLUMN(CH54)-1)/26)+64)&amp;CHAR(MOD(COLUMN(CH54)-1,26)+65))&amp;$CK54&amp;""),"")</f>
        <v/>
      </c>
    </row>
    <row r="55" spans="1:99" s="132" customFormat="1" ht="22.2" customHeight="1" x14ac:dyDescent="0.55000000000000004">
      <c r="A55" s="129"/>
      <c r="B55" s="149" t="str">
        <f ca="1">IF(C53&lt;&gt;"","パン箱","")</f>
        <v/>
      </c>
      <c r="C55" s="150" t="str">
        <f ca="1">IF(C53&lt;&gt;"",IF(OR(COUNTIF('盛付札（関数）'!C51,"*キャラ*"),COUNTIF('盛付札（関数）'!C51,"*赤*")),24,
VLOOKUP('盛付札（関数）'!C51,商品マスタ一覧!$D:$I,6,FALSE)),"")</f>
        <v/>
      </c>
      <c r="D55" s="149" t="str">
        <f ca="1">IF(C53&lt;&gt;"","　端数","")</f>
        <v/>
      </c>
      <c r="E55" s="150"/>
      <c r="F55" s="149" t="str">
        <f ca="1">IF(C53&lt;&gt;"","アレルギー","")</f>
        <v/>
      </c>
      <c r="G55" s="159"/>
      <c r="H55" s="129"/>
      <c r="I55" s="149" t="str">
        <f ca="1">IF(J53&lt;&gt;"","パン箱","")</f>
        <v/>
      </c>
      <c r="J55" s="150" t="str">
        <f ca="1">IF(J53&lt;&gt;"",IF(OR(COUNTIF('盛付札（関数）'!J51,"*キャラ*"),COUNTIF('盛付札（関数）'!J51,"*赤*")),24,
VLOOKUP('盛付札（関数）'!J51,商品マスタ一覧!$D:$I,6,FALSE)),"")</f>
        <v/>
      </c>
      <c r="K55" s="149" t="str">
        <f ca="1">IF(J53&lt;&gt;"","　端数","")</f>
        <v/>
      </c>
      <c r="L55" s="150"/>
      <c r="M55" s="149" t="str">
        <f ca="1">IF(J53&lt;&gt;"","アレルギー","")</f>
        <v/>
      </c>
      <c r="N55" s="154"/>
      <c r="O55" s="129"/>
      <c r="P55" s="129"/>
      <c r="Q55" s="149" t="str">
        <f ca="1">IF(R53&lt;&gt;"","パン箱","")</f>
        <v/>
      </c>
      <c r="R55" s="150" t="str">
        <f ca="1">IF(R53&lt;&gt;"",IF(OR(COUNTIF('盛付札（関数）'!R51,"*キャラ*"),COUNTIF('盛付札（関数）'!R51,"*赤*")),24,
VLOOKUP('盛付札（関数）'!R51,商品マスタ一覧!$D:$I,6,FALSE)),"")</f>
        <v/>
      </c>
      <c r="S55" s="149" t="str">
        <f ca="1">IF(R53&lt;&gt;"","　端数","")</f>
        <v/>
      </c>
      <c r="T55" s="150"/>
      <c r="U55" s="149" t="str">
        <f ca="1">IF(R53&lt;&gt;"","アレルギー","")</f>
        <v/>
      </c>
      <c r="V55" s="154"/>
      <c r="W55" s="129"/>
      <c r="X55" s="149" t="str">
        <f ca="1">IF(Y53&lt;&gt;"","パン箱","")</f>
        <v/>
      </c>
      <c r="Y55" s="150" t="str">
        <f ca="1">IF(Y53&lt;&gt;"",IF(OR(COUNTIF('盛付札（関数）'!Y51,"*キャラ*"),COUNTIF('盛付札（関数）'!Y51,"*赤*")),24,
VLOOKUP('盛付札（関数）'!Y51,商品マスタ一覧!$D:$I,6,FALSE)),"")</f>
        <v/>
      </c>
      <c r="Z55" s="149" t="str">
        <f ca="1">IF(Y53&lt;&gt;"","　端数","")</f>
        <v/>
      </c>
      <c r="AA55" s="150"/>
      <c r="AB55" s="149" t="str">
        <f ca="1">IF(Y53&lt;&gt;"","アレルギー","")</f>
        <v/>
      </c>
      <c r="AC55" s="154"/>
      <c r="AD55" s="129"/>
      <c r="AE55" s="129"/>
      <c r="AF55" s="149" t="str">
        <f ca="1">IF(AG53&lt;&gt;"","パン箱","")</f>
        <v/>
      </c>
      <c r="AG55" s="150" t="str">
        <f ca="1">IF(AG53&lt;&gt;"",IF(OR(COUNTIF('盛付札（関数）'!AG51,"*キャラ*"),COUNTIF('盛付札（関数）'!AG51,"*赤*")),24,
VLOOKUP('盛付札（関数）'!AG51,商品マスタ一覧!$D:$I,6,FALSE)),"")</f>
        <v/>
      </c>
      <c r="AH55" s="149" t="str">
        <f ca="1">IF(AG53&lt;&gt;"","　端数","")</f>
        <v/>
      </c>
      <c r="AI55" s="150"/>
      <c r="AJ55" s="149" t="str">
        <f ca="1">IF(AG53&lt;&gt;"","アレルギー","")</f>
        <v/>
      </c>
      <c r="AK55" s="154"/>
      <c r="AL55" s="129"/>
      <c r="AM55" s="149" t="str">
        <f ca="1">IF(AN53&lt;&gt;"","パン箱","")</f>
        <v/>
      </c>
      <c r="AN55" s="150" t="str">
        <f ca="1">IF(AN53&lt;&gt;"",IF(OR(COUNTIF('盛付札（関数）'!AN51,"*キャラ*"),COUNTIF('盛付札（関数）'!AN51,"*赤*")),24,
VLOOKUP('盛付札（関数）'!AN51,商品マスタ一覧!$D:$I,6,FALSE)),"")</f>
        <v/>
      </c>
      <c r="AO55" s="149" t="str">
        <f ca="1">IF(AN53&lt;&gt;"","　端数","")</f>
        <v/>
      </c>
      <c r="AP55" s="150"/>
      <c r="AQ55" s="149" t="str">
        <f ca="1">IF(AN53&lt;&gt;"","アレルギー","")</f>
        <v/>
      </c>
      <c r="AR55" s="154"/>
      <c r="AS55" s="129"/>
      <c r="AT55" s="129"/>
      <c r="AU55" s="149" t="str">
        <f ca="1">IF(AV53&lt;&gt;"","パン箱","")</f>
        <v/>
      </c>
      <c r="AV55" s="150" t="str">
        <f ca="1">IF(AV53&lt;&gt;"",IF(OR(COUNTIF('盛付札（関数）'!AV51,"*キャラ*"),COUNTIF('盛付札（関数）'!AV51,"*赤*")),24,
VLOOKUP('盛付札（関数）'!AV51,商品マスタ一覧!$D:$I,6,FALSE)),"")</f>
        <v/>
      </c>
      <c r="AW55" s="149" t="str">
        <f ca="1">IF(AV53&lt;&gt;"","　端数","")</f>
        <v/>
      </c>
      <c r="AX55" s="150"/>
      <c r="AY55" s="149" t="str">
        <f ca="1">IF(AV53&lt;&gt;"","アレルギー","")</f>
        <v/>
      </c>
      <c r="AZ55" s="154"/>
      <c r="BA55" s="129"/>
      <c r="BB55" s="149" t="str">
        <f ca="1">IF(BC53&lt;&gt;"","パン箱","")</f>
        <v/>
      </c>
      <c r="BC55" s="150" t="str">
        <f ca="1">IF(BC53&lt;&gt;"",IF(OR(COUNTIF('盛付札（関数）'!BC51,"*キャラ*"),COUNTIF('盛付札（関数）'!BC51,"*赤*")),24,
VLOOKUP('盛付札（関数）'!BC51,商品マスタ一覧!$D:$I,6,FALSE)),"")</f>
        <v/>
      </c>
      <c r="BD55" s="149" t="str">
        <f ca="1">IF(BC53&lt;&gt;"","　端数","")</f>
        <v/>
      </c>
      <c r="BE55" s="150"/>
      <c r="BF55" s="149" t="str">
        <f ca="1">IF(BC53&lt;&gt;"","アレルギー","")</f>
        <v/>
      </c>
      <c r="BG55" s="154"/>
      <c r="BH55" s="129"/>
      <c r="BI55" s="129"/>
      <c r="BJ55" s="149" t="str">
        <f ca="1">IF(BK53&lt;&gt;"","パン箱","")</f>
        <v/>
      </c>
      <c r="BK55" s="150" t="str">
        <f ca="1">IF(BK53&lt;&gt;"",IF(OR(COUNTIF('盛付札（関数）'!BK51,"*キャラ*"),COUNTIF('盛付札（関数）'!BK51,"*赤*")),24,
VLOOKUP('盛付札（関数）'!BK51,商品マスタ一覧!$D:$I,6,FALSE)),"")</f>
        <v/>
      </c>
      <c r="BL55" s="149" t="str">
        <f ca="1">IF(BK53&lt;&gt;"","　端数","")</f>
        <v/>
      </c>
      <c r="BM55" s="150"/>
      <c r="BN55" s="149" t="str">
        <f ca="1">IF(BK53&lt;&gt;"","アレルギー","")</f>
        <v/>
      </c>
      <c r="BO55" s="154"/>
      <c r="BP55" s="129"/>
      <c r="BQ55" s="149" t="str">
        <f ca="1">IF(BR53&lt;&gt;"","パン箱","")</f>
        <v/>
      </c>
      <c r="BR55" s="150" t="str">
        <f ca="1">IF(BR53&lt;&gt;"",IF(OR(COUNTIF('盛付札（関数）'!BR51,"*キャラ*"),COUNTIF('盛付札（関数）'!BR51,"*赤*")),24,
VLOOKUP('盛付札（関数）'!BR51,商品マスタ一覧!$D:$I,6,FALSE)),"")</f>
        <v/>
      </c>
      <c r="BS55" s="149" t="str">
        <f ca="1">IF(BR53&lt;&gt;"","　端数","")</f>
        <v/>
      </c>
      <c r="BT55" s="150"/>
      <c r="BU55" s="149" t="str">
        <f ca="1">IF(BR53&lt;&gt;"","アレルギー","")</f>
        <v/>
      </c>
      <c r="BV55" s="154"/>
      <c r="BW55" s="129"/>
      <c r="BX55" s="132">
        <v>7</v>
      </c>
      <c r="BY55" s="132" t="str">
        <f t="array" aca="1" ref="BY55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LEN(SUBSTITUTE(_xlfn.FORMULATEXT(BY$51),"=","")))+$BX55)</f>
        <v/>
      </c>
      <c r="BZ55" s="132" t="str">
        <f t="array" aca="1" ref="BZ55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LEN(SUBSTITUTE(_xlfn.FORMULATEXT(BZ$51),"=","")))+$BX55)</f>
        <v/>
      </c>
      <c r="CA55" s="132" t="str">
        <f t="array" aca="1" ref="CA55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LEN(SUBSTITUTE(_xlfn.FORMULATEXT(CA$51),"=","")))+$BX55)</f>
        <v/>
      </c>
      <c r="CB55" s="132" t="str">
        <f t="array" aca="1" ref="CB55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LEN(SUBSTITUTE(_xlfn.FORMULATEXT(CB$51),"=","")))+$BX55)</f>
        <v/>
      </c>
      <c r="CC55" s="132" t="str">
        <f t="array" aca="1" ref="CC55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LEN(SUBSTITUTE(_xlfn.FORMULATEXT(CC$51),"=","")))+$BX55)</f>
        <v/>
      </c>
      <c r="CD55" s="132" t="str">
        <f t="array" aca="1" ref="CD55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LEN(SUBSTITUTE(_xlfn.FORMULATEXT(CD$51),"=","")))+$BX55)</f>
        <v/>
      </c>
      <c r="CE55" s="132" t="str">
        <f t="array" aca="1" ref="CE55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LEN(SUBSTITUTE(_xlfn.FORMULATEXT(CE$51),"=","")))+$BX55)</f>
        <v/>
      </c>
      <c r="CF55" s="132" t="str">
        <f t="array" aca="1" ref="CF55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LEN(SUBSTITUTE(_xlfn.FORMULATEXT(CF$51),"=","")))+$BX55)</f>
        <v/>
      </c>
      <c r="CG55" s="132" t="str">
        <f t="array" aca="1" ref="CG55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LEN(SUBSTITUTE(_xlfn.FORMULATEXT(CG$51),"=","")))+$BX55)</f>
        <v/>
      </c>
      <c r="CH55" s="132" t="str">
        <f t="array" aca="1" ref="CH55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LEN(SUBSTITUTE(_xlfn.FORMULATEXT(CH$51),"=","")))+$BX55)</f>
        <v/>
      </c>
      <c r="CI55" s="132">
        <f t="shared" ca="1" si="3"/>
        <v>0</v>
      </c>
      <c r="CJ55" s="132" t="b">
        <f t="array" aca="1" ref="CJ55" ca="1">SUMPRODUCT((LEN(BY55:CH55)&gt;0)*1)&gt;0</f>
        <v>0</v>
      </c>
      <c r="CK55" s="132" t="str" cm="1">
        <f t="array" aca="1" ref="CK55" ca="1">IFERROR(SMALL(IF(CI$1:CI$150&lt;&gt;0,CI$1:CI$150),ROW(A55)),"")</f>
        <v/>
      </c>
      <c r="CL55" s="132" t="str">
        <f t="array" aca="1" ref="CL55" ca="1">IF($CK55&lt;&gt;"",
INDIRECT(""&amp;IF(COLUMN(BY55)&lt;=26,CHAR(COLUMN(BY55)+64),CHAR(INT((COLUMN(BY55)-1)/26)+64)&amp;CHAR(MOD(COLUMN(BY55)-1,26)+65))&amp;$CK55&amp;""),"")</f>
        <v/>
      </c>
      <c r="CM55" s="132" t="str">
        <f t="array" aca="1" ref="CM55" ca="1">IF($CK55&lt;&gt;"",
INDIRECT(""&amp;IF(COLUMN(BZ55)&lt;=26,CHAR(COLUMN(BZ55)+64),CHAR(INT((COLUMN(BZ55)-1)/26)+64)&amp;CHAR(MOD(COLUMN(BZ55)-1,26)+65))&amp;$CK55&amp;""),"")</f>
        <v/>
      </c>
      <c r="CN55" s="132" t="str">
        <f t="array" aca="1" ref="CN55" ca="1">IF($CK55&lt;&gt;"",
INDIRECT(""&amp;IF(COLUMN(CA55)&lt;=26,CHAR(COLUMN(CA55)+64),CHAR(INT((COLUMN(CA55)-1)/26)+64)&amp;CHAR(MOD(COLUMN(CA55)-1,26)+65))&amp;$CK55&amp;""),"")</f>
        <v/>
      </c>
      <c r="CO55" s="132" t="str">
        <f t="array" aca="1" ref="CO55" ca="1">IF($CK55&lt;&gt;"",
INDIRECT(""&amp;IF(COLUMN(CB55)&lt;=26,CHAR(COLUMN(CB55)+64),CHAR(INT((COLUMN(CB55)-1)/26)+64)&amp;CHAR(MOD(COLUMN(CB55)-1,26)+65))&amp;$CK55&amp;""),"")</f>
        <v/>
      </c>
      <c r="CP55" s="132" t="str">
        <f t="array" aca="1" ref="CP55" ca="1">IF($CK55&lt;&gt;"",
INDIRECT(""&amp;IF(COLUMN(CC55)&lt;=26,CHAR(COLUMN(CC55)+64),CHAR(INT((COLUMN(CC55)-1)/26)+64)&amp;CHAR(MOD(COLUMN(CC55)-1,26)+65))&amp;$CK55&amp;""),"")</f>
        <v/>
      </c>
      <c r="CQ55" s="132" t="str">
        <f t="array" aca="1" ref="CQ55" ca="1">IF($CK55&lt;&gt;"",
INDIRECT(""&amp;IF(COLUMN(CD55)&lt;=26,CHAR(COLUMN(CD55)+64),CHAR(INT((COLUMN(CD55)-1)/26)+64)&amp;CHAR(MOD(COLUMN(CD55)-1,26)+65))&amp;$CK55&amp;""),"")</f>
        <v/>
      </c>
      <c r="CR55" s="132" t="str">
        <f t="array" aca="1" ref="CR55" ca="1">IF($CK55&lt;&gt;"",
INDIRECT(""&amp;IF(COLUMN(CE55)&lt;=26,CHAR(COLUMN(CE55)+64),CHAR(INT((COLUMN(CE55)-1)/26)+64)&amp;CHAR(MOD(COLUMN(CE55)-1,26)+65))&amp;$CK55&amp;""),"")</f>
        <v/>
      </c>
      <c r="CS55" s="132" t="str">
        <f t="array" aca="1" ref="CS55" ca="1">IF($CK55&lt;&gt;"",
INDIRECT(""&amp;IF(COLUMN(CF55)&lt;=26,CHAR(COLUMN(CF55)+64),CHAR(INT((COLUMN(CF55)-1)/26)+64)&amp;CHAR(MOD(COLUMN(CF55)-1,26)+65))&amp;$CK55&amp;""),"")</f>
        <v/>
      </c>
      <c r="CT55" s="132" t="str">
        <f t="array" aca="1" ref="CT55" ca="1">IF($CK55&lt;&gt;"",
INDIRECT(""&amp;IF(COLUMN(CG55)&lt;=26,CHAR(COLUMN(CG55)+64),CHAR(INT((COLUMN(CG55)-1)/26)+64)&amp;CHAR(MOD(COLUMN(CG55)-1,26)+65))&amp;$CK55&amp;""),"")</f>
        <v/>
      </c>
      <c r="CU55" s="132" t="str">
        <f t="array" aca="1" ref="CU55" ca="1">IF($CK55&lt;&gt;"",
INDIRECT(""&amp;IF(COLUMN(CH55)&lt;=26,CHAR(COLUMN(CH55)+64),CHAR(INT((COLUMN(CH55)-1)/26)+64)&amp;CHAR(MOD(COLUMN(CH55)-1,26)+65))&amp;$CK55&amp;""),"")</f>
        <v/>
      </c>
    </row>
    <row r="56" spans="1:99" ht="21" customHeight="1" x14ac:dyDescent="0.45">
      <c r="B56" s="124" t="str">
        <f ca="1">IF(C53&lt;&gt;"",
IFERROR(INT(C53/C55),""),"")</f>
        <v/>
      </c>
      <c r="C56" s="151"/>
      <c r="D56" s="124" t="str">
        <f ca="1">IFERROR(MOD(C53,C55),"")</f>
        <v/>
      </c>
      <c r="E56" s="151"/>
      <c r="F56" s="118" t="str">
        <f t="array" aca="1" ref="F56" ca="1">IF(C50&lt;&gt;"",
IF(IFERROR(
INDEX(INDIRECT("'数出表_Excel（アレルギー入力）'!"&amp;B50&amp;MATCH(G8,'数出表_Excel（アレルギー入力）'!$A:$A,0)-1&amp;":AC"&amp;MATCH(G8,'数出表_Excel（アレルギー入力）'!$A:$A,0)-1&amp;""),
 1,
MATCH(C53,INDIRECT("'数出表_Excel（アレルギー入力）'!"&amp;B50&amp;B8-1&amp;":AC"&amp;B8-1&amp;""),0)+1),
 "")&lt;&gt;0,
IF(IFERROR(
INDEX(INDIRECT("'数出表_Excel（アレルギー入力）'!"&amp;B50&amp;MATCH(G8,'数出表_Excel（アレルギー入力）'!$A:$A,0)-1&amp;":AC"&amp;MATCH(G8,'数出表_Excel（アレルギー入力）'!$A:$A,0)-1&amp;""),
 1,
MATCH(C53,INDIRECT("'数出表_Excel（アレルギー入力）'!"&amp;B50&amp;B8-1&amp;":AC"&amp;B8-1&amp;""),0)+1),
 "")="",
IFERROR(
INDEX(INDIRECT("'数出表_Excel（アレルギー入力）'!B"&amp;MATCH(G8,'数出表_Excel（アレルギー入力）'!$A:$A,0)-1&amp;":AC"&amp;MATCH(G8,'数出表_Excel（アレルギー入力）'!$A:$A,0)-1&amp;""),
 1,
MATCH(TRUE,INDEX(INDIRECT("'数出表_Excel（アレルギー入力）'!B"&amp;B8-1&amp;":AC"&amp;B8-1&amp;"")&lt;&gt;"",0),0)+1),
 ""),
IFERROR(
INDEX(INDIRECT("'数出表_Excel（アレルギー入力）'!"&amp;B50&amp;MATCH(G8,'数出表_Excel（アレルギー入力）'!$A:$A,0)-1&amp;":AC"&amp;MATCH(G8,'数出表_Excel（アレルギー入力）'!$A:$A,0)-1&amp;""),
 1,
MATCH(C53,INDIRECT("'数出表_Excel（アレルギー入力）'!"&amp;B50&amp;B8-1&amp;":AC"&amp;B8-1&amp;""),0)+1),
 "")),0),"")</f>
        <v/>
      </c>
      <c r="G56" s="151"/>
      <c r="I56" s="124" t="str">
        <f ca="1">IF(J53&lt;&gt;"",
IFERROR(INT(J53/J55),""),"")</f>
        <v/>
      </c>
      <c r="J56" s="151"/>
      <c r="K56" s="124" t="str">
        <f ca="1">IFERROR(MOD(J53,J55),"")</f>
        <v/>
      </c>
      <c r="L56" s="151"/>
      <c r="M56" s="118" t="str">
        <f t="array" aca="1" ref="M56" ca="1">IF(J50&lt;&gt;"",
IF(IFERROR(
INDEX(INDIRECT("'数出表_Excel（アレルギー入力）'!"&amp;I50&amp;MATCH(N8,'数出表_Excel（アレルギー入力）'!$A:$A,0)-1&amp;":AC"&amp;MATCH(N8,'数出表_Excel（アレルギー入力）'!$A:$A,0)-1&amp;""),
 1,
MATCH(J53,INDIRECT("'数出表_Excel（アレルギー入力）'!"&amp;I50&amp;I8-1&amp;":AC"&amp;I8-1&amp;""),0)+1),
 "")&lt;&gt;0,
IF(IFERROR(
INDEX(INDIRECT("'数出表_Excel（アレルギー入力）'!"&amp;I50&amp;MATCH(N8,'数出表_Excel（アレルギー入力）'!$A:$A,0)-1&amp;":AC"&amp;MATCH(N8,'数出表_Excel（アレルギー入力）'!$A:$A,0)-1&amp;""),
 1,
MATCH(J53,INDIRECT("'数出表_Excel（アレルギー入力）'!"&amp;I50&amp;I8-1&amp;":AC"&amp;I8-1&amp;""),0)+1),
 "")="",
IFERROR(
INDEX(INDIRECT("'数出表_Excel（アレルギー入力）'!B"&amp;MATCH(N8,'数出表_Excel（アレルギー入力）'!$A:$A,0)-1&amp;":AC"&amp;MATCH(N8,'数出表_Excel（アレルギー入力）'!$A:$A,0)-1&amp;""),
 1,
MATCH(TRUE,INDEX(INDIRECT("'数出表_Excel（アレルギー入力）'!B"&amp;I8-1&amp;":AC"&amp;I8-1&amp;"")&lt;&gt;"",0),0)+1),
 ""),
IFERROR(
INDEX(INDIRECT("'数出表_Excel（アレルギー入力）'!"&amp;I50&amp;MATCH(N8,'数出表_Excel（アレルギー入力）'!$A:$A,0)-1&amp;":AC"&amp;MATCH(N8,'数出表_Excel（アレルギー入力）'!$A:$A,0)-1&amp;""),
 1,
MATCH(J53,INDIRECT("'数出表_Excel（アレルギー入力）'!"&amp;I50&amp;I8-1&amp;":AC"&amp;I8-1&amp;""),0)+1),
 "")),0),"")</f>
        <v/>
      </c>
      <c r="N56" s="151"/>
      <c r="Q56" s="124" t="str">
        <f ca="1">IF(R53&lt;&gt;"",
IFERROR(INT(R53/R55),""),"")</f>
        <v/>
      </c>
      <c r="R56" s="151"/>
      <c r="S56" s="124" t="str">
        <f ca="1">IFERROR(MOD(R53,R55),"")</f>
        <v/>
      </c>
      <c r="T56" s="151"/>
      <c r="U56" s="118" t="str">
        <f t="array" aca="1" ref="U56" ca="1">IF(R50&lt;&gt;"",
IF(IFERROR(
INDEX(INDIRECT("'数出表_Excel（アレルギー入力）'!"&amp;Q50&amp;MATCH(V8,'数出表_Excel（アレルギー入力）'!$A:$A,0)-1&amp;":AC"&amp;MATCH(V8,'数出表_Excel（アレルギー入力）'!$A:$A,0)-1&amp;""),
 1,
MATCH(R53,INDIRECT("'数出表_Excel（アレルギー入力）'!"&amp;Q50&amp;Q8-1&amp;":AC"&amp;Q8-1&amp;""),0)+1),
 "")&lt;&gt;0,
IF(IFERROR(
INDEX(INDIRECT("'数出表_Excel（アレルギー入力）'!"&amp;Q50&amp;MATCH(V8,'数出表_Excel（アレルギー入力）'!$A:$A,0)-1&amp;":AC"&amp;MATCH(V8,'数出表_Excel（アレルギー入力）'!$A:$A,0)-1&amp;""),
 1,
MATCH(R53,INDIRECT("'数出表_Excel（アレルギー入力）'!"&amp;Q50&amp;Q8-1&amp;":AC"&amp;Q8-1&amp;""),0)+1),
 "")="",
IFERROR(
INDEX(INDIRECT("'数出表_Excel（アレルギー入力）'!B"&amp;MATCH(V8,'数出表_Excel（アレルギー入力）'!$A:$A,0)-1&amp;":AC"&amp;MATCH(V8,'数出表_Excel（アレルギー入力）'!$A:$A,0)-1&amp;""),
 1,
MATCH(TRUE,INDEX(INDIRECT("'数出表_Excel（アレルギー入力）'!B"&amp;Q8-1&amp;":AC"&amp;Q8-1&amp;"")&lt;&gt;"",0),0)+1),
 ""),
IFERROR(
INDEX(INDIRECT("'数出表_Excel（アレルギー入力）'!"&amp;Q50&amp;MATCH(V8,'数出表_Excel（アレルギー入力）'!$A:$A,0)-1&amp;":AC"&amp;MATCH(V8,'数出表_Excel（アレルギー入力）'!$A:$A,0)-1&amp;""),
 1,
MATCH(R53,INDIRECT("'数出表_Excel（アレルギー入力）'!"&amp;Q50&amp;Q8-1&amp;":AC"&amp;Q8-1&amp;""),0)+1),
 "")),0),"")</f>
        <v/>
      </c>
      <c r="V56" s="151"/>
      <c r="X56" s="124" t="str">
        <f ca="1">IF(Y53&lt;&gt;"",
IFERROR(INT(Y53/Y55),""),"")</f>
        <v/>
      </c>
      <c r="Y56" s="151"/>
      <c r="Z56" s="124" t="str">
        <f ca="1">IFERROR(MOD(Y53,Y55),"")</f>
        <v/>
      </c>
      <c r="AA56" s="151"/>
      <c r="AB56" s="118" t="str">
        <f t="array" aca="1" ref="AB56" ca="1">IF(Y50&lt;&gt;"",
IF(IFERROR(
INDEX(INDIRECT("'数出表_Excel（アレルギー入力）'!"&amp;X50&amp;MATCH(AC8,'数出表_Excel（アレルギー入力）'!$A:$A,0)-1&amp;":AC"&amp;MATCH(AC8,'数出表_Excel（アレルギー入力）'!$A:$A,0)-1&amp;""),
 1,
MATCH(Y53,INDIRECT("'数出表_Excel（アレルギー入力）'!"&amp;X50&amp;X8-1&amp;":AC"&amp;X8-1&amp;""),0)+1),
 "")&lt;&gt;0,
IF(IFERROR(
INDEX(INDIRECT("'数出表_Excel（アレルギー入力）'!"&amp;X50&amp;MATCH(AC8,'数出表_Excel（アレルギー入力）'!$A:$A,0)-1&amp;":AC"&amp;MATCH(AC8,'数出表_Excel（アレルギー入力）'!$A:$A,0)-1&amp;""),
 1,
MATCH(Y53,INDIRECT("'数出表_Excel（アレルギー入力）'!"&amp;X50&amp;X8-1&amp;":AC"&amp;X8-1&amp;""),0)+1),
 "")="",
IFERROR(
INDEX(INDIRECT("'数出表_Excel（アレルギー入力）'!B"&amp;MATCH(AC8,'数出表_Excel（アレルギー入力）'!$A:$A,0)-1&amp;":AC"&amp;MATCH(AC8,'数出表_Excel（アレルギー入力）'!$A:$A,0)-1&amp;""),
 1,
MATCH(TRUE,INDEX(INDIRECT("'数出表_Excel（アレルギー入力）'!B"&amp;X8-1&amp;":AC"&amp;X8-1&amp;"")&lt;&gt;"",0),0)+1),
 ""),
IFERROR(
INDEX(INDIRECT("'数出表_Excel（アレルギー入力）'!"&amp;X50&amp;MATCH(AC8,'数出表_Excel（アレルギー入力）'!$A:$A,0)-1&amp;":AC"&amp;MATCH(AC8,'数出表_Excel（アレルギー入力）'!$A:$A,0)-1&amp;""),
 1,
MATCH(Y53,INDIRECT("'数出表_Excel（アレルギー入力）'!"&amp;X50&amp;X8-1&amp;":AC"&amp;X8-1&amp;""),0)+1),
 "")),0),"")</f>
        <v/>
      </c>
      <c r="AC56" s="151"/>
      <c r="AF56" s="124" t="str">
        <f ca="1">IF(AG53&lt;&gt;"",
IFERROR(INT(AG53/AG55),""),"")</f>
        <v/>
      </c>
      <c r="AG56" s="151"/>
      <c r="AH56" s="124" t="str">
        <f ca="1">IFERROR(MOD(AG53,AG55),"")</f>
        <v/>
      </c>
      <c r="AI56" s="151"/>
      <c r="AJ56" s="118" t="str">
        <f t="array" aca="1" ref="AJ56" ca="1">IF(AG50&lt;&gt;"",
IF(IFERROR(
INDEX(INDIRECT("'数出表_Excel（アレルギー入力）'!"&amp;AF50&amp;MATCH(AK8,'数出表_Excel（アレルギー入力）'!$A:$A,0)-1&amp;":AC"&amp;MATCH(AK8,'数出表_Excel（アレルギー入力）'!$A:$A,0)-1&amp;""),
 1,
MATCH(AG53,INDIRECT("'数出表_Excel（アレルギー入力）'!"&amp;AF50&amp;AF8-1&amp;":AC"&amp;AF8-1&amp;""),0)+1),
 "")&lt;&gt;0,
IF(IFERROR(
INDEX(INDIRECT("'数出表_Excel（アレルギー入力）'!"&amp;AF50&amp;MATCH(AK8,'数出表_Excel（アレルギー入力）'!$A:$A,0)-1&amp;":AC"&amp;MATCH(AK8,'数出表_Excel（アレルギー入力）'!$A:$A,0)-1&amp;""),
 1,
MATCH(AG53,INDIRECT("'数出表_Excel（アレルギー入力）'!"&amp;AF50&amp;AF8-1&amp;":AC"&amp;AF8-1&amp;""),0)+1),
 "")="",
IFERROR(
INDEX(INDIRECT("'数出表_Excel（アレルギー入力）'!B"&amp;MATCH(AK8,'数出表_Excel（アレルギー入力）'!$A:$A,0)-1&amp;":AC"&amp;MATCH(AK8,'数出表_Excel（アレルギー入力）'!$A:$A,0)-1&amp;""),
 1,
MATCH(TRUE,INDEX(INDIRECT("'数出表_Excel（アレルギー入力）'!B"&amp;AF8-1&amp;":AC"&amp;AF8-1&amp;"")&lt;&gt;"",0),0)+1),
 ""),
IFERROR(
INDEX(INDIRECT("'数出表_Excel（アレルギー入力）'!"&amp;AF50&amp;MATCH(AK8,'数出表_Excel（アレルギー入力）'!$A:$A,0)-1&amp;":AC"&amp;MATCH(AK8,'数出表_Excel（アレルギー入力）'!$A:$A,0)-1&amp;""),
 1,
MATCH(AG53,INDIRECT("'数出表_Excel（アレルギー入力）'!"&amp;AF50&amp;AF8-1&amp;":AC"&amp;AF8-1&amp;""),0)+1),
 "")),0),"")</f>
        <v/>
      </c>
      <c r="AK56" s="151"/>
      <c r="AM56" s="124" t="str">
        <f ca="1">IF(AN53&lt;&gt;"",
IFERROR(INT(AN53/AN55),""),"")</f>
        <v/>
      </c>
      <c r="AN56" s="151"/>
      <c r="AO56" s="124" t="str">
        <f ca="1">IFERROR(MOD(AN53,AN55),"")</f>
        <v/>
      </c>
      <c r="AP56" s="151"/>
      <c r="AQ56" s="118" t="str">
        <f t="array" aca="1" ref="AQ56" ca="1">IF(AN50&lt;&gt;"",
IF(IFERROR(
INDEX(INDIRECT("'数出表_Excel（アレルギー入力）'!"&amp;AM50&amp;MATCH(AR8,'数出表_Excel（アレルギー入力）'!$A:$A,0)-1&amp;":AC"&amp;MATCH(AR8,'数出表_Excel（アレルギー入力）'!$A:$A,0)-1&amp;""),
 1,
MATCH(AN53,INDIRECT("'数出表_Excel（アレルギー入力）'!"&amp;AM50&amp;AM8-1&amp;":AC"&amp;AM8-1&amp;""),0)+1),
 "")&lt;&gt;0,
IF(IFERROR(
INDEX(INDIRECT("'数出表_Excel（アレルギー入力）'!"&amp;AM50&amp;MATCH(AR8,'数出表_Excel（アレルギー入力）'!$A:$A,0)-1&amp;":AC"&amp;MATCH(AR8,'数出表_Excel（アレルギー入力）'!$A:$A,0)-1&amp;""),
 1,
MATCH(AN53,INDIRECT("'数出表_Excel（アレルギー入力）'!"&amp;AM50&amp;AM8-1&amp;":AC"&amp;AM8-1&amp;""),0)+1),
 "")="",
IFERROR(
INDEX(INDIRECT("'数出表_Excel（アレルギー入力）'!B"&amp;MATCH(AR8,'数出表_Excel（アレルギー入力）'!$A:$A,0)-1&amp;":AC"&amp;MATCH(AR8,'数出表_Excel（アレルギー入力）'!$A:$A,0)-1&amp;""),
 1,
MATCH(TRUE,INDEX(INDIRECT("'数出表_Excel（アレルギー入力）'!B"&amp;AM8-1&amp;":AC"&amp;AM8-1&amp;"")&lt;&gt;"",0),0)+1),
 ""),
IFERROR(
INDEX(INDIRECT("'数出表_Excel（アレルギー入力）'!"&amp;AM50&amp;MATCH(AR8,'数出表_Excel（アレルギー入力）'!$A:$A,0)-1&amp;":AC"&amp;MATCH(AR8,'数出表_Excel（アレルギー入力）'!$A:$A,0)-1&amp;""),
 1,
MATCH(AN53,INDIRECT("'数出表_Excel（アレルギー入力）'!"&amp;AM50&amp;AM8-1&amp;":AC"&amp;AM8-1&amp;""),0)+1),
 "")),0),"")</f>
        <v/>
      </c>
      <c r="AR56" s="151"/>
      <c r="AU56" s="124" t="str">
        <f ca="1">IF(AV53&lt;&gt;"",
IFERROR(INT(AV53/AV55),""),"")</f>
        <v/>
      </c>
      <c r="AV56" s="151"/>
      <c r="AW56" s="124" t="str">
        <f ca="1">IFERROR(MOD(AV53,AV55),"")</f>
        <v/>
      </c>
      <c r="AX56" s="151"/>
      <c r="AY56" s="118" t="str">
        <f t="array" aca="1" ref="AY56" ca="1">IF(AV50&lt;&gt;"",
IF(IFERROR(
INDEX(INDIRECT("'数出表_Excel（アレルギー入力）'!"&amp;AU50&amp;MATCH(AZ8,'数出表_Excel（アレルギー入力）'!$A:$A,0)-1&amp;":AC"&amp;MATCH(AZ8,'数出表_Excel（アレルギー入力）'!$A:$A,0)-1&amp;""),
 1,
MATCH(AV53,INDIRECT("'数出表_Excel（アレルギー入力）'!"&amp;AU50&amp;AU8-1&amp;":AC"&amp;AU8-1&amp;""),0)+1),
 "")&lt;&gt;0,
IF(IFERROR(
INDEX(INDIRECT("'数出表_Excel（アレルギー入力）'!"&amp;AU50&amp;MATCH(AZ8,'数出表_Excel（アレルギー入力）'!$A:$A,0)-1&amp;":AC"&amp;MATCH(AZ8,'数出表_Excel（アレルギー入力）'!$A:$A,0)-1&amp;""),
 1,
MATCH(AV53,INDIRECT("'数出表_Excel（アレルギー入力）'!"&amp;AU50&amp;AU8-1&amp;":AC"&amp;AU8-1&amp;""),0)+1),
 "")="",
IFERROR(
INDEX(INDIRECT("'数出表_Excel（アレルギー入力）'!B"&amp;MATCH(AZ8,'数出表_Excel（アレルギー入力）'!$A:$A,0)-1&amp;":AC"&amp;MATCH(AZ8,'数出表_Excel（アレルギー入力）'!$A:$A,0)-1&amp;""),
 1,
MATCH(TRUE,INDEX(INDIRECT("'数出表_Excel（アレルギー入力）'!B"&amp;AU8-1&amp;":AC"&amp;AU8-1&amp;"")&lt;&gt;"",0),0)+1),
 ""),
IFERROR(
INDEX(INDIRECT("'数出表_Excel（アレルギー入力）'!"&amp;AU50&amp;MATCH(AZ8,'数出表_Excel（アレルギー入力）'!$A:$A,0)-1&amp;":AC"&amp;MATCH(AZ8,'数出表_Excel（アレルギー入力）'!$A:$A,0)-1&amp;""),
 1,
MATCH(AV53,INDIRECT("'数出表_Excel（アレルギー入力）'!"&amp;AU50&amp;AU8-1&amp;":AC"&amp;AU8-1&amp;""),0)+1),
 "")),0),"")</f>
        <v/>
      </c>
      <c r="AZ56" s="151"/>
      <c r="BB56" s="124" t="str">
        <f ca="1">IF(BC53&lt;&gt;"",
IFERROR(INT(BC53/BC55),""),"")</f>
        <v/>
      </c>
      <c r="BC56" s="151"/>
      <c r="BD56" s="124" t="str">
        <f ca="1">IFERROR(MOD(BC53,BC55),"")</f>
        <v/>
      </c>
      <c r="BE56" s="151"/>
      <c r="BF56" s="118" t="str">
        <f t="array" aca="1" ref="BF56" ca="1">IF(BC50&lt;&gt;"",
IF(IFERROR(
INDEX(INDIRECT("'数出表_Excel（アレルギー入力）'!"&amp;BB50&amp;MATCH(BG8,'数出表_Excel（アレルギー入力）'!$A:$A,0)-1&amp;":AC"&amp;MATCH(BG8,'数出表_Excel（アレルギー入力）'!$A:$A,0)-1&amp;""),
 1,
MATCH(BC53,INDIRECT("'数出表_Excel（アレルギー入力）'!"&amp;BB50&amp;BB8-1&amp;":AC"&amp;BB8-1&amp;""),0)+1),
 "")&lt;&gt;0,
IF(IFERROR(
INDEX(INDIRECT("'数出表_Excel（アレルギー入力）'!"&amp;BB50&amp;MATCH(BG8,'数出表_Excel（アレルギー入力）'!$A:$A,0)-1&amp;":AC"&amp;MATCH(BG8,'数出表_Excel（アレルギー入力）'!$A:$A,0)-1&amp;""),
 1,
MATCH(BC53,INDIRECT("'数出表_Excel（アレルギー入力）'!"&amp;BB50&amp;BB8-1&amp;":AC"&amp;BB8-1&amp;""),0)+1),
 "")="",
IFERROR(
INDEX(INDIRECT("'数出表_Excel（アレルギー入力）'!B"&amp;MATCH(BG8,'数出表_Excel（アレルギー入力）'!$A:$A,0)-1&amp;":AC"&amp;MATCH(BG8,'数出表_Excel（アレルギー入力）'!$A:$A,0)-1&amp;""),
 1,
MATCH(TRUE,INDEX(INDIRECT("'数出表_Excel（アレルギー入力）'!B"&amp;BB8-1&amp;":AC"&amp;BB8-1&amp;"")&lt;&gt;"",0),0)+1),
 ""),
IFERROR(
INDEX(INDIRECT("'数出表_Excel（アレルギー入力）'!"&amp;BB50&amp;MATCH(BG8,'数出表_Excel（アレルギー入力）'!$A:$A,0)-1&amp;":AC"&amp;MATCH(BG8,'数出表_Excel（アレルギー入力）'!$A:$A,0)-1&amp;""),
 1,
MATCH(BC53,INDIRECT("'数出表_Excel（アレルギー入力）'!"&amp;BB50&amp;BB8-1&amp;":AC"&amp;BB8-1&amp;""),0)+1),
 "")),0),"")</f>
        <v/>
      </c>
      <c r="BG56" s="151"/>
      <c r="BJ56" s="124" t="str">
        <f ca="1">IF(BK53&lt;&gt;"",
IFERROR(INT(BK53/BK55),""),"")</f>
        <v/>
      </c>
      <c r="BK56" s="151"/>
      <c r="BL56" s="124" t="str">
        <f ca="1">IFERROR(MOD(BK53,BK55),"")</f>
        <v/>
      </c>
      <c r="BM56" s="151"/>
      <c r="BN56" s="118" t="str">
        <f t="array" aca="1" ref="BN56" ca="1">IF(BK50&lt;&gt;"",
IF(IFERROR(
INDEX(INDIRECT("'数出表_Excel（アレルギー入力）'!"&amp;BJ50&amp;MATCH(BO8,'数出表_Excel（アレルギー入力）'!$A:$A,0)-1&amp;":AC"&amp;MATCH(BO8,'数出表_Excel（アレルギー入力）'!$A:$A,0)-1&amp;""),
 1,
MATCH(BK53,INDIRECT("'数出表_Excel（アレルギー入力）'!"&amp;BJ50&amp;BJ8-1&amp;":AC"&amp;BJ8-1&amp;""),0)+1),
 "")&lt;&gt;0,
IF(IFERROR(
INDEX(INDIRECT("'数出表_Excel（アレルギー入力）'!"&amp;BJ50&amp;MATCH(BO8,'数出表_Excel（アレルギー入力）'!$A:$A,0)-1&amp;":AC"&amp;MATCH(BO8,'数出表_Excel（アレルギー入力）'!$A:$A,0)-1&amp;""),
 1,
MATCH(BK53,INDIRECT("'数出表_Excel（アレルギー入力）'!"&amp;BJ50&amp;BJ8-1&amp;":AC"&amp;BJ8-1&amp;""),0)+1),
 "")="",
IFERROR(
INDEX(INDIRECT("'数出表_Excel（アレルギー入力）'!B"&amp;MATCH(BO8,'数出表_Excel（アレルギー入力）'!$A:$A,0)-1&amp;":AC"&amp;MATCH(BO8,'数出表_Excel（アレルギー入力）'!$A:$A,0)-1&amp;""),
 1,
MATCH(TRUE,INDEX(INDIRECT("'数出表_Excel（アレルギー入力）'!B"&amp;BJ8-1&amp;":AC"&amp;BJ8-1&amp;"")&lt;&gt;"",0),0)+1),
 ""),
IFERROR(
INDEX(INDIRECT("'数出表_Excel（アレルギー入力）'!"&amp;BJ50&amp;MATCH(BO8,'数出表_Excel（アレルギー入力）'!$A:$A,0)-1&amp;":AC"&amp;MATCH(BO8,'数出表_Excel（アレルギー入力）'!$A:$A,0)-1&amp;""),
 1,
MATCH(BK53,INDIRECT("'数出表_Excel（アレルギー入力）'!"&amp;BJ50&amp;BJ8-1&amp;":AC"&amp;BJ8-1&amp;""),0)+1),
 "")),0),"")</f>
        <v/>
      </c>
      <c r="BO56" s="151"/>
      <c r="BQ56" s="124" t="str">
        <f ca="1">IF(BR53&lt;&gt;"",
IFERROR(INT(BR53/BR55),""),"")</f>
        <v/>
      </c>
      <c r="BR56" s="151"/>
      <c r="BS56" s="124" t="str">
        <f ca="1">IFERROR(MOD(BR53,BR55),"")</f>
        <v/>
      </c>
      <c r="BT56" s="151"/>
      <c r="BU56" s="118" t="str">
        <f t="array" aca="1" ref="BU56" ca="1">IF(BR50&lt;&gt;"",
IF(IFERROR(
INDEX(INDIRECT("'数出表_Excel（アレルギー入力）'!"&amp;BQ50&amp;MATCH(BV8,'数出表_Excel（アレルギー入力）'!$A:$A,0)-1&amp;":AC"&amp;MATCH(BV8,'数出表_Excel（アレルギー入力）'!$A:$A,0)-1&amp;""),
 1,
MATCH(BR53,INDIRECT("'数出表_Excel（アレルギー入力）'!"&amp;BQ50&amp;BQ8-1&amp;":AC"&amp;BQ8-1&amp;""),0)+1),
 "")&lt;&gt;0,
IF(IFERROR(
INDEX(INDIRECT("'数出表_Excel（アレルギー入力）'!"&amp;BQ50&amp;MATCH(BV8,'数出表_Excel（アレルギー入力）'!$A:$A,0)-1&amp;":AC"&amp;MATCH(BV8,'数出表_Excel（アレルギー入力）'!$A:$A,0)-1&amp;""),
 1,
MATCH(BR53,INDIRECT("'数出表_Excel（アレルギー入力）'!"&amp;BQ50&amp;BQ8-1&amp;":AC"&amp;BQ8-1&amp;""),0)+1),
 "")="",
IFERROR(
INDEX(INDIRECT("'数出表_Excel（アレルギー入力）'!B"&amp;MATCH(BV8,'数出表_Excel（アレルギー入力）'!$A:$A,0)-1&amp;":AC"&amp;MATCH(BV8,'数出表_Excel（アレルギー入力）'!$A:$A,0)-1&amp;""),
 1,
MATCH(TRUE,INDEX(INDIRECT("'数出表_Excel（アレルギー入力）'!B"&amp;BQ8-1&amp;":AC"&amp;BQ8-1&amp;"")&lt;&gt;"",0),0)+1),
 ""),
IFERROR(
INDEX(INDIRECT("'数出表_Excel（アレルギー入力）'!"&amp;BQ50&amp;MATCH(BV8,'数出表_Excel（アレルギー入力）'!$A:$A,0)-1&amp;":AC"&amp;MATCH(BV8,'数出表_Excel（アレルギー入力）'!$A:$A,0)-1&amp;""),
 1,
MATCH(BR53,INDIRECT("'数出表_Excel（アレルギー入力）'!"&amp;BQ50&amp;BQ8-1&amp;":AC"&amp;BQ8-1&amp;""),0)+1),
 "")),0),"")</f>
        <v/>
      </c>
      <c r="BV56" s="151"/>
      <c r="BX56" s="132">
        <f t="shared" ref="BX56:BX72" si="4">BX52+7</f>
        <v>49</v>
      </c>
      <c r="BY56" s="132" t="str">
        <f t="array" aca="1" ref="BY56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LEN(SUBSTITUTE(_xlfn.FORMULATEXT(BY$51),"=","")))+$BX56)</f>
        <v/>
      </c>
      <c r="BZ56" s="132" t="str">
        <f t="array" aca="1" ref="BZ56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LEN(SUBSTITUTE(_xlfn.FORMULATEXT(BZ$51),"=","")))+$BX56)</f>
        <v/>
      </c>
      <c r="CA56" s="132" t="str">
        <f t="array" aca="1" ref="CA56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LEN(SUBSTITUTE(_xlfn.FORMULATEXT(CA$51),"=","")))+$BX56)</f>
        <v/>
      </c>
      <c r="CB56" s="132" t="str">
        <f t="array" aca="1" ref="CB56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LEN(SUBSTITUTE(_xlfn.FORMULATEXT(CB$51),"=","")))+$BX56)</f>
        <v/>
      </c>
      <c r="CC56" s="132" t="str">
        <f t="array" aca="1" ref="CC56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LEN(SUBSTITUTE(_xlfn.FORMULATEXT(CC$51),"=","")))+$BX56)</f>
        <v/>
      </c>
      <c r="CD56" s="132" t="str">
        <f t="array" aca="1" ref="CD56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LEN(SUBSTITUTE(_xlfn.FORMULATEXT(CD$51),"=","")))+$BX56)</f>
        <v/>
      </c>
      <c r="CE56" s="132" t="str">
        <f t="array" aca="1" ref="CE56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LEN(SUBSTITUTE(_xlfn.FORMULATEXT(CE$51),"=","")))+$BX56)</f>
        <v/>
      </c>
      <c r="CF56" s="132" t="str">
        <f t="array" aca="1" ref="CF56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LEN(SUBSTITUTE(_xlfn.FORMULATEXT(CF$51),"=","")))+$BX56)</f>
        <v/>
      </c>
      <c r="CG56" s="132" t="str">
        <f t="array" aca="1" ref="CG56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LEN(SUBSTITUTE(_xlfn.FORMULATEXT(CG$51),"=","")))+$BX56)</f>
        <v/>
      </c>
      <c r="CH56" s="132" t="str">
        <f t="array" aca="1" ref="CH56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LEN(SUBSTITUTE(_xlfn.FORMULATEXT(CH$51),"=","")))+$BX56)</f>
        <v/>
      </c>
      <c r="CI56" s="132">
        <f t="shared" ca="1" si="3"/>
        <v>0</v>
      </c>
      <c r="CJ56" s="132" t="b">
        <f t="array" aca="1" ref="CJ56" ca="1">SUMPRODUCT((LEN(BY56:CH56)&gt;0)*1)&gt;0</f>
        <v>0</v>
      </c>
      <c r="CK56" s="132" t="str" cm="1">
        <f t="array" aca="1" ref="CK56" ca="1">IFERROR(SMALL(IF(CI$1:CI$150&lt;&gt;0,CI$1:CI$150),ROW(A56)),"")</f>
        <v/>
      </c>
      <c r="CL56" s="132" t="str">
        <f t="array" aca="1" ref="CL56" ca="1">IF($CK56&lt;&gt;"",
INDIRECT(""&amp;IF(COLUMN(BY56)&lt;=26,CHAR(COLUMN(BY56)+64),CHAR(INT((COLUMN(BY56)-1)/26)+64)&amp;CHAR(MOD(COLUMN(BY56)-1,26)+65))&amp;$CK56&amp;""),"")</f>
        <v/>
      </c>
      <c r="CM56" s="132" t="str">
        <f t="array" aca="1" ref="CM56" ca="1">IF($CK56&lt;&gt;"",
INDIRECT(""&amp;IF(COLUMN(BZ56)&lt;=26,CHAR(COLUMN(BZ56)+64),CHAR(INT((COLUMN(BZ56)-1)/26)+64)&amp;CHAR(MOD(COLUMN(BZ56)-1,26)+65))&amp;$CK56&amp;""),"")</f>
        <v/>
      </c>
      <c r="CN56" s="132" t="str">
        <f t="array" aca="1" ref="CN56" ca="1">IF($CK56&lt;&gt;"",
INDIRECT(""&amp;IF(COLUMN(CA56)&lt;=26,CHAR(COLUMN(CA56)+64),CHAR(INT((COLUMN(CA56)-1)/26)+64)&amp;CHAR(MOD(COLUMN(CA56)-1,26)+65))&amp;$CK56&amp;""),"")</f>
        <v/>
      </c>
      <c r="CO56" s="132" t="str">
        <f t="array" aca="1" ref="CO56" ca="1">IF($CK56&lt;&gt;"",
INDIRECT(""&amp;IF(COLUMN(CB56)&lt;=26,CHAR(COLUMN(CB56)+64),CHAR(INT((COLUMN(CB56)-1)/26)+64)&amp;CHAR(MOD(COLUMN(CB56)-1,26)+65))&amp;$CK56&amp;""),"")</f>
        <v/>
      </c>
      <c r="CP56" s="132" t="str">
        <f t="array" aca="1" ref="CP56" ca="1">IF($CK56&lt;&gt;"",
INDIRECT(""&amp;IF(COLUMN(CC56)&lt;=26,CHAR(COLUMN(CC56)+64),CHAR(INT((COLUMN(CC56)-1)/26)+64)&amp;CHAR(MOD(COLUMN(CC56)-1,26)+65))&amp;$CK56&amp;""),"")</f>
        <v/>
      </c>
      <c r="CQ56" s="132" t="str">
        <f t="array" aca="1" ref="CQ56" ca="1">IF($CK56&lt;&gt;"",
INDIRECT(""&amp;IF(COLUMN(CD56)&lt;=26,CHAR(COLUMN(CD56)+64),CHAR(INT((COLUMN(CD56)-1)/26)+64)&amp;CHAR(MOD(COLUMN(CD56)-1,26)+65))&amp;$CK56&amp;""),"")</f>
        <v/>
      </c>
      <c r="CR56" s="132" t="str">
        <f t="array" aca="1" ref="CR56" ca="1">IF($CK56&lt;&gt;"",
INDIRECT(""&amp;IF(COLUMN(CE56)&lt;=26,CHAR(COLUMN(CE56)+64),CHAR(INT((COLUMN(CE56)-1)/26)+64)&amp;CHAR(MOD(COLUMN(CE56)-1,26)+65))&amp;$CK56&amp;""),"")</f>
        <v/>
      </c>
      <c r="CS56" s="132" t="str">
        <f t="array" aca="1" ref="CS56" ca="1">IF($CK56&lt;&gt;"",
INDIRECT(""&amp;IF(COLUMN(CF56)&lt;=26,CHAR(COLUMN(CF56)+64),CHAR(INT((COLUMN(CF56)-1)/26)+64)&amp;CHAR(MOD(COLUMN(CF56)-1,26)+65))&amp;$CK56&amp;""),"")</f>
        <v/>
      </c>
      <c r="CT56" s="132" t="str">
        <f t="array" aca="1" ref="CT56" ca="1">IF($CK56&lt;&gt;"",
INDIRECT(""&amp;IF(COLUMN(CG56)&lt;=26,CHAR(COLUMN(CG56)+64),CHAR(INT((COLUMN(CG56)-1)/26)+64)&amp;CHAR(MOD(COLUMN(CG56)-1,26)+65))&amp;$CK56&amp;""),"")</f>
        <v/>
      </c>
      <c r="CU56" s="132" t="str">
        <f t="array" aca="1" ref="CU56" ca="1">IF($CK56&lt;&gt;"",
INDIRECT(""&amp;IF(COLUMN(CH56)&lt;=26,CHAR(COLUMN(CH56)+64),CHAR(INT((COLUMN(CH56)-1)/26)+64)&amp;CHAR(MOD(COLUMN(CH56)-1,26)+65))&amp;$CK56&amp;""),"")</f>
        <v/>
      </c>
    </row>
    <row r="57" spans="1:99" s="132" customFormat="1" ht="18" customHeight="1" x14ac:dyDescent="0.55000000000000004">
      <c r="A57" s="129"/>
      <c r="B57" s="130" t="str">
        <f t="array" aca="1" ref="B57" ca="1">IF(COUNTIF(G15,"*合計*"),"",
IFERROR(
SUBSTITUTE(ADDRESS(1,
COLUMN(INDIRECT("数出表_Excel!B" &amp; (MATCH(G15,数出表_Excel!$A:$A,0)-1))) - 1 +
MATCH(TRUE, ISNUMBER(--INDIRECT("数出表_Excel!B" &amp; (MATCH(G15,数出表_Excel!$A:$A,0)-1) &amp; ":U" &amp; (MATCH(G15,数出表_Excel!$A:$A,0)-1))), 0)+1,4),"1",""),
""))</f>
        <v/>
      </c>
      <c r="C57" s="117" t="str">
        <f ca="1">IF(C60&lt;&gt;"",C15,"")</f>
        <v/>
      </c>
      <c r="D57" s="131"/>
      <c r="E57" s="131"/>
      <c r="F57" s="131"/>
      <c r="G57" s="157"/>
      <c r="H57" s="129"/>
      <c r="I57" s="130" t="str">
        <f t="array" aca="1" ref="I57" ca="1">IF(COUNTIF(N15,"*合計*"),"",
IFERROR(
SUBSTITUTE(ADDRESS(1,
COLUMN(INDIRECT("数出表_Excel!B" &amp; (MATCH(N15,数出表_Excel!$A:$A,0)-1))) - 1 +
MATCH(TRUE, ISNUMBER(--INDIRECT("数出表_Excel!B" &amp; (MATCH(N15,数出表_Excel!$A:$A,0)-1) &amp; ":U" &amp; (MATCH(N15,数出表_Excel!$A:$A,0)-1))), 0)+1,4),"1",""),
""))</f>
        <v/>
      </c>
      <c r="J57" s="117" t="str">
        <f ca="1">IF(J60&lt;&gt;"",J15,"")</f>
        <v/>
      </c>
      <c r="K57" s="131"/>
      <c r="L57" s="131"/>
      <c r="M57" s="131"/>
      <c r="N57" s="152"/>
      <c r="O57" s="129"/>
      <c r="P57" s="129" t="str">
        <f t="array" aca="1" ref="P57" ca="1">IF(COUNTIF(V15,"*合計*"),"",
IFERROR(
SUBSTITUTE(ADDRESS(1,
COLUMN(INDIRECT("'数出表_Excel（アレルギー入力）'!B" &amp; (MATCH(V15,'数出表_Excel（アレルギー入力）'!$A:$A,0)-1))) - 1 +
MATCH(TRUE, ISNUMBER(--INDIRECT("'数出表_Excel（アレルギー入力）'!B" &amp; (MATCH(V15,'数出表_Excel（アレルギー入力）'!$A:$A,0)-1) &amp; ":AC" &amp; (MATCH(V15,'数出表_Excel（アレルギー入力）'!$A:$A,0)-1))), 0)+1,4),"1",""),
""))</f>
        <v/>
      </c>
      <c r="Q57" s="130" t="str">
        <f t="array" aca="1" ref="Q57" ca="1">IF(COUNTIF(V15,"*合計*"),"",
IFERROR(
SUBSTITUTE(ADDRESS(1,
COLUMN(INDIRECT("数出表_Excel!B" &amp; (MATCH(V15,数出表_Excel!$A:$A,0)-1))) - 1 +
MATCH(TRUE, ISNUMBER(--INDIRECT("数出表_Excel!B" &amp; (MATCH(V15,数出表_Excel!$A:$A,0)-1) &amp; ":U" &amp; (MATCH(V15,数出表_Excel!$A:$A,0)-1))), 0)+1,4),"1",""),
""))</f>
        <v/>
      </c>
      <c r="R57" s="117" t="str">
        <f ca="1">IF(R60&lt;&gt;"",R15,"")</f>
        <v/>
      </c>
      <c r="S57" s="131"/>
      <c r="T57" s="131"/>
      <c r="U57" s="131"/>
      <c r="V57" s="152"/>
      <c r="W57" s="129"/>
      <c r="X57" s="130" t="str">
        <f t="array" aca="1" ref="X57" ca="1">IF(COUNTIF(AC15,"*合計*"),"",
IFERROR(
SUBSTITUTE(ADDRESS(1,
COLUMN(INDIRECT("数出表_Excel!B" &amp; (MATCH(AC15,数出表_Excel!$A:$A,0)-1))) - 1 +
MATCH(TRUE, ISNUMBER(--INDIRECT("数出表_Excel!B" &amp; (MATCH(AC15,数出表_Excel!$A:$A,0)-1) &amp; ":U" &amp; (MATCH(AC15,数出表_Excel!$A:$A,0)-1))), 0)+1,4),"1",""),
""))</f>
        <v/>
      </c>
      <c r="Y57" s="117" t="str">
        <f ca="1">IF(Y60&lt;&gt;"",Y15,"")</f>
        <v/>
      </c>
      <c r="Z57" s="131"/>
      <c r="AA57" s="131"/>
      <c r="AB57" s="131"/>
      <c r="AC57" s="152"/>
      <c r="AD57" s="129"/>
      <c r="AE57" s="129"/>
      <c r="AF57" s="130" t="str">
        <f t="array" aca="1" ref="AF57" ca="1">IF(COUNTIF(AK15,"*合計*"),"",
IFERROR(
SUBSTITUTE(ADDRESS(1,
COLUMN(INDIRECT("数出表_Excel!B" &amp; (MATCH(AK15,数出表_Excel!$A:$A,0)-1))) - 1 +
MATCH(TRUE, ISNUMBER(--INDIRECT("数出表_Excel!B" &amp; (MATCH(AK15,数出表_Excel!$A:$A,0)-1) &amp; ":U" &amp; (MATCH(AK15,数出表_Excel!$A:$A,0)-1))), 0)+1,4),"1",""),
""))</f>
        <v/>
      </c>
      <c r="AG57" s="117" t="str">
        <f ca="1">IF(AG60&lt;&gt;"",AG15,"")</f>
        <v/>
      </c>
      <c r="AH57" s="131"/>
      <c r="AI57" s="131"/>
      <c r="AJ57" s="131"/>
      <c r="AK57" s="152"/>
      <c r="AL57" s="129"/>
      <c r="AM57" s="130" t="str">
        <f t="array" aca="1" ref="AM57" ca="1">IF(COUNTIF(AR15,"*合計*"),"",
IFERROR(
SUBSTITUTE(ADDRESS(1,
COLUMN(INDIRECT("数出表_Excel!B" &amp; (MATCH(AR15,数出表_Excel!$A:$A,0)-1))) - 1 +
MATCH(TRUE, ISNUMBER(--INDIRECT("数出表_Excel!B" &amp; (MATCH(AR15,数出表_Excel!$A:$A,0)-1) &amp; ":U" &amp; (MATCH(AR15,数出表_Excel!$A:$A,0)-1))), 0)+1,4),"1",""),
""))</f>
        <v/>
      </c>
      <c r="AN57" s="117" t="str">
        <f ca="1">IF(AN60&lt;&gt;"",AN15,"")</f>
        <v/>
      </c>
      <c r="AO57" s="131"/>
      <c r="AP57" s="131"/>
      <c r="AQ57" s="131"/>
      <c r="AR57" s="152"/>
      <c r="AS57" s="129"/>
      <c r="AT57" s="129"/>
      <c r="AU57" s="130" t="str">
        <f t="array" aca="1" ref="AU57" ca="1">IF(COUNTIF(AZ15,"*合計*"),"",
IFERROR(
SUBSTITUTE(ADDRESS(1,
COLUMN(INDIRECT("数出表_Excel!B" &amp; (MATCH(AZ15,数出表_Excel!$A:$A,0)-1))) - 1 +
MATCH(TRUE, ISNUMBER(--INDIRECT("数出表_Excel!B" &amp; (MATCH(AZ15,数出表_Excel!$A:$A,0)-1) &amp; ":U" &amp; (MATCH(AZ15,数出表_Excel!$A:$A,0)-1))), 0)+1,4),"1",""),
""))</f>
        <v/>
      </c>
      <c r="AV57" s="117" t="str">
        <f ca="1">IF(AV60&lt;&gt;"",AV15,"")</f>
        <v/>
      </c>
      <c r="AW57" s="131"/>
      <c r="AX57" s="131"/>
      <c r="AY57" s="131"/>
      <c r="AZ57" s="152"/>
      <c r="BA57" s="129"/>
      <c r="BB57" s="130" t="str">
        <f t="array" aca="1" ref="BB57" ca="1">IF(COUNTIF(BG15,"*合計*"),"",
IFERROR(
SUBSTITUTE(ADDRESS(1,
COLUMN(INDIRECT("数出表_Excel!B" &amp; (MATCH(BG15,数出表_Excel!$A:$A,0)-1))) - 1 +
MATCH(TRUE, ISNUMBER(--INDIRECT("数出表_Excel!B" &amp; (MATCH(BG15,数出表_Excel!$A:$A,0)-1) &amp; ":U" &amp; (MATCH(BG15,数出表_Excel!$A:$A,0)-1))), 0)+1,4),"1",""),
""))</f>
        <v/>
      </c>
      <c r="BC57" s="117" t="str">
        <f ca="1">IF(BC60&lt;&gt;"",BC15,"")</f>
        <v/>
      </c>
      <c r="BD57" s="131"/>
      <c r="BE57" s="131"/>
      <c r="BF57" s="131"/>
      <c r="BG57" s="152"/>
      <c r="BH57" s="129"/>
      <c r="BI57" s="129"/>
      <c r="BJ57" s="130" t="str">
        <f t="array" aca="1" ref="BJ57" ca="1">IF(COUNTIF(BO15,"*合計*"),"",
IFERROR(
SUBSTITUTE(ADDRESS(1,
COLUMN(INDIRECT("数出表_Excel!B" &amp; (MATCH(BO15,数出表_Excel!$A:$A,0)-1))) - 1 +
MATCH(TRUE, ISNUMBER(--INDIRECT("数出表_Excel!B" &amp; (MATCH(BO15,数出表_Excel!$A:$A,0)-1) &amp; ":U" &amp; (MATCH(BO15,数出表_Excel!$A:$A,0)-1))), 0)+1,4),"1",""),
""))</f>
        <v/>
      </c>
      <c r="BK57" s="117" t="str">
        <f ca="1">IF(BK60&lt;&gt;"",BK15,"")</f>
        <v/>
      </c>
      <c r="BL57" s="131"/>
      <c r="BM57" s="131"/>
      <c r="BN57" s="131"/>
      <c r="BO57" s="152"/>
      <c r="BP57" s="129"/>
      <c r="BQ57" s="130" t="str">
        <f t="array" aca="1" ref="BQ57" ca="1">IF(COUNTIF(BV15,"*合計*"),"",
IFERROR(
SUBSTITUTE(ADDRESS(1,
COLUMN(INDIRECT("数出表_Excel!B" &amp; (MATCH(BV15,数出表_Excel!$A:$A,0)-1))) - 1 +
MATCH(TRUE, ISNUMBER(--INDIRECT("数出表_Excel!B" &amp; (MATCH(BV15,数出表_Excel!$A:$A,0)-1) &amp; ":U" &amp; (MATCH(BV15,数出表_Excel!$A:$A,0)-1))), 0)+1,4),"1",""),
""))</f>
        <v/>
      </c>
      <c r="BR57" s="117" t="str">
        <f ca="1">IF(BR60&lt;&gt;"",BR15,"")</f>
        <v/>
      </c>
      <c r="BS57" s="131"/>
      <c r="BT57" s="131"/>
      <c r="BU57" s="131"/>
      <c r="BV57" s="152"/>
      <c r="BW57" s="129"/>
      <c r="BX57" s="132">
        <f t="shared" si="4"/>
        <v>14</v>
      </c>
      <c r="BY57" s="132" t="str">
        <f t="array" aca="1" ref="BY57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LEN(SUBSTITUTE(_xlfn.FORMULATEXT(BY$49),"=","")))+$BX57)</f>
        <v/>
      </c>
      <c r="BZ57" s="132" t="str">
        <f t="array" aca="1" ref="BZ57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LEN(SUBSTITUTE(_xlfn.FORMULATEXT(BZ$49),"=","")))+$BX57)</f>
        <v/>
      </c>
      <c r="CA57" s="132" t="str">
        <f t="array" aca="1" ref="CA57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LEN(SUBSTITUTE(_xlfn.FORMULATEXT(CA$49),"=","")))+$BX57)</f>
        <v/>
      </c>
      <c r="CB57" s="132" t="str">
        <f t="array" aca="1" ref="CB57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LEN(SUBSTITUTE(_xlfn.FORMULATEXT(CB$49),"=","")))+$BX57)</f>
        <v/>
      </c>
      <c r="CC57" s="132" t="str">
        <f t="array" aca="1" ref="CC57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LEN(SUBSTITUTE(_xlfn.FORMULATEXT(CC$49),"=","")))+$BX57)</f>
        <v/>
      </c>
      <c r="CD57" s="132" t="str">
        <f t="array" aca="1" ref="CD57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LEN(SUBSTITUTE(_xlfn.FORMULATEXT(CD$49),"=","")))+$BX57)</f>
        <v/>
      </c>
      <c r="CE57" s="132" t="str">
        <f t="array" aca="1" ref="CE57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LEN(SUBSTITUTE(_xlfn.FORMULATEXT(CE$49),"=","")))+$BX57)</f>
        <v/>
      </c>
      <c r="CF57" s="132" t="str">
        <f t="array" aca="1" ref="CF57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LEN(SUBSTITUTE(_xlfn.FORMULATEXT(CF$49),"=","")))+$BX57)</f>
        <v/>
      </c>
      <c r="CG57" s="132" t="str">
        <f t="array" aca="1" ref="CG57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LEN(SUBSTITUTE(_xlfn.FORMULATEXT(CG$49),"=","")))+$BX57)</f>
        <v/>
      </c>
      <c r="CH57" s="132" t="str">
        <f t="array" aca="1" ref="CH57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LEN(SUBSTITUTE(_xlfn.FORMULATEXT(CH$49),"=","")))+$BX57)</f>
        <v/>
      </c>
      <c r="CI57" s="132">
        <f t="shared" ca="1" si="3"/>
        <v>0</v>
      </c>
      <c r="CJ57" s="132" t="b">
        <f t="array" aca="1" ref="CJ57" ca="1">SUMPRODUCT((LEN(BY57:CH57)&gt;0)*1)&gt;0</f>
        <v>0</v>
      </c>
      <c r="CK57" s="132" t="str" cm="1">
        <f t="array" aca="1" ref="CK57" ca="1">IFERROR(SMALL(IF(CI$1:CI$150&lt;&gt;0,CI$1:CI$150),ROW(A57)),"")</f>
        <v/>
      </c>
      <c r="CL57" s="132" t="str">
        <f t="array" aca="1" ref="CL57" ca="1">IF($CK57&lt;&gt;"",
INDIRECT(""&amp;IF(COLUMN(BY57)&lt;=26,CHAR(COLUMN(BY57)+64),CHAR(INT((COLUMN(BY57)-1)/26)+64)&amp;CHAR(MOD(COLUMN(BY57)-1,26)+65))&amp;$CK57&amp;""),"")</f>
        <v/>
      </c>
      <c r="CM57" s="132" t="str">
        <f t="array" aca="1" ref="CM57" ca="1">IF($CK57&lt;&gt;"",
INDIRECT(""&amp;IF(COLUMN(BZ57)&lt;=26,CHAR(COLUMN(BZ57)+64),CHAR(INT((COLUMN(BZ57)-1)/26)+64)&amp;CHAR(MOD(COLUMN(BZ57)-1,26)+65))&amp;$CK57&amp;""),"")</f>
        <v/>
      </c>
      <c r="CN57" s="132" t="str">
        <f t="array" aca="1" ref="CN57" ca="1">IF($CK57&lt;&gt;"",
INDIRECT(""&amp;IF(COLUMN(CA57)&lt;=26,CHAR(COLUMN(CA57)+64),CHAR(INT((COLUMN(CA57)-1)/26)+64)&amp;CHAR(MOD(COLUMN(CA57)-1,26)+65))&amp;$CK57&amp;""),"")</f>
        <v/>
      </c>
      <c r="CO57" s="132" t="str">
        <f t="array" aca="1" ref="CO57" ca="1">IF($CK57&lt;&gt;"",
INDIRECT(""&amp;IF(COLUMN(CB57)&lt;=26,CHAR(COLUMN(CB57)+64),CHAR(INT((COLUMN(CB57)-1)/26)+64)&amp;CHAR(MOD(COLUMN(CB57)-1,26)+65))&amp;$CK57&amp;""),"")</f>
        <v/>
      </c>
      <c r="CP57" s="132" t="str">
        <f t="array" aca="1" ref="CP57" ca="1">IF($CK57&lt;&gt;"",
INDIRECT(""&amp;IF(COLUMN(CC57)&lt;=26,CHAR(COLUMN(CC57)+64),CHAR(INT((COLUMN(CC57)-1)/26)+64)&amp;CHAR(MOD(COLUMN(CC57)-1,26)+65))&amp;$CK57&amp;""),"")</f>
        <v/>
      </c>
      <c r="CQ57" s="132" t="str">
        <f t="array" aca="1" ref="CQ57" ca="1">IF($CK57&lt;&gt;"",
INDIRECT(""&amp;IF(COLUMN(CD57)&lt;=26,CHAR(COLUMN(CD57)+64),CHAR(INT((COLUMN(CD57)-1)/26)+64)&amp;CHAR(MOD(COLUMN(CD57)-1,26)+65))&amp;$CK57&amp;""),"")</f>
        <v/>
      </c>
      <c r="CR57" s="132" t="str">
        <f t="array" aca="1" ref="CR57" ca="1">IF($CK57&lt;&gt;"",
INDIRECT(""&amp;IF(COLUMN(CE57)&lt;=26,CHAR(COLUMN(CE57)+64),CHAR(INT((COLUMN(CE57)-1)/26)+64)&amp;CHAR(MOD(COLUMN(CE57)-1,26)+65))&amp;$CK57&amp;""),"")</f>
        <v/>
      </c>
      <c r="CS57" s="132" t="str">
        <f t="array" aca="1" ref="CS57" ca="1">IF($CK57&lt;&gt;"",
INDIRECT(""&amp;IF(COLUMN(CF57)&lt;=26,CHAR(COLUMN(CF57)+64),CHAR(INT((COLUMN(CF57)-1)/26)+64)&amp;CHAR(MOD(COLUMN(CF57)-1,26)+65))&amp;$CK57&amp;""),"")</f>
        <v/>
      </c>
      <c r="CT57" s="132" t="str">
        <f t="array" aca="1" ref="CT57" ca="1">IF($CK57&lt;&gt;"",
INDIRECT(""&amp;IF(COLUMN(CG57)&lt;=26,CHAR(COLUMN(CG57)+64),CHAR(INT((COLUMN(CG57)-1)/26)+64)&amp;CHAR(MOD(COLUMN(CG57)-1,26)+65))&amp;$CK57&amp;""),"")</f>
        <v/>
      </c>
      <c r="CU57" s="132" t="str">
        <f t="array" aca="1" ref="CU57" ca="1">IF($CK57&lt;&gt;"",
INDIRECT(""&amp;IF(COLUMN(CH57)&lt;=26,CHAR(COLUMN(CH57)+64),CHAR(INT((COLUMN(CH57)-1)/26)+64)&amp;CHAR(MOD(COLUMN(CH57)-1,26)+65))&amp;$CK57&amp;""),"")</f>
        <v/>
      </c>
    </row>
    <row r="58" spans="1:99" s="132" customFormat="1" ht="18" customHeight="1" x14ac:dyDescent="0.55000000000000004">
      <c r="A58" s="129"/>
      <c r="B58" s="135" t="e">
        <f t="array" aca="1" ref="B58" ca="1">IF(B17&lt;&gt;100,
IF(C60&lt;&gt;"",MATCH(C60,INDIRECT("数出表_Excel!B"&amp;MATCH(G15,数出表_Excel!$A:$A,0)-1&amp;":U"&amp;MATCH(G15,数出表_Excel!$A:$A,0)-1&amp;""),0)+1,""),
IF(C60&lt;&gt;"",
MATCH(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INDIRECT("数出表_Excel!B"&amp;MATCH(G15,数出表_Excel!$A:$A,0)-1&amp;":U"&amp;MATCH(G15,数出表_Excel!$A:$A,0)-1&amp;""),0)+1,""))</f>
        <v>#VALUE!</v>
      </c>
      <c r="C58" s="70" t="str">
        <f t="array" aca="1" ref="C58" ca="1">IFERROR(IF(OR(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"3"),"*配膳*"),
COUNTIF(INDIRECT("数出表_Excel!"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"3"),"*カレー*"),
COUNTIF(C15,"*合計*")),"",
IF(IFERROR(INDIRECT("数出表_Excel!"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"3"),0)=0,"",
IFERROR(INDIRECT("数出表_Excel!" &amp;
CHAR(MATCH(TRUE,
ISNUMBER(--INDIRECT("数出表_Excel!"&amp;B57&amp;MATCH(G15,数出表_Excel!$A:$A,0)-1&amp;":U"&amp;MATCH(G15,数出表_Excel!$A:$A,0)-1&amp;"")),0)
+MATCH(TRUE, ISNUMBER(--INDIRECT("数出表_Excel!B" &amp; (MATCH(G15,数出表_Excel!$A:$A,0)-1) &amp; ":U" &amp; (MATCH(G15,数出表_Excel!$A:$A,0)-1))), 0)
+65) &amp; "3"),""))),"")</f>
        <v/>
      </c>
      <c r="D58" s="129"/>
      <c r="E58" s="136" t="str">
        <f ca="1">IF(F58&lt;&gt;"","",
IF(C57&lt;&gt;"",
IFERROR(
INDEX('数出表_Excel（アレルギー入力）'!$4:$4,
 1,
MATCH(C60,INDIRECT("'数出表_Excel（アレルギー入力）'!"&amp;B15-1&amp;":"&amp;B15-1&amp;""),0)),
 "")
&amp;IFERROR(
INDEX('数出表_Excel（アレルギー入力）'!$5:$5,
 1,
MATCH(C60,INDIRECT("'数出表_Excel（アレルギー入力）'!"&amp;B15-1&amp;":"&amp;B15-1&amp;""),0)),
 ""),""))</f>
        <v/>
      </c>
      <c r="F58" s="137" t="str">
        <f t="array" aca="1" ref="F58" ca="1">IF(C58&lt;&gt;"",
IF(MATCH(TRUE,
ISNUMBER(--INDIRECT("数出表_Excel!B"&amp;MATCH(G15,数出表_Excel!$A:$A,0)-1&amp;":U"&amp;MATCH(G15,数出表_Excel!$A:$A,0)-1&amp;"")),0)&gt;10,
IF(C58&lt;&gt;"",
IF(IF(COUNTIF('盛付札（関数）'!C58,"*キャラ*"),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VLOOKUP('盛付札（関数）'!C58,商品マスタ一覧!$D:$J,7,FALSE)))=0,"",
IF(ROUND(
IF(F63&lt;&gt;"",(C60-F63),C60)
/IF(COUNTIF('盛付札（関数）'!C58,"*キャラ*"),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VLOOKUP('盛付札（関数）'!C58,商品マスタ一覧!$D:$J,7,FALSE))),0)&lt;=0,1,
ROUND(
IF(F63&lt;&gt;"",(C60-F63),C60)
/IF(COUNTIF('盛付札（関数）'!C58,"*キャラ*"),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VLOOKUP('盛付札（関数）'!C58,商品マスタ一覧!$D:$J,7,FALSE))),0))),""),""),"")</f>
        <v/>
      </c>
      <c r="G58" s="158" t="str">
        <f ca="1">IF(F58&lt;&gt;"",IF(C60&lt;&gt;"",IF(VALUE(IF(F63&lt;&gt;"",C60-F63,C60))&gt;VALUE(IF(COUNTIF('盛付札（関数）'!C58,"*キャラ*"),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
"+"&amp;IF(F63&lt;&gt;"",C60-F63,C60)-IF(COUNTIF('盛付札（関数）'!C58,"*キャラ*"),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VLOOKUP('盛付札（関数）'!C58,商品マスタ一覧!$D:$J,7,FALSE)))*F58,
IF(F63&lt;&gt;"",C60-F63,C60)-IF(COUNTIF('盛付札（関数）'!C58,"*キャラ*"),
VLOOKUP("*キャラ*",商品マスタ一覧!$D:$J,7,FALSE),
IF(COUNTIF('盛付札（関数）'!C58,"*赤*"),
VLOOKUP("*赤*",商品マスタ一覧!$D:$J,7,FALSE),
VLOOKUP('盛付札（関数）'!C58,商品マスタ一覧!$D:$J,7,FALSE)))*F58),""),"")</f>
        <v/>
      </c>
      <c r="H58" s="129"/>
      <c r="I58" s="135" t="e">
        <f t="array" aca="1" ref="I58" ca="1">IF(I17&lt;&gt;100,
IF(J60&lt;&gt;"",MATCH(J60,INDIRECT("数出表_Excel!B"&amp;MATCH(N15,数出表_Excel!$A:$A,0)-1&amp;":U"&amp;MATCH(N15,数出表_Excel!$A:$A,0)-1&amp;""),0)+1,""),
IF(J60&lt;&gt;"",
MATCH(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INDIRECT("数出表_Excel!B"&amp;MATCH(N15,数出表_Excel!$A:$A,0)-1&amp;":U"&amp;MATCH(N15,数出表_Excel!$A:$A,0)-1&amp;""),0)+1,""))</f>
        <v>#VALUE!</v>
      </c>
      <c r="J58" s="70" t="str">
        <f t="array" aca="1" ref="J58" ca="1">IFERROR(IF(OR(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"3"),"*配膳*"),
COUNTIF(INDIRECT("数出表_Excel!"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"3"),"*カレー*"),
COUNTIF(J15,"*合計*")),"",
IF(IFERROR(INDIRECT("数出表_Excel!"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"3"),0)=0,"",
IFERROR(INDIRECT("数出表_Excel!" &amp;
CHAR(MATCH(TRUE,
ISNUMBER(--INDIRECT("数出表_Excel!"&amp;I57&amp;MATCH(N15,数出表_Excel!$A:$A,0)-1&amp;":U"&amp;MATCH(N15,数出表_Excel!$A:$A,0)-1&amp;"")),0)
+MATCH(TRUE, ISNUMBER(--INDIRECT("数出表_Excel!B" &amp; (MATCH(N15,数出表_Excel!$A:$A,0)-1) &amp; ":U" &amp; (MATCH(N15,数出表_Excel!$A:$A,0)-1))), 0)
+65) &amp; "3"),""))),"")</f>
        <v/>
      </c>
      <c r="K58" s="129"/>
      <c r="L58" s="136" t="str">
        <f ca="1">IF(M58&lt;&gt;"","",
IF(J57&lt;&gt;"",
IFERROR(
INDEX('数出表_Excel（アレルギー入力）'!$4:$4,
 1,
MATCH(J60,INDIRECT("'数出表_Excel（アレルギー入力）'!"&amp;I15-1&amp;":"&amp;I15-1&amp;""),0)),
 "")
&amp;IFERROR(
INDEX('数出表_Excel（アレルギー入力）'!$5:$5,
 1,
MATCH(J60,INDIRECT("'数出表_Excel（アレルギー入力）'!"&amp;I15-1&amp;":"&amp;I15-1&amp;""),0)),
 ""),""))</f>
        <v/>
      </c>
      <c r="M58" s="137" t="str">
        <f t="array" aca="1" ref="M58" ca="1">IF(J58&lt;&gt;"",
IF(MATCH(TRUE,
ISNUMBER(--INDIRECT("数出表_Excel!B"&amp;MATCH(N15,数出表_Excel!$A:$A,0)-1&amp;":U"&amp;MATCH(N15,数出表_Excel!$A:$A,0)-1&amp;"")),0)&gt;10,
IF(J58&lt;&gt;"",
IF(IF(COUNTIF('盛付札（関数）'!J58,"*キャラ*"),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VLOOKUP('盛付札（関数）'!J58,商品マスタ一覧!$D:$J,7,FALSE)))=0,"",
IF(ROUND(
IF(M63&lt;&gt;"",(J60-M63),J60)
/IF(COUNTIF('盛付札（関数）'!J58,"*キャラ*"),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VLOOKUP('盛付札（関数）'!J58,商品マスタ一覧!$D:$J,7,FALSE))),0)&lt;=0,1,
ROUND(
IF(M63&lt;&gt;"",(J60-M63),J60)
/IF(COUNTIF('盛付札（関数）'!J58,"*キャラ*"),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VLOOKUP('盛付札（関数）'!J58,商品マスタ一覧!$D:$J,7,FALSE))),0))),""),""),"")</f>
        <v/>
      </c>
      <c r="N58" s="153" t="str">
        <f ca="1">IF(M58&lt;&gt;"",IF(J60&lt;&gt;"",IF(VALUE(IF(M63&lt;&gt;"",J60-M63,J60))&gt;VALUE(IF(COUNTIF('盛付札（関数）'!J58,"*キャラ*"),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
"+"&amp;IF(M63&lt;&gt;"",J60-M63,J60)-IF(COUNTIF('盛付札（関数）'!J58,"*キャラ*"),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VLOOKUP('盛付札（関数）'!J58,商品マスタ一覧!$D:$J,7,FALSE)))*M58,
IF(M63&lt;&gt;"",J60-M63,J60)-IF(COUNTIF('盛付札（関数）'!J58,"*キャラ*"),
VLOOKUP("*キャラ*",商品マスタ一覧!$D:$J,7,FALSE),
IF(COUNTIF('盛付札（関数）'!J58,"*赤*"),
VLOOKUP("*赤*",商品マスタ一覧!$D:$J,7,FALSE),
VLOOKUP('盛付札（関数）'!J58,商品マスタ一覧!$D:$J,7,FALSE)))*M58),""),"")</f>
        <v/>
      </c>
      <c r="O58" s="129"/>
      <c r="P58" s="129"/>
      <c r="Q58" s="135" t="e">
        <f t="array" aca="1" ref="Q58" ca="1">IF(Q17&lt;&gt;100,
IF(R60&lt;&gt;"",MATCH(R60,INDIRECT("数出表_Excel!B"&amp;MATCH(V15,数出表_Excel!$A:$A,0)-1&amp;":U"&amp;MATCH(V15,数出表_Excel!$A:$A,0)-1&amp;""),0)+1,""),
IF(R60&lt;&gt;"",
MATCH(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INDIRECT("数出表_Excel!B"&amp;MATCH(V15,数出表_Excel!$A:$A,0)-1&amp;":U"&amp;MATCH(V15,数出表_Excel!$A:$A,0)-1&amp;""),0)+1,""))</f>
        <v>#VALUE!</v>
      </c>
      <c r="R58" s="70" t="str">
        <f t="array" aca="1" ref="R58" ca="1">IFERROR(IF(OR(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"3"),"*配膳*"),
COUNTIF(INDIRECT("数出表_Excel!"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"3"),"*カレー*"),
COUNTIF(R15,"*合計*")),"",
IF(IFERROR(INDIRECT("数出表_Excel!"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"3"),0)=0,"",
IFERROR(INDIRECT("数出表_Excel!" &amp;
CHAR(MATCH(TRUE,
ISNUMBER(--INDIRECT("数出表_Excel!"&amp;Q57&amp;MATCH(V15,数出表_Excel!$A:$A,0)-1&amp;":U"&amp;MATCH(V15,数出表_Excel!$A:$A,0)-1&amp;"")),0)
+MATCH(TRUE, ISNUMBER(--INDIRECT("数出表_Excel!B" &amp; (MATCH(V15,数出表_Excel!$A:$A,0)-1) &amp; ":U" &amp; (MATCH(V15,数出表_Excel!$A:$A,0)-1))), 0)
+65) &amp; "3"),""))),"")</f>
        <v/>
      </c>
      <c r="S58" s="129"/>
      <c r="T58" s="136" t="str">
        <f ca="1">IF(U58&lt;&gt;"","",
IF(R57&lt;&gt;"",
IFERROR(
INDEX('数出表_Excel（アレルギー入力）'!$4:$4,
 1,
MATCH(R60,INDIRECT("'数出表_Excel（アレルギー入力）'!"&amp;Q15-1&amp;":"&amp;Q15-1&amp;""),0)),
 "")
&amp;IFERROR(
INDEX('数出表_Excel（アレルギー入力）'!$5:$5,
 1,
MATCH(R60,INDIRECT("'数出表_Excel（アレルギー入力）'!"&amp;Q15-1&amp;":"&amp;Q15-1&amp;""),0)),
 ""),""))</f>
        <v/>
      </c>
      <c r="U58" s="137" t="str">
        <f t="array" aca="1" ref="U58" ca="1">IF(R58&lt;&gt;"",
IF(MATCH(TRUE,
ISNUMBER(--INDIRECT("数出表_Excel!B"&amp;MATCH(V15,数出表_Excel!$A:$A,0)-1&amp;":U"&amp;MATCH(V15,数出表_Excel!$A:$A,0)-1&amp;"")),0)&gt;10,
IF(R58&lt;&gt;"",
IF(IF(COUNTIF('盛付札（関数）'!R58,"*キャラ*"),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VLOOKUP('盛付札（関数）'!R58,商品マスタ一覧!$D:$J,7,FALSE)))=0,"",
IF(ROUND(
IF(U63&lt;&gt;"",(R60-U63),R60)
/IF(COUNTIF('盛付札（関数）'!R58,"*キャラ*"),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VLOOKUP('盛付札（関数）'!R58,商品マスタ一覧!$D:$J,7,FALSE))),0)&lt;=0,1,
ROUND(
IF(U63&lt;&gt;"",(R60-U63),R60)
/IF(COUNTIF('盛付札（関数）'!R58,"*キャラ*"),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VLOOKUP('盛付札（関数）'!R58,商品マスタ一覧!$D:$J,7,FALSE))),0))),""),""),"")</f>
        <v/>
      </c>
      <c r="V58" s="153" t="str">
        <f ca="1">IF(U58&lt;&gt;"",IF(R60&lt;&gt;"",IF(VALUE(IF(U63&lt;&gt;"",R60-U63,R60))&gt;VALUE(IF(COUNTIF('盛付札（関数）'!R58,"*キャラ*"),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
"+"&amp;IF(U63&lt;&gt;"",R60-U63,R60)-IF(COUNTIF('盛付札（関数）'!R58,"*キャラ*"),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VLOOKUP('盛付札（関数）'!R58,商品マスタ一覧!$D:$J,7,FALSE)))*U58,
IF(U63&lt;&gt;"",R60-U63,R60)-IF(COUNTIF('盛付札（関数）'!R58,"*キャラ*"),
VLOOKUP("*キャラ*",商品マスタ一覧!$D:$J,7,FALSE),
IF(COUNTIF('盛付札（関数）'!R58,"*赤*"),
VLOOKUP("*赤*",商品マスタ一覧!$D:$J,7,FALSE),
VLOOKUP('盛付札（関数）'!R58,商品マスタ一覧!$D:$J,7,FALSE)))*U58),""),"")</f>
        <v/>
      </c>
      <c r="W58" s="129"/>
      <c r="X58" s="135" t="e">
        <f t="array" aca="1" ref="X58" ca="1">IF(X17&lt;&gt;100,
IF(Y60&lt;&gt;"",MATCH(Y60,INDIRECT("数出表_Excel!B"&amp;MATCH(AC15,数出表_Excel!$A:$A,0)-1&amp;":U"&amp;MATCH(AC15,数出表_Excel!$A:$A,0)-1&amp;""),0)+1,""),
IF(Y60&lt;&gt;"",
MATCH(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INDIRECT("数出表_Excel!B"&amp;MATCH(AC15,数出表_Excel!$A:$A,0)-1&amp;":U"&amp;MATCH(AC15,数出表_Excel!$A:$A,0)-1&amp;""),0)+1,""))</f>
        <v>#VALUE!</v>
      </c>
      <c r="Y58" s="70" t="str">
        <f t="array" aca="1" ref="Y58" ca="1">IFERROR(IF(OR(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"3"),"*配膳*"),
COUNTIF(INDIRECT("数出表_Excel!"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"3"),"*カレー*"),
COUNTIF(Y15,"*合計*")),"",
IF(IFERROR(INDIRECT("数出表_Excel!"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"3"),0)=0,"",
IFERROR(INDIRECT("数出表_Excel!" &amp;
CHAR(MATCH(TRUE,
ISNUMBER(--INDIRECT("数出表_Excel!"&amp;X57&amp;MATCH(AC15,数出表_Excel!$A:$A,0)-1&amp;":U"&amp;MATCH(AC15,数出表_Excel!$A:$A,0)-1&amp;"")),0)
+MATCH(TRUE, ISNUMBER(--INDIRECT("数出表_Excel!B" &amp; (MATCH(AC15,数出表_Excel!$A:$A,0)-1) &amp; ":U" &amp; (MATCH(AC15,数出表_Excel!$A:$A,0)-1))), 0)
+65) &amp; "3"),""))),"")</f>
        <v/>
      </c>
      <c r="Z58" s="129"/>
      <c r="AA58" s="136" t="str">
        <f ca="1">IF(AB58&lt;&gt;"","",
IF(Y57&lt;&gt;"",
IFERROR(
INDEX('数出表_Excel（アレルギー入力）'!$4:$4,
 1,
MATCH(Y60,INDIRECT("'数出表_Excel（アレルギー入力）'!"&amp;X15-1&amp;":"&amp;X15-1&amp;""),0)),
 "")
&amp;IFERROR(
INDEX('数出表_Excel（アレルギー入力）'!$5:$5,
 1,
MATCH(Y60,INDIRECT("'数出表_Excel（アレルギー入力）'!"&amp;X15-1&amp;":"&amp;X15-1&amp;""),0)),
 ""),""))</f>
        <v/>
      </c>
      <c r="AB58" s="137" t="str">
        <f t="array" aca="1" ref="AB58" ca="1">IF(Y58&lt;&gt;"",
IF(MATCH(TRUE,
ISNUMBER(--INDIRECT("数出表_Excel!B"&amp;MATCH(AC15,数出表_Excel!$A:$A,0)-1&amp;":U"&amp;MATCH(AC15,数出表_Excel!$A:$A,0)-1&amp;"")),0)&gt;10,
IF(Y58&lt;&gt;"",
IF(IF(COUNTIF('盛付札（関数）'!Y58,"*キャラ*"),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VLOOKUP('盛付札（関数）'!Y58,商品マスタ一覧!$D:$J,7,FALSE)))=0,"",
IF(ROUND(
IF(AB63&lt;&gt;"",(Y60-AB63),Y60)
/IF(COUNTIF('盛付札（関数）'!Y58,"*キャラ*"),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VLOOKUP('盛付札（関数）'!Y58,商品マスタ一覧!$D:$J,7,FALSE))),0)&lt;=0,1,
ROUND(
IF(AB63&lt;&gt;"",(Y60-AB63),Y60)
/IF(COUNTIF('盛付札（関数）'!Y58,"*キャラ*"),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VLOOKUP('盛付札（関数）'!Y58,商品マスタ一覧!$D:$J,7,FALSE))),0))),""),""),"")</f>
        <v/>
      </c>
      <c r="AC58" s="153" t="str">
        <f ca="1">IF(AB58&lt;&gt;"",IF(Y60&lt;&gt;"",IF(VALUE(IF(AB63&lt;&gt;"",Y60-AB63,Y60))&gt;VALUE(IF(COUNTIF('盛付札（関数）'!Y58,"*キャラ*"),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
"+"&amp;IF(AB63&lt;&gt;"",Y60-AB63,Y60)-IF(COUNTIF('盛付札（関数）'!Y58,"*キャラ*"),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VLOOKUP('盛付札（関数）'!Y58,商品マスタ一覧!$D:$J,7,FALSE)))*AB58,
IF(AB63&lt;&gt;"",Y60-AB63,Y60)-IF(COUNTIF('盛付札（関数）'!Y58,"*キャラ*"),
VLOOKUP("*キャラ*",商品マスタ一覧!$D:$J,7,FALSE),
IF(COUNTIF('盛付札（関数）'!Y58,"*赤*"),
VLOOKUP("*赤*",商品マスタ一覧!$D:$J,7,FALSE),
VLOOKUP('盛付札（関数）'!Y58,商品マスタ一覧!$D:$J,7,FALSE)))*AB58),""),"")</f>
        <v/>
      </c>
      <c r="AD58" s="129"/>
      <c r="AE58" s="129"/>
      <c r="AF58" s="135" t="e">
        <f t="array" aca="1" ref="AF58" ca="1">IF(AF17&lt;&gt;100,
IF(AG60&lt;&gt;"",MATCH(AG60,INDIRECT("数出表_Excel!B"&amp;MATCH(AK15,数出表_Excel!$A:$A,0)-1&amp;":U"&amp;MATCH(AK15,数出表_Excel!$A:$A,0)-1&amp;""),0)+1,""),
IF(AG60&lt;&gt;"",
MATCH(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INDIRECT("数出表_Excel!B"&amp;MATCH(AK15,数出表_Excel!$A:$A,0)-1&amp;":U"&amp;MATCH(AK15,数出表_Excel!$A:$A,0)-1&amp;""),0)+1,""))</f>
        <v>#VALUE!</v>
      </c>
      <c r="AG58" s="70" t="str">
        <f t="array" aca="1" ref="AG58" ca="1">IFERROR(IF(OR(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"3"),"*配膳*"),
COUNTIF(INDIRECT("数出表_Excel!"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"3"),"*カレー*"),
COUNTIF(AG15,"*合計*")),"",
IF(IFERROR(INDIRECT("数出表_Excel!"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"3"),0)=0,"",
IFERROR(INDIRECT("数出表_Excel!" &amp;
CHAR(MATCH(TRUE,
ISNUMBER(--INDIRECT("数出表_Excel!"&amp;AF57&amp;MATCH(AK15,数出表_Excel!$A:$A,0)-1&amp;":U"&amp;MATCH(AK15,数出表_Excel!$A:$A,0)-1&amp;"")),0)
+MATCH(TRUE, ISNUMBER(--INDIRECT("数出表_Excel!B" &amp; (MATCH(AK15,数出表_Excel!$A:$A,0)-1) &amp; ":U" &amp; (MATCH(AK15,数出表_Excel!$A:$A,0)-1))), 0)
+65) &amp; "3"),""))),"")</f>
        <v/>
      </c>
      <c r="AH58" s="129"/>
      <c r="AI58" s="136" t="str">
        <f ca="1">IF(AJ58&lt;&gt;"","",
IF(AG57&lt;&gt;"",
IFERROR(
INDEX('数出表_Excel（アレルギー入力）'!$4:$4,
 1,
MATCH(AG60,INDIRECT("'数出表_Excel（アレルギー入力）'!"&amp;AF15-1&amp;":"&amp;AF15-1&amp;""),0)),
 "")
&amp;IFERROR(
INDEX('数出表_Excel（アレルギー入力）'!$5:$5,
 1,
MATCH(AG60,INDIRECT("'数出表_Excel（アレルギー入力）'!"&amp;AF15-1&amp;":"&amp;AF15-1&amp;""),0)),
 ""),""))</f>
        <v/>
      </c>
      <c r="AJ58" s="137" t="str">
        <f t="array" aca="1" ref="AJ58" ca="1">IF(AG58&lt;&gt;"",
IF(MATCH(TRUE,
ISNUMBER(--INDIRECT("数出表_Excel!B"&amp;MATCH(AK15,数出表_Excel!$A:$A,0)-1&amp;":U"&amp;MATCH(AK15,数出表_Excel!$A:$A,0)-1&amp;"")),0)&gt;10,
IF(AG58&lt;&gt;"",
IF(IF(COUNTIF('盛付札（関数）'!AG58,"*キャラ*"),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VLOOKUP('盛付札（関数）'!AG58,商品マスタ一覧!$D:$J,7,FALSE)))=0,"",
IF(ROUND(
IF(AJ63&lt;&gt;"",(AG60-AJ63),AG60)
/IF(COUNTIF('盛付札（関数）'!AG58,"*キャラ*"),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VLOOKUP('盛付札（関数）'!AG58,商品マスタ一覧!$D:$J,7,FALSE))),0)&lt;=0,1,
ROUND(
IF(AJ63&lt;&gt;"",(AG60-AJ63),AG60)
/IF(COUNTIF('盛付札（関数）'!AG58,"*キャラ*"),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VLOOKUP('盛付札（関数）'!AG58,商品マスタ一覧!$D:$J,7,FALSE))),0))),""),""),"")</f>
        <v/>
      </c>
      <c r="AK58" s="153" t="str">
        <f ca="1">IF(AJ58&lt;&gt;"",IF(AG60&lt;&gt;"",IF(VALUE(IF(AJ63&lt;&gt;"",AG60-AJ63,AG60))&gt;VALUE(IF(COUNTIF('盛付札（関数）'!AG58,"*キャラ*"),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
"+"&amp;IF(AJ63&lt;&gt;"",AG60-AJ63,AG60)-IF(COUNTIF('盛付札（関数）'!AG58,"*キャラ*"),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VLOOKUP('盛付札（関数）'!AG58,商品マスタ一覧!$D:$J,7,FALSE)))*AJ58,
IF(AJ63&lt;&gt;"",AG60-AJ63,AG60)-IF(COUNTIF('盛付札（関数）'!AG58,"*キャラ*"),
VLOOKUP("*キャラ*",商品マスタ一覧!$D:$J,7,FALSE),
IF(COUNTIF('盛付札（関数）'!AG58,"*赤*"),
VLOOKUP("*赤*",商品マスタ一覧!$D:$J,7,FALSE),
VLOOKUP('盛付札（関数）'!AG58,商品マスタ一覧!$D:$J,7,FALSE)))*AJ58),""),"")</f>
        <v/>
      </c>
      <c r="AL58" s="129"/>
      <c r="AM58" s="135" t="e">
        <f t="array" aca="1" ref="AM58" ca="1">IF(AM17&lt;&gt;100,
IF(AN60&lt;&gt;"",MATCH(AN60,INDIRECT("数出表_Excel!B"&amp;MATCH(AR15,数出表_Excel!$A:$A,0)-1&amp;":U"&amp;MATCH(AR15,数出表_Excel!$A:$A,0)-1&amp;""),0)+1,""),
IF(AN60&lt;&gt;"",
MATCH(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INDIRECT("数出表_Excel!B"&amp;MATCH(AR15,数出表_Excel!$A:$A,0)-1&amp;":U"&amp;MATCH(AR15,数出表_Excel!$A:$A,0)-1&amp;""),0)+1,""))</f>
        <v>#VALUE!</v>
      </c>
      <c r="AN58" s="70" t="str">
        <f t="array" aca="1" ref="AN58" ca="1">IFERROR(IF(OR(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"3"),"*配膳*"),
COUNTIF(INDIRECT("数出表_Excel!"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"3"),"*カレー*"),
COUNTIF(AN15,"*合計*")),"",
IF(IFERROR(INDIRECT("数出表_Excel!"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"3"),0)=0,"",
IFERROR(INDIRECT("数出表_Excel!" &amp;
CHAR(MATCH(TRUE,
ISNUMBER(--INDIRECT("数出表_Excel!"&amp;AM57&amp;MATCH(AR15,数出表_Excel!$A:$A,0)-1&amp;":U"&amp;MATCH(AR15,数出表_Excel!$A:$A,0)-1&amp;"")),0)
+MATCH(TRUE, ISNUMBER(--INDIRECT("数出表_Excel!B" &amp; (MATCH(AR15,数出表_Excel!$A:$A,0)-1) &amp; ":U" &amp; (MATCH(AR15,数出表_Excel!$A:$A,0)-1))), 0)
+65) &amp; "3"),""))),"")</f>
        <v/>
      </c>
      <c r="AO58" s="129"/>
      <c r="AP58" s="136" t="str">
        <f ca="1">IF(AQ58&lt;&gt;"","",
IF(AN57&lt;&gt;"",
IFERROR(
INDEX('数出表_Excel（アレルギー入力）'!$4:$4,
 1,
MATCH(AN60,INDIRECT("'数出表_Excel（アレルギー入力）'!"&amp;AM15-1&amp;":"&amp;AM15-1&amp;""),0)),
 "")
&amp;IFERROR(
INDEX('数出表_Excel（アレルギー入力）'!$5:$5,
 1,
MATCH(AN60,INDIRECT("'数出表_Excel（アレルギー入力）'!"&amp;AM15-1&amp;":"&amp;AM15-1&amp;""),0)),
 ""),""))</f>
        <v/>
      </c>
      <c r="AQ58" s="137" t="str">
        <f t="array" aca="1" ref="AQ58" ca="1">IF(AN58&lt;&gt;"",
IF(MATCH(TRUE,
ISNUMBER(--INDIRECT("数出表_Excel!B"&amp;MATCH(AR15,数出表_Excel!$A:$A,0)-1&amp;":U"&amp;MATCH(AR15,数出表_Excel!$A:$A,0)-1&amp;"")),0)&gt;10,
IF(AN58&lt;&gt;"",
IF(IF(COUNTIF('盛付札（関数）'!AN58,"*キャラ*"),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VLOOKUP('盛付札（関数）'!AN58,商品マスタ一覧!$D:$J,7,FALSE)))=0,"",
IF(ROUND(
IF(AQ63&lt;&gt;"",(AN60-AQ63),AN60)
/IF(COUNTIF('盛付札（関数）'!AN58,"*キャラ*"),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VLOOKUP('盛付札（関数）'!AN58,商品マスタ一覧!$D:$J,7,FALSE))),0)&lt;=0,1,
ROUND(
IF(AQ63&lt;&gt;"",(AN60-AQ63),AN60)
/IF(COUNTIF('盛付札（関数）'!AN58,"*キャラ*"),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VLOOKUP('盛付札（関数）'!AN58,商品マスタ一覧!$D:$J,7,FALSE))),0))),""),""),"")</f>
        <v/>
      </c>
      <c r="AR58" s="153" t="str">
        <f ca="1">IF(AQ58&lt;&gt;"",IF(AN60&lt;&gt;"",IF(VALUE(IF(AQ63&lt;&gt;"",AN60-AQ63,AN60))&gt;VALUE(IF(COUNTIF('盛付札（関数）'!AN58,"*キャラ*"),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
"+"&amp;IF(AQ63&lt;&gt;"",AN60-AQ63,AN60)-IF(COUNTIF('盛付札（関数）'!AN58,"*キャラ*"),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VLOOKUP('盛付札（関数）'!AN58,商品マスタ一覧!$D:$J,7,FALSE)))*AQ58,
IF(AQ63&lt;&gt;"",AN60-AQ63,AN60)-IF(COUNTIF('盛付札（関数）'!AN58,"*キャラ*"),
VLOOKUP("*キャラ*",商品マスタ一覧!$D:$J,7,FALSE),
IF(COUNTIF('盛付札（関数）'!AN58,"*赤*"),
VLOOKUP("*赤*",商品マスタ一覧!$D:$J,7,FALSE),
VLOOKUP('盛付札（関数）'!AN58,商品マスタ一覧!$D:$J,7,FALSE)))*AQ58),""),"")</f>
        <v/>
      </c>
      <c r="AS58" s="129"/>
      <c r="AT58" s="129"/>
      <c r="AU58" s="135" t="e">
        <f t="array" aca="1" ref="AU58" ca="1">IF(AU17&lt;&gt;100,
IF(AV60&lt;&gt;"",MATCH(AV60,INDIRECT("数出表_Excel!B"&amp;MATCH(AZ15,数出表_Excel!$A:$A,0)-1&amp;":U"&amp;MATCH(AZ15,数出表_Excel!$A:$A,0)-1&amp;""),0)+1,""),
IF(AV60&lt;&gt;"",
MATCH(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INDIRECT("数出表_Excel!B"&amp;MATCH(AZ15,数出表_Excel!$A:$A,0)-1&amp;":U"&amp;MATCH(AZ15,数出表_Excel!$A:$A,0)-1&amp;""),0)+1,""))</f>
        <v>#VALUE!</v>
      </c>
      <c r="AV58" s="70" t="str">
        <f t="array" aca="1" ref="AV58" ca="1">IFERROR(IF(OR(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"3"),"*配膳*"),
COUNTIF(INDIRECT("数出表_Excel!"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"3"),"*カレー*"),
COUNTIF(AV15,"*合計*")),"",
IF(IFERROR(INDIRECT("数出表_Excel!"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"3"),0)=0,"",
IFERROR(INDIRECT("数出表_Excel!" &amp;
CHAR(MATCH(TRUE,
ISNUMBER(--INDIRECT("数出表_Excel!"&amp;AU57&amp;MATCH(AZ15,数出表_Excel!$A:$A,0)-1&amp;":U"&amp;MATCH(AZ15,数出表_Excel!$A:$A,0)-1&amp;"")),0)
+MATCH(TRUE, ISNUMBER(--INDIRECT("数出表_Excel!B" &amp; (MATCH(AZ15,数出表_Excel!$A:$A,0)-1) &amp; ":U" &amp; (MATCH(AZ15,数出表_Excel!$A:$A,0)-1))), 0)
+65) &amp; "3"),""))),"")</f>
        <v/>
      </c>
      <c r="AW58" s="129"/>
      <c r="AX58" s="136" t="str">
        <f ca="1">IF(AY58&lt;&gt;"","",
IF(AV57&lt;&gt;"",
IFERROR(
INDEX('数出表_Excel（アレルギー入力）'!$4:$4,
 1,
MATCH(AV60,INDIRECT("'数出表_Excel（アレルギー入力）'!"&amp;AU15-1&amp;":"&amp;AU15-1&amp;""),0)),
 "")
&amp;IFERROR(
INDEX('数出表_Excel（アレルギー入力）'!$5:$5,
 1,
MATCH(AV60,INDIRECT("'数出表_Excel（アレルギー入力）'!"&amp;AU15-1&amp;":"&amp;AU15-1&amp;""),0)),
 ""),""))</f>
        <v/>
      </c>
      <c r="AY58" s="137" t="str">
        <f t="array" aca="1" ref="AY58" ca="1">IF(AV58&lt;&gt;"",
IF(MATCH(TRUE,
ISNUMBER(--INDIRECT("数出表_Excel!B"&amp;MATCH(AZ15,数出表_Excel!$A:$A,0)-1&amp;":U"&amp;MATCH(AZ15,数出表_Excel!$A:$A,0)-1&amp;"")),0)&gt;10,
IF(AV58&lt;&gt;"",
IF(IF(COUNTIF('盛付札（関数）'!AV58,"*キャラ*"),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VLOOKUP('盛付札（関数）'!AV58,商品マスタ一覧!$D:$J,7,FALSE)))=0,"",
IF(ROUND(
IF(AY63&lt;&gt;"",(AV60-AY63),AV60)
/IF(COUNTIF('盛付札（関数）'!AV58,"*キャラ*"),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VLOOKUP('盛付札（関数）'!AV58,商品マスタ一覧!$D:$J,7,FALSE))),0)&lt;=0,1,
ROUND(
IF(AY63&lt;&gt;"",(AV60-AY63),AV60)
/IF(COUNTIF('盛付札（関数）'!AV58,"*キャラ*"),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VLOOKUP('盛付札（関数）'!AV58,商品マスタ一覧!$D:$J,7,FALSE))),0))),""),""),"")</f>
        <v/>
      </c>
      <c r="AZ58" s="153" t="str">
        <f ca="1">IF(AY58&lt;&gt;"",IF(AV60&lt;&gt;"",IF(VALUE(IF(AY63&lt;&gt;"",AV60-AY63,AV60))&gt;VALUE(IF(COUNTIF('盛付札（関数）'!AV58,"*キャラ*"),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
"+"&amp;IF(AY63&lt;&gt;"",AV60-AY63,AV60)-IF(COUNTIF('盛付札（関数）'!AV58,"*キャラ*"),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VLOOKUP('盛付札（関数）'!AV58,商品マスタ一覧!$D:$J,7,FALSE)))*AY58,
IF(AY63&lt;&gt;"",AV60-AY63,AV60)-IF(COUNTIF('盛付札（関数）'!AV58,"*キャラ*"),
VLOOKUP("*キャラ*",商品マスタ一覧!$D:$J,7,FALSE),
IF(COUNTIF('盛付札（関数）'!AV58,"*赤*"),
VLOOKUP("*赤*",商品マスタ一覧!$D:$J,7,FALSE),
VLOOKUP('盛付札（関数）'!AV58,商品マスタ一覧!$D:$J,7,FALSE)))*AY58),""),"")</f>
        <v/>
      </c>
      <c r="BA58" s="129"/>
      <c r="BB58" s="135" t="e">
        <f t="array" aca="1" ref="BB58" ca="1">IF(BB17&lt;&gt;100,
IF(BC60&lt;&gt;"",MATCH(BC60,INDIRECT("数出表_Excel!B"&amp;MATCH(BG15,数出表_Excel!$A:$A,0)-1&amp;":U"&amp;MATCH(BG15,数出表_Excel!$A:$A,0)-1&amp;""),0)+1,""),
IF(BC60&lt;&gt;"",
MATCH(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INDIRECT("数出表_Excel!B"&amp;MATCH(BG15,数出表_Excel!$A:$A,0)-1&amp;":U"&amp;MATCH(BG15,数出表_Excel!$A:$A,0)-1&amp;""),0)+1,""))</f>
        <v>#VALUE!</v>
      </c>
      <c r="BC58" s="70" t="str">
        <f t="array" aca="1" ref="BC58" ca="1">IFERROR(IF(OR(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"3"),"*配膳*"),
COUNTIF(INDIRECT("数出表_Excel!"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"3"),"*カレー*"),
COUNTIF(BC15,"*合計*")),"",
IF(IFERROR(INDIRECT("数出表_Excel!"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"3"),0)=0,"",
IFERROR(INDIRECT("数出表_Excel!" &amp;
CHAR(MATCH(TRUE,
ISNUMBER(--INDIRECT("数出表_Excel!"&amp;BB57&amp;MATCH(BG15,数出表_Excel!$A:$A,0)-1&amp;":U"&amp;MATCH(BG15,数出表_Excel!$A:$A,0)-1&amp;"")),0)
+MATCH(TRUE, ISNUMBER(--INDIRECT("数出表_Excel!B" &amp; (MATCH(BG15,数出表_Excel!$A:$A,0)-1) &amp; ":U" &amp; (MATCH(BG15,数出表_Excel!$A:$A,0)-1))), 0)
+65) &amp; "3"),""))),"")</f>
        <v/>
      </c>
      <c r="BD58" s="129"/>
      <c r="BE58" s="136" t="str">
        <f ca="1">IF(BF58&lt;&gt;"","",
IF(BC57&lt;&gt;"",
IFERROR(
INDEX('数出表_Excel（アレルギー入力）'!$4:$4,
 1,
MATCH(BC60,INDIRECT("'数出表_Excel（アレルギー入力）'!"&amp;BB15-1&amp;":"&amp;BB15-1&amp;""),0)),
 "")
&amp;IFERROR(
INDEX('数出表_Excel（アレルギー入力）'!$5:$5,
 1,
MATCH(BC60,INDIRECT("'数出表_Excel（アレルギー入力）'!"&amp;BB15-1&amp;":"&amp;BB15-1&amp;""),0)),
 ""),""))</f>
        <v/>
      </c>
      <c r="BF58" s="137" t="str">
        <f t="array" aca="1" ref="BF58" ca="1">IF(BC58&lt;&gt;"",
IF(MATCH(TRUE,
ISNUMBER(--INDIRECT("数出表_Excel!B"&amp;MATCH(BG15,数出表_Excel!$A:$A,0)-1&amp;":U"&amp;MATCH(BG15,数出表_Excel!$A:$A,0)-1&amp;"")),0)&gt;10,
IF(BC58&lt;&gt;"",
IF(IF(COUNTIF('盛付札（関数）'!BC58,"*キャラ*"),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VLOOKUP('盛付札（関数）'!BC58,商品マスタ一覧!$D:$J,7,FALSE)))=0,"",
IF(ROUND(
IF(BF63&lt;&gt;"",(BC60-BF63),BC60)
/IF(COUNTIF('盛付札（関数）'!BC58,"*キャラ*"),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VLOOKUP('盛付札（関数）'!BC58,商品マスタ一覧!$D:$J,7,FALSE))),0)&lt;=0,1,
ROUND(
IF(BF63&lt;&gt;"",(BC60-BF63),BC60)
/IF(COUNTIF('盛付札（関数）'!BC58,"*キャラ*"),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VLOOKUP('盛付札（関数）'!BC58,商品マスタ一覧!$D:$J,7,FALSE))),0))),""),""),"")</f>
        <v/>
      </c>
      <c r="BG58" s="153" t="str">
        <f ca="1">IF(BF58&lt;&gt;"",IF(BC60&lt;&gt;"",IF(VALUE(IF(BF63&lt;&gt;"",BC60-BF63,BC60))&gt;VALUE(IF(COUNTIF('盛付札（関数）'!BC58,"*キャラ*"),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
"+"&amp;IF(BF63&lt;&gt;"",BC60-BF63,BC60)-IF(COUNTIF('盛付札（関数）'!BC58,"*キャラ*"),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VLOOKUP('盛付札（関数）'!BC58,商品マスタ一覧!$D:$J,7,FALSE)))*BF58,
IF(BF63&lt;&gt;"",BC60-BF63,BC60)-IF(COUNTIF('盛付札（関数）'!BC58,"*キャラ*"),
VLOOKUP("*キャラ*",商品マスタ一覧!$D:$J,7,FALSE),
IF(COUNTIF('盛付札（関数）'!BC58,"*赤*"),
VLOOKUP("*赤*",商品マスタ一覧!$D:$J,7,FALSE),
VLOOKUP('盛付札（関数）'!BC58,商品マスタ一覧!$D:$J,7,FALSE)))*BF58),""),"")</f>
        <v/>
      </c>
      <c r="BH58" s="129"/>
      <c r="BI58" s="129"/>
      <c r="BJ58" s="135" t="e">
        <f t="array" aca="1" ref="BJ58" ca="1">IF(BJ17&lt;&gt;100,
IF(BK60&lt;&gt;"",MATCH(BK60,INDIRECT("数出表_Excel!B"&amp;MATCH(BO15,数出表_Excel!$A:$A,0)-1&amp;":U"&amp;MATCH(BO15,数出表_Excel!$A:$A,0)-1&amp;""),0)+1,""),
IF(BK60&lt;&gt;"",
MATCH(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INDIRECT("数出表_Excel!B"&amp;MATCH(BO15,数出表_Excel!$A:$A,0)-1&amp;":U"&amp;MATCH(BO15,数出表_Excel!$A:$A,0)-1&amp;""),0)+1,""))</f>
        <v>#VALUE!</v>
      </c>
      <c r="BK58" s="70" t="str">
        <f t="array" aca="1" ref="BK58" ca="1">IFERROR(IF(OR(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"3"),"*配膳*"),
COUNTIF(INDIRECT("数出表_Excel!"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"3"),"*カレー*"),
COUNTIF(BK15,"*合計*")),"",
IF(IFERROR(INDIRECT("数出表_Excel!"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"3"),0)=0,"",
IFERROR(INDIRECT("数出表_Excel!" &amp;
CHAR(MATCH(TRUE,
ISNUMBER(--INDIRECT("数出表_Excel!"&amp;BJ57&amp;MATCH(BO15,数出表_Excel!$A:$A,0)-1&amp;":U"&amp;MATCH(BO15,数出表_Excel!$A:$A,0)-1&amp;"")),0)
+MATCH(TRUE, ISNUMBER(--INDIRECT("数出表_Excel!B" &amp; (MATCH(BO15,数出表_Excel!$A:$A,0)-1) &amp; ":U" &amp; (MATCH(BO15,数出表_Excel!$A:$A,0)-1))), 0)
+65) &amp; "3"),""))),"")</f>
        <v/>
      </c>
      <c r="BL58" s="129"/>
      <c r="BM58" s="136" t="str">
        <f ca="1">IF(BN58&lt;&gt;"","",
IF(BK57&lt;&gt;"",
IFERROR(
INDEX('数出表_Excel（アレルギー入力）'!$4:$4,
 1,
MATCH(BK60,INDIRECT("'数出表_Excel（アレルギー入力）'!"&amp;BJ15-1&amp;":"&amp;BJ15-1&amp;""),0)),
 "")
&amp;IFERROR(
INDEX('数出表_Excel（アレルギー入力）'!$5:$5,
 1,
MATCH(BK60,INDIRECT("'数出表_Excel（アレルギー入力）'!"&amp;BJ15-1&amp;":"&amp;BJ15-1&amp;""),0)),
 ""),""))</f>
        <v/>
      </c>
      <c r="BN58" s="137" t="str">
        <f t="array" aca="1" ref="BN58" ca="1">IF(BK58&lt;&gt;"",
IF(MATCH(TRUE,
ISNUMBER(--INDIRECT("数出表_Excel!B"&amp;MATCH(BO15,数出表_Excel!$A:$A,0)-1&amp;":U"&amp;MATCH(BO15,数出表_Excel!$A:$A,0)-1&amp;"")),0)&gt;10,
IF(BK58&lt;&gt;"",
IF(IF(COUNTIF('盛付札（関数）'!BK58,"*キャラ*"),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VLOOKUP('盛付札（関数）'!BK58,商品マスタ一覧!$D:$J,7,FALSE)))=0,"",
IF(ROUND(
IF(BN63&lt;&gt;"",(BK60-BN63),BK60)
/IF(COUNTIF('盛付札（関数）'!BK58,"*キャラ*"),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VLOOKUP('盛付札（関数）'!BK58,商品マスタ一覧!$D:$J,7,FALSE))),0)&lt;=0,1,
ROUND(
IF(BN63&lt;&gt;"",(BK60-BN63),BK60)
/IF(COUNTIF('盛付札（関数）'!BK58,"*キャラ*"),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VLOOKUP('盛付札（関数）'!BK58,商品マスタ一覧!$D:$J,7,FALSE))),0))),""),""),"")</f>
        <v/>
      </c>
      <c r="BO58" s="153" t="str">
        <f ca="1">IF(BN58&lt;&gt;"",IF(BK60&lt;&gt;"",IF(VALUE(IF(BN63&lt;&gt;"",BK60-BN63,BK60))&gt;VALUE(IF(COUNTIF('盛付札（関数）'!BK58,"*キャラ*"),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
"+"&amp;IF(BN63&lt;&gt;"",BK60-BN63,BK60)-IF(COUNTIF('盛付札（関数）'!BK58,"*キャラ*"),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VLOOKUP('盛付札（関数）'!BK58,商品マスタ一覧!$D:$J,7,FALSE)))*BN58,
IF(BN63&lt;&gt;"",BK60-BN63,BK60)-IF(COUNTIF('盛付札（関数）'!BK58,"*キャラ*"),
VLOOKUP("*キャラ*",商品マスタ一覧!$D:$J,7,FALSE),
IF(COUNTIF('盛付札（関数）'!BK58,"*赤*"),
VLOOKUP("*赤*",商品マスタ一覧!$D:$J,7,FALSE),
VLOOKUP('盛付札（関数）'!BK58,商品マスタ一覧!$D:$J,7,FALSE)))*BN58),""),"")</f>
        <v/>
      </c>
      <c r="BP58" s="129"/>
      <c r="BQ58" s="135" t="e">
        <f t="array" aca="1" ref="BQ58" ca="1">IF(BQ17&lt;&gt;100,
IF(BR60&lt;&gt;"",MATCH(BR60,INDIRECT("数出表_Excel!B"&amp;MATCH(BV15,数出表_Excel!$A:$A,0)-1&amp;":U"&amp;MATCH(BV15,数出表_Excel!$A:$A,0)-1&amp;""),0)+1,""),
IF(BR60&lt;&gt;"",
MATCH(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INDIRECT("数出表_Excel!B"&amp;MATCH(BV15,数出表_Excel!$A:$A,0)-1&amp;":U"&amp;MATCH(BV15,数出表_Excel!$A:$A,0)-1&amp;""),0)+1,""))</f>
        <v>#VALUE!</v>
      </c>
      <c r="BR58" s="70" t="str">
        <f t="array" aca="1" ref="BR58" ca="1">IFERROR(IF(OR(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"3"),"*配膳*"),
COUNTIF(INDIRECT("数出表_Excel!"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"3"),"*カレー*"),
COUNTIF(BR15,"*合計*")),"",
IF(IFERROR(INDIRECT("数出表_Excel!"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"3"),0)=0,"",
IFERROR(INDIRECT("数出表_Excel!" &amp;
CHAR(MATCH(TRUE,
ISNUMBER(--INDIRECT("数出表_Excel!"&amp;BQ57&amp;MATCH(BV15,数出表_Excel!$A:$A,0)-1&amp;":U"&amp;MATCH(BV15,数出表_Excel!$A:$A,0)-1&amp;"")),0)
+MATCH(TRUE, ISNUMBER(--INDIRECT("数出表_Excel!B" &amp; (MATCH(BV15,数出表_Excel!$A:$A,0)-1) &amp; ":U" &amp; (MATCH(BV15,数出表_Excel!$A:$A,0)-1))), 0)
+65) &amp; "3"),""))),"")</f>
        <v/>
      </c>
      <c r="BS58" s="129"/>
      <c r="BT58" s="136" t="str">
        <f ca="1">IF(BU58&lt;&gt;"","",
IF(BR57&lt;&gt;"",
IFERROR(
INDEX('数出表_Excel（アレルギー入力）'!$4:$4,
 1,
MATCH(BR60,INDIRECT("'数出表_Excel（アレルギー入力）'!"&amp;BQ15-1&amp;":"&amp;BQ15-1&amp;""),0)),
 "")
&amp;IFERROR(
INDEX('数出表_Excel（アレルギー入力）'!$5:$5,
 1,
MATCH(BR60,INDIRECT("'数出表_Excel（アレルギー入力）'!"&amp;BQ15-1&amp;":"&amp;BQ15-1&amp;""),0)),
 ""),""))</f>
        <v/>
      </c>
      <c r="BU58" s="137" t="str">
        <f t="array" aca="1" ref="BU58" ca="1">IF(BR58&lt;&gt;"",
IF(MATCH(TRUE,
ISNUMBER(--INDIRECT("数出表_Excel!B"&amp;MATCH(BV15,数出表_Excel!$A:$A,0)-1&amp;":U"&amp;MATCH(BV15,数出表_Excel!$A:$A,0)-1&amp;"")),0)&gt;10,
IF(BR58&lt;&gt;"",
IF(IF(COUNTIF('盛付札（関数）'!BR58,"*キャラ*"),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VLOOKUP('盛付札（関数）'!BR58,商品マスタ一覧!$D:$J,7,FALSE)))=0,"",
IF(ROUND(
IF(BU63&lt;&gt;"",(BR60-BU63),BR60)
/IF(COUNTIF('盛付札（関数）'!BR58,"*キャラ*"),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VLOOKUP('盛付札（関数）'!BR58,商品マスタ一覧!$D:$J,7,FALSE))),0)&lt;=0,1,
ROUND(
IF(BU63&lt;&gt;"",(BR60-BU63),BR60)
/IF(COUNTIF('盛付札（関数）'!BR58,"*キャラ*"),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VLOOKUP('盛付札（関数）'!BR58,商品マスタ一覧!$D:$J,7,FALSE))),0))),""),""),"")</f>
        <v/>
      </c>
      <c r="BV58" s="153" t="str">
        <f ca="1">IF(BU58&lt;&gt;"",IF(BR60&lt;&gt;"",IF(VALUE(IF(BU63&lt;&gt;"",BR60-BU63,BR60))&gt;VALUE(IF(COUNTIF('盛付札（関数）'!BR58,"*キャラ*"),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
"+"&amp;IF(BU63&lt;&gt;"",BR60-BU63,BR60)-IF(COUNTIF('盛付札（関数）'!BR58,"*キャラ*"),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VLOOKUP('盛付札（関数）'!BR58,商品マスタ一覧!$D:$J,7,FALSE)))*BU58,
IF(BU63&lt;&gt;"",BR60-BU63,BR60)-IF(COUNTIF('盛付札（関数）'!BR58,"*キャラ*"),
VLOOKUP("*キャラ*",商品マスタ一覧!$D:$J,7,FALSE),
IF(COUNTIF('盛付札（関数）'!BR58,"*赤*"),
VLOOKUP("*赤*",商品マスタ一覧!$D:$J,7,FALSE),
VLOOKUP('盛付札（関数）'!BR58,商品マスタ一覧!$D:$J,7,FALSE)))*BU58),""),"")</f>
        <v/>
      </c>
      <c r="BW58" s="129"/>
      <c r="BX58" s="132">
        <f t="shared" si="4"/>
        <v>56</v>
      </c>
      <c r="BY58" s="132" t="str">
        <f t="array" aca="1" ref="BY58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LEN(SUBSTITUTE(_xlfn.FORMULATEXT(BY$49),"=","")))+$BX58)</f>
        <v/>
      </c>
      <c r="BZ58" s="132" t="str">
        <f t="array" aca="1" ref="BZ58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LEN(SUBSTITUTE(_xlfn.FORMULATEXT(BZ$49),"=","")))+$BX58)</f>
        <v/>
      </c>
      <c r="CA58" s="132" t="str">
        <f t="array" aca="1" ref="CA58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LEN(SUBSTITUTE(_xlfn.FORMULATEXT(CA$49),"=","")))+$BX58)</f>
        <v/>
      </c>
      <c r="CB58" s="132" t="str">
        <f t="array" aca="1" ref="CB58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LEN(SUBSTITUTE(_xlfn.FORMULATEXT(CB$49),"=","")))+$BX58)</f>
        <v/>
      </c>
      <c r="CC58" s="132" t="str">
        <f t="array" aca="1" ref="CC58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LEN(SUBSTITUTE(_xlfn.FORMULATEXT(CC$49),"=","")))+$BX58)</f>
        <v/>
      </c>
      <c r="CD58" s="132" t="str">
        <f t="array" aca="1" ref="CD58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LEN(SUBSTITUTE(_xlfn.FORMULATEXT(CD$49),"=","")))+$BX58)</f>
        <v/>
      </c>
      <c r="CE58" s="132" t="str">
        <f t="array" aca="1" ref="CE58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LEN(SUBSTITUTE(_xlfn.FORMULATEXT(CE$49),"=","")))+$BX58)</f>
        <v/>
      </c>
      <c r="CF58" s="132" t="str">
        <f t="array" aca="1" ref="CF58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LEN(SUBSTITUTE(_xlfn.FORMULATEXT(CF$49),"=","")))+$BX58)</f>
        <v/>
      </c>
      <c r="CG58" s="132" t="str">
        <f t="array" aca="1" ref="CG58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LEN(SUBSTITUTE(_xlfn.FORMULATEXT(CG$49),"=","")))+$BX58)</f>
        <v/>
      </c>
      <c r="CH58" s="132" t="str">
        <f t="array" aca="1" ref="CH58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LEN(SUBSTITUTE(_xlfn.FORMULATEXT(CH$49),"=","")))+$BX58)</f>
        <v/>
      </c>
      <c r="CI58" s="132">
        <f t="shared" ca="1" si="3"/>
        <v>0</v>
      </c>
      <c r="CJ58" s="132" t="b">
        <f t="array" aca="1" ref="CJ58" ca="1">SUMPRODUCT((LEN(BY58:CH58)&gt;0)*1)&gt;0</f>
        <v>0</v>
      </c>
      <c r="CK58" s="132" t="str" cm="1">
        <f t="array" aca="1" ref="CK58" ca="1">IFERROR(SMALL(IF(CI$1:CI$150&lt;&gt;0,CI$1:CI$150),ROW(A58)),"")</f>
        <v/>
      </c>
      <c r="CL58" s="132" t="str">
        <f t="array" aca="1" ref="CL58" ca="1">IF($CK58&lt;&gt;"",
INDIRECT(""&amp;IF(COLUMN(BY58)&lt;=26,CHAR(COLUMN(BY58)+64),CHAR(INT((COLUMN(BY58)-1)/26)+64)&amp;CHAR(MOD(COLUMN(BY58)-1,26)+65))&amp;$CK58&amp;""),"")</f>
        <v/>
      </c>
      <c r="CM58" s="132" t="str">
        <f t="array" aca="1" ref="CM58" ca="1">IF($CK58&lt;&gt;"",
INDIRECT(""&amp;IF(COLUMN(BZ58)&lt;=26,CHAR(COLUMN(BZ58)+64),CHAR(INT((COLUMN(BZ58)-1)/26)+64)&amp;CHAR(MOD(COLUMN(BZ58)-1,26)+65))&amp;$CK58&amp;""),"")</f>
        <v/>
      </c>
      <c r="CN58" s="132" t="str">
        <f t="array" aca="1" ref="CN58" ca="1">IF($CK58&lt;&gt;"",
INDIRECT(""&amp;IF(COLUMN(CA58)&lt;=26,CHAR(COLUMN(CA58)+64),CHAR(INT((COLUMN(CA58)-1)/26)+64)&amp;CHAR(MOD(COLUMN(CA58)-1,26)+65))&amp;$CK58&amp;""),"")</f>
        <v/>
      </c>
      <c r="CO58" s="132" t="str">
        <f t="array" aca="1" ref="CO58" ca="1">IF($CK58&lt;&gt;"",
INDIRECT(""&amp;IF(COLUMN(CB58)&lt;=26,CHAR(COLUMN(CB58)+64),CHAR(INT((COLUMN(CB58)-1)/26)+64)&amp;CHAR(MOD(COLUMN(CB58)-1,26)+65))&amp;$CK58&amp;""),"")</f>
        <v/>
      </c>
      <c r="CP58" s="132" t="str">
        <f t="array" aca="1" ref="CP58" ca="1">IF($CK58&lt;&gt;"",
INDIRECT(""&amp;IF(COLUMN(CC58)&lt;=26,CHAR(COLUMN(CC58)+64),CHAR(INT((COLUMN(CC58)-1)/26)+64)&amp;CHAR(MOD(COLUMN(CC58)-1,26)+65))&amp;$CK58&amp;""),"")</f>
        <v/>
      </c>
      <c r="CQ58" s="132" t="str">
        <f t="array" aca="1" ref="CQ58" ca="1">IF($CK58&lt;&gt;"",
INDIRECT(""&amp;IF(COLUMN(CD58)&lt;=26,CHAR(COLUMN(CD58)+64),CHAR(INT((COLUMN(CD58)-1)/26)+64)&amp;CHAR(MOD(COLUMN(CD58)-1,26)+65))&amp;$CK58&amp;""),"")</f>
        <v/>
      </c>
      <c r="CR58" s="132" t="str">
        <f t="array" aca="1" ref="CR58" ca="1">IF($CK58&lt;&gt;"",
INDIRECT(""&amp;IF(COLUMN(CE58)&lt;=26,CHAR(COLUMN(CE58)+64),CHAR(INT((COLUMN(CE58)-1)/26)+64)&amp;CHAR(MOD(COLUMN(CE58)-1,26)+65))&amp;$CK58&amp;""),"")</f>
        <v/>
      </c>
      <c r="CS58" s="132" t="str">
        <f t="array" aca="1" ref="CS58" ca="1">IF($CK58&lt;&gt;"",
INDIRECT(""&amp;IF(COLUMN(CF58)&lt;=26,CHAR(COLUMN(CF58)+64),CHAR(INT((COLUMN(CF58)-1)/26)+64)&amp;CHAR(MOD(COLUMN(CF58)-1,26)+65))&amp;$CK58&amp;""),"")</f>
        <v/>
      </c>
      <c r="CT58" s="132" t="str">
        <f t="array" aca="1" ref="CT58" ca="1">IF($CK58&lt;&gt;"",
INDIRECT(""&amp;IF(COLUMN(CG58)&lt;=26,CHAR(COLUMN(CG58)+64),CHAR(INT((COLUMN(CG58)-1)/26)+64)&amp;CHAR(MOD(COLUMN(CG58)-1,26)+65))&amp;$CK58&amp;""),"")</f>
        <v/>
      </c>
      <c r="CU58" s="132" t="str">
        <f t="array" aca="1" ref="CU58" ca="1">IF($CK58&lt;&gt;"",
INDIRECT(""&amp;IF(COLUMN(CH58)&lt;=26,CHAR(COLUMN(CH58)+64),CHAR(INT((COLUMN(CH58)-1)/26)+64)&amp;CHAR(MOD(COLUMN(CH58)-1,26)+65))&amp;$CK58&amp;""),"")</f>
        <v/>
      </c>
    </row>
    <row r="59" spans="1:99" s="132" customFormat="1" ht="22.2" customHeight="1" x14ac:dyDescent="0.55000000000000004">
      <c r="A59" s="129"/>
      <c r="B59" s="138"/>
      <c r="C59" s="139" t="str">
        <f ca="1">IF(C60&lt;&gt;"","園児","")</f>
        <v/>
      </c>
      <c r="D59" s="140"/>
      <c r="E59" s="141" t="str">
        <f ca="1">IF(C60&lt;&gt;"","先生","")</f>
        <v/>
      </c>
      <c r="F59" s="140"/>
      <c r="G59" s="159"/>
      <c r="H59" s="129"/>
      <c r="I59" s="138"/>
      <c r="J59" s="139" t="str">
        <f ca="1">IF(J60&lt;&gt;"","園児","")</f>
        <v/>
      </c>
      <c r="K59" s="140"/>
      <c r="L59" s="141" t="str">
        <f ca="1">IF(J60&lt;&gt;"","先生","")</f>
        <v/>
      </c>
      <c r="M59" s="140"/>
      <c r="N59" s="154"/>
      <c r="O59" s="129"/>
      <c r="P59" s="129"/>
      <c r="Q59" s="138"/>
      <c r="R59" s="139" t="str">
        <f ca="1">IF(R60&lt;&gt;"","園児","")</f>
        <v/>
      </c>
      <c r="S59" s="140"/>
      <c r="T59" s="141" t="str">
        <f ca="1">IF(R60&lt;&gt;"","先生","")</f>
        <v/>
      </c>
      <c r="U59" s="140"/>
      <c r="V59" s="154"/>
      <c r="W59" s="129"/>
      <c r="X59" s="138"/>
      <c r="Y59" s="139" t="str">
        <f ca="1">IF(Y60&lt;&gt;"","園児","")</f>
        <v/>
      </c>
      <c r="Z59" s="140"/>
      <c r="AA59" s="141" t="str">
        <f ca="1">IF(Y60&lt;&gt;"","先生","")</f>
        <v/>
      </c>
      <c r="AB59" s="140"/>
      <c r="AC59" s="154"/>
      <c r="AD59" s="129"/>
      <c r="AE59" s="129"/>
      <c r="AF59" s="138"/>
      <c r="AG59" s="139" t="str">
        <f ca="1">IF(AG60&lt;&gt;"","園児","")</f>
        <v/>
      </c>
      <c r="AH59" s="140"/>
      <c r="AI59" s="141" t="str">
        <f ca="1">IF(AG60&lt;&gt;"","先生","")</f>
        <v/>
      </c>
      <c r="AJ59" s="140"/>
      <c r="AK59" s="154"/>
      <c r="AL59" s="129"/>
      <c r="AM59" s="138"/>
      <c r="AN59" s="139" t="str">
        <f ca="1">IF(AN60&lt;&gt;"","園児","")</f>
        <v/>
      </c>
      <c r="AO59" s="140"/>
      <c r="AP59" s="141" t="str">
        <f ca="1">IF(AN60&lt;&gt;"","先生","")</f>
        <v/>
      </c>
      <c r="AQ59" s="140"/>
      <c r="AR59" s="154"/>
      <c r="AS59" s="129"/>
      <c r="AT59" s="129"/>
      <c r="AU59" s="138"/>
      <c r="AV59" s="139" t="str">
        <f ca="1">IF(AV60&lt;&gt;"","園児","")</f>
        <v/>
      </c>
      <c r="AW59" s="140"/>
      <c r="AX59" s="141" t="str">
        <f ca="1">IF(AV60&lt;&gt;"","先生","")</f>
        <v/>
      </c>
      <c r="AY59" s="140"/>
      <c r="AZ59" s="154"/>
      <c r="BA59" s="129"/>
      <c r="BB59" s="138"/>
      <c r="BC59" s="139" t="str">
        <f ca="1">IF(BC60&lt;&gt;"","園児","")</f>
        <v/>
      </c>
      <c r="BD59" s="140"/>
      <c r="BE59" s="141" t="str">
        <f ca="1">IF(BC60&lt;&gt;"","先生","")</f>
        <v/>
      </c>
      <c r="BF59" s="140"/>
      <c r="BG59" s="154"/>
      <c r="BH59" s="129"/>
      <c r="BI59" s="129"/>
      <c r="BJ59" s="138"/>
      <c r="BK59" s="139" t="str">
        <f ca="1">IF(BK60&lt;&gt;"","園児","")</f>
        <v/>
      </c>
      <c r="BL59" s="140"/>
      <c r="BM59" s="141" t="str">
        <f ca="1">IF(BK60&lt;&gt;"","先生","")</f>
        <v/>
      </c>
      <c r="BN59" s="140"/>
      <c r="BO59" s="154"/>
      <c r="BP59" s="129"/>
      <c r="BQ59" s="138"/>
      <c r="BR59" s="139" t="str">
        <f ca="1">IF(BR60&lt;&gt;"","園児","")</f>
        <v/>
      </c>
      <c r="BS59" s="140"/>
      <c r="BT59" s="141" t="str">
        <f ca="1">IF(BR60&lt;&gt;"","先生","")</f>
        <v/>
      </c>
      <c r="BU59" s="140"/>
      <c r="BV59" s="154"/>
      <c r="BW59" s="129"/>
      <c r="BX59" s="146">
        <f t="shared" si="4"/>
        <v>14</v>
      </c>
      <c r="BY59" s="132" t="str">
        <f t="array" aca="1" ref="BY59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LEN(SUBSTITUTE(_xlfn.FORMULATEXT(BY$51),"=","")))+$BX59)</f>
        <v/>
      </c>
      <c r="BZ59" s="132" t="str">
        <f t="array" aca="1" ref="BZ59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LEN(SUBSTITUTE(_xlfn.FORMULATEXT(BZ$51),"=","")))+$BX59)</f>
        <v/>
      </c>
      <c r="CA59" s="132" t="str">
        <f t="array" aca="1" ref="CA59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LEN(SUBSTITUTE(_xlfn.FORMULATEXT(CA$51),"=","")))+$BX59)</f>
        <v/>
      </c>
      <c r="CB59" s="132" t="str">
        <f t="array" aca="1" ref="CB59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LEN(SUBSTITUTE(_xlfn.FORMULATEXT(CB$51),"=","")))+$BX59)</f>
        <v/>
      </c>
      <c r="CC59" s="132" t="str">
        <f t="array" aca="1" ref="CC59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LEN(SUBSTITUTE(_xlfn.FORMULATEXT(CC$51),"=","")))+$BX59)</f>
        <v/>
      </c>
      <c r="CD59" s="132" t="str">
        <f t="array" aca="1" ref="CD59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LEN(SUBSTITUTE(_xlfn.FORMULATEXT(CD$51),"=","")))+$BX59)</f>
        <v/>
      </c>
      <c r="CE59" s="132" t="str">
        <f t="array" aca="1" ref="CE59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LEN(SUBSTITUTE(_xlfn.FORMULATEXT(CE$51),"=","")))+$BX59)</f>
        <v/>
      </c>
      <c r="CF59" s="132" t="str">
        <f t="array" aca="1" ref="CF59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LEN(SUBSTITUTE(_xlfn.FORMULATEXT(CF$51),"=","")))+$BX59)</f>
        <v/>
      </c>
      <c r="CG59" s="132" t="str">
        <f t="array" aca="1" ref="CG59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LEN(SUBSTITUTE(_xlfn.FORMULATEXT(CG$51),"=","")))+$BX59)</f>
        <v/>
      </c>
      <c r="CH59" s="132" t="str">
        <f t="array" aca="1" ref="CH59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LEN(SUBSTITUTE(_xlfn.FORMULATEXT(CH$51),"=","")))+$BX59)</f>
        <v/>
      </c>
      <c r="CI59" s="132">
        <f t="shared" ca="1" si="3"/>
        <v>0</v>
      </c>
      <c r="CJ59" s="132" t="b">
        <f t="array" aca="1" ref="CJ59" ca="1">SUMPRODUCT((LEN(BY59:CH59)&gt;0)*1)&gt;0</f>
        <v>0</v>
      </c>
      <c r="CK59" s="132" t="str" cm="1">
        <f t="array" aca="1" ref="CK59" ca="1">IFERROR(SMALL(IF(CI$1:CI$150&lt;&gt;0,CI$1:CI$150),ROW(A59)),"")</f>
        <v/>
      </c>
      <c r="CL59" s="132" t="str">
        <f t="array" aca="1" ref="CL59" ca="1">IF($CK59&lt;&gt;"",
INDIRECT(""&amp;IF(COLUMN(BY59)&lt;=26,CHAR(COLUMN(BY59)+64),CHAR(INT((COLUMN(BY59)-1)/26)+64)&amp;CHAR(MOD(COLUMN(BY59)-1,26)+65))&amp;$CK59&amp;""),"")</f>
        <v/>
      </c>
      <c r="CM59" s="132" t="str">
        <f t="array" aca="1" ref="CM59" ca="1">IF($CK59&lt;&gt;"",
INDIRECT(""&amp;IF(COLUMN(BZ59)&lt;=26,CHAR(COLUMN(BZ59)+64),CHAR(INT((COLUMN(BZ59)-1)/26)+64)&amp;CHAR(MOD(COLUMN(BZ59)-1,26)+65))&amp;$CK59&amp;""),"")</f>
        <v/>
      </c>
      <c r="CN59" s="132" t="str">
        <f t="array" aca="1" ref="CN59" ca="1">IF($CK59&lt;&gt;"",
INDIRECT(""&amp;IF(COLUMN(CA59)&lt;=26,CHAR(COLUMN(CA59)+64),CHAR(INT((COLUMN(CA59)-1)/26)+64)&amp;CHAR(MOD(COLUMN(CA59)-1,26)+65))&amp;$CK59&amp;""),"")</f>
        <v/>
      </c>
      <c r="CO59" s="132" t="str">
        <f t="array" aca="1" ref="CO59" ca="1">IF($CK59&lt;&gt;"",
INDIRECT(""&amp;IF(COLUMN(CB59)&lt;=26,CHAR(COLUMN(CB59)+64),CHAR(INT((COLUMN(CB59)-1)/26)+64)&amp;CHAR(MOD(COLUMN(CB59)-1,26)+65))&amp;$CK59&amp;""),"")</f>
        <v/>
      </c>
      <c r="CP59" s="132" t="str">
        <f t="array" aca="1" ref="CP59" ca="1">IF($CK59&lt;&gt;"",
INDIRECT(""&amp;IF(COLUMN(CC59)&lt;=26,CHAR(COLUMN(CC59)+64),CHAR(INT((COLUMN(CC59)-1)/26)+64)&amp;CHAR(MOD(COLUMN(CC59)-1,26)+65))&amp;$CK59&amp;""),"")</f>
        <v/>
      </c>
      <c r="CQ59" s="132" t="str">
        <f t="array" aca="1" ref="CQ59" ca="1">IF($CK59&lt;&gt;"",
INDIRECT(""&amp;IF(COLUMN(CD59)&lt;=26,CHAR(COLUMN(CD59)+64),CHAR(INT((COLUMN(CD59)-1)/26)+64)&amp;CHAR(MOD(COLUMN(CD59)-1,26)+65))&amp;$CK59&amp;""),"")</f>
        <v/>
      </c>
      <c r="CR59" s="132" t="str">
        <f t="array" aca="1" ref="CR59" ca="1">IF($CK59&lt;&gt;"",
INDIRECT(""&amp;IF(COLUMN(CE59)&lt;=26,CHAR(COLUMN(CE59)+64),CHAR(INT((COLUMN(CE59)-1)/26)+64)&amp;CHAR(MOD(COLUMN(CE59)-1,26)+65))&amp;$CK59&amp;""),"")</f>
        <v/>
      </c>
      <c r="CS59" s="132" t="str">
        <f t="array" aca="1" ref="CS59" ca="1">IF($CK59&lt;&gt;"",
INDIRECT(""&amp;IF(COLUMN(CF59)&lt;=26,CHAR(COLUMN(CF59)+64),CHAR(INT((COLUMN(CF59)-1)/26)+64)&amp;CHAR(MOD(COLUMN(CF59)-1,26)+65))&amp;$CK59&amp;""),"")</f>
        <v/>
      </c>
      <c r="CT59" s="132" t="str">
        <f t="array" aca="1" ref="CT59" ca="1">IF($CK59&lt;&gt;"",
INDIRECT(""&amp;IF(COLUMN(CG59)&lt;=26,CHAR(COLUMN(CG59)+64),CHAR(INT((COLUMN(CG59)-1)/26)+64)&amp;CHAR(MOD(COLUMN(CG59)-1,26)+65))&amp;$CK59&amp;""),"")</f>
        <v/>
      </c>
      <c r="CU59" s="132" t="str">
        <f t="array" aca="1" ref="CU59" ca="1">IF($CK59&lt;&gt;"",
INDIRECT(""&amp;IF(COLUMN(CH59)&lt;=26,CHAR(COLUMN(CH59)+64),CHAR(INT((COLUMN(CH59)-1)/26)+64)&amp;CHAR(MOD(COLUMN(CH59)-1,26)+65))&amp;$CK59&amp;""),"")</f>
        <v/>
      </c>
    </row>
    <row r="60" spans="1:99" ht="18" customHeight="1" x14ac:dyDescent="0.45">
      <c r="B60" s="143"/>
      <c r="C60" s="120" t="str">
        <f t="array" aca="1" ref="C60" ca="1">IF(C58&lt;&gt;"",
IF(IFERROR(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"")=0,"",
IF(B17=100,
IFERROR(
INDEX(INDIRECT("数出表_Excel!"&amp;B57&amp;MATCH(G15,数出表_Excel!$A:$A,0)-1+2&amp;":U"&amp;MATCH(G15,数出表_Excel!$A:$A,0)-1+2&amp;""),
 1,
 MATCH(TRUE, ISNUMBER(--INDIRECT("数出表_Excel!"&amp;B57&amp;MATCH(G15,数出表_Excel!$A:$A,0)-1+2&amp;":U"&amp;MATCH(G15,数出表_Excel!$A:$A,0)-1+2&amp;"")), 0)),
 "")
+IFERROR(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""),
IFERROR(
INDEX(INDIRECT("数出表_Excel!"&amp;B57&amp;MATCH(G15,数出表_Excel!$A:$A,0)-1&amp;":U"&amp;MATCH(G15,数出表_Excel!$A:$A,0)-1&amp;""),
 1,
 MATCH(TRUE, ISNUMBER(--INDIRECT("数出表_Excel!"&amp;B57&amp;MATCH(G15,数出表_Excel!$A:$A,0)-1&amp;":U"&amp;MATCH(G15,数出表_Excel!$A:$A,0)-1&amp;"")), 0)),
 ""))),"")</f>
        <v/>
      </c>
      <c r="D60" s="144"/>
      <c r="E60" s="145" t="str">
        <f t="array" aca="1" ref="E60" ca="1">IF(C16&lt;&gt;"",
IF(IFERROR(
INDEX(INDIRECT("数出表_Excel!B"&amp;MATCH(G15,数出表_Excel!$A:$A,0)&amp;":U"&amp;MATCH(G15,数出表_Excel!$A:$A,0)&amp;""),
 1,B58-1),
 "")=0,"",
IFERROR(
INDEX(INDIRECT("数出表_Excel!B"&amp;MATCH(G15,数出表_Excel!$A:$A,0)&amp;":U"&amp;MATCH(G15,数出表_Excel!$A:$A,0)&amp;""),
 1,B58-1),
 "")),"")</f>
        <v/>
      </c>
      <c r="F60" s="144"/>
      <c r="G60" s="159"/>
      <c r="I60" s="143"/>
      <c r="J60" s="120" t="str">
        <f t="array" aca="1" ref="J60" ca="1">IF(J58&lt;&gt;"",
IF(IFERROR(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"")=0,"",
IF(I17=100,
IFERROR(
INDEX(INDIRECT("数出表_Excel!"&amp;I57&amp;MATCH(N15,数出表_Excel!$A:$A,0)-1+2&amp;":U"&amp;MATCH(N15,数出表_Excel!$A:$A,0)-1+2&amp;""),
 1,
 MATCH(TRUE, ISNUMBER(--INDIRECT("数出表_Excel!"&amp;I57&amp;MATCH(N15,数出表_Excel!$A:$A,0)-1+2&amp;":U"&amp;MATCH(N15,数出表_Excel!$A:$A,0)-1+2&amp;"")), 0)),
 "")
+IFERROR(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""),
IFERROR(
INDEX(INDIRECT("数出表_Excel!"&amp;I57&amp;MATCH(N15,数出表_Excel!$A:$A,0)-1&amp;":U"&amp;MATCH(N15,数出表_Excel!$A:$A,0)-1&amp;""),
 1,
 MATCH(TRUE, ISNUMBER(--INDIRECT("数出表_Excel!"&amp;I57&amp;MATCH(N15,数出表_Excel!$A:$A,0)-1&amp;":U"&amp;MATCH(N15,数出表_Excel!$A:$A,0)-1&amp;"")), 0)),
 ""))),"")</f>
        <v/>
      </c>
      <c r="K60" s="144"/>
      <c r="L60" s="145" t="str">
        <f t="array" aca="1" ref="L60" ca="1">IF(J16&lt;&gt;"",
IF(IFERROR(
INDEX(INDIRECT("数出表_Excel!B"&amp;MATCH(N15,数出表_Excel!$A:$A,0)&amp;":U"&amp;MATCH(N15,数出表_Excel!$A:$A,0)&amp;""),
 1,I58-1),
 "")=0,"",
IFERROR(
INDEX(INDIRECT("数出表_Excel!B"&amp;MATCH(N15,数出表_Excel!$A:$A,0)&amp;":U"&amp;MATCH(N15,数出表_Excel!$A:$A,0)&amp;""),
 1,I58-1),
 "")),"")</f>
        <v/>
      </c>
      <c r="M60" s="144"/>
      <c r="N60" s="154"/>
      <c r="Q60" s="143"/>
      <c r="R60" s="120" t="str">
        <f t="array" aca="1" ref="R60" ca="1">IF(R58&lt;&gt;"",
IF(IFERROR(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"")=0,"",
IF(Q17=100,
IFERROR(
INDEX(INDIRECT("数出表_Excel!"&amp;Q57&amp;MATCH(V15,数出表_Excel!$A:$A,0)-1+2&amp;":U"&amp;MATCH(V15,数出表_Excel!$A:$A,0)-1+2&amp;""),
 1,
 MATCH(TRUE, ISNUMBER(--INDIRECT("数出表_Excel!"&amp;Q57&amp;MATCH(V15,数出表_Excel!$A:$A,0)-1+2&amp;":U"&amp;MATCH(V15,数出表_Excel!$A:$A,0)-1+2&amp;"")), 0)),
 "")
+IFERROR(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""),
IFERROR(
INDEX(INDIRECT("数出表_Excel!"&amp;Q57&amp;MATCH(V15,数出表_Excel!$A:$A,0)-1&amp;":U"&amp;MATCH(V15,数出表_Excel!$A:$A,0)-1&amp;""),
 1,
 MATCH(TRUE, ISNUMBER(--INDIRECT("数出表_Excel!"&amp;Q57&amp;MATCH(V15,数出表_Excel!$A:$A,0)-1&amp;":U"&amp;MATCH(V15,数出表_Excel!$A:$A,0)-1&amp;"")), 0)),
 ""))),"")</f>
        <v/>
      </c>
      <c r="S60" s="144"/>
      <c r="T60" s="145" t="str">
        <f t="array" aca="1" ref="T60" ca="1">IF(R16&lt;&gt;"",
IF(IFERROR(
INDEX(INDIRECT("数出表_Excel!B"&amp;MATCH(V15,数出表_Excel!$A:$A,0)&amp;":U"&amp;MATCH(V15,数出表_Excel!$A:$A,0)&amp;""),
 1,Q58-1),
 "")=0,"",
IFERROR(
INDEX(INDIRECT("数出表_Excel!B"&amp;MATCH(V15,数出表_Excel!$A:$A,0)&amp;":U"&amp;MATCH(V15,数出表_Excel!$A:$A,0)&amp;""),
 1,Q58-1),
 "")),"")</f>
        <v/>
      </c>
      <c r="U60" s="144"/>
      <c r="V60" s="154"/>
      <c r="X60" s="143"/>
      <c r="Y60" s="120" t="str">
        <f t="array" aca="1" ref="Y60" ca="1">IF(Y58&lt;&gt;"",
IF(IFERROR(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"")=0,"",
IF(X17=100,
IFERROR(
INDEX(INDIRECT("数出表_Excel!"&amp;X57&amp;MATCH(AC15,数出表_Excel!$A:$A,0)-1+2&amp;":U"&amp;MATCH(AC15,数出表_Excel!$A:$A,0)-1+2&amp;""),
 1,
 MATCH(TRUE, ISNUMBER(--INDIRECT("数出表_Excel!"&amp;X57&amp;MATCH(AC15,数出表_Excel!$A:$A,0)-1+2&amp;":U"&amp;MATCH(AC15,数出表_Excel!$A:$A,0)-1+2&amp;"")), 0)),
 "")
+IFERROR(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""),
IFERROR(
INDEX(INDIRECT("数出表_Excel!"&amp;X57&amp;MATCH(AC15,数出表_Excel!$A:$A,0)-1&amp;":U"&amp;MATCH(AC15,数出表_Excel!$A:$A,0)-1&amp;""),
 1,
 MATCH(TRUE, ISNUMBER(--INDIRECT("数出表_Excel!"&amp;X57&amp;MATCH(AC15,数出表_Excel!$A:$A,0)-1&amp;":U"&amp;MATCH(AC15,数出表_Excel!$A:$A,0)-1&amp;"")), 0)),
 ""))),"")</f>
        <v/>
      </c>
      <c r="Z60" s="144"/>
      <c r="AA60" s="145" t="str">
        <f t="array" aca="1" ref="AA60" ca="1">IF(Y16&lt;&gt;"",
IF(IFERROR(
INDEX(INDIRECT("数出表_Excel!B"&amp;MATCH(AC15,数出表_Excel!$A:$A,0)&amp;":U"&amp;MATCH(AC15,数出表_Excel!$A:$A,0)&amp;""),
 1,X58-1),
 "")=0,"",
IFERROR(
INDEX(INDIRECT("数出表_Excel!B"&amp;MATCH(AC15,数出表_Excel!$A:$A,0)&amp;":U"&amp;MATCH(AC15,数出表_Excel!$A:$A,0)&amp;""),
 1,X58-1),
 "")),"")</f>
        <v/>
      </c>
      <c r="AB60" s="144"/>
      <c r="AC60" s="154"/>
      <c r="AF60" s="143"/>
      <c r="AG60" s="120" t="str">
        <f t="array" aca="1" ref="AG60" ca="1">IF(AG58&lt;&gt;"",
IF(IFERROR(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"")=0,"",
IF(AF17=100,
IFERROR(
INDEX(INDIRECT("数出表_Excel!"&amp;AF57&amp;MATCH(AK15,数出表_Excel!$A:$A,0)-1+2&amp;":U"&amp;MATCH(AK15,数出表_Excel!$A:$A,0)-1+2&amp;""),
 1,
 MATCH(TRUE, ISNUMBER(--INDIRECT("数出表_Excel!"&amp;AF57&amp;MATCH(AK15,数出表_Excel!$A:$A,0)-1+2&amp;":U"&amp;MATCH(AK15,数出表_Excel!$A:$A,0)-1+2&amp;"")), 0)),
 "")
+IFERROR(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""),
IFERROR(
INDEX(INDIRECT("数出表_Excel!"&amp;AF57&amp;MATCH(AK15,数出表_Excel!$A:$A,0)-1&amp;":U"&amp;MATCH(AK15,数出表_Excel!$A:$A,0)-1&amp;""),
 1,
 MATCH(TRUE, ISNUMBER(--INDIRECT("数出表_Excel!"&amp;AF57&amp;MATCH(AK15,数出表_Excel!$A:$A,0)-1&amp;":U"&amp;MATCH(AK15,数出表_Excel!$A:$A,0)-1&amp;"")), 0)),
 ""))),"")</f>
        <v/>
      </c>
      <c r="AH60" s="144"/>
      <c r="AI60" s="145" t="str">
        <f t="array" aca="1" ref="AI60" ca="1">IF(AG16&lt;&gt;"",
IF(IFERROR(
INDEX(INDIRECT("数出表_Excel!B"&amp;MATCH(AK15,数出表_Excel!$A:$A,0)&amp;":U"&amp;MATCH(AK15,数出表_Excel!$A:$A,0)&amp;""),
 1,AF58-1),
 "")=0,"",
IFERROR(
INDEX(INDIRECT("数出表_Excel!B"&amp;MATCH(AK15,数出表_Excel!$A:$A,0)&amp;":U"&amp;MATCH(AK15,数出表_Excel!$A:$A,0)&amp;""),
 1,AF58-1),
 "")),"")</f>
        <v/>
      </c>
      <c r="AJ60" s="144"/>
      <c r="AK60" s="154"/>
      <c r="AM60" s="143"/>
      <c r="AN60" s="120" t="str">
        <f t="array" aca="1" ref="AN60" ca="1">IF(AN58&lt;&gt;"",
IF(IFERROR(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"")=0,"",
IF(AM17=100,
IFERROR(
INDEX(INDIRECT("数出表_Excel!"&amp;AM57&amp;MATCH(AR15,数出表_Excel!$A:$A,0)-1+2&amp;":U"&amp;MATCH(AR15,数出表_Excel!$A:$A,0)-1+2&amp;""),
 1,
 MATCH(TRUE, ISNUMBER(--INDIRECT("数出表_Excel!"&amp;AM57&amp;MATCH(AR15,数出表_Excel!$A:$A,0)-1+2&amp;":U"&amp;MATCH(AR15,数出表_Excel!$A:$A,0)-1+2&amp;"")), 0)),
 "")
+IFERROR(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""),
IFERROR(
INDEX(INDIRECT("数出表_Excel!"&amp;AM57&amp;MATCH(AR15,数出表_Excel!$A:$A,0)-1&amp;":U"&amp;MATCH(AR15,数出表_Excel!$A:$A,0)-1&amp;""),
 1,
 MATCH(TRUE, ISNUMBER(--INDIRECT("数出表_Excel!"&amp;AM57&amp;MATCH(AR15,数出表_Excel!$A:$A,0)-1&amp;":U"&amp;MATCH(AR15,数出表_Excel!$A:$A,0)-1&amp;"")), 0)),
 ""))),"")</f>
        <v/>
      </c>
      <c r="AO60" s="144"/>
      <c r="AP60" s="145" t="str">
        <f t="array" aca="1" ref="AP60" ca="1">IF(AN16&lt;&gt;"",
IF(IFERROR(
INDEX(INDIRECT("数出表_Excel!B"&amp;MATCH(AR15,数出表_Excel!$A:$A,0)&amp;":U"&amp;MATCH(AR15,数出表_Excel!$A:$A,0)&amp;""),
 1,AM58-1),
 "")=0,"",
IFERROR(
INDEX(INDIRECT("数出表_Excel!B"&amp;MATCH(AR15,数出表_Excel!$A:$A,0)&amp;":U"&amp;MATCH(AR15,数出表_Excel!$A:$A,0)&amp;""),
 1,AM58-1),
 "")),"")</f>
        <v/>
      </c>
      <c r="AQ60" s="144"/>
      <c r="AR60" s="154"/>
      <c r="AU60" s="143"/>
      <c r="AV60" s="120" t="str">
        <f t="array" aca="1" ref="AV60" ca="1">IF(AV58&lt;&gt;"",
IF(IFERROR(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"")=0,"",
IF(AU17=100,
IFERROR(
INDEX(INDIRECT("数出表_Excel!"&amp;AU57&amp;MATCH(AZ15,数出表_Excel!$A:$A,0)-1+2&amp;":U"&amp;MATCH(AZ15,数出表_Excel!$A:$A,0)-1+2&amp;""),
 1,
 MATCH(TRUE, ISNUMBER(--INDIRECT("数出表_Excel!"&amp;AU57&amp;MATCH(AZ15,数出表_Excel!$A:$A,0)-1+2&amp;":U"&amp;MATCH(AZ15,数出表_Excel!$A:$A,0)-1+2&amp;"")), 0)),
 "")
+IFERROR(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""),
IFERROR(
INDEX(INDIRECT("数出表_Excel!"&amp;AU57&amp;MATCH(AZ15,数出表_Excel!$A:$A,0)-1&amp;":U"&amp;MATCH(AZ15,数出表_Excel!$A:$A,0)-1&amp;""),
 1,
 MATCH(TRUE, ISNUMBER(--INDIRECT("数出表_Excel!"&amp;AU57&amp;MATCH(AZ15,数出表_Excel!$A:$A,0)-1&amp;":U"&amp;MATCH(AZ15,数出表_Excel!$A:$A,0)-1&amp;"")), 0)),
 ""))),"")</f>
        <v/>
      </c>
      <c r="AW60" s="144"/>
      <c r="AX60" s="145" t="str">
        <f t="array" aca="1" ref="AX60" ca="1">IF(AV16&lt;&gt;"",
IF(IFERROR(
INDEX(INDIRECT("数出表_Excel!B"&amp;MATCH(AZ15,数出表_Excel!$A:$A,0)&amp;":U"&amp;MATCH(AZ15,数出表_Excel!$A:$A,0)&amp;""),
 1,AU58-1),
 "")=0,"",
IFERROR(
INDEX(INDIRECT("数出表_Excel!B"&amp;MATCH(AZ15,数出表_Excel!$A:$A,0)&amp;":U"&amp;MATCH(AZ15,数出表_Excel!$A:$A,0)&amp;""),
 1,AU58-1),
 "")),"")</f>
        <v/>
      </c>
      <c r="AY60" s="144"/>
      <c r="AZ60" s="154"/>
      <c r="BB60" s="143"/>
      <c r="BC60" s="120" t="str">
        <f t="array" aca="1" ref="BC60" ca="1">IF(BC58&lt;&gt;"",
IF(IFERROR(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"")=0,"",
IF(BB17=100,
IFERROR(
INDEX(INDIRECT("数出表_Excel!"&amp;BB57&amp;MATCH(BG15,数出表_Excel!$A:$A,0)-1+2&amp;":U"&amp;MATCH(BG15,数出表_Excel!$A:$A,0)-1+2&amp;""),
 1,
 MATCH(TRUE, ISNUMBER(--INDIRECT("数出表_Excel!"&amp;BB57&amp;MATCH(BG15,数出表_Excel!$A:$A,0)-1+2&amp;":U"&amp;MATCH(BG15,数出表_Excel!$A:$A,0)-1+2&amp;"")), 0)),
 "")
+IFERROR(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""),
IFERROR(
INDEX(INDIRECT("数出表_Excel!"&amp;BB57&amp;MATCH(BG15,数出表_Excel!$A:$A,0)-1&amp;":U"&amp;MATCH(BG15,数出表_Excel!$A:$A,0)-1&amp;""),
 1,
 MATCH(TRUE, ISNUMBER(--INDIRECT("数出表_Excel!"&amp;BB57&amp;MATCH(BG15,数出表_Excel!$A:$A,0)-1&amp;":U"&amp;MATCH(BG15,数出表_Excel!$A:$A,0)-1&amp;"")), 0)),
 ""))),"")</f>
        <v/>
      </c>
      <c r="BD60" s="144"/>
      <c r="BE60" s="145" t="str">
        <f t="array" aca="1" ref="BE60" ca="1">IF(BC16&lt;&gt;"",
IF(IFERROR(
INDEX(INDIRECT("数出表_Excel!B"&amp;MATCH(BG15,数出表_Excel!$A:$A,0)&amp;":U"&amp;MATCH(BG15,数出表_Excel!$A:$A,0)&amp;""),
 1,BB58-1),
 "")=0,"",
IFERROR(
INDEX(INDIRECT("数出表_Excel!B"&amp;MATCH(BG15,数出表_Excel!$A:$A,0)&amp;":U"&amp;MATCH(BG15,数出表_Excel!$A:$A,0)&amp;""),
 1,BB58-1),
 "")),"")</f>
        <v/>
      </c>
      <c r="BF60" s="144"/>
      <c r="BG60" s="154"/>
      <c r="BJ60" s="143"/>
      <c r="BK60" s="120" t="str">
        <f t="array" aca="1" ref="BK60" ca="1">IF(BK58&lt;&gt;"",
IF(IFERROR(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"")=0,"",
IF(BJ17=100,
IFERROR(
INDEX(INDIRECT("数出表_Excel!"&amp;BJ57&amp;MATCH(BO15,数出表_Excel!$A:$A,0)-1+2&amp;":U"&amp;MATCH(BO15,数出表_Excel!$A:$A,0)-1+2&amp;""),
 1,
 MATCH(TRUE, ISNUMBER(--INDIRECT("数出表_Excel!"&amp;BJ57&amp;MATCH(BO15,数出表_Excel!$A:$A,0)-1+2&amp;":U"&amp;MATCH(BO15,数出表_Excel!$A:$A,0)-1+2&amp;"")), 0)),
 "")
+IFERROR(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""),
IFERROR(
INDEX(INDIRECT("数出表_Excel!"&amp;BJ57&amp;MATCH(BO15,数出表_Excel!$A:$A,0)-1&amp;":U"&amp;MATCH(BO15,数出表_Excel!$A:$A,0)-1&amp;""),
 1,
 MATCH(TRUE, ISNUMBER(--INDIRECT("数出表_Excel!"&amp;BJ57&amp;MATCH(BO15,数出表_Excel!$A:$A,0)-1&amp;":U"&amp;MATCH(BO15,数出表_Excel!$A:$A,0)-1&amp;"")), 0)),
 ""))),"")</f>
        <v/>
      </c>
      <c r="BL60" s="144"/>
      <c r="BM60" s="145" t="str">
        <f t="array" aca="1" ref="BM60" ca="1">IF(BK16&lt;&gt;"",
IF(IFERROR(
INDEX(INDIRECT("数出表_Excel!B"&amp;MATCH(BO15,数出表_Excel!$A:$A,0)&amp;":U"&amp;MATCH(BO15,数出表_Excel!$A:$A,0)&amp;""),
 1,BJ58-1),
 "")=0,"",
IFERROR(
INDEX(INDIRECT("数出表_Excel!B"&amp;MATCH(BO15,数出表_Excel!$A:$A,0)&amp;":U"&amp;MATCH(BO15,数出表_Excel!$A:$A,0)&amp;""),
 1,BJ58-1),
 "")),"")</f>
        <v/>
      </c>
      <c r="BN60" s="144"/>
      <c r="BO60" s="154"/>
      <c r="BQ60" s="143"/>
      <c r="BR60" s="120" t="str">
        <f t="array" aca="1" ref="BR60" ca="1">IF(BR58&lt;&gt;"",
IF(IFERROR(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"")=0,"",
IF(BQ17=100,
IFERROR(
INDEX(INDIRECT("数出表_Excel!"&amp;BQ57&amp;MATCH(BV15,数出表_Excel!$A:$A,0)-1+2&amp;":U"&amp;MATCH(BV15,数出表_Excel!$A:$A,0)-1+2&amp;""),
 1,
 MATCH(TRUE, ISNUMBER(--INDIRECT("数出表_Excel!"&amp;BQ57&amp;MATCH(BV15,数出表_Excel!$A:$A,0)-1+2&amp;":U"&amp;MATCH(BV15,数出表_Excel!$A:$A,0)-1+2&amp;"")), 0)),
 "")
+IFERROR(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""),
IFERROR(
INDEX(INDIRECT("数出表_Excel!"&amp;BQ57&amp;MATCH(BV15,数出表_Excel!$A:$A,0)-1&amp;":U"&amp;MATCH(BV15,数出表_Excel!$A:$A,0)-1&amp;""),
 1,
 MATCH(TRUE, ISNUMBER(--INDIRECT("数出表_Excel!"&amp;BQ57&amp;MATCH(BV15,数出表_Excel!$A:$A,0)-1&amp;":U"&amp;MATCH(BV15,数出表_Excel!$A:$A,0)-1&amp;"")), 0)),
 ""))),"")</f>
        <v/>
      </c>
      <c r="BS60" s="144"/>
      <c r="BT60" s="145" t="str">
        <f t="array" aca="1" ref="BT60" ca="1">IF(BR16&lt;&gt;"",
IF(IFERROR(
INDEX(INDIRECT("数出表_Excel!B"&amp;MATCH(BV15,数出表_Excel!$A:$A,0)&amp;":U"&amp;MATCH(BV15,数出表_Excel!$A:$A,0)&amp;""),
 1,BQ58-1),
 "")=0,"",
IFERROR(
INDEX(INDIRECT("数出表_Excel!B"&amp;MATCH(BV15,数出表_Excel!$A:$A,0)&amp;":U"&amp;MATCH(BV15,数出表_Excel!$A:$A,0)&amp;""),
 1,BQ58-1),
 "")),"")</f>
        <v/>
      </c>
      <c r="BU60" s="144"/>
      <c r="BV60" s="154"/>
      <c r="BX60" s="132">
        <f t="shared" si="4"/>
        <v>56</v>
      </c>
      <c r="BY60" s="132" t="str">
        <f t="array" aca="1" ref="BY60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LEN(SUBSTITUTE(_xlfn.FORMULATEXT(BY$51),"=","")))+$BX60)</f>
        <v/>
      </c>
      <c r="BZ60" s="132" t="str">
        <f t="array" aca="1" ref="BZ60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LEN(SUBSTITUTE(_xlfn.FORMULATEXT(BZ$51),"=","")))+$BX60)</f>
        <v/>
      </c>
      <c r="CA60" s="132" t="str">
        <f t="array" aca="1" ref="CA60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LEN(SUBSTITUTE(_xlfn.FORMULATEXT(CA$51),"=","")))+$BX60)</f>
        <v/>
      </c>
      <c r="CB60" s="132" t="str">
        <f t="array" aca="1" ref="CB60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LEN(SUBSTITUTE(_xlfn.FORMULATEXT(CB$51),"=","")))+$BX60)</f>
        <v/>
      </c>
      <c r="CC60" s="132" t="str">
        <f t="array" aca="1" ref="CC60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LEN(SUBSTITUTE(_xlfn.FORMULATEXT(CC$51),"=","")))+$BX60)</f>
        <v/>
      </c>
      <c r="CD60" s="132" t="str">
        <f t="array" aca="1" ref="CD60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LEN(SUBSTITUTE(_xlfn.FORMULATEXT(CD$51),"=","")))+$BX60)</f>
        <v/>
      </c>
      <c r="CE60" s="132" t="str">
        <f t="array" aca="1" ref="CE60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LEN(SUBSTITUTE(_xlfn.FORMULATEXT(CE$51),"=","")))+$BX60)</f>
        <v/>
      </c>
      <c r="CF60" s="132" t="str">
        <f t="array" aca="1" ref="CF60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LEN(SUBSTITUTE(_xlfn.FORMULATEXT(CF$51),"=","")))+$BX60)</f>
        <v/>
      </c>
      <c r="CG60" s="132" t="str">
        <f t="array" aca="1" ref="CG60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LEN(SUBSTITUTE(_xlfn.FORMULATEXT(CG$51),"=","")))+$BX60)</f>
        <v/>
      </c>
      <c r="CH60" s="132" t="str">
        <f t="array" aca="1" ref="CH60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LEN(SUBSTITUTE(_xlfn.FORMULATEXT(CH$51),"=","")))+$BX60)</f>
        <v/>
      </c>
      <c r="CI60" s="132">
        <f t="shared" ca="1" si="3"/>
        <v>0</v>
      </c>
      <c r="CJ60" s="132" t="b">
        <f t="array" aca="1" ref="CJ60" ca="1">SUMPRODUCT((LEN(BY60:CH60)&gt;0)*1)&gt;0</f>
        <v>0</v>
      </c>
      <c r="CK60" s="132" t="str" cm="1">
        <f t="array" aca="1" ref="CK60" ca="1">IFERROR(SMALL(IF(CI$1:CI$150&lt;&gt;0,CI$1:CI$150),ROW(A60)),"")</f>
        <v/>
      </c>
      <c r="CL60" s="132" t="str">
        <f t="array" aca="1" ref="CL60" ca="1">IF($CK60&lt;&gt;"",
INDIRECT(""&amp;IF(COLUMN(BY60)&lt;=26,CHAR(COLUMN(BY60)+64),CHAR(INT((COLUMN(BY60)-1)/26)+64)&amp;CHAR(MOD(COLUMN(BY60)-1,26)+65))&amp;$CK60&amp;""),"")</f>
        <v/>
      </c>
      <c r="CM60" s="132" t="str">
        <f t="array" aca="1" ref="CM60" ca="1">IF($CK60&lt;&gt;"",
INDIRECT(""&amp;IF(COLUMN(BZ60)&lt;=26,CHAR(COLUMN(BZ60)+64),CHAR(INT((COLUMN(BZ60)-1)/26)+64)&amp;CHAR(MOD(COLUMN(BZ60)-1,26)+65))&amp;$CK60&amp;""),"")</f>
        <v/>
      </c>
      <c r="CN60" s="132" t="str">
        <f t="array" aca="1" ref="CN60" ca="1">IF($CK60&lt;&gt;"",
INDIRECT(""&amp;IF(COLUMN(CA60)&lt;=26,CHAR(COLUMN(CA60)+64),CHAR(INT((COLUMN(CA60)-1)/26)+64)&amp;CHAR(MOD(COLUMN(CA60)-1,26)+65))&amp;$CK60&amp;""),"")</f>
        <v/>
      </c>
      <c r="CO60" s="132" t="str">
        <f t="array" aca="1" ref="CO60" ca="1">IF($CK60&lt;&gt;"",
INDIRECT(""&amp;IF(COLUMN(CB60)&lt;=26,CHAR(COLUMN(CB60)+64),CHAR(INT((COLUMN(CB60)-1)/26)+64)&amp;CHAR(MOD(COLUMN(CB60)-1,26)+65))&amp;$CK60&amp;""),"")</f>
        <v/>
      </c>
      <c r="CP60" s="132" t="str">
        <f t="array" aca="1" ref="CP60" ca="1">IF($CK60&lt;&gt;"",
INDIRECT(""&amp;IF(COLUMN(CC60)&lt;=26,CHAR(COLUMN(CC60)+64),CHAR(INT((COLUMN(CC60)-1)/26)+64)&amp;CHAR(MOD(COLUMN(CC60)-1,26)+65))&amp;$CK60&amp;""),"")</f>
        <v/>
      </c>
      <c r="CQ60" s="132" t="str">
        <f t="array" aca="1" ref="CQ60" ca="1">IF($CK60&lt;&gt;"",
INDIRECT(""&amp;IF(COLUMN(CD60)&lt;=26,CHAR(COLUMN(CD60)+64),CHAR(INT((COLUMN(CD60)-1)/26)+64)&amp;CHAR(MOD(COLUMN(CD60)-1,26)+65))&amp;$CK60&amp;""),"")</f>
        <v/>
      </c>
      <c r="CR60" s="132" t="str">
        <f t="array" aca="1" ref="CR60" ca="1">IF($CK60&lt;&gt;"",
INDIRECT(""&amp;IF(COLUMN(CE60)&lt;=26,CHAR(COLUMN(CE60)+64),CHAR(INT((COLUMN(CE60)-1)/26)+64)&amp;CHAR(MOD(COLUMN(CE60)-1,26)+65))&amp;$CK60&amp;""),"")</f>
        <v/>
      </c>
      <c r="CS60" s="132" t="str">
        <f t="array" aca="1" ref="CS60" ca="1">IF($CK60&lt;&gt;"",
INDIRECT(""&amp;IF(COLUMN(CF60)&lt;=26,CHAR(COLUMN(CF60)+64),CHAR(INT((COLUMN(CF60)-1)/26)+64)&amp;CHAR(MOD(COLUMN(CF60)-1,26)+65))&amp;$CK60&amp;""),"")</f>
        <v/>
      </c>
      <c r="CT60" s="132" t="str">
        <f t="array" aca="1" ref="CT60" ca="1">IF($CK60&lt;&gt;"",
INDIRECT(""&amp;IF(COLUMN(CG60)&lt;=26,CHAR(COLUMN(CG60)+64),CHAR(INT((COLUMN(CG60)-1)/26)+64)&amp;CHAR(MOD(COLUMN(CG60)-1,26)+65))&amp;$CK60&amp;""),"")</f>
        <v/>
      </c>
      <c r="CU60" s="132" t="str">
        <f t="array" aca="1" ref="CU60" ca="1">IF($CK60&lt;&gt;"",
INDIRECT(""&amp;IF(COLUMN(CH60)&lt;=26,CHAR(COLUMN(CH60)+64),CHAR(INT((COLUMN(CH60)-1)/26)+64)&amp;CHAR(MOD(COLUMN(CH60)-1,26)+65))&amp;$CK60&amp;""),"")</f>
        <v/>
      </c>
    </row>
    <row r="61" spans="1:99" ht="18" customHeight="1" x14ac:dyDescent="0.45">
      <c r="B61" s="147"/>
      <c r="C61" s="148"/>
      <c r="D61" s="148"/>
      <c r="E61" s="148"/>
      <c r="F61" s="148"/>
      <c r="G61" s="160"/>
      <c r="I61" s="147"/>
      <c r="J61" s="148"/>
      <c r="K61" s="148"/>
      <c r="L61" s="148"/>
      <c r="M61" s="148"/>
      <c r="N61" s="155"/>
      <c r="Q61" s="147"/>
      <c r="R61" s="148"/>
      <c r="S61" s="148"/>
      <c r="T61" s="148"/>
      <c r="U61" s="148"/>
      <c r="V61" s="155"/>
      <c r="X61" s="147"/>
      <c r="Y61" s="148"/>
      <c r="Z61" s="148"/>
      <c r="AA61" s="148"/>
      <c r="AB61" s="148"/>
      <c r="AC61" s="155"/>
      <c r="AF61" s="147"/>
      <c r="AG61" s="148"/>
      <c r="AH61" s="148"/>
      <c r="AI61" s="148"/>
      <c r="AJ61" s="148"/>
      <c r="AK61" s="155"/>
      <c r="AM61" s="147"/>
      <c r="AN61" s="148"/>
      <c r="AO61" s="148"/>
      <c r="AP61" s="148"/>
      <c r="AQ61" s="148"/>
      <c r="AR61" s="155"/>
      <c r="AU61" s="147"/>
      <c r="AV61" s="148"/>
      <c r="AW61" s="148"/>
      <c r="AX61" s="148"/>
      <c r="AY61" s="148"/>
      <c r="AZ61" s="155"/>
      <c r="BB61" s="147"/>
      <c r="BC61" s="148"/>
      <c r="BD61" s="148"/>
      <c r="BE61" s="148"/>
      <c r="BF61" s="148"/>
      <c r="BG61" s="155"/>
      <c r="BJ61" s="147"/>
      <c r="BK61" s="148"/>
      <c r="BL61" s="148"/>
      <c r="BM61" s="148"/>
      <c r="BN61" s="148"/>
      <c r="BO61" s="155"/>
      <c r="BQ61" s="147"/>
      <c r="BR61" s="148"/>
      <c r="BS61" s="148"/>
      <c r="BT61" s="148"/>
      <c r="BU61" s="148"/>
      <c r="BV61" s="155"/>
      <c r="BX61" s="132">
        <f t="shared" si="4"/>
        <v>21</v>
      </c>
      <c r="BY61" s="132" t="str">
        <f t="array" aca="1" ref="BY61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LEN(SUBSTITUTE(_xlfn.FORMULATEXT(BY$49),"=","")))+$BX61)</f>
        <v/>
      </c>
      <c r="BZ61" s="132" t="str">
        <f t="array" aca="1" ref="BZ61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LEN(SUBSTITUTE(_xlfn.FORMULATEXT(BZ$49),"=","")))+$BX61)</f>
        <v/>
      </c>
      <c r="CA61" s="132" t="str">
        <f t="array" aca="1" ref="CA61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LEN(SUBSTITUTE(_xlfn.FORMULATEXT(CA$49),"=","")))+$BX61)</f>
        <v/>
      </c>
      <c r="CB61" s="132" t="str">
        <f t="array" aca="1" ref="CB61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LEN(SUBSTITUTE(_xlfn.FORMULATEXT(CB$49),"=","")))+$BX61)</f>
        <v/>
      </c>
      <c r="CC61" s="132" t="str">
        <f t="array" aca="1" ref="CC61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LEN(SUBSTITUTE(_xlfn.FORMULATEXT(CC$49),"=","")))+$BX61)</f>
        <v/>
      </c>
      <c r="CD61" s="132" t="str">
        <f t="array" aca="1" ref="CD61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LEN(SUBSTITUTE(_xlfn.FORMULATEXT(CD$49),"=","")))+$BX61)</f>
        <v/>
      </c>
      <c r="CE61" s="132" t="str">
        <f t="array" aca="1" ref="CE61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LEN(SUBSTITUTE(_xlfn.FORMULATEXT(CE$49),"=","")))+$BX61)</f>
        <v/>
      </c>
      <c r="CF61" s="132" t="str">
        <f t="array" aca="1" ref="CF61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LEN(SUBSTITUTE(_xlfn.FORMULATEXT(CF$49),"=","")))+$BX61)</f>
        <v/>
      </c>
      <c r="CG61" s="132" t="str">
        <f t="array" aca="1" ref="CG61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LEN(SUBSTITUTE(_xlfn.FORMULATEXT(CG$49),"=","")))+$BX61)</f>
        <v/>
      </c>
      <c r="CH61" s="132" t="str">
        <f t="array" aca="1" ref="CH61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LEN(SUBSTITUTE(_xlfn.FORMULATEXT(CH$49),"=","")))+$BX61)</f>
        <v/>
      </c>
      <c r="CI61" s="132">
        <f t="shared" ca="1" si="3"/>
        <v>0</v>
      </c>
      <c r="CJ61" s="132" t="b">
        <f t="array" aca="1" ref="CJ61" ca="1">SUMPRODUCT((LEN(BY61:CH61)&gt;0)*1)&gt;0</f>
        <v>0</v>
      </c>
      <c r="CK61" s="132" t="str" cm="1">
        <f t="array" aca="1" ref="CK61" ca="1">IFERROR(SMALL(IF(CI$1:CI$150&lt;&gt;0,CI$1:CI$150),ROW(A61)),"")</f>
        <v/>
      </c>
      <c r="CL61" s="132" t="str">
        <f t="array" aca="1" ref="CL61" ca="1">IF($CK61&lt;&gt;"",
INDIRECT(""&amp;IF(COLUMN(BY61)&lt;=26,CHAR(COLUMN(BY61)+64),CHAR(INT((COLUMN(BY61)-1)/26)+64)&amp;CHAR(MOD(COLUMN(BY61)-1,26)+65))&amp;$CK61&amp;""),"")</f>
        <v/>
      </c>
      <c r="CM61" s="132" t="str">
        <f t="array" aca="1" ref="CM61" ca="1">IF($CK61&lt;&gt;"",
INDIRECT(""&amp;IF(COLUMN(BZ61)&lt;=26,CHAR(COLUMN(BZ61)+64),CHAR(INT((COLUMN(BZ61)-1)/26)+64)&amp;CHAR(MOD(COLUMN(BZ61)-1,26)+65))&amp;$CK61&amp;""),"")</f>
        <v/>
      </c>
      <c r="CN61" s="132" t="str">
        <f t="array" aca="1" ref="CN61" ca="1">IF($CK61&lt;&gt;"",
INDIRECT(""&amp;IF(COLUMN(CA61)&lt;=26,CHAR(COLUMN(CA61)+64),CHAR(INT((COLUMN(CA61)-1)/26)+64)&amp;CHAR(MOD(COLUMN(CA61)-1,26)+65))&amp;$CK61&amp;""),"")</f>
        <v/>
      </c>
      <c r="CO61" s="132" t="str">
        <f t="array" aca="1" ref="CO61" ca="1">IF($CK61&lt;&gt;"",
INDIRECT(""&amp;IF(COLUMN(CB61)&lt;=26,CHAR(COLUMN(CB61)+64),CHAR(INT((COLUMN(CB61)-1)/26)+64)&amp;CHAR(MOD(COLUMN(CB61)-1,26)+65))&amp;$CK61&amp;""),"")</f>
        <v/>
      </c>
      <c r="CP61" s="132" t="str">
        <f t="array" aca="1" ref="CP61" ca="1">IF($CK61&lt;&gt;"",
INDIRECT(""&amp;IF(COLUMN(CC61)&lt;=26,CHAR(COLUMN(CC61)+64),CHAR(INT((COLUMN(CC61)-1)/26)+64)&amp;CHAR(MOD(COLUMN(CC61)-1,26)+65))&amp;$CK61&amp;""),"")</f>
        <v/>
      </c>
      <c r="CQ61" s="132" t="str">
        <f t="array" aca="1" ref="CQ61" ca="1">IF($CK61&lt;&gt;"",
INDIRECT(""&amp;IF(COLUMN(CD61)&lt;=26,CHAR(COLUMN(CD61)+64),CHAR(INT((COLUMN(CD61)-1)/26)+64)&amp;CHAR(MOD(COLUMN(CD61)-1,26)+65))&amp;$CK61&amp;""),"")</f>
        <v/>
      </c>
      <c r="CR61" s="132" t="str">
        <f t="array" aca="1" ref="CR61" ca="1">IF($CK61&lt;&gt;"",
INDIRECT(""&amp;IF(COLUMN(CE61)&lt;=26,CHAR(COLUMN(CE61)+64),CHAR(INT((COLUMN(CE61)-1)/26)+64)&amp;CHAR(MOD(COLUMN(CE61)-1,26)+65))&amp;$CK61&amp;""),"")</f>
        <v/>
      </c>
      <c r="CS61" s="132" t="str">
        <f t="array" aca="1" ref="CS61" ca="1">IF($CK61&lt;&gt;"",
INDIRECT(""&amp;IF(COLUMN(CF61)&lt;=26,CHAR(COLUMN(CF61)+64),CHAR(INT((COLUMN(CF61)-1)/26)+64)&amp;CHAR(MOD(COLUMN(CF61)-1,26)+65))&amp;$CK61&amp;""),"")</f>
        <v/>
      </c>
      <c r="CT61" s="132" t="str">
        <f t="array" aca="1" ref="CT61" ca="1">IF($CK61&lt;&gt;"",
INDIRECT(""&amp;IF(COLUMN(CG61)&lt;=26,CHAR(COLUMN(CG61)+64),CHAR(INT((COLUMN(CG61)-1)/26)+64)&amp;CHAR(MOD(COLUMN(CG61)-1,26)+65))&amp;$CK61&amp;""),"")</f>
        <v/>
      </c>
      <c r="CU61" s="132" t="str">
        <f t="array" aca="1" ref="CU61" ca="1">IF($CK61&lt;&gt;"",
INDIRECT(""&amp;IF(COLUMN(CH61)&lt;=26,CHAR(COLUMN(CH61)+64),CHAR(INT((COLUMN(CH61)-1)/26)+64)&amp;CHAR(MOD(COLUMN(CH61)-1,26)+65))&amp;$CK61&amp;""),"")</f>
        <v/>
      </c>
    </row>
    <row r="62" spans="1:99" s="132" customFormat="1" ht="22.2" customHeight="1" x14ac:dyDescent="0.55000000000000004">
      <c r="A62" s="129"/>
      <c r="B62" s="149" t="str">
        <f ca="1">IF(C60&lt;&gt;"","パン箱","")</f>
        <v/>
      </c>
      <c r="C62" s="150" t="str">
        <f ca="1">IF(C60&lt;&gt;"",IF(OR(COUNTIF('盛付札（関数）'!C58,"*キャラ*"),COUNTIF('盛付札（関数）'!C58,"*赤*")),24,
VLOOKUP('盛付札（関数）'!C58,商品マスタ一覧!$D:$I,6,FALSE)),"")</f>
        <v/>
      </c>
      <c r="D62" s="149" t="str">
        <f ca="1">IF(C60&lt;&gt;"","　端数","")</f>
        <v/>
      </c>
      <c r="E62" s="150"/>
      <c r="F62" s="149" t="str">
        <f ca="1">IF(C60&lt;&gt;"","アレルギー","")</f>
        <v/>
      </c>
      <c r="G62" s="159"/>
      <c r="H62" s="129"/>
      <c r="I62" s="149" t="str">
        <f ca="1">IF(J60&lt;&gt;"","パン箱","")</f>
        <v/>
      </c>
      <c r="J62" s="150" t="str">
        <f ca="1">IF(J60&lt;&gt;"",IF(OR(COUNTIF('盛付札（関数）'!J58,"*キャラ*"),COUNTIF('盛付札（関数）'!J58,"*赤*")),24,
VLOOKUP('盛付札（関数）'!J58,商品マスタ一覧!$D:$I,6,FALSE)),"")</f>
        <v/>
      </c>
      <c r="K62" s="149" t="str">
        <f ca="1">IF(J60&lt;&gt;"","　端数","")</f>
        <v/>
      </c>
      <c r="L62" s="150"/>
      <c r="M62" s="149" t="str">
        <f ca="1">IF(J60&lt;&gt;"","アレルギー","")</f>
        <v/>
      </c>
      <c r="N62" s="154"/>
      <c r="O62" s="129"/>
      <c r="P62" s="129"/>
      <c r="Q62" s="149" t="str">
        <f ca="1">IF(R60&lt;&gt;"","パン箱","")</f>
        <v/>
      </c>
      <c r="R62" s="150" t="str">
        <f ca="1">IF(R60&lt;&gt;"",IF(OR(COUNTIF('盛付札（関数）'!R58,"*キャラ*"),COUNTIF('盛付札（関数）'!R58,"*赤*")),24,
VLOOKUP('盛付札（関数）'!R58,商品マスタ一覧!$D:$I,6,FALSE)),"")</f>
        <v/>
      </c>
      <c r="S62" s="149" t="str">
        <f ca="1">IF(R60&lt;&gt;"","　端数","")</f>
        <v/>
      </c>
      <c r="T62" s="150"/>
      <c r="U62" s="149" t="str">
        <f ca="1">IF(R60&lt;&gt;"","アレルギー","")</f>
        <v/>
      </c>
      <c r="V62" s="154"/>
      <c r="W62" s="129"/>
      <c r="X62" s="149" t="str">
        <f ca="1">IF(Y60&lt;&gt;"","パン箱","")</f>
        <v/>
      </c>
      <c r="Y62" s="150" t="str">
        <f ca="1">IF(Y60&lt;&gt;"",IF(OR(COUNTIF('盛付札（関数）'!Y58,"*キャラ*"),COUNTIF('盛付札（関数）'!Y58,"*赤*")),24,
VLOOKUP('盛付札（関数）'!Y58,商品マスタ一覧!$D:$I,6,FALSE)),"")</f>
        <v/>
      </c>
      <c r="Z62" s="149" t="str">
        <f ca="1">IF(Y60&lt;&gt;"","　端数","")</f>
        <v/>
      </c>
      <c r="AA62" s="150"/>
      <c r="AB62" s="149" t="str">
        <f ca="1">IF(Y60&lt;&gt;"","アレルギー","")</f>
        <v/>
      </c>
      <c r="AC62" s="154"/>
      <c r="AD62" s="129"/>
      <c r="AE62" s="129"/>
      <c r="AF62" s="149" t="str">
        <f ca="1">IF(AG60&lt;&gt;"","パン箱","")</f>
        <v/>
      </c>
      <c r="AG62" s="150" t="str">
        <f ca="1">IF(AG60&lt;&gt;"",IF(OR(COUNTIF('盛付札（関数）'!AG58,"*キャラ*"),COUNTIF('盛付札（関数）'!AG58,"*赤*")),24,
VLOOKUP('盛付札（関数）'!AG58,商品マスタ一覧!$D:$I,6,FALSE)),"")</f>
        <v/>
      </c>
      <c r="AH62" s="149" t="str">
        <f ca="1">IF(AG60&lt;&gt;"","　端数","")</f>
        <v/>
      </c>
      <c r="AI62" s="150"/>
      <c r="AJ62" s="149" t="str">
        <f ca="1">IF(AG60&lt;&gt;"","アレルギー","")</f>
        <v/>
      </c>
      <c r="AK62" s="154"/>
      <c r="AL62" s="129"/>
      <c r="AM62" s="149" t="str">
        <f ca="1">IF(AN60&lt;&gt;"","パン箱","")</f>
        <v/>
      </c>
      <c r="AN62" s="150" t="str">
        <f ca="1">IF(AN60&lt;&gt;"",IF(OR(COUNTIF('盛付札（関数）'!AN58,"*キャラ*"),COUNTIF('盛付札（関数）'!AN58,"*赤*")),24,
VLOOKUP('盛付札（関数）'!AN58,商品マスタ一覧!$D:$I,6,FALSE)),"")</f>
        <v/>
      </c>
      <c r="AO62" s="149" t="str">
        <f ca="1">IF(AN60&lt;&gt;"","　端数","")</f>
        <v/>
      </c>
      <c r="AP62" s="150"/>
      <c r="AQ62" s="149" t="str">
        <f ca="1">IF(AN60&lt;&gt;"","アレルギー","")</f>
        <v/>
      </c>
      <c r="AR62" s="154"/>
      <c r="AS62" s="129"/>
      <c r="AT62" s="129"/>
      <c r="AU62" s="149" t="str">
        <f ca="1">IF(AV60&lt;&gt;"","パン箱","")</f>
        <v/>
      </c>
      <c r="AV62" s="150" t="str">
        <f ca="1">IF(AV60&lt;&gt;"",IF(OR(COUNTIF('盛付札（関数）'!AV58,"*キャラ*"),COUNTIF('盛付札（関数）'!AV58,"*赤*")),24,
VLOOKUP('盛付札（関数）'!AV58,商品マスタ一覧!$D:$I,6,FALSE)),"")</f>
        <v/>
      </c>
      <c r="AW62" s="149" t="str">
        <f ca="1">IF(AV60&lt;&gt;"","　端数","")</f>
        <v/>
      </c>
      <c r="AX62" s="150"/>
      <c r="AY62" s="149" t="str">
        <f ca="1">IF(AV60&lt;&gt;"","アレルギー","")</f>
        <v/>
      </c>
      <c r="AZ62" s="154"/>
      <c r="BA62" s="129"/>
      <c r="BB62" s="149" t="str">
        <f ca="1">IF(BC60&lt;&gt;"","パン箱","")</f>
        <v/>
      </c>
      <c r="BC62" s="150" t="str">
        <f ca="1">IF(BC60&lt;&gt;"",IF(OR(COUNTIF('盛付札（関数）'!BC58,"*キャラ*"),COUNTIF('盛付札（関数）'!BC58,"*赤*")),24,
VLOOKUP('盛付札（関数）'!BC58,商品マスタ一覧!$D:$I,6,FALSE)),"")</f>
        <v/>
      </c>
      <c r="BD62" s="149" t="str">
        <f ca="1">IF(BC60&lt;&gt;"","　端数","")</f>
        <v/>
      </c>
      <c r="BE62" s="150"/>
      <c r="BF62" s="149" t="str">
        <f ca="1">IF(BC60&lt;&gt;"","アレルギー","")</f>
        <v/>
      </c>
      <c r="BG62" s="154"/>
      <c r="BH62" s="129"/>
      <c r="BI62" s="129"/>
      <c r="BJ62" s="149" t="str">
        <f ca="1">IF(BK60&lt;&gt;"","パン箱","")</f>
        <v/>
      </c>
      <c r="BK62" s="150" t="str">
        <f ca="1">IF(BK60&lt;&gt;"",IF(OR(COUNTIF('盛付札（関数）'!BK58,"*キャラ*"),COUNTIF('盛付札（関数）'!BK58,"*赤*")),24,
VLOOKUP('盛付札（関数）'!BK58,商品マスタ一覧!$D:$I,6,FALSE)),"")</f>
        <v/>
      </c>
      <c r="BL62" s="149" t="str">
        <f ca="1">IF(BK60&lt;&gt;"","　端数","")</f>
        <v/>
      </c>
      <c r="BM62" s="150"/>
      <c r="BN62" s="149" t="str">
        <f ca="1">IF(BK60&lt;&gt;"","アレルギー","")</f>
        <v/>
      </c>
      <c r="BO62" s="154"/>
      <c r="BP62" s="129"/>
      <c r="BQ62" s="149" t="str">
        <f ca="1">IF(BR60&lt;&gt;"","パン箱","")</f>
        <v/>
      </c>
      <c r="BR62" s="150" t="str">
        <f ca="1">IF(BR60&lt;&gt;"",IF(OR(COUNTIF('盛付札（関数）'!BR58,"*キャラ*"),COUNTIF('盛付札（関数）'!BR58,"*赤*")),24,
VLOOKUP('盛付札（関数）'!BR58,商品マスタ一覧!$D:$I,6,FALSE)),"")</f>
        <v/>
      </c>
      <c r="BS62" s="149" t="str">
        <f ca="1">IF(BR60&lt;&gt;"","　端数","")</f>
        <v/>
      </c>
      <c r="BT62" s="150"/>
      <c r="BU62" s="149" t="str">
        <f ca="1">IF(BR60&lt;&gt;"","アレルギー","")</f>
        <v/>
      </c>
      <c r="BV62" s="154"/>
      <c r="BW62" s="129"/>
      <c r="BX62" s="132">
        <f t="shared" si="4"/>
        <v>63</v>
      </c>
      <c r="BY62" s="132" t="str">
        <f t="array" aca="1" ref="BY62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LEN(SUBSTITUTE(_xlfn.FORMULATEXT(BY$49),"=","")))+$BX62)</f>
        <v/>
      </c>
      <c r="BZ62" s="132" t="str">
        <f t="array" aca="1" ref="BZ62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LEN(SUBSTITUTE(_xlfn.FORMULATEXT(BZ$49),"=","")))+$BX62)</f>
        <v/>
      </c>
      <c r="CA62" s="132" t="str">
        <f t="array" aca="1" ref="CA62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LEN(SUBSTITUTE(_xlfn.FORMULATEXT(CA$49),"=","")))+$BX62)</f>
        <v/>
      </c>
      <c r="CB62" s="132" t="str">
        <f t="array" aca="1" ref="CB62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LEN(SUBSTITUTE(_xlfn.FORMULATEXT(CB$49),"=","")))+$BX62)</f>
        <v/>
      </c>
      <c r="CC62" s="132" t="str">
        <f t="array" aca="1" ref="CC62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LEN(SUBSTITUTE(_xlfn.FORMULATEXT(CC$49),"=","")))+$BX62)</f>
        <v/>
      </c>
      <c r="CD62" s="132" t="str">
        <f t="array" aca="1" ref="CD62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LEN(SUBSTITUTE(_xlfn.FORMULATEXT(CD$49),"=","")))+$BX62)</f>
        <v/>
      </c>
      <c r="CE62" s="132" t="str">
        <f t="array" aca="1" ref="CE62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LEN(SUBSTITUTE(_xlfn.FORMULATEXT(CE$49),"=","")))+$BX62)</f>
        <v/>
      </c>
      <c r="CF62" s="132" t="str">
        <f t="array" aca="1" ref="CF62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LEN(SUBSTITUTE(_xlfn.FORMULATEXT(CF$49),"=","")))+$BX62)</f>
        <v/>
      </c>
      <c r="CG62" s="132" t="str">
        <f t="array" aca="1" ref="CG62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LEN(SUBSTITUTE(_xlfn.FORMULATEXT(CG$49),"=","")))+$BX62)</f>
        <v/>
      </c>
      <c r="CH62" s="132" t="str">
        <f t="array" aca="1" ref="CH62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LEN(SUBSTITUTE(_xlfn.FORMULATEXT(CH$49),"=","")))+$BX62)</f>
        <v/>
      </c>
      <c r="CI62" s="132">
        <f t="shared" ca="1" si="3"/>
        <v>0</v>
      </c>
      <c r="CJ62" s="132" t="b">
        <f t="array" aca="1" ref="CJ62" ca="1">SUMPRODUCT((LEN(BY62:CH62)&gt;0)*1)&gt;0</f>
        <v>0</v>
      </c>
      <c r="CK62" s="132" t="str" cm="1">
        <f t="array" aca="1" ref="CK62" ca="1">IFERROR(SMALL(IF(CI$1:CI$150&lt;&gt;0,CI$1:CI$150),ROW(A62)),"")</f>
        <v/>
      </c>
      <c r="CL62" s="132" t="str">
        <f t="array" aca="1" ref="CL62" ca="1">IF($CK62&lt;&gt;"",
INDIRECT(""&amp;IF(COLUMN(BY62)&lt;=26,CHAR(COLUMN(BY62)+64),CHAR(INT((COLUMN(BY62)-1)/26)+64)&amp;CHAR(MOD(COLUMN(BY62)-1,26)+65))&amp;$CK62&amp;""),"")</f>
        <v/>
      </c>
      <c r="CM62" s="132" t="str">
        <f t="array" aca="1" ref="CM62" ca="1">IF($CK62&lt;&gt;"",
INDIRECT(""&amp;IF(COLUMN(BZ62)&lt;=26,CHAR(COLUMN(BZ62)+64),CHAR(INT((COLUMN(BZ62)-1)/26)+64)&amp;CHAR(MOD(COLUMN(BZ62)-1,26)+65))&amp;$CK62&amp;""),"")</f>
        <v/>
      </c>
      <c r="CN62" s="132" t="str">
        <f t="array" aca="1" ref="CN62" ca="1">IF($CK62&lt;&gt;"",
INDIRECT(""&amp;IF(COLUMN(CA62)&lt;=26,CHAR(COLUMN(CA62)+64),CHAR(INT((COLUMN(CA62)-1)/26)+64)&amp;CHAR(MOD(COLUMN(CA62)-1,26)+65))&amp;$CK62&amp;""),"")</f>
        <v/>
      </c>
      <c r="CO62" s="132" t="str">
        <f t="array" aca="1" ref="CO62" ca="1">IF($CK62&lt;&gt;"",
INDIRECT(""&amp;IF(COLUMN(CB62)&lt;=26,CHAR(COLUMN(CB62)+64),CHAR(INT((COLUMN(CB62)-1)/26)+64)&amp;CHAR(MOD(COLUMN(CB62)-1,26)+65))&amp;$CK62&amp;""),"")</f>
        <v/>
      </c>
      <c r="CP62" s="132" t="str">
        <f t="array" aca="1" ref="CP62" ca="1">IF($CK62&lt;&gt;"",
INDIRECT(""&amp;IF(COLUMN(CC62)&lt;=26,CHAR(COLUMN(CC62)+64),CHAR(INT((COLUMN(CC62)-1)/26)+64)&amp;CHAR(MOD(COLUMN(CC62)-1,26)+65))&amp;$CK62&amp;""),"")</f>
        <v/>
      </c>
      <c r="CQ62" s="132" t="str">
        <f t="array" aca="1" ref="CQ62" ca="1">IF($CK62&lt;&gt;"",
INDIRECT(""&amp;IF(COLUMN(CD62)&lt;=26,CHAR(COLUMN(CD62)+64),CHAR(INT((COLUMN(CD62)-1)/26)+64)&amp;CHAR(MOD(COLUMN(CD62)-1,26)+65))&amp;$CK62&amp;""),"")</f>
        <v/>
      </c>
      <c r="CR62" s="132" t="str">
        <f t="array" aca="1" ref="CR62" ca="1">IF($CK62&lt;&gt;"",
INDIRECT(""&amp;IF(COLUMN(CE62)&lt;=26,CHAR(COLUMN(CE62)+64),CHAR(INT((COLUMN(CE62)-1)/26)+64)&amp;CHAR(MOD(COLUMN(CE62)-1,26)+65))&amp;$CK62&amp;""),"")</f>
        <v/>
      </c>
      <c r="CS62" s="132" t="str">
        <f t="array" aca="1" ref="CS62" ca="1">IF($CK62&lt;&gt;"",
INDIRECT(""&amp;IF(COLUMN(CF62)&lt;=26,CHAR(COLUMN(CF62)+64),CHAR(INT((COLUMN(CF62)-1)/26)+64)&amp;CHAR(MOD(COLUMN(CF62)-1,26)+65))&amp;$CK62&amp;""),"")</f>
        <v/>
      </c>
      <c r="CT62" s="132" t="str">
        <f t="array" aca="1" ref="CT62" ca="1">IF($CK62&lt;&gt;"",
INDIRECT(""&amp;IF(COLUMN(CG62)&lt;=26,CHAR(COLUMN(CG62)+64),CHAR(INT((COLUMN(CG62)-1)/26)+64)&amp;CHAR(MOD(COLUMN(CG62)-1,26)+65))&amp;$CK62&amp;""),"")</f>
        <v/>
      </c>
      <c r="CU62" s="132" t="str">
        <f t="array" aca="1" ref="CU62" ca="1">IF($CK62&lt;&gt;"",
INDIRECT(""&amp;IF(COLUMN(CH62)&lt;=26,CHAR(COLUMN(CH62)+64),CHAR(INT((COLUMN(CH62)-1)/26)+64)&amp;CHAR(MOD(COLUMN(CH62)-1,26)+65))&amp;$CK62&amp;""),"")</f>
        <v/>
      </c>
    </row>
    <row r="63" spans="1:99" ht="21" customHeight="1" x14ac:dyDescent="0.45">
      <c r="B63" s="124" t="str">
        <f ca="1">IF(C60&lt;&gt;"",
IFERROR(INT(C60/C62),""),"")</f>
        <v/>
      </c>
      <c r="C63" s="151"/>
      <c r="D63" s="124" t="str">
        <f ca="1">IFERROR(MOD(C60,C62),"")</f>
        <v/>
      </c>
      <c r="E63" s="151"/>
      <c r="F63" s="118" t="str">
        <f t="array" aca="1" ref="F63" ca="1">IF(C57&lt;&gt;"",
IF(IFERROR(
INDEX(INDIRECT("'数出表_Excel（アレルギー入力）'!"&amp;B57&amp;MATCH(G15,'数出表_Excel（アレルギー入力）'!$A:$A,0)-1&amp;":AC"&amp;MATCH(G15,'数出表_Excel（アレルギー入力）'!$A:$A,0)-1&amp;""),
 1,
MATCH(C60,INDIRECT("'数出表_Excel（アレルギー入力）'!"&amp;B57&amp;B15-1&amp;":AC"&amp;B15-1&amp;""),0)+1),
 "")&lt;&gt;0,
IF(IFERROR(
INDEX(INDIRECT("'数出表_Excel（アレルギー入力）'!"&amp;B57&amp;MATCH(G15,'数出表_Excel（アレルギー入力）'!$A:$A,0)-1&amp;":AC"&amp;MATCH(G15,'数出表_Excel（アレルギー入力）'!$A:$A,0)-1&amp;""),
 1,
MATCH(C60,INDIRECT("'数出表_Excel（アレルギー入力）'!"&amp;B57&amp;B15-1&amp;":AC"&amp;B15-1&amp;""),0)+1),
 "")="",
IFERROR(
INDEX(INDIRECT("'数出表_Excel（アレルギー入力）'!B"&amp;MATCH(G15,'数出表_Excel（アレルギー入力）'!$A:$A,0)-1&amp;":AC"&amp;MATCH(G15,'数出表_Excel（アレルギー入力）'!$A:$A,0)-1&amp;""),
 1,
MATCH(TRUE,INDEX(INDIRECT("'数出表_Excel（アレルギー入力）'!B"&amp;B15-1&amp;":AC"&amp;B15-1&amp;"")&lt;&gt;"",0),0)+1),
 ""),
IFERROR(
INDEX(INDIRECT("'数出表_Excel（アレルギー入力）'!"&amp;B57&amp;MATCH(G15,'数出表_Excel（アレルギー入力）'!$A:$A,0)-1&amp;":AC"&amp;MATCH(G15,'数出表_Excel（アレルギー入力）'!$A:$A,0)-1&amp;""),
 1,
MATCH(C60,INDIRECT("'数出表_Excel（アレルギー入力）'!"&amp;B57&amp;B15-1&amp;":AC"&amp;B15-1&amp;""),0)+1),
 "")),0),"")</f>
        <v/>
      </c>
      <c r="G63" s="151"/>
      <c r="I63" s="124" t="str">
        <f ca="1">IF(J60&lt;&gt;"",
IFERROR(INT(J60/J62),""),"")</f>
        <v/>
      </c>
      <c r="J63" s="151"/>
      <c r="K63" s="124" t="str">
        <f ca="1">IFERROR(MOD(J60,J62),"")</f>
        <v/>
      </c>
      <c r="L63" s="151"/>
      <c r="M63" s="118" t="str">
        <f t="array" aca="1" ref="M63" ca="1">IF(J57&lt;&gt;"",
IF(IFERROR(
INDEX(INDIRECT("'数出表_Excel（アレルギー入力）'!"&amp;I57&amp;MATCH(N15,'数出表_Excel（アレルギー入力）'!$A:$A,0)-1&amp;":AC"&amp;MATCH(N15,'数出表_Excel（アレルギー入力）'!$A:$A,0)-1&amp;""),
 1,
MATCH(J60,INDIRECT("'数出表_Excel（アレルギー入力）'!"&amp;I57&amp;I15-1&amp;":AC"&amp;I15-1&amp;""),0)+1),
 "")&lt;&gt;0,
IF(IFERROR(
INDEX(INDIRECT("'数出表_Excel（アレルギー入力）'!"&amp;I57&amp;MATCH(N15,'数出表_Excel（アレルギー入力）'!$A:$A,0)-1&amp;":AC"&amp;MATCH(N15,'数出表_Excel（アレルギー入力）'!$A:$A,0)-1&amp;""),
 1,
MATCH(J60,INDIRECT("'数出表_Excel（アレルギー入力）'!"&amp;I57&amp;I15-1&amp;":AC"&amp;I15-1&amp;""),0)+1),
 "")="",
IFERROR(
INDEX(INDIRECT("'数出表_Excel（アレルギー入力）'!B"&amp;MATCH(N15,'数出表_Excel（アレルギー入力）'!$A:$A,0)-1&amp;":AC"&amp;MATCH(N15,'数出表_Excel（アレルギー入力）'!$A:$A,0)-1&amp;""),
 1,
MATCH(TRUE,INDEX(INDIRECT("'数出表_Excel（アレルギー入力）'!B"&amp;I15-1&amp;":AC"&amp;I15-1&amp;"")&lt;&gt;"",0),0)+1),
 ""),
IFERROR(
INDEX(INDIRECT("'数出表_Excel（アレルギー入力）'!"&amp;I57&amp;MATCH(N15,'数出表_Excel（アレルギー入力）'!$A:$A,0)-1&amp;":AC"&amp;MATCH(N15,'数出表_Excel（アレルギー入力）'!$A:$A,0)-1&amp;""),
 1,
MATCH(J60,INDIRECT("'数出表_Excel（アレルギー入力）'!"&amp;I57&amp;I15-1&amp;":AC"&amp;I15-1&amp;""),0)+1),
 "")),0),"")</f>
        <v/>
      </c>
      <c r="N63" s="151"/>
      <c r="Q63" s="124" t="str">
        <f ca="1">IF(R60&lt;&gt;"",
IFERROR(INT(R60/R62),""),"")</f>
        <v/>
      </c>
      <c r="R63" s="151"/>
      <c r="S63" s="124" t="str">
        <f ca="1">IFERROR(MOD(R60,R62),"")</f>
        <v/>
      </c>
      <c r="T63" s="151"/>
      <c r="U63" s="118" t="str">
        <f t="array" aca="1" ref="U63" ca="1">IF(R57&lt;&gt;"",
IF(IFERROR(
INDEX(INDIRECT("'数出表_Excel（アレルギー入力）'!"&amp;Q57&amp;MATCH(V15,'数出表_Excel（アレルギー入力）'!$A:$A,0)-1&amp;":AC"&amp;MATCH(V15,'数出表_Excel（アレルギー入力）'!$A:$A,0)-1&amp;""),
 1,
MATCH(R60,INDIRECT("'数出表_Excel（アレルギー入力）'!"&amp;Q57&amp;Q15-1&amp;":AC"&amp;Q15-1&amp;""),0)+1),
 "")&lt;&gt;0,
IF(IFERROR(
INDEX(INDIRECT("'数出表_Excel（アレルギー入力）'!"&amp;Q57&amp;MATCH(V15,'数出表_Excel（アレルギー入力）'!$A:$A,0)-1&amp;":AC"&amp;MATCH(V15,'数出表_Excel（アレルギー入力）'!$A:$A,0)-1&amp;""),
 1,
MATCH(R60,INDIRECT("'数出表_Excel（アレルギー入力）'!"&amp;Q57&amp;Q15-1&amp;":AC"&amp;Q15-1&amp;""),0)+1),
 "")="",
IFERROR(
INDEX(INDIRECT("'数出表_Excel（アレルギー入力）'!B"&amp;MATCH(V15,'数出表_Excel（アレルギー入力）'!$A:$A,0)-1&amp;":AC"&amp;MATCH(V15,'数出表_Excel（アレルギー入力）'!$A:$A,0)-1&amp;""),
 1,
MATCH(TRUE,INDEX(INDIRECT("'数出表_Excel（アレルギー入力）'!B"&amp;Q15-1&amp;":AC"&amp;Q15-1&amp;"")&lt;&gt;"",0),0)+1),
 ""),
IFERROR(
INDEX(INDIRECT("'数出表_Excel（アレルギー入力）'!"&amp;Q57&amp;MATCH(V15,'数出表_Excel（アレルギー入力）'!$A:$A,0)-1&amp;":AC"&amp;MATCH(V15,'数出表_Excel（アレルギー入力）'!$A:$A,0)-1&amp;""),
 1,
MATCH(R60,INDIRECT("'数出表_Excel（アレルギー入力）'!"&amp;Q57&amp;Q15-1&amp;":AC"&amp;Q15-1&amp;""),0)+1),
 "")),0),"")</f>
        <v/>
      </c>
      <c r="V63" s="151"/>
      <c r="X63" s="124" t="str">
        <f ca="1">IF(Y60&lt;&gt;"",
IFERROR(INT(Y60/Y62),""),"")</f>
        <v/>
      </c>
      <c r="Y63" s="151"/>
      <c r="Z63" s="124" t="str">
        <f ca="1">IFERROR(MOD(Y60,Y62),"")</f>
        <v/>
      </c>
      <c r="AA63" s="151"/>
      <c r="AB63" s="118" t="str">
        <f t="array" aca="1" ref="AB63" ca="1">IF(Y57&lt;&gt;"",
IF(IFERROR(
INDEX(INDIRECT("'数出表_Excel（アレルギー入力）'!"&amp;X57&amp;MATCH(AC15,'数出表_Excel（アレルギー入力）'!$A:$A,0)-1&amp;":AC"&amp;MATCH(AC15,'数出表_Excel（アレルギー入力）'!$A:$A,0)-1&amp;""),
 1,
MATCH(Y60,INDIRECT("'数出表_Excel（アレルギー入力）'!"&amp;X57&amp;X15-1&amp;":AC"&amp;X15-1&amp;""),0)+1),
 "")&lt;&gt;0,
IF(IFERROR(
INDEX(INDIRECT("'数出表_Excel（アレルギー入力）'!"&amp;X57&amp;MATCH(AC15,'数出表_Excel（アレルギー入力）'!$A:$A,0)-1&amp;":AC"&amp;MATCH(AC15,'数出表_Excel（アレルギー入力）'!$A:$A,0)-1&amp;""),
 1,
MATCH(Y60,INDIRECT("'数出表_Excel（アレルギー入力）'!"&amp;X57&amp;X15-1&amp;":AC"&amp;X15-1&amp;""),0)+1),
 "")="",
IFERROR(
INDEX(INDIRECT("'数出表_Excel（アレルギー入力）'!B"&amp;MATCH(AC15,'数出表_Excel（アレルギー入力）'!$A:$A,0)-1&amp;":AC"&amp;MATCH(AC15,'数出表_Excel（アレルギー入力）'!$A:$A,0)-1&amp;""),
 1,
MATCH(TRUE,INDEX(INDIRECT("'数出表_Excel（アレルギー入力）'!B"&amp;X15-1&amp;":AC"&amp;X15-1&amp;"")&lt;&gt;"",0),0)+1),
 ""),
IFERROR(
INDEX(INDIRECT("'数出表_Excel（アレルギー入力）'!"&amp;X57&amp;MATCH(AC15,'数出表_Excel（アレルギー入力）'!$A:$A,0)-1&amp;":AC"&amp;MATCH(AC15,'数出表_Excel（アレルギー入力）'!$A:$A,0)-1&amp;""),
 1,
MATCH(Y60,INDIRECT("'数出表_Excel（アレルギー入力）'!"&amp;X57&amp;X15-1&amp;":AC"&amp;X15-1&amp;""),0)+1),
 "")),0),"")</f>
        <v/>
      </c>
      <c r="AC63" s="151"/>
      <c r="AF63" s="124" t="str">
        <f ca="1">IF(AG60&lt;&gt;"",
IFERROR(INT(AG60/AG62),""),"")</f>
        <v/>
      </c>
      <c r="AG63" s="151"/>
      <c r="AH63" s="124" t="str">
        <f ca="1">IFERROR(MOD(AG60,AG62),"")</f>
        <v/>
      </c>
      <c r="AI63" s="151"/>
      <c r="AJ63" s="118" t="str">
        <f t="array" aca="1" ref="AJ63" ca="1">IF(AG57&lt;&gt;"",
IF(IFERROR(
INDEX(INDIRECT("'数出表_Excel（アレルギー入力）'!"&amp;AF57&amp;MATCH(AK15,'数出表_Excel（アレルギー入力）'!$A:$A,0)-1&amp;":AC"&amp;MATCH(AK15,'数出表_Excel（アレルギー入力）'!$A:$A,0)-1&amp;""),
 1,
MATCH(AG60,INDIRECT("'数出表_Excel（アレルギー入力）'!"&amp;AF57&amp;AF15-1&amp;":AC"&amp;AF15-1&amp;""),0)+1),
 "")&lt;&gt;0,
IF(IFERROR(
INDEX(INDIRECT("'数出表_Excel（アレルギー入力）'!"&amp;AF57&amp;MATCH(AK15,'数出表_Excel（アレルギー入力）'!$A:$A,0)-1&amp;":AC"&amp;MATCH(AK15,'数出表_Excel（アレルギー入力）'!$A:$A,0)-1&amp;""),
 1,
MATCH(AG60,INDIRECT("'数出表_Excel（アレルギー入力）'!"&amp;AF57&amp;AF15-1&amp;":AC"&amp;AF15-1&amp;""),0)+1),
 "")="",
IFERROR(
INDEX(INDIRECT("'数出表_Excel（アレルギー入力）'!B"&amp;MATCH(AK15,'数出表_Excel（アレルギー入力）'!$A:$A,0)-1&amp;":AC"&amp;MATCH(AK15,'数出表_Excel（アレルギー入力）'!$A:$A,0)-1&amp;""),
 1,
MATCH(TRUE,INDEX(INDIRECT("'数出表_Excel（アレルギー入力）'!B"&amp;AF15-1&amp;":AC"&amp;AF15-1&amp;"")&lt;&gt;"",0),0)+1),
 ""),
IFERROR(
INDEX(INDIRECT("'数出表_Excel（アレルギー入力）'!"&amp;AF57&amp;MATCH(AK15,'数出表_Excel（アレルギー入力）'!$A:$A,0)-1&amp;":AC"&amp;MATCH(AK15,'数出表_Excel（アレルギー入力）'!$A:$A,0)-1&amp;""),
 1,
MATCH(AG60,INDIRECT("'数出表_Excel（アレルギー入力）'!"&amp;AF57&amp;AF15-1&amp;":AC"&amp;AF15-1&amp;""),0)+1),
 "")),0),"")</f>
        <v/>
      </c>
      <c r="AK63" s="151"/>
      <c r="AM63" s="124" t="str">
        <f ca="1">IF(AN60&lt;&gt;"",
IFERROR(INT(AN60/AN62),""),"")</f>
        <v/>
      </c>
      <c r="AN63" s="151"/>
      <c r="AO63" s="124" t="str">
        <f ca="1">IFERROR(MOD(AN60,AN62),"")</f>
        <v/>
      </c>
      <c r="AP63" s="151"/>
      <c r="AQ63" s="118" t="str">
        <f t="array" aca="1" ref="AQ63" ca="1">IF(AN57&lt;&gt;"",
IF(IFERROR(
INDEX(INDIRECT("'数出表_Excel（アレルギー入力）'!"&amp;AM57&amp;MATCH(AR15,'数出表_Excel（アレルギー入力）'!$A:$A,0)-1&amp;":AC"&amp;MATCH(AR15,'数出表_Excel（アレルギー入力）'!$A:$A,0)-1&amp;""),
 1,
MATCH(AN60,INDIRECT("'数出表_Excel（アレルギー入力）'!"&amp;AM57&amp;AM15-1&amp;":AC"&amp;AM15-1&amp;""),0)+1),
 "")&lt;&gt;0,
IF(IFERROR(
INDEX(INDIRECT("'数出表_Excel（アレルギー入力）'!"&amp;AM57&amp;MATCH(AR15,'数出表_Excel（アレルギー入力）'!$A:$A,0)-1&amp;":AC"&amp;MATCH(AR15,'数出表_Excel（アレルギー入力）'!$A:$A,0)-1&amp;""),
 1,
MATCH(AN60,INDIRECT("'数出表_Excel（アレルギー入力）'!"&amp;AM57&amp;AM15-1&amp;":AC"&amp;AM15-1&amp;""),0)+1),
 "")="",
IFERROR(
INDEX(INDIRECT("'数出表_Excel（アレルギー入力）'!B"&amp;MATCH(AR15,'数出表_Excel（アレルギー入力）'!$A:$A,0)-1&amp;":AC"&amp;MATCH(AR15,'数出表_Excel（アレルギー入力）'!$A:$A,0)-1&amp;""),
 1,
MATCH(TRUE,INDEX(INDIRECT("'数出表_Excel（アレルギー入力）'!B"&amp;AM15-1&amp;":AC"&amp;AM15-1&amp;"")&lt;&gt;"",0),0)+1),
 ""),
IFERROR(
INDEX(INDIRECT("'数出表_Excel（アレルギー入力）'!"&amp;AM57&amp;MATCH(AR15,'数出表_Excel（アレルギー入力）'!$A:$A,0)-1&amp;":AC"&amp;MATCH(AR15,'数出表_Excel（アレルギー入力）'!$A:$A,0)-1&amp;""),
 1,
MATCH(AN60,INDIRECT("'数出表_Excel（アレルギー入力）'!"&amp;AM57&amp;AM15-1&amp;":AC"&amp;AM15-1&amp;""),0)+1),
 "")),0),"")</f>
        <v/>
      </c>
      <c r="AR63" s="151"/>
      <c r="AU63" s="124" t="str">
        <f ca="1">IF(AV60&lt;&gt;"",
IFERROR(INT(AV60/AV62),""),"")</f>
        <v/>
      </c>
      <c r="AV63" s="151"/>
      <c r="AW63" s="124" t="str">
        <f ca="1">IFERROR(MOD(AV60,AV62),"")</f>
        <v/>
      </c>
      <c r="AX63" s="151"/>
      <c r="AY63" s="118" t="str">
        <f t="array" aca="1" ref="AY63" ca="1">IF(AV57&lt;&gt;"",
IF(IFERROR(
INDEX(INDIRECT("'数出表_Excel（アレルギー入力）'!"&amp;AU57&amp;MATCH(AZ15,'数出表_Excel（アレルギー入力）'!$A:$A,0)-1&amp;":AC"&amp;MATCH(AZ15,'数出表_Excel（アレルギー入力）'!$A:$A,0)-1&amp;""),
 1,
MATCH(AV60,INDIRECT("'数出表_Excel（アレルギー入力）'!"&amp;AU57&amp;AU15-1&amp;":AC"&amp;AU15-1&amp;""),0)+1),
 "")&lt;&gt;0,
IF(IFERROR(
INDEX(INDIRECT("'数出表_Excel（アレルギー入力）'!"&amp;AU57&amp;MATCH(AZ15,'数出表_Excel（アレルギー入力）'!$A:$A,0)-1&amp;":AC"&amp;MATCH(AZ15,'数出表_Excel（アレルギー入力）'!$A:$A,0)-1&amp;""),
 1,
MATCH(AV60,INDIRECT("'数出表_Excel（アレルギー入力）'!"&amp;AU57&amp;AU15-1&amp;":AC"&amp;AU15-1&amp;""),0)+1),
 "")="",
IFERROR(
INDEX(INDIRECT("'数出表_Excel（アレルギー入力）'!B"&amp;MATCH(AZ15,'数出表_Excel（アレルギー入力）'!$A:$A,0)-1&amp;":AC"&amp;MATCH(AZ15,'数出表_Excel（アレルギー入力）'!$A:$A,0)-1&amp;""),
 1,
MATCH(TRUE,INDEX(INDIRECT("'数出表_Excel（アレルギー入力）'!B"&amp;AU15-1&amp;":AC"&amp;AU15-1&amp;"")&lt;&gt;"",0),0)+1),
 ""),
IFERROR(
INDEX(INDIRECT("'数出表_Excel（アレルギー入力）'!"&amp;AU57&amp;MATCH(AZ15,'数出表_Excel（アレルギー入力）'!$A:$A,0)-1&amp;":AC"&amp;MATCH(AZ15,'数出表_Excel（アレルギー入力）'!$A:$A,0)-1&amp;""),
 1,
MATCH(AV60,INDIRECT("'数出表_Excel（アレルギー入力）'!"&amp;AU57&amp;AU15-1&amp;":AC"&amp;AU15-1&amp;""),0)+1),
 "")),0),"")</f>
        <v/>
      </c>
      <c r="AZ63" s="151"/>
      <c r="BB63" s="124" t="str">
        <f ca="1">IF(BC60&lt;&gt;"",
IFERROR(INT(BC60/BC62),""),"")</f>
        <v/>
      </c>
      <c r="BC63" s="151"/>
      <c r="BD63" s="124" t="str">
        <f ca="1">IFERROR(MOD(BC60,BC62),"")</f>
        <v/>
      </c>
      <c r="BE63" s="151"/>
      <c r="BF63" s="118" t="str">
        <f t="array" aca="1" ref="BF63" ca="1">IF(BC57&lt;&gt;"",
IF(IFERROR(
INDEX(INDIRECT("'数出表_Excel（アレルギー入力）'!"&amp;BB57&amp;MATCH(BG15,'数出表_Excel（アレルギー入力）'!$A:$A,0)-1&amp;":AC"&amp;MATCH(BG15,'数出表_Excel（アレルギー入力）'!$A:$A,0)-1&amp;""),
 1,
MATCH(BC60,INDIRECT("'数出表_Excel（アレルギー入力）'!"&amp;BB57&amp;BB15-1&amp;":AC"&amp;BB15-1&amp;""),0)+1),
 "")&lt;&gt;0,
IF(IFERROR(
INDEX(INDIRECT("'数出表_Excel（アレルギー入力）'!"&amp;BB57&amp;MATCH(BG15,'数出表_Excel（アレルギー入力）'!$A:$A,0)-1&amp;":AC"&amp;MATCH(BG15,'数出表_Excel（アレルギー入力）'!$A:$A,0)-1&amp;""),
 1,
MATCH(BC60,INDIRECT("'数出表_Excel（アレルギー入力）'!"&amp;BB57&amp;BB15-1&amp;":AC"&amp;BB15-1&amp;""),0)+1),
 "")="",
IFERROR(
INDEX(INDIRECT("'数出表_Excel（アレルギー入力）'!B"&amp;MATCH(BG15,'数出表_Excel（アレルギー入力）'!$A:$A,0)-1&amp;":AC"&amp;MATCH(BG15,'数出表_Excel（アレルギー入力）'!$A:$A,0)-1&amp;""),
 1,
MATCH(TRUE,INDEX(INDIRECT("'数出表_Excel（アレルギー入力）'!B"&amp;BB15-1&amp;":AC"&amp;BB15-1&amp;"")&lt;&gt;"",0),0)+1),
 ""),
IFERROR(
INDEX(INDIRECT("'数出表_Excel（アレルギー入力）'!"&amp;BB57&amp;MATCH(BG15,'数出表_Excel（アレルギー入力）'!$A:$A,0)-1&amp;":AC"&amp;MATCH(BG15,'数出表_Excel（アレルギー入力）'!$A:$A,0)-1&amp;""),
 1,
MATCH(BC60,INDIRECT("'数出表_Excel（アレルギー入力）'!"&amp;BB57&amp;BB15-1&amp;":AC"&amp;BB15-1&amp;""),0)+1),
 "")),0),"")</f>
        <v/>
      </c>
      <c r="BG63" s="151"/>
      <c r="BJ63" s="124" t="str">
        <f ca="1">IF(BK60&lt;&gt;"",
IFERROR(INT(BK60/BK62),""),"")</f>
        <v/>
      </c>
      <c r="BK63" s="151"/>
      <c r="BL63" s="124" t="str">
        <f ca="1">IFERROR(MOD(BK60,BK62),"")</f>
        <v/>
      </c>
      <c r="BM63" s="151"/>
      <c r="BN63" s="118" t="str">
        <f t="array" aca="1" ref="BN63" ca="1">IF(BK57&lt;&gt;"",
IF(IFERROR(
INDEX(INDIRECT("'数出表_Excel（アレルギー入力）'!"&amp;BJ57&amp;MATCH(BO15,'数出表_Excel（アレルギー入力）'!$A:$A,0)-1&amp;":AC"&amp;MATCH(BO15,'数出表_Excel（アレルギー入力）'!$A:$A,0)-1&amp;""),
 1,
MATCH(BK60,INDIRECT("'数出表_Excel（アレルギー入力）'!"&amp;BJ57&amp;BJ15-1&amp;":AC"&amp;BJ15-1&amp;""),0)+1),
 "")&lt;&gt;0,
IF(IFERROR(
INDEX(INDIRECT("'数出表_Excel（アレルギー入力）'!"&amp;BJ57&amp;MATCH(BO15,'数出表_Excel（アレルギー入力）'!$A:$A,0)-1&amp;":AC"&amp;MATCH(BO15,'数出表_Excel（アレルギー入力）'!$A:$A,0)-1&amp;""),
 1,
MATCH(BK60,INDIRECT("'数出表_Excel（アレルギー入力）'!"&amp;BJ57&amp;BJ15-1&amp;":AC"&amp;BJ15-1&amp;""),0)+1),
 "")="",
IFERROR(
INDEX(INDIRECT("'数出表_Excel（アレルギー入力）'!B"&amp;MATCH(BO15,'数出表_Excel（アレルギー入力）'!$A:$A,0)-1&amp;":AC"&amp;MATCH(BO15,'数出表_Excel（アレルギー入力）'!$A:$A,0)-1&amp;""),
 1,
MATCH(TRUE,INDEX(INDIRECT("'数出表_Excel（アレルギー入力）'!B"&amp;BJ15-1&amp;":AC"&amp;BJ15-1&amp;"")&lt;&gt;"",0),0)+1),
 ""),
IFERROR(
INDEX(INDIRECT("'数出表_Excel（アレルギー入力）'!"&amp;BJ57&amp;MATCH(BO15,'数出表_Excel（アレルギー入力）'!$A:$A,0)-1&amp;":AC"&amp;MATCH(BO15,'数出表_Excel（アレルギー入力）'!$A:$A,0)-1&amp;""),
 1,
MATCH(BK60,INDIRECT("'数出表_Excel（アレルギー入力）'!"&amp;BJ57&amp;BJ15-1&amp;":AC"&amp;BJ15-1&amp;""),0)+1),
 "")),0),"")</f>
        <v/>
      </c>
      <c r="BO63" s="151"/>
      <c r="BQ63" s="124" t="str">
        <f ca="1">IF(BR60&lt;&gt;"",
IFERROR(INT(BR60/BR62),""),"")</f>
        <v/>
      </c>
      <c r="BR63" s="151"/>
      <c r="BS63" s="124" t="str">
        <f ca="1">IFERROR(MOD(BR60,BR62),"")</f>
        <v/>
      </c>
      <c r="BT63" s="151"/>
      <c r="BU63" s="118" t="str">
        <f t="array" aca="1" ref="BU63" ca="1">IF(BR57&lt;&gt;"",
IF(IFERROR(
INDEX(INDIRECT("'数出表_Excel（アレルギー入力）'!"&amp;BQ57&amp;MATCH(BV15,'数出表_Excel（アレルギー入力）'!$A:$A,0)-1&amp;":AC"&amp;MATCH(BV15,'数出表_Excel（アレルギー入力）'!$A:$A,0)-1&amp;""),
 1,
MATCH(BR60,INDIRECT("'数出表_Excel（アレルギー入力）'!"&amp;BQ57&amp;BQ15-1&amp;":AC"&amp;BQ15-1&amp;""),0)+1),
 "")&lt;&gt;0,
IF(IFERROR(
INDEX(INDIRECT("'数出表_Excel（アレルギー入力）'!"&amp;BQ57&amp;MATCH(BV15,'数出表_Excel（アレルギー入力）'!$A:$A,0)-1&amp;":AC"&amp;MATCH(BV15,'数出表_Excel（アレルギー入力）'!$A:$A,0)-1&amp;""),
 1,
MATCH(BR60,INDIRECT("'数出表_Excel（アレルギー入力）'!"&amp;BQ57&amp;BQ15-1&amp;":AC"&amp;BQ15-1&amp;""),0)+1),
 "")="",
IFERROR(
INDEX(INDIRECT("'数出表_Excel（アレルギー入力）'!B"&amp;MATCH(BV15,'数出表_Excel（アレルギー入力）'!$A:$A,0)-1&amp;":AC"&amp;MATCH(BV15,'数出表_Excel（アレルギー入力）'!$A:$A,0)-1&amp;""),
 1,
MATCH(TRUE,INDEX(INDIRECT("'数出表_Excel（アレルギー入力）'!B"&amp;BQ15-1&amp;":AC"&amp;BQ15-1&amp;"")&lt;&gt;"",0),0)+1),
 ""),
IFERROR(
INDEX(INDIRECT("'数出表_Excel（アレルギー入力）'!"&amp;BQ57&amp;MATCH(BV15,'数出表_Excel（アレルギー入力）'!$A:$A,0)-1&amp;":AC"&amp;MATCH(BV15,'数出表_Excel（アレルギー入力）'!$A:$A,0)-1&amp;""),
 1,
MATCH(BR60,INDIRECT("'数出表_Excel（アレルギー入力）'!"&amp;BQ57&amp;BQ15-1&amp;":AC"&amp;BQ15-1&amp;""),0)+1),
 "")),0),"")</f>
        <v/>
      </c>
      <c r="BV63" s="151"/>
      <c r="BX63" s="146">
        <f t="shared" si="4"/>
        <v>21</v>
      </c>
      <c r="BY63" s="132" t="str">
        <f t="array" aca="1" ref="BY63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LEN(SUBSTITUTE(_xlfn.FORMULATEXT(BY$51),"=","")))+$BX63)</f>
        <v/>
      </c>
      <c r="BZ63" s="132" t="str">
        <f t="array" aca="1" ref="BZ63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LEN(SUBSTITUTE(_xlfn.FORMULATEXT(BZ$51),"=","")))+$BX63)</f>
        <v/>
      </c>
      <c r="CA63" s="132" t="str">
        <f t="array" aca="1" ref="CA63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LEN(SUBSTITUTE(_xlfn.FORMULATEXT(CA$51),"=","")))+$BX63)</f>
        <v/>
      </c>
      <c r="CB63" s="132" t="str">
        <f t="array" aca="1" ref="CB63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LEN(SUBSTITUTE(_xlfn.FORMULATEXT(CB$51),"=","")))+$BX63)</f>
        <v/>
      </c>
      <c r="CC63" s="132" t="str">
        <f t="array" aca="1" ref="CC63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LEN(SUBSTITUTE(_xlfn.FORMULATEXT(CC$51),"=","")))+$BX63)</f>
        <v/>
      </c>
      <c r="CD63" s="132" t="str">
        <f t="array" aca="1" ref="CD63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LEN(SUBSTITUTE(_xlfn.FORMULATEXT(CD$51),"=","")))+$BX63)</f>
        <v/>
      </c>
      <c r="CE63" s="132" t="str">
        <f t="array" aca="1" ref="CE63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LEN(SUBSTITUTE(_xlfn.FORMULATEXT(CE$51),"=","")))+$BX63)</f>
        <v/>
      </c>
      <c r="CF63" s="132" t="str">
        <f t="array" aca="1" ref="CF63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LEN(SUBSTITUTE(_xlfn.FORMULATEXT(CF$51),"=","")))+$BX63)</f>
        <v/>
      </c>
      <c r="CG63" s="132" t="str">
        <f t="array" aca="1" ref="CG63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LEN(SUBSTITUTE(_xlfn.FORMULATEXT(CG$51),"=","")))+$BX63)</f>
        <v/>
      </c>
      <c r="CH63" s="132" t="str">
        <f t="array" aca="1" ref="CH63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LEN(SUBSTITUTE(_xlfn.FORMULATEXT(CH$51),"=","")))+$BX63)</f>
        <v/>
      </c>
      <c r="CI63" s="132">
        <f t="shared" ca="1" si="3"/>
        <v>0</v>
      </c>
      <c r="CJ63" s="132" t="b">
        <f t="array" aca="1" ref="CJ63" ca="1">SUMPRODUCT((LEN(BY63:CH63)&gt;0)*1)&gt;0</f>
        <v>0</v>
      </c>
      <c r="CK63" s="132" t="str" cm="1">
        <f t="array" aca="1" ref="CK63" ca="1">IFERROR(SMALL(IF(CI$1:CI$150&lt;&gt;0,CI$1:CI$150),ROW(A63)),"")</f>
        <v/>
      </c>
      <c r="CL63" s="132" t="str">
        <f t="array" aca="1" ref="CL63" ca="1">IF($CK63&lt;&gt;"",
INDIRECT(""&amp;IF(COLUMN(BY63)&lt;=26,CHAR(COLUMN(BY63)+64),CHAR(INT((COLUMN(BY63)-1)/26)+64)&amp;CHAR(MOD(COLUMN(BY63)-1,26)+65))&amp;$CK63&amp;""),"")</f>
        <v/>
      </c>
      <c r="CM63" s="132" t="str">
        <f t="array" aca="1" ref="CM63" ca="1">IF($CK63&lt;&gt;"",
INDIRECT(""&amp;IF(COLUMN(BZ63)&lt;=26,CHAR(COLUMN(BZ63)+64),CHAR(INT((COLUMN(BZ63)-1)/26)+64)&amp;CHAR(MOD(COLUMN(BZ63)-1,26)+65))&amp;$CK63&amp;""),"")</f>
        <v/>
      </c>
      <c r="CN63" s="132" t="str">
        <f t="array" aca="1" ref="CN63" ca="1">IF($CK63&lt;&gt;"",
INDIRECT(""&amp;IF(COLUMN(CA63)&lt;=26,CHAR(COLUMN(CA63)+64),CHAR(INT((COLUMN(CA63)-1)/26)+64)&amp;CHAR(MOD(COLUMN(CA63)-1,26)+65))&amp;$CK63&amp;""),"")</f>
        <v/>
      </c>
      <c r="CO63" s="132" t="str">
        <f t="array" aca="1" ref="CO63" ca="1">IF($CK63&lt;&gt;"",
INDIRECT(""&amp;IF(COLUMN(CB63)&lt;=26,CHAR(COLUMN(CB63)+64),CHAR(INT((COLUMN(CB63)-1)/26)+64)&amp;CHAR(MOD(COLUMN(CB63)-1,26)+65))&amp;$CK63&amp;""),"")</f>
        <v/>
      </c>
      <c r="CP63" s="132" t="str">
        <f t="array" aca="1" ref="CP63" ca="1">IF($CK63&lt;&gt;"",
INDIRECT(""&amp;IF(COLUMN(CC63)&lt;=26,CHAR(COLUMN(CC63)+64),CHAR(INT((COLUMN(CC63)-1)/26)+64)&amp;CHAR(MOD(COLUMN(CC63)-1,26)+65))&amp;$CK63&amp;""),"")</f>
        <v/>
      </c>
      <c r="CQ63" s="132" t="str">
        <f t="array" aca="1" ref="CQ63" ca="1">IF($CK63&lt;&gt;"",
INDIRECT(""&amp;IF(COLUMN(CD63)&lt;=26,CHAR(COLUMN(CD63)+64),CHAR(INT((COLUMN(CD63)-1)/26)+64)&amp;CHAR(MOD(COLUMN(CD63)-1,26)+65))&amp;$CK63&amp;""),"")</f>
        <v/>
      </c>
      <c r="CR63" s="132" t="str">
        <f t="array" aca="1" ref="CR63" ca="1">IF($CK63&lt;&gt;"",
INDIRECT(""&amp;IF(COLUMN(CE63)&lt;=26,CHAR(COLUMN(CE63)+64),CHAR(INT((COLUMN(CE63)-1)/26)+64)&amp;CHAR(MOD(COLUMN(CE63)-1,26)+65))&amp;$CK63&amp;""),"")</f>
        <v/>
      </c>
      <c r="CS63" s="132" t="str">
        <f t="array" aca="1" ref="CS63" ca="1">IF($CK63&lt;&gt;"",
INDIRECT(""&amp;IF(COLUMN(CF63)&lt;=26,CHAR(COLUMN(CF63)+64),CHAR(INT((COLUMN(CF63)-1)/26)+64)&amp;CHAR(MOD(COLUMN(CF63)-1,26)+65))&amp;$CK63&amp;""),"")</f>
        <v/>
      </c>
      <c r="CT63" s="132" t="str">
        <f t="array" aca="1" ref="CT63" ca="1">IF($CK63&lt;&gt;"",
INDIRECT(""&amp;IF(COLUMN(CG63)&lt;=26,CHAR(COLUMN(CG63)+64),CHAR(INT((COLUMN(CG63)-1)/26)+64)&amp;CHAR(MOD(COLUMN(CG63)-1,26)+65))&amp;$CK63&amp;""),"")</f>
        <v/>
      </c>
      <c r="CU63" s="132" t="str">
        <f t="array" aca="1" ref="CU63" ca="1">IF($CK63&lt;&gt;"",
INDIRECT(""&amp;IF(COLUMN(CH63)&lt;=26,CHAR(COLUMN(CH63)+64),CHAR(INT((COLUMN(CH63)-1)/26)+64)&amp;CHAR(MOD(COLUMN(CH63)-1,26)+65))&amp;$CK63&amp;""),"")</f>
        <v/>
      </c>
    </row>
    <row r="64" spans="1:99" s="132" customFormat="1" ht="18" customHeight="1" x14ac:dyDescent="0.55000000000000004">
      <c r="A64" s="129"/>
      <c r="B64" s="130" t="str">
        <f t="array" aca="1" ref="B64" ca="1">IF(COUNTIF(G22,"*合計*"),"",
IFERROR(
SUBSTITUTE(ADDRESS(1,
COLUMN(INDIRECT("数出表_Excel!B" &amp; (MATCH(G22,数出表_Excel!$A:$A,0)-1))) - 1 +
MATCH(TRUE, ISNUMBER(--INDIRECT("数出表_Excel!B" &amp; (MATCH(G22,数出表_Excel!$A:$A,0)-1) &amp; ":U" &amp; (MATCH(G22,数出表_Excel!$A:$A,0)-1))), 0)+1,4),"1",""),
""))</f>
        <v/>
      </c>
      <c r="C64" s="117" t="str">
        <f ca="1">IF(C67&lt;&gt;"",C22,"")</f>
        <v/>
      </c>
      <c r="D64" s="131"/>
      <c r="E64" s="131"/>
      <c r="F64" s="131"/>
      <c r="G64" s="157"/>
      <c r="H64" s="129"/>
      <c r="I64" s="130" t="str">
        <f t="array" aca="1" ref="I64" ca="1">IF(COUNTIF(N22,"*合計*"),"",
IFERROR(
SUBSTITUTE(ADDRESS(1,
COLUMN(INDIRECT("数出表_Excel!B" &amp; (MATCH(N22,数出表_Excel!$A:$A,0)-1))) - 1 +
MATCH(TRUE, ISNUMBER(--INDIRECT("数出表_Excel!B" &amp; (MATCH(N22,数出表_Excel!$A:$A,0)-1) &amp; ":U" &amp; (MATCH(N22,数出表_Excel!$A:$A,0)-1))), 0)+1,4),"1",""),
""))</f>
        <v/>
      </c>
      <c r="J64" s="117" t="str">
        <f ca="1">IF(J67&lt;&gt;"",J22,"")</f>
        <v/>
      </c>
      <c r="K64" s="131"/>
      <c r="L64" s="131"/>
      <c r="M64" s="131"/>
      <c r="N64" s="152"/>
      <c r="O64" s="129"/>
      <c r="P64" s="129"/>
      <c r="Q64" s="130" t="str">
        <f t="array" aca="1" ref="Q64" ca="1">IF(COUNTIF(V22,"*合計*"),"",
IFERROR(
SUBSTITUTE(ADDRESS(1,
COLUMN(INDIRECT("数出表_Excel!B" &amp; (MATCH(V22,数出表_Excel!$A:$A,0)-1))) - 1 +
MATCH(TRUE, ISNUMBER(--INDIRECT("数出表_Excel!B" &amp; (MATCH(V22,数出表_Excel!$A:$A,0)-1) &amp; ":U" &amp; (MATCH(V22,数出表_Excel!$A:$A,0)-1))), 0)+1,4),"1",""),
""))</f>
        <v/>
      </c>
      <c r="R64" s="117" t="str">
        <f ca="1">IF(R67&lt;&gt;"",R22,"")</f>
        <v/>
      </c>
      <c r="S64" s="131"/>
      <c r="T64" s="131"/>
      <c r="U64" s="131"/>
      <c r="V64" s="152"/>
      <c r="W64" s="129"/>
      <c r="X64" s="130" t="str">
        <f t="array" aca="1" ref="X64" ca="1">IF(COUNTIF(AC22,"*合計*"),"",
IFERROR(
SUBSTITUTE(ADDRESS(1,
COLUMN(INDIRECT("数出表_Excel!B" &amp; (MATCH(AC22,数出表_Excel!$A:$A,0)-1))) - 1 +
MATCH(TRUE, ISNUMBER(--INDIRECT("数出表_Excel!B" &amp; (MATCH(AC22,数出表_Excel!$A:$A,0)-1) &amp; ":U" &amp; (MATCH(AC22,数出表_Excel!$A:$A,0)-1))), 0)+1,4),"1",""),
""))</f>
        <v/>
      </c>
      <c r="Y64" s="117" t="str">
        <f ca="1">IF(Y67&lt;&gt;"",Y22,"")</f>
        <v/>
      </c>
      <c r="Z64" s="131"/>
      <c r="AA64" s="131"/>
      <c r="AB64" s="131"/>
      <c r="AC64" s="152"/>
      <c r="AD64" s="129"/>
      <c r="AE64" s="129"/>
      <c r="AF64" s="130" t="str">
        <f t="array" aca="1" ref="AF64" ca="1">IF(COUNTIF(AK22,"*合計*"),"",
IFERROR(
SUBSTITUTE(ADDRESS(1,
COLUMN(INDIRECT("数出表_Excel!B" &amp; (MATCH(AK22,数出表_Excel!$A:$A,0)-1))) - 1 +
MATCH(TRUE, ISNUMBER(--INDIRECT("数出表_Excel!B" &amp; (MATCH(AK22,数出表_Excel!$A:$A,0)-1) &amp; ":U" &amp; (MATCH(AK22,数出表_Excel!$A:$A,0)-1))), 0)+1,4),"1",""),
""))</f>
        <v/>
      </c>
      <c r="AG64" s="117" t="str">
        <f ca="1">IF(AG67&lt;&gt;"",AG22,"")</f>
        <v/>
      </c>
      <c r="AH64" s="131"/>
      <c r="AI64" s="131"/>
      <c r="AJ64" s="131"/>
      <c r="AK64" s="152"/>
      <c r="AL64" s="129"/>
      <c r="AM64" s="130" t="str">
        <f t="array" aca="1" ref="AM64" ca="1">IF(COUNTIF(AR22,"*合計*"),"",
IFERROR(
SUBSTITUTE(ADDRESS(1,
COLUMN(INDIRECT("数出表_Excel!B" &amp; (MATCH(AR22,数出表_Excel!$A:$A,0)-1))) - 1 +
MATCH(TRUE, ISNUMBER(--INDIRECT("数出表_Excel!B" &amp; (MATCH(AR22,数出表_Excel!$A:$A,0)-1) &amp; ":U" &amp; (MATCH(AR22,数出表_Excel!$A:$A,0)-1))), 0)+1,4),"1",""),
""))</f>
        <v/>
      </c>
      <c r="AN64" s="117" t="str">
        <f ca="1">IF(AN67&lt;&gt;"",AN22,"")</f>
        <v/>
      </c>
      <c r="AO64" s="131"/>
      <c r="AP64" s="131"/>
      <c r="AQ64" s="131"/>
      <c r="AR64" s="152"/>
      <c r="AS64" s="129"/>
      <c r="AT64" s="129"/>
      <c r="AU64" s="130" t="str">
        <f t="array" aca="1" ref="AU64" ca="1">IF(COUNTIF(AZ22,"*合計*"),"",
IFERROR(
SUBSTITUTE(ADDRESS(1,
COLUMN(INDIRECT("数出表_Excel!B" &amp; (MATCH(AZ22,数出表_Excel!$A:$A,0)-1))) - 1 +
MATCH(TRUE, ISNUMBER(--INDIRECT("数出表_Excel!B" &amp; (MATCH(AZ22,数出表_Excel!$A:$A,0)-1) &amp; ":U" &amp; (MATCH(AZ22,数出表_Excel!$A:$A,0)-1))), 0)+1,4),"1",""),
""))</f>
        <v/>
      </c>
      <c r="AV64" s="117" t="str">
        <f ca="1">IF(AV67&lt;&gt;"",AV22,"")</f>
        <v/>
      </c>
      <c r="AW64" s="131"/>
      <c r="AX64" s="131"/>
      <c r="AY64" s="131"/>
      <c r="AZ64" s="152"/>
      <c r="BA64" s="129"/>
      <c r="BB64" s="130" t="str">
        <f t="array" aca="1" ref="BB64" ca="1">IF(COUNTIF(BG22,"*合計*"),"",
IFERROR(
SUBSTITUTE(ADDRESS(1,
COLUMN(INDIRECT("数出表_Excel!B" &amp; (MATCH(BG22,数出表_Excel!$A:$A,0)-1))) - 1 +
MATCH(TRUE, ISNUMBER(--INDIRECT("数出表_Excel!B" &amp; (MATCH(BG22,数出表_Excel!$A:$A,0)-1) &amp; ":U" &amp; (MATCH(BG22,数出表_Excel!$A:$A,0)-1))), 0)+1,4),"1",""),
""))</f>
        <v/>
      </c>
      <c r="BC64" s="117" t="str">
        <f ca="1">IF(BC67&lt;&gt;"",BC22,"")</f>
        <v/>
      </c>
      <c r="BD64" s="131"/>
      <c r="BE64" s="131"/>
      <c r="BF64" s="131"/>
      <c r="BG64" s="152"/>
      <c r="BH64" s="129"/>
      <c r="BI64" s="129"/>
      <c r="BJ64" s="130" t="str">
        <f t="array" aca="1" ref="BJ64" ca="1">IF(COUNTIF(BO22,"*合計*"),"",
IFERROR(
SUBSTITUTE(ADDRESS(1,
COLUMN(INDIRECT("数出表_Excel!B" &amp; (MATCH(BO22,数出表_Excel!$A:$A,0)-1))) - 1 +
MATCH(TRUE, ISNUMBER(--INDIRECT("数出表_Excel!B" &amp; (MATCH(BO22,数出表_Excel!$A:$A,0)-1) &amp; ":U" &amp; (MATCH(BO22,数出表_Excel!$A:$A,0)-1))), 0)+1,4),"1",""),
""))</f>
        <v/>
      </c>
      <c r="BK64" s="117" t="str">
        <f ca="1">IF(BK67&lt;&gt;"",BK22,"")</f>
        <v/>
      </c>
      <c r="BL64" s="131"/>
      <c r="BM64" s="131"/>
      <c r="BN64" s="131"/>
      <c r="BO64" s="152"/>
      <c r="BP64" s="129"/>
      <c r="BQ64" s="130" t="str">
        <f t="array" aca="1" ref="BQ64" ca="1">IF(COUNTIF(BV22,"*合計*"),"",
IFERROR(
SUBSTITUTE(ADDRESS(1,
COLUMN(INDIRECT("数出表_Excel!B" &amp; (MATCH(BV22,数出表_Excel!$A:$A,0)-1))) - 1 +
MATCH(TRUE, ISNUMBER(--INDIRECT("数出表_Excel!B" &amp; (MATCH(BV22,数出表_Excel!$A:$A,0)-1) &amp; ":U" &amp; (MATCH(BV22,数出表_Excel!$A:$A,0)-1))), 0)+1,4),"1",""),
""))</f>
        <v/>
      </c>
      <c r="BR64" s="117" t="str">
        <f ca="1">IF(BR67&lt;&gt;"",BR22,"")</f>
        <v/>
      </c>
      <c r="BS64" s="131"/>
      <c r="BT64" s="131"/>
      <c r="BU64" s="131"/>
      <c r="BV64" s="152"/>
      <c r="BW64" s="129"/>
      <c r="BX64" s="132">
        <f t="shared" si="4"/>
        <v>63</v>
      </c>
      <c r="BY64" s="132" t="str">
        <f t="array" aca="1" ref="BY64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LEN(SUBSTITUTE(_xlfn.FORMULATEXT(BY$51),"=","")))+$BX64)</f>
        <v/>
      </c>
      <c r="BZ64" s="132" t="str">
        <f t="array" aca="1" ref="BZ64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LEN(SUBSTITUTE(_xlfn.FORMULATEXT(BZ$51),"=","")))+$BX64)</f>
        <v/>
      </c>
      <c r="CA64" s="132" t="str">
        <f t="array" aca="1" ref="CA64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LEN(SUBSTITUTE(_xlfn.FORMULATEXT(CA$51),"=","")))+$BX64)</f>
        <v/>
      </c>
      <c r="CB64" s="132" t="str">
        <f t="array" aca="1" ref="CB64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LEN(SUBSTITUTE(_xlfn.FORMULATEXT(CB$51),"=","")))+$BX64)</f>
        <v/>
      </c>
      <c r="CC64" s="132" t="str">
        <f t="array" aca="1" ref="CC64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LEN(SUBSTITUTE(_xlfn.FORMULATEXT(CC$51),"=","")))+$BX64)</f>
        <v/>
      </c>
      <c r="CD64" s="132" t="str">
        <f t="array" aca="1" ref="CD64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LEN(SUBSTITUTE(_xlfn.FORMULATEXT(CD$51),"=","")))+$BX64)</f>
        <v/>
      </c>
      <c r="CE64" s="132" t="str">
        <f t="array" aca="1" ref="CE64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LEN(SUBSTITUTE(_xlfn.FORMULATEXT(CE$51),"=","")))+$BX64)</f>
        <v/>
      </c>
      <c r="CF64" s="132" t="str">
        <f t="array" aca="1" ref="CF64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LEN(SUBSTITUTE(_xlfn.FORMULATEXT(CF$51),"=","")))+$BX64)</f>
        <v/>
      </c>
      <c r="CG64" s="132" t="str">
        <f t="array" aca="1" ref="CG64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LEN(SUBSTITUTE(_xlfn.FORMULATEXT(CG$51),"=","")))+$BX64)</f>
        <v/>
      </c>
      <c r="CH64" s="132" t="str">
        <f t="array" aca="1" ref="CH64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LEN(SUBSTITUTE(_xlfn.FORMULATEXT(CH$51),"=","")))+$BX64)</f>
        <v/>
      </c>
      <c r="CI64" s="132">
        <f t="shared" ca="1" si="3"/>
        <v>0</v>
      </c>
      <c r="CJ64" s="132" t="b">
        <f t="array" aca="1" ref="CJ64" ca="1">SUMPRODUCT((LEN(BY64:CH64)&gt;0)*1)&gt;0</f>
        <v>0</v>
      </c>
      <c r="CK64" s="132" t="str" cm="1">
        <f t="array" aca="1" ref="CK64" ca="1">IFERROR(SMALL(IF(CI$1:CI$150&lt;&gt;0,CI$1:CI$150),ROW(A64)),"")</f>
        <v/>
      </c>
      <c r="CL64" s="132" t="str">
        <f t="array" aca="1" ref="CL64" ca="1">IF($CK64&lt;&gt;"",
INDIRECT(""&amp;IF(COLUMN(BY64)&lt;=26,CHAR(COLUMN(BY64)+64),CHAR(INT((COLUMN(BY64)-1)/26)+64)&amp;CHAR(MOD(COLUMN(BY64)-1,26)+65))&amp;$CK64&amp;""),"")</f>
        <v/>
      </c>
      <c r="CM64" s="132" t="str">
        <f t="array" aca="1" ref="CM64" ca="1">IF($CK64&lt;&gt;"",
INDIRECT(""&amp;IF(COLUMN(BZ64)&lt;=26,CHAR(COLUMN(BZ64)+64),CHAR(INT((COLUMN(BZ64)-1)/26)+64)&amp;CHAR(MOD(COLUMN(BZ64)-1,26)+65))&amp;$CK64&amp;""),"")</f>
        <v/>
      </c>
      <c r="CN64" s="132" t="str">
        <f t="array" aca="1" ref="CN64" ca="1">IF($CK64&lt;&gt;"",
INDIRECT(""&amp;IF(COLUMN(CA64)&lt;=26,CHAR(COLUMN(CA64)+64),CHAR(INT((COLUMN(CA64)-1)/26)+64)&amp;CHAR(MOD(COLUMN(CA64)-1,26)+65))&amp;$CK64&amp;""),"")</f>
        <v/>
      </c>
      <c r="CO64" s="132" t="str">
        <f t="array" aca="1" ref="CO64" ca="1">IF($CK64&lt;&gt;"",
INDIRECT(""&amp;IF(COLUMN(CB64)&lt;=26,CHAR(COLUMN(CB64)+64),CHAR(INT((COLUMN(CB64)-1)/26)+64)&amp;CHAR(MOD(COLUMN(CB64)-1,26)+65))&amp;$CK64&amp;""),"")</f>
        <v/>
      </c>
      <c r="CP64" s="132" t="str">
        <f t="array" aca="1" ref="CP64" ca="1">IF($CK64&lt;&gt;"",
INDIRECT(""&amp;IF(COLUMN(CC64)&lt;=26,CHAR(COLUMN(CC64)+64),CHAR(INT((COLUMN(CC64)-1)/26)+64)&amp;CHAR(MOD(COLUMN(CC64)-1,26)+65))&amp;$CK64&amp;""),"")</f>
        <v/>
      </c>
      <c r="CQ64" s="132" t="str">
        <f t="array" aca="1" ref="CQ64" ca="1">IF($CK64&lt;&gt;"",
INDIRECT(""&amp;IF(COLUMN(CD64)&lt;=26,CHAR(COLUMN(CD64)+64),CHAR(INT((COLUMN(CD64)-1)/26)+64)&amp;CHAR(MOD(COLUMN(CD64)-1,26)+65))&amp;$CK64&amp;""),"")</f>
        <v/>
      </c>
      <c r="CR64" s="132" t="str">
        <f t="array" aca="1" ref="CR64" ca="1">IF($CK64&lt;&gt;"",
INDIRECT(""&amp;IF(COLUMN(CE64)&lt;=26,CHAR(COLUMN(CE64)+64),CHAR(INT((COLUMN(CE64)-1)/26)+64)&amp;CHAR(MOD(COLUMN(CE64)-1,26)+65))&amp;$CK64&amp;""),"")</f>
        <v/>
      </c>
      <c r="CS64" s="132" t="str">
        <f t="array" aca="1" ref="CS64" ca="1">IF($CK64&lt;&gt;"",
INDIRECT(""&amp;IF(COLUMN(CF64)&lt;=26,CHAR(COLUMN(CF64)+64),CHAR(INT((COLUMN(CF64)-1)/26)+64)&amp;CHAR(MOD(COLUMN(CF64)-1,26)+65))&amp;$CK64&amp;""),"")</f>
        <v/>
      </c>
      <c r="CT64" s="132" t="str">
        <f t="array" aca="1" ref="CT64" ca="1">IF($CK64&lt;&gt;"",
INDIRECT(""&amp;IF(COLUMN(CG64)&lt;=26,CHAR(COLUMN(CG64)+64),CHAR(INT((COLUMN(CG64)-1)/26)+64)&amp;CHAR(MOD(COLUMN(CG64)-1,26)+65))&amp;$CK64&amp;""),"")</f>
        <v/>
      </c>
      <c r="CU64" s="132" t="str">
        <f t="array" aca="1" ref="CU64" ca="1">IF($CK64&lt;&gt;"",
INDIRECT(""&amp;IF(COLUMN(CH64)&lt;=26,CHAR(COLUMN(CH64)+64),CHAR(INT((COLUMN(CH64)-1)/26)+64)&amp;CHAR(MOD(COLUMN(CH64)-1,26)+65))&amp;$CK64&amp;""),"")</f>
        <v/>
      </c>
    </row>
    <row r="65" spans="1:99" s="132" customFormat="1" ht="18" customHeight="1" x14ac:dyDescent="0.55000000000000004">
      <c r="A65" s="129"/>
      <c r="B65" s="135" t="e">
        <f t="array" aca="1" ref="B65" ca="1">IF(B24&lt;&gt;100,
IF(C67&lt;&gt;"",MATCH(C67,INDIRECT("数出表_Excel!B"&amp;MATCH(G22,数出表_Excel!$A:$A,0)-1&amp;":U"&amp;MATCH(G22,数出表_Excel!$A:$A,0)-1&amp;""),0)+1,""),
IF(C67&lt;&gt;"",
MATCH(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INDIRECT("数出表_Excel!B"&amp;MATCH(G22,数出表_Excel!$A:$A,0)-1&amp;":U"&amp;MATCH(G22,数出表_Excel!$A:$A,0)-1&amp;""),0)+1,""))</f>
        <v>#VALUE!</v>
      </c>
      <c r="C65" s="70" t="str">
        <f t="array" aca="1" ref="C65" ca="1">IFERROR(IF(OR(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"3"),"*配膳*"),
COUNTIF(INDIRECT("数出表_Excel!"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"3"),"*カレー*"),
COUNTIF(C22,"*合計*")),"",
IF(IFERROR(INDIRECT("数出表_Excel!"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"3"),0)=0,"",
IFERROR(INDIRECT("数出表_Excel!" &amp;
CHAR(MATCH(TRUE,
ISNUMBER(--INDIRECT("数出表_Excel!"&amp;B64&amp;MATCH(G22,数出表_Excel!$A:$A,0)-1&amp;":U"&amp;MATCH(G22,数出表_Excel!$A:$A,0)-1&amp;"")),0)
+MATCH(TRUE, ISNUMBER(--INDIRECT("数出表_Excel!B" &amp; (MATCH(G22,数出表_Excel!$A:$A,0)-1) &amp; ":U" &amp; (MATCH(G22,数出表_Excel!$A:$A,0)-1))), 0)
+65) &amp; "3"),""))),"")</f>
        <v/>
      </c>
      <c r="D65" s="129"/>
      <c r="E65" s="136" t="str">
        <f ca="1">IF(F65&lt;&gt;"","",
IF(C64&lt;&gt;"",
IFERROR(
INDEX('数出表_Excel（アレルギー入力）'!$4:$4,
 1,
MATCH(C67,INDIRECT("'数出表_Excel（アレルギー入力）'!"&amp;B22-1&amp;":"&amp;B22-1&amp;""),0)),
 "")
&amp;IFERROR(
INDEX('数出表_Excel（アレルギー入力）'!$5:$5,
 1,
MATCH(C67,INDIRECT("'数出表_Excel（アレルギー入力）'!"&amp;B22-1&amp;":"&amp;B22-1&amp;""),0)),
 ""),""))</f>
        <v/>
      </c>
      <c r="F65" s="137" t="str">
        <f t="array" aca="1" ref="F65" ca="1">IF(C65&lt;&gt;"",
IF(MATCH(TRUE,
ISNUMBER(--INDIRECT("数出表_Excel!B"&amp;MATCH(G22,数出表_Excel!$A:$A,0)-1&amp;":U"&amp;MATCH(G22,数出表_Excel!$A:$A,0)-1&amp;"")),0)&gt;10,
IF(C65&lt;&gt;"",
IF(IF(COUNTIF('盛付札（関数）'!C65,"*キャラ*"),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VLOOKUP('盛付札（関数）'!C65,商品マスタ一覧!$D:$J,7,FALSE)))=0,"",
IF(ROUND(
IF(F70&lt;&gt;"",(C67-F70),C67)
/IF(COUNTIF('盛付札（関数）'!C65,"*キャラ*"),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VLOOKUP('盛付札（関数）'!C65,商品マスタ一覧!$D:$J,7,FALSE))),0)&lt;=0,1,
ROUND(
IF(F70&lt;&gt;"",(C67-F70),C67)
/IF(COUNTIF('盛付札（関数）'!C65,"*キャラ*"),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VLOOKUP('盛付札（関数）'!C65,商品マスタ一覧!$D:$J,7,FALSE))),0))),""),""),"")</f>
        <v/>
      </c>
      <c r="G65" s="158" t="str">
        <f ca="1">IF(F65&lt;&gt;"",IF(C67&lt;&gt;"",IF(VALUE(IF(F70&lt;&gt;"",C67-F70,C67))&gt;VALUE(IF(COUNTIF('盛付札（関数）'!C65,"*キャラ*"),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
"+"&amp;IF(F70&lt;&gt;"",C67-F70,C67)-IF(COUNTIF('盛付札（関数）'!C65,"*キャラ*"),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VLOOKUP('盛付札（関数）'!C65,商品マスタ一覧!$D:$J,7,FALSE)))*F65,
IF(F70&lt;&gt;"",C67-F70,C67)-IF(COUNTIF('盛付札（関数）'!C65,"*キャラ*"),
VLOOKUP("*キャラ*",商品マスタ一覧!$D:$J,7,FALSE),
IF(COUNTIF('盛付札（関数）'!C65,"*赤*"),
VLOOKUP("*赤*",商品マスタ一覧!$D:$J,7,FALSE),
VLOOKUP('盛付札（関数）'!C65,商品マスタ一覧!$D:$J,7,FALSE)))*F65),""),"")</f>
        <v/>
      </c>
      <c r="H65" s="129"/>
      <c r="I65" s="135" t="e">
        <f t="array" aca="1" ref="I65" ca="1">IF(I24&lt;&gt;100,
IF(J67&lt;&gt;"",MATCH(J67,INDIRECT("数出表_Excel!B"&amp;MATCH(N22,数出表_Excel!$A:$A,0)-1&amp;":U"&amp;MATCH(N22,数出表_Excel!$A:$A,0)-1&amp;""),0)+1,""),
IF(J67&lt;&gt;"",
MATCH(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INDIRECT("数出表_Excel!B"&amp;MATCH(N22,数出表_Excel!$A:$A,0)-1&amp;":U"&amp;MATCH(N22,数出表_Excel!$A:$A,0)-1&amp;""),0)+1,""))</f>
        <v>#VALUE!</v>
      </c>
      <c r="J65" s="70" t="str">
        <f t="array" aca="1" ref="J65" ca="1">IFERROR(IF(OR(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"3"),"*配膳*"),
COUNTIF(INDIRECT("数出表_Excel!"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"3"),"*カレー*"),
COUNTIF(J22,"*合計*")),"",
IF(IFERROR(INDIRECT("数出表_Excel!"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"3"),0)=0,"",
IFERROR(INDIRECT("数出表_Excel!" &amp;
CHAR(MATCH(TRUE,
ISNUMBER(--INDIRECT("数出表_Excel!"&amp;I64&amp;MATCH(N22,数出表_Excel!$A:$A,0)-1&amp;":U"&amp;MATCH(N22,数出表_Excel!$A:$A,0)-1&amp;"")),0)
+MATCH(TRUE, ISNUMBER(--INDIRECT("数出表_Excel!B" &amp; (MATCH(N22,数出表_Excel!$A:$A,0)-1) &amp; ":U" &amp; (MATCH(N22,数出表_Excel!$A:$A,0)-1))), 0)
+65) &amp; "3"),""))),"")</f>
        <v/>
      </c>
      <c r="K65" s="129"/>
      <c r="L65" s="136" t="str">
        <f ca="1">IF(M65&lt;&gt;"","",
IF(J64&lt;&gt;"",
IFERROR(
INDEX('数出表_Excel（アレルギー入力）'!$4:$4,
 1,
MATCH(J67,INDIRECT("'数出表_Excel（アレルギー入力）'!"&amp;I22-1&amp;":"&amp;I22-1&amp;""),0)),
 "")
&amp;IFERROR(
INDEX('数出表_Excel（アレルギー入力）'!$5:$5,
 1,
MATCH(J67,INDIRECT("'数出表_Excel（アレルギー入力）'!"&amp;I22-1&amp;":"&amp;I22-1&amp;""),0)),
 ""),""))</f>
        <v/>
      </c>
      <c r="M65" s="137" t="str">
        <f t="array" aca="1" ref="M65" ca="1">IF(J65&lt;&gt;"",
IF(MATCH(TRUE,
ISNUMBER(--INDIRECT("数出表_Excel!B"&amp;MATCH(N22,数出表_Excel!$A:$A,0)-1&amp;":U"&amp;MATCH(N22,数出表_Excel!$A:$A,0)-1&amp;"")),0)&gt;10,
IF(J65&lt;&gt;"",
IF(IF(COUNTIF('盛付札（関数）'!J65,"*キャラ*"),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VLOOKUP('盛付札（関数）'!J65,商品マスタ一覧!$D:$J,7,FALSE)))=0,"",
IF(ROUND(
IF(M70&lt;&gt;"",(J67-M70),J67)
/IF(COUNTIF('盛付札（関数）'!J65,"*キャラ*"),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VLOOKUP('盛付札（関数）'!J65,商品マスタ一覧!$D:$J,7,FALSE))),0)&lt;=0,1,
ROUND(
IF(M70&lt;&gt;"",(J67-M70),J67)
/IF(COUNTIF('盛付札（関数）'!J65,"*キャラ*"),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VLOOKUP('盛付札（関数）'!J65,商品マスタ一覧!$D:$J,7,FALSE))),0))),""),""),"")</f>
        <v/>
      </c>
      <c r="N65" s="153" t="str">
        <f ca="1">IF(M65&lt;&gt;"",IF(J67&lt;&gt;"",IF(VALUE(IF(M70&lt;&gt;"",J67-M70,J67))&gt;VALUE(IF(COUNTIF('盛付札（関数）'!J65,"*キャラ*"),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
"+"&amp;IF(M70&lt;&gt;"",J67-M70,J67)-IF(COUNTIF('盛付札（関数）'!J65,"*キャラ*"),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VLOOKUP('盛付札（関数）'!J65,商品マスタ一覧!$D:$J,7,FALSE)))*M65,
IF(M70&lt;&gt;"",J67-M70,J67)-IF(COUNTIF('盛付札（関数）'!J65,"*キャラ*"),
VLOOKUP("*キャラ*",商品マスタ一覧!$D:$J,7,FALSE),
IF(COUNTIF('盛付札（関数）'!J65,"*赤*"),
VLOOKUP("*赤*",商品マスタ一覧!$D:$J,7,FALSE),
VLOOKUP('盛付札（関数）'!J65,商品マスタ一覧!$D:$J,7,FALSE)))*M65),""),"")</f>
        <v/>
      </c>
      <c r="O65" s="129"/>
      <c r="P65" s="129"/>
      <c r="Q65" s="135" t="e">
        <f t="array" aca="1" ref="Q65" ca="1">IF(Q24&lt;&gt;100,
IF(R67&lt;&gt;"",MATCH(R67,INDIRECT("数出表_Excel!B"&amp;MATCH(V22,数出表_Excel!$A:$A,0)-1&amp;":U"&amp;MATCH(V22,数出表_Excel!$A:$A,0)-1&amp;""),0)+1,""),
IF(R67&lt;&gt;"",
MATCH(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INDIRECT("数出表_Excel!B"&amp;MATCH(V22,数出表_Excel!$A:$A,0)-1&amp;":U"&amp;MATCH(V22,数出表_Excel!$A:$A,0)-1&amp;""),0)+1,""))</f>
        <v>#VALUE!</v>
      </c>
      <c r="R65" s="70" t="str">
        <f t="array" aca="1" ref="R65" ca="1">IFERROR(IF(OR(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"3"),"*配膳*"),
COUNTIF(INDIRECT("数出表_Excel!"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"3"),"*カレー*"),
COUNTIF(R22,"*合計*")),"",
IF(IFERROR(INDIRECT("数出表_Excel!"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"3"),0)=0,"",
IFERROR(INDIRECT("数出表_Excel!" &amp;
CHAR(MATCH(TRUE,
ISNUMBER(--INDIRECT("数出表_Excel!"&amp;Q64&amp;MATCH(V22,数出表_Excel!$A:$A,0)-1&amp;":U"&amp;MATCH(V22,数出表_Excel!$A:$A,0)-1&amp;"")),0)
+MATCH(TRUE, ISNUMBER(--INDIRECT("数出表_Excel!B" &amp; (MATCH(V22,数出表_Excel!$A:$A,0)-1) &amp; ":U" &amp; (MATCH(V22,数出表_Excel!$A:$A,0)-1))), 0)
+65) &amp; "3"),""))),"")</f>
        <v/>
      </c>
      <c r="S65" s="129"/>
      <c r="T65" s="136" t="str">
        <f ca="1">IF(U65&lt;&gt;"","",
IF(R64&lt;&gt;"",
IFERROR(
INDEX('数出表_Excel（アレルギー入力）'!$4:$4,
 1,
MATCH(R67,INDIRECT("'数出表_Excel（アレルギー入力）'!"&amp;Q22-1&amp;":"&amp;Q22-1&amp;""),0)),
 "")
&amp;IFERROR(
INDEX('数出表_Excel（アレルギー入力）'!$5:$5,
 1,
MATCH(R67,INDIRECT("'数出表_Excel（アレルギー入力）'!"&amp;Q22-1&amp;":"&amp;Q22-1&amp;""),0)),
 ""),""))</f>
        <v/>
      </c>
      <c r="U65" s="137" t="str">
        <f t="array" aca="1" ref="U65" ca="1">IF(R65&lt;&gt;"",
IF(MATCH(TRUE,
ISNUMBER(--INDIRECT("数出表_Excel!B"&amp;MATCH(V22,数出表_Excel!$A:$A,0)-1&amp;":U"&amp;MATCH(V22,数出表_Excel!$A:$A,0)-1&amp;"")),0)&gt;10,
IF(R65&lt;&gt;"",
IF(IF(COUNTIF('盛付札（関数）'!R65,"*キャラ*"),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VLOOKUP('盛付札（関数）'!R65,商品マスタ一覧!$D:$J,7,FALSE)))=0,"",
IF(ROUND(
IF(U70&lt;&gt;"",(R67-U70),R67)
/IF(COUNTIF('盛付札（関数）'!R65,"*キャラ*"),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VLOOKUP('盛付札（関数）'!R65,商品マスタ一覧!$D:$J,7,FALSE))),0)&lt;=0,1,
ROUND(
IF(U70&lt;&gt;"",(R67-U70),R67)
/IF(COUNTIF('盛付札（関数）'!R65,"*キャラ*"),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VLOOKUP('盛付札（関数）'!R65,商品マスタ一覧!$D:$J,7,FALSE))),0))),""),""),"")</f>
        <v/>
      </c>
      <c r="V65" s="153" t="str">
        <f ca="1">IF(U65&lt;&gt;"",IF(R67&lt;&gt;"",IF(VALUE(IF(U70&lt;&gt;"",R67-U70,R67))&gt;VALUE(IF(COUNTIF('盛付札（関数）'!R65,"*キャラ*"),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
"+"&amp;IF(U70&lt;&gt;"",R67-U70,R67)-IF(COUNTIF('盛付札（関数）'!R65,"*キャラ*"),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VLOOKUP('盛付札（関数）'!R65,商品マスタ一覧!$D:$J,7,FALSE)))*U65,
IF(U70&lt;&gt;"",R67-U70,R67)-IF(COUNTIF('盛付札（関数）'!R65,"*キャラ*"),
VLOOKUP("*キャラ*",商品マスタ一覧!$D:$J,7,FALSE),
IF(COUNTIF('盛付札（関数）'!R65,"*赤*"),
VLOOKUP("*赤*",商品マスタ一覧!$D:$J,7,FALSE),
VLOOKUP('盛付札（関数）'!R65,商品マスタ一覧!$D:$J,7,FALSE)))*U65),""),"")</f>
        <v/>
      </c>
      <c r="W65" s="129"/>
      <c r="X65" s="135" t="e">
        <f t="array" aca="1" ref="X65" ca="1">IF(X24&lt;&gt;100,
IF(Y67&lt;&gt;"",MATCH(Y67,INDIRECT("数出表_Excel!B"&amp;MATCH(AC22,数出表_Excel!$A:$A,0)-1&amp;":U"&amp;MATCH(AC22,数出表_Excel!$A:$A,0)-1&amp;""),0)+1,""),
IF(Y67&lt;&gt;"",
MATCH(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INDIRECT("数出表_Excel!B"&amp;MATCH(AC22,数出表_Excel!$A:$A,0)-1&amp;":U"&amp;MATCH(AC22,数出表_Excel!$A:$A,0)-1&amp;""),0)+1,""))</f>
        <v>#VALUE!</v>
      </c>
      <c r="Y65" s="70" t="str">
        <f t="array" aca="1" ref="Y65" ca="1">IFERROR(IF(OR(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"3"),"*配膳*"),
COUNTIF(INDIRECT("数出表_Excel!"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"3"),"*カレー*"),
COUNTIF(Y22,"*合計*")),"",
IF(IFERROR(INDIRECT("数出表_Excel!"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"3"),0)=0,"",
IFERROR(INDIRECT("数出表_Excel!" &amp;
CHAR(MATCH(TRUE,
ISNUMBER(--INDIRECT("数出表_Excel!"&amp;X64&amp;MATCH(AC22,数出表_Excel!$A:$A,0)-1&amp;":U"&amp;MATCH(AC22,数出表_Excel!$A:$A,0)-1&amp;"")),0)
+MATCH(TRUE, ISNUMBER(--INDIRECT("数出表_Excel!B" &amp; (MATCH(AC22,数出表_Excel!$A:$A,0)-1) &amp; ":U" &amp; (MATCH(AC22,数出表_Excel!$A:$A,0)-1))), 0)
+65) &amp; "3"),""))),"")</f>
        <v/>
      </c>
      <c r="Z65" s="129"/>
      <c r="AA65" s="136" t="str">
        <f ca="1">IF(AB65&lt;&gt;"","",
IF(Y64&lt;&gt;"",
IFERROR(
INDEX('数出表_Excel（アレルギー入力）'!$4:$4,
 1,
MATCH(Y67,INDIRECT("'数出表_Excel（アレルギー入力）'!"&amp;X22-1&amp;":"&amp;X22-1&amp;""),0)),
 "")
&amp;IFERROR(
INDEX('数出表_Excel（アレルギー入力）'!$5:$5,
 1,
MATCH(Y67,INDIRECT("'数出表_Excel（アレルギー入力）'!"&amp;X22-1&amp;":"&amp;X22-1&amp;""),0)),
 ""),""))</f>
        <v/>
      </c>
      <c r="AB65" s="137" t="str">
        <f t="array" aca="1" ref="AB65" ca="1">IF(Y65&lt;&gt;"",
IF(MATCH(TRUE,
ISNUMBER(--INDIRECT("数出表_Excel!B"&amp;MATCH(AC22,数出表_Excel!$A:$A,0)-1&amp;":U"&amp;MATCH(AC22,数出表_Excel!$A:$A,0)-1&amp;"")),0)&gt;10,
IF(Y65&lt;&gt;"",
IF(IF(COUNTIF('盛付札（関数）'!Y65,"*キャラ*"),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VLOOKUP('盛付札（関数）'!Y65,商品マスタ一覧!$D:$J,7,FALSE)))=0,"",
IF(ROUND(
IF(AB70&lt;&gt;"",(Y67-AB70),Y67)
/IF(COUNTIF('盛付札（関数）'!Y65,"*キャラ*"),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VLOOKUP('盛付札（関数）'!Y65,商品マスタ一覧!$D:$J,7,FALSE))),0)&lt;=0,1,
ROUND(
IF(AB70&lt;&gt;"",(Y67-AB70),Y67)
/IF(COUNTIF('盛付札（関数）'!Y65,"*キャラ*"),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VLOOKUP('盛付札（関数）'!Y65,商品マスタ一覧!$D:$J,7,FALSE))),0))),""),""),"")</f>
        <v/>
      </c>
      <c r="AC65" s="153" t="str">
        <f ca="1">IF(AB65&lt;&gt;"",IF(Y67&lt;&gt;"",IF(VALUE(IF(AB70&lt;&gt;"",Y67-AB70,Y67))&gt;VALUE(IF(COUNTIF('盛付札（関数）'!Y65,"*キャラ*"),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
"+"&amp;IF(AB70&lt;&gt;"",Y67-AB70,Y67)-IF(COUNTIF('盛付札（関数）'!Y65,"*キャラ*"),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VLOOKUP('盛付札（関数）'!Y65,商品マスタ一覧!$D:$J,7,FALSE)))*AB65,
IF(AB70&lt;&gt;"",Y67-AB70,Y67)-IF(COUNTIF('盛付札（関数）'!Y65,"*キャラ*"),
VLOOKUP("*キャラ*",商品マスタ一覧!$D:$J,7,FALSE),
IF(COUNTIF('盛付札（関数）'!Y65,"*赤*"),
VLOOKUP("*赤*",商品マスタ一覧!$D:$J,7,FALSE),
VLOOKUP('盛付札（関数）'!Y65,商品マスタ一覧!$D:$J,7,FALSE)))*AB65),""),"")</f>
        <v/>
      </c>
      <c r="AD65" s="129"/>
      <c r="AE65" s="129"/>
      <c r="AF65" s="135" t="e">
        <f t="array" aca="1" ref="AF65" ca="1">IF(AF24&lt;&gt;100,
IF(AG67&lt;&gt;"",MATCH(AG67,INDIRECT("数出表_Excel!B"&amp;MATCH(AK22,数出表_Excel!$A:$A,0)-1&amp;":U"&amp;MATCH(AK22,数出表_Excel!$A:$A,0)-1&amp;""),0)+1,""),
IF(AG67&lt;&gt;"",
MATCH(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INDIRECT("数出表_Excel!B"&amp;MATCH(AK22,数出表_Excel!$A:$A,0)-1&amp;":U"&amp;MATCH(AK22,数出表_Excel!$A:$A,0)-1&amp;""),0)+1,""))</f>
        <v>#VALUE!</v>
      </c>
      <c r="AG65" s="70" t="str">
        <f t="array" aca="1" ref="AG65" ca="1">IFERROR(IF(OR(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"3"),"*配膳*"),
COUNTIF(INDIRECT("数出表_Excel!"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"3"),"*カレー*"),
COUNTIF(AG22,"*合計*")),"",
IF(IFERROR(INDIRECT("数出表_Excel!"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"3"),0)=0,"",
IFERROR(INDIRECT("数出表_Excel!" &amp;
CHAR(MATCH(TRUE,
ISNUMBER(--INDIRECT("数出表_Excel!"&amp;AF64&amp;MATCH(AK22,数出表_Excel!$A:$A,0)-1&amp;":U"&amp;MATCH(AK22,数出表_Excel!$A:$A,0)-1&amp;"")),0)
+MATCH(TRUE, ISNUMBER(--INDIRECT("数出表_Excel!B" &amp; (MATCH(AK22,数出表_Excel!$A:$A,0)-1) &amp; ":U" &amp; (MATCH(AK22,数出表_Excel!$A:$A,0)-1))), 0)
+65) &amp; "3"),""))),"")</f>
        <v/>
      </c>
      <c r="AH65" s="129"/>
      <c r="AI65" s="136" t="str">
        <f ca="1">IF(AJ65&lt;&gt;"","",
IF(AG64&lt;&gt;"",
IFERROR(
INDEX('数出表_Excel（アレルギー入力）'!$4:$4,
 1,
MATCH(AG67,INDIRECT("'数出表_Excel（アレルギー入力）'!"&amp;AF22-1&amp;":"&amp;AF22-1&amp;""),0)),
 "")
&amp;IFERROR(
INDEX('数出表_Excel（アレルギー入力）'!$5:$5,
 1,
MATCH(AG67,INDIRECT("'数出表_Excel（アレルギー入力）'!"&amp;AF22-1&amp;":"&amp;AF22-1&amp;""),0)),
 ""),""))</f>
        <v/>
      </c>
      <c r="AJ65" s="137" t="str">
        <f t="array" aca="1" ref="AJ65" ca="1">IF(AG65&lt;&gt;"",
IF(MATCH(TRUE,
ISNUMBER(--INDIRECT("数出表_Excel!B"&amp;MATCH(AK22,数出表_Excel!$A:$A,0)-1&amp;":U"&amp;MATCH(AK22,数出表_Excel!$A:$A,0)-1&amp;"")),0)&gt;10,
IF(AG65&lt;&gt;"",
IF(IF(COUNTIF('盛付札（関数）'!AG65,"*キャラ*"),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VLOOKUP('盛付札（関数）'!AG65,商品マスタ一覧!$D:$J,7,FALSE)))=0,"",
IF(ROUND(
IF(AJ70&lt;&gt;"",(AG67-AJ70),AG67)
/IF(COUNTIF('盛付札（関数）'!AG65,"*キャラ*"),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VLOOKUP('盛付札（関数）'!AG65,商品マスタ一覧!$D:$J,7,FALSE))),0)&lt;=0,1,
ROUND(
IF(AJ70&lt;&gt;"",(AG67-AJ70),AG67)
/IF(COUNTIF('盛付札（関数）'!AG65,"*キャラ*"),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VLOOKUP('盛付札（関数）'!AG65,商品マスタ一覧!$D:$J,7,FALSE))),0))),""),""),"")</f>
        <v/>
      </c>
      <c r="AK65" s="153" t="str">
        <f ca="1">IF(AJ65&lt;&gt;"",IF(AG67&lt;&gt;"",IF(VALUE(IF(AJ70&lt;&gt;"",AG67-AJ70,AG67))&gt;VALUE(IF(COUNTIF('盛付札（関数）'!AG65,"*キャラ*"),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
"+"&amp;IF(AJ70&lt;&gt;"",AG67-AJ70,AG67)-IF(COUNTIF('盛付札（関数）'!AG65,"*キャラ*"),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VLOOKUP('盛付札（関数）'!AG65,商品マスタ一覧!$D:$J,7,FALSE)))*AJ65,
IF(AJ70&lt;&gt;"",AG67-AJ70,AG67)-IF(COUNTIF('盛付札（関数）'!AG65,"*キャラ*"),
VLOOKUP("*キャラ*",商品マスタ一覧!$D:$J,7,FALSE),
IF(COUNTIF('盛付札（関数）'!AG65,"*赤*"),
VLOOKUP("*赤*",商品マスタ一覧!$D:$J,7,FALSE),
VLOOKUP('盛付札（関数）'!AG65,商品マスタ一覧!$D:$J,7,FALSE)))*AJ65),""),"")</f>
        <v/>
      </c>
      <c r="AL65" s="129"/>
      <c r="AM65" s="135" t="e">
        <f t="array" aca="1" ref="AM65" ca="1">IF(AM24&lt;&gt;100,
IF(AN67&lt;&gt;"",MATCH(AN67,INDIRECT("数出表_Excel!B"&amp;MATCH(AR22,数出表_Excel!$A:$A,0)-1&amp;":U"&amp;MATCH(AR22,数出表_Excel!$A:$A,0)-1&amp;""),0)+1,""),
IF(AN67&lt;&gt;"",
MATCH(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INDIRECT("数出表_Excel!B"&amp;MATCH(AR22,数出表_Excel!$A:$A,0)-1&amp;":U"&amp;MATCH(AR22,数出表_Excel!$A:$A,0)-1&amp;""),0)+1,""))</f>
        <v>#VALUE!</v>
      </c>
      <c r="AN65" s="70" t="str">
        <f t="array" aca="1" ref="AN65" ca="1">IFERROR(IF(OR(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"3"),"*配膳*"),
COUNTIF(INDIRECT("数出表_Excel!"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"3"),"*カレー*"),
COUNTIF(AN22,"*合計*")),"",
IF(IFERROR(INDIRECT("数出表_Excel!"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"3"),0)=0,"",
IFERROR(INDIRECT("数出表_Excel!" &amp;
CHAR(MATCH(TRUE,
ISNUMBER(--INDIRECT("数出表_Excel!"&amp;AM64&amp;MATCH(AR22,数出表_Excel!$A:$A,0)-1&amp;":U"&amp;MATCH(AR22,数出表_Excel!$A:$A,0)-1&amp;"")),0)
+MATCH(TRUE, ISNUMBER(--INDIRECT("数出表_Excel!B" &amp; (MATCH(AR22,数出表_Excel!$A:$A,0)-1) &amp; ":U" &amp; (MATCH(AR22,数出表_Excel!$A:$A,0)-1))), 0)
+65) &amp; "3"),""))),"")</f>
        <v/>
      </c>
      <c r="AO65" s="129"/>
      <c r="AP65" s="136" t="str">
        <f ca="1">IF(AQ65&lt;&gt;"","",
IF(AN64&lt;&gt;"",
IFERROR(
INDEX('数出表_Excel（アレルギー入力）'!$4:$4,
 1,
MATCH(AN67,INDIRECT("'数出表_Excel（アレルギー入力）'!"&amp;AM22-1&amp;":"&amp;AM22-1&amp;""),0)),
 "")
&amp;IFERROR(
INDEX('数出表_Excel（アレルギー入力）'!$5:$5,
 1,
MATCH(AN67,INDIRECT("'数出表_Excel（アレルギー入力）'!"&amp;AM22-1&amp;":"&amp;AM22-1&amp;""),0)),
 ""),""))</f>
        <v/>
      </c>
      <c r="AQ65" s="137" t="str">
        <f t="array" aca="1" ref="AQ65" ca="1">IF(AN65&lt;&gt;"",
IF(MATCH(TRUE,
ISNUMBER(--INDIRECT("数出表_Excel!B"&amp;MATCH(AR22,数出表_Excel!$A:$A,0)-1&amp;":U"&amp;MATCH(AR22,数出表_Excel!$A:$A,0)-1&amp;"")),0)&gt;10,
IF(AN65&lt;&gt;"",
IF(IF(COUNTIF('盛付札（関数）'!AN65,"*キャラ*"),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VLOOKUP('盛付札（関数）'!AN65,商品マスタ一覧!$D:$J,7,FALSE)))=0,"",
IF(ROUND(
IF(AQ70&lt;&gt;"",(AN67-AQ70),AN67)
/IF(COUNTIF('盛付札（関数）'!AN65,"*キャラ*"),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VLOOKUP('盛付札（関数）'!AN65,商品マスタ一覧!$D:$J,7,FALSE))),0)&lt;=0,1,
ROUND(
IF(AQ70&lt;&gt;"",(AN67-AQ70),AN67)
/IF(COUNTIF('盛付札（関数）'!AN65,"*キャラ*"),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VLOOKUP('盛付札（関数）'!AN65,商品マスタ一覧!$D:$J,7,FALSE))),0))),""),""),"")</f>
        <v/>
      </c>
      <c r="AR65" s="153" t="str">
        <f ca="1">IF(AQ65&lt;&gt;"",IF(AN67&lt;&gt;"",IF(VALUE(IF(AQ70&lt;&gt;"",AN67-AQ70,AN67))&gt;VALUE(IF(COUNTIF('盛付札（関数）'!AN65,"*キャラ*"),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
"+"&amp;IF(AQ70&lt;&gt;"",AN67-AQ70,AN67)-IF(COUNTIF('盛付札（関数）'!AN65,"*キャラ*"),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VLOOKUP('盛付札（関数）'!AN65,商品マスタ一覧!$D:$J,7,FALSE)))*AQ65,
IF(AQ70&lt;&gt;"",AN67-AQ70,AN67)-IF(COUNTIF('盛付札（関数）'!AN65,"*キャラ*"),
VLOOKUP("*キャラ*",商品マスタ一覧!$D:$J,7,FALSE),
IF(COUNTIF('盛付札（関数）'!AN65,"*赤*"),
VLOOKUP("*赤*",商品マスタ一覧!$D:$J,7,FALSE),
VLOOKUP('盛付札（関数）'!AN65,商品マスタ一覧!$D:$J,7,FALSE)))*AQ65),""),"")</f>
        <v/>
      </c>
      <c r="AS65" s="129"/>
      <c r="AT65" s="129"/>
      <c r="AU65" s="135" t="e">
        <f t="array" aca="1" ref="AU65" ca="1">IF(AU24&lt;&gt;100,
IF(AV67&lt;&gt;"",MATCH(AV67,INDIRECT("数出表_Excel!B"&amp;MATCH(AZ22,数出表_Excel!$A:$A,0)-1&amp;":U"&amp;MATCH(AZ22,数出表_Excel!$A:$A,0)-1&amp;""),0)+1,""),
IF(AV67&lt;&gt;"",
MATCH(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INDIRECT("数出表_Excel!B"&amp;MATCH(AZ22,数出表_Excel!$A:$A,0)-1&amp;":U"&amp;MATCH(AZ22,数出表_Excel!$A:$A,0)-1&amp;""),0)+1,""))</f>
        <v>#VALUE!</v>
      </c>
      <c r="AV65" s="70" t="str">
        <f t="array" aca="1" ref="AV65" ca="1">IFERROR(IF(OR(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"3"),"*配膳*"),
COUNTIF(INDIRECT("数出表_Excel!"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"3"),"*カレー*"),
COUNTIF(AV22,"*合計*")),"",
IF(IFERROR(INDIRECT("数出表_Excel!"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"3"),0)=0,"",
IFERROR(INDIRECT("数出表_Excel!" &amp;
CHAR(MATCH(TRUE,
ISNUMBER(--INDIRECT("数出表_Excel!"&amp;AU64&amp;MATCH(AZ22,数出表_Excel!$A:$A,0)-1&amp;":U"&amp;MATCH(AZ22,数出表_Excel!$A:$A,0)-1&amp;"")),0)
+MATCH(TRUE, ISNUMBER(--INDIRECT("数出表_Excel!B" &amp; (MATCH(AZ22,数出表_Excel!$A:$A,0)-1) &amp; ":U" &amp; (MATCH(AZ22,数出表_Excel!$A:$A,0)-1))), 0)
+65) &amp; "3"),""))),"")</f>
        <v/>
      </c>
      <c r="AW65" s="129"/>
      <c r="AX65" s="136" t="str">
        <f ca="1">IF(AY65&lt;&gt;"","",
IF(AV64&lt;&gt;"",
IFERROR(
INDEX('数出表_Excel（アレルギー入力）'!$4:$4,
 1,
MATCH(AV67,INDIRECT("'数出表_Excel（アレルギー入力）'!"&amp;AU22-1&amp;":"&amp;AU22-1&amp;""),0)),
 "")
&amp;IFERROR(
INDEX('数出表_Excel（アレルギー入力）'!$5:$5,
 1,
MATCH(AV67,INDIRECT("'数出表_Excel（アレルギー入力）'!"&amp;AU22-1&amp;":"&amp;AU22-1&amp;""),0)),
 ""),""))</f>
        <v/>
      </c>
      <c r="AY65" s="137" t="str">
        <f t="array" aca="1" ref="AY65" ca="1">IF(AV65&lt;&gt;"",
IF(MATCH(TRUE,
ISNUMBER(--INDIRECT("数出表_Excel!B"&amp;MATCH(AZ22,数出表_Excel!$A:$A,0)-1&amp;":U"&amp;MATCH(AZ22,数出表_Excel!$A:$A,0)-1&amp;"")),0)&gt;10,
IF(AV65&lt;&gt;"",
IF(IF(COUNTIF('盛付札（関数）'!AV65,"*キャラ*"),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VLOOKUP('盛付札（関数）'!AV65,商品マスタ一覧!$D:$J,7,FALSE)))=0,"",
IF(ROUND(
IF(AY70&lt;&gt;"",(AV67-AY70),AV67)
/IF(COUNTIF('盛付札（関数）'!AV65,"*キャラ*"),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VLOOKUP('盛付札（関数）'!AV65,商品マスタ一覧!$D:$J,7,FALSE))),0)&lt;=0,1,
ROUND(
IF(AY70&lt;&gt;"",(AV67-AY70),AV67)
/IF(COUNTIF('盛付札（関数）'!AV65,"*キャラ*"),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VLOOKUP('盛付札（関数）'!AV65,商品マスタ一覧!$D:$J,7,FALSE))),0))),""),""),"")</f>
        <v/>
      </c>
      <c r="AZ65" s="153" t="str">
        <f ca="1">IF(AY65&lt;&gt;"",IF(AV67&lt;&gt;"",IF(VALUE(IF(AY70&lt;&gt;"",AV67-AY70,AV67))&gt;VALUE(IF(COUNTIF('盛付札（関数）'!AV65,"*キャラ*"),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
"+"&amp;IF(AY70&lt;&gt;"",AV67-AY70,AV67)-IF(COUNTIF('盛付札（関数）'!AV65,"*キャラ*"),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VLOOKUP('盛付札（関数）'!AV65,商品マスタ一覧!$D:$J,7,FALSE)))*AY65,
IF(AY70&lt;&gt;"",AV67-AY70,AV67)-IF(COUNTIF('盛付札（関数）'!AV65,"*キャラ*"),
VLOOKUP("*キャラ*",商品マスタ一覧!$D:$J,7,FALSE),
IF(COUNTIF('盛付札（関数）'!AV65,"*赤*"),
VLOOKUP("*赤*",商品マスタ一覧!$D:$J,7,FALSE),
VLOOKUP('盛付札（関数）'!AV65,商品マスタ一覧!$D:$J,7,FALSE)))*AY65),""),"")</f>
        <v/>
      </c>
      <c r="BA65" s="129"/>
      <c r="BB65" s="135" t="e">
        <f t="array" aca="1" ref="BB65" ca="1">IF(BB24&lt;&gt;100,
IF(BC67&lt;&gt;"",MATCH(BC67,INDIRECT("数出表_Excel!B"&amp;MATCH(BG22,数出表_Excel!$A:$A,0)-1&amp;":U"&amp;MATCH(BG22,数出表_Excel!$A:$A,0)-1&amp;""),0)+1,""),
IF(BC67&lt;&gt;"",
MATCH(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INDIRECT("数出表_Excel!B"&amp;MATCH(BG22,数出表_Excel!$A:$A,0)-1&amp;":U"&amp;MATCH(BG22,数出表_Excel!$A:$A,0)-1&amp;""),0)+1,""))</f>
        <v>#VALUE!</v>
      </c>
      <c r="BC65" s="70" t="str">
        <f t="array" aca="1" ref="BC65" ca="1">IFERROR(IF(OR(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"3"),"*配膳*"),
COUNTIF(INDIRECT("数出表_Excel!"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"3"),"*カレー*"),
COUNTIF(BC22,"*合計*")),"",
IF(IFERROR(INDIRECT("数出表_Excel!"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"3"),0)=0,"",
IFERROR(INDIRECT("数出表_Excel!" &amp;
CHAR(MATCH(TRUE,
ISNUMBER(--INDIRECT("数出表_Excel!"&amp;BB64&amp;MATCH(BG22,数出表_Excel!$A:$A,0)-1&amp;":U"&amp;MATCH(BG22,数出表_Excel!$A:$A,0)-1&amp;"")),0)
+MATCH(TRUE, ISNUMBER(--INDIRECT("数出表_Excel!B" &amp; (MATCH(BG22,数出表_Excel!$A:$A,0)-1) &amp; ":U" &amp; (MATCH(BG22,数出表_Excel!$A:$A,0)-1))), 0)
+65) &amp; "3"),""))),"")</f>
        <v/>
      </c>
      <c r="BD65" s="129"/>
      <c r="BE65" s="136" t="str">
        <f ca="1">IF(BF65&lt;&gt;"","",
IF(BC64&lt;&gt;"",
IFERROR(
INDEX('数出表_Excel（アレルギー入力）'!$4:$4,
 1,
MATCH(BC67,INDIRECT("'数出表_Excel（アレルギー入力）'!"&amp;BB22-1&amp;":"&amp;BB22-1&amp;""),0)),
 "")
&amp;IFERROR(
INDEX('数出表_Excel（アレルギー入力）'!$5:$5,
 1,
MATCH(BC67,INDIRECT("'数出表_Excel（アレルギー入力）'!"&amp;BB22-1&amp;":"&amp;BB22-1&amp;""),0)),
 ""),""))</f>
        <v/>
      </c>
      <c r="BF65" s="137" t="str">
        <f t="array" aca="1" ref="BF65" ca="1">IF(BC65&lt;&gt;"",
IF(MATCH(TRUE,
ISNUMBER(--INDIRECT("数出表_Excel!B"&amp;MATCH(BG22,数出表_Excel!$A:$A,0)-1&amp;":U"&amp;MATCH(BG22,数出表_Excel!$A:$A,0)-1&amp;"")),0)&gt;10,
IF(BC65&lt;&gt;"",
IF(IF(COUNTIF('盛付札（関数）'!BC65,"*キャラ*"),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VLOOKUP('盛付札（関数）'!BC65,商品マスタ一覧!$D:$J,7,FALSE)))=0,"",
IF(ROUND(
IF(BF70&lt;&gt;"",(BC67-BF70),BC67)
/IF(COUNTIF('盛付札（関数）'!BC65,"*キャラ*"),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VLOOKUP('盛付札（関数）'!BC65,商品マスタ一覧!$D:$J,7,FALSE))),0)&lt;=0,1,
ROUND(
IF(BF70&lt;&gt;"",(BC67-BF70),BC67)
/IF(COUNTIF('盛付札（関数）'!BC65,"*キャラ*"),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VLOOKUP('盛付札（関数）'!BC65,商品マスタ一覧!$D:$J,7,FALSE))),0))),""),""),"")</f>
        <v/>
      </c>
      <c r="BG65" s="153" t="str">
        <f ca="1">IF(BF65&lt;&gt;"",IF(BC67&lt;&gt;"",IF(VALUE(IF(BF70&lt;&gt;"",BC67-BF70,BC67))&gt;VALUE(IF(COUNTIF('盛付札（関数）'!BC65,"*キャラ*"),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
"+"&amp;IF(BF70&lt;&gt;"",BC67-BF70,BC67)-IF(COUNTIF('盛付札（関数）'!BC65,"*キャラ*"),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VLOOKUP('盛付札（関数）'!BC65,商品マスタ一覧!$D:$J,7,FALSE)))*BF65,
IF(BF70&lt;&gt;"",BC67-BF70,BC67)-IF(COUNTIF('盛付札（関数）'!BC65,"*キャラ*"),
VLOOKUP("*キャラ*",商品マスタ一覧!$D:$J,7,FALSE),
IF(COUNTIF('盛付札（関数）'!BC65,"*赤*"),
VLOOKUP("*赤*",商品マスタ一覧!$D:$J,7,FALSE),
VLOOKUP('盛付札（関数）'!BC65,商品マスタ一覧!$D:$J,7,FALSE)))*BF65),""),"")</f>
        <v/>
      </c>
      <c r="BH65" s="129"/>
      <c r="BI65" s="129"/>
      <c r="BJ65" s="135" t="e">
        <f t="array" aca="1" ref="BJ65" ca="1">IF(BJ24&lt;&gt;100,
IF(BK67&lt;&gt;"",MATCH(BK67,INDIRECT("数出表_Excel!B"&amp;MATCH(BO22,数出表_Excel!$A:$A,0)-1&amp;":U"&amp;MATCH(BO22,数出表_Excel!$A:$A,0)-1&amp;""),0)+1,""),
IF(BK67&lt;&gt;"",
MATCH(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INDIRECT("数出表_Excel!B"&amp;MATCH(BO22,数出表_Excel!$A:$A,0)-1&amp;":U"&amp;MATCH(BO22,数出表_Excel!$A:$A,0)-1&amp;""),0)+1,""))</f>
        <v>#VALUE!</v>
      </c>
      <c r="BK65" s="70" t="str">
        <f t="array" aca="1" ref="BK65" ca="1">IFERROR(IF(OR(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"3"),"*配膳*"),
COUNTIF(INDIRECT("数出表_Excel!"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"3"),"*カレー*"),
COUNTIF(BK22,"*合計*")),"",
IF(IFERROR(INDIRECT("数出表_Excel!"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"3"),0)=0,"",
IFERROR(INDIRECT("数出表_Excel!" &amp;
CHAR(MATCH(TRUE,
ISNUMBER(--INDIRECT("数出表_Excel!"&amp;BJ64&amp;MATCH(BO22,数出表_Excel!$A:$A,0)-1&amp;":U"&amp;MATCH(BO22,数出表_Excel!$A:$A,0)-1&amp;"")),0)
+MATCH(TRUE, ISNUMBER(--INDIRECT("数出表_Excel!B" &amp; (MATCH(BO22,数出表_Excel!$A:$A,0)-1) &amp; ":U" &amp; (MATCH(BO22,数出表_Excel!$A:$A,0)-1))), 0)
+65) &amp; "3"),""))),"")</f>
        <v/>
      </c>
      <c r="BL65" s="129"/>
      <c r="BM65" s="136" t="str">
        <f ca="1">IF(BN65&lt;&gt;"","",
IF(BK64&lt;&gt;"",
IFERROR(
INDEX('数出表_Excel（アレルギー入力）'!$4:$4,
 1,
MATCH(BK67,INDIRECT("'数出表_Excel（アレルギー入力）'!"&amp;BJ22-1&amp;":"&amp;BJ22-1&amp;""),0)),
 "")
&amp;IFERROR(
INDEX('数出表_Excel（アレルギー入力）'!$5:$5,
 1,
MATCH(BK67,INDIRECT("'数出表_Excel（アレルギー入力）'!"&amp;BJ22-1&amp;":"&amp;BJ22-1&amp;""),0)),
 ""),""))</f>
        <v/>
      </c>
      <c r="BN65" s="137" t="str">
        <f t="array" aca="1" ref="BN65" ca="1">IF(BK65&lt;&gt;"",
IF(MATCH(TRUE,
ISNUMBER(--INDIRECT("数出表_Excel!B"&amp;MATCH(BO22,数出表_Excel!$A:$A,0)-1&amp;":U"&amp;MATCH(BO22,数出表_Excel!$A:$A,0)-1&amp;"")),0)&gt;10,
IF(BK65&lt;&gt;"",
IF(IF(COUNTIF('盛付札（関数）'!BK65,"*キャラ*"),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VLOOKUP('盛付札（関数）'!BK65,商品マスタ一覧!$D:$J,7,FALSE)))=0,"",
IF(ROUND(
IF(BN70&lt;&gt;"",(BK67-BN70),BK67)
/IF(COUNTIF('盛付札（関数）'!BK65,"*キャラ*"),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VLOOKUP('盛付札（関数）'!BK65,商品マスタ一覧!$D:$J,7,FALSE))),0)&lt;=0,1,
ROUND(
IF(BN70&lt;&gt;"",(BK67-BN70),BK67)
/IF(COUNTIF('盛付札（関数）'!BK65,"*キャラ*"),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VLOOKUP('盛付札（関数）'!BK65,商品マスタ一覧!$D:$J,7,FALSE))),0))),""),""),"")</f>
        <v/>
      </c>
      <c r="BO65" s="153" t="str">
        <f ca="1">IF(BN65&lt;&gt;"",IF(BK67&lt;&gt;"",IF(VALUE(IF(BN70&lt;&gt;"",BK67-BN70,BK67))&gt;VALUE(IF(COUNTIF('盛付札（関数）'!BK65,"*キャラ*"),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
"+"&amp;IF(BN70&lt;&gt;"",BK67-BN70,BK67)-IF(COUNTIF('盛付札（関数）'!BK65,"*キャラ*"),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VLOOKUP('盛付札（関数）'!BK65,商品マスタ一覧!$D:$J,7,FALSE)))*BN65,
IF(BN70&lt;&gt;"",BK67-BN70,BK67)-IF(COUNTIF('盛付札（関数）'!BK65,"*キャラ*"),
VLOOKUP("*キャラ*",商品マスタ一覧!$D:$J,7,FALSE),
IF(COUNTIF('盛付札（関数）'!BK65,"*赤*"),
VLOOKUP("*赤*",商品マスタ一覧!$D:$J,7,FALSE),
VLOOKUP('盛付札（関数）'!BK65,商品マスタ一覧!$D:$J,7,FALSE)))*BN65),""),"")</f>
        <v/>
      </c>
      <c r="BP65" s="129"/>
      <c r="BQ65" s="135" t="e">
        <f t="array" aca="1" ref="BQ65" ca="1">IF(BQ24&lt;&gt;100,
IF(BR67&lt;&gt;"",MATCH(BR67,INDIRECT("数出表_Excel!B"&amp;MATCH(BV22,数出表_Excel!$A:$A,0)-1&amp;":U"&amp;MATCH(BV22,数出表_Excel!$A:$A,0)-1&amp;""),0)+1,""),
IF(BR67&lt;&gt;"",
MATCH(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INDIRECT("数出表_Excel!B"&amp;MATCH(BV22,数出表_Excel!$A:$A,0)-1&amp;":U"&amp;MATCH(BV22,数出表_Excel!$A:$A,0)-1&amp;""),0)+1,""))</f>
        <v>#VALUE!</v>
      </c>
      <c r="BR65" s="70" t="str">
        <f t="array" aca="1" ref="BR65" ca="1">IFERROR(IF(OR(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"3"),"*配膳*"),
COUNTIF(INDIRECT("数出表_Excel!"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"3"),"*カレー*"),
COUNTIF(BR22,"*合計*")),"",
IF(IFERROR(INDIRECT("数出表_Excel!"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"3"),0)=0,"",
IFERROR(INDIRECT("数出表_Excel!" &amp;
CHAR(MATCH(TRUE,
ISNUMBER(--INDIRECT("数出表_Excel!"&amp;BQ64&amp;MATCH(BV22,数出表_Excel!$A:$A,0)-1&amp;":U"&amp;MATCH(BV22,数出表_Excel!$A:$A,0)-1&amp;"")),0)
+MATCH(TRUE, ISNUMBER(--INDIRECT("数出表_Excel!B" &amp; (MATCH(BV22,数出表_Excel!$A:$A,0)-1) &amp; ":U" &amp; (MATCH(BV22,数出表_Excel!$A:$A,0)-1))), 0)
+65) &amp; "3"),""))),"")</f>
        <v/>
      </c>
      <c r="BS65" s="129"/>
      <c r="BT65" s="136" t="str">
        <f ca="1">IF(BU65&lt;&gt;"","",
IF(BR64&lt;&gt;"",
IFERROR(
INDEX('数出表_Excel（アレルギー入力）'!$4:$4,
 1,
MATCH(BR67,INDIRECT("'数出表_Excel（アレルギー入力）'!"&amp;BQ22-1&amp;":"&amp;BQ22-1&amp;""),0)),
 "")
&amp;IFERROR(
INDEX('数出表_Excel（アレルギー入力）'!$5:$5,
 1,
MATCH(BR67,INDIRECT("'数出表_Excel（アレルギー入力）'!"&amp;BQ22-1&amp;":"&amp;BQ22-1&amp;""),0)),
 ""),""))</f>
        <v/>
      </c>
      <c r="BU65" s="137" t="str">
        <f t="array" aca="1" ref="BU65" ca="1">IF(BR65&lt;&gt;"",
IF(MATCH(TRUE,
ISNUMBER(--INDIRECT("数出表_Excel!B"&amp;MATCH(BV22,数出表_Excel!$A:$A,0)-1&amp;":U"&amp;MATCH(BV22,数出表_Excel!$A:$A,0)-1&amp;"")),0)&gt;10,
IF(BR65&lt;&gt;"",
IF(IF(COUNTIF('盛付札（関数）'!BR65,"*キャラ*"),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VLOOKUP('盛付札（関数）'!BR65,商品マスタ一覧!$D:$J,7,FALSE)))=0,"",
IF(ROUND(
IF(BU70&lt;&gt;"",(BR67-BU70),BR67)
/IF(COUNTIF('盛付札（関数）'!BR65,"*キャラ*"),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VLOOKUP('盛付札（関数）'!BR65,商品マスタ一覧!$D:$J,7,FALSE))),0)&lt;=0,1,
ROUND(
IF(BU70&lt;&gt;"",(BR67-BU70),BR67)
/IF(COUNTIF('盛付札（関数）'!BR65,"*キャラ*"),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VLOOKUP('盛付札（関数）'!BR65,商品マスタ一覧!$D:$J,7,FALSE))),0))),""),""),"")</f>
        <v/>
      </c>
      <c r="BV65" s="153" t="str">
        <f ca="1">IF(BU65&lt;&gt;"",IF(BR67&lt;&gt;"",IF(VALUE(IF(BU70&lt;&gt;"",BR67-BU70,BR67))&gt;VALUE(IF(COUNTIF('盛付札（関数）'!BR65,"*キャラ*"),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
"+"&amp;IF(BU70&lt;&gt;"",BR67-BU70,BR67)-IF(COUNTIF('盛付札（関数）'!BR65,"*キャラ*"),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VLOOKUP('盛付札（関数）'!BR65,商品マスタ一覧!$D:$J,7,FALSE)))*BU65,
IF(BU70&lt;&gt;"",BR67-BU70,BR67)-IF(COUNTIF('盛付札（関数）'!BR65,"*キャラ*"),
VLOOKUP("*キャラ*",商品マスタ一覧!$D:$J,7,FALSE),
IF(COUNTIF('盛付札（関数）'!BR65,"*赤*"),
VLOOKUP("*赤*",商品マスタ一覧!$D:$J,7,FALSE),
VLOOKUP('盛付札（関数）'!BR65,商品マスタ一覧!$D:$J,7,FALSE)))*BU65),""),"")</f>
        <v/>
      </c>
      <c r="BW65" s="129"/>
      <c r="BX65" s="132">
        <f t="shared" si="4"/>
        <v>28</v>
      </c>
      <c r="BY65" s="132" t="str">
        <f t="array" aca="1" ref="BY65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LEN(SUBSTITUTE(_xlfn.FORMULATEXT(BY$49),"=","")))+$BX65)</f>
        <v/>
      </c>
      <c r="BZ65" s="132" t="str">
        <f t="array" aca="1" ref="BZ65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LEN(SUBSTITUTE(_xlfn.FORMULATEXT(BZ$49),"=","")))+$BX65)</f>
        <v/>
      </c>
      <c r="CA65" s="132" t="str">
        <f t="array" aca="1" ref="CA65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LEN(SUBSTITUTE(_xlfn.FORMULATEXT(CA$49),"=","")))+$BX65)</f>
        <v/>
      </c>
      <c r="CB65" s="132" t="str">
        <f t="array" aca="1" ref="CB65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LEN(SUBSTITUTE(_xlfn.FORMULATEXT(CB$49),"=","")))+$BX65)</f>
        <v/>
      </c>
      <c r="CC65" s="132" t="str">
        <f t="array" aca="1" ref="CC65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LEN(SUBSTITUTE(_xlfn.FORMULATEXT(CC$49),"=","")))+$BX65)</f>
        <v/>
      </c>
      <c r="CD65" s="132" t="str">
        <f t="array" aca="1" ref="CD65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LEN(SUBSTITUTE(_xlfn.FORMULATEXT(CD$49),"=","")))+$BX65)</f>
        <v/>
      </c>
      <c r="CE65" s="132" t="str">
        <f t="array" aca="1" ref="CE65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LEN(SUBSTITUTE(_xlfn.FORMULATEXT(CE$49),"=","")))+$BX65)</f>
        <v/>
      </c>
      <c r="CF65" s="132" t="str">
        <f t="array" aca="1" ref="CF65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LEN(SUBSTITUTE(_xlfn.FORMULATEXT(CF$49),"=","")))+$BX65)</f>
        <v/>
      </c>
      <c r="CG65" s="132" t="str">
        <f t="array" aca="1" ref="CG65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LEN(SUBSTITUTE(_xlfn.FORMULATEXT(CG$49),"=","")))+$BX65)</f>
        <v/>
      </c>
      <c r="CH65" s="132" t="str">
        <f t="array" aca="1" ref="CH65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LEN(SUBSTITUTE(_xlfn.FORMULATEXT(CH$49),"=","")))+$BX65)</f>
        <v/>
      </c>
      <c r="CI65" s="132">
        <f t="shared" ref="CI65:CI96" ca="1" si="5">IF(COUNTIF(CJ65,"TRUE"),ROW(),0)</f>
        <v>0</v>
      </c>
      <c r="CJ65" s="132" t="b">
        <f t="array" aca="1" ref="CJ65" ca="1">SUMPRODUCT((LEN(BY65:CH65)&gt;0)*1)&gt;0</f>
        <v>0</v>
      </c>
      <c r="CK65" s="132" t="str" cm="1">
        <f t="array" aca="1" ref="CK65" ca="1">IFERROR(SMALL(IF(CI$1:CI$150&lt;&gt;0,CI$1:CI$150),ROW(A65)),"")</f>
        <v/>
      </c>
      <c r="CL65" s="132" t="str">
        <f t="array" aca="1" ref="CL65" ca="1">IF($CK65&lt;&gt;"",
INDIRECT(""&amp;IF(COLUMN(BY65)&lt;=26,CHAR(COLUMN(BY65)+64),CHAR(INT((COLUMN(BY65)-1)/26)+64)&amp;CHAR(MOD(COLUMN(BY65)-1,26)+65))&amp;$CK65&amp;""),"")</f>
        <v/>
      </c>
      <c r="CM65" s="132" t="str">
        <f t="array" aca="1" ref="CM65" ca="1">IF($CK65&lt;&gt;"",
INDIRECT(""&amp;IF(COLUMN(BZ65)&lt;=26,CHAR(COLUMN(BZ65)+64),CHAR(INT((COLUMN(BZ65)-1)/26)+64)&amp;CHAR(MOD(COLUMN(BZ65)-1,26)+65))&amp;$CK65&amp;""),"")</f>
        <v/>
      </c>
      <c r="CN65" s="132" t="str">
        <f t="array" aca="1" ref="CN65" ca="1">IF($CK65&lt;&gt;"",
INDIRECT(""&amp;IF(COLUMN(CA65)&lt;=26,CHAR(COLUMN(CA65)+64),CHAR(INT((COLUMN(CA65)-1)/26)+64)&amp;CHAR(MOD(COLUMN(CA65)-1,26)+65))&amp;$CK65&amp;""),"")</f>
        <v/>
      </c>
      <c r="CO65" s="132" t="str">
        <f t="array" aca="1" ref="CO65" ca="1">IF($CK65&lt;&gt;"",
INDIRECT(""&amp;IF(COLUMN(CB65)&lt;=26,CHAR(COLUMN(CB65)+64),CHAR(INT((COLUMN(CB65)-1)/26)+64)&amp;CHAR(MOD(COLUMN(CB65)-1,26)+65))&amp;$CK65&amp;""),"")</f>
        <v/>
      </c>
      <c r="CP65" s="132" t="str">
        <f t="array" aca="1" ref="CP65" ca="1">IF($CK65&lt;&gt;"",
INDIRECT(""&amp;IF(COLUMN(CC65)&lt;=26,CHAR(COLUMN(CC65)+64),CHAR(INT((COLUMN(CC65)-1)/26)+64)&amp;CHAR(MOD(COLUMN(CC65)-1,26)+65))&amp;$CK65&amp;""),"")</f>
        <v/>
      </c>
      <c r="CQ65" s="132" t="str">
        <f t="array" aca="1" ref="CQ65" ca="1">IF($CK65&lt;&gt;"",
INDIRECT(""&amp;IF(COLUMN(CD65)&lt;=26,CHAR(COLUMN(CD65)+64),CHAR(INT((COLUMN(CD65)-1)/26)+64)&amp;CHAR(MOD(COLUMN(CD65)-1,26)+65))&amp;$CK65&amp;""),"")</f>
        <v/>
      </c>
      <c r="CR65" s="132" t="str">
        <f t="array" aca="1" ref="CR65" ca="1">IF($CK65&lt;&gt;"",
INDIRECT(""&amp;IF(COLUMN(CE65)&lt;=26,CHAR(COLUMN(CE65)+64),CHAR(INT((COLUMN(CE65)-1)/26)+64)&amp;CHAR(MOD(COLUMN(CE65)-1,26)+65))&amp;$CK65&amp;""),"")</f>
        <v/>
      </c>
      <c r="CS65" s="132" t="str">
        <f t="array" aca="1" ref="CS65" ca="1">IF($CK65&lt;&gt;"",
INDIRECT(""&amp;IF(COLUMN(CF65)&lt;=26,CHAR(COLUMN(CF65)+64),CHAR(INT((COLUMN(CF65)-1)/26)+64)&amp;CHAR(MOD(COLUMN(CF65)-1,26)+65))&amp;$CK65&amp;""),"")</f>
        <v/>
      </c>
      <c r="CT65" s="132" t="str">
        <f t="array" aca="1" ref="CT65" ca="1">IF($CK65&lt;&gt;"",
INDIRECT(""&amp;IF(COLUMN(CG65)&lt;=26,CHAR(COLUMN(CG65)+64),CHAR(INT((COLUMN(CG65)-1)/26)+64)&amp;CHAR(MOD(COLUMN(CG65)-1,26)+65))&amp;$CK65&amp;""),"")</f>
        <v/>
      </c>
      <c r="CU65" s="132" t="str">
        <f t="array" aca="1" ref="CU65" ca="1">IF($CK65&lt;&gt;"",
INDIRECT(""&amp;IF(COLUMN(CH65)&lt;=26,CHAR(COLUMN(CH65)+64),CHAR(INT((COLUMN(CH65)-1)/26)+64)&amp;CHAR(MOD(COLUMN(CH65)-1,26)+65))&amp;$CK65&amp;""),"")</f>
        <v/>
      </c>
    </row>
    <row r="66" spans="1:99" s="132" customFormat="1" ht="22.2" customHeight="1" x14ac:dyDescent="0.55000000000000004">
      <c r="A66" s="129"/>
      <c r="B66" s="138"/>
      <c r="C66" s="139" t="str">
        <f ca="1">IF(C67&lt;&gt;"","園児","")</f>
        <v/>
      </c>
      <c r="D66" s="140"/>
      <c r="E66" s="141" t="str">
        <f ca="1">IF(C67&lt;&gt;"","先生","")</f>
        <v/>
      </c>
      <c r="F66" s="140"/>
      <c r="G66" s="159"/>
      <c r="H66" s="129"/>
      <c r="I66" s="138"/>
      <c r="J66" s="139" t="str">
        <f ca="1">IF(J67&lt;&gt;"","園児","")</f>
        <v/>
      </c>
      <c r="K66" s="140"/>
      <c r="L66" s="141" t="str">
        <f ca="1">IF(J67&lt;&gt;"","先生","")</f>
        <v/>
      </c>
      <c r="M66" s="140"/>
      <c r="N66" s="154"/>
      <c r="O66" s="129"/>
      <c r="P66" s="129"/>
      <c r="Q66" s="138"/>
      <c r="R66" s="139" t="str">
        <f ca="1">IF(R67&lt;&gt;"","園児","")</f>
        <v/>
      </c>
      <c r="S66" s="140"/>
      <c r="T66" s="141" t="str">
        <f ca="1">IF(R67&lt;&gt;"","先生","")</f>
        <v/>
      </c>
      <c r="U66" s="140"/>
      <c r="V66" s="154"/>
      <c r="W66" s="129"/>
      <c r="X66" s="138"/>
      <c r="Y66" s="139" t="str">
        <f ca="1">IF(Y67&lt;&gt;"","園児","")</f>
        <v/>
      </c>
      <c r="Z66" s="140"/>
      <c r="AA66" s="141" t="str">
        <f ca="1">IF(Y67&lt;&gt;"","先生","")</f>
        <v/>
      </c>
      <c r="AB66" s="140"/>
      <c r="AC66" s="154"/>
      <c r="AD66" s="129"/>
      <c r="AE66" s="129"/>
      <c r="AF66" s="138"/>
      <c r="AG66" s="139" t="str">
        <f ca="1">IF(AG67&lt;&gt;"","園児","")</f>
        <v/>
      </c>
      <c r="AH66" s="140"/>
      <c r="AI66" s="141" t="str">
        <f ca="1">IF(AG67&lt;&gt;"","先生","")</f>
        <v/>
      </c>
      <c r="AJ66" s="140"/>
      <c r="AK66" s="154"/>
      <c r="AL66" s="129"/>
      <c r="AM66" s="138"/>
      <c r="AN66" s="139" t="str">
        <f ca="1">IF(AN67&lt;&gt;"","園児","")</f>
        <v/>
      </c>
      <c r="AO66" s="140"/>
      <c r="AP66" s="141" t="str">
        <f ca="1">IF(AN67&lt;&gt;"","先生","")</f>
        <v/>
      </c>
      <c r="AQ66" s="140"/>
      <c r="AR66" s="154"/>
      <c r="AS66" s="129"/>
      <c r="AT66" s="129"/>
      <c r="AU66" s="138"/>
      <c r="AV66" s="139" t="str">
        <f ca="1">IF(AV67&lt;&gt;"","園児","")</f>
        <v/>
      </c>
      <c r="AW66" s="140"/>
      <c r="AX66" s="141" t="str">
        <f ca="1">IF(AV67&lt;&gt;"","先生","")</f>
        <v/>
      </c>
      <c r="AY66" s="140"/>
      <c r="AZ66" s="154"/>
      <c r="BA66" s="129"/>
      <c r="BB66" s="138"/>
      <c r="BC66" s="139" t="str">
        <f ca="1">IF(BC67&lt;&gt;"","園児","")</f>
        <v/>
      </c>
      <c r="BD66" s="140"/>
      <c r="BE66" s="141" t="str">
        <f ca="1">IF(BC67&lt;&gt;"","先生","")</f>
        <v/>
      </c>
      <c r="BF66" s="140"/>
      <c r="BG66" s="154"/>
      <c r="BH66" s="129"/>
      <c r="BI66" s="129"/>
      <c r="BJ66" s="138"/>
      <c r="BK66" s="139" t="str">
        <f ca="1">IF(BK67&lt;&gt;"","園児","")</f>
        <v/>
      </c>
      <c r="BL66" s="140"/>
      <c r="BM66" s="141" t="str">
        <f ca="1">IF(BK67&lt;&gt;"","先生","")</f>
        <v/>
      </c>
      <c r="BN66" s="140"/>
      <c r="BO66" s="154"/>
      <c r="BP66" s="129"/>
      <c r="BQ66" s="138"/>
      <c r="BR66" s="139" t="str">
        <f ca="1">IF(BR67&lt;&gt;"","園児","")</f>
        <v/>
      </c>
      <c r="BS66" s="140"/>
      <c r="BT66" s="141" t="str">
        <f ca="1">IF(BR67&lt;&gt;"","先生","")</f>
        <v/>
      </c>
      <c r="BU66" s="140"/>
      <c r="BV66" s="154"/>
      <c r="BW66" s="129"/>
      <c r="BX66" s="132">
        <f t="shared" si="4"/>
        <v>70</v>
      </c>
      <c r="BY66" s="132" t="str">
        <f t="array" aca="1" ref="BY66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LEN(SUBSTITUTE(_xlfn.FORMULATEXT(BY$49),"=","")))+$BX66)</f>
        <v/>
      </c>
      <c r="BZ66" s="132" t="str">
        <f t="array" aca="1" ref="BZ66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LEN(SUBSTITUTE(_xlfn.FORMULATEXT(BZ$49),"=","")))+$BX66)</f>
        <v/>
      </c>
      <c r="CA66" s="132" t="str">
        <f t="array" aca="1" ref="CA66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LEN(SUBSTITUTE(_xlfn.FORMULATEXT(CA$49),"=","")))+$BX66)</f>
        <v/>
      </c>
      <c r="CB66" s="132" t="str">
        <f t="array" aca="1" ref="CB66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LEN(SUBSTITUTE(_xlfn.FORMULATEXT(CB$49),"=","")))+$BX66)</f>
        <v/>
      </c>
      <c r="CC66" s="132" t="str">
        <f t="array" aca="1" ref="CC66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LEN(SUBSTITUTE(_xlfn.FORMULATEXT(CC$49),"=","")))+$BX66)</f>
        <v/>
      </c>
      <c r="CD66" s="132" t="str">
        <f t="array" aca="1" ref="CD66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LEN(SUBSTITUTE(_xlfn.FORMULATEXT(CD$49),"=","")))+$BX66)</f>
        <v/>
      </c>
      <c r="CE66" s="132" t="str">
        <f t="array" aca="1" ref="CE66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LEN(SUBSTITUTE(_xlfn.FORMULATEXT(CE$49),"=","")))+$BX66)</f>
        <v/>
      </c>
      <c r="CF66" s="132" t="str">
        <f t="array" aca="1" ref="CF66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LEN(SUBSTITUTE(_xlfn.FORMULATEXT(CF$49),"=","")))+$BX66)</f>
        <v/>
      </c>
      <c r="CG66" s="132" t="str">
        <f t="array" aca="1" ref="CG66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LEN(SUBSTITUTE(_xlfn.FORMULATEXT(CG$49),"=","")))+$BX66)</f>
        <v/>
      </c>
      <c r="CH66" s="132" t="str">
        <f t="array" aca="1" ref="CH66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LEN(SUBSTITUTE(_xlfn.FORMULATEXT(CH$49),"=","")))+$BX66)</f>
        <v/>
      </c>
      <c r="CI66" s="132">
        <f t="shared" ca="1" si="5"/>
        <v>0</v>
      </c>
      <c r="CJ66" s="132" t="b">
        <f t="array" aca="1" ref="CJ66" ca="1">SUMPRODUCT((LEN(BY66:CH66)&gt;0)*1)&gt;0</f>
        <v>0</v>
      </c>
      <c r="CK66" s="132" t="str" cm="1">
        <f t="array" aca="1" ref="CK66" ca="1">IFERROR(SMALL(IF(CI$1:CI$150&lt;&gt;0,CI$1:CI$150),ROW(A66)),"")</f>
        <v/>
      </c>
      <c r="CL66" s="132" t="str">
        <f t="array" aca="1" ref="CL66" ca="1">IF($CK66&lt;&gt;"",
INDIRECT(""&amp;IF(COLUMN(BY66)&lt;=26,CHAR(COLUMN(BY66)+64),CHAR(INT((COLUMN(BY66)-1)/26)+64)&amp;CHAR(MOD(COLUMN(BY66)-1,26)+65))&amp;$CK66&amp;""),"")</f>
        <v/>
      </c>
      <c r="CM66" s="132" t="str">
        <f t="array" aca="1" ref="CM66" ca="1">IF($CK66&lt;&gt;"",
INDIRECT(""&amp;IF(COLUMN(BZ66)&lt;=26,CHAR(COLUMN(BZ66)+64),CHAR(INT((COLUMN(BZ66)-1)/26)+64)&amp;CHAR(MOD(COLUMN(BZ66)-1,26)+65))&amp;$CK66&amp;""),"")</f>
        <v/>
      </c>
      <c r="CN66" s="132" t="str">
        <f t="array" aca="1" ref="CN66" ca="1">IF($CK66&lt;&gt;"",
INDIRECT(""&amp;IF(COLUMN(CA66)&lt;=26,CHAR(COLUMN(CA66)+64),CHAR(INT((COLUMN(CA66)-1)/26)+64)&amp;CHAR(MOD(COLUMN(CA66)-1,26)+65))&amp;$CK66&amp;""),"")</f>
        <v/>
      </c>
      <c r="CO66" s="132" t="str">
        <f t="array" aca="1" ref="CO66" ca="1">IF($CK66&lt;&gt;"",
INDIRECT(""&amp;IF(COLUMN(CB66)&lt;=26,CHAR(COLUMN(CB66)+64),CHAR(INT((COLUMN(CB66)-1)/26)+64)&amp;CHAR(MOD(COLUMN(CB66)-1,26)+65))&amp;$CK66&amp;""),"")</f>
        <v/>
      </c>
      <c r="CP66" s="132" t="str">
        <f t="array" aca="1" ref="CP66" ca="1">IF($CK66&lt;&gt;"",
INDIRECT(""&amp;IF(COLUMN(CC66)&lt;=26,CHAR(COLUMN(CC66)+64),CHAR(INT((COLUMN(CC66)-1)/26)+64)&amp;CHAR(MOD(COLUMN(CC66)-1,26)+65))&amp;$CK66&amp;""),"")</f>
        <v/>
      </c>
      <c r="CQ66" s="132" t="str">
        <f t="array" aca="1" ref="CQ66" ca="1">IF($CK66&lt;&gt;"",
INDIRECT(""&amp;IF(COLUMN(CD66)&lt;=26,CHAR(COLUMN(CD66)+64),CHAR(INT((COLUMN(CD66)-1)/26)+64)&amp;CHAR(MOD(COLUMN(CD66)-1,26)+65))&amp;$CK66&amp;""),"")</f>
        <v/>
      </c>
      <c r="CR66" s="132" t="str">
        <f t="array" aca="1" ref="CR66" ca="1">IF($CK66&lt;&gt;"",
INDIRECT(""&amp;IF(COLUMN(CE66)&lt;=26,CHAR(COLUMN(CE66)+64),CHAR(INT((COLUMN(CE66)-1)/26)+64)&amp;CHAR(MOD(COLUMN(CE66)-1,26)+65))&amp;$CK66&amp;""),"")</f>
        <v/>
      </c>
      <c r="CS66" s="132" t="str">
        <f t="array" aca="1" ref="CS66" ca="1">IF($CK66&lt;&gt;"",
INDIRECT(""&amp;IF(COLUMN(CF66)&lt;=26,CHAR(COLUMN(CF66)+64),CHAR(INT((COLUMN(CF66)-1)/26)+64)&amp;CHAR(MOD(COLUMN(CF66)-1,26)+65))&amp;$CK66&amp;""),"")</f>
        <v/>
      </c>
      <c r="CT66" s="132" t="str">
        <f t="array" aca="1" ref="CT66" ca="1">IF($CK66&lt;&gt;"",
INDIRECT(""&amp;IF(COLUMN(CG66)&lt;=26,CHAR(COLUMN(CG66)+64),CHAR(INT((COLUMN(CG66)-1)/26)+64)&amp;CHAR(MOD(COLUMN(CG66)-1,26)+65))&amp;$CK66&amp;""),"")</f>
        <v/>
      </c>
      <c r="CU66" s="132" t="str">
        <f t="array" aca="1" ref="CU66" ca="1">IF($CK66&lt;&gt;"",
INDIRECT(""&amp;IF(COLUMN(CH66)&lt;=26,CHAR(COLUMN(CH66)+64),CHAR(INT((COLUMN(CH66)-1)/26)+64)&amp;CHAR(MOD(COLUMN(CH66)-1,26)+65))&amp;$CK66&amp;""),"")</f>
        <v/>
      </c>
    </row>
    <row r="67" spans="1:99" ht="18" customHeight="1" x14ac:dyDescent="0.45">
      <c r="B67" s="143"/>
      <c r="C67" s="120" t="str">
        <f t="array" aca="1" ref="C67" ca="1">IF(C65&lt;&gt;"",
IF(IFERROR(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"")=0,"",
IF(B24=100,
IFERROR(
INDEX(INDIRECT("数出表_Excel!"&amp;B64&amp;MATCH(G22,数出表_Excel!$A:$A,0)-1+2&amp;":U"&amp;MATCH(G22,数出表_Excel!$A:$A,0)-1+2&amp;""),
 1,
 MATCH(TRUE, ISNUMBER(--INDIRECT("数出表_Excel!"&amp;B64&amp;MATCH(G22,数出表_Excel!$A:$A,0)-1+2&amp;":U"&amp;MATCH(G22,数出表_Excel!$A:$A,0)-1+2&amp;"")), 0)),
 "")
+IFERROR(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""),
IFERROR(
INDEX(INDIRECT("数出表_Excel!"&amp;B64&amp;MATCH(G22,数出表_Excel!$A:$A,0)-1&amp;":U"&amp;MATCH(G22,数出表_Excel!$A:$A,0)-1&amp;""),
 1,
 MATCH(TRUE, ISNUMBER(--INDIRECT("数出表_Excel!"&amp;B64&amp;MATCH(G22,数出表_Excel!$A:$A,0)-1&amp;":U"&amp;MATCH(G22,数出表_Excel!$A:$A,0)-1&amp;"")), 0)),
 ""))),"")</f>
        <v/>
      </c>
      <c r="D67" s="144"/>
      <c r="E67" s="145" t="str">
        <f t="array" aca="1" ref="E67" ca="1">IF(C23&lt;&gt;"",
IF(IFERROR(
INDEX(INDIRECT("数出表_Excel!B"&amp;MATCH(G22,数出表_Excel!$A:$A,0)&amp;":U"&amp;MATCH(G22,数出表_Excel!$A:$A,0)&amp;""),
 1,B65-1),
 "")=0,"",
IFERROR(
INDEX(INDIRECT("数出表_Excel!B"&amp;MATCH(G22,数出表_Excel!$A:$A,0)&amp;":U"&amp;MATCH(G22,数出表_Excel!$A:$A,0)&amp;""),
 1,B65-1),
 "")),"")</f>
        <v/>
      </c>
      <c r="F67" s="144"/>
      <c r="G67" s="159"/>
      <c r="I67" s="143"/>
      <c r="J67" s="120" t="str">
        <f t="array" aca="1" ref="J67" ca="1">IF(J65&lt;&gt;"",
IF(IFERROR(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"")=0,"",
IF(I24=100,
IFERROR(
INDEX(INDIRECT("数出表_Excel!"&amp;I64&amp;MATCH(N22,数出表_Excel!$A:$A,0)-1+2&amp;":U"&amp;MATCH(N22,数出表_Excel!$A:$A,0)-1+2&amp;""),
 1,
 MATCH(TRUE, ISNUMBER(--INDIRECT("数出表_Excel!"&amp;I64&amp;MATCH(N22,数出表_Excel!$A:$A,0)-1+2&amp;":U"&amp;MATCH(N22,数出表_Excel!$A:$A,0)-1+2&amp;"")), 0)),
 "")
+IFERROR(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""),
IFERROR(
INDEX(INDIRECT("数出表_Excel!"&amp;I64&amp;MATCH(N22,数出表_Excel!$A:$A,0)-1&amp;":U"&amp;MATCH(N22,数出表_Excel!$A:$A,0)-1&amp;""),
 1,
 MATCH(TRUE, ISNUMBER(--INDIRECT("数出表_Excel!"&amp;I64&amp;MATCH(N22,数出表_Excel!$A:$A,0)-1&amp;":U"&amp;MATCH(N22,数出表_Excel!$A:$A,0)-1&amp;"")), 0)),
 ""))),"")</f>
        <v/>
      </c>
      <c r="K67" s="144"/>
      <c r="L67" s="145" t="str">
        <f t="array" aca="1" ref="L67" ca="1">IF(J23&lt;&gt;"",
IF(IFERROR(
INDEX(INDIRECT("数出表_Excel!B"&amp;MATCH(N22,数出表_Excel!$A:$A,0)&amp;":U"&amp;MATCH(N22,数出表_Excel!$A:$A,0)&amp;""),
 1,I65-1),
 "")=0,"",
IFERROR(
INDEX(INDIRECT("数出表_Excel!B"&amp;MATCH(N22,数出表_Excel!$A:$A,0)&amp;":U"&amp;MATCH(N22,数出表_Excel!$A:$A,0)&amp;""),
 1,I65-1),
 "")),"")</f>
        <v/>
      </c>
      <c r="M67" s="144"/>
      <c r="N67" s="154"/>
      <c r="Q67" s="143"/>
      <c r="R67" s="120" t="str">
        <f t="array" aca="1" ref="R67" ca="1">IF(R65&lt;&gt;"",
IF(IFERROR(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"")=0,"",
IF(Q24=100,
IFERROR(
INDEX(INDIRECT("数出表_Excel!"&amp;Q64&amp;MATCH(V22,数出表_Excel!$A:$A,0)-1+2&amp;":U"&amp;MATCH(V22,数出表_Excel!$A:$A,0)-1+2&amp;""),
 1,
 MATCH(TRUE, ISNUMBER(--INDIRECT("数出表_Excel!"&amp;Q64&amp;MATCH(V22,数出表_Excel!$A:$A,0)-1+2&amp;":U"&amp;MATCH(V22,数出表_Excel!$A:$A,0)-1+2&amp;"")), 0)),
 "")
+IFERROR(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""),
IFERROR(
INDEX(INDIRECT("数出表_Excel!"&amp;Q64&amp;MATCH(V22,数出表_Excel!$A:$A,0)-1&amp;":U"&amp;MATCH(V22,数出表_Excel!$A:$A,0)-1&amp;""),
 1,
 MATCH(TRUE, ISNUMBER(--INDIRECT("数出表_Excel!"&amp;Q64&amp;MATCH(V22,数出表_Excel!$A:$A,0)-1&amp;":U"&amp;MATCH(V22,数出表_Excel!$A:$A,0)-1&amp;"")), 0)),
 ""))),"")</f>
        <v/>
      </c>
      <c r="S67" s="144"/>
      <c r="T67" s="145" t="str">
        <f t="array" aca="1" ref="T67" ca="1">IF(R23&lt;&gt;"",
IF(IFERROR(
INDEX(INDIRECT("数出表_Excel!B"&amp;MATCH(V22,数出表_Excel!$A:$A,0)&amp;":U"&amp;MATCH(V22,数出表_Excel!$A:$A,0)&amp;""),
 1,Q65-1),
 "")=0,"",
IFERROR(
INDEX(INDIRECT("数出表_Excel!B"&amp;MATCH(V22,数出表_Excel!$A:$A,0)&amp;":U"&amp;MATCH(V22,数出表_Excel!$A:$A,0)&amp;""),
 1,Q65-1),
 "")),"")</f>
        <v/>
      </c>
      <c r="U67" s="144"/>
      <c r="V67" s="154"/>
      <c r="X67" s="143"/>
      <c r="Y67" s="120" t="str">
        <f t="array" aca="1" ref="Y67" ca="1">IF(Y65&lt;&gt;"",
IF(IFERROR(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"")=0,"",
IF(X24=100,
IFERROR(
INDEX(INDIRECT("数出表_Excel!"&amp;X64&amp;MATCH(AC22,数出表_Excel!$A:$A,0)-1+2&amp;":U"&amp;MATCH(AC22,数出表_Excel!$A:$A,0)-1+2&amp;""),
 1,
 MATCH(TRUE, ISNUMBER(--INDIRECT("数出表_Excel!"&amp;X64&amp;MATCH(AC22,数出表_Excel!$A:$A,0)-1+2&amp;":U"&amp;MATCH(AC22,数出表_Excel!$A:$A,0)-1+2&amp;"")), 0)),
 "")
+IFERROR(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""),
IFERROR(
INDEX(INDIRECT("数出表_Excel!"&amp;X64&amp;MATCH(AC22,数出表_Excel!$A:$A,0)-1&amp;":U"&amp;MATCH(AC22,数出表_Excel!$A:$A,0)-1&amp;""),
 1,
 MATCH(TRUE, ISNUMBER(--INDIRECT("数出表_Excel!"&amp;X64&amp;MATCH(AC22,数出表_Excel!$A:$A,0)-1&amp;":U"&amp;MATCH(AC22,数出表_Excel!$A:$A,0)-1&amp;"")), 0)),
 ""))),"")</f>
        <v/>
      </c>
      <c r="Z67" s="144"/>
      <c r="AA67" s="145" t="str">
        <f t="array" aca="1" ref="AA67" ca="1">IF(Y23&lt;&gt;"",
IF(IFERROR(
INDEX(INDIRECT("数出表_Excel!B"&amp;MATCH(AC22,数出表_Excel!$A:$A,0)&amp;":U"&amp;MATCH(AC22,数出表_Excel!$A:$A,0)&amp;""),
 1,X65-1),
 "")=0,"",
IFERROR(
INDEX(INDIRECT("数出表_Excel!B"&amp;MATCH(AC22,数出表_Excel!$A:$A,0)&amp;":U"&amp;MATCH(AC22,数出表_Excel!$A:$A,0)&amp;""),
 1,X65-1),
 "")),"")</f>
        <v/>
      </c>
      <c r="AB67" s="144"/>
      <c r="AC67" s="154"/>
      <c r="AF67" s="143"/>
      <c r="AG67" s="120" t="str">
        <f t="array" aca="1" ref="AG67" ca="1">IF(AG65&lt;&gt;"",
IF(IFERROR(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"")=0,"",
IF(AF24=100,
IFERROR(
INDEX(INDIRECT("数出表_Excel!"&amp;AF64&amp;MATCH(AK22,数出表_Excel!$A:$A,0)-1+2&amp;":U"&amp;MATCH(AK22,数出表_Excel!$A:$A,0)-1+2&amp;""),
 1,
 MATCH(TRUE, ISNUMBER(--INDIRECT("数出表_Excel!"&amp;AF64&amp;MATCH(AK22,数出表_Excel!$A:$A,0)-1+2&amp;":U"&amp;MATCH(AK22,数出表_Excel!$A:$A,0)-1+2&amp;"")), 0)),
 "")
+IFERROR(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""),
IFERROR(
INDEX(INDIRECT("数出表_Excel!"&amp;AF64&amp;MATCH(AK22,数出表_Excel!$A:$A,0)-1&amp;":U"&amp;MATCH(AK22,数出表_Excel!$A:$A,0)-1&amp;""),
 1,
 MATCH(TRUE, ISNUMBER(--INDIRECT("数出表_Excel!"&amp;AF64&amp;MATCH(AK22,数出表_Excel!$A:$A,0)-1&amp;":U"&amp;MATCH(AK22,数出表_Excel!$A:$A,0)-1&amp;"")), 0)),
 ""))),"")</f>
        <v/>
      </c>
      <c r="AH67" s="144"/>
      <c r="AI67" s="145" t="str">
        <f t="array" aca="1" ref="AI67" ca="1">IF(AG23&lt;&gt;"",
IF(IFERROR(
INDEX(INDIRECT("数出表_Excel!B"&amp;MATCH(AK22,数出表_Excel!$A:$A,0)&amp;":U"&amp;MATCH(AK22,数出表_Excel!$A:$A,0)&amp;""),
 1,AF65-1),
 "")=0,"",
IFERROR(
INDEX(INDIRECT("数出表_Excel!B"&amp;MATCH(AK22,数出表_Excel!$A:$A,0)&amp;":U"&amp;MATCH(AK22,数出表_Excel!$A:$A,0)&amp;""),
 1,AF65-1),
 "")),"")</f>
        <v/>
      </c>
      <c r="AJ67" s="144"/>
      <c r="AK67" s="154"/>
      <c r="AM67" s="143"/>
      <c r="AN67" s="120" t="str">
        <f t="array" aca="1" ref="AN67" ca="1">IF(AN65&lt;&gt;"",
IF(IFERROR(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"")=0,"",
IF(AM24=100,
IFERROR(
INDEX(INDIRECT("数出表_Excel!"&amp;AM64&amp;MATCH(AR22,数出表_Excel!$A:$A,0)-1+2&amp;":U"&amp;MATCH(AR22,数出表_Excel!$A:$A,0)-1+2&amp;""),
 1,
 MATCH(TRUE, ISNUMBER(--INDIRECT("数出表_Excel!"&amp;AM64&amp;MATCH(AR22,数出表_Excel!$A:$A,0)-1+2&amp;":U"&amp;MATCH(AR22,数出表_Excel!$A:$A,0)-1+2&amp;"")), 0)),
 "")
+IFERROR(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""),
IFERROR(
INDEX(INDIRECT("数出表_Excel!"&amp;AM64&amp;MATCH(AR22,数出表_Excel!$A:$A,0)-1&amp;":U"&amp;MATCH(AR22,数出表_Excel!$A:$A,0)-1&amp;""),
 1,
 MATCH(TRUE, ISNUMBER(--INDIRECT("数出表_Excel!"&amp;AM64&amp;MATCH(AR22,数出表_Excel!$A:$A,0)-1&amp;":U"&amp;MATCH(AR22,数出表_Excel!$A:$A,0)-1&amp;"")), 0)),
 ""))),"")</f>
        <v/>
      </c>
      <c r="AO67" s="144"/>
      <c r="AP67" s="145" t="str">
        <f t="array" aca="1" ref="AP67" ca="1">IF(AN23&lt;&gt;"",
IF(IFERROR(
INDEX(INDIRECT("数出表_Excel!B"&amp;MATCH(AR22,数出表_Excel!$A:$A,0)&amp;":U"&amp;MATCH(AR22,数出表_Excel!$A:$A,0)&amp;""),
 1,AM65-1),
 "")=0,"",
IFERROR(
INDEX(INDIRECT("数出表_Excel!B"&amp;MATCH(AR22,数出表_Excel!$A:$A,0)&amp;":U"&amp;MATCH(AR22,数出表_Excel!$A:$A,0)&amp;""),
 1,AM65-1),
 "")),"")</f>
        <v/>
      </c>
      <c r="AQ67" s="144"/>
      <c r="AR67" s="154"/>
      <c r="AU67" s="143"/>
      <c r="AV67" s="120" t="str">
        <f t="array" aca="1" ref="AV67" ca="1">IF(AV65&lt;&gt;"",
IF(IFERROR(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"")=0,"",
IF(AU24=100,
IFERROR(
INDEX(INDIRECT("数出表_Excel!"&amp;AU64&amp;MATCH(AZ22,数出表_Excel!$A:$A,0)-1+2&amp;":U"&amp;MATCH(AZ22,数出表_Excel!$A:$A,0)-1+2&amp;""),
 1,
 MATCH(TRUE, ISNUMBER(--INDIRECT("数出表_Excel!"&amp;AU64&amp;MATCH(AZ22,数出表_Excel!$A:$A,0)-1+2&amp;":U"&amp;MATCH(AZ22,数出表_Excel!$A:$A,0)-1+2&amp;"")), 0)),
 "")
+IFERROR(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""),
IFERROR(
INDEX(INDIRECT("数出表_Excel!"&amp;AU64&amp;MATCH(AZ22,数出表_Excel!$A:$A,0)-1&amp;":U"&amp;MATCH(AZ22,数出表_Excel!$A:$A,0)-1&amp;""),
 1,
 MATCH(TRUE, ISNUMBER(--INDIRECT("数出表_Excel!"&amp;AU64&amp;MATCH(AZ22,数出表_Excel!$A:$A,0)-1&amp;":U"&amp;MATCH(AZ22,数出表_Excel!$A:$A,0)-1&amp;"")), 0)),
 ""))),"")</f>
        <v/>
      </c>
      <c r="AW67" s="144"/>
      <c r="AX67" s="145" t="str">
        <f t="array" aca="1" ref="AX67" ca="1">IF(AV23&lt;&gt;"",
IF(IFERROR(
INDEX(INDIRECT("数出表_Excel!B"&amp;MATCH(AZ22,数出表_Excel!$A:$A,0)&amp;":U"&amp;MATCH(AZ22,数出表_Excel!$A:$A,0)&amp;""),
 1,AU65-1),
 "")=0,"",
IFERROR(
INDEX(INDIRECT("数出表_Excel!B"&amp;MATCH(AZ22,数出表_Excel!$A:$A,0)&amp;":U"&amp;MATCH(AZ22,数出表_Excel!$A:$A,0)&amp;""),
 1,AU65-1),
 "")),"")</f>
        <v/>
      </c>
      <c r="AY67" s="144"/>
      <c r="AZ67" s="154"/>
      <c r="BB67" s="143"/>
      <c r="BC67" s="120" t="str">
        <f t="array" aca="1" ref="BC67" ca="1">IF(BC65&lt;&gt;"",
IF(IFERROR(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"")=0,"",
IF(BB24=100,
IFERROR(
INDEX(INDIRECT("数出表_Excel!"&amp;BB64&amp;MATCH(BG22,数出表_Excel!$A:$A,0)-1+2&amp;":U"&amp;MATCH(BG22,数出表_Excel!$A:$A,0)-1+2&amp;""),
 1,
 MATCH(TRUE, ISNUMBER(--INDIRECT("数出表_Excel!"&amp;BB64&amp;MATCH(BG22,数出表_Excel!$A:$A,0)-1+2&amp;":U"&amp;MATCH(BG22,数出表_Excel!$A:$A,0)-1+2&amp;"")), 0)),
 "")
+IFERROR(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""),
IFERROR(
INDEX(INDIRECT("数出表_Excel!"&amp;BB64&amp;MATCH(BG22,数出表_Excel!$A:$A,0)-1&amp;":U"&amp;MATCH(BG22,数出表_Excel!$A:$A,0)-1&amp;""),
 1,
 MATCH(TRUE, ISNUMBER(--INDIRECT("数出表_Excel!"&amp;BB64&amp;MATCH(BG22,数出表_Excel!$A:$A,0)-1&amp;":U"&amp;MATCH(BG22,数出表_Excel!$A:$A,0)-1&amp;"")), 0)),
 ""))),"")</f>
        <v/>
      </c>
      <c r="BD67" s="144"/>
      <c r="BE67" s="145" t="str">
        <f t="array" aca="1" ref="BE67" ca="1">IF(BC23&lt;&gt;"",
IF(IFERROR(
INDEX(INDIRECT("数出表_Excel!B"&amp;MATCH(BG22,数出表_Excel!$A:$A,0)&amp;":U"&amp;MATCH(BG22,数出表_Excel!$A:$A,0)&amp;""),
 1,BB65-1),
 "")=0,"",
IFERROR(
INDEX(INDIRECT("数出表_Excel!B"&amp;MATCH(BG22,数出表_Excel!$A:$A,0)&amp;":U"&amp;MATCH(BG22,数出表_Excel!$A:$A,0)&amp;""),
 1,BB65-1),
 "")),"")</f>
        <v/>
      </c>
      <c r="BF67" s="144"/>
      <c r="BG67" s="154"/>
      <c r="BJ67" s="143"/>
      <c r="BK67" s="120" t="str">
        <f t="array" aca="1" ref="BK67" ca="1">IF(BK65&lt;&gt;"",
IF(IFERROR(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"")=0,"",
IF(BJ24=100,
IFERROR(
INDEX(INDIRECT("数出表_Excel!"&amp;BJ64&amp;MATCH(BO22,数出表_Excel!$A:$A,0)-1+2&amp;":U"&amp;MATCH(BO22,数出表_Excel!$A:$A,0)-1+2&amp;""),
 1,
 MATCH(TRUE, ISNUMBER(--INDIRECT("数出表_Excel!"&amp;BJ64&amp;MATCH(BO22,数出表_Excel!$A:$A,0)-1+2&amp;":U"&amp;MATCH(BO22,数出表_Excel!$A:$A,0)-1+2&amp;"")), 0)),
 "")
+IFERROR(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""),
IFERROR(
INDEX(INDIRECT("数出表_Excel!"&amp;BJ64&amp;MATCH(BO22,数出表_Excel!$A:$A,0)-1&amp;":U"&amp;MATCH(BO22,数出表_Excel!$A:$A,0)-1&amp;""),
 1,
 MATCH(TRUE, ISNUMBER(--INDIRECT("数出表_Excel!"&amp;BJ64&amp;MATCH(BO22,数出表_Excel!$A:$A,0)-1&amp;":U"&amp;MATCH(BO22,数出表_Excel!$A:$A,0)-1&amp;"")), 0)),
 ""))),"")</f>
        <v/>
      </c>
      <c r="BL67" s="144"/>
      <c r="BM67" s="145" t="str">
        <f t="array" aca="1" ref="BM67" ca="1">IF(BK23&lt;&gt;"",
IF(IFERROR(
INDEX(INDIRECT("数出表_Excel!B"&amp;MATCH(BO22,数出表_Excel!$A:$A,0)&amp;":U"&amp;MATCH(BO22,数出表_Excel!$A:$A,0)&amp;""),
 1,BJ65-1),
 "")=0,"",
IFERROR(
INDEX(INDIRECT("数出表_Excel!B"&amp;MATCH(BO22,数出表_Excel!$A:$A,0)&amp;":U"&amp;MATCH(BO22,数出表_Excel!$A:$A,0)&amp;""),
 1,BJ65-1),
 "")),"")</f>
        <v/>
      </c>
      <c r="BN67" s="144"/>
      <c r="BO67" s="154"/>
      <c r="BQ67" s="143"/>
      <c r="BR67" s="120" t="str">
        <f t="array" aca="1" ref="BR67" ca="1">IF(BR65&lt;&gt;"",
IF(IFERROR(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"")=0,"",
IF(BQ24=100,
IFERROR(
INDEX(INDIRECT("数出表_Excel!"&amp;BQ64&amp;MATCH(BV22,数出表_Excel!$A:$A,0)-1+2&amp;":U"&amp;MATCH(BV22,数出表_Excel!$A:$A,0)-1+2&amp;""),
 1,
 MATCH(TRUE, ISNUMBER(--INDIRECT("数出表_Excel!"&amp;BQ64&amp;MATCH(BV22,数出表_Excel!$A:$A,0)-1+2&amp;":U"&amp;MATCH(BV22,数出表_Excel!$A:$A,0)-1+2&amp;"")), 0)),
 "")
+IFERROR(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""),
IFERROR(
INDEX(INDIRECT("数出表_Excel!"&amp;BQ64&amp;MATCH(BV22,数出表_Excel!$A:$A,0)-1&amp;":U"&amp;MATCH(BV22,数出表_Excel!$A:$A,0)-1&amp;""),
 1,
 MATCH(TRUE, ISNUMBER(--INDIRECT("数出表_Excel!"&amp;BQ64&amp;MATCH(BV22,数出表_Excel!$A:$A,0)-1&amp;":U"&amp;MATCH(BV22,数出表_Excel!$A:$A,0)-1&amp;"")), 0)),
 ""))),"")</f>
        <v/>
      </c>
      <c r="BS67" s="144"/>
      <c r="BT67" s="145" t="str">
        <f t="array" aca="1" ref="BT67" ca="1">IF(BR23&lt;&gt;"",
IF(IFERROR(
INDEX(INDIRECT("数出表_Excel!B"&amp;MATCH(BV22,数出表_Excel!$A:$A,0)&amp;":U"&amp;MATCH(BV22,数出表_Excel!$A:$A,0)&amp;""),
 1,BQ65-1),
 "")=0,"",
IFERROR(
INDEX(INDIRECT("数出表_Excel!B"&amp;MATCH(BV22,数出表_Excel!$A:$A,0)&amp;":U"&amp;MATCH(BV22,数出表_Excel!$A:$A,0)&amp;""),
 1,BQ65-1),
 "")),"")</f>
        <v/>
      </c>
      <c r="BU67" s="144"/>
      <c r="BV67" s="154"/>
      <c r="BX67" s="146">
        <f t="shared" si="4"/>
        <v>28</v>
      </c>
      <c r="BY67" s="132" t="str">
        <f t="array" aca="1" ref="BY67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LEN(SUBSTITUTE(_xlfn.FORMULATEXT(BY$51),"=","")))+$BX67)</f>
        <v/>
      </c>
      <c r="BZ67" s="132" t="str">
        <f t="array" aca="1" ref="BZ67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LEN(SUBSTITUTE(_xlfn.FORMULATEXT(BZ$51),"=","")))+$BX67)</f>
        <v/>
      </c>
      <c r="CA67" s="132" t="str">
        <f t="array" aca="1" ref="CA67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LEN(SUBSTITUTE(_xlfn.FORMULATEXT(CA$51),"=","")))+$BX67)</f>
        <v/>
      </c>
      <c r="CB67" s="132" t="str">
        <f t="array" aca="1" ref="CB67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LEN(SUBSTITUTE(_xlfn.FORMULATEXT(CB$51),"=","")))+$BX67)</f>
        <v/>
      </c>
      <c r="CC67" s="132" t="str">
        <f t="array" aca="1" ref="CC67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LEN(SUBSTITUTE(_xlfn.FORMULATEXT(CC$51),"=","")))+$BX67)</f>
        <v/>
      </c>
      <c r="CD67" s="132" t="str">
        <f t="array" aca="1" ref="CD67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LEN(SUBSTITUTE(_xlfn.FORMULATEXT(CD$51),"=","")))+$BX67)</f>
        <v/>
      </c>
      <c r="CE67" s="132" t="str">
        <f t="array" aca="1" ref="CE67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LEN(SUBSTITUTE(_xlfn.FORMULATEXT(CE$51),"=","")))+$BX67)</f>
        <v/>
      </c>
      <c r="CF67" s="132" t="str">
        <f t="array" aca="1" ref="CF67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LEN(SUBSTITUTE(_xlfn.FORMULATEXT(CF$51),"=","")))+$BX67)</f>
        <v/>
      </c>
      <c r="CG67" s="132" t="str">
        <f t="array" aca="1" ref="CG67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LEN(SUBSTITUTE(_xlfn.FORMULATEXT(CG$51),"=","")))+$BX67)</f>
        <v/>
      </c>
      <c r="CH67" s="132" t="str">
        <f t="array" aca="1" ref="CH67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LEN(SUBSTITUTE(_xlfn.FORMULATEXT(CH$51),"=","")))+$BX67)</f>
        <v/>
      </c>
      <c r="CI67" s="132">
        <f t="shared" ca="1" si="5"/>
        <v>0</v>
      </c>
      <c r="CJ67" s="132" t="b">
        <f t="array" aca="1" ref="CJ67" ca="1">SUMPRODUCT((LEN(BY67:CH67)&gt;0)*1)&gt;0</f>
        <v>0</v>
      </c>
      <c r="CK67" s="132" t="str" cm="1">
        <f t="array" aca="1" ref="CK67" ca="1">IFERROR(SMALL(IF(CI$1:CI$150&lt;&gt;0,CI$1:CI$150),ROW(A67)),"")</f>
        <v/>
      </c>
      <c r="CL67" s="132" t="str">
        <f t="array" aca="1" ref="CL67" ca="1">IF($CK67&lt;&gt;"",
INDIRECT(""&amp;IF(COLUMN(BY67)&lt;=26,CHAR(COLUMN(BY67)+64),CHAR(INT((COLUMN(BY67)-1)/26)+64)&amp;CHAR(MOD(COLUMN(BY67)-1,26)+65))&amp;$CK67&amp;""),"")</f>
        <v/>
      </c>
      <c r="CM67" s="132" t="str">
        <f t="array" aca="1" ref="CM67" ca="1">IF($CK67&lt;&gt;"",
INDIRECT(""&amp;IF(COLUMN(BZ67)&lt;=26,CHAR(COLUMN(BZ67)+64),CHAR(INT((COLUMN(BZ67)-1)/26)+64)&amp;CHAR(MOD(COLUMN(BZ67)-1,26)+65))&amp;$CK67&amp;""),"")</f>
        <v/>
      </c>
      <c r="CN67" s="132" t="str">
        <f t="array" aca="1" ref="CN67" ca="1">IF($CK67&lt;&gt;"",
INDIRECT(""&amp;IF(COLUMN(CA67)&lt;=26,CHAR(COLUMN(CA67)+64),CHAR(INT((COLUMN(CA67)-1)/26)+64)&amp;CHAR(MOD(COLUMN(CA67)-1,26)+65))&amp;$CK67&amp;""),"")</f>
        <v/>
      </c>
      <c r="CO67" s="132" t="str">
        <f t="array" aca="1" ref="CO67" ca="1">IF($CK67&lt;&gt;"",
INDIRECT(""&amp;IF(COLUMN(CB67)&lt;=26,CHAR(COLUMN(CB67)+64),CHAR(INT((COLUMN(CB67)-1)/26)+64)&amp;CHAR(MOD(COLUMN(CB67)-1,26)+65))&amp;$CK67&amp;""),"")</f>
        <v/>
      </c>
      <c r="CP67" s="132" t="str">
        <f t="array" aca="1" ref="CP67" ca="1">IF($CK67&lt;&gt;"",
INDIRECT(""&amp;IF(COLUMN(CC67)&lt;=26,CHAR(COLUMN(CC67)+64),CHAR(INT((COLUMN(CC67)-1)/26)+64)&amp;CHAR(MOD(COLUMN(CC67)-1,26)+65))&amp;$CK67&amp;""),"")</f>
        <v/>
      </c>
      <c r="CQ67" s="132" t="str">
        <f t="array" aca="1" ref="CQ67" ca="1">IF($CK67&lt;&gt;"",
INDIRECT(""&amp;IF(COLUMN(CD67)&lt;=26,CHAR(COLUMN(CD67)+64),CHAR(INT((COLUMN(CD67)-1)/26)+64)&amp;CHAR(MOD(COLUMN(CD67)-1,26)+65))&amp;$CK67&amp;""),"")</f>
        <v/>
      </c>
      <c r="CR67" s="132" t="str">
        <f t="array" aca="1" ref="CR67" ca="1">IF($CK67&lt;&gt;"",
INDIRECT(""&amp;IF(COLUMN(CE67)&lt;=26,CHAR(COLUMN(CE67)+64),CHAR(INT((COLUMN(CE67)-1)/26)+64)&amp;CHAR(MOD(COLUMN(CE67)-1,26)+65))&amp;$CK67&amp;""),"")</f>
        <v/>
      </c>
      <c r="CS67" s="132" t="str">
        <f t="array" aca="1" ref="CS67" ca="1">IF($CK67&lt;&gt;"",
INDIRECT(""&amp;IF(COLUMN(CF67)&lt;=26,CHAR(COLUMN(CF67)+64),CHAR(INT((COLUMN(CF67)-1)/26)+64)&amp;CHAR(MOD(COLUMN(CF67)-1,26)+65))&amp;$CK67&amp;""),"")</f>
        <v/>
      </c>
      <c r="CT67" s="132" t="str">
        <f t="array" aca="1" ref="CT67" ca="1">IF($CK67&lt;&gt;"",
INDIRECT(""&amp;IF(COLUMN(CG67)&lt;=26,CHAR(COLUMN(CG67)+64),CHAR(INT((COLUMN(CG67)-1)/26)+64)&amp;CHAR(MOD(COLUMN(CG67)-1,26)+65))&amp;$CK67&amp;""),"")</f>
        <v/>
      </c>
      <c r="CU67" s="132" t="str">
        <f t="array" aca="1" ref="CU67" ca="1">IF($CK67&lt;&gt;"",
INDIRECT(""&amp;IF(COLUMN(CH67)&lt;=26,CHAR(COLUMN(CH67)+64),CHAR(INT((COLUMN(CH67)-1)/26)+64)&amp;CHAR(MOD(COLUMN(CH67)-1,26)+65))&amp;$CK67&amp;""),"")</f>
        <v/>
      </c>
    </row>
    <row r="68" spans="1:99" ht="18" customHeight="1" x14ac:dyDescent="0.45">
      <c r="B68" s="147"/>
      <c r="C68" s="148"/>
      <c r="D68" s="148"/>
      <c r="E68" s="148"/>
      <c r="F68" s="148"/>
      <c r="G68" s="160"/>
      <c r="I68" s="147"/>
      <c r="J68" s="148"/>
      <c r="K68" s="148"/>
      <c r="L68" s="148"/>
      <c r="M68" s="148"/>
      <c r="N68" s="155"/>
      <c r="Q68" s="147"/>
      <c r="R68" s="148"/>
      <c r="S68" s="148"/>
      <c r="T68" s="148"/>
      <c r="U68" s="148"/>
      <c r="V68" s="155"/>
      <c r="X68" s="147"/>
      <c r="Y68" s="148"/>
      <c r="Z68" s="148"/>
      <c r="AA68" s="148"/>
      <c r="AB68" s="148"/>
      <c r="AC68" s="155"/>
      <c r="AF68" s="147"/>
      <c r="AG68" s="148"/>
      <c r="AH68" s="148"/>
      <c r="AI68" s="148"/>
      <c r="AJ68" s="148"/>
      <c r="AK68" s="155"/>
      <c r="AM68" s="147"/>
      <c r="AN68" s="148"/>
      <c r="AO68" s="148"/>
      <c r="AP68" s="148"/>
      <c r="AQ68" s="148"/>
      <c r="AR68" s="155"/>
      <c r="AU68" s="147"/>
      <c r="AV68" s="148"/>
      <c r="AW68" s="148"/>
      <c r="AX68" s="148"/>
      <c r="AY68" s="148"/>
      <c r="AZ68" s="155"/>
      <c r="BB68" s="147"/>
      <c r="BC68" s="148"/>
      <c r="BD68" s="148"/>
      <c r="BE68" s="148"/>
      <c r="BF68" s="148"/>
      <c r="BG68" s="155"/>
      <c r="BJ68" s="147"/>
      <c r="BK68" s="148"/>
      <c r="BL68" s="148"/>
      <c r="BM68" s="148"/>
      <c r="BN68" s="148"/>
      <c r="BO68" s="155"/>
      <c r="BQ68" s="147"/>
      <c r="BR68" s="148"/>
      <c r="BS68" s="148"/>
      <c r="BT68" s="148"/>
      <c r="BU68" s="148"/>
      <c r="BV68" s="155"/>
      <c r="BX68" s="132">
        <f t="shared" si="4"/>
        <v>70</v>
      </c>
      <c r="BY68" s="132" t="str">
        <f t="array" aca="1" ref="BY68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LEN(SUBSTITUTE(_xlfn.FORMULATEXT(BY$51),"=","")))+$BX68)</f>
        <v/>
      </c>
      <c r="BZ68" s="132" t="str">
        <f t="array" aca="1" ref="BZ68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LEN(SUBSTITUTE(_xlfn.FORMULATEXT(BZ$51),"=","")))+$BX68)</f>
        <v/>
      </c>
      <c r="CA68" s="132" t="str">
        <f t="array" aca="1" ref="CA68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LEN(SUBSTITUTE(_xlfn.FORMULATEXT(CA$51),"=","")))+$BX68)</f>
        <v/>
      </c>
      <c r="CB68" s="132" t="str">
        <f t="array" aca="1" ref="CB68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LEN(SUBSTITUTE(_xlfn.FORMULATEXT(CB$51),"=","")))+$BX68)</f>
        <v/>
      </c>
      <c r="CC68" s="132" t="str">
        <f t="array" aca="1" ref="CC68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LEN(SUBSTITUTE(_xlfn.FORMULATEXT(CC$51),"=","")))+$BX68)</f>
        <v/>
      </c>
      <c r="CD68" s="132" t="str">
        <f t="array" aca="1" ref="CD68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LEN(SUBSTITUTE(_xlfn.FORMULATEXT(CD$51),"=","")))+$BX68)</f>
        <v/>
      </c>
      <c r="CE68" s="132" t="str">
        <f t="array" aca="1" ref="CE68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LEN(SUBSTITUTE(_xlfn.FORMULATEXT(CE$51),"=","")))+$BX68)</f>
        <v/>
      </c>
      <c r="CF68" s="132" t="str">
        <f t="array" aca="1" ref="CF68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LEN(SUBSTITUTE(_xlfn.FORMULATEXT(CF$51),"=","")))+$BX68)</f>
        <v/>
      </c>
      <c r="CG68" s="132" t="str">
        <f t="array" aca="1" ref="CG68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LEN(SUBSTITUTE(_xlfn.FORMULATEXT(CG$51),"=","")))+$BX68)</f>
        <v/>
      </c>
      <c r="CH68" s="132" t="str">
        <f t="array" aca="1" ref="CH68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LEN(SUBSTITUTE(_xlfn.FORMULATEXT(CH$51),"=","")))+$BX68)</f>
        <v/>
      </c>
      <c r="CI68" s="132">
        <f t="shared" ca="1" si="5"/>
        <v>0</v>
      </c>
      <c r="CJ68" s="132" t="b">
        <f t="array" aca="1" ref="CJ68" ca="1">SUMPRODUCT((LEN(BY68:CH68)&gt;0)*1)&gt;0</f>
        <v>0</v>
      </c>
      <c r="CK68" s="132" t="str" cm="1">
        <f t="array" aca="1" ref="CK68" ca="1">IFERROR(SMALL(IF(CI$1:CI$150&lt;&gt;0,CI$1:CI$150),ROW(A68)),"")</f>
        <v/>
      </c>
      <c r="CL68" s="132" t="str">
        <f t="array" aca="1" ref="CL68" ca="1">IF($CK68&lt;&gt;"",
INDIRECT(""&amp;IF(COLUMN(BY68)&lt;=26,CHAR(COLUMN(BY68)+64),CHAR(INT((COLUMN(BY68)-1)/26)+64)&amp;CHAR(MOD(COLUMN(BY68)-1,26)+65))&amp;$CK68&amp;""),"")</f>
        <v/>
      </c>
      <c r="CM68" s="132" t="str">
        <f t="array" aca="1" ref="CM68" ca="1">IF($CK68&lt;&gt;"",
INDIRECT(""&amp;IF(COLUMN(BZ68)&lt;=26,CHAR(COLUMN(BZ68)+64),CHAR(INT((COLUMN(BZ68)-1)/26)+64)&amp;CHAR(MOD(COLUMN(BZ68)-1,26)+65))&amp;$CK68&amp;""),"")</f>
        <v/>
      </c>
      <c r="CN68" s="132" t="str">
        <f t="array" aca="1" ref="CN68" ca="1">IF($CK68&lt;&gt;"",
INDIRECT(""&amp;IF(COLUMN(CA68)&lt;=26,CHAR(COLUMN(CA68)+64),CHAR(INT((COLUMN(CA68)-1)/26)+64)&amp;CHAR(MOD(COLUMN(CA68)-1,26)+65))&amp;$CK68&amp;""),"")</f>
        <v/>
      </c>
      <c r="CO68" s="132" t="str">
        <f t="array" aca="1" ref="CO68" ca="1">IF($CK68&lt;&gt;"",
INDIRECT(""&amp;IF(COLUMN(CB68)&lt;=26,CHAR(COLUMN(CB68)+64),CHAR(INT((COLUMN(CB68)-1)/26)+64)&amp;CHAR(MOD(COLUMN(CB68)-1,26)+65))&amp;$CK68&amp;""),"")</f>
        <v/>
      </c>
      <c r="CP68" s="132" t="str">
        <f t="array" aca="1" ref="CP68" ca="1">IF($CK68&lt;&gt;"",
INDIRECT(""&amp;IF(COLUMN(CC68)&lt;=26,CHAR(COLUMN(CC68)+64),CHAR(INT((COLUMN(CC68)-1)/26)+64)&amp;CHAR(MOD(COLUMN(CC68)-1,26)+65))&amp;$CK68&amp;""),"")</f>
        <v/>
      </c>
      <c r="CQ68" s="132" t="str">
        <f t="array" aca="1" ref="CQ68" ca="1">IF($CK68&lt;&gt;"",
INDIRECT(""&amp;IF(COLUMN(CD68)&lt;=26,CHAR(COLUMN(CD68)+64),CHAR(INT((COLUMN(CD68)-1)/26)+64)&amp;CHAR(MOD(COLUMN(CD68)-1,26)+65))&amp;$CK68&amp;""),"")</f>
        <v/>
      </c>
      <c r="CR68" s="132" t="str">
        <f t="array" aca="1" ref="CR68" ca="1">IF($CK68&lt;&gt;"",
INDIRECT(""&amp;IF(COLUMN(CE68)&lt;=26,CHAR(COLUMN(CE68)+64),CHAR(INT((COLUMN(CE68)-1)/26)+64)&amp;CHAR(MOD(COLUMN(CE68)-1,26)+65))&amp;$CK68&amp;""),"")</f>
        <v/>
      </c>
      <c r="CS68" s="132" t="str">
        <f t="array" aca="1" ref="CS68" ca="1">IF($CK68&lt;&gt;"",
INDIRECT(""&amp;IF(COLUMN(CF68)&lt;=26,CHAR(COLUMN(CF68)+64),CHAR(INT((COLUMN(CF68)-1)/26)+64)&amp;CHAR(MOD(COLUMN(CF68)-1,26)+65))&amp;$CK68&amp;""),"")</f>
        <v/>
      </c>
      <c r="CT68" s="132" t="str">
        <f t="array" aca="1" ref="CT68" ca="1">IF($CK68&lt;&gt;"",
INDIRECT(""&amp;IF(COLUMN(CG68)&lt;=26,CHAR(COLUMN(CG68)+64),CHAR(INT((COLUMN(CG68)-1)/26)+64)&amp;CHAR(MOD(COLUMN(CG68)-1,26)+65))&amp;$CK68&amp;""),"")</f>
        <v/>
      </c>
      <c r="CU68" s="132" t="str">
        <f t="array" aca="1" ref="CU68" ca="1">IF($CK68&lt;&gt;"",
INDIRECT(""&amp;IF(COLUMN(CH68)&lt;=26,CHAR(COLUMN(CH68)+64),CHAR(INT((COLUMN(CH68)-1)/26)+64)&amp;CHAR(MOD(COLUMN(CH68)-1,26)+65))&amp;$CK68&amp;""),"")</f>
        <v/>
      </c>
    </row>
    <row r="69" spans="1:99" s="132" customFormat="1" ht="22.2" customHeight="1" x14ac:dyDescent="0.55000000000000004">
      <c r="A69" s="129"/>
      <c r="B69" s="149" t="str">
        <f ca="1">IF(C67&lt;&gt;"","パン箱","")</f>
        <v/>
      </c>
      <c r="C69" s="150" t="str">
        <f ca="1">IF(C67&lt;&gt;"",IF(OR(COUNTIF('盛付札（関数）'!C65,"*キャラ*"),COUNTIF('盛付札（関数）'!C65,"*赤*")),24,
VLOOKUP('盛付札（関数）'!C65,商品マスタ一覧!$D:$I,6,FALSE)),"")</f>
        <v/>
      </c>
      <c r="D69" s="149" t="str">
        <f ca="1">IF(C67&lt;&gt;"","　端数","")</f>
        <v/>
      </c>
      <c r="E69" s="150"/>
      <c r="F69" s="149" t="str">
        <f ca="1">IF(C67&lt;&gt;"","アレルギー","")</f>
        <v/>
      </c>
      <c r="G69" s="159"/>
      <c r="H69" s="129"/>
      <c r="I69" s="149" t="str">
        <f ca="1">IF(J67&lt;&gt;"","パン箱","")</f>
        <v/>
      </c>
      <c r="J69" s="150" t="str">
        <f ca="1">IF(J67&lt;&gt;"",IF(OR(COUNTIF('盛付札（関数）'!J65,"*キャラ*"),COUNTIF('盛付札（関数）'!J65,"*赤*")),24,
VLOOKUP('盛付札（関数）'!J65,商品マスタ一覧!$D:$I,6,FALSE)),"")</f>
        <v/>
      </c>
      <c r="K69" s="149" t="str">
        <f ca="1">IF(J67&lt;&gt;"","　端数","")</f>
        <v/>
      </c>
      <c r="L69" s="150"/>
      <c r="M69" s="149" t="str">
        <f ca="1">IF(J67&lt;&gt;"","アレルギー","")</f>
        <v/>
      </c>
      <c r="N69" s="154"/>
      <c r="O69" s="129"/>
      <c r="P69" s="129"/>
      <c r="Q69" s="149" t="str">
        <f ca="1">IF(R67&lt;&gt;"","パン箱","")</f>
        <v/>
      </c>
      <c r="R69" s="150" t="str">
        <f ca="1">IF(R67&lt;&gt;"",IF(OR(COUNTIF('盛付札（関数）'!R65,"*キャラ*"),COUNTIF('盛付札（関数）'!R65,"*赤*")),24,
VLOOKUP('盛付札（関数）'!R65,商品マスタ一覧!$D:$I,6,FALSE)),"")</f>
        <v/>
      </c>
      <c r="S69" s="149" t="str">
        <f ca="1">IF(R67&lt;&gt;"","　端数","")</f>
        <v/>
      </c>
      <c r="T69" s="150"/>
      <c r="U69" s="149" t="str">
        <f ca="1">IF(R67&lt;&gt;"","アレルギー","")</f>
        <v/>
      </c>
      <c r="V69" s="154"/>
      <c r="W69" s="129"/>
      <c r="X69" s="149" t="str">
        <f ca="1">IF(Y67&lt;&gt;"","パン箱","")</f>
        <v/>
      </c>
      <c r="Y69" s="150" t="str">
        <f ca="1">IF(Y67&lt;&gt;"",IF(OR(COUNTIF('盛付札（関数）'!Y65,"*キャラ*"),COUNTIF('盛付札（関数）'!Y65,"*赤*")),24,
VLOOKUP('盛付札（関数）'!Y65,商品マスタ一覧!$D:$I,6,FALSE)),"")</f>
        <v/>
      </c>
      <c r="Z69" s="149" t="str">
        <f ca="1">IF(Y67&lt;&gt;"","　端数","")</f>
        <v/>
      </c>
      <c r="AA69" s="150"/>
      <c r="AB69" s="149" t="str">
        <f ca="1">IF(Y67&lt;&gt;"","アレルギー","")</f>
        <v/>
      </c>
      <c r="AC69" s="154"/>
      <c r="AD69" s="129"/>
      <c r="AE69" s="129"/>
      <c r="AF69" s="149" t="str">
        <f ca="1">IF(AG67&lt;&gt;"","パン箱","")</f>
        <v/>
      </c>
      <c r="AG69" s="150" t="str">
        <f ca="1">IF(AG67&lt;&gt;"",IF(OR(COUNTIF('盛付札（関数）'!AG65,"*キャラ*"),COUNTIF('盛付札（関数）'!AG65,"*赤*")),24,
VLOOKUP('盛付札（関数）'!AG65,商品マスタ一覧!$D:$I,6,FALSE)),"")</f>
        <v/>
      </c>
      <c r="AH69" s="149" t="str">
        <f ca="1">IF(AG67&lt;&gt;"","　端数","")</f>
        <v/>
      </c>
      <c r="AI69" s="150"/>
      <c r="AJ69" s="149" t="str">
        <f ca="1">IF(AG67&lt;&gt;"","アレルギー","")</f>
        <v/>
      </c>
      <c r="AK69" s="154"/>
      <c r="AL69" s="129"/>
      <c r="AM69" s="149" t="str">
        <f ca="1">IF(AN67&lt;&gt;"","パン箱","")</f>
        <v/>
      </c>
      <c r="AN69" s="150" t="str">
        <f ca="1">IF(AN67&lt;&gt;"",IF(OR(COUNTIF('盛付札（関数）'!AN65,"*キャラ*"),COUNTIF('盛付札（関数）'!AN65,"*赤*")),24,
VLOOKUP('盛付札（関数）'!AN65,商品マスタ一覧!$D:$I,6,FALSE)),"")</f>
        <v/>
      </c>
      <c r="AO69" s="149" t="str">
        <f ca="1">IF(AN67&lt;&gt;"","　端数","")</f>
        <v/>
      </c>
      <c r="AP69" s="150"/>
      <c r="AQ69" s="149" t="str">
        <f ca="1">IF(AN67&lt;&gt;"","アレルギー","")</f>
        <v/>
      </c>
      <c r="AR69" s="154"/>
      <c r="AS69" s="129"/>
      <c r="AT69" s="129"/>
      <c r="AU69" s="149" t="str">
        <f ca="1">IF(AV67&lt;&gt;"","パン箱","")</f>
        <v/>
      </c>
      <c r="AV69" s="150" t="str">
        <f ca="1">IF(AV67&lt;&gt;"",IF(OR(COUNTIF('盛付札（関数）'!AV65,"*キャラ*"),COUNTIF('盛付札（関数）'!AV65,"*赤*")),24,
VLOOKUP('盛付札（関数）'!AV65,商品マスタ一覧!$D:$I,6,FALSE)),"")</f>
        <v/>
      </c>
      <c r="AW69" s="149" t="str">
        <f ca="1">IF(AV67&lt;&gt;"","　端数","")</f>
        <v/>
      </c>
      <c r="AX69" s="150"/>
      <c r="AY69" s="149" t="str">
        <f ca="1">IF(AV67&lt;&gt;"","アレルギー","")</f>
        <v/>
      </c>
      <c r="AZ69" s="154"/>
      <c r="BA69" s="129"/>
      <c r="BB69" s="149" t="str">
        <f ca="1">IF(BC67&lt;&gt;"","パン箱","")</f>
        <v/>
      </c>
      <c r="BC69" s="150" t="str">
        <f ca="1">IF(BC67&lt;&gt;"",IF(OR(COUNTIF('盛付札（関数）'!BC65,"*キャラ*"),COUNTIF('盛付札（関数）'!BC65,"*赤*")),24,
VLOOKUP('盛付札（関数）'!BC65,商品マスタ一覧!$D:$I,6,FALSE)),"")</f>
        <v/>
      </c>
      <c r="BD69" s="149" t="str">
        <f ca="1">IF(BC67&lt;&gt;"","　端数","")</f>
        <v/>
      </c>
      <c r="BE69" s="150"/>
      <c r="BF69" s="149" t="str">
        <f ca="1">IF(BC67&lt;&gt;"","アレルギー","")</f>
        <v/>
      </c>
      <c r="BG69" s="154"/>
      <c r="BH69" s="129"/>
      <c r="BI69" s="129"/>
      <c r="BJ69" s="149" t="str">
        <f ca="1">IF(BK67&lt;&gt;"","パン箱","")</f>
        <v/>
      </c>
      <c r="BK69" s="150" t="str">
        <f ca="1">IF(BK67&lt;&gt;"",IF(OR(COUNTIF('盛付札（関数）'!BK65,"*キャラ*"),COUNTIF('盛付札（関数）'!BK65,"*赤*")),24,
VLOOKUP('盛付札（関数）'!BK65,商品マスタ一覧!$D:$I,6,FALSE)),"")</f>
        <v/>
      </c>
      <c r="BL69" s="149" t="str">
        <f ca="1">IF(BK67&lt;&gt;"","　端数","")</f>
        <v/>
      </c>
      <c r="BM69" s="150"/>
      <c r="BN69" s="149" t="str">
        <f ca="1">IF(BK67&lt;&gt;"","アレルギー","")</f>
        <v/>
      </c>
      <c r="BO69" s="154"/>
      <c r="BP69" s="129"/>
      <c r="BQ69" s="149" t="str">
        <f ca="1">IF(BR67&lt;&gt;"","パン箱","")</f>
        <v/>
      </c>
      <c r="BR69" s="150" t="str">
        <f ca="1">IF(BR67&lt;&gt;"",IF(OR(COUNTIF('盛付札（関数）'!BR65,"*キャラ*"),COUNTIF('盛付札（関数）'!BR65,"*赤*")),24,
VLOOKUP('盛付札（関数）'!BR65,商品マスタ一覧!$D:$I,6,FALSE)),"")</f>
        <v/>
      </c>
      <c r="BS69" s="149" t="str">
        <f ca="1">IF(BR67&lt;&gt;"","　端数","")</f>
        <v/>
      </c>
      <c r="BT69" s="150"/>
      <c r="BU69" s="149" t="str">
        <f ca="1">IF(BR67&lt;&gt;"","アレルギー","")</f>
        <v/>
      </c>
      <c r="BV69" s="154"/>
      <c r="BW69" s="129"/>
      <c r="BX69" s="132">
        <f t="shared" si="4"/>
        <v>35</v>
      </c>
      <c r="BY69" s="132" t="str">
        <f t="array" aca="1" ref="BY69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LEN(SUBSTITUTE(_xlfn.FORMULATEXT(BY$49),"=","")))+$BX69)</f>
        <v/>
      </c>
      <c r="BZ69" s="132" t="str">
        <f t="array" aca="1" ref="BZ69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LEN(SUBSTITUTE(_xlfn.FORMULATEXT(BZ$49),"=","")))+$BX69)</f>
        <v/>
      </c>
      <c r="CA69" s="132" t="str">
        <f t="array" aca="1" ref="CA69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LEN(SUBSTITUTE(_xlfn.FORMULATEXT(CA$49),"=","")))+$BX69)</f>
        <v/>
      </c>
      <c r="CB69" s="132" t="str">
        <f t="array" aca="1" ref="CB69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LEN(SUBSTITUTE(_xlfn.FORMULATEXT(CB$49),"=","")))+$BX69)</f>
        <v/>
      </c>
      <c r="CC69" s="132" t="str">
        <f t="array" aca="1" ref="CC69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LEN(SUBSTITUTE(_xlfn.FORMULATEXT(CC$49),"=","")))+$BX69)</f>
        <v/>
      </c>
      <c r="CD69" s="132" t="str">
        <f t="array" aca="1" ref="CD69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LEN(SUBSTITUTE(_xlfn.FORMULATEXT(CD$49),"=","")))+$BX69)</f>
        <v/>
      </c>
      <c r="CE69" s="132" t="str">
        <f t="array" aca="1" ref="CE69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LEN(SUBSTITUTE(_xlfn.FORMULATEXT(CE$49),"=","")))+$BX69)</f>
        <v/>
      </c>
      <c r="CF69" s="132" t="str">
        <f t="array" aca="1" ref="CF69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LEN(SUBSTITUTE(_xlfn.FORMULATEXT(CF$49),"=","")))+$BX69)</f>
        <v/>
      </c>
      <c r="CG69" s="132" t="str">
        <f t="array" aca="1" ref="CG69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LEN(SUBSTITUTE(_xlfn.FORMULATEXT(CG$49),"=","")))+$BX69)</f>
        <v/>
      </c>
      <c r="CH69" s="132" t="str">
        <f t="array" aca="1" ref="CH69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LEN(SUBSTITUTE(_xlfn.FORMULATEXT(CH$49),"=","")))+$BX69)</f>
        <v/>
      </c>
      <c r="CI69" s="132">
        <f t="shared" ca="1" si="5"/>
        <v>0</v>
      </c>
      <c r="CJ69" s="132" t="b">
        <f t="array" aca="1" ref="CJ69" ca="1">SUMPRODUCT((LEN(BY69:CH69)&gt;0)*1)&gt;0</f>
        <v>0</v>
      </c>
      <c r="CK69" s="132" t="str" cm="1">
        <f t="array" aca="1" ref="CK69" ca="1">IFERROR(SMALL(IF(CI$1:CI$150&lt;&gt;0,CI$1:CI$150),ROW(A69)),"")</f>
        <v/>
      </c>
      <c r="CL69" s="132" t="str">
        <f t="array" aca="1" ref="CL69" ca="1">IF($CK69&lt;&gt;"",
INDIRECT(""&amp;IF(COLUMN(BY69)&lt;=26,CHAR(COLUMN(BY69)+64),CHAR(INT((COLUMN(BY69)-1)/26)+64)&amp;CHAR(MOD(COLUMN(BY69)-1,26)+65))&amp;$CK69&amp;""),"")</f>
        <v/>
      </c>
      <c r="CM69" s="132" t="str">
        <f t="array" aca="1" ref="CM69" ca="1">IF($CK69&lt;&gt;"",
INDIRECT(""&amp;IF(COLUMN(BZ69)&lt;=26,CHAR(COLUMN(BZ69)+64),CHAR(INT((COLUMN(BZ69)-1)/26)+64)&amp;CHAR(MOD(COLUMN(BZ69)-1,26)+65))&amp;$CK69&amp;""),"")</f>
        <v/>
      </c>
      <c r="CN69" s="132" t="str">
        <f t="array" aca="1" ref="CN69" ca="1">IF($CK69&lt;&gt;"",
INDIRECT(""&amp;IF(COLUMN(CA69)&lt;=26,CHAR(COLUMN(CA69)+64),CHAR(INT((COLUMN(CA69)-1)/26)+64)&amp;CHAR(MOD(COLUMN(CA69)-1,26)+65))&amp;$CK69&amp;""),"")</f>
        <v/>
      </c>
      <c r="CO69" s="132" t="str">
        <f t="array" aca="1" ref="CO69" ca="1">IF($CK69&lt;&gt;"",
INDIRECT(""&amp;IF(COLUMN(CB69)&lt;=26,CHAR(COLUMN(CB69)+64),CHAR(INT((COLUMN(CB69)-1)/26)+64)&amp;CHAR(MOD(COLUMN(CB69)-1,26)+65))&amp;$CK69&amp;""),"")</f>
        <v/>
      </c>
      <c r="CP69" s="132" t="str">
        <f t="array" aca="1" ref="CP69" ca="1">IF($CK69&lt;&gt;"",
INDIRECT(""&amp;IF(COLUMN(CC69)&lt;=26,CHAR(COLUMN(CC69)+64),CHAR(INT((COLUMN(CC69)-1)/26)+64)&amp;CHAR(MOD(COLUMN(CC69)-1,26)+65))&amp;$CK69&amp;""),"")</f>
        <v/>
      </c>
      <c r="CQ69" s="132" t="str">
        <f t="array" aca="1" ref="CQ69" ca="1">IF($CK69&lt;&gt;"",
INDIRECT(""&amp;IF(COLUMN(CD69)&lt;=26,CHAR(COLUMN(CD69)+64),CHAR(INT((COLUMN(CD69)-1)/26)+64)&amp;CHAR(MOD(COLUMN(CD69)-1,26)+65))&amp;$CK69&amp;""),"")</f>
        <v/>
      </c>
      <c r="CR69" s="132" t="str">
        <f t="array" aca="1" ref="CR69" ca="1">IF($CK69&lt;&gt;"",
INDIRECT(""&amp;IF(COLUMN(CE69)&lt;=26,CHAR(COLUMN(CE69)+64),CHAR(INT((COLUMN(CE69)-1)/26)+64)&amp;CHAR(MOD(COLUMN(CE69)-1,26)+65))&amp;$CK69&amp;""),"")</f>
        <v/>
      </c>
      <c r="CS69" s="132" t="str">
        <f t="array" aca="1" ref="CS69" ca="1">IF($CK69&lt;&gt;"",
INDIRECT(""&amp;IF(COLUMN(CF69)&lt;=26,CHAR(COLUMN(CF69)+64),CHAR(INT((COLUMN(CF69)-1)/26)+64)&amp;CHAR(MOD(COLUMN(CF69)-1,26)+65))&amp;$CK69&amp;""),"")</f>
        <v/>
      </c>
      <c r="CT69" s="132" t="str">
        <f t="array" aca="1" ref="CT69" ca="1">IF($CK69&lt;&gt;"",
INDIRECT(""&amp;IF(COLUMN(CG69)&lt;=26,CHAR(COLUMN(CG69)+64),CHAR(INT((COLUMN(CG69)-1)/26)+64)&amp;CHAR(MOD(COLUMN(CG69)-1,26)+65))&amp;$CK69&amp;""),"")</f>
        <v/>
      </c>
      <c r="CU69" s="132" t="str">
        <f t="array" aca="1" ref="CU69" ca="1">IF($CK69&lt;&gt;"",
INDIRECT(""&amp;IF(COLUMN(CH69)&lt;=26,CHAR(COLUMN(CH69)+64),CHAR(INT((COLUMN(CH69)-1)/26)+64)&amp;CHAR(MOD(COLUMN(CH69)-1,26)+65))&amp;$CK69&amp;""),"")</f>
        <v/>
      </c>
    </row>
    <row r="70" spans="1:99" ht="21" customHeight="1" x14ac:dyDescent="0.45">
      <c r="B70" s="124" t="str">
        <f ca="1">IF(C67&lt;&gt;"",
IFERROR(INT(C67/C69),""),"")</f>
        <v/>
      </c>
      <c r="C70" s="151"/>
      <c r="D70" s="124" t="str">
        <f ca="1">IFERROR(MOD(C67,C69),"")</f>
        <v/>
      </c>
      <c r="E70" s="151"/>
      <c r="F70" s="118" t="str">
        <f t="array" aca="1" ref="F70" ca="1">IF(C64&lt;&gt;"",
IF(IFERROR(
INDEX(INDIRECT("'数出表_Excel（アレルギー入力）'!"&amp;B64&amp;MATCH(G22,'数出表_Excel（アレルギー入力）'!$A:$A,0)-1&amp;":AC"&amp;MATCH(G22,'数出表_Excel（アレルギー入力）'!$A:$A,0)-1&amp;""),
 1,
MATCH(C67,INDIRECT("'数出表_Excel（アレルギー入力）'!"&amp;B64&amp;B22-1&amp;":AC"&amp;B22-1&amp;""),0)+1),
 "")&lt;&gt;0,
IF(IFERROR(
INDEX(INDIRECT("'数出表_Excel（アレルギー入力）'!"&amp;B64&amp;MATCH(G22,'数出表_Excel（アレルギー入力）'!$A:$A,0)-1&amp;":AC"&amp;MATCH(G22,'数出表_Excel（アレルギー入力）'!$A:$A,0)-1&amp;""),
 1,
MATCH(C67,INDIRECT("'数出表_Excel（アレルギー入力）'!"&amp;B64&amp;B22-1&amp;":AC"&amp;B22-1&amp;""),0)+1),
 "")="",
IFERROR(
INDEX(INDIRECT("'数出表_Excel（アレルギー入力）'!B"&amp;MATCH(G22,'数出表_Excel（アレルギー入力）'!$A:$A,0)-1&amp;":AC"&amp;MATCH(G22,'数出表_Excel（アレルギー入力）'!$A:$A,0)-1&amp;""),
 1,
MATCH(TRUE,INDEX(INDIRECT("'数出表_Excel（アレルギー入力）'!B"&amp;B22-1&amp;":AC"&amp;B22-1&amp;"")&lt;&gt;"",0),0)+1),
 ""),
IFERROR(
INDEX(INDIRECT("'数出表_Excel（アレルギー入力）'!"&amp;B64&amp;MATCH(G22,'数出表_Excel（アレルギー入力）'!$A:$A,0)-1&amp;":AC"&amp;MATCH(G22,'数出表_Excel（アレルギー入力）'!$A:$A,0)-1&amp;""),
 1,
MATCH(C67,INDIRECT("'数出表_Excel（アレルギー入力）'!"&amp;B64&amp;B22-1&amp;":AC"&amp;B22-1&amp;""),0)+1),
 "")),0),"")</f>
        <v/>
      </c>
      <c r="G70" s="151"/>
      <c r="I70" s="124" t="str">
        <f ca="1">IF(J67&lt;&gt;"",
IFERROR(INT(J67/J69),""),"")</f>
        <v/>
      </c>
      <c r="J70" s="151"/>
      <c r="K70" s="124" t="str">
        <f ca="1">IFERROR(MOD(J67,J69),"")</f>
        <v/>
      </c>
      <c r="L70" s="151"/>
      <c r="M70" s="118" t="str">
        <f t="array" aca="1" ref="M70" ca="1">IF(J64&lt;&gt;"",
IF(IFERROR(
INDEX(INDIRECT("'数出表_Excel（アレルギー入力）'!"&amp;I64&amp;MATCH(N22,'数出表_Excel（アレルギー入力）'!$A:$A,0)-1&amp;":AC"&amp;MATCH(N22,'数出表_Excel（アレルギー入力）'!$A:$A,0)-1&amp;""),
 1,
MATCH(J67,INDIRECT("'数出表_Excel（アレルギー入力）'!"&amp;I64&amp;I22-1&amp;":AC"&amp;I22-1&amp;""),0)+1),
 "")&lt;&gt;0,
IF(IFERROR(
INDEX(INDIRECT("'数出表_Excel（アレルギー入力）'!"&amp;I64&amp;MATCH(N22,'数出表_Excel（アレルギー入力）'!$A:$A,0)-1&amp;":AC"&amp;MATCH(N22,'数出表_Excel（アレルギー入力）'!$A:$A,0)-1&amp;""),
 1,
MATCH(J67,INDIRECT("'数出表_Excel（アレルギー入力）'!"&amp;I64&amp;I22-1&amp;":AC"&amp;I22-1&amp;""),0)+1),
 "")="",
IFERROR(
INDEX(INDIRECT("'数出表_Excel（アレルギー入力）'!B"&amp;MATCH(N22,'数出表_Excel（アレルギー入力）'!$A:$A,0)-1&amp;":AC"&amp;MATCH(N22,'数出表_Excel（アレルギー入力）'!$A:$A,0)-1&amp;""),
 1,
MATCH(TRUE,INDEX(INDIRECT("'数出表_Excel（アレルギー入力）'!B"&amp;I22-1&amp;":AC"&amp;I22-1&amp;"")&lt;&gt;"",0),0)+1),
 ""),
IFERROR(
INDEX(INDIRECT("'数出表_Excel（アレルギー入力）'!"&amp;I64&amp;MATCH(N22,'数出表_Excel（アレルギー入力）'!$A:$A,0)-1&amp;":AC"&amp;MATCH(N22,'数出表_Excel（アレルギー入力）'!$A:$A,0)-1&amp;""),
 1,
MATCH(J67,INDIRECT("'数出表_Excel（アレルギー入力）'!"&amp;I64&amp;I22-1&amp;":AC"&amp;I22-1&amp;""),0)+1),
 "")),0),"")</f>
        <v/>
      </c>
      <c r="N70" s="151"/>
      <c r="Q70" s="124" t="str">
        <f ca="1">IF(R67&lt;&gt;"",
IFERROR(INT(R67/R69),""),"")</f>
        <v/>
      </c>
      <c r="R70" s="151"/>
      <c r="S70" s="124" t="str">
        <f ca="1">IFERROR(MOD(R67,R69),"")</f>
        <v/>
      </c>
      <c r="T70" s="151"/>
      <c r="U70" s="118" t="str">
        <f t="array" aca="1" ref="U70" ca="1">IF(R64&lt;&gt;"",
IF(IFERROR(
INDEX(INDIRECT("'数出表_Excel（アレルギー入力）'!"&amp;Q64&amp;MATCH(V22,'数出表_Excel（アレルギー入力）'!$A:$A,0)-1&amp;":AC"&amp;MATCH(V22,'数出表_Excel（アレルギー入力）'!$A:$A,0)-1&amp;""),
 1,
MATCH(R67,INDIRECT("'数出表_Excel（アレルギー入力）'!"&amp;Q64&amp;Q22-1&amp;":AC"&amp;Q22-1&amp;""),0)+1),
 "")&lt;&gt;0,
IF(IFERROR(
INDEX(INDIRECT("'数出表_Excel（アレルギー入力）'!"&amp;Q64&amp;MATCH(V22,'数出表_Excel（アレルギー入力）'!$A:$A,0)-1&amp;":AC"&amp;MATCH(V22,'数出表_Excel（アレルギー入力）'!$A:$A,0)-1&amp;""),
 1,
MATCH(R67,INDIRECT("'数出表_Excel（アレルギー入力）'!"&amp;Q64&amp;Q22-1&amp;":AC"&amp;Q22-1&amp;""),0)+1),
 "")="",
IFERROR(
INDEX(INDIRECT("'数出表_Excel（アレルギー入力）'!B"&amp;MATCH(V22,'数出表_Excel（アレルギー入力）'!$A:$A,0)-1&amp;":AC"&amp;MATCH(V22,'数出表_Excel（アレルギー入力）'!$A:$A,0)-1&amp;""),
 1,
MATCH(TRUE,INDEX(INDIRECT("'数出表_Excel（アレルギー入力）'!B"&amp;Q22-1&amp;":AC"&amp;Q22-1&amp;"")&lt;&gt;"",0),0)+1),
 ""),
IFERROR(
INDEX(INDIRECT("'数出表_Excel（アレルギー入力）'!"&amp;Q64&amp;MATCH(V22,'数出表_Excel（アレルギー入力）'!$A:$A,0)-1&amp;":AC"&amp;MATCH(V22,'数出表_Excel（アレルギー入力）'!$A:$A,0)-1&amp;""),
 1,
MATCH(R67,INDIRECT("'数出表_Excel（アレルギー入力）'!"&amp;Q64&amp;Q22-1&amp;":AC"&amp;Q22-1&amp;""),0)+1),
 "")),0),"")</f>
        <v/>
      </c>
      <c r="V70" s="151"/>
      <c r="X70" s="124" t="str">
        <f ca="1">IF(Y67&lt;&gt;"",
IFERROR(INT(Y67/Y69),""),"")</f>
        <v/>
      </c>
      <c r="Y70" s="151"/>
      <c r="Z70" s="124" t="str">
        <f ca="1">IFERROR(MOD(Y67,Y69),"")</f>
        <v/>
      </c>
      <c r="AA70" s="151"/>
      <c r="AB70" s="118" t="str">
        <f t="array" aca="1" ref="AB70" ca="1">IF(Y64&lt;&gt;"",
IF(IFERROR(
INDEX(INDIRECT("'数出表_Excel（アレルギー入力）'!"&amp;X64&amp;MATCH(AC22,'数出表_Excel（アレルギー入力）'!$A:$A,0)-1&amp;":AC"&amp;MATCH(AC22,'数出表_Excel（アレルギー入力）'!$A:$A,0)-1&amp;""),
 1,
MATCH(Y67,INDIRECT("'数出表_Excel（アレルギー入力）'!"&amp;X64&amp;X22-1&amp;":AC"&amp;X22-1&amp;""),0)+1),
 "")&lt;&gt;0,
IF(IFERROR(
INDEX(INDIRECT("'数出表_Excel（アレルギー入力）'!"&amp;X64&amp;MATCH(AC22,'数出表_Excel（アレルギー入力）'!$A:$A,0)-1&amp;":AC"&amp;MATCH(AC22,'数出表_Excel（アレルギー入力）'!$A:$A,0)-1&amp;""),
 1,
MATCH(Y67,INDIRECT("'数出表_Excel（アレルギー入力）'!"&amp;X64&amp;X22-1&amp;":AC"&amp;X22-1&amp;""),0)+1),
 "")="",
IFERROR(
INDEX(INDIRECT("'数出表_Excel（アレルギー入力）'!B"&amp;MATCH(AC22,'数出表_Excel（アレルギー入力）'!$A:$A,0)-1&amp;":AC"&amp;MATCH(AC22,'数出表_Excel（アレルギー入力）'!$A:$A,0)-1&amp;""),
 1,
MATCH(TRUE,INDEX(INDIRECT("'数出表_Excel（アレルギー入力）'!B"&amp;X22-1&amp;":AC"&amp;X22-1&amp;"")&lt;&gt;"",0),0)+1),
 ""),
IFERROR(
INDEX(INDIRECT("'数出表_Excel（アレルギー入力）'!"&amp;X64&amp;MATCH(AC22,'数出表_Excel（アレルギー入力）'!$A:$A,0)-1&amp;":AC"&amp;MATCH(AC22,'数出表_Excel（アレルギー入力）'!$A:$A,0)-1&amp;""),
 1,
MATCH(Y67,INDIRECT("'数出表_Excel（アレルギー入力）'!"&amp;X64&amp;X22-1&amp;":AC"&amp;X22-1&amp;""),0)+1),
 "")),0),"")</f>
        <v/>
      </c>
      <c r="AC70" s="151"/>
      <c r="AF70" s="124" t="str">
        <f ca="1">IF(AG67&lt;&gt;"",
IFERROR(INT(AG67/AG69),""),"")</f>
        <v/>
      </c>
      <c r="AG70" s="151"/>
      <c r="AH70" s="124" t="str">
        <f ca="1">IFERROR(MOD(AG67,AG69),"")</f>
        <v/>
      </c>
      <c r="AI70" s="151"/>
      <c r="AJ70" s="118" t="str">
        <f t="array" aca="1" ref="AJ70" ca="1">IF(AG64&lt;&gt;"",
IF(IFERROR(
INDEX(INDIRECT("'数出表_Excel（アレルギー入力）'!"&amp;AF64&amp;MATCH(AK22,'数出表_Excel（アレルギー入力）'!$A:$A,0)-1&amp;":AC"&amp;MATCH(AK22,'数出表_Excel（アレルギー入力）'!$A:$A,0)-1&amp;""),
 1,
MATCH(AG67,INDIRECT("'数出表_Excel（アレルギー入力）'!"&amp;AF64&amp;AF22-1&amp;":AC"&amp;AF22-1&amp;""),0)+1),
 "")&lt;&gt;0,
IF(IFERROR(
INDEX(INDIRECT("'数出表_Excel（アレルギー入力）'!"&amp;AF64&amp;MATCH(AK22,'数出表_Excel（アレルギー入力）'!$A:$A,0)-1&amp;":AC"&amp;MATCH(AK22,'数出表_Excel（アレルギー入力）'!$A:$A,0)-1&amp;""),
 1,
MATCH(AG67,INDIRECT("'数出表_Excel（アレルギー入力）'!"&amp;AF64&amp;AF22-1&amp;":AC"&amp;AF22-1&amp;""),0)+1),
 "")="",
IFERROR(
INDEX(INDIRECT("'数出表_Excel（アレルギー入力）'!B"&amp;MATCH(AK22,'数出表_Excel（アレルギー入力）'!$A:$A,0)-1&amp;":AC"&amp;MATCH(AK22,'数出表_Excel（アレルギー入力）'!$A:$A,0)-1&amp;""),
 1,
MATCH(TRUE,INDEX(INDIRECT("'数出表_Excel（アレルギー入力）'!B"&amp;AF22-1&amp;":AC"&amp;AF22-1&amp;"")&lt;&gt;"",0),0)+1),
 ""),
IFERROR(
INDEX(INDIRECT("'数出表_Excel（アレルギー入力）'!"&amp;AF64&amp;MATCH(AK22,'数出表_Excel（アレルギー入力）'!$A:$A,0)-1&amp;":AC"&amp;MATCH(AK22,'数出表_Excel（アレルギー入力）'!$A:$A,0)-1&amp;""),
 1,
MATCH(AG67,INDIRECT("'数出表_Excel（アレルギー入力）'!"&amp;AF64&amp;AF22-1&amp;":AC"&amp;AF22-1&amp;""),0)+1),
 "")),0),"")</f>
        <v/>
      </c>
      <c r="AK70" s="151"/>
      <c r="AM70" s="124" t="str">
        <f ca="1">IF(AN67&lt;&gt;"",
IFERROR(INT(AN67/AN69),""),"")</f>
        <v/>
      </c>
      <c r="AN70" s="151"/>
      <c r="AO70" s="124" t="str">
        <f ca="1">IFERROR(MOD(AN67,AN69),"")</f>
        <v/>
      </c>
      <c r="AP70" s="151"/>
      <c r="AQ70" s="118" t="str">
        <f t="array" aca="1" ref="AQ70" ca="1">IF(AN64&lt;&gt;"",
IF(IFERROR(
INDEX(INDIRECT("'数出表_Excel（アレルギー入力）'!"&amp;AM64&amp;MATCH(AR22,'数出表_Excel（アレルギー入力）'!$A:$A,0)-1&amp;":AC"&amp;MATCH(AR22,'数出表_Excel（アレルギー入力）'!$A:$A,0)-1&amp;""),
 1,
MATCH(AN67,INDIRECT("'数出表_Excel（アレルギー入力）'!"&amp;AM64&amp;AM22-1&amp;":AC"&amp;AM22-1&amp;""),0)+1),
 "")&lt;&gt;0,
IF(IFERROR(
INDEX(INDIRECT("'数出表_Excel（アレルギー入力）'!"&amp;AM64&amp;MATCH(AR22,'数出表_Excel（アレルギー入力）'!$A:$A,0)-1&amp;":AC"&amp;MATCH(AR22,'数出表_Excel（アレルギー入力）'!$A:$A,0)-1&amp;""),
 1,
MATCH(AN67,INDIRECT("'数出表_Excel（アレルギー入力）'!"&amp;AM64&amp;AM22-1&amp;":AC"&amp;AM22-1&amp;""),0)+1),
 "")="",
IFERROR(
INDEX(INDIRECT("'数出表_Excel（アレルギー入力）'!B"&amp;MATCH(AR22,'数出表_Excel（アレルギー入力）'!$A:$A,0)-1&amp;":AC"&amp;MATCH(AR22,'数出表_Excel（アレルギー入力）'!$A:$A,0)-1&amp;""),
 1,
MATCH(TRUE,INDEX(INDIRECT("'数出表_Excel（アレルギー入力）'!B"&amp;AM22-1&amp;":AC"&amp;AM22-1&amp;"")&lt;&gt;"",0),0)+1),
 ""),
IFERROR(
INDEX(INDIRECT("'数出表_Excel（アレルギー入力）'!"&amp;AM64&amp;MATCH(AR22,'数出表_Excel（アレルギー入力）'!$A:$A,0)-1&amp;":AC"&amp;MATCH(AR22,'数出表_Excel（アレルギー入力）'!$A:$A,0)-1&amp;""),
 1,
MATCH(AN67,INDIRECT("'数出表_Excel（アレルギー入力）'!"&amp;AM64&amp;AM22-1&amp;":AC"&amp;AM22-1&amp;""),0)+1),
 "")),0),"")</f>
        <v/>
      </c>
      <c r="AR70" s="151"/>
      <c r="AU70" s="124" t="str">
        <f ca="1">IF(AV67&lt;&gt;"",
IFERROR(INT(AV67/AV69),""),"")</f>
        <v/>
      </c>
      <c r="AV70" s="151"/>
      <c r="AW70" s="124" t="str">
        <f ca="1">IFERROR(MOD(AV67,AV69),"")</f>
        <v/>
      </c>
      <c r="AX70" s="151"/>
      <c r="AY70" s="118" t="str">
        <f t="array" aca="1" ref="AY70" ca="1">IF(AV64&lt;&gt;"",
IF(IFERROR(
INDEX(INDIRECT("'数出表_Excel（アレルギー入力）'!"&amp;AU64&amp;MATCH(AZ22,'数出表_Excel（アレルギー入力）'!$A:$A,0)-1&amp;":AC"&amp;MATCH(AZ22,'数出表_Excel（アレルギー入力）'!$A:$A,0)-1&amp;""),
 1,
MATCH(AV67,INDIRECT("'数出表_Excel（アレルギー入力）'!"&amp;AU64&amp;AU22-1&amp;":AC"&amp;AU22-1&amp;""),0)+1),
 "")&lt;&gt;0,
IF(IFERROR(
INDEX(INDIRECT("'数出表_Excel（アレルギー入力）'!"&amp;AU64&amp;MATCH(AZ22,'数出表_Excel（アレルギー入力）'!$A:$A,0)-1&amp;":AC"&amp;MATCH(AZ22,'数出表_Excel（アレルギー入力）'!$A:$A,0)-1&amp;""),
 1,
MATCH(AV67,INDIRECT("'数出表_Excel（アレルギー入力）'!"&amp;AU64&amp;AU22-1&amp;":AC"&amp;AU22-1&amp;""),0)+1),
 "")="",
IFERROR(
INDEX(INDIRECT("'数出表_Excel（アレルギー入力）'!B"&amp;MATCH(AZ22,'数出表_Excel（アレルギー入力）'!$A:$A,0)-1&amp;":AC"&amp;MATCH(AZ22,'数出表_Excel（アレルギー入力）'!$A:$A,0)-1&amp;""),
 1,
MATCH(TRUE,INDEX(INDIRECT("'数出表_Excel（アレルギー入力）'!B"&amp;AU22-1&amp;":AC"&amp;AU22-1&amp;"")&lt;&gt;"",0),0)+1),
 ""),
IFERROR(
INDEX(INDIRECT("'数出表_Excel（アレルギー入力）'!"&amp;AU64&amp;MATCH(AZ22,'数出表_Excel（アレルギー入力）'!$A:$A,0)-1&amp;":AC"&amp;MATCH(AZ22,'数出表_Excel（アレルギー入力）'!$A:$A,0)-1&amp;""),
 1,
MATCH(AV67,INDIRECT("'数出表_Excel（アレルギー入力）'!"&amp;AU64&amp;AU22-1&amp;":AC"&amp;AU22-1&amp;""),0)+1),
 "")),0),"")</f>
        <v/>
      </c>
      <c r="AZ70" s="151"/>
      <c r="BB70" s="124" t="str">
        <f ca="1">IF(BC67&lt;&gt;"",
IFERROR(INT(BC67/BC69),""),"")</f>
        <v/>
      </c>
      <c r="BC70" s="151"/>
      <c r="BD70" s="124" t="str">
        <f ca="1">IFERROR(MOD(BC67,BC69),"")</f>
        <v/>
      </c>
      <c r="BE70" s="151"/>
      <c r="BF70" s="118" t="str">
        <f t="array" aca="1" ref="BF70" ca="1">IF(BC64&lt;&gt;"",
IF(IFERROR(
INDEX(INDIRECT("'数出表_Excel（アレルギー入力）'!"&amp;BB64&amp;MATCH(BG22,'数出表_Excel（アレルギー入力）'!$A:$A,0)-1&amp;":AC"&amp;MATCH(BG22,'数出表_Excel（アレルギー入力）'!$A:$A,0)-1&amp;""),
 1,
MATCH(BC67,INDIRECT("'数出表_Excel（アレルギー入力）'!"&amp;BB64&amp;BB22-1&amp;":AC"&amp;BB22-1&amp;""),0)+1),
 "")&lt;&gt;0,
IF(IFERROR(
INDEX(INDIRECT("'数出表_Excel（アレルギー入力）'!"&amp;BB64&amp;MATCH(BG22,'数出表_Excel（アレルギー入力）'!$A:$A,0)-1&amp;":AC"&amp;MATCH(BG22,'数出表_Excel（アレルギー入力）'!$A:$A,0)-1&amp;""),
 1,
MATCH(BC67,INDIRECT("'数出表_Excel（アレルギー入力）'!"&amp;BB64&amp;BB22-1&amp;":AC"&amp;BB22-1&amp;""),0)+1),
 "")="",
IFERROR(
INDEX(INDIRECT("'数出表_Excel（アレルギー入力）'!B"&amp;MATCH(BG22,'数出表_Excel（アレルギー入力）'!$A:$A,0)-1&amp;":AC"&amp;MATCH(BG22,'数出表_Excel（アレルギー入力）'!$A:$A,0)-1&amp;""),
 1,
MATCH(TRUE,INDEX(INDIRECT("'数出表_Excel（アレルギー入力）'!B"&amp;BB22-1&amp;":AC"&amp;BB22-1&amp;"")&lt;&gt;"",0),0)+1),
 ""),
IFERROR(
INDEX(INDIRECT("'数出表_Excel（アレルギー入力）'!"&amp;BB64&amp;MATCH(BG22,'数出表_Excel（アレルギー入力）'!$A:$A,0)-1&amp;":AC"&amp;MATCH(BG22,'数出表_Excel（アレルギー入力）'!$A:$A,0)-1&amp;""),
 1,
MATCH(BC67,INDIRECT("'数出表_Excel（アレルギー入力）'!"&amp;BB64&amp;BB22-1&amp;":AC"&amp;BB22-1&amp;""),0)+1),
 "")),0),"")</f>
        <v/>
      </c>
      <c r="BG70" s="151"/>
      <c r="BJ70" s="124" t="str">
        <f ca="1">IF(BK67&lt;&gt;"",
IFERROR(INT(BK67/BK69),""),"")</f>
        <v/>
      </c>
      <c r="BK70" s="151"/>
      <c r="BL70" s="124" t="str">
        <f ca="1">IFERROR(MOD(BK67,BK69),"")</f>
        <v/>
      </c>
      <c r="BM70" s="151"/>
      <c r="BN70" s="118" t="str">
        <f t="array" aca="1" ref="BN70" ca="1">IF(BK64&lt;&gt;"",
IF(IFERROR(
INDEX(INDIRECT("'数出表_Excel（アレルギー入力）'!"&amp;BJ64&amp;MATCH(BO22,'数出表_Excel（アレルギー入力）'!$A:$A,0)-1&amp;":AC"&amp;MATCH(BO22,'数出表_Excel（アレルギー入力）'!$A:$A,0)-1&amp;""),
 1,
MATCH(BK67,INDIRECT("'数出表_Excel（アレルギー入力）'!"&amp;BJ64&amp;BJ22-1&amp;":AC"&amp;BJ22-1&amp;""),0)+1),
 "")&lt;&gt;0,
IF(IFERROR(
INDEX(INDIRECT("'数出表_Excel（アレルギー入力）'!"&amp;BJ64&amp;MATCH(BO22,'数出表_Excel（アレルギー入力）'!$A:$A,0)-1&amp;":AC"&amp;MATCH(BO22,'数出表_Excel（アレルギー入力）'!$A:$A,0)-1&amp;""),
 1,
MATCH(BK67,INDIRECT("'数出表_Excel（アレルギー入力）'!"&amp;BJ64&amp;BJ22-1&amp;":AC"&amp;BJ22-1&amp;""),0)+1),
 "")="",
IFERROR(
INDEX(INDIRECT("'数出表_Excel（アレルギー入力）'!B"&amp;MATCH(BO22,'数出表_Excel（アレルギー入力）'!$A:$A,0)-1&amp;":AC"&amp;MATCH(BO22,'数出表_Excel（アレルギー入力）'!$A:$A,0)-1&amp;""),
 1,
MATCH(TRUE,INDEX(INDIRECT("'数出表_Excel（アレルギー入力）'!B"&amp;BJ22-1&amp;":AC"&amp;BJ22-1&amp;"")&lt;&gt;"",0),0)+1),
 ""),
IFERROR(
INDEX(INDIRECT("'数出表_Excel（アレルギー入力）'!"&amp;BJ64&amp;MATCH(BO22,'数出表_Excel（アレルギー入力）'!$A:$A,0)-1&amp;":AC"&amp;MATCH(BO22,'数出表_Excel（アレルギー入力）'!$A:$A,0)-1&amp;""),
 1,
MATCH(BK67,INDIRECT("'数出表_Excel（アレルギー入力）'!"&amp;BJ64&amp;BJ22-1&amp;":AC"&amp;BJ22-1&amp;""),0)+1),
 "")),0),"")</f>
        <v/>
      </c>
      <c r="BO70" s="151"/>
      <c r="BQ70" s="124" t="str">
        <f ca="1">IF(BR67&lt;&gt;"",
IFERROR(INT(BR67/BR69),""),"")</f>
        <v/>
      </c>
      <c r="BR70" s="151"/>
      <c r="BS70" s="124" t="str">
        <f ca="1">IFERROR(MOD(BR67,BR69),"")</f>
        <v/>
      </c>
      <c r="BT70" s="151"/>
      <c r="BU70" s="118" t="str">
        <f t="array" aca="1" ref="BU70" ca="1">IF(BR64&lt;&gt;"",
IF(IFERROR(
INDEX(INDIRECT("'数出表_Excel（アレルギー入力）'!"&amp;BQ64&amp;MATCH(BV22,'数出表_Excel（アレルギー入力）'!$A:$A,0)-1&amp;":AC"&amp;MATCH(BV22,'数出表_Excel（アレルギー入力）'!$A:$A,0)-1&amp;""),
 1,
MATCH(BR67,INDIRECT("'数出表_Excel（アレルギー入力）'!"&amp;BQ64&amp;BQ22-1&amp;":AC"&amp;BQ22-1&amp;""),0)+1),
 "")&lt;&gt;0,
IF(IFERROR(
INDEX(INDIRECT("'数出表_Excel（アレルギー入力）'!"&amp;BQ64&amp;MATCH(BV22,'数出表_Excel（アレルギー入力）'!$A:$A,0)-1&amp;":AC"&amp;MATCH(BV22,'数出表_Excel（アレルギー入力）'!$A:$A,0)-1&amp;""),
 1,
MATCH(BR67,INDIRECT("'数出表_Excel（アレルギー入力）'!"&amp;BQ64&amp;BQ22-1&amp;":AC"&amp;BQ22-1&amp;""),0)+1),
 "")="",
IFERROR(
INDEX(INDIRECT("'数出表_Excel（アレルギー入力）'!B"&amp;MATCH(BV22,'数出表_Excel（アレルギー入力）'!$A:$A,0)-1&amp;":AC"&amp;MATCH(BV22,'数出表_Excel（アレルギー入力）'!$A:$A,0)-1&amp;""),
 1,
MATCH(TRUE,INDEX(INDIRECT("'数出表_Excel（アレルギー入力）'!B"&amp;BQ22-1&amp;":AC"&amp;BQ22-1&amp;"")&lt;&gt;"",0),0)+1),
 ""),
IFERROR(
INDEX(INDIRECT("'数出表_Excel（アレルギー入力）'!"&amp;BQ64&amp;MATCH(BV22,'数出表_Excel（アレルギー入力）'!$A:$A,0)-1&amp;":AC"&amp;MATCH(BV22,'数出表_Excel（アレルギー入力）'!$A:$A,0)-1&amp;""),
 1,
MATCH(BR67,INDIRECT("'数出表_Excel（アレルギー入力）'!"&amp;BQ64&amp;BQ22-1&amp;":AC"&amp;BQ22-1&amp;""),0)+1),
 "")),0),"")</f>
        <v/>
      </c>
      <c r="BV70" s="151"/>
      <c r="BX70" s="132">
        <f t="shared" si="4"/>
        <v>77</v>
      </c>
      <c r="BY70" s="132" t="str">
        <f t="array" aca="1" ref="BY70" ca="1">INDIRECT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
&amp;MID(SUBSTITUTE(_xlfn.FORMULATEXT(BY$49),"=",""), LEN(_xlfn.TEXTJOIN("",TRUE,IF(ISERROR(MID(SUBSTITUTE(_xlfn.FORMULATEXT(BY$49),"=",""),ROW(INDIRECT("1:"&amp;LEN(SUBSTITUTE(_xlfn.FORMULATEXT(BY$49),"=","")))),1)*1),MID(SUBSTITUTE(_xlfn.FORMULATEXT(BY$49),"=",""),ROW(INDIRECT("1:"&amp;LEN(SUBSTITUTE(_xlfn.FORMULATEXT(BY$49),"=","")))),1),"")))+1, LEN(SUBSTITUTE(_xlfn.FORMULATEXT(BY$49),"=","")))+$BX70)</f>
        <v/>
      </c>
      <c r="BZ70" s="132" t="str">
        <f t="array" aca="1" ref="BZ70" ca="1">INDIRECT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
&amp;MID(SUBSTITUTE(_xlfn.FORMULATEXT(BZ$49),"=",""), LEN(_xlfn.TEXTJOIN("",TRUE,IF(ISERROR(MID(SUBSTITUTE(_xlfn.FORMULATEXT(BZ$49),"=",""),ROW(INDIRECT("1:"&amp;LEN(SUBSTITUTE(_xlfn.FORMULATEXT(BZ$49),"=","")))),1)*1),MID(SUBSTITUTE(_xlfn.FORMULATEXT(BZ$49),"=",""),ROW(INDIRECT("1:"&amp;LEN(SUBSTITUTE(_xlfn.FORMULATEXT(BZ$49),"=","")))),1),"")))+1, LEN(SUBSTITUTE(_xlfn.FORMULATEXT(BZ$49),"=","")))+$BX70)</f>
        <v/>
      </c>
      <c r="CA70" s="132" t="str">
        <f t="array" aca="1" ref="CA70" ca="1">INDIRECT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
&amp;MID(SUBSTITUTE(_xlfn.FORMULATEXT(CA$49),"=",""), LEN(_xlfn.TEXTJOIN("",TRUE,IF(ISERROR(MID(SUBSTITUTE(_xlfn.FORMULATEXT(CA$49),"=",""),ROW(INDIRECT("1:"&amp;LEN(SUBSTITUTE(_xlfn.FORMULATEXT(CA$49),"=","")))),1)*1),MID(SUBSTITUTE(_xlfn.FORMULATEXT(CA$49),"=",""),ROW(INDIRECT("1:"&amp;LEN(SUBSTITUTE(_xlfn.FORMULATEXT(CA$49),"=","")))),1),"")))+1, LEN(SUBSTITUTE(_xlfn.FORMULATEXT(CA$49),"=","")))+$BX70)</f>
        <v/>
      </c>
      <c r="CB70" s="132" t="str">
        <f t="array" aca="1" ref="CB70" ca="1">INDIRECT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
&amp;MID(SUBSTITUTE(_xlfn.FORMULATEXT(CB$49),"=",""), LEN(_xlfn.TEXTJOIN("",TRUE,IF(ISERROR(MID(SUBSTITUTE(_xlfn.FORMULATEXT(CB$49),"=",""),ROW(INDIRECT("1:"&amp;LEN(SUBSTITUTE(_xlfn.FORMULATEXT(CB$49),"=","")))),1)*1),MID(SUBSTITUTE(_xlfn.FORMULATEXT(CB$49),"=",""),ROW(INDIRECT("1:"&amp;LEN(SUBSTITUTE(_xlfn.FORMULATEXT(CB$49),"=","")))),1),"")))+1, LEN(SUBSTITUTE(_xlfn.FORMULATEXT(CB$49),"=","")))+$BX70)</f>
        <v/>
      </c>
      <c r="CC70" s="132" t="str">
        <f t="array" aca="1" ref="CC70" ca="1">INDIRECT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
&amp;MID(SUBSTITUTE(_xlfn.FORMULATEXT(CC$49),"=",""), LEN(_xlfn.TEXTJOIN("",TRUE,IF(ISERROR(MID(SUBSTITUTE(_xlfn.FORMULATEXT(CC$49),"=",""),ROW(INDIRECT("1:"&amp;LEN(SUBSTITUTE(_xlfn.FORMULATEXT(CC$49),"=","")))),1)*1),MID(SUBSTITUTE(_xlfn.FORMULATEXT(CC$49),"=",""),ROW(INDIRECT("1:"&amp;LEN(SUBSTITUTE(_xlfn.FORMULATEXT(CC$49),"=","")))),1),"")))+1, LEN(SUBSTITUTE(_xlfn.FORMULATEXT(CC$49),"=","")))+$BX70)</f>
        <v/>
      </c>
      <c r="CD70" s="132" t="str">
        <f t="array" aca="1" ref="CD70" ca="1">INDIRECT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
&amp;MID(SUBSTITUTE(_xlfn.FORMULATEXT(CD$49),"=",""), LEN(_xlfn.TEXTJOIN("",TRUE,IF(ISERROR(MID(SUBSTITUTE(_xlfn.FORMULATEXT(CD$49),"=",""),ROW(INDIRECT("1:"&amp;LEN(SUBSTITUTE(_xlfn.FORMULATEXT(CD$49),"=","")))),1)*1),MID(SUBSTITUTE(_xlfn.FORMULATEXT(CD$49),"=",""),ROW(INDIRECT("1:"&amp;LEN(SUBSTITUTE(_xlfn.FORMULATEXT(CD$49),"=","")))),1),"")))+1, LEN(SUBSTITUTE(_xlfn.FORMULATEXT(CD$49),"=","")))+$BX70)</f>
        <v/>
      </c>
      <c r="CE70" s="132" t="str">
        <f t="array" aca="1" ref="CE70" ca="1">INDIRECT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
&amp;MID(SUBSTITUTE(_xlfn.FORMULATEXT(CE$49),"=",""), LEN(_xlfn.TEXTJOIN("",TRUE,IF(ISERROR(MID(SUBSTITUTE(_xlfn.FORMULATEXT(CE$49),"=",""),ROW(INDIRECT("1:"&amp;LEN(SUBSTITUTE(_xlfn.FORMULATEXT(CE$49),"=","")))),1)*1),MID(SUBSTITUTE(_xlfn.FORMULATEXT(CE$49),"=",""),ROW(INDIRECT("1:"&amp;LEN(SUBSTITUTE(_xlfn.FORMULATEXT(CE$49),"=","")))),1),"")))+1, LEN(SUBSTITUTE(_xlfn.FORMULATEXT(CE$49),"=","")))+$BX70)</f>
        <v/>
      </c>
      <c r="CF70" s="132" t="str">
        <f t="array" aca="1" ref="CF70" ca="1">INDIRECT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
&amp;MID(SUBSTITUTE(_xlfn.FORMULATEXT(CF$49),"=",""), LEN(_xlfn.TEXTJOIN("",TRUE,IF(ISERROR(MID(SUBSTITUTE(_xlfn.FORMULATEXT(CF$49),"=",""),ROW(INDIRECT("1:"&amp;LEN(SUBSTITUTE(_xlfn.FORMULATEXT(CF$49),"=","")))),1)*1),MID(SUBSTITUTE(_xlfn.FORMULATEXT(CF$49),"=",""),ROW(INDIRECT("1:"&amp;LEN(SUBSTITUTE(_xlfn.FORMULATEXT(CF$49),"=","")))),1),"")))+1, LEN(SUBSTITUTE(_xlfn.FORMULATEXT(CF$49),"=","")))+$BX70)</f>
        <v/>
      </c>
      <c r="CG70" s="132" t="str">
        <f t="array" aca="1" ref="CG70" ca="1">INDIRECT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
&amp;MID(SUBSTITUTE(_xlfn.FORMULATEXT(CG$49),"=",""), LEN(_xlfn.TEXTJOIN("",TRUE,IF(ISERROR(MID(SUBSTITUTE(_xlfn.FORMULATEXT(CG$49),"=",""),ROW(INDIRECT("1:"&amp;LEN(SUBSTITUTE(_xlfn.FORMULATEXT(CG$49),"=","")))),1)*1),MID(SUBSTITUTE(_xlfn.FORMULATEXT(CG$49),"=",""),ROW(INDIRECT("1:"&amp;LEN(SUBSTITUTE(_xlfn.FORMULATEXT(CG$49),"=","")))),1),"")))+1, LEN(SUBSTITUTE(_xlfn.FORMULATEXT(CG$49),"=","")))+$BX70)</f>
        <v/>
      </c>
      <c r="CH70" s="132" t="str">
        <f t="array" aca="1" ref="CH70" ca="1">INDIRECT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
&amp;MID(SUBSTITUTE(_xlfn.FORMULATEXT(CH$49),"=",""), LEN(_xlfn.TEXTJOIN("",TRUE,IF(ISERROR(MID(SUBSTITUTE(_xlfn.FORMULATEXT(CH$49),"=",""),ROW(INDIRECT("1:"&amp;LEN(SUBSTITUTE(_xlfn.FORMULATEXT(CH$49),"=","")))),1)*1),MID(SUBSTITUTE(_xlfn.FORMULATEXT(CH$49),"=",""),ROW(INDIRECT("1:"&amp;LEN(SUBSTITUTE(_xlfn.FORMULATEXT(CH$49),"=","")))),1),"")))+1, LEN(SUBSTITUTE(_xlfn.FORMULATEXT(CH$49),"=","")))+$BX70)</f>
        <v/>
      </c>
      <c r="CI70" s="132">
        <f t="shared" ca="1" si="5"/>
        <v>0</v>
      </c>
      <c r="CJ70" s="132" t="b">
        <f t="array" aca="1" ref="CJ70" ca="1">SUMPRODUCT((LEN(BY70:CH70)&gt;0)*1)&gt;0</f>
        <v>0</v>
      </c>
      <c r="CK70" s="132" t="str" cm="1">
        <f t="array" aca="1" ref="CK70" ca="1">IFERROR(SMALL(IF(CI$1:CI$150&lt;&gt;0,CI$1:CI$150),ROW(A70)),"")</f>
        <v/>
      </c>
      <c r="CL70" s="132" t="str">
        <f t="array" aca="1" ref="CL70" ca="1">IF($CK70&lt;&gt;"",
INDIRECT(""&amp;IF(COLUMN(BY70)&lt;=26,CHAR(COLUMN(BY70)+64),CHAR(INT((COLUMN(BY70)-1)/26)+64)&amp;CHAR(MOD(COLUMN(BY70)-1,26)+65))&amp;$CK70&amp;""),"")</f>
        <v/>
      </c>
      <c r="CM70" s="132" t="str">
        <f t="array" aca="1" ref="CM70" ca="1">IF($CK70&lt;&gt;"",
INDIRECT(""&amp;IF(COLUMN(BZ70)&lt;=26,CHAR(COLUMN(BZ70)+64),CHAR(INT((COLUMN(BZ70)-1)/26)+64)&amp;CHAR(MOD(COLUMN(BZ70)-1,26)+65))&amp;$CK70&amp;""),"")</f>
        <v/>
      </c>
      <c r="CN70" s="132" t="str">
        <f t="array" aca="1" ref="CN70" ca="1">IF($CK70&lt;&gt;"",
INDIRECT(""&amp;IF(COLUMN(CA70)&lt;=26,CHAR(COLUMN(CA70)+64),CHAR(INT((COLUMN(CA70)-1)/26)+64)&amp;CHAR(MOD(COLUMN(CA70)-1,26)+65))&amp;$CK70&amp;""),"")</f>
        <v/>
      </c>
      <c r="CO70" s="132" t="str">
        <f t="array" aca="1" ref="CO70" ca="1">IF($CK70&lt;&gt;"",
INDIRECT(""&amp;IF(COLUMN(CB70)&lt;=26,CHAR(COLUMN(CB70)+64),CHAR(INT((COLUMN(CB70)-1)/26)+64)&amp;CHAR(MOD(COLUMN(CB70)-1,26)+65))&amp;$CK70&amp;""),"")</f>
        <v/>
      </c>
      <c r="CP70" s="132" t="str">
        <f t="array" aca="1" ref="CP70" ca="1">IF($CK70&lt;&gt;"",
INDIRECT(""&amp;IF(COLUMN(CC70)&lt;=26,CHAR(COLUMN(CC70)+64),CHAR(INT((COLUMN(CC70)-1)/26)+64)&amp;CHAR(MOD(COLUMN(CC70)-1,26)+65))&amp;$CK70&amp;""),"")</f>
        <v/>
      </c>
      <c r="CQ70" s="132" t="str">
        <f t="array" aca="1" ref="CQ70" ca="1">IF($CK70&lt;&gt;"",
INDIRECT(""&amp;IF(COLUMN(CD70)&lt;=26,CHAR(COLUMN(CD70)+64),CHAR(INT((COLUMN(CD70)-1)/26)+64)&amp;CHAR(MOD(COLUMN(CD70)-1,26)+65))&amp;$CK70&amp;""),"")</f>
        <v/>
      </c>
      <c r="CR70" s="132" t="str">
        <f t="array" aca="1" ref="CR70" ca="1">IF($CK70&lt;&gt;"",
INDIRECT(""&amp;IF(COLUMN(CE70)&lt;=26,CHAR(COLUMN(CE70)+64),CHAR(INT((COLUMN(CE70)-1)/26)+64)&amp;CHAR(MOD(COLUMN(CE70)-1,26)+65))&amp;$CK70&amp;""),"")</f>
        <v/>
      </c>
      <c r="CS70" s="132" t="str">
        <f t="array" aca="1" ref="CS70" ca="1">IF($CK70&lt;&gt;"",
INDIRECT(""&amp;IF(COLUMN(CF70)&lt;=26,CHAR(COLUMN(CF70)+64),CHAR(INT((COLUMN(CF70)-1)/26)+64)&amp;CHAR(MOD(COLUMN(CF70)-1,26)+65))&amp;$CK70&amp;""),"")</f>
        <v/>
      </c>
      <c r="CT70" s="132" t="str">
        <f t="array" aca="1" ref="CT70" ca="1">IF($CK70&lt;&gt;"",
INDIRECT(""&amp;IF(COLUMN(CG70)&lt;=26,CHAR(COLUMN(CG70)+64),CHAR(INT((COLUMN(CG70)-1)/26)+64)&amp;CHAR(MOD(COLUMN(CG70)-1,26)+65))&amp;$CK70&amp;""),"")</f>
        <v/>
      </c>
      <c r="CU70" s="132" t="str">
        <f t="array" aca="1" ref="CU70" ca="1">IF($CK70&lt;&gt;"",
INDIRECT(""&amp;IF(COLUMN(CH70)&lt;=26,CHAR(COLUMN(CH70)+64),CHAR(INT((COLUMN(CH70)-1)/26)+64)&amp;CHAR(MOD(COLUMN(CH70)-1,26)+65))&amp;$CK70&amp;""),"")</f>
        <v/>
      </c>
    </row>
    <row r="71" spans="1:99" s="132" customFormat="1" ht="18" customHeight="1" x14ac:dyDescent="0.55000000000000004">
      <c r="A71" s="129"/>
      <c r="B71" s="130" t="str">
        <f t="array" aca="1" ref="B71" ca="1">IF(COUNTIF(G29,"*合計*"),"",
IFERROR(
SUBSTITUTE(ADDRESS(1,
COLUMN(INDIRECT("数出表_Excel!B" &amp; (MATCH(G29,数出表_Excel!$A:$A,0)-1))) - 1 +
MATCH(TRUE, ISNUMBER(--INDIRECT("数出表_Excel!B" &amp; (MATCH(G29,数出表_Excel!$A:$A,0)-1) &amp; ":U" &amp; (MATCH(G29,数出表_Excel!$A:$A,0)-1))), 0)+1,4),"1",""),
""))</f>
        <v/>
      </c>
      <c r="C71" s="117" t="str">
        <f ca="1">IF(C74&lt;&gt;"",C29,"")</f>
        <v/>
      </c>
      <c r="D71" s="131"/>
      <c r="E71" s="131"/>
      <c r="F71" s="131"/>
      <c r="G71" s="157"/>
      <c r="H71" s="129"/>
      <c r="I71" s="130" t="str">
        <f t="array" aca="1" ref="I71" ca="1">IF(COUNTIF(N29,"*合計*"),"",
IFERROR(
SUBSTITUTE(ADDRESS(1,
COLUMN(INDIRECT("数出表_Excel!B" &amp; (MATCH(N29,数出表_Excel!$A:$A,0)-1))) - 1 +
MATCH(TRUE, ISNUMBER(--INDIRECT("数出表_Excel!B" &amp; (MATCH(N29,数出表_Excel!$A:$A,0)-1) &amp; ":U" &amp; (MATCH(N29,数出表_Excel!$A:$A,0)-1))), 0)+1,4),"1",""),
""))</f>
        <v/>
      </c>
      <c r="J71" s="117" t="str">
        <f ca="1">IF(J74&lt;&gt;"",J29,"")</f>
        <v/>
      </c>
      <c r="K71" s="131"/>
      <c r="L71" s="131"/>
      <c r="M71" s="131"/>
      <c r="N71" s="152"/>
      <c r="O71" s="129"/>
      <c r="P71" s="129"/>
      <c r="Q71" s="130" t="str">
        <f t="array" aca="1" ref="Q71" ca="1">IF(COUNTIF(V29,"*合計*"),"",
IFERROR(
SUBSTITUTE(ADDRESS(1,
COLUMN(INDIRECT("数出表_Excel!B" &amp; (MATCH(V29,数出表_Excel!$A:$A,0)-1))) - 1 +
MATCH(TRUE, ISNUMBER(--INDIRECT("数出表_Excel!B" &amp; (MATCH(V29,数出表_Excel!$A:$A,0)-1) &amp; ":U" &amp; (MATCH(V29,数出表_Excel!$A:$A,0)-1))), 0)+1,4),"1",""),
""))</f>
        <v/>
      </c>
      <c r="R71" s="117" t="str">
        <f ca="1">IF(R74&lt;&gt;"",R29,"")</f>
        <v/>
      </c>
      <c r="S71" s="131"/>
      <c r="T71" s="131"/>
      <c r="U71" s="131"/>
      <c r="V71" s="152"/>
      <c r="W71" s="129"/>
      <c r="X71" s="130" t="str">
        <f t="array" aca="1" ref="X71" ca="1">IF(COUNTIF(AC29,"*合計*"),"",
IFERROR(
SUBSTITUTE(ADDRESS(1,
COLUMN(INDIRECT("数出表_Excel!B" &amp; (MATCH(AC29,数出表_Excel!$A:$A,0)-1))) - 1 +
MATCH(TRUE, ISNUMBER(--INDIRECT("数出表_Excel!B" &amp; (MATCH(AC29,数出表_Excel!$A:$A,0)-1) &amp; ":U" &amp; (MATCH(AC29,数出表_Excel!$A:$A,0)-1))), 0)+1,4),"1",""),
""))</f>
        <v/>
      </c>
      <c r="Y71" s="117" t="str">
        <f ca="1">IF(Y74&lt;&gt;"",Y29,"")</f>
        <v/>
      </c>
      <c r="Z71" s="131"/>
      <c r="AA71" s="131"/>
      <c r="AB71" s="131"/>
      <c r="AC71" s="152"/>
      <c r="AD71" s="129"/>
      <c r="AE71" s="129"/>
      <c r="AF71" s="130" t="str">
        <f t="array" aca="1" ref="AF71" ca="1">IF(COUNTIF(AK29,"*合計*"),"",
IFERROR(
SUBSTITUTE(ADDRESS(1,
COLUMN(INDIRECT("数出表_Excel!B" &amp; (MATCH(AK29,数出表_Excel!$A:$A,0)-1))) - 1 +
MATCH(TRUE, ISNUMBER(--INDIRECT("数出表_Excel!B" &amp; (MATCH(AK29,数出表_Excel!$A:$A,0)-1) &amp; ":U" &amp; (MATCH(AK29,数出表_Excel!$A:$A,0)-1))), 0)+1,4),"1",""),
""))</f>
        <v/>
      </c>
      <c r="AG71" s="117" t="str">
        <f ca="1">IF(AG74&lt;&gt;"",AG29,"")</f>
        <v/>
      </c>
      <c r="AH71" s="131"/>
      <c r="AI71" s="131"/>
      <c r="AJ71" s="131"/>
      <c r="AK71" s="152"/>
      <c r="AL71" s="129"/>
      <c r="AM71" s="130" t="str">
        <f t="array" aca="1" ref="AM71" ca="1">IF(COUNTIF(AR29,"*合計*"),"",
IFERROR(
SUBSTITUTE(ADDRESS(1,
COLUMN(INDIRECT("数出表_Excel!B" &amp; (MATCH(AR29,数出表_Excel!$A:$A,0)-1))) - 1 +
MATCH(TRUE, ISNUMBER(--INDIRECT("数出表_Excel!B" &amp; (MATCH(AR29,数出表_Excel!$A:$A,0)-1) &amp; ":U" &amp; (MATCH(AR29,数出表_Excel!$A:$A,0)-1))), 0)+1,4),"1",""),
""))</f>
        <v/>
      </c>
      <c r="AN71" s="117" t="str">
        <f ca="1">IF(AN74&lt;&gt;"",AN29,"")</f>
        <v/>
      </c>
      <c r="AO71" s="131"/>
      <c r="AP71" s="131"/>
      <c r="AQ71" s="131"/>
      <c r="AR71" s="152"/>
      <c r="AS71" s="129"/>
      <c r="AT71" s="129"/>
      <c r="AU71" s="130" t="str">
        <f t="array" aca="1" ref="AU71" ca="1">IF(COUNTIF(AZ29,"*合計*"),"",
IFERROR(
SUBSTITUTE(ADDRESS(1,
COLUMN(INDIRECT("数出表_Excel!B" &amp; (MATCH(AZ29,数出表_Excel!$A:$A,0)-1))) - 1 +
MATCH(TRUE, ISNUMBER(--INDIRECT("数出表_Excel!B" &amp; (MATCH(AZ29,数出表_Excel!$A:$A,0)-1) &amp; ":U" &amp; (MATCH(AZ29,数出表_Excel!$A:$A,0)-1))), 0)+1,4),"1",""),
""))</f>
        <v/>
      </c>
      <c r="AV71" s="117" t="str">
        <f ca="1">IF(AV74&lt;&gt;"",AV29,"")</f>
        <v/>
      </c>
      <c r="AW71" s="131"/>
      <c r="AX71" s="131"/>
      <c r="AY71" s="131"/>
      <c r="AZ71" s="152"/>
      <c r="BA71" s="129"/>
      <c r="BB71" s="130" t="str">
        <f t="array" aca="1" ref="BB71" ca="1">IF(COUNTIF(BG29,"*合計*"),"",
IFERROR(
SUBSTITUTE(ADDRESS(1,
COLUMN(INDIRECT("数出表_Excel!B" &amp; (MATCH(BG29,数出表_Excel!$A:$A,0)-1))) - 1 +
MATCH(TRUE, ISNUMBER(--INDIRECT("数出表_Excel!B" &amp; (MATCH(BG29,数出表_Excel!$A:$A,0)-1) &amp; ":U" &amp; (MATCH(BG29,数出表_Excel!$A:$A,0)-1))), 0)+1,4),"1",""),
""))</f>
        <v/>
      </c>
      <c r="BC71" s="117" t="str">
        <f ca="1">IF(BC74&lt;&gt;"",BC29,"")</f>
        <v/>
      </c>
      <c r="BD71" s="131"/>
      <c r="BE71" s="131"/>
      <c r="BF71" s="131"/>
      <c r="BG71" s="152"/>
      <c r="BH71" s="129"/>
      <c r="BI71" s="129"/>
      <c r="BJ71" s="130" t="str">
        <f t="array" aca="1" ref="BJ71" ca="1">IF(COUNTIF(BO29,"*合計*"),"",
IFERROR(
SUBSTITUTE(ADDRESS(1,
COLUMN(INDIRECT("数出表_Excel!B" &amp; (MATCH(BO29,数出表_Excel!$A:$A,0)-1))) - 1 +
MATCH(TRUE, ISNUMBER(--INDIRECT("数出表_Excel!B" &amp; (MATCH(BO29,数出表_Excel!$A:$A,0)-1) &amp; ":U" &amp; (MATCH(BO29,数出表_Excel!$A:$A,0)-1))), 0)+1,4),"1",""),
""))</f>
        <v/>
      </c>
      <c r="BK71" s="117" t="str">
        <f ca="1">IF(BK74&lt;&gt;"",BK29,"")</f>
        <v/>
      </c>
      <c r="BL71" s="131"/>
      <c r="BM71" s="131"/>
      <c r="BN71" s="131"/>
      <c r="BO71" s="152"/>
      <c r="BP71" s="129"/>
      <c r="BQ71" s="130" t="str">
        <f t="array" aca="1" ref="BQ71" ca="1">IF(COUNTIF(BV29,"*合計*"),"",
IFERROR(
SUBSTITUTE(ADDRESS(1,
COLUMN(INDIRECT("数出表_Excel!B" &amp; (MATCH(BV29,数出表_Excel!$A:$A,0)-1))) - 1 +
MATCH(TRUE, ISNUMBER(--INDIRECT("数出表_Excel!B" &amp; (MATCH(BV29,数出表_Excel!$A:$A,0)-1) &amp; ":U" &amp; (MATCH(BV29,数出表_Excel!$A:$A,0)-1))), 0)+1,4),"1",""),
""))</f>
        <v/>
      </c>
      <c r="BR71" s="117" t="str">
        <f ca="1">IF(BR74&lt;&gt;"",BR29,"")</f>
        <v/>
      </c>
      <c r="BS71" s="131"/>
      <c r="BT71" s="131"/>
      <c r="BU71" s="131"/>
      <c r="BV71" s="152"/>
      <c r="BW71" s="129"/>
      <c r="BX71" s="146">
        <f t="shared" si="4"/>
        <v>35</v>
      </c>
      <c r="BY71" s="132" t="str">
        <f t="array" aca="1" ref="BY71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LEN(SUBSTITUTE(_xlfn.FORMULATEXT(BY$51),"=","")))+$BX71)</f>
        <v/>
      </c>
      <c r="BZ71" s="132" t="str">
        <f t="array" aca="1" ref="BZ71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LEN(SUBSTITUTE(_xlfn.FORMULATEXT(BZ$51),"=","")))+$BX71)</f>
        <v/>
      </c>
      <c r="CA71" s="132" t="str">
        <f t="array" aca="1" ref="CA71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LEN(SUBSTITUTE(_xlfn.FORMULATEXT(CA$51),"=","")))+$BX71)</f>
        <v/>
      </c>
      <c r="CB71" s="132" t="str">
        <f t="array" aca="1" ref="CB71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LEN(SUBSTITUTE(_xlfn.FORMULATEXT(CB$51),"=","")))+$BX71)</f>
        <v/>
      </c>
      <c r="CC71" s="132" t="str">
        <f t="array" aca="1" ref="CC71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LEN(SUBSTITUTE(_xlfn.FORMULATEXT(CC$51),"=","")))+$BX71)</f>
        <v/>
      </c>
      <c r="CD71" s="132" t="str">
        <f t="array" aca="1" ref="CD71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LEN(SUBSTITUTE(_xlfn.FORMULATEXT(CD$51),"=","")))+$BX71)</f>
        <v/>
      </c>
      <c r="CE71" s="132" t="str">
        <f t="array" aca="1" ref="CE71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LEN(SUBSTITUTE(_xlfn.FORMULATEXT(CE$51),"=","")))+$BX71)</f>
        <v/>
      </c>
      <c r="CF71" s="132" t="str">
        <f t="array" aca="1" ref="CF71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LEN(SUBSTITUTE(_xlfn.FORMULATEXT(CF$51),"=","")))+$BX71)</f>
        <v/>
      </c>
      <c r="CG71" s="132" t="str">
        <f t="array" aca="1" ref="CG71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LEN(SUBSTITUTE(_xlfn.FORMULATEXT(CG$51),"=","")))+$BX71)</f>
        <v/>
      </c>
      <c r="CH71" s="132" t="str">
        <f t="array" aca="1" ref="CH71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LEN(SUBSTITUTE(_xlfn.FORMULATEXT(CH$51),"=","")))+$BX71)</f>
        <v/>
      </c>
      <c r="CI71" s="132">
        <f t="shared" ca="1" si="5"/>
        <v>0</v>
      </c>
      <c r="CJ71" s="132" t="b">
        <f t="array" aca="1" ref="CJ71" ca="1">SUMPRODUCT((LEN(BY71:CH71)&gt;0)*1)&gt;0</f>
        <v>0</v>
      </c>
      <c r="CK71" s="132" t="str" cm="1">
        <f t="array" aca="1" ref="CK71" ca="1">IFERROR(SMALL(IF(CI$1:CI$150&lt;&gt;0,CI$1:CI$150),ROW(A71)),"")</f>
        <v/>
      </c>
      <c r="CL71" s="132" t="str">
        <f t="array" aca="1" ref="CL71" ca="1">IF($CK71&lt;&gt;"",
INDIRECT(""&amp;IF(COLUMN(BY71)&lt;=26,CHAR(COLUMN(BY71)+64),CHAR(INT((COLUMN(BY71)-1)/26)+64)&amp;CHAR(MOD(COLUMN(BY71)-1,26)+65))&amp;$CK71&amp;""),"")</f>
        <v/>
      </c>
      <c r="CM71" s="132" t="str">
        <f t="array" aca="1" ref="CM71" ca="1">IF($CK71&lt;&gt;"",
INDIRECT(""&amp;IF(COLUMN(BZ71)&lt;=26,CHAR(COLUMN(BZ71)+64),CHAR(INT((COLUMN(BZ71)-1)/26)+64)&amp;CHAR(MOD(COLUMN(BZ71)-1,26)+65))&amp;$CK71&amp;""),"")</f>
        <v/>
      </c>
      <c r="CN71" s="132" t="str">
        <f t="array" aca="1" ref="CN71" ca="1">IF($CK71&lt;&gt;"",
INDIRECT(""&amp;IF(COLUMN(CA71)&lt;=26,CHAR(COLUMN(CA71)+64),CHAR(INT((COLUMN(CA71)-1)/26)+64)&amp;CHAR(MOD(COLUMN(CA71)-1,26)+65))&amp;$CK71&amp;""),"")</f>
        <v/>
      </c>
      <c r="CO71" s="132" t="str">
        <f t="array" aca="1" ref="CO71" ca="1">IF($CK71&lt;&gt;"",
INDIRECT(""&amp;IF(COLUMN(CB71)&lt;=26,CHAR(COLUMN(CB71)+64),CHAR(INT((COLUMN(CB71)-1)/26)+64)&amp;CHAR(MOD(COLUMN(CB71)-1,26)+65))&amp;$CK71&amp;""),"")</f>
        <v/>
      </c>
      <c r="CP71" s="132" t="str">
        <f t="array" aca="1" ref="CP71" ca="1">IF($CK71&lt;&gt;"",
INDIRECT(""&amp;IF(COLUMN(CC71)&lt;=26,CHAR(COLUMN(CC71)+64),CHAR(INT((COLUMN(CC71)-1)/26)+64)&amp;CHAR(MOD(COLUMN(CC71)-1,26)+65))&amp;$CK71&amp;""),"")</f>
        <v/>
      </c>
      <c r="CQ71" s="132" t="str">
        <f t="array" aca="1" ref="CQ71" ca="1">IF($CK71&lt;&gt;"",
INDIRECT(""&amp;IF(COLUMN(CD71)&lt;=26,CHAR(COLUMN(CD71)+64),CHAR(INT((COLUMN(CD71)-1)/26)+64)&amp;CHAR(MOD(COLUMN(CD71)-1,26)+65))&amp;$CK71&amp;""),"")</f>
        <v/>
      </c>
      <c r="CR71" s="132" t="str">
        <f t="array" aca="1" ref="CR71" ca="1">IF($CK71&lt;&gt;"",
INDIRECT(""&amp;IF(COLUMN(CE71)&lt;=26,CHAR(COLUMN(CE71)+64),CHAR(INT((COLUMN(CE71)-1)/26)+64)&amp;CHAR(MOD(COLUMN(CE71)-1,26)+65))&amp;$CK71&amp;""),"")</f>
        <v/>
      </c>
      <c r="CS71" s="132" t="str">
        <f t="array" aca="1" ref="CS71" ca="1">IF($CK71&lt;&gt;"",
INDIRECT(""&amp;IF(COLUMN(CF71)&lt;=26,CHAR(COLUMN(CF71)+64),CHAR(INT((COLUMN(CF71)-1)/26)+64)&amp;CHAR(MOD(COLUMN(CF71)-1,26)+65))&amp;$CK71&amp;""),"")</f>
        <v/>
      </c>
      <c r="CT71" s="132" t="str">
        <f t="array" aca="1" ref="CT71" ca="1">IF($CK71&lt;&gt;"",
INDIRECT(""&amp;IF(COLUMN(CG71)&lt;=26,CHAR(COLUMN(CG71)+64),CHAR(INT((COLUMN(CG71)-1)/26)+64)&amp;CHAR(MOD(COLUMN(CG71)-1,26)+65))&amp;$CK71&amp;""),"")</f>
        <v/>
      </c>
      <c r="CU71" s="132" t="str">
        <f t="array" aca="1" ref="CU71" ca="1">IF($CK71&lt;&gt;"",
INDIRECT(""&amp;IF(COLUMN(CH71)&lt;=26,CHAR(COLUMN(CH71)+64),CHAR(INT((COLUMN(CH71)-1)/26)+64)&amp;CHAR(MOD(COLUMN(CH71)-1,26)+65))&amp;$CK71&amp;""),"")</f>
        <v/>
      </c>
    </row>
    <row r="72" spans="1:99" s="132" customFormat="1" ht="18" customHeight="1" x14ac:dyDescent="0.55000000000000004">
      <c r="A72" s="129"/>
      <c r="B72" s="135" t="e">
        <f t="array" aca="1" ref="B72" ca="1">IF(B31&lt;&gt;100,
IF(C74&lt;&gt;"",MATCH(C74,INDIRECT("数出表_Excel!B"&amp;MATCH(G29,数出表_Excel!$A:$A,0)-1&amp;":U"&amp;MATCH(G29,数出表_Excel!$A:$A,0)-1&amp;""),0)+1,""),
IF(C74&lt;&gt;"",
MATCH(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INDIRECT("数出表_Excel!B"&amp;MATCH(G29,数出表_Excel!$A:$A,0)-1&amp;":U"&amp;MATCH(G29,数出表_Excel!$A:$A,0)-1&amp;""),0)+1,""))</f>
        <v>#VALUE!</v>
      </c>
      <c r="C72" s="70" t="str">
        <f t="array" aca="1" ref="C72" ca="1">IFERROR(IF(OR(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"3"),"*配膳*"),
COUNTIF(INDIRECT("数出表_Excel!"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"3"),"*カレー*"),
COUNTIF(C29,"*合計*")),"",
IF(IFERROR(INDIRECT("数出表_Excel!"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"3"),0)=0,"",
IFERROR(INDIRECT("数出表_Excel!" &amp;
CHAR(MATCH(TRUE,
ISNUMBER(--INDIRECT("数出表_Excel!"&amp;B71&amp;MATCH(G29,数出表_Excel!$A:$A,0)-1&amp;":U"&amp;MATCH(G29,数出表_Excel!$A:$A,0)-1&amp;"")),0)
+MATCH(TRUE, ISNUMBER(--INDIRECT("数出表_Excel!B" &amp; (MATCH(G29,数出表_Excel!$A:$A,0)-1) &amp; ":U" &amp; (MATCH(G29,数出表_Excel!$A:$A,0)-1))), 0)
+65) &amp; "3"),""))),"")</f>
        <v/>
      </c>
      <c r="D72" s="129"/>
      <c r="E72" s="136" t="str">
        <f ca="1">IF(F72&lt;&gt;"","",
IF(C71&lt;&gt;"",
IFERROR(
INDEX('数出表_Excel（アレルギー入力）'!$4:$4,
 1,
MATCH(C74,INDIRECT("'数出表_Excel（アレルギー入力）'!"&amp;B29-1&amp;":"&amp;B29-1&amp;""),0)),
 "")
&amp;IFERROR(
INDEX('数出表_Excel（アレルギー入力）'!$5:$5,
 1,
MATCH(C74,INDIRECT("'数出表_Excel（アレルギー入力）'!"&amp;B29-1&amp;":"&amp;B29-1&amp;""),0)),
 ""),""))</f>
        <v/>
      </c>
      <c r="F72" s="137" t="str">
        <f t="array" aca="1" ref="F72" ca="1">IF(C72&lt;&gt;"",
IF(MATCH(TRUE,
ISNUMBER(--INDIRECT("数出表_Excel!B"&amp;MATCH(G29,数出表_Excel!$A:$A,0)-1&amp;":U"&amp;MATCH(G29,数出表_Excel!$A:$A,0)-1&amp;"")),0)&gt;10,
IF(C72&lt;&gt;"",
IF(IF(COUNTIF('盛付札（関数）'!C72,"*キャラ*"),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VLOOKUP('盛付札（関数）'!C72,商品マスタ一覧!$D:$J,7,FALSE)))=0,"",
IF(ROUND(
IF(F77&lt;&gt;"",(C74-F77),C74)
/IF(COUNTIF('盛付札（関数）'!C72,"*キャラ*"),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VLOOKUP('盛付札（関数）'!C72,商品マスタ一覧!$D:$J,7,FALSE))),0)&lt;=0,1,
ROUND(
IF(F77&lt;&gt;"",(C74-F77),C74)
/IF(COUNTIF('盛付札（関数）'!C72,"*キャラ*"),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VLOOKUP('盛付札（関数）'!C72,商品マスタ一覧!$D:$J,7,FALSE))),0))),""),""),"")</f>
        <v/>
      </c>
      <c r="G72" s="158" t="str">
        <f ca="1">IF(F72&lt;&gt;"",IF(C74&lt;&gt;"",IF(VALUE(IF(F77&lt;&gt;"",C74-F77,C74))&gt;VALUE(IF(COUNTIF('盛付札（関数）'!C72,"*キャラ*"),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
"+"&amp;IF(F77&lt;&gt;"",C74-F77,C74)-IF(COUNTIF('盛付札（関数）'!C72,"*キャラ*"),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VLOOKUP('盛付札（関数）'!C72,商品マスタ一覧!$D:$J,7,FALSE)))*F72,
IF(F77&lt;&gt;"",C74-F77,C74)-IF(COUNTIF('盛付札（関数）'!C72,"*キャラ*"),
VLOOKUP("*キャラ*",商品マスタ一覧!$D:$J,7,FALSE),
IF(COUNTIF('盛付札（関数）'!C72,"*赤*"),
VLOOKUP("*赤*",商品マスタ一覧!$D:$J,7,FALSE),
VLOOKUP('盛付札（関数）'!C72,商品マスタ一覧!$D:$J,7,FALSE)))*F72),""),"")</f>
        <v/>
      </c>
      <c r="H72" s="129"/>
      <c r="I72" s="135" t="e">
        <f t="array" aca="1" ref="I72" ca="1">IF(I31&lt;&gt;100,
IF(J74&lt;&gt;"",MATCH(J74,INDIRECT("数出表_Excel!B"&amp;MATCH(N29,数出表_Excel!$A:$A,0)-1&amp;":U"&amp;MATCH(N29,数出表_Excel!$A:$A,0)-1&amp;""),0)+1,""),
IF(J74&lt;&gt;"",
MATCH(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INDIRECT("数出表_Excel!B"&amp;MATCH(N29,数出表_Excel!$A:$A,0)-1&amp;":U"&amp;MATCH(N29,数出表_Excel!$A:$A,0)-1&amp;""),0)+1,""))</f>
        <v>#VALUE!</v>
      </c>
      <c r="J72" s="70" t="str">
        <f t="array" aca="1" ref="J72" ca="1">IFERROR(IF(OR(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"3"),"*配膳*"),
COUNTIF(INDIRECT("数出表_Excel!"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"3"),"*カレー*"),
COUNTIF(J29,"*合計*")),"",
IF(IFERROR(INDIRECT("数出表_Excel!"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"3"),0)=0,"",
IFERROR(INDIRECT("数出表_Excel!" &amp;
CHAR(MATCH(TRUE,
ISNUMBER(--INDIRECT("数出表_Excel!"&amp;I71&amp;MATCH(N29,数出表_Excel!$A:$A,0)-1&amp;":U"&amp;MATCH(N29,数出表_Excel!$A:$A,0)-1&amp;"")),0)
+MATCH(TRUE, ISNUMBER(--INDIRECT("数出表_Excel!B" &amp; (MATCH(N29,数出表_Excel!$A:$A,0)-1) &amp; ":U" &amp; (MATCH(N29,数出表_Excel!$A:$A,0)-1))), 0)
+65) &amp; "3"),""))),"")</f>
        <v/>
      </c>
      <c r="K72" s="129"/>
      <c r="L72" s="136" t="str">
        <f ca="1">IF(M72&lt;&gt;"","",
IF(J71&lt;&gt;"",
IFERROR(
INDEX('数出表_Excel（アレルギー入力）'!$4:$4,
 1,
MATCH(J74,INDIRECT("'数出表_Excel（アレルギー入力）'!"&amp;I29-1&amp;":"&amp;I29-1&amp;""),0)),
 "")
&amp;IFERROR(
INDEX('数出表_Excel（アレルギー入力）'!$5:$5,
 1,
MATCH(J74,INDIRECT("'数出表_Excel（アレルギー入力）'!"&amp;I29-1&amp;":"&amp;I29-1&amp;""),0)),
 ""),""))</f>
        <v/>
      </c>
      <c r="M72" s="137" t="str">
        <f t="array" aca="1" ref="M72" ca="1">IF(J72&lt;&gt;"",
IF(MATCH(TRUE,
ISNUMBER(--INDIRECT("数出表_Excel!B"&amp;MATCH(N29,数出表_Excel!$A:$A,0)-1&amp;":U"&amp;MATCH(N29,数出表_Excel!$A:$A,0)-1&amp;"")),0)&gt;10,
IF(J72&lt;&gt;"",
IF(IF(COUNTIF('盛付札（関数）'!J72,"*キャラ*"),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VLOOKUP('盛付札（関数）'!J72,商品マスタ一覧!$D:$J,7,FALSE)))=0,"",
IF(ROUND(
IF(M77&lt;&gt;"",(J74-M77),J74)
/IF(COUNTIF('盛付札（関数）'!J72,"*キャラ*"),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VLOOKUP('盛付札（関数）'!J72,商品マスタ一覧!$D:$J,7,FALSE))),0)&lt;=0,1,
ROUND(
IF(M77&lt;&gt;"",(J74-M77),J74)
/IF(COUNTIF('盛付札（関数）'!J72,"*キャラ*"),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VLOOKUP('盛付札（関数）'!J72,商品マスタ一覧!$D:$J,7,FALSE))),0))),""),""),"")</f>
        <v/>
      </c>
      <c r="N72" s="153" t="str">
        <f ca="1">IF(M72&lt;&gt;"",IF(J74&lt;&gt;"",IF(VALUE(IF(M77&lt;&gt;"",J74-M77,J74))&gt;VALUE(IF(COUNTIF('盛付札（関数）'!J72,"*キャラ*"),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
"+"&amp;IF(M77&lt;&gt;"",J74-M77,J74)-IF(COUNTIF('盛付札（関数）'!J72,"*キャラ*"),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VLOOKUP('盛付札（関数）'!J72,商品マスタ一覧!$D:$J,7,FALSE)))*M72,
IF(M77&lt;&gt;"",J74-M77,J74)-IF(COUNTIF('盛付札（関数）'!J72,"*キャラ*"),
VLOOKUP("*キャラ*",商品マスタ一覧!$D:$J,7,FALSE),
IF(COUNTIF('盛付札（関数）'!J72,"*赤*"),
VLOOKUP("*赤*",商品マスタ一覧!$D:$J,7,FALSE),
VLOOKUP('盛付札（関数）'!J72,商品マスタ一覧!$D:$J,7,FALSE)))*M72),""),"")</f>
        <v/>
      </c>
      <c r="O72" s="129"/>
      <c r="P72" s="129"/>
      <c r="Q72" s="135" t="e">
        <f t="array" aca="1" ref="Q72" ca="1">IF(Q31&lt;&gt;100,
IF(R74&lt;&gt;"",MATCH(R74,INDIRECT("数出表_Excel!B"&amp;MATCH(V29,数出表_Excel!$A:$A,0)-1&amp;":U"&amp;MATCH(V29,数出表_Excel!$A:$A,0)-1&amp;""),0)+1,""),
IF(R74&lt;&gt;"",
MATCH(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INDIRECT("数出表_Excel!B"&amp;MATCH(V29,数出表_Excel!$A:$A,0)-1&amp;":U"&amp;MATCH(V29,数出表_Excel!$A:$A,0)-1&amp;""),0)+1,""))</f>
        <v>#VALUE!</v>
      </c>
      <c r="R72" s="70" t="str">
        <f t="array" aca="1" ref="R72" ca="1">IFERROR(IF(OR(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"3"),"*配膳*"),
COUNTIF(INDIRECT("数出表_Excel!"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"3"),"*カレー*"),
COUNTIF(R29,"*合計*")),"",
IF(IFERROR(INDIRECT("数出表_Excel!"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"3"),0)=0,"",
IFERROR(INDIRECT("数出表_Excel!" &amp;
CHAR(MATCH(TRUE,
ISNUMBER(--INDIRECT("数出表_Excel!"&amp;Q71&amp;MATCH(V29,数出表_Excel!$A:$A,0)-1&amp;":U"&amp;MATCH(V29,数出表_Excel!$A:$A,0)-1&amp;"")),0)
+MATCH(TRUE, ISNUMBER(--INDIRECT("数出表_Excel!B" &amp; (MATCH(V29,数出表_Excel!$A:$A,0)-1) &amp; ":U" &amp; (MATCH(V29,数出表_Excel!$A:$A,0)-1))), 0)
+65) &amp; "3"),""))),"")</f>
        <v/>
      </c>
      <c r="S72" s="129"/>
      <c r="T72" s="136" t="str">
        <f ca="1">IF(U72&lt;&gt;"","",
IF(R71&lt;&gt;"",
IFERROR(
INDEX('数出表_Excel（アレルギー入力）'!$4:$4,
 1,
MATCH(R74,INDIRECT("'数出表_Excel（アレルギー入力）'!"&amp;Q29-1&amp;":"&amp;Q29-1&amp;""),0)),
 "")
&amp;IFERROR(
INDEX('数出表_Excel（アレルギー入力）'!$5:$5,
 1,
MATCH(R74,INDIRECT("'数出表_Excel（アレルギー入力）'!"&amp;Q29-1&amp;":"&amp;Q29-1&amp;""),0)),
 ""),""))</f>
        <v/>
      </c>
      <c r="U72" s="137" t="str">
        <f t="array" aca="1" ref="U72" ca="1">IF(R72&lt;&gt;"",
IF(MATCH(TRUE,
ISNUMBER(--INDIRECT("数出表_Excel!B"&amp;MATCH(V29,数出表_Excel!$A:$A,0)-1&amp;":U"&amp;MATCH(V29,数出表_Excel!$A:$A,0)-1&amp;"")),0)&gt;10,
IF(R72&lt;&gt;"",
IF(IF(COUNTIF('盛付札（関数）'!R72,"*キャラ*"),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VLOOKUP('盛付札（関数）'!R72,商品マスタ一覧!$D:$J,7,FALSE)))=0,"",
IF(ROUND(
IF(U77&lt;&gt;"",(R74-U77),R74)
/IF(COUNTIF('盛付札（関数）'!R72,"*キャラ*"),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VLOOKUP('盛付札（関数）'!R72,商品マスタ一覧!$D:$J,7,FALSE))),0)&lt;=0,1,
ROUND(
IF(U77&lt;&gt;"",(R74-U77),R74)
/IF(COUNTIF('盛付札（関数）'!R72,"*キャラ*"),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VLOOKUP('盛付札（関数）'!R72,商品マスタ一覧!$D:$J,7,FALSE))),0))),""),""),"")</f>
        <v/>
      </c>
      <c r="V72" s="153" t="str">
        <f ca="1">IF(U72&lt;&gt;"",IF(R74&lt;&gt;"",IF(VALUE(IF(U77&lt;&gt;"",R74-U77,R74))&gt;VALUE(IF(COUNTIF('盛付札（関数）'!R72,"*キャラ*"),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
"+"&amp;IF(U77&lt;&gt;"",R74-U77,R74)-IF(COUNTIF('盛付札（関数）'!R72,"*キャラ*"),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VLOOKUP('盛付札（関数）'!R72,商品マスタ一覧!$D:$J,7,FALSE)))*U72,
IF(U77&lt;&gt;"",R74-U77,R74)-IF(COUNTIF('盛付札（関数）'!R72,"*キャラ*"),
VLOOKUP("*キャラ*",商品マスタ一覧!$D:$J,7,FALSE),
IF(COUNTIF('盛付札（関数）'!R72,"*赤*"),
VLOOKUP("*赤*",商品マスタ一覧!$D:$J,7,FALSE),
VLOOKUP('盛付札（関数）'!R72,商品マスタ一覧!$D:$J,7,FALSE)))*U72),""),"")</f>
        <v/>
      </c>
      <c r="W72" s="129"/>
      <c r="X72" s="135" t="e">
        <f t="array" aca="1" ref="X72" ca="1">IF(X31&lt;&gt;100,
IF(Y74&lt;&gt;"",MATCH(Y74,INDIRECT("数出表_Excel!B"&amp;MATCH(AC29,数出表_Excel!$A:$A,0)-1&amp;":U"&amp;MATCH(AC29,数出表_Excel!$A:$A,0)-1&amp;""),0)+1,""),
IF(Y74&lt;&gt;"",
MATCH(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INDIRECT("数出表_Excel!B"&amp;MATCH(AC29,数出表_Excel!$A:$A,0)-1&amp;":U"&amp;MATCH(AC29,数出表_Excel!$A:$A,0)-1&amp;""),0)+1,""))</f>
        <v>#VALUE!</v>
      </c>
      <c r="Y72" s="70" t="str">
        <f t="array" aca="1" ref="Y72" ca="1">IFERROR(IF(OR(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"3"),"*配膳*"),
COUNTIF(INDIRECT("数出表_Excel!"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"3"),"*カレー*"),
COUNTIF(Y29,"*合計*")),"",
IF(IFERROR(INDIRECT("数出表_Excel!"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"3"),0)=0,"",
IFERROR(INDIRECT("数出表_Excel!" &amp;
CHAR(MATCH(TRUE,
ISNUMBER(--INDIRECT("数出表_Excel!"&amp;X71&amp;MATCH(AC29,数出表_Excel!$A:$A,0)-1&amp;":U"&amp;MATCH(AC29,数出表_Excel!$A:$A,0)-1&amp;"")),0)
+MATCH(TRUE, ISNUMBER(--INDIRECT("数出表_Excel!B" &amp; (MATCH(AC29,数出表_Excel!$A:$A,0)-1) &amp; ":U" &amp; (MATCH(AC29,数出表_Excel!$A:$A,0)-1))), 0)
+65) &amp; "3"),""))),"")</f>
        <v/>
      </c>
      <c r="Z72" s="129"/>
      <c r="AA72" s="136" t="str">
        <f ca="1">IF(AB72&lt;&gt;"","",
IF(Y71&lt;&gt;"",
IFERROR(
INDEX('数出表_Excel（アレルギー入力）'!$4:$4,
 1,
MATCH(Y74,INDIRECT("'数出表_Excel（アレルギー入力）'!"&amp;X29-1&amp;":"&amp;X29-1&amp;""),0)),
 "")
&amp;IFERROR(
INDEX('数出表_Excel（アレルギー入力）'!$5:$5,
 1,
MATCH(Y74,INDIRECT("'数出表_Excel（アレルギー入力）'!"&amp;X29-1&amp;":"&amp;X29-1&amp;""),0)),
 ""),""))</f>
        <v/>
      </c>
      <c r="AB72" s="137" t="str">
        <f t="array" aca="1" ref="AB72" ca="1">IF(Y72&lt;&gt;"",
IF(MATCH(TRUE,
ISNUMBER(--INDIRECT("数出表_Excel!B"&amp;MATCH(AC29,数出表_Excel!$A:$A,0)-1&amp;":U"&amp;MATCH(AC29,数出表_Excel!$A:$A,0)-1&amp;"")),0)&gt;10,
IF(Y72&lt;&gt;"",
IF(IF(COUNTIF('盛付札（関数）'!Y72,"*キャラ*"),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VLOOKUP('盛付札（関数）'!Y72,商品マスタ一覧!$D:$J,7,FALSE)))=0,"",
IF(ROUND(
IF(AB77&lt;&gt;"",(Y74-AB77),Y74)
/IF(COUNTIF('盛付札（関数）'!Y72,"*キャラ*"),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VLOOKUP('盛付札（関数）'!Y72,商品マスタ一覧!$D:$J,7,FALSE))),0)&lt;=0,1,
ROUND(
IF(AB77&lt;&gt;"",(Y74-AB77),Y74)
/IF(COUNTIF('盛付札（関数）'!Y72,"*キャラ*"),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VLOOKUP('盛付札（関数）'!Y72,商品マスタ一覧!$D:$J,7,FALSE))),0))),""),""),"")</f>
        <v/>
      </c>
      <c r="AC72" s="153" t="str">
        <f ca="1">IF(AB72&lt;&gt;"",IF(Y74&lt;&gt;"",IF(VALUE(IF(AB77&lt;&gt;"",Y74-AB77,Y74))&gt;VALUE(IF(COUNTIF('盛付札（関数）'!Y72,"*キャラ*"),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
"+"&amp;IF(AB77&lt;&gt;"",Y74-AB77,Y74)-IF(COUNTIF('盛付札（関数）'!Y72,"*キャラ*"),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VLOOKUP('盛付札（関数）'!Y72,商品マスタ一覧!$D:$J,7,FALSE)))*AB72,
IF(AB77&lt;&gt;"",Y74-AB77,Y74)-IF(COUNTIF('盛付札（関数）'!Y72,"*キャラ*"),
VLOOKUP("*キャラ*",商品マスタ一覧!$D:$J,7,FALSE),
IF(COUNTIF('盛付札（関数）'!Y72,"*赤*"),
VLOOKUP("*赤*",商品マスタ一覧!$D:$J,7,FALSE),
VLOOKUP('盛付札（関数）'!Y72,商品マスタ一覧!$D:$J,7,FALSE)))*AB72),""),"")</f>
        <v/>
      </c>
      <c r="AD72" s="129"/>
      <c r="AE72" s="129"/>
      <c r="AF72" s="135" t="e">
        <f t="array" aca="1" ref="AF72" ca="1">IF(AF31&lt;&gt;100,
IF(AG74&lt;&gt;"",MATCH(AG74,INDIRECT("数出表_Excel!B"&amp;MATCH(AK29,数出表_Excel!$A:$A,0)-1&amp;":U"&amp;MATCH(AK29,数出表_Excel!$A:$A,0)-1&amp;""),0)+1,""),
IF(AG74&lt;&gt;"",
MATCH(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INDIRECT("数出表_Excel!B"&amp;MATCH(AK29,数出表_Excel!$A:$A,0)-1&amp;":U"&amp;MATCH(AK29,数出表_Excel!$A:$A,0)-1&amp;""),0)+1,""))</f>
        <v>#VALUE!</v>
      </c>
      <c r="AG72" s="70" t="str">
        <f t="array" aca="1" ref="AG72" ca="1">IFERROR(IF(OR(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"3"),"*配膳*"),
COUNTIF(INDIRECT("数出表_Excel!"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"3"),"*カレー*"),
COUNTIF(AG29,"*合計*")),"",
IF(IFERROR(INDIRECT("数出表_Excel!"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"3"),0)=0,"",
IFERROR(INDIRECT("数出表_Excel!" &amp;
CHAR(MATCH(TRUE,
ISNUMBER(--INDIRECT("数出表_Excel!"&amp;AF71&amp;MATCH(AK29,数出表_Excel!$A:$A,0)-1&amp;":U"&amp;MATCH(AK29,数出表_Excel!$A:$A,0)-1&amp;"")),0)
+MATCH(TRUE, ISNUMBER(--INDIRECT("数出表_Excel!B" &amp; (MATCH(AK29,数出表_Excel!$A:$A,0)-1) &amp; ":U" &amp; (MATCH(AK29,数出表_Excel!$A:$A,0)-1))), 0)
+65) &amp; "3"),""))),"")</f>
        <v/>
      </c>
      <c r="AH72" s="129"/>
      <c r="AI72" s="136" t="str">
        <f ca="1">IF(AJ72&lt;&gt;"","",
IF(AG71&lt;&gt;"",
IFERROR(
INDEX('数出表_Excel（アレルギー入力）'!$4:$4,
 1,
MATCH(AG74,INDIRECT("'数出表_Excel（アレルギー入力）'!"&amp;AF29-1&amp;":"&amp;AF29-1&amp;""),0)),
 "")
&amp;IFERROR(
INDEX('数出表_Excel（アレルギー入力）'!$5:$5,
 1,
MATCH(AG74,INDIRECT("'数出表_Excel（アレルギー入力）'!"&amp;AF29-1&amp;":"&amp;AF29-1&amp;""),0)),
 ""),""))</f>
        <v/>
      </c>
      <c r="AJ72" s="137" t="str">
        <f t="array" aca="1" ref="AJ72" ca="1">IF(AG72&lt;&gt;"",
IF(MATCH(TRUE,
ISNUMBER(--INDIRECT("数出表_Excel!B"&amp;MATCH(AK29,数出表_Excel!$A:$A,0)-1&amp;":U"&amp;MATCH(AK29,数出表_Excel!$A:$A,0)-1&amp;"")),0)&gt;10,
IF(AG72&lt;&gt;"",
IF(IF(COUNTIF('盛付札（関数）'!AG72,"*キャラ*"),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VLOOKUP('盛付札（関数）'!AG72,商品マスタ一覧!$D:$J,7,FALSE)))=0,"",
IF(ROUND(
IF(AJ77&lt;&gt;"",(AG74-AJ77),AG74)
/IF(COUNTIF('盛付札（関数）'!AG72,"*キャラ*"),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VLOOKUP('盛付札（関数）'!AG72,商品マスタ一覧!$D:$J,7,FALSE))),0)&lt;=0,1,
ROUND(
IF(AJ77&lt;&gt;"",(AG74-AJ77),AG74)
/IF(COUNTIF('盛付札（関数）'!AG72,"*キャラ*"),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VLOOKUP('盛付札（関数）'!AG72,商品マスタ一覧!$D:$J,7,FALSE))),0))),""),""),"")</f>
        <v/>
      </c>
      <c r="AK72" s="153" t="str">
        <f ca="1">IF(AJ72&lt;&gt;"",IF(AG74&lt;&gt;"",IF(VALUE(IF(AJ77&lt;&gt;"",AG74-AJ77,AG74))&gt;VALUE(IF(COUNTIF('盛付札（関数）'!AG72,"*キャラ*"),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
"+"&amp;IF(AJ77&lt;&gt;"",AG74-AJ77,AG74)-IF(COUNTIF('盛付札（関数）'!AG72,"*キャラ*"),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VLOOKUP('盛付札（関数）'!AG72,商品マスタ一覧!$D:$J,7,FALSE)))*AJ72,
IF(AJ77&lt;&gt;"",AG74-AJ77,AG74)-IF(COUNTIF('盛付札（関数）'!AG72,"*キャラ*"),
VLOOKUP("*キャラ*",商品マスタ一覧!$D:$J,7,FALSE),
IF(COUNTIF('盛付札（関数）'!AG72,"*赤*"),
VLOOKUP("*赤*",商品マスタ一覧!$D:$J,7,FALSE),
VLOOKUP('盛付札（関数）'!AG72,商品マスタ一覧!$D:$J,7,FALSE)))*AJ72),""),"")</f>
        <v/>
      </c>
      <c r="AL72" s="129"/>
      <c r="AM72" s="135" t="e">
        <f t="array" aca="1" ref="AM72" ca="1">IF(AM31&lt;&gt;100,
IF(AN74&lt;&gt;"",MATCH(AN74,INDIRECT("数出表_Excel!B"&amp;MATCH(AR29,数出表_Excel!$A:$A,0)-1&amp;":U"&amp;MATCH(AR29,数出表_Excel!$A:$A,0)-1&amp;""),0)+1,""),
IF(AN74&lt;&gt;"",
MATCH(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INDIRECT("数出表_Excel!B"&amp;MATCH(AR29,数出表_Excel!$A:$A,0)-1&amp;":U"&amp;MATCH(AR29,数出表_Excel!$A:$A,0)-1&amp;""),0)+1,""))</f>
        <v>#VALUE!</v>
      </c>
      <c r="AN72" s="70" t="str">
        <f t="array" aca="1" ref="AN72" ca="1">IFERROR(IF(OR(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"3"),"*配膳*"),
COUNTIF(INDIRECT("数出表_Excel!"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"3"),"*カレー*"),
COUNTIF(AN29,"*合計*")),"",
IF(IFERROR(INDIRECT("数出表_Excel!"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"3"),0)=0,"",
IFERROR(INDIRECT("数出表_Excel!" &amp;
CHAR(MATCH(TRUE,
ISNUMBER(--INDIRECT("数出表_Excel!"&amp;AM71&amp;MATCH(AR29,数出表_Excel!$A:$A,0)-1&amp;":U"&amp;MATCH(AR29,数出表_Excel!$A:$A,0)-1&amp;"")),0)
+MATCH(TRUE, ISNUMBER(--INDIRECT("数出表_Excel!B" &amp; (MATCH(AR29,数出表_Excel!$A:$A,0)-1) &amp; ":U" &amp; (MATCH(AR29,数出表_Excel!$A:$A,0)-1))), 0)
+65) &amp; "3"),""))),"")</f>
        <v/>
      </c>
      <c r="AO72" s="129"/>
      <c r="AP72" s="136" t="str">
        <f ca="1">IF(AQ72&lt;&gt;"","",
IF(AN71&lt;&gt;"",
IFERROR(
INDEX('数出表_Excel（アレルギー入力）'!$4:$4,
 1,
MATCH(AN74,INDIRECT("'数出表_Excel（アレルギー入力）'!"&amp;AM29-1&amp;":"&amp;AM29-1&amp;""),0)),
 "")
&amp;IFERROR(
INDEX('数出表_Excel（アレルギー入力）'!$5:$5,
 1,
MATCH(AN74,INDIRECT("'数出表_Excel（アレルギー入力）'!"&amp;AM29-1&amp;":"&amp;AM29-1&amp;""),0)),
 ""),""))</f>
        <v/>
      </c>
      <c r="AQ72" s="137" t="str">
        <f t="array" aca="1" ref="AQ72" ca="1">IF(AN72&lt;&gt;"",
IF(MATCH(TRUE,
ISNUMBER(--INDIRECT("数出表_Excel!B"&amp;MATCH(AR29,数出表_Excel!$A:$A,0)-1&amp;":U"&amp;MATCH(AR29,数出表_Excel!$A:$A,0)-1&amp;"")),0)&gt;10,
IF(AN72&lt;&gt;"",
IF(IF(COUNTIF('盛付札（関数）'!AN72,"*キャラ*"),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VLOOKUP('盛付札（関数）'!AN72,商品マスタ一覧!$D:$J,7,FALSE)))=0,"",
IF(ROUND(
IF(AQ77&lt;&gt;"",(AN74-AQ77),AN74)
/IF(COUNTIF('盛付札（関数）'!AN72,"*キャラ*"),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VLOOKUP('盛付札（関数）'!AN72,商品マスタ一覧!$D:$J,7,FALSE))),0)&lt;=0,1,
ROUND(
IF(AQ77&lt;&gt;"",(AN74-AQ77),AN74)
/IF(COUNTIF('盛付札（関数）'!AN72,"*キャラ*"),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VLOOKUP('盛付札（関数）'!AN72,商品マスタ一覧!$D:$J,7,FALSE))),0))),""),""),"")</f>
        <v/>
      </c>
      <c r="AR72" s="153" t="str">
        <f ca="1">IF(AQ72&lt;&gt;"",IF(AN74&lt;&gt;"",IF(VALUE(IF(AQ77&lt;&gt;"",AN74-AQ77,AN74))&gt;VALUE(IF(COUNTIF('盛付札（関数）'!AN72,"*キャラ*"),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
"+"&amp;IF(AQ77&lt;&gt;"",AN74-AQ77,AN74)-IF(COUNTIF('盛付札（関数）'!AN72,"*キャラ*"),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VLOOKUP('盛付札（関数）'!AN72,商品マスタ一覧!$D:$J,7,FALSE)))*AQ72,
IF(AQ77&lt;&gt;"",AN74-AQ77,AN74)-IF(COUNTIF('盛付札（関数）'!AN72,"*キャラ*"),
VLOOKUP("*キャラ*",商品マスタ一覧!$D:$J,7,FALSE),
IF(COUNTIF('盛付札（関数）'!AN72,"*赤*"),
VLOOKUP("*赤*",商品マスタ一覧!$D:$J,7,FALSE),
VLOOKUP('盛付札（関数）'!AN72,商品マスタ一覧!$D:$J,7,FALSE)))*AQ72),""),"")</f>
        <v/>
      </c>
      <c r="AS72" s="129"/>
      <c r="AT72" s="129"/>
      <c r="AU72" s="135" t="e">
        <f t="array" aca="1" ref="AU72" ca="1">IF(AU31&lt;&gt;100,
IF(AV74&lt;&gt;"",MATCH(AV74,INDIRECT("数出表_Excel!B"&amp;MATCH(AZ29,数出表_Excel!$A:$A,0)-1&amp;":U"&amp;MATCH(AZ29,数出表_Excel!$A:$A,0)-1&amp;""),0)+1,""),
IF(AV74&lt;&gt;"",
MATCH(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INDIRECT("数出表_Excel!B"&amp;MATCH(AZ29,数出表_Excel!$A:$A,0)-1&amp;":U"&amp;MATCH(AZ29,数出表_Excel!$A:$A,0)-1&amp;""),0)+1,""))</f>
        <v>#VALUE!</v>
      </c>
      <c r="AV72" s="70" t="str">
        <f t="array" aca="1" ref="AV72" ca="1">IFERROR(IF(OR(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"3"),"*配膳*"),
COUNTIF(INDIRECT("数出表_Excel!"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"3"),"*カレー*"),
COUNTIF(AV29,"*合計*")),"",
IF(IFERROR(INDIRECT("数出表_Excel!"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"3"),0)=0,"",
IFERROR(INDIRECT("数出表_Excel!" &amp;
CHAR(MATCH(TRUE,
ISNUMBER(--INDIRECT("数出表_Excel!"&amp;AU71&amp;MATCH(AZ29,数出表_Excel!$A:$A,0)-1&amp;":U"&amp;MATCH(AZ29,数出表_Excel!$A:$A,0)-1&amp;"")),0)
+MATCH(TRUE, ISNUMBER(--INDIRECT("数出表_Excel!B" &amp; (MATCH(AZ29,数出表_Excel!$A:$A,0)-1) &amp; ":U" &amp; (MATCH(AZ29,数出表_Excel!$A:$A,0)-1))), 0)
+65) &amp; "3"),""))),"")</f>
        <v/>
      </c>
      <c r="AW72" s="129"/>
      <c r="AX72" s="136" t="str">
        <f ca="1">IF(AY72&lt;&gt;"","",
IF(AV71&lt;&gt;"",
IFERROR(
INDEX('数出表_Excel（アレルギー入力）'!$4:$4,
 1,
MATCH(AV74,INDIRECT("'数出表_Excel（アレルギー入力）'!"&amp;AU29-1&amp;":"&amp;AU29-1&amp;""),0)),
 "")
&amp;IFERROR(
INDEX('数出表_Excel（アレルギー入力）'!$5:$5,
 1,
MATCH(AV74,INDIRECT("'数出表_Excel（アレルギー入力）'!"&amp;AU29-1&amp;":"&amp;AU29-1&amp;""),0)),
 ""),""))</f>
        <v/>
      </c>
      <c r="AY72" s="137" t="str">
        <f t="array" aca="1" ref="AY72" ca="1">IF(AV72&lt;&gt;"",
IF(MATCH(TRUE,
ISNUMBER(--INDIRECT("数出表_Excel!B"&amp;MATCH(AZ29,数出表_Excel!$A:$A,0)-1&amp;":U"&amp;MATCH(AZ29,数出表_Excel!$A:$A,0)-1&amp;"")),0)&gt;10,
IF(AV72&lt;&gt;"",
IF(IF(COUNTIF('盛付札（関数）'!AV72,"*キャラ*"),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VLOOKUP('盛付札（関数）'!AV72,商品マスタ一覧!$D:$J,7,FALSE)))=0,"",
IF(ROUND(
IF(AY77&lt;&gt;"",(AV74-AY77),AV74)
/IF(COUNTIF('盛付札（関数）'!AV72,"*キャラ*"),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VLOOKUP('盛付札（関数）'!AV72,商品マスタ一覧!$D:$J,7,FALSE))),0)&lt;=0,1,
ROUND(
IF(AY77&lt;&gt;"",(AV74-AY77),AV74)
/IF(COUNTIF('盛付札（関数）'!AV72,"*キャラ*"),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VLOOKUP('盛付札（関数）'!AV72,商品マスタ一覧!$D:$J,7,FALSE))),0))),""),""),"")</f>
        <v/>
      </c>
      <c r="AZ72" s="153" t="str">
        <f ca="1">IF(AY72&lt;&gt;"",IF(AV74&lt;&gt;"",IF(VALUE(IF(AY77&lt;&gt;"",AV74-AY77,AV74))&gt;VALUE(IF(COUNTIF('盛付札（関数）'!AV72,"*キャラ*"),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
"+"&amp;IF(AY77&lt;&gt;"",AV74-AY77,AV74)-IF(COUNTIF('盛付札（関数）'!AV72,"*キャラ*"),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VLOOKUP('盛付札（関数）'!AV72,商品マスタ一覧!$D:$J,7,FALSE)))*AY72,
IF(AY77&lt;&gt;"",AV74-AY77,AV74)-IF(COUNTIF('盛付札（関数）'!AV72,"*キャラ*"),
VLOOKUP("*キャラ*",商品マスタ一覧!$D:$J,7,FALSE),
IF(COUNTIF('盛付札（関数）'!AV72,"*赤*"),
VLOOKUP("*赤*",商品マスタ一覧!$D:$J,7,FALSE),
VLOOKUP('盛付札（関数）'!AV72,商品マスタ一覧!$D:$J,7,FALSE)))*AY72),""),"")</f>
        <v/>
      </c>
      <c r="BA72" s="129"/>
      <c r="BB72" s="135" t="e">
        <f t="array" aca="1" ref="BB72" ca="1">IF(BB31&lt;&gt;100,
IF(BC74&lt;&gt;"",MATCH(BC74,INDIRECT("数出表_Excel!B"&amp;MATCH(BG29,数出表_Excel!$A:$A,0)-1&amp;":U"&amp;MATCH(BG29,数出表_Excel!$A:$A,0)-1&amp;""),0)+1,""),
IF(BC74&lt;&gt;"",
MATCH(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INDIRECT("数出表_Excel!B"&amp;MATCH(BG29,数出表_Excel!$A:$A,0)-1&amp;":U"&amp;MATCH(BG29,数出表_Excel!$A:$A,0)-1&amp;""),0)+1,""))</f>
        <v>#VALUE!</v>
      </c>
      <c r="BC72" s="70" t="str">
        <f t="array" aca="1" ref="BC72" ca="1">IFERROR(IF(OR(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"3"),"*配膳*"),
COUNTIF(INDIRECT("数出表_Excel!"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"3"),"*カレー*"),
COUNTIF(BC29,"*合計*")),"",
IF(IFERROR(INDIRECT("数出表_Excel!"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"3"),0)=0,"",
IFERROR(INDIRECT("数出表_Excel!" &amp;
CHAR(MATCH(TRUE,
ISNUMBER(--INDIRECT("数出表_Excel!"&amp;BB71&amp;MATCH(BG29,数出表_Excel!$A:$A,0)-1&amp;":U"&amp;MATCH(BG29,数出表_Excel!$A:$A,0)-1&amp;"")),0)
+MATCH(TRUE, ISNUMBER(--INDIRECT("数出表_Excel!B" &amp; (MATCH(BG29,数出表_Excel!$A:$A,0)-1) &amp; ":U" &amp; (MATCH(BG29,数出表_Excel!$A:$A,0)-1))), 0)
+65) &amp; "3"),""))),"")</f>
        <v/>
      </c>
      <c r="BD72" s="129"/>
      <c r="BE72" s="136" t="str">
        <f ca="1">IF(BF72&lt;&gt;"","",
IF(BC71&lt;&gt;"",
IFERROR(
INDEX('数出表_Excel（アレルギー入力）'!$4:$4,
 1,
MATCH(BC74,INDIRECT("'数出表_Excel（アレルギー入力）'!"&amp;BB29-1&amp;":"&amp;BB29-1&amp;""),0)),
 "")
&amp;IFERROR(
INDEX('数出表_Excel（アレルギー入力）'!$5:$5,
 1,
MATCH(BC74,INDIRECT("'数出表_Excel（アレルギー入力）'!"&amp;BB29-1&amp;":"&amp;BB29-1&amp;""),0)),
 ""),""))</f>
        <v/>
      </c>
      <c r="BF72" s="137" t="str">
        <f t="array" aca="1" ref="BF72" ca="1">IF(BC72&lt;&gt;"",
IF(MATCH(TRUE,
ISNUMBER(--INDIRECT("数出表_Excel!B"&amp;MATCH(BG29,数出表_Excel!$A:$A,0)-1&amp;":U"&amp;MATCH(BG29,数出表_Excel!$A:$A,0)-1&amp;"")),0)&gt;10,
IF(BC72&lt;&gt;"",
IF(IF(COUNTIF('盛付札（関数）'!BC72,"*キャラ*"),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VLOOKUP('盛付札（関数）'!BC72,商品マスタ一覧!$D:$J,7,FALSE)))=0,"",
IF(ROUND(
IF(BF77&lt;&gt;"",(BC74-BF77),BC74)
/IF(COUNTIF('盛付札（関数）'!BC72,"*キャラ*"),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VLOOKUP('盛付札（関数）'!BC72,商品マスタ一覧!$D:$J,7,FALSE))),0)&lt;=0,1,
ROUND(
IF(BF77&lt;&gt;"",(BC74-BF77),BC74)
/IF(COUNTIF('盛付札（関数）'!BC72,"*キャラ*"),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VLOOKUP('盛付札（関数）'!BC72,商品マスタ一覧!$D:$J,7,FALSE))),0))),""),""),"")</f>
        <v/>
      </c>
      <c r="BG72" s="153" t="str">
        <f ca="1">IF(BF72&lt;&gt;"",IF(BC74&lt;&gt;"",IF(VALUE(IF(BF77&lt;&gt;"",BC74-BF77,BC74))&gt;VALUE(IF(COUNTIF('盛付札（関数）'!BC72,"*キャラ*"),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
"+"&amp;IF(BF77&lt;&gt;"",BC74-BF77,BC74)-IF(COUNTIF('盛付札（関数）'!BC72,"*キャラ*"),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VLOOKUP('盛付札（関数）'!BC72,商品マスタ一覧!$D:$J,7,FALSE)))*BF72,
IF(BF77&lt;&gt;"",BC74-BF77,BC74)-IF(COUNTIF('盛付札（関数）'!BC72,"*キャラ*"),
VLOOKUP("*キャラ*",商品マスタ一覧!$D:$J,7,FALSE),
IF(COUNTIF('盛付札（関数）'!BC72,"*赤*"),
VLOOKUP("*赤*",商品マスタ一覧!$D:$J,7,FALSE),
VLOOKUP('盛付札（関数）'!BC72,商品マスタ一覧!$D:$J,7,FALSE)))*BF72),""),"")</f>
        <v/>
      </c>
      <c r="BH72" s="129"/>
      <c r="BI72" s="129"/>
      <c r="BJ72" s="135" t="e">
        <f t="array" aca="1" ref="BJ72" ca="1">IF(BJ31&lt;&gt;100,
IF(BK74&lt;&gt;"",MATCH(BK74,INDIRECT("数出表_Excel!B"&amp;MATCH(BO29,数出表_Excel!$A:$A,0)-1&amp;":U"&amp;MATCH(BO29,数出表_Excel!$A:$A,0)-1&amp;""),0)+1,""),
IF(BK74&lt;&gt;"",
MATCH(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INDIRECT("数出表_Excel!B"&amp;MATCH(BO29,数出表_Excel!$A:$A,0)-1&amp;":U"&amp;MATCH(BO29,数出表_Excel!$A:$A,0)-1&amp;""),0)+1,""))</f>
        <v>#VALUE!</v>
      </c>
      <c r="BK72" s="70" t="str">
        <f t="array" aca="1" ref="BK72" ca="1">IFERROR(IF(OR(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"3"),"*配膳*"),
COUNTIF(INDIRECT("数出表_Excel!"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"3"),"*カレー*"),
COUNTIF(BK29,"*合計*")),"",
IF(IFERROR(INDIRECT("数出表_Excel!"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"3"),0)=0,"",
IFERROR(INDIRECT("数出表_Excel!" &amp;
CHAR(MATCH(TRUE,
ISNUMBER(--INDIRECT("数出表_Excel!"&amp;BJ71&amp;MATCH(BO29,数出表_Excel!$A:$A,0)-1&amp;":U"&amp;MATCH(BO29,数出表_Excel!$A:$A,0)-1&amp;"")),0)
+MATCH(TRUE, ISNUMBER(--INDIRECT("数出表_Excel!B" &amp; (MATCH(BO29,数出表_Excel!$A:$A,0)-1) &amp; ":U" &amp; (MATCH(BO29,数出表_Excel!$A:$A,0)-1))), 0)
+65) &amp; "3"),""))),"")</f>
        <v/>
      </c>
      <c r="BL72" s="129"/>
      <c r="BM72" s="136" t="str">
        <f ca="1">IF(BN72&lt;&gt;"","",
IF(BK71&lt;&gt;"",
IFERROR(
INDEX('数出表_Excel（アレルギー入力）'!$4:$4,
 1,
MATCH(BK74,INDIRECT("'数出表_Excel（アレルギー入力）'!"&amp;BJ29-1&amp;":"&amp;BJ29-1&amp;""),0)),
 "")
&amp;IFERROR(
INDEX('数出表_Excel（アレルギー入力）'!$5:$5,
 1,
MATCH(BK74,INDIRECT("'数出表_Excel（アレルギー入力）'!"&amp;BJ29-1&amp;":"&amp;BJ29-1&amp;""),0)),
 ""),""))</f>
        <v/>
      </c>
      <c r="BN72" s="137" t="str">
        <f t="array" aca="1" ref="BN72" ca="1">IF(BK72&lt;&gt;"",
IF(MATCH(TRUE,
ISNUMBER(--INDIRECT("数出表_Excel!B"&amp;MATCH(BO29,数出表_Excel!$A:$A,0)-1&amp;":U"&amp;MATCH(BO29,数出表_Excel!$A:$A,0)-1&amp;"")),0)&gt;10,
IF(BK72&lt;&gt;"",
IF(IF(COUNTIF('盛付札（関数）'!BK72,"*キャラ*"),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VLOOKUP('盛付札（関数）'!BK72,商品マスタ一覧!$D:$J,7,FALSE)))=0,"",
IF(ROUND(
IF(BN77&lt;&gt;"",(BK74-BN77),BK74)
/IF(COUNTIF('盛付札（関数）'!BK72,"*キャラ*"),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VLOOKUP('盛付札（関数）'!BK72,商品マスタ一覧!$D:$J,7,FALSE))),0)&lt;=0,1,
ROUND(
IF(BN77&lt;&gt;"",(BK74-BN77),BK74)
/IF(COUNTIF('盛付札（関数）'!BK72,"*キャラ*"),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VLOOKUP('盛付札（関数）'!BK72,商品マスタ一覧!$D:$J,7,FALSE))),0))),""),""),"")</f>
        <v/>
      </c>
      <c r="BO72" s="153" t="str">
        <f ca="1">IF(BN72&lt;&gt;"",IF(BK74&lt;&gt;"",IF(VALUE(IF(BN77&lt;&gt;"",BK74-BN77,BK74))&gt;VALUE(IF(COUNTIF('盛付札（関数）'!BK72,"*キャラ*"),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
"+"&amp;IF(BN77&lt;&gt;"",BK74-BN77,BK74)-IF(COUNTIF('盛付札（関数）'!BK72,"*キャラ*"),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VLOOKUP('盛付札（関数）'!BK72,商品マスタ一覧!$D:$J,7,FALSE)))*BN72,
IF(BN77&lt;&gt;"",BK74-BN77,BK74)-IF(COUNTIF('盛付札（関数）'!BK72,"*キャラ*"),
VLOOKUP("*キャラ*",商品マスタ一覧!$D:$J,7,FALSE),
IF(COUNTIF('盛付札（関数）'!BK72,"*赤*"),
VLOOKUP("*赤*",商品マスタ一覧!$D:$J,7,FALSE),
VLOOKUP('盛付札（関数）'!BK72,商品マスタ一覧!$D:$J,7,FALSE)))*BN72),""),"")</f>
        <v/>
      </c>
      <c r="BP72" s="129"/>
      <c r="BQ72" s="135" t="e">
        <f t="array" aca="1" ref="BQ72" ca="1">IF(BQ31&lt;&gt;100,
IF(BR74&lt;&gt;"",MATCH(BR74,INDIRECT("数出表_Excel!B"&amp;MATCH(BV29,数出表_Excel!$A:$A,0)-1&amp;":U"&amp;MATCH(BV29,数出表_Excel!$A:$A,0)-1&amp;""),0)+1,""),
IF(BR74&lt;&gt;"",
MATCH(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INDIRECT("数出表_Excel!B"&amp;MATCH(BV29,数出表_Excel!$A:$A,0)-1&amp;":U"&amp;MATCH(BV29,数出表_Excel!$A:$A,0)-1&amp;""),0)+1,""))</f>
        <v>#VALUE!</v>
      </c>
      <c r="BR72" s="70" t="str">
        <f t="array" aca="1" ref="BR72" ca="1">IFERROR(IF(OR(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"3"),"*配膳*"),
COUNTIF(INDIRECT("数出表_Excel!"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"3"),"*カレー*"),
COUNTIF(BR29,"*合計*")),"",
IF(IFERROR(INDIRECT("数出表_Excel!"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"3"),0)=0,"",
IFERROR(INDIRECT("数出表_Excel!" &amp;
CHAR(MATCH(TRUE,
ISNUMBER(--INDIRECT("数出表_Excel!"&amp;BQ71&amp;MATCH(BV29,数出表_Excel!$A:$A,0)-1&amp;":U"&amp;MATCH(BV29,数出表_Excel!$A:$A,0)-1&amp;"")),0)
+MATCH(TRUE, ISNUMBER(--INDIRECT("数出表_Excel!B" &amp; (MATCH(BV29,数出表_Excel!$A:$A,0)-1) &amp; ":U" &amp; (MATCH(BV29,数出表_Excel!$A:$A,0)-1))), 0)
+65) &amp; "3"),""))),"")</f>
        <v/>
      </c>
      <c r="BS72" s="129"/>
      <c r="BT72" s="136" t="str">
        <f ca="1">IF(BU72&lt;&gt;"","",
IF(BR71&lt;&gt;"",
IFERROR(
INDEX('数出表_Excel（アレルギー入力）'!$4:$4,
 1,
MATCH(BR74,INDIRECT("'数出表_Excel（アレルギー入力）'!"&amp;BQ29-1&amp;":"&amp;BQ29-1&amp;""),0)),
 "")
&amp;IFERROR(
INDEX('数出表_Excel（アレルギー入力）'!$5:$5,
 1,
MATCH(BR74,INDIRECT("'数出表_Excel（アレルギー入力）'!"&amp;BQ29-1&amp;":"&amp;BQ29-1&amp;""),0)),
 ""),""))</f>
        <v/>
      </c>
      <c r="BU72" s="137" t="str">
        <f t="array" aca="1" ref="BU72" ca="1">IF(BR72&lt;&gt;"",
IF(MATCH(TRUE,
ISNUMBER(--INDIRECT("数出表_Excel!B"&amp;MATCH(BV29,数出表_Excel!$A:$A,0)-1&amp;":U"&amp;MATCH(BV29,数出表_Excel!$A:$A,0)-1&amp;"")),0)&gt;10,
IF(BR72&lt;&gt;"",
IF(IF(COUNTIF('盛付札（関数）'!BR72,"*キャラ*"),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VLOOKUP('盛付札（関数）'!BR72,商品マスタ一覧!$D:$J,7,FALSE)))=0,"",
IF(ROUND(
IF(BU77&lt;&gt;"",(BR74-BU77),BR74)
/IF(COUNTIF('盛付札（関数）'!BR72,"*キャラ*"),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VLOOKUP('盛付札（関数）'!BR72,商品マスタ一覧!$D:$J,7,FALSE))),0)&lt;=0,1,
ROUND(
IF(BU77&lt;&gt;"",(BR74-BU77),BR74)
/IF(COUNTIF('盛付札（関数）'!BR72,"*キャラ*"),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VLOOKUP('盛付札（関数）'!BR72,商品マスタ一覧!$D:$J,7,FALSE))),0))),""),""),"")</f>
        <v/>
      </c>
      <c r="BV72" s="153" t="str">
        <f ca="1">IF(BU72&lt;&gt;"",IF(BR74&lt;&gt;"",IF(VALUE(IF(BU77&lt;&gt;"",BR74-BU77,BR74))&gt;VALUE(IF(COUNTIF('盛付札（関数）'!BR72,"*キャラ*"),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
"+"&amp;IF(BU77&lt;&gt;"",BR74-BU77,BR74)-IF(COUNTIF('盛付札（関数）'!BR72,"*キャラ*"),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VLOOKUP('盛付札（関数）'!BR72,商品マスタ一覧!$D:$J,7,FALSE)))*BU72,
IF(BU77&lt;&gt;"",BR74-BU77,BR74)-IF(COUNTIF('盛付札（関数）'!BR72,"*キャラ*"),
VLOOKUP("*キャラ*",商品マスタ一覧!$D:$J,7,FALSE),
IF(COUNTIF('盛付札（関数）'!BR72,"*赤*"),
VLOOKUP("*赤*",商品マスタ一覧!$D:$J,7,FALSE),
VLOOKUP('盛付札（関数）'!BR72,商品マスタ一覧!$D:$J,7,FALSE)))*BU72),""),"")</f>
        <v/>
      </c>
      <c r="BW72" s="129"/>
      <c r="BX72" s="132">
        <f t="shared" si="4"/>
        <v>77</v>
      </c>
      <c r="BY72" s="132" t="str">
        <f t="array" aca="1" ref="BY72" ca="1">INDIRECT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
&amp;MID(SUBSTITUTE(_xlfn.FORMULATEXT(BY$51),"=",""), LEN(_xlfn.TEXTJOIN("",TRUE,IF(ISERROR(MID(SUBSTITUTE(_xlfn.FORMULATEXT(BY$51),"=",""),ROW(INDIRECT("1:"&amp;LEN(SUBSTITUTE(_xlfn.FORMULATEXT(BY$51),"=","")))),1)*1),MID(SUBSTITUTE(_xlfn.FORMULATEXT(BY$51),"=",""),ROW(INDIRECT("1:"&amp;LEN(SUBSTITUTE(_xlfn.FORMULATEXT(BY$51),"=","")))),1),"")))+1, LEN(SUBSTITUTE(_xlfn.FORMULATEXT(BY$51),"=","")))+$BX72)</f>
        <v/>
      </c>
      <c r="BZ72" s="132" t="str">
        <f t="array" aca="1" ref="BZ72" ca="1">INDIRECT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
&amp;MID(SUBSTITUTE(_xlfn.FORMULATEXT(BZ$51),"=",""), LEN(_xlfn.TEXTJOIN("",TRUE,IF(ISERROR(MID(SUBSTITUTE(_xlfn.FORMULATEXT(BZ$51),"=",""),ROW(INDIRECT("1:"&amp;LEN(SUBSTITUTE(_xlfn.FORMULATEXT(BZ$51),"=","")))),1)*1),MID(SUBSTITUTE(_xlfn.FORMULATEXT(BZ$51),"=",""),ROW(INDIRECT("1:"&amp;LEN(SUBSTITUTE(_xlfn.FORMULATEXT(BZ$51),"=","")))),1),"")))+1, LEN(SUBSTITUTE(_xlfn.FORMULATEXT(BZ$51),"=","")))+$BX72)</f>
        <v/>
      </c>
      <c r="CA72" s="132" t="str">
        <f t="array" aca="1" ref="CA72" ca="1">INDIRECT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
&amp;MID(SUBSTITUTE(_xlfn.FORMULATEXT(CA$51),"=",""), LEN(_xlfn.TEXTJOIN("",TRUE,IF(ISERROR(MID(SUBSTITUTE(_xlfn.FORMULATEXT(CA$51),"=",""),ROW(INDIRECT("1:"&amp;LEN(SUBSTITUTE(_xlfn.FORMULATEXT(CA$51),"=","")))),1)*1),MID(SUBSTITUTE(_xlfn.FORMULATEXT(CA$51),"=",""),ROW(INDIRECT("1:"&amp;LEN(SUBSTITUTE(_xlfn.FORMULATEXT(CA$51),"=","")))),1),"")))+1, LEN(SUBSTITUTE(_xlfn.FORMULATEXT(CA$51),"=","")))+$BX72)</f>
        <v/>
      </c>
      <c r="CB72" s="132" t="str">
        <f t="array" aca="1" ref="CB72" ca="1">INDIRECT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
&amp;MID(SUBSTITUTE(_xlfn.FORMULATEXT(CB$51),"=",""), LEN(_xlfn.TEXTJOIN("",TRUE,IF(ISERROR(MID(SUBSTITUTE(_xlfn.FORMULATEXT(CB$51),"=",""),ROW(INDIRECT("1:"&amp;LEN(SUBSTITUTE(_xlfn.FORMULATEXT(CB$51),"=","")))),1)*1),MID(SUBSTITUTE(_xlfn.FORMULATEXT(CB$51),"=",""),ROW(INDIRECT("1:"&amp;LEN(SUBSTITUTE(_xlfn.FORMULATEXT(CB$51),"=","")))),1),"")))+1, LEN(SUBSTITUTE(_xlfn.FORMULATEXT(CB$51),"=","")))+$BX72)</f>
        <v/>
      </c>
      <c r="CC72" s="132" t="str">
        <f t="array" aca="1" ref="CC72" ca="1">INDIRECT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
&amp;MID(SUBSTITUTE(_xlfn.FORMULATEXT(CC$51),"=",""), LEN(_xlfn.TEXTJOIN("",TRUE,IF(ISERROR(MID(SUBSTITUTE(_xlfn.FORMULATEXT(CC$51),"=",""),ROW(INDIRECT("1:"&amp;LEN(SUBSTITUTE(_xlfn.FORMULATEXT(CC$51),"=","")))),1)*1),MID(SUBSTITUTE(_xlfn.FORMULATEXT(CC$51),"=",""),ROW(INDIRECT("1:"&amp;LEN(SUBSTITUTE(_xlfn.FORMULATEXT(CC$51),"=","")))),1),"")))+1, LEN(SUBSTITUTE(_xlfn.FORMULATEXT(CC$51),"=","")))+$BX72)</f>
        <v/>
      </c>
      <c r="CD72" s="132" t="str">
        <f t="array" aca="1" ref="CD72" ca="1">INDIRECT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
&amp;MID(SUBSTITUTE(_xlfn.FORMULATEXT(CD$51),"=",""), LEN(_xlfn.TEXTJOIN("",TRUE,IF(ISERROR(MID(SUBSTITUTE(_xlfn.FORMULATEXT(CD$51),"=",""),ROW(INDIRECT("1:"&amp;LEN(SUBSTITUTE(_xlfn.FORMULATEXT(CD$51),"=","")))),1)*1),MID(SUBSTITUTE(_xlfn.FORMULATEXT(CD$51),"=",""),ROW(INDIRECT("1:"&amp;LEN(SUBSTITUTE(_xlfn.FORMULATEXT(CD$51),"=","")))),1),"")))+1, LEN(SUBSTITUTE(_xlfn.FORMULATEXT(CD$51),"=","")))+$BX72)</f>
        <v/>
      </c>
      <c r="CE72" s="132" t="str">
        <f t="array" aca="1" ref="CE72" ca="1">INDIRECT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
&amp;MID(SUBSTITUTE(_xlfn.FORMULATEXT(CE$51),"=",""), LEN(_xlfn.TEXTJOIN("",TRUE,IF(ISERROR(MID(SUBSTITUTE(_xlfn.FORMULATEXT(CE$51),"=",""),ROW(INDIRECT("1:"&amp;LEN(SUBSTITUTE(_xlfn.FORMULATEXT(CE$51),"=","")))),1)*1),MID(SUBSTITUTE(_xlfn.FORMULATEXT(CE$51),"=",""),ROW(INDIRECT("1:"&amp;LEN(SUBSTITUTE(_xlfn.FORMULATEXT(CE$51),"=","")))),1),"")))+1, LEN(SUBSTITUTE(_xlfn.FORMULATEXT(CE$51),"=","")))+$BX72)</f>
        <v/>
      </c>
      <c r="CF72" s="132" t="str">
        <f t="array" aca="1" ref="CF72" ca="1">INDIRECT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
&amp;MID(SUBSTITUTE(_xlfn.FORMULATEXT(CF$51),"=",""), LEN(_xlfn.TEXTJOIN("",TRUE,IF(ISERROR(MID(SUBSTITUTE(_xlfn.FORMULATEXT(CF$51),"=",""),ROW(INDIRECT("1:"&amp;LEN(SUBSTITUTE(_xlfn.FORMULATEXT(CF$51),"=","")))),1)*1),MID(SUBSTITUTE(_xlfn.FORMULATEXT(CF$51),"=",""),ROW(INDIRECT("1:"&amp;LEN(SUBSTITUTE(_xlfn.FORMULATEXT(CF$51),"=","")))),1),"")))+1, LEN(SUBSTITUTE(_xlfn.FORMULATEXT(CF$51),"=","")))+$BX72)</f>
        <v/>
      </c>
      <c r="CG72" s="132" t="str">
        <f t="array" aca="1" ref="CG72" ca="1">INDIRECT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
&amp;MID(SUBSTITUTE(_xlfn.FORMULATEXT(CG$51),"=",""), LEN(_xlfn.TEXTJOIN("",TRUE,IF(ISERROR(MID(SUBSTITUTE(_xlfn.FORMULATEXT(CG$51),"=",""),ROW(INDIRECT("1:"&amp;LEN(SUBSTITUTE(_xlfn.FORMULATEXT(CG$51),"=","")))),1)*1),MID(SUBSTITUTE(_xlfn.FORMULATEXT(CG$51),"=",""),ROW(INDIRECT("1:"&amp;LEN(SUBSTITUTE(_xlfn.FORMULATEXT(CG$51),"=","")))),1),"")))+1, LEN(SUBSTITUTE(_xlfn.FORMULATEXT(CG$51),"=","")))+$BX72)</f>
        <v/>
      </c>
      <c r="CH72" s="132" t="str">
        <f t="array" aca="1" ref="CH72" ca="1">INDIRECT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
&amp;MID(SUBSTITUTE(_xlfn.FORMULATEXT(CH$51),"=",""), LEN(_xlfn.TEXTJOIN("",TRUE,IF(ISERROR(MID(SUBSTITUTE(_xlfn.FORMULATEXT(CH$51),"=",""),ROW(INDIRECT("1:"&amp;LEN(SUBSTITUTE(_xlfn.FORMULATEXT(CH$51),"=","")))),1)*1),MID(SUBSTITUTE(_xlfn.FORMULATEXT(CH$51),"=",""),ROW(INDIRECT("1:"&amp;LEN(SUBSTITUTE(_xlfn.FORMULATEXT(CH$51),"=","")))),1),"")))+1, LEN(SUBSTITUTE(_xlfn.FORMULATEXT(CH$51),"=","")))+$BX72)</f>
        <v/>
      </c>
      <c r="CI72" s="132">
        <f t="shared" ca="1" si="5"/>
        <v>0</v>
      </c>
      <c r="CJ72" s="132" t="b">
        <f t="array" aca="1" ref="CJ72" ca="1">SUMPRODUCT((LEN(BY72:CH72)&gt;0)*1)&gt;0</f>
        <v>0</v>
      </c>
      <c r="CK72" s="132" t="str" cm="1">
        <f t="array" aca="1" ref="CK72" ca="1">IFERROR(SMALL(IF(CI$1:CI$150&lt;&gt;0,CI$1:CI$150),ROW(A72)),"")</f>
        <v/>
      </c>
      <c r="CL72" s="132" t="str">
        <f t="array" aca="1" ref="CL72" ca="1">IF($CK72&lt;&gt;"",
INDIRECT(""&amp;IF(COLUMN(BY72)&lt;=26,CHAR(COLUMN(BY72)+64),CHAR(INT((COLUMN(BY72)-1)/26)+64)&amp;CHAR(MOD(COLUMN(BY72)-1,26)+65))&amp;$CK72&amp;""),"")</f>
        <v/>
      </c>
      <c r="CM72" s="132" t="str">
        <f t="array" aca="1" ref="CM72" ca="1">IF($CK72&lt;&gt;"",
INDIRECT(""&amp;IF(COLUMN(BZ72)&lt;=26,CHAR(COLUMN(BZ72)+64),CHAR(INT((COLUMN(BZ72)-1)/26)+64)&amp;CHAR(MOD(COLUMN(BZ72)-1,26)+65))&amp;$CK72&amp;""),"")</f>
        <v/>
      </c>
      <c r="CN72" s="132" t="str">
        <f t="array" aca="1" ref="CN72" ca="1">IF($CK72&lt;&gt;"",
INDIRECT(""&amp;IF(COLUMN(CA72)&lt;=26,CHAR(COLUMN(CA72)+64),CHAR(INT((COLUMN(CA72)-1)/26)+64)&amp;CHAR(MOD(COLUMN(CA72)-1,26)+65))&amp;$CK72&amp;""),"")</f>
        <v/>
      </c>
      <c r="CO72" s="132" t="str">
        <f t="array" aca="1" ref="CO72" ca="1">IF($CK72&lt;&gt;"",
INDIRECT(""&amp;IF(COLUMN(CB72)&lt;=26,CHAR(COLUMN(CB72)+64),CHAR(INT((COLUMN(CB72)-1)/26)+64)&amp;CHAR(MOD(COLUMN(CB72)-1,26)+65))&amp;$CK72&amp;""),"")</f>
        <v/>
      </c>
      <c r="CP72" s="132" t="str">
        <f t="array" aca="1" ref="CP72" ca="1">IF($CK72&lt;&gt;"",
INDIRECT(""&amp;IF(COLUMN(CC72)&lt;=26,CHAR(COLUMN(CC72)+64),CHAR(INT((COLUMN(CC72)-1)/26)+64)&amp;CHAR(MOD(COLUMN(CC72)-1,26)+65))&amp;$CK72&amp;""),"")</f>
        <v/>
      </c>
      <c r="CQ72" s="132" t="str">
        <f t="array" aca="1" ref="CQ72" ca="1">IF($CK72&lt;&gt;"",
INDIRECT(""&amp;IF(COLUMN(CD72)&lt;=26,CHAR(COLUMN(CD72)+64),CHAR(INT((COLUMN(CD72)-1)/26)+64)&amp;CHAR(MOD(COLUMN(CD72)-1,26)+65))&amp;$CK72&amp;""),"")</f>
        <v/>
      </c>
      <c r="CR72" s="132" t="str">
        <f t="array" aca="1" ref="CR72" ca="1">IF($CK72&lt;&gt;"",
INDIRECT(""&amp;IF(COLUMN(CE72)&lt;=26,CHAR(COLUMN(CE72)+64),CHAR(INT((COLUMN(CE72)-1)/26)+64)&amp;CHAR(MOD(COLUMN(CE72)-1,26)+65))&amp;$CK72&amp;""),"")</f>
        <v/>
      </c>
      <c r="CS72" s="132" t="str">
        <f t="array" aca="1" ref="CS72" ca="1">IF($CK72&lt;&gt;"",
INDIRECT(""&amp;IF(COLUMN(CF72)&lt;=26,CHAR(COLUMN(CF72)+64),CHAR(INT((COLUMN(CF72)-1)/26)+64)&amp;CHAR(MOD(COLUMN(CF72)-1,26)+65))&amp;$CK72&amp;""),"")</f>
        <v/>
      </c>
      <c r="CT72" s="132" t="str">
        <f t="array" aca="1" ref="CT72" ca="1">IF($CK72&lt;&gt;"",
INDIRECT(""&amp;IF(COLUMN(CG72)&lt;=26,CHAR(COLUMN(CG72)+64),CHAR(INT((COLUMN(CG72)-1)/26)+64)&amp;CHAR(MOD(COLUMN(CG72)-1,26)+65))&amp;$CK72&amp;""),"")</f>
        <v/>
      </c>
      <c r="CU72" s="132" t="str">
        <f t="array" aca="1" ref="CU72" ca="1">IF($CK72&lt;&gt;"",
INDIRECT(""&amp;IF(COLUMN(CH72)&lt;=26,CHAR(COLUMN(CH72)+64),CHAR(INT((COLUMN(CH72)-1)/26)+64)&amp;CHAR(MOD(COLUMN(CH72)-1,26)+65))&amp;$CK72&amp;""),"")</f>
        <v/>
      </c>
    </row>
    <row r="73" spans="1:99" s="132" customFormat="1" ht="22.2" customHeight="1" x14ac:dyDescent="0.55000000000000004">
      <c r="A73" s="129"/>
      <c r="B73" s="138"/>
      <c r="C73" s="139" t="str">
        <f ca="1">IF(C74&lt;&gt;"","園児","")</f>
        <v/>
      </c>
      <c r="D73" s="140"/>
      <c r="E73" s="141" t="str">
        <f ca="1">IF(C74&lt;&gt;"","先生","")</f>
        <v/>
      </c>
      <c r="F73" s="140"/>
      <c r="G73" s="159"/>
      <c r="H73" s="129"/>
      <c r="I73" s="138"/>
      <c r="J73" s="139" t="str">
        <f ca="1">IF(J74&lt;&gt;"","園児","")</f>
        <v/>
      </c>
      <c r="K73" s="140"/>
      <c r="L73" s="141" t="str">
        <f ca="1">IF(J74&lt;&gt;"","先生","")</f>
        <v/>
      </c>
      <c r="M73" s="140"/>
      <c r="N73" s="154"/>
      <c r="O73" s="129"/>
      <c r="P73" s="129"/>
      <c r="Q73" s="138"/>
      <c r="R73" s="139" t="str">
        <f ca="1">IF(R74&lt;&gt;"","園児","")</f>
        <v/>
      </c>
      <c r="S73" s="140"/>
      <c r="T73" s="141" t="str">
        <f ca="1">IF(R74&lt;&gt;"","先生","")</f>
        <v/>
      </c>
      <c r="U73" s="140"/>
      <c r="V73" s="154"/>
      <c r="W73" s="129"/>
      <c r="X73" s="138"/>
      <c r="Y73" s="139" t="str">
        <f ca="1">IF(Y74&lt;&gt;"","園児","")</f>
        <v/>
      </c>
      <c r="Z73" s="140"/>
      <c r="AA73" s="141" t="str">
        <f ca="1">IF(Y74&lt;&gt;"","先生","")</f>
        <v/>
      </c>
      <c r="AB73" s="140"/>
      <c r="AC73" s="154"/>
      <c r="AD73" s="129"/>
      <c r="AE73" s="129"/>
      <c r="AF73" s="138"/>
      <c r="AG73" s="139" t="str">
        <f ca="1">IF(AG74&lt;&gt;"","園児","")</f>
        <v/>
      </c>
      <c r="AH73" s="140"/>
      <c r="AI73" s="141" t="str">
        <f ca="1">IF(AG74&lt;&gt;"","先生","")</f>
        <v/>
      </c>
      <c r="AJ73" s="140"/>
      <c r="AK73" s="154"/>
      <c r="AL73" s="129"/>
      <c r="AM73" s="138"/>
      <c r="AN73" s="139" t="str">
        <f ca="1">IF(AN74&lt;&gt;"","園児","")</f>
        <v/>
      </c>
      <c r="AO73" s="140"/>
      <c r="AP73" s="141" t="str">
        <f ca="1">IF(AN74&lt;&gt;"","先生","")</f>
        <v/>
      </c>
      <c r="AQ73" s="140"/>
      <c r="AR73" s="154"/>
      <c r="AS73" s="129"/>
      <c r="AT73" s="129"/>
      <c r="AU73" s="138"/>
      <c r="AV73" s="139" t="str">
        <f ca="1">IF(AV74&lt;&gt;"","園児","")</f>
        <v/>
      </c>
      <c r="AW73" s="140"/>
      <c r="AX73" s="141" t="str">
        <f ca="1">IF(AV74&lt;&gt;"","先生","")</f>
        <v/>
      </c>
      <c r="AY73" s="140"/>
      <c r="AZ73" s="154"/>
      <c r="BA73" s="129"/>
      <c r="BB73" s="138"/>
      <c r="BC73" s="139" t="str">
        <f ca="1">IF(BC74&lt;&gt;"","園児","")</f>
        <v/>
      </c>
      <c r="BD73" s="140"/>
      <c r="BE73" s="141" t="str">
        <f ca="1">IF(BC74&lt;&gt;"","先生","")</f>
        <v/>
      </c>
      <c r="BF73" s="140"/>
      <c r="BG73" s="154"/>
      <c r="BH73" s="129"/>
      <c r="BI73" s="129"/>
      <c r="BJ73" s="138"/>
      <c r="BK73" s="139" t="str">
        <f ca="1">IF(BK74&lt;&gt;"","園児","")</f>
        <v/>
      </c>
      <c r="BL73" s="140"/>
      <c r="BM73" s="141" t="str">
        <f ca="1">IF(BK74&lt;&gt;"","先生","")</f>
        <v/>
      </c>
      <c r="BN73" s="140"/>
      <c r="BO73" s="154"/>
      <c r="BP73" s="129"/>
      <c r="BQ73" s="138"/>
      <c r="BR73" s="139" t="str">
        <f ca="1">IF(BR74&lt;&gt;"","園児","")</f>
        <v/>
      </c>
      <c r="BS73" s="140"/>
      <c r="BT73" s="141" t="str">
        <f ca="1">IF(BR74&lt;&gt;"","先生","")</f>
        <v/>
      </c>
      <c r="BU73" s="140"/>
      <c r="BV73" s="154"/>
      <c r="BW73" s="129"/>
      <c r="BY73" s="133" t="str">
        <f ca="1">AV1</f>
        <v/>
      </c>
      <c r="BZ73" s="133" t="str">
        <f ca="1">AV2</f>
        <v/>
      </c>
      <c r="CA73" s="133" t="str">
        <f ca="1">AX2</f>
        <v/>
      </c>
      <c r="CB73" s="134" t="str">
        <f ca="1">AY2</f>
        <v/>
      </c>
      <c r="CC73" s="133" t="str">
        <f ca="1">AV4</f>
        <v/>
      </c>
      <c r="CD73" s="133" t="str">
        <f ca="1">AX4</f>
        <v/>
      </c>
      <c r="CE73" s="133" t="str">
        <f ca="1">AV6</f>
        <v/>
      </c>
      <c r="CF73" s="133" t="str">
        <f ca="1">AU7</f>
        <v/>
      </c>
      <c r="CG73" s="133" t="str">
        <f ca="1">AW7</f>
        <v/>
      </c>
      <c r="CH73" s="133" t="str">
        <f ca="1">AY7</f>
        <v/>
      </c>
      <c r="CI73" s="132">
        <f t="shared" ca="1" si="5"/>
        <v>0</v>
      </c>
      <c r="CJ73" s="132" t="b">
        <f t="array" aca="1" ref="CJ73" ca="1">SUMPRODUCT((LEN(BY73:CH73)&gt;0)*1)&gt;0</f>
        <v>0</v>
      </c>
      <c r="CK73" s="132" t="str" cm="1">
        <f t="array" aca="1" ref="CK73" ca="1">IFERROR(SMALL(IF(CI$1:CI$150&lt;&gt;0,CI$1:CI$150),ROW(A73)),"")</f>
        <v/>
      </c>
      <c r="CL73" s="132" t="str">
        <f t="array" aca="1" ref="CL73" ca="1">IF($CK73&lt;&gt;"",
INDIRECT(""&amp;IF(COLUMN(BY73)&lt;=26,CHAR(COLUMN(BY73)+64),CHAR(INT((COLUMN(BY73)-1)/26)+64)&amp;CHAR(MOD(COLUMN(BY73)-1,26)+65))&amp;$CK73&amp;""),"")</f>
        <v/>
      </c>
      <c r="CM73" s="132" t="str">
        <f t="array" aca="1" ref="CM73" ca="1">IF($CK73&lt;&gt;"",
INDIRECT(""&amp;IF(COLUMN(BZ73)&lt;=26,CHAR(COLUMN(BZ73)+64),CHAR(INT((COLUMN(BZ73)-1)/26)+64)&amp;CHAR(MOD(COLUMN(BZ73)-1,26)+65))&amp;$CK73&amp;""),"")</f>
        <v/>
      </c>
      <c r="CN73" s="132" t="str">
        <f t="array" aca="1" ref="CN73" ca="1">IF($CK73&lt;&gt;"",
INDIRECT(""&amp;IF(COLUMN(CA73)&lt;=26,CHAR(COLUMN(CA73)+64),CHAR(INT((COLUMN(CA73)-1)/26)+64)&amp;CHAR(MOD(COLUMN(CA73)-1,26)+65))&amp;$CK73&amp;""),"")</f>
        <v/>
      </c>
      <c r="CO73" s="132" t="str">
        <f t="array" aca="1" ref="CO73" ca="1">IF($CK73&lt;&gt;"",
INDIRECT(""&amp;IF(COLUMN(CB73)&lt;=26,CHAR(COLUMN(CB73)+64),CHAR(INT((COLUMN(CB73)-1)/26)+64)&amp;CHAR(MOD(COLUMN(CB73)-1,26)+65))&amp;$CK73&amp;""),"")</f>
        <v/>
      </c>
      <c r="CP73" s="132" t="str">
        <f t="array" aca="1" ref="CP73" ca="1">IF($CK73&lt;&gt;"",
INDIRECT(""&amp;IF(COLUMN(CC73)&lt;=26,CHAR(COLUMN(CC73)+64),CHAR(INT((COLUMN(CC73)-1)/26)+64)&amp;CHAR(MOD(COLUMN(CC73)-1,26)+65))&amp;$CK73&amp;""),"")</f>
        <v/>
      </c>
      <c r="CQ73" s="132" t="str">
        <f t="array" aca="1" ref="CQ73" ca="1">IF($CK73&lt;&gt;"",
INDIRECT(""&amp;IF(COLUMN(CD73)&lt;=26,CHAR(COLUMN(CD73)+64),CHAR(INT((COLUMN(CD73)-1)/26)+64)&amp;CHAR(MOD(COLUMN(CD73)-1,26)+65))&amp;$CK73&amp;""),"")</f>
        <v/>
      </c>
      <c r="CR73" s="132" t="str">
        <f t="array" aca="1" ref="CR73" ca="1">IF($CK73&lt;&gt;"",
INDIRECT(""&amp;IF(COLUMN(CE73)&lt;=26,CHAR(COLUMN(CE73)+64),CHAR(INT((COLUMN(CE73)-1)/26)+64)&amp;CHAR(MOD(COLUMN(CE73)-1,26)+65))&amp;$CK73&amp;""),"")</f>
        <v/>
      </c>
      <c r="CS73" s="132" t="str">
        <f t="array" aca="1" ref="CS73" ca="1">IF($CK73&lt;&gt;"",
INDIRECT(""&amp;IF(COLUMN(CF73)&lt;=26,CHAR(COLUMN(CF73)+64),CHAR(INT((COLUMN(CF73)-1)/26)+64)&amp;CHAR(MOD(COLUMN(CF73)-1,26)+65))&amp;$CK73&amp;""),"")</f>
        <v/>
      </c>
      <c r="CT73" s="132" t="str">
        <f t="array" aca="1" ref="CT73" ca="1">IF($CK73&lt;&gt;"",
INDIRECT(""&amp;IF(COLUMN(CG73)&lt;=26,CHAR(COLUMN(CG73)+64),CHAR(INT((COLUMN(CG73)-1)/26)+64)&amp;CHAR(MOD(COLUMN(CG73)-1,26)+65))&amp;$CK73&amp;""),"")</f>
        <v/>
      </c>
      <c r="CU73" s="132" t="str">
        <f t="array" aca="1" ref="CU73" ca="1">IF($CK73&lt;&gt;"",
INDIRECT(""&amp;IF(COLUMN(CH73)&lt;=26,CHAR(COLUMN(CH73)+64),CHAR(INT((COLUMN(CH73)-1)/26)+64)&amp;CHAR(MOD(COLUMN(CH73)-1,26)+65))&amp;$CK73&amp;""),"")</f>
        <v/>
      </c>
    </row>
    <row r="74" spans="1:99" ht="18" customHeight="1" x14ac:dyDescent="0.45">
      <c r="B74" s="143"/>
      <c r="C74" s="120" t="str">
        <f t="array" aca="1" ref="C74" ca="1">IF(C72&lt;&gt;"",
IF(IFERROR(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"")=0,"",
IF(B31=100,
IFERROR(
INDEX(INDIRECT("数出表_Excel!"&amp;B71&amp;MATCH(G29,数出表_Excel!$A:$A,0)-1+2&amp;":U"&amp;MATCH(G29,数出表_Excel!$A:$A,0)-1+2&amp;""),
 1,
 MATCH(TRUE, ISNUMBER(--INDIRECT("数出表_Excel!"&amp;B71&amp;MATCH(G29,数出表_Excel!$A:$A,0)-1+2&amp;":U"&amp;MATCH(G29,数出表_Excel!$A:$A,0)-1+2&amp;"")), 0)),
 "")
+IFERROR(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""),
IFERROR(
INDEX(INDIRECT("数出表_Excel!"&amp;B71&amp;MATCH(G29,数出表_Excel!$A:$A,0)-1&amp;":U"&amp;MATCH(G29,数出表_Excel!$A:$A,0)-1&amp;""),
 1,
 MATCH(TRUE, ISNUMBER(--INDIRECT("数出表_Excel!"&amp;B71&amp;MATCH(G29,数出表_Excel!$A:$A,0)-1&amp;":U"&amp;MATCH(G29,数出表_Excel!$A:$A,0)-1&amp;"")), 0)),
 ""))),"")</f>
        <v/>
      </c>
      <c r="D74" s="144"/>
      <c r="E74" s="145" t="str">
        <f t="array" aca="1" ref="E74" ca="1">IF(C30&lt;&gt;"",
IF(IFERROR(
INDEX(INDIRECT("数出表_Excel!B"&amp;MATCH(G29,数出表_Excel!$A:$A,0)&amp;":U"&amp;MATCH(G29,数出表_Excel!$A:$A,0)&amp;""),
 1,B72-1),
 "")=0,"",
IFERROR(
INDEX(INDIRECT("数出表_Excel!B"&amp;MATCH(G29,数出表_Excel!$A:$A,0)&amp;":U"&amp;MATCH(G29,数出表_Excel!$A:$A,0)&amp;""),
 1,B72-1),
 "")),"")</f>
        <v/>
      </c>
      <c r="F74" s="144"/>
      <c r="G74" s="159"/>
      <c r="I74" s="143"/>
      <c r="J74" s="120" t="str">
        <f t="array" aca="1" ref="J74" ca="1">IF(J72&lt;&gt;"",
IF(IFERROR(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"")=0,"",
IF(I31=100,
IFERROR(
INDEX(INDIRECT("数出表_Excel!"&amp;I71&amp;MATCH(N29,数出表_Excel!$A:$A,0)-1+2&amp;":U"&amp;MATCH(N29,数出表_Excel!$A:$A,0)-1+2&amp;""),
 1,
 MATCH(TRUE, ISNUMBER(--INDIRECT("数出表_Excel!"&amp;I71&amp;MATCH(N29,数出表_Excel!$A:$A,0)-1+2&amp;":U"&amp;MATCH(N29,数出表_Excel!$A:$A,0)-1+2&amp;"")), 0)),
 "")
+IFERROR(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""),
IFERROR(
INDEX(INDIRECT("数出表_Excel!"&amp;I71&amp;MATCH(N29,数出表_Excel!$A:$A,0)-1&amp;":U"&amp;MATCH(N29,数出表_Excel!$A:$A,0)-1&amp;""),
 1,
 MATCH(TRUE, ISNUMBER(--INDIRECT("数出表_Excel!"&amp;I71&amp;MATCH(N29,数出表_Excel!$A:$A,0)-1&amp;":U"&amp;MATCH(N29,数出表_Excel!$A:$A,0)-1&amp;"")), 0)),
 ""))),"")</f>
        <v/>
      </c>
      <c r="K74" s="144"/>
      <c r="L74" s="145" t="str">
        <f t="array" aca="1" ref="L74" ca="1">IF(J30&lt;&gt;"",
IF(IFERROR(
INDEX(INDIRECT("数出表_Excel!B"&amp;MATCH(N29,数出表_Excel!$A:$A,0)&amp;":U"&amp;MATCH(N29,数出表_Excel!$A:$A,0)&amp;""),
 1,I72-1),
 "")=0,"",
IFERROR(
INDEX(INDIRECT("数出表_Excel!B"&amp;MATCH(N29,数出表_Excel!$A:$A,0)&amp;":U"&amp;MATCH(N29,数出表_Excel!$A:$A,0)&amp;""),
 1,I72-1),
 "")),"")</f>
        <v/>
      </c>
      <c r="M74" s="144"/>
      <c r="N74" s="154"/>
      <c r="Q74" s="143"/>
      <c r="R74" s="120" t="str">
        <f t="array" aca="1" ref="R74" ca="1">IF(R72&lt;&gt;"",
IF(IFERROR(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"")=0,"",
IF(Q31=100,
IFERROR(
INDEX(INDIRECT("数出表_Excel!"&amp;Q71&amp;MATCH(V29,数出表_Excel!$A:$A,0)-1+2&amp;":U"&amp;MATCH(V29,数出表_Excel!$A:$A,0)-1+2&amp;""),
 1,
 MATCH(TRUE, ISNUMBER(--INDIRECT("数出表_Excel!"&amp;Q71&amp;MATCH(V29,数出表_Excel!$A:$A,0)-1+2&amp;":U"&amp;MATCH(V29,数出表_Excel!$A:$A,0)-1+2&amp;"")), 0)),
 "")
+IFERROR(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""),
IFERROR(
INDEX(INDIRECT("数出表_Excel!"&amp;Q71&amp;MATCH(V29,数出表_Excel!$A:$A,0)-1&amp;":U"&amp;MATCH(V29,数出表_Excel!$A:$A,0)-1&amp;""),
 1,
 MATCH(TRUE, ISNUMBER(--INDIRECT("数出表_Excel!"&amp;Q71&amp;MATCH(V29,数出表_Excel!$A:$A,0)-1&amp;":U"&amp;MATCH(V29,数出表_Excel!$A:$A,0)-1&amp;"")), 0)),
 ""))),"")</f>
        <v/>
      </c>
      <c r="S74" s="144"/>
      <c r="T74" s="145" t="str">
        <f t="array" aca="1" ref="T74" ca="1">IF(R30&lt;&gt;"",
IF(IFERROR(
INDEX(INDIRECT("数出表_Excel!B"&amp;MATCH(V29,数出表_Excel!$A:$A,0)&amp;":U"&amp;MATCH(V29,数出表_Excel!$A:$A,0)&amp;""),
 1,Q72-1),
 "")=0,"",
IFERROR(
INDEX(INDIRECT("数出表_Excel!B"&amp;MATCH(V29,数出表_Excel!$A:$A,0)&amp;":U"&amp;MATCH(V29,数出表_Excel!$A:$A,0)&amp;""),
 1,Q72-1),
 "")),"")</f>
        <v/>
      </c>
      <c r="U74" s="144"/>
      <c r="V74" s="154"/>
      <c r="X74" s="143"/>
      <c r="Y74" s="120" t="str">
        <f t="array" aca="1" ref="Y74" ca="1">IF(Y72&lt;&gt;"",
IF(IFERROR(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"")=0,"",
IF(X31=100,
IFERROR(
INDEX(INDIRECT("数出表_Excel!"&amp;X71&amp;MATCH(AC29,数出表_Excel!$A:$A,0)-1+2&amp;":U"&amp;MATCH(AC29,数出表_Excel!$A:$A,0)-1+2&amp;""),
 1,
 MATCH(TRUE, ISNUMBER(--INDIRECT("数出表_Excel!"&amp;X71&amp;MATCH(AC29,数出表_Excel!$A:$A,0)-1+2&amp;":U"&amp;MATCH(AC29,数出表_Excel!$A:$A,0)-1+2&amp;"")), 0)),
 "")
+IFERROR(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""),
IFERROR(
INDEX(INDIRECT("数出表_Excel!"&amp;X71&amp;MATCH(AC29,数出表_Excel!$A:$A,0)-1&amp;":U"&amp;MATCH(AC29,数出表_Excel!$A:$A,0)-1&amp;""),
 1,
 MATCH(TRUE, ISNUMBER(--INDIRECT("数出表_Excel!"&amp;X71&amp;MATCH(AC29,数出表_Excel!$A:$A,0)-1&amp;":U"&amp;MATCH(AC29,数出表_Excel!$A:$A,0)-1&amp;"")), 0)),
 ""))),"")</f>
        <v/>
      </c>
      <c r="Z74" s="144"/>
      <c r="AA74" s="145" t="str">
        <f t="array" aca="1" ref="AA74" ca="1">IF(Y30&lt;&gt;"",
IF(IFERROR(
INDEX(INDIRECT("数出表_Excel!B"&amp;MATCH(AC29,数出表_Excel!$A:$A,0)&amp;":U"&amp;MATCH(AC29,数出表_Excel!$A:$A,0)&amp;""),
 1,X72-1),
 "")=0,"",
IFERROR(
INDEX(INDIRECT("数出表_Excel!B"&amp;MATCH(AC29,数出表_Excel!$A:$A,0)&amp;":U"&amp;MATCH(AC29,数出表_Excel!$A:$A,0)&amp;""),
 1,X72-1),
 "")),"")</f>
        <v/>
      </c>
      <c r="AB74" s="144"/>
      <c r="AC74" s="154"/>
      <c r="AF74" s="143"/>
      <c r="AG74" s="120" t="str">
        <f t="array" aca="1" ref="AG74" ca="1">IF(AG72&lt;&gt;"",
IF(IFERROR(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"")=0,"",
IF(AF31=100,
IFERROR(
INDEX(INDIRECT("数出表_Excel!"&amp;AF71&amp;MATCH(AK29,数出表_Excel!$A:$A,0)-1+2&amp;":U"&amp;MATCH(AK29,数出表_Excel!$A:$A,0)-1+2&amp;""),
 1,
 MATCH(TRUE, ISNUMBER(--INDIRECT("数出表_Excel!"&amp;AF71&amp;MATCH(AK29,数出表_Excel!$A:$A,0)-1+2&amp;":U"&amp;MATCH(AK29,数出表_Excel!$A:$A,0)-1+2&amp;"")), 0)),
 "")
+IFERROR(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""),
IFERROR(
INDEX(INDIRECT("数出表_Excel!"&amp;AF71&amp;MATCH(AK29,数出表_Excel!$A:$A,0)-1&amp;":U"&amp;MATCH(AK29,数出表_Excel!$A:$A,0)-1&amp;""),
 1,
 MATCH(TRUE, ISNUMBER(--INDIRECT("数出表_Excel!"&amp;AF71&amp;MATCH(AK29,数出表_Excel!$A:$A,0)-1&amp;":U"&amp;MATCH(AK29,数出表_Excel!$A:$A,0)-1&amp;"")), 0)),
 ""))),"")</f>
        <v/>
      </c>
      <c r="AH74" s="144"/>
      <c r="AI74" s="145" t="str">
        <f t="array" aca="1" ref="AI74" ca="1">IF(AG30&lt;&gt;"",
IF(IFERROR(
INDEX(INDIRECT("数出表_Excel!B"&amp;MATCH(AK29,数出表_Excel!$A:$A,0)&amp;":U"&amp;MATCH(AK29,数出表_Excel!$A:$A,0)&amp;""),
 1,AF72-1),
 "")=0,"",
IFERROR(
INDEX(INDIRECT("数出表_Excel!B"&amp;MATCH(AK29,数出表_Excel!$A:$A,0)&amp;":U"&amp;MATCH(AK29,数出表_Excel!$A:$A,0)&amp;""),
 1,AF72-1),
 "")),"")</f>
        <v/>
      </c>
      <c r="AJ74" s="144"/>
      <c r="AK74" s="154"/>
      <c r="AM74" s="143"/>
      <c r="AN74" s="120" t="str">
        <f t="array" aca="1" ref="AN74" ca="1">IF(AN72&lt;&gt;"",
IF(IFERROR(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"")=0,"",
IF(AM31=100,
IFERROR(
INDEX(INDIRECT("数出表_Excel!"&amp;AM71&amp;MATCH(AR29,数出表_Excel!$A:$A,0)-1+2&amp;":U"&amp;MATCH(AR29,数出表_Excel!$A:$A,0)-1+2&amp;""),
 1,
 MATCH(TRUE, ISNUMBER(--INDIRECT("数出表_Excel!"&amp;AM71&amp;MATCH(AR29,数出表_Excel!$A:$A,0)-1+2&amp;":U"&amp;MATCH(AR29,数出表_Excel!$A:$A,0)-1+2&amp;"")), 0)),
 "")
+IFERROR(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""),
IFERROR(
INDEX(INDIRECT("数出表_Excel!"&amp;AM71&amp;MATCH(AR29,数出表_Excel!$A:$A,0)-1&amp;":U"&amp;MATCH(AR29,数出表_Excel!$A:$A,0)-1&amp;""),
 1,
 MATCH(TRUE, ISNUMBER(--INDIRECT("数出表_Excel!"&amp;AM71&amp;MATCH(AR29,数出表_Excel!$A:$A,0)-1&amp;":U"&amp;MATCH(AR29,数出表_Excel!$A:$A,0)-1&amp;"")), 0)),
 ""))),"")</f>
        <v/>
      </c>
      <c r="AO74" s="144"/>
      <c r="AP74" s="145" t="str">
        <f t="array" aca="1" ref="AP74" ca="1">IF(AN30&lt;&gt;"",
IF(IFERROR(
INDEX(INDIRECT("数出表_Excel!B"&amp;MATCH(AR29,数出表_Excel!$A:$A,0)&amp;":U"&amp;MATCH(AR29,数出表_Excel!$A:$A,0)&amp;""),
 1,AM72-1),
 "")=0,"",
IFERROR(
INDEX(INDIRECT("数出表_Excel!B"&amp;MATCH(AR29,数出表_Excel!$A:$A,0)&amp;":U"&amp;MATCH(AR29,数出表_Excel!$A:$A,0)&amp;""),
 1,AM72-1),
 "")),"")</f>
        <v/>
      </c>
      <c r="AQ74" s="144"/>
      <c r="AR74" s="154"/>
      <c r="AU74" s="143"/>
      <c r="AV74" s="120" t="str">
        <f t="array" aca="1" ref="AV74" ca="1">IF(AV72&lt;&gt;"",
IF(IFERROR(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"")=0,"",
IF(AU31=100,
IFERROR(
INDEX(INDIRECT("数出表_Excel!"&amp;AU71&amp;MATCH(AZ29,数出表_Excel!$A:$A,0)-1+2&amp;":U"&amp;MATCH(AZ29,数出表_Excel!$A:$A,0)-1+2&amp;""),
 1,
 MATCH(TRUE, ISNUMBER(--INDIRECT("数出表_Excel!"&amp;AU71&amp;MATCH(AZ29,数出表_Excel!$A:$A,0)-1+2&amp;":U"&amp;MATCH(AZ29,数出表_Excel!$A:$A,0)-1+2&amp;"")), 0)),
 "")
+IFERROR(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""),
IFERROR(
INDEX(INDIRECT("数出表_Excel!"&amp;AU71&amp;MATCH(AZ29,数出表_Excel!$A:$A,0)-1&amp;":U"&amp;MATCH(AZ29,数出表_Excel!$A:$A,0)-1&amp;""),
 1,
 MATCH(TRUE, ISNUMBER(--INDIRECT("数出表_Excel!"&amp;AU71&amp;MATCH(AZ29,数出表_Excel!$A:$A,0)-1&amp;":U"&amp;MATCH(AZ29,数出表_Excel!$A:$A,0)-1&amp;"")), 0)),
 ""))),"")</f>
        <v/>
      </c>
      <c r="AW74" s="144"/>
      <c r="AX74" s="145" t="str">
        <f t="array" aca="1" ref="AX74" ca="1">IF(AV30&lt;&gt;"",
IF(IFERROR(
INDEX(INDIRECT("数出表_Excel!B"&amp;MATCH(AZ29,数出表_Excel!$A:$A,0)&amp;":U"&amp;MATCH(AZ29,数出表_Excel!$A:$A,0)&amp;""),
 1,AU72-1),
 "")=0,"",
IFERROR(
INDEX(INDIRECT("数出表_Excel!B"&amp;MATCH(AZ29,数出表_Excel!$A:$A,0)&amp;":U"&amp;MATCH(AZ29,数出表_Excel!$A:$A,0)&amp;""),
 1,AU72-1),
 "")),"")</f>
        <v/>
      </c>
      <c r="AY74" s="144"/>
      <c r="AZ74" s="154"/>
      <c r="BB74" s="143"/>
      <c r="BC74" s="120" t="str">
        <f t="array" aca="1" ref="BC74" ca="1">IF(BC72&lt;&gt;"",
IF(IFERROR(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"")=0,"",
IF(BB31=100,
IFERROR(
INDEX(INDIRECT("数出表_Excel!"&amp;BB71&amp;MATCH(BG29,数出表_Excel!$A:$A,0)-1+2&amp;":U"&amp;MATCH(BG29,数出表_Excel!$A:$A,0)-1+2&amp;""),
 1,
 MATCH(TRUE, ISNUMBER(--INDIRECT("数出表_Excel!"&amp;BB71&amp;MATCH(BG29,数出表_Excel!$A:$A,0)-1+2&amp;":U"&amp;MATCH(BG29,数出表_Excel!$A:$A,0)-1+2&amp;"")), 0)),
 "")
+IFERROR(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""),
IFERROR(
INDEX(INDIRECT("数出表_Excel!"&amp;BB71&amp;MATCH(BG29,数出表_Excel!$A:$A,0)-1&amp;":U"&amp;MATCH(BG29,数出表_Excel!$A:$A,0)-1&amp;""),
 1,
 MATCH(TRUE, ISNUMBER(--INDIRECT("数出表_Excel!"&amp;BB71&amp;MATCH(BG29,数出表_Excel!$A:$A,0)-1&amp;":U"&amp;MATCH(BG29,数出表_Excel!$A:$A,0)-1&amp;"")), 0)),
 ""))),"")</f>
        <v/>
      </c>
      <c r="BD74" s="144"/>
      <c r="BE74" s="145" t="str">
        <f t="array" aca="1" ref="BE74" ca="1">IF(BC30&lt;&gt;"",
IF(IFERROR(
INDEX(INDIRECT("数出表_Excel!B"&amp;MATCH(BG29,数出表_Excel!$A:$A,0)&amp;":U"&amp;MATCH(BG29,数出表_Excel!$A:$A,0)&amp;""),
 1,BB72-1),
 "")=0,"",
IFERROR(
INDEX(INDIRECT("数出表_Excel!B"&amp;MATCH(BG29,数出表_Excel!$A:$A,0)&amp;":U"&amp;MATCH(BG29,数出表_Excel!$A:$A,0)&amp;""),
 1,BB72-1),
 "")),"")</f>
        <v/>
      </c>
      <c r="BF74" s="144"/>
      <c r="BG74" s="154"/>
      <c r="BJ74" s="143"/>
      <c r="BK74" s="120" t="str">
        <f t="array" aca="1" ref="BK74" ca="1">IF(BK72&lt;&gt;"",
IF(IFERROR(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"")=0,"",
IF(BJ31=100,
IFERROR(
INDEX(INDIRECT("数出表_Excel!"&amp;BJ71&amp;MATCH(BO29,数出表_Excel!$A:$A,0)-1+2&amp;":U"&amp;MATCH(BO29,数出表_Excel!$A:$A,0)-1+2&amp;""),
 1,
 MATCH(TRUE, ISNUMBER(--INDIRECT("数出表_Excel!"&amp;BJ71&amp;MATCH(BO29,数出表_Excel!$A:$A,0)-1+2&amp;":U"&amp;MATCH(BO29,数出表_Excel!$A:$A,0)-1+2&amp;"")), 0)),
 "")
+IFERROR(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""),
IFERROR(
INDEX(INDIRECT("数出表_Excel!"&amp;BJ71&amp;MATCH(BO29,数出表_Excel!$A:$A,0)-1&amp;":U"&amp;MATCH(BO29,数出表_Excel!$A:$A,0)-1&amp;""),
 1,
 MATCH(TRUE, ISNUMBER(--INDIRECT("数出表_Excel!"&amp;BJ71&amp;MATCH(BO29,数出表_Excel!$A:$A,0)-1&amp;":U"&amp;MATCH(BO29,数出表_Excel!$A:$A,0)-1&amp;"")), 0)),
 ""))),"")</f>
        <v/>
      </c>
      <c r="BL74" s="144"/>
      <c r="BM74" s="145" t="str">
        <f t="array" aca="1" ref="BM74" ca="1">IF(BK30&lt;&gt;"",
IF(IFERROR(
INDEX(INDIRECT("数出表_Excel!B"&amp;MATCH(BO29,数出表_Excel!$A:$A,0)&amp;":U"&amp;MATCH(BO29,数出表_Excel!$A:$A,0)&amp;""),
 1,BJ72-1),
 "")=0,"",
IFERROR(
INDEX(INDIRECT("数出表_Excel!B"&amp;MATCH(BO29,数出表_Excel!$A:$A,0)&amp;":U"&amp;MATCH(BO29,数出表_Excel!$A:$A,0)&amp;""),
 1,BJ72-1),
 "")),"")</f>
        <v/>
      </c>
      <c r="BN74" s="144"/>
      <c r="BO74" s="154"/>
      <c r="BQ74" s="143"/>
      <c r="BR74" s="120" t="str">
        <f t="array" aca="1" ref="BR74" ca="1">IF(BR72&lt;&gt;"",
IF(IFERROR(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"")=0,"",
IF(BQ31=100,
IFERROR(
INDEX(INDIRECT("数出表_Excel!"&amp;BQ71&amp;MATCH(BV29,数出表_Excel!$A:$A,0)-1+2&amp;":U"&amp;MATCH(BV29,数出表_Excel!$A:$A,0)-1+2&amp;""),
 1,
 MATCH(TRUE, ISNUMBER(--INDIRECT("数出表_Excel!"&amp;BQ71&amp;MATCH(BV29,数出表_Excel!$A:$A,0)-1+2&amp;":U"&amp;MATCH(BV29,数出表_Excel!$A:$A,0)-1+2&amp;"")), 0)),
 "")
+IFERROR(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""),
IFERROR(
INDEX(INDIRECT("数出表_Excel!"&amp;BQ71&amp;MATCH(BV29,数出表_Excel!$A:$A,0)-1&amp;":U"&amp;MATCH(BV29,数出表_Excel!$A:$A,0)-1&amp;""),
 1,
 MATCH(TRUE, ISNUMBER(--INDIRECT("数出表_Excel!"&amp;BQ71&amp;MATCH(BV29,数出表_Excel!$A:$A,0)-1&amp;":U"&amp;MATCH(BV29,数出表_Excel!$A:$A,0)-1&amp;"")), 0)),
 ""))),"")</f>
        <v/>
      </c>
      <c r="BS74" s="144"/>
      <c r="BT74" s="145" t="str">
        <f t="array" aca="1" ref="BT74" ca="1">IF(BR30&lt;&gt;"",
IF(IFERROR(
INDEX(INDIRECT("数出表_Excel!B"&amp;MATCH(BV29,数出表_Excel!$A:$A,0)&amp;":U"&amp;MATCH(BV29,数出表_Excel!$A:$A,0)&amp;""),
 1,BQ72-1),
 "")=0,"",
IFERROR(
INDEX(INDIRECT("数出表_Excel!B"&amp;MATCH(BV29,数出表_Excel!$A:$A,0)&amp;":U"&amp;MATCH(BV29,数出表_Excel!$A:$A,0)&amp;""),
 1,BQ72-1),
 "")),"")</f>
        <v/>
      </c>
      <c r="BU74" s="144"/>
      <c r="BV74" s="154"/>
      <c r="BX74" s="132">
        <v>42</v>
      </c>
      <c r="BY74" s="132" t="str">
        <f t="array" aca="1" ref="BY74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LEN(SUBSTITUTE(_xlfn.FORMULATEXT(BY$73),"=","")))+$BX74)</f>
        <v/>
      </c>
      <c r="BZ74" s="132" t="str">
        <f t="array" aca="1" ref="BZ74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LEN(SUBSTITUTE(_xlfn.FORMULATEXT(BZ$73),"=","")))+$BX74)</f>
        <v/>
      </c>
      <c r="CA74" s="132" t="str">
        <f t="array" aca="1" ref="CA74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LEN(SUBSTITUTE(_xlfn.FORMULATEXT(CA$73),"=","")))+$BX74)</f>
        <v/>
      </c>
      <c r="CB74" s="132" t="str">
        <f t="array" aca="1" ref="CB74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LEN(SUBSTITUTE(_xlfn.FORMULATEXT(CB$73),"=","")))+$BX74)</f>
        <v/>
      </c>
      <c r="CC74" s="132" t="str">
        <f t="array" aca="1" ref="CC74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LEN(SUBSTITUTE(_xlfn.FORMULATEXT(CC$73),"=","")))+$BX74)</f>
        <v/>
      </c>
      <c r="CD74" s="132" t="str">
        <f t="array" aca="1" ref="CD74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LEN(SUBSTITUTE(_xlfn.FORMULATEXT(CD$73),"=","")))+$BX74)</f>
        <v/>
      </c>
      <c r="CE74" s="132" t="str">
        <f t="array" aca="1" ref="CE74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LEN(SUBSTITUTE(_xlfn.FORMULATEXT(CE$73),"=","")))+$BX74)</f>
        <v/>
      </c>
      <c r="CF74" s="132" t="str">
        <f t="array" aca="1" ref="CF74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LEN(SUBSTITUTE(_xlfn.FORMULATEXT(CF$73),"=","")))+$BX74)</f>
        <v/>
      </c>
      <c r="CG74" s="132" t="str">
        <f t="array" aca="1" ref="CG74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LEN(SUBSTITUTE(_xlfn.FORMULATEXT(CG$73),"=","")))+$BX74)</f>
        <v/>
      </c>
      <c r="CH74" s="132" t="str">
        <f t="array" aca="1" ref="CH74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LEN(SUBSTITUTE(_xlfn.FORMULATEXT(CH$73),"=","")))+$BX74)</f>
        <v/>
      </c>
      <c r="CI74" s="132">
        <f t="shared" ca="1" si="5"/>
        <v>0</v>
      </c>
      <c r="CJ74" s="132" t="b">
        <f t="array" aca="1" ref="CJ74" ca="1">SUMPRODUCT((LEN(BY74:CH74)&gt;0)*1)&gt;0</f>
        <v>0</v>
      </c>
      <c r="CK74" s="132" t="str" cm="1">
        <f t="array" aca="1" ref="CK74" ca="1">IFERROR(SMALL(IF(CI$1:CI$150&lt;&gt;0,CI$1:CI$150),ROW(A74)),"")</f>
        <v/>
      </c>
      <c r="CL74" s="132" t="str">
        <f t="array" aca="1" ref="CL74" ca="1">IF($CK74&lt;&gt;"",
INDIRECT(""&amp;IF(COLUMN(BY74)&lt;=26,CHAR(COLUMN(BY74)+64),CHAR(INT((COLUMN(BY74)-1)/26)+64)&amp;CHAR(MOD(COLUMN(BY74)-1,26)+65))&amp;$CK74&amp;""),"")</f>
        <v/>
      </c>
      <c r="CM74" s="132" t="str">
        <f t="array" aca="1" ref="CM74" ca="1">IF($CK74&lt;&gt;"",
INDIRECT(""&amp;IF(COLUMN(BZ74)&lt;=26,CHAR(COLUMN(BZ74)+64),CHAR(INT((COLUMN(BZ74)-1)/26)+64)&amp;CHAR(MOD(COLUMN(BZ74)-1,26)+65))&amp;$CK74&amp;""),"")</f>
        <v/>
      </c>
      <c r="CN74" s="132" t="str">
        <f t="array" aca="1" ref="CN74" ca="1">IF($CK74&lt;&gt;"",
INDIRECT(""&amp;IF(COLUMN(CA74)&lt;=26,CHAR(COLUMN(CA74)+64),CHAR(INT((COLUMN(CA74)-1)/26)+64)&amp;CHAR(MOD(COLUMN(CA74)-1,26)+65))&amp;$CK74&amp;""),"")</f>
        <v/>
      </c>
      <c r="CO74" s="132" t="str">
        <f t="array" aca="1" ref="CO74" ca="1">IF($CK74&lt;&gt;"",
INDIRECT(""&amp;IF(COLUMN(CB74)&lt;=26,CHAR(COLUMN(CB74)+64),CHAR(INT((COLUMN(CB74)-1)/26)+64)&amp;CHAR(MOD(COLUMN(CB74)-1,26)+65))&amp;$CK74&amp;""),"")</f>
        <v/>
      </c>
      <c r="CP74" s="132" t="str">
        <f t="array" aca="1" ref="CP74" ca="1">IF($CK74&lt;&gt;"",
INDIRECT(""&amp;IF(COLUMN(CC74)&lt;=26,CHAR(COLUMN(CC74)+64),CHAR(INT((COLUMN(CC74)-1)/26)+64)&amp;CHAR(MOD(COLUMN(CC74)-1,26)+65))&amp;$CK74&amp;""),"")</f>
        <v/>
      </c>
      <c r="CQ74" s="132" t="str">
        <f t="array" aca="1" ref="CQ74" ca="1">IF($CK74&lt;&gt;"",
INDIRECT(""&amp;IF(COLUMN(CD74)&lt;=26,CHAR(COLUMN(CD74)+64),CHAR(INT((COLUMN(CD74)-1)/26)+64)&amp;CHAR(MOD(COLUMN(CD74)-1,26)+65))&amp;$CK74&amp;""),"")</f>
        <v/>
      </c>
      <c r="CR74" s="132" t="str">
        <f t="array" aca="1" ref="CR74" ca="1">IF($CK74&lt;&gt;"",
INDIRECT(""&amp;IF(COLUMN(CE74)&lt;=26,CHAR(COLUMN(CE74)+64),CHAR(INT((COLUMN(CE74)-1)/26)+64)&amp;CHAR(MOD(COLUMN(CE74)-1,26)+65))&amp;$CK74&amp;""),"")</f>
        <v/>
      </c>
      <c r="CS74" s="132" t="str">
        <f t="array" aca="1" ref="CS74" ca="1">IF($CK74&lt;&gt;"",
INDIRECT(""&amp;IF(COLUMN(CF74)&lt;=26,CHAR(COLUMN(CF74)+64),CHAR(INT((COLUMN(CF74)-1)/26)+64)&amp;CHAR(MOD(COLUMN(CF74)-1,26)+65))&amp;$CK74&amp;""),"")</f>
        <v/>
      </c>
      <c r="CT74" s="132" t="str">
        <f t="array" aca="1" ref="CT74" ca="1">IF($CK74&lt;&gt;"",
INDIRECT(""&amp;IF(COLUMN(CG74)&lt;=26,CHAR(COLUMN(CG74)+64),CHAR(INT((COLUMN(CG74)-1)/26)+64)&amp;CHAR(MOD(COLUMN(CG74)-1,26)+65))&amp;$CK74&amp;""),"")</f>
        <v/>
      </c>
      <c r="CU74" s="132" t="str">
        <f t="array" aca="1" ref="CU74" ca="1">IF($CK74&lt;&gt;"",
INDIRECT(""&amp;IF(COLUMN(CH74)&lt;=26,CHAR(COLUMN(CH74)+64),CHAR(INT((COLUMN(CH74)-1)/26)+64)&amp;CHAR(MOD(COLUMN(CH74)-1,26)+65))&amp;$CK74&amp;""),"")</f>
        <v/>
      </c>
    </row>
    <row r="75" spans="1:99" ht="18" customHeight="1" x14ac:dyDescent="0.45">
      <c r="B75" s="147"/>
      <c r="C75" s="148"/>
      <c r="D75" s="148"/>
      <c r="E75" s="148"/>
      <c r="F75" s="148"/>
      <c r="G75" s="160"/>
      <c r="I75" s="147"/>
      <c r="J75" s="148"/>
      <c r="K75" s="148"/>
      <c r="L75" s="148"/>
      <c r="M75" s="148"/>
      <c r="N75" s="155"/>
      <c r="Q75" s="147"/>
      <c r="R75" s="148"/>
      <c r="S75" s="148"/>
      <c r="T75" s="148"/>
      <c r="U75" s="148"/>
      <c r="V75" s="155"/>
      <c r="X75" s="147"/>
      <c r="Y75" s="148"/>
      <c r="Z75" s="148"/>
      <c r="AA75" s="148"/>
      <c r="AB75" s="148"/>
      <c r="AC75" s="155"/>
      <c r="AF75" s="147"/>
      <c r="AG75" s="148"/>
      <c r="AH75" s="148"/>
      <c r="AI75" s="148"/>
      <c r="AJ75" s="148"/>
      <c r="AK75" s="155"/>
      <c r="AM75" s="147"/>
      <c r="AN75" s="148"/>
      <c r="AO75" s="148"/>
      <c r="AP75" s="148"/>
      <c r="AQ75" s="148"/>
      <c r="AR75" s="155"/>
      <c r="AU75" s="147"/>
      <c r="AV75" s="148"/>
      <c r="AW75" s="148"/>
      <c r="AX75" s="148"/>
      <c r="AY75" s="148"/>
      <c r="AZ75" s="155"/>
      <c r="BB75" s="147"/>
      <c r="BC75" s="148"/>
      <c r="BD75" s="148"/>
      <c r="BE75" s="148"/>
      <c r="BF75" s="148"/>
      <c r="BG75" s="155"/>
      <c r="BJ75" s="147"/>
      <c r="BK75" s="148"/>
      <c r="BL75" s="148"/>
      <c r="BM75" s="148"/>
      <c r="BN75" s="148"/>
      <c r="BO75" s="155"/>
      <c r="BQ75" s="147"/>
      <c r="BR75" s="148"/>
      <c r="BS75" s="148"/>
      <c r="BT75" s="148"/>
      <c r="BU75" s="148"/>
      <c r="BV75" s="155"/>
      <c r="BX75" s="132"/>
      <c r="BY75" s="133" t="str">
        <f ca="1">BC1</f>
        <v/>
      </c>
      <c r="BZ75" s="133" t="str">
        <f ca="1">BC2</f>
        <v/>
      </c>
      <c r="CA75" s="133" t="str">
        <f ca="1">BE2</f>
        <v/>
      </c>
      <c r="CB75" s="134" t="str">
        <f ca="1">BF2</f>
        <v/>
      </c>
      <c r="CC75" s="133" t="str">
        <f ca="1">BC4</f>
        <v/>
      </c>
      <c r="CD75" s="133" t="str">
        <f ca="1">BE4</f>
        <v/>
      </c>
      <c r="CE75" s="133" t="str">
        <f ca="1">BC6</f>
        <v/>
      </c>
      <c r="CF75" s="133" t="str">
        <f ca="1">BB7</f>
        <v/>
      </c>
      <c r="CG75" s="133" t="str">
        <f ca="1">BD7</f>
        <v/>
      </c>
      <c r="CH75" s="133" t="str">
        <f ca="1">BF7</f>
        <v/>
      </c>
      <c r="CI75" s="132">
        <f ca="1">IF(COUNTIF(CJ75,"TRUE"),ROW(),0)</f>
        <v>0</v>
      </c>
      <c r="CJ75" s="132" t="b">
        <f t="array" aca="1" ref="CJ75" ca="1">SUMPRODUCT((LEN(BY75:CH75)&gt;0)*1)&gt;0</f>
        <v>0</v>
      </c>
      <c r="CK75" s="132" t="str" cm="1">
        <f t="array" aca="1" ref="CK75" ca="1">IFERROR(SMALL(IF(CI$1:CI$150&lt;&gt;0,CI$1:CI$150),ROW(A75)),"")</f>
        <v/>
      </c>
      <c r="CL75" s="132" t="str">
        <f t="array" aca="1" ref="CL75" ca="1">IF($CK75&lt;&gt;"",
INDIRECT(""&amp;IF(COLUMN(BY75)&lt;=26,CHAR(COLUMN(BY75)+64),CHAR(INT((COLUMN(BY75)-1)/26)+64)&amp;CHAR(MOD(COLUMN(BY75)-1,26)+65))&amp;$CK75&amp;""),"")</f>
        <v/>
      </c>
      <c r="CM75" s="132" t="str">
        <f t="array" aca="1" ref="CM75" ca="1">IF($CK75&lt;&gt;"",
INDIRECT(""&amp;IF(COLUMN(BZ75)&lt;=26,CHAR(COLUMN(BZ75)+64),CHAR(INT((COLUMN(BZ75)-1)/26)+64)&amp;CHAR(MOD(COLUMN(BZ75)-1,26)+65))&amp;$CK75&amp;""),"")</f>
        <v/>
      </c>
      <c r="CN75" s="132" t="str">
        <f t="array" aca="1" ref="CN75" ca="1">IF($CK75&lt;&gt;"",
INDIRECT(""&amp;IF(COLUMN(CA75)&lt;=26,CHAR(COLUMN(CA75)+64),CHAR(INT((COLUMN(CA75)-1)/26)+64)&amp;CHAR(MOD(COLUMN(CA75)-1,26)+65))&amp;$CK75&amp;""),"")</f>
        <v/>
      </c>
      <c r="CO75" s="132" t="str">
        <f t="array" aca="1" ref="CO75" ca="1">IF($CK75&lt;&gt;"",
INDIRECT(""&amp;IF(COLUMN(CB75)&lt;=26,CHAR(COLUMN(CB75)+64),CHAR(INT((COLUMN(CB75)-1)/26)+64)&amp;CHAR(MOD(COLUMN(CB75)-1,26)+65))&amp;$CK75&amp;""),"")</f>
        <v/>
      </c>
      <c r="CP75" s="132" t="str">
        <f t="array" aca="1" ref="CP75" ca="1">IF($CK75&lt;&gt;"",
INDIRECT(""&amp;IF(COLUMN(CC75)&lt;=26,CHAR(COLUMN(CC75)+64),CHAR(INT((COLUMN(CC75)-1)/26)+64)&amp;CHAR(MOD(COLUMN(CC75)-1,26)+65))&amp;$CK75&amp;""),"")</f>
        <v/>
      </c>
      <c r="CQ75" s="132" t="str">
        <f t="array" aca="1" ref="CQ75" ca="1">IF($CK75&lt;&gt;"",
INDIRECT(""&amp;IF(COLUMN(CD75)&lt;=26,CHAR(COLUMN(CD75)+64),CHAR(INT((COLUMN(CD75)-1)/26)+64)&amp;CHAR(MOD(COLUMN(CD75)-1,26)+65))&amp;$CK75&amp;""),"")</f>
        <v/>
      </c>
      <c r="CR75" s="132" t="str">
        <f t="array" aca="1" ref="CR75" ca="1">IF($CK75&lt;&gt;"",
INDIRECT(""&amp;IF(COLUMN(CE75)&lt;=26,CHAR(COLUMN(CE75)+64),CHAR(INT((COLUMN(CE75)-1)/26)+64)&amp;CHAR(MOD(COLUMN(CE75)-1,26)+65))&amp;$CK75&amp;""),"")</f>
        <v/>
      </c>
      <c r="CS75" s="132" t="str">
        <f t="array" aca="1" ref="CS75" ca="1">IF($CK75&lt;&gt;"",
INDIRECT(""&amp;IF(COLUMN(CF75)&lt;=26,CHAR(COLUMN(CF75)+64),CHAR(INT((COLUMN(CF75)-1)/26)+64)&amp;CHAR(MOD(COLUMN(CF75)-1,26)+65))&amp;$CK75&amp;""),"")</f>
        <v/>
      </c>
      <c r="CT75" s="132" t="str">
        <f t="array" aca="1" ref="CT75" ca="1">IF($CK75&lt;&gt;"",
INDIRECT(""&amp;IF(COLUMN(CG75)&lt;=26,CHAR(COLUMN(CG75)+64),CHAR(INT((COLUMN(CG75)-1)/26)+64)&amp;CHAR(MOD(COLUMN(CG75)-1,26)+65))&amp;$CK75&amp;""),"")</f>
        <v/>
      </c>
      <c r="CU75" s="132" t="str">
        <f t="array" aca="1" ref="CU75" ca="1">IF($CK75&lt;&gt;"",
INDIRECT(""&amp;IF(COLUMN(CH75)&lt;=26,CHAR(COLUMN(CH75)+64),CHAR(INT((COLUMN(CH75)-1)/26)+64)&amp;CHAR(MOD(COLUMN(CH75)-1,26)+65))&amp;$CK75&amp;""),"")</f>
        <v/>
      </c>
    </row>
    <row r="76" spans="1:99" s="132" customFormat="1" ht="22.2" customHeight="1" x14ac:dyDescent="0.55000000000000004">
      <c r="A76" s="129"/>
      <c r="B76" s="149" t="str">
        <f ca="1">IF(C74&lt;&gt;"","パン箱","")</f>
        <v/>
      </c>
      <c r="C76" s="150" t="str">
        <f ca="1">IF(C74&lt;&gt;"",IF(OR(COUNTIF('盛付札（関数）'!C72,"*キャラ*"),COUNTIF('盛付札（関数）'!C72,"*赤*")),24,
VLOOKUP('盛付札（関数）'!C72,商品マスタ一覧!$D:$I,6,FALSE)),"")</f>
        <v/>
      </c>
      <c r="D76" s="149" t="str">
        <f ca="1">IF(C74&lt;&gt;"","　端数","")</f>
        <v/>
      </c>
      <c r="E76" s="150"/>
      <c r="F76" s="149" t="str">
        <f ca="1">IF(C74&lt;&gt;"","アレルギー","")</f>
        <v/>
      </c>
      <c r="G76" s="159"/>
      <c r="H76" s="129"/>
      <c r="I76" s="149" t="str">
        <f ca="1">IF(J74&lt;&gt;"","パン箱","")</f>
        <v/>
      </c>
      <c r="J76" s="150" t="str">
        <f ca="1">IF(J74&lt;&gt;"",IF(OR(COUNTIF('盛付札（関数）'!J72,"*キャラ*"),COUNTIF('盛付札（関数）'!J72,"*赤*")),24,
VLOOKUP('盛付札（関数）'!J72,商品マスタ一覧!$D:$I,6,FALSE)),"")</f>
        <v/>
      </c>
      <c r="K76" s="149" t="str">
        <f ca="1">IF(J74&lt;&gt;"","　端数","")</f>
        <v/>
      </c>
      <c r="L76" s="150"/>
      <c r="M76" s="149" t="str">
        <f ca="1">IF(J74&lt;&gt;"","アレルギー","")</f>
        <v/>
      </c>
      <c r="N76" s="154"/>
      <c r="O76" s="129"/>
      <c r="P76" s="129"/>
      <c r="Q76" s="149" t="str">
        <f ca="1">IF(R74&lt;&gt;"","パン箱","")</f>
        <v/>
      </c>
      <c r="R76" s="150" t="str">
        <f ca="1">IF(R74&lt;&gt;"",IF(OR(COUNTIF('盛付札（関数）'!R72,"*キャラ*"),COUNTIF('盛付札（関数）'!R72,"*赤*")),24,
VLOOKUP('盛付札（関数）'!R72,商品マスタ一覧!$D:$I,6,FALSE)),"")</f>
        <v/>
      </c>
      <c r="S76" s="149" t="str">
        <f ca="1">IF(R74&lt;&gt;"","　端数","")</f>
        <v/>
      </c>
      <c r="T76" s="150"/>
      <c r="U76" s="149" t="str">
        <f ca="1">IF(R74&lt;&gt;"","アレルギー","")</f>
        <v/>
      </c>
      <c r="V76" s="154"/>
      <c r="W76" s="129"/>
      <c r="X76" s="149" t="str">
        <f ca="1">IF(Y74&lt;&gt;"","パン箱","")</f>
        <v/>
      </c>
      <c r="Y76" s="150" t="str">
        <f ca="1">IF(Y74&lt;&gt;"",IF(OR(COUNTIF('盛付札（関数）'!Y72,"*キャラ*"),COUNTIF('盛付札（関数）'!Y72,"*赤*")),24,
VLOOKUP('盛付札（関数）'!Y72,商品マスタ一覧!$D:$I,6,FALSE)),"")</f>
        <v/>
      </c>
      <c r="Z76" s="149" t="str">
        <f ca="1">IF(Y74&lt;&gt;"","　端数","")</f>
        <v/>
      </c>
      <c r="AA76" s="150"/>
      <c r="AB76" s="149" t="str">
        <f ca="1">IF(Y74&lt;&gt;"","アレルギー","")</f>
        <v/>
      </c>
      <c r="AC76" s="154"/>
      <c r="AD76" s="129"/>
      <c r="AE76" s="129"/>
      <c r="AF76" s="149" t="str">
        <f ca="1">IF(AG74&lt;&gt;"","パン箱","")</f>
        <v/>
      </c>
      <c r="AG76" s="150" t="str">
        <f ca="1">IF(AG74&lt;&gt;"",IF(OR(COUNTIF('盛付札（関数）'!AG72,"*キャラ*"),COUNTIF('盛付札（関数）'!AG72,"*赤*")),24,
VLOOKUP('盛付札（関数）'!AG72,商品マスタ一覧!$D:$I,6,FALSE)),"")</f>
        <v/>
      </c>
      <c r="AH76" s="149" t="str">
        <f ca="1">IF(AG74&lt;&gt;"","　端数","")</f>
        <v/>
      </c>
      <c r="AI76" s="150"/>
      <c r="AJ76" s="149" t="str">
        <f ca="1">IF(AG74&lt;&gt;"","アレルギー","")</f>
        <v/>
      </c>
      <c r="AK76" s="154"/>
      <c r="AL76" s="129"/>
      <c r="AM76" s="149" t="str">
        <f ca="1">IF(AN74&lt;&gt;"","パン箱","")</f>
        <v/>
      </c>
      <c r="AN76" s="150" t="str">
        <f ca="1">IF(AN74&lt;&gt;"",IF(OR(COUNTIF('盛付札（関数）'!AN72,"*キャラ*"),COUNTIF('盛付札（関数）'!AN72,"*赤*")),24,
VLOOKUP('盛付札（関数）'!AN72,商品マスタ一覧!$D:$I,6,FALSE)),"")</f>
        <v/>
      </c>
      <c r="AO76" s="149" t="str">
        <f ca="1">IF(AN74&lt;&gt;"","　端数","")</f>
        <v/>
      </c>
      <c r="AP76" s="150"/>
      <c r="AQ76" s="149" t="str">
        <f ca="1">IF(AN74&lt;&gt;"","アレルギー","")</f>
        <v/>
      </c>
      <c r="AR76" s="154"/>
      <c r="AS76" s="129"/>
      <c r="AT76" s="129"/>
      <c r="AU76" s="149" t="str">
        <f ca="1">IF(AV74&lt;&gt;"","パン箱","")</f>
        <v/>
      </c>
      <c r="AV76" s="150" t="str">
        <f ca="1">IF(AV74&lt;&gt;"",IF(OR(COUNTIF('盛付札（関数）'!AV72,"*キャラ*"),COUNTIF('盛付札（関数）'!AV72,"*赤*")),24,
VLOOKUP('盛付札（関数）'!AV72,商品マスタ一覧!$D:$I,6,FALSE)),"")</f>
        <v/>
      </c>
      <c r="AW76" s="149" t="str">
        <f ca="1">IF(AV74&lt;&gt;"","　端数","")</f>
        <v/>
      </c>
      <c r="AX76" s="150"/>
      <c r="AY76" s="149" t="str">
        <f ca="1">IF(AV74&lt;&gt;"","アレルギー","")</f>
        <v/>
      </c>
      <c r="AZ76" s="154"/>
      <c r="BA76" s="129"/>
      <c r="BB76" s="149" t="str">
        <f ca="1">IF(BC74&lt;&gt;"","パン箱","")</f>
        <v/>
      </c>
      <c r="BC76" s="150" t="str">
        <f ca="1">IF(BC74&lt;&gt;"",IF(OR(COUNTIF('盛付札（関数）'!BC72,"*キャラ*"),COUNTIF('盛付札（関数）'!BC72,"*赤*")),24,
VLOOKUP('盛付札（関数）'!BC72,商品マスタ一覧!$D:$I,6,FALSE)),"")</f>
        <v/>
      </c>
      <c r="BD76" s="149" t="str">
        <f ca="1">IF(BC74&lt;&gt;"","　端数","")</f>
        <v/>
      </c>
      <c r="BE76" s="150"/>
      <c r="BF76" s="149" t="str">
        <f ca="1">IF(BC74&lt;&gt;"","アレルギー","")</f>
        <v/>
      </c>
      <c r="BG76" s="154"/>
      <c r="BH76" s="129"/>
      <c r="BI76" s="129"/>
      <c r="BJ76" s="149" t="str">
        <f ca="1">IF(BK74&lt;&gt;"","パン箱","")</f>
        <v/>
      </c>
      <c r="BK76" s="150" t="str">
        <f ca="1">IF(BK74&lt;&gt;"",IF(OR(COUNTIF('盛付札（関数）'!BK72,"*キャラ*"),COUNTIF('盛付札（関数）'!BK72,"*赤*")),24,
VLOOKUP('盛付札（関数）'!BK72,商品マスタ一覧!$D:$I,6,FALSE)),"")</f>
        <v/>
      </c>
      <c r="BL76" s="149" t="str">
        <f ca="1">IF(BK74&lt;&gt;"","　端数","")</f>
        <v/>
      </c>
      <c r="BM76" s="150"/>
      <c r="BN76" s="149" t="str">
        <f ca="1">IF(BK74&lt;&gt;"","アレルギー","")</f>
        <v/>
      </c>
      <c r="BO76" s="154"/>
      <c r="BP76" s="129"/>
      <c r="BQ76" s="149" t="str">
        <f ca="1">IF(BR74&lt;&gt;"","パン箱","")</f>
        <v/>
      </c>
      <c r="BR76" s="150" t="str">
        <f ca="1">IF(BR74&lt;&gt;"",IF(OR(COUNTIF('盛付札（関数）'!BR72,"*キャラ*"),COUNTIF('盛付札（関数）'!BR72,"*赤*")),24,
VLOOKUP('盛付札（関数）'!BR72,商品マスタ一覧!$D:$I,6,FALSE)),"")</f>
        <v/>
      </c>
      <c r="BS76" s="149" t="str">
        <f ca="1">IF(BR74&lt;&gt;"","　端数","")</f>
        <v/>
      </c>
      <c r="BT76" s="150"/>
      <c r="BU76" s="149" t="str">
        <f ca="1">IF(BR74&lt;&gt;"","アレルギー","")</f>
        <v/>
      </c>
      <c r="BV76" s="154"/>
      <c r="BW76" s="129"/>
      <c r="BX76" s="132">
        <v>42</v>
      </c>
      <c r="BY76" s="132" t="str">
        <f t="array" aca="1" ref="BY76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LEN(SUBSTITUTE(_xlfn.FORMULATEXT(BY$75),"=","")))+$BX76)</f>
        <v/>
      </c>
      <c r="BZ76" s="132" t="str">
        <f t="array" aca="1" ref="BZ76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LEN(SUBSTITUTE(_xlfn.FORMULATEXT(BZ$75),"=","")))+$BX76)</f>
        <v/>
      </c>
      <c r="CA76" s="132" t="str">
        <f t="array" aca="1" ref="CA76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LEN(SUBSTITUTE(_xlfn.FORMULATEXT(CA$75),"=","")))+$BX76)</f>
        <v/>
      </c>
      <c r="CB76" s="132" t="str">
        <f t="array" aca="1" ref="CB76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LEN(SUBSTITUTE(_xlfn.FORMULATEXT(CB$75),"=","")))+$BX76)</f>
        <v/>
      </c>
      <c r="CC76" s="132" t="str">
        <f t="array" aca="1" ref="CC76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LEN(SUBSTITUTE(_xlfn.FORMULATEXT(CC$75),"=","")))+$BX76)</f>
        <v/>
      </c>
      <c r="CD76" s="132" t="str">
        <f t="array" aca="1" ref="CD76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LEN(SUBSTITUTE(_xlfn.FORMULATEXT(CD$75),"=","")))+$BX76)</f>
        <v/>
      </c>
      <c r="CE76" s="132" t="str">
        <f t="array" aca="1" ref="CE76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LEN(SUBSTITUTE(_xlfn.FORMULATEXT(CE$75),"=","")))+$BX76)</f>
        <v/>
      </c>
      <c r="CF76" s="132" t="str">
        <f t="array" aca="1" ref="CF76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LEN(SUBSTITUTE(_xlfn.FORMULATEXT(CF$75),"=","")))+$BX76)</f>
        <v/>
      </c>
      <c r="CG76" s="132" t="str">
        <f t="array" aca="1" ref="CG76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LEN(SUBSTITUTE(_xlfn.FORMULATEXT(CG$75),"=","")))+$BX76)</f>
        <v/>
      </c>
      <c r="CH76" s="132" t="str">
        <f t="array" aca="1" ref="CH76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LEN(SUBSTITUTE(_xlfn.FORMULATEXT(CH$75),"=","")))+$BX76)</f>
        <v/>
      </c>
      <c r="CI76" s="132">
        <f t="shared" ca="1" si="5"/>
        <v>0</v>
      </c>
      <c r="CJ76" s="132" t="b">
        <f t="array" aca="1" ref="CJ76" ca="1">SUMPRODUCT((LEN(BY76:CH76)&gt;0)*1)&gt;0</f>
        <v>0</v>
      </c>
      <c r="CK76" s="132" t="str" cm="1">
        <f t="array" aca="1" ref="CK76" ca="1">IFERROR(SMALL(IF(CI$1:CI$150&lt;&gt;0,CI$1:CI$150),ROW(A76)),"")</f>
        <v/>
      </c>
      <c r="CL76" s="132" t="str">
        <f t="array" aca="1" ref="CL76" ca="1">IF($CK76&lt;&gt;"",
INDIRECT(""&amp;IF(COLUMN(BY76)&lt;=26,CHAR(COLUMN(BY76)+64),CHAR(INT((COLUMN(BY76)-1)/26)+64)&amp;CHAR(MOD(COLUMN(BY76)-1,26)+65))&amp;$CK76&amp;""),"")</f>
        <v/>
      </c>
      <c r="CM76" s="132" t="str">
        <f t="array" aca="1" ref="CM76" ca="1">IF($CK76&lt;&gt;"",
INDIRECT(""&amp;IF(COLUMN(BZ76)&lt;=26,CHAR(COLUMN(BZ76)+64),CHAR(INT((COLUMN(BZ76)-1)/26)+64)&amp;CHAR(MOD(COLUMN(BZ76)-1,26)+65))&amp;$CK76&amp;""),"")</f>
        <v/>
      </c>
      <c r="CN76" s="132" t="str">
        <f t="array" aca="1" ref="CN76" ca="1">IF($CK76&lt;&gt;"",
INDIRECT(""&amp;IF(COLUMN(CA76)&lt;=26,CHAR(COLUMN(CA76)+64),CHAR(INT((COLUMN(CA76)-1)/26)+64)&amp;CHAR(MOD(COLUMN(CA76)-1,26)+65))&amp;$CK76&amp;""),"")</f>
        <v/>
      </c>
      <c r="CO76" s="132" t="str">
        <f t="array" aca="1" ref="CO76" ca="1">IF($CK76&lt;&gt;"",
INDIRECT(""&amp;IF(COLUMN(CB76)&lt;=26,CHAR(COLUMN(CB76)+64),CHAR(INT((COLUMN(CB76)-1)/26)+64)&amp;CHAR(MOD(COLUMN(CB76)-1,26)+65))&amp;$CK76&amp;""),"")</f>
        <v/>
      </c>
      <c r="CP76" s="132" t="str">
        <f t="array" aca="1" ref="CP76" ca="1">IF($CK76&lt;&gt;"",
INDIRECT(""&amp;IF(COLUMN(CC76)&lt;=26,CHAR(COLUMN(CC76)+64),CHAR(INT((COLUMN(CC76)-1)/26)+64)&amp;CHAR(MOD(COLUMN(CC76)-1,26)+65))&amp;$CK76&amp;""),"")</f>
        <v/>
      </c>
      <c r="CQ76" s="132" t="str">
        <f t="array" aca="1" ref="CQ76" ca="1">IF($CK76&lt;&gt;"",
INDIRECT(""&amp;IF(COLUMN(CD76)&lt;=26,CHAR(COLUMN(CD76)+64),CHAR(INT((COLUMN(CD76)-1)/26)+64)&amp;CHAR(MOD(COLUMN(CD76)-1,26)+65))&amp;$CK76&amp;""),"")</f>
        <v/>
      </c>
      <c r="CR76" s="132" t="str">
        <f t="array" aca="1" ref="CR76" ca="1">IF($CK76&lt;&gt;"",
INDIRECT(""&amp;IF(COLUMN(CE76)&lt;=26,CHAR(COLUMN(CE76)+64),CHAR(INT((COLUMN(CE76)-1)/26)+64)&amp;CHAR(MOD(COLUMN(CE76)-1,26)+65))&amp;$CK76&amp;""),"")</f>
        <v/>
      </c>
      <c r="CS76" s="132" t="str">
        <f t="array" aca="1" ref="CS76" ca="1">IF($CK76&lt;&gt;"",
INDIRECT(""&amp;IF(COLUMN(CF76)&lt;=26,CHAR(COLUMN(CF76)+64),CHAR(INT((COLUMN(CF76)-1)/26)+64)&amp;CHAR(MOD(COLUMN(CF76)-1,26)+65))&amp;$CK76&amp;""),"")</f>
        <v/>
      </c>
      <c r="CT76" s="132" t="str">
        <f t="array" aca="1" ref="CT76" ca="1">IF($CK76&lt;&gt;"",
INDIRECT(""&amp;IF(COLUMN(CG76)&lt;=26,CHAR(COLUMN(CG76)+64),CHAR(INT((COLUMN(CG76)-1)/26)+64)&amp;CHAR(MOD(COLUMN(CG76)-1,26)+65))&amp;$CK76&amp;""),"")</f>
        <v/>
      </c>
      <c r="CU76" s="132" t="str">
        <f t="array" aca="1" ref="CU76" ca="1">IF($CK76&lt;&gt;"",
INDIRECT(""&amp;IF(COLUMN(CH76)&lt;=26,CHAR(COLUMN(CH76)+64),CHAR(INT((COLUMN(CH76)-1)/26)+64)&amp;CHAR(MOD(COLUMN(CH76)-1,26)+65))&amp;$CK76&amp;""),"")</f>
        <v/>
      </c>
    </row>
    <row r="77" spans="1:99" ht="21" customHeight="1" x14ac:dyDescent="0.45">
      <c r="B77" s="124" t="str">
        <f ca="1">IF(C74&lt;&gt;"",
IFERROR(INT(C74/C76),""),"")</f>
        <v/>
      </c>
      <c r="C77" s="151"/>
      <c r="D77" s="124" t="str">
        <f ca="1">IFERROR(MOD(C74,C76),"")</f>
        <v/>
      </c>
      <c r="E77" s="151"/>
      <c r="F77" s="118" t="str">
        <f t="array" aca="1" ref="F77" ca="1">IF(C71&lt;&gt;"",
IF(IFERROR(
INDEX(INDIRECT("'数出表_Excel（アレルギー入力）'!"&amp;B71&amp;MATCH(G29,'数出表_Excel（アレルギー入力）'!$A:$A,0)-1&amp;":AC"&amp;MATCH(G29,'数出表_Excel（アレルギー入力）'!$A:$A,0)-1&amp;""),
 1,
MATCH(C74,INDIRECT("'数出表_Excel（アレルギー入力）'!"&amp;B71&amp;B29-1&amp;":AC"&amp;B29-1&amp;""),0)+1),
 "")&lt;&gt;0,
IF(IFERROR(
INDEX(INDIRECT("'数出表_Excel（アレルギー入力）'!"&amp;B71&amp;MATCH(G29,'数出表_Excel（アレルギー入力）'!$A:$A,0)-1&amp;":AC"&amp;MATCH(G29,'数出表_Excel（アレルギー入力）'!$A:$A,0)-1&amp;""),
 1,
MATCH(C74,INDIRECT("'数出表_Excel（アレルギー入力）'!"&amp;B71&amp;B29-1&amp;":AC"&amp;B29-1&amp;""),0)+1),
 "")="",
IFERROR(
INDEX(INDIRECT("'数出表_Excel（アレルギー入力）'!B"&amp;MATCH(G29,'数出表_Excel（アレルギー入力）'!$A:$A,0)-1&amp;":AC"&amp;MATCH(G29,'数出表_Excel（アレルギー入力）'!$A:$A,0)-1&amp;""),
 1,
MATCH(TRUE,INDEX(INDIRECT("'数出表_Excel（アレルギー入力）'!B"&amp;B29-1&amp;":AC"&amp;B29-1&amp;"")&lt;&gt;"",0),0)+1),
 ""),
IFERROR(
INDEX(INDIRECT("'数出表_Excel（アレルギー入力）'!"&amp;B71&amp;MATCH(G29,'数出表_Excel（アレルギー入力）'!$A:$A,0)-1&amp;":AC"&amp;MATCH(G29,'数出表_Excel（アレルギー入力）'!$A:$A,0)-1&amp;""),
 1,
MATCH(C74,INDIRECT("'数出表_Excel（アレルギー入力）'!"&amp;B71&amp;B29-1&amp;":AC"&amp;B29-1&amp;""),0)+1),
 "")),0),"")</f>
        <v/>
      </c>
      <c r="G77" s="151"/>
      <c r="I77" s="124" t="str">
        <f ca="1">IF(J74&lt;&gt;"",
IFERROR(INT(J74/J76),""),"")</f>
        <v/>
      </c>
      <c r="J77" s="151"/>
      <c r="K77" s="124" t="str">
        <f ca="1">IFERROR(MOD(J74,J76),"")</f>
        <v/>
      </c>
      <c r="L77" s="151"/>
      <c r="M77" s="118" t="str">
        <f t="array" aca="1" ref="M77" ca="1">IF(J71&lt;&gt;"",
IF(IFERROR(
INDEX(INDIRECT("'数出表_Excel（アレルギー入力）'!"&amp;I71&amp;MATCH(N29,'数出表_Excel（アレルギー入力）'!$A:$A,0)-1&amp;":AC"&amp;MATCH(N29,'数出表_Excel（アレルギー入力）'!$A:$A,0)-1&amp;""),
 1,
MATCH(J74,INDIRECT("'数出表_Excel（アレルギー入力）'!"&amp;I71&amp;I29-1&amp;":AC"&amp;I29-1&amp;""),0)+1),
 "")&lt;&gt;0,
IF(IFERROR(
INDEX(INDIRECT("'数出表_Excel（アレルギー入力）'!"&amp;I71&amp;MATCH(N29,'数出表_Excel（アレルギー入力）'!$A:$A,0)-1&amp;":AC"&amp;MATCH(N29,'数出表_Excel（アレルギー入力）'!$A:$A,0)-1&amp;""),
 1,
MATCH(J74,INDIRECT("'数出表_Excel（アレルギー入力）'!"&amp;I71&amp;I29-1&amp;":AC"&amp;I29-1&amp;""),0)+1),
 "")="",
IFERROR(
INDEX(INDIRECT("'数出表_Excel（アレルギー入力）'!B"&amp;MATCH(N29,'数出表_Excel（アレルギー入力）'!$A:$A,0)-1&amp;":AC"&amp;MATCH(N29,'数出表_Excel（アレルギー入力）'!$A:$A,0)-1&amp;""),
 1,
MATCH(TRUE,INDEX(INDIRECT("'数出表_Excel（アレルギー入力）'!B"&amp;I29-1&amp;":AC"&amp;I29-1&amp;"")&lt;&gt;"",0),0)+1),
 ""),
IFERROR(
INDEX(INDIRECT("'数出表_Excel（アレルギー入力）'!"&amp;I71&amp;MATCH(N29,'数出表_Excel（アレルギー入力）'!$A:$A,0)-1&amp;":AC"&amp;MATCH(N29,'数出表_Excel（アレルギー入力）'!$A:$A,0)-1&amp;""),
 1,
MATCH(J74,INDIRECT("'数出表_Excel（アレルギー入力）'!"&amp;I71&amp;I29-1&amp;":AC"&amp;I29-1&amp;""),0)+1),
 "")),0),"")</f>
        <v/>
      </c>
      <c r="N77" s="151"/>
      <c r="Q77" s="124" t="str">
        <f ca="1">IF(R74&lt;&gt;"",
IFERROR(INT(R74/R76),""),"")</f>
        <v/>
      </c>
      <c r="R77" s="151"/>
      <c r="S77" s="124" t="str">
        <f ca="1">IFERROR(MOD(R74,R76),"")</f>
        <v/>
      </c>
      <c r="T77" s="151"/>
      <c r="U77" s="118" t="str">
        <f t="array" aca="1" ref="U77" ca="1">IF(R71&lt;&gt;"",
IF(IFERROR(
INDEX(INDIRECT("'数出表_Excel（アレルギー入力）'!"&amp;Q71&amp;MATCH(V29,'数出表_Excel（アレルギー入力）'!$A:$A,0)-1&amp;":AC"&amp;MATCH(V29,'数出表_Excel（アレルギー入力）'!$A:$A,0)-1&amp;""),
 1,
MATCH(R74,INDIRECT("'数出表_Excel（アレルギー入力）'!"&amp;Q71&amp;Q29-1&amp;":AC"&amp;Q29-1&amp;""),0)+1),
 "")&lt;&gt;0,
IF(IFERROR(
INDEX(INDIRECT("'数出表_Excel（アレルギー入力）'!"&amp;Q71&amp;MATCH(V29,'数出表_Excel（アレルギー入力）'!$A:$A,0)-1&amp;":AC"&amp;MATCH(V29,'数出表_Excel（アレルギー入力）'!$A:$A,0)-1&amp;""),
 1,
MATCH(R74,INDIRECT("'数出表_Excel（アレルギー入力）'!"&amp;Q71&amp;Q29-1&amp;":AC"&amp;Q29-1&amp;""),0)+1),
 "")="",
IFERROR(
INDEX(INDIRECT("'数出表_Excel（アレルギー入力）'!B"&amp;MATCH(V29,'数出表_Excel（アレルギー入力）'!$A:$A,0)-1&amp;":AC"&amp;MATCH(V29,'数出表_Excel（アレルギー入力）'!$A:$A,0)-1&amp;""),
 1,
MATCH(TRUE,INDEX(INDIRECT("'数出表_Excel（アレルギー入力）'!B"&amp;Q29-1&amp;":AC"&amp;Q29-1&amp;"")&lt;&gt;"",0),0)+1),
 ""),
IFERROR(
INDEX(INDIRECT("'数出表_Excel（アレルギー入力）'!"&amp;Q71&amp;MATCH(V29,'数出表_Excel（アレルギー入力）'!$A:$A,0)-1&amp;":AC"&amp;MATCH(V29,'数出表_Excel（アレルギー入力）'!$A:$A,0)-1&amp;""),
 1,
MATCH(R74,INDIRECT("'数出表_Excel（アレルギー入力）'!"&amp;Q71&amp;Q29-1&amp;":AC"&amp;Q29-1&amp;""),0)+1),
 "")),0),"")</f>
        <v/>
      </c>
      <c r="V77" s="151"/>
      <c r="X77" s="124" t="str">
        <f ca="1">IF(Y74&lt;&gt;"",
IFERROR(INT(Y74/Y76),""),"")</f>
        <v/>
      </c>
      <c r="Y77" s="151"/>
      <c r="Z77" s="124" t="str">
        <f ca="1">IFERROR(MOD(Y74,Y76),"")</f>
        <v/>
      </c>
      <c r="AA77" s="151"/>
      <c r="AB77" s="118" t="str">
        <f t="array" aca="1" ref="AB77" ca="1">IF(Y71&lt;&gt;"",
IF(IFERROR(
INDEX(INDIRECT("'数出表_Excel（アレルギー入力）'!"&amp;X71&amp;MATCH(AC29,'数出表_Excel（アレルギー入力）'!$A:$A,0)-1&amp;":AC"&amp;MATCH(AC29,'数出表_Excel（アレルギー入力）'!$A:$A,0)-1&amp;""),
 1,
MATCH(Y74,INDIRECT("'数出表_Excel（アレルギー入力）'!"&amp;X71&amp;X29-1&amp;":AC"&amp;X29-1&amp;""),0)+1),
 "")&lt;&gt;0,
IF(IFERROR(
INDEX(INDIRECT("'数出表_Excel（アレルギー入力）'!"&amp;X71&amp;MATCH(AC29,'数出表_Excel（アレルギー入力）'!$A:$A,0)-1&amp;":AC"&amp;MATCH(AC29,'数出表_Excel（アレルギー入力）'!$A:$A,0)-1&amp;""),
 1,
MATCH(Y74,INDIRECT("'数出表_Excel（アレルギー入力）'!"&amp;X71&amp;X29-1&amp;":AC"&amp;X29-1&amp;""),0)+1),
 "")="",
IFERROR(
INDEX(INDIRECT("'数出表_Excel（アレルギー入力）'!B"&amp;MATCH(AC29,'数出表_Excel（アレルギー入力）'!$A:$A,0)-1&amp;":AC"&amp;MATCH(AC29,'数出表_Excel（アレルギー入力）'!$A:$A,0)-1&amp;""),
 1,
MATCH(TRUE,INDEX(INDIRECT("'数出表_Excel（アレルギー入力）'!B"&amp;X29-1&amp;":AC"&amp;X29-1&amp;"")&lt;&gt;"",0),0)+1),
 ""),
IFERROR(
INDEX(INDIRECT("'数出表_Excel（アレルギー入力）'!"&amp;X71&amp;MATCH(AC29,'数出表_Excel（アレルギー入力）'!$A:$A,0)-1&amp;":AC"&amp;MATCH(AC29,'数出表_Excel（アレルギー入力）'!$A:$A,0)-1&amp;""),
 1,
MATCH(Y74,INDIRECT("'数出表_Excel（アレルギー入力）'!"&amp;X71&amp;X29-1&amp;":AC"&amp;X29-1&amp;""),0)+1),
 "")),0),"")</f>
        <v/>
      </c>
      <c r="AC77" s="151"/>
      <c r="AF77" s="124" t="str">
        <f ca="1">IF(AG74&lt;&gt;"",
IFERROR(INT(AG74/AG76),""),"")</f>
        <v/>
      </c>
      <c r="AG77" s="151"/>
      <c r="AH77" s="124" t="str">
        <f ca="1">IFERROR(MOD(AG74,AG76),"")</f>
        <v/>
      </c>
      <c r="AI77" s="151"/>
      <c r="AJ77" s="118" t="str">
        <f t="array" aca="1" ref="AJ77" ca="1">IF(AG71&lt;&gt;"",
IF(IFERROR(
INDEX(INDIRECT("'数出表_Excel（アレルギー入力）'!"&amp;AF71&amp;MATCH(AK29,'数出表_Excel（アレルギー入力）'!$A:$A,0)-1&amp;":AC"&amp;MATCH(AK29,'数出表_Excel（アレルギー入力）'!$A:$A,0)-1&amp;""),
 1,
MATCH(AG74,INDIRECT("'数出表_Excel（アレルギー入力）'!"&amp;AF71&amp;AF29-1&amp;":AC"&amp;AF29-1&amp;""),0)+1),
 "")&lt;&gt;0,
IF(IFERROR(
INDEX(INDIRECT("'数出表_Excel（アレルギー入力）'!"&amp;AF71&amp;MATCH(AK29,'数出表_Excel（アレルギー入力）'!$A:$A,0)-1&amp;":AC"&amp;MATCH(AK29,'数出表_Excel（アレルギー入力）'!$A:$A,0)-1&amp;""),
 1,
MATCH(AG74,INDIRECT("'数出表_Excel（アレルギー入力）'!"&amp;AF71&amp;AF29-1&amp;":AC"&amp;AF29-1&amp;""),0)+1),
 "")="",
IFERROR(
INDEX(INDIRECT("'数出表_Excel（アレルギー入力）'!B"&amp;MATCH(AK29,'数出表_Excel（アレルギー入力）'!$A:$A,0)-1&amp;":AC"&amp;MATCH(AK29,'数出表_Excel（アレルギー入力）'!$A:$A,0)-1&amp;""),
 1,
MATCH(TRUE,INDEX(INDIRECT("'数出表_Excel（アレルギー入力）'!B"&amp;AF29-1&amp;":AC"&amp;AF29-1&amp;"")&lt;&gt;"",0),0)+1),
 ""),
IFERROR(
INDEX(INDIRECT("'数出表_Excel（アレルギー入力）'!"&amp;AF71&amp;MATCH(AK29,'数出表_Excel（アレルギー入力）'!$A:$A,0)-1&amp;":AC"&amp;MATCH(AK29,'数出表_Excel（アレルギー入力）'!$A:$A,0)-1&amp;""),
 1,
MATCH(AG74,INDIRECT("'数出表_Excel（アレルギー入力）'!"&amp;AF71&amp;AF29-1&amp;":AC"&amp;AF29-1&amp;""),0)+1),
 "")),0),"")</f>
        <v/>
      </c>
      <c r="AK77" s="151"/>
      <c r="AM77" s="124" t="str">
        <f ca="1">IF(AN74&lt;&gt;"",
IFERROR(INT(AN74/AN76),""),"")</f>
        <v/>
      </c>
      <c r="AN77" s="151"/>
      <c r="AO77" s="124" t="str">
        <f ca="1">IFERROR(MOD(AN74,AN76),"")</f>
        <v/>
      </c>
      <c r="AP77" s="151"/>
      <c r="AQ77" s="118" t="str">
        <f t="array" aca="1" ref="AQ77" ca="1">IF(AN71&lt;&gt;"",
IF(IFERROR(
INDEX(INDIRECT("'数出表_Excel（アレルギー入力）'!"&amp;AM71&amp;MATCH(AR29,'数出表_Excel（アレルギー入力）'!$A:$A,0)-1&amp;":AC"&amp;MATCH(AR29,'数出表_Excel（アレルギー入力）'!$A:$A,0)-1&amp;""),
 1,
MATCH(AN74,INDIRECT("'数出表_Excel（アレルギー入力）'!"&amp;AM71&amp;AM29-1&amp;":AC"&amp;AM29-1&amp;""),0)+1),
 "")&lt;&gt;0,
IF(IFERROR(
INDEX(INDIRECT("'数出表_Excel（アレルギー入力）'!"&amp;AM71&amp;MATCH(AR29,'数出表_Excel（アレルギー入力）'!$A:$A,0)-1&amp;":AC"&amp;MATCH(AR29,'数出表_Excel（アレルギー入力）'!$A:$A,0)-1&amp;""),
 1,
MATCH(AN74,INDIRECT("'数出表_Excel（アレルギー入力）'!"&amp;AM71&amp;AM29-1&amp;":AC"&amp;AM29-1&amp;""),0)+1),
 "")="",
IFERROR(
INDEX(INDIRECT("'数出表_Excel（アレルギー入力）'!B"&amp;MATCH(AR29,'数出表_Excel（アレルギー入力）'!$A:$A,0)-1&amp;":AC"&amp;MATCH(AR29,'数出表_Excel（アレルギー入力）'!$A:$A,0)-1&amp;""),
 1,
MATCH(TRUE,INDEX(INDIRECT("'数出表_Excel（アレルギー入力）'!B"&amp;AM29-1&amp;":AC"&amp;AM29-1&amp;"")&lt;&gt;"",0),0)+1),
 ""),
IFERROR(
INDEX(INDIRECT("'数出表_Excel（アレルギー入力）'!"&amp;AM71&amp;MATCH(AR29,'数出表_Excel（アレルギー入力）'!$A:$A,0)-1&amp;":AC"&amp;MATCH(AR29,'数出表_Excel（アレルギー入力）'!$A:$A,0)-1&amp;""),
 1,
MATCH(AN74,INDIRECT("'数出表_Excel（アレルギー入力）'!"&amp;AM71&amp;AM29-1&amp;":AC"&amp;AM29-1&amp;""),0)+1),
 "")),0),"")</f>
        <v/>
      </c>
      <c r="AR77" s="151"/>
      <c r="AU77" s="124" t="str">
        <f ca="1">IF(AV74&lt;&gt;"",
IFERROR(INT(AV74/AV76),""),"")</f>
        <v/>
      </c>
      <c r="AV77" s="151"/>
      <c r="AW77" s="124" t="str">
        <f ca="1">IFERROR(MOD(AV74,AV76),"")</f>
        <v/>
      </c>
      <c r="AX77" s="151"/>
      <c r="AY77" s="118" t="str">
        <f t="array" aca="1" ref="AY77" ca="1">IF(AV71&lt;&gt;"",
IF(IFERROR(
INDEX(INDIRECT("'数出表_Excel（アレルギー入力）'!"&amp;AU71&amp;MATCH(AZ29,'数出表_Excel（アレルギー入力）'!$A:$A,0)-1&amp;":AC"&amp;MATCH(AZ29,'数出表_Excel（アレルギー入力）'!$A:$A,0)-1&amp;""),
 1,
MATCH(AV74,INDIRECT("'数出表_Excel（アレルギー入力）'!"&amp;AU71&amp;AU29-1&amp;":AC"&amp;AU29-1&amp;""),0)+1),
 "")&lt;&gt;0,
IF(IFERROR(
INDEX(INDIRECT("'数出表_Excel（アレルギー入力）'!"&amp;AU71&amp;MATCH(AZ29,'数出表_Excel（アレルギー入力）'!$A:$A,0)-1&amp;":AC"&amp;MATCH(AZ29,'数出表_Excel（アレルギー入力）'!$A:$A,0)-1&amp;""),
 1,
MATCH(AV74,INDIRECT("'数出表_Excel（アレルギー入力）'!"&amp;AU71&amp;AU29-1&amp;":AC"&amp;AU29-1&amp;""),0)+1),
 "")="",
IFERROR(
INDEX(INDIRECT("'数出表_Excel（アレルギー入力）'!B"&amp;MATCH(AZ29,'数出表_Excel（アレルギー入力）'!$A:$A,0)-1&amp;":AC"&amp;MATCH(AZ29,'数出表_Excel（アレルギー入力）'!$A:$A,0)-1&amp;""),
 1,
MATCH(TRUE,INDEX(INDIRECT("'数出表_Excel（アレルギー入力）'!B"&amp;AU29-1&amp;":AC"&amp;AU29-1&amp;"")&lt;&gt;"",0),0)+1),
 ""),
IFERROR(
INDEX(INDIRECT("'数出表_Excel（アレルギー入力）'!"&amp;AU71&amp;MATCH(AZ29,'数出表_Excel（アレルギー入力）'!$A:$A,0)-1&amp;":AC"&amp;MATCH(AZ29,'数出表_Excel（アレルギー入力）'!$A:$A,0)-1&amp;""),
 1,
MATCH(AV74,INDIRECT("'数出表_Excel（アレルギー入力）'!"&amp;AU71&amp;AU29-1&amp;":AC"&amp;AU29-1&amp;""),0)+1),
 "")),0),"")</f>
        <v/>
      </c>
      <c r="AZ77" s="151"/>
      <c r="BB77" s="124" t="str">
        <f ca="1">IF(BC74&lt;&gt;"",
IFERROR(INT(BC74/BC76),""),"")</f>
        <v/>
      </c>
      <c r="BC77" s="151"/>
      <c r="BD77" s="124" t="str">
        <f ca="1">IFERROR(MOD(BC74,BC76),"")</f>
        <v/>
      </c>
      <c r="BE77" s="151"/>
      <c r="BF77" s="118" t="str">
        <f t="array" aca="1" ref="BF77" ca="1">IF(BC71&lt;&gt;"",
IF(IFERROR(
INDEX(INDIRECT("'数出表_Excel（アレルギー入力）'!"&amp;BB71&amp;MATCH(BG29,'数出表_Excel（アレルギー入力）'!$A:$A,0)-1&amp;":AC"&amp;MATCH(BG29,'数出表_Excel（アレルギー入力）'!$A:$A,0)-1&amp;""),
 1,
MATCH(BC74,INDIRECT("'数出表_Excel（アレルギー入力）'!"&amp;BB71&amp;BB29-1&amp;":AC"&amp;BB29-1&amp;""),0)+1),
 "")&lt;&gt;0,
IF(IFERROR(
INDEX(INDIRECT("'数出表_Excel（アレルギー入力）'!"&amp;BB71&amp;MATCH(BG29,'数出表_Excel（アレルギー入力）'!$A:$A,0)-1&amp;":AC"&amp;MATCH(BG29,'数出表_Excel（アレルギー入力）'!$A:$A,0)-1&amp;""),
 1,
MATCH(BC74,INDIRECT("'数出表_Excel（アレルギー入力）'!"&amp;BB71&amp;BB29-1&amp;":AC"&amp;BB29-1&amp;""),0)+1),
 "")="",
IFERROR(
INDEX(INDIRECT("'数出表_Excel（アレルギー入力）'!B"&amp;MATCH(BG29,'数出表_Excel（アレルギー入力）'!$A:$A,0)-1&amp;":AC"&amp;MATCH(BG29,'数出表_Excel（アレルギー入力）'!$A:$A,0)-1&amp;""),
 1,
MATCH(TRUE,INDEX(INDIRECT("'数出表_Excel（アレルギー入力）'!B"&amp;BB29-1&amp;":AC"&amp;BB29-1&amp;"")&lt;&gt;"",0),0)+1),
 ""),
IFERROR(
INDEX(INDIRECT("'数出表_Excel（アレルギー入力）'!"&amp;BB71&amp;MATCH(BG29,'数出表_Excel（アレルギー入力）'!$A:$A,0)-1&amp;":AC"&amp;MATCH(BG29,'数出表_Excel（アレルギー入力）'!$A:$A,0)-1&amp;""),
 1,
MATCH(BC74,INDIRECT("'数出表_Excel（アレルギー入力）'!"&amp;BB71&amp;BB29-1&amp;":AC"&amp;BB29-1&amp;""),0)+1),
 "")),0),"")</f>
        <v/>
      </c>
      <c r="BG77" s="151"/>
      <c r="BJ77" s="124" t="str">
        <f ca="1">IF(BK74&lt;&gt;"",
IFERROR(INT(BK74/BK76),""),"")</f>
        <v/>
      </c>
      <c r="BK77" s="151"/>
      <c r="BL77" s="124" t="str">
        <f ca="1">IFERROR(MOD(BK74,BK76),"")</f>
        <v/>
      </c>
      <c r="BM77" s="151"/>
      <c r="BN77" s="118" t="str">
        <f t="array" aca="1" ref="BN77" ca="1">IF(BK71&lt;&gt;"",
IF(IFERROR(
INDEX(INDIRECT("'数出表_Excel（アレルギー入力）'!"&amp;BJ71&amp;MATCH(BO29,'数出表_Excel（アレルギー入力）'!$A:$A,0)-1&amp;":AC"&amp;MATCH(BO29,'数出表_Excel（アレルギー入力）'!$A:$A,0)-1&amp;""),
 1,
MATCH(BK74,INDIRECT("'数出表_Excel（アレルギー入力）'!"&amp;BJ71&amp;BJ29-1&amp;":AC"&amp;BJ29-1&amp;""),0)+1),
 "")&lt;&gt;0,
IF(IFERROR(
INDEX(INDIRECT("'数出表_Excel（アレルギー入力）'!"&amp;BJ71&amp;MATCH(BO29,'数出表_Excel（アレルギー入力）'!$A:$A,0)-1&amp;":AC"&amp;MATCH(BO29,'数出表_Excel（アレルギー入力）'!$A:$A,0)-1&amp;""),
 1,
MATCH(BK74,INDIRECT("'数出表_Excel（アレルギー入力）'!"&amp;BJ71&amp;BJ29-1&amp;":AC"&amp;BJ29-1&amp;""),0)+1),
 "")="",
IFERROR(
INDEX(INDIRECT("'数出表_Excel（アレルギー入力）'!B"&amp;MATCH(BO29,'数出表_Excel（アレルギー入力）'!$A:$A,0)-1&amp;":AC"&amp;MATCH(BO29,'数出表_Excel（アレルギー入力）'!$A:$A,0)-1&amp;""),
 1,
MATCH(TRUE,INDEX(INDIRECT("'数出表_Excel（アレルギー入力）'!B"&amp;BJ29-1&amp;":AC"&amp;BJ29-1&amp;"")&lt;&gt;"",0),0)+1),
 ""),
IFERROR(
INDEX(INDIRECT("'数出表_Excel（アレルギー入力）'!"&amp;BJ71&amp;MATCH(BO29,'数出表_Excel（アレルギー入力）'!$A:$A,0)-1&amp;":AC"&amp;MATCH(BO29,'数出表_Excel（アレルギー入力）'!$A:$A,0)-1&amp;""),
 1,
MATCH(BK74,INDIRECT("'数出表_Excel（アレルギー入力）'!"&amp;BJ71&amp;BJ29-1&amp;":AC"&amp;BJ29-1&amp;""),0)+1),
 "")),0),"")</f>
        <v/>
      </c>
      <c r="BO77" s="151"/>
      <c r="BQ77" s="124" t="str">
        <f ca="1">IF(BR74&lt;&gt;"",
IFERROR(INT(BR74/BR76),""),"")</f>
        <v/>
      </c>
      <c r="BR77" s="151"/>
      <c r="BS77" s="124" t="str">
        <f ca="1">IFERROR(MOD(BR74,BR76),"")</f>
        <v/>
      </c>
      <c r="BT77" s="151"/>
      <c r="BU77" s="118" t="str">
        <f t="array" aca="1" ref="BU77" ca="1">IF(BR71&lt;&gt;"",
IF(IFERROR(
INDEX(INDIRECT("'数出表_Excel（アレルギー入力）'!"&amp;BQ71&amp;MATCH(BV29,'数出表_Excel（アレルギー入力）'!$A:$A,0)-1&amp;":AC"&amp;MATCH(BV29,'数出表_Excel（アレルギー入力）'!$A:$A,0)-1&amp;""),
 1,
MATCH(BR74,INDIRECT("'数出表_Excel（アレルギー入力）'!"&amp;BQ71&amp;BQ29-1&amp;":AC"&amp;BQ29-1&amp;""),0)+1),
 "")&lt;&gt;0,
IF(IFERROR(
INDEX(INDIRECT("'数出表_Excel（アレルギー入力）'!"&amp;BQ71&amp;MATCH(BV29,'数出表_Excel（アレルギー入力）'!$A:$A,0)-1&amp;":AC"&amp;MATCH(BV29,'数出表_Excel（アレルギー入力）'!$A:$A,0)-1&amp;""),
 1,
MATCH(BR74,INDIRECT("'数出表_Excel（アレルギー入力）'!"&amp;BQ71&amp;BQ29-1&amp;":AC"&amp;BQ29-1&amp;""),0)+1),
 "")="",
IFERROR(
INDEX(INDIRECT("'数出表_Excel（アレルギー入力）'!B"&amp;MATCH(BV29,'数出表_Excel（アレルギー入力）'!$A:$A,0)-1&amp;":AC"&amp;MATCH(BV29,'数出表_Excel（アレルギー入力）'!$A:$A,0)-1&amp;""),
 1,
MATCH(TRUE,INDEX(INDIRECT("'数出表_Excel（アレルギー入力）'!B"&amp;BQ29-1&amp;":AC"&amp;BQ29-1&amp;"")&lt;&gt;"",0),0)+1),
 ""),
IFERROR(
INDEX(INDIRECT("'数出表_Excel（アレルギー入力）'!"&amp;BQ71&amp;MATCH(BV29,'数出表_Excel（アレルギー入力）'!$A:$A,0)-1&amp;":AC"&amp;MATCH(BV29,'数出表_Excel（アレルギー入力）'!$A:$A,0)-1&amp;""),
 1,
MATCH(BR74,INDIRECT("'数出表_Excel（アレルギー入力）'!"&amp;BQ71&amp;BQ29-1&amp;":AC"&amp;BQ29-1&amp;""),0)+1),
 "")),0),"")</f>
        <v/>
      </c>
      <c r="BV77" s="151"/>
      <c r="BX77" s="146">
        <v>7</v>
      </c>
      <c r="BY77" s="132" t="str">
        <f t="array" aca="1" ref="BY77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LEN(SUBSTITUTE(_xlfn.FORMULATEXT(BY$73),"=","")))+$BX77)</f>
        <v/>
      </c>
      <c r="BZ77" s="132" t="str">
        <f t="array" aca="1" ref="BZ77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LEN(SUBSTITUTE(_xlfn.FORMULATEXT(BZ$73),"=","")))+$BX77)</f>
        <v/>
      </c>
      <c r="CA77" s="132" t="str">
        <f t="array" aca="1" ref="CA77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LEN(SUBSTITUTE(_xlfn.FORMULATEXT(CA$73),"=","")))+$BX77)</f>
        <v/>
      </c>
      <c r="CB77" s="132" t="str">
        <f t="array" aca="1" ref="CB77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LEN(SUBSTITUTE(_xlfn.FORMULATEXT(CB$73),"=","")))+$BX77)</f>
        <v/>
      </c>
      <c r="CC77" s="132" t="str">
        <f t="array" aca="1" ref="CC77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LEN(SUBSTITUTE(_xlfn.FORMULATEXT(CC$73),"=","")))+$BX77)</f>
        <v/>
      </c>
      <c r="CD77" s="132" t="str">
        <f t="array" aca="1" ref="CD77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LEN(SUBSTITUTE(_xlfn.FORMULATEXT(CD$73),"=","")))+$BX77)</f>
        <v/>
      </c>
      <c r="CE77" s="132" t="str">
        <f t="array" aca="1" ref="CE77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LEN(SUBSTITUTE(_xlfn.FORMULATEXT(CE$73),"=","")))+$BX77)</f>
        <v/>
      </c>
      <c r="CF77" s="132" t="str">
        <f t="array" aca="1" ref="CF77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LEN(SUBSTITUTE(_xlfn.FORMULATEXT(CF$73),"=","")))+$BX77)</f>
        <v/>
      </c>
      <c r="CG77" s="132" t="str">
        <f t="array" aca="1" ref="CG77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LEN(SUBSTITUTE(_xlfn.FORMULATEXT(CG$73),"=","")))+$BX77)</f>
        <v/>
      </c>
      <c r="CH77" s="132" t="str">
        <f t="array" aca="1" ref="CH77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LEN(SUBSTITUTE(_xlfn.FORMULATEXT(CH$73),"=","")))+$BX77)</f>
        <v/>
      </c>
      <c r="CI77" s="132">
        <f t="shared" ca="1" si="5"/>
        <v>0</v>
      </c>
      <c r="CJ77" s="132" t="b">
        <f t="array" aca="1" ref="CJ77" ca="1">SUMPRODUCT((LEN(BY77:CH77)&gt;0)*1)&gt;0</f>
        <v>0</v>
      </c>
      <c r="CK77" s="132" t="str" cm="1">
        <f t="array" aca="1" ref="CK77" ca="1">IFERROR(SMALL(IF(CI$1:CI$150&lt;&gt;0,CI$1:CI$150),ROW(A77)),"")</f>
        <v/>
      </c>
      <c r="CL77" s="132" t="str">
        <f t="array" aca="1" ref="CL77" ca="1">IF($CK77&lt;&gt;"",
INDIRECT(""&amp;IF(COLUMN(BY77)&lt;=26,CHAR(COLUMN(BY77)+64),CHAR(INT((COLUMN(BY77)-1)/26)+64)&amp;CHAR(MOD(COLUMN(BY77)-1,26)+65))&amp;$CK77&amp;""),"")</f>
        <v/>
      </c>
      <c r="CM77" s="132" t="str">
        <f t="array" aca="1" ref="CM77" ca="1">IF($CK77&lt;&gt;"",
INDIRECT(""&amp;IF(COLUMN(BZ77)&lt;=26,CHAR(COLUMN(BZ77)+64),CHAR(INT((COLUMN(BZ77)-1)/26)+64)&amp;CHAR(MOD(COLUMN(BZ77)-1,26)+65))&amp;$CK77&amp;""),"")</f>
        <v/>
      </c>
      <c r="CN77" s="132" t="str">
        <f t="array" aca="1" ref="CN77" ca="1">IF($CK77&lt;&gt;"",
INDIRECT(""&amp;IF(COLUMN(CA77)&lt;=26,CHAR(COLUMN(CA77)+64),CHAR(INT((COLUMN(CA77)-1)/26)+64)&amp;CHAR(MOD(COLUMN(CA77)-1,26)+65))&amp;$CK77&amp;""),"")</f>
        <v/>
      </c>
      <c r="CO77" s="132" t="str">
        <f t="array" aca="1" ref="CO77" ca="1">IF($CK77&lt;&gt;"",
INDIRECT(""&amp;IF(COLUMN(CB77)&lt;=26,CHAR(COLUMN(CB77)+64),CHAR(INT((COLUMN(CB77)-1)/26)+64)&amp;CHAR(MOD(COLUMN(CB77)-1,26)+65))&amp;$CK77&amp;""),"")</f>
        <v/>
      </c>
      <c r="CP77" s="132" t="str">
        <f t="array" aca="1" ref="CP77" ca="1">IF($CK77&lt;&gt;"",
INDIRECT(""&amp;IF(COLUMN(CC77)&lt;=26,CHAR(COLUMN(CC77)+64),CHAR(INT((COLUMN(CC77)-1)/26)+64)&amp;CHAR(MOD(COLUMN(CC77)-1,26)+65))&amp;$CK77&amp;""),"")</f>
        <v/>
      </c>
      <c r="CQ77" s="132" t="str">
        <f t="array" aca="1" ref="CQ77" ca="1">IF($CK77&lt;&gt;"",
INDIRECT(""&amp;IF(COLUMN(CD77)&lt;=26,CHAR(COLUMN(CD77)+64),CHAR(INT((COLUMN(CD77)-1)/26)+64)&amp;CHAR(MOD(COLUMN(CD77)-1,26)+65))&amp;$CK77&amp;""),"")</f>
        <v/>
      </c>
      <c r="CR77" s="132" t="str">
        <f t="array" aca="1" ref="CR77" ca="1">IF($CK77&lt;&gt;"",
INDIRECT(""&amp;IF(COLUMN(CE77)&lt;=26,CHAR(COLUMN(CE77)+64),CHAR(INT((COLUMN(CE77)-1)/26)+64)&amp;CHAR(MOD(COLUMN(CE77)-1,26)+65))&amp;$CK77&amp;""),"")</f>
        <v/>
      </c>
      <c r="CS77" s="132" t="str">
        <f t="array" aca="1" ref="CS77" ca="1">IF($CK77&lt;&gt;"",
INDIRECT(""&amp;IF(COLUMN(CF77)&lt;=26,CHAR(COLUMN(CF77)+64),CHAR(INT((COLUMN(CF77)-1)/26)+64)&amp;CHAR(MOD(COLUMN(CF77)-1,26)+65))&amp;$CK77&amp;""),"")</f>
        <v/>
      </c>
      <c r="CT77" s="132" t="str">
        <f t="array" aca="1" ref="CT77" ca="1">IF($CK77&lt;&gt;"",
INDIRECT(""&amp;IF(COLUMN(CG77)&lt;=26,CHAR(COLUMN(CG77)+64),CHAR(INT((COLUMN(CG77)-1)/26)+64)&amp;CHAR(MOD(COLUMN(CG77)-1,26)+65))&amp;$CK77&amp;""),"")</f>
        <v/>
      </c>
      <c r="CU77" s="132" t="str">
        <f t="array" aca="1" ref="CU77" ca="1">IF($CK77&lt;&gt;"",
INDIRECT(""&amp;IF(COLUMN(CH77)&lt;=26,CHAR(COLUMN(CH77)+64),CHAR(INT((COLUMN(CH77)-1)/26)+64)&amp;CHAR(MOD(COLUMN(CH77)-1,26)+65))&amp;$CK77&amp;""),"")</f>
        <v/>
      </c>
    </row>
    <row r="78" spans="1:99" s="132" customFormat="1" ht="19.2" customHeight="1" x14ac:dyDescent="0.55000000000000004">
      <c r="A78" s="129"/>
      <c r="B78" s="130" t="str">
        <f t="array" aca="1" ref="B78" ca="1">IF(COUNTIF(G36,"*合計*"),"",
IFERROR(
SUBSTITUTE(ADDRESS(1,
COLUMN(INDIRECT("数出表_Excel!B" &amp; (MATCH(G36,数出表_Excel!$A:$A,0)-1))) - 1 +
MATCH(TRUE, ISNUMBER(--INDIRECT("数出表_Excel!B" &amp; (MATCH(G36,数出表_Excel!$A:$A,0)-1) &amp; ":U" &amp; (MATCH(G36,数出表_Excel!$A:$A,0)-1))), 0)+1,4),"1",""),
""))</f>
        <v/>
      </c>
      <c r="C78" s="117" t="str">
        <f ca="1">IF(C81&lt;&gt;"",C36,"")</f>
        <v/>
      </c>
      <c r="D78" s="131"/>
      <c r="E78" s="131"/>
      <c r="F78" s="131"/>
      <c r="G78" s="157"/>
      <c r="H78" s="129"/>
      <c r="I78" s="130" t="str">
        <f t="array" aca="1" ref="I78" ca="1">IF(COUNTIF(N36,"*合計*"),"",
IFERROR(
SUBSTITUTE(ADDRESS(1,
COLUMN(INDIRECT("数出表_Excel!B" &amp; (MATCH(N36,数出表_Excel!$A:$A,0)-1))) - 1 +
MATCH(TRUE, ISNUMBER(--INDIRECT("数出表_Excel!B" &amp; (MATCH(N36,数出表_Excel!$A:$A,0)-1) &amp; ":U" &amp; (MATCH(N36,数出表_Excel!$A:$A,0)-1))), 0)+1,4),"1",""),
""))</f>
        <v/>
      </c>
      <c r="J78" s="117" t="str">
        <f ca="1">IF(J81&lt;&gt;"",J36,"")</f>
        <v/>
      </c>
      <c r="K78" s="131"/>
      <c r="L78" s="131"/>
      <c r="M78" s="131"/>
      <c r="N78" s="152"/>
      <c r="O78" s="129"/>
      <c r="P78" s="129"/>
      <c r="Q78" s="130" t="str">
        <f t="array" aca="1" ref="Q78" ca="1">IF(COUNTIF(V36,"*合計*"),"",
IFERROR(
SUBSTITUTE(ADDRESS(1,
COLUMN(INDIRECT("数出表_Excel!B" &amp; (MATCH(V36,数出表_Excel!$A:$A,0)-1))) - 1 +
MATCH(TRUE, ISNUMBER(--INDIRECT("数出表_Excel!B" &amp; (MATCH(V36,数出表_Excel!$A:$A,0)-1) &amp; ":U" &amp; (MATCH(V36,数出表_Excel!$A:$A,0)-1))), 0)+1,4),"1",""),
""))</f>
        <v/>
      </c>
      <c r="R78" s="117" t="str">
        <f ca="1">IF(R81&lt;&gt;"",R36,"")</f>
        <v/>
      </c>
      <c r="S78" s="131"/>
      <c r="T78" s="131"/>
      <c r="U78" s="131"/>
      <c r="V78" s="152"/>
      <c r="W78" s="129"/>
      <c r="X78" s="130" t="str">
        <f t="array" aca="1" ref="X78" ca="1">IF(COUNTIF(AC36,"*合計*"),"",
IFERROR(
SUBSTITUTE(ADDRESS(1,
COLUMN(INDIRECT("数出表_Excel!B" &amp; (MATCH(AC36,数出表_Excel!$A:$A,0)-1))) - 1 +
MATCH(TRUE, ISNUMBER(--INDIRECT("数出表_Excel!B" &amp; (MATCH(AC36,数出表_Excel!$A:$A,0)-1) &amp; ":U" &amp; (MATCH(AC36,数出表_Excel!$A:$A,0)-1))), 0)+1,4),"1",""),
""))</f>
        <v/>
      </c>
      <c r="Y78" s="117" t="str">
        <f ca="1">IF(Y81&lt;&gt;"",Y36,"")</f>
        <v/>
      </c>
      <c r="Z78" s="131"/>
      <c r="AA78" s="131"/>
      <c r="AB78" s="131"/>
      <c r="AC78" s="152"/>
      <c r="AD78" s="129"/>
      <c r="AE78" s="129"/>
      <c r="AF78" s="130" t="str">
        <f t="array" aca="1" ref="AF78" ca="1">IF(COUNTIF(AK36,"*合計*"),"",
IFERROR(
SUBSTITUTE(ADDRESS(1,
COLUMN(INDIRECT("数出表_Excel!B" &amp; (MATCH(AK36,数出表_Excel!$A:$A,0)-1))) - 1 +
MATCH(TRUE, ISNUMBER(--INDIRECT("数出表_Excel!B" &amp; (MATCH(AK36,数出表_Excel!$A:$A,0)-1) &amp; ":U" &amp; (MATCH(AK36,数出表_Excel!$A:$A,0)-1))), 0)+1,4),"1",""),
""))</f>
        <v/>
      </c>
      <c r="AG78" s="117" t="str">
        <f ca="1">IF(AG81&lt;&gt;"",AG36,"")</f>
        <v/>
      </c>
      <c r="AH78" s="131"/>
      <c r="AI78" s="131"/>
      <c r="AJ78" s="131"/>
      <c r="AK78" s="152"/>
      <c r="AL78" s="129"/>
      <c r="AM78" s="130" t="str">
        <f t="array" aca="1" ref="AM78" ca="1">IF(COUNTIF(AR36,"*合計*"),"",
IFERROR(
SUBSTITUTE(ADDRESS(1,
COLUMN(INDIRECT("数出表_Excel!B" &amp; (MATCH(AR36,数出表_Excel!$A:$A,0)-1))) - 1 +
MATCH(TRUE, ISNUMBER(--INDIRECT("数出表_Excel!B" &amp; (MATCH(AR36,数出表_Excel!$A:$A,0)-1) &amp; ":U" &amp; (MATCH(AR36,数出表_Excel!$A:$A,0)-1))), 0)+1,4),"1",""),
""))</f>
        <v/>
      </c>
      <c r="AN78" s="117" t="str">
        <f ca="1">IF(AN81&lt;&gt;"",AN36,"")</f>
        <v/>
      </c>
      <c r="AO78" s="131"/>
      <c r="AP78" s="131"/>
      <c r="AQ78" s="131"/>
      <c r="AR78" s="152"/>
      <c r="AS78" s="129"/>
      <c r="AT78" s="129"/>
      <c r="AU78" s="130" t="str">
        <f t="array" aca="1" ref="AU78" ca="1">IF(COUNTIF(AZ36,"*合計*"),"",
IFERROR(
SUBSTITUTE(ADDRESS(1,
COLUMN(INDIRECT("数出表_Excel!B" &amp; (MATCH(AZ36,数出表_Excel!$A:$A,0)-1))) - 1 +
MATCH(TRUE, ISNUMBER(--INDIRECT("数出表_Excel!B" &amp; (MATCH(AZ36,数出表_Excel!$A:$A,0)-1) &amp; ":U" &amp; (MATCH(AZ36,数出表_Excel!$A:$A,0)-1))), 0)+1,4),"1",""),
""))</f>
        <v/>
      </c>
      <c r="AV78" s="117" t="str">
        <f ca="1">IF(AV81&lt;&gt;"",AV36,"")</f>
        <v/>
      </c>
      <c r="AW78" s="131"/>
      <c r="AX78" s="131"/>
      <c r="AY78" s="131"/>
      <c r="AZ78" s="152"/>
      <c r="BA78" s="129"/>
      <c r="BB78" s="130" t="str">
        <f t="array" aca="1" ref="BB78" ca="1">IF(COUNTIF(BG36,"*合計*"),"",
IFERROR(
SUBSTITUTE(ADDRESS(1,
COLUMN(INDIRECT("数出表_Excel!B" &amp; (MATCH(BG36,数出表_Excel!$A:$A,0)-1))) - 1 +
MATCH(TRUE, ISNUMBER(--INDIRECT("数出表_Excel!B" &amp; (MATCH(BG36,数出表_Excel!$A:$A,0)-1) &amp; ":U" &amp; (MATCH(BG36,数出表_Excel!$A:$A,0)-1))), 0)+1,4),"1",""),
""))</f>
        <v/>
      </c>
      <c r="BC78" s="117" t="str">
        <f ca="1">IF(BC81&lt;&gt;"",BC36,"")</f>
        <v/>
      </c>
      <c r="BD78" s="131"/>
      <c r="BE78" s="131"/>
      <c r="BF78" s="131"/>
      <c r="BG78" s="152"/>
      <c r="BH78" s="129"/>
      <c r="BI78" s="129"/>
      <c r="BJ78" s="130" t="str">
        <f t="array" aca="1" ref="BJ78" ca="1">IF(COUNTIF(BO36,"*合計*"),"",
IFERROR(
SUBSTITUTE(ADDRESS(1,
COLUMN(INDIRECT("数出表_Excel!B" &amp; (MATCH(BO36,数出表_Excel!$A:$A,0)-1))) - 1 +
MATCH(TRUE, ISNUMBER(--INDIRECT("数出表_Excel!B" &amp; (MATCH(BO36,数出表_Excel!$A:$A,0)-1) &amp; ":U" &amp; (MATCH(BO36,数出表_Excel!$A:$A,0)-1))), 0)+1,4),"1",""),
""))</f>
        <v/>
      </c>
      <c r="BK78" s="117" t="str">
        <f ca="1">IF(BK81&lt;&gt;"",BK36,"")</f>
        <v/>
      </c>
      <c r="BL78" s="131"/>
      <c r="BM78" s="131"/>
      <c r="BN78" s="131"/>
      <c r="BO78" s="152"/>
      <c r="BP78" s="129"/>
      <c r="BQ78" s="130" t="str">
        <f t="array" aca="1" ref="BQ78" ca="1">IF(COUNTIF(BV36,"*合計*"),"",
IFERROR(
SUBSTITUTE(ADDRESS(1,
COLUMN(INDIRECT("数出表_Excel!B" &amp; (MATCH(BV36,数出表_Excel!$A:$A,0)-1))) - 1 +
MATCH(TRUE, ISNUMBER(--INDIRECT("数出表_Excel!B" &amp; (MATCH(BV36,数出表_Excel!$A:$A,0)-1) &amp; ":U" &amp; (MATCH(BV36,数出表_Excel!$A:$A,0)-1))), 0)+1,4),"1",""),
""))</f>
        <v/>
      </c>
      <c r="BR78" s="117" t="str">
        <f ca="1">IF(BR81&lt;&gt;"",BR36,"")</f>
        <v/>
      </c>
      <c r="BS78" s="131"/>
      <c r="BT78" s="131"/>
      <c r="BU78" s="131"/>
      <c r="BV78" s="152"/>
      <c r="BW78" s="129"/>
      <c r="BX78" s="132">
        <f>BX74+7</f>
        <v>49</v>
      </c>
      <c r="BY78" s="132" t="str">
        <f t="array" aca="1" ref="BY78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LEN(SUBSTITUTE(_xlfn.FORMULATEXT(BY$73),"=","")))+$BX78)</f>
        <v/>
      </c>
      <c r="BZ78" s="132" t="str">
        <f t="array" aca="1" ref="BZ78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LEN(SUBSTITUTE(_xlfn.FORMULATEXT(BZ$73),"=","")))+$BX78)</f>
        <v/>
      </c>
      <c r="CA78" s="132" t="str">
        <f t="array" aca="1" ref="CA78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LEN(SUBSTITUTE(_xlfn.FORMULATEXT(CA$73),"=","")))+$BX78)</f>
        <v/>
      </c>
      <c r="CB78" s="132" t="str">
        <f t="array" aca="1" ref="CB78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LEN(SUBSTITUTE(_xlfn.FORMULATEXT(CB$73),"=","")))+$BX78)</f>
        <v/>
      </c>
      <c r="CC78" s="132" t="str">
        <f t="array" aca="1" ref="CC78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LEN(SUBSTITUTE(_xlfn.FORMULATEXT(CC$73),"=","")))+$BX78)</f>
        <v/>
      </c>
      <c r="CD78" s="132" t="str">
        <f t="array" aca="1" ref="CD78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LEN(SUBSTITUTE(_xlfn.FORMULATEXT(CD$73),"=","")))+$BX78)</f>
        <v/>
      </c>
      <c r="CE78" s="132" t="str">
        <f t="array" aca="1" ref="CE78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LEN(SUBSTITUTE(_xlfn.FORMULATEXT(CE$73),"=","")))+$BX78)</f>
        <v/>
      </c>
      <c r="CF78" s="132" t="str">
        <f t="array" aca="1" ref="CF78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LEN(SUBSTITUTE(_xlfn.FORMULATEXT(CF$73),"=","")))+$BX78)</f>
        <v/>
      </c>
      <c r="CG78" s="132" t="str">
        <f t="array" aca="1" ref="CG78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LEN(SUBSTITUTE(_xlfn.FORMULATEXT(CG$73),"=","")))+$BX78)</f>
        <v/>
      </c>
      <c r="CH78" s="132" t="str">
        <f t="array" aca="1" ref="CH78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LEN(SUBSTITUTE(_xlfn.FORMULATEXT(CH$73),"=","")))+$BX78)</f>
        <v/>
      </c>
      <c r="CI78" s="132">
        <f t="shared" ca="1" si="5"/>
        <v>0</v>
      </c>
      <c r="CJ78" s="132" t="b">
        <f t="array" aca="1" ref="CJ78" ca="1">SUMPRODUCT((LEN(BY78:CH78)&gt;0)*1)&gt;0</f>
        <v>0</v>
      </c>
      <c r="CK78" s="132" t="str" cm="1">
        <f t="array" aca="1" ref="CK78" ca="1">IFERROR(SMALL(IF(CI$1:CI$150&lt;&gt;0,CI$1:CI$150),ROW(A78)),"")</f>
        <v/>
      </c>
      <c r="CL78" s="132" t="str">
        <f t="array" aca="1" ref="CL78" ca="1">IF($CK78&lt;&gt;"",
INDIRECT(""&amp;IF(COLUMN(BY78)&lt;=26,CHAR(COLUMN(BY78)+64),CHAR(INT((COLUMN(BY78)-1)/26)+64)&amp;CHAR(MOD(COLUMN(BY78)-1,26)+65))&amp;$CK78&amp;""),"")</f>
        <v/>
      </c>
      <c r="CM78" s="132" t="str">
        <f t="array" aca="1" ref="CM78" ca="1">IF($CK78&lt;&gt;"",
INDIRECT(""&amp;IF(COLUMN(BZ78)&lt;=26,CHAR(COLUMN(BZ78)+64),CHAR(INT((COLUMN(BZ78)-1)/26)+64)&amp;CHAR(MOD(COLUMN(BZ78)-1,26)+65))&amp;$CK78&amp;""),"")</f>
        <v/>
      </c>
      <c r="CN78" s="132" t="str">
        <f t="array" aca="1" ref="CN78" ca="1">IF($CK78&lt;&gt;"",
INDIRECT(""&amp;IF(COLUMN(CA78)&lt;=26,CHAR(COLUMN(CA78)+64),CHAR(INT((COLUMN(CA78)-1)/26)+64)&amp;CHAR(MOD(COLUMN(CA78)-1,26)+65))&amp;$CK78&amp;""),"")</f>
        <v/>
      </c>
      <c r="CO78" s="132" t="str">
        <f t="array" aca="1" ref="CO78" ca="1">IF($CK78&lt;&gt;"",
INDIRECT(""&amp;IF(COLUMN(CB78)&lt;=26,CHAR(COLUMN(CB78)+64),CHAR(INT((COLUMN(CB78)-1)/26)+64)&amp;CHAR(MOD(COLUMN(CB78)-1,26)+65))&amp;$CK78&amp;""),"")</f>
        <v/>
      </c>
      <c r="CP78" s="132" t="str">
        <f t="array" aca="1" ref="CP78" ca="1">IF($CK78&lt;&gt;"",
INDIRECT(""&amp;IF(COLUMN(CC78)&lt;=26,CHAR(COLUMN(CC78)+64),CHAR(INT((COLUMN(CC78)-1)/26)+64)&amp;CHAR(MOD(COLUMN(CC78)-1,26)+65))&amp;$CK78&amp;""),"")</f>
        <v/>
      </c>
      <c r="CQ78" s="132" t="str">
        <f t="array" aca="1" ref="CQ78" ca="1">IF($CK78&lt;&gt;"",
INDIRECT(""&amp;IF(COLUMN(CD78)&lt;=26,CHAR(COLUMN(CD78)+64),CHAR(INT((COLUMN(CD78)-1)/26)+64)&amp;CHAR(MOD(COLUMN(CD78)-1,26)+65))&amp;$CK78&amp;""),"")</f>
        <v/>
      </c>
      <c r="CR78" s="132" t="str">
        <f t="array" aca="1" ref="CR78" ca="1">IF($CK78&lt;&gt;"",
INDIRECT(""&amp;IF(COLUMN(CE78)&lt;=26,CHAR(COLUMN(CE78)+64),CHAR(INT((COLUMN(CE78)-1)/26)+64)&amp;CHAR(MOD(COLUMN(CE78)-1,26)+65))&amp;$CK78&amp;""),"")</f>
        <v/>
      </c>
      <c r="CS78" s="132" t="str">
        <f t="array" aca="1" ref="CS78" ca="1">IF($CK78&lt;&gt;"",
INDIRECT(""&amp;IF(COLUMN(CF78)&lt;=26,CHAR(COLUMN(CF78)+64),CHAR(INT((COLUMN(CF78)-1)/26)+64)&amp;CHAR(MOD(COLUMN(CF78)-1,26)+65))&amp;$CK78&amp;""),"")</f>
        <v/>
      </c>
      <c r="CT78" s="132" t="str">
        <f t="array" aca="1" ref="CT78" ca="1">IF($CK78&lt;&gt;"",
INDIRECT(""&amp;IF(COLUMN(CG78)&lt;=26,CHAR(COLUMN(CG78)+64),CHAR(INT((COLUMN(CG78)-1)/26)+64)&amp;CHAR(MOD(COLUMN(CG78)-1,26)+65))&amp;$CK78&amp;""),"")</f>
        <v/>
      </c>
      <c r="CU78" s="132" t="str">
        <f t="array" aca="1" ref="CU78" ca="1">IF($CK78&lt;&gt;"",
INDIRECT(""&amp;IF(COLUMN(CH78)&lt;=26,CHAR(COLUMN(CH78)+64),CHAR(INT((COLUMN(CH78)-1)/26)+64)&amp;CHAR(MOD(COLUMN(CH78)-1,26)+65))&amp;$CK78&amp;""),"")</f>
        <v/>
      </c>
    </row>
    <row r="79" spans="1:99" s="132" customFormat="1" ht="19.2" customHeight="1" x14ac:dyDescent="0.55000000000000004">
      <c r="A79" s="129"/>
      <c r="B79" s="135" t="e">
        <f t="array" aca="1" ref="B79" ca="1">IF(B38&lt;&gt;100,
IF(C81&lt;&gt;"",MATCH(C81,INDIRECT("数出表_Excel!B"&amp;MATCH(G36,数出表_Excel!$A:$A,0)-1&amp;":U"&amp;MATCH(G36,数出表_Excel!$A:$A,0)-1&amp;""),0)+1,""),
IF(C81&lt;&gt;"",
MATCH(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INDIRECT("数出表_Excel!B"&amp;MATCH(G36,数出表_Excel!$A:$A,0)-1&amp;":U"&amp;MATCH(G36,数出表_Excel!$A:$A,0)-1&amp;""),0)+1,""))</f>
        <v>#VALUE!</v>
      </c>
      <c r="C79" s="70" t="str">
        <f t="array" aca="1" ref="C79" ca="1">IFERROR(IF(OR(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"3"),"*配膳*"),
COUNTIF(INDIRECT("数出表_Excel!"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"3"),"*カレー*"),
COUNTIF(C36,"*合計*")),"",
IF(IFERROR(INDIRECT("数出表_Excel!"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"3"),0)=0,"",
IFERROR(INDIRECT("数出表_Excel!" &amp;
CHAR(MATCH(TRUE,
ISNUMBER(--INDIRECT("数出表_Excel!"&amp;B78&amp;MATCH(G36,数出表_Excel!$A:$A,0)-1&amp;":U"&amp;MATCH(G36,数出表_Excel!$A:$A,0)-1&amp;"")),0)
+MATCH(TRUE, ISNUMBER(--INDIRECT("数出表_Excel!B" &amp; (MATCH(G36,数出表_Excel!$A:$A,0)-1) &amp; ":U" &amp; (MATCH(G36,数出表_Excel!$A:$A,0)-1))), 0)
+65) &amp; "3"),""))),"")</f>
        <v/>
      </c>
      <c r="D79" s="129"/>
      <c r="E79" s="136" t="str">
        <f ca="1">IF(F79&lt;&gt;"","",
IF(C78&lt;&gt;"",
IFERROR(
INDEX('数出表_Excel（アレルギー入力）'!$4:$4,
 1,
MATCH(C81,INDIRECT("'数出表_Excel（アレルギー入力）'!"&amp;B36-1&amp;":"&amp;B36-1&amp;""),0)),
 "")
&amp;IFERROR(
INDEX('数出表_Excel（アレルギー入力）'!$5:$5,
 1,
MATCH(C81,INDIRECT("'数出表_Excel（アレルギー入力）'!"&amp;B36-1&amp;":"&amp;B36-1&amp;""),0)),
 ""),""))</f>
        <v/>
      </c>
      <c r="F79" s="137" t="str">
        <f t="array" aca="1" ref="F79" ca="1">IF(C79&lt;&gt;"",
IF(MATCH(TRUE,
ISNUMBER(--INDIRECT("数出表_Excel!B"&amp;MATCH(G36,数出表_Excel!$A:$A,0)-1&amp;":U"&amp;MATCH(G36,数出表_Excel!$A:$A,0)-1&amp;"")),0)&gt;10,
IF(C79&lt;&gt;"",
IF(IF(COUNTIF('盛付札（関数）'!C79,"*キャラ*"),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VLOOKUP('盛付札（関数）'!C79,商品マスタ一覧!$D:$J,7,FALSE)))=0,"",
IF(ROUND(
IF(F84&lt;&gt;"",(C81-F84),C81)
/IF(COUNTIF('盛付札（関数）'!C79,"*キャラ*"),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VLOOKUP('盛付札（関数）'!C79,商品マスタ一覧!$D:$J,7,FALSE))),0)&lt;=0,1,
ROUND(
IF(F84&lt;&gt;"",(C81-F84),C81)
/IF(COUNTIF('盛付札（関数）'!C79,"*キャラ*"),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VLOOKUP('盛付札（関数）'!C79,商品マスタ一覧!$D:$J,7,FALSE))),0))),""),""),"")</f>
        <v/>
      </c>
      <c r="G79" s="158" t="str">
        <f ca="1">IF(F79&lt;&gt;"",IF(C81&lt;&gt;"",IF(VALUE(IF(F84&lt;&gt;"",C81-F84,C81))&gt;VALUE(IF(COUNTIF('盛付札（関数）'!C79,"*キャラ*"),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
"+"&amp;IF(F84&lt;&gt;"",C81-F84,C81)-IF(COUNTIF('盛付札（関数）'!C79,"*キャラ*"),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VLOOKUP('盛付札（関数）'!C79,商品マスタ一覧!$D:$J,7,FALSE)))*F79,
IF(F84&lt;&gt;"",C81-F84,C81)-IF(COUNTIF('盛付札（関数）'!C79,"*キャラ*"),
VLOOKUP("*キャラ*",商品マスタ一覧!$D:$J,7,FALSE),
IF(COUNTIF('盛付札（関数）'!C79,"*赤*"),
VLOOKUP("*赤*",商品マスタ一覧!$D:$J,7,FALSE),
VLOOKUP('盛付札（関数）'!C79,商品マスタ一覧!$D:$J,7,FALSE)))*F79),""),"")</f>
        <v/>
      </c>
      <c r="H79" s="129"/>
      <c r="I79" s="135" t="e">
        <f t="array" aca="1" ref="I79" ca="1">IF(I38&lt;&gt;100,
IF(J81&lt;&gt;"",MATCH(J81,INDIRECT("数出表_Excel!B"&amp;MATCH(N36,数出表_Excel!$A:$A,0)-1&amp;":U"&amp;MATCH(N36,数出表_Excel!$A:$A,0)-1&amp;""),0)+1,""),
IF(J81&lt;&gt;"",
MATCH(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INDIRECT("数出表_Excel!B"&amp;MATCH(N36,数出表_Excel!$A:$A,0)-1&amp;":U"&amp;MATCH(N36,数出表_Excel!$A:$A,0)-1&amp;""),0)+1,""))</f>
        <v>#VALUE!</v>
      </c>
      <c r="J79" s="70" t="str">
        <f t="array" aca="1" ref="J79" ca="1">IFERROR(IF(OR(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"3"),"*配膳*"),
COUNTIF(INDIRECT("数出表_Excel!"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"3"),"*カレー*"),
COUNTIF(J36,"*合計*")),"",
IF(IFERROR(INDIRECT("数出表_Excel!"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"3"),0)=0,"",
IFERROR(INDIRECT("数出表_Excel!" &amp;
CHAR(MATCH(TRUE,
ISNUMBER(--INDIRECT("数出表_Excel!"&amp;I78&amp;MATCH(N36,数出表_Excel!$A:$A,0)-1&amp;":U"&amp;MATCH(N36,数出表_Excel!$A:$A,0)-1&amp;"")),0)
+MATCH(TRUE, ISNUMBER(--INDIRECT("数出表_Excel!B" &amp; (MATCH(N36,数出表_Excel!$A:$A,0)-1) &amp; ":U" &amp; (MATCH(N36,数出表_Excel!$A:$A,0)-1))), 0)
+65) &amp; "3"),""))),"")</f>
        <v/>
      </c>
      <c r="K79" s="129"/>
      <c r="L79" s="136" t="str">
        <f ca="1">IF(M79&lt;&gt;"","",
IF(J78&lt;&gt;"",
IFERROR(
INDEX('数出表_Excel（アレルギー入力）'!$4:$4,
 1,
MATCH(J81,INDIRECT("'数出表_Excel（アレルギー入力）'!"&amp;I36-1&amp;":"&amp;I36-1&amp;""),0)),
 "")
&amp;IFERROR(
INDEX('数出表_Excel（アレルギー入力）'!$5:$5,
 1,
MATCH(J81,INDIRECT("'数出表_Excel（アレルギー入力）'!"&amp;I36-1&amp;":"&amp;I36-1&amp;""),0)),
 ""),""))</f>
        <v/>
      </c>
      <c r="M79" s="137" t="str">
        <f t="array" aca="1" ref="M79" ca="1">IF(J79&lt;&gt;"",
IF(MATCH(TRUE,
ISNUMBER(--INDIRECT("数出表_Excel!B"&amp;MATCH(N36,数出表_Excel!$A:$A,0)-1&amp;":U"&amp;MATCH(N36,数出表_Excel!$A:$A,0)-1&amp;"")),0)&gt;10,
IF(J79&lt;&gt;"",
IF(IF(COUNTIF('盛付札（関数）'!J79,"*キャラ*"),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VLOOKUP('盛付札（関数）'!J79,商品マスタ一覧!$D:$J,7,FALSE)))=0,"",
IF(ROUND(
IF(M84&lt;&gt;"",(J81-M84),J81)
/IF(COUNTIF('盛付札（関数）'!J79,"*キャラ*"),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VLOOKUP('盛付札（関数）'!J79,商品マスタ一覧!$D:$J,7,FALSE))),0)&lt;=0,1,
ROUND(
IF(M84&lt;&gt;"",(J81-M84),J81)
/IF(COUNTIF('盛付札（関数）'!J79,"*キャラ*"),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VLOOKUP('盛付札（関数）'!J79,商品マスタ一覧!$D:$J,7,FALSE))),0))),""),""),"")</f>
        <v/>
      </c>
      <c r="N79" s="153" t="str">
        <f ca="1">IF(M79&lt;&gt;"",IF(J81&lt;&gt;"",IF(VALUE(IF(M84&lt;&gt;"",J81-M84,J81))&gt;VALUE(IF(COUNTIF('盛付札（関数）'!J79,"*キャラ*"),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
"+"&amp;IF(M84&lt;&gt;"",J81-M84,J81)-IF(COUNTIF('盛付札（関数）'!J79,"*キャラ*"),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VLOOKUP('盛付札（関数）'!J79,商品マスタ一覧!$D:$J,7,FALSE)))*M79,
IF(M84&lt;&gt;"",J81-M84,J81)-IF(COUNTIF('盛付札（関数）'!J79,"*キャラ*"),
VLOOKUP("*キャラ*",商品マスタ一覧!$D:$J,7,FALSE),
IF(COUNTIF('盛付札（関数）'!J79,"*赤*"),
VLOOKUP("*赤*",商品マスタ一覧!$D:$J,7,FALSE),
VLOOKUP('盛付札（関数）'!J79,商品マスタ一覧!$D:$J,7,FALSE)))*M79),""),"")</f>
        <v/>
      </c>
      <c r="O79" s="129"/>
      <c r="P79" s="129"/>
      <c r="Q79" s="135" t="e">
        <f t="array" aca="1" ref="Q79" ca="1">IF(Q38&lt;&gt;100,
IF(R81&lt;&gt;"",MATCH(R81,INDIRECT("数出表_Excel!B"&amp;MATCH(V36,数出表_Excel!$A:$A,0)-1&amp;":U"&amp;MATCH(V36,数出表_Excel!$A:$A,0)-1&amp;""),0)+1,""),
IF(R81&lt;&gt;"",
MATCH(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INDIRECT("数出表_Excel!B"&amp;MATCH(V36,数出表_Excel!$A:$A,0)-1&amp;":U"&amp;MATCH(V36,数出表_Excel!$A:$A,0)-1&amp;""),0)+1,""))</f>
        <v>#VALUE!</v>
      </c>
      <c r="R79" s="70" t="str">
        <f t="array" aca="1" ref="R79" ca="1">IFERROR(IF(OR(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"3"),"*配膳*"),
COUNTIF(INDIRECT("数出表_Excel!"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"3"),"*カレー*"),
COUNTIF(R36,"*合計*")),"",
IF(IFERROR(INDIRECT("数出表_Excel!"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"3"),0)=0,"",
IFERROR(INDIRECT("数出表_Excel!" &amp;
CHAR(MATCH(TRUE,
ISNUMBER(--INDIRECT("数出表_Excel!"&amp;Q78&amp;MATCH(V36,数出表_Excel!$A:$A,0)-1&amp;":U"&amp;MATCH(V36,数出表_Excel!$A:$A,0)-1&amp;"")),0)
+MATCH(TRUE, ISNUMBER(--INDIRECT("数出表_Excel!B" &amp; (MATCH(V36,数出表_Excel!$A:$A,0)-1) &amp; ":U" &amp; (MATCH(V36,数出表_Excel!$A:$A,0)-1))), 0)
+65) &amp; "3"),""))),"")</f>
        <v/>
      </c>
      <c r="S79" s="129"/>
      <c r="T79" s="136" t="str">
        <f ca="1">IF(U79&lt;&gt;"","",
IF(R78&lt;&gt;"",
IFERROR(
INDEX('数出表_Excel（アレルギー入力）'!$4:$4,
 1,
MATCH(R81,INDIRECT("'数出表_Excel（アレルギー入力）'!"&amp;Q36-1&amp;":"&amp;Q36-1&amp;""),0)),
 "")
&amp;IFERROR(
INDEX('数出表_Excel（アレルギー入力）'!$5:$5,
 1,
MATCH(R81,INDIRECT("'数出表_Excel（アレルギー入力）'!"&amp;Q36-1&amp;":"&amp;Q36-1&amp;""),0)),
 ""),""))</f>
        <v/>
      </c>
      <c r="U79" s="137" t="str">
        <f t="array" aca="1" ref="U79" ca="1">IF(R79&lt;&gt;"",
IF(MATCH(TRUE,
ISNUMBER(--INDIRECT("数出表_Excel!B"&amp;MATCH(V36,数出表_Excel!$A:$A,0)-1&amp;":U"&amp;MATCH(V36,数出表_Excel!$A:$A,0)-1&amp;"")),0)&gt;10,
IF(R79&lt;&gt;"",
IF(IF(COUNTIF('盛付札（関数）'!R79,"*キャラ*"),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VLOOKUP('盛付札（関数）'!R79,商品マスタ一覧!$D:$J,7,FALSE)))=0,"",
IF(ROUND(
IF(U84&lt;&gt;"",(R81-U84),R81)
/IF(COUNTIF('盛付札（関数）'!R79,"*キャラ*"),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VLOOKUP('盛付札（関数）'!R79,商品マスタ一覧!$D:$J,7,FALSE))),0)&lt;=0,1,
ROUND(
IF(U84&lt;&gt;"",(R81-U84),R81)
/IF(COUNTIF('盛付札（関数）'!R79,"*キャラ*"),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VLOOKUP('盛付札（関数）'!R79,商品マスタ一覧!$D:$J,7,FALSE))),0))),""),""),"")</f>
        <v/>
      </c>
      <c r="V79" s="153" t="str">
        <f ca="1">IF(U79&lt;&gt;"",IF(R81&lt;&gt;"",IF(VALUE(IF(U84&lt;&gt;"",R81-U84,R81))&gt;VALUE(IF(COUNTIF('盛付札（関数）'!R79,"*キャラ*"),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
"+"&amp;IF(U84&lt;&gt;"",R81-U84,R81)-IF(COUNTIF('盛付札（関数）'!R79,"*キャラ*"),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VLOOKUP('盛付札（関数）'!R79,商品マスタ一覧!$D:$J,7,FALSE)))*U79,
IF(U84&lt;&gt;"",R81-U84,R81)-IF(COUNTIF('盛付札（関数）'!R79,"*キャラ*"),
VLOOKUP("*キャラ*",商品マスタ一覧!$D:$J,7,FALSE),
IF(COUNTIF('盛付札（関数）'!R79,"*赤*"),
VLOOKUP("*赤*",商品マスタ一覧!$D:$J,7,FALSE),
VLOOKUP('盛付札（関数）'!R79,商品マスタ一覧!$D:$J,7,FALSE)))*U79),""),"")</f>
        <v/>
      </c>
      <c r="W79" s="129"/>
      <c r="X79" s="135" t="e">
        <f t="array" aca="1" ref="X79" ca="1">IF(X38&lt;&gt;100,
IF(Y81&lt;&gt;"",MATCH(Y81,INDIRECT("数出表_Excel!B"&amp;MATCH(AC36,数出表_Excel!$A:$A,0)-1&amp;":U"&amp;MATCH(AC36,数出表_Excel!$A:$A,0)-1&amp;""),0)+1,""),
IF(Y81&lt;&gt;"",
MATCH(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INDIRECT("数出表_Excel!B"&amp;MATCH(AC36,数出表_Excel!$A:$A,0)-1&amp;":U"&amp;MATCH(AC36,数出表_Excel!$A:$A,0)-1&amp;""),0)+1,""))</f>
        <v>#VALUE!</v>
      </c>
      <c r="Y79" s="70" t="str">
        <f t="array" aca="1" ref="Y79" ca="1">IFERROR(IF(OR(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"3"),"*配膳*"),
COUNTIF(INDIRECT("数出表_Excel!"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"3"),"*カレー*"),
COUNTIF(Y36,"*合計*")),"",
IF(IFERROR(INDIRECT("数出表_Excel!"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"3"),0)=0,"",
IFERROR(INDIRECT("数出表_Excel!" &amp;
CHAR(MATCH(TRUE,
ISNUMBER(--INDIRECT("数出表_Excel!"&amp;X78&amp;MATCH(AC36,数出表_Excel!$A:$A,0)-1&amp;":U"&amp;MATCH(AC36,数出表_Excel!$A:$A,0)-1&amp;"")),0)
+MATCH(TRUE, ISNUMBER(--INDIRECT("数出表_Excel!B" &amp; (MATCH(AC36,数出表_Excel!$A:$A,0)-1) &amp; ":U" &amp; (MATCH(AC36,数出表_Excel!$A:$A,0)-1))), 0)
+65) &amp; "3"),""))),"")</f>
        <v/>
      </c>
      <c r="Z79" s="129"/>
      <c r="AA79" s="136" t="str">
        <f ca="1">IF(AB79&lt;&gt;"","",
IF(Y78&lt;&gt;"",
IFERROR(
INDEX('数出表_Excel（アレルギー入力）'!$4:$4,
 1,
MATCH(Y81,INDIRECT("'数出表_Excel（アレルギー入力）'!"&amp;X36-1&amp;":"&amp;X36-1&amp;""),0)),
 "")
&amp;IFERROR(
INDEX('数出表_Excel（アレルギー入力）'!$5:$5,
 1,
MATCH(Y81,INDIRECT("'数出表_Excel（アレルギー入力）'!"&amp;X36-1&amp;":"&amp;X36-1&amp;""),0)),
 ""),""))</f>
        <v/>
      </c>
      <c r="AB79" s="137" t="str">
        <f t="array" aca="1" ref="AB79" ca="1">IF(Y79&lt;&gt;"",
IF(MATCH(TRUE,
ISNUMBER(--INDIRECT("数出表_Excel!B"&amp;MATCH(AC36,数出表_Excel!$A:$A,0)-1&amp;":U"&amp;MATCH(AC36,数出表_Excel!$A:$A,0)-1&amp;"")),0)&gt;10,
IF(Y79&lt;&gt;"",
IF(IF(COUNTIF('盛付札（関数）'!Y79,"*キャラ*"),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VLOOKUP('盛付札（関数）'!Y79,商品マスタ一覧!$D:$J,7,FALSE)))=0,"",
IF(ROUND(
IF(AB84&lt;&gt;"",(Y81-AB84),Y81)
/IF(COUNTIF('盛付札（関数）'!Y79,"*キャラ*"),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VLOOKUP('盛付札（関数）'!Y79,商品マスタ一覧!$D:$J,7,FALSE))),0)&lt;=0,1,
ROUND(
IF(AB84&lt;&gt;"",(Y81-AB84),Y81)
/IF(COUNTIF('盛付札（関数）'!Y79,"*キャラ*"),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VLOOKUP('盛付札（関数）'!Y79,商品マスタ一覧!$D:$J,7,FALSE))),0))),""),""),"")</f>
        <v/>
      </c>
      <c r="AC79" s="153" t="str">
        <f ca="1">IF(AB79&lt;&gt;"",IF(Y81&lt;&gt;"",IF(VALUE(IF(AB84&lt;&gt;"",Y81-AB84,Y81))&gt;VALUE(IF(COUNTIF('盛付札（関数）'!Y79,"*キャラ*"),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
"+"&amp;IF(AB84&lt;&gt;"",Y81-AB84,Y81)-IF(COUNTIF('盛付札（関数）'!Y79,"*キャラ*"),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VLOOKUP('盛付札（関数）'!Y79,商品マスタ一覧!$D:$J,7,FALSE)))*AB79,
IF(AB84&lt;&gt;"",Y81-AB84,Y81)-IF(COUNTIF('盛付札（関数）'!Y79,"*キャラ*"),
VLOOKUP("*キャラ*",商品マスタ一覧!$D:$J,7,FALSE),
IF(COUNTIF('盛付札（関数）'!Y79,"*赤*"),
VLOOKUP("*赤*",商品マスタ一覧!$D:$J,7,FALSE),
VLOOKUP('盛付札（関数）'!Y79,商品マスタ一覧!$D:$J,7,FALSE)))*AB79),""),"")</f>
        <v/>
      </c>
      <c r="AD79" s="129"/>
      <c r="AE79" s="129"/>
      <c r="AF79" s="135" t="e">
        <f t="array" aca="1" ref="AF79" ca="1">IF(AF38&lt;&gt;100,
IF(AG81&lt;&gt;"",MATCH(AG81,INDIRECT("数出表_Excel!B"&amp;MATCH(AK36,数出表_Excel!$A:$A,0)-1&amp;":U"&amp;MATCH(AK36,数出表_Excel!$A:$A,0)-1&amp;""),0)+1,""),
IF(AG81&lt;&gt;"",
MATCH(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INDIRECT("数出表_Excel!B"&amp;MATCH(AK36,数出表_Excel!$A:$A,0)-1&amp;":U"&amp;MATCH(AK36,数出表_Excel!$A:$A,0)-1&amp;""),0)+1,""))</f>
        <v>#VALUE!</v>
      </c>
      <c r="AG79" s="70" t="str">
        <f t="array" aca="1" ref="AG79" ca="1">IFERROR(IF(OR(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"3"),"*配膳*"),
COUNTIF(INDIRECT("数出表_Excel!"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"3"),"*カレー*"),
COUNTIF(AG36,"*合計*")),"",
IF(IFERROR(INDIRECT("数出表_Excel!"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"3"),0)=0,"",
IFERROR(INDIRECT("数出表_Excel!" &amp;
CHAR(MATCH(TRUE,
ISNUMBER(--INDIRECT("数出表_Excel!"&amp;AF78&amp;MATCH(AK36,数出表_Excel!$A:$A,0)-1&amp;":U"&amp;MATCH(AK36,数出表_Excel!$A:$A,0)-1&amp;"")),0)
+MATCH(TRUE, ISNUMBER(--INDIRECT("数出表_Excel!B" &amp; (MATCH(AK36,数出表_Excel!$A:$A,0)-1) &amp; ":U" &amp; (MATCH(AK36,数出表_Excel!$A:$A,0)-1))), 0)
+65) &amp; "3"),""))),"")</f>
        <v/>
      </c>
      <c r="AH79" s="129"/>
      <c r="AI79" s="136" t="str">
        <f ca="1">IF(AJ79&lt;&gt;"","",
IF(AG78&lt;&gt;"",
IFERROR(
INDEX('数出表_Excel（アレルギー入力）'!$4:$4,
 1,
MATCH(AG81,INDIRECT("'数出表_Excel（アレルギー入力）'!"&amp;AF36-1&amp;":"&amp;AF36-1&amp;""),0)),
 "")
&amp;IFERROR(
INDEX('数出表_Excel（アレルギー入力）'!$5:$5,
 1,
MATCH(AG81,INDIRECT("'数出表_Excel（アレルギー入力）'!"&amp;AF36-1&amp;":"&amp;AF36-1&amp;""),0)),
 ""),""))</f>
        <v/>
      </c>
      <c r="AJ79" s="137" t="str">
        <f t="array" aca="1" ref="AJ79" ca="1">IF(AG79&lt;&gt;"",
IF(MATCH(TRUE,
ISNUMBER(--INDIRECT("数出表_Excel!B"&amp;MATCH(AK36,数出表_Excel!$A:$A,0)-1&amp;":U"&amp;MATCH(AK36,数出表_Excel!$A:$A,0)-1&amp;"")),0)&gt;10,
IF(AG79&lt;&gt;"",
IF(IF(COUNTIF('盛付札（関数）'!AG79,"*キャラ*"),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VLOOKUP('盛付札（関数）'!AG79,商品マスタ一覧!$D:$J,7,FALSE)))=0,"",
IF(ROUND(
IF(AJ84&lt;&gt;"",(AG81-AJ84),AG81)
/IF(COUNTIF('盛付札（関数）'!AG79,"*キャラ*"),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VLOOKUP('盛付札（関数）'!AG79,商品マスタ一覧!$D:$J,7,FALSE))),0)&lt;=0,1,
ROUND(
IF(AJ84&lt;&gt;"",(AG81-AJ84),AG81)
/IF(COUNTIF('盛付札（関数）'!AG79,"*キャラ*"),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VLOOKUP('盛付札（関数）'!AG79,商品マスタ一覧!$D:$J,7,FALSE))),0))),""),""),"")</f>
        <v/>
      </c>
      <c r="AK79" s="153" t="str">
        <f ca="1">IF(AJ79&lt;&gt;"",IF(AG81&lt;&gt;"",IF(VALUE(IF(AJ84&lt;&gt;"",AG81-AJ84,AG81))&gt;VALUE(IF(COUNTIF('盛付札（関数）'!AG79,"*キャラ*"),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
"+"&amp;IF(AJ84&lt;&gt;"",AG81-AJ84,AG81)-IF(COUNTIF('盛付札（関数）'!AG79,"*キャラ*"),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VLOOKUP('盛付札（関数）'!AG79,商品マスタ一覧!$D:$J,7,FALSE)))*AJ79,
IF(AJ84&lt;&gt;"",AG81-AJ84,AG81)-IF(COUNTIF('盛付札（関数）'!AG79,"*キャラ*"),
VLOOKUP("*キャラ*",商品マスタ一覧!$D:$J,7,FALSE),
IF(COUNTIF('盛付札（関数）'!AG79,"*赤*"),
VLOOKUP("*赤*",商品マスタ一覧!$D:$J,7,FALSE),
VLOOKUP('盛付札（関数）'!AG79,商品マスタ一覧!$D:$J,7,FALSE)))*AJ79),""),"")</f>
        <v/>
      </c>
      <c r="AL79" s="129"/>
      <c r="AM79" s="135" t="e">
        <f t="array" aca="1" ref="AM79" ca="1">IF(AM38&lt;&gt;100,
IF(AN81&lt;&gt;"",MATCH(AN81,INDIRECT("数出表_Excel!B"&amp;MATCH(AR36,数出表_Excel!$A:$A,0)-1&amp;":U"&amp;MATCH(AR36,数出表_Excel!$A:$A,0)-1&amp;""),0)+1,""),
IF(AN81&lt;&gt;"",
MATCH(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INDIRECT("数出表_Excel!B"&amp;MATCH(AR36,数出表_Excel!$A:$A,0)-1&amp;":U"&amp;MATCH(AR36,数出表_Excel!$A:$A,0)-1&amp;""),0)+1,""))</f>
        <v>#VALUE!</v>
      </c>
      <c r="AN79" s="70" t="str">
        <f t="array" aca="1" ref="AN79" ca="1">IFERROR(IF(OR(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"3"),"*配膳*"),
COUNTIF(INDIRECT("数出表_Excel!"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"3"),"*カレー*"),
COUNTIF(AN36,"*合計*")),"",
IF(IFERROR(INDIRECT("数出表_Excel!"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"3"),0)=0,"",
IFERROR(INDIRECT("数出表_Excel!" &amp;
CHAR(MATCH(TRUE,
ISNUMBER(--INDIRECT("数出表_Excel!"&amp;AM78&amp;MATCH(AR36,数出表_Excel!$A:$A,0)-1&amp;":U"&amp;MATCH(AR36,数出表_Excel!$A:$A,0)-1&amp;"")),0)
+MATCH(TRUE, ISNUMBER(--INDIRECT("数出表_Excel!B" &amp; (MATCH(AR36,数出表_Excel!$A:$A,0)-1) &amp; ":U" &amp; (MATCH(AR36,数出表_Excel!$A:$A,0)-1))), 0)
+65) &amp; "3"),""))),"")</f>
        <v/>
      </c>
      <c r="AO79" s="129"/>
      <c r="AP79" s="136" t="str">
        <f ca="1">IF(AQ79&lt;&gt;"","",
IF(AN78&lt;&gt;"",
IFERROR(
INDEX('数出表_Excel（アレルギー入力）'!$4:$4,
 1,
MATCH(AN81,INDIRECT("'数出表_Excel（アレルギー入力）'!"&amp;AM36-1&amp;":"&amp;AM36-1&amp;""),0)),
 "")
&amp;IFERROR(
INDEX('数出表_Excel（アレルギー入力）'!$5:$5,
 1,
MATCH(AN81,INDIRECT("'数出表_Excel（アレルギー入力）'!"&amp;AM36-1&amp;":"&amp;AM36-1&amp;""),0)),
 ""),""))</f>
        <v/>
      </c>
      <c r="AQ79" s="137" t="str">
        <f t="array" aca="1" ref="AQ79" ca="1">IF(AN79&lt;&gt;"",
IF(MATCH(TRUE,
ISNUMBER(--INDIRECT("数出表_Excel!B"&amp;MATCH(AR36,数出表_Excel!$A:$A,0)-1&amp;":U"&amp;MATCH(AR36,数出表_Excel!$A:$A,0)-1&amp;"")),0)&gt;10,
IF(AN79&lt;&gt;"",
IF(IF(COUNTIF('盛付札（関数）'!AN79,"*キャラ*"),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VLOOKUP('盛付札（関数）'!AN79,商品マスタ一覧!$D:$J,7,FALSE)))=0,"",
IF(ROUND(
IF(AQ84&lt;&gt;"",(AN81-AQ84),AN81)
/IF(COUNTIF('盛付札（関数）'!AN79,"*キャラ*"),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VLOOKUP('盛付札（関数）'!AN79,商品マスタ一覧!$D:$J,7,FALSE))),0)&lt;=0,1,
ROUND(
IF(AQ84&lt;&gt;"",(AN81-AQ84),AN81)
/IF(COUNTIF('盛付札（関数）'!AN79,"*キャラ*"),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VLOOKUP('盛付札（関数）'!AN79,商品マスタ一覧!$D:$J,7,FALSE))),0))),""),""),"")</f>
        <v/>
      </c>
      <c r="AR79" s="153" t="str">
        <f ca="1">IF(AQ79&lt;&gt;"",IF(AN81&lt;&gt;"",IF(VALUE(IF(AQ84&lt;&gt;"",AN81-AQ84,AN81))&gt;VALUE(IF(COUNTIF('盛付札（関数）'!AN79,"*キャラ*"),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
"+"&amp;IF(AQ84&lt;&gt;"",AN81-AQ84,AN81)-IF(COUNTIF('盛付札（関数）'!AN79,"*キャラ*"),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VLOOKUP('盛付札（関数）'!AN79,商品マスタ一覧!$D:$J,7,FALSE)))*AQ79,
IF(AQ84&lt;&gt;"",AN81-AQ84,AN81)-IF(COUNTIF('盛付札（関数）'!AN79,"*キャラ*"),
VLOOKUP("*キャラ*",商品マスタ一覧!$D:$J,7,FALSE),
IF(COUNTIF('盛付札（関数）'!AN79,"*赤*"),
VLOOKUP("*赤*",商品マスタ一覧!$D:$J,7,FALSE),
VLOOKUP('盛付札（関数）'!AN79,商品マスタ一覧!$D:$J,7,FALSE)))*AQ79),""),"")</f>
        <v/>
      </c>
      <c r="AS79" s="129"/>
      <c r="AT79" s="129"/>
      <c r="AU79" s="135" t="e">
        <f t="array" aca="1" ref="AU79" ca="1">IF(AU38&lt;&gt;100,
IF(AV81&lt;&gt;"",MATCH(AV81,INDIRECT("数出表_Excel!B"&amp;MATCH(AZ36,数出表_Excel!$A:$A,0)-1&amp;":U"&amp;MATCH(AZ36,数出表_Excel!$A:$A,0)-1&amp;""),0)+1,""),
IF(AV81&lt;&gt;"",
MATCH(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INDIRECT("数出表_Excel!B"&amp;MATCH(AZ36,数出表_Excel!$A:$A,0)-1&amp;":U"&amp;MATCH(AZ36,数出表_Excel!$A:$A,0)-1&amp;""),0)+1,""))</f>
        <v>#VALUE!</v>
      </c>
      <c r="AV79" s="70" t="str">
        <f t="array" aca="1" ref="AV79" ca="1">IFERROR(IF(OR(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"3"),"*配膳*"),
COUNTIF(INDIRECT("数出表_Excel!"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"3"),"*カレー*"),
COUNTIF(AV36,"*合計*")),"",
IF(IFERROR(INDIRECT("数出表_Excel!"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"3"),0)=0,"",
IFERROR(INDIRECT("数出表_Excel!" &amp;
CHAR(MATCH(TRUE,
ISNUMBER(--INDIRECT("数出表_Excel!"&amp;AU78&amp;MATCH(AZ36,数出表_Excel!$A:$A,0)-1&amp;":U"&amp;MATCH(AZ36,数出表_Excel!$A:$A,0)-1&amp;"")),0)
+MATCH(TRUE, ISNUMBER(--INDIRECT("数出表_Excel!B" &amp; (MATCH(AZ36,数出表_Excel!$A:$A,0)-1) &amp; ":U" &amp; (MATCH(AZ36,数出表_Excel!$A:$A,0)-1))), 0)
+65) &amp; "3"),""))),"")</f>
        <v/>
      </c>
      <c r="AW79" s="129"/>
      <c r="AX79" s="136" t="str">
        <f ca="1">IF(AY79&lt;&gt;"","",
IF(AV78&lt;&gt;"",
IFERROR(
INDEX('数出表_Excel（アレルギー入力）'!$4:$4,
 1,
MATCH(AV81,INDIRECT("'数出表_Excel（アレルギー入力）'!"&amp;AU36-1&amp;":"&amp;AU36-1&amp;""),0)),
 "")
&amp;IFERROR(
INDEX('数出表_Excel（アレルギー入力）'!$5:$5,
 1,
MATCH(AV81,INDIRECT("'数出表_Excel（アレルギー入力）'!"&amp;AU36-1&amp;":"&amp;AU36-1&amp;""),0)),
 ""),""))</f>
        <v/>
      </c>
      <c r="AY79" s="137" t="str">
        <f t="array" aca="1" ref="AY79" ca="1">IF(AV79&lt;&gt;"",
IF(MATCH(TRUE,
ISNUMBER(--INDIRECT("数出表_Excel!B"&amp;MATCH(AZ36,数出表_Excel!$A:$A,0)-1&amp;":U"&amp;MATCH(AZ36,数出表_Excel!$A:$A,0)-1&amp;"")),0)&gt;10,
IF(AV79&lt;&gt;"",
IF(IF(COUNTIF('盛付札（関数）'!AV79,"*キャラ*"),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VLOOKUP('盛付札（関数）'!AV79,商品マスタ一覧!$D:$J,7,FALSE)))=0,"",
IF(ROUND(
IF(AY84&lt;&gt;"",(AV81-AY84),AV81)
/IF(COUNTIF('盛付札（関数）'!AV79,"*キャラ*"),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VLOOKUP('盛付札（関数）'!AV79,商品マスタ一覧!$D:$J,7,FALSE))),0)&lt;=0,1,
ROUND(
IF(AY84&lt;&gt;"",(AV81-AY84),AV81)
/IF(COUNTIF('盛付札（関数）'!AV79,"*キャラ*"),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VLOOKUP('盛付札（関数）'!AV79,商品マスタ一覧!$D:$J,7,FALSE))),0))),""),""),"")</f>
        <v/>
      </c>
      <c r="AZ79" s="153" t="str">
        <f ca="1">IF(AY79&lt;&gt;"",IF(AV81&lt;&gt;"",IF(VALUE(IF(AY84&lt;&gt;"",AV81-AY84,AV81))&gt;VALUE(IF(COUNTIF('盛付札（関数）'!AV79,"*キャラ*"),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
"+"&amp;IF(AY84&lt;&gt;"",AV81-AY84,AV81)-IF(COUNTIF('盛付札（関数）'!AV79,"*キャラ*"),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VLOOKUP('盛付札（関数）'!AV79,商品マスタ一覧!$D:$J,7,FALSE)))*AY79,
IF(AY84&lt;&gt;"",AV81-AY84,AV81)-IF(COUNTIF('盛付札（関数）'!AV79,"*キャラ*"),
VLOOKUP("*キャラ*",商品マスタ一覧!$D:$J,7,FALSE),
IF(COUNTIF('盛付札（関数）'!AV79,"*赤*"),
VLOOKUP("*赤*",商品マスタ一覧!$D:$J,7,FALSE),
VLOOKUP('盛付札（関数）'!AV79,商品マスタ一覧!$D:$J,7,FALSE)))*AY79),""),"")</f>
        <v/>
      </c>
      <c r="BA79" s="129"/>
      <c r="BB79" s="135" t="e">
        <f t="array" aca="1" ref="BB79" ca="1">IF(BB38&lt;&gt;100,
IF(BC81&lt;&gt;"",MATCH(BC81,INDIRECT("数出表_Excel!B"&amp;MATCH(BG36,数出表_Excel!$A:$A,0)-1&amp;":U"&amp;MATCH(BG36,数出表_Excel!$A:$A,0)-1&amp;""),0)+1,""),
IF(BC81&lt;&gt;"",
MATCH(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INDIRECT("数出表_Excel!B"&amp;MATCH(BG36,数出表_Excel!$A:$A,0)-1&amp;":U"&amp;MATCH(BG36,数出表_Excel!$A:$A,0)-1&amp;""),0)+1,""))</f>
        <v>#VALUE!</v>
      </c>
      <c r="BC79" s="70" t="str">
        <f t="array" aca="1" ref="BC79" ca="1">IFERROR(IF(OR(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"3"),"*配膳*"),
COUNTIF(INDIRECT("数出表_Excel!"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"3"),"*カレー*"),
COUNTIF(BC36,"*合計*")),"",
IF(IFERROR(INDIRECT("数出表_Excel!"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"3"),0)=0,"",
IFERROR(INDIRECT("数出表_Excel!" &amp;
CHAR(MATCH(TRUE,
ISNUMBER(--INDIRECT("数出表_Excel!"&amp;BB78&amp;MATCH(BG36,数出表_Excel!$A:$A,0)-1&amp;":U"&amp;MATCH(BG36,数出表_Excel!$A:$A,0)-1&amp;"")),0)
+MATCH(TRUE, ISNUMBER(--INDIRECT("数出表_Excel!B" &amp; (MATCH(BG36,数出表_Excel!$A:$A,0)-1) &amp; ":U" &amp; (MATCH(BG36,数出表_Excel!$A:$A,0)-1))), 0)
+65) &amp; "3"),""))),"")</f>
        <v/>
      </c>
      <c r="BD79" s="129"/>
      <c r="BE79" s="136" t="str">
        <f ca="1">IF(BF79&lt;&gt;"","",
IF(BC78&lt;&gt;"",
IFERROR(
INDEX('数出表_Excel（アレルギー入力）'!$4:$4,
 1,
MATCH(BC81,INDIRECT("'数出表_Excel（アレルギー入力）'!"&amp;BB36-1&amp;":"&amp;BB36-1&amp;""),0)),
 "")
&amp;IFERROR(
INDEX('数出表_Excel（アレルギー入力）'!$5:$5,
 1,
MATCH(BC81,INDIRECT("'数出表_Excel（アレルギー入力）'!"&amp;BB36-1&amp;":"&amp;BB36-1&amp;""),0)),
 ""),""))</f>
        <v/>
      </c>
      <c r="BF79" s="137" t="str">
        <f t="array" aca="1" ref="BF79" ca="1">IF(BC79&lt;&gt;"",
IF(MATCH(TRUE,
ISNUMBER(--INDIRECT("数出表_Excel!B"&amp;MATCH(BG36,数出表_Excel!$A:$A,0)-1&amp;":U"&amp;MATCH(BG36,数出表_Excel!$A:$A,0)-1&amp;"")),0)&gt;10,
IF(BC79&lt;&gt;"",
IF(IF(COUNTIF('盛付札（関数）'!BC79,"*キャラ*"),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VLOOKUP('盛付札（関数）'!BC79,商品マスタ一覧!$D:$J,7,FALSE)))=0,"",
IF(ROUND(
IF(BF84&lt;&gt;"",(BC81-BF84),BC81)
/IF(COUNTIF('盛付札（関数）'!BC79,"*キャラ*"),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VLOOKUP('盛付札（関数）'!BC79,商品マスタ一覧!$D:$J,7,FALSE))),0)&lt;=0,1,
ROUND(
IF(BF84&lt;&gt;"",(BC81-BF84),BC81)
/IF(COUNTIF('盛付札（関数）'!BC79,"*キャラ*"),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VLOOKUP('盛付札（関数）'!BC79,商品マスタ一覧!$D:$J,7,FALSE))),0))),""),""),"")</f>
        <v/>
      </c>
      <c r="BG79" s="153" t="str">
        <f ca="1">IF(BF79&lt;&gt;"",IF(BC81&lt;&gt;"",IF(VALUE(IF(BF84&lt;&gt;"",BC81-BF84,BC81))&gt;VALUE(IF(COUNTIF('盛付札（関数）'!BC79,"*キャラ*"),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
"+"&amp;IF(BF84&lt;&gt;"",BC81-BF84,BC81)-IF(COUNTIF('盛付札（関数）'!BC79,"*キャラ*"),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VLOOKUP('盛付札（関数）'!BC79,商品マスタ一覧!$D:$J,7,FALSE)))*BF79,
IF(BF84&lt;&gt;"",BC81-BF84,BC81)-IF(COUNTIF('盛付札（関数）'!BC79,"*キャラ*"),
VLOOKUP("*キャラ*",商品マスタ一覧!$D:$J,7,FALSE),
IF(COUNTIF('盛付札（関数）'!BC79,"*赤*"),
VLOOKUP("*赤*",商品マスタ一覧!$D:$J,7,FALSE),
VLOOKUP('盛付札（関数）'!BC79,商品マスタ一覧!$D:$J,7,FALSE)))*BF79),""),"")</f>
        <v/>
      </c>
      <c r="BH79" s="129"/>
      <c r="BI79" s="129"/>
      <c r="BJ79" s="135" t="e">
        <f t="array" aca="1" ref="BJ79" ca="1">IF(BJ38&lt;&gt;100,
IF(BK81&lt;&gt;"",MATCH(BK81,INDIRECT("数出表_Excel!B"&amp;MATCH(BO36,数出表_Excel!$A:$A,0)-1&amp;":U"&amp;MATCH(BO36,数出表_Excel!$A:$A,0)-1&amp;""),0)+1,""),
IF(BK81&lt;&gt;"",
MATCH(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INDIRECT("数出表_Excel!B"&amp;MATCH(BO36,数出表_Excel!$A:$A,0)-1&amp;":U"&amp;MATCH(BO36,数出表_Excel!$A:$A,0)-1&amp;""),0)+1,""))</f>
        <v>#VALUE!</v>
      </c>
      <c r="BK79" s="70" t="str">
        <f t="array" aca="1" ref="BK79" ca="1">IFERROR(IF(OR(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"3"),"*配膳*"),
COUNTIF(INDIRECT("数出表_Excel!"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"3"),"*カレー*"),
COUNTIF(BK36,"*合計*")),"",
IF(IFERROR(INDIRECT("数出表_Excel!"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"3"),0)=0,"",
IFERROR(INDIRECT("数出表_Excel!" &amp;
CHAR(MATCH(TRUE,
ISNUMBER(--INDIRECT("数出表_Excel!"&amp;BJ78&amp;MATCH(BO36,数出表_Excel!$A:$A,0)-1&amp;":U"&amp;MATCH(BO36,数出表_Excel!$A:$A,0)-1&amp;"")),0)
+MATCH(TRUE, ISNUMBER(--INDIRECT("数出表_Excel!B" &amp; (MATCH(BO36,数出表_Excel!$A:$A,0)-1) &amp; ":U" &amp; (MATCH(BO36,数出表_Excel!$A:$A,0)-1))), 0)
+65) &amp; "3"),""))),"")</f>
        <v/>
      </c>
      <c r="BL79" s="129"/>
      <c r="BM79" s="136" t="str">
        <f ca="1">IF(BN79&lt;&gt;"","",
IF(BK78&lt;&gt;"",
IFERROR(
INDEX('数出表_Excel（アレルギー入力）'!$4:$4,
 1,
MATCH(BK81,INDIRECT("'数出表_Excel（アレルギー入力）'!"&amp;BJ36-1&amp;":"&amp;BJ36-1&amp;""),0)),
 "")
&amp;IFERROR(
INDEX('数出表_Excel（アレルギー入力）'!$5:$5,
 1,
MATCH(BK81,INDIRECT("'数出表_Excel（アレルギー入力）'!"&amp;BJ36-1&amp;":"&amp;BJ36-1&amp;""),0)),
 ""),""))</f>
        <v/>
      </c>
      <c r="BN79" s="137" t="str">
        <f t="array" aca="1" ref="BN79" ca="1">IF(BK79&lt;&gt;"",
IF(MATCH(TRUE,
ISNUMBER(--INDIRECT("数出表_Excel!B"&amp;MATCH(BO36,数出表_Excel!$A:$A,0)-1&amp;":U"&amp;MATCH(BO36,数出表_Excel!$A:$A,0)-1&amp;"")),0)&gt;10,
IF(BK79&lt;&gt;"",
IF(IF(COUNTIF('盛付札（関数）'!BK79,"*キャラ*"),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VLOOKUP('盛付札（関数）'!BK79,商品マスタ一覧!$D:$J,7,FALSE)))=0,"",
IF(ROUND(
IF(BN84&lt;&gt;"",(BK81-BN84),BK81)
/IF(COUNTIF('盛付札（関数）'!BK79,"*キャラ*"),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VLOOKUP('盛付札（関数）'!BK79,商品マスタ一覧!$D:$J,7,FALSE))),0)&lt;=0,1,
ROUND(
IF(BN84&lt;&gt;"",(BK81-BN84),BK81)
/IF(COUNTIF('盛付札（関数）'!BK79,"*キャラ*"),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VLOOKUP('盛付札（関数）'!BK79,商品マスタ一覧!$D:$J,7,FALSE))),0))),""),""),"")</f>
        <v/>
      </c>
      <c r="BO79" s="153" t="str">
        <f ca="1">IF(BN79&lt;&gt;"",IF(BK81&lt;&gt;"",IF(VALUE(IF(BN84&lt;&gt;"",BK81-BN84,BK81))&gt;VALUE(IF(COUNTIF('盛付札（関数）'!BK79,"*キャラ*"),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
"+"&amp;IF(BN84&lt;&gt;"",BK81-BN84,BK81)-IF(COUNTIF('盛付札（関数）'!BK79,"*キャラ*"),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VLOOKUP('盛付札（関数）'!BK79,商品マスタ一覧!$D:$J,7,FALSE)))*BN79,
IF(BN84&lt;&gt;"",BK81-BN84,BK81)-IF(COUNTIF('盛付札（関数）'!BK79,"*キャラ*"),
VLOOKUP("*キャラ*",商品マスタ一覧!$D:$J,7,FALSE),
IF(COUNTIF('盛付札（関数）'!BK79,"*赤*"),
VLOOKUP("*赤*",商品マスタ一覧!$D:$J,7,FALSE),
VLOOKUP('盛付札（関数）'!BK79,商品マスタ一覧!$D:$J,7,FALSE)))*BN79),""),"")</f>
        <v/>
      </c>
      <c r="BP79" s="129"/>
      <c r="BQ79" s="135" t="e">
        <f t="array" aca="1" ref="BQ79" ca="1">IF(BQ38&lt;&gt;100,
IF(BR81&lt;&gt;"",MATCH(BR81,INDIRECT("数出表_Excel!B"&amp;MATCH(BV36,数出表_Excel!$A:$A,0)-1&amp;":U"&amp;MATCH(BV36,数出表_Excel!$A:$A,0)-1&amp;""),0)+1,""),
IF(BR81&lt;&gt;"",
MATCH(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INDIRECT("数出表_Excel!B"&amp;MATCH(BV36,数出表_Excel!$A:$A,0)-1&amp;":U"&amp;MATCH(BV36,数出表_Excel!$A:$A,0)-1&amp;""),0)+1,""))</f>
        <v>#VALUE!</v>
      </c>
      <c r="BR79" s="70" t="str">
        <f t="array" aca="1" ref="BR79" ca="1">IFERROR(IF(OR(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"3"),"*配膳*"),
COUNTIF(INDIRECT("数出表_Excel!"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"3"),"*カレー*"),
COUNTIF(BR36,"*合計*")),"",
IF(IFERROR(INDIRECT("数出表_Excel!"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"3"),0)=0,"",
IFERROR(INDIRECT("数出表_Excel!" &amp;
CHAR(MATCH(TRUE,
ISNUMBER(--INDIRECT("数出表_Excel!"&amp;BQ78&amp;MATCH(BV36,数出表_Excel!$A:$A,0)-1&amp;":U"&amp;MATCH(BV36,数出表_Excel!$A:$A,0)-1&amp;"")),0)
+MATCH(TRUE, ISNUMBER(--INDIRECT("数出表_Excel!B" &amp; (MATCH(BV36,数出表_Excel!$A:$A,0)-1) &amp; ":U" &amp; (MATCH(BV36,数出表_Excel!$A:$A,0)-1))), 0)
+65) &amp; "3"),""))),"")</f>
        <v/>
      </c>
      <c r="BS79" s="129"/>
      <c r="BT79" s="136" t="str">
        <f ca="1">IF(BU79&lt;&gt;"","",
IF(BR78&lt;&gt;"",
IFERROR(
INDEX('数出表_Excel（アレルギー入力）'!$4:$4,
 1,
MATCH(BR81,INDIRECT("'数出表_Excel（アレルギー入力）'!"&amp;BQ36-1&amp;":"&amp;BQ36-1&amp;""),0)),
 "")
&amp;IFERROR(
INDEX('数出表_Excel（アレルギー入力）'!$5:$5,
 1,
MATCH(BR81,INDIRECT("'数出表_Excel（アレルギー入力）'!"&amp;BQ36-1&amp;":"&amp;BQ36-1&amp;""),0)),
 ""),""))</f>
        <v/>
      </c>
      <c r="BU79" s="137" t="str">
        <f t="array" aca="1" ref="BU79" ca="1">IF(BR79&lt;&gt;"",
IF(MATCH(TRUE,
ISNUMBER(--INDIRECT("数出表_Excel!B"&amp;MATCH(BV36,数出表_Excel!$A:$A,0)-1&amp;":U"&amp;MATCH(BV36,数出表_Excel!$A:$A,0)-1&amp;"")),0)&gt;10,
IF(BR79&lt;&gt;"",
IF(IF(COUNTIF('盛付札（関数）'!BR79,"*キャラ*"),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VLOOKUP('盛付札（関数）'!BR79,商品マスタ一覧!$D:$J,7,FALSE)))=0,"",
IF(ROUND(
IF(BU84&lt;&gt;"",(BR81-BU84),BR81)
/IF(COUNTIF('盛付札（関数）'!BR79,"*キャラ*"),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VLOOKUP('盛付札（関数）'!BR79,商品マスタ一覧!$D:$J,7,FALSE))),0)&lt;=0,1,
ROUND(
IF(BU84&lt;&gt;"",(BR81-BU84),BR81)
/IF(COUNTIF('盛付札（関数）'!BR79,"*キャラ*"),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VLOOKUP('盛付札（関数）'!BR79,商品マスタ一覧!$D:$J,7,FALSE))),0))),""),""),"")</f>
        <v/>
      </c>
      <c r="BV79" s="153" t="str">
        <f ca="1">IF(BU79&lt;&gt;"",IF(BR81&lt;&gt;"",IF(VALUE(IF(BU84&lt;&gt;"",BR81-BU84,BR81))&gt;VALUE(IF(COUNTIF('盛付札（関数）'!BR79,"*キャラ*"),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
"+"&amp;IF(BU84&lt;&gt;"",BR81-BU84,BR81)-IF(COUNTIF('盛付札（関数）'!BR79,"*キャラ*"),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VLOOKUP('盛付札（関数）'!BR79,商品マスタ一覧!$D:$J,7,FALSE)))*BU79,
IF(BU84&lt;&gt;"",BR81-BU84,BR81)-IF(COUNTIF('盛付札（関数）'!BR79,"*キャラ*"),
VLOOKUP("*キャラ*",商品マスタ一覧!$D:$J,7,FALSE),
IF(COUNTIF('盛付札（関数）'!BR79,"*赤*"),
VLOOKUP("*赤*",商品マスタ一覧!$D:$J,7,FALSE),
VLOOKUP('盛付札（関数）'!BR79,商品マスタ一覧!$D:$J,7,FALSE)))*BU79),""),"")</f>
        <v/>
      </c>
      <c r="BW79" s="129"/>
      <c r="BX79" s="132">
        <v>7</v>
      </c>
      <c r="BY79" s="132" t="str">
        <f t="array" aca="1" ref="BY79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LEN(SUBSTITUTE(_xlfn.FORMULATEXT(BY$75),"=","")))+$BX79)</f>
        <v/>
      </c>
      <c r="BZ79" s="132" t="str">
        <f t="array" aca="1" ref="BZ79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LEN(SUBSTITUTE(_xlfn.FORMULATEXT(BZ$75),"=","")))+$BX79)</f>
        <v/>
      </c>
      <c r="CA79" s="132" t="str">
        <f t="array" aca="1" ref="CA79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LEN(SUBSTITUTE(_xlfn.FORMULATEXT(CA$75),"=","")))+$BX79)</f>
        <v/>
      </c>
      <c r="CB79" s="132" t="str">
        <f t="array" aca="1" ref="CB79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LEN(SUBSTITUTE(_xlfn.FORMULATEXT(CB$75),"=","")))+$BX79)</f>
        <v/>
      </c>
      <c r="CC79" s="132" t="str">
        <f t="array" aca="1" ref="CC79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LEN(SUBSTITUTE(_xlfn.FORMULATEXT(CC$75),"=","")))+$BX79)</f>
        <v/>
      </c>
      <c r="CD79" s="132" t="str">
        <f t="array" aca="1" ref="CD79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LEN(SUBSTITUTE(_xlfn.FORMULATEXT(CD$75),"=","")))+$BX79)</f>
        <v/>
      </c>
      <c r="CE79" s="132" t="str">
        <f t="array" aca="1" ref="CE79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LEN(SUBSTITUTE(_xlfn.FORMULATEXT(CE$75),"=","")))+$BX79)</f>
        <v/>
      </c>
      <c r="CF79" s="132" t="str">
        <f t="array" aca="1" ref="CF79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LEN(SUBSTITUTE(_xlfn.FORMULATEXT(CF$75),"=","")))+$BX79)</f>
        <v/>
      </c>
      <c r="CG79" s="132" t="str">
        <f t="array" aca="1" ref="CG79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LEN(SUBSTITUTE(_xlfn.FORMULATEXT(CG$75),"=","")))+$BX79)</f>
        <v/>
      </c>
      <c r="CH79" s="132" t="str">
        <f t="array" aca="1" ref="CH79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LEN(SUBSTITUTE(_xlfn.FORMULATEXT(CH$75),"=","")))+$BX79)</f>
        <v/>
      </c>
      <c r="CI79" s="132">
        <f t="shared" ca="1" si="5"/>
        <v>0</v>
      </c>
      <c r="CJ79" s="132" t="b">
        <f t="array" aca="1" ref="CJ79" ca="1">SUMPRODUCT((LEN(BY79:CH79)&gt;0)*1)&gt;0</f>
        <v>0</v>
      </c>
      <c r="CK79" s="132" t="str" cm="1">
        <f t="array" aca="1" ref="CK79" ca="1">IFERROR(SMALL(IF(CI$1:CI$150&lt;&gt;0,CI$1:CI$150),ROW(A79)),"")</f>
        <v/>
      </c>
      <c r="CL79" s="132" t="str">
        <f t="array" aca="1" ref="CL79" ca="1">IF($CK79&lt;&gt;"",
INDIRECT(""&amp;IF(COLUMN(BY79)&lt;=26,CHAR(COLUMN(BY79)+64),CHAR(INT((COLUMN(BY79)-1)/26)+64)&amp;CHAR(MOD(COLUMN(BY79)-1,26)+65))&amp;$CK79&amp;""),"")</f>
        <v/>
      </c>
      <c r="CM79" s="132" t="str">
        <f t="array" aca="1" ref="CM79" ca="1">IF($CK79&lt;&gt;"",
INDIRECT(""&amp;IF(COLUMN(BZ79)&lt;=26,CHAR(COLUMN(BZ79)+64),CHAR(INT((COLUMN(BZ79)-1)/26)+64)&amp;CHAR(MOD(COLUMN(BZ79)-1,26)+65))&amp;$CK79&amp;""),"")</f>
        <v/>
      </c>
      <c r="CN79" s="132" t="str">
        <f t="array" aca="1" ref="CN79" ca="1">IF($CK79&lt;&gt;"",
INDIRECT(""&amp;IF(COLUMN(CA79)&lt;=26,CHAR(COLUMN(CA79)+64),CHAR(INT((COLUMN(CA79)-1)/26)+64)&amp;CHAR(MOD(COLUMN(CA79)-1,26)+65))&amp;$CK79&amp;""),"")</f>
        <v/>
      </c>
      <c r="CO79" s="132" t="str">
        <f t="array" aca="1" ref="CO79" ca="1">IF($CK79&lt;&gt;"",
INDIRECT(""&amp;IF(COLUMN(CB79)&lt;=26,CHAR(COLUMN(CB79)+64),CHAR(INT((COLUMN(CB79)-1)/26)+64)&amp;CHAR(MOD(COLUMN(CB79)-1,26)+65))&amp;$CK79&amp;""),"")</f>
        <v/>
      </c>
      <c r="CP79" s="132" t="str">
        <f t="array" aca="1" ref="CP79" ca="1">IF($CK79&lt;&gt;"",
INDIRECT(""&amp;IF(COLUMN(CC79)&lt;=26,CHAR(COLUMN(CC79)+64),CHAR(INT((COLUMN(CC79)-1)/26)+64)&amp;CHAR(MOD(COLUMN(CC79)-1,26)+65))&amp;$CK79&amp;""),"")</f>
        <v/>
      </c>
      <c r="CQ79" s="132" t="str">
        <f t="array" aca="1" ref="CQ79" ca="1">IF($CK79&lt;&gt;"",
INDIRECT(""&amp;IF(COLUMN(CD79)&lt;=26,CHAR(COLUMN(CD79)+64),CHAR(INT((COLUMN(CD79)-1)/26)+64)&amp;CHAR(MOD(COLUMN(CD79)-1,26)+65))&amp;$CK79&amp;""),"")</f>
        <v/>
      </c>
      <c r="CR79" s="132" t="str">
        <f t="array" aca="1" ref="CR79" ca="1">IF($CK79&lt;&gt;"",
INDIRECT(""&amp;IF(COLUMN(CE79)&lt;=26,CHAR(COLUMN(CE79)+64),CHAR(INT((COLUMN(CE79)-1)/26)+64)&amp;CHAR(MOD(COLUMN(CE79)-1,26)+65))&amp;$CK79&amp;""),"")</f>
        <v/>
      </c>
      <c r="CS79" s="132" t="str">
        <f t="array" aca="1" ref="CS79" ca="1">IF($CK79&lt;&gt;"",
INDIRECT(""&amp;IF(COLUMN(CF79)&lt;=26,CHAR(COLUMN(CF79)+64),CHAR(INT((COLUMN(CF79)-1)/26)+64)&amp;CHAR(MOD(COLUMN(CF79)-1,26)+65))&amp;$CK79&amp;""),"")</f>
        <v/>
      </c>
      <c r="CT79" s="132" t="str">
        <f t="array" aca="1" ref="CT79" ca="1">IF($CK79&lt;&gt;"",
INDIRECT(""&amp;IF(COLUMN(CG79)&lt;=26,CHAR(COLUMN(CG79)+64),CHAR(INT((COLUMN(CG79)-1)/26)+64)&amp;CHAR(MOD(COLUMN(CG79)-1,26)+65))&amp;$CK79&amp;""),"")</f>
        <v/>
      </c>
      <c r="CU79" s="132" t="str">
        <f t="array" aca="1" ref="CU79" ca="1">IF($CK79&lt;&gt;"",
INDIRECT(""&amp;IF(COLUMN(CH79)&lt;=26,CHAR(COLUMN(CH79)+64),CHAR(INT((COLUMN(CH79)-1)/26)+64)&amp;CHAR(MOD(COLUMN(CH79)-1,26)+65))&amp;$CK79&amp;""),"")</f>
        <v/>
      </c>
    </row>
    <row r="80" spans="1:99" s="132" customFormat="1" ht="22.2" customHeight="1" x14ac:dyDescent="0.55000000000000004">
      <c r="A80" s="129"/>
      <c r="B80" s="138"/>
      <c r="C80" s="139" t="str">
        <f ca="1">IF(C81&lt;&gt;"","園児","")</f>
        <v/>
      </c>
      <c r="D80" s="140"/>
      <c r="E80" s="141" t="str">
        <f ca="1">IF(C81&lt;&gt;"","先生","")</f>
        <v/>
      </c>
      <c r="F80" s="140"/>
      <c r="G80" s="159"/>
      <c r="H80" s="129"/>
      <c r="I80" s="138"/>
      <c r="J80" s="139" t="str">
        <f ca="1">IF(J81&lt;&gt;"","園児","")</f>
        <v/>
      </c>
      <c r="K80" s="140"/>
      <c r="L80" s="141" t="str">
        <f ca="1">IF(J81&lt;&gt;"","先生","")</f>
        <v/>
      </c>
      <c r="M80" s="140"/>
      <c r="N80" s="154"/>
      <c r="O80" s="129"/>
      <c r="P80" s="129"/>
      <c r="Q80" s="138"/>
      <c r="R80" s="139" t="str">
        <f ca="1">IF(R81&lt;&gt;"","園児","")</f>
        <v/>
      </c>
      <c r="S80" s="140"/>
      <c r="T80" s="141" t="str">
        <f ca="1">IF(R81&lt;&gt;"","先生","")</f>
        <v/>
      </c>
      <c r="U80" s="140"/>
      <c r="V80" s="154"/>
      <c r="W80" s="129"/>
      <c r="X80" s="138"/>
      <c r="Y80" s="139" t="str">
        <f ca="1">IF(Y81&lt;&gt;"","園児","")</f>
        <v/>
      </c>
      <c r="Z80" s="140"/>
      <c r="AA80" s="141" t="str">
        <f ca="1">IF(Y81&lt;&gt;"","先生","")</f>
        <v/>
      </c>
      <c r="AB80" s="140"/>
      <c r="AC80" s="154"/>
      <c r="AD80" s="129"/>
      <c r="AE80" s="129"/>
      <c r="AF80" s="138"/>
      <c r="AG80" s="139" t="str">
        <f ca="1">IF(AG81&lt;&gt;"","園児","")</f>
        <v/>
      </c>
      <c r="AH80" s="140"/>
      <c r="AI80" s="141" t="str">
        <f ca="1">IF(AG81&lt;&gt;"","先生","")</f>
        <v/>
      </c>
      <c r="AJ80" s="140"/>
      <c r="AK80" s="154"/>
      <c r="AL80" s="129"/>
      <c r="AM80" s="138"/>
      <c r="AN80" s="139" t="str">
        <f ca="1">IF(AN81&lt;&gt;"","園児","")</f>
        <v/>
      </c>
      <c r="AO80" s="140"/>
      <c r="AP80" s="141" t="str">
        <f ca="1">IF(AN81&lt;&gt;"","先生","")</f>
        <v/>
      </c>
      <c r="AQ80" s="140"/>
      <c r="AR80" s="154"/>
      <c r="AS80" s="129"/>
      <c r="AT80" s="129"/>
      <c r="AU80" s="138"/>
      <c r="AV80" s="139" t="str">
        <f ca="1">IF(AV81&lt;&gt;"","園児","")</f>
        <v/>
      </c>
      <c r="AW80" s="140"/>
      <c r="AX80" s="141" t="str">
        <f ca="1">IF(AV81&lt;&gt;"","先生","")</f>
        <v/>
      </c>
      <c r="AY80" s="140"/>
      <c r="AZ80" s="154"/>
      <c r="BA80" s="129"/>
      <c r="BB80" s="138"/>
      <c r="BC80" s="139" t="str">
        <f ca="1">IF(BC81&lt;&gt;"","園児","")</f>
        <v/>
      </c>
      <c r="BD80" s="140"/>
      <c r="BE80" s="141" t="str">
        <f ca="1">IF(BC81&lt;&gt;"","先生","")</f>
        <v/>
      </c>
      <c r="BF80" s="140"/>
      <c r="BG80" s="154"/>
      <c r="BH80" s="129"/>
      <c r="BI80" s="129"/>
      <c r="BJ80" s="138"/>
      <c r="BK80" s="139" t="str">
        <f ca="1">IF(BK81&lt;&gt;"","園児","")</f>
        <v/>
      </c>
      <c r="BL80" s="140"/>
      <c r="BM80" s="141" t="str">
        <f ca="1">IF(BK81&lt;&gt;"","先生","")</f>
        <v/>
      </c>
      <c r="BN80" s="140"/>
      <c r="BO80" s="154"/>
      <c r="BP80" s="129"/>
      <c r="BQ80" s="138"/>
      <c r="BR80" s="139" t="str">
        <f ca="1">IF(BR81&lt;&gt;"","園児","")</f>
        <v/>
      </c>
      <c r="BS80" s="140"/>
      <c r="BT80" s="141" t="str">
        <f ca="1">IF(BR81&lt;&gt;"","先生","")</f>
        <v/>
      </c>
      <c r="BU80" s="140"/>
      <c r="BV80" s="154"/>
      <c r="BW80" s="129"/>
      <c r="BX80" s="132">
        <f t="shared" ref="BX80:BX96" si="6">BX76+7</f>
        <v>49</v>
      </c>
      <c r="BY80" s="132" t="str">
        <f t="array" aca="1" ref="BY80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LEN(SUBSTITUTE(_xlfn.FORMULATEXT(BY$75),"=","")))+$BX80)</f>
        <v/>
      </c>
      <c r="BZ80" s="132" t="str">
        <f t="array" aca="1" ref="BZ80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LEN(SUBSTITUTE(_xlfn.FORMULATEXT(BZ$75),"=","")))+$BX80)</f>
        <v/>
      </c>
      <c r="CA80" s="132" t="str">
        <f t="array" aca="1" ref="CA80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LEN(SUBSTITUTE(_xlfn.FORMULATEXT(CA$75),"=","")))+$BX80)</f>
        <v/>
      </c>
      <c r="CB80" s="132" t="str">
        <f t="array" aca="1" ref="CB80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LEN(SUBSTITUTE(_xlfn.FORMULATEXT(CB$75),"=","")))+$BX80)</f>
        <v/>
      </c>
      <c r="CC80" s="132" t="str">
        <f t="array" aca="1" ref="CC80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LEN(SUBSTITUTE(_xlfn.FORMULATEXT(CC$75),"=","")))+$BX80)</f>
        <v/>
      </c>
      <c r="CD80" s="132" t="str">
        <f t="array" aca="1" ref="CD80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LEN(SUBSTITUTE(_xlfn.FORMULATEXT(CD$75),"=","")))+$BX80)</f>
        <v/>
      </c>
      <c r="CE80" s="132" t="str">
        <f t="array" aca="1" ref="CE80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LEN(SUBSTITUTE(_xlfn.FORMULATEXT(CE$75),"=","")))+$BX80)</f>
        <v/>
      </c>
      <c r="CF80" s="132" t="str">
        <f t="array" aca="1" ref="CF80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LEN(SUBSTITUTE(_xlfn.FORMULATEXT(CF$75),"=","")))+$BX80)</f>
        <v/>
      </c>
      <c r="CG80" s="132" t="str">
        <f t="array" aca="1" ref="CG80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LEN(SUBSTITUTE(_xlfn.FORMULATEXT(CG$75),"=","")))+$BX80)</f>
        <v/>
      </c>
      <c r="CH80" s="132" t="str">
        <f t="array" aca="1" ref="CH80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LEN(SUBSTITUTE(_xlfn.FORMULATEXT(CH$75),"=","")))+$BX80)</f>
        <v/>
      </c>
      <c r="CI80" s="132">
        <f t="shared" ca="1" si="5"/>
        <v>0</v>
      </c>
      <c r="CJ80" s="132" t="b">
        <f t="array" aca="1" ref="CJ80" ca="1">SUMPRODUCT((LEN(BY80:CH80)&gt;0)*1)&gt;0</f>
        <v>0</v>
      </c>
      <c r="CK80" s="132" t="str" cm="1">
        <f t="array" aca="1" ref="CK80" ca="1">IFERROR(SMALL(IF(CI$1:CI$150&lt;&gt;0,CI$1:CI$150),ROW(A80)),"")</f>
        <v/>
      </c>
      <c r="CL80" s="132" t="str">
        <f t="array" aca="1" ref="CL80" ca="1">IF($CK80&lt;&gt;"",
INDIRECT(""&amp;IF(COLUMN(BY80)&lt;=26,CHAR(COLUMN(BY80)+64),CHAR(INT((COLUMN(BY80)-1)/26)+64)&amp;CHAR(MOD(COLUMN(BY80)-1,26)+65))&amp;$CK80&amp;""),"")</f>
        <v/>
      </c>
      <c r="CM80" s="132" t="str">
        <f t="array" aca="1" ref="CM80" ca="1">IF($CK80&lt;&gt;"",
INDIRECT(""&amp;IF(COLUMN(BZ80)&lt;=26,CHAR(COLUMN(BZ80)+64),CHAR(INT((COLUMN(BZ80)-1)/26)+64)&amp;CHAR(MOD(COLUMN(BZ80)-1,26)+65))&amp;$CK80&amp;""),"")</f>
        <v/>
      </c>
      <c r="CN80" s="132" t="str">
        <f t="array" aca="1" ref="CN80" ca="1">IF($CK80&lt;&gt;"",
INDIRECT(""&amp;IF(COLUMN(CA80)&lt;=26,CHAR(COLUMN(CA80)+64),CHAR(INT((COLUMN(CA80)-1)/26)+64)&amp;CHAR(MOD(COLUMN(CA80)-1,26)+65))&amp;$CK80&amp;""),"")</f>
        <v/>
      </c>
      <c r="CO80" s="132" t="str">
        <f t="array" aca="1" ref="CO80" ca="1">IF($CK80&lt;&gt;"",
INDIRECT(""&amp;IF(COLUMN(CB80)&lt;=26,CHAR(COLUMN(CB80)+64),CHAR(INT((COLUMN(CB80)-1)/26)+64)&amp;CHAR(MOD(COLUMN(CB80)-1,26)+65))&amp;$CK80&amp;""),"")</f>
        <v/>
      </c>
      <c r="CP80" s="132" t="str">
        <f t="array" aca="1" ref="CP80" ca="1">IF($CK80&lt;&gt;"",
INDIRECT(""&amp;IF(COLUMN(CC80)&lt;=26,CHAR(COLUMN(CC80)+64),CHAR(INT((COLUMN(CC80)-1)/26)+64)&amp;CHAR(MOD(COLUMN(CC80)-1,26)+65))&amp;$CK80&amp;""),"")</f>
        <v/>
      </c>
      <c r="CQ80" s="132" t="str">
        <f t="array" aca="1" ref="CQ80" ca="1">IF($CK80&lt;&gt;"",
INDIRECT(""&amp;IF(COLUMN(CD80)&lt;=26,CHAR(COLUMN(CD80)+64),CHAR(INT((COLUMN(CD80)-1)/26)+64)&amp;CHAR(MOD(COLUMN(CD80)-1,26)+65))&amp;$CK80&amp;""),"")</f>
        <v/>
      </c>
      <c r="CR80" s="132" t="str">
        <f t="array" aca="1" ref="CR80" ca="1">IF($CK80&lt;&gt;"",
INDIRECT(""&amp;IF(COLUMN(CE80)&lt;=26,CHAR(COLUMN(CE80)+64),CHAR(INT((COLUMN(CE80)-1)/26)+64)&amp;CHAR(MOD(COLUMN(CE80)-1,26)+65))&amp;$CK80&amp;""),"")</f>
        <v/>
      </c>
      <c r="CS80" s="132" t="str">
        <f t="array" aca="1" ref="CS80" ca="1">IF($CK80&lt;&gt;"",
INDIRECT(""&amp;IF(COLUMN(CF80)&lt;=26,CHAR(COLUMN(CF80)+64),CHAR(INT((COLUMN(CF80)-1)/26)+64)&amp;CHAR(MOD(COLUMN(CF80)-1,26)+65))&amp;$CK80&amp;""),"")</f>
        <v/>
      </c>
      <c r="CT80" s="132" t="str">
        <f t="array" aca="1" ref="CT80" ca="1">IF($CK80&lt;&gt;"",
INDIRECT(""&amp;IF(COLUMN(CG80)&lt;=26,CHAR(COLUMN(CG80)+64),CHAR(INT((COLUMN(CG80)-1)/26)+64)&amp;CHAR(MOD(COLUMN(CG80)-1,26)+65))&amp;$CK80&amp;""),"")</f>
        <v/>
      </c>
      <c r="CU80" s="132" t="str">
        <f t="array" aca="1" ref="CU80" ca="1">IF($CK80&lt;&gt;"",
INDIRECT(""&amp;IF(COLUMN(CH80)&lt;=26,CHAR(COLUMN(CH80)+64),CHAR(INT((COLUMN(CH80)-1)/26)+64)&amp;CHAR(MOD(COLUMN(CH80)-1,26)+65))&amp;$CK80&amp;""),"")</f>
        <v/>
      </c>
    </row>
    <row r="81" spans="1:99" ht="18" customHeight="1" x14ac:dyDescent="0.45">
      <c r="B81" s="143"/>
      <c r="C81" s="120" t="str">
        <f t="array" aca="1" ref="C81" ca="1">IF(C79&lt;&gt;"",
IF(IFERROR(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"")=0,"",
IF(B38=100,
IFERROR(
INDEX(INDIRECT("数出表_Excel!"&amp;B78&amp;MATCH(G36,数出表_Excel!$A:$A,0)-1+2&amp;":U"&amp;MATCH(G36,数出表_Excel!$A:$A,0)-1+2&amp;""),
 1,
 MATCH(TRUE, ISNUMBER(--INDIRECT("数出表_Excel!"&amp;B78&amp;MATCH(G36,数出表_Excel!$A:$A,0)-1+2&amp;":U"&amp;MATCH(G36,数出表_Excel!$A:$A,0)-1+2&amp;"")), 0)),
 "")
+IFERROR(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""),
IFERROR(
INDEX(INDIRECT("数出表_Excel!"&amp;B78&amp;MATCH(G36,数出表_Excel!$A:$A,0)-1&amp;":U"&amp;MATCH(G36,数出表_Excel!$A:$A,0)-1&amp;""),
 1,
 MATCH(TRUE, ISNUMBER(--INDIRECT("数出表_Excel!"&amp;B78&amp;MATCH(G36,数出表_Excel!$A:$A,0)-1&amp;":U"&amp;MATCH(G36,数出表_Excel!$A:$A,0)-1&amp;"")), 0)),
 ""))),"")</f>
        <v/>
      </c>
      <c r="D81" s="144"/>
      <c r="E81" s="145" t="str">
        <f t="array" aca="1" ref="E81" ca="1">IF(C37&lt;&gt;"",
IF(IFERROR(
INDEX(INDIRECT("数出表_Excel!B"&amp;MATCH(G36,数出表_Excel!$A:$A,0)&amp;":U"&amp;MATCH(G36,数出表_Excel!$A:$A,0)&amp;""),
 1,B79-1),
 "")=0,"",
IFERROR(
INDEX(INDIRECT("数出表_Excel!B"&amp;MATCH(G36,数出表_Excel!$A:$A,0)&amp;":U"&amp;MATCH(G36,数出表_Excel!$A:$A,0)&amp;""),
 1,B79-1),
 "")),"")</f>
        <v/>
      </c>
      <c r="F81" s="144"/>
      <c r="G81" s="159"/>
      <c r="I81" s="143"/>
      <c r="J81" s="120" t="str">
        <f t="array" aca="1" ref="J81" ca="1">IF(J79&lt;&gt;"",
IF(IFERROR(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"")=0,"",
IF(I38=100,
IFERROR(
INDEX(INDIRECT("数出表_Excel!"&amp;I78&amp;MATCH(N36,数出表_Excel!$A:$A,0)-1+2&amp;":U"&amp;MATCH(N36,数出表_Excel!$A:$A,0)-1+2&amp;""),
 1,
 MATCH(TRUE, ISNUMBER(--INDIRECT("数出表_Excel!"&amp;I78&amp;MATCH(N36,数出表_Excel!$A:$A,0)-1+2&amp;":U"&amp;MATCH(N36,数出表_Excel!$A:$A,0)-1+2&amp;"")), 0)),
 "")
+IFERROR(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""),
IFERROR(
INDEX(INDIRECT("数出表_Excel!"&amp;I78&amp;MATCH(N36,数出表_Excel!$A:$A,0)-1&amp;":U"&amp;MATCH(N36,数出表_Excel!$A:$A,0)-1&amp;""),
 1,
 MATCH(TRUE, ISNUMBER(--INDIRECT("数出表_Excel!"&amp;I78&amp;MATCH(N36,数出表_Excel!$A:$A,0)-1&amp;":U"&amp;MATCH(N36,数出表_Excel!$A:$A,0)-1&amp;"")), 0)),
 ""))),"")</f>
        <v/>
      </c>
      <c r="K81" s="144"/>
      <c r="L81" s="145" t="str">
        <f t="array" aca="1" ref="L81" ca="1">IF(J37&lt;&gt;"",
IF(IFERROR(
INDEX(INDIRECT("数出表_Excel!B"&amp;MATCH(N36,数出表_Excel!$A:$A,0)&amp;":U"&amp;MATCH(N36,数出表_Excel!$A:$A,0)&amp;""),
 1,I79-1),
 "")=0,"",
IFERROR(
INDEX(INDIRECT("数出表_Excel!B"&amp;MATCH(N36,数出表_Excel!$A:$A,0)&amp;":U"&amp;MATCH(N36,数出表_Excel!$A:$A,0)&amp;""),
 1,I79-1),
 "")),"")</f>
        <v/>
      </c>
      <c r="M81" s="144"/>
      <c r="N81" s="154"/>
      <c r="Q81" s="143"/>
      <c r="R81" s="120" t="str">
        <f t="array" aca="1" ref="R81" ca="1">IF(R79&lt;&gt;"",
IF(IFERROR(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"")=0,"",
IF(Q38=100,
IFERROR(
INDEX(INDIRECT("数出表_Excel!"&amp;Q78&amp;MATCH(V36,数出表_Excel!$A:$A,0)-1+2&amp;":U"&amp;MATCH(V36,数出表_Excel!$A:$A,0)-1+2&amp;""),
 1,
 MATCH(TRUE, ISNUMBER(--INDIRECT("数出表_Excel!"&amp;Q78&amp;MATCH(V36,数出表_Excel!$A:$A,0)-1+2&amp;":U"&amp;MATCH(V36,数出表_Excel!$A:$A,0)-1+2&amp;"")), 0)),
 "")
+IFERROR(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""),
IFERROR(
INDEX(INDIRECT("数出表_Excel!"&amp;Q78&amp;MATCH(V36,数出表_Excel!$A:$A,0)-1&amp;":U"&amp;MATCH(V36,数出表_Excel!$A:$A,0)-1&amp;""),
 1,
 MATCH(TRUE, ISNUMBER(--INDIRECT("数出表_Excel!"&amp;Q78&amp;MATCH(V36,数出表_Excel!$A:$A,0)-1&amp;":U"&amp;MATCH(V36,数出表_Excel!$A:$A,0)-1&amp;"")), 0)),
 ""))),"")</f>
        <v/>
      </c>
      <c r="S81" s="144"/>
      <c r="T81" s="145" t="str">
        <f t="array" aca="1" ref="T81" ca="1">IF(R37&lt;&gt;"",
IF(IFERROR(
INDEX(INDIRECT("数出表_Excel!B"&amp;MATCH(V36,数出表_Excel!$A:$A,0)&amp;":U"&amp;MATCH(V36,数出表_Excel!$A:$A,0)&amp;""),
 1,Q79-1),
 "")=0,"",
IFERROR(
INDEX(INDIRECT("数出表_Excel!B"&amp;MATCH(V36,数出表_Excel!$A:$A,0)&amp;":U"&amp;MATCH(V36,数出表_Excel!$A:$A,0)&amp;""),
 1,Q79-1),
 "")),"")</f>
        <v/>
      </c>
      <c r="U81" s="144"/>
      <c r="V81" s="154"/>
      <c r="X81" s="143"/>
      <c r="Y81" s="120" t="str">
        <f t="array" aca="1" ref="Y81" ca="1">IF(Y79&lt;&gt;"",
IF(IFERROR(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"")=0,"",
IF(X38=100,
IFERROR(
INDEX(INDIRECT("数出表_Excel!"&amp;X78&amp;MATCH(AC36,数出表_Excel!$A:$A,0)-1+2&amp;":U"&amp;MATCH(AC36,数出表_Excel!$A:$A,0)-1+2&amp;""),
 1,
 MATCH(TRUE, ISNUMBER(--INDIRECT("数出表_Excel!"&amp;X78&amp;MATCH(AC36,数出表_Excel!$A:$A,0)-1+2&amp;":U"&amp;MATCH(AC36,数出表_Excel!$A:$A,0)-1+2&amp;"")), 0)),
 "")
+IFERROR(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""),
IFERROR(
INDEX(INDIRECT("数出表_Excel!"&amp;X78&amp;MATCH(AC36,数出表_Excel!$A:$A,0)-1&amp;":U"&amp;MATCH(AC36,数出表_Excel!$A:$A,0)-1&amp;""),
 1,
 MATCH(TRUE, ISNUMBER(--INDIRECT("数出表_Excel!"&amp;X78&amp;MATCH(AC36,数出表_Excel!$A:$A,0)-1&amp;":U"&amp;MATCH(AC36,数出表_Excel!$A:$A,0)-1&amp;"")), 0)),
 ""))),"")</f>
        <v/>
      </c>
      <c r="Z81" s="144"/>
      <c r="AA81" s="145" t="str">
        <f t="array" aca="1" ref="AA81" ca="1">IF(Y37&lt;&gt;"",
IF(IFERROR(
INDEX(INDIRECT("数出表_Excel!B"&amp;MATCH(AC36,数出表_Excel!$A:$A,0)&amp;":U"&amp;MATCH(AC36,数出表_Excel!$A:$A,0)&amp;""),
 1,X79-1),
 "")=0,"",
IFERROR(
INDEX(INDIRECT("数出表_Excel!B"&amp;MATCH(AC36,数出表_Excel!$A:$A,0)&amp;":U"&amp;MATCH(AC36,数出表_Excel!$A:$A,0)&amp;""),
 1,X79-1),
 "")),"")</f>
        <v/>
      </c>
      <c r="AB81" s="144"/>
      <c r="AC81" s="154"/>
      <c r="AF81" s="143"/>
      <c r="AG81" s="120" t="str">
        <f t="array" aca="1" ref="AG81" ca="1">IF(AG79&lt;&gt;"",
IF(IFERROR(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"")=0,"",
IF(AF38=100,
IFERROR(
INDEX(INDIRECT("数出表_Excel!"&amp;AF78&amp;MATCH(AK36,数出表_Excel!$A:$A,0)-1+2&amp;":U"&amp;MATCH(AK36,数出表_Excel!$A:$A,0)-1+2&amp;""),
 1,
 MATCH(TRUE, ISNUMBER(--INDIRECT("数出表_Excel!"&amp;AF78&amp;MATCH(AK36,数出表_Excel!$A:$A,0)-1+2&amp;":U"&amp;MATCH(AK36,数出表_Excel!$A:$A,0)-1+2&amp;"")), 0)),
 "")
+IFERROR(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""),
IFERROR(
INDEX(INDIRECT("数出表_Excel!"&amp;AF78&amp;MATCH(AK36,数出表_Excel!$A:$A,0)-1&amp;":U"&amp;MATCH(AK36,数出表_Excel!$A:$A,0)-1&amp;""),
 1,
 MATCH(TRUE, ISNUMBER(--INDIRECT("数出表_Excel!"&amp;AF78&amp;MATCH(AK36,数出表_Excel!$A:$A,0)-1&amp;":U"&amp;MATCH(AK36,数出表_Excel!$A:$A,0)-1&amp;"")), 0)),
 ""))),"")</f>
        <v/>
      </c>
      <c r="AH81" s="144"/>
      <c r="AI81" s="145" t="str">
        <f t="array" aca="1" ref="AI81" ca="1">IF(AG37&lt;&gt;"",
IF(IFERROR(
INDEX(INDIRECT("数出表_Excel!B"&amp;MATCH(AK36,数出表_Excel!$A:$A,0)&amp;":U"&amp;MATCH(AK36,数出表_Excel!$A:$A,0)&amp;""),
 1,AF79-1),
 "")=0,"",
IFERROR(
INDEX(INDIRECT("数出表_Excel!B"&amp;MATCH(AK36,数出表_Excel!$A:$A,0)&amp;":U"&amp;MATCH(AK36,数出表_Excel!$A:$A,0)&amp;""),
 1,AF79-1),
 "")),"")</f>
        <v/>
      </c>
      <c r="AJ81" s="144"/>
      <c r="AK81" s="154"/>
      <c r="AM81" s="143"/>
      <c r="AN81" s="120" t="str">
        <f t="array" aca="1" ref="AN81" ca="1">IF(AN79&lt;&gt;"",
IF(IFERROR(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"")=0,"",
IF(AM38=100,
IFERROR(
INDEX(INDIRECT("数出表_Excel!"&amp;AM78&amp;MATCH(AR36,数出表_Excel!$A:$A,0)-1+2&amp;":U"&amp;MATCH(AR36,数出表_Excel!$A:$A,0)-1+2&amp;""),
 1,
 MATCH(TRUE, ISNUMBER(--INDIRECT("数出表_Excel!"&amp;AM78&amp;MATCH(AR36,数出表_Excel!$A:$A,0)-1+2&amp;":U"&amp;MATCH(AR36,数出表_Excel!$A:$A,0)-1+2&amp;"")), 0)),
 "")
+IFERROR(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""),
IFERROR(
INDEX(INDIRECT("数出表_Excel!"&amp;AM78&amp;MATCH(AR36,数出表_Excel!$A:$A,0)-1&amp;":U"&amp;MATCH(AR36,数出表_Excel!$A:$A,0)-1&amp;""),
 1,
 MATCH(TRUE, ISNUMBER(--INDIRECT("数出表_Excel!"&amp;AM78&amp;MATCH(AR36,数出表_Excel!$A:$A,0)-1&amp;":U"&amp;MATCH(AR36,数出表_Excel!$A:$A,0)-1&amp;"")), 0)),
 ""))),"")</f>
        <v/>
      </c>
      <c r="AO81" s="144"/>
      <c r="AP81" s="145" t="str">
        <f t="array" aca="1" ref="AP81" ca="1">IF(AN37&lt;&gt;"",
IF(IFERROR(
INDEX(INDIRECT("数出表_Excel!B"&amp;MATCH(AR36,数出表_Excel!$A:$A,0)&amp;":U"&amp;MATCH(AR36,数出表_Excel!$A:$A,0)&amp;""),
 1,AM79-1),
 "")=0,"",
IFERROR(
INDEX(INDIRECT("数出表_Excel!B"&amp;MATCH(AR36,数出表_Excel!$A:$A,0)&amp;":U"&amp;MATCH(AR36,数出表_Excel!$A:$A,0)&amp;""),
 1,AM79-1),
 "")),"")</f>
        <v/>
      </c>
      <c r="AQ81" s="144"/>
      <c r="AR81" s="154"/>
      <c r="AU81" s="143"/>
      <c r="AV81" s="120" t="str">
        <f t="array" aca="1" ref="AV81" ca="1">IF(AV79&lt;&gt;"",
IF(IFERROR(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"")=0,"",
IF(AU38=100,
IFERROR(
INDEX(INDIRECT("数出表_Excel!"&amp;AU78&amp;MATCH(AZ36,数出表_Excel!$A:$A,0)-1+2&amp;":U"&amp;MATCH(AZ36,数出表_Excel!$A:$A,0)-1+2&amp;""),
 1,
 MATCH(TRUE, ISNUMBER(--INDIRECT("数出表_Excel!"&amp;AU78&amp;MATCH(AZ36,数出表_Excel!$A:$A,0)-1+2&amp;":U"&amp;MATCH(AZ36,数出表_Excel!$A:$A,0)-1+2&amp;"")), 0)),
 "")
+IFERROR(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""),
IFERROR(
INDEX(INDIRECT("数出表_Excel!"&amp;AU78&amp;MATCH(AZ36,数出表_Excel!$A:$A,0)-1&amp;":U"&amp;MATCH(AZ36,数出表_Excel!$A:$A,0)-1&amp;""),
 1,
 MATCH(TRUE, ISNUMBER(--INDIRECT("数出表_Excel!"&amp;AU78&amp;MATCH(AZ36,数出表_Excel!$A:$A,0)-1&amp;":U"&amp;MATCH(AZ36,数出表_Excel!$A:$A,0)-1&amp;"")), 0)),
 ""))),"")</f>
        <v/>
      </c>
      <c r="AW81" s="144"/>
      <c r="AX81" s="145" t="str">
        <f t="array" aca="1" ref="AX81" ca="1">IF(AV37&lt;&gt;"",
IF(IFERROR(
INDEX(INDIRECT("数出表_Excel!B"&amp;MATCH(AZ36,数出表_Excel!$A:$A,0)&amp;":U"&amp;MATCH(AZ36,数出表_Excel!$A:$A,0)&amp;""),
 1,AU79-1),
 "")=0,"",
IFERROR(
INDEX(INDIRECT("数出表_Excel!B"&amp;MATCH(AZ36,数出表_Excel!$A:$A,0)&amp;":U"&amp;MATCH(AZ36,数出表_Excel!$A:$A,0)&amp;""),
 1,AU79-1),
 "")),"")</f>
        <v/>
      </c>
      <c r="AY81" s="144"/>
      <c r="AZ81" s="154"/>
      <c r="BB81" s="143"/>
      <c r="BC81" s="120" t="str">
        <f t="array" aca="1" ref="BC81" ca="1">IF(BC79&lt;&gt;"",
IF(IFERROR(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"")=0,"",
IF(BB38=100,
IFERROR(
INDEX(INDIRECT("数出表_Excel!"&amp;BB78&amp;MATCH(BG36,数出表_Excel!$A:$A,0)-1+2&amp;":U"&amp;MATCH(BG36,数出表_Excel!$A:$A,0)-1+2&amp;""),
 1,
 MATCH(TRUE, ISNUMBER(--INDIRECT("数出表_Excel!"&amp;BB78&amp;MATCH(BG36,数出表_Excel!$A:$A,0)-1+2&amp;":U"&amp;MATCH(BG36,数出表_Excel!$A:$A,0)-1+2&amp;"")), 0)),
 "")
+IFERROR(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""),
IFERROR(
INDEX(INDIRECT("数出表_Excel!"&amp;BB78&amp;MATCH(BG36,数出表_Excel!$A:$A,0)-1&amp;":U"&amp;MATCH(BG36,数出表_Excel!$A:$A,0)-1&amp;""),
 1,
 MATCH(TRUE, ISNUMBER(--INDIRECT("数出表_Excel!"&amp;BB78&amp;MATCH(BG36,数出表_Excel!$A:$A,0)-1&amp;":U"&amp;MATCH(BG36,数出表_Excel!$A:$A,0)-1&amp;"")), 0)),
 ""))),"")</f>
        <v/>
      </c>
      <c r="BD81" s="144"/>
      <c r="BE81" s="145" t="str">
        <f t="array" aca="1" ref="BE81" ca="1">IF(BC37&lt;&gt;"",
IF(IFERROR(
INDEX(INDIRECT("数出表_Excel!B"&amp;MATCH(BG36,数出表_Excel!$A:$A,0)&amp;":U"&amp;MATCH(BG36,数出表_Excel!$A:$A,0)&amp;""),
 1,BB79-1),
 "")=0,"",
IFERROR(
INDEX(INDIRECT("数出表_Excel!B"&amp;MATCH(BG36,数出表_Excel!$A:$A,0)&amp;":U"&amp;MATCH(BG36,数出表_Excel!$A:$A,0)&amp;""),
 1,BB79-1),
 "")),"")</f>
        <v/>
      </c>
      <c r="BF81" s="144"/>
      <c r="BG81" s="154"/>
      <c r="BJ81" s="143"/>
      <c r="BK81" s="120" t="str">
        <f t="array" aca="1" ref="BK81" ca="1">IF(BK79&lt;&gt;"",
IF(IFERROR(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"")=0,"",
IF(BJ38=100,
IFERROR(
INDEX(INDIRECT("数出表_Excel!"&amp;BJ78&amp;MATCH(BO36,数出表_Excel!$A:$A,0)-1+2&amp;":U"&amp;MATCH(BO36,数出表_Excel!$A:$A,0)-1+2&amp;""),
 1,
 MATCH(TRUE, ISNUMBER(--INDIRECT("数出表_Excel!"&amp;BJ78&amp;MATCH(BO36,数出表_Excel!$A:$A,0)-1+2&amp;":U"&amp;MATCH(BO36,数出表_Excel!$A:$A,0)-1+2&amp;"")), 0)),
 "")
+IFERROR(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""),
IFERROR(
INDEX(INDIRECT("数出表_Excel!"&amp;BJ78&amp;MATCH(BO36,数出表_Excel!$A:$A,0)-1&amp;":U"&amp;MATCH(BO36,数出表_Excel!$A:$A,0)-1&amp;""),
 1,
 MATCH(TRUE, ISNUMBER(--INDIRECT("数出表_Excel!"&amp;BJ78&amp;MATCH(BO36,数出表_Excel!$A:$A,0)-1&amp;":U"&amp;MATCH(BO36,数出表_Excel!$A:$A,0)-1&amp;"")), 0)),
 ""))),"")</f>
        <v/>
      </c>
      <c r="BL81" s="144"/>
      <c r="BM81" s="145" t="str">
        <f t="array" aca="1" ref="BM81" ca="1">IF(BK37&lt;&gt;"",
IF(IFERROR(
INDEX(INDIRECT("数出表_Excel!B"&amp;MATCH(BO36,数出表_Excel!$A:$A,0)&amp;":U"&amp;MATCH(BO36,数出表_Excel!$A:$A,0)&amp;""),
 1,BJ79-1),
 "")=0,"",
IFERROR(
INDEX(INDIRECT("数出表_Excel!B"&amp;MATCH(BO36,数出表_Excel!$A:$A,0)&amp;":U"&amp;MATCH(BO36,数出表_Excel!$A:$A,0)&amp;""),
 1,BJ79-1),
 "")),"")</f>
        <v/>
      </c>
      <c r="BN81" s="144"/>
      <c r="BO81" s="154"/>
      <c r="BQ81" s="143"/>
      <c r="BR81" s="120" t="str">
        <f t="array" aca="1" ref="BR81" ca="1">IF(BR79&lt;&gt;"",
IF(IFERROR(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"")=0,"",
IF(BQ38=100,
IFERROR(
INDEX(INDIRECT("数出表_Excel!"&amp;BQ78&amp;MATCH(BV36,数出表_Excel!$A:$A,0)-1+2&amp;":U"&amp;MATCH(BV36,数出表_Excel!$A:$A,0)-1+2&amp;""),
 1,
 MATCH(TRUE, ISNUMBER(--INDIRECT("数出表_Excel!"&amp;BQ78&amp;MATCH(BV36,数出表_Excel!$A:$A,0)-1+2&amp;":U"&amp;MATCH(BV36,数出表_Excel!$A:$A,0)-1+2&amp;"")), 0)),
 "")
+IFERROR(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""),
IFERROR(
INDEX(INDIRECT("数出表_Excel!"&amp;BQ78&amp;MATCH(BV36,数出表_Excel!$A:$A,0)-1&amp;":U"&amp;MATCH(BV36,数出表_Excel!$A:$A,0)-1&amp;""),
 1,
 MATCH(TRUE, ISNUMBER(--INDIRECT("数出表_Excel!"&amp;BQ78&amp;MATCH(BV36,数出表_Excel!$A:$A,0)-1&amp;":U"&amp;MATCH(BV36,数出表_Excel!$A:$A,0)-1&amp;"")), 0)),
 ""))),"")</f>
        <v/>
      </c>
      <c r="BS81" s="144"/>
      <c r="BT81" s="145" t="str">
        <f t="array" aca="1" ref="BT81" ca="1">IF(BR37&lt;&gt;"",
IF(IFERROR(
INDEX(INDIRECT("数出表_Excel!B"&amp;MATCH(BV36,数出表_Excel!$A:$A,0)&amp;":U"&amp;MATCH(BV36,数出表_Excel!$A:$A,0)&amp;""),
 1,BQ79-1),
 "")=0,"",
IFERROR(
INDEX(INDIRECT("数出表_Excel!B"&amp;MATCH(BV36,数出表_Excel!$A:$A,0)&amp;":U"&amp;MATCH(BV36,数出表_Excel!$A:$A,0)&amp;""),
 1,BQ79-1),
 "")),"")</f>
        <v/>
      </c>
      <c r="BU81" s="144"/>
      <c r="BV81" s="154"/>
      <c r="BX81" s="132">
        <f t="shared" si="6"/>
        <v>14</v>
      </c>
      <c r="BY81" s="132" t="str">
        <f t="array" aca="1" ref="BY81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LEN(SUBSTITUTE(_xlfn.FORMULATEXT(BY$73),"=","")))+$BX81)</f>
        <v/>
      </c>
      <c r="BZ81" s="132" t="str">
        <f t="array" aca="1" ref="BZ81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LEN(SUBSTITUTE(_xlfn.FORMULATEXT(BZ$73),"=","")))+$BX81)</f>
        <v/>
      </c>
      <c r="CA81" s="132" t="str">
        <f t="array" aca="1" ref="CA81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LEN(SUBSTITUTE(_xlfn.FORMULATEXT(CA$73),"=","")))+$BX81)</f>
        <v/>
      </c>
      <c r="CB81" s="132" t="str">
        <f t="array" aca="1" ref="CB81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LEN(SUBSTITUTE(_xlfn.FORMULATEXT(CB$73),"=","")))+$BX81)</f>
        <v/>
      </c>
      <c r="CC81" s="132" t="str">
        <f t="array" aca="1" ref="CC81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LEN(SUBSTITUTE(_xlfn.FORMULATEXT(CC$73),"=","")))+$BX81)</f>
        <v/>
      </c>
      <c r="CD81" s="132" t="str">
        <f t="array" aca="1" ref="CD81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LEN(SUBSTITUTE(_xlfn.FORMULATEXT(CD$73),"=","")))+$BX81)</f>
        <v/>
      </c>
      <c r="CE81" s="132" t="str">
        <f t="array" aca="1" ref="CE81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LEN(SUBSTITUTE(_xlfn.FORMULATEXT(CE$73),"=","")))+$BX81)</f>
        <v/>
      </c>
      <c r="CF81" s="132" t="str">
        <f t="array" aca="1" ref="CF81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LEN(SUBSTITUTE(_xlfn.FORMULATEXT(CF$73),"=","")))+$BX81)</f>
        <v/>
      </c>
      <c r="CG81" s="132" t="str">
        <f t="array" aca="1" ref="CG81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LEN(SUBSTITUTE(_xlfn.FORMULATEXT(CG$73),"=","")))+$BX81)</f>
        <v/>
      </c>
      <c r="CH81" s="132" t="str">
        <f t="array" aca="1" ref="CH81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LEN(SUBSTITUTE(_xlfn.FORMULATEXT(CH$73),"=","")))+$BX81)</f>
        <v/>
      </c>
      <c r="CI81" s="132">
        <f t="shared" ca="1" si="5"/>
        <v>0</v>
      </c>
      <c r="CJ81" s="132" t="b">
        <f t="array" aca="1" ref="CJ81" ca="1">SUMPRODUCT((LEN(BY81:CH81)&gt;0)*1)&gt;0</f>
        <v>0</v>
      </c>
      <c r="CK81" s="132" t="str" cm="1">
        <f t="array" aca="1" ref="CK81" ca="1">IFERROR(SMALL(IF(CI$1:CI$150&lt;&gt;0,CI$1:CI$150),ROW(A81)),"")</f>
        <v/>
      </c>
      <c r="CL81" s="132" t="str">
        <f t="array" aca="1" ref="CL81" ca="1">IF($CK81&lt;&gt;"",
INDIRECT(""&amp;IF(COLUMN(BY81)&lt;=26,CHAR(COLUMN(BY81)+64),CHAR(INT((COLUMN(BY81)-1)/26)+64)&amp;CHAR(MOD(COLUMN(BY81)-1,26)+65))&amp;$CK81&amp;""),"")</f>
        <v/>
      </c>
      <c r="CM81" s="132" t="str">
        <f t="array" aca="1" ref="CM81" ca="1">IF($CK81&lt;&gt;"",
INDIRECT(""&amp;IF(COLUMN(BZ81)&lt;=26,CHAR(COLUMN(BZ81)+64),CHAR(INT((COLUMN(BZ81)-1)/26)+64)&amp;CHAR(MOD(COLUMN(BZ81)-1,26)+65))&amp;$CK81&amp;""),"")</f>
        <v/>
      </c>
      <c r="CN81" s="132" t="str">
        <f t="array" aca="1" ref="CN81" ca="1">IF($CK81&lt;&gt;"",
INDIRECT(""&amp;IF(COLUMN(CA81)&lt;=26,CHAR(COLUMN(CA81)+64),CHAR(INT((COLUMN(CA81)-1)/26)+64)&amp;CHAR(MOD(COLUMN(CA81)-1,26)+65))&amp;$CK81&amp;""),"")</f>
        <v/>
      </c>
      <c r="CO81" s="132" t="str">
        <f t="array" aca="1" ref="CO81" ca="1">IF($CK81&lt;&gt;"",
INDIRECT(""&amp;IF(COLUMN(CB81)&lt;=26,CHAR(COLUMN(CB81)+64),CHAR(INT((COLUMN(CB81)-1)/26)+64)&amp;CHAR(MOD(COLUMN(CB81)-1,26)+65))&amp;$CK81&amp;""),"")</f>
        <v/>
      </c>
      <c r="CP81" s="132" t="str">
        <f t="array" aca="1" ref="CP81" ca="1">IF($CK81&lt;&gt;"",
INDIRECT(""&amp;IF(COLUMN(CC81)&lt;=26,CHAR(COLUMN(CC81)+64),CHAR(INT((COLUMN(CC81)-1)/26)+64)&amp;CHAR(MOD(COLUMN(CC81)-1,26)+65))&amp;$CK81&amp;""),"")</f>
        <v/>
      </c>
      <c r="CQ81" s="132" t="str">
        <f t="array" aca="1" ref="CQ81" ca="1">IF($CK81&lt;&gt;"",
INDIRECT(""&amp;IF(COLUMN(CD81)&lt;=26,CHAR(COLUMN(CD81)+64),CHAR(INT((COLUMN(CD81)-1)/26)+64)&amp;CHAR(MOD(COLUMN(CD81)-1,26)+65))&amp;$CK81&amp;""),"")</f>
        <v/>
      </c>
      <c r="CR81" s="132" t="str">
        <f t="array" aca="1" ref="CR81" ca="1">IF($CK81&lt;&gt;"",
INDIRECT(""&amp;IF(COLUMN(CE81)&lt;=26,CHAR(COLUMN(CE81)+64),CHAR(INT((COLUMN(CE81)-1)/26)+64)&amp;CHAR(MOD(COLUMN(CE81)-1,26)+65))&amp;$CK81&amp;""),"")</f>
        <v/>
      </c>
      <c r="CS81" s="132" t="str">
        <f t="array" aca="1" ref="CS81" ca="1">IF($CK81&lt;&gt;"",
INDIRECT(""&amp;IF(COLUMN(CF81)&lt;=26,CHAR(COLUMN(CF81)+64),CHAR(INT((COLUMN(CF81)-1)/26)+64)&amp;CHAR(MOD(COLUMN(CF81)-1,26)+65))&amp;$CK81&amp;""),"")</f>
        <v/>
      </c>
      <c r="CT81" s="132" t="str">
        <f t="array" aca="1" ref="CT81" ca="1">IF($CK81&lt;&gt;"",
INDIRECT(""&amp;IF(COLUMN(CG81)&lt;=26,CHAR(COLUMN(CG81)+64),CHAR(INT((COLUMN(CG81)-1)/26)+64)&amp;CHAR(MOD(COLUMN(CG81)-1,26)+65))&amp;$CK81&amp;""),"")</f>
        <v/>
      </c>
      <c r="CU81" s="132" t="str">
        <f t="array" aca="1" ref="CU81" ca="1">IF($CK81&lt;&gt;"",
INDIRECT(""&amp;IF(COLUMN(CH81)&lt;=26,CHAR(COLUMN(CH81)+64),CHAR(INT((COLUMN(CH81)-1)/26)+64)&amp;CHAR(MOD(COLUMN(CH81)-1,26)+65))&amp;$CK81&amp;""),"")</f>
        <v/>
      </c>
    </row>
    <row r="82" spans="1:99" ht="18" customHeight="1" x14ac:dyDescent="0.45">
      <c r="B82" s="147"/>
      <c r="C82" s="148"/>
      <c r="D82" s="148"/>
      <c r="E82" s="148"/>
      <c r="F82" s="148"/>
      <c r="G82" s="160"/>
      <c r="I82" s="147"/>
      <c r="J82" s="148"/>
      <c r="K82" s="148"/>
      <c r="L82" s="148"/>
      <c r="M82" s="148"/>
      <c r="N82" s="155"/>
      <c r="Q82" s="147"/>
      <c r="R82" s="148"/>
      <c r="S82" s="148"/>
      <c r="T82" s="148"/>
      <c r="U82" s="148"/>
      <c r="V82" s="155"/>
      <c r="X82" s="147"/>
      <c r="Y82" s="148"/>
      <c r="Z82" s="148"/>
      <c r="AA82" s="148"/>
      <c r="AB82" s="148"/>
      <c r="AC82" s="155"/>
      <c r="AF82" s="147"/>
      <c r="AG82" s="148"/>
      <c r="AH82" s="148"/>
      <c r="AI82" s="148"/>
      <c r="AJ82" s="148"/>
      <c r="AK82" s="155"/>
      <c r="AM82" s="147"/>
      <c r="AN82" s="148"/>
      <c r="AO82" s="148"/>
      <c r="AP82" s="148"/>
      <c r="AQ82" s="148"/>
      <c r="AR82" s="155"/>
      <c r="AU82" s="147"/>
      <c r="AV82" s="148"/>
      <c r="AW82" s="148"/>
      <c r="AX82" s="148"/>
      <c r="AY82" s="148"/>
      <c r="AZ82" s="155"/>
      <c r="BB82" s="147"/>
      <c r="BC82" s="148"/>
      <c r="BD82" s="148"/>
      <c r="BE82" s="148"/>
      <c r="BF82" s="148"/>
      <c r="BG82" s="155"/>
      <c r="BJ82" s="147"/>
      <c r="BK82" s="148"/>
      <c r="BL82" s="148"/>
      <c r="BM82" s="148"/>
      <c r="BN82" s="148"/>
      <c r="BO82" s="155"/>
      <c r="BQ82" s="147"/>
      <c r="BR82" s="148"/>
      <c r="BS82" s="148"/>
      <c r="BT82" s="148"/>
      <c r="BU82" s="148"/>
      <c r="BV82" s="155"/>
      <c r="BX82" s="132">
        <f t="shared" si="6"/>
        <v>56</v>
      </c>
      <c r="BY82" s="132" t="str">
        <f t="array" aca="1" ref="BY82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LEN(SUBSTITUTE(_xlfn.FORMULATEXT(BY$73),"=","")))+$BX82)</f>
        <v/>
      </c>
      <c r="BZ82" s="132" t="str">
        <f t="array" aca="1" ref="BZ82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LEN(SUBSTITUTE(_xlfn.FORMULATEXT(BZ$73),"=","")))+$BX82)</f>
        <v/>
      </c>
      <c r="CA82" s="132" t="str">
        <f t="array" aca="1" ref="CA82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LEN(SUBSTITUTE(_xlfn.FORMULATEXT(CA$73),"=","")))+$BX82)</f>
        <v/>
      </c>
      <c r="CB82" s="132" t="str">
        <f t="array" aca="1" ref="CB82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LEN(SUBSTITUTE(_xlfn.FORMULATEXT(CB$73),"=","")))+$BX82)</f>
        <v/>
      </c>
      <c r="CC82" s="132" t="str">
        <f t="array" aca="1" ref="CC82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LEN(SUBSTITUTE(_xlfn.FORMULATEXT(CC$73),"=","")))+$BX82)</f>
        <v/>
      </c>
      <c r="CD82" s="132" t="str">
        <f t="array" aca="1" ref="CD82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LEN(SUBSTITUTE(_xlfn.FORMULATEXT(CD$73),"=","")))+$BX82)</f>
        <v/>
      </c>
      <c r="CE82" s="132" t="str">
        <f t="array" aca="1" ref="CE82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LEN(SUBSTITUTE(_xlfn.FORMULATEXT(CE$73),"=","")))+$BX82)</f>
        <v/>
      </c>
      <c r="CF82" s="132" t="str">
        <f t="array" aca="1" ref="CF82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LEN(SUBSTITUTE(_xlfn.FORMULATEXT(CF$73),"=","")))+$BX82)</f>
        <v/>
      </c>
      <c r="CG82" s="132" t="str">
        <f t="array" aca="1" ref="CG82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LEN(SUBSTITUTE(_xlfn.FORMULATEXT(CG$73),"=","")))+$BX82)</f>
        <v/>
      </c>
      <c r="CH82" s="132" t="str">
        <f t="array" aca="1" ref="CH82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LEN(SUBSTITUTE(_xlfn.FORMULATEXT(CH$73),"=","")))+$BX82)</f>
        <v/>
      </c>
      <c r="CI82" s="132">
        <f t="shared" ca="1" si="5"/>
        <v>0</v>
      </c>
      <c r="CJ82" s="132" t="b">
        <f t="array" aca="1" ref="CJ82" ca="1">SUMPRODUCT((LEN(BY82:CH82)&gt;0)*1)&gt;0</f>
        <v>0</v>
      </c>
      <c r="CK82" s="132" t="str" cm="1">
        <f t="array" aca="1" ref="CK82" ca="1">IFERROR(SMALL(IF(CI$1:CI$150&lt;&gt;0,CI$1:CI$150),ROW(A82)),"")</f>
        <v/>
      </c>
      <c r="CL82" s="132" t="str">
        <f t="array" aca="1" ref="CL82" ca="1">IF($CK82&lt;&gt;"",
INDIRECT(""&amp;IF(COLUMN(BY82)&lt;=26,CHAR(COLUMN(BY82)+64),CHAR(INT((COLUMN(BY82)-1)/26)+64)&amp;CHAR(MOD(COLUMN(BY82)-1,26)+65))&amp;$CK82&amp;""),"")</f>
        <v/>
      </c>
      <c r="CM82" s="132" t="str">
        <f t="array" aca="1" ref="CM82" ca="1">IF($CK82&lt;&gt;"",
INDIRECT(""&amp;IF(COLUMN(BZ82)&lt;=26,CHAR(COLUMN(BZ82)+64),CHAR(INT((COLUMN(BZ82)-1)/26)+64)&amp;CHAR(MOD(COLUMN(BZ82)-1,26)+65))&amp;$CK82&amp;""),"")</f>
        <v/>
      </c>
      <c r="CN82" s="132" t="str">
        <f t="array" aca="1" ref="CN82" ca="1">IF($CK82&lt;&gt;"",
INDIRECT(""&amp;IF(COLUMN(CA82)&lt;=26,CHAR(COLUMN(CA82)+64),CHAR(INT((COLUMN(CA82)-1)/26)+64)&amp;CHAR(MOD(COLUMN(CA82)-1,26)+65))&amp;$CK82&amp;""),"")</f>
        <v/>
      </c>
      <c r="CO82" s="132" t="str">
        <f t="array" aca="1" ref="CO82" ca="1">IF($CK82&lt;&gt;"",
INDIRECT(""&amp;IF(COLUMN(CB82)&lt;=26,CHAR(COLUMN(CB82)+64),CHAR(INT((COLUMN(CB82)-1)/26)+64)&amp;CHAR(MOD(COLUMN(CB82)-1,26)+65))&amp;$CK82&amp;""),"")</f>
        <v/>
      </c>
      <c r="CP82" s="132" t="str">
        <f t="array" aca="1" ref="CP82" ca="1">IF($CK82&lt;&gt;"",
INDIRECT(""&amp;IF(COLUMN(CC82)&lt;=26,CHAR(COLUMN(CC82)+64),CHAR(INT((COLUMN(CC82)-1)/26)+64)&amp;CHAR(MOD(COLUMN(CC82)-1,26)+65))&amp;$CK82&amp;""),"")</f>
        <v/>
      </c>
      <c r="CQ82" s="132" t="str">
        <f t="array" aca="1" ref="CQ82" ca="1">IF($CK82&lt;&gt;"",
INDIRECT(""&amp;IF(COLUMN(CD82)&lt;=26,CHAR(COLUMN(CD82)+64),CHAR(INT((COLUMN(CD82)-1)/26)+64)&amp;CHAR(MOD(COLUMN(CD82)-1,26)+65))&amp;$CK82&amp;""),"")</f>
        <v/>
      </c>
      <c r="CR82" s="132" t="str">
        <f t="array" aca="1" ref="CR82" ca="1">IF($CK82&lt;&gt;"",
INDIRECT(""&amp;IF(COLUMN(CE82)&lt;=26,CHAR(COLUMN(CE82)+64),CHAR(INT((COLUMN(CE82)-1)/26)+64)&amp;CHAR(MOD(COLUMN(CE82)-1,26)+65))&amp;$CK82&amp;""),"")</f>
        <v/>
      </c>
      <c r="CS82" s="132" t="str">
        <f t="array" aca="1" ref="CS82" ca="1">IF($CK82&lt;&gt;"",
INDIRECT(""&amp;IF(COLUMN(CF82)&lt;=26,CHAR(COLUMN(CF82)+64),CHAR(INT((COLUMN(CF82)-1)/26)+64)&amp;CHAR(MOD(COLUMN(CF82)-1,26)+65))&amp;$CK82&amp;""),"")</f>
        <v/>
      </c>
      <c r="CT82" s="132" t="str">
        <f t="array" aca="1" ref="CT82" ca="1">IF($CK82&lt;&gt;"",
INDIRECT(""&amp;IF(COLUMN(CG82)&lt;=26,CHAR(COLUMN(CG82)+64),CHAR(INT((COLUMN(CG82)-1)/26)+64)&amp;CHAR(MOD(COLUMN(CG82)-1,26)+65))&amp;$CK82&amp;""),"")</f>
        <v/>
      </c>
      <c r="CU82" s="132" t="str">
        <f t="array" aca="1" ref="CU82" ca="1">IF($CK82&lt;&gt;"",
INDIRECT(""&amp;IF(COLUMN(CH82)&lt;=26,CHAR(COLUMN(CH82)+64),CHAR(INT((COLUMN(CH82)-1)/26)+64)&amp;CHAR(MOD(COLUMN(CH82)-1,26)+65))&amp;$CK82&amp;""),"")</f>
        <v/>
      </c>
    </row>
    <row r="83" spans="1:99" s="132" customFormat="1" ht="22.2" customHeight="1" x14ac:dyDescent="0.55000000000000004">
      <c r="A83" s="129"/>
      <c r="B83" s="149" t="str">
        <f ca="1">IF(C81&lt;&gt;"","パン箱","")</f>
        <v/>
      </c>
      <c r="C83" s="150" t="str">
        <f ca="1">IF(C81&lt;&gt;"",IF(OR(COUNTIF('盛付札（関数）'!C79,"*キャラ*"),COUNTIF('盛付札（関数）'!C79,"*赤*")),24,
VLOOKUP('盛付札（関数）'!C79,商品マスタ一覧!$D:$I,6,FALSE)),"")</f>
        <v/>
      </c>
      <c r="D83" s="149" t="str">
        <f ca="1">IF(C81&lt;&gt;"","　端数","")</f>
        <v/>
      </c>
      <c r="E83" s="150"/>
      <c r="F83" s="149" t="str">
        <f ca="1">IF(C81&lt;&gt;"","アレルギー","")</f>
        <v/>
      </c>
      <c r="G83" s="159"/>
      <c r="H83" s="129"/>
      <c r="I83" s="149" t="str">
        <f ca="1">IF(J81&lt;&gt;"","パン箱","")</f>
        <v/>
      </c>
      <c r="J83" s="150" t="str">
        <f ca="1">IF(J81&lt;&gt;"",IF(OR(COUNTIF('盛付札（関数）'!J79,"*キャラ*"),COUNTIF('盛付札（関数）'!J79,"*赤*")),24,
VLOOKUP('盛付札（関数）'!J79,商品マスタ一覧!$D:$I,6,FALSE)),"")</f>
        <v/>
      </c>
      <c r="K83" s="149" t="str">
        <f ca="1">IF(J81&lt;&gt;"","　端数","")</f>
        <v/>
      </c>
      <c r="L83" s="150"/>
      <c r="M83" s="149" t="str">
        <f ca="1">IF(J81&lt;&gt;"","アレルギー","")</f>
        <v/>
      </c>
      <c r="N83" s="154"/>
      <c r="O83" s="129"/>
      <c r="P83" s="129"/>
      <c r="Q83" s="149" t="str">
        <f ca="1">IF(R81&lt;&gt;"","パン箱","")</f>
        <v/>
      </c>
      <c r="R83" s="150" t="str">
        <f ca="1">IF(R81&lt;&gt;"",IF(OR(COUNTIF('盛付札（関数）'!R79,"*キャラ*"),COUNTIF('盛付札（関数）'!R79,"*赤*")),24,
VLOOKUP('盛付札（関数）'!R79,商品マスタ一覧!$D:$I,6,FALSE)),"")</f>
        <v/>
      </c>
      <c r="S83" s="149" t="str">
        <f ca="1">IF(R81&lt;&gt;"","　端数","")</f>
        <v/>
      </c>
      <c r="T83" s="150"/>
      <c r="U83" s="149" t="str">
        <f ca="1">IF(R81&lt;&gt;"","アレルギー","")</f>
        <v/>
      </c>
      <c r="V83" s="154"/>
      <c r="W83" s="129"/>
      <c r="X83" s="149" t="str">
        <f ca="1">IF(Y81&lt;&gt;"","パン箱","")</f>
        <v/>
      </c>
      <c r="Y83" s="150" t="str">
        <f ca="1">IF(Y81&lt;&gt;"",IF(OR(COUNTIF('盛付札（関数）'!Y79,"*キャラ*"),COUNTIF('盛付札（関数）'!Y79,"*赤*")),24,
VLOOKUP('盛付札（関数）'!Y79,商品マスタ一覧!$D:$I,6,FALSE)),"")</f>
        <v/>
      </c>
      <c r="Z83" s="149" t="str">
        <f ca="1">IF(Y81&lt;&gt;"","　端数","")</f>
        <v/>
      </c>
      <c r="AA83" s="150"/>
      <c r="AB83" s="149" t="str">
        <f ca="1">IF(Y81&lt;&gt;"","アレルギー","")</f>
        <v/>
      </c>
      <c r="AC83" s="154"/>
      <c r="AD83" s="129"/>
      <c r="AE83" s="129"/>
      <c r="AF83" s="149" t="str">
        <f ca="1">IF(AG81&lt;&gt;"","パン箱","")</f>
        <v/>
      </c>
      <c r="AG83" s="150" t="str">
        <f ca="1">IF(AG81&lt;&gt;"",IF(OR(COUNTIF('盛付札（関数）'!AG79,"*キャラ*"),COUNTIF('盛付札（関数）'!AG79,"*赤*")),24,
VLOOKUP('盛付札（関数）'!AG79,商品マスタ一覧!$D:$I,6,FALSE)),"")</f>
        <v/>
      </c>
      <c r="AH83" s="149" t="str">
        <f ca="1">IF(AG81&lt;&gt;"","　端数","")</f>
        <v/>
      </c>
      <c r="AI83" s="150"/>
      <c r="AJ83" s="149" t="str">
        <f ca="1">IF(AG81&lt;&gt;"","アレルギー","")</f>
        <v/>
      </c>
      <c r="AK83" s="154"/>
      <c r="AL83" s="129"/>
      <c r="AM83" s="149" t="str">
        <f ca="1">IF(AN81&lt;&gt;"","パン箱","")</f>
        <v/>
      </c>
      <c r="AN83" s="150" t="str">
        <f ca="1">IF(AN81&lt;&gt;"",IF(OR(COUNTIF('盛付札（関数）'!AN79,"*キャラ*"),COUNTIF('盛付札（関数）'!AN79,"*赤*")),24,
VLOOKUP('盛付札（関数）'!AN79,商品マスタ一覧!$D:$I,6,FALSE)),"")</f>
        <v/>
      </c>
      <c r="AO83" s="149" t="str">
        <f ca="1">IF(AN81&lt;&gt;"","　端数","")</f>
        <v/>
      </c>
      <c r="AP83" s="150"/>
      <c r="AQ83" s="149" t="str">
        <f ca="1">IF(AN81&lt;&gt;"","アレルギー","")</f>
        <v/>
      </c>
      <c r="AR83" s="154"/>
      <c r="AS83" s="129"/>
      <c r="AT83" s="129"/>
      <c r="AU83" s="149" t="str">
        <f ca="1">IF(AV81&lt;&gt;"","パン箱","")</f>
        <v/>
      </c>
      <c r="AV83" s="150" t="str">
        <f ca="1">IF(AV81&lt;&gt;"",IF(OR(COUNTIF('盛付札（関数）'!AV79,"*キャラ*"),COUNTIF('盛付札（関数）'!AV79,"*赤*")),24,
VLOOKUP('盛付札（関数）'!AV79,商品マスタ一覧!$D:$I,6,FALSE)),"")</f>
        <v/>
      </c>
      <c r="AW83" s="149" t="str">
        <f ca="1">IF(AV81&lt;&gt;"","　端数","")</f>
        <v/>
      </c>
      <c r="AX83" s="150"/>
      <c r="AY83" s="149" t="str">
        <f ca="1">IF(AV81&lt;&gt;"","アレルギー","")</f>
        <v/>
      </c>
      <c r="AZ83" s="154"/>
      <c r="BA83" s="129"/>
      <c r="BB83" s="149" t="str">
        <f ca="1">IF(BC81&lt;&gt;"","パン箱","")</f>
        <v/>
      </c>
      <c r="BC83" s="150" t="str">
        <f ca="1">IF(BC81&lt;&gt;"",IF(OR(COUNTIF('盛付札（関数）'!BC79,"*キャラ*"),COUNTIF('盛付札（関数）'!BC79,"*赤*")),24,
VLOOKUP('盛付札（関数）'!BC79,商品マスタ一覧!$D:$I,6,FALSE)),"")</f>
        <v/>
      </c>
      <c r="BD83" s="149" t="str">
        <f ca="1">IF(BC81&lt;&gt;"","　端数","")</f>
        <v/>
      </c>
      <c r="BE83" s="150"/>
      <c r="BF83" s="149" t="str">
        <f ca="1">IF(BC81&lt;&gt;"","アレルギー","")</f>
        <v/>
      </c>
      <c r="BG83" s="154"/>
      <c r="BH83" s="129"/>
      <c r="BI83" s="129"/>
      <c r="BJ83" s="149" t="str">
        <f ca="1">IF(BK81&lt;&gt;"","パン箱","")</f>
        <v/>
      </c>
      <c r="BK83" s="150" t="str">
        <f ca="1">IF(BK81&lt;&gt;"",IF(OR(COUNTIF('盛付札（関数）'!BK79,"*キャラ*"),COUNTIF('盛付札（関数）'!BK79,"*赤*")),24,
VLOOKUP('盛付札（関数）'!BK79,商品マスタ一覧!$D:$I,6,FALSE)),"")</f>
        <v/>
      </c>
      <c r="BL83" s="149" t="str">
        <f ca="1">IF(BK81&lt;&gt;"","　端数","")</f>
        <v/>
      </c>
      <c r="BM83" s="150"/>
      <c r="BN83" s="149" t="str">
        <f ca="1">IF(BK81&lt;&gt;"","アレルギー","")</f>
        <v/>
      </c>
      <c r="BO83" s="154"/>
      <c r="BP83" s="129"/>
      <c r="BQ83" s="149" t="str">
        <f ca="1">IF(BR81&lt;&gt;"","パン箱","")</f>
        <v/>
      </c>
      <c r="BR83" s="150" t="str">
        <f ca="1">IF(BR81&lt;&gt;"",IF(OR(COUNTIF('盛付札（関数）'!BR79,"*キャラ*"),COUNTIF('盛付札（関数）'!BR79,"*赤*")),24,
VLOOKUP('盛付札（関数）'!BR79,商品マスタ一覧!$D:$I,6,FALSE)),"")</f>
        <v/>
      </c>
      <c r="BS83" s="149" t="str">
        <f ca="1">IF(BR81&lt;&gt;"","　端数","")</f>
        <v/>
      </c>
      <c r="BT83" s="150"/>
      <c r="BU83" s="149" t="str">
        <f ca="1">IF(BR81&lt;&gt;"","アレルギー","")</f>
        <v/>
      </c>
      <c r="BV83" s="154"/>
      <c r="BW83" s="129"/>
      <c r="BX83" s="146">
        <f t="shared" si="6"/>
        <v>14</v>
      </c>
      <c r="BY83" s="132" t="str">
        <f t="array" aca="1" ref="BY83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LEN(SUBSTITUTE(_xlfn.FORMULATEXT(BY$75),"=","")))+$BX83)</f>
        <v/>
      </c>
      <c r="BZ83" s="132" t="str">
        <f t="array" aca="1" ref="BZ83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LEN(SUBSTITUTE(_xlfn.FORMULATEXT(BZ$75),"=","")))+$BX83)</f>
        <v/>
      </c>
      <c r="CA83" s="132" t="str">
        <f t="array" aca="1" ref="CA83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LEN(SUBSTITUTE(_xlfn.FORMULATEXT(CA$75),"=","")))+$BX83)</f>
        <v/>
      </c>
      <c r="CB83" s="132" t="str">
        <f t="array" aca="1" ref="CB83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LEN(SUBSTITUTE(_xlfn.FORMULATEXT(CB$75),"=","")))+$BX83)</f>
        <v/>
      </c>
      <c r="CC83" s="132" t="str">
        <f t="array" aca="1" ref="CC83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LEN(SUBSTITUTE(_xlfn.FORMULATEXT(CC$75),"=","")))+$BX83)</f>
        <v/>
      </c>
      <c r="CD83" s="132" t="str">
        <f t="array" aca="1" ref="CD83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LEN(SUBSTITUTE(_xlfn.FORMULATEXT(CD$75),"=","")))+$BX83)</f>
        <v/>
      </c>
      <c r="CE83" s="132" t="str">
        <f t="array" aca="1" ref="CE83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LEN(SUBSTITUTE(_xlfn.FORMULATEXT(CE$75),"=","")))+$BX83)</f>
        <v/>
      </c>
      <c r="CF83" s="132" t="str">
        <f t="array" aca="1" ref="CF83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LEN(SUBSTITUTE(_xlfn.FORMULATEXT(CF$75),"=","")))+$BX83)</f>
        <v/>
      </c>
      <c r="CG83" s="132" t="str">
        <f t="array" aca="1" ref="CG83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LEN(SUBSTITUTE(_xlfn.FORMULATEXT(CG$75),"=","")))+$BX83)</f>
        <v/>
      </c>
      <c r="CH83" s="132" t="str">
        <f t="array" aca="1" ref="CH83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LEN(SUBSTITUTE(_xlfn.FORMULATEXT(CH$75),"=","")))+$BX83)</f>
        <v/>
      </c>
      <c r="CI83" s="132">
        <f t="shared" ca="1" si="5"/>
        <v>0</v>
      </c>
      <c r="CJ83" s="132" t="b">
        <f t="array" aca="1" ref="CJ83" ca="1">SUMPRODUCT((LEN(BY83:CH83)&gt;0)*1)&gt;0</f>
        <v>0</v>
      </c>
      <c r="CK83" s="132" t="str" cm="1">
        <f t="array" aca="1" ref="CK83" ca="1">IFERROR(SMALL(IF(CI$1:CI$150&lt;&gt;0,CI$1:CI$150),ROW(A83)),"")</f>
        <v/>
      </c>
      <c r="CL83" s="132" t="str">
        <f t="array" aca="1" ref="CL83" ca="1">IF($CK83&lt;&gt;"",
INDIRECT(""&amp;IF(COLUMN(BY83)&lt;=26,CHAR(COLUMN(BY83)+64),CHAR(INT((COLUMN(BY83)-1)/26)+64)&amp;CHAR(MOD(COLUMN(BY83)-1,26)+65))&amp;$CK83&amp;""),"")</f>
        <v/>
      </c>
      <c r="CM83" s="132" t="str">
        <f t="array" aca="1" ref="CM83" ca="1">IF($CK83&lt;&gt;"",
INDIRECT(""&amp;IF(COLUMN(BZ83)&lt;=26,CHAR(COLUMN(BZ83)+64),CHAR(INT((COLUMN(BZ83)-1)/26)+64)&amp;CHAR(MOD(COLUMN(BZ83)-1,26)+65))&amp;$CK83&amp;""),"")</f>
        <v/>
      </c>
      <c r="CN83" s="132" t="str">
        <f t="array" aca="1" ref="CN83" ca="1">IF($CK83&lt;&gt;"",
INDIRECT(""&amp;IF(COLUMN(CA83)&lt;=26,CHAR(COLUMN(CA83)+64),CHAR(INT((COLUMN(CA83)-1)/26)+64)&amp;CHAR(MOD(COLUMN(CA83)-1,26)+65))&amp;$CK83&amp;""),"")</f>
        <v/>
      </c>
      <c r="CO83" s="132" t="str">
        <f t="array" aca="1" ref="CO83" ca="1">IF($CK83&lt;&gt;"",
INDIRECT(""&amp;IF(COLUMN(CB83)&lt;=26,CHAR(COLUMN(CB83)+64),CHAR(INT((COLUMN(CB83)-1)/26)+64)&amp;CHAR(MOD(COLUMN(CB83)-1,26)+65))&amp;$CK83&amp;""),"")</f>
        <v/>
      </c>
      <c r="CP83" s="132" t="str">
        <f t="array" aca="1" ref="CP83" ca="1">IF($CK83&lt;&gt;"",
INDIRECT(""&amp;IF(COLUMN(CC83)&lt;=26,CHAR(COLUMN(CC83)+64),CHAR(INT((COLUMN(CC83)-1)/26)+64)&amp;CHAR(MOD(COLUMN(CC83)-1,26)+65))&amp;$CK83&amp;""),"")</f>
        <v/>
      </c>
      <c r="CQ83" s="132" t="str">
        <f t="array" aca="1" ref="CQ83" ca="1">IF($CK83&lt;&gt;"",
INDIRECT(""&amp;IF(COLUMN(CD83)&lt;=26,CHAR(COLUMN(CD83)+64),CHAR(INT((COLUMN(CD83)-1)/26)+64)&amp;CHAR(MOD(COLUMN(CD83)-1,26)+65))&amp;$CK83&amp;""),"")</f>
        <v/>
      </c>
      <c r="CR83" s="132" t="str">
        <f t="array" aca="1" ref="CR83" ca="1">IF($CK83&lt;&gt;"",
INDIRECT(""&amp;IF(COLUMN(CE83)&lt;=26,CHAR(COLUMN(CE83)+64),CHAR(INT((COLUMN(CE83)-1)/26)+64)&amp;CHAR(MOD(COLUMN(CE83)-1,26)+65))&amp;$CK83&amp;""),"")</f>
        <v/>
      </c>
      <c r="CS83" s="132" t="str">
        <f t="array" aca="1" ref="CS83" ca="1">IF($CK83&lt;&gt;"",
INDIRECT(""&amp;IF(COLUMN(CF83)&lt;=26,CHAR(COLUMN(CF83)+64),CHAR(INT((COLUMN(CF83)-1)/26)+64)&amp;CHAR(MOD(COLUMN(CF83)-1,26)+65))&amp;$CK83&amp;""),"")</f>
        <v/>
      </c>
      <c r="CT83" s="132" t="str">
        <f t="array" aca="1" ref="CT83" ca="1">IF($CK83&lt;&gt;"",
INDIRECT(""&amp;IF(COLUMN(CG83)&lt;=26,CHAR(COLUMN(CG83)+64),CHAR(INT((COLUMN(CG83)-1)/26)+64)&amp;CHAR(MOD(COLUMN(CG83)-1,26)+65))&amp;$CK83&amp;""),"")</f>
        <v/>
      </c>
      <c r="CU83" s="132" t="str">
        <f t="array" aca="1" ref="CU83" ca="1">IF($CK83&lt;&gt;"",
INDIRECT(""&amp;IF(COLUMN(CH83)&lt;=26,CHAR(COLUMN(CH83)+64),CHAR(INT((COLUMN(CH83)-1)/26)+64)&amp;CHAR(MOD(COLUMN(CH83)-1,26)+65))&amp;$CK83&amp;""),"")</f>
        <v/>
      </c>
    </row>
    <row r="84" spans="1:99" ht="21" customHeight="1" x14ac:dyDescent="0.45">
      <c r="B84" s="124" t="str">
        <f ca="1">IF(C81&lt;&gt;"",
IFERROR(INT(C81/C83),""),"")</f>
        <v/>
      </c>
      <c r="C84" s="151"/>
      <c r="D84" s="124" t="str">
        <f ca="1">IFERROR(MOD(C81,C83),"")</f>
        <v/>
      </c>
      <c r="E84" s="151"/>
      <c r="F84" s="118" t="str">
        <f t="array" aca="1" ref="F84" ca="1">IF(C78&lt;&gt;"",
IF(IFERROR(
INDEX(INDIRECT("'数出表_Excel（アレルギー入力）'!"&amp;B78&amp;MATCH(G36,'数出表_Excel（アレルギー入力）'!$A:$A,0)-1&amp;":AC"&amp;MATCH(G36,'数出表_Excel（アレルギー入力）'!$A:$A,0)-1&amp;""),
 1,
MATCH(C81,INDIRECT("'数出表_Excel（アレルギー入力）'!"&amp;B78&amp;B36-1&amp;":AC"&amp;B36-1&amp;""),0)+1),
 "")&lt;&gt;0,
IF(IFERROR(
INDEX(INDIRECT("'数出表_Excel（アレルギー入力）'!"&amp;B78&amp;MATCH(G36,'数出表_Excel（アレルギー入力）'!$A:$A,0)-1&amp;":AC"&amp;MATCH(G36,'数出表_Excel（アレルギー入力）'!$A:$A,0)-1&amp;""),
 1,
MATCH(C81,INDIRECT("'数出表_Excel（アレルギー入力）'!"&amp;B78&amp;B36-1&amp;":AC"&amp;B36-1&amp;""),0)+1),
 "")="",
IFERROR(
INDEX(INDIRECT("'数出表_Excel（アレルギー入力）'!B"&amp;MATCH(G36,'数出表_Excel（アレルギー入力）'!$A:$A,0)-1&amp;":AC"&amp;MATCH(G36,'数出表_Excel（アレルギー入力）'!$A:$A,0)-1&amp;""),
 1,
MATCH(TRUE,INDEX(INDIRECT("'数出表_Excel（アレルギー入力）'!B"&amp;B36-1&amp;":AC"&amp;B36-1&amp;"")&lt;&gt;"",0),0)+1),
 ""),
IFERROR(
INDEX(INDIRECT("'数出表_Excel（アレルギー入力）'!"&amp;B78&amp;MATCH(G36,'数出表_Excel（アレルギー入力）'!$A:$A,0)-1&amp;":AC"&amp;MATCH(G36,'数出表_Excel（アレルギー入力）'!$A:$A,0)-1&amp;""),
 1,
MATCH(C81,INDIRECT("'数出表_Excel（アレルギー入力）'!"&amp;B78&amp;B36-1&amp;":AC"&amp;B36-1&amp;""),0)+1),
 "")),0),"")</f>
        <v/>
      </c>
      <c r="G84" s="151"/>
      <c r="I84" s="124" t="str">
        <f ca="1">IF(J81&lt;&gt;"",
IFERROR(INT(J81/J83),""),"")</f>
        <v/>
      </c>
      <c r="J84" s="151"/>
      <c r="K84" s="124" t="str">
        <f ca="1">IFERROR(MOD(J81,J83),"")</f>
        <v/>
      </c>
      <c r="L84" s="151"/>
      <c r="M84" s="118" t="str">
        <f t="array" aca="1" ref="M84" ca="1">IF(J78&lt;&gt;"",
IF(IFERROR(
INDEX(INDIRECT("'数出表_Excel（アレルギー入力）'!"&amp;I78&amp;MATCH(N36,'数出表_Excel（アレルギー入力）'!$A:$A,0)-1&amp;":AC"&amp;MATCH(N36,'数出表_Excel（アレルギー入力）'!$A:$A,0)-1&amp;""),
 1,
MATCH(J81,INDIRECT("'数出表_Excel（アレルギー入力）'!"&amp;I78&amp;I36-1&amp;":AC"&amp;I36-1&amp;""),0)+1),
 "")&lt;&gt;0,
IF(IFERROR(
INDEX(INDIRECT("'数出表_Excel（アレルギー入力）'!"&amp;I78&amp;MATCH(N36,'数出表_Excel（アレルギー入力）'!$A:$A,0)-1&amp;":AC"&amp;MATCH(N36,'数出表_Excel（アレルギー入力）'!$A:$A,0)-1&amp;""),
 1,
MATCH(J81,INDIRECT("'数出表_Excel（アレルギー入力）'!"&amp;I78&amp;I36-1&amp;":AC"&amp;I36-1&amp;""),0)+1),
 "")="",
IFERROR(
INDEX(INDIRECT("'数出表_Excel（アレルギー入力）'!B"&amp;MATCH(N36,'数出表_Excel（アレルギー入力）'!$A:$A,0)-1&amp;":AC"&amp;MATCH(N36,'数出表_Excel（アレルギー入力）'!$A:$A,0)-1&amp;""),
 1,
MATCH(TRUE,INDEX(INDIRECT("'数出表_Excel（アレルギー入力）'!B"&amp;I36-1&amp;":AC"&amp;I36-1&amp;"")&lt;&gt;"",0),0)+1),
 ""),
IFERROR(
INDEX(INDIRECT("'数出表_Excel（アレルギー入力）'!"&amp;I78&amp;MATCH(N36,'数出表_Excel（アレルギー入力）'!$A:$A,0)-1&amp;":AC"&amp;MATCH(N36,'数出表_Excel（アレルギー入力）'!$A:$A,0)-1&amp;""),
 1,
MATCH(J81,INDIRECT("'数出表_Excel（アレルギー入力）'!"&amp;I78&amp;I36-1&amp;":AC"&amp;I36-1&amp;""),0)+1),
 "")),0),"")</f>
        <v/>
      </c>
      <c r="N84" s="151"/>
      <c r="Q84" s="124" t="str">
        <f ca="1">IF(R81&lt;&gt;"",
IFERROR(INT(R81/R83),""),"")</f>
        <v/>
      </c>
      <c r="R84" s="151"/>
      <c r="S84" s="124" t="str">
        <f ca="1">IFERROR(MOD(R81,R83),"")</f>
        <v/>
      </c>
      <c r="T84" s="151"/>
      <c r="U84" s="118" t="str">
        <f t="array" aca="1" ref="U84" ca="1">IF(R78&lt;&gt;"",
IF(IFERROR(
INDEX(INDIRECT("'数出表_Excel（アレルギー入力）'!"&amp;Q78&amp;MATCH(V36,'数出表_Excel（アレルギー入力）'!$A:$A,0)-1&amp;":AC"&amp;MATCH(V36,'数出表_Excel（アレルギー入力）'!$A:$A,0)-1&amp;""),
 1,
MATCH(R81,INDIRECT("'数出表_Excel（アレルギー入力）'!"&amp;Q78&amp;Q36-1&amp;":AC"&amp;Q36-1&amp;""),0)+1),
 "")&lt;&gt;0,
IF(IFERROR(
INDEX(INDIRECT("'数出表_Excel（アレルギー入力）'!"&amp;Q78&amp;MATCH(V36,'数出表_Excel（アレルギー入力）'!$A:$A,0)-1&amp;":AC"&amp;MATCH(V36,'数出表_Excel（アレルギー入力）'!$A:$A,0)-1&amp;""),
 1,
MATCH(R81,INDIRECT("'数出表_Excel（アレルギー入力）'!"&amp;Q78&amp;Q36-1&amp;":AC"&amp;Q36-1&amp;""),0)+1),
 "")="",
IFERROR(
INDEX(INDIRECT("'数出表_Excel（アレルギー入力）'!B"&amp;MATCH(V36,'数出表_Excel（アレルギー入力）'!$A:$A,0)-1&amp;":AC"&amp;MATCH(V36,'数出表_Excel（アレルギー入力）'!$A:$A,0)-1&amp;""),
 1,
MATCH(TRUE,INDEX(INDIRECT("'数出表_Excel（アレルギー入力）'!B"&amp;Q36-1&amp;":AC"&amp;Q36-1&amp;"")&lt;&gt;"",0),0)+1),
 ""),
IFERROR(
INDEX(INDIRECT("'数出表_Excel（アレルギー入力）'!"&amp;Q78&amp;MATCH(V36,'数出表_Excel（アレルギー入力）'!$A:$A,0)-1&amp;":AC"&amp;MATCH(V36,'数出表_Excel（アレルギー入力）'!$A:$A,0)-1&amp;""),
 1,
MATCH(R81,INDIRECT("'数出表_Excel（アレルギー入力）'!"&amp;Q78&amp;Q36-1&amp;":AC"&amp;Q36-1&amp;""),0)+1),
 "")),0),"")</f>
        <v/>
      </c>
      <c r="V84" s="151"/>
      <c r="X84" s="124" t="str">
        <f ca="1">IF(Y81&lt;&gt;"",
IFERROR(INT(Y81/Y83),""),"")</f>
        <v/>
      </c>
      <c r="Y84" s="151"/>
      <c r="Z84" s="124" t="str">
        <f ca="1">IFERROR(MOD(Y81,Y83),"")</f>
        <v/>
      </c>
      <c r="AA84" s="151"/>
      <c r="AB84" s="118" t="str">
        <f t="array" aca="1" ref="AB84" ca="1">IF(Y78&lt;&gt;"",
IF(IFERROR(
INDEX(INDIRECT("'数出表_Excel（アレルギー入力）'!"&amp;X78&amp;MATCH(AC36,'数出表_Excel（アレルギー入力）'!$A:$A,0)-1&amp;":AC"&amp;MATCH(AC36,'数出表_Excel（アレルギー入力）'!$A:$A,0)-1&amp;""),
 1,
MATCH(Y81,INDIRECT("'数出表_Excel（アレルギー入力）'!"&amp;X78&amp;X36-1&amp;":AC"&amp;X36-1&amp;""),0)+1),
 "")&lt;&gt;0,
IF(IFERROR(
INDEX(INDIRECT("'数出表_Excel（アレルギー入力）'!"&amp;X78&amp;MATCH(AC36,'数出表_Excel（アレルギー入力）'!$A:$A,0)-1&amp;":AC"&amp;MATCH(AC36,'数出表_Excel（アレルギー入力）'!$A:$A,0)-1&amp;""),
 1,
MATCH(Y81,INDIRECT("'数出表_Excel（アレルギー入力）'!"&amp;X78&amp;X36-1&amp;":AC"&amp;X36-1&amp;""),0)+1),
 "")="",
IFERROR(
INDEX(INDIRECT("'数出表_Excel（アレルギー入力）'!B"&amp;MATCH(AC36,'数出表_Excel（アレルギー入力）'!$A:$A,0)-1&amp;":AC"&amp;MATCH(AC36,'数出表_Excel（アレルギー入力）'!$A:$A,0)-1&amp;""),
 1,
MATCH(TRUE,INDEX(INDIRECT("'数出表_Excel（アレルギー入力）'!B"&amp;X36-1&amp;":AC"&amp;X36-1&amp;"")&lt;&gt;"",0),0)+1),
 ""),
IFERROR(
INDEX(INDIRECT("'数出表_Excel（アレルギー入力）'!"&amp;X78&amp;MATCH(AC36,'数出表_Excel（アレルギー入力）'!$A:$A,0)-1&amp;":AC"&amp;MATCH(AC36,'数出表_Excel（アレルギー入力）'!$A:$A,0)-1&amp;""),
 1,
MATCH(Y81,INDIRECT("'数出表_Excel（アレルギー入力）'!"&amp;X78&amp;X36-1&amp;":AC"&amp;X36-1&amp;""),0)+1),
 "")),0),"")</f>
        <v/>
      </c>
      <c r="AC84" s="151"/>
      <c r="AF84" s="124" t="str">
        <f ca="1">IF(AG81&lt;&gt;"",
IFERROR(INT(AG81/AG83),""),"")</f>
        <v/>
      </c>
      <c r="AG84" s="151"/>
      <c r="AH84" s="124" t="str">
        <f ca="1">IFERROR(MOD(AG81,AG83),"")</f>
        <v/>
      </c>
      <c r="AI84" s="151"/>
      <c r="AJ84" s="118" t="str">
        <f t="array" aca="1" ref="AJ84" ca="1">IF(AG78&lt;&gt;"",
IF(IFERROR(
INDEX(INDIRECT("'数出表_Excel（アレルギー入力）'!"&amp;AF78&amp;MATCH(AK36,'数出表_Excel（アレルギー入力）'!$A:$A,0)-1&amp;":AC"&amp;MATCH(AK36,'数出表_Excel（アレルギー入力）'!$A:$A,0)-1&amp;""),
 1,
MATCH(AG81,INDIRECT("'数出表_Excel（アレルギー入力）'!"&amp;AF78&amp;AF36-1&amp;":AC"&amp;AF36-1&amp;""),0)+1),
 "")&lt;&gt;0,
IF(IFERROR(
INDEX(INDIRECT("'数出表_Excel（アレルギー入力）'!"&amp;AF78&amp;MATCH(AK36,'数出表_Excel（アレルギー入力）'!$A:$A,0)-1&amp;":AC"&amp;MATCH(AK36,'数出表_Excel（アレルギー入力）'!$A:$A,0)-1&amp;""),
 1,
MATCH(AG81,INDIRECT("'数出表_Excel（アレルギー入力）'!"&amp;AF78&amp;AF36-1&amp;":AC"&amp;AF36-1&amp;""),0)+1),
 "")="",
IFERROR(
INDEX(INDIRECT("'数出表_Excel（アレルギー入力）'!B"&amp;MATCH(AK36,'数出表_Excel（アレルギー入力）'!$A:$A,0)-1&amp;":AC"&amp;MATCH(AK36,'数出表_Excel（アレルギー入力）'!$A:$A,0)-1&amp;""),
 1,
MATCH(TRUE,INDEX(INDIRECT("'数出表_Excel（アレルギー入力）'!B"&amp;AF36-1&amp;":AC"&amp;AF36-1&amp;"")&lt;&gt;"",0),0)+1),
 ""),
IFERROR(
INDEX(INDIRECT("'数出表_Excel（アレルギー入力）'!"&amp;AF78&amp;MATCH(AK36,'数出表_Excel（アレルギー入力）'!$A:$A,0)-1&amp;":AC"&amp;MATCH(AK36,'数出表_Excel（アレルギー入力）'!$A:$A,0)-1&amp;""),
 1,
MATCH(AG81,INDIRECT("'数出表_Excel（アレルギー入力）'!"&amp;AF78&amp;AF36-1&amp;":AC"&amp;AF36-1&amp;""),0)+1),
 "")),0),"")</f>
        <v/>
      </c>
      <c r="AK84" s="151"/>
      <c r="AM84" s="124" t="str">
        <f ca="1">IF(AN81&lt;&gt;"",
IFERROR(INT(AN81/AN83),""),"")</f>
        <v/>
      </c>
      <c r="AN84" s="151"/>
      <c r="AO84" s="124" t="str">
        <f ca="1">IFERROR(MOD(AN81,AN83),"")</f>
        <v/>
      </c>
      <c r="AP84" s="151"/>
      <c r="AQ84" s="118" t="str">
        <f t="array" aca="1" ref="AQ84" ca="1">IF(AN78&lt;&gt;"",
IF(IFERROR(
INDEX(INDIRECT("'数出表_Excel（アレルギー入力）'!"&amp;AM78&amp;MATCH(AR36,'数出表_Excel（アレルギー入力）'!$A:$A,0)-1&amp;":AC"&amp;MATCH(AR36,'数出表_Excel（アレルギー入力）'!$A:$A,0)-1&amp;""),
 1,
MATCH(AN81,INDIRECT("'数出表_Excel（アレルギー入力）'!"&amp;AM78&amp;AM36-1&amp;":AC"&amp;AM36-1&amp;""),0)+1),
 "")&lt;&gt;0,
IF(IFERROR(
INDEX(INDIRECT("'数出表_Excel（アレルギー入力）'!"&amp;AM78&amp;MATCH(AR36,'数出表_Excel（アレルギー入力）'!$A:$A,0)-1&amp;":AC"&amp;MATCH(AR36,'数出表_Excel（アレルギー入力）'!$A:$A,0)-1&amp;""),
 1,
MATCH(AN81,INDIRECT("'数出表_Excel（アレルギー入力）'!"&amp;AM78&amp;AM36-1&amp;":AC"&amp;AM36-1&amp;""),0)+1),
 "")="",
IFERROR(
INDEX(INDIRECT("'数出表_Excel（アレルギー入力）'!B"&amp;MATCH(AR36,'数出表_Excel（アレルギー入力）'!$A:$A,0)-1&amp;":AC"&amp;MATCH(AR36,'数出表_Excel（アレルギー入力）'!$A:$A,0)-1&amp;""),
 1,
MATCH(TRUE,INDEX(INDIRECT("'数出表_Excel（アレルギー入力）'!B"&amp;AM36-1&amp;":AC"&amp;AM36-1&amp;"")&lt;&gt;"",0),0)+1),
 ""),
IFERROR(
INDEX(INDIRECT("'数出表_Excel（アレルギー入力）'!"&amp;AM78&amp;MATCH(AR36,'数出表_Excel（アレルギー入力）'!$A:$A,0)-1&amp;":AC"&amp;MATCH(AR36,'数出表_Excel（アレルギー入力）'!$A:$A,0)-1&amp;""),
 1,
MATCH(AN81,INDIRECT("'数出表_Excel（アレルギー入力）'!"&amp;AM78&amp;AM36-1&amp;":AC"&amp;AM36-1&amp;""),0)+1),
 "")),0),"")</f>
        <v/>
      </c>
      <c r="AR84" s="151"/>
      <c r="AU84" s="124" t="str">
        <f ca="1">IF(AV81&lt;&gt;"",
IFERROR(INT(AV81/AV83),""),"")</f>
        <v/>
      </c>
      <c r="AV84" s="151"/>
      <c r="AW84" s="124" t="str">
        <f ca="1">IFERROR(MOD(AV81,AV83),"")</f>
        <v/>
      </c>
      <c r="AX84" s="151"/>
      <c r="AY84" s="118" t="str">
        <f t="array" aca="1" ref="AY84" ca="1">IF(AV78&lt;&gt;"",
IF(IFERROR(
INDEX(INDIRECT("'数出表_Excel（アレルギー入力）'!"&amp;AU78&amp;MATCH(AZ36,'数出表_Excel（アレルギー入力）'!$A:$A,0)-1&amp;":AC"&amp;MATCH(AZ36,'数出表_Excel（アレルギー入力）'!$A:$A,0)-1&amp;""),
 1,
MATCH(AV81,INDIRECT("'数出表_Excel（アレルギー入力）'!"&amp;AU78&amp;AU36-1&amp;":AC"&amp;AU36-1&amp;""),0)+1),
 "")&lt;&gt;0,
IF(IFERROR(
INDEX(INDIRECT("'数出表_Excel（アレルギー入力）'!"&amp;AU78&amp;MATCH(AZ36,'数出表_Excel（アレルギー入力）'!$A:$A,0)-1&amp;":AC"&amp;MATCH(AZ36,'数出表_Excel（アレルギー入力）'!$A:$A,0)-1&amp;""),
 1,
MATCH(AV81,INDIRECT("'数出表_Excel（アレルギー入力）'!"&amp;AU78&amp;AU36-1&amp;":AC"&amp;AU36-1&amp;""),0)+1),
 "")="",
IFERROR(
INDEX(INDIRECT("'数出表_Excel（アレルギー入力）'!B"&amp;MATCH(AZ36,'数出表_Excel（アレルギー入力）'!$A:$A,0)-1&amp;":AC"&amp;MATCH(AZ36,'数出表_Excel（アレルギー入力）'!$A:$A,0)-1&amp;""),
 1,
MATCH(TRUE,INDEX(INDIRECT("'数出表_Excel（アレルギー入力）'!B"&amp;AU36-1&amp;":AC"&amp;AU36-1&amp;"")&lt;&gt;"",0),0)+1),
 ""),
IFERROR(
INDEX(INDIRECT("'数出表_Excel（アレルギー入力）'!"&amp;AU78&amp;MATCH(AZ36,'数出表_Excel（アレルギー入力）'!$A:$A,0)-1&amp;":AC"&amp;MATCH(AZ36,'数出表_Excel（アレルギー入力）'!$A:$A,0)-1&amp;""),
 1,
MATCH(AV81,INDIRECT("'数出表_Excel（アレルギー入力）'!"&amp;AU78&amp;AU36-1&amp;":AC"&amp;AU36-1&amp;""),0)+1),
 "")),0),"")</f>
        <v/>
      </c>
      <c r="AZ84" s="151"/>
      <c r="BB84" s="124" t="str">
        <f ca="1">IF(BC81&lt;&gt;"",
IFERROR(INT(BC81/BC83),""),"")</f>
        <v/>
      </c>
      <c r="BC84" s="151"/>
      <c r="BD84" s="124" t="str">
        <f ca="1">IFERROR(MOD(BC81,BC83),"")</f>
        <v/>
      </c>
      <c r="BE84" s="151"/>
      <c r="BF84" s="118" t="str">
        <f t="array" aca="1" ref="BF84" ca="1">IF(BC78&lt;&gt;"",
IF(IFERROR(
INDEX(INDIRECT("'数出表_Excel（アレルギー入力）'!"&amp;BB78&amp;MATCH(BG36,'数出表_Excel（アレルギー入力）'!$A:$A,0)-1&amp;":AC"&amp;MATCH(BG36,'数出表_Excel（アレルギー入力）'!$A:$A,0)-1&amp;""),
 1,
MATCH(BC81,INDIRECT("'数出表_Excel（アレルギー入力）'!"&amp;BB78&amp;BB36-1&amp;":AC"&amp;BB36-1&amp;""),0)+1),
 "")&lt;&gt;0,
IF(IFERROR(
INDEX(INDIRECT("'数出表_Excel（アレルギー入力）'!"&amp;BB78&amp;MATCH(BG36,'数出表_Excel（アレルギー入力）'!$A:$A,0)-1&amp;":AC"&amp;MATCH(BG36,'数出表_Excel（アレルギー入力）'!$A:$A,0)-1&amp;""),
 1,
MATCH(BC81,INDIRECT("'数出表_Excel（アレルギー入力）'!"&amp;BB78&amp;BB36-1&amp;":AC"&amp;BB36-1&amp;""),0)+1),
 "")="",
IFERROR(
INDEX(INDIRECT("'数出表_Excel（アレルギー入力）'!B"&amp;MATCH(BG36,'数出表_Excel（アレルギー入力）'!$A:$A,0)-1&amp;":AC"&amp;MATCH(BG36,'数出表_Excel（アレルギー入力）'!$A:$A,0)-1&amp;""),
 1,
MATCH(TRUE,INDEX(INDIRECT("'数出表_Excel（アレルギー入力）'!B"&amp;BB36-1&amp;":AC"&amp;BB36-1&amp;"")&lt;&gt;"",0),0)+1),
 ""),
IFERROR(
INDEX(INDIRECT("'数出表_Excel（アレルギー入力）'!"&amp;BB78&amp;MATCH(BG36,'数出表_Excel（アレルギー入力）'!$A:$A,0)-1&amp;":AC"&amp;MATCH(BG36,'数出表_Excel（アレルギー入力）'!$A:$A,0)-1&amp;""),
 1,
MATCH(BC81,INDIRECT("'数出表_Excel（アレルギー入力）'!"&amp;BB78&amp;BB36-1&amp;":AC"&amp;BB36-1&amp;""),0)+1),
 "")),0),"")</f>
        <v/>
      </c>
      <c r="BG84" s="151"/>
      <c r="BJ84" s="124" t="str">
        <f ca="1">IF(BK81&lt;&gt;"",
IFERROR(INT(BK81/BK83),""),"")</f>
        <v/>
      </c>
      <c r="BK84" s="151"/>
      <c r="BL84" s="124" t="str">
        <f ca="1">IFERROR(MOD(BK81,BK83),"")</f>
        <v/>
      </c>
      <c r="BM84" s="151"/>
      <c r="BN84" s="118" t="str">
        <f t="array" aca="1" ref="BN84" ca="1">IF(BK78&lt;&gt;"",
IF(IFERROR(
INDEX(INDIRECT("'数出表_Excel（アレルギー入力）'!"&amp;BJ78&amp;MATCH(BO36,'数出表_Excel（アレルギー入力）'!$A:$A,0)-1&amp;":AC"&amp;MATCH(BO36,'数出表_Excel（アレルギー入力）'!$A:$A,0)-1&amp;""),
 1,
MATCH(BK81,INDIRECT("'数出表_Excel（アレルギー入力）'!"&amp;BJ78&amp;BJ36-1&amp;":AC"&amp;BJ36-1&amp;""),0)+1),
 "")&lt;&gt;0,
IF(IFERROR(
INDEX(INDIRECT("'数出表_Excel（アレルギー入力）'!"&amp;BJ78&amp;MATCH(BO36,'数出表_Excel（アレルギー入力）'!$A:$A,0)-1&amp;":AC"&amp;MATCH(BO36,'数出表_Excel（アレルギー入力）'!$A:$A,0)-1&amp;""),
 1,
MATCH(BK81,INDIRECT("'数出表_Excel（アレルギー入力）'!"&amp;BJ78&amp;BJ36-1&amp;":AC"&amp;BJ36-1&amp;""),0)+1),
 "")="",
IFERROR(
INDEX(INDIRECT("'数出表_Excel（アレルギー入力）'!B"&amp;MATCH(BO36,'数出表_Excel（アレルギー入力）'!$A:$A,0)-1&amp;":AC"&amp;MATCH(BO36,'数出表_Excel（アレルギー入力）'!$A:$A,0)-1&amp;""),
 1,
MATCH(TRUE,INDEX(INDIRECT("'数出表_Excel（アレルギー入力）'!B"&amp;BJ36-1&amp;":AC"&amp;BJ36-1&amp;"")&lt;&gt;"",0),0)+1),
 ""),
IFERROR(
INDEX(INDIRECT("'数出表_Excel（アレルギー入力）'!"&amp;BJ78&amp;MATCH(BO36,'数出表_Excel（アレルギー入力）'!$A:$A,0)-1&amp;":AC"&amp;MATCH(BO36,'数出表_Excel（アレルギー入力）'!$A:$A,0)-1&amp;""),
 1,
MATCH(BK81,INDIRECT("'数出表_Excel（アレルギー入力）'!"&amp;BJ78&amp;BJ36-1&amp;":AC"&amp;BJ36-1&amp;""),0)+1),
 "")),0),"")</f>
        <v/>
      </c>
      <c r="BO84" s="151"/>
      <c r="BQ84" s="124" t="str">
        <f ca="1">IF(BR81&lt;&gt;"",
IFERROR(INT(BR81/BR83),""),"")</f>
        <v/>
      </c>
      <c r="BR84" s="151"/>
      <c r="BS84" s="124" t="str">
        <f ca="1">IFERROR(MOD(BR81,BR83),"")</f>
        <v/>
      </c>
      <c r="BT84" s="151"/>
      <c r="BU84" s="118" t="str">
        <f t="array" aca="1" ref="BU84" ca="1">IF(BR78&lt;&gt;"",
IF(IFERROR(
INDEX(INDIRECT("'数出表_Excel（アレルギー入力）'!"&amp;BQ78&amp;MATCH(BV36,'数出表_Excel（アレルギー入力）'!$A:$A,0)-1&amp;":AC"&amp;MATCH(BV36,'数出表_Excel（アレルギー入力）'!$A:$A,0)-1&amp;""),
 1,
MATCH(BR81,INDIRECT("'数出表_Excel（アレルギー入力）'!"&amp;BQ78&amp;BQ36-1&amp;":AC"&amp;BQ36-1&amp;""),0)+1),
 "")&lt;&gt;0,
IF(IFERROR(
INDEX(INDIRECT("'数出表_Excel（アレルギー入力）'!"&amp;BQ78&amp;MATCH(BV36,'数出表_Excel（アレルギー入力）'!$A:$A,0)-1&amp;":AC"&amp;MATCH(BV36,'数出表_Excel（アレルギー入力）'!$A:$A,0)-1&amp;""),
 1,
MATCH(BR81,INDIRECT("'数出表_Excel（アレルギー入力）'!"&amp;BQ78&amp;BQ36-1&amp;":AC"&amp;BQ36-1&amp;""),0)+1),
 "")="",
IFERROR(
INDEX(INDIRECT("'数出表_Excel（アレルギー入力）'!B"&amp;MATCH(BV36,'数出表_Excel（アレルギー入力）'!$A:$A,0)-1&amp;":AC"&amp;MATCH(BV36,'数出表_Excel（アレルギー入力）'!$A:$A,0)-1&amp;""),
 1,
MATCH(TRUE,INDEX(INDIRECT("'数出表_Excel（アレルギー入力）'!B"&amp;BQ36-1&amp;":AC"&amp;BQ36-1&amp;"")&lt;&gt;"",0),0)+1),
 ""),
IFERROR(
INDEX(INDIRECT("'数出表_Excel（アレルギー入力）'!"&amp;BQ78&amp;MATCH(BV36,'数出表_Excel（アレルギー入力）'!$A:$A,0)-1&amp;":AC"&amp;MATCH(BV36,'数出表_Excel（アレルギー入力）'!$A:$A,0)-1&amp;""),
 1,
MATCH(BR81,INDIRECT("'数出表_Excel（アレルギー入力）'!"&amp;BQ78&amp;BQ36-1&amp;":AC"&amp;BQ36-1&amp;""),0)+1),
 "")),0),"")</f>
        <v/>
      </c>
      <c r="BV84" s="151"/>
      <c r="BX84" s="132">
        <f t="shared" si="6"/>
        <v>56</v>
      </c>
      <c r="BY84" s="132" t="str">
        <f t="array" aca="1" ref="BY84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LEN(SUBSTITUTE(_xlfn.FORMULATEXT(BY$75),"=","")))+$BX84)</f>
        <v/>
      </c>
      <c r="BZ84" s="132" t="str">
        <f t="array" aca="1" ref="BZ84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LEN(SUBSTITUTE(_xlfn.FORMULATEXT(BZ$75),"=","")))+$BX84)</f>
        <v/>
      </c>
      <c r="CA84" s="132" t="str">
        <f t="array" aca="1" ref="CA84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LEN(SUBSTITUTE(_xlfn.FORMULATEXT(CA$75),"=","")))+$BX84)</f>
        <v/>
      </c>
      <c r="CB84" s="132" t="str">
        <f t="array" aca="1" ref="CB84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LEN(SUBSTITUTE(_xlfn.FORMULATEXT(CB$75),"=","")))+$BX84)</f>
        <v/>
      </c>
      <c r="CC84" s="132" t="str">
        <f t="array" aca="1" ref="CC84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LEN(SUBSTITUTE(_xlfn.FORMULATEXT(CC$75),"=","")))+$BX84)</f>
        <v/>
      </c>
      <c r="CD84" s="132" t="str">
        <f t="array" aca="1" ref="CD84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LEN(SUBSTITUTE(_xlfn.FORMULATEXT(CD$75),"=","")))+$BX84)</f>
        <v/>
      </c>
      <c r="CE84" s="132" t="str">
        <f t="array" aca="1" ref="CE84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LEN(SUBSTITUTE(_xlfn.FORMULATEXT(CE$75),"=","")))+$BX84)</f>
        <v/>
      </c>
      <c r="CF84" s="132" t="str">
        <f t="array" aca="1" ref="CF84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LEN(SUBSTITUTE(_xlfn.FORMULATEXT(CF$75),"=","")))+$BX84)</f>
        <v/>
      </c>
      <c r="CG84" s="132" t="str">
        <f t="array" aca="1" ref="CG84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LEN(SUBSTITUTE(_xlfn.FORMULATEXT(CG$75),"=","")))+$BX84)</f>
        <v/>
      </c>
      <c r="CH84" s="132" t="str">
        <f t="array" aca="1" ref="CH84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LEN(SUBSTITUTE(_xlfn.FORMULATEXT(CH$75),"=","")))+$BX84)</f>
        <v/>
      </c>
      <c r="CI84" s="132">
        <f t="shared" ca="1" si="5"/>
        <v>0</v>
      </c>
      <c r="CJ84" s="132" t="b">
        <f t="array" aca="1" ref="CJ84" ca="1">SUMPRODUCT((LEN(BY84:CH84)&gt;0)*1)&gt;0</f>
        <v>0</v>
      </c>
      <c r="CK84" s="132" t="str" cm="1">
        <f t="array" aca="1" ref="CK84" ca="1">IFERROR(SMALL(IF(CI$1:CI$150&lt;&gt;0,CI$1:CI$150),ROW(A84)),"")</f>
        <v/>
      </c>
      <c r="CL84" s="132" t="str">
        <f t="array" aca="1" ref="CL84" ca="1">IF($CK84&lt;&gt;"",
INDIRECT(""&amp;IF(COLUMN(BY84)&lt;=26,CHAR(COLUMN(BY84)+64),CHAR(INT((COLUMN(BY84)-1)/26)+64)&amp;CHAR(MOD(COLUMN(BY84)-1,26)+65))&amp;$CK84&amp;""),"")</f>
        <v/>
      </c>
      <c r="CM84" s="132" t="str">
        <f t="array" aca="1" ref="CM84" ca="1">IF($CK84&lt;&gt;"",
INDIRECT(""&amp;IF(COLUMN(BZ84)&lt;=26,CHAR(COLUMN(BZ84)+64),CHAR(INT((COLUMN(BZ84)-1)/26)+64)&amp;CHAR(MOD(COLUMN(BZ84)-1,26)+65))&amp;$CK84&amp;""),"")</f>
        <v/>
      </c>
      <c r="CN84" s="132" t="str">
        <f t="array" aca="1" ref="CN84" ca="1">IF($CK84&lt;&gt;"",
INDIRECT(""&amp;IF(COLUMN(CA84)&lt;=26,CHAR(COLUMN(CA84)+64),CHAR(INT((COLUMN(CA84)-1)/26)+64)&amp;CHAR(MOD(COLUMN(CA84)-1,26)+65))&amp;$CK84&amp;""),"")</f>
        <v/>
      </c>
      <c r="CO84" s="132" t="str">
        <f t="array" aca="1" ref="CO84" ca="1">IF($CK84&lt;&gt;"",
INDIRECT(""&amp;IF(COLUMN(CB84)&lt;=26,CHAR(COLUMN(CB84)+64),CHAR(INT((COLUMN(CB84)-1)/26)+64)&amp;CHAR(MOD(COLUMN(CB84)-1,26)+65))&amp;$CK84&amp;""),"")</f>
        <v/>
      </c>
      <c r="CP84" s="132" t="str">
        <f t="array" aca="1" ref="CP84" ca="1">IF($CK84&lt;&gt;"",
INDIRECT(""&amp;IF(COLUMN(CC84)&lt;=26,CHAR(COLUMN(CC84)+64),CHAR(INT((COLUMN(CC84)-1)/26)+64)&amp;CHAR(MOD(COLUMN(CC84)-1,26)+65))&amp;$CK84&amp;""),"")</f>
        <v/>
      </c>
      <c r="CQ84" s="132" t="str">
        <f t="array" aca="1" ref="CQ84" ca="1">IF($CK84&lt;&gt;"",
INDIRECT(""&amp;IF(COLUMN(CD84)&lt;=26,CHAR(COLUMN(CD84)+64),CHAR(INT((COLUMN(CD84)-1)/26)+64)&amp;CHAR(MOD(COLUMN(CD84)-1,26)+65))&amp;$CK84&amp;""),"")</f>
        <v/>
      </c>
      <c r="CR84" s="132" t="str">
        <f t="array" aca="1" ref="CR84" ca="1">IF($CK84&lt;&gt;"",
INDIRECT(""&amp;IF(COLUMN(CE84)&lt;=26,CHAR(COLUMN(CE84)+64),CHAR(INT((COLUMN(CE84)-1)/26)+64)&amp;CHAR(MOD(COLUMN(CE84)-1,26)+65))&amp;$CK84&amp;""),"")</f>
        <v/>
      </c>
      <c r="CS84" s="132" t="str">
        <f t="array" aca="1" ref="CS84" ca="1">IF($CK84&lt;&gt;"",
INDIRECT(""&amp;IF(COLUMN(CF84)&lt;=26,CHAR(COLUMN(CF84)+64),CHAR(INT((COLUMN(CF84)-1)/26)+64)&amp;CHAR(MOD(COLUMN(CF84)-1,26)+65))&amp;$CK84&amp;""),"")</f>
        <v/>
      </c>
      <c r="CT84" s="132" t="str">
        <f t="array" aca="1" ref="CT84" ca="1">IF($CK84&lt;&gt;"",
INDIRECT(""&amp;IF(COLUMN(CG84)&lt;=26,CHAR(COLUMN(CG84)+64),CHAR(INT((COLUMN(CG84)-1)/26)+64)&amp;CHAR(MOD(COLUMN(CG84)-1,26)+65))&amp;$CK84&amp;""),"")</f>
        <v/>
      </c>
      <c r="CU84" s="132" t="str">
        <f t="array" aca="1" ref="CU84" ca="1">IF($CK84&lt;&gt;"",
INDIRECT(""&amp;IF(COLUMN(CH84)&lt;=26,CHAR(COLUMN(CH84)+64),CHAR(INT((COLUMN(CH84)-1)/26)+64)&amp;CHAR(MOD(COLUMN(CH84)-1,26)+65))&amp;$CK84&amp;""),"")</f>
        <v/>
      </c>
    </row>
    <row r="85" spans="1:99" ht="22.2" customHeight="1" x14ac:dyDescent="0.45">
      <c r="BX85" s="132">
        <f t="shared" si="6"/>
        <v>21</v>
      </c>
      <c r="BY85" s="132" t="str">
        <f t="array" aca="1" ref="BY85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LEN(SUBSTITUTE(_xlfn.FORMULATEXT(BY$73),"=","")))+$BX85)</f>
        <v/>
      </c>
      <c r="BZ85" s="132" t="str">
        <f t="array" aca="1" ref="BZ85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LEN(SUBSTITUTE(_xlfn.FORMULATEXT(BZ$73),"=","")))+$BX85)</f>
        <v/>
      </c>
      <c r="CA85" s="132" t="str">
        <f t="array" aca="1" ref="CA85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LEN(SUBSTITUTE(_xlfn.FORMULATEXT(CA$73),"=","")))+$BX85)</f>
        <v/>
      </c>
      <c r="CB85" s="132" t="str">
        <f t="array" aca="1" ref="CB85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LEN(SUBSTITUTE(_xlfn.FORMULATEXT(CB$73),"=","")))+$BX85)</f>
        <v/>
      </c>
      <c r="CC85" s="132" t="str">
        <f t="array" aca="1" ref="CC85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LEN(SUBSTITUTE(_xlfn.FORMULATEXT(CC$73),"=","")))+$BX85)</f>
        <v/>
      </c>
      <c r="CD85" s="132" t="str">
        <f t="array" aca="1" ref="CD85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LEN(SUBSTITUTE(_xlfn.FORMULATEXT(CD$73),"=","")))+$BX85)</f>
        <v/>
      </c>
      <c r="CE85" s="132" t="str">
        <f t="array" aca="1" ref="CE85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LEN(SUBSTITUTE(_xlfn.FORMULATEXT(CE$73),"=","")))+$BX85)</f>
        <v/>
      </c>
      <c r="CF85" s="132" t="str">
        <f t="array" aca="1" ref="CF85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LEN(SUBSTITUTE(_xlfn.FORMULATEXT(CF$73),"=","")))+$BX85)</f>
        <v/>
      </c>
      <c r="CG85" s="132" t="str">
        <f t="array" aca="1" ref="CG85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LEN(SUBSTITUTE(_xlfn.FORMULATEXT(CG$73),"=","")))+$BX85)</f>
        <v/>
      </c>
      <c r="CH85" s="132" t="str">
        <f t="array" aca="1" ref="CH85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LEN(SUBSTITUTE(_xlfn.FORMULATEXT(CH$73),"=","")))+$BX85)</f>
        <v/>
      </c>
      <c r="CI85" s="132">
        <f t="shared" ca="1" si="5"/>
        <v>0</v>
      </c>
      <c r="CJ85" s="132" t="b">
        <f t="array" aca="1" ref="CJ85" ca="1">SUMPRODUCT((LEN(BY85:CH85)&gt;0)*1)&gt;0</f>
        <v>0</v>
      </c>
      <c r="CK85" s="132" t="str" cm="1">
        <f t="array" aca="1" ref="CK85" ca="1">IFERROR(SMALL(IF(CI$1:CI$150&lt;&gt;0,CI$1:CI$150),ROW(A85)),"")</f>
        <v/>
      </c>
      <c r="CL85" s="132" t="str">
        <f t="array" aca="1" ref="CL85" ca="1">IF($CK85&lt;&gt;"",
INDIRECT(""&amp;IF(COLUMN(BY85)&lt;=26,CHAR(COLUMN(BY85)+64),CHAR(INT((COLUMN(BY85)-1)/26)+64)&amp;CHAR(MOD(COLUMN(BY85)-1,26)+65))&amp;$CK85&amp;""),"")</f>
        <v/>
      </c>
      <c r="CM85" s="132" t="str">
        <f t="array" aca="1" ref="CM85" ca="1">IF($CK85&lt;&gt;"",
INDIRECT(""&amp;IF(COLUMN(BZ85)&lt;=26,CHAR(COLUMN(BZ85)+64),CHAR(INT((COLUMN(BZ85)-1)/26)+64)&amp;CHAR(MOD(COLUMN(BZ85)-1,26)+65))&amp;$CK85&amp;""),"")</f>
        <v/>
      </c>
      <c r="CN85" s="132" t="str">
        <f t="array" aca="1" ref="CN85" ca="1">IF($CK85&lt;&gt;"",
INDIRECT(""&amp;IF(COLUMN(CA85)&lt;=26,CHAR(COLUMN(CA85)+64),CHAR(INT((COLUMN(CA85)-1)/26)+64)&amp;CHAR(MOD(COLUMN(CA85)-1,26)+65))&amp;$CK85&amp;""),"")</f>
        <v/>
      </c>
      <c r="CO85" s="132" t="str">
        <f t="array" aca="1" ref="CO85" ca="1">IF($CK85&lt;&gt;"",
INDIRECT(""&amp;IF(COLUMN(CB85)&lt;=26,CHAR(COLUMN(CB85)+64),CHAR(INT((COLUMN(CB85)-1)/26)+64)&amp;CHAR(MOD(COLUMN(CB85)-1,26)+65))&amp;$CK85&amp;""),"")</f>
        <v/>
      </c>
      <c r="CP85" s="132" t="str">
        <f t="array" aca="1" ref="CP85" ca="1">IF($CK85&lt;&gt;"",
INDIRECT(""&amp;IF(COLUMN(CC85)&lt;=26,CHAR(COLUMN(CC85)+64),CHAR(INT((COLUMN(CC85)-1)/26)+64)&amp;CHAR(MOD(COLUMN(CC85)-1,26)+65))&amp;$CK85&amp;""),"")</f>
        <v/>
      </c>
      <c r="CQ85" s="132" t="str">
        <f t="array" aca="1" ref="CQ85" ca="1">IF($CK85&lt;&gt;"",
INDIRECT(""&amp;IF(COLUMN(CD85)&lt;=26,CHAR(COLUMN(CD85)+64),CHAR(INT((COLUMN(CD85)-1)/26)+64)&amp;CHAR(MOD(COLUMN(CD85)-1,26)+65))&amp;$CK85&amp;""),"")</f>
        <v/>
      </c>
      <c r="CR85" s="132" t="str">
        <f t="array" aca="1" ref="CR85" ca="1">IF($CK85&lt;&gt;"",
INDIRECT(""&amp;IF(COLUMN(CE85)&lt;=26,CHAR(COLUMN(CE85)+64),CHAR(INT((COLUMN(CE85)-1)/26)+64)&amp;CHAR(MOD(COLUMN(CE85)-1,26)+65))&amp;$CK85&amp;""),"")</f>
        <v/>
      </c>
      <c r="CS85" s="132" t="str">
        <f t="array" aca="1" ref="CS85" ca="1">IF($CK85&lt;&gt;"",
INDIRECT(""&amp;IF(COLUMN(CF85)&lt;=26,CHAR(COLUMN(CF85)+64),CHAR(INT((COLUMN(CF85)-1)/26)+64)&amp;CHAR(MOD(COLUMN(CF85)-1,26)+65))&amp;$CK85&amp;""),"")</f>
        <v/>
      </c>
      <c r="CT85" s="132" t="str">
        <f t="array" aca="1" ref="CT85" ca="1">IF($CK85&lt;&gt;"",
INDIRECT(""&amp;IF(COLUMN(CG85)&lt;=26,CHAR(COLUMN(CG85)+64),CHAR(INT((COLUMN(CG85)-1)/26)+64)&amp;CHAR(MOD(COLUMN(CG85)-1,26)+65))&amp;$CK85&amp;""),"")</f>
        <v/>
      </c>
      <c r="CU85" s="132" t="str">
        <f t="array" aca="1" ref="CU85" ca="1">IF($CK85&lt;&gt;"",
INDIRECT(""&amp;IF(COLUMN(CH85)&lt;=26,CHAR(COLUMN(CH85)+64),CHAR(INT((COLUMN(CH85)-1)/26)+64)&amp;CHAR(MOD(COLUMN(CH85)-1,26)+65))&amp;$CK85&amp;""),"")</f>
        <v/>
      </c>
    </row>
    <row r="86" spans="1:99" ht="22.2" customHeight="1" x14ac:dyDescent="0.45">
      <c r="BX86" s="132">
        <f t="shared" si="6"/>
        <v>63</v>
      </c>
      <c r="BY86" s="132" t="str">
        <f t="array" aca="1" ref="BY86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LEN(SUBSTITUTE(_xlfn.FORMULATEXT(BY$73),"=","")))+$BX86)</f>
        <v/>
      </c>
      <c r="BZ86" s="132" t="str">
        <f t="array" aca="1" ref="BZ86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LEN(SUBSTITUTE(_xlfn.FORMULATEXT(BZ$73),"=","")))+$BX86)</f>
        <v/>
      </c>
      <c r="CA86" s="132" t="str">
        <f t="array" aca="1" ref="CA86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LEN(SUBSTITUTE(_xlfn.FORMULATEXT(CA$73),"=","")))+$BX86)</f>
        <v/>
      </c>
      <c r="CB86" s="132" t="str">
        <f t="array" aca="1" ref="CB86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LEN(SUBSTITUTE(_xlfn.FORMULATEXT(CB$73),"=","")))+$BX86)</f>
        <v/>
      </c>
      <c r="CC86" s="132" t="str">
        <f t="array" aca="1" ref="CC86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LEN(SUBSTITUTE(_xlfn.FORMULATEXT(CC$73),"=","")))+$BX86)</f>
        <v/>
      </c>
      <c r="CD86" s="132" t="str">
        <f t="array" aca="1" ref="CD86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LEN(SUBSTITUTE(_xlfn.FORMULATEXT(CD$73),"=","")))+$BX86)</f>
        <v/>
      </c>
      <c r="CE86" s="132" t="str">
        <f t="array" aca="1" ref="CE86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LEN(SUBSTITUTE(_xlfn.FORMULATEXT(CE$73),"=","")))+$BX86)</f>
        <v/>
      </c>
      <c r="CF86" s="132" t="str">
        <f t="array" aca="1" ref="CF86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LEN(SUBSTITUTE(_xlfn.FORMULATEXT(CF$73),"=","")))+$BX86)</f>
        <v/>
      </c>
      <c r="CG86" s="132" t="str">
        <f t="array" aca="1" ref="CG86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LEN(SUBSTITUTE(_xlfn.FORMULATEXT(CG$73),"=","")))+$BX86)</f>
        <v/>
      </c>
      <c r="CH86" s="132" t="str">
        <f t="array" aca="1" ref="CH86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LEN(SUBSTITUTE(_xlfn.FORMULATEXT(CH$73),"=","")))+$BX86)</f>
        <v/>
      </c>
      <c r="CI86" s="132">
        <f t="shared" ca="1" si="5"/>
        <v>0</v>
      </c>
      <c r="CJ86" s="132" t="b">
        <f t="array" aca="1" ref="CJ86" ca="1">SUMPRODUCT((LEN(BY86:CH86)&gt;0)*1)&gt;0</f>
        <v>0</v>
      </c>
      <c r="CK86" s="132" t="str" cm="1">
        <f t="array" aca="1" ref="CK86" ca="1">IFERROR(SMALL(IF(CI$1:CI$150&lt;&gt;0,CI$1:CI$150),ROW(A86)),"")</f>
        <v/>
      </c>
      <c r="CL86" s="132" t="str">
        <f t="array" aca="1" ref="CL86" ca="1">IF($CK86&lt;&gt;"",
INDIRECT(""&amp;IF(COLUMN(BY86)&lt;=26,CHAR(COLUMN(BY86)+64),CHAR(INT((COLUMN(BY86)-1)/26)+64)&amp;CHAR(MOD(COLUMN(BY86)-1,26)+65))&amp;$CK86&amp;""),"")</f>
        <v/>
      </c>
      <c r="CM86" s="132" t="str">
        <f t="array" aca="1" ref="CM86" ca="1">IF($CK86&lt;&gt;"",
INDIRECT(""&amp;IF(COLUMN(BZ86)&lt;=26,CHAR(COLUMN(BZ86)+64),CHAR(INT((COLUMN(BZ86)-1)/26)+64)&amp;CHAR(MOD(COLUMN(BZ86)-1,26)+65))&amp;$CK86&amp;""),"")</f>
        <v/>
      </c>
      <c r="CN86" s="132" t="str">
        <f t="array" aca="1" ref="CN86" ca="1">IF($CK86&lt;&gt;"",
INDIRECT(""&amp;IF(COLUMN(CA86)&lt;=26,CHAR(COLUMN(CA86)+64),CHAR(INT((COLUMN(CA86)-1)/26)+64)&amp;CHAR(MOD(COLUMN(CA86)-1,26)+65))&amp;$CK86&amp;""),"")</f>
        <v/>
      </c>
      <c r="CO86" s="132" t="str">
        <f t="array" aca="1" ref="CO86" ca="1">IF($CK86&lt;&gt;"",
INDIRECT(""&amp;IF(COLUMN(CB86)&lt;=26,CHAR(COLUMN(CB86)+64),CHAR(INT((COLUMN(CB86)-1)/26)+64)&amp;CHAR(MOD(COLUMN(CB86)-1,26)+65))&amp;$CK86&amp;""),"")</f>
        <v/>
      </c>
      <c r="CP86" s="132" t="str">
        <f t="array" aca="1" ref="CP86" ca="1">IF($CK86&lt;&gt;"",
INDIRECT(""&amp;IF(COLUMN(CC86)&lt;=26,CHAR(COLUMN(CC86)+64),CHAR(INT((COLUMN(CC86)-1)/26)+64)&amp;CHAR(MOD(COLUMN(CC86)-1,26)+65))&amp;$CK86&amp;""),"")</f>
        <v/>
      </c>
      <c r="CQ86" s="132" t="str">
        <f t="array" aca="1" ref="CQ86" ca="1">IF($CK86&lt;&gt;"",
INDIRECT(""&amp;IF(COLUMN(CD86)&lt;=26,CHAR(COLUMN(CD86)+64),CHAR(INT((COLUMN(CD86)-1)/26)+64)&amp;CHAR(MOD(COLUMN(CD86)-1,26)+65))&amp;$CK86&amp;""),"")</f>
        <v/>
      </c>
      <c r="CR86" s="132" t="str">
        <f t="array" aca="1" ref="CR86" ca="1">IF($CK86&lt;&gt;"",
INDIRECT(""&amp;IF(COLUMN(CE86)&lt;=26,CHAR(COLUMN(CE86)+64),CHAR(INT((COLUMN(CE86)-1)/26)+64)&amp;CHAR(MOD(COLUMN(CE86)-1,26)+65))&amp;$CK86&amp;""),"")</f>
        <v/>
      </c>
      <c r="CS86" s="132" t="str">
        <f t="array" aca="1" ref="CS86" ca="1">IF($CK86&lt;&gt;"",
INDIRECT(""&amp;IF(COLUMN(CF86)&lt;=26,CHAR(COLUMN(CF86)+64),CHAR(INT((COLUMN(CF86)-1)/26)+64)&amp;CHAR(MOD(COLUMN(CF86)-1,26)+65))&amp;$CK86&amp;""),"")</f>
        <v/>
      </c>
      <c r="CT86" s="132" t="str">
        <f t="array" aca="1" ref="CT86" ca="1">IF($CK86&lt;&gt;"",
INDIRECT(""&amp;IF(COLUMN(CG86)&lt;=26,CHAR(COLUMN(CG86)+64),CHAR(INT((COLUMN(CG86)-1)/26)+64)&amp;CHAR(MOD(COLUMN(CG86)-1,26)+65))&amp;$CK86&amp;""),"")</f>
        <v/>
      </c>
      <c r="CU86" s="132" t="str">
        <f t="array" aca="1" ref="CU86" ca="1">IF($CK86&lt;&gt;"",
INDIRECT(""&amp;IF(COLUMN(CH86)&lt;=26,CHAR(COLUMN(CH86)+64),CHAR(INT((COLUMN(CH86)-1)/26)+64)&amp;CHAR(MOD(COLUMN(CH86)-1,26)+65))&amp;$CK86&amp;""),"")</f>
        <v/>
      </c>
    </row>
    <row r="87" spans="1:99" ht="22.2" customHeight="1" x14ac:dyDescent="0.45">
      <c r="BX87" s="146">
        <f t="shared" si="6"/>
        <v>21</v>
      </c>
      <c r="BY87" s="132" t="str">
        <f t="array" aca="1" ref="BY87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LEN(SUBSTITUTE(_xlfn.FORMULATEXT(BY$75),"=","")))+$BX87)</f>
        <v/>
      </c>
      <c r="BZ87" s="132" t="str">
        <f t="array" aca="1" ref="BZ87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LEN(SUBSTITUTE(_xlfn.FORMULATEXT(BZ$75),"=","")))+$BX87)</f>
        <v/>
      </c>
      <c r="CA87" s="132" t="str">
        <f t="array" aca="1" ref="CA87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LEN(SUBSTITUTE(_xlfn.FORMULATEXT(CA$75),"=","")))+$BX87)</f>
        <v/>
      </c>
      <c r="CB87" s="132" t="str">
        <f t="array" aca="1" ref="CB87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LEN(SUBSTITUTE(_xlfn.FORMULATEXT(CB$75),"=","")))+$BX87)</f>
        <v/>
      </c>
      <c r="CC87" s="132" t="str">
        <f t="array" aca="1" ref="CC87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LEN(SUBSTITUTE(_xlfn.FORMULATEXT(CC$75),"=","")))+$BX87)</f>
        <v/>
      </c>
      <c r="CD87" s="132" t="str">
        <f t="array" aca="1" ref="CD87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LEN(SUBSTITUTE(_xlfn.FORMULATEXT(CD$75),"=","")))+$BX87)</f>
        <v/>
      </c>
      <c r="CE87" s="132" t="str">
        <f t="array" aca="1" ref="CE87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LEN(SUBSTITUTE(_xlfn.FORMULATEXT(CE$75),"=","")))+$BX87)</f>
        <v/>
      </c>
      <c r="CF87" s="132" t="str">
        <f t="array" aca="1" ref="CF87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LEN(SUBSTITUTE(_xlfn.FORMULATEXT(CF$75),"=","")))+$BX87)</f>
        <v/>
      </c>
      <c r="CG87" s="132" t="str">
        <f t="array" aca="1" ref="CG87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LEN(SUBSTITUTE(_xlfn.FORMULATEXT(CG$75),"=","")))+$BX87)</f>
        <v/>
      </c>
      <c r="CH87" s="132" t="str">
        <f t="array" aca="1" ref="CH87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LEN(SUBSTITUTE(_xlfn.FORMULATEXT(CH$75),"=","")))+$BX87)</f>
        <v/>
      </c>
      <c r="CI87" s="132">
        <f t="shared" ca="1" si="5"/>
        <v>0</v>
      </c>
      <c r="CJ87" s="132" t="b">
        <f t="array" aca="1" ref="CJ87" ca="1">SUMPRODUCT((LEN(BY87:CH87)&gt;0)*1)&gt;0</f>
        <v>0</v>
      </c>
      <c r="CK87" s="132" t="str" cm="1">
        <f t="array" aca="1" ref="CK87" ca="1">IFERROR(SMALL(IF(CI$1:CI$150&lt;&gt;0,CI$1:CI$150),ROW(A87)),"")</f>
        <v/>
      </c>
      <c r="CL87" s="132" t="str">
        <f t="array" aca="1" ref="CL87" ca="1">IF($CK87&lt;&gt;"",
INDIRECT(""&amp;IF(COLUMN(BY87)&lt;=26,CHAR(COLUMN(BY87)+64),CHAR(INT((COLUMN(BY87)-1)/26)+64)&amp;CHAR(MOD(COLUMN(BY87)-1,26)+65))&amp;$CK87&amp;""),"")</f>
        <v/>
      </c>
      <c r="CM87" s="132" t="str">
        <f t="array" aca="1" ref="CM87" ca="1">IF($CK87&lt;&gt;"",
INDIRECT(""&amp;IF(COLUMN(BZ87)&lt;=26,CHAR(COLUMN(BZ87)+64),CHAR(INT((COLUMN(BZ87)-1)/26)+64)&amp;CHAR(MOD(COLUMN(BZ87)-1,26)+65))&amp;$CK87&amp;""),"")</f>
        <v/>
      </c>
      <c r="CN87" s="132" t="str">
        <f t="array" aca="1" ref="CN87" ca="1">IF($CK87&lt;&gt;"",
INDIRECT(""&amp;IF(COLUMN(CA87)&lt;=26,CHAR(COLUMN(CA87)+64),CHAR(INT((COLUMN(CA87)-1)/26)+64)&amp;CHAR(MOD(COLUMN(CA87)-1,26)+65))&amp;$CK87&amp;""),"")</f>
        <v/>
      </c>
      <c r="CO87" s="132" t="str">
        <f t="array" aca="1" ref="CO87" ca="1">IF($CK87&lt;&gt;"",
INDIRECT(""&amp;IF(COLUMN(CB87)&lt;=26,CHAR(COLUMN(CB87)+64),CHAR(INT((COLUMN(CB87)-1)/26)+64)&amp;CHAR(MOD(COLUMN(CB87)-1,26)+65))&amp;$CK87&amp;""),"")</f>
        <v/>
      </c>
      <c r="CP87" s="132" t="str">
        <f t="array" aca="1" ref="CP87" ca="1">IF($CK87&lt;&gt;"",
INDIRECT(""&amp;IF(COLUMN(CC87)&lt;=26,CHAR(COLUMN(CC87)+64),CHAR(INT((COLUMN(CC87)-1)/26)+64)&amp;CHAR(MOD(COLUMN(CC87)-1,26)+65))&amp;$CK87&amp;""),"")</f>
        <v/>
      </c>
      <c r="CQ87" s="132" t="str">
        <f t="array" aca="1" ref="CQ87" ca="1">IF($CK87&lt;&gt;"",
INDIRECT(""&amp;IF(COLUMN(CD87)&lt;=26,CHAR(COLUMN(CD87)+64),CHAR(INT((COLUMN(CD87)-1)/26)+64)&amp;CHAR(MOD(COLUMN(CD87)-1,26)+65))&amp;$CK87&amp;""),"")</f>
        <v/>
      </c>
      <c r="CR87" s="132" t="str">
        <f t="array" aca="1" ref="CR87" ca="1">IF($CK87&lt;&gt;"",
INDIRECT(""&amp;IF(COLUMN(CE87)&lt;=26,CHAR(COLUMN(CE87)+64),CHAR(INT((COLUMN(CE87)-1)/26)+64)&amp;CHAR(MOD(COLUMN(CE87)-1,26)+65))&amp;$CK87&amp;""),"")</f>
        <v/>
      </c>
      <c r="CS87" s="132" t="str">
        <f t="array" aca="1" ref="CS87" ca="1">IF($CK87&lt;&gt;"",
INDIRECT(""&amp;IF(COLUMN(CF87)&lt;=26,CHAR(COLUMN(CF87)+64),CHAR(INT((COLUMN(CF87)-1)/26)+64)&amp;CHAR(MOD(COLUMN(CF87)-1,26)+65))&amp;$CK87&amp;""),"")</f>
        <v/>
      </c>
      <c r="CT87" s="132" t="str">
        <f t="array" aca="1" ref="CT87" ca="1">IF($CK87&lt;&gt;"",
INDIRECT(""&amp;IF(COLUMN(CG87)&lt;=26,CHAR(COLUMN(CG87)+64),CHAR(INT((COLUMN(CG87)-1)/26)+64)&amp;CHAR(MOD(COLUMN(CG87)-1,26)+65))&amp;$CK87&amp;""),"")</f>
        <v/>
      </c>
      <c r="CU87" s="132" t="str">
        <f t="array" aca="1" ref="CU87" ca="1">IF($CK87&lt;&gt;"",
INDIRECT(""&amp;IF(COLUMN(CH87)&lt;=26,CHAR(COLUMN(CH87)+64),CHAR(INT((COLUMN(CH87)-1)/26)+64)&amp;CHAR(MOD(COLUMN(CH87)-1,26)+65))&amp;$CK87&amp;""),"")</f>
        <v/>
      </c>
    </row>
    <row r="88" spans="1:99" ht="22.2" customHeight="1" x14ac:dyDescent="0.45">
      <c r="BX88" s="132">
        <f t="shared" si="6"/>
        <v>63</v>
      </c>
      <c r="BY88" s="132" t="str">
        <f t="array" aca="1" ref="BY88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LEN(SUBSTITUTE(_xlfn.FORMULATEXT(BY$75),"=","")))+$BX88)</f>
        <v/>
      </c>
      <c r="BZ88" s="132" t="str">
        <f t="array" aca="1" ref="BZ88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LEN(SUBSTITUTE(_xlfn.FORMULATEXT(BZ$75),"=","")))+$BX88)</f>
        <v/>
      </c>
      <c r="CA88" s="132" t="str">
        <f t="array" aca="1" ref="CA88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LEN(SUBSTITUTE(_xlfn.FORMULATEXT(CA$75),"=","")))+$BX88)</f>
        <v/>
      </c>
      <c r="CB88" s="132" t="str">
        <f t="array" aca="1" ref="CB88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LEN(SUBSTITUTE(_xlfn.FORMULATEXT(CB$75),"=","")))+$BX88)</f>
        <v/>
      </c>
      <c r="CC88" s="132" t="str">
        <f t="array" aca="1" ref="CC88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LEN(SUBSTITUTE(_xlfn.FORMULATEXT(CC$75),"=","")))+$BX88)</f>
        <v/>
      </c>
      <c r="CD88" s="132" t="str">
        <f t="array" aca="1" ref="CD88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LEN(SUBSTITUTE(_xlfn.FORMULATEXT(CD$75),"=","")))+$BX88)</f>
        <v/>
      </c>
      <c r="CE88" s="132" t="str">
        <f t="array" aca="1" ref="CE88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LEN(SUBSTITUTE(_xlfn.FORMULATEXT(CE$75),"=","")))+$BX88)</f>
        <v/>
      </c>
      <c r="CF88" s="132" t="str">
        <f t="array" aca="1" ref="CF88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LEN(SUBSTITUTE(_xlfn.FORMULATEXT(CF$75),"=","")))+$BX88)</f>
        <v/>
      </c>
      <c r="CG88" s="132" t="str">
        <f t="array" aca="1" ref="CG88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LEN(SUBSTITUTE(_xlfn.FORMULATEXT(CG$75),"=","")))+$BX88)</f>
        <v/>
      </c>
      <c r="CH88" s="132" t="str">
        <f t="array" aca="1" ref="CH88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LEN(SUBSTITUTE(_xlfn.FORMULATEXT(CH$75),"=","")))+$BX88)</f>
        <v/>
      </c>
      <c r="CI88" s="132">
        <f t="shared" ca="1" si="5"/>
        <v>0</v>
      </c>
      <c r="CJ88" s="132" t="b">
        <f t="array" aca="1" ref="CJ88" ca="1">SUMPRODUCT((LEN(BY88:CH88)&gt;0)*1)&gt;0</f>
        <v>0</v>
      </c>
      <c r="CK88" s="132" t="str" cm="1">
        <f t="array" aca="1" ref="CK88" ca="1">IFERROR(SMALL(IF(CI$1:CI$150&lt;&gt;0,CI$1:CI$150),ROW(A88)),"")</f>
        <v/>
      </c>
      <c r="CL88" s="132" t="str">
        <f t="array" aca="1" ref="CL88" ca="1">IF($CK88&lt;&gt;"",
INDIRECT(""&amp;IF(COLUMN(BY88)&lt;=26,CHAR(COLUMN(BY88)+64),CHAR(INT((COLUMN(BY88)-1)/26)+64)&amp;CHAR(MOD(COLUMN(BY88)-1,26)+65))&amp;$CK88&amp;""),"")</f>
        <v/>
      </c>
      <c r="CM88" s="132" t="str">
        <f t="array" aca="1" ref="CM88" ca="1">IF($CK88&lt;&gt;"",
INDIRECT(""&amp;IF(COLUMN(BZ88)&lt;=26,CHAR(COLUMN(BZ88)+64),CHAR(INT((COLUMN(BZ88)-1)/26)+64)&amp;CHAR(MOD(COLUMN(BZ88)-1,26)+65))&amp;$CK88&amp;""),"")</f>
        <v/>
      </c>
      <c r="CN88" s="132" t="str">
        <f t="array" aca="1" ref="CN88" ca="1">IF($CK88&lt;&gt;"",
INDIRECT(""&amp;IF(COLUMN(CA88)&lt;=26,CHAR(COLUMN(CA88)+64),CHAR(INT((COLUMN(CA88)-1)/26)+64)&amp;CHAR(MOD(COLUMN(CA88)-1,26)+65))&amp;$CK88&amp;""),"")</f>
        <v/>
      </c>
      <c r="CO88" s="132" t="str">
        <f t="array" aca="1" ref="CO88" ca="1">IF($CK88&lt;&gt;"",
INDIRECT(""&amp;IF(COLUMN(CB88)&lt;=26,CHAR(COLUMN(CB88)+64),CHAR(INT((COLUMN(CB88)-1)/26)+64)&amp;CHAR(MOD(COLUMN(CB88)-1,26)+65))&amp;$CK88&amp;""),"")</f>
        <v/>
      </c>
      <c r="CP88" s="132" t="str">
        <f t="array" aca="1" ref="CP88" ca="1">IF($CK88&lt;&gt;"",
INDIRECT(""&amp;IF(COLUMN(CC88)&lt;=26,CHAR(COLUMN(CC88)+64),CHAR(INT((COLUMN(CC88)-1)/26)+64)&amp;CHAR(MOD(COLUMN(CC88)-1,26)+65))&amp;$CK88&amp;""),"")</f>
        <v/>
      </c>
      <c r="CQ88" s="132" t="str">
        <f t="array" aca="1" ref="CQ88" ca="1">IF($CK88&lt;&gt;"",
INDIRECT(""&amp;IF(COLUMN(CD88)&lt;=26,CHAR(COLUMN(CD88)+64),CHAR(INT((COLUMN(CD88)-1)/26)+64)&amp;CHAR(MOD(COLUMN(CD88)-1,26)+65))&amp;$CK88&amp;""),"")</f>
        <v/>
      </c>
      <c r="CR88" s="132" t="str">
        <f t="array" aca="1" ref="CR88" ca="1">IF($CK88&lt;&gt;"",
INDIRECT(""&amp;IF(COLUMN(CE88)&lt;=26,CHAR(COLUMN(CE88)+64),CHAR(INT((COLUMN(CE88)-1)/26)+64)&amp;CHAR(MOD(COLUMN(CE88)-1,26)+65))&amp;$CK88&amp;""),"")</f>
        <v/>
      </c>
      <c r="CS88" s="132" t="str">
        <f t="array" aca="1" ref="CS88" ca="1">IF($CK88&lt;&gt;"",
INDIRECT(""&amp;IF(COLUMN(CF88)&lt;=26,CHAR(COLUMN(CF88)+64),CHAR(INT((COLUMN(CF88)-1)/26)+64)&amp;CHAR(MOD(COLUMN(CF88)-1,26)+65))&amp;$CK88&amp;""),"")</f>
        <v/>
      </c>
      <c r="CT88" s="132" t="str">
        <f t="array" aca="1" ref="CT88" ca="1">IF($CK88&lt;&gt;"",
INDIRECT(""&amp;IF(COLUMN(CG88)&lt;=26,CHAR(COLUMN(CG88)+64),CHAR(INT((COLUMN(CG88)-1)/26)+64)&amp;CHAR(MOD(COLUMN(CG88)-1,26)+65))&amp;$CK88&amp;""),"")</f>
        <v/>
      </c>
      <c r="CU88" s="132" t="str">
        <f t="array" aca="1" ref="CU88" ca="1">IF($CK88&lt;&gt;"",
INDIRECT(""&amp;IF(COLUMN(CH88)&lt;=26,CHAR(COLUMN(CH88)+64),CHAR(INT((COLUMN(CH88)-1)/26)+64)&amp;CHAR(MOD(COLUMN(CH88)-1,26)+65))&amp;$CK88&amp;""),"")</f>
        <v/>
      </c>
    </row>
    <row r="89" spans="1:99" ht="22.2" customHeight="1" x14ac:dyDescent="0.45">
      <c r="BX89" s="132">
        <f t="shared" si="6"/>
        <v>28</v>
      </c>
      <c r="BY89" s="132" t="str">
        <f t="array" aca="1" ref="BY89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LEN(SUBSTITUTE(_xlfn.FORMULATEXT(BY$73),"=","")))+$BX89)</f>
        <v/>
      </c>
      <c r="BZ89" s="132" t="str">
        <f t="array" aca="1" ref="BZ89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LEN(SUBSTITUTE(_xlfn.FORMULATEXT(BZ$73),"=","")))+$BX89)</f>
        <v/>
      </c>
      <c r="CA89" s="132" t="str">
        <f t="array" aca="1" ref="CA89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LEN(SUBSTITUTE(_xlfn.FORMULATEXT(CA$73),"=","")))+$BX89)</f>
        <v/>
      </c>
      <c r="CB89" s="132" t="str">
        <f t="array" aca="1" ref="CB89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LEN(SUBSTITUTE(_xlfn.FORMULATEXT(CB$73),"=","")))+$BX89)</f>
        <v/>
      </c>
      <c r="CC89" s="132" t="str">
        <f t="array" aca="1" ref="CC89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LEN(SUBSTITUTE(_xlfn.FORMULATEXT(CC$73),"=","")))+$BX89)</f>
        <v/>
      </c>
      <c r="CD89" s="132" t="str">
        <f t="array" aca="1" ref="CD89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LEN(SUBSTITUTE(_xlfn.FORMULATEXT(CD$73),"=","")))+$BX89)</f>
        <v/>
      </c>
      <c r="CE89" s="132" t="str">
        <f t="array" aca="1" ref="CE89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LEN(SUBSTITUTE(_xlfn.FORMULATEXT(CE$73),"=","")))+$BX89)</f>
        <v/>
      </c>
      <c r="CF89" s="132" t="str">
        <f t="array" aca="1" ref="CF89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LEN(SUBSTITUTE(_xlfn.FORMULATEXT(CF$73),"=","")))+$BX89)</f>
        <v/>
      </c>
      <c r="CG89" s="132" t="str">
        <f t="array" aca="1" ref="CG89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LEN(SUBSTITUTE(_xlfn.FORMULATEXT(CG$73),"=","")))+$BX89)</f>
        <v/>
      </c>
      <c r="CH89" s="132" t="str">
        <f t="array" aca="1" ref="CH89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LEN(SUBSTITUTE(_xlfn.FORMULATEXT(CH$73),"=","")))+$BX89)</f>
        <v/>
      </c>
      <c r="CI89" s="132">
        <f t="shared" ca="1" si="5"/>
        <v>0</v>
      </c>
      <c r="CJ89" s="132" t="b">
        <f t="array" aca="1" ref="CJ89" ca="1">SUMPRODUCT((LEN(BY89:CH89)&gt;0)*1)&gt;0</f>
        <v>0</v>
      </c>
      <c r="CK89" s="132" t="str" cm="1">
        <f t="array" aca="1" ref="CK89" ca="1">IFERROR(SMALL(IF(CI$1:CI$150&lt;&gt;0,CI$1:CI$150),ROW(A89)),"")</f>
        <v/>
      </c>
      <c r="CL89" s="132" t="str">
        <f t="array" aca="1" ref="CL89" ca="1">IF($CK89&lt;&gt;"",
INDIRECT(""&amp;IF(COLUMN(BY89)&lt;=26,CHAR(COLUMN(BY89)+64),CHAR(INT((COLUMN(BY89)-1)/26)+64)&amp;CHAR(MOD(COLUMN(BY89)-1,26)+65))&amp;$CK89&amp;""),"")</f>
        <v/>
      </c>
      <c r="CM89" s="132" t="str">
        <f t="array" aca="1" ref="CM89" ca="1">IF($CK89&lt;&gt;"",
INDIRECT(""&amp;IF(COLUMN(BZ89)&lt;=26,CHAR(COLUMN(BZ89)+64),CHAR(INT((COLUMN(BZ89)-1)/26)+64)&amp;CHAR(MOD(COLUMN(BZ89)-1,26)+65))&amp;$CK89&amp;""),"")</f>
        <v/>
      </c>
      <c r="CN89" s="132" t="str">
        <f t="array" aca="1" ref="CN89" ca="1">IF($CK89&lt;&gt;"",
INDIRECT(""&amp;IF(COLUMN(CA89)&lt;=26,CHAR(COLUMN(CA89)+64),CHAR(INT((COLUMN(CA89)-1)/26)+64)&amp;CHAR(MOD(COLUMN(CA89)-1,26)+65))&amp;$CK89&amp;""),"")</f>
        <v/>
      </c>
      <c r="CO89" s="132" t="str">
        <f t="array" aca="1" ref="CO89" ca="1">IF($CK89&lt;&gt;"",
INDIRECT(""&amp;IF(COLUMN(CB89)&lt;=26,CHAR(COLUMN(CB89)+64),CHAR(INT((COLUMN(CB89)-1)/26)+64)&amp;CHAR(MOD(COLUMN(CB89)-1,26)+65))&amp;$CK89&amp;""),"")</f>
        <v/>
      </c>
      <c r="CP89" s="132" t="str">
        <f t="array" aca="1" ref="CP89" ca="1">IF($CK89&lt;&gt;"",
INDIRECT(""&amp;IF(COLUMN(CC89)&lt;=26,CHAR(COLUMN(CC89)+64),CHAR(INT((COLUMN(CC89)-1)/26)+64)&amp;CHAR(MOD(COLUMN(CC89)-1,26)+65))&amp;$CK89&amp;""),"")</f>
        <v/>
      </c>
      <c r="CQ89" s="132" t="str">
        <f t="array" aca="1" ref="CQ89" ca="1">IF($CK89&lt;&gt;"",
INDIRECT(""&amp;IF(COLUMN(CD89)&lt;=26,CHAR(COLUMN(CD89)+64),CHAR(INT((COLUMN(CD89)-1)/26)+64)&amp;CHAR(MOD(COLUMN(CD89)-1,26)+65))&amp;$CK89&amp;""),"")</f>
        <v/>
      </c>
      <c r="CR89" s="132" t="str">
        <f t="array" aca="1" ref="CR89" ca="1">IF($CK89&lt;&gt;"",
INDIRECT(""&amp;IF(COLUMN(CE89)&lt;=26,CHAR(COLUMN(CE89)+64),CHAR(INT((COLUMN(CE89)-1)/26)+64)&amp;CHAR(MOD(COLUMN(CE89)-1,26)+65))&amp;$CK89&amp;""),"")</f>
        <v/>
      </c>
      <c r="CS89" s="132" t="str">
        <f t="array" aca="1" ref="CS89" ca="1">IF($CK89&lt;&gt;"",
INDIRECT(""&amp;IF(COLUMN(CF89)&lt;=26,CHAR(COLUMN(CF89)+64),CHAR(INT((COLUMN(CF89)-1)/26)+64)&amp;CHAR(MOD(COLUMN(CF89)-1,26)+65))&amp;$CK89&amp;""),"")</f>
        <v/>
      </c>
      <c r="CT89" s="132" t="str">
        <f t="array" aca="1" ref="CT89" ca="1">IF($CK89&lt;&gt;"",
INDIRECT(""&amp;IF(COLUMN(CG89)&lt;=26,CHAR(COLUMN(CG89)+64),CHAR(INT((COLUMN(CG89)-1)/26)+64)&amp;CHAR(MOD(COLUMN(CG89)-1,26)+65))&amp;$CK89&amp;""),"")</f>
        <v/>
      </c>
      <c r="CU89" s="132" t="str">
        <f t="array" aca="1" ref="CU89" ca="1">IF($CK89&lt;&gt;"",
INDIRECT(""&amp;IF(COLUMN(CH89)&lt;=26,CHAR(COLUMN(CH89)+64),CHAR(INT((COLUMN(CH89)-1)/26)+64)&amp;CHAR(MOD(COLUMN(CH89)-1,26)+65))&amp;$CK89&amp;""),"")</f>
        <v/>
      </c>
    </row>
    <row r="90" spans="1:99" ht="22.2" customHeight="1" x14ac:dyDescent="0.45">
      <c r="BX90" s="132">
        <f t="shared" si="6"/>
        <v>70</v>
      </c>
      <c r="BY90" s="132" t="str">
        <f t="array" aca="1" ref="BY90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LEN(SUBSTITUTE(_xlfn.FORMULATEXT(BY$73),"=","")))+$BX90)</f>
        <v/>
      </c>
      <c r="BZ90" s="132" t="str">
        <f t="array" aca="1" ref="BZ90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LEN(SUBSTITUTE(_xlfn.FORMULATEXT(BZ$73),"=","")))+$BX90)</f>
        <v/>
      </c>
      <c r="CA90" s="132" t="str">
        <f t="array" aca="1" ref="CA90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LEN(SUBSTITUTE(_xlfn.FORMULATEXT(CA$73),"=","")))+$BX90)</f>
        <v/>
      </c>
      <c r="CB90" s="132" t="str">
        <f t="array" aca="1" ref="CB90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LEN(SUBSTITUTE(_xlfn.FORMULATEXT(CB$73),"=","")))+$BX90)</f>
        <v/>
      </c>
      <c r="CC90" s="132" t="str">
        <f t="array" aca="1" ref="CC90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LEN(SUBSTITUTE(_xlfn.FORMULATEXT(CC$73),"=","")))+$BX90)</f>
        <v/>
      </c>
      <c r="CD90" s="132" t="str">
        <f t="array" aca="1" ref="CD90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LEN(SUBSTITUTE(_xlfn.FORMULATEXT(CD$73),"=","")))+$BX90)</f>
        <v/>
      </c>
      <c r="CE90" s="132" t="str">
        <f t="array" aca="1" ref="CE90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LEN(SUBSTITUTE(_xlfn.FORMULATEXT(CE$73),"=","")))+$BX90)</f>
        <v/>
      </c>
      <c r="CF90" s="132" t="str">
        <f t="array" aca="1" ref="CF90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LEN(SUBSTITUTE(_xlfn.FORMULATEXT(CF$73),"=","")))+$BX90)</f>
        <v/>
      </c>
      <c r="CG90" s="132" t="str">
        <f t="array" aca="1" ref="CG90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LEN(SUBSTITUTE(_xlfn.FORMULATEXT(CG$73),"=","")))+$BX90)</f>
        <v/>
      </c>
      <c r="CH90" s="132" t="str">
        <f t="array" aca="1" ref="CH90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LEN(SUBSTITUTE(_xlfn.FORMULATEXT(CH$73),"=","")))+$BX90)</f>
        <v/>
      </c>
      <c r="CI90" s="132">
        <f t="shared" ca="1" si="5"/>
        <v>0</v>
      </c>
      <c r="CJ90" s="132" t="b">
        <f t="array" aca="1" ref="CJ90" ca="1">SUMPRODUCT((LEN(BY90:CH90)&gt;0)*1)&gt;0</f>
        <v>0</v>
      </c>
      <c r="CK90" s="132" t="str" cm="1">
        <f t="array" aca="1" ref="CK90" ca="1">IFERROR(SMALL(IF(CI$1:CI$150&lt;&gt;0,CI$1:CI$150),ROW(A90)),"")</f>
        <v/>
      </c>
      <c r="CL90" s="132" t="str">
        <f t="array" aca="1" ref="CL90" ca="1">IF($CK90&lt;&gt;"",
INDIRECT(""&amp;IF(COLUMN(BY90)&lt;=26,CHAR(COLUMN(BY90)+64),CHAR(INT((COLUMN(BY90)-1)/26)+64)&amp;CHAR(MOD(COLUMN(BY90)-1,26)+65))&amp;$CK90&amp;""),"")</f>
        <v/>
      </c>
      <c r="CM90" s="132" t="str">
        <f t="array" aca="1" ref="CM90" ca="1">IF($CK90&lt;&gt;"",
INDIRECT(""&amp;IF(COLUMN(BZ90)&lt;=26,CHAR(COLUMN(BZ90)+64),CHAR(INT((COLUMN(BZ90)-1)/26)+64)&amp;CHAR(MOD(COLUMN(BZ90)-1,26)+65))&amp;$CK90&amp;""),"")</f>
        <v/>
      </c>
      <c r="CN90" s="132" t="str">
        <f t="array" aca="1" ref="CN90" ca="1">IF($CK90&lt;&gt;"",
INDIRECT(""&amp;IF(COLUMN(CA90)&lt;=26,CHAR(COLUMN(CA90)+64),CHAR(INT((COLUMN(CA90)-1)/26)+64)&amp;CHAR(MOD(COLUMN(CA90)-1,26)+65))&amp;$CK90&amp;""),"")</f>
        <v/>
      </c>
      <c r="CO90" s="132" t="str">
        <f t="array" aca="1" ref="CO90" ca="1">IF($CK90&lt;&gt;"",
INDIRECT(""&amp;IF(COLUMN(CB90)&lt;=26,CHAR(COLUMN(CB90)+64),CHAR(INT((COLUMN(CB90)-1)/26)+64)&amp;CHAR(MOD(COLUMN(CB90)-1,26)+65))&amp;$CK90&amp;""),"")</f>
        <v/>
      </c>
      <c r="CP90" s="132" t="str">
        <f t="array" aca="1" ref="CP90" ca="1">IF($CK90&lt;&gt;"",
INDIRECT(""&amp;IF(COLUMN(CC90)&lt;=26,CHAR(COLUMN(CC90)+64),CHAR(INT((COLUMN(CC90)-1)/26)+64)&amp;CHAR(MOD(COLUMN(CC90)-1,26)+65))&amp;$CK90&amp;""),"")</f>
        <v/>
      </c>
      <c r="CQ90" s="132" t="str">
        <f t="array" aca="1" ref="CQ90" ca="1">IF($CK90&lt;&gt;"",
INDIRECT(""&amp;IF(COLUMN(CD90)&lt;=26,CHAR(COLUMN(CD90)+64),CHAR(INT((COLUMN(CD90)-1)/26)+64)&amp;CHAR(MOD(COLUMN(CD90)-1,26)+65))&amp;$CK90&amp;""),"")</f>
        <v/>
      </c>
      <c r="CR90" s="132" t="str">
        <f t="array" aca="1" ref="CR90" ca="1">IF($CK90&lt;&gt;"",
INDIRECT(""&amp;IF(COLUMN(CE90)&lt;=26,CHAR(COLUMN(CE90)+64),CHAR(INT((COLUMN(CE90)-1)/26)+64)&amp;CHAR(MOD(COLUMN(CE90)-1,26)+65))&amp;$CK90&amp;""),"")</f>
        <v/>
      </c>
      <c r="CS90" s="132" t="str">
        <f t="array" aca="1" ref="CS90" ca="1">IF($CK90&lt;&gt;"",
INDIRECT(""&amp;IF(COLUMN(CF90)&lt;=26,CHAR(COLUMN(CF90)+64),CHAR(INT((COLUMN(CF90)-1)/26)+64)&amp;CHAR(MOD(COLUMN(CF90)-1,26)+65))&amp;$CK90&amp;""),"")</f>
        <v/>
      </c>
      <c r="CT90" s="132" t="str">
        <f t="array" aca="1" ref="CT90" ca="1">IF($CK90&lt;&gt;"",
INDIRECT(""&amp;IF(COLUMN(CG90)&lt;=26,CHAR(COLUMN(CG90)+64),CHAR(INT((COLUMN(CG90)-1)/26)+64)&amp;CHAR(MOD(COLUMN(CG90)-1,26)+65))&amp;$CK90&amp;""),"")</f>
        <v/>
      </c>
      <c r="CU90" s="132" t="str">
        <f t="array" aca="1" ref="CU90" ca="1">IF($CK90&lt;&gt;"",
INDIRECT(""&amp;IF(COLUMN(CH90)&lt;=26,CHAR(COLUMN(CH90)+64),CHAR(INT((COLUMN(CH90)-1)/26)+64)&amp;CHAR(MOD(COLUMN(CH90)-1,26)+65))&amp;$CK90&amp;""),"")</f>
        <v/>
      </c>
    </row>
    <row r="91" spans="1:99" ht="22.2" customHeight="1" x14ac:dyDescent="0.45">
      <c r="BX91" s="146">
        <f t="shared" si="6"/>
        <v>28</v>
      </c>
      <c r="BY91" s="132" t="str">
        <f t="array" aca="1" ref="BY91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LEN(SUBSTITUTE(_xlfn.FORMULATEXT(BY$75),"=","")))+$BX91)</f>
        <v/>
      </c>
      <c r="BZ91" s="132" t="str">
        <f t="array" aca="1" ref="BZ91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LEN(SUBSTITUTE(_xlfn.FORMULATEXT(BZ$75),"=","")))+$BX91)</f>
        <v/>
      </c>
      <c r="CA91" s="132" t="str">
        <f t="array" aca="1" ref="CA91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LEN(SUBSTITUTE(_xlfn.FORMULATEXT(CA$75),"=","")))+$BX91)</f>
        <v/>
      </c>
      <c r="CB91" s="132" t="str">
        <f t="array" aca="1" ref="CB91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LEN(SUBSTITUTE(_xlfn.FORMULATEXT(CB$75),"=","")))+$BX91)</f>
        <v/>
      </c>
      <c r="CC91" s="132" t="str">
        <f t="array" aca="1" ref="CC91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LEN(SUBSTITUTE(_xlfn.FORMULATEXT(CC$75),"=","")))+$BX91)</f>
        <v/>
      </c>
      <c r="CD91" s="132" t="str">
        <f t="array" aca="1" ref="CD91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LEN(SUBSTITUTE(_xlfn.FORMULATEXT(CD$75),"=","")))+$BX91)</f>
        <v/>
      </c>
      <c r="CE91" s="132" t="str">
        <f t="array" aca="1" ref="CE91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LEN(SUBSTITUTE(_xlfn.FORMULATEXT(CE$75),"=","")))+$BX91)</f>
        <v/>
      </c>
      <c r="CF91" s="132" t="str">
        <f t="array" aca="1" ref="CF91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LEN(SUBSTITUTE(_xlfn.FORMULATEXT(CF$75),"=","")))+$BX91)</f>
        <v/>
      </c>
      <c r="CG91" s="132" t="str">
        <f t="array" aca="1" ref="CG91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LEN(SUBSTITUTE(_xlfn.FORMULATEXT(CG$75),"=","")))+$BX91)</f>
        <v/>
      </c>
      <c r="CH91" s="132" t="str">
        <f t="array" aca="1" ref="CH91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LEN(SUBSTITUTE(_xlfn.FORMULATEXT(CH$75),"=","")))+$BX91)</f>
        <v/>
      </c>
      <c r="CI91" s="132">
        <f t="shared" ca="1" si="5"/>
        <v>0</v>
      </c>
      <c r="CJ91" s="132" t="b">
        <f t="array" aca="1" ref="CJ91" ca="1">SUMPRODUCT((LEN(BY91:CH91)&gt;0)*1)&gt;0</f>
        <v>0</v>
      </c>
      <c r="CK91" s="132" t="str" cm="1">
        <f t="array" aca="1" ref="CK91" ca="1">IFERROR(SMALL(IF(CI$1:CI$150&lt;&gt;0,CI$1:CI$150),ROW(A91)),"")</f>
        <v/>
      </c>
      <c r="CL91" s="132" t="str">
        <f t="array" aca="1" ref="CL91" ca="1">IF($CK91&lt;&gt;"",
INDIRECT(""&amp;IF(COLUMN(BY91)&lt;=26,CHAR(COLUMN(BY91)+64),CHAR(INT((COLUMN(BY91)-1)/26)+64)&amp;CHAR(MOD(COLUMN(BY91)-1,26)+65))&amp;$CK91&amp;""),"")</f>
        <v/>
      </c>
      <c r="CM91" s="132" t="str">
        <f t="array" aca="1" ref="CM91" ca="1">IF($CK91&lt;&gt;"",
INDIRECT(""&amp;IF(COLUMN(BZ91)&lt;=26,CHAR(COLUMN(BZ91)+64),CHAR(INT((COLUMN(BZ91)-1)/26)+64)&amp;CHAR(MOD(COLUMN(BZ91)-1,26)+65))&amp;$CK91&amp;""),"")</f>
        <v/>
      </c>
      <c r="CN91" s="132" t="str">
        <f t="array" aca="1" ref="CN91" ca="1">IF($CK91&lt;&gt;"",
INDIRECT(""&amp;IF(COLUMN(CA91)&lt;=26,CHAR(COLUMN(CA91)+64),CHAR(INT((COLUMN(CA91)-1)/26)+64)&amp;CHAR(MOD(COLUMN(CA91)-1,26)+65))&amp;$CK91&amp;""),"")</f>
        <v/>
      </c>
      <c r="CO91" s="132" t="str">
        <f t="array" aca="1" ref="CO91" ca="1">IF($CK91&lt;&gt;"",
INDIRECT(""&amp;IF(COLUMN(CB91)&lt;=26,CHAR(COLUMN(CB91)+64),CHAR(INT((COLUMN(CB91)-1)/26)+64)&amp;CHAR(MOD(COLUMN(CB91)-1,26)+65))&amp;$CK91&amp;""),"")</f>
        <v/>
      </c>
      <c r="CP91" s="132" t="str">
        <f t="array" aca="1" ref="CP91" ca="1">IF($CK91&lt;&gt;"",
INDIRECT(""&amp;IF(COLUMN(CC91)&lt;=26,CHAR(COLUMN(CC91)+64),CHAR(INT((COLUMN(CC91)-1)/26)+64)&amp;CHAR(MOD(COLUMN(CC91)-1,26)+65))&amp;$CK91&amp;""),"")</f>
        <v/>
      </c>
      <c r="CQ91" s="132" t="str">
        <f t="array" aca="1" ref="CQ91" ca="1">IF($CK91&lt;&gt;"",
INDIRECT(""&amp;IF(COLUMN(CD91)&lt;=26,CHAR(COLUMN(CD91)+64),CHAR(INT((COLUMN(CD91)-1)/26)+64)&amp;CHAR(MOD(COLUMN(CD91)-1,26)+65))&amp;$CK91&amp;""),"")</f>
        <v/>
      </c>
      <c r="CR91" s="132" t="str">
        <f t="array" aca="1" ref="CR91" ca="1">IF($CK91&lt;&gt;"",
INDIRECT(""&amp;IF(COLUMN(CE91)&lt;=26,CHAR(COLUMN(CE91)+64),CHAR(INT((COLUMN(CE91)-1)/26)+64)&amp;CHAR(MOD(COLUMN(CE91)-1,26)+65))&amp;$CK91&amp;""),"")</f>
        <v/>
      </c>
      <c r="CS91" s="132" t="str">
        <f t="array" aca="1" ref="CS91" ca="1">IF($CK91&lt;&gt;"",
INDIRECT(""&amp;IF(COLUMN(CF91)&lt;=26,CHAR(COLUMN(CF91)+64),CHAR(INT((COLUMN(CF91)-1)/26)+64)&amp;CHAR(MOD(COLUMN(CF91)-1,26)+65))&amp;$CK91&amp;""),"")</f>
        <v/>
      </c>
      <c r="CT91" s="132" t="str">
        <f t="array" aca="1" ref="CT91" ca="1">IF($CK91&lt;&gt;"",
INDIRECT(""&amp;IF(COLUMN(CG91)&lt;=26,CHAR(COLUMN(CG91)+64),CHAR(INT((COLUMN(CG91)-1)/26)+64)&amp;CHAR(MOD(COLUMN(CG91)-1,26)+65))&amp;$CK91&amp;""),"")</f>
        <v/>
      </c>
      <c r="CU91" s="132" t="str">
        <f t="array" aca="1" ref="CU91" ca="1">IF($CK91&lt;&gt;"",
INDIRECT(""&amp;IF(COLUMN(CH91)&lt;=26,CHAR(COLUMN(CH91)+64),CHAR(INT((COLUMN(CH91)-1)/26)+64)&amp;CHAR(MOD(COLUMN(CH91)-1,26)+65))&amp;$CK91&amp;""),"")</f>
        <v/>
      </c>
    </row>
    <row r="92" spans="1:99" ht="22.2" customHeight="1" x14ac:dyDescent="0.45">
      <c r="BX92" s="132">
        <f t="shared" si="6"/>
        <v>70</v>
      </c>
      <c r="BY92" s="132" t="str">
        <f t="array" aca="1" ref="BY92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LEN(SUBSTITUTE(_xlfn.FORMULATEXT(BY$75),"=","")))+$BX92)</f>
        <v/>
      </c>
      <c r="BZ92" s="132" t="str">
        <f t="array" aca="1" ref="BZ92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LEN(SUBSTITUTE(_xlfn.FORMULATEXT(BZ$75),"=","")))+$BX92)</f>
        <v/>
      </c>
      <c r="CA92" s="132" t="str">
        <f t="array" aca="1" ref="CA92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LEN(SUBSTITUTE(_xlfn.FORMULATEXT(CA$75),"=","")))+$BX92)</f>
        <v/>
      </c>
      <c r="CB92" s="132" t="str">
        <f t="array" aca="1" ref="CB92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LEN(SUBSTITUTE(_xlfn.FORMULATEXT(CB$75),"=","")))+$BX92)</f>
        <v/>
      </c>
      <c r="CC92" s="132" t="str">
        <f t="array" aca="1" ref="CC92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LEN(SUBSTITUTE(_xlfn.FORMULATEXT(CC$75),"=","")))+$BX92)</f>
        <v/>
      </c>
      <c r="CD92" s="132" t="str">
        <f t="array" aca="1" ref="CD92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LEN(SUBSTITUTE(_xlfn.FORMULATEXT(CD$75),"=","")))+$BX92)</f>
        <v/>
      </c>
      <c r="CE92" s="132" t="str">
        <f t="array" aca="1" ref="CE92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LEN(SUBSTITUTE(_xlfn.FORMULATEXT(CE$75),"=","")))+$BX92)</f>
        <v/>
      </c>
      <c r="CF92" s="132" t="str">
        <f t="array" aca="1" ref="CF92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LEN(SUBSTITUTE(_xlfn.FORMULATEXT(CF$75),"=","")))+$BX92)</f>
        <v/>
      </c>
      <c r="CG92" s="132" t="str">
        <f t="array" aca="1" ref="CG92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LEN(SUBSTITUTE(_xlfn.FORMULATEXT(CG$75),"=","")))+$BX92)</f>
        <v/>
      </c>
      <c r="CH92" s="132" t="str">
        <f t="array" aca="1" ref="CH92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LEN(SUBSTITUTE(_xlfn.FORMULATEXT(CH$75),"=","")))+$BX92)</f>
        <v/>
      </c>
      <c r="CI92" s="132">
        <f t="shared" ca="1" si="5"/>
        <v>0</v>
      </c>
      <c r="CJ92" s="132" t="b">
        <f t="array" aca="1" ref="CJ92" ca="1">SUMPRODUCT((LEN(BY92:CH92)&gt;0)*1)&gt;0</f>
        <v>0</v>
      </c>
      <c r="CK92" s="132" t="str" cm="1">
        <f t="array" aca="1" ref="CK92" ca="1">IFERROR(SMALL(IF(CI$1:CI$150&lt;&gt;0,CI$1:CI$150),ROW(A92)),"")</f>
        <v/>
      </c>
      <c r="CL92" s="132" t="str">
        <f t="array" aca="1" ref="CL92" ca="1">IF($CK92&lt;&gt;"",
INDIRECT(""&amp;IF(COLUMN(BY92)&lt;=26,CHAR(COLUMN(BY92)+64),CHAR(INT((COLUMN(BY92)-1)/26)+64)&amp;CHAR(MOD(COLUMN(BY92)-1,26)+65))&amp;$CK92&amp;""),"")</f>
        <v/>
      </c>
      <c r="CM92" s="132" t="str">
        <f t="array" aca="1" ref="CM92" ca="1">IF($CK92&lt;&gt;"",
INDIRECT(""&amp;IF(COLUMN(BZ92)&lt;=26,CHAR(COLUMN(BZ92)+64),CHAR(INT((COLUMN(BZ92)-1)/26)+64)&amp;CHAR(MOD(COLUMN(BZ92)-1,26)+65))&amp;$CK92&amp;""),"")</f>
        <v/>
      </c>
      <c r="CN92" s="132" t="str">
        <f t="array" aca="1" ref="CN92" ca="1">IF($CK92&lt;&gt;"",
INDIRECT(""&amp;IF(COLUMN(CA92)&lt;=26,CHAR(COLUMN(CA92)+64),CHAR(INT((COLUMN(CA92)-1)/26)+64)&amp;CHAR(MOD(COLUMN(CA92)-1,26)+65))&amp;$CK92&amp;""),"")</f>
        <v/>
      </c>
      <c r="CO92" s="132" t="str">
        <f t="array" aca="1" ref="CO92" ca="1">IF($CK92&lt;&gt;"",
INDIRECT(""&amp;IF(COLUMN(CB92)&lt;=26,CHAR(COLUMN(CB92)+64),CHAR(INT((COLUMN(CB92)-1)/26)+64)&amp;CHAR(MOD(COLUMN(CB92)-1,26)+65))&amp;$CK92&amp;""),"")</f>
        <v/>
      </c>
      <c r="CP92" s="132" t="str">
        <f t="array" aca="1" ref="CP92" ca="1">IF($CK92&lt;&gt;"",
INDIRECT(""&amp;IF(COLUMN(CC92)&lt;=26,CHAR(COLUMN(CC92)+64),CHAR(INT((COLUMN(CC92)-1)/26)+64)&amp;CHAR(MOD(COLUMN(CC92)-1,26)+65))&amp;$CK92&amp;""),"")</f>
        <v/>
      </c>
      <c r="CQ92" s="132" t="str">
        <f t="array" aca="1" ref="CQ92" ca="1">IF($CK92&lt;&gt;"",
INDIRECT(""&amp;IF(COLUMN(CD92)&lt;=26,CHAR(COLUMN(CD92)+64),CHAR(INT((COLUMN(CD92)-1)/26)+64)&amp;CHAR(MOD(COLUMN(CD92)-1,26)+65))&amp;$CK92&amp;""),"")</f>
        <v/>
      </c>
      <c r="CR92" s="132" t="str">
        <f t="array" aca="1" ref="CR92" ca="1">IF($CK92&lt;&gt;"",
INDIRECT(""&amp;IF(COLUMN(CE92)&lt;=26,CHAR(COLUMN(CE92)+64),CHAR(INT((COLUMN(CE92)-1)/26)+64)&amp;CHAR(MOD(COLUMN(CE92)-1,26)+65))&amp;$CK92&amp;""),"")</f>
        <v/>
      </c>
      <c r="CS92" s="132" t="str">
        <f t="array" aca="1" ref="CS92" ca="1">IF($CK92&lt;&gt;"",
INDIRECT(""&amp;IF(COLUMN(CF92)&lt;=26,CHAR(COLUMN(CF92)+64),CHAR(INT((COLUMN(CF92)-1)/26)+64)&amp;CHAR(MOD(COLUMN(CF92)-1,26)+65))&amp;$CK92&amp;""),"")</f>
        <v/>
      </c>
      <c r="CT92" s="132" t="str">
        <f t="array" aca="1" ref="CT92" ca="1">IF($CK92&lt;&gt;"",
INDIRECT(""&amp;IF(COLUMN(CG92)&lt;=26,CHAR(COLUMN(CG92)+64),CHAR(INT((COLUMN(CG92)-1)/26)+64)&amp;CHAR(MOD(COLUMN(CG92)-1,26)+65))&amp;$CK92&amp;""),"")</f>
        <v/>
      </c>
      <c r="CU92" s="132" t="str">
        <f t="array" aca="1" ref="CU92" ca="1">IF($CK92&lt;&gt;"",
INDIRECT(""&amp;IF(COLUMN(CH92)&lt;=26,CHAR(COLUMN(CH92)+64),CHAR(INT((COLUMN(CH92)-1)/26)+64)&amp;CHAR(MOD(COLUMN(CH92)-1,26)+65))&amp;$CK92&amp;""),"")</f>
        <v/>
      </c>
    </row>
    <row r="93" spans="1:99" ht="22.2" customHeight="1" x14ac:dyDescent="0.45">
      <c r="BX93" s="132">
        <f t="shared" si="6"/>
        <v>35</v>
      </c>
      <c r="BY93" s="132" t="str">
        <f t="array" aca="1" ref="BY93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LEN(SUBSTITUTE(_xlfn.FORMULATEXT(BY$73),"=","")))+$BX93)</f>
        <v/>
      </c>
      <c r="BZ93" s="132" t="str">
        <f t="array" aca="1" ref="BZ93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LEN(SUBSTITUTE(_xlfn.FORMULATEXT(BZ$73),"=","")))+$BX93)</f>
        <v/>
      </c>
      <c r="CA93" s="132" t="str">
        <f t="array" aca="1" ref="CA93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LEN(SUBSTITUTE(_xlfn.FORMULATEXT(CA$73),"=","")))+$BX93)</f>
        <v/>
      </c>
      <c r="CB93" s="132" t="str">
        <f t="array" aca="1" ref="CB93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LEN(SUBSTITUTE(_xlfn.FORMULATEXT(CB$73),"=","")))+$BX93)</f>
        <v/>
      </c>
      <c r="CC93" s="132" t="str">
        <f t="array" aca="1" ref="CC93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LEN(SUBSTITUTE(_xlfn.FORMULATEXT(CC$73),"=","")))+$BX93)</f>
        <v/>
      </c>
      <c r="CD93" s="132" t="str">
        <f t="array" aca="1" ref="CD93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LEN(SUBSTITUTE(_xlfn.FORMULATEXT(CD$73),"=","")))+$BX93)</f>
        <v/>
      </c>
      <c r="CE93" s="132" t="str">
        <f t="array" aca="1" ref="CE93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LEN(SUBSTITUTE(_xlfn.FORMULATEXT(CE$73),"=","")))+$BX93)</f>
        <v/>
      </c>
      <c r="CF93" s="132" t="str">
        <f t="array" aca="1" ref="CF93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LEN(SUBSTITUTE(_xlfn.FORMULATEXT(CF$73),"=","")))+$BX93)</f>
        <v/>
      </c>
      <c r="CG93" s="132" t="str">
        <f t="array" aca="1" ref="CG93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LEN(SUBSTITUTE(_xlfn.FORMULATEXT(CG$73),"=","")))+$BX93)</f>
        <v/>
      </c>
      <c r="CH93" s="132" t="str">
        <f t="array" aca="1" ref="CH93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LEN(SUBSTITUTE(_xlfn.FORMULATEXT(CH$73),"=","")))+$BX93)</f>
        <v/>
      </c>
      <c r="CI93" s="132">
        <f t="shared" ca="1" si="5"/>
        <v>0</v>
      </c>
      <c r="CJ93" s="132" t="b">
        <f t="array" aca="1" ref="CJ93" ca="1">SUMPRODUCT((LEN(BY93:CH93)&gt;0)*1)&gt;0</f>
        <v>0</v>
      </c>
      <c r="CK93" s="132" t="str" cm="1">
        <f t="array" aca="1" ref="CK93" ca="1">IFERROR(SMALL(IF(CI$1:CI$150&lt;&gt;0,CI$1:CI$150),ROW(A93)),"")</f>
        <v/>
      </c>
      <c r="CL93" s="132" t="str">
        <f t="array" aca="1" ref="CL93" ca="1">IF($CK93&lt;&gt;"",
INDIRECT(""&amp;IF(COLUMN(BY93)&lt;=26,CHAR(COLUMN(BY93)+64),CHAR(INT((COLUMN(BY93)-1)/26)+64)&amp;CHAR(MOD(COLUMN(BY93)-1,26)+65))&amp;$CK93&amp;""),"")</f>
        <v/>
      </c>
      <c r="CM93" s="132" t="str">
        <f t="array" aca="1" ref="CM93" ca="1">IF($CK93&lt;&gt;"",
INDIRECT(""&amp;IF(COLUMN(BZ93)&lt;=26,CHAR(COLUMN(BZ93)+64),CHAR(INT((COLUMN(BZ93)-1)/26)+64)&amp;CHAR(MOD(COLUMN(BZ93)-1,26)+65))&amp;$CK93&amp;""),"")</f>
        <v/>
      </c>
      <c r="CN93" s="132" t="str">
        <f t="array" aca="1" ref="CN93" ca="1">IF($CK93&lt;&gt;"",
INDIRECT(""&amp;IF(COLUMN(CA93)&lt;=26,CHAR(COLUMN(CA93)+64),CHAR(INT((COLUMN(CA93)-1)/26)+64)&amp;CHAR(MOD(COLUMN(CA93)-1,26)+65))&amp;$CK93&amp;""),"")</f>
        <v/>
      </c>
      <c r="CO93" s="132" t="str">
        <f t="array" aca="1" ref="CO93" ca="1">IF($CK93&lt;&gt;"",
INDIRECT(""&amp;IF(COLUMN(CB93)&lt;=26,CHAR(COLUMN(CB93)+64),CHAR(INT((COLUMN(CB93)-1)/26)+64)&amp;CHAR(MOD(COLUMN(CB93)-1,26)+65))&amp;$CK93&amp;""),"")</f>
        <v/>
      </c>
      <c r="CP93" s="132" t="str">
        <f t="array" aca="1" ref="CP93" ca="1">IF($CK93&lt;&gt;"",
INDIRECT(""&amp;IF(COLUMN(CC93)&lt;=26,CHAR(COLUMN(CC93)+64),CHAR(INT((COLUMN(CC93)-1)/26)+64)&amp;CHAR(MOD(COLUMN(CC93)-1,26)+65))&amp;$CK93&amp;""),"")</f>
        <v/>
      </c>
      <c r="CQ93" s="132" t="str">
        <f t="array" aca="1" ref="CQ93" ca="1">IF($CK93&lt;&gt;"",
INDIRECT(""&amp;IF(COLUMN(CD93)&lt;=26,CHAR(COLUMN(CD93)+64),CHAR(INT((COLUMN(CD93)-1)/26)+64)&amp;CHAR(MOD(COLUMN(CD93)-1,26)+65))&amp;$CK93&amp;""),"")</f>
        <v/>
      </c>
      <c r="CR93" s="132" t="str">
        <f t="array" aca="1" ref="CR93" ca="1">IF($CK93&lt;&gt;"",
INDIRECT(""&amp;IF(COLUMN(CE93)&lt;=26,CHAR(COLUMN(CE93)+64),CHAR(INT((COLUMN(CE93)-1)/26)+64)&amp;CHAR(MOD(COLUMN(CE93)-1,26)+65))&amp;$CK93&amp;""),"")</f>
        <v/>
      </c>
      <c r="CS93" s="132" t="str">
        <f t="array" aca="1" ref="CS93" ca="1">IF($CK93&lt;&gt;"",
INDIRECT(""&amp;IF(COLUMN(CF93)&lt;=26,CHAR(COLUMN(CF93)+64),CHAR(INT((COLUMN(CF93)-1)/26)+64)&amp;CHAR(MOD(COLUMN(CF93)-1,26)+65))&amp;$CK93&amp;""),"")</f>
        <v/>
      </c>
      <c r="CT93" s="132" t="str">
        <f t="array" aca="1" ref="CT93" ca="1">IF($CK93&lt;&gt;"",
INDIRECT(""&amp;IF(COLUMN(CG93)&lt;=26,CHAR(COLUMN(CG93)+64),CHAR(INT((COLUMN(CG93)-1)/26)+64)&amp;CHAR(MOD(COLUMN(CG93)-1,26)+65))&amp;$CK93&amp;""),"")</f>
        <v/>
      </c>
      <c r="CU93" s="132" t="str">
        <f t="array" aca="1" ref="CU93" ca="1">IF($CK93&lt;&gt;"",
INDIRECT(""&amp;IF(COLUMN(CH93)&lt;=26,CHAR(COLUMN(CH93)+64),CHAR(INT((COLUMN(CH93)-1)/26)+64)&amp;CHAR(MOD(COLUMN(CH93)-1,26)+65))&amp;$CK93&amp;""),"")</f>
        <v/>
      </c>
    </row>
    <row r="94" spans="1:99" ht="22.2" customHeight="1" x14ac:dyDescent="0.45">
      <c r="BX94" s="132">
        <f t="shared" si="6"/>
        <v>77</v>
      </c>
      <c r="BY94" s="132" t="str">
        <f t="array" aca="1" ref="BY94" ca="1">INDIRECT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
&amp;MID(SUBSTITUTE(_xlfn.FORMULATEXT(BY$73),"=",""), LEN(_xlfn.TEXTJOIN("",TRUE,IF(ISERROR(MID(SUBSTITUTE(_xlfn.FORMULATEXT(BY$73),"=",""),ROW(INDIRECT("1:"&amp;LEN(SUBSTITUTE(_xlfn.FORMULATEXT(BY$73),"=","")))),1)*1),MID(SUBSTITUTE(_xlfn.FORMULATEXT(BY$73),"=",""),ROW(INDIRECT("1:"&amp;LEN(SUBSTITUTE(_xlfn.FORMULATEXT(BY$73),"=","")))),1),"")))+1, LEN(SUBSTITUTE(_xlfn.FORMULATEXT(BY$73),"=","")))+$BX94)</f>
        <v/>
      </c>
      <c r="BZ94" s="132" t="str">
        <f t="array" aca="1" ref="BZ94" ca="1">INDIRECT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
&amp;MID(SUBSTITUTE(_xlfn.FORMULATEXT(BZ$73),"=",""), LEN(_xlfn.TEXTJOIN("",TRUE,IF(ISERROR(MID(SUBSTITUTE(_xlfn.FORMULATEXT(BZ$73),"=",""),ROW(INDIRECT("1:"&amp;LEN(SUBSTITUTE(_xlfn.FORMULATEXT(BZ$73),"=","")))),1)*1),MID(SUBSTITUTE(_xlfn.FORMULATEXT(BZ$73),"=",""),ROW(INDIRECT("1:"&amp;LEN(SUBSTITUTE(_xlfn.FORMULATEXT(BZ$73),"=","")))),1),"")))+1, LEN(SUBSTITUTE(_xlfn.FORMULATEXT(BZ$73),"=","")))+$BX94)</f>
        <v/>
      </c>
      <c r="CA94" s="132" t="str">
        <f t="array" aca="1" ref="CA94" ca="1">INDIRECT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
&amp;MID(SUBSTITUTE(_xlfn.FORMULATEXT(CA$73),"=",""), LEN(_xlfn.TEXTJOIN("",TRUE,IF(ISERROR(MID(SUBSTITUTE(_xlfn.FORMULATEXT(CA$73),"=",""),ROW(INDIRECT("1:"&amp;LEN(SUBSTITUTE(_xlfn.FORMULATEXT(CA$73),"=","")))),1)*1),MID(SUBSTITUTE(_xlfn.FORMULATEXT(CA$73),"=",""),ROW(INDIRECT("1:"&amp;LEN(SUBSTITUTE(_xlfn.FORMULATEXT(CA$73),"=","")))),1),"")))+1, LEN(SUBSTITUTE(_xlfn.FORMULATEXT(CA$73),"=","")))+$BX94)</f>
        <v/>
      </c>
      <c r="CB94" s="132" t="str">
        <f t="array" aca="1" ref="CB94" ca="1">INDIRECT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
&amp;MID(SUBSTITUTE(_xlfn.FORMULATEXT(CB$73),"=",""), LEN(_xlfn.TEXTJOIN("",TRUE,IF(ISERROR(MID(SUBSTITUTE(_xlfn.FORMULATEXT(CB$73),"=",""),ROW(INDIRECT("1:"&amp;LEN(SUBSTITUTE(_xlfn.FORMULATEXT(CB$73),"=","")))),1)*1),MID(SUBSTITUTE(_xlfn.FORMULATEXT(CB$73),"=",""),ROW(INDIRECT("1:"&amp;LEN(SUBSTITUTE(_xlfn.FORMULATEXT(CB$73),"=","")))),1),"")))+1, LEN(SUBSTITUTE(_xlfn.FORMULATEXT(CB$73),"=","")))+$BX94)</f>
        <v/>
      </c>
      <c r="CC94" s="132" t="str">
        <f t="array" aca="1" ref="CC94" ca="1">INDIRECT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
&amp;MID(SUBSTITUTE(_xlfn.FORMULATEXT(CC$73),"=",""), LEN(_xlfn.TEXTJOIN("",TRUE,IF(ISERROR(MID(SUBSTITUTE(_xlfn.FORMULATEXT(CC$73),"=",""),ROW(INDIRECT("1:"&amp;LEN(SUBSTITUTE(_xlfn.FORMULATEXT(CC$73),"=","")))),1)*1),MID(SUBSTITUTE(_xlfn.FORMULATEXT(CC$73),"=",""),ROW(INDIRECT("1:"&amp;LEN(SUBSTITUTE(_xlfn.FORMULATEXT(CC$73),"=","")))),1),"")))+1, LEN(SUBSTITUTE(_xlfn.FORMULATEXT(CC$73),"=","")))+$BX94)</f>
        <v/>
      </c>
      <c r="CD94" s="132" t="str">
        <f t="array" aca="1" ref="CD94" ca="1">INDIRECT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
&amp;MID(SUBSTITUTE(_xlfn.FORMULATEXT(CD$73),"=",""), LEN(_xlfn.TEXTJOIN("",TRUE,IF(ISERROR(MID(SUBSTITUTE(_xlfn.FORMULATEXT(CD$73),"=",""),ROW(INDIRECT("1:"&amp;LEN(SUBSTITUTE(_xlfn.FORMULATEXT(CD$73),"=","")))),1)*1),MID(SUBSTITUTE(_xlfn.FORMULATEXT(CD$73),"=",""),ROW(INDIRECT("1:"&amp;LEN(SUBSTITUTE(_xlfn.FORMULATEXT(CD$73),"=","")))),1),"")))+1, LEN(SUBSTITUTE(_xlfn.FORMULATEXT(CD$73),"=","")))+$BX94)</f>
        <v/>
      </c>
      <c r="CE94" s="132" t="str">
        <f t="array" aca="1" ref="CE94" ca="1">INDIRECT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
&amp;MID(SUBSTITUTE(_xlfn.FORMULATEXT(CE$73),"=",""), LEN(_xlfn.TEXTJOIN("",TRUE,IF(ISERROR(MID(SUBSTITUTE(_xlfn.FORMULATEXT(CE$73),"=",""),ROW(INDIRECT("1:"&amp;LEN(SUBSTITUTE(_xlfn.FORMULATEXT(CE$73),"=","")))),1)*1),MID(SUBSTITUTE(_xlfn.FORMULATEXT(CE$73),"=",""),ROW(INDIRECT("1:"&amp;LEN(SUBSTITUTE(_xlfn.FORMULATEXT(CE$73),"=","")))),1),"")))+1, LEN(SUBSTITUTE(_xlfn.FORMULATEXT(CE$73),"=","")))+$BX94)</f>
        <v/>
      </c>
      <c r="CF94" s="132" t="str">
        <f t="array" aca="1" ref="CF94" ca="1">INDIRECT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
&amp;MID(SUBSTITUTE(_xlfn.FORMULATEXT(CF$73),"=",""), LEN(_xlfn.TEXTJOIN("",TRUE,IF(ISERROR(MID(SUBSTITUTE(_xlfn.FORMULATEXT(CF$73),"=",""),ROW(INDIRECT("1:"&amp;LEN(SUBSTITUTE(_xlfn.FORMULATEXT(CF$73),"=","")))),1)*1),MID(SUBSTITUTE(_xlfn.FORMULATEXT(CF$73),"=",""),ROW(INDIRECT("1:"&amp;LEN(SUBSTITUTE(_xlfn.FORMULATEXT(CF$73),"=","")))),1),"")))+1, LEN(SUBSTITUTE(_xlfn.FORMULATEXT(CF$73),"=","")))+$BX94)</f>
        <v/>
      </c>
      <c r="CG94" s="132" t="str">
        <f t="array" aca="1" ref="CG94" ca="1">INDIRECT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
&amp;MID(SUBSTITUTE(_xlfn.FORMULATEXT(CG$73),"=",""), LEN(_xlfn.TEXTJOIN("",TRUE,IF(ISERROR(MID(SUBSTITUTE(_xlfn.FORMULATEXT(CG$73),"=",""),ROW(INDIRECT("1:"&amp;LEN(SUBSTITUTE(_xlfn.FORMULATEXT(CG$73),"=","")))),1)*1),MID(SUBSTITUTE(_xlfn.FORMULATEXT(CG$73),"=",""),ROW(INDIRECT("1:"&amp;LEN(SUBSTITUTE(_xlfn.FORMULATEXT(CG$73),"=","")))),1),"")))+1, LEN(SUBSTITUTE(_xlfn.FORMULATEXT(CG$73),"=","")))+$BX94)</f>
        <v/>
      </c>
      <c r="CH94" s="132" t="str">
        <f t="array" aca="1" ref="CH94" ca="1">INDIRECT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
&amp;MID(SUBSTITUTE(_xlfn.FORMULATEXT(CH$73),"=",""), LEN(_xlfn.TEXTJOIN("",TRUE,IF(ISERROR(MID(SUBSTITUTE(_xlfn.FORMULATEXT(CH$73),"=",""),ROW(INDIRECT("1:"&amp;LEN(SUBSTITUTE(_xlfn.FORMULATEXT(CH$73),"=","")))),1)*1),MID(SUBSTITUTE(_xlfn.FORMULATEXT(CH$73),"=",""),ROW(INDIRECT("1:"&amp;LEN(SUBSTITUTE(_xlfn.FORMULATEXT(CH$73),"=","")))),1),"")))+1, LEN(SUBSTITUTE(_xlfn.FORMULATEXT(CH$73),"=","")))+$BX94)</f>
        <v/>
      </c>
      <c r="CI94" s="132">
        <f t="shared" ca="1" si="5"/>
        <v>0</v>
      </c>
      <c r="CJ94" s="132" t="b">
        <f t="array" aca="1" ref="CJ94" ca="1">SUMPRODUCT((LEN(BY94:CH94)&gt;0)*1)&gt;0</f>
        <v>0</v>
      </c>
      <c r="CK94" s="132" t="str" cm="1">
        <f t="array" aca="1" ref="CK94" ca="1">IFERROR(SMALL(IF(CI$1:CI$150&lt;&gt;0,CI$1:CI$150),ROW(A94)),"")</f>
        <v/>
      </c>
      <c r="CL94" s="132" t="str">
        <f t="array" aca="1" ref="CL94" ca="1">IF($CK94&lt;&gt;"",
INDIRECT(""&amp;IF(COLUMN(BY94)&lt;=26,CHAR(COLUMN(BY94)+64),CHAR(INT((COLUMN(BY94)-1)/26)+64)&amp;CHAR(MOD(COLUMN(BY94)-1,26)+65))&amp;$CK94&amp;""),"")</f>
        <v/>
      </c>
      <c r="CM94" s="132" t="str">
        <f t="array" aca="1" ref="CM94" ca="1">IF($CK94&lt;&gt;"",
INDIRECT(""&amp;IF(COLUMN(BZ94)&lt;=26,CHAR(COLUMN(BZ94)+64),CHAR(INT((COLUMN(BZ94)-1)/26)+64)&amp;CHAR(MOD(COLUMN(BZ94)-1,26)+65))&amp;$CK94&amp;""),"")</f>
        <v/>
      </c>
      <c r="CN94" s="132" t="str">
        <f t="array" aca="1" ref="CN94" ca="1">IF($CK94&lt;&gt;"",
INDIRECT(""&amp;IF(COLUMN(CA94)&lt;=26,CHAR(COLUMN(CA94)+64),CHAR(INT((COLUMN(CA94)-1)/26)+64)&amp;CHAR(MOD(COLUMN(CA94)-1,26)+65))&amp;$CK94&amp;""),"")</f>
        <v/>
      </c>
      <c r="CO94" s="132" t="str">
        <f t="array" aca="1" ref="CO94" ca="1">IF($CK94&lt;&gt;"",
INDIRECT(""&amp;IF(COLUMN(CB94)&lt;=26,CHAR(COLUMN(CB94)+64),CHAR(INT((COLUMN(CB94)-1)/26)+64)&amp;CHAR(MOD(COLUMN(CB94)-1,26)+65))&amp;$CK94&amp;""),"")</f>
        <v/>
      </c>
      <c r="CP94" s="132" t="str">
        <f t="array" aca="1" ref="CP94" ca="1">IF($CK94&lt;&gt;"",
INDIRECT(""&amp;IF(COLUMN(CC94)&lt;=26,CHAR(COLUMN(CC94)+64),CHAR(INT((COLUMN(CC94)-1)/26)+64)&amp;CHAR(MOD(COLUMN(CC94)-1,26)+65))&amp;$CK94&amp;""),"")</f>
        <v/>
      </c>
      <c r="CQ94" s="132" t="str">
        <f t="array" aca="1" ref="CQ94" ca="1">IF($CK94&lt;&gt;"",
INDIRECT(""&amp;IF(COLUMN(CD94)&lt;=26,CHAR(COLUMN(CD94)+64),CHAR(INT((COLUMN(CD94)-1)/26)+64)&amp;CHAR(MOD(COLUMN(CD94)-1,26)+65))&amp;$CK94&amp;""),"")</f>
        <v/>
      </c>
      <c r="CR94" s="132" t="str">
        <f t="array" aca="1" ref="CR94" ca="1">IF($CK94&lt;&gt;"",
INDIRECT(""&amp;IF(COLUMN(CE94)&lt;=26,CHAR(COLUMN(CE94)+64),CHAR(INT((COLUMN(CE94)-1)/26)+64)&amp;CHAR(MOD(COLUMN(CE94)-1,26)+65))&amp;$CK94&amp;""),"")</f>
        <v/>
      </c>
      <c r="CS94" s="132" t="str">
        <f t="array" aca="1" ref="CS94" ca="1">IF($CK94&lt;&gt;"",
INDIRECT(""&amp;IF(COLUMN(CF94)&lt;=26,CHAR(COLUMN(CF94)+64),CHAR(INT((COLUMN(CF94)-1)/26)+64)&amp;CHAR(MOD(COLUMN(CF94)-1,26)+65))&amp;$CK94&amp;""),"")</f>
        <v/>
      </c>
      <c r="CT94" s="132" t="str">
        <f t="array" aca="1" ref="CT94" ca="1">IF($CK94&lt;&gt;"",
INDIRECT(""&amp;IF(COLUMN(CG94)&lt;=26,CHAR(COLUMN(CG94)+64),CHAR(INT((COLUMN(CG94)-1)/26)+64)&amp;CHAR(MOD(COLUMN(CG94)-1,26)+65))&amp;$CK94&amp;""),"")</f>
        <v/>
      </c>
      <c r="CU94" s="132" t="str">
        <f t="array" aca="1" ref="CU94" ca="1">IF($CK94&lt;&gt;"",
INDIRECT(""&amp;IF(COLUMN(CH94)&lt;=26,CHAR(COLUMN(CH94)+64),CHAR(INT((COLUMN(CH94)-1)/26)+64)&amp;CHAR(MOD(COLUMN(CH94)-1,26)+65))&amp;$CK94&amp;""),"")</f>
        <v/>
      </c>
    </row>
    <row r="95" spans="1:99" ht="22.2" customHeight="1" x14ac:dyDescent="0.45">
      <c r="BX95" s="146">
        <f t="shared" si="6"/>
        <v>35</v>
      </c>
      <c r="BY95" s="132" t="str">
        <f t="array" aca="1" ref="BY95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LEN(SUBSTITUTE(_xlfn.FORMULATEXT(BY$75),"=","")))+$BX95)</f>
        <v/>
      </c>
      <c r="BZ95" s="132" t="str">
        <f t="array" aca="1" ref="BZ95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LEN(SUBSTITUTE(_xlfn.FORMULATEXT(BZ$75),"=","")))+$BX95)</f>
        <v/>
      </c>
      <c r="CA95" s="132" t="str">
        <f t="array" aca="1" ref="CA95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LEN(SUBSTITUTE(_xlfn.FORMULATEXT(CA$75),"=","")))+$BX95)</f>
        <v/>
      </c>
      <c r="CB95" s="132" t="str">
        <f t="array" aca="1" ref="CB95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LEN(SUBSTITUTE(_xlfn.FORMULATEXT(CB$75),"=","")))+$BX95)</f>
        <v/>
      </c>
      <c r="CC95" s="132" t="str">
        <f t="array" aca="1" ref="CC95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LEN(SUBSTITUTE(_xlfn.FORMULATEXT(CC$75),"=","")))+$BX95)</f>
        <v/>
      </c>
      <c r="CD95" s="132" t="str">
        <f t="array" aca="1" ref="CD95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LEN(SUBSTITUTE(_xlfn.FORMULATEXT(CD$75),"=","")))+$BX95)</f>
        <v/>
      </c>
      <c r="CE95" s="132" t="str">
        <f t="array" aca="1" ref="CE95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LEN(SUBSTITUTE(_xlfn.FORMULATEXT(CE$75),"=","")))+$BX95)</f>
        <v/>
      </c>
      <c r="CF95" s="132" t="str">
        <f t="array" aca="1" ref="CF95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LEN(SUBSTITUTE(_xlfn.FORMULATEXT(CF$75),"=","")))+$BX95)</f>
        <v/>
      </c>
      <c r="CG95" s="132" t="str">
        <f t="array" aca="1" ref="CG95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LEN(SUBSTITUTE(_xlfn.FORMULATEXT(CG$75),"=","")))+$BX95)</f>
        <v/>
      </c>
      <c r="CH95" s="132" t="str">
        <f t="array" aca="1" ref="CH95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LEN(SUBSTITUTE(_xlfn.FORMULATEXT(CH$75),"=","")))+$BX95)</f>
        <v/>
      </c>
      <c r="CI95" s="132">
        <f t="shared" ca="1" si="5"/>
        <v>0</v>
      </c>
      <c r="CJ95" s="132" t="b">
        <f t="array" aca="1" ref="CJ95" ca="1">SUMPRODUCT((LEN(BY95:CH95)&gt;0)*1)&gt;0</f>
        <v>0</v>
      </c>
      <c r="CK95" s="132" t="str" cm="1">
        <f t="array" aca="1" ref="CK95" ca="1">IFERROR(SMALL(IF(CI$1:CI$150&lt;&gt;0,CI$1:CI$150),ROW(A95)),"")</f>
        <v/>
      </c>
      <c r="CL95" s="132" t="str">
        <f t="array" aca="1" ref="CL95" ca="1">IF($CK95&lt;&gt;"",
INDIRECT(""&amp;IF(COLUMN(BY95)&lt;=26,CHAR(COLUMN(BY95)+64),CHAR(INT((COLUMN(BY95)-1)/26)+64)&amp;CHAR(MOD(COLUMN(BY95)-1,26)+65))&amp;$CK95&amp;""),"")</f>
        <v/>
      </c>
      <c r="CM95" s="132" t="str">
        <f t="array" aca="1" ref="CM95" ca="1">IF($CK95&lt;&gt;"",
INDIRECT(""&amp;IF(COLUMN(BZ95)&lt;=26,CHAR(COLUMN(BZ95)+64),CHAR(INT((COLUMN(BZ95)-1)/26)+64)&amp;CHAR(MOD(COLUMN(BZ95)-1,26)+65))&amp;$CK95&amp;""),"")</f>
        <v/>
      </c>
      <c r="CN95" s="132" t="str">
        <f t="array" aca="1" ref="CN95" ca="1">IF($CK95&lt;&gt;"",
INDIRECT(""&amp;IF(COLUMN(CA95)&lt;=26,CHAR(COLUMN(CA95)+64),CHAR(INT((COLUMN(CA95)-1)/26)+64)&amp;CHAR(MOD(COLUMN(CA95)-1,26)+65))&amp;$CK95&amp;""),"")</f>
        <v/>
      </c>
      <c r="CO95" s="132" t="str">
        <f t="array" aca="1" ref="CO95" ca="1">IF($CK95&lt;&gt;"",
INDIRECT(""&amp;IF(COLUMN(CB95)&lt;=26,CHAR(COLUMN(CB95)+64),CHAR(INT((COLUMN(CB95)-1)/26)+64)&amp;CHAR(MOD(COLUMN(CB95)-1,26)+65))&amp;$CK95&amp;""),"")</f>
        <v/>
      </c>
      <c r="CP95" s="132" t="str">
        <f t="array" aca="1" ref="CP95" ca="1">IF($CK95&lt;&gt;"",
INDIRECT(""&amp;IF(COLUMN(CC95)&lt;=26,CHAR(COLUMN(CC95)+64),CHAR(INT((COLUMN(CC95)-1)/26)+64)&amp;CHAR(MOD(COLUMN(CC95)-1,26)+65))&amp;$CK95&amp;""),"")</f>
        <v/>
      </c>
      <c r="CQ95" s="132" t="str">
        <f t="array" aca="1" ref="CQ95" ca="1">IF($CK95&lt;&gt;"",
INDIRECT(""&amp;IF(COLUMN(CD95)&lt;=26,CHAR(COLUMN(CD95)+64),CHAR(INT((COLUMN(CD95)-1)/26)+64)&amp;CHAR(MOD(COLUMN(CD95)-1,26)+65))&amp;$CK95&amp;""),"")</f>
        <v/>
      </c>
      <c r="CR95" s="132" t="str">
        <f t="array" aca="1" ref="CR95" ca="1">IF($CK95&lt;&gt;"",
INDIRECT(""&amp;IF(COLUMN(CE95)&lt;=26,CHAR(COLUMN(CE95)+64),CHAR(INT((COLUMN(CE95)-1)/26)+64)&amp;CHAR(MOD(COLUMN(CE95)-1,26)+65))&amp;$CK95&amp;""),"")</f>
        <v/>
      </c>
      <c r="CS95" s="132" t="str">
        <f t="array" aca="1" ref="CS95" ca="1">IF($CK95&lt;&gt;"",
INDIRECT(""&amp;IF(COLUMN(CF95)&lt;=26,CHAR(COLUMN(CF95)+64),CHAR(INT((COLUMN(CF95)-1)/26)+64)&amp;CHAR(MOD(COLUMN(CF95)-1,26)+65))&amp;$CK95&amp;""),"")</f>
        <v/>
      </c>
      <c r="CT95" s="132" t="str">
        <f t="array" aca="1" ref="CT95" ca="1">IF($CK95&lt;&gt;"",
INDIRECT(""&amp;IF(COLUMN(CG95)&lt;=26,CHAR(COLUMN(CG95)+64),CHAR(INT((COLUMN(CG95)-1)/26)+64)&amp;CHAR(MOD(COLUMN(CG95)-1,26)+65))&amp;$CK95&amp;""),"")</f>
        <v/>
      </c>
      <c r="CU95" s="132" t="str">
        <f t="array" aca="1" ref="CU95" ca="1">IF($CK95&lt;&gt;"",
INDIRECT(""&amp;IF(COLUMN(CH95)&lt;=26,CHAR(COLUMN(CH95)+64),CHAR(INT((COLUMN(CH95)-1)/26)+64)&amp;CHAR(MOD(COLUMN(CH95)-1,26)+65))&amp;$CK95&amp;""),"")</f>
        <v/>
      </c>
    </row>
    <row r="96" spans="1:99" ht="22.2" customHeight="1" x14ac:dyDescent="0.45">
      <c r="BX96" s="132">
        <f t="shared" si="6"/>
        <v>77</v>
      </c>
      <c r="BY96" s="132" t="str">
        <f t="array" aca="1" ref="BY96" ca="1">INDIRECT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
&amp;MID(SUBSTITUTE(_xlfn.FORMULATEXT(BY$75),"=",""), LEN(_xlfn.TEXTJOIN("",TRUE,IF(ISERROR(MID(SUBSTITUTE(_xlfn.FORMULATEXT(BY$75),"=",""),ROW(INDIRECT("1:"&amp;LEN(SUBSTITUTE(_xlfn.FORMULATEXT(BY$75),"=","")))),1)*1),MID(SUBSTITUTE(_xlfn.FORMULATEXT(BY$75),"=",""),ROW(INDIRECT("1:"&amp;LEN(SUBSTITUTE(_xlfn.FORMULATEXT(BY$75),"=","")))),1),"")))+1, LEN(SUBSTITUTE(_xlfn.FORMULATEXT(BY$75),"=","")))+$BX96)</f>
        <v/>
      </c>
      <c r="BZ96" s="132" t="str">
        <f t="array" aca="1" ref="BZ96" ca="1">INDIRECT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
&amp;MID(SUBSTITUTE(_xlfn.FORMULATEXT(BZ$75),"=",""), LEN(_xlfn.TEXTJOIN("",TRUE,IF(ISERROR(MID(SUBSTITUTE(_xlfn.FORMULATEXT(BZ$75),"=",""),ROW(INDIRECT("1:"&amp;LEN(SUBSTITUTE(_xlfn.FORMULATEXT(BZ$75),"=","")))),1)*1),MID(SUBSTITUTE(_xlfn.FORMULATEXT(BZ$75),"=",""),ROW(INDIRECT("1:"&amp;LEN(SUBSTITUTE(_xlfn.FORMULATEXT(BZ$75),"=","")))),1),"")))+1, LEN(SUBSTITUTE(_xlfn.FORMULATEXT(BZ$75),"=","")))+$BX96)</f>
        <v/>
      </c>
      <c r="CA96" s="132" t="str">
        <f t="array" aca="1" ref="CA96" ca="1">INDIRECT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
&amp;MID(SUBSTITUTE(_xlfn.FORMULATEXT(CA$75),"=",""), LEN(_xlfn.TEXTJOIN("",TRUE,IF(ISERROR(MID(SUBSTITUTE(_xlfn.FORMULATEXT(CA$75),"=",""),ROW(INDIRECT("1:"&amp;LEN(SUBSTITUTE(_xlfn.FORMULATEXT(CA$75),"=","")))),1)*1),MID(SUBSTITUTE(_xlfn.FORMULATEXT(CA$75),"=",""),ROW(INDIRECT("1:"&amp;LEN(SUBSTITUTE(_xlfn.FORMULATEXT(CA$75),"=","")))),1),"")))+1, LEN(SUBSTITUTE(_xlfn.FORMULATEXT(CA$75),"=","")))+$BX96)</f>
        <v/>
      </c>
      <c r="CB96" s="132" t="str">
        <f t="array" aca="1" ref="CB96" ca="1">INDIRECT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
&amp;MID(SUBSTITUTE(_xlfn.FORMULATEXT(CB$75),"=",""), LEN(_xlfn.TEXTJOIN("",TRUE,IF(ISERROR(MID(SUBSTITUTE(_xlfn.FORMULATEXT(CB$75),"=",""),ROW(INDIRECT("1:"&amp;LEN(SUBSTITUTE(_xlfn.FORMULATEXT(CB$75),"=","")))),1)*1),MID(SUBSTITUTE(_xlfn.FORMULATEXT(CB$75),"=",""),ROW(INDIRECT("1:"&amp;LEN(SUBSTITUTE(_xlfn.FORMULATEXT(CB$75),"=","")))),1),"")))+1, LEN(SUBSTITUTE(_xlfn.FORMULATEXT(CB$75),"=","")))+$BX96)</f>
        <v/>
      </c>
      <c r="CC96" s="132" t="str">
        <f t="array" aca="1" ref="CC96" ca="1">INDIRECT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
&amp;MID(SUBSTITUTE(_xlfn.FORMULATEXT(CC$75),"=",""), LEN(_xlfn.TEXTJOIN("",TRUE,IF(ISERROR(MID(SUBSTITUTE(_xlfn.FORMULATEXT(CC$75),"=",""),ROW(INDIRECT("1:"&amp;LEN(SUBSTITUTE(_xlfn.FORMULATEXT(CC$75),"=","")))),1)*1),MID(SUBSTITUTE(_xlfn.FORMULATEXT(CC$75),"=",""),ROW(INDIRECT("1:"&amp;LEN(SUBSTITUTE(_xlfn.FORMULATEXT(CC$75),"=","")))),1),"")))+1, LEN(SUBSTITUTE(_xlfn.FORMULATEXT(CC$75),"=","")))+$BX96)</f>
        <v/>
      </c>
      <c r="CD96" s="132" t="str">
        <f t="array" aca="1" ref="CD96" ca="1">INDIRECT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
&amp;MID(SUBSTITUTE(_xlfn.FORMULATEXT(CD$75),"=",""), LEN(_xlfn.TEXTJOIN("",TRUE,IF(ISERROR(MID(SUBSTITUTE(_xlfn.FORMULATEXT(CD$75),"=",""),ROW(INDIRECT("1:"&amp;LEN(SUBSTITUTE(_xlfn.FORMULATEXT(CD$75),"=","")))),1)*1),MID(SUBSTITUTE(_xlfn.FORMULATEXT(CD$75),"=",""),ROW(INDIRECT("1:"&amp;LEN(SUBSTITUTE(_xlfn.FORMULATEXT(CD$75),"=","")))),1),"")))+1, LEN(SUBSTITUTE(_xlfn.FORMULATEXT(CD$75),"=","")))+$BX96)</f>
        <v/>
      </c>
      <c r="CE96" s="132" t="str">
        <f t="array" aca="1" ref="CE96" ca="1">INDIRECT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
&amp;MID(SUBSTITUTE(_xlfn.FORMULATEXT(CE$75),"=",""), LEN(_xlfn.TEXTJOIN("",TRUE,IF(ISERROR(MID(SUBSTITUTE(_xlfn.FORMULATEXT(CE$75),"=",""),ROW(INDIRECT("1:"&amp;LEN(SUBSTITUTE(_xlfn.FORMULATEXT(CE$75),"=","")))),1)*1),MID(SUBSTITUTE(_xlfn.FORMULATEXT(CE$75),"=",""),ROW(INDIRECT("1:"&amp;LEN(SUBSTITUTE(_xlfn.FORMULATEXT(CE$75),"=","")))),1),"")))+1, LEN(SUBSTITUTE(_xlfn.FORMULATEXT(CE$75),"=","")))+$BX96)</f>
        <v/>
      </c>
      <c r="CF96" s="132" t="str">
        <f t="array" aca="1" ref="CF96" ca="1">INDIRECT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
&amp;MID(SUBSTITUTE(_xlfn.FORMULATEXT(CF$75),"=",""), LEN(_xlfn.TEXTJOIN("",TRUE,IF(ISERROR(MID(SUBSTITUTE(_xlfn.FORMULATEXT(CF$75),"=",""),ROW(INDIRECT("1:"&amp;LEN(SUBSTITUTE(_xlfn.FORMULATEXT(CF$75),"=","")))),1)*1),MID(SUBSTITUTE(_xlfn.FORMULATEXT(CF$75),"=",""),ROW(INDIRECT("1:"&amp;LEN(SUBSTITUTE(_xlfn.FORMULATEXT(CF$75),"=","")))),1),"")))+1, LEN(SUBSTITUTE(_xlfn.FORMULATEXT(CF$75),"=","")))+$BX96)</f>
        <v/>
      </c>
      <c r="CG96" s="132" t="str">
        <f t="array" aca="1" ref="CG96" ca="1">INDIRECT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
&amp;MID(SUBSTITUTE(_xlfn.FORMULATEXT(CG$75),"=",""), LEN(_xlfn.TEXTJOIN("",TRUE,IF(ISERROR(MID(SUBSTITUTE(_xlfn.FORMULATEXT(CG$75),"=",""),ROW(INDIRECT("1:"&amp;LEN(SUBSTITUTE(_xlfn.FORMULATEXT(CG$75),"=","")))),1)*1),MID(SUBSTITUTE(_xlfn.FORMULATEXT(CG$75),"=",""),ROW(INDIRECT("1:"&amp;LEN(SUBSTITUTE(_xlfn.FORMULATEXT(CG$75),"=","")))),1),"")))+1, LEN(SUBSTITUTE(_xlfn.FORMULATEXT(CG$75),"=","")))+$BX96)</f>
        <v/>
      </c>
      <c r="CH96" s="132" t="str">
        <f t="array" aca="1" ref="CH96" ca="1">INDIRECT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
&amp;MID(SUBSTITUTE(_xlfn.FORMULATEXT(CH$75),"=",""), LEN(_xlfn.TEXTJOIN("",TRUE,IF(ISERROR(MID(SUBSTITUTE(_xlfn.FORMULATEXT(CH$75),"=",""),ROW(INDIRECT("1:"&amp;LEN(SUBSTITUTE(_xlfn.FORMULATEXT(CH$75),"=","")))),1)*1),MID(SUBSTITUTE(_xlfn.FORMULATEXT(CH$75),"=",""),ROW(INDIRECT("1:"&amp;LEN(SUBSTITUTE(_xlfn.FORMULATEXT(CH$75),"=","")))),1),"")))+1, LEN(SUBSTITUTE(_xlfn.FORMULATEXT(CH$75),"=","")))+$BX96)</f>
        <v/>
      </c>
      <c r="CI96" s="132">
        <f t="shared" ca="1" si="5"/>
        <v>0</v>
      </c>
      <c r="CJ96" s="132" t="b">
        <f t="array" aca="1" ref="CJ96" ca="1">SUMPRODUCT((LEN(BY96:CH96)&gt;0)*1)&gt;0</f>
        <v>0</v>
      </c>
      <c r="CK96" s="132" t="str" cm="1">
        <f t="array" aca="1" ref="CK96" ca="1">IFERROR(SMALL(IF(CI$1:CI$150&lt;&gt;0,CI$1:CI$150),ROW(A96)),"")</f>
        <v/>
      </c>
      <c r="CL96" s="132" t="str">
        <f t="array" aca="1" ref="CL96" ca="1">IF($CK96&lt;&gt;"",
INDIRECT(""&amp;IF(COLUMN(BY96)&lt;=26,CHAR(COLUMN(BY96)+64),CHAR(INT((COLUMN(BY96)-1)/26)+64)&amp;CHAR(MOD(COLUMN(BY96)-1,26)+65))&amp;$CK96&amp;""),"")</f>
        <v/>
      </c>
      <c r="CM96" s="132" t="str">
        <f t="array" aca="1" ref="CM96" ca="1">IF($CK96&lt;&gt;"",
INDIRECT(""&amp;IF(COLUMN(BZ96)&lt;=26,CHAR(COLUMN(BZ96)+64),CHAR(INT((COLUMN(BZ96)-1)/26)+64)&amp;CHAR(MOD(COLUMN(BZ96)-1,26)+65))&amp;$CK96&amp;""),"")</f>
        <v/>
      </c>
      <c r="CN96" s="132" t="str">
        <f t="array" aca="1" ref="CN96" ca="1">IF($CK96&lt;&gt;"",
INDIRECT(""&amp;IF(COLUMN(CA96)&lt;=26,CHAR(COLUMN(CA96)+64),CHAR(INT((COLUMN(CA96)-1)/26)+64)&amp;CHAR(MOD(COLUMN(CA96)-1,26)+65))&amp;$CK96&amp;""),"")</f>
        <v/>
      </c>
      <c r="CO96" s="132" t="str">
        <f t="array" aca="1" ref="CO96" ca="1">IF($CK96&lt;&gt;"",
INDIRECT(""&amp;IF(COLUMN(CB96)&lt;=26,CHAR(COLUMN(CB96)+64),CHAR(INT((COLUMN(CB96)-1)/26)+64)&amp;CHAR(MOD(COLUMN(CB96)-1,26)+65))&amp;$CK96&amp;""),"")</f>
        <v/>
      </c>
      <c r="CP96" s="132" t="str">
        <f t="array" aca="1" ref="CP96" ca="1">IF($CK96&lt;&gt;"",
INDIRECT(""&amp;IF(COLUMN(CC96)&lt;=26,CHAR(COLUMN(CC96)+64),CHAR(INT((COLUMN(CC96)-1)/26)+64)&amp;CHAR(MOD(COLUMN(CC96)-1,26)+65))&amp;$CK96&amp;""),"")</f>
        <v/>
      </c>
      <c r="CQ96" s="132" t="str">
        <f t="array" aca="1" ref="CQ96" ca="1">IF($CK96&lt;&gt;"",
INDIRECT(""&amp;IF(COLUMN(CD96)&lt;=26,CHAR(COLUMN(CD96)+64),CHAR(INT((COLUMN(CD96)-1)/26)+64)&amp;CHAR(MOD(COLUMN(CD96)-1,26)+65))&amp;$CK96&amp;""),"")</f>
        <v/>
      </c>
      <c r="CR96" s="132" t="str">
        <f t="array" aca="1" ref="CR96" ca="1">IF($CK96&lt;&gt;"",
INDIRECT(""&amp;IF(COLUMN(CE96)&lt;=26,CHAR(COLUMN(CE96)+64),CHAR(INT((COLUMN(CE96)-1)/26)+64)&amp;CHAR(MOD(COLUMN(CE96)-1,26)+65))&amp;$CK96&amp;""),"")</f>
        <v/>
      </c>
      <c r="CS96" s="132" t="str">
        <f t="array" aca="1" ref="CS96" ca="1">IF($CK96&lt;&gt;"",
INDIRECT(""&amp;IF(COLUMN(CF96)&lt;=26,CHAR(COLUMN(CF96)+64),CHAR(INT((COLUMN(CF96)-1)/26)+64)&amp;CHAR(MOD(COLUMN(CF96)-1,26)+65))&amp;$CK96&amp;""),"")</f>
        <v/>
      </c>
      <c r="CT96" s="132" t="str">
        <f t="array" aca="1" ref="CT96" ca="1">IF($CK96&lt;&gt;"",
INDIRECT(""&amp;IF(COLUMN(CG96)&lt;=26,CHAR(COLUMN(CG96)+64),CHAR(INT((COLUMN(CG96)-1)/26)+64)&amp;CHAR(MOD(COLUMN(CG96)-1,26)+65))&amp;$CK96&amp;""),"")</f>
        <v/>
      </c>
      <c r="CU96" s="132" t="str">
        <f t="array" aca="1" ref="CU96" ca="1">IF($CK96&lt;&gt;"",
INDIRECT(""&amp;IF(COLUMN(CH96)&lt;=26,CHAR(COLUMN(CH96)+64),CHAR(INT((COLUMN(CH96)-1)/26)+64)&amp;CHAR(MOD(COLUMN(CH96)-1,26)+65))&amp;$CK96&amp;""),"")</f>
        <v/>
      </c>
    </row>
    <row r="97" spans="76:99" ht="22.2" customHeight="1" x14ac:dyDescent="0.45">
      <c r="BX97" s="132"/>
      <c r="BY97" s="133" t="str">
        <f ca="1">BK1</f>
        <v/>
      </c>
      <c r="BZ97" s="133" t="str">
        <f ca="1">BK2</f>
        <v/>
      </c>
      <c r="CA97" s="133" t="str">
        <f ca="1">BM2</f>
        <v/>
      </c>
      <c r="CB97" s="134" t="str">
        <f ca="1">BN2</f>
        <v/>
      </c>
      <c r="CC97" s="133" t="str">
        <f ca="1">BK4</f>
        <v/>
      </c>
      <c r="CD97" s="133" t="str">
        <f ca="1">BM4</f>
        <v/>
      </c>
      <c r="CE97" s="133" t="str">
        <f ca="1">BK6</f>
        <v/>
      </c>
      <c r="CF97" s="133" t="str">
        <f ca="1">BJ7</f>
        <v/>
      </c>
      <c r="CG97" s="133" t="str">
        <f ca="1">BL7</f>
        <v/>
      </c>
      <c r="CH97" s="133" t="str">
        <f ca="1">BN7</f>
        <v/>
      </c>
      <c r="CI97" s="132">
        <f t="shared" ref="CI97:CI120" ca="1" si="7">IF(COUNTIF(CJ97,"TRUE"),ROW(),0)</f>
        <v>0</v>
      </c>
      <c r="CJ97" s="132" t="b">
        <f t="array" aca="1" ref="CJ97" ca="1">SUMPRODUCT((LEN(BY97:CH97)&gt;0)*1)&gt;0</f>
        <v>0</v>
      </c>
      <c r="CK97" s="132" t="str" cm="1">
        <f t="array" aca="1" ref="CK97" ca="1">IFERROR(SMALL(IF(CI$1:CI$150&lt;&gt;0,CI$1:CI$150),ROW(A97)),"")</f>
        <v/>
      </c>
      <c r="CL97" s="132" t="str">
        <f t="array" aca="1" ref="CL97" ca="1">IF($CK97&lt;&gt;"",
INDIRECT(""&amp;IF(COLUMN(BY97)&lt;=26,CHAR(COLUMN(BY97)+64),CHAR(INT((COLUMN(BY97)-1)/26)+64)&amp;CHAR(MOD(COLUMN(BY97)-1,26)+65))&amp;$CK97&amp;""),"")</f>
        <v/>
      </c>
      <c r="CM97" s="132" t="str">
        <f t="array" aca="1" ref="CM97" ca="1">IF($CK97&lt;&gt;"",
INDIRECT(""&amp;IF(COLUMN(BZ97)&lt;=26,CHAR(COLUMN(BZ97)+64),CHAR(INT((COLUMN(BZ97)-1)/26)+64)&amp;CHAR(MOD(COLUMN(BZ97)-1,26)+65))&amp;$CK97&amp;""),"")</f>
        <v/>
      </c>
      <c r="CN97" s="132" t="str">
        <f t="array" aca="1" ref="CN97" ca="1">IF($CK97&lt;&gt;"",
INDIRECT(""&amp;IF(COLUMN(CA97)&lt;=26,CHAR(COLUMN(CA97)+64),CHAR(INT((COLUMN(CA97)-1)/26)+64)&amp;CHAR(MOD(COLUMN(CA97)-1,26)+65))&amp;$CK97&amp;""),"")</f>
        <v/>
      </c>
      <c r="CO97" s="132" t="str">
        <f t="array" aca="1" ref="CO97" ca="1">IF($CK97&lt;&gt;"",
INDIRECT(""&amp;IF(COLUMN(CB97)&lt;=26,CHAR(COLUMN(CB97)+64),CHAR(INT((COLUMN(CB97)-1)/26)+64)&amp;CHAR(MOD(COLUMN(CB97)-1,26)+65))&amp;$CK97&amp;""),"")</f>
        <v/>
      </c>
      <c r="CP97" s="132" t="str">
        <f t="array" aca="1" ref="CP97" ca="1">IF($CK97&lt;&gt;"",
INDIRECT(""&amp;IF(COLUMN(CC97)&lt;=26,CHAR(COLUMN(CC97)+64),CHAR(INT((COLUMN(CC97)-1)/26)+64)&amp;CHAR(MOD(COLUMN(CC97)-1,26)+65))&amp;$CK97&amp;""),"")</f>
        <v/>
      </c>
      <c r="CQ97" s="132" t="str">
        <f t="array" aca="1" ref="CQ97" ca="1">IF($CK97&lt;&gt;"",
INDIRECT(""&amp;IF(COLUMN(CD97)&lt;=26,CHAR(COLUMN(CD97)+64),CHAR(INT((COLUMN(CD97)-1)/26)+64)&amp;CHAR(MOD(COLUMN(CD97)-1,26)+65))&amp;$CK97&amp;""),"")</f>
        <v/>
      </c>
      <c r="CR97" s="132" t="str">
        <f t="array" aca="1" ref="CR97" ca="1">IF($CK97&lt;&gt;"",
INDIRECT(""&amp;IF(COLUMN(CE97)&lt;=26,CHAR(COLUMN(CE97)+64),CHAR(INT((COLUMN(CE97)-1)/26)+64)&amp;CHAR(MOD(COLUMN(CE97)-1,26)+65))&amp;$CK97&amp;""),"")</f>
        <v/>
      </c>
      <c r="CS97" s="132" t="str">
        <f t="array" aca="1" ref="CS97" ca="1">IF($CK97&lt;&gt;"",
INDIRECT(""&amp;IF(COLUMN(CF97)&lt;=26,CHAR(COLUMN(CF97)+64),CHAR(INT((COLUMN(CF97)-1)/26)+64)&amp;CHAR(MOD(COLUMN(CF97)-1,26)+65))&amp;$CK97&amp;""),"")</f>
        <v/>
      </c>
      <c r="CT97" s="132" t="str">
        <f t="array" aca="1" ref="CT97" ca="1">IF($CK97&lt;&gt;"",
INDIRECT(""&amp;IF(COLUMN(CG97)&lt;=26,CHAR(COLUMN(CG97)+64),CHAR(INT((COLUMN(CG97)-1)/26)+64)&amp;CHAR(MOD(COLUMN(CG97)-1,26)+65))&amp;$CK97&amp;""),"")</f>
        <v/>
      </c>
      <c r="CU97" s="132" t="str">
        <f t="array" aca="1" ref="CU97" ca="1">IF($CK97&lt;&gt;"",
INDIRECT(""&amp;IF(COLUMN(CH97)&lt;=26,CHAR(COLUMN(CH97)+64),CHAR(INT((COLUMN(CH97)-1)/26)+64)&amp;CHAR(MOD(COLUMN(CH97)-1,26)+65))&amp;$CK97&amp;""),"")</f>
        <v/>
      </c>
    </row>
    <row r="98" spans="76:99" ht="22.2" customHeight="1" x14ac:dyDescent="0.45">
      <c r="BX98" s="132">
        <v>42</v>
      </c>
      <c r="BY98" s="132" t="str">
        <f t="array" aca="1" ref="BY98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LEN(SUBSTITUTE(_xlfn.FORMULATEXT(BY$97),"=","")))+$BX98)</f>
        <v/>
      </c>
      <c r="BZ98" s="132" t="str">
        <f t="array" aca="1" ref="BZ98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LEN(SUBSTITUTE(_xlfn.FORMULATEXT(BZ$97),"=","")))+$BX98)</f>
        <v/>
      </c>
      <c r="CA98" s="132" t="str">
        <f t="array" aca="1" ref="CA98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LEN(SUBSTITUTE(_xlfn.FORMULATEXT(CA$97),"=","")))+$BX98)</f>
        <v/>
      </c>
      <c r="CB98" s="132" t="str">
        <f t="array" aca="1" ref="CB98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LEN(SUBSTITUTE(_xlfn.FORMULATEXT(CB$97),"=","")))+$BX98)</f>
        <v/>
      </c>
      <c r="CC98" s="132" t="str">
        <f t="array" aca="1" ref="CC98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LEN(SUBSTITUTE(_xlfn.FORMULATEXT(CC$97),"=","")))+$BX98)</f>
        <v/>
      </c>
      <c r="CD98" s="132" t="str">
        <f t="array" aca="1" ref="CD98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LEN(SUBSTITUTE(_xlfn.FORMULATEXT(CD$97),"=","")))+$BX98)</f>
        <v/>
      </c>
      <c r="CE98" s="132" t="str">
        <f t="array" aca="1" ref="CE98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LEN(SUBSTITUTE(_xlfn.FORMULATEXT(CE$97),"=","")))+$BX98)</f>
        <v/>
      </c>
      <c r="CF98" s="132" t="str">
        <f t="array" aca="1" ref="CF98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LEN(SUBSTITUTE(_xlfn.FORMULATEXT(CF$97),"=","")))+$BX98)</f>
        <v/>
      </c>
      <c r="CG98" s="132" t="str">
        <f t="array" aca="1" ref="CG98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LEN(SUBSTITUTE(_xlfn.FORMULATEXT(CG$97),"=","")))+$BX98)</f>
        <v/>
      </c>
      <c r="CH98" s="132" t="str">
        <f t="array" aca="1" ref="CH98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LEN(SUBSTITUTE(_xlfn.FORMULATEXT(CH$97),"=","")))+$BX98)</f>
        <v/>
      </c>
      <c r="CI98" s="132">
        <f t="shared" ca="1" si="7"/>
        <v>0</v>
      </c>
      <c r="CJ98" s="132" t="b">
        <f t="array" aca="1" ref="CJ98" ca="1">SUMPRODUCT((LEN(BY98:CH98)&gt;0)*1)&gt;0</f>
        <v>0</v>
      </c>
      <c r="CK98" s="132" t="str" cm="1">
        <f t="array" aca="1" ref="CK98" ca="1">IFERROR(SMALL(IF(CI$1:CI$150&lt;&gt;0,CI$1:CI$150),ROW(A98)),"")</f>
        <v/>
      </c>
      <c r="CL98" s="132" t="str">
        <f t="array" aca="1" ref="CL98" ca="1">IF($CK98&lt;&gt;"",
INDIRECT(""&amp;IF(COLUMN(BY98)&lt;=26,CHAR(COLUMN(BY98)+64),CHAR(INT((COLUMN(BY98)-1)/26)+64)&amp;CHAR(MOD(COLUMN(BY98)-1,26)+65))&amp;$CK98&amp;""),"")</f>
        <v/>
      </c>
      <c r="CM98" s="132" t="str">
        <f t="array" aca="1" ref="CM98" ca="1">IF($CK98&lt;&gt;"",
INDIRECT(""&amp;IF(COLUMN(BZ98)&lt;=26,CHAR(COLUMN(BZ98)+64),CHAR(INT((COLUMN(BZ98)-1)/26)+64)&amp;CHAR(MOD(COLUMN(BZ98)-1,26)+65))&amp;$CK98&amp;""),"")</f>
        <v/>
      </c>
      <c r="CN98" s="132" t="str">
        <f t="array" aca="1" ref="CN98" ca="1">IF($CK98&lt;&gt;"",
INDIRECT(""&amp;IF(COLUMN(CA98)&lt;=26,CHAR(COLUMN(CA98)+64),CHAR(INT((COLUMN(CA98)-1)/26)+64)&amp;CHAR(MOD(COLUMN(CA98)-1,26)+65))&amp;$CK98&amp;""),"")</f>
        <v/>
      </c>
      <c r="CO98" s="132" t="str">
        <f t="array" aca="1" ref="CO98" ca="1">IF($CK98&lt;&gt;"",
INDIRECT(""&amp;IF(COLUMN(CB98)&lt;=26,CHAR(COLUMN(CB98)+64),CHAR(INT((COLUMN(CB98)-1)/26)+64)&amp;CHAR(MOD(COLUMN(CB98)-1,26)+65))&amp;$CK98&amp;""),"")</f>
        <v/>
      </c>
      <c r="CP98" s="132" t="str">
        <f t="array" aca="1" ref="CP98" ca="1">IF($CK98&lt;&gt;"",
INDIRECT(""&amp;IF(COLUMN(CC98)&lt;=26,CHAR(COLUMN(CC98)+64),CHAR(INT((COLUMN(CC98)-1)/26)+64)&amp;CHAR(MOD(COLUMN(CC98)-1,26)+65))&amp;$CK98&amp;""),"")</f>
        <v/>
      </c>
      <c r="CQ98" s="132" t="str">
        <f t="array" aca="1" ref="CQ98" ca="1">IF($CK98&lt;&gt;"",
INDIRECT(""&amp;IF(COLUMN(CD98)&lt;=26,CHAR(COLUMN(CD98)+64),CHAR(INT((COLUMN(CD98)-1)/26)+64)&amp;CHAR(MOD(COLUMN(CD98)-1,26)+65))&amp;$CK98&amp;""),"")</f>
        <v/>
      </c>
      <c r="CR98" s="132" t="str">
        <f t="array" aca="1" ref="CR98" ca="1">IF($CK98&lt;&gt;"",
INDIRECT(""&amp;IF(COLUMN(CE98)&lt;=26,CHAR(COLUMN(CE98)+64),CHAR(INT((COLUMN(CE98)-1)/26)+64)&amp;CHAR(MOD(COLUMN(CE98)-1,26)+65))&amp;$CK98&amp;""),"")</f>
        <v/>
      </c>
      <c r="CS98" s="132" t="str">
        <f t="array" aca="1" ref="CS98" ca="1">IF($CK98&lt;&gt;"",
INDIRECT(""&amp;IF(COLUMN(CF98)&lt;=26,CHAR(COLUMN(CF98)+64),CHAR(INT((COLUMN(CF98)-1)/26)+64)&amp;CHAR(MOD(COLUMN(CF98)-1,26)+65))&amp;$CK98&amp;""),"")</f>
        <v/>
      </c>
      <c r="CT98" s="132" t="str">
        <f t="array" aca="1" ref="CT98" ca="1">IF($CK98&lt;&gt;"",
INDIRECT(""&amp;IF(COLUMN(CG98)&lt;=26,CHAR(COLUMN(CG98)+64),CHAR(INT((COLUMN(CG98)-1)/26)+64)&amp;CHAR(MOD(COLUMN(CG98)-1,26)+65))&amp;$CK98&amp;""),"")</f>
        <v/>
      </c>
      <c r="CU98" s="132" t="str">
        <f t="array" aca="1" ref="CU98" ca="1">IF($CK98&lt;&gt;"",
INDIRECT(""&amp;IF(COLUMN(CH98)&lt;=26,CHAR(COLUMN(CH98)+64),CHAR(INT((COLUMN(CH98)-1)/26)+64)&amp;CHAR(MOD(COLUMN(CH98)-1,26)+65))&amp;$CK98&amp;""),"")</f>
        <v/>
      </c>
    </row>
    <row r="99" spans="76:99" ht="22.2" customHeight="1" x14ac:dyDescent="0.45">
      <c r="BX99" s="132"/>
      <c r="BY99" s="133" t="str">
        <f ca="1">BR1</f>
        <v/>
      </c>
      <c r="BZ99" s="133" t="str">
        <f ca="1">BR2</f>
        <v/>
      </c>
      <c r="CA99" s="133" t="str">
        <f ca="1">BT2</f>
        <v/>
      </c>
      <c r="CB99" s="134" t="str">
        <f ca="1">BU2</f>
        <v/>
      </c>
      <c r="CC99" s="133" t="str">
        <f ca="1">BR4</f>
        <v/>
      </c>
      <c r="CD99" s="133" t="str">
        <f ca="1">BT4</f>
        <v/>
      </c>
      <c r="CE99" s="133" t="str">
        <f ca="1">BR6</f>
        <v/>
      </c>
      <c r="CF99" s="133" t="str">
        <f ca="1">BQ7</f>
        <v/>
      </c>
      <c r="CG99" s="133" t="str">
        <f ca="1">BS7</f>
        <v/>
      </c>
      <c r="CH99" s="133" t="str">
        <f ca="1">BU7</f>
        <v/>
      </c>
      <c r="CI99" s="132">
        <f t="shared" ca="1" si="7"/>
        <v>0</v>
      </c>
      <c r="CJ99" s="132" t="b">
        <f t="array" aca="1" ref="CJ99" ca="1">SUMPRODUCT((LEN(BY99:CH99)&gt;0)*1)&gt;0</f>
        <v>0</v>
      </c>
      <c r="CK99" s="132" t="str" cm="1">
        <f t="array" aca="1" ref="CK99" ca="1">IFERROR(SMALL(IF(CI$1:CI$150&lt;&gt;0,CI$1:CI$150),ROW(A99)),"")</f>
        <v/>
      </c>
      <c r="CL99" s="132" t="str">
        <f t="array" aca="1" ref="CL99" ca="1">IF($CK99&lt;&gt;"",
INDIRECT(""&amp;IF(COLUMN(BY99)&lt;=26,CHAR(COLUMN(BY99)+64),CHAR(INT((COLUMN(BY99)-1)/26)+64)&amp;CHAR(MOD(COLUMN(BY99)-1,26)+65))&amp;$CK99&amp;""),"")</f>
        <v/>
      </c>
      <c r="CM99" s="132" t="str">
        <f t="array" aca="1" ref="CM99" ca="1">IF($CK99&lt;&gt;"",
INDIRECT(""&amp;IF(COLUMN(BZ99)&lt;=26,CHAR(COLUMN(BZ99)+64),CHAR(INT((COLUMN(BZ99)-1)/26)+64)&amp;CHAR(MOD(COLUMN(BZ99)-1,26)+65))&amp;$CK99&amp;""),"")</f>
        <v/>
      </c>
      <c r="CN99" s="132" t="str">
        <f t="array" aca="1" ref="CN99" ca="1">IF($CK99&lt;&gt;"",
INDIRECT(""&amp;IF(COLUMN(CA99)&lt;=26,CHAR(COLUMN(CA99)+64),CHAR(INT((COLUMN(CA99)-1)/26)+64)&amp;CHAR(MOD(COLUMN(CA99)-1,26)+65))&amp;$CK99&amp;""),"")</f>
        <v/>
      </c>
      <c r="CO99" s="132" t="str">
        <f t="array" aca="1" ref="CO99" ca="1">IF($CK99&lt;&gt;"",
INDIRECT(""&amp;IF(COLUMN(CB99)&lt;=26,CHAR(COLUMN(CB99)+64),CHAR(INT((COLUMN(CB99)-1)/26)+64)&amp;CHAR(MOD(COLUMN(CB99)-1,26)+65))&amp;$CK99&amp;""),"")</f>
        <v/>
      </c>
      <c r="CP99" s="132" t="str">
        <f t="array" aca="1" ref="CP99" ca="1">IF($CK99&lt;&gt;"",
INDIRECT(""&amp;IF(COLUMN(CC99)&lt;=26,CHAR(COLUMN(CC99)+64),CHAR(INT((COLUMN(CC99)-1)/26)+64)&amp;CHAR(MOD(COLUMN(CC99)-1,26)+65))&amp;$CK99&amp;""),"")</f>
        <v/>
      </c>
      <c r="CQ99" s="132" t="str">
        <f t="array" aca="1" ref="CQ99" ca="1">IF($CK99&lt;&gt;"",
INDIRECT(""&amp;IF(COLUMN(CD99)&lt;=26,CHAR(COLUMN(CD99)+64),CHAR(INT((COLUMN(CD99)-1)/26)+64)&amp;CHAR(MOD(COLUMN(CD99)-1,26)+65))&amp;$CK99&amp;""),"")</f>
        <v/>
      </c>
      <c r="CR99" s="132" t="str">
        <f t="array" aca="1" ref="CR99" ca="1">IF($CK99&lt;&gt;"",
INDIRECT(""&amp;IF(COLUMN(CE99)&lt;=26,CHAR(COLUMN(CE99)+64),CHAR(INT((COLUMN(CE99)-1)/26)+64)&amp;CHAR(MOD(COLUMN(CE99)-1,26)+65))&amp;$CK99&amp;""),"")</f>
        <v/>
      </c>
      <c r="CS99" s="132" t="str">
        <f t="array" aca="1" ref="CS99" ca="1">IF($CK99&lt;&gt;"",
INDIRECT(""&amp;IF(COLUMN(CF99)&lt;=26,CHAR(COLUMN(CF99)+64),CHAR(INT((COLUMN(CF99)-1)/26)+64)&amp;CHAR(MOD(COLUMN(CF99)-1,26)+65))&amp;$CK99&amp;""),"")</f>
        <v/>
      </c>
      <c r="CT99" s="132" t="str">
        <f t="array" aca="1" ref="CT99" ca="1">IF($CK99&lt;&gt;"",
INDIRECT(""&amp;IF(COLUMN(CG99)&lt;=26,CHAR(COLUMN(CG99)+64),CHAR(INT((COLUMN(CG99)-1)/26)+64)&amp;CHAR(MOD(COLUMN(CG99)-1,26)+65))&amp;$CK99&amp;""),"")</f>
        <v/>
      </c>
      <c r="CU99" s="132" t="str">
        <f t="array" aca="1" ref="CU99" ca="1">IF($CK99&lt;&gt;"",
INDIRECT(""&amp;IF(COLUMN(CH99)&lt;=26,CHAR(COLUMN(CH99)+64),CHAR(INT((COLUMN(CH99)-1)/26)+64)&amp;CHAR(MOD(COLUMN(CH99)-1,26)+65))&amp;$CK99&amp;""),"")</f>
        <v/>
      </c>
    </row>
    <row r="100" spans="76:99" ht="22.2" customHeight="1" x14ac:dyDescent="0.45">
      <c r="BX100" s="132">
        <v>42</v>
      </c>
      <c r="BY100" s="132" t="str">
        <f t="array" aca="1" ref="BY100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LEN(SUBSTITUTE(_xlfn.FORMULATEXT(BY$99),"=","")))+$BX100)</f>
        <v/>
      </c>
      <c r="BZ100" s="132" t="str">
        <f t="array" aca="1" ref="BZ100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LEN(SUBSTITUTE(_xlfn.FORMULATEXT(BZ$99),"=","")))+$BX100)</f>
        <v/>
      </c>
      <c r="CA100" s="132" t="str">
        <f t="array" aca="1" ref="CA100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LEN(SUBSTITUTE(_xlfn.FORMULATEXT(CA$99),"=","")))+$BX100)</f>
        <v/>
      </c>
      <c r="CB100" s="132" t="str">
        <f t="array" aca="1" ref="CB100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LEN(SUBSTITUTE(_xlfn.FORMULATEXT(CB$99),"=","")))+$BX100)</f>
        <v/>
      </c>
      <c r="CC100" s="132" t="str">
        <f t="array" aca="1" ref="CC100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LEN(SUBSTITUTE(_xlfn.FORMULATEXT(CC$99),"=","")))+$BX100)</f>
        <v/>
      </c>
      <c r="CD100" s="132" t="str">
        <f t="array" aca="1" ref="CD100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LEN(SUBSTITUTE(_xlfn.FORMULATEXT(CD$99),"=","")))+$BX100)</f>
        <v/>
      </c>
      <c r="CE100" s="132" t="str">
        <f t="array" aca="1" ref="CE100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LEN(SUBSTITUTE(_xlfn.FORMULATEXT(CE$99),"=","")))+$BX100)</f>
        <v/>
      </c>
      <c r="CF100" s="132" t="str">
        <f t="array" aca="1" ref="CF100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LEN(SUBSTITUTE(_xlfn.FORMULATEXT(CF$99),"=","")))+$BX100)</f>
        <v/>
      </c>
      <c r="CG100" s="132" t="str">
        <f t="array" aca="1" ref="CG100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LEN(SUBSTITUTE(_xlfn.FORMULATEXT(CG$99),"=","")))+$BX100)</f>
        <v/>
      </c>
      <c r="CH100" s="132" t="str">
        <f t="array" aca="1" ref="CH100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LEN(SUBSTITUTE(_xlfn.FORMULATEXT(CH$99),"=","")))+$BX100)</f>
        <v/>
      </c>
      <c r="CI100" s="132">
        <f t="shared" ca="1" si="7"/>
        <v>0</v>
      </c>
      <c r="CJ100" s="132" t="b">
        <f t="array" aca="1" ref="CJ100" ca="1">SUMPRODUCT((LEN(BY100:CH100)&gt;0)*1)&gt;0</f>
        <v>0</v>
      </c>
      <c r="CK100" s="132" t="str" cm="1">
        <f t="array" aca="1" ref="CK100" ca="1">IFERROR(SMALL(IF(CI$1:CI$150&lt;&gt;0,CI$1:CI$150),ROW(A100)),"")</f>
        <v/>
      </c>
      <c r="CL100" s="132" t="str">
        <f t="array" aca="1" ref="CL100" ca="1">IF($CK100&lt;&gt;"",
INDIRECT(""&amp;IF(COLUMN(BY100)&lt;=26,CHAR(COLUMN(BY100)+64),CHAR(INT((COLUMN(BY100)-1)/26)+64)&amp;CHAR(MOD(COLUMN(BY100)-1,26)+65))&amp;$CK100&amp;""),"")</f>
        <v/>
      </c>
      <c r="CM100" s="132" t="str">
        <f t="array" aca="1" ref="CM100" ca="1">IF($CK100&lt;&gt;"",
INDIRECT(""&amp;IF(COLUMN(BZ100)&lt;=26,CHAR(COLUMN(BZ100)+64),CHAR(INT((COLUMN(BZ100)-1)/26)+64)&amp;CHAR(MOD(COLUMN(BZ100)-1,26)+65))&amp;$CK100&amp;""),"")</f>
        <v/>
      </c>
      <c r="CN100" s="132" t="str">
        <f t="array" aca="1" ref="CN100" ca="1">IF($CK100&lt;&gt;"",
INDIRECT(""&amp;IF(COLUMN(CA100)&lt;=26,CHAR(COLUMN(CA100)+64),CHAR(INT((COLUMN(CA100)-1)/26)+64)&amp;CHAR(MOD(COLUMN(CA100)-1,26)+65))&amp;$CK100&amp;""),"")</f>
        <v/>
      </c>
      <c r="CO100" s="132" t="str">
        <f t="array" aca="1" ref="CO100" ca="1">IF($CK100&lt;&gt;"",
INDIRECT(""&amp;IF(COLUMN(CB100)&lt;=26,CHAR(COLUMN(CB100)+64),CHAR(INT((COLUMN(CB100)-1)/26)+64)&amp;CHAR(MOD(COLUMN(CB100)-1,26)+65))&amp;$CK100&amp;""),"")</f>
        <v/>
      </c>
      <c r="CP100" s="132" t="str">
        <f t="array" aca="1" ref="CP100" ca="1">IF($CK100&lt;&gt;"",
INDIRECT(""&amp;IF(COLUMN(CC100)&lt;=26,CHAR(COLUMN(CC100)+64),CHAR(INT((COLUMN(CC100)-1)/26)+64)&amp;CHAR(MOD(COLUMN(CC100)-1,26)+65))&amp;$CK100&amp;""),"")</f>
        <v/>
      </c>
      <c r="CQ100" s="132" t="str">
        <f t="array" aca="1" ref="CQ100" ca="1">IF($CK100&lt;&gt;"",
INDIRECT(""&amp;IF(COLUMN(CD100)&lt;=26,CHAR(COLUMN(CD100)+64),CHAR(INT((COLUMN(CD100)-1)/26)+64)&amp;CHAR(MOD(COLUMN(CD100)-1,26)+65))&amp;$CK100&amp;""),"")</f>
        <v/>
      </c>
      <c r="CR100" s="132" t="str">
        <f t="array" aca="1" ref="CR100" ca="1">IF($CK100&lt;&gt;"",
INDIRECT(""&amp;IF(COLUMN(CE100)&lt;=26,CHAR(COLUMN(CE100)+64),CHAR(INT((COLUMN(CE100)-1)/26)+64)&amp;CHAR(MOD(COLUMN(CE100)-1,26)+65))&amp;$CK100&amp;""),"")</f>
        <v/>
      </c>
      <c r="CS100" s="132" t="str">
        <f t="array" aca="1" ref="CS100" ca="1">IF($CK100&lt;&gt;"",
INDIRECT(""&amp;IF(COLUMN(CF100)&lt;=26,CHAR(COLUMN(CF100)+64),CHAR(INT((COLUMN(CF100)-1)/26)+64)&amp;CHAR(MOD(COLUMN(CF100)-1,26)+65))&amp;$CK100&amp;""),"")</f>
        <v/>
      </c>
      <c r="CT100" s="132" t="str">
        <f t="array" aca="1" ref="CT100" ca="1">IF($CK100&lt;&gt;"",
INDIRECT(""&amp;IF(COLUMN(CG100)&lt;=26,CHAR(COLUMN(CG100)+64),CHAR(INT((COLUMN(CG100)-1)/26)+64)&amp;CHAR(MOD(COLUMN(CG100)-1,26)+65))&amp;$CK100&amp;""),"")</f>
        <v/>
      </c>
      <c r="CU100" s="132" t="str">
        <f t="array" aca="1" ref="CU100" ca="1">IF($CK100&lt;&gt;"",
INDIRECT(""&amp;IF(COLUMN(CH100)&lt;=26,CHAR(COLUMN(CH100)+64),CHAR(INT((COLUMN(CH100)-1)/26)+64)&amp;CHAR(MOD(COLUMN(CH100)-1,26)+65))&amp;$CK100&amp;""),"")</f>
        <v/>
      </c>
    </row>
    <row r="101" spans="76:99" ht="22.2" customHeight="1" x14ac:dyDescent="0.45">
      <c r="BX101" s="146">
        <v>7</v>
      </c>
      <c r="BY101" s="132" t="str">
        <f t="array" aca="1" ref="BY101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LEN(SUBSTITUTE(_xlfn.FORMULATEXT(BY$97),"=","")))+$BX101)</f>
        <v/>
      </c>
      <c r="BZ101" s="132" t="str">
        <f t="array" aca="1" ref="BZ101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LEN(SUBSTITUTE(_xlfn.FORMULATEXT(BZ$97),"=","")))+$BX101)</f>
        <v/>
      </c>
      <c r="CA101" s="132" t="str">
        <f t="array" aca="1" ref="CA101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LEN(SUBSTITUTE(_xlfn.FORMULATEXT(CA$97),"=","")))+$BX101)</f>
        <v/>
      </c>
      <c r="CB101" s="132" t="str">
        <f t="array" aca="1" ref="CB101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LEN(SUBSTITUTE(_xlfn.FORMULATEXT(CB$97),"=","")))+$BX101)</f>
        <v/>
      </c>
      <c r="CC101" s="132" t="str">
        <f t="array" aca="1" ref="CC101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LEN(SUBSTITUTE(_xlfn.FORMULATEXT(CC$97),"=","")))+$BX101)</f>
        <v/>
      </c>
      <c r="CD101" s="132" t="str">
        <f t="array" aca="1" ref="CD101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LEN(SUBSTITUTE(_xlfn.FORMULATEXT(CD$97),"=","")))+$BX101)</f>
        <v/>
      </c>
      <c r="CE101" s="132" t="str">
        <f t="array" aca="1" ref="CE101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LEN(SUBSTITUTE(_xlfn.FORMULATEXT(CE$97),"=","")))+$BX101)</f>
        <v/>
      </c>
      <c r="CF101" s="132" t="str">
        <f t="array" aca="1" ref="CF101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LEN(SUBSTITUTE(_xlfn.FORMULATEXT(CF$97),"=","")))+$BX101)</f>
        <v/>
      </c>
      <c r="CG101" s="132" t="str">
        <f t="array" aca="1" ref="CG101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LEN(SUBSTITUTE(_xlfn.FORMULATEXT(CG$97),"=","")))+$BX101)</f>
        <v/>
      </c>
      <c r="CH101" s="132" t="str">
        <f t="array" aca="1" ref="CH101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LEN(SUBSTITUTE(_xlfn.FORMULATEXT(CH$97),"=","")))+$BX101)</f>
        <v/>
      </c>
      <c r="CI101" s="132">
        <f t="shared" ca="1" si="7"/>
        <v>0</v>
      </c>
      <c r="CJ101" s="132" t="b">
        <f t="array" aca="1" ref="CJ101" ca="1">SUMPRODUCT((LEN(BY101:CH101)&gt;0)*1)&gt;0</f>
        <v>0</v>
      </c>
      <c r="CK101" s="132" t="str" cm="1">
        <f t="array" aca="1" ref="CK101" ca="1">IFERROR(SMALL(IF(CI$1:CI$150&lt;&gt;0,CI$1:CI$150),ROW(A101)),"")</f>
        <v/>
      </c>
      <c r="CL101" s="132" t="str">
        <f t="array" aca="1" ref="CL101" ca="1">IF($CK101&lt;&gt;"",
INDIRECT(""&amp;IF(COLUMN(BY101)&lt;=26,CHAR(COLUMN(BY101)+64),CHAR(INT((COLUMN(BY101)-1)/26)+64)&amp;CHAR(MOD(COLUMN(BY101)-1,26)+65))&amp;$CK101&amp;""),"")</f>
        <v/>
      </c>
      <c r="CM101" s="132" t="str">
        <f t="array" aca="1" ref="CM101" ca="1">IF($CK101&lt;&gt;"",
INDIRECT(""&amp;IF(COLUMN(BZ101)&lt;=26,CHAR(COLUMN(BZ101)+64),CHAR(INT((COLUMN(BZ101)-1)/26)+64)&amp;CHAR(MOD(COLUMN(BZ101)-1,26)+65))&amp;$CK101&amp;""),"")</f>
        <v/>
      </c>
      <c r="CN101" s="132" t="str">
        <f t="array" aca="1" ref="CN101" ca="1">IF($CK101&lt;&gt;"",
INDIRECT(""&amp;IF(COLUMN(CA101)&lt;=26,CHAR(COLUMN(CA101)+64),CHAR(INT((COLUMN(CA101)-1)/26)+64)&amp;CHAR(MOD(COLUMN(CA101)-1,26)+65))&amp;$CK101&amp;""),"")</f>
        <v/>
      </c>
      <c r="CO101" s="132" t="str">
        <f t="array" aca="1" ref="CO101" ca="1">IF($CK101&lt;&gt;"",
INDIRECT(""&amp;IF(COLUMN(CB101)&lt;=26,CHAR(COLUMN(CB101)+64),CHAR(INT((COLUMN(CB101)-1)/26)+64)&amp;CHAR(MOD(COLUMN(CB101)-1,26)+65))&amp;$CK101&amp;""),"")</f>
        <v/>
      </c>
      <c r="CP101" s="132" t="str">
        <f t="array" aca="1" ref="CP101" ca="1">IF($CK101&lt;&gt;"",
INDIRECT(""&amp;IF(COLUMN(CC101)&lt;=26,CHAR(COLUMN(CC101)+64),CHAR(INT((COLUMN(CC101)-1)/26)+64)&amp;CHAR(MOD(COLUMN(CC101)-1,26)+65))&amp;$CK101&amp;""),"")</f>
        <v/>
      </c>
      <c r="CQ101" s="132" t="str">
        <f t="array" aca="1" ref="CQ101" ca="1">IF($CK101&lt;&gt;"",
INDIRECT(""&amp;IF(COLUMN(CD101)&lt;=26,CHAR(COLUMN(CD101)+64),CHAR(INT((COLUMN(CD101)-1)/26)+64)&amp;CHAR(MOD(COLUMN(CD101)-1,26)+65))&amp;$CK101&amp;""),"")</f>
        <v/>
      </c>
      <c r="CR101" s="132" t="str">
        <f t="array" aca="1" ref="CR101" ca="1">IF($CK101&lt;&gt;"",
INDIRECT(""&amp;IF(COLUMN(CE101)&lt;=26,CHAR(COLUMN(CE101)+64),CHAR(INT((COLUMN(CE101)-1)/26)+64)&amp;CHAR(MOD(COLUMN(CE101)-1,26)+65))&amp;$CK101&amp;""),"")</f>
        <v/>
      </c>
      <c r="CS101" s="132" t="str">
        <f t="array" aca="1" ref="CS101" ca="1">IF($CK101&lt;&gt;"",
INDIRECT(""&amp;IF(COLUMN(CF101)&lt;=26,CHAR(COLUMN(CF101)+64),CHAR(INT((COLUMN(CF101)-1)/26)+64)&amp;CHAR(MOD(COLUMN(CF101)-1,26)+65))&amp;$CK101&amp;""),"")</f>
        <v/>
      </c>
      <c r="CT101" s="132" t="str">
        <f t="array" aca="1" ref="CT101" ca="1">IF($CK101&lt;&gt;"",
INDIRECT(""&amp;IF(COLUMN(CG101)&lt;=26,CHAR(COLUMN(CG101)+64),CHAR(INT((COLUMN(CG101)-1)/26)+64)&amp;CHAR(MOD(COLUMN(CG101)-1,26)+65))&amp;$CK101&amp;""),"")</f>
        <v/>
      </c>
      <c r="CU101" s="132" t="str">
        <f t="array" aca="1" ref="CU101" ca="1">IF($CK101&lt;&gt;"",
INDIRECT(""&amp;IF(COLUMN(CH101)&lt;=26,CHAR(COLUMN(CH101)+64),CHAR(INT((COLUMN(CH101)-1)/26)+64)&amp;CHAR(MOD(COLUMN(CH101)-1,26)+65))&amp;$CK101&amp;""),"")</f>
        <v/>
      </c>
    </row>
    <row r="102" spans="76:99" ht="22.2" customHeight="1" x14ac:dyDescent="0.45">
      <c r="BX102" s="132">
        <f>BX98+7</f>
        <v>49</v>
      </c>
      <c r="BY102" s="132" t="str">
        <f t="array" aca="1" ref="BY102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LEN(SUBSTITUTE(_xlfn.FORMULATEXT(BY$97),"=","")))+$BX102)</f>
        <v/>
      </c>
      <c r="BZ102" s="132" t="str">
        <f t="array" aca="1" ref="BZ102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LEN(SUBSTITUTE(_xlfn.FORMULATEXT(BZ$97),"=","")))+$BX102)</f>
        <v/>
      </c>
      <c r="CA102" s="132" t="str">
        <f t="array" aca="1" ref="CA102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LEN(SUBSTITUTE(_xlfn.FORMULATEXT(CA$97),"=","")))+$BX102)</f>
        <v/>
      </c>
      <c r="CB102" s="132" t="str">
        <f t="array" aca="1" ref="CB102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LEN(SUBSTITUTE(_xlfn.FORMULATEXT(CB$97),"=","")))+$BX102)</f>
        <v/>
      </c>
      <c r="CC102" s="132" t="str">
        <f t="array" aca="1" ref="CC102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LEN(SUBSTITUTE(_xlfn.FORMULATEXT(CC$97),"=","")))+$BX102)</f>
        <v/>
      </c>
      <c r="CD102" s="132" t="str">
        <f t="array" aca="1" ref="CD102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LEN(SUBSTITUTE(_xlfn.FORMULATEXT(CD$97),"=","")))+$BX102)</f>
        <v/>
      </c>
      <c r="CE102" s="132" t="str">
        <f t="array" aca="1" ref="CE102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LEN(SUBSTITUTE(_xlfn.FORMULATEXT(CE$97),"=","")))+$BX102)</f>
        <v/>
      </c>
      <c r="CF102" s="132" t="str">
        <f t="array" aca="1" ref="CF102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LEN(SUBSTITUTE(_xlfn.FORMULATEXT(CF$97),"=","")))+$BX102)</f>
        <v/>
      </c>
      <c r="CG102" s="132" t="str">
        <f t="array" aca="1" ref="CG102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LEN(SUBSTITUTE(_xlfn.FORMULATEXT(CG$97),"=","")))+$BX102)</f>
        <v/>
      </c>
      <c r="CH102" s="132" t="str">
        <f t="array" aca="1" ref="CH102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LEN(SUBSTITUTE(_xlfn.FORMULATEXT(CH$97),"=","")))+$BX102)</f>
        <v/>
      </c>
      <c r="CI102" s="132">
        <f t="shared" ca="1" si="7"/>
        <v>0</v>
      </c>
      <c r="CJ102" s="132" t="b">
        <f t="array" aca="1" ref="CJ102" ca="1">SUMPRODUCT((LEN(BY102:CH102)&gt;0)*1)&gt;0</f>
        <v>0</v>
      </c>
      <c r="CK102" s="132" t="str" cm="1">
        <f t="array" aca="1" ref="CK102" ca="1">IFERROR(SMALL(IF(CI$1:CI$150&lt;&gt;0,CI$1:CI$150),ROW(A102)),"")</f>
        <v/>
      </c>
      <c r="CL102" s="132" t="str">
        <f t="array" aca="1" ref="CL102" ca="1">IF($CK102&lt;&gt;"",
INDIRECT(""&amp;IF(COLUMN(BY102)&lt;=26,CHAR(COLUMN(BY102)+64),CHAR(INT((COLUMN(BY102)-1)/26)+64)&amp;CHAR(MOD(COLUMN(BY102)-1,26)+65))&amp;$CK102&amp;""),"")</f>
        <v/>
      </c>
      <c r="CM102" s="132" t="str">
        <f t="array" aca="1" ref="CM102" ca="1">IF($CK102&lt;&gt;"",
INDIRECT(""&amp;IF(COLUMN(BZ102)&lt;=26,CHAR(COLUMN(BZ102)+64),CHAR(INT((COLUMN(BZ102)-1)/26)+64)&amp;CHAR(MOD(COLUMN(BZ102)-1,26)+65))&amp;$CK102&amp;""),"")</f>
        <v/>
      </c>
      <c r="CN102" s="132" t="str">
        <f t="array" aca="1" ref="CN102" ca="1">IF($CK102&lt;&gt;"",
INDIRECT(""&amp;IF(COLUMN(CA102)&lt;=26,CHAR(COLUMN(CA102)+64),CHAR(INT((COLUMN(CA102)-1)/26)+64)&amp;CHAR(MOD(COLUMN(CA102)-1,26)+65))&amp;$CK102&amp;""),"")</f>
        <v/>
      </c>
      <c r="CO102" s="132" t="str">
        <f t="array" aca="1" ref="CO102" ca="1">IF($CK102&lt;&gt;"",
INDIRECT(""&amp;IF(COLUMN(CB102)&lt;=26,CHAR(COLUMN(CB102)+64),CHAR(INT((COLUMN(CB102)-1)/26)+64)&amp;CHAR(MOD(COLUMN(CB102)-1,26)+65))&amp;$CK102&amp;""),"")</f>
        <v/>
      </c>
      <c r="CP102" s="132" t="str">
        <f t="array" aca="1" ref="CP102" ca="1">IF($CK102&lt;&gt;"",
INDIRECT(""&amp;IF(COLUMN(CC102)&lt;=26,CHAR(COLUMN(CC102)+64),CHAR(INT((COLUMN(CC102)-1)/26)+64)&amp;CHAR(MOD(COLUMN(CC102)-1,26)+65))&amp;$CK102&amp;""),"")</f>
        <v/>
      </c>
      <c r="CQ102" s="132" t="str">
        <f t="array" aca="1" ref="CQ102" ca="1">IF($CK102&lt;&gt;"",
INDIRECT(""&amp;IF(COLUMN(CD102)&lt;=26,CHAR(COLUMN(CD102)+64),CHAR(INT((COLUMN(CD102)-1)/26)+64)&amp;CHAR(MOD(COLUMN(CD102)-1,26)+65))&amp;$CK102&amp;""),"")</f>
        <v/>
      </c>
      <c r="CR102" s="132" t="str">
        <f t="array" aca="1" ref="CR102" ca="1">IF($CK102&lt;&gt;"",
INDIRECT(""&amp;IF(COLUMN(CE102)&lt;=26,CHAR(COLUMN(CE102)+64),CHAR(INT((COLUMN(CE102)-1)/26)+64)&amp;CHAR(MOD(COLUMN(CE102)-1,26)+65))&amp;$CK102&amp;""),"")</f>
        <v/>
      </c>
      <c r="CS102" s="132" t="str">
        <f t="array" aca="1" ref="CS102" ca="1">IF($CK102&lt;&gt;"",
INDIRECT(""&amp;IF(COLUMN(CF102)&lt;=26,CHAR(COLUMN(CF102)+64),CHAR(INT((COLUMN(CF102)-1)/26)+64)&amp;CHAR(MOD(COLUMN(CF102)-1,26)+65))&amp;$CK102&amp;""),"")</f>
        <v/>
      </c>
      <c r="CT102" s="132" t="str">
        <f t="array" aca="1" ref="CT102" ca="1">IF($CK102&lt;&gt;"",
INDIRECT(""&amp;IF(COLUMN(CG102)&lt;=26,CHAR(COLUMN(CG102)+64),CHAR(INT((COLUMN(CG102)-1)/26)+64)&amp;CHAR(MOD(COLUMN(CG102)-1,26)+65))&amp;$CK102&amp;""),"")</f>
        <v/>
      </c>
      <c r="CU102" s="132" t="str">
        <f t="array" aca="1" ref="CU102" ca="1">IF($CK102&lt;&gt;"",
INDIRECT(""&amp;IF(COLUMN(CH102)&lt;=26,CHAR(COLUMN(CH102)+64),CHAR(INT((COLUMN(CH102)-1)/26)+64)&amp;CHAR(MOD(COLUMN(CH102)-1,26)+65))&amp;$CK102&amp;""),"")</f>
        <v/>
      </c>
    </row>
    <row r="103" spans="76:99" ht="22.2" customHeight="1" x14ac:dyDescent="0.45">
      <c r="BX103" s="132">
        <v>7</v>
      </c>
      <c r="BY103" s="132" t="str">
        <f t="array" aca="1" ref="BY103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LEN(SUBSTITUTE(_xlfn.FORMULATEXT(BY$99),"=","")))+$BX103)</f>
        <v/>
      </c>
      <c r="BZ103" s="132" t="str">
        <f t="array" aca="1" ref="BZ103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LEN(SUBSTITUTE(_xlfn.FORMULATEXT(BZ$99),"=","")))+$BX103)</f>
        <v/>
      </c>
      <c r="CA103" s="132" t="str">
        <f t="array" aca="1" ref="CA103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LEN(SUBSTITUTE(_xlfn.FORMULATEXT(CA$99),"=","")))+$BX103)</f>
        <v/>
      </c>
      <c r="CB103" s="132" t="str">
        <f t="array" aca="1" ref="CB103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LEN(SUBSTITUTE(_xlfn.FORMULATEXT(CB$99),"=","")))+$BX103)</f>
        <v/>
      </c>
      <c r="CC103" s="132" t="str">
        <f t="array" aca="1" ref="CC103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LEN(SUBSTITUTE(_xlfn.FORMULATEXT(CC$99),"=","")))+$BX103)</f>
        <v/>
      </c>
      <c r="CD103" s="132" t="str">
        <f t="array" aca="1" ref="CD103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LEN(SUBSTITUTE(_xlfn.FORMULATEXT(CD$99),"=","")))+$BX103)</f>
        <v/>
      </c>
      <c r="CE103" s="132" t="str">
        <f t="array" aca="1" ref="CE103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LEN(SUBSTITUTE(_xlfn.FORMULATEXT(CE$99),"=","")))+$BX103)</f>
        <v/>
      </c>
      <c r="CF103" s="132" t="str">
        <f t="array" aca="1" ref="CF103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LEN(SUBSTITUTE(_xlfn.FORMULATEXT(CF$99),"=","")))+$BX103)</f>
        <v/>
      </c>
      <c r="CG103" s="132" t="str">
        <f t="array" aca="1" ref="CG103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LEN(SUBSTITUTE(_xlfn.FORMULATEXT(CG$99),"=","")))+$BX103)</f>
        <v/>
      </c>
      <c r="CH103" s="132" t="str">
        <f t="array" aca="1" ref="CH103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LEN(SUBSTITUTE(_xlfn.FORMULATEXT(CH$99),"=","")))+$BX103)</f>
        <v/>
      </c>
      <c r="CI103" s="132">
        <f t="shared" ca="1" si="7"/>
        <v>0</v>
      </c>
      <c r="CJ103" s="132" t="b">
        <f t="array" aca="1" ref="CJ103" ca="1">SUMPRODUCT((LEN(BY103:CH103)&gt;0)*1)&gt;0</f>
        <v>0</v>
      </c>
      <c r="CK103" s="132" t="str" cm="1">
        <f t="array" aca="1" ref="CK103" ca="1">IFERROR(SMALL(IF(CI$1:CI$150&lt;&gt;0,CI$1:CI$150),ROW(A103)),"")</f>
        <v/>
      </c>
      <c r="CL103" s="132" t="str">
        <f t="array" aca="1" ref="CL103" ca="1">IF($CK103&lt;&gt;"",
INDIRECT(""&amp;IF(COLUMN(BY103)&lt;=26,CHAR(COLUMN(BY103)+64),CHAR(INT((COLUMN(BY103)-1)/26)+64)&amp;CHAR(MOD(COLUMN(BY103)-1,26)+65))&amp;$CK103&amp;""),"")</f>
        <v/>
      </c>
      <c r="CM103" s="132" t="str">
        <f t="array" aca="1" ref="CM103" ca="1">IF($CK103&lt;&gt;"",
INDIRECT(""&amp;IF(COLUMN(BZ103)&lt;=26,CHAR(COLUMN(BZ103)+64),CHAR(INT((COLUMN(BZ103)-1)/26)+64)&amp;CHAR(MOD(COLUMN(BZ103)-1,26)+65))&amp;$CK103&amp;""),"")</f>
        <v/>
      </c>
      <c r="CN103" s="132" t="str">
        <f t="array" aca="1" ref="CN103" ca="1">IF($CK103&lt;&gt;"",
INDIRECT(""&amp;IF(COLUMN(CA103)&lt;=26,CHAR(COLUMN(CA103)+64),CHAR(INT((COLUMN(CA103)-1)/26)+64)&amp;CHAR(MOD(COLUMN(CA103)-1,26)+65))&amp;$CK103&amp;""),"")</f>
        <v/>
      </c>
      <c r="CO103" s="132" t="str">
        <f t="array" aca="1" ref="CO103" ca="1">IF($CK103&lt;&gt;"",
INDIRECT(""&amp;IF(COLUMN(CB103)&lt;=26,CHAR(COLUMN(CB103)+64),CHAR(INT((COLUMN(CB103)-1)/26)+64)&amp;CHAR(MOD(COLUMN(CB103)-1,26)+65))&amp;$CK103&amp;""),"")</f>
        <v/>
      </c>
      <c r="CP103" s="132" t="str">
        <f t="array" aca="1" ref="CP103" ca="1">IF($CK103&lt;&gt;"",
INDIRECT(""&amp;IF(COLUMN(CC103)&lt;=26,CHAR(COLUMN(CC103)+64),CHAR(INT((COLUMN(CC103)-1)/26)+64)&amp;CHAR(MOD(COLUMN(CC103)-1,26)+65))&amp;$CK103&amp;""),"")</f>
        <v/>
      </c>
      <c r="CQ103" s="132" t="str">
        <f t="array" aca="1" ref="CQ103" ca="1">IF($CK103&lt;&gt;"",
INDIRECT(""&amp;IF(COLUMN(CD103)&lt;=26,CHAR(COLUMN(CD103)+64),CHAR(INT((COLUMN(CD103)-1)/26)+64)&amp;CHAR(MOD(COLUMN(CD103)-1,26)+65))&amp;$CK103&amp;""),"")</f>
        <v/>
      </c>
      <c r="CR103" s="132" t="str">
        <f t="array" aca="1" ref="CR103" ca="1">IF($CK103&lt;&gt;"",
INDIRECT(""&amp;IF(COLUMN(CE103)&lt;=26,CHAR(COLUMN(CE103)+64),CHAR(INT((COLUMN(CE103)-1)/26)+64)&amp;CHAR(MOD(COLUMN(CE103)-1,26)+65))&amp;$CK103&amp;""),"")</f>
        <v/>
      </c>
      <c r="CS103" s="132" t="str">
        <f t="array" aca="1" ref="CS103" ca="1">IF($CK103&lt;&gt;"",
INDIRECT(""&amp;IF(COLUMN(CF103)&lt;=26,CHAR(COLUMN(CF103)+64),CHAR(INT((COLUMN(CF103)-1)/26)+64)&amp;CHAR(MOD(COLUMN(CF103)-1,26)+65))&amp;$CK103&amp;""),"")</f>
        <v/>
      </c>
      <c r="CT103" s="132" t="str">
        <f t="array" aca="1" ref="CT103" ca="1">IF($CK103&lt;&gt;"",
INDIRECT(""&amp;IF(COLUMN(CG103)&lt;=26,CHAR(COLUMN(CG103)+64),CHAR(INT((COLUMN(CG103)-1)/26)+64)&amp;CHAR(MOD(COLUMN(CG103)-1,26)+65))&amp;$CK103&amp;""),"")</f>
        <v/>
      </c>
      <c r="CU103" s="132" t="str">
        <f t="array" aca="1" ref="CU103" ca="1">IF($CK103&lt;&gt;"",
INDIRECT(""&amp;IF(COLUMN(CH103)&lt;=26,CHAR(COLUMN(CH103)+64),CHAR(INT((COLUMN(CH103)-1)/26)+64)&amp;CHAR(MOD(COLUMN(CH103)-1,26)+65))&amp;$CK103&amp;""),"")</f>
        <v/>
      </c>
    </row>
    <row r="104" spans="76:99" ht="22.2" customHeight="1" x14ac:dyDescent="0.45">
      <c r="BX104" s="132">
        <f t="shared" ref="BX104:BX120" si="8">BX100+7</f>
        <v>49</v>
      </c>
      <c r="BY104" s="132" t="str">
        <f t="array" aca="1" ref="BY104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LEN(SUBSTITUTE(_xlfn.FORMULATEXT(BY$99),"=","")))+$BX104)</f>
        <v/>
      </c>
      <c r="BZ104" s="132" t="str">
        <f t="array" aca="1" ref="BZ104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LEN(SUBSTITUTE(_xlfn.FORMULATEXT(BZ$99),"=","")))+$BX104)</f>
        <v/>
      </c>
      <c r="CA104" s="132" t="str">
        <f t="array" aca="1" ref="CA104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LEN(SUBSTITUTE(_xlfn.FORMULATEXT(CA$99),"=","")))+$BX104)</f>
        <v/>
      </c>
      <c r="CB104" s="132" t="str">
        <f t="array" aca="1" ref="CB104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LEN(SUBSTITUTE(_xlfn.FORMULATEXT(CB$99),"=","")))+$BX104)</f>
        <v/>
      </c>
      <c r="CC104" s="132" t="str">
        <f t="array" aca="1" ref="CC104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LEN(SUBSTITUTE(_xlfn.FORMULATEXT(CC$99),"=","")))+$BX104)</f>
        <v/>
      </c>
      <c r="CD104" s="132" t="str">
        <f t="array" aca="1" ref="CD104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LEN(SUBSTITUTE(_xlfn.FORMULATEXT(CD$99),"=","")))+$BX104)</f>
        <v/>
      </c>
      <c r="CE104" s="132" t="str">
        <f t="array" aca="1" ref="CE104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LEN(SUBSTITUTE(_xlfn.FORMULATEXT(CE$99),"=","")))+$BX104)</f>
        <v/>
      </c>
      <c r="CF104" s="132" t="str">
        <f t="array" aca="1" ref="CF104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LEN(SUBSTITUTE(_xlfn.FORMULATEXT(CF$99),"=","")))+$BX104)</f>
        <v/>
      </c>
      <c r="CG104" s="132" t="str">
        <f t="array" aca="1" ref="CG104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LEN(SUBSTITUTE(_xlfn.FORMULATEXT(CG$99),"=","")))+$BX104)</f>
        <v/>
      </c>
      <c r="CH104" s="132" t="str">
        <f t="array" aca="1" ref="CH104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LEN(SUBSTITUTE(_xlfn.FORMULATEXT(CH$99),"=","")))+$BX104)</f>
        <v/>
      </c>
      <c r="CI104" s="132">
        <f t="shared" ca="1" si="7"/>
        <v>0</v>
      </c>
      <c r="CJ104" s="132" t="b">
        <f t="array" aca="1" ref="CJ104" ca="1">SUMPRODUCT((LEN(BY104:CH104)&gt;0)*1)&gt;0</f>
        <v>0</v>
      </c>
      <c r="CK104" s="132" t="str" cm="1">
        <f t="array" aca="1" ref="CK104" ca="1">IFERROR(SMALL(IF(CI$1:CI$150&lt;&gt;0,CI$1:CI$150),ROW(A104)),"")</f>
        <v/>
      </c>
      <c r="CL104" s="132" t="str">
        <f t="array" aca="1" ref="CL104" ca="1">IF($CK104&lt;&gt;"",
INDIRECT(""&amp;IF(COLUMN(BY104)&lt;=26,CHAR(COLUMN(BY104)+64),CHAR(INT((COLUMN(BY104)-1)/26)+64)&amp;CHAR(MOD(COLUMN(BY104)-1,26)+65))&amp;$CK104&amp;""),"")</f>
        <v/>
      </c>
      <c r="CM104" s="132" t="str">
        <f t="array" aca="1" ref="CM104" ca="1">IF($CK104&lt;&gt;"",
INDIRECT(""&amp;IF(COLUMN(BZ104)&lt;=26,CHAR(COLUMN(BZ104)+64),CHAR(INT((COLUMN(BZ104)-1)/26)+64)&amp;CHAR(MOD(COLUMN(BZ104)-1,26)+65))&amp;$CK104&amp;""),"")</f>
        <v/>
      </c>
      <c r="CN104" s="132" t="str">
        <f t="array" aca="1" ref="CN104" ca="1">IF($CK104&lt;&gt;"",
INDIRECT(""&amp;IF(COLUMN(CA104)&lt;=26,CHAR(COLUMN(CA104)+64),CHAR(INT((COLUMN(CA104)-1)/26)+64)&amp;CHAR(MOD(COLUMN(CA104)-1,26)+65))&amp;$CK104&amp;""),"")</f>
        <v/>
      </c>
      <c r="CO104" s="132" t="str">
        <f t="array" aca="1" ref="CO104" ca="1">IF($CK104&lt;&gt;"",
INDIRECT(""&amp;IF(COLUMN(CB104)&lt;=26,CHAR(COLUMN(CB104)+64),CHAR(INT((COLUMN(CB104)-1)/26)+64)&amp;CHAR(MOD(COLUMN(CB104)-1,26)+65))&amp;$CK104&amp;""),"")</f>
        <v/>
      </c>
      <c r="CP104" s="132" t="str">
        <f t="array" aca="1" ref="CP104" ca="1">IF($CK104&lt;&gt;"",
INDIRECT(""&amp;IF(COLUMN(CC104)&lt;=26,CHAR(COLUMN(CC104)+64),CHAR(INT((COLUMN(CC104)-1)/26)+64)&amp;CHAR(MOD(COLUMN(CC104)-1,26)+65))&amp;$CK104&amp;""),"")</f>
        <v/>
      </c>
      <c r="CQ104" s="132" t="str">
        <f t="array" aca="1" ref="CQ104" ca="1">IF($CK104&lt;&gt;"",
INDIRECT(""&amp;IF(COLUMN(CD104)&lt;=26,CHAR(COLUMN(CD104)+64),CHAR(INT((COLUMN(CD104)-1)/26)+64)&amp;CHAR(MOD(COLUMN(CD104)-1,26)+65))&amp;$CK104&amp;""),"")</f>
        <v/>
      </c>
      <c r="CR104" s="132" t="str">
        <f t="array" aca="1" ref="CR104" ca="1">IF($CK104&lt;&gt;"",
INDIRECT(""&amp;IF(COLUMN(CE104)&lt;=26,CHAR(COLUMN(CE104)+64),CHAR(INT((COLUMN(CE104)-1)/26)+64)&amp;CHAR(MOD(COLUMN(CE104)-1,26)+65))&amp;$CK104&amp;""),"")</f>
        <v/>
      </c>
      <c r="CS104" s="132" t="str">
        <f t="array" aca="1" ref="CS104" ca="1">IF($CK104&lt;&gt;"",
INDIRECT(""&amp;IF(COLUMN(CF104)&lt;=26,CHAR(COLUMN(CF104)+64),CHAR(INT((COLUMN(CF104)-1)/26)+64)&amp;CHAR(MOD(COLUMN(CF104)-1,26)+65))&amp;$CK104&amp;""),"")</f>
        <v/>
      </c>
      <c r="CT104" s="132" t="str">
        <f t="array" aca="1" ref="CT104" ca="1">IF($CK104&lt;&gt;"",
INDIRECT(""&amp;IF(COLUMN(CG104)&lt;=26,CHAR(COLUMN(CG104)+64),CHAR(INT((COLUMN(CG104)-1)/26)+64)&amp;CHAR(MOD(COLUMN(CG104)-1,26)+65))&amp;$CK104&amp;""),"")</f>
        <v/>
      </c>
      <c r="CU104" s="132" t="str">
        <f t="array" aca="1" ref="CU104" ca="1">IF($CK104&lt;&gt;"",
INDIRECT(""&amp;IF(COLUMN(CH104)&lt;=26,CHAR(COLUMN(CH104)+64),CHAR(INT((COLUMN(CH104)-1)/26)+64)&amp;CHAR(MOD(COLUMN(CH104)-1,26)+65))&amp;$CK104&amp;""),"")</f>
        <v/>
      </c>
    </row>
    <row r="105" spans="76:99" ht="22.2" customHeight="1" x14ac:dyDescent="0.45">
      <c r="BX105" s="132">
        <f t="shared" si="8"/>
        <v>14</v>
      </c>
      <c r="BY105" s="132" t="str">
        <f t="array" aca="1" ref="BY105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LEN(SUBSTITUTE(_xlfn.FORMULATEXT(BY$97),"=","")))+$BX105)</f>
        <v/>
      </c>
      <c r="BZ105" s="132" t="str">
        <f t="array" aca="1" ref="BZ105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LEN(SUBSTITUTE(_xlfn.FORMULATEXT(BZ$97),"=","")))+$BX105)</f>
        <v/>
      </c>
      <c r="CA105" s="132" t="str">
        <f t="array" aca="1" ref="CA105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LEN(SUBSTITUTE(_xlfn.FORMULATEXT(CA$97),"=","")))+$BX105)</f>
        <v/>
      </c>
      <c r="CB105" s="132" t="str">
        <f t="array" aca="1" ref="CB105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LEN(SUBSTITUTE(_xlfn.FORMULATEXT(CB$97),"=","")))+$BX105)</f>
        <v/>
      </c>
      <c r="CC105" s="132" t="str">
        <f t="array" aca="1" ref="CC105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LEN(SUBSTITUTE(_xlfn.FORMULATEXT(CC$97),"=","")))+$BX105)</f>
        <v/>
      </c>
      <c r="CD105" s="132" t="str">
        <f t="array" aca="1" ref="CD105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LEN(SUBSTITUTE(_xlfn.FORMULATEXT(CD$97),"=","")))+$BX105)</f>
        <v/>
      </c>
      <c r="CE105" s="132" t="str">
        <f t="array" aca="1" ref="CE105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LEN(SUBSTITUTE(_xlfn.FORMULATEXT(CE$97),"=","")))+$BX105)</f>
        <v/>
      </c>
      <c r="CF105" s="132" t="str">
        <f t="array" aca="1" ref="CF105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LEN(SUBSTITUTE(_xlfn.FORMULATEXT(CF$97),"=","")))+$BX105)</f>
        <v/>
      </c>
      <c r="CG105" s="132" t="str">
        <f t="array" aca="1" ref="CG105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LEN(SUBSTITUTE(_xlfn.FORMULATEXT(CG$97),"=","")))+$BX105)</f>
        <v/>
      </c>
      <c r="CH105" s="132" t="str">
        <f t="array" aca="1" ref="CH105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LEN(SUBSTITUTE(_xlfn.FORMULATEXT(CH$97),"=","")))+$BX105)</f>
        <v/>
      </c>
      <c r="CI105" s="132">
        <f t="shared" ca="1" si="7"/>
        <v>0</v>
      </c>
      <c r="CJ105" s="132" t="b">
        <f t="array" aca="1" ref="CJ105" ca="1">SUMPRODUCT((LEN(BY105:CH105)&gt;0)*1)&gt;0</f>
        <v>0</v>
      </c>
      <c r="CK105" s="132" t="str" cm="1">
        <f t="array" aca="1" ref="CK105" ca="1">IFERROR(SMALL(IF(CI$1:CI$150&lt;&gt;0,CI$1:CI$150),ROW(A105)),"")</f>
        <v/>
      </c>
      <c r="CL105" s="132" t="str">
        <f t="array" aca="1" ref="CL105" ca="1">IF($CK105&lt;&gt;"",
INDIRECT(""&amp;IF(COLUMN(BY105)&lt;=26,CHAR(COLUMN(BY105)+64),CHAR(INT((COLUMN(BY105)-1)/26)+64)&amp;CHAR(MOD(COLUMN(BY105)-1,26)+65))&amp;$CK105&amp;""),"")</f>
        <v/>
      </c>
      <c r="CM105" s="132" t="str">
        <f t="array" aca="1" ref="CM105" ca="1">IF($CK105&lt;&gt;"",
INDIRECT(""&amp;IF(COLUMN(BZ105)&lt;=26,CHAR(COLUMN(BZ105)+64),CHAR(INT((COLUMN(BZ105)-1)/26)+64)&amp;CHAR(MOD(COLUMN(BZ105)-1,26)+65))&amp;$CK105&amp;""),"")</f>
        <v/>
      </c>
      <c r="CN105" s="132" t="str">
        <f t="array" aca="1" ref="CN105" ca="1">IF($CK105&lt;&gt;"",
INDIRECT(""&amp;IF(COLUMN(CA105)&lt;=26,CHAR(COLUMN(CA105)+64),CHAR(INT((COLUMN(CA105)-1)/26)+64)&amp;CHAR(MOD(COLUMN(CA105)-1,26)+65))&amp;$CK105&amp;""),"")</f>
        <v/>
      </c>
      <c r="CO105" s="132" t="str">
        <f t="array" aca="1" ref="CO105" ca="1">IF($CK105&lt;&gt;"",
INDIRECT(""&amp;IF(COLUMN(CB105)&lt;=26,CHAR(COLUMN(CB105)+64),CHAR(INT((COLUMN(CB105)-1)/26)+64)&amp;CHAR(MOD(COLUMN(CB105)-1,26)+65))&amp;$CK105&amp;""),"")</f>
        <v/>
      </c>
      <c r="CP105" s="132" t="str">
        <f t="array" aca="1" ref="CP105" ca="1">IF($CK105&lt;&gt;"",
INDIRECT(""&amp;IF(COLUMN(CC105)&lt;=26,CHAR(COLUMN(CC105)+64),CHAR(INT((COLUMN(CC105)-1)/26)+64)&amp;CHAR(MOD(COLUMN(CC105)-1,26)+65))&amp;$CK105&amp;""),"")</f>
        <v/>
      </c>
      <c r="CQ105" s="132" t="str">
        <f t="array" aca="1" ref="CQ105" ca="1">IF($CK105&lt;&gt;"",
INDIRECT(""&amp;IF(COLUMN(CD105)&lt;=26,CHAR(COLUMN(CD105)+64),CHAR(INT((COLUMN(CD105)-1)/26)+64)&amp;CHAR(MOD(COLUMN(CD105)-1,26)+65))&amp;$CK105&amp;""),"")</f>
        <v/>
      </c>
      <c r="CR105" s="132" t="str">
        <f t="array" aca="1" ref="CR105" ca="1">IF($CK105&lt;&gt;"",
INDIRECT(""&amp;IF(COLUMN(CE105)&lt;=26,CHAR(COLUMN(CE105)+64),CHAR(INT((COLUMN(CE105)-1)/26)+64)&amp;CHAR(MOD(COLUMN(CE105)-1,26)+65))&amp;$CK105&amp;""),"")</f>
        <v/>
      </c>
      <c r="CS105" s="132" t="str">
        <f t="array" aca="1" ref="CS105" ca="1">IF($CK105&lt;&gt;"",
INDIRECT(""&amp;IF(COLUMN(CF105)&lt;=26,CHAR(COLUMN(CF105)+64),CHAR(INT((COLUMN(CF105)-1)/26)+64)&amp;CHAR(MOD(COLUMN(CF105)-1,26)+65))&amp;$CK105&amp;""),"")</f>
        <v/>
      </c>
      <c r="CT105" s="132" t="str">
        <f t="array" aca="1" ref="CT105" ca="1">IF($CK105&lt;&gt;"",
INDIRECT(""&amp;IF(COLUMN(CG105)&lt;=26,CHAR(COLUMN(CG105)+64),CHAR(INT((COLUMN(CG105)-1)/26)+64)&amp;CHAR(MOD(COLUMN(CG105)-1,26)+65))&amp;$CK105&amp;""),"")</f>
        <v/>
      </c>
      <c r="CU105" s="132" t="str">
        <f t="array" aca="1" ref="CU105" ca="1">IF($CK105&lt;&gt;"",
INDIRECT(""&amp;IF(COLUMN(CH105)&lt;=26,CHAR(COLUMN(CH105)+64),CHAR(INT((COLUMN(CH105)-1)/26)+64)&amp;CHAR(MOD(COLUMN(CH105)-1,26)+65))&amp;$CK105&amp;""),"")</f>
        <v/>
      </c>
    </row>
    <row r="106" spans="76:99" ht="22.2" customHeight="1" x14ac:dyDescent="0.45">
      <c r="BX106" s="132">
        <f t="shared" si="8"/>
        <v>56</v>
      </c>
      <c r="BY106" s="132" t="str">
        <f t="array" aca="1" ref="BY106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LEN(SUBSTITUTE(_xlfn.FORMULATEXT(BY$97),"=","")))+$BX106)</f>
        <v/>
      </c>
      <c r="BZ106" s="132" t="str">
        <f t="array" aca="1" ref="BZ106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LEN(SUBSTITUTE(_xlfn.FORMULATEXT(BZ$97),"=","")))+$BX106)</f>
        <v/>
      </c>
      <c r="CA106" s="132" t="str">
        <f t="array" aca="1" ref="CA106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LEN(SUBSTITUTE(_xlfn.FORMULATEXT(CA$97),"=","")))+$BX106)</f>
        <v/>
      </c>
      <c r="CB106" s="132" t="str">
        <f t="array" aca="1" ref="CB106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LEN(SUBSTITUTE(_xlfn.FORMULATEXT(CB$97),"=","")))+$BX106)</f>
        <v/>
      </c>
      <c r="CC106" s="132" t="str">
        <f t="array" aca="1" ref="CC106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LEN(SUBSTITUTE(_xlfn.FORMULATEXT(CC$97),"=","")))+$BX106)</f>
        <v/>
      </c>
      <c r="CD106" s="132" t="str">
        <f t="array" aca="1" ref="CD106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LEN(SUBSTITUTE(_xlfn.FORMULATEXT(CD$97),"=","")))+$BX106)</f>
        <v/>
      </c>
      <c r="CE106" s="132" t="str">
        <f t="array" aca="1" ref="CE106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LEN(SUBSTITUTE(_xlfn.FORMULATEXT(CE$97),"=","")))+$BX106)</f>
        <v/>
      </c>
      <c r="CF106" s="132" t="str">
        <f t="array" aca="1" ref="CF106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LEN(SUBSTITUTE(_xlfn.FORMULATEXT(CF$97),"=","")))+$BX106)</f>
        <v/>
      </c>
      <c r="CG106" s="132" t="str">
        <f t="array" aca="1" ref="CG106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LEN(SUBSTITUTE(_xlfn.FORMULATEXT(CG$97),"=","")))+$BX106)</f>
        <v/>
      </c>
      <c r="CH106" s="132" t="str">
        <f t="array" aca="1" ref="CH106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LEN(SUBSTITUTE(_xlfn.FORMULATEXT(CH$97),"=","")))+$BX106)</f>
        <v/>
      </c>
      <c r="CI106" s="132">
        <f t="shared" ca="1" si="7"/>
        <v>0</v>
      </c>
      <c r="CJ106" s="132" t="b">
        <f t="array" aca="1" ref="CJ106" ca="1">SUMPRODUCT((LEN(BY106:CH106)&gt;0)*1)&gt;0</f>
        <v>0</v>
      </c>
      <c r="CK106" s="132" t="str" cm="1">
        <f t="array" aca="1" ref="CK106" ca="1">IFERROR(SMALL(IF(CI$1:CI$150&lt;&gt;0,CI$1:CI$150),ROW(A106)),"")</f>
        <v/>
      </c>
      <c r="CL106" s="132" t="str">
        <f t="array" aca="1" ref="CL106" ca="1">IF($CK106&lt;&gt;"",
INDIRECT(""&amp;IF(COLUMN(BY106)&lt;=26,CHAR(COLUMN(BY106)+64),CHAR(INT((COLUMN(BY106)-1)/26)+64)&amp;CHAR(MOD(COLUMN(BY106)-1,26)+65))&amp;$CK106&amp;""),"")</f>
        <v/>
      </c>
      <c r="CM106" s="132" t="str">
        <f t="array" aca="1" ref="CM106" ca="1">IF($CK106&lt;&gt;"",
INDIRECT(""&amp;IF(COLUMN(BZ106)&lt;=26,CHAR(COLUMN(BZ106)+64),CHAR(INT((COLUMN(BZ106)-1)/26)+64)&amp;CHAR(MOD(COLUMN(BZ106)-1,26)+65))&amp;$CK106&amp;""),"")</f>
        <v/>
      </c>
      <c r="CN106" s="132" t="str">
        <f t="array" aca="1" ref="CN106" ca="1">IF($CK106&lt;&gt;"",
INDIRECT(""&amp;IF(COLUMN(CA106)&lt;=26,CHAR(COLUMN(CA106)+64),CHAR(INT((COLUMN(CA106)-1)/26)+64)&amp;CHAR(MOD(COLUMN(CA106)-1,26)+65))&amp;$CK106&amp;""),"")</f>
        <v/>
      </c>
      <c r="CO106" s="132" t="str">
        <f t="array" aca="1" ref="CO106" ca="1">IF($CK106&lt;&gt;"",
INDIRECT(""&amp;IF(COLUMN(CB106)&lt;=26,CHAR(COLUMN(CB106)+64),CHAR(INT((COLUMN(CB106)-1)/26)+64)&amp;CHAR(MOD(COLUMN(CB106)-1,26)+65))&amp;$CK106&amp;""),"")</f>
        <v/>
      </c>
      <c r="CP106" s="132" t="str">
        <f t="array" aca="1" ref="CP106" ca="1">IF($CK106&lt;&gt;"",
INDIRECT(""&amp;IF(COLUMN(CC106)&lt;=26,CHAR(COLUMN(CC106)+64),CHAR(INT((COLUMN(CC106)-1)/26)+64)&amp;CHAR(MOD(COLUMN(CC106)-1,26)+65))&amp;$CK106&amp;""),"")</f>
        <v/>
      </c>
      <c r="CQ106" s="132" t="str">
        <f t="array" aca="1" ref="CQ106" ca="1">IF($CK106&lt;&gt;"",
INDIRECT(""&amp;IF(COLUMN(CD106)&lt;=26,CHAR(COLUMN(CD106)+64),CHAR(INT((COLUMN(CD106)-1)/26)+64)&amp;CHAR(MOD(COLUMN(CD106)-1,26)+65))&amp;$CK106&amp;""),"")</f>
        <v/>
      </c>
      <c r="CR106" s="132" t="str">
        <f t="array" aca="1" ref="CR106" ca="1">IF($CK106&lt;&gt;"",
INDIRECT(""&amp;IF(COLUMN(CE106)&lt;=26,CHAR(COLUMN(CE106)+64),CHAR(INT((COLUMN(CE106)-1)/26)+64)&amp;CHAR(MOD(COLUMN(CE106)-1,26)+65))&amp;$CK106&amp;""),"")</f>
        <v/>
      </c>
      <c r="CS106" s="132" t="str">
        <f t="array" aca="1" ref="CS106" ca="1">IF($CK106&lt;&gt;"",
INDIRECT(""&amp;IF(COLUMN(CF106)&lt;=26,CHAR(COLUMN(CF106)+64),CHAR(INT((COLUMN(CF106)-1)/26)+64)&amp;CHAR(MOD(COLUMN(CF106)-1,26)+65))&amp;$CK106&amp;""),"")</f>
        <v/>
      </c>
      <c r="CT106" s="132" t="str">
        <f t="array" aca="1" ref="CT106" ca="1">IF($CK106&lt;&gt;"",
INDIRECT(""&amp;IF(COLUMN(CG106)&lt;=26,CHAR(COLUMN(CG106)+64),CHAR(INT((COLUMN(CG106)-1)/26)+64)&amp;CHAR(MOD(COLUMN(CG106)-1,26)+65))&amp;$CK106&amp;""),"")</f>
        <v/>
      </c>
      <c r="CU106" s="132" t="str">
        <f t="array" aca="1" ref="CU106" ca="1">IF($CK106&lt;&gt;"",
INDIRECT(""&amp;IF(COLUMN(CH106)&lt;=26,CHAR(COLUMN(CH106)+64),CHAR(INT((COLUMN(CH106)-1)/26)+64)&amp;CHAR(MOD(COLUMN(CH106)-1,26)+65))&amp;$CK106&amp;""),"")</f>
        <v/>
      </c>
    </row>
    <row r="107" spans="76:99" ht="22.2" customHeight="1" x14ac:dyDescent="0.45">
      <c r="BX107" s="146">
        <f t="shared" si="8"/>
        <v>14</v>
      </c>
      <c r="BY107" s="132" t="str">
        <f t="array" aca="1" ref="BY107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LEN(SUBSTITUTE(_xlfn.FORMULATEXT(BY$99),"=","")))+$BX107)</f>
        <v/>
      </c>
      <c r="BZ107" s="132" t="str">
        <f t="array" aca="1" ref="BZ107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LEN(SUBSTITUTE(_xlfn.FORMULATEXT(BZ$99),"=","")))+$BX107)</f>
        <v/>
      </c>
      <c r="CA107" s="132" t="str">
        <f t="array" aca="1" ref="CA107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LEN(SUBSTITUTE(_xlfn.FORMULATEXT(CA$99),"=","")))+$BX107)</f>
        <v/>
      </c>
      <c r="CB107" s="132" t="str">
        <f t="array" aca="1" ref="CB107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LEN(SUBSTITUTE(_xlfn.FORMULATEXT(CB$99),"=","")))+$BX107)</f>
        <v/>
      </c>
      <c r="CC107" s="132" t="str">
        <f t="array" aca="1" ref="CC107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LEN(SUBSTITUTE(_xlfn.FORMULATEXT(CC$99),"=","")))+$BX107)</f>
        <v/>
      </c>
      <c r="CD107" s="132" t="str">
        <f t="array" aca="1" ref="CD107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LEN(SUBSTITUTE(_xlfn.FORMULATEXT(CD$99),"=","")))+$BX107)</f>
        <v/>
      </c>
      <c r="CE107" s="132" t="str">
        <f t="array" aca="1" ref="CE107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LEN(SUBSTITUTE(_xlfn.FORMULATEXT(CE$99),"=","")))+$BX107)</f>
        <v/>
      </c>
      <c r="CF107" s="132" t="str">
        <f t="array" aca="1" ref="CF107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LEN(SUBSTITUTE(_xlfn.FORMULATEXT(CF$99),"=","")))+$BX107)</f>
        <v/>
      </c>
      <c r="CG107" s="132" t="str">
        <f t="array" aca="1" ref="CG107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LEN(SUBSTITUTE(_xlfn.FORMULATEXT(CG$99),"=","")))+$BX107)</f>
        <v/>
      </c>
      <c r="CH107" s="132" t="str">
        <f t="array" aca="1" ref="CH107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LEN(SUBSTITUTE(_xlfn.FORMULATEXT(CH$99),"=","")))+$BX107)</f>
        <v/>
      </c>
      <c r="CI107" s="132">
        <f t="shared" ca="1" si="7"/>
        <v>0</v>
      </c>
      <c r="CJ107" s="132" t="b">
        <f t="array" aca="1" ref="CJ107" ca="1">SUMPRODUCT((LEN(BY107:CH107)&gt;0)*1)&gt;0</f>
        <v>0</v>
      </c>
      <c r="CK107" s="132" t="str" cm="1">
        <f t="array" aca="1" ref="CK107" ca="1">IFERROR(SMALL(IF(CI$1:CI$150&lt;&gt;0,CI$1:CI$150),ROW(A107)),"")</f>
        <v/>
      </c>
      <c r="CL107" s="132" t="str">
        <f t="array" aca="1" ref="CL107" ca="1">IF($CK107&lt;&gt;"",
INDIRECT(""&amp;IF(COLUMN(BY107)&lt;=26,CHAR(COLUMN(BY107)+64),CHAR(INT((COLUMN(BY107)-1)/26)+64)&amp;CHAR(MOD(COLUMN(BY107)-1,26)+65))&amp;$CK107&amp;""),"")</f>
        <v/>
      </c>
      <c r="CM107" s="132" t="str">
        <f t="array" aca="1" ref="CM107" ca="1">IF($CK107&lt;&gt;"",
INDIRECT(""&amp;IF(COLUMN(BZ107)&lt;=26,CHAR(COLUMN(BZ107)+64),CHAR(INT((COLUMN(BZ107)-1)/26)+64)&amp;CHAR(MOD(COLUMN(BZ107)-1,26)+65))&amp;$CK107&amp;""),"")</f>
        <v/>
      </c>
      <c r="CN107" s="132" t="str">
        <f t="array" aca="1" ref="CN107" ca="1">IF($CK107&lt;&gt;"",
INDIRECT(""&amp;IF(COLUMN(CA107)&lt;=26,CHAR(COLUMN(CA107)+64),CHAR(INT((COLUMN(CA107)-1)/26)+64)&amp;CHAR(MOD(COLUMN(CA107)-1,26)+65))&amp;$CK107&amp;""),"")</f>
        <v/>
      </c>
      <c r="CO107" s="132" t="str">
        <f t="array" aca="1" ref="CO107" ca="1">IF($CK107&lt;&gt;"",
INDIRECT(""&amp;IF(COLUMN(CB107)&lt;=26,CHAR(COLUMN(CB107)+64),CHAR(INT((COLUMN(CB107)-1)/26)+64)&amp;CHAR(MOD(COLUMN(CB107)-1,26)+65))&amp;$CK107&amp;""),"")</f>
        <v/>
      </c>
      <c r="CP107" s="132" t="str">
        <f t="array" aca="1" ref="CP107" ca="1">IF($CK107&lt;&gt;"",
INDIRECT(""&amp;IF(COLUMN(CC107)&lt;=26,CHAR(COLUMN(CC107)+64),CHAR(INT((COLUMN(CC107)-1)/26)+64)&amp;CHAR(MOD(COLUMN(CC107)-1,26)+65))&amp;$CK107&amp;""),"")</f>
        <v/>
      </c>
      <c r="CQ107" s="132" t="str">
        <f t="array" aca="1" ref="CQ107" ca="1">IF($CK107&lt;&gt;"",
INDIRECT(""&amp;IF(COLUMN(CD107)&lt;=26,CHAR(COLUMN(CD107)+64),CHAR(INT((COLUMN(CD107)-1)/26)+64)&amp;CHAR(MOD(COLUMN(CD107)-1,26)+65))&amp;$CK107&amp;""),"")</f>
        <v/>
      </c>
      <c r="CR107" s="132" t="str">
        <f t="array" aca="1" ref="CR107" ca="1">IF($CK107&lt;&gt;"",
INDIRECT(""&amp;IF(COLUMN(CE107)&lt;=26,CHAR(COLUMN(CE107)+64),CHAR(INT((COLUMN(CE107)-1)/26)+64)&amp;CHAR(MOD(COLUMN(CE107)-1,26)+65))&amp;$CK107&amp;""),"")</f>
        <v/>
      </c>
      <c r="CS107" s="132" t="str">
        <f t="array" aca="1" ref="CS107" ca="1">IF($CK107&lt;&gt;"",
INDIRECT(""&amp;IF(COLUMN(CF107)&lt;=26,CHAR(COLUMN(CF107)+64),CHAR(INT((COLUMN(CF107)-1)/26)+64)&amp;CHAR(MOD(COLUMN(CF107)-1,26)+65))&amp;$CK107&amp;""),"")</f>
        <v/>
      </c>
      <c r="CT107" s="132" t="str">
        <f t="array" aca="1" ref="CT107" ca="1">IF($CK107&lt;&gt;"",
INDIRECT(""&amp;IF(COLUMN(CG107)&lt;=26,CHAR(COLUMN(CG107)+64),CHAR(INT((COLUMN(CG107)-1)/26)+64)&amp;CHAR(MOD(COLUMN(CG107)-1,26)+65))&amp;$CK107&amp;""),"")</f>
        <v/>
      </c>
      <c r="CU107" s="132" t="str">
        <f t="array" aca="1" ref="CU107" ca="1">IF($CK107&lt;&gt;"",
INDIRECT(""&amp;IF(COLUMN(CH107)&lt;=26,CHAR(COLUMN(CH107)+64),CHAR(INT((COLUMN(CH107)-1)/26)+64)&amp;CHAR(MOD(COLUMN(CH107)-1,26)+65))&amp;$CK107&amp;""),"")</f>
        <v/>
      </c>
    </row>
    <row r="108" spans="76:99" ht="22.2" customHeight="1" x14ac:dyDescent="0.45">
      <c r="BX108" s="132">
        <f t="shared" si="8"/>
        <v>56</v>
      </c>
      <c r="BY108" s="132" t="str">
        <f t="array" aca="1" ref="BY108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LEN(SUBSTITUTE(_xlfn.FORMULATEXT(BY$99),"=","")))+$BX108)</f>
        <v/>
      </c>
      <c r="BZ108" s="132" t="str">
        <f t="array" aca="1" ref="BZ108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LEN(SUBSTITUTE(_xlfn.FORMULATEXT(BZ$99),"=","")))+$BX108)</f>
        <v/>
      </c>
      <c r="CA108" s="132" t="str">
        <f t="array" aca="1" ref="CA108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LEN(SUBSTITUTE(_xlfn.FORMULATEXT(CA$99),"=","")))+$BX108)</f>
        <v/>
      </c>
      <c r="CB108" s="132" t="str">
        <f t="array" aca="1" ref="CB108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LEN(SUBSTITUTE(_xlfn.FORMULATEXT(CB$99),"=","")))+$BX108)</f>
        <v/>
      </c>
      <c r="CC108" s="132" t="str">
        <f t="array" aca="1" ref="CC108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LEN(SUBSTITUTE(_xlfn.FORMULATEXT(CC$99),"=","")))+$BX108)</f>
        <v/>
      </c>
      <c r="CD108" s="132" t="str">
        <f t="array" aca="1" ref="CD108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LEN(SUBSTITUTE(_xlfn.FORMULATEXT(CD$99),"=","")))+$BX108)</f>
        <v/>
      </c>
      <c r="CE108" s="132" t="str">
        <f t="array" aca="1" ref="CE108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LEN(SUBSTITUTE(_xlfn.FORMULATEXT(CE$99),"=","")))+$BX108)</f>
        <v/>
      </c>
      <c r="CF108" s="132" t="str">
        <f t="array" aca="1" ref="CF108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LEN(SUBSTITUTE(_xlfn.FORMULATEXT(CF$99),"=","")))+$BX108)</f>
        <v/>
      </c>
      <c r="CG108" s="132" t="str">
        <f t="array" aca="1" ref="CG108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LEN(SUBSTITUTE(_xlfn.FORMULATEXT(CG$99),"=","")))+$BX108)</f>
        <v/>
      </c>
      <c r="CH108" s="132" t="str">
        <f t="array" aca="1" ref="CH108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LEN(SUBSTITUTE(_xlfn.FORMULATEXT(CH$99),"=","")))+$BX108)</f>
        <v/>
      </c>
      <c r="CI108" s="132">
        <f t="shared" ca="1" si="7"/>
        <v>0</v>
      </c>
      <c r="CJ108" s="132" t="b">
        <f t="array" aca="1" ref="CJ108" ca="1">SUMPRODUCT((LEN(BY108:CH108)&gt;0)*1)&gt;0</f>
        <v>0</v>
      </c>
      <c r="CK108" s="132" t="str" cm="1">
        <f t="array" aca="1" ref="CK108" ca="1">IFERROR(SMALL(IF(CI$1:CI$150&lt;&gt;0,CI$1:CI$150),ROW(A108)),"")</f>
        <v/>
      </c>
      <c r="CL108" s="132" t="str">
        <f t="array" aca="1" ref="CL108" ca="1">IF($CK108&lt;&gt;"",
INDIRECT(""&amp;IF(COLUMN(BY108)&lt;=26,CHAR(COLUMN(BY108)+64),CHAR(INT((COLUMN(BY108)-1)/26)+64)&amp;CHAR(MOD(COLUMN(BY108)-1,26)+65))&amp;$CK108&amp;""),"")</f>
        <v/>
      </c>
      <c r="CM108" s="132" t="str">
        <f t="array" aca="1" ref="CM108" ca="1">IF($CK108&lt;&gt;"",
INDIRECT(""&amp;IF(COLUMN(BZ108)&lt;=26,CHAR(COLUMN(BZ108)+64),CHAR(INT((COLUMN(BZ108)-1)/26)+64)&amp;CHAR(MOD(COLUMN(BZ108)-1,26)+65))&amp;$CK108&amp;""),"")</f>
        <v/>
      </c>
      <c r="CN108" s="132" t="str">
        <f t="array" aca="1" ref="CN108" ca="1">IF($CK108&lt;&gt;"",
INDIRECT(""&amp;IF(COLUMN(CA108)&lt;=26,CHAR(COLUMN(CA108)+64),CHAR(INT((COLUMN(CA108)-1)/26)+64)&amp;CHAR(MOD(COLUMN(CA108)-1,26)+65))&amp;$CK108&amp;""),"")</f>
        <v/>
      </c>
      <c r="CO108" s="132" t="str">
        <f t="array" aca="1" ref="CO108" ca="1">IF($CK108&lt;&gt;"",
INDIRECT(""&amp;IF(COLUMN(CB108)&lt;=26,CHAR(COLUMN(CB108)+64),CHAR(INT((COLUMN(CB108)-1)/26)+64)&amp;CHAR(MOD(COLUMN(CB108)-1,26)+65))&amp;$CK108&amp;""),"")</f>
        <v/>
      </c>
      <c r="CP108" s="132" t="str">
        <f t="array" aca="1" ref="CP108" ca="1">IF($CK108&lt;&gt;"",
INDIRECT(""&amp;IF(COLUMN(CC108)&lt;=26,CHAR(COLUMN(CC108)+64),CHAR(INT((COLUMN(CC108)-1)/26)+64)&amp;CHAR(MOD(COLUMN(CC108)-1,26)+65))&amp;$CK108&amp;""),"")</f>
        <v/>
      </c>
      <c r="CQ108" s="132" t="str">
        <f t="array" aca="1" ref="CQ108" ca="1">IF($CK108&lt;&gt;"",
INDIRECT(""&amp;IF(COLUMN(CD108)&lt;=26,CHAR(COLUMN(CD108)+64),CHAR(INT((COLUMN(CD108)-1)/26)+64)&amp;CHAR(MOD(COLUMN(CD108)-1,26)+65))&amp;$CK108&amp;""),"")</f>
        <v/>
      </c>
      <c r="CR108" s="132" t="str">
        <f t="array" aca="1" ref="CR108" ca="1">IF($CK108&lt;&gt;"",
INDIRECT(""&amp;IF(COLUMN(CE108)&lt;=26,CHAR(COLUMN(CE108)+64),CHAR(INT((COLUMN(CE108)-1)/26)+64)&amp;CHAR(MOD(COLUMN(CE108)-1,26)+65))&amp;$CK108&amp;""),"")</f>
        <v/>
      </c>
      <c r="CS108" s="132" t="str">
        <f t="array" aca="1" ref="CS108" ca="1">IF($CK108&lt;&gt;"",
INDIRECT(""&amp;IF(COLUMN(CF108)&lt;=26,CHAR(COLUMN(CF108)+64),CHAR(INT((COLUMN(CF108)-1)/26)+64)&amp;CHAR(MOD(COLUMN(CF108)-1,26)+65))&amp;$CK108&amp;""),"")</f>
        <v/>
      </c>
      <c r="CT108" s="132" t="str">
        <f t="array" aca="1" ref="CT108" ca="1">IF($CK108&lt;&gt;"",
INDIRECT(""&amp;IF(COLUMN(CG108)&lt;=26,CHAR(COLUMN(CG108)+64),CHAR(INT((COLUMN(CG108)-1)/26)+64)&amp;CHAR(MOD(COLUMN(CG108)-1,26)+65))&amp;$CK108&amp;""),"")</f>
        <v/>
      </c>
      <c r="CU108" s="132" t="str">
        <f t="array" aca="1" ref="CU108" ca="1">IF($CK108&lt;&gt;"",
INDIRECT(""&amp;IF(COLUMN(CH108)&lt;=26,CHAR(COLUMN(CH108)+64),CHAR(INT((COLUMN(CH108)-1)/26)+64)&amp;CHAR(MOD(COLUMN(CH108)-1,26)+65))&amp;$CK108&amp;""),"")</f>
        <v/>
      </c>
    </row>
    <row r="109" spans="76:99" ht="22.2" customHeight="1" x14ac:dyDescent="0.45">
      <c r="BX109" s="132">
        <f t="shared" si="8"/>
        <v>21</v>
      </c>
      <c r="BY109" s="132" t="str">
        <f t="array" aca="1" ref="BY109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LEN(SUBSTITUTE(_xlfn.FORMULATEXT(BY$97),"=","")))+$BX109)</f>
        <v/>
      </c>
      <c r="BZ109" s="132" t="str">
        <f t="array" aca="1" ref="BZ109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LEN(SUBSTITUTE(_xlfn.FORMULATEXT(BZ$97),"=","")))+$BX109)</f>
        <v/>
      </c>
      <c r="CA109" s="132" t="str">
        <f t="array" aca="1" ref="CA109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LEN(SUBSTITUTE(_xlfn.FORMULATEXT(CA$97),"=","")))+$BX109)</f>
        <v/>
      </c>
      <c r="CB109" s="132" t="str">
        <f t="array" aca="1" ref="CB109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LEN(SUBSTITUTE(_xlfn.FORMULATEXT(CB$97),"=","")))+$BX109)</f>
        <v/>
      </c>
      <c r="CC109" s="132" t="str">
        <f t="array" aca="1" ref="CC109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LEN(SUBSTITUTE(_xlfn.FORMULATEXT(CC$97),"=","")))+$BX109)</f>
        <v/>
      </c>
      <c r="CD109" s="132" t="str">
        <f t="array" aca="1" ref="CD109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LEN(SUBSTITUTE(_xlfn.FORMULATEXT(CD$97),"=","")))+$BX109)</f>
        <v/>
      </c>
      <c r="CE109" s="132" t="str">
        <f t="array" aca="1" ref="CE109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LEN(SUBSTITUTE(_xlfn.FORMULATEXT(CE$97),"=","")))+$BX109)</f>
        <v/>
      </c>
      <c r="CF109" s="132" t="str">
        <f t="array" aca="1" ref="CF109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LEN(SUBSTITUTE(_xlfn.FORMULATEXT(CF$97),"=","")))+$BX109)</f>
        <v/>
      </c>
      <c r="CG109" s="132" t="str">
        <f t="array" aca="1" ref="CG109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LEN(SUBSTITUTE(_xlfn.FORMULATEXT(CG$97),"=","")))+$BX109)</f>
        <v/>
      </c>
      <c r="CH109" s="132" t="str">
        <f t="array" aca="1" ref="CH109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LEN(SUBSTITUTE(_xlfn.FORMULATEXT(CH$97),"=","")))+$BX109)</f>
        <v/>
      </c>
      <c r="CI109" s="132">
        <f t="shared" ca="1" si="7"/>
        <v>0</v>
      </c>
      <c r="CJ109" s="132" t="b">
        <f t="array" aca="1" ref="CJ109" ca="1">SUMPRODUCT((LEN(BY109:CH109)&gt;0)*1)&gt;0</f>
        <v>0</v>
      </c>
      <c r="CK109" s="132" t="str" cm="1">
        <f t="array" aca="1" ref="CK109" ca="1">IFERROR(SMALL(IF(CI$1:CI$150&lt;&gt;0,CI$1:CI$150),ROW(A109)),"")</f>
        <v/>
      </c>
      <c r="CL109" s="132" t="str">
        <f t="array" aca="1" ref="CL109" ca="1">IF($CK109&lt;&gt;"",
INDIRECT(""&amp;IF(COLUMN(BY109)&lt;=26,CHAR(COLUMN(BY109)+64),CHAR(INT((COLUMN(BY109)-1)/26)+64)&amp;CHAR(MOD(COLUMN(BY109)-1,26)+65))&amp;$CK109&amp;""),"")</f>
        <v/>
      </c>
      <c r="CM109" s="132" t="str">
        <f t="array" aca="1" ref="CM109" ca="1">IF($CK109&lt;&gt;"",
INDIRECT(""&amp;IF(COLUMN(BZ109)&lt;=26,CHAR(COLUMN(BZ109)+64),CHAR(INT((COLUMN(BZ109)-1)/26)+64)&amp;CHAR(MOD(COLUMN(BZ109)-1,26)+65))&amp;$CK109&amp;""),"")</f>
        <v/>
      </c>
      <c r="CN109" s="132" t="str">
        <f t="array" aca="1" ref="CN109" ca="1">IF($CK109&lt;&gt;"",
INDIRECT(""&amp;IF(COLUMN(CA109)&lt;=26,CHAR(COLUMN(CA109)+64),CHAR(INT((COLUMN(CA109)-1)/26)+64)&amp;CHAR(MOD(COLUMN(CA109)-1,26)+65))&amp;$CK109&amp;""),"")</f>
        <v/>
      </c>
      <c r="CO109" s="132" t="str">
        <f t="array" aca="1" ref="CO109" ca="1">IF($CK109&lt;&gt;"",
INDIRECT(""&amp;IF(COLUMN(CB109)&lt;=26,CHAR(COLUMN(CB109)+64),CHAR(INT((COLUMN(CB109)-1)/26)+64)&amp;CHAR(MOD(COLUMN(CB109)-1,26)+65))&amp;$CK109&amp;""),"")</f>
        <v/>
      </c>
      <c r="CP109" s="132" t="str">
        <f t="array" aca="1" ref="CP109" ca="1">IF($CK109&lt;&gt;"",
INDIRECT(""&amp;IF(COLUMN(CC109)&lt;=26,CHAR(COLUMN(CC109)+64),CHAR(INT((COLUMN(CC109)-1)/26)+64)&amp;CHAR(MOD(COLUMN(CC109)-1,26)+65))&amp;$CK109&amp;""),"")</f>
        <v/>
      </c>
      <c r="CQ109" s="132" t="str">
        <f t="array" aca="1" ref="CQ109" ca="1">IF($CK109&lt;&gt;"",
INDIRECT(""&amp;IF(COLUMN(CD109)&lt;=26,CHAR(COLUMN(CD109)+64),CHAR(INT((COLUMN(CD109)-1)/26)+64)&amp;CHAR(MOD(COLUMN(CD109)-1,26)+65))&amp;$CK109&amp;""),"")</f>
        <v/>
      </c>
      <c r="CR109" s="132" t="str">
        <f t="array" aca="1" ref="CR109" ca="1">IF($CK109&lt;&gt;"",
INDIRECT(""&amp;IF(COLUMN(CE109)&lt;=26,CHAR(COLUMN(CE109)+64),CHAR(INT((COLUMN(CE109)-1)/26)+64)&amp;CHAR(MOD(COLUMN(CE109)-1,26)+65))&amp;$CK109&amp;""),"")</f>
        <v/>
      </c>
      <c r="CS109" s="132" t="str">
        <f t="array" aca="1" ref="CS109" ca="1">IF($CK109&lt;&gt;"",
INDIRECT(""&amp;IF(COLUMN(CF109)&lt;=26,CHAR(COLUMN(CF109)+64),CHAR(INT((COLUMN(CF109)-1)/26)+64)&amp;CHAR(MOD(COLUMN(CF109)-1,26)+65))&amp;$CK109&amp;""),"")</f>
        <v/>
      </c>
      <c r="CT109" s="132" t="str">
        <f t="array" aca="1" ref="CT109" ca="1">IF($CK109&lt;&gt;"",
INDIRECT(""&amp;IF(COLUMN(CG109)&lt;=26,CHAR(COLUMN(CG109)+64),CHAR(INT((COLUMN(CG109)-1)/26)+64)&amp;CHAR(MOD(COLUMN(CG109)-1,26)+65))&amp;$CK109&amp;""),"")</f>
        <v/>
      </c>
      <c r="CU109" s="132" t="str">
        <f t="array" aca="1" ref="CU109" ca="1">IF($CK109&lt;&gt;"",
INDIRECT(""&amp;IF(COLUMN(CH109)&lt;=26,CHAR(COLUMN(CH109)+64),CHAR(INT((COLUMN(CH109)-1)/26)+64)&amp;CHAR(MOD(COLUMN(CH109)-1,26)+65))&amp;$CK109&amp;""),"")</f>
        <v/>
      </c>
    </row>
    <row r="110" spans="76:99" ht="22.2" customHeight="1" x14ac:dyDescent="0.45">
      <c r="BX110" s="132">
        <f t="shared" si="8"/>
        <v>63</v>
      </c>
      <c r="BY110" s="132" t="str">
        <f t="array" aca="1" ref="BY110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LEN(SUBSTITUTE(_xlfn.FORMULATEXT(BY$97),"=","")))+$BX110)</f>
        <v/>
      </c>
      <c r="BZ110" s="132" t="str">
        <f t="array" aca="1" ref="BZ110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LEN(SUBSTITUTE(_xlfn.FORMULATEXT(BZ$97),"=","")))+$BX110)</f>
        <v/>
      </c>
      <c r="CA110" s="132" t="str">
        <f t="array" aca="1" ref="CA110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LEN(SUBSTITUTE(_xlfn.FORMULATEXT(CA$97),"=","")))+$BX110)</f>
        <v/>
      </c>
      <c r="CB110" s="132" t="str">
        <f t="array" aca="1" ref="CB110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LEN(SUBSTITUTE(_xlfn.FORMULATEXT(CB$97),"=","")))+$BX110)</f>
        <v/>
      </c>
      <c r="CC110" s="132" t="str">
        <f t="array" aca="1" ref="CC110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LEN(SUBSTITUTE(_xlfn.FORMULATEXT(CC$97),"=","")))+$BX110)</f>
        <v/>
      </c>
      <c r="CD110" s="132" t="str">
        <f t="array" aca="1" ref="CD110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LEN(SUBSTITUTE(_xlfn.FORMULATEXT(CD$97),"=","")))+$BX110)</f>
        <v/>
      </c>
      <c r="CE110" s="132" t="str">
        <f t="array" aca="1" ref="CE110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LEN(SUBSTITUTE(_xlfn.FORMULATEXT(CE$97),"=","")))+$BX110)</f>
        <v/>
      </c>
      <c r="CF110" s="132" t="str">
        <f t="array" aca="1" ref="CF110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LEN(SUBSTITUTE(_xlfn.FORMULATEXT(CF$97),"=","")))+$BX110)</f>
        <v/>
      </c>
      <c r="CG110" s="132" t="str">
        <f t="array" aca="1" ref="CG110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LEN(SUBSTITUTE(_xlfn.FORMULATEXT(CG$97),"=","")))+$BX110)</f>
        <v/>
      </c>
      <c r="CH110" s="132" t="str">
        <f t="array" aca="1" ref="CH110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LEN(SUBSTITUTE(_xlfn.FORMULATEXT(CH$97),"=","")))+$BX110)</f>
        <v/>
      </c>
      <c r="CI110" s="132">
        <f t="shared" ca="1" si="7"/>
        <v>0</v>
      </c>
      <c r="CJ110" s="132" t="b">
        <f t="array" aca="1" ref="CJ110" ca="1">SUMPRODUCT((LEN(BY110:CH110)&gt;0)*1)&gt;0</f>
        <v>0</v>
      </c>
      <c r="CK110" s="132" t="str" cm="1">
        <f t="array" aca="1" ref="CK110" ca="1">IFERROR(SMALL(IF(CI$1:CI$150&lt;&gt;0,CI$1:CI$150),ROW(A110)),"")</f>
        <v/>
      </c>
      <c r="CL110" s="132" t="str">
        <f t="array" aca="1" ref="CL110" ca="1">IF($CK110&lt;&gt;"",
INDIRECT(""&amp;IF(COLUMN(BY110)&lt;=26,CHAR(COLUMN(BY110)+64),CHAR(INT((COLUMN(BY110)-1)/26)+64)&amp;CHAR(MOD(COLUMN(BY110)-1,26)+65))&amp;$CK110&amp;""),"")</f>
        <v/>
      </c>
      <c r="CM110" s="132" t="str">
        <f t="array" aca="1" ref="CM110" ca="1">IF($CK110&lt;&gt;"",
INDIRECT(""&amp;IF(COLUMN(BZ110)&lt;=26,CHAR(COLUMN(BZ110)+64),CHAR(INT((COLUMN(BZ110)-1)/26)+64)&amp;CHAR(MOD(COLUMN(BZ110)-1,26)+65))&amp;$CK110&amp;""),"")</f>
        <v/>
      </c>
      <c r="CN110" s="132" t="str">
        <f t="array" aca="1" ref="CN110" ca="1">IF($CK110&lt;&gt;"",
INDIRECT(""&amp;IF(COLUMN(CA110)&lt;=26,CHAR(COLUMN(CA110)+64),CHAR(INT((COLUMN(CA110)-1)/26)+64)&amp;CHAR(MOD(COLUMN(CA110)-1,26)+65))&amp;$CK110&amp;""),"")</f>
        <v/>
      </c>
      <c r="CO110" s="132" t="str">
        <f t="array" aca="1" ref="CO110" ca="1">IF($CK110&lt;&gt;"",
INDIRECT(""&amp;IF(COLUMN(CB110)&lt;=26,CHAR(COLUMN(CB110)+64),CHAR(INT((COLUMN(CB110)-1)/26)+64)&amp;CHAR(MOD(COLUMN(CB110)-1,26)+65))&amp;$CK110&amp;""),"")</f>
        <v/>
      </c>
      <c r="CP110" s="132" t="str">
        <f t="array" aca="1" ref="CP110" ca="1">IF($CK110&lt;&gt;"",
INDIRECT(""&amp;IF(COLUMN(CC110)&lt;=26,CHAR(COLUMN(CC110)+64),CHAR(INT((COLUMN(CC110)-1)/26)+64)&amp;CHAR(MOD(COLUMN(CC110)-1,26)+65))&amp;$CK110&amp;""),"")</f>
        <v/>
      </c>
      <c r="CQ110" s="132" t="str">
        <f t="array" aca="1" ref="CQ110" ca="1">IF($CK110&lt;&gt;"",
INDIRECT(""&amp;IF(COLUMN(CD110)&lt;=26,CHAR(COLUMN(CD110)+64),CHAR(INT((COLUMN(CD110)-1)/26)+64)&amp;CHAR(MOD(COLUMN(CD110)-1,26)+65))&amp;$CK110&amp;""),"")</f>
        <v/>
      </c>
      <c r="CR110" s="132" t="str">
        <f t="array" aca="1" ref="CR110" ca="1">IF($CK110&lt;&gt;"",
INDIRECT(""&amp;IF(COLUMN(CE110)&lt;=26,CHAR(COLUMN(CE110)+64),CHAR(INT((COLUMN(CE110)-1)/26)+64)&amp;CHAR(MOD(COLUMN(CE110)-1,26)+65))&amp;$CK110&amp;""),"")</f>
        <v/>
      </c>
      <c r="CS110" s="132" t="str">
        <f t="array" aca="1" ref="CS110" ca="1">IF($CK110&lt;&gt;"",
INDIRECT(""&amp;IF(COLUMN(CF110)&lt;=26,CHAR(COLUMN(CF110)+64),CHAR(INT((COLUMN(CF110)-1)/26)+64)&amp;CHAR(MOD(COLUMN(CF110)-1,26)+65))&amp;$CK110&amp;""),"")</f>
        <v/>
      </c>
      <c r="CT110" s="132" t="str">
        <f t="array" aca="1" ref="CT110" ca="1">IF($CK110&lt;&gt;"",
INDIRECT(""&amp;IF(COLUMN(CG110)&lt;=26,CHAR(COLUMN(CG110)+64),CHAR(INT((COLUMN(CG110)-1)/26)+64)&amp;CHAR(MOD(COLUMN(CG110)-1,26)+65))&amp;$CK110&amp;""),"")</f>
        <v/>
      </c>
      <c r="CU110" s="132" t="str">
        <f t="array" aca="1" ref="CU110" ca="1">IF($CK110&lt;&gt;"",
INDIRECT(""&amp;IF(COLUMN(CH110)&lt;=26,CHAR(COLUMN(CH110)+64),CHAR(INT((COLUMN(CH110)-1)/26)+64)&amp;CHAR(MOD(COLUMN(CH110)-1,26)+65))&amp;$CK110&amp;""),"")</f>
        <v/>
      </c>
    </row>
    <row r="111" spans="76:99" ht="22.2" customHeight="1" x14ac:dyDescent="0.45">
      <c r="BX111" s="146">
        <f t="shared" si="8"/>
        <v>21</v>
      </c>
      <c r="BY111" s="132" t="str">
        <f t="array" aca="1" ref="BY111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LEN(SUBSTITUTE(_xlfn.FORMULATEXT(BY$99),"=","")))+$BX111)</f>
        <v/>
      </c>
      <c r="BZ111" s="132" t="str">
        <f t="array" aca="1" ref="BZ111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LEN(SUBSTITUTE(_xlfn.FORMULATEXT(BZ$99),"=","")))+$BX111)</f>
        <v/>
      </c>
      <c r="CA111" s="132" t="str">
        <f t="array" aca="1" ref="CA111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LEN(SUBSTITUTE(_xlfn.FORMULATEXT(CA$99),"=","")))+$BX111)</f>
        <v/>
      </c>
      <c r="CB111" s="132" t="str">
        <f t="array" aca="1" ref="CB111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LEN(SUBSTITUTE(_xlfn.FORMULATEXT(CB$99),"=","")))+$BX111)</f>
        <v/>
      </c>
      <c r="CC111" s="132" t="str">
        <f t="array" aca="1" ref="CC111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LEN(SUBSTITUTE(_xlfn.FORMULATEXT(CC$99),"=","")))+$BX111)</f>
        <v/>
      </c>
      <c r="CD111" s="132" t="str">
        <f t="array" aca="1" ref="CD111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LEN(SUBSTITUTE(_xlfn.FORMULATEXT(CD$99),"=","")))+$BX111)</f>
        <v/>
      </c>
      <c r="CE111" s="132" t="str">
        <f t="array" aca="1" ref="CE111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LEN(SUBSTITUTE(_xlfn.FORMULATEXT(CE$99),"=","")))+$BX111)</f>
        <v/>
      </c>
      <c r="CF111" s="132" t="str">
        <f t="array" aca="1" ref="CF111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LEN(SUBSTITUTE(_xlfn.FORMULATEXT(CF$99),"=","")))+$BX111)</f>
        <v/>
      </c>
      <c r="CG111" s="132" t="str">
        <f t="array" aca="1" ref="CG111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LEN(SUBSTITUTE(_xlfn.FORMULATEXT(CG$99),"=","")))+$BX111)</f>
        <v/>
      </c>
      <c r="CH111" s="132" t="str">
        <f t="array" aca="1" ref="CH111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LEN(SUBSTITUTE(_xlfn.FORMULATEXT(CH$99),"=","")))+$BX111)</f>
        <v/>
      </c>
      <c r="CI111" s="132">
        <f t="shared" ca="1" si="7"/>
        <v>0</v>
      </c>
      <c r="CJ111" s="132" t="b">
        <f t="array" aca="1" ref="CJ111" ca="1">SUMPRODUCT((LEN(BY111:CH111)&gt;0)*1)&gt;0</f>
        <v>0</v>
      </c>
      <c r="CK111" s="132" t="str" cm="1">
        <f t="array" aca="1" ref="CK111" ca="1">IFERROR(SMALL(IF(CI$1:CI$150&lt;&gt;0,CI$1:CI$150),ROW(A111)),"")</f>
        <v/>
      </c>
      <c r="CL111" s="132" t="str">
        <f t="array" aca="1" ref="CL111" ca="1">IF($CK111&lt;&gt;"",
INDIRECT(""&amp;IF(COLUMN(BY111)&lt;=26,CHAR(COLUMN(BY111)+64),CHAR(INT((COLUMN(BY111)-1)/26)+64)&amp;CHAR(MOD(COLUMN(BY111)-1,26)+65))&amp;$CK111&amp;""),"")</f>
        <v/>
      </c>
      <c r="CM111" s="132" t="str">
        <f t="array" aca="1" ref="CM111" ca="1">IF($CK111&lt;&gt;"",
INDIRECT(""&amp;IF(COLUMN(BZ111)&lt;=26,CHAR(COLUMN(BZ111)+64),CHAR(INT((COLUMN(BZ111)-1)/26)+64)&amp;CHAR(MOD(COLUMN(BZ111)-1,26)+65))&amp;$CK111&amp;""),"")</f>
        <v/>
      </c>
      <c r="CN111" s="132" t="str">
        <f t="array" aca="1" ref="CN111" ca="1">IF($CK111&lt;&gt;"",
INDIRECT(""&amp;IF(COLUMN(CA111)&lt;=26,CHAR(COLUMN(CA111)+64),CHAR(INT((COLUMN(CA111)-1)/26)+64)&amp;CHAR(MOD(COLUMN(CA111)-1,26)+65))&amp;$CK111&amp;""),"")</f>
        <v/>
      </c>
      <c r="CO111" s="132" t="str">
        <f t="array" aca="1" ref="CO111" ca="1">IF($CK111&lt;&gt;"",
INDIRECT(""&amp;IF(COLUMN(CB111)&lt;=26,CHAR(COLUMN(CB111)+64),CHAR(INT((COLUMN(CB111)-1)/26)+64)&amp;CHAR(MOD(COLUMN(CB111)-1,26)+65))&amp;$CK111&amp;""),"")</f>
        <v/>
      </c>
      <c r="CP111" s="132" t="str">
        <f t="array" aca="1" ref="CP111" ca="1">IF($CK111&lt;&gt;"",
INDIRECT(""&amp;IF(COLUMN(CC111)&lt;=26,CHAR(COLUMN(CC111)+64),CHAR(INT((COLUMN(CC111)-1)/26)+64)&amp;CHAR(MOD(COLUMN(CC111)-1,26)+65))&amp;$CK111&amp;""),"")</f>
        <v/>
      </c>
      <c r="CQ111" s="132" t="str">
        <f t="array" aca="1" ref="CQ111" ca="1">IF($CK111&lt;&gt;"",
INDIRECT(""&amp;IF(COLUMN(CD111)&lt;=26,CHAR(COLUMN(CD111)+64),CHAR(INT((COLUMN(CD111)-1)/26)+64)&amp;CHAR(MOD(COLUMN(CD111)-1,26)+65))&amp;$CK111&amp;""),"")</f>
        <v/>
      </c>
      <c r="CR111" s="132" t="str">
        <f t="array" aca="1" ref="CR111" ca="1">IF($CK111&lt;&gt;"",
INDIRECT(""&amp;IF(COLUMN(CE111)&lt;=26,CHAR(COLUMN(CE111)+64),CHAR(INT((COLUMN(CE111)-1)/26)+64)&amp;CHAR(MOD(COLUMN(CE111)-1,26)+65))&amp;$CK111&amp;""),"")</f>
        <v/>
      </c>
      <c r="CS111" s="132" t="str">
        <f t="array" aca="1" ref="CS111" ca="1">IF($CK111&lt;&gt;"",
INDIRECT(""&amp;IF(COLUMN(CF111)&lt;=26,CHAR(COLUMN(CF111)+64),CHAR(INT((COLUMN(CF111)-1)/26)+64)&amp;CHAR(MOD(COLUMN(CF111)-1,26)+65))&amp;$CK111&amp;""),"")</f>
        <v/>
      </c>
      <c r="CT111" s="132" t="str">
        <f t="array" aca="1" ref="CT111" ca="1">IF($CK111&lt;&gt;"",
INDIRECT(""&amp;IF(COLUMN(CG111)&lt;=26,CHAR(COLUMN(CG111)+64),CHAR(INT((COLUMN(CG111)-1)/26)+64)&amp;CHAR(MOD(COLUMN(CG111)-1,26)+65))&amp;$CK111&amp;""),"")</f>
        <v/>
      </c>
      <c r="CU111" s="132" t="str">
        <f t="array" aca="1" ref="CU111" ca="1">IF($CK111&lt;&gt;"",
INDIRECT(""&amp;IF(COLUMN(CH111)&lt;=26,CHAR(COLUMN(CH111)+64),CHAR(INT((COLUMN(CH111)-1)/26)+64)&amp;CHAR(MOD(COLUMN(CH111)-1,26)+65))&amp;$CK111&amp;""),"")</f>
        <v/>
      </c>
    </row>
    <row r="112" spans="76:99" ht="22.2" customHeight="1" x14ac:dyDescent="0.45">
      <c r="BX112" s="132">
        <f t="shared" si="8"/>
        <v>63</v>
      </c>
      <c r="BY112" s="132" t="str">
        <f t="array" aca="1" ref="BY112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LEN(SUBSTITUTE(_xlfn.FORMULATEXT(BY$99),"=","")))+$BX112)</f>
        <v/>
      </c>
      <c r="BZ112" s="132" t="str">
        <f t="array" aca="1" ref="BZ112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LEN(SUBSTITUTE(_xlfn.FORMULATEXT(BZ$99),"=","")))+$BX112)</f>
        <v/>
      </c>
      <c r="CA112" s="132" t="str">
        <f t="array" aca="1" ref="CA112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LEN(SUBSTITUTE(_xlfn.FORMULATEXT(CA$99),"=","")))+$BX112)</f>
        <v/>
      </c>
      <c r="CB112" s="132" t="str">
        <f t="array" aca="1" ref="CB112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LEN(SUBSTITUTE(_xlfn.FORMULATEXT(CB$99),"=","")))+$BX112)</f>
        <v/>
      </c>
      <c r="CC112" s="132" t="str">
        <f t="array" aca="1" ref="CC112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LEN(SUBSTITUTE(_xlfn.FORMULATEXT(CC$99),"=","")))+$BX112)</f>
        <v/>
      </c>
      <c r="CD112" s="132" t="str">
        <f t="array" aca="1" ref="CD112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LEN(SUBSTITUTE(_xlfn.FORMULATEXT(CD$99),"=","")))+$BX112)</f>
        <v/>
      </c>
      <c r="CE112" s="132" t="str">
        <f t="array" aca="1" ref="CE112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LEN(SUBSTITUTE(_xlfn.FORMULATEXT(CE$99),"=","")))+$BX112)</f>
        <v/>
      </c>
      <c r="CF112" s="132" t="str">
        <f t="array" aca="1" ref="CF112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LEN(SUBSTITUTE(_xlfn.FORMULATEXT(CF$99),"=","")))+$BX112)</f>
        <v/>
      </c>
      <c r="CG112" s="132" t="str">
        <f t="array" aca="1" ref="CG112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LEN(SUBSTITUTE(_xlfn.FORMULATEXT(CG$99),"=","")))+$BX112)</f>
        <v/>
      </c>
      <c r="CH112" s="132" t="str">
        <f t="array" aca="1" ref="CH112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LEN(SUBSTITUTE(_xlfn.FORMULATEXT(CH$99),"=","")))+$BX112)</f>
        <v/>
      </c>
      <c r="CI112" s="132">
        <f t="shared" ca="1" si="7"/>
        <v>0</v>
      </c>
      <c r="CJ112" s="132" t="b">
        <f t="array" aca="1" ref="CJ112" ca="1">SUMPRODUCT((LEN(BY112:CH112)&gt;0)*1)&gt;0</f>
        <v>0</v>
      </c>
      <c r="CK112" s="132" t="str" cm="1">
        <f t="array" aca="1" ref="CK112" ca="1">IFERROR(SMALL(IF(CI$1:CI$150&lt;&gt;0,CI$1:CI$150),ROW(A112)),"")</f>
        <v/>
      </c>
      <c r="CL112" s="132" t="str">
        <f t="array" aca="1" ref="CL112" ca="1">IF($CK112&lt;&gt;"",
INDIRECT(""&amp;IF(COLUMN(BY112)&lt;=26,CHAR(COLUMN(BY112)+64),CHAR(INT((COLUMN(BY112)-1)/26)+64)&amp;CHAR(MOD(COLUMN(BY112)-1,26)+65))&amp;$CK112&amp;""),"")</f>
        <v/>
      </c>
      <c r="CM112" s="132" t="str">
        <f t="array" aca="1" ref="CM112" ca="1">IF($CK112&lt;&gt;"",
INDIRECT(""&amp;IF(COLUMN(BZ112)&lt;=26,CHAR(COLUMN(BZ112)+64),CHAR(INT((COLUMN(BZ112)-1)/26)+64)&amp;CHAR(MOD(COLUMN(BZ112)-1,26)+65))&amp;$CK112&amp;""),"")</f>
        <v/>
      </c>
      <c r="CN112" s="132" t="str">
        <f t="array" aca="1" ref="CN112" ca="1">IF($CK112&lt;&gt;"",
INDIRECT(""&amp;IF(COLUMN(CA112)&lt;=26,CHAR(COLUMN(CA112)+64),CHAR(INT((COLUMN(CA112)-1)/26)+64)&amp;CHAR(MOD(COLUMN(CA112)-1,26)+65))&amp;$CK112&amp;""),"")</f>
        <v/>
      </c>
      <c r="CO112" s="132" t="str">
        <f t="array" aca="1" ref="CO112" ca="1">IF($CK112&lt;&gt;"",
INDIRECT(""&amp;IF(COLUMN(CB112)&lt;=26,CHAR(COLUMN(CB112)+64),CHAR(INT((COLUMN(CB112)-1)/26)+64)&amp;CHAR(MOD(COLUMN(CB112)-1,26)+65))&amp;$CK112&amp;""),"")</f>
        <v/>
      </c>
      <c r="CP112" s="132" t="str">
        <f t="array" aca="1" ref="CP112" ca="1">IF($CK112&lt;&gt;"",
INDIRECT(""&amp;IF(COLUMN(CC112)&lt;=26,CHAR(COLUMN(CC112)+64),CHAR(INT((COLUMN(CC112)-1)/26)+64)&amp;CHAR(MOD(COLUMN(CC112)-1,26)+65))&amp;$CK112&amp;""),"")</f>
        <v/>
      </c>
      <c r="CQ112" s="132" t="str">
        <f t="array" aca="1" ref="CQ112" ca="1">IF($CK112&lt;&gt;"",
INDIRECT(""&amp;IF(COLUMN(CD112)&lt;=26,CHAR(COLUMN(CD112)+64),CHAR(INT((COLUMN(CD112)-1)/26)+64)&amp;CHAR(MOD(COLUMN(CD112)-1,26)+65))&amp;$CK112&amp;""),"")</f>
        <v/>
      </c>
      <c r="CR112" s="132" t="str">
        <f t="array" aca="1" ref="CR112" ca="1">IF($CK112&lt;&gt;"",
INDIRECT(""&amp;IF(COLUMN(CE112)&lt;=26,CHAR(COLUMN(CE112)+64),CHAR(INT((COLUMN(CE112)-1)/26)+64)&amp;CHAR(MOD(COLUMN(CE112)-1,26)+65))&amp;$CK112&amp;""),"")</f>
        <v/>
      </c>
      <c r="CS112" s="132" t="str">
        <f t="array" aca="1" ref="CS112" ca="1">IF($CK112&lt;&gt;"",
INDIRECT(""&amp;IF(COLUMN(CF112)&lt;=26,CHAR(COLUMN(CF112)+64),CHAR(INT((COLUMN(CF112)-1)/26)+64)&amp;CHAR(MOD(COLUMN(CF112)-1,26)+65))&amp;$CK112&amp;""),"")</f>
        <v/>
      </c>
      <c r="CT112" s="132" t="str">
        <f t="array" aca="1" ref="CT112" ca="1">IF($CK112&lt;&gt;"",
INDIRECT(""&amp;IF(COLUMN(CG112)&lt;=26,CHAR(COLUMN(CG112)+64),CHAR(INT((COLUMN(CG112)-1)/26)+64)&amp;CHAR(MOD(COLUMN(CG112)-1,26)+65))&amp;$CK112&amp;""),"")</f>
        <v/>
      </c>
      <c r="CU112" s="132" t="str">
        <f t="array" aca="1" ref="CU112" ca="1">IF($CK112&lt;&gt;"",
INDIRECT(""&amp;IF(COLUMN(CH112)&lt;=26,CHAR(COLUMN(CH112)+64),CHAR(INT((COLUMN(CH112)-1)/26)+64)&amp;CHAR(MOD(COLUMN(CH112)-1,26)+65))&amp;$CK112&amp;""),"")</f>
        <v/>
      </c>
    </row>
    <row r="113" spans="76:99" ht="22.2" customHeight="1" x14ac:dyDescent="0.45">
      <c r="BX113" s="132">
        <f t="shared" si="8"/>
        <v>28</v>
      </c>
      <c r="BY113" s="132" t="str">
        <f t="array" aca="1" ref="BY113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LEN(SUBSTITUTE(_xlfn.FORMULATEXT(BY$97),"=","")))+$BX113)</f>
        <v/>
      </c>
      <c r="BZ113" s="132" t="str">
        <f t="array" aca="1" ref="BZ113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LEN(SUBSTITUTE(_xlfn.FORMULATEXT(BZ$97),"=","")))+$BX113)</f>
        <v/>
      </c>
      <c r="CA113" s="132" t="str">
        <f t="array" aca="1" ref="CA113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LEN(SUBSTITUTE(_xlfn.FORMULATEXT(CA$97),"=","")))+$BX113)</f>
        <v/>
      </c>
      <c r="CB113" s="132" t="str">
        <f t="array" aca="1" ref="CB113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LEN(SUBSTITUTE(_xlfn.FORMULATEXT(CB$97),"=","")))+$BX113)</f>
        <v/>
      </c>
      <c r="CC113" s="132" t="str">
        <f t="array" aca="1" ref="CC113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LEN(SUBSTITUTE(_xlfn.FORMULATEXT(CC$97),"=","")))+$BX113)</f>
        <v/>
      </c>
      <c r="CD113" s="132" t="str">
        <f t="array" aca="1" ref="CD113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LEN(SUBSTITUTE(_xlfn.FORMULATEXT(CD$97),"=","")))+$BX113)</f>
        <v/>
      </c>
      <c r="CE113" s="132" t="str">
        <f t="array" aca="1" ref="CE113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LEN(SUBSTITUTE(_xlfn.FORMULATEXT(CE$97),"=","")))+$BX113)</f>
        <v/>
      </c>
      <c r="CF113" s="132" t="str">
        <f t="array" aca="1" ref="CF113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LEN(SUBSTITUTE(_xlfn.FORMULATEXT(CF$97),"=","")))+$BX113)</f>
        <v/>
      </c>
      <c r="CG113" s="132" t="str">
        <f t="array" aca="1" ref="CG113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LEN(SUBSTITUTE(_xlfn.FORMULATEXT(CG$97),"=","")))+$BX113)</f>
        <v/>
      </c>
      <c r="CH113" s="132" t="str">
        <f t="array" aca="1" ref="CH113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LEN(SUBSTITUTE(_xlfn.FORMULATEXT(CH$97),"=","")))+$BX113)</f>
        <v/>
      </c>
      <c r="CI113" s="132">
        <f t="shared" ca="1" si="7"/>
        <v>0</v>
      </c>
      <c r="CJ113" s="132" t="b">
        <f t="array" aca="1" ref="CJ113" ca="1">SUMPRODUCT((LEN(BY113:CH113)&gt;0)*1)&gt;0</f>
        <v>0</v>
      </c>
      <c r="CK113" s="132" t="str" cm="1">
        <f t="array" aca="1" ref="CK113" ca="1">IFERROR(SMALL(IF(CI$1:CI$150&lt;&gt;0,CI$1:CI$150),ROW(A113)),"")</f>
        <v/>
      </c>
      <c r="CL113" s="132" t="str">
        <f t="array" aca="1" ref="CL113" ca="1">IF($CK113&lt;&gt;"",
INDIRECT(""&amp;IF(COLUMN(BY113)&lt;=26,CHAR(COLUMN(BY113)+64),CHAR(INT((COLUMN(BY113)-1)/26)+64)&amp;CHAR(MOD(COLUMN(BY113)-1,26)+65))&amp;$CK113&amp;""),"")</f>
        <v/>
      </c>
      <c r="CM113" s="132" t="str">
        <f t="array" aca="1" ref="CM113" ca="1">IF($CK113&lt;&gt;"",
INDIRECT(""&amp;IF(COLUMN(BZ113)&lt;=26,CHAR(COLUMN(BZ113)+64),CHAR(INT((COLUMN(BZ113)-1)/26)+64)&amp;CHAR(MOD(COLUMN(BZ113)-1,26)+65))&amp;$CK113&amp;""),"")</f>
        <v/>
      </c>
      <c r="CN113" s="132" t="str">
        <f t="array" aca="1" ref="CN113" ca="1">IF($CK113&lt;&gt;"",
INDIRECT(""&amp;IF(COLUMN(CA113)&lt;=26,CHAR(COLUMN(CA113)+64),CHAR(INT((COLUMN(CA113)-1)/26)+64)&amp;CHAR(MOD(COLUMN(CA113)-1,26)+65))&amp;$CK113&amp;""),"")</f>
        <v/>
      </c>
      <c r="CO113" s="132" t="str">
        <f t="array" aca="1" ref="CO113" ca="1">IF($CK113&lt;&gt;"",
INDIRECT(""&amp;IF(COLUMN(CB113)&lt;=26,CHAR(COLUMN(CB113)+64),CHAR(INT((COLUMN(CB113)-1)/26)+64)&amp;CHAR(MOD(COLUMN(CB113)-1,26)+65))&amp;$CK113&amp;""),"")</f>
        <v/>
      </c>
      <c r="CP113" s="132" t="str">
        <f t="array" aca="1" ref="CP113" ca="1">IF($CK113&lt;&gt;"",
INDIRECT(""&amp;IF(COLUMN(CC113)&lt;=26,CHAR(COLUMN(CC113)+64),CHAR(INT((COLUMN(CC113)-1)/26)+64)&amp;CHAR(MOD(COLUMN(CC113)-1,26)+65))&amp;$CK113&amp;""),"")</f>
        <v/>
      </c>
      <c r="CQ113" s="132" t="str">
        <f t="array" aca="1" ref="CQ113" ca="1">IF($CK113&lt;&gt;"",
INDIRECT(""&amp;IF(COLUMN(CD113)&lt;=26,CHAR(COLUMN(CD113)+64),CHAR(INT((COLUMN(CD113)-1)/26)+64)&amp;CHAR(MOD(COLUMN(CD113)-1,26)+65))&amp;$CK113&amp;""),"")</f>
        <v/>
      </c>
      <c r="CR113" s="132" t="str">
        <f t="array" aca="1" ref="CR113" ca="1">IF($CK113&lt;&gt;"",
INDIRECT(""&amp;IF(COLUMN(CE113)&lt;=26,CHAR(COLUMN(CE113)+64),CHAR(INT((COLUMN(CE113)-1)/26)+64)&amp;CHAR(MOD(COLUMN(CE113)-1,26)+65))&amp;$CK113&amp;""),"")</f>
        <v/>
      </c>
      <c r="CS113" s="132" t="str">
        <f t="array" aca="1" ref="CS113" ca="1">IF($CK113&lt;&gt;"",
INDIRECT(""&amp;IF(COLUMN(CF113)&lt;=26,CHAR(COLUMN(CF113)+64),CHAR(INT((COLUMN(CF113)-1)/26)+64)&amp;CHAR(MOD(COLUMN(CF113)-1,26)+65))&amp;$CK113&amp;""),"")</f>
        <v/>
      </c>
      <c r="CT113" s="132" t="str">
        <f t="array" aca="1" ref="CT113" ca="1">IF($CK113&lt;&gt;"",
INDIRECT(""&amp;IF(COLUMN(CG113)&lt;=26,CHAR(COLUMN(CG113)+64),CHAR(INT((COLUMN(CG113)-1)/26)+64)&amp;CHAR(MOD(COLUMN(CG113)-1,26)+65))&amp;$CK113&amp;""),"")</f>
        <v/>
      </c>
      <c r="CU113" s="132" t="str">
        <f t="array" aca="1" ref="CU113" ca="1">IF($CK113&lt;&gt;"",
INDIRECT(""&amp;IF(COLUMN(CH113)&lt;=26,CHAR(COLUMN(CH113)+64),CHAR(INT((COLUMN(CH113)-1)/26)+64)&amp;CHAR(MOD(COLUMN(CH113)-1,26)+65))&amp;$CK113&amp;""),"")</f>
        <v/>
      </c>
    </row>
    <row r="114" spans="76:99" ht="22.2" customHeight="1" x14ac:dyDescent="0.45">
      <c r="BX114" s="132">
        <f t="shared" si="8"/>
        <v>70</v>
      </c>
      <c r="BY114" s="132" t="str">
        <f t="array" aca="1" ref="BY114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LEN(SUBSTITUTE(_xlfn.FORMULATEXT(BY$97),"=","")))+$BX114)</f>
        <v/>
      </c>
      <c r="BZ114" s="132" t="str">
        <f t="array" aca="1" ref="BZ114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LEN(SUBSTITUTE(_xlfn.FORMULATEXT(BZ$97),"=","")))+$BX114)</f>
        <v/>
      </c>
      <c r="CA114" s="132" t="str">
        <f t="array" aca="1" ref="CA114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LEN(SUBSTITUTE(_xlfn.FORMULATEXT(CA$97),"=","")))+$BX114)</f>
        <v/>
      </c>
      <c r="CB114" s="132" t="str">
        <f t="array" aca="1" ref="CB114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LEN(SUBSTITUTE(_xlfn.FORMULATEXT(CB$97),"=","")))+$BX114)</f>
        <v/>
      </c>
      <c r="CC114" s="132" t="str">
        <f t="array" aca="1" ref="CC114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LEN(SUBSTITUTE(_xlfn.FORMULATEXT(CC$97),"=","")))+$BX114)</f>
        <v/>
      </c>
      <c r="CD114" s="132" t="str">
        <f t="array" aca="1" ref="CD114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LEN(SUBSTITUTE(_xlfn.FORMULATEXT(CD$97),"=","")))+$BX114)</f>
        <v/>
      </c>
      <c r="CE114" s="132" t="str">
        <f t="array" aca="1" ref="CE114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LEN(SUBSTITUTE(_xlfn.FORMULATEXT(CE$97),"=","")))+$BX114)</f>
        <v/>
      </c>
      <c r="CF114" s="132" t="str">
        <f t="array" aca="1" ref="CF114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LEN(SUBSTITUTE(_xlfn.FORMULATEXT(CF$97),"=","")))+$BX114)</f>
        <v/>
      </c>
      <c r="CG114" s="132" t="str">
        <f t="array" aca="1" ref="CG114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LEN(SUBSTITUTE(_xlfn.FORMULATEXT(CG$97),"=","")))+$BX114)</f>
        <v/>
      </c>
      <c r="CH114" s="132" t="str">
        <f t="array" aca="1" ref="CH114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LEN(SUBSTITUTE(_xlfn.FORMULATEXT(CH$97),"=","")))+$BX114)</f>
        <v/>
      </c>
      <c r="CI114" s="132">
        <f t="shared" ca="1" si="7"/>
        <v>0</v>
      </c>
      <c r="CJ114" s="132" t="b">
        <f t="array" aca="1" ref="CJ114" ca="1">SUMPRODUCT((LEN(BY114:CH114)&gt;0)*1)&gt;0</f>
        <v>0</v>
      </c>
      <c r="CK114" s="132" t="str" cm="1">
        <f t="array" aca="1" ref="CK114" ca="1">IFERROR(SMALL(IF(CI$1:CI$150&lt;&gt;0,CI$1:CI$150),ROW(A114)),"")</f>
        <v/>
      </c>
      <c r="CL114" s="132" t="str">
        <f t="array" aca="1" ref="CL114" ca="1">IF($CK114&lt;&gt;"",
INDIRECT(""&amp;IF(COLUMN(BY114)&lt;=26,CHAR(COLUMN(BY114)+64),CHAR(INT((COLUMN(BY114)-1)/26)+64)&amp;CHAR(MOD(COLUMN(BY114)-1,26)+65))&amp;$CK114&amp;""),"")</f>
        <v/>
      </c>
      <c r="CM114" s="132" t="str">
        <f t="array" aca="1" ref="CM114" ca="1">IF($CK114&lt;&gt;"",
INDIRECT(""&amp;IF(COLUMN(BZ114)&lt;=26,CHAR(COLUMN(BZ114)+64),CHAR(INT((COLUMN(BZ114)-1)/26)+64)&amp;CHAR(MOD(COLUMN(BZ114)-1,26)+65))&amp;$CK114&amp;""),"")</f>
        <v/>
      </c>
      <c r="CN114" s="132" t="str">
        <f t="array" aca="1" ref="CN114" ca="1">IF($CK114&lt;&gt;"",
INDIRECT(""&amp;IF(COLUMN(CA114)&lt;=26,CHAR(COLUMN(CA114)+64),CHAR(INT((COLUMN(CA114)-1)/26)+64)&amp;CHAR(MOD(COLUMN(CA114)-1,26)+65))&amp;$CK114&amp;""),"")</f>
        <v/>
      </c>
      <c r="CO114" s="132" t="str">
        <f t="array" aca="1" ref="CO114" ca="1">IF($CK114&lt;&gt;"",
INDIRECT(""&amp;IF(COLUMN(CB114)&lt;=26,CHAR(COLUMN(CB114)+64),CHAR(INT((COLUMN(CB114)-1)/26)+64)&amp;CHAR(MOD(COLUMN(CB114)-1,26)+65))&amp;$CK114&amp;""),"")</f>
        <v/>
      </c>
      <c r="CP114" s="132" t="str">
        <f t="array" aca="1" ref="CP114" ca="1">IF($CK114&lt;&gt;"",
INDIRECT(""&amp;IF(COLUMN(CC114)&lt;=26,CHAR(COLUMN(CC114)+64),CHAR(INT((COLUMN(CC114)-1)/26)+64)&amp;CHAR(MOD(COLUMN(CC114)-1,26)+65))&amp;$CK114&amp;""),"")</f>
        <v/>
      </c>
      <c r="CQ114" s="132" t="str">
        <f t="array" aca="1" ref="CQ114" ca="1">IF($CK114&lt;&gt;"",
INDIRECT(""&amp;IF(COLUMN(CD114)&lt;=26,CHAR(COLUMN(CD114)+64),CHAR(INT((COLUMN(CD114)-1)/26)+64)&amp;CHAR(MOD(COLUMN(CD114)-1,26)+65))&amp;$CK114&amp;""),"")</f>
        <v/>
      </c>
      <c r="CR114" s="132" t="str">
        <f t="array" aca="1" ref="CR114" ca="1">IF($CK114&lt;&gt;"",
INDIRECT(""&amp;IF(COLUMN(CE114)&lt;=26,CHAR(COLUMN(CE114)+64),CHAR(INT((COLUMN(CE114)-1)/26)+64)&amp;CHAR(MOD(COLUMN(CE114)-1,26)+65))&amp;$CK114&amp;""),"")</f>
        <v/>
      </c>
      <c r="CS114" s="132" t="str">
        <f t="array" aca="1" ref="CS114" ca="1">IF($CK114&lt;&gt;"",
INDIRECT(""&amp;IF(COLUMN(CF114)&lt;=26,CHAR(COLUMN(CF114)+64),CHAR(INT((COLUMN(CF114)-1)/26)+64)&amp;CHAR(MOD(COLUMN(CF114)-1,26)+65))&amp;$CK114&amp;""),"")</f>
        <v/>
      </c>
      <c r="CT114" s="132" t="str">
        <f t="array" aca="1" ref="CT114" ca="1">IF($CK114&lt;&gt;"",
INDIRECT(""&amp;IF(COLUMN(CG114)&lt;=26,CHAR(COLUMN(CG114)+64),CHAR(INT((COLUMN(CG114)-1)/26)+64)&amp;CHAR(MOD(COLUMN(CG114)-1,26)+65))&amp;$CK114&amp;""),"")</f>
        <v/>
      </c>
      <c r="CU114" s="132" t="str">
        <f t="array" aca="1" ref="CU114" ca="1">IF($CK114&lt;&gt;"",
INDIRECT(""&amp;IF(COLUMN(CH114)&lt;=26,CHAR(COLUMN(CH114)+64),CHAR(INT((COLUMN(CH114)-1)/26)+64)&amp;CHAR(MOD(COLUMN(CH114)-1,26)+65))&amp;$CK114&amp;""),"")</f>
        <v/>
      </c>
    </row>
    <row r="115" spans="76:99" ht="22.2" customHeight="1" x14ac:dyDescent="0.45">
      <c r="BX115" s="146">
        <f t="shared" si="8"/>
        <v>28</v>
      </c>
      <c r="BY115" s="132" t="str">
        <f t="array" aca="1" ref="BY115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LEN(SUBSTITUTE(_xlfn.FORMULATEXT(BY$99),"=","")))+$BX115)</f>
        <v/>
      </c>
      <c r="BZ115" s="132" t="str">
        <f t="array" aca="1" ref="BZ115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LEN(SUBSTITUTE(_xlfn.FORMULATEXT(BZ$99),"=","")))+$BX115)</f>
        <v/>
      </c>
      <c r="CA115" s="132" t="str">
        <f t="array" aca="1" ref="CA115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LEN(SUBSTITUTE(_xlfn.FORMULATEXT(CA$99),"=","")))+$BX115)</f>
        <v/>
      </c>
      <c r="CB115" s="132" t="str">
        <f t="array" aca="1" ref="CB115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LEN(SUBSTITUTE(_xlfn.FORMULATEXT(CB$99),"=","")))+$BX115)</f>
        <v/>
      </c>
      <c r="CC115" s="132" t="str">
        <f t="array" aca="1" ref="CC115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LEN(SUBSTITUTE(_xlfn.FORMULATEXT(CC$99),"=","")))+$BX115)</f>
        <v/>
      </c>
      <c r="CD115" s="132" t="str">
        <f t="array" aca="1" ref="CD115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LEN(SUBSTITUTE(_xlfn.FORMULATEXT(CD$99),"=","")))+$BX115)</f>
        <v/>
      </c>
      <c r="CE115" s="132" t="str">
        <f t="array" aca="1" ref="CE115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LEN(SUBSTITUTE(_xlfn.FORMULATEXT(CE$99),"=","")))+$BX115)</f>
        <v/>
      </c>
      <c r="CF115" s="132" t="str">
        <f t="array" aca="1" ref="CF115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LEN(SUBSTITUTE(_xlfn.FORMULATEXT(CF$99),"=","")))+$BX115)</f>
        <v/>
      </c>
      <c r="CG115" s="132" t="str">
        <f t="array" aca="1" ref="CG115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LEN(SUBSTITUTE(_xlfn.FORMULATEXT(CG$99),"=","")))+$BX115)</f>
        <v/>
      </c>
      <c r="CH115" s="132" t="str">
        <f t="array" aca="1" ref="CH115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LEN(SUBSTITUTE(_xlfn.FORMULATEXT(CH$99),"=","")))+$BX115)</f>
        <v/>
      </c>
      <c r="CI115" s="132">
        <f t="shared" ca="1" si="7"/>
        <v>0</v>
      </c>
      <c r="CJ115" s="132" t="b">
        <f t="array" aca="1" ref="CJ115" ca="1">SUMPRODUCT((LEN(BY115:CH115)&gt;0)*1)&gt;0</f>
        <v>0</v>
      </c>
      <c r="CK115" s="132" t="str" cm="1">
        <f t="array" aca="1" ref="CK115" ca="1">IFERROR(SMALL(IF(CI$1:CI$150&lt;&gt;0,CI$1:CI$150),ROW(A115)),"")</f>
        <v/>
      </c>
      <c r="CL115" s="132" t="str">
        <f t="array" aca="1" ref="CL115" ca="1">IF($CK115&lt;&gt;"",
INDIRECT(""&amp;IF(COLUMN(BY115)&lt;=26,CHAR(COLUMN(BY115)+64),CHAR(INT((COLUMN(BY115)-1)/26)+64)&amp;CHAR(MOD(COLUMN(BY115)-1,26)+65))&amp;$CK115&amp;""),"")</f>
        <v/>
      </c>
      <c r="CM115" s="132" t="str">
        <f t="array" aca="1" ref="CM115" ca="1">IF($CK115&lt;&gt;"",
INDIRECT(""&amp;IF(COLUMN(BZ115)&lt;=26,CHAR(COLUMN(BZ115)+64),CHAR(INT((COLUMN(BZ115)-1)/26)+64)&amp;CHAR(MOD(COLUMN(BZ115)-1,26)+65))&amp;$CK115&amp;""),"")</f>
        <v/>
      </c>
      <c r="CN115" s="132" t="str">
        <f t="array" aca="1" ref="CN115" ca="1">IF($CK115&lt;&gt;"",
INDIRECT(""&amp;IF(COLUMN(CA115)&lt;=26,CHAR(COLUMN(CA115)+64),CHAR(INT((COLUMN(CA115)-1)/26)+64)&amp;CHAR(MOD(COLUMN(CA115)-1,26)+65))&amp;$CK115&amp;""),"")</f>
        <v/>
      </c>
      <c r="CO115" s="132" t="str">
        <f t="array" aca="1" ref="CO115" ca="1">IF($CK115&lt;&gt;"",
INDIRECT(""&amp;IF(COLUMN(CB115)&lt;=26,CHAR(COLUMN(CB115)+64),CHAR(INT((COLUMN(CB115)-1)/26)+64)&amp;CHAR(MOD(COLUMN(CB115)-1,26)+65))&amp;$CK115&amp;""),"")</f>
        <v/>
      </c>
      <c r="CP115" s="132" t="str">
        <f t="array" aca="1" ref="CP115" ca="1">IF($CK115&lt;&gt;"",
INDIRECT(""&amp;IF(COLUMN(CC115)&lt;=26,CHAR(COLUMN(CC115)+64),CHAR(INT((COLUMN(CC115)-1)/26)+64)&amp;CHAR(MOD(COLUMN(CC115)-1,26)+65))&amp;$CK115&amp;""),"")</f>
        <v/>
      </c>
      <c r="CQ115" s="132" t="str">
        <f t="array" aca="1" ref="CQ115" ca="1">IF($CK115&lt;&gt;"",
INDIRECT(""&amp;IF(COLUMN(CD115)&lt;=26,CHAR(COLUMN(CD115)+64),CHAR(INT((COLUMN(CD115)-1)/26)+64)&amp;CHAR(MOD(COLUMN(CD115)-1,26)+65))&amp;$CK115&amp;""),"")</f>
        <v/>
      </c>
      <c r="CR115" s="132" t="str">
        <f t="array" aca="1" ref="CR115" ca="1">IF($CK115&lt;&gt;"",
INDIRECT(""&amp;IF(COLUMN(CE115)&lt;=26,CHAR(COLUMN(CE115)+64),CHAR(INT((COLUMN(CE115)-1)/26)+64)&amp;CHAR(MOD(COLUMN(CE115)-1,26)+65))&amp;$CK115&amp;""),"")</f>
        <v/>
      </c>
      <c r="CS115" s="132" t="str">
        <f t="array" aca="1" ref="CS115" ca="1">IF($CK115&lt;&gt;"",
INDIRECT(""&amp;IF(COLUMN(CF115)&lt;=26,CHAR(COLUMN(CF115)+64),CHAR(INT((COLUMN(CF115)-1)/26)+64)&amp;CHAR(MOD(COLUMN(CF115)-1,26)+65))&amp;$CK115&amp;""),"")</f>
        <v/>
      </c>
      <c r="CT115" s="132" t="str">
        <f t="array" aca="1" ref="CT115" ca="1">IF($CK115&lt;&gt;"",
INDIRECT(""&amp;IF(COLUMN(CG115)&lt;=26,CHAR(COLUMN(CG115)+64),CHAR(INT((COLUMN(CG115)-1)/26)+64)&amp;CHAR(MOD(COLUMN(CG115)-1,26)+65))&amp;$CK115&amp;""),"")</f>
        <v/>
      </c>
      <c r="CU115" s="132" t="str">
        <f t="array" aca="1" ref="CU115" ca="1">IF($CK115&lt;&gt;"",
INDIRECT(""&amp;IF(COLUMN(CH115)&lt;=26,CHAR(COLUMN(CH115)+64),CHAR(INT((COLUMN(CH115)-1)/26)+64)&amp;CHAR(MOD(COLUMN(CH115)-1,26)+65))&amp;$CK115&amp;""),"")</f>
        <v/>
      </c>
    </row>
    <row r="116" spans="76:99" ht="22.2" customHeight="1" x14ac:dyDescent="0.45">
      <c r="BX116" s="132">
        <f t="shared" si="8"/>
        <v>70</v>
      </c>
      <c r="BY116" s="132" t="str">
        <f t="array" aca="1" ref="BY116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LEN(SUBSTITUTE(_xlfn.FORMULATEXT(BY$99),"=","")))+$BX116)</f>
        <v/>
      </c>
      <c r="BZ116" s="132" t="str">
        <f t="array" aca="1" ref="BZ116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LEN(SUBSTITUTE(_xlfn.FORMULATEXT(BZ$99),"=","")))+$BX116)</f>
        <v/>
      </c>
      <c r="CA116" s="132" t="str">
        <f t="array" aca="1" ref="CA116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LEN(SUBSTITUTE(_xlfn.FORMULATEXT(CA$99),"=","")))+$BX116)</f>
        <v/>
      </c>
      <c r="CB116" s="132" t="str">
        <f t="array" aca="1" ref="CB116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LEN(SUBSTITUTE(_xlfn.FORMULATEXT(CB$99),"=","")))+$BX116)</f>
        <v/>
      </c>
      <c r="CC116" s="132" t="str">
        <f t="array" aca="1" ref="CC116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LEN(SUBSTITUTE(_xlfn.FORMULATEXT(CC$99),"=","")))+$BX116)</f>
        <v/>
      </c>
      <c r="CD116" s="132" t="str">
        <f t="array" aca="1" ref="CD116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LEN(SUBSTITUTE(_xlfn.FORMULATEXT(CD$99),"=","")))+$BX116)</f>
        <v/>
      </c>
      <c r="CE116" s="132" t="str">
        <f t="array" aca="1" ref="CE116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LEN(SUBSTITUTE(_xlfn.FORMULATEXT(CE$99),"=","")))+$BX116)</f>
        <v/>
      </c>
      <c r="CF116" s="132" t="str">
        <f t="array" aca="1" ref="CF116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LEN(SUBSTITUTE(_xlfn.FORMULATEXT(CF$99),"=","")))+$BX116)</f>
        <v/>
      </c>
      <c r="CG116" s="132" t="str">
        <f t="array" aca="1" ref="CG116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LEN(SUBSTITUTE(_xlfn.FORMULATEXT(CG$99),"=","")))+$BX116)</f>
        <v/>
      </c>
      <c r="CH116" s="132" t="str">
        <f t="array" aca="1" ref="CH116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LEN(SUBSTITUTE(_xlfn.FORMULATEXT(CH$99),"=","")))+$BX116)</f>
        <v/>
      </c>
      <c r="CI116" s="132">
        <f t="shared" ca="1" si="7"/>
        <v>0</v>
      </c>
      <c r="CJ116" s="132" t="b">
        <f t="array" aca="1" ref="CJ116" ca="1">SUMPRODUCT((LEN(BY116:CH116)&gt;0)*1)&gt;0</f>
        <v>0</v>
      </c>
      <c r="CK116" s="132" t="str" cm="1">
        <f t="array" aca="1" ref="CK116" ca="1">IFERROR(SMALL(IF(CI$1:CI$150&lt;&gt;0,CI$1:CI$150),ROW(A116)),"")</f>
        <v/>
      </c>
      <c r="CL116" s="132" t="str">
        <f t="array" aca="1" ref="CL116" ca="1">IF($CK116&lt;&gt;"",
INDIRECT(""&amp;IF(COLUMN(BY116)&lt;=26,CHAR(COLUMN(BY116)+64),CHAR(INT((COLUMN(BY116)-1)/26)+64)&amp;CHAR(MOD(COLUMN(BY116)-1,26)+65))&amp;$CK116&amp;""),"")</f>
        <v/>
      </c>
      <c r="CM116" s="132" t="str">
        <f t="array" aca="1" ref="CM116" ca="1">IF($CK116&lt;&gt;"",
INDIRECT(""&amp;IF(COLUMN(BZ116)&lt;=26,CHAR(COLUMN(BZ116)+64),CHAR(INT((COLUMN(BZ116)-1)/26)+64)&amp;CHAR(MOD(COLUMN(BZ116)-1,26)+65))&amp;$CK116&amp;""),"")</f>
        <v/>
      </c>
      <c r="CN116" s="132" t="str">
        <f t="array" aca="1" ref="CN116" ca="1">IF($CK116&lt;&gt;"",
INDIRECT(""&amp;IF(COLUMN(CA116)&lt;=26,CHAR(COLUMN(CA116)+64),CHAR(INT((COLUMN(CA116)-1)/26)+64)&amp;CHAR(MOD(COLUMN(CA116)-1,26)+65))&amp;$CK116&amp;""),"")</f>
        <v/>
      </c>
      <c r="CO116" s="132" t="str">
        <f t="array" aca="1" ref="CO116" ca="1">IF($CK116&lt;&gt;"",
INDIRECT(""&amp;IF(COLUMN(CB116)&lt;=26,CHAR(COLUMN(CB116)+64),CHAR(INT((COLUMN(CB116)-1)/26)+64)&amp;CHAR(MOD(COLUMN(CB116)-1,26)+65))&amp;$CK116&amp;""),"")</f>
        <v/>
      </c>
      <c r="CP116" s="132" t="str">
        <f t="array" aca="1" ref="CP116" ca="1">IF($CK116&lt;&gt;"",
INDIRECT(""&amp;IF(COLUMN(CC116)&lt;=26,CHAR(COLUMN(CC116)+64),CHAR(INT((COLUMN(CC116)-1)/26)+64)&amp;CHAR(MOD(COLUMN(CC116)-1,26)+65))&amp;$CK116&amp;""),"")</f>
        <v/>
      </c>
      <c r="CQ116" s="132" t="str">
        <f t="array" aca="1" ref="CQ116" ca="1">IF($CK116&lt;&gt;"",
INDIRECT(""&amp;IF(COLUMN(CD116)&lt;=26,CHAR(COLUMN(CD116)+64),CHAR(INT((COLUMN(CD116)-1)/26)+64)&amp;CHAR(MOD(COLUMN(CD116)-1,26)+65))&amp;$CK116&amp;""),"")</f>
        <v/>
      </c>
      <c r="CR116" s="132" t="str">
        <f t="array" aca="1" ref="CR116" ca="1">IF($CK116&lt;&gt;"",
INDIRECT(""&amp;IF(COLUMN(CE116)&lt;=26,CHAR(COLUMN(CE116)+64),CHAR(INT((COLUMN(CE116)-1)/26)+64)&amp;CHAR(MOD(COLUMN(CE116)-1,26)+65))&amp;$CK116&amp;""),"")</f>
        <v/>
      </c>
      <c r="CS116" s="132" t="str">
        <f t="array" aca="1" ref="CS116" ca="1">IF($CK116&lt;&gt;"",
INDIRECT(""&amp;IF(COLUMN(CF116)&lt;=26,CHAR(COLUMN(CF116)+64),CHAR(INT((COLUMN(CF116)-1)/26)+64)&amp;CHAR(MOD(COLUMN(CF116)-1,26)+65))&amp;$CK116&amp;""),"")</f>
        <v/>
      </c>
      <c r="CT116" s="132" t="str">
        <f t="array" aca="1" ref="CT116" ca="1">IF($CK116&lt;&gt;"",
INDIRECT(""&amp;IF(COLUMN(CG116)&lt;=26,CHAR(COLUMN(CG116)+64),CHAR(INT((COLUMN(CG116)-1)/26)+64)&amp;CHAR(MOD(COLUMN(CG116)-1,26)+65))&amp;$CK116&amp;""),"")</f>
        <v/>
      </c>
      <c r="CU116" s="132" t="str">
        <f t="array" aca="1" ref="CU116" ca="1">IF($CK116&lt;&gt;"",
INDIRECT(""&amp;IF(COLUMN(CH116)&lt;=26,CHAR(COLUMN(CH116)+64),CHAR(INT((COLUMN(CH116)-1)/26)+64)&amp;CHAR(MOD(COLUMN(CH116)-1,26)+65))&amp;$CK116&amp;""),"")</f>
        <v/>
      </c>
    </row>
    <row r="117" spans="76:99" ht="22.2" customHeight="1" x14ac:dyDescent="0.45">
      <c r="BX117" s="132">
        <f t="shared" si="8"/>
        <v>35</v>
      </c>
      <c r="BY117" s="132" t="str">
        <f t="array" aca="1" ref="BY117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LEN(SUBSTITUTE(_xlfn.FORMULATEXT(BY$97),"=","")))+$BX117)</f>
        <v/>
      </c>
      <c r="BZ117" s="132" t="str">
        <f t="array" aca="1" ref="BZ117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LEN(SUBSTITUTE(_xlfn.FORMULATEXT(BZ$97),"=","")))+$BX117)</f>
        <v/>
      </c>
      <c r="CA117" s="132" t="str">
        <f t="array" aca="1" ref="CA117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LEN(SUBSTITUTE(_xlfn.FORMULATEXT(CA$97),"=","")))+$BX117)</f>
        <v/>
      </c>
      <c r="CB117" s="132" t="str">
        <f t="array" aca="1" ref="CB117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LEN(SUBSTITUTE(_xlfn.FORMULATEXT(CB$97),"=","")))+$BX117)</f>
        <v/>
      </c>
      <c r="CC117" s="132" t="str">
        <f t="array" aca="1" ref="CC117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LEN(SUBSTITUTE(_xlfn.FORMULATEXT(CC$97),"=","")))+$BX117)</f>
        <v/>
      </c>
      <c r="CD117" s="132" t="str">
        <f t="array" aca="1" ref="CD117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LEN(SUBSTITUTE(_xlfn.FORMULATEXT(CD$97),"=","")))+$BX117)</f>
        <v/>
      </c>
      <c r="CE117" s="132" t="str">
        <f t="array" aca="1" ref="CE117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LEN(SUBSTITUTE(_xlfn.FORMULATEXT(CE$97),"=","")))+$BX117)</f>
        <v/>
      </c>
      <c r="CF117" s="132" t="str">
        <f t="array" aca="1" ref="CF117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LEN(SUBSTITUTE(_xlfn.FORMULATEXT(CF$97),"=","")))+$BX117)</f>
        <v/>
      </c>
      <c r="CG117" s="132" t="str">
        <f t="array" aca="1" ref="CG117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LEN(SUBSTITUTE(_xlfn.FORMULATEXT(CG$97),"=","")))+$BX117)</f>
        <v/>
      </c>
      <c r="CH117" s="132" t="str">
        <f t="array" aca="1" ref="CH117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LEN(SUBSTITUTE(_xlfn.FORMULATEXT(CH$97),"=","")))+$BX117)</f>
        <v/>
      </c>
      <c r="CI117" s="132">
        <f t="shared" ca="1" si="7"/>
        <v>0</v>
      </c>
      <c r="CJ117" s="132" t="b">
        <f t="array" aca="1" ref="CJ117" ca="1">SUMPRODUCT((LEN(BY117:CH117)&gt;0)*1)&gt;0</f>
        <v>0</v>
      </c>
      <c r="CK117" s="132" t="str" cm="1">
        <f t="array" aca="1" ref="CK117" ca="1">IFERROR(SMALL(IF(CI$1:CI$150&lt;&gt;0,CI$1:CI$150),ROW(A117)),"")</f>
        <v/>
      </c>
      <c r="CL117" s="132" t="str">
        <f t="array" aca="1" ref="CL117" ca="1">IF($CK117&lt;&gt;"",
INDIRECT(""&amp;IF(COLUMN(BY117)&lt;=26,CHAR(COLUMN(BY117)+64),CHAR(INT((COLUMN(BY117)-1)/26)+64)&amp;CHAR(MOD(COLUMN(BY117)-1,26)+65))&amp;$CK117&amp;""),"")</f>
        <v/>
      </c>
      <c r="CM117" s="132" t="str">
        <f t="array" aca="1" ref="CM117" ca="1">IF($CK117&lt;&gt;"",
INDIRECT(""&amp;IF(COLUMN(BZ117)&lt;=26,CHAR(COLUMN(BZ117)+64),CHAR(INT((COLUMN(BZ117)-1)/26)+64)&amp;CHAR(MOD(COLUMN(BZ117)-1,26)+65))&amp;$CK117&amp;""),"")</f>
        <v/>
      </c>
      <c r="CN117" s="132" t="str">
        <f t="array" aca="1" ref="CN117" ca="1">IF($CK117&lt;&gt;"",
INDIRECT(""&amp;IF(COLUMN(CA117)&lt;=26,CHAR(COLUMN(CA117)+64),CHAR(INT((COLUMN(CA117)-1)/26)+64)&amp;CHAR(MOD(COLUMN(CA117)-1,26)+65))&amp;$CK117&amp;""),"")</f>
        <v/>
      </c>
      <c r="CO117" s="132" t="str">
        <f t="array" aca="1" ref="CO117" ca="1">IF($CK117&lt;&gt;"",
INDIRECT(""&amp;IF(COLUMN(CB117)&lt;=26,CHAR(COLUMN(CB117)+64),CHAR(INT((COLUMN(CB117)-1)/26)+64)&amp;CHAR(MOD(COLUMN(CB117)-1,26)+65))&amp;$CK117&amp;""),"")</f>
        <v/>
      </c>
      <c r="CP117" s="132" t="str">
        <f t="array" aca="1" ref="CP117" ca="1">IF($CK117&lt;&gt;"",
INDIRECT(""&amp;IF(COLUMN(CC117)&lt;=26,CHAR(COLUMN(CC117)+64),CHAR(INT((COLUMN(CC117)-1)/26)+64)&amp;CHAR(MOD(COLUMN(CC117)-1,26)+65))&amp;$CK117&amp;""),"")</f>
        <v/>
      </c>
      <c r="CQ117" s="132" t="str">
        <f t="array" aca="1" ref="CQ117" ca="1">IF($CK117&lt;&gt;"",
INDIRECT(""&amp;IF(COLUMN(CD117)&lt;=26,CHAR(COLUMN(CD117)+64),CHAR(INT((COLUMN(CD117)-1)/26)+64)&amp;CHAR(MOD(COLUMN(CD117)-1,26)+65))&amp;$CK117&amp;""),"")</f>
        <v/>
      </c>
      <c r="CR117" s="132" t="str">
        <f t="array" aca="1" ref="CR117" ca="1">IF($CK117&lt;&gt;"",
INDIRECT(""&amp;IF(COLUMN(CE117)&lt;=26,CHAR(COLUMN(CE117)+64),CHAR(INT((COLUMN(CE117)-1)/26)+64)&amp;CHAR(MOD(COLUMN(CE117)-1,26)+65))&amp;$CK117&amp;""),"")</f>
        <v/>
      </c>
      <c r="CS117" s="132" t="str">
        <f t="array" aca="1" ref="CS117" ca="1">IF($CK117&lt;&gt;"",
INDIRECT(""&amp;IF(COLUMN(CF117)&lt;=26,CHAR(COLUMN(CF117)+64),CHAR(INT((COLUMN(CF117)-1)/26)+64)&amp;CHAR(MOD(COLUMN(CF117)-1,26)+65))&amp;$CK117&amp;""),"")</f>
        <v/>
      </c>
      <c r="CT117" s="132" t="str">
        <f t="array" aca="1" ref="CT117" ca="1">IF($CK117&lt;&gt;"",
INDIRECT(""&amp;IF(COLUMN(CG117)&lt;=26,CHAR(COLUMN(CG117)+64),CHAR(INT((COLUMN(CG117)-1)/26)+64)&amp;CHAR(MOD(COLUMN(CG117)-1,26)+65))&amp;$CK117&amp;""),"")</f>
        <v/>
      </c>
      <c r="CU117" s="132" t="str">
        <f t="array" aca="1" ref="CU117" ca="1">IF($CK117&lt;&gt;"",
INDIRECT(""&amp;IF(COLUMN(CH117)&lt;=26,CHAR(COLUMN(CH117)+64),CHAR(INT((COLUMN(CH117)-1)/26)+64)&amp;CHAR(MOD(COLUMN(CH117)-1,26)+65))&amp;$CK117&amp;""),"")</f>
        <v/>
      </c>
    </row>
    <row r="118" spans="76:99" ht="22.2" customHeight="1" x14ac:dyDescent="0.45">
      <c r="BX118" s="132">
        <f t="shared" si="8"/>
        <v>77</v>
      </c>
      <c r="BY118" s="132" t="str">
        <f t="array" aca="1" ref="BY118" ca="1">INDIRECT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
&amp;MID(SUBSTITUTE(_xlfn.FORMULATEXT(BY$97),"=",""), LEN(_xlfn.TEXTJOIN("",TRUE,IF(ISERROR(MID(SUBSTITUTE(_xlfn.FORMULATEXT(BY$97),"=",""),ROW(INDIRECT("1:"&amp;LEN(SUBSTITUTE(_xlfn.FORMULATEXT(BY$97),"=","")))),1)*1),MID(SUBSTITUTE(_xlfn.FORMULATEXT(BY$97),"=",""),ROW(INDIRECT("1:"&amp;LEN(SUBSTITUTE(_xlfn.FORMULATEXT(BY$97),"=","")))),1),"")))+1, LEN(SUBSTITUTE(_xlfn.FORMULATEXT(BY$97),"=","")))+$BX118)</f>
        <v/>
      </c>
      <c r="BZ118" s="132" t="str">
        <f t="array" aca="1" ref="BZ118" ca="1">INDIRECT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
&amp;MID(SUBSTITUTE(_xlfn.FORMULATEXT(BZ$97),"=",""), LEN(_xlfn.TEXTJOIN("",TRUE,IF(ISERROR(MID(SUBSTITUTE(_xlfn.FORMULATEXT(BZ$97),"=",""),ROW(INDIRECT("1:"&amp;LEN(SUBSTITUTE(_xlfn.FORMULATEXT(BZ$97),"=","")))),1)*1),MID(SUBSTITUTE(_xlfn.FORMULATEXT(BZ$97),"=",""),ROW(INDIRECT("1:"&amp;LEN(SUBSTITUTE(_xlfn.FORMULATEXT(BZ$97),"=","")))),1),"")))+1, LEN(SUBSTITUTE(_xlfn.FORMULATEXT(BZ$97),"=","")))+$BX118)</f>
        <v/>
      </c>
      <c r="CA118" s="132" t="str">
        <f t="array" aca="1" ref="CA118" ca="1">INDIRECT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
&amp;MID(SUBSTITUTE(_xlfn.FORMULATEXT(CA$97),"=",""), LEN(_xlfn.TEXTJOIN("",TRUE,IF(ISERROR(MID(SUBSTITUTE(_xlfn.FORMULATEXT(CA$97),"=",""),ROW(INDIRECT("1:"&amp;LEN(SUBSTITUTE(_xlfn.FORMULATEXT(CA$97),"=","")))),1)*1),MID(SUBSTITUTE(_xlfn.FORMULATEXT(CA$97),"=",""),ROW(INDIRECT("1:"&amp;LEN(SUBSTITUTE(_xlfn.FORMULATEXT(CA$97),"=","")))),1),"")))+1, LEN(SUBSTITUTE(_xlfn.FORMULATEXT(CA$97),"=","")))+$BX118)</f>
        <v/>
      </c>
      <c r="CB118" s="132" t="str">
        <f t="array" aca="1" ref="CB118" ca="1">INDIRECT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
&amp;MID(SUBSTITUTE(_xlfn.FORMULATEXT(CB$97),"=",""), LEN(_xlfn.TEXTJOIN("",TRUE,IF(ISERROR(MID(SUBSTITUTE(_xlfn.FORMULATEXT(CB$97),"=",""),ROW(INDIRECT("1:"&amp;LEN(SUBSTITUTE(_xlfn.FORMULATEXT(CB$97),"=","")))),1)*1),MID(SUBSTITUTE(_xlfn.FORMULATEXT(CB$97),"=",""),ROW(INDIRECT("1:"&amp;LEN(SUBSTITUTE(_xlfn.FORMULATEXT(CB$97),"=","")))),1),"")))+1, LEN(SUBSTITUTE(_xlfn.FORMULATEXT(CB$97),"=","")))+$BX118)</f>
        <v/>
      </c>
      <c r="CC118" s="132" t="str">
        <f t="array" aca="1" ref="CC118" ca="1">INDIRECT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
&amp;MID(SUBSTITUTE(_xlfn.FORMULATEXT(CC$97),"=",""), LEN(_xlfn.TEXTJOIN("",TRUE,IF(ISERROR(MID(SUBSTITUTE(_xlfn.FORMULATEXT(CC$97),"=",""),ROW(INDIRECT("1:"&amp;LEN(SUBSTITUTE(_xlfn.FORMULATEXT(CC$97),"=","")))),1)*1),MID(SUBSTITUTE(_xlfn.FORMULATEXT(CC$97),"=",""),ROW(INDIRECT("1:"&amp;LEN(SUBSTITUTE(_xlfn.FORMULATEXT(CC$97),"=","")))),1),"")))+1, LEN(SUBSTITUTE(_xlfn.FORMULATEXT(CC$97),"=","")))+$BX118)</f>
        <v/>
      </c>
      <c r="CD118" s="132" t="str">
        <f t="array" aca="1" ref="CD118" ca="1">INDIRECT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
&amp;MID(SUBSTITUTE(_xlfn.FORMULATEXT(CD$97),"=",""), LEN(_xlfn.TEXTJOIN("",TRUE,IF(ISERROR(MID(SUBSTITUTE(_xlfn.FORMULATEXT(CD$97),"=",""),ROW(INDIRECT("1:"&amp;LEN(SUBSTITUTE(_xlfn.FORMULATEXT(CD$97),"=","")))),1)*1),MID(SUBSTITUTE(_xlfn.FORMULATEXT(CD$97),"=",""),ROW(INDIRECT("1:"&amp;LEN(SUBSTITUTE(_xlfn.FORMULATEXT(CD$97),"=","")))),1),"")))+1, LEN(SUBSTITUTE(_xlfn.FORMULATEXT(CD$97),"=","")))+$BX118)</f>
        <v/>
      </c>
      <c r="CE118" s="132" t="str">
        <f t="array" aca="1" ref="CE118" ca="1">INDIRECT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
&amp;MID(SUBSTITUTE(_xlfn.FORMULATEXT(CE$97),"=",""), LEN(_xlfn.TEXTJOIN("",TRUE,IF(ISERROR(MID(SUBSTITUTE(_xlfn.FORMULATEXT(CE$97),"=",""),ROW(INDIRECT("1:"&amp;LEN(SUBSTITUTE(_xlfn.FORMULATEXT(CE$97),"=","")))),1)*1),MID(SUBSTITUTE(_xlfn.FORMULATEXT(CE$97),"=",""),ROW(INDIRECT("1:"&amp;LEN(SUBSTITUTE(_xlfn.FORMULATEXT(CE$97),"=","")))),1),"")))+1, LEN(SUBSTITUTE(_xlfn.FORMULATEXT(CE$97),"=","")))+$BX118)</f>
        <v/>
      </c>
      <c r="CF118" s="132" t="str">
        <f t="array" aca="1" ref="CF118" ca="1">INDIRECT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
&amp;MID(SUBSTITUTE(_xlfn.FORMULATEXT(CF$97),"=",""), LEN(_xlfn.TEXTJOIN("",TRUE,IF(ISERROR(MID(SUBSTITUTE(_xlfn.FORMULATEXT(CF$97),"=",""),ROW(INDIRECT("1:"&amp;LEN(SUBSTITUTE(_xlfn.FORMULATEXT(CF$97),"=","")))),1)*1),MID(SUBSTITUTE(_xlfn.FORMULATEXT(CF$97),"=",""),ROW(INDIRECT("1:"&amp;LEN(SUBSTITUTE(_xlfn.FORMULATEXT(CF$97),"=","")))),1),"")))+1, LEN(SUBSTITUTE(_xlfn.FORMULATEXT(CF$97),"=","")))+$BX118)</f>
        <v/>
      </c>
      <c r="CG118" s="132" t="str">
        <f t="array" aca="1" ref="CG118" ca="1">INDIRECT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
&amp;MID(SUBSTITUTE(_xlfn.FORMULATEXT(CG$97),"=",""), LEN(_xlfn.TEXTJOIN("",TRUE,IF(ISERROR(MID(SUBSTITUTE(_xlfn.FORMULATEXT(CG$97),"=",""),ROW(INDIRECT("1:"&amp;LEN(SUBSTITUTE(_xlfn.FORMULATEXT(CG$97),"=","")))),1)*1),MID(SUBSTITUTE(_xlfn.FORMULATEXT(CG$97),"=",""),ROW(INDIRECT("1:"&amp;LEN(SUBSTITUTE(_xlfn.FORMULATEXT(CG$97),"=","")))),1),"")))+1, LEN(SUBSTITUTE(_xlfn.FORMULATEXT(CG$97),"=","")))+$BX118)</f>
        <v/>
      </c>
      <c r="CH118" s="132" t="str">
        <f t="array" aca="1" ref="CH118" ca="1">INDIRECT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
&amp;MID(SUBSTITUTE(_xlfn.FORMULATEXT(CH$97),"=",""), LEN(_xlfn.TEXTJOIN("",TRUE,IF(ISERROR(MID(SUBSTITUTE(_xlfn.FORMULATEXT(CH$97),"=",""),ROW(INDIRECT("1:"&amp;LEN(SUBSTITUTE(_xlfn.FORMULATEXT(CH$97),"=","")))),1)*1),MID(SUBSTITUTE(_xlfn.FORMULATEXT(CH$97),"=",""),ROW(INDIRECT("1:"&amp;LEN(SUBSTITUTE(_xlfn.FORMULATEXT(CH$97),"=","")))),1),"")))+1, LEN(SUBSTITUTE(_xlfn.FORMULATEXT(CH$97),"=","")))+$BX118)</f>
        <v/>
      </c>
      <c r="CI118" s="132">
        <f t="shared" ca="1" si="7"/>
        <v>0</v>
      </c>
      <c r="CJ118" s="132" t="b">
        <f t="array" aca="1" ref="CJ118" ca="1">SUMPRODUCT((LEN(BY118:CH118)&gt;0)*1)&gt;0</f>
        <v>0</v>
      </c>
      <c r="CK118" s="132" t="str" cm="1">
        <f t="array" aca="1" ref="CK118" ca="1">IFERROR(SMALL(IF(CI$1:CI$150&lt;&gt;0,CI$1:CI$150),ROW(A118)),"")</f>
        <v/>
      </c>
      <c r="CL118" s="132" t="str" cm="1">
        <f t="array" aca="1" ref="CL118" ca="1">IF($CK118&lt;&gt;"",
INDIRECT(""&amp;IF(COLUMN(BY118)&lt;=26,CHAR(COLUMN(BY118)+64),CHAR(INT((COLUMN(BY118)-1)/26)+64)&amp;CHAR(MOD(COLUMN(BY118)-1,26)+65))&amp;$CK118&amp;""),"")</f>
        <v/>
      </c>
      <c r="CM118" s="132" t="str">
        <f t="array" aca="1" ref="CM118" ca="1">IF($CK118&lt;&gt;"",
INDIRECT(""&amp;IF(COLUMN(BZ118)&lt;=26,CHAR(COLUMN(BZ118)+64),CHAR(INT((COLUMN(BZ118)-1)/26)+64)&amp;CHAR(MOD(COLUMN(BZ118)-1,26)+65))&amp;$CK118&amp;""),"")</f>
        <v/>
      </c>
      <c r="CN118" s="132" t="str">
        <f t="array" aca="1" ref="CN118" ca="1">IF($CK118&lt;&gt;"",
INDIRECT(""&amp;IF(COLUMN(CA118)&lt;=26,CHAR(COLUMN(CA118)+64),CHAR(INT((COLUMN(CA118)-1)/26)+64)&amp;CHAR(MOD(COLUMN(CA118)-1,26)+65))&amp;$CK118&amp;""),"")</f>
        <v/>
      </c>
      <c r="CO118" s="132" t="str">
        <f t="array" aca="1" ref="CO118" ca="1">IF($CK118&lt;&gt;"",
INDIRECT(""&amp;IF(COLUMN(CB118)&lt;=26,CHAR(COLUMN(CB118)+64),CHAR(INT((COLUMN(CB118)-1)/26)+64)&amp;CHAR(MOD(COLUMN(CB118)-1,26)+65))&amp;$CK118&amp;""),"")</f>
        <v/>
      </c>
      <c r="CP118" s="132" t="str">
        <f t="array" aca="1" ref="CP118" ca="1">IF($CK118&lt;&gt;"",
INDIRECT(""&amp;IF(COLUMN(CC118)&lt;=26,CHAR(COLUMN(CC118)+64),CHAR(INT((COLUMN(CC118)-1)/26)+64)&amp;CHAR(MOD(COLUMN(CC118)-1,26)+65))&amp;$CK118&amp;""),"")</f>
        <v/>
      </c>
      <c r="CQ118" s="132" t="str">
        <f t="array" aca="1" ref="CQ118" ca="1">IF($CK118&lt;&gt;"",
INDIRECT(""&amp;IF(COLUMN(CD118)&lt;=26,CHAR(COLUMN(CD118)+64),CHAR(INT((COLUMN(CD118)-1)/26)+64)&amp;CHAR(MOD(COLUMN(CD118)-1,26)+65))&amp;$CK118&amp;""),"")</f>
        <v/>
      </c>
      <c r="CR118" s="132" t="str">
        <f t="array" aca="1" ref="CR118" ca="1">IF($CK118&lt;&gt;"",
INDIRECT(""&amp;IF(COLUMN(CE118)&lt;=26,CHAR(COLUMN(CE118)+64),CHAR(INT((COLUMN(CE118)-1)/26)+64)&amp;CHAR(MOD(COLUMN(CE118)-1,26)+65))&amp;$CK118&amp;""),"")</f>
        <v/>
      </c>
      <c r="CS118" s="132" t="str">
        <f t="array" aca="1" ref="CS118" ca="1">IF($CK118&lt;&gt;"",
INDIRECT(""&amp;IF(COLUMN(CF118)&lt;=26,CHAR(COLUMN(CF118)+64),CHAR(INT((COLUMN(CF118)-1)/26)+64)&amp;CHAR(MOD(COLUMN(CF118)-1,26)+65))&amp;$CK118&amp;""),"")</f>
        <v/>
      </c>
      <c r="CT118" s="132" t="str">
        <f t="array" aca="1" ref="CT118" ca="1">IF($CK118&lt;&gt;"",
INDIRECT(""&amp;IF(COLUMN(CG118)&lt;=26,CHAR(COLUMN(CG118)+64),CHAR(INT((COLUMN(CG118)-1)/26)+64)&amp;CHAR(MOD(COLUMN(CG118)-1,26)+65))&amp;$CK118&amp;""),"")</f>
        <v/>
      </c>
      <c r="CU118" s="132" t="str">
        <f t="array" aca="1" ref="CU118" ca="1">IF($CK118&lt;&gt;"",
INDIRECT(""&amp;IF(COLUMN(CH118)&lt;=26,CHAR(COLUMN(CH118)+64),CHAR(INT((COLUMN(CH118)-1)/26)+64)&amp;CHAR(MOD(COLUMN(CH118)-1,26)+65))&amp;$CK118&amp;""),"")</f>
        <v/>
      </c>
    </row>
    <row r="119" spans="76:99" ht="22.2" customHeight="1" x14ac:dyDescent="0.45">
      <c r="BX119" s="146">
        <f>BX115+7</f>
        <v>35</v>
      </c>
      <c r="BY119" s="132" t="str">
        <f t="array" aca="1" ref="BY119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LEN(SUBSTITUTE(_xlfn.FORMULATEXT(BY$99),"=","")))+$BX119)</f>
        <v/>
      </c>
      <c r="BZ119" s="132" t="str">
        <f t="array" aca="1" ref="BZ119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LEN(SUBSTITUTE(_xlfn.FORMULATEXT(BZ$99),"=","")))+$BX119)</f>
        <v/>
      </c>
      <c r="CA119" s="132" t="str">
        <f t="array" aca="1" ref="CA119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LEN(SUBSTITUTE(_xlfn.FORMULATEXT(CA$99),"=","")))+$BX119)</f>
        <v/>
      </c>
      <c r="CB119" s="132" t="str">
        <f t="array" aca="1" ref="CB119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LEN(SUBSTITUTE(_xlfn.FORMULATEXT(CB$99),"=","")))+$BX119)</f>
        <v/>
      </c>
      <c r="CC119" s="132" t="str">
        <f t="array" aca="1" ref="CC119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LEN(SUBSTITUTE(_xlfn.FORMULATEXT(CC$99),"=","")))+$BX119)</f>
        <v/>
      </c>
      <c r="CD119" s="132" t="str">
        <f t="array" aca="1" ref="CD119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LEN(SUBSTITUTE(_xlfn.FORMULATEXT(CD$99),"=","")))+$BX119)</f>
        <v/>
      </c>
      <c r="CE119" s="132" t="str">
        <f t="array" aca="1" ref="CE119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LEN(SUBSTITUTE(_xlfn.FORMULATEXT(CE$99),"=","")))+$BX119)</f>
        <v/>
      </c>
      <c r="CF119" s="132" t="str">
        <f t="array" aca="1" ref="CF119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LEN(SUBSTITUTE(_xlfn.FORMULATEXT(CF$99),"=","")))+$BX119)</f>
        <v/>
      </c>
      <c r="CG119" s="132" t="str">
        <f t="array" aca="1" ref="CG119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LEN(SUBSTITUTE(_xlfn.FORMULATEXT(CG$99),"=","")))+$BX119)</f>
        <v/>
      </c>
      <c r="CH119" s="132" t="str">
        <f t="array" aca="1" ref="CH119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LEN(SUBSTITUTE(_xlfn.FORMULATEXT(CH$99),"=","")))+$BX119)</f>
        <v/>
      </c>
      <c r="CI119" s="132">
        <f t="shared" ca="1" si="7"/>
        <v>0</v>
      </c>
      <c r="CJ119" s="132" t="b">
        <f t="array" aca="1" ref="CJ119" ca="1">SUMPRODUCT((LEN(BY119:CH119)&gt;0)*1)&gt;0</f>
        <v>0</v>
      </c>
      <c r="CK119" s="132" t="str" cm="1">
        <f t="array" aca="1" ref="CK119" ca="1">IFERROR(SMALL(IF(CI$1:CI$150&lt;&gt;0,CI$1:CI$150),ROW(A119)),"")</f>
        <v/>
      </c>
      <c r="CL119" s="132" t="str">
        <f t="array" aca="1" ref="CL119" ca="1">IF($CK119&lt;&gt;"",
INDIRECT(""&amp;IF(COLUMN(BY119)&lt;=26,CHAR(COLUMN(BY119)+64),CHAR(INT((COLUMN(BY119)-1)/26)+64)&amp;CHAR(MOD(COLUMN(BY119)-1,26)+65))&amp;$CK119&amp;""),"")</f>
        <v/>
      </c>
      <c r="CM119" s="132" t="str">
        <f t="array" aca="1" ref="CM119" ca="1">IF($CK119&lt;&gt;"",
INDIRECT(""&amp;IF(COLUMN(BZ119)&lt;=26,CHAR(COLUMN(BZ119)+64),CHAR(INT((COLUMN(BZ119)-1)/26)+64)&amp;CHAR(MOD(COLUMN(BZ119)-1,26)+65))&amp;$CK119&amp;""),"")</f>
        <v/>
      </c>
      <c r="CN119" s="132" t="str">
        <f t="array" aca="1" ref="CN119" ca="1">IF($CK119&lt;&gt;"",
INDIRECT(""&amp;IF(COLUMN(CA119)&lt;=26,CHAR(COLUMN(CA119)+64),CHAR(INT((COLUMN(CA119)-1)/26)+64)&amp;CHAR(MOD(COLUMN(CA119)-1,26)+65))&amp;$CK119&amp;""),"")</f>
        <v/>
      </c>
      <c r="CO119" s="132" t="str">
        <f t="array" aca="1" ref="CO119" ca="1">IF($CK119&lt;&gt;"",
INDIRECT(""&amp;IF(COLUMN(CB119)&lt;=26,CHAR(COLUMN(CB119)+64),CHAR(INT((COLUMN(CB119)-1)/26)+64)&amp;CHAR(MOD(COLUMN(CB119)-1,26)+65))&amp;$CK119&amp;""),"")</f>
        <v/>
      </c>
      <c r="CP119" s="132" t="str">
        <f t="array" aca="1" ref="CP119" ca="1">IF($CK119&lt;&gt;"",
INDIRECT(""&amp;IF(COLUMN(CC119)&lt;=26,CHAR(COLUMN(CC119)+64),CHAR(INT((COLUMN(CC119)-1)/26)+64)&amp;CHAR(MOD(COLUMN(CC119)-1,26)+65))&amp;$CK119&amp;""),"")</f>
        <v/>
      </c>
      <c r="CQ119" s="132" t="str">
        <f t="array" aca="1" ref="CQ119" ca="1">IF($CK119&lt;&gt;"",
INDIRECT(""&amp;IF(COLUMN(CD119)&lt;=26,CHAR(COLUMN(CD119)+64),CHAR(INT((COLUMN(CD119)-1)/26)+64)&amp;CHAR(MOD(COLUMN(CD119)-1,26)+65))&amp;$CK119&amp;""),"")</f>
        <v/>
      </c>
      <c r="CR119" s="132" t="str">
        <f t="array" aca="1" ref="CR119" ca="1">IF($CK119&lt;&gt;"",
INDIRECT(""&amp;IF(COLUMN(CE119)&lt;=26,CHAR(COLUMN(CE119)+64),CHAR(INT((COLUMN(CE119)-1)/26)+64)&amp;CHAR(MOD(COLUMN(CE119)-1,26)+65))&amp;$CK119&amp;""),"")</f>
        <v/>
      </c>
      <c r="CS119" s="132" t="str">
        <f t="array" aca="1" ref="CS119" ca="1">IF($CK119&lt;&gt;"",
INDIRECT(""&amp;IF(COLUMN(CF119)&lt;=26,CHAR(COLUMN(CF119)+64),CHAR(INT((COLUMN(CF119)-1)/26)+64)&amp;CHAR(MOD(COLUMN(CF119)-1,26)+65))&amp;$CK119&amp;""),"")</f>
        <v/>
      </c>
      <c r="CT119" s="132" t="str">
        <f t="array" aca="1" ref="CT119" ca="1">IF($CK119&lt;&gt;"",
INDIRECT(""&amp;IF(COLUMN(CG119)&lt;=26,CHAR(COLUMN(CG119)+64),CHAR(INT((COLUMN(CG119)-1)/26)+64)&amp;CHAR(MOD(COLUMN(CG119)-1,26)+65))&amp;$CK119&amp;""),"")</f>
        <v/>
      </c>
      <c r="CU119" s="132" t="str">
        <f t="array" aca="1" ref="CU119" ca="1">IF($CK119&lt;&gt;"",
INDIRECT(""&amp;IF(COLUMN(CH119)&lt;=26,CHAR(COLUMN(CH119)+64),CHAR(INT((COLUMN(CH119)-1)/26)+64)&amp;CHAR(MOD(COLUMN(CH119)-1,26)+65))&amp;$CK119&amp;""),"")</f>
        <v/>
      </c>
    </row>
    <row r="120" spans="76:99" ht="22.2" customHeight="1" x14ac:dyDescent="0.45">
      <c r="BX120" s="132">
        <f>BX116+7</f>
        <v>77</v>
      </c>
      <c r="BY120" s="132" t="str" cm="1">
        <f t="array" aca="1" ref="BY120" ca="1">INDIRECT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
&amp;MID(SUBSTITUTE(_xlfn.FORMULATEXT(BY$99),"=",""), LEN(_xlfn.TEXTJOIN("",TRUE,IF(ISERROR(MID(SUBSTITUTE(_xlfn.FORMULATEXT(BY$99),"=",""),ROW(INDIRECT("1:"&amp;LEN(SUBSTITUTE(_xlfn.FORMULATEXT(BY$99),"=","")))),1)*1),MID(SUBSTITUTE(_xlfn.FORMULATEXT(BY$99),"=",""),ROW(INDIRECT("1:"&amp;LEN(SUBSTITUTE(_xlfn.FORMULATEXT(BY$99),"=","")))),1),"")))+1, LEN(SUBSTITUTE(_xlfn.FORMULATEXT(BY$99),"=","")))+$BX120)</f>
        <v/>
      </c>
      <c r="BZ120" s="132" t="str" cm="1">
        <f t="array" aca="1" ref="BZ120" ca="1">INDIRECT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
&amp;MID(SUBSTITUTE(_xlfn.FORMULATEXT(BZ$99),"=",""), LEN(_xlfn.TEXTJOIN("",TRUE,IF(ISERROR(MID(SUBSTITUTE(_xlfn.FORMULATEXT(BZ$99),"=",""),ROW(INDIRECT("1:"&amp;LEN(SUBSTITUTE(_xlfn.FORMULATEXT(BZ$99),"=","")))),1)*1),MID(SUBSTITUTE(_xlfn.FORMULATEXT(BZ$99),"=",""),ROW(INDIRECT("1:"&amp;LEN(SUBSTITUTE(_xlfn.FORMULATEXT(BZ$99),"=","")))),1),"")))+1, LEN(SUBSTITUTE(_xlfn.FORMULATEXT(BZ$99),"=","")))+$BX120)</f>
        <v/>
      </c>
      <c r="CA120" s="132" t="str">
        <f t="array" aca="1" ref="CA120" ca="1">INDIRECT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
&amp;MID(SUBSTITUTE(_xlfn.FORMULATEXT(CA$99),"=",""), LEN(_xlfn.TEXTJOIN("",TRUE,IF(ISERROR(MID(SUBSTITUTE(_xlfn.FORMULATEXT(CA$99),"=",""),ROW(INDIRECT("1:"&amp;LEN(SUBSTITUTE(_xlfn.FORMULATEXT(CA$99),"=","")))),1)*1),MID(SUBSTITUTE(_xlfn.FORMULATEXT(CA$99),"=",""),ROW(INDIRECT("1:"&amp;LEN(SUBSTITUTE(_xlfn.FORMULATEXT(CA$99),"=","")))),1),"")))+1, LEN(SUBSTITUTE(_xlfn.FORMULATEXT(CA$99),"=","")))+$BX120)</f>
        <v/>
      </c>
      <c r="CB120" s="132" t="str">
        <f t="array" aca="1" ref="CB120" ca="1">INDIRECT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
&amp;MID(SUBSTITUTE(_xlfn.FORMULATEXT(CB$99),"=",""), LEN(_xlfn.TEXTJOIN("",TRUE,IF(ISERROR(MID(SUBSTITUTE(_xlfn.FORMULATEXT(CB$99),"=",""),ROW(INDIRECT("1:"&amp;LEN(SUBSTITUTE(_xlfn.FORMULATEXT(CB$99),"=","")))),1)*1),MID(SUBSTITUTE(_xlfn.FORMULATEXT(CB$99),"=",""),ROW(INDIRECT("1:"&amp;LEN(SUBSTITUTE(_xlfn.FORMULATEXT(CB$99),"=","")))),1),"")))+1, LEN(SUBSTITUTE(_xlfn.FORMULATEXT(CB$99),"=","")))+$BX120)</f>
        <v/>
      </c>
      <c r="CC120" s="132" t="str">
        <f t="array" aca="1" ref="CC120" ca="1">INDIRECT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
&amp;MID(SUBSTITUTE(_xlfn.FORMULATEXT(CC$99),"=",""), LEN(_xlfn.TEXTJOIN("",TRUE,IF(ISERROR(MID(SUBSTITUTE(_xlfn.FORMULATEXT(CC$99),"=",""),ROW(INDIRECT("1:"&amp;LEN(SUBSTITUTE(_xlfn.FORMULATEXT(CC$99),"=","")))),1)*1),MID(SUBSTITUTE(_xlfn.FORMULATEXT(CC$99),"=",""),ROW(INDIRECT("1:"&amp;LEN(SUBSTITUTE(_xlfn.FORMULATEXT(CC$99),"=","")))),1),"")))+1, LEN(SUBSTITUTE(_xlfn.FORMULATEXT(CC$99),"=","")))+$BX120)</f>
        <v/>
      </c>
      <c r="CD120" s="132" t="str">
        <f t="array" aca="1" ref="CD120" ca="1">INDIRECT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
&amp;MID(SUBSTITUTE(_xlfn.FORMULATEXT(CD$99),"=",""), LEN(_xlfn.TEXTJOIN("",TRUE,IF(ISERROR(MID(SUBSTITUTE(_xlfn.FORMULATEXT(CD$99),"=",""),ROW(INDIRECT("1:"&amp;LEN(SUBSTITUTE(_xlfn.FORMULATEXT(CD$99),"=","")))),1)*1),MID(SUBSTITUTE(_xlfn.FORMULATEXT(CD$99),"=",""),ROW(INDIRECT("1:"&amp;LEN(SUBSTITUTE(_xlfn.FORMULATEXT(CD$99),"=","")))),1),"")))+1, LEN(SUBSTITUTE(_xlfn.FORMULATEXT(CD$99),"=","")))+$BX120)</f>
        <v/>
      </c>
      <c r="CE120" s="132" t="str">
        <f t="array" aca="1" ref="CE120" ca="1">INDIRECT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
&amp;MID(SUBSTITUTE(_xlfn.FORMULATEXT(CE$99),"=",""), LEN(_xlfn.TEXTJOIN("",TRUE,IF(ISERROR(MID(SUBSTITUTE(_xlfn.FORMULATEXT(CE$99),"=",""),ROW(INDIRECT("1:"&amp;LEN(SUBSTITUTE(_xlfn.FORMULATEXT(CE$99),"=","")))),1)*1),MID(SUBSTITUTE(_xlfn.FORMULATEXT(CE$99),"=",""),ROW(INDIRECT("1:"&amp;LEN(SUBSTITUTE(_xlfn.FORMULATEXT(CE$99),"=","")))),1),"")))+1, LEN(SUBSTITUTE(_xlfn.FORMULATEXT(CE$99),"=","")))+$BX120)</f>
        <v/>
      </c>
      <c r="CF120" s="132" t="str">
        <f t="array" aca="1" ref="CF120" ca="1">INDIRECT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
&amp;MID(SUBSTITUTE(_xlfn.FORMULATEXT(CF$99),"=",""), LEN(_xlfn.TEXTJOIN("",TRUE,IF(ISERROR(MID(SUBSTITUTE(_xlfn.FORMULATEXT(CF$99),"=",""),ROW(INDIRECT("1:"&amp;LEN(SUBSTITUTE(_xlfn.FORMULATEXT(CF$99),"=","")))),1)*1),MID(SUBSTITUTE(_xlfn.FORMULATEXT(CF$99),"=",""),ROW(INDIRECT("1:"&amp;LEN(SUBSTITUTE(_xlfn.FORMULATEXT(CF$99),"=","")))),1),"")))+1, LEN(SUBSTITUTE(_xlfn.FORMULATEXT(CF$99),"=","")))+$BX120)</f>
        <v/>
      </c>
      <c r="CG120" s="132" t="str">
        <f t="array" aca="1" ref="CG120" ca="1">INDIRECT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
&amp;MID(SUBSTITUTE(_xlfn.FORMULATEXT(CG$99),"=",""), LEN(_xlfn.TEXTJOIN("",TRUE,IF(ISERROR(MID(SUBSTITUTE(_xlfn.FORMULATEXT(CG$99),"=",""),ROW(INDIRECT("1:"&amp;LEN(SUBSTITUTE(_xlfn.FORMULATEXT(CG$99),"=","")))),1)*1),MID(SUBSTITUTE(_xlfn.FORMULATEXT(CG$99),"=",""),ROW(INDIRECT("1:"&amp;LEN(SUBSTITUTE(_xlfn.FORMULATEXT(CG$99),"=","")))),1),"")))+1, LEN(SUBSTITUTE(_xlfn.FORMULATEXT(CG$99),"=","")))+$BX120)</f>
        <v/>
      </c>
      <c r="CH120" s="132" t="str">
        <f t="array" aca="1" ref="CH120" ca="1">INDIRECT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
&amp;MID(SUBSTITUTE(_xlfn.FORMULATEXT(CH$99),"=",""), LEN(_xlfn.TEXTJOIN("",TRUE,IF(ISERROR(MID(SUBSTITUTE(_xlfn.FORMULATEXT(CH$99),"=",""),ROW(INDIRECT("1:"&amp;LEN(SUBSTITUTE(_xlfn.FORMULATEXT(CH$99),"=","")))),1)*1),MID(SUBSTITUTE(_xlfn.FORMULATEXT(CH$99),"=",""),ROW(INDIRECT("1:"&amp;LEN(SUBSTITUTE(_xlfn.FORMULATEXT(CH$99),"=","")))),1),"")))+1, LEN(SUBSTITUTE(_xlfn.FORMULATEXT(CH$99),"=","")))+$BX120)</f>
        <v/>
      </c>
      <c r="CI120" s="132">
        <f ca="1">IF(COUNTIF(CJ120,"TRUE"),ROW(),0)</f>
        <v>0</v>
      </c>
      <c r="CJ120" s="132" t="b">
        <f t="array" aca="1" ref="CJ120" ca="1">SUMPRODUCT((LEN(BY120:CH120)&gt;0)*1)&gt;0</f>
        <v>0</v>
      </c>
      <c r="CK120" s="132" t="str" cm="1">
        <f t="array" aca="1" ref="CK120" ca="1">IFERROR(SMALL(IF(CI$1:CI$150&lt;&gt;0,CI$1:CI$150),ROW(A120)),"")</f>
        <v/>
      </c>
      <c r="CL120" s="132" t="str">
        <f t="array" aca="1" ref="CL120" ca="1">IF($CK120&lt;&gt;"",
INDIRECT(""&amp;IF(COLUMN(BY120)&lt;=26,CHAR(COLUMN(BY120)+64),CHAR(INT((COLUMN(BY120)-1)/26)+64)&amp;CHAR(MOD(COLUMN(BY120)-1,26)+65))&amp;$CK120&amp;""),"")</f>
        <v/>
      </c>
      <c r="CM120" s="132" t="str">
        <f t="array" aca="1" ref="CM120" ca="1">IF($CK120&lt;&gt;"",
INDIRECT(""&amp;IF(COLUMN(BZ120)&lt;=26,CHAR(COLUMN(BZ120)+64),CHAR(INT((COLUMN(BZ120)-1)/26)+64)&amp;CHAR(MOD(COLUMN(BZ120)-1,26)+65))&amp;$CK120&amp;""),"")</f>
        <v/>
      </c>
      <c r="CN120" s="132" t="str">
        <f t="array" aca="1" ref="CN120" ca="1">IF($CK120&lt;&gt;"",
INDIRECT(""&amp;IF(COLUMN(CA120)&lt;=26,CHAR(COLUMN(CA120)+64),CHAR(INT((COLUMN(CA120)-1)/26)+64)&amp;CHAR(MOD(COLUMN(CA120)-1,26)+65))&amp;$CK120&amp;""),"")</f>
        <v/>
      </c>
      <c r="CO120" s="132" t="str">
        <f t="array" aca="1" ref="CO120" ca="1">IF($CK120&lt;&gt;"",
INDIRECT(""&amp;IF(COLUMN(CB120)&lt;=26,CHAR(COLUMN(CB120)+64),CHAR(INT((COLUMN(CB120)-1)/26)+64)&amp;CHAR(MOD(COLUMN(CB120)-1,26)+65))&amp;$CK120&amp;""),"")</f>
        <v/>
      </c>
      <c r="CP120" s="132" t="str">
        <f t="array" aca="1" ref="CP120" ca="1">IF($CK120&lt;&gt;"",
INDIRECT(""&amp;IF(COLUMN(CC120)&lt;=26,CHAR(COLUMN(CC120)+64),CHAR(INT((COLUMN(CC120)-1)/26)+64)&amp;CHAR(MOD(COLUMN(CC120)-1,26)+65))&amp;$CK120&amp;""),"")</f>
        <v/>
      </c>
      <c r="CQ120" s="132" t="str">
        <f t="array" aca="1" ref="CQ120" ca="1">IF($CK120&lt;&gt;"",
INDIRECT(""&amp;IF(COLUMN(CD120)&lt;=26,CHAR(COLUMN(CD120)+64),CHAR(INT((COLUMN(CD120)-1)/26)+64)&amp;CHAR(MOD(COLUMN(CD120)-1,26)+65))&amp;$CK120&amp;""),"")</f>
        <v/>
      </c>
      <c r="CR120" s="132" t="str">
        <f t="array" aca="1" ref="CR120" ca="1">IF($CK120&lt;&gt;"",
INDIRECT(""&amp;IF(COLUMN(CE120)&lt;=26,CHAR(COLUMN(CE120)+64),CHAR(INT((COLUMN(CE120)-1)/26)+64)&amp;CHAR(MOD(COLUMN(CE120)-1,26)+65))&amp;$CK120&amp;""),"")</f>
        <v/>
      </c>
      <c r="CS120" s="132" t="str">
        <f t="array" aca="1" ref="CS120" ca="1">IF($CK120&lt;&gt;"",
INDIRECT(""&amp;IF(COLUMN(CF120)&lt;=26,CHAR(COLUMN(CF120)+64),CHAR(INT((COLUMN(CF120)-1)/26)+64)&amp;CHAR(MOD(COLUMN(CF120)-1,26)+65))&amp;$CK120&amp;""),"")</f>
        <v/>
      </c>
      <c r="CT120" s="132" t="str">
        <f t="array" aca="1" ref="CT120" ca="1">IF($CK120&lt;&gt;"",
INDIRECT(""&amp;IF(COLUMN(CG120)&lt;=26,CHAR(COLUMN(CG120)+64),CHAR(INT((COLUMN(CG120)-1)/26)+64)&amp;CHAR(MOD(COLUMN(CG120)-1,26)+65))&amp;$CK120&amp;""),"")</f>
        <v/>
      </c>
      <c r="CU120" s="132" t="str">
        <f t="array" aca="1" ref="CU120" ca="1">IF($CK120&lt;&gt;"",
INDIRECT(""&amp;IF(COLUMN(CH120)&lt;=26,CHAR(COLUMN(CH120)+64),CHAR(INT((COLUMN(CH120)-1)/26)+64)&amp;CHAR(MOD(COLUMN(CH120)-1,26)+65))&amp;$CK120&amp;""),"")</f>
        <v/>
      </c>
    </row>
    <row r="121" spans="76:99" x14ac:dyDescent="0.45">
      <c r="BX121" s="162"/>
      <c r="BY121" s="163" t="str">
        <f>社食等の札!A3</f>
        <v>ニシム</v>
      </c>
      <c r="BZ121" s="163"/>
      <c r="CA121" s="163"/>
      <c r="CB121" s="163"/>
      <c r="CC121" s="162" t="e">
        <f ca="1">社食等の札!E3</f>
        <v>#N/A</v>
      </c>
      <c r="CD121" s="162"/>
      <c r="CE121" s="162"/>
      <c r="CF121" s="162"/>
      <c r="CG121" s="162"/>
      <c r="CH121" s="162"/>
      <c r="CI121" s="162">
        <f>ROW()</f>
        <v>121</v>
      </c>
      <c r="CJ121" s="162" t="b">
        <v>1</v>
      </c>
      <c r="CK121" s="146" t="str" cm="1">
        <f t="array" aca="1" ref="CK121" ca="1">IFERROR(SMALL(IF(CI$1:CI$150&lt;&gt;0,CI$1:CI$150),ROW(A121)),"")</f>
        <v/>
      </c>
      <c r="CL121" s="142" t="str">
        <f t="array" aca="1" ref="CL121" ca="1">IF($CK121&lt;&gt;"",
INDIRECT(""&amp;IF(COLUMN(BY121)&lt;=26,CHAR(COLUMN(BY121)+64),CHAR(INT((COLUMN(BY121)-1)/26)+64)&amp;CHAR(MOD(COLUMN(BY121)-1,26)+65))&amp;$CK121&amp;""),"")</f>
        <v/>
      </c>
      <c r="CP121" s="146" t="str">
        <f t="array" aca="1" ref="CP121" ca="1">IF($CK121&lt;&gt;"",
INDIRECT(""&amp;IF(COLUMN(CC121)&lt;=26,CHAR(COLUMN(CC121)+64),CHAR(INT((COLUMN(CC121)-1)/26)+64)&amp;CHAR(MOD(COLUMN(CC121)-1,26)+65))&amp;$CK121&amp;""),"")</f>
        <v/>
      </c>
    </row>
    <row r="122" spans="76:99" x14ac:dyDescent="0.45">
      <c r="BX122" s="162"/>
      <c r="BY122" s="163" t="str">
        <f>社食等の札!A4</f>
        <v>新日本製薬</v>
      </c>
      <c r="BZ122" s="163"/>
      <c r="CA122" s="163"/>
      <c r="CB122" s="163"/>
      <c r="CC122" s="162" t="e">
        <f ca="1">社食等の札!E4</f>
        <v>#N/A</v>
      </c>
      <c r="CD122" s="162"/>
      <c r="CE122" s="162"/>
      <c r="CF122" s="162"/>
      <c r="CG122" s="162"/>
      <c r="CH122" s="162"/>
      <c r="CI122" s="162">
        <f>ROW()</f>
        <v>122</v>
      </c>
      <c r="CJ122" s="162" t="b">
        <v>1</v>
      </c>
    </row>
    <row r="123" spans="76:99" x14ac:dyDescent="0.45">
      <c r="BX123" s="162"/>
      <c r="BY123" s="163" t="str">
        <f>社食等の札!A5</f>
        <v>配送</v>
      </c>
      <c r="BZ123" s="163"/>
      <c r="CA123" s="163"/>
      <c r="CB123" s="163"/>
      <c r="CC123" s="162">
        <f>社食等の札!E5</f>
        <v>2</v>
      </c>
      <c r="CD123" s="162"/>
      <c r="CE123" s="162"/>
      <c r="CF123" s="162"/>
      <c r="CG123" s="162"/>
      <c r="CH123" s="162"/>
      <c r="CI123" s="162">
        <f>ROW()</f>
        <v>123</v>
      </c>
      <c r="CJ123" s="162" t="b">
        <v>1</v>
      </c>
    </row>
    <row r="124" spans="76:99" x14ac:dyDescent="0.45">
      <c r="BX124" s="162"/>
      <c r="BY124" s="163" t="e">
        <f ca="1">社食等の札!A1</f>
        <v>#N/A</v>
      </c>
      <c r="BZ124" s="163"/>
      <c r="CA124" s="163"/>
      <c r="CB124" s="163"/>
      <c r="CC124" s="162" t="e">
        <f ca="1">社食等の札!E1+社食等の札!F2</f>
        <v>#N/A</v>
      </c>
      <c r="CD124" s="162"/>
      <c r="CE124" s="162"/>
      <c r="CF124" s="162"/>
      <c r="CG124" s="162"/>
      <c r="CH124" s="162"/>
      <c r="CI124" s="162">
        <f>ROW()</f>
        <v>124</v>
      </c>
      <c r="CJ124" s="162" t="b">
        <v>1</v>
      </c>
    </row>
  </sheetData>
  <mergeCells count="960">
    <mergeCell ref="AI81:AJ82"/>
    <mergeCell ref="BS35:BT35"/>
    <mergeCell ref="AN78:AQ78"/>
    <mergeCell ref="K84:L84"/>
    <mergeCell ref="M84:N84"/>
    <mergeCell ref="BF14:BG14"/>
    <mergeCell ref="AV50:AY50"/>
    <mergeCell ref="E25:F26"/>
    <mergeCell ref="L46:M47"/>
    <mergeCell ref="BM66:BN66"/>
    <mergeCell ref="BJ70:BK70"/>
    <mergeCell ref="BL70:BM70"/>
    <mergeCell ref="AY49:AZ49"/>
    <mergeCell ref="M42:N42"/>
    <mergeCell ref="BE18:BF19"/>
    <mergeCell ref="AA66:AB66"/>
    <mergeCell ref="E45:F45"/>
    <mergeCell ref="BN63:BO63"/>
    <mergeCell ref="AW84:AX84"/>
    <mergeCell ref="AY84:AZ84"/>
    <mergeCell ref="D42:E42"/>
    <mergeCell ref="R74:S75"/>
    <mergeCell ref="BS84:BT84"/>
    <mergeCell ref="BU84:BV84"/>
    <mergeCell ref="BK25:BL26"/>
    <mergeCell ref="AA81:AB82"/>
    <mergeCell ref="AN74:AO75"/>
    <mergeCell ref="Z42:AA42"/>
    <mergeCell ref="BM25:BN26"/>
    <mergeCell ref="L10:M10"/>
    <mergeCell ref="AA59:AB59"/>
    <mergeCell ref="X63:Y63"/>
    <mergeCell ref="R66:S66"/>
    <mergeCell ref="R17:S17"/>
    <mergeCell ref="T17:U17"/>
    <mergeCell ref="AP18:AQ19"/>
    <mergeCell ref="R60:S61"/>
    <mergeCell ref="AN50:AQ50"/>
    <mergeCell ref="AB14:AC14"/>
    <mergeCell ref="AG10:AH10"/>
    <mergeCell ref="AI10:AJ10"/>
    <mergeCell ref="BC78:BF78"/>
    <mergeCell ref="BM10:BN10"/>
    <mergeCell ref="Y39:Z40"/>
    <mergeCell ref="BT24:BU24"/>
    <mergeCell ref="AA39:AB40"/>
    <mergeCell ref="BC1:BF1"/>
    <mergeCell ref="F7:G7"/>
    <mergeCell ref="Y25:Z26"/>
    <mergeCell ref="AI25:AJ26"/>
    <mergeCell ref="BR15:BU15"/>
    <mergeCell ref="AA25:AB26"/>
    <mergeCell ref="J46:K47"/>
    <mergeCell ref="D49:E49"/>
    <mergeCell ref="R64:U64"/>
    <mergeCell ref="AV38:AW38"/>
    <mergeCell ref="AA45:AB45"/>
    <mergeCell ref="BQ35:BR35"/>
    <mergeCell ref="AW14:AX14"/>
    <mergeCell ref="R57:U57"/>
    <mergeCell ref="Y31:Z31"/>
    <mergeCell ref="AY14:AZ14"/>
    <mergeCell ref="J60:K61"/>
    <mergeCell ref="K7:L7"/>
    <mergeCell ref="AO7:AP7"/>
    <mergeCell ref="BL7:BM7"/>
    <mergeCell ref="BJ7:BK7"/>
    <mergeCell ref="R3:S3"/>
    <mergeCell ref="AA3:AB3"/>
    <mergeCell ref="BB7:BC7"/>
    <mergeCell ref="AV81:AW82"/>
    <mergeCell ref="AU42:AV42"/>
    <mergeCell ref="AF70:AG70"/>
    <mergeCell ref="AU77:AV77"/>
    <mergeCell ref="AH21:AI21"/>
    <mergeCell ref="C8:F8"/>
    <mergeCell ref="BE81:BF82"/>
    <mergeCell ref="J38:K38"/>
    <mergeCell ref="AJ21:AK21"/>
    <mergeCell ref="AW77:AX77"/>
    <mergeCell ref="AY77:AZ77"/>
    <mergeCell ref="AV36:AY36"/>
    <mergeCell ref="C11:D12"/>
    <mergeCell ref="Q28:R28"/>
    <mergeCell ref="J32:K33"/>
    <mergeCell ref="U49:V49"/>
    <mergeCell ref="E11:F12"/>
    <mergeCell ref="E52:F52"/>
    <mergeCell ref="M49:N49"/>
    <mergeCell ref="B56:C56"/>
    <mergeCell ref="AX80:AY80"/>
    <mergeCell ref="AG80:AH80"/>
    <mergeCell ref="J66:K66"/>
    <mergeCell ref="J39:K40"/>
    <mergeCell ref="BS7:BT7"/>
    <mergeCell ref="AF28:AG28"/>
    <mergeCell ref="BU63:BV63"/>
    <mergeCell ref="BC10:BD10"/>
    <mergeCell ref="BU7:BV7"/>
    <mergeCell ref="AH28:AI28"/>
    <mergeCell ref="BE10:BF10"/>
    <mergeCell ref="BD7:BE7"/>
    <mergeCell ref="BK50:BN50"/>
    <mergeCell ref="BS14:BT14"/>
    <mergeCell ref="BU14:BV14"/>
    <mergeCell ref="AG46:AH47"/>
    <mergeCell ref="BT52:BU52"/>
    <mergeCell ref="AV59:AW59"/>
    <mergeCell ref="AX59:AY59"/>
    <mergeCell ref="AV53:AW54"/>
    <mergeCell ref="AU63:AV63"/>
    <mergeCell ref="AX53:AY54"/>
    <mergeCell ref="BD63:BE63"/>
    <mergeCell ref="AH42:AI42"/>
    <mergeCell ref="AV15:AY15"/>
    <mergeCell ref="R43:U43"/>
    <mergeCell ref="AN57:AQ57"/>
    <mergeCell ref="BJ56:BK56"/>
    <mergeCell ref="Y46:Z47"/>
    <mergeCell ref="BM24:BN24"/>
    <mergeCell ref="BQ7:BR7"/>
    <mergeCell ref="BN77:BO77"/>
    <mergeCell ref="L80:M80"/>
    <mergeCell ref="BK10:BL10"/>
    <mergeCell ref="BR78:BU78"/>
    <mergeCell ref="BM80:BN80"/>
    <mergeCell ref="BU70:BV70"/>
    <mergeCell ref="BR74:BS75"/>
    <mergeCell ref="AB77:AC77"/>
    <mergeCell ref="BC73:BD73"/>
    <mergeCell ref="BE73:BF73"/>
    <mergeCell ref="BL77:BM77"/>
    <mergeCell ref="AP80:AQ80"/>
    <mergeCell ref="AO70:AP70"/>
    <mergeCell ref="AG73:AH73"/>
    <mergeCell ref="AI73:AJ73"/>
    <mergeCell ref="AQ70:AR70"/>
    <mergeCell ref="AV66:AW66"/>
    <mergeCell ref="BN49:BO49"/>
    <mergeCell ref="T39:U40"/>
    <mergeCell ref="AY28:AZ28"/>
    <mergeCell ref="M21:N21"/>
    <mergeCell ref="U56:V56"/>
    <mergeCell ref="T18:U19"/>
    <mergeCell ref="AN59:AO59"/>
    <mergeCell ref="BN42:BO42"/>
    <mergeCell ref="AP59:AQ59"/>
    <mergeCell ref="BK46:BL47"/>
    <mergeCell ref="T53:U54"/>
    <mergeCell ref="AV43:AY43"/>
    <mergeCell ref="J36:M36"/>
    <mergeCell ref="J50:M50"/>
    <mergeCell ref="R50:U50"/>
    <mergeCell ref="Y1:AB1"/>
    <mergeCell ref="AQ35:AR35"/>
    <mergeCell ref="S35:T35"/>
    <mergeCell ref="BE66:BF66"/>
    <mergeCell ref="BM60:BN61"/>
    <mergeCell ref="BL21:BM21"/>
    <mergeCell ref="BB70:BC70"/>
    <mergeCell ref="BD21:BE21"/>
    <mergeCell ref="BE60:BF61"/>
    <mergeCell ref="BD70:BE70"/>
    <mergeCell ref="BF21:BG21"/>
    <mergeCell ref="AX24:AY24"/>
    <mergeCell ref="AG11:AH12"/>
    <mergeCell ref="BN21:BO21"/>
    <mergeCell ref="AI11:AJ12"/>
    <mergeCell ref="AO49:AP49"/>
    <mergeCell ref="Y11:Z12"/>
    <mergeCell ref="BM18:BN19"/>
    <mergeCell ref="AV45:AW45"/>
    <mergeCell ref="BE4:BF5"/>
    <mergeCell ref="AF7:AG7"/>
    <mergeCell ref="AH7:AI7"/>
    <mergeCell ref="BM4:BN5"/>
    <mergeCell ref="BE59:BF59"/>
    <mergeCell ref="BK80:BL80"/>
    <mergeCell ref="Q7:R7"/>
    <mergeCell ref="BR57:BU57"/>
    <mergeCell ref="AG78:AJ78"/>
    <mergeCell ref="D84:E84"/>
    <mergeCell ref="F84:G84"/>
    <mergeCell ref="BD42:BE42"/>
    <mergeCell ref="BL28:BM28"/>
    <mergeCell ref="AN45:AO45"/>
    <mergeCell ref="BN28:BO28"/>
    <mergeCell ref="BD77:BE77"/>
    <mergeCell ref="AV17:AW17"/>
    <mergeCell ref="Y73:Z73"/>
    <mergeCell ref="AI18:AJ19"/>
    <mergeCell ref="BF77:BG77"/>
    <mergeCell ref="AA73:AB73"/>
    <mergeCell ref="AA24:AB24"/>
    <mergeCell ref="AY56:AZ56"/>
    <mergeCell ref="BR59:BS59"/>
    <mergeCell ref="BK11:BL12"/>
    <mergeCell ref="X28:Y28"/>
    <mergeCell ref="Y10:Z10"/>
    <mergeCell ref="AN53:AO54"/>
    <mergeCell ref="T32:U33"/>
    <mergeCell ref="AU21:AV21"/>
    <mergeCell ref="AV78:AY78"/>
    <mergeCell ref="AW21:AX21"/>
    <mergeCell ref="M56:N56"/>
    <mergeCell ref="L17:M17"/>
    <mergeCell ref="Z21:AA21"/>
    <mergeCell ref="AP53:AQ54"/>
    <mergeCell ref="AB21:AC21"/>
    <mergeCell ref="AG17:AH17"/>
    <mergeCell ref="AN36:AQ36"/>
    <mergeCell ref="X42:Y42"/>
    <mergeCell ref="R39:S40"/>
    <mergeCell ref="AQ49:AR49"/>
    <mergeCell ref="AI52:AJ52"/>
    <mergeCell ref="X56:Y56"/>
    <mergeCell ref="AV39:AW40"/>
    <mergeCell ref="K77:L77"/>
    <mergeCell ref="M77:N77"/>
    <mergeCell ref="AN29:AQ29"/>
    <mergeCell ref="R45:S45"/>
    <mergeCell ref="Z70:AA70"/>
    <mergeCell ref="T74:U75"/>
    <mergeCell ref="AN71:AQ71"/>
    <mergeCell ref="BC25:BD26"/>
    <mergeCell ref="AI4:AJ5"/>
    <mergeCell ref="BT67:BU68"/>
    <mergeCell ref="AI59:AJ59"/>
    <mergeCell ref="BJ35:BK35"/>
    <mergeCell ref="BJ84:BK84"/>
    <mergeCell ref="R31:S31"/>
    <mergeCell ref="BL84:BM84"/>
    <mergeCell ref="BR53:BS54"/>
    <mergeCell ref="BT53:BU54"/>
    <mergeCell ref="BR29:BU29"/>
    <mergeCell ref="AO84:AP84"/>
    <mergeCell ref="BB49:BC49"/>
    <mergeCell ref="BD49:BE49"/>
    <mergeCell ref="BU28:BV28"/>
    <mergeCell ref="BK52:BL52"/>
    <mergeCell ref="BF63:BG63"/>
    <mergeCell ref="BR43:BU43"/>
    <mergeCell ref="BR36:BU36"/>
    <mergeCell ref="BR45:BS45"/>
    <mergeCell ref="BS56:BT56"/>
    <mergeCell ref="BU56:BV56"/>
    <mergeCell ref="BR18:BS19"/>
    <mergeCell ref="BR17:BS17"/>
    <mergeCell ref="AO35:AP35"/>
    <mergeCell ref="AN17:AO17"/>
    <mergeCell ref="E80:F80"/>
    <mergeCell ref="C29:F29"/>
    <mergeCell ref="AM35:AN35"/>
    <mergeCell ref="C38:D38"/>
    <mergeCell ref="F49:G49"/>
    <mergeCell ref="D14:E14"/>
    <mergeCell ref="F14:G14"/>
    <mergeCell ref="C46:D47"/>
    <mergeCell ref="M14:N14"/>
    <mergeCell ref="AJ63:AK63"/>
    <mergeCell ref="C50:F50"/>
    <mergeCell ref="F77:G77"/>
    <mergeCell ref="I63:J63"/>
    <mergeCell ref="C71:F71"/>
    <mergeCell ref="E46:F47"/>
    <mergeCell ref="D56:E56"/>
    <mergeCell ref="F56:G56"/>
    <mergeCell ref="B70:C70"/>
    <mergeCell ref="AX3:AY3"/>
    <mergeCell ref="BC22:BF22"/>
    <mergeCell ref="J74:K75"/>
    <mergeCell ref="AP17:AQ17"/>
    <mergeCell ref="AU7:AV7"/>
    <mergeCell ref="Q70:R70"/>
    <mergeCell ref="AF84:AG84"/>
    <mergeCell ref="L18:M19"/>
    <mergeCell ref="AH84:AI84"/>
    <mergeCell ref="X84:Y84"/>
    <mergeCell ref="Z84:AA84"/>
    <mergeCell ref="R25:S26"/>
    <mergeCell ref="T25:U26"/>
    <mergeCell ref="R22:U22"/>
    <mergeCell ref="AA52:AB52"/>
    <mergeCell ref="BE24:BF24"/>
    <mergeCell ref="T45:U45"/>
    <mergeCell ref="J78:M78"/>
    <mergeCell ref="AX81:AY82"/>
    <mergeCell ref="BC11:BD12"/>
    <mergeCell ref="BE31:BF31"/>
    <mergeCell ref="BB35:BC35"/>
    <mergeCell ref="AQ14:AR14"/>
    <mergeCell ref="AV10:AW10"/>
    <mergeCell ref="BT18:BU19"/>
    <mergeCell ref="BB84:BC84"/>
    <mergeCell ref="AP67:AQ68"/>
    <mergeCell ref="Z14:AA14"/>
    <mergeCell ref="BD84:BE84"/>
    <mergeCell ref="AW63:AX63"/>
    <mergeCell ref="R4:S5"/>
    <mergeCell ref="Y74:Z75"/>
    <mergeCell ref="T4:U5"/>
    <mergeCell ref="BC18:BD19"/>
    <mergeCell ref="BU35:BV35"/>
    <mergeCell ref="AH77:AI77"/>
    <mergeCell ref="AM42:AN42"/>
    <mergeCell ref="BC80:BD80"/>
    <mergeCell ref="BM46:BN47"/>
    <mergeCell ref="BE80:BF80"/>
    <mergeCell ref="BC29:BF29"/>
    <mergeCell ref="AH35:AI35"/>
    <mergeCell ref="BD14:BE14"/>
    <mergeCell ref="AV4:AW5"/>
    <mergeCell ref="AX4:AY5"/>
    <mergeCell ref="BF42:BG42"/>
    <mergeCell ref="Q84:R84"/>
    <mergeCell ref="AN64:AQ64"/>
    <mergeCell ref="J3:K3"/>
    <mergeCell ref="L59:M59"/>
    <mergeCell ref="AV57:AY57"/>
    <mergeCell ref="L53:M54"/>
    <mergeCell ref="AG57:AJ57"/>
    <mergeCell ref="AA10:AB10"/>
    <mergeCell ref="T38:U38"/>
    <mergeCell ref="AN24:AO24"/>
    <mergeCell ref="R81:S82"/>
    <mergeCell ref="Q42:R42"/>
    <mergeCell ref="T81:U82"/>
    <mergeCell ref="AP24:AQ24"/>
    <mergeCell ref="S42:T42"/>
    <mergeCell ref="S77:T77"/>
    <mergeCell ref="X7:Y7"/>
    <mergeCell ref="AP81:AQ82"/>
    <mergeCell ref="AP74:AQ75"/>
    <mergeCell ref="AI80:AJ80"/>
    <mergeCell ref="J81:K82"/>
    <mergeCell ref="J53:K54"/>
    <mergeCell ref="AO14:AP14"/>
    <mergeCell ref="AN15:AQ15"/>
    <mergeCell ref="AP3:AQ3"/>
    <mergeCell ref="AF77:AG77"/>
    <mergeCell ref="J1:M1"/>
    <mergeCell ref="J57:M57"/>
    <mergeCell ref="BK81:BL82"/>
    <mergeCell ref="AX66:AY66"/>
    <mergeCell ref="BD28:BE28"/>
    <mergeCell ref="AU70:AV70"/>
    <mergeCell ref="BR52:BS52"/>
    <mergeCell ref="AX60:AY61"/>
    <mergeCell ref="R11:S12"/>
    <mergeCell ref="AH49:AI49"/>
    <mergeCell ref="AF14:AG14"/>
    <mergeCell ref="AJ49:AK49"/>
    <mergeCell ref="X14:Y14"/>
    <mergeCell ref="BK71:BN71"/>
    <mergeCell ref="BJ14:BK14"/>
    <mergeCell ref="BL14:BM14"/>
    <mergeCell ref="BN70:BO70"/>
    <mergeCell ref="BN7:BO7"/>
    <mergeCell ref="BK18:BL19"/>
    <mergeCell ref="BK67:BL68"/>
    <mergeCell ref="BM67:BN68"/>
    <mergeCell ref="U77:V77"/>
    <mergeCell ref="Z7:AA7"/>
    <mergeCell ref="R1:U1"/>
    <mergeCell ref="BE3:BF3"/>
    <mergeCell ref="X70:Y70"/>
    <mergeCell ref="R73:S73"/>
    <mergeCell ref="AH56:AI56"/>
    <mergeCell ref="AJ56:AK56"/>
    <mergeCell ref="T24:U24"/>
    <mergeCell ref="BR39:BS40"/>
    <mergeCell ref="BT46:BU47"/>
    <mergeCell ref="AG38:AH38"/>
    <mergeCell ref="BC59:BD59"/>
    <mergeCell ref="AI38:AJ38"/>
    <mergeCell ref="R10:S10"/>
    <mergeCell ref="AB63:AC63"/>
    <mergeCell ref="BR32:BS33"/>
    <mergeCell ref="BT32:BU33"/>
    <mergeCell ref="AV64:AY64"/>
    <mergeCell ref="AG53:AH54"/>
    <mergeCell ref="AV73:AW73"/>
    <mergeCell ref="BK31:BL31"/>
    <mergeCell ref="AG29:AJ29"/>
    <mergeCell ref="U28:V28"/>
    <mergeCell ref="Q49:R49"/>
    <mergeCell ref="BB14:BC14"/>
    <mergeCell ref="BC46:BD47"/>
    <mergeCell ref="C81:D82"/>
    <mergeCell ref="B42:C42"/>
    <mergeCell ref="X35:Y35"/>
    <mergeCell ref="Z35:AA35"/>
    <mergeCell ref="C78:F78"/>
    <mergeCell ref="J25:K26"/>
    <mergeCell ref="AW49:AX49"/>
    <mergeCell ref="C15:F15"/>
    <mergeCell ref="R80:S80"/>
    <mergeCell ref="AJ28:AK28"/>
    <mergeCell ref="T80:U80"/>
    <mergeCell ref="J45:K45"/>
    <mergeCell ref="Q35:R35"/>
    <mergeCell ref="E18:F19"/>
    <mergeCell ref="Y59:Z59"/>
    <mergeCell ref="AX52:AY52"/>
    <mergeCell ref="L38:M38"/>
    <mergeCell ref="AV25:AW26"/>
    <mergeCell ref="I42:J42"/>
    <mergeCell ref="K42:L42"/>
    <mergeCell ref="AX38:AY38"/>
    <mergeCell ref="AI46:AJ47"/>
    <mergeCell ref="AG59:AH59"/>
    <mergeCell ref="AP32:AQ33"/>
    <mergeCell ref="BR81:BS82"/>
    <mergeCell ref="BQ42:BR42"/>
    <mergeCell ref="BQ77:BR77"/>
    <mergeCell ref="BL56:BM56"/>
    <mergeCell ref="BS77:BT77"/>
    <mergeCell ref="BN56:BO56"/>
    <mergeCell ref="T52:U52"/>
    <mergeCell ref="AN73:AO73"/>
    <mergeCell ref="BT74:BU75"/>
    <mergeCell ref="BK59:BL59"/>
    <mergeCell ref="AB42:AC42"/>
    <mergeCell ref="AN66:AO66"/>
    <mergeCell ref="AP66:AQ66"/>
    <mergeCell ref="BK53:BL54"/>
    <mergeCell ref="BC53:BD54"/>
    <mergeCell ref="AN81:AO82"/>
    <mergeCell ref="Z56:AA56"/>
    <mergeCell ref="AB56:AC56"/>
    <mergeCell ref="AW42:AX42"/>
    <mergeCell ref="T60:U61"/>
    <mergeCell ref="BC52:BD52"/>
    <mergeCell ref="BE52:BF52"/>
    <mergeCell ref="Y67:Z68"/>
    <mergeCell ref="Y50:AB50"/>
    <mergeCell ref="AV80:AW80"/>
    <mergeCell ref="AU35:AV35"/>
    <mergeCell ref="AQ56:AR56"/>
    <mergeCell ref="AV52:AW52"/>
    <mergeCell ref="J80:K80"/>
    <mergeCell ref="T73:U73"/>
    <mergeCell ref="L73:M73"/>
    <mergeCell ref="I35:J35"/>
    <mergeCell ref="S84:T84"/>
    <mergeCell ref="Y53:Z54"/>
    <mergeCell ref="AF35:AG35"/>
    <mergeCell ref="K49:L49"/>
    <mergeCell ref="AB49:AC49"/>
    <mergeCell ref="J73:K73"/>
    <mergeCell ref="I70:J70"/>
    <mergeCell ref="L60:M61"/>
    <mergeCell ref="J64:M64"/>
    <mergeCell ref="K63:L63"/>
    <mergeCell ref="J43:M43"/>
    <mergeCell ref="AG74:AH75"/>
    <mergeCell ref="L81:M82"/>
    <mergeCell ref="AM77:AN77"/>
    <mergeCell ref="T59:U59"/>
    <mergeCell ref="AO77:AP77"/>
    <mergeCell ref="BR4:BS5"/>
    <mergeCell ref="BT4:BU5"/>
    <mergeCell ref="AP38:AQ38"/>
    <mergeCell ref="AY63:AZ63"/>
    <mergeCell ref="BJ21:BK21"/>
    <mergeCell ref="BK60:BL61"/>
    <mergeCell ref="AX45:AY45"/>
    <mergeCell ref="AU49:AV49"/>
    <mergeCell ref="AX39:AY40"/>
    <mergeCell ref="BK17:BL17"/>
    <mergeCell ref="BQ63:BR63"/>
    <mergeCell ref="BS63:BT63"/>
    <mergeCell ref="BR25:BS26"/>
    <mergeCell ref="BR22:BU22"/>
    <mergeCell ref="BT59:BU59"/>
    <mergeCell ref="BR24:BS24"/>
    <mergeCell ref="AP4:AQ5"/>
    <mergeCell ref="BJ42:BK42"/>
    <mergeCell ref="BE46:BF47"/>
    <mergeCell ref="BM39:BN40"/>
    <mergeCell ref="AX32:AY33"/>
    <mergeCell ref="BK57:BN57"/>
    <mergeCell ref="BT38:BU38"/>
    <mergeCell ref="BM31:BN31"/>
    <mergeCell ref="BB77:BC77"/>
    <mergeCell ref="AN60:AO61"/>
    <mergeCell ref="AO21:AP21"/>
    <mergeCell ref="AP60:AQ61"/>
    <mergeCell ref="AG24:AH24"/>
    <mergeCell ref="AN43:AQ43"/>
    <mergeCell ref="AB28:AC28"/>
    <mergeCell ref="Z28:AA28"/>
    <mergeCell ref="AV18:AW19"/>
    <mergeCell ref="AV67:AW68"/>
    <mergeCell ref="AN25:AO26"/>
    <mergeCell ref="AG32:AH33"/>
    <mergeCell ref="BB56:BC56"/>
    <mergeCell ref="AB70:AC70"/>
    <mergeCell ref="AQ77:AR77"/>
    <mergeCell ref="AF21:AG21"/>
    <mergeCell ref="AG60:AH61"/>
    <mergeCell ref="AI60:AJ61"/>
    <mergeCell ref="AX25:AY26"/>
    <mergeCell ref="BC64:BF64"/>
    <mergeCell ref="Z49:AA49"/>
    <mergeCell ref="AQ28:AR28"/>
    <mergeCell ref="AI31:AJ31"/>
    <mergeCell ref="AV22:AY22"/>
    <mergeCell ref="BT81:BU82"/>
    <mergeCell ref="Q14:R14"/>
    <mergeCell ref="AU84:AV84"/>
    <mergeCell ref="AA18:AB19"/>
    <mergeCell ref="BK36:BN36"/>
    <mergeCell ref="BR64:BU64"/>
    <mergeCell ref="AA67:AB68"/>
    <mergeCell ref="Y32:Z33"/>
    <mergeCell ref="S14:T14"/>
    <mergeCell ref="BS42:BT42"/>
    <mergeCell ref="AA32:AB33"/>
    <mergeCell ref="AG22:AJ22"/>
    <mergeCell ref="BN35:BO35"/>
    <mergeCell ref="Y80:Z80"/>
    <mergeCell ref="AV24:AW24"/>
    <mergeCell ref="AA80:AB80"/>
    <mergeCell ref="AA31:AB31"/>
    <mergeCell ref="Y29:AB29"/>
    <mergeCell ref="BR66:BS66"/>
    <mergeCell ref="BK38:BL38"/>
    <mergeCell ref="AP45:AQ45"/>
    <mergeCell ref="BM32:BN33"/>
    <mergeCell ref="BR38:BS38"/>
    <mergeCell ref="BJ77:BK77"/>
    <mergeCell ref="BR80:BS80"/>
    <mergeCell ref="BT31:BU31"/>
    <mergeCell ref="J22:M22"/>
    <mergeCell ref="AG71:AJ71"/>
    <mergeCell ref="AV31:AW31"/>
    <mergeCell ref="B7:C7"/>
    <mergeCell ref="D63:E63"/>
    <mergeCell ref="BC8:BF8"/>
    <mergeCell ref="BR73:BS73"/>
    <mergeCell ref="BT73:BU73"/>
    <mergeCell ref="AH14:AI14"/>
    <mergeCell ref="C57:F57"/>
    <mergeCell ref="AJ14:AK14"/>
    <mergeCell ref="AJ70:AK70"/>
    <mergeCell ref="AU28:AV28"/>
    <mergeCell ref="BQ49:BR49"/>
    <mergeCell ref="AW28:AX28"/>
    <mergeCell ref="BF56:BG56"/>
    <mergeCell ref="R71:U71"/>
    <mergeCell ref="R18:S19"/>
    <mergeCell ref="J24:K24"/>
    <mergeCell ref="AJ7:AK7"/>
    <mergeCell ref="L24:M24"/>
    <mergeCell ref="Y18:Z19"/>
    <mergeCell ref="AB84:AC84"/>
    <mergeCell ref="BK15:BN15"/>
    <mergeCell ref="R67:S68"/>
    <mergeCell ref="T67:U68"/>
    <mergeCell ref="L45:M45"/>
    <mergeCell ref="BT17:BU17"/>
    <mergeCell ref="BR60:BS61"/>
    <mergeCell ref="BQ21:BR21"/>
    <mergeCell ref="BT60:BU61"/>
    <mergeCell ref="BS21:BT21"/>
    <mergeCell ref="BK24:BL24"/>
    <mergeCell ref="BC24:BD24"/>
    <mergeCell ref="AG81:AH82"/>
    <mergeCell ref="AF42:AG42"/>
    <mergeCell ref="T66:U66"/>
    <mergeCell ref="BL35:BM35"/>
    <mergeCell ref="AN52:AO52"/>
    <mergeCell ref="T31:U31"/>
    <mergeCell ref="BN84:BO84"/>
    <mergeCell ref="AI74:AJ75"/>
    <mergeCell ref="BB21:BC21"/>
    <mergeCell ref="S63:T63"/>
    <mergeCell ref="BK32:BL33"/>
    <mergeCell ref="U63:V63"/>
    <mergeCell ref="I84:J84"/>
    <mergeCell ref="C36:F36"/>
    <mergeCell ref="C25:D26"/>
    <mergeCell ref="BF70:BG70"/>
    <mergeCell ref="BQ28:BR28"/>
    <mergeCell ref="BF35:BG35"/>
    <mergeCell ref="AN18:AO19"/>
    <mergeCell ref="BD56:BE56"/>
    <mergeCell ref="BF7:BG7"/>
    <mergeCell ref="AX10:AY10"/>
    <mergeCell ref="C45:D45"/>
    <mergeCell ref="AU14:AV14"/>
    <mergeCell ref="AM14:AN14"/>
    <mergeCell ref="BC67:BD68"/>
    <mergeCell ref="BJ63:BK63"/>
    <mergeCell ref="BQ84:BR84"/>
    <mergeCell ref="BL63:BM63"/>
    <mergeCell ref="R59:S59"/>
    <mergeCell ref="BE67:BF68"/>
    <mergeCell ref="S70:T70"/>
    <mergeCell ref="AY42:AZ42"/>
    <mergeCell ref="U70:V70"/>
    <mergeCell ref="E38:F38"/>
    <mergeCell ref="BE11:BF12"/>
    <mergeCell ref="BM74:BN75"/>
    <mergeCell ref="BE74:BF75"/>
    <mergeCell ref="AG25:AH26"/>
    <mergeCell ref="AM63:AN63"/>
    <mergeCell ref="AG66:AH66"/>
    <mergeCell ref="U42:V42"/>
    <mergeCell ref="AO63:AP63"/>
    <mergeCell ref="AI66:AJ66"/>
    <mergeCell ref="AQ63:AR63"/>
    <mergeCell ref="AP39:AQ40"/>
    <mergeCell ref="BC71:BF71"/>
    <mergeCell ref="AV46:AW47"/>
    <mergeCell ref="AX46:AY47"/>
    <mergeCell ref="Z63:AA63"/>
    <mergeCell ref="BC32:BD33"/>
    <mergeCell ref="BE32:BF33"/>
    <mergeCell ref="BK29:BN29"/>
    <mergeCell ref="BE25:BF26"/>
    <mergeCell ref="T46:U47"/>
    <mergeCell ref="R29:U29"/>
    <mergeCell ref="BC66:BD66"/>
    <mergeCell ref="AQ42:AR42"/>
    <mergeCell ref="AI45:AJ45"/>
    <mergeCell ref="X49:Y49"/>
    <mergeCell ref="BM81:BN82"/>
    <mergeCell ref="AW70:AX70"/>
    <mergeCell ref="Y38:Z38"/>
    <mergeCell ref="AY21:AZ21"/>
    <mergeCell ref="AY70:AZ70"/>
    <mergeCell ref="AA38:AB38"/>
    <mergeCell ref="Y81:Z82"/>
    <mergeCell ref="J10:K10"/>
    <mergeCell ref="L66:M66"/>
    <mergeCell ref="Y24:Z24"/>
    <mergeCell ref="AF49:AG49"/>
    <mergeCell ref="BK78:BN78"/>
    <mergeCell ref="AN67:AO68"/>
    <mergeCell ref="AA74:AB75"/>
    <mergeCell ref="AA46:AB47"/>
    <mergeCell ref="AG64:AJ64"/>
    <mergeCell ref="R53:S54"/>
    <mergeCell ref="BM38:BN38"/>
    <mergeCell ref="Y15:AB15"/>
    <mergeCell ref="AN31:AO31"/>
    <mergeCell ref="BN14:BO14"/>
    <mergeCell ref="S49:T49"/>
    <mergeCell ref="AP31:AQ31"/>
    <mergeCell ref="AM70:AN70"/>
    <mergeCell ref="AM84:AN84"/>
    <mergeCell ref="K70:L70"/>
    <mergeCell ref="K14:L14"/>
    <mergeCell ref="AI53:AJ54"/>
    <mergeCell ref="AG36:AJ36"/>
    <mergeCell ref="BC74:BD75"/>
    <mergeCell ref="BC57:BF57"/>
    <mergeCell ref="AV29:AY29"/>
    <mergeCell ref="C4:D5"/>
    <mergeCell ref="E4:F5"/>
    <mergeCell ref="AX73:AY73"/>
    <mergeCell ref="BD35:BE35"/>
    <mergeCell ref="Y22:AB22"/>
    <mergeCell ref="Y78:AB78"/>
    <mergeCell ref="AW7:AX7"/>
    <mergeCell ref="BF84:BG84"/>
    <mergeCell ref="E32:F33"/>
    <mergeCell ref="B77:C77"/>
    <mergeCell ref="D77:E77"/>
    <mergeCell ref="Y71:AB71"/>
    <mergeCell ref="B49:C49"/>
    <mergeCell ref="AB7:AC7"/>
    <mergeCell ref="AN22:AQ22"/>
    <mergeCell ref="E60:F61"/>
    <mergeCell ref="X77:Y77"/>
    <mergeCell ref="S56:T56"/>
    <mergeCell ref="C24:D24"/>
    <mergeCell ref="Z77:AA77"/>
    <mergeCell ref="E24:F24"/>
    <mergeCell ref="R38:S38"/>
    <mergeCell ref="Y57:AB57"/>
    <mergeCell ref="R32:S33"/>
    <mergeCell ref="C32:D33"/>
    <mergeCell ref="R46:S47"/>
    <mergeCell ref="C52:D52"/>
    <mergeCell ref="K35:L35"/>
    <mergeCell ref="C74:D75"/>
    <mergeCell ref="B35:C35"/>
    <mergeCell ref="D35:E35"/>
    <mergeCell ref="I77:J77"/>
    <mergeCell ref="F63:G63"/>
    <mergeCell ref="C67:D68"/>
    <mergeCell ref="L32:M33"/>
    <mergeCell ref="J29:M29"/>
    <mergeCell ref="M28:N28"/>
    <mergeCell ref="L25:M26"/>
    <mergeCell ref="C39:D40"/>
    <mergeCell ref="F28:G28"/>
    <mergeCell ref="BK74:BL75"/>
    <mergeCell ref="C43:F43"/>
    <mergeCell ref="B63:C63"/>
    <mergeCell ref="C53:D54"/>
    <mergeCell ref="E53:F54"/>
    <mergeCell ref="C66:D66"/>
    <mergeCell ref="E66:F66"/>
    <mergeCell ref="C59:D59"/>
    <mergeCell ref="E59:F59"/>
    <mergeCell ref="C73:D73"/>
    <mergeCell ref="E73:F73"/>
    <mergeCell ref="BK66:BL66"/>
    <mergeCell ref="M63:N63"/>
    <mergeCell ref="E67:F68"/>
    <mergeCell ref="C60:D61"/>
    <mergeCell ref="AG67:AH68"/>
    <mergeCell ref="AI67:AJ68"/>
    <mergeCell ref="AG50:AJ50"/>
    <mergeCell ref="BJ49:BK49"/>
    <mergeCell ref="BL49:BM49"/>
    <mergeCell ref="BS70:BT70"/>
    <mergeCell ref="BE38:BF38"/>
    <mergeCell ref="BM73:BN73"/>
    <mergeCell ref="BK4:BL5"/>
    <mergeCell ref="AX11:AY12"/>
    <mergeCell ref="BF49:BG49"/>
    <mergeCell ref="BM45:BN45"/>
    <mergeCell ref="U35:V35"/>
    <mergeCell ref="BR67:BS68"/>
    <mergeCell ref="BT66:BU66"/>
    <mergeCell ref="BR31:BS31"/>
    <mergeCell ref="T11:U12"/>
    <mergeCell ref="BT39:BU40"/>
    <mergeCell ref="BR71:BU71"/>
    <mergeCell ref="BS28:BT28"/>
    <mergeCell ref="BT10:BU10"/>
    <mergeCell ref="BQ14:BR14"/>
    <mergeCell ref="BL42:BM42"/>
    <mergeCell ref="BK8:BN8"/>
    <mergeCell ref="BK22:BN22"/>
    <mergeCell ref="BM11:BN12"/>
    <mergeCell ref="AM21:AN21"/>
    <mergeCell ref="AI17:AJ17"/>
    <mergeCell ref="AV11:AW12"/>
    <mergeCell ref="AN1:AQ1"/>
    <mergeCell ref="E39:F40"/>
    <mergeCell ref="BC50:BF50"/>
    <mergeCell ref="C22:F22"/>
    <mergeCell ref="AJ35:AK35"/>
    <mergeCell ref="L52:M52"/>
    <mergeCell ref="BQ70:BR70"/>
    <mergeCell ref="R36:U36"/>
    <mergeCell ref="BC38:BD38"/>
    <mergeCell ref="Q56:R56"/>
    <mergeCell ref="E17:F17"/>
    <mergeCell ref="BK1:BN1"/>
    <mergeCell ref="D21:E21"/>
    <mergeCell ref="BR3:BS3"/>
    <mergeCell ref="BK3:BL3"/>
    <mergeCell ref="BC3:BD3"/>
    <mergeCell ref="L3:M3"/>
    <mergeCell ref="AG1:AJ1"/>
    <mergeCell ref="AG3:AH3"/>
    <mergeCell ref="AI3:AJ3"/>
    <mergeCell ref="AV1:AY1"/>
    <mergeCell ref="BR1:BU1"/>
    <mergeCell ref="R52:S52"/>
    <mergeCell ref="J11:K12"/>
    <mergeCell ref="BU77:BV77"/>
    <mergeCell ref="BM17:BN17"/>
    <mergeCell ref="AP73:AQ73"/>
    <mergeCell ref="BC60:BD61"/>
    <mergeCell ref="AM49:AN49"/>
    <mergeCell ref="AP10:AQ10"/>
    <mergeCell ref="S28:T28"/>
    <mergeCell ref="AG52:AH52"/>
    <mergeCell ref="C80:D80"/>
    <mergeCell ref="C31:D31"/>
    <mergeCell ref="E31:F31"/>
    <mergeCell ref="BM53:BN54"/>
    <mergeCell ref="BB63:BC63"/>
    <mergeCell ref="BE53:BF54"/>
    <mergeCell ref="AX17:AY17"/>
    <mergeCell ref="BC36:BF36"/>
    <mergeCell ref="AG45:AH45"/>
    <mergeCell ref="U21:V21"/>
    <mergeCell ref="AO42:AP42"/>
    <mergeCell ref="AJ77:AK77"/>
    <mergeCell ref="BR50:BU50"/>
    <mergeCell ref="B28:C28"/>
    <mergeCell ref="AV32:AW33"/>
    <mergeCell ref="D28:E28"/>
    <mergeCell ref="B84:C84"/>
    <mergeCell ref="Y64:AB64"/>
    <mergeCell ref="AV8:AY8"/>
    <mergeCell ref="BK73:BL73"/>
    <mergeCell ref="BJ28:BK28"/>
    <mergeCell ref="AU56:AV56"/>
    <mergeCell ref="AW56:AX56"/>
    <mergeCell ref="AY7:AZ7"/>
    <mergeCell ref="AO56:AP56"/>
    <mergeCell ref="AN38:AO38"/>
    <mergeCell ref="AJ84:AK84"/>
    <mergeCell ref="AN32:AO33"/>
    <mergeCell ref="Y66:Z66"/>
    <mergeCell ref="AA17:AB17"/>
    <mergeCell ref="BK64:BN64"/>
    <mergeCell ref="E74:F75"/>
    <mergeCell ref="X21:Y21"/>
    <mergeCell ref="Y60:Z61"/>
    <mergeCell ref="AF56:AG56"/>
    <mergeCell ref="AA60:AB61"/>
    <mergeCell ref="Q77:R77"/>
    <mergeCell ref="U84:V84"/>
    <mergeCell ref="AN80:AO80"/>
    <mergeCell ref="AN46:AO47"/>
    <mergeCell ref="AQ84:AR84"/>
    <mergeCell ref="C3:D3"/>
    <mergeCell ref="E3:F3"/>
    <mergeCell ref="L74:M75"/>
    <mergeCell ref="BK43:BN43"/>
    <mergeCell ref="Y36:AB36"/>
    <mergeCell ref="BC43:BF43"/>
    <mergeCell ref="BT45:BU45"/>
    <mergeCell ref="BR10:BS10"/>
    <mergeCell ref="AM28:AN28"/>
    <mergeCell ref="AO28:AP28"/>
    <mergeCell ref="AB35:AC35"/>
    <mergeCell ref="J71:M71"/>
    <mergeCell ref="AG31:AH31"/>
    <mergeCell ref="J18:K19"/>
    <mergeCell ref="AV74:AW75"/>
    <mergeCell ref="T10:U10"/>
    <mergeCell ref="AX74:AY75"/>
    <mergeCell ref="BC4:BD5"/>
    <mergeCell ref="R8:U8"/>
    <mergeCell ref="J8:M8"/>
    <mergeCell ref="AF63:AG63"/>
    <mergeCell ref="BC45:BD45"/>
    <mergeCell ref="AQ21:AR21"/>
    <mergeCell ref="C1:F1"/>
    <mergeCell ref="J31:K31"/>
    <mergeCell ref="L31:M31"/>
    <mergeCell ref="BS49:BT49"/>
    <mergeCell ref="Y45:Z45"/>
    <mergeCell ref="BC17:BD17"/>
    <mergeCell ref="BE17:BF17"/>
    <mergeCell ref="BM52:BN52"/>
    <mergeCell ref="BU49:BV49"/>
    <mergeCell ref="BR11:BS12"/>
    <mergeCell ref="BT11:BU12"/>
    <mergeCell ref="K28:L28"/>
    <mergeCell ref="U14:V14"/>
    <mergeCell ref="BR46:BS47"/>
    <mergeCell ref="AI24:AJ24"/>
    <mergeCell ref="F42:G42"/>
    <mergeCell ref="L11:M12"/>
    <mergeCell ref="AX18:AY19"/>
    <mergeCell ref="AG39:AH40"/>
    <mergeCell ref="U7:V7"/>
    <mergeCell ref="AI39:AJ40"/>
    <mergeCell ref="M7:N7"/>
    <mergeCell ref="AP25:AQ26"/>
    <mergeCell ref="BT25:BU26"/>
    <mergeCell ref="BC81:BD82"/>
    <mergeCell ref="BB42:BC42"/>
    <mergeCell ref="B14:C14"/>
    <mergeCell ref="D70:E70"/>
    <mergeCell ref="Y43:AB43"/>
    <mergeCell ref="J67:K68"/>
    <mergeCell ref="BR8:BU8"/>
    <mergeCell ref="BC15:BF15"/>
    <mergeCell ref="BT80:BU80"/>
    <mergeCell ref="Q63:R63"/>
    <mergeCell ref="F70:G70"/>
    <mergeCell ref="E81:F82"/>
    <mergeCell ref="C64:F64"/>
    <mergeCell ref="BQ56:BR56"/>
    <mergeCell ref="AW35:AX35"/>
    <mergeCell ref="R78:U78"/>
    <mergeCell ref="AY35:AZ35"/>
    <mergeCell ref="Y52:Z52"/>
    <mergeCell ref="AH70:AI70"/>
    <mergeCell ref="AH63:AI63"/>
    <mergeCell ref="AV60:AW61"/>
    <mergeCell ref="AX67:AY68"/>
    <mergeCell ref="I56:J56"/>
    <mergeCell ref="K56:L56"/>
    <mergeCell ref="Y3:Z3"/>
    <mergeCell ref="AA53:AB54"/>
    <mergeCell ref="AP46:AQ47"/>
    <mergeCell ref="BE45:BF45"/>
    <mergeCell ref="AG43:AJ43"/>
    <mergeCell ref="Y8:AB8"/>
    <mergeCell ref="AG4:AH5"/>
    <mergeCell ref="Y4:Z5"/>
    <mergeCell ref="J52:K52"/>
    <mergeCell ref="BC31:BD31"/>
    <mergeCell ref="AN4:AO5"/>
    <mergeCell ref="I21:J21"/>
    <mergeCell ref="AA11:AB12"/>
    <mergeCell ref="I7:J7"/>
    <mergeCell ref="R15:U15"/>
    <mergeCell ref="J15:M15"/>
    <mergeCell ref="Y17:Z17"/>
    <mergeCell ref="AI32:AJ33"/>
    <mergeCell ref="Q21:R21"/>
    <mergeCell ref="J17:K17"/>
    <mergeCell ref="AX31:AY31"/>
    <mergeCell ref="BF28:BG28"/>
    <mergeCell ref="AG8:AJ8"/>
    <mergeCell ref="AN10:AO10"/>
    <mergeCell ref="AQ7:AR7"/>
    <mergeCell ref="BE39:BF40"/>
    <mergeCell ref="BC39:BD40"/>
    <mergeCell ref="M35:N35"/>
    <mergeCell ref="M70:N70"/>
    <mergeCell ref="S7:T7"/>
    <mergeCell ref="D7:E7"/>
    <mergeCell ref="AV71:AY71"/>
    <mergeCell ref="L67:M68"/>
    <mergeCell ref="I14:J14"/>
    <mergeCell ref="AM7:AN7"/>
    <mergeCell ref="C17:D17"/>
    <mergeCell ref="K21:L21"/>
    <mergeCell ref="F21:G21"/>
    <mergeCell ref="S21:T21"/>
    <mergeCell ref="F35:G35"/>
    <mergeCell ref="C18:D19"/>
    <mergeCell ref="B21:C21"/>
    <mergeCell ref="C10:D10"/>
    <mergeCell ref="E10:F10"/>
    <mergeCell ref="R24:S24"/>
    <mergeCell ref="AG18:AH19"/>
    <mergeCell ref="AN39:AO40"/>
    <mergeCell ref="I28:J28"/>
    <mergeCell ref="BM3:BN3"/>
    <mergeCell ref="BM59:BN59"/>
    <mergeCell ref="AN8:AQ8"/>
    <mergeCell ref="BU21:BV21"/>
    <mergeCell ref="AN11:AO12"/>
    <mergeCell ref="J59:K59"/>
    <mergeCell ref="AP11:AQ12"/>
    <mergeCell ref="AJ42:AK42"/>
    <mergeCell ref="BK45:BL45"/>
    <mergeCell ref="BB28:BC28"/>
    <mergeCell ref="AP52:AQ52"/>
    <mergeCell ref="BK39:BL40"/>
    <mergeCell ref="AM56:AN56"/>
    <mergeCell ref="BU42:BV42"/>
    <mergeCell ref="BT3:BU3"/>
    <mergeCell ref="T3:U3"/>
    <mergeCell ref="J4:K5"/>
    <mergeCell ref="L4:M5"/>
    <mergeCell ref="I49:J49"/>
    <mergeCell ref="L39:M40"/>
    <mergeCell ref="AG15:AJ15"/>
    <mergeCell ref="AA4:AB5"/>
    <mergeCell ref="AN3:AO3"/>
    <mergeCell ref="AV3:AW3"/>
  </mergeCells>
  <phoneticPr fontId="1"/>
  <pageMargins left="0.70866141732283472" right="0.70866141732283472" top="0.74803149606299213" bottom="0.74803149606299213" header="0.31496062992125978" footer="0.31496062992125978"/>
  <pageSetup paperSize="9" scale="85" orientation="portrait" horizontalDpi="1200" verticalDpi="1200"/>
  <headerFooter>
    <oddHeader xml:space="preserve">&amp;L
</oddHead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W47"/>
  <sheetViews>
    <sheetView tabSelected="1" view="pageLayout" zoomScale="55" zoomScaleNormal="70" zoomScalePageLayoutView="55" workbookViewId="0">
      <selection activeCell="B1" sqref="B1"/>
    </sheetView>
  </sheetViews>
  <sheetFormatPr defaultRowHeight="22.2" x14ac:dyDescent="0.55000000000000004"/>
  <cols>
    <col min="1" max="1" width="2.796875" style="65" customWidth="1"/>
    <col min="2" max="2" width="8.09765625" style="65" customWidth="1"/>
    <col min="3" max="6" width="7.59765625" style="65" customWidth="1"/>
    <col min="7" max="7" width="8.09765625" style="78" customWidth="1"/>
    <col min="8" max="8" width="8.59765625" style="65" hidden="1" customWidth="1"/>
    <col min="9" max="9" width="8.09765625" style="65" customWidth="1"/>
    <col min="10" max="13" width="7.59765625" style="65" customWidth="1"/>
    <col min="14" max="14" width="7.5" style="75" customWidth="1"/>
    <col min="15" max="16" width="2.796875" style="65" customWidth="1"/>
    <col min="17" max="17" width="8.09765625" style="65" customWidth="1"/>
    <col min="18" max="21" width="7.59765625" style="65" customWidth="1"/>
    <col min="22" max="22" width="8.09765625" style="78" customWidth="1"/>
    <col min="23" max="23" width="8.59765625" style="65" hidden="1" customWidth="1"/>
    <col min="24" max="24" width="8.09765625" style="65" customWidth="1"/>
    <col min="25" max="28" width="7.59765625" style="65" customWidth="1"/>
    <col min="29" max="29" width="7.5" style="75" customWidth="1"/>
    <col min="30" max="31" width="2.796875" style="65" customWidth="1"/>
    <col min="32" max="32" width="8.09765625" style="65" customWidth="1"/>
    <col min="33" max="36" width="7.59765625" style="65" customWidth="1"/>
    <col min="37" max="37" width="8.09765625" style="78" customWidth="1"/>
    <col min="38" max="38" width="8.59765625" style="65" hidden="1" customWidth="1"/>
    <col min="39" max="39" width="8.09765625" style="65" customWidth="1"/>
    <col min="40" max="43" width="7.59765625" style="65" customWidth="1"/>
    <col min="44" max="44" width="7.5" style="75" customWidth="1"/>
    <col min="45" max="46" width="2.796875" style="65" customWidth="1"/>
    <col min="47" max="47" width="8.09765625" style="65" customWidth="1"/>
    <col min="48" max="51" width="7.59765625" style="65" customWidth="1"/>
    <col min="52" max="52" width="8.09765625" style="78" customWidth="1"/>
    <col min="53" max="53" width="8.796875" style="65" hidden="1" customWidth="1"/>
    <col min="54" max="54" width="8.09765625" style="65" customWidth="1"/>
    <col min="55" max="58" width="7.59765625" style="65" customWidth="1"/>
    <col min="59" max="59" width="7.5" style="75" customWidth="1"/>
    <col min="60" max="61" width="2.796875" style="65" customWidth="1"/>
    <col min="62" max="62" width="8.09765625" style="65" customWidth="1"/>
    <col min="63" max="66" width="7.59765625" style="65" customWidth="1"/>
    <col min="67" max="67" width="8.09765625" style="78" customWidth="1"/>
    <col min="68" max="68" width="8.59765625" style="65" hidden="1" customWidth="1"/>
    <col min="69" max="69" width="8.09765625" style="65" customWidth="1"/>
    <col min="70" max="73" width="7.59765625" style="65" customWidth="1"/>
    <col min="74" max="74" width="7.5" style="75" customWidth="1"/>
    <col min="75" max="75" width="2.796875" style="65" customWidth="1"/>
  </cols>
  <sheetData>
    <row r="1" spans="1:75" s="68" customFormat="1" ht="25.8" customHeight="1" x14ac:dyDescent="0.55000000000000004">
      <c r="A1" s="67">
        <v>1</v>
      </c>
      <c r="B1" s="80" t="e">
        <f ca="1">IF(C1&lt;&gt;"",
MID(貼り付け用!$A$2, FIND("年",貼り付け用!$A$2)+1,2)&amp;"/"&amp;MID(貼り付け用!$A$2, FIND("月",貼り付け用!$A$2)+1,2),"")</f>
        <v>#VALUE!</v>
      </c>
      <c r="C1" s="164" t="str" cm="1">
        <f t="array" aca="1" ref="C1" ca="1">IF(B2="〇",
INDIRECT("'盛付札（関数）'!CL"&amp;A1+1),INDIRECT("'盛付札（関数）'!CL"&amp;A1))</f>
        <v>ニシム</v>
      </c>
      <c r="D1" s="164"/>
      <c r="E1" s="164"/>
      <c r="F1" s="164"/>
      <c r="G1" s="79" t="str">
        <f ca="1">IF(C1&lt;&gt;"","様","")</f>
        <v>様</v>
      </c>
      <c r="H1" s="73">
        <f ca="1">IF(COUNTIF(INDIRECT("'盛付札（関数）'!CL"&amp;A1+1),"*社食*"),
A1+2,A1+1)</f>
        <v>2</v>
      </c>
      <c r="I1" s="80" t="e">
        <f ca="1">IF(J1&lt;&gt;"",
MID(貼り付け用!$A$2, FIND("年",貼り付け用!$A$2)+1,2)&amp;"/"&amp;MID(貼り付け用!$A$2, FIND("月",貼り付け用!$A$2)+1,2),"")</f>
        <v>#VALUE!</v>
      </c>
      <c r="J1" s="164" t="str" cm="1">
        <f t="array" aca="1" ref="J1" ca="1">IF(I2="〇",
INDIRECT("'盛付札（関数）'!CL"&amp;H1+1),INDIRECT("'盛付札（関数）'!CL"&amp;H1))</f>
        <v>新日本製薬</v>
      </c>
      <c r="K1" s="164"/>
      <c r="L1" s="164"/>
      <c r="M1" s="164"/>
      <c r="N1" s="79" t="str">
        <f ca="1">IF(J1&lt;&gt;"","様","")</f>
        <v>様</v>
      </c>
      <c r="O1" s="53"/>
      <c r="P1" s="67">
        <f ca="1">IF(COUNTIF(INDIRECT("'盛付札（関数）'!CL"&amp;H41+1),"*社食*"),
H41+2,H41+1)</f>
        <v>13</v>
      </c>
      <c r="Q1" s="80" t="str">
        <f ca="1">IF(R1&lt;&gt;"",
MID(貼り付け用!$A$2, FIND("年",貼り付け用!$A$2)+1,2)&amp;"/"&amp;MID(貼り付け用!$A$2, FIND("月",貼り付け用!$A$2)+1,2),"")</f>
        <v/>
      </c>
      <c r="R1" s="164" t="str" cm="1">
        <f t="array" aca="1" ref="R1" ca="1">IF(Q2="〇",
INDIRECT("'盛付札（関数）'!CL"&amp;P1+1),INDIRECT("'盛付札（関数）'!CL"&amp;P1))</f>
        <v/>
      </c>
      <c r="S1" s="165"/>
      <c r="T1" s="165"/>
      <c r="U1" s="165"/>
      <c r="V1" s="79" t="str">
        <f ca="1">IF(R1&lt;&gt;"","様","")</f>
        <v/>
      </c>
      <c r="W1" s="67">
        <f ca="1">IF(R1="配送",
P1+1,
IF(COUNTIF(INDIRECT("'盛付札（関数）'!CL"&amp;P1+1),"*社食*"),
P1+2,P1+1))</f>
        <v>14</v>
      </c>
      <c r="X1" s="80" t="str">
        <f ca="1">IF(Y1&lt;&gt;"",
MID(貼り付け用!$A$2, FIND("年",貼り付け用!$A$2)+1,2)&amp;"/"&amp;MID(貼り付け用!$A$2, FIND("月",貼り付け用!$A$2)+1,2),"")</f>
        <v/>
      </c>
      <c r="Y1" s="164" t="str" cm="1">
        <f t="array" aca="1" ref="Y1" ca="1">IF(X2="〇",
INDIRECT("'盛付札（関数）'!CL"&amp;W1+1),INDIRECT("'盛付札（関数）'!CL"&amp;W1))</f>
        <v/>
      </c>
      <c r="Z1" s="165"/>
      <c r="AA1" s="165"/>
      <c r="AB1" s="165"/>
      <c r="AC1" s="79" t="str">
        <f ca="1">IF(Y1&lt;&gt;"","様","")</f>
        <v/>
      </c>
      <c r="AD1" s="53"/>
      <c r="AE1" s="67">
        <f ca="1">IF(COUNTIF(INDIRECT("'盛付札（関数）'!CL"&amp;W41+1),"*社食*"),
W41+2,W41+1)</f>
        <v>25</v>
      </c>
      <c r="AF1" s="80" t="str">
        <f ca="1">IF(AG1&lt;&gt;"",
MID(貼り付け用!$A$2, FIND("年",貼り付け用!$A$2)+1,2)&amp;"/"&amp;MID(貼り付け用!$A$2, FIND("月",貼り付け用!$A$2)+1,2),"")</f>
        <v/>
      </c>
      <c r="AG1" s="164" t="str" cm="1">
        <f t="array" aca="1" ref="AG1" ca="1">IF(AF2="〇",
INDIRECT("'盛付札（関数）'!CL"&amp;AE1+1),INDIRECT("'盛付札（関数）'!CL"&amp;AE1))</f>
        <v/>
      </c>
      <c r="AH1" s="165"/>
      <c r="AI1" s="165"/>
      <c r="AJ1" s="165"/>
      <c r="AK1" s="79" t="str">
        <f ca="1">IF(AG1&lt;&gt;"","様","")</f>
        <v/>
      </c>
      <c r="AL1" s="67">
        <f ca="1">IF(AG1="配送",
AE1+1,
IF(COUNTIF(INDIRECT("'盛付札（関数）'!CL"&amp;AE1+1),"*社食*"),
AE1+2,AE1+1))</f>
        <v>26</v>
      </c>
      <c r="AM1" s="80" t="str">
        <f ca="1">IF(AN1&lt;&gt;"",
MID(貼り付け用!$A$2, FIND("年",貼り付け用!$A$2)+1,2)&amp;"/"&amp;MID(貼り付け用!$A$2, FIND("月",貼り付け用!$A$2)+1,2),"")</f>
        <v/>
      </c>
      <c r="AN1" s="164" t="str" cm="1">
        <f t="array" aca="1" ref="AN1" ca="1">IF(AM2="〇",
INDIRECT("'盛付札（関数）'!CL"&amp;AL1+1),INDIRECT("'盛付札（関数）'!CL"&amp;AL1))</f>
        <v/>
      </c>
      <c r="AO1" s="165"/>
      <c r="AP1" s="165"/>
      <c r="AQ1" s="165"/>
      <c r="AR1" s="79" t="str">
        <f ca="1">IF(AN1&lt;&gt;"","様","")</f>
        <v/>
      </c>
      <c r="AS1" s="53"/>
      <c r="AT1" s="67">
        <f ca="1">IF(COUNTIF(INDIRECT("'盛付札（関数）'!CL"&amp;AL41+1),"*社食*"),
AL41+2,AL41+1)</f>
        <v>37</v>
      </c>
      <c r="AU1" s="80" t="str">
        <f ca="1">IF(AV1&lt;&gt;"",
MID(貼り付け用!$A$2, FIND("年",貼り付け用!$A$2)+1,2)&amp;"/"&amp;MID(貼り付け用!$A$2, FIND("月",貼り付け用!$A$2)+1,2),"")</f>
        <v/>
      </c>
      <c r="AV1" s="164" t="str" cm="1">
        <f t="array" aca="1" ref="AV1" ca="1">IF(AU2="〇",
INDIRECT("'盛付札（関数）'!CL"&amp;AT1+1),INDIRECT("'盛付札（関数）'!CL"&amp;AT1))</f>
        <v/>
      </c>
      <c r="AW1" s="165"/>
      <c r="AX1" s="165"/>
      <c r="AY1" s="165"/>
      <c r="AZ1" s="79" t="str">
        <f ca="1">IF(AV1&lt;&gt;"","様","")</f>
        <v/>
      </c>
      <c r="BA1" s="67">
        <f ca="1">IF(AV1="配送",
AT1+1,
IF(COUNTIF(INDIRECT("'盛付札（関数）'!CL"&amp;AT1+1),"*社食*"),
AT1+2,AT1+1))</f>
        <v>38</v>
      </c>
      <c r="BB1" s="80" t="str">
        <f ca="1">IF(BC1&lt;&gt;"",
MID(貼り付け用!$A$2, FIND("年",貼り付け用!$A$2)+1,2)&amp;"/"&amp;MID(貼り付け用!$A$2, FIND("月",貼り付け用!$A$2)+1,2),"")</f>
        <v/>
      </c>
      <c r="BC1" s="164" t="str" cm="1">
        <f t="array" aca="1" ref="BC1" ca="1">IF(BB2="〇",
INDIRECT("'盛付札（関数）'!CL"&amp;BA1+1),INDIRECT("'盛付札（関数）'!CL"&amp;BA1))</f>
        <v/>
      </c>
      <c r="BD1" s="165"/>
      <c r="BE1" s="165"/>
      <c r="BF1" s="165"/>
      <c r="BG1" s="79" t="str">
        <f ca="1">IF(BC1&lt;&gt;"","様","")</f>
        <v/>
      </c>
      <c r="BH1" s="53"/>
      <c r="BI1" s="67">
        <f ca="1">IF(COUNTIF(INDIRECT("'盛付札（関数）'!CL"&amp;BA41+1),"*社食*"),
BA41+2,BA41+1)</f>
        <v>49</v>
      </c>
      <c r="BJ1" s="80" t="str">
        <f ca="1">IF(BK1&lt;&gt;"",
MID(貼り付け用!$A$2, FIND("年",貼り付け用!$A$2)+1,2)&amp;"/"&amp;MID(貼り付け用!$A$2, FIND("月",貼り付け用!$A$2)+1,2),"")</f>
        <v/>
      </c>
      <c r="BK1" s="164" t="str" cm="1">
        <f t="array" aca="1" ref="BK1" ca="1">IF(BJ2="〇",
INDIRECT("'盛付札（関数）'!CL"&amp;BI1+1),INDIRECT("'盛付札（関数）'!CL"&amp;BI1))</f>
        <v/>
      </c>
      <c r="BL1" s="165"/>
      <c r="BM1" s="165"/>
      <c r="BN1" s="165"/>
      <c r="BO1" s="79" t="str">
        <f ca="1">IF(BK1&lt;&gt;"","様","")</f>
        <v/>
      </c>
      <c r="BP1" s="67">
        <f ca="1">IF(BK1="配送",
BI1+1,
IF(COUNTIF(INDIRECT("'盛付札（関数）'!CL"&amp;BI1+1),"*社食*"),
BI1+2,BI1+1))</f>
        <v>50</v>
      </c>
      <c r="BQ1" s="80" t="str">
        <f ca="1">IF(BR1&lt;&gt;"",
MID(貼り付け用!$A$2, FIND("年",貼り付け用!$A$2)+1,2)&amp;"/"&amp;MID(貼り付け用!$A$2, FIND("月",貼り付け用!$A$2)+1,2),"")</f>
        <v/>
      </c>
      <c r="BR1" s="164" t="str" cm="1">
        <f t="array" aca="1" ref="BR1" ca="1">IF(BQ2="〇",
INDIRECT("'盛付札（関数）'!CL"&amp;BP1+1),INDIRECT("'盛付札（関数）'!CL"&amp;BP1))</f>
        <v/>
      </c>
      <c r="BS1" s="165"/>
      <c r="BT1" s="165"/>
      <c r="BU1" s="165"/>
      <c r="BV1" s="79" t="str">
        <f ca="1">IF(BR1&lt;&gt;"","様","")</f>
        <v/>
      </c>
      <c r="BW1" s="53"/>
    </row>
    <row r="2" spans="1:75" s="68" customFormat="1" x14ac:dyDescent="0.55000000000000004">
      <c r="A2" s="53"/>
      <c r="B2" s="87" t="str">
        <f ca="1">IF(COUNTIF(INDIRECT("'盛付札（関数）'!CL"&amp;A1),"*雙葉*"),
IF(COUNTIF(INDIRECT("'盛付札（関数）'!CL"&amp;H1),"*雙葉*"),"●",""),"")</f>
        <v/>
      </c>
      <c r="C2" s="84" cm="1">
        <f t="array" aca="1" ref="C2" ca="1">IF(B2="〇",
INDIRECT("'盛付札（関数）!CM"&amp;A1+1),INDIRECT("'盛付札（関数）'!CM"&amp;A1))</f>
        <v>0</v>
      </c>
      <c r="D2" s="78"/>
      <c r="E2" s="78"/>
      <c r="F2" s="85" cm="1">
        <f t="array" aca="1" ref="F2" ca="1">IF(B2="●",
SUBSTITUTE(SUBSTITUTE(SUBSTITUTE(INDIRECT("'盛付札（関数）'!CN"&amp;A1),100,""),120,""),150,""),
IF(B2="〇",
IF(INDIRECT("'盛付札（関数）'!CN"&amp;A1+1)&lt;&gt;"",
INDIRECT("'盛付札（関数）'!CN"&amp;A1+1),INDIRECT("'盛付札（関数）'!CO"&amp;A1+1)),
IF(INDIRECT("'盛付札（関数）'!CN"&amp;A1)&lt;&gt;"",
INDIRECT("'盛付札（関数）'!CN"&amp;A1),INDIRECT("'盛付札（関数）'!CO"&amp;A1))))</f>
        <v>0</v>
      </c>
      <c r="G2" s="76"/>
      <c r="H2" s="86"/>
      <c r="I2" s="87" t="str">
        <f ca="1">IF(COUNTIF(INDIRECT("'盛付札（関数）'!CL"&amp;H1),"*雙葉*"),
IF(COUNTIF(INDIRECT("'盛付札（関数）'!CL"&amp;A1),"*雙葉*"),"〇",
IF(COUNTIF(INDIRECT("'盛付札（関数）'!CL"&amp;A9),"*雙葉*"),"●","")),"")</f>
        <v/>
      </c>
      <c r="J2" s="84" cm="1">
        <f t="array" aca="1" ref="J2" ca="1">IF(I2="〇",
INDIRECT("'盛付札（関数）'!CM"&amp;H1+1),INDIRECT("'盛付札（関数）'!CM"&amp;H1))</f>
        <v>0</v>
      </c>
      <c r="K2" s="78"/>
      <c r="L2" s="78"/>
      <c r="M2" s="85" cm="1">
        <f t="array" aca="1" ref="M2" ca="1">IF(I2="●",
SUBSTITUTE(SUBSTITUTE(SUBSTITUTE(INDIRECT("'盛付札（関数）'!CN"&amp;H1),100,""),120,""),150,""),
IF(I2="〇",
IF(INDIRECT("'盛付札（関数）'!CN"&amp;H1+1)&lt;&gt;"",
INDIRECT("'盛付札（関数）'!CN"&amp;H1+1),INDIRECT("'盛付札（関数）'!CO"&amp;H1+1)),
IF(INDIRECT("'盛付札（関数）'!CN"&amp;H1)&lt;&gt;"",
INDIRECT("'盛付札（関数）'!CN"&amp;H1),INDIRECT("'盛付札（関数）'!CO"&amp;H1))))</f>
        <v>0</v>
      </c>
      <c r="N2" s="76"/>
      <c r="O2" s="53"/>
      <c r="P2" s="53"/>
      <c r="Q2" s="69" t="str">
        <f ca="1">IF(COUNTIF(INDIRECT("'盛付札（関数）'!CL"&amp;P1),"*雙葉*"),
IF(COUNTIF(INDIRECT("'盛付札（関数）'!CL"&amp;#REF!),"*雙葉*"),"〇",
IF(COUNTIF(INDIRECT("'盛付札（関数）'!CL"&amp;W1),"*雙葉*"),"●","")),"")</f>
        <v/>
      </c>
      <c r="R2" s="84" t="str" cm="1">
        <f t="array" aca="1" ref="R2" ca="1">IF(OR(INDIRECT("'盛付札（関数）'!CK"&amp;P1)=121,INDIRECT("'盛付札（関数）'!CK"&amp;P1)=122,INDIRECT("'盛付札（関数）'!CK"&amp;P1)=123,INDIRECT("'盛付札（関数）'!CK"&amp;P1)=124),"",
IF(Q2="〇",
INDIRECT("'盛付札（関数）!CM"&amp;P1+1),INDIRECT("'盛付札（関数）'!CM"&amp;P1)))</f>
        <v/>
      </c>
      <c r="S2" s="78"/>
      <c r="T2" s="78"/>
      <c r="U2" s="85" t="str" cm="1">
        <f t="array" aca="1" ref="U2" ca="1">IF(R1&lt;&gt;"",
IF(OR(INDIRECT("'盛付札（関数）'!CK"&amp;P1)=121,INDIRECT("'盛付札（関数）'!CK"&amp;P1)=122,INDIRECT("'盛付札（関数）'!CK"&amp;P1)=123,INDIRECT("'盛付札（関数）'!CK"&amp;P1)=124),"",
IF(Q2="●",
SUBSTITUTE(SUBSTITUTE(SUBSTITUTE(INDIRECT("'盛付札（関数）'!CN"&amp;P1),100,""),120,""),150,""),
IF(Q2="〇",
IF(INDIRECT("'盛付札（関数）'!CN"&amp;P1+1)&lt;&gt;"",
INDIRECT("'盛付札（関数）'!CN"&amp;P1+1),INDIRECT("'盛付札（関数）'!CO"&amp;P1+1)),
IF(INDIRECT("'盛付札（関数）'!CN"&amp;P1)&lt;&gt;"",
INDIRECT("'盛付札（関数）'!CN"&amp;P1),INDIRECT("'盛付札（関数）'!CO"&amp;P1))))),"")</f>
        <v/>
      </c>
      <c r="V2" s="76"/>
      <c r="W2" s="86"/>
      <c r="X2" s="69" t="str">
        <f ca="1">IF(COUNTIF(INDIRECT("'盛付札（関数）'!CL"&amp;W1),"*雙葉*"),
IF(COUNTIF(INDIRECT("'盛付札（関数）'!CL"&amp;#REF!),"*雙葉*"),"〇",
IF(COUNTIF(INDIRECT("'盛付札（関数）'!CL"&amp;AD1),"*雙葉*"),"●","")),"")</f>
        <v/>
      </c>
      <c r="Y2" s="84" t="str" cm="1">
        <f t="array" aca="1" ref="Y2" ca="1">IF(OR(INDIRECT("'盛付札（関数）'!CK"&amp;W1)=121,INDIRECT("'盛付札（関数）'!CK"&amp;W1)=122,INDIRECT("'盛付札（関数）'!CK"&amp;W1)=123,INDIRECT("'盛付札（関数）'!CK"&amp;W1)=124),"",
IF(X2="〇",
INDIRECT("'盛付札（関数）!CM"&amp;W1+1),INDIRECT("'盛付札（関数）'!CM"&amp;W1)))</f>
        <v/>
      </c>
      <c r="Z2" s="78"/>
      <c r="AA2" s="78"/>
      <c r="AB2" s="85" t="str" cm="1">
        <f t="array" aca="1" ref="AB2" ca="1">IF(Y1&lt;&gt;"",
IF(OR(INDIRECT("'盛付札（関数）'!CK"&amp;W1)=121,INDIRECT("'盛付札（関数）'!CK"&amp;W1)=122,INDIRECT("'盛付札（関数）'!CK"&amp;W1)=123,INDIRECT("'盛付札（関数）'!CK"&amp;W1)=124),"",
IF(X2="●",
SUBSTITUTE(SUBSTITUTE(SUBSTITUTE(INDIRECT("'盛付札（関数）'!CN"&amp;W1),100,""),120,""),150,""),
IF(X2="〇",
IF(INDIRECT("'盛付札（関数）'!CN"&amp;W1+1)&lt;&gt;"",
INDIRECT("'盛付札（関数）'!CN"&amp;W1+1),INDIRECT("'盛付札（関数）'!CO"&amp;W1+1)),
IF(INDIRECT("'盛付札（関数）'!CN"&amp;W1)&lt;&gt;"",
INDIRECT("'盛付札（関数）'!CN"&amp;W1),INDIRECT("'盛付札（関数）'!CO"&amp;W1))))),"")</f>
        <v/>
      </c>
      <c r="AC2" s="76"/>
      <c r="AD2" s="53"/>
      <c r="AE2" s="53"/>
      <c r="AF2" s="69" t="str">
        <f ca="1">IF(COUNTIF(INDIRECT("'盛付札（関数）'!CL"&amp;AE1),"*雙葉*"),
IF(COUNTIF(INDIRECT("'盛付札（関数）'!CL"&amp;#REF!),"*雙葉*"),"〇",
IF(COUNTIF(INDIRECT("'盛付札（関数）'!CL"&amp;AL1),"*雙葉*"),"●","")),"")</f>
        <v/>
      </c>
      <c r="AG2" s="84" t="str" cm="1">
        <f t="array" aca="1" ref="AG2" ca="1">IF(OR(INDIRECT("'盛付札（関数）'!CK"&amp;AE1)=121,INDIRECT("'盛付札（関数）'!CK"&amp;AE1)=122,INDIRECT("'盛付札（関数）'!CK"&amp;AE1)=123,INDIRECT("'盛付札（関数）'!CK"&amp;AE1)=124),"",
IF(AF2="〇",
INDIRECT("'盛付札（関数）!CM"&amp;AE1+1),INDIRECT("'盛付札（関数）'!CM"&amp;AE1)))</f>
        <v/>
      </c>
      <c r="AH2" s="78"/>
      <c r="AI2" s="78"/>
      <c r="AJ2" s="85" t="str" cm="1">
        <f t="array" aca="1" ref="AJ2" ca="1">IF(AG1&lt;&gt;"",
IF(OR(INDIRECT("'盛付札（関数）'!CK"&amp;AE1)=121,INDIRECT("'盛付札（関数）'!CK"&amp;AE1)=122,INDIRECT("'盛付札（関数）'!CK"&amp;AE1)=123,INDIRECT("'盛付札（関数）'!CK"&amp;AE1)=124),"",
IF(AF2="●",
SUBSTITUTE(SUBSTITUTE(SUBSTITUTE(INDIRECT("'盛付札（関数）'!CN"&amp;AE1),100,""),120,""),150,""),
IF(AF2="〇",
IF(INDIRECT("'盛付札（関数）'!CN"&amp;AE1+1)&lt;&gt;"",
INDIRECT("'盛付札（関数）'!CN"&amp;AE1+1),INDIRECT("'盛付札（関数）'!CO"&amp;AE1+1)),
IF(INDIRECT("'盛付札（関数）'!CN"&amp;AE1)&lt;&gt;"",
INDIRECT("'盛付札（関数）'!CN"&amp;AE1),INDIRECT("'盛付札（関数）'!CO"&amp;AE1))))),"")</f>
        <v/>
      </c>
      <c r="AK2" s="76"/>
      <c r="AL2" s="86"/>
      <c r="AM2" s="69" t="str">
        <f ca="1">IF(COUNTIF(INDIRECT("'盛付札（関数）'!CL"&amp;AL1),"*雙葉*"),
IF(COUNTIF(INDIRECT("'盛付札（関数）'!CL"&amp;#REF!),"*雙葉*"),"〇",
IF(COUNTIF(INDIRECT("'盛付札（関数）'!CL"&amp;AS1),"*雙葉*"),"●","")),"")</f>
        <v/>
      </c>
      <c r="AN2" s="84" t="str" cm="1">
        <f t="array" aca="1" ref="AN2" ca="1">IF(OR(INDIRECT("'盛付札（関数）'!CK"&amp;AL1)=121,INDIRECT("'盛付札（関数）'!CK"&amp;AL1)=122,INDIRECT("'盛付札（関数）'!CK"&amp;AL1)=123,INDIRECT("'盛付札（関数）'!CK"&amp;AL1)=124),"",
IF(AM2="〇",
INDIRECT("'盛付札（関数）!CM"&amp;AL1+1),INDIRECT("'盛付札（関数）'!CM"&amp;AL1)))</f>
        <v/>
      </c>
      <c r="AO2" s="78"/>
      <c r="AP2" s="78"/>
      <c r="AQ2" s="85" t="str" cm="1">
        <f t="array" aca="1" ref="AQ2" ca="1">IF(AN1&lt;&gt;"",
IF(OR(INDIRECT("'盛付札（関数）'!CK"&amp;AL1)=121,INDIRECT("'盛付札（関数）'!CK"&amp;AL1)=122,INDIRECT("'盛付札（関数）'!CK"&amp;AL1)=123,INDIRECT("'盛付札（関数）'!CK"&amp;AL1)=124),"",
IF(AM2="●",
SUBSTITUTE(SUBSTITUTE(SUBSTITUTE(INDIRECT("'盛付札（関数）'!CN"&amp;AL1),100,""),120,""),150,""),
IF(AM2="〇",
IF(INDIRECT("'盛付札（関数）'!CN"&amp;AL1+1)&lt;&gt;"",
INDIRECT("'盛付札（関数）'!CN"&amp;AL1+1),INDIRECT("'盛付札（関数）'!CO"&amp;AL1+1)),
IF(INDIRECT("'盛付札（関数）'!CN"&amp;AL1)&lt;&gt;"",
INDIRECT("'盛付札（関数）'!CN"&amp;AL1),INDIRECT("'盛付札（関数）'!CO"&amp;AL1))))),"")</f>
        <v/>
      </c>
      <c r="AR2" s="76"/>
      <c r="AS2" s="53"/>
      <c r="AT2" s="53"/>
      <c r="AU2" s="69" t="str">
        <f ca="1">IF(COUNTIF(INDIRECT("'盛付札（関数）'!CL"&amp;AT1),"*雙葉*"),
IF(COUNTIF(INDIRECT("'盛付札（関数）'!CL"&amp;#REF!),"*雙葉*"),"〇",
IF(COUNTIF(INDIRECT("'盛付札（関数）'!CL"&amp;BA1),"*雙葉*"),"●","")),"")</f>
        <v/>
      </c>
      <c r="AV2" s="84" t="str" cm="1">
        <f t="array" aca="1" ref="AV2" ca="1">IF(OR(INDIRECT("'盛付札（関数）'!CK"&amp;AT1)=121,INDIRECT("'盛付札（関数）'!CK"&amp;AT1)=122,INDIRECT("'盛付札（関数）'!CK"&amp;AT1)=123,INDIRECT("'盛付札（関数）'!CK"&amp;AT1)=124),"",
IF(AU2="〇",
INDIRECT("'盛付札（関数）!CM"&amp;AT1+1),INDIRECT("'盛付札（関数）'!CM"&amp;AT1)))</f>
        <v/>
      </c>
      <c r="AW2" s="78"/>
      <c r="AX2" s="78"/>
      <c r="AY2" s="85" t="str" cm="1">
        <f t="array" aca="1" ref="AY2" ca="1">IF(AV1&lt;&gt;"",
IF(OR(INDIRECT("'盛付札（関数）'!CK"&amp;AT1)=121,INDIRECT("'盛付札（関数）'!CK"&amp;AT1)=122,INDIRECT("'盛付札（関数）'!CK"&amp;AT1)=123,INDIRECT("'盛付札（関数）'!CK"&amp;AT1)=124),"",
IF(AU2="●",
SUBSTITUTE(SUBSTITUTE(SUBSTITUTE(INDIRECT("'盛付札（関数）'!CN"&amp;AT1),100,""),120,""),150,""),
IF(AU2="〇",
IF(INDIRECT("'盛付札（関数）'!CN"&amp;AT1+1)&lt;&gt;"",
INDIRECT("'盛付札（関数）'!CN"&amp;AT1+1),INDIRECT("'盛付札（関数）'!CO"&amp;AT1+1)),
IF(INDIRECT("'盛付札（関数）'!CN"&amp;AT1)&lt;&gt;"",
INDIRECT("'盛付札（関数）'!CN"&amp;AT1),INDIRECT("'盛付札（関数）'!CO"&amp;AT1))))),"")</f>
        <v/>
      </c>
      <c r="AZ2" s="76"/>
      <c r="BA2" s="86"/>
      <c r="BB2" s="69" t="str">
        <f ca="1">IF(COUNTIF(INDIRECT("'盛付札（関数）'!CL"&amp;BA1),"*雙葉*"),
IF(COUNTIF(INDIRECT("'盛付札（関数）'!CL"&amp;#REF!),"*雙葉*"),"〇",
IF(COUNTIF(INDIRECT("'盛付札（関数）'!CL"&amp;BH1),"*雙葉*"),"●","")),"")</f>
        <v/>
      </c>
      <c r="BC2" s="84" t="str" cm="1">
        <f t="array" aca="1" ref="BC2" ca="1">IF(OR(INDIRECT("'盛付札（関数）'!CK"&amp;BA1)=121,INDIRECT("'盛付札（関数）'!CK"&amp;BA1)=122,INDIRECT("'盛付札（関数）'!CK"&amp;BA1)=123,INDIRECT("'盛付札（関数）'!CK"&amp;BA1)=124),"",
IF(BB2="〇",
INDIRECT("'盛付札（関数）!CM"&amp;BA1+1),INDIRECT("'盛付札（関数）'!CM"&amp;BA1)))</f>
        <v/>
      </c>
      <c r="BD2" s="78"/>
      <c r="BE2" s="78"/>
      <c r="BF2" s="85" t="str" cm="1">
        <f t="array" aca="1" ref="BF2" ca="1">IF(BC1&lt;&gt;"",
IF(OR(INDIRECT("'盛付札（関数）'!CK"&amp;BA1)=121,INDIRECT("'盛付札（関数）'!CK"&amp;BA1)=122,INDIRECT("'盛付札（関数）'!CK"&amp;BA1)=123,INDIRECT("'盛付札（関数）'!CK"&amp;BA1)=124),"",
IF(BB2="●",
SUBSTITUTE(SUBSTITUTE(SUBSTITUTE(INDIRECT("'盛付札（関数）'!CN"&amp;BA1),100,""),120,""),150,""),
IF(BB2="〇",
IF(INDIRECT("'盛付札（関数）'!CN"&amp;BA1+1)&lt;&gt;"",
INDIRECT("'盛付札（関数）'!CN"&amp;BA1+1),INDIRECT("'盛付札（関数）'!CO"&amp;BA1+1)),
IF(INDIRECT("'盛付札（関数）'!CN"&amp;BA1)&lt;&gt;"",
INDIRECT("'盛付札（関数）'!CN"&amp;BA1),INDIRECT("'盛付札（関数）'!CO"&amp;BA1))))),"")</f>
        <v/>
      </c>
      <c r="BG2" s="76"/>
      <c r="BH2" s="53"/>
      <c r="BI2" s="53"/>
      <c r="BJ2" s="69" t="str">
        <f ca="1">IF(COUNTIF(INDIRECT("'盛付札（関数）'!CL"&amp;BI1),"*雙葉*"),
IF(COUNTIF(INDIRECT("'盛付札（関数）'!CL"&amp;#REF!),"*雙葉*"),"〇",
IF(COUNTIF(INDIRECT("'盛付札（関数）'!CL"&amp;BP1),"*雙葉*"),"●","")),"")</f>
        <v/>
      </c>
      <c r="BK2" s="84" t="str" cm="1">
        <f t="array" aca="1" ref="BK2" ca="1">IF(OR(INDIRECT("'盛付札（関数）'!CK"&amp;BI1)=121,INDIRECT("'盛付札（関数）'!CK"&amp;BI1)=122,INDIRECT("'盛付札（関数）'!CK"&amp;BI1)=123,INDIRECT("'盛付札（関数）'!CK"&amp;BI1)=124),"",
IF(BJ2="〇",
INDIRECT("'盛付札（関数）!CM"&amp;BI1+1),INDIRECT("'盛付札（関数）'!CM"&amp;BI1)))</f>
        <v/>
      </c>
      <c r="BL2" s="78"/>
      <c r="BM2" s="78"/>
      <c r="BN2" s="85" t="str" cm="1">
        <f t="array" aca="1" ref="BN2" ca="1">IF(BK1&lt;&gt;"",
IF(OR(INDIRECT("'盛付札（関数）'!CK"&amp;BI1)=121,INDIRECT("'盛付札（関数）'!CK"&amp;BI1)=122,INDIRECT("'盛付札（関数）'!CK"&amp;BI1)=123,INDIRECT("'盛付札（関数）'!CK"&amp;BI1)=124),"",
IF(BJ2="●",
SUBSTITUTE(SUBSTITUTE(SUBSTITUTE(INDIRECT("'盛付札（関数）'!CN"&amp;BI1),100,""),120,""),150,""),
IF(BJ2="〇",
IF(INDIRECT("'盛付札（関数）'!CN"&amp;BI1+1)&lt;&gt;"",
INDIRECT("'盛付札（関数）'!CN"&amp;BI1+1),INDIRECT("'盛付札（関数）'!CO"&amp;BI1+1)),
IF(INDIRECT("'盛付札（関数）'!CN"&amp;BI1)&lt;&gt;"",
INDIRECT("'盛付札（関数）'!CN"&amp;BI1),INDIRECT("'盛付札（関数）'!CO"&amp;BI1))))),"")</f>
        <v/>
      </c>
      <c r="BO2" s="76"/>
      <c r="BP2" s="86"/>
      <c r="BQ2" s="69" t="str">
        <f ca="1">IF(COUNTIF(INDIRECT("'盛付札（関数）'!CL"&amp;BP1),"*雙葉*"),
IF(COUNTIF(INDIRECT("'盛付札（関数）'!CL"&amp;#REF!),"*雙葉*"),"〇",
IF(COUNTIF(INDIRECT("'盛付札（関数）'!CL"&amp;BW1),"*雙葉*"),"●","")),"")</f>
        <v/>
      </c>
      <c r="BR2" s="84" t="str" cm="1">
        <f t="array" aca="1" ref="BR2" ca="1">IF(OR(INDIRECT("'盛付札（関数）'!CK"&amp;BP1)=121,INDIRECT("'盛付札（関数）'!CK"&amp;BP1)=122,INDIRECT("'盛付札（関数）'!CK"&amp;BP1)=123,INDIRECT("'盛付札（関数）'!CK"&amp;BP1)=124),"",
IF(BQ2="〇",
INDIRECT("'盛付札（関数）!CM"&amp;BP1+1),INDIRECT("'盛付札（関数）'!CM"&amp;BP1)))</f>
        <v/>
      </c>
      <c r="BS2" s="78"/>
      <c r="BT2" s="78"/>
      <c r="BU2" s="85" t="str" cm="1">
        <f t="array" aca="1" ref="BU2" ca="1">IF(BR1&lt;&gt;"",
IF(OR(INDIRECT("'盛付札（関数）'!CK"&amp;BP1)=121,INDIRECT("'盛付札（関数）'!CK"&amp;BP1)=122,INDIRECT("'盛付札（関数）'!CK"&amp;BP1)=123,INDIRECT("'盛付札（関数）'!CK"&amp;BP1)=124),"",
IF(BQ2="●",
SUBSTITUTE(SUBSTITUTE(SUBSTITUTE(INDIRECT("'盛付札（関数）'!CN"&amp;BP1),100,""),120,""),150,""),
IF(BQ2="〇",
IF(INDIRECT("'盛付札（関数）'!CN"&amp;BP1+1)&lt;&gt;"",
INDIRECT("'盛付札（関数）'!CN"&amp;BP1+1),INDIRECT("'盛付札（関数）'!CO"&amp;BP1+1)),
IF(INDIRECT("'盛付札（関数）'!CN"&amp;BP1)&lt;&gt;"",
INDIRECT("'盛付札（関数）'!CN"&amp;BP1),INDIRECT("'盛付札（関数）'!CO"&amp;BP1))))),"")</f>
        <v/>
      </c>
      <c r="BV2" s="76"/>
      <c r="BW2" s="53"/>
    </row>
    <row r="3" spans="1:75" s="68" customFormat="1" x14ac:dyDescent="0.55000000000000004">
      <c r="A3" s="53"/>
      <c r="B3" s="71"/>
      <c r="C3" s="123" t="str">
        <f ca="1">IF(C1&lt;&gt;"","園児","")</f>
        <v>園児</v>
      </c>
      <c r="D3" s="123"/>
      <c r="E3" s="53"/>
      <c r="F3" s="68" t="str">
        <f ca="1">IF(C1&lt;&gt;"","先生","")</f>
        <v>先生</v>
      </c>
      <c r="G3" s="77"/>
      <c r="H3" s="73"/>
      <c r="I3" s="71"/>
      <c r="J3" s="123" t="str">
        <f ca="1">IF(J1&lt;&gt;"","園児","")</f>
        <v>園児</v>
      </c>
      <c r="K3" s="123"/>
      <c r="L3" s="53"/>
      <c r="M3" s="68" t="str">
        <f ca="1">IF(J1&lt;&gt;"","先生","")</f>
        <v>先生</v>
      </c>
      <c r="N3" s="77"/>
      <c r="O3" s="53"/>
      <c r="P3" s="53"/>
      <c r="Q3" s="71"/>
      <c r="R3" s="123" t="str" cm="1">
        <f t="array" aca="1" ref="R3" ca="1">IF(R1&lt;&gt;"",
IF(OR(INDIRECT("'盛付札（関数）'!CK"&amp;P1)=121,INDIRECT("'盛付札（関数）'!CK"&amp;P1)=122,INDIRECT("'盛付札（関数）'!CK"&amp;P1)=123,INDIRECT("'盛付札（関数）'!CK"&amp;P1)=124),"",
"園児"),"")</f>
        <v/>
      </c>
      <c r="S3" s="116"/>
      <c r="T3" s="53"/>
      <c r="U3" s="68" t="str" cm="1">
        <f t="array" aca="1" ref="U3" ca="1">IF(R1&lt;&gt;"",
IF(OR(INDIRECT("'盛付札（関数）'!CK"&amp;P1)=121,INDIRECT("'盛付札（関数）'!CK"&amp;P1)=122,INDIRECT("'盛付札（関数）'!CK"&amp;P1)=123,INDIRECT("'盛付札（関数）'!CK"&amp;P1)=124),"",
"先生"),"")</f>
        <v/>
      </c>
      <c r="V3" s="77"/>
      <c r="W3" s="73"/>
      <c r="X3" s="71"/>
      <c r="Y3" s="123" t="str" cm="1">
        <f t="array" aca="1" ref="Y3" ca="1">IF(Y1&lt;&gt;"",
IF(OR(INDIRECT("'盛付札（関数）'!CK"&amp;W1)=121,INDIRECT("'盛付札（関数）'!CK"&amp;W1)=122,INDIRECT("'盛付札（関数）'!CK"&amp;W1)=123,INDIRECT("'盛付札（関数）'!CK"&amp;W1)=124),"",
"園児"),"")</f>
        <v/>
      </c>
      <c r="Z3" s="116"/>
      <c r="AA3" s="53"/>
      <c r="AB3" s="68" t="str" cm="1">
        <f t="array" aca="1" ref="AB3" ca="1">IF(Y1&lt;&gt;"",
IF(OR(INDIRECT("'盛付札（関数）'!CK"&amp;W1)=121,INDIRECT("'盛付札（関数）'!CK"&amp;W1)=122,INDIRECT("'盛付札（関数）'!CK"&amp;W1)=123,INDIRECT("'盛付札（関数）'!CK"&amp;W1)=124),"",
"先生"),"")</f>
        <v/>
      </c>
      <c r="AC3" s="77"/>
      <c r="AD3" s="53"/>
      <c r="AE3" s="53"/>
      <c r="AF3" s="71"/>
      <c r="AG3" s="123" t="str" cm="1">
        <f t="array" aca="1" ref="AG3" ca="1">IF(AG1&lt;&gt;"",
IF(OR(INDIRECT("'盛付札（関数）'!CK"&amp;AE1)=121,INDIRECT("'盛付札（関数）'!CK"&amp;AE1)=122,INDIRECT("'盛付札（関数）'!CK"&amp;AE1)=123,INDIRECT("'盛付札（関数）'!CK"&amp;AE1)=124),"",
"園児"),"")</f>
        <v/>
      </c>
      <c r="AH3" s="116"/>
      <c r="AI3" s="53"/>
      <c r="AJ3" s="68" t="str" cm="1">
        <f t="array" aca="1" ref="AJ3" ca="1">IF(AG1&lt;&gt;"",
IF(OR(INDIRECT("'盛付札（関数）'!CK"&amp;AE1)=121,INDIRECT("'盛付札（関数）'!CK"&amp;AE1)=122,INDIRECT("'盛付札（関数）'!CK"&amp;AE1)=123,INDIRECT("'盛付札（関数）'!CK"&amp;AE1)=124),"",
"先生"),"")</f>
        <v/>
      </c>
      <c r="AK3" s="77"/>
      <c r="AL3" s="73"/>
      <c r="AM3" s="71"/>
      <c r="AN3" s="123" t="str" cm="1">
        <f t="array" aca="1" ref="AN3" ca="1">IF(AN1&lt;&gt;"",
IF(OR(INDIRECT("'盛付札（関数）'!CK"&amp;AL1)=121,INDIRECT("'盛付札（関数）'!CK"&amp;AL1)=122,INDIRECT("'盛付札（関数）'!CK"&amp;AL1)=123,INDIRECT("'盛付札（関数）'!CK"&amp;AL1)=124),"",
"園児"),"")</f>
        <v/>
      </c>
      <c r="AO3" s="116"/>
      <c r="AP3" s="53"/>
      <c r="AQ3" s="68" t="str" cm="1">
        <f t="array" aca="1" ref="AQ3" ca="1">IF(AN1&lt;&gt;"",
IF(OR(INDIRECT("'盛付札（関数）'!CK"&amp;AL1)=121,INDIRECT("'盛付札（関数）'!CK"&amp;AL1)=122,INDIRECT("'盛付札（関数）'!CK"&amp;AL1)=123,INDIRECT("'盛付札（関数）'!CK"&amp;AL1)=124),"",
"先生"),"")</f>
        <v/>
      </c>
      <c r="AR3" s="77"/>
      <c r="AS3" s="53"/>
      <c r="AT3" s="53"/>
      <c r="AU3" s="71"/>
      <c r="AV3" s="123" t="str" cm="1">
        <f t="array" aca="1" ref="AV3" ca="1">IF(AV1&lt;&gt;"",
IF(OR(INDIRECT("'盛付札（関数）'!CK"&amp;AT1)=121,INDIRECT("'盛付札（関数）'!CK"&amp;AT1)=122,INDIRECT("'盛付札（関数）'!CK"&amp;AT1)=123,INDIRECT("'盛付札（関数）'!CK"&amp;AT1)=124),"",
"園児"),"")</f>
        <v/>
      </c>
      <c r="AW3" s="116"/>
      <c r="AX3" s="53"/>
      <c r="AY3" s="68" t="str" cm="1">
        <f t="array" aca="1" ref="AY3" ca="1">IF(AV1&lt;&gt;"",
IF(OR(INDIRECT("'盛付札（関数）'!CK"&amp;AT1)=121,INDIRECT("'盛付札（関数）'!CK"&amp;AT1)=122,INDIRECT("'盛付札（関数）'!CK"&amp;AT1)=123,INDIRECT("'盛付札（関数）'!CK"&amp;AT1)=124),"",
"先生"),"")</f>
        <v/>
      </c>
      <c r="AZ3" s="77"/>
      <c r="BA3" s="73"/>
      <c r="BB3" s="71"/>
      <c r="BC3" s="123" t="str" cm="1">
        <f t="array" aca="1" ref="BC3" ca="1">IF(BC1&lt;&gt;"",
IF(OR(INDIRECT("'盛付札（関数）'!CK"&amp;BA1)=121,INDIRECT("'盛付札（関数）'!CK"&amp;BA1)=122,INDIRECT("'盛付札（関数）'!CK"&amp;BA1)=123,INDIRECT("'盛付札（関数）'!CK"&amp;BA1)=124),"",
"園児"),"")</f>
        <v/>
      </c>
      <c r="BD3" s="116"/>
      <c r="BE3" s="53"/>
      <c r="BF3" s="68" t="str" cm="1">
        <f t="array" aca="1" ref="BF3" ca="1">IF(BC1&lt;&gt;"",
IF(OR(INDIRECT("'盛付札（関数）'!CK"&amp;BA1)=121,INDIRECT("'盛付札（関数）'!CK"&amp;BA1)=122,INDIRECT("'盛付札（関数）'!CK"&amp;BA1)=123,INDIRECT("'盛付札（関数）'!CK"&amp;BA1)=124),"",
"先生"),"")</f>
        <v/>
      </c>
      <c r="BG3" s="77"/>
      <c r="BH3" s="53"/>
      <c r="BI3" s="53"/>
      <c r="BJ3" s="71"/>
      <c r="BK3" s="123" t="str" cm="1">
        <f t="array" aca="1" ref="BK3" ca="1">IF(BK1&lt;&gt;"",
IF(OR(INDIRECT("'盛付札（関数）'!CK"&amp;BI1)=121,INDIRECT("'盛付札（関数）'!CK"&amp;BI1)=122,INDIRECT("'盛付札（関数）'!CK"&amp;BI1)=123,INDIRECT("'盛付札（関数）'!CK"&amp;BI1)=124),"",
"園児"),"")</f>
        <v/>
      </c>
      <c r="BL3" s="116"/>
      <c r="BM3" s="53"/>
      <c r="BN3" s="68" t="str" cm="1">
        <f t="array" aca="1" ref="BN3" ca="1">IF(BK1&lt;&gt;"",
IF(OR(INDIRECT("'盛付札（関数）'!CK"&amp;BI1)=121,INDIRECT("'盛付札（関数）'!CK"&amp;BI1)=122,INDIRECT("'盛付札（関数）'!CK"&amp;BI1)=123,INDIRECT("'盛付札（関数）'!CK"&amp;BI1)=124),"",
"先生"),"")</f>
        <v/>
      </c>
      <c r="BO3" s="77"/>
      <c r="BP3" s="73"/>
      <c r="BQ3" s="71"/>
      <c r="BR3" s="123" t="str" cm="1">
        <f t="array" aca="1" ref="BR3" ca="1">IF(BR1&lt;&gt;"",
IF(OR(INDIRECT("'盛付札（関数）'!CK"&amp;BP1)=121,INDIRECT("'盛付札（関数）'!CK"&amp;BP1)=122,INDIRECT("'盛付札（関数）'!CK"&amp;BP1)=123,INDIRECT("'盛付札（関数）'!CK"&amp;BP1)=124),"",
"園児"),"")</f>
        <v/>
      </c>
      <c r="BS3" s="116"/>
      <c r="BT3" s="53"/>
      <c r="BU3" s="68" t="str" cm="1">
        <f t="array" aca="1" ref="BU3" ca="1">IF(BR1&lt;&gt;"",
IF(OR(INDIRECT("'盛付札（関数）'!CK"&amp;BP1)=121,INDIRECT("'盛付札（関数）'!CK"&amp;BP1)=122,INDIRECT("'盛付札（関数）'!CK"&amp;BP1)=123,INDIRECT("'盛付札（関数）'!CK"&amp;BP1)=124),"",
"先生"),"")</f>
        <v/>
      </c>
      <c r="BV3" s="77"/>
      <c r="BW3" s="53"/>
    </row>
    <row r="4" spans="1:75" ht="15.6" customHeight="1" x14ac:dyDescent="1.05">
      <c r="B4" s="57"/>
      <c r="C4" s="170" t="e" cm="1">
        <f t="array" aca="1" ref="C4" ca="1">IF(B2="●",
INDIRECT("'盛付札（関数）'!CP"&amp;A1)+INDIRECT("'盛付札（関数）'!CP"&amp;A1+1),
IF(B2="〇",
INDIRECT("'盛付札（関数）'!CP"&amp;A1+1),INDIRECT("'盛付札（関数）'!CP"&amp;A1)))</f>
        <v>#N/A</v>
      </c>
      <c r="D4" s="170"/>
      <c r="E4" s="88"/>
      <c r="F4" s="125" cm="1">
        <f t="array" aca="1" ref="F4" ca="1">IF(B2="●",
IFERROR(INDIRECT("'盛付札（関数）'!CQ"&amp;A1)+INDIRECT("'盛付札（関数）'!CQ"&amp;A1+1),""),
IF(B2="〇",
INDIRECT("'盛付札（関数）'!CQ"&amp;A1+1),INDIRECT("'盛付札（関数）'!CQ"&amp;A1)))</f>
        <v>0</v>
      </c>
      <c r="G4" s="126"/>
      <c r="H4" s="58"/>
      <c r="I4" s="57"/>
      <c r="J4" s="170" t="e" cm="1">
        <f t="array" aca="1" ref="J4" ca="1">IF(I2="●",
INDIRECT("'盛付札（関数）'!CP"&amp;H1)+INDIRECT("'盛付札（関数）'!CP"&amp;H1+1),
IF(I2="〇",
INDIRECT("'盛付札（関数）'!CP"&amp;H1+1),INDIRECT("'盛付札（関数）'!CP"&amp;H1)))</f>
        <v>#N/A</v>
      </c>
      <c r="K4" s="170"/>
      <c r="L4" s="88"/>
      <c r="M4" s="125" cm="1">
        <f t="array" aca="1" ref="M4" ca="1">IF(I2="●",
IFERROR(INDIRECT("'盛付札（関数）'!CQ"&amp;H1)+INDIRECT("'盛付札（関数）'!CQ"&amp;H1+1),""),
IF(I2="〇",
INDIRECT("'盛付札（関数）'!CQ"&amp;H1+1),INDIRECT("'盛付札（関数）'!CQ"&amp;H1)))</f>
        <v>0</v>
      </c>
      <c r="N4" s="126"/>
      <c r="Q4" s="57"/>
      <c r="R4" s="120" t="str" cm="1">
        <f t="array" aca="1" ref="R4" ca="1">IF(Q2="●",
INDIRECT("'盛付札（関数）'!CP"&amp;P1)+INDIRECT("'盛付札（関数）'!CP"&amp;P1+1),
IF(Q2="〇",
INDIRECT("'盛付札（関数）'!CP"&amp;P1+1),INDIRECT("'盛付札（関数）'!CP"&amp;P1)))</f>
        <v/>
      </c>
      <c r="S4" s="121"/>
      <c r="T4" s="88"/>
      <c r="U4" s="125" t="str" cm="1">
        <f t="array" aca="1" ref="U4" ca="1">IF(R1&lt;&gt;"",
IF(OR(INDIRECT("'盛付札（関数）'!CK"&amp;P1)=121,INDIRECT("'盛付札（関数）'!CK"&amp;P1)=122,INDIRECT("'盛付札（関数）'!CK"&amp;P1)=123,INDIRECT("'盛付札（関数）'!CK"&amp;P1)=124),"",
IF(Q2="●",
IFERROR(INDIRECT("'盛付札（関数）'!CQ"&amp;P1)+INDIRECT("'盛付札（関数）'!CQ"&amp;P1+1),""),
IF(Q2="〇",
INDIRECT("'盛付札（関数）'!CQ"&amp;P1+1),INDIRECT("'盛付札（関数）'!CQ"&amp;P1)))),"")</f>
        <v/>
      </c>
      <c r="V4" s="126"/>
      <c r="W4" s="58"/>
      <c r="X4" s="57"/>
      <c r="Y4" s="120" t="str" cm="1">
        <f t="array" aca="1" ref="Y4" ca="1">IF(X2="●",
INDIRECT("'盛付札（関数）'!CP"&amp;W1)+INDIRECT("'盛付札（関数）'!CP"&amp;W1+1),
IF(X2="〇",
INDIRECT("'盛付札（関数）'!CP"&amp;W1+1),INDIRECT("'盛付札（関数）'!CP"&amp;W1)))</f>
        <v/>
      </c>
      <c r="Z4" s="121"/>
      <c r="AA4" s="88"/>
      <c r="AB4" s="125" t="str" cm="1">
        <f t="array" aca="1" ref="AB4" ca="1">IF(Y1&lt;&gt;"",
IF(OR(INDIRECT("'盛付札（関数）'!CK"&amp;W1)=121,INDIRECT("'盛付札（関数）'!CK"&amp;W1)=122,INDIRECT("'盛付札（関数）'!CK"&amp;W1)=123,INDIRECT("'盛付札（関数）'!CK"&amp;W1)=124),"",
IF(X2="●",
IFERROR(INDIRECT("'盛付札（関数）'!CQ"&amp;W1)+INDIRECT("'盛付札（関数）'!CQ"&amp;W1+1),""),
IF(X2="〇",
INDIRECT("'盛付札（関数）'!CQ"&amp;W1+1),INDIRECT("'盛付札（関数）'!CQ"&amp;W1)))),"")</f>
        <v/>
      </c>
      <c r="AC4" s="126"/>
      <c r="AF4" s="57"/>
      <c r="AG4" s="120" t="str" cm="1">
        <f t="array" aca="1" ref="AG4" ca="1">IF(AF2="●",
INDIRECT("'盛付札（関数）'!CP"&amp;AE1)+INDIRECT("'盛付札（関数）'!CP"&amp;AE1+1),
IF(AF2="〇",
INDIRECT("'盛付札（関数）'!CP"&amp;AE1+1),INDIRECT("'盛付札（関数）'!CP"&amp;AE1)))</f>
        <v/>
      </c>
      <c r="AH4" s="121"/>
      <c r="AI4" s="88"/>
      <c r="AJ4" s="125" t="str" cm="1">
        <f t="array" aca="1" ref="AJ4" ca="1">IF(AG1&lt;&gt;"",
IF(OR(INDIRECT("'盛付札（関数）'!CK"&amp;AE1)=121,INDIRECT("'盛付札（関数）'!CK"&amp;AE1)=122,INDIRECT("'盛付札（関数）'!CK"&amp;AE1)=123,INDIRECT("'盛付札（関数）'!CK"&amp;AE1)=124),"",
IF(AF2="●",
IFERROR(INDIRECT("'盛付札（関数）'!CQ"&amp;AE1)+INDIRECT("'盛付札（関数）'!CQ"&amp;AE1+1),""),
IF(AF2="〇",
INDIRECT("'盛付札（関数）'!CQ"&amp;AE1+1),INDIRECT("'盛付札（関数）'!CQ"&amp;AE1)))),"")</f>
        <v/>
      </c>
      <c r="AK4" s="126"/>
      <c r="AL4" s="58"/>
      <c r="AM4" s="57"/>
      <c r="AN4" s="120" t="str" cm="1">
        <f t="array" aca="1" ref="AN4" ca="1">IF(AM2="●",
INDIRECT("'盛付札（関数）'!CP"&amp;AL1)+INDIRECT("'盛付札（関数）'!CP"&amp;AL1+1),
IF(AM2="〇",
INDIRECT("'盛付札（関数）'!CP"&amp;AL1+1),INDIRECT("'盛付札（関数）'!CP"&amp;AL1)))</f>
        <v/>
      </c>
      <c r="AO4" s="121"/>
      <c r="AP4" s="88"/>
      <c r="AQ4" s="125" t="str" cm="1">
        <f t="array" aca="1" ref="AQ4" ca="1">IF(AN1&lt;&gt;"",
IF(OR(INDIRECT("'盛付札（関数）'!CK"&amp;AL1)=121,INDIRECT("'盛付札（関数）'!CK"&amp;AL1)=122,INDIRECT("'盛付札（関数）'!CK"&amp;AL1)=123,INDIRECT("'盛付札（関数）'!CK"&amp;AL1)=124),"",
IF(AM2="●",
IFERROR(INDIRECT("'盛付札（関数）'!CQ"&amp;AL1)+INDIRECT("'盛付札（関数）'!CQ"&amp;AL1+1),""),
IF(AM2="〇",
INDIRECT("'盛付札（関数）'!CQ"&amp;AL1+1),INDIRECT("'盛付札（関数）'!CQ"&amp;AL1)))),"")</f>
        <v/>
      </c>
      <c r="AR4" s="126"/>
      <c r="AU4" s="57"/>
      <c r="AV4" s="120" t="str" cm="1">
        <f t="array" aca="1" ref="AV4" ca="1">IF(AU2="●",
INDIRECT("'盛付札（関数）'!CP"&amp;AT1)+INDIRECT("'盛付札（関数）'!CP"&amp;AT1+1),
IF(AU2="〇",
INDIRECT("'盛付札（関数）'!CP"&amp;AT1+1),INDIRECT("'盛付札（関数）'!CP"&amp;AT1)))</f>
        <v/>
      </c>
      <c r="AW4" s="121"/>
      <c r="AX4" s="88"/>
      <c r="AY4" s="125" t="str" cm="1">
        <f t="array" aca="1" ref="AY4" ca="1">IF(AV1&lt;&gt;"",
IF(OR(INDIRECT("'盛付札（関数）'!CK"&amp;AT1)=121,INDIRECT("'盛付札（関数）'!CK"&amp;AT1)=122,INDIRECT("'盛付札（関数）'!CK"&amp;AT1)=123,INDIRECT("'盛付札（関数）'!CK"&amp;AT1)=124),"",
IF(AU2="●",
IFERROR(INDIRECT("'盛付札（関数）'!CQ"&amp;AT1)+INDIRECT("'盛付札（関数）'!CQ"&amp;AT1+1),""),
IF(AU2="〇",
INDIRECT("'盛付札（関数）'!CQ"&amp;AT1+1),INDIRECT("'盛付札（関数）'!CQ"&amp;AT1)))),"")</f>
        <v/>
      </c>
      <c r="AZ4" s="126"/>
      <c r="BA4" s="58"/>
      <c r="BB4" s="57"/>
      <c r="BC4" s="120" t="str" cm="1">
        <f t="array" aca="1" ref="BC4" ca="1">IF(BB2="●",
INDIRECT("'盛付札（関数）'!CP"&amp;BA1)+INDIRECT("'盛付札（関数）'!CP"&amp;BA1+1),
IF(BB2="〇",
INDIRECT("'盛付札（関数）'!CP"&amp;BA1+1),INDIRECT("'盛付札（関数）'!CP"&amp;BA1)))</f>
        <v/>
      </c>
      <c r="BD4" s="121"/>
      <c r="BE4" s="88"/>
      <c r="BF4" s="125" t="str" cm="1">
        <f t="array" aca="1" ref="BF4" ca="1">IF(BC1&lt;&gt;"",
IF(OR(INDIRECT("'盛付札（関数）'!CK"&amp;BA1)=121,INDIRECT("'盛付札（関数）'!CK"&amp;BA1)=122,INDIRECT("'盛付札（関数）'!CK"&amp;BA1)=123,INDIRECT("'盛付札（関数）'!CK"&amp;BA1)=124),"",
IF(BB2="●",
IFERROR(INDIRECT("'盛付札（関数）'!CQ"&amp;BA1)+INDIRECT("'盛付札（関数）'!CQ"&amp;BA1+1),""),
IF(BB2="〇",
INDIRECT("'盛付札（関数）'!CQ"&amp;BA1+1),INDIRECT("'盛付札（関数）'!CQ"&amp;BA1)))),"")</f>
        <v/>
      </c>
      <c r="BG4" s="126"/>
      <c r="BJ4" s="57"/>
      <c r="BK4" s="120" t="str" cm="1">
        <f t="array" aca="1" ref="BK4" ca="1">IF(BJ2="●",
INDIRECT("'盛付札（関数）'!CP"&amp;BI1)+INDIRECT("'盛付札（関数）'!CP"&amp;BI1+1),
IF(BJ2="〇",
INDIRECT("'盛付札（関数）'!CP"&amp;BI1+1),INDIRECT("'盛付札（関数）'!CP"&amp;BI1)))</f>
        <v/>
      </c>
      <c r="BL4" s="121"/>
      <c r="BM4" s="88"/>
      <c r="BN4" s="125" t="str" cm="1">
        <f t="array" aca="1" ref="BN4" ca="1">IF(BK1&lt;&gt;"",
IF(OR(INDIRECT("'盛付札（関数）'!CK"&amp;BI1)=121,INDIRECT("'盛付札（関数）'!CK"&amp;BI1)=122,INDIRECT("'盛付札（関数）'!CK"&amp;BI1)=123,INDIRECT("'盛付札（関数）'!CK"&amp;BI1)=124),"",
IF(BJ2="●",
IFERROR(INDIRECT("'盛付札（関数）'!CQ"&amp;BI1)+INDIRECT("'盛付札（関数）'!CQ"&amp;BI1+1),""),
IF(BJ2="〇",
INDIRECT("'盛付札（関数）'!CQ"&amp;BI1+1),INDIRECT("'盛付札（関数）'!CQ"&amp;BI1)))),"")</f>
        <v/>
      </c>
      <c r="BO4" s="126"/>
      <c r="BP4" s="58"/>
      <c r="BQ4" s="57"/>
      <c r="BR4" s="120" t="str" cm="1">
        <f t="array" aca="1" ref="BR4" ca="1">IF(BQ2="●",
INDIRECT("'盛付札（関数）'!CP"&amp;BP1)+INDIRECT("'盛付札（関数）'!CP"&amp;BP1+1),
IF(BQ2="〇",
INDIRECT("'盛付札（関数）'!CP"&amp;BP1+1),INDIRECT("'盛付札（関数）'!CP"&amp;BP1)))</f>
        <v/>
      </c>
      <c r="BS4" s="121"/>
      <c r="BT4" s="88"/>
      <c r="BU4" s="125" t="str" cm="1">
        <f t="array" aca="1" ref="BU4" ca="1">IF(BR1&lt;&gt;"",
IF(OR(INDIRECT("'盛付札（関数）'!CK"&amp;BP1)=121,INDIRECT("'盛付札（関数）'!CK"&amp;BP1)=122,INDIRECT("'盛付札（関数）'!CK"&amp;BP1)=123,INDIRECT("'盛付札（関数）'!CK"&amp;BP1)=124),"",
IF(BQ2="●",
IFERROR(INDIRECT("'盛付札（関数）'!CQ"&amp;BP1)+INDIRECT("'盛付札（関数）'!CQ"&amp;BP1+1),""),
IF(BQ2="〇",
INDIRECT("'盛付札（関数）'!CQ"&amp;BP1+1),INDIRECT("'盛付札（関数）'!CQ"&amp;BP1)))),"")</f>
        <v/>
      </c>
      <c r="BV4" s="126"/>
    </row>
    <row r="5" spans="1:75" ht="15.6" customHeight="1" x14ac:dyDescent="0.45">
      <c r="B5" s="59"/>
      <c r="C5" s="120"/>
      <c r="D5" s="120"/>
      <c r="E5" s="81"/>
      <c r="F5" s="127"/>
      <c r="G5" s="128"/>
      <c r="H5" s="58"/>
      <c r="I5" s="59"/>
      <c r="J5" s="120"/>
      <c r="K5" s="120"/>
      <c r="L5" s="81"/>
      <c r="M5" s="127"/>
      <c r="N5" s="128"/>
      <c r="Q5" s="59"/>
      <c r="R5" s="122"/>
      <c r="S5" s="122"/>
      <c r="T5" s="81"/>
      <c r="U5" s="127"/>
      <c r="V5" s="128"/>
      <c r="W5" s="58"/>
      <c r="X5" s="59"/>
      <c r="Y5" s="122"/>
      <c r="Z5" s="122"/>
      <c r="AA5" s="81"/>
      <c r="AB5" s="127"/>
      <c r="AC5" s="128"/>
      <c r="AF5" s="59"/>
      <c r="AG5" s="122"/>
      <c r="AH5" s="122"/>
      <c r="AI5" s="81"/>
      <c r="AJ5" s="127"/>
      <c r="AK5" s="128"/>
      <c r="AL5" s="58"/>
      <c r="AM5" s="59"/>
      <c r="AN5" s="122"/>
      <c r="AO5" s="122"/>
      <c r="AP5" s="81"/>
      <c r="AQ5" s="127"/>
      <c r="AR5" s="128"/>
      <c r="AU5" s="59"/>
      <c r="AV5" s="122"/>
      <c r="AW5" s="122"/>
      <c r="AX5" s="81"/>
      <c r="AY5" s="127"/>
      <c r="AZ5" s="128"/>
      <c r="BA5" s="58"/>
      <c r="BB5" s="59"/>
      <c r="BC5" s="122"/>
      <c r="BD5" s="122"/>
      <c r="BE5" s="81"/>
      <c r="BF5" s="127"/>
      <c r="BG5" s="128"/>
      <c r="BJ5" s="59"/>
      <c r="BK5" s="122"/>
      <c r="BL5" s="122"/>
      <c r="BM5" s="81"/>
      <c r="BN5" s="127"/>
      <c r="BO5" s="128"/>
      <c r="BP5" s="58"/>
      <c r="BQ5" s="59"/>
      <c r="BR5" s="122"/>
      <c r="BS5" s="122"/>
      <c r="BT5" s="81"/>
      <c r="BU5" s="127"/>
      <c r="BV5" s="128"/>
    </row>
    <row r="6" spans="1:75" s="68" customFormat="1" x14ac:dyDescent="0.55000000000000004">
      <c r="A6" s="53"/>
      <c r="B6" s="74" t="str">
        <f ca="1">IF(C1&lt;&gt;"","パン箱","")</f>
        <v>パン箱</v>
      </c>
      <c r="C6" s="72" cm="1">
        <f t="array" aca="1" ref="C6" ca="1">IF(B2="〇",
INDIRECT("'盛付札（関数）'!CR"&amp;A1+1),INDIRECT("'盛付札（関数）'!CR"&amp;A1))</f>
        <v>0</v>
      </c>
      <c r="D6" s="74" t="str">
        <f ca="1">IF(C1&lt;&gt;"","端数","")</f>
        <v>端数</v>
      </c>
      <c r="E6" s="72"/>
      <c r="F6" s="74" t="str">
        <f ca="1">IF(C1&lt;&gt;"","アレルギー","")</f>
        <v>アレルギー</v>
      </c>
      <c r="G6" s="77"/>
      <c r="H6" s="53"/>
      <c r="I6" s="74" t="str">
        <f ca="1">IF(J1&lt;&gt;"","パン箱","")</f>
        <v>パン箱</v>
      </c>
      <c r="J6" s="72" cm="1">
        <f t="array" aca="1" ref="J6" ca="1">IF(I2="〇",
INDIRECT("'盛付札（関数）'!CR"&amp;H1+1),INDIRECT("'盛付札（関数）'!CR"&amp;H1))</f>
        <v>0</v>
      </c>
      <c r="K6" s="74" t="str">
        <f ca="1">IF(J1&lt;&gt;"","端数","")</f>
        <v>端数</v>
      </c>
      <c r="L6" s="72"/>
      <c r="M6" s="74" t="str">
        <f ca="1">IF(J1&lt;&gt;"","アレルギー","")</f>
        <v>アレルギー</v>
      </c>
      <c r="N6" s="77"/>
      <c r="O6" s="53"/>
      <c r="P6" s="53"/>
      <c r="Q6" s="74" t="str" cm="1">
        <f t="array" aca="1" ref="Q6" ca="1">IF(R1&lt;&gt;"",
IF(OR(INDIRECT("'盛付札（関数）'!CK"&amp;P1)=121,INDIRECT("'盛付札（関数）'!CK"&amp;P1)=122,INDIRECT("'盛付札（関数）'!CK"&amp;P1)=123,INDIRECT("'盛付札（関数）'!CK"&amp;P1)=124),"",
"パン箱"),"")</f>
        <v/>
      </c>
      <c r="R6" s="72" t="str" cm="1">
        <f t="array" aca="1" ref="R6" ca="1">IF(R1&lt;&gt;"",
IF(OR(INDIRECT("'盛付札（関数）'!CK"&amp;P1)=121,INDIRECT("'盛付札（関数）'!CK"&amp;P1)=122,INDIRECT("'盛付札（関数）'!CK"&amp;P1)=123,INDIRECT("'盛付札（関数）'!CK"&amp;P1)=124),"",
IF(Q2="〇",
INDIRECT("'盛付札（関数）'!CR"&amp;P1+1),INDIRECT("'盛付札（関数）'!CR"&amp;P1))),"")</f>
        <v/>
      </c>
      <c r="S6" s="74" t="str" cm="1">
        <f t="array" aca="1" ref="S6" ca="1">IF(R1&lt;&gt;"",
IF(OR(INDIRECT("'盛付札（関数）'!CK"&amp;P1)=121,INDIRECT("'盛付札（関数）'!CK"&amp;P1)=122,INDIRECT("'盛付札（関数）'!CK"&amp;P1)=123,INDIRECT("'盛付札（関数）'!CK"&amp;P1)=124),"",
"端数"),"")</f>
        <v/>
      </c>
      <c r="T6" s="72"/>
      <c r="U6" s="74" t="str" cm="1">
        <f t="array" aca="1" ref="U6" ca="1">IF(R1&lt;&gt;"",
IF(OR(INDIRECT("'盛付札（関数）'!CK"&amp;P1)=121,INDIRECT("'盛付札（関数）'!CK"&amp;P1)=122,INDIRECT("'盛付札（関数）'!CK"&amp;P1)=123,INDIRECT("'盛付札（関数）'!CK"&amp;P1)=124),"",
"アレルギー"),"")</f>
        <v/>
      </c>
      <c r="V6" s="77"/>
      <c r="W6" s="53"/>
      <c r="X6" s="74" t="str" cm="1">
        <f t="array" aca="1" ref="X6" ca="1">IF(Y1&lt;&gt;"",
IF(OR(INDIRECT("'盛付札（関数）'!CK"&amp;W1)=121,INDIRECT("'盛付札（関数）'!CK"&amp;W1)=122,INDIRECT("'盛付札（関数）'!CK"&amp;W1)=123,INDIRECT("'盛付札（関数）'!CK"&amp;W1)=124),"",
"パン箱"),"")</f>
        <v/>
      </c>
      <c r="Y6" s="72" t="str" cm="1">
        <f t="array" aca="1" ref="Y6" ca="1">IF(Y1&lt;&gt;"",
IF(OR(INDIRECT("'盛付札（関数）'!CK"&amp;W1)=121,INDIRECT("'盛付札（関数）'!CK"&amp;W1)=122,INDIRECT("'盛付札（関数）'!CK"&amp;W1)=123,INDIRECT("'盛付札（関数）'!CK"&amp;W1)=124),"",
IF(X2="〇",
INDIRECT("'盛付札（関数）'!CR"&amp;W1+1),INDIRECT("'盛付札（関数）'!CR"&amp;W1))),"")</f>
        <v/>
      </c>
      <c r="Z6" s="74" t="str" cm="1">
        <f t="array" aca="1" ref="Z6" ca="1">IF(Y1&lt;&gt;"",
IF(OR(INDIRECT("'盛付札（関数）'!CK"&amp;W1)=121,INDIRECT("'盛付札（関数）'!CK"&amp;W1)=122,INDIRECT("'盛付札（関数）'!CK"&amp;W1)=123,INDIRECT("'盛付札（関数）'!CK"&amp;W1)=124),"",
"端数"),"")</f>
        <v/>
      </c>
      <c r="AA6" s="72"/>
      <c r="AB6" s="74" t="str" cm="1">
        <f t="array" aca="1" ref="AB6" ca="1">IF(Y1&lt;&gt;"",
IF(OR(INDIRECT("'盛付札（関数）'!CK"&amp;W1)=121,INDIRECT("'盛付札（関数）'!CK"&amp;W1)=122,INDIRECT("'盛付札（関数）'!CK"&amp;W1)=123,INDIRECT("'盛付札（関数）'!CK"&amp;W1)=124),"",
"アレルギー"),"")</f>
        <v/>
      </c>
      <c r="AC6" s="77"/>
      <c r="AD6" s="53"/>
      <c r="AE6" s="53"/>
      <c r="AF6" s="74" t="str" cm="1">
        <f t="array" aca="1" ref="AF6" ca="1">IF(AG1&lt;&gt;"",
IF(OR(INDIRECT("'盛付札（関数）'!CK"&amp;AE1)=121,INDIRECT("'盛付札（関数）'!CK"&amp;AE1)=122,INDIRECT("'盛付札（関数）'!CK"&amp;AE1)=123,INDIRECT("'盛付札（関数）'!CK"&amp;AE1)=124),"",
"パン箱"),"")</f>
        <v/>
      </c>
      <c r="AG6" s="72" t="str" cm="1">
        <f t="array" aca="1" ref="AG6" ca="1">IF(AG1&lt;&gt;"",
IF(OR(INDIRECT("'盛付札（関数）'!CK"&amp;AE1)=121,INDIRECT("'盛付札（関数）'!CK"&amp;AE1)=122,INDIRECT("'盛付札（関数）'!CK"&amp;AE1)=123,INDIRECT("'盛付札（関数）'!CK"&amp;AE1)=124),"",
IF(AF2="〇",
INDIRECT("'盛付札（関数）'!CR"&amp;AE1+1),INDIRECT("'盛付札（関数）'!CR"&amp;AE1))),"")</f>
        <v/>
      </c>
      <c r="AH6" s="74" t="str" cm="1">
        <f t="array" aca="1" ref="AH6" ca="1">IF(AG1&lt;&gt;"",
IF(OR(INDIRECT("'盛付札（関数）'!CK"&amp;AE1)=121,INDIRECT("'盛付札（関数）'!CK"&amp;AE1)=122,INDIRECT("'盛付札（関数）'!CK"&amp;AE1)=123,INDIRECT("'盛付札（関数）'!CK"&amp;AE1)=124),"",
"端数"),"")</f>
        <v/>
      </c>
      <c r="AI6" s="72"/>
      <c r="AJ6" s="74" t="str" cm="1">
        <f t="array" aca="1" ref="AJ6" ca="1">IF(AG1&lt;&gt;"",
IF(OR(INDIRECT("'盛付札（関数）'!CK"&amp;AE1)=121,INDIRECT("'盛付札（関数）'!CK"&amp;AE1)=122,INDIRECT("'盛付札（関数）'!CK"&amp;AE1)=123,INDIRECT("'盛付札（関数）'!CK"&amp;AE1)=124),"",
"アレルギー"),"")</f>
        <v/>
      </c>
      <c r="AK6" s="77"/>
      <c r="AL6" s="53"/>
      <c r="AM6" s="74" t="str" cm="1">
        <f t="array" aca="1" ref="AM6" ca="1">IF(AN1&lt;&gt;"",
IF(OR(INDIRECT("'盛付札（関数）'!CK"&amp;AL1)=121,INDIRECT("'盛付札（関数）'!CK"&amp;AL1)=122,INDIRECT("'盛付札（関数）'!CK"&amp;AL1)=123,INDIRECT("'盛付札（関数）'!CK"&amp;AL1)=124),"",
"パン箱"),"")</f>
        <v/>
      </c>
      <c r="AN6" s="72" t="str" cm="1">
        <f t="array" aca="1" ref="AN6" ca="1">IF(AN1&lt;&gt;"",
IF(OR(INDIRECT("'盛付札（関数）'!CK"&amp;AL1)=121,INDIRECT("'盛付札（関数）'!CK"&amp;AL1)=122,INDIRECT("'盛付札（関数）'!CK"&amp;AL1)=123,INDIRECT("'盛付札（関数）'!CK"&amp;AL1)=124),"",
IF(AM2="〇",
INDIRECT("'盛付札（関数）'!CR"&amp;AL1+1),INDIRECT("'盛付札（関数）'!CR"&amp;AL1))),"")</f>
        <v/>
      </c>
      <c r="AO6" s="74" t="str" cm="1">
        <f t="array" aca="1" ref="AO6" ca="1">IF(AN1&lt;&gt;"",
IF(OR(INDIRECT("'盛付札（関数）'!CK"&amp;AL1)=121,INDIRECT("'盛付札（関数）'!CK"&amp;AL1)=122,INDIRECT("'盛付札（関数）'!CK"&amp;AL1)=123,INDIRECT("'盛付札（関数）'!CK"&amp;AL1)=124),"",
"端数"),"")</f>
        <v/>
      </c>
      <c r="AP6" s="72"/>
      <c r="AQ6" s="74" t="str" cm="1">
        <f t="array" aca="1" ref="AQ6" ca="1">IF(AN1&lt;&gt;"",
IF(OR(INDIRECT("'盛付札（関数）'!CK"&amp;AL1)=121,INDIRECT("'盛付札（関数）'!CK"&amp;AL1)=122,INDIRECT("'盛付札（関数）'!CK"&amp;AL1)=123,INDIRECT("'盛付札（関数）'!CK"&amp;AL1)=124),"",
"アレルギー"),"")</f>
        <v/>
      </c>
      <c r="AR6" s="77"/>
      <c r="AS6" s="53"/>
      <c r="AT6" s="53"/>
      <c r="AU6" s="74" t="str" cm="1">
        <f t="array" aca="1" ref="AU6" ca="1">IF(AV1&lt;&gt;"",
IF(OR(INDIRECT("'盛付札（関数）'!CK"&amp;AT1)=121,INDIRECT("'盛付札（関数）'!CK"&amp;AT1)=122,INDIRECT("'盛付札（関数）'!CK"&amp;AT1)=123,INDIRECT("'盛付札（関数）'!CK"&amp;AT1)=124),"",
"パン箱"),"")</f>
        <v/>
      </c>
      <c r="AV6" s="72" t="str" cm="1">
        <f t="array" aca="1" ref="AV6" ca="1">IF(AV1&lt;&gt;"",
IF(OR(INDIRECT("'盛付札（関数）'!CK"&amp;AT1)=121,INDIRECT("'盛付札（関数）'!CK"&amp;AT1)=122,INDIRECT("'盛付札（関数）'!CK"&amp;AT1)=123,INDIRECT("'盛付札（関数）'!CK"&amp;AT1)=124),"",
IF(AU2="〇",
INDIRECT("'盛付札（関数）'!CR"&amp;AT1+1),INDIRECT("'盛付札（関数）'!CR"&amp;AT1))),"")</f>
        <v/>
      </c>
      <c r="AW6" s="74" t="str" cm="1">
        <f t="array" aca="1" ref="AW6" ca="1">IF(AV1&lt;&gt;"",
IF(OR(INDIRECT("'盛付札（関数）'!CK"&amp;AT1)=121,INDIRECT("'盛付札（関数）'!CK"&amp;AT1)=122,INDIRECT("'盛付札（関数）'!CK"&amp;AT1)=123,INDIRECT("'盛付札（関数）'!CK"&amp;AT1)=124),"",
"端数"),"")</f>
        <v/>
      </c>
      <c r="AX6" s="72"/>
      <c r="AY6" s="74" t="str" cm="1">
        <f t="array" aca="1" ref="AY6" ca="1">IF(AV1&lt;&gt;"",
IF(OR(INDIRECT("'盛付札（関数）'!CK"&amp;AT1)=121,INDIRECT("'盛付札（関数）'!CK"&amp;AT1)=122,INDIRECT("'盛付札（関数）'!CK"&amp;AT1)=123,INDIRECT("'盛付札（関数）'!CK"&amp;AT1)=124),"",
"アレルギー"),"")</f>
        <v/>
      </c>
      <c r="AZ6" s="77"/>
      <c r="BA6" s="53"/>
      <c r="BB6" s="74" t="str" cm="1">
        <f t="array" aca="1" ref="BB6" ca="1">IF(BC1&lt;&gt;"",
IF(OR(INDIRECT("'盛付札（関数）'!CK"&amp;BA1)=121,INDIRECT("'盛付札（関数）'!CK"&amp;BA1)=122,INDIRECT("'盛付札（関数）'!CK"&amp;BA1)=123,INDIRECT("'盛付札（関数）'!CK"&amp;BA1)=124),"",
"パン箱"),"")</f>
        <v/>
      </c>
      <c r="BC6" s="72" t="str" cm="1">
        <f t="array" aca="1" ref="BC6" ca="1">IF(BC1&lt;&gt;"",
IF(OR(INDIRECT("'盛付札（関数）'!CK"&amp;BA1)=121,INDIRECT("'盛付札（関数）'!CK"&amp;BA1)=122,INDIRECT("'盛付札（関数）'!CK"&amp;BA1)=123,INDIRECT("'盛付札（関数）'!CK"&amp;BA1)=124),"",
IF(BB2="〇",
INDIRECT("'盛付札（関数）'!CR"&amp;BA1+1),INDIRECT("'盛付札（関数）'!CR"&amp;BA1))),"")</f>
        <v/>
      </c>
      <c r="BD6" s="74" t="str" cm="1">
        <f t="array" aca="1" ref="BD6" ca="1">IF(BC1&lt;&gt;"",
IF(OR(INDIRECT("'盛付札（関数）'!CK"&amp;BA1)=121,INDIRECT("'盛付札（関数）'!CK"&amp;BA1)=122,INDIRECT("'盛付札（関数）'!CK"&amp;BA1)=123,INDIRECT("'盛付札（関数）'!CK"&amp;BA1)=124),"",
"端数"),"")</f>
        <v/>
      </c>
      <c r="BE6" s="72"/>
      <c r="BF6" s="74" t="str" cm="1">
        <f t="array" aca="1" ref="BF6" ca="1">IF(BC1&lt;&gt;"",
IF(OR(INDIRECT("'盛付札（関数）'!CK"&amp;BA1)=121,INDIRECT("'盛付札（関数）'!CK"&amp;BA1)=122,INDIRECT("'盛付札（関数）'!CK"&amp;BA1)=123,INDIRECT("'盛付札（関数）'!CK"&amp;BA1)=124),"",
"アレルギー"),"")</f>
        <v/>
      </c>
      <c r="BG6" s="77"/>
      <c r="BH6" s="53"/>
      <c r="BI6" s="53"/>
      <c r="BJ6" s="74" t="str" cm="1">
        <f t="array" aca="1" ref="BJ6" ca="1">IF(BK1&lt;&gt;"",
IF(OR(INDIRECT("'盛付札（関数）'!CK"&amp;BI1)=121,INDIRECT("'盛付札（関数）'!CK"&amp;BI1)=122,INDIRECT("'盛付札（関数）'!CK"&amp;BI1)=123,INDIRECT("'盛付札（関数）'!CK"&amp;BI1)=124),"",
"パン箱"),"")</f>
        <v/>
      </c>
      <c r="BK6" s="72" t="str" cm="1">
        <f t="array" aca="1" ref="BK6" ca="1">IF(BK1&lt;&gt;"",
IF(OR(INDIRECT("'盛付札（関数）'!CK"&amp;BI1)=121,INDIRECT("'盛付札（関数）'!CK"&amp;BI1)=122,INDIRECT("'盛付札（関数）'!CK"&amp;BI1)=123,INDIRECT("'盛付札（関数）'!CK"&amp;BI1)=124),"",
IF(BJ2="〇",
INDIRECT("'盛付札（関数）'!CR"&amp;BI1+1),INDIRECT("'盛付札（関数）'!CR"&amp;BI1))),"")</f>
        <v/>
      </c>
      <c r="BL6" s="74" t="str" cm="1">
        <f t="array" aca="1" ref="BL6" ca="1">IF(BK1&lt;&gt;"",
IF(OR(INDIRECT("'盛付札（関数）'!CK"&amp;BI1)=121,INDIRECT("'盛付札（関数）'!CK"&amp;BI1)=122,INDIRECT("'盛付札（関数）'!CK"&amp;BI1)=123,INDIRECT("'盛付札（関数）'!CK"&amp;BI1)=124),"",
"端数"),"")</f>
        <v/>
      </c>
      <c r="BM6" s="72"/>
      <c r="BN6" s="74" t="str" cm="1">
        <f t="array" aca="1" ref="BN6" ca="1">IF(BK1&lt;&gt;"",
IF(OR(INDIRECT("'盛付札（関数）'!CK"&amp;BI1)=121,INDIRECT("'盛付札（関数）'!CK"&amp;BI1)=122,INDIRECT("'盛付札（関数）'!CK"&amp;BI1)=123,INDIRECT("'盛付札（関数）'!CK"&amp;BI1)=124),"",
"アレルギー"),"")</f>
        <v/>
      </c>
      <c r="BO6" s="77"/>
      <c r="BP6" s="53"/>
      <c r="BQ6" s="74" t="str" cm="1">
        <f t="array" aca="1" ref="BQ6" ca="1">IF(BR1&lt;&gt;"",
IF(OR(INDIRECT("'盛付札（関数）'!CK"&amp;BP1)=121,INDIRECT("'盛付札（関数）'!CK"&amp;BP1)=122,INDIRECT("'盛付札（関数）'!CK"&amp;BP1)=123,INDIRECT("'盛付札（関数）'!CK"&amp;BP1)=124),"",
"パン箱"),"")</f>
        <v/>
      </c>
      <c r="BR6" s="72" t="str" cm="1">
        <f t="array" aca="1" ref="BR6" ca="1">IF(BR1&lt;&gt;"",
IF(OR(INDIRECT("'盛付札（関数）'!CK"&amp;BP1)=121,INDIRECT("'盛付札（関数）'!CK"&amp;BP1)=122,INDIRECT("'盛付札（関数）'!CK"&amp;BP1)=123,INDIRECT("'盛付札（関数）'!CK"&amp;BP1)=124),"",
IF(BQ2="〇",
INDIRECT("'盛付札（関数）'!CR"&amp;BP1+1),INDIRECT("'盛付札（関数）'!CR"&amp;BP1))),"")</f>
        <v/>
      </c>
      <c r="BS6" s="74" t="str" cm="1">
        <f t="array" aca="1" ref="BS6" ca="1">IF(BR1&lt;&gt;"",
IF(OR(INDIRECT("'盛付札（関数）'!CK"&amp;BP1)=121,INDIRECT("'盛付札（関数）'!CK"&amp;BP1)=122,INDIRECT("'盛付札（関数）'!CK"&amp;BP1)=123,INDIRECT("'盛付札（関数）'!CK"&amp;BP1)=124),"",
"端数"),"")</f>
        <v/>
      </c>
      <c r="BT6" s="72"/>
      <c r="BU6" s="74" t="str" cm="1">
        <f t="array" aca="1" ref="BU6" ca="1">IF(BR1&lt;&gt;"",
IF(OR(INDIRECT("'盛付札（関数）'!CK"&amp;BP1)=121,INDIRECT("'盛付札（関数）'!CK"&amp;BP1)=122,INDIRECT("'盛付札（関数）'!CK"&amp;BP1)=123,INDIRECT("'盛付札（関数）'!CK"&amp;BP1)=124),"",
"アレルギー"),"")</f>
        <v/>
      </c>
      <c r="BV6" s="77"/>
      <c r="BW6" s="53"/>
    </row>
    <row r="7" spans="1:75" ht="27.6" customHeight="1" x14ac:dyDescent="0.45">
      <c r="B7" s="166" t="e">
        <f ca="1">IF(C4&lt;&gt;"",
IFERROR(INT(C4/C6),""),"")</f>
        <v>#N/A</v>
      </c>
      <c r="C7" s="167"/>
      <c r="D7" s="166" t="str">
        <f ca="1">IFERROR(MOD(C4,C6),"")</f>
        <v/>
      </c>
      <c r="E7" s="167"/>
      <c r="F7" s="168" cm="1">
        <f t="array" aca="1" ref="F7" ca="1">IF(B2="●",
IFERROR(INDIRECT("'盛付札（関数）'!CU"&amp;A1)+INDIRECT("'盛付札（関数）'!CU"&amp;A1+1),0),
IF(B2="〇",
INDIRECT("'盛付札（関数）'!CU"&amp;A1+1),INDIRECT("'盛付札（関数）'!CU"&amp;A1)))</f>
        <v>0</v>
      </c>
      <c r="G7" s="169"/>
      <c r="I7" s="166" t="e">
        <f ca="1">IF(J4&lt;&gt;"",
IFERROR(INT(J4/J6),""),"")</f>
        <v>#N/A</v>
      </c>
      <c r="J7" s="167"/>
      <c r="K7" s="166" t="str">
        <f ca="1">IFERROR(MOD(J4,J6),"")</f>
        <v/>
      </c>
      <c r="L7" s="167"/>
      <c r="M7" s="168" cm="1">
        <f t="array" aca="1" ref="M7" ca="1">IF(I2="●",
IFERROR(INDIRECT("'盛付札（関数）'!CU"&amp;H1)+INDIRECT("'盛付札（関数）'!CU"&amp;H1+1),0),
IF(I2="〇",
INDIRECT("'盛付札（関数）'!CU"&amp;H1+1),INDIRECT("'盛付札（関数）'!CU"&amp;H1)))</f>
        <v>0</v>
      </c>
      <c r="N7" s="169"/>
      <c r="Q7" s="124" t="str">
        <f ca="1">IF(R4&lt;&gt;"",
IFERROR(INT(R4/R6),""),"")</f>
        <v/>
      </c>
      <c r="R7" s="119"/>
      <c r="S7" s="124" t="str">
        <f ca="1">IFERROR(MOD(R4,R6),"")</f>
        <v/>
      </c>
      <c r="T7" s="119"/>
      <c r="U7" s="118" t="str" cm="1">
        <f t="array" aca="1" ref="U7" ca="1">IF(R1&lt;&gt;"",
IF(OR(INDIRECT("'盛付札（関数）'!CK"&amp;P1)=121,INDIRECT("'盛付札（関数）'!CK"&amp;P1)=122,INDIRECT("'盛付札（関数）'!CK"&amp;P1)=123,INDIRECT("'盛付札（関数）'!CK"&amp;P1)=124),"",
IF(Q2="●",
IFERROR(INDIRECT("'盛付札（関数）'!CU"&amp;P1)+INDIRECT("'盛付札（関数）'!CU"&amp;P1+1),0),
IF(Q2="〇",
INDIRECT("'盛付札（関数）'!CU"&amp;P1+1),INDIRECT("'盛付札（関数）'!CU"&amp;P1)))),"")</f>
        <v/>
      </c>
      <c r="V7" s="119"/>
      <c r="X7" s="124" t="str">
        <f ca="1">IF(Y4&lt;&gt;"",
IFERROR(INT(Y4/Y6),""),"")</f>
        <v/>
      </c>
      <c r="Y7" s="119"/>
      <c r="Z7" s="124" t="str">
        <f ca="1">IFERROR(MOD(Y4,Y6),"")</f>
        <v/>
      </c>
      <c r="AA7" s="119"/>
      <c r="AB7" s="118" t="str" cm="1">
        <f t="array" aca="1" ref="AB7" ca="1">IF(Y1&lt;&gt;"",
IF(OR(INDIRECT("'盛付札（関数）'!CK"&amp;W1)=121,INDIRECT("'盛付札（関数）'!CK"&amp;W1)=122,INDIRECT("'盛付札（関数）'!CK"&amp;W1)=123,INDIRECT("'盛付札（関数）'!CK"&amp;W1)=124),"",
IF(X2="●",
IFERROR(INDIRECT("'盛付札（関数）'!CU"&amp;W1)+INDIRECT("'盛付札（関数）'!CU"&amp;W1+1),0),
IF(X2="〇",
INDIRECT("'盛付札（関数）'!CU"&amp;W1+1),INDIRECT("'盛付札（関数）'!CU"&amp;W1)))),"")</f>
        <v/>
      </c>
      <c r="AC7" s="119"/>
      <c r="AF7" s="124" t="str">
        <f ca="1">IF(AG4&lt;&gt;"",
IFERROR(INT(AG4/AG6),""),"")</f>
        <v/>
      </c>
      <c r="AG7" s="119"/>
      <c r="AH7" s="124" t="str">
        <f ca="1">IFERROR(MOD(AG4,AG6),"")</f>
        <v/>
      </c>
      <c r="AI7" s="119"/>
      <c r="AJ7" s="118" t="str" cm="1">
        <f t="array" aca="1" ref="AJ7" ca="1">IF(AG1&lt;&gt;"",
IF(OR(INDIRECT("'盛付札（関数）'!CK"&amp;AE1)=121,INDIRECT("'盛付札（関数）'!CK"&amp;AE1)=122,INDIRECT("'盛付札（関数）'!CK"&amp;AE1)=123,INDIRECT("'盛付札（関数）'!CK"&amp;AE1)=124),"",
IF(AF2="●",
IFERROR(INDIRECT("'盛付札（関数）'!CU"&amp;AE1)+INDIRECT("'盛付札（関数）'!CU"&amp;AE1+1),0),
IF(AF2="〇",
INDIRECT("'盛付札（関数）'!CU"&amp;AE1+1),INDIRECT("'盛付札（関数）'!CU"&amp;AE1)))),"")</f>
        <v/>
      </c>
      <c r="AK7" s="119"/>
      <c r="AM7" s="124" t="str">
        <f ca="1">IF(AN4&lt;&gt;"",
IFERROR(INT(AN4/AN6),""),"")</f>
        <v/>
      </c>
      <c r="AN7" s="119"/>
      <c r="AO7" s="124" t="str">
        <f ca="1">IFERROR(MOD(AN4,AN6),"")</f>
        <v/>
      </c>
      <c r="AP7" s="119"/>
      <c r="AQ7" s="118" t="str" cm="1">
        <f t="array" aca="1" ref="AQ7" ca="1">IF(AN1&lt;&gt;"",
IF(OR(INDIRECT("'盛付札（関数）'!CK"&amp;AL1)=121,INDIRECT("'盛付札（関数）'!CK"&amp;AL1)=122,INDIRECT("'盛付札（関数）'!CK"&amp;AL1)=123,INDIRECT("'盛付札（関数）'!CK"&amp;AL1)=124),"",
IF(AM2="●",
IFERROR(INDIRECT("'盛付札（関数）'!CU"&amp;AL1)+INDIRECT("'盛付札（関数）'!CU"&amp;AL1+1),0),
IF(AM2="〇",
INDIRECT("'盛付札（関数）'!CU"&amp;AL1+1),INDIRECT("'盛付札（関数）'!CU"&amp;AL1)))),"")</f>
        <v/>
      </c>
      <c r="AR7" s="119"/>
      <c r="AU7" s="124" t="str">
        <f ca="1">IF(AV4&lt;&gt;"",
IFERROR(INT(AV4/AV6),""),"")</f>
        <v/>
      </c>
      <c r="AV7" s="119"/>
      <c r="AW7" s="124" t="str">
        <f ca="1">IFERROR(MOD(AV4,AV6),"")</f>
        <v/>
      </c>
      <c r="AX7" s="119"/>
      <c r="AY7" s="118" t="str" cm="1">
        <f t="array" aca="1" ref="AY7" ca="1">IF(AV1&lt;&gt;"",
IF(OR(INDIRECT("'盛付札（関数）'!CK"&amp;AT1)=121,INDIRECT("'盛付札（関数）'!CK"&amp;AT1)=122,INDIRECT("'盛付札（関数）'!CK"&amp;AT1)=123,INDIRECT("'盛付札（関数）'!CK"&amp;AT1)=124),"",
IF(AU2="●",
IFERROR(INDIRECT("'盛付札（関数）'!CU"&amp;AT1)+INDIRECT("'盛付札（関数）'!CU"&amp;AT1+1),0),
IF(AU2="〇",
INDIRECT("'盛付札（関数）'!CU"&amp;AT1+1),INDIRECT("'盛付札（関数）'!CU"&amp;AT1)))),"")</f>
        <v/>
      </c>
      <c r="AZ7" s="119"/>
      <c r="BB7" s="124" t="str">
        <f ca="1">IF(BC4&lt;&gt;"",
IFERROR(INT(BC4/BC6),""),"")</f>
        <v/>
      </c>
      <c r="BC7" s="119"/>
      <c r="BD7" s="124" t="str">
        <f ca="1">IFERROR(MOD(BC4,BC6),"")</f>
        <v/>
      </c>
      <c r="BE7" s="119"/>
      <c r="BF7" s="118" t="str" cm="1">
        <f t="array" aca="1" ref="BF7" ca="1">IF(BC1&lt;&gt;"",
IF(OR(INDIRECT("'盛付札（関数）'!CK"&amp;BA1)=121,INDIRECT("'盛付札（関数）'!CK"&amp;BA1)=122,INDIRECT("'盛付札（関数）'!CK"&amp;BA1)=123,INDIRECT("'盛付札（関数）'!CK"&amp;BA1)=124),"",
IF(BB2="●",
IFERROR(INDIRECT("'盛付札（関数）'!CU"&amp;BA1)+INDIRECT("'盛付札（関数）'!CU"&amp;BA1+1),0),
IF(BB2="〇",
INDIRECT("'盛付札（関数）'!CU"&amp;BA1+1),INDIRECT("'盛付札（関数）'!CU"&amp;BA1)))),"")</f>
        <v/>
      </c>
      <c r="BG7" s="119"/>
      <c r="BJ7" s="124" t="str">
        <f ca="1">IF(BK4&lt;&gt;"",
IFERROR(INT(BK4/BK6),""),"")</f>
        <v/>
      </c>
      <c r="BK7" s="119"/>
      <c r="BL7" s="124" t="str">
        <f ca="1">IFERROR(MOD(BK4,BK6),"")</f>
        <v/>
      </c>
      <c r="BM7" s="119"/>
      <c r="BN7" s="118" t="str" cm="1">
        <f t="array" aca="1" ref="BN7" ca="1">IF(BK1&lt;&gt;"",
IF(OR(INDIRECT("'盛付札（関数）'!CK"&amp;BI1)=121,INDIRECT("'盛付札（関数）'!CK"&amp;BI1)=122,INDIRECT("'盛付札（関数）'!CK"&amp;BI1)=123,INDIRECT("'盛付札（関数）'!CK"&amp;BI1)=124),"",
IF(BJ2="●",
IFERROR(INDIRECT("'盛付札（関数）'!CU"&amp;BI1)+INDIRECT("'盛付札（関数）'!CU"&amp;BI1+1),0),
IF(BJ2="〇",
INDIRECT("'盛付札（関数）'!CU"&amp;BI1+1),INDIRECT("'盛付札（関数）'!CU"&amp;BI1)))),"")</f>
        <v/>
      </c>
      <c r="BO7" s="119"/>
      <c r="BQ7" s="124" t="str">
        <f ca="1">IF(BR4&lt;&gt;"",
IFERROR(INT(BR4/BR6),""),"")</f>
        <v/>
      </c>
      <c r="BR7" s="119"/>
      <c r="BS7" s="124" t="str">
        <f ca="1">IFERROR(MOD(BR4,BR6),"")</f>
        <v/>
      </c>
      <c r="BT7" s="119"/>
      <c r="BU7" s="118" t="str" cm="1">
        <f t="array" aca="1" ref="BU7" ca="1">IF(BR1&lt;&gt;"",
IF(OR(INDIRECT("'盛付札（関数）'!CK"&amp;BP1)=121,INDIRECT("'盛付札（関数）'!CK"&amp;BP1)=122,INDIRECT("'盛付札（関数）'!CK"&amp;BP1)=123,INDIRECT("'盛付札（関数）'!CK"&amp;BP1)=124),"",
IF(BQ2="●",
IFERROR(INDIRECT("'盛付札（関数）'!CU"&amp;BP1)+INDIRECT("'盛付札（関数）'!CU"&amp;BP1+1),0),
IF(BQ2="〇",
INDIRECT("'盛付札（関数）'!CU"&amp;BP1+1),INDIRECT("'盛付札（関数）'!CU"&amp;BP1)))),"")</f>
        <v/>
      </c>
      <c r="BV7" s="119"/>
    </row>
    <row r="8" spans="1:75" ht="9.6" customHeight="1" x14ac:dyDescent="0.45">
      <c r="B8" s="82"/>
      <c r="D8" s="82"/>
      <c r="F8" s="83"/>
      <c r="G8" s="65"/>
      <c r="I8" s="82"/>
      <c r="K8" s="82"/>
      <c r="M8" s="83"/>
      <c r="N8" s="65"/>
      <c r="Q8" s="82"/>
      <c r="S8" s="82"/>
      <c r="U8" s="83"/>
      <c r="V8" s="65"/>
      <c r="X8" s="82"/>
      <c r="Z8" s="82"/>
      <c r="AB8" s="83"/>
      <c r="AC8" s="65"/>
      <c r="AF8" s="82"/>
      <c r="AH8" s="82"/>
      <c r="AJ8" s="83"/>
      <c r="AK8" s="65"/>
      <c r="AM8" s="82"/>
      <c r="AO8" s="82"/>
      <c r="AQ8" s="83"/>
      <c r="AR8" s="65"/>
      <c r="AU8" s="82"/>
      <c r="AW8" s="82"/>
      <c r="AY8" s="83"/>
      <c r="AZ8" s="65"/>
      <c r="BB8" s="82"/>
      <c r="BD8" s="82"/>
      <c r="BF8" s="83"/>
      <c r="BG8" s="65"/>
      <c r="BJ8" s="82"/>
      <c r="BL8" s="82"/>
      <c r="BN8" s="83"/>
      <c r="BO8" s="65"/>
      <c r="BQ8" s="82"/>
      <c r="BS8" s="82"/>
      <c r="BU8" s="83"/>
      <c r="BV8" s="65"/>
    </row>
    <row r="9" spans="1:75" s="68" customFormat="1" ht="25.8" customHeight="1" x14ac:dyDescent="0.55000000000000004">
      <c r="A9" s="67">
        <f ca="1">IF(COUNTIF(INDIRECT("'盛付札（関数）'!CL"&amp;H1+1),"*社食*"),
H1+2,H1+1)</f>
        <v>3</v>
      </c>
      <c r="B9" s="80" t="e">
        <f ca="1">IF(C9&lt;&gt;"",
MID(貼り付け用!$A$2, FIND("年",貼り付け用!$A$2)+1,2)&amp;"/"&amp;MID(貼り付け用!$A$2, FIND("月",貼り付け用!$A$2)+1,2),"")</f>
        <v>#VALUE!</v>
      </c>
      <c r="C9" s="164" t="str" cm="1">
        <f t="array" aca="1" ref="C9" ca="1">IF(B10="〇",
INDIRECT("'盛付札（関数）'!CL"&amp;A9+1),INDIRECT("'盛付札（関数）'!CL"&amp;A9))</f>
        <v>配送</v>
      </c>
      <c r="D9" s="165"/>
      <c r="E9" s="165"/>
      <c r="F9" s="165"/>
      <c r="G9" s="79" t="str">
        <f ca="1">IF(C9&lt;&gt;"","様","")</f>
        <v>様</v>
      </c>
      <c r="H9" s="67">
        <f ca="1">IF(C9="配送",
A9+1,
IF(COUNTIF(INDIRECT("'盛付札（関数）'!CL"&amp;A9+1),"*社食*"),
A9+2,A9+1))</f>
        <v>4</v>
      </c>
      <c r="I9" s="80" t="e">
        <f ca="1">IF(J9&lt;&gt;"",
MID(貼り付け用!$A$2, FIND("年",貼り付け用!$A$2)+1,2)&amp;"/"&amp;MID(貼り付け用!$A$2, FIND("月",貼り付け用!$A$2)+1,2),"")</f>
        <v>#N/A</v>
      </c>
      <c r="J9" s="164" t="e" cm="1">
        <f t="array" aca="1" ref="J9" ca="1">IF(I10="〇",
INDIRECT("'盛付札（関数）'!CL"&amp;H9+1),INDIRECT("'盛付札（関数）'!CL"&amp;H9))</f>
        <v>#N/A</v>
      </c>
      <c r="K9" s="165"/>
      <c r="L9" s="165"/>
      <c r="M9" s="165"/>
      <c r="N9" s="79" t="e">
        <f ca="1">IF(J9&lt;&gt;"","様","")</f>
        <v>#N/A</v>
      </c>
      <c r="O9" s="53"/>
      <c r="P9" s="67">
        <f ca="1">IF(COUNTIF(INDIRECT("'盛付札（関数）'!CL"&amp;W1+1),"*社食*"),
W1+2,W1+1)</f>
        <v>15</v>
      </c>
      <c r="Q9" s="80" t="str">
        <f ca="1">IF(R9&lt;&gt;"",
MID(貼り付け用!$A$2, FIND("年",貼り付け用!$A$2)+1,2)&amp;"/"&amp;MID(貼り付け用!$A$2, FIND("月",貼り付け用!$A$2)+1,2),"")</f>
        <v/>
      </c>
      <c r="R9" s="164" t="str" cm="1">
        <f t="array" aca="1" ref="R9" ca="1">IF(Q10="〇",
INDIRECT("'盛付札（関数）'!CL"&amp;P9+1),INDIRECT("'盛付札（関数）'!CL"&amp;P9))</f>
        <v/>
      </c>
      <c r="S9" s="165"/>
      <c r="T9" s="165"/>
      <c r="U9" s="165"/>
      <c r="V9" s="79" t="str">
        <f ca="1">IF(R9&lt;&gt;"","様","")</f>
        <v/>
      </c>
      <c r="W9" s="67">
        <f ca="1">IF(R9="配送",
P9+1,
IF(COUNTIF(INDIRECT("'盛付札（関数）'!CL"&amp;P9+1),"*社食*"),
P9+2,P9+1))</f>
        <v>16</v>
      </c>
      <c r="X9" s="80" t="str">
        <f ca="1">IF(Y9&lt;&gt;"",
MID(貼り付け用!$A$2, FIND("年",貼り付け用!$A$2)+1,2)&amp;"/"&amp;MID(貼り付け用!$A$2, FIND("月",貼り付け用!$A$2)+1,2),"")</f>
        <v/>
      </c>
      <c r="Y9" s="164" t="str" cm="1">
        <f t="array" aca="1" ref="Y9" ca="1">IF(X10="〇",
INDIRECT("'盛付札（関数）'!CL"&amp;W9+1),INDIRECT("'盛付札（関数）'!CL"&amp;W9))</f>
        <v/>
      </c>
      <c r="Z9" s="165"/>
      <c r="AA9" s="165"/>
      <c r="AB9" s="165"/>
      <c r="AC9" s="79" t="str">
        <f ca="1">IF(Y9&lt;&gt;"","様","")</f>
        <v/>
      </c>
      <c r="AD9" s="53"/>
      <c r="AE9" s="67">
        <f ca="1">IF(COUNTIF(INDIRECT("'盛付札（関数）'!CL"&amp;AL1+1),"*社食*"),
AL1+2,AL1+1)</f>
        <v>27</v>
      </c>
      <c r="AF9" s="80" t="str">
        <f ca="1">IF(AG9&lt;&gt;"",
MID(貼り付け用!$A$2, FIND("年",貼り付け用!$A$2)+1,2)&amp;"/"&amp;MID(貼り付け用!$A$2, FIND("月",貼り付け用!$A$2)+1,2),"")</f>
        <v/>
      </c>
      <c r="AG9" s="164" t="str" cm="1">
        <f t="array" aca="1" ref="AG9" ca="1">IF(AF10="〇",
INDIRECT("'盛付札（関数）'!CL"&amp;AE9+1),INDIRECT("'盛付札（関数）'!CL"&amp;AE9))</f>
        <v/>
      </c>
      <c r="AH9" s="165"/>
      <c r="AI9" s="165"/>
      <c r="AJ9" s="165"/>
      <c r="AK9" s="79" t="str">
        <f ca="1">IF(AG9&lt;&gt;"","様","")</f>
        <v/>
      </c>
      <c r="AL9" s="67">
        <f ca="1">IF(AG9="配送",
AE9+1,
IF(COUNTIF(INDIRECT("'盛付札（関数）'!CL"&amp;AE9+1),"*社食*"),
AE9+2,AE9+1))</f>
        <v>28</v>
      </c>
      <c r="AM9" s="80" t="str">
        <f ca="1">IF(AN9&lt;&gt;"",
MID(貼り付け用!$A$2, FIND("年",貼り付け用!$A$2)+1,2)&amp;"/"&amp;MID(貼り付け用!$A$2, FIND("月",貼り付け用!$A$2)+1,2),"")</f>
        <v/>
      </c>
      <c r="AN9" s="164" t="str" cm="1">
        <f t="array" aca="1" ref="AN9" ca="1">IF(AM10="〇",
INDIRECT("'盛付札（関数）'!CL"&amp;AL9+1),INDIRECT("'盛付札（関数）'!CL"&amp;AL9))</f>
        <v/>
      </c>
      <c r="AO9" s="165"/>
      <c r="AP9" s="165"/>
      <c r="AQ9" s="165"/>
      <c r="AR9" s="79" t="str">
        <f ca="1">IF(AN9&lt;&gt;"","様","")</f>
        <v/>
      </c>
      <c r="AS9" s="53"/>
      <c r="AT9" s="67">
        <f ca="1">IF(COUNTIF(INDIRECT("'盛付札（関数）'!CL"&amp;BA1+1),"*社食*"),
BA1+2,BA1+1)</f>
        <v>39</v>
      </c>
      <c r="AU9" s="80" t="str">
        <f ca="1">IF(AV9&lt;&gt;"",
MID(貼り付け用!$A$2, FIND("年",貼り付け用!$A$2)+1,2)&amp;"/"&amp;MID(貼り付け用!$A$2, FIND("月",貼り付け用!$A$2)+1,2),"")</f>
        <v/>
      </c>
      <c r="AV9" s="164" t="str" cm="1">
        <f t="array" aca="1" ref="AV9" ca="1">IF(AU10="〇",
INDIRECT("'盛付札（関数）'!CL"&amp;AT9+1),INDIRECT("'盛付札（関数）'!CL"&amp;AT9))</f>
        <v/>
      </c>
      <c r="AW9" s="165"/>
      <c r="AX9" s="165"/>
      <c r="AY9" s="165"/>
      <c r="AZ9" s="79" t="str">
        <f ca="1">IF(AV9&lt;&gt;"","様","")</f>
        <v/>
      </c>
      <c r="BA9" s="67">
        <f ca="1">IF(AV9="配送",
AT9+1,
IF(COUNTIF(INDIRECT("'盛付札（関数）'!CL"&amp;AT9+1),"*社食*"),
AT9+2,AT9+1))</f>
        <v>40</v>
      </c>
      <c r="BB9" s="80" t="str">
        <f ca="1">IF(BC9&lt;&gt;"",
MID(貼り付け用!$A$2, FIND("年",貼り付け用!$A$2)+1,2)&amp;"/"&amp;MID(貼り付け用!$A$2, FIND("月",貼り付け用!$A$2)+1,2),"")</f>
        <v/>
      </c>
      <c r="BC9" s="164" t="str" cm="1">
        <f t="array" aca="1" ref="BC9" ca="1">IF(BB10="〇",
INDIRECT("'盛付札（関数）'!CL"&amp;BA9+1),INDIRECT("'盛付札（関数）'!CL"&amp;BA9))</f>
        <v/>
      </c>
      <c r="BD9" s="165"/>
      <c r="BE9" s="165"/>
      <c r="BF9" s="165"/>
      <c r="BG9" s="79" t="str">
        <f ca="1">IF(BC9&lt;&gt;"","様","")</f>
        <v/>
      </c>
      <c r="BH9" s="53"/>
      <c r="BI9" s="67">
        <f ca="1">IF(COUNTIF(INDIRECT("'盛付札（関数）'!CL"&amp;BP1+1),"*社食*"),
BP1+2,BP1+1)</f>
        <v>51</v>
      </c>
      <c r="BJ9" s="80" t="str">
        <f ca="1">IF(BK9&lt;&gt;"",
MID(貼り付け用!$A$2, FIND("年",貼り付け用!$A$2)+1,2)&amp;"/"&amp;MID(貼り付け用!$A$2, FIND("月",貼り付け用!$A$2)+1,2),"")</f>
        <v/>
      </c>
      <c r="BK9" s="164" t="str" cm="1">
        <f t="array" aca="1" ref="BK9" ca="1">IF(BJ10="〇",
INDIRECT("'盛付札（関数）'!CL"&amp;BI9+1),INDIRECT("'盛付札（関数）'!CL"&amp;BI9))</f>
        <v/>
      </c>
      <c r="BL9" s="165"/>
      <c r="BM9" s="165"/>
      <c r="BN9" s="165"/>
      <c r="BO9" s="79" t="str">
        <f ca="1">IF(BK9&lt;&gt;"","様","")</f>
        <v/>
      </c>
      <c r="BP9" s="67">
        <f ca="1">IF(BK9="配送",
BI9+1,
IF(COUNTIF(INDIRECT("'盛付札（関数）'!CL"&amp;BI9+1),"*社食*"),
BI9+2,BI9+1))</f>
        <v>52</v>
      </c>
      <c r="BQ9" s="80" t="str">
        <f ca="1">IF(BR9&lt;&gt;"",
MID(貼り付け用!$A$2, FIND("年",貼り付け用!$A$2)+1,2)&amp;"/"&amp;MID(貼り付け用!$A$2, FIND("月",貼り付け用!$A$2)+1,2),"")</f>
        <v/>
      </c>
      <c r="BR9" s="164" t="str" cm="1">
        <f t="array" aca="1" ref="BR9" ca="1">IF(BQ10="〇",
INDIRECT("'盛付札（関数）'!CL"&amp;BP9+1),INDIRECT("'盛付札（関数）'!CL"&amp;BP9))</f>
        <v/>
      </c>
      <c r="BS9" s="165"/>
      <c r="BT9" s="165"/>
      <c r="BU9" s="165"/>
      <c r="BV9" s="79" t="str">
        <f ca="1">IF(BR9&lt;&gt;"","様","")</f>
        <v/>
      </c>
      <c r="BW9" s="53"/>
    </row>
    <row r="10" spans="1:75" s="68" customFormat="1" x14ac:dyDescent="0.55000000000000004">
      <c r="A10" s="67"/>
      <c r="B10" s="69" t="str">
        <f ca="1">IF(COUNTIF(INDIRECT("'盛付札（関数）'!CL"&amp;A9),"*雙葉*"),
IF(COUNTIF(INDIRECT("'盛付札（関数）'!CL"&amp;H1),"*雙葉*"),"〇",
IF(COUNTIF(INDIRECT("'盛付札（関数）'!CL"&amp;H9),"*雙葉*"),"●","")),"")</f>
        <v/>
      </c>
      <c r="C10" s="84" t="str" cm="1">
        <f t="array" aca="1" ref="C10" ca="1">IF(OR(INDIRECT("'盛付札（関数）'!CK"&amp;A9)=121,INDIRECT("'盛付札（関数）'!CK"&amp;A9)=122,INDIRECT("'盛付札（関数）'!CK"&amp;A9)=123,INDIRECT("'盛付札（関数）'!CK"&amp;A9)=124),"",
IF(B10="〇",
INDIRECT("'盛付札（関数）!CM"&amp;A9+1),INDIRECT("'盛付札（関数）'!CM"&amp;A9)))</f>
        <v/>
      </c>
      <c r="D10" s="78"/>
      <c r="E10" s="78"/>
      <c r="F10" s="85" t="str" cm="1">
        <f t="array" aca="1" ref="F10" ca="1">IF(C9&lt;&gt;"",
IF(OR(INDIRECT("'盛付札（関数）'!CK"&amp;A9)=121,INDIRECT("'盛付札（関数）'!CK"&amp;A9)=122,INDIRECT("'盛付札（関数）'!CK"&amp;A9)=123,INDIRECT("'盛付札（関数）'!CK"&amp;A9)=124),"",
IF(B10="●",
SUBSTITUTE(SUBSTITUTE(SUBSTITUTE(INDIRECT("'盛付札（関数）'!CN"&amp;A9),100,""),120,""),150,""),
IF(B10="〇",
IF(INDIRECT("'盛付札（関数）'!CN"&amp;A9+1)&lt;&gt;"",
INDIRECT("'盛付札（関数）'!CN"&amp;A9+1),INDIRECT("'盛付札（関数）'!CO"&amp;A9+1)),
IF(INDIRECT("'盛付札（関数）'!CN"&amp;A9)&lt;&gt;"",
INDIRECT("'盛付札（関数）'!CN"&amp;A9),INDIRECT("'盛付札（関数）'!CO"&amp;A9))))),"")</f>
        <v/>
      </c>
      <c r="G10" s="76"/>
      <c r="H10" s="86"/>
      <c r="I10" s="69" t="str">
        <f ca="1">IF(COUNTIF(INDIRECT("'盛付札（関数）'!CL"&amp;H9),"*雙葉*"),
IF(COUNTIF(INDIRECT("'盛付札（関数）'!CL"&amp;O1),"*雙葉*"),"〇",
IF(COUNTIF(INDIRECT("'盛付札（関数）'!CL"&amp;O9),"*雙葉*"),"●","")),"")</f>
        <v/>
      </c>
      <c r="J10" s="84" t="str" cm="1">
        <f t="array" aca="1" ref="J10" ca="1">IF(OR(INDIRECT("'盛付札（関数）'!CK"&amp;H9)=121,INDIRECT("'盛付札（関数）'!CK"&amp;H9)=122,INDIRECT("'盛付札（関数）'!CK"&amp;H9)=123,INDIRECT("'盛付札（関数）'!CK"&amp;H9)=124),"",
IF(I10="〇",
INDIRECT("'盛付札（関数）!CM"&amp;H9+1),INDIRECT("'盛付札（関数）'!CM"&amp;H9)))</f>
        <v/>
      </c>
      <c r="K10" s="78"/>
      <c r="L10" s="78"/>
      <c r="M10" s="85" t="e" cm="1">
        <f t="array" aca="1" ref="M10" ca="1">IF(J9&lt;&gt;"",
IF(OR(INDIRECT("'盛付札（関数）'!CK"&amp;H9)=121,INDIRECT("'盛付札（関数）'!CK"&amp;H9)=122,INDIRECT("'盛付札（関数）'!CK"&amp;H9)=123,INDIRECT("'盛付札（関数）'!CK"&amp;H9)=124),"",
IF(I10="●",
SUBSTITUTE(SUBSTITUTE(SUBSTITUTE(INDIRECT("'盛付札（関数）'!CN"&amp;H9),100,""),120,""),150,""),
IF(I10="〇",
IF(INDIRECT("'盛付札（関数）'!CN"&amp;H9+1)&lt;&gt;"",
INDIRECT("'盛付札（関数）'!CN"&amp;H9+1),INDIRECT("'盛付札（関数）'!CO"&amp;H9+1)),
IF(INDIRECT("'盛付札（関数）'!CN"&amp;H9)&lt;&gt;"",
INDIRECT("'盛付札（関数）'!CN"&amp;H9),INDIRECT("'盛付札（関数）'!CO"&amp;H9))))),"")</f>
        <v>#N/A</v>
      </c>
      <c r="N10" s="76"/>
      <c r="O10" s="53"/>
      <c r="P10" s="67"/>
      <c r="Q10" s="69" t="str">
        <f ca="1">IF(COUNTIF(INDIRECT("'盛付札（関数）'!CL"&amp;P9),"*雙葉*"),
IF(COUNTIF(INDIRECT("'盛付札（関数）'!CL"&amp;W1),"*雙葉*"),"〇",
IF(COUNTIF(INDIRECT("'盛付札（関数）'!CL"&amp;W9),"*雙葉*"),"●","")),"")</f>
        <v/>
      </c>
      <c r="R10" s="84" t="str" cm="1">
        <f t="array" aca="1" ref="R10" ca="1">IF(OR(INDIRECT("'盛付札（関数）'!CK"&amp;P9)=121,INDIRECT("'盛付札（関数）'!CK"&amp;P9)=122,INDIRECT("'盛付札（関数）'!CK"&amp;P9)=123,INDIRECT("'盛付札（関数）'!CK"&amp;P9)=124),"",
IF(Q10="〇",
INDIRECT("'盛付札（関数）!CM"&amp;P9+1),INDIRECT("'盛付札（関数）'!CM"&amp;P9)))</f>
        <v/>
      </c>
      <c r="S10" s="78"/>
      <c r="T10" s="78"/>
      <c r="U10" s="85" t="str" cm="1">
        <f t="array" aca="1" ref="U10" ca="1">IF(R9&lt;&gt;"",
IF(OR(INDIRECT("'盛付札（関数）'!CK"&amp;P9)=121,INDIRECT("'盛付札（関数）'!CK"&amp;P9)=122,INDIRECT("'盛付札（関数）'!CK"&amp;P9)=123,INDIRECT("'盛付札（関数）'!CK"&amp;P9)=124),"",
IF(Q10="●",
SUBSTITUTE(SUBSTITUTE(SUBSTITUTE(INDIRECT("'盛付札（関数）'!CN"&amp;P9),100,""),120,""),150,""),
IF(Q10="〇",
IF(INDIRECT("'盛付札（関数）'!CN"&amp;P9+1)&lt;&gt;"",
INDIRECT("'盛付札（関数）'!CN"&amp;P9+1),INDIRECT("'盛付札（関数）'!CO"&amp;P9+1)),
IF(INDIRECT("'盛付札（関数）'!CN"&amp;P9)&lt;&gt;"",
INDIRECT("'盛付札（関数）'!CN"&amp;P9),INDIRECT("'盛付札（関数）'!CO"&amp;P9))))),"")</f>
        <v/>
      </c>
      <c r="V10" s="76"/>
      <c r="W10" s="86"/>
      <c r="X10" s="69" t="str">
        <f ca="1">IF(COUNTIF(INDIRECT("'盛付札（関数）'!CL"&amp;W9),"*雙葉*"),
IF(COUNTIF(INDIRECT("'盛付札（関数）'!CL"&amp;AD1),"*雙葉*"),"〇",
IF(COUNTIF(INDIRECT("'盛付札（関数）'!CL"&amp;AD9),"*雙葉*"),"●","")),"")</f>
        <v/>
      </c>
      <c r="Y10" s="84" t="str" cm="1">
        <f t="array" aca="1" ref="Y10" ca="1">IF(OR(INDIRECT("'盛付札（関数）'!CK"&amp;W9)=121,INDIRECT("'盛付札（関数）'!CK"&amp;W9)=122,INDIRECT("'盛付札（関数）'!CK"&amp;W9)=123,INDIRECT("'盛付札（関数）'!CK"&amp;W9)=124),"",
IF(X10="〇",
INDIRECT("'盛付札（関数）!CM"&amp;W9+1),INDIRECT("'盛付札（関数）'!CM"&amp;W9)))</f>
        <v/>
      </c>
      <c r="Z10" s="78"/>
      <c r="AA10" s="78"/>
      <c r="AB10" s="85" t="str" cm="1">
        <f t="array" aca="1" ref="AB10" ca="1">IF(Y9&lt;&gt;"",
IF(OR(INDIRECT("'盛付札（関数）'!CK"&amp;W9)=121,INDIRECT("'盛付札（関数）'!CK"&amp;W9)=122,INDIRECT("'盛付札（関数）'!CK"&amp;W9)=123,INDIRECT("'盛付札（関数）'!CK"&amp;W9)=124),"",
IF(X10="●",
SUBSTITUTE(SUBSTITUTE(SUBSTITUTE(INDIRECT("'盛付札（関数）'!CN"&amp;W9),100,""),120,""),150,""),
IF(X10="〇",
IF(INDIRECT("'盛付札（関数）'!CN"&amp;W9+1)&lt;&gt;"",
INDIRECT("'盛付札（関数）'!CN"&amp;W9+1),INDIRECT("'盛付札（関数）'!CO"&amp;W9+1)),
IF(INDIRECT("'盛付札（関数）'!CN"&amp;W9)&lt;&gt;"",
INDIRECT("'盛付札（関数）'!CN"&amp;W9),INDIRECT("'盛付札（関数）'!CO"&amp;W9))))),"")</f>
        <v/>
      </c>
      <c r="AC10" s="76"/>
      <c r="AD10" s="53"/>
      <c r="AE10" s="67"/>
      <c r="AF10" s="69" t="str">
        <f ca="1">IF(COUNTIF(INDIRECT("'盛付札（関数）'!CL"&amp;AE9),"*雙葉*"),
IF(COUNTIF(INDIRECT("'盛付札（関数）'!CL"&amp;AL1),"*雙葉*"),"〇",
IF(COUNTIF(INDIRECT("'盛付札（関数）'!CL"&amp;AL9),"*雙葉*"),"●","")),"")</f>
        <v/>
      </c>
      <c r="AG10" s="84" t="str" cm="1">
        <f t="array" aca="1" ref="AG10" ca="1">IF(OR(INDIRECT("'盛付札（関数）'!CK"&amp;AE9)=121,INDIRECT("'盛付札（関数）'!CK"&amp;AE9)=122,INDIRECT("'盛付札（関数）'!CK"&amp;AE9)=123,INDIRECT("'盛付札（関数）'!CK"&amp;AE9)=124),"",
IF(AF10="〇",
INDIRECT("'盛付札（関数）!CM"&amp;AE9+1),INDIRECT("'盛付札（関数）'!CM"&amp;AE9)))</f>
        <v/>
      </c>
      <c r="AH10" s="78"/>
      <c r="AI10" s="78"/>
      <c r="AJ10" s="85" t="str" cm="1">
        <f t="array" aca="1" ref="AJ10" ca="1">IF(AG9&lt;&gt;"",
IF(OR(INDIRECT("'盛付札（関数）'!CK"&amp;AE9)=121,INDIRECT("'盛付札（関数）'!CK"&amp;AE9)=122,INDIRECT("'盛付札（関数）'!CK"&amp;AE9)=123,INDIRECT("'盛付札（関数）'!CK"&amp;AE9)=124),"",
IF(AF10="●",
SUBSTITUTE(SUBSTITUTE(SUBSTITUTE(INDIRECT("'盛付札（関数）'!CN"&amp;AE9),100,""),120,""),150,""),
IF(AF10="〇",
IF(INDIRECT("'盛付札（関数）'!CN"&amp;AE9+1)&lt;&gt;"",
INDIRECT("'盛付札（関数）'!CN"&amp;AE9+1),INDIRECT("'盛付札（関数）'!CO"&amp;AE9+1)),
IF(INDIRECT("'盛付札（関数）'!CN"&amp;AE9)&lt;&gt;"",
INDIRECT("'盛付札（関数）'!CN"&amp;AE9),INDIRECT("'盛付札（関数）'!CO"&amp;AE9))))),"")</f>
        <v/>
      </c>
      <c r="AK10" s="76"/>
      <c r="AL10" s="86"/>
      <c r="AM10" s="69" t="str">
        <f ca="1">IF(COUNTIF(INDIRECT("'盛付札（関数）'!CL"&amp;AL9),"*雙葉*"),
IF(COUNTIF(INDIRECT("'盛付札（関数）'!CL"&amp;AS1),"*雙葉*"),"〇",
IF(COUNTIF(INDIRECT("'盛付札（関数）'!CL"&amp;AS9),"*雙葉*"),"●","")),"")</f>
        <v/>
      </c>
      <c r="AN10" s="84" t="str" cm="1">
        <f t="array" aca="1" ref="AN10" ca="1">IF(OR(INDIRECT("'盛付札（関数）'!CK"&amp;AL9)=121,INDIRECT("'盛付札（関数）'!CK"&amp;AL9)=122,INDIRECT("'盛付札（関数）'!CK"&amp;AL9)=123,INDIRECT("'盛付札（関数）'!CK"&amp;AL9)=124),"",
IF(AM10="〇",
INDIRECT("'盛付札（関数）!CM"&amp;AL9+1),INDIRECT("'盛付札（関数）'!CM"&amp;AL9)))</f>
        <v/>
      </c>
      <c r="AO10" s="78"/>
      <c r="AP10" s="78"/>
      <c r="AQ10" s="85" t="str" cm="1">
        <f t="array" aca="1" ref="AQ10" ca="1">IF(AN9&lt;&gt;"",
IF(OR(INDIRECT("'盛付札（関数）'!CK"&amp;AL9)=121,INDIRECT("'盛付札（関数）'!CK"&amp;AL9)=122,INDIRECT("'盛付札（関数）'!CK"&amp;AL9)=123,INDIRECT("'盛付札（関数）'!CK"&amp;AL9)=124),"",
IF(AM10="●",
SUBSTITUTE(SUBSTITUTE(SUBSTITUTE(INDIRECT("'盛付札（関数）'!CN"&amp;AL9),100,""),120,""),150,""),
IF(AM10="〇",
IF(INDIRECT("'盛付札（関数）'!CN"&amp;AL9+1)&lt;&gt;"",
INDIRECT("'盛付札（関数）'!CN"&amp;AL9+1),INDIRECT("'盛付札（関数）'!CO"&amp;AL9+1)),
IF(INDIRECT("'盛付札（関数）'!CN"&amp;AL9)&lt;&gt;"",
INDIRECT("'盛付札（関数）'!CN"&amp;AL9),INDIRECT("'盛付札（関数）'!CO"&amp;AL9))))),"")</f>
        <v/>
      </c>
      <c r="AR10" s="76"/>
      <c r="AS10" s="53"/>
      <c r="AT10" s="67"/>
      <c r="AU10" s="69" t="str">
        <f ca="1">IF(COUNTIF(INDIRECT("'盛付札（関数）'!CL"&amp;AT9),"*雙葉*"),
IF(COUNTIF(INDIRECT("'盛付札（関数）'!CL"&amp;BA1),"*雙葉*"),"〇",
IF(COUNTIF(INDIRECT("'盛付札（関数）'!CL"&amp;BA9),"*雙葉*"),"●","")),"")</f>
        <v/>
      </c>
      <c r="AV10" s="84" t="str" cm="1">
        <f t="array" aca="1" ref="AV10" ca="1">IF(OR(INDIRECT("'盛付札（関数）'!CK"&amp;AT9)=121,INDIRECT("'盛付札（関数）'!CK"&amp;AT9)=122,INDIRECT("'盛付札（関数）'!CK"&amp;AT9)=123,INDIRECT("'盛付札（関数）'!CK"&amp;AT9)=124),"",
IF(AU10="〇",
INDIRECT("'盛付札（関数）!CM"&amp;AT9+1),INDIRECT("'盛付札（関数）'!CM"&amp;AT9)))</f>
        <v/>
      </c>
      <c r="AW10" s="78"/>
      <c r="AX10" s="78"/>
      <c r="AY10" s="85" t="str" cm="1">
        <f t="array" aca="1" ref="AY10" ca="1">IF(AV9&lt;&gt;"",
IF(OR(INDIRECT("'盛付札（関数）'!CK"&amp;AT9)=121,INDIRECT("'盛付札（関数）'!CK"&amp;AT9)=122,INDIRECT("'盛付札（関数）'!CK"&amp;AT9)=123,INDIRECT("'盛付札（関数）'!CK"&amp;AT9)=124),"",
IF(AU10="●",
SUBSTITUTE(SUBSTITUTE(SUBSTITUTE(INDIRECT("'盛付札（関数）'!CN"&amp;AT9),100,""),120,""),150,""),
IF(AU10="〇",
IF(INDIRECT("'盛付札（関数）'!CN"&amp;AT9+1)&lt;&gt;"",
INDIRECT("'盛付札（関数）'!CN"&amp;AT9+1),INDIRECT("'盛付札（関数）'!CO"&amp;AT9+1)),
IF(INDIRECT("'盛付札（関数）'!CN"&amp;AT9)&lt;&gt;"",
INDIRECT("'盛付札（関数）'!CN"&amp;AT9),INDIRECT("'盛付札（関数）'!CO"&amp;AT9))))),"")</f>
        <v/>
      </c>
      <c r="AZ10" s="76"/>
      <c r="BA10" s="86"/>
      <c r="BB10" s="69" t="str">
        <f ca="1">IF(COUNTIF(INDIRECT("'盛付札（関数）'!CL"&amp;BA9),"*雙葉*"),
IF(COUNTIF(INDIRECT("'盛付札（関数）'!CL"&amp;BH1),"*雙葉*"),"〇",
IF(COUNTIF(INDIRECT("'盛付札（関数）'!CL"&amp;BH9),"*雙葉*"),"●","")),"")</f>
        <v/>
      </c>
      <c r="BC10" s="84" t="str" cm="1">
        <f t="array" aca="1" ref="BC10" ca="1">IF(OR(INDIRECT("'盛付札（関数）'!CK"&amp;BA9)=121,INDIRECT("'盛付札（関数）'!CK"&amp;BA9)=122,INDIRECT("'盛付札（関数）'!CK"&amp;BA9)=123,INDIRECT("'盛付札（関数）'!CK"&amp;BA9)=124),"",
IF(BB10="〇",
INDIRECT("'盛付札（関数）!CM"&amp;BA9+1),INDIRECT("'盛付札（関数）'!CM"&amp;BA9)))</f>
        <v/>
      </c>
      <c r="BD10" s="78"/>
      <c r="BE10" s="78"/>
      <c r="BF10" s="85" t="str" cm="1">
        <f t="array" aca="1" ref="BF10" ca="1">IF(BC9&lt;&gt;"",
IF(OR(INDIRECT("'盛付札（関数）'!CK"&amp;BA9)=121,INDIRECT("'盛付札（関数）'!CK"&amp;BA9)=122,INDIRECT("'盛付札（関数）'!CK"&amp;BA9)=123,INDIRECT("'盛付札（関数）'!CK"&amp;BA9)=124),"",
IF(BB10="●",
SUBSTITUTE(SUBSTITUTE(SUBSTITUTE(INDIRECT("'盛付札（関数）'!CN"&amp;BA9),100,""),120,""),150,""),
IF(BB10="〇",
IF(INDIRECT("'盛付札（関数）'!CN"&amp;BA9+1)&lt;&gt;"",
INDIRECT("'盛付札（関数）'!CN"&amp;BA9+1),INDIRECT("'盛付札（関数）'!CO"&amp;BA9+1)),
IF(INDIRECT("'盛付札（関数）'!CN"&amp;BA9)&lt;&gt;"",
INDIRECT("'盛付札（関数）'!CN"&amp;BA9),INDIRECT("'盛付札（関数）'!CO"&amp;BA9))))),"")</f>
        <v/>
      </c>
      <c r="BG10" s="76"/>
      <c r="BH10" s="53"/>
      <c r="BI10" s="67"/>
      <c r="BJ10" s="69" t="str">
        <f ca="1">IF(COUNTIF(INDIRECT("'盛付札（関数）'!CL"&amp;BI9),"*雙葉*"),
IF(COUNTIF(INDIRECT("'盛付札（関数）'!CL"&amp;BP1),"*雙葉*"),"〇",
IF(COUNTIF(INDIRECT("'盛付札（関数）'!CL"&amp;BP9),"*雙葉*"),"●","")),"")</f>
        <v/>
      </c>
      <c r="BK10" s="84" t="str" cm="1">
        <f t="array" aca="1" ref="BK10" ca="1">IF(OR(INDIRECT("'盛付札（関数）'!CK"&amp;BI9)=121,INDIRECT("'盛付札（関数）'!CK"&amp;BI9)=122,INDIRECT("'盛付札（関数）'!CK"&amp;BI9)=123,INDIRECT("'盛付札（関数）'!CK"&amp;BI9)=124),"",
IF(BJ10="〇",
INDIRECT("'盛付札（関数）!CM"&amp;BI9+1),INDIRECT("'盛付札（関数）'!CM"&amp;BI9)))</f>
        <v/>
      </c>
      <c r="BL10" s="78"/>
      <c r="BM10" s="78"/>
      <c r="BN10" s="85" t="str" cm="1">
        <f t="array" aca="1" ref="BN10" ca="1">IF(BK9&lt;&gt;"",
IF(OR(INDIRECT("'盛付札（関数）'!CK"&amp;BI9)=121,INDIRECT("'盛付札（関数）'!CK"&amp;BI9)=122,INDIRECT("'盛付札（関数）'!CK"&amp;BI9)=123,INDIRECT("'盛付札（関数）'!CK"&amp;BI9)=124),"",
IF(BJ10="●",
SUBSTITUTE(SUBSTITUTE(SUBSTITUTE(INDIRECT("'盛付札（関数）'!CN"&amp;BI9),100,""),120,""),150,""),
IF(BJ10="〇",
IF(INDIRECT("'盛付札（関数）'!CN"&amp;BI9+1)&lt;&gt;"",
INDIRECT("'盛付札（関数）'!CN"&amp;BI9+1),INDIRECT("'盛付札（関数）'!CO"&amp;BI9+1)),
IF(INDIRECT("'盛付札（関数）'!CN"&amp;BI9)&lt;&gt;"",
INDIRECT("'盛付札（関数）'!CN"&amp;BI9),INDIRECT("'盛付札（関数）'!CO"&amp;BI9))))),"")</f>
        <v/>
      </c>
      <c r="BO10" s="76"/>
      <c r="BP10" s="86"/>
      <c r="BQ10" s="69" t="str">
        <f ca="1">IF(COUNTIF(INDIRECT("'盛付札（関数）'!CL"&amp;BP9),"*雙葉*"),
IF(COUNTIF(INDIRECT("'盛付札（関数）'!CL"&amp;BW1),"*雙葉*"),"〇",
IF(COUNTIF(INDIRECT("'盛付札（関数）'!CL"&amp;BW9),"*雙葉*"),"●","")),"")</f>
        <v/>
      </c>
      <c r="BR10" s="84" t="str" cm="1">
        <f t="array" aca="1" ref="BR10" ca="1">IF(OR(INDIRECT("'盛付札（関数）'!CK"&amp;BP9)=121,INDIRECT("'盛付札（関数）'!CK"&amp;BP9)=122,INDIRECT("'盛付札（関数）'!CK"&amp;BP9)=123,INDIRECT("'盛付札（関数）'!CK"&amp;BP9)=124),"",
IF(BQ10="〇",
INDIRECT("'盛付札（関数）!CM"&amp;BP9+1),INDIRECT("'盛付札（関数）'!CM"&amp;BP9)))</f>
        <v/>
      </c>
      <c r="BS10" s="78"/>
      <c r="BT10" s="78"/>
      <c r="BU10" s="85" t="str" cm="1">
        <f t="array" aca="1" ref="BU10" ca="1">IF(BR9&lt;&gt;"",
IF(OR(INDIRECT("'盛付札（関数）'!CK"&amp;BP9)=121,INDIRECT("'盛付札（関数）'!CK"&amp;BP9)=122,INDIRECT("'盛付札（関数）'!CK"&amp;BP9)=123,INDIRECT("'盛付札（関数）'!CK"&amp;BP9)=124),"",
IF(BQ10="●",
SUBSTITUTE(SUBSTITUTE(SUBSTITUTE(INDIRECT("'盛付札（関数）'!CN"&amp;BP9),100,""),120,""),150,""),
IF(BQ10="〇",
IF(INDIRECT("'盛付札（関数）'!CN"&amp;BP9+1)&lt;&gt;"",
INDIRECT("'盛付札（関数）'!CN"&amp;BP9+1),INDIRECT("'盛付札（関数）'!CO"&amp;BP9+1)),
IF(INDIRECT("'盛付札（関数）'!CN"&amp;BP9)&lt;&gt;"",
INDIRECT("'盛付札（関数）'!CN"&amp;BP9),INDIRECT("'盛付札（関数）'!CO"&amp;BP9))))),"")</f>
        <v/>
      </c>
      <c r="BV10" s="76"/>
      <c r="BW10" s="53"/>
    </row>
    <row r="11" spans="1:75" s="68" customFormat="1" x14ac:dyDescent="0.55000000000000004">
      <c r="A11" s="73"/>
      <c r="B11" s="71"/>
      <c r="C11" s="123" t="str" cm="1">
        <f t="array" aca="1" ref="C11" ca="1">IF(C9&lt;&gt;"",
IF(OR(INDIRECT("'盛付札（関数）'!CK"&amp;A9)=121,INDIRECT("'盛付札（関数）'!CK"&amp;A9)=122,INDIRECT("'盛付札（関数）'!CK"&amp;A9)=123,INDIRECT("'盛付札（関数）'!CK"&amp;A9)=124),"",
"園児"),"")</f>
        <v/>
      </c>
      <c r="D11" s="116"/>
      <c r="E11" s="53"/>
      <c r="F11" s="68" t="str" cm="1">
        <f t="array" aca="1" ref="F11" ca="1">IF(C9&lt;&gt;"",
IF(OR(INDIRECT("'盛付札（関数）'!CK"&amp;A9)=121,INDIRECT("'盛付札（関数）'!CK"&amp;A9)=122,INDIRECT("'盛付札（関数）'!CK"&amp;A9)=123,INDIRECT("'盛付札（関数）'!CK"&amp;A9)=124),"",
"先生"),"")</f>
        <v/>
      </c>
      <c r="G11" s="77"/>
      <c r="H11" s="73"/>
      <c r="I11" s="71"/>
      <c r="J11" s="123" t="e" cm="1">
        <f t="array" aca="1" ref="J11" ca="1">IF(J9&lt;&gt;"",
IF(OR(INDIRECT("'盛付札（関数）'!CK"&amp;H9)=121,INDIRECT("'盛付札（関数）'!CK"&amp;H9)=122,INDIRECT("'盛付札（関数）'!CK"&amp;H9)=123,INDIRECT("'盛付札（関数）'!CK"&amp;H9)=124),"",
"園児"),"")</f>
        <v>#N/A</v>
      </c>
      <c r="K11" s="116"/>
      <c r="L11" s="53"/>
      <c r="M11" s="68" t="e" cm="1">
        <f t="array" aca="1" ref="M11" ca="1">IF(J9&lt;&gt;"",
IF(OR(INDIRECT("'盛付札（関数）'!CK"&amp;H9)=121,INDIRECT("'盛付札（関数）'!CK"&amp;H9)=122,INDIRECT("'盛付札（関数）'!CK"&amp;H9)=123,INDIRECT("'盛付札（関数）'!CK"&amp;H9)=124),"",
"先生"),"")</f>
        <v>#N/A</v>
      </c>
      <c r="N11" s="77"/>
      <c r="O11" s="53"/>
      <c r="P11" s="73"/>
      <c r="Q11" s="71"/>
      <c r="R11" s="123" t="str" cm="1">
        <f t="array" aca="1" ref="R11" ca="1">IF(R9&lt;&gt;"",
IF(OR(INDIRECT("'盛付札（関数）'!CK"&amp;P9)=121,INDIRECT("'盛付札（関数）'!CK"&amp;P9)=122,INDIRECT("'盛付札（関数）'!CK"&amp;P9)=123,INDIRECT("'盛付札（関数）'!CK"&amp;P9)=124),"",
"園児"),"")</f>
        <v/>
      </c>
      <c r="S11" s="116"/>
      <c r="T11" s="53"/>
      <c r="U11" s="68" t="str" cm="1">
        <f t="array" aca="1" ref="U11" ca="1">IF(R9&lt;&gt;"",
IF(OR(INDIRECT("'盛付札（関数）'!CK"&amp;P9)=121,INDIRECT("'盛付札（関数）'!CK"&amp;P9)=122,INDIRECT("'盛付札（関数）'!CK"&amp;P9)=123,INDIRECT("'盛付札（関数）'!CK"&amp;P9)=124),"",
"先生"),"")</f>
        <v/>
      </c>
      <c r="V11" s="77"/>
      <c r="W11" s="73"/>
      <c r="X11" s="71"/>
      <c r="Y11" s="123" t="str" cm="1">
        <f t="array" aca="1" ref="Y11" ca="1">IF(Y9&lt;&gt;"",
IF(OR(INDIRECT("'盛付札（関数）'!CK"&amp;W9)=121,INDIRECT("'盛付札（関数）'!CK"&amp;W9)=122,INDIRECT("'盛付札（関数）'!CK"&amp;W9)=123,INDIRECT("'盛付札（関数）'!CK"&amp;W9)=124),"",
"園児"),"")</f>
        <v/>
      </c>
      <c r="Z11" s="116"/>
      <c r="AA11" s="53"/>
      <c r="AB11" s="68" t="str" cm="1">
        <f t="array" aca="1" ref="AB11" ca="1">IF(Y9&lt;&gt;"",
IF(OR(INDIRECT("'盛付札（関数）'!CK"&amp;W9)=121,INDIRECT("'盛付札（関数）'!CK"&amp;W9)=122,INDIRECT("'盛付札（関数）'!CK"&amp;W9)=123,INDIRECT("'盛付札（関数）'!CK"&amp;W9)=124),"",
"先生"),"")</f>
        <v/>
      </c>
      <c r="AC11" s="77"/>
      <c r="AD11" s="53"/>
      <c r="AE11" s="73"/>
      <c r="AF11" s="71"/>
      <c r="AG11" s="123" t="str" cm="1">
        <f t="array" aca="1" ref="AG11" ca="1">IF(AG9&lt;&gt;"",
IF(OR(INDIRECT("'盛付札（関数）'!CK"&amp;AE9)=121,INDIRECT("'盛付札（関数）'!CK"&amp;AE9)=122,INDIRECT("'盛付札（関数）'!CK"&amp;AE9)=123,INDIRECT("'盛付札（関数）'!CK"&amp;AE9)=124),"",
"園児"),"")</f>
        <v/>
      </c>
      <c r="AH11" s="116"/>
      <c r="AI11" s="53"/>
      <c r="AJ11" s="68" t="str" cm="1">
        <f t="array" aca="1" ref="AJ11" ca="1">IF(AG9&lt;&gt;"",
IF(OR(INDIRECT("'盛付札（関数）'!CK"&amp;AE9)=121,INDIRECT("'盛付札（関数）'!CK"&amp;AE9)=122,INDIRECT("'盛付札（関数）'!CK"&amp;AE9)=123,INDIRECT("'盛付札（関数）'!CK"&amp;AE9)=124),"",
"先生"),"")</f>
        <v/>
      </c>
      <c r="AK11" s="77"/>
      <c r="AL11" s="73"/>
      <c r="AM11" s="71"/>
      <c r="AN11" s="123" t="str" cm="1">
        <f t="array" aca="1" ref="AN11" ca="1">IF(AN9&lt;&gt;"",
IF(OR(INDIRECT("'盛付札（関数）'!CK"&amp;AL9)=121,INDIRECT("'盛付札（関数）'!CK"&amp;AL9)=122,INDIRECT("'盛付札（関数）'!CK"&amp;AL9)=123,INDIRECT("'盛付札（関数）'!CK"&amp;AL9)=124),"",
"園児"),"")</f>
        <v/>
      </c>
      <c r="AO11" s="116"/>
      <c r="AP11" s="53"/>
      <c r="AQ11" s="68" t="str" cm="1">
        <f t="array" aca="1" ref="AQ11" ca="1">IF(AN9&lt;&gt;"",
IF(OR(INDIRECT("'盛付札（関数）'!CK"&amp;AL9)=121,INDIRECT("'盛付札（関数）'!CK"&amp;AL9)=122,INDIRECT("'盛付札（関数）'!CK"&amp;AL9)=123,INDIRECT("'盛付札（関数）'!CK"&amp;AL9)=124),"",
"先生"),"")</f>
        <v/>
      </c>
      <c r="AR11" s="77"/>
      <c r="AS11" s="53"/>
      <c r="AT11" s="73"/>
      <c r="AU11" s="71"/>
      <c r="AV11" s="123" t="str" cm="1">
        <f t="array" aca="1" ref="AV11" ca="1">IF(AV9&lt;&gt;"",
IF(OR(INDIRECT("'盛付札（関数）'!CK"&amp;AT9)=121,INDIRECT("'盛付札（関数）'!CK"&amp;AT9)=122,INDIRECT("'盛付札（関数）'!CK"&amp;AT9)=123,INDIRECT("'盛付札（関数）'!CK"&amp;AT9)=124),"",
"園児"),"")</f>
        <v/>
      </c>
      <c r="AW11" s="116"/>
      <c r="AX11" s="53"/>
      <c r="AY11" s="68" t="str" cm="1">
        <f t="array" aca="1" ref="AY11" ca="1">IF(AV9&lt;&gt;"",
IF(OR(INDIRECT("'盛付札（関数）'!CK"&amp;AT9)=121,INDIRECT("'盛付札（関数）'!CK"&amp;AT9)=122,INDIRECT("'盛付札（関数）'!CK"&amp;AT9)=123,INDIRECT("'盛付札（関数）'!CK"&amp;AT9)=124),"",
"先生"),"")</f>
        <v/>
      </c>
      <c r="AZ11" s="77"/>
      <c r="BA11" s="73"/>
      <c r="BB11" s="71"/>
      <c r="BC11" s="123" t="str" cm="1">
        <f t="array" aca="1" ref="BC11" ca="1">IF(BC9&lt;&gt;"",
IF(OR(INDIRECT("'盛付札（関数）'!CK"&amp;BA9)=121,INDIRECT("'盛付札（関数）'!CK"&amp;BA9)=122,INDIRECT("'盛付札（関数）'!CK"&amp;BA9)=123,INDIRECT("'盛付札（関数）'!CK"&amp;BA9)=124),"",
"園児"),"")</f>
        <v/>
      </c>
      <c r="BD11" s="116"/>
      <c r="BE11" s="53"/>
      <c r="BF11" s="68" t="str" cm="1">
        <f t="array" aca="1" ref="BF11" ca="1">IF(BC9&lt;&gt;"",
IF(OR(INDIRECT("'盛付札（関数）'!CK"&amp;BA9)=121,INDIRECT("'盛付札（関数）'!CK"&amp;BA9)=122,INDIRECT("'盛付札（関数）'!CK"&amp;BA9)=123,INDIRECT("'盛付札（関数）'!CK"&amp;BA9)=124),"",
"先生"),"")</f>
        <v/>
      </c>
      <c r="BG11" s="77"/>
      <c r="BH11" s="53"/>
      <c r="BI11" s="73"/>
      <c r="BJ11" s="71"/>
      <c r="BK11" s="123" t="str" cm="1">
        <f t="array" aca="1" ref="BK11" ca="1">IF(BK9&lt;&gt;"",
IF(OR(INDIRECT("'盛付札（関数）'!CK"&amp;BI9)=121,INDIRECT("'盛付札（関数）'!CK"&amp;BI9)=122,INDIRECT("'盛付札（関数）'!CK"&amp;BI9)=123,INDIRECT("'盛付札（関数）'!CK"&amp;BI9)=124),"",
"園児"),"")</f>
        <v/>
      </c>
      <c r="BL11" s="116"/>
      <c r="BM11" s="53"/>
      <c r="BN11" s="68" t="str" cm="1">
        <f t="array" aca="1" ref="BN11" ca="1">IF(BK9&lt;&gt;"",
IF(OR(INDIRECT("'盛付札（関数）'!CK"&amp;BI9)=121,INDIRECT("'盛付札（関数）'!CK"&amp;BI9)=122,INDIRECT("'盛付札（関数）'!CK"&amp;BI9)=123,INDIRECT("'盛付札（関数）'!CK"&amp;BI9)=124),"",
"先生"),"")</f>
        <v/>
      </c>
      <c r="BO11" s="77"/>
      <c r="BP11" s="73"/>
      <c r="BQ11" s="71"/>
      <c r="BR11" s="123" t="str" cm="1">
        <f t="array" aca="1" ref="BR11" ca="1">IF(BR9&lt;&gt;"",
IF(OR(INDIRECT("'盛付札（関数）'!CK"&amp;BP9)=121,INDIRECT("'盛付札（関数）'!CK"&amp;BP9)=122,INDIRECT("'盛付札（関数）'!CK"&amp;BP9)=123,INDIRECT("'盛付札（関数）'!CK"&amp;BP9)=124),"",
"園児"),"")</f>
        <v/>
      </c>
      <c r="BS11" s="116"/>
      <c r="BT11" s="53"/>
      <c r="BU11" s="68" t="str" cm="1">
        <f t="array" aca="1" ref="BU11" ca="1">IF(BR9&lt;&gt;"",
IF(OR(INDIRECT("'盛付札（関数）'!CK"&amp;BP9)=121,INDIRECT("'盛付札（関数）'!CK"&amp;BP9)=122,INDIRECT("'盛付札（関数）'!CK"&amp;BP9)=123,INDIRECT("'盛付札（関数）'!CK"&amp;BP9)=124),"",
"先生"),"")</f>
        <v/>
      </c>
      <c r="BV11" s="77"/>
      <c r="BW11" s="53"/>
    </row>
    <row r="12" spans="1:75" ht="15.6" customHeight="1" x14ac:dyDescent="1.05">
      <c r="A12" s="58"/>
      <c r="B12" s="57"/>
      <c r="C12" s="120" cm="1">
        <f t="array" aca="1" ref="C12" ca="1">IF(B10="●",
INDIRECT("'盛付札（関数）'!CP"&amp;A9)+INDIRECT("'盛付札（関数）'!CP"&amp;A9+1),
IF(B10="〇",
INDIRECT("'盛付札（関数）'!CP"&amp;A9+1),INDIRECT("'盛付札（関数）'!CP"&amp;A9)))</f>
        <v>2</v>
      </c>
      <c r="D12" s="121"/>
      <c r="E12" s="88"/>
      <c r="F12" s="125" t="str" cm="1">
        <f t="array" aca="1" ref="F12" ca="1">IF(C9&lt;&gt;"",
IF(OR(INDIRECT("'盛付札（関数）'!CK"&amp;A9)=121,INDIRECT("'盛付札（関数）'!CK"&amp;A9)=122,INDIRECT("'盛付札（関数）'!CK"&amp;A9)=123,INDIRECT("'盛付札（関数）'!CK"&amp;A9)=124),"",
IF(B10="●",
IFERROR(INDIRECT("'盛付札（関数）'!CQ"&amp;A9)+INDIRECT("'盛付札（関数）'!CQ"&amp;A9+1),""),
IF(B10="〇",
INDIRECT("'盛付札（関数）'!CQ"&amp;A9+1),INDIRECT("'盛付札（関数）'!CQ"&amp;A9)))),"")</f>
        <v/>
      </c>
      <c r="G12" s="126"/>
      <c r="H12" s="58"/>
      <c r="I12" s="57"/>
      <c r="J12" s="120" t="e" cm="1">
        <f t="array" aca="1" ref="J12" ca="1">IF(I10="●",
INDIRECT("'盛付札（関数）'!CP"&amp;H9)+INDIRECT("'盛付札（関数）'!CP"&amp;H9+1),
IF(I10="〇",
INDIRECT("'盛付札（関数）'!CP"&amp;H9+1),INDIRECT("'盛付札（関数）'!CP"&amp;H9)))</f>
        <v>#N/A</v>
      </c>
      <c r="K12" s="121"/>
      <c r="L12" s="88"/>
      <c r="M12" s="125" t="e" cm="1">
        <f t="array" aca="1" ref="M12" ca="1">IF(J9&lt;&gt;"",
IF(OR(INDIRECT("'盛付札（関数）'!CK"&amp;H9)=121,INDIRECT("'盛付札（関数）'!CK"&amp;H9)=122,INDIRECT("'盛付札（関数）'!CK"&amp;H9)=123,INDIRECT("'盛付札（関数）'!CK"&amp;H9)=124),"",
IF(I10="●",
IFERROR(INDIRECT("'盛付札（関数）'!CQ"&amp;H9)+INDIRECT("'盛付札（関数）'!CQ"&amp;H9+1),""),
IF(I10="〇",
INDIRECT("'盛付札（関数）'!CQ"&amp;H9+1),INDIRECT("'盛付札（関数）'!CQ"&amp;H9)))),"")</f>
        <v>#N/A</v>
      </c>
      <c r="N12" s="126"/>
      <c r="P12" s="58"/>
      <c r="Q12" s="57"/>
      <c r="R12" s="120" t="str" cm="1">
        <f t="array" aca="1" ref="R12" ca="1">IF(Q10="●",
INDIRECT("'盛付札（関数）'!CP"&amp;P9)+INDIRECT("'盛付札（関数）'!CP"&amp;P9+1),
IF(Q10="〇",
INDIRECT("'盛付札（関数）'!CP"&amp;P9+1),INDIRECT("'盛付札（関数）'!CP"&amp;P9)))</f>
        <v/>
      </c>
      <c r="S12" s="121"/>
      <c r="T12" s="88"/>
      <c r="U12" s="125" t="str" cm="1">
        <f t="array" aca="1" ref="U12" ca="1">IF(R9&lt;&gt;"",
IF(OR(INDIRECT("'盛付札（関数）'!CK"&amp;P9)=121,INDIRECT("'盛付札（関数）'!CK"&amp;P9)=122,INDIRECT("'盛付札（関数）'!CK"&amp;P9)=123,INDIRECT("'盛付札（関数）'!CK"&amp;P9)=124),"",
IF(Q10="●",
IFERROR(INDIRECT("'盛付札（関数）'!CQ"&amp;P9)+INDIRECT("'盛付札（関数）'!CQ"&amp;P9+1),""),
IF(Q10="〇",
INDIRECT("'盛付札（関数）'!CQ"&amp;P9+1),INDIRECT("'盛付札（関数）'!CQ"&amp;P9)))),"")</f>
        <v/>
      </c>
      <c r="V12" s="126"/>
      <c r="W12" s="58"/>
      <c r="X12" s="57"/>
      <c r="Y12" s="120" t="str" cm="1">
        <f t="array" aca="1" ref="Y12" ca="1">IF(X10="●",
INDIRECT("'盛付札（関数）'!CP"&amp;W9)+INDIRECT("'盛付札（関数）'!CP"&amp;W9+1),
IF(X10="〇",
INDIRECT("'盛付札（関数）'!CP"&amp;W9+1),INDIRECT("'盛付札（関数）'!CP"&amp;W9)))</f>
        <v/>
      </c>
      <c r="Z12" s="121"/>
      <c r="AA12" s="88"/>
      <c r="AB12" s="125" t="str" cm="1">
        <f t="array" aca="1" ref="AB12" ca="1">IF(Y9&lt;&gt;"",
IF(OR(INDIRECT("'盛付札（関数）'!CK"&amp;W9)=121,INDIRECT("'盛付札（関数）'!CK"&amp;W9)=122,INDIRECT("'盛付札（関数）'!CK"&amp;W9)=123,INDIRECT("'盛付札（関数）'!CK"&amp;W9)=124),"",
IF(X10="●",
IFERROR(INDIRECT("'盛付札（関数）'!CQ"&amp;W9)+INDIRECT("'盛付札（関数）'!CQ"&amp;W9+1),""),
IF(X10="〇",
INDIRECT("'盛付札（関数）'!CQ"&amp;W9+1),INDIRECT("'盛付札（関数）'!CQ"&amp;W9)))),"")</f>
        <v/>
      </c>
      <c r="AC12" s="126"/>
      <c r="AE12" s="58"/>
      <c r="AF12" s="57"/>
      <c r="AG12" s="120" t="str" cm="1">
        <f t="array" aca="1" ref="AG12" ca="1">IF(AF10="●",
INDIRECT("'盛付札（関数）'!CP"&amp;AE9)+INDIRECT("'盛付札（関数）'!CP"&amp;AE9+1),
IF(AF10="〇",
INDIRECT("'盛付札（関数）'!CP"&amp;AE9+1),INDIRECT("'盛付札（関数）'!CP"&amp;AE9)))</f>
        <v/>
      </c>
      <c r="AH12" s="121"/>
      <c r="AI12" s="88"/>
      <c r="AJ12" s="125" t="str" cm="1">
        <f t="array" aca="1" ref="AJ12" ca="1">IF(AG9&lt;&gt;"",
IF(OR(INDIRECT("'盛付札（関数）'!CK"&amp;AE9)=121,INDIRECT("'盛付札（関数）'!CK"&amp;AE9)=122,INDIRECT("'盛付札（関数）'!CK"&amp;AE9)=123,INDIRECT("'盛付札（関数）'!CK"&amp;AE9)=124),"",
IF(AF10="●",
IFERROR(INDIRECT("'盛付札（関数）'!CQ"&amp;AE9)+INDIRECT("'盛付札（関数）'!CQ"&amp;AE9+1),""),
IF(AF10="〇",
INDIRECT("'盛付札（関数）'!CQ"&amp;AE9+1),INDIRECT("'盛付札（関数）'!CQ"&amp;AE9)))),"")</f>
        <v/>
      </c>
      <c r="AK12" s="126"/>
      <c r="AL12" s="58"/>
      <c r="AM12" s="57"/>
      <c r="AN12" s="120" t="str" cm="1">
        <f t="array" aca="1" ref="AN12" ca="1">IF(AM10="●",
INDIRECT("'盛付札（関数）'!CP"&amp;AL9)+INDIRECT("'盛付札（関数）'!CP"&amp;AL9+1),
IF(AM10="〇",
INDIRECT("'盛付札（関数）'!CP"&amp;AL9+1),INDIRECT("'盛付札（関数）'!CP"&amp;AL9)))</f>
        <v/>
      </c>
      <c r="AO12" s="121"/>
      <c r="AP12" s="88"/>
      <c r="AQ12" s="125" t="str" cm="1">
        <f t="array" aca="1" ref="AQ12" ca="1">IF(AN9&lt;&gt;"",
IF(OR(INDIRECT("'盛付札（関数）'!CK"&amp;AL9)=121,INDIRECT("'盛付札（関数）'!CK"&amp;AL9)=122,INDIRECT("'盛付札（関数）'!CK"&amp;AL9)=123,INDIRECT("'盛付札（関数）'!CK"&amp;AL9)=124),"",
IF(AM10="●",
IFERROR(INDIRECT("'盛付札（関数）'!CQ"&amp;AL9)+INDIRECT("'盛付札（関数）'!CQ"&amp;AL9+1),""),
IF(AM10="〇",
INDIRECT("'盛付札（関数）'!CQ"&amp;AL9+1),INDIRECT("'盛付札（関数）'!CQ"&amp;AL9)))),"")</f>
        <v/>
      </c>
      <c r="AR12" s="126"/>
      <c r="AT12" s="58"/>
      <c r="AU12" s="57"/>
      <c r="AV12" s="120" t="str" cm="1">
        <f t="array" aca="1" ref="AV12" ca="1">IF(AU10="●",
INDIRECT("'盛付札（関数）'!CP"&amp;AT9)+INDIRECT("'盛付札（関数）'!CP"&amp;AT9+1),
IF(AU10="〇",
INDIRECT("'盛付札（関数）'!CP"&amp;AT9+1),INDIRECT("'盛付札（関数）'!CP"&amp;AT9)))</f>
        <v/>
      </c>
      <c r="AW12" s="121"/>
      <c r="AX12" s="88"/>
      <c r="AY12" s="125" t="str" cm="1">
        <f t="array" aca="1" ref="AY12" ca="1">IF(AV9&lt;&gt;"",
IF(OR(INDIRECT("'盛付札（関数）'!CK"&amp;AT9)=121,INDIRECT("'盛付札（関数）'!CK"&amp;AT9)=122,INDIRECT("'盛付札（関数）'!CK"&amp;AT9)=123,INDIRECT("'盛付札（関数）'!CK"&amp;AT9)=124),"",
IF(AU10="●",
IFERROR(INDIRECT("'盛付札（関数）'!CQ"&amp;AT9)+INDIRECT("'盛付札（関数）'!CQ"&amp;AT9+1),""),
IF(AU10="〇",
INDIRECT("'盛付札（関数）'!CQ"&amp;AT9+1),INDIRECT("'盛付札（関数）'!CQ"&amp;AT9)))),"")</f>
        <v/>
      </c>
      <c r="AZ12" s="126"/>
      <c r="BA12" s="58"/>
      <c r="BB12" s="57"/>
      <c r="BC12" s="120" t="str" cm="1">
        <f t="array" aca="1" ref="BC12" ca="1">IF(BB10="●",
INDIRECT("'盛付札（関数）'!CP"&amp;BA9)+INDIRECT("'盛付札（関数）'!CP"&amp;BA9+1),
IF(BB10="〇",
INDIRECT("'盛付札（関数）'!CP"&amp;BA9+1),INDIRECT("'盛付札（関数）'!CP"&amp;BA9)))</f>
        <v/>
      </c>
      <c r="BD12" s="121"/>
      <c r="BE12" s="88"/>
      <c r="BF12" s="125" t="str" cm="1">
        <f t="array" aca="1" ref="BF12" ca="1">IF(BC9&lt;&gt;"",
IF(OR(INDIRECT("'盛付札（関数）'!CK"&amp;BA9)=121,INDIRECT("'盛付札（関数）'!CK"&amp;BA9)=122,INDIRECT("'盛付札（関数）'!CK"&amp;BA9)=123,INDIRECT("'盛付札（関数）'!CK"&amp;BA9)=124),"",
IF(BB10="●",
IFERROR(INDIRECT("'盛付札（関数）'!CQ"&amp;BA9)+INDIRECT("'盛付札（関数）'!CQ"&amp;BA9+1),""),
IF(BB10="〇",
INDIRECT("'盛付札（関数）'!CQ"&amp;BA9+1),INDIRECT("'盛付札（関数）'!CQ"&amp;BA9)))),"")</f>
        <v/>
      </c>
      <c r="BG12" s="126"/>
      <c r="BI12" s="58"/>
      <c r="BJ12" s="57"/>
      <c r="BK12" s="120" t="str" cm="1">
        <f t="array" aca="1" ref="BK12" ca="1">IF(BJ10="●",
INDIRECT("'盛付札（関数）'!CP"&amp;BI9)+INDIRECT("'盛付札（関数）'!CP"&amp;BI9+1),
IF(BJ10="〇",
INDIRECT("'盛付札（関数）'!CP"&amp;BI9+1),INDIRECT("'盛付札（関数）'!CP"&amp;BI9)))</f>
        <v/>
      </c>
      <c r="BL12" s="121"/>
      <c r="BM12" s="88"/>
      <c r="BN12" s="125" t="str" cm="1">
        <f t="array" aca="1" ref="BN12" ca="1">IF(BK9&lt;&gt;"",
IF(OR(INDIRECT("'盛付札（関数）'!CK"&amp;BI9)=121,INDIRECT("'盛付札（関数）'!CK"&amp;BI9)=122,INDIRECT("'盛付札（関数）'!CK"&amp;BI9)=123,INDIRECT("'盛付札（関数）'!CK"&amp;BI9)=124),"",
IF(BJ10="●",
IFERROR(INDIRECT("'盛付札（関数）'!CQ"&amp;BI9)+INDIRECT("'盛付札（関数）'!CQ"&amp;BI9+1),""),
IF(BJ10="〇",
INDIRECT("'盛付札（関数）'!CQ"&amp;BI9+1),INDIRECT("'盛付札（関数）'!CQ"&amp;BI9)))),"")</f>
        <v/>
      </c>
      <c r="BO12" s="126"/>
      <c r="BP12" s="58"/>
      <c r="BQ12" s="57"/>
      <c r="BR12" s="120" t="str" cm="1">
        <f t="array" aca="1" ref="BR12" ca="1">IF(BQ10="●",
INDIRECT("'盛付札（関数）'!CP"&amp;BP9)+INDIRECT("'盛付札（関数）'!CP"&amp;BP9+1),
IF(BQ10="〇",
INDIRECT("'盛付札（関数）'!CP"&amp;BP9+1),INDIRECT("'盛付札（関数）'!CP"&amp;BP9)))</f>
        <v/>
      </c>
      <c r="BS12" s="121"/>
      <c r="BT12" s="88"/>
      <c r="BU12" s="125" t="str" cm="1">
        <f t="array" aca="1" ref="BU12" ca="1">IF(BR9&lt;&gt;"",
IF(OR(INDIRECT("'盛付札（関数）'!CK"&amp;BP9)=121,INDIRECT("'盛付札（関数）'!CK"&amp;BP9)=122,INDIRECT("'盛付札（関数）'!CK"&amp;BP9)=123,INDIRECT("'盛付札（関数）'!CK"&amp;BP9)=124),"",
IF(BQ10="●",
IFERROR(INDIRECT("'盛付札（関数）'!CQ"&amp;BP9)+INDIRECT("'盛付札（関数）'!CQ"&amp;BP9+1),""),
IF(BQ10="〇",
INDIRECT("'盛付札（関数）'!CQ"&amp;BP9+1),INDIRECT("'盛付札（関数）'!CQ"&amp;BP9)))),"")</f>
        <v/>
      </c>
      <c r="BV12" s="126"/>
    </row>
    <row r="13" spans="1:75" ht="15.6" customHeight="1" x14ac:dyDescent="0.45">
      <c r="A13" s="58"/>
      <c r="B13" s="59"/>
      <c r="C13" s="122"/>
      <c r="D13" s="122"/>
      <c r="E13" s="81"/>
      <c r="F13" s="127"/>
      <c r="G13" s="128"/>
      <c r="H13" s="58"/>
      <c r="I13" s="59"/>
      <c r="J13" s="122"/>
      <c r="K13" s="122"/>
      <c r="L13" s="81"/>
      <c r="M13" s="127"/>
      <c r="N13" s="128"/>
      <c r="P13" s="58"/>
      <c r="Q13" s="59"/>
      <c r="R13" s="122"/>
      <c r="S13" s="122"/>
      <c r="T13" s="81"/>
      <c r="U13" s="127"/>
      <c r="V13" s="128"/>
      <c r="W13" s="58"/>
      <c r="X13" s="59"/>
      <c r="Y13" s="122"/>
      <c r="Z13" s="122"/>
      <c r="AA13" s="81"/>
      <c r="AB13" s="127"/>
      <c r="AC13" s="128"/>
      <c r="AE13" s="58"/>
      <c r="AF13" s="59"/>
      <c r="AG13" s="122"/>
      <c r="AH13" s="122"/>
      <c r="AI13" s="81"/>
      <c r="AJ13" s="127"/>
      <c r="AK13" s="128"/>
      <c r="AL13" s="58"/>
      <c r="AM13" s="59"/>
      <c r="AN13" s="122"/>
      <c r="AO13" s="122"/>
      <c r="AP13" s="81"/>
      <c r="AQ13" s="127"/>
      <c r="AR13" s="128"/>
      <c r="AT13" s="58"/>
      <c r="AU13" s="59"/>
      <c r="AV13" s="122"/>
      <c r="AW13" s="122"/>
      <c r="AX13" s="81"/>
      <c r="AY13" s="127"/>
      <c r="AZ13" s="128"/>
      <c r="BA13" s="58"/>
      <c r="BB13" s="59"/>
      <c r="BC13" s="122"/>
      <c r="BD13" s="122"/>
      <c r="BE13" s="81"/>
      <c r="BF13" s="127"/>
      <c r="BG13" s="128"/>
      <c r="BI13" s="58"/>
      <c r="BJ13" s="59"/>
      <c r="BK13" s="122"/>
      <c r="BL13" s="122"/>
      <c r="BM13" s="81"/>
      <c r="BN13" s="127"/>
      <c r="BO13" s="128"/>
      <c r="BP13" s="58"/>
      <c r="BQ13" s="59"/>
      <c r="BR13" s="122"/>
      <c r="BS13" s="122"/>
      <c r="BT13" s="81"/>
      <c r="BU13" s="127"/>
      <c r="BV13" s="128"/>
    </row>
    <row r="14" spans="1:75" s="68" customFormat="1" x14ac:dyDescent="0.55000000000000004">
      <c r="A14" s="53"/>
      <c r="B14" s="74" t="str" cm="1">
        <f t="array" aca="1" ref="B14" ca="1">IF(C9&lt;&gt;"",
IF(OR(INDIRECT("'盛付札（関数）'!CK"&amp;A9)=121,INDIRECT("'盛付札（関数）'!CK"&amp;A9)=122,INDIRECT("'盛付札（関数）'!CK"&amp;A9)=123,INDIRECT("'盛付札（関数）'!CK"&amp;A9)=124),"",
"パン箱"),"")</f>
        <v/>
      </c>
      <c r="C14" s="72" t="str" cm="1">
        <f t="array" aca="1" ref="C14" ca="1">IF(C9&lt;&gt;"",
IF(OR(INDIRECT("'盛付札（関数）'!CK"&amp;A9)=121,INDIRECT("'盛付札（関数）'!CK"&amp;A9)=122,INDIRECT("'盛付札（関数）'!CK"&amp;A9)=123,INDIRECT("'盛付札（関数）'!CK"&amp;A9)=124),"",
IF(B10="〇",
INDIRECT("'盛付札（関数）'!CR"&amp;A9+1),INDIRECT("'盛付札（関数）'!CR"&amp;A9))),"")</f>
        <v/>
      </c>
      <c r="D14" s="74" t="str" cm="1">
        <f t="array" aca="1" ref="D14" ca="1">IF(C9&lt;&gt;"",
IF(OR(INDIRECT("'盛付札（関数）'!CK"&amp;A9)=121,INDIRECT("'盛付札（関数）'!CK"&amp;A9)=122,INDIRECT("'盛付札（関数）'!CK"&amp;A9)=123,INDIRECT("'盛付札（関数）'!CK"&amp;A9)=124),"",
"端数"),"")</f>
        <v/>
      </c>
      <c r="E14" s="72"/>
      <c r="F14" s="74" t="str" cm="1">
        <f t="array" aca="1" ref="F14" ca="1">IF(C9&lt;&gt;"",
IF(OR(INDIRECT("'盛付札（関数）'!CK"&amp;A9)=121,INDIRECT("'盛付札（関数）'!CK"&amp;A9)=122,INDIRECT("'盛付札（関数）'!CK"&amp;A9)=123,INDIRECT("'盛付札（関数）'!CK"&amp;A9)=124),"",
"アレルギー"),"")</f>
        <v/>
      </c>
      <c r="G14" s="77"/>
      <c r="H14" s="53"/>
      <c r="I14" s="74" t="e" cm="1">
        <f t="array" aca="1" ref="I14" ca="1">IF(J9&lt;&gt;"",
IF(OR(INDIRECT("'盛付札（関数）'!CK"&amp;H9)=121,INDIRECT("'盛付札（関数）'!CK"&amp;H9)=122,INDIRECT("'盛付札（関数）'!CK"&amp;H9)=123,INDIRECT("'盛付札（関数）'!CK"&amp;H9)=124),"",
"パン箱"),"")</f>
        <v>#N/A</v>
      </c>
      <c r="J14" s="72" t="e" cm="1">
        <f t="array" aca="1" ref="J14" ca="1">IF(J9&lt;&gt;"",
IF(OR(INDIRECT("'盛付札（関数）'!CK"&amp;H9)=121,INDIRECT("'盛付札（関数）'!CK"&amp;H9)=122,INDIRECT("'盛付札（関数）'!CK"&amp;H9)=123,INDIRECT("'盛付札（関数）'!CK"&amp;H9)=124),"",
IF(I10="〇",
INDIRECT("'盛付札（関数）'!CR"&amp;H9+1),INDIRECT("'盛付札（関数）'!CR"&amp;H9))),"")</f>
        <v>#N/A</v>
      </c>
      <c r="K14" s="74" t="e" cm="1">
        <f t="array" aca="1" ref="K14" ca="1">IF(J9&lt;&gt;"",
IF(OR(INDIRECT("'盛付札（関数）'!CK"&amp;H9)=121,INDIRECT("'盛付札（関数）'!CK"&amp;H9)=122,INDIRECT("'盛付札（関数）'!CK"&amp;H9)=123,INDIRECT("'盛付札（関数）'!CK"&amp;H9)=124),"",
"端数"),"")</f>
        <v>#N/A</v>
      </c>
      <c r="L14" s="72"/>
      <c r="M14" s="74" t="e" cm="1">
        <f t="array" aca="1" ref="M14" ca="1">IF(J9&lt;&gt;"",
IF(OR(INDIRECT("'盛付札（関数）'!CK"&amp;H9)=121,INDIRECT("'盛付札（関数）'!CK"&amp;H9)=122,INDIRECT("'盛付札（関数）'!CK"&amp;H9)=123,INDIRECT("'盛付札（関数）'!CK"&amp;H9)=124),"",
"アレルギー"),"")</f>
        <v>#N/A</v>
      </c>
      <c r="N14" s="77"/>
      <c r="O14" s="53"/>
      <c r="P14" s="53"/>
      <c r="Q14" s="74" t="str" cm="1">
        <f t="array" aca="1" ref="Q14" ca="1">IF(R9&lt;&gt;"",
IF(OR(INDIRECT("'盛付札（関数）'!CK"&amp;P9)=121,INDIRECT("'盛付札（関数）'!CK"&amp;P9)=122,INDIRECT("'盛付札（関数）'!CK"&amp;P9)=123,INDIRECT("'盛付札（関数）'!CK"&amp;P9)=124),"",
"パン箱"),"")</f>
        <v/>
      </c>
      <c r="R14" s="72" t="str" cm="1">
        <f t="array" aca="1" ref="R14" ca="1">IF(R9&lt;&gt;"",
IF(OR(INDIRECT("'盛付札（関数）'!CK"&amp;P9)=121,INDIRECT("'盛付札（関数）'!CK"&amp;P9)=122,INDIRECT("'盛付札（関数）'!CK"&amp;P9)=123,INDIRECT("'盛付札（関数）'!CK"&amp;P9)=124),"",
IF(Q10="〇",
INDIRECT("'盛付札（関数）'!CR"&amp;P9+1),INDIRECT("'盛付札（関数）'!CR"&amp;P9))),"")</f>
        <v/>
      </c>
      <c r="S14" s="74" t="str" cm="1">
        <f t="array" aca="1" ref="S14" ca="1">IF(R9&lt;&gt;"",
IF(OR(INDIRECT("'盛付札（関数）'!CK"&amp;P9)=121,INDIRECT("'盛付札（関数）'!CK"&amp;P9)=122,INDIRECT("'盛付札（関数）'!CK"&amp;P9)=123,INDIRECT("'盛付札（関数）'!CK"&amp;P9)=124),"",
"端数"),"")</f>
        <v/>
      </c>
      <c r="T14" s="72"/>
      <c r="U14" s="74" t="str" cm="1">
        <f t="array" aca="1" ref="U14" ca="1">IF(R9&lt;&gt;"",
IF(OR(INDIRECT("'盛付札（関数）'!CK"&amp;P9)=121,INDIRECT("'盛付札（関数）'!CK"&amp;P9)=122,INDIRECT("'盛付札（関数）'!CK"&amp;P9)=123,INDIRECT("'盛付札（関数）'!CK"&amp;P9)=124),"",
"アレルギー"),"")</f>
        <v/>
      </c>
      <c r="V14" s="77"/>
      <c r="W14" s="53"/>
      <c r="X14" s="74" t="str" cm="1">
        <f t="array" aca="1" ref="X14" ca="1">IF(Y9&lt;&gt;"",
IF(OR(INDIRECT("'盛付札（関数）'!CK"&amp;W9)=121,INDIRECT("'盛付札（関数）'!CK"&amp;W9)=122,INDIRECT("'盛付札（関数）'!CK"&amp;W9)=123,INDIRECT("'盛付札（関数）'!CK"&amp;W9)=124),"",
"パン箱"),"")</f>
        <v/>
      </c>
      <c r="Y14" s="72" t="str" cm="1">
        <f t="array" aca="1" ref="Y14" ca="1">IF(Y9&lt;&gt;"",
IF(OR(INDIRECT("'盛付札（関数）'!CK"&amp;W9)=121,INDIRECT("'盛付札（関数）'!CK"&amp;W9)=122,INDIRECT("'盛付札（関数）'!CK"&amp;W9)=123,INDIRECT("'盛付札（関数）'!CK"&amp;W9)=124),"",
IF(X10="〇",
INDIRECT("'盛付札（関数）'!CR"&amp;W9+1),INDIRECT("'盛付札（関数）'!CR"&amp;W9))),"")</f>
        <v/>
      </c>
      <c r="Z14" s="74" t="str" cm="1">
        <f t="array" aca="1" ref="Z14" ca="1">IF(Y9&lt;&gt;"",
IF(OR(INDIRECT("'盛付札（関数）'!CK"&amp;W9)=121,INDIRECT("'盛付札（関数）'!CK"&amp;W9)=122,INDIRECT("'盛付札（関数）'!CK"&amp;W9)=123,INDIRECT("'盛付札（関数）'!CK"&amp;W9)=124),"",
"端数"),"")</f>
        <v/>
      </c>
      <c r="AA14" s="72"/>
      <c r="AB14" s="74" t="str" cm="1">
        <f t="array" aca="1" ref="AB14" ca="1">IF(Y9&lt;&gt;"",
IF(OR(INDIRECT("'盛付札（関数）'!CK"&amp;W9)=121,INDIRECT("'盛付札（関数）'!CK"&amp;W9)=122,INDIRECT("'盛付札（関数）'!CK"&amp;W9)=123,INDIRECT("'盛付札（関数）'!CK"&amp;W9)=124),"",
"アレルギー"),"")</f>
        <v/>
      </c>
      <c r="AC14" s="77"/>
      <c r="AD14" s="53"/>
      <c r="AE14" s="53"/>
      <c r="AF14" s="74" t="str" cm="1">
        <f t="array" aca="1" ref="AF14" ca="1">IF(AG9&lt;&gt;"",
IF(OR(INDIRECT("'盛付札（関数）'!CK"&amp;AE9)=121,INDIRECT("'盛付札（関数）'!CK"&amp;AE9)=122,INDIRECT("'盛付札（関数）'!CK"&amp;AE9)=123,INDIRECT("'盛付札（関数）'!CK"&amp;AE9)=124),"",
"パン箱"),"")</f>
        <v/>
      </c>
      <c r="AG14" s="72" t="str" cm="1">
        <f t="array" aca="1" ref="AG14" ca="1">IF(AG9&lt;&gt;"",
IF(OR(INDIRECT("'盛付札（関数）'!CK"&amp;AE9)=121,INDIRECT("'盛付札（関数）'!CK"&amp;AE9)=122,INDIRECT("'盛付札（関数）'!CK"&amp;AE9)=123,INDIRECT("'盛付札（関数）'!CK"&amp;AE9)=124),"",
IF(AF10="〇",
INDIRECT("'盛付札（関数）'!CR"&amp;AE9+1),INDIRECT("'盛付札（関数）'!CR"&amp;AE9))),"")</f>
        <v/>
      </c>
      <c r="AH14" s="74" t="str" cm="1">
        <f t="array" aca="1" ref="AH14" ca="1">IF(AG9&lt;&gt;"",
IF(OR(INDIRECT("'盛付札（関数）'!CK"&amp;AE9)=121,INDIRECT("'盛付札（関数）'!CK"&amp;AE9)=122,INDIRECT("'盛付札（関数）'!CK"&amp;AE9)=123,INDIRECT("'盛付札（関数）'!CK"&amp;AE9)=124),"",
"端数"),"")</f>
        <v/>
      </c>
      <c r="AI14" s="72"/>
      <c r="AJ14" s="74" t="str" cm="1">
        <f t="array" aca="1" ref="AJ14" ca="1">IF(AG9&lt;&gt;"",
IF(OR(INDIRECT("'盛付札（関数）'!CK"&amp;AE9)=121,INDIRECT("'盛付札（関数）'!CK"&amp;AE9)=122,INDIRECT("'盛付札（関数）'!CK"&amp;AE9)=123,INDIRECT("'盛付札（関数）'!CK"&amp;AE9)=124),"",
"アレルギー"),"")</f>
        <v/>
      </c>
      <c r="AK14" s="77"/>
      <c r="AL14" s="53"/>
      <c r="AM14" s="74" t="str" cm="1">
        <f t="array" aca="1" ref="AM14" ca="1">IF(AN9&lt;&gt;"",
IF(OR(INDIRECT("'盛付札（関数）'!CK"&amp;AL9)=121,INDIRECT("'盛付札（関数）'!CK"&amp;AL9)=122,INDIRECT("'盛付札（関数）'!CK"&amp;AL9)=123,INDIRECT("'盛付札（関数）'!CK"&amp;AL9)=124),"",
"パン箱"),"")</f>
        <v/>
      </c>
      <c r="AN14" s="72" t="str" cm="1">
        <f t="array" aca="1" ref="AN14" ca="1">IF(AN9&lt;&gt;"",
IF(OR(INDIRECT("'盛付札（関数）'!CK"&amp;AL9)=121,INDIRECT("'盛付札（関数）'!CK"&amp;AL9)=122,INDIRECT("'盛付札（関数）'!CK"&amp;AL9)=123,INDIRECT("'盛付札（関数）'!CK"&amp;AL9)=124),"",
IF(AM10="〇",
INDIRECT("'盛付札（関数）'!CR"&amp;AL9+1),INDIRECT("'盛付札（関数）'!CR"&amp;AL9))),"")</f>
        <v/>
      </c>
      <c r="AO14" s="74" t="str" cm="1">
        <f t="array" aca="1" ref="AO14" ca="1">IF(AN9&lt;&gt;"",
IF(OR(INDIRECT("'盛付札（関数）'!CK"&amp;AL9)=121,INDIRECT("'盛付札（関数）'!CK"&amp;AL9)=122,INDIRECT("'盛付札（関数）'!CK"&amp;AL9)=123,INDIRECT("'盛付札（関数）'!CK"&amp;AL9)=124),"",
"端数"),"")</f>
        <v/>
      </c>
      <c r="AP14" s="72"/>
      <c r="AQ14" s="74" t="str" cm="1">
        <f t="array" aca="1" ref="AQ14" ca="1">IF(AN9&lt;&gt;"",
IF(OR(INDIRECT("'盛付札（関数）'!CK"&amp;AL9)=121,INDIRECT("'盛付札（関数）'!CK"&amp;AL9)=122,INDIRECT("'盛付札（関数）'!CK"&amp;AL9)=123,INDIRECT("'盛付札（関数）'!CK"&amp;AL9)=124),"",
"アレルギー"),"")</f>
        <v/>
      </c>
      <c r="AR14" s="77"/>
      <c r="AS14" s="53"/>
      <c r="AT14" s="53"/>
      <c r="AU14" s="74" t="str" cm="1">
        <f t="array" aca="1" ref="AU14" ca="1">IF(AV9&lt;&gt;"",
IF(OR(INDIRECT("'盛付札（関数）'!CK"&amp;AT9)=121,INDIRECT("'盛付札（関数）'!CK"&amp;AT9)=122,INDIRECT("'盛付札（関数）'!CK"&amp;AT9)=123,INDIRECT("'盛付札（関数）'!CK"&amp;AT9)=124),"",
"パン箱"),"")</f>
        <v/>
      </c>
      <c r="AV14" s="72" t="str" cm="1">
        <f t="array" aca="1" ref="AV14" ca="1">IF(AV9&lt;&gt;"",
IF(OR(INDIRECT("'盛付札（関数）'!CK"&amp;AT9)=121,INDIRECT("'盛付札（関数）'!CK"&amp;AT9)=122,INDIRECT("'盛付札（関数）'!CK"&amp;AT9)=123,INDIRECT("'盛付札（関数）'!CK"&amp;AT9)=124),"",
IF(AU10="〇",
INDIRECT("'盛付札（関数）'!CR"&amp;AT9+1),INDIRECT("'盛付札（関数）'!CR"&amp;AT9))),"")</f>
        <v/>
      </c>
      <c r="AW14" s="74" t="str" cm="1">
        <f t="array" aca="1" ref="AW14" ca="1">IF(AV9&lt;&gt;"",
IF(OR(INDIRECT("'盛付札（関数）'!CK"&amp;AT9)=121,INDIRECT("'盛付札（関数）'!CK"&amp;AT9)=122,INDIRECT("'盛付札（関数）'!CK"&amp;AT9)=123,INDIRECT("'盛付札（関数）'!CK"&amp;AT9)=124),"",
"端数"),"")</f>
        <v/>
      </c>
      <c r="AX14" s="72"/>
      <c r="AY14" s="74" t="str" cm="1">
        <f t="array" aca="1" ref="AY14" ca="1">IF(AV9&lt;&gt;"",
IF(OR(INDIRECT("'盛付札（関数）'!CK"&amp;AT9)=121,INDIRECT("'盛付札（関数）'!CK"&amp;AT9)=122,INDIRECT("'盛付札（関数）'!CK"&amp;AT9)=123,INDIRECT("'盛付札（関数）'!CK"&amp;AT9)=124),"",
"アレルギー"),"")</f>
        <v/>
      </c>
      <c r="AZ14" s="77"/>
      <c r="BA14" s="53"/>
      <c r="BB14" s="74" t="str" cm="1">
        <f t="array" aca="1" ref="BB14" ca="1">IF(BC9&lt;&gt;"",
IF(OR(INDIRECT("'盛付札（関数）'!CK"&amp;BA9)=121,INDIRECT("'盛付札（関数）'!CK"&amp;BA9)=122,INDIRECT("'盛付札（関数）'!CK"&amp;BA9)=123,INDIRECT("'盛付札（関数）'!CK"&amp;BA9)=124),"",
"パン箱"),"")</f>
        <v/>
      </c>
      <c r="BC14" s="72" t="str" cm="1">
        <f t="array" aca="1" ref="BC14" ca="1">IF(BC9&lt;&gt;"",
IF(OR(INDIRECT("'盛付札（関数）'!CK"&amp;BA9)=121,INDIRECT("'盛付札（関数）'!CK"&amp;BA9)=122,INDIRECT("'盛付札（関数）'!CK"&amp;BA9)=123,INDIRECT("'盛付札（関数）'!CK"&amp;BA9)=124),"",
IF(BB10="〇",
INDIRECT("'盛付札（関数）'!CR"&amp;BA9+1),INDIRECT("'盛付札（関数）'!CR"&amp;BA9))),"")</f>
        <v/>
      </c>
      <c r="BD14" s="74" t="str" cm="1">
        <f t="array" aca="1" ref="BD14" ca="1">IF(BC9&lt;&gt;"",
IF(OR(INDIRECT("'盛付札（関数）'!CK"&amp;BA9)=121,INDIRECT("'盛付札（関数）'!CK"&amp;BA9)=122,INDIRECT("'盛付札（関数）'!CK"&amp;BA9)=123,INDIRECT("'盛付札（関数）'!CK"&amp;BA9)=124),"",
"端数"),"")</f>
        <v/>
      </c>
      <c r="BE14" s="72"/>
      <c r="BF14" s="74" t="str" cm="1">
        <f t="array" aca="1" ref="BF14" ca="1">IF(BC9&lt;&gt;"",
IF(OR(INDIRECT("'盛付札（関数）'!CK"&amp;BA9)=121,INDIRECT("'盛付札（関数）'!CK"&amp;BA9)=122,INDIRECT("'盛付札（関数）'!CK"&amp;BA9)=123,INDIRECT("'盛付札（関数）'!CK"&amp;BA9)=124),"",
"アレルギー"),"")</f>
        <v/>
      </c>
      <c r="BG14" s="77"/>
      <c r="BH14" s="53"/>
      <c r="BI14" s="53"/>
      <c r="BJ14" s="74" t="str" cm="1">
        <f t="array" aca="1" ref="BJ14" ca="1">IF(BK9&lt;&gt;"",
IF(OR(INDIRECT("'盛付札（関数）'!CK"&amp;BI9)=121,INDIRECT("'盛付札（関数）'!CK"&amp;BI9)=122,INDIRECT("'盛付札（関数）'!CK"&amp;BI9)=123,INDIRECT("'盛付札（関数）'!CK"&amp;BI9)=124),"",
"パン箱"),"")</f>
        <v/>
      </c>
      <c r="BK14" s="72" t="str" cm="1">
        <f t="array" aca="1" ref="BK14" ca="1">IF(BK9&lt;&gt;"",
IF(OR(INDIRECT("'盛付札（関数）'!CK"&amp;BI9)=121,INDIRECT("'盛付札（関数）'!CK"&amp;BI9)=122,INDIRECT("'盛付札（関数）'!CK"&amp;BI9)=123,INDIRECT("'盛付札（関数）'!CK"&amp;BI9)=124),"",
IF(BJ10="〇",
INDIRECT("'盛付札（関数）'!CR"&amp;BI9+1),INDIRECT("'盛付札（関数）'!CR"&amp;BI9))),"")</f>
        <v/>
      </c>
      <c r="BL14" s="74" t="str" cm="1">
        <f t="array" aca="1" ref="BL14" ca="1">IF(BK9&lt;&gt;"",
IF(OR(INDIRECT("'盛付札（関数）'!CK"&amp;BI9)=121,INDIRECT("'盛付札（関数）'!CK"&amp;BI9)=122,INDIRECT("'盛付札（関数）'!CK"&amp;BI9)=123,INDIRECT("'盛付札（関数）'!CK"&amp;BI9)=124),"",
"端数"),"")</f>
        <v/>
      </c>
      <c r="BM14" s="72"/>
      <c r="BN14" s="74" t="str" cm="1">
        <f t="array" aca="1" ref="BN14" ca="1">IF(BK9&lt;&gt;"",
IF(OR(INDIRECT("'盛付札（関数）'!CK"&amp;BI9)=121,INDIRECT("'盛付札（関数）'!CK"&amp;BI9)=122,INDIRECT("'盛付札（関数）'!CK"&amp;BI9)=123,INDIRECT("'盛付札（関数）'!CK"&amp;BI9)=124),"",
"アレルギー"),"")</f>
        <v/>
      </c>
      <c r="BO14" s="77"/>
      <c r="BP14" s="53"/>
      <c r="BQ14" s="74" t="str" cm="1">
        <f t="array" aca="1" ref="BQ14" ca="1">IF(BR9&lt;&gt;"",
IF(OR(INDIRECT("'盛付札（関数）'!CK"&amp;BP9)=121,INDIRECT("'盛付札（関数）'!CK"&amp;BP9)=122,INDIRECT("'盛付札（関数）'!CK"&amp;BP9)=123,INDIRECT("'盛付札（関数）'!CK"&amp;BP9)=124),"",
"パン箱"),"")</f>
        <v/>
      </c>
      <c r="BR14" s="72" t="str" cm="1">
        <f t="array" aca="1" ref="BR14" ca="1">IF(BR9&lt;&gt;"",
IF(OR(INDIRECT("'盛付札（関数）'!CK"&amp;BP9)=121,INDIRECT("'盛付札（関数）'!CK"&amp;BP9)=122,INDIRECT("'盛付札（関数）'!CK"&amp;BP9)=123,INDIRECT("'盛付札（関数）'!CK"&amp;BP9)=124),"",
IF(BQ10="〇",
INDIRECT("'盛付札（関数）'!CR"&amp;BP9+1),INDIRECT("'盛付札（関数）'!CR"&amp;BP9))),"")</f>
        <v/>
      </c>
      <c r="BS14" s="74" t="str" cm="1">
        <f t="array" aca="1" ref="BS14" ca="1">IF(BR9&lt;&gt;"",
IF(OR(INDIRECT("'盛付札（関数）'!CK"&amp;BP9)=121,INDIRECT("'盛付札（関数）'!CK"&amp;BP9)=122,INDIRECT("'盛付札（関数）'!CK"&amp;BP9)=123,INDIRECT("'盛付札（関数）'!CK"&amp;BP9)=124),"",
"端数"),"")</f>
        <v/>
      </c>
      <c r="BT14" s="72"/>
      <c r="BU14" s="74" t="str" cm="1">
        <f t="array" aca="1" ref="BU14" ca="1">IF(BR9&lt;&gt;"",
IF(OR(INDIRECT("'盛付札（関数）'!CK"&amp;BP9)=121,INDIRECT("'盛付札（関数）'!CK"&amp;BP9)=122,INDIRECT("'盛付札（関数）'!CK"&amp;BP9)=123,INDIRECT("'盛付札（関数）'!CK"&amp;BP9)=124),"",
"アレルギー"),"")</f>
        <v/>
      </c>
      <c r="BV14" s="77"/>
      <c r="BW14" s="53"/>
    </row>
    <row r="15" spans="1:75" ht="27.6" customHeight="1" x14ac:dyDescent="0.45">
      <c r="B15" s="124" t="str">
        <f ca="1">IF(C12&lt;&gt;"",
IFERROR(INT(C12/C14),""),"")</f>
        <v/>
      </c>
      <c r="C15" s="119"/>
      <c r="D15" s="124" t="str">
        <f ca="1">IFERROR(MOD(C12,C14),"")</f>
        <v/>
      </c>
      <c r="E15" s="119"/>
      <c r="F15" s="118" t="str" cm="1">
        <f t="array" aca="1" ref="F15" ca="1">IF(C9&lt;&gt;"",
IF(OR(INDIRECT("'盛付札（関数）'!CK"&amp;A9)=121,INDIRECT("'盛付札（関数）'!CK"&amp;A9)=122,INDIRECT("'盛付札（関数）'!CK"&amp;A9)=123,INDIRECT("'盛付札（関数）'!CK"&amp;A9)=124),"",
IF(B10="●",
IFERROR(INDIRECT("'盛付札（関数）'!CU"&amp;A9)+INDIRECT("'盛付札（関数）'!CU"&amp;A9+1),0),
IF(B10="〇",
INDIRECT("'盛付札（関数）'!CU"&amp;A9+1),INDIRECT("'盛付札（関数）'!CU"&amp;A9)))),"")</f>
        <v/>
      </c>
      <c r="G15" s="119"/>
      <c r="I15" s="124" t="e">
        <f ca="1">IF(J12&lt;&gt;"",
IFERROR(INT(J12/J14),""),"")</f>
        <v>#N/A</v>
      </c>
      <c r="J15" s="119"/>
      <c r="K15" s="124" t="str">
        <f ca="1">IFERROR(MOD(J12,J14),"")</f>
        <v/>
      </c>
      <c r="L15" s="119"/>
      <c r="M15" s="118" t="e" cm="1">
        <f t="array" aca="1" ref="M15" ca="1">IF(J9&lt;&gt;"",
IF(OR(INDIRECT("'盛付札（関数）'!CK"&amp;H9)=121,INDIRECT("'盛付札（関数）'!CK"&amp;H9)=122,INDIRECT("'盛付札（関数）'!CK"&amp;H9)=123,INDIRECT("'盛付札（関数）'!CK"&amp;H9)=124),"",
IF(I10="●",
IFERROR(INDIRECT("'盛付札（関数）'!CU"&amp;H9)+INDIRECT("'盛付札（関数）'!CU"&amp;H9+1),0),
IF(I10="〇",
INDIRECT("'盛付札（関数）'!CU"&amp;H9+1),INDIRECT("'盛付札（関数）'!CU"&amp;H9)))),"")</f>
        <v>#N/A</v>
      </c>
      <c r="N15" s="119"/>
      <c r="Q15" s="124" t="str">
        <f ca="1">IF(R12&lt;&gt;"",
IFERROR(INT(R12/R14),""),"")</f>
        <v/>
      </c>
      <c r="R15" s="119"/>
      <c r="S15" s="124" t="str">
        <f ca="1">IFERROR(MOD(R12,R14),"")</f>
        <v/>
      </c>
      <c r="T15" s="119"/>
      <c r="U15" s="118" t="str" cm="1">
        <f t="array" aca="1" ref="U15" ca="1">IF(R9&lt;&gt;"",
IF(OR(INDIRECT("'盛付札（関数）'!CK"&amp;P9)=121,INDIRECT("'盛付札（関数）'!CK"&amp;P9)=122,INDIRECT("'盛付札（関数）'!CK"&amp;P9)=123,INDIRECT("'盛付札（関数）'!CK"&amp;P9)=124),"",
IF(Q10="●",
IFERROR(INDIRECT("'盛付札（関数）'!CU"&amp;P9)+INDIRECT("'盛付札（関数）'!CU"&amp;P9+1),0),
IF(Q10="〇",
INDIRECT("'盛付札（関数）'!CU"&amp;P9+1),INDIRECT("'盛付札（関数）'!CU"&amp;P9)))),"")</f>
        <v/>
      </c>
      <c r="V15" s="119"/>
      <c r="X15" s="124" t="str">
        <f ca="1">IF(Y12&lt;&gt;"",
IFERROR(INT(Y12/Y14),""),"")</f>
        <v/>
      </c>
      <c r="Y15" s="119"/>
      <c r="Z15" s="124" t="str">
        <f ca="1">IFERROR(MOD(Y12,Y14),"")</f>
        <v/>
      </c>
      <c r="AA15" s="119"/>
      <c r="AB15" s="118" t="str" cm="1">
        <f t="array" aca="1" ref="AB15" ca="1">IF(Y9&lt;&gt;"",
IF(OR(INDIRECT("'盛付札（関数）'!CK"&amp;W9)=121,INDIRECT("'盛付札（関数）'!CK"&amp;W9)=122,INDIRECT("'盛付札（関数）'!CK"&amp;W9)=123,INDIRECT("'盛付札（関数）'!CK"&amp;W9)=124),"",
IF(X10="●",
IFERROR(INDIRECT("'盛付札（関数）'!CU"&amp;W9)+INDIRECT("'盛付札（関数）'!CU"&amp;W9+1),0),
IF(X10="〇",
INDIRECT("'盛付札（関数）'!CU"&amp;W9+1),INDIRECT("'盛付札（関数）'!CU"&amp;W9)))),"")</f>
        <v/>
      </c>
      <c r="AC15" s="119"/>
      <c r="AF15" s="124" t="str">
        <f ca="1">IF(AG12&lt;&gt;"",
IFERROR(INT(AG12/AG14),""),"")</f>
        <v/>
      </c>
      <c r="AG15" s="119"/>
      <c r="AH15" s="124" t="str">
        <f ca="1">IFERROR(MOD(AG12,AG14),"")</f>
        <v/>
      </c>
      <c r="AI15" s="119"/>
      <c r="AJ15" s="118" t="str" cm="1">
        <f t="array" aca="1" ref="AJ15" ca="1">IF(AG9&lt;&gt;"",
IF(OR(INDIRECT("'盛付札（関数）'!CK"&amp;AE9)=121,INDIRECT("'盛付札（関数）'!CK"&amp;AE9)=122,INDIRECT("'盛付札（関数）'!CK"&amp;AE9)=123,INDIRECT("'盛付札（関数）'!CK"&amp;AE9)=124),"",
IF(AF10="●",
IFERROR(INDIRECT("'盛付札（関数）'!CU"&amp;AE9)+INDIRECT("'盛付札（関数）'!CU"&amp;AE9+1),0),
IF(AF10="〇",
INDIRECT("'盛付札（関数）'!CU"&amp;AE9+1),INDIRECT("'盛付札（関数）'!CU"&amp;AE9)))),"")</f>
        <v/>
      </c>
      <c r="AK15" s="119"/>
      <c r="AM15" s="124" t="str">
        <f ca="1">IF(AN12&lt;&gt;"",
IFERROR(INT(AN12/AN14),""),"")</f>
        <v/>
      </c>
      <c r="AN15" s="119"/>
      <c r="AO15" s="124" t="str">
        <f ca="1">IFERROR(MOD(AN12,AN14),"")</f>
        <v/>
      </c>
      <c r="AP15" s="119"/>
      <c r="AQ15" s="118" t="str" cm="1">
        <f t="array" aca="1" ref="AQ15" ca="1">IF(AN9&lt;&gt;"",
IF(OR(INDIRECT("'盛付札（関数）'!CK"&amp;AL9)=121,INDIRECT("'盛付札（関数）'!CK"&amp;AL9)=122,INDIRECT("'盛付札（関数）'!CK"&amp;AL9)=123,INDIRECT("'盛付札（関数）'!CK"&amp;AL9)=124),"",
IF(AM10="●",
IFERROR(INDIRECT("'盛付札（関数）'!CU"&amp;AL9)+INDIRECT("'盛付札（関数）'!CU"&amp;AL9+1),0),
IF(AM10="〇",
INDIRECT("'盛付札（関数）'!CU"&amp;AL9+1),INDIRECT("'盛付札（関数）'!CU"&amp;AL9)))),"")</f>
        <v/>
      </c>
      <c r="AR15" s="119"/>
      <c r="AU15" s="124" t="str">
        <f ca="1">IF(AV12&lt;&gt;"",
IFERROR(INT(AV12/AV14),""),"")</f>
        <v/>
      </c>
      <c r="AV15" s="119"/>
      <c r="AW15" s="124" t="str">
        <f ca="1">IFERROR(MOD(AV12,AV14),"")</f>
        <v/>
      </c>
      <c r="AX15" s="119"/>
      <c r="AY15" s="118" t="str" cm="1">
        <f t="array" aca="1" ref="AY15" ca="1">IF(AV9&lt;&gt;"",
IF(OR(INDIRECT("'盛付札（関数）'!CK"&amp;AT9)=121,INDIRECT("'盛付札（関数）'!CK"&amp;AT9)=122,INDIRECT("'盛付札（関数）'!CK"&amp;AT9)=123,INDIRECT("'盛付札（関数）'!CK"&amp;AT9)=124),"",
IF(AU10="●",
IFERROR(INDIRECT("'盛付札（関数）'!CU"&amp;AT9)+INDIRECT("'盛付札（関数）'!CU"&amp;AT9+1),0),
IF(AU10="〇",
INDIRECT("'盛付札（関数）'!CU"&amp;AT9+1),INDIRECT("'盛付札（関数）'!CU"&amp;AT9)))),"")</f>
        <v/>
      </c>
      <c r="AZ15" s="119"/>
      <c r="BB15" s="124" t="str">
        <f ca="1">IF(BC12&lt;&gt;"",
IFERROR(INT(BC12/BC14),""),"")</f>
        <v/>
      </c>
      <c r="BC15" s="119"/>
      <c r="BD15" s="124" t="str">
        <f ca="1">IFERROR(MOD(BC12,BC14),"")</f>
        <v/>
      </c>
      <c r="BE15" s="119"/>
      <c r="BF15" s="118" t="str" cm="1">
        <f t="array" aca="1" ref="BF15" ca="1">IF(BC9&lt;&gt;"",
IF(OR(INDIRECT("'盛付札（関数）'!CK"&amp;BA9)=121,INDIRECT("'盛付札（関数）'!CK"&amp;BA9)=122,INDIRECT("'盛付札（関数）'!CK"&amp;BA9)=123,INDIRECT("'盛付札（関数）'!CK"&amp;BA9)=124),"",
IF(BB10="●",
IFERROR(INDIRECT("'盛付札（関数）'!CU"&amp;BA9)+INDIRECT("'盛付札（関数）'!CU"&amp;BA9+1),0),
IF(BB10="〇",
INDIRECT("'盛付札（関数）'!CU"&amp;BA9+1),INDIRECT("'盛付札（関数）'!CU"&amp;BA9)))),"")</f>
        <v/>
      </c>
      <c r="BG15" s="119"/>
      <c r="BJ15" s="124" t="str">
        <f ca="1">IF(BK12&lt;&gt;"",
IFERROR(INT(BK12/BK14),""),"")</f>
        <v/>
      </c>
      <c r="BK15" s="119"/>
      <c r="BL15" s="124" t="str">
        <f ca="1">IFERROR(MOD(BK12,BK14),"")</f>
        <v/>
      </c>
      <c r="BM15" s="119"/>
      <c r="BN15" s="118" t="str" cm="1">
        <f t="array" aca="1" ref="BN15" ca="1">IF(BK9&lt;&gt;"",
IF(OR(INDIRECT("'盛付札（関数）'!CK"&amp;BI9)=121,INDIRECT("'盛付札（関数）'!CK"&amp;BI9)=122,INDIRECT("'盛付札（関数）'!CK"&amp;BI9)=123,INDIRECT("'盛付札（関数）'!CK"&amp;BI9)=124),"",
IF(BJ10="●",
IFERROR(INDIRECT("'盛付札（関数）'!CU"&amp;BI9)+INDIRECT("'盛付札（関数）'!CU"&amp;BI9+1),0),
IF(BJ10="〇",
INDIRECT("'盛付札（関数）'!CU"&amp;BI9+1),INDIRECT("'盛付札（関数）'!CU"&amp;BI9)))),"")</f>
        <v/>
      </c>
      <c r="BO15" s="119"/>
      <c r="BQ15" s="124" t="str">
        <f ca="1">IF(BR12&lt;&gt;"",
IFERROR(INT(BR12/BR14),""),"")</f>
        <v/>
      </c>
      <c r="BR15" s="119"/>
      <c r="BS15" s="124" t="str">
        <f ca="1">IFERROR(MOD(BR12,BR14),"")</f>
        <v/>
      </c>
      <c r="BT15" s="119"/>
      <c r="BU15" s="118" t="str" cm="1">
        <f t="array" aca="1" ref="BU15" ca="1">IF(BR9&lt;&gt;"",
IF(OR(INDIRECT("'盛付札（関数）'!CK"&amp;BP9)=121,INDIRECT("'盛付札（関数）'!CK"&amp;BP9)=122,INDIRECT("'盛付札（関数）'!CK"&amp;BP9)=123,INDIRECT("'盛付札（関数）'!CK"&amp;BP9)=124),"",
IF(BQ10="●",
IFERROR(INDIRECT("'盛付札（関数）'!CU"&amp;BP9)+INDIRECT("'盛付札（関数）'!CU"&amp;BP9+1),0),
IF(BQ10="〇",
INDIRECT("'盛付札（関数）'!CU"&amp;BP9+1),INDIRECT("'盛付札（関数）'!CU"&amp;BP9)))),"")</f>
        <v/>
      </c>
      <c r="BV15" s="119"/>
    </row>
    <row r="16" spans="1:75" ht="9.6" customHeight="1" x14ac:dyDescent="0.45">
      <c r="B16" s="82"/>
      <c r="D16" s="82"/>
      <c r="F16" s="83"/>
      <c r="G16" s="65"/>
      <c r="I16" s="82"/>
      <c r="K16" s="82"/>
      <c r="M16" s="83"/>
      <c r="N16" s="65"/>
      <c r="Q16" s="82"/>
      <c r="S16" s="82"/>
      <c r="U16" s="83"/>
      <c r="V16" s="65"/>
      <c r="X16" s="82"/>
      <c r="Z16" s="82"/>
      <c r="AB16" s="83"/>
      <c r="AC16" s="65"/>
      <c r="AF16" s="82"/>
      <c r="AH16" s="82"/>
      <c r="AJ16" s="83"/>
      <c r="AK16" s="65"/>
      <c r="AM16" s="82"/>
      <c r="AO16" s="82"/>
      <c r="AQ16" s="83"/>
      <c r="AR16" s="65"/>
      <c r="AU16" s="82"/>
      <c r="AW16" s="82"/>
      <c r="AY16" s="83"/>
      <c r="AZ16" s="65"/>
      <c r="BB16" s="82"/>
      <c r="BD16" s="82"/>
      <c r="BF16" s="83"/>
      <c r="BG16" s="65"/>
      <c r="BJ16" s="82"/>
      <c r="BL16" s="82"/>
      <c r="BN16" s="83"/>
      <c r="BO16" s="65"/>
      <c r="BQ16" s="82"/>
      <c r="BS16" s="82"/>
      <c r="BU16" s="83"/>
      <c r="BV16" s="65"/>
    </row>
    <row r="17" spans="1:75" s="68" customFormat="1" ht="25.8" customHeight="1" x14ac:dyDescent="0.55000000000000004">
      <c r="A17" s="67">
        <f ca="1">IF(COUNTIF(INDIRECT("'盛付札（関数）'!CL"&amp;H9+1),"*社食*"),
H9+2,H9+1)</f>
        <v>5</v>
      </c>
      <c r="B17" s="80" t="str">
        <f ca="1">IF(C17&lt;&gt;"",
MID(貼り付け用!$A$2, FIND("年",貼り付け用!$A$2)+1,2)&amp;"/"&amp;MID(貼り付け用!$A$2, FIND("月",貼り付け用!$A$2)+1,2),"")</f>
        <v/>
      </c>
      <c r="C17" s="164" t="str" cm="1">
        <f t="array" aca="1" ref="C17" ca="1">IF(B18="〇",
INDIRECT("'盛付札（関数）'!CL"&amp;A17+1),INDIRECT("'盛付札（関数）'!CL"&amp;A17))</f>
        <v/>
      </c>
      <c r="D17" s="165"/>
      <c r="E17" s="165"/>
      <c r="F17" s="165"/>
      <c r="G17" s="79" t="str">
        <f ca="1">IF(C17&lt;&gt;"","様","")</f>
        <v/>
      </c>
      <c r="H17" s="67">
        <f ca="1">IF(C17="配送",
A17+1,
IF(COUNTIF(INDIRECT("'盛付札（関数）'!CL"&amp;A17+1),"*社食*"),
A17+2,A17+1))</f>
        <v>6</v>
      </c>
      <c r="I17" s="80" t="str">
        <f ca="1">IF(J17&lt;&gt;"",
MID(貼り付け用!$A$2, FIND("年",貼り付け用!$A$2)+1,2)&amp;"/"&amp;MID(貼り付け用!$A$2, FIND("月",貼り付け用!$A$2)+1,2),"")</f>
        <v/>
      </c>
      <c r="J17" s="164" t="str" cm="1">
        <f t="array" aca="1" ref="J17" ca="1">IF(I18="〇",
INDIRECT("'盛付札（関数）'!CL"&amp;H17+1),INDIRECT("'盛付札（関数）'!CL"&amp;H17))</f>
        <v/>
      </c>
      <c r="K17" s="165"/>
      <c r="L17" s="165"/>
      <c r="M17" s="165"/>
      <c r="N17" s="79" t="str">
        <f ca="1">IF(J17&lt;&gt;"","様","")</f>
        <v/>
      </c>
      <c r="O17" s="53"/>
      <c r="P17" s="67">
        <f ca="1">IF(COUNTIF(INDIRECT("'盛付札（関数）'!CL"&amp;W9+1),"*社食*"),
W9+2,W9+1)</f>
        <v>17</v>
      </c>
      <c r="Q17" s="80" t="str">
        <f ca="1">IF(R17&lt;&gt;"",
MID(貼り付け用!$A$2, FIND("年",貼り付け用!$A$2)+1,2)&amp;"/"&amp;MID(貼り付け用!$A$2, FIND("月",貼り付け用!$A$2)+1,2),"")</f>
        <v/>
      </c>
      <c r="R17" s="164" t="str" cm="1">
        <f t="array" aca="1" ref="R17" ca="1">IF(Q18="〇",
INDIRECT("'盛付札（関数）'!CL"&amp;P17+1),INDIRECT("'盛付札（関数）'!CL"&amp;P17))</f>
        <v/>
      </c>
      <c r="S17" s="165"/>
      <c r="T17" s="165"/>
      <c r="U17" s="165"/>
      <c r="V17" s="79" t="str">
        <f ca="1">IF(R17&lt;&gt;"","様","")</f>
        <v/>
      </c>
      <c r="W17" s="67">
        <f ca="1">IF(R17="配送",
P17+1,
IF(COUNTIF(INDIRECT("'盛付札（関数）'!CL"&amp;P17+1),"*社食*"),
P17+2,P17+1))</f>
        <v>18</v>
      </c>
      <c r="X17" s="80" t="str">
        <f ca="1">IF(Y17&lt;&gt;"",
MID(貼り付け用!$A$2, FIND("年",貼り付け用!$A$2)+1,2)&amp;"/"&amp;MID(貼り付け用!$A$2, FIND("月",貼り付け用!$A$2)+1,2),"")</f>
        <v/>
      </c>
      <c r="Y17" s="164" t="str" cm="1">
        <f t="array" aca="1" ref="Y17" ca="1">IF(X18="〇",
INDIRECT("'盛付札（関数）'!CL"&amp;W17+1),INDIRECT("'盛付札（関数）'!CL"&amp;W17))</f>
        <v/>
      </c>
      <c r="Z17" s="165"/>
      <c r="AA17" s="165"/>
      <c r="AB17" s="165"/>
      <c r="AC17" s="79" t="str">
        <f ca="1">IF(Y17&lt;&gt;"","様","")</f>
        <v/>
      </c>
      <c r="AD17" s="53"/>
      <c r="AE17" s="67">
        <f ca="1">IF(COUNTIF(INDIRECT("'盛付札（関数）'!CL"&amp;AL9+1),"*社食*"),
AL9+2,AL9+1)</f>
        <v>29</v>
      </c>
      <c r="AF17" s="80" t="str">
        <f ca="1">IF(AG17&lt;&gt;"",
MID(貼り付け用!$A$2, FIND("年",貼り付け用!$A$2)+1,2)&amp;"/"&amp;MID(貼り付け用!$A$2, FIND("月",貼り付け用!$A$2)+1,2),"")</f>
        <v/>
      </c>
      <c r="AG17" s="164" t="str" cm="1">
        <f t="array" aca="1" ref="AG17" ca="1">IF(AF18="〇",
INDIRECT("'盛付札（関数）'!CL"&amp;AE17+1),INDIRECT("'盛付札（関数）'!CL"&amp;AE17))</f>
        <v/>
      </c>
      <c r="AH17" s="165"/>
      <c r="AI17" s="165"/>
      <c r="AJ17" s="165"/>
      <c r="AK17" s="79" t="str">
        <f ca="1">IF(AG17&lt;&gt;"","様","")</f>
        <v/>
      </c>
      <c r="AL17" s="67">
        <f ca="1">IF(AG17="配送",
AE17+1,
IF(COUNTIF(INDIRECT("'盛付札（関数）'!CL"&amp;AE17+1),"*社食*"),
AE17+2,AE17+1))</f>
        <v>30</v>
      </c>
      <c r="AM17" s="80" t="str">
        <f ca="1">IF(AN17&lt;&gt;"",
MID(貼り付け用!$A$2, FIND("年",貼り付け用!$A$2)+1,2)&amp;"/"&amp;MID(貼り付け用!$A$2, FIND("月",貼り付け用!$A$2)+1,2),"")</f>
        <v/>
      </c>
      <c r="AN17" s="164" t="str" cm="1">
        <f t="array" aca="1" ref="AN17" ca="1">IF(AM18="〇",
INDIRECT("'盛付札（関数）'!CL"&amp;AL17+1),INDIRECT("'盛付札（関数）'!CL"&amp;AL17))</f>
        <v/>
      </c>
      <c r="AO17" s="165"/>
      <c r="AP17" s="165"/>
      <c r="AQ17" s="165"/>
      <c r="AR17" s="79" t="str">
        <f ca="1">IF(AN17&lt;&gt;"","様","")</f>
        <v/>
      </c>
      <c r="AS17" s="53"/>
      <c r="AT17" s="67">
        <f ca="1">IF(COUNTIF(INDIRECT("'盛付札（関数）'!CL"&amp;BA9+1),"*社食*"),
BA9+2,BA9+1)</f>
        <v>41</v>
      </c>
      <c r="AU17" s="80" t="str">
        <f ca="1">IF(AV17&lt;&gt;"",
MID(貼り付け用!$A$2, FIND("年",貼り付け用!$A$2)+1,2)&amp;"/"&amp;MID(貼り付け用!$A$2, FIND("月",貼り付け用!$A$2)+1,2),"")</f>
        <v/>
      </c>
      <c r="AV17" s="164" t="str" cm="1">
        <f t="array" aca="1" ref="AV17" ca="1">IF(AU18="〇",
INDIRECT("'盛付札（関数）'!CL"&amp;AT17+1),INDIRECT("'盛付札（関数）'!CL"&amp;AT17))</f>
        <v/>
      </c>
      <c r="AW17" s="165"/>
      <c r="AX17" s="165"/>
      <c r="AY17" s="165"/>
      <c r="AZ17" s="79" t="str">
        <f ca="1">IF(AV17&lt;&gt;"","様","")</f>
        <v/>
      </c>
      <c r="BA17" s="67">
        <f ca="1">IF(AV17="配送",
AT17+1,
IF(COUNTIF(INDIRECT("'盛付札（関数）'!CL"&amp;AT17+1),"*社食*"),
AT17+2,AT17+1))</f>
        <v>42</v>
      </c>
      <c r="BB17" s="80" t="str">
        <f ca="1">IF(BC17&lt;&gt;"",
MID(貼り付け用!$A$2, FIND("年",貼り付け用!$A$2)+1,2)&amp;"/"&amp;MID(貼り付け用!$A$2, FIND("月",貼り付け用!$A$2)+1,2),"")</f>
        <v/>
      </c>
      <c r="BC17" s="164" t="str" cm="1">
        <f t="array" aca="1" ref="BC17" ca="1">IF(BB18="〇",
INDIRECT("'盛付札（関数）'!CL"&amp;BA17+1),INDIRECT("'盛付札（関数）'!CL"&amp;BA17))</f>
        <v/>
      </c>
      <c r="BD17" s="165"/>
      <c r="BE17" s="165"/>
      <c r="BF17" s="165"/>
      <c r="BG17" s="79" t="str">
        <f ca="1">IF(BC17&lt;&gt;"","様","")</f>
        <v/>
      </c>
      <c r="BH17" s="53"/>
      <c r="BI17" s="67">
        <f ca="1">IF(COUNTIF(INDIRECT("'盛付札（関数）'!CL"&amp;BP9+1),"*社食*"),
BP9+2,BP9+1)</f>
        <v>53</v>
      </c>
      <c r="BJ17" s="80" t="str">
        <f ca="1">IF(BK17&lt;&gt;"",
MID(貼り付け用!$A$2, FIND("年",貼り付け用!$A$2)+1,2)&amp;"/"&amp;MID(貼り付け用!$A$2, FIND("月",貼り付け用!$A$2)+1,2),"")</f>
        <v/>
      </c>
      <c r="BK17" s="164" t="str" cm="1">
        <f t="array" aca="1" ref="BK17" ca="1">IF(BJ18="〇",
INDIRECT("'盛付札（関数）'!CL"&amp;BI17+1),INDIRECT("'盛付札（関数）'!CL"&amp;BI17))</f>
        <v/>
      </c>
      <c r="BL17" s="165"/>
      <c r="BM17" s="165"/>
      <c r="BN17" s="165"/>
      <c r="BO17" s="79" t="str">
        <f ca="1">IF(BK17&lt;&gt;"","様","")</f>
        <v/>
      </c>
      <c r="BP17" s="67">
        <f ca="1">IF(BK17="配送",
BI17+1,
IF(COUNTIF(INDIRECT("'盛付札（関数）'!CL"&amp;BI17+1),"*社食*"),
BI17+2,BI17+1))</f>
        <v>54</v>
      </c>
      <c r="BQ17" s="80" t="str">
        <f ca="1">IF(BR17&lt;&gt;"",
MID(貼り付け用!$A$2, FIND("年",貼り付け用!$A$2)+1,2)&amp;"/"&amp;MID(貼り付け用!$A$2, FIND("月",貼り付け用!$A$2)+1,2),"")</f>
        <v/>
      </c>
      <c r="BR17" s="164" t="str" cm="1">
        <f t="array" aca="1" ref="BR17" ca="1">IF(BQ18="〇",
INDIRECT("'盛付札（関数）'!CL"&amp;BP17+1),INDIRECT("'盛付札（関数）'!CL"&amp;BP17))</f>
        <v/>
      </c>
      <c r="BS17" s="165"/>
      <c r="BT17" s="165"/>
      <c r="BU17" s="165"/>
      <c r="BV17" s="79" t="str">
        <f ca="1">IF(BR17&lt;&gt;"","様","")</f>
        <v/>
      </c>
      <c r="BW17" s="53"/>
    </row>
    <row r="18" spans="1:75" s="68" customFormat="1" x14ac:dyDescent="0.55000000000000004">
      <c r="A18" s="67"/>
      <c r="B18" s="69" t="str">
        <f ca="1">IF(COUNTIF(INDIRECT("'盛付札（関数）'!CL"&amp;A17),"*雙葉*"),
IF(COUNTIF(INDIRECT("'盛付札（関数）'!CL"&amp;H9),"*雙葉*"),"〇",
IF(COUNTIF(INDIRECT("'盛付札（関数）'!CL"&amp;H17),"*雙葉*"),"●","")),"")</f>
        <v/>
      </c>
      <c r="C18" s="84" t="str" cm="1">
        <f t="array" aca="1" ref="C18" ca="1">IF(OR(INDIRECT("'盛付札（関数）'!CK"&amp;A17)=121,INDIRECT("'盛付札（関数）'!CK"&amp;A17)=122,INDIRECT("'盛付札（関数）'!CK"&amp;A17)=123,INDIRECT("'盛付札（関数）'!CK"&amp;A17)=124),"",
IF(B18="〇",
INDIRECT("'盛付札（関数）!CM"&amp;A17+1),INDIRECT("'盛付札（関数）'!CM"&amp;A17)))</f>
        <v/>
      </c>
      <c r="D18" s="78"/>
      <c r="E18" s="78"/>
      <c r="F18" s="85" t="str" cm="1">
        <f t="array" aca="1" ref="F18" ca="1">IF(C17&lt;&gt;"",
IF(OR(INDIRECT("'盛付札（関数）'!CK"&amp;A17)=121,INDIRECT("'盛付札（関数）'!CK"&amp;A17)=122,INDIRECT("'盛付札（関数）'!CK"&amp;A17)=123,INDIRECT("'盛付札（関数）'!CK"&amp;A17)=124),"",
IF(B18="●",
SUBSTITUTE(SUBSTITUTE(SUBSTITUTE(INDIRECT("'盛付札（関数）'!CN"&amp;A17),100,""),120,""),150,""),
IF(B18="〇",
IF(INDIRECT("'盛付札（関数）'!CN"&amp;A17+1)&lt;&gt;"",
INDIRECT("'盛付札（関数）'!CN"&amp;A17+1),INDIRECT("'盛付札（関数）'!CO"&amp;A17+1)),
IF(INDIRECT("'盛付札（関数）'!CN"&amp;A17)&lt;&gt;"",
INDIRECT("'盛付札（関数）'!CN"&amp;A17),INDIRECT("'盛付札（関数）'!CO"&amp;A17))))),"")</f>
        <v/>
      </c>
      <c r="G18" s="76"/>
      <c r="H18" s="86"/>
      <c r="I18" s="69" t="str">
        <f ca="1">IF(COUNTIF(INDIRECT("'盛付札（関数）'!CL"&amp;H17),"*雙葉*"),
IF(COUNTIF(INDIRECT("'盛付札（関数）'!CL"&amp;O9),"*雙葉*"),"〇",
IF(COUNTIF(INDIRECT("'盛付札（関数）'!CL"&amp;O17),"*雙葉*"),"●","")),"")</f>
        <v/>
      </c>
      <c r="J18" s="84" t="str" cm="1">
        <f t="array" aca="1" ref="J18" ca="1">IF(OR(INDIRECT("'盛付札（関数）'!CK"&amp;H17)=121,INDIRECT("'盛付札（関数）'!CK"&amp;H17)=122,INDIRECT("'盛付札（関数）'!CK"&amp;H17)=123,INDIRECT("'盛付札（関数）'!CK"&amp;H17)=124),"",
IF(I18="〇",
INDIRECT("'盛付札（関数）!CM"&amp;H17+1),INDIRECT("'盛付札（関数）'!CM"&amp;H17)))</f>
        <v/>
      </c>
      <c r="K18" s="78"/>
      <c r="L18" s="78"/>
      <c r="M18" s="85" t="str" cm="1">
        <f t="array" aca="1" ref="M18" ca="1">IF(J17&lt;&gt;"",
IF(OR(INDIRECT("'盛付札（関数）'!CK"&amp;H17)=121,INDIRECT("'盛付札（関数）'!CK"&amp;H17)=122,INDIRECT("'盛付札（関数）'!CK"&amp;H17)=123,INDIRECT("'盛付札（関数）'!CK"&amp;H17)=124),"",
IF(I18="●",
SUBSTITUTE(SUBSTITUTE(SUBSTITUTE(INDIRECT("'盛付札（関数）'!CN"&amp;H17),100,""),120,""),150,""),
IF(I18="〇",
IF(INDIRECT("'盛付札（関数）'!CN"&amp;H17+1)&lt;&gt;"",
INDIRECT("'盛付札（関数）'!CN"&amp;H17+1),INDIRECT("'盛付札（関数）'!CO"&amp;H17+1)),
IF(INDIRECT("'盛付札（関数）'!CN"&amp;H17)&lt;&gt;"",
INDIRECT("'盛付札（関数）'!CN"&amp;H17),INDIRECT("'盛付札（関数）'!CO"&amp;H17))))),"")</f>
        <v/>
      </c>
      <c r="N18" s="76"/>
      <c r="O18" s="53"/>
      <c r="P18" s="67"/>
      <c r="Q18" s="69" t="str">
        <f ca="1">IF(COUNTIF(INDIRECT("'盛付札（関数）'!CL"&amp;P17),"*雙葉*"),
IF(COUNTIF(INDIRECT("'盛付札（関数）'!CL"&amp;W9),"*雙葉*"),"〇",
IF(COUNTIF(INDIRECT("'盛付札（関数）'!CL"&amp;W17),"*雙葉*"),"●","")),"")</f>
        <v/>
      </c>
      <c r="R18" s="84" t="str" cm="1">
        <f t="array" aca="1" ref="R18" ca="1">IF(OR(INDIRECT("'盛付札（関数）'!CK"&amp;P17)=121,INDIRECT("'盛付札（関数）'!CK"&amp;P17)=122,INDIRECT("'盛付札（関数）'!CK"&amp;P17)=123,INDIRECT("'盛付札（関数）'!CK"&amp;P17)=124),"",
IF(Q18="〇",
INDIRECT("'盛付札（関数）!CM"&amp;P17+1),INDIRECT("'盛付札（関数）'!CM"&amp;P17)))</f>
        <v/>
      </c>
      <c r="S18" s="78"/>
      <c r="T18" s="78"/>
      <c r="U18" s="85" t="str" cm="1">
        <f t="array" aca="1" ref="U18" ca="1">IF(R17&lt;&gt;"",
IF(OR(INDIRECT("'盛付札（関数）'!CK"&amp;P17)=121,INDIRECT("'盛付札（関数）'!CK"&amp;P17)=122,INDIRECT("'盛付札（関数）'!CK"&amp;P17)=123,INDIRECT("'盛付札（関数）'!CK"&amp;P17)=124),"",
IF(Q18="●",
SUBSTITUTE(SUBSTITUTE(SUBSTITUTE(INDIRECT("'盛付札（関数）'!CN"&amp;P17),100,""),120,""),150,""),
IF(Q18="〇",
IF(INDIRECT("'盛付札（関数）'!CN"&amp;P17+1)&lt;&gt;"",
INDIRECT("'盛付札（関数）'!CN"&amp;P17+1),INDIRECT("'盛付札（関数）'!CO"&amp;P17+1)),
IF(INDIRECT("'盛付札（関数）'!CN"&amp;P17)&lt;&gt;"",
INDIRECT("'盛付札（関数）'!CN"&amp;P17),INDIRECT("'盛付札（関数）'!CO"&amp;P17))))),"")</f>
        <v/>
      </c>
      <c r="V18" s="76"/>
      <c r="W18" s="86"/>
      <c r="X18" s="69" t="str">
        <f ca="1">IF(COUNTIF(INDIRECT("'盛付札（関数）'!CL"&amp;W17),"*雙葉*"),
IF(COUNTIF(INDIRECT("'盛付札（関数）'!CL"&amp;AD9),"*雙葉*"),"〇",
IF(COUNTIF(INDIRECT("'盛付札（関数）'!CL"&amp;AD17),"*雙葉*"),"●","")),"")</f>
        <v/>
      </c>
      <c r="Y18" s="84" t="str" cm="1">
        <f t="array" aca="1" ref="Y18" ca="1">IF(OR(INDIRECT("'盛付札（関数）'!CK"&amp;W17)=121,INDIRECT("'盛付札（関数）'!CK"&amp;W17)=122,INDIRECT("'盛付札（関数）'!CK"&amp;W17)=123,INDIRECT("'盛付札（関数）'!CK"&amp;W17)=124),"",
IF(X18="〇",
INDIRECT("'盛付札（関数）!CM"&amp;W17+1),INDIRECT("'盛付札（関数）'!CM"&amp;W17)))</f>
        <v/>
      </c>
      <c r="Z18" s="78"/>
      <c r="AA18" s="78"/>
      <c r="AB18" s="85" t="str" cm="1">
        <f t="array" aca="1" ref="AB18" ca="1">IF(Y17&lt;&gt;"",
IF(OR(INDIRECT("'盛付札（関数）'!CK"&amp;W17)=121,INDIRECT("'盛付札（関数）'!CK"&amp;W17)=122,INDIRECT("'盛付札（関数）'!CK"&amp;W17)=123,INDIRECT("'盛付札（関数）'!CK"&amp;W17)=124),"",
IF(X18="●",
SUBSTITUTE(SUBSTITUTE(SUBSTITUTE(INDIRECT("'盛付札（関数）'!CN"&amp;W17),100,""),120,""),150,""),
IF(X18="〇",
IF(INDIRECT("'盛付札（関数）'!CN"&amp;W17+1)&lt;&gt;"",
INDIRECT("'盛付札（関数）'!CN"&amp;W17+1),INDIRECT("'盛付札（関数）'!CO"&amp;W17+1)),
IF(INDIRECT("'盛付札（関数）'!CN"&amp;W17)&lt;&gt;"",
INDIRECT("'盛付札（関数）'!CN"&amp;W17),INDIRECT("'盛付札（関数）'!CO"&amp;W17))))),"")</f>
        <v/>
      </c>
      <c r="AC18" s="76"/>
      <c r="AD18" s="53"/>
      <c r="AE18" s="67"/>
      <c r="AF18" s="69" t="str">
        <f ca="1">IF(COUNTIF(INDIRECT("'盛付札（関数）'!CL"&amp;AE17),"*雙葉*"),
IF(COUNTIF(INDIRECT("'盛付札（関数）'!CL"&amp;AL9),"*雙葉*"),"〇",
IF(COUNTIF(INDIRECT("'盛付札（関数）'!CL"&amp;AL17),"*雙葉*"),"●","")),"")</f>
        <v/>
      </c>
      <c r="AG18" s="84" t="str" cm="1">
        <f t="array" aca="1" ref="AG18" ca="1">IF(OR(INDIRECT("'盛付札（関数）'!CK"&amp;AE17)=121,INDIRECT("'盛付札（関数）'!CK"&amp;AE17)=122,INDIRECT("'盛付札（関数）'!CK"&amp;AE17)=123,INDIRECT("'盛付札（関数）'!CK"&amp;AE17)=124),"",
IF(AF18="〇",
INDIRECT("'盛付札（関数）!CM"&amp;AE17+1),INDIRECT("'盛付札（関数）'!CM"&amp;AE17)))</f>
        <v/>
      </c>
      <c r="AH18" s="78"/>
      <c r="AI18" s="78"/>
      <c r="AJ18" s="85" t="str" cm="1">
        <f t="array" aca="1" ref="AJ18" ca="1">IF(AG17&lt;&gt;"",
IF(OR(INDIRECT("'盛付札（関数）'!CK"&amp;AE17)=121,INDIRECT("'盛付札（関数）'!CK"&amp;AE17)=122,INDIRECT("'盛付札（関数）'!CK"&amp;AE17)=123,INDIRECT("'盛付札（関数）'!CK"&amp;AE17)=124),"",
IF(AF18="●",
SUBSTITUTE(SUBSTITUTE(SUBSTITUTE(INDIRECT("'盛付札（関数）'!CN"&amp;AE17),100,""),120,""),150,""),
IF(AF18="〇",
IF(INDIRECT("'盛付札（関数）'!CN"&amp;AE17+1)&lt;&gt;"",
INDIRECT("'盛付札（関数）'!CN"&amp;AE17+1),INDIRECT("'盛付札（関数）'!CO"&amp;AE17+1)),
IF(INDIRECT("'盛付札（関数）'!CN"&amp;AE17)&lt;&gt;"",
INDIRECT("'盛付札（関数）'!CN"&amp;AE17),INDIRECT("'盛付札（関数）'!CO"&amp;AE17))))),"")</f>
        <v/>
      </c>
      <c r="AK18" s="76"/>
      <c r="AL18" s="86"/>
      <c r="AM18" s="69" t="str">
        <f ca="1">IF(COUNTIF(INDIRECT("'盛付札（関数）'!CL"&amp;AL17),"*雙葉*"),
IF(COUNTIF(INDIRECT("'盛付札（関数）'!CL"&amp;AS9),"*雙葉*"),"〇",
IF(COUNTIF(INDIRECT("'盛付札（関数）'!CL"&amp;AS17),"*雙葉*"),"●","")),"")</f>
        <v/>
      </c>
      <c r="AN18" s="84" t="str" cm="1">
        <f t="array" aca="1" ref="AN18" ca="1">IF(OR(INDIRECT("'盛付札（関数）'!CK"&amp;AL17)=121,INDIRECT("'盛付札（関数）'!CK"&amp;AL17)=122,INDIRECT("'盛付札（関数）'!CK"&amp;AL17)=123,INDIRECT("'盛付札（関数）'!CK"&amp;AL17)=124),"",
IF(AM18="〇",
INDIRECT("'盛付札（関数）!CM"&amp;AL17+1),INDIRECT("'盛付札（関数）'!CM"&amp;AL17)))</f>
        <v/>
      </c>
      <c r="AO18" s="78"/>
      <c r="AP18" s="78"/>
      <c r="AQ18" s="85" t="str" cm="1">
        <f t="array" aca="1" ref="AQ18" ca="1">IF(AN17&lt;&gt;"",
IF(OR(INDIRECT("'盛付札（関数）'!CK"&amp;AL17)=121,INDIRECT("'盛付札（関数）'!CK"&amp;AL17)=122,INDIRECT("'盛付札（関数）'!CK"&amp;AL17)=123,INDIRECT("'盛付札（関数）'!CK"&amp;AL17)=124),"",
IF(AM18="●",
SUBSTITUTE(SUBSTITUTE(SUBSTITUTE(INDIRECT("'盛付札（関数）'!CN"&amp;AL17),100,""),120,""),150,""),
IF(AM18="〇",
IF(INDIRECT("'盛付札（関数）'!CN"&amp;AL17+1)&lt;&gt;"",
INDIRECT("'盛付札（関数）'!CN"&amp;AL17+1),INDIRECT("'盛付札（関数）'!CO"&amp;AL17+1)),
IF(INDIRECT("'盛付札（関数）'!CN"&amp;AL17)&lt;&gt;"",
INDIRECT("'盛付札（関数）'!CN"&amp;AL17),INDIRECT("'盛付札（関数）'!CO"&amp;AL17))))),"")</f>
        <v/>
      </c>
      <c r="AR18" s="76"/>
      <c r="AS18" s="53"/>
      <c r="AT18" s="67"/>
      <c r="AU18" s="69" t="str">
        <f ca="1">IF(COUNTIF(INDIRECT("'盛付札（関数）'!CL"&amp;AT17),"*雙葉*"),
IF(COUNTIF(INDIRECT("'盛付札（関数）'!CL"&amp;BA9),"*雙葉*"),"〇",
IF(COUNTIF(INDIRECT("'盛付札（関数）'!CL"&amp;BA17),"*雙葉*"),"●","")),"")</f>
        <v/>
      </c>
      <c r="AV18" s="84" t="str" cm="1">
        <f t="array" aca="1" ref="AV18" ca="1">IF(OR(INDIRECT("'盛付札（関数）'!CK"&amp;AT17)=121,INDIRECT("'盛付札（関数）'!CK"&amp;AT17)=122,INDIRECT("'盛付札（関数）'!CK"&amp;AT17)=123,INDIRECT("'盛付札（関数）'!CK"&amp;AT17)=124),"",
IF(AU18="〇",
INDIRECT("'盛付札（関数）!CM"&amp;AT17+1),INDIRECT("'盛付札（関数）'!CM"&amp;AT17)))</f>
        <v/>
      </c>
      <c r="AW18" s="78"/>
      <c r="AX18" s="78"/>
      <c r="AY18" s="85" t="str" cm="1">
        <f t="array" aca="1" ref="AY18" ca="1">IF(AV17&lt;&gt;"",
IF(OR(INDIRECT("'盛付札（関数）'!CK"&amp;AT17)=121,INDIRECT("'盛付札（関数）'!CK"&amp;AT17)=122,INDIRECT("'盛付札（関数）'!CK"&amp;AT17)=123,INDIRECT("'盛付札（関数）'!CK"&amp;AT17)=124),"",
IF(AU18="●",
SUBSTITUTE(SUBSTITUTE(SUBSTITUTE(INDIRECT("'盛付札（関数）'!CN"&amp;AT17),100,""),120,""),150,""),
IF(AU18="〇",
IF(INDIRECT("'盛付札（関数）'!CN"&amp;AT17+1)&lt;&gt;"",
INDIRECT("'盛付札（関数）'!CN"&amp;AT17+1),INDIRECT("'盛付札（関数）'!CO"&amp;AT17+1)),
IF(INDIRECT("'盛付札（関数）'!CN"&amp;AT17)&lt;&gt;"",
INDIRECT("'盛付札（関数）'!CN"&amp;AT17),INDIRECT("'盛付札（関数）'!CO"&amp;AT17))))),"")</f>
        <v/>
      </c>
      <c r="AZ18" s="76"/>
      <c r="BA18" s="86"/>
      <c r="BB18" s="69" t="str">
        <f ca="1">IF(COUNTIF(INDIRECT("'盛付札（関数）'!CL"&amp;BA17),"*雙葉*"),
IF(COUNTIF(INDIRECT("'盛付札（関数）'!CL"&amp;BH9),"*雙葉*"),"〇",
IF(COUNTIF(INDIRECT("'盛付札（関数）'!CL"&amp;BH17),"*雙葉*"),"●","")),"")</f>
        <v/>
      </c>
      <c r="BC18" s="84" t="str" cm="1">
        <f t="array" aca="1" ref="BC18" ca="1">IF(OR(INDIRECT("'盛付札（関数）'!CK"&amp;BA17)=121,INDIRECT("'盛付札（関数）'!CK"&amp;BA17)=122,INDIRECT("'盛付札（関数）'!CK"&amp;BA17)=123,INDIRECT("'盛付札（関数）'!CK"&amp;BA17)=124),"",
IF(BB18="〇",
INDIRECT("'盛付札（関数）!CM"&amp;BA17+1),INDIRECT("'盛付札（関数）'!CM"&amp;BA17)))</f>
        <v/>
      </c>
      <c r="BD18" s="78"/>
      <c r="BE18" s="78"/>
      <c r="BF18" s="85" t="str" cm="1">
        <f t="array" aca="1" ref="BF18" ca="1">IF(BC17&lt;&gt;"",
IF(OR(INDIRECT("'盛付札（関数）'!CK"&amp;BA17)=121,INDIRECT("'盛付札（関数）'!CK"&amp;BA17)=122,INDIRECT("'盛付札（関数）'!CK"&amp;BA17)=123,INDIRECT("'盛付札（関数）'!CK"&amp;BA17)=124),"",
IF(BB18="●",
SUBSTITUTE(SUBSTITUTE(SUBSTITUTE(INDIRECT("'盛付札（関数）'!CN"&amp;BA17),100,""),120,""),150,""),
IF(BB18="〇",
IF(INDIRECT("'盛付札（関数）'!CN"&amp;BA17+1)&lt;&gt;"",
INDIRECT("'盛付札（関数）'!CN"&amp;BA17+1),INDIRECT("'盛付札（関数）'!CO"&amp;BA17+1)),
IF(INDIRECT("'盛付札（関数）'!CN"&amp;BA17)&lt;&gt;"",
INDIRECT("'盛付札（関数）'!CN"&amp;BA17),INDIRECT("'盛付札（関数）'!CO"&amp;BA17))))),"")</f>
        <v/>
      </c>
      <c r="BG18" s="76"/>
      <c r="BH18" s="53"/>
      <c r="BI18" s="67"/>
      <c r="BJ18" s="69" t="str">
        <f ca="1">IF(COUNTIF(INDIRECT("'盛付札（関数）'!CL"&amp;BI17),"*雙葉*"),
IF(COUNTIF(INDIRECT("'盛付札（関数）'!CL"&amp;BP9),"*雙葉*"),"〇",
IF(COUNTIF(INDIRECT("'盛付札（関数）'!CL"&amp;BP17),"*雙葉*"),"●","")),"")</f>
        <v/>
      </c>
      <c r="BK18" s="84" t="str" cm="1">
        <f t="array" aca="1" ref="BK18" ca="1">IF(OR(INDIRECT("'盛付札（関数）'!CK"&amp;BI17)=121,INDIRECT("'盛付札（関数）'!CK"&amp;BI17)=122,INDIRECT("'盛付札（関数）'!CK"&amp;BI17)=123,INDIRECT("'盛付札（関数）'!CK"&amp;BI17)=124),"",
IF(BJ18="〇",
INDIRECT("'盛付札（関数）!CM"&amp;BI17+1),INDIRECT("'盛付札（関数）'!CM"&amp;BI17)))</f>
        <v/>
      </c>
      <c r="BL18" s="78"/>
      <c r="BM18" s="78"/>
      <c r="BN18" s="85" t="str" cm="1">
        <f t="array" aca="1" ref="BN18" ca="1">IF(BK17&lt;&gt;"",
IF(OR(INDIRECT("'盛付札（関数）'!CK"&amp;BI17)=121,INDIRECT("'盛付札（関数）'!CK"&amp;BI17)=122,INDIRECT("'盛付札（関数）'!CK"&amp;BI17)=123,INDIRECT("'盛付札（関数）'!CK"&amp;BI17)=124),"",
IF(BJ18="●",
SUBSTITUTE(SUBSTITUTE(SUBSTITUTE(INDIRECT("'盛付札（関数）'!CN"&amp;BI17),100,""),120,""),150,""),
IF(BJ18="〇",
IF(INDIRECT("'盛付札（関数）'!CN"&amp;BI17+1)&lt;&gt;"",
INDIRECT("'盛付札（関数）'!CN"&amp;BI17+1),INDIRECT("'盛付札（関数）'!CO"&amp;BI17+1)),
IF(INDIRECT("'盛付札（関数）'!CN"&amp;BI17)&lt;&gt;"",
INDIRECT("'盛付札（関数）'!CN"&amp;BI17),INDIRECT("'盛付札（関数）'!CO"&amp;BI17))))),"")</f>
        <v/>
      </c>
      <c r="BO18" s="76"/>
      <c r="BP18" s="86"/>
      <c r="BQ18" s="69" t="str">
        <f ca="1">IF(COUNTIF(INDIRECT("'盛付札（関数）'!CL"&amp;BP17),"*雙葉*"),
IF(COUNTIF(INDIRECT("'盛付札（関数）'!CL"&amp;BW9),"*雙葉*"),"〇",
IF(COUNTIF(INDIRECT("'盛付札（関数）'!CL"&amp;BW17),"*雙葉*"),"●","")),"")</f>
        <v/>
      </c>
      <c r="BR18" s="84" t="str" cm="1">
        <f t="array" aca="1" ref="BR18" ca="1">IF(OR(INDIRECT("'盛付札（関数）'!CK"&amp;BP17)=121,INDIRECT("'盛付札（関数）'!CK"&amp;BP17)=122,INDIRECT("'盛付札（関数）'!CK"&amp;BP17)=123,INDIRECT("'盛付札（関数）'!CK"&amp;BP17)=124),"",
IF(BQ18="〇",
INDIRECT("'盛付札（関数）!CM"&amp;BP17+1),INDIRECT("'盛付札（関数）'!CM"&amp;BP17)))</f>
        <v/>
      </c>
      <c r="BS18" s="78"/>
      <c r="BT18" s="78"/>
      <c r="BU18" s="85" t="str" cm="1">
        <f t="array" aca="1" ref="BU18" ca="1">IF(BR17&lt;&gt;"",
IF(OR(INDIRECT("'盛付札（関数）'!CK"&amp;BP17)=121,INDIRECT("'盛付札（関数）'!CK"&amp;BP17)=122,INDIRECT("'盛付札（関数）'!CK"&amp;BP17)=123,INDIRECT("'盛付札（関数）'!CK"&amp;BP17)=124),"",
IF(BQ18="●",
SUBSTITUTE(SUBSTITUTE(SUBSTITUTE(INDIRECT("'盛付札（関数）'!CN"&amp;BP17),100,""),120,""),150,""),
IF(BQ18="〇",
IF(INDIRECT("'盛付札（関数）'!CN"&amp;BP17+1)&lt;&gt;"",
INDIRECT("'盛付札（関数）'!CN"&amp;BP17+1),INDIRECT("'盛付札（関数）'!CO"&amp;BP17+1)),
IF(INDIRECT("'盛付札（関数）'!CN"&amp;BP17)&lt;&gt;"",
INDIRECT("'盛付札（関数）'!CN"&amp;BP17),INDIRECT("'盛付札（関数）'!CO"&amp;BP17))))),"")</f>
        <v/>
      </c>
      <c r="BV18" s="76"/>
      <c r="BW18" s="53"/>
    </row>
    <row r="19" spans="1:75" s="68" customFormat="1" x14ac:dyDescent="0.55000000000000004">
      <c r="A19" s="73"/>
      <c r="B19" s="71"/>
      <c r="C19" s="123" t="str" cm="1">
        <f t="array" aca="1" ref="C19" ca="1">IF(C17&lt;&gt;"",
IF(OR(INDIRECT("'盛付札（関数）'!CK"&amp;A17)=121,INDIRECT("'盛付札（関数）'!CK"&amp;A17)=122,INDIRECT("'盛付札（関数）'!CK"&amp;A17)=123,INDIRECT("'盛付札（関数）'!CK"&amp;A17)=124),"",
"園児"),"")</f>
        <v/>
      </c>
      <c r="D19" s="116"/>
      <c r="E19" s="53"/>
      <c r="F19" s="68" t="str" cm="1">
        <f t="array" aca="1" ref="F19" ca="1">IF(C17&lt;&gt;"",
IF(OR(INDIRECT("'盛付札（関数）'!CK"&amp;A17)=121,INDIRECT("'盛付札（関数）'!CK"&amp;A17)=122,INDIRECT("'盛付札（関数）'!CK"&amp;A17)=123,INDIRECT("'盛付札（関数）'!CK"&amp;A17)=124),"",
"先生"),"")</f>
        <v/>
      </c>
      <c r="G19" s="77"/>
      <c r="H19" s="73"/>
      <c r="I19" s="71"/>
      <c r="J19" s="123" t="str" cm="1">
        <f t="array" aca="1" ref="J19" ca="1">IF(J17&lt;&gt;"",
IF(OR(INDIRECT("'盛付札（関数）'!CK"&amp;H17)=121,INDIRECT("'盛付札（関数）'!CK"&amp;H17)=122,INDIRECT("'盛付札（関数）'!CK"&amp;H17)=123,INDIRECT("'盛付札（関数）'!CK"&amp;H17)=124),"",
"園児"),"")</f>
        <v/>
      </c>
      <c r="K19" s="116"/>
      <c r="L19" s="53"/>
      <c r="M19" s="68" t="str" cm="1">
        <f t="array" aca="1" ref="M19" ca="1">IF(J17&lt;&gt;"",
IF(OR(INDIRECT("'盛付札（関数）'!CK"&amp;H17)=121,INDIRECT("'盛付札（関数）'!CK"&amp;H17)=122,INDIRECT("'盛付札（関数）'!CK"&amp;H17)=123,INDIRECT("'盛付札（関数）'!CK"&amp;H17)=124),"",
"先生"),"")</f>
        <v/>
      </c>
      <c r="N19" s="77"/>
      <c r="O19" s="53"/>
      <c r="P19" s="73"/>
      <c r="Q19" s="71"/>
      <c r="R19" s="123" t="str" cm="1">
        <f t="array" aca="1" ref="R19" ca="1">IF(R17&lt;&gt;"",
IF(OR(INDIRECT("'盛付札（関数）'!CK"&amp;P17)=121,INDIRECT("'盛付札（関数）'!CK"&amp;P17)=122,INDIRECT("'盛付札（関数）'!CK"&amp;P17)=123,INDIRECT("'盛付札（関数）'!CK"&amp;P17)=124),"",
"園児"),"")</f>
        <v/>
      </c>
      <c r="S19" s="116"/>
      <c r="T19" s="53"/>
      <c r="U19" s="68" t="str" cm="1">
        <f t="array" aca="1" ref="U19" ca="1">IF(R17&lt;&gt;"",
IF(OR(INDIRECT("'盛付札（関数）'!CK"&amp;P17)=121,INDIRECT("'盛付札（関数）'!CK"&amp;P17)=122,INDIRECT("'盛付札（関数）'!CK"&amp;P17)=123,INDIRECT("'盛付札（関数）'!CK"&amp;P17)=124),"",
"先生"),"")</f>
        <v/>
      </c>
      <c r="V19" s="77"/>
      <c r="W19" s="73"/>
      <c r="X19" s="71"/>
      <c r="Y19" s="123" t="str" cm="1">
        <f t="array" aca="1" ref="Y19" ca="1">IF(Y17&lt;&gt;"",
IF(OR(INDIRECT("'盛付札（関数）'!CK"&amp;W17)=121,INDIRECT("'盛付札（関数）'!CK"&amp;W17)=122,INDIRECT("'盛付札（関数）'!CK"&amp;W17)=123,INDIRECT("'盛付札（関数）'!CK"&amp;W17)=124),"",
"園児"),"")</f>
        <v/>
      </c>
      <c r="Z19" s="116"/>
      <c r="AA19" s="53"/>
      <c r="AB19" s="68" t="str" cm="1">
        <f t="array" aca="1" ref="AB19" ca="1">IF(Y17&lt;&gt;"",
IF(OR(INDIRECT("'盛付札（関数）'!CK"&amp;W17)=121,INDIRECT("'盛付札（関数）'!CK"&amp;W17)=122,INDIRECT("'盛付札（関数）'!CK"&amp;W17)=123,INDIRECT("'盛付札（関数）'!CK"&amp;W17)=124),"",
"先生"),"")</f>
        <v/>
      </c>
      <c r="AC19" s="77"/>
      <c r="AD19" s="53"/>
      <c r="AE19" s="73"/>
      <c r="AF19" s="71"/>
      <c r="AG19" s="123" t="str" cm="1">
        <f t="array" aca="1" ref="AG19" ca="1">IF(AG17&lt;&gt;"",
IF(OR(INDIRECT("'盛付札（関数）'!CK"&amp;AE17)=121,INDIRECT("'盛付札（関数）'!CK"&amp;AE17)=122,INDIRECT("'盛付札（関数）'!CK"&amp;AE17)=123,INDIRECT("'盛付札（関数）'!CK"&amp;AE17)=124),"",
"園児"),"")</f>
        <v/>
      </c>
      <c r="AH19" s="116"/>
      <c r="AI19" s="53"/>
      <c r="AJ19" s="68" t="str" cm="1">
        <f t="array" aca="1" ref="AJ19" ca="1">IF(AG17&lt;&gt;"",
IF(OR(INDIRECT("'盛付札（関数）'!CK"&amp;AE17)=121,INDIRECT("'盛付札（関数）'!CK"&amp;AE17)=122,INDIRECT("'盛付札（関数）'!CK"&amp;AE17)=123,INDIRECT("'盛付札（関数）'!CK"&amp;AE17)=124),"",
"先生"),"")</f>
        <v/>
      </c>
      <c r="AK19" s="77"/>
      <c r="AL19" s="73"/>
      <c r="AM19" s="71"/>
      <c r="AN19" s="123" t="str" cm="1">
        <f t="array" aca="1" ref="AN19" ca="1">IF(AN17&lt;&gt;"",
IF(OR(INDIRECT("'盛付札（関数）'!CK"&amp;AL17)=121,INDIRECT("'盛付札（関数）'!CK"&amp;AL17)=122,INDIRECT("'盛付札（関数）'!CK"&amp;AL17)=123,INDIRECT("'盛付札（関数）'!CK"&amp;AL17)=124),"",
"園児"),"")</f>
        <v/>
      </c>
      <c r="AO19" s="116"/>
      <c r="AP19" s="53"/>
      <c r="AQ19" s="68" t="str" cm="1">
        <f t="array" aca="1" ref="AQ19" ca="1">IF(AN17&lt;&gt;"",
IF(OR(INDIRECT("'盛付札（関数）'!CK"&amp;AL17)=121,INDIRECT("'盛付札（関数）'!CK"&amp;AL17)=122,INDIRECT("'盛付札（関数）'!CK"&amp;AL17)=123,INDIRECT("'盛付札（関数）'!CK"&amp;AL17)=124),"",
"先生"),"")</f>
        <v/>
      </c>
      <c r="AR19" s="77"/>
      <c r="AS19" s="53"/>
      <c r="AT19" s="73"/>
      <c r="AU19" s="71"/>
      <c r="AV19" s="123" t="str" cm="1">
        <f t="array" aca="1" ref="AV19" ca="1">IF(AV17&lt;&gt;"",
IF(OR(INDIRECT("'盛付札（関数）'!CK"&amp;AT17)=121,INDIRECT("'盛付札（関数）'!CK"&amp;AT17)=122,INDIRECT("'盛付札（関数）'!CK"&amp;AT17)=123,INDIRECT("'盛付札（関数）'!CK"&amp;AT17)=124),"",
"園児"),"")</f>
        <v/>
      </c>
      <c r="AW19" s="116"/>
      <c r="AX19" s="53"/>
      <c r="AY19" s="68" t="str" cm="1">
        <f t="array" aca="1" ref="AY19" ca="1">IF(AV17&lt;&gt;"",
IF(OR(INDIRECT("'盛付札（関数）'!CK"&amp;AT17)=121,INDIRECT("'盛付札（関数）'!CK"&amp;AT17)=122,INDIRECT("'盛付札（関数）'!CK"&amp;AT17)=123,INDIRECT("'盛付札（関数）'!CK"&amp;AT17)=124),"",
"先生"),"")</f>
        <v/>
      </c>
      <c r="AZ19" s="77"/>
      <c r="BA19" s="73"/>
      <c r="BB19" s="71"/>
      <c r="BC19" s="123" t="str" cm="1">
        <f t="array" aca="1" ref="BC19" ca="1">IF(BC17&lt;&gt;"",
IF(OR(INDIRECT("'盛付札（関数）'!CK"&amp;BA17)=121,INDIRECT("'盛付札（関数）'!CK"&amp;BA17)=122,INDIRECT("'盛付札（関数）'!CK"&amp;BA17)=123,INDIRECT("'盛付札（関数）'!CK"&amp;BA17)=124),"",
"園児"),"")</f>
        <v/>
      </c>
      <c r="BD19" s="116"/>
      <c r="BE19" s="53"/>
      <c r="BF19" s="68" t="str" cm="1">
        <f t="array" aca="1" ref="BF19" ca="1">IF(BC17&lt;&gt;"",
IF(OR(INDIRECT("'盛付札（関数）'!CK"&amp;BA17)=121,INDIRECT("'盛付札（関数）'!CK"&amp;BA17)=122,INDIRECT("'盛付札（関数）'!CK"&amp;BA17)=123,INDIRECT("'盛付札（関数）'!CK"&amp;BA17)=124),"",
"先生"),"")</f>
        <v/>
      </c>
      <c r="BG19" s="77"/>
      <c r="BH19" s="53"/>
      <c r="BI19" s="73"/>
      <c r="BJ19" s="71"/>
      <c r="BK19" s="123" t="str" cm="1">
        <f t="array" aca="1" ref="BK19" ca="1">IF(BK17&lt;&gt;"",
IF(OR(INDIRECT("'盛付札（関数）'!CK"&amp;BI17)=121,INDIRECT("'盛付札（関数）'!CK"&amp;BI17)=122,INDIRECT("'盛付札（関数）'!CK"&amp;BI17)=123,INDIRECT("'盛付札（関数）'!CK"&amp;BI17)=124),"",
"園児"),"")</f>
        <v/>
      </c>
      <c r="BL19" s="116"/>
      <c r="BM19" s="53"/>
      <c r="BN19" s="68" t="str" cm="1">
        <f t="array" aca="1" ref="BN19" ca="1">IF(BK17&lt;&gt;"",
IF(OR(INDIRECT("'盛付札（関数）'!CK"&amp;BI17)=121,INDIRECT("'盛付札（関数）'!CK"&amp;BI17)=122,INDIRECT("'盛付札（関数）'!CK"&amp;BI17)=123,INDIRECT("'盛付札（関数）'!CK"&amp;BI17)=124),"",
"先生"),"")</f>
        <v/>
      </c>
      <c r="BO19" s="77"/>
      <c r="BP19" s="73"/>
      <c r="BQ19" s="71"/>
      <c r="BR19" s="123" t="str" cm="1">
        <f t="array" aca="1" ref="BR19" ca="1">IF(BR17&lt;&gt;"",
IF(OR(INDIRECT("'盛付札（関数）'!CK"&amp;BP17)=121,INDIRECT("'盛付札（関数）'!CK"&amp;BP17)=122,INDIRECT("'盛付札（関数）'!CK"&amp;BP17)=123,INDIRECT("'盛付札（関数）'!CK"&amp;BP17)=124),"",
"園児"),"")</f>
        <v/>
      </c>
      <c r="BS19" s="116"/>
      <c r="BT19" s="53"/>
      <c r="BU19" s="68" t="str" cm="1">
        <f t="array" aca="1" ref="BU19" ca="1">IF(BR17&lt;&gt;"",
IF(OR(INDIRECT("'盛付札（関数）'!CK"&amp;BP17)=121,INDIRECT("'盛付札（関数）'!CK"&amp;BP17)=122,INDIRECT("'盛付札（関数）'!CK"&amp;BP17)=123,INDIRECT("'盛付札（関数）'!CK"&amp;BP17)=124),"",
"先生"),"")</f>
        <v/>
      </c>
      <c r="BV19" s="77"/>
      <c r="BW19" s="53"/>
    </row>
    <row r="20" spans="1:75" ht="15.6" customHeight="1" x14ac:dyDescent="1.05">
      <c r="A20" s="58"/>
      <c r="B20" s="57"/>
      <c r="C20" s="120" t="str" cm="1">
        <f t="array" aca="1" ref="C20" ca="1">IF(B18="●",
INDIRECT("'盛付札（関数）'!CP"&amp;A17)+INDIRECT("'盛付札（関数）'!CP"&amp;A17+1),
IF(B18="〇",
INDIRECT("'盛付札（関数）'!CP"&amp;A17+1),INDIRECT("'盛付札（関数）'!CP"&amp;A17)))</f>
        <v/>
      </c>
      <c r="D20" s="121"/>
      <c r="E20" s="88"/>
      <c r="F20" s="125" t="str" cm="1">
        <f t="array" aca="1" ref="F20" ca="1">IF(C17&lt;&gt;"",
IF(OR(INDIRECT("'盛付札（関数）'!CK"&amp;A17)=121,INDIRECT("'盛付札（関数）'!CK"&amp;A17)=122,INDIRECT("'盛付札（関数）'!CK"&amp;A17)=123,INDIRECT("'盛付札（関数）'!CK"&amp;A17)=124),"",
IF(B18="●",
IFERROR(INDIRECT("'盛付札（関数）'!CQ"&amp;A17)+INDIRECT("'盛付札（関数）'!CQ"&amp;A17+1),""),
IF(B18="〇",
INDIRECT("'盛付札（関数）'!CQ"&amp;A17+1),INDIRECT("'盛付札（関数）'!CQ"&amp;A17)))),"")</f>
        <v/>
      </c>
      <c r="G20" s="126"/>
      <c r="H20" s="58"/>
      <c r="I20" s="57"/>
      <c r="J20" s="120" t="str" cm="1">
        <f t="array" aca="1" ref="J20" ca="1">IF(I18="●",
INDIRECT("'盛付札（関数）'!CP"&amp;H17)+INDIRECT("'盛付札（関数）'!CP"&amp;H17+1),
IF(I18="〇",
INDIRECT("'盛付札（関数）'!CP"&amp;H17+1),INDIRECT("'盛付札（関数）'!CP"&amp;H17)))</f>
        <v/>
      </c>
      <c r="K20" s="121"/>
      <c r="L20" s="88"/>
      <c r="M20" s="125" t="str" cm="1">
        <f t="array" aca="1" ref="M20" ca="1">IF(J17&lt;&gt;"",
IF(OR(INDIRECT("'盛付札（関数）'!CK"&amp;H17)=121,INDIRECT("'盛付札（関数）'!CK"&amp;H17)=122,INDIRECT("'盛付札（関数）'!CK"&amp;H17)=123,INDIRECT("'盛付札（関数）'!CK"&amp;H17)=124),"",
IF(I18="●",
IFERROR(INDIRECT("'盛付札（関数）'!CQ"&amp;H17)+INDIRECT("'盛付札（関数）'!CQ"&amp;H17+1),""),
IF(I18="〇",
INDIRECT("'盛付札（関数）'!CQ"&amp;H17+1),INDIRECT("'盛付札（関数）'!CQ"&amp;H17)))),"")</f>
        <v/>
      </c>
      <c r="N20" s="126"/>
      <c r="P20" s="58"/>
      <c r="Q20" s="57"/>
      <c r="R20" s="120" t="str" cm="1">
        <f t="array" aca="1" ref="R20" ca="1">IF(Q18="●",
INDIRECT("'盛付札（関数）'!CP"&amp;P17)+INDIRECT("'盛付札（関数）'!CP"&amp;P17+1),
IF(Q18="〇",
INDIRECT("'盛付札（関数）'!CP"&amp;P17+1),INDIRECT("'盛付札（関数）'!CP"&amp;P17)))</f>
        <v/>
      </c>
      <c r="S20" s="121"/>
      <c r="T20" s="88"/>
      <c r="U20" s="125" t="str" cm="1">
        <f t="array" aca="1" ref="U20" ca="1">IF(R17&lt;&gt;"",
IF(OR(INDIRECT("'盛付札（関数）'!CK"&amp;P17)=121,INDIRECT("'盛付札（関数）'!CK"&amp;P17)=122,INDIRECT("'盛付札（関数）'!CK"&amp;P17)=123,INDIRECT("'盛付札（関数）'!CK"&amp;P17)=124),"",
IF(Q18="●",
IFERROR(INDIRECT("'盛付札（関数）'!CQ"&amp;P17)+INDIRECT("'盛付札（関数）'!CQ"&amp;P17+1),""),
IF(Q18="〇",
INDIRECT("'盛付札（関数）'!CQ"&amp;P17+1),INDIRECT("'盛付札（関数）'!CQ"&amp;P17)))),"")</f>
        <v/>
      </c>
      <c r="V20" s="126"/>
      <c r="W20" s="58"/>
      <c r="X20" s="57"/>
      <c r="Y20" s="120" t="str" cm="1">
        <f t="array" aca="1" ref="Y20" ca="1">IF(X18="●",
INDIRECT("'盛付札（関数）'!CP"&amp;W17)+INDIRECT("'盛付札（関数）'!CP"&amp;W17+1),
IF(X18="〇",
INDIRECT("'盛付札（関数）'!CP"&amp;W17+1),INDIRECT("'盛付札（関数）'!CP"&amp;W17)))</f>
        <v/>
      </c>
      <c r="Z20" s="121"/>
      <c r="AA20" s="88"/>
      <c r="AB20" s="125" t="str" cm="1">
        <f t="array" aca="1" ref="AB20" ca="1">IF(Y17&lt;&gt;"",
IF(OR(INDIRECT("'盛付札（関数）'!CK"&amp;W17)=121,INDIRECT("'盛付札（関数）'!CK"&amp;W17)=122,INDIRECT("'盛付札（関数）'!CK"&amp;W17)=123,INDIRECT("'盛付札（関数）'!CK"&amp;W17)=124),"",
IF(X18="●",
IFERROR(INDIRECT("'盛付札（関数）'!CQ"&amp;W17)+INDIRECT("'盛付札（関数）'!CQ"&amp;W17+1),""),
IF(X18="〇",
INDIRECT("'盛付札（関数）'!CQ"&amp;W17+1),INDIRECT("'盛付札（関数）'!CQ"&amp;W17)))),"")</f>
        <v/>
      </c>
      <c r="AC20" s="126"/>
      <c r="AE20" s="58"/>
      <c r="AF20" s="57"/>
      <c r="AG20" s="120" t="str" cm="1">
        <f t="array" aca="1" ref="AG20" ca="1">IF(AF18="●",
INDIRECT("'盛付札（関数）'!CP"&amp;AE17)+INDIRECT("'盛付札（関数）'!CP"&amp;AE17+1),
IF(AF18="〇",
INDIRECT("'盛付札（関数）'!CP"&amp;AE17+1),INDIRECT("'盛付札（関数）'!CP"&amp;AE17)))</f>
        <v/>
      </c>
      <c r="AH20" s="121"/>
      <c r="AI20" s="88"/>
      <c r="AJ20" s="125" t="str" cm="1">
        <f t="array" aca="1" ref="AJ20" ca="1">IF(AG17&lt;&gt;"",
IF(OR(INDIRECT("'盛付札（関数）'!CK"&amp;AE17)=121,INDIRECT("'盛付札（関数）'!CK"&amp;AE17)=122,INDIRECT("'盛付札（関数）'!CK"&amp;AE17)=123,INDIRECT("'盛付札（関数）'!CK"&amp;AE17)=124),"",
IF(AF18="●",
IFERROR(INDIRECT("'盛付札（関数）'!CQ"&amp;AE17)+INDIRECT("'盛付札（関数）'!CQ"&amp;AE17+1),""),
IF(AF18="〇",
INDIRECT("'盛付札（関数）'!CQ"&amp;AE17+1),INDIRECT("'盛付札（関数）'!CQ"&amp;AE17)))),"")</f>
        <v/>
      </c>
      <c r="AK20" s="126"/>
      <c r="AL20" s="58"/>
      <c r="AM20" s="57"/>
      <c r="AN20" s="120" t="str" cm="1">
        <f t="array" aca="1" ref="AN20" ca="1">IF(AM18="●",
INDIRECT("'盛付札（関数）'!CP"&amp;AL17)+INDIRECT("'盛付札（関数）'!CP"&amp;AL17+1),
IF(AM18="〇",
INDIRECT("'盛付札（関数）'!CP"&amp;AL17+1),INDIRECT("'盛付札（関数）'!CP"&amp;AL17)))</f>
        <v/>
      </c>
      <c r="AO20" s="121"/>
      <c r="AP20" s="88"/>
      <c r="AQ20" s="125" t="str" cm="1">
        <f t="array" aca="1" ref="AQ20" ca="1">IF(AN17&lt;&gt;"",
IF(OR(INDIRECT("'盛付札（関数）'!CK"&amp;AL17)=121,INDIRECT("'盛付札（関数）'!CK"&amp;AL17)=122,INDIRECT("'盛付札（関数）'!CK"&amp;AL17)=123,INDIRECT("'盛付札（関数）'!CK"&amp;AL17)=124),"",
IF(AM18="●",
IFERROR(INDIRECT("'盛付札（関数）'!CQ"&amp;AL17)+INDIRECT("'盛付札（関数）'!CQ"&amp;AL17+1),""),
IF(AM18="〇",
INDIRECT("'盛付札（関数）'!CQ"&amp;AL17+1),INDIRECT("'盛付札（関数）'!CQ"&amp;AL17)))),"")</f>
        <v/>
      </c>
      <c r="AR20" s="126"/>
      <c r="AT20" s="58"/>
      <c r="AU20" s="57"/>
      <c r="AV20" s="120" t="str" cm="1">
        <f t="array" aca="1" ref="AV20" ca="1">IF(AU18="●",
INDIRECT("'盛付札（関数）'!CP"&amp;AT17)+INDIRECT("'盛付札（関数）'!CP"&amp;AT17+1),
IF(AU18="〇",
INDIRECT("'盛付札（関数）'!CP"&amp;AT17+1),INDIRECT("'盛付札（関数）'!CP"&amp;AT17)))</f>
        <v/>
      </c>
      <c r="AW20" s="121"/>
      <c r="AX20" s="88"/>
      <c r="AY20" s="125" t="str" cm="1">
        <f t="array" aca="1" ref="AY20" ca="1">IF(AV17&lt;&gt;"",
IF(OR(INDIRECT("'盛付札（関数）'!CK"&amp;AT17)=121,INDIRECT("'盛付札（関数）'!CK"&amp;AT17)=122,INDIRECT("'盛付札（関数）'!CK"&amp;AT17)=123,INDIRECT("'盛付札（関数）'!CK"&amp;AT17)=124),"",
IF(AU18="●",
IFERROR(INDIRECT("'盛付札（関数）'!CQ"&amp;AT17)+INDIRECT("'盛付札（関数）'!CQ"&amp;AT17+1),""),
IF(AU18="〇",
INDIRECT("'盛付札（関数）'!CQ"&amp;AT17+1),INDIRECT("'盛付札（関数）'!CQ"&amp;AT17)))),"")</f>
        <v/>
      </c>
      <c r="AZ20" s="126"/>
      <c r="BA20" s="58"/>
      <c r="BB20" s="57"/>
      <c r="BC20" s="120" t="str" cm="1">
        <f t="array" aca="1" ref="BC20" ca="1">IF(BB18="●",
INDIRECT("'盛付札（関数）'!CP"&amp;BA17)+INDIRECT("'盛付札（関数）'!CP"&amp;BA17+1),
IF(BB18="〇",
INDIRECT("'盛付札（関数）'!CP"&amp;BA17+1),INDIRECT("'盛付札（関数）'!CP"&amp;BA17)))</f>
        <v/>
      </c>
      <c r="BD20" s="121"/>
      <c r="BE20" s="88"/>
      <c r="BF20" s="125" t="str" cm="1">
        <f t="array" aca="1" ref="BF20" ca="1">IF(BC17&lt;&gt;"",
IF(OR(INDIRECT("'盛付札（関数）'!CK"&amp;BA17)=121,INDIRECT("'盛付札（関数）'!CK"&amp;BA17)=122,INDIRECT("'盛付札（関数）'!CK"&amp;BA17)=123,INDIRECT("'盛付札（関数）'!CK"&amp;BA17)=124),"",
IF(BB18="●",
IFERROR(INDIRECT("'盛付札（関数）'!CQ"&amp;BA17)+INDIRECT("'盛付札（関数）'!CQ"&amp;BA17+1),""),
IF(BB18="〇",
INDIRECT("'盛付札（関数）'!CQ"&amp;BA17+1),INDIRECT("'盛付札（関数）'!CQ"&amp;BA17)))),"")</f>
        <v/>
      </c>
      <c r="BG20" s="126"/>
      <c r="BI20" s="58"/>
      <c r="BJ20" s="57"/>
      <c r="BK20" s="120" t="str" cm="1">
        <f t="array" aca="1" ref="BK20" ca="1">IF(BJ18="●",
INDIRECT("'盛付札（関数）'!CP"&amp;BI17)+INDIRECT("'盛付札（関数）'!CP"&amp;BI17+1),
IF(BJ18="〇",
INDIRECT("'盛付札（関数）'!CP"&amp;BI17+1),INDIRECT("'盛付札（関数）'!CP"&amp;BI17)))</f>
        <v/>
      </c>
      <c r="BL20" s="121"/>
      <c r="BM20" s="88"/>
      <c r="BN20" s="125" t="str" cm="1">
        <f t="array" aca="1" ref="BN20" ca="1">IF(BK17&lt;&gt;"",
IF(OR(INDIRECT("'盛付札（関数）'!CK"&amp;BI17)=121,INDIRECT("'盛付札（関数）'!CK"&amp;BI17)=122,INDIRECT("'盛付札（関数）'!CK"&amp;BI17)=123,INDIRECT("'盛付札（関数）'!CK"&amp;BI17)=124),"",
IF(BJ18="●",
IFERROR(INDIRECT("'盛付札（関数）'!CQ"&amp;BI17)+INDIRECT("'盛付札（関数）'!CQ"&amp;BI17+1),""),
IF(BJ18="〇",
INDIRECT("'盛付札（関数）'!CQ"&amp;BI17+1),INDIRECT("'盛付札（関数）'!CQ"&amp;BI17)))),"")</f>
        <v/>
      </c>
      <c r="BO20" s="126"/>
      <c r="BP20" s="58"/>
      <c r="BQ20" s="57"/>
      <c r="BR20" s="120" t="str" cm="1">
        <f t="array" aca="1" ref="BR20" ca="1">IF(BQ18="●",
INDIRECT("'盛付札（関数）'!CP"&amp;BP17)+INDIRECT("'盛付札（関数）'!CP"&amp;BP17+1),
IF(BQ18="〇",
INDIRECT("'盛付札（関数）'!CP"&amp;BP17+1),INDIRECT("'盛付札（関数）'!CP"&amp;BP17)))</f>
        <v/>
      </c>
      <c r="BS20" s="121"/>
      <c r="BT20" s="88"/>
      <c r="BU20" s="125" t="str" cm="1">
        <f t="array" aca="1" ref="BU20" ca="1">IF(BR17&lt;&gt;"",
IF(OR(INDIRECT("'盛付札（関数）'!CK"&amp;BP17)=121,INDIRECT("'盛付札（関数）'!CK"&amp;BP17)=122,INDIRECT("'盛付札（関数）'!CK"&amp;BP17)=123,INDIRECT("'盛付札（関数）'!CK"&amp;BP17)=124),"",
IF(BQ18="●",
IFERROR(INDIRECT("'盛付札（関数）'!CQ"&amp;BP17)+INDIRECT("'盛付札（関数）'!CQ"&amp;BP17+1),""),
IF(BQ18="〇",
INDIRECT("'盛付札（関数）'!CQ"&amp;BP17+1),INDIRECT("'盛付札（関数）'!CQ"&amp;BP17)))),"")</f>
        <v/>
      </c>
      <c r="BV20" s="126"/>
    </row>
    <row r="21" spans="1:75" ht="15.6" customHeight="1" x14ac:dyDescent="0.45">
      <c r="A21" s="58"/>
      <c r="B21" s="59"/>
      <c r="C21" s="122"/>
      <c r="D21" s="122"/>
      <c r="E21" s="81"/>
      <c r="F21" s="127"/>
      <c r="G21" s="128"/>
      <c r="H21" s="58"/>
      <c r="I21" s="59"/>
      <c r="J21" s="122"/>
      <c r="K21" s="122"/>
      <c r="L21" s="81"/>
      <c r="M21" s="127"/>
      <c r="N21" s="128"/>
      <c r="P21" s="58"/>
      <c r="Q21" s="59"/>
      <c r="R21" s="122"/>
      <c r="S21" s="122"/>
      <c r="T21" s="81"/>
      <c r="U21" s="127"/>
      <c r="V21" s="128"/>
      <c r="W21" s="58"/>
      <c r="X21" s="59"/>
      <c r="Y21" s="122"/>
      <c r="Z21" s="122"/>
      <c r="AA21" s="81"/>
      <c r="AB21" s="127"/>
      <c r="AC21" s="128"/>
      <c r="AE21" s="58"/>
      <c r="AF21" s="59"/>
      <c r="AG21" s="122"/>
      <c r="AH21" s="122"/>
      <c r="AI21" s="81"/>
      <c r="AJ21" s="127"/>
      <c r="AK21" s="128"/>
      <c r="AL21" s="58"/>
      <c r="AM21" s="59"/>
      <c r="AN21" s="122"/>
      <c r="AO21" s="122"/>
      <c r="AP21" s="81"/>
      <c r="AQ21" s="127"/>
      <c r="AR21" s="128"/>
      <c r="AT21" s="58"/>
      <c r="AU21" s="59"/>
      <c r="AV21" s="122"/>
      <c r="AW21" s="122"/>
      <c r="AX21" s="81"/>
      <c r="AY21" s="127"/>
      <c r="AZ21" s="128"/>
      <c r="BA21" s="58"/>
      <c r="BB21" s="59"/>
      <c r="BC21" s="122"/>
      <c r="BD21" s="122"/>
      <c r="BE21" s="81"/>
      <c r="BF21" s="127"/>
      <c r="BG21" s="128"/>
      <c r="BI21" s="58"/>
      <c r="BJ21" s="59"/>
      <c r="BK21" s="122"/>
      <c r="BL21" s="122"/>
      <c r="BM21" s="81"/>
      <c r="BN21" s="127"/>
      <c r="BO21" s="128"/>
      <c r="BP21" s="58"/>
      <c r="BQ21" s="59"/>
      <c r="BR21" s="122"/>
      <c r="BS21" s="122"/>
      <c r="BT21" s="81"/>
      <c r="BU21" s="127"/>
      <c r="BV21" s="128"/>
    </row>
    <row r="22" spans="1:75" s="68" customFormat="1" x14ac:dyDescent="0.55000000000000004">
      <c r="A22" s="53"/>
      <c r="B22" s="74" t="str" cm="1">
        <f t="array" aca="1" ref="B22" ca="1">IF(C17&lt;&gt;"",
IF(OR(INDIRECT("'盛付札（関数）'!CK"&amp;A17)=121,INDIRECT("'盛付札（関数）'!CK"&amp;A17)=122,INDIRECT("'盛付札（関数）'!CK"&amp;A17)=123,INDIRECT("'盛付札（関数）'!CK"&amp;A17)=124),"",
"パン箱"),"")</f>
        <v/>
      </c>
      <c r="C22" s="72" t="str" cm="1">
        <f t="array" aca="1" ref="C22" ca="1">IF(C17&lt;&gt;"",
IF(OR(INDIRECT("'盛付札（関数）'!CK"&amp;A17)=121,INDIRECT("'盛付札（関数）'!CK"&amp;A17)=122,INDIRECT("'盛付札（関数）'!CK"&amp;A17)=123,INDIRECT("'盛付札（関数）'!CK"&amp;A17)=124),"",
IF(B18="〇",
INDIRECT("'盛付札（関数）'!CR"&amp;A17+1),INDIRECT("'盛付札（関数）'!CR"&amp;A17))),"")</f>
        <v/>
      </c>
      <c r="D22" s="74" t="str" cm="1">
        <f t="array" aca="1" ref="D22" ca="1">IF(C17&lt;&gt;"",
IF(OR(INDIRECT("'盛付札（関数）'!CK"&amp;A17)=121,INDIRECT("'盛付札（関数）'!CK"&amp;A17)=122,INDIRECT("'盛付札（関数）'!CK"&amp;A17)=123,INDIRECT("'盛付札（関数）'!CK"&amp;A17)=124),"",
"端数"),"")</f>
        <v/>
      </c>
      <c r="E22" s="72"/>
      <c r="F22" s="74" t="str" cm="1">
        <f t="array" aca="1" ref="F22" ca="1">IF(C17&lt;&gt;"",
IF(OR(INDIRECT("'盛付札（関数）'!CK"&amp;A17)=121,INDIRECT("'盛付札（関数）'!CK"&amp;A17)=122,INDIRECT("'盛付札（関数）'!CK"&amp;A17)=123,INDIRECT("'盛付札（関数）'!CK"&amp;A17)=124),"",
"アレルギー"),"")</f>
        <v/>
      </c>
      <c r="G22" s="77"/>
      <c r="H22" s="53"/>
      <c r="I22" s="74" t="str" cm="1">
        <f t="array" aca="1" ref="I22" ca="1">IF(J17&lt;&gt;"",
IF(OR(INDIRECT("'盛付札（関数）'!CK"&amp;H17)=121,INDIRECT("'盛付札（関数）'!CK"&amp;H17)=122,INDIRECT("'盛付札（関数）'!CK"&amp;H17)=123,INDIRECT("'盛付札（関数）'!CK"&amp;H17)=124),"",
"パン箱"),"")</f>
        <v/>
      </c>
      <c r="J22" s="72" t="str" cm="1">
        <f t="array" aca="1" ref="J22" ca="1">IF(J17&lt;&gt;"",
IF(OR(INDIRECT("'盛付札（関数）'!CK"&amp;H17)=121,INDIRECT("'盛付札（関数）'!CK"&amp;H17)=122,INDIRECT("'盛付札（関数）'!CK"&amp;H17)=123,INDIRECT("'盛付札（関数）'!CK"&amp;H17)=124),"",
IF(I18="〇",
INDIRECT("'盛付札（関数）'!CR"&amp;H17+1),INDIRECT("'盛付札（関数）'!CR"&amp;H17))),"")</f>
        <v/>
      </c>
      <c r="K22" s="74" t="str" cm="1">
        <f t="array" aca="1" ref="K22" ca="1">IF(J17&lt;&gt;"",
IF(OR(INDIRECT("'盛付札（関数）'!CK"&amp;H17)=121,INDIRECT("'盛付札（関数）'!CK"&amp;H17)=122,INDIRECT("'盛付札（関数）'!CK"&amp;H17)=123,INDIRECT("'盛付札（関数）'!CK"&amp;H17)=124),"",
"端数"),"")</f>
        <v/>
      </c>
      <c r="L22" s="72"/>
      <c r="M22" s="74" t="str" cm="1">
        <f t="array" aca="1" ref="M22" ca="1">IF(J17&lt;&gt;"",
IF(OR(INDIRECT("'盛付札（関数）'!CK"&amp;H17)=121,INDIRECT("'盛付札（関数）'!CK"&amp;H17)=122,INDIRECT("'盛付札（関数）'!CK"&amp;H17)=123,INDIRECT("'盛付札（関数）'!CK"&amp;H17)=124),"",
"アレルギー"),"")</f>
        <v/>
      </c>
      <c r="N22" s="77"/>
      <c r="O22" s="53"/>
      <c r="P22" s="53"/>
      <c r="Q22" s="74" t="str" cm="1">
        <f t="array" aca="1" ref="Q22" ca="1">IF(R17&lt;&gt;"",
IF(OR(INDIRECT("'盛付札（関数）'!CK"&amp;P17)=121,INDIRECT("'盛付札（関数）'!CK"&amp;P17)=122,INDIRECT("'盛付札（関数）'!CK"&amp;P17)=123,INDIRECT("'盛付札（関数）'!CK"&amp;P17)=124),"",
"パン箱"),"")</f>
        <v/>
      </c>
      <c r="R22" s="72" t="str" cm="1">
        <f t="array" aca="1" ref="R22" ca="1">IF(R17&lt;&gt;"",
IF(OR(INDIRECT("'盛付札（関数）'!CK"&amp;P17)=121,INDIRECT("'盛付札（関数）'!CK"&amp;P17)=122,INDIRECT("'盛付札（関数）'!CK"&amp;P17)=123,INDIRECT("'盛付札（関数）'!CK"&amp;P17)=124),"",
IF(Q18="〇",
INDIRECT("'盛付札（関数）'!CR"&amp;P17+1),INDIRECT("'盛付札（関数）'!CR"&amp;P17))),"")</f>
        <v/>
      </c>
      <c r="S22" s="74" t="str" cm="1">
        <f t="array" aca="1" ref="S22" ca="1">IF(R17&lt;&gt;"",
IF(OR(INDIRECT("'盛付札（関数）'!CK"&amp;P17)=121,INDIRECT("'盛付札（関数）'!CK"&amp;P17)=122,INDIRECT("'盛付札（関数）'!CK"&amp;P17)=123,INDIRECT("'盛付札（関数）'!CK"&amp;P17)=124),"",
"端数"),"")</f>
        <v/>
      </c>
      <c r="T22" s="72"/>
      <c r="U22" s="74" t="str" cm="1">
        <f t="array" aca="1" ref="U22" ca="1">IF(R17&lt;&gt;"",
IF(OR(INDIRECT("'盛付札（関数）'!CK"&amp;P17)=121,INDIRECT("'盛付札（関数）'!CK"&amp;P17)=122,INDIRECT("'盛付札（関数）'!CK"&amp;P17)=123,INDIRECT("'盛付札（関数）'!CK"&amp;P17)=124),"",
"アレルギー"),"")</f>
        <v/>
      </c>
      <c r="V22" s="77"/>
      <c r="W22" s="53"/>
      <c r="X22" s="74" t="str" cm="1">
        <f t="array" aca="1" ref="X22" ca="1">IF(Y17&lt;&gt;"",
IF(OR(INDIRECT("'盛付札（関数）'!CK"&amp;W17)=121,INDIRECT("'盛付札（関数）'!CK"&amp;W17)=122,INDIRECT("'盛付札（関数）'!CK"&amp;W17)=123,INDIRECT("'盛付札（関数）'!CK"&amp;W17)=124),"",
"パン箱"),"")</f>
        <v/>
      </c>
      <c r="Y22" s="72" t="str" cm="1">
        <f t="array" aca="1" ref="Y22" ca="1">IF(Y17&lt;&gt;"",
IF(OR(INDIRECT("'盛付札（関数）'!CK"&amp;W17)=121,INDIRECT("'盛付札（関数）'!CK"&amp;W17)=122,INDIRECT("'盛付札（関数）'!CK"&amp;W17)=123,INDIRECT("'盛付札（関数）'!CK"&amp;W17)=124),"",
IF(X18="〇",
INDIRECT("'盛付札（関数）'!CR"&amp;W17+1),INDIRECT("'盛付札（関数）'!CR"&amp;W17))),"")</f>
        <v/>
      </c>
      <c r="Z22" s="74" t="str" cm="1">
        <f t="array" aca="1" ref="Z22" ca="1">IF(Y17&lt;&gt;"",
IF(OR(INDIRECT("'盛付札（関数）'!CK"&amp;W17)=121,INDIRECT("'盛付札（関数）'!CK"&amp;W17)=122,INDIRECT("'盛付札（関数）'!CK"&amp;W17)=123,INDIRECT("'盛付札（関数）'!CK"&amp;W17)=124),"",
"端数"),"")</f>
        <v/>
      </c>
      <c r="AA22" s="72"/>
      <c r="AB22" s="74" t="str" cm="1">
        <f t="array" aca="1" ref="AB22" ca="1">IF(Y17&lt;&gt;"",
IF(OR(INDIRECT("'盛付札（関数）'!CK"&amp;W17)=121,INDIRECT("'盛付札（関数）'!CK"&amp;W17)=122,INDIRECT("'盛付札（関数）'!CK"&amp;W17)=123,INDIRECT("'盛付札（関数）'!CK"&amp;W17)=124),"",
"アレルギー"),"")</f>
        <v/>
      </c>
      <c r="AC22" s="77"/>
      <c r="AD22" s="53"/>
      <c r="AE22" s="53"/>
      <c r="AF22" s="74" t="str" cm="1">
        <f t="array" aca="1" ref="AF22" ca="1">IF(AG17&lt;&gt;"",
IF(OR(INDIRECT("'盛付札（関数）'!CK"&amp;AE17)=121,INDIRECT("'盛付札（関数）'!CK"&amp;AE17)=122,INDIRECT("'盛付札（関数）'!CK"&amp;AE17)=123,INDIRECT("'盛付札（関数）'!CK"&amp;AE17)=124),"",
"パン箱"),"")</f>
        <v/>
      </c>
      <c r="AG22" s="72" t="str" cm="1">
        <f t="array" aca="1" ref="AG22" ca="1">IF(AG17&lt;&gt;"",
IF(OR(INDIRECT("'盛付札（関数）'!CK"&amp;AE17)=121,INDIRECT("'盛付札（関数）'!CK"&amp;AE17)=122,INDIRECT("'盛付札（関数）'!CK"&amp;AE17)=123,INDIRECT("'盛付札（関数）'!CK"&amp;AE17)=124),"",
IF(AF18="〇",
INDIRECT("'盛付札（関数）'!CR"&amp;AE17+1),INDIRECT("'盛付札（関数）'!CR"&amp;AE17))),"")</f>
        <v/>
      </c>
      <c r="AH22" s="74" t="str" cm="1">
        <f t="array" aca="1" ref="AH22" ca="1">IF(AG17&lt;&gt;"",
IF(OR(INDIRECT("'盛付札（関数）'!CK"&amp;AE17)=121,INDIRECT("'盛付札（関数）'!CK"&amp;AE17)=122,INDIRECT("'盛付札（関数）'!CK"&amp;AE17)=123,INDIRECT("'盛付札（関数）'!CK"&amp;AE17)=124),"",
"端数"),"")</f>
        <v/>
      </c>
      <c r="AI22" s="72"/>
      <c r="AJ22" s="74" t="str" cm="1">
        <f t="array" aca="1" ref="AJ22" ca="1">IF(AG17&lt;&gt;"",
IF(OR(INDIRECT("'盛付札（関数）'!CK"&amp;AE17)=121,INDIRECT("'盛付札（関数）'!CK"&amp;AE17)=122,INDIRECT("'盛付札（関数）'!CK"&amp;AE17)=123,INDIRECT("'盛付札（関数）'!CK"&amp;AE17)=124),"",
"アレルギー"),"")</f>
        <v/>
      </c>
      <c r="AK22" s="77"/>
      <c r="AL22" s="53"/>
      <c r="AM22" s="74" t="str" cm="1">
        <f t="array" aca="1" ref="AM22" ca="1">IF(AN17&lt;&gt;"",
IF(OR(INDIRECT("'盛付札（関数）'!CK"&amp;AL17)=121,INDIRECT("'盛付札（関数）'!CK"&amp;AL17)=122,INDIRECT("'盛付札（関数）'!CK"&amp;AL17)=123,INDIRECT("'盛付札（関数）'!CK"&amp;AL17)=124),"",
"パン箱"),"")</f>
        <v/>
      </c>
      <c r="AN22" s="72" t="str" cm="1">
        <f t="array" aca="1" ref="AN22" ca="1">IF(AN17&lt;&gt;"",
IF(OR(INDIRECT("'盛付札（関数）'!CK"&amp;AL17)=121,INDIRECT("'盛付札（関数）'!CK"&amp;AL17)=122,INDIRECT("'盛付札（関数）'!CK"&amp;AL17)=123,INDIRECT("'盛付札（関数）'!CK"&amp;AL17)=124),"",
IF(AM18="〇",
INDIRECT("'盛付札（関数）'!CR"&amp;AL17+1),INDIRECT("'盛付札（関数）'!CR"&amp;AL17))),"")</f>
        <v/>
      </c>
      <c r="AO22" s="74" t="str" cm="1">
        <f t="array" aca="1" ref="AO22" ca="1">IF(AN17&lt;&gt;"",
IF(OR(INDIRECT("'盛付札（関数）'!CK"&amp;AL17)=121,INDIRECT("'盛付札（関数）'!CK"&amp;AL17)=122,INDIRECT("'盛付札（関数）'!CK"&amp;AL17)=123,INDIRECT("'盛付札（関数）'!CK"&amp;AL17)=124),"",
"端数"),"")</f>
        <v/>
      </c>
      <c r="AP22" s="72"/>
      <c r="AQ22" s="74" t="str" cm="1">
        <f t="array" aca="1" ref="AQ22" ca="1">IF(AN17&lt;&gt;"",
IF(OR(INDIRECT("'盛付札（関数）'!CK"&amp;AL17)=121,INDIRECT("'盛付札（関数）'!CK"&amp;AL17)=122,INDIRECT("'盛付札（関数）'!CK"&amp;AL17)=123,INDIRECT("'盛付札（関数）'!CK"&amp;AL17)=124),"",
"アレルギー"),"")</f>
        <v/>
      </c>
      <c r="AR22" s="77"/>
      <c r="AS22" s="53"/>
      <c r="AT22" s="53"/>
      <c r="AU22" s="74" t="str" cm="1">
        <f t="array" aca="1" ref="AU22" ca="1">IF(AV17&lt;&gt;"",
IF(OR(INDIRECT("'盛付札（関数）'!CK"&amp;AT17)=121,INDIRECT("'盛付札（関数）'!CK"&amp;AT17)=122,INDIRECT("'盛付札（関数）'!CK"&amp;AT17)=123,INDIRECT("'盛付札（関数）'!CK"&amp;AT17)=124),"",
"パン箱"),"")</f>
        <v/>
      </c>
      <c r="AV22" s="72" t="str" cm="1">
        <f t="array" aca="1" ref="AV22" ca="1">IF(AV17&lt;&gt;"",
IF(OR(INDIRECT("'盛付札（関数）'!CK"&amp;AT17)=121,INDIRECT("'盛付札（関数）'!CK"&amp;AT17)=122,INDIRECT("'盛付札（関数）'!CK"&amp;AT17)=123,INDIRECT("'盛付札（関数）'!CK"&amp;AT17)=124),"",
IF(AU18="〇",
INDIRECT("'盛付札（関数）'!CR"&amp;AT17+1),INDIRECT("'盛付札（関数）'!CR"&amp;AT17))),"")</f>
        <v/>
      </c>
      <c r="AW22" s="74" t="str" cm="1">
        <f t="array" aca="1" ref="AW22" ca="1">IF(AV17&lt;&gt;"",
IF(OR(INDIRECT("'盛付札（関数）'!CK"&amp;AT17)=121,INDIRECT("'盛付札（関数）'!CK"&amp;AT17)=122,INDIRECT("'盛付札（関数）'!CK"&amp;AT17)=123,INDIRECT("'盛付札（関数）'!CK"&amp;AT17)=124),"",
"端数"),"")</f>
        <v/>
      </c>
      <c r="AX22" s="72"/>
      <c r="AY22" s="74" t="str" cm="1">
        <f t="array" aca="1" ref="AY22" ca="1">IF(AV17&lt;&gt;"",
IF(OR(INDIRECT("'盛付札（関数）'!CK"&amp;AT17)=121,INDIRECT("'盛付札（関数）'!CK"&amp;AT17)=122,INDIRECT("'盛付札（関数）'!CK"&amp;AT17)=123,INDIRECT("'盛付札（関数）'!CK"&amp;AT17)=124),"",
"アレルギー"),"")</f>
        <v/>
      </c>
      <c r="AZ22" s="77"/>
      <c r="BA22" s="53"/>
      <c r="BB22" s="74" t="str" cm="1">
        <f t="array" aca="1" ref="BB22" ca="1">IF(BC17&lt;&gt;"",
IF(OR(INDIRECT("'盛付札（関数）'!CK"&amp;BA17)=121,INDIRECT("'盛付札（関数）'!CK"&amp;BA17)=122,INDIRECT("'盛付札（関数）'!CK"&amp;BA17)=123,INDIRECT("'盛付札（関数）'!CK"&amp;BA17)=124),"",
"パン箱"),"")</f>
        <v/>
      </c>
      <c r="BC22" s="72" t="str" cm="1">
        <f t="array" aca="1" ref="BC22" ca="1">IF(BC17&lt;&gt;"",
IF(OR(INDIRECT("'盛付札（関数）'!CK"&amp;BA17)=121,INDIRECT("'盛付札（関数）'!CK"&amp;BA17)=122,INDIRECT("'盛付札（関数）'!CK"&amp;BA17)=123,INDIRECT("'盛付札（関数）'!CK"&amp;BA17)=124),"",
IF(BB18="〇",
INDIRECT("'盛付札（関数）'!CR"&amp;BA17+1),INDIRECT("'盛付札（関数）'!CR"&amp;BA17))),"")</f>
        <v/>
      </c>
      <c r="BD22" s="74" t="str" cm="1">
        <f t="array" aca="1" ref="BD22" ca="1">IF(BC17&lt;&gt;"",
IF(OR(INDIRECT("'盛付札（関数）'!CK"&amp;BA17)=121,INDIRECT("'盛付札（関数）'!CK"&amp;BA17)=122,INDIRECT("'盛付札（関数）'!CK"&amp;BA17)=123,INDIRECT("'盛付札（関数）'!CK"&amp;BA17)=124),"",
"端数"),"")</f>
        <v/>
      </c>
      <c r="BE22" s="72"/>
      <c r="BF22" s="74" t="str" cm="1">
        <f t="array" aca="1" ref="BF22" ca="1">IF(BC17&lt;&gt;"",
IF(OR(INDIRECT("'盛付札（関数）'!CK"&amp;BA17)=121,INDIRECT("'盛付札（関数）'!CK"&amp;BA17)=122,INDIRECT("'盛付札（関数）'!CK"&amp;BA17)=123,INDIRECT("'盛付札（関数）'!CK"&amp;BA17)=124),"",
"アレルギー"),"")</f>
        <v/>
      </c>
      <c r="BG22" s="77"/>
      <c r="BH22" s="53"/>
      <c r="BI22" s="53"/>
      <c r="BJ22" s="74" t="str" cm="1">
        <f t="array" aca="1" ref="BJ22" ca="1">IF(BK17&lt;&gt;"",
IF(OR(INDIRECT("'盛付札（関数）'!CK"&amp;BI17)=121,INDIRECT("'盛付札（関数）'!CK"&amp;BI17)=122,INDIRECT("'盛付札（関数）'!CK"&amp;BI17)=123,INDIRECT("'盛付札（関数）'!CK"&amp;BI17)=124),"",
"パン箱"),"")</f>
        <v/>
      </c>
      <c r="BK22" s="72" t="str" cm="1">
        <f t="array" aca="1" ref="BK22" ca="1">IF(BK17&lt;&gt;"",
IF(OR(INDIRECT("'盛付札（関数）'!CK"&amp;BI17)=121,INDIRECT("'盛付札（関数）'!CK"&amp;BI17)=122,INDIRECT("'盛付札（関数）'!CK"&amp;BI17)=123,INDIRECT("'盛付札（関数）'!CK"&amp;BI17)=124),"",
IF(BJ18="〇",
INDIRECT("'盛付札（関数）'!CR"&amp;BI17+1),INDIRECT("'盛付札（関数）'!CR"&amp;BI17))),"")</f>
        <v/>
      </c>
      <c r="BL22" s="74" t="str" cm="1">
        <f t="array" aca="1" ref="BL22" ca="1">IF(BK17&lt;&gt;"",
IF(OR(INDIRECT("'盛付札（関数）'!CK"&amp;BI17)=121,INDIRECT("'盛付札（関数）'!CK"&amp;BI17)=122,INDIRECT("'盛付札（関数）'!CK"&amp;BI17)=123,INDIRECT("'盛付札（関数）'!CK"&amp;BI17)=124),"",
"端数"),"")</f>
        <v/>
      </c>
      <c r="BM22" s="72"/>
      <c r="BN22" s="74" t="str" cm="1">
        <f t="array" aca="1" ref="BN22" ca="1">IF(BK17&lt;&gt;"",
IF(OR(INDIRECT("'盛付札（関数）'!CK"&amp;BI17)=121,INDIRECT("'盛付札（関数）'!CK"&amp;BI17)=122,INDIRECT("'盛付札（関数）'!CK"&amp;BI17)=123,INDIRECT("'盛付札（関数）'!CK"&amp;BI17)=124),"",
"アレルギー"),"")</f>
        <v/>
      </c>
      <c r="BO22" s="77"/>
      <c r="BP22" s="53"/>
      <c r="BQ22" s="74" t="str" cm="1">
        <f t="array" aca="1" ref="BQ22" ca="1">IF(BR17&lt;&gt;"",
IF(OR(INDIRECT("'盛付札（関数）'!CK"&amp;BP17)=121,INDIRECT("'盛付札（関数）'!CK"&amp;BP17)=122,INDIRECT("'盛付札（関数）'!CK"&amp;BP17)=123,INDIRECT("'盛付札（関数）'!CK"&amp;BP17)=124),"",
"パン箱"),"")</f>
        <v/>
      </c>
      <c r="BR22" s="72" t="str" cm="1">
        <f t="array" aca="1" ref="BR22" ca="1">IF(BR17&lt;&gt;"",
IF(OR(INDIRECT("'盛付札（関数）'!CK"&amp;BP17)=121,INDIRECT("'盛付札（関数）'!CK"&amp;BP17)=122,INDIRECT("'盛付札（関数）'!CK"&amp;BP17)=123,INDIRECT("'盛付札（関数）'!CK"&amp;BP17)=124),"",
IF(BQ18="〇",
INDIRECT("'盛付札（関数）'!CR"&amp;BP17+1),INDIRECT("'盛付札（関数）'!CR"&amp;BP17))),"")</f>
        <v/>
      </c>
      <c r="BS22" s="74" t="str" cm="1">
        <f t="array" aca="1" ref="BS22" ca="1">IF(BR17&lt;&gt;"",
IF(OR(INDIRECT("'盛付札（関数）'!CK"&amp;BP17)=121,INDIRECT("'盛付札（関数）'!CK"&amp;BP17)=122,INDIRECT("'盛付札（関数）'!CK"&amp;BP17)=123,INDIRECT("'盛付札（関数）'!CK"&amp;BP17)=124),"",
"端数"),"")</f>
        <v/>
      </c>
      <c r="BT22" s="72"/>
      <c r="BU22" s="74" t="str" cm="1">
        <f t="array" aca="1" ref="BU22" ca="1">IF(BR17&lt;&gt;"",
IF(OR(INDIRECT("'盛付札（関数）'!CK"&amp;BP17)=121,INDIRECT("'盛付札（関数）'!CK"&amp;BP17)=122,INDIRECT("'盛付札（関数）'!CK"&amp;BP17)=123,INDIRECT("'盛付札（関数）'!CK"&amp;BP17)=124),"",
"アレルギー"),"")</f>
        <v/>
      </c>
      <c r="BV22" s="77"/>
      <c r="BW22" s="53"/>
    </row>
    <row r="23" spans="1:75" ht="27.6" customHeight="1" x14ac:dyDescent="0.45">
      <c r="B23" s="124" t="str">
        <f ca="1">IF(C20&lt;&gt;"",
IFERROR(INT(C20/C22),""),"")</f>
        <v/>
      </c>
      <c r="C23" s="119"/>
      <c r="D23" s="124" t="str">
        <f ca="1">IFERROR(MOD(C20,C22),"")</f>
        <v/>
      </c>
      <c r="E23" s="119"/>
      <c r="F23" s="118" t="str" cm="1">
        <f t="array" aca="1" ref="F23" ca="1">IF(C17&lt;&gt;"",
IF(OR(INDIRECT("'盛付札（関数）'!CK"&amp;A17)=121,INDIRECT("'盛付札（関数）'!CK"&amp;A17)=122,INDIRECT("'盛付札（関数）'!CK"&amp;A17)=123,INDIRECT("'盛付札（関数）'!CK"&amp;A17)=124),"",
IF(B18="●",
IFERROR(INDIRECT("'盛付札（関数）'!CU"&amp;A17)+INDIRECT("'盛付札（関数）'!CU"&amp;A17+1),0),
IF(B18="〇",
INDIRECT("'盛付札（関数）'!CU"&amp;A17+1),INDIRECT("'盛付札（関数）'!CU"&amp;A17)))),"")</f>
        <v/>
      </c>
      <c r="G23" s="119"/>
      <c r="I23" s="124" t="str">
        <f ca="1">IF(J20&lt;&gt;"",
IFERROR(INT(J20/J22),""),"")</f>
        <v/>
      </c>
      <c r="J23" s="119"/>
      <c r="K23" s="124" t="str">
        <f ca="1">IFERROR(MOD(J20,J22),"")</f>
        <v/>
      </c>
      <c r="L23" s="119"/>
      <c r="M23" s="118" t="str" cm="1">
        <f t="array" aca="1" ref="M23" ca="1">IF(J17&lt;&gt;"",
IF(OR(INDIRECT("'盛付札（関数）'!CK"&amp;H17)=121,INDIRECT("'盛付札（関数）'!CK"&amp;H17)=122,INDIRECT("'盛付札（関数）'!CK"&amp;H17)=123,INDIRECT("'盛付札（関数）'!CK"&amp;H17)=124),"",
IF(I18="●",
IFERROR(INDIRECT("'盛付札（関数）'!CU"&amp;H17)+INDIRECT("'盛付札（関数）'!CU"&amp;H17+1),0),
IF(I18="〇",
INDIRECT("'盛付札（関数）'!CU"&amp;H17+1),INDIRECT("'盛付札（関数）'!CU"&amp;H17)))),"")</f>
        <v/>
      </c>
      <c r="N23" s="119"/>
      <c r="Q23" s="124" t="str">
        <f ca="1">IF(R20&lt;&gt;"",
IFERROR(INT(R20/R22),""),"")</f>
        <v/>
      </c>
      <c r="R23" s="119"/>
      <c r="S23" s="124" t="str">
        <f ca="1">IFERROR(MOD(R20,R22),"")</f>
        <v/>
      </c>
      <c r="T23" s="119"/>
      <c r="U23" s="118" t="str" cm="1">
        <f t="array" aca="1" ref="U23" ca="1">IF(R17&lt;&gt;"",
IF(OR(INDIRECT("'盛付札（関数）'!CK"&amp;P17)=121,INDIRECT("'盛付札（関数）'!CK"&amp;P17)=122,INDIRECT("'盛付札（関数）'!CK"&amp;P17)=123,INDIRECT("'盛付札（関数）'!CK"&amp;P17)=124),"",
IF(Q18="●",
IFERROR(INDIRECT("'盛付札（関数）'!CU"&amp;P17)+INDIRECT("'盛付札（関数）'!CU"&amp;P17+1),0),
IF(Q18="〇",
INDIRECT("'盛付札（関数）'!CU"&amp;P17+1),INDIRECT("'盛付札（関数）'!CU"&amp;P17)))),"")</f>
        <v/>
      </c>
      <c r="V23" s="119"/>
      <c r="X23" s="124" t="str">
        <f ca="1">IF(Y20&lt;&gt;"",
IFERROR(INT(Y20/Y22),""),"")</f>
        <v/>
      </c>
      <c r="Y23" s="119"/>
      <c r="Z23" s="124" t="str">
        <f ca="1">IFERROR(MOD(Y20,Y22),"")</f>
        <v/>
      </c>
      <c r="AA23" s="119"/>
      <c r="AB23" s="118" t="str" cm="1">
        <f t="array" aca="1" ref="AB23" ca="1">IF(Y17&lt;&gt;"",
IF(OR(INDIRECT("'盛付札（関数）'!CK"&amp;W17)=121,INDIRECT("'盛付札（関数）'!CK"&amp;W17)=122,INDIRECT("'盛付札（関数）'!CK"&amp;W17)=123,INDIRECT("'盛付札（関数）'!CK"&amp;W17)=124),"",
IF(X18="●",
IFERROR(INDIRECT("'盛付札（関数）'!CU"&amp;W17)+INDIRECT("'盛付札（関数）'!CU"&amp;W17+1),0),
IF(X18="〇",
INDIRECT("'盛付札（関数）'!CU"&amp;W17+1),INDIRECT("'盛付札（関数）'!CU"&amp;W17)))),"")</f>
        <v/>
      </c>
      <c r="AC23" s="119"/>
      <c r="AF23" s="124" t="str">
        <f ca="1">IF(AG20&lt;&gt;"",
IFERROR(INT(AG20/AG22),""),"")</f>
        <v/>
      </c>
      <c r="AG23" s="119"/>
      <c r="AH23" s="124" t="str">
        <f ca="1">IFERROR(MOD(AG20,AG22),"")</f>
        <v/>
      </c>
      <c r="AI23" s="119"/>
      <c r="AJ23" s="118" t="str" cm="1">
        <f t="array" aca="1" ref="AJ23" ca="1">IF(AG17&lt;&gt;"",
IF(OR(INDIRECT("'盛付札（関数）'!CK"&amp;AE17)=121,INDIRECT("'盛付札（関数）'!CK"&amp;AE17)=122,INDIRECT("'盛付札（関数）'!CK"&amp;AE17)=123,INDIRECT("'盛付札（関数）'!CK"&amp;AE17)=124),"",
IF(AF18="●",
IFERROR(INDIRECT("'盛付札（関数）'!CU"&amp;AE17)+INDIRECT("'盛付札（関数）'!CU"&amp;AE17+1),0),
IF(AF18="〇",
INDIRECT("'盛付札（関数）'!CU"&amp;AE17+1),INDIRECT("'盛付札（関数）'!CU"&amp;AE17)))),"")</f>
        <v/>
      </c>
      <c r="AK23" s="119"/>
      <c r="AM23" s="124" t="str">
        <f ca="1">IF(AN20&lt;&gt;"",
IFERROR(INT(AN20/AN22),""),"")</f>
        <v/>
      </c>
      <c r="AN23" s="119"/>
      <c r="AO23" s="124" t="str">
        <f ca="1">IFERROR(MOD(AN20,AN22),"")</f>
        <v/>
      </c>
      <c r="AP23" s="119"/>
      <c r="AQ23" s="118" t="str" cm="1">
        <f t="array" aca="1" ref="AQ23" ca="1">IF(AN17&lt;&gt;"",
IF(OR(INDIRECT("'盛付札（関数）'!CK"&amp;AL17)=121,INDIRECT("'盛付札（関数）'!CK"&amp;AL17)=122,INDIRECT("'盛付札（関数）'!CK"&amp;AL17)=123,INDIRECT("'盛付札（関数）'!CK"&amp;AL17)=124),"",
IF(AM18="●",
IFERROR(INDIRECT("'盛付札（関数）'!CU"&amp;AL17)+INDIRECT("'盛付札（関数）'!CU"&amp;AL17+1),0),
IF(AM18="〇",
INDIRECT("'盛付札（関数）'!CU"&amp;AL17+1),INDIRECT("'盛付札（関数）'!CU"&amp;AL17)))),"")</f>
        <v/>
      </c>
      <c r="AR23" s="119"/>
      <c r="AU23" s="124" t="str">
        <f ca="1">IF(AV20&lt;&gt;"",
IFERROR(INT(AV20/AV22),""),"")</f>
        <v/>
      </c>
      <c r="AV23" s="119"/>
      <c r="AW23" s="124" t="str">
        <f ca="1">IFERROR(MOD(AV20,AV22),"")</f>
        <v/>
      </c>
      <c r="AX23" s="119"/>
      <c r="AY23" s="118" t="str" cm="1">
        <f t="array" aca="1" ref="AY23" ca="1">IF(AV17&lt;&gt;"",
IF(OR(INDIRECT("'盛付札（関数）'!CK"&amp;AT17)=121,INDIRECT("'盛付札（関数）'!CK"&amp;AT17)=122,INDIRECT("'盛付札（関数）'!CK"&amp;AT17)=123,INDIRECT("'盛付札（関数）'!CK"&amp;AT17)=124),"",
IF(AU18="●",
IFERROR(INDIRECT("'盛付札（関数）'!CU"&amp;AT17)+INDIRECT("'盛付札（関数）'!CU"&amp;AT17+1),0),
IF(AU18="〇",
INDIRECT("'盛付札（関数）'!CU"&amp;AT17+1),INDIRECT("'盛付札（関数）'!CU"&amp;AT17)))),"")</f>
        <v/>
      </c>
      <c r="AZ23" s="119"/>
      <c r="BB23" s="124" t="str">
        <f ca="1">IF(BC20&lt;&gt;"",
IFERROR(INT(BC20/BC22),""),"")</f>
        <v/>
      </c>
      <c r="BC23" s="119"/>
      <c r="BD23" s="124" t="str">
        <f ca="1">IFERROR(MOD(BC20,BC22),"")</f>
        <v/>
      </c>
      <c r="BE23" s="119"/>
      <c r="BF23" s="118" t="str" cm="1">
        <f t="array" aca="1" ref="BF23" ca="1">IF(BC17&lt;&gt;"",
IF(OR(INDIRECT("'盛付札（関数）'!CK"&amp;BA17)=121,INDIRECT("'盛付札（関数）'!CK"&amp;BA17)=122,INDIRECT("'盛付札（関数）'!CK"&amp;BA17)=123,INDIRECT("'盛付札（関数）'!CK"&amp;BA17)=124),"",
IF(BB18="●",
IFERROR(INDIRECT("'盛付札（関数）'!CU"&amp;BA17)+INDIRECT("'盛付札（関数）'!CU"&amp;BA17+1),0),
IF(BB18="〇",
INDIRECT("'盛付札（関数）'!CU"&amp;BA17+1),INDIRECT("'盛付札（関数）'!CU"&amp;BA17)))),"")</f>
        <v/>
      </c>
      <c r="BG23" s="119"/>
      <c r="BJ23" s="124" t="str">
        <f ca="1">IF(BK20&lt;&gt;"",
IFERROR(INT(BK20/BK22),""),"")</f>
        <v/>
      </c>
      <c r="BK23" s="119"/>
      <c r="BL23" s="124" t="str">
        <f ca="1">IFERROR(MOD(BK20,BK22),"")</f>
        <v/>
      </c>
      <c r="BM23" s="119"/>
      <c r="BN23" s="118" t="str" cm="1">
        <f t="array" aca="1" ref="BN23" ca="1">IF(BK17&lt;&gt;"",
IF(OR(INDIRECT("'盛付札（関数）'!CK"&amp;BI17)=121,INDIRECT("'盛付札（関数）'!CK"&amp;BI17)=122,INDIRECT("'盛付札（関数）'!CK"&amp;BI17)=123,INDIRECT("'盛付札（関数）'!CK"&amp;BI17)=124),"",
IF(BJ18="●",
IFERROR(INDIRECT("'盛付札（関数）'!CU"&amp;BI17)+INDIRECT("'盛付札（関数）'!CU"&amp;BI17+1),0),
IF(BJ18="〇",
INDIRECT("'盛付札（関数）'!CU"&amp;BI17+1),INDIRECT("'盛付札（関数）'!CU"&amp;BI17)))),"")</f>
        <v/>
      </c>
      <c r="BO23" s="119"/>
      <c r="BQ23" s="124" t="str">
        <f ca="1">IF(BR20&lt;&gt;"",
IFERROR(INT(BR20/BR22),""),"")</f>
        <v/>
      </c>
      <c r="BR23" s="119"/>
      <c r="BS23" s="124" t="str">
        <f ca="1">IFERROR(MOD(BR20,BR22),"")</f>
        <v/>
      </c>
      <c r="BT23" s="119"/>
      <c r="BU23" s="118" t="str" cm="1">
        <f t="array" aca="1" ref="BU23" ca="1">IF(BR17&lt;&gt;"",
IF(OR(INDIRECT("'盛付札（関数）'!CK"&amp;BP17)=121,INDIRECT("'盛付札（関数）'!CK"&amp;BP17)=122,INDIRECT("'盛付札（関数）'!CK"&amp;BP17)=123,INDIRECT("'盛付札（関数）'!CK"&amp;BP17)=124),"",
IF(BQ18="●",
IFERROR(INDIRECT("'盛付札（関数）'!CU"&amp;BP17)+INDIRECT("'盛付札（関数）'!CU"&amp;BP17+1),0),
IF(BQ18="〇",
INDIRECT("'盛付札（関数）'!CU"&amp;BP17+1),INDIRECT("'盛付札（関数）'!CU"&amp;BP17)))),"")</f>
        <v/>
      </c>
      <c r="BV23" s="119"/>
    </row>
    <row r="24" spans="1:75" ht="9.6" customHeight="1" x14ac:dyDescent="0.45">
      <c r="B24" s="82"/>
      <c r="D24" s="82"/>
      <c r="F24" s="83"/>
      <c r="G24" s="65"/>
      <c r="I24" s="82"/>
      <c r="K24" s="82"/>
      <c r="M24" s="83"/>
      <c r="N24" s="65"/>
      <c r="Q24" s="82"/>
      <c r="S24" s="82"/>
      <c r="U24" s="83"/>
      <c r="V24" s="65"/>
      <c r="X24" s="82"/>
      <c r="Z24" s="82"/>
      <c r="AB24" s="83"/>
      <c r="AC24" s="65"/>
      <c r="AF24" s="82"/>
      <c r="AH24" s="82"/>
      <c r="AJ24" s="83"/>
      <c r="AK24" s="65"/>
      <c r="AM24" s="82"/>
      <c r="AO24" s="82"/>
      <c r="AQ24" s="83"/>
      <c r="AR24" s="65"/>
      <c r="AU24" s="82"/>
      <c r="AW24" s="82"/>
      <c r="AY24" s="83"/>
      <c r="AZ24" s="65"/>
      <c r="BB24" s="82"/>
      <c r="BD24" s="82"/>
      <c r="BF24" s="83"/>
      <c r="BG24" s="65"/>
      <c r="BJ24" s="82"/>
      <c r="BL24" s="82"/>
      <c r="BN24" s="83"/>
      <c r="BO24" s="65"/>
      <c r="BQ24" s="82"/>
      <c r="BS24" s="82"/>
      <c r="BU24" s="83"/>
      <c r="BV24" s="65"/>
    </row>
    <row r="25" spans="1:75" s="68" customFormat="1" ht="25.8" customHeight="1" x14ac:dyDescent="0.55000000000000004">
      <c r="A25" s="67">
        <f ca="1">IF(COUNTIF(INDIRECT("'盛付札（関数）'!CL"&amp;H17+1),"*社食*"),
H17+2,H17+1)</f>
        <v>7</v>
      </c>
      <c r="B25" s="80" t="str">
        <f ca="1">IF(C25&lt;&gt;"",
MID(貼り付け用!$A$2, FIND("年",貼り付け用!$A$2)+1,2)&amp;"/"&amp;MID(貼り付け用!$A$2, FIND("月",貼り付け用!$A$2)+1,2),"")</f>
        <v/>
      </c>
      <c r="C25" s="164" t="str" cm="1">
        <f t="array" aca="1" ref="C25" ca="1">IF(B26="〇",
INDIRECT("'盛付札（関数）'!CL"&amp;A25+1),INDIRECT("'盛付札（関数）'!CL"&amp;A25))</f>
        <v/>
      </c>
      <c r="D25" s="165"/>
      <c r="E25" s="165"/>
      <c r="F25" s="165"/>
      <c r="G25" s="79" t="str">
        <f ca="1">IF(C25&lt;&gt;"","様","")</f>
        <v/>
      </c>
      <c r="H25" s="67">
        <f ca="1">IF(C25="配送",
A25+1,
IF(COUNTIF(INDIRECT("'盛付札（関数）'!CL"&amp;A25+1),"*社食*"),
A25+2,A25+1))</f>
        <v>8</v>
      </c>
      <c r="I25" s="80" t="str">
        <f ca="1">IF(J25&lt;&gt;"",
MID(貼り付け用!$A$2, FIND("年",貼り付け用!$A$2)+1,2)&amp;"/"&amp;MID(貼り付け用!$A$2, FIND("月",貼り付け用!$A$2)+1,2),"")</f>
        <v/>
      </c>
      <c r="J25" s="164" t="str" cm="1">
        <f t="array" aca="1" ref="J25" ca="1">IF(I26="〇",
INDIRECT("'盛付札（関数）'!CL"&amp;H25+1),INDIRECT("'盛付札（関数）'!CL"&amp;H25))</f>
        <v/>
      </c>
      <c r="K25" s="165"/>
      <c r="L25" s="165"/>
      <c r="M25" s="165"/>
      <c r="N25" s="79" t="str">
        <f ca="1">IF(J25&lt;&gt;"","様","")</f>
        <v/>
      </c>
      <c r="O25" s="53"/>
      <c r="P25" s="67">
        <f ca="1">IF(COUNTIF(INDIRECT("'盛付札（関数）'!CL"&amp;W17+1),"*社食*"),
W17+2,W17+1)</f>
        <v>19</v>
      </c>
      <c r="Q25" s="80" t="str">
        <f ca="1">IF(R25&lt;&gt;"",
MID(貼り付け用!$A$2, FIND("年",貼り付け用!$A$2)+1,2)&amp;"/"&amp;MID(貼り付け用!$A$2, FIND("月",貼り付け用!$A$2)+1,2),"")</f>
        <v/>
      </c>
      <c r="R25" s="164" t="str" cm="1">
        <f t="array" aca="1" ref="R25" ca="1">IF(Q26="〇",
INDIRECT("'盛付札（関数）'!CL"&amp;P25+1),INDIRECT("'盛付札（関数）'!CL"&amp;P25))</f>
        <v/>
      </c>
      <c r="S25" s="165"/>
      <c r="T25" s="165"/>
      <c r="U25" s="165"/>
      <c r="V25" s="79" t="str">
        <f ca="1">IF(R25&lt;&gt;"","様","")</f>
        <v/>
      </c>
      <c r="W25" s="67">
        <f ca="1">IF(R25="配送",
P25+1,
IF(COUNTIF(INDIRECT("'盛付札（関数）'!CL"&amp;P25+1),"*社食*"),
P25+2,P25+1))</f>
        <v>20</v>
      </c>
      <c r="X25" s="80" t="str">
        <f ca="1">IF(Y25&lt;&gt;"",
MID(貼り付け用!$A$2, FIND("年",貼り付け用!$A$2)+1,2)&amp;"/"&amp;MID(貼り付け用!$A$2, FIND("月",貼り付け用!$A$2)+1,2),"")</f>
        <v/>
      </c>
      <c r="Y25" s="164" t="str" cm="1">
        <f t="array" aca="1" ref="Y25" ca="1">IF(X26="〇",
INDIRECT("'盛付札（関数）'!CL"&amp;W25+1),INDIRECT("'盛付札（関数）'!CL"&amp;W25))</f>
        <v/>
      </c>
      <c r="Z25" s="165"/>
      <c r="AA25" s="165"/>
      <c r="AB25" s="165"/>
      <c r="AC25" s="79" t="str">
        <f ca="1">IF(Y25&lt;&gt;"","様","")</f>
        <v/>
      </c>
      <c r="AD25" s="53"/>
      <c r="AE25" s="67">
        <f ca="1">IF(COUNTIF(INDIRECT("'盛付札（関数）'!CL"&amp;AL17+1),"*社食*"),
AL17+2,AL17+1)</f>
        <v>31</v>
      </c>
      <c r="AF25" s="80" t="str">
        <f ca="1">IF(AG25&lt;&gt;"",
MID(貼り付け用!$A$2, FIND("年",貼り付け用!$A$2)+1,2)&amp;"/"&amp;MID(貼り付け用!$A$2, FIND("月",貼り付け用!$A$2)+1,2),"")</f>
        <v/>
      </c>
      <c r="AG25" s="164" t="str" cm="1">
        <f t="array" aca="1" ref="AG25" ca="1">IF(AF26="〇",
INDIRECT("'盛付札（関数）'!CL"&amp;AE25+1),INDIRECT("'盛付札（関数）'!CL"&amp;AE25))</f>
        <v/>
      </c>
      <c r="AH25" s="165"/>
      <c r="AI25" s="165"/>
      <c r="AJ25" s="165"/>
      <c r="AK25" s="79" t="str">
        <f ca="1">IF(AG25&lt;&gt;"","様","")</f>
        <v/>
      </c>
      <c r="AL25" s="67">
        <f ca="1">IF(AG25="配送",
AE25+1,
IF(COUNTIF(INDIRECT("'盛付札（関数）'!CL"&amp;AE25+1),"*社食*"),
AE25+2,AE25+1))</f>
        <v>32</v>
      </c>
      <c r="AM25" s="80" t="str">
        <f ca="1">IF(AN25&lt;&gt;"",
MID(貼り付け用!$A$2, FIND("年",貼り付け用!$A$2)+1,2)&amp;"/"&amp;MID(貼り付け用!$A$2, FIND("月",貼り付け用!$A$2)+1,2),"")</f>
        <v/>
      </c>
      <c r="AN25" s="164" t="str" cm="1">
        <f t="array" aca="1" ref="AN25" ca="1">IF(AM26="〇",
INDIRECT("'盛付札（関数）'!CL"&amp;AL25+1),INDIRECT("'盛付札（関数）'!CL"&amp;AL25))</f>
        <v/>
      </c>
      <c r="AO25" s="165"/>
      <c r="AP25" s="165"/>
      <c r="AQ25" s="165"/>
      <c r="AR25" s="79" t="str">
        <f ca="1">IF(AN25&lt;&gt;"","様","")</f>
        <v/>
      </c>
      <c r="AS25" s="53"/>
      <c r="AT25" s="67">
        <f ca="1">IF(COUNTIF(INDIRECT("'盛付札（関数）'!CL"&amp;BA17+1),"*社食*"),
BA17+2,BA17+1)</f>
        <v>43</v>
      </c>
      <c r="AU25" s="80" t="str">
        <f ca="1">IF(AV25&lt;&gt;"",
MID(貼り付け用!$A$2, FIND("年",貼り付け用!$A$2)+1,2)&amp;"/"&amp;MID(貼り付け用!$A$2, FIND("月",貼り付け用!$A$2)+1,2),"")</f>
        <v/>
      </c>
      <c r="AV25" s="164" t="str" cm="1">
        <f t="array" aca="1" ref="AV25" ca="1">IF(AU26="〇",
INDIRECT("'盛付札（関数）'!CL"&amp;AT25+1),INDIRECT("'盛付札（関数）'!CL"&amp;AT25))</f>
        <v/>
      </c>
      <c r="AW25" s="165"/>
      <c r="AX25" s="165"/>
      <c r="AY25" s="165"/>
      <c r="AZ25" s="79" t="str">
        <f ca="1">IF(AV25&lt;&gt;"","様","")</f>
        <v/>
      </c>
      <c r="BA25" s="67">
        <f ca="1">IF(AV25="配送",
AT25+1,
IF(COUNTIF(INDIRECT("'盛付札（関数）'!CL"&amp;AT25+1),"*社食*"),
AT25+2,AT25+1))</f>
        <v>44</v>
      </c>
      <c r="BB25" s="80" t="str">
        <f ca="1">IF(BC25&lt;&gt;"",
MID(貼り付け用!$A$2, FIND("年",貼り付け用!$A$2)+1,2)&amp;"/"&amp;MID(貼り付け用!$A$2, FIND("月",貼り付け用!$A$2)+1,2),"")</f>
        <v/>
      </c>
      <c r="BC25" s="164" t="str" cm="1">
        <f t="array" aca="1" ref="BC25" ca="1">IF(BB26="〇",
INDIRECT("'盛付札（関数）'!CL"&amp;BA25+1),INDIRECT("'盛付札（関数）'!CL"&amp;BA25))</f>
        <v/>
      </c>
      <c r="BD25" s="165"/>
      <c r="BE25" s="165"/>
      <c r="BF25" s="165"/>
      <c r="BG25" s="79" t="str">
        <f ca="1">IF(BC25&lt;&gt;"","様","")</f>
        <v/>
      </c>
      <c r="BH25" s="53"/>
      <c r="BI25" s="67">
        <f ca="1">IF(COUNTIF(INDIRECT("'盛付札（関数）'!CL"&amp;BP17+1),"*社食*"),
BP17+2,BP17+1)</f>
        <v>55</v>
      </c>
      <c r="BJ25" s="80" t="str">
        <f ca="1">IF(BK25&lt;&gt;"",
MID(貼り付け用!$A$2, FIND("年",貼り付け用!$A$2)+1,2)&amp;"/"&amp;MID(貼り付け用!$A$2, FIND("月",貼り付け用!$A$2)+1,2),"")</f>
        <v/>
      </c>
      <c r="BK25" s="164" t="str" cm="1">
        <f t="array" aca="1" ref="BK25" ca="1">IF(BJ26="〇",
INDIRECT("'盛付札（関数）'!CL"&amp;BI25+1),INDIRECT("'盛付札（関数）'!CL"&amp;BI25))</f>
        <v/>
      </c>
      <c r="BL25" s="165"/>
      <c r="BM25" s="165"/>
      <c r="BN25" s="165"/>
      <c r="BO25" s="79" t="str">
        <f ca="1">IF(BK25&lt;&gt;"","様","")</f>
        <v/>
      </c>
      <c r="BP25" s="67">
        <f ca="1">IF(BK25="配送",
BI25+1,
IF(COUNTIF(INDIRECT("'盛付札（関数）'!CL"&amp;BI25+1),"*社食*"),
BI25+2,BI25+1))</f>
        <v>56</v>
      </c>
      <c r="BQ25" s="80" t="str">
        <f ca="1">IF(BR25&lt;&gt;"",
MID(貼り付け用!$A$2, FIND("年",貼り付け用!$A$2)+1,2)&amp;"/"&amp;MID(貼り付け用!$A$2, FIND("月",貼り付け用!$A$2)+1,2),"")</f>
        <v/>
      </c>
      <c r="BR25" s="164" t="str" cm="1">
        <f t="array" aca="1" ref="BR25" ca="1">IF(BQ26="〇",
INDIRECT("'盛付札（関数）'!CL"&amp;BP25+1),INDIRECT("'盛付札（関数）'!CL"&amp;BP25))</f>
        <v/>
      </c>
      <c r="BS25" s="165"/>
      <c r="BT25" s="165"/>
      <c r="BU25" s="165"/>
      <c r="BV25" s="79" t="str">
        <f ca="1">IF(BR25&lt;&gt;"","様","")</f>
        <v/>
      </c>
      <c r="BW25" s="53"/>
    </row>
    <row r="26" spans="1:75" s="68" customFormat="1" x14ac:dyDescent="0.55000000000000004">
      <c r="A26" s="67"/>
      <c r="B26" s="69" t="str">
        <f ca="1">IF(COUNTIF(INDIRECT("'盛付札（関数）'!CL"&amp;A25),"*雙葉*"),
IF(COUNTIF(INDIRECT("'盛付札（関数）'!CL"&amp;H17),"*雙葉*"),"〇",
IF(COUNTIF(INDIRECT("'盛付札（関数）'!CL"&amp;H25),"*雙葉*"),"●","")),"")</f>
        <v/>
      </c>
      <c r="C26" s="84" t="str" cm="1">
        <f t="array" aca="1" ref="C26" ca="1">IF(OR(INDIRECT("'盛付札（関数）'!CK"&amp;A25)=121,INDIRECT("'盛付札（関数）'!CK"&amp;A25)=122,INDIRECT("'盛付札（関数）'!CK"&amp;A25)=123,INDIRECT("'盛付札（関数）'!CK"&amp;A25)=124),"",
IF(B26="〇",
INDIRECT("'盛付札（関数）!CM"&amp;A25+1),INDIRECT("'盛付札（関数）'!CM"&amp;A25)))</f>
        <v/>
      </c>
      <c r="D26" s="78"/>
      <c r="E26" s="78"/>
      <c r="F26" s="85" t="str" cm="1">
        <f t="array" aca="1" ref="F26" ca="1">IF(C25&lt;&gt;"",
IF(OR(INDIRECT("'盛付札（関数）'!CK"&amp;A25)=121,INDIRECT("'盛付札（関数）'!CK"&amp;A25)=122,INDIRECT("'盛付札（関数）'!CK"&amp;A25)=123,INDIRECT("'盛付札（関数）'!CK"&amp;A25)=124),"",
IF(B26="●",
SUBSTITUTE(SUBSTITUTE(SUBSTITUTE(INDIRECT("'盛付札（関数）'!CN"&amp;A25),100,""),120,""),150,""),
IF(B26="〇",
IF(INDIRECT("'盛付札（関数）'!CN"&amp;A25+1)&lt;&gt;"",
INDIRECT("'盛付札（関数）'!CN"&amp;A25+1),INDIRECT("'盛付札（関数）'!CO"&amp;A25+1)),
IF(INDIRECT("'盛付札（関数）'!CN"&amp;A25)&lt;&gt;"",
INDIRECT("'盛付札（関数）'!CN"&amp;A25),INDIRECT("'盛付札（関数）'!CO"&amp;A25))))),"")</f>
        <v/>
      </c>
      <c r="G26" s="76"/>
      <c r="H26" s="86"/>
      <c r="I26" s="69" t="str">
        <f ca="1">IF(COUNTIF(INDIRECT("'盛付札（関数）'!CL"&amp;H25),"*雙葉*"),
IF(COUNTIF(INDIRECT("'盛付札（関数）'!CL"&amp;O17),"*雙葉*"),"〇",
IF(COUNTIF(INDIRECT("'盛付札（関数）'!CL"&amp;O25),"*雙葉*"),"●","")),"")</f>
        <v/>
      </c>
      <c r="J26" s="84" t="str" cm="1">
        <f t="array" aca="1" ref="J26" ca="1">IF(OR(INDIRECT("'盛付札（関数）'!CK"&amp;H25)=121,INDIRECT("'盛付札（関数）'!CK"&amp;H25)=122,INDIRECT("'盛付札（関数）'!CK"&amp;H25)=123,INDIRECT("'盛付札（関数）'!CK"&amp;H25)=124),"",
IF(I26="〇",
INDIRECT("'盛付札（関数）!CM"&amp;H25+1),INDIRECT("'盛付札（関数）'!CM"&amp;H25)))</f>
        <v/>
      </c>
      <c r="K26" s="78"/>
      <c r="L26" s="78"/>
      <c r="M26" s="85" t="str" cm="1">
        <f t="array" aca="1" ref="M26" ca="1">IF(J25&lt;&gt;"",
IF(OR(INDIRECT("'盛付札（関数）'!CK"&amp;H25)=121,INDIRECT("'盛付札（関数）'!CK"&amp;H25)=122,INDIRECT("'盛付札（関数）'!CK"&amp;H25)=123,INDIRECT("'盛付札（関数）'!CK"&amp;H25)=124),"",
IF(I26="●",
SUBSTITUTE(SUBSTITUTE(SUBSTITUTE(INDIRECT("'盛付札（関数）'!CN"&amp;H25),100,""),120,""),150,""),
IF(I26="〇",
IF(INDIRECT("'盛付札（関数）'!CN"&amp;H25+1)&lt;&gt;"",
INDIRECT("'盛付札（関数）'!CN"&amp;H25+1),INDIRECT("'盛付札（関数）'!CO"&amp;H25+1)),
IF(INDIRECT("'盛付札（関数）'!CN"&amp;H25)&lt;&gt;"",
INDIRECT("'盛付札（関数）'!CN"&amp;H25),INDIRECT("'盛付札（関数）'!CO"&amp;H25))))),"")</f>
        <v/>
      </c>
      <c r="N26" s="76"/>
      <c r="O26" s="53"/>
      <c r="P26" s="67"/>
      <c r="Q26" s="69" t="str">
        <f ca="1">IF(COUNTIF(INDIRECT("'盛付札（関数）'!CL"&amp;P25),"*雙葉*"),
IF(COUNTIF(INDIRECT("'盛付札（関数）'!CL"&amp;W17),"*雙葉*"),"〇",
IF(COUNTIF(INDIRECT("'盛付札（関数）'!CL"&amp;W25),"*雙葉*"),"●","")),"")</f>
        <v/>
      </c>
      <c r="R26" s="84" t="str" cm="1">
        <f t="array" aca="1" ref="R26" ca="1">IF(OR(INDIRECT("'盛付札（関数）'!CK"&amp;P25)=121,INDIRECT("'盛付札（関数）'!CK"&amp;P25)=122,INDIRECT("'盛付札（関数）'!CK"&amp;P25)=123,INDIRECT("'盛付札（関数）'!CK"&amp;P25)=124),"",
IF(Q26="〇",
INDIRECT("'盛付札（関数）!CM"&amp;P25+1),INDIRECT("'盛付札（関数）'!CM"&amp;P25)))</f>
        <v/>
      </c>
      <c r="S26" s="78"/>
      <c r="T26" s="78"/>
      <c r="U26" s="85" t="str" cm="1">
        <f t="array" aca="1" ref="U26" ca="1">IF(R25&lt;&gt;"",
IF(OR(INDIRECT("'盛付札（関数）'!CK"&amp;P25)=121,INDIRECT("'盛付札（関数）'!CK"&amp;P25)=122,INDIRECT("'盛付札（関数）'!CK"&amp;P25)=123,INDIRECT("'盛付札（関数）'!CK"&amp;P25)=124),"",
IF(Q26="●",
SUBSTITUTE(SUBSTITUTE(SUBSTITUTE(INDIRECT("'盛付札（関数）'!CN"&amp;P25),100,""),120,""),150,""),
IF(Q26="〇",
IF(INDIRECT("'盛付札（関数）'!CN"&amp;P25+1)&lt;&gt;"",
INDIRECT("'盛付札（関数）'!CN"&amp;P25+1),INDIRECT("'盛付札（関数）'!CO"&amp;P25+1)),
IF(INDIRECT("'盛付札（関数）'!CN"&amp;P25)&lt;&gt;"",
INDIRECT("'盛付札（関数）'!CN"&amp;P25),INDIRECT("'盛付札（関数）'!CO"&amp;P25))))),"")</f>
        <v/>
      </c>
      <c r="V26" s="76"/>
      <c r="W26" s="86"/>
      <c r="X26" s="69" t="str">
        <f ca="1">IF(COUNTIF(INDIRECT("'盛付札（関数）'!CL"&amp;W25),"*雙葉*"),
IF(COUNTIF(INDIRECT("'盛付札（関数）'!CL"&amp;AD17),"*雙葉*"),"〇",
IF(COUNTIF(INDIRECT("'盛付札（関数）'!CL"&amp;AD25),"*雙葉*"),"●","")),"")</f>
        <v/>
      </c>
      <c r="Y26" s="84" t="str" cm="1">
        <f t="array" aca="1" ref="Y26" ca="1">IF(OR(INDIRECT("'盛付札（関数）'!CK"&amp;W25)=121,INDIRECT("'盛付札（関数）'!CK"&amp;W25)=122,INDIRECT("'盛付札（関数）'!CK"&amp;W25)=123,INDIRECT("'盛付札（関数）'!CK"&amp;W25)=124),"",
IF(X26="〇",
INDIRECT("'盛付札（関数）!CM"&amp;W25+1),INDIRECT("'盛付札（関数）'!CM"&amp;W25)))</f>
        <v/>
      </c>
      <c r="Z26" s="78"/>
      <c r="AA26" s="78"/>
      <c r="AB26" s="85" t="str" cm="1">
        <f t="array" aca="1" ref="AB26" ca="1">IF(Y25&lt;&gt;"",
IF(OR(INDIRECT("'盛付札（関数）'!CK"&amp;W25)=121,INDIRECT("'盛付札（関数）'!CK"&amp;W25)=122,INDIRECT("'盛付札（関数）'!CK"&amp;W25)=123,INDIRECT("'盛付札（関数）'!CK"&amp;W25)=124),"",
IF(X26="●",
SUBSTITUTE(SUBSTITUTE(SUBSTITUTE(INDIRECT("'盛付札（関数）'!CN"&amp;W25),100,""),120,""),150,""),
IF(X26="〇",
IF(INDIRECT("'盛付札（関数）'!CN"&amp;W25+1)&lt;&gt;"",
INDIRECT("'盛付札（関数）'!CN"&amp;W25+1),INDIRECT("'盛付札（関数）'!CO"&amp;W25+1)),
IF(INDIRECT("'盛付札（関数）'!CN"&amp;W25)&lt;&gt;"",
INDIRECT("'盛付札（関数）'!CN"&amp;W25),INDIRECT("'盛付札（関数）'!CO"&amp;W25))))),"")</f>
        <v/>
      </c>
      <c r="AC26" s="76"/>
      <c r="AD26" s="53"/>
      <c r="AE26" s="67"/>
      <c r="AF26" s="69" t="str">
        <f ca="1">IF(COUNTIF(INDIRECT("'盛付札（関数）'!CL"&amp;AE25),"*雙葉*"),
IF(COUNTIF(INDIRECT("'盛付札（関数）'!CL"&amp;AL17),"*雙葉*"),"〇",
IF(COUNTIF(INDIRECT("'盛付札（関数）'!CL"&amp;AL25),"*雙葉*"),"●","")),"")</f>
        <v/>
      </c>
      <c r="AG26" s="84" t="str" cm="1">
        <f t="array" aca="1" ref="AG26" ca="1">IF(OR(INDIRECT("'盛付札（関数）'!CK"&amp;AE25)=121,INDIRECT("'盛付札（関数）'!CK"&amp;AE25)=122,INDIRECT("'盛付札（関数）'!CK"&amp;AE25)=123,INDIRECT("'盛付札（関数）'!CK"&amp;AE25)=124),"",
IF(AF26="〇",
INDIRECT("'盛付札（関数）!CM"&amp;AE25+1),INDIRECT("'盛付札（関数）'!CM"&amp;AE25)))</f>
        <v/>
      </c>
      <c r="AH26" s="78"/>
      <c r="AI26" s="78"/>
      <c r="AJ26" s="85" t="str" cm="1">
        <f t="array" aca="1" ref="AJ26" ca="1">IF(AG25&lt;&gt;"",
IF(OR(INDIRECT("'盛付札（関数）'!CK"&amp;AE25)=121,INDIRECT("'盛付札（関数）'!CK"&amp;AE25)=122,INDIRECT("'盛付札（関数）'!CK"&amp;AE25)=123,INDIRECT("'盛付札（関数）'!CK"&amp;AE25)=124),"",
IF(AF26="●",
SUBSTITUTE(SUBSTITUTE(SUBSTITUTE(INDIRECT("'盛付札（関数）'!CN"&amp;AE25),100,""),120,""),150,""),
IF(AF26="〇",
IF(INDIRECT("'盛付札（関数）'!CN"&amp;AE25+1)&lt;&gt;"",
INDIRECT("'盛付札（関数）'!CN"&amp;AE25+1),INDIRECT("'盛付札（関数）'!CO"&amp;AE25+1)),
IF(INDIRECT("'盛付札（関数）'!CN"&amp;AE25)&lt;&gt;"",
INDIRECT("'盛付札（関数）'!CN"&amp;AE25),INDIRECT("'盛付札（関数）'!CO"&amp;AE25))))),"")</f>
        <v/>
      </c>
      <c r="AK26" s="76"/>
      <c r="AL26" s="86"/>
      <c r="AM26" s="69" t="str">
        <f ca="1">IF(COUNTIF(INDIRECT("'盛付札（関数）'!CL"&amp;AL25),"*雙葉*"),
IF(COUNTIF(INDIRECT("'盛付札（関数）'!CL"&amp;AS17),"*雙葉*"),"〇",
IF(COUNTIF(INDIRECT("'盛付札（関数）'!CL"&amp;AS25),"*雙葉*"),"●","")),"")</f>
        <v/>
      </c>
      <c r="AN26" s="84" t="str" cm="1">
        <f t="array" aca="1" ref="AN26" ca="1">IF(OR(INDIRECT("'盛付札（関数）'!CK"&amp;AL25)=121,INDIRECT("'盛付札（関数）'!CK"&amp;AL25)=122,INDIRECT("'盛付札（関数）'!CK"&amp;AL25)=123,INDIRECT("'盛付札（関数）'!CK"&amp;AL25)=124),"",
IF(AM26="〇",
INDIRECT("'盛付札（関数）!CM"&amp;AL25+1),INDIRECT("'盛付札（関数）'!CM"&amp;AL25)))</f>
        <v/>
      </c>
      <c r="AO26" s="78"/>
      <c r="AP26" s="78"/>
      <c r="AQ26" s="85" t="str" cm="1">
        <f t="array" aca="1" ref="AQ26" ca="1">IF(AN25&lt;&gt;"",
IF(OR(INDIRECT("'盛付札（関数）'!CK"&amp;AL25)=121,INDIRECT("'盛付札（関数）'!CK"&amp;AL25)=122,INDIRECT("'盛付札（関数）'!CK"&amp;AL25)=123,INDIRECT("'盛付札（関数）'!CK"&amp;AL25)=124),"",
IF(AM26="●",
SUBSTITUTE(SUBSTITUTE(SUBSTITUTE(INDIRECT("'盛付札（関数）'!CN"&amp;AL25),100,""),120,""),150,""),
IF(AM26="〇",
IF(INDIRECT("'盛付札（関数）'!CN"&amp;AL25+1)&lt;&gt;"",
INDIRECT("'盛付札（関数）'!CN"&amp;AL25+1),INDIRECT("'盛付札（関数）'!CO"&amp;AL25+1)),
IF(INDIRECT("'盛付札（関数）'!CN"&amp;AL25)&lt;&gt;"",
INDIRECT("'盛付札（関数）'!CN"&amp;AL25),INDIRECT("'盛付札（関数）'!CO"&amp;AL25))))),"")</f>
        <v/>
      </c>
      <c r="AR26" s="76"/>
      <c r="AS26" s="53"/>
      <c r="AT26" s="67"/>
      <c r="AU26" s="69" t="str">
        <f ca="1">IF(COUNTIF(INDIRECT("'盛付札（関数）'!CL"&amp;AT25),"*雙葉*"),
IF(COUNTIF(INDIRECT("'盛付札（関数）'!CL"&amp;BA17),"*雙葉*"),"〇",
IF(COUNTIF(INDIRECT("'盛付札（関数）'!CL"&amp;BA25),"*雙葉*"),"●","")),"")</f>
        <v/>
      </c>
      <c r="AV26" s="84" t="str" cm="1">
        <f t="array" aca="1" ref="AV26" ca="1">IF(OR(INDIRECT("'盛付札（関数）'!CK"&amp;AT25)=121,INDIRECT("'盛付札（関数）'!CK"&amp;AT25)=122,INDIRECT("'盛付札（関数）'!CK"&amp;AT25)=123,INDIRECT("'盛付札（関数）'!CK"&amp;AT25)=124),"",
IF(AU26="〇",
INDIRECT("'盛付札（関数）!CM"&amp;AT25+1),INDIRECT("'盛付札（関数）'!CM"&amp;AT25)))</f>
        <v/>
      </c>
      <c r="AW26" s="78"/>
      <c r="AX26" s="78"/>
      <c r="AY26" s="85" t="str" cm="1">
        <f t="array" aca="1" ref="AY26" ca="1">IF(AV25&lt;&gt;"",
IF(OR(INDIRECT("'盛付札（関数）'!CK"&amp;AT25)=121,INDIRECT("'盛付札（関数）'!CK"&amp;AT25)=122,INDIRECT("'盛付札（関数）'!CK"&amp;AT25)=123,INDIRECT("'盛付札（関数）'!CK"&amp;AT25)=124),"",
IF(AU26="●",
SUBSTITUTE(SUBSTITUTE(SUBSTITUTE(INDIRECT("'盛付札（関数）'!CN"&amp;AT25),100,""),120,""),150,""),
IF(AU26="〇",
IF(INDIRECT("'盛付札（関数）'!CN"&amp;AT25+1)&lt;&gt;"",
INDIRECT("'盛付札（関数）'!CN"&amp;AT25+1),INDIRECT("'盛付札（関数）'!CO"&amp;AT25+1)),
IF(INDIRECT("'盛付札（関数）'!CN"&amp;AT25)&lt;&gt;"",
INDIRECT("'盛付札（関数）'!CN"&amp;AT25),INDIRECT("'盛付札（関数）'!CO"&amp;AT25))))),"")</f>
        <v/>
      </c>
      <c r="AZ26" s="76"/>
      <c r="BA26" s="86"/>
      <c r="BB26" s="69" t="str">
        <f ca="1">IF(COUNTIF(INDIRECT("'盛付札（関数）'!CL"&amp;BA25),"*雙葉*"),
IF(COUNTIF(INDIRECT("'盛付札（関数）'!CL"&amp;BH17),"*雙葉*"),"〇",
IF(COUNTIF(INDIRECT("'盛付札（関数）'!CL"&amp;BH25),"*雙葉*"),"●","")),"")</f>
        <v/>
      </c>
      <c r="BC26" s="84" t="str" cm="1">
        <f t="array" aca="1" ref="BC26" ca="1">IF(OR(INDIRECT("'盛付札（関数）'!CK"&amp;BA25)=121,INDIRECT("'盛付札（関数）'!CK"&amp;BA25)=122,INDIRECT("'盛付札（関数）'!CK"&amp;BA25)=123,INDIRECT("'盛付札（関数）'!CK"&amp;BA25)=124),"",
IF(BB26="〇",
INDIRECT("'盛付札（関数）!CM"&amp;BA25+1),INDIRECT("'盛付札（関数）'!CM"&amp;BA25)))</f>
        <v/>
      </c>
      <c r="BD26" s="78"/>
      <c r="BE26" s="78"/>
      <c r="BF26" s="85" t="str" cm="1">
        <f t="array" aca="1" ref="BF26" ca="1">IF(BC25&lt;&gt;"",
IF(OR(INDIRECT("'盛付札（関数）'!CK"&amp;BA25)=121,INDIRECT("'盛付札（関数）'!CK"&amp;BA25)=122,INDIRECT("'盛付札（関数）'!CK"&amp;BA25)=123,INDIRECT("'盛付札（関数）'!CK"&amp;BA25)=124),"",
IF(BB26="●",
SUBSTITUTE(SUBSTITUTE(SUBSTITUTE(INDIRECT("'盛付札（関数）'!CN"&amp;BA25),100,""),120,""),150,""),
IF(BB26="〇",
IF(INDIRECT("'盛付札（関数）'!CN"&amp;BA25+1)&lt;&gt;"",
INDIRECT("'盛付札（関数）'!CN"&amp;BA25+1),INDIRECT("'盛付札（関数）'!CO"&amp;BA25+1)),
IF(INDIRECT("'盛付札（関数）'!CN"&amp;BA25)&lt;&gt;"",
INDIRECT("'盛付札（関数）'!CN"&amp;BA25),INDIRECT("'盛付札（関数）'!CO"&amp;BA25))))),"")</f>
        <v/>
      </c>
      <c r="BG26" s="76"/>
      <c r="BH26" s="53"/>
      <c r="BI26" s="67"/>
      <c r="BJ26" s="69" t="str">
        <f ca="1">IF(COUNTIF(INDIRECT("'盛付札（関数）'!CL"&amp;BI25),"*雙葉*"),
IF(COUNTIF(INDIRECT("'盛付札（関数）'!CL"&amp;BP17),"*雙葉*"),"〇",
IF(COUNTIF(INDIRECT("'盛付札（関数）'!CL"&amp;BP25),"*雙葉*"),"●","")),"")</f>
        <v/>
      </c>
      <c r="BK26" s="84" t="str" cm="1">
        <f t="array" aca="1" ref="BK26" ca="1">IF(OR(INDIRECT("'盛付札（関数）'!CK"&amp;BI25)=121,INDIRECT("'盛付札（関数）'!CK"&amp;BI25)=122,INDIRECT("'盛付札（関数）'!CK"&amp;BI25)=123,INDIRECT("'盛付札（関数）'!CK"&amp;BI25)=124),"",
IF(BJ26="〇",
INDIRECT("'盛付札（関数）!CM"&amp;BI25+1),INDIRECT("'盛付札（関数）'!CM"&amp;BI25)))</f>
        <v/>
      </c>
      <c r="BL26" s="78"/>
      <c r="BM26" s="78"/>
      <c r="BN26" s="85" t="str" cm="1">
        <f t="array" aca="1" ref="BN26" ca="1">IF(BK25&lt;&gt;"",
IF(OR(INDIRECT("'盛付札（関数）'!CK"&amp;BI25)=121,INDIRECT("'盛付札（関数）'!CK"&amp;BI25)=122,INDIRECT("'盛付札（関数）'!CK"&amp;BI25)=123,INDIRECT("'盛付札（関数）'!CK"&amp;BI25)=124),"",
IF(BJ26="●",
SUBSTITUTE(SUBSTITUTE(SUBSTITUTE(INDIRECT("'盛付札（関数）'!CN"&amp;BI25),100,""),120,""),150,""),
IF(BJ26="〇",
IF(INDIRECT("'盛付札（関数）'!CN"&amp;BI25+1)&lt;&gt;"",
INDIRECT("'盛付札（関数）'!CN"&amp;BI25+1),INDIRECT("'盛付札（関数）'!CO"&amp;BI25+1)),
IF(INDIRECT("'盛付札（関数）'!CN"&amp;BI25)&lt;&gt;"",
INDIRECT("'盛付札（関数）'!CN"&amp;BI25),INDIRECT("'盛付札（関数）'!CO"&amp;BI25))))),"")</f>
        <v/>
      </c>
      <c r="BO26" s="76"/>
      <c r="BP26" s="86"/>
      <c r="BQ26" s="69" t="str">
        <f ca="1">IF(COUNTIF(INDIRECT("'盛付札（関数）'!CL"&amp;BP25),"*雙葉*"),
IF(COUNTIF(INDIRECT("'盛付札（関数）'!CL"&amp;BW17),"*雙葉*"),"〇",
IF(COUNTIF(INDIRECT("'盛付札（関数）'!CL"&amp;BW25),"*雙葉*"),"●","")),"")</f>
        <v/>
      </c>
      <c r="BR26" s="84" t="str" cm="1">
        <f t="array" aca="1" ref="BR26" ca="1">IF(OR(INDIRECT("'盛付札（関数）'!CK"&amp;BP25)=121,INDIRECT("'盛付札（関数）'!CK"&amp;BP25)=122,INDIRECT("'盛付札（関数）'!CK"&amp;BP25)=123,INDIRECT("'盛付札（関数）'!CK"&amp;BP25)=124),"",
IF(BQ26="〇",
INDIRECT("'盛付札（関数）!CM"&amp;BP25+1),INDIRECT("'盛付札（関数）'!CM"&amp;BP25)))</f>
        <v/>
      </c>
      <c r="BS26" s="78"/>
      <c r="BT26" s="78"/>
      <c r="BU26" s="85" t="str" cm="1">
        <f t="array" aca="1" ref="BU26" ca="1">IF(BR25&lt;&gt;"",
IF(OR(INDIRECT("'盛付札（関数）'!CK"&amp;BP25)=121,INDIRECT("'盛付札（関数）'!CK"&amp;BP25)=122,INDIRECT("'盛付札（関数）'!CK"&amp;BP25)=123,INDIRECT("'盛付札（関数）'!CK"&amp;BP25)=124),"",
IF(BQ26="●",
SUBSTITUTE(SUBSTITUTE(SUBSTITUTE(INDIRECT("'盛付札（関数）'!CN"&amp;BP25),100,""),120,""),150,""),
IF(BQ26="〇",
IF(INDIRECT("'盛付札（関数）'!CN"&amp;BP25+1)&lt;&gt;"",
INDIRECT("'盛付札（関数）'!CN"&amp;BP25+1),INDIRECT("'盛付札（関数）'!CO"&amp;BP25+1)),
IF(INDIRECT("'盛付札（関数）'!CN"&amp;BP25)&lt;&gt;"",
INDIRECT("'盛付札（関数）'!CN"&amp;BP25),INDIRECT("'盛付札（関数）'!CO"&amp;BP25))))),"")</f>
        <v/>
      </c>
      <c r="BV26" s="76"/>
      <c r="BW26" s="53"/>
    </row>
    <row r="27" spans="1:75" s="68" customFormat="1" x14ac:dyDescent="0.55000000000000004">
      <c r="A27" s="73"/>
      <c r="B27" s="71"/>
      <c r="C27" s="123" t="str" cm="1">
        <f t="array" aca="1" ref="C27" ca="1">IF(C25&lt;&gt;"",
IF(OR(INDIRECT("'盛付札（関数）'!CK"&amp;A25)=121,INDIRECT("'盛付札（関数）'!CK"&amp;A25)=122,INDIRECT("'盛付札（関数）'!CK"&amp;A25)=123,INDIRECT("'盛付札（関数）'!CK"&amp;A25)=124),"",
"園児"),"")</f>
        <v/>
      </c>
      <c r="D27" s="116"/>
      <c r="E27" s="53"/>
      <c r="F27" s="68" t="str" cm="1">
        <f t="array" aca="1" ref="F27" ca="1">IF(C25&lt;&gt;"",
IF(OR(INDIRECT("'盛付札（関数）'!CK"&amp;A25)=121,INDIRECT("'盛付札（関数）'!CK"&amp;A25)=122,INDIRECT("'盛付札（関数）'!CK"&amp;A25)=123,INDIRECT("'盛付札（関数）'!CK"&amp;A25)=124),"",
"先生"),"")</f>
        <v/>
      </c>
      <c r="G27" s="77"/>
      <c r="H27" s="73"/>
      <c r="I27" s="71"/>
      <c r="J27" s="123" t="str" cm="1">
        <f t="array" aca="1" ref="J27" ca="1">IF(J25&lt;&gt;"",
IF(OR(INDIRECT("'盛付札（関数）'!CK"&amp;H25)=121,INDIRECT("'盛付札（関数）'!CK"&amp;H25)=122,INDIRECT("'盛付札（関数）'!CK"&amp;H25)=123,INDIRECT("'盛付札（関数）'!CK"&amp;H25)=124),"",
"園児"),"")</f>
        <v/>
      </c>
      <c r="K27" s="116"/>
      <c r="L27" s="53"/>
      <c r="M27" s="68" t="str" cm="1">
        <f t="array" aca="1" ref="M27" ca="1">IF(J25&lt;&gt;"",
IF(OR(INDIRECT("'盛付札（関数）'!CK"&amp;H25)=121,INDIRECT("'盛付札（関数）'!CK"&amp;H25)=122,INDIRECT("'盛付札（関数）'!CK"&amp;H25)=123,INDIRECT("'盛付札（関数）'!CK"&amp;H25)=124),"",
"先生"),"")</f>
        <v/>
      </c>
      <c r="N27" s="77"/>
      <c r="O27" s="53"/>
      <c r="P27" s="73"/>
      <c r="Q27" s="71"/>
      <c r="R27" s="123" t="str" cm="1">
        <f t="array" aca="1" ref="R27" ca="1">IF(R25&lt;&gt;"",
IF(OR(INDIRECT("'盛付札（関数）'!CK"&amp;P25)=121,INDIRECT("'盛付札（関数）'!CK"&amp;P25)=122,INDIRECT("'盛付札（関数）'!CK"&amp;P25)=123,INDIRECT("'盛付札（関数）'!CK"&amp;P25)=124),"",
"園児"),"")</f>
        <v/>
      </c>
      <c r="S27" s="116"/>
      <c r="T27" s="53"/>
      <c r="U27" s="68" t="str" cm="1">
        <f t="array" aca="1" ref="U27" ca="1">IF(R25&lt;&gt;"",
IF(OR(INDIRECT("'盛付札（関数）'!CK"&amp;P25)=121,INDIRECT("'盛付札（関数）'!CK"&amp;P25)=122,INDIRECT("'盛付札（関数）'!CK"&amp;P25)=123,INDIRECT("'盛付札（関数）'!CK"&amp;P25)=124),"",
"先生"),"")</f>
        <v/>
      </c>
      <c r="V27" s="77"/>
      <c r="W27" s="73"/>
      <c r="X27" s="71"/>
      <c r="Y27" s="123" t="str" cm="1">
        <f t="array" aca="1" ref="Y27" ca="1">IF(Y25&lt;&gt;"",
IF(OR(INDIRECT("'盛付札（関数）'!CK"&amp;W25)=121,INDIRECT("'盛付札（関数）'!CK"&amp;W25)=122,INDIRECT("'盛付札（関数）'!CK"&amp;W25)=123,INDIRECT("'盛付札（関数）'!CK"&amp;W25)=124),"",
"園児"),"")</f>
        <v/>
      </c>
      <c r="Z27" s="116"/>
      <c r="AA27" s="53"/>
      <c r="AB27" s="68" t="str" cm="1">
        <f t="array" aca="1" ref="AB27" ca="1">IF(Y25&lt;&gt;"",
IF(OR(INDIRECT("'盛付札（関数）'!CK"&amp;W25)=121,INDIRECT("'盛付札（関数）'!CK"&amp;W25)=122,INDIRECT("'盛付札（関数）'!CK"&amp;W25)=123,INDIRECT("'盛付札（関数）'!CK"&amp;W25)=124),"",
"先生"),"")</f>
        <v/>
      </c>
      <c r="AC27" s="77"/>
      <c r="AD27" s="53"/>
      <c r="AE27" s="73"/>
      <c r="AF27" s="71"/>
      <c r="AG27" s="123" t="str" cm="1">
        <f t="array" aca="1" ref="AG27" ca="1">IF(AG25&lt;&gt;"",
IF(OR(INDIRECT("'盛付札（関数）'!CK"&amp;AE25)=121,INDIRECT("'盛付札（関数）'!CK"&amp;AE25)=122,INDIRECT("'盛付札（関数）'!CK"&amp;AE25)=123,INDIRECT("'盛付札（関数）'!CK"&amp;AE25)=124),"",
"園児"),"")</f>
        <v/>
      </c>
      <c r="AH27" s="116"/>
      <c r="AI27" s="53"/>
      <c r="AJ27" s="68" t="str" cm="1">
        <f t="array" aca="1" ref="AJ27" ca="1">IF(AG25&lt;&gt;"",
IF(OR(INDIRECT("'盛付札（関数）'!CK"&amp;AE25)=121,INDIRECT("'盛付札（関数）'!CK"&amp;AE25)=122,INDIRECT("'盛付札（関数）'!CK"&amp;AE25)=123,INDIRECT("'盛付札（関数）'!CK"&amp;AE25)=124),"",
"先生"),"")</f>
        <v/>
      </c>
      <c r="AK27" s="77"/>
      <c r="AL27" s="73"/>
      <c r="AM27" s="71"/>
      <c r="AN27" s="123" t="str" cm="1">
        <f t="array" aca="1" ref="AN27" ca="1">IF(AN25&lt;&gt;"",
IF(OR(INDIRECT("'盛付札（関数）'!CK"&amp;AL25)=121,INDIRECT("'盛付札（関数）'!CK"&amp;AL25)=122,INDIRECT("'盛付札（関数）'!CK"&amp;AL25)=123,INDIRECT("'盛付札（関数）'!CK"&amp;AL25)=124),"",
"園児"),"")</f>
        <v/>
      </c>
      <c r="AO27" s="116"/>
      <c r="AP27" s="53"/>
      <c r="AQ27" s="68" t="str" cm="1">
        <f t="array" aca="1" ref="AQ27" ca="1">IF(AN25&lt;&gt;"",
IF(OR(INDIRECT("'盛付札（関数）'!CK"&amp;AL25)=121,INDIRECT("'盛付札（関数）'!CK"&amp;AL25)=122,INDIRECT("'盛付札（関数）'!CK"&amp;AL25)=123,INDIRECT("'盛付札（関数）'!CK"&amp;AL25)=124),"",
"先生"),"")</f>
        <v/>
      </c>
      <c r="AR27" s="77"/>
      <c r="AS27" s="53"/>
      <c r="AT27" s="73"/>
      <c r="AU27" s="71"/>
      <c r="AV27" s="123" t="str" cm="1">
        <f t="array" aca="1" ref="AV27" ca="1">IF(AV25&lt;&gt;"",
IF(OR(INDIRECT("'盛付札（関数）'!CK"&amp;AT25)=121,INDIRECT("'盛付札（関数）'!CK"&amp;AT25)=122,INDIRECT("'盛付札（関数）'!CK"&amp;AT25)=123,INDIRECT("'盛付札（関数）'!CK"&amp;AT25)=124),"",
"園児"),"")</f>
        <v/>
      </c>
      <c r="AW27" s="116"/>
      <c r="AX27" s="53"/>
      <c r="AY27" s="68" t="str" cm="1">
        <f t="array" aca="1" ref="AY27" ca="1">IF(AV25&lt;&gt;"",
IF(OR(INDIRECT("'盛付札（関数）'!CK"&amp;AT25)=121,INDIRECT("'盛付札（関数）'!CK"&amp;AT25)=122,INDIRECT("'盛付札（関数）'!CK"&amp;AT25)=123,INDIRECT("'盛付札（関数）'!CK"&amp;AT25)=124),"",
"先生"),"")</f>
        <v/>
      </c>
      <c r="AZ27" s="77"/>
      <c r="BA27" s="73"/>
      <c r="BB27" s="71"/>
      <c r="BC27" s="123" t="str" cm="1">
        <f t="array" aca="1" ref="BC27" ca="1">IF(BC25&lt;&gt;"",
IF(OR(INDIRECT("'盛付札（関数）'!CK"&amp;BA25)=121,INDIRECT("'盛付札（関数）'!CK"&amp;BA25)=122,INDIRECT("'盛付札（関数）'!CK"&amp;BA25)=123,INDIRECT("'盛付札（関数）'!CK"&amp;BA25)=124),"",
"園児"),"")</f>
        <v/>
      </c>
      <c r="BD27" s="116"/>
      <c r="BE27" s="53"/>
      <c r="BF27" s="68" t="str" cm="1">
        <f t="array" aca="1" ref="BF27" ca="1">IF(BC25&lt;&gt;"",
IF(OR(INDIRECT("'盛付札（関数）'!CK"&amp;BA25)=121,INDIRECT("'盛付札（関数）'!CK"&amp;BA25)=122,INDIRECT("'盛付札（関数）'!CK"&amp;BA25)=123,INDIRECT("'盛付札（関数）'!CK"&amp;BA25)=124),"",
"先生"),"")</f>
        <v/>
      </c>
      <c r="BG27" s="77"/>
      <c r="BH27" s="53"/>
      <c r="BI27" s="73"/>
      <c r="BJ27" s="71"/>
      <c r="BK27" s="123" t="str" cm="1">
        <f t="array" aca="1" ref="BK27" ca="1">IF(BK25&lt;&gt;"",
IF(OR(INDIRECT("'盛付札（関数）'!CK"&amp;BI25)=121,INDIRECT("'盛付札（関数）'!CK"&amp;BI25)=122,INDIRECT("'盛付札（関数）'!CK"&amp;BI25)=123,INDIRECT("'盛付札（関数）'!CK"&amp;BI25)=124),"",
"園児"),"")</f>
        <v/>
      </c>
      <c r="BL27" s="116"/>
      <c r="BM27" s="53"/>
      <c r="BN27" s="68" t="str" cm="1">
        <f t="array" aca="1" ref="BN27" ca="1">IF(BK25&lt;&gt;"",
IF(OR(INDIRECT("'盛付札（関数）'!CK"&amp;BI25)=121,INDIRECT("'盛付札（関数）'!CK"&amp;BI25)=122,INDIRECT("'盛付札（関数）'!CK"&amp;BI25)=123,INDIRECT("'盛付札（関数）'!CK"&amp;BI25)=124),"",
"先生"),"")</f>
        <v/>
      </c>
      <c r="BO27" s="77"/>
      <c r="BP27" s="73"/>
      <c r="BQ27" s="71"/>
      <c r="BR27" s="123" t="str" cm="1">
        <f t="array" aca="1" ref="BR27" ca="1">IF(BR25&lt;&gt;"",
IF(OR(INDIRECT("'盛付札（関数）'!CK"&amp;BP25)=121,INDIRECT("'盛付札（関数）'!CK"&amp;BP25)=122,INDIRECT("'盛付札（関数）'!CK"&amp;BP25)=123,INDIRECT("'盛付札（関数）'!CK"&amp;BP25)=124),"",
"園児"),"")</f>
        <v/>
      </c>
      <c r="BS27" s="116"/>
      <c r="BT27" s="53"/>
      <c r="BU27" s="68" t="str" cm="1">
        <f t="array" aca="1" ref="BU27" ca="1">IF(BR25&lt;&gt;"",
IF(OR(INDIRECT("'盛付札（関数）'!CK"&amp;BP25)=121,INDIRECT("'盛付札（関数）'!CK"&amp;BP25)=122,INDIRECT("'盛付札（関数）'!CK"&amp;BP25)=123,INDIRECT("'盛付札（関数）'!CK"&amp;BP25)=124),"",
"先生"),"")</f>
        <v/>
      </c>
      <c r="BV27" s="77"/>
      <c r="BW27" s="53"/>
    </row>
    <row r="28" spans="1:75" ht="15.6" customHeight="1" x14ac:dyDescent="1.05">
      <c r="A28" s="58"/>
      <c r="B28" s="57"/>
      <c r="C28" s="120" t="str" cm="1">
        <f t="array" aca="1" ref="C28" ca="1">IF(B26="●",
INDIRECT("'盛付札（関数）'!CP"&amp;A25)+INDIRECT("'盛付札（関数）'!CP"&amp;A25+1),
IF(B26="〇",
INDIRECT("'盛付札（関数）'!CP"&amp;A25+1),INDIRECT("'盛付札（関数）'!CP"&amp;A25)))</f>
        <v/>
      </c>
      <c r="D28" s="121"/>
      <c r="E28" s="88"/>
      <c r="F28" s="125" t="str" cm="1">
        <f t="array" aca="1" ref="F28" ca="1">IF(C25&lt;&gt;"",
IF(OR(INDIRECT("'盛付札（関数）'!CK"&amp;A25)=121,INDIRECT("'盛付札（関数）'!CK"&amp;A25)=122,INDIRECT("'盛付札（関数）'!CK"&amp;A25)=123,INDIRECT("'盛付札（関数）'!CK"&amp;A25)=124),"",
IF(B26="●",
IFERROR(INDIRECT("'盛付札（関数）'!CQ"&amp;A25)+INDIRECT("'盛付札（関数）'!CQ"&amp;A25+1),""),
IF(B26="〇",
INDIRECT("'盛付札（関数）'!CQ"&amp;A25+1),INDIRECT("'盛付札（関数）'!CQ"&amp;A25)))),"")</f>
        <v/>
      </c>
      <c r="G28" s="126"/>
      <c r="H28" s="58"/>
      <c r="I28" s="57"/>
      <c r="J28" s="120" t="str" cm="1">
        <f t="array" aca="1" ref="J28" ca="1">IF(I26="●",
INDIRECT("'盛付札（関数）'!CP"&amp;H25)+INDIRECT("'盛付札（関数）'!CP"&amp;H25+1),
IF(I26="〇",
INDIRECT("'盛付札（関数）'!CP"&amp;H25+1),INDIRECT("'盛付札（関数）'!CP"&amp;H25)))</f>
        <v/>
      </c>
      <c r="K28" s="121"/>
      <c r="L28" s="88"/>
      <c r="M28" s="125" t="str" cm="1">
        <f t="array" aca="1" ref="M28" ca="1">IF(J25&lt;&gt;"",
IF(OR(INDIRECT("'盛付札（関数）'!CK"&amp;H25)=121,INDIRECT("'盛付札（関数）'!CK"&amp;H25)=122,INDIRECT("'盛付札（関数）'!CK"&amp;H25)=123,INDIRECT("'盛付札（関数）'!CK"&amp;H25)=124),"",
IF(I26="●",
IFERROR(INDIRECT("'盛付札（関数）'!CQ"&amp;H25)+INDIRECT("'盛付札（関数）'!CQ"&amp;H25+1),""),
IF(I26="〇",
INDIRECT("'盛付札（関数）'!CQ"&amp;H25+1),INDIRECT("'盛付札（関数）'!CQ"&amp;H25)))),"")</f>
        <v/>
      </c>
      <c r="N28" s="126"/>
      <c r="P28" s="58"/>
      <c r="Q28" s="57"/>
      <c r="R28" s="120" t="str" cm="1">
        <f t="array" aca="1" ref="R28" ca="1">IF(Q26="●",
INDIRECT("'盛付札（関数）'!CP"&amp;P25)+INDIRECT("'盛付札（関数）'!CP"&amp;P25+1),
IF(Q26="〇",
INDIRECT("'盛付札（関数）'!CP"&amp;P25+1),INDIRECT("'盛付札（関数）'!CP"&amp;P25)))</f>
        <v/>
      </c>
      <c r="S28" s="121"/>
      <c r="T28" s="88"/>
      <c r="U28" s="125" t="str" cm="1">
        <f t="array" aca="1" ref="U28" ca="1">IF(R25&lt;&gt;"",
IF(OR(INDIRECT("'盛付札（関数）'!CK"&amp;P25)=121,INDIRECT("'盛付札（関数）'!CK"&amp;P25)=122,INDIRECT("'盛付札（関数）'!CK"&amp;P25)=123,INDIRECT("'盛付札（関数）'!CK"&amp;P25)=124),"",
IF(Q26="●",
IFERROR(INDIRECT("'盛付札（関数）'!CQ"&amp;P25)+INDIRECT("'盛付札（関数）'!CQ"&amp;P25+1),""),
IF(Q26="〇",
INDIRECT("'盛付札（関数）'!CQ"&amp;P25+1),INDIRECT("'盛付札（関数）'!CQ"&amp;P25)))),"")</f>
        <v/>
      </c>
      <c r="V28" s="126"/>
      <c r="W28" s="58"/>
      <c r="X28" s="57"/>
      <c r="Y28" s="120" t="str" cm="1">
        <f t="array" aca="1" ref="Y28" ca="1">IF(X26="●",
INDIRECT("'盛付札（関数）'!CP"&amp;W25)+INDIRECT("'盛付札（関数）'!CP"&amp;W25+1),
IF(X26="〇",
INDIRECT("'盛付札（関数）'!CP"&amp;W25+1),INDIRECT("'盛付札（関数）'!CP"&amp;W25)))</f>
        <v/>
      </c>
      <c r="Z28" s="121"/>
      <c r="AA28" s="88"/>
      <c r="AB28" s="125" t="str" cm="1">
        <f t="array" aca="1" ref="AB28" ca="1">IF(Y25&lt;&gt;"",
IF(OR(INDIRECT("'盛付札（関数）'!CK"&amp;W25)=121,INDIRECT("'盛付札（関数）'!CK"&amp;W25)=122,INDIRECT("'盛付札（関数）'!CK"&amp;W25)=123,INDIRECT("'盛付札（関数）'!CK"&amp;W25)=124),"",
IF(X26="●",
IFERROR(INDIRECT("'盛付札（関数）'!CQ"&amp;W25)+INDIRECT("'盛付札（関数）'!CQ"&amp;W25+1),""),
IF(X26="〇",
INDIRECT("'盛付札（関数）'!CQ"&amp;W25+1),INDIRECT("'盛付札（関数）'!CQ"&amp;W25)))),"")</f>
        <v/>
      </c>
      <c r="AC28" s="126"/>
      <c r="AE28" s="58"/>
      <c r="AF28" s="57"/>
      <c r="AG28" s="120" t="str" cm="1">
        <f t="array" aca="1" ref="AG28" ca="1">IF(AF26="●",
INDIRECT("'盛付札（関数）'!CP"&amp;AE25)+INDIRECT("'盛付札（関数）'!CP"&amp;AE25+1),
IF(AF26="〇",
INDIRECT("'盛付札（関数）'!CP"&amp;AE25+1),INDIRECT("'盛付札（関数）'!CP"&amp;AE25)))</f>
        <v/>
      </c>
      <c r="AH28" s="121"/>
      <c r="AI28" s="88"/>
      <c r="AJ28" s="125" t="str" cm="1">
        <f t="array" aca="1" ref="AJ28" ca="1">IF(AG25&lt;&gt;"",
IF(OR(INDIRECT("'盛付札（関数）'!CK"&amp;AE25)=121,INDIRECT("'盛付札（関数）'!CK"&amp;AE25)=122,INDIRECT("'盛付札（関数）'!CK"&amp;AE25)=123,INDIRECT("'盛付札（関数）'!CK"&amp;AE25)=124),"",
IF(AF26="●",
IFERROR(INDIRECT("'盛付札（関数）'!CQ"&amp;AE25)+INDIRECT("'盛付札（関数）'!CQ"&amp;AE25+1),""),
IF(AF26="〇",
INDIRECT("'盛付札（関数）'!CQ"&amp;AE25+1),INDIRECT("'盛付札（関数）'!CQ"&amp;AE25)))),"")</f>
        <v/>
      </c>
      <c r="AK28" s="126"/>
      <c r="AL28" s="58"/>
      <c r="AM28" s="57"/>
      <c r="AN28" s="120" t="str" cm="1">
        <f t="array" aca="1" ref="AN28" ca="1">IF(AM26="●",
INDIRECT("'盛付札（関数）'!CP"&amp;AL25)+INDIRECT("'盛付札（関数）'!CP"&amp;AL25+1),
IF(AM26="〇",
INDIRECT("'盛付札（関数）'!CP"&amp;AL25+1),INDIRECT("'盛付札（関数）'!CP"&amp;AL25)))</f>
        <v/>
      </c>
      <c r="AO28" s="121"/>
      <c r="AP28" s="88"/>
      <c r="AQ28" s="125" t="str" cm="1">
        <f t="array" aca="1" ref="AQ28" ca="1">IF(AN25&lt;&gt;"",
IF(OR(INDIRECT("'盛付札（関数）'!CK"&amp;AL25)=121,INDIRECT("'盛付札（関数）'!CK"&amp;AL25)=122,INDIRECT("'盛付札（関数）'!CK"&amp;AL25)=123,INDIRECT("'盛付札（関数）'!CK"&amp;AL25)=124),"",
IF(AM26="●",
IFERROR(INDIRECT("'盛付札（関数）'!CQ"&amp;AL25)+INDIRECT("'盛付札（関数）'!CQ"&amp;AL25+1),""),
IF(AM26="〇",
INDIRECT("'盛付札（関数）'!CQ"&amp;AL25+1),INDIRECT("'盛付札（関数）'!CQ"&amp;AL25)))),"")</f>
        <v/>
      </c>
      <c r="AR28" s="126"/>
      <c r="AT28" s="58"/>
      <c r="AU28" s="57"/>
      <c r="AV28" s="120" t="str" cm="1">
        <f t="array" aca="1" ref="AV28" ca="1">IF(AU26="●",
INDIRECT("'盛付札（関数）'!CP"&amp;AT25)+INDIRECT("'盛付札（関数）'!CP"&amp;AT25+1),
IF(AU26="〇",
INDIRECT("'盛付札（関数）'!CP"&amp;AT25+1),INDIRECT("'盛付札（関数）'!CP"&amp;AT25)))</f>
        <v/>
      </c>
      <c r="AW28" s="121"/>
      <c r="AX28" s="88"/>
      <c r="AY28" s="125" t="str" cm="1">
        <f t="array" aca="1" ref="AY28" ca="1">IF(AV25&lt;&gt;"",
IF(OR(INDIRECT("'盛付札（関数）'!CK"&amp;AT25)=121,INDIRECT("'盛付札（関数）'!CK"&amp;AT25)=122,INDIRECT("'盛付札（関数）'!CK"&amp;AT25)=123,INDIRECT("'盛付札（関数）'!CK"&amp;AT25)=124),"",
IF(AU26="●",
IFERROR(INDIRECT("'盛付札（関数）'!CQ"&amp;AT25)+INDIRECT("'盛付札（関数）'!CQ"&amp;AT25+1),""),
IF(AU26="〇",
INDIRECT("'盛付札（関数）'!CQ"&amp;AT25+1),INDIRECT("'盛付札（関数）'!CQ"&amp;AT25)))),"")</f>
        <v/>
      </c>
      <c r="AZ28" s="126"/>
      <c r="BA28" s="58"/>
      <c r="BB28" s="57"/>
      <c r="BC28" s="120" t="str" cm="1">
        <f t="array" aca="1" ref="BC28" ca="1">IF(BB26="●",
INDIRECT("'盛付札（関数）'!CP"&amp;BA25)+INDIRECT("'盛付札（関数）'!CP"&amp;BA25+1),
IF(BB26="〇",
INDIRECT("'盛付札（関数）'!CP"&amp;BA25+1),INDIRECT("'盛付札（関数）'!CP"&amp;BA25)))</f>
        <v/>
      </c>
      <c r="BD28" s="121"/>
      <c r="BE28" s="88"/>
      <c r="BF28" s="125" t="str" cm="1">
        <f t="array" aca="1" ref="BF28" ca="1">IF(BC25&lt;&gt;"",
IF(OR(INDIRECT("'盛付札（関数）'!CK"&amp;BA25)=121,INDIRECT("'盛付札（関数）'!CK"&amp;BA25)=122,INDIRECT("'盛付札（関数）'!CK"&amp;BA25)=123,INDIRECT("'盛付札（関数）'!CK"&amp;BA25)=124),"",
IF(BB26="●",
IFERROR(INDIRECT("'盛付札（関数）'!CQ"&amp;BA25)+INDIRECT("'盛付札（関数）'!CQ"&amp;BA25+1),""),
IF(BB26="〇",
INDIRECT("'盛付札（関数）'!CQ"&amp;BA25+1),INDIRECT("'盛付札（関数）'!CQ"&amp;BA25)))),"")</f>
        <v/>
      </c>
      <c r="BG28" s="126"/>
      <c r="BI28" s="58"/>
      <c r="BJ28" s="57"/>
      <c r="BK28" s="120" t="str" cm="1">
        <f t="array" aca="1" ref="BK28" ca="1">IF(BJ26="●",
INDIRECT("'盛付札（関数）'!CP"&amp;BI25)+INDIRECT("'盛付札（関数）'!CP"&amp;BI25+1),
IF(BJ26="〇",
INDIRECT("'盛付札（関数）'!CP"&amp;BI25+1),INDIRECT("'盛付札（関数）'!CP"&amp;BI25)))</f>
        <v/>
      </c>
      <c r="BL28" s="121"/>
      <c r="BM28" s="88"/>
      <c r="BN28" s="125" t="str" cm="1">
        <f t="array" aca="1" ref="BN28" ca="1">IF(BK25&lt;&gt;"",
IF(OR(INDIRECT("'盛付札（関数）'!CK"&amp;BI25)=121,INDIRECT("'盛付札（関数）'!CK"&amp;BI25)=122,INDIRECT("'盛付札（関数）'!CK"&amp;BI25)=123,INDIRECT("'盛付札（関数）'!CK"&amp;BI25)=124),"",
IF(BJ26="●",
IFERROR(INDIRECT("'盛付札（関数）'!CQ"&amp;BI25)+INDIRECT("'盛付札（関数）'!CQ"&amp;BI25+1),""),
IF(BJ26="〇",
INDIRECT("'盛付札（関数）'!CQ"&amp;BI25+1),INDIRECT("'盛付札（関数）'!CQ"&amp;BI25)))),"")</f>
        <v/>
      </c>
      <c r="BO28" s="126"/>
      <c r="BP28" s="58"/>
      <c r="BQ28" s="57"/>
      <c r="BR28" s="120" t="str" cm="1">
        <f t="array" aca="1" ref="BR28" ca="1">IF(BQ26="●",
INDIRECT("'盛付札（関数）'!CP"&amp;BP25)+INDIRECT("'盛付札（関数）'!CP"&amp;BP25+1),
IF(BQ26="〇",
INDIRECT("'盛付札（関数）'!CP"&amp;BP25+1),INDIRECT("'盛付札（関数）'!CP"&amp;BP25)))</f>
        <v/>
      </c>
      <c r="BS28" s="121"/>
      <c r="BT28" s="88"/>
      <c r="BU28" s="125" t="str" cm="1">
        <f t="array" aca="1" ref="BU28" ca="1">IF(BR25&lt;&gt;"",
IF(OR(INDIRECT("'盛付札（関数）'!CK"&amp;BP25)=121,INDIRECT("'盛付札（関数）'!CK"&amp;BP25)=122,INDIRECT("'盛付札（関数）'!CK"&amp;BP25)=123,INDIRECT("'盛付札（関数）'!CK"&amp;BP25)=124),"",
IF(BQ26="●",
IFERROR(INDIRECT("'盛付札（関数）'!CQ"&amp;BP25)+INDIRECT("'盛付札（関数）'!CQ"&amp;BP25+1),""),
IF(BQ26="〇",
INDIRECT("'盛付札（関数）'!CQ"&amp;BP25+1),INDIRECT("'盛付札（関数）'!CQ"&amp;BP25)))),"")</f>
        <v/>
      </c>
      <c r="BV28" s="126"/>
    </row>
    <row r="29" spans="1:75" ht="15.6" customHeight="1" x14ac:dyDescent="0.45">
      <c r="A29" s="58"/>
      <c r="B29" s="59"/>
      <c r="C29" s="122"/>
      <c r="D29" s="122"/>
      <c r="E29" s="81"/>
      <c r="F29" s="127"/>
      <c r="G29" s="128"/>
      <c r="H29" s="58"/>
      <c r="I29" s="59"/>
      <c r="J29" s="122"/>
      <c r="K29" s="122"/>
      <c r="L29" s="81"/>
      <c r="M29" s="127"/>
      <c r="N29" s="128"/>
      <c r="P29" s="58"/>
      <c r="Q29" s="59"/>
      <c r="R29" s="122"/>
      <c r="S29" s="122"/>
      <c r="T29" s="81"/>
      <c r="U29" s="127"/>
      <c r="V29" s="128"/>
      <c r="W29" s="58"/>
      <c r="X29" s="59"/>
      <c r="Y29" s="122"/>
      <c r="Z29" s="122"/>
      <c r="AA29" s="81"/>
      <c r="AB29" s="127"/>
      <c r="AC29" s="128"/>
      <c r="AE29" s="58"/>
      <c r="AF29" s="59"/>
      <c r="AG29" s="122"/>
      <c r="AH29" s="122"/>
      <c r="AI29" s="81"/>
      <c r="AJ29" s="127"/>
      <c r="AK29" s="128"/>
      <c r="AL29" s="58"/>
      <c r="AM29" s="59"/>
      <c r="AN29" s="122"/>
      <c r="AO29" s="122"/>
      <c r="AP29" s="81"/>
      <c r="AQ29" s="127"/>
      <c r="AR29" s="128"/>
      <c r="AT29" s="58"/>
      <c r="AU29" s="59"/>
      <c r="AV29" s="122"/>
      <c r="AW29" s="122"/>
      <c r="AX29" s="81"/>
      <c r="AY29" s="127"/>
      <c r="AZ29" s="128"/>
      <c r="BA29" s="58"/>
      <c r="BB29" s="59"/>
      <c r="BC29" s="122"/>
      <c r="BD29" s="122"/>
      <c r="BE29" s="81"/>
      <c r="BF29" s="127"/>
      <c r="BG29" s="128"/>
      <c r="BI29" s="58"/>
      <c r="BJ29" s="59"/>
      <c r="BK29" s="122"/>
      <c r="BL29" s="122"/>
      <c r="BM29" s="81"/>
      <c r="BN29" s="127"/>
      <c r="BO29" s="128"/>
      <c r="BP29" s="58"/>
      <c r="BQ29" s="59"/>
      <c r="BR29" s="122"/>
      <c r="BS29" s="122"/>
      <c r="BT29" s="81"/>
      <c r="BU29" s="127"/>
      <c r="BV29" s="128"/>
    </row>
    <row r="30" spans="1:75" s="68" customFormat="1" x14ac:dyDescent="0.55000000000000004">
      <c r="A30" s="53"/>
      <c r="B30" s="74" t="str" cm="1">
        <f t="array" aca="1" ref="B30" ca="1">IF(C25&lt;&gt;"",
IF(OR(INDIRECT("'盛付札（関数）'!CK"&amp;A25)=121,INDIRECT("'盛付札（関数）'!CK"&amp;A25)=122,INDIRECT("'盛付札（関数）'!CK"&amp;A25)=123,INDIRECT("'盛付札（関数）'!CK"&amp;A25)=124),"",
"パン箱"),"")</f>
        <v/>
      </c>
      <c r="C30" s="72" t="str" cm="1">
        <f t="array" aca="1" ref="C30" ca="1">IF(C25&lt;&gt;"",
IF(OR(INDIRECT("'盛付札（関数）'!CK"&amp;A25)=121,INDIRECT("'盛付札（関数）'!CK"&amp;A25)=122,INDIRECT("'盛付札（関数）'!CK"&amp;A25)=123,INDIRECT("'盛付札（関数）'!CK"&amp;A25)=124),"",
IF(B26="〇",
INDIRECT("'盛付札（関数）'!CR"&amp;A25+1),INDIRECT("'盛付札（関数）'!CR"&amp;A25))),"")</f>
        <v/>
      </c>
      <c r="D30" s="74" t="str" cm="1">
        <f t="array" aca="1" ref="D30" ca="1">IF(C25&lt;&gt;"",
IF(OR(INDIRECT("'盛付札（関数）'!CK"&amp;A25)=121,INDIRECT("'盛付札（関数）'!CK"&amp;A25)=122,INDIRECT("'盛付札（関数）'!CK"&amp;A25)=123,INDIRECT("'盛付札（関数）'!CK"&amp;A25)=124),"",
"端数"),"")</f>
        <v/>
      </c>
      <c r="E30" s="72"/>
      <c r="F30" s="74" t="str" cm="1">
        <f t="array" aca="1" ref="F30" ca="1">IF(C25&lt;&gt;"",
IF(OR(INDIRECT("'盛付札（関数）'!CK"&amp;A25)=121,INDIRECT("'盛付札（関数）'!CK"&amp;A25)=122,INDIRECT("'盛付札（関数）'!CK"&amp;A25)=123,INDIRECT("'盛付札（関数）'!CK"&amp;A25)=124),"",
"アレルギー"),"")</f>
        <v/>
      </c>
      <c r="G30" s="77"/>
      <c r="H30" s="53"/>
      <c r="I30" s="74" t="str" cm="1">
        <f t="array" aca="1" ref="I30" ca="1">IF(J25&lt;&gt;"",
IF(OR(INDIRECT("'盛付札（関数）'!CK"&amp;H25)=121,INDIRECT("'盛付札（関数）'!CK"&amp;H25)=122,INDIRECT("'盛付札（関数）'!CK"&amp;H25)=123,INDIRECT("'盛付札（関数）'!CK"&amp;H25)=124),"",
"パン箱"),"")</f>
        <v/>
      </c>
      <c r="J30" s="72" t="str" cm="1">
        <f t="array" aca="1" ref="J30" ca="1">IF(J25&lt;&gt;"",
IF(OR(INDIRECT("'盛付札（関数）'!CK"&amp;H25)=121,INDIRECT("'盛付札（関数）'!CK"&amp;H25)=122,INDIRECT("'盛付札（関数）'!CK"&amp;H25)=123,INDIRECT("'盛付札（関数）'!CK"&amp;H25)=124),"",
IF(I26="〇",
INDIRECT("'盛付札（関数）'!CR"&amp;H25+1),INDIRECT("'盛付札（関数）'!CR"&amp;H25))),"")</f>
        <v/>
      </c>
      <c r="K30" s="74" t="str" cm="1">
        <f t="array" aca="1" ref="K30" ca="1">IF(J25&lt;&gt;"",
IF(OR(INDIRECT("'盛付札（関数）'!CK"&amp;H25)=121,INDIRECT("'盛付札（関数）'!CK"&amp;H25)=122,INDIRECT("'盛付札（関数）'!CK"&amp;H25)=123,INDIRECT("'盛付札（関数）'!CK"&amp;H25)=124),"",
"端数"),"")</f>
        <v/>
      </c>
      <c r="L30" s="72"/>
      <c r="M30" s="74" t="str" cm="1">
        <f t="array" aca="1" ref="M30" ca="1">IF(J25&lt;&gt;"",
IF(OR(INDIRECT("'盛付札（関数）'!CK"&amp;H25)=121,INDIRECT("'盛付札（関数）'!CK"&amp;H25)=122,INDIRECT("'盛付札（関数）'!CK"&amp;H25)=123,INDIRECT("'盛付札（関数）'!CK"&amp;H25)=124),"",
"アレルギー"),"")</f>
        <v/>
      </c>
      <c r="N30" s="77"/>
      <c r="O30" s="53"/>
      <c r="P30" s="53"/>
      <c r="Q30" s="74" t="str" cm="1">
        <f t="array" aca="1" ref="Q30" ca="1">IF(R25&lt;&gt;"",
IF(OR(INDIRECT("'盛付札（関数）'!CK"&amp;P25)=121,INDIRECT("'盛付札（関数）'!CK"&amp;P25)=122,INDIRECT("'盛付札（関数）'!CK"&amp;P25)=123,INDIRECT("'盛付札（関数）'!CK"&amp;P25)=124),"",
"パン箱"),"")</f>
        <v/>
      </c>
      <c r="R30" s="72" t="str" cm="1">
        <f t="array" aca="1" ref="R30" ca="1">IF(R25&lt;&gt;"",
IF(OR(INDIRECT("'盛付札（関数）'!CK"&amp;P25)=121,INDIRECT("'盛付札（関数）'!CK"&amp;P25)=122,INDIRECT("'盛付札（関数）'!CK"&amp;P25)=123,INDIRECT("'盛付札（関数）'!CK"&amp;P25)=124),"",
IF(Q26="〇",
INDIRECT("'盛付札（関数）'!CR"&amp;P25+1),INDIRECT("'盛付札（関数）'!CR"&amp;P25))),"")</f>
        <v/>
      </c>
      <c r="S30" s="74" t="str" cm="1">
        <f t="array" aca="1" ref="S30" ca="1">IF(R25&lt;&gt;"",
IF(OR(INDIRECT("'盛付札（関数）'!CK"&amp;P25)=121,INDIRECT("'盛付札（関数）'!CK"&amp;P25)=122,INDIRECT("'盛付札（関数）'!CK"&amp;P25)=123,INDIRECT("'盛付札（関数）'!CK"&amp;P25)=124),"",
"端数"),"")</f>
        <v/>
      </c>
      <c r="T30" s="72"/>
      <c r="U30" s="74" t="str" cm="1">
        <f t="array" aca="1" ref="U30" ca="1">IF(R25&lt;&gt;"",
IF(OR(INDIRECT("'盛付札（関数）'!CK"&amp;P25)=121,INDIRECT("'盛付札（関数）'!CK"&amp;P25)=122,INDIRECT("'盛付札（関数）'!CK"&amp;P25)=123,INDIRECT("'盛付札（関数）'!CK"&amp;P25)=124),"",
"アレルギー"),"")</f>
        <v/>
      </c>
      <c r="V30" s="77"/>
      <c r="W30" s="53"/>
      <c r="X30" s="74" t="str" cm="1">
        <f t="array" aca="1" ref="X30" ca="1">IF(Y25&lt;&gt;"",
IF(OR(INDIRECT("'盛付札（関数）'!CK"&amp;W25)=121,INDIRECT("'盛付札（関数）'!CK"&amp;W25)=122,INDIRECT("'盛付札（関数）'!CK"&amp;W25)=123,INDIRECT("'盛付札（関数）'!CK"&amp;W25)=124),"",
"パン箱"),"")</f>
        <v/>
      </c>
      <c r="Y30" s="72" t="str" cm="1">
        <f t="array" aca="1" ref="Y30" ca="1">IF(Y25&lt;&gt;"",
IF(OR(INDIRECT("'盛付札（関数）'!CK"&amp;W25)=121,INDIRECT("'盛付札（関数）'!CK"&amp;W25)=122,INDIRECT("'盛付札（関数）'!CK"&amp;W25)=123,INDIRECT("'盛付札（関数）'!CK"&amp;W25)=124),"",
IF(X26="〇",
INDIRECT("'盛付札（関数）'!CR"&amp;W25+1),INDIRECT("'盛付札（関数）'!CR"&amp;W25))),"")</f>
        <v/>
      </c>
      <c r="Z30" s="74" t="str" cm="1">
        <f t="array" aca="1" ref="Z30" ca="1">IF(Y25&lt;&gt;"",
IF(OR(INDIRECT("'盛付札（関数）'!CK"&amp;W25)=121,INDIRECT("'盛付札（関数）'!CK"&amp;W25)=122,INDIRECT("'盛付札（関数）'!CK"&amp;W25)=123,INDIRECT("'盛付札（関数）'!CK"&amp;W25)=124),"",
"端数"),"")</f>
        <v/>
      </c>
      <c r="AA30" s="72"/>
      <c r="AB30" s="74" t="str" cm="1">
        <f t="array" aca="1" ref="AB30" ca="1">IF(Y25&lt;&gt;"",
IF(OR(INDIRECT("'盛付札（関数）'!CK"&amp;W25)=121,INDIRECT("'盛付札（関数）'!CK"&amp;W25)=122,INDIRECT("'盛付札（関数）'!CK"&amp;W25)=123,INDIRECT("'盛付札（関数）'!CK"&amp;W25)=124),"",
"アレルギー"),"")</f>
        <v/>
      </c>
      <c r="AC30" s="77"/>
      <c r="AD30" s="53"/>
      <c r="AE30" s="53"/>
      <c r="AF30" s="74" t="str" cm="1">
        <f t="array" aca="1" ref="AF30" ca="1">IF(AG25&lt;&gt;"",
IF(OR(INDIRECT("'盛付札（関数）'!CK"&amp;AE25)=121,INDIRECT("'盛付札（関数）'!CK"&amp;AE25)=122,INDIRECT("'盛付札（関数）'!CK"&amp;AE25)=123,INDIRECT("'盛付札（関数）'!CK"&amp;AE25)=124),"",
"パン箱"),"")</f>
        <v/>
      </c>
      <c r="AG30" s="72" t="str" cm="1">
        <f t="array" aca="1" ref="AG30" ca="1">IF(AG25&lt;&gt;"",
IF(OR(INDIRECT("'盛付札（関数）'!CK"&amp;AE25)=121,INDIRECT("'盛付札（関数）'!CK"&amp;AE25)=122,INDIRECT("'盛付札（関数）'!CK"&amp;AE25)=123,INDIRECT("'盛付札（関数）'!CK"&amp;AE25)=124),"",
IF(AF26="〇",
INDIRECT("'盛付札（関数）'!CR"&amp;AE25+1),INDIRECT("'盛付札（関数）'!CR"&amp;AE25))),"")</f>
        <v/>
      </c>
      <c r="AH30" s="74" t="str" cm="1">
        <f t="array" aca="1" ref="AH30" ca="1">IF(AG25&lt;&gt;"",
IF(OR(INDIRECT("'盛付札（関数）'!CK"&amp;AE25)=121,INDIRECT("'盛付札（関数）'!CK"&amp;AE25)=122,INDIRECT("'盛付札（関数）'!CK"&amp;AE25)=123,INDIRECT("'盛付札（関数）'!CK"&amp;AE25)=124),"",
"端数"),"")</f>
        <v/>
      </c>
      <c r="AI30" s="72"/>
      <c r="AJ30" s="74" t="str" cm="1">
        <f t="array" aca="1" ref="AJ30" ca="1">IF(AG25&lt;&gt;"",
IF(OR(INDIRECT("'盛付札（関数）'!CK"&amp;AE25)=121,INDIRECT("'盛付札（関数）'!CK"&amp;AE25)=122,INDIRECT("'盛付札（関数）'!CK"&amp;AE25)=123,INDIRECT("'盛付札（関数）'!CK"&amp;AE25)=124),"",
"アレルギー"),"")</f>
        <v/>
      </c>
      <c r="AK30" s="77"/>
      <c r="AL30" s="53"/>
      <c r="AM30" s="74" t="str" cm="1">
        <f t="array" aca="1" ref="AM30" ca="1">IF(AN25&lt;&gt;"",
IF(OR(INDIRECT("'盛付札（関数）'!CK"&amp;AL25)=121,INDIRECT("'盛付札（関数）'!CK"&amp;AL25)=122,INDIRECT("'盛付札（関数）'!CK"&amp;AL25)=123,INDIRECT("'盛付札（関数）'!CK"&amp;AL25)=124),"",
"パン箱"),"")</f>
        <v/>
      </c>
      <c r="AN30" s="72" t="str" cm="1">
        <f t="array" aca="1" ref="AN30" ca="1">IF(AN25&lt;&gt;"",
IF(OR(INDIRECT("'盛付札（関数）'!CK"&amp;AL25)=121,INDIRECT("'盛付札（関数）'!CK"&amp;AL25)=122,INDIRECT("'盛付札（関数）'!CK"&amp;AL25)=123,INDIRECT("'盛付札（関数）'!CK"&amp;AL25)=124),"",
IF(AM26="〇",
INDIRECT("'盛付札（関数）'!CR"&amp;AL25+1),INDIRECT("'盛付札（関数）'!CR"&amp;AL25))),"")</f>
        <v/>
      </c>
      <c r="AO30" s="74" t="str" cm="1">
        <f t="array" aca="1" ref="AO30" ca="1">IF(AN25&lt;&gt;"",
IF(OR(INDIRECT("'盛付札（関数）'!CK"&amp;AL25)=121,INDIRECT("'盛付札（関数）'!CK"&amp;AL25)=122,INDIRECT("'盛付札（関数）'!CK"&amp;AL25)=123,INDIRECT("'盛付札（関数）'!CK"&amp;AL25)=124),"",
"端数"),"")</f>
        <v/>
      </c>
      <c r="AP30" s="72"/>
      <c r="AQ30" s="74" t="str" cm="1">
        <f t="array" aca="1" ref="AQ30" ca="1">IF(AN25&lt;&gt;"",
IF(OR(INDIRECT("'盛付札（関数）'!CK"&amp;AL25)=121,INDIRECT("'盛付札（関数）'!CK"&amp;AL25)=122,INDIRECT("'盛付札（関数）'!CK"&amp;AL25)=123,INDIRECT("'盛付札（関数）'!CK"&amp;AL25)=124),"",
"アレルギー"),"")</f>
        <v/>
      </c>
      <c r="AR30" s="77"/>
      <c r="AS30" s="53"/>
      <c r="AT30" s="53"/>
      <c r="AU30" s="74" t="str" cm="1">
        <f t="array" aca="1" ref="AU30" ca="1">IF(AV25&lt;&gt;"",
IF(OR(INDIRECT("'盛付札（関数）'!CK"&amp;AT25)=121,INDIRECT("'盛付札（関数）'!CK"&amp;AT25)=122,INDIRECT("'盛付札（関数）'!CK"&amp;AT25)=123,INDIRECT("'盛付札（関数）'!CK"&amp;AT25)=124),"",
"パン箱"),"")</f>
        <v/>
      </c>
      <c r="AV30" s="72" t="str" cm="1">
        <f t="array" aca="1" ref="AV30" ca="1">IF(AV25&lt;&gt;"",
IF(OR(INDIRECT("'盛付札（関数）'!CK"&amp;AT25)=121,INDIRECT("'盛付札（関数）'!CK"&amp;AT25)=122,INDIRECT("'盛付札（関数）'!CK"&amp;AT25)=123,INDIRECT("'盛付札（関数）'!CK"&amp;AT25)=124),"",
IF(AU26="〇",
INDIRECT("'盛付札（関数）'!CR"&amp;AT25+1),INDIRECT("'盛付札（関数）'!CR"&amp;AT25))),"")</f>
        <v/>
      </c>
      <c r="AW30" s="74" t="str" cm="1">
        <f t="array" aca="1" ref="AW30" ca="1">IF(AV25&lt;&gt;"",
IF(OR(INDIRECT("'盛付札（関数）'!CK"&amp;AT25)=121,INDIRECT("'盛付札（関数）'!CK"&amp;AT25)=122,INDIRECT("'盛付札（関数）'!CK"&amp;AT25)=123,INDIRECT("'盛付札（関数）'!CK"&amp;AT25)=124),"",
"端数"),"")</f>
        <v/>
      </c>
      <c r="AX30" s="72"/>
      <c r="AY30" s="74" t="str" cm="1">
        <f t="array" aca="1" ref="AY30" ca="1">IF(AV25&lt;&gt;"",
IF(OR(INDIRECT("'盛付札（関数）'!CK"&amp;AT25)=121,INDIRECT("'盛付札（関数）'!CK"&amp;AT25)=122,INDIRECT("'盛付札（関数）'!CK"&amp;AT25)=123,INDIRECT("'盛付札（関数）'!CK"&amp;AT25)=124),"",
"アレルギー"),"")</f>
        <v/>
      </c>
      <c r="AZ30" s="77"/>
      <c r="BA30" s="53"/>
      <c r="BB30" s="74" t="str" cm="1">
        <f t="array" aca="1" ref="BB30" ca="1">IF(BC25&lt;&gt;"",
IF(OR(INDIRECT("'盛付札（関数）'!CK"&amp;BA25)=121,INDIRECT("'盛付札（関数）'!CK"&amp;BA25)=122,INDIRECT("'盛付札（関数）'!CK"&amp;BA25)=123,INDIRECT("'盛付札（関数）'!CK"&amp;BA25)=124),"",
"パン箱"),"")</f>
        <v/>
      </c>
      <c r="BC30" s="72" t="str" cm="1">
        <f t="array" aca="1" ref="BC30" ca="1">IF(BC25&lt;&gt;"",
IF(OR(INDIRECT("'盛付札（関数）'!CK"&amp;BA25)=121,INDIRECT("'盛付札（関数）'!CK"&amp;BA25)=122,INDIRECT("'盛付札（関数）'!CK"&amp;BA25)=123,INDIRECT("'盛付札（関数）'!CK"&amp;BA25)=124),"",
IF(BB26="〇",
INDIRECT("'盛付札（関数）'!CR"&amp;BA25+1),INDIRECT("'盛付札（関数）'!CR"&amp;BA25))),"")</f>
        <v/>
      </c>
      <c r="BD30" s="74" t="str" cm="1">
        <f t="array" aca="1" ref="BD30" ca="1">IF(BC25&lt;&gt;"",
IF(OR(INDIRECT("'盛付札（関数）'!CK"&amp;BA25)=121,INDIRECT("'盛付札（関数）'!CK"&amp;BA25)=122,INDIRECT("'盛付札（関数）'!CK"&amp;BA25)=123,INDIRECT("'盛付札（関数）'!CK"&amp;BA25)=124),"",
"端数"),"")</f>
        <v/>
      </c>
      <c r="BE30" s="72"/>
      <c r="BF30" s="74" t="str" cm="1">
        <f t="array" aca="1" ref="BF30" ca="1">IF(BC25&lt;&gt;"",
IF(OR(INDIRECT("'盛付札（関数）'!CK"&amp;BA25)=121,INDIRECT("'盛付札（関数）'!CK"&amp;BA25)=122,INDIRECT("'盛付札（関数）'!CK"&amp;BA25)=123,INDIRECT("'盛付札（関数）'!CK"&amp;BA25)=124),"",
"アレルギー"),"")</f>
        <v/>
      </c>
      <c r="BG30" s="77"/>
      <c r="BH30" s="53"/>
      <c r="BI30" s="53"/>
      <c r="BJ30" s="74" t="str" cm="1">
        <f t="array" aca="1" ref="BJ30" ca="1">IF(BK25&lt;&gt;"",
IF(OR(INDIRECT("'盛付札（関数）'!CK"&amp;BI25)=121,INDIRECT("'盛付札（関数）'!CK"&amp;BI25)=122,INDIRECT("'盛付札（関数）'!CK"&amp;BI25)=123,INDIRECT("'盛付札（関数）'!CK"&amp;BI25)=124),"",
"パン箱"),"")</f>
        <v/>
      </c>
      <c r="BK30" s="72" t="str" cm="1">
        <f t="array" aca="1" ref="BK30" ca="1">IF(BK25&lt;&gt;"",
IF(OR(INDIRECT("'盛付札（関数）'!CK"&amp;BI25)=121,INDIRECT("'盛付札（関数）'!CK"&amp;BI25)=122,INDIRECT("'盛付札（関数）'!CK"&amp;BI25)=123,INDIRECT("'盛付札（関数）'!CK"&amp;BI25)=124),"",
IF(BJ26="〇",
INDIRECT("'盛付札（関数）'!CR"&amp;BI25+1),INDIRECT("'盛付札（関数）'!CR"&amp;BI25))),"")</f>
        <v/>
      </c>
      <c r="BL30" s="74" t="str" cm="1">
        <f t="array" aca="1" ref="BL30" ca="1">IF(BK25&lt;&gt;"",
IF(OR(INDIRECT("'盛付札（関数）'!CK"&amp;BI25)=121,INDIRECT("'盛付札（関数）'!CK"&amp;BI25)=122,INDIRECT("'盛付札（関数）'!CK"&amp;BI25)=123,INDIRECT("'盛付札（関数）'!CK"&amp;BI25)=124),"",
"端数"),"")</f>
        <v/>
      </c>
      <c r="BM30" s="72"/>
      <c r="BN30" s="74" t="str" cm="1">
        <f t="array" aca="1" ref="BN30" ca="1">IF(BK25&lt;&gt;"",
IF(OR(INDIRECT("'盛付札（関数）'!CK"&amp;BI25)=121,INDIRECT("'盛付札（関数）'!CK"&amp;BI25)=122,INDIRECT("'盛付札（関数）'!CK"&amp;BI25)=123,INDIRECT("'盛付札（関数）'!CK"&amp;BI25)=124),"",
"アレルギー"),"")</f>
        <v/>
      </c>
      <c r="BO30" s="77"/>
      <c r="BP30" s="53"/>
      <c r="BQ30" s="74" t="str" cm="1">
        <f t="array" aca="1" ref="BQ30" ca="1">IF(BR25&lt;&gt;"",
IF(OR(INDIRECT("'盛付札（関数）'!CK"&amp;BP25)=121,INDIRECT("'盛付札（関数）'!CK"&amp;BP25)=122,INDIRECT("'盛付札（関数）'!CK"&amp;BP25)=123,INDIRECT("'盛付札（関数）'!CK"&amp;BP25)=124),"",
"パン箱"),"")</f>
        <v/>
      </c>
      <c r="BR30" s="72" t="str" cm="1">
        <f t="array" aca="1" ref="BR30" ca="1">IF(BR25&lt;&gt;"",
IF(OR(INDIRECT("'盛付札（関数）'!CK"&amp;BP25)=121,INDIRECT("'盛付札（関数）'!CK"&amp;BP25)=122,INDIRECT("'盛付札（関数）'!CK"&amp;BP25)=123,INDIRECT("'盛付札（関数）'!CK"&amp;BP25)=124),"",
IF(BQ26="〇",
INDIRECT("'盛付札（関数）'!CR"&amp;BP25+1),INDIRECT("'盛付札（関数）'!CR"&amp;BP25))),"")</f>
        <v/>
      </c>
      <c r="BS30" s="74" t="str" cm="1">
        <f t="array" aca="1" ref="BS30" ca="1">IF(BR25&lt;&gt;"",
IF(OR(INDIRECT("'盛付札（関数）'!CK"&amp;BP25)=121,INDIRECT("'盛付札（関数）'!CK"&amp;BP25)=122,INDIRECT("'盛付札（関数）'!CK"&amp;BP25)=123,INDIRECT("'盛付札（関数）'!CK"&amp;BP25)=124),"",
"端数"),"")</f>
        <v/>
      </c>
      <c r="BT30" s="72"/>
      <c r="BU30" s="74" t="str" cm="1">
        <f t="array" aca="1" ref="BU30" ca="1">IF(BR25&lt;&gt;"",
IF(OR(INDIRECT("'盛付札（関数）'!CK"&amp;BP25)=121,INDIRECT("'盛付札（関数）'!CK"&amp;BP25)=122,INDIRECT("'盛付札（関数）'!CK"&amp;BP25)=123,INDIRECT("'盛付札（関数）'!CK"&amp;BP25)=124),"",
"アレルギー"),"")</f>
        <v/>
      </c>
      <c r="BV30" s="77"/>
      <c r="BW30" s="53"/>
    </row>
    <row r="31" spans="1:75" ht="27.6" customHeight="1" x14ac:dyDescent="0.45">
      <c r="B31" s="124" t="str">
        <f ca="1">IF(C28&lt;&gt;"",
IFERROR(INT(C28/C30),""),"")</f>
        <v/>
      </c>
      <c r="C31" s="119"/>
      <c r="D31" s="124" t="str">
        <f ca="1">IFERROR(MOD(C28,C30),"")</f>
        <v/>
      </c>
      <c r="E31" s="119"/>
      <c r="F31" s="118" t="str" cm="1">
        <f t="array" aca="1" ref="F31" ca="1">IF(C25&lt;&gt;"",
IF(OR(INDIRECT("'盛付札（関数）'!CK"&amp;A25)=121,INDIRECT("'盛付札（関数）'!CK"&amp;A25)=122,INDIRECT("'盛付札（関数）'!CK"&amp;A25)=123,INDIRECT("'盛付札（関数）'!CK"&amp;A25)=124),"",
IF(B26="●",
IFERROR(INDIRECT("'盛付札（関数）'!CU"&amp;A25)+INDIRECT("'盛付札（関数）'!CU"&amp;A25+1),0),
IF(B26="〇",
INDIRECT("'盛付札（関数）'!CU"&amp;A25+1),INDIRECT("'盛付札（関数）'!CU"&amp;A25)))),"")</f>
        <v/>
      </c>
      <c r="G31" s="119"/>
      <c r="I31" s="124" t="str">
        <f ca="1">IF(J28&lt;&gt;"",
IFERROR(INT(J28/J30),""),"")</f>
        <v/>
      </c>
      <c r="J31" s="119"/>
      <c r="K31" s="124" t="str">
        <f ca="1">IFERROR(MOD(J28,J30),"")</f>
        <v/>
      </c>
      <c r="L31" s="119"/>
      <c r="M31" s="118" t="str" cm="1">
        <f t="array" aca="1" ref="M31" ca="1">IF(J25&lt;&gt;"",
IF(OR(INDIRECT("'盛付札（関数）'!CK"&amp;H25)=121,INDIRECT("'盛付札（関数）'!CK"&amp;H25)=122,INDIRECT("'盛付札（関数）'!CK"&amp;H25)=123,INDIRECT("'盛付札（関数）'!CK"&amp;H25)=124),"",
IF(I26="●",
IFERROR(INDIRECT("'盛付札（関数）'!CU"&amp;H25)+INDIRECT("'盛付札（関数）'!CU"&amp;H25+1),0),
IF(I26="〇",
INDIRECT("'盛付札（関数）'!CU"&amp;H25+1),INDIRECT("'盛付札（関数）'!CU"&amp;H25)))),"")</f>
        <v/>
      </c>
      <c r="N31" s="119"/>
      <c r="Q31" s="124" t="str">
        <f ca="1">IF(R28&lt;&gt;"",
IFERROR(INT(R28/R30),""),"")</f>
        <v/>
      </c>
      <c r="R31" s="119"/>
      <c r="S31" s="124" t="str">
        <f ca="1">IFERROR(MOD(R28,R30),"")</f>
        <v/>
      </c>
      <c r="T31" s="119"/>
      <c r="U31" s="118" t="str" cm="1">
        <f t="array" aca="1" ref="U31" ca="1">IF(R25&lt;&gt;"",
IF(OR(INDIRECT("'盛付札（関数）'!CK"&amp;P25)=121,INDIRECT("'盛付札（関数）'!CK"&amp;P25)=122,INDIRECT("'盛付札（関数）'!CK"&amp;P25)=123,INDIRECT("'盛付札（関数）'!CK"&amp;P25)=124),"",
IF(Q26="●",
IFERROR(INDIRECT("'盛付札（関数）'!CU"&amp;P25)+INDIRECT("'盛付札（関数）'!CU"&amp;P25+1),0),
IF(Q26="〇",
INDIRECT("'盛付札（関数）'!CU"&amp;P25+1),INDIRECT("'盛付札（関数）'!CU"&amp;P25)))),"")</f>
        <v/>
      </c>
      <c r="V31" s="119"/>
      <c r="X31" s="124" t="str">
        <f ca="1">IF(Y28&lt;&gt;"",
IFERROR(INT(Y28/Y30),""),"")</f>
        <v/>
      </c>
      <c r="Y31" s="119"/>
      <c r="Z31" s="124" t="str">
        <f ca="1">IFERROR(MOD(Y28,Y30),"")</f>
        <v/>
      </c>
      <c r="AA31" s="119"/>
      <c r="AB31" s="118" t="str" cm="1">
        <f t="array" aca="1" ref="AB31" ca="1">IF(Y25&lt;&gt;"",
IF(OR(INDIRECT("'盛付札（関数）'!CK"&amp;W25)=121,INDIRECT("'盛付札（関数）'!CK"&amp;W25)=122,INDIRECT("'盛付札（関数）'!CK"&amp;W25)=123,INDIRECT("'盛付札（関数）'!CK"&amp;W25)=124),"",
IF(X26="●",
IFERROR(INDIRECT("'盛付札（関数）'!CU"&amp;W25)+INDIRECT("'盛付札（関数）'!CU"&amp;W25+1),0),
IF(X26="〇",
INDIRECT("'盛付札（関数）'!CU"&amp;W25+1),INDIRECT("'盛付札（関数）'!CU"&amp;W25)))),"")</f>
        <v/>
      </c>
      <c r="AC31" s="119"/>
      <c r="AF31" s="124" t="str">
        <f ca="1">IF(AG28&lt;&gt;"",
IFERROR(INT(AG28/AG30),""),"")</f>
        <v/>
      </c>
      <c r="AG31" s="119"/>
      <c r="AH31" s="124" t="str">
        <f ca="1">IFERROR(MOD(AG28,AG30),"")</f>
        <v/>
      </c>
      <c r="AI31" s="119"/>
      <c r="AJ31" s="118" t="str" cm="1">
        <f t="array" aca="1" ref="AJ31" ca="1">IF(AG25&lt;&gt;"",
IF(OR(INDIRECT("'盛付札（関数）'!CK"&amp;AE25)=121,INDIRECT("'盛付札（関数）'!CK"&amp;AE25)=122,INDIRECT("'盛付札（関数）'!CK"&amp;AE25)=123,INDIRECT("'盛付札（関数）'!CK"&amp;AE25)=124),"",
IF(AF26="●",
IFERROR(INDIRECT("'盛付札（関数）'!CU"&amp;AE25)+INDIRECT("'盛付札（関数）'!CU"&amp;AE25+1),0),
IF(AF26="〇",
INDIRECT("'盛付札（関数）'!CU"&amp;AE25+1),INDIRECT("'盛付札（関数）'!CU"&amp;AE25)))),"")</f>
        <v/>
      </c>
      <c r="AK31" s="119"/>
      <c r="AM31" s="124" t="str">
        <f ca="1">IF(AN28&lt;&gt;"",
IFERROR(INT(AN28/AN30),""),"")</f>
        <v/>
      </c>
      <c r="AN31" s="119"/>
      <c r="AO31" s="124" t="str">
        <f ca="1">IFERROR(MOD(AN28,AN30),"")</f>
        <v/>
      </c>
      <c r="AP31" s="119"/>
      <c r="AQ31" s="118" t="str" cm="1">
        <f t="array" aca="1" ref="AQ31" ca="1">IF(AN25&lt;&gt;"",
IF(OR(INDIRECT("'盛付札（関数）'!CK"&amp;AL25)=121,INDIRECT("'盛付札（関数）'!CK"&amp;AL25)=122,INDIRECT("'盛付札（関数）'!CK"&amp;AL25)=123,INDIRECT("'盛付札（関数）'!CK"&amp;AL25)=124),"",
IF(AM26="●",
IFERROR(INDIRECT("'盛付札（関数）'!CU"&amp;AL25)+INDIRECT("'盛付札（関数）'!CU"&amp;AL25+1),0),
IF(AM26="〇",
INDIRECT("'盛付札（関数）'!CU"&amp;AL25+1),INDIRECT("'盛付札（関数）'!CU"&amp;AL25)))),"")</f>
        <v/>
      </c>
      <c r="AR31" s="119"/>
      <c r="AU31" s="124" t="str">
        <f ca="1">IF(AV28&lt;&gt;"",
IFERROR(INT(AV28/AV30),""),"")</f>
        <v/>
      </c>
      <c r="AV31" s="119"/>
      <c r="AW31" s="124" t="str">
        <f ca="1">IFERROR(MOD(AV28,AV30),"")</f>
        <v/>
      </c>
      <c r="AX31" s="119"/>
      <c r="AY31" s="118" t="str" cm="1">
        <f t="array" aca="1" ref="AY31" ca="1">IF(AV25&lt;&gt;"",
IF(OR(INDIRECT("'盛付札（関数）'!CK"&amp;AT25)=121,INDIRECT("'盛付札（関数）'!CK"&amp;AT25)=122,INDIRECT("'盛付札（関数）'!CK"&amp;AT25)=123,INDIRECT("'盛付札（関数）'!CK"&amp;AT25)=124),"",
IF(AU26="●",
IFERROR(INDIRECT("'盛付札（関数）'!CU"&amp;AT25)+INDIRECT("'盛付札（関数）'!CU"&amp;AT25+1),0),
IF(AU26="〇",
INDIRECT("'盛付札（関数）'!CU"&amp;AT25+1),INDIRECT("'盛付札（関数）'!CU"&amp;AT25)))),"")</f>
        <v/>
      </c>
      <c r="AZ31" s="119"/>
      <c r="BB31" s="124" t="str">
        <f ca="1">IF(BC28&lt;&gt;"",
IFERROR(INT(BC28/BC30),""),"")</f>
        <v/>
      </c>
      <c r="BC31" s="119"/>
      <c r="BD31" s="124" t="str">
        <f ca="1">IFERROR(MOD(BC28,BC30),"")</f>
        <v/>
      </c>
      <c r="BE31" s="119"/>
      <c r="BF31" s="118" t="str" cm="1">
        <f t="array" aca="1" ref="BF31" ca="1">IF(BC25&lt;&gt;"",
IF(OR(INDIRECT("'盛付札（関数）'!CK"&amp;BA25)=121,INDIRECT("'盛付札（関数）'!CK"&amp;BA25)=122,INDIRECT("'盛付札（関数）'!CK"&amp;BA25)=123,INDIRECT("'盛付札（関数）'!CK"&amp;BA25)=124),"",
IF(BB26="●",
IFERROR(INDIRECT("'盛付札（関数）'!CU"&amp;BA25)+INDIRECT("'盛付札（関数）'!CU"&amp;BA25+1),0),
IF(BB26="〇",
INDIRECT("'盛付札（関数）'!CU"&amp;BA25+1),INDIRECT("'盛付札（関数）'!CU"&amp;BA25)))),"")</f>
        <v/>
      </c>
      <c r="BG31" s="119"/>
      <c r="BJ31" s="124" t="str">
        <f ca="1">IF(BK28&lt;&gt;"",
IFERROR(INT(BK28/BK30),""),"")</f>
        <v/>
      </c>
      <c r="BK31" s="119"/>
      <c r="BL31" s="124" t="str">
        <f ca="1">IFERROR(MOD(BK28,BK30),"")</f>
        <v/>
      </c>
      <c r="BM31" s="119"/>
      <c r="BN31" s="118" t="str" cm="1">
        <f t="array" aca="1" ref="BN31" ca="1">IF(BK25&lt;&gt;"",
IF(OR(INDIRECT("'盛付札（関数）'!CK"&amp;BI25)=121,INDIRECT("'盛付札（関数）'!CK"&amp;BI25)=122,INDIRECT("'盛付札（関数）'!CK"&amp;BI25)=123,INDIRECT("'盛付札（関数）'!CK"&amp;BI25)=124),"",
IF(BJ26="●",
IFERROR(INDIRECT("'盛付札（関数）'!CU"&amp;BI25)+INDIRECT("'盛付札（関数）'!CU"&amp;BI25+1),0),
IF(BJ26="〇",
INDIRECT("'盛付札（関数）'!CU"&amp;BI25+1),INDIRECT("'盛付札（関数）'!CU"&amp;BI25)))),"")</f>
        <v/>
      </c>
      <c r="BO31" s="119"/>
      <c r="BQ31" s="124" t="str">
        <f ca="1">IF(BR28&lt;&gt;"",
IFERROR(INT(BR28/BR30),""),"")</f>
        <v/>
      </c>
      <c r="BR31" s="119"/>
      <c r="BS31" s="124" t="str">
        <f ca="1">IFERROR(MOD(BR28,BR30),"")</f>
        <v/>
      </c>
      <c r="BT31" s="119"/>
      <c r="BU31" s="118" t="str" cm="1">
        <f t="array" aca="1" ref="BU31" ca="1">IF(BR25&lt;&gt;"",
IF(OR(INDIRECT("'盛付札（関数）'!CK"&amp;BP25)=121,INDIRECT("'盛付札（関数）'!CK"&amp;BP25)=122,INDIRECT("'盛付札（関数）'!CK"&amp;BP25)=123,INDIRECT("'盛付札（関数）'!CK"&amp;BP25)=124),"",
IF(BQ26="●",
IFERROR(INDIRECT("'盛付札（関数）'!CU"&amp;BP25)+INDIRECT("'盛付札（関数）'!CU"&amp;BP25+1),0),
IF(BQ26="〇",
INDIRECT("'盛付札（関数）'!CU"&amp;BP25+1),INDIRECT("'盛付札（関数）'!CU"&amp;BP25)))),"")</f>
        <v/>
      </c>
      <c r="BV31" s="119"/>
    </row>
    <row r="32" spans="1:75" ht="9.6" customHeight="1" x14ac:dyDescent="0.45">
      <c r="B32" s="82"/>
      <c r="D32" s="82"/>
      <c r="F32" s="83"/>
      <c r="G32" s="65"/>
      <c r="I32" s="82"/>
      <c r="K32" s="82"/>
      <c r="M32" s="83"/>
      <c r="N32" s="65"/>
      <c r="Q32" s="82"/>
      <c r="S32" s="82"/>
      <c r="U32" s="83"/>
      <c r="V32" s="65"/>
      <c r="X32" s="82"/>
      <c r="Z32" s="82"/>
      <c r="AB32" s="83"/>
      <c r="AC32" s="65"/>
      <c r="AF32" s="82"/>
      <c r="AH32" s="82"/>
      <c r="AJ32" s="83"/>
      <c r="AK32" s="65"/>
      <c r="AM32" s="82"/>
      <c r="AO32" s="82"/>
      <c r="AQ32" s="83"/>
      <c r="AR32" s="65"/>
      <c r="AU32" s="82"/>
      <c r="AW32" s="82"/>
      <c r="AY32" s="83"/>
      <c r="AZ32" s="65"/>
      <c r="BB32" s="82"/>
      <c r="BD32" s="82"/>
      <c r="BF32" s="83"/>
      <c r="BG32" s="65"/>
      <c r="BJ32" s="82"/>
      <c r="BL32" s="82"/>
      <c r="BN32" s="83"/>
      <c r="BO32" s="65"/>
      <c r="BQ32" s="82"/>
      <c r="BS32" s="82"/>
      <c r="BU32" s="83"/>
      <c r="BV32" s="65"/>
    </row>
    <row r="33" spans="1:75" s="68" customFormat="1" ht="25.8" customHeight="1" x14ac:dyDescent="0.55000000000000004">
      <c r="A33" s="67">
        <f ca="1">IF(COUNTIF(INDIRECT("'盛付札（関数）'!CL"&amp;H25+1),"*社食*"),
H25+2,H25+1)</f>
        <v>9</v>
      </c>
      <c r="B33" s="80" t="str">
        <f ca="1">IF(C33&lt;&gt;"",
MID(貼り付け用!$A$2, FIND("年",貼り付け用!$A$2)+1,2)&amp;"/"&amp;MID(貼り付け用!$A$2, FIND("月",貼り付け用!$A$2)+1,2),"")</f>
        <v/>
      </c>
      <c r="C33" s="164" t="str" cm="1">
        <f t="array" aca="1" ref="C33" ca="1">IF(B34="〇",
INDIRECT("'盛付札（関数）'!CL"&amp;A33+1),INDIRECT("'盛付札（関数）'!CL"&amp;A33))</f>
        <v/>
      </c>
      <c r="D33" s="165"/>
      <c r="E33" s="165"/>
      <c r="F33" s="165"/>
      <c r="G33" s="79" t="str">
        <f ca="1">IF(C33&lt;&gt;"","様","")</f>
        <v/>
      </c>
      <c r="H33" s="67">
        <f ca="1">IF(C33="配送",
A33+1,
IF(COUNTIF(INDIRECT("'盛付札（関数）'!CL"&amp;A33+1),"*社食*"),
A33+2,A33+1))</f>
        <v>10</v>
      </c>
      <c r="I33" s="80" t="str">
        <f ca="1">IF(J33&lt;&gt;"",
MID(貼り付け用!$A$2, FIND("年",貼り付け用!$A$2)+1,2)&amp;"/"&amp;MID(貼り付け用!$A$2, FIND("月",貼り付け用!$A$2)+1,2),"")</f>
        <v/>
      </c>
      <c r="J33" s="164" t="str" cm="1">
        <f t="array" aca="1" ref="J33" ca="1">IF(I34="〇",
INDIRECT("'盛付札（関数）'!CL"&amp;H33+1),INDIRECT("'盛付札（関数）'!CL"&amp;H33))</f>
        <v/>
      </c>
      <c r="K33" s="165"/>
      <c r="L33" s="165"/>
      <c r="M33" s="165"/>
      <c r="N33" s="79" t="str">
        <f ca="1">IF(J33&lt;&gt;"","様","")</f>
        <v/>
      </c>
      <c r="O33" s="53"/>
      <c r="P33" s="67">
        <f ca="1">IF(COUNTIF(INDIRECT("'盛付札（関数）'!CL"&amp;W25+1),"*社食*"),
W25+2,W25+1)</f>
        <v>21</v>
      </c>
      <c r="Q33" s="80" t="str">
        <f ca="1">IF(R33&lt;&gt;"",
MID(貼り付け用!$A$2, FIND("年",貼り付け用!$A$2)+1,2)&amp;"/"&amp;MID(貼り付け用!$A$2, FIND("月",貼り付け用!$A$2)+1,2),"")</f>
        <v/>
      </c>
      <c r="R33" s="164" t="str" cm="1">
        <f t="array" aca="1" ref="R33" ca="1">IF(Q34="〇",
INDIRECT("'盛付札（関数）'!CL"&amp;P33+1),INDIRECT("'盛付札（関数）'!CL"&amp;P33))</f>
        <v/>
      </c>
      <c r="S33" s="165"/>
      <c r="T33" s="165"/>
      <c r="U33" s="165"/>
      <c r="V33" s="79" t="str">
        <f ca="1">IF(R33&lt;&gt;"","様","")</f>
        <v/>
      </c>
      <c r="W33" s="67">
        <f ca="1">IF(R33="配送",
P33+1,
IF(COUNTIF(INDIRECT("'盛付札（関数）'!CL"&amp;P33+1),"*社食*"),
P33+2,P33+1))</f>
        <v>22</v>
      </c>
      <c r="X33" s="80" t="str">
        <f ca="1">IF(Y33&lt;&gt;"",
MID(貼り付け用!$A$2, FIND("年",貼り付け用!$A$2)+1,2)&amp;"/"&amp;MID(貼り付け用!$A$2, FIND("月",貼り付け用!$A$2)+1,2),"")</f>
        <v/>
      </c>
      <c r="Y33" s="164" t="str" cm="1">
        <f t="array" aca="1" ref="Y33" ca="1">IF(X34="〇",
INDIRECT("'盛付札（関数）'!CL"&amp;W33+1),INDIRECT("'盛付札（関数）'!CL"&amp;W33))</f>
        <v/>
      </c>
      <c r="Z33" s="165"/>
      <c r="AA33" s="165"/>
      <c r="AB33" s="165"/>
      <c r="AC33" s="79" t="str">
        <f ca="1">IF(Y33&lt;&gt;"","様","")</f>
        <v/>
      </c>
      <c r="AD33" s="53"/>
      <c r="AE33" s="67">
        <f ca="1">IF(COUNTIF(INDIRECT("'盛付札（関数）'!CL"&amp;AL25+1),"*社食*"),
AL25+2,AL25+1)</f>
        <v>33</v>
      </c>
      <c r="AF33" s="80" t="str">
        <f ca="1">IF(AG33&lt;&gt;"",
MID(貼り付け用!$A$2, FIND("年",貼り付け用!$A$2)+1,2)&amp;"/"&amp;MID(貼り付け用!$A$2, FIND("月",貼り付け用!$A$2)+1,2),"")</f>
        <v/>
      </c>
      <c r="AG33" s="164" t="str" cm="1">
        <f t="array" aca="1" ref="AG33" ca="1">IF(AF34="〇",
INDIRECT("'盛付札（関数）'!CL"&amp;AE33+1),INDIRECT("'盛付札（関数）'!CL"&amp;AE33))</f>
        <v/>
      </c>
      <c r="AH33" s="165"/>
      <c r="AI33" s="165"/>
      <c r="AJ33" s="165"/>
      <c r="AK33" s="79" t="str">
        <f ca="1">IF(AG33&lt;&gt;"","様","")</f>
        <v/>
      </c>
      <c r="AL33" s="67">
        <f ca="1">IF(AG33="配送",
AE33+1,
IF(COUNTIF(INDIRECT("'盛付札（関数）'!CL"&amp;AE33+1),"*社食*"),
AE33+2,AE33+1))</f>
        <v>34</v>
      </c>
      <c r="AM33" s="80" t="str">
        <f ca="1">IF(AN33&lt;&gt;"",
MID(貼り付け用!$A$2, FIND("年",貼り付け用!$A$2)+1,2)&amp;"/"&amp;MID(貼り付け用!$A$2, FIND("月",貼り付け用!$A$2)+1,2),"")</f>
        <v/>
      </c>
      <c r="AN33" s="164" t="str" cm="1">
        <f t="array" aca="1" ref="AN33" ca="1">IF(AM34="〇",
INDIRECT("'盛付札（関数）'!CL"&amp;AL33+1),INDIRECT("'盛付札（関数）'!CL"&amp;AL33))</f>
        <v/>
      </c>
      <c r="AO33" s="165"/>
      <c r="AP33" s="165"/>
      <c r="AQ33" s="165"/>
      <c r="AR33" s="79" t="str">
        <f ca="1">IF(AN33&lt;&gt;"","様","")</f>
        <v/>
      </c>
      <c r="AS33" s="53"/>
      <c r="AT33" s="67">
        <f ca="1">IF(COUNTIF(INDIRECT("'盛付札（関数）'!CL"&amp;BA25+1),"*社食*"),
BA25+2,BA25+1)</f>
        <v>45</v>
      </c>
      <c r="AU33" s="80" t="str">
        <f ca="1">IF(AV33&lt;&gt;"",
MID(貼り付け用!$A$2, FIND("年",貼り付け用!$A$2)+1,2)&amp;"/"&amp;MID(貼り付け用!$A$2, FIND("月",貼り付け用!$A$2)+1,2),"")</f>
        <v/>
      </c>
      <c r="AV33" s="164" t="str" cm="1">
        <f t="array" aca="1" ref="AV33" ca="1">IF(AU34="〇",
INDIRECT("'盛付札（関数）'!CL"&amp;AT33+1),INDIRECT("'盛付札（関数）'!CL"&amp;AT33))</f>
        <v/>
      </c>
      <c r="AW33" s="165"/>
      <c r="AX33" s="165"/>
      <c r="AY33" s="165"/>
      <c r="AZ33" s="79" t="str">
        <f ca="1">IF(AV33&lt;&gt;"","様","")</f>
        <v/>
      </c>
      <c r="BA33" s="67">
        <f ca="1">IF(AV33="配送",
AT33+1,
IF(COUNTIF(INDIRECT("'盛付札（関数）'!CL"&amp;AT33+1),"*社食*"),
AT33+2,AT33+1))</f>
        <v>46</v>
      </c>
      <c r="BB33" s="80" t="str">
        <f ca="1">IF(BC33&lt;&gt;"",
MID(貼り付け用!$A$2, FIND("年",貼り付け用!$A$2)+1,2)&amp;"/"&amp;MID(貼り付け用!$A$2, FIND("月",貼り付け用!$A$2)+1,2),"")</f>
        <v/>
      </c>
      <c r="BC33" s="164" t="str" cm="1">
        <f t="array" aca="1" ref="BC33" ca="1">IF(BB34="〇",
INDIRECT("'盛付札（関数）'!CL"&amp;BA33+1),INDIRECT("'盛付札（関数）'!CL"&amp;BA33))</f>
        <v/>
      </c>
      <c r="BD33" s="165"/>
      <c r="BE33" s="165"/>
      <c r="BF33" s="165"/>
      <c r="BG33" s="79" t="str">
        <f ca="1">IF(BC33&lt;&gt;"","様","")</f>
        <v/>
      </c>
      <c r="BH33" s="53"/>
      <c r="BI33" s="67">
        <f ca="1">IF(COUNTIF(INDIRECT("'盛付札（関数）'!CL"&amp;BP25+1),"*社食*"),
BP25+2,BP25+1)</f>
        <v>57</v>
      </c>
      <c r="BJ33" s="80" t="str">
        <f ca="1">IF(BK33&lt;&gt;"",
MID(貼り付け用!$A$2, FIND("年",貼り付け用!$A$2)+1,2)&amp;"/"&amp;MID(貼り付け用!$A$2, FIND("月",貼り付け用!$A$2)+1,2),"")</f>
        <v/>
      </c>
      <c r="BK33" s="164" t="str" cm="1">
        <f t="array" aca="1" ref="BK33" ca="1">IF(BJ34="〇",
INDIRECT("'盛付札（関数）'!CL"&amp;BI33+1),INDIRECT("'盛付札（関数）'!CL"&amp;BI33))</f>
        <v/>
      </c>
      <c r="BL33" s="165"/>
      <c r="BM33" s="165"/>
      <c r="BN33" s="165"/>
      <c r="BO33" s="79" t="str">
        <f ca="1">IF(BK33&lt;&gt;"","様","")</f>
        <v/>
      </c>
      <c r="BP33" s="67">
        <f ca="1">IF(BK33="配送",
BI33+1,
IF(COUNTIF(INDIRECT("'盛付札（関数）'!CL"&amp;BI33+1),"*社食*"),
BI33+2,BI33+1))</f>
        <v>58</v>
      </c>
      <c r="BQ33" s="80" t="str">
        <f ca="1">IF(BR33&lt;&gt;"",
MID(貼り付け用!$A$2, FIND("年",貼り付け用!$A$2)+1,2)&amp;"/"&amp;MID(貼り付け用!$A$2, FIND("月",貼り付け用!$A$2)+1,2),"")</f>
        <v/>
      </c>
      <c r="BR33" s="164" t="str" cm="1">
        <f t="array" aca="1" ref="BR33" ca="1">IF(BQ34="〇",
INDIRECT("'盛付札（関数）'!CL"&amp;BP33+1),INDIRECT("'盛付札（関数）'!CL"&amp;BP33))</f>
        <v/>
      </c>
      <c r="BS33" s="165"/>
      <c r="BT33" s="165"/>
      <c r="BU33" s="165"/>
      <c r="BV33" s="79" t="str">
        <f ca="1">IF(BR33&lt;&gt;"","様","")</f>
        <v/>
      </c>
      <c r="BW33" s="53"/>
    </row>
    <row r="34" spans="1:75" s="68" customFormat="1" x14ac:dyDescent="0.55000000000000004">
      <c r="A34" s="67"/>
      <c r="B34" s="69" t="str">
        <f ca="1">IF(COUNTIF(INDIRECT("'盛付札（関数）'!CL"&amp;A33),"*雙葉*"),
IF(COUNTIF(INDIRECT("'盛付札（関数）'!CL"&amp;H25),"*雙葉*"),"〇",
IF(COUNTIF(INDIRECT("'盛付札（関数）'!CL"&amp;H33),"*雙葉*"),"●","")),"")</f>
        <v/>
      </c>
      <c r="C34" s="84" t="str" cm="1">
        <f t="array" aca="1" ref="C34" ca="1">IF(OR(INDIRECT("'盛付札（関数）'!CK"&amp;A33)=121,INDIRECT("'盛付札（関数）'!CK"&amp;A33)=122,INDIRECT("'盛付札（関数）'!CK"&amp;A33)=123,INDIRECT("'盛付札（関数）'!CK"&amp;A33)=124),"",
IF(B34="〇",
INDIRECT("'盛付札（関数）!CM"&amp;A33+1),INDIRECT("'盛付札（関数）'!CM"&amp;A33)))</f>
        <v/>
      </c>
      <c r="D34" s="78"/>
      <c r="E34" s="78"/>
      <c r="F34" s="85" t="str" cm="1">
        <f t="array" aca="1" ref="F34" ca="1">IF(C33&lt;&gt;"",
IF(OR(INDIRECT("'盛付札（関数）'!CK"&amp;A33)=121,INDIRECT("'盛付札（関数）'!CK"&amp;A33)=122,INDIRECT("'盛付札（関数）'!CK"&amp;A33)=123,INDIRECT("'盛付札（関数）'!CK"&amp;A33)=124),"",
IF(B34="●",
SUBSTITUTE(SUBSTITUTE(SUBSTITUTE(INDIRECT("'盛付札（関数）'!CN"&amp;A33),100,""),120,""),150,""),
IF(B34="〇",
IF(INDIRECT("'盛付札（関数）'!CN"&amp;A33+1)&lt;&gt;"",
INDIRECT("'盛付札（関数）'!CN"&amp;A33+1),INDIRECT("'盛付札（関数）'!CO"&amp;A33+1)),
IF(INDIRECT("'盛付札（関数）'!CN"&amp;A33)&lt;&gt;"",
INDIRECT("'盛付札（関数）'!CN"&amp;A33),INDIRECT("'盛付札（関数）'!CO"&amp;A33))))),"")</f>
        <v/>
      </c>
      <c r="G34" s="76"/>
      <c r="H34" s="86"/>
      <c r="I34" s="69" t="str">
        <f ca="1">IF(COUNTIF(INDIRECT("'盛付札（関数）'!CL"&amp;H33),"*雙葉*"),
IF(COUNTIF(INDIRECT("'盛付札（関数）'!CL"&amp;O25),"*雙葉*"),"〇",
IF(COUNTIF(INDIRECT("'盛付札（関数）'!CL"&amp;O33),"*雙葉*"),"●","")),"")</f>
        <v/>
      </c>
      <c r="J34" s="84" t="str" cm="1">
        <f t="array" aca="1" ref="J34" ca="1">IF(OR(INDIRECT("'盛付札（関数）'!CK"&amp;H33)=121,INDIRECT("'盛付札（関数）'!CK"&amp;H33)=122,INDIRECT("'盛付札（関数）'!CK"&amp;H33)=123,INDIRECT("'盛付札（関数）'!CK"&amp;H33)=124),"",
IF(I34="〇",
INDIRECT("'盛付札（関数）!CM"&amp;H33+1),INDIRECT("'盛付札（関数）'!CM"&amp;H33)))</f>
        <v/>
      </c>
      <c r="K34" s="78"/>
      <c r="L34" s="78"/>
      <c r="M34" s="85" t="str" cm="1">
        <f t="array" aca="1" ref="M34" ca="1">IF(J33&lt;&gt;"",
IF(OR(INDIRECT("'盛付札（関数）'!CK"&amp;H33)=121,INDIRECT("'盛付札（関数）'!CK"&amp;H33)=122,INDIRECT("'盛付札（関数）'!CK"&amp;H33)=123,INDIRECT("'盛付札（関数）'!CK"&amp;H33)=124),"",
IF(I34="●",
SUBSTITUTE(SUBSTITUTE(SUBSTITUTE(INDIRECT("'盛付札（関数）'!CN"&amp;H33),100,""),120,""),150,""),
IF(I34="〇",
IF(INDIRECT("'盛付札（関数）'!CN"&amp;H33+1)&lt;&gt;"",
INDIRECT("'盛付札（関数）'!CN"&amp;H33+1),INDIRECT("'盛付札（関数）'!CO"&amp;H33+1)),
IF(INDIRECT("'盛付札（関数）'!CN"&amp;H33)&lt;&gt;"",
INDIRECT("'盛付札（関数）'!CN"&amp;H33),INDIRECT("'盛付札（関数）'!CO"&amp;H33))))),"")</f>
        <v/>
      </c>
      <c r="N34" s="76"/>
      <c r="O34" s="53"/>
      <c r="P34" s="67"/>
      <c r="Q34" s="69" t="str">
        <f ca="1">IF(COUNTIF(INDIRECT("'盛付札（関数）'!CL"&amp;P33),"*雙葉*"),
IF(COUNTIF(INDIRECT("'盛付札（関数）'!CL"&amp;W25),"*雙葉*"),"〇",
IF(COUNTIF(INDIRECT("'盛付札（関数）'!CL"&amp;W33),"*雙葉*"),"●","")),"")</f>
        <v/>
      </c>
      <c r="R34" s="84" t="str" cm="1">
        <f t="array" aca="1" ref="R34" ca="1">IF(OR(INDIRECT("'盛付札（関数）'!CK"&amp;P33)=121,INDIRECT("'盛付札（関数）'!CK"&amp;P33)=122,INDIRECT("'盛付札（関数）'!CK"&amp;P33)=123,INDIRECT("'盛付札（関数）'!CK"&amp;P33)=124),"",
IF(Q34="〇",
INDIRECT("'盛付札（関数）!CM"&amp;P33+1),INDIRECT("'盛付札（関数）'!CM"&amp;P33)))</f>
        <v/>
      </c>
      <c r="S34" s="78"/>
      <c r="T34" s="78"/>
      <c r="U34" s="85" t="str" cm="1">
        <f t="array" aca="1" ref="U34" ca="1">IF(R33&lt;&gt;"",
IF(OR(INDIRECT("'盛付札（関数）'!CK"&amp;P33)=121,INDIRECT("'盛付札（関数）'!CK"&amp;P33)=122,INDIRECT("'盛付札（関数）'!CK"&amp;P33)=123,INDIRECT("'盛付札（関数）'!CK"&amp;P33)=124),"",
IF(Q34="●",
SUBSTITUTE(SUBSTITUTE(SUBSTITUTE(INDIRECT("'盛付札（関数）'!CN"&amp;P33),100,""),120,""),150,""),
IF(Q34="〇",
IF(INDIRECT("'盛付札（関数）'!CN"&amp;P33+1)&lt;&gt;"",
INDIRECT("'盛付札（関数）'!CN"&amp;P33+1),INDIRECT("'盛付札（関数）'!CO"&amp;P33+1)),
IF(INDIRECT("'盛付札（関数）'!CN"&amp;P33)&lt;&gt;"",
INDIRECT("'盛付札（関数）'!CN"&amp;P33),INDIRECT("'盛付札（関数）'!CO"&amp;P33))))),"")</f>
        <v/>
      </c>
      <c r="V34" s="76"/>
      <c r="W34" s="86"/>
      <c r="X34" s="69" t="str">
        <f ca="1">IF(COUNTIF(INDIRECT("'盛付札（関数）'!CL"&amp;W33),"*雙葉*"),
IF(COUNTIF(INDIRECT("'盛付札（関数）'!CL"&amp;AD25),"*雙葉*"),"〇",
IF(COUNTIF(INDIRECT("'盛付札（関数）'!CL"&amp;AD33),"*雙葉*"),"●","")),"")</f>
        <v/>
      </c>
      <c r="Y34" s="84" t="str" cm="1">
        <f t="array" aca="1" ref="Y34" ca="1">IF(OR(INDIRECT("'盛付札（関数）'!CK"&amp;W33)=121,INDIRECT("'盛付札（関数）'!CK"&amp;W33)=122,INDIRECT("'盛付札（関数）'!CK"&amp;W33)=123,INDIRECT("'盛付札（関数）'!CK"&amp;W33)=124),"",
IF(X34="〇",
INDIRECT("'盛付札（関数）!CM"&amp;W33+1),INDIRECT("'盛付札（関数）'!CM"&amp;W33)))</f>
        <v/>
      </c>
      <c r="Z34" s="78"/>
      <c r="AA34" s="78"/>
      <c r="AB34" s="85" t="str" cm="1">
        <f t="array" aca="1" ref="AB34" ca="1">IF(Y33&lt;&gt;"",
IF(OR(INDIRECT("'盛付札（関数）'!CK"&amp;W33)=121,INDIRECT("'盛付札（関数）'!CK"&amp;W33)=122,INDIRECT("'盛付札（関数）'!CK"&amp;W33)=123,INDIRECT("'盛付札（関数）'!CK"&amp;W33)=124),"",
IF(X34="●",
SUBSTITUTE(SUBSTITUTE(SUBSTITUTE(INDIRECT("'盛付札（関数）'!CN"&amp;W33),100,""),120,""),150,""),
IF(X34="〇",
IF(INDIRECT("'盛付札（関数）'!CN"&amp;W33+1)&lt;&gt;"",
INDIRECT("'盛付札（関数）'!CN"&amp;W33+1),INDIRECT("'盛付札（関数）'!CO"&amp;W33+1)),
IF(INDIRECT("'盛付札（関数）'!CN"&amp;W33)&lt;&gt;"",
INDIRECT("'盛付札（関数）'!CN"&amp;W33),INDIRECT("'盛付札（関数）'!CO"&amp;W33))))),"")</f>
        <v/>
      </c>
      <c r="AC34" s="76"/>
      <c r="AD34" s="53"/>
      <c r="AE34" s="67"/>
      <c r="AF34" s="69" t="str">
        <f ca="1">IF(COUNTIF(INDIRECT("'盛付札（関数）'!CL"&amp;AE33),"*雙葉*"),
IF(COUNTIF(INDIRECT("'盛付札（関数）'!CL"&amp;AL25),"*雙葉*"),"〇",
IF(COUNTIF(INDIRECT("'盛付札（関数）'!CL"&amp;AL33),"*雙葉*"),"●","")),"")</f>
        <v/>
      </c>
      <c r="AG34" s="84" t="str" cm="1">
        <f t="array" aca="1" ref="AG34" ca="1">IF(OR(INDIRECT("'盛付札（関数）'!CK"&amp;AE33)=121,INDIRECT("'盛付札（関数）'!CK"&amp;AE33)=122,INDIRECT("'盛付札（関数）'!CK"&amp;AE33)=123,INDIRECT("'盛付札（関数）'!CK"&amp;AE33)=124),"",
IF(AF34="〇",
INDIRECT("'盛付札（関数）!CM"&amp;AE33+1),INDIRECT("'盛付札（関数）'!CM"&amp;AE33)))</f>
        <v/>
      </c>
      <c r="AH34" s="78"/>
      <c r="AI34" s="78"/>
      <c r="AJ34" s="85" t="str" cm="1">
        <f t="array" aca="1" ref="AJ34" ca="1">IF(AG33&lt;&gt;"",
IF(OR(INDIRECT("'盛付札（関数）'!CK"&amp;AE33)=121,INDIRECT("'盛付札（関数）'!CK"&amp;AE33)=122,INDIRECT("'盛付札（関数）'!CK"&amp;AE33)=123,INDIRECT("'盛付札（関数）'!CK"&amp;AE33)=124),"",
IF(AF34="●",
SUBSTITUTE(SUBSTITUTE(SUBSTITUTE(INDIRECT("'盛付札（関数）'!CN"&amp;AE33),100,""),120,""),150,""),
IF(AF34="〇",
IF(INDIRECT("'盛付札（関数）'!CN"&amp;AE33+1)&lt;&gt;"",
INDIRECT("'盛付札（関数）'!CN"&amp;AE33+1),INDIRECT("'盛付札（関数）'!CO"&amp;AE33+1)),
IF(INDIRECT("'盛付札（関数）'!CN"&amp;AE33)&lt;&gt;"",
INDIRECT("'盛付札（関数）'!CN"&amp;AE33),INDIRECT("'盛付札（関数）'!CO"&amp;AE33))))),"")</f>
        <v/>
      </c>
      <c r="AK34" s="76"/>
      <c r="AL34" s="86"/>
      <c r="AM34" s="69" t="str">
        <f ca="1">IF(COUNTIF(INDIRECT("'盛付札（関数）'!CL"&amp;AL33),"*雙葉*"),
IF(COUNTIF(INDIRECT("'盛付札（関数）'!CL"&amp;AS25),"*雙葉*"),"〇",
IF(COUNTIF(INDIRECT("'盛付札（関数）'!CL"&amp;AS33),"*雙葉*"),"●","")),"")</f>
        <v/>
      </c>
      <c r="AN34" s="84" t="str" cm="1">
        <f t="array" aca="1" ref="AN34" ca="1">IF(OR(INDIRECT("'盛付札（関数）'!CK"&amp;AL33)=121,INDIRECT("'盛付札（関数）'!CK"&amp;AL33)=122,INDIRECT("'盛付札（関数）'!CK"&amp;AL33)=123,INDIRECT("'盛付札（関数）'!CK"&amp;AL33)=124),"",
IF(AM34="〇",
INDIRECT("'盛付札（関数）!CM"&amp;AL33+1),INDIRECT("'盛付札（関数）'!CM"&amp;AL33)))</f>
        <v/>
      </c>
      <c r="AO34" s="78"/>
      <c r="AP34" s="78"/>
      <c r="AQ34" s="85" t="str" cm="1">
        <f t="array" aca="1" ref="AQ34" ca="1">IF(AN33&lt;&gt;"",
IF(OR(INDIRECT("'盛付札（関数）'!CK"&amp;AL33)=121,INDIRECT("'盛付札（関数）'!CK"&amp;AL33)=122,INDIRECT("'盛付札（関数）'!CK"&amp;AL33)=123,INDIRECT("'盛付札（関数）'!CK"&amp;AL33)=124),"",
IF(AM34="●",
SUBSTITUTE(SUBSTITUTE(SUBSTITUTE(INDIRECT("'盛付札（関数）'!CN"&amp;AL33),100,""),120,""),150,""),
IF(AM34="〇",
IF(INDIRECT("'盛付札（関数）'!CN"&amp;AL33+1)&lt;&gt;"",
INDIRECT("'盛付札（関数）'!CN"&amp;AL33+1),INDIRECT("'盛付札（関数）'!CO"&amp;AL33+1)),
IF(INDIRECT("'盛付札（関数）'!CN"&amp;AL33)&lt;&gt;"",
INDIRECT("'盛付札（関数）'!CN"&amp;AL33),INDIRECT("'盛付札（関数）'!CO"&amp;AL33))))),"")</f>
        <v/>
      </c>
      <c r="AR34" s="76"/>
      <c r="AS34" s="53"/>
      <c r="AT34" s="67"/>
      <c r="AU34" s="69" t="str">
        <f ca="1">IF(COUNTIF(INDIRECT("'盛付札（関数）'!CL"&amp;AT33),"*雙葉*"),
IF(COUNTIF(INDIRECT("'盛付札（関数）'!CL"&amp;BA25),"*雙葉*"),"〇",
IF(COUNTIF(INDIRECT("'盛付札（関数）'!CL"&amp;BA33),"*雙葉*"),"●","")),"")</f>
        <v/>
      </c>
      <c r="AV34" s="84" t="str" cm="1">
        <f t="array" aca="1" ref="AV34" ca="1">IF(OR(INDIRECT("'盛付札（関数）'!CK"&amp;AT33)=121,INDIRECT("'盛付札（関数）'!CK"&amp;AT33)=122,INDIRECT("'盛付札（関数）'!CK"&amp;AT33)=123,INDIRECT("'盛付札（関数）'!CK"&amp;AT33)=124),"",
IF(AU34="〇",
INDIRECT("'盛付札（関数）!CM"&amp;AT33+1),INDIRECT("'盛付札（関数）'!CM"&amp;AT33)))</f>
        <v/>
      </c>
      <c r="AW34" s="78"/>
      <c r="AX34" s="78"/>
      <c r="AY34" s="85" t="str" cm="1">
        <f t="array" aca="1" ref="AY34" ca="1">IF(AV33&lt;&gt;"",
IF(OR(INDIRECT("'盛付札（関数）'!CK"&amp;AT33)=121,INDIRECT("'盛付札（関数）'!CK"&amp;AT33)=122,INDIRECT("'盛付札（関数）'!CK"&amp;AT33)=123,INDIRECT("'盛付札（関数）'!CK"&amp;AT33)=124),"",
IF(AU34="●",
SUBSTITUTE(SUBSTITUTE(SUBSTITUTE(INDIRECT("'盛付札（関数）'!CN"&amp;AT33),100,""),120,""),150,""),
IF(AU34="〇",
IF(INDIRECT("'盛付札（関数）'!CN"&amp;AT33+1)&lt;&gt;"",
INDIRECT("'盛付札（関数）'!CN"&amp;AT33+1),INDIRECT("'盛付札（関数）'!CO"&amp;AT33+1)),
IF(INDIRECT("'盛付札（関数）'!CN"&amp;AT33)&lt;&gt;"",
INDIRECT("'盛付札（関数）'!CN"&amp;AT33),INDIRECT("'盛付札（関数）'!CO"&amp;AT33))))),"")</f>
        <v/>
      </c>
      <c r="AZ34" s="76"/>
      <c r="BA34" s="86"/>
      <c r="BB34" s="69" t="str">
        <f ca="1">IF(COUNTIF(INDIRECT("'盛付札（関数）'!CL"&amp;BA33),"*雙葉*"),
IF(COUNTIF(INDIRECT("'盛付札（関数）'!CL"&amp;BH25),"*雙葉*"),"〇",
IF(COUNTIF(INDIRECT("'盛付札（関数）'!CL"&amp;BH33),"*雙葉*"),"●","")),"")</f>
        <v/>
      </c>
      <c r="BC34" s="84" t="str" cm="1">
        <f t="array" aca="1" ref="BC34" ca="1">IF(OR(INDIRECT("'盛付札（関数）'!CK"&amp;BA33)=121,INDIRECT("'盛付札（関数）'!CK"&amp;BA33)=122,INDIRECT("'盛付札（関数）'!CK"&amp;BA33)=123,INDIRECT("'盛付札（関数）'!CK"&amp;BA33)=124),"",
IF(BB34="〇",
INDIRECT("'盛付札（関数）!CM"&amp;BA33+1),INDIRECT("'盛付札（関数）'!CM"&amp;BA33)))</f>
        <v/>
      </c>
      <c r="BD34" s="78"/>
      <c r="BE34" s="78"/>
      <c r="BF34" s="85" t="str" cm="1">
        <f t="array" aca="1" ref="BF34" ca="1">IF(BC33&lt;&gt;"",
IF(OR(INDIRECT("'盛付札（関数）'!CK"&amp;BA33)=121,INDIRECT("'盛付札（関数）'!CK"&amp;BA33)=122,INDIRECT("'盛付札（関数）'!CK"&amp;BA33)=123,INDIRECT("'盛付札（関数）'!CK"&amp;BA33)=124),"",
IF(BB34="●",
SUBSTITUTE(SUBSTITUTE(SUBSTITUTE(INDIRECT("'盛付札（関数）'!CN"&amp;BA33),100,""),120,""),150,""),
IF(BB34="〇",
IF(INDIRECT("'盛付札（関数）'!CN"&amp;BA33+1)&lt;&gt;"",
INDIRECT("'盛付札（関数）'!CN"&amp;BA33+1),INDIRECT("'盛付札（関数）'!CO"&amp;BA33+1)),
IF(INDIRECT("'盛付札（関数）'!CN"&amp;BA33)&lt;&gt;"",
INDIRECT("'盛付札（関数）'!CN"&amp;BA33),INDIRECT("'盛付札（関数）'!CO"&amp;BA33))))),"")</f>
        <v/>
      </c>
      <c r="BG34" s="76"/>
      <c r="BH34" s="53"/>
      <c r="BI34" s="67"/>
      <c r="BJ34" s="69" t="str">
        <f ca="1">IF(COUNTIF(INDIRECT("'盛付札（関数）'!CL"&amp;BI33),"*雙葉*"),
IF(COUNTIF(INDIRECT("'盛付札（関数）'!CL"&amp;BP25),"*雙葉*"),"〇",
IF(COUNTIF(INDIRECT("'盛付札（関数）'!CL"&amp;BP33),"*雙葉*"),"●","")),"")</f>
        <v/>
      </c>
      <c r="BK34" s="84" t="str" cm="1">
        <f t="array" aca="1" ref="BK34" ca="1">IF(OR(INDIRECT("'盛付札（関数）'!CK"&amp;BI33)=121,INDIRECT("'盛付札（関数）'!CK"&amp;BI33)=122,INDIRECT("'盛付札（関数）'!CK"&amp;BI33)=123,INDIRECT("'盛付札（関数）'!CK"&amp;BI33)=124),"",
IF(BJ34="〇",
INDIRECT("'盛付札（関数）!CM"&amp;BI33+1),INDIRECT("'盛付札（関数）'!CM"&amp;BI33)))</f>
        <v/>
      </c>
      <c r="BL34" s="78"/>
      <c r="BM34" s="78"/>
      <c r="BN34" s="85" t="str" cm="1">
        <f t="array" aca="1" ref="BN34" ca="1">IF(BK33&lt;&gt;"",
IF(OR(INDIRECT("'盛付札（関数）'!CK"&amp;BI33)=121,INDIRECT("'盛付札（関数）'!CK"&amp;BI33)=122,INDIRECT("'盛付札（関数）'!CK"&amp;BI33)=123,INDIRECT("'盛付札（関数）'!CK"&amp;BI33)=124),"",
IF(BJ34="●",
SUBSTITUTE(SUBSTITUTE(SUBSTITUTE(INDIRECT("'盛付札（関数）'!CN"&amp;BI33),100,""),120,""),150,""),
IF(BJ34="〇",
IF(INDIRECT("'盛付札（関数）'!CN"&amp;BI33+1)&lt;&gt;"",
INDIRECT("'盛付札（関数）'!CN"&amp;BI33+1),INDIRECT("'盛付札（関数）'!CO"&amp;BI33+1)),
IF(INDIRECT("'盛付札（関数）'!CN"&amp;BI33)&lt;&gt;"",
INDIRECT("'盛付札（関数）'!CN"&amp;BI33),INDIRECT("'盛付札（関数）'!CO"&amp;BI33))))),"")</f>
        <v/>
      </c>
      <c r="BO34" s="76"/>
      <c r="BP34" s="86"/>
      <c r="BQ34" s="69" t="str">
        <f ca="1">IF(COUNTIF(INDIRECT("'盛付札（関数）'!CL"&amp;BP33),"*雙葉*"),
IF(COUNTIF(INDIRECT("'盛付札（関数）'!CL"&amp;BW25),"*雙葉*"),"〇",
IF(COUNTIF(INDIRECT("'盛付札（関数）'!CL"&amp;BW33),"*雙葉*"),"●","")),"")</f>
        <v/>
      </c>
      <c r="BR34" s="84" t="str" cm="1">
        <f t="array" aca="1" ref="BR34" ca="1">IF(OR(INDIRECT("'盛付札（関数）'!CK"&amp;BP33)=121,INDIRECT("'盛付札（関数）'!CK"&amp;BP33)=122,INDIRECT("'盛付札（関数）'!CK"&amp;BP33)=123,INDIRECT("'盛付札（関数）'!CK"&amp;BP33)=124),"",
IF(BQ34="〇",
INDIRECT("'盛付札（関数）!CM"&amp;BP33+1),INDIRECT("'盛付札（関数）'!CM"&amp;BP33)))</f>
        <v/>
      </c>
      <c r="BS34" s="78"/>
      <c r="BT34" s="78"/>
      <c r="BU34" s="85" t="str" cm="1">
        <f t="array" aca="1" ref="BU34" ca="1">IF(BR33&lt;&gt;"",
IF(OR(INDIRECT("'盛付札（関数）'!CK"&amp;BP33)=121,INDIRECT("'盛付札（関数）'!CK"&amp;BP33)=122,INDIRECT("'盛付札（関数）'!CK"&amp;BP33)=123,INDIRECT("'盛付札（関数）'!CK"&amp;BP33)=124),"",
IF(BQ34="●",
SUBSTITUTE(SUBSTITUTE(SUBSTITUTE(INDIRECT("'盛付札（関数）'!CN"&amp;BP33),100,""),120,""),150,""),
IF(BQ34="〇",
IF(INDIRECT("'盛付札（関数）'!CN"&amp;BP33+1)&lt;&gt;"",
INDIRECT("'盛付札（関数）'!CN"&amp;BP33+1),INDIRECT("'盛付札（関数）'!CO"&amp;BP33+1)),
IF(INDIRECT("'盛付札（関数）'!CN"&amp;BP33)&lt;&gt;"",
INDIRECT("'盛付札（関数）'!CN"&amp;BP33),INDIRECT("'盛付札（関数）'!CO"&amp;BP33))))),"")</f>
        <v/>
      </c>
      <c r="BV34" s="76"/>
      <c r="BW34" s="53"/>
    </row>
    <row r="35" spans="1:75" s="68" customFormat="1" x14ac:dyDescent="0.55000000000000004">
      <c r="A35" s="73"/>
      <c r="B35" s="71"/>
      <c r="C35" s="123" t="str" cm="1">
        <f t="array" aca="1" ref="C35" ca="1">IF(C33&lt;&gt;"",
IF(OR(INDIRECT("'盛付札（関数）'!CK"&amp;A33)=121,INDIRECT("'盛付札（関数）'!CK"&amp;A33)=122,INDIRECT("'盛付札（関数）'!CK"&amp;A33)=123,INDIRECT("'盛付札（関数）'!CK"&amp;A33)=124),"",
"園児"),"")</f>
        <v/>
      </c>
      <c r="D35" s="116"/>
      <c r="E35" s="53"/>
      <c r="F35" s="68" t="str" cm="1">
        <f t="array" aca="1" ref="F35" ca="1">IF(C33&lt;&gt;"",
IF(OR(INDIRECT("'盛付札（関数）'!CK"&amp;A33)=121,INDIRECT("'盛付札（関数）'!CK"&amp;A33)=122,INDIRECT("'盛付札（関数）'!CK"&amp;A33)=123,INDIRECT("'盛付札（関数）'!CK"&amp;A33)=124),"",
"先生"),"")</f>
        <v/>
      </c>
      <c r="G35" s="77"/>
      <c r="H35" s="73"/>
      <c r="I35" s="71"/>
      <c r="J35" s="123" t="str" cm="1">
        <f t="array" aca="1" ref="J35" ca="1">IF(J33&lt;&gt;"",
IF(OR(INDIRECT("'盛付札（関数）'!CK"&amp;H33)=121,INDIRECT("'盛付札（関数）'!CK"&amp;H33)=122,INDIRECT("'盛付札（関数）'!CK"&amp;H33)=123,INDIRECT("'盛付札（関数）'!CK"&amp;H33)=124),"",
"園児"),"")</f>
        <v/>
      </c>
      <c r="K35" s="116"/>
      <c r="L35" s="53"/>
      <c r="M35" s="68" t="str" cm="1">
        <f t="array" aca="1" ref="M35" ca="1">IF(J33&lt;&gt;"",
IF(OR(INDIRECT("'盛付札（関数）'!CK"&amp;H33)=121,INDIRECT("'盛付札（関数）'!CK"&amp;H33)=122,INDIRECT("'盛付札（関数）'!CK"&amp;H33)=123,INDIRECT("'盛付札（関数）'!CK"&amp;H33)=124),"",
"先生"),"")</f>
        <v/>
      </c>
      <c r="N35" s="77"/>
      <c r="O35" s="53"/>
      <c r="P35" s="73"/>
      <c r="Q35" s="71"/>
      <c r="R35" s="123" t="str" cm="1">
        <f t="array" aca="1" ref="R35" ca="1">IF(R33&lt;&gt;"",
IF(OR(INDIRECT("'盛付札（関数）'!CK"&amp;P33)=121,INDIRECT("'盛付札（関数）'!CK"&amp;P33)=122,INDIRECT("'盛付札（関数）'!CK"&amp;P33)=123,INDIRECT("'盛付札（関数）'!CK"&amp;P33)=124),"",
"園児"),"")</f>
        <v/>
      </c>
      <c r="S35" s="116"/>
      <c r="T35" s="53"/>
      <c r="U35" s="68" t="str" cm="1">
        <f t="array" aca="1" ref="U35" ca="1">IF(R33&lt;&gt;"",
IF(OR(INDIRECT("'盛付札（関数）'!CK"&amp;P33)=121,INDIRECT("'盛付札（関数）'!CK"&amp;P33)=122,INDIRECT("'盛付札（関数）'!CK"&amp;P33)=123,INDIRECT("'盛付札（関数）'!CK"&amp;P33)=124),"",
"先生"),"")</f>
        <v/>
      </c>
      <c r="V35" s="77"/>
      <c r="W35" s="73"/>
      <c r="X35" s="71"/>
      <c r="Y35" s="123" t="str" cm="1">
        <f t="array" aca="1" ref="Y35" ca="1">IF(Y33&lt;&gt;"",
IF(OR(INDIRECT("'盛付札（関数）'!CK"&amp;W33)=121,INDIRECT("'盛付札（関数）'!CK"&amp;W33)=122,INDIRECT("'盛付札（関数）'!CK"&amp;W33)=123,INDIRECT("'盛付札（関数）'!CK"&amp;W33)=124),"",
"園児"),"")</f>
        <v/>
      </c>
      <c r="Z35" s="116"/>
      <c r="AA35" s="53"/>
      <c r="AB35" s="68" t="str" cm="1">
        <f t="array" aca="1" ref="AB35" ca="1">IF(Y33&lt;&gt;"",
IF(OR(INDIRECT("'盛付札（関数）'!CK"&amp;W33)=121,INDIRECT("'盛付札（関数）'!CK"&amp;W33)=122,INDIRECT("'盛付札（関数）'!CK"&amp;W33)=123,INDIRECT("'盛付札（関数）'!CK"&amp;W33)=124),"",
"先生"),"")</f>
        <v/>
      </c>
      <c r="AC35" s="77"/>
      <c r="AD35" s="53"/>
      <c r="AE35" s="73"/>
      <c r="AF35" s="71"/>
      <c r="AG35" s="123" t="str" cm="1">
        <f t="array" aca="1" ref="AG35" ca="1">IF(AG33&lt;&gt;"",
IF(OR(INDIRECT("'盛付札（関数）'!CK"&amp;AE33)=121,INDIRECT("'盛付札（関数）'!CK"&amp;AE33)=122,INDIRECT("'盛付札（関数）'!CK"&amp;AE33)=123,INDIRECT("'盛付札（関数）'!CK"&amp;AE33)=124),"",
"園児"),"")</f>
        <v/>
      </c>
      <c r="AH35" s="116"/>
      <c r="AI35" s="53"/>
      <c r="AJ35" s="68" t="str" cm="1">
        <f t="array" aca="1" ref="AJ35" ca="1">IF(AG33&lt;&gt;"",
IF(OR(INDIRECT("'盛付札（関数）'!CK"&amp;AE33)=121,INDIRECT("'盛付札（関数）'!CK"&amp;AE33)=122,INDIRECT("'盛付札（関数）'!CK"&amp;AE33)=123,INDIRECT("'盛付札（関数）'!CK"&amp;AE33)=124),"",
"先生"),"")</f>
        <v/>
      </c>
      <c r="AK35" s="77"/>
      <c r="AL35" s="73"/>
      <c r="AM35" s="71"/>
      <c r="AN35" s="123" t="str" cm="1">
        <f t="array" aca="1" ref="AN35" ca="1">IF(AN33&lt;&gt;"",
IF(OR(INDIRECT("'盛付札（関数）'!CK"&amp;AL33)=121,INDIRECT("'盛付札（関数）'!CK"&amp;AL33)=122,INDIRECT("'盛付札（関数）'!CK"&amp;AL33)=123,INDIRECT("'盛付札（関数）'!CK"&amp;AL33)=124),"",
"園児"),"")</f>
        <v/>
      </c>
      <c r="AO35" s="116"/>
      <c r="AP35" s="53"/>
      <c r="AQ35" s="68" t="str" cm="1">
        <f t="array" aca="1" ref="AQ35" ca="1">IF(AN33&lt;&gt;"",
IF(OR(INDIRECT("'盛付札（関数）'!CK"&amp;AL33)=121,INDIRECT("'盛付札（関数）'!CK"&amp;AL33)=122,INDIRECT("'盛付札（関数）'!CK"&amp;AL33)=123,INDIRECT("'盛付札（関数）'!CK"&amp;AL33)=124),"",
"先生"),"")</f>
        <v/>
      </c>
      <c r="AR35" s="77"/>
      <c r="AS35" s="53"/>
      <c r="AT35" s="73"/>
      <c r="AU35" s="71"/>
      <c r="AV35" s="123" t="str" cm="1">
        <f t="array" aca="1" ref="AV35" ca="1">IF(AV33&lt;&gt;"",
IF(OR(INDIRECT("'盛付札（関数）'!CK"&amp;AT33)=121,INDIRECT("'盛付札（関数）'!CK"&amp;AT33)=122,INDIRECT("'盛付札（関数）'!CK"&amp;AT33)=123,INDIRECT("'盛付札（関数）'!CK"&amp;AT33)=124),"",
"園児"),"")</f>
        <v/>
      </c>
      <c r="AW35" s="116"/>
      <c r="AX35" s="53"/>
      <c r="AY35" s="68" t="str" cm="1">
        <f t="array" aca="1" ref="AY35" ca="1">IF(AV33&lt;&gt;"",
IF(OR(INDIRECT("'盛付札（関数）'!CK"&amp;AT33)=121,INDIRECT("'盛付札（関数）'!CK"&amp;AT33)=122,INDIRECT("'盛付札（関数）'!CK"&amp;AT33)=123,INDIRECT("'盛付札（関数）'!CK"&amp;AT33)=124),"",
"先生"),"")</f>
        <v/>
      </c>
      <c r="AZ35" s="77"/>
      <c r="BA35" s="73"/>
      <c r="BB35" s="71"/>
      <c r="BC35" s="123" t="str" cm="1">
        <f t="array" aca="1" ref="BC35" ca="1">IF(BC33&lt;&gt;"",
IF(OR(INDIRECT("'盛付札（関数）'!CK"&amp;BA33)=121,INDIRECT("'盛付札（関数）'!CK"&amp;BA33)=122,INDIRECT("'盛付札（関数）'!CK"&amp;BA33)=123,INDIRECT("'盛付札（関数）'!CK"&amp;BA33)=124),"",
"園児"),"")</f>
        <v/>
      </c>
      <c r="BD35" s="116"/>
      <c r="BE35" s="53"/>
      <c r="BF35" s="68" t="str" cm="1">
        <f t="array" aca="1" ref="BF35" ca="1">IF(BC33&lt;&gt;"",
IF(OR(INDIRECT("'盛付札（関数）'!CK"&amp;BA33)=121,INDIRECT("'盛付札（関数）'!CK"&amp;BA33)=122,INDIRECT("'盛付札（関数）'!CK"&amp;BA33)=123,INDIRECT("'盛付札（関数）'!CK"&amp;BA33)=124),"",
"先生"),"")</f>
        <v/>
      </c>
      <c r="BG35" s="77"/>
      <c r="BH35" s="53"/>
      <c r="BI35" s="73"/>
      <c r="BJ35" s="71"/>
      <c r="BK35" s="123" t="str" cm="1">
        <f t="array" aca="1" ref="BK35" ca="1">IF(BK33&lt;&gt;"",
IF(OR(INDIRECT("'盛付札（関数）'!CK"&amp;BI33)=121,INDIRECT("'盛付札（関数）'!CK"&amp;BI33)=122,INDIRECT("'盛付札（関数）'!CK"&amp;BI33)=123,INDIRECT("'盛付札（関数）'!CK"&amp;BI33)=124),"",
"園児"),"")</f>
        <v/>
      </c>
      <c r="BL35" s="116"/>
      <c r="BM35" s="53"/>
      <c r="BN35" s="68" t="str" cm="1">
        <f t="array" aca="1" ref="BN35" ca="1">IF(BK33&lt;&gt;"",
IF(OR(INDIRECT("'盛付札（関数）'!CK"&amp;BI33)=121,INDIRECT("'盛付札（関数）'!CK"&amp;BI33)=122,INDIRECT("'盛付札（関数）'!CK"&amp;BI33)=123,INDIRECT("'盛付札（関数）'!CK"&amp;BI33)=124),"",
"先生"),"")</f>
        <v/>
      </c>
      <c r="BO35" s="77"/>
      <c r="BP35" s="73"/>
      <c r="BQ35" s="71"/>
      <c r="BR35" s="123" t="str" cm="1">
        <f t="array" aca="1" ref="BR35" ca="1">IF(BR33&lt;&gt;"",
IF(OR(INDIRECT("'盛付札（関数）'!CK"&amp;BP33)=121,INDIRECT("'盛付札（関数）'!CK"&amp;BP33)=122,INDIRECT("'盛付札（関数）'!CK"&amp;BP33)=123,INDIRECT("'盛付札（関数）'!CK"&amp;BP33)=124),"",
"園児"),"")</f>
        <v/>
      </c>
      <c r="BS35" s="116"/>
      <c r="BT35" s="53"/>
      <c r="BU35" s="68" t="str" cm="1">
        <f t="array" aca="1" ref="BU35" ca="1">IF(BR33&lt;&gt;"",
IF(OR(INDIRECT("'盛付札（関数）'!CK"&amp;BP33)=121,INDIRECT("'盛付札（関数）'!CK"&amp;BP33)=122,INDIRECT("'盛付札（関数）'!CK"&amp;BP33)=123,INDIRECT("'盛付札（関数）'!CK"&amp;BP33)=124),"",
"先生"),"")</f>
        <v/>
      </c>
      <c r="BV35" s="77"/>
      <c r="BW35" s="53"/>
    </row>
    <row r="36" spans="1:75" ht="15.6" customHeight="1" x14ac:dyDescent="1.05">
      <c r="A36" s="58"/>
      <c r="B36" s="57"/>
      <c r="C36" s="120" t="str" cm="1">
        <f t="array" aca="1" ref="C36" ca="1">IF(B34="●",
INDIRECT("'盛付札（関数）'!CP"&amp;A33)+INDIRECT("'盛付札（関数）'!CP"&amp;A33+1),
IF(B34="〇",
INDIRECT("'盛付札（関数）'!CP"&amp;A33+1),INDIRECT("'盛付札（関数）'!CP"&amp;A33)))</f>
        <v/>
      </c>
      <c r="D36" s="121"/>
      <c r="E36" s="88"/>
      <c r="F36" s="125" t="str" cm="1">
        <f t="array" aca="1" ref="F36" ca="1">IF(C33&lt;&gt;"",
IF(OR(INDIRECT("'盛付札（関数）'!CK"&amp;A33)=121,INDIRECT("'盛付札（関数）'!CK"&amp;A33)=122,INDIRECT("'盛付札（関数）'!CK"&amp;A33)=123,INDIRECT("'盛付札（関数）'!CK"&amp;A33)=124),"",
IF(B34="●",
IFERROR(INDIRECT("'盛付札（関数）'!CQ"&amp;A33)+INDIRECT("'盛付札（関数）'!CQ"&amp;A33+1),""),
IF(B34="〇",
INDIRECT("'盛付札（関数）'!CQ"&amp;A33+1),INDIRECT("'盛付札（関数）'!CQ"&amp;A33)))),"")</f>
        <v/>
      </c>
      <c r="G36" s="126"/>
      <c r="H36" s="58"/>
      <c r="I36" s="57"/>
      <c r="J36" s="120" t="str" cm="1">
        <f t="array" aca="1" ref="J36" ca="1">IF(I34="●",
INDIRECT("'盛付札（関数）'!CP"&amp;H33)+INDIRECT("'盛付札（関数）'!CP"&amp;H33+1),
IF(I34="〇",
INDIRECT("'盛付札（関数）'!CP"&amp;H33+1),INDIRECT("'盛付札（関数）'!CP"&amp;H33)))</f>
        <v/>
      </c>
      <c r="K36" s="121"/>
      <c r="L36" s="88"/>
      <c r="M36" s="125" t="str" cm="1">
        <f t="array" aca="1" ref="M36" ca="1">IF(J33&lt;&gt;"",
IF(OR(INDIRECT("'盛付札（関数）'!CK"&amp;H33)=121,INDIRECT("'盛付札（関数）'!CK"&amp;H33)=122,INDIRECT("'盛付札（関数）'!CK"&amp;H33)=123,INDIRECT("'盛付札（関数）'!CK"&amp;H33)=124),"",
IF(I34="●",
IFERROR(INDIRECT("'盛付札（関数）'!CQ"&amp;H33)+INDIRECT("'盛付札（関数）'!CQ"&amp;H33+1),""),
IF(I34="〇",
INDIRECT("'盛付札（関数）'!CQ"&amp;H33+1),INDIRECT("'盛付札（関数）'!CQ"&amp;H33)))),"")</f>
        <v/>
      </c>
      <c r="N36" s="126"/>
      <c r="P36" s="58"/>
      <c r="Q36" s="57"/>
      <c r="R36" s="120" t="str" cm="1">
        <f t="array" aca="1" ref="R36" ca="1">IF(Q34="●",
INDIRECT("'盛付札（関数）'!CP"&amp;P33)+INDIRECT("'盛付札（関数）'!CP"&amp;P33+1),
IF(Q34="〇",
INDIRECT("'盛付札（関数）'!CP"&amp;P33+1),INDIRECT("'盛付札（関数）'!CP"&amp;P33)))</f>
        <v/>
      </c>
      <c r="S36" s="121"/>
      <c r="T36" s="88"/>
      <c r="U36" s="125" t="str" cm="1">
        <f t="array" aca="1" ref="U36" ca="1">IF(R33&lt;&gt;"",
IF(OR(INDIRECT("'盛付札（関数）'!CK"&amp;P33)=121,INDIRECT("'盛付札（関数）'!CK"&amp;P33)=122,INDIRECT("'盛付札（関数）'!CK"&amp;P33)=123,INDIRECT("'盛付札（関数）'!CK"&amp;P33)=124),"",
IF(Q34="●",
IFERROR(INDIRECT("'盛付札（関数）'!CQ"&amp;P33)+INDIRECT("'盛付札（関数）'!CQ"&amp;P33+1),""),
IF(Q34="〇",
INDIRECT("'盛付札（関数）'!CQ"&amp;P33+1),INDIRECT("'盛付札（関数）'!CQ"&amp;P33)))),"")</f>
        <v/>
      </c>
      <c r="V36" s="126"/>
      <c r="W36" s="58"/>
      <c r="X36" s="57"/>
      <c r="Y36" s="120" t="str" cm="1">
        <f t="array" aca="1" ref="Y36" ca="1">IF(X34="●",
INDIRECT("'盛付札（関数）'!CP"&amp;W33)+INDIRECT("'盛付札（関数）'!CP"&amp;W33+1),
IF(X34="〇",
INDIRECT("'盛付札（関数）'!CP"&amp;W33+1),INDIRECT("'盛付札（関数）'!CP"&amp;W33)))</f>
        <v/>
      </c>
      <c r="Z36" s="121"/>
      <c r="AA36" s="88"/>
      <c r="AB36" s="125" t="str" cm="1">
        <f t="array" aca="1" ref="AB36" ca="1">IF(Y33&lt;&gt;"",
IF(OR(INDIRECT("'盛付札（関数）'!CK"&amp;W33)=121,INDIRECT("'盛付札（関数）'!CK"&amp;W33)=122,INDIRECT("'盛付札（関数）'!CK"&amp;W33)=123,INDIRECT("'盛付札（関数）'!CK"&amp;W33)=124),"",
IF(X34="●",
IFERROR(INDIRECT("'盛付札（関数）'!CQ"&amp;W33)+INDIRECT("'盛付札（関数）'!CQ"&amp;W33+1),""),
IF(X34="〇",
INDIRECT("'盛付札（関数）'!CQ"&amp;W33+1),INDIRECT("'盛付札（関数）'!CQ"&amp;W33)))),"")</f>
        <v/>
      </c>
      <c r="AC36" s="126"/>
      <c r="AE36" s="58"/>
      <c r="AF36" s="57"/>
      <c r="AG36" s="120" t="str" cm="1">
        <f t="array" aca="1" ref="AG36" ca="1">IF(AF34="●",
INDIRECT("'盛付札（関数）'!CP"&amp;AE33)+INDIRECT("'盛付札（関数）'!CP"&amp;AE33+1),
IF(AF34="〇",
INDIRECT("'盛付札（関数）'!CP"&amp;AE33+1),INDIRECT("'盛付札（関数）'!CP"&amp;AE33)))</f>
        <v/>
      </c>
      <c r="AH36" s="121"/>
      <c r="AI36" s="88"/>
      <c r="AJ36" s="125" t="str" cm="1">
        <f t="array" aca="1" ref="AJ36" ca="1">IF(AG33&lt;&gt;"",
IF(OR(INDIRECT("'盛付札（関数）'!CK"&amp;AE33)=121,INDIRECT("'盛付札（関数）'!CK"&amp;AE33)=122,INDIRECT("'盛付札（関数）'!CK"&amp;AE33)=123,INDIRECT("'盛付札（関数）'!CK"&amp;AE33)=124),"",
IF(AF34="●",
IFERROR(INDIRECT("'盛付札（関数）'!CQ"&amp;AE33)+INDIRECT("'盛付札（関数）'!CQ"&amp;AE33+1),""),
IF(AF34="〇",
INDIRECT("'盛付札（関数）'!CQ"&amp;AE33+1),INDIRECT("'盛付札（関数）'!CQ"&amp;AE33)))),"")</f>
        <v/>
      </c>
      <c r="AK36" s="126"/>
      <c r="AL36" s="58"/>
      <c r="AM36" s="57"/>
      <c r="AN36" s="120" t="str" cm="1">
        <f t="array" aca="1" ref="AN36" ca="1">IF(AM34="●",
INDIRECT("'盛付札（関数）'!CP"&amp;AL33)+INDIRECT("'盛付札（関数）'!CP"&amp;AL33+1),
IF(AM34="〇",
INDIRECT("'盛付札（関数）'!CP"&amp;AL33+1),INDIRECT("'盛付札（関数）'!CP"&amp;AL33)))</f>
        <v/>
      </c>
      <c r="AO36" s="121"/>
      <c r="AP36" s="88"/>
      <c r="AQ36" s="125" t="str" cm="1">
        <f t="array" aca="1" ref="AQ36" ca="1">IF(AN33&lt;&gt;"",
IF(OR(INDIRECT("'盛付札（関数）'!CK"&amp;AL33)=121,INDIRECT("'盛付札（関数）'!CK"&amp;AL33)=122,INDIRECT("'盛付札（関数）'!CK"&amp;AL33)=123,INDIRECT("'盛付札（関数）'!CK"&amp;AL33)=124),"",
IF(AM34="●",
IFERROR(INDIRECT("'盛付札（関数）'!CQ"&amp;AL33)+INDIRECT("'盛付札（関数）'!CQ"&amp;AL33+1),""),
IF(AM34="〇",
INDIRECT("'盛付札（関数）'!CQ"&amp;AL33+1),INDIRECT("'盛付札（関数）'!CQ"&amp;AL33)))),"")</f>
        <v/>
      </c>
      <c r="AR36" s="126"/>
      <c r="AT36" s="58"/>
      <c r="AU36" s="57"/>
      <c r="AV36" s="120" t="str" cm="1">
        <f t="array" aca="1" ref="AV36" ca="1">IF(AU34="●",
INDIRECT("'盛付札（関数）'!CP"&amp;AT33)+INDIRECT("'盛付札（関数）'!CP"&amp;AT33+1),
IF(AU34="〇",
INDIRECT("'盛付札（関数）'!CP"&amp;AT33+1),INDIRECT("'盛付札（関数）'!CP"&amp;AT33)))</f>
        <v/>
      </c>
      <c r="AW36" s="121"/>
      <c r="AX36" s="88"/>
      <c r="AY36" s="125" t="str" cm="1">
        <f t="array" aca="1" ref="AY36" ca="1">IF(AV33&lt;&gt;"",
IF(OR(INDIRECT("'盛付札（関数）'!CK"&amp;AT33)=121,INDIRECT("'盛付札（関数）'!CK"&amp;AT33)=122,INDIRECT("'盛付札（関数）'!CK"&amp;AT33)=123,INDIRECT("'盛付札（関数）'!CK"&amp;AT33)=124),"",
IF(AU34="●",
IFERROR(INDIRECT("'盛付札（関数）'!CQ"&amp;AT33)+INDIRECT("'盛付札（関数）'!CQ"&amp;AT33+1),""),
IF(AU34="〇",
INDIRECT("'盛付札（関数）'!CQ"&amp;AT33+1),INDIRECT("'盛付札（関数）'!CQ"&amp;AT33)))),"")</f>
        <v/>
      </c>
      <c r="AZ36" s="126"/>
      <c r="BA36" s="58"/>
      <c r="BB36" s="57"/>
      <c r="BC36" s="120" t="str" cm="1">
        <f t="array" aca="1" ref="BC36" ca="1">IF(BB34="●",
INDIRECT("'盛付札（関数）'!CP"&amp;BA33)+INDIRECT("'盛付札（関数）'!CP"&amp;BA33+1),
IF(BB34="〇",
INDIRECT("'盛付札（関数）'!CP"&amp;BA33+1),INDIRECT("'盛付札（関数）'!CP"&amp;BA33)))</f>
        <v/>
      </c>
      <c r="BD36" s="121"/>
      <c r="BE36" s="88"/>
      <c r="BF36" s="125" t="str" cm="1">
        <f t="array" aca="1" ref="BF36" ca="1">IF(BC33&lt;&gt;"",
IF(OR(INDIRECT("'盛付札（関数）'!CK"&amp;BA33)=121,INDIRECT("'盛付札（関数）'!CK"&amp;BA33)=122,INDIRECT("'盛付札（関数）'!CK"&amp;BA33)=123,INDIRECT("'盛付札（関数）'!CK"&amp;BA33)=124),"",
IF(BB34="●",
IFERROR(INDIRECT("'盛付札（関数）'!CQ"&amp;BA33)+INDIRECT("'盛付札（関数）'!CQ"&amp;BA33+1),""),
IF(BB34="〇",
INDIRECT("'盛付札（関数）'!CQ"&amp;BA33+1),INDIRECT("'盛付札（関数）'!CQ"&amp;BA33)))),"")</f>
        <v/>
      </c>
      <c r="BG36" s="126"/>
      <c r="BI36" s="58"/>
      <c r="BJ36" s="57"/>
      <c r="BK36" s="120" t="str" cm="1">
        <f t="array" aca="1" ref="BK36" ca="1">IF(BJ34="●",
INDIRECT("'盛付札（関数）'!CP"&amp;BI33)+INDIRECT("'盛付札（関数）'!CP"&amp;BI33+1),
IF(BJ34="〇",
INDIRECT("'盛付札（関数）'!CP"&amp;BI33+1),INDIRECT("'盛付札（関数）'!CP"&amp;BI33)))</f>
        <v/>
      </c>
      <c r="BL36" s="121"/>
      <c r="BM36" s="88"/>
      <c r="BN36" s="125" t="str" cm="1">
        <f t="array" aca="1" ref="BN36" ca="1">IF(BK33&lt;&gt;"",
IF(OR(INDIRECT("'盛付札（関数）'!CK"&amp;BI33)=121,INDIRECT("'盛付札（関数）'!CK"&amp;BI33)=122,INDIRECT("'盛付札（関数）'!CK"&amp;BI33)=123,INDIRECT("'盛付札（関数）'!CK"&amp;BI33)=124),"",
IF(BJ34="●",
IFERROR(INDIRECT("'盛付札（関数）'!CQ"&amp;BI33)+INDIRECT("'盛付札（関数）'!CQ"&amp;BI33+1),""),
IF(BJ34="〇",
INDIRECT("'盛付札（関数）'!CQ"&amp;BI33+1),INDIRECT("'盛付札（関数）'!CQ"&amp;BI33)))),"")</f>
        <v/>
      </c>
      <c r="BO36" s="126"/>
      <c r="BP36" s="58"/>
      <c r="BQ36" s="57"/>
      <c r="BR36" s="120" t="str" cm="1">
        <f t="array" aca="1" ref="BR36" ca="1">IF(BQ34="●",
INDIRECT("'盛付札（関数）'!CP"&amp;BP33)+INDIRECT("'盛付札（関数）'!CP"&amp;BP33+1),
IF(BQ34="〇",
INDIRECT("'盛付札（関数）'!CP"&amp;BP33+1),INDIRECT("'盛付札（関数）'!CP"&amp;BP33)))</f>
        <v/>
      </c>
      <c r="BS36" s="121"/>
      <c r="BT36" s="88"/>
      <c r="BU36" s="125" t="str" cm="1">
        <f t="array" aca="1" ref="BU36" ca="1">IF(BR33&lt;&gt;"",
IF(OR(INDIRECT("'盛付札（関数）'!CK"&amp;BP33)=121,INDIRECT("'盛付札（関数）'!CK"&amp;BP33)=122,INDIRECT("'盛付札（関数）'!CK"&amp;BP33)=123,INDIRECT("'盛付札（関数）'!CK"&amp;BP33)=124),"",
IF(BQ34="●",
IFERROR(INDIRECT("'盛付札（関数）'!CQ"&amp;BP33)+INDIRECT("'盛付札（関数）'!CQ"&amp;BP33+1),""),
IF(BQ34="〇",
INDIRECT("'盛付札（関数）'!CQ"&amp;BP33+1),INDIRECT("'盛付札（関数）'!CQ"&amp;BP33)))),"")</f>
        <v/>
      </c>
      <c r="BV36" s="126"/>
    </row>
    <row r="37" spans="1:75" ht="15.6" customHeight="1" x14ac:dyDescent="0.45">
      <c r="A37" s="58"/>
      <c r="B37" s="59"/>
      <c r="C37" s="122"/>
      <c r="D37" s="122"/>
      <c r="E37" s="81"/>
      <c r="F37" s="127"/>
      <c r="G37" s="128"/>
      <c r="H37" s="58"/>
      <c r="I37" s="59"/>
      <c r="J37" s="122"/>
      <c r="K37" s="122"/>
      <c r="L37" s="81"/>
      <c r="M37" s="127"/>
      <c r="N37" s="128"/>
      <c r="P37" s="58"/>
      <c r="Q37" s="59"/>
      <c r="R37" s="122"/>
      <c r="S37" s="122"/>
      <c r="T37" s="81"/>
      <c r="U37" s="127"/>
      <c r="V37" s="128"/>
      <c r="W37" s="58"/>
      <c r="X37" s="59"/>
      <c r="Y37" s="122"/>
      <c r="Z37" s="122"/>
      <c r="AA37" s="81"/>
      <c r="AB37" s="127"/>
      <c r="AC37" s="128"/>
      <c r="AE37" s="58"/>
      <c r="AF37" s="59"/>
      <c r="AG37" s="122"/>
      <c r="AH37" s="122"/>
      <c r="AI37" s="81"/>
      <c r="AJ37" s="127"/>
      <c r="AK37" s="128"/>
      <c r="AL37" s="58"/>
      <c r="AM37" s="59"/>
      <c r="AN37" s="122"/>
      <c r="AO37" s="122"/>
      <c r="AP37" s="81"/>
      <c r="AQ37" s="127"/>
      <c r="AR37" s="128"/>
      <c r="AT37" s="58"/>
      <c r="AU37" s="59"/>
      <c r="AV37" s="122"/>
      <c r="AW37" s="122"/>
      <c r="AX37" s="81"/>
      <c r="AY37" s="127"/>
      <c r="AZ37" s="128"/>
      <c r="BA37" s="58"/>
      <c r="BB37" s="59"/>
      <c r="BC37" s="122"/>
      <c r="BD37" s="122"/>
      <c r="BE37" s="81"/>
      <c r="BF37" s="127"/>
      <c r="BG37" s="128"/>
      <c r="BI37" s="58"/>
      <c r="BJ37" s="59"/>
      <c r="BK37" s="122"/>
      <c r="BL37" s="122"/>
      <c r="BM37" s="81"/>
      <c r="BN37" s="127"/>
      <c r="BO37" s="128"/>
      <c r="BP37" s="58"/>
      <c r="BQ37" s="59"/>
      <c r="BR37" s="122"/>
      <c r="BS37" s="122"/>
      <c r="BT37" s="81"/>
      <c r="BU37" s="127"/>
      <c r="BV37" s="128"/>
    </row>
    <row r="38" spans="1:75" s="68" customFormat="1" x14ac:dyDescent="0.55000000000000004">
      <c r="A38" s="53"/>
      <c r="B38" s="74" t="str" cm="1">
        <f t="array" aca="1" ref="B38" ca="1">IF(C33&lt;&gt;"",
IF(OR(INDIRECT("'盛付札（関数）'!CK"&amp;A33)=121,INDIRECT("'盛付札（関数）'!CK"&amp;A33)=122,INDIRECT("'盛付札（関数）'!CK"&amp;A33)=123,INDIRECT("'盛付札（関数）'!CK"&amp;A33)=124),"",
"パン箱"),"")</f>
        <v/>
      </c>
      <c r="C38" s="72" t="str" cm="1">
        <f t="array" aca="1" ref="C38" ca="1">IF(C33&lt;&gt;"",
IF(OR(INDIRECT("'盛付札（関数）'!CK"&amp;A33)=121,INDIRECT("'盛付札（関数）'!CK"&amp;A33)=122,INDIRECT("'盛付札（関数）'!CK"&amp;A33)=123,INDIRECT("'盛付札（関数）'!CK"&amp;A33)=124),"",
IF(B34="〇",
INDIRECT("'盛付札（関数）'!CR"&amp;A33+1),INDIRECT("'盛付札（関数）'!CR"&amp;A33))),"")</f>
        <v/>
      </c>
      <c r="D38" s="74" t="str" cm="1">
        <f t="array" aca="1" ref="D38" ca="1">IF(C33&lt;&gt;"",
IF(OR(INDIRECT("'盛付札（関数）'!CK"&amp;A33)=121,INDIRECT("'盛付札（関数）'!CK"&amp;A33)=122,INDIRECT("'盛付札（関数）'!CK"&amp;A33)=123,INDIRECT("'盛付札（関数）'!CK"&amp;A33)=124),"",
"端数"),"")</f>
        <v/>
      </c>
      <c r="E38" s="72"/>
      <c r="F38" s="74" t="str" cm="1">
        <f t="array" aca="1" ref="F38" ca="1">IF(C33&lt;&gt;"",
IF(OR(INDIRECT("'盛付札（関数）'!CK"&amp;A33)=121,INDIRECT("'盛付札（関数）'!CK"&amp;A33)=122,INDIRECT("'盛付札（関数）'!CK"&amp;A33)=123,INDIRECT("'盛付札（関数）'!CK"&amp;A33)=124),"",
"アレルギー"),"")</f>
        <v/>
      </c>
      <c r="G38" s="77"/>
      <c r="H38" s="53"/>
      <c r="I38" s="74" t="str" cm="1">
        <f t="array" aca="1" ref="I38" ca="1">IF(J33&lt;&gt;"",
IF(OR(INDIRECT("'盛付札（関数）'!CK"&amp;H33)=121,INDIRECT("'盛付札（関数）'!CK"&amp;H33)=122,INDIRECT("'盛付札（関数）'!CK"&amp;H33)=123,INDIRECT("'盛付札（関数）'!CK"&amp;H33)=124),"",
"パン箱"),"")</f>
        <v/>
      </c>
      <c r="J38" s="72" t="str" cm="1">
        <f t="array" aca="1" ref="J38" ca="1">IF(J33&lt;&gt;"",
IF(OR(INDIRECT("'盛付札（関数）'!CK"&amp;H33)=121,INDIRECT("'盛付札（関数）'!CK"&amp;H33)=122,INDIRECT("'盛付札（関数）'!CK"&amp;H33)=123,INDIRECT("'盛付札（関数）'!CK"&amp;H33)=124),"",
IF(I34="〇",
INDIRECT("'盛付札（関数）'!CR"&amp;H33+1),INDIRECT("'盛付札（関数）'!CR"&amp;H33))),"")</f>
        <v/>
      </c>
      <c r="K38" s="74" t="str" cm="1">
        <f t="array" aca="1" ref="K38" ca="1">IF(J33&lt;&gt;"",
IF(OR(INDIRECT("'盛付札（関数）'!CK"&amp;H33)=121,INDIRECT("'盛付札（関数）'!CK"&amp;H33)=122,INDIRECT("'盛付札（関数）'!CK"&amp;H33)=123,INDIRECT("'盛付札（関数）'!CK"&amp;H33)=124),"",
"端数"),"")</f>
        <v/>
      </c>
      <c r="L38" s="72"/>
      <c r="M38" s="74" t="str" cm="1">
        <f t="array" aca="1" ref="M38" ca="1">IF(J33&lt;&gt;"",
IF(OR(INDIRECT("'盛付札（関数）'!CK"&amp;H33)=121,INDIRECT("'盛付札（関数）'!CK"&amp;H33)=122,INDIRECT("'盛付札（関数）'!CK"&amp;H33)=123,INDIRECT("'盛付札（関数）'!CK"&amp;H33)=124),"",
"アレルギー"),"")</f>
        <v/>
      </c>
      <c r="N38" s="77"/>
      <c r="O38" s="53"/>
      <c r="P38" s="53"/>
      <c r="Q38" s="74" t="str" cm="1">
        <f t="array" aca="1" ref="Q38" ca="1">IF(R33&lt;&gt;"",
IF(OR(INDIRECT("'盛付札（関数）'!CK"&amp;P33)=121,INDIRECT("'盛付札（関数）'!CK"&amp;P33)=122,INDIRECT("'盛付札（関数）'!CK"&amp;P33)=123,INDIRECT("'盛付札（関数）'!CK"&amp;P33)=124),"",
"パン箱"),"")</f>
        <v/>
      </c>
      <c r="R38" s="72" t="str" cm="1">
        <f t="array" aca="1" ref="R38" ca="1">IF(R33&lt;&gt;"",
IF(OR(INDIRECT("'盛付札（関数）'!CK"&amp;P33)=121,INDIRECT("'盛付札（関数）'!CK"&amp;P33)=122,INDIRECT("'盛付札（関数）'!CK"&amp;P33)=123,INDIRECT("'盛付札（関数）'!CK"&amp;P33)=124),"",
IF(Q34="〇",
INDIRECT("'盛付札（関数）'!CR"&amp;P33+1),INDIRECT("'盛付札（関数）'!CR"&amp;P33))),"")</f>
        <v/>
      </c>
      <c r="S38" s="74" t="str" cm="1">
        <f t="array" aca="1" ref="S38" ca="1">IF(R33&lt;&gt;"",
IF(OR(INDIRECT("'盛付札（関数）'!CK"&amp;P33)=121,INDIRECT("'盛付札（関数）'!CK"&amp;P33)=122,INDIRECT("'盛付札（関数）'!CK"&amp;P33)=123,INDIRECT("'盛付札（関数）'!CK"&amp;P33)=124),"",
"端数"),"")</f>
        <v/>
      </c>
      <c r="T38" s="72"/>
      <c r="U38" s="74" t="str" cm="1">
        <f t="array" aca="1" ref="U38" ca="1">IF(R33&lt;&gt;"",
IF(OR(INDIRECT("'盛付札（関数）'!CK"&amp;P33)=121,INDIRECT("'盛付札（関数）'!CK"&amp;P33)=122,INDIRECT("'盛付札（関数）'!CK"&amp;P33)=123,INDIRECT("'盛付札（関数）'!CK"&amp;P33)=124),"",
"アレルギー"),"")</f>
        <v/>
      </c>
      <c r="V38" s="77"/>
      <c r="W38" s="53"/>
      <c r="X38" s="74" t="str" cm="1">
        <f t="array" aca="1" ref="X38" ca="1">IF(Y33&lt;&gt;"",
IF(OR(INDIRECT("'盛付札（関数）'!CK"&amp;W33)=121,INDIRECT("'盛付札（関数）'!CK"&amp;W33)=122,INDIRECT("'盛付札（関数）'!CK"&amp;W33)=123,INDIRECT("'盛付札（関数）'!CK"&amp;W33)=124),"",
"パン箱"),"")</f>
        <v/>
      </c>
      <c r="Y38" s="72" t="str" cm="1">
        <f t="array" aca="1" ref="Y38" ca="1">IF(Y33&lt;&gt;"",
IF(OR(INDIRECT("'盛付札（関数）'!CK"&amp;W33)=121,INDIRECT("'盛付札（関数）'!CK"&amp;W33)=122,INDIRECT("'盛付札（関数）'!CK"&amp;W33)=123,INDIRECT("'盛付札（関数）'!CK"&amp;W33)=124),"",
IF(X34="〇",
INDIRECT("'盛付札（関数）'!CR"&amp;W33+1),INDIRECT("'盛付札（関数）'!CR"&amp;W33))),"")</f>
        <v/>
      </c>
      <c r="Z38" s="74" t="str" cm="1">
        <f t="array" aca="1" ref="Z38" ca="1">IF(Y33&lt;&gt;"",
IF(OR(INDIRECT("'盛付札（関数）'!CK"&amp;W33)=121,INDIRECT("'盛付札（関数）'!CK"&amp;W33)=122,INDIRECT("'盛付札（関数）'!CK"&amp;W33)=123,INDIRECT("'盛付札（関数）'!CK"&amp;W33)=124),"",
"端数"),"")</f>
        <v/>
      </c>
      <c r="AA38" s="72"/>
      <c r="AB38" s="74" t="str" cm="1">
        <f t="array" aca="1" ref="AB38" ca="1">IF(Y33&lt;&gt;"",
IF(OR(INDIRECT("'盛付札（関数）'!CK"&amp;W33)=121,INDIRECT("'盛付札（関数）'!CK"&amp;W33)=122,INDIRECT("'盛付札（関数）'!CK"&amp;W33)=123,INDIRECT("'盛付札（関数）'!CK"&amp;W33)=124),"",
"アレルギー"),"")</f>
        <v/>
      </c>
      <c r="AC38" s="77"/>
      <c r="AD38" s="53"/>
      <c r="AE38" s="53"/>
      <c r="AF38" s="74" t="str" cm="1">
        <f t="array" aca="1" ref="AF38" ca="1">IF(AG33&lt;&gt;"",
IF(OR(INDIRECT("'盛付札（関数）'!CK"&amp;AE33)=121,INDIRECT("'盛付札（関数）'!CK"&amp;AE33)=122,INDIRECT("'盛付札（関数）'!CK"&amp;AE33)=123,INDIRECT("'盛付札（関数）'!CK"&amp;AE33)=124),"",
"パン箱"),"")</f>
        <v/>
      </c>
      <c r="AG38" s="72" t="str" cm="1">
        <f t="array" aca="1" ref="AG38" ca="1">IF(AG33&lt;&gt;"",
IF(OR(INDIRECT("'盛付札（関数）'!CK"&amp;AE33)=121,INDIRECT("'盛付札（関数）'!CK"&amp;AE33)=122,INDIRECT("'盛付札（関数）'!CK"&amp;AE33)=123,INDIRECT("'盛付札（関数）'!CK"&amp;AE33)=124),"",
IF(AF34="〇",
INDIRECT("'盛付札（関数）'!CR"&amp;AE33+1),INDIRECT("'盛付札（関数）'!CR"&amp;AE33))),"")</f>
        <v/>
      </c>
      <c r="AH38" s="74" t="str" cm="1">
        <f t="array" aca="1" ref="AH38" ca="1">IF(AG33&lt;&gt;"",
IF(OR(INDIRECT("'盛付札（関数）'!CK"&amp;AE33)=121,INDIRECT("'盛付札（関数）'!CK"&amp;AE33)=122,INDIRECT("'盛付札（関数）'!CK"&amp;AE33)=123,INDIRECT("'盛付札（関数）'!CK"&amp;AE33)=124),"",
"端数"),"")</f>
        <v/>
      </c>
      <c r="AI38" s="72"/>
      <c r="AJ38" s="74" t="str" cm="1">
        <f t="array" aca="1" ref="AJ38" ca="1">IF(AG33&lt;&gt;"",
IF(OR(INDIRECT("'盛付札（関数）'!CK"&amp;AE33)=121,INDIRECT("'盛付札（関数）'!CK"&amp;AE33)=122,INDIRECT("'盛付札（関数）'!CK"&amp;AE33)=123,INDIRECT("'盛付札（関数）'!CK"&amp;AE33)=124),"",
"アレルギー"),"")</f>
        <v/>
      </c>
      <c r="AK38" s="77"/>
      <c r="AL38" s="53"/>
      <c r="AM38" s="74" t="str" cm="1">
        <f t="array" aca="1" ref="AM38" ca="1">IF(AN33&lt;&gt;"",
IF(OR(INDIRECT("'盛付札（関数）'!CK"&amp;AL33)=121,INDIRECT("'盛付札（関数）'!CK"&amp;AL33)=122,INDIRECT("'盛付札（関数）'!CK"&amp;AL33)=123,INDIRECT("'盛付札（関数）'!CK"&amp;AL33)=124),"",
"パン箱"),"")</f>
        <v/>
      </c>
      <c r="AN38" s="72" t="str" cm="1">
        <f t="array" aca="1" ref="AN38" ca="1">IF(AN33&lt;&gt;"",
IF(OR(INDIRECT("'盛付札（関数）'!CK"&amp;AL33)=121,INDIRECT("'盛付札（関数）'!CK"&amp;AL33)=122,INDIRECT("'盛付札（関数）'!CK"&amp;AL33)=123,INDIRECT("'盛付札（関数）'!CK"&amp;AL33)=124),"",
IF(AM34="〇",
INDIRECT("'盛付札（関数）'!CR"&amp;AL33+1),INDIRECT("'盛付札（関数）'!CR"&amp;AL33))),"")</f>
        <v/>
      </c>
      <c r="AO38" s="74" t="str" cm="1">
        <f t="array" aca="1" ref="AO38" ca="1">IF(AN33&lt;&gt;"",
IF(OR(INDIRECT("'盛付札（関数）'!CK"&amp;AL33)=121,INDIRECT("'盛付札（関数）'!CK"&amp;AL33)=122,INDIRECT("'盛付札（関数）'!CK"&amp;AL33)=123,INDIRECT("'盛付札（関数）'!CK"&amp;AL33)=124),"",
"端数"),"")</f>
        <v/>
      </c>
      <c r="AP38" s="72"/>
      <c r="AQ38" s="74" t="str" cm="1">
        <f t="array" aca="1" ref="AQ38" ca="1">IF(AN33&lt;&gt;"",
IF(OR(INDIRECT("'盛付札（関数）'!CK"&amp;AL33)=121,INDIRECT("'盛付札（関数）'!CK"&amp;AL33)=122,INDIRECT("'盛付札（関数）'!CK"&amp;AL33)=123,INDIRECT("'盛付札（関数）'!CK"&amp;AL33)=124),"",
"アレルギー"),"")</f>
        <v/>
      </c>
      <c r="AR38" s="77"/>
      <c r="AS38" s="53"/>
      <c r="AT38" s="53"/>
      <c r="AU38" s="74" t="str" cm="1">
        <f t="array" aca="1" ref="AU38" ca="1">IF(AV33&lt;&gt;"",
IF(OR(INDIRECT("'盛付札（関数）'!CK"&amp;AT33)=121,INDIRECT("'盛付札（関数）'!CK"&amp;AT33)=122,INDIRECT("'盛付札（関数）'!CK"&amp;AT33)=123,INDIRECT("'盛付札（関数）'!CK"&amp;AT33)=124),"",
"パン箱"),"")</f>
        <v/>
      </c>
      <c r="AV38" s="72" t="str" cm="1">
        <f t="array" aca="1" ref="AV38" ca="1">IF(AV33&lt;&gt;"",
IF(OR(INDIRECT("'盛付札（関数）'!CK"&amp;AT33)=121,INDIRECT("'盛付札（関数）'!CK"&amp;AT33)=122,INDIRECT("'盛付札（関数）'!CK"&amp;AT33)=123,INDIRECT("'盛付札（関数）'!CK"&amp;AT33)=124),"",
IF(AU34="〇",
INDIRECT("'盛付札（関数）'!CR"&amp;AT33+1),INDIRECT("'盛付札（関数）'!CR"&amp;AT33))),"")</f>
        <v/>
      </c>
      <c r="AW38" s="74" t="str" cm="1">
        <f t="array" aca="1" ref="AW38" ca="1">IF(AV33&lt;&gt;"",
IF(OR(INDIRECT("'盛付札（関数）'!CK"&amp;AT33)=121,INDIRECT("'盛付札（関数）'!CK"&amp;AT33)=122,INDIRECT("'盛付札（関数）'!CK"&amp;AT33)=123,INDIRECT("'盛付札（関数）'!CK"&amp;AT33)=124),"",
"端数"),"")</f>
        <v/>
      </c>
      <c r="AX38" s="72"/>
      <c r="AY38" s="74" t="str" cm="1">
        <f t="array" aca="1" ref="AY38" ca="1">IF(AV33&lt;&gt;"",
IF(OR(INDIRECT("'盛付札（関数）'!CK"&amp;AT33)=121,INDIRECT("'盛付札（関数）'!CK"&amp;AT33)=122,INDIRECT("'盛付札（関数）'!CK"&amp;AT33)=123,INDIRECT("'盛付札（関数）'!CK"&amp;AT33)=124),"",
"アレルギー"),"")</f>
        <v/>
      </c>
      <c r="AZ38" s="77"/>
      <c r="BA38" s="53"/>
      <c r="BB38" s="74" t="str" cm="1">
        <f t="array" aca="1" ref="BB38" ca="1">IF(BC33&lt;&gt;"",
IF(OR(INDIRECT("'盛付札（関数）'!CK"&amp;BA33)=121,INDIRECT("'盛付札（関数）'!CK"&amp;BA33)=122,INDIRECT("'盛付札（関数）'!CK"&amp;BA33)=123,INDIRECT("'盛付札（関数）'!CK"&amp;BA33)=124),"",
"パン箱"),"")</f>
        <v/>
      </c>
      <c r="BC38" s="72" t="str" cm="1">
        <f t="array" aca="1" ref="BC38" ca="1">IF(BC33&lt;&gt;"",
IF(OR(INDIRECT("'盛付札（関数）'!CK"&amp;BA33)=121,INDIRECT("'盛付札（関数）'!CK"&amp;BA33)=122,INDIRECT("'盛付札（関数）'!CK"&amp;BA33)=123,INDIRECT("'盛付札（関数）'!CK"&amp;BA33)=124),"",
IF(BB34="〇",
INDIRECT("'盛付札（関数）'!CR"&amp;BA33+1),INDIRECT("'盛付札（関数）'!CR"&amp;BA33))),"")</f>
        <v/>
      </c>
      <c r="BD38" s="74" t="str" cm="1">
        <f t="array" aca="1" ref="BD38" ca="1">IF(BC33&lt;&gt;"",
IF(OR(INDIRECT("'盛付札（関数）'!CK"&amp;BA33)=121,INDIRECT("'盛付札（関数）'!CK"&amp;BA33)=122,INDIRECT("'盛付札（関数）'!CK"&amp;BA33)=123,INDIRECT("'盛付札（関数）'!CK"&amp;BA33)=124),"",
"端数"),"")</f>
        <v/>
      </c>
      <c r="BE38" s="72"/>
      <c r="BF38" s="74" t="str" cm="1">
        <f t="array" aca="1" ref="BF38" ca="1">IF(BC33&lt;&gt;"",
IF(OR(INDIRECT("'盛付札（関数）'!CK"&amp;BA33)=121,INDIRECT("'盛付札（関数）'!CK"&amp;BA33)=122,INDIRECT("'盛付札（関数）'!CK"&amp;BA33)=123,INDIRECT("'盛付札（関数）'!CK"&amp;BA33)=124),"",
"アレルギー"),"")</f>
        <v/>
      </c>
      <c r="BG38" s="77"/>
      <c r="BH38" s="53"/>
      <c r="BI38" s="53"/>
      <c r="BJ38" s="74" t="str" cm="1">
        <f t="array" aca="1" ref="BJ38" ca="1">IF(BK33&lt;&gt;"",
IF(OR(INDIRECT("'盛付札（関数）'!CK"&amp;BI33)=121,INDIRECT("'盛付札（関数）'!CK"&amp;BI33)=122,INDIRECT("'盛付札（関数）'!CK"&amp;BI33)=123,INDIRECT("'盛付札（関数）'!CK"&amp;BI33)=124),"",
"パン箱"),"")</f>
        <v/>
      </c>
      <c r="BK38" s="72" t="str" cm="1">
        <f t="array" aca="1" ref="BK38" ca="1">IF(BK33&lt;&gt;"",
IF(OR(INDIRECT("'盛付札（関数）'!CK"&amp;BI33)=121,INDIRECT("'盛付札（関数）'!CK"&amp;BI33)=122,INDIRECT("'盛付札（関数）'!CK"&amp;BI33)=123,INDIRECT("'盛付札（関数）'!CK"&amp;BI33)=124),"",
IF(BJ34="〇",
INDIRECT("'盛付札（関数）'!CR"&amp;BI33+1),INDIRECT("'盛付札（関数）'!CR"&amp;BI33))),"")</f>
        <v/>
      </c>
      <c r="BL38" s="74" t="str" cm="1">
        <f t="array" aca="1" ref="BL38" ca="1">IF(BK33&lt;&gt;"",
IF(OR(INDIRECT("'盛付札（関数）'!CK"&amp;BI33)=121,INDIRECT("'盛付札（関数）'!CK"&amp;BI33)=122,INDIRECT("'盛付札（関数）'!CK"&amp;BI33)=123,INDIRECT("'盛付札（関数）'!CK"&amp;BI33)=124),"",
"端数"),"")</f>
        <v/>
      </c>
      <c r="BM38" s="72"/>
      <c r="BN38" s="74" t="str" cm="1">
        <f t="array" aca="1" ref="BN38" ca="1">IF(BK33&lt;&gt;"",
IF(OR(INDIRECT("'盛付札（関数）'!CK"&amp;BI33)=121,INDIRECT("'盛付札（関数）'!CK"&amp;BI33)=122,INDIRECT("'盛付札（関数）'!CK"&amp;BI33)=123,INDIRECT("'盛付札（関数）'!CK"&amp;BI33)=124),"",
"アレルギー"),"")</f>
        <v/>
      </c>
      <c r="BO38" s="77"/>
      <c r="BP38" s="53"/>
      <c r="BQ38" s="74" t="str" cm="1">
        <f t="array" aca="1" ref="BQ38" ca="1">IF(BR33&lt;&gt;"",
IF(OR(INDIRECT("'盛付札（関数）'!CK"&amp;BP33)=121,INDIRECT("'盛付札（関数）'!CK"&amp;BP33)=122,INDIRECT("'盛付札（関数）'!CK"&amp;BP33)=123,INDIRECT("'盛付札（関数）'!CK"&amp;BP33)=124),"",
"パン箱"),"")</f>
        <v/>
      </c>
      <c r="BR38" s="72" t="str" cm="1">
        <f t="array" aca="1" ref="BR38" ca="1">IF(BR33&lt;&gt;"",
IF(OR(INDIRECT("'盛付札（関数）'!CK"&amp;BP33)=121,INDIRECT("'盛付札（関数）'!CK"&amp;BP33)=122,INDIRECT("'盛付札（関数）'!CK"&amp;BP33)=123,INDIRECT("'盛付札（関数）'!CK"&amp;BP33)=124),"",
IF(BQ34="〇",
INDIRECT("'盛付札（関数）'!CR"&amp;BP33+1),INDIRECT("'盛付札（関数）'!CR"&amp;BP33))),"")</f>
        <v/>
      </c>
      <c r="BS38" s="74" t="str" cm="1">
        <f t="array" aca="1" ref="BS38" ca="1">IF(BR33&lt;&gt;"",
IF(OR(INDIRECT("'盛付札（関数）'!CK"&amp;BP33)=121,INDIRECT("'盛付札（関数）'!CK"&amp;BP33)=122,INDIRECT("'盛付札（関数）'!CK"&amp;BP33)=123,INDIRECT("'盛付札（関数）'!CK"&amp;BP33)=124),"",
"端数"),"")</f>
        <v/>
      </c>
      <c r="BT38" s="72"/>
      <c r="BU38" s="74" t="str" cm="1">
        <f t="array" aca="1" ref="BU38" ca="1">IF(BR33&lt;&gt;"",
IF(OR(INDIRECT("'盛付札（関数）'!CK"&amp;BP33)=121,INDIRECT("'盛付札（関数）'!CK"&amp;BP33)=122,INDIRECT("'盛付札（関数）'!CK"&amp;BP33)=123,INDIRECT("'盛付札（関数）'!CK"&amp;BP33)=124),"",
"アレルギー"),"")</f>
        <v/>
      </c>
      <c r="BV38" s="77"/>
      <c r="BW38" s="53"/>
    </row>
    <row r="39" spans="1:75" ht="27.6" customHeight="1" x14ac:dyDescent="0.45">
      <c r="B39" s="124" t="str">
        <f ca="1">IF(C36&lt;&gt;"",
IFERROR(INT(C36/C38),""),"")</f>
        <v/>
      </c>
      <c r="C39" s="119"/>
      <c r="D39" s="124" t="str">
        <f ca="1">IFERROR(MOD(C36,C38),"")</f>
        <v/>
      </c>
      <c r="E39" s="119"/>
      <c r="F39" s="118" t="str" cm="1">
        <f t="array" aca="1" ref="F39" ca="1">IF(C33&lt;&gt;"",
IF(OR(INDIRECT("'盛付札（関数）'!CK"&amp;A33)=121,INDIRECT("'盛付札（関数）'!CK"&amp;A33)=122,INDIRECT("'盛付札（関数）'!CK"&amp;A33)=123,INDIRECT("'盛付札（関数）'!CK"&amp;A33)=124),"",
IF(B34="●",
IFERROR(INDIRECT("'盛付札（関数）'!CU"&amp;A33)+INDIRECT("'盛付札（関数）'!CU"&amp;A33+1),0),
IF(B34="〇",
INDIRECT("'盛付札（関数）'!CU"&amp;A33+1),INDIRECT("'盛付札（関数）'!CU"&amp;A33)))),"")</f>
        <v/>
      </c>
      <c r="G39" s="119"/>
      <c r="I39" s="124" t="str">
        <f ca="1">IF(J36&lt;&gt;"",
IFERROR(INT(J36/J38),""),"")</f>
        <v/>
      </c>
      <c r="J39" s="119"/>
      <c r="K39" s="124" t="str">
        <f ca="1">IFERROR(MOD(J36,J38),"")</f>
        <v/>
      </c>
      <c r="L39" s="119"/>
      <c r="M39" s="118" t="str" cm="1">
        <f t="array" aca="1" ref="M39" ca="1">IF(J33&lt;&gt;"",
IF(OR(INDIRECT("'盛付札（関数）'!CK"&amp;H33)=121,INDIRECT("'盛付札（関数）'!CK"&amp;H33)=122,INDIRECT("'盛付札（関数）'!CK"&amp;H33)=123,INDIRECT("'盛付札（関数）'!CK"&amp;H33)=124),"",
IF(I34="●",
IFERROR(INDIRECT("'盛付札（関数）'!CU"&amp;H33)+INDIRECT("'盛付札（関数）'!CU"&amp;H33+1),0),
IF(I34="〇",
INDIRECT("'盛付札（関数）'!CU"&amp;H33+1),INDIRECT("'盛付札（関数）'!CU"&amp;H33)))),"")</f>
        <v/>
      </c>
      <c r="N39" s="119"/>
      <c r="Q39" s="124" t="str">
        <f ca="1">IF(R36&lt;&gt;"",
IFERROR(INT(R36/R38),""),"")</f>
        <v/>
      </c>
      <c r="R39" s="119"/>
      <c r="S39" s="124" t="str">
        <f ca="1">IFERROR(MOD(R36,R38),"")</f>
        <v/>
      </c>
      <c r="T39" s="119"/>
      <c r="U39" s="118" t="str" cm="1">
        <f t="array" aca="1" ref="U39" ca="1">IF(R33&lt;&gt;"",
IF(OR(INDIRECT("'盛付札（関数）'!CK"&amp;P33)=121,INDIRECT("'盛付札（関数）'!CK"&amp;P33)=122,INDIRECT("'盛付札（関数）'!CK"&amp;P33)=123,INDIRECT("'盛付札（関数）'!CK"&amp;P33)=124),"",
IF(Q34="●",
IFERROR(INDIRECT("'盛付札（関数）'!CU"&amp;P33)+INDIRECT("'盛付札（関数）'!CU"&amp;P33+1),0),
IF(Q34="〇",
INDIRECT("'盛付札（関数）'!CU"&amp;P33+1),INDIRECT("'盛付札（関数）'!CU"&amp;P33)))),"")</f>
        <v/>
      </c>
      <c r="V39" s="119"/>
      <c r="X39" s="124" t="str">
        <f ca="1">IF(Y36&lt;&gt;"",
IFERROR(INT(Y36/Y38),""),"")</f>
        <v/>
      </c>
      <c r="Y39" s="119"/>
      <c r="Z39" s="124" t="str">
        <f ca="1">IFERROR(MOD(Y36,Y38),"")</f>
        <v/>
      </c>
      <c r="AA39" s="119"/>
      <c r="AB39" s="118" t="str" cm="1">
        <f t="array" aca="1" ref="AB39" ca="1">IF(Y33&lt;&gt;"",
IF(OR(INDIRECT("'盛付札（関数）'!CK"&amp;W33)=121,INDIRECT("'盛付札（関数）'!CK"&amp;W33)=122,INDIRECT("'盛付札（関数）'!CK"&amp;W33)=123,INDIRECT("'盛付札（関数）'!CK"&amp;W33)=124),"",
IF(X34="●",
IFERROR(INDIRECT("'盛付札（関数）'!CU"&amp;W33)+INDIRECT("'盛付札（関数）'!CU"&amp;W33+1),0),
IF(X34="〇",
INDIRECT("'盛付札（関数）'!CU"&amp;W33+1),INDIRECT("'盛付札（関数）'!CU"&amp;W33)))),"")</f>
        <v/>
      </c>
      <c r="AC39" s="119"/>
      <c r="AF39" s="124" t="str">
        <f ca="1">IF(AG36&lt;&gt;"",
IFERROR(INT(AG36/AG38),""),"")</f>
        <v/>
      </c>
      <c r="AG39" s="119"/>
      <c r="AH39" s="124" t="str">
        <f ca="1">IFERROR(MOD(AG36,AG38),"")</f>
        <v/>
      </c>
      <c r="AI39" s="119"/>
      <c r="AJ39" s="118" t="str" cm="1">
        <f t="array" aca="1" ref="AJ39" ca="1">IF(AG33&lt;&gt;"",
IF(OR(INDIRECT("'盛付札（関数）'!CK"&amp;AE33)=121,INDIRECT("'盛付札（関数）'!CK"&amp;AE33)=122,INDIRECT("'盛付札（関数）'!CK"&amp;AE33)=123,INDIRECT("'盛付札（関数）'!CK"&amp;AE33)=124),"",
IF(AF34="●",
IFERROR(INDIRECT("'盛付札（関数）'!CU"&amp;AE33)+INDIRECT("'盛付札（関数）'!CU"&amp;AE33+1),0),
IF(AF34="〇",
INDIRECT("'盛付札（関数）'!CU"&amp;AE33+1),INDIRECT("'盛付札（関数）'!CU"&amp;AE33)))),"")</f>
        <v/>
      </c>
      <c r="AK39" s="119"/>
      <c r="AM39" s="124" t="str">
        <f ca="1">IF(AN36&lt;&gt;"",
IFERROR(INT(AN36/AN38),""),"")</f>
        <v/>
      </c>
      <c r="AN39" s="119"/>
      <c r="AO39" s="124" t="str">
        <f ca="1">IFERROR(MOD(AN36,AN38),"")</f>
        <v/>
      </c>
      <c r="AP39" s="119"/>
      <c r="AQ39" s="118" t="str" cm="1">
        <f t="array" aca="1" ref="AQ39" ca="1">IF(AN33&lt;&gt;"",
IF(OR(INDIRECT("'盛付札（関数）'!CK"&amp;AL33)=121,INDIRECT("'盛付札（関数）'!CK"&amp;AL33)=122,INDIRECT("'盛付札（関数）'!CK"&amp;AL33)=123,INDIRECT("'盛付札（関数）'!CK"&amp;AL33)=124),"",
IF(AM34="●",
IFERROR(INDIRECT("'盛付札（関数）'!CU"&amp;AL33)+INDIRECT("'盛付札（関数）'!CU"&amp;AL33+1),0),
IF(AM34="〇",
INDIRECT("'盛付札（関数）'!CU"&amp;AL33+1),INDIRECT("'盛付札（関数）'!CU"&amp;AL33)))),"")</f>
        <v/>
      </c>
      <c r="AR39" s="119"/>
      <c r="AU39" s="124" t="str">
        <f ca="1">IF(AV36&lt;&gt;"",
IFERROR(INT(AV36/AV38),""),"")</f>
        <v/>
      </c>
      <c r="AV39" s="119"/>
      <c r="AW39" s="124" t="str">
        <f ca="1">IFERROR(MOD(AV36,AV38),"")</f>
        <v/>
      </c>
      <c r="AX39" s="119"/>
      <c r="AY39" s="118" t="str" cm="1">
        <f t="array" aca="1" ref="AY39" ca="1">IF(AV33&lt;&gt;"",
IF(OR(INDIRECT("'盛付札（関数）'!CK"&amp;AT33)=121,INDIRECT("'盛付札（関数）'!CK"&amp;AT33)=122,INDIRECT("'盛付札（関数）'!CK"&amp;AT33)=123,INDIRECT("'盛付札（関数）'!CK"&amp;AT33)=124),"",
IF(AU34="●",
IFERROR(INDIRECT("'盛付札（関数）'!CU"&amp;AT33)+INDIRECT("'盛付札（関数）'!CU"&amp;AT33+1),0),
IF(AU34="〇",
INDIRECT("'盛付札（関数）'!CU"&amp;AT33+1),INDIRECT("'盛付札（関数）'!CU"&amp;AT33)))),"")</f>
        <v/>
      </c>
      <c r="AZ39" s="119"/>
      <c r="BB39" s="124" t="str">
        <f ca="1">IF(BC36&lt;&gt;"",
IFERROR(INT(BC36/BC38),""),"")</f>
        <v/>
      </c>
      <c r="BC39" s="119"/>
      <c r="BD39" s="124" t="str">
        <f ca="1">IFERROR(MOD(BC36,BC38),"")</f>
        <v/>
      </c>
      <c r="BE39" s="119"/>
      <c r="BF39" s="118" t="str" cm="1">
        <f t="array" aca="1" ref="BF39" ca="1">IF(BC33&lt;&gt;"",
IF(OR(INDIRECT("'盛付札（関数）'!CK"&amp;BA33)=121,INDIRECT("'盛付札（関数）'!CK"&amp;BA33)=122,INDIRECT("'盛付札（関数）'!CK"&amp;BA33)=123,INDIRECT("'盛付札（関数）'!CK"&amp;BA33)=124),"",
IF(BB34="●",
IFERROR(INDIRECT("'盛付札（関数）'!CU"&amp;BA33)+INDIRECT("'盛付札（関数）'!CU"&amp;BA33+1),0),
IF(BB34="〇",
INDIRECT("'盛付札（関数）'!CU"&amp;BA33+1),INDIRECT("'盛付札（関数）'!CU"&amp;BA33)))),"")</f>
        <v/>
      </c>
      <c r="BG39" s="119"/>
      <c r="BJ39" s="124" t="str">
        <f ca="1">IF(BK36&lt;&gt;"",
IFERROR(INT(BK36/BK38),""),"")</f>
        <v/>
      </c>
      <c r="BK39" s="119"/>
      <c r="BL39" s="124" t="str">
        <f ca="1">IFERROR(MOD(BK36,BK38),"")</f>
        <v/>
      </c>
      <c r="BM39" s="119"/>
      <c r="BN39" s="118" t="str" cm="1">
        <f t="array" aca="1" ref="BN39" ca="1">IF(BK33&lt;&gt;"",
IF(OR(INDIRECT("'盛付札（関数）'!CK"&amp;BI33)=121,INDIRECT("'盛付札（関数）'!CK"&amp;BI33)=122,INDIRECT("'盛付札（関数）'!CK"&amp;BI33)=123,INDIRECT("'盛付札（関数）'!CK"&amp;BI33)=124),"",
IF(BJ34="●",
IFERROR(INDIRECT("'盛付札（関数）'!CU"&amp;BI33)+INDIRECT("'盛付札（関数）'!CU"&amp;BI33+1),0),
IF(BJ34="〇",
INDIRECT("'盛付札（関数）'!CU"&amp;BI33+1),INDIRECT("'盛付札（関数）'!CU"&amp;BI33)))),"")</f>
        <v/>
      </c>
      <c r="BO39" s="119"/>
      <c r="BQ39" s="124" t="str">
        <f ca="1">IF(BR36&lt;&gt;"",
IFERROR(INT(BR36/BR38),""),"")</f>
        <v/>
      </c>
      <c r="BR39" s="119"/>
      <c r="BS39" s="124" t="str">
        <f ca="1">IFERROR(MOD(BR36,BR38),"")</f>
        <v/>
      </c>
      <c r="BT39" s="119"/>
      <c r="BU39" s="118" t="str" cm="1">
        <f t="array" aca="1" ref="BU39" ca="1">IF(BR33&lt;&gt;"",
IF(OR(INDIRECT("'盛付札（関数）'!CK"&amp;BP33)=121,INDIRECT("'盛付札（関数）'!CK"&amp;BP33)=122,INDIRECT("'盛付札（関数）'!CK"&amp;BP33)=123,INDIRECT("'盛付札（関数）'!CK"&amp;BP33)=124),"",
IF(BQ34="●",
IFERROR(INDIRECT("'盛付札（関数）'!CU"&amp;BP33)+INDIRECT("'盛付札（関数）'!CU"&amp;BP33+1),0),
IF(BQ34="〇",
INDIRECT("'盛付札（関数）'!CU"&amp;BP33+1),INDIRECT("'盛付札（関数）'!CU"&amp;BP33)))),"")</f>
        <v/>
      </c>
      <c r="BV39" s="119"/>
    </row>
    <row r="40" spans="1:75" ht="9.6" customHeight="1" x14ac:dyDescent="0.45">
      <c r="B40" s="82"/>
      <c r="D40" s="82"/>
      <c r="F40" s="83"/>
      <c r="G40" s="65"/>
      <c r="I40" s="82"/>
      <c r="K40" s="82"/>
      <c r="M40" s="83"/>
      <c r="N40" s="65"/>
      <c r="Q40" s="82"/>
      <c r="S40" s="82"/>
      <c r="U40" s="83"/>
      <c r="V40" s="65"/>
      <c r="X40" s="82"/>
      <c r="Z40" s="82"/>
      <c r="AB40" s="83"/>
      <c r="AC40" s="65"/>
      <c r="AF40" s="82"/>
      <c r="AH40" s="82"/>
      <c r="AJ40" s="83"/>
      <c r="AK40" s="65"/>
      <c r="AM40" s="82"/>
      <c r="AO40" s="82"/>
      <c r="AQ40" s="83"/>
      <c r="AR40" s="65"/>
      <c r="AU40" s="82"/>
      <c r="AW40" s="82"/>
      <c r="AY40" s="83"/>
      <c r="AZ40" s="65"/>
      <c r="BB40" s="82"/>
      <c r="BD40" s="82"/>
      <c r="BF40" s="83"/>
      <c r="BG40" s="65"/>
      <c r="BJ40" s="82"/>
      <c r="BL40" s="82"/>
      <c r="BN40" s="83"/>
      <c r="BO40" s="65"/>
      <c r="BQ40" s="82"/>
      <c r="BS40" s="82"/>
      <c r="BU40" s="83"/>
      <c r="BV40" s="65"/>
    </row>
    <row r="41" spans="1:75" s="68" customFormat="1" ht="25.8" customHeight="1" x14ac:dyDescent="0.55000000000000004">
      <c r="A41" s="67">
        <f ca="1">IF(COUNTIF(INDIRECT("'盛付札（関数）'!CL"&amp;H33+1),"*社食*"),
H33+2,H33+1)</f>
        <v>11</v>
      </c>
      <c r="B41" s="80" t="str">
        <f ca="1">IF(C41&lt;&gt;"",
MID(貼り付け用!$A$2, FIND("年",貼り付け用!$A$2)+1,2)&amp;"/"&amp;MID(貼り付け用!$A$2, FIND("月",貼り付け用!$A$2)+1,2),"")</f>
        <v/>
      </c>
      <c r="C41" s="164" t="str" cm="1">
        <f t="array" aca="1" ref="C41" ca="1">IF(B42="〇",
INDIRECT("'盛付札（関数）'!CL"&amp;A41+1),INDIRECT("'盛付札（関数）'!CL"&amp;A41))</f>
        <v/>
      </c>
      <c r="D41" s="165"/>
      <c r="E41" s="165"/>
      <c r="F41" s="165"/>
      <c r="G41" s="79" t="str">
        <f ca="1">IF(C41&lt;&gt;"","様","")</f>
        <v/>
      </c>
      <c r="H41" s="67">
        <f ca="1">IF(C41="配送",
A41+1,
IF(COUNTIF(INDIRECT("'盛付札（関数）'!CL"&amp;A41+1),"*社食*"),
A41+2,A41+1))</f>
        <v>12</v>
      </c>
      <c r="I41" s="80" t="str">
        <f ca="1">IF(J41&lt;&gt;"",
MID(貼り付け用!$A$2, FIND("年",貼り付け用!$A$2)+1,2)&amp;"/"&amp;MID(貼り付け用!$A$2, FIND("月",貼り付け用!$A$2)+1,2),"")</f>
        <v/>
      </c>
      <c r="J41" s="164" t="str" cm="1">
        <f t="array" aca="1" ref="J41" ca="1">IF(I42="〇",
INDIRECT("'盛付札（関数）'!CL"&amp;H41+1),INDIRECT("'盛付札（関数）'!CL"&amp;H41))</f>
        <v/>
      </c>
      <c r="K41" s="165"/>
      <c r="L41" s="165"/>
      <c r="M41" s="165"/>
      <c r="N41" s="79" t="str">
        <f ca="1">IF(J41&lt;&gt;"","様","")</f>
        <v/>
      </c>
      <c r="O41" s="53"/>
      <c r="P41" s="67">
        <f ca="1">IF(COUNTIF(INDIRECT("'盛付札（関数）'!CL"&amp;W33+1),"*社食*"),
W33+2,W33+1)</f>
        <v>23</v>
      </c>
      <c r="Q41" s="80" t="str">
        <f ca="1">IF(R41&lt;&gt;"",
MID(貼り付け用!$A$2, FIND("年",貼り付け用!$A$2)+1,2)&amp;"/"&amp;MID(貼り付け用!$A$2, FIND("月",貼り付け用!$A$2)+1,2),"")</f>
        <v/>
      </c>
      <c r="R41" s="164" t="str" cm="1">
        <f t="array" aca="1" ref="R41" ca="1">IF(Q42="〇",
INDIRECT("'盛付札（関数）'!CL"&amp;P41+1),INDIRECT("'盛付札（関数）'!CL"&amp;P41))</f>
        <v/>
      </c>
      <c r="S41" s="165"/>
      <c r="T41" s="165"/>
      <c r="U41" s="165"/>
      <c r="V41" s="79" t="str">
        <f ca="1">IF(R41&lt;&gt;"","様","")</f>
        <v/>
      </c>
      <c r="W41" s="67">
        <f ca="1">IF(R41="配送",
P41+1,
IF(COUNTIF(INDIRECT("'盛付札（関数）'!CL"&amp;P41+1),"*社食*"),
P41+2,P41+1))</f>
        <v>24</v>
      </c>
      <c r="X41" s="80" t="str">
        <f ca="1">IF(Y41&lt;&gt;"",
MID(貼り付け用!$A$2, FIND("年",貼り付け用!$A$2)+1,2)&amp;"/"&amp;MID(貼り付け用!$A$2, FIND("月",貼り付け用!$A$2)+1,2),"")</f>
        <v/>
      </c>
      <c r="Y41" s="164" t="str" cm="1">
        <f t="array" aca="1" ref="Y41" ca="1">IF(X42="〇",
INDIRECT("'盛付札（関数）'!CL"&amp;W41+1),INDIRECT("'盛付札（関数）'!CL"&amp;W41))</f>
        <v/>
      </c>
      <c r="Z41" s="165"/>
      <c r="AA41" s="165"/>
      <c r="AB41" s="165"/>
      <c r="AC41" s="79" t="str">
        <f ca="1">IF(Y41&lt;&gt;"","様","")</f>
        <v/>
      </c>
      <c r="AD41" s="53"/>
      <c r="AE41" s="67">
        <f ca="1">IF(COUNTIF(INDIRECT("'盛付札（関数）'!CL"&amp;AL33+1),"*社食*"),
AL33+2,AL33+1)</f>
        <v>35</v>
      </c>
      <c r="AF41" s="80" t="str">
        <f ca="1">IF(AG41&lt;&gt;"",
MID(貼り付け用!$A$2, FIND("年",貼り付け用!$A$2)+1,2)&amp;"/"&amp;MID(貼り付け用!$A$2, FIND("月",貼り付け用!$A$2)+1,2),"")</f>
        <v/>
      </c>
      <c r="AG41" s="164" t="str" cm="1">
        <f t="array" aca="1" ref="AG41" ca="1">IF(AF42="〇",
INDIRECT("'盛付札（関数）'!CL"&amp;AE41+1),INDIRECT("'盛付札（関数）'!CL"&amp;AE41))</f>
        <v/>
      </c>
      <c r="AH41" s="165"/>
      <c r="AI41" s="165"/>
      <c r="AJ41" s="165"/>
      <c r="AK41" s="79" t="str">
        <f ca="1">IF(AG41&lt;&gt;"","様","")</f>
        <v/>
      </c>
      <c r="AL41" s="67">
        <f ca="1">IF(AG41="配送",
AE41+1,
IF(COUNTIF(INDIRECT("'盛付札（関数）'!CL"&amp;AE41+1),"*社食*"),
AE41+2,AE41+1))</f>
        <v>36</v>
      </c>
      <c r="AM41" s="80" t="str">
        <f ca="1">IF(AN41&lt;&gt;"",
MID(貼り付け用!$A$2, FIND("年",貼り付け用!$A$2)+1,2)&amp;"/"&amp;MID(貼り付け用!$A$2, FIND("月",貼り付け用!$A$2)+1,2),"")</f>
        <v/>
      </c>
      <c r="AN41" s="164" t="str" cm="1">
        <f t="array" aca="1" ref="AN41" ca="1">IF(AM42="〇",
INDIRECT("'盛付札（関数）'!CL"&amp;AL41+1),INDIRECT("'盛付札（関数）'!CL"&amp;AL41))</f>
        <v/>
      </c>
      <c r="AO41" s="165"/>
      <c r="AP41" s="165"/>
      <c r="AQ41" s="165"/>
      <c r="AR41" s="79" t="str">
        <f ca="1">IF(AN41&lt;&gt;"","様","")</f>
        <v/>
      </c>
      <c r="AS41" s="53"/>
      <c r="AT41" s="67">
        <f ca="1">IF(COUNTIF(INDIRECT("'盛付札（関数）'!CL"&amp;BA33+1),"*社食*"),
BA33+2,BA33+1)</f>
        <v>47</v>
      </c>
      <c r="AU41" s="80" t="str">
        <f ca="1">IF(AV41&lt;&gt;"",
MID(貼り付け用!$A$2, FIND("年",貼り付け用!$A$2)+1,2)&amp;"/"&amp;MID(貼り付け用!$A$2, FIND("月",貼り付け用!$A$2)+1,2),"")</f>
        <v/>
      </c>
      <c r="AV41" s="164" t="str" cm="1">
        <f t="array" aca="1" ref="AV41" ca="1">IF(AU42="〇",
INDIRECT("'盛付札（関数）'!CL"&amp;AT41+1),INDIRECT("'盛付札（関数）'!CL"&amp;AT41))</f>
        <v/>
      </c>
      <c r="AW41" s="165"/>
      <c r="AX41" s="165"/>
      <c r="AY41" s="165"/>
      <c r="AZ41" s="79" t="str">
        <f ca="1">IF(AV41&lt;&gt;"","様","")</f>
        <v/>
      </c>
      <c r="BA41" s="67">
        <f ca="1">IF(AV41="配送",
AT41+1,
IF(COUNTIF(INDIRECT("'盛付札（関数）'!CL"&amp;AT41+1),"*社食*"),
AT41+2,AT41+1))</f>
        <v>48</v>
      </c>
      <c r="BB41" s="80" t="str">
        <f ca="1">IF(BC41&lt;&gt;"",
MID(貼り付け用!$A$2, FIND("年",貼り付け用!$A$2)+1,2)&amp;"/"&amp;MID(貼り付け用!$A$2, FIND("月",貼り付け用!$A$2)+1,2),"")</f>
        <v/>
      </c>
      <c r="BC41" s="164" t="str" cm="1">
        <f t="array" aca="1" ref="BC41" ca="1">IF(BB42="〇",
INDIRECT("'盛付札（関数）'!CL"&amp;BA41+1),INDIRECT("'盛付札（関数）'!CL"&amp;BA41))</f>
        <v/>
      </c>
      <c r="BD41" s="165"/>
      <c r="BE41" s="165"/>
      <c r="BF41" s="165"/>
      <c r="BG41" s="79" t="str">
        <f ca="1">IF(BC41&lt;&gt;"","様","")</f>
        <v/>
      </c>
      <c r="BH41" s="53"/>
      <c r="BI41" s="67">
        <f ca="1">IF(COUNTIF(INDIRECT("'盛付札（関数）'!CL"&amp;BP33+1),"*社食*"),
BP33+2,BP33+1)</f>
        <v>59</v>
      </c>
      <c r="BJ41" s="80" t="str">
        <f ca="1">IF(BK41&lt;&gt;"",
MID(貼り付け用!$A$2, FIND("年",貼り付け用!$A$2)+1,2)&amp;"/"&amp;MID(貼り付け用!$A$2, FIND("月",貼り付け用!$A$2)+1,2),"")</f>
        <v/>
      </c>
      <c r="BK41" s="164" t="str" cm="1">
        <f t="array" aca="1" ref="BK41" ca="1">IF(BJ42="〇",
INDIRECT("'盛付札（関数）'!CL"&amp;BI41+1),INDIRECT("'盛付札（関数）'!CL"&amp;BI41))</f>
        <v/>
      </c>
      <c r="BL41" s="165"/>
      <c r="BM41" s="165"/>
      <c r="BN41" s="165"/>
      <c r="BO41" s="79" t="str">
        <f ca="1">IF(BK41&lt;&gt;"","様","")</f>
        <v/>
      </c>
      <c r="BP41" s="67">
        <f ca="1">IF(BK41="配送",
BI41+1,
IF(COUNTIF(INDIRECT("'盛付札（関数）'!CL"&amp;BI41+1),"*社食*"),
BI41+2,BI41+1))</f>
        <v>60</v>
      </c>
      <c r="BQ41" s="80" t="str">
        <f ca="1">IF(BR41&lt;&gt;"",
MID(貼り付け用!$A$2, FIND("年",貼り付け用!$A$2)+1,2)&amp;"/"&amp;MID(貼り付け用!$A$2, FIND("月",貼り付け用!$A$2)+1,2),"")</f>
        <v/>
      </c>
      <c r="BR41" s="164" t="str" cm="1">
        <f t="array" aca="1" ref="BR41" ca="1">IF(BQ42="〇",
INDIRECT("'盛付札（関数）'!CL"&amp;BP41+1),INDIRECT("'盛付札（関数）'!CL"&amp;BP41))</f>
        <v/>
      </c>
      <c r="BS41" s="165"/>
      <c r="BT41" s="165"/>
      <c r="BU41" s="165"/>
      <c r="BV41" s="79" t="str">
        <f ca="1">IF(BR41&lt;&gt;"","様","")</f>
        <v/>
      </c>
      <c r="BW41" s="53"/>
    </row>
    <row r="42" spans="1:75" s="68" customFormat="1" x14ac:dyDescent="0.55000000000000004">
      <c r="A42" s="67"/>
      <c r="B42" s="69" t="str">
        <f ca="1">IF(COUNTIF(INDIRECT("'盛付札（関数）'!CL"&amp;A41),"*雙葉*"),
IF(COUNTIF(INDIRECT("'盛付札（関数）'!CL"&amp;H33),"*雙葉*"),"〇",
IF(COUNTIF(INDIRECT("'盛付札（関数）'!CL"&amp;H41),"*雙葉*"),"●","")),"")</f>
        <v/>
      </c>
      <c r="C42" s="84" t="str" cm="1">
        <f t="array" aca="1" ref="C42" ca="1">IF(OR(INDIRECT("'盛付札（関数）'!CK"&amp;A41)=121,INDIRECT("'盛付札（関数）'!CK"&amp;A41)=122,INDIRECT("'盛付札（関数）'!CK"&amp;A41)=123,INDIRECT("'盛付札（関数）'!CK"&amp;A41)=124),"",
IF(B42="〇",
INDIRECT("'盛付札（関数）!CM"&amp;A41+1),INDIRECT("'盛付札（関数）'!CM"&amp;A41)))</f>
        <v/>
      </c>
      <c r="D42" s="78"/>
      <c r="E42" s="78"/>
      <c r="F42" s="85" t="str" cm="1">
        <f t="array" aca="1" ref="F42" ca="1">IF(C41&lt;&gt;"",
IF(OR(INDIRECT("'盛付札（関数）'!CK"&amp;A41)=121,INDIRECT("'盛付札（関数）'!CK"&amp;A41)=122,INDIRECT("'盛付札（関数）'!CK"&amp;A41)=123,INDIRECT("'盛付札（関数）'!CK"&amp;A41)=124),"",
IF(B42="●",
SUBSTITUTE(SUBSTITUTE(SUBSTITUTE(INDIRECT("'盛付札（関数）'!CN"&amp;A41),100,""),120,""),150,""),
IF(B42="〇",
IF(INDIRECT("'盛付札（関数）'!CN"&amp;A41+1)&lt;&gt;"",
INDIRECT("'盛付札（関数）'!CN"&amp;A41+1),INDIRECT("'盛付札（関数）'!CO"&amp;A41+1)),
IF(INDIRECT("'盛付札（関数）'!CN"&amp;A41)&lt;&gt;"",
INDIRECT("'盛付札（関数）'!CN"&amp;A41),INDIRECT("'盛付札（関数）'!CO"&amp;A41))))),"")</f>
        <v/>
      </c>
      <c r="G42" s="76"/>
      <c r="H42" s="86"/>
      <c r="I42" s="69" t="str">
        <f ca="1">IF(COUNTIF(INDIRECT("'盛付札（関数）'!CL"&amp;H41),"*雙葉*"),
IF(COUNTIF(INDIRECT("'盛付札（関数）'!CL"&amp;O33),"*雙葉*"),"〇",
IF(COUNTIF(INDIRECT("'盛付札（関数）'!CL"&amp;O41),"*雙葉*"),"●","")),"")</f>
        <v/>
      </c>
      <c r="J42" s="84" t="str" cm="1">
        <f t="array" aca="1" ref="J42" ca="1">IF(OR(INDIRECT("'盛付札（関数）'!CK"&amp;H41)=121,INDIRECT("'盛付札（関数）'!CK"&amp;H41)=122,INDIRECT("'盛付札（関数）'!CK"&amp;H41)=123,INDIRECT("'盛付札（関数）'!CK"&amp;H41)=124),"",
IF(I42="〇",
INDIRECT("'盛付札（関数）!CM"&amp;H41+1),INDIRECT("'盛付札（関数）'!CM"&amp;H41)))</f>
        <v/>
      </c>
      <c r="K42" s="78"/>
      <c r="L42" s="78"/>
      <c r="M42" s="85" t="str" cm="1">
        <f t="array" aca="1" ref="M42" ca="1">IF(J41&lt;&gt;"",
IF(OR(INDIRECT("'盛付札（関数）'!CK"&amp;H41)=121,INDIRECT("'盛付札（関数）'!CK"&amp;H41)=122,INDIRECT("'盛付札（関数）'!CK"&amp;H41)=123,INDIRECT("'盛付札（関数）'!CK"&amp;H41)=124),"",
IF(I42="●",
SUBSTITUTE(SUBSTITUTE(SUBSTITUTE(INDIRECT("'盛付札（関数）'!CN"&amp;H41),100,""),120,""),150,""),
IF(I42="〇",
IF(INDIRECT("'盛付札（関数）'!CN"&amp;H41+1)&lt;&gt;"",
INDIRECT("'盛付札（関数）'!CN"&amp;H41+1),INDIRECT("'盛付札（関数）'!CO"&amp;H41+1)),
IF(INDIRECT("'盛付札（関数）'!CN"&amp;H41)&lt;&gt;"",
INDIRECT("'盛付札（関数）'!CN"&amp;H41),INDIRECT("'盛付札（関数）'!CO"&amp;H41))))),"")</f>
        <v/>
      </c>
      <c r="N42" s="76"/>
      <c r="O42" s="53"/>
      <c r="P42" s="67"/>
      <c r="Q42" s="69" t="str">
        <f ca="1">IF(COUNTIF(INDIRECT("'盛付札（関数）'!CL"&amp;P41),"*雙葉*"),
IF(COUNTIF(INDIRECT("'盛付札（関数）'!CL"&amp;W33),"*雙葉*"),"〇",
IF(COUNTIF(INDIRECT("'盛付札（関数）'!CL"&amp;W41),"*雙葉*"),"●","")),"")</f>
        <v/>
      </c>
      <c r="R42" s="84" t="str" cm="1">
        <f t="array" aca="1" ref="R42" ca="1">IF(OR(INDIRECT("'盛付札（関数）'!CK"&amp;P41)=121,INDIRECT("'盛付札（関数）'!CK"&amp;P41)=122,INDIRECT("'盛付札（関数）'!CK"&amp;P41)=123,INDIRECT("'盛付札（関数）'!CK"&amp;P41)=124),"",
IF(Q42="〇",
INDIRECT("'盛付札（関数）!CM"&amp;P41+1),INDIRECT("'盛付札（関数）'!CM"&amp;P41)))</f>
        <v/>
      </c>
      <c r="S42" s="78"/>
      <c r="T42" s="78"/>
      <c r="U42" s="85" t="str" cm="1">
        <f t="array" aca="1" ref="U42" ca="1">IF(R41&lt;&gt;"",
IF(OR(INDIRECT("'盛付札（関数）'!CK"&amp;P41)=121,INDIRECT("'盛付札（関数）'!CK"&amp;P41)=122,INDIRECT("'盛付札（関数）'!CK"&amp;P41)=123,INDIRECT("'盛付札（関数）'!CK"&amp;P41)=124),"",
IF(Q42="●",
SUBSTITUTE(SUBSTITUTE(SUBSTITUTE(INDIRECT("'盛付札（関数）'!CN"&amp;P41),100,""),120,""),150,""),
IF(Q42="〇",
IF(INDIRECT("'盛付札（関数）'!CN"&amp;P41+1)&lt;&gt;"",
INDIRECT("'盛付札（関数）'!CN"&amp;P41+1),INDIRECT("'盛付札（関数）'!CO"&amp;P41+1)),
IF(INDIRECT("'盛付札（関数）'!CN"&amp;P41)&lt;&gt;"",
INDIRECT("'盛付札（関数）'!CN"&amp;P41),INDIRECT("'盛付札（関数）'!CO"&amp;P41))))),"")</f>
        <v/>
      </c>
      <c r="V42" s="76"/>
      <c r="W42" s="86"/>
      <c r="X42" s="69" t="str">
        <f ca="1">IF(COUNTIF(INDIRECT("'盛付札（関数）'!CL"&amp;W41),"*雙葉*"),
IF(COUNTIF(INDIRECT("'盛付札（関数）'!CL"&amp;AD33),"*雙葉*"),"〇",
IF(COUNTIF(INDIRECT("'盛付札（関数）'!CL"&amp;AD41),"*雙葉*"),"●","")),"")</f>
        <v/>
      </c>
      <c r="Y42" s="84" t="str" cm="1">
        <f t="array" aca="1" ref="Y42" ca="1">IF(OR(INDIRECT("'盛付札（関数）'!CK"&amp;W41)=121,INDIRECT("'盛付札（関数）'!CK"&amp;W41)=122,INDIRECT("'盛付札（関数）'!CK"&amp;W41)=123,INDIRECT("'盛付札（関数）'!CK"&amp;W41)=124),"",
IF(X42="〇",
INDIRECT("'盛付札（関数）!CM"&amp;W41+1),INDIRECT("'盛付札（関数）'!CM"&amp;W41)))</f>
        <v/>
      </c>
      <c r="Z42" s="78"/>
      <c r="AA42" s="78"/>
      <c r="AB42" s="85" t="str" cm="1">
        <f t="array" aca="1" ref="AB42" ca="1">IF(Y41&lt;&gt;"",
IF(OR(INDIRECT("'盛付札（関数）'!CK"&amp;W41)=121,INDIRECT("'盛付札（関数）'!CK"&amp;W41)=122,INDIRECT("'盛付札（関数）'!CK"&amp;W41)=123,INDIRECT("'盛付札（関数）'!CK"&amp;W41)=124),"",
IF(X42="●",
SUBSTITUTE(SUBSTITUTE(SUBSTITUTE(INDIRECT("'盛付札（関数）'!CN"&amp;W41),100,""),120,""),150,""),
IF(X42="〇",
IF(INDIRECT("'盛付札（関数）'!CN"&amp;W41+1)&lt;&gt;"",
INDIRECT("'盛付札（関数）'!CN"&amp;W41+1),INDIRECT("'盛付札（関数）'!CO"&amp;W41+1)),
IF(INDIRECT("'盛付札（関数）'!CN"&amp;W41)&lt;&gt;"",
INDIRECT("'盛付札（関数）'!CN"&amp;W41),INDIRECT("'盛付札（関数）'!CO"&amp;W41))))),"")</f>
        <v/>
      </c>
      <c r="AC42" s="76"/>
      <c r="AD42" s="53"/>
      <c r="AE42" s="67"/>
      <c r="AF42" s="69" t="str">
        <f ca="1">IF(COUNTIF(INDIRECT("'盛付札（関数）'!CL"&amp;AE41),"*雙葉*"),
IF(COUNTIF(INDIRECT("'盛付札（関数）'!CL"&amp;AL33),"*雙葉*"),"〇",
IF(COUNTIF(INDIRECT("'盛付札（関数）'!CL"&amp;AL41),"*雙葉*"),"●","")),"")</f>
        <v/>
      </c>
      <c r="AG42" s="84" t="str" cm="1">
        <f t="array" aca="1" ref="AG42" ca="1">IF(OR(INDIRECT("'盛付札（関数）'!CK"&amp;AE41)=121,INDIRECT("'盛付札（関数）'!CK"&amp;AE41)=122,INDIRECT("'盛付札（関数）'!CK"&amp;AE41)=123,INDIRECT("'盛付札（関数）'!CK"&amp;AE41)=124),"",
IF(AF42="〇",
INDIRECT("'盛付札（関数）!CM"&amp;AE41+1),INDIRECT("'盛付札（関数）'!CM"&amp;AE41)))</f>
        <v/>
      </c>
      <c r="AH42" s="78"/>
      <c r="AI42" s="78"/>
      <c r="AJ42" s="85" t="str" cm="1">
        <f t="array" aca="1" ref="AJ42" ca="1">IF(AG41&lt;&gt;"",
IF(OR(INDIRECT("'盛付札（関数）'!CK"&amp;AE41)=121,INDIRECT("'盛付札（関数）'!CK"&amp;AE41)=122,INDIRECT("'盛付札（関数）'!CK"&amp;AE41)=123,INDIRECT("'盛付札（関数）'!CK"&amp;AE41)=124),"",
IF(AF42="●",
SUBSTITUTE(SUBSTITUTE(SUBSTITUTE(INDIRECT("'盛付札（関数）'!CN"&amp;AE41),100,""),120,""),150,""),
IF(AF42="〇",
IF(INDIRECT("'盛付札（関数）'!CN"&amp;AE41+1)&lt;&gt;"",
INDIRECT("'盛付札（関数）'!CN"&amp;AE41+1),INDIRECT("'盛付札（関数）'!CO"&amp;AE41+1)),
IF(INDIRECT("'盛付札（関数）'!CN"&amp;AE41)&lt;&gt;"",
INDIRECT("'盛付札（関数）'!CN"&amp;AE41),INDIRECT("'盛付札（関数）'!CO"&amp;AE41))))),"")</f>
        <v/>
      </c>
      <c r="AK42" s="76"/>
      <c r="AL42" s="86"/>
      <c r="AM42" s="69" t="str">
        <f ca="1">IF(COUNTIF(INDIRECT("'盛付札（関数）'!CL"&amp;AL41),"*雙葉*"),
IF(COUNTIF(INDIRECT("'盛付札（関数）'!CL"&amp;AS33),"*雙葉*"),"〇",
IF(COUNTIF(INDIRECT("'盛付札（関数）'!CL"&amp;AS41),"*雙葉*"),"●","")),"")</f>
        <v/>
      </c>
      <c r="AN42" s="84" t="str" cm="1">
        <f t="array" aca="1" ref="AN42" ca="1">IF(OR(INDIRECT("'盛付札（関数）'!CK"&amp;AL41)=121,INDIRECT("'盛付札（関数）'!CK"&amp;AL41)=122,INDIRECT("'盛付札（関数）'!CK"&amp;AL41)=123,INDIRECT("'盛付札（関数）'!CK"&amp;AL41)=124),"",
IF(AM42="〇",
INDIRECT("'盛付札（関数）!CM"&amp;AL41+1),INDIRECT("'盛付札（関数）'!CM"&amp;AL41)))</f>
        <v/>
      </c>
      <c r="AO42" s="78"/>
      <c r="AP42" s="78"/>
      <c r="AQ42" s="85" t="str" cm="1">
        <f t="array" aca="1" ref="AQ42" ca="1">IF(AN41&lt;&gt;"",
IF(OR(INDIRECT("'盛付札（関数）'!CK"&amp;AL41)=121,INDIRECT("'盛付札（関数）'!CK"&amp;AL41)=122,INDIRECT("'盛付札（関数）'!CK"&amp;AL41)=123,INDIRECT("'盛付札（関数）'!CK"&amp;AL41)=124),"",
IF(AM42="●",
SUBSTITUTE(SUBSTITUTE(SUBSTITUTE(INDIRECT("'盛付札（関数）'!CN"&amp;AL41),100,""),120,""),150,""),
IF(AM42="〇",
IF(INDIRECT("'盛付札（関数）'!CN"&amp;AL41+1)&lt;&gt;"",
INDIRECT("'盛付札（関数）'!CN"&amp;AL41+1),INDIRECT("'盛付札（関数）'!CO"&amp;AL41+1)),
IF(INDIRECT("'盛付札（関数）'!CN"&amp;AL41)&lt;&gt;"",
INDIRECT("'盛付札（関数）'!CN"&amp;AL41),INDIRECT("'盛付札（関数）'!CO"&amp;AL41))))),"")</f>
        <v/>
      </c>
      <c r="AR42" s="76"/>
      <c r="AS42" s="53"/>
      <c r="AT42" s="67"/>
      <c r="AU42" s="69" t="str">
        <f ca="1">IF(COUNTIF(INDIRECT("'盛付札（関数）'!CL"&amp;AT41),"*雙葉*"),
IF(COUNTIF(INDIRECT("'盛付札（関数）'!CL"&amp;BA33),"*雙葉*"),"〇",
IF(COUNTIF(INDIRECT("'盛付札（関数）'!CL"&amp;BA41),"*雙葉*"),"●","")),"")</f>
        <v/>
      </c>
      <c r="AV42" s="84" t="str" cm="1">
        <f t="array" aca="1" ref="AV42" ca="1">IF(OR(INDIRECT("'盛付札（関数）'!CK"&amp;AT41)=121,INDIRECT("'盛付札（関数）'!CK"&amp;AT41)=122,INDIRECT("'盛付札（関数）'!CK"&amp;AT41)=123,INDIRECT("'盛付札（関数）'!CK"&amp;AT41)=124),"",
IF(AU42="〇",
INDIRECT("'盛付札（関数）!CM"&amp;AT41+1),INDIRECT("'盛付札（関数）'!CM"&amp;AT41)))</f>
        <v/>
      </c>
      <c r="AW42" s="78"/>
      <c r="AX42" s="78"/>
      <c r="AY42" s="85" t="str" cm="1">
        <f t="array" aca="1" ref="AY42" ca="1">IF(AV41&lt;&gt;"",
IF(OR(INDIRECT("'盛付札（関数）'!CK"&amp;AT41)=121,INDIRECT("'盛付札（関数）'!CK"&amp;AT41)=122,INDIRECT("'盛付札（関数）'!CK"&amp;AT41)=123,INDIRECT("'盛付札（関数）'!CK"&amp;AT41)=124),"",
IF(AU42="●",
SUBSTITUTE(SUBSTITUTE(SUBSTITUTE(INDIRECT("'盛付札（関数）'!CN"&amp;AT41),100,""),120,""),150,""),
IF(AU42="〇",
IF(INDIRECT("'盛付札（関数）'!CN"&amp;AT41+1)&lt;&gt;"",
INDIRECT("'盛付札（関数）'!CN"&amp;AT41+1),INDIRECT("'盛付札（関数）'!CO"&amp;AT41+1)),
IF(INDIRECT("'盛付札（関数）'!CN"&amp;AT41)&lt;&gt;"",
INDIRECT("'盛付札（関数）'!CN"&amp;AT41),INDIRECT("'盛付札（関数）'!CO"&amp;AT41))))),"")</f>
        <v/>
      </c>
      <c r="AZ42" s="76"/>
      <c r="BA42" s="86"/>
      <c r="BB42" s="69" t="str">
        <f ca="1">IF(COUNTIF(INDIRECT("'盛付札（関数）'!CL"&amp;BA41),"*雙葉*"),
IF(COUNTIF(INDIRECT("'盛付札（関数）'!CL"&amp;BH33),"*雙葉*"),"〇",
IF(COUNTIF(INDIRECT("'盛付札（関数）'!CL"&amp;BH41),"*雙葉*"),"●","")),"")</f>
        <v/>
      </c>
      <c r="BC42" s="84" t="str" cm="1">
        <f t="array" aca="1" ref="BC42" ca="1">IF(OR(INDIRECT("'盛付札（関数）'!CK"&amp;BA41)=121,INDIRECT("'盛付札（関数）'!CK"&amp;BA41)=122,INDIRECT("'盛付札（関数）'!CK"&amp;BA41)=123,INDIRECT("'盛付札（関数）'!CK"&amp;BA41)=124),"",
IF(BB42="〇",
INDIRECT("'盛付札（関数）!CM"&amp;BA41+1),INDIRECT("'盛付札（関数）'!CM"&amp;BA41)))</f>
        <v/>
      </c>
      <c r="BD42" s="78"/>
      <c r="BE42" s="78"/>
      <c r="BF42" s="85" t="str" cm="1">
        <f t="array" aca="1" ref="BF42" ca="1">IF(BC41&lt;&gt;"",
IF(OR(INDIRECT("'盛付札（関数）'!CK"&amp;BA41)=121,INDIRECT("'盛付札（関数）'!CK"&amp;BA41)=122,INDIRECT("'盛付札（関数）'!CK"&amp;BA41)=123,INDIRECT("'盛付札（関数）'!CK"&amp;BA41)=124),"",
IF(BB42="●",
SUBSTITUTE(SUBSTITUTE(SUBSTITUTE(INDIRECT("'盛付札（関数）'!CN"&amp;BA41),100,""),120,""),150,""),
IF(BB42="〇",
IF(INDIRECT("'盛付札（関数）'!CN"&amp;BA41+1)&lt;&gt;"",
INDIRECT("'盛付札（関数）'!CN"&amp;BA41+1),INDIRECT("'盛付札（関数）'!CO"&amp;BA41+1)),
IF(INDIRECT("'盛付札（関数）'!CN"&amp;BA41)&lt;&gt;"",
INDIRECT("'盛付札（関数）'!CN"&amp;BA41),INDIRECT("'盛付札（関数）'!CO"&amp;BA41))))),"")</f>
        <v/>
      </c>
      <c r="BG42" s="76"/>
      <c r="BH42" s="53"/>
      <c r="BI42" s="67"/>
      <c r="BJ42" s="69" t="str">
        <f ca="1">IF(COUNTIF(INDIRECT("'盛付札（関数）'!CL"&amp;BI41),"*雙葉*"),
IF(COUNTIF(INDIRECT("'盛付札（関数）'!CL"&amp;BP33),"*雙葉*"),"〇",
IF(COUNTIF(INDIRECT("'盛付札（関数）'!CL"&amp;BP41),"*雙葉*"),"●","")),"")</f>
        <v/>
      </c>
      <c r="BK42" s="84" t="str" cm="1">
        <f t="array" aca="1" ref="BK42" ca="1">IF(OR(INDIRECT("'盛付札（関数）'!CK"&amp;BI41)=121,INDIRECT("'盛付札（関数）'!CK"&amp;BI41)=122,INDIRECT("'盛付札（関数）'!CK"&amp;BI41)=123,INDIRECT("'盛付札（関数）'!CK"&amp;BI41)=124),"",
IF(BJ42="〇",
INDIRECT("'盛付札（関数）!CM"&amp;BI41+1),INDIRECT("'盛付札（関数）'!CM"&amp;BI41)))</f>
        <v/>
      </c>
      <c r="BL42" s="78"/>
      <c r="BM42" s="78"/>
      <c r="BN42" s="85" t="str" cm="1">
        <f t="array" aca="1" ref="BN42" ca="1">IF(BK41&lt;&gt;"",
IF(OR(INDIRECT("'盛付札（関数）'!CK"&amp;BI41)=121,INDIRECT("'盛付札（関数）'!CK"&amp;BI41)=122,INDIRECT("'盛付札（関数）'!CK"&amp;BI41)=123,INDIRECT("'盛付札（関数）'!CK"&amp;BI41)=124),"",
IF(BJ42="●",
SUBSTITUTE(SUBSTITUTE(SUBSTITUTE(INDIRECT("'盛付札（関数）'!CN"&amp;BI41),100,""),120,""),150,""),
IF(BJ42="〇",
IF(INDIRECT("'盛付札（関数）'!CN"&amp;BI41+1)&lt;&gt;"",
INDIRECT("'盛付札（関数）'!CN"&amp;BI41+1),INDIRECT("'盛付札（関数）'!CO"&amp;BI41+1)),
IF(INDIRECT("'盛付札（関数）'!CN"&amp;BI41)&lt;&gt;"",
INDIRECT("'盛付札（関数）'!CN"&amp;BI41),INDIRECT("'盛付札（関数）'!CO"&amp;BI41))))),"")</f>
        <v/>
      </c>
      <c r="BO42" s="76"/>
      <c r="BP42" s="86"/>
      <c r="BQ42" s="69" t="str">
        <f ca="1">IF(COUNTIF(INDIRECT("'盛付札（関数）'!CL"&amp;BP41),"*雙葉*"),
IF(COUNTIF(INDIRECT("'盛付札（関数）'!CL"&amp;BW33),"*雙葉*"),"〇",
IF(COUNTIF(INDIRECT("'盛付札（関数）'!CL"&amp;BW41),"*雙葉*"),"●","")),"")</f>
        <v/>
      </c>
      <c r="BR42" s="84" t="str" cm="1">
        <f t="array" aca="1" ref="BR42" ca="1">IF(OR(INDIRECT("'盛付札（関数）'!CK"&amp;BP41)=121,INDIRECT("'盛付札（関数）'!CK"&amp;BP41)=122,INDIRECT("'盛付札（関数）'!CK"&amp;BP41)=123,INDIRECT("'盛付札（関数）'!CK"&amp;BP41)=124),"",
IF(BQ42="〇",
INDIRECT("'盛付札（関数）!CM"&amp;BP41+1),INDIRECT("'盛付札（関数）'!CM"&amp;BP41)))</f>
        <v/>
      </c>
      <c r="BS42" s="78"/>
      <c r="BT42" s="78"/>
      <c r="BU42" s="85" t="str" cm="1">
        <f t="array" aca="1" ref="BU42" ca="1">IF(BR41&lt;&gt;"",
IF(OR(INDIRECT("'盛付札（関数）'!CK"&amp;BP41)=121,INDIRECT("'盛付札（関数）'!CK"&amp;BP41)=122,INDIRECT("'盛付札（関数）'!CK"&amp;BP41)=123,INDIRECT("'盛付札（関数）'!CK"&amp;BP41)=124),"",
IF(BQ42="●",
SUBSTITUTE(SUBSTITUTE(SUBSTITUTE(INDIRECT("'盛付札（関数）'!CN"&amp;BP41),100,""),120,""),150,""),
IF(BQ42="〇",
IF(INDIRECT("'盛付札（関数）'!CN"&amp;BP41+1)&lt;&gt;"",
INDIRECT("'盛付札（関数）'!CN"&amp;BP41+1),INDIRECT("'盛付札（関数）'!CO"&amp;BP41+1)),
IF(INDIRECT("'盛付札（関数）'!CN"&amp;BP41)&lt;&gt;"",
INDIRECT("'盛付札（関数）'!CN"&amp;BP41),INDIRECT("'盛付札（関数）'!CO"&amp;BP41))))),"")</f>
        <v/>
      </c>
      <c r="BV42" s="76"/>
      <c r="BW42" s="53"/>
    </row>
    <row r="43" spans="1:75" s="68" customFormat="1" x14ac:dyDescent="0.55000000000000004">
      <c r="A43" s="73"/>
      <c r="B43" s="71"/>
      <c r="C43" s="123" t="str" cm="1">
        <f t="array" aca="1" ref="C43" ca="1">IF(C41&lt;&gt;"",
IF(OR(INDIRECT("'盛付札（関数）'!CK"&amp;A41)=121,INDIRECT("'盛付札（関数）'!CK"&amp;A41)=122,INDIRECT("'盛付札（関数）'!CK"&amp;A41)=123,INDIRECT("'盛付札（関数）'!CK"&amp;A41)=124),"",
"園児"),"")</f>
        <v/>
      </c>
      <c r="D43" s="116"/>
      <c r="E43" s="53"/>
      <c r="F43" s="68" t="str" cm="1">
        <f t="array" aca="1" ref="F43" ca="1">IF(C41&lt;&gt;"",
IF(OR(INDIRECT("'盛付札（関数）'!CK"&amp;A41)=121,INDIRECT("'盛付札（関数）'!CK"&amp;A41)=122,INDIRECT("'盛付札（関数）'!CK"&amp;A41)=123,INDIRECT("'盛付札（関数）'!CK"&amp;A41)=124),"",
"先生"),"")</f>
        <v/>
      </c>
      <c r="G43" s="77"/>
      <c r="H43" s="73"/>
      <c r="I43" s="71"/>
      <c r="J43" s="123" t="str" cm="1">
        <f t="array" aca="1" ref="J43" ca="1">IF(J41&lt;&gt;"",
IF(OR(INDIRECT("'盛付札（関数）'!CK"&amp;H41)=121,INDIRECT("'盛付札（関数）'!CK"&amp;H41)=122,INDIRECT("'盛付札（関数）'!CK"&amp;H41)=123,INDIRECT("'盛付札（関数）'!CK"&amp;H41)=124),"",
"園児"),"")</f>
        <v/>
      </c>
      <c r="K43" s="116"/>
      <c r="L43" s="53"/>
      <c r="M43" s="68" t="str" cm="1">
        <f t="array" aca="1" ref="M43" ca="1">IF(J41&lt;&gt;"",
IF(OR(INDIRECT("'盛付札（関数）'!CK"&amp;H41)=121,INDIRECT("'盛付札（関数）'!CK"&amp;H41)=122,INDIRECT("'盛付札（関数）'!CK"&amp;H41)=123,INDIRECT("'盛付札（関数）'!CK"&amp;H41)=124),"",
"先生"),"")</f>
        <v/>
      </c>
      <c r="N43" s="77"/>
      <c r="O43" s="53"/>
      <c r="P43" s="73"/>
      <c r="Q43" s="71"/>
      <c r="R43" s="123" t="str" cm="1">
        <f t="array" aca="1" ref="R43" ca="1">IF(R41&lt;&gt;"",
IF(OR(INDIRECT("'盛付札（関数）'!CK"&amp;P41)=121,INDIRECT("'盛付札（関数）'!CK"&amp;P41)=122,INDIRECT("'盛付札（関数）'!CK"&amp;P41)=123,INDIRECT("'盛付札（関数）'!CK"&amp;P41)=124),"",
"園児"),"")</f>
        <v/>
      </c>
      <c r="S43" s="116"/>
      <c r="T43" s="53"/>
      <c r="U43" s="68" t="str" cm="1">
        <f t="array" aca="1" ref="U43" ca="1">IF(R41&lt;&gt;"",
IF(OR(INDIRECT("'盛付札（関数）'!CK"&amp;P41)=121,INDIRECT("'盛付札（関数）'!CK"&amp;P41)=122,INDIRECT("'盛付札（関数）'!CK"&amp;P41)=123,INDIRECT("'盛付札（関数）'!CK"&amp;P41)=124),"",
"先生"),"")</f>
        <v/>
      </c>
      <c r="V43" s="77"/>
      <c r="W43" s="73"/>
      <c r="X43" s="71"/>
      <c r="Y43" s="123" t="str" cm="1">
        <f t="array" aca="1" ref="Y43" ca="1">IF(Y41&lt;&gt;"",
IF(OR(INDIRECT("'盛付札（関数）'!CK"&amp;W41)=121,INDIRECT("'盛付札（関数）'!CK"&amp;W41)=122,INDIRECT("'盛付札（関数）'!CK"&amp;W41)=123,INDIRECT("'盛付札（関数）'!CK"&amp;W41)=124),"",
"園児"),"")</f>
        <v/>
      </c>
      <c r="Z43" s="116"/>
      <c r="AA43" s="53"/>
      <c r="AB43" s="68" t="str" cm="1">
        <f t="array" aca="1" ref="AB43" ca="1">IF(Y41&lt;&gt;"",
IF(OR(INDIRECT("'盛付札（関数）'!CK"&amp;W41)=121,INDIRECT("'盛付札（関数）'!CK"&amp;W41)=122,INDIRECT("'盛付札（関数）'!CK"&amp;W41)=123,INDIRECT("'盛付札（関数）'!CK"&amp;W41)=124),"",
"先生"),"")</f>
        <v/>
      </c>
      <c r="AC43" s="77"/>
      <c r="AD43" s="53"/>
      <c r="AE43" s="73"/>
      <c r="AF43" s="71"/>
      <c r="AG43" s="123" t="str" cm="1">
        <f t="array" aca="1" ref="AG43" ca="1">IF(AG41&lt;&gt;"",
IF(OR(INDIRECT("'盛付札（関数）'!CK"&amp;AE41)=121,INDIRECT("'盛付札（関数）'!CK"&amp;AE41)=122,INDIRECT("'盛付札（関数）'!CK"&amp;AE41)=123,INDIRECT("'盛付札（関数）'!CK"&amp;AE41)=124),"",
"園児"),"")</f>
        <v/>
      </c>
      <c r="AH43" s="116"/>
      <c r="AI43" s="53"/>
      <c r="AJ43" s="68" t="str" cm="1">
        <f t="array" aca="1" ref="AJ43" ca="1">IF(AG41&lt;&gt;"",
IF(OR(INDIRECT("'盛付札（関数）'!CK"&amp;AE41)=121,INDIRECT("'盛付札（関数）'!CK"&amp;AE41)=122,INDIRECT("'盛付札（関数）'!CK"&amp;AE41)=123,INDIRECT("'盛付札（関数）'!CK"&amp;AE41)=124),"",
"先生"),"")</f>
        <v/>
      </c>
      <c r="AK43" s="77"/>
      <c r="AL43" s="73"/>
      <c r="AM43" s="71"/>
      <c r="AN43" s="123" t="str" cm="1">
        <f t="array" aca="1" ref="AN43" ca="1">IF(AN41&lt;&gt;"",
IF(OR(INDIRECT("'盛付札（関数）'!CK"&amp;AL41)=121,INDIRECT("'盛付札（関数）'!CK"&amp;AL41)=122,INDIRECT("'盛付札（関数）'!CK"&amp;AL41)=123,INDIRECT("'盛付札（関数）'!CK"&amp;AL41)=124),"",
"園児"),"")</f>
        <v/>
      </c>
      <c r="AO43" s="116"/>
      <c r="AP43" s="53"/>
      <c r="AQ43" s="68" t="str" cm="1">
        <f t="array" aca="1" ref="AQ43" ca="1">IF(AN41&lt;&gt;"",
IF(OR(INDIRECT("'盛付札（関数）'!CK"&amp;AL41)=121,INDIRECT("'盛付札（関数）'!CK"&amp;AL41)=122,INDIRECT("'盛付札（関数）'!CK"&amp;AL41)=123,INDIRECT("'盛付札（関数）'!CK"&amp;AL41)=124),"",
"先生"),"")</f>
        <v/>
      </c>
      <c r="AR43" s="77"/>
      <c r="AS43" s="53"/>
      <c r="AT43" s="73"/>
      <c r="AU43" s="71"/>
      <c r="AV43" s="123" t="str" cm="1">
        <f t="array" aca="1" ref="AV43" ca="1">IF(AV41&lt;&gt;"",
IF(OR(INDIRECT("'盛付札（関数）'!CK"&amp;AT41)=121,INDIRECT("'盛付札（関数）'!CK"&amp;AT41)=122,INDIRECT("'盛付札（関数）'!CK"&amp;AT41)=123,INDIRECT("'盛付札（関数）'!CK"&amp;AT41)=124),"",
"園児"),"")</f>
        <v/>
      </c>
      <c r="AW43" s="116"/>
      <c r="AX43" s="53"/>
      <c r="AY43" s="68" t="str" cm="1">
        <f t="array" aca="1" ref="AY43" ca="1">IF(AV41&lt;&gt;"",
IF(OR(INDIRECT("'盛付札（関数）'!CK"&amp;AT41)=121,INDIRECT("'盛付札（関数）'!CK"&amp;AT41)=122,INDIRECT("'盛付札（関数）'!CK"&amp;AT41)=123,INDIRECT("'盛付札（関数）'!CK"&amp;AT41)=124),"",
"先生"),"")</f>
        <v/>
      </c>
      <c r="AZ43" s="77"/>
      <c r="BA43" s="73"/>
      <c r="BB43" s="71"/>
      <c r="BC43" s="123" t="str" cm="1">
        <f t="array" aca="1" ref="BC43" ca="1">IF(BC41&lt;&gt;"",
IF(OR(INDIRECT("'盛付札（関数）'!CK"&amp;BA41)=121,INDIRECT("'盛付札（関数）'!CK"&amp;BA41)=122,INDIRECT("'盛付札（関数）'!CK"&amp;BA41)=123,INDIRECT("'盛付札（関数）'!CK"&amp;BA41)=124),"",
"園児"),"")</f>
        <v/>
      </c>
      <c r="BD43" s="116"/>
      <c r="BE43" s="53"/>
      <c r="BF43" s="68" t="str" cm="1">
        <f t="array" aca="1" ref="BF43" ca="1">IF(BC41&lt;&gt;"",
IF(OR(INDIRECT("'盛付札（関数）'!CK"&amp;BA41)=121,INDIRECT("'盛付札（関数）'!CK"&amp;BA41)=122,INDIRECT("'盛付札（関数）'!CK"&amp;BA41)=123,INDIRECT("'盛付札（関数）'!CK"&amp;BA41)=124),"",
"先生"),"")</f>
        <v/>
      </c>
      <c r="BG43" s="77"/>
      <c r="BH43" s="53"/>
      <c r="BI43" s="73"/>
      <c r="BJ43" s="71"/>
      <c r="BK43" s="123" t="str" cm="1">
        <f t="array" aca="1" ref="BK43" ca="1">IF(BK41&lt;&gt;"",
IF(OR(INDIRECT("'盛付札（関数）'!CK"&amp;BI41)=121,INDIRECT("'盛付札（関数）'!CK"&amp;BI41)=122,INDIRECT("'盛付札（関数）'!CK"&amp;BI41)=123,INDIRECT("'盛付札（関数）'!CK"&amp;BI41)=124),"",
"園児"),"")</f>
        <v/>
      </c>
      <c r="BL43" s="116"/>
      <c r="BM43" s="53"/>
      <c r="BN43" s="68" t="str" cm="1">
        <f t="array" aca="1" ref="BN43" ca="1">IF(BK41&lt;&gt;"",
IF(OR(INDIRECT("'盛付札（関数）'!CK"&amp;BI41)=121,INDIRECT("'盛付札（関数）'!CK"&amp;BI41)=122,INDIRECT("'盛付札（関数）'!CK"&amp;BI41)=123,INDIRECT("'盛付札（関数）'!CK"&amp;BI41)=124),"",
"先生"),"")</f>
        <v/>
      </c>
      <c r="BO43" s="77"/>
      <c r="BP43" s="73"/>
      <c r="BQ43" s="71"/>
      <c r="BR43" s="123" t="str" cm="1">
        <f t="array" aca="1" ref="BR43" ca="1">IF(BR41&lt;&gt;"",
IF(OR(INDIRECT("'盛付札（関数）'!CK"&amp;BP41)=121,INDIRECT("'盛付札（関数）'!CK"&amp;BP41)=122,INDIRECT("'盛付札（関数）'!CK"&amp;BP41)=123,INDIRECT("'盛付札（関数）'!CK"&amp;BP41)=124),"",
"園児"),"")</f>
        <v/>
      </c>
      <c r="BS43" s="116"/>
      <c r="BT43" s="53"/>
      <c r="BU43" s="68" t="str" cm="1">
        <f t="array" aca="1" ref="BU43" ca="1">IF(BR41&lt;&gt;"",
IF(OR(INDIRECT("'盛付札（関数）'!CK"&amp;BP41)=121,INDIRECT("'盛付札（関数）'!CK"&amp;BP41)=122,INDIRECT("'盛付札（関数）'!CK"&amp;BP41)=123,INDIRECT("'盛付札（関数）'!CK"&amp;BP41)=124),"",
"先生"),"")</f>
        <v/>
      </c>
      <c r="BV43" s="77"/>
      <c r="BW43" s="53"/>
    </row>
    <row r="44" spans="1:75" ht="15.6" customHeight="1" x14ac:dyDescent="1.05">
      <c r="A44" s="58"/>
      <c r="B44" s="57"/>
      <c r="C44" s="120" t="str" cm="1">
        <f t="array" aca="1" ref="C44" ca="1">IF(B42="●",
INDIRECT("'盛付札（関数）'!CP"&amp;A41)+INDIRECT("'盛付札（関数）'!CP"&amp;A41+1),
IF(B42="〇",
INDIRECT("'盛付札（関数）'!CP"&amp;A41+1),INDIRECT("'盛付札（関数）'!CP"&amp;A41)))</f>
        <v/>
      </c>
      <c r="D44" s="121"/>
      <c r="E44" s="88"/>
      <c r="F44" s="125" t="str" cm="1">
        <f t="array" aca="1" ref="F44" ca="1">IF(C41&lt;&gt;"",
IF(OR(INDIRECT("'盛付札（関数）'!CK"&amp;A41)=121,INDIRECT("'盛付札（関数）'!CK"&amp;A41)=122,INDIRECT("'盛付札（関数）'!CK"&amp;A41)=123,INDIRECT("'盛付札（関数）'!CK"&amp;A41)=124),"",
IF(B42="●",
IFERROR(INDIRECT("'盛付札（関数）'!CQ"&amp;A41)+INDIRECT("'盛付札（関数）'!CQ"&amp;A41+1),""),
IF(B42="〇",
INDIRECT("'盛付札（関数）'!CQ"&amp;A41+1),INDIRECT("'盛付札（関数）'!CQ"&amp;A41)))),"")</f>
        <v/>
      </c>
      <c r="G44" s="126"/>
      <c r="H44" s="58"/>
      <c r="I44" s="57"/>
      <c r="J44" s="120" t="str" cm="1">
        <f t="array" aca="1" ref="J44" ca="1">IF(I42="●",
INDIRECT("'盛付札（関数）'!CP"&amp;H41)+INDIRECT("'盛付札（関数）'!CP"&amp;H41+1),
IF(I42="〇",
INDIRECT("'盛付札（関数）'!CP"&amp;H41+1),INDIRECT("'盛付札（関数）'!CP"&amp;H41)))</f>
        <v/>
      </c>
      <c r="K44" s="121"/>
      <c r="L44" s="88"/>
      <c r="M44" s="125" t="str" cm="1">
        <f t="array" aca="1" ref="M44" ca="1">IF(J41&lt;&gt;"",
IF(OR(INDIRECT("'盛付札（関数）'!CK"&amp;H41)=121,INDIRECT("'盛付札（関数）'!CK"&amp;H41)=122,INDIRECT("'盛付札（関数）'!CK"&amp;H41)=123,INDIRECT("'盛付札（関数）'!CK"&amp;H41)=124),"",
IF(I42="●",
IFERROR(INDIRECT("'盛付札（関数）'!CQ"&amp;H41)+INDIRECT("'盛付札（関数）'!CQ"&amp;H41+1),""),
IF(I42="〇",
INDIRECT("'盛付札（関数）'!CQ"&amp;H41+1),INDIRECT("'盛付札（関数）'!CQ"&amp;H41)))),"")</f>
        <v/>
      </c>
      <c r="N44" s="126"/>
      <c r="P44" s="58"/>
      <c r="Q44" s="57"/>
      <c r="R44" s="120" t="str" cm="1">
        <f t="array" aca="1" ref="R44" ca="1">IF(Q42="●",
INDIRECT("'盛付札（関数）'!CP"&amp;P41)+INDIRECT("'盛付札（関数）'!CP"&amp;P41+1),
IF(Q42="〇",
INDIRECT("'盛付札（関数）'!CP"&amp;P41+1),INDIRECT("'盛付札（関数）'!CP"&amp;P41)))</f>
        <v/>
      </c>
      <c r="S44" s="121"/>
      <c r="T44" s="88"/>
      <c r="U44" s="125" t="str" cm="1">
        <f t="array" aca="1" ref="U44" ca="1">IF(R41&lt;&gt;"",
IF(OR(INDIRECT("'盛付札（関数）'!CK"&amp;P41)=121,INDIRECT("'盛付札（関数）'!CK"&amp;P41)=122,INDIRECT("'盛付札（関数）'!CK"&amp;P41)=123,INDIRECT("'盛付札（関数）'!CK"&amp;P41)=124),"",
IF(Q42="●",
IFERROR(INDIRECT("'盛付札（関数）'!CQ"&amp;P41)+INDIRECT("'盛付札（関数）'!CQ"&amp;P41+1),""),
IF(Q42="〇",
INDIRECT("'盛付札（関数）'!CQ"&amp;P41+1),INDIRECT("'盛付札（関数）'!CQ"&amp;P41)))),"")</f>
        <v/>
      </c>
      <c r="V44" s="126"/>
      <c r="W44" s="58"/>
      <c r="X44" s="57"/>
      <c r="Y44" s="120" t="str" cm="1">
        <f t="array" aca="1" ref="Y44" ca="1">IF(X42="●",
INDIRECT("'盛付札（関数）'!CP"&amp;W41)+INDIRECT("'盛付札（関数）'!CP"&amp;W41+1),
IF(X42="〇",
INDIRECT("'盛付札（関数）'!CP"&amp;W41+1),INDIRECT("'盛付札（関数）'!CP"&amp;W41)))</f>
        <v/>
      </c>
      <c r="Z44" s="121"/>
      <c r="AA44" s="88"/>
      <c r="AB44" s="125" t="str" cm="1">
        <f t="array" aca="1" ref="AB44" ca="1">IF(Y41&lt;&gt;"",
IF(OR(INDIRECT("'盛付札（関数）'!CK"&amp;W41)=121,INDIRECT("'盛付札（関数）'!CK"&amp;W41)=122,INDIRECT("'盛付札（関数）'!CK"&amp;W41)=123,INDIRECT("'盛付札（関数）'!CK"&amp;W41)=124),"",
IF(X42="●",
IFERROR(INDIRECT("'盛付札（関数）'!CQ"&amp;W41)+INDIRECT("'盛付札（関数）'!CQ"&amp;W41+1),""),
IF(X42="〇",
INDIRECT("'盛付札（関数）'!CQ"&amp;W41+1),INDIRECT("'盛付札（関数）'!CQ"&amp;W41)))),"")</f>
        <v/>
      </c>
      <c r="AC44" s="126"/>
      <c r="AE44" s="58"/>
      <c r="AF44" s="57"/>
      <c r="AG44" s="120" t="str" cm="1">
        <f t="array" aca="1" ref="AG44" ca="1">IF(AF42="●",
INDIRECT("'盛付札（関数）'!CP"&amp;AE41)+INDIRECT("'盛付札（関数）'!CP"&amp;AE41+1),
IF(AF42="〇",
INDIRECT("'盛付札（関数）'!CP"&amp;AE41+1),INDIRECT("'盛付札（関数）'!CP"&amp;AE41)))</f>
        <v/>
      </c>
      <c r="AH44" s="121"/>
      <c r="AI44" s="88"/>
      <c r="AJ44" s="125" t="str" cm="1">
        <f t="array" aca="1" ref="AJ44" ca="1">IF(AG41&lt;&gt;"",
IF(OR(INDIRECT("'盛付札（関数）'!CK"&amp;AE41)=121,INDIRECT("'盛付札（関数）'!CK"&amp;AE41)=122,INDIRECT("'盛付札（関数）'!CK"&amp;AE41)=123,INDIRECT("'盛付札（関数）'!CK"&amp;AE41)=124),"",
IF(AF42="●",
IFERROR(INDIRECT("'盛付札（関数）'!CQ"&amp;AE41)+INDIRECT("'盛付札（関数）'!CQ"&amp;AE41+1),""),
IF(AF42="〇",
INDIRECT("'盛付札（関数）'!CQ"&amp;AE41+1),INDIRECT("'盛付札（関数）'!CQ"&amp;AE41)))),"")</f>
        <v/>
      </c>
      <c r="AK44" s="126"/>
      <c r="AL44" s="58"/>
      <c r="AM44" s="57"/>
      <c r="AN44" s="120" t="str" cm="1">
        <f t="array" aca="1" ref="AN44" ca="1">IF(AM42="●",
INDIRECT("'盛付札（関数）'!CP"&amp;AL41)+INDIRECT("'盛付札（関数）'!CP"&amp;AL41+1),
IF(AM42="〇",
INDIRECT("'盛付札（関数）'!CP"&amp;AL41+1),INDIRECT("'盛付札（関数）'!CP"&amp;AL41)))</f>
        <v/>
      </c>
      <c r="AO44" s="121"/>
      <c r="AP44" s="88"/>
      <c r="AQ44" s="125" t="str" cm="1">
        <f t="array" aca="1" ref="AQ44" ca="1">IF(AN41&lt;&gt;"",
IF(OR(INDIRECT("'盛付札（関数）'!CK"&amp;AL41)=121,INDIRECT("'盛付札（関数）'!CK"&amp;AL41)=122,INDIRECT("'盛付札（関数）'!CK"&amp;AL41)=123,INDIRECT("'盛付札（関数）'!CK"&amp;AL41)=124),"",
IF(AM42="●",
IFERROR(INDIRECT("'盛付札（関数）'!CQ"&amp;AL41)+INDIRECT("'盛付札（関数）'!CQ"&amp;AL41+1),""),
IF(AM42="〇",
INDIRECT("'盛付札（関数）'!CQ"&amp;AL41+1),INDIRECT("'盛付札（関数）'!CQ"&amp;AL41)))),"")</f>
        <v/>
      </c>
      <c r="AR44" s="126"/>
      <c r="AT44" s="58"/>
      <c r="AU44" s="57"/>
      <c r="AV44" s="120" t="str" cm="1">
        <f t="array" aca="1" ref="AV44" ca="1">IF(AU42="●",
INDIRECT("'盛付札（関数）'!CP"&amp;AT41)+INDIRECT("'盛付札（関数）'!CP"&amp;AT41+1),
IF(AU42="〇",
INDIRECT("'盛付札（関数）'!CP"&amp;AT41+1),INDIRECT("'盛付札（関数）'!CP"&amp;AT41)))</f>
        <v/>
      </c>
      <c r="AW44" s="121"/>
      <c r="AX44" s="88"/>
      <c r="AY44" s="125" t="str" cm="1">
        <f t="array" aca="1" ref="AY44" ca="1">IF(AV41&lt;&gt;"",
IF(OR(INDIRECT("'盛付札（関数）'!CK"&amp;AT41)=121,INDIRECT("'盛付札（関数）'!CK"&amp;AT41)=122,INDIRECT("'盛付札（関数）'!CK"&amp;AT41)=123,INDIRECT("'盛付札（関数）'!CK"&amp;AT41)=124),"",
IF(AU42="●",
IFERROR(INDIRECT("'盛付札（関数）'!CQ"&amp;AT41)+INDIRECT("'盛付札（関数）'!CQ"&amp;AT41+1),""),
IF(AU42="〇",
INDIRECT("'盛付札（関数）'!CQ"&amp;AT41+1),INDIRECT("'盛付札（関数）'!CQ"&amp;AT41)))),"")</f>
        <v/>
      </c>
      <c r="AZ44" s="126"/>
      <c r="BA44" s="58"/>
      <c r="BB44" s="57"/>
      <c r="BC44" s="120" t="str" cm="1">
        <f t="array" aca="1" ref="BC44" ca="1">IF(BB42="●",
INDIRECT("'盛付札（関数）'!CP"&amp;BA41)+INDIRECT("'盛付札（関数）'!CP"&amp;BA41+1),
IF(BB42="〇",
INDIRECT("'盛付札（関数）'!CP"&amp;BA41+1),INDIRECT("'盛付札（関数）'!CP"&amp;BA41)))</f>
        <v/>
      </c>
      <c r="BD44" s="121"/>
      <c r="BE44" s="88"/>
      <c r="BF44" s="125" t="str" cm="1">
        <f t="array" aca="1" ref="BF44" ca="1">IF(BC41&lt;&gt;"",
IF(OR(INDIRECT("'盛付札（関数）'!CK"&amp;BA41)=121,INDIRECT("'盛付札（関数）'!CK"&amp;BA41)=122,INDIRECT("'盛付札（関数）'!CK"&amp;BA41)=123,INDIRECT("'盛付札（関数）'!CK"&amp;BA41)=124),"",
IF(BB42="●",
IFERROR(INDIRECT("'盛付札（関数）'!CQ"&amp;BA41)+INDIRECT("'盛付札（関数）'!CQ"&amp;BA41+1),""),
IF(BB42="〇",
INDIRECT("'盛付札（関数）'!CQ"&amp;BA41+1),INDIRECT("'盛付札（関数）'!CQ"&amp;BA41)))),"")</f>
        <v/>
      </c>
      <c r="BG44" s="126"/>
      <c r="BI44" s="58"/>
      <c r="BJ44" s="57"/>
      <c r="BK44" s="120" t="str" cm="1">
        <f t="array" aca="1" ref="BK44" ca="1">IF(BJ42="●",
INDIRECT("'盛付札（関数）'!CP"&amp;BI41)+INDIRECT("'盛付札（関数）'!CP"&amp;BI41+1),
IF(BJ42="〇",
INDIRECT("'盛付札（関数）'!CP"&amp;BI41+1),INDIRECT("'盛付札（関数）'!CP"&amp;BI41)))</f>
        <v/>
      </c>
      <c r="BL44" s="121"/>
      <c r="BM44" s="88"/>
      <c r="BN44" s="125" t="str" cm="1">
        <f t="array" aca="1" ref="BN44" ca="1">IF(BK41&lt;&gt;"",
IF(OR(INDIRECT("'盛付札（関数）'!CK"&amp;BI41)=121,INDIRECT("'盛付札（関数）'!CK"&amp;BI41)=122,INDIRECT("'盛付札（関数）'!CK"&amp;BI41)=123,INDIRECT("'盛付札（関数）'!CK"&amp;BI41)=124),"",
IF(BJ42="●",
IFERROR(INDIRECT("'盛付札（関数）'!CQ"&amp;BI41)+INDIRECT("'盛付札（関数）'!CQ"&amp;BI41+1),""),
IF(BJ42="〇",
INDIRECT("'盛付札（関数）'!CQ"&amp;BI41+1),INDIRECT("'盛付札（関数）'!CQ"&amp;BI41)))),"")</f>
        <v/>
      </c>
      <c r="BO44" s="126"/>
      <c r="BP44" s="58"/>
      <c r="BQ44" s="57"/>
      <c r="BR44" s="120" t="str" cm="1">
        <f t="array" aca="1" ref="BR44" ca="1">IF(BQ42="●",
INDIRECT("'盛付札（関数）'!CP"&amp;BP41)+INDIRECT("'盛付札（関数）'!CP"&amp;BP41+1),
IF(BQ42="〇",
INDIRECT("'盛付札（関数）'!CP"&amp;BP41+1),INDIRECT("'盛付札（関数）'!CP"&amp;BP41)))</f>
        <v/>
      </c>
      <c r="BS44" s="121"/>
      <c r="BT44" s="88"/>
      <c r="BU44" s="125" t="str" cm="1">
        <f t="array" aca="1" ref="BU44" ca="1">IF(BR41&lt;&gt;"",
IF(OR(INDIRECT("'盛付札（関数）'!CK"&amp;BP41)=121,INDIRECT("'盛付札（関数）'!CK"&amp;BP41)=122,INDIRECT("'盛付札（関数）'!CK"&amp;BP41)=123,INDIRECT("'盛付札（関数）'!CK"&amp;BP41)=124),"",
IF(BQ42="●",
IFERROR(INDIRECT("'盛付札（関数）'!CQ"&amp;BP41)+INDIRECT("'盛付札（関数）'!CQ"&amp;BP41+1),""),
IF(BQ42="〇",
INDIRECT("'盛付札（関数）'!CQ"&amp;BP41+1),INDIRECT("'盛付札（関数）'!CQ"&amp;BP41)))),"")</f>
        <v/>
      </c>
      <c r="BV44" s="126"/>
    </row>
    <row r="45" spans="1:75" ht="15.6" customHeight="1" x14ac:dyDescent="0.45">
      <c r="A45" s="58"/>
      <c r="B45" s="59"/>
      <c r="C45" s="122"/>
      <c r="D45" s="122"/>
      <c r="E45" s="81"/>
      <c r="F45" s="127"/>
      <c r="G45" s="128"/>
      <c r="H45" s="58"/>
      <c r="I45" s="59"/>
      <c r="J45" s="122"/>
      <c r="K45" s="122"/>
      <c r="L45" s="81"/>
      <c r="M45" s="127"/>
      <c r="N45" s="128"/>
      <c r="P45" s="58"/>
      <c r="Q45" s="59"/>
      <c r="R45" s="122"/>
      <c r="S45" s="122"/>
      <c r="T45" s="81"/>
      <c r="U45" s="127"/>
      <c r="V45" s="128"/>
      <c r="W45" s="58"/>
      <c r="X45" s="59"/>
      <c r="Y45" s="122"/>
      <c r="Z45" s="122"/>
      <c r="AA45" s="81"/>
      <c r="AB45" s="127"/>
      <c r="AC45" s="128"/>
      <c r="AE45" s="58"/>
      <c r="AF45" s="59"/>
      <c r="AG45" s="122"/>
      <c r="AH45" s="122"/>
      <c r="AI45" s="81"/>
      <c r="AJ45" s="127"/>
      <c r="AK45" s="128"/>
      <c r="AL45" s="58"/>
      <c r="AM45" s="59"/>
      <c r="AN45" s="122"/>
      <c r="AO45" s="122"/>
      <c r="AP45" s="81"/>
      <c r="AQ45" s="127"/>
      <c r="AR45" s="128"/>
      <c r="AT45" s="58"/>
      <c r="AU45" s="59"/>
      <c r="AV45" s="122"/>
      <c r="AW45" s="122"/>
      <c r="AX45" s="81"/>
      <c r="AY45" s="127"/>
      <c r="AZ45" s="128"/>
      <c r="BA45" s="58"/>
      <c r="BB45" s="59"/>
      <c r="BC45" s="122"/>
      <c r="BD45" s="122"/>
      <c r="BE45" s="81"/>
      <c r="BF45" s="127"/>
      <c r="BG45" s="128"/>
      <c r="BI45" s="58"/>
      <c r="BJ45" s="59"/>
      <c r="BK45" s="122"/>
      <c r="BL45" s="122"/>
      <c r="BM45" s="81"/>
      <c r="BN45" s="127"/>
      <c r="BO45" s="128"/>
      <c r="BP45" s="58"/>
      <c r="BQ45" s="59"/>
      <c r="BR45" s="122"/>
      <c r="BS45" s="122"/>
      <c r="BT45" s="81"/>
      <c r="BU45" s="127"/>
      <c r="BV45" s="128"/>
    </row>
    <row r="46" spans="1:75" s="68" customFormat="1" x14ac:dyDescent="0.55000000000000004">
      <c r="A46" s="53"/>
      <c r="B46" s="74" t="str" cm="1">
        <f t="array" aca="1" ref="B46" ca="1">IF(C41&lt;&gt;"",
IF(OR(INDIRECT("'盛付札（関数）'!CK"&amp;A41)=121,INDIRECT("'盛付札（関数）'!CK"&amp;A41)=122,INDIRECT("'盛付札（関数）'!CK"&amp;A41)=123,INDIRECT("'盛付札（関数）'!CK"&amp;A41)=124),"",
"パン箱"),"")</f>
        <v/>
      </c>
      <c r="C46" s="72" t="str" cm="1">
        <f t="array" aca="1" ref="C46" ca="1">IF(C41&lt;&gt;"",
IF(OR(INDIRECT("'盛付札（関数）'!CK"&amp;A41)=121,INDIRECT("'盛付札（関数）'!CK"&amp;A41)=122,INDIRECT("'盛付札（関数）'!CK"&amp;A41)=123,INDIRECT("'盛付札（関数）'!CK"&amp;A41)=124),"",
IF(B42="〇",
INDIRECT("'盛付札（関数）'!CR"&amp;A41+1),INDIRECT("'盛付札（関数）'!CR"&amp;A41))),"")</f>
        <v/>
      </c>
      <c r="D46" s="74" t="str" cm="1">
        <f t="array" aca="1" ref="D46" ca="1">IF(C41&lt;&gt;"",
IF(OR(INDIRECT("'盛付札（関数）'!CK"&amp;A41)=121,INDIRECT("'盛付札（関数）'!CK"&amp;A41)=122,INDIRECT("'盛付札（関数）'!CK"&amp;A41)=123,INDIRECT("'盛付札（関数）'!CK"&amp;A41)=124),"",
"端数"),"")</f>
        <v/>
      </c>
      <c r="E46" s="72"/>
      <c r="F46" s="74" t="str" cm="1">
        <f t="array" aca="1" ref="F46" ca="1">IF(C41&lt;&gt;"",
IF(OR(INDIRECT("'盛付札（関数）'!CK"&amp;A41)=121,INDIRECT("'盛付札（関数）'!CK"&amp;A41)=122,INDIRECT("'盛付札（関数）'!CK"&amp;A41)=123,INDIRECT("'盛付札（関数）'!CK"&amp;A41)=124),"",
"アレルギー"),"")</f>
        <v/>
      </c>
      <c r="G46" s="77"/>
      <c r="H46" s="53"/>
      <c r="I46" s="74" t="str" cm="1">
        <f t="array" aca="1" ref="I46" ca="1">IF(J41&lt;&gt;"",
IF(OR(INDIRECT("'盛付札（関数）'!CK"&amp;H41)=121,INDIRECT("'盛付札（関数）'!CK"&amp;H41)=122,INDIRECT("'盛付札（関数）'!CK"&amp;H41)=123,INDIRECT("'盛付札（関数）'!CK"&amp;H41)=124),"",
"パン箱"),"")</f>
        <v/>
      </c>
      <c r="J46" s="72" t="str" cm="1">
        <f t="array" aca="1" ref="J46" ca="1">IF(J41&lt;&gt;"",
IF(OR(INDIRECT("'盛付札（関数）'!CK"&amp;H41)=121,INDIRECT("'盛付札（関数）'!CK"&amp;H41)=122,INDIRECT("'盛付札（関数）'!CK"&amp;H41)=123,INDIRECT("'盛付札（関数）'!CK"&amp;H41)=124),"",
IF(I42="〇",
INDIRECT("'盛付札（関数）'!CR"&amp;H41+1),INDIRECT("'盛付札（関数）'!CR"&amp;H41))),"")</f>
        <v/>
      </c>
      <c r="K46" s="74" t="str" cm="1">
        <f t="array" aca="1" ref="K46" ca="1">IF(J41&lt;&gt;"",
IF(OR(INDIRECT("'盛付札（関数）'!CK"&amp;H41)=121,INDIRECT("'盛付札（関数）'!CK"&amp;H41)=122,INDIRECT("'盛付札（関数）'!CK"&amp;H41)=123,INDIRECT("'盛付札（関数）'!CK"&amp;H41)=124),"",
"端数"),"")</f>
        <v/>
      </c>
      <c r="L46" s="72"/>
      <c r="M46" s="74" t="str" cm="1">
        <f t="array" aca="1" ref="M46" ca="1">IF(J41&lt;&gt;"",
IF(OR(INDIRECT("'盛付札（関数）'!CK"&amp;H41)=121,INDIRECT("'盛付札（関数）'!CK"&amp;H41)=122,INDIRECT("'盛付札（関数）'!CK"&amp;H41)=123,INDIRECT("'盛付札（関数）'!CK"&amp;H41)=124),"",
"アレルギー"),"")</f>
        <v/>
      </c>
      <c r="N46" s="77"/>
      <c r="O46" s="53"/>
      <c r="P46" s="53"/>
      <c r="Q46" s="74" t="str" cm="1">
        <f t="array" aca="1" ref="Q46" ca="1">IF(R41&lt;&gt;"",
IF(OR(INDIRECT("'盛付札（関数）'!CK"&amp;P41)=121,INDIRECT("'盛付札（関数）'!CK"&amp;P41)=122,INDIRECT("'盛付札（関数）'!CK"&amp;P41)=123,INDIRECT("'盛付札（関数）'!CK"&amp;P41)=124),"",
"パン箱"),"")</f>
        <v/>
      </c>
      <c r="R46" s="72" t="str" cm="1">
        <f t="array" aca="1" ref="R46" ca="1">IF(R41&lt;&gt;"",
IF(OR(INDIRECT("'盛付札（関数）'!CK"&amp;P41)=121,INDIRECT("'盛付札（関数）'!CK"&amp;P41)=122,INDIRECT("'盛付札（関数）'!CK"&amp;P41)=123,INDIRECT("'盛付札（関数）'!CK"&amp;P41)=124),"",
IF(Q42="〇",
INDIRECT("'盛付札（関数）'!CR"&amp;P41+1),INDIRECT("'盛付札（関数）'!CR"&amp;P41))),"")</f>
        <v/>
      </c>
      <c r="S46" s="74" t="str" cm="1">
        <f t="array" aca="1" ref="S46" ca="1">IF(R41&lt;&gt;"",
IF(OR(INDIRECT("'盛付札（関数）'!CK"&amp;P41)=121,INDIRECT("'盛付札（関数）'!CK"&amp;P41)=122,INDIRECT("'盛付札（関数）'!CK"&amp;P41)=123,INDIRECT("'盛付札（関数）'!CK"&amp;P41)=124),"",
"端数"),"")</f>
        <v/>
      </c>
      <c r="T46" s="72"/>
      <c r="U46" s="74" t="str" cm="1">
        <f t="array" aca="1" ref="U46" ca="1">IF(R41&lt;&gt;"",
IF(OR(INDIRECT("'盛付札（関数）'!CK"&amp;P41)=121,INDIRECT("'盛付札（関数）'!CK"&amp;P41)=122,INDIRECT("'盛付札（関数）'!CK"&amp;P41)=123,INDIRECT("'盛付札（関数）'!CK"&amp;P41)=124),"",
"アレルギー"),"")</f>
        <v/>
      </c>
      <c r="V46" s="77"/>
      <c r="W46" s="53"/>
      <c r="X46" s="74" t="str" cm="1">
        <f t="array" aca="1" ref="X46" ca="1">IF(Y41&lt;&gt;"",
IF(OR(INDIRECT("'盛付札（関数）'!CK"&amp;W41)=121,INDIRECT("'盛付札（関数）'!CK"&amp;W41)=122,INDIRECT("'盛付札（関数）'!CK"&amp;W41)=123,INDIRECT("'盛付札（関数）'!CK"&amp;W41)=124),"",
"パン箱"),"")</f>
        <v/>
      </c>
      <c r="Y46" s="72" t="str" cm="1">
        <f t="array" aca="1" ref="Y46" ca="1">IF(Y41&lt;&gt;"",
IF(OR(INDIRECT("'盛付札（関数）'!CK"&amp;W41)=121,INDIRECT("'盛付札（関数）'!CK"&amp;W41)=122,INDIRECT("'盛付札（関数）'!CK"&amp;W41)=123,INDIRECT("'盛付札（関数）'!CK"&amp;W41)=124),"",
IF(X42="〇",
INDIRECT("'盛付札（関数）'!CR"&amp;W41+1),INDIRECT("'盛付札（関数）'!CR"&amp;W41))),"")</f>
        <v/>
      </c>
      <c r="Z46" s="74" t="str" cm="1">
        <f t="array" aca="1" ref="Z46" ca="1">IF(Y41&lt;&gt;"",
IF(OR(INDIRECT("'盛付札（関数）'!CK"&amp;W41)=121,INDIRECT("'盛付札（関数）'!CK"&amp;W41)=122,INDIRECT("'盛付札（関数）'!CK"&amp;W41)=123,INDIRECT("'盛付札（関数）'!CK"&amp;W41)=124),"",
"端数"),"")</f>
        <v/>
      </c>
      <c r="AA46" s="72"/>
      <c r="AB46" s="74" t="str" cm="1">
        <f t="array" aca="1" ref="AB46" ca="1">IF(Y41&lt;&gt;"",
IF(OR(INDIRECT("'盛付札（関数）'!CK"&amp;W41)=121,INDIRECT("'盛付札（関数）'!CK"&amp;W41)=122,INDIRECT("'盛付札（関数）'!CK"&amp;W41)=123,INDIRECT("'盛付札（関数）'!CK"&amp;W41)=124),"",
"アレルギー"),"")</f>
        <v/>
      </c>
      <c r="AC46" s="77"/>
      <c r="AD46" s="53"/>
      <c r="AE46" s="53"/>
      <c r="AF46" s="74" t="str" cm="1">
        <f t="array" aca="1" ref="AF46" ca="1">IF(AG41&lt;&gt;"",
IF(OR(INDIRECT("'盛付札（関数）'!CK"&amp;AE41)=121,INDIRECT("'盛付札（関数）'!CK"&amp;AE41)=122,INDIRECT("'盛付札（関数）'!CK"&amp;AE41)=123,INDIRECT("'盛付札（関数）'!CK"&amp;AE41)=124),"",
"パン箱"),"")</f>
        <v/>
      </c>
      <c r="AG46" s="72" t="str" cm="1">
        <f t="array" aca="1" ref="AG46" ca="1">IF(AG41&lt;&gt;"",
IF(OR(INDIRECT("'盛付札（関数）'!CK"&amp;AE41)=121,INDIRECT("'盛付札（関数）'!CK"&amp;AE41)=122,INDIRECT("'盛付札（関数）'!CK"&amp;AE41)=123,INDIRECT("'盛付札（関数）'!CK"&amp;AE41)=124),"",
IF(AF42="〇",
INDIRECT("'盛付札（関数）'!CR"&amp;AE41+1),INDIRECT("'盛付札（関数）'!CR"&amp;AE41))),"")</f>
        <v/>
      </c>
      <c r="AH46" s="74" t="str" cm="1">
        <f t="array" aca="1" ref="AH46" ca="1">IF(AG41&lt;&gt;"",
IF(OR(INDIRECT("'盛付札（関数）'!CK"&amp;AE41)=121,INDIRECT("'盛付札（関数）'!CK"&amp;AE41)=122,INDIRECT("'盛付札（関数）'!CK"&amp;AE41)=123,INDIRECT("'盛付札（関数）'!CK"&amp;AE41)=124),"",
"端数"),"")</f>
        <v/>
      </c>
      <c r="AI46" s="72"/>
      <c r="AJ46" s="74" t="str" cm="1">
        <f t="array" aca="1" ref="AJ46" ca="1">IF(AG41&lt;&gt;"",
IF(OR(INDIRECT("'盛付札（関数）'!CK"&amp;AE41)=121,INDIRECT("'盛付札（関数）'!CK"&amp;AE41)=122,INDIRECT("'盛付札（関数）'!CK"&amp;AE41)=123,INDIRECT("'盛付札（関数）'!CK"&amp;AE41)=124),"",
"アレルギー"),"")</f>
        <v/>
      </c>
      <c r="AK46" s="77"/>
      <c r="AL46" s="53"/>
      <c r="AM46" s="74" t="str" cm="1">
        <f t="array" aca="1" ref="AM46" ca="1">IF(AN41&lt;&gt;"",
IF(OR(INDIRECT("'盛付札（関数）'!CK"&amp;AL41)=121,INDIRECT("'盛付札（関数）'!CK"&amp;AL41)=122,INDIRECT("'盛付札（関数）'!CK"&amp;AL41)=123,INDIRECT("'盛付札（関数）'!CK"&amp;AL41)=124),"",
"パン箱"),"")</f>
        <v/>
      </c>
      <c r="AN46" s="72" t="str" cm="1">
        <f t="array" aca="1" ref="AN46" ca="1">IF(AN41&lt;&gt;"",
IF(OR(INDIRECT("'盛付札（関数）'!CK"&amp;AL41)=121,INDIRECT("'盛付札（関数）'!CK"&amp;AL41)=122,INDIRECT("'盛付札（関数）'!CK"&amp;AL41)=123,INDIRECT("'盛付札（関数）'!CK"&amp;AL41)=124),"",
IF(AM42="〇",
INDIRECT("'盛付札（関数）'!CR"&amp;AL41+1),INDIRECT("'盛付札（関数）'!CR"&amp;AL41))),"")</f>
        <v/>
      </c>
      <c r="AO46" s="74" t="str" cm="1">
        <f t="array" aca="1" ref="AO46" ca="1">IF(AN41&lt;&gt;"",
IF(OR(INDIRECT("'盛付札（関数）'!CK"&amp;AL41)=121,INDIRECT("'盛付札（関数）'!CK"&amp;AL41)=122,INDIRECT("'盛付札（関数）'!CK"&amp;AL41)=123,INDIRECT("'盛付札（関数）'!CK"&amp;AL41)=124),"",
"端数"),"")</f>
        <v/>
      </c>
      <c r="AP46" s="72"/>
      <c r="AQ46" s="74" t="str" cm="1">
        <f t="array" aca="1" ref="AQ46" ca="1">IF(AN41&lt;&gt;"",
IF(OR(INDIRECT("'盛付札（関数）'!CK"&amp;AL41)=121,INDIRECT("'盛付札（関数）'!CK"&amp;AL41)=122,INDIRECT("'盛付札（関数）'!CK"&amp;AL41)=123,INDIRECT("'盛付札（関数）'!CK"&amp;AL41)=124),"",
"アレルギー"),"")</f>
        <v/>
      </c>
      <c r="AR46" s="77"/>
      <c r="AS46" s="53"/>
      <c r="AT46" s="53"/>
      <c r="AU46" s="74" t="str" cm="1">
        <f t="array" aca="1" ref="AU46" ca="1">IF(AV41&lt;&gt;"",
IF(OR(INDIRECT("'盛付札（関数）'!CK"&amp;AT41)=121,INDIRECT("'盛付札（関数）'!CK"&amp;AT41)=122,INDIRECT("'盛付札（関数）'!CK"&amp;AT41)=123,INDIRECT("'盛付札（関数）'!CK"&amp;AT41)=124),"",
"パン箱"),"")</f>
        <v/>
      </c>
      <c r="AV46" s="72" t="str" cm="1">
        <f t="array" aca="1" ref="AV46" ca="1">IF(AV41&lt;&gt;"",
IF(OR(INDIRECT("'盛付札（関数）'!CK"&amp;AT41)=121,INDIRECT("'盛付札（関数）'!CK"&amp;AT41)=122,INDIRECT("'盛付札（関数）'!CK"&amp;AT41)=123,INDIRECT("'盛付札（関数）'!CK"&amp;AT41)=124),"",
IF(AU42="〇",
INDIRECT("'盛付札（関数）'!CR"&amp;AT41+1),INDIRECT("'盛付札（関数）'!CR"&amp;AT41))),"")</f>
        <v/>
      </c>
      <c r="AW46" s="74" t="str" cm="1">
        <f t="array" aca="1" ref="AW46" ca="1">IF(AV41&lt;&gt;"",
IF(OR(INDIRECT("'盛付札（関数）'!CK"&amp;AT41)=121,INDIRECT("'盛付札（関数）'!CK"&amp;AT41)=122,INDIRECT("'盛付札（関数）'!CK"&amp;AT41)=123,INDIRECT("'盛付札（関数）'!CK"&amp;AT41)=124),"",
"端数"),"")</f>
        <v/>
      </c>
      <c r="AX46" s="72"/>
      <c r="AY46" s="74" t="str" cm="1">
        <f t="array" aca="1" ref="AY46" ca="1">IF(AV41&lt;&gt;"",
IF(OR(INDIRECT("'盛付札（関数）'!CK"&amp;AT41)=121,INDIRECT("'盛付札（関数）'!CK"&amp;AT41)=122,INDIRECT("'盛付札（関数）'!CK"&amp;AT41)=123,INDIRECT("'盛付札（関数）'!CK"&amp;AT41)=124),"",
"アレルギー"),"")</f>
        <v/>
      </c>
      <c r="AZ46" s="77"/>
      <c r="BA46" s="53"/>
      <c r="BB46" s="74" t="str" cm="1">
        <f t="array" aca="1" ref="BB46" ca="1">IF(BC41&lt;&gt;"",
IF(OR(INDIRECT("'盛付札（関数）'!CK"&amp;BA41)=121,INDIRECT("'盛付札（関数）'!CK"&amp;BA41)=122,INDIRECT("'盛付札（関数）'!CK"&amp;BA41)=123,INDIRECT("'盛付札（関数）'!CK"&amp;BA41)=124),"",
"パン箱"),"")</f>
        <v/>
      </c>
      <c r="BC46" s="72" t="str" cm="1">
        <f t="array" aca="1" ref="BC46" ca="1">IF(BC41&lt;&gt;"",
IF(OR(INDIRECT("'盛付札（関数）'!CK"&amp;BA41)=121,INDIRECT("'盛付札（関数）'!CK"&amp;BA41)=122,INDIRECT("'盛付札（関数）'!CK"&amp;BA41)=123,INDIRECT("'盛付札（関数）'!CK"&amp;BA41)=124),"",
IF(BB42="〇",
INDIRECT("'盛付札（関数）'!CR"&amp;BA41+1),INDIRECT("'盛付札（関数）'!CR"&amp;BA41))),"")</f>
        <v/>
      </c>
      <c r="BD46" s="74" t="str" cm="1">
        <f t="array" aca="1" ref="BD46" ca="1">IF(BC41&lt;&gt;"",
IF(OR(INDIRECT("'盛付札（関数）'!CK"&amp;BA41)=121,INDIRECT("'盛付札（関数）'!CK"&amp;BA41)=122,INDIRECT("'盛付札（関数）'!CK"&amp;BA41)=123,INDIRECT("'盛付札（関数）'!CK"&amp;BA41)=124),"",
"端数"),"")</f>
        <v/>
      </c>
      <c r="BE46" s="72"/>
      <c r="BF46" s="74" t="str" cm="1">
        <f t="array" aca="1" ref="BF46" ca="1">IF(BC41&lt;&gt;"",
IF(OR(INDIRECT("'盛付札（関数）'!CK"&amp;BA41)=121,INDIRECT("'盛付札（関数）'!CK"&amp;BA41)=122,INDIRECT("'盛付札（関数）'!CK"&amp;BA41)=123,INDIRECT("'盛付札（関数）'!CK"&amp;BA41)=124),"",
"アレルギー"),"")</f>
        <v/>
      </c>
      <c r="BG46" s="77"/>
      <c r="BH46" s="53"/>
      <c r="BI46" s="53"/>
      <c r="BJ46" s="74" t="str" cm="1">
        <f t="array" aca="1" ref="BJ46" ca="1">IF(BK41&lt;&gt;"",
IF(OR(INDIRECT("'盛付札（関数）'!CK"&amp;BI41)=121,INDIRECT("'盛付札（関数）'!CK"&amp;BI41)=122,INDIRECT("'盛付札（関数）'!CK"&amp;BI41)=123,INDIRECT("'盛付札（関数）'!CK"&amp;BI41)=124),"",
"パン箱"),"")</f>
        <v/>
      </c>
      <c r="BK46" s="72" t="str" cm="1">
        <f t="array" aca="1" ref="BK46" ca="1">IF(BK41&lt;&gt;"",
IF(OR(INDIRECT("'盛付札（関数）'!CK"&amp;BI41)=121,INDIRECT("'盛付札（関数）'!CK"&amp;BI41)=122,INDIRECT("'盛付札（関数）'!CK"&amp;BI41)=123,INDIRECT("'盛付札（関数）'!CK"&amp;BI41)=124),"",
IF(BJ42="〇",
INDIRECT("'盛付札（関数）'!CR"&amp;BI41+1),INDIRECT("'盛付札（関数）'!CR"&amp;BI41))),"")</f>
        <v/>
      </c>
      <c r="BL46" s="74" t="str" cm="1">
        <f t="array" aca="1" ref="BL46" ca="1">IF(BK41&lt;&gt;"",
IF(OR(INDIRECT("'盛付札（関数）'!CK"&amp;BI41)=121,INDIRECT("'盛付札（関数）'!CK"&amp;BI41)=122,INDIRECT("'盛付札（関数）'!CK"&amp;BI41)=123,INDIRECT("'盛付札（関数）'!CK"&amp;BI41)=124),"",
"端数"),"")</f>
        <v/>
      </c>
      <c r="BM46" s="72"/>
      <c r="BN46" s="74" t="str" cm="1">
        <f t="array" aca="1" ref="BN46" ca="1">IF(BK41&lt;&gt;"",
IF(OR(INDIRECT("'盛付札（関数）'!CK"&amp;BI41)=121,INDIRECT("'盛付札（関数）'!CK"&amp;BI41)=122,INDIRECT("'盛付札（関数）'!CK"&amp;BI41)=123,INDIRECT("'盛付札（関数）'!CK"&amp;BI41)=124),"",
"アレルギー"),"")</f>
        <v/>
      </c>
      <c r="BO46" s="77"/>
      <c r="BP46" s="53"/>
      <c r="BQ46" s="74" t="str" cm="1">
        <f t="array" aca="1" ref="BQ46" ca="1">IF(BR41&lt;&gt;"",
IF(OR(INDIRECT("'盛付札（関数）'!CK"&amp;BP41)=121,INDIRECT("'盛付札（関数）'!CK"&amp;BP41)=122,INDIRECT("'盛付札（関数）'!CK"&amp;BP41)=123,INDIRECT("'盛付札（関数）'!CK"&amp;BP41)=124),"",
"パン箱"),"")</f>
        <v/>
      </c>
      <c r="BR46" s="72" t="str" cm="1">
        <f t="array" aca="1" ref="BR46" ca="1">IF(BR41&lt;&gt;"",
IF(OR(INDIRECT("'盛付札（関数）'!CK"&amp;BP41)=121,INDIRECT("'盛付札（関数）'!CK"&amp;BP41)=122,INDIRECT("'盛付札（関数）'!CK"&amp;BP41)=123,INDIRECT("'盛付札（関数）'!CK"&amp;BP41)=124),"",
IF(BQ42="〇",
INDIRECT("'盛付札（関数）'!CR"&amp;BP41+1),INDIRECT("'盛付札（関数）'!CR"&amp;BP41))),"")</f>
        <v/>
      </c>
      <c r="BS46" s="74" t="str" cm="1">
        <f t="array" aca="1" ref="BS46" ca="1">IF(BR41&lt;&gt;"",
IF(OR(INDIRECT("'盛付札（関数）'!CK"&amp;BP41)=121,INDIRECT("'盛付札（関数）'!CK"&amp;BP41)=122,INDIRECT("'盛付札（関数）'!CK"&amp;BP41)=123,INDIRECT("'盛付札（関数）'!CK"&amp;BP41)=124),"",
"端数"),"")</f>
        <v/>
      </c>
      <c r="BT46" s="72"/>
      <c r="BU46" s="74" t="str" cm="1">
        <f t="array" aca="1" ref="BU46" ca="1">IF(BR41&lt;&gt;"",
IF(OR(INDIRECT("'盛付札（関数）'!CK"&amp;BP41)=121,INDIRECT("'盛付札（関数）'!CK"&amp;BP41)=122,INDIRECT("'盛付札（関数）'!CK"&amp;BP41)=123,INDIRECT("'盛付札（関数）'!CK"&amp;BP41)=124),"",
"アレルギー"),"")</f>
        <v/>
      </c>
      <c r="BV46" s="77"/>
      <c r="BW46" s="53"/>
    </row>
    <row r="47" spans="1:75" ht="27.6" customHeight="1" x14ac:dyDescent="0.45">
      <c r="B47" s="124" t="str">
        <f ca="1">IF(C44&lt;&gt;"",
IFERROR(INT(C44/C46),""),"")</f>
        <v/>
      </c>
      <c r="C47" s="119"/>
      <c r="D47" s="124" t="str">
        <f ca="1">IFERROR(MOD(C44,C46),"")</f>
        <v/>
      </c>
      <c r="E47" s="119"/>
      <c r="F47" s="118" t="str" cm="1">
        <f t="array" aca="1" ref="F47" ca="1">IF(C41&lt;&gt;"",
IF(OR(INDIRECT("'盛付札（関数）'!CK"&amp;A41)=121,INDIRECT("'盛付札（関数）'!CK"&amp;A41)=122,INDIRECT("'盛付札（関数）'!CK"&amp;A41)=123,INDIRECT("'盛付札（関数）'!CK"&amp;A41)=124),"",
IF(B42="●",
IFERROR(INDIRECT("'盛付札（関数）'!CU"&amp;A41)+INDIRECT("'盛付札（関数）'!CU"&amp;A41+1),0),
IF(B42="〇",
INDIRECT("'盛付札（関数）'!CU"&amp;A41+1),INDIRECT("'盛付札（関数）'!CU"&amp;A41)))),"")</f>
        <v/>
      </c>
      <c r="G47" s="119"/>
      <c r="I47" s="124" t="str">
        <f ca="1">IF(J44&lt;&gt;"",
IFERROR(INT(J44/J46),""),"")</f>
        <v/>
      </c>
      <c r="J47" s="119"/>
      <c r="K47" s="124" t="str">
        <f ca="1">IFERROR(MOD(J44,J46),"")</f>
        <v/>
      </c>
      <c r="L47" s="119"/>
      <c r="M47" s="118" t="str" cm="1">
        <f t="array" aca="1" ref="M47" ca="1">IF(J41&lt;&gt;"",
IF(OR(INDIRECT("'盛付札（関数）'!CK"&amp;H41)=121,INDIRECT("'盛付札（関数）'!CK"&amp;H41)=122,INDIRECT("'盛付札（関数）'!CK"&amp;H41)=123,INDIRECT("'盛付札（関数）'!CK"&amp;H41)=124),"",
IF(I42="●",
IFERROR(INDIRECT("'盛付札（関数）'!CU"&amp;H41)+INDIRECT("'盛付札（関数）'!CU"&amp;H41+1),0),
IF(I42="〇",
INDIRECT("'盛付札（関数）'!CU"&amp;H41+1),INDIRECT("'盛付札（関数）'!CU"&amp;H41)))),"")</f>
        <v/>
      </c>
      <c r="N47" s="119"/>
      <c r="Q47" s="124" t="str">
        <f ca="1">IF(R44&lt;&gt;"",
IFERROR(INT(R44/R46),""),"")</f>
        <v/>
      </c>
      <c r="R47" s="119"/>
      <c r="S47" s="124" t="str">
        <f ca="1">IFERROR(MOD(R44,R46),"")</f>
        <v/>
      </c>
      <c r="T47" s="119"/>
      <c r="U47" s="118" t="str" cm="1">
        <f t="array" aca="1" ref="U47" ca="1">IF(R41&lt;&gt;"",
IF(OR(INDIRECT("'盛付札（関数）'!CK"&amp;P41)=121,INDIRECT("'盛付札（関数）'!CK"&amp;P41)=122,INDIRECT("'盛付札（関数）'!CK"&amp;P41)=123,INDIRECT("'盛付札（関数）'!CK"&amp;P41)=124),"",
IF(Q42="●",
IFERROR(INDIRECT("'盛付札（関数）'!CU"&amp;P41)+INDIRECT("'盛付札（関数）'!CU"&amp;P41+1),0),
IF(Q42="〇",
INDIRECT("'盛付札（関数）'!CU"&amp;P41+1),INDIRECT("'盛付札（関数）'!CU"&amp;P41)))),"")</f>
        <v/>
      </c>
      <c r="V47" s="119"/>
      <c r="X47" s="124" t="str">
        <f ca="1">IF(Y44&lt;&gt;"",
IFERROR(INT(Y44/Y46),""),"")</f>
        <v/>
      </c>
      <c r="Y47" s="119"/>
      <c r="Z47" s="124" t="str">
        <f ca="1">IFERROR(MOD(Y44,Y46),"")</f>
        <v/>
      </c>
      <c r="AA47" s="119"/>
      <c r="AB47" s="118" t="str" cm="1">
        <f t="array" aca="1" ref="AB47" ca="1">IF(Y41&lt;&gt;"",
IF(OR(INDIRECT("'盛付札（関数）'!CK"&amp;W41)=121,INDIRECT("'盛付札（関数）'!CK"&amp;W41)=122,INDIRECT("'盛付札（関数）'!CK"&amp;W41)=123,INDIRECT("'盛付札（関数）'!CK"&amp;W41)=124),"",
IF(X42="●",
IFERROR(INDIRECT("'盛付札（関数）'!CU"&amp;W41)+INDIRECT("'盛付札（関数）'!CU"&amp;W41+1),0),
IF(X42="〇",
INDIRECT("'盛付札（関数）'!CU"&amp;W41+1),INDIRECT("'盛付札（関数）'!CU"&amp;W41)))),"")</f>
        <v/>
      </c>
      <c r="AC47" s="119"/>
      <c r="AF47" s="124" t="str">
        <f ca="1">IF(AG44&lt;&gt;"",
IFERROR(INT(AG44/AG46),""),"")</f>
        <v/>
      </c>
      <c r="AG47" s="119"/>
      <c r="AH47" s="124" t="str">
        <f ca="1">IFERROR(MOD(AG44,AG46),"")</f>
        <v/>
      </c>
      <c r="AI47" s="119"/>
      <c r="AJ47" s="118" t="str" cm="1">
        <f t="array" aca="1" ref="AJ47" ca="1">IF(AG41&lt;&gt;"",
IF(OR(INDIRECT("'盛付札（関数）'!CK"&amp;AE41)=121,INDIRECT("'盛付札（関数）'!CK"&amp;AE41)=122,INDIRECT("'盛付札（関数）'!CK"&amp;AE41)=123,INDIRECT("'盛付札（関数）'!CK"&amp;AE41)=124),"",
IF(AF42="●",
IFERROR(INDIRECT("'盛付札（関数）'!CU"&amp;AE41)+INDIRECT("'盛付札（関数）'!CU"&amp;AE41+1),0),
IF(AF42="〇",
INDIRECT("'盛付札（関数）'!CU"&amp;AE41+1),INDIRECT("'盛付札（関数）'!CU"&amp;AE41)))),"")</f>
        <v/>
      </c>
      <c r="AK47" s="119"/>
      <c r="AM47" s="124" t="str">
        <f ca="1">IF(AN44&lt;&gt;"",
IFERROR(INT(AN44/AN46),""),"")</f>
        <v/>
      </c>
      <c r="AN47" s="119"/>
      <c r="AO47" s="124" t="str">
        <f ca="1">IFERROR(MOD(AN44,AN46),"")</f>
        <v/>
      </c>
      <c r="AP47" s="119"/>
      <c r="AQ47" s="118" t="str" cm="1">
        <f t="array" aca="1" ref="AQ47" ca="1">IF(AN41&lt;&gt;"",
IF(OR(INDIRECT("'盛付札（関数）'!CK"&amp;AL41)=121,INDIRECT("'盛付札（関数）'!CK"&amp;AL41)=122,INDIRECT("'盛付札（関数）'!CK"&amp;AL41)=123,INDIRECT("'盛付札（関数）'!CK"&amp;AL41)=124),"",
IF(AM42="●",
IFERROR(INDIRECT("'盛付札（関数）'!CU"&amp;AL41)+INDIRECT("'盛付札（関数）'!CU"&amp;AL41+1),0),
IF(AM42="〇",
INDIRECT("'盛付札（関数）'!CU"&amp;AL41+1),INDIRECT("'盛付札（関数）'!CU"&amp;AL41)))),"")</f>
        <v/>
      </c>
      <c r="AR47" s="119"/>
      <c r="AU47" s="124" t="str">
        <f ca="1">IF(AV44&lt;&gt;"",
IFERROR(INT(AV44/AV46),""),"")</f>
        <v/>
      </c>
      <c r="AV47" s="119"/>
      <c r="AW47" s="124" t="str">
        <f ca="1">IFERROR(MOD(AV44,AV46),"")</f>
        <v/>
      </c>
      <c r="AX47" s="119"/>
      <c r="AY47" s="118" t="str" cm="1">
        <f t="array" aca="1" ref="AY47" ca="1">IF(AV41&lt;&gt;"",
IF(OR(INDIRECT("'盛付札（関数）'!CK"&amp;AT41)=121,INDIRECT("'盛付札（関数）'!CK"&amp;AT41)=122,INDIRECT("'盛付札（関数）'!CK"&amp;AT41)=123,INDIRECT("'盛付札（関数）'!CK"&amp;AT41)=124),"",
IF(AU42="●",
IFERROR(INDIRECT("'盛付札（関数）'!CU"&amp;AT41)+INDIRECT("'盛付札（関数）'!CU"&amp;AT41+1),0),
IF(AU42="〇",
INDIRECT("'盛付札（関数）'!CU"&amp;AT41+1),INDIRECT("'盛付札（関数）'!CU"&amp;AT41)))),"")</f>
        <v/>
      </c>
      <c r="AZ47" s="119"/>
      <c r="BB47" s="124" t="str">
        <f ca="1">IF(BC44&lt;&gt;"",
IFERROR(INT(BC44/BC46),""),"")</f>
        <v/>
      </c>
      <c r="BC47" s="119"/>
      <c r="BD47" s="124" t="str">
        <f ca="1">IFERROR(MOD(BC44,BC46),"")</f>
        <v/>
      </c>
      <c r="BE47" s="119"/>
      <c r="BF47" s="118" t="str" cm="1">
        <f t="array" aca="1" ref="BF47" ca="1">IF(BC41&lt;&gt;"",
IF(OR(INDIRECT("'盛付札（関数）'!CK"&amp;BA41)=121,INDIRECT("'盛付札（関数）'!CK"&amp;BA41)=122,INDIRECT("'盛付札（関数）'!CK"&amp;BA41)=123,INDIRECT("'盛付札（関数）'!CK"&amp;BA41)=124),"",
IF(BB42="●",
IFERROR(INDIRECT("'盛付札（関数）'!CU"&amp;BA41)+INDIRECT("'盛付札（関数）'!CU"&amp;BA41+1),0),
IF(BB42="〇",
INDIRECT("'盛付札（関数）'!CU"&amp;BA41+1),INDIRECT("'盛付札（関数）'!CU"&amp;BA41)))),"")</f>
        <v/>
      </c>
      <c r="BG47" s="119"/>
      <c r="BJ47" s="124" t="str">
        <f ca="1">IF(BK44&lt;&gt;"",
IFERROR(INT(BK44/BK46),""),"")</f>
        <v/>
      </c>
      <c r="BK47" s="119"/>
      <c r="BL47" s="124" t="str">
        <f ca="1">IFERROR(MOD(BK44,BK46),"")</f>
        <v/>
      </c>
      <c r="BM47" s="119"/>
      <c r="BN47" s="118" t="str" cm="1">
        <f t="array" aca="1" ref="BN47" ca="1">IF(BK41&lt;&gt;"",
IF(OR(INDIRECT("'盛付札（関数）'!CK"&amp;BI41)=121,INDIRECT("'盛付札（関数）'!CK"&amp;BI41)=122,INDIRECT("'盛付札（関数）'!CK"&amp;BI41)=123,INDIRECT("'盛付札（関数）'!CK"&amp;BI41)=124),"",
IF(BJ42="●",
IFERROR(INDIRECT("'盛付札（関数）'!CU"&amp;BI41)+INDIRECT("'盛付札（関数）'!CU"&amp;BI41+1),0),
IF(BJ42="〇",
INDIRECT("'盛付札（関数）'!CU"&amp;BI41+1),INDIRECT("'盛付札（関数）'!CU"&amp;BI41)))),"")</f>
        <v/>
      </c>
      <c r="BO47" s="119"/>
      <c r="BQ47" s="124" t="str">
        <f ca="1">IF(BR44&lt;&gt;"",
IFERROR(INT(BR44/BR46),""),"")</f>
        <v/>
      </c>
      <c r="BR47" s="119"/>
      <c r="BS47" s="124" t="str">
        <f ca="1">IFERROR(MOD(BR44,BR46),"")</f>
        <v/>
      </c>
      <c r="BT47" s="119"/>
      <c r="BU47" s="118" t="str" cm="1">
        <f t="array" aca="1" ref="BU47" ca="1">IF(BR41&lt;&gt;"",
IF(OR(INDIRECT("'盛付札（関数）'!CK"&amp;BP41)=121,INDIRECT("'盛付札（関数）'!CK"&amp;BP41)=122,INDIRECT("'盛付札（関数）'!CK"&amp;BP41)=123,INDIRECT("'盛付札（関数）'!CK"&amp;BP41)=124),"",
IF(BQ42="●",
IFERROR(INDIRECT("'盛付札（関数）'!CU"&amp;BP41)+INDIRECT("'盛付札（関数）'!CU"&amp;BP41+1),0),
IF(BQ42="〇",
INDIRECT("'盛付札（関数）'!CU"&amp;BP41+1),INDIRECT("'盛付札（関数）'!CU"&amp;BP41)))),"")</f>
        <v/>
      </c>
      <c r="BV47" s="119"/>
    </row>
  </sheetData>
  <mergeCells count="420">
    <mergeCell ref="AY44:AZ45"/>
    <mergeCell ref="BF44:BG45"/>
    <mergeCell ref="BN4:BO5"/>
    <mergeCell ref="BU4:BV5"/>
    <mergeCell ref="BN12:BO13"/>
    <mergeCell ref="BU12:BV13"/>
    <mergeCell ref="BN20:BO21"/>
    <mergeCell ref="BU20:BV21"/>
    <mergeCell ref="BN28:BO29"/>
    <mergeCell ref="BU28:BV29"/>
    <mergeCell ref="BN36:BO37"/>
    <mergeCell ref="BU36:BV37"/>
    <mergeCell ref="BN44:BO45"/>
    <mergeCell ref="BU44:BV45"/>
    <mergeCell ref="AY4:AZ5"/>
    <mergeCell ref="BF4:BG5"/>
    <mergeCell ref="AY12:AZ13"/>
    <mergeCell ref="BF12:BG13"/>
    <mergeCell ref="AY20:AZ21"/>
    <mergeCell ref="BF20:BG21"/>
    <mergeCell ref="AY28:AZ29"/>
    <mergeCell ref="BF28:BG29"/>
    <mergeCell ref="AY36:AZ37"/>
    <mergeCell ref="BF36:BG37"/>
    <mergeCell ref="U44:V45"/>
    <mergeCell ref="AB44:AC45"/>
    <mergeCell ref="R4:S5"/>
    <mergeCell ref="AJ4:AK5"/>
    <mergeCell ref="AQ4:AR5"/>
    <mergeCell ref="AJ12:AK13"/>
    <mergeCell ref="AQ12:AR13"/>
    <mergeCell ref="AJ20:AK21"/>
    <mergeCell ref="AQ20:AR21"/>
    <mergeCell ref="AJ28:AK29"/>
    <mergeCell ref="AQ28:AR29"/>
    <mergeCell ref="AJ36:AK37"/>
    <mergeCell ref="AQ36:AR37"/>
    <mergeCell ref="AB4:AC5"/>
    <mergeCell ref="U12:V13"/>
    <mergeCell ref="AB12:AC13"/>
    <mergeCell ref="U20:V21"/>
    <mergeCell ref="AB20:AC21"/>
    <mergeCell ref="U28:V29"/>
    <mergeCell ref="AB28:AC29"/>
    <mergeCell ref="U36:V37"/>
    <mergeCell ref="AB36:AC37"/>
    <mergeCell ref="BJ7:BK7"/>
    <mergeCell ref="BL7:BM7"/>
    <mergeCell ref="R3:S3"/>
    <mergeCell ref="D47:E47"/>
    <mergeCell ref="Y44:Z45"/>
    <mergeCell ref="BS31:BT31"/>
    <mergeCell ref="F4:G5"/>
    <mergeCell ref="M4:N5"/>
    <mergeCell ref="F12:G13"/>
    <mergeCell ref="M12:N13"/>
    <mergeCell ref="F20:G21"/>
    <mergeCell ref="M20:N21"/>
    <mergeCell ref="M28:N29"/>
    <mergeCell ref="F28:G29"/>
    <mergeCell ref="F36:G37"/>
    <mergeCell ref="AU47:AV47"/>
    <mergeCell ref="AH23:AI23"/>
    <mergeCell ref="C9:F9"/>
    <mergeCell ref="J43:K43"/>
    <mergeCell ref="AJ23:AK23"/>
    <mergeCell ref="BB7:BC7"/>
    <mergeCell ref="M44:N45"/>
    <mergeCell ref="F44:G45"/>
    <mergeCell ref="U4:V5"/>
    <mergeCell ref="BD7:BE7"/>
    <mergeCell ref="C12:D13"/>
    <mergeCell ref="J36:K37"/>
    <mergeCell ref="Q31:R31"/>
    <mergeCell ref="F7:G7"/>
    <mergeCell ref="Y28:Z29"/>
    <mergeCell ref="AV43:AW43"/>
    <mergeCell ref="AW15:AX15"/>
    <mergeCell ref="AY15:AZ15"/>
    <mergeCell ref="Y35:Z35"/>
    <mergeCell ref="C11:D11"/>
    <mergeCell ref="R12:S13"/>
    <mergeCell ref="C19:D19"/>
    <mergeCell ref="B7:C7"/>
    <mergeCell ref="D39:E39"/>
    <mergeCell ref="BC28:BD29"/>
    <mergeCell ref="AV17:AY17"/>
    <mergeCell ref="BS15:BT15"/>
    <mergeCell ref="AY31:AZ31"/>
    <mergeCell ref="M23:N23"/>
    <mergeCell ref="J41:M41"/>
    <mergeCell ref="X47:Y47"/>
    <mergeCell ref="AH47:AI47"/>
    <mergeCell ref="M15:N15"/>
    <mergeCell ref="AU23:AV23"/>
    <mergeCell ref="AW23:AX23"/>
    <mergeCell ref="J19:K19"/>
    <mergeCell ref="BL31:BM31"/>
    <mergeCell ref="BN31:BO31"/>
    <mergeCell ref="AF15:AG15"/>
    <mergeCell ref="F31:G31"/>
    <mergeCell ref="X15:Y15"/>
    <mergeCell ref="Z15:AA15"/>
    <mergeCell ref="BR25:BU25"/>
    <mergeCell ref="AV41:AY41"/>
    <mergeCell ref="BS39:BT39"/>
    <mergeCell ref="BF15:BG15"/>
    <mergeCell ref="M47:N47"/>
    <mergeCell ref="BK11:BL11"/>
    <mergeCell ref="BS7:BT7"/>
    <mergeCell ref="AF31:AG31"/>
    <mergeCell ref="BC11:BD11"/>
    <mergeCell ref="AH31:AI31"/>
    <mergeCell ref="BR17:BU17"/>
    <mergeCell ref="BQ39:BR39"/>
    <mergeCell ref="J44:K45"/>
    <mergeCell ref="AN33:AQ33"/>
    <mergeCell ref="AQ39:AR39"/>
    <mergeCell ref="K7:L7"/>
    <mergeCell ref="M36:N37"/>
    <mergeCell ref="AN41:AQ41"/>
    <mergeCell ref="R44:S45"/>
    <mergeCell ref="AJ44:AK45"/>
    <mergeCell ref="AQ44:AR45"/>
    <mergeCell ref="AN44:AO45"/>
    <mergeCell ref="I31:J31"/>
    <mergeCell ref="BR33:BU33"/>
    <mergeCell ref="J17:M17"/>
    <mergeCell ref="AF39:AG39"/>
    <mergeCell ref="X39:Y39"/>
    <mergeCell ref="Z39:AA39"/>
    <mergeCell ref="R19:S19"/>
    <mergeCell ref="Y1:AB1"/>
    <mergeCell ref="S39:T39"/>
    <mergeCell ref="BL23:BM23"/>
    <mergeCell ref="BN23:BO23"/>
    <mergeCell ref="BD23:BE23"/>
    <mergeCell ref="BF23:BG23"/>
    <mergeCell ref="AG12:AH13"/>
    <mergeCell ref="Y12:Z13"/>
    <mergeCell ref="BC1:BF1"/>
    <mergeCell ref="BK28:BL29"/>
    <mergeCell ref="AB15:AC15"/>
    <mergeCell ref="AG11:AH11"/>
    <mergeCell ref="AO7:AP7"/>
    <mergeCell ref="X31:Y31"/>
    <mergeCell ref="Y11:Z11"/>
    <mergeCell ref="Z23:AA23"/>
    <mergeCell ref="AB23:AC23"/>
    <mergeCell ref="AG19:AH19"/>
    <mergeCell ref="R27:S27"/>
    <mergeCell ref="AG20:AH21"/>
    <mergeCell ref="AO39:AP39"/>
    <mergeCell ref="BC12:BD13"/>
    <mergeCell ref="R17:U17"/>
    <mergeCell ref="AQ31:AR31"/>
    <mergeCell ref="R1:U1"/>
    <mergeCell ref="B47:C47"/>
    <mergeCell ref="AN17:AQ17"/>
    <mergeCell ref="BU31:BV31"/>
    <mergeCell ref="BB39:BC39"/>
    <mergeCell ref="C33:F33"/>
    <mergeCell ref="AQ15:AR15"/>
    <mergeCell ref="AV11:AW11"/>
    <mergeCell ref="AM39:AN39"/>
    <mergeCell ref="AN19:AO19"/>
    <mergeCell ref="BC25:BF25"/>
    <mergeCell ref="C43:D43"/>
    <mergeCell ref="AU7:AV7"/>
    <mergeCell ref="BR41:BU41"/>
    <mergeCell ref="D15:E15"/>
    <mergeCell ref="F15:G15"/>
    <mergeCell ref="R28:S29"/>
    <mergeCell ref="I7:J7"/>
    <mergeCell ref="C44:D45"/>
    <mergeCell ref="BK35:BL35"/>
    <mergeCell ref="AG33:AJ33"/>
    <mergeCell ref="AO15:AP15"/>
    <mergeCell ref="J1:M1"/>
    <mergeCell ref="BD31:BE31"/>
    <mergeCell ref="BJ47:BK47"/>
    <mergeCell ref="BR35:BS35"/>
    <mergeCell ref="J3:K3"/>
    <mergeCell ref="BJ15:BK15"/>
    <mergeCell ref="BL15:BM15"/>
    <mergeCell ref="AN27:AO27"/>
    <mergeCell ref="BK20:BL21"/>
    <mergeCell ref="BC20:BD21"/>
    <mergeCell ref="X7:Y7"/>
    <mergeCell ref="I47:J47"/>
    <mergeCell ref="AV28:AW29"/>
    <mergeCell ref="K47:L47"/>
    <mergeCell ref="U31:V31"/>
    <mergeCell ref="Q7:R7"/>
    <mergeCell ref="J11:K11"/>
    <mergeCell ref="R20:S21"/>
    <mergeCell ref="Q15:R15"/>
    <mergeCell ref="S15:T15"/>
    <mergeCell ref="BC3:BD3"/>
    <mergeCell ref="I15:J15"/>
    <mergeCell ref="K15:L15"/>
    <mergeCell ref="BB47:BC47"/>
    <mergeCell ref="Y41:AB41"/>
    <mergeCell ref="BQ7:BR7"/>
    <mergeCell ref="AN3:AO3"/>
    <mergeCell ref="AM47:AN47"/>
    <mergeCell ref="S23:T23"/>
    <mergeCell ref="BC33:BF33"/>
    <mergeCell ref="AH39:AI39"/>
    <mergeCell ref="AJ31:AK31"/>
    <mergeCell ref="BB15:BC15"/>
    <mergeCell ref="BD15:BE15"/>
    <mergeCell ref="Q39:R39"/>
    <mergeCell ref="AV4:AW5"/>
    <mergeCell ref="BF47:BG47"/>
    <mergeCell ref="R11:S11"/>
    <mergeCell ref="Z7:AA7"/>
    <mergeCell ref="R35:S35"/>
    <mergeCell ref="AF7:AG7"/>
    <mergeCell ref="AH7:AI7"/>
    <mergeCell ref="AG17:AJ17"/>
    <mergeCell ref="BF31:BG31"/>
    <mergeCell ref="AU39:AV39"/>
    <mergeCell ref="AG9:AJ9"/>
    <mergeCell ref="AG43:AH43"/>
    <mergeCell ref="Q47:R47"/>
    <mergeCell ref="S47:T47"/>
    <mergeCell ref="R25:U25"/>
    <mergeCell ref="BR4:BS5"/>
    <mergeCell ref="BJ23:BK23"/>
    <mergeCell ref="AV25:AY25"/>
    <mergeCell ref="Y19:Z19"/>
    <mergeCell ref="BK19:BL19"/>
    <mergeCell ref="AN11:AO11"/>
    <mergeCell ref="BR28:BS29"/>
    <mergeCell ref="BN7:BO7"/>
    <mergeCell ref="BJ39:BK39"/>
    <mergeCell ref="AV19:AW19"/>
    <mergeCell ref="BL39:BM39"/>
    <mergeCell ref="AM7:AN7"/>
    <mergeCell ref="AN4:AO5"/>
    <mergeCell ref="BB23:BC23"/>
    <mergeCell ref="BK36:BL37"/>
    <mergeCell ref="BC36:BD37"/>
    <mergeCell ref="AV35:AW35"/>
    <mergeCell ref="BC9:BF9"/>
    <mergeCell ref="AH15:AI15"/>
    <mergeCell ref="AJ15:AK15"/>
    <mergeCell ref="AU31:AV31"/>
    <mergeCell ref="AW31:AX31"/>
    <mergeCell ref="AJ7:AK7"/>
    <mergeCell ref="BQ31:BR31"/>
    <mergeCell ref="BR1:BU1"/>
    <mergeCell ref="AG25:AJ25"/>
    <mergeCell ref="BN39:BO39"/>
    <mergeCell ref="AV27:AW27"/>
    <mergeCell ref="Y33:AB33"/>
    <mergeCell ref="BK43:BL43"/>
    <mergeCell ref="BR43:BS43"/>
    <mergeCell ref="Z31:AA31"/>
    <mergeCell ref="AM23:AN23"/>
    <mergeCell ref="AB31:AC31"/>
    <mergeCell ref="AG27:AH27"/>
    <mergeCell ref="AO23:AP23"/>
    <mergeCell ref="AV20:AW21"/>
    <mergeCell ref="BK33:BN33"/>
    <mergeCell ref="AN28:AO29"/>
    <mergeCell ref="AV12:AW13"/>
    <mergeCell ref="AG36:AH37"/>
    <mergeCell ref="BK12:BL13"/>
    <mergeCell ref="AV1:AY1"/>
    <mergeCell ref="BK17:BN17"/>
    <mergeCell ref="BQ23:BR23"/>
    <mergeCell ref="BK27:BL27"/>
    <mergeCell ref="BS23:BT23"/>
    <mergeCell ref="BC27:BD27"/>
    <mergeCell ref="AG1:AJ1"/>
    <mergeCell ref="Y17:AB17"/>
    <mergeCell ref="AN35:AO35"/>
    <mergeCell ref="BN15:BO15"/>
    <mergeCell ref="AG28:AH29"/>
    <mergeCell ref="U47:V47"/>
    <mergeCell ref="AB7:AC7"/>
    <mergeCell ref="AG3:AH3"/>
    <mergeCell ref="AN25:AQ25"/>
    <mergeCell ref="BK9:BN9"/>
    <mergeCell ref="BF39:BG39"/>
    <mergeCell ref="AN20:AO21"/>
    <mergeCell ref="BF7:BG7"/>
    <mergeCell ref="AU15:AV15"/>
    <mergeCell ref="AM15:AN15"/>
    <mergeCell ref="AY47:AZ47"/>
    <mergeCell ref="BK25:BN25"/>
    <mergeCell ref="Y43:Z43"/>
    <mergeCell ref="AY23:AZ23"/>
    <mergeCell ref="AW7:AX7"/>
    <mergeCell ref="Y27:Z27"/>
    <mergeCell ref="Y20:Z21"/>
    <mergeCell ref="BK41:BN41"/>
    <mergeCell ref="AF23:AG23"/>
    <mergeCell ref="C4:D5"/>
    <mergeCell ref="BD39:BE39"/>
    <mergeCell ref="Y25:AB25"/>
    <mergeCell ref="Y36:Z37"/>
    <mergeCell ref="I23:J23"/>
    <mergeCell ref="J12:K13"/>
    <mergeCell ref="J4:K5"/>
    <mergeCell ref="F39:G39"/>
    <mergeCell ref="C20:D21"/>
    <mergeCell ref="J28:K29"/>
    <mergeCell ref="B23:C23"/>
    <mergeCell ref="C17:F17"/>
    <mergeCell ref="U23:V23"/>
    <mergeCell ref="B31:C31"/>
    <mergeCell ref="AV36:AW37"/>
    <mergeCell ref="D31:E31"/>
    <mergeCell ref="B15:C15"/>
    <mergeCell ref="BC17:BF17"/>
    <mergeCell ref="D7:E7"/>
    <mergeCell ref="AW39:AX39"/>
    <mergeCell ref="AY39:AZ39"/>
    <mergeCell ref="AB39:AC39"/>
    <mergeCell ref="Q23:R23"/>
    <mergeCell ref="K23:L23"/>
    <mergeCell ref="AN1:AQ1"/>
    <mergeCell ref="C25:F25"/>
    <mergeCell ref="AJ39:AK39"/>
    <mergeCell ref="R41:U41"/>
    <mergeCell ref="BC43:BD43"/>
    <mergeCell ref="BK4:BL5"/>
    <mergeCell ref="U39:V39"/>
    <mergeCell ref="C27:D27"/>
    <mergeCell ref="R43:S43"/>
    <mergeCell ref="R36:S37"/>
    <mergeCell ref="BK1:BN1"/>
    <mergeCell ref="D23:E23"/>
    <mergeCell ref="C36:D37"/>
    <mergeCell ref="R33:U33"/>
    <mergeCell ref="J33:M33"/>
    <mergeCell ref="BK3:BL3"/>
    <mergeCell ref="X23:Y23"/>
    <mergeCell ref="Y3:Z3"/>
    <mergeCell ref="Y9:AB9"/>
    <mergeCell ref="S31:T31"/>
    <mergeCell ref="C35:D35"/>
    <mergeCell ref="BC41:BF41"/>
    <mergeCell ref="AG4:AH5"/>
    <mergeCell ref="Y4:Z5"/>
    <mergeCell ref="BR3:BS3"/>
    <mergeCell ref="AQ47:AR47"/>
    <mergeCell ref="C1:F1"/>
    <mergeCell ref="J35:K35"/>
    <mergeCell ref="BC19:BD19"/>
    <mergeCell ref="BR12:BS13"/>
    <mergeCell ref="K31:L31"/>
    <mergeCell ref="U15:V15"/>
    <mergeCell ref="C3:D3"/>
    <mergeCell ref="BR11:BS11"/>
    <mergeCell ref="AM31:AN31"/>
    <mergeCell ref="AG35:AH35"/>
    <mergeCell ref="AO31:AP31"/>
    <mergeCell ref="J20:K21"/>
    <mergeCell ref="R9:U9"/>
    <mergeCell ref="BC4:BD5"/>
    <mergeCell ref="J9:M9"/>
    <mergeCell ref="AQ23:AR23"/>
    <mergeCell ref="K39:L39"/>
    <mergeCell ref="BC44:BD45"/>
    <mergeCell ref="M39:N39"/>
    <mergeCell ref="AQ7:AR7"/>
    <mergeCell ref="AV3:AW3"/>
    <mergeCell ref="S7:T7"/>
    <mergeCell ref="F47:G47"/>
    <mergeCell ref="AG44:AH45"/>
    <mergeCell ref="U7:V7"/>
    <mergeCell ref="M7:N7"/>
    <mergeCell ref="AV9:AY9"/>
    <mergeCell ref="AY7:AZ7"/>
    <mergeCell ref="AN43:AO43"/>
    <mergeCell ref="BC35:BD35"/>
    <mergeCell ref="AN9:AQ9"/>
    <mergeCell ref="AB47:AC47"/>
    <mergeCell ref="F23:G23"/>
    <mergeCell ref="AF47:AG47"/>
    <mergeCell ref="C41:F41"/>
    <mergeCell ref="C28:D29"/>
    <mergeCell ref="I39:J39"/>
    <mergeCell ref="J25:M25"/>
    <mergeCell ref="J27:K27"/>
    <mergeCell ref="M31:N31"/>
    <mergeCell ref="AG41:AJ41"/>
    <mergeCell ref="AV33:AY33"/>
    <mergeCell ref="AO47:AP47"/>
    <mergeCell ref="Z47:AA47"/>
    <mergeCell ref="B39:C39"/>
    <mergeCell ref="AV44:AW45"/>
    <mergeCell ref="BU7:BV7"/>
    <mergeCell ref="BU23:BV23"/>
    <mergeCell ref="AN12:AO13"/>
    <mergeCell ref="AJ47:AK47"/>
    <mergeCell ref="BB31:BC31"/>
    <mergeCell ref="BK44:BL45"/>
    <mergeCell ref="BR9:BU9"/>
    <mergeCell ref="BJ31:BK31"/>
    <mergeCell ref="AN36:AO37"/>
    <mergeCell ref="BQ15:BR15"/>
    <mergeCell ref="BL47:BM47"/>
    <mergeCell ref="AW47:AX47"/>
    <mergeCell ref="BQ47:BR47"/>
    <mergeCell ref="BD47:BE47"/>
    <mergeCell ref="BU15:BV15"/>
    <mergeCell ref="BN47:BO47"/>
    <mergeCell ref="BR19:BS19"/>
    <mergeCell ref="BR20:BS21"/>
    <mergeCell ref="BR27:BS27"/>
    <mergeCell ref="BU39:BV39"/>
    <mergeCell ref="BR44:BS45"/>
    <mergeCell ref="BR36:BS37"/>
    <mergeCell ref="BS47:BT47"/>
    <mergeCell ref="BU47:BV47"/>
  </mergeCells>
  <phoneticPr fontId="1"/>
  <pageMargins left="0.51181102362204722" right="0.51181102362204722" top="0.15748031496062992" bottom="0.15748031496062992" header="0" footer="0"/>
  <pageSetup paperSize="9" scale="84" orientation="portrait" horizontalDpi="1200" verticalDpi="1200" r:id="rId1"/>
  <headerFooter>
    <oddHeader xml:space="preserve">&amp;L
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U438"/>
  <sheetViews>
    <sheetView topLeftCell="A368" zoomScale="70" zoomScaleNormal="70" workbookViewId="0">
      <selection activeCell="D33" sqref="D33"/>
    </sheetView>
  </sheetViews>
  <sheetFormatPr defaultRowHeight="18" x14ac:dyDescent="0.45"/>
  <cols>
    <col min="1" max="2" width="5.59765625" style="65" customWidth="1"/>
    <col min="3" max="4" width="29.59765625" style="65" bestFit="1" customWidth="1"/>
    <col min="5" max="11" width="5.59765625" style="65" customWidth="1"/>
    <col min="12" max="12" width="10.59765625" style="65" customWidth="1"/>
    <col min="13" max="13" width="5.59765625" style="65" customWidth="1"/>
    <col min="14" max="14" width="10.59765625" style="65" customWidth="1"/>
    <col min="15" max="15" width="5.59765625" style="65" customWidth="1"/>
    <col min="16" max="16" width="10.59765625" style="65" customWidth="1"/>
    <col min="17" max="17" width="5.59765625" style="65" customWidth="1"/>
    <col min="18" max="18" width="10.59765625" style="65" customWidth="1"/>
    <col min="19" max="19" width="5.59765625" style="65" customWidth="1"/>
    <col min="20" max="20" width="10.59765625" style="65" customWidth="1"/>
    <col min="21" max="21" width="5.59765625" style="65" customWidth="1"/>
  </cols>
  <sheetData>
    <row r="1" spans="1:21" s="25" customFormat="1" ht="311.25" customHeight="1" x14ac:dyDescent="0.45">
      <c r="A1" s="22" t="s">
        <v>15</v>
      </c>
      <c r="B1" s="22" t="s">
        <v>16</v>
      </c>
      <c r="C1" s="22" t="s">
        <v>17</v>
      </c>
      <c r="D1" s="22" t="s">
        <v>18</v>
      </c>
      <c r="E1" s="22" t="s">
        <v>19</v>
      </c>
      <c r="F1" s="22" t="s">
        <v>20</v>
      </c>
      <c r="G1" s="22" t="s">
        <v>21</v>
      </c>
      <c r="H1" s="22" t="s">
        <v>22</v>
      </c>
      <c r="I1" s="22" t="s">
        <v>23</v>
      </c>
      <c r="J1" s="23" t="s">
        <v>24</v>
      </c>
      <c r="K1" s="23" t="s">
        <v>25</v>
      </c>
      <c r="L1" s="23" t="s">
        <v>26</v>
      </c>
      <c r="M1" s="24" t="s">
        <v>27</v>
      </c>
      <c r="N1" s="23" t="s">
        <v>28</v>
      </c>
      <c r="O1" s="24" t="s">
        <v>29</v>
      </c>
      <c r="P1" s="23" t="s">
        <v>30</v>
      </c>
      <c r="Q1" s="24" t="s">
        <v>31</v>
      </c>
      <c r="R1" s="23" t="s">
        <v>32</v>
      </c>
      <c r="S1" s="24" t="s">
        <v>33</v>
      </c>
      <c r="T1" s="23" t="s">
        <v>34</v>
      </c>
      <c r="U1" s="24" t="s">
        <v>35</v>
      </c>
    </row>
    <row r="2" spans="1:21" x14ac:dyDescent="0.45">
      <c r="A2" s="13">
        <v>1</v>
      </c>
      <c r="B2" s="13">
        <v>1</v>
      </c>
      <c r="C2" s="13" t="s">
        <v>36</v>
      </c>
      <c r="D2" s="13" t="s">
        <v>6</v>
      </c>
      <c r="E2" s="13">
        <v>0</v>
      </c>
      <c r="F2" s="13">
        <v>2</v>
      </c>
      <c r="G2" s="13">
        <v>0</v>
      </c>
      <c r="H2" s="13">
        <v>1</v>
      </c>
      <c r="I2" s="13">
        <v>24</v>
      </c>
      <c r="J2" s="11">
        <v>88</v>
      </c>
      <c r="K2" s="11" t="s">
        <v>37</v>
      </c>
      <c r="L2" s="11"/>
      <c r="M2" s="12">
        <v>0</v>
      </c>
      <c r="N2" s="11"/>
      <c r="O2" s="12">
        <v>0</v>
      </c>
      <c r="P2" s="11"/>
      <c r="Q2" s="12">
        <v>0</v>
      </c>
      <c r="R2" s="11"/>
      <c r="S2" s="12">
        <v>0</v>
      </c>
      <c r="T2" s="11"/>
      <c r="U2" s="12">
        <v>0</v>
      </c>
    </row>
    <row r="3" spans="1:21" x14ac:dyDescent="0.45">
      <c r="A3" s="13">
        <v>2</v>
      </c>
      <c r="B3" s="13">
        <v>0</v>
      </c>
      <c r="C3" s="13" t="s">
        <v>38</v>
      </c>
      <c r="D3" s="13" t="s">
        <v>39</v>
      </c>
      <c r="E3" s="13">
        <v>0</v>
      </c>
      <c r="F3" s="13">
        <v>0</v>
      </c>
      <c r="G3" s="13">
        <v>0</v>
      </c>
      <c r="H3" s="13">
        <v>1</v>
      </c>
      <c r="I3" s="13">
        <v>15</v>
      </c>
      <c r="J3" s="11">
        <v>30</v>
      </c>
      <c r="K3" s="11" t="s">
        <v>37</v>
      </c>
      <c r="L3" s="11"/>
      <c r="M3" s="12">
        <v>0</v>
      </c>
      <c r="N3" s="11"/>
      <c r="O3" s="12">
        <v>0</v>
      </c>
      <c r="P3" s="11"/>
      <c r="Q3" s="12">
        <v>0</v>
      </c>
      <c r="R3" s="11"/>
      <c r="S3" s="12"/>
      <c r="T3" s="11"/>
      <c r="U3" s="12"/>
    </row>
    <row r="4" spans="1:21" x14ac:dyDescent="0.45">
      <c r="A4" s="13">
        <v>3</v>
      </c>
      <c r="B4" s="13">
        <v>1</v>
      </c>
      <c r="C4" s="13" t="s">
        <v>40</v>
      </c>
      <c r="D4" s="13" t="s">
        <v>41</v>
      </c>
      <c r="E4" s="13">
        <v>0</v>
      </c>
      <c r="F4" s="13">
        <v>3</v>
      </c>
      <c r="G4" s="13">
        <v>0</v>
      </c>
      <c r="H4" s="13">
        <v>1</v>
      </c>
      <c r="I4" s="13">
        <v>15</v>
      </c>
      <c r="J4" s="11">
        <v>30</v>
      </c>
      <c r="K4" s="11" t="s">
        <v>37</v>
      </c>
      <c r="L4" s="11"/>
      <c r="M4" s="12">
        <v>0</v>
      </c>
      <c r="N4" s="11"/>
      <c r="O4" s="12">
        <v>0</v>
      </c>
      <c r="P4" s="11"/>
      <c r="Q4" s="12">
        <v>0</v>
      </c>
      <c r="R4" s="11"/>
      <c r="S4" s="12">
        <v>0</v>
      </c>
      <c r="T4" s="11"/>
      <c r="U4" s="12">
        <v>0</v>
      </c>
    </row>
    <row r="5" spans="1:21" x14ac:dyDescent="0.45">
      <c r="A5" s="13">
        <v>4</v>
      </c>
      <c r="B5" s="13">
        <v>0</v>
      </c>
      <c r="C5" s="13" t="s">
        <v>38</v>
      </c>
      <c r="D5" s="13" t="s">
        <v>42</v>
      </c>
      <c r="E5" s="13">
        <v>0</v>
      </c>
      <c r="F5" s="13">
        <v>4</v>
      </c>
      <c r="G5" s="13">
        <v>0</v>
      </c>
      <c r="H5" s="13">
        <v>1</v>
      </c>
      <c r="I5" s="13">
        <v>15</v>
      </c>
      <c r="J5" s="11">
        <v>30</v>
      </c>
      <c r="K5" s="11" t="s">
        <v>37</v>
      </c>
      <c r="L5" s="11"/>
      <c r="M5" s="12"/>
      <c r="N5" s="11"/>
      <c r="O5" s="12"/>
      <c r="P5" s="11"/>
      <c r="Q5" s="12"/>
      <c r="R5" s="11"/>
      <c r="S5" s="12"/>
      <c r="T5" s="11"/>
      <c r="U5" s="12"/>
    </row>
    <row r="6" spans="1:21" s="29" customFormat="1" x14ac:dyDescent="0.45">
      <c r="A6" s="26">
        <v>5</v>
      </c>
      <c r="B6" s="26">
        <v>0</v>
      </c>
      <c r="C6" s="26" t="s">
        <v>38</v>
      </c>
      <c r="D6" s="26" t="s">
        <v>43</v>
      </c>
      <c r="E6" s="26">
        <v>0</v>
      </c>
      <c r="F6" s="26">
        <v>5</v>
      </c>
      <c r="G6" s="26">
        <v>0</v>
      </c>
      <c r="H6" s="26">
        <v>1</v>
      </c>
      <c r="I6" s="26">
        <v>15</v>
      </c>
      <c r="J6" s="27">
        <v>30</v>
      </c>
      <c r="K6" s="27" t="s">
        <v>37</v>
      </c>
      <c r="L6" s="27"/>
      <c r="M6" s="28"/>
      <c r="N6" s="27"/>
      <c r="O6" s="28"/>
      <c r="P6" s="27"/>
      <c r="Q6" s="28"/>
      <c r="R6" s="27"/>
      <c r="S6" s="28"/>
      <c r="T6" s="27"/>
      <c r="U6" s="28"/>
    </row>
    <row r="7" spans="1:21" s="29" customFormat="1" x14ac:dyDescent="0.45">
      <c r="A7" s="26">
        <v>6</v>
      </c>
      <c r="B7" s="26">
        <v>1</v>
      </c>
      <c r="C7" s="26" t="s">
        <v>44</v>
      </c>
      <c r="D7" s="26" t="s">
        <v>45</v>
      </c>
      <c r="E7" s="26">
        <v>0</v>
      </c>
      <c r="F7" s="26">
        <v>7</v>
      </c>
      <c r="G7" s="26">
        <v>1</v>
      </c>
      <c r="H7" s="26">
        <v>1</v>
      </c>
      <c r="I7" s="26">
        <v>0</v>
      </c>
      <c r="J7" s="27"/>
      <c r="K7" s="27"/>
      <c r="L7" s="27"/>
      <c r="M7" s="28">
        <v>0</v>
      </c>
      <c r="N7" s="27"/>
      <c r="O7" s="28">
        <v>0</v>
      </c>
      <c r="P7" s="27"/>
      <c r="Q7" s="28">
        <v>0</v>
      </c>
      <c r="R7" s="27"/>
      <c r="S7" s="28">
        <v>0</v>
      </c>
      <c r="T7" s="27"/>
      <c r="U7" s="28">
        <v>0</v>
      </c>
    </row>
    <row r="8" spans="1:21" s="29" customFormat="1" x14ac:dyDescent="0.45">
      <c r="A8" s="26">
        <v>7</v>
      </c>
      <c r="B8" s="26">
        <v>1</v>
      </c>
      <c r="C8" s="26" t="s">
        <v>45</v>
      </c>
      <c r="D8" s="26" t="s">
        <v>46</v>
      </c>
      <c r="E8" s="26">
        <v>0</v>
      </c>
      <c r="F8" s="26">
        <v>0</v>
      </c>
      <c r="G8" s="26">
        <v>0</v>
      </c>
      <c r="H8" s="26">
        <v>1</v>
      </c>
      <c r="I8" s="26">
        <v>24</v>
      </c>
      <c r="J8" s="27"/>
      <c r="K8" s="27"/>
      <c r="L8" s="27" t="s">
        <v>47</v>
      </c>
      <c r="M8" s="28">
        <v>1</v>
      </c>
      <c r="N8" s="27"/>
      <c r="O8" s="28">
        <v>0</v>
      </c>
      <c r="P8" s="27"/>
      <c r="Q8" s="28">
        <v>0</v>
      </c>
      <c r="R8" s="27"/>
      <c r="S8" s="28">
        <v>0</v>
      </c>
      <c r="T8" s="27"/>
      <c r="U8" s="28">
        <v>0</v>
      </c>
    </row>
    <row r="9" spans="1:21" s="29" customFormat="1" x14ac:dyDescent="0.45">
      <c r="A9" s="26">
        <v>8</v>
      </c>
      <c r="B9" s="26">
        <v>0</v>
      </c>
      <c r="C9" s="26" t="s">
        <v>38</v>
      </c>
      <c r="D9" s="26" t="s">
        <v>48</v>
      </c>
      <c r="E9" s="26">
        <v>0</v>
      </c>
      <c r="F9" s="26">
        <v>0</v>
      </c>
      <c r="G9" s="26">
        <v>0</v>
      </c>
      <c r="H9" s="26">
        <v>1</v>
      </c>
      <c r="I9" s="26">
        <v>24</v>
      </c>
      <c r="J9" s="27"/>
      <c r="K9" s="27"/>
      <c r="L9" s="27"/>
      <c r="M9" s="28"/>
      <c r="N9" s="27"/>
      <c r="O9" s="28"/>
      <c r="P9" s="27"/>
      <c r="Q9" s="28"/>
      <c r="R9" s="27"/>
      <c r="S9" s="28"/>
      <c r="T9" s="27"/>
      <c r="U9" s="28"/>
    </row>
    <row r="10" spans="1:21" s="29" customFormat="1" x14ac:dyDescent="0.45">
      <c r="A10" s="26">
        <v>9</v>
      </c>
      <c r="B10" s="26">
        <v>0</v>
      </c>
      <c r="C10" s="26" t="s">
        <v>38</v>
      </c>
      <c r="D10" s="26" t="s">
        <v>49</v>
      </c>
      <c r="E10" s="26">
        <v>0</v>
      </c>
      <c r="F10" s="26">
        <v>9</v>
      </c>
      <c r="G10" s="26">
        <v>0</v>
      </c>
      <c r="H10" s="26">
        <v>1</v>
      </c>
      <c r="I10" s="26">
        <v>24</v>
      </c>
      <c r="J10" s="27"/>
      <c r="K10" s="27"/>
      <c r="L10" s="27"/>
      <c r="M10" s="28"/>
      <c r="N10" s="27"/>
      <c r="O10" s="28"/>
      <c r="P10" s="27"/>
      <c r="Q10" s="28"/>
      <c r="R10" s="27"/>
      <c r="S10" s="28"/>
      <c r="T10" s="27"/>
      <c r="U10" s="28"/>
    </row>
    <row r="11" spans="1:21" s="29" customFormat="1" x14ac:dyDescent="0.45">
      <c r="A11" s="26">
        <v>10</v>
      </c>
      <c r="B11" s="26">
        <v>0</v>
      </c>
      <c r="C11" s="26" t="s">
        <v>38</v>
      </c>
      <c r="D11" s="26" t="s">
        <v>50</v>
      </c>
      <c r="E11" s="26">
        <v>0</v>
      </c>
      <c r="F11" s="26">
        <v>10</v>
      </c>
      <c r="G11" s="26">
        <v>0</v>
      </c>
      <c r="H11" s="26">
        <v>1</v>
      </c>
      <c r="I11" s="26">
        <v>24</v>
      </c>
      <c r="J11" s="27"/>
      <c r="K11" s="27"/>
      <c r="L11" s="27"/>
      <c r="M11" s="28"/>
      <c r="N11" s="27"/>
      <c r="O11" s="28"/>
      <c r="P11" s="27"/>
      <c r="Q11" s="28"/>
      <c r="R11" s="27"/>
      <c r="S11" s="28"/>
      <c r="T11" s="27"/>
      <c r="U11" s="28"/>
    </row>
    <row r="12" spans="1:21" s="29" customFormat="1" x14ac:dyDescent="0.45">
      <c r="A12" s="26">
        <v>11</v>
      </c>
      <c r="B12" s="26">
        <v>0</v>
      </c>
      <c r="C12" s="26" t="s">
        <v>51</v>
      </c>
      <c r="D12" s="26" t="s">
        <v>52</v>
      </c>
      <c r="E12" s="26">
        <v>0</v>
      </c>
      <c r="F12" s="26">
        <v>11</v>
      </c>
      <c r="G12" s="26">
        <v>0</v>
      </c>
      <c r="H12" s="26">
        <v>1</v>
      </c>
      <c r="I12" s="26">
        <v>24</v>
      </c>
      <c r="J12" s="27"/>
      <c r="K12" s="27"/>
      <c r="L12" s="27"/>
      <c r="M12" s="28">
        <v>0</v>
      </c>
      <c r="N12" s="27"/>
      <c r="O12" s="28">
        <v>0</v>
      </c>
      <c r="P12" s="27"/>
      <c r="Q12" s="28">
        <v>0</v>
      </c>
      <c r="R12" s="27"/>
      <c r="S12" s="28">
        <v>0</v>
      </c>
      <c r="T12" s="27"/>
      <c r="U12" s="28">
        <v>0</v>
      </c>
    </row>
    <row r="13" spans="1:21" x14ac:dyDescent="0.45">
      <c r="A13" s="13">
        <v>13</v>
      </c>
      <c r="B13" s="13">
        <v>1</v>
      </c>
      <c r="C13" s="13" t="s">
        <v>36</v>
      </c>
      <c r="D13" s="13" t="s">
        <v>53</v>
      </c>
      <c r="E13" s="13">
        <v>0</v>
      </c>
      <c r="F13" s="13">
        <v>14</v>
      </c>
      <c r="G13" s="13">
        <v>0</v>
      </c>
      <c r="H13" s="13">
        <v>1</v>
      </c>
      <c r="I13" s="13">
        <v>24</v>
      </c>
      <c r="J13" s="11">
        <v>71</v>
      </c>
      <c r="K13" s="11" t="s">
        <v>37</v>
      </c>
      <c r="L13" s="11" t="s">
        <v>47</v>
      </c>
      <c r="M13" s="12">
        <v>1</v>
      </c>
      <c r="N13" s="11"/>
      <c r="O13" s="12">
        <v>0</v>
      </c>
      <c r="P13" s="11"/>
      <c r="Q13" s="12">
        <v>0</v>
      </c>
      <c r="R13" s="11"/>
      <c r="S13" s="12">
        <v>0</v>
      </c>
      <c r="T13" s="11"/>
      <c r="U13" s="12">
        <v>0</v>
      </c>
    </row>
    <row r="14" spans="1:21" x14ac:dyDescent="0.45">
      <c r="A14" s="13">
        <v>14</v>
      </c>
      <c r="B14" s="13">
        <v>0</v>
      </c>
      <c r="C14" s="13" t="s">
        <v>38</v>
      </c>
      <c r="D14" s="13" t="s">
        <v>54</v>
      </c>
      <c r="E14" s="13">
        <v>0</v>
      </c>
      <c r="F14" s="13">
        <v>0</v>
      </c>
      <c r="G14" s="13">
        <v>0</v>
      </c>
      <c r="H14" s="13">
        <v>1</v>
      </c>
      <c r="I14" s="13">
        <v>15</v>
      </c>
      <c r="J14" s="11">
        <v>30</v>
      </c>
      <c r="K14" s="11" t="s">
        <v>37</v>
      </c>
      <c r="L14" s="11"/>
      <c r="M14" s="12">
        <v>0</v>
      </c>
      <c r="N14" s="11"/>
      <c r="O14" s="12">
        <v>0</v>
      </c>
      <c r="P14" s="11"/>
      <c r="Q14" s="12">
        <v>0</v>
      </c>
      <c r="R14" s="11"/>
      <c r="S14" s="12">
        <v>0</v>
      </c>
      <c r="T14" s="11"/>
      <c r="U14" s="12">
        <v>0</v>
      </c>
    </row>
    <row r="15" spans="1:21" x14ac:dyDescent="0.45">
      <c r="A15" s="13">
        <v>15</v>
      </c>
      <c r="B15" s="13">
        <v>1</v>
      </c>
      <c r="C15" s="13" t="s">
        <v>55</v>
      </c>
      <c r="D15" s="13" t="s">
        <v>56</v>
      </c>
      <c r="E15" s="13">
        <v>0</v>
      </c>
      <c r="F15" s="13">
        <v>16</v>
      </c>
      <c r="G15" s="13">
        <v>0</v>
      </c>
      <c r="H15" s="13">
        <v>1</v>
      </c>
      <c r="I15" s="13">
        <v>24</v>
      </c>
      <c r="J15" s="11">
        <v>71</v>
      </c>
      <c r="K15" s="11" t="s">
        <v>37</v>
      </c>
      <c r="L15" s="11" t="s">
        <v>57</v>
      </c>
      <c r="M15" s="12">
        <v>1</v>
      </c>
      <c r="N15" s="11"/>
      <c r="O15" s="12">
        <v>0</v>
      </c>
      <c r="P15" s="11"/>
      <c r="Q15" s="12">
        <v>0</v>
      </c>
      <c r="R15" s="11"/>
      <c r="S15" s="12">
        <v>0</v>
      </c>
      <c r="T15" s="11"/>
      <c r="U15" s="12">
        <v>0</v>
      </c>
    </row>
    <row r="16" spans="1:21" x14ac:dyDescent="0.45">
      <c r="A16" s="13">
        <v>16</v>
      </c>
      <c r="B16" s="13">
        <v>0</v>
      </c>
      <c r="C16" s="13" t="s">
        <v>38</v>
      </c>
      <c r="D16" s="13" t="s">
        <v>58</v>
      </c>
      <c r="E16" s="13">
        <v>0</v>
      </c>
      <c r="F16" s="13">
        <v>0</v>
      </c>
      <c r="G16" s="13">
        <v>0</v>
      </c>
      <c r="H16" s="13">
        <v>0</v>
      </c>
      <c r="I16" s="13">
        <v>15</v>
      </c>
      <c r="J16" s="11">
        <v>30</v>
      </c>
      <c r="K16" s="11" t="s">
        <v>37</v>
      </c>
      <c r="L16" s="11"/>
      <c r="M16" s="12">
        <v>0</v>
      </c>
      <c r="N16" s="11"/>
      <c r="O16" s="12">
        <v>0</v>
      </c>
      <c r="P16" s="11"/>
      <c r="Q16" s="12">
        <v>0</v>
      </c>
      <c r="R16" s="11"/>
      <c r="S16" s="12">
        <v>0</v>
      </c>
      <c r="T16" s="11"/>
      <c r="U16" s="12">
        <v>0</v>
      </c>
    </row>
    <row r="17" spans="1:21" s="29" customFormat="1" x14ac:dyDescent="0.45">
      <c r="A17" s="26">
        <v>17</v>
      </c>
      <c r="B17" s="26">
        <v>1</v>
      </c>
      <c r="C17" s="26" t="s">
        <v>36</v>
      </c>
      <c r="D17" s="26" t="s">
        <v>59</v>
      </c>
      <c r="E17" s="26">
        <v>0</v>
      </c>
      <c r="F17" s="26">
        <v>18</v>
      </c>
      <c r="G17" s="26">
        <v>1</v>
      </c>
      <c r="H17" s="26">
        <v>1</v>
      </c>
      <c r="I17" s="26">
        <v>30</v>
      </c>
      <c r="J17" s="27"/>
      <c r="K17" s="27"/>
      <c r="L17" s="27"/>
      <c r="M17" s="28">
        <v>0</v>
      </c>
      <c r="N17" s="27"/>
      <c r="O17" s="28">
        <v>0</v>
      </c>
      <c r="P17" s="27"/>
      <c r="Q17" s="28">
        <v>0</v>
      </c>
      <c r="R17" s="27"/>
      <c r="S17" s="28">
        <v>0</v>
      </c>
      <c r="T17" s="27"/>
      <c r="U17" s="28">
        <v>0</v>
      </c>
    </row>
    <row r="18" spans="1:21" s="29" customFormat="1" x14ac:dyDescent="0.45">
      <c r="A18" s="26">
        <v>18</v>
      </c>
      <c r="B18" s="26">
        <v>0</v>
      </c>
      <c r="C18" s="26" t="s">
        <v>38</v>
      </c>
      <c r="D18" s="26" t="s">
        <v>60</v>
      </c>
      <c r="E18" s="26">
        <v>0</v>
      </c>
      <c r="F18" s="26">
        <v>0</v>
      </c>
      <c r="G18" s="26">
        <v>1</v>
      </c>
      <c r="H18" s="26">
        <v>1</v>
      </c>
      <c r="I18" s="26">
        <v>30</v>
      </c>
      <c r="J18" s="27"/>
      <c r="K18" s="27"/>
      <c r="L18" s="27"/>
      <c r="M18" s="28">
        <v>0</v>
      </c>
      <c r="N18" s="27"/>
      <c r="O18" s="28">
        <v>0</v>
      </c>
      <c r="P18" s="27"/>
      <c r="Q18" s="28">
        <v>0</v>
      </c>
      <c r="R18" s="27"/>
      <c r="S18" s="28">
        <v>0</v>
      </c>
      <c r="T18" s="27"/>
      <c r="U18" s="28">
        <v>0</v>
      </c>
    </row>
    <row r="19" spans="1:21" s="29" customFormat="1" x14ac:dyDescent="0.45">
      <c r="A19" s="26">
        <v>19</v>
      </c>
      <c r="B19" s="26">
        <v>1</v>
      </c>
      <c r="C19" s="26" t="s">
        <v>36</v>
      </c>
      <c r="D19" s="26" t="s">
        <v>61</v>
      </c>
      <c r="E19" s="26">
        <v>0</v>
      </c>
      <c r="F19" s="26">
        <v>0</v>
      </c>
      <c r="G19" s="26">
        <v>0</v>
      </c>
      <c r="H19" s="26">
        <v>1</v>
      </c>
      <c r="I19" s="26">
        <v>30</v>
      </c>
      <c r="J19" s="27"/>
      <c r="K19" s="27"/>
      <c r="L19" s="27"/>
      <c r="M19" s="28">
        <v>0</v>
      </c>
      <c r="N19" s="27"/>
      <c r="O19" s="28">
        <v>0</v>
      </c>
      <c r="P19" s="27"/>
      <c r="Q19" s="28">
        <v>0</v>
      </c>
      <c r="R19" s="27"/>
      <c r="S19" s="28"/>
      <c r="T19" s="27"/>
      <c r="U19" s="28"/>
    </row>
    <row r="20" spans="1:21" s="29" customFormat="1" x14ac:dyDescent="0.45">
      <c r="A20" s="26">
        <v>20</v>
      </c>
      <c r="B20" s="26">
        <v>0</v>
      </c>
      <c r="C20" s="26" t="s">
        <v>38</v>
      </c>
      <c r="D20" s="26" t="s">
        <v>62</v>
      </c>
      <c r="E20" s="26">
        <v>0</v>
      </c>
      <c r="F20" s="26">
        <v>20</v>
      </c>
      <c r="G20" s="26">
        <v>0</v>
      </c>
      <c r="H20" s="26">
        <v>1</v>
      </c>
      <c r="I20" s="26">
        <v>30</v>
      </c>
      <c r="J20" s="27"/>
      <c r="K20" s="27"/>
      <c r="L20" s="27"/>
      <c r="M20" s="28"/>
      <c r="N20" s="27"/>
      <c r="O20" s="28"/>
      <c r="P20" s="27"/>
      <c r="Q20" s="28"/>
      <c r="R20" s="27"/>
      <c r="S20" s="28"/>
      <c r="T20" s="27"/>
      <c r="U20" s="28"/>
    </row>
    <row r="21" spans="1:21" s="29" customFormat="1" x14ac:dyDescent="0.45">
      <c r="A21" s="26">
        <v>21</v>
      </c>
      <c r="B21" s="26">
        <v>0</v>
      </c>
      <c r="C21" s="26" t="s">
        <v>38</v>
      </c>
      <c r="D21" s="26" t="s">
        <v>63</v>
      </c>
      <c r="E21" s="26">
        <v>0</v>
      </c>
      <c r="F21" s="26">
        <v>21</v>
      </c>
      <c r="G21" s="26">
        <v>0</v>
      </c>
      <c r="H21" s="26">
        <v>1</v>
      </c>
      <c r="I21" s="26">
        <v>30</v>
      </c>
      <c r="J21" s="27"/>
      <c r="K21" s="27"/>
      <c r="L21" s="27"/>
      <c r="M21" s="28"/>
      <c r="N21" s="27"/>
      <c r="O21" s="28"/>
      <c r="P21" s="27"/>
      <c r="Q21" s="28"/>
      <c r="R21" s="27"/>
      <c r="S21" s="28"/>
      <c r="T21" s="27"/>
      <c r="U21" s="28"/>
    </row>
    <row r="22" spans="1:21" x14ac:dyDescent="0.45">
      <c r="A22" s="13">
        <v>22</v>
      </c>
      <c r="B22" s="13">
        <v>1</v>
      </c>
      <c r="C22" s="13" t="s">
        <v>64</v>
      </c>
      <c r="D22" s="13" t="s">
        <v>65</v>
      </c>
      <c r="E22" s="13">
        <v>0</v>
      </c>
      <c r="F22" s="13">
        <v>23</v>
      </c>
      <c r="G22" s="13">
        <v>1</v>
      </c>
      <c r="H22" s="13">
        <v>2</v>
      </c>
      <c r="I22" s="13">
        <v>0</v>
      </c>
      <c r="J22" s="11"/>
      <c r="K22" s="11" t="s">
        <v>66</v>
      </c>
      <c r="L22" s="11" t="s">
        <v>65</v>
      </c>
      <c r="M22" s="12">
        <v>0</v>
      </c>
      <c r="N22" s="11" t="s">
        <v>67</v>
      </c>
      <c r="O22" s="12">
        <v>0</v>
      </c>
      <c r="P22" s="11"/>
      <c r="Q22" s="12">
        <v>0</v>
      </c>
      <c r="R22" s="11"/>
      <c r="S22" s="12">
        <v>0</v>
      </c>
      <c r="T22" s="11"/>
      <c r="U22" s="12">
        <v>0</v>
      </c>
    </row>
    <row r="23" spans="1:21" x14ac:dyDescent="0.45">
      <c r="A23" s="13">
        <v>23</v>
      </c>
      <c r="B23" s="13">
        <v>1</v>
      </c>
      <c r="C23" s="13" t="s">
        <v>68</v>
      </c>
      <c r="D23" s="13" t="s">
        <v>68</v>
      </c>
      <c r="E23" s="13">
        <v>0</v>
      </c>
      <c r="F23" s="13">
        <v>0</v>
      </c>
      <c r="G23" s="13">
        <v>1</v>
      </c>
      <c r="H23" s="13">
        <v>0</v>
      </c>
      <c r="I23" s="13">
        <v>0</v>
      </c>
      <c r="J23" s="11"/>
      <c r="K23" s="11" t="s">
        <v>66</v>
      </c>
      <c r="L23" s="11"/>
      <c r="M23" s="12">
        <v>0</v>
      </c>
      <c r="N23" s="11"/>
      <c r="O23" s="12">
        <v>0</v>
      </c>
      <c r="P23" s="11"/>
      <c r="Q23" s="12">
        <v>0</v>
      </c>
      <c r="R23" s="11"/>
      <c r="S23" s="12">
        <v>0</v>
      </c>
      <c r="T23" s="11"/>
      <c r="U23" s="12">
        <v>0</v>
      </c>
    </row>
    <row r="24" spans="1:21" x14ac:dyDescent="0.45">
      <c r="A24" s="13">
        <v>24</v>
      </c>
      <c r="B24" s="13">
        <v>1</v>
      </c>
      <c r="C24" s="13" t="s">
        <v>36</v>
      </c>
      <c r="D24" s="13" t="s">
        <v>59</v>
      </c>
      <c r="E24" s="13">
        <v>0</v>
      </c>
      <c r="F24" s="13">
        <v>25</v>
      </c>
      <c r="G24" s="13">
        <v>1</v>
      </c>
      <c r="H24" s="13">
        <v>1</v>
      </c>
      <c r="I24" s="13">
        <v>30</v>
      </c>
      <c r="J24" s="11">
        <v>76</v>
      </c>
      <c r="K24" s="11" t="s">
        <v>37</v>
      </c>
      <c r="L24" s="11"/>
      <c r="M24" s="12">
        <v>0</v>
      </c>
      <c r="N24" s="11"/>
      <c r="O24" s="12">
        <v>0</v>
      </c>
      <c r="P24" s="11"/>
      <c r="Q24" s="12">
        <v>0</v>
      </c>
      <c r="R24" s="11"/>
      <c r="S24" s="12">
        <v>0</v>
      </c>
      <c r="T24" s="11"/>
      <c r="U24" s="12">
        <v>0</v>
      </c>
    </row>
    <row r="25" spans="1:21" x14ac:dyDescent="0.45">
      <c r="A25" s="13">
        <v>25</v>
      </c>
      <c r="B25" s="13">
        <v>1</v>
      </c>
      <c r="C25" s="13" t="s">
        <v>38</v>
      </c>
      <c r="D25" s="13" t="s">
        <v>59</v>
      </c>
      <c r="E25" s="13">
        <v>0</v>
      </c>
      <c r="F25" s="13">
        <v>25</v>
      </c>
      <c r="G25" s="13">
        <v>1</v>
      </c>
      <c r="H25" s="13">
        <v>1</v>
      </c>
      <c r="I25" s="13">
        <v>30</v>
      </c>
      <c r="J25" s="11">
        <v>76</v>
      </c>
      <c r="K25" s="11" t="s">
        <v>37</v>
      </c>
      <c r="L25" s="11"/>
      <c r="M25" s="12">
        <v>0</v>
      </c>
      <c r="N25" s="11"/>
      <c r="O25" s="12">
        <v>0</v>
      </c>
      <c r="P25" s="11"/>
      <c r="Q25" s="12">
        <v>0</v>
      </c>
      <c r="R25" s="11"/>
      <c r="S25" s="12">
        <v>0</v>
      </c>
      <c r="T25" s="11"/>
      <c r="U25" s="12">
        <v>0</v>
      </c>
    </row>
    <row r="26" spans="1:21" x14ac:dyDescent="0.45">
      <c r="A26" s="13">
        <v>26</v>
      </c>
      <c r="B26" s="13">
        <v>1</v>
      </c>
      <c r="C26" s="13" t="s">
        <v>69</v>
      </c>
      <c r="D26" s="13" t="s">
        <v>69</v>
      </c>
      <c r="E26" s="13">
        <v>0</v>
      </c>
      <c r="F26" s="13">
        <v>0</v>
      </c>
      <c r="G26" s="13">
        <v>1</v>
      </c>
      <c r="H26" s="13">
        <v>0</v>
      </c>
      <c r="I26" s="13">
        <v>0</v>
      </c>
      <c r="J26" s="11"/>
      <c r="K26" s="11" t="s">
        <v>66</v>
      </c>
      <c r="L26" s="11"/>
      <c r="M26" s="12">
        <v>0</v>
      </c>
      <c r="N26" s="11"/>
      <c r="O26" s="12">
        <v>0</v>
      </c>
      <c r="P26" s="11"/>
      <c r="Q26" s="12">
        <v>0</v>
      </c>
      <c r="R26" s="11"/>
      <c r="S26" s="12">
        <v>0</v>
      </c>
      <c r="T26" s="11"/>
      <c r="U26" s="12">
        <v>0</v>
      </c>
    </row>
    <row r="27" spans="1:21" x14ac:dyDescent="0.45">
      <c r="A27" s="13">
        <v>27</v>
      </c>
      <c r="B27" s="13">
        <v>1</v>
      </c>
      <c r="C27" s="13" t="s">
        <v>70</v>
      </c>
      <c r="D27" s="13" t="s">
        <v>71</v>
      </c>
      <c r="E27" s="13">
        <v>0</v>
      </c>
      <c r="F27" s="13">
        <v>0</v>
      </c>
      <c r="G27" s="13">
        <v>1</v>
      </c>
      <c r="H27" s="13">
        <v>0</v>
      </c>
      <c r="I27" s="13">
        <v>0</v>
      </c>
      <c r="J27" s="11"/>
      <c r="K27" s="11" t="s">
        <v>66</v>
      </c>
      <c r="L27" s="11"/>
      <c r="M27" s="12">
        <v>0</v>
      </c>
      <c r="N27" s="11"/>
      <c r="O27" s="12">
        <v>0</v>
      </c>
      <c r="P27" s="11"/>
      <c r="Q27" s="12">
        <v>0</v>
      </c>
      <c r="R27" s="11"/>
      <c r="S27" s="12">
        <v>0</v>
      </c>
      <c r="T27" s="11"/>
      <c r="U27" s="12">
        <v>0</v>
      </c>
    </row>
    <row r="28" spans="1:21" x14ac:dyDescent="0.45">
      <c r="A28" s="13">
        <v>28</v>
      </c>
      <c r="B28" s="13">
        <v>0</v>
      </c>
      <c r="C28" s="13" t="s">
        <v>72</v>
      </c>
      <c r="D28" s="13" t="s">
        <v>72</v>
      </c>
      <c r="E28" s="13">
        <v>0</v>
      </c>
      <c r="F28" s="13">
        <v>0</v>
      </c>
      <c r="G28" s="13">
        <v>1</v>
      </c>
      <c r="H28" s="13">
        <v>0</v>
      </c>
      <c r="I28" s="13">
        <v>0</v>
      </c>
      <c r="J28" s="11"/>
      <c r="K28" s="11" t="s">
        <v>66</v>
      </c>
      <c r="L28" s="11"/>
      <c r="M28" s="12">
        <v>0</v>
      </c>
      <c r="N28" s="11"/>
      <c r="O28" s="12">
        <v>0</v>
      </c>
      <c r="P28" s="11"/>
      <c r="Q28" s="12">
        <v>0</v>
      </c>
      <c r="R28" s="11"/>
      <c r="S28" s="12">
        <v>0</v>
      </c>
      <c r="T28" s="11"/>
      <c r="U28" s="12">
        <v>0</v>
      </c>
    </row>
    <row r="29" spans="1:21" x14ac:dyDescent="0.45">
      <c r="A29" s="13">
        <v>29</v>
      </c>
      <c r="B29" s="13">
        <v>0</v>
      </c>
      <c r="C29" s="13" t="s">
        <v>73</v>
      </c>
      <c r="D29" s="13" t="s">
        <v>73</v>
      </c>
      <c r="E29" s="13">
        <v>0</v>
      </c>
      <c r="F29" s="13">
        <v>0</v>
      </c>
      <c r="G29" s="13">
        <v>1</v>
      </c>
      <c r="H29" s="13">
        <v>0</v>
      </c>
      <c r="I29" s="13">
        <v>0</v>
      </c>
      <c r="J29" s="11"/>
      <c r="K29" s="11" t="s">
        <v>66</v>
      </c>
      <c r="L29" s="11"/>
      <c r="M29" s="12">
        <v>0</v>
      </c>
      <c r="N29" s="11"/>
      <c r="O29" s="12">
        <v>0</v>
      </c>
      <c r="P29" s="11"/>
      <c r="Q29" s="12">
        <v>0</v>
      </c>
      <c r="R29" s="11"/>
      <c r="S29" s="12">
        <v>0</v>
      </c>
      <c r="T29" s="11"/>
      <c r="U29" s="12">
        <v>0</v>
      </c>
    </row>
    <row r="30" spans="1:21" x14ac:dyDescent="0.45">
      <c r="A30" s="13">
        <v>30</v>
      </c>
      <c r="B30" s="13">
        <v>0</v>
      </c>
      <c r="C30" s="13" t="s">
        <v>74</v>
      </c>
      <c r="D30" s="13" t="s">
        <v>74</v>
      </c>
      <c r="E30" s="13">
        <v>0</v>
      </c>
      <c r="F30" s="13">
        <v>31</v>
      </c>
      <c r="G30" s="13">
        <v>1</v>
      </c>
      <c r="H30" s="13">
        <v>0</v>
      </c>
      <c r="I30" s="13">
        <v>0</v>
      </c>
      <c r="J30" s="11"/>
      <c r="K30" s="11" t="s">
        <v>66</v>
      </c>
      <c r="L30" s="11"/>
      <c r="M30" s="12">
        <v>0</v>
      </c>
      <c r="N30" s="11"/>
      <c r="O30" s="12">
        <v>0</v>
      </c>
      <c r="P30" s="11"/>
      <c r="Q30" s="12">
        <v>0</v>
      </c>
      <c r="R30" s="11"/>
      <c r="S30" s="12">
        <v>0</v>
      </c>
      <c r="T30" s="11"/>
      <c r="U30" s="12">
        <v>0</v>
      </c>
    </row>
    <row r="31" spans="1:21" x14ac:dyDescent="0.45">
      <c r="A31" s="13">
        <v>31</v>
      </c>
      <c r="B31" s="13">
        <v>0</v>
      </c>
      <c r="C31" s="13" t="s">
        <v>75</v>
      </c>
      <c r="D31" s="13" t="s">
        <v>75</v>
      </c>
      <c r="E31" s="13">
        <v>0</v>
      </c>
      <c r="F31" s="13">
        <v>0</v>
      </c>
      <c r="G31" s="13">
        <v>1</v>
      </c>
      <c r="H31" s="13">
        <v>0</v>
      </c>
      <c r="I31" s="13">
        <v>0</v>
      </c>
      <c r="J31" s="11"/>
      <c r="K31" s="11" t="s">
        <v>66</v>
      </c>
      <c r="L31" s="11"/>
      <c r="M31" s="12">
        <v>0</v>
      </c>
      <c r="N31" s="11"/>
      <c r="O31" s="12">
        <v>0</v>
      </c>
      <c r="P31" s="11"/>
      <c r="Q31" s="12">
        <v>0</v>
      </c>
      <c r="R31" s="11"/>
      <c r="S31" s="12">
        <v>0</v>
      </c>
      <c r="T31" s="11"/>
      <c r="U31" s="12">
        <v>0</v>
      </c>
    </row>
    <row r="32" spans="1:21" x14ac:dyDescent="0.45">
      <c r="A32" s="13">
        <v>33</v>
      </c>
      <c r="B32" s="13">
        <v>1</v>
      </c>
      <c r="C32" s="13" t="s">
        <v>76</v>
      </c>
      <c r="D32" s="13" t="s">
        <v>575</v>
      </c>
      <c r="E32" s="13">
        <v>0</v>
      </c>
      <c r="F32" s="13">
        <v>34</v>
      </c>
      <c r="G32" s="13">
        <v>1</v>
      </c>
      <c r="H32" s="13">
        <v>1</v>
      </c>
      <c r="I32" s="13">
        <v>24</v>
      </c>
      <c r="J32" s="11">
        <v>88</v>
      </c>
      <c r="K32" s="11" t="s">
        <v>37</v>
      </c>
      <c r="L32" s="11"/>
      <c r="M32" s="12">
        <v>0</v>
      </c>
      <c r="N32" s="11"/>
      <c r="O32" s="12">
        <v>0</v>
      </c>
      <c r="P32" s="11"/>
      <c r="Q32" s="12">
        <v>0</v>
      </c>
      <c r="R32" s="11"/>
      <c r="S32" s="12">
        <v>0</v>
      </c>
      <c r="T32" s="11"/>
      <c r="U32" s="12">
        <v>0</v>
      </c>
    </row>
    <row r="33" spans="1:21" x14ac:dyDescent="0.45">
      <c r="A33" s="13">
        <v>34</v>
      </c>
      <c r="B33" s="13">
        <v>0</v>
      </c>
      <c r="C33" s="13" t="s">
        <v>77</v>
      </c>
      <c r="D33" s="13" t="s">
        <v>78</v>
      </c>
      <c r="E33" s="13">
        <v>0</v>
      </c>
      <c r="F33" s="13">
        <v>0</v>
      </c>
      <c r="G33" s="13">
        <v>1</v>
      </c>
      <c r="H33" s="13">
        <v>1</v>
      </c>
      <c r="I33" s="13">
        <v>15</v>
      </c>
      <c r="J33" s="11">
        <v>30</v>
      </c>
      <c r="K33" s="11" t="s">
        <v>37</v>
      </c>
      <c r="L33" s="11"/>
      <c r="M33" s="12"/>
      <c r="N33" s="11"/>
      <c r="O33" s="12"/>
      <c r="P33" s="11"/>
      <c r="Q33" s="12"/>
      <c r="R33" s="11"/>
      <c r="S33" s="12"/>
      <c r="T33" s="11"/>
      <c r="U33" s="12"/>
    </row>
    <row r="34" spans="1:21" x14ac:dyDescent="0.45">
      <c r="A34" s="13">
        <v>35</v>
      </c>
      <c r="B34" s="13">
        <v>1</v>
      </c>
      <c r="C34" s="13" t="s">
        <v>76</v>
      </c>
      <c r="D34" s="13" t="s">
        <v>79</v>
      </c>
      <c r="E34" s="13">
        <v>0</v>
      </c>
      <c r="F34" s="13">
        <v>36</v>
      </c>
      <c r="G34" s="13">
        <v>1</v>
      </c>
      <c r="H34" s="13">
        <v>1</v>
      </c>
      <c r="I34" s="13">
        <v>24</v>
      </c>
      <c r="J34" s="11">
        <v>71</v>
      </c>
      <c r="K34" s="11" t="s">
        <v>37</v>
      </c>
      <c r="L34" s="11"/>
      <c r="M34" s="12">
        <v>0</v>
      </c>
      <c r="N34" s="11"/>
      <c r="O34" s="12">
        <v>0</v>
      </c>
      <c r="P34" s="11"/>
      <c r="Q34" s="12">
        <v>0</v>
      </c>
      <c r="R34" s="11"/>
      <c r="S34" s="12">
        <v>0</v>
      </c>
      <c r="T34" s="11"/>
      <c r="U34" s="12">
        <v>0</v>
      </c>
    </row>
    <row r="35" spans="1:21" x14ac:dyDescent="0.45">
      <c r="A35" s="13">
        <v>36</v>
      </c>
      <c r="B35" s="13">
        <v>0</v>
      </c>
      <c r="C35" s="13" t="s">
        <v>77</v>
      </c>
      <c r="D35" s="13" t="s">
        <v>80</v>
      </c>
      <c r="E35" s="13">
        <v>0</v>
      </c>
      <c r="F35" s="13">
        <v>0</v>
      </c>
      <c r="G35" s="13">
        <v>1</v>
      </c>
      <c r="H35" s="13">
        <v>1</v>
      </c>
      <c r="I35" s="13">
        <v>15</v>
      </c>
      <c r="J35" s="11">
        <v>30</v>
      </c>
      <c r="K35" s="11" t="s">
        <v>37</v>
      </c>
      <c r="L35" s="11"/>
      <c r="M35" s="12">
        <v>0</v>
      </c>
      <c r="N35" s="11"/>
      <c r="O35" s="12">
        <v>0</v>
      </c>
      <c r="P35" s="11"/>
      <c r="Q35" s="12">
        <v>0</v>
      </c>
      <c r="R35" s="11"/>
      <c r="S35" s="12">
        <v>0</v>
      </c>
      <c r="T35" s="11"/>
      <c r="U35" s="12">
        <v>0</v>
      </c>
    </row>
    <row r="36" spans="1:21" x14ac:dyDescent="0.45">
      <c r="A36" s="13">
        <v>37</v>
      </c>
      <c r="B36" s="13">
        <v>1</v>
      </c>
      <c r="C36" s="13" t="s">
        <v>81</v>
      </c>
      <c r="D36" s="13" t="s">
        <v>82</v>
      </c>
      <c r="E36" s="13">
        <v>0</v>
      </c>
      <c r="F36" s="13">
        <v>38</v>
      </c>
      <c r="G36" s="13">
        <v>1</v>
      </c>
      <c r="H36" s="13">
        <v>1</v>
      </c>
      <c r="I36" s="13">
        <v>69</v>
      </c>
      <c r="J36" s="11"/>
      <c r="K36" s="11" t="s">
        <v>37</v>
      </c>
      <c r="L36" s="11" t="s">
        <v>67</v>
      </c>
      <c r="M36" s="12">
        <v>0</v>
      </c>
      <c r="N36" s="11"/>
      <c r="O36" s="12">
        <v>0</v>
      </c>
      <c r="P36" s="11"/>
      <c r="Q36" s="12">
        <v>0</v>
      </c>
      <c r="R36" s="11"/>
      <c r="S36" s="12">
        <v>0</v>
      </c>
      <c r="T36" s="11"/>
      <c r="U36" s="12">
        <v>0</v>
      </c>
    </row>
    <row r="37" spans="1:21" x14ac:dyDescent="0.45">
      <c r="A37" s="13">
        <v>38</v>
      </c>
      <c r="B37" s="13">
        <v>0</v>
      </c>
      <c r="C37" s="13" t="s">
        <v>83</v>
      </c>
      <c r="D37" s="13" t="s">
        <v>84</v>
      </c>
      <c r="E37" s="13">
        <v>0</v>
      </c>
      <c r="F37" s="13">
        <v>0</v>
      </c>
      <c r="G37" s="13">
        <v>1</v>
      </c>
      <c r="H37" s="13">
        <v>1</v>
      </c>
      <c r="I37" s="13">
        <v>69</v>
      </c>
      <c r="J37" s="11"/>
      <c r="K37" s="11" t="s">
        <v>37</v>
      </c>
      <c r="L37" s="11"/>
      <c r="M37" s="12"/>
      <c r="N37" s="11"/>
      <c r="O37" s="12"/>
      <c r="P37" s="11"/>
      <c r="Q37" s="12"/>
      <c r="R37" s="11"/>
      <c r="S37" s="12"/>
      <c r="T37" s="11"/>
      <c r="U37" s="12"/>
    </row>
    <row r="38" spans="1:21" x14ac:dyDescent="0.45">
      <c r="A38" s="13">
        <v>39</v>
      </c>
      <c r="B38" s="13">
        <v>1</v>
      </c>
      <c r="C38" s="13" t="s">
        <v>85</v>
      </c>
      <c r="D38" s="13" t="s">
        <v>86</v>
      </c>
      <c r="E38" s="13">
        <v>0</v>
      </c>
      <c r="F38" s="13">
        <v>40</v>
      </c>
      <c r="G38" s="13">
        <v>1</v>
      </c>
      <c r="H38" s="13">
        <v>1</v>
      </c>
      <c r="I38" s="13">
        <v>18</v>
      </c>
      <c r="J38" s="11">
        <v>65</v>
      </c>
      <c r="K38" s="11" t="s">
        <v>37</v>
      </c>
      <c r="L38" s="11" t="s">
        <v>87</v>
      </c>
      <c r="M38" s="12">
        <v>0</v>
      </c>
      <c r="N38" s="11"/>
      <c r="O38" s="12">
        <v>0</v>
      </c>
      <c r="P38" s="11"/>
      <c r="Q38" s="12">
        <v>0</v>
      </c>
      <c r="R38" s="11"/>
      <c r="S38" s="12">
        <v>0</v>
      </c>
      <c r="T38" s="11"/>
      <c r="U38" s="12">
        <v>0</v>
      </c>
    </row>
    <row r="39" spans="1:21" x14ac:dyDescent="0.45">
      <c r="A39" s="13">
        <v>40</v>
      </c>
      <c r="B39" s="13">
        <v>0</v>
      </c>
      <c r="C39" s="13" t="s">
        <v>88</v>
      </c>
      <c r="D39" s="13" t="s">
        <v>88</v>
      </c>
      <c r="E39" s="13">
        <v>0</v>
      </c>
      <c r="F39" s="13">
        <v>0</v>
      </c>
      <c r="G39" s="13">
        <v>1</v>
      </c>
      <c r="H39" s="13">
        <v>1</v>
      </c>
      <c r="I39" s="13">
        <v>12</v>
      </c>
      <c r="J39" s="11"/>
      <c r="K39" s="11" t="s">
        <v>37</v>
      </c>
      <c r="L39" s="11"/>
      <c r="M39" s="12"/>
      <c r="N39" s="11"/>
      <c r="O39" s="12"/>
      <c r="P39" s="11"/>
      <c r="Q39" s="12"/>
      <c r="R39" s="11"/>
      <c r="S39" s="12"/>
      <c r="T39" s="11"/>
      <c r="U39" s="12"/>
    </row>
    <row r="40" spans="1:21" x14ac:dyDescent="0.45">
      <c r="A40" s="13">
        <v>41</v>
      </c>
      <c r="B40" s="13">
        <v>1</v>
      </c>
      <c r="C40" s="13" t="s">
        <v>89</v>
      </c>
      <c r="D40" s="13" t="s">
        <v>90</v>
      </c>
      <c r="E40" s="13">
        <v>0</v>
      </c>
      <c r="F40" s="13">
        <v>42</v>
      </c>
      <c r="G40" s="13">
        <v>1</v>
      </c>
      <c r="H40" s="13">
        <v>1</v>
      </c>
      <c r="I40" s="13">
        <v>24</v>
      </c>
      <c r="J40" s="11"/>
      <c r="K40" s="11" t="s">
        <v>37</v>
      </c>
      <c r="L40" s="11"/>
      <c r="M40" s="12">
        <v>0</v>
      </c>
      <c r="N40" s="11"/>
      <c r="O40" s="12">
        <v>0</v>
      </c>
      <c r="P40" s="11"/>
      <c r="Q40" s="12">
        <v>0</v>
      </c>
      <c r="R40" s="11"/>
      <c r="S40" s="12">
        <v>0</v>
      </c>
      <c r="T40" s="11"/>
      <c r="U40" s="12">
        <v>0</v>
      </c>
    </row>
    <row r="41" spans="1:21" x14ac:dyDescent="0.45">
      <c r="A41" s="13">
        <v>42</v>
      </c>
      <c r="B41" s="13">
        <v>0</v>
      </c>
      <c r="C41" s="13" t="s">
        <v>91</v>
      </c>
      <c r="D41" s="13" t="s">
        <v>91</v>
      </c>
      <c r="E41" s="13">
        <v>0</v>
      </c>
      <c r="F41" s="13">
        <v>0</v>
      </c>
      <c r="G41" s="13">
        <v>1</v>
      </c>
      <c r="H41" s="13">
        <v>1</v>
      </c>
      <c r="I41" s="13">
        <v>24</v>
      </c>
      <c r="J41" s="11"/>
      <c r="K41" s="11" t="s">
        <v>37</v>
      </c>
      <c r="L41" s="11"/>
      <c r="M41" s="12"/>
      <c r="N41" s="11"/>
      <c r="O41" s="12"/>
      <c r="P41" s="11"/>
      <c r="Q41" s="12"/>
      <c r="R41" s="11"/>
      <c r="S41" s="12"/>
      <c r="T41" s="11"/>
      <c r="U41" s="12"/>
    </row>
    <row r="42" spans="1:21" x14ac:dyDescent="0.45">
      <c r="A42" s="13">
        <v>43</v>
      </c>
      <c r="B42" s="13">
        <v>1</v>
      </c>
      <c r="C42" s="13" t="s">
        <v>92</v>
      </c>
      <c r="D42" s="13" t="s">
        <v>93</v>
      </c>
      <c r="E42" s="13">
        <v>0</v>
      </c>
      <c r="F42" s="13">
        <v>44</v>
      </c>
      <c r="G42" s="13">
        <v>1</v>
      </c>
      <c r="H42" s="13">
        <v>1</v>
      </c>
      <c r="I42" s="13">
        <v>24</v>
      </c>
      <c r="J42" s="11"/>
      <c r="K42" s="11" t="s">
        <v>37</v>
      </c>
      <c r="L42" s="11"/>
      <c r="M42" s="12">
        <v>0</v>
      </c>
      <c r="N42" s="11"/>
      <c r="O42" s="12">
        <v>0</v>
      </c>
      <c r="P42" s="11"/>
      <c r="Q42" s="12">
        <v>0</v>
      </c>
      <c r="R42" s="11"/>
      <c r="S42" s="12">
        <v>0</v>
      </c>
      <c r="T42" s="11"/>
      <c r="U42" s="12">
        <v>0</v>
      </c>
    </row>
    <row r="43" spans="1:21" x14ac:dyDescent="0.45">
      <c r="A43" s="13">
        <v>44</v>
      </c>
      <c r="B43" s="13">
        <v>0</v>
      </c>
      <c r="C43" s="13" t="s">
        <v>94</v>
      </c>
      <c r="D43" s="13" t="s">
        <v>94</v>
      </c>
      <c r="E43" s="13">
        <v>0</v>
      </c>
      <c r="F43" s="13">
        <v>0</v>
      </c>
      <c r="G43" s="13">
        <v>1</v>
      </c>
      <c r="H43" s="13">
        <v>1</v>
      </c>
      <c r="I43" s="13">
        <v>24</v>
      </c>
      <c r="J43" s="11"/>
      <c r="K43" s="11" t="s">
        <v>37</v>
      </c>
      <c r="L43" s="11"/>
      <c r="M43" s="12"/>
      <c r="N43" s="11"/>
      <c r="O43" s="12"/>
      <c r="P43" s="11"/>
      <c r="Q43" s="12"/>
      <c r="R43" s="11"/>
      <c r="S43" s="12"/>
      <c r="T43" s="11"/>
      <c r="U43" s="12"/>
    </row>
    <row r="44" spans="1:21" x14ac:dyDescent="0.45">
      <c r="A44" s="13">
        <v>45</v>
      </c>
      <c r="B44" s="13">
        <v>1</v>
      </c>
      <c r="C44" s="13" t="s">
        <v>95</v>
      </c>
      <c r="D44" s="13" t="s">
        <v>96</v>
      </c>
      <c r="E44" s="13">
        <v>0</v>
      </c>
      <c r="F44" s="13">
        <v>46</v>
      </c>
      <c r="G44" s="13">
        <v>1</v>
      </c>
      <c r="H44" s="13">
        <v>1</v>
      </c>
      <c r="I44" s="13">
        <v>18</v>
      </c>
      <c r="J44" s="11"/>
      <c r="K44" s="11" t="s">
        <v>37</v>
      </c>
      <c r="L44" s="11"/>
      <c r="M44" s="12">
        <v>0</v>
      </c>
      <c r="N44" s="11"/>
      <c r="O44" s="12">
        <v>0</v>
      </c>
      <c r="P44" s="11"/>
      <c r="Q44" s="12">
        <v>0</v>
      </c>
      <c r="R44" s="11"/>
      <c r="S44" s="12">
        <v>0</v>
      </c>
      <c r="T44" s="11"/>
      <c r="U44" s="12">
        <v>0</v>
      </c>
    </row>
    <row r="45" spans="1:21" x14ac:dyDescent="0.45">
      <c r="A45" s="13">
        <v>46</v>
      </c>
      <c r="B45" s="13">
        <v>0</v>
      </c>
      <c r="C45" s="13" t="s">
        <v>97</v>
      </c>
      <c r="D45" s="13" t="s">
        <v>97</v>
      </c>
      <c r="E45" s="13">
        <v>0</v>
      </c>
      <c r="F45" s="13">
        <v>0</v>
      </c>
      <c r="G45" s="13">
        <v>1</v>
      </c>
      <c r="H45" s="13">
        <v>1</v>
      </c>
      <c r="I45" s="13">
        <v>18</v>
      </c>
      <c r="J45" s="11"/>
      <c r="K45" s="11" t="s">
        <v>37</v>
      </c>
      <c r="L45" s="11"/>
      <c r="M45" s="12"/>
      <c r="N45" s="11"/>
      <c r="O45" s="12"/>
      <c r="P45" s="11"/>
      <c r="Q45" s="12"/>
      <c r="R45" s="11"/>
      <c r="S45" s="12"/>
      <c r="T45" s="11"/>
      <c r="U45" s="12"/>
    </row>
    <row r="46" spans="1:21" s="29" customFormat="1" x14ac:dyDescent="0.45">
      <c r="A46" s="26">
        <v>47</v>
      </c>
      <c r="B46" s="26">
        <v>1</v>
      </c>
      <c r="C46" s="26" t="s">
        <v>98</v>
      </c>
      <c r="D46" s="26" t="s">
        <v>99</v>
      </c>
      <c r="E46" s="26">
        <v>0</v>
      </c>
      <c r="F46" s="26">
        <v>48</v>
      </c>
      <c r="G46" s="26">
        <v>1</v>
      </c>
      <c r="H46" s="26">
        <v>1</v>
      </c>
      <c r="I46" s="26">
        <v>18</v>
      </c>
      <c r="J46" s="27"/>
      <c r="K46" s="27"/>
      <c r="L46" s="27"/>
      <c r="M46" s="28">
        <v>0</v>
      </c>
      <c r="N46" s="27"/>
      <c r="O46" s="28">
        <v>0</v>
      </c>
      <c r="P46" s="27"/>
      <c r="Q46" s="28">
        <v>0</v>
      </c>
      <c r="R46" s="27"/>
      <c r="S46" s="28">
        <v>0</v>
      </c>
      <c r="T46" s="27"/>
      <c r="U46" s="28">
        <v>0</v>
      </c>
    </row>
    <row r="47" spans="1:21" s="29" customFormat="1" x14ac:dyDescent="0.45">
      <c r="A47" s="26">
        <v>48</v>
      </c>
      <c r="B47" s="26">
        <v>0</v>
      </c>
      <c r="C47" s="26" t="s">
        <v>100</v>
      </c>
      <c r="D47" s="26" t="s">
        <v>100</v>
      </c>
      <c r="E47" s="26">
        <v>0</v>
      </c>
      <c r="F47" s="26">
        <v>0</v>
      </c>
      <c r="G47" s="26">
        <v>1</v>
      </c>
      <c r="H47" s="26">
        <v>1</v>
      </c>
      <c r="I47" s="26">
        <v>0</v>
      </c>
      <c r="J47" s="27"/>
      <c r="K47" s="27"/>
      <c r="L47" s="27"/>
      <c r="M47" s="28"/>
      <c r="N47" s="27"/>
      <c r="O47" s="28"/>
      <c r="P47" s="27"/>
      <c r="Q47" s="28"/>
      <c r="R47" s="27"/>
      <c r="S47" s="28"/>
      <c r="T47" s="27"/>
      <c r="U47" s="28"/>
    </row>
    <row r="48" spans="1:21" x14ac:dyDescent="0.45">
      <c r="A48" s="13">
        <v>49</v>
      </c>
      <c r="B48" s="13">
        <v>1</v>
      </c>
      <c r="C48" s="13" t="s">
        <v>101</v>
      </c>
      <c r="D48" s="13" t="s">
        <v>7</v>
      </c>
      <c r="E48" s="13">
        <v>0</v>
      </c>
      <c r="F48" s="13">
        <v>50</v>
      </c>
      <c r="G48" s="13">
        <v>1</v>
      </c>
      <c r="H48" s="13">
        <v>2</v>
      </c>
      <c r="I48" s="13">
        <v>0</v>
      </c>
      <c r="J48" s="11"/>
      <c r="K48" s="11" t="s">
        <v>66</v>
      </c>
      <c r="L48" s="11" t="s">
        <v>47</v>
      </c>
      <c r="M48" s="12">
        <v>1</v>
      </c>
      <c r="N48" s="11" t="s">
        <v>102</v>
      </c>
      <c r="O48" s="12">
        <v>0</v>
      </c>
      <c r="P48" s="11" t="s">
        <v>67</v>
      </c>
      <c r="Q48" s="12">
        <v>0</v>
      </c>
      <c r="R48" s="11"/>
      <c r="S48" s="12">
        <v>0</v>
      </c>
      <c r="T48" s="11"/>
      <c r="U48" s="12">
        <v>0</v>
      </c>
    </row>
    <row r="49" spans="1:21" x14ac:dyDescent="0.45">
      <c r="A49" s="13">
        <v>50</v>
      </c>
      <c r="B49" s="13">
        <v>0</v>
      </c>
      <c r="C49" s="13" t="s">
        <v>103</v>
      </c>
      <c r="D49" s="13" t="s">
        <v>103</v>
      </c>
      <c r="E49" s="13">
        <v>0</v>
      </c>
      <c r="F49" s="13">
        <v>0</v>
      </c>
      <c r="G49" s="13">
        <v>1</v>
      </c>
      <c r="H49" s="13">
        <v>2</v>
      </c>
      <c r="I49" s="13">
        <v>0</v>
      </c>
      <c r="J49" s="11"/>
      <c r="K49" s="11" t="s">
        <v>66</v>
      </c>
      <c r="L49" s="11"/>
      <c r="M49" s="12"/>
      <c r="N49" s="11"/>
      <c r="O49" s="12"/>
      <c r="P49" s="11"/>
      <c r="Q49" s="12"/>
      <c r="R49" s="11"/>
      <c r="S49" s="12"/>
      <c r="T49" s="11"/>
      <c r="U49" s="12"/>
    </row>
    <row r="50" spans="1:21" x14ac:dyDescent="0.45">
      <c r="A50" s="13">
        <v>51</v>
      </c>
      <c r="B50" s="13">
        <v>0</v>
      </c>
      <c r="C50" s="13" t="s">
        <v>103</v>
      </c>
      <c r="D50" s="13" t="s">
        <v>104</v>
      </c>
      <c r="E50" s="13">
        <v>0</v>
      </c>
      <c r="F50" s="13">
        <v>51</v>
      </c>
      <c r="G50" s="13">
        <v>1</v>
      </c>
      <c r="H50" s="13">
        <v>2</v>
      </c>
      <c r="I50" s="13">
        <v>0</v>
      </c>
      <c r="J50" s="11"/>
      <c r="K50" s="11" t="s">
        <v>66</v>
      </c>
      <c r="L50" s="11"/>
      <c r="M50" s="12"/>
      <c r="N50" s="11"/>
      <c r="O50" s="12"/>
      <c r="P50" s="11"/>
      <c r="Q50" s="12"/>
      <c r="R50" s="11"/>
      <c r="S50" s="12"/>
      <c r="T50" s="11"/>
      <c r="U50" s="12"/>
    </row>
    <row r="51" spans="1:21" x14ac:dyDescent="0.45">
      <c r="A51" s="13">
        <v>52</v>
      </c>
      <c r="B51" s="13">
        <v>1</v>
      </c>
      <c r="C51" s="13" t="s">
        <v>105</v>
      </c>
      <c r="D51" s="13" t="s">
        <v>106</v>
      </c>
      <c r="E51" s="13">
        <v>0</v>
      </c>
      <c r="F51" s="13">
        <v>53</v>
      </c>
      <c r="G51" s="13">
        <v>1</v>
      </c>
      <c r="H51" s="13">
        <v>2</v>
      </c>
      <c r="I51" s="13">
        <v>0</v>
      </c>
      <c r="J51" s="11"/>
      <c r="K51" s="11" t="s">
        <v>66</v>
      </c>
      <c r="L51" s="11" t="s">
        <v>47</v>
      </c>
      <c r="M51" s="12">
        <v>1</v>
      </c>
      <c r="N51" s="11" t="s">
        <v>102</v>
      </c>
      <c r="O51" s="12">
        <v>0</v>
      </c>
      <c r="P51" s="11" t="s">
        <v>67</v>
      </c>
      <c r="Q51" s="12">
        <v>0</v>
      </c>
      <c r="R51" s="11"/>
      <c r="S51" s="12">
        <v>0</v>
      </c>
      <c r="T51" s="11"/>
      <c r="U51" s="12">
        <v>0</v>
      </c>
    </row>
    <row r="52" spans="1:21" x14ac:dyDescent="0.45">
      <c r="A52" s="13">
        <v>53</v>
      </c>
      <c r="B52" s="13">
        <v>0</v>
      </c>
      <c r="C52" s="13" t="s">
        <v>107</v>
      </c>
      <c r="D52" s="13" t="s">
        <v>107</v>
      </c>
      <c r="E52" s="13">
        <v>0</v>
      </c>
      <c r="F52" s="13">
        <v>0</v>
      </c>
      <c r="G52" s="13">
        <v>1</v>
      </c>
      <c r="H52" s="13">
        <v>2</v>
      </c>
      <c r="I52" s="13">
        <v>0</v>
      </c>
      <c r="J52" s="11"/>
      <c r="K52" s="11" t="s">
        <v>66</v>
      </c>
      <c r="L52" s="11" t="s">
        <v>47</v>
      </c>
      <c r="M52" s="12">
        <v>1</v>
      </c>
      <c r="N52" s="11" t="s">
        <v>102</v>
      </c>
      <c r="O52" s="12">
        <v>0</v>
      </c>
      <c r="P52" s="11" t="s">
        <v>67</v>
      </c>
      <c r="Q52" s="12">
        <v>0</v>
      </c>
      <c r="R52" s="11"/>
      <c r="S52" s="12"/>
      <c r="T52" s="11"/>
      <c r="U52" s="12"/>
    </row>
    <row r="53" spans="1:21" x14ac:dyDescent="0.45">
      <c r="A53" s="13">
        <v>54</v>
      </c>
      <c r="B53" s="13">
        <v>0</v>
      </c>
      <c r="C53" s="13" t="s">
        <v>107</v>
      </c>
      <c r="D53" s="13" t="s">
        <v>108</v>
      </c>
      <c r="E53" s="13">
        <v>0</v>
      </c>
      <c r="F53" s="13">
        <v>54</v>
      </c>
      <c r="G53" s="13">
        <v>1</v>
      </c>
      <c r="H53" s="13">
        <v>2</v>
      </c>
      <c r="I53" s="13">
        <v>0</v>
      </c>
      <c r="J53" s="11"/>
      <c r="K53" s="11" t="s">
        <v>66</v>
      </c>
      <c r="L53" s="11" t="s">
        <v>47</v>
      </c>
      <c r="M53" s="12">
        <v>1</v>
      </c>
      <c r="N53" s="11" t="s">
        <v>102</v>
      </c>
      <c r="O53" s="12">
        <v>0</v>
      </c>
      <c r="P53" s="11" t="s">
        <v>67</v>
      </c>
      <c r="Q53" s="12">
        <v>0</v>
      </c>
      <c r="R53" s="11"/>
      <c r="S53" s="12"/>
      <c r="T53" s="11"/>
      <c r="U53" s="12"/>
    </row>
    <row r="54" spans="1:21" x14ac:dyDescent="0.45">
      <c r="A54" s="13">
        <v>55</v>
      </c>
      <c r="B54" s="13">
        <v>1</v>
      </c>
      <c r="C54" s="13" t="s">
        <v>109</v>
      </c>
      <c r="D54" s="13" t="s">
        <v>110</v>
      </c>
      <c r="E54" s="13">
        <v>0</v>
      </c>
      <c r="F54" s="13">
        <v>56</v>
      </c>
      <c r="G54" s="13">
        <v>1</v>
      </c>
      <c r="H54" s="13">
        <v>2</v>
      </c>
      <c r="I54" s="13">
        <v>0</v>
      </c>
      <c r="J54" s="11"/>
      <c r="K54" s="11" t="s">
        <v>66</v>
      </c>
      <c r="L54" s="11" t="s">
        <v>110</v>
      </c>
      <c r="M54" s="12">
        <v>0</v>
      </c>
      <c r="N54" s="11" t="s">
        <v>67</v>
      </c>
      <c r="O54" s="12">
        <v>0</v>
      </c>
      <c r="P54" s="11"/>
      <c r="Q54" s="12">
        <v>0</v>
      </c>
      <c r="R54" s="11"/>
      <c r="S54" s="12">
        <v>0</v>
      </c>
      <c r="T54" s="11"/>
      <c r="U54" s="12">
        <v>0</v>
      </c>
    </row>
    <row r="55" spans="1:21" x14ac:dyDescent="0.45">
      <c r="A55" s="13">
        <v>56</v>
      </c>
      <c r="B55" s="13">
        <v>0</v>
      </c>
      <c r="C55" s="13" t="s">
        <v>111</v>
      </c>
      <c r="D55" s="13" t="s">
        <v>111</v>
      </c>
      <c r="E55" s="13">
        <v>0</v>
      </c>
      <c r="F55" s="13">
        <v>0</v>
      </c>
      <c r="G55" s="13">
        <v>1</v>
      </c>
      <c r="H55" s="13">
        <v>2</v>
      </c>
      <c r="I55" s="13">
        <v>0</v>
      </c>
      <c r="J55" s="11"/>
      <c r="K55" s="11" t="s">
        <v>66</v>
      </c>
      <c r="L55" s="11" t="s">
        <v>110</v>
      </c>
      <c r="M55" s="12">
        <v>0</v>
      </c>
      <c r="N55" s="11" t="s">
        <v>67</v>
      </c>
      <c r="O55" s="12">
        <v>0</v>
      </c>
      <c r="P55" s="11" t="s">
        <v>112</v>
      </c>
      <c r="Q55" s="12">
        <v>0</v>
      </c>
      <c r="R55" s="11"/>
      <c r="S55" s="12"/>
      <c r="T55" s="11"/>
      <c r="U55" s="12"/>
    </row>
    <row r="56" spans="1:21" x14ac:dyDescent="0.45">
      <c r="A56" s="13">
        <v>57</v>
      </c>
      <c r="B56" s="13">
        <v>0</v>
      </c>
      <c r="C56" s="13" t="s">
        <v>111</v>
      </c>
      <c r="D56" s="13" t="s">
        <v>113</v>
      </c>
      <c r="E56" s="13">
        <v>0</v>
      </c>
      <c r="F56" s="13">
        <v>57</v>
      </c>
      <c r="G56" s="13">
        <v>1</v>
      </c>
      <c r="H56" s="13">
        <v>2</v>
      </c>
      <c r="I56" s="13">
        <v>0</v>
      </c>
      <c r="J56" s="11"/>
      <c r="K56" s="11" t="s">
        <v>66</v>
      </c>
      <c r="L56" s="11" t="s">
        <v>110</v>
      </c>
      <c r="M56" s="12">
        <v>0</v>
      </c>
      <c r="N56" s="11" t="s">
        <v>67</v>
      </c>
      <c r="O56" s="12">
        <v>0</v>
      </c>
      <c r="P56" s="11" t="s">
        <v>112</v>
      </c>
      <c r="Q56" s="12">
        <v>0</v>
      </c>
      <c r="R56" s="11"/>
      <c r="S56" s="12"/>
      <c r="T56" s="11"/>
      <c r="U56" s="12"/>
    </row>
    <row r="57" spans="1:21" x14ac:dyDescent="0.45">
      <c r="A57" s="13">
        <v>58</v>
      </c>
      <c r="B57" s="13">
        <v>1</v>
      </c>
      <c r="C57" s="13" t="s">
        <v>114</v>
      </c>
      <c r="D57" s="13" t="s">
        <v>115</v>
      </c>
      <c r="E57" s="13">
        <v>0</v>
      </c>
      <c r="F57" s="13">
        <v>59</v>
      </c>
      <c r="G57" s="13">
        <v>1</v>
      </c>
      <c r="H57" s="13">
        <v>2</v>
      </c>
      <c r="I57" s="13">
        <v>0</v>
      </c>
      <c r="J57" s="11"/>
      <c r="K57" s="11" t="s">
        <v>66</v>
      </c>
      <c r="L57" s="11" t="s">
        <v>116</v>
      </c>
      <c r="M57" s="12">
        <v>0</v>
      </c>
      <c r="N57" s="11" t="s">
        <v>115</v>
      </c>
      <c r="O57" s="12">
        <v>0</v>
      </c>
      <c r="P57" s="11"/>
      <c r="Q57" s="12">
        <v>0</v>
      </c>
      <c r="R57" s="11"/>
      <c r="S57" s="12">
        <v>0</v>
      </c>
      <c r="T57" s="11"/>
      <c r="U57" s="12">
        <v>0</v>
      </c>
    </row>
    <row r="58" spans="1:21" x14ac:dyDescent="0.45">
      <c r="A58" s="13">
        <v>59</v>
      </c>
      <c r="B58" s="13">
        <v>0</v>
      </c>
      <c r="C58" s="13" t="s">
        <v>117</v>
      </c>
      <c r="D58" s="13" t="s">
        <v>117</v>
      </c>
      <c r="E58" s="13">
        <v>0</v>
      </c>
      <c r="F58" s="13">
        <v>0</v>
      </c>
      <c r="G58" s="13">
        <v>1</v>
      </c>
      <c r="H58" s="13">
        <v>2</v>
      </c>
      <c r="I58" s="13">
        <v>0</v>
      </c>
      <c r="J58" s="11"/>
      <c r="K58" s="11" t="s">
        <v>66</v>
      </c>
      <c r="L58" s="11" t="s">
        <v>112</v>
      </c>
      <c r="M58" s="12">
        <v>0</v>
      </c>
      <c r="N58" s="11" t="s">
        <v>115</v>
      </c>
      <c r="O58" s="12">
        <v>0</v>
      </c>
      <c r="P58" s="11"/>
      <c r="Q58" s="12">
        <v>0</v>
      </c>
      <c r="R58" s="11"/>
      <c r="S58" s="12"/>
      <c r="T58" s="11"/>
      <c r="U58" s="12"/>
    </row>
    <row r="59" spans="1:21" x14ac:dyDescent="0.45">
      <c r="A59" s="13">
        <v>60</v>
      </c>
      <c r="B59" s="13">
        <v>1</v>
      </c>
      <c r="C59" s="13" t="s">
        <v>118</v>
      </c>
      <c r="D59" s="13" t="s">
        <v>119</v>
      </c>
      <c r="E59" s="13">
        <v>0</v>
      </c>
      <c r="F59" s="13">
        <v>61</v>
      </c>
      <c r="G59" s="13">
        <v>1</v>
      </c>
      <c r="H59" s="13">
        <v>2</v>
      </c>
      <c r="I59" s="13">
        <v>21</v>
      </c>
      <c r="J59" s="11">
        <v>200</v>
      </c>
      <c r="K59" s="11" t="s">
        <v>37</v>
      </c>
      <c r="L59" s="11" t="s">
        <v>47</v>
      </c>
      <c r="M59" s="12">
        <v>1</v>
      </c>
      <c r="N59" s="11" t="s">
        <v>115</v>
      </c>
      <c r="O59" s="12">
        <v>0</v>
      </c>
      <c r="P59" s="11" t="s">
        <v>120</v>
      </c>
      <c r="Q59" s="12">
        <v>0</v>
      </c>
      <c r="R59" s="11"/>
      <c r="S59" s="12">
        <v>0</v>
      </c>
      <c r="T59" s="11"/>
      <c r="U59" s="12">
        <v>0</v>
      </c>
    </row>
    <row r="60" spans="1:21" x14ac:dyDescent="0.45">
      <c r="A60" s="13">
        <v>61</v>
      </c>
      <c r="B60" s="13">
        <v>0</v>
      </c>
      <c r="C60" s="13" t="s">
        <v>121</v>
      </c>
      <c r="D60" s="13" t="s">
        <v>121</v>
      </c>
      <c r="E60" s="13">
        <v>0</v>
      </c>
      <c r="F60" s="13">
        <v>0</v>
      </c>
      <c r="G60" s="13">
        <v>1</v>
      </c>
      <c r="H60" s="13">
        <v>2</v>
      </c>
      <c r="I60" s="13">
        <v>21</v>
      </c>
      <c r="J60" s="11">
        <v>200</v>
      </c>
      <c r="K60" s="11" t="s">
        <v>37</v>
      </c>
      <c r="L60" s="11" t="s">
        <v>47</v>
      </c>
      <c r="M60" s="12">
        <v>1</v>
      </c>
      <c r="N60" s="11" t="s">
        <v>115</v>
      </c>
      <c r="O60" s="12">
        <v>0</v>
      </c>
      <c r="P60" s="11" t="s">
        <v>120</v>
      </c>
      <c r="Q60" s="12">
        <v>0</v>
      </c>
      <c r="R60" s="11"/>
      <c r="S60" s="12"/>
      <c r="T60" s="11"/>
      <c r="U60" s="12"/>
    </row>
    <row r="61" spans="1:21" x14ac:dyDescent="0.45">
      <c r="A61" s="13">
        <v>62</v>
      </c>
      <c r="B61" s="13">
        <v>1</v>
      </c>
      <c r="C61" s="13" t="s">
        <v>122</v>
      </c>
      <c r="D61" s="13" t="s">
        <v>123</v>
      </c>
      <c r="E61" s="13">
        <v>0</v>
      </c>
      <c r="F61" s="13">
        <v>63</v>
      </c>
      <c r="G61" s="13">
        <v>1</v>
      </c>
      <c r="H61" s="13">
        <v>1</v>
      </c>
      <c r="I61" s="13">
        <v>20</v>
      </c>
      <c r="J61" s="11"/>
      <c r="K61" s="11" t="s">
        <v>37</v>
      </c>
      <c r="L61" s="11"/>
      <c r="M61" s="12">
        <v>0</v>
      </c>
      <c r="N61" s="11"/>
      <c r="O61" s="12">
        <v>0</v>
      </c>
      <c r="P61" s="11"/>
      <c r="Q61" s="12">
        <v>0</v>
      </c>
      <c r="R61" s="11"/>
      <c r="S61" s="12">
        <v>0</v>
      </c>
      <c r="T61" s="11"/>
      <c r="U61" s="12">
        <v>0</v>
      </c>
    </row>
    <row r="62" spans="1:21" x14ac:dyDescent="0.45">
      <c r="A62" s="13">
        <v>63</v>
      </c>
      <c r="B62" s="13">
        <v>0</v>
      </c>
      <c r="C62" s="13" t="s">
        <v>124</v>
      </c>
      <c r="D62" s="13" t="s">
        <v>124</v>
      </c>
      <c r="E62" s="13">
        <v>0</v>
      </c>
      <c r="F62" s="13">
        <v>0</v>
      </c>
      <c r="G62" s="13">
        <v>1</v>
      </c>
      <c r="H62" s="13">
        <v>2</v>
      </c>
      <c r="I62" s="13">
        <v>15</v>
      </c>
      <c r="J62" s="11"/>
      <c r="K62" s="11" t="s">
        <v>37</v>
      </c>
      <c r="L62" s="11"/>
      <c r="M62" s="12">
        <v>0</v>
      </c>
      <c r="N62" s="11"/>
      <c r="O62" s="12">
        <v>0</v>
      </c>
      <c r="P62" s="11"/>
      <c r="Q62" s="12">
        <v>0</v>
      </c>
      <c r="R62" s="11"/>
      <c r="S62" s="12">
        <v>0</v>
      </c>
      <c r="T62" s="11"/>
      <c r="U62" s="12">
        <v>0</v>
      </c>
    </row>
    <row r="63" spans="1:21" x14ac:dyDescent="0.45">
      <c r="A63" s="13">
        <v>64</v>
      </c>
      <c r="B63" s="13">
        <v>1</v>
      </c>
      <c r="C63" s="13" t="s">
        <v>125</v>
      </c>
      <c r="D63" s="13" t="s">
        <v>126</v>
      </c>
      <c r="E63" s="13">
        <v>0</v>
      </c>
      <c r="F63" s="13">
        <v>65</v>
      </c>
      <c r="G63" s="13">
        <v>1</v>
      </c>
      <c r="H63" s="13">
        <v>2</v>
      </c>
      <c r="I63" s="13">
        <v>0</v>
      </c>
      <c r="J63" s="11"/>
      <c r="K63" s="11" t="s">
        <v>66</v>
      </c>
      <c r="L63" s="11"/>
      <c r="M63" s="12">
        <v>0</v>
      </c>
      <c r="N63" s="11"/>
      <c r="O63" s="12">
        <v>0</v>
      </c>
      <c r="P63" s="11"/>
      <c r="Q63" s="12">
        <v>0</v>
      </c>
      <c r="R63" s="11"/>
      <c r="S63" s="12">
        <v>0</v>
      </c>
      <c r="T63" s="11"/>
      <c r="U63" s="12">
        <v>0</v>
      </c>
    </row>
    <row r="64" spans="1:21" x14ac:dyDescent="0.45">
      <c r="A64" s="13">
        <v>65</v>
      </c>
      <c r="B64" s="13">
        <v>0</v>
      </c>
      <c r="C64" s="13" t="s">
        <v>127</v>
      </c>
      <c r="D64" s="13" t="s">
        <v>127</v>
      </c>
      <c r="E64" s="13">
        <v>0</v>
      </c>
      <c r="F64" s="13">
        <v>0</v>
      </c>
      <c r="G64" s="13">
        <v>1</v>
      </c>
      <c r="H64" s="13">
        <v>1</v>
      </c>
      <c r="I64" s="13">
        <v>0</v>
      </c>
      <c r="J64" s="11"/>
      <c r="K64" s="11" t="s">
        <v>66</v>
      </c>
      <c r="L64" s="11"/>
      <c r="M64" s="12">
        <v>0</v>
      </c>
      <c r="N64" s="11"/>
      <c r="O64" s="12">
        <v>0</v>
      </c>
      <c r="P64" s="11"/>
      <c r="Q64" s="12">
        <v>0</v>
      </c>
      <c r="R64" s="11"/>
      <c r="S64" s="12">
        <v>0</v>
      </c>
      <c r="T64" s="11"/>
      <c r="U64" s="12">
        <v>0</v>
      </c>
    </row>
    <row r="65" spans="1:21" x14ac:dyDescent="0.45">
      <c r="A65" s="13">
        <v>66</v>
      </c>
      <c r="B65" s="13">
        <v>1</v>
      </c>
      <c r="C65" s="13" t="s">
        <v>128</v>
      </c>
      <c r="D65" s="13" t="s">
        <v>129</v>
      </c>
      <c r="E65" s="13">
        <v>0</v>
      </c>
      <c r="F65" s="13">
        <v>67</v>
      </c>
      <c r="G65" s="13">
        <v>1</v>
      </c>
      <c r="H65" s="13">
        <v>2</v>
      </c>
      <c r="I65" s="13">
        <v>0</v>
      </c>
      <c r="J65" s="11"/>
      <c r="K65" s="11" t="s">
        <v>66</v>
      </c>
      <c r="L65" s="11" t="s">
        <v>130</v>
      </c>
      <c r="M65" s="12">
        <v>0</v>
      </c>
      <c r="N65" s="11" t="s">
        <v>131</v>
      </c>
      <c r="O65" s="12">
        <v>0</v>
      </c>
      <c r="P65" s="11" t="s">
        <v>132</v>
      </c>
      <c r="Q65" s="12">
        <v>0</v>
      </c>
      <c r="R65" s="11" t="s">
        <v>133</v>
      </c>
      <c r="S65" s="12">
        <v>0</v>
      </c>
      <c r="T65" s="11" t="s">
        <v>134</v>
      </c>
      <c r="U65" s="12">
        <v>0</v>
      </c>
    </row>
    <row r="66" spans="1:21" x14ac:dyDescent="0.45">
      <c r="A66" s="13">
        <v>67</v>
      </c>
      <c r="B66" s="13">
        <v>0</v>
      </c>
      <c r="C66" s="13" t="s">
        <v>135</v>
      </c>
      <c r="D66" s="13" t="s">
        <v>135</v>
      </c>
      <c r="E66" s="13">
        <v>0</v>
      </c>
      <c r="F66" s="13">
        <v>0</v>
      </c>
      <c r="G66" s="13">
        <v>1</v>
      </c>
      <c r="H66" s="13">
        <v>2</v>
      </c>
      <c r="I66" s="13">
        <v>0</v>
      </c>
      <c r="J66" s="11"/>
      <c r="K66" s="11" t="s">
        <v>66</v>
      </c>
      <c r="L66" s="11" t="s">
        <v>67</v>
      </c>
      <c r="M66" s="12">
        <v>0</v>
      </c>
      <c r="N66" s="11"/>
      <c r="O66" s="12">
        <v>0</v>
      </c>
      <c r="P66" s="11"/>
      <c r="Q66" s="12">
        <v>0</v>
      </c>
      <c r="R66" s="11"/>
      <c r="S66" s="12"/>
      <c r="T66" s="11"/>
      <c r="U66" s="12"/>
    </row>
    <row r="67" spans="1:21" x14ac:dyDescent="0.45">
      <c r="A67" s="13">
        <v>68</v>
      </c>
      <c r="B67" s="13">
        <v>0</v>
      </c>
      <c r="C67" s="13" t="s">
        <v>135</v>
      </c>
      <c r="D67" s="13" t="s">
        <v>136</v>
      </c>
      <c r="E67" s="13">
        <v>0</v>
      </c>
      <c r="F67" s="13">
        <v>68</v>
      </c>
      <c r="G67" s="13">
        <v>1</v>
      </c>
      <c r="H67" s="13">
        <v>2</v>
      </c>
      <c r="I67" s="13">
        <v>0</v>
      </c>
      <c r="J67" s="11"/>
      <c r="K67" s="11" t="s">
        <v>66</v>
      </c>
      <c r="L67" s="11" t="s">
        <v>67</v>
      </c>
      <c r="M67" s="12">
        <v>0</v>
      </c>
      <c r="N67" s="11"/>
      <c r="O67" s="12">
        <v>0</v>
      </c>
      <c r="P67" s="11"/>
      <c r="Q67" s="12">
        <v>0</v>
      </c>
      <c r="R67" s="11"/>
      <c r="S67" s="12"/>
      <c r="T67" s="11"/>
      <c r="U67" s="12"/>
    </row>
    <row r="68" spans="1:21" s="29" customFormat="1" x14ac:dyDescent="0.45">
      <c r="A68" s="26">
        <v>69</v>
      </c>
      <c r="B68" s="26">
        <v>1</v>
      </c>
      <c r="C68" s="26" t="s">
        <v>137</v>
      </c>
      <c r="D68" s="26" t="s">
        <v>138</v>
      </c>
      <c r="E68" s="26">
        <v>0</v>
      </c>
      <c r="F68" s="26">
        <v>70</v>
      </c>
      <c r="G68" s="26">
        <v>1</v>
      </c>
      <c r="H68" s="26">
        <v>2</v>
      </c>
      <c r="I68" s="26">
        <v>0</v>
      </c>
      <c r="J68" s="27"/>
      <c r="K68" s="27" t="s">
        <v>66</v>
      </c>
      <c r="L68" s="27" t="s">
        <v>138</v>
      </c>
      <c r="M68" s="28">
        <v>1</v>
      </c>
      <c r="N68" s="27" t="s">
        <v>67</v>
      </c>
      <c r="O68" s="28">
        <v>0</v>
      </c>
      <c r="P68" s="27"/>
      <c r="Q68" s="28">
        <v>0</v>
      </c>
      <c r="R68" s="27"/>
      <c r="S68" s="28">
        <v>0</v>
      </c>
      <c r="T68" s="27"/>
      <c r="U68" s="28">
        <v>0</v>
      </c>
    </row>
    <row r="69" spans="1:21" s="29" customFormat="1" x14ac:dyDescent="0.45">
      <c r="A69" s="26">
        <v>70</v>
      </c>
      <c r="B69" s="26">
        <v>0</v>
      </c>
      <c r="C69" s="26" t="s">
        <v>139</v>
      </c>
      <c r="D69" s="26" t="s">
        <v>139</v>
      </c>
      <c r="E69" s="26">
        <v>0</v>
      </c>
      <c r="F69" s="26">
        <v>0</v>
      </c>
      <c r="G69" s="26">
        <v>1</v>
      </c>
      <c r="H69" s="26">
        <v>2</v>
      </c>
      <c r="I69" s="26">
        <v>0</v>
      </c>
      <c r="J69" s="27"/>
      <c r="K69" s="27" t="s">
        <v>66</v>
      </c>
      <c r="L69" s="27" t="s">
        <v>138</v>
      </c>
      <c r="M69" s="28">
        <v>1</v>
      </c>
      <c r="N69" s="27" t="s">
        <v>67</v>
      </c>
      <c r="O69" s="28">
        <v>0</v>
      </c>
      <c r="P69" s="27"/>
      <c r="Q69" s="28">
        <v>0</v>
      </c>
      <c r="R69" s="27"/>
      <c r="S69" s="28"/>
      <c r="T69" s="27"/>
      <c r="U69" s="28"/>
    </row>
    <row r="70" spans="1:21" s="29" customFormat="1" x14ac:dyDescent="0.45">
      <c r="A70" s="26">
        <v>71</v>
      </c>
      <c r="B70" s="26">
        <v>0</v>
      </c>
      <c r="C70" s="26" t="s">
        <v>139</v>
      </c>
      <c r="D70" s="26" t="s">
        <v>140</v>
      </c>
      <c r="E70" s="26">
        <v>0</v>
      </c>
      <c r="F70" s="26">
        <v>71</v>
      </c>
      <c r="G70" s="26">
        <v>1</v>
      </c>
      <c r="H70" s="26">
        <v>2</v>
      </c>
      <c r="I70" s="26">
        <v>0</v>
      </c>
      <c r="J70" s="27"/>
      <c r="K70" s="27" t="s">
        <v>66</v>
      </c>
      <c r="L70" s="27" t="s">
        <v>138</v>
      </c>
      <c r="M70" s="28">
        <v>1</v>
      </c>
      <c r="N70" s="27" t="s">
        <v>67</v>
      </c>
      <c r="O70" s="28">
        <v>0</v>
      </c>
      <c r="P70" s="27"/>
      <c r="Q70" s="28">
        <v>0</v>
      </c>
      <c r="R70" s="27"/>
      <c r="S70" s="28"/>
      <c r="T70" s="27"/>
      <c r="U70" s="28"/>
    </row>
    <row r="71" spans="1:21" s="29" customFormat="1" x14ac:dyDescent="0.45">
      <c r="A71" s="26">
        <v>72</v>
      </c>
      <c r="B71" s="26">
        <v>1</v>
      </c>
      <c r="C71" s="26" t="s">
        <v>141</v>
      </c>
      <c r="D71" s="26" t="s">
        <v>142</v>
      </c>
      <c r="E71" s="26">
        <v>0</v>
      </c>
      <c r="F71" s="26">
        <v>73</v>
      </c>
      <c r="G71" s="26">
        <v>1</v>
      </c>
      <c r="H71" s="26">
        <v>2</v>
      </c>
      <c r="I71" s="26">
        <v>0</v>
      </c>
      <c r="J71" s="27"/>
      <c r="K71" s="27" t="s">
        <v>66</v>
      </c>
      <c r="L71" s="27" t="s">
        <v>142</v>
      </c>
      <c r="M71" s="28">
        <v>1</v>
      </c>
      <c r="N71" s="27" t="s">
        <v>67</v>
      </c>
      <c r="O71" s="28">
        <v>0</v>
      </c>
      <c r="P71" s="27"/>
      <c r="Q71" s="28">
        <v>0</v>
      </c>
      <c r="R71" s="27"/>
      <c r="S71" s="28">
        <v>0</v>
      </c>
      <c r="T71" s="27"/>
      <c r="U71" s="28">
        <v>0</v>
      </c>
    </row>
    <row r="72" spans="1:21" s="29" customFormat="1" x14ac:dyDescent="0.45">
      <c r="A72" s="26">
        <v>73</v>
      </c>
      <c r="B72" s="26">
        <v>0</v>
      </c>
      <c r="C72" s="26" t="s">
        <v>143</v>
      </c>
      <c r="D72" s="26" t="s">
        <v>143</v>
      </c>
      <c r="E72" s="26">
        <v>0</v>
      </c>
      <c r="F72" s="26">
        <v>0</v>
      </c>
      <c r="G72" s="26">
        <v>1</v>
      </c>
      <c r="H72" s="26">
        <v>2</v>
      </c>
      <c r="I72" s="26">
        <v>0</v>
      </c>
      <c r="J72" s="27"/>
      <c r="K72" s="27" t="s">
        <v>66</v>
      </c>
      <c r="L72" s="27" t="s">
        <v>142</v>
      </c>
      <c r="M72" s="28">
        <v>1</v>
      </c>
      <c r="N72" s="27" t="s">
        <v>67</v>
      </c>
      <c r="O72" s="28">
        <v>0</v>
      </c>
      <c r="P72" s="27"/>
      <c r="Q72" s="28">
        <v>0</v>
      </c>
      <c r="R72" s="27"/>
      <c r="S72" s="28"/>
      <c r="T72" s="27"/>
      <c r="U72" s="28"/>
    </row>
    <row r="73" spans="1:21" s="29" customFormat="1" x14ac:dyDescent="0.45">
      <c r="A73" s="26">
        <v>74</v>
      </c>
      <c r="B73" s="26">
        <v>0</v>
      </c>
      <c r="C73" s="26" t="s">
        <v>143</v>
      </c>
      <c r="D73" s="26" t="s">
        <v>144</v>
      </c>
      <c r="E73" s="26">
        <v>0</v>
      </c>
      <c r="F73" s="26">
        <v>74</v>
      </c>
      <c r="G73" s="26">
        <v>1</v>
      </c>
      <c r="H73" s="26">
        <v>2</v>
      </c>
      <c r="I73" s="26">
        <v>0</v>
      </c>
      <c r="J73" s="27"/>
      <c r="K73" s="27" t="s">
        <v>66</v>
      </c>
      <c r="L73" s="27" t="s">
        <v>142</v>
      </c>
      <c r="M73" s="28">
        <v>1</v>
      </c>
      <c r="N73" s="27" t="s">
        <v>67</v>
      </c>
      <c r="O73" s="28">
        <v>0</v>
      </c>
      <c r="P73" s="27"/>
      <c r="Q73" s="28">
        <v>0</v>
      </c>
      <c r="R73" s="27"/>
      <c r="S73" s="28"/>
      <c r="T73" s="27"/>
      <c r="U73" s="28"/>
    </row>
    <row r="74" spans="1:21" s="29" customFormat="1" x14ac:dyDescent="0.45">
      <c r="A74" s="26">
        <v>75</v>
      </c>
      <c r="B74" s="26">
        <v>1</v>
      </c>
      <c r="C74" s="26" t="s">
        <v>145</v>
      </c>
      <c r="D74" s="26" t="s">
        <v>146</v>
      </c>
      <c r="E74" s="26">
        <v>0</v>
      </c>
      <c r="F74" s="26">
        <v>76</v>
      </c>
      <c r="G74" s="26">
        <v>1</v>
      </c>
      <c r="H74" s="26">
        <v>2</v>
      </c>
      <c r="I74" s="26">
        <v>0</v>
      </c>
      <c r="J74" s="27"/>
      <c r="K74" s="27" t="s">
        <v>66</v>
      </c>
      <c r="L74" s="27" t="s">
        <v>146</v>
      </c>
      <c r="M74" s="28">
        <v>1</v>
      </c>
      <c r="N74" s="27" t="s">
        <v>67</v>
      </c>
      <c r="O74" s="28">
        <v>0</v>
      </c>
      <c r="P74" s="27"/>
      <c r="Q74" s="28">
        <v>0</v>
      </c>
      <c r="R74" s="27"/>
      <c r="S74" s="28">
        <v>0</v>
      </c>
      <c r="T74" s="27"/>
      <c r="U74" s="28">
        <v>0</v>
      </c>
    </row>
    <row r="75" spans="1:21" s="29" customFormat="1" x14ac:dyDescent="0.45">
      <c r="A75" s="26">
        <v>76</v>
      </c>
      <c r="B75" s="26">
        <v>0</v>
      </c>
      <c r="C75" s="26" t="s">
        <v>147</v>
      </c>
      <c r="D75" s="26" t="s">
        <v>147</v>
      </c>
      <c r="E75" s="26">
        <v>0</v>
      </c>
      <c r="F75" s="26">
        <v>0</v>
      </c>
      <c r="G75" s="26">
        <v>1</v>
      </c>
      <c r="H75" s="26">
        <v>2</v>
      </c>
      <c r="I75" s="26">
        <v>0</v>
      </c>
      <c r="J75" s="27"/>
      <c r="K75" s="27" t="s">
        <v>66</v>
      </c>
      <c r="L75" s="27" t="s">
        <v>146</v>
      </c>
      <c r="M75" s="28">
        <v>1</v>
      </c>
      <c r="N75" s="27" t="s">
        <v>67</v>
      </c>
      <c r="O75" s="28">
        <v>0</v>
      </c>
      <c r="P75" s="27"/>
      <c r="Q75" s="28">
        <v>0</v>
      </c>
      <c r="R75" s="27"/>
      <c r="S75" s="28"/>
      <c r="T75" s="27"/>
      <c r="U75" s="28"/>
    </row>
    <row r="76" spans="1:21" s="29" customFormat="1" x14ac:dyDescent="0.45">
      <c r="A76" s="26">
        <v>77</v>
      </c>
      <c r="B76" s="26">
        <v>0</v>
      </c>
      <c r="C76" s="26" t="s">
        <v>147</v>
      </c>
      <c r="D76" s="26" t="s">
        <v>148</v>
      </c>
      <c r="E76" s="26">
        <v>0</v>
      </c>
      <c r="F76" s="26">
        <v>77</v>
      </c>
      <c r="G76" s="26">
        <v>1</v>
      </c>
      <c r="H76" s="26">
        <v>2</v>
      </c>
      <c r="I76" s="26">
        <v>0</v>
      </c>
      <c r="J76" s="27"/>
      <c r="K76" s="27" t="s">
        <v>66</v>
      </c>
      <c r="L76" s="27" t="s">
        <v>146</v>
      </c>
      <c r="M76" s="28">
        <v>1</v>
      </c>
      <c r="N76" s="27" t="s">
        <v>67</v>
      </c>
      <c r="O76" s="28">
        <v>0</v>
      </c>
      <c r="P76" s="27"/>
      <c r="Q76" s="28">
        <v>0</v>
      </c>
      <c r="R76" s="27"/>
      <c r="S76" s="28"/>
      <c r="T76" s="27"/>
      <c r="U76" s="28"/>
    </row>
    <row r="77" spans="1:21" s="29" customFormat="1" x14ac:dyDescent="0.45">
      <c r="A77" s="26">
        <v>78</v>
      </c>
      <c r="B77" s="26">
        <v>1</v>
      </c>
      <c r="C77" s="26" t="s">
        <v>149</v>
      </c>
      <c r="D77" s="26" t="s">
        <v>150</v>
      </c>
      <c r="E77" s="26">
        <v>0</v>
      </c>
      <c r="F77" s="26">
        <v>79</v>
      </c>
      <c r="G77" s="26">
        <v>1</v>
      </c>
      <c r="H77" s="26">
        <v>2</v>
      </c>
      <c r="I77" s="26">
        <v>0</v>
      </c>
      <c r="J77" s="27"/>
      <c r="K77" s="27" t="s">
        <v>66</v>
      </c>
      <c r="L77" s="27" t="s">
        <v>47</v>
      </c>
      <c r="M77" s="28">
        <v>1</v>
      </c>
      <c r="N77" s="27" t="s">
        <v>67</v>
      </c>
      <c r="O77" s="28">
        <v>0</v>
      </c>
      <c r="P77" s="27" t="s">
        <v>151</v>
      </c>
      <c r="Q77" s="28">
        <v>0</v>
      </c>
      <c r="R77" s="27"/>
      <c r="S77" s="28">
        <v>0</v>
      </c>
      <c r="T77" s="27"/>
      <c r="U77" s="28">
        <v>0</v>
      </c>
    </row>
    <row r="78" spans="1:21" s="29" customFormat="1" x14ac:dyDescent="0.45">
      <c r="A78" s="26">
        <v>79</v>
      </c>
      <c r="B78" s="26">
        <v>0</v>
      </c>
      <c r="C78" s="26" t="s">
        <v>152</v>
      </c>
      <c r="D78" s="26" t="s">
        <v>152</v>
      </c>
      <c r="E78" s="26">
        <v>0</v>
      </c>
      <c r="F78" s="26">
        <v>0</v>
      </c>
      <c r="G78" s="26">
        <v>1</v>
      </c>
      <c r="H78" s="26">
        <v>2</v>
      </c>
      <c r="I78" s="26">
        <v>0</v>
      </c>
      <c r="J78" s="27"/>
      <c r="K78" s="27" t="s">
        <v>66</v>
      </c>
      <c r="L78" s="27" t="s">
        <v>47</v>
      </c>
      <c r="M78" s="28">
        <v>1</v>
      </c>
      <c r="N78" s="27" t="s">
        <v>67</v>
      </c>
      <c r="O78" s="28">
        <v>0</v>
      </c>
      <c r="P78" s="27" t="s">
        <v>150</v>
      </c>
      <c r="Q78" s="28">
        <v>0</v>
      </c>
      <c r="R78" s="27"/>
      <c r="S78" s="28"/>
      <c r="T78" s="27"/>
      <c r="U78" s="28"/>
    </row>
    <row r="79" spans="1:21" s="29" customFormat="1" x14ac:dyDescent="0.45">
      <c r="A79" s="26">
        <v>80</v>
      </c>
      <c r="B79" s="26">
        <v>0</v>
      </c>
      <c r="C79" s="26" t="s">
        <v>152</v>
      </c>
      <c r="D79" s="26" t="s">
        <v>153</v>
      </c>
      <c r="E79" s="26">
        <v>0</v>
      </c>
      <c r="F79" s="26">
        <v>80</v>
      </c>
      <c r="G79" s="26">
        <v>1</v>
      </c>
      <c r="H79" s="26">
        <v>2</v>
      </c>
      <c r="I79" s="26">
        <v>0</v>
      </c>
      <c r="J79" s="27"/>
      <c r="K79" s="27" t="s">
        <v>66</v>
      </c>
      <c r="L79" s="27" t="s">
        <v>47</v>
      </c>
      <c r="M79" s="28">
        <v>1</v>
      </c>
      <c r="N79" s="27" t="s">
        <v>67</v>
      </c>
      <c r="O79" s="28">
        <v>0</v>
      </c>
      <c r="P79" s="27" t="s">
        <v>150</v>
      </c>
      <c r="Q79" s="28">
        <v>0</v>
      </c>
      <c r="R79" s="27"/>
      <c r="S79" s="28"/>
      <c r="T79" s="27"/>
      <c r="U79" s="28"/>
    </row>
    <row r="80" spans="1:21" s="29" customFormat="1" x14ac:dyDescent="0.45">
      <c r="A80" s="26">
        <v>81</v>
      </c>
      <c r="B80" s="26">
        <v>1</v>
      </c>
      <c r="C80" s="26" t="s">
        <v>154</v>
      </c>
      <c r="D80" s="26" t="s">
        <v>155</v>
      </c>
      <c r="E80" s="26">
        <v>0</v>
      </c>
      <c r="F80" s="26">
        <v>82</v>
      </c>
      <c r="G80" s="26">
        <v>1</v>
      </c>
      <c r="H80" s="26">
        <v>2</v>
      </c>
      <c r="I80" s="26">
        <v>0</v>
      </c>
      <c r="J80" s="27"/>
      <c r="K80" s="27" t="s">
        <v>66</v>
      </c>
      <c r="L80" s="27" t="s">
        <v>47</v>
      </c>
      <c r="M80" s="28">
        <v>1</v>
      </c>
      <c r="N80" s="27" t="s">
        <v>67</v>
      </c>
      <c r="O80" s="28">
        <v>0</v>
      </c>
      <c r="P80" s="27" t="s">
        <v>155</v>
      </c>
      <c r="Q80" s="28">
        <v>0</v>
      </c>
      <c r="R80" s="27"/>
      <c r="S80" s="28">
        <v>0</v>
      </c>
      <c r="T80" s="27"/>
      <c r="U80" s="28">
        <v>0</v>
      </c>
    </row>
    <row r="81" spans="1:21" s="29" customFormat="1" x14ac:dyDescent="0.45">
      <c r="A81" s="26">
        <v>82</v>
      </c>
      <c r="B81" s="26">
        <v>0</v>
      </c>
      <c r="C81" s="26" t="s">
        <v>156</v>
      </c>
      <c r="D81" s="26" t="s">
        <v>156</v>
      </c>
      <c r="E81" s="26">
        <v>0</v>
      </c>
      <c r="F81" s="26">
        <v>0</v>
      </c>
      <c r="G81" s="26">
        <v>1</v>
      </c>
      <c r="H81" s="26">
        <v>2</v>
      </c>
      <c r="I81" s="26">
        <v>0</v>
      </c>
      <c r="J81" s="27"/>
      <c r="K81" s="27" t="s">
        <v>66</v>
      </c>
      <c r="L81" s="27" t="s">
        <v>47</v>
      </c>
      <c r="M81" s="28">
        <v>1</v>
      </c>
      <c r="N81" s="27" t="s">
        <v>67</v>
      </c>
      <c r="O81" s="28">
        <v>0</v>
      </c>
      <c r="P81" s="27" t="s">
        <v>155</v>
      </c>
      <c r="Q81" s="28">
        <v>0</v>
      </c>
      <c r="R81" s="27"/>
      <c r="S81" s="28"/>
      <c r="T81" s="27"/>
      <c r="U81" s="28"/>
    </row>
    <row r="82" spans="1:21" s="29" customFormat="1" x14ac:dyDescent="0.45">
      <c r="A82" s="26">
        <v>83</v>
      </c>
      <c r="B82" s="26">
        <v>0</v>
      </c>
      <c r="C82" s="26" t="s">
        <v>156</v>
      </c>
      <c r="D82" s="26" t="s">
        <v>157</v>
      </c>
      <c r="E82" s="26">
        <v>0</v>
      </c>
      <c r="F82" s="26">
        <v>83</v>
      </c>
      <c r="G82" s="26">
        <v>1</v>
      </c>
      <c r="H82" s="26">
        <v>2</v>
      </c>
      <c r="I82" s="26">
        <v>0</v>
      </c>
      <c r="J82" s="27"/>
      <c r="K82" s="27" t="s">
        <v>66</v>
      </c>
      <c r="L82" s="27" t="s">
        <v>47</v>
      </c>
      <c r="M82" s="28">
        <v>1</v>
      </c>
      <c r="N82" s="27" t="s">
        <v>67</v>
      </c>
      <c r="O82" s="28">
        <v>0</v>
      </c>
      <c r="P82" s="27" t="s">
        <v>155</v>
      </c>
      <c r="Q82" s="28">
        <v>0</v>
      </c>
      <c r="R82" s="27"/>
      <c r="S82" s="28"/>
      <c r="T82" s="27"/>
      <c r="U82" s="28"/>
    </row>
    <row r="83" spans="1:21" s="29" customFormat="1" x14ac:dyDescent="0.45">
      <c r="A83" s="26">
        <v>84</v>
      </c>
      <c r="B83" s="26">
        <v>1</v>
      </c>
      <c r="C83" s="26" t="s">
        <v>158</v>
      </c>
      <c r="D83" s="26" t="s">
        <v>159</v>
      </c>
      <c r="E83" s="26">
        <v>0</v>
      </c>
      <c r="F83" s="26">
        <v>85</v>
      </c>
      <c r="G83" s="26">
        <v>1</v>
      </c>
      <c r="H83" s="26">
        <v>2</v>
      </c>
      <c r="I83" s="26">
        <v>0</v>
      </c>
      <c r="J83" s="27"/>
      <c r="K83" s="27" t="s">
        <v>66</v>
      </c>
      <c r="L83" s="27" t="s">
        <v>47</v>
      </c>
      <c r="M83" s="28">
        <v>1</v>
      </c>
      <c r="N83" s="27" t="s">
        <v>67</v>
      </c>
      <c r="O83" s="28">
        <v>0</v>
      </c>
      <c r="P83" s="27" t="s">
        <v>159</v>
      </c>
      <c r="Q83" s="28">
        <v>0</v>
      </c>
      <c r="R83" s="27"/>
      <c r="S83" s="28">
        <v>0</v>
      </c>
      <c r="T83" s="27"/>
      <c r="U83" s="28">
        <v>0</v>
      </c>
    </row>
    <row r="84" spans="1:21" s="29" customFormat="1" x14ac:dyDescent="0.45">
      <c r="A84" s="26">
        <v>85</v>
      </c>
      <c r="B84" s="26">
        <v>0</v>
      </c>
      <c r="C84" s="26" t="s">
        <v>160</v>
      </c>
      <c r="D84" s="26" t="s">
        <v>160</v>
      </c>
      <c r="E84" s="26">
        <v>0</v>
      </c>
      <c r="F84" s="26">
        <v>0</v>
      </c>
      <c r="G84" s="26">
        <v>1</v>
      </c>
      <c r="H84" s="26">
        <v>2</v>
      </c>
      <c r="I84" s="26">
        <v>0</v>
      </c>
      <c r="J84" s="27"/>
      <c r="K84" s="27" t="s">
        <v>66</v>
      </c>
      <c r="L84" s="27" t="s">
        <v>47</v>
      </c>
      <c r="M84" s="28">
        <v>1</v>
      </c>
      <c r="N84" s="27" t="s">
        <v>67</v>
      </c>
      <c r="O84" s="28">
        <v>0</v>
      </c>
      <c r="P84" s="27" t="s">
        <v>159</v>
      </c>
      <c r="Q84" s="28">
        <v>0</v>
      </c>
      <c r="R84" s="27"/>
      <c r="S84" s="28"/>
      <c r="T84" s="27"/>
      <c r="U84" s="28"/>
    </row>
    <row r="85" spans="1:21" s="29" customFormat="1" x14ac:dyDescent="0.45">
      <c r="A85" s="26">
        <v>86</v>
      </c>
      <c r="B85" s="26">
        <v>0</v>
      </c>
      <c r="C85" s="26" t="s">
        <v>160</v>
      </c>
      <c r="D85" s="26" t="s">
        <v>161</v>
      </c>
      <c r="E85" s="26">
        <v>0</v>
      </c>
      <c r="F85" s="26">
        <v>86</v>
      </c>
      <c r="G85" s="26">
        <v>1</v>
      </c>
      <c r="H85" s="26">
        <v>2</v>
      </c>
      <c r="I85" s="26">
        <v>0</v>
      </c>
      <c r="J85" s="27"/>
      <c r="K85" s="27" t="s">
        <v>66</v>
      </c>
      <c r="L85" s="27" t="s">
        <v>47</v>
      </c>
      <c r="M85" s="28">
        <v>1</v>
      </c>
      <c r="N85" s="27" t="s">
        <v>67</v>
      </c>
      <c r="O85" s="28">
        <v>0</v>
      </c>
      <c r="P85" s="27" t="s">
        <v>159</v>
      </c>
      <c r="Q85" s="28">
        <v>0</v>
      </c>
      <c r="R85" s="27"/>
      <c r="S85" s="28"/>
      <c r="T85" s="27"/>
      <c r="U85" s="28"/>
    </row>
    <row r="86" spans="1:21" s="29" customFormat="1" x14ac:dyDescent="0.45">
      <c r="A86" s="26">
        <v>87</v>
      </c>
      <c r="B86" s="26">
        <v>1</v>
      </c>
      <c r="C86" s="26" t="s">
        <v>162</v>
      </c>
      <c r="D86" s="26" t="s">
        <v>163</v>
      </c>
      <c r="E86" s="26">
        <v>0</v>
      </c>
      <c r="F86" s="26">
        <v>88</v>
      </c>
      <c r="G86" s="26">
        <v>1</v>
      </c>
      <c r="H86" s="26">
        <v>2</v>
      </c>
      <c r="I86" s="26">
        <v>0</v>
      </c>
      <c r="J86" s="27"/>
      <c r="K86" s="27" t="s">
        <v>66</v>
      </c>
      <c r="L86" s="27" t="s">
        <v>47</v>
      </c>
      <c r="M86" s="28">
        <v>1</v>
      </c>
      <c r="N86" s="27" t="s">
        <v>163</v>
      </c>
      <c r="O86" s="28">
        <v>0</v>
      </c>
      <c r="P86" s="27" t="s">
        <v>67</v>
      </c>
      <c r="Q86" s="28">
        <v>0</v>
      </c>
      <c r="R86" s="27"/>
      <c r="S86" s="28">
        <v>0</v>
      </c>
      <c r="T86" s="27"/>
      <c r="U86" s="28">
        <v>0</v>
      </c>
    </row>
    <row r="87" spans="1:21" s="29" customFormat="1" x14ac:dyDescent="0.45">
      <c r="A87" s="26">
        <v>88</v>
      </c>
      <c r="B87" s="26">
        <v>0</v>
      </c>
      <c r="C87" s="26" t="s">
        <v>164</v>
      </c>
      <c r="D87" s="26" t="s">
        <v>164</v>
      </c>
      <c r="E87" s="26">
        <v>0</v>
      </c>
      <c r="F87" s="26">
        <v>0</v>
      </c>
      <c r="G87" s="26">
        <v>1</v>
      </c>
      <c r="H87" s="26">
        <v>2</v>
      </c>
      <c r="I87" s="26">
        <v>0</v>
      </c>
      <c r="J87" s="27"/>
      <c r="K87" s="27" t="s">
        <v>66</v>
      </c>
      <c r="L87" s="27" t="s">
        <v>47</v>
      </c>
      <c r="M87" s="28">
        <v>1</v>
      </c>
      <c r="N87" s="27" t="s">
        <v>163</v>
      </c>
      <c r="O87" s="28">
        <v>0</v>
      </c>
      <c r="P87" s="27" t="s">
        <v>67</v>
      </c>
      <c r="Q87" s="28">
        <v>0</v>
      </c>
      <c r="R87" s="27"/>
      <c r="S87" s="28"/>
      <c r="T87" s="27"/>
      <c r="U87" s="28"/>
    </row>
    <row r="88" spans="1:21" s="29" customFormat="1" x14ac:dyDescent="0.45">
      <c r="A88" s="26">
        <v>89</v>
      </c>
      <c r="B88" s="26">
        <v>0</v>
      </c>
      <c r="C88" s="26" t="s">
        <v>164</v>
      </c>
      <c r="D88" s="26" t="s">
        <v>165</v>
      </c>
      <c r="E88" s="26">
        <v>0</v>
      </c>
      <c r="F88" s="26">
        <v>89</v>
      </c>
      <c r="G88" s="26">
        <v>1</v>
      </c>
      <c r="H88" s="26">
        <v>2</v>
      </c>
      <c r="I88" s="26">
        <v>0</v>
      </c>
      <c r="J88" s="27"/>
      <c r="K88" s="27" t="s">
        <v>66</v>
      </c>
      <c r="L88" s="27" t="s">
        <v>47</v>
      </c>
      <c r="M88" s="28">
        <v>1</v>
      </c>
      <c r="N88" s="27" t="s">
        <v>163</v>
      </c>
      <c r="O88" s="28">
        <v>0</v>
      </c>
      <c r="P88" s="27" t="s">
        <v>67</v>
      </c>
      <c r="Q88" s="28">
        <v>0</v>
      </c>
      <c r="R88" s="27"/>
      <c r="S88" s="28"/>
      <c r="T88" s="27"/>
      <c r="U88" s="28"/>
    </row>
    <row r="89" spans="1:21" s="29" customFormat="1" x14ac:dyDescent="0.45">
      <c r="A89" s="26">
        <v>90</v>
      </c>
      <c r="B89" s="26">
        <v>1</v>
      </c>
      <c r="C89" s="26" t="s">
        <v>166</v>
      </c>
      <c r="D89" s="26" t="s">
        <v>167</v>
      </c>
      <c r="E89" s="26">
        <v>0</v>
      </c>
      <c r="F89" s="26">
        <v>91</v>
      </c>
      <c r="G89" s="26">
        <v>1</v>
      </c>
      <c r="H89" s="26">
        <v>2</v>
      </c>
      <c r="I89" s="26">
        <v>0</v>
      </c>
      <c r="J89" s="27"/>
      <c r="K89" s="27" t="s">
        <v>66</v>
      </c>
      <c r="L89" s="27" t="s">
        <v>167</v>
      </c>
      <c r="M89" s="28">
        <v>0</v>
      </c>
      <c r="N89" s="27" t="s">
        <v>116</v>
      </c>
      <c r="O89" s="28">
        <v>0</v>
      </c>
      <c r="P89" s="27"/>
      <c r="Q89" s="28">
        <v>0</v>
      </c>
      <c r="R89" s="27"/>
      <c r="S89" s="28">
        <v>0</v>
      </c>
      <c r="T89" s="27"/>
      <c r="U89" s="28">
        <v>0</v>
      </c>
    </row>
    <row r="90" spans="1:21" s="29" customFormat="1" x14ac:dyDescent="0.45">
      <c r="A90" s="26">
        <v>91</v>
      </c>
      <c r="B90" s="26">
        <v>0</v>
      </c>
      <c r="C90" s="26" t="s">
        <v>168</v>
      </c>
      <c r="D90" s="26" t="s">
        <v>168</v>
      </c>
      <c r="E90" s="26">
        <v>0</v>
      </c>
      <c r="F90" s="26">
        <v>0</v>
      </c>
      <c r="G90" s="26">
        <v>1</v>
      </c>
      <c r="H90" s="26">
        <v>2</v>
      </c>
      <c r="I90" s="26">
        <v>0</v>
      </c>
      <c r="J90" s="27"/>
      <c r="K90" s="27" t="s">
        <v>66</v>
      </c>
      <c r="L90" s="27" t="s">
        <v>167</v>
      </c>
      <c r="M90" s="28">
        <v>0</v>
      </c>
      <c r="N90" s="27" t="s">
        <v>116</v>
      </c>
      <c r="O90" s="28">
        <v>0</v>
      </c>
      <c r="P90" s="27"/>
      <c r="Q90" s="28">
        <v>0</v>
      </c>
      <c r="R90" s="27"/>
      <c r="S90" s="28"/>
      <c r="T90" s="27"/>
      <c r="U90" s="28"/>
    </row>
    <row r="91" spans="1:21" s="29" customFormat="1" x14ac:dyDescent="0.45">
      <c r="A91" s="26">
        <v>92</v>
      </c>
      <c r="B91" s="26">
        <v>0</v>
      </c>
      <c r="C91" s="26" t="s">
        <v>168</v>
      </c>
      <c r="D91" s="26" t="s">
        <v>169</v>
      </c>
      <c r="E91" s="26">
        <v>0</v>
      </c>
      <c r="F91" s="26">
        <v>92</v>
      </c>
      <c r="G91" s="26">
        <v>1</v>
      </c>
      <c r="H91" s="26">
        <v>2</v>
      </c>
      <c r="I91" s="26">
        <v>0</v>
      </c>
      <c r="J91" s="27"/>
      <c r="K91" s="27" t="s">
        <v>66</v>
      </c>
      <c r="L91" s="27" t="s">
        <v>167</v>
      </c>
      <c r="M91" s="28">
        <v>0</v>
      </c>
      <c r="N91" s="27" t="s">
        <v>116</v>
      </c>
      <c r="O91" s="28">
        <v>0</v>
      </c>
      <c r="P91" s="27"/>
      <c r="Q91" s="28">
        <v>0</v>
      </c>
      <c r="R91" s="27"/>
      <c r="S91" s="28"/>
      <c r="T91" s="27"/>
      <c r="U91" s="28"/>
    </row>
    <row r="92" spans="1:21" x14ac:dyDescent="0.45">
      <c r="A92" s="13">
        <v>93</v>
      </c>
      <c r="B92" s="13">
        <v>1</v>
      </c>
      <c r="C92" s="13" t="s">
        <v>170</v>
      </c>
      <c r="D92" s="13" t="s">
        <v>171</v>
      </c>
      <c r="E92" s="13">
        <v>0</v>
      </c>
      <c r="F92" s="13">
        <v>94</v>
      </c>
      <c r="G92" s="13">
        <v>1</v>
      </c>
      <c r="H92" s="13">
        <v>2</v>
      </c>
      <c r="I92" s="13">
        <v>0</v>
      </c>
      <c r="J92" s="11"/>
      <c r="K92" s="11" t="s">
        <v>66</v>
      </c>
      <c r="L92" s="11" t="s">
        <v>171</v>
      </c>
      <c r="M92" s="12">
        <v>1</v>
      </c>
      <c r="N92" s="11"/>
      <c r="O92" s="12">
        <v>0</v>
      </c>
      <c r="P92" s="11"/>
      <c r="Q92" s="12">
        <v>0</v>
      </c>
      <c r="R92" s="11"/>
      <c r="S92" s="12">
        <v>0</v>
      </c>
      <c r="T92" s="11"/>
      <c r="U92" s="12">
        <v>0</v>
      </c>
    </row>
    <row r="93" spans="1:21" x14ac:dyDescent="0.45">
      <c r="A93" s="13">
        <v>94</v>
      </c>
      <c r="B93" s="13">
        <v>0</v>
      </c>
      <c r="C93" s="13" t="s">
        <v>172</v>
      </c>
      <c r="D93" s="13" t="s">
        <v>172</v>
      </c>
      <c r="E93" s="13">
        <v>0</v>
      </c>
      <c r="F93" s="13">
        <v>0</v>
      </c>
      <c r="G93" s="13">
        <v>1</v>
      </c>
      <c r="H93" s="13">
        <v>2</v>
      </c>
      <c r="I93" s="13">
        <v>0</v>
      </c>
      <c r="J93" s="11"/>
      <c r="K93" s="11" t="s">
        <v>66</v>
      </c>
      <c r="L93" s="11" t="s">
        <v>171</v>
      </c>
      <c r="M93" s="12">
        <v>1</v>
      </c>
      <c r="N93" s="11" t="s">
        <v>67</v>
      </c>
      <c r="O93" s="12">
        <v>0</v>
      </c>
      <c r="P93" s="11"/>
      <c r="Q93" s="12">
        <v>0</v>
      </c>
      <c r="R93" s="11"/>
      <c r="S93" s="12"/>
      <c r="T93" s="11"/>
      <c r="U93" s="12"/>
    </row>
    <row r="94" spans="1:21" x14ac:dyDescent="0.45">
      <c r="A94" s="13">
        <v>95</v>
      </c>
      <c r="B94" s="13">
        <v>0</v>
      </c>
      <c r="C94" s="13" t="s">
        <v>172</v>
      </c>
      <c r="D94" s="13" t="s">
        <v>173</v>
      </c>
      <c r="E94" s="13">
        <v>0</v>
      </c>
      <c r="F94" s="13">
        <v>95</v>
      </c>
      <c r="G94" s="13">
        <v>1</v>
      </c>
      <c r="H94" s="13">
        <v>2</v>
      </c>
      <c r="I94" s="13">
        <v>0</v>
      </c>
      <c r="J94" s="11"/>
      <c r="K94" s="11" t="s">
        <v>66</v>
      </c>
      <c r="L94" s="11" t="s">
        <v>171</v>
      </c>
      <c r="M94" s="12">
        <v>1</v>
      </c>
      <c r="N94" s="11" t="s">
        <v>67</v>
      </c>
      <c r="O94" s="12">
        <v>0</v>
      </c>
      <c r="P94" s="11"/>
      <c r="Q94" s="12">
        <v>0</v>
      </c>
      <c r="R94" s="11"/>
      <c r="S94" s="12"/>
      <c r="T94" s="11"/>
      <c r="U94" s="12"/>
    </row>
    <row r="95" spans="1:21" x14ac:dyDescent="0.45">
      <c r="A95" s="13">
        <v>96</v>
      </c>
      <c r="B95" s="13">
        <v>1</v>
      </c>
      <c r="C95" s="13" t="s">
        <v>174</v>
      </c>
      <c r="D95" s="13" t="s">
        <v>47</v>
      </c>
      <c r="E95" s="13">
        <v>0</v>
      </c>
      <c r="F95" s="13">
        <v>97</v>
      </c>
      <c r="G95" s="13">
        <v>1</v>
      </c>
      <c r="H95" s="13">
        <v>2</v>
      </c>
      <c r="I95" s="13">
        <v>0</v>
      </c>
      <c r="J95" s="11"/>
      <c r="K95" s="11" t="s">
        <v>66</v>
      </c>
      <c r="L95" s="11" t="s">
        <v>47</v>
      </c>
      <c r="M95" s="12">
        <v>1</v>
      </c>
      <c r="N95" s="11"/>
      <c r="O95" s="12">
        <v>0</v>
      </c>
      <c r="P95" s="11"/>
      <c r="Q95" s="12">
        <v>0</v>
      </c>
      <c r="R95" s="11"/>
      <c r="S95" s="12">
        <v>0</v>
      </c>
      <c r="T95" s="11"/>
      <c r="U95" s="12">
        <v>0</v>
      </c>
    </row>
    <row r="96" spans="1:21" x14ac:dyDescent="0.45">
      <c r="A96" s="13">
        <v>97</v>
      </c>
      <c r="B96" s="13">
        <v>0</v>
      </c>
      <c r="C96" s="13" t="s">
        <v>175</v>
      </c>
      <c r="D96" s="13" t="s">
        <v>175</v>
      </c>
      <c r="E96" s="13">
        <v>0</v>
      </c>
      <c r="F96" s="13">
        <v>0</v>
      </c>
      <c r="G96" s="13">
        <v>1</v>
      </c>
      <c r="H96" s="13">
        <v>2</v>
      </c>
      <c r="I96" s="13">
        <v>0</v>
      </c>
      <c r="J96" s="11"/>
      <c r="K96" s="11" t="s">
        <v>66</v>
      </c>
      <c r="L96" s="11"/>
      <c r="M96" s="12">
        <v>0</v>
      </c>
      <c r="N96" s="11"/>
      <c r="O96" s="12">
        <v>0</v>
      </c>
      <c r="P96" s="11"/>
      <c r="Q96" s="12">
        <v>0</v>
      </c>
      <c r="R96" s="11"/>
      <c r="S96" s="12">
        <v>0</v>
      </c>
      <c r="T96" s="11"/>
      <c r="U96" s="12">
        <v>0</v>
      </c>
    </row>
    <row r="97" spans="1:21" x14ac:dyDescent="0.45">
      <c r="A97" s="13">
        <v>98</v>
      </c>
      <c r="B97" s="13">
        <v>1</v>
      </c>
      <c r="C97" s="13" t="s">
        <v>176</v>
      </c>
      <c r="D97" s="13" t="s">
        <v>10</v>
      </c>
      <c r="E97" s="13">
        <v>0</v>
      </c>
      <c r="F97" s="13">
        <v>99</v>
      </c>
      <c r="G97" s="13">
        <v>1</v>
      </c>
      <c r="H97" s="13">
        <v>1</v>
      </c>
      <c r="I97" s="13">
        <v>0</v>
      </c>
      <c r="J97" s="11"/>
      <c r="K97" s="11" t="s">
        <v>66</v>
      </c>
      <c r="L97" s="11"/>
      <c r="M97" s="12">
        <v>0</v>
      </c>
      <c r="N97" s="11"/>
      <c r="O97" s="12">
        <v>0</v>
      </c>
      <c r="P97" s="11"/>
      <c r="Q97" s="12">
        <v>0</v>
      </c>
      <c r="R97" s="11"/>
      <c r="S97" s="12">
        <v>0</v>
      </c>
      <c r="T97" s="11"/>
      <c r="U97" s="12">
        <v>0</v>
      </c>
    </row>
    <row r="98" spans="1:21" x14ac:dyDescent="0.45">
      <c r="A98" s="13">
        <v>99</v>
      </c>
      <c r="B98" s="13">
        <v>0</v>
      </c>
      <c r="C98" s="13" t="s">
        <v>177</v>
      </c>
      <c r="D98" s="13" t="s">
        <v>177</v>
      </c>
      <c r="E98" s="13">
        <v>0</v>
      </c>
      <c r="F98" s="13">
        <v>0</v>
      </c>
      <c r="G98" s="13">
        <v>1</v>
      </c>
      <c r="H98" s="13">
        <v>1</v>
      </c>
      <c r="I98" s="13">
        <v>0</v>
      </c>
      <c r="J98" s="11"/>
      <c r="K98" s="11" t="s">
        <v>66</v>
      </c>
      <c r="L98" s="11"/>
      <c r="M98" s="12"/>
      <c r="N98" s="11"/>
      <c r="O98" s="12"/>
      <c r="P98" s="11"/>
      <c r="Q98" s="12"/>
      <c r="R98" s="11"/>
      <c r="S98" s="12"/>
      <c r="T98" s="11"/>
      <c r="U98" s="12"/>
    </row>
    <row r="99" spans="1:21" x14ac:dyDescent="0.45">
      <c r="A99" s="13">
        <v>100</v>
      </c>
      <c r="B99" s="13">
        <v>1</v>
      </c>
      <c r="C99" s="13" t="s">
        <v>178</v>
      </c>
      <c r="D99" s="13" t="s">
        <v>178</v>
      </c>
      <c r="E99" s="13">
        <v>0</v>
      </c>
      <c r="F99" s="13">
        <v>101</v>
      </c>
      <c r="G99" s="13">
        <v>1</v>
      </c>
      <c r="H99" s="13">
        <v>1</v>
      </c>
      <c r="I99" s="13">
        <v>0</v>
      </c>
      <c r="J99" s="11"/>
      <c r="K99" s="11" t="s">
        <v>66</v>
      </c>
      <c r="L99" s="11"/>
      <c r="M99" s="12">
        <v>0</v>
      </c>
      <c r="N99" s="11"/>
      <c r="O99" s="12">
        <v>0</v>
      </c>
      <c r="P99" s="11"/>
      <c r="Q99" s="12">
        <v>0</v>
      </c>
      <c r="R99" s="11"/>
      <c r="S99" s="12">
        <v>0</v>
      </c>
      <c r="T99" s="11"/>
      <c r="U99" s="12">
        <v>0</v>
      </c>
    </row>
    <row r="100" spans="1:21" x14ac:dyDescent="0.45">
      <c r="A100" s="13">
        <v>101</v>
      </c>
      <c r="B100" s="13">
        <v>0</v>
      </c>
      <c r="C100" s="13" t="s">
        <v>179</v>
      </c>
      <c r="D100" s="13" t="s">
        <v>179</v>
      </c>
      <c r="E100" s="13">
        <v>0</v>
      </c>
      <c r="F100" s="13">
        <v>0</v>
      </c>
      <c r="G100" s="13">
        <v>1</v>
      </c>
      <c r="H100" s="13">
        <v>1</v>
      </c>
      <c r="I100" s="13">
        <v>0</v>
      </c>
      <c r="J100" s="11"/>
      <c r="K100" s="11" t="s">
        <v>66</v>
      </c>
      <c r="L100" s="11"/>
      <c r="M100" s="12"/>
      <c r="N100" s="11"/>
      <c r="O100" s="12"/>
      <c r="P100" s="11"/>
      <c r="Q100" s="12"/>
      <c r="R100" s="11"/>
      <c r="S100" s="12"/>
      <c r="T100" s="11"/>
      <c r="U100" s="12"/>
    </row>
    <row r="101" spans="1:21" x14ac:dyDescent="0.45">
      <c r="A101" s="13">
        <v>102</v>
      </c>
      <c r="B101" s="13">
        <v>1</v>
      </c>
      <c r="C101" s="13" t="s">
        <v>180</v>
      </c>
      <c r="D101" s="13" t="s">
        <v>181</v>
      </c>
      <c r="E101" s="13">
        <v>0</v>
      </c>
      <c r="F101" s="13">
        <v>103</v>
      </c>
      <c r="G101" s="13">
        <v>1</v>
      </c>
      <c r="H101" s="13">
        <v>2</v>
      </c>
      <c r="I101" s="13">
        <v>0</v>
      </c>
      <c r="J101" s="11"/>
      <c r="K101" s="11" t="s">
        <v>66</v>
      </c>
      <c r="L101" s="11"/>
      <c r="M101" s="12">
        <v>0</v>
      </c>
      <c r="N101" s="11"/>
      <c r="O101" s="12">
        <v>0</v>
      </c>
      <c r="P101" s="11"/>
      <c r="Q101" s="12">
        <v>0</v>
      </c>
      <c r="R101" s="11"/>
      <c r="S101" s="12">
        <v>0</v>
      </c>
      <c r="T101" s="11"/>
      <c r="U101" s="12">
        <v>0</v>
      </c>
    </row>
    <row r="102" spans="1:21" x14ac:dyDescent="0.45">
      <c r="A102" s="13">
        <v>103</v>
      </c>
      <c r="B102" s="13">
        <v>0</v>
      </c>
      <c r="C102" s="13" t="s">
        <v>182</v>
      </c>
      <c r="D102" s="13" t="s">
        <v>181</v>
      </c>
      <c r="E102" s="13">
        <v>0</v>
      </c>
      <c r="F102" s="13">
        <v>0</v>
      </c>
      <c r="G102" s="13">
        <v>1</v>
      </c>
      <c r="H102" s="13">
        <v>2</v>
      </c>
      <c r="I102" s="13">
        <v>0</v>
      </c>
      <c r="J102" s="11"/>
      <c r="K102" s="11" t="s">
        <v>66</v>
      </c>
      <c r="L102" s="11"/>
      <c r="M102" s="12">
        <v>0</v>
      </c>
      <c r="N102" s="11"/>
      <c r="O102" s="12">
        <v>0</v>
      </c>
      <c r="P102" s="11"/>
      <c r="Q102" s="12">
        <v>0</v>
      </c>
      <c r="R102" s="11"/>
      <c r="S102" s="12">
        <v>0</v>
      </c>
      <c r="T102" s="11"/>
      <c r="U102" s="12">
        <v>0</v>
      </c>
    </row>
    <row r="103" spans="1:21" x14ac:dyDescent="0.45">
      <c r="A103" s="13">
        <v>104</v>
      </c>
      <c r="B103" s="13">
        <v>1</v>
      </c>
      <c r="C103" s="13" t="s">
        <v>183</v>
      </c>
      <c r="D103" s="13" t="s">
        <v>184</v>
      </c>
      <c r="E103" s="13">
        <v>0</v>
      </c>
      <c r="F103" s="13">
        <v>105</v>
      </c>
      <c r="G103" s="13">
        <v>1</v>
      </c>
      <c r="H103" s="13">
        <v>2</v>
      </c>
      <c r="I103" s="13">
        <v>0</v>
      </c>
      <c r="J103" s="11"/>
      <c r="K103" s="11" t="s">
        <v>66</v>
      </c>
      <c r="L103" s="11"/>
      <c r="M103" s="12">
        <v>0</v>
      </c>
      <c r="N103" s="11"/>
      <c r="O103" s="12">
        <v>0</v>
      </c>
      <c r="P103" s="11"/>
      <c r="Q103" s="12">
        <v>0</v>
      </c>
      <c r="R103" s="11"/>
      <c r="S103" s="12">
        <v>0</v>
      </c>
      <c r="T103" s="11"/>
      <c r="U103" s="12">
        <v>0</v>
      </c>
    </row>
    <row r="104" spans="1:21" x14ac:dyDescent="0.45">
      <c r="A104" s="13">
        <v>105</v>
      </c>
      <c r="B104" s="13">
        <v>0</v>
      </c>
      <c r="C104" s="13" t="s">
        <v>185</v>
      </c>
      <c r="D104" s="13" t="s">
        <v>184</v>
      </c>
      <c r="E104" s="13">
        <v>0</v>
      </c>
      <c r="F104" s="13">
        <v>0</v>
      </c>
      <c r="G104" s="13">
        <v>1</v>
      </c>
      <c r="H104" s="13">
        <v>2</v>
      </c>
      <c r="I104" s="13">
        <v>0</v>
      </c>
      <c r="J104" s="11"/>
      <c r="K104" s="11" t="s">
        <v>66</v>
      </c>
      <c r="L104" s="11"/>
      <c r="M104" s="12">
        <v>0</v>
      </c>
      <c r="N104" s="11"/>
      <c r="O104" s="12">
        <v>0</v>
      </c>
      <c r="P104" s="11"/>
      <c r="Q104" s="12">
        <v>0</v>
      </c>
      <c r="R104" s="11"/>
      <c r="S104" s="12">
        <v>0</v>
      </c>
      <c r="T104" s="11"/>
      <c r="U104" s="12">
        <v>0</v>
      </c>
    </row>
    <row r="105" spans="1:21" x14ac:dyDescent="0.45">
      <c r="A105" s="13">
        <v>106</v>
      </c>
      <c r="B105" s="13">
        <v>1</v>
      </c>
      <c r="C105" s="13" t="s">
        <v>186</v>
      </c>
      <c r="D105" s="13" t="s">
        <v>187</v>
      </c>
      <c r="E105" s="13">
        <v>0</v>
      </c>
      <c r="F105" s="13">
        <v>107</v>
      </c>
      <c r="G105" s="13">
        <v>1</v>
      </c>
      <c r="H105" s="13">
        <v>2</v>
      </c>
      <c r="I105" s="13">
        <v>0</v>
      </c>
      <c r="J105" s="11"/>
      <c r="K105" s="11" t="s">
        <v>66</v>
      </c>
      <c r="L105" s="11"/>
      <c r="M105" s="12">
        <v>0</v>
      </c>
      <c r="N105" s="11"/>
      <c r="O105" s="12">
        <v>0</v>
      </c>
      <c r="P105" s="11"/>
      <c r="Q105" s="12">
        <v>0</v>
      </c>
      <c r="R105" s="11"/>
      <c r="S105" s="12">
        <v>0</v>
      </c>
      <c r="T105" s="11"/>
      <c r="U105" s="12">
        <v>0</v>
      </c>
    </row>
    <row r="106" spans="1:21" x14ac:dyDescent="0.45">
      <c r="A106" s="13">
        <v>107</v>
      </c>
      <c r="B106" s="13">
        <v>0</v>
      </c>
      <c r="C106" s="13" t="s">
        <v>188</v>
      </c>
      <c r="D106" s="13" t="s">
        <v>187</v>
      </c>
      <c r="E106" s="13">
        <v>0</v>
      </c>
      <c r="F106" s="13">
        <v>0</v>
      </c>
      <c r="G106" s="13">
        <v>1</v>
      </c>
      <c r="H106" s="13">
        <v>2</v>
      </c>
      <c r="I106" s="13">
        <v>0</v>
      </c>
      <c r="J106" s="11"/>
      <c r="K106" s="11" t="s">
        <v>66</v>
      </c>
      <c r="L106" s="11"/>
      <c r="M106" s="12">
        <v>0</v>
      </c>
      <c r="N106" s="11"/>
      <c r="O106" s="12">
        <v>0</v>
      </c>
      <c r="P106" s="11"/>
      <c r="Q106" s="12">
        <v>0</v>
      </c>
      <c r="R106" s="11"/>
      <c r="S106" s="12">
        <v>0</v>
      </c>
      <c r="T106" s="11"/>
      <c r="U106" s="12">
        <v>0</v>
      </c>
    </row>
    <row r="107" spans="1:21" x14ac:dyDescent="0.45">
      <c r="A107" s="13">
        <v>108</v>
      </c>
      <c r="B107" s="13">
        <v>1</v>
      </c>
      <c r="C107" s="13" t="s">
        <v>189</v>
      </c>
      <c r="D107" s="13" t="s">
        <v>189</v>
      </c>
      <c r="E107" s="13">
        <v>0</v>
      </c>
      <c r="F107" s="13">
        <v>109</v>
      </c>
      <c r="G107" s="13">
        <v>3</v>
      </c>
      <c r="H107" s="13">
        <v>0</v>
      </c>
      <c r="I107" s="13">
        <v>0</v>
      </c>
      <c r="J107" s="11"/>
      <c r="K107" s="11" t="s">
        <v>66</v>
      </c>
      <c r="L107" s="11"/>
      <c r="M107" s="12"/>
      <c r="N107" s="11"/>
      <c r="O107" s="12"/>
      <c r="P107" s="11"/>
      <c r="Q107" s="12"/>
      <c r="R107" s="11"/>
      <c r="S107" s="12"/>
      <c r="T107" s="11"/>
      <c r="U107" s="12"/>
    </row>
    <row r="108" spans="1:21" x14ac:dyDescent="0.45">
      <c r="A108" s="13">
        <v>109</v>
      </c>
      <c r="B108" s="13">
        <v>0</v>
      </c>
      <c r="C108" s="13" t="s">
        <v>190</v>
      </c>
      <c r="D108" s="13" t="s">
        <v>190</v>
      </c>
      <c r="E108" s="13">
        <v>0</v>
      </c>
      <c r="F108" s="13">
        <v>0</v>
      </c>
      <c r="G108" s="13">
        <v>3</v>
      </c>
      <c r="H108" s="13">
        <v>0</v>
      </c>
      <c r="I108" s="13">
        <v>0</v>
      </c>
      <c r="J108" s="11"/>
      <c r="K108" s="11" t="s">
        <v>66</v>
      </c>
      <c r="L108" s="11"/>
      <c r="M108" s="12"/>
      <c r="N108" s="11"/>
      <c r="O108" s="12"/>
      <c r="P108" s="11"/>
      <c r="Q108" s="12"/>
      <c r="R108" s="11"/>
      <c r="S108" s="12"/>
      <c r="T108" s="11"/>
      <c r="U108" s="12"/>
    </row>
    <row r="109" spans="1:21" s="29" customFormat="1" x14ac:dyDescent="0.45">
      <c r="A109" s="26">
        <v>110</v>
      </c>
      <c r="B109" s="26">
        <v>1</v>
      </c>
      <c r="C109" s="26" t="s">
        <v>191</v>
      </c>
      <c r="D109" s="26" t="s">
        <v>192</v>
      </c>
      <c r="E109" s="26">
        <v>0</v>
      </c>
      <c r="F109" s="26">
        <v>111</v>
      </c>
      <c r="G109" s="26">
        <v>1</v>
      </c>
      <c r="H109" s="26">
        <v>2</v>
      </c>
      <c r="I109" s="26">
        <v>0</v>
      </c>
      <c r="J109" s="27"/>
      <c r="K109" s="27" t="s">
        <v>66</v>
      </c>
      <c r="L109" s="27" t="s">
        <v>192</v>
      </c>
      <c r="M109" s="28">
        <v>0</v>
      </c>
      <c r="N109" s="27" t="s">
        <v>116</v>
      </c>
      <c r="O109" s="28">
        <v>0</v>
      </c>
      <c r="P109" s="27"/>
      <c r="Q109" s="28">
        <v>0</v>
      </c>
      <c r="R109" s="27"/>
      <c r="S109" s="28">
        <v>0</v>
      </c>
      <c r="T109" s="27"/>
      <c r="U109" s="28">
        <v>0</v>
      </c>
    </row>
    <row r="110" spans="1:21" s="29" customFormat="1" x14ac:dyDescent="0.45">
      <c r="A110" s="26">
        <v>111</v>
      </c>
      <c r="B110" s="26">
        <v>0</v>
      </c>
      <c r="C110" s="26" t="s">
        <v>193</v>
      </c>
      <c r="D110" s="26" t="s">
        <v>193</v>
      </c>
      <c r="E110" s="26">
        <v>0</v>
      </c>
      <c r="F110" s="26">
        <v>0</v>
      </c>
      <c r="G110" s="26">
        <v>3</v>
      </c>
      <c r="H110" s="26">
        <v>0</v>
      </c>
      <c r="I110" s="26">
        <v>0</v>
      </c>
      <c r="J110" s="27"/>
      <c r="K110" s="27" t="s">
        <v>66</v>
      </c>
      <c r="L110" s="27"/>
      <c r="M110" s="28"/>
      <c r="N110" s="27"/>
      <c r="O110" s="28"/>
      <c r="P110" s="27"/>
      <c r="Q110" s="28"/>
      <c r="R110" s="27"/>
      <c r="S110" s="28"/>
      <c r="T110" s="27"/>
      <c r="U110" s="28"/>
    </row>
    <row r="111" spans="1:21" x14ac:dyDescent="0.45">
      <c r="A111" s="13">
        <v>112</v>
      </c>
      <c r="B111" s="13">
        <v>1</v>
      </c>
      <c r="C111" s="13" t="s">
        <v>194</v>
      </c>
      <c r="D111" s="13" t="s">
        <v>194</v>
      </c>
      <c r="E111" s="13">
        <v>0</v>
      </c>
      <c r="F111" s="13">
        <v>113</v>
      </c>
      <c r="G111" s="13">
        <v>3</v>
      </c>
      <c r="H111" s="13">
        <v>0</v>
      </c>
      <c r="I111" s="13">
        <v>0</v>
      </c>
      <c r="J111" s="11"/>
      <c r="K111" s="11" t="s">
        <v>66</v>
      </c>
      <c r="L111" s="11"/>
      <c r="M111" s="12"/>
      <c r="N111" s="11"/>
      <c r="O111" s="12"/>
      <c r="P111" s="11"/>
      <c r="Q111" s="12"/>
      <c r="R111" s="11"/>
      <c r="S111" s="12"/>
      <c r="T111" s="11"/>
      <c r="U111" s="12"/>
    </row>
    <row r="112" spans="1:21" x14ac:dyDescent="0.45">
      <c r="A112" s="13">
        <v>113</v>
      </c>
      <c r="B112" s="13">
        <v>0</v>
      </c>
      <c r="C112" s="13" t="s">
        <v>195</v>
      </c>
      <c r="D112" s="13" t="s">
        <v>195</v>
      </c>
      <c r="E112" s="13">
        <v>0</v>
      </c>
      <c r="F112" s="13">
        <v>0</v>
      </c>
      <c r="G112" s="13">
        <v>3</v>
      </c>
      <c r="H112" s="13">
        <v>0</v>
      </c>
      <c r="I112" s="13">
        <v>0</v>
      </c>
      <c r="J112" s="11"/>
      <c r="K112" s="11" t="s">
        <v>66</v>
      </c>
      <c r="L112" s="11"/>
      <c r="M112" s="12"/>
      <c r="N112" s="11"/>
      <c r="O112" s="12"/>
      <c r="P112" s="11"/>
      <c r="Q112" s="12"/>
      <c r="R112" s="11"/>
      <c r="S112" s="12"/>
      <c r="T112" s="11"/>
      <c r="U112" s="12"/>
    </row>
    <row r="113" spans="1:21" x14ac:dyDescent="0.45">
      <c r="A113" s="13">
        <v>114</v>
      </c>
      <c r="B113" s="13">
        <v>1</v>
      </c>
      <c r="C113" s="13" t="s">
        <v>8</v>
      </c>
      <c r="D113" s="13" t="s">
        <v>8</v>
      </c>
      <c r="E113" s="13">
        <v>0</v>
      </c>
      <c r="F113" s="13">
        <v>484</v>
      </c>
      <c r="G113" s="13">
        <v>3</v>
      </c>
      <c r="H113" s="13">
        <v>0</v>
      </c>
      <c r="I113" s="13">
        <v>0</v>
      </c>
      <c r="J113" s="11"/>
      <c r="K113" s="11" t="s">
        <v>66</v>
      </c>
      <c r="L113" s="11"/>
      <c r="M113" s="12">
        <v>0</v>
      </c>
      <c r="N113" s="11"/>
      <c r="O113" s="12">
        <v>0</v>
      </c>
      <c r="P113" s="11"/>
      <c r="Q113" s="12">
        <v>0</v>
      </c>
      <c r="R113" s="11"/>
      <c r="S113" s="12">
        <v>0</v>
      </c>
      <c r="T113" s="11"/>
      <c r="U113" s="12">
        <v>0</v>
      </c>
    </row>
    <row r="114" spans="1:21" x14ac:dyDescent="0.45">
      <c r="A114" s="13">
        <v>115</v>
      </c>
      <c r="B114" s="13">
        <v>1</v>
      </c>
      <c r="C114" s="13" t="s">
        <v>196</v>
      </c>
      <c r="D114" s="13" t="s">
        <v>196</v>
      </c>
      <c r="E114" s="13">
        <v>0</v>
      </c>
      <c r="F114" s="13">
        <v>0</v>
      </c>
      <c r="G114" s="13">
        <v>3</v>
      </c>
      <c r="H114" s="13">
        <v>0</v>
      </c>
      <c r="I114" s="13">
        <v>0</v>
      </c>
      <c r="J114" s="11"/>
      <c r="K114" s="11" t="s">
        <v>66</v>
      </c>
      <c r="L114" s="11" t="s">
        <v>196</v>
      </c>
      <c r="M114" s="12">
        <v>0</v>
      </c>
      <c r="N114" s="11"/>
      <c r="O114" s="12">
        <v>0</v>
      </c>
      <c r="P114" s="11"/>
      <c r="Q114" s="12">
        <v>0</v>
      </c>
      <c r="R114" s="11"/>
      <c r="S114" s="12">
        <v>0</v>
      </c>
      <c r="T114" s="11"/>
      <c r="U114" s="12">
        <v>0</v>
      </c>
    </row>
    <row r="115" spans="1:21" x14ac:dyDescent="0.45">
      <c r="A115" s="13">
        <v>116</v>
      </c>
      <c r="B115" s="13">
        <v>1</v>
      </c>
      <c r="C115" s="13" t="s">
        <v>197</v>
      </c>
      <c r="D115" s="13" t="s">
        <v>197</v>
      </c>
      <c r="E115" s="13">
        <v>0</v>
      </c>
      <c r="F115" s="13">
        <v>0</v>
      </c>
      <c r="G115" s="13">
        <v>3</v>
      </c>
      <c r="H115" s="13">
        <v>2</v>
      </c>
      <c r="I115" s="13">
        <v>0</v>
      </c>
      <c r="J115" s="11"/>
      <c r="K115" s="11" t="s">
        <v>66</v>
      </c>
      <c r="L115" s="11" t="s">
        <v>197</v>
      </c>
      <c r="M115" s="12">
        <v>0</v>
      </c>
      <c r="N115" s="11"/>
      <c r="O115" s="12">
        <v>0</v>
      </c>
      <c r="P115" s="11"/>
      <c r="Q115" s="12">
        <v>0</v>
      </c>
      <c r="R115" s="11"/>
      <c r="S115" s="12">
        <v>0</v>
      </c>
      <c r="T115" s="11"/>
      <c r="U115" s="12">
        <v>0</v>
      </c>
    </row>
    <row r="116" spans="1:21" x14ac:dyDescent="0.45">
      <c r="A116" s="13">
        <v>117</v>
      </c>
      <c r="B116" s="13">
        <v>1</v>
      </c>
      <c r="C116" s="13" t="s">
        <v>198</v>
      </c>
      <c r="D116" s="13" t="s">
        <v>198</v>
      </c>
      <c r="E116" s="13">
        <v>0</v>
      </c>
      <c r="F116" s="13">
        <v>0</v>
      </c>
      <c r="G116" s="13">
        <v>3</v>
      </c>
      <c r="H116" s="13">
        <v>0</v>
      </c>
      <c r="I116" s="13">
        <v>0</v>
      </c>
      <c r="J116" s="11"/>
      <c r="K116" s="11" t="s">
        <v>66</v>
      </c>
      <c r="L116" s="11"/>
      <c r="M116" s="12"/>
      <c r="N116" s="11"/>
      <c r="O116" s="12"/>
      <c r="P116" s="11"/>
      <c r="Q116" s="12"/>
      <c r="R116" s="11"/>
      <c r="S116" s="12"/>
      <c r="T116" s="11"/>
      <c r="U116" s="12"/>
    </row>
    <row r="117" spans="1:21" x14ac:dyDescent="0.45">
      <c r="A117" s="13">
        <v>118</v>
      </c>
      <c r="B117" s="13">
        <v>1</v>
      </c>
      <c r="C117" s="13" t="s">
        <v>199</v>
      </c>
      <c r="D117" s="13" t="s">
        <v>199</v>
      </c>
      <c r="E117" s="13">
        <v>0</v>
      </c>
      <c r="F117" s="13">
        <v>0</v>
      </c>
      <c r="G117" s="13">
        <v>3</v>
      </c>
      <c r="H117" s="13">
        <v>0</v>
      </c>
      <c r="I117" s="13">
        <v>0</v>
      </c>
      <c r="J117" s="11"/>
      <c r="K117" s="11" t="s">
        <v>66</v>
      </c>
      <c r="L117" s="11"/>
      <c r="M117" s="12"/>
      <c r="N117" s="11"/>
      <c r="O117" s="12"/>
      <c r="P117" s="11"/>
      <c r="Q117" s="12"/>
      <c r="R117" s="11"/>
      <c r="S117" s="12"/>
      <c r="T117" s="11"/>
      <c r="U117" s="12"/>
    </row>
    <row r="118" spans="1:21" x14ac:dyDescent="0.45">
      <c r="A118" s="13">
        <v>119</v>
      </c>
      <c r="B118" s="13">
        <v>1</v>
      </c>
      <c r="C118" s="13" t="s">
        <v>200</v>
      </c>
      <c r="D118" s="13" t="s">
        <v>200</v>
      </c>
      <c r="E118" s="13">
        <v>0</v>
      </c>
      <c r="F118" s="13">
        <v>0</v>
      </c>
      <c r="G118" s="13">
        <v>3</v>
      </c>
      <c r="H118" s="13">
        <v>0</v>
      </c>
      <c r="I118" s="13">
        <v>0</v>
      </c>
      <c r="J118" s="11"/>
      <c r="K118" s="11" t="s">
        <v>66</v>
      </c>
      <c r="L118" s="11"/>
      <c r="M118" s="12"/>
      <c r="N118" s="11"/>
      <c r="O118" s="12"/>
      <c r="P118" s="11"/>
      <c r="Q118" s="12"/>
      <c r="R118" s="11"/>
      <c r="S118" s="12"/>
      <c r="T118" s="11"/>
      <c r="U118" s="12"/>
    </row>
    <row r="119" spans="1:21" x14ac:dyDescent="0.45">
      <c r="A119" s="13">
        <v>120</v>
      </c>
      <c r="B119" s="13">
        <v>1</v>
      </c>
      <c r="C119" s="13" t="s">
        <v>201</v>
      </c>
      <c r="D119" s="13" t="s">
        <v>201</v>
      </c>
      <c r="E119" s="13">
        <v>0</v>
      </c>
      <c r="F119" s="13">
        <v>0</v>
      </c>
      <c r="G119" s="13">
        <v>3</v>
      </c>
      <c r="H119" s="13">
        <v>0</v>
      </c>
      <c r="I119" s="13">
        <v>0</v>
      </c>
      <c r="J119" s="11"/>
      <c r="K119" s="11" t="s">
        <v>66</v>
      </c>
      <c r="L119" s="11"/>
      <c r="M119" s="12"/>
      <c r="N119" s="11"/>
      <c r="O119" s="12"/>
      <c r="P119" s="11"/>
      <c r="Q119" s="12"/>
      <c r="R119" s="11"/>
      <c r="S119" s="12"/>
      <c r="T119" s="11"/>
      <c r="U119" s="12"/>
    </row>
    <row r="120" spans="1:21" x14ac:dyDescent="0.45">
      <c r="A120" s="13">
        <v>121</v>
      </c>
      <c r="B120" s="13">
        <v>1</v>
      </c>
      <c r="C120" s="13" t="s">
        <v>202</v>
      </c>
      <c r="D120" s="13" t="s">
        <v>202</v>
      </c>
      <c r="E120" s="13">
        <v>0</v>
      </c>
      <c r="F120" s="13">
        <v>0</v>
      </c>
      <c r="G120" s="13">
        <v>3</v>
      </c>
      <c r="H120" s="13">
        <v>0</v>
      </c>
      <c r="I120" s="13">
        <v>0</v>
      </c>
      <c r="J120" s="11"/>
      <c r="K120" s="11" t="s">
        <v>66</v>
      </c>
      <c r="L120" s="11"/>
      <c r="M120" s="12"/>
      <c r="N120" s="11"/>
      <c r="O120" s="12"/>
      <c r="P120" s="11"/>
      <c r="Q120" s="12"/>
      <c r="R120" s="11"/>
      <c r="S120" s="12"/>
      <c r="T120" s="11"/>
      <c r="U120" s="12"/>
    </row>
    <row r="121" spans="1:21" x14ac:dyDescent="0.45">
      <c r="A121" s="13">
        <v>122</v>
      </c>
      <c r="B121" s="13">
        <v>1</v>
      </c>
      <c r="C121" s="13" t="s">
        <v>203</v>
      </c>
      <c r="D121" s="13" t="s">
        <v>203</v>
      </c>
      <c r="E121" s="13">
        <v>0</v>
      </c>
      <c r="F121" s="13">
        <v>0</v>
      </c>
      <c r="G121" s="13">
        <v>3</v>
      </c>
      <c r="H121" s="13">
        <v>0</v>
      </c>
      <c r="I121" s="13">
        <v>0</v>
      </c>
      <c r="J121" s="11"/>
      <c r="K121" s="11" t="s">
        <v>66</v>
      </c>
      <c r="L121" s="11"/>
      <c r="M121" s="12"/>
      <c r="N121" s="11"/>
      <c r="O121" s="12"/>
      <c r="P121" s="11"/>
      <c r="Q121" s="12"/>
      <c r="R121" s="11"/>
      <c r="S121" s="12"/>
      <c r="T121" s="11"/>
      <c r="U121" s="12"/>
    </row>
    <row r="122" spans="1:21" x14ac:dyDescent="0.45">
      <c r="A122" s="13">
        <v>123</v>
      </c>
      <c r="B122" s="13">
        <v>0</v>
      </c>
      <c r="C122" s="13" t="s">
        <v>204</v>
      </c>
      <c r="D122" s="13" t="s">
        <v>204</v>
      </c>
      <c r="E122" s="13">
        <v>0</v>
      </c>
      <c r="F122" s="13">
        <v>0</v>
      </c>
      <c r="G122" s="13">
        <v>1</v>
      </c>
      <c r="H122" s="13">
        <v>0</v>
      </c>
      <c r="I122" s="13">
        <v>0</v>
      </c>
      <c r="J122" s="11"/>
      <c r="K122" s="11" t="s">
        <v>66</v>
      </c>
      <c r="L122" s="11"/>
      <c r="M122" s="12">
        <v>0</v>
      </c>
      <c r="N122" s="11"/>
      <c r="O122" s="12">
        <v>0</v>
      </c>
      <c r="P122" s="11"/>
      <c r="Q122" s="12">
        <v>0</v>
      </c>
      <c r="R122" s="11"/>
      <c r="S122" s="12">
        <v>0</v>
      </c>
      <c r="T122" s="11"/>
      <c r="U122" s="12">
        <v>0</v>
      </c>
    </row>
    <row r="123" spans="1:21" s="29" customFormat="1" x14ac:dyDescent="0.45">
      <c r="A123" s="26">
        <v>124</v>
      </c>
      <c r="B123" s="26">
        <v>1</v>
      </c>
      <c r="C123" s="26" t="s">
        <v>205</v>
      </c>
      <c r="D123" s="26" t="s">
        <v>205</v>
      </c>
      <c r="E123" s="26">
        <v>0</v>
      </c>
      <c r="F123" s="26">
        <v>0</v>
      </c>
      <c r="G123" s="26">
        <v>3</v>
      </c>
      <c r="H123" s="26">
        <v>0</v>
      </c>
      <c r="I123" s="26">
        <v>0</v>
      </c>
      <c r="J123" s="27"/>
      <c r="K123" s="27" t="s">
        <v>66</v>
      </c>
      <c r="L123" s="27"/>
      <c r="M123" s="28">
        <v>0</v>
      </c>
      <c r="N123" s="27"/>
      <c r="O123" s="28">
        <v>0</v>
      </c>
      <c r="P123" s="27"/>
      <c r="Q123" s="28">
        <v>0</v>
      </c>
      <c r="R123" s="27"/>
      <c r="S123" s="28">
        <v>0</v>
      </c>
      <c r="T123" s="27"/>
      <c r="U123" s="28">
        <v>0</v>
      </c>
    </row>
    <row r="124" spans="1:21" s="29" customFormat="1" x14ac:dyDescent="0.45">
      <c r="A124" s="26">
        <v>125</v>
      </c>
      <c r="B124" s="26">
        <v>1</v>
      </c>
      <c r="C124" s="26" t="s">
        <v>206</v>
      </c>
      <c r="D124" s="26" t="s">
        <v>206</v>
      </c>
      <c r="E124" s="26">
        <v>0</v>
      </c>
      <c r="F124" s="26">
        <v>0</v>
      </c>
      <c r="G124" s="26">
        <v>3</v>
      </c>
      <c r="H124" s="26">
        <v>0</v>
      </c>
      <c r="I124" s="26">
        <v>0</v>
      </c>
      <c r="J124" s="27"/>
      <c r="K124" s="27" t="s">
        <v>66</v>
      </c>
      <c r="L124" s="27"/>
      <c r="M124" s="28">
        <v>0</v>
      </c>
      <c r="N124" s="27"/>
      <c r="O124" s="28">
        <v>0</v>
      </c>
      <c r="P124" s="27"/>
      <c r="Q124" s="28">
        <v>0</v>
      </c>
      <c r="R124" s="27"/>
      <c r="S124" s="28">
        <v>0</v>
      </c>
      <c r="T124" s="27"/>
      <c r="U124" s="28">
        <v>0</v>
      </c>
    </row>
    <row r="125" spans="1:21" s="29" customFormat="1" x14ac:dyDescent="0.45">
      <c r="A125" s="26">
        <v>126</v>
      </c>
      <c r="B125" s="26">
        <v>1</v>
      </c>
      <c r="C125" s="26" t="s">
        <v>207</v>
      </c>
      <c r="D125" s="26" t="s">
        <v>207</v>
      </c>
      <c r="E125" s="26">
        <v>0</v>
      </c>
      <c r="F125" s="26">
        <v>0</v>
      </c>
      <c r="G125" s="26">
        <v>3</v>
      </c>
      <c r="H125" s="26">
        <v>0</v>
      </c>
      <c r="I125" s="26">
        <v>0</v>
      </c>
      <c r="J125" s="27"/>
      <c r="K125" s="27" t="s">
        <v>66</v>
      </c>
      <c r="L125" s="27"/>
      <c r="M125" s="28"/>
      <c r="N125" s="27"/>
      <c r="O125" s="28"/>
      <c r="P125" s="27"/>
      <c r="Q125" s="28"/>
      <c r="R125" s="27"/>
      <c r="S125" s="28"/>
      <c r="T125" s="27"/>
      <c r="U125" s="28"/>
    </row>
    <row r="126" spans="1:21" x14ac:dyDescent="0.45">
      <c r="A126" s="13">
        <v>127</v>
      </c>
      <c r="B126" s="13">
        <v>1</v>
      </c>
      <c r="C126" s="13" t="s">
        <v>208</v>
      </c>
      <c r="D126" s="13" t="s">
        <v>208</v>
      </c>
      <c r="E126" s="13">
        <v>0</v>
      </c>
      <c r="F126" s="13">
        <v>0</v>
      </c>
      <c r="G126" s="13">
        <v>3</v>
      </c>
      <c r="H126" s="13">
        <v>0</v>
      </c>
      <c r="I126" s="13">
        <v>0</v>
      </c>
      <c r="J126" s="11"/>
      <c r="K126" s="11" t="s">
        <v>66</v>
      </c>
      <c r="L126" s="11"/>
      <c r="M126" s="12"/>
      <c r="N126" s="11"/>
      <c r="O126" s="12"/>
      <c r="P126" s="11"/>
      <c r="Q126" s="12"/>
      <c r="R126" s="11"/>
      <c r="S126" s="12"/>
      <c r="T126" s="11"/>
      <c r="U126" s="12"/>
    </row>
    <row r="127" spans="1:21" x14ac:dyDescent="0.45">
      <c r="A127" s="13">
        <v>128</v>
      </c>
      <c r="B127" s="13">
        <v>1</v>
      </c>
      <c r="C127" s="13" t="s">
        <v>209</v>
      </c>
      <c r="D127" s="13" t="s">
        <v>209</v>
      </c>
      <c r="E127" s="13">
        <v>0</v>
      </c>
      <c r="F127" s="13">
        <v>0</v>
      </c>
      <c r="G127" s="13">
        <v>3</v>
      </c>
      <c r="H127" s="13">
        <v>0</v>
      </c>
      <c r="I127" s="13">
        <v>0</v>
      </c>
      <c r="J127" s="11"/>
      <c r="K127" s="11" t="s">
        <v>66</v>
      </c>
      <c r="L127" s="11"/>
      <c r="M127" s="12"/>
      <c r="N127" s="11"/>
      <c r="O127" s="12"/>
      <c r="P127" s="11"/>
      <c r="Q127" s="12"/>
      <c r="R127" s="11"/>
      <c r="S127" s="12"/>
      <c r="T127" s="11"/>
      <c r="U127" s="12"/>
    </row>
    <row r="128" spans="1:21" x14ac:dyDescent="0.45">
      <c r="A128" s="13">
        <v>129</v>
      </c>
      <c r="B128" s="13">
        <v>1</v>
      </c>
      <c r="C128" s="13" t="s">
        <v>210</v>
      </c>
      <c r="D128" s="13" t="s">
        <v>210</v>
      </c>
      <c r="E128" s="13">
        <v>0</v>
      </c>
      <c r="F128" s="13">
        <v>0</v>
      </c>
      <c r="G128" s="13">
        <v>1</v>
      </c>
      <c r="H128" s="13">
        <v>1</v>
      </c>
      <c r="I128" s="13">
        <v>69</v>
      </c>
      <c r="J128" s="11"/>
      <c r="K128" s="11" t="s">
        <v>66</v>
      </c>
      <c r="L128" s="11"/>
      <c r="M128" s="12">
        <v>0</v>
      </c>
      <c r="N128" s="11"/>
      <c r="O128" s="12">
        <v>0</v>
      </c>
      <c r="P128" s="11"/>
      <c r="Q128" s="12">
        <v>0</v>
      </c>
      <c r="R128" s="11"/>
      <c r="S128" s="12">
        <v>0</v>
      </c>
      <c r="T128" s="11"/>
      <c r="U128" s="12">
        <v>0</v>
      </c>
    </row>
    <row r="129" spans="1:21" x14ac:dyDescent="0.45">
      <c r="A129" s="13">
        <v>130</v>
      </c>
      <c r="B129" s="13">
        <v>1</v>
      </c>
      <c r="C129" s="13" t="s">
        <v>211</v>
      </c>
      <c r="D129" s="13" t="s">
        <v>211</v>
      </c>
      <c r="E129" s="13">
        <v>0</v>
      </c>
      <c r="F129" s="13">
        <v>0</v>
      </c>
      <c r="G129" s="13">
        <v>3</v>
      </c>
      <c r="H129" s="13">
        <v>0</v>
      </c>
      <c r="I129" s="13">
        <v>0</v>
      </c>
      <c r="J129" s="11"/>
      <c r="K129" s="11" t="s">
        <v>66</v>
      </c>
      <c r="L129" s="11"/>
      <c r="M129" s="12">
        <v>0</v>
      </c>
      <c r="N129" s="11"/>
      <c r="O129" s="12">
        <v>0</v>
      </c>
      <c r="P129" s="11"/>
      <c r="Q129" s="12">
        <v>0</v>
      </c>
      <c r="R129" s="11"/>
      <c r="S129" s="12">
        <v>0</v>
      </c>
      <c r="T129" s="11"/>
      <c r="U129" s="12">
        <v>0</v>
      </c>
    </row>
    <row r="130" spans="1:21" x14ac:dyDescent="0.45">
      <c r="A130" s="13">
        <v>131</v>
      </c>
      <c r="B130" s="13">
        <v>1</v>
      </c>
      <c r="C130" s="13" t="s">
        <v>212</v>
      </c>
      <c r="D130" s="13" t="s">
        <v>212</v>
      </c>
      <c r="E130" s="13">
        <v>0</v>
      </c>
      <c r="F130" s="13">
        <v>0</v>
      </c>
      <c r="G130" s="13">
        <v>3</v>
      </c>
      <c r="H130" s="13">
        <v>0</v>
      </c>
      <c r="I130" s="13">
        <v>0</v>
      </c>
      <c r="J130" s="11"/>
      <c r="K130" s="11" t="s">
        <v>66</v>
      </c>
      <c r="L130" s="11"/>
      <c r="M130" s="12"/>
      <c r="N130" s="11"/>
      <c r="O130" s="12"/>
      <c r="P130" s="11"/>
      <c r="Q130" s="12"/>
      <c r="R130" s="11"/>
      <c r="S130" s="12"/>
      <c r="T130" s="11"/>
      <c r="U130" s="12"/>
    </row>
    <row r="131" spans="1:21" x14ac:dyDescent="0.45">
      <c r="A131" s="13">
        <v>132</v>
      </c>
      <c r="B131" s="13">
        <v>1</v>
      </c>
      <c r="C131" s="13" t="s">
        <v>213</v>
      </c>
      <c r="D131" s="13" t="s">
        <v>213</v>
      </c>
      <c r="E131" s="13">
        <v>0</v>
      </c>
      <c r="F131" s="13">
        <v>0</v>
      </c>
      <c r="G131" s="13">
        <v>2</v>
      </c>
      <c r="H131" s="13">
        <v>0</v>
      </c>
      <c r="I131" s="13">
        <v>0</v>
      </c>
      <c r="J131" s="11"/>
      <c r="K131" s="11" t="s">
        <v>66</v>
      </c>
      <c r="L131" s="11"/>
      <c r="M131" s="12"/>
      <c r="N131" s="11"/>
      <c r="O131" s="12"/>
      <c r="P131" s="11"/>
      <c r="Q131" s="12"/>
      <c r="R131" s="11"/>
      <c r="S131" s="12"/>
      <c r="T131" s="11"/>
      <c r="U131" s="12"/>
    </row>
    <row r="132" spans="1:21" s="29" customFormat="1" x14ac:dyDescent="0.45">
      <c r="A132" s="26">
        <v>133</v>
      </c>
      <c r="B132" s="26">
        <v>1</v>
      </c>
      <c r="C132" s="26" t="s">
        <v>214</v>
      </c>
      <c r="D132" s="26" t="s">
        <v>214</v>
      </c>
      <c r="E132" s="26">
        <v>0</v>
      </c>
      <c r="F132" s="26">
        <v>0</v>
      </c>
      <c r="G132" s="26">
        <v>2</v>
      </c>
      <c r="H132" s="26">
        <v>2</v>
      </c>
      <c r="I132" s="26">
        <v>0</v>
      </c>
      <c r="J132" s="27"/>
      <c r="K132" s="27"/>
      <c r="L132" s="27" t="s">
        <v>215</v>
      </c>
      <c r="M132" s="28">
        <v>0</v>
      </c>
      <c r="N132" s="27"/>
      <c r="O132" s="28">
        <v>0</v>
      </c>
      <c r="P132" s="27"/>
      <c r="Q132" s="28">
        <v>0</v>
      </c>
      <c r="R132" s="27"/>
      <c r="S132" s="28"/>
      <c r="T132" s="27"/>
      <c r="U132" s="28"/>
    </row>
    <row r="133" spans="1:21" x14ac:dyDescent="0.45">
      <c r="A133" s="13">
        <v>134</v>
      </c>
      <c r="B133" s="13">
        <v>1</v>
      </c>
      <c r="C133" s="13" t="s">
        <v>216</v>
      </c>
      <c r="D133" s="13" t="s">
        <v>216</v>
      </c>
      <c r="E133" s="13">
        <v>0</v>
      </c>
      <c r="F133" s="13">
        <v>604</v>
      </c>
      <c r="G133" s="13">
        <v>1</v>
      </c>
      <c r="H133" s="13">
        <v>1</v>
      </c>
      <c r="I133" s="13">
        <v>0</v>
      </c>
      <c r="J133" s="11"/>
      <c r="K133" s="11" t="s">
        <v>66</v>
      </c>
      <c r="L133" s="11"/>
      <c r="M133" s="12">
        <v>0</v>
      </c>
      <c r="N133" s="11"/>
      <c r="O133" s="12">
        <v>0</v>
      </c>
      <c r="P133" s="11"/>
      <c r="Q133" s="12">
        <v>0</v>
      </c>
      <c r="R133" s="11"/>
      <c r="S133" s="12">
        <v>0</v>
      </c>
      <c r="T133" s="11"/>
      <c r="U133" s="12">
        <v>0</v>
      </c>
    </row>
    <row r="134" spans="1:21" x14ac:dyDescent="0.45">
      <c r="A134" s="13">
        <v>135</v>
      </c>
      <c r="B134" s="13">
        <v>1</v>
      </c>
      <c r="C134" s="13" t="s">
        <v>217</v>
      </c>
      <c r="D134" s="13" t="s">
        <v>217</v>
      </c>
      <c r="E134" s="13">
        <v>0</v>
      </c>
      <c r="F134" s="13">
        <v>0</v>
      </c>
      <c r="G134" s="13">
        <v>2</v>
      </c>
      <c r="H134" s="13">
        <v>0</v>
      </c>
      <c r="I134" s="13">
        <v>0</v>
      </c>
      <c r="J134" s="11"/>
      <c r="K134" s="11" t="s">
        <v>66</v>
      </c>
      <c r="L134" s="11"/>
      <c r="M134" s="12"/>
      <c r="N134" s="11"/>
      <c r="O134" s="12"/>
      <c r="P134" s="11"/>
      <c r="Q134" s="12"/>
      <c r="R134" s="11"/>
      <c r="S134" s="12"/>
      <c r="T134" s="11"/>
      <c r="U134" s="12"/>
    </row>
    <row r="135" spans="1:21" x14ac:dyDescent="0.45">
      <c r="A135" s="13">
        <v>136</v>
      </c>
      <c r="B135" s="13">
        <v>1</v>
      </c>
      <c r="C135" s="13" t="s">
        <v>218</v>
      </c>
      <c r="D135" s="13" t="s">
        <v>218</v>
      </c>
      <c r="E135" s="13">
        <v>0</v>
      </c>
      <c r="F135" s="13">
        <v>522</v>
      </c>
      <c r="G135" s="13">
        <v>1</v>
      </c>
      <c r="H135" s="13">
        <v>2</v>
      </c>
      <c r="I135" s="13">
        <v>0</v>
      </c>
      <c r="J135" s="11"/>
      <c r="K135" s="11" t="s">
        <v>66</v>
      </c>
      <c r="L135" s="11" t="s">
        <v>218</v>
      </c>
      <c r="M135" s="12">
        <v>1</v>
      </c>
      <c r="N135" s="11"/>
      <c r="O135" s="12">
        <v>0</v>
      </c>
      <c r="P135" s="11"/>
      <c r="Q135" s="12">
        <v>0</v>
      </c>
      <c r="R135" s="11"/>
      <c r="S135" s="12">
        <v>0</v>
      </c>
      <c r="T135" s="11"/>
      <c r="U135" s="12">
        <v>0</v>
      </c>
    </row>
    <row r="136" spans="1:21" x14ac:dyDescent="0.45">
      <c r="A136" s="13">
        <v>137</v>
      </c>
      <c r="B136" s="13">
        <v>1</v>
      </c>
      <c r="C136" s="13" t="s">
        <v>219</v>
      </c>
      <c r="D136" s="13" t="s">
        <v>219</v>
      </c>
      <c r="E136" s="13">
        <v>0</v>
      </c>
      <c r="F136" s="13">
        <v>492</v>
      </c>
      <c r="G136" s="13">
        <v>1</v>
      </c>
      <c r="H136" s="13">
        <v>2</v>
      </c>
      <c r="I136" s="13">
        <v>0</v>
      </c>
      <c r="J136" s="11"/>
      <c r="K136" s="11" t="s">
        <v>66</v>
      </c>
      <c r="L136" s="11" t="s">
        <v>47</v>
      </c>
      <c r="M136" s="12">
        <v>1</v>
      </c>
      <c r="N136" s="11" t="s">
        <v>115</v>
      </c>
      <c r="O136" s="12">
        <v>0</v>
      </c>
      <c r="P136" s="11" t="s">
        <v>67</v>
      </c>
      <c r="Q136" s="12">
        <v>0</v>
      </c>
      <c r="R136" s="11" t="s">
        <v>112</v>
      </c>
      <c r="S136" s="12">
        <v>0</v>
      </c>
      <c r="T136" s="11" t="s">
        <v>220</v>
      </c>
      <c r="U136" s="12">
        <v>0</v>
      </c>
    </row>
    <row r="137" spans="1:21" x14ac:dyDescent="0.45">
      <c r="A137" s="13">
        <v>138</v>
      </c>
      <c r="B137" s="13">
        <v>1</v>
      </c>
      <c r="C137" s="13" t="s">
        <v>221</v>
      </c>
      <c r="D137" s="13" t="s">
        <v>221</v>
      </c>
      <c r="E137" s="13">
        <v>0</v>
      </c>
      <c r="F137" s="13">
        <v>0</v>
      </c>
      <c r="G137" s="13">
        <v>1</v>
      </c>
      <c r="H137" s="13">
        <v>0</v>
      </c>
      <c r="I137" s="13">
        <v>0</v>
      </c>
      <c r="J137" s="11"/>
      <c r="K137" s="11" t="s">
        <v>66</v>
      </c>
      <c r="L137" s="11"/>
      <c r="M137" s="12">
        <v>0</v>
      </c>
      <c r="N137" s="11"/>
      <c r="O137" s="12">
        <v>0</v>
      </c>
      <c r="P137" s="11"/>
      <c r="Q137" s="12">
        <v>0</v>
      </c>
      <c r="R137" s="11"/>
      <c r="S137" s="12">
        <v>0</v>
      </c>
      <c r="T137" s="11"/>
      <c r="U137" s="12">
        <v>0</v>
      </c>
    </row>
    <row r="138" spans="1:21" s="29" customFormat="1" x14ac:dyDescent="0.45">
      <c r="A138" s="26">
        <v>139</v>
      </c>
      <c r="B138" s="26">
        <v>1</v>
      </c>
      <c r="C138" s="26" t="s">
        <v>222</v>
      </c>
      <c r="D138" s="26" t="s">
        <v>222</v>
      </c>
      <c r="E138" s="26">
        <v>0</v>
      </c>
      <c r="F138" s="26">
        <v>0</v>
      </c>
      <c r="G138" s="26">
        <v>1</v>
      </c>
      <c r="H138" s="26">
        <v>0</v>
      </c>
      <c r="I138" s="26">
        <v>0</v>
      </c>
      <c r="J138" s="27"/>
      <c r="K138" s="27"/>
      <c r="L138" s="27"/>
      <c r="M138" s="28">
        <v>0</v>
      </c>
      <c r="N138" s="27"/>
      <c r="O138" s="28">
        <v>0</v>
      </c>
      <c r="P138" s="27"/>
      <c r="Q138" s="28">
        <v>0</v>
      </c>
      <c r="R138" s="27"/>
      <c r="S138" s="28">
        <v>0</v>
      </c>
      <c r="T138" s="27"/>
      <c r="U138" s="28">
        <v>0</v>
      </c>
    </row>
    <row r="139" spans="1:21" x14ac:dyDescent="0.45">
      <c r="A139" s="13">
        <v>140</v>
      </c>
      <c r="B139" s="13">
        <v>1</v>
      </c>
      <c r="C139" s="13" t="s">
        <v>223</v>
      </c>
      <c r="D139" s="13" t="s">
        <v>223</v>
      </c>
      <c r="E139" s="13">
        <v>0</v>
      </c>
      <c r="F139" s="13">
        <v>0</v>
      </c>
      <c r="G139" s="13">
        <v>2</v>
      </c>
      <c r="H139" s="13">
        <v>0</v>
      </c>
      <c r="I139" s="13">
        <v>0</v>
      </c>
      <c r="J139" s="11"/>
      <c r="K139" s="11" t="s">
        <v>66</v>
      </c>
      <c r="L139" s="11"/>
      <c r="M139" s="12"/>
      <c r="N139" s="11"/>
      <c r="O139" s="12"/>
      <c r="P139" s="11"/>
      <c r="Q139" s="12"/>
      <c r="R139" s="11"/>
      <c r="S139" s="12"/>
      <c r="T139" s="11"/>
      <c r="U139" s="12"/>
    </row>
    <row r="140" spans="1:21" x14ac:dyDescent="0.45">
      <c r="A140" s="13">
        <v>141</v>
      </c>
      <c r="B140" s="13">
        <v>1</v>
      </c>
      <c r="C140" s="13" t="s">
        <v>224</v>
      </c>
      <c r="D140" s="13" t="s">
        <v>224</v>
      </c>
      <c r="E140" s="13">
        <v>0</v>
      </c>
      <c r="F140" s="13">
        <v>0</v>
      </c>
      <c r="G140" s="13">
        <v>0</v>
      </c>
      <c r="H140" s="13">
        <v>2</v>
      </c>
      <c r="I140" s="13">
        <v>0</v>
      </c>
      <c r="J140" s="11"/>
      <c r="K140" s="11" t="s">
        <v>66</v>
      </c>
      <c r="L140" s="11" t="s">
        <v>224</v>
      </c>
      <c r="M140" s="12">
        <v>0</v>
      </c>
      <c r="N140" s="11"/>
      <c r="O140" s="12">
        <v>0</v>
      </c>
      <c r="P140" s="11"/>
      <c r="Q140" s="12">
        <v>0</v>
      </c>
      <c r="R140" s="11"/>
      <c r="S140" s="12">
        <v>0</v>
      </c>
      <c r="T140" s="11"/>
      <c r="U140" s="12">
        <v>0</v>
      </c>
    </row>
    <row r="141" spans="1:21" s="29" customFormat="1" x14ac:dyDescent="0.45">
      <c r="A141" s="26">
        <v>142</v>
      </c>
      <c r="B141" s="26">
        <v>1</v>
      </c>
      <c r="C141" s="26" t="s">
        <v>225</v>
      </c>
      <c r="D141" s="26" t="s">
        <v>225</v>
      </c>
      <c r="E141" s="26">
        <v>70</v>
      </c>
      <c r="F141" s="26">
        <v>0</v>
      </c>
      <c r="G141" s="26">
        <v>3</v>
      </c>
      <c r="H141" s="26">
        <v>0</v>
      </c>
      <c r="I141" s="26">
        <v>0</v>
      </c>
      <c r="J141" s="27"/>
      <c r="K141" s="27"/>
      <c r="L141" s="27"/>
      <c r="M141" s="28">
        <v>0</v>
      </c>
      <c r="N141" s="27"/>
      <c r="O141" s="28">
        <v>0</v>
      </c>
      <c r="P141" s="27"/>
      <c r="Q141" s="28">
        <v>0</v>
      </c>
      <c r="R141" s="27"/>
      <c r="S141" s="28">
        <v>0</v>
      </c>
      <c r="T141" s="27"/>
      <c r="U141" s="28">
        <v>0</v>
      </c>
    </row>
    <row r="142" spans="1:21" s="29" customFormat="1" x14ac:dyDescent="0.45">
      <c r="A142" s="26">
        <v>143</v>
      </c>
      <c r="B142" s="26">
        <v>1</v>
      </c>
      <c r="C142" s="26" t="s">
        <v>226</v>
      </c>
      <c r="D142" s="26" t="s">
        <v>227</v>
      </c>
      <c r="E142" s="26">
        <v>0</v>
      </c>
      <c r="F142" s="26">
        <v>0</v>
      </c>
      <c r="G142" s="26">
        <v>1</v>
      </c>
      <c r="H142" s="26">
        <v>0</v>
      </c>
      <c r="I142" s="26">
        <v>0</v>
      </c>
      <c r="J142" s="27"/>
      <c r="K142" s="27"/>
      <c r="L142" s="27"/>
      <c r="M142" s="28">
        <v>0</v>
      </c>
      <c r="N142" s="27"/>
      <c r="O142" s="28">
        <v>0</v>
      </c>
      <c r="P142" s="27"/>
      <c r="Q142" s="28">
        <v>0</v>
      </c>
      <c r="R142" s="27"/>
      <c r="S142" s="28">
        <v>0</v>
      </c>
      <c r="T142" s="27"/>
      <c r="U142" s="28">
        <v>0</v>
      </c>
    </row>
    <row r="143" spans="1:21" x14ac:dyDescent="0.45">
      <c r="A143" s="13">
        <v>148</v>
      </c>
      <c r="B143" s="13">
        <v>1</v>
      </c>
      <c r="C143" s="13" t="s">
        <v>228</v>
      </c>
      <c r="D143" s="13" t="s">
        <v>228</v>
      </c>
      <c r="E143" s="13">
        <v>0</v>
      </c>
      <c r="F143" s="13">
        <v>0</v>
      </c>
      <c r="G143" s="13">
        <v>2</v>
      </c>
      <c r="H143" s="13">
        <v>0</v>
      </c>
      <c r="I143" s="13">
        <v>0</v>
      </c>
      <c r="J143" s="11"/>
      <c r="K143" s="11" t="s">
        <v>66</v>
      </c>
      <c r="L143" s="11"/>
      <c r="M143" s="12"/>
      <c r="N143" s="11"/>
      <c r="O143" s="12"/>
      <c r="P143" s="11"/>
      <c r="Q143" s="12"/>
      <c r="R143" s="11"/>
      <c r="S143" s="12"/>
      <c r="T143" s="11"/>
      <c r="U143" s="12"/>
    </row>
    <row r="144" spans="1:21" x14ac:dyDescent="0.45">
      <c r="A144" s="13">
        <v>149</v>
      </c>
      <c r="B144" s="13">
        <v>1</v>
      </c>
      <c r="C144" s="13" t="s">
        <v>229</v>
      </c>
      <c r="D144" s="13" t="s">
        <v>229</v>
      </c>
      <c r="E144" s="13">
        <v>0</v>
      </c>
      <c r="F144" s="13">
        <v>0</v>
      </c>
      <c r="G144" s="13">
        <v>1</v>
      </c>
      <c r="H144" s="13">
        <v>0</v>
      </c>
      <c r="I144" s="13">
        <v>0</v>
      </c>
      <c r="J144" s="11"/>
      <c r="K144" s="11" t="s">
        <v>66</v>
      </c>
      <c r="L144" s="11"/>
      <c r="M144" s="12">
        <v>0</v>
      </c>
      <c r="N144" s="11"/>
      <c r="O144" s="12">
        <v>0</v>
      </c>
      <c r="P144" s="11"/>
      <c r="Q144" s="12">
        <v>0</v>
      </c>
      <c r="R144" s="11"/>
      <c r="S144" s="12">
        <v>0</v>
      </c>
      <c r="T144" s="11"/>
      <c r="U144" s="12">
        <v>0</v>
      </c>
    </row>
    <row r="145" spans="1:21" x14ac:dyDescent="0.45">
      <c r="A145" s="13">
        <v>150</v>
      </c>
      <c r="B145" s="13">
        <v>1</v>
      </c>
      <c r="C145" s="13" t="s">
        <v>230</v>
      </c>
      <c r="D145" s="13" t="s">
        <v>230</v>
      </c>
      <c r="E145" s="13">
        <v>0</v>
      </c>
      <c r="F145" s="13">
        <v>491</v>
      </c>
      <c r="G145" s="13">
        <v>1</v>
      </c>
      <c r="H145" s="13">
        <v>2</v>
      </c>
      <c r="I145" s="13">
        <v>0</v>
      </c>
      <c r="J145" s="11"/>
      <c r="K145" s="11" t="s">
        <v>66</v>
      </c>
      <c r="L145" s="11"/>
      <c r="M145" s="12">
        <v>0</v>
      </c>
      <c r="N145" s="11"/>
      <c r="O145" s="12">
        <v>0</v>
      </c>
      <c r="P145" s="11"/>
      <c r="Q145" s="12">
        <v>0</v>
      </c>
      <c r="R145" s="11"/>
      <c r="S145" s="12">
        <v>0</v>
      </c>
      <c r="T145" s="11"/>
      <c r="U145" s="12">
        <v>0</v>
      </c>
    </row>
    <row r="146" spans="1:21" x14ac:dyDescent="0.45">
      <c r="A146" s="13">
        <v>151</v>
      </c>
      <c r="B146" s="13">
        <v>0</v>
      </c>
      <c r="C146" s="13" t="s">
        <v>231</v>
      </c>
      <c r="D146" s="13" t="s">
        <v>230</v>
      </c>
      <c r="E146" s="13">
        <v>0</v>
      </c>
      <c r="F146" s="13">
        <v>0</v>
      </c>
      <c r="G146" s="13">
        <v>2</v>
      </c>
      <c r="H146" s="13">
        <v>0</v>
      </c>
      <c r="I146" s="13">
        <v>0</v>
      </c>
      <c r="J146" s="11"/>
      <c r="K146" s="11" t="s">
        <v>66</v>
      </c>
      <c r="L146" s="11"/>
      <c r="M146" s="12"/>
      <c r="N146" s="11"/>
      <c r="O146" s="12"/>
      <c r="P146" s="11"/>
      <c r="Q146" s="12"/>
      <c r="R146" s="11"/>
      <c r="S146" s="12"/>
      <c r="T146" s="11"/>
      <c r="U146" s="12"/>
    </row>
    <row r="147" spans="1:21" x14ac:dyDescent="0.45">
      <c r="A147" s="13">
        <v>152</v>
      </c>
      <c r="B147" s="13">
        <v>1</v>
      </c>
      <c r="C147" s="13" t="s">
        <v>45</v>
      </c>
      <c r="D147" s="13" t="s">
        <v>45</v>
      </c>
      <c r="E147" s="13">
        <v>0</v>
      </c>
      <c r="F147" s="13">
        <v>503</v>
      </c>
      <c r="G147" s="13">
        <v>1</v>
      </c>
      <c r="H147" s="13">
        <v>0</v>
      </c>
      <c r="I147" s="13">
        <v>0</v>
      </c>
      <c r="J147" s="11"/>
      <c r="K147" s="11" t="s">
        <v>66</v>
      </c>
      <c r="L147" s="11"/>
      <c r="M147" s="12">
        <v>0</v>
      </c>
      <c r="N147" s="11"/>
      <c r="O147" s="12">
        <v>0</v>
      </c>
      <c r="P147" s="11"/>
      <c r="Q147" s="12">
        <v>0</v>
      </c>
      <c r="R147" s="11"/>
      <c r="S147" s="12">
        <v>0</v>
      </c>
      <c r="T147" s="11"/>
      <c r="U147" s="12">
        <v>0</v>
      </c>
    </row>
    <row r="148" spans="1:21" x14ac:dyDescent="0.45">
      <c r="A148" s="13">
        <v>153</v>
      </c>
      <c r="B148" s="13">
        <v>0</v>
      </c>
      <c r="C148" s="13" t="s">
        <v>232</v>
      </c>
      <c r="D148" s="13" t="s">
        <v>230</v>
      </c>
      <c r="E148" s="13">
        <v>0</v>
      </c>
      <c r="F148" s="13">
        <v>0</v>
      </c>
      <c r="G148" s="13">
        <v>2</v>
      </c>
      <c r="H148" s="13">
        <v>0</v>
      </c>
      <c r="I148" s="13">
        <v>0</v>
      </c>
      <c r="J148" s="11"/>
      <c r="K148" s="11" t="s">
        <v>66</v>
      </c>
      <c r="L148" s="11"/>
      <c r="M148" s="12"/>
      <c r="N148" s="11"/>
      <c r="O148" s="12"/>
      <c r="P148" s="11"/>
      <c r="Q148" s="12"/>
      <c r="R148" s="11"/>
      <c r="S148" s="12"/>
      <c r="T148" s="11"/>
      <c r="U148" s="12"/>
    </row>
    <row r="149" spans="1:21" x14ac:dyDescent="0.45">
      <c r="A149" s="13">
        <v>154</v>
      </c>
      <c r="B149" s="13">
        <v>0</v>
      </c>
      <c r="C149" s="13" t="s">
        <v>233</v>
      </c>
      <c r="D149" s="13" t="s">
        <v>230</v>
      </c>
      <c r="E149" s="13">
        <v>0</v>
      </c>
      <c r="F149" s="13">
        <v>0</v>
      </c>
      <c r="G149" s="13">
        <v>2</v>
      </c>
      <c r="H149" s="13">
        <v>0</v>
      </c>
      <c r="I149" s="13">
        <v>0</v>
      </c>
      <c r="J149" s="11"/>
      <c r="K149" s="11" t="s">
        <v>66</v>
      </c>
      <c r="L149" s="11"/>
      <c r="M149" s="12"/>
      <c r="N149" s="11"/>
      <c r="O149" s="12"/>
      <c r="P149" s="11"/>
      <c r="Q149" s="12"/>
      <c r="R149" s="11"/>
      <c r="S149" s="12"/>
      <c r="T149" s="11"/>
      <c r="U149" s="12"/>
    </row>
    <row r="150" spans="1:21" x14ac:dyDescent="0.45">
      <c r="A150" s="13">
        <v>155</v>
      </c>
      <c r="B150" s="13">
        <v>0</v>
      </c>
      <c r="C150" s="13" t="s">
        <v>234</v>
      </c>
      <c r="D150" s="13" t="s">
        <v>230</v>
      </c>
      <c r="E150" s="13">
        <v>0</v>
      </c>
      <c r="F150" s="13">
        <v>0</v>
      </c>
      <c r="G150" s="13">
        <v>2</v>
      </c>
      <c r="H150" s="13">
        <v>0</v>
      </c>
      <c r="I150" s="13">
        <v>0</v>
      </c>
      <c r="J150" s="11"/>
      <c r="K150" s="11" t="s">
        <v>66</v>
      </c>
      <c r="L150" s="11"/>
      <c r="M150" s="12"/>
      <c r="N150" s="11"/>
      <c r="O150" s="12"/>
      <c r="P150" s="11"/>
      <c r="Q150" s="12"/>
      <c r="R150" s="11"/>
      <c r="S150" s="12"/>
      <c r="T150" s="11"/>
      <c r="U150" s="12"/>
    </row>
    <row r="151" spans="1:21" x14ac:dyDescent="0.45">
      <c r="A151" s="13">
        <v>156</v>
      </c>
      <c r="B151" s="13">
        <v>0</v>
      </c>
      <c r="C151" s="13" t="s">
        <v>235</v>
      </c>
      <c r="D151" s="13" t="s">
        <v>236</v>
      </c>
      <c r="E151" s="13">
        <v>0</v>
      </c>
      <c r="F151" s="13">
        <v>0</v>
      </c>
      <c r="G151" s="13">
        <v>1</v>
      </c>
      <c r="H151" s="13">
        <v>0</v>
      </c>
      <c r="I151" s="13">
        <v>0</v>
      </c>
      <c r="J151" s="11"/>
      <c r="K151" s="11" t="s">
        <v>66</v>
      </c>
      <c r="L151" s="11"/>
      <c r="M151" s="12">
        <v>0</v>
      </c>
      <c r="N151" s="11"/>
      <c r="O151" s="12">
        <v>0</v>
      </c>
      <c r="P151" s="11"/>
      <c r="Q151" s="12">
        <v>0</v>
      </c>
      <c r="R151" s="11"/>
      <c r="S151" s="12">
        <v>0</v>
      </c>
      <c r="T151" s="11"/>
      <c r="U151" s="12">
        <v>0</v>
      </c>
    </row>
    <row r="152" spans="1:21" x14ac:dyDescent="0.45">
      <c r="A152" s="13">
        <v>157</v>
      </c>
      <c r="B152" s="13">
        <v>1</v>
      </c>
      <c r="C152" s="13" t="s">
        <v>237</v>
      </c>
      <c r="D152" s="13" t="s">
        <v>238</v>
      </c>
      <c r="E152" s="13">
        <v>0</v>
      </c>
      <c r="F152" s="13">
        <v>0</v>
      </c>
      <c r="G152" s="13">
        <v>1</v>
      </c>
      <c r="H152" s="13">
        <v>0</v>
      </c>
      <c r="I152" s="13">
        <v>0</v>
      </c>
      <c r="J152" s="11"/>
      <c r="K152" s="11" t="s">
        <v>66</v>
      </c>
      <c r="L152" s="11"/>
      <c r="M152" s="12">
        <v>0</v>
      </c>
      <c r="N152" s="11"/>
      <c r="O152" s="12">
        <v>0</v>
      </c>
      <c r="P152" s="11"/>
      <c r="Q152" s="12">
        <v>0</v>
      </c>
      <c r="R152" s="11"/>
      <c r="S152" s="12">
        <v>0</v>
      </c>
      <c r="T152" s="11"/>
      <c r="U152" s="12">
        <v>0</v>
      </c>
    </row>
    <row r="153" spans="1:21" x14ac:dyDescent="0.45">
      <c r="A153" s="13">
        <v>158</v>
      </c>
      <c r="B153" s="13">
        <v>1</v>
      </c>
      <c r="C153" s="13" t="s">
        <v>239</v>
      </c>
      <c r="D153" s="13" t="s">
        <v>239</v>
      </c>
      <c r="E153" s="13">
        <v>0</v>
      </c>
      <c r="F153" s="13">
        <v>0</v>
      </c>
      <c r="G153" s="13">
        <v>1</v>
      </c>
      <c r="H153" s="13">
        <v>0</v>
      </c>
      <c r="I153" s="13">
        <v>0</v>
      </c>
      <c r="J153" s="11"/>
      <c r="K153" s="11" t="s">
        <v>66</v>
      </c>
      <c r="L153" s="11"/>
      <c r="M153" s="12">
        <v>0</v>
      </c>
      <c r="N153" s="11"/>
      <c r="O153" s="12">
        <v>0</v>
      </c>
      <c r="P153" s="11"/>
      <c r="Q153" s="12">
        <v>0</v>
      </c>
      <c r="R153" s="11"/>
      <c r="S153" s="12">
        <v>0</v>
      </c>
      <c r="T153" s="11"/>
      <c r="U153" s="12">
        <v>0</v>
      </c>
    </row>
    <row r="154" spans="1:21" x14ac:dyDescent="0.45">
      <c r="A154" s="13">
        <v>159</v>
      </c>
      <c r="B154" s="13">
        <v>1</v>
      </c>
      <c r="C154" s="13" t="s">
        <v>240</v>
      </c>
      <c r="D154" s="13" t="s">
        <v>240</v>
      </c>
      <c r="E154" s="13">
        <v>0</v>
      </c>
      <c r="F154" s="13">
        <v>0</v>
      </c>
      <c r="G154" s="13">
        <v>1</v>
      </c>
      <c r="H154" s="13">
        <v>0</v>
      </c>
      <c r="I154" s="13">
        <v>0</v>
      </c>
      <c r="J154" s="11"/>
      <c r="K154" s="11" t="s">
        <v>66</v>
      </c>
      <c r="L154" s="11"/>
      <c r="M154" s="12">
        <v>0</v>
      </c>
      <c r="N154" s="11"/>
      <c r="O154" s="12">
        <v>0</v>
      </c>
      <c r="P154" s="11"/>
      <c r="Q154" s="12">
        <v>0</v>
      </c>
      <c r="R154" s="11"/>
      <c r="S154" s="12">
        <v>0</v>
      </c>
      <c r="T154" s="11"/>
      <c r="U154" s="12">
        <v>0</v>
      </c>
    </row>
    <row r="155" spans="1:21" x14ac:dyDescent="0.45">
      <c r="A155" s="13">
        <v>160</v>
      </c>
      <c r="B155" s="13">
        <v>1</v>
      </c>
      <c r="C155" s="13" t="s">
        <v>241</v>
      </c>
      <c r="D155" s="13" t="s">
        <v>242</v>
      </c>
      <c r="E155" s="13">
        <v>0</v>
      </c>
      <c r="F155" s="13">
        <v>482</v>
      </c>
      <c r="G155" s="13">
        <v>1</v>
      </c>
      <c r="H155" s="13">
        <v>0</v>
      </c>
      <c r="I155" s="13">
        <v>0</v>
      </c>
      <c r="J155" s="11"/>
      <c r="K155" s="11" t="s">
        <v>66</v>
      </c>
      <c r="L155" s="11"/>
      <c r="M155" s="12">
        <v>0</v>
      </c>
      <c r="N155" s="11"/>
      <c r="O155" s="12">
        <v>0</v>
      </c>
      <c r="P155" s="11"/>
      <c r="Q155" s="12">
        <v>0</v>
      </c>
      <c r="R155" s="11"/>
      <c r="S155" s="12">
        <v>0</v>
      </c>
      <c r="T155" s="11"/>
      <c r="U155" s="12">
        <v>0</v>
      </c>
    </row>
    <row r="156" spans="1:21" x14ac:dyDescent="0.45">
      <c r="A156" s="13">
        <v>161</v>
      </c>
      <c r="B156" s="13">
        <v>0</v>
      </c>
      <c r="C156" s="13" t="s">
        <v>243</v>
      </c>
      <c r="D156" s="13" t="s">
        <v>244</v>
      </c>
      <c r="E156" s="13">
        <v>0</v>
      </c>
      <c r="F156" s="13">
        <v>0</v>
      </c>
      <c r="G156" s="13">
        <v>2</v>
      </c>
      <c r="H156" s="13">
        <v>0</v>
      </c>
      <c r="I156" s="13">
        <v>0</v>
      </c>
      <c r="J156" s="11"/>
      <c r="K156" s="11" t="s">
        <v>66</v>
      </c>
      <c r="L156" s="11"/>
      <c r="M156" s="12">
        <v>0</v>
      </c>
      <c r="N156" s="11"/>
      <c r="O156" s="12">
        <v>0</v>
      </c>
      <c r="P156" s="11"/>
      <c r="Q156" s="12">
        <v>0</v>
      </c>
      <c r="R156" s="11"/>
      <c r="S156" s="12">
        <v>0</v>
      </c>
      <c r="T156" s="11"/>
      <c r="U156" s="12">
        <v>0</v>
      </c>
    </row>
    <row r="157" spans="1:21" x14ac:dyDescent="0.45">
      <c r="A157" s="13">
        <v>162</v>
      </c>
      <c r="B157" s="13">
        <v>1</v>
      </c>
      <c r="C157" s="13" t="s">
        <v>245</v>
      </c>
      <c r="D157" s="13" t="s">
        <v>245</v>
      </c>
      <c r="E157" s="13">
        <v>0</v>
      </c>
      <c r="F157" s="13">
        <v>0</v>
      </c>
      <c r="G157" s="13">
        <v>1</v>
      </c>
      <c r="H157" s="13">
        <v>0</v>
      </c>
      <c r="I157" s="13">
        <v>42</v>
      </c>
      <c r="J157" s="11"/>
      <c r="K157" s="11" t="s">
        <v>66</v>
      </c>
      <c r="L157" s="11"/>
      <c r="M157" s="12">
        <v>0</v>
      </c>
      <c r="N157" s="11"/>
      <c r="O157" s="12">
        <v>0</v>
      </c>
      <c r="P157" s="11"/>
      <c r="Q157" s="12">
        <v>0</v>
      </c>
      <c r="R157" s="11"/>
      <c r="S157" s="12">
        <v>0</v>
      </c>
      <c r="T157" s="11"/>
      <c r="U157" s="12">
        <v>0</v>
      </c>
    </row>
    <row r="158" spans="1:21" x14ac:dyDescent="0.45">
      <c r="A158" s="13">
        <v>163</v>
      </c>
      <c r="B158" s="13">
        <v>0</v>
      </c>
      <c r="C158" s="13" t="s">
        <v>246</v>
      </c>
      <c r="D158" s="13" t="s">
        <v>244</v>
      </c>
      <c r="E158" s="13">
        <v>0</v>
      </c>
      <c r="F158" s="13">
        <v>0</v>
      </c>
      <c r="G158" s="13">
        <v>2</v>
      </c>
      <c r="H158" s="13">
        <v>0</v>
      </c>
      <c r="I158" s="13">
        <v>0</v>
      </c>
      <c r="J158" s="11"/>
      <c r="K158" s="11" t="s">
        <v>66</v>
      </c>
      <c r="L158" s="11"/>
      <c r="M158" s="12">
        <v>0</v>
      </c>
      <c r="N158" s="11"/>
      <c r="O158" s="12">
        <v>0</v>
      </c>
      <c r="P158" s="11"/>
      <c r="Q158" s="12">
        <v>0</v>
      </c>
      <c r="R158" s="11"/>
      <c r="S158" s="12">
        <v>0</v>
      </c>
      <c r="T158" s="11"/>
      <c r="U158" s="12">
        <v>0</v>
      </c>
    </row>
    <row r="159" spans="1:21" x14ac:dyDescent="0.45">
      <c r="A159" s="13">
        <v>164</v>
      </c>
      <c r="B159" s="13">
        <v>1</v>
      </c>
      <c r="C159" s="13" t="s">
        <v>247</v>
      </c>
      <c r="D159" s="13" t="s">
        <v>247</v>
      </c>
      <c r="E159" s="13">
        <v>0</v>
      </c>
      <c r="F159" s="13">
        <v>0</v>
      </c>
      <c r="G159" s="13">
        <v>1</v>
      </c>
      <c r="H159" s="13">
        <v>0</v>
      </c>
      <c r="I159" s="13">
        <v>0</v>
      </c>
      <c r="J159" s="11"/>
      <c r="K159" s="11" t="s">
        <v>66</v>
      </c>
      <c r="L159" s="11"/>
      <c r="M159" s="12">
        <v>0</v>
      </c>
      <c r="N159" s="11"/>
      <c r="O159" s="12">
        <v>0</v>
      </c>
      <c r="P159" s="11"/>
      <c r="Q159" s="12">
        <v>0</v>
      </c>
      <c r="R159" s="11"/>
      <c r="S159" s="12">
        <v>0</v>
      </c>
      <c r="T159" s="11"/>
      <c r="U159" s="12">
        <v>0</v>
      </c>
    </row>
    <row r="160" spans="1:21" x14ac:dyDescent="0.45">
      <c r="A160" s="13">
        <v>165</v>
      </c>
      <c r="B160" s="13">
        <v>0</v>
      </c>
      <c r="C160" s="13" t="s">
        <v>248</v>
      </c>
      <c r="D160" s="13" t="s">
        <v>244</v>
      </c>
      <c r="E160" s="13">
        <v>0</v>
      </c>
      <c r="F160" s="13">
        <v>0</v>
      </c>
      <c r="G160" s="13">
        <v>2</v>
      </c>
      <c r="H160" s="13">
        <v>0</v>
      </c>
      <c r="I160" s="13">
        <v>0</v>
      </c>
      <c r="J160" s="11"/>
      <c r="K160" s="11" t="s">
        <v>66</v>
      </c>
      <c r="L160" s="11"/>
      <c r="M160" s="12">
        <v>0</v>
      </c>
      <c r="N160" s="11"/>
      <c r="O160" s="12">
        <v>0</v>
      </c>
      <c r="P160" s="11"/>
      <c r="Q160" s="12">
        <v>0</v>
      </c>
      <c r="R160" s="11"/>
      <c r="S160" s="12">
        <v>0</v>
      </c>
      <c r="T160" s="11"/>
      <c r="U160" s="12">
        <v>0</v>
      </c>
    </row>
    <row r="161" spans="1:21" x14ac:dyDescent="0.45">
      <c r="A161" s="13">
        <v>166</v>
      </c>
      <c r="B161" s="13">
        <v>1</v>
      </c>
      <c r="C161" s="13" t="s">
        <v>249</v>
      </c>
      <c r="D161" s="13" t="s">
        <v>250</v>
      </c>
      <c r="E161" s="13">
        <v>0</v>
      </c>
      <c r="F161" s="13">
        <v>0</v>
      </c>
      <c r="G161" s="13">
        <v>1</v>
      </c>
      <c r="H161" s="13">
        <v>0</v>
      </c>
      <c r="I161" s="13">
        <v>0</v>
      </c>
      <c r="J161" s="11"/>
      <c r="K161" s="11" t="s">
        <v>66</v>
      </c>
      <c r="L161" s="11"/>
      <c r="M161" s="12">
        <v>0</v>
      </c>
      <c r="N161" s="11"/>
      <c r="O161" s="12">
        <v>0</v>
      </c>
      <c r="P161" s="11"/>
      <c r="Q161" s="12">
        <v>0</v>
      </c>
      <c r="R161" s="11"/>
      <c r="S161" s="12">
        <v>0</v>
      </c>
      <c r="T161" s="11"/>
      <c r="U161" s="12">
        <v>0</v>
      </c>
    </row>
    <row r="162" spans="1:21" x14ac:dyDescent="0.45">
      <c r="A162" s="13">
        <v>167</v>
      </c>
      <c r="B162" s="13">
        <v>1</v>
      </c>
      <c r="C162" s="13" t="s">
        <v>10</v>
      </c>
      <c r="D162" s="13" t="s">
        <v>10</v>
      </c>
      <c r="E162" s="13">
        <v>0</v>
      </c>
      <c r="F162" s="13">
        <v>0</v>
      </c>
      <c r="G162" s="13">
        <v>1</v>
      </c>
      <c r="H162" s="13">
        <v>0</v>
      </c>
      <c r="I162" s="13">
        <v>0</v>
      </c>
      <c r="J162" s="11"/>
      <c r="K162" s="11" t="s">
        <v>66</v>
      </c>
      <c r="L162" s="11"/>
      <c r="M162" s="12">
        <v>0</v>
      </c>
      <c r="N162" s="11"/>
      <c r="O162" s="12">
        <v>0</v>
      </c>
      <c r="P162" s="11"/>
      <c r="Q162" s="12">
        <v>0</v>
      </c>
      <c r="R162" s="11"/>
      <c r="S162" s="12">
        <v>0</v>
      </c>
      <c r="T162" s="11"/>
      <c r="U162" s="12">
        <v>0</v>
      </c>
    </row>
    <row r="163" spans="1:21" x14ac:dyDescent="0.45">
      <c r="A163" s="13">
        <v>168</v>
      </c>
      <c r="B163" s="13">
        <v>1</v>
      </c>
      <c r="C163" s="13" t="s">
        <v>251</v>
      </c>
      <c r="D163" s="13" t="s">
        <v>251</v>
      </c>
      <c r="E163" s="13">
        <v>0</v>
      </c>
      <c r="F163" s="13">
        <v>0</v>
      </c>
      <c r="G163" s="13">
        <v>1</v>
      </c>
      <c r="H163" s="13">
        <v>0</v>
      </c>
      <c r="I163" s="13">
        <v>42</v>
      </c>
      <c r="J163" s="11"/>
      <c r="K163" s="11" t="s">
        <v>66</v>
      </c>
      <c r="L163" s="11"/>
      <c r="M163" s="12">
        <v>0</v>
      </c>
      <c r="N163" s="11"/>
      <c r="O163" s="12">
        <v>0</v>
      </c>
      <c r="P163" s="11"/>
      <c r="Q163" s="12">
        <v>0</v>
      </c>
      <c r="R163" s="11"/>
      <c r="S163" s="12">
        <v>0</v>
      </c>
      <c r="T163" s="11"/>
      <c r="U163" s="12">
        <v>0</v>
      </c>
    </row>
    <row r="164" spans="1:21" x14ac:dyDescent="0.45">
      <c r="A164" s="13">
        <v>169</v>
      </c>
      <c r="B164" s="13">
        <v>1</v>
      </c>
      <c r="C164" s="13" t="s">
        <v>252</v>
      </c>
      <c r="D164" s="13" t="s">
        <v>253</v>
      </c>
      <c r="E164" s="13">
        <v>0</v>
      </c>
      <c r="F164" s="13">
        <v>0</v>
      </c>
      <c r="G164" s="13">
        <v>1</v>
      </c>
      <c r="H164" s="13">
        <v>1</v>
      </c>
      <c r="I164" s="13">
        <v>0</v>
      </c>
      <c r="J164" s="11"/>
      <c r="K164" s="11" t="s">
        <v>66</v>
      </c>
      <c r="L164" s="11"/>
      <c r="M164" s="12">
        <v>0</v>
      </c>
      <c r="N164" s="11"/>
      <c r="O164" s="12">
        <v>0</v>
      </c>
      <c r="P164" s="11"/>
      <c r="Q164" s="12">
        <v>0</v>
      </c>
      <c r="R164" s="11"/>
      <c r="S164" s="12">
        <v>0</v>
      </c>
      <c r="T164" s="11"/>
      <c r="U164" s="12">
        <v>0</v>
      </c>
    </row>
    <row r="165" spans="1:21" x14ac:dyDescent="0.45">
      <c r="A165" s="13">
        <v>170</v>
      </c>
      <c r="B165" s="13">
        <v>0</v>
      </c>
      <c r="C165" s="13" t="s">
        <v>254</v>
      </c>
      <c r="D165" s="13" t="s">
        <v>244</v>
      </c>
      <c r="E165" s="13">
        <v>0</v>
      </c>
      <c r="F165" s="13">
        <v>0</v>
      </c>
      <c r="G165" s="13">
        <v>2</v>
      </c>
      <c r="H165" s="13">
        <v>0</v>
      </c>
      <c r="I165" s="13">
        <v>0</v>
      </c>
      <c r="J165" s="11"/>
      <c r="K165" s="11" t="s">
        <v>66</v>
      </c>
      <c r="L165" s="11"/>
      <c r="M165" s="12">
        <v>0</v>
      </c>
      <c r="N165" s="11"/>
      <c r="O165" s="12">
        <v>0</v>
      </c>
      <c r="P165" s="11"/>
      <c r="Q165" s="12">
        <v>0</v>
      </c>
      <c r="R165" s="11"/>
      <c r="S165" s="12">
        <v>0</v>
      </c>
      <c r="T165" s="11"/>
      <c r="U165" s="12">
        <v>0</v>
      </c>
    </row>
    <row r="166" spans="1:21" x14ac:dyDescent="0.45">
      <c r="A166" s="13">
        <v>171</v>
      </c>
      <c r="B166" s="13">
        <v>1</v>
      </c>
      <c r="C166" s="13" t="s">
        <v>7</v>
      </c>
      <c r="D166" s="13" t="s">
        <v>255</v>
      </c>
      <c r="E166" s="13">
        <v>0</v>
      </c>
      <c r="F166" s="13">
        <v>0</v>
      </c>
      <c r="G166" s="13">
        <v>1</v>
      </c>
      <c r="H166" s="13">
        <v>2</v>
      </c>
      <c r="I166" s="13">
        <v>0</v>
      </c>
      <c r="J166" s="11"/>
      <c r="K166" s="11" t="s">
        <v>66</v>
      </c>
      <c r="L166" s="11" t="s">
        <v>47</v>
      </c>
      <c r="M166" s="12">
        <v>1</v>
      </c>
      <c r="N166" s="11" t="s">
        <v>102</v>
      </c>
      <c r="O166" s="12">
        <v>1</v>
      </c>
      <c r="P166" s="11" t="s">
        <v>67</v>
      </c>
      <c r="Q166" s="12">
        <v>0</v>
      </c>
      <c r="R166" s="11"/>
      <c r="S166" s="12">
        <v>0</v>
      </c>
      <c r="T166" s="11"/>
      <c r="U166" s="12">
        <v>0</v>
      </c>
    </row>
    <row r="167" spans="1:21" x14ac:dyDescent="0.45">
      <c r="A167" s="13">
        <v>172</v>
      </c>
      <c r="B167" s="13">
        <v>0</v>
      </c>
      <c r="C167" s="13" t="s">
        <v>256</v>
      </c>
      <c r="D167" s="13" t="s">
        <v>244</v>
      </c>
      <c r="E167" s="13">
        <v>0</v>
      </c>
      <c r="F167" s="13">
        <v>0</v>
      </c>
      <c r="G167" s="13">
        <v>2</v>
      </c>
      <c r="H167" s="13">
        <v>0</v>
      </c>
      <c r="I167" s="13">
        <v>0</v>
      </c>
      <c r="J167" s="11"/>
      <c r="K167" s="11" t="s">
        <v>66</v>
      </c>
      <c r="L167" s="11"/>
      <c r="M167" s="12">
        <v>0</v>
      </c>
      <c r="N167" s="11"/>
      <c r="O167" s="12">
        <v>0</v>
      </c>
      <c r="P167" s="11"/>
      <c r="Q167" s="12">
        <v>0</v>
      </c>
      <c r="R167" s="11"/>
      <c r="S167" s="12">
        <v>0</v>
      </c>
      <c r="T167" s="11"/>
      <c r="U167" s="12">
        <v>0</v>
      </c>
    </row>
    <row r="168" spans="1:21" x14ac:dyDescent="0.45">
      <c r="A168" s="13">
        <v>173</v>
      </c>
      <c r="B168" s="13">
        <v>1</v>
      </c>
      <c r="C168" s="13" t="s">
        <v>257</v>
      </c>
      <c r="D168" s="13" t="s">
        <v>258</v>
      </c>
      <c r="E168" s="13">
        <v>0</v>
      </c>
      <c r="F168" s="13">
        <v>0</v>
      </c>
      <c r="G168" s="13">
        <v>1</v>
      </c>
      <c r="H168" s="13">
        <v>0</v>
      </c>
      <c r="I168" s="13">
        <v>0</v>
      </c>
      <c r="J168" s="11"/>
      <c r="K168" s="11" t="s">
        <v>66</v>
      </c>
      <c r="L168" s="11"/>
      <c r="M168" s="12">
        <v>0</v>
      </c>
      <c r="N168" s="11"/>
      <c r="O168" s="12">
        <v>0</v>
      </c>
      <c r="P168" s="11"/>
      <c r="Q168" s="12">
        <v>0</v>
      </c>
      <c r="R168" s="11"/>
      <c r="S168" s="12">
        <v>0</v>
      </c>
      <c r="T168" s="11"/>
      <c r="U168" s="12">
        <v>0</v>
      </c>
    </row>
    <row r="169" spans="1:21" x14ac:dyDescent="0.45">
      <c r="A169" s="13">
        <v>174</v>
      </c>
      <c r="B169" s="13">
        <v>0</v>
      </c>
      <c r="C169" s="13" t="s">
        <v>259</v>
      </c>
      <c r="D169" s="13" t="s">
        <v>244</v>
      </c>
      <c r="E169" s="13">
        <v>0</v>
      </c>
      <c r="F169" s="13">
        <v>0</v>
      </c>
      <c r="G169" s="13">
        <v>2</v>
      </c>
      <c r="H169" s="13">
        <v>0</v>
      </c>
      <c r="I169" s="13">
        <v>0</v>
      </c>
      <c r="J169" s="11"/>
      <c r="K169" s="11" t="s">
        <v>66</v>
      </c>
      <c r="L169" s="11"/>
      <c r="M169" s="12">
        <v>0</v>
      </c>
      <c r="N169" s="11"/>
      <c r="O169" s="12">
        <v>0</v>
      </c>
      <c r="P169" s="11"/>
      <c r="Q169" s="12">
        <v>0</v>
      </c>
      <c r="R169" s="11"/>
      <c r="S169" s="12">
        <v>0</v>
      </c>
      <c r="T169" s="11"/>
      <c r="U169" s="12">
        <v>0</v>
      </c>
    </row>
    <row r="170" spans="1:21" x14ac:dyDescent="0.45">
      <c r="A170" s="13">
        <v>175</v>
      </c>
      <c r="B170" s="13">
        <v>1</v>
      </c>
      <c r="C170" s="13" t="s">
        <v>260</v>
      </c>
      <c r="D170" s="13" t="s">
        <v>261</v>
      </c>
      <c r="E170" s="13">
        <v>0</v>
      </c>
      <c r="F170" s="13">
        <v>191</v>
      </c>
      <c r="G170" s="13">
        <v>1</v>
      </c>
      <c r="H170" s="13">
        <v>2</v>
      </c>
      <c r="I170" s="13">
        <v>0</v>
      </c>
      <c r="J170" s="11"/>
      <c r="K170" s="11" t="s">
        <v>66</v>
      </c>
      <c r="L170" s="11" t="s">
        <v>261</v>
      </c>
      <c r="M170" s="12">
        <v>0</v>
      </c>
      <c r="N170" s="11" t="s">
        <v>67</v>
      </c>
      <c r="O170" s="12">
        <v>0</v>
      </c>
      <c r="P170" s="11"/>
      <c r="Q170" s="12">
        <v>0</v>
      </c>
      <c r="R170" s="11"/>
      <c r="S170" s="12">
        <v>0</v>
      </c>
      <c r="T170" s="11"/>
      <c r="U170" s="12">
        <v>0</v>
      </c>
    </row>
    <row r="171" spans="1:21" x14ac:dyDescent="0.45">
      <c r="A171" s="13">
        <v>176</v>
      </c>
      <c r="B171" s="13">
        <v>1</v>
      </c>
      <c r="C171" s="13" t="s">
        <v>262</v>
      </c>
      <c r="D171" s="13" t="s">
        <v>263</v>
      </c>
      <c r="E171" s="13">
        <v>0</v>
      </c>
      <c r="F171" s="13">
        <v>0</v>
      </c>
      <c r="G171" s="13">
        <v>2</v>
      </c>
      <c r="H171" s="13">
        <v>0</v>
      </c>
      <c r="I171" s="13">
        <v>0</v>
      </c>
      <c r="J171" s="11"/>
      <c r="K171" s="11" t="s">
        <v>66</v>
      </c>
      <c r="L171" s="11"/>
      <c r="M171" s="12">
        <v>0</v>
      </c>
      <c r="N171" s="11"/>
      <c r="O171" s="12">
        <v>0</v>
      </c>
      <c r="P171" s="11"/>
      <c r="Q171" s="12">
        <v>0</v>
      </c>
      <c r="R171" s="11"/>
      <c r="S171" s="12">
        <v>0</v>
      </c>
      <c r="T171" s="11"/>
      <c r="U171" s="12">
        <v>0</v>
      </c>
    </row>
    <row r="172" spans="1:21" x14ac:dyDescent="0.45">
      <c r="A172" s="13">
        <v>177</v>
      </c>
      <c r="B172" s="13">
        <v>0</v>
      </c>
      <c r="C172" s="13" t="s">
        <v>264</v>
      </c>
      <c r="D172" s="13" t="s">
        <v>263</v>
      </c>
      <c r="E172" s="13">
        <v>0</v>
      </c>
      <c r="F172" s="13">
        <v>0</v>
      </c>
      <c r="G172" s="13">
        <v>2</v>
      </c>
      <c r="H172" s="13">
        <v>0</v>
      </c>
      <c r="I172" s="13">
        <v>0</v>
      </c>
      <c r="J172" s="11"/>
      <c r="K172" s="11" t="s">
        <v>66</v>
      </c>
      <c r="L172" s="11"/>
      <c r="M172" s="12">
        <v>0</v>
      </c>
      <c r="N172" s="11"/>
      <c r="O172" s="12">
        <v>0</v>
      </c>
      <c r="P172" s="11"/>
      <c r="Q172" s="12">
        <v>0</v>
      </c>
      <c r="R172" s="11"/>
      <c r="S172" s="12">
        <v>0</v>
      </c>
      <c r="T172" s="11"/>
      <c r="U172" s="12">
        <v>0</v>
      </c>
    </row>
    <row r="173" spans="1:21" x14ac:dyDescent="0.45">
      <c r="A173" s="13">
        <v>178</v>
      </c>
      <c r="B173" s="13">
        <v>0</v>
      </c>
      <c r="C173" s="13" t="s">
        <v>265</v>
      </c>
      <c r="D173" s="13" t="s">
        <v>263</v>
      </c>
      <c r="E173" s="13">
        <v>0</v>
      </c>
      <c r="F173" s="13">
        <v>0</v>
      </c>
      <c r="G173" s="13">
        <v>2</v>
      </c>
      <c r="H173" s="13">
        <v>0</v>
      </c>
      <c r="I173" s="13">
        <v>0</v>
      </c>
      <c r="J173" s="11"/>
      <c r="K173" s="11" t="s">
        <v>66</v>
      </c>
      <c r="L173" s="11"/>
      <c r="M173" s="12">
        <v>0</v>
      </c>
      <c r="N173" s="11"/>
      <c r="O173" s="12">
        <v>0</v>
      </c>
      <c r="P173" s="11"/>
      <c r="Q173" s="12">
        <v>0</v>
      </c>
      <c r="R173" s="11"/>
      <c r="S173" s="12">
        <v>0</v>
      </c>
      <c r="T173" s="11"/>
      <c r="U173" s="12">
        <v>0</v>
      </c>
    </row>
    <row r="174" spans="1:21" x14ac:dyDescent="0.45">
      <c r="A174" s="13">
        <v>179</v>
      </c>
      <c r="B174" s="13">
        <v>0</v>
      </c>
      <c r="C174" s="13" t="s">
        <v>266</v>
      </c>
      <c r="D174" s="13" t="s">
        <v>263</v>
      </c>
      <c r="E174" s="13">
        <v>0</v>
      </c>
      <c r="F174" s="13">
        <v>0</v>
      </c>
      <c r="G174" s="13">
        <v>2</v>
      </c>
      <c r="H174" s="13">
        <v>0</v>
      </c>
      <c r="I174" s="13">
        <v>0</v>
      </c>
      <c r="J174" s="11"/>
      <c r="K174" s="11" t="s">
        <v>66</v>
      </c>
      <c r="L174" s="11"/>
      <c r="M174" s="12">
        <v>0</v>
      </c>
      <c r="N174" s="11"/>
      <c r="O174" s="12">
        <v>0</v>
      </c>
      <c r="P174" s="11"/>
      <c r="Q174" s="12">
        <v>0</v>
      </c>
      <c r="R174" s="11"/>
      <c r="S174" s="12">
        <v>0</v>
      </c>
      <c r="T174" s="11"/>
      <c r="U174" s="12">
        <v>0</v>
      </c>
    </row>
    <row r="175" spans="1:21" x14ac:dyDescent="0.45">
      <c r="A175" s="13">
        <v>180</v>
      </c>
      <c r="B175" s="13">
        <v>0</v>
      </c>
      <c r="C175" s="13" t="s">
        <v>267</v>
      </c>
      <c r="D175" s="13" t="s">
        <v>263</v>
      </c>
      <c r="E175" s="13">
        <v>0</v>
      </c>
      <c r="F175" s="13">
        <v>0</v>
      </c>
      <c r="G175" s="13">
        <v>2</v>
      </c>
      <c r="H175" s="13">
        <v>0</v>
      </c>
      <c r="I175" s="13">
        <v>0</v>
      </c>
      <c r="J175" s="11"/>
      <c r="K175" s="11" t="s">
        <v>66</v>
      </c>
      <c r="L175" s="11"/>
      <c r="M175" s="12">
        <v>0</v>
      </c>
      <c r="N175" s="11"/>
      <c r="O175" s="12">
        <v>0</v>
      </c>
      <c r="P175" s="11"/>
      <c r="Q175" s="12">
        <v>0</v>
      </c>
      <c r="R175" s="11"/>
      <c r="S175" s="12">
        <v>0</v>
      </c>
      <c r="T175" s="11"/>
      <c r="U175" s="12">
        <v>0</v>
      </c>
    </row>
    <row r="176" spans="1:21" x14ac:dyDescent="0.45">
      <c r="A176" s="13">
        <v>181</v>
      </c>
      <c r="B176" s="13">
        <v>0</v>
      </c>
      <c r="C176" s="13" t="s">
        <v>268</v>
      </c>
      <c r="D176" s="13" t="s">
        <v>263</v>
      </c>
      <c r="E176" s="13">
        <v>0</v>
      </c>
      <c r="F176" s="13">
        <v>0</v>
      </c>
      <c r="G176" s="13">
        <v>2</v>
      </c>
      <c r="H176" s="13">
        <v>0</v>
      </c>
      <c r="I176" s="13">
        <v>0</v>
      </c>
      <c r="J176" s="11"/>
      <c r="K176" s="11" t="s">
        <v>66</v>
      </c>
      <c r="L176" s="11"/>
      <c r="M176" s="12">
        <v>0</v>
      </c>
      <c r="N176" s="11"/>
      <c r="O176" s="12">
        <v>0</v>
      </c>
      <c r="P176" s="11"/>
      <c r="Q176" s="12">
        <v>0</v>
      </c>
      <c r="R176" s="11"/>
      <c r="S176" s="12">
        <v>0</v>
      </c>
      <c r="T176" s="11"/>
      <c r="U176" s="12">
        <v>0</v>
      </c>
    </row>
    <row r="177" spans="1:21" x14ac:dyDescent="0.45">
      <c r="A177" s="13">
        <v>182</v>
      </c>
      <c r="B177" s="13">
        <v>0</v>
      </c>
      <c r="C177" s="13" t="s">
        <v>269</v>
      </c>
      <c r="D177" s="13" t="s">
        <v>263</v>
      </c>
      <c r="E177" s="13">
        <v>0</v>
      </c>
      <c r="F177" s="13">
        <v>0</v>
      </c>
      <c r="G177" s="13">
        <v>2</v>
      </c>
      <c r="H177" s="13">
        <v>0</v>
      </c>
      <c r="I177" s="13">
        <v>0</v>
      </c>
      <c r="J177" s="11"/>
      <c r="K177" s="11" t="s">
        <v>66</v>
      </c>
      <c r="L177" s="11"/>
      <c r="M177" s="12">
        <v>0</v>
      </c>
      <c r="N177" s="11"/>
      <c r="O177" s="12">
        <v>0</v>
      </c>
      <c r="P177" s="11"/>
      <c r="Q177" s="12">
        <v>0</v>
      </c>
      <c r="R177" s="11"/>
      <c r="S177" s="12">
        <v>0</v>
      </c>
      <c r="T177" s="11"/>
      <c r="U177" s="12">
        <v>0</v>
      </c>
    </row>
    <row r="178" spans="1:21" x14ac:dyDescent="0.45">
      <c r="A178" s="13">
        <v>183</v>
      </c>
      <c r="B178" s="13">
        <v>0</v>
      </c>
      <c r="C178" s="13" t="s">
        <v>270</v>
      </c>
      <c r="D178" s="13" t="s">
        <v>263</v>
      </c>
      <c r="E178" s="13">
        <v>0</v>
      </c>
      <c r="F178" s="13">
        <v>0</v>
      </c>
      <c r="G178" s="13">
        <v>2</v>
      </c>
      <c r="H178" s="13">
        <v>0</v>
      </c>
      <c r="I178" s="13">
        <v>0</v>
      </c>
      <c r="J178" s="11"/>
      <c r="K178" s="11" t="s">
        <v>66</v>
      </c>
      <c r="L178" s="11"/>
      <c r="M178" s="12">
        <v>0</v>
      </c>
      <c r="N178" s="11"/>
      <c r="O178" s="12">
        <v>0</v>
      </c>
      <c r="P178" s="11"/>
      <c r="Q178" s="12">
        <v>0</v>
      </c>
      <c r="R178" s="11"/>
      <c r="S178" s="12">
        <v>0</v>
      </c>
      <c r="T178" s="11"/>
      <c r="U178" s="12">
        <v>0</v>
      </c>
    </row>
    <row r="179" spans="1:21" x14ac:dyDescent="0.45">
      <c r="A179" s="13">
        <v>184</v>
      </c>
      <c r="B179" s="13">
        <v>0</v>
      </c>
      <c r="C179" s="13" t="s">
        <v>271</v>
      </c>
      <c r="D179" s="13" t="s">
        <v>263</v>
      </c>
      <c r="E179" s="13">
        <v>0</v>
      </c>
      <c r="F179" s="13">
        <v>0</v>
      </c>
      <c r="G179" s="13">
        <v>2</v>
      </c>
      <c r="H179" s="13">
        <v>0</v>
      </c>
      <c r="I179" s="13">
        <v>0</v>
      </c>
      <c r="J179" s="11"/>
      <c r="K179" s="11" t="s">
        <v>66</v>
      </c>
      <c r="L179" s="11"/>
      <c r="M179" s="12">
        <v>0</v>
      </c>
      <c r="N179" s="11"/>
      <c r="O179" s="12">
        <v>0</v>
      </c>
      <c r="P179" s="11"/>
      <c r="Q179" s="12">
        <v>0</v>
      </c>
      <c r="R179" s="11"/>
      <c r="S179" s="12">
        <v>0</v>
      </c>
      <c r="T179" s="11"/>
      <c r="U179" s="12">
        <v>0</v>
      </c>
    </row>
    <row r="180" spans="1:21" x14ac:dyDescent="0.45">
      <c r="A180" s="13">
        <v>185</v>
      </c>
      <c r="B180" s="13">
        <v>0</v>
      </c>
      <c r="C180" s="13" t="s">
        <v>272</v>
      </c>
      <c r="D180" s="13" t="s">
        <v>263</v>
      </c>
      <c r="E180" s="13">
        <v>0</v>
      </c>
      <c r="F180" s="13">
        <v>0</v>
      </c>
      <c r="G180" s="13">
        <v>2</v>
      </c>
      <c r="H180" s="13">
        <v>0</v>
      </c>
      <c r="I180" s="13">
        <v>0</v>
      </c>
      <c r="J180" s="11"/>
      <c r="K180" s="11" t="s">
        <v>66</v>
      </c>
      <c r="L180" s="11"/>
      <c r="M180" s="12">
        <v>0</v>
      </c>
      <c r="N180" s="11"/>
      <c r="O180" s="12">
        <v>0</v>
      </c>
      <c r="P180" s="11"/>
      <c r="Q180" s="12">
        <v>0</v>
      </c>
      <c r="R180" s="11"/>
      <c r="S180" s="12">
        <v>0</v>
      </c>
      <c r="T180" s="11"/>
      <c r="U180" s="12">
        <v>0</v>
      </c>
    </row>
    <row r="181" spans="1:21" x14ac:dyDescent="0.45">
      <c r="A181" s="13">
        <v>186</v>
      </c>
      <c r="B181" s="13">
        <v>0</v>
      </c>
      <c r="C181" s="13" t="s">
        <v>273</v>
      </c>
      <c r="D181" s="13" t="s">
        <v>263</v>
      </c>
      <c r="E181" s="13">
        <v>0</v>
      </c>
      <c r="F181" s="13">
        <v>0</v>
      </c>
      <c r="G181" s="13">
        <v>2</v>
      </c>
      <c r="H181" s="13">
        <v>0</v>
      </c>
      <c r="I181" s="13">
        <v>0</v>
      </c>
      <c r="J181" s="11"/>
      <c r="K181" s="11" t="s">
        <v>66</v>
      </c>
      <c r="L181" s="11"/>
      <c r="M181" s="12">
        <v>0</v>
      </c>
      <c r="N181" s="11"/>
      <c r="O181" s="12">
        <v>0</v>
      </c>
      <c r="P181" s="11"/>
      <c r="Q181" s="12">
        <v>0</v>
      </c>
      <c r="R181" s="11"/>
      <c r="S181" s="12">
        <v>0</v>
      </c>
      <c r="T181" s="11"/>
      <c r="U181" s="12">
        <v>0</v>
      </c>
    </row>
    <row r="182" spans="1:21" x14ac:dyDescent="0.45">
      <c r="A182" s="13">
        <v>187</v>
      </c>
      <c r="B182" s="13">
        <v>1</v>
      </c>
      <c r="C182" s="13" t="s">
        <v>274</v>
      </c>
      <c r="D182" s="13" t="s">
        <v>275</v>
      </c>
      <c r="E182" s="13">
        <v>0</v>
      </c>
      <c r="F182" s="13">
        <v>0</v>
      </c>
      <c r="G182" s="13">
        <v>1</v>
      </c>
      <c r="H182" s="13">
        <v>0</v>
      </c>
      <c r="I182" s="13">
        <v>0</v>
      </c>
      <c r="J182" s="11"/>
      <c r="K182" s="11" t="s">
        <v>66</v>
      </c>
      <c r="L182" s="11"/>
      <c r="M182" s="12">
        <v>0</v>
      </c>
      <c r="N182" s="11"/>
      <c r="O182" s="12">
        <v>0</v>
      </c>
      <c r="P182" s="11"/>
      <c r="Q182" s="12">
        <v>0</v>
      </c>
      <c r="R182" s="11"/>
      <c r="S182" s="12">
        <v>0</v>
      </c>
      <c r="T182" s="11"/>
      <c r="U182" s="12">
        <v>0</v>
      </c>
    </row>
    <row r="183" spans="1:21" x14ac:dyDescent="0.45">
      <c r="A183" s="13">
        <v>188</v>
      </c>
      <c r="B183" s="13">
        <v>1</v>
      </c>
      <c r="C183" s="13" t="s">
        <v>276</v>
      </c>
      <c r="D183" s="13" t="s">
        <v>277</v>
      </c>
      <c r="E183" s="13">
        <v>0</v>
      </c>
      <c r="F183" s="13">
        <v>0</v>
      </c>
      <c r="G183" s="13">
        <v>1</v>
      </c>
      <c r="H183" s="13">
        <v>0</v>
      </c>
      <c r="I183" s="13">
        <v>0</v>
      </c>
      <c r="J183" s="11"/>
      <c r="K183" s="11" t="s">
        <v>66</v>
      </c>
      <c r="L183" s="11"/>
      <c r="M183" s="12">
        <v>0</v>
      </c>
      <c r="N183" s="11"/>
      <c r="O183" s="12">
        <v>0</v>
      </c>
      <c r="P183" s="11"/>
      <c r="Q183" s="12">
        <v>0</v>
      </c>
      <c r="R183" s="11"/>
      <c r="S183" s="12">
        <v>0</v>
      </c>
      <c r="T183" s="11"/>
      <c r="U183" s="12">
        <v>0</v>
      </c>
    </row>
    <row r="184" spans="1:21" x14ac:dyDescent="0.45">
      <c r="A184" s="13">
        <v>189</v>
      </c>
      <c r="B184" s="13">
        <v>0</v>
      </c>
      <c r="C184" s="13" t="s">
        <v>278</v>
      </c>
      <c r="D184" s="13" t="s">
        <v>263</v>
      </c>
      <c r="E184" s="13">
        <v>0</v>
      </c>
      <c r="F184" s="13">
        <v>0</v>
      </c>
      <c r="G184" s="13">
        <v>2</v>
      </c>
      <c r="H184" s="13">
        <v>0</v>
      </c>
      <c r="I184" s="13">
        <v>0</v>
      </c>
      <c r="J184" s="11"/>
      <c r="K184" s="11" t="s">
        <v>66</v>
      </c>
      <c r="L184" s="11"/>
      <c r="M184" s="12">
        <v>0</v>
      </c>
      <c r="N184" s="11"/>
      <c r="O184" s="12">
        <v>0</v>
      </c>
      <c r="P184" s="11"/>
      <c r="Q184" s="12">
        <v>0</v>
      </c>
      <c r="R184" s="11"/>
      <c r="S184" s="12">
        <v>0</v>
      </c>
      <c r="T184" s="11"/>
      <c r="U184" s="12">
        <v>0</v>
      </c>
    </row>
    <row r="185" spans="1:21" x14ac:dyDescent="0.45">
      <c r="A185" s="13">
        <v>190</v>
      </c>
      <c r="B185" s="13">
        <v>0</v>
      </c>
      <c r="C185" s="13" t="s">
        <v>279</v>
      </c>
      <c r="D185" s="13" t="s">
        <v>263</v>
      </c>
      <c r="E185" s="13">
        <v>0</v>
      </c>
      <c r="F185" s="13">
        <v>0</v>
      </c>
      <c r="G185" s="13">
        <v>2</v>
      </c>
      <c r="H185" s="13">
        <v>0</v>
      </c>
      <c r="I185" s="13">
        <v>0</v>
      </c>
      <c r="J185" s="11"/>
      <c r="K185" s="11" t="s">
        <v>66</v>
      </c>
      <c r="L185" s="11"/>
      <c r="M185" s="12">
        <v>0</v>
      </c>
      <c r="N185" s="11"/>
      <c r="O185" s="12">
        <v>0</v>
      </c>
      <c r="P185" s="11"/>
      <c r="Q185" s="12">
        <v>0</v>
      </c>
      <c r="R185" s="11"/>
      <c r="S185" s="12">
        <v>0</v>
      </c>
      <c r="T185" s="11"/>
      <c r="U185" s="12">
        <v>0</v>
      </c>
    </row>
    <row r="186" spans="1:21" x14ac:dyDescent="0.45">
      <c r="A186" s="13">
        <v>191</v>
      </c>
      <c r="B186" s="13">
        <v>0</v>
      </c>
      <c r="C186" s="13" t="s">
        <v>280</v>
      </c>
      <c r="D186" s="13" t="s">
        <v>280</v>
      </c>
      <c r="E186" s="13">
        <v>0</v>
      </c>
      <c r="F186" s="13">
        <v>0</v>
      </c>
      <c r="G186" s="13">
        <v>1</v>
      </c>
      <c r="H186" s="13">
        <v>0</v>
      </c>
      <c r="I186" s="13">
        <v>0</v>
      </c>
      <c r="J186" s="11"/>
      <c r="K186" s="11" t="s">
        <v>66</v>
      </c>
      <c r="L186" s="11"/>
      <c r="M186" s="12">
        <v>0</v>
      </c>
      <c r="N186" s="11"/>
      <c r="O186" s="12">
        <v>0</v>
      </c>
      <c r="P186" s="11"/>
      <c r="Q186" s="12">
        <v>0</v>
      </c>
      <c r="R186" s="11"/>
      <c r="S186" s="12">
        <v>0</v>
      </c>
      <c r="T186" s="11"/>
      <c r="U186" s="12">
        <v>0</v>
      </c>
    </row>
    <row r="187" spans="1:21" x14ac:dyDescent="0.45">
      <c r="A187" s="13">
        <v>192</v>
      </c>
      <c r="B187" s="13">
        <v>1</v>
      </c>
      <c r="C187" s="13" t="s">
        <v>281</v>
      </c>
      <c r="D187" s="13" t="s">
        <v>281</v>
      </c>
      <c r="E187" s="13">
        <v>0</v>
      </c>
      <c r="F187" s="13">
        <v>0</v>
      </c>
      <c r="G187" s="13">
        <v>1</v>
      </c>
      <c r="H187" s="13">
        <v>1</v>
      </c>
      <c r="I187" s="13">
        <v>0</v>
      </c>
      <c r="J187" s="11"/>
      <c r="K187" s="11" t="s">
        <v>66</v>
      </c>
      <c r="L187" s="11" t="s">
        <v>282</v>
      </c>
      <c r="M187" s="12">
        <v>0</v>
      </c>
      <c r="N187" s="11" t="s">
        <v>283</v>
      </c>
      <c r="O187" s="12">
        <v>0</v>
      </c>
      <c r="P187" s="11" t="s">
        <v>284</v>
      </c>
      <c r="Q187" s="12">
        <v>0</v>
      </c>
      <c r="R187" s="11"/>
      <c r="S187" s="12">
        <v>0</v>
      </c>
      <c r="T187" s="11"/>
      <c r="U187" s="12">
        <v>0</v>
      </c>
    </row>
    <row r="188" spans="1:21" x14ac:dyDescent="0.45">
      <c r="A188" s="13">
        <v>193</v>
      </c>
      <c r="B188" s="13">
        <v>1</v>
      </c>
      <c r="C188" s="13" t="s">
        <v>285</v>
      </c>
      <c r="D188" s="13" t="s">
        <v>285</v>
      </c>
      <c r="E188" s="13">
        <v>0</v>
      </c>
      <c r="F188" s="13">
        <v>0</v>
      </c>
      <c r="G188" s="13">
        <v>0</v>
      </c>
      <c r="H188" s="13">
        <v>0</v>
      </c>
      <c r="I188" s="13">
        <v>0</v>
      </c>
      <c r="J188" s="11"/>
      <c r="K188" s="11" t="s">
        <v>66</v>
      </c>
      <c r="L188" s="11"/>
      <c r="M188" s="12">
        <v>0</v>
      </c>
      <c r="N188" s="11"/>
      <c r="O188" s="12">
        <v>0</v>
      </c>
      <c r="P188" s="11"/>
      <c r="Q188" s="12">
        <v>0</v>
      </c>
      <c r="R188" s="11"/>
      <c r="S188" s="12">
        <v>0</v>
      </c>
      <c r="T188" s="11"/>
      <c r="U188" s="12">
        <v>0</v>
      </c>
    </row>
    <row r="189" spans="1:21" x14ac:dyDescent="0.45">
      <c r="A189" s="13">
        <v>194</v>
      </c>
      <c r="B189" s="13">
        <v>1</v>
      </c>
      <c r="C189" s="13" t="s">
        <v>286</v>
      </c>
      <c r="D189" s="13" t="s">
        <v>286</v>
      </c>
      <c r="E189" s="13">
        <v>0</v>
      </c>
      <c r="F189" s="13">
        <v>194</v>
      </c>
      <c r="G189" s="13">
        <v>0</v>
      </c>
      <c r="H189" s="13">
        <v>0</v>
      </c>
      <c r="I189" s="13">
        <v>0</v>
      </c>
      <c r="J189" s="11"/>
      <c r="K189" s="11" t="s">
        <v>66</v>
      </c>
      <c r="L189" s="11"/>
      <c r="M189" s="12">
        <v>0</v>
      </c>
      <c r="N189" s="11"/>
      <c r="O189" s="12">
        <v>0</v>
      </c>
      <c r="P189" s="11"/>
      <c r="Q189" s="12">
        <v>0</v>
      </c>
      <c r="R189" s="11"/>
      <c r="S189" s="12">
        <v>0</v>
      </c>
      <c r="T189" s="11"/>
      <c r="U189" s="12">
        <v>0</v>
      </c>
    </row>
    <row r="190" spans="1:21" x14ac:dyDescent="0.45">
      <c r="A190" s="13">
        <v>195</v>
      </c>
      <c r="B190" s="13">
        <v>1</v>
      </c>
      <c r="C190" s="13" t="s">
        <v>287</v>
      </c>
      <c r="D190" s="13" t="s">
        <v>287</v>
      </c>
      <c r="E190" s="13">
        <v>0</v>
      </c>
      <c r="F190" s="13">
        <v>0</v>
      </c>
      <c r="G190" s="13">
        <v>0</v>
      </c>
      <c r="H190" s="13">
        <v>0</v>
      </c>
      <c r="I190" s="13">
        <v>0</v>
      </c>
      <c r="J190" s="11"/>
      <c r="K190" s="11" t="s">
        <v>66</v>
      </c>
      <c r="L190" s="11"/>
      <c r="M190" s="12">
        <v>0</v>
      </c>
      <c r="N190" s="11"/>
      <c r="O190" s="12">
        <v>0</v>
      </c>
      <c r="P190" s="11"/>
      <c r="Q190" s="12">
        <v>0</v>
      </c>
      <c r="R190" s="11"/>
      <c r="S190" s="12">
        <v>0</v>
      </c>
      <c r="T190" s="11"/>
      <c r="U190" s="12">
        <v>0</v>
      </c>
    </row>
    <row r="191" spans="1:21" x14ac:dyDescent="0.45">
      <c r="A191" s="13">
        <v>196</v>
      </c>
      <c r="B191" s="13">
        <v>1</v>
      </c>
      <c r="C191" s="13" t="s">
        <v>288</v>
      </c>
      <c r="D191" s="13" t="s">
        <v>288</v>
      </c>
      <c r="E191" s="13">
        <v>3500</v>
      </c>
      <c r="F191" s="13">
        <v>0</v>
      </c>
      <c r="G191" s="13">
        <v>1</v>
      </c>
      <c r="H191" s="13">
        <v>0</v>
      </c>
      <c r="I191" s="13">
        <v>0</v>
      </c>
      <c r="J191" s="11"/>
      <c r="K191" s="11" t="s">
        <v>66</v>
      </c>
      <c r="L191" s="11"/>
      <c r="M191" s="12">
        <v>0</v>
      </c>
      <c r="N191" s="11"/>
      <c r="O191" s="12">
        <v>0</v>
      </c>
      <c r="P191" s="11"/>
      <c r="Q191" s="12">
        <v>0</v>
      </c>
      <c r="R191" s="11"/>
      <c r="S191" s="12">
        <v>0</v>
      </c>
      <c r="T191" s="11"/>
      <c r="U191" s="12">
        <v>0</v>
      </c>
    </row>
    <row r="192" spans="1:21" x14ac:dyDescent="0.45">
      <c r="A192" s="13">
        <v>197</v>
      </c>
      <c r="B192" s="13">
        <v>1</v>
      </c>
      <c r="C192" s="13" t="s">
        <v>289</v>
      </c>
      <c r="D192" s="13" t="s">
        <v>289</v>
      </c>
      <c r="E192" s="13">
        <v>0</v>
      </c>
      <c r="F192" s="13">
        <v>0</v>
      </c>
      <c r="G192" s="13">
        <v>1</v>
      </c>
      <c r="H192" s="13">
        <v>0</v>
      </c>
      <c r="I192" s="13">
        <v>0</v>
      </c>
      <c r="J192" s="11"/>
      <c r="K192" s="11" t="s">
        <v>66</v>
      </c>
      <c r="L192" s="11"/>
      <c r="M192" s="12">
        <v>0</v>
      </c>
      <c r="N192" s="11"/>
      <c r="O192" s="12">
        <v>0</v>
      </c>
      <c r="P192" s="11"/>
      <c r="Q192" s="12">
        <v>0</v>
      </c>
      <c r="R192" s="11"/>
      <c r="S192" s="12">
        <v>0</v>
      </c>
      <c r="T192" s="11"/>
      <c r="U192" s="12">
        <v>0</v>
      </c>
    </row>
    <row r="193" spans="1:21" x14ac:dyDescent="0.45">
      <c r="A193" s="13">
        <v>198</v>
      </c>
      <c r="B193" s="13">
        <v>1</v>
      </c>
      <c r="C193" s="13" t="s">
        <v>290</v>
      </c>
      <c r="D193" s="13" t="s">
        <v>290</v>
      </c>
      <c r="E193" s="13">
        <v>0</v>
      </c>
      <c r="F193" s="13">
        <v>0</v>
      </c>
      <c r="G193" s="13">
        <v>1</v>
      </c>
      <c r="H193" s="13">
        <v>0</v>
      </c>
      <c r="I193" s="13">
        <v>0</v>
      </c>
      <c r="J193" s="11"/>
      <c r="K193" s="11" t="s">
        <v>66</v>
      </c>
      <c r="L193" s="11"/>
      <c r="M193" s="12">
        <v>0</v>
      </c>
      <c r="N193" s="11"/>
      <c r="O193" s="12">
        <v>0</v>
      </c>
      <c r="P193" s="11"/>
      <c r="Q193" s="12">
        <v>0</v>
      </c>
      <c r="R193" s="11"/>
      <c r="S193" s="12">
        <v>0</v>
      </c>
      <c r="T193" s="11"/>
      <c r="U193" s="12">
        <v>0</v>
      </c>
    </row>
    <row r="194" spans="1:21" x14ac:dyDescent="0.45">
      <c r="A194" s="10">
        <v>199</v>
      </c>
      <c r="B194" s="10">
        <v>1</v>
      </c>
      <c r="C194" s="10" t="s">
        <v>291</v>
      </c>
      <c r="D194" s="10" t="s">
        <v>292</v>
      </c>
      <c r="E194" s="10">
        <v>0</v>
      </c>
      <c r="F194" s="10">
        <v>480</v>
      </c>
      <c r="G194" s="10">
        <v>1</v>
      </c>
      <c r="H194" s="10">
        <v>1</v>
      </c>
      <c r="I194" s="10">
        <v>18</v>
      </c>
      <c r="J194" s="8"/>
      <c r="K194" s="8" t="s">
        <v>66</v>
      </c>
      <c r="L194" s="8"/>
      <c r="M194" s="9">
        <v>0</v>
      </c>
      <c r="N194" s="8"/>
      <c r="O194" s="9">
        <v>0</v>
      </c>
      <c r="P194" s="8"/>
      <c r="Q194" s="9">
        <v>0</v>
      </c>
      <c r="R194" s="8"/>
      <c r="S194" s="9">
        <v>0</v>
      </c>
      <c r="T194" s="8"/>
      <c r="U194" s="9">
        <v>0</v>
      </c>
    </row>
    <row r="195" spans="1:21" x14ac:dyDescent="0.45">
      <c r="A195" s="30">
        <v>200</v>
      </c>
      <c r="B195" s="30">
        <v>1</v>
      </c>
      <c r="C195" s="30" t="s">
        <v>57</v>
      </c>
      <c r="D195" s="30" t="s">
        <v>57</v>
      </c>
      <c r="E195" s="30">
        <v>0</v>
      </c>
      <c r="F195" s="30">
        <v>0</v>
      </c>
      <c r="G195" s="30">
        <v>2</v>
      </c>
      <c r="H195" s="30">
        <v>2</v>
      </c>
      <c r="I195" s="30">
        <v>0</v>
      </c>
      <c r="J195" s="31"/>
      <c r="K195" s="31"/>
      <c r="L195" s="31" t="s">
        <v>47</v>
      </c>
      <c r="M195" s="32">
        <v>1</v>
      </c>
      <c r="N195" s="31"/>
      <c r="O195" s="32">
        <v>0</v>
      </c>
      <c r="P195" s="31"/>
      <c r="Q195" s="32">
        <v>0</v>
      </c>
      <c r="R195" s="31"/>
      <c r="S195" s="32">
        <v>0</v>
      </c>
      <c r="T195" s="31"/>
      <c r="U195" s="32">
        <v>0</v>
      </c>
    </row>
    <row r="196" spans="1:21" x14ac:dyDescent="0.45">
      <c r="A196" s="30">
        <v>201</v>
      </c>
      <c r="B196" s="30">
        <v>2</v>
      </c>
      <c r="C196" s="30" t="s">
        <v>293</v>
      </c>
      <c r="D196" s="30" t="s">
        <v>293</v>
      </c>
      <c r="E196" s="30">
        <v>0</v>
      </c>
      <c r="F196" s="30">
        <v>0</v>
      </c>
      <c r="G196" s="30">
        <v>2</v>
      </c>
      <c r="H196" s="30">
        <v>2</v>
      </c>
      <c r="I196" s="30">
        <v>0</v>
      </c>
      <c r="J196" s="31"/>
      <c r="K196" s="31"/>
      <c r="L196" s="31" t="s">
        <v>294</v>
      </c>
      <c r="M196" s="32">
        <v>0</v>
      </c>
      <c r="N196" s="31"/>
      <c r="O196" s="32">
        <v>0</v>
      </c>
      <c r="P196" s="31"/>
      <c r="Q196" s="32">
        <v>0</v>
      </c>
      <c r="R196" s="31"/>
      <c r="S196" s="32">
        <v>0</v>
      </c>
      <c r="T196" s="31"/>
      <c r="U196" s="32">
        <v>0</v>
      </c>
    </row>
    <row r="197" spans="1:21" x14ac:dyDescent="0.45">
      <c r="A197" s="30">
        <v>202</v>
      </c>
      <c r="B197" s="30">
        <v>2</v>
      </c>
      <c r="C197" s="30" t="s">
        <v>295</v>
      </c>
      <c r="D197" s="30" t="s">
        <v>295</v>
      </c>
      <c r="E197" s="30">
        <v>0</v>
      </c>
      <c r="F197" s="30">
        <v>0</v>
      </c>
      <c r="G197" s="30">
        <v>2</v>
      </c>
      <c r="H197" s="30">
        <v>2</v>
      </c>
      <c r="I197" s="30">
        <v>0</v>
      </c>
      <c r="J197" s="31"/>
      <c r="K197" s="31"/>
      <c r="L197" s="31" t="s">
        <v>296</v>
      </c>
      <c r="M197" s="32">
        <v>0</v>
      </c>
      <c r="N197" s="31"/>
      <c r="O197" s="32">
        <v>0</v>
      </c>
      <c r="P197" s="31"/>
      <c r="Q197" s="32">
        <v>0</v>
      </c>
      <c r="R197" s="31"/>
      <c r="S197" s="32">
        <v>0</v>
      </c>
      <c r="T197" s="31"/>
      <c r="U197" s="32">
        <v>0</v>
      </c>
    </row>
    <row r="198" spans="1:21" x14ac:dyDescent="0.45">
      <c r="A198" s="30">
        <v>203</v>
      </c>
      <c r="B198" s="30">
        <v>2</v>
      </c>
      <c r="C198" s="30" t="s">
        <v>297</v>
      </c>
      <c r="D198" s="30" t="s">
        <v>297</v>
      </c>
      <c r="E198" s="30">
        <v>0</v>
      </c>
      <c r="F198" s="30">
        <v>0</v>
      </c>
      <c r="G198" s="30">
        <v>2</v>
      </c>
      <c r="H198" s="30">
        <v>2</v>
      </c>
      <c r="I198" s="30">
        <v>0</v>
      </c>
      <c r="J198" s="31"/>
      <c r="K198" s="31"/>
      <c r="L198" s="31" t="s">
        <v>297</v>
      </c>
      <c r="M198" s="32">
        <v>0</v>
      </c>
      <c r="N198" s="31"/>
      <c r="O198" s="32">
        <v>0</v>
      </c>
      <c r="P198" s="31"/>
      <c r="Q198" s="32">
        <v>0</v>
      </c>
      <c r="R198" s="31"/>
      <c r="S198" s="32">
        <v>0</v>
      </c>
      <c r="T198" s="31"/>
      <c r="U198" s="32">
        <v>0</v>
      </c>
    </row>
    <row r="199" spans="1:21" x14ac:dyDescent="0.45">
      <c r="A199" s="30">
        <v>204</v>
      </c>
      <c r="B199" s="30">
        <v>2</v>
      </c>
      <c r="C199" s="30" t="s">
        <v>298</v>
      </c>
      <c r="D199" s="30" t="s">
        <v>298</v>
      </c>
      <c r="E199" s="30">
        <v>0</v>
      </c>
      <c r="F199" s="30">
        <v>0</v>
      </c>
      <c r="G199" s="30">
        <v>2</v>
      </c>
      <c r="H199" s="30">
        <v>2</v>
      </c>
      <c r="I199" s="30">
        <v>0</v>
      </c>
      <c r="J199" s="31"/>
      <c r="K199" s="31"/>
      <c r="L199" s="31" t="s">
        <v>298</v>
      </c>
      <c r="M199" s="32">
        <v>0</v>
      </c>
      <c r="N199" s="31"/>
      <c r="O199" s="32">
        <v>0</v>
      </c>
      <c r="P199" s="31"/>
      <c r="Q199" s="32">
        <v>0</v>
      </c>
      <c r="R199" s="31"/>
      <c r="S199" s="32"/>
      <c r="T199" s="31"/>
      <c r="U199" s="32"/>
    </row>
    <row r="200" spans="1:21" x14ac:dyDescent="0.45">
      <c r="A200" s="30">
        <v>205</v>
      </c>
      <c r="B200" s="30">
        <v>2</v>
      </c>
      <c r="C200" s="30" t="s">
        <v>299</v>
      </c>
      <c r="D200" s="30" t="s">
        <v>299</v>
      </c>
      <c r="E200" s="30">
        <v>0</v>
      </c>
      <c r="F200" s="30">
        <v>0</v>
      </c>
      <c r="G200" s="30">
        <v>2</v>
      </c>
      <c r="H200" s="30">
        <v>2</v>
      </c>
      <c r="I200" s="30">
        <v>0</v>
      </c>
      <c r="J200" s="31"/>
      <c r="K200" s="31"/>
      <c r="L200" s="31" t="s">
        <v>299</v>
      </c>
      <c r="M200" s="32">
        <v>0</v>
      </c>
      <c r="N200" s="31"/>
      <c r="O200" s="32">
        <v>0</v>
      </c>
      <c r="P200" s="31"/>
      <c r="Q200" s="32">
        <v>0</v>
      </c>
      <c r="R200" s="31"/>
      <c r="S200" s="32"/>
      <c r="T200" s="31"/>
      <c r="U200" s="32"/>
    </row>
    <row r="201" spans="1:21" x14ac:dyDescent="0.45">
      <c r="A201" s="30">
        <v>206</v>
      </c>
      <c r="B201" s="30">
        <v>2</v>
      </c>
      <c r="C201" s="30" t="s">
        <v>300</v>
      </c>
      <c r="D201" s="30" t="s">
        <v>300</v>
      </c>
      <c r="E201" s="30">
        <v>0</v>
      </c>
      <c r="F201" s="30">
        <v>0</v>
      </c>
      <c r="G201" s="30">
        <v>2</v>
      </c>
      <c r="H201" s="30">
        <v>2</v>
      </c>
      <c r="I201" s="30">
        <v>0</v>
      </c>
      <c r="J201" s="31"/>
      <c r="K201" s="31"/>
      <c r="L201" s="31" t="s">
        <v>301</v>
      </c>
      <c r="M201" s="32">
        <v>0</v>
      </c>
      <c r="N201" s="31"/>
      <c r="O201" s="32">
        <v>0</v>
      </c>
      <c r="P201" s="31"/>
      <c r="Q201" s="32">
        <v>0</v>
      </c>
      <c r="R201" s="31"/>
      <c r="S201" s="32">
        <v>0</v>
      </c>
      <c r="T201" s="31"/>
      <c r="U201" s="32">
        <v>0</v>
      </c>
    </row>
    <row r="202" spans="1:21" x14ac:dyDescent="0.45">
      <c r="A202" s="30">
        <v>207</v>
      </c>
      <c r="B202" s="30">
        <v>2</v>
      </c>
      <c r="C202" s="30" t="s">
        <v>302</v>
      </c>
      <c r="D202" s="30" t="s">
        <v>302</v>
      </c>
      <c r="E202" s="30">
        <v>0</v>
      </c>
      <c r="F202" s="30">
        <v>0</v>
      </c>
      <c r="G202" s="30">
        <v>2</v>
      </c>
      <c r="H202" s="30">
        <v>2</v>
      </c>
      <c r="I202" s="30">
        <v>0</v>
      </c>
      <c r="J202" s="31"/>
      <c r="K202" s="31"/>
      <c r="L202" s="31" t="s">
        <v>301</v>
      </c>
      <c r="M202" s="32">
        <v>0</v>
      </c>
      <c r="N202" s="31"/>
      <c r="O202" s="32">
        <v>0</v>
      </c>
      <c r="P202" s="31"/>
      <c r="Q202" s="32">
        <v>0</v>
      </c>
      <c r="R202" s="31"/>
      <c r="S202" s="32">
        <v>0</v>
      </c>
      <c r="T202" s="31"/>
      <c r="U202" s="32">
        <v>0</v>
      </c>
    </row>
    <row r="203" spans="1:21" x14ac:dyDescent="0.45">
      <c r="A203" s="30">
        <v>208</v>
      </c>
      <c r="B203" s="30">
        <v>2</v>
      </c>
      <c r="C203" s="30" t="s">
        <v>303</v>
      </c>
      <c r="D203" s="30" t="s">
        <v>303</v>
      </c>
      <c r="E203" s="30">
        <v>0</v>
      </c>
      <c r="F203" s="30">
        <v>0</v>
      </c>
      <c r="G203" s="30">
        <v>2</v>
      </c>
      <c r="H203" s="30">
        <v>2</v>
      </c>
      <c r="I203" s="30">
        <v>0</v>
      </c>
      <c r="J203" s="31"/>
      <c r="K203" s="31"/>
      <c r="L203" s="31" t="s">
        <v>301</v>
      </c>
      <c r="M203" s="32">
        <v>0</v>
      </c>
      <c r="N203" s="31"/>
      <c r="O203" s="32">
        <v>0</v>
      </c>
      <c r="P203" s="31"/>
      <c r="Q203" s="32">
        <v>0</v>
      </c>
      <c r="R203" s="31"/>
      <c r="S203" s="32">
        <v>0</v>
      </c>
      <c r="T203" s="31"/>
      <c r="U203" s="32">
        <v>0</v>
      </c>
    </row>
    <row r="204" spans="1:21" x14ac:dyDescent="0.45">
      <c r="A204" s="30">
        <v>209</v>
      </c>
      <c r="B204" s="30">
        <v>2</v>
      </c>
      <c r="C204" s="30" t="s">
        <v>304</v>
      </c>
      <c r="D204" s="30" t="s">
        <v>304</v>
      </c>
      <c r="E204" s="30">
        <v>0</v>
      </c>
      <c r="F204" s="30">
        <v>0</v>
      </c>
      <c r="G204" s="30">
        <v>2</v>
      </c>
      <c r="H204" s="30">
        <v>2</v>
      </c>
      <c r="I204" s="30">
        <v>0</v>
      </c>
      <c r="J204" s="31"/>
      <c r="K204" s="31"/>
      <c r="L204" s="31" t="s">
        <v>301</v>
      </c>
      <c r="M204" s="32">
        <v>0</v>
      </c>
      <c r="N204" s="31"/>
      <c r="O204" s="32">
        <v>0</v>
      </c>
      <c r="P204" s="31"/>
      <c r="Q204" s="32">
        <v>0</v>
      </c>
      <c r="R204" s="31"/>
      <c r="S204" s="32">
        <v>0</v>
      </c>
      <c r="T204" s="31"/>
      <c r="U204" s="32">
        <v>0</v>
      </c>
    </row>
    <row r="205" spans="1:21" x14ac:dyDescent="0.45">
      <c r="A205" s="30">
        <v>210</v>
      </c>
      <c r="B205" s="30">
        <v>2</v>
      </c>
      <c r="C205" s="30" t="s">
        <v>305</v>
      </c>
      <c r="D205" s="30" t="s">
        <v>305</v>
      </c>
      <c r="E205" s="30">
        <v>0</v>
      </c>
      <c r="F205" s="30">
        <v>0</v>
      </c>
      <c r="G205" s="30">
        <v>2</v>
      </c>
      <c r="H205" s="30">
        <v>2</v>
      </c>
      <c r="I205" s="30">
        <v>0</v>
      </c>
      <c r="J205" s="31"/>
      <c r="K205" s="31"/>
      <c r="L205" s="31" t="s">
        <v>301</v>
      </c>
      <c r="M205" s="32">
        <v>0</v>
      </c>
      <c r="N205" s="31"/>
      <c r="O205" s="32">
        <v>0</v>
      </c>
      <c r="P205" s="31"/>
      <c r="Q205" s="32">
        <v>0</v>
      </c>
      <c r="R205" s="31"/>
      <c r="S205" s="32">
        <v>0</v>
      </c>
      <c r="T205" s="31"/>
      <c r="U205" s="32">
        <v>0</v>
      </c>
    </row>
    <row r="206" spans="1:21" x14ac:dyDescent="0.45">
      <c r="A206" s="30">
        <v>211</v>
      </c>
      <c r="B206" s="30">
        <v>2</v>
      </c>
      <c r="C206" s="30" t="s">
        <v>306</v>
      </c>
      <c r="D206" s="30" t="s">
        <v>306</v>
      </c>
      <c r="E206" s="30">
        <v>0</v>
      </c>
      <c r="F206" s="30">
        <v>0</v>
      </c>
      <c r="G206" s="30">
        <v>2</v>
      </c>
      <c r="H206" s="30">
        <v>2</v>
      </c>
      <c r="I206" s="30">
        <v>0</v>
      </c>
      <c r="J206" s="31"/>
      <c r="K206" s="31"/>
      <c r="L206" s="31" t="s">
        <v>301</v>
      </c>
      <c r="M206" s="32">
        <v>0</v>
      </c>
      <c r="N206" s="31"/>
      <c r="O206" s="32">
        <v>0</v>
      </c>
      <c r="P206" s="31"/>
      <c r="Q206" s="32">
        <v>0</v>
      </c>
      <c r="R206" s="31"/>
      <c r="S206" s="32">
        <v>0</v>
      </c>
      <c r="T206" s="31"/>
      <c r="U206" s="32">
        <v>0</v>
      </c>
    </row>
    <row r="207" spans="1:21" x14ac:dyDescent="0.45">
      <c r="A207" s="30">
        <v>212</v>
      </c>
      <c r="B207" s="30">
        <v>2</v>
      </c>
      <c r="C207" s="30" t="s">
        <v>307</v>
      </c>
      <c r="D207" s="30" t="s">
        <v>308</v>
      </c>
      <c r="E207" s="30">
        <v>0</v>
      </c>
      <c r="F207" s="30">
        <v>0</v>
      </c>
      <c r="G207" s="30">
        <v>2</v>
      </c>
      <c r="H207" s="30">
        <v>2</v>
      </c>
      <c r="I207" s="30">
        <v>0</v>
      </c>
      <c r="J207" s="31"/>
      <c r="K207" s="31"/>
      <c r="L207" s="31" t="s">
        <v>301</v>
      </c>
      <c r="M207" s="32">
        <v>0</v>
      </c>
      <c r="N207" s="31"/>
      <c r="O207" s="32">
        <v>0</v>
      </c>
      <c r="P207" s="31"/>
      <c r="Q207" s="32">
        <v>0</v>
      </c>
      <c r="R207" s="31"/>
      <c r="S207" s="32">
        <v>0</v>
      </c>
      <c r="T207" s="31"/>
      <c r="U207" s="32">
        <v>0</v>
      </c>
    </row>
    <row r="208" spans="1:21" x14ac:dyDescent="0.45">
      <c r="A208" s="30">
        <v>213</v>
      </c>
      <c r="B208" s="30">
        <v>2</v>
      </c>
      <c r="C208" s="30" t="s">
        <v>309</v>
      </c>
      <c r="D208" s="30" t="s">
        <v>309</v>
      </c>
      <c r="E208" s="30">
        <v>0</v>
      </c>
      <c r="F208" s="30">
        <v>0</v>
      </c>
      <c r="G208" s="30">
        <v>2</v>
      </c>
      <c r="H208" s="30">
        <v>2</v>
      </c>
      <c r="I208" s="30">
        <v>0</v>
      </c>
      <c r="J208" s="31"/>
      <c r="K208" s="31"/>
      <c r="L208" s="31" t="s">
        <v>309</v>
      </c>
      <c r="M208" s="32">
        <v>0</v>
      </c>
      <c r="N208" s="31"/>
      <c r="O208" s="32">
        <v>0</v>
      </c>
      <c r="P208" s="31"/>
      <c r="Q208" s="32">
        <v>0</v>
      </c>
      <c r="R208" s="31"/>
      <c r="S208" s="32">
        <v>0</v>
      </c>
      <c r="T208" s="31"/>
      <c r="U208" s="32">
        <v>0</v>
      </c>
    </row>
    <row r="209" spans="1:21" x14ac:dyDescent="0.45">
      <c r="A209" s="30">
        <v>214</v>
      </c>
      <c r="B209" s="30">
        <v>2</v>
      </c>
      <c r="C209" s="30" t="s">
        <v>249</v>
      </c>
      <c r="D209" s="30" t="s">
        <v>249</v>
      </c>
      <c r="E209" s="30">
        <v>0</v>
      </c>
      <c r="F209" s="30">
        <v>0</v>
      </c>
      <c r="G209" s="30">
        <v>2</v>
      </c>
      <c r="H209" s="30">
        <v>2</v>
      </c>
      <c r="I209" s="30">
        <v>0</v>
      </c>
      <c r="J209" s="31"/>
      <c r="K209" s="31"/>
      <c r="L209" s="31" t="s">
        <v>249</v>
      </c>
      <c r="M209" s="32">
        <v>0</v>
      </c>
      <c r="N209" s="31"/>
      <c r="O209" s="32">
        <v>0</v>
      </c>
      <c r="P209" s="31"/>
      <c r="Q209" s="32">
        <v>0</v>
      </c>
      <c r="R209" s="31"/>
      <c r="S209" s="32">
        <v>0</v>
      </c>
      <c r="T209" s="31"/>
      <c r="U209" s="32">
        <v>0</v>
      </c>
    </row>
    <row r="210" spans="1:21" x14ac:dyDescent="0.45">
      <c r="A210" s="30">
        <v>215</v>
      </c>
      <c r="B210" s="30">
        <v>2</v>
      </c>
      <c r="C210" s="30" t="s">
        <v>310</v>
      </c>
      <c r="D210" s="30" t="s">
        <v>310</v>
      </c>
      <c r="E210" s="30">
        <v>0</v>
      </c>
      <c r="F210" s="30">
        <v>0</v>
      </c>
      <c r="G210" s="30">
        <v>2</v>
      </c>
      <c r="H210" s="30">
        <v>2</v>
      </c>
      <c r="I210" s="30">
        <v>0</v>
      </c>
      <c r="J210" s="31"/>
      <c r="K210" s="31"/>
      <c r="L210" s="31" t="s">
        <v>310</v>
      </c>
      <c r="M210" s="32">
        <v>0</v>
      </c>
      <c r="N210" s="31"/>
      <c r="O210" s="32">
        <v>0</v>
      </c>
      <c r="P210" s="31"/>
      <c r="Q210" s="32">
        <v>0</v>
      </c>
      <c r="R210" s="31"/>
      <c r="S210" s="32">
        <v>0</v>
      </c>
      <c r="T210" s="31"/>
      <c r="U210" s="32">
        <v>0</v>
      </c>
    </row>
    <row r="211" spans="1:21" x14ac:dyDescent="0.45">
      <c r="A211" s="30">
        <v>216</v>
      </c>
      <c r="B211" s="30">
        <v>2</v>
      </c>
      <c r="C211" s="30" t="s">
        <v>311</v>
      </c>
      <c r="D211" s="30" t="s">
        <v>311</v>
      </c>
      <c r="E211" s="30">
        <v>0</v>
      </c>
      <c r="F211" s="30">
        <v>0</v>
      </c>
      <c r="G211" s="30">
        <v>2</v>
      </c>
      <c r="H211" s="30">
        <v>2</v>
      </c>
      <c r="I211" s="30">
        <v>0</v>
      </c>
      <c r="J211" s="31"/>
      <c r="K211" s="31"/>
      <c r="L211" s="31" t="s">
        <v>311</v>
      </c>
      <c r="M211" s="32">
        <v>0</v>
      </c>
      <c r="N211" s="31"/>
      <c r="O211" s="32">
        <v>0</v>
      </c>
      <c r="P211" s="31"/>
      <c r="Q211" s="32">
        <v>0</v>
      </c>
      <c r="R211" s="31"/>
      <c r="S211" s="32">
        <v>0</v>
      </c>
      <c r="T211" s="31"/>
      <c r="U211" s="32">
        <v>0</v>
      </c>
    </row>
    <row r="212" spans="1:21" x14ac:dyDescent="0.45">
      <c r="A212" s="30">
        <v>217</v>
      </c>
      <c r="B212" s="30">
        <v>2</v>
      </c>
      <c r="C212" s="30" t="s">
        <v>312</v>
      </c>
      <c r="D212" s="30" t="s">
        <v>313</v>
      </c>
      <c r="E212" s="30">
        <v>0</v>
      </c>
      <c r="F212" s="30">
        <v>0</v>
      </c>
      <c r="G212" s="30">
        <v>2</v>
      </c>
      <c r="H212" s="30">
        <v>2</v>
      </c>
      <c r="I212" s="30">
        <v>0</v>
      </c>
      <c r="J212" s="31"/>
      <c r="K212" s="31"/>
      <c r="L212" s="31" t="s">
        <v>313</v>
      </c>
      <c r="M212" s="32">
        <v>0</v>
      </c>
      <c r="N212" s="31"/>
      <c r="O212" s="32">
        <v>0</v>
      </c>
      <c r="P212" s="31"/>
      <c r="Q212" s="32">
        <v>0</v>
      </c>
      <c r="R212" s="31"/>
      <c r="S212" s="32">
        <v>0</v>
      </c>
      <c r="T212" s="31"/>
      <c r="U212" s="32">
        <v>0</v>
      </c>
    </row>
    <row r="213" spans="1:21" x14ac:dyDescent="0.45">
      <c r="A213" s="30">
        <v>218</v>
      </c>
      <c r="B213" s="30">
        <v>2</v>
      </c>
      <c r="C213" s="30" t="s">
        <v>312</v>
      </c>
      <c r="D213" s="30" t="s">
        <v>214</v>
      </c>
      <c r="E213" s="30">
        <v>0</v>
      </c>
      <c r="F213" s="30">
        <v>0</v>
      </c>
      <c r="G213" s="30">
        <v>2</v>
      </c>
      <c r="H213" s="30">
        <v>2</v>
      </c>
      <c r="I213" s="30">
        <v>0</v>
      </c>
      <c r="J213" s="31"/>
      <c r="K213" s="31"/>
      <c r="L213" s="31" t="s">
        <v>214</v>
      </c>
      <c r="M213" s="32">
        <v>0</v>
      </c>
      <c r="N213" s="31"/>
      <c r="O213" s="32">
        <v>0</v>
      </c>
      <c r="P213" s="31"/>
      <c r="Q213" s="32">
        <v>0</v>
      </c>
      <c r="R213" s="31"/>
      <c r="S213" s="32">
        <v>0</v>
      </c>
      <c r="T213" s="31"/>
      <c r="U213" s="32">
        <v>0</v>
      </c>
    </row>
    <row r="214" spans="1:21" x14ac:dyDescent="0.45">
      <c r="A214" s="30">
        <v>219</v>
      </c>
      <c r="B214" s="30">
        <v>2</v>
      </c>
      <c r="C214" s="30" t="s">
        <v>224</v>
      </c>
      <c r="D214" s="30" t="s">
        <v>314</v>
      </c>
      <c r="E214" s="30">
        <v>0</v>
      </c>
      <c r="F214" s="30">
        <v>0</v>
      </c>
      <c r="G214" s="30">
        <v>2</v>
      </c>
      <c r="H214" s="30">
        <v>2</v>
      </c>
      <c r="I214" s="30">
        <v>0</v>
      </c>
      <c r="J214" s="31"/>
      <c r="K214" s="31"/>
      <c r="L214" s="31" t="s">
        <v>314</v>
      </c>
      <c r="M214" s="32">
        <v>0</v>
      </c>
      <c r="N214" s="31"/>
      <c r="O214" s="32">
        <v>0</v>
      </c>
      <c r="P214" s="31"/>
      <c r="Q214" s="32">
        <v>0</v>
      </c>
      <c r="R214" s="31"/>
      <c r="S214" s="32">
        <v>0</v>
      </c>
      <c r="T214" s="31"/>
      <c r="U214" s="32">
        <v>0</v>
      </c>
    </row>
    <row r="215" spans="1:21" x14ac:dyDescent="0.45">
      <c r="A215" s="30">
        <v>220</v>
      </c>
      <c r="B215" s="30">
        <v>2</v>
      </c>
      <c r="C215" s="30" t="s">
        <v>67</v>
      </c>
      <c r="D215" s="30" t="s">
        <v>67</v>
      </c>
      <c r="E215" s="30">
        <v>0</v>
      </c>
      <c r="F215" s="30">
        <v>0</v>
      </c>
      <c r="G215" s="30">
        <v>2</v>
      </c>
      <c r="H215" s="30">
        <v>2</v>
      </c>
      <c r="I215" s="30">
        <v>0</v>
      </c>
      <c r="J215" s="31"/>
      <c r="K215" s="31"/>
      <c r="L215" s="31" t="s">
        <v>67</v>
      </c>
      <c r="M215" s="32">
        <v>0</v>
      </c>
      <c r="N215" s="31"/>
      <c r="O215" s="32">
        <v>0</v>
      </c>
      <c r="P215" s="31"/>
      <c r="Q215" s="32">
        <v>0</v>
      </c>
      <c r="R215" s="31"/>
      <c r="S215" s="32">
        <v>0</v>
      </c>
      <c r="T215" s="31"/>
      <c r="U215" s="32">
        <v>0</v>
      </c>
    </row>
    <row r="216" spans="1:21" x14ac:dyDescent="0.45">
      <c r="A216" s="30">
        <v>221</v>
      </c>
      <c r="B216" s="30">
        <v>2</v>
      </c>
      <c r="C216" s="30" t="s">
        <v>112</v>
      </c>
      <c r="D216" s="30" t="s">
        <v>112</v>
      </c>
      <c r="E216" s="30">
        <v>0</v>
      </c>
      <c r="F216" s="30">
        <v>0</v>
      </c>
      <c r="G216" s="30">
        <v>2</v>
      </c>
      <c r="H216" s="30">
        <v>2</v>
      </c>
      <c r="I216" s="30">
        <v>0</v>
      </c>
      <c r="J216" s="31"/>
      <c r="K216" s="31"/>
      <c r="L216" s="31" t="s">
        <v>112</v>
      </c>
      <c r="M216" s="32">
        <v>0</v>
      </c>
      <c r="N216" s="31"/>
      <c r="O216" s="32">
        <v>0</v>
      </c>
      <c r="P216" s="31"/>
      <c r="Q216" s="32">
        <v>0</v>
      </c>
      <c r="R216" s="31"/>
      <c r="S216" s="32">
        <v>0</v>
      </c>
      <c r="T216" s="31"/>
      <c r="U216" s="32">
        <v>0</v>
      </c>
    </row>
    <row r="217" spans="1:21" x14ac:dyDescent="0.45">
      <c r="A217" s="30">
        <v>222</v>
      </c>
      <c r="B217" s="30">
        <v>2</v>
      </c>
      <c r="C217" s="30" t="s">
        <v>315</v>
      </c>
      <c r="D217" s="30" t="s">
        <v>316</v>
      </c>
      <c r="E217" s="30">
        <v>0</v>
      </c>
      <c r="F217" s="30">
        <v>0</v>
      </c>
      <c r="G217" s="30">
        <v>2</v>
      </c>
      <c r="H217" s="30">
        <v>2</v>
      </c>
      <c r="I217" s="30">
        <v>0</v>
      </c>
      <c r="J217" s="31"/>
      <c r="K217" s="31"/>
      <c r="L217" s="31" t="s">
        <v>316</v>
      </c>
      <c r="M217" s="32">
        <v>0</v>
      </c>
      <c r="N217" s="31"/>
      <c r="O217" s="32">
        <v>0</v>
      </c>
      <c r="P217" s="31"/>
      <c r="Q217" s="32">
        <v>0</v>
      </c>
      <c r="R217" s="31"/>
      <c r="S217" s="32">
        <v>0</v>
      </c>
      <c r="T217" s="31"/>
      <c r="U217" s="32">
        <v>0</v>
      </c>
    </row>
    <row r="218" spans="1:21" x14ac:dyDescent="0.45">
      <c r="A218" s="30">
        <v>223</v>
      </c>
      <c r="B218" s="30">
        <v>2</v>
      </c>
      <c r="C218" s="30" t="s">
        <v>317</v>
      </c>
      <c r="D218" s="30" t="s">
        <v>317</v>
      </c>
      <c r="E218" s="30">
        <v>0</v>
      </c>
      <c r="F218" s="30">
        <v>0</v>
      </c>
      <c r="G218" s="30">
        <v>2</v>
      </c>
      <c r="H218" s="30">
        <v>2</v>
      </c>
      <c r="I218" s="30">
        <v>0</v>
      </c>
      <c r="J218" s="31"/>
      <c r="K218" s="31"/>
      <c r="L218" s="31" t="s">
        <v>317</v>
      </c>
      <c r="M218" s="32">
        <v>0</v>
      </c>
      <c r="N218" s="31"/>
      <c r="O218" s="32">
        <v>0</v>
      </c>
      <c r="P218" s="31"/>
      <c r="Q218" s="32">
        <v>0</v>
      </c>
      <c r="R218" s="31"/>
      <c r="S218" s="32">
        <v>0</v>
      </c>
      <c r="T218" s="31"/>
      <c r="U218" s="32">
        <v>0</v>
      </c>
    </row>
    <row r="219" spans="1:21" x14ac:dyDescent="0.45">
      <c r="A219" s="30">
        <v>225</v>
      </c>
      <c r="B219" s="30">
        <v>2</v>
      </c>
      <c r="C219" s="30" t="s">
        <v>115</v>
      </c>
      <c r="D219" s="30" t="s">
        <v>115</v>
      </c>
      <c r="E219" s="30">
        <v>0</v>
      </c>
      <c r="F219" s="30">
        <v>0</v>
      </c>
      <c r="G219" s="30">
        <v>2</v>
      </c>
      <c r="H219" s="30">
        <v>2</v>
      </c>
      <c r="I219" s="30">
        <v>0</v>
      </c>
      <c r="J219" s="31"/>
      <c r="K219" s="31"/>
      <c r="L219" s="31" t="s">
        <v>115</v>
      </c>
      <c r="M219" s="32">
        <v>0</v>
      </c>
      <c r="N219" s="31" t="s">
        <v>116</v>
      </c>
      <c r="O219" s="32">
        <v>0</v>
      </c>
      <c r="P219" s="31"/>
      <c r="Q219" s="32">
        <v>0</v>
      </c>
      <c r="R219" s="31"/>
      <c r="S219" s="32">
        <v>0</v>
      </c>
      <c r="T219" s="31"/>
      <c r="U219" s="32">
        <v>0</v>
      </c>
    </row>
    <row r="220" spans="1:21" x14ac:dyDescent="0.45">
      <c r="A220" s="30">
        <v>226</v>
      </c>
      <c r="B220" s="30">
        <v>2</v>
      </c>
      <c r="C220" s="30"/>
      <c r="D220" s="30" t="s">
        <v>318</v>
      </c>
      <c r="E220" s="30">
        <v>0</v>
      </c>
      <c r="F220" s="30">
        <v>0</v>
      </c>
      <c r="G220" s="30">
        <v>2</v>
      </c>
      <c r="H220" s="30">
        <v>2</v>
      </c>
      <c r="I220" s="30">
        <v>0</v>
      </c>
      <c r="J220" s="31"/>
      <c r="K220" s="31"/>
      <c r="L220" s="31" t="s">
        <v>319</v>
      </c>
      <c r="M220" s="32">
        <v>0</v>
      </c>
      <c r="N220" s="31"/>
      <c r="O220" s="32">
        <v>0</v>
      </c>
      <c r="P220" s="31"/>
      <c r="Q220" s="32">
        <v>0</v>
      </c>
      <c r="R220" s="31"/>
      <c r="S220" s="32">
        <v>0</v>
      </c>
      <c r="T220" s="31"/>
      <c r="U220" s="32">
        <v>0</v>
      </c>
    </row>
    <row r="221" spans="1:21" x14ac:dyDescent="0.45">
      <c r="A221" s="30">
        <v>227</v>
      </c>
      <c r="B221" s="30">
        <v>2</v>
      </c>
      <c r="C221" s="30" t="s">
        <v>320</v>
      </c>
      <c r="D221" s="30" t="s">
        <v>320</v>
      </c>
      <c r="E221" s="30">
        <v>0</v>
      </c>
      <c r="F221" s="30">
        <v>0</v>
      </c>
      <c r="G221" s="30">
        <v>2</v>
      </c>
      <c r="H221" s="30">
        <v>2</v>
      </c>
      <c r="I221" s="30">
        <v>0</v>
      </c>
      <c r="J221" s="31"/>
      <c r="K221" s="31"/>
      <c r="L221" s="31" t="s">
        <v>320</v>
      </c>
      <c r="M221" s="32">
        <v>0</v>
      </c>
      <c r="N221" s="31"/>
      <c r="O221" s="32">
        <v>0</v>
      </c>
      <c r="P221" s="31"/>
      <c r="Q221" s="32">
        <v>0</v>
      </c>
      <c r="R221" s="31"/>
      <c r="S221" s="32">
        <v>0</v>
      </c>
      <c r="T221" s="31"/>
      <c r="U221" s="32">
        <v>0</v>
      </c>
    </row>
    <row r="222" spans="1:21" x14ac:dyDescent="0.45">
      <c r="A222" s="30">
        <v>229</v>
      </c>
      <c r="B222" s="30">
        <v>0</v>
      </c>
      <c r="C222" s="30" t="s">
        <v>155</v>
      </c>
      <c r="D222" s="30"/>
      <c r="E222" s="30">
        <v>0</v>
      </c>
      <c r="F222" s="30">
        <v>0</v>
      </c>
      <c r="G222" s="30">
        <v>0</v>
      </c>
      <c r="H222" s="30">
        <v>0</v>
      </c>
      <c r="I222" s="30">
        <v>0</v>
      </c>
      <c r="J222" s="31"/>
      <c r="K222" s="31"/>
      <c r="L222" s="31"/>
      <c r="M222" s="32">
        <v>0</v>
      </c>
      <c r="N222" s="31"/>
      <c r="O222" s="32">
        <v>0</v>
      </c>
      <c r="P222" s="31"/>
      <c r="Q222" s="32">
        <v>0</v>
      </c>
      <c r="R222" s="31"/>
      <c r="S222" s="32">
        <v>0</v>
      </c>
      <c r="T222" s="31"/>
      <c r="U222" s="32">
        <v>0</v>
      </c>
    </row>
    <row r="223" spans="1:21" x14ac:dyDescent="0.45">
      <c r="A223" s="30">
        <v>230</v>
      </c>
      <c r="B223" s="30">
        <v>1</v>
      </c>
      <c r="C223" s="30" t="s">
        <v>321</v>
      </c>
      <c r="D223" s="30" t="s">
        <v>321</v>
      </c>
      <c r="E223" s="30">
        <v>0</v>
      </c>
      <c r="F223" s="30">
        <v>0</v>
      </c>
      <c r="G223" s="30">
        <v>3</v>
      </c>
      <c r="H223" s="30">
        <v>2</v>
      </c>
      <c r="I223" s="30">
        <v>0</v>
      </c>
      <c r="J223" s="31"/>
      <c r="K223" s="31"/>
      <c r="L223" s="31" t="s">
        <v>322</v>
      </c>
      <c r="M223" s="32">
        <v>0</v>
      </c>
      <c r="N223" s="31"/>
      <c r="O223" s="32">
        <v>0</v>
      </c>
      <c r="P223" s="31"/>
      <c r="Q223" s="32">
        <v>0</v>
      </c>
      <c r="R223" s="31"/>
      <c r="S223" s="32">
        <v>0</v>
      </c>
      <c r="T223" s="31"/>
      <c r="U223" s="32">
        <v>0</v>
      </c>
    </row>
    <row r="224" spans="1:21" x14ac:dyDescent="0.45">
      <c r="A224" s="30">
        <v>231</v>
      </c>
      <c r="B224" s="30">
        <v>1</v>
      </c>
      <c r="C224" s="30" t="s">
        <v>323</v>
      </c>
      <c r="D224" s="30" t="s">
        <v>323</v>
      </c>
      <c r="E224" s="30">
        <v>0</v>
      </c>
      <c r="F224" s="30">
        <v>0</v>
      </c>
      <c r="G224" s="30">
        <v>3</v>
      </c>
      <c r="H224" s="30">
        <v>2</v>
      </c>
      <c r="I224" s="30">
        <v>0</v>
      </c>
      <c r="J224" s="31"/>
      <c r="K224" s="31"/>
      <c r="L224" s="31" t="s">
        <v>324</v>
      </c>
      <c r="M224" s="32">
        <v>0</v>
      </c>
      <c r="N224" s="31"/>
      <c r="O224" s="32">
        <v>0</v>
      </c>
      <c r="P224" s="31"/>
      <c r="Q224" s="32">
        <v>0</v>
      </c>
      <c r="R224" s="31"/>
      <c r="S224" s="32">
        <v>0</v>
      </c>
      <c r="T224" s="31"/>
      <c r="U224" s="32">
        <v>0</v>
      </c>
    </row>
    <row r="225" spans="1:21" x14ac:dyDescent="0.45">
      <c r="A225" s="30">
        <v>232</v>
      </c>
      <c r="B225" s="30">
        <v>1</v>
      </c>
      <c r="C225" s="30" t="s">
        <v>325</v>
      </c>
      <c r="D225" s="30" t="s">
        <v>325</v>
      </c>
      <c r="E225" s="30">
        <v>0</v>
      </c>
      <c r="F225" s="30">
        <v>0</v>
      </c>
      <c r="G225" s="30">
        <v>3</v>
      </c>
      <c r="H225" s="30">
        <v>2</v>
      </c>
      <c r="I225" s="30">
        <v>0</v>
      </c>
      <c r="J225" s="31"/>
      <c r="K225" s="31"/>
      <c r="L225" s="31" t="s">
        <v>326</v>
      </c>
      <c r="M225" s="32">
        <v>0</v>
      </c>
      <c r="N225" s="31"/>
      <c r="O225" s="32">
        <v>0</v>
      </c>
      <c r="P225" s="31"/>
      <c r="Q225" s="32">
        <v>0</v>
      </c>
      <c r="R225" s="31"/>
      <c r="S225" s="32">
        <v>0</v>
      </c>
      <c r="T225" s="31"/>
      <c r="U225" s="32">
        <v>0</v>
      </c>
    </row>
    <row r="226" spans="1:21" x14ac:dyDescent="0.45">
      <c r="A226" s="30">
        <v>233</v>
      </c>
      <c r="B226" s="30">
        <v>1</v>
      </c>
      <c r="C226" s="30" t="s">
        <v>327</v>
      </c>
      <c r="D226" s="30" t="s">
        <v>327</v>
      </c>
      <c r="E226" s="30">
        <v>0</v>
      </c>
      <c r="F226" s="30">
        <v>0</v>
      </c>
      <c r="G226" s="30">
        <v>3</v>
      </c>
      <c r="H226" s="30">
        <v>2</v>
      </c>
      <c r="I226" s="30">
        <v>0</v>
      </c>
      <c r="J226" s="31"/>
      <c r="K226" s="31"/>
      <c r="L226" s="31" t="s">
        <v>328</v>
      </c>
      <c r="M226" s="32">
        <v>0</v>
      </c>
      <c r="N226" s="31"/>
      <c r="O226" s="32">
        <v>0</v>
      </c>
      <c r="P226" s="31"/>
      <c r="Q226" s="32">
        <v>0</v>
      </c>
      <c r="R226" s="31"/>
      <c r="S226" s="32">
        <v>0</v>
      </c>
      <c r="T226" s="31"/>
      <c r="U226" s="32">
        <v>0</v>
      </c>
    </row>
    <row r="227" spans="1:21" x14ac:dyDescent="0.45">
      <c r="A227" s="30">
        <v>234</v>
      </c>
      <c r="B227" s="30">
        <v>1</v>
      </c>
      <c r="C227" s="30" t="s">
        <v>329</v>
      </c>
      <c r="D227" s="30" t="s">
        <v>329</v>
      </c>
      <c r="E227" s="30">
        <v>0</v>
      </c>
      <c r="F227" s="30">
        <v>0</v>
      </c>
      <c r="G227" s="30">
        <v>3</v>
      </c>
      <c r="H227" s="30">
        <v>2</v>
      </c>
      <c r="I227" s="30">
        <v>0</v>
      </c>
      <c r="J227" s="31"/>
      <c r="K227" s="31"/>
      <c r="L227" s="31" t="s">
        <v>330</v>
      </c>
      <c r="M227" s="32">
        <v>0</v>
      </c>
      <c r="N227" s="31"/>
      <c r="O227" s="32">
        <v>0</v>
      </c>
      <c r="P227" s="31"/>
      <c r="Q227" s="32">
        <v>0</v>
      </c>
      <c r="R227" s="31"/>
      <c r="S227" s="32">
        <v>0</v>
      </c>
      <c r="T227" s="31"/>
      <c r="U227" s="32">
        <v>0</v>
      </c>
    </row>
    <row r="228" spans="1:21" x14ac:dyDescent="0.45">
      <c r="A228" s="30">
        <v>235</v>
      </c>
      <c r="B228" s="30">
        <v>1</v>
      </c>
      <c r="C228" s="30" t="s">
        <v>331</v>
      </c>
      <c r="D228" s="30" t="s">
        <v>331</v>
      </c>
      <c r="E228" s="30">
        <v>0</v>
      </c>
      <c r="F228" s="30">
        <v>0</v>
      </c>
      <c r="G228" s="30">
        <v>3</v>
      </c>
      <c r="H228" s="30">
        <v>2</v>
      </c>
      <c r="I228" s="30">
        <v>0</v>
      </c>
      <c r="J228" s="31"/>
      <c r="K228" s="31"/>
      <c r="L228" s="31" t="s">
        <v>332</v>
      </c>
      <c r="M228" s="32">
        <v>0</v>
      </c>
      <c r="N228" s="31"/>
      <c r="O228" s="32">
        <v>0</v>
      </c>
      <c r="P228" s="31"/>
      <c r="Q228" s="32">
        <v>0</v>
      </c>
      <c r="R228" s="31"/>
      <c r="S228" s="32">
        <v>0</v>
      </c>
      <c r="T228" s="31"/>
      <c r="U228" s="32">
        <v>0</v>
      </c>
    </row>
    <row r="229" spans="1:21" x14ac:dyDescent="0.45">
      <c r="A229" s="30">
        <v>236</v>
      </c>
      <c r="B229" s="30">
        <v>1</v>
      </c>
      <c r="C229" s="30" t="s">
        <v>333</v>
      </c>
      <c r="D229" s="30" t="s">
        <v>333</v>
      </c>
      <c r="E229" s="30">
        <v>0</v>
      </c>
      <c r="F229" s="30">
        <v>237</v>
      </c>
      <c r="G229" s="30">
        <v>1</v>
      </c>
      <c r="H229" s="30">
        <v>2</v>
      </c>
      <c r="I229" s="30">
        <v>0</v>
      </c>
      <c r="J229" s="31"/>
      <c r="K229" s="31"/>
      <c r="L229" s="31" t="s">
        <v>334</v>
      </c>
      <c r="M229" s="32">
        <v>0</v>
      </c>
      <c r="N229" s="31" t="s">
        <v>335</v>
      </c>
      <c r="O229" s="32">
        <v>0</v>
      </c>
      <c r="P229" s="31" t="s">
        <v>67</v>
      </c>
      <c r="Q229" s="32">
        <v>0</v>
      </c>
      <c r="R229" s="31"/>
      <c r="S229" s="32">
        <v>0</v>
      </c>
      <c r="T229" s="31"/>
      <c r="U229" s="32">
        <v>0</v>
      </c>
    </row>
    <row r="230" spans="1:21" x14ac:dyDescent="0.45">
      <c r="A230" s="30">
        <v>237</v>
      </c>
      <c r="B230" s="30">
        <v>1</v>
      </c>
      <c r="C230" s="30" t="s">
        <v>333</v>
      </c>
      <c r="D230" s="30" t="s">
        <v>333</v>
      </c>
      <c r="E230" s="30">
        <v>0</v>
      </c>
      <c r="F230" s="30">
        <v>237</v>
      </c>
      <c r="G230" s="30">
        <v>1</v>
      </c>
      <c r="H230" s="30">
        <v>2</v>
      </c>
      <c r="I230" s="30">
        <v>0</v>
      </c>
      <c r="J230" s="31"/>
      <c r="K230" s="31"/>
      <c r="L230" s="31" t="s">
        <v>334</v>
      </c>
      <c r="M230" s="32">
        <v>0</v>
      </c>
      <c r="N230" s="31" t="s">
        <v>335</v>
      </c>
      <c r="O230" s="32">
        <v>0</v>
      </c>
      <c r="P230" s="31" t="s">
        <v>67</v>
      </c>
      <c r="Q230" s="32">
        <v>0</v>
      </c>
      <c r="R230" s="31"/>
      <c r="S230" s="32">
        <v>0</v>
      </c>
      <c r="T230" s="31"/>
      <c r="U230" s="32">
        <v>0</v>
      </c>
    </row>
    <row r="231" spans="1:21" x14ac:dyDescent="0.45">
      <c r="A231" s="30">
        <v>238</v>
      </c>
      <c r="B231" s="30">
        <v>2</v>
      </c>
      <c r="C231" s="30" t="s">
        <v>336</v>
      </c>
      <c r="D231" s="30" t="s">
        <v>336</v>
      </c>
      <c r="E231" s="30">
        <v>0</v>
      </c>
      <c r="F231" s="30">
        <v>239</v>
      </c>
      <c r="G231" s="30">
        <v>2</v>
      </c>
      <c r="H231" s="30">
        <v>0</v>
      </c>
      <c r="I231" s="30">
        <v>0</v>
      </c>
      <c r="J231" s="31"/>
      <c r="K231" s="31"/>
      <c r="L231" s="31" t="s">
        <v>336</v>
      </c>
      <c r="M231" s="32">
        <v>0</v>
      </c>
      <c r="N231" s="31" t="s">
        <v>116</v>
      </c>
      <c r="O231" s="32">
        <v>0</v>
      </c>
      <c r="P231" s="31"/>
      <c r="Q231" s="32">
        <v>0</v>
      </c>
      <c r="R231" s="31"/>
      <c r="S231" s="32">
        <v>0</v>
      </c>
      <c r="T231" s="31"/>
      <c r="U231" s="32">
        <v>0</v>
      </c>
    </row>
    <row r="232" spans="1:21" x14ac:dyDescent="0.45">
      <c r="A232" s="30">
        <v>240</v>
      </c>
      <c r="B232" s="30">
        <v>2</v>
      </c>
      <c r="C232" s="30" t="s">
        <v>337</v>
      </c>
      <c r="D232" s="30" t="s">
        <v>337</v>
      </c>
      <c r="E232" s="30">
        <v>0</v>
      </c>
      <c r="F232" s="30">
        <v>241</v>
      </c>
      <c r="G232" s="30">
        <v>2</v>
      </c>
      <c r="H232" s="30">
        <v>0</v>
      </c>
      <c r="I232" s="30">
        <v>0</v>
      </c>
      <c r="J232" s="31"/>
      <c r="K232" s="31"/>
      <c r="L232" s="31" t="s">
        <v>337</v>
      </c>
      <c r="M232" s="32">
        <v>0</v>
      </c>
      <c r="N232" s="31" t="s">
        <v>57</v>
      </c>
      <c r="O232" s="32">
        <v>0</v>
      </c>
      <c r="P232" s="31"/>
      <c r="Q232" s="32">
        <v>0</v>
      </c>
      <c r="R232" s="31"/>
      <c r="S232" s="32">
        <v>0</v>
      </c>
      <c r="T232" s="31"/>
      <c r="U232" s="32">
        <v>0</v>
      </c>
    </row>
    <row r="233" spans="1:21" x14ac:dyDescent="0.45">
      <c r="A233" s="30">
        <v>241</v>
      </c>
      <c r="B233" s="30">
        <v>2</v>
      </c>
      <c r="C233" s="30" t="s">
        <v>338</v>
      </c>
      <c r="D233" s="30" t="s">
        <v>338</v>
      </c>
      <c r="E233" s="30">
        <v>0</v>
      </c>
      <c r="F233" s="30">
        <v>0</v>
      </c>
      <c r="G233" s="30">
        <v>2</v>
      </c>
      <c r="H233" s="30">
        <v>2</v>
      </c>
      <c r="I233" s="30">
        <v>0</v>
      </c>
      <c r="J233" s="31"/>
      <c r="K233" s="31"/>
      <c r="L233" s="31" t="s">
        <v>338</v>
      </c>
      <c r="M233" s="32">
        <v>0</v>
      </c>
      <c r="N233" s="31"/>
      <c r="O233" s="32">
        <v>0</v>
      </c>
      <c r="P233" s="31"/>
      <c r="Q233" s="32">
        <v>0</v>
      </c>
      <c r="R233" s="31"/>
      <c r="S233" s="32">
        <v>0</v>
      </c>
      <c r="T233" s="31"/>
      <c r="U233" s="32">
        <v>0</v>
      </c>
    </row>
    <row r="234" spans="1:21" x14ac:dyDescent="0.45">
      <c r="A234" s="30">
        <v>242</v>
      </c>
      <c r="B234" s="30">
        <v>2</v>
      </c>
      <c r="C234" s="30" t="s">
        <v>339</v>
      </c>
      <c r="D234" s="30" t="s">
        <v>339</v>
      </c>
      <c r="E234" s="30">
        <v>0</v>
      </c>
      <c r="F234" s="30">
        <v>0</v>
      </c>
      <c r="G234" s="30">
        <v>2</v>
      </c>
      <c r="H234" s="30">
        <v>2</v>
      </c>
      <c r="I234" s="30">
        <v>0</v>
      </c>
      <c r="J234" s="31"/>
      <c r="K234" s="31"/>
      <c r="L234" s="31" t="s">
        <v>339</v>
      </c>
      <c r="M234" s="32">
        <v>0</v>
      </c>
      <c r="N234" s="31"/>
      <c r="O234" s="32">
        <v>0</v>
      </c>
      <c r="P234" s="31"/>
      <c r="Q234" s="32">
        <v>0</v>
      </c>
      <c r="R234" s="31"/>
      <c r="S234" s="32">
        <v>0</v>
      </c>
      <c r="T234" s="31"/>
      <c r="U234" s="32">
        <v>0</v>
      </c>
    </row>
    <row r="235" spans="1:21" x14ac:dyDescent="0.45">
      <c r="A235" s="30">
        <v>243</v>
      </c>
      <c r="B235" s="30">
        <v>2</v>
      </c>
      <c r="C235" s="30" t="s">
        <v>340</v>
      </c>
      <c r="D235" s="30" t="s">
        <v>340</v>
      </c>
      <c r="E235" s="30">
        <v>0</v>
      </c>
      <c r="F235" s="30">
        <v>0</v>
      </c>
      <c r="G235" s="30">
        <v>2</v>
      </c>
      <c r="H235" s="30">
        <v>2</v>
      </c>
      <c r="I235" s="30">
        <v>0</v>
      </c>
      <c r="J235" s="31"/>
      <c r="K235" s="31"/>
      <c r="L235" s="31" t="s">
        <v>340</v>
      </c>
      <c r="M235" s="32">
        <v>0</v>
      </c>
      <c r="N235" s="31"/>
      <c r="O235" s="32">
        <v>0</v>
      </c>
      <c r="P235" s="31"/>
      <c r="Q235" s="32">
        <v>0</v>
      </c>
      <c r="R235" s="31"/>
      <c r="S235" s="32">
        <v>0</v>
      </c>
      <c r="T235" s="31"/>
      <c r="U235" s="32">
        <v>0</v>
      </c>
    </row>
    <row r="236" spans="1:21" x14ac:dyDescent="0.45">
      <c r="A236" s="30">
        <v>244</v>
      </c>
      <c r="B236" s="30">
        <v>2</v>
      </c>
      <c r="C236" s="30" t="s">
        <v>341</v>
      </c>
      <c r="D236" s="30" t="s">
        <v>341</v>
      </c>
      <c r="E236" s="30">
        <v>0</v>
      </c>
      <c r="F236" s="30">
        <v>0</v>
      </c>
      <c r="G236" s="30">
        <v>2</v>
      </c>
      <c r="H236" s="30">
        <v>2</v>
      </c>
      <c r="I236" s="30">
        <v>0</v>
      </c>
      <c r="J236" s="31"/>
      <c r="K236" s="31"/>
      <c r="L236" s="31" t="s">
        <v>341</v>
      </c>
      <c r="M236" s="32">
        <v>0</v>
      </c>
      <c r="N236" s="31"/>
      <c r="O236" s="32">
        <v>0</v>
      </c>
      <c r="P236" s="31"/>
      <c r="Q236" s="32">
        <v>0</v>
      </c>
      <c r="R236" s="31"/>
      <c r="S236" s="32">
        <v>0</v>
      </c>
      <c r="T236" s="31"/>
      <c r="U236" s="32">
        <v>0</v>
      </c>
    </row>
    <row r="237" spans="1:21" x14ac:dyDescent="0.45">
      <c r="A237" s="30">
        <v>245</v>
      </c>
      <c r="B237" s="30">
        <v>2</v>
      </c>
      <c r="C237" s="30" t="s">
        <v>342</v>
      </c>
      <c r="D237" s="30" t="s">
        <v>342</v>
      </c>
      <c r="E237" s="30">
        <v>0</v>
      </c>
      <c r="F237" s="30">
        <v>0</v>
      </c>
      <c r="G237" s="30">
        <v>2</v>
      </c>
      <c r="H237" s="30">
        <v>2</v>
      </c>
      <c r="I237" s="30">
        <v>0</v>
      </c>
      <c r="J237" s="31"/>
      <c r="K237" s="31"/>
      <c r="L237" s="31" t="s">
        <v>342</v>
      </c>
      <c r="M237" s="32">
        <v>0</v>
      </c>
      <c r="N237" s="31"/>
      <c r="O237" s="32">
        <v>0</v>
      </c>
      <c r="P237" s="31"/>
      <c r="Q237" s="32">
        <v>0</v>
      </c>
      <c r="R237" s="31"/>
      <c r="S237" s="32">
        <v>0</v>
      </c>
      <c r="T237" s="31"/>
      <c r="U237" s="32">
        <v>0</v>
      </c>
    </row>
    <row r="238" spans="1:21" x14ac:dyDescent="0.45">
      <c r="A238" s="30">
        <v>246</v>
      </c>
      <c r="B238" s="30">
        <v>2</v>
      </c>
      <c r="C238" s="30" t="s">
        <v>343</v>
      </c>
      <c r="D238" s="30" t="s">
        <v>343</v>
      </c>
      <c r="E238" s="30">
        <v>0</v>
      </c>
      <c r="F238" s="30">
        <v>0</v>
      </c>
      <c r="G238" s="30">
        <v>2</v>
      </c>
      <c r="H238" s="30">
        <v>2</v>
      </c>
      <c r="I238" s="30">
        <v>0</v>
      </c>
      <c r="J238" s="31"/>
      <c r="K238" s="31"/>
      <c r="L238" s="31" t="s">
        <v>343</v>
      </c>
      <c r="M238" s="32">
        <v>0</v>
      </c>
      <c r="N238" s="31"/>
      <c r="O238" s="32">
        <v>0</v>
      </c>
      <c r="P238" s="31"/>
      <c r="Q238" s="32">
        <v>0</v>
      </c>
      <c r="R238" s="31"/>
      <c r="S238" s="32">
        <v>0</v>
      </c>
      <c r="T238" s="31"/>
      <c r="U238" s="32">
        <v>0</v>
      </c>
    </row>
    <row r="239" spans="1:21" x14ac:dyDescent="0.45">
      <c r="A239" s="30">
        <v>247</v>
      </c>
      <c r="B239" s="30">
        <v>2</v>
      </c>
      <c r="C239" s="30" t="s">
        <v>344</v>
      </c>
      <c r="D239" s="30" t="s">
        <v>344</v>
      </c>
      <c r="E239" s="30">
        <v>0</v>
      </c>
      <c r="F239" s="30">
        <v>0</v>
      </c>
      <c r="G239" s="30">
        <v>2</v>
      </c>
      <c r="H239" s="30">
        <v>2</v>
      </c>
      <c r="I239" s="30">
        <v>0</v>
      </c>
      <c r="J239" s="31"/>
      <c r="K239" s="31"/>
      <c r="L239" s="31" t="s">
        <v>344</v>
      </c>
      <c r="M239" s="32">
        <v>0</v>
      </c>
      <c r="N239" s="31"/>
      <c r="O239" s="32">
        <v>0</v>
      </c>
      <c r="P239" s="31"/>
      <c r="Q239" s="32">
        <v>0</v>
      </c>
      <c r="R239" s="31"/>
      <c r="S239" s="32">
        <v>0</v>
      </c>
      <c r="T239" s="31"/>
      <c r="U239" s="32">
        <v>0</v>
      </c>
    </row>
    <row r="240" spans="1:21" x14ac:dyDescent="0.45">
      <c r="A240" s="30">
        <v>248</v>
      </c>
      <c r="B240" s="30">
        <v>2</v>
      </c>
      <c r="C240" s="30" t="s">
        <v>345</v>
      </c>
      <c r="D240" s="30" t="s">
        <v>345</v>
      </c>
      <c r="E240" s="30">
        <v>0</v>
      </c>
      <c r="F240" s="30">
        <v>0</v>
      </c>
      <c r="G240" s="30">
        <v>2</v>
      </c>
      <c r="H240" s="30">
        <v>2</v>
      </c>
      <c r="I240" s="30">
        <v>0</v>
      </c>
      <c r="J240" s="31"/>
      <c r="K240" s="31"/>
      <c r="L240" s="31" t="s">
        <v>345</v>
      </c>
      <c r="M240" s="32">
        <v>0</v>
      </c>
      <c r="N240" s="31"/>
      <c r="O240" s="32">
        <v>0</v>
      </c>
      <c r="P240" s="31"/>
      <c r="Q240" s="32">
        <v>0</v>
      </c>
      <c r="R240" s="31"/>
      <c r="S240" s="32">
        <v>0</v>
      </c>
      <c r="T240" s="31"/>
      <c r="U240" s="32">
        <v>0</v>
      </c>
    </row>
    <row r="241" spans="1:21" x14ac:dyDescent="0.45">
      <c r="A241" s="30">
        <v>250</v>
      </c>
      <c r="B241" s="30">
        <v>2</v>
      </c>
      <c r="C241" s="30" t="s">
        <v>346</v>
      </c>
      <c r="D241" s="30" t="s">
        <v>346</v>
      </c>
      <c r="E241" s="30">
        <v>0</v>
      </c>
      <c r="F241" s="30">
        <v>0</v>
      </c>
      <c r="G241" s="30">
        <v>2</v>
      </c>
      <c r="H241" s="30">
        <v>2</v>
      </c>
      <c r="I241" s="30">
        <v>0</v>
      </c>
      <c r="J241" s="31"/>
      <c r="K241" s="31"/>
      <c r="L241" s="31" t="s">
        <v>47</v>
      </c>
      <c r="M241" s="32">
        <v>1</v>
      </c>
      <c r="N241" s="31" t="s">
        <v>115</v>
      </c>
      <c r="O241" s="32">
        <v>0</v>
      </c>
      <c r="P241" s="31" t="s">
        <v>347</v>
      </c>
      <c r="Q241" s="32">
        <v>0</v>
      </c>
      <c r="R241" s="31" t="s">
        <v>348</v>
      </c>
      <c r="S241" s="32">
        <v>0</v>
      </c>
      <c r="T241" s="31" t="s">
        <v>349</v>
      </c>
      <c r="U241" s="32">
        <v>0</v>
      </c>
    </row>
    <row r="242" spans="1:21" x14ac:dyDescent="0.45">
      <c r="A242" s="30">
        <v>251</v>
      </c>
      <c r="B242" s="30">
        <v>2</v>
      </c>
      <c r="C242" s="30" t="s">
        <v>350</v>
      </c>
      <c r="D242" s="30" t="s">
        <v>350</v>
      </c>
      <c r="E242" s="30">
        <v>0</v>
      </c>
      <c r="F242" s="30">
        <v>0</v>
      </c>
      <c r="G242" s="30">
        <v>2</v>
      </c>
      <c r="H242" s="30">
        <v>2</v>
      </c>
      <c r="I242" s="30">
        <v>0</v>
      </c>
      <c r="J242" s="31"/>
      <c r="K242" s="31"/>
      <c r="L242" s="31" t="s">
        <v>350</v>
      </c>
      <c r="M242" s="32">
        <v>0</v>
      </c>
      <c r="N242" s="31"/>
      <c r="O242" s="32">
        <v>0</v>
      </c>
      <c r="P242" s="31"/>
      <c r="Q242" s="32">
        <v>0</v>
      </c>
      <c r="R242" s="31"/>
      <c r="S242" s="32">
        <v>0</v>
      </c>
      <c r="T242" s="31"/>
      <c r="U242" s="32">
        <v>0</v>
      </c>
    </row>
    <row r="243" spans="1:21" x14ac:dyDescent="0.45">
      <c r="A243" s="30">
        <v>252</v>
      </c>
      <c r="B243" s="30">
        <v>2</v>
      </c>
      <c r="C243" s="30" t="s">
        <v>351</v>
      </c>
      <c r="D243" s="30" t="s">
        <v>351</v>
      </c>
      <c r="E243" s="30">
        <v>0</v>
      </c>
      <c r="F243" s="30">
        <v>0</v>
      </c>
      <c r="G243" s="30">
        <v>2</v>
      </c>
      <c r="H243" s="30">
        <v>2</v>
      </c>
      <c r="I243" s="30">
        <v>0</v>
      </c>
      <c r="J243" s="31"/>
      <c r="K243" s="31"/>
      <c r="L243" s="31" t="s">
        <v>351</v>
      </c>
      <c r="M243" s="32">
        <v>0</v>
      </c>
      <c r="N243" s="31"/>
      <c r="O243" s="32">
        <v>0</v>
      </c>
      <c r="P243" s="31"/>
      <c r="Q243" s="32">
        <v>0</v>
      </c>
      <c r="R243" s="31"/>
      <c r="S243" s="32">
        <v>0</v>
      </c>
      <c r="T243" s="31"/>
      <c r="U243" s="32">
        <v>0</v>
      </c>
    </row>
    <row r="244" spans="1:21" x14ac:dyDescent="0.45">
      <c r="A244" s="30">
        <v>253</v>
      </c>
      <c r="B244" s="30">
        <v>2</v>
      </c>
      <c r="C244" s="30" t="s">
        <v>352</v>
      </c>
      <c r="D244" s="30" t="s">
        <v>352</v>
      </c>
      <c r="E244" s="30">
        <v>0</v>
      </c>
      <c r="F244" s="30">
        <v>0</v>
      </c>
      <c r="G244" s="30">
        <v>2</v>
      </c>
      <c r="H244" s="30">
        <v>2</v>
      </c>
      <c r="I244" s="30">
        <v>0</v>
      </c>
      <c r="J244" s="31"/>
      <c r="K244" s="31"/>
      <c r="L244" s="31" t="s">
        <v>352</v>
      </c>
      <c r="M244" s="32">
        <v>0</v>
      </c>
      <c r="N244" s="31"/>
      <c r="O244" s="32">
        <v>0</v>
      </c>
      <c r="P244" s="31"/>
      <c r="Q244" s="32">
        <v>0</v>
      </c>
      <c r="R244" s="31"/>
      <c r="S244" s="32">
        <v>0</v>
      </c>
      <c r="T244" s="31"/>
      <c r="U244" s="32">
        <v>0</v>
      </c>
    </row>
    <row r="245" spans="1:21" x14ac:dyDescent="0.45">
      <c r="A245" s="30">
        <v>254</v>
      </c>
      <c r="B245" s="30">
        <v>2</v>
      </c>
      <c r="C245" s="30" t="s">
        <v>353</v>
      </c>
      <c r="D245" s="30" t="s">
        <v>353</v>
      </c>
      <c r="E245" s="30">
        <v>0</v>
      </c>
      <c r="F245" s="30">
        <v>0</v>
      </c>
      <c r="G245" s="30">
        <v>2</v>
      </c>
      <c r="H245" s="30">
        <v>2</v>
      </c>
      <c r="I245" s="30">
        <v>0</v>
      </c>
      <c r="J245" s="31"/>
      <c r="K245" s="31"/>
      <c r="L245" s="31" t="s">
        <v>353</v>
      </c>
      <c r="M245" s="32">
        <v>0</v>
      </c>
      <c r="N245" s="31"/>
      <c r="O245" s="32">
        <v>0</v>
      </c>
      <c r="P245" s="31"/>
      <c r="Q245" s="32">
        <v>0</v>
      </c>
      <c r="R245" s="31"/>
      <c r="S245" s="32">
        <v>0</v>
      </c>
      <c r="T245" s="31"/>
      <c r="U245" s="32">
        <v>0</v>
      </c>
    </row>
    <row r="246" spans="1:21" x14ac:dyDescent="0.45">
      <c r="A246" s="30">
        <v>255</v>
      </c>
      <c r="B246" s="30">
        <v>2</v>
      </c>
      <c r="C246" s="30" t="s">
        <v>354</v>
      </c>
      <c r="D246" s="30" t="s">
        <v>354</v>
      </c>
      <c r="E246" s="30">
        <v>0</v>
      </c>
      <c r="F246" s="30">
        <v>0</v>
      </c>
      <c r="G246" s="30">
        <v>2</v>
      </c>
      <c r="H246" s="30">
        <v>2</v>
      </c>
      <c r="I246" s="30">
        <v>0</v>
      </c>
      <c r="J246" s="31"/>
      <c r="K246" s="31"/>
      <c r="L246" s="31" t="s">
        <v>355</v>
      </c>
      <c r="M246" s="32">
        <v>0</v>
      </c>
      <c r="N246" s="31"/>
      <c r="O246" s="32">
        <v>0</v>
      </c>
      <c r="P246" s="31"/>
      <c r="Q246" s="32">
        <v>0</v>
      </c>
      <c r="R246" s="31"/>
      <c r="S246" s="32">
        <v>0</v>
      </c>
      <c r="T246" s="31"/>
      <c r="U246" s="32">
        <v>0</v>
      </c>
    </row>
    <row r="247" spans="1:21" x14ac:dyDescent="0.45">
      <c r="A247" s="30">
        <v>256</v>
      </c>
      <c r="B247" s="30">
        <v>2</v>
      </c>
      <c r="C247" s="30" t="s">
        <v>356</v>
      </c>
      <c r="D247" s="30" t="s">
        <v>356</v>
      </c>
      <c r="E247" s="30">
        <v>0</v>
      </c>
      <c r="F247" s="30">
        <v>0</v>
      </c>
      <c r="G247" s="30">
        <v>2</v>
      </c>
      <c r="H247" s="30">
        <v>2</v>
      </c>
      <c r="I247" s="30">
        <v>0</v>
      </c>
      <c r="J247" s="31"/>
      <c r="K247" s="31"/>
      <c r="L247" s="31" t="s">
        <v>356</v>
      </c>
      <c r="M247" s="32">
        <v>0</v>
      </c>
      <c r="N247" s="31"/>
      <c r="O247" s="32">
        <v>0</v>
      </c>
      <c r="P247" s="31"/>
      <c r="Q247" s="32">
        <v>0</v>
      </c>
      <c r="R247" s="31"/>
      <c r="S247" s="32">
        <v>0</v>
      </c>
      <c r="T247" s="31"/>
      <c r="U247" s="32">
        <v>0</v>
      </c>
    </row>
    <row r="248" spans="1:21" x14ac:dyDescent="0.45">
      <c r="A248" s="30">
        <v>257</v>
      </c>
      <c r="B248" s="30">
        <v>2</v>
      </c>
      <c r="C248" s="30" t="s">
        <v>357</v>
      </c>
      <c r="D248" s="30" t="s">
        <v>357</v>
      </c>
      <c r="E248" s="30">
        <v>0</v>
      </c>
      <c r="F248" s="30">
        <v>0</v>
      </c>
      <c r="G248" s="30">
        <v>2</v>
      </c>
      <c r="H248" s="30">
        <v>2</v>
      </c>
      <c r="I248" s="30">
        <v>0</v>
      </c>
      <c r="J248" s="31"/>
      <c r="K248" s="31"/>
      <c r="L248" s="31" t="s">
        <v>357</v>
      </c>
      <c r="M248" s="32">
        <v>0</v>
      </c>
      <c r="N248" s="31"/>
      <c r="O248" s="32">
        <v>0</v>
      </c>
      <c r="P248" s="31"/>
      <c r="Q248" s="32">
        <v>0</v>
      </c>
      <c r="R248" s="31"/>
      <c r="S248" s="32">
        <v>0</v>
      </c>
      <c r="T248" s="31"/>
      <c r="U248" s="32">
        <v>0</v>
      </c>
    </row>
    <row r="249" spans="1:21" x14ac:dyDescent="0.45">
      <c r="A249" s="30">
        <v>258</v>
      </c>
      <c r="B249" s="30">
        <v>2</v>
      </c>
      <c r="C249" s="30" t="s">
        <v>289</v>
      </c>
      <c r="D249" s="30" t="s">
        <v>289</v>
      </c>
      <c r="E249" s="30">
        <v>0</v>
      </c>
      <c r="F249" s="30">
        <v>0</v>
      </c>
      <c r="G249" s="30">
        <v>2</v>
      </c>
      <c r="H249" s="30">
        <v>2</v>
      </c>
      <c r="I249" s="30">
        <v>0</v>
      </c>
      <c r="J249" s="31"/>
      <c r="K249" s="31"/>
      <c r="L249" s="31" t="s">
        <v>289</v>
      </c>
      <c r="M249" s="32">
        <v>0</v>
      </c>
      <c r="N249" s="31"/>
      <c r="O249" s="32">
        <v>0</v>
      </c>
      <c r="P249" s="31"/>
      <c r="Q249" s="32">
        <v>0</v>
      </c>
      <c r="R249" s="31"/>
      <c r="S249" s="32">
        <v>0</v>
      </c>
      <c r="T249" s="31"/>
      <c r="U249" s="32">
        <v>0</v>
      </c>
    </row>
    <row r="250" spans="1:21" x14ac:dyDescent="0.45">
      <c r="A250" s="30">
        <v>259</v>
      </c>
      <c r="B250" s="30">
        <v>2</v>
      </c>
      <c r="C250" s="30" t="s">
        <v>290</v>
      </c>
      <c r="D250" s="30" t="s">
        <v>290</v>
      </c>
      <c r="E250" s="30">
        <v>0</v>
      </c>
      <c r="F250" s="30">
        <v>0</v>
      </c>
      <c r="G250" s="30">
        <v>2</v>
      </c>
      <c r="H250" s="30">
        <v>2</v>
      </c>
      <c r="I250" s="30">
        <v>0</v>
      </c>
      <c r="J250" s="31"/>
      <c r="K250" s="31"/>
      <c r="L250" s="31" t="s">
        <v>290</v>
      </c>
      <c r="M250" s="32">
        <v>0</v>
      </c>
      <c r="N250" s="31"/>
      <c r="O250" s="32">
        <v>0</v>
      </c>
      <c r="P250" s="31"/>
      <c r="Q250" s="32">
        <v>0</v>
      </c>
      <c r="R250" s="31"/>
      <c r="S250" s="32">
        <v>0</v>
      </c>
      <c r="T250" s="31"/>
      <c r="U250" s="32">
        <v>0</v>
      </c>
    </row>
    <row r="251" spans="1:21" x14ac:dyDescent="0.45">
      <c r="A251" s="30">
        <v>260</v>
      </c>
      <c r="B251" s="30">
        <v>2</v>
      </c>
      <c r="C251" s="30" t="s">
        <v>348</v>
      </c>
      <c r="D251" s="30" t="s">
        <v>348</v>
      </c>
      <c r="E251" s="30">
        <v>0</v>
      </c>
      <c r="F251" s="30">
        <v>0</v>
      </c>
      <c r="G251" s="30">
        <v>2</v>
      </c>
      <c r="H251" s="30">
        <v>2</v>
      </c>
      <c r="I251" s="30">
        <v>0</v>
      </c>
      <c r="J251" s="31"/>
      <c r="K251" s="31"/>
      <c r="L251" s="31" t="s">
        <v>348</v>
      </c>
      <c r="M251" s="32">
        <v>0</v>
      </c>
      <c r="N251" s="31"/>
      <c r="O251" s="32">
        <v>0</v>
      </c>
      <c r="P251" s="31"/>
      <c r="Q251" s="32">
        <v>0</v>
      </c>
      <c r="R251" s="31"/>
      <c r="S251" s="32">
        <v>0</v>
      </c>
      <c r="T251" s="31"/>
      <c r="U251" s="32">
        <v>0</v>
      </c>
    </row>
    <row r="252" spans="1:21" x14ac:dyDescent="0.45">
      <c r="A252" s="30">
        <v>261</v>
      </c>
      <c r="B252" s="30">
        <v>2</v>
      </c>
      <c r="C252" s="30" t="s">
        <v>349</v>
      </c>
      <c r="D252" s="30" t="s">
        <v>349</v>
      </c>
      <c r="E252" s="30">
        <v>0</v>
      </c>
      <c r="F252" s="30">
        <v>0</v>
      </c>
      <c r="G252" s="30">
        <v>2</v>
      </c>
      <c r="H252" s="30">
        <v>2</v>
      </c>
      <c r="I252" s="30">
        <v>0</v>
      </c>
      <c r="J252" s="31"/>
      <c r="K252" s="31"/>
      <c r="L252" s="31" t="s">
        <v>349</v>
      </c>
      <c r="M252" s="32">
        <v>0</v>
      </c>
      <c r="N252" s="31"/>
      <c r="O252" s="32">
        <v>0</v>
      </c>
      <c r="P252" s="31"/>
      <c r="Q252" s="32">
        <v>0</v>
      </c>
      <c r="R252" s="31"/>
      <c r="S252" s="32">
        <v>0</v>
      </c>
      <c r="T252" s="31"/>
      <c r="U252" s="32">
        <v>0</v>
      </c>
    </row>
    <row r="253" spans="1:21" x14ac:dyDescent="0.45">
      <c r="A253" s="33">
        <v>262</v>
      </c>
      <c r="B253" s="33">
        <v>2</v>
      </c>
      <c r="C253" s="33" t="s">
        <v>358</v>
      </c>
      <c r="D253" s="33" t="s">
        <v>358</v>
      </c>
      <c r="E253" s="33">
        <v>0</v>
      </c>
      <c r="F253" s="33">
        <v>0</v>
      </c>
      <c r="G253" s="33">
        <v>2</v>
      </c>
      <c r="H253" s="33">
        <v>2</v>
      </c>
      <c r="I253" s="33">
        <v>0</v>
      </c>
      <c r="J253" s="34"/>
      <c r="K253" s="34"/>
      <c r="L253" s="34" t="s">
        <v>115</v>
      </c>
      <c r="M253" s="35">
        <v>0</v>
      </c>
      <c r="N253" s="34"/>
      <c r="O253" s="35">
        <v>0</v>
      </c>
      <c r="P253" s="34"/>
      <c r="Q253" s="35">
        <v>0</v>
      </c>
      <c r="R253" s="34"/>
      <c r="S253" s="35">
        <v>0</v>
      </c>
      <c r="T253" s="34"/>
      <c r="U253" s="35">
        <v>0</v>
      </c>
    </row>
    <row r="254" spans="1:21" x14ac:dyDescent="0.45">
      <c r="A254" s="36">
        <v>301</v>
      </c>
      <c r="B254" s="36">
        <v>2</v>
      </c>
      <c r="C254" s="36" t="s">
        <v>359</v>
      </c>
      <c r="D254" s="36" t="s">
        <v>359</v>
      </c>
      <c r="E254" s="36">
        <v>0</v>
      </c>
      <c r="F254" s="36">
        <v>0</v>
      </c>
      <c r="G254" s="36">
        <v>2</v>
      </c>
      <c r="H254" s="36">
        <v>2</v>
      </c>
      <c r="I254" s="36">
        <v>0</v>
      </c>
      <c r="J254" s="37"/>
      <c r="K254" s="37"/>
      <c r="L254" s="37"/>
      <c r="M254" s="38"/>
      <c r="N254" s="37"/>
      <c r="O254" s="38"/>
      <c r="P254" s="37"/>
      <c r="Q254" s="38"/>
      <c r="R254" s="37"/>
      <c r="S254" s="38"/>
      <c r="T254" s="37"/>
      <c r="U254" s="38"/>
    </row>
    <row r="255" spans="1:21" x14ac:dyDescent="0.45">
      <c r="A255" s="39">
        <v>302</v>
      </c>
      <c r="B255" s="39">
        <v>2</v>
      </c>
      <c r="C255" s="39" t="s">
        <v>360</v>
      </c>
      <c r="D255" s="39" t="s">
        <v>360</v>
      </c>
      <c r="E255" s="39">
        <v>0</v>
      </c>
      <c r="F255" s="39">
        <v>0</v>
      </c>
      <c r="G255" s="39">
        <v>2</v>
      </c>
      <c r="H255" s="39">
        <v>2</v>
      </c>
      <c r="I255" s="39">
        <v>0</v>
      </c>
      <c r="J255" s="40"/>
      <c r="K255" s="40"/>
      <c r="L255" s="40"/>
      <c r="M255" s="41"/>
      <c r="N255" s="40"/>
      <c r="O255" s="41"/>
      <c r="P255" s="40"/>
      <c r="Q255" s="41"/>
      <c r="R255" s="40"/>
      <c r="S255" s="41"/>
      <c r="T255" s="40"/>
      <c r="U255" s="41"/>
    </row>
    <row r="256" spans="1:21" x14ac:dyDescent="0.45">
      <c r="A256" s="39">
        <v>303</v>
      </c>
      <c r="B256" s="39">
        <v>2</v>
      </c>
      <c r="C256" s="39" t="s">
        <v>361</v>
      </c>
      <c r="D256" s="39" t="s">
        <v>361</v>
      </c>
      <c r="E256" s="39">
        <v>0</v>
      </c>
      <c r="F256" s="39">
        <v>0</v>
      </c>
      <c r="G256" s="39">
        <v>2</v>
      </c>
      <c r="H256" s="39">
        <v>2</v>
      </c>
      <c r="I256" s="39">
        <v>0</v>
      </c>
      <c r="J256" s="40"/>
      <c r="K256" s="40"/>
      <c r="L256" s="40"/>
      <c r="M256" s="41"/>
      <c r="N256" s="40"/>
      <c r="O256" s="41"/>
      <c r="P256" s="40"/>
      <c r="Q256" s="41"/>
      <c r="R256" s="40"/>
      <c r="S256" s="41"/>
      <c r="T256" s="40"/>
      <c r="U256" s="41"/>
    </row>
    <row r="257" spans="1:21" x14ac:dyDescent="0.45">
      <c r="A257" s="39">
        <v>304</v>
      </c>
      <c r="B257" s="39">
        <v>2</v>
      </c>
      <c r="C257" s="39" t="s">
        <v>362</v>
      </c>
      <c r="D257" s="39" t="s">
        <v>362</v>
      </c>
      <c r="E257" s="39">
        <v>0</v>
      </c>
      <c r="F257" s="39">
        <v>0</v>
      </c>
      <c r="G257" s="39">
        <v>2</v>
      </c>
      <c r="H257" s="39">
        <v>2</v>
      </c>
      <c r="I257" s="39">
        <v>0</v>
      </c>
      <c r="J257" s="40"/>
      <c r="K257" s="40"/>
      <c r="L257" s="40"/>
      <c r="M257" s="41"/>
      <c r="N257" s="40"/>
      <c r="O257" s="41"/>
      <c r="P257" s="40"/>
      <c r="Q257" s="41"/>
      <c r="R257" s="40"/>
      <c r="S257" s="41"/>
      <c r="T257" s="40"/>
      <c r="U257" s="41"/>
    </row>
    <row r="258" spans="1:21" x14ac:dyDescent="0.45">
      <c r="A258" s="39">
        <v>305</v>
      </c>
      <c r="B258" s="39">
        <v>2</v>
      </c>
      <c r="C258" s="39" t="s">
        <v>363</v>
      </c>
      <c r="D258" s="39" t="s">
        <v>363</v>
      </c>
      <c r="E258" s="39">
        <v>0</v>
      </c>
      <c r="F258" s="39">
        <v>0</v>
      </c>
      <c r="G258" s="39">
        <v>2</v>
      </c>
      <c r="H258" s="39">
        <v>2</v>
      </c>
      <c r="I258" s="39">
        <v>0</v>
      </c>
      <c r="J258" s="40"/>
      <c r="K258" s="40"/>
      <c r="L258" s="40"/>
      <c r="M258" s="41"/>
      <c r="N258" s="40"/>
      <c r="O258" s="41"/>
      <c r="P258" s="40"/>
      <c r="Q258" s="41"/>
      <c r="R258" s="40"/>
      <c r="S258" s="41"/>
      <c r="T258" s="40"/>
      <c r="U258" s="41"/>
    </row>
    <row r="259" spans="1:21" x14ac:dyDescent="0.45">
      <c r="A259" s="39">
        <v>306</v>
      </c>
      <c r="B259" s="39">
        <v>2</v>
      </c>
      <c r="C259" s="39" t="s">
        <v>364</v>
      </c>
      <c r="D259" s="39" t="s">
        <v>364</v>
      </c>
      <c r="E259" s="39">
        <v>0</v>
      </c>
      <c r="F259" s="39">
        <v>0</v>
      </c>
      <c r="G259" s="39">
        <v>2</v>
      </c>
      <c r="H259" s="39">
        <v>2</v>
      </c>
      <c r="I259" s="39">
        <v>0</v>
      </c>
      <c r="J259" s="40"/>
      <c r="K259" s="40"/>
      <c r="L259" s="40"/>
      <c r="M259" s="41"/>
      <c r="N259" s="40"/>
      <c r="O259" s="41"/>
      <c r="P259" s="40"/>
      <c r="Q259" s="41"/>
      <c r="R259" s="40"/>
      <c r="S259" s="41"/>
      <c r="T259" s="40"/>
      <c r="U259" s="41"/>
    </row>
    <row r="260" spans="1:21" x14ac:dyDescent="0.45">
      <c r="A260" s="39">
        <v>307</v>
      </c>
      <c r="B260" s="39">
        <v>2</v>
      </c>
      <c r="C260" s="39" t="s">
        <v>320</v>
      </c>
      <c r="D260" s="39" t="s">
        <v>320</v>
      </c>
      <c r="E260" s="39">
        <v>0</v>
      </c>
      <c r="F260" s="39">
        <v>0</v>
      </c>
      <c r="G260" s="39">
        <v>2</v>
      </c>
      <c r="H260" s="39">
        <v>2</v>
      </c>
      <c r="I260" s="39">
        <v>0</v>
      </c>
      <c r="J260" s="40"/>
      <c r="K260" s="40"/>
      <c r="L260" s="40"/>
      <c r="M260" s="41"/>
      <c r="N260" s="40"/>
      <c r="O260" s="41"/>
      <c r="P260" s="40"/>
      <c r="Q260" s="41"/>
      <c r="R260" s="40"/>
      <c r="S260" s="41"/>
      <c r="T260" s="40"/>
      <c r="U260" s="41"/>
    </row>
    <row r="261" spans="1:21" x14ac:dyDescent="0.45">
      <c r="A261" s="39">
        <v>308</v>
      </c>
      <c r="B261" s="39">
        <v>2</v>
      </c>
      <c r="C261" s="39" t="s">
        <v>112</v>
      </c>
      <c r="D261" s="39" t="s">
        <v>112</v>
      </c>
      <c r="E261" s="39">
        <v>0</v>
      </c>
      <c r="F261" s="39">
        <v>0</v>
      </c>
      <c r="G261" s="39">
        <v>2</v>
      </c>
      <c r="H261" s="39">
        <v>2</v>
      </c>
      <c r="I261" s="39">
        <v>0</v>
      </c>
      <c r="J261" s="40"/>
      <c r="K261" s="40"/>
      <c r="L261" s="40"/>
      <c r="M261" s="41"/>
      <c r="N261" s="40"/>
      <c r="O261" s="41"/>
      <c r="P261" s="40"/>
      <c r="Q261" s="41"/>
      <c r="R261" s="40"/>
      <c r="S261" s="41"/>
      <c r="T261" s="40"/>
      <c r="U261" s="41"/>
    </row>
    <row r="262" spans="1:21" x14ac:dyDescent="0.45">
      <c r="A262" s="39">
        <v>309</v>
      </c>
      <c r="B262" s="39">
        <v>2</v>
      </c>
      <c r="C262" s="39" t="s">
        <v>365</v>
      </c>
      <c r="D262" s="39" t="s">
        <v>365</v>
      </c>
      <c r="E262" s="39">
        <v>0</v>
      </c>
      <c r="F262" s="39">
        <v>0</v>
      </c>
      <c r="G262" s="39">
        <v>2</v>
      </c>
      <c r="H262" s="39">
        <v>2</v>
      </c>
      <c r="I262" s="39">
        <v>0</v>
      </c>
      <c r="J262" s="40"/>
      <c r="K262" s="40"/>
      <c r="L262" s="40"/>
      <c r="M262" s="41"/>
      <c r="N262" s="40"/>
      <c r="O262" s="41"/>
      <c r="P262" s="40"/>
      <c r="Q262" s="41"/>
      <c r="R262" s="40"/>
      <c r="S262" s="41"/>
      <c r="T262" s="40"/>
      <c r="U262" s="41"/>
    </row>
    <row r="263" spans="1:21" x14ac:dyDescent="0.45">
      <c r="A263" s="39">
        <v>310</v>
      </c>
      <c r="B263" s="39">
        <v>2</v>
      </c>
      <c r="C263" s="39" t="s">
        <v>366</v>
      </c>
      <c r="D263" s="39" t="s">
        <v>366</v>
      </c>
      <c r="E263" s="39">
        <v>0</v>
      </c>
      <c r="F263" s="39">
        <v>0</v>
      </c>
      <c r="G263" s="39">
        <v>2</v>
      </c>
      <c r="H263" s="39">
        <v>2</v>
      </c>
      <c r="I263" s="39">
        <v>0</v>
      </c>
      <c r="J263" s="40"/>
      <c r="K263" s="40"/>
      <c r="L263" s="40"/>
      <c r="M263" s="41"/>
      <c r="N263" s="40"/>
      <c r="O263" s="41"/>
      <c r="P263" s="40"/>
      <c r="Q263" s="41"/>
      <c r="R263" s="40"/>
      <c r="S263" s="41"/>
      <c r="T263" s="40"/>
      <c r="U263" s="41"/>
    </row>
    <row r="264" spans="1:21" x14ac:dyDescent="0.45">
      <c r="A264" s="39">
        <v>311</v>
      </c>
      <c r="B264" s="39">
        <v>2</v>
      </c>
      <c r="C264" s="39" t="s">
        <v>367</v>
      </c>
      <c r="D264" s="39" t="s">
        <v>367</v>
      </c>
      <c r="E264" s="39">
        <v>0</v>
      </c>
      <c r="F264" s="39">
        <v>0</v>
      </c>
      <c r="G264" s="39">
        <v>2</v>
      </c>
      <c r="H264" s="39">
        <v>2</v>
      </c>
      <c r="I264" s="39">
        <v>0</v>
      </c>
      <c r="J264" s="40"/>
      <c r="K264" s="40"/>
      <c r="L264" s="40"/>
      <c r="M264" s="41"/>
      <c r="N264" s="40"/>
      <c r="O264" s="41"/>
      <c r="P264" s="40"/>
      <c r="Q264" s="41"/>
      <c r="R264" s="40"/>
      <c r="S264" s="41"/>
      <c r="T264" s="40"/>
      <c r="U264" s="41"/>
    </row>
    <row r="265" spans="1:21" x14ac:dyDescent="0.45">
      <c r="A265" s="39">
        <v>312</v>
      </c>
      <c r="B265" s="39">
        <v>2</v>
      </c>
      <c r="C265" s="39" t="s">
        <v>368</v>
      </c>
      <c r="D265" s="39" t="s">
        <v>368</v>
      </c>
      <c r="E265" s="39">
        <v>0</v>
      </c>
      <c r="F265" s="39">
        <v>0</v>
      </c>
      <c r="G265" s="39">
        <v>2</v>
      </c>
      <c r="H265" s="39">
        <v>2</v>
      </c>
      <c r="I265" s="39">
        <v>0</v>
      </c>
      <c r="J265" s="40"/>
      <c r="K265" s="40"/>
      <c r="L265" s="40"/>
      <c r="M265" s="41"/>
      <c r="N265" s="40"/>
      <c r="O265" s="41"/>
      <c r="P265" s="40"/>
      <c r="Q265" s="41"/>
      <c r="R265" s="40"/>
      <c r="S265" s="41"/>
      <c r="T265" s="40"/>
      <c r="U265" s="41"/>
    </row>
    <row r="266" spans="1:21" x14ac:dyDescent="0.45">
      <c r="A266" s="39">
        <v>313</v>
      </c>
      <c r="B266" s="39">
        <v>2</v>
      </c>
      <c r="C266" s="39" t="s">
        <v>369</v>
      </c>
      <c r="D266" s="39" t="s">
        <v>369</v>
      </c>
      <c r="E266" s="39">
        <v>0</v>
      </c>
      <c r="F266" s="39">
        <v>0</v>
      </c>
      <c r="G266" s="39">
        <v>2</v>
      </c>
      <c r="H266" s="39">
        <v>2</v>
      </c>
      <c r="I266" s="39">
        <v>0</v>
      </c>
      <c r="J266" s="40"/>
      <c r="K266" s="40"/>
      <c r="L266" s="40"/>
      <c r="M266" s="41"/>
      <c r="N266" s="40"/>
      <c r="O266" s="41"/>
      <c r="P266" s="40"/>
      <c r="Q266" s="41"/>
      <c r="R266" s="40"/>
      <c r="S266" s="41"/>
      <c r="T266" s="40"/>
      <c r="U266" s="41"/>
    </row>
    <row r="267" spans="1:21" x14ac:dyDescent="0.45">
      <c r="A267" s="39">
        <v>314</v>
      </c>
      <c r="B267" s="39">
        <v>2</v>
      </c>
      <c r="C267" s="39" t="s">
        <v>370</v>
      </c>
      <c r="D267" s="39" t="s">
        <v>370</v>
      </c>
      <c r="E267" s="39">
        <v>0</v>
      </c>
      <c r="F267" s="39">
        <v>0</v>
      </c>
      <c r="G267" s="39">
        <v>2</v>
      </c>
      <c r="H267" s="39">
        <v>2</v>
      </c>
      <c r="I267" s="39">
        <v>0</v>
      </c>
      <c r="J267" s="40"/>
      <c r="K267" s="40"/>
      <c r="L267" s="40"/>
      <c r="M267" s="41"/>
      <c r="N267" s="40"/>
      <c r="O267" s="41"/>
      <c r="P267" s="40"/>
      <c r="Q267" s="41"/>
      <c r="R267" s="40"/>
      <c r="S267" s="41"/>
      <c r="T267" s="40"/>
      <c r="U267" s="41"/>
    </row>
    <row r="268" spans="1:21" x14ac:dyDescent="0.45">
      <c r="A268" s="39">
        <v>315</v>
      </c>
      <c r="B268" s="39">
        <v>2</v>
      </c>
      <c r="C268" s="39" t="s">
        <v>371</v>
      </c>
      <c r="D268" s="39" t="s">
        <v>371</v>
      </c>
      <c r="E268" s="39">
        <v>0</v>
      </c>
      <c r="F268" s="39">
        <v>0</v>
      </c>
      <c r="G268" s="39">
        <v>2</v>
      </c>
      <c r="H268" s="39">
        <v>2</v>
      </c>
      <c r="I268" s="39">
        <v>0</v>
      </c>
      <c r="J268" s="40"/>
      <c r="K268" s="40"/>
      <c r="L268" s="40"/>
      <c r="M268" s="41"/>
      <c r="N268" s="40"/>
      <c r="O268" s="41"/>
      <c r="P268" s="40"/>
      <c r="Q268" s="41"/>
      <c r="R268" s="40"/>
      <c r="S268" s="41"/>
      <c r="T268" s="40"/>
      <c r="U268" s="41"/>
    </row>
    <row r="269" spans="1:21" x14ac:dyDescent="0.45">
      <c r="A269" s="42">
        <v>316</v>
      </c>
      <c r="B269" s="42">
        <v>2</v>
      </c>
      <c r="C269" s="42" t="s">
        <v>372</v>
      </c>
      <c r="D269" s="42" t="s">
        <v>372</v>
      </c>
      <c r="E269" s="42">
        <v>0</v>
      </c>
      <c r="F269" s="42">
        <v>0</v>
      </c>
      <c r="G269" s="42">
        <v>2</v>
      </c>
      <c r="H269" s="42">
        <v>2</v>
      </c>
      <c r="I269" s="42">
        <v>0</v>
      </c>
      <c r="J269" s="43"/>
      <c r="K269" s="43"/>
      <c r="L269" s="43"/>
      <c r="M269" s="44"/>
      <c r="N269" s="43"/>
      <c r="O269" s="44"/>
      <c r="P269" s="43"/>
      <c r="Q269" s="44"/>
      <c r="R269" s="43"/>
      <c r="S269" s="44"/>
      <c r="T269" s="43"/>
      <c r="U269" s="44"/>
    </row>
    <row r="270" spans="1:21" x14ac:dyDescent="0.45">
      <c r="A270" s="13">
        <v>400</v>
      </c>
      <c r="B270" s="13">
        <v>1</v>
      </c>
      <c r="C270" s="13" t="s">
        <v>373</v>
      </c>
      <c r="D270" s="13" t="s">
        <v>374</v>
      </c>
      <c r="E270" s="13">
        <v>0</v>
      </c>
      <c r="F270" s="13">
        <v>401</v>
      </c>
      <c r="G270" s="13">
        <v>1</v>
      </c>
      <c r="H270" s="13">
        <v>2</v>
      </c>
      <c r="I270" s="13">
        <v>0</v>
      </c>
      <c r="J270" s="11"/>
      <c r="K270" s="11" t="s">
        <v>66</v>
      </c>
      <c r="L270" s="11"/>
      <c r="M270" s="12">
        <v>0</v>
      </c>
      <c r="N270" s="11"/>
      <c r="O270" s="12">
        <v>0</v>
      </c>
      <c r="P270" s="11"/>
      <c r="Q270" s="12">
        <v>0</v>
      </c>
      <c r="R270" s="11"/>
      <c r="S270" s="12">
        <v>0</v>
      </c>
      <c r="T270" s="11"/>
      <c r="U270" s="12">
        <v>0</v>
      </c>
    </row>
    <row r="271" spans="1:21" x14ac:dyDescent="0.45">
      <c r="A271" s="13">
        <v>401</v>
      </c>
      <c r="B271" s="13">
        <v>0</v>
      </c>
      <c r="C271" s="13" t="s">
        <v>375</v>
      </c>
      <c r="D271" s="13" t="s">
        <v>374</v>
      </c>
      <c r="E271" s="13">
        <v>0</v>
      </c>
      <c r="F271" s="13">
        <v>401</v>
      </c>
      <c r="G271" s="13">
        <v>1</v>
      </c>
      <c r="H271" s="13">
        <v>2</v>
      </c>
      <c r="I271" s="13">
        <v>0</v>
      </c>
      <c r="J271" s="11"/>
      <c r="K271" s="11" t="s">
        <v>66</v>
      </c>
      <c r="L271" s="11"/>
      <c r="M271" s="12">
        <v>0</v>
      </c>
      <c r="N271" s="11"/>
      <c r="O271" s="12">
        <v>0</v>
      </c>
      <c r="P271" s="11"/>
      <c r="Q271" s="12">
        <v>0</v>
      </c>
      <c r="R271" s="11"/>
      <c r="S271" s="12">
        <v>0</v>
      </c>
      <c r="T271" s="11"/>
      <c r="U271" s="12">
        <v>0</v>
      </c>
    </row>
    <row r="272" spans="1:21" x14ac:dyDescent="0.45">
      <c r="A272" s="13">
        <v>402</v>
      </c>
      <c r="B272" s="13">
        <v>1</v>
      </c>
      <c r="C272" s="13" t="s">
        <v>376</v>
      </c>
      <c r="D272" s="13" t="s">
        <v>376</v>
      </c>
      <c r="E272" s="13">
        <v>0</v>
      </c>
      <c r="F272" s="13">
        <v>0</v>
      </c>
      <c r="G272" s="13">
        <v>1</v>
      </c>
      <c r="H272" s="13">
        <v>0</v>
      </c>
      <c r="I272" s="13">
        <v>0</v>
      </c>
      <c r="J272" s="11"/>
      <c r="K272" s="11" t="s">
        <v>66</v>
      </c>
      <c r="L272" s="11"/>
      <c r="M272" s="12">
        <v>0</v>
      </c>
      <c r="N272" s="11"/>
      <c r="O272" s="12">
        <v>0</v>
      </c>
      <c r="P272" s="11"/>
      <c r="Q272" s="12">
        <v>0</v>
      </c>
      <c r="R272" s="11"/>
      <c r="S272" s="12">
        <v>0</v>
      </c>
      <c r="T272" s="11"/>
      <c r="U272" s="12">
        <v>0</v>
      </c>
    </row>
    <row r="273" spans="1:21" x14ac:dyDescent="0.45">
      <c r="A273" s="13">
        <v>403</v>
      </c>
      <c r="B273" s="13">
        <v>1</v>
      </c>
      <c r="C273" s="13" t="s">
        <v>377</v>
      </c>
      <c r="D273" s="13" t="s">
        <v>377</v>
      </c>
      <c r="E273" s="13">
        <v>0</v>
      </c>
      <c r="F273" s="13">
        <v>0</v>
      </c>
      <c r="G273" s="13">
        <v>3</v>
      </c>
      <c r="H273" s="13">
        <v>0</v>
      </c>
      <c r="I273" s="13">
        <v>0</v>
      </c>
      <c r="J273" s="11"/>
      <c r="K273" s="11" t="s">
        <v>66</v>
      </c>
      <c r="L273" s="11"/>
      <c r="M273" s="12">
        <v>0</v>
      </c>
      <c r="N273" s="11"/>
      <c r="O273" s="12">
        <v>0</v>
      </c>
      <c r="P273" s="11"/>
      <c r="Q273" s="12">
        <v>0</v>
      </c>
      <c r="R273" s="11"/>
      <c r="S273" s="12">
        <v>0</v>
      </c>
      <c r="T273" s="11"/>
      <c r="U273" s="12">
        <v>0</v>
      </c>
    </row>
    <row r="274" spans="1:21" x14ac:dyDescent="0.45">
      <c r="A274" s="13">
        <v>404</v>
      </c>
      <c r="B274" s="13">
        <v>1</v>
      </c>
      <c r="C274" s="13" t="s">
        <v>378</v>
      </c>
      <c r="D274" s="13" t="s">
        <v>379</v>
      </c>
      <c r="E274" s="13">
        <v>0</v>
      </c>
      <c r="F274" s="13">
        <v>405</v>
      </c>
      <c r="G274" s="13">
        <v>1</v>
      </c>
      <c r="H274" s="13">
        <v>2</v>
      </c>
      <c r="I274" s="13">
        <v>0</v>
      </c>
      <c r="J274" s="11"/>
      <c r="K274" s="11" t="s">
        <v>66</v>
      </c>
      <c r="L274" s="11" t="s">
        <v>67</v>
      </c>
      <c r="M274" s="12">
        <v>0</v>
      </c>
      <c r="N274" s="11" t="s">
        <v>380</v>
      </c>
      <c r="O274" s="12">
        <v>0</v>
      </c>
      <c r="P274" s="11"/>
      <c r="Q274" s="12">
        <v>0</v>
      </c>
      <c r="R274" s="11"/>
      <c r="S274" s="12">
        <v>0</v>
      </c>
      <c r="T274" s="11"/>
      <c r="U274" s="12">
        <v>0</v>
      </c>
    </row>
    <row r="275" spans="1:21" x14ac:dyDescent="0.45">
      <c r="A275" s="13">
        <v>405</v>
      </c>
      <c r="B275" s="13">
        <v>0</v>
      </c>
      <c r="C275" s="13" t="s">
        <v>381</v>
      </c>
      <c r="D275" s="13" t="s">
        <v>379</v>
      </c>
      <c r="E275" s="13">
        <v>0</v>
      </c>
      <c r="F275" s="13">
        <v>0</v>
      </c>
      <c r="G275" s="13">
        <v>1</v>
      </c>
      <c r="H275" s="13">
        <v>0</v>
      </c>
      <c r="I275" s="13">
        <v>0</v>
      </c>
      <c r="J275" s="11"/>
      <c r="K275" s="11" t="s">
        <v>66</v>
      </c>
      <c r="L275" s="11"/>
      <c r="M275" s="12">
        <v>0</v>
      </c>
      <c r="N275" s="11"/>
      <c r="O275" s="12">
        <v>0</v>
      </c>
      <c r="P275" s="11"/>
      <c r="Q275" s="12">
        <v>0</v>
      </c>
      <c r="R275" s="11"/>
      <c r="S275" s="12">
        <v>0</v>
      </c>
      <c r="T275" s="11"/>
      <c r="U275" s="12">
        <v>0</v>
      </c>
    </row>
    <row r="276" spans="1:21" x14ac:dyDescent="0.45">
      <c r="A276" s="13">
        <v>410</v>
      </c>
      <c r="B276" s="13">
        <v>1</v>
      </c>
      <c r="C276" s="13" t="s">
        <v>382</v>
      </c>
      <c r="D276" s="13" t="s">
        <v>383</v>
      </c>
      <c r="E276" s="13">
        <v>0</v>
      </c>
      <c r="F276" s="13">
        <v>411</v>
      </c>
      <c r="G276" s="13">
        <v>1</v>
      </c>
      <c r="H276" s="13">
        <v>1</v>
      </c>
      <c r="I276" s="13">
        <v>18</v>
      </c>
      <c r="J276" s="11"/>
      <c r="K276" s="11" t="s">
        <v>37</v>
      </c>
      <c r="L276" s="11" t="s">
        <v>311</v>
      </c>
      <c r="M276" s="12">
        <v>0</v>
      </c>
      <c r="N276" s="11"/>
      <c r="O276" s="12">
        <v>0</v>
      </c>
      <c r="P276" s="11"/>
      <c r="Q276" s="12">
        <v>0</v>
      </c>
      <c r="R276" s="11"/>
      <c r="S276" s="12">
        <v>0</v>
      </c>
      <c r="T276" s="11"/>
      <c r="U276" s="12">
        <v>0</v>
      </c>
    </row>
    <row r="277" spans="1:21" x14ac:dyDescent="0.45">
      <c r="A277" s="13">
        <v>411</v>
      </c>
      <c r="B277" s="13">
        <v>1</v>
      </c>
      <c r="C277" s="13" t="s">
        <v>384</v>
      </c>
      <c r="D277" s="13" t="s">
        <v>383</v>
      </c>
      <c r="E277" s="13">
        <v>0</v>
      </c>
      <c r="F277" s="13">
        <v>411</v>
      </c>
      <c r="G277" s="13">
        <v>1</v>
      </c>
      <c r="H277" s="13">
        <v>1</v>
      </c>
      <c r="I277" s="13">
        <v>18</v>
      </c>
      <c r="J277" s="11"/>
      <c r="K277" s="11" t="s">
        <v>37</v>
      </c>
      <c r="L277" s="11" t="s">
        <v>311</v>
      </c>
      <c r="M277" s="12">
        <v>0</v>
      </c>
      <c r="N277" s="11"/>
      <c r="O277" s="12">
        <v>0</v>
      </c>
      <c r="P277" s="11"/>
      <c r="Q277" s="12">
        <v>0</v>
      </c>
      <c r="R277" s="11"/>
      <c r="S277" s="12">
        <v>0</v>
      </c>
      <c r="T277" s="11"/>
      <c r="U277" s="12">
        <v>0</v>
      </c>
    </row>
    <row r="278" spans="1:21" x14ac:dyDescent="0.45">
      <c r="A278" s="13">
        <v>412</v>
      </c>
      <c r="B278" s="13">
        <v>0</v>
      </c>
      <c r="C278" s="13" t="s">
        <v>385</v>
      </c>
      <c r="D278" s="13" t="s">
        <v>385</v>
      </c>
      <c r="E278" s="13">
        <v>0</v>
      </c>
      <c r="F278" s="13">
        <v>0</v>
      </c>
      <c r="G278" s="13">
        <v>1</v>
      </c>
      <c r="H278" s="13">
        <v>0</v>
      </c>
      <c r="I278" s="13">
        <v>0</v>
      </c>
      <c r="J278" s="11"/>
      <c r="K278" s="11" t="s">
        <v>66</v>
      </c>
      <c r="L278" s="11"/>
      <c r="M278" s="12">
        <v>0</v>
      </c>
      <c r="N278" s="11"/>
      <c r="O278" s="12">
        <v>0</v>
      </c>
      <c r="P278" s="11"/>
      <c r="Q278" s="12">
        <v>0</v>
      </c>
      <c r="R278" s="11"/>
      <c r="S278" s="12">
        <v>0</v>
      </c>
      <c r="T278" s="11"/>
      <c r="U278" s="12">
        <v>0</v>
      </c>
    </row>
    <row r="279" spans="1:21" x14ac:dyDescent="0.45">
      <c r="A279" s="13">
        <v>413</v>
      </c>
      <c r="B279" s="13">
        <v>0</v>
      </c>
      <c r="C279" s="13" t="s">
        <v>386</v>
      </c>
      <c r="D279" s="13"/>
      <c r="E279" s="13">
        <v>0</v>
      </c>
      <c r="F279" s="13">
        <v>0</v>
      </c>
      <c r="G279" s="13">
        <v>0</v>
      </c>
      <c r="H279" s="13">
        <v>0</v>
      </c>
      <c r="I279" s="13">
        <v>0</v>
      </c>
      <c r="J279" s="11"/>
      <c r="K279" s="11" t="s">
        <v>66</v>
      </c>
      <c r="L279" s="11"/>
      <c r="M279" s="12">
        <v>0</v>
      </c>
      <c r="N279" s="11"/>
      <c r="O279" s="12">
        <v>0</v>
      </c>
      <c r="P279" s="11"/>
      <c r="Q279" s="12">
        <v>0</v>
      </c>
      <c r="R279" s="11"/>
      <c r="S279" s="12">
        <v>0</v>
      </c>
      <c r="T279" s="11"/>
      <c r="U279" s="12">
        <v>0</v>
      </c>
    </row>
    <row r="280" spans="1:21" x14ac:dyDescent="0.45">
      <c r="A280" s="13">
        <v>414</v>
      </c>
      <c r="B280" s="13">
        <v>2</v>
      </c>
      <c r="C280" s="13" t="s">
        <v>316</v>
      </c>
      <c r="D280" s="13" t="s">
        <v>316</v>
      </c>
      <c r="E280" s="13">
        <v>0</v>
      </c>
      <c r="F280" s="13">
        <v>0</v>
      </c>
      <c r="G280" s="13">
        <v>4</v>
      </c>
      <c r="H280" s="13">
        <v>0</v>
      </c>
      <c r="I280" s="13">
        <v>0</v>
      </c>
      <c r="J280" s="11"/>
      <c r="K280" s="11" t="s">
        <v>66</v>
      </c>
      <c r="L280" s="11"/>
      <c r="M280" s="12">
        <v>0</v>
      </c>
      <c r="N280" s="11"/>
      <c r="O280" s="12">
        <v>0</v>
      </c>
      <c r="P280" s="11"/>
      <c r="Q280" s="12">
        <v>0</v>
      </c>
      <c r="R280" s="11"/>
      <c r="S280" s="12">
        <v>0</v>
      </c>
      <c r="T280" s="11"/>
      <c r="U280" s="12">
        <v>0</v>
      </c>
    </row>
    <row r="281" spans="1:21" x14ac:dyDescent="0.45">
      <c r="A281" s="13">
        <v>415</v>
      </c>
      <c r="B281" s="13">
        <v>0</v>
      </c>
      <c r="C281" s="13" t="s">
        <v>387</v>
      </c>
      <c r="D281" s="13"/>
      <c r="E281" s="13">
        <v>0</v>
      </c>
      <c r="F281" s="13">
        <v>0</v>
      </c>
      <c r="G281" s="13">
        <v>0</v>
      </c>
      <c r="H281" s="13">
        <v>0</v>
      </c>
      <c r="I281" s="13">
        <v>0</v>
      </c>
      <c r="J281" s="11"/>
      <c r="K281" s="11" t="s">
        <v>66</v>
      </c>
      <c r="L281" s="11"/>
      <c r="M281" s="12">
        <v>0</v>
      </c>
      <c r="N281" s="11"/>
      <c r="O281" s="12">
        <v>0</v>
      </c>
      <c r="P281" s="11"/>
      <c r="Q281" s="12">
        <v>0</v>
      </c>
      <c r="R281" s="11"/>
      <c r="S281" s="12">
        <v>0</v>
      </c>
      <c r="T281" s="11"/>
      <c r="U281" s="12">
        <v>0</v>
      </c>
    </row>
    <row r="282" spans="1:21" x14ac:dyDescent="0.45">
      <c r="A282" s="13">
        <v>416</v>
      </c>
      <c r="B282" s="13">
        <v>0</v>
      </c>
      <c r="C282" s="13" t="s">
        <v>388</v>
      </c>
      <c r="D282" s="13"/>
      <c r="E282" s="13">
        <v>0</v>
      </c>
      <c r="F282" s="13">
        <v>0</v>
      </c>
      <c r="G282" s="13">
        <v>0</v>
      </c>
      <c r="H282" s="13">
        <v>0</v>
      </c>
      <c r="I282" s="13">
        <v>0</v>
      </c>
      <c r="J282" s="11"/>
      <c r="K282" s="11" t="s">
        <v>66</v>
      </c>
      <c r="L282" s="11"/>
      <c r="M282" s="12">
        <v>0</v>
      </c>
      <c r="N282" s="11"/>
      <c r="O282" s="12">
        <v>0</v>
      </c>
      <c r="P282" s="11"/>
      <c r="Q282" s="12">
        <v>0</v>
      </c>
      <c r="R282" s="11"/>
      <c r="S282" s="12">
        <v>0</v>
      </c>
      <c r="T282" s="11"/>
      <c r="U282" s="12">
        <v>0</v>
      </c>
    </row>
    <row r="283" spans="1:21" x14ac:dyDescent="0.45">
      <c r="A283" s="13">
        <v>417</v>
      </c>
      <c r="B283" s="13">
        <v>0</v>
      </c>
      <c r="C283" s="13" t="s">
        <v>389</v>
      </c>
      <c r="D283" s="13"/>
      <c r="E283" s="13">
        <v>0</v>
      </c>
      <c r="F283" s="13">
        <v>0</v>
      </c>
      <c r="G283" s="13">
        <v>0</v>
      </c>
      <c r="H283" s="13">
        <v>0</v>
      </c>
      <c r="I283" s="13">
        <v>0</v>
      </c>
      <c r="J283" s="11"/>
      <c r="K283" s="11" t="s">
        <v>66</v>
      </c>
      <c r="L283" s="11"/>
      <c r="M283" s="12">
        <v>0</v>
      </c>
      <c r="N283" s="11"/>
      <c r="O283" s="12">
        <v>0</v>
      </c>
      <c r="P283" s="11"/>
      <c r="Q283" s="12">
        <v>0</v>
      </c>
      <c r="R283" s="11"/>
      <c r="S283" s="12">
        <v>0</v>
      </c>
      <c r="T283" s="11"/>
      <c r="U283" s="12">
        <v>0</v>
      </c>
    </row>
    <row r="284" spans="1:21" x14ac:dyDescent="0.45">
      <c r="A284" s="13">
        <v>418</v>
      </c>
      <c r="B284" s="13">
        <v>0</v>
      </c>
      <c r="C284" s="13" t="s">
        <v>390</v>
      </c>
      <c r="D284" s="13"/>
      <c r="E284" s="13">
        <v>0</v>
      </c>
      <c r="F284" s="13">
        <v>0</v>
      </c>
      <c r="G284" s="13">
        <v>0</v>
      </c>
      <c r="H284" s="13">
        <v>0</v>
      </c>
      <c r="I284" s="13">
        <v>0</v>
      </c>
      <c r="J284" s="11"/>
      <c r="K284" s="11" t="s">
        <v>66</v>
      </c>
      <c r="L284" s="11"/>
      <c r="M284" s="12">
        <v>0</v>
      </c>
      <c r="N284" s="11"/>
      <c r="O284" s="12">
        <v>0</v>
      </c>
      <c r="P284" s="11"/>
      <c r="Q284" s="12">
        <v>0</v>
      </c>
      <c r="R284" s="11"/>
      <c r="S284" s="12">
        <v>0</v>
      </c>
      <c r="T284" s="11"/>
      <c r="U284" s="12">
        <v>0</v>
      </c>
    </row>
    <row r="285" spans="1:21" x14ac:dyDescent="0.45">
      <c r="A285" s="13">
        <v>419</v>
      </c>
      <c r="B285" s="13">
        <v>0</v>
      </c>
      <c r="C285" s="13" t="s">
        <v>391</v>
      </c>
      <c r="D285" s="13"/>
      <c r="E285" s="13">
        <v>0</v>
      </c>
      <c r="F285" s="13">
        <v>0</v>
      </c>
      <c r="G285" s="13">
        <v>0</v>
      </c>
      <c r="H285" s="13">
        <v>0</v>
      </c>
      <c r="I285" s="13">
        <v>0</v>
      </c>
      <c r="J285" s="11"/>
      <c r="K285" s="11" t="s">
        <v>66</v>
      </c>
      <c r="L285" s="11"/>
      <c r="M285" s="12">
        <v>0</v>
      </c>
      <c r="N285" s="11"/>
      <c r="O285" s="12">
        <v>0</v>
      </c>
      <c r="P285" s="11"/>
      <c r="Q285" s="12">
        <v>0</v>
      </c>
      <c r="R285" s="11"/>
      <c r="S285" s="12">
        <v>0</v>
      </c>
      <c r="T285" s="11"/>
      <c r="U285" s="12">
        <v>0</v>
      </c>
    </row>
    <row r="286" spans="1:21" x14ac:dyDescent="0.45">
      <c r="A286" s="13">
        <v>420</v>
      </c>
      <c r="B286" s="13">
        <v>1</v>
      </c>
      <c r="C286" s="13" t="s">
        <v>392</v>
      </c>
      <c r="D286" s="13" t="s">
        <v>393</v>
      </c>
      <c r="E286" s="13">
        <v>0</v>
      </c>
      <c r="F286" s="13">
        <v>421</v>
      </c>
      <c r="G286" s="13">
        <v>1</v>
      </c>
      <c r="H286" s="13">
        <v>2</v>
      </c>
      <c r="I286" s="13">
        <v>0</v>
      </c>
      <c r="J286" s="11"/>
      <c r="K286" s="11" t="s">
        <v>66</v>
      </c>
      <c r="L286" s="11" t="s">
        <v>393</v>
      </c>
      <c r="M286" s="12">
        <v>0</v>
      </c>
      <c r="N286" s="11" t="s">
        <v>394</v>
      </c>
      <c r="O286" s="12">
        <v>0</v>
      </c>
      <c r="P286" s="11" t="s">
        <v>116</v>
      </c>
      <c r="Q286" s="12">
        <v>0</v>
      </c>
      <c r="R286" s="11"/>
      <c r="S286" s="12">
        <v>0</v>
      </c>
      <c r="T286" s="11"/>
      <c r="U286" s="12">
        <v>0</v>
      </c>
    </row>
    <row r="287" spans="1:21" x14ac:dyDescent="0.45">
      <c r="A287" s="13">
        <v>421</v>
      </c>
      <c r="B287" s="13">
        <v>1</v>
      </c>
      <c r="C287" s="13" t="s">
        <v>395</v>
      </c>
      <c r="D287" s="13" t="s">
        <v>393</v>
      </c>
      <c r="E287" s="13">
        <v>0</v>
      </c>
      <c r="F287" s="13">
        <v>0</v>
      </c>
      <c r="G287" s="13">
        <v>1</v>
      </c>
      <c r="H287" s="13">
        <v>2</v>
      </c>
      <c r="I287" s="13">
        <v>0</v>
      </c>
      <c r="J287" s="11"/>
      <c r="K287" s="11" t="s">
        <v>66</v>
      </c>
      <c r="L287" s="11" t="s">
        <v>393</v>
      </c>
      <c r="M287" s="12">
        <v>0</v>
      </c>
      <c r="N287" s="11" t="s">
        <v>115</v>
      </c>
      <c r="O287" s="12">
        <v>0</v>
      </c>
      <c r="P287" s="11" t="s">
        <v>116</v>
      </c>
      <c r="Q287" s="12">
        <v>0</v>
      </c>
      <c r="R287" s="11"/>
      <c r="S287" s="12">
        <v>0</v>
      </c>
      <c r="T287" s="11"/>
      <c r="U287" s="12">
        <v>0</v>
      </c>
    </row>
    <row r="288" spans="1:21" x14ac:dyDescent="0.45">
      <c r="A288" s="13">
        <v>422</v>
      </c>
      <c r="B288" s="13">
        <v>0</v>
      </c>
      <c r="C288" s="13" t="s">
        <v>115</v>
      </c>
      <c r="D288" s="13"/>
      <c r="E288" s="13">
        <v>0</v>
      </c>
      <c r="F288" s="13">
        <v>0</v>
      </c>
      <c r="G288" s="13">
        <v>0</v>
      </c>
      <c r="H288" s="13">
        <v>0</v>
      </c>
      <c r="I288" s="13">
        <v>0</v>
      </c>
      <c r="J288" s="11"/>
      <c r="K288" s="11" t="s">
        <v>66</v>
      </c>
      <c r="L288" s="11"/>
      <c r="M288" s="12">
        <v>0</v>
      </c>
      <c r="N288" s="11"/>
      <c r="O288" s="12">
        <v>0</v>
      </c>
      <c r="P288" s="11"/>
      <c r="Q288" s="12">
        <v>0</v>
      </c>
      <c r="R288" s="11"/>
      <c r="S288" s="12">
        <v>0</v>
      </c>
      <c r="T288" s="11"/>
      <c r="U288" s="12">
        <v>0</v>
      </c>
    </row>
    <row r="289" spans="1:21" x14ac:dyDescent="0.45">
      <c r="A289" s="13">
        <v>423</v>
      </c>
      <c r="B289" s="13">
        <v>0</v>
      </c>
      <c r="C289" s="13" t="s">
        <v>396</v>
      </c>
      <c r="D289" s="13"/>
      <c r="E289" s="13">
        <v>0</v>
      </c>
      <c r="F289" s="13">
        <v>0</v>
      </c>
      <c r="G289" s="13">
        <v>0</v>
      </c>
      <c r="H289" s="13">
        <v>0</v>
      </c>
      <c r="I289" s="13">
        <v>0</v>
      </c>
      <c r="J289" s="11"/>
      <c r="K289" s="11" t="s">
        <v>66</v>
      </c>
      <c r="L289" s="11"/>
      <c r="M289" s="12">
        <v>0</v>
      </c>
      <c r="N289" s="11"/>
      <c r="O289" s="12">
        <v>0</v>
      </c>
      <c r="P289" s="11"/>
      <c r="Q289" s="12">
        <v>0</v>
      </c>
      <c r="R289" s="11"/>
      <c r="S289" s="12">
        <v>0</v>
      </c>
      <c r="T289" s="11"/>
      <c r="U289" s="12">
        <v>0</v>
      </c>
    </row>
    <row r="290" spans="1:21" x14ac:dyDescent="0.45">
      <c r="A290" s="13">
        <v>424</v>
      </c>
      <c r="B290" s="13">
        <v>0</v>
      </c>
      <c r="C290" s="13" t="s">
        <v>397</v>
      </c>
      <c r="D290" s="13"/>
      <c r="E290" s="13">
        <v>0</v>
      </c>
      <c r="F290" s="13">
        <v>0</v>
      </c>
      <c r="G290" s="13">
        <v>0</v>
      </c>
      <c r="H290" s="13">
        <v>0</v>
      </c>
      <c r="I290" s="13">
        <v>0</v>
      </c>
      <c r="J290" s="11"/>
      <c r="K290" s="11" t="s">
        <v>66</v>
      </c>
      <c r="L290" s="11"/>
      <c r="M290" s="12">
        <v>0</v>
      </c>
      <c r="N290" s="11"/>
      <c r="O290" s="12">
        <v>0</v>
      </c>
      <c r="P290" s="11"/>
      <c r="Q290" s="12">
        <v>0</v>
      </c>
      <c r="R290" s="11"/>
      <c r="S290" s="12">
        <v>0</v>
      </c>
      <c r="T290" s="11"/>
      <c r="U290" s="12">
        <v>0</v>
      </c>
    </row>
    <row r="291" spans="1:21" x14ac:dyDescent="0.45">
      <c r="A291" s="13">
        <v>425</v>
      </c>
      <c r="B291" s="13">
        <v>0</v>
      </c>
      <c r="C291" s="13" t="s">
        <v>398</v>
      </c>
      <c r="D291" s="13"/>
      <c r="E291" s="13">
        <v>0</v>
      </c>
      <c r="F291" s="13">
        <v>0</v>
      </c>
      <c r="G291" s="13">
        <v>0</v>
      </c>
      <c r="H291" s="13">
        <v>0</v>
      </c>
      <c r="I291" s="13">
        <v>0</v>
      </c>
      <c r="J291" s="11"/>
      <c r="K291" s="11" t="s">
        <v>66</v>
      </c>
      <c r="L291" s="11"/>
      <c r="M291" s="12">
        <v>0</v>
      </c>
      <c r="N291" s="11"/>
      <c r="O291" s="12">
        <v>0</v>
      </c>
      <c r="P291" s="11"/>
      <c r="Q291" s="12">
        <v>0</v>
      </c>
      <c r="R291" s="11"/>
      <c r="S291" s="12">
        <v>0</v>
      </c>
      <c r="T291" s="11"/>
      <c r="U291" s="12">
        <v>0</v>
      </c>
    </row>
    <row r="292" spans="1:21" x14ac:dyDescent="0.45">
      <c r="A292" s="13">
        <v>426</v>
      </c>
      <c r="B292" s="13">
        <v>0</v>
      </c>
      <c r="C292" s="13" t="s">
        <v>399</v>
      </c>
      <c r="D292" s="13"/>
      <c r="E292" s="13">
        <v>0</v>
      </c>
      <c r="F292" s="13">
        <v>0</v>
      </c>
      <c r="G292" s="13">
        <v>0</v>
      </c>
      <c r="H292" s="13">
        <v>0</v>
      </c>
      <c r="I292" s="13">
        <v>0</v>
      </c>
      <c r="J292" s="11"/>
      <c r="K292" s="11" t="s">
        <v>66</v>
      </c>
      <c r="L292" s="11"/>
      <c r="M292" s="12">
        <v>0</v>
      </c>
      <c r="N292" s="11"/>
      <c r="O292" s="12">
        <v>0</v>
      </c>
      <c r="P292" s="11"/>
      <c r="Q292" s="12">
        <v>0</v>
      </c>
      <c r="R292" s="11"/>
      <c r="S292" s="12">
        <v>0</v>
      </c>
      <c r="T292" s="11"/>
      <c r="U292" s="12">
        <v>0</v>
      </c>
    </row>
    <row r="293" spans="1:21" x14ac:dyDescent="0.45">
      <c r="A293" s="13">
        <v>427</v>
      </c>
      <c r="B293" s="13">
        <v>0</v>
      </c>
      <c r="C293" s="13" t="s">
        <v>400</v>
      </c>
      <c r="D293" s="13" t="s">
        <v>401</v>
      </c>
      <c r="E293" s="13">
        <v>0</v>
      </c>
      <c r="F293" s="13">
        <v>0</v>
      </c>
      <c r="G293" s="13">
        <v>0</v>
      </c>
      <c r="H293" s="13">
        <v>0</v>
      </c>
      <c r="I293" s="13">
        <v>0</v>
      </c>
      <c r="J293" s="11"/>
      <c r="K293" s="11" t="s">
        <v>66</v>
      </c>
      <c r="L293" s="11"/>
      <c r="M293" s="12">
        <v>0</v>
      </c>
      <c r="N293" s="11"/>
      <c r="O293" s="12">
        <v>0</v>
      </c>
      <c r="P293" s="11"/>
      <c r="Q293" s="12">
        <v>0</v>
      </c>
      <c r="R293" s="11"/>
      <c r="S293" s="12">
        <v>0</v>
      </c>
      <c r="T293" s="11"/>
      <c r="U293" s="12">
        <v>0</v>
      </c>
    </row>
    <row r="294" spans="1:21" x14ac:dyDescent="0.45">
      <c r="A294" s="13">
        <v>430</v>
      </c>
      <c r="B294" s="13">
        <v>1</v>
      </c>
      <c r="C294" s="13" t="s">
        <v>402</v>
      </c>
      <c r="D294" s="13" t="s">
        <v>402</v>
      </c>
      <c r="E294" s="13">
        <v>0</v>
      </c>
      <c r="F294" s="13">
        <v>431</v>
      </c>
      <c r="G294" s="13">
        <v>1</v>
      </c>
      <c r="H294" s="13">
        <v>2</v>
      </c>
      <c r="I294" s="13">
        <v>0</v>
      </c>
      <c r="J294" s="11"/>
      <c r="K294" s="11" t="s">
        <v>66</v>
      </c>
      <c r="L294" s="11" t="s">
        <v>47</v>
      </c>
      <c r="M294" s="12">
        <v>1</v>
      </c>
      <c r="N294" s="11"/>
      <c r="O294" s="12">
        <v>0</v>
      </c>
      <c r="P294" s="11"/>
      <c r="Q294" s="12">
        <v>0</v>
      </c>
      <c r="R294" s="11"/>
      <c r="S294" s="12">
        <v>0</v>
      </c>
      <c r="T294" s="11"/>
      <c r="U294" s="12">
        <v>0</v>
      </c>
    </row>
    <row r="295" spans="1:21" x14ac:dyDescent="0.45">
      <c r="A295" s="13">
        <v>431</v>
      </c>
      <c r="B295" s="13">
        <v>1</v>
      </c>
      <c r="C295" s="13" t="s">
        <v>184</v>
      </c>
      <c r="D295" s="13" t="s">
        <v>402</v>
      </c>
      <c r="E295" s="13">
        <v>0</v>
      </c>
      <c r="F295" s="13">
        <v>431</v>
      </c>
      <c r="G295" s="13">
        <v>1</v>
      </c>
      <c r="H295" s="13">
        <v>2</v>
      </c>
      <c r="I295" s="13">
        <v>0</v>
      </c>
      <c r="J295" s="11"/>
      <c r="K295" s="11" t="s">
        <v>66</v>
      </c>
      <c r="L295" s="11" t="s">
        <v>47</v>
      </c>
      <c r="M295" s="12">
        <v>1</v>
      </c>
      <c r="N295" s="11"/>
      <c r="O295" s="12">
        <v>0</v>
      </c>
      <c r="P295" s="11"/>
      <c r="Q295" s="12">
        <v>0</v>
      </c>
      <c r="R295" s="11"/>
      <c r="S295" s="12">
        <v>0</v>
      </c>
      <c r="T295" s="11"/>
      <c r="U295" s="12">
        <v>0</v>
      </c>
    </row>
    <row r="296" spans="1:21" x14ac:dyDescent="0.45">
      <c r="A296" s="13">
        <v>432</v>
      </c>
      <c r="B296" s="13">
        <v>1</v>
      </c>
      <c r="C296" s="13" t="s">
        <v>403</v>
      </c>
      <c r="D296" s="13" t="s">
        <v>404</v>
      </c>
      <c r="E296" s="13">
        <v>0</v>
      </c>
      <c r="F296" s="13">
        <v>0</v>
      </c>
      <c r="G296" s="13">
        <v>1</v>
      </c>
      <c r="H296" s="13">
        <v>0</v>
      </c>
      <c r="I296" s="13">
        <v>0</v>
      </c>
      <c r="J296" s="11"/>
      <c r="K296" s="11" t="s">
        <v>66</v>
      </c>
      <c r="L296" s="11"/>
      <c r="M296" s="12">
        <v>0</v>
      </c>
      <c r="N296" s="11"/>
      <c r="O296" s="12">
        <v>0</v>
      </c>
      <c r="P296" s="11"/>
      <c r="Q296" s="12">
        <v>0</v>
      </c>
      <c r="R296" s="11"/>
      <c r="S296" s="12">
        <v>0</v>
      </c>
      <c r="T296" s="11"/>
      <c r="U296" s="12">
        <v>0</v>
      </c>
    </row>
    <row r="297" spans="1:21" x14ac:dyDescent="0.45">
      <c r="A297" s="13">
        <v>433</v>
      </c>
      <c r="B297" s="13">
        <v>0</v>
      </c>
      <c r="C297" s="13" t="s">
        <v>405</v>
      </c>
      <c r="D297" s="13"/>
      <c r="E297" s="13">
        <v>0</v>
      </c>
      <c r="F297" s="13">
        <v>0</v>
      </c>
      <c r="G297" s="13">
        <v>0</v>
      </c>
      <c r="H297" s="13">
        <v>0</v>
      </c>
      <c r="I297" s="13">
        <v>0</v>
      </c>
      <c r="J297" s="11"/>
      <c r="K297" s="11" t="s">
        <v>66</v>
      </c>
      <c r="L297" s="11"/>
      <c r="M297" s="12">
        <v>0</v>
      </c>
      <c r="N297" s="11"/>
      <c r="O297" s="12">
        <v>0</v>
      </c>
      <c r="P297" s="11"/>
      <c r="Q297" s="12">
        <v>0</v>
      </c>
      <c r="R297" s="11"/>
      <c r="S297" s="12">
        <v>0</v>
      </c>
      <c r="T297" s="11"/>
      <c r="U297" s="12">
        <v>0</v>
      </c>
    </row>
    <row r="298" spans="1:21" x14ac:dyDescent="0.45">
      <c r="A298" s="13">
        <v>434</v>
      </c>
      <c r="B298" s="13">
        <v>1</v>
      </c>
      <c r="C298" s="13" t="s">
        <v>406</v>
      </c>
      <c r="D298" s="13" t="s">
        <v>406</v>
      </c>
      <c r="E298" s="13">
        <v>0</v>
      </c>
      <c r="F298" s="13">
        <v>0</v>
      </c>
      <c r="G298" s="13">
        <v>1</v>
      </c>
      <c r="H298" s="13">
        <v>0</v>
      </c>
      <c r="I298" s="13">
        <v>0</v>
      </c>
      <c r="J298" s="11"/>
      <c r="K298" s="11" t="s">
        <v>66</v>
      </c>
      <c r="L298" s="11"/>
      <c r="M298" s="12">
        <v>0</v>
      </c>
      <c r="N298" s="11"/>
      <c r="O298" s="12">
        <v>0</v>
      </c>
      <c r="P298" s="11"/>
      <c r="Q298" s="12">
        <v>0</v>
      </c>
      <c r="R298" s="11"/>
      <c r="S298" s="12">
        <v>0</v>
      </c>
      <c r="T298" s="11"/>
      <c r="U298" s="12">
        <v>0</v>
      </c>
    </row>
    <row r="299" spans="1:21" x14ac:dyDescent="0.45">
      <c r="A299" s="13">
        <v>435</v>
      </c>
      <c r="B299" s="13">
        <v>0</v>
      </c>
      <c r="C299" s="13" t="s">
        <v>407</v>
      </c>
      <c r="D299" s="13"/>
      <c r="E299" s="13">
        <v>0</v>
      </c>
      <c r="F299" s="13">
        <v>0</v>
      </c>
      <c r="G299" s="13">
        <v>0</v>
      </c>
      <c r="H299" s="13">
        <v>0</v>
      </c>
      <c r="I299" s="13">
        <v>0</v>
      </c>
      <c r="J299" s="11"/>
      <c r="K299" s="11" t="s">
        <v>66</v>
      </c>
      <c r="L299" s="11"/>
      <c r="M299" s="12">
        <v>0</v>
      </c>
      <c r="N299" s="11"/>
      <c r="O299" s="12">
        <v>0</v>
      </c>
      <c r="P299" s="11"/>
      <c r="Q299" s="12">
        <v>0</v>
      </c>
      <c r="R299" s="11"/>
      <c r="S299" s="12">
        <v>0</v>
      </c>
      <c r="T299" s="11"/>
      <c r="U299" s="12">
        <v>0</v>
      </c>
    </row>
    <row r="300" spans="1:21" x14ac:dyDescent="0.45">
      <c r="A300" s="13">
        <v>436</v>
      </c>
      <c r="B300" s="13">
        <v>0</v>
      </c>
      <c r="C300" s="13" t="s">
        <v>408</v>
      </c>
      <c r="D300" s="13"/>
      <c r="E300" s="13">
        <v>0</v>
      </c>
      <c r="F300" s="13">
        <v>0</v>
      </c>
      <c r="G300" s="13">
        <v>0</v>
      </c>
      <c r="H300" s="13">
        <v>0</v>
      </c>
      <c r="I300" s="13">
        <v>0</v>
      </c>
      <c r="J300" s="11"/>
      <c r="K300" s="11" t="s">
        <v>66</v>
      </c>
      <c r="L300" s="11"/>
      <c r="M300" s="12">
        <v>0</v>
      </c>
      <c r="N300" s="11"/>
      <c r="O300" s="12">
        <v>0</v>
      </c>
      <c r="P300" s="11"/>
      <c r="Q300" s="12">
        <v>0</v>
      </c>
      <c r="R300" s="11"/>
      <c r="S300" s="12">
        <v>0</v>
      </c>
      <c r="T300" s="11"/>
      <c r="U300" s="12">
        <v>0</v>
      </c>
    </row>
    <row r="301" spans="1:21" x14ac:dyDescent="0.45">
      <c r="A301" s="13">
        <v>438</v>
      </c>
      <c r="B301" s="13">
        <v>0</v>
      </c>
      <c r="C301" s="13" t="s">
        <v>409</v>
      </c>
      <c r="D301" s="13"/>
      <c r="E301" s="13">
        <v>0</v>
      </c>
      <c r="F301" s="13">
        <v>0</v>
      </c>
      <c r="G301" s="13">
        <v>0</v>
      </c>
      <c r="H301" s="13">
        <v>0</v>
      </c>
      <c r="I301" s="13">
        <v>0</v>
      </c>
      <c r="J301" s="11"/>
      <c r="K301" s="11" t="s">
        <v>66</v>
      </c>
      <c r="L301" s="11"/>
      <c r="M301" s="12">
        <v>0</v>
      </c>
      <c r="N301" s="11"/>
      <c r="O301" s="12">
        <v>0</v>
      </c>
      <c r="P301" s="11"/>
      <c r="Q301" s="12">
        <v>0</v>
      </c>
      <c r="R301" s="11"/>
      <c r="S301" s="12">
        <v>0</v>
      </c>
      <c r="T301" s="11"/>
      <c r="U301" s="12">
        <v>0</v>
      </c>
    </row>
    <row r="302" spans="1:21" x14ac:dyDescent="0.45">
      <c r="A302" s="13">
        <v>439</v>
      </c>
      <c r="B302" s="13">
        <v>0</v>
      </c>
      <c r="C302" s="13" t="s">
        <v>410</v>
      </c>
      <c r="D302" s="13"/>
      <c r="E302" s="13">
        <v>0</v>
      </c>
      <c r="F302" s="13">
        <v>0</v>
      </c>
      <c r="G302" s="13">
        <v>0</v>
      </c>
      <c r="H302" s="13">
        <v>0</v>
      </c>
      <c r="I302" s="13">
        <v>0</v>
      </c>
      <c r="J302" s="11"/>
      <c r="K302" s="11" t="s">
        <v>66</v>
      </c>
      <c r="L302" s="11"/>
      <c r="M302" s="12">
        <v>0</v>
      </c>
      <c r="N302" s="11"/>
      <c r="O302" s="12">
        <v>0</v>
      </c>
      <c r="P302" s="11"/>
      <c r="Q302" s="12">
        <v>0</v>
      </c>
      <c r="R302" s="11"/>
      <c r="S302" s="12">
        <v>0</v>
      </c>
      <c r="T302" s="11"/>
      <c r="U302" s="12">
        <v>0</v>
      </c>
    </row>
    <row r="303" spans="1:21" x14ac:dyDescent="0.45">
      <c r="A303" s="13">
        <v>440</v>
      </c>
      <c r="B303" s="13">
        <v>0</v>
      </c>
      <c r="C303" s="13" t="s">
        <v>411</v>
      </c>
      <c r="D303" s="13"/>
      <c r="E303" s="13">
        <v>0</v>
      </c>
      <c r="F303" s="13">
        <v>0</v>
      </c>
      <c r="G303" s="13">
        <v>0</v>
      </c>
      <c r="H303" s="13">
        <v>0</v>
      </c>
      <c r="I303" s="13">
        <v>0</v>
      </c>
      <c r="J303" s="11"/>
      <c r="K303" s="11" t="s">
        <v>66</v>
      </c>
      <c r="L303" s="11"/>
      <c r="M303" s="12">
        <v>0</v>
      </c>
      <c r="N303" s="11"/>
      <c r="O303" s="12">
        <v>0</v>
      </c>
      <c r="P303" s="11"/>
      <c r="Q303" s="12">
        <v>0</v>
      </c>
      <c r="R303" s="11"/>
      <c r="S303" s="12">
        <v>0</v>
      </c>
      <c r="T303" s="11"/>
      <c r="U303" s="12">
        <v>0</v>
      </c>
    </row>
    <row r="304" spans="1:21" x14ac:dyDescent="0.45">
      <c r="A304" s="13">
        <v>441</v>
      </c>
      <c r="B304" s="13">
        <v>0</v>
      </c>
      <c r="C304" s="13" t="s">
        <v>412</v>
      </c>
      <c r="D304" s="13"/>
      <c r="E304" s="13">
        <v>0</v>
      </c>
      <c r="F304" s="13">
        <v>0</v>
      </c>
      <c r="G304" s="13">
        <v>0</v>
      </c>
      <c r="H304" s="13">
        <v>0</v>
      </c>
      <c r="I304" s="13">
        <v>0</v>
      </c>
      <c r="J304" s="11"/>
      <c r="K304" s="11" t="s">
        <v>66</v>
      </c>
      <c r="L304" s="11"/>
      <c r="M304" s="12">
        <v>0</v>
      </c>
      <c r="N304" s="11"/>
      <c r="O304" s="12">
        <v>0</v>
      </c>
      <c r="P304" s="11"/>
      <c r="Q304" s="12">
        <v>0</v>
      </c>
      <c r="R304" s="11"/>
      <c r="S304" s="12">
        <v>0</v>
      </c>
      <c r="T304" s="11"/>
      <c r="U304" s="12">
        <v>0</v>
      </c>
    </row>
    <row r="305" spans="1:21" x14ac:dyDescent="0.45">
      <c r="A305" s="13">
        <v>442</v>
      </c>
      <c r="B305" s="13">
        <v>0</v>
      </c>
      <c r="C305" s="13" t="s">
        <v>413</v>
      </c>
      <c r="D305" s="13"/>
      <c r="E305" s="13">
        <v>0</v>
      </c>
      <c r="F305" s="13">
        <v>0</v>
      </c>
      <c r="G305" s="13">
        <v>0</v>
      </c>
      <c r="H305" s="13">
        <v>0</v>
      </c>
      <c r="I305" s="13">
        <v>0</v>
      </c>
      <c r="J305" s="11"/>
      <c r="K305" s="11" t="s">
        <v>66</v>
      </c>
      <c r="L305" s="11"/>
      <c r="M305" s="12">
        <v>0</v>
      </c>
      <c r="N305" s="11"/>
      <c r="O305" s="12">
        <v>0</v>
      </c>
      <c r="P305" s="11"/>
      <c r="Q305" s="12">
        <v>0</v>
      </c>
      <c r="R305" s="11"/>
      <c r="S305" s="12">
        <v>0</v>
      </c>
      <c r="T305" s="11"/>
      <c r="U305" s="12">
        <v>0</v>
      </c>
    </row>
    <row r="306" spans="1:21" x14ac:dyDescent="0.45">
      <c r="A306" s="13">
        <v>443</v>
      </c>
      <c r="B306" s="13">
        <v>0</v>
      </c>
      <c r="C306" s="13" t="s">
        <v>414</v>
      </c>
      <c r="D306" s="13"/>
      <c r="E306" s="13">
        <v>0</v>
      </c>
      <c r="F306" s="13">
        <v>0</v>
      </c>
      <c r="G306" s="13">
        <v>0</v>
      </c>
      <c r="H306" s="13">
        <v>0</v>
      </c>
      <c r="I306" s="13">
        <v>0</v>
      </c>
      <c r="J306" s="11"/>
      <c r="K306" s="11" t="s">
        <v>66</v>
      </c>
      <c r="L306" s="11"/>
      <c r="M306" s="12">
        <v>0</v>
      </c>
      <c r="N306" s="11"/>
      <c r="O306" s="12">
        <v>0</v>
      </c>
      <c r="P306" s="11"/>
      <c r="Q306" s="12">
        <v>0</v>
      </c>
      <c r="R306" s="11"/>
      <c r="S306" s="12">
        <v>0</v>
      </c>
      <c r="T306" s="11"/>
      <c r="U306" s="12">
        <v>0</v>
      </c>
    </row>
    <row r="307" spans="1:21" x14ac:dyDescent="0.45">
      <c r="A307" s="13">
        <v>444</v>
      </c>
      <c r="B307" s="13">
        <v>0</v>
      </c>
      <c r="C307" s="13" t="s">
        <v>415</v>
      </c>
      <c r="D307" s="13"/>
      <c r="E307" s="13">
        <v>0</v>
      </c>
      <c r="F307" s="13">
        <v>0</v>
      </c>
      <c r="G307" s="13">
        <v>0</v>
      </c>
      <c r="H307" s="13">
        <v>0</v>
      </c>
      <c r="I307" s="13">
        <v>0</v>
      </c>
      <c r="J307" s="11"/>
      <c r="K307" s="11" t="s">
        <v>66</v>
      </c>
      <c r="L307" s="11"/>
      <c r="M307" s="12">
        <v>0</v>
      </c>
      <c r="N307" s="11"/>
      <c r="O307" s="12">
        <v>0</v>
      </c>
      <c r="P307" s="11"/>
      <c r="Q307" s="12">
        <v>0</v>
      </c>
      <c r="R307" s="11"/>
      <c r="S307" s="12">
        <v>0</v>
      </c>
      <c r="T307" s="11"/>
      <c r="U307" s="12">
        <v>0</v>
      </c>
    </row>
    <row r="308" spans="1:21" x14ac:dyDescent="0.45">
      <c r="A308" s="13">
        <v>445</v>
      </c>
      <c r="B308" s="13">
        <v>0</v>
      </c>
      <c r="C308" s="13" t="s">
        <v>416</v>
      </c>
      <c r="D308" s="13"/>
      <c r="E308" s="13">
        <v>0</v>
      </c>
      <c r="F308" s="13">
        <v>0</v>
      </c>
      <c r="G308" s="13">
        <v>0</v>
      </c>
      <c r="H308" s="13">
        <v>0</v>
      </c>
      <c r="I308" s="13">
        <v>0</v>
      </c>
      <c r="J308" s="11"/>
      <c r="K308" s="11" t="s">
        <v>66</v>
      </c>
      <c r="L308" s="11"/>
      <c r="M308" s="12">
        <v>0</v>
      </c>
      <c r="N308" s="11"/>
      <c r="O308" s="12">
        <v>0</v>
      </c>
      <c r="P308" s="11"/>
      <c r="Q308" s="12">
        <v>0</v>
      </c>
      <c r="R308" s="11"/>
      <c r="S308" s="12">
        <v>0</v>
      </c>
      <c r="T308" s="11"/>
      <c r="U308" s="12">
        <v>0</v>
      </c>
    </row>
    <row r="309" spans="1:21" x14ac:dyDescent="0.45">
      <c r="A309" s="13">
        <v>446</v>
      </c>
      <c r="B309" s="13">
        <v>0</v>
      </c>
      <c r="C309" s="13" t="s">
        <v>417</v>
      </c>
      <c r="D309" s="13"/>
      <c r="E309" s="13">
        <v>0</v>
      </c>
      <c r="F309" s="13">
        <v>0</v>
      </c>
      <c r="G309" s="13">
        <v>0</v>
      </c>
      <c r="H309" s="13">
        <v>0</v>
      </c>
      <c r="I309" s="13">
        <v>0</v>
      </c>
      <c r="J309" s="11"/>
      <c r="K309" s="11" t="s">
        <v>66</v>
      </c>
      <c r="L309" s="11"/>
      <c r="M309" s="12">
        <v>0</v>
      </c>
      <c r="N309" s="11"/>
      <c r="O309" s="12">
        <v>0</v>
      </c>
      <c r="P309" s="11"/>
      <c r="Q309" s="12">
        <v>0</v>
      </c>
      <c r="R309" s="11"/>
      <c r="S309" s="12">
        <v>0</v>
      </c>
      <c r="T309" s="11"/>
      <c r="U309" s="12">
        <v>0</v>
      </c>
    </row>
    <row r="310" spans="1:21" x14ac:dyDescent="0.45">
      <c r="A310" s="13">
        <v>447</v>
      </c>
      <c r="B310" s="13">
        <v>0</v>
      </c>
      <c r="C310" s="13" t="s">
        <v>418</v>
      </c>
      <c r="D310" s="13"/>
      <c r="E310" s="13">
        <v>0</v>
      </c>
      <c r="F310" s="13">
        <v>0</v>
      </c>
      <c r="G310" s="13">
        <v>0</v>
      </c>
      <c r="H310" s="13">
        <v>0</v>
      </c>
      <c r="I310" s="13">
        <v>0</v>
      </c>
      <c r="J310" s="11"/>
      <c r="K310" s="11" t="s">
        <v>66</v>
      </c>
      <c r="L310" s="11"/>
      <c r="M310" s="12">
        <v>0</v>
      </c>
      <c r="N310" s="11"/>
      <c r="O310" s="12">
        <v>0</v>
      </c>
      <c r="P310" s="11"/>
      <c r="Q310" s="12">
        <v>0</v>
      </c>
      <c r="R310" s="11"/>
      <c r="S310" s="12">
        <v>0</v>
      </c>
      <c r="T310" s="11"/>
      <c r="U310" s="12">
        <v>0</v>
      </c>
    </row>
    <row r="311" spans="1:21" x14ac:dyDescent="0.45">
      <c r="A311" s="13">
        <v>448</v>
      </c>
      <c r="B311" s="13">
        <v>0</v>
      </c>
      <c r="C311" s="13" t="s">
        <v>419</v>
      </c>
      <c r="D311" s="13"/>
      <c r="E311" s="13">
        <v>0</v>
      </c>
      <c r="F311" s="13">
        <v>0</v>
      </c>
      <c r="G311" s="13">
        <v>0</v>
      </c>
      <c r="H311" s="13">
        <v>0</v>
      </c>
      <c r="I311" s="13">
        <v>0</v>
      </c>
      <c r="J311" s="11"/>
      <c r="K311" s="11" t="s">
        <v>66</v>
      </c>
      <c r="L311" s="11"/>
      <c r="M311" s="12">
        <v>0</v>
      </c>
      <c r="N311" s="11"/>
      <c r="O311" s="12">
        <v>0</v>
      </c>
      <c r="P311" s="11"/>
      <c r="Q311" s="12">
        <v>0</v>
      </c>
      <c r="R311" s="11"/>
      <c r="S311" s="12">
        <v>0</v>
      </c>
      <c r="T311" s="11"/>
      <c r="U311" s="12">
        <v>0</v>
      </c>
    </row>
    <row r="312" spans="1:21" x14ac:dyDescent="0.45">
      <c r="A312" s="13">
        <v>449</v>
      </c>
      <c r="B312" s="13">
        <v>1</v>
      </c>
      <c r="C312" s="13" t="s">
        <v>420</v>
      </c>
      <c r="D312" s="13" t="s">
        <v>421</v>
      </c>
      <c r="E312" s="13">
        <v>0</v>
      </c>
      <c r="F312" s="13">
        <v>450</v>
      </c>
      <c r="G312" s="13">
        <v>1</v>
      </c>
      <c r="H312" s="13">
        <v>2</v>
      </c>
      <c r="I312" s="13">
        <v>0</v>
      </c>
      <c r="J312" s="11"/>
      <c r="K312" s="11" t="s">
        <v>66</v>
      </c>
      <c r="L312" s="11" t="s">
        <v>67</v>
      </c>
      <c r="M312" s="12">
        <v>0</v>
      </c>
      <c r="N312" s="11" t="s">
        <v>320</v>
      </c>
      <c r="O312" s="12">
        <v>0</v>
      </c>
      <c r="P312" s="11" t="s">
        <v>337</v>
      </c>
      <c r="Q312" s="12">
        <v>0</v>
      </c>
      <c r="R312" s="11" t="s">
        <v>422</v>
      </c>
      <c r="S312" s="12">
        <v>0</v>
      </c>
      <c r="T312" s="11"/>
      <c r="U312" s="12">
        <v>0</v>
      </c>
    </row>
    <row r="313" spans="1:21" x14ac:dyDescent="0.45">
      <c r="A313" s="13">
        <v>450</v>
      </c>
      <c r="B313" s="13">
        <v>1</v>
      </c>
      <c r="C313" s="13" t="s">
        <v>423</v>
      </c>
      <c r="D313" s="13" t="s">
        <v>421</v>
      </c>
      <c r="E313" s="13">
        <v>0</v>
      </c>
      <c r="F313" s="13">
        <v>0</v>
      </c>
      <c r="G313" s="13">
        <v>1</v>
      </c>
      <c r="H313" s="13">
        <v>2</v>
      </c>
      <c r="I313" s="13">
        <v>0</v>
      </c>
      <c r="J313" s="11"/>
      <c r="K313" s="11" t="s">
        <v>66</v>
      </c>
      <c r="L313" s="11"/>
      <c r="M313" s="12">
        <v>0</v>
      </c>
      <c r="N313" s="11"/>
      <c r="O313" s="12">
        <v>0</v>
      </c>
      <c r="P313" s="11"/>
      <c r="Q313" s="12">
        <v>0</v>
      </c>
      <c r="R313" s="11"/>
      <c r="S313" s="12">
        <v>0</v>
      </c>
      <c r="T313" s="11"/>
      <c r="U313" s="12">
        <v>0</v>
      </c>
    </row>
    <row r="314" spans="1:21" x14ac:dyDescent="0.45">
      <c r="A314" s="13">
        <v>451</v>
      </c>
      <c r="B314" s="13">
        <v>0</v>
      </c>
      <c r="C314" s="13" t="s">
        <v>424</v>
      </c>
      <c r="D314" s="13"/>
      <c r="E314" s="13">
        <v>0</v>
      </c>
      <c r="F314" s="13">
        <v>0</v>
      </c>
      <c r="G314" s="13">
        <v>0</v>
      </c>
      <c r="H314" s="13">
        <v>0</v>
      </c>
      <c r="I314" s="13">
        <v>0</v>
      </c>
      <c r="J314" s="11"/>
      <c r="K314" s="11" t="s">
        <v>66</v>
      </c>
      <c r="L314" s="11"/>
      <c r="M314" s="12">
        <v>0</v>
      </c>
      <c r="N314" s="11"/>
      <c r="O314" s="12">
        <v>0</v>
      </c>
      <c r="P314" s="11"/>
      <c r="Q314" s="12">
        <v>0</v>
      </c>
      <c r="R314" s="11"/>
      <c r="S314" s="12">
        <v>0</v>
      </c>
      <c r="T314" s="11"/>
      <c r="U314" s="12">
        <v>0</v>
      </c>
    </row>
    <row r="315" spans="1:21" x14ac:dyDescent="0.45">
      <c r="A315" s="13">
        <v>452</v>
      </c>
      <c r="B315" s="13">
        <v>0</v>
      </c>
      <c r="C315" s="13" t="s">
        <v>425</v>
      </c>
      <c r="D315" s="13"/>
      <c r="E315" s="13">
        <v>0</v>
      </c>
      <c r="F315" s="13">
        <v>0</v>
      </c>
      <c r="G315" s="13">
        <v>0</v>
      </c>
      <c r="H315" s="13">
        <v>0</v>
      </c>
      <c r="I315" s="13">
        <v>0</v>
      </c>
      <c r="J315" s="11"/>
      <c r="K315" s="11" t="s">
        <v>66</v>
      </c>
      <c r="L315" s="11"/>
      <c r="M315" s="12">
        <v>0</v>
      </c>
      <c r="N315" s="11"/>
      <c r="O315" s="12">
        <v>0</v>
      </c>
      <c r="P315" s="11"/>
      <c r="Q315" s="12">
        <v>0</v>
      </c>
      <c r="R315" s="11"/>
      <c r="S315" s="12">
        <v>0</v>
      </c>
      <c r="T315" s="11"/>
      <c r="U315" s="12">
        <v>0</v>
      </c>
    </row>
    <row r="316" spans="1:21" x14ac:dyDescent="0.45">
      <c r="A316" s="13">
        <v>453</v>
      </c>
      <c r="B316" s="13">
        <v>0</v>
      </c>
      <c r="C316" s="13" t="s">
        <v>426</v>
      </c>
      <c r="D316" s="13"/>
      <c r="E316" s="13">
        <v>0</v>
      </c>
      <c r="F316" s="13">
        <v>0</v>
      </c>
      <c r="G316" s="13">
        <v>0</v>
      </c>
      <c r="H316" s="13">
        <v>0</v>
      </c>
      <c r="I316" s="13">
        <v>0</v>
      </c>
      <c r="J316" s="11"/>
      <c r="K316" s="11" t="s">
        <v>66</v>
      </c>
      <c r="L316" s="11"/>
      <c r="M316" s="12">
        <v>0</v>
      </c>
      <c r="N316" s="11"/>
      <c r="O316" s="12">
        <v>0</v>
      </c>
      <c r="P316" s="11"/>
      <c r="Q316" s="12">
        <v>0</v>
      </c>
      <c r="R316" s="11"/>
      <c r="S316" s="12">
        <v>0</v>
      </c>
      <c r="T316" s="11"/>
      <c r="U316" s="12">
        <v>0</v>
      </c>
    </row>
    <row r="317" spans="1:21" x14ac:dyDescent="0.45">
      <c r="A317" s="13">
        <v>454</v>
      </c>
      <c r="B317" s="13">
        <v>1</v>
      </c>
      <c r="C317" s="13" t="s">
        <v>427</v>
      </c>
      <c r="D317" s="13" t="s">
        <v>427</v>
      </c>
      <c r="E317" s="13">
        <v>0</v>
      </c>
      <c r="F317" s="13">
        <v>0</v>
      </c>
      <c r="G317" s="13">
        <v>1</v>
      </c>
      <c r="H317" s="13">
        <v>0</v>
      </c>
      <c r="I317" s="13">
        <v>0</v>
      </c>
      <c r="J317" s="11"/>
      <c r="K317" s="11" t="s">
        <v>66</v>
      </c>
      <c r="L317" s="11"/>
      <c r="M317" s="12">
        <v>0</v>
      </c>
      <c r="N317" s="11"/>
      <c r="O317" s="12">
        <v>0</v>
      </c>
      <c r="P317" s="11"/>
      <c r="Q317" s="12">
        <v>0</v>
      </c>
      <c r="R317" s="11"/>
      <c r="S317" s="12">
        <v>0</v>
      </c>
      <c r="T317" s="11"/>
      <c r="U317" s="12">
        <v>0</v>
      </c>
    </row>
    <row r="318" spans="1:21" x14ac:dyDescent="0.45">
      <c r="A318" s="13">
        <v>455</v>
      </c>
      <c r="B318" s="13">
        <v>0</v>
      </c>
      <c r="C318" s="13" t="s">
        <v>428</v>
      </c>
      <c r="D318" s="13"/>
      <c r="E318" s="13">
        <v>0</v>
      </c>
      <c r="F318" s="13">
        <v>0</v>
      </c>
      <c r="G318" s="13">
        <v>0</v>
      </c>
      <c r="H318" s="13">
        <v>0</v>
      </c>
      <c r="I318" s="13">
        <v>0</v>
      </c>
      <c r="J318" s="11"/>
      <c r="K318" s="11" t="s">
        <v>66</v>
      </c>
      <c r="L318" s="11"/>
      <c r="M318" s="12">
        <v>0</v>
      </c>
      <c r="N318" s="11"/>
      <c r="O318" s="12">
        <v>0</v>
      </c>
      <c r="P318" s="11"/>
      <c r="Q318" s="12">
        <v>0</v>
      </c>
      <c r="R318" s="11"/>
      <c r="S318" s="12">
        <v>0</v>
      </c>
      <c r="T318" s="11"/>
      <c r="U318" s="12">
        <v>0</v>
      </c>
    </row>
    <row r="319" spans="1:21" x14ac:dyDescent="0.45">
      <c r="A319" s="13">
        <v>456</v>
      </c>
      <c r="B319" s="13">
        <v>0</v>
      </c>
      <c r="C319" s="13" t="s">
        <v>429</v>
      </c>
      <c r="D319" s="13"/>
      <c r="E319" s="13">
        <v>0</v>
      </c>
      <c r="F319" s="13">
        <v>0</v>
      </c>
      <c r="G319" s="13">
        <v>0</v>
      </c>
      <c r="H319" s="13">
        <v>0</v>
      </c>
      <c r="I319" s="13">
        <v>0</v>
      </c>
      <c r="J319" s="11"/>
      <c r="K319" s="11" t="s">
        <v>66</v>
      </c>
      <c r="L319" s="11"/>
      <c r="M319" s="12">
        <v>0</v>
      </c>
      <c r="N319" s="11"/>
      <c r="O319" s="12">
        <v>0</v>
      </c>
      <c r="P319" s="11"/>
      <c r="Q319" s="12">
        <v>0</v>
      </c>
      <c r="R319" s="11"/>
      <c r="S319" s="12">
        <v>0</v>
      </c>
      <c r="T319" s="11"/>
      <c r="U319" s="12">
        <v>0</v>
      </c>
    </row>
    <row r="320" spans="1:21" x14ac:dyDescent="0.45">
      <c r="A320" s="13">
        <v>457</v>
      </c>
      <c r="B320" s="13">
        <v>1</v>
      </c>
      <c r="C320" s="13" t="s">
        <v>430</v>
      </c>
      <c r="D320" s="13" t="s">
        <v>430</v>
      </c>
      <c r="E320" s="13">
        <v>0</v>
      </c>
      <c r="F320" s="13">
        <v>603</v>
      </c>
      <c r="G320" s="13">
        <v>1</v>
      </c>
      <c r="H320" s="13">
        <v>0</v>
      </c>
      <c r="I320" s="13">
        <v>42</v>
      </c>
      <c r="J320" s="11"/>
      <c r="K320" s="11" t="s">
        <v>66</v>
      </c>
      <c r="L320" s="11"/>
      <c r="M320" s="12">
        <v>0</v>
      </c>
      <c r="N320" s="11"/>
      <c r="O320" s="12">
        <v>0</v>
      </c>
      <c r="P320" s="11"/>
      <c r="Q320" s="12">
        <v>0</v>
      </c>
      <c r="R320" s="11"/>
      <c r="S320" s="12">
        <v>0</v>
      </c>
      <c r="T320" s="11"/>
      <c r="U320" s="12">
        <v>0</v>
      </c>
    </row>
    <row r="321" spans="1:21" x14ac:dyDescent="0.45">
      <c r="A321" s="13">
        <v>458</v>
      </c>
      <c r="B321" s="13">
        <v>0</v>
      </c>
      <c r="C321" s="13" t="s">
        <v>431</v>
      </c>
      <c r="D321" s="13"/>
      <c r="E321" s="13">
        <v>0</v>
      </c>
      <c r="F321" s="13">
        <v>0</v>
      </c>
      <c r="G321" s="13">
        <v>0</v>
      </c>
      <c r="H321" s="13">
        <v>0</v>
      </c>
      <c r="I321" s="13">
        <v>0</v>
      </c>
      <c r="J321" s="11"/>
      <c r="K321" s="11" t="s">
        <v>66</v>
      </c>
      <c r="L321" s="11"/>
      <c r="M321" s="12">
        <v>0</v>
      </c>
      <c r="N321" s="11"/>
      <c r="O321" s="12">
        <v>0</v>
      </c>
      <c r="P321" s="11"/>
      <c r="Q321" s="12">
        <v>0</v>
      </c>
      <c r="R321" s="11"/>
      <c r="S321" s="12">
        <v>0</v>
      </c>
      <c r="T321" s="11"/>
      <c r="U321" s="12">
        <v>0</v>
      </c>
    </row>
    <row r="322" spans="1:21" x14ac:dyDescent="0.45">
      <c r="A322" s="13">
        <v>459</v>
      </c>
      <c r="B322" s="13">
        <v>0</v>
      </c>
      <c r="C322" s="13" t="s">
        <v>432</v>
      </c>
      <c r="D322" s="13"/>
      <c r="E322" s="13">
        <v>0</v>
      </c>
      <c r="F322" s="13">
        <v>0</v>
      </c>
      <c r="G322" s="13">
        <v>0</v>
      </c>
      <c r="H322" s="13">
        <v>0</v>
      </c>
      <c r="I322" s="13">
        <v>0</v>
      </c>
      <c r="J322" s="11"/>
      <c r="K322" s="11" t="s">
        <v>66</v>
      </c>
      <c r="L322" s="11"/>
      <c r="M322" s="12">
        <v>0</v>
      </c>
      <c r="N322" s="11"/>
      <c r="O322" s="12">
        <v>0</v>
      </c>
      <c r="P322" s="11"/>
      <c r="Q322" s="12">
        <v>0</v>
      </c>
      <c r="R322" s="11"/>
      <c r="S322" s="12">
        <v>0</v>
      </c>
      <c r="T322" s="11"/>
      <c r="U322" s="12">
        <v>0</v>
      </c>
    </row>
    <row r="323" spans="1:21" x14ac:dyDescent="0.45">
      <c r="A323" s="13">
        <v>460</v>
      </c>
      <c r="B323" s="13">
        <v>1</v>
      </c>
      <c r="C323" s="13" t="s">
        <v>433</v>
      </c>
      <c r="D323" s="13" t="s">
        <v>434</v>
      </c>
      <c r="E323" s="13">
        <v>0</v>
      </c>
      <c r="F323" s="13">
        <v>463</v>
      </c>
      <c r="G323" s="13">
        <v>1</v>
      </c>
      <c r="H323" s="13">
        <v>0</v>
      </c>
      <c r="I323" s="13">
        <v>0</v>
      </c>
      <c r="J323" s="11"/>
      <c r="K323" s="11" t="s">
        <v>66</v>
      </c>
      <c r="L323" s="11" t="s">
        <v>10</v>
      </c>
      <c r="M323" s="12">
        <v>0</v>
      </c>
      <c r="N323" s="11" t="s">
        <v>133</v>
      </c>
      <c r="O323" s="12">
        <v>0</v>
      </c>
      <c r="P323" s="11" t="s">
        <v>134</v>
      </c>
      <c r="Q323" s="12">
        <v>0</v>
      </c>
      <c r="R323" s="11" t="s">
        <v>435</v>
      </c>
      <c r="S323" s="12">
        <v>0</v>
      </c>
      <c r="T323" s="11" t="s">
        <v>436</v>
      </c>
      <c r="U323" s="12">
        <v>0</v>
      </c>
    </row>
    <row r="324" spans="1:21" x14ac:dyDescent="0.45">
      <c r="A324" s="13">
        <v>461</v>
      </c>
      <c r="B324" s="13">
        <v>0</v>
      </c>
      <c r="C324" s="13" t="s">
        <v>437</v>
      </c>
      <c r="D324" s="13"/>
      <c r="E324" s="13">
        <v>0</v>
      </c>
      <c r="F324" s="13">
        <v>0</v>
      </c>
      <c r="G324" s="13">
        <v>0</v>
      </c>
      <c r="H324" s="13">
        <v>0</v>
      </c>
      <c r="I324" s="13">
        <v>0</v>
      </c>
      <c r="J324" s="11"/>
      <c r="K324" s="11" t="s">
        <v>66</v>
      </c>
      <c r="L324" s="11"/>
      <c r="M324" s="12">
        <v>0</v>
      </c>
      <c r="N324" s="11"/>
      <c r="O324" s="12">
        <v>0</v>
      </c>
      <c r="P324" s="11"/>
      <c r="Q324" s="12">
        <v>0</v>
      </c>
      <c r="R324" s="11"/>
      <c r="S324" s="12">
        <v>0</v>
      </c>
      <c r="T324" s="11"/>
      <c r="U324" s="12">
        <v>0</v>
      </c>
    </row>
    <row r="325" spans="1:21" x14ac:dyDescent="0.45">
      <c r="A325" s="13">
        <v>462</v>
      </c>
      <c r="B325" s="13">
        <v>0</v>
      </c>
      <c r="C325" s="13" t="s">
        <v>438</v>
      </c>
      <c r="D325" s="13"/>
      <c r="E325" s="13">
        <v>0</v>
      </c>
      <c r="F325" s="13">
        <v>0</v>
      </c>
      <c r="G325" s="13">
        <v>0</v>
      </c>
      <c r="H325" s="13">
        <v>0</v>
      </c>
      <c r="I325" s="13">
        <v>0</v>
      </c>
      <c r="J325" s="11"/>
      <c r="K325" s="11" t="s">
        <v>66</v>
      </c>
      <c r="L325" s="11"/>
      <c r="M325" s="12">
        <v>0</v>
      </c>
      <c r="N325" s="11"/>
      <c r="O325" s="12">
        <v>0</v>
      </c>
      <c r="P325" s="11"/>
      <c r="Q325" s="12">
        <v>0</v>
      </c>
      <c r="R325" s="11"/>
      <c r="S325" s="12">
        <v>0</v>
      </c>
      <c r="T325" s="11"/>
      <c r="U325" s="12">
        <v>0</v>
      </c>
    </row>
    <row r="326" spans="1:21" x14ac:dyDescent="0.45">
      <c r="A326" s="13">
        <v>463</v>
      </c>
      <c r="B326" s="13">
        <v>1</v>
      </c>
      <c r="C326" s="13" t="s">
        <v>439</v>
      </c>
      <c r="D326" s="13" t="s">
        <v>434</v>
      </c>
      <c r="E326" s="13">
        <v>0</v>
      </c>
      <c r="F326" s="13">
        <v>0</v>
      </c>
      <c r="G326" s="13">
        <v>1</v>
      </c>
      <c r="H326" s="13">
        <v>0</v>
      </c>
      <c r="I326" s="13">
        <v>0</v>
      </c>
      <c r="J326" s="11"/>
      <c r="K326" s="11" t="s">
        <v>66</v>
      </c>
      <c r="L326" s="11"/>
      <c r="M326" s="12">
        <v>0</v>
      </c>
      <c r="N326" s="11"/>
      <c r="O326" s="12">
        <v>0</v>
      </c>
      <c r="P326" s="11"/>
      <c r="Q326" s="12">
        <v>0</v>
      </c>
      <c r="R326" s="11"/>
      <c r="S326" s="12">
        <v>0</v>
      </c>
      <c r="T326" s="11"/>
      <c r="U326" s="12">
        <v>0</v>
      </c>
    </row>
    <row r="327" spans="1:21" x14ac:dyDescent="0.45">
      <c r="A327" s="13">
        <v>464</v>
      </c>
      <c r="B327" s="13">
        <v>1</v>
      </c>
      <c r="C327" s="13" t="s">
        <v>440</v>
      </c>
      <c r="D327" s="13" t="s">
        <v>441</v>
      </c>
      <c r="E327" s="13">
        <v>0</v>
      </c>
      <c r="F327" s="13">
        <v>465</v>
      </c>
      <c r="G327" s="13">
        <v>1</v>
      </c>
      <c r="H327" s="13">
        <v>1</v>
      </c>
      <c r="I327" s="13">
        <v>20</v>
      </c>
      <c r="J327" s="11"/>
      <c r="K327" s="11" t="s">
        <v>66</v>
      </c>
      <c r="L327" s="11"/>
      <c r="M327" s="12">
        <v>0</v>
      </c>
      <c r="N327" s="11"/>
      <c r="O327" s="12">
        <v>0</v>
      </c>
      <c r="P327" s="11"/>
      <c r="Q327" s="12">
        <v>0</v>
      </c>
      <c r="R327" s="11"/>
      <c r="S327" s="12">
        <v>0</v>
      </c>
      <c r="T327" s="11"/>
      <c r="U327" s="12">
        <v>0</v>
      </c>
    </row>
    <row r="328" spans="1:21" x14ac:dyDescent="0.45">
      <c r="A328" s="13">
        <v>465</v>
      </c>
      <c r="B328" s="13">
        <v>1</v>
      </c>
      <c r="C328" s="13" t="s">
        <v>440</v>
      </c>
      <c r="D328" s="13" t="s">
        <v>442</v>
      </c>
      <c r="E328" s="13">
        <v>0</v>
      </c>
      <c r="F328" s="13">
        <v>0</v>
      </c>
      <c r="G328" s="13">
        <v>1</v>
      </c>
      <c r="H328" s="13">
        <v>1</v>
      </c>
      <c r="I328" s="13">
        <v>15</v>
      </c>
      <c r="J328" s="11"/>
      <c r="K328" s="11" t="s">
        <v>66</v>
      </c>
      <c r="L328" s="11"/>
      <c r="M328" s="12">
        <v>0</v>
      </c>
      <c r="N328" s="11"/>
      <c r="O328" s="12">
        <v>0</v>
      </c>
      <c r="P328" s="11"/>
      <c r="Q328" s="12">
        <v>0</v>
      </c>
      <c r="R328" s="11"/>
      <c r="S328" s="12">
        <v>0</v>
      </c>
      <c r="T328" s="11"/>
      <c r="U328" s="12">
        <v>0</v>
      </c>
    </row>
    <row r="329" spans="1:21" x14ac:dyDescent="0.45">
      <c r="A329" s="13">
        <v>466</v>
      </c>
      <c r="B329" s="13">
        <v>1</v>
      </c>
      <c r="C329" s="13" t="s">
        <v>443</v>
      </c>
      <c r="D329" s="13" t="s">
        <v>230</v>
      </c>
      <c r="E329" s="13">
        <v>0</v>
      </c>
      <c r="F329" s="13">
        <v>0</v>
      </c>
      <c r="G329" s="13">
        <v>0</v>
      </c>
      <c r="H329" s="13">
        <v>0</v>
      </c>
      <c r="I329" s="13">
        <v>0</v>
      </c>
      <c r="J329" s="11"/>
      <c r="K329" s="11" t="s">
        <v>66</v>
      </c>
      <c r="L329" s="11"/>
      <c r="M329" s="12">
        <v>0</v>
      </c>
      <c r="N329" s="11"/>
      <c r="O329" s="12">
        <v>0</v>
      </c>
      <c r="P329" s="11"/>
      <c r="Q329" s="12">
        <v>0</v>
      </c>
      <c r="R329" s="11"/>
      <c r="S329" s="12">
        <v>0</v>
      </c>
      <c r="T329" s="11"/>
      <c r="U329" s="12">
        <v>0</v>
      </c>
    </row>
    <row r="330" spans="1:21" x14ac:dyDescent="0.45">
      <c r="A330" s="13">
        <v>467</v>
      </c>
      <c r="B330" s="13">
        <v>1</v>
      </c>
      <c r="C330" s="13" t="s">
        <v>444</v>
      </c>
      <c r="D330" s="13" t="s">
        <v>444</v>
      </c>
      <c r="E330" s="13">
        <v>0</v>
      </c>
      <c r="F330" s="13">
        <v>0</v>
      </c>
      <c r="G330" s="13">
        <v>0</v>
      </c>
      <c r="H330" s="13">
        <v>0</v>
      </c>
      <c r="I330" s="13">
        <v>0</v>
      </c>
      <c r="J330" s="11"/>
      <c r="K330" s="11" t="s">
        <v>66</v>
      </c>
      <c r="L330" s="11"/>
      <c r="M330" s="12">
        <v>0</v>
      </c>
      <c r="N330" s="11"/>
      <c r="O330" s="12">
        <v>0</v>
      </c>
      <c r="P330" s="11"/>
      <c r="Q330" s="12">
        <v>0</v>
      </c>
      <c r="R330" s="11"/>
      <c r="S330" s="12">
        <v>0</v>
      </c>
      <c r="T330" s="11"/>
      <c r="U330" s="12">
        <v>0</v>
      </c>
    </row>
    <row r="331" spans="1:21" x14ac:dyDescent="0.45">
      <c r="A331" s="13">
        <v>468</v>
      </c>
      <c r="B331" s="13">
        <v>1</v>
      </c>
      <c r="C331" s="13" t="s">
        <v>445</v>
      </c>
      <c r="D331" s="13" t="s">
        <v>445</v>
      </c>
      <c r="E331" s="13">
        <v>0</v>
      </c>
      <c r="F331" s="13">
        <v>0</v>
      </c>
      <c r="G331" s="13">
        <v>0</v>
      </c>
      <c r="H331" s="13">
        <v>0</v>
      </c>
      <c r="I331" s="13">
        <v>0</v>
      </c>
      <c r="J331" s="11"/>
      <c r="K331" s="11" t="s">
        <v>66</v>
      </c>
      <c r="L331" s="11"/>
      <c r="M331" s="12">
        <v>0</v>
      </c>
      <c r="N331" s="11"/>
      <c r="O331" s="12">
        <v>0</v>
      </c>
      <c r="P331" s="11"/>
      <c r="Q331" s="12">
        <v>0</v>
      </c>
      <c r="R331" s="11"/>
      <c r="S331" s="12">
        <v>0</v>
      </c>
      <c r="T331" s="11"/>
      <c r="U331" s="12">
        <v>0</v>
      </c>
    </row>
    <row r="332" spans="1:21" x14ac:dyDescent="0.45">
      <c r="A332" s="13">
        <v>469</v>
      </c>
      <c r="B332" s="13">
        <v>0</v>
      </c>
      <c r="C332" s="13" t="s">
        <v>446</v>
      </c>
      <c r="D332" s="13"/>
      <c r="E332" s="13">
        <v>0</v>
      </c>
      <c r="F332" s="13">
        <v>0</v>
      </c>
      <c r="G332" s="13">
        <v>0</v>
      </c>
      <c r="H332" s="13">
        <v>0</v>
      </c>
      <c r="I332" s="13">
        <v>0</v>
      </c>
      <c r="J332" s="11"/>
      <c r="K332" s="11" t="s">
        <v>66</v>
      </c>
      <c r="L332" s="11"/>
      <c r="M332" s="12">
        <v>0</v>
      </c>
      <c r="N332" s="11"/>
      <c r="O332" s="12">
        <v>0</v>
      </c>
      <c r="P332" s="11"/>
      <c r="Q332" s="12">
        <v>0</v>
      </c>
      <c r="R332" s="11"/>
      <c r="S332" s="12">
        <v>0</v>
      </c>
      <c r="T332" s="11"/>
      <c r="U332" s="12">
        <v>0</v>
      </c>
    </row>
    <row r="333" spans="1:21" x14ac:dyDescent="0.45">
      <c r="A333" s="13">
        <v>470</v>
      </c>
      <c r="B333" s="13">
        <v>1</v>
      </c>
      <c r="C333" s="13" t="s">
        <v>447</v>
      </c>
      <c r="D333" s="13" t="s">
        <v>448</v>
      </c>
      <c r="E333" s="13">
        <v>0</v>
      </c>
      <c r="F333" s="13">
        <v>471</v>
      </c>
      <c r="G333" s="13">
        <v>1</v>
      </c>
      <c r="H333" s="13">
        <v>2</v>
      </c>
      <c r="I333" s="13">
        <v>0</v>
      </c>
      <c r="J333" s="11"/>
      <c r="K333" s="11" t="s">
        <v>66</v>
      </c>
      <c r="L333" s="11" t="s">
        <v>380</v>
      </c>
      <c r="M333" s="12">
        <v>0</v>
      </c>
      <c r="N333" s="11" t="s">
        <v>67</v>
      </c>
      <c r="O333" s="12">
        <v>0</v>
      </c>
      <c r="P333" s="11"/>
      <c r="Q333" s="12">
        <v>0</v>
      </c>
      <c r="R333" s="11"/>
      <c r="S333" s="12">
        <v>0</v>
      </c>
      <c r="T333" s="11"/>
      <c r="U333" s="12">
        <v>0</v>
      </c>
    </row>
    <row r="334" spans="1:21" x14ac:dyDescent="0.45">
      <c r="A334" s="13">
        <v>471</v>
      </c>
      <c r="B334" s="13">
        <v>0</v>
      </c>
      <c r="C334" s="13" t="s">
        <v>449</v>
      </c>
      <c r="D334" s="13" t="s">
        <v>449</v>
      </c>
      <c r="E334" s="13">
        <v>0</v>
      </c>
      <c r="F334" s="13">
        <v>0</v>
      </c>
      <c r="G334" s="13">
        <v>0</v>
      </c>
      <c r="H334" s="13">
        <v>0</v>
      </c>
      <c r="I334" s="13">
        <v>0</v>
      </c>
      <c r="J334" s="11"/>
      <c r="K334" s="11" t="s">
        <v>66</v>
      </c>
      <c r="L334" s="11"/>
      <c r="M334" s="12">
        <v>0</v>
      </c>
      <c r="N334" s="11"/>
      <c r="O334" s="12">
        <v>0</v>
      </c>
      <c r="P334" s="11"/>
      <c r="Q334" s="12">
        <v>0</v>
      </c>
      <c r="R334" s="11"/>
      <c r="S334" s="12">
        <v>0</v>
      </c>
      <c r="T334" s="11"/>
      <c r="U334" s="12">
        <v>0</v>
      </c>
    </row>
    <row r="335" spans="1:21" x14ac:dyDescent="0.45">
      <c r="A335" s="13">
        <v>472</v>
      </c>
      <c r="B335" s="13">
        <v>0</v>
      </c>
      <c r="C335" s="13" t="s">
        <v>450</v>
      </c>
      <c r="D335" s="13"/>
      <c r="E335" s="13">
        <v>0</v>
      </c>
      <c r="F335" s="13">
        <v>0</v>
      </c>
      <c r="G335" s="13">
        <v>0</v>
      </c>
      <c r="H335" s="13">
        <v>0</v>
      </c>
      <c r="I335" s="13">
        <v>0</v>
      </c>
      <c r="J335" s="11"/>
      <c r="K335" s="11" t="s">
        <v>66</v>
      </c>
      <c r="L335" s="11"/>
      <c r="M335" s="12">
        <v>0</v>
      </c>
      <c r="N335" s="11"/>
      <c r="O335" s="12">
        <v>0</v>
      </c>
      <c r="P335" s="11"/>
      <c r="Q335" s="12">
        <v>0</v>
      </c>
      <c r="R335" s="11"/>
      <c r="S335" s="12">
        <v>0</v>
      </c>
      <c r="T335" s="11"/>
      <c r="U335" s="12">
        <v>0</v>
      </c>
    </row>
    <row r="336" spans="1:21" x14ac:dyDescent="0.45">
      <c r="A336" s="13">
        <v>473</v>
      </c>
      <c r="B336" s="13">
        <v>0</v>
      </c>
      <c r="C336" s="13" t="s">
        <v>451</v>
      </c>
      <c r="D336" s="13"/>
      <c r="E336" s="13">
        <v>0</v>
      </c>
      <c r="F336" s="13">
        <v>0</v>
      </c>
      <c r="G336" s="13">
        <v>0</v>
      </c>
      <c r="H336" s="13">
        <v>0</v>
      </c>
      <c r="I336" s="13">
        <v>0</v>
      </c>
      <c r="J336" s="11"/>
      <c r="K336" s="11" t="s">
        <v>66</v>
      </c>
      <c r="L336" s="11"/>
      <c r="M336" s="12">
        <v>0</v>
      </c>
      <c r="N336" s="11"/>
      <c r="O336" s="12">
        <v>0</v>
      </c>
      <c r="P336" s="11"/>
      <c r="Q336" s="12">
        <v>0</v>
      </c>
      <c r="R336" s="11"/>
      <c r="S336" s="12">
        <v>0</v>
      </c>
      <c r="T336" s="11"/>
      <c r="U336" s="12">
        <v>0</v>
      </c>
    </row>
    <row r="337" spans="1:21" x14ac:dyDescent="0.45">
      <c r="A337" s="13">
        <v>474</v>
      </c>
      <c r="B337" s="13">
        <v>1</v>
      </c>
      <c r="C337" s="13" t="s">
        <v>452</v>
      </c>
      <c r="D337" s="13" t="s">
        <v>453</v>
      </c>
      <c r="E337" s="13">
        <v>0</v>
      </c>
      <c r="F337" s="13">
        <v>0</v>
      </c>
      <c r="G337" s="13">
        <v>1</v>
      </c>
      <c r="H337" s="13">
        <v>0</v>
      </c>
      <c r="I337" s="13">
        <v>0</v>
      </c>
      <c r="J337" s="11"/>
      <c r="K337" s="11" t="s">
        <v>66</v>
      </c>
      <c r="L337" s="11"/>
      <c r="M337" s="12">
        <v>0</v>
      </c>
      <c r="N337" s="11"/>
      <c r="O337" s="12">
        <v>0</v>
      </c>
      <c r="P337" s="11"/>
      <c r="Q337" s="12">
        <v>0</v>
      </c>
      <c r="R337" s="11"/>
      <c r="S337" s="12">
        <v>0</v>
      </c>
      <c r="T337" s="11"/>
      <c r="U337" s="12">
        <v>0</v>
      </c>
    </row>
    <row r="338" spans="1:21" x14ac:dyDescent="0.45">
      <c r="A338" s="13">
        <v>475</v>
      </c>
      <c r="B338" s="13">
        <v>1</v>
      </c>
      <c r="C338" s="13" t="s">
        <v>454</v>
      </c>
      <c r="D338" s="13" t="s">
        <v>455</v>
      </c>
      <c r="E338" s="13">
        <v>0</v>
      </c>
      <c r="F338" s="13">
        <v>0</v>
      </c>
      <c r="G338" s="13">
        <v>1</v>
      </c>
      <c r="H338" s="13">
        <v>0</v>
      </c>
      <c r="I338" s="13">
        <v>0</v>
      </c>
      <c r="J338" s="11"/>
      <c r="K338" s="11" t="s">
        <v>66</v>
      </c>
      <c r="L338" s="11"/>
      <c r="M338" s="12">
        <v>0</v>
      </c>
      <c r="N338" s="11"/>
      <c r="O338" s="12">
        <v>0</v>
      </c>
      <c r="P338" s="11"/>
      <c r="Q338" s="12">
        <v>0</v>
      </c>
      <c r="R338" s="11"/>
      <c r="S338" s="12">
        <v>0</v>
      </c>
      <c r="T338" s="11"/>
      <c r="U338" s="12">
        <v>0</v>
      </c>
    </row>
    <row r="339" spans="1:21" x14ac:dyDescent="0.45">
      <c r="A339" s="13">
        <v>476</v>
      </c>
      <c r="B339" s="13">
        <v>1</v>
      </c>
      <c r="C339" s="13" t="s">
        <v>325</v>
      </c>
      <c r="D339" s="13" t="s">
        <v>456</v>
      </c>
      <c r="E339" s="13">
        <v>0</v>
      </c>
      <c r="F339" s="13">
        <v>0</v>
      </c>
      <c r="G339" s="13">
        <v>1</v>
      </c>
      <c r="H339" s="13">
        <v>0</v>
      </c>
      <c r="I339" s="13">
        <v>0</v>
      </c>
      <c r="J339" s="11"/>
      <c r="K339" s="11" t="s">
        <v>66</v>
      </c>
      <c r="L339" s="11"/>
      <c r="M339" s="12">
        <v>0</v>
      </c>
      <c r="N339" s="11"/>
      <c r="O339" s="12">
        <v>0</v>
      </c>
      <c r="P339" s="11"/>
      <c r="Q339" s="12">
        <v>0</v>
      </c>
      <c r="R339" s="11"/>
      <c r="S339" s="12">
        <v>0</v>
      </c>
      <c r="T339" s="11"/>
      <c r="U339" s="12">
        <v>0</v>
      </c>
    </row>
    <row r="340" spans="1:21" x14ac:dyDescent="0.45">
      <c r="A340" s="13">
        <v>477</v>
      </c>
      <c r="B340" s="13">
        <v>1</v>
      </c>
      <c r="C340" s="13" t="s">
        <v>457</v>
      </c>
      <c r="D340" s="13" t="s">
        <v>457</v>
      </c>
      <c r="E340" s="13">
        <v>0</v>
      </c>
      <c r="F340" s="13">
        <v>0</v>
      </c>
      <c r="G340" s="13">
        <v>1</v>
      </c>
      <c r="H340" s="13">
        <v>0</v>
      </c>
      <c r="I340" s="13">
        <v>0</v>
      </c>
      <c r="J340" s="11"/>
      <c r="K340" s="11" t="s">
        <v>66</v>
      </c>
      <c r="L340" s="11"/>
      <c r="M340" s="12">
        <v>0</v>
      </c>
      <c r="N340" s="11"/>
      <c r="O340" s="12">
        <v>0</v>
      </c>
      <c r="P340" s="11"/>
      <c r="Q340" s="12">
        <v>0</v>
      </c>
      <c r="R340" s="11"/>
      <c r="S340" s="12">
        <v>0</v>
      </c>
      <c r="T340" s="11"/>
      <c r="U340" s="12">
        <v>0</v>
      </c>
    </row>
    <row r="341" spans="1:21" x14ac:dyDescent="0.45">
      <c r="A341" s="13">
        <v>478</v>
      </c>
      <c r="B341" s="13">
        <v>1</v>
      </c>
      <c r="C341" s="13" t="s">
        <v>458</v>
      </c>
      <c r="D341" s="13" t="s">
        <v>458</v>
      </c>
      <c r="E341" s="13">
        <v>0</v>
      </c>
      <c r="F341" s="13">
        <v>0</v>
      </c>
      <c r="G341" s="13">
        <v>1</v>
      </c>
      <c r="H341" s="13">
        <v>0</v>
      </c>
      <c r="I341" s="13">
        <v>0</v>
      </c>
      <c r="J341" s="11"/>
      <c r="K341" s="11" t="s">
        <v>66</v>
      </c>
      <c r="L341" s="11"/>
      <c r="M341" s="12">
        <v>0</v>
      </c>
      <c r="N341" s="11"/>
      <c r="O341" s="12">
        <v>0</v>
      </c>
      <c r="P341" s="11"/>
      <c r="Q341" s="12">
        <v>0</v>
      </c>
      <c r="R341" s="11"/>
      <c r="S341" s="12">
        <v>0</v>
      </c>
      <c r="T341" s="11"/>
      <c r="U341" s="12">
        <v>0</v>
      </c>
    </row>
    <row r="342" spans="1:21" x14ac:dyDescent="0.45">
      <c r="A342" s="13">
        <v>479</v>
      </c>
      <c r="B342" s="13">
        <v>1</v>
      </c>
      <c r="C342" s="13" t="s">
        <v>331</v>
      </c>
      <c r="D342" s="13" t="s">
        <v>331</v>
      </c>
      <c r="E342" s="13">
        <v>0</v>
      </c>
      <c r="F342" s="13">
        <v>0</v>
      </c>
      <c r="G342" s="13">
        <v>1</v>
      </c>
      <c r="H342" s="13">
        <v>0</v>
      </c>
      <c r="I342" s="13">
        <v>0</v>
      </c>
      <c r="J342" s="11"/>
      <c r="K342" s="11" t="s">
        <v>66</v>
      </c>
      <c r="L342" s="11"/>
      <c r="M342" s="12">
        <v>0</v>
      </c>
      <c r="N342" s="11"/>
      <c r="O342" s="12">
        <v>0</v>
      </c>
      <c r="P342" s="11"/>
      <c r="Q342" s="12">
        <v>0</v>
      </c>
      <c r="R342" s="11"/>
      <c r="S342" s="12">
        <v>0</v>
      </c>
      <c r="T342" s="11"/>
      <c r="U342" s="12">
        <v>0</v>
      </c>
    </row>
    <row r="343" spans="1:21" x14ac:dyDescent="0.45">
      <c r="A343" s="13">
        <v>480</v>
      </c>
      <c r="B343" s="13">
        <v>1</v>
      </c>
      <c r="C343" s="13" t="s">
        <v>459</v>
      </c>
      <c r="D343" s="13" t="s">
        <v>459</v>
      </c>
      <c r="E343" s="13">
        <v>0</v>
      </c>
      <c r="F343" s="13">
        <v>0</v>
      </c>
      <c r="G343" s="13">
        <v>1</v>
      </c>
      <c r="H343" s="13">
        <v>1</v>
      </c>
      <c r="I343" s="13">
        <v>18</v>
      </c>
      <c r="J343" s="11"/>
      <c r="K343" s="11" t="s">
        <v>66</v>
      </c>
      <c r="L343" s="11"/>
      <c r="M343" s="12">
        <v>0</v>
      </c>
      <c r="N343" s="11"/>
      <c r="O343" s="12">
        <v>0</v>
      </c>
      <c r="P343" s="11"/>
      <c r="Q343" s="12">
        <v>0</v>
      </c>
      <c r="R343" s="11"/>
      <c r="S343" s="12">
        <v>0</v>
      </c>
      <c r="T343" s="11"/>
      <c r="U343" s="12">
        <v>0</v>
      </c>
    </row>
    <row r="344" spans="1:21" x14ac:dyDescent="0.45">
      <c r="A344" s="13">
        <v>481</v>
      </c>
      <c r="B344" s="13">
        <v>1</v>
      </c>
      <c r="C344" s="13" t="s">
        <v>208</v>
      </c>
      <c r="D344" s="13" t="s">
        <v>208</v>
      </c>
      <c r="E344" s="13">
        <v>0</v>
      </c>
      <c r="F344" s="13">
        <v>0</v>
      </c>
      <c r="G344" s="13">
        <v>3</v>
      </c>
      <c r="H344" s="13">
        <v>0</v>
      </c>
      <c r="I344" s="13">
        <v>0</v>
      </c>
      <c r="J344" s="11"/>
      <c r="K344" s="11" t="s">
        <v>66</v>
      </c>
      <c r="L344" s="11"/>
      <c r="M344" s="12">
        <v>0</v>
      </c>
      <c r="N344" s="11"/>
      <c r="O344" s="12">
        <v>0</v>
      </c>
      <c r="P344" s="11"/>
      <c r="Q344" s="12">
        <v>0</v>
      </c>
      <c r="R344" s="11"/>
      <c r="S344" s="12">
        <v>0</v>
      </c>
      <c r="T344" s="11"/>
      <c r="U344" s="12">
        <v>0</v>
      </c>
    </row>
    <row r="345" spans="1:21" x14ac:dyDescent="0.45">
      <c r="A345" s="13">
        <v>482</v>
      </c>
      <c r="B345" s="13">
        <v>1</v>
      </c>
      <c r="C345" s="13" t="s">
        <v>460</v>
      </c>
      <c r="D345" s="13" t="s">
        <v>242</v>
      </c>
      <c r="E345" s="13">
        <v>0</v>
      </c>
      <c r="F345" s="13">
        <v>0</v>
      </c>
      <c r="G345" s="13">
        <v>1</v>
      </c>
      <c r="H345" s="13">
        <v>0</v>
      </c>
      <c r="I345" s="13">
        <v>0</v>
      </c>
      <c r="J345" s="11"/>
      <c r="K345" s="11" t="s">
        <v>66</v>
      </c>
      <c r="L345" s="11"/>
      <c r="M345" s="12">
        <v>0</v>
      </c>
      <c r="N345" s="11"/>
      <c r="O345" s="12">
        <v>0</v>
      </c>
      <c r="P345" s="11"/>
      <c r="Q345" s="12">
        <v>0</v>
      </c>
      <c r="R345" s="11"/>
      <c r="S345" s="12">
        <v>0</v>
      </c>
      <c r="T345" s="11"/>
      <c r="U345" s="12">
        <v>0</v>
      </c>
    </row>
    <row r="346" spans="1:21" x14ac:dyDescent="0.45">
      <c r="A346" s="13">
        <v>483</v>
      </c>
      <c r="B346" s="13">
        <v>1</v>
      </c>
      <c r="C346" s="13" t="s">
        <v>461</v>
      </c>
      <c r="D346" s="13" t="s">
        <v>461</v>
      </c>
      <c r="E346" s="13">
        <v>0</v>
      </c>
      <c r="F346" s="13">
        <v>0</v>
      </c>
      <c r="G346" s="13">
        <v>1</v>
      </c>
      <c r="H346" s="13">
        <v>0</v>
      </c>
      <c r="I346" s="13">
        <v>0</v>
      </c>
      <c r="J346" s="11"/>
      <c r="K346" s="11" t="s">
        <v>66</v>
      </c>
      <c r="L346" s="11"/>
      <c r="M346" s="12">
        <v>0</v>
      </c>
      <c r="N346" s="11"/>
      <c r="O346" s="12">
        <v>0</v>
      </c>
      <c r="P346" s="11"/>
      <c r="Q346" s="12">
        <v>0</v>
      </c>
      <c r="R346" s="11"/>
      <c r="S346" s="12">
        <v>0</v>
      </c>
      <c r="T346" s="11"/>
      <c r="U346" s="12">
        <v>0</v>
      </c>
    </row>
    <row r="347" spans="1:21" x14ac:dyDescent="0.45">
      <c r="A347" s="13">
        <v>484</v>
      </c>
      <c r="B347" s="13">
        <v>0</v>
      </c>
      <c r="C347" s="13" t="s">
        <v>462</v>
      </c>
      <c r="D347" s="13" t="s">
        <v>462</v>
      </c>
      <c r="E347" s="13">
        <v>0</v>
      </c>
      <c r="F347" s="13">
        <v>0</v>
      </c>
      <c r="G347" s="13">
        <v>3</v>
      </c>
      <c r="H347" s="13">
        <v>0</v>
      </c>
      <c r="I347" s="13">
        <v>0</v>
      </c>
      <c r="J347" s="11"/>
      <c r="K347" s="11" t="s">
        <v>66</v>
      </c>
      <c r="L347" s="11"/>
      <c r="M347" s="12">
        <v>0</v>
      </c>
      <c r="N347" s="11"/>
      <c r="O347" s="12">
        <v>0</v>
      </c>
      <c r="P347" s="11"/>
      <c r="Q347" s="12">
        <v>0</v>
      </c>
      <c r="R347" s="11"/>
      <c r="S347" s="12">
        <v>0</v>
      </c>
      <c r="T347" s="11"/>
      <c r="U347" s="12">
        <v>0</v>
      </c>
    </row>
    <row r="348" spans="1:21" s="29" customFormat="1" x14ac:dyDescent="0.45">
      <c r="A348" s="26">
        <v>485</v>
      </c>
      <c r="B348" s="26">
        <v>1</v>
      </c>
      <c r="C348" s="26" t="s">
        <v>463</v>
      </c>
      <c r="D348" s="26" t="s">
        <v>463</v>
      </c>
      <c r="E348" s="26">
        <v>0</v>
      </c>
      <c r="F348" s="26">
        <v>486</v>
      </c>
      <c r="G348" s="26">
        <v>1</v>
      </c>
      <c r="H348" s="26">
        <v>0</v>
      </c>
      <c r="I348" s="26">
        <v>0</v>
      </c>
      <c r="J348" s="27"/>
      <c r="K348" s="27" t="s">
        <v>66</v>
      </c>
      <c r="L348" s="27"/>
      <c r="M348" s="28">
        <v>0</v>
      </c>
      <c r="N348" s="27"/>
      <c r="O348" s="28">
        <v>0</v>
      </c>
      <c r="P348" s="27"/>
      <c r="Q348" s="28">
        <v>0</v>
      </c>
      <c r="R348" s="27"/>
      <c r="S348" s="28">
        <v>0</v>
      </c>
      <c r="T348" s="27"/>
      <c r="U348" s="28">
        <v>0</v>
      </c>
    </row>
    <row r="349" spans="1:21" s="29" customFormat="1" x14ac:dyDescent="0.45">
      <c r="A349" s="26">
        <v>486</v>
      </c>
      <c r="B349" s="26">
        <v>1</v>
      </c>
      <c r="C349" s="26" t="s">
        <v>464</v>
      </c>
      <c r="D349" s="26" t="s">
        <v>464</v>
      </c>
      <c r="E349" s="26">
        <v>0</v>
      </c>
      <c r="F349" s="26">
        <v>0</v>
      </c>
      <c r="G349" s="26">
        <v>1</v>
      </c>
      <c r="H349" s="26">
        <v>0</v>
      </c>
      <c r="I349" s="26">
        <v>0</v>
      </c>
      <c r="J349" s="27"/>
      <c r="K349" s="27" t="s">
        <v>66</v>
      </c>
      <c r="L349" s="27"/>
      <c r="M349" s="28">
        <v>0</v>
      </c>
      <c r="N349" s="27"/>
      <c r="O349" s="28">
        <v>0</v>
      </c>
      <c r="P349" s="27"/>
      <c r="Q349" s="28">
        <v>0</v>
      </c>
      <c r="R349" s="27"/>
      <c r="S349" s="28">
        <v>0</v>
      </c>
      <c r="T349" s="27"/>
      <c r="U349" s="28">
        <v>0</v>
      </c>
    </row>
    <row r="350" spans="1:21" s="29" customFormat="1" x14ac:dyDescent="0.45">
      <c r="A350" s="26">
        <v>487</v>
      </c>
      <c r="B350" s="26">
        <v>1</v>
      </c>
      <c r="C350" s="26" t="s">
        <v>465</v>
      </c>
      <c r="D350" s="26" t="s">
        <v>465</v>
      </c>
      <c r="E350" s="26">
        <v>0</v>
      </c>
      <c r="F350" s="26">
        <v>0</v>
      </c>
      <c r="G350" s="26">
        <v>1</v>
      </c>
      <c r="H350" s="26">
        <v>0</v>
      </c>
      <c r="I350" s="26">
        <v>0</v>
      </c>
      <c r="J350" s="27"/>
      <c r="K350" s="27" t="s">
        <v>66</v>
      </c>
      <c r="L350" s="27"/>
      <c r="M350" s="28">
        <v>0</v>
      </c>
      <c r="N350" s="27"/>
      <c r="O350" s="28">
        <v>0</v>
      </c>
      <c r="P350" s="27"/>
      <c r="Q350" s="28">
        <v>0</v>
      </c>
      <c r="R350" s="27"/>
      <c r="S350" s="28">
        <v>0</v>
      </c>
      <c r="T350" s="27"/>
      <c r="U350" s="28">
        <v>0</v>
      </c>
    </row>
    <row r="351" spans="1:21" x14ac:dyDescent="0.45">
      <c r="A351" s="13">
        <v>488</v>
      </c>
      <c r="B351" s="13">
        <v>1</v>
      </c>
      <c r="C351" s="13" t="s">
        <v>466</v>
      </c>
      <c r="D351" s="13" t="s">
        <v>466</v>
      </c>
      <c r="E351" s="13">
        <v>0</v>
      </c>
      <c r="F351" s="13">
        <v>0</v>
      </c>
      <c r="G351" s="13">
        <v>1</v>
      </c>
      <c r="H351" s="13">
        <v>0</v>
      </c>
      <c r="I351" s="13">
        <v>0</v>
      </c>
      <c r="J351" s="11"/>
      <c r="K351" s="11" t="s">
        <v>66</v>
      </c>
      <c r="L351" s="11"/>
      <c r="M351" s="12">
        <v>0</v>
      </c>
      <c r="N351" s="11"/>
      <c r="O351" s="12">
        <v>0</v>
      </c>
      <c r="P351" s="11"/>
      <c r="Q351" s="12">
        <v>0</v>
      </c>
      <c r="R351" s="11"/>
      <c r="S351" s="12">
        <v>0</v>
      </c>
      <c r="T351" s="11"/>
      <c r="U351" s="12">
        <v>0</v>
      </c>
    </row>
    <row r="352" spans="1:21" x14ac:dyDescent="0.45">
      <c r="A352" s="13">
        <v>489</v>
      </c>
      <c r="B352" s="13">
        <v>1</v>
      </c>
      <c r="C352" s="13" t="s">
        <v>467</v>
      </c>
      <c r="D352" s="13" t="s">
        <v>467</v>
      </c>
      <c r="E352" s="13">
        <v>0</v>
      </c>
      <c r="F352" s="13">
        <v>0</v>
      </c>
      <c r="G352" s="13">
        <v>1</v>
      </c>
      <c r="H352" s="13">
        <v>0</v>
      </c>
      <c r="I352" s="13">
        <v>0</v>
      </c>
      <c r="J352" s="11"/>
      <c r="K352" s="11" t="s">
        <v>66</v>
      </c>
      <c r="L352" s="11"/>
      <c r="M352" s="12">
        <v>0</v>
      </c>
      <c r="N352" s="11"/>
      <c r="O352" s="12">
        <v>0</v>
      </c>
      <c r="P352" s="11"/>
      <c r="Q352" s="12">
        <v>0</v>
      </c>
      <c r="R352" s="11"/>
      <c r="S352" s="12">
        <v>0</v>
      </c>
      <c r="T352" s="11"/>
      <c r="U352" s="12">
        <v>0</v>
      </c>
    </row>
    <row r="353" spans="1:21" x14ac:dyDescent="0.45">
      <c r="A353" s="13">
        <v>490</v>
      </c>
      <c r="B353" s="13">
        <v>1</v>
      </c>
      <c r="C353" s="13" t="s">
        <v>468</v>
      </c>
      <c r="D353" s="13" t="s">
        <v>468</v>
      </c>
      <c r="E353" s="13">
        <v>0</v>
      </c>
      <c r="F353" s="13">
        <v>602</v>
      </c>
      <c r="G353" s="13">
        <v>3</v>
      </c>
      <c r="H353" s="13">
        <v>1</v>
      </c>
      <c r="I353" s="13">
        <v>0</v>
      </c>
      <c r="J353" s="11"/>
      <c r="K353" s="11" t="s">
        <v>66</v>
      </c>
      <c r="L353" s="11"/>
      <c r="M353" s="12">
        <v>0</v>
      </c>
      <c r="N353" s="11"/>
      <c r="O353" s="12">
        <v>0</v>
      </c>
      <c r="P353" s="11"/>
      <c r="Q353" s="12">
        <v>0</v>
      </c>
      <c r="R353" s="11"/>
      <c r="S353" s="12">
        <v>0</v>
      </c>
      <c r="T353" s="11"/>
      <c r="U353" s="12">
        <v>0</v>
      </c>
    </row>
    <row r="354" spans="1:21" x14ac:dyDescent="0.45">
      <c r="A354" s="13">
        <v>491</v>
      </c>
      <c r="B354" s="13">
        <v>0</v>
      </c>
      <c r="C354" s="13" t="s">
        <v>230</v>
      </c>
      <c r="D354" s="13" t="s">
        <v>230</v>
      </c>
      <c r="E354" s="13">
        <v>0</v>
      </c>
      <c r="F354" s="13">
        <v>0</v>
      </c>
      <c r="G354" s="13">
        <v>0</v>
      </c>
      <c r="H354" s="13">
        <v>0</v>
      </c>
      <c r="I354" s="13">
        <v>0</v>
      </c>
      <c r="J354" s="11"/>
      <c r="K354" s="11" t="s">
        <v>66</v>
      </c>
      <c r="L354" s="11"/>
      <c r="M354" s="12">
        <v>0</v>
      </c>
      <c r="N354" s="11"/>
      <c r="O354" s="12">
        <v>0</v>
      </c>
      <c r="P354" s="11"/>
      <c r="Q354" s="12">
        <v>0</v>
      </c>
      <c r="R354" s="11"/>
      <c r="S354" s="12">
        <v>0</v>
      </c>
      <c r="T354" s="11"/>
      <c r="U354" s="12">
        <v>0</v>
      </c>
    </row>
    <row r="355" spans="1:21" x14ac:dyDescent="0.45">
      <c r="A355" s="13">
        <v>492</v>
      </c>
      <c r="B355" s="13">
        <v>0</v>
      </c>
      <c r="C355" s="13" t="s">
        <v>469</v>
      </c>
      <c r="D355" s="13" t="s">
        <v>469</v>
      </c>
      <c r="E355" s="13">
        <v>0</v>
      </c>
      <c r="F355" s="13">
        <v>0</v>
      </c>
      <c r="G355" s="13">
        <v>0</v>
      </c>
      <c r="H355" s="13">
        <v>0</v>
      </c>
      <c r="I355" s="13">
        <v>0</v>
      </c>
      <c r="J355" s="11"/>
      <c r="K355" s="11" t="s">
        <v>66</v>
      </c>
      <c r="L355" s="11"/>
      <c r="M355" s="12">
        <v>0</v>
      </c>
      <c r="N355" s="11"/>
      <c r="O355" s="12">
        <v>0</v>
      </c>
      <c r="P355" s="11"/>
      <c r="Q355" s="12">
        <v>0</v>
      </c>
      <c r="R355" s="11"/>
      <c r="S355" s="12">
        <v>0</v>
      </c>
      <c r="T355" s="11"/>
      <c r="U355" s="12">
        <v>0</v>
      </c>
    </row>
    <row r="356" spans="1:21" x14ac:dyDescent="0.45">
      <c r="A356" s="13">
        <v>493</v>
      </c>
      <c r="B356" s="13">
        <v>0</v>
      </c>
      <c r="C356" s="13" t="s">
        <v>470</v>
      </c>
      <c r="D356" s="13" t="s">
        <v>470</v>
      </c>
      <c r="E356" s="13">
        <v>0</v>
      </c>
      <c r="F356" s="13">
        <v>0</v>
      </c>
      <c r="G356" s="13">
        <v>0</v>
      </c>
      <c r="H356" s="13">
        <v>0</v>
      </c>
      <c r="I356" s="13">
        <v>0</v>
      </c>
      <c r="J356" s="11"/>
      <c r="K356" s="11" t="s">
        <v>66</v>
      </c>
      <c r="L356" s="11"/>
      <c r="M356" s="12">
        <v>0</v>
      </c>
      <c r="N356" s="11"/>
      <c r="O356" s="12">
        <v>0</v>
      </c>
      <c r="P356" s="11"/>
      <c r="Q356" s="12">
        <v>0</v>
      </c>
      <c r="R356" s="11"/>
      <c r="S356" s="12">
        <v>0</v>
      </c>
      <c r="T356" s="11"/>
      <c r="U356" s="12">
        <v>0</v>
      </c>
    </row>
    <row r="357" spans="1:21" x14ac:dyDescent="0.45">
      <c r="A357" s="13">
        <v>494</v>
      </c>
      <c r="B357" s="13">
        <v>1</v>
      </c>
      <c r="C357" s="13" t="s">
        <v>471</v>
      </c>
      <c r="D357" s="13" t="s">
        <v>471</v>
      </c>
      <c r="E357" s="13">
        <v>0</v>
      </c>
      <c r="F357" s="13">
        <v>495</v>
      </c>
      <c r="G357" s="13">
        <v>3</v>
      </c>
      <c r="H357" s="13">
        <v>0</v>
      </c>
      <c r="I357" s="13">
        <v>0</v>
      </c>
      <c r="J357" s="11"/>
      <c r="K357" s="11" t="s">
        <v>66</v>
      </c>
      <c r="L357" s="11"/>
      <c r="M357" s="12">
        <v>0</v>
      </c>
      <c r="N357" s="11"/>
      <c r="O357" s="12">
        <v>0</v>
      </c>
      <c r="P357" s="11"/>
      <c r="Q357" s="12">
        <v>0</v>
      </c>
      <c r="R357" s="11"/>
      <c r="S357" s="12">
        <v>0</v>
      </c>
      <c r="T357" s="11"/>
      <c r="U357" s="12">
        <v>0</v>
      </c>
    </row>
    <row r="358" spans="1:21" x14ac:dyDescent="0.45">
      <c r="A358" s="13">
        <v>495</v>
      </c>
      <c r="B358" s="13">
        <v>1</v>
      </c>
      <c r="C358" s="13" t="s">
        <v>472</v>
      </c>
      <c r="D358" s="13" t="s">
        <v>473</v>
      </c>
      <c r="E358" s="13">
        <v>0</v>
      </c>
      <c r="F358" s="13">
        <v>0</v>
      </c>
      <c r="G358" s="13">
        <v>3</v>
      </c>
      <c r="H358" s="13">
        <v>0</v>
      </c>
      <c r="I358" s="13">
        <v>0</v>
      </c>
      <c r="J358" s="11"/>
      <c r="K358" s="11" t="s">
        <v>66</v>
      </c>
      <c r="L358" s="11"/>
      <c r="M358" s="12">
        <v>0</v>
      </c>
      <c r="N358" s="11"/>
      <c r="O358" s="12">
        <v>0</v>
      </c>
      <c r="P358" s="11"/>
      <c r="Q358" s="12">
        <v>0</v>
      </c>
      <c r="R358" s="11"/>
      <c r="S358" s="12">
        <v>0</v>
      </c>
      <c r="T358" s="11"/>
      <c r="U358" s="12">
        <v>0</v>
      </c>
    </row>
    <row r="359" spans="1:21" x14ac:dyDescent="0.45">
      <c r="A359" s="13">
        <v>496</v>
      </c>
      <c r="B359" s="13">
        <v>1</v>
      </c>
      <c r="C359" s="13" t="s">
        <v>474</v>
      </c>
      <c r="D359" s="13" t="s">
        <v>474</v>
      </c>
      <c r="E359" s="13">
        <v>0</v>
      </c>
      <c r="F359" s="13">
        <v>497</v>
      </c>
      <c r="G359" s="13">
        <v>3</v>
      </c>
      <c r="H359" s="13">
        <v>0</v>
      </c>
      <c r="I359" s="13">
        <v>0</v>
      </c>
      <c r="J359" s="11"/>
      <c r="K359" s="11" t="s">
        <v>66</v>
      </c>
      <c r="L359" s="11"/>
      <c r="M359" s="12">
        <v>0</v>
      </c>
      <c r="N359" s="11"/>
      <c r="O359" s="12">
        <v>0</v>
      </c>
      <c r="P359" s="11"/>
      <c r="Q359" s="12">
        <v>0</v>
      </c>
      <c r="R359" s="11"/>
      <c r="S359" s="12">
        <v>0</v>
      </c>
      <c r="T359" s="11"/>
      <c r="U359" s="12">
        <v>0</v>
      </c>
    </row>
    <row r="360" spans="1:21" x14ac:dyDescent="0.45">
      <c r="A360" s="13">
        <v>497</v>
      </c>
      <c r="B360" s="13">
        <v>1</v>
      </c>
      <c r="C360" s="13" t="s">
        <v>475</v>
      </c>
      <c r="D360" s="13" t="s">
        <v>475</v>
      </c>
      <c r="E360" s="13">
        <v>0</v>
      </c>
      <c r="F360" s="13">
        <v>0</v>
      </c>
      <c r="G360" s="13">
        <v>3</v>
      </c>
      <c r="H360" s="13">
        <v>0</v>
      </c>
      <c r="I360" s="13">
        <v>0</v>
      </c>
      <c r="J360" s="11"/>
      <c r="K360" s="11" t="s">
        <v>66</v>
      </c>
      <c r="L360" s="11"/>
      <c r="M360" s="12">
        <v>0</v>
      </c>
      <c r="N360" s="11"/>
      <c r="O360" s="12">
        <v>0</v>
      </c>
      <c r="P360" s="11"/>
      <c r="Q360" s="12">
        <v>0</v>
      </c>
      <c r="R360" s="11"/>
      <c r="S360" s="12">
        <v>0</v>
      </c>
      <c r="T360" s="11"/>
      <c r="U360" s="12">
        <v>0</v>
      </c>
    </row>
    <row r="361" spans="1:21" x14ac:dyDescent="0.45">
      <c r="A361" s="13">
        <v>498</v>
      </c>
      <c r="B361" s="13">
        <v>1</v>
      </c>
      <c r="C361" s="13" t="s">
        <v>476</v>
      </c>
      <c r="D361" s="13" t="s">
        <v>476</v>
      </c>
      <c r="E361" s="13">
        <v>0</v>
      </c>
      <c r="F361" s="13">
        <v>499</v>
      </c>
      <c r="G361" s="13">
        <v>1</v>
      </c>
      <c r="H361" s="13">
        <v>2</v>
      </c>
      <c r="I361" s="13">
        <v>0</v>
      </c>
      <c r="J361" s="11"/>
      <c r="K361" s="11" t="s">
        <v>66</v>
      </c>
      <c r="L361" s="11" t="s">
        <v>476</v>
      </c>
      <c r="M361" s="12">
        <v>0</v>
      </c>
      <c r="N361" s="11" t="s">
        <v>67</v>
      </c>
      <c r="O361" s="12">
        <v>0</v>
      </c>
      <c r="P361" s="11"/>
      <c r="Q361" s="12">
        <v>0</v>
      </c>
      <c r="R361" s="11"/>
      <c r="S361" s="12">
        <v>0</v>
      </c>
      <c r="T361" s="11"/>
      <c r="U361" s="12">
        <v>0</v>
      </c>
    </row>
    <row r="362" spans="1:21" x14ac:dyDescent="0.45">
      <c r="A362" s="13">
        <v>499</v>
      </c>
      <c r="B362" s="13">
        <v>1</v>
      </c>
      <c r="C362" s="13" t="s">
        <v>477</v>
      </c>
      <c r="D362" s="13" t="s">
        <v>477</v>
      </c>
      <c r="E362" s="13">
        <v>0</v>
      </c>
      <c r="F362" s="13">
        <v>0</v>
      </c>
      <c r="G362" s="13">
        <v>1</v>
      </c>
      <c r="H362" s="13">
        <v>2</v>
      </c>
      <c r="I362" s="13">
        <v>0</v>
      </c>
      <c r="J362" s="11"/>
      <c r="K362" s="11" t="s">
        <v>66</v>
      </c>
      <c r="L362" s="11"/>
      <c r="M362" s="12">
        <v>0</v>
      </c>
      <c r="N362" s="11"/>
      <c r="O362" s="12">
        <v>0</v>
      </c>
      <c r="P362" s="11"/>
      <c r="Q362" s="12">
        <v>0</v>
      </c>
      <c r="R362" s="11"/>
      <c r="S362" s="12">
        <v>0</v>
      </c>
      <c r="T362" s="11"/>
      <c r="U362" s="12">
        <v>0</v>
      </c>
    </row>
    <row r="363" spans="1:21" x14ac:dyDescent="0.45">
      <c r="A363" s="13">
        <v>500</v>
      </c>
      <c r="B363" s="13">
        <v>1</v>
      </c>
      <c r="C363" s="13" t="s">
        <v>478</v>
      </c>
      <c r="D363" s="13" t="s">
        <v>478</v>
      </c>
      <c r="E363" s="13">
        <v>370</v>
      </c>
      <c r="F363" s="13">
        <v>0</v>
      </c>
      <c r="G363" s="13">
        <v>0</v>
      </c>
      <c r="H363" s="13">
        <v>1</v>
      </c>
      <c r="I363" s="13">
        <v>24</v>
      </c>
      <c r="J363" s="11">
        <v>88</v>
      </c>
      <c r="K363" s="11" t="s">
        <v>37</v>
      </c>
      <c r="L363" s="11"/>
      <c r="M363" s="12">
        <v>0</v>
      </c>
      <c r="N363" s="11"/>
      <c r="O363" s="12">
        <v>0</v>
      </c>
      <c r="P363" s="11"/>
      <c r="Q363" s="12">
        <v>0</v>
      </c>
      <c r="R363" s="11"/>
      <c r="S363" s="12">
        <v>0</v>
      </c>
      <c r="T363" s="11"/>
      <c r="U363" s="12">
        <v>0</v>
      </c>
    </row>
    <row r="364" spans="1:21" x14ac:dyDescent="0.45">
      <c r="A364" s="13">
        <v>501</v>
      </c>
      <c r="B364" s="13">
        <v>1</v>
      </c>
      <c r="C364" s="13" t="s">
        <v>479</v>
      </c>
      <c r="D364" s="13" t="s">
        <v>479</v>
      </c>
      <c r="E364" s="13">
        <v>300</v>
      </c>
      <c r="F364" s="13">
        <v>0</v>
      </c>
      <c r="G364" s="13">
        <v>0</v>
      </c>
      <c r="H364" s="13">
        <v>1</v>
      </c>
      <c r="I364" s="13">
        <v>24</v>
      </c>
      <c r="J364" s="11">
        <v>8</v>
      </c>
      <c r="K364" s="11" t="s">
        <v>37</v>
      </c>
      <c r="L364" s="11"/>
      <c r="M364" s="12">
        <v>0</v>
      </c>
      <c r="N364" s="11"/>
      <c r="O364" s="12">
        <v>0</v>
      </c>
      <c r="P364" s="11"/>
      <c r="Q364" s="12">
        <v>0</v>
      </c>
      <c r="R364" s="11"/>
      <c r="S364" s="12">
        <v>0</v>
      </c>
      <c r="T364" s="11"/>
      <c r="U364" s="12">
        <v>0</v>
      </c>
    </row>
    <row r="365" spans="1:21" x14ac:dyDescent="0.45">
      <c r="A365" s="13">
        <v>502</v>
      </c>
      <c r="B365" s="13">
        <v>0</v>
      </c>
      <c r="C365" s="13" t="s">
        <v>480</v>
      </c>
      <c r="D365" s="13" t="s">
        <v>480</v>
      </c>
      <c r="E365" s="13">
        <v>0</v>
      </c>
      <c r="F365" s="13">
        <v>503</v>
      </c>
      <c r="G365" s="13">
        <v>0</v>
      </c>
      <c r="H365" s="13">
        <v>0</v>
      </c>
      <c r="I365" s="13">
        <v>0</v>
      </c>
      <c r="J365" s="11"/>
      <c r="K365" s="11" t="s">
        <v>66</v>
      </c>
      <c r="L365" s="11"/>
      <c r="M365" s="12">
        <v>0</v>
      </c>
      <c r="N365" s="11"/>
      <c r="O365" s="12">
        <v>0</v>
      </c>
      <c r="P365" s="11"/>
      <c r="Q365" s="12">
        <v>0</v>
      </c>
      <c r="R365" s="11"/>
      <c r="S365" s="12">
        <v>0</v>
      </c>
      <c r="T365" s="11"/>
      <c r="U365" s="12">
        <v>0</v>
      </c>
    </row>
    <row r="366" spans="1:21" x14ac:dyDescent="0.45">
      <c r="A366" s="13">
        <v>503</v>
      </c>
      <c r="B366" s="13">
        <v>0</v>
      </c>
      <c r="C366" s="13" t="s">
        <v>45</v>
      </c>
      <c r="D366" s="13" t="s">
        <v>45</v>
      </c>
      <c r="E366" s="13">
        <v>0</v>
      </c>
      <c r="F366" s="13">
        <v>0</v>
      </c>
      <c r="G366" s="13">
        <v>1</v>
      </c>
      <c r="H366" s="13">
        <v>0</v>
      </c>
      <c r="I366" s="13">
        <v>0</v>
      </c>
      <c r="J366" s="11"/>
      <c r="K366" s="11" t="s">
        <v>66</v>
      </c>
      <c r="L366" s="11"/>
      <c r="M366" s="12">
        <v>0</v>
      </c>
      <c r="N366" s="11"/>
      <c r="O366" s="12">
        <v>0</v>
      </c>
      <c r="P366" s="11"/>
      <c r="Q366" s="12">
        <v>0</v>
      </c>
      <c r="R366" s="11"/>
      <c r="S366" s="12">
        <v>0</v>
      </c>
      <c r="T366" s="11"/>
      <c r="U366" s="12">
        <v>0</v>
      </c>
    </row>
    <row r="367" spans="1:21" x14ac:dyDescent="0.45">
      <c r="A367" s="13">
        <v>504</v>
      </c>
      <c r="B367" s="13">
        <v>1</v>
      </c>
      <c r="C367" s="13" t="s">
        <v>481</v>
      </c>
      <c r="D367" s="13" t="s">
        <v>481</v>
      </c>
      <c r="E367" s="13">
        <v>0</v>
      </c>
      <c r="F367" s="13">
        <v>0</v>
      </c>
      <c r="G367" s="13">
        <v>1</v>
      </c>
      <c r="H367" s="13">
        <v>0</v>
      </c>
      <c r="I367" s="13">
        <v>0</v>
      </c>
      <c r="J367" s="11"/>
      <c r="K367" s="11" t="s">
        <v>66</v>
      </c>
      <c r="L367" s="11"/>
      <c r="M367" s="12">
        <v>0</v>
      </c>
      <c r="N367" s="11"/>
      <c r="O367" s="12">
        <v>0</v>
      </c>
      <c r="P367" s="11"/>
      <c r="Q367" s="12">
        <v>0</v>
      </c>
      <c r="R367" s="11"/>
      <c r="S367" s="12">
        <v>0</v>
      </c>
      <c r="T367" s="11"/>
      <c r="U367" s="12">
        <v>0</v>
      </c>
    </row>
    <row r="368" spans="1:21" x14ac:dyDescent="0.45">
      <c r="A368" s="13">
        <v>505</v>
      </c>
      <c r="B368" s="13">
        <v>1</v>
      </c>
      <c r="C368" s="13" t="s">
        <v>482</v>
      </c>
      <c r="D368" s="13" t="s">
        <v>482</v>
      </c>
      <c r="E368" s="13">
        <v>0</v>
      </c>
      <c r="F368" s="13">
        <v>0</v>
      </c>
      <c r="G368" s="13">
        <v>1</v>
      </c>
      <c r="H368" s="13">
        <v>0</v>
      </c>
      <c r="I368" s="13">
        <v>0</v>
      </c>
      <c r="J368" s="11"/>
      <c r="K368" s="11" t="s">
        <v>66</v>
      </c>
      <c r="L368" s="11"/>
      <c r="M368" s="12">
        <v>0</v>
      </c>
      <c r="N368" s="11"/>
      <c r="O368" s="12">
        <v>0</v>
      </c>
      <c r="P368" s="11"/>
      <c r="Q368" s="12">
        <v>0</v>
      </c>
      <c r="R368" s="11"/>
      <c r="S368" s="12">
        <v>0</v>
      </c>
      <c r="T368" s="11"/>
      <c r="U368" s="12">
        <v>0</v>
      </c>
    </row>
    <row r="369" spans="1:21" x14ac:dyDescent="0.45">
      <c r="A369" s="13">
        <v>506</v>
      </c>
      <c r="B369" s="13">
        <v>0</v>
      </c>
      <c r="C369" s="13" t="s">
        <v>483</v>
      </c>
      <c r="D369" s="13" t="s">
        <v>483</v>
      </c>
      <c r="E369" s="13">
        <v>0</v>
      </c>
      <c r="F369" s="13">
        <v>507</v>
      </c>
      <c r="G369" s="13">
        <v>1</v>
      </c>
      <c r="H369" s="13">
        <v>0</v>
      </c>
      <c r="I369" s="13">
        <v>0</v>
      </c>
      <c r="J369" s="11"/>
      <c r="K369" s="11" t="s">
        <v>66</v>
      </c>
      <c r="L369" s="11"/>
      <c r="M369" s="12">
        <v>0</v>
      </c>
      <c r="N369" s="11"/>
      <c r="O369" s="12">
        <v>0</v>
      </c>
      <c r="P369" s="11"/>
      <c r="Q369" s="12">
        <v>0</v>
      </c>
      <c r="R369" s="11"/>
      <c r="S369" s="12">
        <v>0</v>
      </c>
      <c r="T369" s="11"/>
      <c r="U369" s="12">
        <v>0</v>
      </c>
    </row>
    <row r="370" spans="1:21" x14ac:dyDescent="0.45">
      <c r="A370" s="13">
        <v>507</v>
      </c>
      <c r="B370" s="13">
        <v>0</v>
      </c>
      <c r="C370" s="13" t="s">
        <v>484</v>
      </c>
      <c r="D370" s="13" t="s">
        <v>484</v>
      </c>
      <c r="E370" s="13">
        <v>0</v>
      </c>
      <c r="F370" s="13">
        <v>0</v>
      </c>
      <c r="G370" s="13">
        <v>1</v>
      </c>
      <c r="H370" s="13">
        <v>0</v>
      </c>
      <c r="I370" s="13">
        <v>0</v>
      </c>
      <c r="J370" s="11"/>
      <c r="K370" s="11" t="s">
        <v>66</v>
      </c>
      <c r="L370" s="11"/>
      <c r="M370" s="12">
        <v>0</v>
      </c>
      <c r="N370" s="11"/>
      <c r="O370" s="12">
        <v>0</v>
      </c>
      <c r="P370" s="11"/>
      <c r="Q370" s="12">
        <v>0</v>
      </c>
      <c r="R370" s="11"/>
      <c r="S370" s="12">
        <v>0</v>
      </c>
      <c r="T370" s="11"/>
      <c r="U370" s="12">
        <v>0</v>
      </c>
    </row>
    <row r="371" spans="1:21" x14ac:dyDescent="0.45">
      <c r="A371" s="13">
        <v>508</v>
      </c>
      <c r="B371" s="13">
        <v>1</v>
      </c>
      <c r="C371" s="13" t="s">
        <v>485</v>
      </c>
      <c r="D371" s="13" t="s">
        <v>486</v>
      </c>
      <c r="E371" s="13">
        <v>0</v>
      </c>
      <c r="F371" s="13">
        <v>0</v>
      </c>
      <c r="G371" s="13">
        <v>0</v>
      </c>
      <c r="H371" s="13">
        <v>0</v>
      </c>
      <c r="I371" s="13">
        <v>24</v>
      </c>
      <c r="J371" s="11">
        <v>88</v>
      </c>
      <c r="K371" s="11" t="s">
        <v>37</v>
      </c>
      <c r="L371" s="11"/>
      <c r="M371" s="12">
        <v>0</v>
      </c>
      <c r="N371" s="11"/>
      <c r="O371" s="12">
        <v>0</v>
      </c>
      <c r="P371" s="11"/>
      <c r="Q371" s="12">
        <v>0</v>
      </c>
      <c r="R371" s="11"/>
      <c r="S371" s="12">
        <v>0</v>
      </c>
      <c r="T371" s="11"/>
      <c r="U371" s="12">
        <v>0</v>
      </c>
    </row>
    <row r="372" spans="1:21" s="29" customFormat="1" x14ac:dyDescent="0.45">
      <c r="A372" s="26">
        <v>520</v>
      </c>
      <c r="B372" s="26">
        <v>1</v>
      </c>
      <c r="C372" s="26" t="s">
        <v>487</v>
      </c>
      <c r="D372" s="26" t="s">
        <v>488</v>
      </c>
      <c r="E372" s="26">
        <v>0</v>
      </c>
      <c r="F372" s="26">
        <v>521</v>
      </c>
      <c r="G372" s="26">
        <v>1</v>
      </c>
      <c r="H372" s="26">
        <v>2</v>
      </c>
      <c r="I372" s="26">
        <v>0</v>
      </c>
      <c r="J372" s="27"/>
      <c r="K372" s="27" t="s">
        <v>66</v>
      </c>
      <c r="L372" s="27" t="s">
        <v>488</v>
      </c>
      <c r="M372" s="28">
        <v>0</v>
      </c>
      <c r="N372" s="27" t="s">
        <v>115</v>
      </c>
      <c r="O372" s="28">
        <v>0</v>
      </c>
      <c r="P372" s="27" t="s">
        <v>67</v>
      </c>
      <c r="Q372" s="28">
        <v>0</v>
      </c>
      <c r="R372" s="27"/>
      <c r="S372" s="28">
        <v>0</v>
      </c>
      <c r="T372" s="27"/>
      <c r="U372" s="28">
        <v>0</v>
      </c>
    </row>
    <row r="373" spans="1:21" s="29" customFormat="1" x14ac:dyDescent="0.45">
      <c r="A373" s="26">
        <v>521</v>
      </c>
      <c r="B373" s="26">
        <v>1</v>
      </c>
      <c r="C373" s="26" t="s">
        <v>489</v>
      </c>
      <c r="D373" s="26" t="s">
        <v>488</v>
      </c>
      <c r="E373" s="26">
        <v>0</v>
      </c>
      <c r="F373" s="26">
        <v>0</v>
      </c>
      <c r="G373" s="26">
        <v>1</v>
      </c>
      <c r="H373" s="26">
        <v>2</v>
      </c>
      <c r="I373" s="26">
        <v>0</v>
      </c>
      <c r="J373" s="27"/>
      <c r="K373" s="27" t="s">
        <v>66</v>
      </c>
      <c r="L373" s="27"/>
      <c r="M373" s="28">
        <v>0</v>
      </c>
      <c r="N373" s="27"/>
      <c r="O373" s="28">
        <v>0</v>
      </c>
      <c r="P373" s="27"/>
      <c r="Q373" s="28">
        <v>0</v>
      </c>
      <c r="R373" s="27"/>
      <c r="S373" s="28">
        <v>0</v>
      </c>
      <c r="T373" s="27"/>
      <c r="U373" s="28">
        <v>0</v>
      </c>
    </row>
    <row r="374" spans="1:21" x14ac:dyDescent="0.45">
      <c r="A374" s="13">
        <v>522</v>
      </c>
      <c r="B374" s="13">
        <v>1</v>
      </c>
      <c r="C374" s="13" t="s">
        <v>218</v>
      </c>
      <c r="D374" s="13" t="s">
        <v>218</v>
      </c>
      <c r="E374" s="13">
        <v>0</v>
      </c>
      <c r="F374" s="13">
        <v>0</v>
      </c>
      <c r="G374" s="13">
        <v>0</v>
      </c>
      <c r="H374" s="13">
        <v>0</v>
      </c>
      <c r="I374" s="13">
        <v>0</v>
      </c>
      <c r="J374" s="11"/>
      <c r="K374" s="11" t="s">
        <v>66</v>
      </c>
      <c r="L374" s="11"/>
      <c r="M374" s="12">
        <v>0</v>
      </c>
      <c r="N374" s="11"/>
      <c r="O374" s="12">
        <v>0</v>
      </c>
      <c r="P374" s="11"/>
      <c r="Q374" s="12">
        <v>0</v>
      </c>
      <c r="R374" s="11"/>
      <c r="S374" s="12">
        <v>0</v>
      </c>
      <c r="T374" s="11"/>
      <c r="U374" s="12">
        <v>0</v>
      </c>
    </row>
    <row r="375" spans="1:21" x14ac:dyDescent="0.45">
      <c r="A375" s="13">
        <v>523</v>
      </c>
      <c r="B375" s="13">
        <v>1</v>
      </c>
      <c r="C375" s="13" t="s">
        <v>490</v>
      </c>
      <c r="D375" s="13" t="s">
        <v>490</v>
      </c>
      <c r="E375" s="13">
        <v>0</v>
      </c>
      <c r="F375" s="13">
        <v>0</v>
      </c>
      <c r="G375" s="13">
        <v>1</v>
      </c>
      <c r="H375" s="13">
        <v>0</v>
      </c>
      <c r="I375" s="13">
        <v>0</v>
      </c>
      <c r="J375" s="11"/>
      <c r="K375" s="11" t="s">
        <v>66</v>
      </c>
      <c r="L375" s="11"/>
      <c r="M375" s="12">
        <v>0</v>
      </c>
      <c r="N375" s="11"/>
      <c r="O375" s="12">
        <v>0</v>
      </c>
      <c r="P375" s="11"/>
      <c r="Q375" s="12">
        <v>0</v>
      </c>
      <c r="R375" s="11"/>
      <c r="S375" s="12">
        <v>0</v>
      </c>
      <c r="T375" s="11"/>
      <c r="U375" s="12">
        <v>0</v>
      </c>
    </row>
    <row r="376" spans="1:21" s="29" customFormat="1" x14ac:dyDescent="0.45">
      <c r="A376" s="26">
        <v>524</v>
      </c>
      <c r="B376" s="26">
        <v>1</v>
      </c>
      <c r="C376" s="26" t="s">
        <v>491</v>
      </c>
      <c r="D376" s="26" t="s">
        <v>492</v>
      </c>
      <c r="E376" s="26">
        <v>0</v>
      </c>
      <c r="F376" s="26">
        <v>525</v>
      </c>
      <c r="G376" s="26">
        <v>1</v>
      </c>
      <c r="H376" s="26">
        <v>2</v>
      </c>
      <c r="I376" s="26">
        <v>0</v>
      </c>
      <c r="J376" s="27"/>
      <c r="K376" s="27" t="s">
        <v>66</v>
      </c>
      <c r="L376" s="27" t="s">
        <v>47</v>
      </c>
      <c r="M376" s="28">
        <v>1</v>
      </c>
      <c r="N376" s="27" t="s">
        <v>102</v>
      </c>
      <c r="O376" s="28">
        <v>1</v>
      </c>
      <c r="P376" s="27" t="s">
        <v>67</v>
      </c>
      <c r="Q376" s="28">
        <v>0</v>
      </c>
      <c r="R376" s="27"/>
      <c r="S376" s="28">
        <v>0</v>
      </c>
      <c r="T376" s="27"/>
      <c r="U376" s="28">
        <v>0</v>
      </c>
    </row>
    <row r="377" spans="1:21" s="29" customFormat="1" x14ac:dyDescent="0.45">
      <c r="A377" s="26">
        <v>525</v>
      </c>
      <c r="B377" s="26">
        <v>1</v>
      </c>
      <c r="C377" s="26" t="s">
        <v>493</v>
      </c>
      <c r="D377" s="26" t="s">
        <v>494</v>
      </c>
      <c r="E377" s="26">
        <v>0</v>
      </c>
      <c r="F377" s="26">
        <v>0</v>
      </c>
      <c r="G377" s="26">
        <v>1</v>
      </c>
      <c r="H377" s="26">
        <v>2</v>
      </c>
      <c r="I377" s="26">
        <v>0</v>
      </c>
      <c r="J377" s="27"/>
      <c r="K377" s="27" t="s">
        <v>66</v>
      </c>
      <c r="L377" s="27"/>
      <c r="M377" s="28">
        <v>0</v>
      </c>
      <c r="N377" s="27"/>
      <c r="O377" s="28">
        <v>0</v>
      </c>
      <c r="P377" s="27"/>
      <c r="Q377" s="28">
        <v>0</v>
      </c>
      <c r="R377" s="27"/>
      <c r="S377" s="28">
        <v>0</v>
      </c>
      <c r="T377" s="27"/>
      <c r="U377" s="28">
        <v>0</v>
      </c>
    </row>
    <row r="378" spans="1:21" s="29" customFormat="1" x14ac:dyDescent="0.45">
      <c r="A378" s="26">
        <v>526</v>
      </c>
      <c r="B378" s="26">
        <v>1</v>
      </c>
      <c r="C378" s="26" t="s">
        <v>495</v>
      </c>
      <c r="D378" s="26" t="s">
        <v>496</v>
      </c>
      <c r="E378" s="26">
        <v>0</v>
      </c>
      <c r="F378" s="26">
        <v>527</v>
      </c>
      <c r="G378" s="26">
        <v>1</v>
      </c>
      <c r="H378" s="26">
        <v>2</v>
      </c>
      <c r="I378" s="26">
        <v>0</v>
      </c>
      <c r="J378" s="27"/>
      <c r="K378" s="27" t="s">
        <v>66</v>
      </c>
      <c r="L378" s="27" t="s">
        <v>496</v>
      </c>
      <c r="M378" s="28">
        <v>0</v>
      </c>
      <c r="N378" s="27" t="s">
        <v>115</v>
      </c>
      <c r="O378" s="28">
        <v>0</v>
      </c>
      <c r="P378" s="27" t="s">
        <v>116</v>
      </c>
      <c r="Q378" s="28">
        <v>0</v>
      </c>
      <c r="R378" s="27"/>
      <c r="S378" s="28">
        <v>0</v>
      </c>
      <c r="T378" s="27"/>
      <c r="U378" s="28">
        <v>0</v>
      </c>
    </row>
    <row r="379" spans="1:21" s="29" customFormat="1" x14ac:dyDescent="0.45">
      <c r="A379" s="26">
        <v>527</v>
      </c>
      <c r="B379" s="26">
        <v>1</v>
      </c>
      <c r="C379" s="26" t="s">
        <v>497</v>
      </c>
      <c r="D379" s="26" t="s">
        <v>496</v>
      </c>
      <c r="E379" s="26">
        <v>0</v>
      </c>
      <c r="F379" s="26">
        <v>0</v>
      </c>
      <c r="G379" s="26">
        <v>1</v>
      </c>
      <c r="H379" s="26">
        <v>2</v>
      </c>
      <c r="I379" s="26">
        <v>0</v>
      </c>
      <c r="J379" s="27"/>
      <c r="K379" s="27" t="s">
        <v>66</v>
      </c>
      <c r="L379" s="27" t="s">
        <v>496</v>
      </c>
      <c r="M379" s="28">
        <v>0</v>
      </c>
      <c r="N379" s="27" t="s">
        <v>115</v>
      </c>
      <c r="O379" s="28">
        <v>0</v>
      </c>
      <c r="P379" s="27" t="s">
        <v>116</v>
      </c>
      <c r="Q379" s="28">
        <v>0</v>
      </c>
      <c r="R379" s="27"/>
      <c r="S379" s="28">
        <v>0</v>
      </c>
      <c r="T379" s="27"/>
      <c r="U379" s="28">
        <v>0</v>
      </c>
    </row>
    <row r="380" spans="1:21" s="29" customFormat="1" x14ac:dyDescent="0.45">
      <c r="A380" s="26">
        <v>528</v>
      </c>
      <c r="B380" s="26">
        <v>1</v>
      </c>
      <c r="C380" s="26" t="s">
        <v>498</v>
      </c>
      <c r="D380" s="26" t="s">
        <v>499</v>
      </c>
      <c r="E380" s="26">
        <v>0</v>
      </c>
      <c r="F380" s="26">
        <v>529</v>
      </c>
      <c r="G380" s="26">
        <v>1</v>
      </c>
      <c r="H380" s="26">
        <v>2</v>
      </c>
      <c r="I380" s="26">
        <v>0</v>
      </c>
      <c r="J380" s="27"/>
      <c r="K380" s="27" t="s">
        <v>66</v>
      </c>
      <c r="L380" s="27" t="s">
        <v>138</v>
      </c>
      <c r="M380" s="28">
        <v>1</v>
      </c>
      <c r="N380" s="27" t="s">
        <v>67</v>
      </c>
      <c r="O380" s="28">
        <v>0</v>
      </c>
      <c r="P380" s="27" t="s">
        <v>500</v>
      </c>
      <c r="Q380" s="28">
        <v>0</v>
      </c>
      <c r="R380" s="27"/>
      <c r="S380" s="28">
        <v>0</v>
      </c>
      <c r="T380" s="27"/>
      <c r="U380" s="28">
        <v>0</v>
      </c>
    </row>
    <row r="381" spans="1:21" s="29" customFormat="1" x14ac:dyDescent="0.45">
      <c r="A381" s="26">
        <v>529</v>
      </c>
      <c r="B381" s="26">
        <v>0</v>
      </c>
      <c r="C381" s="26" t="s">
        <v>501</v>
      </c>
      <c r="D381" s="26" t="s">
        <v>501</v>
      </c>
      <c r="E381" s="26">
        <v>0</v>
      </c>
      <c r="F381" s="26">
        <v>0</v>
      </c>
      <c r="G381" s="26">
        <v>1</v>
      </c>
      <c r="H381" s="26">
        <v>2</v>
      </c>
      <c r="I381" s="26">
        <v>0</v>
      </c>
      <c r="J381" s="27"/>
      <c r="K381" s="27" t="s">
        <v>66</v>
      </c>
      <c r="L381" s="27" t="s">
        <v>138</v>
      </c>
      <c r="M381" s="28">
        <v>1</v>
      </c>
      <c r="N381" s="27" t="s">
        <v>67</v>
      </c>
      <c r="O381" s="28">
        <v>0</v>
      </c>
      <c r="P381" s="27" t="s">
        <v>500</v>
      </c>
      <c r="Q381" s="28">
        <v>0</v>
      </c>
      <c r="R381" s="27"/>
      <c r="S381" s="28">
        <v>0</v>
      </c>
      <c r="T381" s="27"/>
      <c r="U381" s="28">
        <v>0</v>
      </c>
    </row>
    <row r="382" spans="1:21" s="29" customFormat="1" x14ac:dyDescent="0.45">
      <c r="A382" s="26">
        <v>530</v>
      </c>
      <c r="B382" s="26">
        <v>1</v>
      </c>
      <c r="C382" s="26" t="s">
        <v>502</v>
      </c>
      <c r="D382" s="26" t="s">
        <v>503</v>
      </c>
      <c r="E382" s="26">
        <v>0</v>
      </c>
      <c r="F382" s="26">
        <v>531</v>
      </c>
      <c r="G382" s="26">
        <v>1</v>
      </c>
      <c r="H382" s="26">
        <v>2</v>
      </c>
      <c r="I382" s="26">
        <v>0</v>
      </c>
      <c r="J382" s="27"/>
      <c r="K382" s="27" t="s">
        <v>66</v>
      </c>
      <c r="L382" s="27" t="s">
        <v>357</v>
      </c>
      <c r="M382" s="28">
        <v>0</v>
      </c>
      <c r="N382" s="27" t="s">
        <v>504</v>
      </c>
      <c r="O382" s="28">
        <v>0</v>
      </c>
      <c r="P382" s="27" t="s">
        <v>67</v>
      </c>
      <c r="Q382" s="28">
        <v>0</v>
      </c>
      <c r="R382" s="27"/>
      <c r="S382" s="28">
        <v>0</v>
      </c>
      <c r="T382" s="27"/>
      <c r="U382" s="28">
        <v>0</v>
      </c>
    </row>
    <row r="383" spans="1:21" s="29" customFormat="1" x14ac:dyDescent="0.45">
      <c r="A383" s="26">
        <v>531</v>
      </c>
      <c r="B383" s="26">
        <v>1</v>
      </c>
      <c r="C383" s="26" t="s">
        <v>505</v>
      </c>
      <c r="D383" s="26" t="s">
        <v>505</v>
      </c>
      <c r="E383" s="26">
        <v>0</v>
      </c>
      <c r="F383" s="26">
        <v>0</v>
      </c>
      <c r="G383" s="26">
        <v>1</v>
      </c>
      <c r="H383" s="26">
        <v>2</v>
      </c>
      <c r="I383" s="26">
        <v>0</v>
      </c>
      <c r="J383" s="27"/>
      <c r="K383" s="27" t="s">
        <v>66</v>
      </c>
      <c r="L383" s="27"/>
      <c r="M383" s="28">
        <v>0</v>
      </c>
      <c r="N383" s="27"/>
      <c r="O383" s="28">
        <v>0</v>
      </c>
      <c r="P383" s="27"/>
      <c r="Q383" s="28">
        <v>0</v>
      </c>
      <c r="R383" s="27"/>
      <c r="S383" s="28">
        <v>0</v>
      </c>
      <c r="T383" s="27"/>
      <c r="U383" s="28">
        <v>0</v>
      </c>
    </row>
    <row r="384" spans="1:21" x14ac:dyDescent="0.45">
      <c r="A384" s="13">
        <v>532</v>
      </c>
      <c r="B384" s="13">
        <v>1</v>
      </c>
      <c r="C384" s="13" t="s">
        <v>506</v>
      </c>
      <c r="D384" s="13" t="s">
        <v>506</v>
      </c>
      <c r="E384" s="13">
        <v>0</v>
      </c>
      <c r="F384" s="13">
        <v>533</v>
      </c>
      <c r="G384" s="13">
        <v>1</v>
      </c>
      <c r="H384" s="13">
        <v>1</v>
      </c>
      <c r="I384" s="13">
        <v>0</v>
      </c>
      <c r="J384" s="11"/>
      <c r="K384" s="11" t="s">
        <v>66</v>
      </c>
      <c r="L384" s="11" t="s">
        <v>130</v>
      </c>
      <c r="M384" s="12">
        <v>0</v>
      </c>
      <c r="N384" s="11" t="s">
        <v>131</v>
      </c>
      <c r="O384" s="12">
        <v>0</v>
      </c>
      <c r="P384" s="11" t="s">
        <v>133</v>
      </c>
      <c r="Q384" s="12">
        <v>0</v>
      </c>
      <c r="R384" s="11" t="s">
        <v>134</v>
      </c>
      <c r="S384" s="12">
        <v>0</v>
      </c>
      <c r="T384" s="11" t="s">
        <v>435</v>
      </c>
      <c r="U384" s="12">
        <v>0</v>
      </c>
    </row>
    <row r="385" spans="1:21" x14ac:dyDescent="0.45">
      <c r="A385" s="13">
        <v>533</v>
      </c>
      <c r="B385" s="13">
        <v>1</v>
      </c>
      <c r="C385" s="13" t="s">
        <v>507</v>
      </c>
      <c r="D385" s="13" t="s">
        <v>507</v>
      </c>
      <c r="E385" s="13">
        <v>0</v>
      </c>
      <c r="F385" s="13">
        <v>533</v>
      </c>
      <c r="G385" s="13">
        <v>1</v>
      </c>
      <c r="H385" s="13">
        <v>1</v>
      </c>
      <c r="I385" s="13">
        <v>0</v>
      </c>
      <c r="J385" s="11"/>
      <c r="K385" s="11" t="s">
        <v>66</v>
      </c>
      <c r="L385" s="11"/>
      <c r="M385" s="12">
        <v>0</v>
      </c>
      <c r="N385" s="11"/>
      <c r="O385" s="12">
        <v>0</v>
      </c>
      <c r="P385" s="11"/>
      <c r="Q385" s="12">
        <v>0</v>
      </c>
      <c r="R385" s="11"/>
      <c r="S385" s="12">
        <v>0</v>
      </c>
      <c r="T385" s="11"/>
      <c r="U385" s="12">
        <v>0</v>
      </c>
    </row>
    <row r="386" spans="1:21" x14ac:dyDescent="0.45">
      <c r="A386" s="13">
        <v>534</v>
      </c>
      <c r="B386" s="13">
        <v>1</v>
      </c>
      <c r="C386" s="13" t="s">
        <v>508</v>
      </c>
      <c r="D386" s="13" t="s">
        <v>569</v>
      </c>
      <c r="E386" s="13">
        <v>0</v>
      </c>
      <c r="F386" s="13">
        <v>535</v>
      </c>
      <c r="G386" s="13">
        <v>0</v>
      </c>
      <c r="H386" s="13">
        <v>2</v>
      </c>
      <c r="I386" s="13">
        <v>0</v>
      </c>
      <c r="J386" s="11"/>
      <c r="K386" s="11" t="s">
        <v>66</v>
      </c>
      <c r="L386" s="11" t="s">
        <v>47</v>
      </c>
      <c r="M386" s="12">
        <v>1</v>
      </c>
      <c r="N386" s="11" t="s">
        <v>115</v>
      </c>
      <c r="O386" s="12">
        <v>0</v>
      </c>
      <c r="P386" s="11" t="s">
        <v>67</v>
      </c>
      <c r="Q386" s="12">
        <v>0</v>
      </c>
      <c r="R386" s="11" t="s">
        <v>348</v>
      </c>
      <c r="S386" s="12">
        <v>0</v>
      </c>
      <c r="T386" s="11" t="s">
        <v>349</v>
      </c>
      <c r="U386" s="12">
        <v>0</v>
      </c>
    </row>
    <row r="387" spans="1:21" x14ac:dyDescent="0.45">
      <c r="A387" s="13">
        <v>535</v>
      </c>
      <c r="B387" s="13">
        <v>1</v>
      </c>
      <c r="C387" s="13" t="s">
        <v>510</v>
      </c>
      <c r="D387" s="13" t="s">
        <v>509</v>
      </c>
      <c r="E387" s="13">
        <v>0</v>
      </c>
      <c r="F387" s="13">
        <v>0</v>
      </c>
      <c r="G387" s="13">
        <v>1</v>
      </c>
      <c r="H387" s="13">
        <v>2</v>
      </c>
      <c r="I387" s="13">
        <v>0</v>
      </c>
      <c r="J387" s="11"/>
      <c r="K387" s="11" t="s">
        <v>66</v>
      </c>
      <c r="L387" s="11"/>
      <c r="M387" s="12">
        <v>0</v>
      </c>
      <c r="N387" s="11"/>
      <c r="O387" s="12">
        <v>0</v>
      </c>
      <c r="P387" s="11"/>
      <c r="Q387" s="12">
        <v>0</v>
      </c>
      <c r="R387" s="11"/>
      <c r="S387" s="12">
        <v>0</v>
      </c>
      <c r="T387" s="11"/>
      <c r="U387" s="12">
        <v>0</v>
      </c>
    </row>
    <row r="388" spans="1:21" x14ac:dyDescent="0.45">
      <c r="A388" s="13">
        <v>536</v>
      </c>
      <c r="B388" s="13">
        <v>1</v>
      </c>
      <c r="C388" s="13" t="s">
        <v>511</v>
      </c>
      <c r="D388" s="13" t="s">
        <v>511</v>
      </c>
      <c r="E388" s="13">
        <v>0</v>
      </c>
      <c r="F388" s="13">
        <v>0</v>
      </c>
      <c r="G388" s="13">
        <v>0</v>
      </c>
      <c r="H388" s="13">
        <v>0</v>
      </c>
      <c r="I388" s="13">
        <v>0</v>
      </c>
      <c r="J388" s="11"/>
      <c r="K388" s="11" t="s">
        <v>66</v>
      </c>
      <c r="L388" s="11"/>
      <c r="M388" s="12">
        <v>0</v>
      </c>
      <c r="N388" s="11"/>
      <c r="O388" s="12">
        <v>0</v>
      </c>
      <c r="P388" s="11"/>
      <c r="Q388" s="12">
        <v>0</v>
      </c>
      <c r="R388" s="11"/>
      <c r="S388" s="12">
        <v>0</v>
      </c>
      <c r="T388" s="11"/>
      <c r="U388" s="12">
        <v>0</v>
      </c>
    </row>
    <row r="389" spans="1:21" x14ac:dyDescent="0.45">
      <c r="A389" s="13">
        <v>537</v>
      </c>
      <c r="B389" s="13">
        <v>1</v>
      </c>
      <c r="C389" s="13" t="s">
        <v>512</v>
      </c>
      <c r="D389" s="13" t="s">
        <v>512</v>
      </c>
      <c r="E389" s="13">
        <v>0</v>
      </c>
      <c r="F389" s="13">
        <v>0</v>
      </c>
      <c r="G389" s="13">
        <v>0</v>
      </c>
      <c r="H389" s="13">
        <v>0</v>
      </c>
      <c r="I389" s="13">
        <v>0</v>
      </c>
      <c r="J389" s="11"/>
      <c r="K389" s="11" t="s">
        <v>66</v>
      </c>
      <c r="L389" s="11"/>
      <c r="M389" s="12">
        <v>0</v>
      </c>
      <c r="N389" s="11"/>
      <c r="O389" s="12">
        <v>0</v>
      </c>
      <c r="P389" s="11"/>
      <c r="Q389" s="12">
        <v>0</v>
      </c>
      <c r="R389" s="11"/>
      <c r="S389" s="12">
        <v>0</v>
      </c>
      <c r="T389" s="11"/>
      <c r="U389" s="12">
        <v>0</v>
      </c>
    </row>
    <row r="390" spans="1:21" x14ac:dyDescent="0.45">
      <c r="A390" s="13">
        <v>538</v>
      </c>
      <c r="B390" s="13">
        <v>1</v>
      </c>
      <c r="C390" s="13" t="s">
        <v>513</v>
      </c>
      <c r="D390" s="13" t="s">
        <v>513</v>
      </c>
      <c r="E390" s="13">
        <v>0</v>
      </c>
      <c r="F390" s="13">
        <v>0</v>
      </c>
      <c r="G390" s="13">
        <v>0</v>
      </c>
      <c r="H390" s="13">
        <v>0</v>
      </c>
      <c r="I390" s="13">
        <v>0</v>
      </c>
      <c r="J390" s="11"/>
      <c r="K390" s="11" t="s">
        <v>66</v>
      </c>
      <c r="L390" s="11"/>
      <c r="M390" s="12">
        <v>0</v>
      </c>
      <c r="N390" s="11"/>
      <c r="O390" s="12">
        <v>0</v>
      </c>
      <c r="P390" s="11"/>
      <c r="Q390" s="12">
        <v>0</v>
      </c>
      <c r="R390" s="11"/>
      <c r="S390" s="12">
        <v>0</v>
      </c>
      <c r="T390" s="11"/>
      <c r="U390" s="12">
        <v>0</v>
      </c>
    </row>
    <row r="391" spans="1:21" x14ac:dyDescent="0.45">
      <c r="A391" s="13">
        <v>539</v>
      </c>
      <c r="B391" s="13">
        <v>1</v>
      </c>
      <c r="C391" s="13" t="s">
        <v>514</v>
      </c>
      <c r="D391" s="13" t="s">
        <v>514</v>
      </c>
      <c r="E391" s="13">
        <v>0</v>
      </c>
      <c r="F391" s="13">
        <v>0</v>
      </c>
      <c r="G391" s="13">
        <v>1</v>
      </c>
      <c r="H391" s="13">
        <v>0</v>
      </c>
      <c r="I391" s="13">
        <v>0</v>
      </c>
      <c r="J391" s="11"/>
      <c r="K391" s="11" t="s">
        <v>66</v>
      </c>
      <c r="L391" s="11"/>
      <c r="M391" s="12">
        <v>0</v>
      </c>
      <c r="N391" s="11"/>
      <c r="O391" s="12">
        <v>0</v>
      </c>
      <c r="P391" s="11"/>
      <c r="Q391" s="12">
        <v>0</v>
      </c>
      <c r="R391" s="11"/>
      <c r="S391" s="12">
        <v>0</v>
      </c>
      <c r="T391" s="11"/>
      <c r="U391" s="12">
        <v>0</v>
      </c>
    </row>
    <row r="392" spans="1:21" x14ac:dyDescent="0.45">
      <c r="A392" s="13">
        <v>540</v>
      </c>
      <c r="B392" s="13">
        <v>1</v>
      </c>
      <c r="C392" s="13" t="s">
        <v>515</v>
      </c>
      <c r="D392" s="13" t="s">
        <v>515</v>
      </c>
      <c r="E392" s="13">
        <v>0</v>
      </c>
      <c r="F392" s="13">
        <v>0</v>
      </c>
      <c r="G392" s="13">
        <v>1</v>
      </c>
      <c r="H392" s="13">
        <v>0</v>
      </c>
      <c r="I392" s="13">
        <v>0</v>
      </c>
      <c r="J392" s="11"/>
      <c r="K392" s="11" t="s">
        <v>66</v>
      </c>
      <c r="L392" s="11"/>
      <c r="M392" s="12">
        <v>0</v>
      </c>
      <c r="N392" s="11"/>
      <c r="O392" s="12">
        <v>0</v>
      </c>
      <c r="P392" s="11"/>
      <c r="Q392" s="12">
        <v>0</v>
      </c>
      <c r="R392" s="11"/>
      <c r="S392" s="12">
        <v>0</v>
      </c>
      <c r="T392" s="11"/>
      <c r="U392" s="12">
        <v>0</v>
      </c>
    </row>
    <row r="393" spans="1:21" s="29" customFormat="1" x14ac:dyDescent="0.45">
      <c r="A393" s="26">
        <v>541</v>
      </c>
      <c r="B393" s="26">
        <v>1</v>
      </c>
      <c r="C393" s="26" t="s">
        <v>516</v>
      </c>
      <c r="D393" s="26" t="s">
        <v>516</v>
      </c>
      <c r="E393" s="26">
        <v>0</v>
      </c>
      <c r="F393" s="26">
        <v>542</v>
      </c>
      <c r="G393" s="26">
        <v>1</v>
      </c>
      <c r="H393" s="26">
        <v>2</v>
      </c>
      <c r="I393" s="26">
        <v>0</v>
      </c>
      <c r="J393" s="27"/>
      <c r="K393" s="27" t="s">
        <v>66</v>
      </c>
      <c r="L393" s="27" t="s">
        <v>67</v>
      </c>
      <c r="M393" s="28">
        <v>0</v>
      </c>
      <c r="N393" s="27"/>
      <c r="O393" s="28">
        <v>0</v>
      </c>
      <c r="P393" s="27"/>
      <c r="Q393" s="28">
        <v>0</v>
      </c>
      <c r="R393" s="27"/>
      <c r="S393" s="28">
        <v>0</v>
      </c>
      <c r="T393" s="27"/>
      <c r="U393" s="28">
        <v>0</v>
      </c>
    </row>
    <row r="394" spans="1:21" s="29" customFormat="1" x14ac:dyDescent="0.45">
      <c r="A394" s="26">
        <v>542</v>
      </c>
      <c r="B394" s="26">
        <v>1</v>
      </c>
      <c r="C394" s="26" t="s">
        <v>517</v>
      </c>
      <c r="D394" s="26" t="s">
        <v>517</v>
      </c>
      <c r="E394" s="26">
        <v>0</v>
      </c>
      <c r="F394" s="26">
        <v>0</v>
      </c>
      <c r="G394" s="26">
        <v>1</v>
      </c>
      <c r="H394" s="26">
        <v>2</v>
      </c>
      <c r="I394" s="26">
        <v>0</v>
      </c>
      <c r="J394" s="27"/>
      <c r="K394" s="27" t="s">
        <v>66</v>
      </c>
      <c r="L394" s="27" t="s">
        <v>67</v>
      </c>
      <c r="M394" s="28">
        <v>0</v>
      </c>
      <c r="N394" s="27"/>
      <c r="O394" s="28">
        <v>0</v>
      </c>
      <c r="P394" s="27"/>
      <c r="Q394" s="28">
        <v>0</v>
      </c>
      <c r="R394" s="27"/>
      <c r="S394" s="28">
        <v>0</v>
      </c>
      <c r="T394" s="27"/>
      <c r="U394" s="28">
        <v>0</v>
      </c>
    </row>
    <row r="395" spans="1:21" x14ac:dyDescent="0.45">
      <c r="A395" s="13">
        <v>543</v>
      </c>
      <c r="B395" s="13">
        <v>1</v>
      </c>
      <c r="C395" s="13" t="s">
        <v>518</v>
      </c>
      <c r="D395" s="13" t="s">
        <v>518</v>
      </c>
      <c r="E395" s="13">
        <v>0</v>
      </c>
      <c r="F395" s="13">
        <v>0</v>
      </c>
      <c r="G395" s="13">
        <v>1</v>
      </c>
      <c r="H395" s="13">
        <v>2</v>
      </c>
      <c r="I395" s="13">
        <v>0</v>
      </c>
      <c r="J395" s="11"/>
      <c r="K395" s="11" t="s">
        <v>66</v>
      </c>
      <c r="L395" s="11" t="s">
        <v>311</v>
      </c>
      <c r="M395" s="12">
        <v>0</v>
      </c>
      <c r="N395" s="11"/>
      <c r="O395" s="12">
        <v>0</v>
      </c>
      <c r="P395" s="11"/>
      <c r="Q395" s="12">
        <v>0</v>
      </c>
      <c r="R395" s="11"/>
      <c r="S395" s="12">
        <v>0</v>
      </c>
      <c r="T395" s="11"/>
      <c r="U395" s="12">
        <v>0</v>
      </c>
    </row>
    <row r="396" spans="1:21" x14ac:dyDescent="0.45">
      <c r="A396" s="13">
        <v>544</v>
      </c>
      <c r="B396" s="13">
        <v>1</v>
      </c>
      <c r="C396" s="13" t="s">
        <v>519</v>
      </c>
      <c r="D396" s="13" t="s">
        <v>520</v>
      </c>
      <c r="E396" s="13">
        <v>0</v>
      </c>
      <c r="F396" s="13">
        <v>545</v>
      </c>
      <c r="G396" s="13">
        <v>3</v>
      </c>
      <c r="H396" s="13">
        <v>0</v>
      </c>
      <c r="I396" s="13">
        <v>0</v>
      </c>
      <c r="J396" s="11"/>
      <c r="K396" s="11" t="s">
        <v>66</v>
      </c>
      <c r="L396" s="11"/>
      <c r="M396" s="12">
        <v>0</v>
      </c>
      <c r="N396" s="11"/>
      <c r="O396" s="12">
        <v>0</v>
      </c>
      <c r="P396" s="11"/>
      <c r="Q396" s="12">
        <v>0</v>
      </c>
      <c r="R396" s="11"/>
      <c r="S396" s="12">
        <v>0</v>
      </c>
      <c r="T396" s="11"/>
      <c r="U396" s="12">
        <v>0</v>
      </c>
    </row>
    <row r="397" spans="1:21" x14ac:dyDescent="0.45">
      <c r="A397" s="13">
        <v>545</v>
      </c>
      <c r="B397" s="13">
        <v>1</v>
      </c>
      <c r="C397" s="13" t="s">
        <v>521</v>
      </c>
      <c r="D397" s="13" t="s">
        <v>522</v>
      </c>
      <c r="E397" s="13">
        <v>0</v>
      </c>
      <c r="F397" s="13">
        <v>545</v>
      </c>
      <c r="G397" s="13">
        <v>3</v>
      </c>
      <c r="H397" s="13">
        <v>0</v>
      </c>
      <c r="I397" s="13">
        <v>0</v>
      </c>
      <c r="J397" s="11"/>
      <c r="K397" s="11" t="s">
        <v>66</v>
      </c>
      <c r="L397" s="11"/>
      <c r="M397" s="12">
        <v>0</v>
      </c>
      <c r="N397" s="11"/>
      <c r="O397" s="12">
        <v>0</v>
      </c>
      <c r="P397" s="11"/>
      <c r="Q397" s="12">
        <v>0</v>
      </c>
      <c r="R397" s="11"/>
      <c r="S397" s="12">
        <v>0</v>
      </c>
      <c r="T397" s="11"/>
      <c r="U397" s="12">
        <v>0</v>
      </c>
    </row>
    <row r="398" spans="1:21" s="29" customFormat="1" x14ac:dyDescent="0.45">
      <c r="A398" s="26">
        <v>546</v>
      </c>
      <c r="B398" s="26">
        <v>1</v>
      </c>
      <c r="C398" s="26" t="s">
        <v>523</v>
      </c>
      <c r="D398" s="26" t="s">
        <v>523</v>
      </c>
      <c r="E398" s="26">
        <v>0</v>
      </c>
      <c r="F398" s="26">
        <v>547</v>
      </c>
      <c r="G398" s="26">
        <v>1</v>
      </c>
      <c r="H398" s="26">
        <v>0</v>
      </c>
      <c r="I398" s="26">
        <v>0</v>
      </c>
      <c r="J398" s="27"/>
      <c r="K398" s="27" t="s">
        <v>66</v>
      </c>
      <c r="L398" s="27" t="s">
        <v>524</v>
      </c>
      <c r="M398" s="28">
        <v>0</v>
      </c>
      <c r="N398" s="27" t="s">
        <v>67</v>
      </c>
      <c r="O398" s="28">
        <v>0</v>
      </c>
      <c r="P398" s="27"/>
      <c r="Q398" s="28">
        <v>0</v>
      </c>
      <c r="R398" s="27"/>
      <c r="S398" s="28">
        <v>0</v>
      </c>
      <c r="T398" s="27"/>
      <c r="U398" s="28">
        <v>0</v>
      </c>
    </row>
    <row r="399" spans="1:21" s="29" customFormat="1" x14ac:dyDescent="0.45">
      <c r="A399" s="26">
        <v>547</v>
      </c>
      <c r="B399" s="26">
        <v>1</v>
      </c>
      <c r="C399" s="26" t="s">
        <v>525</v>
      </c>
      <c r="D399" s="26" t="s">
        <v>525</v>
      </c>
      <c r="E399" s="26">
        <v>0</v>
      </c>
      <c r="F399" s="26">
        <v>0</v>
      </c>
      <c r="G399" s="26">
        <v>1</v>
      </c>
      <c r="H399" s="26">
        <v>0</v>
      </c>
      <c r="I399" s="26">
        <v>0</v>
      </c>
      <c r="J399" s="27"/>
      <c r="K399" s="27" t="s">
        <v>66</v>
      </c>
      <c r="L399" s="27" t="s">
        <v>524</v>
      </c>
      <c r="M399" s="28">
        <v>0</v>
      </c>
      <c r="N399" s="27" t="s">
        <v>67</v>
      </c>
      <c r="O399" s="28">
        <v>0</v>
      </c>
      <c r="P399" s="27"/>
      <c r="Q399" s="28">
        <v>0</v>
      </c>
      <c r="R399" s="27"/>
      <c r="S399" s="28">
        <v>0</v>
      </c>
      <c r="T399" s="27"/>
      <c r="U399" s="28">
        <v>0</v>
      </c>
    </row>
    <row r="400" spans="1:21" x14ac:dyDescent="0.45">
      <c r="A400" s="13">
        <v>548</v>
      </c>
      <c r="B400" s="13">
        <v>1</v>
      </c>
      <c r="C400" s="13" t="s">
        <v>526</v>
      </c>
      <c r="D400" s="13" t="s">
        <v>526</v>
      </c>
      <c r="E400" s="13">
        <v>0</v>
      </c>
      <c r="F400" s="13">
        <v>549</v>
      </c>
      <c r="G400" s="13">
        <v>1</v>
      </c>
      <c r="H400" s="13">
        <v>2</v>
      </c>
      <c r="I400" s="13">
        <v>16</v>
      </c>
      <c r="J400" s="11">
        <v>100</v>
      </c>
      <c r="K400" s="11" t="s">
        <v>37</v>
      </c>
      <c r="L400" s="11" t="s">
        <v>115</v>
      </c>
      <c r="M400" s="12">
        <v>0</v>
      </c>
      <c r="N400" s="11"/>
      <c r="O400" s="12">
        <v>0</v>
      </c>
      <c r="P400" s="11"/>
      <c r="Q400" s="12">
        <v>0</v>
      </c>
      <c r="R400" s="11"/>
      <c r="S400" s="12">
        <v>0</v>
      </c>
      <c r="T400" s="11"/>
      <c r="U400" s="12">
        <v>0</v>
      </c>
    </row>
    <row r="401" spans="1:21" x14ac:dyDescent="0.45">
      <c r="A401" s="13">
        <v>549</v>
      </c>
      <c r="B401" s="13">
        <v>1</v>
      </c>
      <c r="C401" s="13" t="s">
        <v>527</v>
      </c>
      <c r="D401" s="13" t="s">
        <v>527</v>
      </c>
      <c r="E401" s="13">
        <v>0</v>
      </c>
      <c r="F401" s="13">
        <v>549</v>
      </c>
      <c r="G401" s="13">
        <v>1</v>
      </c>
      <c r="H401" s="13">
        <v>2</v>
      </c>
      <c r="I401" s="13">
        <v>16</v>
      </c>
      <c r="J401" s="11">
        <v>100</v>
      </c>
      <c r="K401" s="11" t="s">
        <v>37</v>
      </c>
      <c r="L401" s="11" t="s">
        <v>115</v>
      </c>
      <c r="M401" s="12">
        <v>0</v>
      </c>
      <c r="N401" s="11"/>
      <c r="O401" s="12">
        <v>0</v>
      </c>
      <c r="P401" s="11"/>
      <c r="Q401" s="12">
        <v>0</v>
      </c>
      <c r="R401" s="11"/>
      <c r="S401" s="12">
        <v>0</v>
      </c>
      <c r="T401" s="11"/>
      <c r="U401" s="12">
        <v>0</v>
      </c>
    </row>
    <row r="402" spans="1:21" s="29" customFormat="1" x14ac:dyDescent="0.45">
      <c r="A402" s="26">
        <v>550</v>
      </c>
      <c r="B402" s="26">
        <v>1</v>
      </c>
      <c r="C402" s="26" t="s">
        <v>528</v>
      </c>
      <c r="D402" s="26" t="s">
        <v>529</v>
      </c>
      <c r="E402" s="26">
        <v>0</v>
      </c>
      <c r="F402" s="26">
        <v>551</v>
      </c>
      <c r="G402" s="26">
        <v>1</v>
      </c>
      <c r="H402" s="26">
        <v>2</v>
      </c>
      <c r="I402" s="26">
        <v>0</v>
      </c>
      <c r="J402" s="27"/>
      <c r="K402" s="27" t="s">
        <v>66</v>
      </c>
      <c r="L402" s="27" t="s">
        <v>47</v>
      </c>
      <c r="M402" s="28">
        <v>1</v>
      </c>
      <c r="N402" s="27" t="s">
        <v>67</v>
      </c>
      <c r="O402" s="28">
        <v>0</v>
      </c>
      <c r="P402" s="27" t="s">
        <v>529</v>
      </c>
      <c r="Q402" s="28">
        <v>0</v>
      </c>
      <c r="R402" s="27"/>
      <c r="S402" s="28">
        <v>0</v>
      </c>
      <c r="T402" s="27"/>
      <c r="U402" s="28">
        <v>0</v>
      </c>
    </row>
    <row r="403" spans="1:21" s="29" customFormat="1" x14ac:dyDescent="0.45">
      <c r="A403" s="26">
        <v>551</v>
      </c>
      <c r="B403" s="26">
        <v>0</v>
      </c>
      <c r="C403" s="26" t="s">
        <v>530</v>
      </c>
      <c r="D403" s="26" t="s">
        <v>530</v>
      </c>
      <c r="E403" s="26">
        <v>0</v>
      </c>
      <c r="F403" s="26">
        <v>0</v>
      </c>
      <c r="G403" s="26">
        <v>1</v>
      </c>
      <c r="H403" s="26">
        <v>2</v>
      </c>
      <c r="I403" s="26">
        <v>0</v>
      </c>
      <c r="J403" s="27"/>
      <c r="K403" s="27" t="s">
        <v>66</v>
      </c>
      <c r="L403" s="27" t="s">
        <v>47</v>
      </c>
      <c r="M403" s="28">
        <v>1</v>
      </c>
      <c r="N403" s="27" t="s">
        <v>67</v>
      </c>
      <c r="O403" s="28">
        <v>0</v>
      </c>
      <c r="P403" s="27" t="s">
        <v>155</v>
      </c>
      <c r="Q403" s="28">
        <v>0</v>
      </c>
      <c r="R403" s="27"/>
      <c r="S403" s="28">
        <v>0</v>
      </c>
      <c r="T403" s="27"/>
      <c r="U403" s="28">
        <v>0</v>
      </c>
    </row>
    <row r="404" spans="1:21" x14ac:dyDescent="0.45">
      <c r="A404" s="13">
        <v>552</v>
      </c>
      <c r="B404" s="13">
        <v>1</v>
      </c>
      <c r="C404" s="13" t="s">
        <v>531</v>
      </c>
      <c r="D404" s="13" t="s">
        <v>531</v>
      </c>
      <c r="E404" s="13">
        <v>0</v>
      </c>
      <c r="F404" s="13">
        <v>0</v>
      </c>
      <c r="G404" s="13">
        <v>1</v>
      </c>
      <c r="H404" s="13">
        <v>0</v>
      </c>
      <c r="I404" s="13">
        <v>0</v>
      </c>
      <c r="J404" s="11"/>
      <c r="K404" s="11" t="s">
        <v>66</v>
      </c>
      <c r="L404" s="11"/>
      <c r="M404" s="12">
        <v>0</v>
      </c>
      <c r="N404" s="11"/>
      <c r="O404" s="12">
        <v>0</v>
      </c>
      <c r="P404" s="11"/>
      <c r="Q404" s="12">
        <v>0</v>
      </c>
      <c r="R404" s="11"/>
      <c r="S404" s="12">
        <v>0</v>
      </c>
      <c r="T404" s="11"/>
      <c r="U404" s="12">
        <v>0</v>
      </c>
    </row>
    <row r="405" spans="1:21" s="29" customFormat="1" x14ac:dyDescent="0.45">
      <c r="A405" s="26">
        <v>553</v>
      </c>
      <c r="B405" s="26">
        <v>1</v>
      </c>
      <c r="C405" s="26" t="s">
        <v>532</v>
      </c>
      <c r="D405" s="26" t="s">
        <v>532</v>
      </c>
      <c r="E405" s="26">
        <v>0</v>
      </c>
      <c r="F405" s="26">
        <v>554</v>
      </c>
      <c r="G405" s="26">
        <v>1</v>
      </c>
      <c r="H405" s="26">
        <v>2</v>
      </c>
      <c r="I405" s="26">
        <v>30</v>
      </c>
      <c r="J405" s="27"/>
      <c r="K405" s="27" t="s">
        <v>66</v>
      </c>
      <c r="L405" s="27" t="s">
        <v>533</v>
      </c>
      <c r="M405" s="28">
        <v>0</v>
      </c>
      <c r="N405" s="27" t="s">
        <v>116</v>
      </c>
      <c r="O405" s="28">
        <v>0</v>
      </c>
      <c r="P405" s="27"/>
      <c r="Q405" s="28">
        <v>0</v>
      </c>
      <c r="R405" s="27"/>
      <c r="S405" s="28">
        <v>0</v>
      </c>
      <c r="T405" s="27"/>
      <c r="U405" s="28">
        <v>0</v>
      </c>
    </row>
    <row r="406" spans="1:21" s="29" customFormat="1" x14ac:dyDescent="0.45">
      <c r="A406" s="26">
        <v>554</v>
      </c>
      <c r="B406" s="26">
        <v>1</v>
      </c>
      <c r="C406" s="26" t="s">
        <v>532</v>
      </c>
      <c r="D406" s="26" t="s">
        <v>532</v>
      </c>
      <c r="E406" s="26">
        <v>0</v>
      </c>
      <c r="F406" s="26">
        <v>0</v>
      </c>
      <c r="G406" s="26">
        <v>1</v>
      </c>
      <c r="H406" s="26">
        <v>0</v>
      </c>
      <c r="I406" s="26">
        <v>0</v>
      </c>
      <c r="J406" s="27"/>
      <c r="K406" s="27" t="s">
        <v>66</v>
      </c>
      <c r="L406" s="27"/>
      <c r="M406" s="28">
        <v>0</v>
      </c>
      <c r="N406" s="27"/>
      <c r="O406" s="28">
        <v>0</v>
      </c>
      <c r="P406" s="27"/>
      <c r="Q406" s="28">
        <v>0</v>
      </c>
      <c r="R406" s="27"/>
      <c r="S406" s="28">
        <v>0</v>
      </c>
      <c r="T406" s="27"/>
      <c r="U406" s="28">
        <v>0</v>
      </c>
    </row>
    <row r="407" spans="1:21" x14ac:dyDescent="0.45">
      <c r="A407" s="13">
        <v>555</v>
      </c>
      <c r="B407" s="13">
        <v>1</v>
      </c>
      <c r="C407" s="13" t="s">
        <v>534</v>
      </c>
      <c r="D407" s="13" t="s">
        <v>534</v>
      </c>
      <c r="E407" s="13">
        <v>0</v>
      </c>
      <c r="F407" s="13">
        <v>556</v>
      </c>
      <c r="G407" s="13">
        <v>1</v>
      </c>
      <c r="H407" s="13">
        <v>2</v>
      </c>
      <c r="I407" s="13">
        <v>0</v>
      </c>
      <c r="J407" s="11"/>
      <c r="K407" s="11" t="s">
        <v>66</v>
      </c>
      <c r="L407" s="11" t="s">
        <v>47</v>
      </c>
      <c r="M407" s="12">
        <v>1</v>
      </c>
      <c r="N407" s="11" t="s">
        <v>535</v>
      </c>
      <c r="O407" s="12">
        <v>0</v>
      </c>
      <c r="P407" s="11" t="s">
        <v>536</v>
      </c>
      <c r="Q407" s="12">
        <v>0</v>
      </c>
      <c r="R407" s="11"/>
      <c r="S407" s="12">
        <v>0</v>
      </c>
      <c r="T407" s="11"/>
      <c r="U407" s="12">
        <v>0</v>
      </c>
    </row>
    <row r="408" spans="1:21" x14ac:dyDescent="0.45">
      <c r="A408" s="13">
        <v>556</v>
      </c>
      <c r="B408" s="13">
        <v>1</v>
      </c>
      <c r="C408" s="13" t="s">
        <v>537</v>
      </c>
      <c r="D408" s="13" t="s">
        <v>537</v>
      </c>
      <c r="E408" s="13">
        <v>0</v>
      </c>
      <c r="F408" s="13">
        <v>556</v>
      </c>
      <c r="G408" s="13">
        <v>1</v>
      </c>
      <c r="H408" s="13">
        <v>2</v>
      </c>
      <c r="I408" s="13">
        <v>0</v>
      </c>
      <c r="J408" s="11"/>
      <c r="K408" s="11" t="s">
        <v>66</v>
      </c>
      <c r="L408" s="11" t="s">
        <v>47</v>
      </c>
      <c r="M408" s="12">
        <v>0</v>
      </c>
      <c r="N408" s="11" t="s">
        <v>535</v>
      </c>
      <c r="O408" s="12">
        <v>0</v>
      </c>
      <c r="P408" s="11" t="s">
        <v>538</v>
      </c>
      <c r="Q408" s="12">
        <v>0</v>
      </c>
      <c r="R408" s="11"/>
      <c r="S408" s="12">
        <v>0</v>
      </c>
      <c r="T408" s="11"/>
      <c r="U408" s="12">
        <v>0</v>
      </c>
    </row>
    <row r="409" spans="1:21" x14ac:dyDescent="0.45">
      <c r="A409" s="13">
        <v>557</v>
      </c>
      <c r="B409" s="13">
        <v>0</v>
      </c>
      <c r="C409" s="13" t="s">
        <v>539</v>
      </c>
      <c r="D409" s="13" t="s">
        <v>539</v>
      </c>
      <c r="E409" s="13">
        <v>0</v>
      </c>
      <c r="F409" s="13">
        <v>0</v>
      </c>
      <c r="G409" s="13">
        <v>0</v>
      </c>
      <c r="H409" s="13">
        <v>0</v>
      </c>
      <c r="I409" s="13">
        <v>0</v>
      </c>
      <c r="J409" s="11"/>
      <c r="K409" s="11" t="s">
        <v>66</v>
      </c>
      <c r="L409" s="11"/>
      <c r="M409" s="12">
        <v>0</v>
      </c>
      <c r="N409" s="11"/>
      <c r="O409" s="12">
        <v>0</v>
      </c>
      <c r="P409" s="11"/>
      <c r="Q409" s="12">
        <v>0</v>
      </c>
      <c r="R409" s="11"/>
      <c r="S409" s="12">
        <v>0</v>
      </c>
      <c r="T409" s="11"/>
      <c r="U409" s="12">
        <v>0</v>
      </c>
    </row>
    <row r="410" spans="1:21" x14ac:dyDescent="0.45">
      <c r="A410" s="13">
        <v>558</v>
      </c>
      <c r="B410" s="13">
        <v>1</v>
      </c>
      <c r="C410" s="13" t="s">
        <v>540</v>
      </c>
      <c r="D410" s="13" t="s">
        <v>540</v>
      </c>
      <c r="E410" s="13">
        <v>0</v>
      </c>
      <c r="F410" s="13">
        <v>0</v>
      </c>
      <c r="G410" s="13">
        <v>1</v>
      </c>
      <c r="H410" s="13">
        <v>0</v>
      </c>
      <c r="I410" s="13">
        <v>80</v>
      </c>
      <c r="J410" s="11"/>
      <c r="K410" s="11" t="s">
        <v>66</v>
      </c>
      <c r="L410" s="11"/>
      <c r="M410" s="12">
        <v>0</v>
      </c>
      <c r="N410" s="11"/>
      <c r="O410" s="12">
        <v>0</v>
      </c>
      <c r="P410" s="11"/>
      <c r="Q410" s="12">
        <v>0</v>
      </c>
      <c r="R410" s="11"/>
      <c r="S410" s="12">
        <v>0</v>
      </c>
      <c r="T410" s="11"/>
      <c r="U410" s="12">
        <v>0</v>
      </c>
    </row>
    <row r="411" spans="1:21" x14ac:dyDescent="0.45">
      <c r="A411" s="13">
        <v>559</v>
      </c>
      <c r="B411" s="13">
        <v>1</v>
      </c>
      <c r="C411" s="13" t="s">
        <v>541</v>
      </c>
      <c r="D411" s="13" t="s">
        <v>541</v>
      </c>
      <c r="E411" s="13">
        <v>0</v>
      </c>
      <c r="F411" s="13">
        <v>0</v>
      </c>
      <c r="G411" s="13">
        <v>1</v>
      </c>
      <c r="H411" s="13">
        <v>0</v>
      </c>
      <c r="I411" s="13">
        <v>80</v>
      </c>
      <c r="J411" s="11"/>
      <c r="K411" s="11" t="s">
        <v>66</v>
      </c>
      <c r="L411" s="11"/>
      <c r="M411" s="12">
        <v>0</v>
      </c>
      <c r="N411" s="11"/>
      <c r="O411" s="12">
        <v>0</v>
      </c>
      <c r="P411" s="11"/>
      <c r="Q411" s="12">
        <v>0</v>
      </c>
      <c r="R411" s="11"/>
      <c r="S411" s="12">
        <v>0</v>
      </c>
      <c r="T411" s="11"/>
      <c r="U411" s="12">
        <v>0</v>
      </c>
    </row>
    <row r="412" spans="1:21" x14ac:dyDescent="0.45">
      <c r="A412" s="13">
        <v>560</v>
      </c>
      <c r="B412" s="13">
        <v>1</v>
      </c>
      <c r="C412" s="13" t="s">
        <v>542</v>
      </c>
      <c r="D412" s="13" t="s">
        <v>542</v>
      </c>
      <c r="E412" s="13">
        <v>0</v>
      </c>
      <c r="F412" s="13">
        <v>0</v>
      </c>
      <c r="G412" s="13">
        <v>1</v>
      </c>
      <c r="H412" s="13">
        <v>0</v>
      </c>
      <c r="I412" s="13">
        <v>80</v>
      </c>
      <c r="J412" s="11"/>
      <c r="K412" s="11" t="s">
        <v>66</v>
      </c>
      <c r="L412" s="11"/>
      <c r="M412" s="12">
        <v>0</v>
      </c>
      <c r="N412" s="11"/>
      <c r="O412" s="12">
        <v>0</v>
      </c>
      <c r="P412" s="11"/>
      <c r="Q412" s="12">
        <v>0</v>
      </c>
      <c r="R412" s="11"/>
      <c r="S412" s="12">
        <v>0</v>
      </c>
      <c r="T412" s="11"/>
      <c r="U412" s="12">
        <v>0</v>
      </c>
    </row>
    <row r="413" spans="1:21" x14ac:dyDescent="0.45">
      <c r="A413" s="13">
        <v>561</v>
      </c>
      <c r="B413" s="13">
        <v>1</v>
      </c>
      <c r="C413" s="13" t="s">
        <v>543</v>
      </c>
      <c r="D413" s="13" t="s">
        <v>543</v>
      </c>
      <c r="E413" s="13">
        <v>0</v>
      </c>
      <c r="F413" s="13">
        <v>0</v>
      </c>
      <c r="G413" s="13">
        <v>1</v>
      </c>
      <c r="H413" s="13">
        <v>0</v>
      </c>
      <c r="I413" s="13">
        <v>80</v>
      </c>
      <c r="J413" s="11"/>
      <c r="K413" s="11" t="s">
        <v>66</v>
      </c>
      <c r="L413" s="11"/>
      <c r="M413" s="12">
        <v>0</v>
      </c>
      <c r="N413" s="11"/>
      <c r="O413" s="12">
        <v>0</v>
      </c>
      <c r="P413" s="11"/>
      <c r="Q413" s="12">
        <v>0</v>
      </c>
      <c r="R413" s="11"/>
      <c r="S413" s="12">
        <v>0</v>
      </c>
      <c r="T413" s="11"/>
      <c r="U413" s="12">
        <v>0</v>
      </c>
    </row>
    <row r="414" spans="1:21" x14ac:dyDescent="0.45">
      <c r="A414" s="13">
        <v>562</v>
      </c>
      <c r="B414" s="13">
        <v>1</v>
      </c>
      <c r="C414" s="13" t="s">
        <v>544</v>
      </c>
      <c r="D414" s="13" t="s">
        <v>544</v>
      </c>
      <c r="E414" s="13">
        <v>0</v>
      </c>
      <c r="F414" s="13">
        <v>0</v>
      </c>
      <c r="G414" s="13">
        <v>1</v>
      </c>
      <c r="H414" s="13">
        <v>0</v>
      </c>
      <c r="I414" s="13">
        <v>0</v>
      </c>
      <c r="J414" s="11"/>
      <c r="K414" s="11" t="s">
        <v>66</v>
      </c>
      <c r="L414" s="11"/>
      <c r="M414" s="12">
        <v>0</v>
      </c>
      <c r="N414" s="11"/>
      <c r="O414" s="12">
        <v>0</v>
      </c>
      <c r="P414" s="11"/>
      <c r="Q414" s="12">
        <v>0</v>
      </c>
      <c r="R414" s="11"/>
      <c r="S414" s="12">
        <v>0</v>
      </c>
      <c r="T414" s="11"/>
      <c r="U414" s="12">
        <v>0</v>
      </c>
    </row>
    <row r="415" spans="1:21" x14ac:dyDescent="0.45">
      <c r="A415" s="13">
        <v>563</v>
      </c>
      <c r="B415" s="13">
        <v>1</v>
      </c>
      <c r="C415" s="13" t="s">
        <v>545</v>
      </c>
      <c r="D415" s="13" t="s">
        <v>546</v>
      </c>
      <c r="E415" s="13">
        <v>0</v>
      </c>
      <c r="F415" s="13">
        <v>564</v>
      </c>
      <c r="G415" s="13">
        <v>0</v>
      </c>
      <c r="H415" s="13">
        <v>0</v>
      </c>
      <c r="I415" s="13">
        <v>0</v>
      </c>
      <c r="J415" s="11"/>
      <c r="K415" s="11" t="s">
        <v>66</v>
      </c>
      <c r="L415" s="11"/>
      <c r="M415" s="12">
        <v>0</v>
      </c>
      <c r="N415" s="11"/>
      <c r="O415" s="12">
        <v>0</v>
      </c>
      <c r="P415" s="11"/>
      <c r="Q415" s="12">
        <v>0</v>
      </c>
      <c r="R415" s="11"/>
      <c r="S415" s="12">
        <v>0</v>
      </c>
      <c r="T415" s="11"/>
      <c r="U415" s="12">
        <v>0</v>
      </c>
    </row>
    <row r="416" spans="1:21" x14ac:dyDescent="0.45">
      <c r="A416" s="13">
        <v>564</v>
      </c>
      <c r="B416" s="13">
        <v>1</v>
      </c>
      <c r="C416" s="13" t="s">
        <v>547</v>
      </c>
      <c r="D416" s="13" t="s">
        <v>546</v>
      </c>
      <c r="E416" s="13">
        <v>0</v>
      </c>
      <c r="F416" s="13">
        <v>0</v>
      </c>
      <c r="G416" s="13">
        <v>0</v>
      </c>
      <c r="H416" s="13">
        <v>0</v>
      </c>
      <c r="I416" s="13">
        <v>0</v>
      </c>
      <c r="J416" s="11"/>
      <c r="K416" s="11" t="s">
        <v>66</v>
      </c>
      <c r="L416" s="11"/>
      <c r="M416" s="12">
        <v>0</v>
      </c>
      <c r="N416" s="11"/>
      <c r="O416" s="12">
        <v>0</v>
      </c>
      <c r="P416" s="11"/>
      <c r="Q416" s="12">
        <v>0</v>
      </c>
      <c r="R416" s="11"/>
      <c r="S416" s="12">
        <v>0</v>
      </c>
      <c r="T416" s="11"/>
      <c r="U416" s="12">
        <v>0</v>
      </c>
    </row>
    <row r="417" spans="1:21" x14ac:dyDescent="0.45">
      <c r="A417" s="13">
        <v>570</v>
      </c>
      <c r="B417" s="13">
        <v>1</v>
      </c>
      <c r="C417" s="13" t="s">
        <v>548</v>
      </c>
      <c r="D417" s="13" t="s">
        <v>548</v>
      </c>
      <c r="E417" s="13">
        <v>0</v>
      </c>
      <c r="F417" s="13">
        <v>0</v>
      </c>
      <c r="G417" s="13">
        <v>3</v>
      </c>
      <c r="H417" s="13">
        <v>2</v>
      </c>
      <c r="I417" s="13">
        <v>0</v>
      </c>
      <c r="J417" s="11"/>
      <c r="K417" s="11" t="s">
        <v>66</v>
      </c>
      <c r="L417" s="11" t="s">
        <v>322</v>
      </c>
      <c r="M417" s="12">
        <v>0</v>
      </c>
      <c r="N417" s="11"/>
      <c r="O417" s="12">
        <v>0</v>
      </c>
      <c r="P417" s="11"/>
      <c r="Q417" s="12">
        <v>0</v>
      </c>
      <c r="R417" s="11"/>
      <c r="S417" s="12">
        <v>0</v>
      </c>
      <c r="T417" s="11"/>
      <c r="U417" s="12">
        <v>0</v>
      </c>
    </row>
    <row r="418" spans="1:21" x14ac:dyDescent="0.45">
      <c r="A418" s="13">
        <v>571</v>
      </c>
      <c r="B418" s="13">
        <v>1</v>
      </c>
      <c r="C418" s="13" t="s">
        <v>549</v>
      </c>
      <c r="D418" s="13" t="s">
        <v>550</v>
      </c>
      <c r="E418" s="13">
        <v>0</v>
      </c>
      <c r="F418" s="13">
        <v>0</v>
      </c>
      <c r="G418" s="13">
        <v>3</v>
      </c>
      <c r="H418" s="13">
        <v>2</v>
      </c>
      <c r="I418" s="13">
        <v>0</v>
      </c>
      <c r="J418" s="11"/>
      <c r="K418" s="11" t="s">
        <v>66</v>
      </c>
      <c r="L418" s="11" t="s">
        <v>551</v>
      </c>
      <c r="M418" s="12">
        <v>0</v>
      </c>
      <c r="N418" s="11"/>
      <c r="O418" s="12">
        <v>0</v>
      </c>
      <c r="P418" s="11"/>
      <c r="Q418" s="12">
        <v>0</v>
      </c>
      <c r="R418" s="11"/>
      <c r="S418" s="12">
        <v>0</v>
      </c>
      <c r="T418" s="11"/>
      <c r="U418" s="12">
        <v>0</v>
      </c>
    </row>
    <row r="419" spans="1:21" x14ac:dyDescent="0.45">
      <c r="A419" s="13">
        <v>572</v>
      </c>
      <c r="B419" s="13">
        <v>1</v>
      </c>
      <c r="C419" s="13" t="s">
        <v>552</v>
      </c>
      <c r="D419" s="13" t="s">
        <v>552</v>
      </c>
      <c r="E419" s="13">
        <v>0</v>
      </c>
      <c r="F419" s="13">
        <v>0</v>
      </c>
      <c r="G419" s="13">
        <v>3</v>
      </c>
      <c r="H419" s="13">
        <v>2</v>
      </c>
      <c r="I419" s="13">
        <v>0</v>
      </c>
      <c r="J419" s="11"/>
      <c r="K419" s="11" t="s">
        <v>66</v>
      </c>
      <c r="L419" s="11" t="s">
        <v>553</v>
      </c>
      <c r="M419" s="12">
        <v>0</v>
      </c>
      <c r="N419" s="11"/>
      <c r="O419" s="12">
        <v>0</v>
      </c>
      <c r="P419" s="11"/>
      <c r="Q419" s="12">
        <v>0</v>
      </c>
      <c r="R419" s="11"/>
      <c r="S419" s="12">
        <v>0</v>
      </c>
      <c r="T419" s="11"/>
      <c r="U419" s="12">
        <v>0</v>
      </c>
    </row>
    <row r="420" spans="1:21" x14ac:dyDescent="0.45">
      <c r="A420" s="13">
        <v>573</v>
      </c>
      <c r="B420" s="13">
        <v>1</v>
      </c>
      <c r="C420" s="13" t="s">
        <v>554</v>
      </c>
      <c r="D420" s="13" t="s">
        <v>554</v>
      </c>
      <c r="E420" s="13">
        <v>0</v>
      </c>
      <c r="F420" s="13">
        <v>0</v>
      </c>
      <c r="G420" s="13">
        <v>3</v>
      </c>
      <c r="H420" s="13">
        <v>2</v>
      </c>
      <c r="I420" s="13">
        <v>0</v>
      </c>
      <c r="J420" s="11"/>
      <c r="K420" s="11" t="s">
        <v>66</v>
      </c>
      <c r="L420" s="11" t="s">
        <v>555</v>
      </c>
      <c r="M420" s="12">
        <v>0</v>
      </c>
      <c r="N420" s="11"/>
      <c r="O420" s="12">
        <v>0</v>
      </c>
      <c r="P420" s="11"/>
      <c r="Q420" s="12">
        <v>0</v>
      </c>
      <c r="R420" s="11"/>
      <c r="S420" s="12">
        <v>0</v>
      </c>
      <c r="T420" s="11"/>
      <c r="U420" s="12">
        <v>0</v>
      </c>
    </row>
    <row r="421" spans="1:21" x14ac:dyDescent="0.45">
      <c r="A421" s="13">
        <v>574</v>
      </c>
      <c r="B421" s="13">
        <v>1</v>
      </c>
      <c r="C421" s="13" t="s">
        <v>556</v>
      </c>
      <c r="D421" s="13" t="s">
        <v>556</v>
      </c>
      <c r="E421" s="13">
        <v>0</v>
      </c>
      <c r="F421" s="13">
        <v>0</v>
      </c>
      <c r="G421" s="13">
        <v>3</v>
      </c>
      <c r="H421" s="13">
        <v>2</v>
      </c>
      <c r="I421" s="13">
        <v>0</v>
      </c>
      <c r="J421" s="11"/>
      <c r="K421" s="11" t="s">
        <v>66</v>
      </c>
      <c r="L421" s="11" t="s">
        <v>557</v>
      </c>
      <c r="M421" s="12">
        <v>0</v>
      </c>
      <c r="N421" s="11"/>
      <c r="O421" s="12">
        <v>0</v>
      </c>
      <c r="P421" s="11"/>
      <c r="Q421" s="12">
        <v>0</v>
      </c>
      <c r="R421" s="11"/>
      <c r="S421" s="12">
        <v>0</v>
      </c>
      <c r="T421" s="11"/>
      <c r="U421" s="12">
        <v>0</v>
      </c>
    </row>
    <row r="422" spans="1:21" x14ac:dyDescent="0.45">
      <c r="A422" s="13">
        <v>575</v>
      </c>
      <c r="B422" s="13">
        <v>1</v>
      </c>
      <c r="C422" s="13" t="s">
        <v>508</v>
      </c>
      <c r="D422" s="13" t="s">
        <v>570</v>
      </c>
      <c r="E422" s="13">
        <v>0</v>
      </c>
      <c r="F422" s="13">
        <v>535</v>
      </c>
      <c r="G422" s="13">
        <v>0</v>
      </c>
      <c r="H422" s="13">
        <v>2</v>
      </c>
      <c r="I422" s="13">
        <v>0</v>
      </c>
      <c r="J422" s="11"/>
      <c r="K422" s="11" t="s">
        <v>66</v>
      </c>
      <c r="L422" s="11" t="s">
        <v>47</v>
      </c>
      <c r="M422" s="12">
        <v>1</v>
      </c>
      <c r="N422" s="11" t="s">
        <v>115</v>
      </c>
      <c r="O422" s="12">
        <v>0</v>
      </c>
      <c r="P422" s="11" t="s">
        <v>67</v>
      </c>
      <c r="Q422" s="12">
        <v>0</v>
      </c>
      <c r="R422" s="11" t="s">
        <v>348</v>
      </c>
      <c r="S422" s="12">
        <v>0</v>
      </c>
      <c r="T422" s="11" t="s">
        <v>349</v>
      </c>
      <c r="U422" s="12">
        <v>0</v>
      </c>
    </row>
    <row r="423" spans="1:21" s="29" customFormat="1" x14ac:dyDescent="0.45">
      <c r="A423" s="26">
        <v>600</v>
      </c>
      <c r="B423" s="26">
        <v>1</v>
      </c>
      <c r="C423" s="26" t="s">
        <v>558</v>
      </c>
      <c r="D423" s="26" t="s">
        <v>558</v>
      </c>
      <c r="E423" s="26">
        <v>0</v>
      </c>
      <c r="F423" s="26">
        <v>601</v>
      </c>
      <c r="G423" s="26">
        <v>1</v>
      </c>
      <c r="H423" s="26">
        <v>2</v>
      </c>
      <c r="I423" s="26">
        <v>0</v>
      </c>
      <c r="J423" s="27"/>
      <c r="K423" s="27" t="s">
        <v>66</v>
      </c>
      <c r="L423" s="27" t="s">
        <v>559</v>
      </c>
      <c r="M423" s="28">
        <v>0</v>
      </c>
      <c r="N423" s="27" t="s">
        <v>67</v>
      </c>
      <c r="O423" s="28">
        <v>0</v>
      </c>
      <c r="P423" s="27"/>
      <c r="Q423" s="28">
        <v>0</v>
      </c>
      <c r="R423" s="27"/>
      <c r="S423" s="28">
        <v>0</v>
      </c>
      <c r="T423" s="27"/>
      <c r="U423" s="28">
        <v>0</v>
      </c>
    </row>
    <row r="424" spans="1:21" s="29" customFormat="1" x14ac:dyDescent="0.45">
      <c r="A424" s="26">
        <v>601</v>
      </c>
      <c r="B424" s="26">
        <v>1</v>
      </c>
      <c r="C424" s="26" t="s">
        <v>560</v>
      </c>
      <c r="D424" s="26" t="s">
        <v>560</v>
      </c>
      <c r="E424" s="26">
        <v>0</v>
      </c>
      <c r="F424" s="26">
        <v>0</v>
      </c>
      <c r="G424" s="26">
        <v>1</v>
      </c>
      <c r="H424" s="26">
        <v>2</v>
      </c>
      <c r="I424" s="26">
        <v>0</v>
      </c>
      <c r="J424" s="27"/>
      <c r="K424" s="27" t="s">
        <v>66</v>
      </c>
      <c r="L424" s="27"/>
      <c r="M424" s="28">
        <v>0</v>
      </c>
      <c r="N424" s="27"/>
      <c r="O424" s="28">
        <v>0</v>
      </c>
      <c r="P424" s="27"/>
      <c r="Q424" s="28">
        <v>0</v>
      </c>
      <c r="R424" s="27"/>
      <c r="S424" s="28">
        <v>0</v>
      </c>
      <c r="T424" s="27"/>
      <c r="U424" s="28">
        <v>0</v>
      </c>
    </row>
    <row r="425" spans="1:21" x14ac:dyDescent="0.45">
      <c r="A425" s="13">
        <v>602</v>
      </c>
      <c r="B425" s="13">
        <v>0</v>
      </c>
      <c r="C425" s="13" t="s">
        <v>561</v>
      </c>
      <c r="D425" s="13" t="s">
        <v>561</v>
      </c>
      <c r="E425" s="13">
        <v>0</v>
      </c>
      <c r="F425" s="13">
        <v>0</v>
      </c>
      <c r="G425" s="13">
        <v>3</v>
      </c>
      <c r="H425" s="13">
        <v>0</v>
      </c>
      <c r="I425" s="13">
        <v>0</v>
      </c>
      <c r="J425" s="11"/>
      <c r="K425" s="11" t="s">
        <v>66</v>
      </c>
      <c r="L425" s="11"/>
      <c r="M425" s="12">
        <v>0</v>
      </c>
      <c r="N425" s="11"/>
      <c r="O425" s="12">
        <v>0</v>
      </c>
      <c r="P425" s="11"/>
      <c r="Q425" s="12">
        <v>0</v>
      </c>
      <c r="R425" s="11"/>
      <c r="S425" s="12">
        <v>0</v>
      </c>
      <c r="T425" s="11"/>
      <c r="U425" s="12">
        <v>0</v>
      </c>
    </row>
    <row r="426" spans="1:21" x14ac:dyDescent="0.45">
      <c r="A426" s="13">
        <v>603</v>
      </c>
      <c r="B426" s="13">
        <v>1</v>
      </c>
      <c r="C426" s="13" t="s">
        <v>430</v>
      </c>
      <c r="D426" s="13" t="s">
        <v>430</v>
      </c>
      <c r="E426" s="13">
        <v>0</v>
      </c>
      <c r="F426" s="13">
        <v>0</v>
      </c>
      <c r="G426" s="13">
        <v>1</v>
      </c>
      <c r="H426" s="13">
        <v>0</v>
      </c>
      <c r="I426" s="13">
        <v>0</v>
      </c>
      <c r="J426" s="11"/>
      <c r="K426" s="11" t="s">
        <v>66</v>
      </c>
      <c r="L426" s="11"/>
      <c r="M426" s="12">
        <v>0</v>
      </c>
      <c r="N426" s="11"/>
      <c r="O426" s="12">
        <v>0</v>
      </c>
      <c r="P426" s="11"/>
      <c r="Q426" s="12">
        <v>0</v>
      </c>
      <c r="R426" s="11"/>
      <c r="S426" s="12">
        <v>0</v>
      </c>
      <c r="T426" s="11"/>
      <c r="U426" s="12">
        <v>0</v>
      </c>
    </row>
    <row r="427" spans="1:21" x14ac:dyDescent="0.45">
      <c r="A427" s="13">
        <v>604</v>
      </c>
      <c r="B427" s="13">
        <v>1</v>
      </c>
      <c r="C427" s="13" t="s">
        <v>562</v>
      </c>
      <c r="D427" s="13" t="s">
        <v>562</v>
      </c>
      <c r="E427" s="13">
        <v>0</v>
      </c>
      <c r="F427" s="13">
        <v>0</v>
      </c>
      <c r="G427" s="13">
        <v>1</v>
      </c>
      <c r="H427" s="13">
        <v>0</v>
      </c>
      <c r="I427" s="13">
        <v>0</v>
      </c>
      <c r="J427" s="11"/>
      <c r="K427" s="11" t="s">
        <v>66</v>
      </c>
      <c r="L427" s="11"/>
      <c r="M427" s="12">
        <v>0</v>
      </c>
      <c r="N427" s="11"/>
      <c r="O427" s="12">
        <v>0</v>
      </c>
      <c r="P427" s="11"/>
      <c r="Q427" s="12">
        <v>0</v>
      </c>
      <c r="R427" s="11"/>
      <c r="S427" s="12">
        <v>0</v>
      </c>
      <c r="T427" s="11"/>
      <c r="U427" s="12">
        <v>0</v>
      </c>
    </row>
    <row r="428" spans="1:21" x14ac:dyDescent="0.45">
      <c r="A428" s="13">
        <v>605</v>
      </c>
      <c r="B428" s="13">
        <v>1</v>
      </c>
      <c r="C428" s="13" t="s">
        <v>563</v>
      </c>
      <c r="D428" s="13" t="s">
        <v>563</v>
      </c>
      <c r="E428" s="13">
        <v>0</v>
      </c>
      <c r="F428" s="13">
        <v>606</v>
      </c>
      <c r="G428" s="13">
        <v>1</v>
      </c>
      <c r="H428" s="13">
        <v>0</v>
      </c>
      <c r="I428" s="13">
        <v>0</v>
      </c>
      <c r="J428" s="11"/>
      <c r="K428" s="11" t="s">
        <v>66</v>
      </c>
      <c r="L428" s="11"/>
      <c r="M428" s="12">
        <v>0</v>
      </c>
      <c r="N428" s="11"/>
      <c r="O428" s="12">
        <v>0</v>
      </c>
      <c r="P428" s="11"/>
      <c r="Q428" s="12">
        <v>0</v>
      </c>
      <c r="R428" s="11"/>
      <c r="S428" s="12">
        <v>0</v>
      </c>
      <c r="T428" s="11"/>
      <c r="U428" s="12">
        <v>0</v>
      </c>
    </row>
    <row r="429" spans="1:21" x14ac:dyDescent="0.45">
      <c r="A429" s="13">
        <v>606</v>
      </c>
      <c r="B429" s="13">
        <v>1</v>
      </c>
      <c r="C429" s="13" t="s">
        <v>563</v>
      </c>
      <c r="D429" s="13" t="s">
        <v>563</v>
      </c>
      <c r="E429" s="13">
        <v>0</v>
      </c>
      <c r="F429" s="13">
        <v>0</v>
      </c>
      <c r="G429" s="13">
        <v>1</v>
      </c>
      <c r="H429" s="13">
        <v>0</v>
      </c>
      <c r="I429" s="13">
        <v>0</v>
      </c>
      <c r="J429" s="11"/>
      <c r="K429" s="11" t="s">
        <v>66</v>
      </c>
      <c r="L429" s="11"/>
      <c r="M429" s="12">
        <v>0</v>
      </c>
      <c r="N429" s="11"/>
      <c r="O429" s="12">
        <v>0</v>
      </c>
      <c r="P429" s="11"/>
      <c r="Q429" s="12">
        <v>0</v>
      </c>
      <c r="R429" s="11"/>
      <c r="S429" s="12">
        <v>0</v>
      </c>
      <c r="T429" s="11"/>
      <c r="U429" s="12">
        <v>0</v>
      </c>
    </row>
    <row r="430" spans="1:21" x14ac:dyDescent="0.45">
      <c r="A430" s="13">
        <v>607</v>
      </c>
      <c r="B430" s="13">
        <v>1</v>
      </c>
      <c r="C430" s="13" t="s">
        <v>564</v>
      </c>
      <c r="D430" s="13" t="s">
        <v>564</v>
      </c>
      <c r="E430" s="13">
        <v>0</v>
      </c>
      <c r="F430" s="13">
        <v>608</v>
      </c>
      <c r="G430" s="13">
        <v>0</v>
      </c>
      <c r="H430" s="13">
        <v>1</v>
      </c>
      <c r="I430" s="13">
        <v>0</v>
      </c>
      <c r="J430" s="11"/>
      <c r="K430" s="11" t="s">
        <v>66</v>
      </c>
      <c r="L430" s="11" t="s">
        <v>47</v>
      </c>
      <c r="M430" s="12">
        <v>1</v>
      </c>
      <c r="N430" s="11" t="s">
        <v>115</v>
      </c>
      <c r="O430" s="12">
        <v>0</v>
      </c>
      <c r="P430" s="11" t="s">
        <v>67</v>
      </c>
      <c r="Q430" s="12">
        <v>0</v>
      </c>
      <c r="R430" s="11" t="s">
        <v>348</v>
      </c>
      <c r="S430" s="12">
        <v>0</v>
      </c>
      <c r="T430" s="11" t="s">
        <v>349</v>
      </c>
      <c r="U430" s="12">
        <v>0</v>
      </c>
    </row>
    <row r="431" spans="1:21" x14ac:dyDescent="0.45">
      <c r="A431" s="13">
        <v>608</v>
      </c>
      <c r="B431" s="13">
        <v>1</v>
      </c>
      <c r="C431" s="13" t="s">
        <v>564</v>
      </c>
      <c r="D431" s="13" t="s">
        <v>564</v>
      </c>
      <c r="E431" s="13">
        <v>0</v>
      </c>
      <c r="F431" s="13">
        <v>0</v>
      </c>
      <c r="G431" s="13">
        <v>1</v>
      </c>
      <c r="H431" s="13">
        <v>2</v>
      </c>
      <c r="I431" s="13">
        <v>0</v>
      </c>
      <c r="J431" s="11"/>
      <c r="K431" s="11" t="s">
        <v>66</v>
      </c>
      <c r="L431" s="11"/>
      <c r="M431" s="12">
        <v>0</v>
      </c>
      <c r="N431" s="11"/>
      <c r="O431" s="12">
        <v>0</v>
      </c>
      <c r="P431" s="11"/>
      <c r="Q431" s="12">
        <v>0</v>
      </c>
      <c r="R431" s="11"/>
      <c r="S431" s="12">
        <v>0</v>
      </c>
      <c r="T431" s="11"/>
      <c r="U431" s="12">
        <v>0</v>
      </c>
    </row>
    <row r="432" spans="1:21" x14ac:dyDescent="0.45">
      <c r="A432" s="13">
        <v>609</v>
      </c>
      <c r="B432" s="13">
        <v>1</v>
      </c>
      <c r="C432" s="13" t="s">
        <v>565</v>
      </c>
      <c r="D432" s="13" t="s">
        <v>565</v>
      </c>
      <c r="E432" s="13">
        <v>0</v>
      </c>
      <c r="F432" s="13">
        <v>610</v>
      </c>
      <c r="G432" s="13">
        <v>0</v>
      </c>
      <c r="H432" s="13">
        <v>1</v>
      </c>
      <c r="I432" s="13">
        <v>0</v>
      </c>
      <c r="J432" s="11"/>
      <c r="K432" s="11" t="s">
        <v>66</v>
      </c>
      <c r="L432" s="11" t="s">
        <v>47</v>
      </c>
      <c r="M432" s="12">
        <v>1</v>
      </c>
      <c r="N432" s="11" t="s">
        <v>115</v>
      </c>
      <c r="O432" s="12">
        <v>0</v>
      </c>
      <c r="P432" s="11" t="s">
        <v>67</v>
      </c>
      <c r="Q432" s="12">
        <v>0</v>
      </c>
      <c r="R432" s="11" t="s">
        <v>348</v>
      </c>
      <c r="S432" s="12">
        <v>0</v>
      </c>
      <c r="T432" s="11" t="s">
        <v>349</v>
      </c>
      <c r="U432" s="12">
        <v>0</v>
      </c>
    </row>
    <row r="433" spans="1:21" x14ac:dyDescent="0.45">
      <c r="A433" s="13">
        <v>610</v>
      </c>
      <c r="B433" s="13">
        <v>1</v>
      </c>
      <c r="C433" s="13" t="s">
        <v>565</v>
      </c>
      <c r="D433" s="13" t="s">
        <v>565</v>
      </c>
      <c r="E433" s="13">
        <v>0</v>
      </c>
      <c r="F433" s="13">
        <v>0</v>
      </c>
      <c r="G433" s="13">
        <v>1</v>
      </c>
      <c r="H433" s="13">
        <v>2</v>
      </c>
      <c r="I433" s="13">
        <v>0</v>
      </c>
      <c r="J433" s="11"/>
      <c r="K433" s="11" t="s">
        <v>66</v>
      </c>
      <c r="L433" s="11"/>
      <c r="M433" s="12">
        <v>0</v>
      </c>
      <c r="N433" s="11"/>
      <c r="O433" s="12">
        <v>0</v>
      </c>
      <c r="P433" s="11"/>
      <c r="Q433" s="12">
        <v>0</v>
      </c>
      <c r="R433" s="11"/>
      <c r="S433" s="12">
        <v>0</v>
      </c>
      <c r="T433" s="11"/>
      <c r="U433" s="12">
        <v>0</v>
      </c>
    </row>
    <row r="434" spans="1:21" x14ac:dyDescent="0.45">
      <c r="A434" s="13">
        <v>611</v>
      </c>
      <c r="B434" s="13">
        <v>1</v>
      </c>
      <c r="C434" s="13" t="s">
        <v>566</v>
      </c>
      <c r="D434" s="13" t="s">
        <v>566</v>
      </c>
      <c r="E434" s="13">
        <v>0</v>
      </c>
      <c r="F434" s="13">
        <v>612</v>
      </c>
      <c r="G434" s="13">
        <v>0</v>
      </c>
      <c r="H434" s="13">
        <v>1</v>
      </c>
      <c r="I434" s="13">
        <v>0</v>
      </c>
      <c r="J434" s="11"/>
      <c r="K434" s="11" t="s">
        <v>66</v>
      </c>
      <c r="L434" s="11"/>
      <c r="M434" s="12">
        <v>0</v>
      </c>
      <c r="N434" s="11"/>
      <c r="O434" s="12">
        <v>0</v>
      </c>
      <c r="P434" s="11"/>
      <c r="Q434" s="12">
        <v>0</v>
      </c>
      <c r="R434" s="11"/>
      <c r="S434" s="12">
        <v>0</v>
      </c>
      <c r="T434" s="11"/>
      <c r="U434" s="12">
        <v>0</v>
      </c>
    </row>
    <row r="435" spans="1:21" x14ac:dyDescent="0.45">
      <c r="A435" s="13">
        <v>612</v>
      </c>
      <c r="B435" s="13">
        <v>1</v>
      </c>
      <c r="C435" s="13" t="s">
        <v>566</v>
      </c>
      <c r="D435" s="13" t="s">
        <v>566</v>
      </c>
      <c r="E435" s="13">
        <v>0</v>
      </c>
      <c r="F435" s="13">
        <v>0</v>
      </c>
      <c r="G435" s="13">
        <v>1</v>
      </c>
      <c r="H435" s="13">
        <v>2</v>
      </c>
      <c r="I435" s="13">
        <v>0</v>
      </c>
      <c r="J435" s="11"/>
      <c r="K435" s="11" t="s">
        <v>66</v>
      </c>
      <c r="L435" s="11"/>
      <c r="M435" s="12">
        <v>0</v>
      </c>
      <c r="N435" s="11"/>
      <c r="O435" s="12">
        <v>0</v>
      </c>
      <c r="P435" s="11"/>
      <c r="Q435" s="12">
        <v>0</v>
      </c>
      <c r="R435" s="11"/>
      <c r="S435" s="12">
        <v>0</v>
      </c>
      <c r="T435" s="11"/>
      <c r="U435" s="12">
        <v>0</v>
      </c>
    </row>
    <row r="436" spans="1:21" x14ac:dyDescent="0.45">
      <c r="A436" s="13">
        <v>613</v>
      </c>
      <c r="B436" s="13">
        <v>1</v>
      </c>
      <c r="C436" s="13" t="s">
        <v>338</v>
      </c>
      <c r="D436" s="13" t="s">
        <v>338</v>
      </c>
      <c r="E436" s="13">
        <v>0</v>
      </c>
      <c r="F436" s="13">
        <v>0</v>
      </c>
      <c r="G436" s="13">
        <v>1</v>
      </c>
      <c r="H436" s="13">
        <v>0</v>
      </c>
      <c r="I436" s="13">
        <v>42</v>
      </c>
      <c r="J436" s="11"/>
      <c r="K436" s="11" t="s">
        <v>66</v>
      </c>
      <c r="L436" s="11"/>
      <c r="M436" s="12">
        <v>0</v>
      </c>
      <c r="N436" s="11"/>
      <c r="O436" s="12">
        <v>0</v>
      </c>
      <c r="P436" s="11"/>
      <c r="Q436" s="12">
        <v>0</v>
      </c>
      <c r="R436" s="11"/>
      <c r="S436" s="12">
        <v>0</v>
      </c>
      <c r="T436" s="11"/>
      <c r="U436" s="12">
        <v>0</v>
      </c>
    </row>
    <row r="437" spans="1:21" x14ac:dyDescent="0.45">
      <c r="A437" s="13">
        <v>614</v>
      </c>
      <c r="B437" s="13">
        <v>1</v>
      </c>
      <c r="C437" s="13" t="s">
        <v>567</v>
      </c>
      <c r="D437" s="13" t="s">
        <v>567</v>
      </c>
      <c r="E437" s="13">
        <v>0</v>
      </c>
      <c r="F437" s="13">
        <v>0</v>
      </c>
      <c r="G437" s="13">
        <v>1</v>
      </c>
      <c r="H437" s="13">
        <v>1</v>
      </c>
      <c r="I437" s="13">
        <v>80</v>
      </c>
      <c r="J437" s="11"/>
      <c r="K437" s="11" t="s">
        <v>66</v>
      </c>
      <c r="L437" s="11"/>
      <c r="M437" s="12">
        <v>0</v>
      </c>
      <c r="N437" s="11"/>
      <c r="O437" s="12">
        <v>0</v>
      </c>
      <c r="P437" s="11"/>
      <c r="Q437" s="12">
        <v>0</v>
      </c>
      <c r="R437" s="11"/>
      <c r="S437" s="12">
        <v>0</v>
      </c>
      <c r="T437" s="11"/>
      <c r="U437" s="12">
        <v>0</v>
      </c>
    </row>
    <row r="438" spans="1:21" x14ac:dyDescent="0.45">
      <c r="A438" s="10">
        <v>615</v>
      </c>
      <c r="B438" s="10">
        <v>0</v>
      </c>
      <c r="C438" s="10" t="s">
        <v>568</v>
      </c>
      <c r="D438" s="10" t="s">
        <v>568</v>
      </c>
      <c r="E438" s="10">
        <v>0</v>
      </c>
      <c r="F438" s="10">
        <v>0</v>
      </c>
      <c r="G438" s="10">
        <v>0</v>
      </c>
      <c r="H438" s="10">
        <v>0</v>
      </c>
      <c r="I438" s="10">
        <v>0</v>
      </c>
      <c r="J438" s="8"/>
      <c r="K438" s="10" t="s">
        <v>66</v>
      </c>
      <c r="L438" s="8"/>
      <c r="M438" s="9">
        <v>0</v>
      </c>
      <c r="N438" s="8"/>
      <c r="O438" s="9">
        <v>0</v>
      </c>
      <c r="P438" s="8"/>
      <c r="Q438" s="9">
        <v>0</v>
      </c>
      <c r="R438" s="8"/>
      <c r="S438" s="9">
        <v>0</v>
      </c>
      <c r="T438" s="8"/>
      <c r="U438" s="9">
        <v>0</v>
      </c>
    </row>
  </sheetData>
  <phoneticPr fontId="1"/>
  <pageMargins left="0.7" right="0.7" top="0.75" bottom="0.75" header="0.3" footer="0.3"/>
  <pageSetup paperSize="9" orientation="portrait" horizontalDpi="1200" verticalDpi="12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貼り付け用</vt:lpstr>
      <vt:lpstr>数出表_Excel</vt:lpstr>
      <vt:lpstr>数出表_Excel（アレルギー入力）</vt:lpstr>
      <vt:lpstr>まとめ札</vt:lpstr>
      <vt:lpstr>先生札</vt:lpstr>
      <vt:lpstr>社食等の札</vt:lpstr>
      <vt:lpstr>盛付札（関数）</vt:lpstr>
      <vt:lpstr>札_まとめ（印刷用）</vt:lpstr>
      <vt:lpstr>商品マスタ一覧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優 井崎</dc:creator>
  <cp:lastModifiedBy>井﨑 優</cp:lastModifiedBy>
  <cp:lastPrinted>2025-04-23T16:56:50Z</cp:lastPrinted>
  <dcterms:created xsi:type="dcterms:W3CDTF">2025-03-09T00:44:18Z</dcterms:created>
  <dcterms:modified xsi:type="dcterms:W3CDTF">2025-04-29T02:36:37Z</dcterms:modified>
</cp:coreProperties>
</file>