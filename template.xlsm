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6839CCBE-51CA-448D-B180-204E603E2227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6" state="hidden" r:id="rId5"/>
    <sheet name="先生札" sheetId="7" state="hidden" r:id="rId6"/>
    <sheet name="社食等の札" sheetId="8" state="hidden" r:id="rId7"/>
    <sheet name="数出表_Excel（アレルギー入力）" sheetId="5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2" i="9" l="1" a="1"/>
  <c r="C202" i="9" s="1"/>
  <c r="I202" i="9" s="1" a="1"/>
  <c r="I202" i="9" s="1"/>
  <c r="C203" i="9" a="1"/>
  <c r="C203" i="9" s="1"/>
  <c r="I203" i="9" s="1" a="1"/>
  <c r="I203" i="9" s="1"/>
  <c r="C204" i="9" a="1"/>
  <c r="C204" i="9" s="1"/>
  <c r="I204" i="9" s="1" a="1"/>
  <c r="I204" i="9" s="1"/>
  <c r="C205" i="9" a="1"/>
  <c r="C205" i="9" s="1"/>
  <c r="I205" i="9" s="1" a="1"/>
  <c r="I205" i="9" s="1"/>
  <c r="C206" i="9" a="1"/>
  <c r="C206" i="9" s="1"/>
  <c r="I206" i="9" s="1" a="1"/>
  <c r="I206" i="9" s="1"/>
  <c r="C207" i="9" a="1"/>
  <c r="C207" i="9" s="1"/>
  <c r="I207" i="9" s="1" a="1"/>
  <c r="I207" i="9" s="1"/>
  <c r="C208" i="9" a="1"/>
  <c r="C208" i="9" s="1"/>
  <c r="D208" i="9" s="1" a="1"/>
  <c r="D208" i="9" s="1"/>
  <c r="F208" i="9" s="1" a="1"/>
  <c r="F208" i="9" s="1"/>
  <c r="G208" i="9" s="1"/>
  <c r="C209" i="9" a="1"/>
  <c r="C209" i="9" s="1"/>
  <c r="I209" i="9" s="1" a="1"/>
  <c r="I209" i="9" s="1"/>
  <c r="C210" i="9" a="1"/>
  <c r="C210" i="9" s="1"/>
  <c r="H210" i="9" s="1" a="1"/>
  <c r="H210" i="9" s="1"/>
  <c r="C62" i="9" a="1"/>
  <c r="C62" i="9" s="1"/>
  <c r="C63" i="9" a="1"/>
  <c r="C63" i="9" s="1"/>
  <c r="C64" i="9" a="1"/>
  <c r="C64" i="9" s="1"/>
  <c r="C65" i="9" a="1"/>
  <c r="C65" i="9" s="1"/>
  <c r="C66" i="9" a="1"/>
  <c r="C66" i="9" s="1"/>
  <c r="C67" i="9" a="1"/>
  <c r="C67" i="9" s="1"/>
  <c r="C68" i="9" a="1"/>
  <c r="C68" i="9" s="1"/>
  <c r="C69" i="9" a="1"/>
  <c r="C69" i="9" s="1"/>
  <c r="C70" i="9" a="1"/>
  <c r="C70" i="9" s="1"/>
  <c r="C132" i="9" a="1"/>
  <c r="C132" i="9" s="1"/>
  <c r="M132" i="9" s="1" a="1"/>
  <c r="M132" i="9" s="1"/>
  <c r="C133" i="9" a="1"/>
  <c r="C133" i="9" s="1"/>
  <c r="D133" i="9" s="1" a="1"/>
  <c r="D133" i="9" s="1"/>
  <c r="F133" i="9" s="1" a="1"/>
  <c r="F133" i="9" s="1"/>
  <c r="G133" i="9" s="1"/>
  <c r="C134" i="9" a="1"/>
  <c r="C134" i="9" s="1"/>
  <c r="D134" i="9" s="1" a="1"/>
  <c r="D134" i="9" s="1"/>
  <c r="F134" i="9" s="1" a="1"/>
  <c r="F134" i="9" s="1"/>
  <c r="G134" i="9" s="1"/>
  <c r="C135" i="9" a="1"/>
  <c r="C135" i="9" s="1"/>
  <c r="H135" i="9" s="1" a="1"/>
  <c r="H135" i="9" s="1"/>
  <c r="C136" i="9" a="1"/>
  <c r="C136" i="9" s="1"/>
  <c r="Q136" i="9" s="1"/>
  <c r="P136" i="9" s="1"/>
  <c r="C137" i="9" a="1"/>
  <c r="C137" i="9" s="1"/>
  <c r="C138" i="9" a="1"/>
  <c r="C138" i="9" s="1"/>
  <c r="K138" i="9" s="1"/>
  <c r="C139" i="9" a="1"/>
  <c r="C139" i="9" s="1"/>
  <c r="C140" i="9" a="1"/>
  <c r="C140" i="9" s="1"/>
  <c r="D140" i="9" s="1" a="1"/>
  <c r="D140" i="9" s="1"/>
  <c r="F140" i="9" s="1" a="1"/>
  <c r="F140" i="9" s="1"/>
  <c r="G140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I208" i="9" l="1" a="1"/>
  <c r="I208" i="9" s="1"/>
  <c r="I210" i="9" a="1"/>
  <c r="I210" i="9" s="1"/>
  <c r="J205" i="9"/>
  <c r="K205" i="9"/>
  <c r="Q205" i="9"/>
  <c r="P205" i="9" s="1"/>
  <c r="H203" i="9" a="1"/>
  <c r="H203" i="9" s="1"/>
  <c r="E203" i="9" s="1"/>
  <c r="M203" i="9" a="1"/>
  <c r="M203" i="9" s="1"/>
  <c r="M210" i="9" a="1"/>
  <c r="M210" i="9" s="1"/>
  <c r="J206" i="9"/>
  <c r="K206" i="9"/>
  <c r="Q206" i="9"/>
  <c r="P206" i="9" s="1"/>
  <c r="M206" i="9" a="1"/>
  <c r="M206" i="9" s="1"/>
  <c r="H206" i="9" a="1"/>
  <c r="H206" i="9" s="1"/>
  <c r="D206" i="9" a="1"/>
  <c r="D206" i="9" s="1"/>
  <c r="F206" i="9" s="1" a="1"/>
  <c r="F206" i="9" s="1"/>
  <c r="G206" i="9" s="1"/>
  <c r="J207" i="9"/>
  <c r="K207" i="9"/>
  <c r="Q207" i="9"/>
  <c r="P207" i="9" s="1"/>
  <c r="M207" i="9" a="1"/>
  <c r="M207" i="9" s="1"/>
  <c r="D207" i="9" a="1"/>
  <c r="D207" i="9" s="1"/>
  <c r="F207" i="9" s="1" a="1"/>
  <c r="F207" i="9" s="1"/>
  <c r="G207" i="9" s="1"/>
  <c r="H207" i="9" a="1"/>
  <c r="H207" i="9" s="1"/>
  <c r="Q204" i="9"/>
  <c r="P204" i="9" s="1"/>
  <c r="M204" i="9" a="1"/>
  <c r="M204" i="9" s="1"/>
  <c r="H204" i="9" a="1"/>
  <c r="H204" i="9" s="1"/>
  <c r="D204" i="9" a="1"/>
  <c r="D204" i="9" s="1"/>
  <c r="F204" i="9" s="1" a="1"/>
  <c r="F204" i="9" s="1"/>
  <c r="G204" i="9" s="1"/>
  <c r="K204" i="9"/>
  <c r="J204" i="9"/>
  <c r="E210" i="9"/>
  <c r="H202" i="9" a="1"/>
  <c r="H202" i="9" s="1"/>
  <c r="M202" i="9" a="1"/>
  <c r="M202" i="9" s="1"/>
  <c r="D202" i="9" a="1"/>
  <c r="D202" i="9" s="1"/>
  <c r="F202" i="9" s="1" a="1"/>
  <c r="F202" i="9" s="1"/>
  <c r="G202" i="9" s="1"/>
  <c r="J202" i="9"/>
  <c r="K202" i="9"/>
  <c r="Q202" i="9"/>
  <c r="P202" i="9" s="1"/>
  <c r="D209" i="9" a="1"/>
  <c r="D209" i="9" s="1"/>
  <c r="F209" i="9" s="1" a="1"/>
  <c r="F209" i="9" s="1"/>
  <c r="G209" i="9" s="1"/>
  <c r="J209" i="9"/>
  <c r="K209" i="9"/>
  <c r="Q209" i="9"/>
  <c r="P209" i="9" s="1"/>
  <c r="H209" i="9" a="1"/>
  <c r="H209" i="9" s="1"/>
  <c r="M209" i="9" a="1"/>
  <c r="M209" i="9" s="1"/>
  <c r="H208" i="9" a="1"/>
  <c r="H208" i="9" s="1"/>
  <c r="Q203" i="9"/>
  <c r="P203" i="9" s="1"/>
  <c r="K203" i="9"/>
  <c r="Q210" i="9"/>
  <c r="P210" i="9" s="1"/>
  <c r="K210" i="9"/>
  <c r="M208" i="9" a="1"/>
  <c r="M208" i="9" s="1"/>
  <c r="D205" i="9" a="1"/>
  <c r="D205" i="9" s="1"/>
  <c r="F205" i="9" s="1" a="1"/>
  <c r="F205" i="9" s="1"/>
  <c r="G205" i="9" s="1"/>
  <c r="J203" i="9"/>
  <c r="J210" i="9"/>
  <c r="L210" i="9" s="1"/>
  <c r="Q208" i="9"/>
  <c r="P208" i="9" s="1"/>
  <c r="K208" i="9"/>
  <c r="H205" i="9" a="1"/>
  <c r="H205" i="9" s="1"/>
  <c r="D203" i="9" a="1"/>
  <c r="D203" i="9" s="1"/>
  <c r="F203" i="9" s="1" a="1"/>
  <c r="F203" i="9" s="1"/>
  <c r="G203" i="9" s="1"/>
  <c r="D210" i="9" a="1"/>
  <c r="D210" i="9" s="1"/>
  <c r="F210" i="9" s="1" a="1"/>
  <c r="F210" i="9" s="1"/>
  <c r="G210" i="9" s="1"/>
  <c r="J208" i="9"/>
  <c r="M205" i="9" a="1"/>
  <c r="M205" i="9" s="1"/>
  <c r="A176" i="9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J140" i="9"/>
  <c r="M140" i="9" a="1"/>
  <c r="M140" i="9" s="1"/>
  <c r="M136" i="9" a="1"/>
  <c r="M136" i="9" s="1"/>
  <c r="Q134" i="9"/>
  <c r="P134" i="9" s="1"/>
  <c r="K134" i="9"/>
  <c r="H137" i="9" a="1"/>
  <c r="H137" i="9" s="1"/>
  <c r="E137" i="9" s="1"/>
  <c r="I137" i="9" a="1"/>
  <c r="I137" i="9" s="1"/>
  <c r="D138" i="9" a="1"/>
  <c r="D138" i="9" s="1"/>
  <c r="F138" i="9" s="1" a="1"/>
  <c r="F138" i="9" s="1"/>
  <c r="G138" i="9" s="1"/>
  <c r="J133" i="9"/>
  <c r="Q138" i="9"/>
  <c r="P138" i="9" s="1"/>
  <c r="I133" i="9" a="1"/>
  <c r="I133" i="9" s="1"/>
  <c r="M138" i="9" a="1"/>
  <c r="M138" i="9" s="1"/>
  <c r="E135" i="9"/>
  <c r="K140" i="9"/>
  <c r="J135" i="9"/>
  <c r="L135" i="9" s="1"/>
  <c r="D139" i="9" a="1"/>
  <c r="D139" i="9" s="1"/>
  <c r="F139" i="9" s="1" a="1"/>
  <c r="F139" i="9" s="1"/>
  <c r="G139" i="9" s="1"/>
  <c r="K139" i="9"/>
  <c r="Q139" i="9"/>
  <c r="P139" i="9" s="1"/>
  <c r="M139" i="9" a="1"/>
  <c r="M139" i="9" s="1"/>
  <c r="J137" i="9"/>
  <c r="M134" i="9" a="1"/>
  <c r="M134" i="9" s="1"/>
  <c r="H134" i="9" a="1"/>
  <c r="H134" i="9" s="1"/>
  <c r="I134" i="9" a="1"/>
  <c r="I134" i="9" s="1"/>
  <c r="J134" i="9"/>
  <c r="I135" i="9" a="1"/>
  <c r="I135" i="9" s="1"/>
  <c r="D135" i="9" a="1"/>
  <c r="D135" i="9" s="1"/>
  <c r="F135" i="9" s="1" a="1"/>
  <c r="F135" i="9" s="1"/>
  <c r="G135" i="9" s="1"/>
  <c r="K135" i="9"/>
  <c r="Q135" i="9"/>
  <c r="P135" i="9" s="1"/>
  <c r="M135" i="9" a="1"/>
  <c r="M135" i="9" s="1"/>
  <c r="J139" i="9"/>
  <c r="I138" i="9" a="1"/>
  <c r="I138" i="9" s="1"/>
  <c r="J138" i="9"/>
  <c r="H138" i="9" a="1"/>
  <c r="H138" i="9" s="1"/>
  <c r="Q140" i="9"/>
  <c r="P140" i="9" s="1"/>
  <c r="I139" i="9" a="1"/>
  <c r="I139" i="9" s="1"/>
  <c r="H140" i="9" a="1"/>
  <c r="H140" i="9" s="1"/>
  <c r="I140" i="9" a="1"/>
  <c r="I140" i="9" s="1"/>
  <c r="H139" i="9" a="1"/>
  <c r="H139" i="9" s="1"/>
  <c r="M137" i="9" a="1"/>
  <c r="M137" i="9" s="1"/>
  <c r="D137" i="9" a="1"/>
  <c r="D137" i="9" s="1"/>
  <c r="F137" i="9" s="1" a="1"/>
  <c r="F137" i="9" s="1"/>
  <c r="G137" i="9" s="1"/>
  <c r="K137" i="9"/>
  <c r="Q137" i="9"/>
  <c r="P137" i="9" s="1"/>
  <c r="J136" i="9"/>
  <c r="D136" i="9" a="1"/>
  <c r="D136" i="9" s="1"/>
  <c r="F136" i="9" s="1" a="1"/>
  <c r="F136" i="9" s="1"/>
  <c r="G136" i="9" s="1"/>
  <c r="K136" i="9"/>
  <c r="H136" i="9" a="1"/>
  <c r="H136" i="9" s="1"/>
  <c r="I136" i="9" a="1"/>
  <c r="I136" i="9" s="1"/>
  <c r="H132" i="9" a="1"/>
  <c r="H132" i="9" s="1"/>
  <c r="I132" i="9" a="1"/>
  <c r="I132" i="9" s="1"/>
  <c r="J132" i="9"/>
  <c r="D132" i="9" a="1"/>
  <c r="D132" i="9" s="1"/>
  <c r="F132" i="9" s="1" a="1"/>
  <c r="F132" i="9" s="1"/>
  <c r="G132" i="9" s="1"/>
  <c r="K132" i="9"/>
  <c r="Q132" i="9"/>
  <c r="P132" i="9" s="1"/>
  <c r="H133" i="9" a="1"/>
  <c r="H133" i="9" s="1"/>
  <c r="M133" i="9" a="1"/>
  <c r="M133" i="9" s="1"/>
  <c r="Q133" i="9"/>
  <c r="P133" i="9" s="1"/>
  <c r="K133" i="9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D62" i="9" a="1"/>
  <c r="D62" i="9" s="1"/>
  <c r="D63" i="9" a="1"/>
  <c r="D63" i="9" s="1"/>
  <c r="D64" i="9" a="1"/>
  <c r="D64" i="9" s="1"/>
  <c r="D65" i="9" a="1"/>
  <c r="D65" i="9" s="1"/>
  <c r="D66" i="9" a="1"/>
  <c r="D66" i="9" s="1"/>
  <c r="D67" i="9" a="1"/>
  <c r="D67" i="9" s="1"/>
  <c r="D68" i="9" a="1"/>
  <c r="D68" i="9" s="1"/>
  <c r="D69" i="9" a="1"/>
  <c r="D69" i="9" s="1"/>
  <c r="D70" i="9" a="1"/>
  <c r="D70" i="9" s="1"/>
  <c r="F70" i="9" s="1" a="1"/>
  <c r="F70" i="9" s="1"/>
  <c r="I34" i="2"/>
  <c r="I35" i="2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10" i="2"/>
  <c r="I11" i="2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" i="2"/>
  <c r="I4" i="2"/>
  <c r="I5" i="2" s="1"/>
  <c r="I6" i="2" s="1"/>
  <c r="I7" i="2" s="1"/>
  <c r="I8" i="2" s="1"/>
  <c r="I9" i="2" s="1"/>
  <c r="I2" i="2"/>
  <c r="H258" i="9"/>
  <c r="I257" i="9"/>
  <c r="H256" i="9"/>
  <c r="C256" i="9"/>
  <c r="Q256" i="9" s="1"/>
  <c r="P256" i="9" s="1"/>
  <c r="I255" i="9"/>
  <c r="C255" i="9"/>
  <c r="Q255" i="9" s="1"/>
  <c r="P255" i="9" s="1"/>
  <c r="O254" i="9"/>
  <c r="L254" i="9"/>
  <c r="K254" i="9"/>
  <c r="J254" i="9"/>
  <c r="H254" i="9"/>
  <c r="G254" i="9"/>
  <c r="F254" i="9"/>
  <c r="O253" i="9"/>
  <c r="L253" i="9"/>
  <c r="K253" i="9"/>
  <c r="J253" i="9"/>
  <c r="H253" i="9"/>
  <c r="G253" i="9"/>
  <c r="F253" i="9"/>
  <c r="O252" i="9"/>
  <c r="L252" i="9"/>
  <c r="K252" i="9"/>
  <c r="J252" i="9"/>
  <c r="H252" i="9"/>
  <c r="G252" i="9"/>
  <c r="F252" i="9"/>
  <c r="O251" i="9"/>
  <c r="L251" i="9"/>
  <c r="K251" i="9"/>
  <c r="J251" i="9"/>
  <c r="H251" i="9"/>
  <c r="G251" i="9"/>
  <c r="F251" i="9"/>
  <c r="O250" i="9"/>
  <c r="L250" i="9"/>
  <c r="K250" i="9"/>
  <c r="J250" i="9"/>
  <c r="H250" i="9"/>
  <c r="G250" i="9"/>
  <c r="F250" i="9"/>
  <c r="O249" i="9"/>
  <c r="L249" i="9"/>
  <c r="K249" i="9"/>
  <c r="J249" i="9"/>
  <c r="H249" i="9"/>
  <c r="G249" i="9"/>
  <c r="F249" i="9"/>
  <c r="O248" i="9"/>
  <c r="L248" i="9"/>
  <c r="K248" i="9"/>
  <c r="J248" i="9"/>
  <c r="H248" i="9"/>
  <c r="G248" i="9"/>
  <c r="F248" i="9"/>
  <c r="O247" i="9"/>
  <c r="L247" i="9"/>
  <c r="K247" i="9"/>
  <c r="J247" i="9"/>
  <c r="H247" i="9"/>
  <c r="G247" i="9"/>
  <c r="F247" i="9"/>
  <c r="P214" i="9"/>
  <c r="K214" i="9"/>
  <c r="J214" i="9"/>
  <c r="C214" i="9"/>
  <c r="P213" i="9"/>
  <c r="H213" i="9"/>
  <c r="C213" i="9"/>
  <c r="P212" i="9"/>
  <c r="C212" i="9"/>
  <c r="P211" i="9"/>
  <c r="C211" i="9"/>
  <c r="A2" i="9"/>
  <c r="A3" i="9" s="1"/>
  <c r="A4" i="9" s="1"/>
  <c r="B6" i="8"/>
  <c r="M8" i="6"/>
  <c r="L8" i="6"/>
  <c r="G8" i="6" s="1"/>
  <c r="E8" i="6"/>
  <c r="D8" i="6"/>
  <c r="A8" i="6"/>
  <c r="N7" i="6"/>
  <c r="M7" i="6"/>
  <c r="L7" i="6"/>
  <c r="E7" i="6"/>
  <c r="D7" i="6"/>
  <c r="A7" i="6"/>
  <c r="N6" i="6"/>
  <c r="M6" i="6"/>
  <c r="L6" i="6"/>
  <c r="I6" i="6"/>
  <c r="H6" i="6"/>
  <c r="E6" i="6"/>
  <c r="D6" i="6"/>
  <c r="A6" i="6"/>
  <c r="M5" i="6"/>
  <c r="N5" i="6" s="1"/>
  <c r="L5" i="6"/>
  <c r="G5" i="6"/>
  <c r="E5" i="6"/>
  <c r="D5" i="6"/>
  <c r="A5" i="6"/>
  <c r="N4" i="6"/>
  <c r="H4" i="6" s="1"/>
  <c r="I4" i="6" s="1"/>
  <c r="M4" i="6"/>
  <c r="L4" i="6"/>
  <c r="G4" i="6" s="1"/>
  <c r="E4" i="6"/>
  <c r="A4" i="6"/>
  <c r="N3" i="6"/>
  <c r="M3" i="6"/>
  <c r="G3" i="6" s="1"/>
  <c r="L3" i="6"/>
  <c r="H3" i="6"/>
  <c r="I3" i="6" s="1"/>
  <c r="E3" i="6"/>
  <c r="A3" i="6"/>
  <c r="M2" i="6"/>
  <c r="N2" i="6" s="1"/>
  <c r="H2" i="6" s="1"/>
  <c r="I2" i="6" s="1"/>
  <c r="L2" i="6"/>
  <c r="E2" i="6"/>
  <c r="D2" i="6"/>
  <c r="A2" i="6"/>
  <c r="AK150" i="5"/>
  <c r="AI150" i="5"/>
  <c r="AG150" i="5"/>
  <c r="AE150" i="5"/>
  <c r="AC150" i="5"/>
  <c r="AA150" i="5"/>
  <c r="Y150" i="5"/>
  <c r="W150" i="5"/>
  <c r="U150" i="5"/>
  <c r="S150" i="5"/>
  <c r="Q150" i="5"/>
  <c r="O150" i="5"/>
  <c r="M150" i="5"/>
  <c r="K150" i="5"/>
  <c r="D4" i="6" s="1"/>
  <c r="I150" i="5"/>
  <c r="D3" i="6" s="1"/>
  <c r="G150" i="5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K145" i="4"/>
  <c r="J145" i="4"/>
  <c r="I145" i="4"/>
  <c r="H145" i="4"/>
  <c r="G145" i="4"/>
  <c r="F145" i="4"/>
  <c r="E145" i="4"/>
  <c r="D145" i="4"/>
  <c r="C145" i="4"/>
  <c r="B145" i="4"/>
  <c r="A145" i="4"/>
  <c r="Q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K143" i="4"/>
  <c r="J143" i="4"/>
  <c r="I143" i="4"/>
  <c r="H143" i="4"/>
  <c r="G143" i="4"/>
  <c r="F143" i="4"/>
  <c r="E143" i="4"/>
  <c r="D143" i="4"/>
  <c r="C143" i="4"/>
  <c r="B143" i="4"/>
  <c r="A143" i="4"/>
  <c r="O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P141" i="4"/>
  <c r="O141" i="4"/>
  <c r="K141" i="4"/>
  <c r="J141" i="4"/>
  <c r="I141" i="4"/>
  <c r="H141" i="4"/>
  <c r="G141" i="4"/>
  <c r="F141" i="4"/>
  <c r="E141" i="4"/>
  <c r="D141" i="4"/>
  <c r="C141" i="4"/>
  <c r="B141" i="4"/>
  <c r="A141" i="4"/>
  <c r="S141" i="4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O139" i="4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O137" i="4"/>
  <c r="K137" i="4"/>
  <c r="J137" i="4"/>
  <c r="I137" i="4"/>
  <c r="H137" i="4"/>
  <c r="G137" i="4"/>
  <c r="F137" i="4"/>
  <c r="E137" i="4"/>
  <c r="D137" i="4"/>
  <c r="C137" i="4"/>
  <c r="B137" i="4"/>
  <c r="A137" i="4"/>
  <c r="S137" i="4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K135" i="4"/>
  <c r="J135" i="4"/>
  <c r="I135" i="4"/>
  <c r="H135" i="4"/>
  <c r="G135" i="4"/>
  <c r="F135" i="4"/>
  <c r="E135" i="4"/>
  <c r="D135" i="4"/>
  <c r="C135" i="4"/>
  <c r="B135" i="4"/>
  <c r="A135" i="4"/>
  <c r="O135" i="4" s="1"/>
  <c r="T134" i="4"/>
  <c r="K134" i="4"/>
  <c r="J134" i="4"/>
  <c r="I134" i="4"/>
  <c r="H134" i="4"/>
  <c r="G134" i="4"/>
  <c r="F134" i="4"/>
  <c r="E134" i="4"/>
  <c r="D134" i="4"/>
  <c r="C134" i="4"/>
  <c r="B134" i="4"/>
  <c r="V133" i="4"/>
  <c r="AM133" i="5" s="1"/>
  <c r="T133" i="4"/>
  <c r="P133" i="4"/>
  <c r="N133" i="4"/>
  <c r="M133" i="4"/>
  <c r="K133" i="4"/>
  <c r="J133" i="4"/>
  <c r="I133" i="4"/>
  <c r="H133" i="4"/>
  <c r="G133" i="4"/>
  <c r="F133" i="4"/>
  <c r="E133" i="4"/>
  <c r="D133" i="4"/>
  <c r="C133" i="4"/>
  <c r="B133" i="4"/>
  <c r="A133" i="4"/>
  <c r="S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R131" i="4"/>
  <c r="K131" i="4"/>
  <c r="J131" i="4"/>
  <c r="I131" i="4"/>
  <c r="H131" i="4"/>
  <c r="G131" i="4"/>
  <c r="F131" i="4"/>
  <c r="E131" i="4"/>
  <c r="D131" i="4"/>
  <c r="C131" i="4"/>
  <c r="B131" i="4"/>
  <c r="A131" i="4"/>
  <c r="O131" i="4" s="1"/>
  <c r="T130" i="4"/>
  <c r="K130" i="4"/>
  <c r="J130" i="4"/>
  <c r="I130" i="4"/>
  <c r="H130" i="4"/>
  <c r="G130" i="4"/>
  <c r="F130" i="4"/>
  <c r="E130" i="4"/>
  <c r="D130" i="4"/>
  <c r="C130" i="4"/>
  <c r="B130" i="4"/>
  <c r="W129" i="4"/>
  <c r="AN129" i="5" s="1"/>
  <c r="T129" i="4"/>
  <c r="N129" i="4"/>
  <c r="K129" i="4"/>
  <c r="J129" i="4"/>
  <c r="I129" i="4"/>
  <c r="H129" i="4"/>
  <c r="G129" i="4"/>
  <c r="F129" i="4"/>
  <c r="E129" i="4"/>
  <c r="D129" i="4"/>
  <c r="C129" i="4"/>
  <c r="B129" i="4"/>
  <c r="A129" i="4"/>
  <c r="S129" i="4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R127" i="4"/>
  <c r="K127" i="4"/>
  <c r="J127" i="4"/>
  <c r="I127" i="4"/>
  <c r="H127" i="4"/>
  <c r="G127" i="4"/>
  <c r="F127" i="4"/>
  <c r="E127" i="4"/>
  <c r="D127" i="4"/>
  <c r="C127" i="4"/>
  <c r="B127" i="4"/>
  <c r="A127" i="4"/>
  <c r="O127" i="4" s="1"/>
  <c r="T126" i="4"/>
  <c r="S126" i="4"/>
  <c r="R126" i="4"/>
  <c r="P126" i="4"/>
  <c r="O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A128" i="4" s="1"/>
  <c r="W125" i="4"/>
  <c r="AN125" i="5" s="1"/>
  <c r="T125" i="4"/>
  <c r="K125" i="4"/>
  <c r="J125" i="4"/>
  <c r="I125" i="4"/>
  <c r="H125" i="4"/>
  <c r="G125" i="4"/>
  <c r="F125" i="4"/>
  <c r="E125" i="4"/>
  <c r="D125" i="4"/>
  <c r="C125" i="4"/>
  <c r="B125" i="4"/>
  <c r="A125" i="4"/>
  <c r="S125" i="4" s="1"/>
  <c r="W124" i="4"/>
  <c r="AN124" i="5" s="1"/>
  <c r="T124" i="4"/>
  <c r="S124" i="4"/>
  <c r="P124" i="4"/>
  <c r="N124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Q124" i="4" s="1"/>
  <c r="T123" i="4"/>
  <c r="K123" i="4"/>
  <c r="J123" i="4"/>
  <c r="I123" i="4"/>
  <c r="H123" i="4"/>
  <c r="G123" i="4"/>
  <c r="F123" i="4"/>
  <c r="E123" i="4"/>
  <c r="D123" i="4"/>
  <c r="C123" i="4"/>
  <c r="B123" i="4"/>
  <c r="A123" i="4"/>
  <c r="O123" i="4" s="1"/>
  <c r="T122" i="4"/>
  <c r="O122" i="4"/>
  <c r="K122" i="4"/>
  <c r="J122" i="4"/>
  <c r="I122" i="4"/>
  <c r="H122" i="4"/>
  <c r="G122" i="4"/>
  <c r="F122" i="4"/>
  <c r="E122" i="4"/>
  <c r="D122" i="4"/>
  <c r="C122" i="4"/>
  <c r="B122" i="4"/>
  <c r="A122" i="4"/>
  <c r="V122" i="4" s="1"/>
  <c r="AM122" i="5" s="1"/>
  <c r="T121" i="4"/>
  <c r="K121" i="4"/>
  <c r="J121" i="4"/>
  <c r="I121" i="4"/>
  <c r="H121" i="4"/>
  <c r="G121" i="4"/>
  <c r="F121" i="4"/>
  <c r="E121" i="4"/>
  <c r="D121" i="4"/>
  <c r="C121" i="4"/>
  <c r="B121" i="4"/>
  <c r="A121" i="4"/>
  <c r="S121" i="4" s="1"/>
  <c r="W120" i="4"/>
  <c r="AN120" i="5" s="1"/>
  <c r="T120" i="4"/>
  <c r="N120" i="4"/>
  <c r="K120" i="4"/>
  <c r="J120" i="4"/>
  <c r="I120" i="4"/>
  <c r="H120" i="4"/>
  <c r="G120" i="4"/>
  <c r="F120" i="4"/>
  <c r="E120" i="4"/>
  <c r="D120" i="4"/>
  <c r="C120" i="4"/>
  <c r="B120" i="4"/>
  <c r="A120" i="4"/>
  <c r="Q120" i="4" s="1"/>
  <c r="T119" i="4"/>
  <c r="R119" i="4"/>
  <c r="M119" i="4"/>
  <c r="K119" i="4"/>
  <c r="J119" i="4"/>
  <c r="I119" i="4"/>
  <c r="H119" i="4"/>
  <c r="G119" i="4"/>
  <c r="F119" i="4"/>
  <c r="E119" i="4"/>
  <c r="D119" i="4"/>
  <c r="C119" i="4"/>
  <c r="B119" i="4"/>
  <c r="A119" i="4"/>
  <c r="O119" i="4" s="1"/>
  <c r="T118" i="4"/>
  <c r="S118" i="4"/>
  <c r="R118" i="4"/>
  <c r="O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V118" i="4" s="1"/>
  <c r="AM118" i="5" s="1"/>
  <c r="T117" i="4"/>
  <c r="K117" i="4"/>
  <c r="J117" i="4"/>
  <c r="I117" i="4"/>
  <c r="H117" i="4"/>
  <c r="G117" i="4"/>
  <c r="F117" i="4"/>
  <c r="E117" i="4"/>
  <c r="D117" i="4"/>
  <c r="C117" i="4"/>
  <c r="B117" i="4"/>
  <c r="A117" i="4"/>
  <c r="S117" i="4" s="1"/>
  <c r="T116" i="4"/>
  <c r="S116" i="4"/>
  <c r="P116" i="4"/>
  <c r="N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Q116" i="4" s="1"/>
  <c r="V115" i="4"/>
  <c r="AM115" i="5" s="1"/>
  <c r="T115" i="4"/>
  <c r="R115" i="4"/>
  <c r="N115" i="4"/>
  <c r="M115" i="4"/>
  <c r="K115" i="4"/>
  <c r="J115" i="4"/>
  <c r="I115" i="4"/>
  <c r="H115" i="4"/>
  <c r="G115" i="4"/>
  <c r="F115" i="4"/>
  <c r="E115" i="4"/>
  <c r="D115" i="4"/>
  <c r="C115" i="4"/>
  <c r="B115" i="4"/>
  <c r="A115" i="4"/>
  <c r="O115" i="4" s="1"/>
  <c r="T114" i="4"/>
  <c r="P114" i="4"/>
  <c r="K114" i="4"/>
  <c r="J114" i="4"/>
  <c r="I114" i="4"/>
  <c r="H114" i="4"/>
  <c r="G114" i="4"/>
  <c r="F114" i="4"/>
  <c r="E114" i="4"/>
  <c r="D114" i="4"/>
  <c r="C114" i="4"/>
  <c r="B114" i="4"/>
  <c r="A114" i="4"/>
  <c r="V114" i="4" s="1"/>
  <c r="AM114" i="5" s="1"/>
  <c r="T113" i="4"/>
  <c r="N113" i="4"/>
  <c r="K113" i="4"/>
  <c r="J113" i="4"/>
  <c r="I113" i="4"/>
  <c r="H113" i="4"/>
  <c r="G113" i="4"/>
  <c r="F113" i="4"/>
  <c r="E113" i="4"/>
  <c r="D113" i="4"/>
  <c r="C113" i="4"/>
  <c r="B113" i="4"/>
  <c r="A113" i="4"/>
  <c r="S113" i="4" s="1"/>
  <c r="T112" i="4"/>
  <c r="O112" i="4"/>
  <c r="K112" i="4"/>
  <c r="J112" i="4"/>
  <c r="I112" i="4"/>
  <c r="H112" i="4"/>
  <c r="G112" i="4"/>
  <c r="F112" i="4"/>
  <c r="E112" i="4"/>
  <c r="D112" i="4"/>
  <c r="C112" i="4"/>
  <c r="B112" i="4"/>
  <c r="A112" i="4"/>
  <c r="Q112" i="4" s="1"/>
  <c r="V111" i="4"/>
  <c r="AM111" i="5" s="1"/>
  <c r="T111" i="4"/>
  <c r="R111" i="4"/>
  <c r="N111" i="4"/>
  <c r="M111" i="4"/>
  <c r="K111" i="4"/>
  <c r="J111" i="4"/>
  <c r="I111" i="4"/>
  <c r="H111" i="4"/>
  <c r="G111" i="4"/>
  <c r="F111" i="4"/>
  <c r="E111" i="4"/>
  <c r="D111" i="4"/>
  <c r="C111" i="4"/>
  <c r="B111" i="4"/>
  <c r="A111" i="4"/>
  <c r="O111" i="4" s="1"/>
  <c r="T110" i="4"/>
  <c r="S110" i="4"/>
  <c r="K110" i="4"/>
  <c r="J110" i="4"/>
  <c r="I110" i="4"/>
  <c r="H110" i="4"/>
  <c r="G110" i="4"/>
  <c r="F110" i="4"/>
  <c r="E110" i="4"/>
  <c r="D110" i="4"/>
  <c r="C110" i="4"/>
  <c r="B110" i="4"/>
  <c r="A110" i="4"/>
  <c r="V110" i="4" s="1"/>
  <c r="AM110" i="5" s="1"/>
  <c r="W109" i="4"/>
  <c r="AN109" i="5" s="1"/>
  <c r="T109" i="4"/>
  <c r="K109" i="4"/>
  <c r="J109" i="4"/>
  <c r="I109" i="4"/>
  <c r="H109" i="4"/>
  <c r="G109" i="4"/>
  <c r="F109" i="4"/>
  <c r="E109" i="4"/>
  <c r="D109" i="4"/>
  <c r="C109" i="4"/>
  <c r="B109" i="4"/>
  <c r="A109" i="4"/>
  <c r="S109" i="4" s="1"/>
  <c r="T108" i="4"/>
  <c r="S108" i="4"/>
  <c r="K108" i="4"/>
  <c r="J108" i="4"/>
  <c r="I108" i="4"/>
  <c r="H108" i="4"/>
  <c r="G108" i="4"/>
  <c r="F108" i="4"/>
  <c r="E108" i="4"/>
  <c r="D108" i="4"/>
  <c r="C108" i="4"/>
  <c r="B108" i="4"/>
  <c r="A108" i="4"/>
  <c r="Q108" i="4" s="1"/>
  <c r="T107" i="4"/>
  <c r="K107" i="4"/>
  <c r="J107" i="4"/>
  <c r="I107" i="4"/>
  <c r="H107" i="4"/>
  <c r="G107" i="4"/>
  <c r="F107" i="4"/>
  <c r="E107" i="4"/>
  <c r="D107" i="4"/>
  <c r="C107" i="4"/>
  <c r="B107" i="4"/>
  <c r="A107" i="4"/>
  <c r="O107" i="4" s="1"/>
  <c r="T106" i="4"/>
  <c r="O106" i="4"/>
  <c r="K106" i="4"/>
  <c r="J106" i="4"/>
  <c r="I106" i="4"/>
  <c r="H106" i="4"/>
  <c r="G106" i="4"/>
  <c r="F106" i="4"/>
  <c r="E106" i="4"/>
  <c r="D106" i="4"/>
  <c r="C106" i="4"/>
  <c r="B106" i="4"/>
  <c r="A106" i="4"/>
  <c r="V106" i="4" s="1"/>
  <c r="AM106" i="5" s="1"/>
  <c r="T105" i="4"/>
  <c r="K105" i="4"/>
  <c r="J105" i="4"/>
  <c r="I105" i="4"/>
  <c r="H105" i="4"/>
  <c r="G105" i="4"/>
  <c r="F105" i="4"/>
  <c r="E105" i="4"/>
  <c r="D105" i="4"/>
  <c r="C105" i="4"/>
  <c r="B105" i="4"/>
  <c r="A105" i="4"/>
  <c r="S105" i="4" s="1"/>
  <c r="W104" i="4"/>
  <c r="AN104" i="5" s="1"/>
  <c r="T104" i="4"/>
  <c r="N104" i="4"/>
  <c r="K104" i="4"/>
  <c r="J104" i="4"/>
  <c r="I104" i="4"/>
  <c r="H104" i="4"/>
  <c r="G104" i="4"/>
  <c r="F104" i="4"/>
  <c r="E104" i="4"/>
  <c r="D104" i="4"/>
  <c r="C104" i="4"/>
  <c r="B104" i="4"/>
  <c r="A104" i="4"/>
  <c r="Q104" i="4" s="1"/>
  <c r="T103" i="4"/>
  <c r="R103" i="4"/>
  <c r="M103" i="4"/>
  <c r="K103" i="4"/>
  <c r="J103" i="4"/>
  <c r="I103" i="4"/>
  <c r="H103" i="4"/>
  <c r="G103" i="4"/>
  <c r="F103" i="4"/>
  <c r="E103" i="4"/>
  <c r="D103" i="4"/>
  <c r="C103" i="4"/>
  <c r="B103" i="4"/>
  <c r="A103" i="4"/>
  <c r="O103" i="4" s="1"/>
  <c r="T102" i="4"/>
  <c r="R102" i="4"/>
  <c r="O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V102" i="4" s="1"/>
  <c r="AM102" i="5" s="1"/>
  <c r="T101" i="4"/>
  <c r="K101" i="4"/>
  <c r="J101" i="4"/>
  <c r="I101" i="4"/>
  <c r="H101" i="4"/>
  <c r="G101" i="4"/>
  <c r="F101" i="4"/>
  <c r="E101" i="4"/>
  <c r="D101" i="4"/>
  <c r="C101" i="4"/>
  <c r="B101" i="4"/>
  <c r="A101" i="4"/>
  <c r="S101" i="4" s="1"/>
  <c r="T100" i="4"/>
  <c r="P100" i="4"/>
  <c r="N100" i="4"/>
  <c r="L100" i="4"/>
  <c r="K100" i="4"/>
  <c r="J100" i="4"/>
  <c r="I100" i="4"/>
  <c r="H100" i="4"/>
  <c r="G100" i="4"/>
  <c r="F100" i="4"/>
  <c r="E100" i="4"/>
  <c r="D100" i="4"/>
  <c r="C100" i="4"/>
  <c r="B100" i="4"/>
  <c r="A100" i="4"/>
  <c r="Q100" i="4" s="1"/>
  <c r="V99" i="4"/>
  <c r="AM99" i="5" s="1"/>
  <c r="T99" i="4"/>
  <c r="R99" i="4"/>
  <c r="N99" i="4"/>
  <c r="M99" i="4"/>
  <c r="K99" i="4"/>
  <c r="J99" i="4"/>
  <c r="I99" i="4"/>
  <c r="H99" i="4"/>
  <c r="G99" i="4"/>
  <c r="F99" i="4"/>
  <c r="E99" i="4"/>
  <c r="D99" i="4"/>
  <c r="C99" i="4"/>
  <c r="B99" i="4"/>
  <c r="A99" i="4"/>
  <c r="O99" i="4" s="1"/>
  <c r="T98" i="4"/>
  <c r="P98" i="4"/>
  <c r="K98" i="4"/>
  <c r="J98" i="4"/>
  <c r="I98" i="4"/>
  <c r="H98" i="4"/>
  <c r="G98" i="4"/>
  <c r="F98" i="4"/>
  <c r="E98" i="4"/>
  <c r="D98" i="4"/>
  <c r="C98" i="4"/>
  <c r="B98" i="4"/>
  <c r="A98" i="4"/>
  <c r="V98" i="4" s="1"/>
  <c r="AM98" i="5" s="1"/>
  <c r="W97" i="4"/>
  <c r="AN97" i="5" s="1"/>
  <c r="T97" i="4"/>
  <c r="N97" i="4"/>
  <c r="K97" i="4"/>
  <c r="J97" i="4"/>
  <c r="I97" i="4"/>
  <c r="H97" i="4"/>
  <c r="G97" i="4"/>
  <c r="F97" i="4"/>
  <c r="E97" i="4"/>
  <c r="D97" i="4"/>
  <c r="C97" i="4"/>
  <c r="B97" i="4"/>
  <c r="A97" i="4"/>
  <c r="S97" i="4" s="1"/>
  <c r="T96" i="4"/>
  <c r="O96" i="4"/>
  <c r="K96" i="4"/>
  <c r="J96" i="4"/>
  <c r="I96" i="4"/>
  <c r="H96" i="4"/>
  <c r="G96" i="4"/>
  <c r="F96" i="4"/>
  <c r="E96" i="4"/>
  <c r="D96" i="4"/>
  <c r="C96" i="4"/>
  <c r="B96" i="4"/>
  <c r="A96" i="4"/>
  <c r="Q96" i="4" s="1"/>
  <c r="V95" i="4"/>
  <c r="AM95" i="5" s="1"/>
  <c r="T95" i="4"/>
  <c r="R95" i="4"/>
  <c r="M95" i="4"/>
  <c r="K95" i="4"/>
  <c r="J95" i="4"/>
  <c r="I95" i="4"/>
  <c r="H95" i="4"/>
  <c r="G95" i="4"/>
  <c r="F95" i="4"/>
  <c r="E95" i="4"/>
  <c r="D95" i="4"/>
  <c r="C95" i="4"/>
  <c r="B95" i="4"/>
  <c r="A95" i="4"/>
  <c r="O95" i="4" s="1"/>
  <c r="T94" i="4"/>
  <c r="P94" i="4"/>
  <c r="K94" i="4"/>
  <c r="J94" i="4"/>
  <c r="I94" i="4"/>
  <c r="H94" i="4"/>
  <c r="G94" i="4"/>
  <c r="F94" i="4"/>
  <c r="E94" i="4"/>
  <c r="D94" i="4"/>
  <c r="C94" i="4"/>
  <c r="B94" i="4"/>
  <c r="A94" i="4"/>
  <c r="V94" i="4" s="1"/>
  <c r="AM94" i="5" s="1"/>
  <c r="W93" i="4"/>
  <c r="AN93" i="5" s="1"/>
  <c r="T93" i="4"/>
  <c r="N93" i="4"/>
  <c r="K93" i="4"/>
  <c r="J93" i="4"/>
  <c r="I93" i="4"/>
  <c r="H93" i="4"/>
  <c r="G93" i="4"/>
  <c r="F93" i="4"/>
  <c r="E93" i="4"/>
  <c r="D93" i="4"/>
  <c r="C93" i="4"/>
  <c r="B93" i="4"/>
  <c r="A93" i="4"/>
  <c r="S93" i="4" s="1"/>
  <c r="T92" i="4"/>
  <c r="S92" i="4"/>
  <c r="P92" i="4"/>
  <c r="O92" i="4"/>
  <c r="L92" i="4"/>
  <c r="K92" i="4"/>
  <c r="J92" i="4"/>
  <c r="I92" i="4"/>
  <c r="H92" i="4"/>
  <c r="G92" i="4"/>
  <c r="F92" i="4"/>
  <c r="E92" i="4"/>
  <c r="D92" i="4"/>
  <c r="C92" i="4"/>
  <c r="B92" i="4"/>
  <c r="A92" i="4"/>
  <c r="Q92" i="4" s="1"/>
  <c r="T91" i="4"/>
  <c r="R91" i="4"/>
  <c r="M91" i="4"/>
  <c r="K91" i="4"/>
  <c r="J91" i="4"/>
  <c r="I91" i="4"/>
  <c r="H91" i="4"/>
  <c r="G91" i="4"/>
  <c r="F91" i="4"/>
  <c r="E91" i="4"/>
  <c r="D91" i="4"/>
  <c r="C91" i="4"/>
  <c r="B91" i="4"/>
  <c r="A91" i="4"/>
  <c r="O91" i="4" s="1"/>
  <c r="T90" i="4"/>
  <c r="O90" i="4"/>
  <c r="K90" i="4"/>
  <c r="J90" i="4"/>
  <c r="I90" i="4"/>
  <c r="H90" i="4"/>
  <c r="G90" i="4"/>
  <c r="F90" i="4"/>
  <c r="E90" i="4"/>
  <c r="D90" i="4"/>
  <c r="C90" i="4"/>
  <c r="B90" i="4"/>
  <c r="A90" i="4"/>
  <c r="Q90" i="4" s="1"/>
  <c r="W89" i="4"/>
  <c r="AN89" i="5" s="1"/>
  <c r="T89" i="4"/>
  <c r="N89" i="4"/>
  <c r="K89" i="4"/>
  <c r="J89" i="4"/>
  <c r="I89" i="4"/>
  <c r="H89" i="4"/>
  <c r="G89" i="4"/>
  <c r="F89" i="4"/>
  <c r="E89" i="4"/>
  <c r="D89" i="4"/>
  <c r="C89" i="4"/>
  <c r="B89" i="4"/>
  <c r="A89" i="4"/>
  <c r="S89" i="4" s="1"/>
  <c r="T88" i="4"/>
  <c r="S88" i="4"/>
  <c r="P88" i="4"/>
  <c r="O88" i="4"/>
  <c r="L88" i="4"/>
  <c r="K88" i="4"/>
  <c r="J88" i="4"/>
  <c r="I88" i="4"/>
  <c r="H88" i="4"/>
  <c r="G88" i="4"/>
  <c r="F88" i="4"/>
  <c r="E88" i="4"/>
  <c r="D88" i="4"/>
  <c r="C88" i="4"/>
  <c r="B88" i="4"/>
  <c r="A88" i="4"/>
  <c r="Q88" i="4" s="1"/>
  <c r="T87" i="4"/>
  <c r="R87" i="4"/>
  <c r="M87" i="4"/>
  <c r="K87" i="4"/>
  <c r="J87" i="4"/>
  <c r="I87" i="4"/>
  <c r="H87" i="4"/>
  <c r="G87" i="4"/>
  <c r="F87" i="4"/>
  <c r="E87" i="4"/>
  <c r="D87" i="4"/>
  <c r="C87" i="4"/>
  <c r="B87" i="4"/>
  <c r="A87" i="4"/>
  <c r="O87" i="4" s="1"/>
  <c r="T86" i="4"/>
  <c r="O86" i="4"/>
  <c r="K86" i="4"/>
  <c r="J86" i="4"/>
  <c r="I86" i="4"/>
  <c r="H86" i="4"/>
  <c r="G86" i="4"/>
  <c r="F86" i="4"/>
  <c r="E86" i="4"/>
  <c r="D86" i="4"/>
  <c r="C86" i="4"/>
  <c r="B86" i="4"/>
  <c r="A86" i="4"/>
  <c r="Q86" i="4" s="1"/>
  <c r="W85" i="4"/>
  <c r="AN85" i="5" s="1"/>
  <c r="T85" i="4"/>
  <c r="N85" i="4"/>
  <c r="K85" i="4"/>
  <c r="J85" i="4"/>
  <c r="I85" i="4"/>
  <c r="H85" i="4"/>
  <c r="G85" i="4"/>
  <c r="F85" i="4"/>
  <c r="E85" i="4"/>
  <c r="D85" i="4"/>
  <c r="C85" i="4"/>
  <c r="B85" i="4"/>
  <c r="A85" i="4"/>
  <c r="S85" i="4" s="1"/>
  <c r="T84" i="4"/>
  <c r="S84" i="4"/>
  <c r="P84" i="4"/>
  <c r="O84" i="4"/>
  <c r="L84" i="4"/>
  <c r="K84" i="4"/>
  <c r="J84" i="4"/>
  <c r="I84" i="4"/>
  <c r="H84" i="4"/>
  <c r="G84" i="4"/>
  <c r="F84" i="4"/>
  <c r="E84" i="4"/>
  <c r="D84" i="4"/>
  <c r="C84" i="4"/>
  <c r="B84" i="4"/>
  <c r="A84" i="4"/>
  <c r="Q84" i="4" s="1"/>
  <c r="T83" i="4"/>
  <c r="K83" i="4"/>
  <c r="J83" i="4"/>
  <c r="I83" i="4"/>
  <c r="H83" i="4"/>
  <c r="G83" i="4"/>
  <c r="F83" i="4"/>
  <c r="E83" i="4"/>
  <c r="D83" i="4"/>
  <c r="C83" i="4"/>
  <c r="B83" i="4"/>
  <c r="A83" i="4"/>
  <c r="O83" i="4" s="1"/>
  <c r="T82" i="4"/>
  <c r="P82" i="4"/>
  <c r="O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Q82" i="4" s="1"/>
  <c r="T81" i="4"/>
  <c r="N81" i="4"/>
  <c r="K81" i="4"/>
  <c r="J81" i="4"/>
  <c r="I81" i="4"/>
  <c r="H81" i="4"/>
  <c r="G81" i="4"/>
  <c r="F81" i="4"/>
  <c r="E81" i="4"/>
  <c r="D81" i="4"/>
  <c r="C81" i="4"/>
  <c r="B81" i="4"/>
  <c r="A81" i="4"/>
  <c r="S81" i="4" s="1"/>
  <c r="T80" i="4"/>
  <c r="O80" i="4"/>
  <c r="L80" i="4"/>
  <c r="K80" i="4"/>
  <c r="J80" i="4"/>
  <c r="I80" i="4"/>
  <c r="H80" i="4"/>
  <c r="G80" i="4"/>
  <c r="F80" i="4"/>
  <c r="E80" i="4"/>
  <c r="D80" i="4"/>
  <c r="C80" i="4"/>
  <c r="B80" i="4"/>
  <c r="A80" i="4"/>
  <c r="Q80" i="4" s="1"/>
  <c r="T79" i="4"/>
  <c r="K79" i="4"/>
  <c r="J79" i="4"/>
  <c r="I79" i="4"/>
  <c r="H79" i="4"/>
  <c r="G79" i="4"/>
  <c r="F79" i="4"/>
  <c r="E79" i="4"/>
  <c r="D79" i="4"/>
  <c r="C79" i="4"/>
  <c r="B79" i="4"/>
  <c r="A79" i="4"/>
  <c r="O79" i="4" s="1"/>
  <c r="V78" i="4"/>
  <c r="AM78" i="5" s="1"/>
  <c r="T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Q78" i="4" s="1"/>
  <c r="T77" i="4"/>
  <c r="K77" i="4"/>
  <c r="J77" i="4"/>
  <c r="I77" i="4"/>
  <c r="H77" i="4"/>
  <c r="G77" i="4"/>
  <c r="F77" i="4"/>
  <c r="E77" i="4"/>
  <c r="D77" i="4"/>
  <c r="C77" i="4"/>
  <c r="B77" i="4"/>
  <c r="A77" i="4"/>
  <c r="S77" i="4" s="1"/>
  <c r="T76" i="4"/>
  <c r="K76" i="4"/>
  <c r="J76" i="4"/>
  <c r="I76" i="4"/>
  <c r="H76" i="4"/>
  <c r="G76" i="4"/>
  <c r="F76" i="4"/>
  <c r="E76" i="4"/>
  <c r="D76" i="4"/>
  <c r="C76" i="4"/>
  <c r="B76" i="4"/>
  <c r="A76" i="4"/>
  <c r="Q76" i="4" s="1"/>
  <c r="T75" i="4"/>
  <c r="R75" i="4"/>
  <c r="K75" i="4"/>
  <c r="J75" i="4"/>
  <c r="I75" i="4"/>
  <c r="H75" i="4"/>
  <c r="G75" i="4"/>
  <c r="F75" i="4"/>
  <c r="E75" i="4"/>
  <c r="D75" i="4"/>
  <c r="C75" i="4"/>
  <c r="B75" i="4"/>
  <c r="A75" i="4"/>
  <c r="O75" i="4" s="1"/>
  <c r="V74" i="4"/>
  <c r="AM74" i="5" s="1"/>
  <c r="T74" i="4"/>
  <c r="R74" i="4"/>
  <c r="K74" i="4"/>
  <c r="J74" i="4"/>
  <c r="I74" i="4"/>
  <c r="H74" i="4"/>
  <c r="G74" i="4"/>
  <c r="F74" i="4"/>
  <c r="E74" i="4"/>
  <c r="D74" i="4"/>
  <c r="C74" i="4"/>
  <c r="B74" i="4"/>
  <c r="A74" i="4"/>
  <c r="Q74" i="4" s="1"/>
  <c r="W73" i="4"/>
  <c r="AN73" i="5" s="1"/>
  <c r="T73" i="4"/>
  <c r="K73" i="4"/>
  <c r="J73" i="4"/>
  <c r="I73" i="4"/>
  <c r="H73" i="4"/>
  <c r="G73" i="4"/>
  <c r="F73" i="4"/>
  <c r="E73" i="4"/>
  <c r="D73" i="4"/>
  <c r="C73" i="4"/>
  <c r="B73" i="4"/>
  <c r="A73" i="4"/>
  <c r="S73" i="4" s="1"/>
  <c r="T72" i="4"/>
  <c r="K72" i="4"/>
  <c r="J72" i="4"/>
  <c r="I72" i="4"/>
  <c r="H72" i="4"/>
  <c r="G72" i="4"/>
  <c r="F72" i="4"/>
  <c r="E72" i="4"/>
  <c r="D72" i="4"/>
  <c r="C72" i="4"/>
  <c r="B72" i="4"/>
  <c r="A72" i="4"/>
  <c r="Q72" i="4" s="1"/>
  <c r="T71" i="4"/>
  <c r="R71" i="4"/>
  <c r="K71" i="4"/>
  <c r="J71" i="4"/>
  <c r="I71" i="4"/>
  <c r="H71" i="4"/>
  <c r="G71" i="4"/>
  <c r="F71" i="4"/>
  <c r="E71" i="4"/>
  <c r="D71" i="4"/>
  <c r="C71" i="4"/>
  <c r="B71" i="4"/>
  <c r="A71" i="4"/>
  <c r="O71" i="4" s="1"/>
  <c r="V70" i="4"/>
  <c r="AM70" i="5" s="1"/>
  <c r="T70" i="4"/>
  <c r="R70" i="4"/>
  <c r="K70" i="4"/>
  <c r="J70" i="4"/>
  <c r="I70" i="4"/>
  <c r="H70" i="4"/>
  <c r="G70" i="4"/>
  <c r="F70" i="4"/>
  <c r="E70" i="4"/>
  <c r="D70" i="4"/>
  <c r="C70" i="4"/>
  <c r="B70" i="4"/>
  <c r="A70" i="4"/>
  <c r="Q70" i="4" s="1"/>
  <c r="W69" i="4"/>
  <c r="AN69" i="5" s="1"/>
  <c r="T69" i="4"/>
  <c r="K69" i="4"/>
  <c r="J69" i="4"/>
  <c r="I69" i="4"/>
  <c r="H69" i="4"/>
  <c r="G69" i="4"/>
  <c r="F69" i="4"/>
  <c r="E69" i="4"/>
  <c r="D69" i="4"/>
  <c r="C69" i="4"/>
  <c r="B69" i="4"/>
  <c r="A69" i="4"/>
  <c r="S69" i="4" s="1"/>
  <c r="T68" i="4"/>
  <c r="K68" i="4"/>
  <c r="J68" i="4"/>
  <c r="I68" i="4"/>
  <c r="H68" i="4"/>
  <c r="G68" i="4"/>
  <c r="F68" i="4"/>
  <c r="E68" i="4"/>
  <c r="D68" i="4"/>
  <c r="C68" i="4"/>
  <c r="B68" i="4"/>
  <c r="A68" i="4"/>
  <c r="Q68" i="4" s="1"/>
  <c r="T67" i="4"/>
  <c r="R67" i="4"/>
  <c r="K67" i="4"/>
  <c r="J67" i="4"/>
  <c r="I67" i="4"/>
  <c r="H67" i="4"/>
  <c r="G67" i="4"/>
  <c r="F67" i="4"/>
  <c r="E67" i="4"/>
  <c r="D67" i="4"/>
  <c r="C67" i="4"/>
  <c r="B67" i="4"/>
  <c r="A67" i="4"/>
  <c r="O67" i="4" s="1"/>
  <c r="V66" i="4"/>
  <c r="AM66" i="5" s="1"/>
  <c r="T66" i="4"/>
  <c r="R66" i="4"/>
  <c r="K66" i="4"/>
  <c r="J66" i="4"/>
  <c r="I66" i="4"/>
  <c r="H66" i="4"/>
  <c r="G66" i="4"/>
  <c r="F66" i="4"/>
  <c r="E66" i="4"/>
  <c r="D66" i="4"/>
  <c r="C66" i="4"/>
  <c r="B66" i="4"/>
  <c r="A66" i="4"/>
  <c r="Q66" i="4" s="1"/>
  <c r="W65" i="4"/>
  <c r="AN65" i="5" s="1"/>
  <c r="T65" i="4"/>
  <c r="K65" i="4"/>
  <c r="J65" i="4"/>
  <c r="I65" i="4"/>
  <c r="H65" i="4"/>
  <c r="G65" i="4"/>
  <c r="F65" i="4"/>
  <c r="E65" i="4"/>
  <c r="D65" i="4"/>
  <c r="C65" i="4"/>
  <c r="B65" i="4"/>
  <c r="A65" i="4"/>
  <c r="S65" i="4" s="1"/>
  <c r="T64" i="4"/>
  <c r="K64" i="4"/>
  <c r="J64" i="4"/>
  <c r="I64" i="4"/>
  <c r="H64" i="4"/>
  <c r="G64" i="4"/>
  <c r="F64" i="4"/>
  <c r="E64" i="4"/>
  <c r="D64" i="4"/>
  <c r="C64" i="4"/>
  <c r="B64" i="4"/>
  <c r="A64" i="4"/>
  <c r="Q64" i="4" s="1"/>
  <c r="T63" i="4"/>
  <c r="R63" i="4"/>
  <c r="K63" i="4"/>
  <c r="J63" i="4"/>
  <c r="I63" i="4"/>
  <c r="H63" i="4"/>
  <c r="G63" i="4"/>
  <c r="F63" i="4"/>
  <c r="E63" i="4"/>
  <c r="D63" i="4"/>
  <c r="C63" i="4"/>
  <c r="B63" i="4"/>
  <c r="A63" i="4"/>
  <c r="O63" i="4" s="1"/>
  <c r="V62" i="4"/>
  <c r="AM62" i="5" s="1"/>
  <c r="T62" i="4"/>
  <c r="P62" i="4"/>
  <c r="K62" i="4"/>
  <c r="J62" i="4"/>
  <c r="I62" i="4"/>
  <c r="H62" i="4"/>
  <c r="G62" i="4"/>
  <c r="F62" i="4"/>
  <c r="E62" i="4"/>
  <c r="D62" i="4"/>
  <c r="C62" i="4"/>
  <c r="B62" i="4"/>
  <c r="A62" i="4"/>
  <c r="R62" i="4" s="1"/>
  <c r="V61" i="4"/>
  <c r="AM61" i="5" s="1"/>
  <c r="T61" i="4"/>
  <c r="K61" i="4"/>
  <c r="J61" i="4"/>
  <c r="I61" i="4"/>
  <c r="H61" i="4"/>
  <c r="G61" i="4"/>
  <c r="F61" i="4"/>
  <c r="E61" i="4"/>
  <c r="D61" i="4"/>
  <c r="C61" i="4"/>
  <c r="B61" i="4"/>
  <c r="A61" i="4"/>
  <c r="S61" i="4" s="1"/>
  <c r="T60" i="4"/>
  <c r="S60" i="4"/>
  <c r="K60" i="4"/>
  <c r="J60" i="4"/>
  <c r="I60" i="4"/>
  <c r="H60" i="4"/>
  <c r="G60" i="4"/>
  <c r="F60" i="4"/>
  <c r="E60" i="4"/>
  <c r="D60" i="4"/>
  <c r="C60" i="4"/>
  <c r="B60" i="4"/>
  <c r="A60" i="4"/>
  <c r="Q60" i="4" s="1"/>
  <c r="T59" i="4"/>
  <c r="K59" i="4"/>
  <c r="J59" i="4"/>
  <c r="I59" i="4"/>
  <c r="H59" i="4"/>
  <c r="G59" i="4"/>
  <c r="F59" i="4"/>
  <c r="E59" i="4"/>
  <c r="D59" i="4"/>
  <c r="C59" i="4"/>
  <c r="B59" i="4"/>
  <c r="A59" i="4"/>
  <c r="R59" i="4" s="1"/>
  <c r="V58" i="4"/>
  <c r="AM58" i="5" s="1"/>
  <c r="T58" i="4"/>
  <c r="S58" i="4"/>
  <c r="P58" i="4"/>
  <c r="O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R58" i="4" s="1"/>
  <c r="W57" i="4"/>
  <c r="AN57" i="5" s="1"/>
  <c r="V57" i="4"/>
  <c r="AM57" i="5" s="1"/>
  <c r="T57" i="4"/>
  <c r="N57" i="4"/>
  <c r="K57" i="4"/>
  <c r="J57" i="4"/>
  <c r="I57" i="4"/>
  <c r="H57" i="4"/>
  <c r="G57" i="4"/>
  <c r="F57" i="4"/>
  <c r="E57" i="4"/>
  <c r="D57" i="4"/>
  <c r="C57" i="4"/>
  <c r="B57" i="4"/>
  <c r="A57" i="4"/>
  <c r="S57" i="4" s="1"/>
  <c r="T56" i="4"/>
  <c r="S56" i="4"/>
  <c r="P56" i="4"/>
  <c r="O56" i="4"/>
  <c r="K56" i="4"/>
  <c r="J56" i="4"/>
  <c r="I56" i="4"/>
  <c r="H56" i="4"/>
  <c r="G56" i="4"/>
  <c r="F56" i="4"/>
  <c r="E56" i="4"/>
  <c r="D56" i="4"/>
  <c r="C56" i="4"/>
  <c r="B56" i="4"/>
  <c r="A56" i="4"/>
  <c r="Q56" i="4" s="1"/>
  <c r="V55" i="4"/>
  <c r="AM55" i="5" s="1"/>
  <c r="T55" i="4"/>
  <c r="R55" i="4"/>
  <c r="M55" i="4"/>
  <c r="K55" i="4"/>
  <c r="J55" i="4"/>
  <c r="I55" i="4"/>
  <c r="H55" i="4"/>
  <c r="G55" i="4"/>
  <c r="F55" i="4"/>
  <c r="E55" i="4"/>
  <c r="D55" i="4"/>
  <c r="C55" i="4"/>
  <c r="B55" i="4"/>
  <c r="A55" i="4"/>
  <c r="Q55" i="4" s="1"/>
  <c r="T54" i="4"/>
  <c r="O54" i="4"/>
  <c r="K54" i="4"/>
  <c r="J54" i="4"/>
  <c r="I54" i="4"/>
  <c r="H54" i="4"/>
  <c r="G54" i="4"/>
  <c r="F54" i="4"/>
  <c r="E54" i="4"/>
  <c r="D54" i="4"/>
  <c r="C54" i="4"/>
  <c r="B54" i="4"/>
  <c r="A54" i="4"/>
  <c r="R54" i="4" s="1"/>
  <c r="T53" i="4"/>
  <c r="K53" i="4"/>
  <c r="J53" i="4"/>
  <c r="I53" i="4"/>
  <c r="H53" i="4"/>
  <c r="G53" i="4"/>
  <c r="F53" i="4"/>
  <c r="E53" i="4"/>
  <c r="D53" i="4"/>
  <c r="C53" i="4"/>
  <c r="B53" i="4"/>
  <c r="A53" i="4"/>
  <c r="V53" i="4" s="1"/>
  <c r="AM53" i="5" s="1"/>
  <c r="T52" i="4"/>
  <c r="O52" i="4"/>
  <c r="L52" i="4"/>
  <c r="K52" i="4"/>
  <c r="J52" i="4"/>
  <c r="I52" i="4"/>
  <c r="H52" i="4"/>
  <c r="G52" i="4"/>
  <c r="F52" i="4"/>
  <c r="E52" i="4"/>
  <c r="D52" i="4"/>
  <c r="C52" i="4"/>
  <c r="B52" i="4"/>
  <c r="A52" i="4"/>
  <c r="Q52" i="4" s="1"/>
  <c r="T51" i="4"/>
  <c r="K51" i="4"/>
  <c r="J51" i="4"/>
  <c r="I51" i="4"/>
  <c r="H51" i="4"/>
  <c r="G51" i="4"/>
  <c r="F51" i="4"/>
  <c r="E51" i="4"/>
  <c r="D51" i="4"/>
  <c r="C51" i="4"/>
  <c r="B51" i="4"/>
  <c r="A51" i="4"/>
  <c r="V50" i="4"/>
  <c r="AM50" i="5" s="1"/>
  <c r="T50" i="4"/>
  <c r="S50" i="4"/>
  <c r="K50" i="4"/>
  <c r="J50" i="4"/>
  <c r="I50" i="4"/>
  <c r="H50" i="4"/>
  <c r="G50" i="4"/>
  <c r="F50" i="4"/>
  <c r="E50" i="4"/>
  <c r="D50" i="4"/>
  <c r="C50" i="4"/>
  <c r="B50" i="4"/>
  <c r="A50" i="4"/>
  <c r="R50" i="4" s="1"/>
  <c r="W49" i="4"/>
  <c r="AN49" i="5" s="1"/>
  <c r="T49" i="4"/>
  <c r="Q49" i="4"/>
  <c r="N49" i="4"/>
  <c r="M49" i="4"/>
  <c r="K49" i="4"/>
  <c r="J49" i="4"/>
  <c r="I49" i="4"/>
  <c r="H49" i="4"/>
  <c r="G49" i="4"/>
  <c r="F49" i="4"/>
  <c r="E49" i="4"/>
  <c r="D49" i="4"/>
  <c r="C49" i="4"/>
  <c r="B49" i="4"/>
  <c r="A49" i="4"/>
  <c r="V49" i="4" s="1"/>
  <c r="AM49" i="5" s="1"/>
  <c r="T48" i="4"/>
  <c r="K48" i="4"/>
  <c r="J48" i="4"/>
  <c r="I48" i="4"/>
  <c r="H48" i="4"/>
  <c r="G48" i="4"/>
  <c r="F48" i="4"/>
  <c r="E48" i="4"/>
  <c r="D48" i="4"/>
  <c r="C48" i="4"/>
  <c r="B48" i="4"/>
  <c r="A48" i="4"/>
  <c r="S48" i="4" s="1"/>
  <c r="T47" i="4"/>
  <c r="K47" i="4"/>
  <c r="J47" i="4"/>
  <c r="I47" i="4"/>
  <c r="H47" i="4"/>
  <c r="G47" i="4"/>
  <c r="F47" i="4"/>
  <c r="E47" i="4"/>
  <c r="D47" i="4"/>
  <c r="C47" i="4"/>
  <c r="B47" i="4"/>
  <c r="A47" i="4"/>
  <c r="O47" i="4" s="1"/>
  <c r="T46" i="4"/>
  <c r="O46" i="4"/>
  <c r="M46" i="4"/>
  <c r="L46" i="4"/>
  <c r="K46" i="4"/>
  <c r="J46" i="4"/>
  <c r="I46" i="4"/>
  <c r="H46" i="4"/>
  <c r="G46" i="4"/>
  <c r="F46" i="4"/>
  <c r="E46" i="4"/>
  <c r="D46" i="4"/>
  <c r="C46" i="4"/>
  <c r="B46" i="4"/>
  <c r="A46" i="4"/>
  <c r="V46" i="4" s="1"/>
  <c r="AM46" i="5" s="1"/>
  <c r="T45" i="4"/>
  <c r="Q45" i="4"/>
  <c r="O45" i="4"/>
  <c r="K45" i="4"/>
  <c r="J45" i="4"/>
  <c r="I45" i="4"/>
  <c r="H45" i="4"/>
  <c r="G45" i="4"/>
  <c r="F45" i="4"/>
  <c r="E45" i="4"/>
  <c r="D45" i="4"/>
  <c r="C45" i="4"/>
  <c r="B45" i="4"/>
  <c r="A45" i="4"/>
  <c r="N45" i="4" s="1"/>
  <c r="T44" i="4"/>
  <c r="K44" i="4"/>
  <c r="J44" i="4"/>
  <c r="I44" i="4"/>
  <c r="H44" i="4"/>
  <c r="G44" i="4"/>
  <c r="F44" i="4"/>
  <c r="E44" i="4"/>
  <c r="D44" i="4"/>
  <c r="C44" i="4"/>
  <c r="B44" i="4"/>
  <c r="A44" i="4"/>
  <c r="Q44" i="4" s="1"/>
  <c r="T43" i="4"/>
  <c r="K43" i="4"/>
  <c r="J43" i="4"/>
  <c r="I43" i="4"/>
  <c r="H43" i="4"/>
  <c r="G43" i="4"/>
  <c r="F43" i="4"/>
  <c r="E43" i="4"/>
  <c r="D43" i="4"/>
  <c r="C43" i="4"/>
  <c r="B43" i="4"/>
  <c r="A43" i="4"/>
  <c r="P43" i="4" s="1"/>
  <c r="V42" i="4"/>
  <c r="AM42" i="5" s="1"/>
  <c r="T42" i="4"/>
  <c r="O42" i="4"/>
  <c r="M42" i="4"/>
  <c r="L42" i="4"/>
  <c r="K42" i="4"/>
  <c r="J42" i="4"/>
  <c r="I42" i="4"/>
  <c r="H42" i="4"/>
  <c r="G42" i="4"/>
  <c r="F42" i="4"/>
  <c r="E42" i="4"/>
  <c r="D42" i="4"/>
  <c r="C42" i="4"/>
  <c r="B42" i="4"/>
  <c r="A42" i="4"/>
  <c r="S42" i="4" s="1"/>
  <c r="T41" i="4"/>
  <c r="K41" i="4"/>
  <c r="J41" i="4"/>
  <c r="I41" i="4"/>
  <c r="H41" i="4"/>
  <c r="G41" i="4"/>
  <c r="F41" i="4"/>
  <c r="E41" i="4"/>
  <c r="D41" i="4"/>
  <c r="C41" i="4"/>
  <c r="B41" i="4"/>
  <c r="A41" i="4"/>
  <c r="W40" i="4"/>
  <c r="AN40" i="5" s="1"/>
  <c r="V40" i="4"/>
  <c r="AM40" i="5" s="1"/>
  <c r="T40" i="4"/>
  <c r="P40" i="4"/>
  <c r="O40" i="4"/>
  <c r="M40" i="4"/>
  <c r="L40" i="4"/>
  <c r="K40" i="4"/>
  <c r="J40" i="4"/>
  <c r="I40" i="4"/>
  <c r="H40" i="4"/>
  <c r="G40" i="4"/>
  <c r="F40" i="4"/>
  <c r="E40" i="4"/>
  <c r="D40" i="4"/>
  <c r="C40" i="4"/>
  <c r="B40" i="4"/>
  <c r="A40" i="4"/>
  <c r="R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2" i="4"/>
  <c r="A2" i="4"/>
  <c r="S1" i="4" a="1"/>
  <c r="S1" i="4" s="1"/>
  <c r="R1" i="4" a="1"/>
  <c r="R1" i="4" s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H245" i="9" a="1"/>
  <c r="C240" i="9" a="1"/>
  <c r="H246" i="9" a="1"/>
  <c r="H226" i="9" a="1"/>
  <c r="C231" i="9" a="1"/>
  <c r="A7" i="4" a="1"/>
  <c r="H243" i="9" a="1"/>
  <c r="C234" i="9" a="1"/>
  <c r="C233" i="9" a="1"/>
  <c r="C225" i="9" a="1"/>
  <c r="H222" i="9" a="1"/>
  <c r="A6" i="4" a="1"/>
  <c r="C228" i="9" a="1"/>
  <c r="H225" i="9" a="1"/>
  <c r="C226" i="9" a="1"/>
  <c r="C227" i="9" a="1"/>
  <c r="C217" i="9" a="1"/>
  <c r="H240" i="9" a="1"/>
  <c r="H221" i="9" a="1"/>
  <c r="C224" i="9" a="1"/>
  <c r="H220" i="9" a="1"/>
  <c r="C239" i="9" a="1"/>
  <c r="H244" i="9" a="1"/>
  <c r="H217" i="9" a="1"/>
  <c r="C221" i="9" a="1"/>
  <c r="C220" i="9" a="1"/>
  <c r="A6" i="5" a="1"/>
  <c r="C219" i="9" a="1"/>
  <c r="C235" i="9" a="1"/>
  <c r="H228" i="9" a="1"/>
  <c r="C222" i="9" a="1"/>
  <c r="H224" i="9" a="1"/>
  <c r="C223" i="9" a="1"/>
  <c r="H218" i="9" a="1"/>
  <c r="C246" i="9" a="1"/>
  <c r="H233" i="9" a="1"/>
  <c r="C245" i="9" a="1"/>
  <c r="C244" i="9" a="1"/>
  <c r="C218" i="9" a="1"/>
  <c r="H234" i="9" a="1"/>
  <c r="C215" i="9" a="1"/>
  <c r="A7" i="5" a="1"/>
  <c r="P54" i="4" l="1"/>
  <c r="W61" i="4"/>
  <c r="AN61" i="5" s="1"/>
  <c r="S62" i="4"/>
  <c r="S66" i="4"/>
  <c r="S70" i="4"/>
  <c r="S74" i="4"/>
  <c r="P86" i="4"/>
  <c r="P90" i="4"/>
  <c r="R94" i="4"/>
  <c r="P96" i="4"/>
  <c r="R98" i="4"/>
  <c r="P112" i="4"/>
  <c r="R114" i="4"/>
  <c r="R145" i="4"/>
  <c r="S54" i="4"/>
  <c r="R86" i="4"/>
  <c r="R90" i="4"/>
  <c r="S94" i="4"/>
  <c r="S96" i="4"/>
  <c r="S98" i="4"/>
  <c r="O100" i="4"/>
  <c r="N101" i="4"/>
  <c r="P102" i="4"/>
  <c r="N103" i="4"/>
  <c r="L104" i="4"/>
  <c r="L106" i="4"/>
  <c r="W108" i="4"/>
  <c r="AN108" i="5" s="1"/>
  <c r="W111" i="4"/>
  <c r="AN111" i="5" s="1"/>
  <c r="S112" i="4"/>
  <c r="W113" i="4"/>
  <c r="AN113" i="5" s="1"/>
  <c r="S114" i="4"/>
  <c r="O116" i="4"/>
  <c r="N117" i="4"/>
  <c r="P118" i="4"/>
  <c r="N119" i="4"/>
  <c r="L120" i="4"/>
  <c r="L122" i="4"/>
  <c r="O124" i="4"/>
  <c r="N125" i="4"/>
  <c r="P137" i="4"/>
  <c r="R141" i="4"/>
  <c r="S145" i="4"/>
  <c r="N47" i="4"/>
  <c r="L48" i="4"/>
  <c r="R83" i="4"/>
  <c r="S86" i="4"/>
  <c r="S90" i="4"/>
  <c r="M107" i="4"/>
  <c r="R123" i="4"/>
  <c r="R137" i="4"/>
  <c r="N40" i="4"/>
  <c r="P42" i="4"/>
  <c r="N43" i="4"/>
  <c r="M44" i="4"/>
  <c r="R45" i="4"/>
  <c r="P46" i="4"/>
  <c r="Q47" i="4"/>
  <c r="Q48" i="4"/>
  <c r="R49" i="4"/>
  <c r="L50" i="4"/>
  <c r="P52" i="4"/>
  <c r="V54" i="4"/>
  <c r="AM54" i="5" s="1"/>
  <c r="L64" i="4"/>
  <c r="M65" i="4"/>
  <c r="L66" i="4"/>
  <c r="L68" i="4"/>
  <c r="M69" i="4"/>
  <c r="L70" i="4"/>
  <c r="L72" i="4"/>
  <c r="M73" i="4"/>
  <c r="L74" i="4"/>
  <c r="L76" i="4"/>
  <c r="N77" i="4"/>
  <c r="O78" i="4"/>
  <c r="P80" i="4"/>
  <c r="W81" i="4"/>
  <c r="AN81" i="5" s="1"/>
  <c r="R82" i="4"/>
  <c r="V87" i="4"/>
  <c r="AM87" i="5" s="1"/>
  <c r="V91" i="4"/>
  <c r="AM91" i="5" s="1"/>
  <c r="W96" i="4"/>
  <c r="AN96" i="5" s="1"/>
  <c r="W99" i="4"/>
  <c r="AN99" i="5" s="1"/>
  <c r="S100" i="4"/>
  <c r="W101" i="4"/>
  <c r="AN101" i="5" s="1"/>
  <c r="S102" i="4"/>
  <c r="O104" i="4"/>
  <c r="N105" i="4"/>
  <c r="P106" i="4"/>
  <c r="N107" i="4"/>
  <c r="L108" i="4"/>
  <c r="L110" i="4"/>
  <c r="W112" i="4"/>
  <c r="AN112" i="5" s="1"/>
  <c r="W115" i="4"/>
  <c r="AN115" i="5" s="1"/>
  <c r="W117" i="4"/>
  <c r="AN117" i="5" s="1"/>
  <c r="O120" i="4"/>
  <c r="N121" i="4"/>
  <c r="P122" i="4"/>
  <c r="V141" i="4"/>
  <c r="AM141" i="5" s="1"/>
  <c r="R143" i="4"/>
  <c r="L145" i="4"/>
  <c r="V145" i="4"/>
  <c r="AM145" i="5" s="1"/>
  <c r="Q42" i="4"/>
  <c r="O43" i="4"/>
  <c r="Q46" i="4"/>
  <c r="R47" i="4"/>
  <c r="S49" i="4"/>
  <c r="M50" i="4"/>
  <c r="S52" i="4"/>
  <c r="L60" i="4"/>
  <c r="M61" i="4"/>
  <c r="L62" i="4"/>
  <c r="O64" i="4"/>
  <c r="N65" i="4"/>
  <c r="M66" i="4"/>
  <c r="O68" i="4"/>
  <c r="N69" i="4"/>
  <c r="M70" i="4"/>
  <c r="O72" i="4"/>
  <c r="N73" i="4"/>
  <c r="M74" i="4"/>
  <c r="O76" i="4"/>
  <c r="P78" i="4"/>
  <c r="R79" i="4"/>
  <c r="S80" i="4"/>
  <c r="S82" i="4"/>
  <c r="V86" i="4"/>
  <c r="AM86" i="5" s="1"/>
  <c r="V90" i="4"/>
  <c r="AM90" i="5" s="1"/>
  <c r="V103" i="4"/>
  <c r="AM103" i="5" s="1"/>
  <c r="P104" i="4"/>
  <c r="R106" i="4"/>
  <c r="R107" i="4"/>
  <c r="N108" i="4"/>
  <c r="O110" i="4"/>
  <c r="V119" i="4"/>
  <c r="AM119" i="5" s="1"/>
  <c r="P120" i="4"/>
  <c r="R122" i="4"/>
  <c r="V137" i="4"/>
  <c r="AM137" i="5" s="1"/>
  <c r="R139" i="4"/>
  <c r="L141" i="4"/>
  <c r="W141" i="4"/>
  <c r="AN141" i="5" s="1"/>
  <c r="M145" i="4"/>
  <c r="W145" i="4"/>
  <c r="AN145" i="5" s="1"/>
  <c r="Q43" i="4"/>
  <c r="V44" i="4"/>
  <c r="AM44" i="5" s="1"/>
  <c r="O50" i="4"/>
  <c r="L54" i="4"/>
  <c r="O60" i="4"/>
  <c r="N61" i="4"/>
  <c r="M62" i="4"/>
  <c r="P64" i="4"/>
  <c r="O66" i="4"/>
  <c r="P68" i="4"/>
  <c r="O70" i="4"/>
  <c r="P72" i="4"/>
  <c r="O74" i="4"/>
  <c r="P76" i="4"/>
  <c r="W77" i="4"/>
  <c r="AN77" i="5" s="1"/>
  <c r="R78" i="4"/>
  <c r="L86" i="4"/>
  <c r="L90" i="4"/>
  <c r="L94" i="4"/>
  <c r="L96" i="4"/>
  <c r="L98" i="4"/>
  <c r="W100" i="4"/>
  <c r="AN100" i="5" s="1"/>
  <c r="W103" i="4"/>
  <c r="AN103" i="5" s="1"/>
  <c r="S104" i="4"/>
  <c r="W105" i="4"/>
  <c r="AN105" i="5" s="1"/>
  <c r="S106" i="4"/>
  <c r="O108" i="4"/>
  <c r="N109" i="4"/>
  <c r="P110" i="4"/>
  <c r="L112" i="4"/>
  <c r="L114" i="4"/>
  <c r="W116" i="4"/>
  <c r="AN116" i="5" s="1"/>
  <c r="W119" i="4"/>
  <c r="AN119" i="5" s="1"/>
  <c r="S120" i="4"/>
  <c r="W121" i="4"/>
  <c r="AN121" i="5" s="1"/>
  <c r="S122" i="4"/>
  <c r="R135" i="4"/>
  <c r="L137" i="4"/>
  <c r="W137" i="4"/>
  <c r="AN137" i="5" s="1"/>
  <c r="M141" i="4"/>
  <c r="N145" i="4"/>
  <c r="S43" i="4"/>
  <c r="V47" i="4"/>
  <c r="AM47" i="5" s="1"/>
  <c r="P50" i="4"/>
  <c r="M54" i="4"/>
  <c r="L56" i="4"/>
  <c r="M57" i="4"/>
  <c r="P60" i="4"/>
  <c r="O62" i="4"/>
  <c r="S64" i="4"/>
  <c r="V65" i="4"/>
  <c r="AM65" i="5" s="1"/>
  <c r="P66" i="4"/>
  <c r="S68" i="4"/>
  <c r="V69" i="4"/>
  <c r="AM69" i="5" s="1"/>
  <c r="P70" i="4"/>
  <c r="S72" i="4"/>
  <c r="V73" i="4"/>
  <c r="AM73" i="5" s="1"/>
  <c r="P74" i="4"/>
  <c r="S76" i="4"/>
  <c r="S78" i="4"/>
  <c r="V82" i="4"/>
  <c r="AM82" i="5" s="1"/>
  <c r="M86" i="4"/>
  <c r="M90" i="4"/>
  <c r="O94" i="4"/>
  <c r="N96" i="4"/>
  <c r="O98" i="4"/>
  <c r="V107" i="4"/>
  <c r="AM107" i="5" s="1"/>
  <c r="P108" i="4"/>
  <c r="R110" i="4"/>
  <c r="N112" i="4"/>
  <c r="O114" i="4"/>
  <c r="W133" i="4"/>
  <c r="AN133" i="5" s="1"/>
  <c r="M137" i="4"/>
  <c r="N141" i="4"/>
  <c r="O145" i="4"/>
  <c r="W107" i="4"/>
  <c r="AN107" i="5" s="1"/>
  <c r="N137" i="4"/>
  <c r="P145" i="4"/>
  <c r="L203" i="9"/>
  <c r="E202" i="9"/>
  <c r="L202" i="9"/>
  <c r="E209" i="9"/>
  <c r="L209" i="9"/>
  <c r="E206" i="9"/>
  <c r="L206" i="9"/>
  <c r="L204" i="9"/>
  <c r="E204" i="9"/>
  <c r="E208" i="9"/>
  <c r="L208" i="9"/>
  <c r="E207" i="9"/>
  <c r="L207" i="9"/>
  <c r="L205" i="9"/>
  <c r="E205" i="9"/>
  <c r="L140" i="9"/>
  <c r="L137" i="9"/>
  <c r="E140" i="9"/>
  <c r="L132" i="9"/>
  <c r="E132" i="9"/>
  <c r="L138" i="9"/>
  <c r="E138" i="9"/>
  <c r="L134" i="9"/>
  <c r="E134" i="9"/>
  <c r="E133" i="9"/>
  <c r="L133" i="9"/>
  <c r="L136" i="9"/>
  <c r="E136" i="9"/>
  <c r="E139" i="9"/>
  <c r="L139" i="9"/>
  <c r="H64" i="9" a="1"/>
  <c r="H64" i="9" s="1"/>
  <c r="E64" i="9" s="1"/>
  <c r="I64" i="9" a="1"/>
  <c r="I64" i="9" s="1"/>
  <c r="I63" i="9" a="1"/>
  <c r="I63" i="9" s="1"/>
  <c r="H63" i="9" a="1"/>
  <c r="H63" i="9" s="1"/>
  <c r="E63" i="9" s="1"/>
  <c r="H70" i="9" a="1"/>
  <c r="H70" i="9" s="1"/>
  <c r="E70" i="9" s="1"/>
  <c r="I70" i="9" a="1"/>
  <c r="I70" i="9" s="1"/>
  <c r="I69" i="9" a="1"/>
  <c r="I69" i="9" s="1"/>
  <c r="H69" i="9" a="1"/>
  <c r="H69" i="9" s="1"/>
  <c r="E69" i="9" s="1"/>
  <c r="H62" i="9" a="1"/>
  <c r="H62" i="9" s="1"/>
  <c r="E62" i="9" s="1"/>
  <c r="I62" i="9" a="1"/>
  <c r="I62" i="9" s="1"/>
  <c r="H67" i="9" a="1"/>
  <c r="H67" i="9" s="1"/>
  <c r="E67" i="9" s="1"/>
  <c r="I67" i="9" a="1"/>
  <c r="I67" i="9" s="1"/>
  <c r="H66" i="9" a="1"/>
  <c r="H66" i="9" s="1"/>
  <c r="E66" i="9" s="1"/>
  <c r="I66" i="9" a="1"/>
  <c r="I66" i="9" s="1"/>
  <c r="H68" i="9" a="1"/>
  <c r="H68" i="9" s="1"/>
  <c r="E68" i="9" s="1"/>
  <c r="I68" i="9" a="1"/>
  <c r="I68" i="9" s="1"/>
  <c r="I65" i="9" a="1"/>
  <c r="I65" i="9" s="1"/>
  <c r="H65" i="9" a="1"/>
  <c r="H65" i="9" s="1"/>
  <c r="E65" i="9" s="1"/>
  <c r="J68" i="9"/>
  <c r="A106" i="9"/>
  <c r="A107" i="9" s="1"/>
  <c r="A108" i="9" s="1"/>
  <c r="A109" i="9" s="1"/>
  <c r="A110" i="9" s="1"/>
  <c r="Q62" i="9"/>
  <c r="M69" i="9" a="1"/>
  <c r="M69" i="9" s="1"/>
  <c r="M67" i="9" a="1"/>
  <c r="M67" i="9" s="1"/>
  <c r="M65" i="9" a="1"/>
  <c r="M65" i="9" s="1"/>
  <c r="M68" i="9" a="1"/>
  <c r="M68" i="9" s="1"/>
  <c r="M64" i="9" a="1"/>
  <c r="M64" i="9" s="1"/>
  <c r="M63" i="9" a="1"/>
  <c r="M63" i="9" s="1"/>
  <c r="M70" i="9" a="1"/>
  <c r="M70" i="9" s="1"/>
  <c r="M66" i="9" a="1"/>
  <c r="M66" i="9" s="1"/>
  <c r="M62" i="9" a="1"/>
  <c r="M62" i="9" s="1"/>
  <c r="J70" i="9"/>
  <c r="J62" i="9"/>
  <c r="J65" i="9"/>
  <c r="J67" i="9"/>
  <c r="J64" i="9"/>
  <c r="J69" i="9"/>
  <c r="J66" i="9"/>
  <c r="J63" i="9"/>
  <c r="A5" i="9"/>
  <c r="A6" i="4"/>
  <c r="A7" i="4"/>
  <c r="A7" i="5"/>
  <c r="A6" i="5"/>
  <c r="C221" i="9"/>
  <c r="H244" i="9"/>
  <c r="H240" i="9"/>
  <c r="C245" i="9"/>
  <c r="H222" i="9"/>
  <c r="C231" i="9"/>
  <c r="C215" i="9"/>
  <c r="C223" i="9"/>
  <c r="H224" i="9"/>
  <c r="C239" i="9"/>
  <c r="C217" i="9"/>
  <c r="H218" i="9"/>
  <c r="C225" i="9"/>
  <c r="H226" i="9"/>
  <c r="H234" i="9"/>
  <c r="C235" i="9"/>
  <c r="C219" i="9"/>
  <c r="H220" i="9"/>
  <c r="C227" i="9"/>
  <c r="H228" i="9"/>
  <c r="C233" i="9"/>
  <c r="H246" i="9"/>
  <c r="C218" i="9"/>
  <c r="C220" i="9"/>
  <c r="C222" i="9"/>
  <c r="C224" i="9"/>
  <c r="C226" i="9"/>
  <c r="C228" i="9"/>
  <c r="C234" i="9"/>
  <c r="C240" i="9"/>
  <c r="C244" i="9"/>
  <c r="C246" i="9"/>
  <c r="H217" i="9"/>
  <c r="H221" i="9"/>
  <c r="H225" i="9"/>
  <c r="H233" i="9"/>
  <c r="H243" i="9"/>
  <c r="H245" i="9"/>
  <c r="L41" i="4"/>
  <c r="S41" i="4"/>
  <c r="Q41" i="4"/>
  <c r="P41" i="4"/>
  <c r="O41" i="4"/>
  <c r="W41" i="4"/>
  <c r="AN41" i="5" s="1"/>
  <c r="N41" i="4"/>
  <c r="V41" i="4"/>
  <c r="AM41" i="5" s="1"/>
  <c r="M41" i="4"/>
  <c r="R41" i="4"/>
  <c r="O51" i="4"/>
  <c r="L51" i="4"/>
  <c r="S51" i="4"/>
  <c r="P51" i="4"/>
  <c r="V51" i="4"/>
  <c r="AM51" i="5" s="1"/>
  <c r="Q128" i="4"/>
  <c r="P128" i="4"/>
  <c r="O128" i="4"/>
  <c r="W128" i="4"/>
  <c r="AN128" i="5" s="1"/>
  <c r="N128" i="4"/>
  <c r="A130" i="4"/>
  <c r="V128" i="4"/>
  <c r="AM128" i="5" s="1"/>
  <c r="M128" i="4"/>
  <c r="L128" i="4"/>
  <c r="S128" i="4"/>
  <c r="R128" i="4"/>
  <c r="V3" i="5"/>
  <c r="M3" i="4"/>
  <c r="Q40" i="4"/>
  <c r="O44" i="4"/>
  <c r="V45" i="4"/>
  <c r="AM45" i="5" s="1"/>
  <c r="M47" i="4"/>
  <c r="W47" i="4"/>
  <c r="AN47" i="5" s="1"/>
  <c r="W51" i="4"/>
  <c r="AN51" i="5" s="1"/>
  <c r="S40" i="4"/>
  <c r="L43" i="4"/>
  <c r="V43" i="4"/>
  <c r="AM43" i="5" s="1"/>
  <c r="P44" i="4"/>
  <c r="M45" i="4"/>
  <c r="W45" i="4"/>
  <c r="AN45" i="5" s="1"/>
  <c r="W48" i="4"/>
  <c r="AN48" i="5" s="1"/>
  <c r="N48" i="4"/>
  <c r="V48" i="4"/>
  <c r="AM48" i="5" s="1"/>
  <c r="M48" i="4"/>
  <c r="R48" i="4"/>
  <c r="S53" i="4"/>
  <c r="R53" i="4"/>
  <c r="P53" i="4"/>
  <c r="O53" i="4"/>
  <c r="L53" i="4"/>
  <c r="W53" i="4"/>
  <c r="AN53" i="5" s="1"/>
  <c r="Q59" i="4"/>
  <c r="W42" i="4"/>
  <c r="AN42" i="5" s="1"/>
  <c r="N42" i="4"/>
  <c r="R42" i="4"/>
  <c r="M43" i="4"/>
  <c r="W43" i="4"/>
  <c r="AN43" i="5" s="1"/>
  <c r="R46" i="4"/>
  <c r="W46" i="4"/>
  <c r="AN46" i="5" s="1"/>
  <c r="N46" i="4"/>
  <c r="S46" i="4"/>
  <c r="P49" i="4"/>
  <c r="O49" i="4"/>
  <c r="L49" i="4"/>
  <c r="M51" i="4"/>
  <c r="W44" i="4"/>
  <c r="AN44" i="5" s="1"/>
  <c r="N44" i="4"/>
  <c r="R44" i="4"/>
  <c r="S44" i="4"/>
  <c r="N51" i="4"/>
  <c r="Q51" i="4"/>
  <c r="M53" i="4"/>
  <c r="O55" i="4"/>
  <c r="W55" i="4"/>
  <c r="AN55" i="5" s="1"/>
  <c r="N55" i="4"/>
  <c r="L55" i="4"/>
  <c r="S55" i="4"/>
  <c r="P55" i="4"/>
  <c r="L47" i="4"/>
  <c r="P47" i="4"/>
  <c r="S47" i="4"/>
  <c r="O48" i="4"/>
  <c r="R51" i="4"/>
  <c r="N53" i="4"/>
  <c r="R43" i="4"/>
  <c r="L44" i="4"/>
  <c r="P45" i="4"/>
  <c r="L45" i="4"/>
  <c r="S45" i="4"/>
  <c r="P48" i="4"/>
  <c r="Q53" i="4"/>
  <c r="O59" i="4"/>
  <c r="W59" i="4"/>
  <c r="AN59" i="5" s="1"/>
  <c r="N59" i="4"/>
  <c r="V59" i="4"/>
  <c r="AM59" i="5" s="1"/>
  <c r="M59" i="4"/>
  <c r="L59" i="4"/>
  <c r="S59" i="4"/>
  <c r="P59" i="4"/>
  <c r="N50" i="4"/>
  <c r="W50" i="4"/>
  <c r="AN50" i="5" s="1"/>
  <c r="R52" i="4"/>
  <c r="N54" i="4"/>
  <c r="W54" i="4"/>
  <c r="AN54" i="5" s="1"/>
  <c r="R56" i="4"/>
  <c r="L57" i="4"/>
  <c r="N58" i="4"/>
  <c r="W58" i="4"/>
  <c r="AN58" i="5" s="1"/>
  <c r="R60" i="4"/>
  <c r="L61" i="4"/>
  <c r="N62" i="4"/>
  <c r="W62" i="4"/>
  <c r="AN62" i="5" s="1"/>
  <c r="P63" i="4"/>
  <c r="R64" i="4"/>
  <c r="L65" i="4"/>
  <c r="N66" i="4"/>
  <c r="W66" i="4"/>
  <c r="AN66" i="5" s="1"/>
  <c r="P67" i="4"/>
  <c r="R68" i="4"/>
  <c r="L69" i="4"/>
  <c r="N70" i="4"/>
  <c r="W70" i="4"/>
  <c r="AN70" i="5" s="1"/>
  <c r="P71" i="4"/>
  <c r="R72" i="4"/>
  <c r="L73" i="4"/>
  <c r="N74" i="4"/>
  <c r="W74" i="4"/>
  <c r="AN74" i="5" s="1"/>
  <c r="P75" i="4"/>
  <c r="R76" i="4"/>
  <c r="L77" i="4"/>
  <c r="N78" i="4"/>
  <c r="W78" i="4"/>
  <c r="AN78" i="5" s="1"/>
  <c r="P79" i="4"/>
  <c r="R80" i="4"/>
  <c r="L81" i="4"/>
  <c r="N82" i="4"/>
  <c r="W82" i="4"/>
  <c r="AN82" i="5" s="1"/>
  <c r="P83" i="4"/>
  <c r="R84" i="4"/>
  <c r="L85" i="4"/>
  <c r="N86" i="4"/>
  <c r="W86" i="4"/>
  <c r="AN86" i="5" s="1"/>
  <c r="P87" i="4"/>
  <c r="R88" i="4"/>
  <c r="L89" i="4"/>
  <c r="N90" i="4"/>
  <c r="W90" i="4"/>
  <c r="AN90" i="5" s="1"/>
  <c r="P91" i="4"/>
  <c r="R92" i="4"/>
  <c r="L93" i="4"/>
  <c r="N94" i="4"/>
  <c r="W94" i="4"/>
  <c r="AN94" i="5" s="1"/>
  <c r="P95" i="4"/>
  <c r="R96" i="4"/>
  <c r="L97" i="4"/>
  <c r="N98" i="4"/>
  <c r="W98" i="4"/>
  <c r="AN98" i="5" s="1"/>
  <c r="P99" i="4"/>
  <c r="R100" i="4"/>
  <c r="L101" i="4"/>
  <c r="N102" i="4"/>
  <c r="W102" i="4"/>
  <c r="AN102" i="5" s="1"/>
  <c r="P103" i="4"/>
  <c r="R104" i="4"/>
  <c r="L105" i="4"/>
  <c r="N106" i="4"/>
  <c r="W106" i="4"/>
  <c r="AN106" i="5" s="1"/>
  <c r="P107" i="4"/>
  <c r="R108" i="4"/>
  <c r="L109" i="4"/>
  <c r="N110" i="4"/>
  <c r="W110" i="4"/>
  <c r="AN110" i="5" s="1"/>
  <c r="P111" i="4"/>
  <c r="R112" i="4"/>
  <c r="L113" i="4"/>
  <c r="N114" i="4"/>
  <c r="W114" i="4"/>
  <c r="AN114" i="5" s="1"/>
  <c r="P115" i="4"/>
  <c r="R116" i="4"/>
  <c r="L117" i="4"/>
  <c r="N118" i="4"/>
  <c r="W118" i="4"/>
  <c r="AN118" i="5" s="1"/>
  <c r="P119" i="4"/>
  <c r="R120" i="4"/>
  <c r="L121" i="4"/>
  <c r="N122" i="4"/>
  <c r="W122" i="4"/>
  <c r="AN122" i="5" s="1"/>
  <c r="P123" i="4"/>
  <c r="R124" i="4"/>
  <c r="L125" i="4"/>
  <c r="N126" i="4"/>
  <c r="W126" i="4"/>
  <c r="AN126" i="5" s="1"/>
  <c r="P127" i="4"/>
  <c r="L129" i="4"/>
  <c r="P131" i="4"/>
  <c r="L133" i="4"/>
  <c r="P135" i="4"/>
  <c r="P139" i="4"/>
  <c r="P143" i="4"/>
  <c r="Q63" i="4"/>
  <c r="Q67" i="4"/>
  <c r="Q71" i="4"/>
  <c r="Q75" i="4"/>
  <c r="M77" i="4"/>
  <c r="V77" i="4"/>
  <c r="AM77" i="5" s="1"/>
  <c r="Q79" i="4"/>
  <c r="M81" i="4"/>
  <c r="V81" i="4"/>
  <c r="AM81" i="5" s="1"/>
  <c r="Q83" i="4"/>
  <c r="M85" i="4"/>
  <c r="V85" i="4"/>
  <c r="AM85" i="5" s="1"/>
  <c r="Q87" i="4"/>
  <c r="M89" i="4"/>
  <c r="V89" i="4"/>
  <c r="AM89" i="5" s="1"/>
  <c r="Q91" i="4"/>
  <c r="M93" i="4"/>
  <c r="V93" i="4"/>
  <c r="AM93" i="5" s="1"/>
  <c r="Q95" i="4"/>
  <c r="M97" i="4"/>
  <c r="V97" i="4"/>
  <c r="AM97" i="5" s="1"/>
  <c r="Q99" i="4"/>
  <c r="M101" i="4"/>
  <c r="V101" i="4"/>
  <c r="AM101" i="5" s="1"/>
  <c r="Q103" i="4"/>
  <c r="M105" i="4"/>
  <c r="V105" i="4"/>
  <c r="AM105" i="5" s="1"/>
  <c r="Q107" i="4"/>
  <c r="M109" i="4"/>
  <c r="V109" i="4"/>
  <c r="AM109" i="5" s="1"/>
  <c r="Q111" i="4"/>
  <c r="M113" i="4"/>
  <c r="V113" i="4"/>
  <c r="AM113" i="5" s="1"/>
  <c r="Q115" i="4"/>
  <c r="M117" i="4"/>
  <c r="V117" i="4"/>
  <c r="AM117" i="5" s="1"/>
  <c r="Q119" i="4"/>
  <c r="M121" i="4"/>
  <c r="V121" i="4"/>
  <c r="AM121" i="5" s="1"/>
  <c r="Q123" i="4"/>
  <c r="M125" i="4"/>
  <c r="V125" i="4"/>
  <c r="AM125" i="5" s="1"/>
  <c r="Q127" i="4"/>
  <c r="M129" i="4"/>
  <c r="V129" i="4"/>
  <c r="AM129" i="5" s="1"/>
  <c r="Q131" i="4"/>
  <c r="Q135" i="4"/>
  <c r="Q139" i="4"/>
  <c r="Q143" i="4"/>
  <c r="Q50" i="4"/>
  <c r="M52" i="4"/>
  <c r="V52" i="4"/>
  <c r="AM52" i="5" s="1"/>
  <c r="Q54" i="4"/>
  <c r="M56" i="4"/>
  <c r="V56" i="4"/>
  <c r="AM56" i="5" s="1"/>
  <c r="O57" i="4"/>
  <c r="Q58" i="4"/>
  <c r="M60" i="4"/>
  <c r="V60" i="4"/>
  <c r="AM60" i="5" s="1"/>
  <c r="O61" i="4"/>
  <c r="Q62" i="4"/>
  <c r="S63" i="4"/>
  <c r="M64" i="4"/>
  <c r="V64" i="4"/>
  <c r="AM64" i="5" s="1"/>
  <c r="O65" i="4"/>
  <c r="S67" i="4"/>
  <c r="M68" i="4"/>
  <c r="V68" i="4"/>
  <c r="AM68" i="5" s="1"/>
  <c r="O69" i="4"/>
  <c r="S71" i="4"/>
  <c r="M72" i="4"/>
  <c r="V72" i="4"/>
  <c r="AM72" i="5" s="1"/>
  <c r="O73" i="4"/>
  <c r="S75" i="4"/>
  <c r="M76" i="4"/>
  <c r="V76" i="4"/>
  <c r="AM76" i="5" s="1"/>
  <c r="O77" i="4"/>
  <c r="S79" i="4"/>
  <c r="M80" i="4"/>
  <c r="V80" i="4"/>
  <c r="AM80" i="5" s="1"/>
  <c r="O81" i="4"/>
  <c r="S83" i="4"/>
  <c r="M84" i="4"/>
  <c r="V84" i="4"/>
  <c r="AM84" i="5" s="1"/>
  <c r="O85" i="4"/>
  <c r="S87" i="4"/>
  <c r="M88" i="4"/>
  <c r="V88" i="4"/>
  <c r="AM88" i="5" s="1"/>
  <c r="O89" i="4"/>
  <c r="S91" i="4"/>
  <c r="M92" i="4"/>
  <c r="V92" i="4"/>
  <c r="AM92" i="5" s="1"/>
  <c r="O93" i="4"/>
  <c r="Q94" i="4"/>
  <c r="S95" i="4"/>
  <c r="M96" i="4"/>
  <c r="V96" i="4"/>
  <c r="AM96" i="5" s="1"/>
  <c r="O97" i="4"/>
  <c r="Q98" i="4"/>
  <c r="S99" i="4"/>
  <c r="M100" i="4"/>
  <c r="V100" i="4"/>
  <c r="AM100" i="5" s="1"/>
  <c r="O101" i="4"/>
  <c r="Q102" i="4"/>
  <c r="S103" i="4"/>
  <c r="M104" i="4"/>
  <c r="V104" i="4"/>
  <c r="AM104" i="5" s="1"/>
  <c r="O105" i="4"/>
  <c r="Q106" i="4"/>
  <c r="S107" i="4"/>
  <c r="M108" i="4"/>
  <c r="V108" i="4"/>
  <c r="AM108" i="5" s="1"/>
  <c r="O109" i="4"/>
  <c r="Q110" i="4"/>
  <c r="S111" i="4"/>
  <c r="M112" i="4"/>
  <c r="V112" i="4"/>
  <c r="AM112" i="5" s="1"/>
  <c r="O113" i="4"/>
  <c r="Q114" i="4"/>
  <c r="S115" i="4"/>
  <c r="M116" i="4"/>
  <c r="V116" i="4"/>
  <c r="AM116" i="5" s="1"/>
  <c r="O117" i="4"/>
  <c r="Q118" i="4"/>
  <c r="S119" i="4"/>
  <c r="M120" i="4"/>
  <c r="V120" i="4"/>
  <c r="AM120" i="5" s="1"/>
  <c r="O121" i="4"/>
  <c r="Q122" i="4"/>
  <c r="S123" i="4"/>
  <c r="M124" i="4"/>
  <c r="V124" i="4"/>
  <c r="AM124" i="5" s="1"/>
  <c r="O125" i="4"/>
  <c r="Q126" i="4"/>
  <c r="S127" i="4"/>
  <c r="O129" i="4"/>
  <c r="S131" i="4"/>
  <c r="O133" i="4"/>
  <c r="S135" i="4"/>
  <c r="S139" i="4"/>
  <c r="S143" i="4"/>
  <c r="N52" i="4"/>
  <c r="W52" i="4"/>
  <c r="AN52" i="5" s="1"/>
  <c r="N56" i="4"/>
  <c r="W56" i="4"/>
  <c r="AN56" i="5" s="1"/>
  <c r="P57" i="4"/>
  <c r="N60" i="4"/>
  <c r="W60" i="4"/>
  <c r="AN60" i="5" s="1"/>
  <c r="P61" i="4"/>
  <c r="L63" i="4"/>
  <c r="N64" i="4"/>
  <c r="W64" i="4"/>
  <c r="AN64" i="5" s="1"/>
  <c r="P65" i="4"/>
  <c r="L67" i="4"/>
  <c r="N68" i="4"/>
  <c r="W68" i="4"/>
  <c r="AN68" i="5" s="1"/>
  <c r="P69" i="4"/>
  <c r="L71" i="4"/>
  <c r="N72" i="4"/>
  <c r="W72" i="4"/>
  <c r="AN72" i="5" s="1"/>
  <c r="P73" i="4"/>
  <c r="L75" i="4"/>
  <c r="N76" i="4"/>
  <c r="W76" i="4"/>
  <c r="AN76" i="5" s="1"/>
  <c r="P77" i="4"/>
  <c r="L79" i="4"/>
  <c r="N80" i="4"/>
  <c r="W80" i="4"/>
  <c r="AN80" i="5" s="1"/>
  <c r="P81" i="4"/>
  <c r="L83" i="4"/>
  <c r="N84" i="4"/>
  <c r="W84" i="4"/>
  <c r="AN84" i="5" s="1"/>
  <c r="P85" i="4"/>
  <c r="L87" i="4"/>
  <c r="N88" i="4"/>
  <c r="W88" i="4"/>
  <c r="AN88" i="5" s="1"/>
  <c r="P89" i="4"/>
  <c r="L91" i="4"/>
  <c r="N92" i="4"/>
  <c r="W92" i="4"/>
  <c r="AN92" i="5" s="1"/>
  <c r="P93" i="4"/>
  <c r="L95" i="4"/>
  <c r="P97" i="4"/>
  <c r="L99" i="4"/>
  <c r="P101" i="4"/>
  <c r="L103" i="4"/>
  <c r="P105" i="4"/>
  <c r="L107" i="4"/>
  <c r="P109" i="4"/>
  <c r="L111" i="4"/>
  <c r="P113" i="4"/>
  <c r="L115" i="4"/>
  <c r="P117" i="4"/>
  <c r="L119" i="4"/>
  <c r="P121" i="4"/>
  <c r="L123" i="4"/>
  <c r="P125" i="4"/>
  <c r="L127" i="4"/>
  <c r="P129" i="4"/>
  <c r="L131" i="4"/>
  <c r="L135" i="4"/>
  <c r="L139" i="4"/>
  <c r="L143" i="4"/>
  <c r="Q57" i="4"/>
  <c r="Q61" i="4"/>
  <c r="M63" i="4"/>
  <c r="V63" i="4"/>
  <c r="AM63" i="5" s="1"/>
  <c r="Q65" i="4"/>
  <c r="M67" i="4"/>
  <c r="V67" i="4"/>
  <c r="AM67" i="5" s="1"/>
  <c r="Q69" i="4"/>
  <c r="M71" i="4"/>
  <c r="V71" i="4"/>
  <c r="AM71" i="5" s="1"/>
  <c r="Q73" i="4"/>
  <c r="M75" i="4"/>
  <c r="V75" i="4"/>
  <c r="AM75" i="5" s="1"/>
  <c r="Q77" i="4"/>
  <c r="M79" i="4"/>
  <c r="V79" i="4"/>
  <c r="AM79" i="5" s="1"/>
  <c r="Q81" i="4"/>
  <c r="M83" i="4"/>
  <c r="V83" i="4"/>
  <c r="AM83" i="5" s="1"/>
  <c r="Q85" i="4"/>
  <c r="Q89" i="4"/>
  <c r="Q93" i="4"/>
  <c r="Q97" i="4"/>
  <c r="Q101" i="4"/>
  <c r="Q105" i="4"/>
  <c r="Q109" i="4"/>
  <c r="Q113" i="4"/>
  <c r="Q117" i="4"/>
  <c r="Q121" i="4"/>
  <c r="M123" i="4"/>
  <c r="V123" i="4"/>
  <c r="AM123" i="5" s="1"/>
  <c r="Q125" i="4"/>
  <c r="M127" i="4"/>
  <c r="V127" i="4"/>
  <c r="AM127" i="5" s="1"/>
  <c r="Q129" i="4"/>
  <c r="M131" i="4"/>
  <c r="V131" i="4"/>
  <c r="AM131" i="5" s="1"/>
  <c r="Q133" i="4"/>
  <c r="M135" i="4"/>
  <c r="V135" i="4"/>
  <c r="AM135" i="5" s="1"/>
  <c r="Q137" i="4"/>
  <c r="M139" i="4"/>
  <c r="V139" i="4"/>
  <c r="AM139" i="5" s="1"/>
  <c r="Q141" i="4"/>
  <c r="M143" i="4"/>
  <c r="V143" i="4"/>
  <c r="AM143" i="5" s="1"/>
  <c r="R57" i="4"/>
  <c r="R61" i="4"/>
  <c r="N63" i="4"/>
  <c r="W63" i="4"/>
  <c r="AN63" i="5" s="1"/>
  <c r="R65" i="4"/>
  <c r="N67" i="4"/>
  <c r="W67" i="4"/>
  <c r="AN67" i="5" s="1"/>
  <c r="R69" i="4"/>
  <c r="N71" i="4"/>
  <c r="W71" i="4"/>
  <c r="AN71" i="5" s="1"/>
  <c r="R73" i="4"/>
  <c r="N75" i="4"/>
  <c r="W75" i="4"/>
  <c r="AN75" i="5" s="1"/>
  <c r="R77" i="4"/>
  <c r="N79" i="4"/>
  <c r="W79" i="4"/>
  <c r="AN79" i="5" s="1"/>
  <c r="R81" i="4"/>
  <c r="N83" i="4"/>
  <c r="W83" i="4"/>
  <c r="AN83" i="5" s="1"/>
  <c r="R85" i="4"/>
  <c r="N87" i="4"/>
  <c r="W87" i="4"/>
  <c r="AN87" i="5" s="1"/>
  <c r="R89" i="4"/>
  <c r="N91" i="4"/>
  <c r="W91" i="4"/>
  <c r="AN91" i="5" s="1"/>
  <c r="R93" i="4"/>
  <c r="N95" i="4"/>
  <c r="W95" i="4"/>
  <c r="AN95" i="5" s="1"/>
  <c r="R97" i="4"/>
  <c r="R101" i="4"/>
  <c r="R105" i="4"/>
  <c r="R109" i="4"/>
  <c r="R113" i="4"/>
  <c r="R117" i="4"/>
  <c r="R121" i="4"/>
  <c r="N123" i="4"/>
  <c r="W123" i="4"/>
  <c r="AN123" i="5" s="1"/>
  <c r="R125" i="4"/>
  <c r="N127" i="4"/>
  <c r="W127" i="4"/>
  <c r="AN127" i="5" s="1"/>
  <c r="R129" i="4"/>
  <c r="N131" i="4"/>
  <c r="W131" i="4"/>
  <c r="AN131" i="5" s="1"/>
  <c r="R133" i="4"/>
  <c r="N135" i="4"/>
  <c r="W135" i="4"/>
  <c r="AN135" i="5" s="1"/>
  <c r="N139" i="4"/>
  <c r="W139" i="4"/>
  <c r="AN139" i="5" s="1"/>
  <c r="N143" i="4"/>
  <c r="W143" i="4"/>
  <c r="AN143" i="5" s="1"/>
  <c r="M94" i="4"/>
  <c r="M98" i="4"/>
  <c r="M102" i="4"/>
  <c r="M106" i="4"/>
  <c r="M110" i="4"/>
  <c r="M114" i="4"/>
  <c r="M118" i="4"/>
  <c r="M122" i="4"/>
  <c r="M126" i="4"/>
  <c r="V126" i="4"/>
  <c r="AM126" i="5" s="1"/>
  <c r="H7" i="6"/>
  <c r="G7" i="6"/>
  <c r="G2" i="6"/>
  <c r="H5" i="6"/>
  <c r="G6" i="6"/>
  <c r="N8" i="6"/>
  <c r="H8" i="6" s="1"/>
  <c r="C180" i="9" a="1"/>
  <c r="C175" i="9" a="1"/>
  <c r="C60" i="9" a="1"/>
  <c r="C36" i="9" a="1"/>
  <c r="C18" i="9" a="1"/>
  <c r="C40" i="9" a="1"/>
  <c r="C20" i="9" a="1"/>
  <c r="C27" i="9" a="1"/>
  <c r="C29" i="9" a="1"/>
  <c r="C38" i="9" a="1"/>
  <c r="C39" i="9" a="1"/>
  <c r="C35" i="9" a="1"/>
  <c r="C25" i="9" a="1"/>
  <c r="C19" i="9" a="1"/>
  <c r="C23" i="9" a="1"/>
  <c r="C21" i="9" a="1"/>
  <c r="C22" i="9" a="1"/>
  <c r="C31" i="9" a="1"/>
  <c r="C34" i="9" a="1"/>
  <c r="C32" i="9" a="1"/>
  <c r="C33" i="9" a="1"/>
  <c r="C30" i="9" a="1"/>
  <c r="C28" i="9" a="1"/>
  <c r="C37" i="9" a="1"/>
  <c r="C26" i="9" a="1"/>
  <c r="C24" i="9" a="1"/>
  <c r="C105" i="9" a="1"/>
  <c r="C110" i="9" a="1"/>
  <c r="Q31" i="2"/>
  <c r="Q46" i="2"/>
  <c r="P32" i="2"/>
  <c r="Q47" i="2"/>
  <c r="R37" i="2"/>
  <c r="S51" i="2"/>
  <c r="Q20" i="2"/>
  <c r="R18" i="2"/>
  <c r="R54" i="2"/>
  <c r="T23" i="2"/>
  <c r="T25" i="2"/>
  <c r="S56" i="2"/>
  <c r="Q49" i="2"/>
  <c r="P23" i="2"/>
  <c r="P28" i="2"/>
  <c r="T50" i="2"/>
  <c r="T37" i="2"/>
  <c r="T45" i="2"/>
  <c r="Q19" i="2"/>
  <c r="R42" i="2"/>
  <c r="S55" i="2"/>
  <c r="T32" i="2"/>
  <c r="R56" i="2"/>
  <c r="P59" i="2"/>
  <c r="Q41" i="2"/>
  <c r="R43" i="2"/>
  <c r="R45" i="2"/>
  <c r="S42" i="2"/>
  <c r="T35" i="2"/>
  <c r="S43" i="2"/>
  <c r="T67" i="2"/>
  <c r="S26" i="2"/>
  <c r="S52" i="2"/>
  <c r="P40" i="2"/>
  <c r="S69" i="2"/>
  <c r="S54" i="2"/>
  <c r="Q62" i="2"/>
  <c r="H216" i="9" a="1"/>
  <c r="H237" i="9" a="1"/>
  <c r="S46" i="2"/>
  <c r="U57" i="2"/>
  <c r="R50" i="2"/>
  <c r="P54" i="2"/>
  <c r="T34" i="2"/>
  <c r="S20" i="2"/>
  <c r="S27" i="2"/>
  <c r="T24" i="2"/>
  <c r="U54" i="2"/>
  <c r="R31" i="2"/>
  <c r="P46" i="2"/>
  <c r="R53" i="2"/>
  <c r="P47" i="2"/>
  <c r="Q37" i="2"/>
  <c r="U59" i="2"/>
  <c r="P20" i="2"/>
  <c r="Q18" i="2"/>
  <c r="U66" i="2"/>
  <c r="S23" i="2"/>
  <c r="U25" i="2"/>
  <c r="T64" i="2"/>
  <c r="P49" i="2"/>
  <c r="Q23" i="2"/>
  <c r="R55" i="2"/>
  <c r="S50" i="2"/>
  <c r="U37" i="2"/>
  <c r="S53" i="2"/>
  <c r="R19" i="2"/>
  <c r="P42" i="2"/>
  <c r="S22" i="2"/>
  <c r="S32" i="2"/>
  <c r="Q56" i="2"/>
  <c r="R34" i="2"/>
  <c r="P41" i="2"/>
  <c r="Q43" i="2"/>
  <c r="S18" i="2"/>
  <c r="U42" i="2"/>
  <c r="U35" i="2"/>
  <c r="S49" i="2"/>
  <c r="S67" i="2"/>
  <c r="U26" i="2"/>
  <c r="U62" i="2"/>
  <c r="R40" i="2"/>
  <c r="U69" i="2"/>
  <c r="U47" i="2"/>
  <c r="R62" i="2"/>
  <c r="C216" i="9" a="1"/>
  <c r="C241" i="9" a="1"/>
  <c r="P51" i="2"/>
  <c r="R38" i="2"/>
  <c r="U40" i="2"/>
  <c r="Q33" i="2"/>
  <c r="T60" i="2"/>
  <c r="Q29" i="2"/>
  <c r="S39" i="2"/>
  <c r="S21" i="2"/>
  <c r="Q25" i="2"/>
  <c r="P61" i="2"/>
  <c r="Q22" i="2"/>
  <c r="U60" i="2"/>
  <c r="Q45" i="2"/>
  <c r="P24" i="2"/>
  <c r="R52" i="2"/>
  <c r="R46" i="2"/>
  <c r="Q53" i="2"/>
  <c r="P27" i="2"/>
  <c r="P37" i="2"/>
  <c r="T59" i="2"/>
  <c r="U44" i="2"/>
  <c r="P18" i="2"/>
  <c r="T66" i="2"/>
  <c r="U19" i="2"/>
  <c r="S25" i="2"/>
  <c r="U64" i="2"/>
  <c r="P58" i="2"/>
  <c r="R23" i="2"/>
  <c r="Q55" i="2"/>
  <c r="T29" i="2"/>
  <c r="S37" i="2"/>
  <c r="U53" i="2"/>
  <c r="U28" i="2"/>
  <c r="Q42" i="2"/>
  <c r="U22" i="2"/>
  <c r="P39" i="2"/>
  <c r="P56" i="2"/>
  <c r="Q34" i="2"/>
  <c r="R30" i="2"/>
  <c r="P43" i="2"/>
  <c r="U18" i="2"/>
  <c r="U58" i="2"/>
  <c r="S35" i="2"/>
  <c r="U49" i="2"/>
  <c r="R57" i="2"/>
  <c r="T26" i="2"/>
  <c r="T62" i="2"/>
  <c r="R44" i="2"/>
  <c r="T69" i="2"/>
  <c r="T47" i="2"/>
  <c r="H232" i="9" a="1"/>
  <c r="H241" i="9" a="1"/>
  <c r="R25" i="2"/>
  <c r="S70" i="2"/>
  <c r="Q48" i="2"/>
  <c r="T33" i="2"/>
  <c r="U48" i="2"/>
  <c r="Q36" i="2"/>
  <c r="U24" i="2"/>
  <c r="T63" i="2"/>
  <c r="C229" i="9" a="1"/>
  <c r="S68" i="2"/>
  <c r="P38" i="2"/>
  <c r="P48" i="2"/>
  <c r="T61" i="2"/>
  <c r="P29" i="2"/>
  <c r="U43" i="2"/>
  <c r="S63" i="2"/>
  <c r="Q52" i="2"/>
  <c r="R51" i="2"/>
  <c r="P53" i="2"/>
  <c r="Q27" i="2"/>
  <c r="U46" i="2"/>
  <c r="S59" i="2"/>
  <c r="T44" i="2"/>
  <c r="U70" i="2"/>
  <c r="S66" i="2"/>
  <c r="T19" i="2"/>
  <c r="S40" i="2"/>
  <c r="S64" i="2"/>
  <c r="Q58" i="2"/>
  <c r="P33" i="2"/>
  <c r="P55" i="2"/>
  <c r="U29" i="2"/>
  <c r="T41" i="2"/>
  <c r="T53" i="2"/>
  <c r="T28" i="2"/>
  <c r="U38" i="2"/>
  <c r="T22" i="2"/>
  <c r="R39" i="2"/>
  <c r="S65" i="2"/>
  <c r="P34" i="2"/>
  <c r="Q30" i="2"/>
  <c r="R36" i="2"/>
  <c r="T18" i="2"/>
  <c r="T58" i="2"/>
  <c r="U39" i="2"/>
  <c r="T49" i="2"/>
  <c r="Q57" i="2"/>
  <c r="T36" i="2"/>
  <c r="S62" i="2"/>
  <c r="Q44" i="2"/>
  <c r="T21" i="2"/>
  <c r="S47" i="2"/>
  <c r="C232" i="9" a="1"/>
  <c r="S30" i="2"/>
  <c r="S38" i="2"/>
  <c r="T27" i="2"/>
  <c r="Q24" i="2"/>
  <c r="U30" i="2"/>
  <c r="Q21" i="2"/>
  <c r="U33" i="2"/>
  <c r="T48" i="2"/>
  <c r="U31" i="2"/>
  <c r="Q60" i="2"/>
  <c r="Q50" i="2"/>
  <c r="P52" i="2"/>
  <c r="Q51" i="2"/>
  <c r="T68" i="2"/>
  <c r="R27" i="2"/>
  <c r="T46" i="2"/>
  <c r="R61" i="2"/>
  <c r="S44" i="2"/>
  <c r="T70" i="2"/>
  <c r="R26" i="2"/>
  <c r="S19" i="2"/>
  <c r="T40" i="2"/>
  <c r="R48" i="2"/>
  <c r="R58" i="2"/>
  <c r="R33" i="2"/>
  <c r="S34" i="2"/>
  <c r="S29" i="2"/>
  <c r="U41" i="2"/>
  <c r="S61" i="2"/>
  <c r="S28" i="2"/>
  <c r="T38" i="2"/>
  <c r="U20" i="2"/>
  <c r="Q39" i="2"/>
  <c r="U65" i="2"/>
  <c r="R29" i="2"/>
  <c r="P30" i="2"/>
  <c r="P36" i="2"/>
  <c r="U27" i="2"/>
  <c r="S58" i="2"/>
  <c r="T39" i="2"/>
  <c r="S57" i="2"/>
  <c r="P57" i="2"/>
  <c r="S36" i="2"/>
  <c r="R24" i="2"/>
  <c r="P44" i="2"/>
  <c r="U21" i="2"/>
  <c r="U63" i="2"/>
  <c r="B1" i="7" a="1"/>
  <c r="P50" i="2"/>
  <c r="Q61" i="2"/>
  <c r="R21" i="2"/>
  <c r="U34" i="2"/>
  <c r="U61" i="2"/>
  <c r="T65" i="2"/>
  <c r="T31" i="2"/>
  <c r="R60" i="2"/>
  <c r="R32" i="2"/>
  <c r="P26" i="2"/>
  <c r="R28" i="2"/>
  <c r="U55" i="2"/>
  <c r="P35" i="2"/>
  <c r="T52" i="2"/>
  <c r="P31" i="2"/>
  <c r="P25" i="2"/>
  <c r="Q32" i="2"/>
  <c r="R47" i="2"/>
  <c r="T30" i="2"/>
  <c r="T51" i="2"/>
  <c r="R20" i="2"/>
  <c r="Q38" i="2"/>
  <c r="Q54" i="2"/>
  <c r="U23" i="2"/>
  <c r="P21" i="2"/>
  <c r="U56" i="2"/>
  <c r="R49" i="2"/>
  <c r="P22" i="2"/>
  <c r="Q28" i="2"/>
  <c r="U50" i="2"/>
  <c r="S33" i="2"/>
  <c r="U45" i="2"/>
  <c r="P19" i="2"/>
  <c r="S60" i="2"/>
  <c r="T55" i="2"/>
  <c r="U32" i="2"/>
  <c r="S48" i="2"/>
  <c r="Q59" i="2"/>
  <c r="R41" i="2"/>
  <c r="Q35" i="2"/>
  <c r="P45" i="2"/>
  <c r="T42" i="2"/>
  <c r="S31" i="2"/>
  <c r="T43" i="2"/>
  <c r="U67" i="2"/>
  <c r="S24" i="2"/>
  <c r="U52" i="2"/>
  <c r="Q40" i="2"/>
  <c r="P60" i="2"/>
  <c r="T54" i="2"/>
  <c r="P62" i="2"/>
  <c r="C236" i="9" a="1"/>
  <c r="C237" i="9" a="1"/>
  <c r="U68" i="2"/>
  <c r="Q26" i="2"/>
  <c r="R22" i="2"/>
  <c r="S41" i="2"/>
  <c r="T20" i="2"/>
  <c r="R35" i="2"/>
  <c r="U36" i="2"/>
  <c r="U51" i="2"/>
  <c r="T56" i="2"/>
  <c r="S45" i="2"/>
  <c r="R59" i="2"/>
  <c r="T57" i="2"/>
  <c r="H236" i="9" a="1"/>
  <c r="H229" i="9" a="1"/>
  <c r="V62" i="2" l="1"/>
  <c r="V60" i="2"/>
  <c r="C200" i="9" s="1" a="1"/>
  <c r="C200" i="9" s="1"/>
  <c r="I200" i="9" s="1" a="1"/>
  <c r="I200" i="9" s="1"/>
  <c r="V44" i="2"/>
  <c r="C184" i="9" s="1" a="1"/>
  <c r="C184" i="9" s="1"/>
  <c r="I184" i="9" s="1" a="1"/>
  <c r="I184" i="9" s="1"/>
  <c r="V40" i="2"/>
  <c r="V24" i="2"/>
  <c r="C164" i="9" s="1" a="1"/>
  <c r="C164" i="9" s="1"/>
  <c r="I164" i="9" s="1" a="1"/>
  <c r="I164" i="9" s="1"/>
  <c r="V57" i="2"/>
  <c r="C197" i="9" s="1" a="1"/>
  <c r="C197" i="9" s="1"/>
  <c r="I197" i="9" s="1" a="1"/>
  <c r="I197" i="9" s="1"/>
  <c r="V45" i="2"/>
  <c r="C185" i="9" s="1" a="1"/>
  <c r="C185" i="9" s="1"/>
  <c r="I185" i="9" s="1" a="1"/>
  <c r="I185" i="9" s="1"/>
  <c r="V36" i="2"/>
  <c r="C176" i="9" s="1" a="1"/>
  <c r="C176" i="9" s="1"/>
  <c r="I176" i="9" s="1" a="1"/>
  <c r="I176" i="9" s="1"/>
  <c r="V43" i="2"/>
  <c r="C183" i="9" s="1" a="1"/>
  <c r="C183" i="9" s="1"/>
  <c r="I183" i="9" s="1" a="1"/>
  <c r="I183" i="9" s="1"/>
  <c r="V35" i="2"/>
  <c r="V30" i="2"/>
  <c r="C170" i="9" s="1" a="1"/>
  <c r="C170" i="9" s="1"/>
  <c r="I170" i="9" s="1" a="1"/>
  <c r="I170" i="9" s="1"/>
  <c r="V41" i="2"/>
  <c r="C181" i="9" s="1" a="1"/>
  <c r="C181" i="9" s="1"/>
  <c r="I181" i="9" s="1" a="1"/>
  <c r="I181" i="9" s="1"/>
  <c r="V29" i="2"/>
  <c r="C169" i="9" s="1" a="1"/>
  <c r="C169" i="9" s="1"/>
  <c r="I169" i="9" s="1" a="1"/>
  <c r="I169" i="9" s="1"/>
  <c r="V34" i="2"/>
  <c r="C174" i="9" s="1" a="1"/>
  <c r="C174" i="9" s="1"/>
  <c r="I174" i="9" s="1" a="1"/>
  <c r="I174" i="9" s="1"/>
  <c r="V59" i="2"/>
  <c r="C199" i="9" s="1" a="1"/>
  <c r="C199" i="9" s="1"/>
  <c r="I199" i="9" s="1" a="1"/>
  <c r="I199" i="9" s="1"/>
  <c r="V56" i="2"/>
  <c r="C196" i="9" s="1" a="1"/>
  <c r="C196" i="9" s="1"/>
  <c r="I196" i="9" s="1" a="1"/>
  <c r="I196" i="9" s="1"/>
  <c r="V39" i="2"/>
  <c r="C179" i="9" s="1" a="1"/>
  <c r="C179" i="9" s="1"/>
  <c r="I179" i="9" s="1" a="1"/>
  <c r="I179" i="9" s="1"/>
  <c r="V42" i="2"/>
  <c r="C182" i="9" s="1" a="1"/>
  <c r="C182" i="9" s="1"/>
  <c r="I182" i="9" s="1" a="1"/>
  <c r="I182" i="9" s="1"/>
  <c r="V19" i="2"/>
  <c r="C159" i="9" s="1" a="1"/>
  <c r="C159" i="9" s="1"/>
  <c r="I159" i="9" s="1" a="1"/>
  <c r="I159" i="9" s="1"/>
  <c r="V55" i="2"/>
  <c r="C195" i="9" s="1" a="1"/>
  <c r="C195" i="9" s="1"/>
  <c r="V28" i="2"/>
  <c r="C168" i="9" s="1" a="1"/>
  <c r="C168" i="9" s="1"/>
  <c r="I168" i="9" s="1" a="1"/>
  <c r="I168" i="9" s="1"/>
  <c r="V33" i="2"/>
  <c r="C173" i="9" s="1" a="1"/>
  <c r="C173" i="9" s="1"/>
  <c r="I173" i="9" s="1" a="1"/>
  <c r="I173" i="9" s="1"/>
  <c r="V23" i="2"/>
  <c r="C163" i="9" s="1" a="1"/>
  <c r="C163" i="9" s="1"/>
  <c r="I163" i="9" s="1" a="1"/>
  <c r="I163" i="9" s="1"/>
  <c r="V22" i="2"/>
  <c r="C162" i="9" s="1" a="1"/>
  <c r="C162" i="9" s="1"/>
  <c r="I162" i="9" s="1" a="1"/>
  <c r="I162" i="9" s="1"/>
  <c r="V58" i="2"/>
  <c r="C198" i="9" s="1" a="1"/>
  <c r="C198" i="9" s="1"/>
  <c r="I198" i="9" s="1" a="1"/>
  <c r="I198" i="9" s="1"/>
  <c r="V49" i="2"/>
  <c r="C189" i="9" s="1" a="1"/>
  <c r="C189" i="9" s="1"/>
  <c r="I189" i="9" s="1" a="1"/>
  <c r="I189" i="9" s="1"/>
  <c r="V48" i="2"/>
  <c r="C188" i="9" s="1" a="1"/>
  <c r="C188" i="9" s="1"/>
  <c r="I188" i="9" s="1" a="1"/>
  <c r="I188" i="9" s="1"/>
  <c r="V21" i="2"/>
  <c r="C161" i="9" s="1" a="1"/>
  <c r="C161" i="9" s="1"/>
  <c r="V26" i="2"/>
  <c r="C166" i="9" s="1" a="1"/>
  <c r="C166" i="9" s="1"/>
  <c r="I166" i="9" s="1" a="1"/>
  <c r="I166" i="9" s="1"/>
  <c r="V54" i="2"/>
  <c r="C194" i="9" s="1" a="1"/>
  <c r="C194" i="9" s="1"/>
  <c r="I194" i="9" s="1" a="1"/>
  <c r="I194" i="9" s="1"/>
  <c r="V18" i="2"/>
  <c r="C158" i="9" s="1" a="1"/>
  <c r="C158" i="9" s="1"/>
  <c r="I158" i="9" s="1" a="1"/>
  <c r="I158" i="9" s="1"/>
  <c r="V38" i="2"/>
  <c r="C178" i="9" s="1" a="1"/>
  <c r="C178" i="9" s="1"/>
  <c r="I178" i="9" s="1" a="1"/>
  <c r="I178" i="9" s="1"/>
  <c r="V20" i="2"/>
  <c r="C160" i="9" s="1" a="1"/>
  <c r="C160" i="9" s="1"/>
  <c r="I160" i="9" s="1" a="1"/>
  <c r="I160" i="9" s="1"/>
  <c r="V61" i="2"/>
  <c r="C201" i="9" s="1" a="1"/>
  <c r="C201" i="9" s="1"/>
  <c r="I201" i="9" s="1" a="1"/>
  <c r="I201" i="9" s="1"/>
  <c r="V37" i="2"/>
  <c r="C177" i="9" s="1" a="1"/>
  <c r="C177" i="9" s="1"/>
  <c r="I177" i="9" s="1" a="1"/>
  <c r="I177" i="9" s="1"/>
  <c r="V27" i="2"/>
  <c r="C167" i="9" s="1" a="1"/>
  <c r="C167" i="9" s="1"/>
  <c r="V47" i="2"/>
  <c r="C187" i="9" s="1" a="1"/>
  <c r="C187" i="9" s="1"/>
  <c r="I187" i="9" s="1" a="1"/>
  <c r="I187" i="9" s="1"/>
  <c r="V53" i="2"/>
  <c r="C193" i="9" s="1" a="1"/>
  <c r="C193" i="9" s="1"/>
  <c r="I193" i="9" s="1" a="1"/>
  <c r="I193" i="9" s="1"/>
  <c r="V32" i="2"/>
  <c r="C172" i="9" s="1" a="1"/>
  <c r="C172" i="9" s="1"/>
  <c r="I172" i="9" s="1" a="1"/>
  <c r="I172" i="9" s="1"/>
  <c r="V51" i="2"/>
  <c r="C191" i="9" s="1" a="1"/>
  <c r="C191" i="9" s="1"/>
  <c r="I191" i="9" s="1" a="1"/>
  <c r="I191" i="9" s="1"/>
  <c r="V46" i="2"/>
  <c r="C186" i="9" s="1" a="1"/>
  <c r="C186" i="9" s="1"/>
  <c r="I186" i="9" s="1" a="1"/>
  <c r="I186" i="9" s="1"/>
  <c r="V25" i="2"/>
  <c r="C165" i="9" s="1" a="1"/>
  <c r="C165" i="9" s="1"/>
  <c r="I165" i="9" s="1" a="1"/>
  <c r="I165" i="9" s="1"/>
  <c r="V52" i="2"/>
  <c r="C192" i="9" s="1" a="1"/>
  <c r="C192" i="9" s="1"/>
  <c r="I192" i="9" s="1" a="1"/>
  <c r="I192" i="9" s="1"/>
  <c r="V31" i="2"/>
  <c r="C171" i="9" s="1" a="1"/>
  <c r="C171" i="9" s="1"/>
  <c r="V50" i="2"/>
  <c r="C190" i="9" a="1"/>
  <c r="C190" i="9" s="1"/>
  <c r="C50" i="9" a="1"/>
  <c r="C50" i="9" s="1"/>
  <c r="C175" i="9"/>
  <c r="H175" i="9" s="1" a="1"/>
  <c r="C180" i="9"/>
  <c r="I180" i="9" s="1" a="1"/>
  <c r="C60" i="9"/>
  <c r="C24" i="9"/>
  <c r="C26" i="9"/>
  <c r="C37" i="9"/>
  <c r="C28" i="9"/>
  <c r="C30" i="9"/>
  <c r="C33" i="9"/>
  <c r="C32" i="9"/>
  <c r="C34" i="9"/>
  <c r="C31" i="9"/>
  <c r="C22" i="9"/>
  <c r="C21" i="9"/>
  <c r="C23" i="9"/>
  <c r="C19" i="9"/>
  <c r="C25" i="9"/>
  <c r="C35" i="9"/>
  <c r="C39" i="9"/>
  <c r="C38" i="9"/>
  <c r="C29" i="9"/>
  <c r="C27" i="9"/>
  <c r="C20" i="9"/>
  <c r="C40" i="9"/>
  <c r="C18" i="9"/>
  <c r="C36" i="9"/>
  <c r="C125" i="9" a="1"/>
  <c r="C125" i="9" s="1"/>
  <c r="C129" i="9" a="1"/>
  <c r="C129" i="9" s="1"/>
  <c r="C122" i="9" a="1"/>
  <c r="C122" i="9" s="1"/>
  <c r="C52" i="9" a="1"/>
  <c r="C52" i="9" s="1"/>
  <c r="C123" i="9" a="1"/>
  <c r="C123" i="9" s="1"/>
  <c r="C128" i="9" a="1"/>
  <c r="C128" i="9" s="1"/>
  <c r="C119" i="9" a="1"/>
  <c r="C119" i="9" s="1"/>
  <c r="C126" i="9" a="1"/>
  <c r="C126" i="9" s="1"/>
  <c r="C127" i="9" a="1"/>
  <c r="C127" i="9" s="1"/>
  <c r="C124" i="9" a="1"/>
  <c r="C124" i="9" s="1"/>
  <c r="C113" i="9" a="1"/>
  <c r="C113" i="9" s="1"/>
  <c r="C118" i="9" a="1"/>
  <c r="C118" i="9" s="1"/>
  <c r="C111" i="9" a="1"/>
  <c r="C111" i="9" s="1"/>
  <c r="C117" i="9" a="1"/>
  <c r="C117" i="9" s="1"/>
  <c r="C112" i="9" a="1"/>
  <c r="C112" i="9" s="1"/>
  <c r="C120" i="9" a="1"/>
  <c r="C120" i="9" s="1"/>
  <c r="C116" i="9" a="1"/>
  <c r="C116" i="9" s="1"/>
  <c r="C121" i="9" a="1"/>
  <c r="C121" i="9" s="1"/>
  <c r="C114" i="9" a="1"/>
  <c r="C114" i="9" s="1"/>
  <c r="C115" i="9" a="1"/>
  <c r="C115" i="9" s="1"/>
  <c r="C130" i="9" a="1"/>
  <c r="C130" i="9" s="1"/>
  <c r="C131" i="9" a="1"/>
  <c r="C131" i="9" s="1"/>
  <c r="C105" i="9"/>
  <c r="H105" i="9" s="1" a="1"/>
  <c r="C97" i="9" a="1"/>
  <c r="C97" i="9" s="1"/>
  <c r="Q158" i="9"/>
  <c r="P158" i="9" s="1"/>
  <c r="C88" i="9" a="1"/>
  <c r="C88" i="9" s="1"/>
  <c r="C106" i="9" a="1"/>
  <c r="C106" i="9" s="1"/>
  <c r="C92" i="9" a="1"/>
  <c r="C92" i="9" s="1"/>
  <c r="C108" i="9" a="1"/>
  <c r="C108" i="9" s="1"/>
  <c r="M169" i="9" a="1"/>
  <c r="M169" i="9" s="1"/>
  <c r="C99" i="9" a="1"/>
  <c r="C99" i="9" s="1"/>
  <c r="H160" i="9" a="1"/>
  <c r="H160" i="9" s="1"/>
  <c r="E160" i="9" s="1"/>
  <c r="C90" i="9" a="1"/>
  <c r="C90" i="9" s="1"/>
  <c r="C94" i="9" a="1"/>
  <c r="C94" i="9" s="1"/>
  <c r="C96" i="9" a="1"/>
  <c r="C96" i="9" s="1"/>
  <c r="H177" i="9" a="1"/>
  <c r="H177" i="9" s="1"/>
  <c r="C107" i="9" a="1"/>
  <c r="C107" i="9" s="1"/>
  <c r="J168" i="9"/>
  <c r="C98" i="9" a="1"/>
  <c r="C98" i="9" s="1"/>
  <c r="C100" i="9" a="1"/>
  <c r="C100" i="9" s="1"/>
  <c r="C103" i="9" a="1"/>
  <c r="C103" i="9" s="1"/>
  <c r="C102" i="9" a="1"/>
  <c r="C102" i="9" s="1"/>
  <c r="K174" i="9"/>
  <c r="C104" i="9" a="1"/>
  <c r="C104" i="9" s="1"/>
  <c r="C101" i="9" a="1"/>
  <c r="C101" i="9" s="1"/>
  <c r="C91" i="9" a="1"/>
  <c r="C91" i="9" s="1"/>
  <c r="M163" i="9" a="1"/>
  <c r="M163" i="9" s="1"/>
  <c r="C93" i="9" a="1"/>
  <c r="C93" i="9" s="1"/>
  <c r="Q159" i="9"/>
  <c r="P159" i="9" s="1"/>
  <c r="C89" i="9" a="1"/>
  <c r="C89" i="9" s="1"/>
  <c r="C95" i="9" a="1"/>
  <c r="C95" i="9" s="1"/>
  <c r="C109" i="9" a="1"/>
  <c r="C109" i="9" s="1"/>
  <c r="C110" i="9"/>
  <c r="H110" i="9" s="1" a="1"/>
  <c r="K199" i="9"/>
  <c r="M193" i="9" a="1"/>
  <c r="M193" i="9" s="1"/>
  <c r="D198" i="9" a="1"/>
  <c r="D198" i="9" s="1"/>
  <c r="F198" i="9" s="1" a="1"/>
  <c r="F198" i="9" s="1"/>
  <c r="G198" i="9" s="1"/>
  <c r="K197" i="9"/>
  <c r="J200" i="9"/>
  <c r="M194" i="9" a="1"/>
  <c r="M194" i="9" s="1"/>
  <c r="D187" i="9" a="1"/>
  <c r="D187" i="9" s="1"/>
  <c r="F187" i="9" s="1" a="1"/>
  <c r="F187" i="9" s="1"/>
  <c r="G187" i="9" s="1"/>
  <c r="J184" i="9"/>
  <c r="H184" i="9" a="1"/>
  <c r="H184" i="9" s="1"/>
  <c r="Q184" i="9"/>
  <c r="P184" i="9" s="1"/>
  <c r="D184" i="9" a="1"/>
  <c r="D184" i="9" s="1"/>
  <c r="F184" i="9" s="1" a="1"/>
  <c r="F184" i="9" s="1"/>
  <c r="G184" i="9" s="1"/>
  <c r="Q199" i="9"/>
  <c r="P199" i="9" s="1"/>
  <c r="M199" i="9" a="1"/>
  <c r="M199" i="9" s="1"/>
  <c r="H199" i="9" a="1"/>
  <c r="H199" i="9" s="1"/>
  <c r="D199" i="9" a="1"/>
  <c r="D199" i="9" s="1"/>
  <c r="F199" i="9" s="1" a="1"/>
  <c r="F199" i="9" s="1"/>
  <c r="G199" i="9" s="1"/>
  <c r="J199" i="9"/>
  <c r="J196" i="9"/>
  <c r="K196" i="9"/>
  <c r="H196" i="9" a="1"/>
  <c r="H196" i="9" s="1"/>
  <c r="M174" i="9" a="1"/>
  <c r="M174" i="9" s="1"/>
  <c r="H173" i="9" a="1"/>
  <c r="H173" i="9" s="1"/>
  <c r="K173" i="9"/>
  <c r="Q173" i="9"/>
  <c r="P173" i="9" s="1"/>
  <c r="J173" i="9"/>
  <c r="M173" i="9" a="1"/>
  <c r="M173" i="9" s="1"/>
  <c r="D173" i="9" a="1"/>
  <c r="D173" i="9" s="1"/>
  <c r="F173" i="9" s="1" a="1"/>
  <c r="F173" i="9" s="1"/>
  <c r="G173" i="9" s="1"/>
  <c r="K163" i="9"/>
  <c r="H159" i="9" a="1"/>
  <c r="H159" i="9" s="1"/>
  <c r="Q169" i="9"/>
  <c r="P169" i="9" s="1"/>
  <c r="K158" i="9"/>
  <c r="H166" i="9" a="1"/>
  <c r="H166" i="9" s="1"/>
  <c r="E166" i="9" s="1"/>
  <c r="K166" i="9"/>
  <c r="J166" i="9"/>
  <c r="D166" i="9" a="1"/>
  <c r="D166" i="9" s="1"/>
  <c r="F166" i="9" s="1" a="1"/>
  <c r="F166" i="9" s="1"/>
  <c r="G166" i="9" s="1"/>
  <c r="Q166" i="9"/>
  <c r="P166" i="9" s="1"/>
  <c r="M166" i="9" a="1"/>
  <c r="M166" i="9" s="1"/>
  <c r="J179" i="9"/>
  <c r="D177" i="9" a="1"/>
  <c r="D177" i="9" s="1"/>
  <c r="F177" i="9" s="1" a="1"/>
  <c r="F177" i="9" s="1"/>
  <c r="G177" i="9" s="1"/>
  <c r="A111" i="9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6" i="9"/>
  <c r="H241" i="9"/>
  <c r="C241" i="9"/>
  <c r="H237" i="9"/>
  <c r="C237" i="9"/>
  <c r="H229" i="9"/>
  <c r="C229" i="9"/>
  <c r="B1" i="7"/>
  <c r="C232" i="9"/>
  <c r="H232" i="9"/>
  <c r="C216" i="9"/>
  <c r="H216" i="9"/>
  <c r="C236" i="9"/>
  <c r="H236" i="9"/>
  <c r="I8" i="6"/>
  <c r="I7" i="6"/>
  <c r="X3" i="5"/>
  <c r="N3" i="4"/>
  <c r="K221" i="9"/>
  <c r="L221" i="9" s="1"/>
  <c r="Q221" i="9"/>
  <c r="P221" i="9" s="1"/>
  <c r="J224" i="9"/>
  <c r="F224" i="9"/>
  <c r="G224" i="9" s="1"/>
  <c r="K220" i="9"/>
  <c r="L220" i="9" s="1"/>
  <c r="Q220" i="9"/>
  <c r="P220" i="9" s="1"/>
  <c r="J239" i="9"/>
  <c r="Q244" i="9"/>
  <c r="P244" i="9" s="1"/>
  <c r="K244" i="9"/>
  <c r="L244" i="9" s="1"/>
  <c r="I5" i="6"/>
  <c r="W3" i="5"/>
  <c r="X4" i="5"/>
  <c r="K217" i="9"/>
  <c r="L217" i="9" s="1"/>
  <c r="Q217" i="9"/>
  <c r="P217" i="9" s="1"/>
  <c r="J222" i="9"/>
  <c r="F222" i="9"/>
  <c r="G222" i="9" s="1"/>
  <c r="J219" i="9"/>
  <c r="K224" i="9"/>
  <c r="L224" i="9" s="1"/>
  <c r="Q224" i="9"/>
  <c r="P224" i="9" s="1"/>
  <c r="F221" i="9"/>
  <c r="G221" i="9" s="1"/>
  <c r="J221" i="9"/>
  <c r="F246" i="9"/>
  <c r="G246" i="9" s="1"/>
  <c r="J246" i="9"/>
  <c r="J220" i="9"/>
  <c r="F220" i="9"/>
  <c r="G220" i="9" s="1"/>
  <c r="J235" i="9"/>
  <c r="J223" i="9"/>
  <c r="A8" i="5" a="1"/>
  <c r="A8" i="5" s="1"/>
  <c r="AL6" i="5"/>
  <c r="F244" i="9"/>
  <c r="G244" i="9" s="1"/>
  <c r="J244" i="9"/>
  <c r="J218" i="9"/>
  <c r="F218" i="9"/>
  <c r="G218" i="9" s="1"/>
  <c r="Q234" i="9"/>
  <c r="P234" i="9" s="1"/>
  <c r="K234" i="9"/>
  <c r="L234" i="9" s="1"/>
  <c r="J215" i="9"/>
  <c r="AL7" i="5"/>
  <c r="A9" i="5" a="1"/>
  <c r="A9" i="5" s="1"/>
  <c r="K245" i="9"/>
  <c r="L245" i="9" s="1"/>
  <c r="Q245" i="9"/>
  <c r="P245" i="9" s="1"/>
  <c r="F240" i="9"/>
  <c r="G240" i="9" s="1"/>
  <c r="J240" i="9"/>
  <c r="Q246" i="9"/>
  <c r="P246" i="9" s="1"/>
  <c r="K246" i="9"/>
  <c r="L246" i="9" s="1"/>
  <c r="K226" i="9"/>
  <c r="L226" i="9" s="1"/>
  <c r="Q226" i="9"/>
  <c r="P226" i="9" s="1"/>
  <c r="J231" i="9"/>
  <c r="Q7" i="4"/>
  <c r="AF7" i="5" s="1"/>
  <c r="I7" i="4"/>
  <c r="P7" i="5" s="1"/>
  <c r="V7" i="4"/>
  <c r="AM7" i="5" s="1"/>
  <c r="M7" i="4"/>
  <c r="X7" i="5" s="1"/>
  <c r="D7" i="4"/>
  <c r="F7" i="5" s="1"/>
  <c r="R7" i="4"/>
  <c r="AH7" i="5" s="1"/>
  <c r="H7" i="4"/>
  <c r="N7" i="5" s="1"/>
  <c r="W7" i="4"/>
  <c r="AN7" i="5" s="1"/>
  <c r="P7" i="4"/>
  <c r="AD7" i="5" s="1"/>
  <c r="G7" i="4"/>
  <c r="L7" i="5" s="1"/>
  <c r="O7" i="4"/>
  <c r="AB7" i="5" s="1"/>
  <c r="F7" i="4"/>
  <c r="J7" i="5" s="1"/>
  <c r="E7" i="4"/>
  <c r="H7" i="5" s="1"/>
  <c r="N7" i="4"/>
  <c r="Z7" i="5" s="1"/>
  <c r="J7" i="4"/>
  <c r="U7" i="4" s="1"/>
  <c r="L7" i="4"/>
  <c r="V7" i="5" s="1"/>
  <c r="B7" i="4"/>
  <c r="S7" i="4"/>
  <c r="AJ7" i="5" s="1"/>
  <c r="K7" i="4"/>
  <c r="T7" i="5" s="1"/>
  <c r="A9" i="4" a="1"/>
  <c r="A9" i="4" s="1"/>
  <c r="C7" i="4"/>
  <c r="D7" i="5" s="1"/>
  <c r="K243" i="9"/>
  <c r="L243" i="9" s="1"/>
  <c r="Q243" i="9"/>
  <c r="P243" i="9" s="1"/>
  <c r="F234" i="9"/>
  <c r="G234" i="9" s="1"/>
  <c r="J234" i="9"/>
  <c r="J233" i="9"/>
  <c r="F233" i="9"/>
  <c r="G233" i="9" s="1"/>
  <c r="F225" i="9"/>
  <c r="G225" i="9" s="1"/>
  <c r="J225" i="9"/>
  <c r="K222" i="9"/>
  <c r="L222" i="9" s="1"/>
  <c r="Q222" i="9"/>
  <c r="P222" i="9" s="1"/>
  <c r="A8" i="4" a="1"/>
  <c r="A8" i="4" s="1"/>
  <c r="Q6" i="4"/>
  <c r="AF6" i="5" s="1"/>
  <c r="I6" i="4"/>
  <c r="P6" i="5" s="1"/>
  <c r="S6" i="4"/>
  <c r="AJ6" i="5" s="1"/>
  <c r="J6" i="4"/>
  <c r="U6" i="4" s="1"/>
  <c r="W6" i="4"/>
  <c r="AN6" i="5" s="1"/>
  <c r="N6" i="4"/>
  <c r="Z6" i="5" s="1"/>
  <c r="E6" i="4"/>
  <c r="H6" i="5" s="1"/>
  <c r="V6" i="4"/>
  <c r="AM6" i="5" s="1"/>
  <c r="M6" i="4"/>
  <c r="X6" i="5" s="1"/>
  <c r="D6" i="4"/>
  <c r="F6" i="5" s="1"/>
  <c r="L6" i="4"/>
  <c r="V6" i="5" s="1"/>
  <c r="C6" i="4"/>
  <c r="D6" i="5" s="1"/>
  <c r="K6" i="4"/>
  <c r="T6" i="5" s="1"/>
  <c r="B6" i="4"/>
  <c r="H6" i="4"/>
  <c r="N6" i="5" s="1"/>
  <c r="F6" i="4"/>
  <c r="J6" i="5" s="1"/>
  <c r="R6" i="4"/>
  <c r="AH6" i="5" s="1"/>
  <c r="O6" i="4"/>
  <c r="AB6" i="5" s="1"/>
  <c r="G6" i="4"/>
  <c r="L6" i="5" s="1"/>
  <c r="P6" i="4"/>
  <c r="AD6" i="5" s="1"/>
  <c r="K233" i="9"/>
  <c r="L233" i="9" s="1"/>
  <c r="Q233" i="9"/>
  <c r="P233" i="9" s="1"/>
  <c r="J228" i="9"/>
  <c r="F228" i="9"/>
  <c r="G228" i="9" s="1"/>
  <c r="K228" i="9"/>
  <c r="L228" i="9" s="1"/>
  <c r="Q228" i="9"/>
  <c r="P228" i="9" s="1"/>
  <c r="K218" i="9"/>
  <c r="L218" i="9" s="1"/>
  <c r="Q218" i="9"/>
  <c r="P218" i="9" s="1"/>
  <c r="J245" i="9"/>
  <c r="F245" i="9"/>
  <c r="G245" i="9" s="1"/>
  <c r="A132" i="4"/>
  <c r="V130" i="4"/>
  <c r="AM130" i="5" s="1"/>
  <c r="M130" i="4"/>
  <c r="L130" i="4"/>
  <c r="S130" i="4"/>
  <c r="R130" i="4"/>
  <c r="Q130" i="4"/>
  <c r="P130" i="4"/>
  <c r="O130" i="4"/>
  <c r="W130" i="4"/>
  <c r="AN130" i="5" s="1"/>
  <c r="N130" i="4"/>
  <c r="K225" i="9"/>
  <c r="L225" i="9" s="1"/>
  <c r="Q225" i="9"/>
  <c r="P225" i="9" s="1"/>
  <c r="J226" i="9"/>
  <c r="F226" i="9"/>
  <c r="G226" i="9" s="1"/>
  <c r="J227" i="9"/>
  <c r="F217" i="9"/>
  <c r="G217" i="9" s="1"/>
  <c r="J217" i="9"/>
  <c r="Q240" i="9"/>
  <c r="P240" i="9" s="1"/>
  <c r="K240" i="9"/>
  <c r="L240" i="9" s="1"/>
  <c r="C55" i="9" a="1"/>
  <c r="C58" i="9" a="1"/>
  <c r="C54" i="9" a="1"/>
  <c r="C47" i="9" a="1"/>
  <c r="C51" i="9" a="1"/>
  <c r="C59" i="9" a="1"/>
  <c r="C49" i="9" a="1"/>
  <c r="C43" i="9" a="1"/>
  <c r="C42" i="9" a="1"/>
  <c r="C44" i="9" a="1"/>
  <c r="C56" i="9" a="1"/>
  <c r="C48" i="9" a="1"/>
  <c r="C45" i="9" a="1"/>
  <c r="C53" i="9" a="1"/>
  <c r="C57" i="9" a="1"/>
  <c r="C41" i="9" a="1"/>
  <c r="C46" i="9" a="1"/>
  <c r="C61" i="9" a="1"/>
  <c r="I105" i="9" a="1"/>
  <c r="I110" i="9" a="1"/>
  <c r="N57" i="2" a="1"/>
  <c r="M41" i="2" a="1"/>
  <c r="O67" i="2" a="1"/>
  <c r="M48" i="2" a="1"/>
  <c r="L49" i="2" a="1"/>
  <c r="L47" i="2" a="1"/>
  <c r="J26" i="2" a="1"/>
  <c r="K61" i="2" a="1"/>
  <c r="M58" i="2" a="1"/>
  <c r="N38" i="2" a="1"/>
  <c r="N40" i="2" a="1"/>
  <c r="N68" i="2" a="1"/>
  <c r="K21" i="2" a="1"/>
  <c r="K44" i="2" a="1"/>
  <c r="L36" i="2" a="1"/>
  <c r="N53" i="2" a="1"/>
  <c r="M66" i="2" a="1"/>
  <c r="M63" i="2" a="1"/>
  <c r="O24" i="2" a="1"/>
  <c r="N69" i="2" a="1"/>
  <c r="O18" i="2" a="1"/>
  <c r="O53" i="2" a="1"/>
  <c r="N66" i="2" a="1"/>
  <c r="J24" i="2" a="1"/>
  <c r="K33" i="2" a="1"/>
  <c r="O26" i="2" a="1"/>
  <c r="L34" i="2" a="1"/>
  <c r="L55" i="2" a="1"/>
  <c r="J20" i="2" a="1"/>
  <c r="N24" i="2" a="1"/>
  <c r="M69" i="2" a="1"/>
  <c r="L45" i="2" a="1"/>
  <c r="N45" i="2" a="1"/>
  <c r="L54" i="2" a="1"/>
  <c r="L59" i="2" a="1"/>
  <c r="L22" i="2" a="1"/>
  <c r="N43" i="2" a="1"/>
  <c r="O32" i="2" a="1"/>
  <c r="O56" i="2" a="1"/>
  <c r="K32" i="2" a="1"/>
  <c r="L32" i="2" a="1"/>
  <c r="J50" i="2" a="1"/>
  <c r="O27" i="2" a="1"/>
  <c r="M28" i="2" a="1"/>
  <c r="M19" i="2" a="1"/>
  <c r="K51" i="2" a="1"/>
  <c r="O30" i="2" a="1"/>
  <c r="M62" i="2" a="1"/>
  <c r="K30" i="2" a="1"/>
  <c r="N41" i="2" a="1"/>
  <c r="O70" i="2" a="1"/>
  <c r="O43" i="2" a="1"/>
  <c r="K36" i="2" a="1"/>
  <c r="L44" i="2" a="1"/>
  <c r="J43" i="2" a="1"/>
  <c r="M37" i="2" a="1"/>
  <c r="O44" i="2" a="1"/>
  <c r="K45" i="2" a="1"/>
  <c r="O40" i="2" a="1"/>
  <c r="M67" i="2" a="1"/>
  <c r="K56" i="2" a="1"/>
  <c r="K23" i="2" a="1"/>
  <c r="O59" i="2" a="1"/>
  <c r="M27" i="2" a="1"/>
  <c r="J40" i="2" a="1"/>
  <c r="L43" i="2" a="1"/>
  <c r="N37" i="2" a="1"/>
  <c r="L18" i="2" a="1"/>
  <c r="P1" i="2"/>
  <c r="C242" i="9" a="1"/>
  <c r="M45" i="2" a="1"/>
  <c r="K26" i="2" a="1"/>
  <c r="M31" i="2" a="1"/>
  <c r="N55" i="2" a="1"/>
  <c r="O23" i="2" a="1"/>
  <c r="J25" i="2" a="1"/>
  <c r="L60" i="2" a="1"/>
  <c r="O63" i="2" a="1"/>
  <c r="J36" i="2" a="1"/>
  <c r="O41" i="2" a="1"/>
  <c r="L26" i="2" a="1"/>
  <c r="J52" i="2" a="1"/>
  <c r="K24" i="2" a="1"/>
  <c r="N36" i="2" a="1"/>
  <c r="J34" i="2" a="1"/>
  <c r="O29" i="2" a="1"/>
  <c r="N44" i="2" a="1"/>
  <c r="J29" i="2" a="1"/>
  <c r="O48" i="2" a="1"/>
  <c r="N62" i="2" a="1"/>
  <c r="L30" i="2" a="1"/>
  <c r="N29" i="2" a="1"/>
  <c r="N59" i="2" a="1"/>
  <c r="O60" i="2" a="1"/>
  <c r="L38" i="2" a="1"/>
  <c r="M49" i="2" a="1"/>
  <c r="M22" i="2" a="1"/>
  <c r="J49" i="2" a="1"/>
  <c r="K37" i="2" a="1"/>
  <c r="M20" i="2" a="1"/>
  <c r="M52" i="2" a="1"/>
  <c r="K41" i="2" a="1"/>
  <c r="N50" i="2" a="1"/>
  <c r="K20" i="2" a="1"/>
  <c r="R63" i="2"/>
  <c r="U1" i="2"/>
  <c r="H238" i="9" a="1"/>
  <c r="N56" i="2" a="1"/>
  <c r="O68" i="2" a="1"/>
  <c r="N42" i="2" a="1"/>
  <c r="J19" i="2" a="1"/>
  <c r="K54" i="2" a="1"/>
  <c r="J31" i="2" a="1"/>
  <c r="N31" i="2" a="1"/>
  <c r="O21" i="2" a="1"/>
  <c r="J30" i="2" a="1"/>
  <c r="M29" i="2" a="1"/>
  <c r="N70" i="2" a="1"/>
  <c r="K50" i="2" a="1"/>
  <c r="N27" i="2" a="1"/>
  <c r="K57" i="2" a="1"/>
  <c r="M65" i="2" a="1"/>
  <c r="J55" i="2" a="1"/>
  <c r="O46" i="2" a="1"/>
  <c r="N61" i="2" a="1"/>
  <c r="N33" i="2" a="1"/>
  <c r="N26" i="2" a="1"/>
  <c r="K34" i="2" a="1"/>
  <c r="K55" i="2" a="1"/>
  <c r="J37" i="2" a="1"/>
  <c r="K22" i="2" a="1"/>
  <c r="L62" i="2" a="1"/>
  <c r="O35" i="2" a="1"/>
  <c r="J42" i="2" a="1"/>
  <c r="N64" i="2" a="1"/>
  <c r="J47" i="2" a="1"/>
  <c r="N34" i="2" a="1"/>
  <c r="M26" i="2" a="1"/>
  <c r="L56" i="2" a="1"/>
  <c r="J28" i="2" a="1"/>
  <c r="M51" i="2" a="1"/>
  <c r="O51" i="2" a="1"/>
  <c r="J62" i="2" a="1"/>
  <c r="J45" i="2" a="1"/>
  <c r="O45" i="2" a="1"/>
  <c r="K38" i="2" a="1"/>
  <c r="N52" i="2" a="1"/>
  <c r="N65" i="2" a="1"/>
  <c r="J44" i="2" a="1"/>
  <c r="L29" i="2" a="1"/>
  <c r="M34" i="2" a="1"/>
  <c r="M44" i="2" a="1"/>
  <c r="K60" i="2" a="1"/>
  <c r="M38" i="2" a="1"/>
  <c r="N49" i="2" a="1"/>
  <c r="L39" i="2" a="1"/>
  <c r="K58" i="2" a="1"/>
  <c r="K27" i="2" a="1"/>
  <c r="J48" i="2" a="1"/>
  <c r="K48" i="2" a="1"/>
  <c r="L57" i="2" a="1"/>
  <c r="J39" i="2" a="1"/>
  <c r="L23" i="2" a="1"/>
  <c r="J27" i="2" a="1"/>
  <c r="K25" i="2" a="1"/>
  <c r="O47" i="2" a="1"/>
  <c r="O42" i="2" a="1"/>
  <c r="L19" i="2" a="1"/>
  <c r="O25" i="2" a="1"/>
  <c r="L53" i="2" a="1"/>
  <c r="L50" i="2" a="1"/>
  <c r="N67" i="2" a="1"/>
  <c r="N32" i="2" a="1"/>
  <c r="J23" i="2" a="1"/>
  <c r="L37" i="2" a="1"/>
  <c r="P63" i="2"/>
  <c r="T1" i="2"/>
  <c r="H230" i="9" a="1"/>
  <c r="S1" i="2"/>
  <c r="B2" i="7" a="1"/>
  <c r="H242" i="9" a="1"/>
  <c r="O36" i="2" a="1"/>
  <c r="N54" i="2" a="1"/>
  <c r="K35" i="2" a="1"/>
  <c r="O50" i="2" a="1"/>
  <c r="L20" i="2" a="1"/>
  <c r="J35" i="2" a="1"/>
  <c r="O61" i="2" a="1"/>
  <c r="L24" i="2" a="1"/>
  <c r="O65" i="2" a="1"/>
  <c r="L33" i="2" a="1"/>
  <c r="L61" i="2" a="1"/>
  <c r="O31" i="2" a="1"/>
  <c r="M30" i="2" a="1"/>
  <c r="O39" i="2" a="1"/>
  <c r="N22" i="2" a="1"/>
  <c r="M64" i="2" a="1"/>
  <c r="J53" i="2" a="1"/>
  <c r="J38" i="2" a="1"/>
  <c r="M70" i="2" a="1"/>
  <c r="O49" i="2" a="1"/>
  <c r="O22" i="2" a="1"/>
  <c r="O64" i="2" a="1"/>
  <c r="K53" i="2" a="1"/>
  <c r="M39" i="2" a="1"/>
  <c r="O69" i="2" a="1"/>
  <c r="M18" i="2" a="1"/>
  <c r="M53" i="2" a="1"/>
  <c r="M23" i="2" a="1"/>
  <c r="J46" i="2" a="1"/>
  <c r="O57" i="2" a="1"/>
  <c r="M43" i="2" a="1"/>
  <c r="M55" i="2" a="1"/>
  <c r="K49" i="2" a="1"/>
  <c r="K47" i="2" a="1"/>
  <c r="M33" i="2" a="1"/>
  <c r="C230" i="9" a="1"/>
  <c r="R1" i="2"/>
  <c r="Q1" i="2"/>
  <c r="L35" i="2" a="1"/>
  <c r="O52" i="2" a="1"/>
  <c r="L41" i="2" a="1"/>
  <c r="K28" i="2" a="1"/>
  <c r="N51" i="2" a="1"/>
  <c r="O55" i="2" a="1"/>
  <c r="O34" i="2" a="1"/>
  <c r="M36" i="2" a="1"/>
  <c r="K39" i="2" a="1"/>
  <c r="L58" i="2" a="1"/>
  <c r="N46" i="2" a="1"/>
  <c r="N48" i="2" a="1"/>
  <c r="M47" i="2" a="1"/>
  <c r="N58" i="2" a="1"/>
  <c r="O38" i="2" a="1"/>
  <c r="M40" i="2" a="1"/>
  <c r="L51" i="2" a="1"/>
  <c r="M68" i="2" a="1"/>
  <c r="L25" i="2" a="1"/>
  <c r="M35" i="2" a="1"/>
  <c r="K42" i="2" a="1"/>
  <c r="M25" i="2" a="1"/>
  <c r="L46" i="2" a="1"/>
  <c r="K29" i="2" a="1"/>
  <c r="L40" i="2" a="1"/>
  <c r="K43" i="2" a="1"/>
  <c r="O37" i="2" a="1"/>
  <c r="O66" i="2" a="1"/>
  <c r="L31" i="2" a="1"/>
  <c r="M46" i="2" a="1"/>
  <c r="N35" i="2" a="1"/>
  <c r="L42" i="2" a="1"/>
  <c r="N25" i="2" a="1"/>
  <c r="K46" i="2" a="1"/>
  <c r="J33" i="2" a="1"/>
  <c r="N20" i="2" a="1"/>
  <c r="M24" i="2" a="1"/>
  <c r="K59" i="2" a="1"/>
  <c r="J22" i="2" a="1"/>
  <c r="N30" i="2" a="1"/>
  <c r="L28" i="2" a="1"/>
  <c r="L21" i="2" a="1"/>
  <c r="N39" i="2" a="1"/>
  <c r="O20" i="2" a="1"/>
  <c r="L48" i="2" a="1"/>
  <c r="L27" i="2" a="1"/>
  <c r="O33" i="2" a="1"/>
  <c r="N21" i="2" a="1"/>
  <c r="N18" i="2" a="1"/>
  <c r="N28" i="2" a="1"/>
  <c r="N19" i="2" a="1"/>
  <c r="K52" i="2" a="1"/>
  <c r="N63" i="2" a="1"/>
  <c r="N47" i="2" a="1"/>
  <c r="O58" i="2" a="1"/>
  <c r="O28" i="2" a="1"/>
  <c r="O19" i="2" a="1"/>
  <c r="L52" i="2" a="1"/>
  <c r="N60" i="2" a="1"/>
  <c r="O62" i="2" a="1"/>
  <c r="J41" i="2" a="1"/>
  <c r="M50" i="2" a="1"/>
  <c r="K18" i="2" a="1"/>
  <c r="O54" i="2" a="1"/>
  <c r="K62" i="2" a="1"/>
  <c r="M42" i="2" a="1"/>
  <c r="K19" i="2" a="1"/>
  <c r="N23" i="2" a="1"/>
  <c r="K31" i="2" a="1"/>
  <c r="Q63" i="2"/>
  <c r="C238" i="9" a="1"/>
  <c r="J183" i="9" l="1"/>
  <c r="Q179" i="9"/>
  <c r="P179" i="9" s="1"/>
  <c r="M196" i="9" a="1"/>
  <c r="M196" i="9" s="1"/>
  <c r="D196" i="9" a="1"/>
  <c r="D196" i="9" s="1"/>
  <c r="F196" i="9" s="1" a="1"/>
  <c r="F196" i="9" s="1"/>
  <c r="G196" i="9" s="1"/>
  <c r="Q182" i="9"/>
  <c r="P182" i="9" s="1"/>
  <c r="H179" i="9" a="1"/>
  <c r="H179" i="9" s="1"/>
  <c r="K179" i="9"/>
  <c r="M160" i="9" a="1"/>
  <c r="M160" i="9" s="1"/>
  <c r="Q196" i="9"/>
  <c r="P196" i="9" s="1"/>
  <c r="D176" i="9" a="1"/>
  <c r="D176" i="9" s="1"/>
  <c r="F176" i="9" s="1" a="1"/>
  <c r="F176" i="9" s="1"/>
  <c r="G176" i="9" s="1"/>
  <c r="D179" i="9" a="1"/>
  <c r="D179" i="9" s="1"/>
  <c r="F179" i="9" s="1" a="1"/>
  <c r="F179" i="9" s="1"/>
  <c r="G179" i="9" s="1"/>
  <c r="D201" i="9" a="1"/>
  <c r="D201" i="9" s="1"/>
  <c r="F201" i="9" s="1" a="1"/>
  <c r="F201" i="9" s="1"/>
  <c r="G201" i="9" s="1"/>
  <c r="M179" i="9" a="1"/>
  <c r="M179" i="9" s="1"/>
  <c r="H180" i="9" a="1"/>
  <c r="K176" i="9"/>
  <c r="M176" i="9" a="1"/>
  <c r="M176" i="9" s="1"/>
  <c r="H189" i="9" a="1"/>
  <c r="H189" i="9" s="1"/>
  <c r="I175" i="9" a="1"/>
  <c r="J176" i="9"/>
  <c r="H186" i="9" a="1"/>
  <c r="H186" i="9" s="1"/>
  <c r="Q175" i="9"/>
  <c r="P175" i="9" s="1"/>
  <c r="D178" i="9" a="1"/>
  <c r="D178" i="9" s="1"/>
  <c r="F178" i="9" s="1" a="1"/>
  <c r="F178" i="9" s="1"/>
  <c r="G178" i="9" s="1"/>
  <c r="M162" i="9" a="1"/>
  <c r="M162" i="9" s="1"/>
  <c r="D191" i="9" a="1"/>
  <c r="D191" i="9" s="1"/>
  <c r="F191" i="9" s="1" a="1"/>
  <c r="F191" i="9" s="1"/>
  <c r="G191" i="9" s="1"/>
  <c r="K178" i="9"/>
  <c r="Q178" i="9"/>
  <c r="P178" i="9" s="1"/>
  <c r="M178" i="9" a="1"/>
  <c r="M178" i="9" s="1"/>
  <c r="J178" i="9"/>
  <c r="H178" i="9" a="1"/>
  <c r="H178" i="9" s="1"/>
  <c r="K31" i="2"/>
  <c r="N23" i="2"/>
  <c r="K19" i="2"/>
  <c r="M42" i="2"/>
  <c r="K62" i="2"/>
  <c r="O54" i="2"/>
  <c r="K18" i="2"/>
  <c r="M50" i="2"/>
  <c r="J41" i="2"/>
  <c r="O62" i="2"/>
  <c r="N60" i="2"/>
  <c r="L52" i="2"/>
  <c r="O19" i="2"/>
  <c r="O28" i="2"/>
  <c r="O58" i="2"/>
  <c r="N47" i="2"/>
  <c r="N63" i="2"/>
  <c r="K52" i="2"/>
  <c r="N19" i="2"/>
  <c r="N28" i="2"/>
  <c r="N18" i="2"/>
  <c r="N21" i="2"/>
  <c r="O33" i="2"/>
  <c r="L27" i="2"/>
  <c r="L48" i="2"/>
  <c r="O20" i="2"/>
  <c r="N39" i="2"/>
  <c r="L21" i="2"/>
  <c r="L28" i="2"/>
  <c r="N30" i="2"/>
  <c r="J22" i="2"/>
  <c r="K59" i="2"/>
  <c r="M24" i="2"/>
  <c r="N20" i="2"/>
  <c r="K46" i="2"/>
  <c r="N25" i="2"/>
  <c r="L42" i="2"/>
  <c r="N35" i="2"/>
  <c r="M46" i="2"/>
  <c r="L31" i="2"/>
  <c r="O66" i="2"/>
  <c r="O37" i="2"/>
  <c r="K43" i="2"/>
  <c r="L40" i="2"/>
  <c r="K29" i="2"/>
  <c r="L46" i="2"/>
  <c r="M25" i="2"/>
  <c r="K42" i="2"/>
  <c r="M35" i="2"/>
  <c r="L25" i="2"/>
  <c r="M68" i="2"/>
  <c r="L51" i="2"/>
  <c r="M40" i="2"/>
  <c r="O38" i="2"/>
  <c r="N58" i="2"/>
  <c r="M47" i="2"/>
  <c r="N48" i="2"/>
  <c r="N46" i="2"/>
  <c r="L58" i="2"/>
  <c r="K39" i="2"/>
  <c r="M36" i="2"/>
  <c r="O34" i="2"/>
  <c r="O55" i="2"/>
  <c r="N51" i="2"/>
  <c r="K28" i="2"/>
  <c r="L41" i="2"/>
  <c r="O52" i="2"/>
  <c r="L35" i="2"/>
  <c r="K47" i="2"/>
  <c r="K49" i="2"/>
  <c r="M55" i="2"/>
  <c r="M43" i="2"/>
  <c r="O57" i="2"/>
  <c r="J46" i="2"/>
  <c r="M23" i="2"/>
  <c r="M53" i="2"/>
  <c r="M18" i="2"/>
  <c r="O69" i="2"/>
  <c r="M39" i="2"/>
  <c r="K53" i="2"/>
  <c r="O64" i="2"/>
  <c r="O22" i="2"/>
  <c r="O49" i="2"/>
  <c r="M70" i="2"/>
  <c r="J38" i="2"/>
  <c r="J53" i="2"/>
  <c r="M64" i="2"/>
  <c r="N22" i="2"/>
  <c r="O39" i="2"/>
  <c r="M30" i="2"/>
  <c r="O31" i="2"/>
  <c r="L61" i="2"/>
  <c r="L33" i="2"/>
  <c r="O65" i="2"/>
  <c r="L24" i="2"/>
  <c r="O61" i="2"/>
  <c r="J35" i="2"/>
  <c r="L20" i="2"/>
  <c r="O50" i="2"/>
  <c r="K35" i="2"/>
  <c r="N54" i="2"/>
  <c r="O36" i="2"/>
  <c r="L37" i="2"/>
  <c r="J23" i="2"/>
  <c r="N32" i="2"/>
  <c r="N67" i="2"/>
  <c r="L50" i="2"/>
  <c r="L53" i="2"/>
  <c r="O25" i="2"/>
  <c r="L19" i="2"/>
  <c r="O42" i="2"/>
  <c r="O47" i="2"/>
  <c r="K25" i="2"/>
  <c r="J27" i="2"/>
  <c r="L23" i="2"/>
  <c r="J39" i="2"/>
  <c r="L57" i="2"/>
  <c r="K48" i="2"/>
  <c r="J48" i="2"/>
  <c r="K27" i="2"/>
  <c r="K58" i="2"/>
  <c r="L39" i="2"/>
  <c r="N49" i="2"/>
  <c r="M38" i="2"/>
  <c r="K60" i="2"/>
  <c r="M44" i="2"/>
  <c r="M34" i="2"/>
  <c r="L29" i="2"/>
  <c r="J44" i="2"/>
  <c r="N65" i="2"/>
  <c r="N52" i="2"/>
  <c r="K38" i="2"/>
  <c r="O45" i="2"/>
  <c r="J45" i="2"/>
  <c r="J62" i="2"/>
  <c r="O51" i="2"/>
  <c r="M51" i="2"/>
  <c r="J28" i="2"/>
  <c r="L56" i="2"/>
  <c r="M26" i="2"/>
  <c r="N34" i="2"/>
  <c r="J47" i="2"/>
  <c r="N64" i="2"/>
  <c r="J42" i="2"/>
  <c r="O35" i="2"/>
  <c r="L62" i="2"/>
  <c r="K22" i="2"/>
  <c r="J37" i="2"/>
  <c r="K55" i="2"/>
  <c r="K34" i="2"/>
  <c r="N26" i="2"/>
  <c r="N33" i="2"/>
  <c r="N61" i="2"/>
  <c r="O46" i="2"/>
  <c r="J55" i="2"/>
  <c r="M65" i="2"/>
  <c r="K57" i="2"/>
  <c r="N27" i="2"/>
  <c r="K50" i="2"/>
  <c r="N70" i="2"/>
  <c r="M29" i="2"/>
  <c r="J30" i="2"/>
  <c r="O21" i="2"/>
  <c r="N31" i="2"/>
  <c r="J31" i="2"/>
  <c r="K54" i="2"/>
  <c r="J19" i="2"/>
  <c r="N42" i="2"/>
  <c r="O68" i="2"/>
  <c r="N56" i="2"/>
  <c r="K20" i="2"/>
  <c r="N50" i="2"/>
  <c r="K41" i="2"/>
  <c r="M52" i="2"/>
  <c r="M20" i="2"/>
  <c r="K37" i="2"/>
  <c r="J49" i="2"/>
  <c r="M22" i="2"/>
  <c r="M49" i="2"/>
  <c r="L38" i="2"/>
  <c r="O60" i="2"/>
  <c r="N59" i="2"/>
  <c r="N29" i="2"/>
  <c r="L30" i="2"/>
  <c r="N62" i="2"/>
  <c r="O48" i="2"/>
  <c r="J29" i="2"/>
  <c r="N44" i="2"/>
  <c r="O29" i="2"/>
  <c r="J34" i="2"/>
  <c r="N36" i="2"/>
  <c r="K24" i="2"/>
  <c r="J52" i="2"/>
  <c r="L26" i="2"/>
  <c r="O41" i="2"/>
  <c r="J36" i="2"/>
  <c r="O63" i="2"/>
  <c r="L60" i="2"/>
  <c r="J25" i="2"/>
  <c r="O23" i="2"/>
  <c r="N55" i="2"/>
  <c r="M31" i="2"/>
  <c r="K26" i="2"/>
  <c r="M45" i="2"/>
  <c r="L18" i="2"/>
  <c r="N37" i="2"/>
  <c r="L43" i="2"/>
  <c r="J40" i="2"/>
  <c r="M27" i="2"/>
  <c r="O59" i="2"/>
  <c r="K23" i="2"/>
  <c r="K56" i="2"/>
  <c r="M67" i="2"/>
  <c r="O40" i="2"/>
  <c r="K45" i="2"/>
  <c r="O44" i="2"/>
  <c r="M37" i="2"/>
  <c r="J43" i="2"/>
  <c r="L44" i="2"/>
  <c r="K36" i="2"/>
  <c r="O43" i="2"/>
  <c r="O70" i="2"/>
  <c r="N41" i="2"/>
  <c r="K30" i="2"/>
  <c r="M62" i="2"/>
  <c r="O30" i="2"/>
  <c r="K51" i="2"/>
  <c r="M19" i="2"/>
  <c r="M28" i="2"/>
  <c r="O27" i="2"/>
  <c r="J50" i="2"/>
  <c r="L32" i="2"/>
  <c r="K32" i="2"/>
  <c r="O56" i="2"/>
  <c r="O32" i="2"/>
  <c r="N43" i="2"/>
  <c r="L22" i="2"/>
  <c r="L59" i="2"/>
  <c r="L54" i="2"/>
  <c r="N45" i="2"/>
  <c r="L45" i="2"/>
  <c r="M69" i="2"/>
  <c r="N24" i="2"/>
  <c r="J20" i="2"/>
  <c r="L55" i="2"/>
  <c r="L34" i="2"/>
  <c r="O26" i="2"/>
  <c r="K33" i="2"/>
  <c r="J24" i="2"/>
  <c r="N66" i="2"/>
  <c r="O53" i="2"/>
  <c r="O18" i="2"/>
  <c r="N69" i="2"/>
  <c r="O24" i="2"/>
  <c r="M63" i="2"/>
  <c r="M66" i="2"/>
  <c r="N53" i="2"/>
  <c r="L36" i="2"/>
  <c r="K44" i="2"/>
  <c r="K21" i="2"/>
  <c r="N68" i="2"/>
  <c r="N40" i="2"/>
  <c r="N38" i="2"/>
  <c r="M58" i="2"/>
  <c r="K61" i="2"/>
  <c r="J26" i="2"/>
  <c r="L47" i="2"/>
  <c r="L49" i="2"/>
  <c r="M48" i="2"/>
  <c r="O67" i="2"/>
  <c r="M41" i="2"/>
  <c r="N57" i="2"/>
  <c r="I171" i="9" a="1"/>
  <c r="I171" i="9" s="1"/>
  <c r="Q171" i="9"/>
  <c r="P171" i="9" s="1"/>
  <c r="I167" i="9" a="1"/>
  <c r="I167" i="9" s="1"/>
  <c r="Q167" i="9"/>
  <c r="P167" i="9" s="1"/>
  <c r="H167" i="9" a="1"/>
  <c r="H167" i="9" s="1"/>
  <c r="D167" i="9" a="1"/>
  <c r="D167" i="9" s="1"/>
  <c r="F167" i="9" s="1" a="1"/>
  <c r="F167" i="9" s="1"/>
  <c r="G167" i="9" s="1"/>
  <c r="K167" i="9"/>
  <c r="J167" i="9"/>
  <c r="M167" i="9" a="1"/>
  <c r="M167" i="9" s="1"/>
  <c r="I161" i="9" a="1"/>
  <c r="I161" i="9" s="1"/>
  <c r="K161" i="9"/>
  <c r="Q161" i="9"/>
  <c r="P161" i="9" s="1"/>
  <c r="H161" i="9" a="1"/>
  <c r="H161" i="9" s="1"/>
  <c r="J161" i="9"/>
  <c r="M161" i="9" a="1"/>
  <c r="M161" i="9" s="1"/>
  <c r="D161" i="9" a="1"/>
  <c r="D161" i="9" s="1"/>
  <c r="F161" i="9" s="1" a="1"/>
  <c r="F161" i="9" s="1"/>
  <c r="G161" i="9" s="1"/>
  <c r="I195" i="9" a="1"/>
  <c r="I195" i="9" s="1"/>
  <c r="D195" i="9" a="1"/>
  <c r="D195" i="9" s="1"/>
  <c r="F195" i="9" s="1" a="1"/>
  <c r="F195" i="9" s="1"/>
  <c r="G195" i="9" s="1"/>
  <c r="K181" i="9"/>
  <c r="V63" i="2"/>
  <c r="J165" i="9"/>
  <c r="Q192" i="9"/>
  <c r="P192" i="9" s="1"/>
  <c r="J172" i="9"/>
  <c r="J33" i="2"/>
  <c r="M33" i="2"/>
  <c r="I175" i="9"/>
  <c r="Q190" i="9"/>
  <c r="P190" i="9" s="1"/>
  <c r="I190" i="9" a="1"/>
  <c r="I190" i="9" s="1"/>
  <c r="I180" i="9"/>
  <c r="H180" i="9"/>
  <c r="H171" i="9" a="1"/>
  <c r="H171" i="9" s="1"/>
  <c r="E171" i="9" s="1"/>
  <c r="D197" i="9" a="1"/>
  <c r="D197" i="9" s="1"/>
  <c r="F197" i="9" s="1" a="1"/>
  <c r="F197" i="9" s="1"/>
  <c r="G197" i="9" s="1"/>
  <c r="K184" i="9"/>
  <c r="D164" i="9" a="1"/>
  <c r="D164" i="9" s="1"/>
  <c r="F164" i="9" s="1" a="1"/>
  <c r="F164" i="9" s="1"/>
  <c r="G164" i="9" s="1"/>
  <c r="H162" i="9" a="1"/>
  <c r="H162" i="9" s="1"/>
  <c r="C46" i="9"/>
  <c r="C41" i="9"/>
  <c r="C57" i="9"/>
  <c r="C53" i="9"/>
  <c r="C45" i="9"/>
  <c r="C48" i="9"/>
  <c r="C56" i="9"/>
  <c r="C44" i="9"/>
  <c r="C42" i="9"/>
  <c r="C43" i="9"/>
  <c r="C49" i="9"/>
  <c r="C59" i="9"/>
  <c r="C51" i="9"/>
  <c r="C47" i="9"/>
  <c r="C54" i="9"/>
  <c r="C58" i="9"/>
  <c r="C55" i="9"/>
  <c r="J197" i="9"/>
  <c r="M189" i="9" a="1"/>
  <c r="M189" i="9" s="1"/>
  <c r="M197" i="9" a="1"/>
  <c r="M197" i="9" s="1"/>
  <c r="J189" i="9"/>
  <c r="L189" i="9" s="1"/>
  <c r="K182" i="9"/>
  <c r="D50" i="9" a="1"/>
  <c r="D50" i="9" s="1"/>
  <c r="F50" i="9" s="1" a="1"/>
  <c r="F50" i="9" s="1"/>
  <c r="G50" i="9" s="1"/>
  <c r="H50" i="9" a="1"/>
  <c r="H50" i="9" s="1"/>
  <c r="E50" i="9" s="1"/>
  <c r="I50" i="9" a="1"/>
  <c r="I50" i="9" s="1"/>
  <c r="M50" i="9" a="1"/>
  <c r="M50" i="9" s="1"/>
  <c r="J50" i="9"/>
  <c r="D52" i="9" a="1"/>
  <c r="D52" i="9" s="1"/>
  <c r="J52" i="9"/>
  <c r="M52" i="9" a="1"/>
  <c r="M52" i="9" s="1"/>
  <c r="H52" i="9" a="1"/>
  <c r="H52" i="9" s="1"/>
  <c r="E52" i="9" s="1"/>
  <c r="I52" i="9" a="1"/>
  <c r="I52" i="9" s="1"/>
  <c r="H197" i="9" a="1"/>
  <c r="H197" i="9" s="1"/>
  <c r="K189" i="9"/>
  <c r="M182" i="9" a="1"/>
  <c r="M182" i="9" s="1"/>
  <c r="Q197" i="9"/>
  <c r="P197" i="9" s="1"/>
  <c r="H182" i="9" a="1"/>
  <c r="H182" i="9" s="1"/>
  <c r="E182" i="9" s="1"/>
  <c r="C61" i="9"/>
  <c r="H172" i="9" a="1"/>
  <c r="H172" i="9" s="1"/>
  <c r="L172" i="9" s="1"/>
  <c r="J158" i="9"/>
  <c r="K169" i="9"/>
  <c r="J163" i="9"/>
  <c r="M184" i="9" a="1"/>
  <c r="M184" i="9" s="1"/>
  <c r="J177" i="9"/>
  <c r="L177" i="9" s="1"/>
  <c r="H169" i="9" a="1"/>
  <c r="H169" i="9" s="1"/>
  <c r="E169" i="9" s="1"/>
  <c r="Q170" i="9"/>
  <c r="P170" i="9" s="1"/>
  <c r="M177" i="9" a="1"/>
  <c r="M177" i="9" s="1"/>
  <c r="Q172" i="9"/>
  <c r="P172" i="9" s="1"/>
  <c r="D158" i="9" a="1"/>
  <c r="D158" i="9" s="1"/>
  <c r="F158" i="9" s="1" a="1"/>
  <c r="F158" i="9" s="1"/>
  <c r="G158" i="9" s="1"/>
  <c r="Q165" i="9"/>
  <c r="P165" i="9" s="1"/>
  <c r="H163" i="9" a="1"/>
  <c r="H163" i="9" s="1"/>
  <c r="E163" i="9" s="1"/>
  <c r="M168" i="9" a="1"/>
  <c r="M168" i="9" s="1"/>
  <c r="Q177" i="9"/>
  <c r="P177" i="9" s="1"/>
  <c r="M172" i="9" a="1"/>
  <c r="M172" i="9" s="1"/>
  <c r="H158" i="9" a="1"/>
  <c r="H158" i="9" s="1"/>
  <c r="J169" i="9"/>
  <c r="K172" i="9"/>
  <c r="D163" i="9" a="1"/>
  <c r="D163" i="9" s="1"/>
  <c r="F163" i="9" s="1" a="1"/>
  <c r="F163" i="9" s="1"/>
  <c r="G163" i="9" s="1"/>
  <c r="K177" i="9"/>
  <c r="D172" i="9" a="1"/>
  <c r="D172" i="9" s="1"/>
  <c r="F172" i="9" s="1" a="1"/>
  <c r="F172" i="9" s="1"/>
  <c r="G172" i="9" s="1"/>
  <c r="M158" i="9" a="1"/>
  <c r="M158" i="9" s="1"/>
  <c r="D169" i="9" a="1"/>
  <c r="D169" i="9" s="1"/>
  <c r="F169" i="9" s="1" a="1"/>
  <c r="F169" i="9" s="1"/>
  <c r="G169" i="9" s="1"/>
  <c r="Q163" i="9"/>
  <c r="P163" i="9" s="1"/>
  <c r="J170" i="9"/>
  <c r="H164" i="9" a="1"/>
  <c r="H164" i="9" s="1"/>
  <c r="E164" i="9" s="1"/>
  <c r="Q162" i="9"/>
  <c r="P162" i="9" s="1"/>
  <c r="H165" i="9" a="1"/>
  <c r="H165" i="9" s="1"/>
  <c r="L165" i="9" s="1"/>
  <c r="H170" i="9" a="1"/>
  <c r="H170" i="9" s="1"/>
  <c r="E170" i="9" s="1"/>
  <c r="K162" i="9"/>
  <c r="D165" i="9" a="1"/>
  <c r="D165" i="9" s="1"/>
  <c r="F165" i="9" s="1" a="1"/>
  <c r="F165" i="9" s="1"/>
  <c r="G165" i="9" s="1"/>
  <c r="M164" i="9" a="1"/>
  <c r="M164" i="9" s="1"/>
  <c r="J164" i="9"/>
  <c r="J162" i="9"/>
  <c r="J171" i="9"/>
  <c r="K165" i="9"/>
  <c r="D170" i="9" a="1"/>
  <c r="D170" i="9" s="1"/>
  <c r="F170" i="9" s="1" a="1"/>
  <c r="F170" i="9" s="1"/>
  <c r="G170" i="9" s="1"/>
  <c r="D171" i="9" a="1"/>
  <c r="D171" i="9" s="1"/>
  <c r="F171" i="9" s="1" a="1"/>
  <c r="F171" i="9" s="1"/>
  <c r="G171" i="9" s="1"/>
  <c r="Q164" i="9"/>
  <c r="P164" i="9" s="1"/>
  <c r="D162" i="9" a="1"/>
  <c r="D162" i="9" s="1"/>
  <c r="F162" i="9" s="1" a="1"/>
  <c r="F162" i="9" s="1"/>
  <c r="G162" i="9" s="1"/>
  <c r="K171" i="9"/>
  <c r="M165" i="9" a="1"/>
  <c r="M165" i="9" s="1"/>
  <c r="K170" i="9"/>
  <c r="D174" i="9" a="1"/>
  <c r="D174" i="9" s="1"/>
  <c r="F174" i="9" s="1" a="1"/>
  <c r="F174" i="9" s="1"/>
  <c r="G174" i="9" s="1"/>
  <c r="M198" i="9" a="1"/>
  <c r="M198" i="9" s="1"/>
  <c r="K164" i="9"/>
  <c r="M171" i="9" a="1"/>
  <c r="M171" i="9" s="1"/>
  <c r="M170" i="9" a="1"/>
  <c r="M170" i="9" s="1"/>
  <c r="D192" i="9" a="1"/>
  <c r="D192" i="9" s="1"/>
  <c r="F192" i="9" s="1" a="1"/>
  <c r="F192" i="9" s="1"/>
  <c r="G192" i="9" s="1"/>
  <c r="K168" i="9"/>
  <c r="Q174" i="9"/>
  <c r="P174" i="9" s="1"/>
  <c r="K192" i="9"/>
  <c r="K183" i="9"/>
  <c r="D160" i="9" a="1"/>
  <c r="D160" i="9" s="1"/>
  <c r="F160" i="9" s="1" a="1"/>
  <c r="F160" i="9" s="1"/>
  <c r="G160" i="9" s="1"/>
  <c r="D159" i="9" a="1"/>
  <c r="D159" i="9" s="1"/>
  <c r="F159" i="9" s="1" a="1"/>
  <c r="F159" i="9" s="1"/>
  <c r="G159" i="9" s="1"/>
  <c r="H168" i="9" a="1"/>
  <c r="H168" i="9" s="1"/>
  <c r="E168" i="9" s="1"/>
  <c r="H174" i="9" a="1"/>
  <c r="H174" i="9" s="1"/>
  <c r="Q193" i="9"/>
  <c r="P193" i="9" s="1"/>
  <c r="Q189" i="9"/>
  <c r="P189" i="9" s="1"/>
  <c r="Q176" i="9"/>
  <c r="P176" i="9" s="1"/>
  <c r="Q160" i="9"/>
  <c r="P160" i="9" s="1"/>
  <c r="M159" i="9" a="1"/>
  <c r="M159" i="9" s="1"/>
  <c r="D168" i="9" a="1"/>
  <c r="D168" i="9" s="1"/>
  <c r="F168" i="9" s="1" a="1"/>
  <c r="F168" i="9" s="1"/>
  <c r="G168" i="9" s="1"/>
  <c r="H176" i="9" a="1"/>
  <c r="H176" i="9" s="1"/>
  <c r="E176" i="9" s="1"/>
  <c r="K160" i="9"/>
  <c r="J159" i="9"/>
  <c r="L159" i="9" s="1"/>
  <c r="M192" i="9" a="1"/>
  <c r="M192" i="9" s="1"/>
  <c r="J160" i="9"/>
  <c r="L160" i="9" s="1"/>
  <c r="K159" i="9"/>
  <c r="Q168" i="9"/>
  <c r="P168" i="9" s="1"/>
  <c r="J174" i="9"/>
  <c r="H192" i="9" a="1"/>
  <c r="H192" i="9" s="1"/>
  <c r="E192" i="9" s="1"/>
  <c r="M185" i="9" a="1"/>
  <c r="M185" i="9" s="1"/>
  <c r="J192" i="9"/>
  <c r="Q185" i="9"/>
  <c r="P185" i="9" s="1"/>
  <c r="Q183" i="9"/>
  <c r="P183" i="9" s="1"/>
  <c r="H105" i="9"/>
  <c r="E105" i="9" s="1"/>
  <c r="D189" i="9" a="1"/>
  <c r="D189" i="9" s="1"/>
  <c r="F189" i="9" s="1" a="1"/>
  <c r="F189" i="9" s="1"/>
  <c r="G189" i="9" s="1"/>
  <c r="H185" i="9" a="1"/>
  <c r="H185" i="9" s="1"/>
  <c r="E185" i="9" s="1"/>
  <c r="K104" i="9"/>
  <c r="Q104" i="9"/>
  <c r="P104" i="9" s="1"/>
  <c r="D104" i="9" a="1"/>
  <c r="D104" i="9" s="1"/>
  <c r="F104" i="9" s="1" a="1"/>
  <c r="F104" i="9" s="1"/>
  <c r="G104" i="9" s="1"/>
  <c r="M104" i="9" a="1"/>
  <c r="M104" i="9" s="1"/>
  <c r="H104" i="9" a="1"/>
  <c r="H104" i="9" s="1"/>
  <c r="J104" i="9"/>
  <c r="I104" i="9" a="1"/>
  <c r="I104" i="9" s="1"/>
  <c r="Q90" i="9"/>
  <c r="P90" i="9" s="1"/>
  <c r="M90" i="9" a="1"/>
  <c r="M90" i="9" s="1"/>
  <c r="H90" i="9" a="1"/>
  <c r="H90" i="9" s="1"/>
  <c r="J90" i="9"/>
  <c r="I90" i="9" a="1"/>
  <c r="I90" i="9" s="1"/>
  <c r="D90" i="9" a="1"/>
  <c r="D90" i="9" s="1"/>
  <c r="F90" i="9" s="1" a="1"/>
  <c r="F90" i="9" s="1"/>
  <c r="G90" i="9" s="1"/>
  <c r="K90" i="9"/>
  <c r="K193" i="9"/>
  <c r="K89" i="9"/>
  <c r="Q89" i="9"/>
  <c r="P89" i="9" s="1"/>
  <c r="M89" i="9" a="1"/>
  <c r="M89" i="9" s="1"/>
  <c r="H89" i="9" a="1"/>
  <c r="H89" i="9" s="1"/>
  <c r="I89" i="9" a="1"/>
  <c r="I89" i="9" s="1"/>
  <c r="J89" i="9"/>
  <c r="D89" i="9" a="1"/>
  <c r="D89" i="9" s="1"/>
  <c r="F89" i="9" s="1" a="1"/>
  <c r="F89" i="9" s="1"/>
  <c r="G89" i="9" s="1"/>
  <c r="M98" i="9" a="1"/>
  <c r="M98" i="9" s="1"/>
  <c r="J98" i="9"/>
  <c r="H98" i="9" a="1"/>
  <c r="H98" i="9" s="1"/>
  <c r="I98" i="9" a="1"/>
  <c r="I98" i="9" s="1"/>
  <c r="D98" i="9" a="1"/>
  <c r="D98" i="9" s="1"/>
  <c r="F98" i="9" s="1" a="1"/>
  <c r="F98" i="9" s="1"/>
  <c r="G98" i="9" s="1"/>
  <c r="K98" i="9"/>
  <c r="Q98" i="9"/>
  <c r="P98" i="9" s="1"/>
  <c r="I106" i="9" a="1"/>
  <c r="I106" i="9" s="1"/>
  <c r="D106" i="9" a="1"/>
  <c r="D106" i="9" s="1"/>
  <c r="F106" i="9" s="1" a="1"/>
  <c r="F106" i="9" s="1"/>
  <c r="G106" i="9" s="1"/>
  <c r="K106" i="9"/>
  <c r="M106" i="9" a="1"/>
  <c r="M106" i="9" s="1"/>
  <c r="H106" i="9" a="1"/>
  <c r="H106" i="9" s="1"/>
  <c r="J106" i="9"/>
  <c r="Q106" i="9"/>
  <c r="P106" i="9" s="1"/>
  <c r="J185" i="9"/>
  <c r="D183" i="9" a="1"/>
  <c r="D183" i="9" s="1"/>
  <c r="F183" i="9" s="1" a="1"/>
  <c r="F183" i="9" s="1"/>
  <c r="G183" i="9" s="1"/>
  <c r="D182" i="9" a="1"/>
  <c r="D182" i="9" s="1"/>
  <c r="F182" i="9" s="1" a="1"/>
  <c r="F182" i="9" s="1"/>
  <c r="G182" i="9" s="1"/>
  <c r="J93" i="9"/>
  <c r="I93" i="9" a="1"/>
  <c r="I93" i="9" s="1"/>
  <c r="D93" i="9" a="1"/>
  <c r="D93" i="9" s="1"/>
  <c r="F93" i="9" s="1" a="1"/>
  <c r="F93" i="9" s="1"/>
  <c r="G93" i="9" s="1"/>
  <c r="K93" i="9"/>
  <c r="Q93" i="9"/>
  <c r="P93" i="9" s="1"/>
  <c r="M93" i="9" a="1"/>
  <c r="M93" i="9" s="1"/>
  <c r="H93" i="9" a="1"/>
  <c r="H93" i="9" s="1"/>
  <c r="K102" i="9"/>
  <c r="M102" i="9" a="1"/>
  <c r="M102" i="9" s="1"/>
  <c r="D102" i="9" a="1"/>
  <c r="D102" i="9" s="1"/>
  <c r="F102" i="9" s="1" a="1"/>
  <c r="F102" i="9" s="1"/>
  <c r="G102" i="9" s="1"/>
  <c r="I102" i="9" a="1"/>
  <c r="I102" i="9" s="1"/>
  <c r="H102" i="9" a="1"/>
  <c r="H102" i="9" s="1"/>
  <c r="J102" i="9"/>
  <c r="Q102" i="9"/>
  <c r="P102" i="9" s="1"/>
  <c r="D107" i="9" a="1"/>
  <c r="D107" i="9" s="1"/>
  <c r="F107" i="9" s="1" a="1"/>
  <c r="F107" i="9" s="1"/>
  <c r="G107" i="9" s="1"/>
  <c r="M107" i="9" a="1"/>
  <c r="M107" i="9" s="1"/>
  <c r="Q107" i="9"/>
  <c r="P107" i="9" s="1"/>
  <c r="K107" i="9"/>
  <c r="H107" i="9" a="1"/>
  <c r="H107" i="9" s="1"/>
  <c r="I107" i="9" a="1"/>
  <c r="I107" i="9" s="1"/>
  <c r="J107" i="9"/>
  <c r="K99" i="9"/>
  <c r="Q99" i="9"/>
  <c r="P99" i="9" s="1"/>
  <c r="H99" i="9" a="1"/>
  <c r="H99" i="9" s="1"/>
  <c r="J99" i="9"/>
  <c r="M99" i="9" a="1"/>
  <c r="M99" i="9" s="1"/>
  <c r="I99" i="9" a="1"/>
  <c r="I99" i="9" s="1"/>
  <c r="D99" i="9" a="1"/>
  <c r="D99" i="9" s="1"/>
  <c r="F99" i="9" s="1" a="1"/>
  <c r="F99" i="9" s="1"/>
  <c r="G99" i="9" s="1"/>
  <c r="I88" i="9" a="1"/>
  <c r="I88" i="9" s="1"/>
  <c r="J88" i="9"/>
  <c r="M88" i="9" a="1"/>
  <c r="M88" i="9" s="1"/>
  <c r="H88" i="9" a="1"/>
  <c r="H88" i="9" s="1"/>
  <c r="D88" i="9" a="1"/>
  <c r="D88" i="9" s="1"/>
  <c r="F88" i="9" s="1" a="1"/>
  <c r="F88" i="9" s="1"/>
  <c r="G88" i="9" s="1"/>
  <c r="K88" i="9"/>
  <c r="Q88" i="9"/>
  <c r="P88" i="9" s="1"/>
  <c r="M183" i="9" a="1"/>
  <c r="M183" i="9" s="1"/>
  <c r="J181" i="9"/>
  <c r="J109" i="9"/>
  <c r="H109" i="9" a="1"/>
  <c r="H109" i="9" s="1"/>
  <c r="I109" i="9" a="1"/>
  <c r="I109" i="9" s="1"/>
  <c r="M109" i="9" a="1"/>
  <c r="M109" i="9" s="1"/>
  <c r="D109" i="9" a="1"/>
  <c r="D109" i="9" s="1"/>
  <c r="F109" i="9" s="1" a="1"/>
  <c r="F109" i="9" s="1"/>
  <c r="G109" i="9" s="1"/>
  <c r="K109" i="9"/>
  <c r="Q109" i="9"/>
  <c r="P109" i="9" s="1"/>
  <c r="D91" i="9" a="1"/>
  <c r="D91" i="9" s="1"/>
  <c r="F91" i="9" s="1" a="1"/>
  <c r="F91" i="9" s="1"/>
  <c r="G91" i="9" s="1"/>
  <c r="Q91" i="9"/>
  <c r="P91" i="9" s="1"/>
  <c r="H91" i="9" a="1"/>
  <c r="H91" i="9" s="1"/>
  <c r="M91" i="9" a="1"/>
  <c r="M91" i="9" s="1"/>
  <c r="I91" i="9" a="1"/>
  <c r="I91" i="9" s="1"/>
  <c r="K91" i="9"/>
  <c r="J91" i="9"/>
  <c r="M103" i="9" a="1"/>
  <c r="M103" i="9" s="1"/>
  <c r="K103" i="9"/>
  <c r="D103" i="9" a="1"/>
  <c r="D103" i="9" s="1"/>
  <c r="F103" i="9" s="1" a="1"/>
  <c r="F103" i="9" s="1"/>
  <c r="G103" i="9" s="1"/>
  <c r="Q103" i="9"/>
  <c r="P103" i="9" s="1"/>
  <c r="I103" i="9" a="1"/>
  <c r="I103" i="9" s="1"/>
  <c r="J103" i="9"/>
  <c r="H103" i="9" a="1"/>
  <c r="H103" i="9" s="1"/>
  <c r="J96" i="9"/>
  <c r="K96" i="9"/>
  <c r="M96" i="9" a="1"/>
  <c r="M96" i="9" s="1"/>
  <c r="D96" i="9" a="1"/>
  <c r="D96" i="9" s="1"/>
  <c r="F96" i="9" s="1" a="1"/>
  <c r="F96" i="9" s="1"/>
  <c r="G96" i="9" s="1"/>
  <c r="H96" i="9" a="1"/>
  <c r="H96" i="9" s="1"/>
  <c r="Q96" i="9"/>
  <c r="P96" i="9" s="1"/>
  <c r="I96" i="9" a="1"/>
  <c r="I96" i="9" s="1"/>
  <c r="H108" i="9" a="1"/>
  <c r="H108" i="9" s="1"/>
  <c r="E108" i="9" s="1"/>
  <c r="K108" i="9"/>
  <c r="D108" i="9" a="1"/>
  <c r="D108" i="9" s="1"/>
  <c r="F108" i="9" s="1" a="1"/>
  <c r="F108" i="9" s="1"/>
  <c r="G108" i="9" s="1"/>
  <c r="Q108" i="9"/>
  <c r="P108" i="9" s="1"/>
  <c r="M108" i="9" a="1"/>
  <c r="M108" i="9" s="1"/>
  <c r="J108" i="9"/>
  <c r="I108" i="9" a="1"/>
  <c r="I108" i="9" s="1"/>
  <c r="H97" i="9" a="1"/>
  <c r="H97" i="9" s="1"/>
  <c r="E97" i="9" s="1"/>
  <c r="J97" i="9"/>
  <c r="D97" i="9" a="1"/>
  <c r="D97" i="9" s="1"/>
  <c r="F97" i="9" s="1" a="1"/>
  <c r="F97" i="9" s="1"/>
  <c r="G97" i="9" s="1"/>
  <c r="K97" i="9"/>
  <c r="Q97" i="9"/>
  <c r="P97" i="9" s="1"/>
  <c r="M97" i="9" a="1"/>
  <c r="M97" i="9" s="1"/>
  <c r="I97" i="9" a="1"/>
  <c r="I97" i="9" s="1"/>
  <c r="K195" i="9"/>
  <c r="I95" i="9" a="1"/>
  <c r="I95" i="9" s="1"/>
  <c r="M95" i="9" a="1"/>
  <c r="M95" i="9" s="1"/>
  <c r="J95" i="9"/>
  <c r="H95" i="9" a="1"/>
  <c r="H95" i="9" s="1"/>
  <c r="K95" i="9"/>
  <c r="D95" i="9" a="1"/>
  <c r="D95" i="9" s="1"/>
  <c r="F95" i="9" s="1" a="1"/>
  <c r="F95" i="9" s="1"/>
  <c r="G95" i="9" s="1"/>
  <c r="Q95" i="9"/>
  <c r="P95" i="9" s="1"/>
  <c r="K101" i="9"/>
  <c r="Q101" i="9"/>
  <c r="P101" i="9" s="1"/>
  <c r="J101" i="9"/>
  <c r="M101" i="9" a="1"/>
  <c r="M101" i="9" s="1"/>
  <c r="H101" i="9" a="1"/>
  <c r="H101" i="9" s="1"/>
  <c r="I101" i="9" a="1"/>
  <c r="I101" i="9" s="1"/>
  <c r="D101" i="9" a="1"/>
  <c r="D101" i="9" s="1"/>
  <c r="F101" i="9" s="1" a="1"/>
  <c r="F101" i="9" s="1"/>
  <c r="G101" i="9" s="1"/>
  <c r="Q100" i="9"/>
  <c r="P100" i="9" s="1"/>
  <c r="D100" i="9" a="1"/>
  <c r="D100" i="9" s="1"/>
  <c r="F100" i="9" s="1" a="1"/>
  <c r="F100" i="9" s="1"/>
  <c r="G100" i="9" s="1"/>
  <c r="J100" i="9"/>
  <c r="K100" i="9"/>
  <c r="H100" i="9" a="1"/>
  <c r="H100" i="9" s="1"/>
  <c r="M100" i="9" a="1"/>
  <c r="M100" i="9" s="1"/>
  <c r="I100" i="9" a="1"/>
  <c r="I100" i="9" s="1"/>
  <c r="D94" i="9" a="1"/>
  <c r="D94" i="9" s="1"/>
  <c r="F94" i="9" s="1" a="1"/>
  <c r="F94" i="9" s="1"/>
  <c r="G94" i="9" s="1"/>
  <c r="Q94" i="9"/>
  <c r="P94" i="9" s="1"/>
  <c r="K94" i="9"/>
  <c r="M94" i="9" a="1"/>
  <c r="M94" i="9" s="1"/>
  <c r="H94" i="9" a="1"/>
  <c r="H94" i="9" s="1"/>
  <c r="J94" i="9"/>
  <c r="I94" i="9" a="1"/>
  <c r="I94" i="9" s="1"/>
  <c r="D92" i="9" a="1"/>
  <c r="D92" i="9" s="1"/>
  <c r="F92" i="9" s="1" a="1"/>
  <c r="F92" i="9" s="1"/>
  <c r="G92" i="9" s="1"/>
  <c r="M92" i="9" a="1"/>
  <c r="M92" i="9" s="1"/>
  <c r="K92" i="9"/>
  <c r="Q92" i="9"/>
  <c r="P92" i="9" s="1"/>
  <c r="H92" i="9" a="1"/>
  <c r="H92" i="9" s="1"/>
  <c r="I92" i="9" a="1"/>
  <c r="I92" i="9" s="1"/>
  <c r="J92" i="9"/>
  <c r="Q105" i="9"/>
  <c r="P105" i="9" s="1"/>
  <c r="D185" i="9" a="1"/>
  <c r="D185" i="9" s="1"/>
  <c r="F185" i="9" s="1" a="1"/>
  <c r="F185" i="9" s="1"/>
  <c r="G185" i="9" s="1"/>
  <c r="H183" i="9" a="1"/>
  <c r="H183" i="9" s="1"/>
  <c r="E183" i="9" s="1"/>
  <c r="K185" i="9"/>
  <c r="Q187" i="9"/>
  <c r="P187" i="9" s="1"/>
  <c r="D190" i="9" a="1"/>
  <c r="D190" i="9" s="1"/>
  <c r="F190" i="9" s="1" a="1"/>
  <c r="F190" i="9" s="1"/>
  <c r="G190" i="9" s="1"/>
  <c r="M195" i="9" a="1"/>
  <c r="M195" i="9" s="1"/>
  <c r="H190" i="9" a="1"/>
  <c r="H190" i="9" s="1"/>
  <c r="H181" i="9" a="1"/>
  <c r="H181" i="9" s="1"/>
  <c r="K200" i="9"/>
  <c r="J194" i="9"/>
  <c r="H193" i="9" a="1"/>
  <c r="H193" i="9" s="1"/>
  <c r="E193" i="9" s="1"/>
  <c r="H201" i="9" a="1"/>
  <c r="H201" i="9" s="1"/>
  <c r="E201" i="9" s="1"/>
  <c r="D200" i="9" a="1"/>
  <c r="D200" i="9" s="1"/>
  <c r="F200" i="9" s="1" a="1"/>
  <c r="F200" i="9" s="1"/>
  <c r="G200" i="9" s="1"/>
  <c r="K186" i="9"/>
  <c r="J195" i="9"/>
  <c r="M186" i="9" a="1"/>
  <c r="M186" i="9" s="1"/>
  <c r="Q200" i="9"/>
  <c r="P200" i="9" s="1"/>
  <c r="J193" i="9"/>
  <c r="M190" i="9" a="1"/>
  <c r="M190" i="9" s="1"/>
  <c r="M201" i="9" a="1"/>
  <c r="M201" i="9" s="1"/>
  <c r="K190" i="9"/>
  <c r="Q201" i="9"/>
  <c r="P201" i="9" s="1"/>
  <c r="M200" i="9" a="1"/>
  <c r="M200" i="9" s="1"/>
  <c r="D193" i="9" a="1"/>
  <c r="D193" i="9" s="1"/>
  <c r="F193" i="9" s="1" a="1"/>
  <c r="F193" i="9" s="1"/>
  <c r="G193" i="9" s="1"/>
  <c r="J190" i="9"/>
  <c r="K201" i="9"/>
  <c r="H200" i="9" a="1"/>
  <c r="H200" i="9" s="1"/>
  <c r="L200" i="9" s="1"/>
  <c r="J201" i="9"/>
  <c r="H198" i="9" a="1"/>
  <c r="H198" i="9" s="1"/>
  <c r="E198" i="9" s="1"/>
  <c r="D188" i="9" a="1"/>
  <c r="D188" i="9" s="1"/>
  <c r="F188" i="9" s="1" a="1"/>
  <c r="F188" i="9" s="1"/>
  <c r="G188" i="9" s="1"/>
  <c r="M191" i="9" a="1"/>
  <c r="M191" i="9" s="1"/>
  <c r="Q186" i="9"/>
  <c r="P186" i="9" s="1"/>
  <c r="J182" i="9"/>
  <c r="D181" i="9" a="1"/>
  <c r="D181" i="9" s="1"/>
  <c r="F181" i="9" s="1" a="1"/>
  <c r="F181" i="9" s="1"/>
  <c r="G181" i="9" s="1"/>
  <c r="K194" i="9"/>
  <c r="K118" i="9"/>
  <c r="D118" i="9" a="1"/>
  <c r="D118" i="9" s="1"/>
  <c r="F118" i="9" s="1" a="1"/>
  <c r="F118" i="9" s="1"/>
  <c r="G118" i="9" s="1"/>
  <c r="M118" i="9" a="1"/>
  <c r="M118" i="9" s="1"/>
  <c r="H118" i="9" a="1"/>
  <c r="H118" i="9" s="1"/>
  <c r="Q118" i="9"/>
  <c r="P118" i="9" s="1"/>
  <c r="I118" i="9" a="1"/>
  <c r="I118" i="9" s="1"/>
  <c r="J118" i="9"/>
  <c r="I121" i="9" a="1"/>
  <c r="I121" i="9" s="1"/>
  <c r="Q121" i="9"/>
  <c r="P121" i="9" s="1"/>
  <c r="M121" i="9" a="1"/>
  <c r="M121" i="9" s="1"/>
  <c r="K121" i="9"/>
  <c r="H121" i="9" a="1"/>
  <c r="H121" i="9" s="1"/>
  <c r="J121" i="9"/>
  <c r="D121" i="9" a="1"/>
  <c r="D121" i="9" s="1"/>
  <c r="F121" i="9" s="1" a="1"/>
  <c r="F121" i="9" s="1"/>
  <c r="G121" i="9" s="1"/>
  <c r="I117" i="9" a="1"/>
  <c r="I117" i="9" s="1"/>
  <c r="H117" i="9" a="1"/>
  <c r="H117" i="9" s="1"/>
  <c r="Q117" i="9"/>
  <c r="P117" i="9" s="1"/>
  <c r="J117" i="9"/>
  <c r="D117" i="9" a="1"/>
  <c r="D117" i="9" s="1"/>
  <c r="F117" i="9" s="1" a="1"/>
  <c r="F117" i="9" s="1"/>
  <c r="G117" i="9" s="1"/>
  <c r="K117" i="9"/>
  <c r="M117" i="9" a="1"/>
  <c r="M117" i="9" s="1"/>
  <c r="M124" i="9" a="1"/>
  <c r="M124" i="9" s="1"/>
  <c r="I124" i="9" a="1"/>
  <c r="I124" i="9" s="1"/>
  <c r="J124" i="9"/>
  <c r="D124" i="9" a="1"/>
  <c r="D124" i="9" s="1"/>
  <c r="F124" i="9" s="1" a="1"/>
  <c r="F124" i="9" s="1"/>
  <c r="G124" i="9" s="1"/>
  <c r="K124" i="9"/>
  <c r="Q124" i="9"/>
  <c r="P124" i="9" s="1"/>
  <c r="H124" i="9" a="1"/>
  <c r="H124" i="9" s="1"/>
  <c r="Q128" i="9"/>
  <c r="P128" i="9" s="1"/>
  <c r="M128" i="9" a="1"/>
  <c r="M128" i="9" s="1"/>
  <c r="H128" i="9" a="1"/>
  <c r="H128" i="9" s="1"/>
  <c r="I128" i="9" a="1"/>
  <c r="I128" i="9" s="1"/>
  <c r="D128" i="9" a="1"/>
  <c r="D128" i="9" s="1"/>
  <c r="F128" i="9" s="1" a="1"/>
  <c r="F128" i="9" s="1"/>
  <c r="G128" i="9" s="1"/>
  <c r="J128" i="9"/>
  <c r="K128" i="9"/>
  <c r="Q198" i="9"/>
  <c r="P198" i="9" s="1"/>
  <c r="M188" i="9" a="1"/>
  <c r="M188" i="9" s="1"/>
  <c r="H195" i="9" a="1"/>
  <c r="H195" i="9" s="1"/>
  <c r="Q191" i="9"/>
  <c r="P191" i="9" s="1"/>
  <c r="D186" i="9" a="1"/>
  <c r="D186" i="9" s="1"/>
  <c r="F186" i="9" s="1" a="1"/>
  <c r="F186" i="9" s="1"/>
  <c r="G186" i="9" s="1"/>
  <c r="M187" i="9" a="1"/>
  <c r="M187" i="9" s="1"/>
  <c r="D125" i="9" a="1"/>
  <c r="D125" i="9" s="1"/>
  <c r="F125" i="9" s="1" a="1"/>
  <c r="F125" i="9" s="1"/>
  <c r="G125" i="9" s="1"/>
  <c r="I125" i="9" a="1"/>
  <c r="I125" i="9" s="1"/>
  <c r="Q125" i="9"/>
  <c r="P125" i="9" s="1"/>
  <c r="K125" i="9"/>
  <c r="M125" i="9" a="1"/>
  <c r="M125" i="9" s="1"/>
  <c r="H125" i="9" a="1"/>
  <c r="H125" i="9" s="1"/>
  <c r="J125" i="9"/>
  <c r="M116" i="9" a="1"/>
  <c r="M116" i="9" s="1"/>
  <c r="I116" i="9" a="1"/>
  <c r="I116" i="9" s="1"/>
  <c r="J116" i="9"/>
  <c r="D116" i="9" a="1"/>
  <c r="D116" i="9" s="1"/>
  <c r="F116" i="9" s="1" a="1"/>
  <c r="F116" i="9" s="1"/>
  <c r="G116" i="9" s="1"/>
  <c r="K116" i="9"/>
  <c r="Q116" i="9"/>
  <c r="P116" i="9" s="1"/>
  <c r="H116" i="9" a="1"/>
  <c r="H116" i="9" s="1"/>
  <c r="H111" i="9" a="1"/>
  <c r="H111" i="9" s="1"/>
  <c r="E111" i="9" s="1"/>
  <c r="D111" i="9" a="1"/>
  <c r="D111" i="9" s="1"/>
  <c r="F111" i="9" s="1" a="1"/>
  <c r="F111" i="9" s="1"/>
  <c r="G111" i="9" s="1"/>
  <c r="K111" i="9"/>
  <c r="I111" i="9" a="1"/>
  <c r="I111" i="9" s="1"/>
  <c r="Q111" i="9"/>
  <c r="P111" i="9" s="1"/>
  <c r="M111" i="9" a="1"/>
  <c r="M111" i="9" s="1"/>
  <c r="J111" i="9"/>
  <c r="J131" i="9"/>
  <c r="D131" i="9" a="1"/>
  <c r="D131" i="9" s="1"/>
  <c r="F131" i="9" s="1" a="1"/>
  <c r="F131" i="9" s="1"/>
  <c r="G131" i="9" s="1"/>
  <c r="K131" i="9"/>
  <c r="Q131" i="9"/>
  <c r="P131" i="9" s="1"/>
  <c r="H131" i="9" a="1"/>
  <c r="H131" i="9" s="1"/>
  <c r="M131" i="9" a="1"/>
  <c r="M131" i="9" s="1"/>
  <c r="I131" i="9" a="1"/>
  <c r="I131" i="9" s="1"/>
  <c r="J123" i="9"/>
  <c r="D123" i="9" a="1"/>
  <c r="D123" i="9" s="1"/>
  <c r="F123" i="9" s="1" a="1"/>
  <c r="F123" i="9" s="1"/>
  <c r="G123" i="9" s="1"/>
  <c r="K123" i="9"/>
  <c r="Q123" i="9"/>
  <c r="P123" i="9" s="1"/>
  <c r="M123" i="9" a="1"/>
  <c r="M123" i="9" s="1"/>
  <c r="H123" i="9" a="1"/>
  <c r="H123" i="9" s="1"/>
  <c r="I123" i="9" a="1"/>
  <c r="I123" i="9" s="1"/>
  <c r="K198" i="9"/>
  <c r="Q188" i="9"/>
  <c r="P188" i="9" s="1"/>
  <c r="K191" i="9"/>
  <c r="K187" i="9"/>
  <c r="Q194" i="9"/>
  <c r="P194" i="9" s="1"/>
  <c r="J198" i="9"/>
  <c r="H188" i="9" a="1"/>
  <c r="H188" i="9" s="1"/>
  <c r="E188" i="9" s="1"/>
  <c r="Q195" i="9"/>
  <c r="P195" i="9" s="1"/>
  <c r="J191" i="9"/>
  <c r="H187" i="9" a="1"/>
  <c r="H187" i="9" s="1"/>
  <c r="M181" i="9" a="1"/>
  <c r="M181" i="9" s="1"/>
  <c r="D194" i="9" a="1"/>
  <c r="D194" i="9" s="1"/>
  <c r="F194" i="9" s="1" a="1"/>
  <c r="F194" i="9" s="1"/>
  <c r="G194" i="9" s="1"/>
  <c r="J115" i="9"/>
  <c r="H115" i="9" a="1"/>
  <c r="H115" i="9" s="1"/>
  <c r="Q115" i="9"/>
  <c r="P115" i="9" s="1"/>
  <c r="I115" i="9" a="1"/>
  <c r="I115" i="9" s="1"/>
  <c r="D115" i="9" a="1"/>
  <c r="D115" i="9" s="1"/>
  <c r="F115" i="9" s="1" a="1"/>
  <c r="F115" i="9" s="1"/>
  <c r="G115" i="9" s="1"/>
  <c r="K115" i="9"/>
  <c r="M115" i="9" a="1"/>
  <c r="M115" i="9" s="1"/>
  <c r="J120" i="9"/>
  <c r="H120" i="9" a="1"/>
  <c r="H120" i="9" s="1"/>
  <c r="D120" i="9" a="1"/>
  <c r="D120" i="9" s="1"/>
  <c r="F120" i="9" s="1" a="1"/>
  <c r="F120" i="9" s="1"/>
  <c r="G120" i="9" s="1"/>
  <c r="K120" i="9"/>
  <c r="Q120" i="9"/>
  <c r="P120" i="9" s="1"/>
  <c r="M120" i="9" a="1"/>
  <c r="M120" i="9" s="1"/>
  <c r="I120" i="9" a="1"/>
  <c r="I120" i="9" s="1"/>
  <c r="H113" i="9" a="1"/>
  <c r="H113" i="9" s="1"/>
  <c r="I113" i="9" a="1"/>
  <c r="I113" i="9" s="1"/>
  <c r="J113" i="9"/>
  <c r="D113" i="9" a="1"/>
  <c r="D113" i="9" s="1"/>
  <c r="F113" i="9" s="1" a="1"/>
  <c r="F113" i="9" s="1"/>
  <c r="G113" i="9" s="1"/>
  <c r="K113" i="9"/>
  <c r="Q113" i="9"/>
  <c r="P113" i="9" s="1"/>
  <c r="M113" i="9" a="1"/>
  <c r="M113" i="9" s="1"/>
  <c r="H130" i="9" a="1"/>
  <c r="H130" i="9" s="1"/>
  <c r="Q130" i="9"/>
  <c r="P130" i="9" s="1"/>
  <c r="I130" i="9" a="1"/>
  <c r="I130" i="9" s="1"/>
  <c r="J130" i="9"/>
  <c r="D130" i="9" a="1"/>
  <c r="D130" i="9" s="1"/>
  <c r="F130" i="9" s="1" a="1"/>
  <c r="F130" i="9" s="1"/>
  <c r="G130" i="9" s="1"/>
  <c r="K130" i="9"/>
  <c r="M130" i="9" a="1"/>
  <c r="M130" i="9" s="1"/>
  <c r="Q122" i="9"/>
  <c r="P122" i="9" s="1"/>
  <c r="D122" i="9" a="1"/>
  <c r="D122" i="9" s="1"/>
  <c r="F122" i="9" s="1" a="1"/>
  <c r="F122" i="9" s="1"/>
  <c r="G122" i="9" s="1"/>
  <c r="M122" i="9" a="1"/>
  <c r="M122" i="9" s="1"/>
  <c r="H122" i="9" a="1"/>
  <c r="H122" i="9" s="1"/>
  <c r="I122" i="9" a="1"/>
  <c r="I122" i="9" s="1"/>
  <c r="J122" i="9"/>
  <c r="K122" i="9"/>
  <c r="K188" i="9"/>
  <c r="J186" i="9"/>
  <c r="L186" i="9" s="1"/>
  <c r="J187" i="9"/>
  <c r="Q181" i="9"/>
  <c r="P181" i="9" s="1"/>
  <c r="H194" i="9" a="1"/>
  <c r="H194" i="9" s="1"/>
  <c r="E194" i="9" s="1"/>
  <c r="J188" i="9"/>
  <c r="H191" i="9" a="1"/>
  <c r="H191" i="9" s="1"/>
  <c r="H119" i="9" a="1"/>
  <c r="H119" i="9" s="1"/>
  <c r="I119" i="9" a="1"/>
  <c r="I119" i="9" s="1"/>
  <c r="J119" i="9"/>
  <c r="M119" i="9" a="1"/>
  <c r="M119" i="9" s="1"/>
  <c r="Q119" i="9"/>
  <c r="P119" i="9" s="1"/>
  <c r="K119" i="9"/>
  <c r="D119" i="9" a="1"/>
  <c r="D119" i="9" s="1"/>
  <c r="F119" i="9" s="1" a="1"/>
  <c r="F119" i="9" s="1"/>
  <c r="G119" i="9" s="1"/>
  <c r="I114" i="9" a="1"/>
  <c r="I114" i="9" s="1"/>
  <c r="J114" i="9"/>
  <c r="D114" i="9" a="1"/>
  <c r="D114" i="9" s="1"/>
  <c r="F114" i="9" s="1" a="1"/>
  <c r="F114" i="9" s="1"/>
  <c r="G114" i="9" s="1"/>
  <c r="K114" i="9"/>
  <c r="Q114" i="9"/>
  <c r="P114" i="9" s="1"/>
  <c r="M114" i="9" a="1"/>
  <c r="M114" i="9" s="1"/>
  <c r="H114" i="9" a="1"/>
  <c r="H114" i="9" s="1"/>
  <c r="K112" i="9"/>
  <c r="Q112" i="9"/>
  <c r="P112" i="9" s="1"/>
  <c r="M112" i="9" a="1"/>
  <c r="M112" i="9" s="1"/>
  <c r="H112" i="9" a="1"/>
  <c r="H112" i="9" s="1"/>
  <c r="I112" i="9" a="1"/>
  <c r="I112" i="9" s="1"/>
  <c r="J112" i="9"/>
  <c r="D112" i="9" a="1"/>
  <c r="D112" i="9" s="1"/>
  <c r="F112" i="9" s="1" a="1"/>
  <c r="F112" i="9" s="1"/>
  <c r="G112" i="9" s="1"/>
  <c r="D126" i="9" a="1"/>
  <c r="D126" i="9" s="1"/>
  <c r="F126" i="9" s="1" a="1"/>
  <c r="F126" i="9" s="1"/>
  <c r="G126" i="9" s="1"/>
  <c r="M126" i="9" a="1"/>
  <c r="M126" i="9" s="1"/>
  <c r="H126" i="9" a="1"/>
  <c r="H126" i="9" s="1"/>
  <c r="I126" i="9" a="1"/>
  <c r="I126" i="9" s="1"/>
  <c r="Q126" i="9"/>
  <c r="P126" i="9" s="1"/>
  <c r="J126" i="9"/>
  <c r="K126" i="9"/>
  <c r="H127" i="9" a="1"/>
  <c r="H127" i="9" s="1"/>
  <c r="E127" i="9" s="1"/>
  <c r="K127" i="9"/>
  <c r="D127" i="9" a="1"/>
  <c r="D127" i="9" s="1"/>
  <c r="F127" i="9" s="1" a="1"/>
  <c r="F127" i="9" s="1"/>
  <c r="G127" i="9" s="1"/>
  <c r="I127" i="9" a="1"/>
  <c r="I127" i="9" s="1"/>
  <c r="J127" i="9"/>
  <c r="M127" i="9" a="1"/>
  <c r="M127" i="9" s="1"/>
  <c r="Q127" i="9"/>
  <c r="P127" i="9" s="1"/>
  <c r="H129" i="9" a="1"/>
  <c r="H129" i="9" s="1"/>
  <c r="J129" i="9"/>
  <c r="D129" i="9" a="1"/>
  <c r="D129" i="9" s="1"/>
  <c r="F129" i="9" s="1" a="1"/>
  <c r="F129" i="9" s="1"/>
  <c r="G129" i="9" s="1"/>
  <c r="Q129" i="9"/>
  <c r="P129" i="9" s="1"/>
  <c r="K129" i="9"/>
  <c r="M129" i="9" a="1"/>
  <c r="M129" i="9" s="1"/>
  <c r="I129" i="9" a="1"/>
  <c r="I129" i="9" s="1"/>
  <c r="L196" i="9"/>
  <c r="E196" i="9"/>
  <c r="E199" i="9"/>
  <c r="L199" i="9"/>
  <c r="E190" i="9"/>
  <c r="E189" i="9"/>
  <c r="E186" i="9"/>
  <c r="E184" i="9"/>
  <c r="L184" i="9"/>
  <c r="E173" i="9"/>
  <c r="L173" i="9"/>
  <c r="E162" i="9"/>
  <c r="L166" i="9"/>
  <c r="E159" i="9"/>
  <c r="E158" i="9"/>
  <c r="E167" i="9"/>
  <c r="L167" i="9"/>
  <c r="E161" i="9"/>
  <c r="L161" i="9"/>
  <c r="E174" i="9"/>
  <c r="H175" i="9"/>
  <c r="E179" i="9"/>
  <c r="L179" i="9"/>
  <c r="E177" i="9"/>
  <c r="E178" i="9"/>
  <c r="L178" i="9"/>
  <c r="Q180" i="9"/>
  <c r="P180" i="9" s="1"/>
  <c r="H110" i="9"/>
  <c r="E110" i="9" s="1"/>
  <c r="Q110" i="9"/>
  <c r="P110" i="9" s="1"/>
  <c r="I110" i="9"/>
  <c r="I105" i="9"/>
  <c r="V1" i="2"/>
  <c r="C141" i="9" s="1" a="1"/>
  <c r="C141" i="9" s="1"/>
  <c r="I141" i="9" s="1" a="1"/>
  <c r="I141" i="9" s="1"/>
  <c r="B7" i="5"/>
  <c r="B6" i="5"/>
  <c r="K50" i="9"/>
  <c r="Q50" i="9"/>
  <c r="P50" i="9" s="1"/>
  <c r="A7" i="9"/>
  <c r="B2" i="7"/>
  <c r="C230" i="9"/>
  <c r="H230" i="9"/>
  <c r="C238" i="9"/>
  <c r="H238" i="9"/>
  <c r="C242" i="9"/>
  <c r="H242" i="9"/>
  <c r="Q8" i="4"/>
  <c r="AF8" i="5" s="1"/>
  <c r="I8" i="4"/>
  <c r="P8" i="5" s="1"/>
  <c r="P8" i="4"/>
  <c r="AD8" i="5" s="1"/>
  <c r="G8" i="4"/>
  <c r="L8" i="5" s="1"/>
  <c r="V8" i="4"/>
  <c r="AM8" i="5" s="1"/>
  <c r="L8" i="4"/>
  <c r="V8" i="5" s="1"/>
  <c r="C8" i="4"/>
  <c r="D8" i="5" s="1"/>
  <c r="A10" i="4" a="1"/>
  <c r="A10" i="4" s="1"/>
  <c r="K8" i="4"/>
  <c r="T8" i="5" s="1"/>
  <c r="B8" i="4"/>
  <c r="S8" i="4"/>
  <c r="AJ8" i="5" s="1"/>
  <c r="J8" i="4"/>
  <c r="R8" i="5" s="1"/>
  <c r="R8" i="4"/>
  <c r="AH8" i="5" s="1"/>
  <c r="H8" i="4"/>
  <c r="N8" i="5" s="1"/>
  <c r="F8" i="4"/>
  <c r="J8" i="5" s="1"/>
  <c r="W8" i="4"/>
  <c r="AN8" i="5" s="1"/>
  <c r="D8" i="4"/>
  <c r="F8" i="5" s="1"/>
  <c r="N8" i="4"/>
  <c r="Z8" i="5" s="1"/>
  <c r="O8" i="4"/>
  <c r="AB8" i="5" s="1"/>
  <c r="M8" i="4"/>
  <c r="X8" i="5" s="1"/>
  <c r="E8" i="4"/>
  <c r="H8" i="5" s="1"/>
  <c r="R7" i="5"/>
  <c r="R6" i="5"/>
  <c r="Z3" i="5"/>
  <c r="O3" i="4"/>
  <c r="Q236" i="9"/>
  <c r="P236" i="9" s="1"/>
  <c r="K236" i="9"/>
  <c r="L236" i="9" s="1"/>
  <c r="AL9" i="5"/>
  <c r="A11" i="5" a="1"/>
  <c r="A11" i="5" s="1"/>
  <c r="AL8" i="5"/>
  <c r="A10" i="5" a="1"/>
  <c r="A10" i="5" s="1"/>
  <c r="Z4" i="5"/>
  <c r="Y3" i="5"/>
  <c r="F236" i="9"/>
  <c r="G236" i="9" s="1"/>
  <c r="J236" i="9"/>
  <c r="K216" i="9"/>
  <c r="L216" i="9" s="1"/>
  <c r="Q216" i="9"/>
  <c r="P216" i="9" s="1"/>
  <c r="J216" i="9"/>
  <c r="F216" i="9"/>
  <c r="G216" i="9" s="1"/>
  <c r="J237" i="9"/>
  <c r="F237" i="9"/>
  <c r="G237" i="9" s="1"/>
  <c r="Q232" i="9"/>
  <c r="P232" i="9" s="1"/>
  <c r="K232" i="9"/>
  <c r="L232" i="9" s="1"/>
  <c r="J229" i="9"/>
  <c r="F229" i="9"/>
  <c r="G229" i="9" s="1"/>
  <c r="K237" i="9"/>
  <c r="L237" i="9" s="1"/>
  <c r="Q237" i="9"/>
  <c r="P237" i="9" s="1"/>
  <c r="R9" i="4"/>
  <c r="AH9" i="5" s="1"/>
  <c r="J9" i="4"/>
  <c r="R9" i="5" s="1"/>
  <c r="B9" i="4"/>
  <c r="V9" i="4"/>
  <c r="AM9" i="5" s="1"/>
  <c r="L9" i="4"/>
  <c r="V9" i="5" s="1"/>
  <c r="C9" i="4"/>
  <c r="D9" i="5" s="1"/>
  <c r="P9" i="4"/>
  <c r="AD9" i="5" s="1"/>
  <c r="G9" i="4"/>
  <c r="L9" i="5" s="1"/>
  <c r="O9" i="4"/>
  <c r="AB9" i="5" s="1"/>
  <c r="F9" i="4"/>
  <c r="J9" i="5" s="1"/>
  <c r="M9" i="4"/>
  <c r="X9" i="5" s="1"/>
  <c r="N9" i="4"/>
  <c r="Z9" i="5" s="1"/>
  <c r="E9" i="4"/>
  <c r="H9" i="5" s="1"/>
  <c r="W9" i="4"/>
  <c r="AN9" i="5" s="1"/>
  <c r="D9" i="4"/>
  <c r="F9" i="5" s="1"/>
  <c r="H9" i="4"/>
  <c r="N9" i="5" s="1"/>
  <c r="A11" i="4" a="1"/>
  <c r="A11" i="4" s="1"/>
  <c r="S9" i="4"/>
  <c r="AJ9" i="5" s="1"/>
  <c r="Q9" i="4"/>
  <c r="AF9" i="5" s="1"/>
  <c r="I9" i="4"/>
  <c r="P9" i="5" s="1"/>
  <c r="K9" i="4"/>
  <c r="T9" i="5" s="1"/>
  <c r="F232" i="9"/>
  <c r="G232" i="9" s="1"/>
  <c r="J232" i="9"/>
  <c r="K229" i="9"/>
  <c r="L229" i="9" s="1"/>
  <c r="Q229" i="9"/>
  <c r="P229" i="9" s="1"/>
  <c r="J241" i="9"/>
  <c r="F241" i="9"/>
  <c r="G241" i="9" s="1"/>
  <c r="Q132" i="4"/>
  <c r="P132" i="4"/>
  <c r="O132" i="4"/>
  <c r="W132" i="4"/>
  <c r="AN132" i="5" s="1"/>
  <c r="N132" i="4"/>
  <c r="A134" i="4"/>
  <c r="V132" i="4"/>
  <c r="AM132" i="5" s="1"/>
  <c r="M132" i="4"/>
  <c r="L132" i="4"/>
  <c r="S132" i="4"/>
  <c r="R132" i="4"/>
  <c r="K241" i="9"/>
  <c r="L241" i="9" s="1"/>
  <c r="Q241" i="9"/>
  <c r="P241" i="9" s="1"/>
  <c r="C1" i="9" a="1"/>
  <c r="D105" i="9" a="1"/>
  <c r="D110" i="9" a="1"/>
  <c r="K63" i="2" a="1"/>
  <c r="J63" i="2" a="1"/>
  <c r="P64" i="2"/>
  <c r="Q64" i="2"/>
  <c r="M1" i="2" a="1"/>
  <c r="J21" i="2" a="1"/>
  <c r="R2" i="2"/>
  <c r="L1" i="2" a="1"/>
  <c r="Q2" i="2"/>
  <c r="P2" i="2"/>
  <c r="S2" i="2"/>
  <c r="M21" i="2" a="1"/>
  <c r="J1" i="2" a="1"/>
  <c r="B3" i="7" a="1"/>
  <c r="O1" i="2" a="1"/>
  <c r="J18" i="2" a="1"/>
  <c r="K1" i="2" a="1"/>
  <c r="L63" i="2" a="1"/>
  <c r="M32" i="2" a="1"/>
  <c r="N1" i="2" a="1"/>
  <c r="J32" i="2" a="1"/>
  <c r="U2" i="2"/>
  <c r="R64" i="2"/>
  <c r="T2" i="2"/>
  <c r="N1" i="2" l="1"/>
  <c r="L63" i="2"/>
  <c r="O1" i="2"/>
  <c r="J63" i="2"/>
  <c r="K63" i="2"/>
  <c r="V64" i="2"/>
  <c r="L176" i="9"/>
  <c r="L163" i="9"/>
  <c r="J32" i="2"/>
  <c r="M32" i="2"/>
  <c r="J18" i="2"/>
  <c r="M21" i="2"/>
  <c r="J21" i="2"/>
  <c r="L164" i="9"/>
  <c r="E200" i="9"/>
  <c r="L174" i="9"/>
  <c r="L182" i="9"/>
  <c r="L162" i="9"/>
  <c r="L169" i="9"/>
  <c r="L181" i="9"/>
  <c r="E172" i="9"/>
  <c r="L171" i="9"/>
  <c r="L197" i="9"/>
  <c r="L168" i="9"/>
  <c r="E197" i="9"/>
  <c r="L158" i="9"/>
  <c r="E165" i="9"/>
  <c r="L111" i="9"/>
  <c r="L170" i="9"/>
  <c r="L198" i="9"/>
  <c r="L50" i="9"/>
  <c r="L183" i="9"/>
  <c r="C1" i="9"/>
  <c r="I1" i="9" s="1" a="1"/>
  <c r="L192" i="9"/>
  <c r="L185" i="9"/>
  <c r="L194" i="9"/>
  <c r="L127" i="9"/>
  <c r="L195" i="9"/>
  <c r="L97" i="9"/>
  <c r="L101" i="9"/>
  <c r="E101" i="9"/>
  <c r="E95" i="9"/>
  <c r="L95" i="9"/>
  <c r="L102" i="9"/>
  <c r="E102" i="9"/>
  <c r="E89" i="9"/>
  <c r="L89" i="9"/>
  <c r="L191" i="9"/>
  <c r="L190" i="9"/>
  <c r="L193" i="9"/>
  <c r="L100" i="9"/>
  <c r="E100" i="9"/>
  <c r="E107" i="9"/>
  <c r="L107" i="9"/>
  <c r="E106" i="9"/>
  <c r="L106" i="9"/>
  <c r="L90" i="9"/>
  <c r="E90" i="9"/>
  <c r="L94" i="9"/>
  <c r="E94" i="9"/>
  <c r="E103" i="9"/>
  <c r="L103" i="9"/>
  <c r="E98" i="9"/>
  <c r="L98" i="9"/>
  <c r="L92" i="9"/>
  <c r="E92" i="9"/>
  <c r="E181" i="9"/>
  <c r="E88" i="9"/>
  <c r="L88" i="9"/>
  <c r="E99" i="9"/>
  <c r="L99" i="9"/>
  <c r="L188" i="9"/>
  <c r="L108" i="9"/>
  <c r="E96" i="9"/>
  <c r="L96" i="9"/>
  <c r="L91" i="9"/>
  <c r="E91" i="9"/>
  <c r="L109" i="9"/>
  <c r="E109" i="9"/>
  <c r="E93" i="9"/>
  <c r="L93" i="9"/>
  <c r="E104" i="9"/>
  <c r="L104" i="9"/>
  <c r="E191" i="9"/>
  <c r="L187" i="9"/>
  <c r="E195" i="9"/>
  <c r="E187" i="9"/>
  <c r="L201" i="9"/>
  <c r="L112" i="9"/>
  <c r="E112" i="9"/>
  <c r="L130" i="9"/>
  <c r="E130" i="9"/>
  <c r="L116" i="9"/>
  <c r="E116" i="9"/>
  <c r="E125" i="9"/>
  <c r="L125" i="9"/>
  <c r="E117" i="9"/>
  <c r="L117" i="9"/>
  <c r="E126" i="9"/>
  <c r="L126" i="9"/>
  <c r="L128" i="9"/>
  <c r="E128" i="9"/>
  <c r="E119" i="9"/>
  <c r="L119" i="9"/>
  <c r="L114" i="9"/>
  <c r="E114" i="9"/>
  <c r="L115" i="9"/>
  <c r="E115" i="9"/>
  <c r="E123" i="9"/>
  <c r="L123" i="9"/>
  <c r="L131" i="9"/>
  <c r="E131" i="9"/>
  <c r="L120" i="9"/>
  <c r="E120" i="9"/>
  <c r="E124" i="9"/>
  <c r="L124" i="9"/>
  <c r="E121" i="9"/>
  <c r="L121" i="9"/>
  <c r="E118" i="9"/>
  <c r="L118" i="9"/>
  <c r="E129" i="9"/>
  <c r="L129" i="9"/>
  <c r="E122" i="9"/>
  <c r="L122" i="9"/>
  <c r="E113" i="9"/>
  <c r="L113" i="9"/>
  <c r="D141" i="9" a="1"/>
  <c r="D141" i="9" s="1"/>
  <c r="F141" i="9" s="1" a="1"/>
  <c r="F141" i="9" s="1"/>
  <c r="G141" i="9" s="1"/>
  <c r="E175" i="9"/>
  <c r="D110" i="9"/>
  <c r="D105" i="9"/>
  <c r="V2" i="2"/>
  <c r="C142" i="9" s="1" a="1"/>
  <c r="C142" i="9" s="1"/>
  <c r="I142" i="9" s="1" a="1"/>
  <c r="I142" i="9" s="1"/>
  <c r="B9" i="5"/>
  <c r="B8" i="5"/>
  <c r="K1" i="2"/>
  <c r="M1" i="2"/>
  <c r="L1" i="2"/>
  <c r="J1" i="2"/>
  <c r="A8" i="9"/>
  <c r="B3" i="7"/>
  <c r="A13" i="5" a="1"/>
  <c r="A13" i="5" s="1"/>
  <c r="AL11" i="5"/>
  <c r="Q230" i="9"/>
  <c r="P230" i="9" s="1"/>
  <c r="K230" i="9"/>
  <c r="L230" i="9" s="1"/>
  <c r="A136" i="4"/>
  <c r="V134" i="4"/>
  <c r="AM134" i="5" s="1"/>
  <c r="M134" i="4"/>
  <c r="L134" i="4"/>
  <c r="S134" i="4"/>
  <c r="R134" i="4"/>
  <c r="Q134" i="4"/>
  <c r="P134" i="4"/>
  <c r="O134" i="4"/>
  <c r="W134" i="4"/>
  <c r="AN134" i="5" s="1"/>
  <c r="N134" i="4"/>
  <c r="S10" i="4"/>
  <c r="AJ10" i="5" s="1"/>
  <c r="K10" i="4"/>
  <c r="T10" i="5" s="1"/>
  <c r="C10" i="4"/>
  <c r="D10" i="5" s="1"/>
  <c r="P10" i="4"/>
  <c r="AD10" i="5" s="1"/>
  <c r="G10" i="4"/>
  <c r="L10" i="5" s="1"/>
  <c r="A12" i="4" a="1"/>
  <c r="A12" i="4" s="1"/>
  <c r="V10" i="4"/>
  <c r="AM10" i="5" s="1"/>
  <c r="L10" i="4"/>
  <c r="V10" i="5" s="1"/>
  <c r="B10" i="4"/>
  <c r="H10" i="4"/>
  <c r="N10" i="5" s="1"/>
  <c r="J10" i="4"/>
  <c r="R10" i="5" s="1"/>
  <c r="R10" i="4"/>
  <c r="AH10" i="5" s="1"/>
  <c r="I10" i="4"/>
  <c r="P10" i="5" s="1"/>
  <c r="Q10" i="4"/>
  <c r="AF10" i="5" s="1"/>
  <c r="F10" i="4"/>
  <c r="J10" i="5" s="1"/>
  <c r="D10" i="4"/>
  <c r="F10" i="5" s="1"/>
  <c r="O10" i="4"/>
  <c r="AB10" i="5" s="1"/>
  <c r="M10" i="4"/>
  <c r="X10" i="5" s="1"/>
  <c r="E10" i="4"/>
  <c r="H10" i="5" s="1"/>
  <c r="W10" i="4"/>
  <c r="AN10" i="5" s="1"/>
  <c r="N10" i="4"/>
  <c r="Z10" i="5" s="1"/>
  <c r="Q242" i="9"/>
  <c r="P242" i="9" s="1"/>
  <c r="K242" i="9"/>
  <c r="L242" i="9" s="1"/>
  <c r="F230" i="9"/>
  <c r="G230" i="9" s="1"/>
  <c r="J230" i="9"/>
  <c r="A12" i="5" a="1"/>
  <c r="A12" i="5" s="1"/>
  <c r="AL10" i="5"/>
  <c r="AB3" i="5"/>
  <c r="P3" i="4"/>
  <c r="F242" i="9"/>
  <c r="G242" i="9" s="1"/>
  <c r="J242" i="9"/>
  <c r="AB4" i="5"/>
  <c r="AA3" i="5"/>
  <c r="L11" i="4"/>
  <c r="V11" i="5" s="1"/>
  <c r="D11" i="4"/>
  <c r="F11" i="5" s="1"/>
  <c r="A13" i="4" a="1"/>
  <c r="A13" i="4" s="1"/>
  <c r="K11" i="4"/>
  <c r="T11" i="5" s="1"/>
  <c r="B11" i="4"/>
  <c r="P11" i="4"/>
  <c r="AD11" i="5" s="1"/>
  <c r="G11" i="4"/>
  <c r="L11" i="5" s="1"/>
  <c r="O11" i="4"/>
  <c r="AB11" i="5" s="1"/>
  <c r="F11" i="4"/>
  <c r="J11" i="5" s="1"/>
  <c r="C11" i="4"/>
  <c r="D11" i="5" s="1"/>
  <c r="W11" i="4"/>
  <c r="AN11" i="5" s="1"/>
  <c r="N11" i="4"/>
  <c r="Z11" i="5" s="1"/>
  <c r="E11" i="4"/>
  <c r="H11" i="5" s="1"/>
  <c r="V11" i="4"/>
  <c r="AM11" i="5" s="1"/>
  <c r="M11" i="4"/>
  <c r="X11" i="5" s="1"/>
  <c r="H11" i="4"/>
  <c r="N11" i="5" s="1"/>
  <c r="J11" i="4"/>
  <c r="R11" i="5" s="1"/>
  <c r="R11" i="4"/>
  <c r="AH11" i="5" s="1"/>
  <c r="Q11" i="4"/>
  <c r="AF11" i="5" s="1"/>
  <c r="I11" i="4"/>
  <c r="P11" i="5" s="1"/>
  <c r="S11" i="4"/>
  <c r="AJ11" i="5" s="1"/>
  <c r="Q238" i="9"/>
  <c r="P238" i="9" s="1"/>
  <c r="K238" i="9"/>
  <c r="L238" i="9" s="1"/>
  <c r="F238" i="9"/>
  <c r="G238" i="9" s="1"/>
  <c r="J238" i="9"/>
  <c r="C2" i="9" a="1"/>
  <c r="C71" i="9" a="1"/>
  <c r="D175" i="9" a="1"/>
  <c r="L64" i="2" a="1"/>
  <c r="R65" i="2"/>
  <c r="J2" i="2" a="1"/>
  <c r="M2" i="2" a="1"/>
  <c r="Q65" i="2"/>
  <c r="K2" i="2" a="1"/>
  <c r="P65" i="2"/>
  <c r="L2" i="2" a="1"/>
  <c r="K40" i="2" a="1"/>
  <c r="P3" i="2"/>
  <c r="K64" i="2" a="1"/>
  <c r="N2" i="2" a="1"/>
  <c r="U3" i="2"/>
  <c r="J64" i="2" a="1"/>
  <c r="Q3" i="2"/>
  <c r="T3" i="2"/>
  <c r="R3" i="2"/>
  <c r="S3" i="2"/>
  <c r="O2" i="2" a="1"/>
  <c r="B4" i="7" a="1"/>
  <c r="H1" i="9" l="1" a="1"/>
  <c r="M1" i="9" a="1"/>
  <c r="J64" i="2"/>
  <c r="K64" i="2"/>
  <c r="L64" i="2"/>
  <c r="V65" i="2"/>
  <c r="K40" i="2"/>
  <c r="C2" i="9"/>
  <c r="I2" i="9" s="1" a="1"/>
  <c r="H1" i="9"/>
  <c r="E1" i="9" s="1"/>
  <c r="M1" i="9"/>
  <c r="Q1" i="9"/>
  <c r="P1" i="9" s="1"/>
  <c r="M141" i="9" a="1"/>
  <c r="M141" i="9" s="1"/>
  <c r="Q141" i="9"/>
  <c r="P141" i="9" s="1"/>
  <c r="H141" i="9" a="1"/>
  <c r="H141" i="9" s="1"/>
  <c r="J141" i="9"/>
  <c r="K141" i="9"/>
  <c r="C71" i="9"/>
  <c r="I71" i="9" s="1" a="1"/>
  <c r="H142" i="9" a="1"/>
  <c r="H142" i="9" s="1"/>
  <c r="C72" i="9" a="1"/>
  <c r="C72" i="9" s="1"/>
  <c r="E180" i="9"/>
  <c r="D175" i="9"/>
  <c r="J175" i="9" s="1"/>
  <c r="L175" i="9" s="1"/>
  <c r="J105" i="9"/>
  <c r="L105" i="9" s="1"/>
  <c r="J110" i="9"/>
  <c r="K110" i="9" s="1"/>
  <c r="I1" i="9"/>
  <c r="V3" i="2"/>
  <c r="C143" i="9" s="1" a="1"/>
  <c r="C143" i="9" s="1"/>
  <c r="I143" i="9" s="1" a="1"/>
  <c r="I143" i="9" s="1"/>
  <c r="L2" i="2"/>
  <c r="K2" i="2"/>
  <c r="J2" i="2"/>
  <c r="M2" i="2"/>
  <c r="O2" i="2"/>
  <c r="N2" i="2"/>
  <c r="B11" i="5"/>
  <c r="B10" i="5"/>
  <c r="L52" i="9"/>
  <c r="F52" i="9" a="1"/>
  <c r="F52" i="9" s="1"/>
  <c r="G52" i="9" s="1"/>
  <c r="Q52" i="9"/>
  <c r="P52" i="9" s="1"/>
  <c r="A9" i="9"/>
  <c r="B4" i="7"/>
  <c r="Q136" i="4"/>
  <c r="P136" i="4"/>
  <c r="O136" i="4"/>
  <c r="W136" i="4"/>
  <c r="AN136" i="5" s="1"/>
  <c r="N136" i="4"/>
  <c r="A138" i="4"/>
  <c r="V136" i="4"/>
  <c r="AM136" i="5" s="1"/>
  <c r="M136" i="4"/>
  <c r="L136" i="4"/>
  <c r="S136" i="4"/>
  <c r="R136" i="4"/>
  <c r="A15" i="5" a="1"/>
  <c r="A15" i="5" s="1"/>
  <c r="AL13" i="5"/>
  <c r="A14" i="5" a="1"/>
  <c r="A14" i="5" s="1"/>
  <c r="AL12" i="5"/>
  <c r="W13" i="4"/>
  <c r="AN13" i="5" s="1"/>
  <c r="N13" i="4"/>
  <c r="Z13" i="5" s="1"/>
  <c r="F13" i="4"/>
  <c r="J13" i="5" s="1"/>
  <c r="A15" i="4" a="1"/>
  <c r="A15" i="4" s="1"/>
  <c r="S13" i="4"/>
  <c r="AJ13" i="5" s="1"/>
  <c r="J13" i="4"/>
  <c r="R13" i="5" s="1"/>
  <c r="O13" i="4"/>
  <c r="AB13" i="5" s="1"/>
  <c r="E13" i="4"/>
  <c r="H13" i="5" s="1"/>
  <c r="M13" i="4"/>
  <c r="X13" i="5" s="1"/>
  <c r="D13" i="4"/>
  <c r="F13" i="5" s="1"/>
  <c r="B13" i="4"/>
  <c r="V13" i="4"/>
  <c r="AM13" i="5" s="1"/>
  <c r="L13" i="4"/>
  <c r="V13" i="5" s="1"/>
  <c r="C13" i="4"/>
  <c r="D13" i="5" s="1"/>
  <c r="K13" i="4"/>
  <c r="T13" i="5" s="1"/>
  <c r="G13" i="4"/>
  <c r="L13" i="5" s="1"/>
  <c r="R13" i="4"/>
  <c r="AH13" i="5" s="1"/>
  <c r="Q13" i="4"/>
  <c r="AF13" i="5" s="1"/>
  <c r="P13" i="4"/>
  <c r="AD13" i="5" s="1"/>
  <c r="I13" i="4"/>
  <c r="P13" i="5" s="1"/>
  <c r="H13" i="4"/>
  <c r="N13" i="5" s="1"/>
  <c r="V12" i="4"/>
  <c r="AM12" i="5" s="1"/>
  <c r="M12" i="4"/>
  <c r="X12" i="5" s="1"/>
  <c r="E12" i="4"/>
  <c r="H12" i="5" s="1"/>
  <c r="O12" i="4"/>
  <c r="AB12" i="5" s="1"/>
  <c r="F12" i="4"/>
  <c r="J12" i="5" s="1"/>
  <c r="A14" i="4" a="1"/>
  <c r="A14" i="4" s="1"/>
  <c r="S12" i="4"/>
  <c r="AJ12" i="5" s="1"/>
  <c r="J12" i="4"/>
  <c r="R12" i="5" s="1"/>
  <c r="R12" i="4"/>
  <c r="AH12" i="5" s="1"/>
  <c r="I12" i="4"/>
  <c r="P12" i="5" s="1"/>
  <c r="G12" i="4"/>
  <c r="L12" i="5" s="1"/>
  <c r="Q12" i="4"/>
  <c r="AF12" i="5" s="1"/>
  <c r="H12" i="4"/>
  <c r="N12" i="5" s="1"/>
  <c r="P12" i="4"/>
  <c r="AD12" i="5" s="1"/>
  <c r="C12" i="4"/>
  <c r="D12" i="5" s="1"/>
  <c r="B12" i="4"/>
  <c r="W12" i="4"/>
  <c r="AN12" i="5" s="1"/>
  <c r="K12" i="4"/>
  <c r="T12" i="5" s="1"/>
  <c r="N12" i="4"/>
  <c r="Z12" i="5" s="1"/>
  <c r="L12" i="4"/>
  <c r="V12" i="5" s="1"/>
  <c r="D12" i="4"/>
  <c r="F12" i="5" s="1"/>
  <c r="AD3" i="5"/>
  <c r="Q3" i="4"/>
  <c r="AC3" i="5"/>
  <c r="AD4" i="5"/>
  <c r="M2" i="9" a="1"/>
  <c r="H2" i="9" a="1"/>
  <c r="D1" i="9" a="1"/>
  <c r="C3" i="9" a="1"/>
  <c r="H71" i="9" a="1"/>
  <c r="M71" i="9" a="1"/>
  <c r="D180" i="9" a="1"/>
  <c r="Q66" i="2"/>
  <c r="M56" i="2" a="1"/>
  <c r="T4" i="2"/>
  <c r="R66" i="2"/>
  <c r="M61" i="2" a="1"/>
  <c r="M3" i="2" a="1"/>
  <c r="S4" i="2"/>
  <c r="J51" i="2" a="1"/>
  <c r="P4" i="2"/>
  <c r="J65" i="2" a="1"/>
  <c r="J56" i="2" a="1"/>
  <c r="M54" i="2" a="1"/>
  <c r="L3" i="2" a="1"/>
  <c r="R4" i="2"/>
  <c r="N3" i="2" a="1"/>
  <c r="K65" i="2" a="1"/>
  <c r="J57" i="2" a="1"/>
  <c r="M59" i="2" a="1"/>
  <c r="Q4" i="2"/>
  <c r="J58" i="2" a="1"/>
  <c r="K3" i="2" a="1"/>
  <c r="L65" i="2" a="1"/>
  <c r="J59" i="2" a="1"/>
  <c r="J61" i="2" a="1"/>
  <c r="O3" i="2" a="1"/>
  <c r="B5" i="7" a="1"/>
  <c r="J60" i="2" a="1"/>
  <c r="M57" i="2" a="1"/>
  <c r="J3" i="2" a="1"/>
  <c r="P66" i="2"/>
  <c r="M60" i="2" a="1"/>
  <c r="J54" i="2" a="1"/>
  <c r="U4" i="2"/>
  <c r="L65" i="2" l="1"/>
  <c r="K65" i="2"/>
  <c r="J65" i="2"/>
  <c r="V66" i="2"/>
  <c r="J54" i="2"/>
  <c r="M57" i="2"/>
  <c r="J61" i="2"/>
  <c r="J51" i="2"/>
  <c r="M59" i="2"/>
  <c r="M54" i="2"/>
  <c r="M61" i="2"/>
  <c r="M56" i="2"/>
  <c r="M60" i="2"/>
  <c r="J60" i="2"/>
  <c r="J59" i="2"/>
  <c r="J58" i="2"/>
  <c r="J57" i="2"/>
  <c r="J56" i="2"/>
  <c r="L141" i="9"/>
  <c r="E141" i="9"/>
  <c r="C3" i="9"/>
  <c r="D1" i="9"/>
  <c r="J1" i="9" s="1"/>
  <c r="K1" i="9" s="1"/>
  <c r="H2" i="9"/>
  <c r="E2" i="9" s="1"/>
  <c r="M2" i="9"/>
  <c r="Q142" i="9"/>
  <c r="P142" i="9" s="1"/>
  <c r="Q2" i="9"/>
  <c r="P2" i="9" s="1"/>
  <c r="D142" i="9" a="1"/>
  <c r="D142" i="9" s="1"/>
  <c r="F142" i="9" s="1" a="1"/>
  <c r="F142" i="9" s="1"/>
  <c r="G142" i="9" s="1"/>
  <c r="K142" i="9"/>
  <c r="M71" i="9"/>
  <c r="H71" i="9"/>
  <c r="E71" i="9" s="1"/>
  <c r="I71" i="9"/>
  <c r="M142" i="9" a="1"/>
  <c r="M142" i="9" s="1"/>
  <c r="H143" i="9" a="1"/>
  <c r="H143" i="9" s="1"/>
  <c r="C73" i="9" a="1"/>
  <c r="C73" i="9" s="1"/>
  <c r="J142" i="9"/>
  <c r="L142" i="9" s="1"/>
  <c r="H72" i="9" a="1"/>
  <c r="H72" i="9" s="1"/>
  <c r="K72" i="9"/>
  <c r="M72" i="9" a="1"/>
  <c r="M72" i="9" s="1"/>
  <c r="D72" i="9" a="1"/>
  <c r="D72" i="9" s="1"/>
  <c r="F72" i="9" s="1" a="1"/>
  <c r="F72" i="9" s="1"/>
  <c r="G72" i="9" s="1"/>
  <c r="J72" i="9"/>
  <c r="Q72" i="9"/>
  <c r="P72" i="9" s="1"/>
  <c r="I72" i="9" a="1"/>
  <c r="I72" i="9" s="1"/>
  <c r="Q71" i="9"/>
  <c r="P71" i="9" s="1"/>
  <c r="E142" i="9"/>
  <c r="D180" i="9"/>
  <c r="L110" i="9"/>
  <c r="K105" i="9"/>
  <c r="I2" i="9"/>
  <c r="V4" i="2"/>
  <c r="C144" i="9" s="1" a="1"/>
  <c r="C144" i="9" s="1"/>
  <c r="I144" i="9" s="1" a="1"/>
  <c r="I144" i="9" s="1"/>
  <c r="J3" i="2"/>
  <c r="O3" i="2"/>
  <c r="K3" i="2"/>
  <c r="N3" i="2"/>
  <c r="L3" i="2"/>
  <c r="M3" i="2"/>
  <c r="B13" i="5"/>
  <c r="K52" i="9"/>
  <c r="B12" i="5"/>
  <c r="A10" i="9"/>
  <c r="B5" i="7"/>
  <c r="AE3" i="5"/>
  <c r="AF4" i="5"/>
  <c r="AF3" i="5"/>
  <c r="R3" i="4"/>
  <c r="A140" i="4"/>
  <c r="V138" i="4"/>
  <c r="AM138" i="5" s="1"/>
  <c r="M138" i="4"/>
  <c r="L138" i="4"/>
  <c r="S138" i="4"/>
  <c r="R138" i="4"/>
  <c r="Q138" i="4"/>
  <c r="P138" i="4"/>
  <c r="O138" i="4"/>
  <c r="W138" i="4"/>
  <c r="AN138" i="5" s="1"/>
  <c r="N138" i="4"/>
  <c r="A16" i="4" a="1"/>
  <c r="A16" i="4" s="1"/>
  <c r="O14" i="4"/>
  <c r="AB14" i="5" s="1"/>
  <c r="G14" i="4"/>
  <c r="L14" i="5" s="1"/>
  <c r="N14" i="4"/>
  <c r="Z14" i="5" s="1"/>
  <c r="E14" i="4"/>
  <c r="H14" i="5" s="1"/>
  <c r="S14" i="4"/>
  <c r="AJ14" i="5" s="1"/>
  <c r="J14" i="4"/>
  <c r="R14" i="5" s="1"/>
  <c r="R14" i="4"/>
  <c r="AH14" i="5" s="1"/>
  <c r="P14" i="4"/>
  <c r="AD14" i="5" s="1"/>
  <c r="F14" i="4"/>
  <c r="J14" i="5" s="1"/>
  <c r="I14" i="4"/>
  <c r="P14" i="5" s="1"/>
  <c r="Q14" i="4"/>
  <c r="AF14" i="5" s="1"/>
  <c r="H14" i="4"/>
  <c r="N14" i="5" s="1"/>
  <c r="C14" i="4"/>
  <c r="D14" i="5" s="1"/>
  <c r="W14" i="4"/>
  <c r="AN14" i="5" s="1"/>
  <c r="B14" i="4"/>
  <c r="V14" i="4"/>
  <c r="AM14" i="5" s="1"/>
  <c r="M14" i="4"/>
  <c r="X14" i="5" s="1"/>
  <c r="D14" i="4"/>
  <c r="F14" i="5" s="1"/>
  <c r="L14" i="4"/>
  <c r="V14" i="5" s="1"/>
  <c r="K14" i="4"/>
  <c r="T14" i="5" s="1"/>
  <c r="A16" i="5" a="1"/>
  <c r="A16" i="5" s="1"/>
  <c r="AL14" i="5"/>
  <c r="P15" i="4"/>
  <c r="AD15" i="5" s="1"/>
  <c r="H15" i="4"/>
  <c r="N15" i="5" s="1"/>
  <c r="S15" i="4"/>
  <c r="AJ15" i="5" s="1"/>
  <c r="J15" i="4"/>
  <c r="R15" i="5" s="1"/>
  <c r="N15" i="4"/>
  <c r="Z15" i="5" s="1"/>
  <c r="E15" i="4"/>
  <c r="H15" i="5" s="1"/>
  <c r="W15" i="4"/>
  <c r="AN15" i="5" s="1"/>
  <c r="M15" i="4"/>
  <c r="X15" i="5" s="1"/>
  <c r="D15" i="4"/>
  <c r="F15" i="5" s="1"/>
  <c r="K15" i="4"/>
  <c r="T15" i="5" s="1"/>
  <c r="B15" i="4"/>
  <c r="V15" i="4"/>
  <c r="AM15" i="5" s="1"/>
  <c r="L15" i="4"/>
  <c r="V15" i="5" s="1"/>
  <c r="C15" i="4"/>
  <c r="D15" i="5" s="1"/>
  <c r="A17" i="4" a="1"/>
  <c r="A17" i="4" s="1"/>
  <c r="F15" i="4"/>
  <c r="J15" i="5" s="1"/>
  <c r="Q15" i="4"/>
  <c r="AF15" i="5" s="1"/>
  <c r="O15" i="4"/>
  <c r="AB15" i="5" s="1"/>
  <c r="G15" i="4"/>
  <c r="L15" i="5" s="1"/>
  <c r="R15" i="4"/>
  <c r="AH15" i="5" s="1"/>
  <c r="I15" i="4"/>
  <c r="P15" i="5" s="1"/>
  <c r="AL15" i="5"/>
  <c r="A17" i="5" a="1"/>
  <c r="A17" i="5" s="1"/>
  <c r="M3" i="9" a="1"/>
  <c r="H3" i="9" a="1"/>
  <c r="C4" i="9" a="1"/>
  <c r="D71" i="9" a="1"/>
  <c r="D2" i="9" a="1"/>
  <c r="I3" i="9" a="1"/>
  <c r="J66" i="2" a="1"/>
  <c r="R5" i="2"/>
  <c r="N4" i="2" a="1"/>
  <c r="Q5" i="2"/>
  <c r="M4" i="2" a="1"/>
  <c r="O4" i="2" a="1"/>
  <c r="L66" i="2" a="1"/>
  <c r="P5" i="2"/>
  <c r="B6" i="7" a="1"/>
  <c r="K66" i="2" a="1"/>
  <c r="L4" i="2" a="1"/>
  <c r="T5" i="2"/>
  <c r="K4" i="2" a="1"/>
  <c r="R67" i="2"/>
  <c r="U5" i="2"/>
  <c r="Q67" i="2"/>
  <c r="J4" i="2" a="1"/>
  <c r="S5" i="2"/>
  <c r="P67" i="2"/>
  <c r="K66" i="2" l="1"/>
  <c r="L66" i="2"/>
  <c r="J66" i="2"/>
  <c r="V67" i="2"/>
  <c r="C4" i="9"/>
  <c r="H3" i="9"/>
  <c r="E3" i="9" s="1"/>
  <c r="M3" i="9"/>
  <c r="L1" i="9"/>
  <c r="Q3" i="9"/>
  <c r="P3" i="9" s="1"/>
  <c r="M143" i="9" a="1"/>
  <c r="M143" i="9" s="1"/>
  <c r="D71" i="9"/>
  <c r="J71" i="9" s="1"/>
  <c r="K71" i="9" s="1"/>
  <c r="D144" i="9" a="1"/>
  <c r="D144" i="9" s="1"/>
  <c r="F144" i="9" s="1" a="1"/>
  <c r="F144" i="9" s="1"/>
  <c r="G144" i="9" s="1"/>
  <c r="C74" i="9" a="1"/>
  <c r="C74" i="9" s="1"/>
  <c r="J143" i="9"/>
  <c r="L143" i="9" s="1"/>
  <c r="L72" i="9"/>
  <c r="E72" i="9"/>
  <c r="D143" i="9" a="1"/>
  <c r="D143" i="9" s="1"/>
  <c r="F143" i="9" s="1" a="1"/>
  <c r="F143" i="9" s="1"/>
  <c r="G143" i="9" s="1"/>
  <c r="H73" i="9" a="1"/>
  <c r="H73" i="9" s="1"/>
  <c r="I73" i="9" a="1"/>
  <c r="I73" i="9" s="1"/>
  <c r="Q73" i="9"/>
  <c r="P73" i="9" s="1"/>
  <c r="J73" i="9"/>
  <c r="D73" i="9" a="1"/>
  <c r="D73" i="9" s="1"/>
  <c r="F73" i="9" s="1" a="1"/>
  <c r="F73" i="9" s="1"/>
  <c r="G73" i="9" s="1"/>
  <c r="K73" i="9"/>
  <c r="M73" i="9" a="1"/>
  <c r="M73" i="9" s="1"/>
  <c r="Q143" i="9"/>
  <c r="P143" i="9" s="1"/>
  <c r="K143" i="9"/>
  <c r="E143" i="9"/>
  <c r="J180" i="9"/>
  <c r="K175" i="9"/>
  <c r="D2" i="9"/>
  <c r="J2" i="9" s="1"/>
  <c r="L2" i="9" s="1"/>
  <c r="I3" i="9"/>
  <c r="V5" i="2"/>
  <c r="C145" i="9" s="1" a="1"/>
  <c r="C145" i="9" s="1"/>
  <c r="I145" i="9" s="1" a="1"/>
  <c r="I145" i="9" s="1"/>
  <c r="O4" i="2"/>
  <c r="N4" i="2"/>
  <c r="M4" i="2"/>
  <c r="L4" i="2"/>
  <c r="K4" i="2"/>
  <c r="J4" i="2"/>
  <c r="B15" i="5"/>
  <c r="B14" i="5"/>
  <c r="A11" i="9"/>
  <c r="B6" i="7"/>
  <c r="R17" i="4"/>
  <c r="AH17" i="5" s="1"/>
  <c r="J17" i="4"/>
  <c r="R17" i="5" s="1"/>
  <c r="B17" i="4"/>
  <c r="S17" i="4"/>
  <c r="AJ17" i="5" s="1"/>
  <c r="I17" i="4"/>
  <c r="P17" i="5" s="1"/>
  <c r="N17" i="4"/>
  <c r="Z17" i="5" s="1"/>
  <c r="E17" i="4"/>
  <c r="W17" i="4"/>
  <c r="AN17" i="5" s="1"/>
  <c r="M17" i="4"/>
  <c r="X17" i="5" s="1"/>
  <c r="D17" i="4"/>
  <c r="F17" i="5" s="1"/>
  <c r="V17" i="4"/>
  <c r="AM17" i="5" s="1"/>
  <c r="L17" i="4"/>
  <c r="V17" i="5" s="1"/>
  <c r="C17" i="4"/>
  <c r="D17" i="5" s="1"/>
  <c r="A19" i="4" a="1"/>
  <c r="A19" i="4" s="1"/>
  <c r="K17" i="4"/>
  <c r="T17" i="5" s="1"/>
  <c r="F17" i="4"/>
  <c r="J17" i="5" s="1"/>
  <c r="Q17" i="4"/>
  <c r="AF17" i="5" s="1"/>
  <c r="H17" i="4"/>
  <c r="N17" i="5" s="1"/>
  <c r="P17" i="4"/>
  <c r="AD17" i="5" s="1"/>
  <c r="O17" i="4"/>
  <c r="AB17" i="5" s="1"/>
  <c r="G17" i="4"/>
  <c r="L17" i="5" s="1"/>
  <c r="Q16" i="4"/>
  <c r="AF16" i="5" s="1"/>
  <c r="I16" i="4"/>
  <c r="P16" i="5" s="1"/>
  <c r="N16" i="4"/>
  <c r="Z16" i="5" s="1"/>
  <c r="E16" i="4"/>
  <c r="H16" i="5" s="1"/>
  <c r="S16" i="4"/>
  <c r="AJ16" i="5" s="1"/>
  <c r="J16" i="4"/>
  <c r="R16" i="5" s="1"/>
  <c r="R16" i="4"/>
  <c r="AH16" i="5" s="1"/>
  <c r="H16" i="4"/>
  <c r="N16" i="5" s="1"/>
  <c r="F16" i="4"/>
  <c r="J16" i="5" s="1"/>
  <c r="P16" i="4"/>
  <c r="AD16" i="5" s="1"/>
  <c r="G16" i="4"/>
  <c r="L16" i="5" s="1"/>
  <c r="O16" i="4"/>
  <c r="AB16" i="5" s="1"/>
  <c r="C16" i="4"/>
  <c r="D16" i="5" s="1"/>
  <c r="W16" i="4"/>
  <c r="AN16" i="5" s="1"/>
  <c r="B16" i="4"/>
  <c r="V16" i="4"/>
  <c r="AM16" i="5" s="1"/>
  <c r="K16" i="4"/>
  <c r="T16" i="5" s="1"/>
  <c r="M16" i="4"/>
  <c r="X16" i="5" s="1"/>
  <c r="L16" i="4"/>
  <c r="V16" i="5" s="1"/>
  <c r="D16" i="4"/>
  <c r="F16" i="5" s="1"/>
  <c r="A18" i="4" a="1"/>
  <c r="A18" i="4" s="1"/>
  <c r="AH3" i="5"/>
  <c r="S3" i="4"/>
  <c r="AJ3" i="5" s="1"/>
  <c r="AH4" i="5"/>
  <c r="AG3" i="5"/>
  <c r="H17" i="5"/>
  <c r="AL17" i="5"/>
  <c r="A19" i="5" a="1"/>
  <c r="A19" i="5" s="1"/>
  <c r="AL16" i="5"/>
  <c r="A18" i="5" a="1"/>
  <c r="A18" i="5" s="1"/>
  <c r="Q140" i="4"/>
  <c r="P140" i="4"/>
  <c r="O140" i="4"/>
  <c r="W140" i="4"/>
  <c r="AN140" i="5" s="1"/>
  <c r="N140" i="4"/>
  <c r="A142" i="4"/>
  <c r="V140" i="4"/>
  <c r="AM140" i="5" s="1"/>
  <c r="M140" i="4"/>
  <c r="L140" i="4"/>
  <c r="S140" i="4"/>
  <c r="R140" i="4"/>
  <c r="M4" i="9" a="1"/>
  <c r="H4" i="9" a="1"/>
  <c r="C5" i="9" a="1"/>
  <c r="D3" i="9" a="1"/>
  <c r="I4" i="9" a="1"/>
  <c r="J67" i="2" a="1"/>
  <c r="P68" i="2"/>
  <c r="S6" i="2"/>
  <c r="N5" i="2" a="1"/>
  <c r="K67" i="2" a="1"/>
  <c r="U6" i="2"/>
  <c r="L67" i="2" a="1"/>
  <c r="T6" i="2"/>
  <c r="B7" i="7" a="1"/>
  <c r="R6" i="2"/>
  <c r="B8" i="7" a="1"/>
  <c r="Q6" i="2"/>
  <c r="P6" i="2"/>
  <c r="J5" i="2" a="1"/>
  <c r="L5" i="2" a="1"/>
  <c r="O5" i="2" a="1"/>
  <c r="R68" i="2"/>
  <c r="K5" i="2" a="1"/>
  <c r="M5" i="2" a="1"/>
  <c r="Q68" i="2"/>
  <c r="L67" i="2" l="1"/>
  <c r="K67" i="2"/>
  <c r="J67" i="2"/>
  <c r="V68" i="2"/>
  <c r="C5" i="9"/>
  <c r="H4" i="9"/>
  <c r="E4" i="9" s="1"/>
  <c r="M4" i="9"/>
  <c r="H144" i="9" a="1"/>
  <c r="H144" i="9" s="1"/>
  <c r="E144" i="9" s="1"/>
  <c r="Q4" i="9"/>
  <c r="P4" i="9" s="1"/>
  <c r="Q144" i="9"/>
  <c r="P144" i="9" s="1"/>
  <c r="M144" i="9" a="1"/>
  <c r="M144" i="9" s="1"/>
  <c r="E73" i="9"/>
  <c r="L73" i="9"/>
  <c r="K144" i="9"/>
  <c r="J144" i="9"/>
  <c r="D74" i="9" a="1"/>
  <c r="D74" i="9" s="1"/>
  <c r="F74" i="9" s="1" a="1"/>
  <c r="F74" i="9" s="1"/>
  <c r="G74" i="9" s="1"/>
  <c r="K74" i="9"/>
  <c r="Q74" i="9"/>
  <c r="P74" i="9" s="1"/>
  <c r="M74" i="9" a="1"/>
  <c r="M74" i="9" s="1"/>
  <c r="I74" i="9" a="1"/>
  <c r="I74" i="9" s="1"/>
  <c r="H74" i="9" a="1"/>
  <c r="H74" i="9" s="1"/>
  <c r="J74" i="9"/>
  <c r="Q145" i="9"/>
  <c r="P145" i="9" s="1"/>
  <c r="C75" i="9" a="1"/>
  <c r="C75" i="9" s="1"/>
  <c r="L180" i="9"/>
  <c r="K180" i="9"/>
  <c r="L71" i="9"/>
  <c r="D3" i="9"/>
  <c r="K2" i="9"/>
  <c r="F2" i="9" a="1"/>
  <c r="F2" i="9" s="1"/>
  <c r="G2" i="9" s="1"/>
  <c r="I4" i="9"/>
  <c r="V6" i="2"/>
  <c r="C146" i="9" s="1" a="1"/>
  <c r="C146" i="9" s="1"/>
  <c r="I146" i="9" s="1" a="1"/>
  <c r="I146" i="9" s="1"/>
  <c r="J5" i="2"/>
  <c r="N5" i="2"/>
  <c r="O5" i="2"/>
  <c r="M5" i="2"/>
  <c r="L5" i="2"/>
  <c r="K5" i="2"/>
  <c r="B16" i="5"/>
  <c r="B17" i="5"/>
  <c r="A12" i="9"/>
  <c r="B8" i="7"/>
  <c r="B7" i="7"/>
  <c r="A20" i="5" a="1"/>
  <c r="A20" i="5" s="1"/>
  <c r="AL18" i="5"/>
  <c r="S18" i="4"/>
  <c r="AJ18" i="5" s="1"/>
  <c r="K18" i="4"/>
  <c r="T18" i="5" s="1"/>
  <c r="C18" i="4"/>
  <c r="D18" i="5" s="1"/>
  <c r="N18" i="4"/>
  <c r="Z18" i="5" s="1"/>
  <c r="E18" i="4"/>
  <c r="H18" i="5" s="1"/>
  <c r="R18" i="4"/>
  <c r="AH18" i="5" s="1"/>
  <c r="I18" i="4"/>
  <c r="P18" i="5" s="1"/>
  <c r="Q18" i="4"/>
  <c r="AF18" i="5" s="1"/>
  <c r="H18" i="4"/>
  <c r="N18" i="5" s="1"/>
  <c r="O18" i="4"/>
  <c r="AB18" i="5" s="1"/>
  <c r="F18" i="4"/>
  <c r="J18" i="5" s="1"/>
  <c r="P18" i="4"/>
  <c r="AD18" i="5" s="1"/>
  <c r="G18" i="4"/>
  <c r="L18" i="5" s="1"/>
  <c r="A20" i="4" a="1"/>
  <c r="A20" i="4" s="1"/>
  <c r="B18" i="4"/>
  <c r="V18" i="4"/>
  <c r="AM18" i="5" s="1"/>
  <c r="M18" i="4"/>
  <c r="X18" i="5" s="1"/>
  <c r="L18" i="4"/>
  <c r="V18" i="5" s="1"/>
  <c r="J18" i="4"/>
  <c r="R18" i="5" s="1"/>
  <c r="D18" i="4"/>
  <c r="F18" i="5" s="1"/>
  <c r="W18" i="4"/>
  <c r="AN18" i="5" s="1"/>
  <c r="A144" i="4"/>
  <c r="V142" i="4"/>
  <c r="AM142" i="5" s="1"/>
  <c r="M142" i="4"/>
  <c r="L142" i="4"/>
  <c r="S142" i="4"/>
  <c r="R142" i="4"/>
  <c r="Q142" i="4"/>
  <c r="P142" i="4"/>
  <c r="O142" i="4"/>
  <c r="W142" i="4"/>
  <c r="AN142" i="5" s="1"/>
  <c r="N142" i="4"/>
  <c r="A21" i="5" a="1"/>
  <c r="A21" i="5" s="1"/>
  <c r="AL19" i="5"/>
  <c r="AK3" i="5"/>
  <c r="AJ4" i="5"/>
  <c r="AI3" i="5"/>
  <c r="L19" i="4"/>
  <c r="V19" i="5" s="1"/>
  <c r="D19" i="4"/>
  <c r="F19" i="5" s="1"/>
  <c r="R19" i="4"/>
  <c r="AH19" i="5" s="1"/>
  <c r="I19" i="4"/>
  <c r="P19" i="5" s="1"/>
  <c r="W19" i="4"/>
  <c r="AN19" i="5" s="1"/>
  <c r="N19" i="4"/>
  <c r="Z19" i="5" s="1"/>
  <c r="E19" i="4"/>
  <c r="H19" i="5" s="1"/>
  <c r="V19" i="4"/>
  <c r="AM19" i="5" s="1"/>
  <c r="M19" i="4"/>
  <c r="X19" i="5" s="1"/>
  <c r="C19" i="4"/>
  <c r="D19" i="5" s="1"/>
  <c r="J19" i="4"/>
  <c r="R19" i="5" s="1"/>
  <c r="K19" i="4"/>
  <c r="T19" i="5" s="1"/>
  <c r="B19" i="4"/>
  <c r="A21" i="4" a="1"/>
  <c r="A21" i="4" s="1"/>
  <c r="S19" i="4"/>
  <c r="AJ19" i="5" s="1"/>
  <c r="F19" i="4"/>
  <c r="J19" i="5" s="1"/>
  <c r="Q19" i="4"/>
  <c r="AF19" i="5" s="1"/>
  <c r="P19" i="4"/>
  <c r="AD19" i="5" s="1"/>
  <c r="O19" i="4"/>
  <c r="AB19" i="5" s="1"/>
  <c r="G19" i="4"/>
  <c r="L19" i="5" s="1"/>
  <c r="H19" i="4"/>
  <c r="N19" i="5" s="1"/>
  <c r="M5" i="9" a="1"/>
  <c r="H5" i="9" a="1"/>
  <c r="C6" i="9" a="1"/>
  <c r="D4" i="9" a="1"/>
  <c r="F3" i="9" a="1"/>
  <c r="I5" i="9" a="1"/>
  <c r="K68" i="2" a="1"/>
  <c r="U7" i="2"/>
  <c r="L6" i="2" a="1"/>
  <c r="T7" i="2"/>
  <c r="P7" i="2"/>
  <c r="L68" i="2" a="1"/>
  <c r="N6" i="2" a="1"/>
  <c r="S7" i="2"/>
  <c r="R69" i="2"/>
  <c r="J6" i="2" a="1"/>
  <c r="J68" i="2" a="1"/>
  <c r="K6" i="2" a="1"/>
  <c r="Q69" i="2"/>
  <c r="O6" i="2" a="1"/>
  <c r="Q7" i="2"/>
  <c r="P69" i="2"/>
  <c r="M6" i="2" a="1"/>
  <c r="R7" i="2"/>
  <c r="J68" i="2" l="1"/>
  <c r="L68" i="2"/>
  <c r="K68" i="2"/>
  <c r="V69" i="2"/>
  <c r="L144" i="9"/>
  <c r="C6" i="9"/>
  <c r="I6" i="9" s="1" a="1"/>
  <c r="H5" i="9"/>
  <c r="M5" i="9"/>
  <c r="Q5" i="9"/>
  <c r="P5" i="9" s="1"/>
  <c r="M145" i="9" a="1"/>
  <c r="M145" i="9" s="1"/>
  <c r="J145" i="9"/>
  <c r="H145" i="9" a="1"/>
  <c r="H145" i="9" s="1"/>
  <c r="E145" i="9" s="1"/>
  <c r="I75" i="9" a="1"/>
  <c r="I75" i="9" s="1"/>
  <c r="D75" i="9" a="1"/>
  <c r="D75" i="9" s="1"/>
  <c r="F75" i="9" s="1" a="1"/>
  <c r="F75" i="9" s="1"/>
  <c r="G75" i="9" s="1"/>
  <c r="K75" i="9"/>
  <c r="M75" i="9" a="1"/>
  <c r="M75" i="9" s="1"/>
  <c r="Q75" i="9"/>
  <c r="P75" i="9" s="1"/>
  <c r="H75" i="9" a="1"/>
  <c r="H75" i="9" s="1"/>
  <c r="J75" i="9"/>
  <c r="K145" i="9"/>
  <c r="D145" i="9" a="1"/>
  <c r="D145" i="9" s="1"/>
  <c r="F145" i="9" s="1" a="1"/>
  <c r="F145" i="9" s="1"/>
  <c r="G145" i="9" s="1"/>
  <c r="L74" i="9"/>
  <c r="E74" i="9"/>
  <c r="J146" i="9"/>
  <c r="C76" i="9" a="1"/>
  <c r="C76" i="9" s="1"/>
  <c r="D4" i="9"/>
  <c r="F3" i="9"/>
  <c r="G3" i="9" s="1"/>
  <c r="J3" i="9"/>
  <c r="I5" i="9"/>
  <c r="V7" i="2"/>
  <c r="C147" i="9" s="1" a="1"/>
  <c r="C147" i="9" s="1"/>
  <c r="I147" i="9" s="1" a="1"/>
  <c r="I147" i="9" s="1"/>
  <c r="N6" i="2"/>
  <c r="L6" i="2"/>
  <c r="K6" i="2"/>
  <c r="J6" i="2"/>
  <c r="M6" i="2"/>
  <c r="O6" i="2"/>
  <c r="B19" i="5"/>
  <c r="B18" i="5"/>
  <c r="A13" i="9"/>
  <c r="W21" i="4"/>
  <c r="AN21" i="5" s="1"/>
  <c r="N21" i="4"/>
  <c r="Z21" i="5" s="1"/>
  <c r="F21" i="4"/>
  <c r="J21" i="5" s="1"/>
  <c r="Q21" i="4"/>
  <c r="AF21" i="5" s="1"/>
  <c r="H21" i="4"/>
  <c r="N21" i="5" s="1"/>
  <c r="V21" i="4"/>
  <c r="AM21" i="5" s="1"/>
  <c r="L21" i="4"/>
  <c r="V21" i="5" s="1"/>
  <c r="C21" i="4"/>
  <c r="D21" i="5" s="1"/>
  <c r="K21" i="4"/>
  <c r="T21" i="5" s="1"/>
  <c r="B21" i="4"/>
  <c r="I21" i="4"/>
  <c r="P21" i="5" s="1"/>
  <c r="A23" i="4" a="1"/>
  <c r="A23" i="4" s="1"/>
  <c r="S21" i="4"/>
  <c r="AJ21" i="5" s="1"/>
  <c r="J21" i="4"/>
  <c r="R21" i="5" s="1"/>
  <c r="R21" i="4"/>
  <c r="AH21" i="5" s="1"/>
  <c r="D21" i="4"/>
  <c r="F21" i="5" s="1"/>
  <c r="P21" i="4"/>
  <c r="AD21" i="5" s="1"/>
  <c r="G21" i="4"/>
  <c r="L21" i="5" s="1"/>
  <c r="O21" i="4"/>
  <c r="AB21" i="5" s="1"/>
  <c r="M21" i="4"/>
  <c r="X21" i="5" s="1"/>
  <c r="E21" i="4"/>
  <c r="H21" i="5" s="1"/>
  <c r="V20" i="4"/>
  <c r="AM20" i="5" s="1"/>
  <c r="M20" i="4"/>
  <c r="X20" i="5" s="1"/>
  <c r="E20" i="4"/>
  <c r="H20" i="5" s="1"/>
  <c r="W20" i="4"/>
  <c r="AN20" i="5" s="1"/>
  <c r="L20" i="4"/>
  <c r="V20" i="5" s="1"/>
  <c r="C20" i="4"/>
  <c r="D20" i="5" s="1"/>
  <c r="Q20" i="4"/>
  <c r="AF20" i="5" s="1"/>
  <c r="H20" i="4"/>
  <c r="N20" i="5" s="1"/>
  <c r="P20" i="4"/>
  <c r="AD20" i="5" s="1"/>
  <c r="G20" i="4"/>
  <c r="L20" i="5" s="1"/>
  <c r="D20" i="4"/>
  <c r="F20" i="5" s="1"/>
  <c r="O20" i="4"/>
  <c r="AB20" i="5" s="1"/>
  <c r="F20" i="4"/>
  <c r="J20" i="5" s="1"/>
  <c r="N20" i="4"/>
  <c r="Z20" i="5" s="1"/>
  <c r="A22" i="4" a="1"/>
  <c r="A22" i="4" s="1"/>
  <c r="J20" i="4"/>
  <c r="R20" i="5" s="1"/>
  <c r="I20" i="4"/>
  <c r="P20" i="5" s="1"/>
  <c r="S20" i="4"/>
  <c r="AJ20" i="5" s="1"/>
  <c r="K20" i="4"/>
  <c r="T20" i="5" s="1"/>
  <c r="B20" i="4"/>
  <c r="R20" i="4"/>
  <c r="AH20" i="5" s="1"/>
  <c r="Q144" i="4"/>
  <c r="P144" i="4"/>
  <c r="O144" i="4"/>
  <c r="W144" i="4"/>
  <c r="AN144" i="5" s="1"/>
  <c r="N144" i="4"/>
  <c r="V144" i="4"/>
  <c r="AM144" i="5" s="1"/>
  <c r="M144" i="4"/>
  <c r="L144" i="4"/>
  <c r="S144" i="4"/>
  <c r="R144" i="4"/>
  <c r="A22" i="5" a="1"/>
  <c r="A22" i="5" s="1"/>
  <c r="AL20" i="5"/>
  <c r="A23" i="5" a="1"/>
  <c r="A23" i="5" s="1"/>
  <c r="AL21" i="5"/>
  <c r="M6" i="9" a="1"/>
  <c r="H6" i="9" a="1"/>
  <c r="C7" i="9" a="1"/>
  <c r="F4" i="9" a="1"/>
  <c r="J69" i="2" a="1"/>
  <c r="K69" i="2" a="1"/>
  <c r="R8" i="2"/>
  <c r="Q8" i="2"/>
  <c r="L69" i="2" a="1"/>
  <c r="U8" i="2"/>
  <c r="N7" i="2" a="1"/>
  <c r="T8" i="2"/>
  <c r="Q70" i="2"/>
  <c r="S8" i="2"/>
  <c r="K7" i="2" a="1"/>
  <c r="M7" i="2" a="1"/>
  <c r="P70" i="2"/>
  <c r="L7" i="2" a="1"/>
  <c r="R70" i="2"/>
  <c r="J7" i="2" a="1"/>
  <c r="O7" i="2" a="1"/>
  <c r="P8" i="2"/>
  <c r="L69" i="2" l="1"/>
  <c r="K69" i="2"/>
  <c r="J69" i="2"/>
  <c r="V70" i="2"/>
  <c r="C7" i="9"/>
  <c r="H6" i="9"/>
  <c r="M6" i="9"/>
  <c r="Q6" i="9"/>
  <c r="P6" i="9" s="1"/>
  <c r="L145" i="9"/>
  <c r="M146" i="9" a="1"/>
  <c r="M146" i="9" s="1"/>
  <c r="Q146" i="9"/>
  <c r="P146" i="9" s="1"/>
  <c r="K146" i="9"/>
  <c r="D146" i="9" a="1"/>
  <c r="D146" i="9" s="1"/>
  <c r="F146" i="9" s="1" a="1"/>
  <c r="F146" i="9" s="1"/>
  <c r="G146" i="9" s="1"/>
  <c r="H146" i="9" a="1"/>
  <c r="H146" i="9" s="1"/>
  <c r="L146" i="9" s="1"/>
  <c r="D147" i="9" a="1"/>
  <c r="D147" i="9" s="1"/>
  <c r="F147" i="9" s="1" a="1"/>
  <c r="F147" i="9" s="1"/>
  <c r="G147" i="9" s="1"/>
  <c r="C77" i="9" a="1"/>
  <c r="C77" i="9" s="1"/>
  <c r="L75" i="9"/>
  <c r="E75" i="9"/>
  <c r="H76" i="9" a="1"/>
  <c r="H76" i="9" s="1"/>
  <c r="D76" i="9" a="1"/>
  <c r="D76" i="9" s="1"/>
  <c r="F76" i="9" s="1" a="1"/>
  <c r="F76" i="9" s="1"/>
  <c r="G76" i="9" s="1"/>
  <c r="I76" i="9" a="1"/>
  <c r="I76" i="9" s="1"/>
  <c r="Q76" i="9"/>
  <c r="P76" i="9" s="1"/>
  <c r="J76" i="9"/>
  <c r="K76" i="9"/>
  <c r="M76" i="9" a="1"/>
  <c r="M76" i="9" s="1"/>
  <c r="F4" i="9"/>
  <c r="G4" i="9" s="1"/>
  <c r="L3" i="9"/>
  <c r="K3" i="9"/>
  <c r="J4" i="9"/>
  <c r="E5" i="9"/>
  <c r="I6" i="9"/>
  <c r="V8" i="2"/>
  <c r="C148" i="9" s="1" a="1"/>
  <c r="C148" i="9" s="1"/>
  <c r="I148" i="9" s="1" a="1"/>
  <c r="I148" i="9" s="1"/>
  <c r="O7" i="2"/>
  <c r="M7" i="2"/>
  <c r="J7" i="2"/>
  <c r="K7" i="2"/>
  <c r="L7" i="2"/>
  <c r="N7" i="2"/>
  <c r="B21" i="5"/>
  <c r="A14" i="9"/>
  <c r="B20" i="5"/>
  <c r="AL23" i="5"/>
  <c r="A25" i="5" a="1"/>
  <c r="A25" i="5" s="1"/>
  <c r="A24" i="5" a="1"/>
  <c r="A24" i="5" s="1"/>
  <c r="AL22" i="5"/>
  <c r="A24" i="4" a="1"/>
  <c r="A24" i="4" s="1"/>
  <c r="O22" i="4"/>
  <c r="AB22" i="5" s="1"/>
  <c r="G22" i="4"/>
  <c r="L22" i="5" s="1"/>
  <c r="V22" i="4"/>
  <c r="AM22" i="5" s="1"/>
  <c r="L22" i="4"/>
  <c r="V22" i="5" s="1"/>
  <c r="C22" i="4"/>
  <c r="D22" i="5" s="1"/>
  <c r="Q22" i="4"/>
  <c r="AF22" i="5" s="1"/>
  <c r="H22" i="4"/>
  <c r="N22" i="5" s="1"/>
  <c r="W22" i="4"/>
  <c r="AN22" i="5" s="1"/>
  <c r="M22" i="4"/>
  <c r="X22" i="5" s="1"/>
  <c r="D22" i="4"/>
  <c r="F22" i="5" s="1"/>
  <c r="P22" i="4"/>
  <c r="AD22" i="5" s="1"/>
  <c r="F22" i="4"/>
  <c r="J22" i="5" s="1"/>
  <c r="N22" i="4"/>
  <c r="Z22" i="5" s="1"/>
  <c r="E22" i="4"/>
  <c r="H22" i="5" s="1"/>
  <c r="S22" i="4"/>
  <c r="AJ22" i="5" s="1"/>
  <c r="K22" i="4"/>
  <c r="T22" i="5" s="1"/>
  <c r="J22" i="4"/>
  <c r="R22" i="5" s="1"/>
  <c r="B22" i="4"/>
  <c r="R22" i="4"/>
  <c r="AH22" i="5" s="1"/>
  <c r="I22" i="4"/>
  <c r="P22" i="5" s="1"/>
  <c r="P23" i="4"/>
  <c r="AD23" i="5" s="1"/>
  <c r="H23" i="4"/>
  <c r="N23" i="5" s="1"/>
  <c r="Q23" i="4"/>
  <c r="AF23" i="5" s="1"/>
  <c r="G23" i="4"/>
  <c r="L23" i="5" s="1"/>
  <c r="V23" i="4"/>
  <c r="AM23" i="5" s="1"/>
  <c r="L23" i="4"/>
  <c r="V23" i="5" s="1"/>
  <c r="C23" i="4"/>
  <c r="D23" i="5" s="1"/>
  <c r="R23" i="4"/>
  <c r="AH23" i="5" s="1"/>
  <c r="A25" i="4" a="1"/>
  <c r="A25" i="4" s="1"/>
  <c r="K23" i="4"/>
  <c r="T23" i="5" s="1"/>
  <c r="B23" i="4"/>
  <c r="S23" i="4"/>
  <c r="AJ23" i="5" s="1"/>
  <c r="J23" i="4"/>
  <c r="R23" i="5" s="1"/>
  <c r="I23" i="4"/>
  <c r="P23" i="5" s="1"/>
  <c r="D23" i="4"/>
  <c r="F23" i="5" s="1"/>
  <c r="O23" i="4"/>
  <c r="AB23" i="5" s="1"/>
  <c r="N23" i="4"/>
  <c r="Z23" i="5" s="1"/>
  <c r="M23" i="4"/>
  <c r="X23" i="5" s="1"/>
  <c r="E23" i="4"/>
  <c r="H23" i="5" s="1"/>
  <c r="W23" i="4"/>
  <c r="AN23" i="5" s="1"/>
  <c r="F23" i="4"/>
  <c r="J23" i="5" s="1"/>
  <c r="M7" i="9" a="1"/>
  <c r="H7" i="9" a="1"/>
  <c r="C8" i="9" a="1"/>
  <c r="D5" i="9" a="1"/>
  <c r="I7" i="9" a="1"/>
  <c r="L70" i="2" a="1"/>
  <c r="J8" i="2" a="1"/>
  <c r="S9" i="2"/>
  <c r="J70" i="2" a="1"/>
  <c r="K70" i="2" a="1"/>
  <c r="R9" i="2"/>
  <c r="T9" i="2"/>
  <c r="U9" i="2"/>
  <c r="M8" i="2" a="1"/>
  <c r="Q9" i="2"/>
  <c r="P9" i="2"/>
  <c r="N8" i="2" a="1"/>
  <c r="L8" i="2" a="1"/>
  <c r="O8" i="2" a="1"/>
  <c r="K8" i="2" a="1"/>
  <c r="K70" i="2" l="1"/>
  <c r="J70" i="2"/>
  <c r="L70" i="2"/>
  <c r="E146" i="9"/>
  <c r="C8" i="9"/>
  <c r="I8" i="9" s="1" a="1"/>
  <c r="H7" i="9"/>
  <c r="E7" i="9" s="1"/>
  <c r="M7" i="9"/>
  <c r="H147" i="9" a="1"/>
  <c r="H147" i="9" s="1"/>
  <c r="E147" i="9" s="1"/>
  <c r="Q7" i="9"/>
  <c r="P7" i="9" s="1"/>
  <c r="Q147" i="9"/>
  <c r="P147" i="9" s="1"/>
  <c r="J147" i="9"/>
  <c r="K147" i="9"/>
  <c r="M147" i="9" a="1"/>
  <c r="M147" i="9" s="1"/>
  <c r="L76" i="9"/>
  <c r="E76" i="9"/>
  <c r="C78" i="9" a="1"/>
  <c r="C78" i="9" s="1"/>
  <c r="H77" i="9" a="1"/>
  <c r="H77" i="9" s="1"/>
  <c r="E77" i="9" s="1"/>
  <c r="Q77" i="9"/>
  <c r="P77" i="9" s="1"/>
  <c r="K77" i="9"/>
  <c r="D77" i="9" a="1"/>
  <c r="D77" i="9" s="1"/>
  <c r="F77" i="9" s="1" a="1"/>
  <c r="F77" i="9" s="1"/>
  <c r="G77" i="9" s="1"/>
  <c r="M77" i="9" a="1"/>
  <c r="M77" i="9" s="1"/>
  <c r="J77" i="9"/>
  <c r="I77" i="9" a="1"/>
  <c r="I77" i="9" s="1"/>
  <c r="D5" i="9"/>
  <c r="F5" i="9" s="1" a="1"/>
  <c r="L4" i="9"/>
  <c r="K4" i="9"/>
  <c r="E6" i="9"/>
  <c r="I7" i="9"/>
  <c r="V9" i="2"/>
  <c r="C149" i="9" s="1" a="1"/>
  <c r="C149" i="9" s="1"/>
  <c r="I149" i="9" s="1" a="1"/>
  <c r="I149" i="9" s="1"/>
  <c r="L8" i="2"/>
  <c r="K8" i="2"/>
  <c r="J8" i="2"/>
  <c r="O8" i="2"/>
  <c r="N8" i="2"/>
  <c r="M8" i="2"/>
  <c r="B23" i="5"/>
  <c r="B22" i="5"/>
  <c r="A15" i="9"/>
  <c r="Q24" i="4"/>
  <c r="AF24" i="5" s="1"/>
  <c r="I24" i="4"/>
  <c r="P24" i="5" s="1"/>
  <c r="V24" i="4"/>
  <c r="AM24" i="5" s="1"/>
  <c r="L24" i="4"/>
  <c r="V24" i="5" s="1"/>
  <c r="C24" i="4"/>
  <c r="D24" i="5" s="1"/>
  <c r="P24" i="4"/>
  <c r="AD24" i="5" s="1"/>
  <c r="G24" i="4"/>
  <c r="L24" i="5" s="1"/>
  <c r="O24" i="4"/>
  <c r="AB24" i="5" s="1"/>
  <c r="F24" i="4"/>
  <c r="J24" i="5" s="1"/>
  <c r="W24" i="4"/>
  <c r="AN24" i="5" s="1"/>
  <c r="M24" i="4"/>
  <c r="X24" i="5" s="1"/>
  <c r="N24" i="4"/>
  <c r="Z24" i="5" s="1"/>
  <c r="E24" i="4"/>
  <c r="H24" i="5" s="1"/>
  <c r="D24" i="4"/>
  <c r="F24" i="5" s="1"/>
  <c r="S24" i="4"/>
  <c r="AJ24" i="5" s="1"/>
  <c r="H24" i="4"/>
  <c r="N24" i="5" s="1"/>
  <c r="K24" i="4"/>
  <c r="T24" i="5" s="1"/>
  <c r="J24" i="4"/>
  <c r="R24" i="5" s="1"/>
  <c r="A26" i="4" a="1"/>
  <c r="A26" i="4" s="1"/>
  <c r="B24" i="4"/>
  <c r="R24" i="4"/>
  <c r="AH24" i="5" s="1"/>
  <c r="AL24" i="5"/>
  <c r="A26" i="5" a="1"/>
  <c r="A26" i="5" s="1"/>
  <c r="AL25" i="5"/>
  <c r="A27" i="5" a="1"/>
  <c r="A27" i="5" s="1"/>
  <c r="R25" i="4"/>
  <c r="AH25" i="5" s="1"/>
  <c r="J25" i="4"/>
  <c r="R25" i="5" s="1"/>
  <c r="B25" i="4"/>
  <c r="P25" i="4"/>
  <c r="AD25" i="5" s="1"/>
  <c r="G25" i="4"/>
  <c r="L25" i="5" s="1"/>
  <c r="V25" i="4"/>
  <c r="AM25" i="5" s="1"/>
  <c r="L25" i="4"/>
  <c r="V25" i="5" s="1"/>
  <c r="C25" i="4"/>
  <c r="D25" i="5" s="1"/>
  <c r="Q25" i="4"/>
  <c r="AF25" i="5" s="1"/>
  <c r="H25" i="4"/>
  <c r="N25" i="5" s="1"/>
  <c r="A27" i="4" a="1"/>
  <c r="A27" i="4" s="1"/>
  <c r="K25" i="4"/>
  <c r="T25" i="5" s="1"/>
  <c r="I25" i="4"/>
  <c r="P25" i="5" s="1"/>
  <c r="S25" i="4"/>
  <c r="AJ25" i="5" s="1"/>
  <c r="D25" i="4"/>
  <c r="F25" i="5" s="1"/>
  <c r="W25" i="4"/>
  <c r="AN25" i="5" s="1"/>
  <c r="O25" i="4"/>
  <c r="AB25" i="5" s="1"/>
  <c r="N25" i="4"/>
  <c r="Z25" i="5" s="1"/>
  <c r="M25" i="4"/>
  <c r="X25" i="5" s="1"/>
  <c r="E25" i="4"/>
  <c r="H25" i="5" s="1"/>
  <c r="F25" i="4"/>
  <c r="J25" i="5" s="1"/>
  <c r="M8" i="9" a="1"/>
  <c r="C9" i="9" a="1"/>
  <c r="D7" i="9" a="1"/>
  <c r="D6" i="9" a="1"/>
  <c r="Q10" i="2"/>
  <c r="N9" i="2" a="1"/>
  <c r="J9" i="2" a="1"/>
  <c r="P10" i="2"/>
  <c r="M9" i="2" a="1"/>
  <c r="L9" i="2" a="1"/>
  <c r="S10" i="2"/>
  <c r="O9" i="2" a="1"/>
  <c r="U10" i="2"/>
  <c r="K9" i="2" a="1"/>
  <c r="T10" i="2"/>
  <c r="R10" i="2"/>
  <c r="H8" i="9" l="1" a="1"/>
  <c r="H8" i="9" s="1"/>
  <c r="E8" i="9" s="1"/>
  <c r="C9" i="9"/>
  <c r="M8" i="9"/>
  <c r="L147" i="9"/>
  <c r="Q8" i="9"/>
  <c r="P8" i="9" s="1"/>
  <c r="J148" i="9"/>
  <c r="Q148" i="9"/>
  <c r="P148" i="9" s="1"/>
  <c r="M148" i="9" a="1"/>
  <c r="M148" i="9" s="1"/>
  <c r="D148" i="9" a="1"/>
  <c r="D148" i="9" s="1"/>
  <c r="F148" i="9" s="1" a="1"/>
  <c r="F148" i="9" s="1"/>
  <c r="G148" i="9" s="1"/>
  <c r="H148" i="9" a="1"/>
  <c r="H148" i="9" s="1"/>
  <c r="E148" i="9" s="1"/>
  <c r="I78" i="9" a="1"/>
  <c r="I78" i="9" s="1"/>
  <c r="M78" i="9" a="1"/>
  <c r="M78" i="9" s="1"/>
  <c r="J78" i="9"/>
  <c r="H78" i="9" a="1"/>
  <c r="H78" i="9" s="1"/>
  <c r="K78" i="9"/>
  <c r="D78" i="9" a="1"/>
  <c r="D78" i="9" s="1"/>
  <c r="F78" i="9" s="1" a="1"/>
  <c r="F78" i="9" s="1"/>
  <c r="G78" i="9" s="1"/>
  <c r="Q78" i="9"/>
  <c r="P78" i="9" s="1"/>
  <c r="C79" i="9" a="1"/>
  <c r="C79" i="9" s="1"/>
  <c r="K148" i="9"/>
  <c r="L77" i="9"/>
  <c r="D6" i="9"/>
  <c r="F6" i="9" s="1" a="1"/>
  <c r="D7" i="9"/>
  <c r="F5" i="9"/>
  <c r="G5" i="9" s="1"/>
  <c r="J5" i="9"/>
  <c r="I8" i="9"/>
  <c r="V10" i="2"/>
  <c r="C150" i="9" s="1" a="1"/>
  <c r="C150" i="9" s="1"/>
  <c r="I150" i="9" s="1" a="1"/>
  <c r="I150" i="9" s="1"/>
  <c r="L9" i="2"/>
  <c r="N9" i="2"/>
  <c r="K9" i="2"/>
  <c r="O9" i="2"/>
  <c r="J9" i="2"/>
  <c r="M9" i="2"/>
  <c r="B25" i="5"/>
  <c r="B24" i="5"/>
  <c r="A16" i="9"/>
  <c r="L27" i="4"/>
  <c r="V27" i="5" s="1"/>
  <c r="D27" i="4"/>
  <c r="F27" i="5" s="1"/>
  <c r="P27" i="4"/>
  <c r="AD27" i="5" s="1"/>
  <c r="G27" i="4"/>
  <c r="L27" i="5" s="1"/>
  <c r="A29" i="4" a="1"/>
  <c r="A29" i="4" s="1"/>
  <c r="K27" i="4"/>
  <c r="T27" i="5" s="1"/>
  <c r="B27" i="4"/>
  <c r="Q27" i="4"/>
  <c r="AF27" i="5" s="1"/>
  <c r="H27" i="4"/>
  <c r="N27" i="5" s="1"/>
  <c r="S27" i="4"/>
  <c r="AJ27" i="5" s="1"/>
  <c r="J27" i="4"/>
  <c r="R27" i="5" s="1"/>
  <c r="R27" i="4"/>
  <c r="AH27" i="5" s="1"/>
  <c r="I27" i="4"/>
  <c r="P27" i="5" s="1"/>
  <c r="W27" i="4"/>
  <c r="AN27" i="5" s="1"/>
  <c r="C27" i="4"/>
  <c r="D27" i="5" s="1"/>
  <c r="F27" i="4"/>
  <c r="J27" i="5" s="1"/>
  <c r="N27" i="4"/>
  <c r="Z27" i="5" s="1"/>
  <c r="M27" i="4"/>
  <c r="X27" i="5" s="1"/>
  <c r="E27" i="4"/>
  <c r="H27" i="5" s="1"/>
  <c r="V27" i="4"/>
  <c r="AM27" i="5" s="1"/>
  <c r="O27" i="4"/>
  <c r="AB27" i="5" s="1"/>
  <c r="A29" i="5" a="1"/>
  <c r="A29" i="5" s="1"/>
  <c r="AL27" i="5"/>
  <c r="A28" i="5" a="1"/>
  <c r="A28" i="5" s="1"/>
  <c r="AL26" i="5"/>
  <c r="S26" i="4"/>
  <c r="AJ26" i="5" s="1"/>
  <c r="K26" i="4"/>
  <c r="T26" i="5" s="1"/>
  <c r="C26" i="4"/>
  <c r="D26" i="5" s="1"/>
  <c r="A28" i="4" a="1"/>
  <c r="A28" i="4" s="1"/>
  <c r="V26" i="4"/>
  <c r="AM26" i="5" s="1"/>
  <c r="L26" i="4"/>
  <c r="V26" i="5" s="1"/>
  <c r="B26" i="4"/>
  <c r="P26" i="4"/>
  <c r="AD26" i="5" s="1"/>
  <c r="G26" i="4"/>
  <c r="L26" i="5" s="1"/>
  <c r="O26" i="4"/>
  <c r="AB26" i="5" s="1"/>
  <c r="F26" i="4"/>
  <c r="J26" i="5" s="1"/>
  <c r="W26" i="4"/>
  <c r="AN26" i="5" s="1"/>
  <c r="M26" i="4"/>
  <c r="X26" i="5" s="1"/>
  <c r="D26" i="4"/>
  <c r="F26" i="5" s="1"/>
  <c r="N26" i="4"/>
  <c r="Z26" i="5" s="1"/>
  <c r="E26" i="4"/>
  <c r="H26" i="5" s="1"/>
  <c r="Q26" i="4"/>
  <c r="AF26" i="5" s="1"/>
  <c r="R26" i="4"/>
  <c r="AH26" i="5" s="1"/>
  <c r="J26" i="4"/>
  <c r="R26" i="5" s="1"/>
  <c r="I26" i="4"/>
  <c r="P26" i="5" s="1"/>
  <c r="H26" i="4"/>
  <c r="N26" i="5" s="1"/>
  <c r="M9" i="9" a="1"/>
  <c r="H9" i="9" a="1"/>
  <c r="C10" i="9" a="1"/>
  <c r="D8" i="9" a="1"/>
  <c r="F7" i="9" a="1"/>
  <c r="I9" i="9" a="1"/>
  <c r="N10" i="2" a="1"/>
  <c r="P11" i="2"/>
  <c r="Q11" i="2"/>
  <c r="M10" i="2" a="1"/>
  <c r="R11" i="2"/>
  <c r="K10" i="2" a="1"/>
  <c r="L10" i="2" a="1"/>
  <c r="U11" i="2"/>
  <c r="T11" i="2"/>
  <c r="J10" i="2" a="1"/>
  <c r="O10" i="2" a="1"/>
  <c r="S11" i="2"/>
  <c r="L148" i="9" l="1"/>
  <c r="C10" i="9"/>
  <c r="H9" i="9"/>
  <c r="M9" i="9"/>
  <c r="Q9" i="9"/>
  <c r="P9" i="9" s="1"/>
  <c r="Q149" i="9"/>
  <c r="P149" i="9" s="1"/>
  <c r="M149" i="9" a="1"/>
  <c r="M149" i="9" s="1"/>
  <c r="H149" i="9" a="1"/>
  <c r="H149" i="9" s="1"/>
  <c r="E149" i="9" s="1"/>
  <c r="H150" i="9" a="1"/>
  <c r="H150" i="9" s="1"/>
  <c r="C80" i="9" a="1"/>
  <c r="C80" i="9" s="1"/>
  <c r="K149" i="9"/>
  <c r="E78" i="9"/>
  <c r="L78" i="9"/>
  <c r="J149" i="9"/>
  <c r="D149" i="9" a="1"/>
  <c r="D149" i="9" s="1"/>
  <c r="F149" i="9" s="1" a="1"/>
  <c r="F149" i="9" s="1"/>
  <c r="G149" i="9" s="1"/>
  <c r="J79" i="9"/>
  <c r="I79" i="9" a="1"/>
  <c r="I79" i="9" s="1"/>
  <c r="Q79" i="9"/>
  <c r="P79" i="9" s="1"/>
  <c r="H79" i="9" a="1"/>
  <c r="H79" i="9" s="1"/>
  <c r="M79" i="9" a="1"/>
  <c r="M79" i="9" s="1"/>
  <c r="D79" i="9" a="1"/>
  <c r="D79" i="9" s="1"/>
  <c r="F79" i="9" s="1" a="1"/>
  <c r="F79" i="9" s="1"/>
  <c r="G79" i="9" s="1"/>
  <c r="K79" i="9"/>
  <c r="D8" i="9"/>
  <c r="F8" i="9" s="1" a="1"/>
  <c r="F7" i="9"/>
  <c r="G7" i="9" s="1"/>
  <c r="J7" i="9"/>
  <c r="L7" i="9" s="1"/>
  <c r="F6" i="9"/>
  <c r="G6" i="9" s="1"/>
  <c r="L5" i="9"/>
  <c r="K5" i="9"/>
  <c r="J6" i="9"/>
  <c r="I9" i="9"/>
  <c r="V11" i="2"/>
  <c r="C151" i="9" s="1" a="1"/>
  <c r="C151" i="9" s="1"/>
  <c r="I151" i="9" s="1" a="1"/>
  <c r="I151" i="9" s="1"/>
  <c r="L10" i="2"/>
  <c r="J10" i="2"/>
  <c r="K10" i="2"/>
  <c r="M10" i="2"/>
  <c r="O10" i="2"/>
  <c r="N10" i="2"/>
  <c r="B27" i="5"/>
  <c r="A17" i="9"/>
  <c r="B26" i="5"/>
  <c r="A30" i="5" a="1"/>
  <c r="A30" i="5" s="1"/>
  <c r="AL28" i="5"/>
  <c r="V28" i="4"/>
  <c r="AM28" i="5" s="1"/>
  <c r="M28" i="4"/>
  <c r="X28" i="5" s="1"/>
  <c r="E28" i="4"/>
  <c r="H28" i="5" s="1"/>
  <c r="A30" i="4" a="1"/>
  <c r="A30" i="4" s="1"/>
  <c r="S28" i="4"/>
  <c r="AJ28" i="5" s="1"/>
  <c r="J28" i="4"/>
  <c r="R28" i="5" s="1"/>
  <c r="O28" i="4"/>
  <c r="AB28" i="5" s="1"/>
  <c r="F28" i="4"/>
  <c r="J28" i="5" s="1"/>
  <c r="K28" i="4"/>
  <c r="T28" i="5" s="1"/>
  <c r="B28" i="4"/>
  <c r="N28" i="4"/>
  <c r="Z28" i="5" s="1"/>
  <c r="D28" i="4"/>
  <c r="F28" i="5" s="1"/>
  <c r="W28" i="4"/>
  <c r="AN28" i="5" s="1"/>
  <c r="L28" i="4"/>
  <c r="V28" i="5" s="1"/>
  <c r="C28" i="4"/>
  <c r="D28" i="5" s="1"/>
  <c r="P28" i="4"/>
  <c r="AD28" i="5" s="1"/>
  <c r="Q28" i="4"/>
  <c r="AF28" i="5" s="1"/>
  <c r="I28" i="4"/>
  <c r="P28" i="5" s="1"/>
  <c r="H28" i="4"/>
  <c r="N28" i="5" s="1"/>
  <c r="R28" i="4"/>
  <c r="AH28" i="5" s="1"/>
  <c r="G28" i="4"/>
  <c r="L28" i="5" s="1"/>
  <c r="A31" i="5" a="1"/>
  <c r="A31" i="5" s="1"/>
  <c r="AL29" i="5"/>
  <c r="W29" i="4"/>
  <c r="AN29" i="5" s="1"/>
  <c r="N29" i="4"/>
  <c r="Z29" i="5" s="1"/>
  <c r="F29" i="4"/>
  <c r="J29" i="5" s="1"/>
  <c r="O29" i="4"/>
  <c r="AB29" i="5" s="1"/>
  <c r="E29" i="4"/>
  <c r="H29" i="5" s="1"/>
  <c r="A31" i="4" a="1"/>
  <c r="A31" i="4" s="1"/>
  <c r="S29" i="4"/>
  <c r="AJ29" i="5" s="1"/>
  <c r="J29" i="4"/>
  <c r="R29" i="5" s="1"/>
  <c r="R29" i="4"/>
  <c r="AH29" i="5" s="1"/>
  <c r="I29" i="4"/>
  <c r="P29" i="5" s="1"/>
  <c r="H29" i="4"/>
  <c r="N29" i="5" s="1"/>
  <c r="Q29" i="4"/>
  <c r="AF29" i="5" s="1"/>
  <c r="P29" i="4"/>
  <c r="AD29" i="5" s="1"/>
  <c r="G29" i="4"/>
  <c r="L29" i="5" s="1"/>
  <c r="V29" i="4"/>
  <c r="AM29" i="5" s="1"/>
  <c r="L29" i="4"/>
  <c r="V29" i="5" s="1"/>
  <c r="M29" i="4"/>
  <c r="X29" i="5" s="1"/>
  <c r="K29" i="4"/>
  <c r="T29" i="5" s="1"/>
  <c r="D29" i="4"/>
  <c r="F29" i="5" s="1"/>
  <c r="B29" i="4"/>
  <c r="C29" i="4"/>
  <c r="D29" i="5" s="1"/>
  <c r="M10" i="9" a="1"/>
  <c r="H10" i="9" a="1"/>
  <c r="C11" i="9" a="1"/>
  <c r="I10" i="9" a="1"/>
  <c r="R12" i="2"/>
  <c r="Q12" i="2"/>
  <c r="U12" i="2"/>
  <c r="S12" i="2"/>
  <c r="P12" i="2"/>
  <c r="K11" i="2" a="1"/>
  <c r="T12" i="2"/>
  <c r="L11" i="2" a="1"/>
  <c r="O11" i="2" a="1"/>
  <c r="J11" i="2" a="1"/>
  <c r="M11" i="2" a="1"/>
  <c r="N11" i="2" a="1"/>
  <c r="D150" i="9" l="1" a="1"/>
  <c r="D150" i="9" s="1"/>
  <c r="F150" i="9" s="1" a="1"/>
  <c r="F150" i="9" s="1"/>
  <c r="G150" i="9" s="1"/>
  <c r="C11" i="9"/>
  <c r="H10" i="9"/>
  <c r="E10" i="9" s="1"/>
  <c r="M10" i="9"/>
  <c r="L149" i="9"/>
  <c r="K150" i="9"/>
  <c r="Q10" i="9"/>
  <c r="P10" i="9" s="1"/>
  <c r="J150" i="9"/>
  <c r="L150" i="9" s="1"/>
  <c r="M150" i="9" a="1"/>
  <c r="M150" i="9" s="1"/>
  <c r="Q150" i="9"/>
  <c r="P150" i="9" s="1"/>
  <c r="E79" i="9"/>
  <c r="L79" i="9"/>
  <c r="K80" i="9"/>
  <c r="D80" i="9" a="1"/>
  <c r="D80" i="9" s="1"/>
  <c r="F80" i="9" s="1" a="1"/>
  <c r="F80" i="9" s="1"/>
  <c r="G80" i="9" s="1"/>
  <c r="M80" i="9" a="1"/>
  <c r="M80" i="9" s="1"/>
  <c r="I80" i="9" a="1"/>
  <c r="I80" i="9" s="1"/>
  <c r="Q80" i="9"/>
  <c r="P80" i="9" s="1"/>
  <c r="H80" i="9" a="1"/>
  <c r="H80" i="9" s="1"/>
  <c r="J80" i="9"/>
  <c r="J151" i="9"/>
  <c r="C81" i="9" a="1"/>
  <c r="C81" i="9" s="1"/>
  <c r="E150" i="9"/>
  <c r="K7" i="9"/>
  <c r="F8" i="9"/>
  <c r="G8" i="9" s="1"/>
  <c r="J8" i="9"/>
  <c r="K8" i="9" s="1"/>
  <c r="L6" i="9"/>
  <c r="K6" i="9"/>
  <c r="E9" i="9"/>
  <c r="I10" i="9"/>
  <c r="V12" i="2"/>
  <c r="C152" i="9" s="1" a="1"/>
  <c r="C152" i="9" s="1"/>
  <c r="I152" i="9" s="1" a="1"/>
  <c r="I152" i="9" s="1"/>
  <c r="O11" i="2"/>
  <c r="N11" i="2"/>
  <c r="M11" i="2"/>
  <c r="J11" i="2"/>
  <c r="K11" i="2"/>
  <c r="L11" i="2"/>
  <c r="B29" i="5"/>
  <c r="B28" i="5"/>
  <c r="A18" i="9"/>
  <c r="A32" i="5" a="1"/>
  <c r="A32" i="5" s="1"/>
  <c r="AL30" i="5"/>
  <c r="AL31" i="5"/>
  <c r="A33" i="5" a="1"/>
  <c r="A33" i="5" s="1"/>
  <c r="P31" i="4"/>
  <c r="AD31" i="5" s="1"/>
  <c r="H31" i="4"/>
  <c r="N31" i="5" s="1"/>
  <c r="N31" i="4"/>
  <c r="Z31" i="5" s="1"/>
  <c r="E31" i="4"/>
  <c r="H31" i="5" s="1"/>
  <c r="S31" i="4"/>
  <c r="AJ31" i="5" s="1"/>
  <c r="J31" i="4"/>
  <c r="R31" i="5" s="1"/>
  <c r="O31" i="4"/>
  <c r="AB31" i="5" s="1"/>
  <c r="F31" i="4"/>
  <c r="J31" i="5" s="1"/>
  <c r="R31" i="4"/>
  <c r="AH31" i="5" s="1"/>
  <c r="I31" i="4"/>
  <c r="P31" i="5" s="1"/>
  <c r="Q31" i="4"/>
  <c r="AF31" i="5" s="1"/>
  <c r="G31" i="4"/>
  <c r="L31" i="5" s="1"/>
  <c r="V31" i="4"/>
  <c r="AM31" i="5" s="1"/>
  <c r="L31" i="4"/>
  <c r="V31" i="5" s="1"/>
  <c r="M31" i="4"/>
  <c r="X31" i="5" s="1"/>
  <c r="K31" i="4"/>
  <c r="T31" i="5" s="1"/>
  <c r="D31" i="4"/>
  <c r="F31" i="5" s="1"/>
  <c r="A33" i="4" a="1"/>
  <c r="A33" i="4" s="1"/>
  <c r="W31" i="4"/>
  <c r="AN31" i="5" s="1"/>
  <c r="B31" i="4"/>
  <c r="C31" i="4"/>
  <c r="D31" i="5" s="1"/>
  <c r="A32" i="4" a="1"/>
  <c r="A32" i="4" s="1"/>
  <c r="O30" i="4"/>
  <c r="AB30" i="5" s="1"/>
  <c r="G30" i="4"/>
  <c r="L30" i="5" s="1"/>
  <c r="S30" i="4"/>
  <c r="AJ30" i="5" s="1"/>
  <c r="J30" i="4"/>
  <c r="R30" i="5" s="1"/>
  <c r="N30" i="4"/>
  <c r="Z30" i="5" s="1"/>
  <c r="E30" i="4"/>
  <c r="H30" i="5" s="1"/>
  <c r="W30" i="4"/>
  <c r="AN30" i="5" s="1"/>
  <c r="M30" i="4"/>
  <c r="X30" i="5" s="1"/>
  <c r="D30" i="4"/>
  <c r="F30" i="5" s="1"/>
  <c r="V30" i="4"/>
  <c r="AM30" i="5" s="1"/>
  <c r="L30" i="4"/>
  <c r="V30" i="5" s="1"/>
  <c r="C30" i="4"/>
  <c r="D30" i="5" s="1"/>
  <c r="K30" i="4"/>
  <c r="T30" i="5" s="1"/>
  <c r="B30" i="4"/>
  <c r="R30" i="4"/>
  <c r="AH30" i="5" s="1"/>
  <c r="Q30" i="4"/>
  <c r="AF30" i="5" s="1"/>
  <c r="F30" i="4"/>
  <c r="J30" i="5" s="1"/>
  <c r="I30" i="4"/>
  <c r="P30" i="5" s="1"/>
  <c r="H30" i="4"/>
  <c r="N30" i="5" s="1"/>
  <c r="P30" i="4"/>
  <c r="AD30" i="5" s="1"/>
  <c r="M11" i="9" a="1"/>
  <c r="H11" i="9" a="1"/>
  <c r="C12" i="9" a="1"/>
  <c r="D9" i="9" a="1"/>
  <c r="D10" i="9" a="1"/>
  <c r="I11" i="9" a="1"/>
  <c r="R13" i="2"/>
  <c r="S13" i="2"/>
  <c r="Q13" i="2"/>
  <c r="P13" i="2"/>
  <c r="L12" i="2" a="1"/>
  <c r="U13" i="2"/>
  <c r="N12" i="2" a="1"/>
  <c r="M12" i="2" a="1"/>
  <c r="J12" i="2" a="1"/>
  <c r="O12" i="2" a="1"/>
  <c r="K12" i="2" a="1"/>
  <c r="T13" i="2"/>
  <c r="C12" i="9" l="1"/>
  <c r="H11" i="9"/>
  <c r="M11" i="9"/>
  <c r="Q11" i="9"/>
  <c r="P11" i="9" s="1"/>
  <c r="M151" i="9" a="1"/>
  <c r="M151" i="9" s="1"/>
  <c r="H151" i="9" a="1"/>
  <c r="H151" i="9" s="1"/>
  <c r="E151" i="9" s="1"/>
  <c r="Q151" i="9"/>
  <c r="P151" i="9" s="1"/>
  <c r="H81" i="9" a="1"/>
  <c r="H81" i="9" s="1"/>
  <c r="M81" i="9" a="1"/>
  <c r="M81" i="9" s="1"/>
  <c r="I81" i="9" a="1"/>
  <c r="I81" i="9" s="1"/>
  <c r="J81" i="9"/>
  <c r="D81" i="9" a="1"/>
  <c r="D81" i="9" s="1"/>
  <c r="F81" i="9" s="1" a="1"/>
  <c r="F81" i="9" s="1"/>
  <c r="G81" i="9" s="1"/>
  <c r="K81" i="9"/>
  <c r="Q81" i="9"/>
  <c r="P81" i="9" s="1"/>
  <c r="K151" i="9"/>
  <c r="E80" i="9"/>
  <c r="L80" i="9"/>
  <c r="D151" i="9" a="1"/>
  <c r="D151" i="9" s="1"/>
  <c r="F151" i="9" s="1" a="1"/>
  <c r="F151" i="9" s="1"/>
  <c r="G151" i="9" s="1"/>
  <c r="C82" i="9" a="1"/>
  <c r="C82" i="9" s="1"/>
  <c r="D10" i="9"/>
  <c r="D9" i="9"/>
  <c r="F9" i="9" s="1" a="1"/>
  <c r="L8" i="9"/>
  <c r="I11" i="9"/>
  <c r="V13" i="2"/>
  <c r="C153" i="9" s="1" a="1"/>
  <c r="C153" i="9" s="1"/>
  <c r="I153" i="9" s="1" a="1"/>
  <c r="I153" i="9" s="1"/>
  <c r="N12" i="2"/>
  <c r="L12" i="2"/>
  <c r="K12" i="2"/>
  <c r="J12" i="2"/>
  <c r="O12" i="2"/>
  <c r="M12" i="2"/>
  <c r="B31" i="5"/>
  <c r="P62" i="9"/>
  <c r="K62" i="9"/>
  <c r="L62" i="9"/>
  <c r="F62" i="9" a="1"/>
  <c r="F62" i="9" s="1"/>
  <c r="G62" i="9" s="1"/>
  <c r="B30" i="5"/>
  <c r="A19" i="9"/>
  <c r="Q32" i="4"/>
  <c r="AF32" i="5" s="1"/>
  <c r="I32" i="4"/>
  <c r="P32" i="5" s="1"/>
  <c r="S32" i="4"/>
  <c r="AJ32" i="5" s="1"/>
  <c r="J32" i="4"/>
  <c r="R32" i="5" s="1"/>
  <c r="N32" i="4"/>
  <c r="Z32" i="5" s="1"/>
  <c r="E32" i="4"/>
  <c r="H32" i="5" s="1"/>
  <c r="K32" i="4"/>
  <c r="T32" i="5" s="1"/>
  <c r="B32" i="4"/>
  <c r="W32" i="4"/>
  <c r="AN32" i="5" s="1"/>
  <c r="M32" i="4"/>
  <c r="X32" i="5" s="1"/>
  <c r="D32" i="4"/>
  <c r="F32" i="5" s="1"/>
  <c r="V32" i="4"/>
  <c r="AM32" i="5" s="1"/>
  <c r="L32" i="4"/>
  <c r="V32" i="5" s="1"/>
  <c r="C32" i="4"/>
  <c r="D32" i="5" s="1"/>
  <c r="A34" i="4" a="1"/>
  <c r="A34" i="4" s="1"/>
  <c r="P32" i="4"/>
  <c r="AD32" i="5" s="1"/>
  <c r="H32" i="4"/>
  <c r="N32" i="5" s="1"/>
  <c r="G32" i="4"/>
  <c r="L32" i="5" s="1"/>
  <c r="R32" i="4"/>
  <c r="AH32" i="5" s="1"/>
  <c r="O32" i="4"/>
  <c r="AB32" i="5" s="1"/>
  <c r="F32" i="4"/>
  <c r="J32" i="5" s="1"/>
  <c r="AL32" i="5"/>
  <c r="A34" i="5" a="1"/>
  <c r="A34" i="5" s="1"/>
  <c r="A35" i="5" a="1"/>
  <c r="A35" i="5" s="1"/>
  <c r="AL33" i="5"/>
  <c r="R33" i="4"/>
  <c r="AH33" i="5" s="1"/>
  <c r="J33" i="4"/>
  <c r="R33" i="5" s="1"/>
  <c r="B33" i="4"/>
  <c r="N33" i="4"/>
  <c r="Z33" i="5" s="1"/>
  <c r="E33" i="4"/>
  <c r="H33" i="5" s="1"/>
  <c r="S33" i="4"/>
  <c r="AJ33" i="5" s="1"/>
  <c r="I33" i="4"/>
  <c r="P33" i="5" s="1"/>
  <c r="O33" i="4"/>
  <c r="AB33" i="5" s="1"/>
  <c r="Q33" i="4"/>
  <c r="AF33" i="5" s="1"/>
  <c r="H33" i="4"/>
  <c r="N33" i="5" s="1"/>
  <c r="P33" i="4"/>
  <c r="AD33" i="5" s="1"/>
  <c r="G33" i="4"/>
  <c r="L33" i="5" s="1"/>
  <c r="F33" i="4"/>
  <c r="J33" i="5" s="1"/>
  <c r="V33" i="4"/>
  <c r="AM33" i="5" s="1"/>
  <c r="L33" i="4"/>
  <c r="V33" i="5" s="1"/>
  <c r="M33" i="4"/>
  <c r="X33" i="5" s="1"/>
  <c r="K33" i="4"/>
  <c r="T33" i="5" s="1"/>
  <c r="D33" i="4"/>
  <c r="F33" i="5" s="1"/>
  <c r="A35" i="4" a="1"/>
  <c r="A35" i="4" s="1"/>
  <c r="W33" i="4"/>
  <c r="AN33" i="5" s="1"/>
  <c r="C33" i="4"/>
  <c r="D33" i="5" s="1"/>
  <c r="M12" i="9" a="1"/>
  <c r="H12" i="9" a="1"/>
  <c r="C13" i="9" a="1"/>
  <c r="I18" i="9" a="1"/>
  <c r="H18" i="9" a="1"/>
  <c r="F10" i="9" a="1"/>
  <c r="I12" i="9" a="1"/>
  <c r="K13" i="2" a="1"/>
  <c r="O13" i="2" a="1"/>
  <c r="M13" i="2" a="1"/>
  <c r="U14" i="2"/>
  <c r="J13" i="2" a="1"/>
  <c r="L13" i="2" a="1"/>
  <c r="P14" i="2"/>
  <c r="N13" i="2" a="1"/>
  <c r="R14" i="2"/>
  <c r="S14" i="2"/>
  <c r="T14" i="2"/>
  <c r="Q14" i="2"/>
  <c r="L151" i="9" l="1"/>
  <c r="C13" i="9"/>
  <c r="H12" i="9"/>
  <c r="M12" i="9"/>
  <c r="E11" i="9"/>
  <c r="Q12" i="9"/>
  <c r="P12" i="9" s="1"/>
  <c r="M152" i="9" a="1"/>
  <c r="M152" i="9" s="1"/>
  <c r="H152" i="9" a="1"/>
  <c r="H152" i="9" s="1"/>
  <c r="E152" i="9" s="1"/>
  <c r="K152" i="9"/>
  <c r="D152" i="9" a="1"/>
  <c r="D152" i="9" s="1"/>
  <c r="F152" i="9" s="1" a="1"/>
  <c r="F152" i="9" s="1"/>
  <c r="G152" i="9" s="1"/>
  <c r="M153" i="9" a="1"/>
  <c r="M153" i="9" s="1"/>
  <c r="C83" i="9" a="1"/>
  <c r="C83" i="9" s="1"/>
  <c r="K82" i="9"/>
  <c r="I82" i="9" a="1"/>
  <c r="I82" i="9" s="1"/>
  <c r="Q82" i="9"/>
  <c r="P82" i="9" s="1"/>
  <c r="J82" i="9"/>
  <c r="H82" i="9" a="1"/>
  <c r="H82" i="9" s="1"/>
  <c r="M82" i="9" a="1"/>
  <c r="M82" i="9" s="1"/>
  <c r="D82" i="9" a="1"/>
  <c r="D82" i="9" s="1"/>
  <c r="F82" i="9" s="1" a="1"/>
  <c r="F82" i="9" s="1"/>
  <c r="G82" i="9" s="1"/>
  <c r="J152" i="9"/>
  <c r="Q152" i="9"/>
  <c r="P152" i="9" s="1"/>
  <c r="E81" i="9"/>
  <c r="L81" i="9"/>
  <c r="H18" i="9"/>
  <c r="E18" i="9" s="1"/>
  <c r="I18" i="9"/>
  <c r="F10" i="9"/>
  <c r="G10" i="9" s="1"/>
  <c r="J10" i="9"/>
  <c r="L10" i="9" s="1"/>
  <c r="F9" i="9"/>
  <c r="G9" i="9" s="1"/>
  <c r="J9" i="9"/>
  <c r="I12" i="9"/>
  <c r="V14" i="2"/>
  <c r="C154" i="9" s="1" a="1"/>
  <c r="C154" i="9" s="1"/>
  <c r="I154" i="9" s="1" a="1"/>
  <c r="I154" i="9" s="1"/>
  <c r="L13" i="2"/>
  <c r="M13" i="2"/>
  <c r="K13" i="2"/>
  <c r="J13" i="2"/>
  <c r="N13" i="2"/>
  <c r="O13" i="2"/>
  <c r="B32" i="5"/>
  <c r="B33" i="5"/>
  <c r="K63" i="9"/>
  <c r="Q63" i="9"/>
  <c r="P63" i="9" s="1"/>
  <c r="L63" i="9"/>
  <c r="F63" i="9" a="1"/>
  <c r="F63" i="9" s="1"/>
  <c r="G63" i="9" s="1"/>
  <c r="A20" i="9"/>
  <c r="A36" i="5" a="1"/>
  <c r="A36" i="5" s="1"/>
  <c r="AL34" i="5"/>
  <c r="L35" i="4"/>
  <c r="V35" i="5" s="1"/>
  <c r="D35" i="4"/>
  <c r="F35" i="5" s="1"/>
  <c r="W35" i="4"/>
  <c r="AN35" i="5" s="1"/>
  <c r="N35" i="4"/>
  <c r="Z35" i="5" s="1"/>
  <c r="E35" i="4"/>
  <c r="H35" i="5" s="1"/>
  <c r="R35" i="4"/>
  <c r="AH35" i="5" s="1"/>
  <c r="I35" i="4"/>
  <c r="P35" i="5" s="1"/>
  <c r="Q35" i="4"/>
  <c r="AF35" i="5" s="1"/>
  <c r="H35" i="4"/>
  <c r="N35" i="5" s="1"/>
  <c r="P35" i="4"/>
  <c r="AD35" i="5" s="1"/>
  <c r="G35" i="4"/>
  <c r="L35" i="5" s="1"/>
  <c r="O35" i="4"/>
  <c r="AB35" i="5" s="1"/>
  <c r="F35" i="4"/>
  <c r="J35" i="5" s="1"/>
  <c r="S35" i="4"/>
  <c r="AJ35" i="5" s="1"/>
  <c r="K35" i="4"/>
  <c r="T35" i="5" s="1"/>
  <c r="A37" i="4" a="1"/>
  <c r="A37" i="4" s="1"/>
  <c r="M35" i="4"/>
  <c r="X35" i="5" s="1"/>
  <c r="J35" i="4"/>
  <c r="R35" i="5" s="1"/>
  <c r="C35" i="4"/>
  <c r="D35" i="5" s="1"/>
  <c r="V35" i="4"/>
  <c r="AM35" i="5" s="1"/>
  <c r="B35" i="4"/>
  <c r="A37" i="5" a="1"/>
  <c r="A37" i="5" s="1"/>
  <c r="AL35" i="5"/>
  <c r="S34" i="4"/>
  <c r="AJ34" i="5" s="1"/>
  <c r="K34" i="4"/>
  <c r="T34" i="5" s="1"/>
  <c r="C34" i="4"/>
  <c r="D34" i="5" s="1"/>
  <c r="R34" i="4"/>
  <c r="AH34" i="5" s="1"/>
  <c r="I34" i="4"/>
  <c r="P34" i="5" s="1"/>
  <c r="N34" i="4"/>
  <c r="Z34" i="5" s="1"/>
  <c r="E34" i="4"/>
  <c r="H34" i="5" s="1"/>
  <c r="W34" i="4"/>
  <c r="AN34" i="5" s="1"/>
  <c r="M34" i="4"/>
  <c r="X34" i="5" s="1"/>
  <c r="D34" i="4"/>
  <c r="F34" i="5" s="1"/>
  <c r="A36" i="4" a="1"/>
  <c r="A36" i="4" s="1"/>
  <c r="V34" i="4"/>
  <c r="AM34" i="5" s="1"/>
  <c r="L34" i="4"/>
  <c r="V34" i="5" s="1"/>
  <c r="B34" i="4"/>
  <c r="J34" i="4"/>
  <c r="R34" i="5" s="1"/>
  <c r="Q34" i="4"/>
  <c r="AF34" i="5" s="1"/>
  <c r="P34" i="4"/>
  <c r="AD34" i="5" s="1"/>
  <c r="H34" i="4"/>
  <c r="N34" i="5" s="1"/>
  <c r="G34" i="4"/>
  <c r="L34" i="5" s="1"/>
  <c r="O34" i="4"/>
  <c r="AB34" i="5" s="1"/>
  <c r="F34" i="4"/>
  <c r="J34" i="5" s="1"/>
  <c r="M13" i="9" a="1"/>
  <c r="H13" i="9" a="1"/>
  <c r="C14" i="9" a="1"/>
  <c r="D11" i="9" a="1"/>
  <c r="I19" i="9" a="1"/>
  <c r="H19" i="9" a="1"/>
  <c r="D18" i="9" a="1"/>
  <c r="I13" i="9" a="1"/>
  <c r="P15" i="2"/>
  <c r="S15" i="2"/>
  <c r="L14" i="2" a="1"/>
  <c r="O14" i="2" a="1"/>
  <c r="Q15" i="2"/>
  <c r="R15" i="2"/>
  <c r="K14" i="2" a="1"/>
  <c r="M14" i="2" a="1"/>
  <c r="N14" i="2" a="1"/>
  <c r="U15" i="2"/>
  <c r="T15" i="2"/>
  <c r="J14" i="2" a="1"/>
  <c r="L152" i="9" l="1"/>
  <c r="D11" i="9"/>
  <c r="J11" i="9" s="1"/>
  <c r="C14" i="9"/>
  <c r="H13" i="9"/>
  <c r="E13" i="9" s="1"/>
  <c r="M13" i="9"/>
  <c r="H153" i="9" a="1"/>
  <c r="H153" i="9" s="1"/>
  <c r="E153" i="9" s="1"/>
  <c r="Q13" i="9"/>
  <c r="P13" i="9" s="1"/>
  <c r="J153" i="9"/>
  <c r="Q153" i="9"/>
  <c r="P153" i="9" s="1"/>
  <c r="K153" i="9"/>
  <c r="E82" i="9"/>
  <c r="L82" i="9"/>
  <c r="D153" i="9" a="1"/>
  <c r="D153" i="9" s="1"/>
  <c r="F153" i="9" s="1" a="1"/>
  <c r="F153" i="9" s="1"/>
  <c r="G153" i="9" s="1"/>
  <c r="H83" i="9" a="1"/>
  <c r="H83" i="9" s="1"/>
  <c r="E83" i="9" s="1"/>
  <c r="I83" i="9" a="1"/>
  <c r="I83" i="9" s="1"/>
  <c r="D83" i="9" a="1"/>
  <c r="D83" i="9" s="1"/>
  <c r="F83" i="9" s="1" a="1"/>
  <c r="F83" i="9" s="1"/>
  <c r="G83" i="9" s="1"/>
  <c r="M83" i="9" a="1"/>
  <c r="M83" i="9" s="1"/>
  <c r="J83" i="9"/>
  <c r="Q83" i="9"/>
  <c r="P83" i="9" s="1"/>
  <c r="K83" i="9"/>
  <c r="K154" i="9"/>
  <c r="C84" i="9" a="1"/>
  <c r="C84" i="9" s="1"/>
  <c r="K10" i="9"/>
  <c r="D18" i="9"/>
  <c r="J18" i="9" s="1"/>
  <c r="K18" i="9" s="1"/>
  <c r="H19" i="9"/>
  <c r="I19" i="9"/>
  <c r="K9" i="9"/>
  <c r="L9" i="9"/>
  <c r="E12" i="9"/>
  <c r="I13" i="9"/>
  <c r="V15" i="2"/>
  <c r="C155" i="9" s="1" a="1"/>
  <c r="C155" i="9" s="1"/>
  <c r="I155" i="9" s="1" a="1"/>
  <c r="I155" i="9" s="1"/>
  <c r="N14" i="2"/>
  <c r="L14" i="2"/>
  <c r="M14" i="2"/>
  <c r="K14" i="2"/>
  <c r="O14" i="2"/>
  <c r="J14" i="2"/>
  <c r="B35" i="5"/>
  <c r="L64" i="9"/>
  <c r="F64" i="9" a="1"/>
  <c r="F64" i="9" s="1"/>
  <c r="G64" i="9" s="1"/>
  <c r="K64" i="9"/>
  <c r="Q64" i="9"/>
  <c r="P64" i="9" s="1"/>
  <c r="A21" i="9"/>
  <c r="B34" i="5"/>
  <c r="Q18" i="9"/>
  <c r="P18" i="9" s="1"/>
  <c r="A38" i="5" a="1"/>
  <c r="A38" i="5" s="1"/>
  <c r="AL36" i="5"/>
  <c r="W37" i="4"/>
  <c r="AN37" i="5" s="1"/>
  <c r="N37" i="4"/>
  <c r="Z37" i="5" s="1"/>
  <c r="F37" i="4"/>
  <c r="J37" i="5" s="1"/>
  <c r="V37" i="4"/>
  <c r="AM37" i="5" s="1"/>
  <c r="L37" i="4"/>
  <c r="V37" i="5" s="1"/>
  <c r="C37" i="4"/>
  <c r="D37" i="5" s="1"/>
  <c r="Q37" i="4"/>
  <c r="AF37" i="5" s="1"/>
  <c r="H37" i="4"/>
  <c r="N37" i="5" s="1"/>
  <c r="P37" i="4"/>
  <c r="AD37" i="5" s="1"/>
  <c r="G37" i="4"/>
  <c r="L37" i="5" s="1"/>
  <c r="O37" i="4"/>
  <c r="AB37" i="5" s="1"/>
  <c r="E37" i="4"/>
  <c r="H37" i="5" s="1"/>
  <c r="M37" i="4"/>
  <c r="X37" i="5" s="1"/>
  <c r="D37" i="4"/>
  <c r="F37" i="5" s="1"/>
  <c r="S37" i="4"/>
  <c r="AJ37" i="5" s="1"/>
  <c r="R37" i="4"/>
  <c r="AH37" i="5" s="1"/>
  <c r="J37" i="4"/>
  <c r="R37" i="5" s="1"/>
  <c r="K37" i="4"/>
  <c r="T37" i="5" s="1"/>
  <c r="I37" i="4"/>
  <c r="P37" i="5" s="1"/>
  <c r="B37" i="4"/>
  <c r="A39" i="4" a="1"/>
  <c r="A39" i="4" s="1"/>
  <c r="V36" i="4"/>
  <c r="AM36" i="5" s="1"/>
  <c r="M36" i="4"/>
  <c r="X36" i="5" s="1"/>
  <c r="E36" i="4"/>
  <c r="H36" i="5" s="1"/>
  <c r="Q36" i="4"/>
  <c r="AF36" i="5" s="1"/>
  <c r="H36" i="4"/>
  <c r="N36" i="5" s="1"/>
  <c r="W36" i="4"/>
  <c r="AN36" i="5" s="1"/>
  <c r="L36" i="4"/>
  <c r="V36" i="5" s="1"/>
  <c r="C36" i="4"/>
  <c r="D36" i="5" s="1"/>
  <c r="K36" i="4"/>
  <c r="T36" i="5" s="1"/>
  <c r="B36" i="4"/>
  <c r="A38" i="4" a="1"/>
  <c r="A38" i="4" s="1"/>
  <c r="S36" i="4"/>
  <c r="AJ36" i="5" s="1"/>
  <c r="J36" i="4"/>
  <c r="R36" i="5" s="1"/>
  <c r="R36" i="4"/>
  <c r="AH36" i="5" s="1"/>
  <c r="I36" i="4"/>
  <c r="P36" i="5" s="1"/>
  <c r="P36" i="4"/>
  <c r="AD36" i="5" s="1"/>
  <c r="N36" i="4"/>
  <c r="Z36" i="5" s="1"/>
  <c r="O36" i="4"/>
  <c r="AB36" i="5" s="1"/>
  <c r="D36" i="4"/>
  <c r="F36" i="5" s="1"/>
  <c r="G36" i="4"/>
  <c r="L36" i="5" s="1"/>
  <c r="F36" i="4"/>
  <c r="J36" i="5" s="1"/>
  <c r="A39" i="5" a="1"/>
  <c r="A39" i="5" s="1"/>
  <c r="AL37" i="5"/>
  <c r="F11" i="9" a="1"/>
  <c r="M14" i="9" a="1"/>
  <c r="H14" i="9" a="1"/>
  <c r="C15" i="9" a="1"/>
  <c r="I20" i="9" a="1"/>
  <c r="H20" i="9" a="1"/>
  <c r="D13" i="9" a="1"/>
  <c r="D12" i="9" a="1"/>
  <c r="I14" i="9" a="1"/>
  <c r="F18" i="9" a="1"/>
  <c r="B3" i="9" a="1"/>
  <c r="B2" i="9" a="1"/>
  <c r="S16" i="2"/>
  <c r="B4" i="9" a="1"/>
  <c r="M15" i="2" a="1"/>
  <c r="B13" i="9" a="1"/>
  <c r="B6" i="9" a="1"/>
  <c r="B1" i="9" a="1"/>
  <c r="N15" i="2" a="1"/>
  <c r="B8" i="9" a="1"/>
  <c r="L15" i="2" a="1"/>
  <c r="O15" i="2" a="1"/>
  <c r="R16" i="2"/>
  <c r="J15" i="2" a="1"/>
  <c r="Q16" i="2"/>
  <c r="B11" i="9" a="1"/>
  <c r="B141" i="9" a="1"/>
  <c r="B9" i="9" a="1"/>
  <c r="B10" i="9" a="1"/>
  <c r="K15" i="2" a="1"/>
  <c r="B7" i="9" a="1"/>
  <c r="B12" i="9" a="1"/>
  <c r="B5" i="9" a="1"/>
  <c r="B71" i="9" a="1"/>
  <c r="U16" i="2"/>
  <c r="P16" i="2"/>
  <c r="B14" i="9" a="1"/>
  <c r="T16" i="2"/>
  <c r="B64" i="9" a="1"/>
  <c r="B63" i="9" a="1"/>
  <c r="B12" i="9" l="1"/>
  <c r="N12" i="9" s="1" a="1"/>
  <c r="N12" i="9" s="1"/>
  <c r="O12" i="9" s="1"/>
  <c r="B10" i="9"/>
  <c r="B8" i="9"/>
  <c r="B6" i="9"/>
  <c r="N6" i="9" s="1" a="1"/>
  <c r="N6" i="9" s="1"/>
  <c r="O6" i="9" s="1"/>
  <c r="B4" i="9"/>
  <c r="B2" i="9"/>
  <c r="N2" i="9" s="1" a="1"/>
  <c r="N2" i="9" s="1"/>
  <c r="O2" i="9" s="1"/>
  <c r="B3" i="9"/>
  <c r="N3" i="9" s="1" a="1"/>
  <c r="N3" i="9" s="1"/>
  <c r="O3" i="9" s="1"/>
  <c r="B5" i="9"/>
  <c r="B7" i="9"/>
  <c r="B9" i="9"/>
  <c r="N9" i="9" s="1" a="1"/>
  <c r="N9" i="9" s="1"/>
  <c r="O9" i="9" s="1"/>
  <c r="B11" i="9"/>
  <c r="B13" i="9"/>
  <c r="N13" i="9" s="1" a="1"/>
  <c r="N13" i="9" s="1"/>
  <c r="O13" i="9" s="1"/>
  <c r="H154" i="9" a="1"/>
  <c r="H154" i="9" s="1"/>
  <c r="E154" i="9" s="1"/>
  <c r="L153" i="9"/>
  <c r="C15" i="9"/>
  <c r="I15" i="9" s="1" a="1"/>
  <c r="H14" i="9"/>
  <c r="E14" i="9" s="1"/>
  <c r="M14" i="9"/>
  <c r="B14" i="9"/>
  <c r="F11" i="9"/>
  <c r="G11" i="9" s="1"/>
  <c r="Q14" i="9"/>
  <c r="P14" i="9" s="1"/>
  <c r="M154" i="9" a="1"/>
  <c r="M154" i="9" s="1"/>
  <c r="D154" i="9" a="1"/>
  <c r="D154" i="9" s="1"/>
  <c r="F154" i="9" s="1" a="1"/>
  <c r="F154" i="9" s="1"/>
  <c r="G154" i="9" s="1"/>
  <c r="J154" i="9"/>
  <c r="Q154" i="9"/>
  <c r="P154" i="9" s="1"/>
  <c r="Q84" i="9"/>
  <c r="P84" i="9" s="1"/>
  <c r="D84" i="9" a="1"/>
  <c r="D84" i="9" s="1"/>
  <c r="F84" i="9" s="1" a="1"/>
  <c r="F84" i="9" s="1"/>
  <c r="G84" i="9" s="1"/>
  <c r="M84" i="9" a="1"/>
  <c r="M84" i="9" s="1"/>
  <c r="K84" i="9"/>
  <c r="J84" i="9"/>
  <c r="I84" i="9" a="1"/>
  <c r="I84" i="9" s="1"/>
  <c r="H84" i="9" a="1"/>
  <c r="H84" i="9" s="1"/>
  <c r="H155" i="9" a="1"/>
  <c r="H155" i="9" s="1"/>
  <c r="E155" i="9" s="1"/>
  <c r="C85" i="9" a="1"/>
  <c r="C85" i="9" s="1"/>
  <c r="L83" i="9"/>
  <c r="B141" i="9"/>
  <c r="N141" i="9" s="1" a="1"/>
  <c r="N141" i="9" s="1"/>
  <c r="O141" i="9" s="1"/>
  <c r="H20" i="9"/>
  <c r="E20" i="9" s="1"/>
  <c r="I20" i="9"/>
  <c r="E19" i="9"/>
  <c r="B71" i="9"/>
  <c r="N71" i="9" s="1" a="1"/>
  <c r="N71" i="9" s="1"/>
  <c r="O71" i="9" s="1"/>
  <c r="F71" i="9" s="1" a="1"/>
  <c r="F71" i="9" s="1"/>
  <c r="G71" i="9" s="1"/>
  <c r="D12" i="9"/>
  <c r="D13" i="9"/>
  <c r="K11" i="9"/>
  <c r="L11" i="9"/>
  <c r="I14" i="9"/>
  <c r="V16" i="2"/>
  <c r="C156" i="9" s="1" a="1"/>
  <c r="C156" i="9" s="1"/>
  <c r="I156" i="9" s="1" a="1"/>
  <c r="I156" i="9" s="1"/>
  <c r="B1" i="9"/>
  <c r="N1" i="9" s="1" a="1"/>
  <c r="N1" i="9" s="1"/>
  <c r="O15" i="2"/>
  <c r="N15" i="2"/>
  <c r="M15" i="2"/>
  <c r="J15" i="2"/>
  <c r="K15" i="2"/>
  <c r="L15" i="2"/>
  <c r="B37" i="5"/>
  <c r="B63" i="9"/>
  <c r="N63" i="9" s="1" a="1"/>
  <c r="N63" i="9" s="1"/>
  <c r="O63" i="9" s="1"/>
  <c r="B64" i="9"/>
  <c r="N64" i="9" s="1" a="1"/>
  <c r="N64" i="9" s="1"/>
  <c r="O64" i="9" s="1"/>
  <c r="K65" i="9"/>
  <c r="Q65" i="9"/>
  <c r="P65" i="9" s="1"/>
  <c r="L65" i="9"/>
  <c r="F65" i="9" a="1"/>
  <c r="F65" i="9" s="1"/>
  <c r="G65" i="9" s="1"/>
  <c r="L18" i="9"/>
  <c r="F18" i="9"/>
  <c r="G18" i="9" s="1"/>
  <c r="B36" i="5"/>
  <c r="A22" i="9"/>
  <c r="Q19" i="9"/>
  <c r="P19" i="9" s="1"/>
  <c r="AL38" i="5"/>
  <c r="A40" i="5" a="1"/>
  <c r="A40" i="5" s="1"/>
  <c r="O38" i="4"/>
  <c r="AB38" i="5" s="1"/>
  <c r="G38" i="4"/>
  <c r="L38" i="5" s="1"/>
  <c r="Q38" i="4"/>
  <c r="AF38" i="5" s="1"/>
  <c r="H38" i="4"/>
  <c r="N38" i="5" s="1"/>
  <c r="V38" i="4"/>
  <c r="AM38" i="5" s="1"/>
  <c r="L38" i="4"/>
  <c r="V38" i="5" s="1"/>
  <c r="C38" i="4"/>
  <c r="D38" i="5" s="1"/>
  <c r="K38" i="4"/>
  <c r="T38" i="5" s="1"/>
  <c r="B38" i="4"/>
  <c r="S38" i="4"/>
  <c r="AJ38" i="5" s="1"/>
  <c r="J38" i="4"/>
  <c r="R38" i="5" s="1"/>
  <c r="R38" i="4"/>
  <c r="AH38" i="5" s="1"/>
  <c r="I38" i="4"/>
  <c r="P38" i="5" s="1"/>
  <c r="P38" i="4"/>
  <c r="AD38" i="5" s="1"/>
  <c r="D38" i="4"/>
  <c r="F38" i="5" s="1"/>
  <c r="N38" i="4"/>
  <c r="Z38" i="5" s="1"/>
  <c r="F38" i="4"/>
  <c r="J38" i="5" s="1"/>
  <c r="E38" i="4"/>
  <c r="H38" i="5" s="1"/>
  <c r="W38" i="4"/>
  <c r="AN38" i="5" s="1"/>
  <c r="M38" i="4"/>
  <c r="X38" i="5" s="1"/>
  <c r="P39" i="4"/>
  <c r="AD39" i="5" s="1"/>
  <c r="H39" i="4"/>
  <c r="N39" i="5" s="1"/>
  <c r="V39" i="4"/>
  <c r="AM39" i="5" s="1"/>
  <c r="L39" i="4"/>
  <c r="V39" i="5" s="1"/>
  <c r="C39" i="4"/>
  <c r="D39" i="5" s="1"/>
  <c r="Q39" i="4"/>
  <c r="AF39" i="5" s="1"/>
  <c r="G39" i="4"/>
  <c r="L39" i="5" s="1"/>
  <c r="O39" i="4"/>
  <c r="AB39" i="5" s="1"/>
  <c r="F39" i="4"/>
  <c r="J39" i="5" s="1"/>
  <c r="N39" i="4"/>
  <c r="Z39" i="5" s="1"/>
  <c r="E39" i="4"/>
  <c r="H39" i="5" s="1"/>
  <c r="W39" i="4"/>
  <c r="AN39" i="5" s="1"/>
  <c r="M39" i="4"/>
  <c r="X39" i="5" s="1"/>
  <c r="D39" i="4"/>
  <c r="F39" i="5" s="1"/>
  <c r="S39" i="4"/>
  <c r="AJ39" i="5" s="1"/>
  <c r="R39" i="4"/>
  <c r="AH39" i="5" s="1"/>
  <c r="J39" i="4"/>
  <c r="R39" i="5" s="1"/>
  <c r="K39" i="4"/>
  <c r="T39" i="5" s="1"/>
  <c r="I39" i="4"/>
  <c r="P39" i="5" s="1"/>
  <c r="B39" i="4"/>
  <c r="A41" i="5" a="1"/>
  <c r="A41" i="5" s="1"/>
  <c r="AL39" i="5"/>
  <c r="N7" i="9" a="1"/>
  <c r="N10" i="9" a="1"/>
  <c r="N8" i="9" a="1"/>
  <c r="N11" i="9" a="1"/>
  <c r="N4" i="9" a="1"/>
  <c r="N5" i="9" a="1"/>
  <c r="D14" i="9" a="1"/>
  <c r="N14" i="9" a="1"/>
  <c r="C16" i="9" a="1"/>
  <c r="F180" i="9" a="1"/>
  <c r="F175" i="9" a="1"/>
  <c r="F105" i="9" a="1"/>
  <c r="F110" i="9" a="1"/>
  <c r="I21" i="9" a="1"/>
  <c r="H21" i="9" a="1"/>
  <c r="D20" i="9" a="1"/>
  <c r="D19" i="9" a="1"/>
  <c r="F13" i="9" a="1"/>
  <c r="F12" i="9" a="1"/>
  <c r="B209" i="9" a="1"/>
  <c r="B193" i="9" a="1"/>
  <c r="B183" i="9" a="1"/>
  <c r="B150" i="9" a="1"/>
  <c r="B179" i="9" a="1"/>
  <c r="B161" i="9" a="1"/>
  <c r="B153" i="9" a="1"/>
  <c r="B176" i="9" a="1"/>
  <c r="B124" i="9" a="1"/>
  <c r="B134" i="9" a="1"/>
  <c r="B122" i="9" a="1"/>
  <c r="B137" i="9" a="1"/>
  <c r="B99" i="9" a="1"/>
  <c r="B89" i="9" a="1"/>
  <c r="B81" i="9" a="1"/>
  <c r="B74" i="9" a="1"/>
  <c r="R17" i="2"/>
  <c r="B52" i="9" a="1"/>
  <c r="B3" i="8" a="1"/>
  <c r="B121" i="9" a="1"/>
  <c r="B96" i="9" a="1"/>
  <c r="B101" i="9" a="1"/>
  <c r="B90" i="9" a="1"/>
  <c r="B84" i="9" a="1"/>
  <c r="J16" i="2" a="1"/>
  <c r="Q17" i="2"/>
  <c r="H1" i="8" a="1"/>
  <c r="B100" i="9" a="1"/>
  <c r="B83" i="9" a="1"/>
  <c r="O16" i="2" a="1"/>
  <c r="B19" i="9" a="1"/>
  <c r="B104" i="9" a="1"/>
  <c r="B85" i="9" a="1"/>
  <c r="B73" i="9" a="1"/>
  <c r="K16" i="2" a="1"/>
  <c r="M16" i="2" a="1"/>
  <c r="E1" i="8" a="1"/>
  <c r="B205" i="9" a="1"/>
  <c r="B189" i="9" a="1"/>
  <c r="B204" i="9" a="1"/>
  <c r="B184" i="9" a="1"/>
  <c r="B171" i="9" a="1"/>
  <c r="B164" i="9" a="1"/>
  <c r="B159" i="9" a="1"/>
  <c r="B158" i="9" a="1"/>
  <c r="B142" i="9" a="1"/>
  <c r="B130" i="9" a="1"/>
  <c r="B127" i="9" a="1"/>
  <c r="B118" i="9" a="1"/>
  <c r="B131" i="9" a="1"/>
  <c r="B103" i="9" a="1"/>
  <c r="B107" i="9" a="1"/>
  <c r="B108" i="9" a="1"/>
  <c r="B72" i="9" a="1"/>
  <c r="B78" i="9" a="1"/>
  <c r="L16" i="2" a="1"/>
  <c r="N16" i="2" a="1"/>
  <c r="H2" i="8" a="1"/>
  <c r="B106" i="9" a="1"/>
  <c r="B76" i="9" a="1"/>
  <c r="B79" i="9" a="1"/>
  <c r="T17" i="2"/>
  <c r="B62" i="9" a="1"/>
  <c r="F8" i="8" a="1"/>
  <c r="B97" i="9" a="1"/>
  <c r="B80" i="9" a="1"/>
  <c r="U17" i="2"/>
  <c r="B50" i="9" a="1"/>
  <c r="E7" i="8" a="1"/>
  <c r="B138" i="9" a="1"/>
  <c r="B117" i="9" a="1"/>
  <c r="B88" i="9" a="1"/>
  <c r="B105" i="9" a="1"/>
  <c r="B102" i="9" a="1"/>
  <c r="B77" i="9" a="1"/>
  <c r="S17" i="2"/>
  <c r="B65" i="9" a="1"/>
  <c r="F2" i="8" a="1"/>
  <c r="B203" i="9" a="1"/>
  <c r="B197" i="9" a="1"/>
  <c r="B190" i="9" a="1"/>
  <c r="B186" i="9" a="1"/>
  <c r="B155" i="9" a="1"/>
  <c r="B173" i="9" a="1"/>
  <c r="B175" i="9" a="1"/>
  <c r="B151" i="9" a="1"/>
  <c r="B174" i="9" a="1"/>
  <c r="B128" i="9" a="1"/>
  <c r="B112" i="9" a="1"/>
  <c r="B82" i="9" a="1"/>
  <c r="B18" i="9" a="1"/>
  <c r="B129" i="9" a="1"/>
  <c r="B92" i="9" a="1"/>
  <c r="B15" i="9" a="1"/>
  <c r="B198" i="9" a="1"/>
  <c r="B207" i="9" a="1"/>
  <c r="B192" i="9" a="1"/>
  <c r="B188" i="9" a="1"/>
  <c r="B143" i="9" a="1"/>
  <c r="B177" i="9" a="1"/>
  <c r="B168" i="9" a="1"/>
  <c r="B146" i="9" a="1"/>
  <c r="B178" i="9" a="1"/>
  <c r="B120" i="9" a="1"/>
  <c r="B111" i="9" a="1"/>
  <c r="B94" i="9" a="1"/>
  <c r="B75" i="9" a="1"/>
  <c r="P17" i="2"/>
  <c r="B95" i="9" a="1"/>
  <c r="B208" i="9" a="1"/>
  <c r="B201" i="9" a="1"/>
  <c r="B200" i="9" a="1"/>
  <c r="B187" i="9" a="1"/>
  <c r="B149" i="9" a="1"/>
  <c r="B147" i="9" a="1"/>
  <c r="B169" i="9" a="1"/>
  <c r="B144" i="9" a="1"/>
  <c r="B114" i="9" a="1"/>
  <c r="B113" i="9" a="1"/>
  <c r="B125" i="9" a="1"/>
  <c r="B109" i="9" a="1"/>
  <c r="B195" i="9" a="1"/>
  <c r="B206" i="9" a="1"/>
  <c r="B196" i="9" a="1"/>
  <c r="B181" i="9" a="1"/>
  <c r="B167" i="9" a="1"/>
  <c r="B163" i="9" a="1"/>
  <c r="B165" i="9" a="1"/>
  <c r="B180" i="9" a="1"/>
  <c r="B133" i="9" a="1"/>
  <c r="B136" i="9" a="1"/>
  <c r="B132" i="9" a="1"/>
  <c r="B126" i="9" a="1"/>
  <c r="B110" i="9" a="1"/>
  <c r="B93" i="9" a="1"/>
  <c r="B199" i="9" a="1"/>
  <c r="B202" i="9" a="1"/>
  <c r="B210" i="9" a="1"/>
  <c r="B182" i="9" a="1"/>
  <c r="B152" i="9" a="1"/>
  <c r="B172" i="9" a="1"/>
  <c r="B166" i="9" a="1"/>
  <c r="B160" i="9" a="1"/>
  <c r="B135" i="9" a="1"/>
  <c r="B115" i="9" a="1"/>
  <c r="B123" i="9" a="1"/>
  <c r="B116" i="9" a="1"/>
  <c r="B91" i="9" a="1"/>
  <c r="B98" i="9" a="1"/>
  <c r="B194" i="9" a="1"/>
  <c r="B191" i="9" a="1"/>
  <c r="B185" i="9" a="1"/>
  <c r="B145" i="9" a="1"/>
  <c r="B162" i="9" a="1"/>
  <c r="B148" i="9" a="1"/>
  <c r="B154" i="9" a="1"/>
  <c r="B170" i="9" a="1"/>
  <c r="B140" i="9" a="1"/>
  <c r="B119" i="9" a="1"/>
  <c r="B139" i="9" a="1"/>
  <c r="H15" i="9" l="1" a="1"/>
  <c r="H15" i="9" s="1"/>
  <c r="E15" i="9" s="1"/>
  <c r="M15" i="9" a="1"/>
  <c r="M15" i="9" s="1"/>
  <c r="N5" i="9"/>
  <c r="O5" i="9" s="1"/>
  <c r="N4" i="9"/>
  <c r="O4" i="9" s="1"/>
  <c r="N11" i="9"/>
  <c r="O11" i="9" s="1"/>
  <c r="N8" i="9"/>
  <c r="O8" i="9" s="1"/>
  <c r="N10" i="9"/>
  <c r="O10" i="9" s="1"/>
  <c r="N7" i="9"/>
  <c r="O7" i="9" s="1"/>
  <c r="L154" i="9"/>
  <c r="C16" i="9"/>
  <c r="N14" i="9"/>
  <c r="O14" i="9" s="1"/>
  <c r="D14" i="9"/>
  <c r="B15" i="9"/>
  <c r="Q15" i="9"/>
  <c r="P15" i="9" s="1"/>
  <c r="Q155" i="9"/>
  <c r="P155" i="9" s="1"/>
  <c r="M155" i="9" a="1"/>
  <c r="M155" i="9" s="1"/>
  <c r="D155" i="9" a="1"/>
  <c r="D155" i="9" s="1"/>
  <c r="F155" i="9" s="1" a="1"/>
  <c r="F155" i="9" s="1"/>
  <c r="G155" i="9" s="1"/>
  <c r="L84" i="9"/>
  <c r="E84" i="9"/>
  <c r="K155" i="9"/>
  <c r="J155" i="9"/>
  <c r="L155" i="9" s="1"/>
  <c r="J156" i="9"/>
  <c r="C86" i="9" a="1"/>
  <c r="C86" i="9" s="1"/>
  <c r="H85" i="9" a="1"/>
  <c r="H85" i="9" s="1"/>
  <c r="E85" i="9" s="1"/>
  <c r="J85" i="9"/>
  <c r="Q85" i="9"/>
  <c r="P85" i="9" s="1"/>
  <c r="M85" i="9" a="1"/>
  <c r="M85" i="9" s="1"/>
  <c r="K85" i="9"/>
  <c r="D85" i="9" a="1"/>
  <c r="D85" i="9" s="1"/>
  <c r="F85" i="9" s="1" a="1"/>
  <c r="F85" i="9" s="1"/>
  <c r="G85" i="9" s="1"/>
  <c r="I85" i="9" a="1"/>
  <c r="I85" i="9" s="1"/>
  <c r="F180" i="9"/>
  <c r="G180" i="9" s="1"/>
  <c r="B210" i="9"/>
  <c r="N210" i="9" s="1" a="1"/>
  <c r="N210" i="9" s="1"/>
  <c r="O210" i="9" s="1"/>
  <c r="B196" i="9"/>
  <c r="N196" i="9" s="1" a="1"/>
  <c r="N196" i="9" s="1"/>
  <c r="O196" i="9" s="1"/>
  <c r="B204" i="9"/>
  <c r="N204" i="9" s="1" a="1"/>
  <c r="N204" i="9" s="1"/>
  <c r="O204" i="9" s="1"/>
  <c r="B200" i="9"/>
  <c r="N200" i="9" s="1" a="1"/>
  <c r="N200" i="9" s="1"/>
  <c r="O200" i="9" s="1"/>
  <c r="B192" i="9"/>
  <c r="N192" i="9" s="1" a="1"/>
  <c r="N192" i="9" s="1"/>
  <c r="O192" i="9" s="1"/>
  <c r="B190" i="9"/>
  <c r="N190" i="9" s="1" a="1"/>
  <c r="N190" i="9" s="1"/>
  <c r="O190" i="9" s="1"/>
  <c r="B193" i="9"/>
  <c r="N193" i="9" s="1" a="1"/>
  <c r="N193" i="9" s="1"/>
  <c r="O193" i="9" s="1"/>
  <c r="B191" i="9"/>
  <c r="N191" i="9" s="1" a="1"/>
  <c r="N191" i="9" s="1"/>
  <c r="O191" i="9" s="1"/>
  <c r="B202" i="9"/>
  <c r="N202" i="9" s="1" a="1"/>
  <c r="N202" i="9" s="1"/>
  <c r="O202" i="9" s="1"/>
  <c r="B206" i="9"/>
  <c r="N206" i="9" s="1" a="1"/>
  <c r="N206" i="9" s="1"/>
  <c r="O206" i="9" s="1"/>
  <c r="B189" i="9"/>
  <c r="N189" i="9" s="1" a="1"/>
  <c r="N189" i="9" s="1"/>
  <c r="O189" i="9" s="1"/>
  <c r="B201" i="9"/>
  <c r="N201" i="9" s="1" a="1"/>
  <c r="N201" i="9" s="1"/>
  <c r="O201" i="9" s="1"/>
  <c r="B207" i="9"/>
  <c r="N207" i="9" s="1" a="1"/>
  <c r="N207" i="9" s="1"/>
  <c r="O207" i="9" s="1"/>
  <c r="B197" i="9"/>
  <c r="N197" i="9" s="1" a="1"/>
  <c r="N197" i="9" s="1"/>
  <c r="O197" i="9" s="1"/>
  <c r="B209" i="9"/>
  <c r="N209" i="9" s="1" a="1"/>
  <c r="N209" i="9" s="1"/>
  <c r="O209" i="9" s="1"/>
  <c r="B194" i="9"/>
  <c r="N194" i="9" s="1" a="1"/>
  <c r="N194" i="9" s="1"/>
  <c r="O194" i="9" s="1"/>
  <c r="B199" i="9"/>
  <c r="N199" i="9" s="1" a="1"/>
  <c r="N199" i="9" s="1"/>
  <c r="O199" i="9" s="1"/>
  <c r="B195" i="9"/>
  <c r="N195" i="9" s="1" a="1"/>
  <c r="N195" i="9" s="1"/>
  <c r="O195" i="9" s="1"/>
  <c r="B205" i="9"/>
  <c r="N205" i="9" s="1" a="1"/>
  <c r="N205" i="9" s="1"/>
  <c r="O205" i="9" s="1"/>
  <c r="B208" i="9"/>
  <c r="N208" i="9" s="1" a="1"/>
  <c r="N208" i="9" s="1"/>
  <c r="O208" i="9" s="1"/>
  <c r="B198" i="9"/>
  <c r="N198" i="9" s="1" a="1"/>
  <c r="N198" i="9" s="1"/>
  <c r="O198" i="9" s="1"/>
  <c r="B203" i="9"/>
  <c r="N203" i="9" s="1" a="1"/>
  <c r="N203" i="9" s="1"/>
  <c r="O203" i="9" s="1"/>
  <c r="B184" i="9"/>
  <c r="N184" i="9" s="1" a="1"/>
  <c r="N184" i="9" s="1"/>
  <c r="O184" i="9" s="1"/>
  <c r="B187" i="9"/>
  <c r="N187" i="9" s="1" a="1"/>
  <c r="N187" i="9" s="1"/>
  <c r="O187" i="9" s="1"/>
  <c r="B188" i="9"/>
  <c r="N188" i="9" s="1" a="1"/>
  <c r="N188" i="9" s="1"/>
  <c r="O188" i="9" s="1"/>
  <c r="B186" i="9"/>
  <c r="N186" i="9" s="1" a="1"/>
  <c r="N186" i="9" s="1"/>
  <c r="O186" i="9" s="1"/>
  <c r="B183" i="9"/>
  <c r="N183" i="9" s="1" a="1"/>
  <c r="N183" i="9" s="1"/>
  <c r="O183" i="9" s="1"/>
  <c r="B185" i="9"/>
  <c r="N185" i="9" s="1" a="1"/>
  <c r="N185" i="9" s="1"/>
  <c r="O185" i="9" s="1"/>
  <c r="B182" i="9"/>
  <c r="N182" i="9" s="1" a="1"/>
  <c r="N182" i="9" s="1"/>
  <c r="O182" i="9" s="1"/>
  <c r="B181" i="9"/>
  <c r="N181" i="9" s="1" a="1"/>
  <c r="N181" i="9" s="1"/>
  <c r="O181" i="9" s="1"/>
  <c r="B144" i="9"/>
  <c r="N144" i="9" s="1" a="1"/>
  <c r="N144" i="9" s="1"/>
  <c r="O144" i="9" s="1"/>
  <c r="B178" i="9"/>
  <c r="N178" i="9" s="1" a="1"/>
  <c r="N178" i="9" s="1"/>
  <c r="O178" i="9" s="1"/>
  <c r="B174" i="9"/>
  <c r="N174" i="9" s="1" a="1"/>
  <c r="N174" i="9" s="1"/>
  <c r="O174" i="9" s="1"/>
  <c r="B176" i="9"/>
  <c r="N176" i="9" s="1" a="1"/>
  <c r="N176" i="9" s="1"/>
  <c r="O176" i="9" s="1"/>
  <c r="B170" i="9"/>
  <c r="N170" i="9" s="1" a="1"/>
  <c r="N170" i="9" s="1"/>
  <c r="O170" i="9" s="1"/>
  <c r="B160" i="9"/>
  <c r="N160" i="9" s="1" a="1"/>
  <c r="N160" i="9" s="1"/>
  <c r="O160" i="9" s="1"/>
  <c r="B180" i="9"/>
  <c r="N180" i="9" s="1" a="1"/>
  <c r="N180" i="9" s="1"/>
  <c r="B158" i="9"/>
  <c r="N158" i="9" s="1" a="1"/>
  <c r="N158" i="9" s="1"/>
  <c r="O158" i="9" s="1"/>
  <c r="B169" i="9"/>
  <c r="N169" i="9" s="1" a="1"/>
  <c r="N169" i="9" s="1"/>
  <c r="O169" i="9" s="1"/>
  <c r="B146" i="9"/>
  <c r="N146" i="9" s="1" a="1"/>
  <c r="N146" i="9" s="1"/>
  <c r="O146" i="9" s="1"/>
  <c r="B151" i="9"/>
  <c r="N151" i="9" s="1" a="1"/>
  <c r="N151" i="9" s="1"/>
  <c r="O151" i="9" s="1"/>
  <c r="B153" i="9"/>
  <c r="N153" i="9" s="1" a="1"/>
  <c r="N153" i="9" s="1"/>
  <c r="O153" i="9" s="1"/>
  <c r="B154" i="9"/>
  <c r="N154" i="9" s="1" a="1"/>
  <c r="N154" i="9" s="1"/>
  <c r="O154" i="9" s="1"/>
  <c r="B166" i="9"/>
  <c r="N166" i="9" s="1" a="1"/>
  <c r="N166" i="9" s="1"/>
  <c r="O166" i="9" s="1"/>
  <c r="B165" i="9"/>
  <c r="N165" i="9" s="1" a="1"/>
  <c r="N165" i="9" s="1"/>
  <c r="O165" i="9" s="1"/>
  <c r="B159" i="9"/>
  <c r="N159" i="9" s="1" a="1"/>
  <c r="N159" i="9" s="1"/>
  <c r="O159" i="9" s="1"/>
  <c r="B147" i="9"/>
  <c r="N147" i="9" s="1" a="1"/>
  <c r="N147" i="9" s="1"/>
  <c r="O147" i="9" s="1"/>
  <c r="B168" i="9"/>
  <c r="N168" i="9" s="1" a="1"/>
  <c r="N168" i="9" s="1"/>
  <c r="O168" i="9" s="1"/>
  <c r="B175" i="9"/>
  <c r="N175" i="9" s="1" a="1"/>
  <c r="N175" i="9" s="1"/>
  <c r="B161" i="9"/>
  <c r="N161" i="9" s="1" a="1"/>
  <c r="N161" i="9" s="1"/>
  <c r="O161" i="9" s="1"/>
  <c r="B148" i="9"/>
  <c r="N148" i="9" s="1" a="1"/>
  <c r="N148" i="9" s="1"/>
  <c r="O148" i="9" s="1"/>
  <c r="B172" i="9"/>
  <c r="N172" i="9" s="1" a="1"/>
  <c r="N172" i="9" s="1"/>
  <c r="O172" i="9" s="1"/>
  <c r="B163" i="9"/>
  <c r="N163" i="9" s="1" a="1"/>
  <c r="N163" i="9" s="1"/>
  <c r="O163" i="9" s="1"/>
  <c r="B164" i="9"/>
  <c r="N164" i="9" s="1" a="1"/>
  <c r="N164" i="9" s="1"/>
  <c r="O164" i="9" s="1"/>
  <c r="B149" i="9"/>
  <c r="N149" i="9" s="1" a="1"/>
  <c r="N149" i="9" s="1"/>
  <c r="O149" i="9" s="1"/>
  <c r="B177" i="9"/>
  <c r="N177" i="9" s="1" a="1"/>
  <c r="N177" i="9" s="1"/>
  <c r="O177" i="9" s="1"/>
  <c r="B173" i="9"/>
  <c r="N173" i="9" s="1" a="1"/>
  <c r="N173" i="9" s="1"/>
  <c r="O173" i="9" s="1"/>
  <c r="B179" i="9"/>
  <c r="N179" i="9" s="1" a="1"/>
  <c r="N179" i="9" s="1"/>
  <c r="O179" i="9" s="1"/>
  <c r="B162" i="9"/>
  <c r="N162" i="9" s="1" a="1"/>
  <c r="N162" i="9" s="1"/>
  <c r="O162" i="9" s="1"/>
  <c r="B152" i="9"/>
  <c r="N152" i="9" s="1" a="1"/>
  <c r="N152" i="9" s="1"/>
  <c r="O152" i="9" s="1"/>
  <c r="B167" i="9"/>
  <c r="N167" i="9" s="1" a="1"/>
  <c r="N167" i="9" s="1"/>
  <c r="O167" i="9" s="1"/>
  <c r="B171" i="9"/>
  <c r="N171" i="9" s="1" a="1"/>
  <c r="N171" i="9" s="1"/>
  <c r="O171" i="9" s="1"/>
  <c r="F175" i="9"/>
  <c r="G175" i="9" s="1"/>
  <c r="B143" i="9"/>
  <c r="N143" i="9" s="1" a="1"/>
  <c r="N143" i="9" s="1"/>
  <c r="O143" i="9" s="1"/>
  <c r="B155" i="9"/>
  <c r="N155" i="9" s="1" a="1"/>
  <c r="N155" i="9" s="1"/>
  <c r="O155" i="9" s="1"/>
  <c r="B150" i="9"/>
  <c r="N150" i="9" s="1" a="1"/>
  <c r="N150" i="9" s="1"/>
  <c r="O150" i="9" s="1"/>
  <c r="B145" i="9"/>
  <c r="N145" i="9" s="1" a="1"/>
  <c r="N145" i="9" s="1"/>
  <c r="O145" i="9" s="1"/>
  <c r="B142" i="9"/>
  <c r="N142" i="9" s="1" a="1"/>
  <c r="N142" i="9" s="1"/>
  <c r="O142" i="9" s="1"/>
  <c r="F110" i="9"/>
  <c r="G110" i="9" s="1"/>
  <c r="F105" i="9"/>
  <c r="G105" i="9" s="1"/>
  <c r="B140" i="9"/>
  <c r="N140" i="9" s="1" a="1"/>
  <c r="N140" i="9" s="1"/>
  <c r="O140" i="9" s="1"/>
  <c r="D19" i="9"/>
  <c r="J19" i="9" s="1"/>
  <c r="L19" i="9" s="1"/>
  <c r="D20" i="9"/>
  <c r="J20" i="9" s="1"/>
  <c r="L20" i="9" s="1"/>
  <c r="H21" i="9"/>
  <c r="E21" i="9" s="1"/>
  <c r="I21" i="9"/>
  <c r="B137" i="9"/>
  <c r="N137" i="9" s="1" a="1"/>
  <c r="N137" i="9" s="1"/>
  <c r="O137" i="9" s="1"/>
  <c r="B117" i="9"/>
  <c r="N117" i="9" s="1" a="1"/>
  <c r="N117" i="9" s="1"/>
  <c r="O117" i="9" s="1"/>
  <c r="B116" i="9"/>
  <c r="N116" i="9" s="1" a="1"/>
  <c r="N116" i="9" s="1"/>
  <c r="O116" i="9" s="1"/>
  <c r="B126" i="9"/>
  <c r="N126" i="9" s="1" a="1"/>
  <c r="N126" i="9" s="1"/>
  <c r="O126" i="9" s="1"/>
  <c r="B131" i="9"/>
  <c r="N131" i="9" s="1" a="1"/>
  <c r="N131" i="9" s="1"/>
  <c r="O131" i="9" s="1"/>
  <c r="B125" i="9"/>
  <c r="N125" i="9" s="1" a="1"/>
  <c r="N125" i="9" s="1"/>
  <c r="O125" i="9" s="1"/>
  <c r="B129" i="9"/>
  <c r="N129" i="9" s="1" a="1"/>
  <c r="N129" i="9" s="1"/>
  <c r="O129" i="9" s="1"/>
  <c r="B112" i="9"/>
  <c r="N112" i="9" s="1" a="1"/>
  <c r="N112" i="9" s="1"/>
  <c r="O112" i="9" s="1"/>
  <c r="B122" i="9"/>
  <c r="N122" i="9" s="1" a="1"/>
  <c r="N122" i="9" s="1"/>
  <c r="O122" i="9" s="1"/>
  <c r="B138" i="9"/>
  <c r="N138" i="9" s="1" a="1"/>
  <c r="N138" i="9" s="1"/>
  <c r="O138" i="9" s="1"/>
  <c r="B123" i="9"/>
  <c r="N123" i="9" s="1" a="1"/>
  <c r="N123" i="9" s="1"/>
  <c r="O123" i="9" s="1"/>
  <c r="B132" i="9"/>
  <c r="N132" i="9" s="1" a="1"/>
  <c r="N132" i="9" s="1"/>
  <c r="O132" i="9" s="1"/>
  <c r="B118" i="9"/>
  <c r="N118" i="9" s="1" a="1"/>
  <c r="N118" i="9" s="1"/>
  <c r="O118" i="9" s="1"/>
  <c r="B113" i="9"/>
  <c r="N113" i="9" s="1" a="1"/>
  <c r="N113" i="9" s="1"/>
  <c r="O113" i="9" s="1"/>
  <c r="B111" i="9"/>
  <c r="N111" i="9" s="1" a="1"/>
  <c r="N111" i="9" s="1"/>
  <c r="O111" i="9" s="1"/>
  <c r="B121" i="9"/>
  <c r="N121" i="9" s="1" a="1"/>
  <c r="N121" i="9" s="1"/>
  <c r="O121" i="9" s="1"/>
  <c r="B134" i="9"/>
  <c r="N134" i="9" s="1" a="1"/>
  <c r="N134" i="9" s="1"/>
  <c r="O134" i="9" s="1"/>
  <c r="B139" i="9"/>
  <c r="N139" i="9" s="1" a="1"/>
  <c r="N139" i="9" s="1"/>
  <c r="O139" i="9" s="1"/>
  <c r="B115" i="9"/>
  <c r="N115" i="9" s="1" a="1"/>
  <c r="N115" i="9" s="1"/>
  <c r="O115" i="9" s="1"/>
  <c r="B136" i="9"/>
  <c r="N136" i="9" s="1" a="1"/>
  <c r="N136" i="9" s="1"/>
  <c r="O136" i="9" s="1"/>
  <c r="B127" i="9"/>
  <c r="N127" i="9" s="1" a="1"/>
  <c r="N127" i="9" s="1"/>
  <c r="O127" i="9" s="1"/>
  <c r="B114" i="9"/>
  <c r="N114" i="9" s="1" a="1"/>
  <c r="N114" i="9" s="1"/>
  <c r="O114" i="9" s="1"/>
  <c r="B120" i="9"/>
  <c r="N120" i="9" s="1" a="1"/>
  <c r="N120" i="9" s="1"/>
  <c r="O120" i="9" s="1"/>
  <c r="B128" i="9"/>
  <c r="N128" i="9" s="1" a="1"/>
  <c r="N128" i="9" s="1"/>
  <c r="O128" i="9" s="1"/>
  <c r="B124" i="9"/>
  <c r="N124" i="9" s="1" a="1"/>
  <c r="N124" i="9" s="1"/>
  <c r="O124" i="9" s="1"/>
  <c r="B119" i="9"/>
  <c r="N119" i="9" s="1" a="1"/>
  <c r="N119" i="9" s="1"/>
  <c r="O119" i="9" s="1"/>
  <c r="B135" i="9"/>
  <c r="N135" i="9" s="1" a="1"/>
  <c r="N135" i="9" s="1"/>
  <c r="O135" i="9" s="1"/>
  <c r="B133" i="9"/>
  <c r="N133" i="9" s="1" a="1"/>
  <c r="N133" i="9" s="1"/>
  <c r="O133" i="9" s="1"/>
  <c r="B130" i="9"/>
  <c r="N130" i="9" s="1" a="1"/>
  <c r="N130" i="9" s="1"/>
  <c r="O130" i="9" s="1"/>
  <c r="B102" i="9"/>
  <c r="N102" i="9" s="1" a="1"/>
  <c r="N102" i="9" s="1"/>
  <c r="O102" i="9" s="1"/>
  <c r="B97" i="9"/>
  <c r="N97" i="9" s="1" a="1"/>
  <c r="N97" i="9" s="1"/>
  <c r="O97" i="9" s="1"/>
  <c r="B106" i="9"/>
  <c r="N106" i="9" s="1" a="1"/>
  <c r="N106" i="9" s="1"/>
  <c r="O106" i="9" s="1"/>
  <c r="B108" i="9"/>
  <c r="N108" i="9" s="1" a="1"/>
  <c r="N108" i="9" s="1"/>
  <c r="O108" i="9" s="1"/>
  <c r="B95" i="9"/>
  <c r="N95" i="9" s="1" a="1"/>
  <c r="N95" i="9" s="1"/>
  <c r="O95" i="9" s="1"/>
  <c r="B100" i="9"/>
  <c r="N100" i="9" s="1" a="1"/>
  <c r="N100" i="9" s="1"/>
  <c r="O100" i="9" s="1"/>
  <c r="B90" i="9"/>
  <c r="N90" i="9" s="1" a="1"/>
  <c r="N90" i="9" s="1"/>
  <c r="O90" i="9" s="1"/>
  <c r="B89" i="9"/>
  <c r="N89" i="9" s="1" a="1"/>
  <c r="N89" i="9" s="1"/>
  <c r="O89" i="9" s="1"/>
  <c r="B105" i="9"/>
  <c r="N105" i="9" s="1" a="1"/>
  <c r="N105" i="9" s="1"/>
  <c r="B98" i="9"/>
  <c r="N98" i="9" s="1" a="1"/>
  <c r="N98" i="9" s="1"/>
  <c r="O98" i="9" s="1"/>
  <c r="B93" i="9"/>
  <c r="N93" i="9" s="1" a="1"/>
  <c r="N93" i="9" s="1"/>
  <c r="O93" i="9" s="1"/>
  <c r="B107" i="9"/>
  <c r="N107" i="9" s="1" a="1"/>
  <c r="N107" i="9" s="1"/>
  <c r="O107" i="9" s="1"/>
  <c r="B104" i="9"/>
  <c r="N104" i="9" s="1" a="1"/>
  <c r="N104" i="9" s="1"/>
  <c r="O104" i="9" s="1"/>
  <c r="B92" i="9"/>
  <c r="N92" i="9" s="1" a="1"/>
  <c r="N92" i="9" s="1"/>
  <c r="O92" i="9" s="1"/>
  <c r="B101" i="9"/>
  <c r="N101" i="9" s="1" a="1"/>
  <c r="N101" i="9" s="1"/>
  <c r="O101" i="9" s="1"/>
  <c r="B99" i="9"/>
  <c r="N99" i="9" s="1" a="1"/>
  <c r="N99" i="9" s="1"/>
  <c r="O99" i="9" s="1"/>
  <c r="B88" i="9"/>
  <c r="N88" i="9" s="1" a="1"/>
  <c r="N88" i="9" s="1"/>
  <c r="O88" i="9" s="1"/>
  <c r="B91" i="9"/>
  <c r="N91" i="9" s="1" a="1"/>
  <c r="N91" i="9" s="1"/>
  <c r="O91" i="9" s="1"/>
  <c r="B110" i="9"/>
  <c r="N110" i="9" s="1" a="1"/>
  <c r="N110" i="9" s="1"/>
  <c r="B103" i="9"/>
  <c r="N103" i="9" s="1" a="1"/>
  <c r="N103" i="9" s="1"/>
  <c r="O103" i="9" s="1"/>
  <c r="B109" i="9"/>
  <c r="N109" i="9" s="1" a="1"/>
  <c r="N109" i="9" s="1"/>
  <c r="O109" i="9" s="1"/>
  <c r="B94" i="9"/>
  <c r="N94" i="9" s="1" a="1"/>
  <c r="N94" i="9" s="1"/>
  <c r="O94" i="9" s="1"/>
  <c r="B96" i="9"/>
  <c r="N96" i="9" s="1" a="1"/>
  <c r="N96" i="9" s="1"/>
  <c r="O96" i="9" s="1"/>
  <c r="B79" i="9"/>
  <c r="N79" i="9" s="1" a="1"/>
  <c r="N79" i="9" s="1"/>
  <c r="O79" i="9" s="1"/>
  <c r="B78" i="9"/>
  <c r="N78" i="9" s="1" a="1"/>
  <c r="N78" i="9" s="1"/>
  <c r="O78" i="9" s="1"/>
  <c r="B73" i="9"/>
  <c r="N73" i="9" s="1" a="1"/>
  <c r="N73" i="9" s="1"/>
  <c r="O73" i="9" s="1"/>
  <c r="B83" i="9"/>
  <c r="N83" i="9" s="1" a="1"/>
  <c r="N83" i="9" s="1"/>
  <c r="O83" i="9" s="1"/>
  <c r="B84" i="9"/>
  <c r="N84" i="9" s="1" a="1"/>
  <c r="N84" i="9" s="1"/>
  <c r="O84" i="9" s="1"/>
  <c r="B74" i="9"/>
  <c r="N74" i="9" s="1" a="1"/>
  <c r="N74" i="9" s="1"/>
  <c r="O74" i="9" s="1"/>
  <c r="B77" i="9"/>
  <c r="N77" i="9" s="1" a="1"/>
  <c r="N77" i="9" s="1"/>
  <c r="O77" i="9" s="1"/>
  <c r="B80" i="9"/>
  <c r="N80" i="9" s="1" a="1"/>
  <c r="N80" i="9" s="1"/>
  <c r="O80" i="9" s="1"/>
  <c r="B76" i="9"/>
  <c r="N76" i="9" s="1" a="1"/>
  <c r="N76" i="9" s="1"/>
  <c r="O76" i="9" s="1"/>
  <c r="B72" i="9"/>
  <c r="N72" i="9" s="1" a="1"/>
  <c r="N72" i="9" s="1"/>
  <c r="O72" i="9" s="1"/>
  <c r="B85" i="9"/>
  <c r="N85" i="9" s="1" a="1"/>
  <c r="N85" i="9" s="1"/>
  <c r="B75" i="9"/>
  <c r="N75" i="9" s="1" a="1"/>
  <c r="N75" i="9" s="1"/>
  <c r="O75" i="9" s="1"/>
  <c r="B82" i="9"/>
  <c r="N82" i="9" s="1" a="1"/>
  <c r="N82" i="9" s="1"/>
  <c r="O82" i="9" s="1"/>
  <c r="B81" i="9"/>
  <c r="N81" i="9" s="1" a="1"/>
  <c r="N81" i="9" s="1"/>
  <c r="O81" i="9" s="1"/>
  <c r="F13" i="9"/>
  <c r="G13" i="9" s="1"/>
  <c r="J13" i="9"/>
  <c r="L13" i="9" s="1"/>
  <c r="F12" i="9"/>
  <c r="G12" i="9" s="1"/>
  <c r="J12" i="9"/>
  <c r="I15" i="9"/>
  <c r="V17" i="2"/>
  <c r="C157" i="9" s="1" a="1"/>
  <c r="C157" i="9" s="1"/>
  <c r="I157" i="9" s="1" a="1"/>
  <c r="I157" i="9" s="1"/>
  <c r="O1" i="9"/>
  <c r="N16" i="2"/>
  <c r="M16" i="2"/>
  <c r="L16" i="2"/>
  <c r="K16" i="2"/>
  <c r="O16" i="2"/>
  <c r="J16" i="2"/>
  <c r="B39" i="5"/>
  <c r="B52" i="9"/>
  <c r="N52" i="9" s="1" a="1"/>
  <c r="N52" i="9" s="1"/>
  <c r="B65" i="9"/>
  <c r="N65" i="9" s="1" a="1"/>
  <c r="N65" i="9" s="1"/>
  <c r="O65" i="9" s="1"/>
  <c r="B50" i="9"/>
  <c r="N50" i="9" s="1" a="1"/>
  <c r="N50" i="9" s="1"/>
  <c r="B62" i="9"/>
  <c r="N62" i="9" s="1" a="1"/>
  <c r="N62" i="9" s="1"/>
  <c r="O62" i="9" s="1"/>
  <c r="K66" i="9"/>
  <c r="Q66" i="9"/>
  <c r="P66" i="9" s="1"/>
  <c r="L66" i="9"/>
  <c r="F66" i="9" a="1"/>
  <c r="F66" i="9" s="1"/>
  <c r="G66" i="9" s="1"/>
  <c r="B19" i="9"/>
  <c r="N19" i="9" s="1" a="1"/>
  <c r="N19" i="9" s="1"/>
  <c r="B18" i="9"/>
  <c r="B38" i="5"/>
  <c r="A23" i="9"/>
  <c r="Q20" i="9"/>
  <c r="P20" i="9" s="1"/>
  <c r="H1" i="8"/>
  <c r="B3" i="8"/>
  <c r="F2" i="8"/>
  <c r="I256" i="9" s="1"/>
  <c r="E7" i="8"/>
  <c r="F8" i="8"/>
  <c r="H2" i="8"/>
  <c r="E1" i="8"/>
  <c r="Z40" i="5"/>
  <c r="J40" i="5"/>
  <c r="AF40" i="5"/>
  <c r="P40" i="5"/>
  <c r="AD40" i="5"/>
  <c r="H40" i="5"/>
  <c r="A42" i="5" a="1"/>
  <c r="A42" i="5" s="1"/>
  <c r="AB40" i="5"/>
  <c r="F40" i="5"/>
  <c r="X40" i="5"/>
  <c r="D40" i="5"/>
  <c r="V40" i="5"/>
  <c r="B40" i="5"/>
  <c r="T40" i="5"/>
  <c r="AL40" i="5"/>
  <c r="R40" i="5"/>
  <c r="AJ40" i="5"/>
  <c r="N40" i="5"/>
  <c r="AH40" i="5"/>
  <c r="L40" i="5"/>
  <c r="A43" i="5" a="1"/>
  <c r="A43" i="5" s="1"/>
  <c r="AB41" i="5"/>
  <c r="L41" i="5"/>
  <c r="AH41" i="5"/>
  <c r="R41" i="5"/>
  <c r="B41" i="5"/>
  <c r="Z41" i="5"/>
  <c r="F41" i="5"/>
  <c r="X41" i="5"/>
  <c r="D41" i="5"/>
  <c r="V41" i="5"/>
  <c r="T41" i="5"/>
  <c r="AL41" i="5"/>
  <c r="P41" i="5"/>
  <c r="AJ41" i="5"/>
  <c r="N41" i="5"/>
  <c r="AF41" i="5"/>
  <c r="J41" i="5"/>
  <c r="AD41" i="5"/>
  <c r="H41" i="5"/>
  <c r="M16" i="9" a="1"/>
  <c r="H16" i="9" a="1"/>
  <c r="F14" i="9" a="1"/>
  <c r="D15" i="9" a="1"/>
  <c r="N15" i="9" a="1"/>
  <c r="C17" i="9" a="1"/>
  <c r="I22" i="9" a="1"/>
  <c r="H22" i="9" a="1"/>
  <c r="D21" i="9" a="1"/>
  <c r="I16" i="9" a="1"/>
  <c r="J17" i="2" a="1"/>
  <c r="B20" i="9" a="1"/>
  <c r="L17" i="2" a="1"/>
  <c r="K17" i="2" a="1"/>
  <c r="B156" i="9" a="1"/>
  <c r="B16" i="9" a="1"/>
  <c r="M17" i="2" a="1"/>
  <c r="O17" i="2" a="1"/>
  <c r="N17" i="2" a="1"/>
  <c r="B66" i="9" a="1"/>
  <c r="B86" i="9" a="1"/>
  <c r="F20" i="9" l="1" a="1"/>
  <c r="F20" i="9" s="1"/>
  <c r="G20" i="9" s="1"/>
  <c r="O85" i="9"/>
  <c r="C17" i="9"/>
  <c r="I17" i="9" s="1" a="1"/>
  <c r="N15" i="9"/>
  <c r="O15" i="9" s="1"/>
  <c r="D15" i="9"/>
  <c r="F14" i="9"/>
  <c r="G14" i="9" s="1"/>
  <c r="H16" i="9"/>
  <c r="M16" i="9"/>
  <c r="B16" i="9"/>
  <c r="N16" i="9" s="1" a="1"/>
  <c r="N16" i="9" s="1"/>
  <c r="J14" i="9"/>
  <c r="K14" i="9" s="1"/>
  <c r="Q16" i="9"/>
  <c r="P16" i="9" s="1"/>
  <c r="M156" i="9" a="1"/>
  <c r="M156" i="9" s="1"/>
  <c r="Q156" i="9"/>
  <c r="P156" i="9" s="1"/>
  <c r="K156" i="9"/>
  <c r="H156" i="9" a="1"/>
  <c r="H156" i="9" s="1"/>
  <c r="E156" i="9" s="1"/>
  <c r="L85" i="9"/>
  <c r="B86" i="9"/>
  <c r="N86" i="9" s="1" a="1"/>
  <c r="N86" i="9" s="1"/>
  <c r="B156" i="9"/>
  <c r="N156" i="9" s="1" a="1"/>
  <c r="N156" i="9" s="1"/>
  <c r="Q157" i="9"/>
  <c r="P157" i="9" s="1"/>
  <c r="C87" i="9" a="1"/>
  <c r="C87" i="9" s="1"/>
  <c r="M86" i="9" a="1"/>
  <c r="M86" i="9" s="1"/>
  <c r="H86" i="9" a="1"/>
  <c r="H86" i="9" s="1"/>
  <c r="K86" i="9"/>
  <c r="I86" i="9" a="1"/>
  <c r="I86" i="9" s="1"/>
  <c r="J86" i="9"/>
  <c r="D86" i="9" a="1"/>
  <c r="D86" i="9" s="1"/>
  <c r="F86" i="9" s="1" a="1"/>
  <c r="F86" i="9" s="1"/>
  <c r="G86" i="9" s="1"/>
  <c r="Q86" i="9"/>
  <c r="P86" i="9" s="1"/>
  <c r="D156" i="9" a="1"/>
  <c r="D156" i="9" s="1"/>
  <c r="F156" i="9" s="1" a="1"/>
  <c r="F156" i="9" s="1"/>
  <c r="G156" i="9" s="1"/>
  <c r="K19" i="9"/>
  <c r="D21" i="9"/>
  <c r="J21" i="9" s="1"/>
  <c r="K21" i="9" s="1"/>
  <c r="H22" i="9"/>
  <c r="E22" i="9" s="1"/>
  <c r="I22" i="9"/>
  <c r="K13" i="9"/>
  <c r="K12" i="9"/>
  <c r="L12" i="9"/>
  <c r="I16" i="9"/>
  <c r="F1" i="9" a="1"/>
  <c r="F1" i="9" s="1"/>
  <c r="G1" i="9" s="1"/>
  <c r="N17" i="2"/>
  <c r="O17" i="2"/>
  <c r="M17" i="2"/>
  <c r="L17" i="2"/>
  <c r="K17" i="2"/>
  <c r="J17" i="2"/>
  <c r="B66" i="9"/>
  <c r="N66" i="9" s="1" a="1"/>
  <c r="N66" i="9" s="1"/>
  <c r="O66" i="9" s="1"/>
  <c r="L67" i="9"/>
  <c r="F67" i="9" a="1"/>
  <c r="F67" i="9" s="1"/>
  <c r="G67" i="9" s="1"/>
  <c r="Q67" i="9"/>
  <c r="P67" i="9" s="1"/>
  <c r="K67" i="9"/>
  <c r="B20" i="9"/>
  <c r="N20" i="9" s="1" a="1"/>
  <c r="N20" i="9" s="1"/>
  <c r="K20" i="9"/>
  <c r="A24" i="9"/>
  <c r="Q21" i="9"/>
  <c r="P21" i="9" s="1"/>
  <c r="AD42" i="5"/>
  <c r="N42" i="5"/>
  <c r="A44" i="5" a="1"/>
  <c r="A44" i="5" s="1"/>
  <c r="AJ42" i="5"/>
  <c r="T42" i="5"/>
  <c r="D42" i="5"/>
  <c r="X42" i="5"/>
  <c r="B42" i="5"/>
  <c r="V42" i="5"/>
  <c r="R42" i="5"/>
  <c r="AL42" i="5"/>
  <c r="P42" i="5"/>
  <c r="AH42" i="5"/>
  <c r="L42" i="5"/>
  <c r="AF42" i="5"/>
  <c r="J42" i="5"/>
  <c r="AB42" i="5"/>
  <c r="H42" i="5"/>
  <c r="Z42" i="5"/>
  <c r="F42" i="5"/>
  <c r="AF43" i="5"/>
  <c r="P43" i="5"/>
  <c r="AL43" i="5"/>
  <c r="V43" i="5"/>
  <c r="F43" i="5"/>
  <c r="A45" i="5" a="1"/>
  <c r="A45" i="5" s="1"/>
  <c r="T43" i="5"/>
  <c r="R43" i="5"/>
  <c r="AJ43" i="5"/>
  <c r="N43" i="5"/>
  <c r="AH43" i="5"/>
  <c r="L43" i="5"/>
  <c r="AD43" i="5"/>
  <c r="J43" i="5"/>
  <c r="AB43" i="5"/>
  <c r="H43" i="5"/>
  <c r="Z43" i="5"/>
  <c r="D43" i="5"/>
  <c r="X43" i="5"/>
  <c r="B43" i="5"/>
  <c r="H255" i="9"/>
  <c r="C9" i="6"/>
  <c r="E3" i="8"/>
  <c r="H211" i="9" s="1"/>
  <c r="E4" i="8"/>
  <c r="H212" i="9" s="1"/>
  <c r="D256" i="9"/>
  <c r="G2" i="8"/>
  <c r="D255" i="9"/>
  <c r="G1" i="8"/>
  <c r="J255" i="9" s="1"/>
  <c r="H257" i="9"/>
  <c r="A7" i="8"/>
  <c r="I258" i="9"/>
  <c r="A8" i="8"/>
  <c r="M17" i="9" a="1"/>
  <c r="H17" i="9" a="1"/>
  <c r="F15" i="9" a="1"/>
  <c r="I23" i="9" a="1"/>
  <c r="H23" i="9" a="1"/>
  <c r="D22" i="9" a="1"/>
  <c r="N18" i="9" a="1"/>
  <c r="B17" i="9" a="1"/>
  <c r="B21" i="9" a="1"/>
  <c r="B67" i="9" a="1"/>
  <c r="B157" i="9" a="1"/>
  <c r="B87" i="9" a="1"/>
  <c r="F21" i="9" l="1" a="1"/>
  <c r="O16" i="9"/>
  <c r="L14" i="9"/>
  <c r="F15" i="9"/>
  <c r="G15" i="9" s="1"/>
  <c r="H17" i="9"/>
  <c r="E17" i="9" s="1"/>
  <c r="M17" i="9"/>
  <c r="B17" i="9"/>
  <c r="J15" i="9"/>
  <c r="K15" i="9" s="1"/>
  <c r="Q17" i="9"/>
  <c r="P17" i="9" s="1"/>
  <c r="O156" i="9"/>
  <c r="L156" i="9"/>
  <c r="K157" i="9"/>
  <c r="J157" i="9"/>
  <c r="M157" i="9" a="1"/>
  <c r="M157" i="9" s="1"/>
  <c r="D157" i="9" a="1"/>
  <c r="D157" i="9" s="1"/>
  <c r="F157" i="9" s="1" a="1"/>
  <c r="F157" i="9" s="1"/>
  <c r="G157" i="9" s="1"/>
  <c r="H157" i="9" a="1"/>
  <c r="H157" i="9" s="1"/>
  <c r="E157" i="9" s="1"/>
  <c r="B87" i="9"/>
  <c r="N87" i="9" s="1" a="1"/>
  <c r="N87" i="9" s="1"/>
  <c r="B157" i="9"/>
  <c r="N157" i="9" s="1" a="1"/>
  <c r="N157" i="9" s="1"/>
  <c r="E86" i="9"/>
  <c r="L86" i="9"/>
  <c r="H87" i="9" a="1"/>
  <c r="H87" i="9" s="1"/>
  <c r="M87" i="9" a="1"/>
  <c r="M87" i="9" s="1"/>
  <c r="Q87" i="9"/>
  <c r="P87" i="9" s="1"/>
  <c r="K87" i="9"/>
  <c r="J87" i="9"/>
  <c r="D87" i="9" a="1"/>
  <c r="D87" i="9" s="1"/>
  <c r="F87" i="9" s="1" a="1"/>
  <c r="F87" i="9" s="1"/>
  <c r="G87" i="9" s="1"/>
  <c r="I87" i="9" a="1"/>
  <c r="I87" i="9" s="1"/>
  <c r="O86" i="9"/>
  <c r="D22" i="9"/>
  <c r="J22" i="9" s="1"/>
  <c r="L22" i="9" s="1"/>
  <c r="H23" i="9"/>
  <c r="E23" i="9" s="1"/>
  <c r="I23" i="9"/>
  <c r="E16" i="9"/>
  <c r="I17" i="9"/>
  <c r="B67" i="9"/>
  <c r="N67" i="9" s="1" a="1"/>
  <c r="N67" i="9" s="1"/>
  <c r="O67" i="9" s="1"/>
  <c r="Q68" i="9"/>
  <c r="P68" i="9" s="1"/>
  <c r="K68" i="9"/>
  <c r="L68" i="9"/>
  <c r="F68" i="9" a="1"/>
  <c r="F68" i="9" s="1"/>
  <c r="G68" i="9" s="1"/>
  <c r="L21" i="9"/>
  <c r="B21" i="9"/>
  <c r="N21" i="9" s="1" a="1"/>
  <c r="N21" i="9" s="1"/>
  <c r="F21" i="9"/>
  <c r="G21" i="9" s="1"/>
  <c r="N18" i="9"/>
  <c r="A25" i="9"/>
  <c r="Q22" i="9"/>
  <c r="P22" i="9" s="1"/>
  <c r="J1" i="8"/>
  <c r="L255" i="9" s="1"/>
  <c r="AJ45" i="5"/>
  <c r="T45" i="5"/>
  <c r="D45" i="5"/>
  <c r="AH45" i="5"/>
  <c r="R45" i="5"/>
  <c r="B45" i="5"/>
  <c r="Z45" i="5"/>
  <c r="J45" i="5"/>
  <c r="AB45" i="5"/>
  <c r="X45" i="5"/>
  <c r="V45" i="5"/>
  <c r="P45" i="5"/>
  <c r="A47" i="5" a="1"/>
  <c r="A47" i="5" s="1"/>
  <c r="N45" i="5"/>
  <c r="AL45" i="5"/>
  <c r="L45" i="5"/>
  <c r="AF45" i="5"/>
  <c r="H45" i="5"/>
  <c r="AD45" i="5"/>
  <c r="F45" i="5"/>
  <c r="C258" i="9"/>
  <c r="Q258" i="9" s="1"/>
  <c r="P258" i="9" s="1"/>
  <c r="H8" i="8" a="1"/>
  <c r="H8" i="8" s="1"/>
  <c r="D258" i="9" s="1"/>
  <c r="G8" i="8"/>
  <c r="AH44" i="5"/>
  <c r="R44" i="5"/>
  <c r="B44" i="5"/>
  <c r="AF44" i="5"/>
  <c r="P44" i="5"/>
  <c r="X44" i="5"/>
  <c r="H44" i="5"/>
  <c r="V44" i="5"/>
  <c r="T44" i="5"/>
  <c r="A46" i="5" a="1"/>
  <c r="A46" i="5" s="1"/>
  <c r="N44" i="5"/>
  <c r="AL44" i="5"/>
  <c r="L44" i="5"/>
  <c r="AJ44" i="5"/>
  <c r="J44" i="5"/>
  <c r="AD44" i="5"/>
  <c r="F44" i="5"/>
  <c r="AB44" i="5"/>
  <c r="D44" i="5"/>
  <c r="Z44" i="5"/>
  <c r="J256" i="9"/>
  <c r="J2" i="8"/>
  <c r="L256" i="9" s="1"/>
  <c r="C257" i="9"/>
  <c r="Q257" i="9" s="1"/>
  <c r="P257" i="9" s="1"/>
  <c r="H7" i="8" a="1"/>
  <c r="H7" i="8" s="1"/>
  <c r="D257" i="9" s="1"/>
  <c r="G7" i="8"/>
  <c r="D17" i="9" a="1"/>
  <c r="N17" i="9" a="1"/>
  <c r="I24" i="9" a="1"/>
  <c r="H24" i="9" a="1"/>
  <c r="D23" i="9" a="1"/>
  <c r="D16" i="9" a="1"/>
  <c r="F22" i="9" a="1"/>
  <c r="B68" i="9" a="1"/>
  <c r="B22" i="9" a="1"/>
  <c r="N17" i="9" l="1"/>
  <c r="O17" i="9" s="1"/>
  <c r="D17" i="9"/>
  <c r="F17" i="9" s="1" a="1"/>
  <c r="L15" i="9"/>
  <c r="L157" i="9"/>
  <c r="O157" i="9"/>
  <c r="L87" i="9"/>
  <c r="E87" i="9"/>
  <c r="O87" i="9"/>
  <c r="D23" i="9"/>
  <c r="J23" i="9" s="1"/>
  <c r="L23" i="9" s="1"/>
  <c r="H24" i="9"/>
  <c r="E24" i="9" s="1"/>
  <c r="I24" i="9"/>
  <c r="D16" i="9"/>
  <c r="B68" i="9"/>
  <c r="N68" i="9" s="1" a="1"/>
  <c r="N68" i="9" s="1"/>
  <c r="O68" i="9" s="1"/>
  <c r="Q69" i="9"/>
  <c r="P69" i="9" s="1"/>
  <c r="K69" i="9"/>
  <c r="L69" i="9"/>
  <c r="F69" i="9" a="1"/>
  <c r="F69" i="9" s="1"/>
  <c r="G69" i="9" s="1"/>
  <c r="F22" i="9"/>
  <c r="G22" i="9" s="1"/>
  <c r="B22" i="9"/>
  <c r="N22" i="9" s="1" a="1"/>
  <c r="N22" i="9" s="1"/>
  <c r="A26" i="9"/>
  <c r="K22" i="9"/>
  <c r="Q23" i="9"/>
  <c r="P23" i="9" s="1"/>
  <c r="AL46" i="5"/>
  <c r="V46" i="5"/>
  <c r="F46" i="5"/>
  <c r="AJ46" i="5"/>
  <c r="T46" i="5"/>
  <c r="D46" i="5"/>
  <c r="A48" i="5" a="1"/>
  <c r="A48" i="5" s="1"/>
  <c r="AB46" i="5"/>
  <c r="L46" i="5"/>
  <c r="AF46" i="5"/>
  <c r="H46" i="5"/>
  <c r="AD46" i="5"/>
  <c r="B46" i="5"/>
  <c r="Z46" i="5"/>
  <c r="X46" i="5"/>
  <c r="R46" i="5"/>
  <c r="P46" i="5"/>
  <c r="N46" i="5"/>
  <c r="AH46" i="5"/>
  <c r="J46" i="5"/>
  <c r="J257" i="9"/>
  <c r="J7" i="8"/>
  <c r="L257" i="9" s="1"/>
  <c r="J258" i="9"/>
  <c r="J8" i="8"/>
  <c r="L258" i="9" s="1"/>
  <c r="X47" i="5"/>
  <c r="H47" i="5"/>
  <c r="AL47" i="5"/>
  <c r="V47" i="5"/>
  <c r="F47" i="5"/>
  <c r="AD47" i="5"/>
  <c r="N47" i="5"/>
  <c r="AJ47" i="5"/>
  <c r="L47" i="5"/>
  <c r="AH47" i="5"/>
  <c r="J47" i="5"/>
  <c r="AF47" i="5"/>
  <c r="D47" i="5"/>
  <c r="AB47" i="5"/>
  <c r="B47" i="5"/>
  <c r="Z47" i="5"/>
  <c r="T47" i="5"/>
  <c r="R47" i="5"/>
  <c r="A49" i="5" a="1"/>
  <c r="A49" i="5" s="1"/>
  <c r="P47" i="5"/>
  <c r="H25" i="9" a="1"/>
  <c r="I25" i="9" a="1"/>
  <c r="D24" i="9" a="1"/>
  <c r="F16" i="9" a="1"/>
  <c r="F23" i="9" a="1"/>
  <c r="B69" i="9" a="1"/>
  <c r="B23" i="9" a="1"/>
  <c r="F17" i="9" l="1"/>
  <c r="G17" i="9" s="1"/>
  <c r="J17" i="9"/>
  <c r="D24" i="9"/>
  <c r="J24" i="9" s="1"/>
  <c r="K24" i="9" s="1"/>
  <c r="I25" i="9"/>
  <c r="H25" i="9"/>
  <c r="E25" i="9" s="1"/>
  <c r="F16" i="9"/>
  <c r="G16" i="9" s="1"/>
  <c r="J16" i="9"/>
  <c r="B69" i="9"/>
  <c r="N69" i="9" s="1" a="1"/>
  <c r="N69" i="9" s="1"/>
  <c r="O69" i="9" s="1"/>
  <c r="K23" i="9"/>
  <c r="L70" i="9"/>
  <c r="G70" i="9"/>
  <c r="K70" i="9"/>
  <c r="Q70" i="9"/>
  <c r="P70" i="9" s="1"/>
  <c r="F23" i="9"/>
  <c r="G23" i="9" s="1"/>
  <c r="B23" i="9"/>
  <c r="N23" i="9" s="1" a="1"/>
  <c r="N23" i="9" s="1"/>
  <c r="Q24" i="9"/>
  <c r="P24" i="9" s="1"/>
  <c r="A27" i="9"/>
  <c r="A51" i="5" a="1"/>
  <c r="A51" i="5" s="1"/>
  <c r="AB49" i="5"/>
  <c r="L49" i="5"/>
  <c r="Z49" i="5"/>
  <c r="J49" i="5"/>
  <c r="AH49" i="5"/>
  <c r="R49" i="5"/>
  <c r="B49" i="5"/>
  <c r="V49" i="5"/>
  <c r="T49" i="5"/>
  <c r="P49" i="5"/>
  <c r="AL49" i="5"/>
  <c r="N49" i="5"/>
  <c r="AJ49" i="5"/>
  <c r="H49" i="5"/>
  <c r="AF49" i="5"/>
  <c r="F49" i="5"/>
  <c r="AD49" i="5"/>
  <c r="D49" i="5"/>
  <c r="X49" i="5"/>
  <c r="Z48" i="5"/>
  <c r="J48" i="5"/>
  <c r="X48" i="5"/>
  <c r="H48" i="5"/>
  <c r="AF48" i="5"/>
  <c r="P48" i="5"/>
  <c r="A50" i="5" a="1"/>
  <c r="A50" i="5" s="1"/>
  <c r="R48" i="5"/>
  <c r="AL48" i="5"/>
  <c r="N48" i="5"/>
  <c r="AJ48" i="5"/>
  <c r="L48" i="5"/>
  <c r="AH48" i="5"/>
  <c r="F48" i="5"/>
  <c r="AD48" i="5"/>
  <c r="D48" i="5"/>
  <c r="AB48" i="5"/>
  <c r="B48" i="5"/>
  <c r="V48" i="5"/>
  <c r="T48" i="5"/>
  <c r="I26" i="9" a="1"/>
  <c r="H26" i="9" a="1"/>
  <c r="D25" i="9" a="1"/>
  <c r="F24" i="9" a="1"/>
  <c r="B70" i="9" a="1"/>
  <c r="B24" i="9" a="1"/>
  <c r="K17" i="9" l="1"/>
  <c r="L17" i="9"/>
  <c r="D25" i="9"/>
  <c r="J25" i="9" s="1"/>
  <c r="L25" i="9" s="1"/>
  <c r="H26" i="9"/>
  <c r="E26" i="9" s="1"/>
  <c r="I26" i="9"/>
  <c r="K16" i="9"/>
  <c r="L16" i="9"/>
  <c r="B70" i="9"/>
  <c r="N70" i="9" s="1" a="1"/>
  <c r="N70" i="9" s="1"/>
  <c r="O70" i="9" s="1"/>
  <c r="F24" i="9"/>
  <c r="G24" i="9" s="1"/>
  <c r="B24" i="9"/>
  <c r="N24" i="9" s="1" a="1"/>
  <c r="N24" i="9" s="1"/>
  <c r="L24" i="9"/>
  <c r="A28" i="9"/>
  <c r="Q25" i="9"/>
  <c r="P25" i="9" s="1"/>
  <c r="AD50" i="5"/>
  <c r="N50" i="5"/>
  <c r="A52" i="5" a="1"/>
  <c r="A52" i="5" s="1"/>
  <c r="AB50" i="5"/>
  <c r="L50" i="5"/>
  <c r="AJ50" i="5"/>
  <c r="T50" i="5"/>
  <c r="D50" i="5"/>
  <c r="AF50" i="5"/>
  <c r="P50" i="5"/>
  <c r="AL50" i="5"/>
  <c r="F50" i="5"/>
  <c r="AH50" i="5"/>
  <c r="B50" i="5"/>
  <c r="Z50" i="5"/>
  <c r="X50" i="5"/>
  <c r="V50" i="5"/>
  <c r="R50" i="5"/>
  <c r="J50" i="5"/>
  <c r="H50" i="5"/>
  <c r="AF51" i="5"/>
  <c r="P51" i="5"/>
  <c r="AD51" i="5"/>
  <c r="N51" i="5"/>
  <c r="A53" i="5" a="1"/>
  <c r="A53" i="5" s="1"/>
  <c r="AL51" i="5"/>
  <c r="V51" i="5"/>
  <c r="F51" i="5"/>
  <c r="AH51" i="5"/>
  <c r="R51" i="5"/>
  <c r="B51" i="5"/>
  <c r="X51" i="5"/>
  <c r="T51" i="5"/>
  <c r="L51" i="5"/>
  <c r="J51" i="5"/>
  <c r="H51" i="5"/>
  <c r="AJ51" i="5"/>
  <c r="D51" i="5"/>
  <c r="AB51" i="5"/>
  <c r="Z51" i="5"/>
  <c r="I27" i="9" a="1"/>
  <c r="H27" i="9" a="1"/>
  <c r="D26" i="9" a="1"/>
  <c r="F25" i="9" a="1"/>
  <c r="B25" i="9" a="1"/>
  <c r="D26" i="9" l="1"/>
  <c r="J26" i="9" s="1"/>
  <c r="K26" i="9" s="1"/>
  <c r="H27" i="9"/>
  <c r="E27" i="9" s="1"/>
  <c r="I27" i="9"/>
  <c r="K25" i="9"/>
  <c r="B25" i="9"/>
  <c r="N25" i="9" s="1" a="1"/>
  <c r="N25" i="9" s="1"/>
  <c r="F25" i="9"/>
  <c r="G25" i="9" s="1"/>
  <c r="Q26" i="9"/>
  <c r="P26" i="9" s="1"/>
  <c r="A29" i="9"/>
  <c r="AH52" i="5"/>
  <c r="R52" i="5"/>
  <c r="B52" i="5"/>
  <c r="AF52" i="5"/>
  <c r="P52" i="5"/>
  <c r="AD52" i="5"/>
  <c r="N52" i="5"/>
  <c r="A54" i="5" a="1"/>
  <c r="A54" i="5" s="1"/>
  <c r="AB52" i="5"/>
  <c r="L52" i="5"/>
  <c r="X52" i="5"/>
  <c r="H52" i="5"/>
  <c r="AJ52" i="5"/>
  <c r="T52" i="5"/>
  <c r="D52" i="5"/>
  <c r="V52" i="5"/>
  <c r="J52" i="5"/>
  <c r="F52" i="5"/>
  <c r="AL52" i="5"/>
  <c r="Z52" i="5"/>
  <c r="AJ53" i="5"/>
  <c r="T53" i="5"/>
  <c r="D53" i="5"/>
  <c r="AH53" i="5"/>
  <c r="R53" i="5"/>
  <c r="B53" i="5"/>
  <c r="AF53" i="5"/>
  <c r="P53" i="5"/>
  <c r="AD53" i="5"/>
  <c r="N53" i="5"/>
  <c r="Z53" i="5"/>
  <c r="J53" i="5"/>
  <c r="AL53" i="5"/>
  <c r="V53" i="5"/>
  <c r="F53" i="5"/>
  <c r="A55" i="5" a="1"/>
  <c r="A55" i="5" s="1"/>
  <c r="AB53" i="5"/>
  <c r="X53" i="5"/>
  <c r="L53" i="5"/>
  <c r="H53" i="5"/>
  <c r="H28" i="9" a="1"/>
  <c r="I28" i="9" a="1"/>
  <c r="D27" i="9" a="1"/>
  <c r="B26" i="9" a="1"/>
  <c r="F26" i="9" l="1" a="1"/>
  <c r="F26" i="9" s="1"/>
  <c r="G26" i="9" s="1"/>
  <c r="D27" i="9"/>
  <c r="J27" i="9" s="1"/>
  <c r="L27" i="9" s="1"/>
  <c r="I28" i="9"/>
  <c r="H28" i="9"/>
  <c r="E28" i="9" s="1"/>
  <c r="L26" i="9"/>
  <c r="B26" i="9"/>
  <c r="N26" i="9" s="1" a="1"/>
  <c r="N26" i="9" s="1"/>
  <c r="Q27" i="9"/>
  <c r="P27" i="9" s="1"/>
  <c r="A30" i="9"/>
  <c r="AL54" i="5"/>
  <c r="V54" i="5"/>
  <c r="F54" i="5"/>
  <c r="AJ54" i="5"/>
  <c r="T54" i="5"/>
  <c r="D54" i="5"/>
  <c r="AH54" i="5"/>
  <c r="R54" i="5"/>
  <c r="B54" i="5"/>
  <c r="AF54" i="5"/>
  <c r="P54" i="5"/>
  <c r="A56" i="5" a="1"/>
  <c r="A56" i="5" s="1"/>
  <c r="AB54" i="5"/>
  <c r="L54" i="5"/>
  <c r="X54" i="5"/>
  <c r="H54" i="5"/>
  <c r="AD54" i="5"/>
  <c r="Z54" i="5"/>
  <c r="N54" i="5"/>
  <c r="J54" i="5"/>
  <c r="X55" i="5"/>
  <c r="H55" i="5"/>
  <c r="AL55" i="5"/>
  <c r="V55" i="5"/>
  <c r="F55" i="5"/>
  <c r="AJ55" i="5"/>
  <c r="T55" i="5"/>
  <c r="D55" i="5"/>
  <c r="AH55" i="5"/>
  <c r="R55" i="5"/>
  <c r="B55" i="5"/>
  <c r="AD55" i="5"/>
  <c r="N55" i="5"/>
  <c r="Z55" i="5"/>
  <c r="J55" i="5"/>
  <c r="L55" i="5"/>
  <c r="AF55" i="5"/>
  <c r="A57" i="5" a="1"/>
  <c r="A57" i="5" s="1"/>
  <c r="AB55" i="5"/>
  <c r="P55" i="5"/>
  <c r="H29" i="9" a="1"/>
  <c r="I29" i="9" a="1"/>
  <c r="D28" i="9" a="1"/>
  <c r="F27" i="9" a="1"/>
  <c r="B27" i="9" a="1"/>
  <c r="D28" i="9" l="1"/>
  <c r="J28" i="9" s="1"/>
  <c r="K28" i="9" s="1"/>
  <c r="I29" i="9"/>
  <c r="H29" i="9"/>
  <c r="E29" i="9" s="1"/>
  <c r="F27" i="9"/>
  <c r="G27" i="9" s="1"/>
  <c r="B27" i="9"/>
  <c r="N27" i="9" s="1" a="1"/>
  <c r="N27" i="9" s="1"/>
  <c r="K27" i="9"/>
  <c r="Q28" i="9"/>
  <c r="P28" i="9" s="1"/>
  <c r="A31" i="9"/>
  <c r="Z56" i="5"/>
  <c r="J56" i="5"/>
  <c r="X56" i="5"/>
  <c r="H56" i="5"/>
  <c r="AL56" i="5"/>
  <c r="V56" i="5"/>
  <c r="F56" i="5"/>
  <c r="AJ56" i="5"/>
  <c r="T56" i="5"/>
  <c r="D56" i="5"/>
  <c r="AF56" i="5"/>
  <c r="P56" i="5"/>
  <c r="A58" i="5" a="1"/>
  <c r="A58" i="5" s="1"/>
  <c r="AB56" i="5"/>
  <c r="L56" i="5"/>
  <c r="AD56" i="5"/>
  <c r="R56" i="5"/>
  <c r="N56" i="5"/>
  <c r="B56" i="5"/>
  <c r="AH56" i="5"/>
  <c r="A59" i="5" a="1"/>
  <c r="A59" i="5" s="1"/>
  <c r="AB57" i="5"/>
  <c r="L57" i="5"/>
  <c r="Z57" i="5"/>
  <c r="J57" i="5"/>
  <c r="X57" i="5"/>
  <c r="H57" i="5"/>
  <c r="AL57" i="5"/>
  <c r="V57" i="5"/>
  <c r="F57" i="5"/>
  <c r="AH57" i="5"/>
  <c r="R57" i="5"/>
  <c r="B57" i="5"/>
  <c r="AD57" i="5"/>
  <c r="N57" i="5"/>
  <c r="AJ57" i="5"/>
  <c r="AF57" i="5"/>
  <c r="T57" i="5"/>
  <c r="P57" i="5"/>
  <c r="D57" i="5"/>
  <c r="D29" i="9" a="1"/>
  <c r="I30" i="9" a="1"/>
  <c r="H30" i="9" a="1"/>
  <c r="F28" i="9" a="1"/>
  <c r="B28" i="9" a="1"/>
  <c r="H30" i="9" l="1"/>
  <c r="E30" i="9" s="1"/>
  <c r="I30" i="9"/>
  <c r="D29" i="9"/>
  <c r="J29" i="9" s="1"/>
  <c r="L29" i="9" s="1"/>
  <c r="A32" i="9"/>
  <c r="L28" i="9"/>
  <c r="F28" i="9"/>
  <c r="G28" i="9" s="1"/>
  <c r="B28" i="9"/>
  <c r="N28" i="9" s="1" a="1"/>
  <c r="N28" i="9" s="1"/>
  <c r="Q29" i="9"/>
  <c r="P29" i="9" s="1"/>
  <c r="AF59" i="5"/>
  <c r="P59" i="5"/>
  <c r="AD59" i="5"/>
  <c r="N59" i="5"/>
  <c r="A61" i="5" a="1"/>
  <c r="A61" i="5" s="1"/>
  <c r="AB59" i="5"/>
  <c r="L59" i="5"/>
  <c r="Z59" i="5"/>
  <c r="J59" i="5"/>
  <c r="AL59" i="5"/>
  <c r="V59" i="5"/>
  <c r="F59" i="5"/>
  <c r="AH59" i="5"/>
  <c r="R59" i="5"/>
  <c r="B59" i="5"/>
  <c r="T59" i="5"/>
  <c r="H59" i="5"/>
  <c r="D59" i="5"/>
  <c r="AJ59" i="5"/>
  <c r="X59" i="5"/>
  <c r="AD58" i="5"/>
  <c r="N58" i="5"/>
  <c r="A60" i="5" a="1"/>
  <c r="A60" i="5" s="1"/>
  <c r="AB58" i="5"/>
  <c r="L58" i="5"/>
  <c r="Z58" i="5"/>
  <c r="J58" i="5"/>
  <c r="X58" i="5"/>
  <c r="H58" i="5"/>
  <c r="AJ58" i="5"/>
  <c r="T58" i="5"/>
  <c r="D58" i="5"/>
  <c r="AF58" i="5"/>
  <c r="P58" i="5"/>
  <c r="B58" i="5"/>
  <c r="AL58" i="5"/>
  <c r="AH58" i="5"/>
  <c r="V58" i="5"/>
  <c r="R58" i="5"/>
  <c r="F58" i="5"/>
  <c r="D30" i="9" a="1"/>
  <c r="I31" i="9" a="1"/>
  <c r="H31" i="9" a="1"/>
  <c r="F29" i="9" a="1"/>
  <c r="B29" i="9" a="1"/>
  <c r="H31" i="9" l="1"/>
  <c r="E31" i="9" s="1"/>
  <c r="I31" i="9"/>
  <c r="D30" i="9"/>
  <c r="J30" i="9" s="1"/>
  <c r="K30" i="9" s="1"/>
  <c r="A33" i="9"/>
  <c r="K29" i="9"/>
  <c r="F29" i="9"/>
  <c r="G29" i="9" s="1"/>
  <c r="B29" i="9"/>
  <c r="N29" i="9" s="1" a="1"/>
  <c r="N29" i="9" s="1"/>
  <c r="Q30" i="9"/>
  <c r="P30" i="9" s="1"/>
  <c r="AH60" i="5"/>
  <c r="R60" i="5"/>
  <c r="B60" i="5"/>
  <c r="AF60" i="5"/>
  <c r="P60" i="5"/>
  <c r="AD60" i="5"/>
  <c r="N60" i="5"/>
  <c r="A62" i="5" a="1"/>
  <c r="A62" i="5" s="1"/>
  <c r="AB60" i="5"/>
  <c r="L60" i="5"/>
  <c r="X60" i="5"/>
  <c r="H60" i="5"/>
  <c r="AJ60" i="5"/>
  <c r="T60" i="5"/>
  <c r="D60" i="5"/>
  <c r="AL60" i="5"/>
  <c r="Z60" i="5"/>
  <c r="V60" i="5"/>
  <c r="J60" i="5"/>
  <c r="F60" i="5"/>
  <c r="AJ61" i="5"/>
  <c r="T61" i="5"/>
  <c r="D61" i="5"/>
  <c r="AH61" i="5"/>
  <c r="R61" i="5"/>
  <c r="B61" i="5"/>
  <c r="AF61" i="5"/>
  <c r="P61" i="5"/>
  <c r="AD61" i="5"/>
  <c r="N61" i="5"/>
  <c r="Z61" i="5"/>
  <c r="J61" i="5"/>
  <c r="AL61" i="5"/>
  <c r="V61" i="5"/>
  <c r="F61" i="5"/>
  <c r="A63" i="5" a="1"/>
  <c r="A63" i="5" s="1"/>
  <c r="AB61" i="5"/>
  <c r="X61" i="5"/>
  <c r="L61" i="5"/>
  <c r="H61" i="5"/>
  <c r="I32" i="9" a="1"/>
  <c r="H32" i="9" a="1"/>
  <c r="D31" i="9" a="1"/>
  <c r="F30" i="9" a="1"/>
  <c r="B32" i="9" a="1"/>
  <c r="B30" i="9" a="1"/>
  <c r="D31" i="9" l="1"/>
  <c r="J31" i="9" s="1"/>
  <c r="K31" i="9" s="1"/>
  <c r="H32" i="9"/>
  <c r="I32" i="9"/>
  <c r="B32" i="9"/>
  <c r="N32" i="9" s="1" a="1"/>
  <c r="N32" i="9" s="1"/>
  <c r="A34" i="9"/>
  <c r="Q32" i="9"/>
  <c r="P32" i="9" s="1"/>
  <c r="B30" i="9"/>
  <c r="N30" i="9" s="1" a="1"/>
  <c r="N30" i="9" s="1"/>
  <c r="F30" i="9"/>
  <c r="G30" i="9" s="1"/>
  <c r="L30" i="9"/>
  <c r="Q31" i="9"/>
  <c r="P31" i="9" s="1"/>
  <c r="AL62" i="5"/>
  <c r="V62" i="5"/>
  <c r="F62" i="5"/>
  <c r="AJ62" i="5"/>
  <c r="T62" i="5"/>
  <c r="D62" i="5"/>
  <c r="AH62" i="5"/>
  <c r="R62" i="5"/>
  <c r="B62" i="5"/>
  <c r="AF62" i="5"/>
  <c r="P62" i="5"/>
  <c r="A64" i="5" a="1"/>
  <c r="A64" i="5" s="1"/>
  <c r="AB62" i="5"/>
  <c r="L62" i="5"/>
  <c r="X62" i="5"/>
  <c r="H62" i="5"/>
  <c r="J62" i="5"/>
  <c r="AD62" i="5"/>
  <c r="Z62" i="5"/>
  <c r="N62" i="5"/>
  <c r="X63" i="5"/>
  <c r="H63" i="5"/>
  <c r="AL63" i="5"/>
  <c r="V63" i="5"/>
  <c r="F63" i="5"/>
  <c r="AJ63" i="5"/>
  <c r="T63" i="5"/>
  <c r="D63" i="5"/>
  <c r="AH63" i="5"/>
  <c r="R63" i="5"/>
  <c r="B63" i="5"/>
  <c r="AD63" i="5"/>
  <c r="N63" i="5"/>
  <c r="Z63" i="5"/>
  <c r="J63" i="5"/>
  <c r="A65" i="5" a="1"/>
  <c r="A65" i="5" s="1"/>
  <c r="AB63" i="5"/>
  <c r="P63" i="5"/>
  <c r="L63" i="5"/>
  <c r="AF63" i="5"/>
  <c r="I33" i="9" a="1"/>
  <c r="H33" i="9" a="1"/>
  <c r="B31" i="9" a="1"/>
  <c r="B33" i="9" a="1"/>
  <c r="F31" i="9" l="1" a="1"/>
  <c r="F31" i="9" s="1"/>
  <c r="G31" i="9" s="1"/>
  <c r="H33" i="9"/>
  <c r="I33" i="9"/>
  <c r="B33" i="9"/>
  <c r="N33" i="9" s="1" a="1"/>
  <c r="N33" i="9" s="1"/>
  <c r="A35" i="9"/>
  <c r="E32" i="9"/>
  <c r="Q33" i="9"/>
  <c r="P33" i="9" s="1"/>
  <c r="B31" i="9"/>
  <c r="N31" i="9" s="1" a="1"/>
  <c r="N31" i="9" s="1"/>
  <c r="L31" i="9"/>
  <c r="Z64" i="5"/>
  <c r="J64" i="5"/>
  <c r="X64" i="5"/>
  <c r="H64" i="5"/>
  <c r="AL64" i="5"/>
  <c r="V64" i="5"/>
  <c r="F64" i="5"/>
  <c r="AJ64" i="5"/>
  <c r="T64" i="5"/>
  <c r="D64" i="5"/>
  <c r="AF64" i="5"/>
  <c r="P64" i="5"/>
  <c r="A66" i="5" a="1"/>
  <c r="A66" i="5" s="1"/>
  <c r="AB64" i="5"/>
  <c r="L64" i="5"/>
  <c r="AH64" i="5"/>
  <c r="AD64" i="5"/>
  <c r="R64" i="5"/>
  <c r="N64" i="5"/>
  <c r="B64" i="5"/>
  <c r="A67" i="5" a="1"/>
  <c r="A67" i="5" s="1"/>
  <c r="AB65" i="5"/>
  <c r="L65" i="5"/>
  <c r="Z65" i="5"/>
  <c r="J65" i="5"/>
  <c r="X65" i="5"/>
  <c r="H65" i="5"/>
  <c r="AL65" i="5"/>
  <c r="V65" i="5"/>
  <c r="F65" i="5"/>
  <c r="AH65" i="5"/>
  <c r="R65" i="5"/>
  <c r="B65" i="5"/>
  <c r="AD65" i="5"/>
  <c r="N65" i="5"/>
  <c r="AJ65" i="5"/>
  <c r="AF65" i="5"/>
  <c r="T65" i="5"/>
  <c r="P65" i="5"/>
  <c r="D65" i="5"/>
  <c r="H34" i="9" a="1"/>
  <c r="I34" i="9" a="1"/>
  <c r="D32" i="9" a="1"/>
  <c r="B34" i="9" a="1"/>
  <c r="D32" i="9" l="1"/>
  <c r="F32" i="9" s="1" a="1"/>
  <c r="I34" i="9"/>
  <c r="H34" i="9"/>
  <c r="E34" i="9" s="1"/>
  <c r="B34" i="9"/>
  <c r="N34" i="9" s="1" a="1"/>
  <c r="N34" i="9" s="1"/>
  <c r="A36" i="9"/>
  <c r="E33" i="9"/>
  <c r="Q34" i="9"/>
  <c r="P34" i="9" s="1"/>
  <c r="AF67" i="5"/>
  <c r="P67" i="5"/>
  <c r="AD67" i="5"/>
  <c r="N67" i="5"/>
  <c r="A69" i="5" a="1"/>
  <c r="A69" i="5" s="1"/>
  <c r="AB67" i="5"/>
  <c r="L67" i="5"/>
  <c r="Z67" i="5"/>
  <c r="J67" i="5"/>
  <c r="AL67" i="5"/>
  <c r="V67" i="5"/>
  <c r="F67" i="5"/>
  <c r="AH67" i="5"/>
  <c r="R67" i="5"/>
  <c r="B67" i="5"/>
  <c r="AJ67" i="5"/>
  <c r="X67" i="5"/>
  <c r="T67" i="5"/>
  <c r="H67" i="5"/>
  <c r="D67" i="5"/>
  <c r="AD66" i="5"/>
  <c r="N66" i="5"/>
  <c r="A68" i="5" a="1"/>
  <c r="A68" i="5" s="1"/>
  <c r="AB66" i="5"/>
  <c r="L66" i="5"/>
  <c r="Z66" i="5"/>
  <c r="J66" i="5"/>
  <c r="X66" i="5"/>
  <c r="H66" i="5"/>
  <c r="AJ66" i="5"/>
  <c r="T66" i="5"/>
  <c r="D66" i="5"/>
  <c r="AF66" i="5"/>
  <c r="P66" i="5"/>
  <c r="R66" i="5"/>
  <c r="F66" i="5"/>
  <c r="B66" i="5"/>
  <c r="AL66" i="5"/>
  <c r="AH66" i="5"/>
  <c r="V66" i="5"/>
  <c r="I35" i="9" a="1"/>
  <c r="H35" i="9" a="1"/>
  <c r="D34" i="9" a="1"/>
  <c r="D33" i="9" a="1"/>
  <c r="B35" i="9" a="1"/>
  <c r="D33" i="9" l="1"/>
  <c r="D34" i="9"/>
  <c r="H35" i="9"/>
  <c r="E35" i="9" s="1"/>
  <c r="I35" i="9"/>
  <c r="B35" i="9"/>
  <c r="N35" i="9" s="1" a="1"/>
  <c r="N35" i="9" s="1"/>
  <c r="F32" i="9"/>
  <c r="G32" i="9" s="1"/>
  <c r="A37" i="9"/>
  <c r="Q35" i="9"/>
  <c r="P35" i="9" s="1"/>
  <c r="J32" i="9"/>
  <c r="AH68" i="5"/>
  <c r="R68" i="5"/>
  <c r="B68" i="5"/>
  <c r="AF68" i="5"/>
  <c r="P68" i="5"/>
  <c r="AD68" i="5"/>
  <c r="N68" i="5"/>
  <c r="A70" i="5" a="1"/>
  <c r="A70" i="5" s="1"/>
  <c r="AB68" i="5"/>
  <c r="L68" i="5"/>
  <c r="X68" i="5"/>
  <c r="H68" i="5"/>
  <c r="AJ68" i="5"/>
  <c r="T68" i="5"/>
  <c r="D68" i="5"/>
  <c r="AL68" i="5"/>
  <c r="Z68" i="5"/>
  <c r="V68" i="5"/>
  <c r="J68" i="5"/>
  <c r="F68" i="5"/>
  <c r="AJ69" i="5"/>
  <c r="T69" i="5"/>
  <c r="D69" i="5"/>
  <c r="AH69" i="5"/>
  <c r="R69" i="5"/>
  <c r="B69" i="5"/>
  <c r="AF69" i="5"/>
  <c r="P69" i="5"/>
  <c r="AD69" i="5"/>
  <c r="N69" i="5"/>
  <c r="Z69" i="5"/>
  <c r="J69" i="5"/>
  <c r="AL69" i="5"/>
  <c r="V69" i="5"/>
  <c r="F69" i="5"/>
  <c r="H69" i="5"/>
  <c r="A71" i="5" a="1"/>
  <c r="A71" i="5" s="1"/>
  <c r="AB69" i="5"/>
  <c r="X69" i="5"/>
  <c r="L69" i="5"/>
  <c r="H36" i="9" a="1"/>
  <c r="I36" i="9" a="1"/>
  <c r="F34" i="9" a="1"/>
  <c r="D35" i="9" a="1"/>
  <c r="F33" i="9" a="1"/>
  <c r="B36" i="9" a="1"/>
  <c r="F33" i="9" l="1"/>
  <c r="G33" i="9" s="1"/>
  <c r="D35" i="9"/>
  <c r="F34" i="9"/>
  <c r="G34" i="9" s="1"/>
  <c r="I36" i="9"/>
  <c r="H36" i="9"/>
  <c r="B36" i="9"/>
  <c r="N36" i="9" s="1" a="1"/>
  <c r="N36" i="9" s="1"/>
  <c r="J33" i="9"/>
  <c r="A38" i="9"/>
  <c r="K32" i="9"/>
  <c r="L32" i="9"/>
  <c r="J34" i="9"/>
  <c r="Q36" i="9"/>
  <c r="P36" i="9" s="1"/>
  <c r="AL70" i="5"/>
  <c r="V70" i="5"/>
  <c r="F70" i="5"/>
  <c r="AJ70" i="5"/>
  <c r="T70" i="5"/>
  <c r="D70" i="5"/>
  <c r="AH70" i="5"/>
  <c r="R70" i="5"/>
  <c r="B70" i="5"/>
  <c r="AF70" i="5"/>
  <c r="P70" i="5"/>
  <c r="A72" i="5" a="1"/>
  <c r="A72" i="5" s="1"/>
  <c r="AB70" i="5"/>
  <c r="L70" i="5"/>
  <c r="X70" i="5"/>
  <c r="H70" i="5"/>
  <c r="Z70" i="5"/>
  <c r="N70" i="5"/>
  <c r="J70" i="5"/>
  <c r="AD70" i="5"/>
  <c r="X71" i="5"/>
  <c r="H71" i="5"/>
  <c r="AL71" i="5"/>
  <c r="V71" i="5"/>
  <c r="F71" i="5"/>
  <c r="AJ71" i="5"/>
  <c r="T71" i="5"/>
  <c r="D71" i="5"/>
  <c r="AH71" i="5"/>
  <c r="R71" i="5"/>
  <c r="B71" i="5"/>
  <c r="AD71" i="5"/>
  <c r="N71" i="5"/>
  <c r="Z71" i="5"/>
  <c r="J71" i="5"/>
  <c r="AF71" i="5"/>
  <c r="A73" i="5" a="1"/>
  <c r="A73" i="5" s="1"/>
  <c r="AB71" i="5"/>
  <c r="P71" i="5"/>
  <c r="L71" i="5"/>
  <c r="I37" i="9" a="1"/>
  <c r="H37" i="9" a="1"/>
  <c r="F35" i="9" a="1"/>
  <c r="B37" i="9" a="1"/>
  <c r="F35" i="9" l="1"/>
  <c r="G35" i="9" s="1"/>
  <c r="H37" i="9"/>
  <c r="E37" i="9" s="1"/>
  <c r="I37" i="9"/>
  <c r="B37" i="9"/>
  <c r="N37" i="9" s="1" a="1"/>
  <c r="N37" i="9" s="1"/>
  <c r="K33" i="9"/>
  <c r="L33" i="9"/>
  <c r="E36" i="9"/>
  <c r="L34" i="9"/>
  <c r="K34" i="9"/>
  <c r="J35" i="9"/>
  <c r="Q37" i="9"/>
  <c r="P37" i="9" s="1"/>
  <c r="A39" i="9"/>
  <c r="A75" i="5" a="1"/>
  <c r="A75" i="5" s="1"/>
  <c r="AB73" i="5"/>
  <c r="L73" i="5"/>
  <c r="Z73" i="5"/>
  <c r="J73" i="5"/>
  <c r="X73" i="5"/>
  <c r="H73" i="5"/>
  <c r="AL73" i="5"/>
  <c r="V73" i="5"/>
  <c r="F73" i="5"/>
  <c r="AH73" i="5"/>
  <c r="R73" i="5"/>
  <c r="B73" i="5"/>
  <c r="AD73" i="5"/>
  <c r="N73" i="5"/>
  <c r="P73" i="5"/>
  <c r="D73" i="5"/>
  <c r="AJ73" i="5"/>
  <c r="AF73" i="5"/>
  <c r="T73" i="5"/>
  <c r="Z72" i="5"/>
  <c r="J72" i="5"/>
  <c r="X72" i="5"/>
  <c r="H72" i="5"/>
  <c r="AL72" i="5"/>
  <c r="V72" i="5"/>
  <c r="F72" i="5"/>
  <c r="AJ72" i="5"/>
  <c r="T72" i="5"/>
  <c r="D72" i="5"/>
  <c r="AF72" i="5"/>
  <c r="P72" i="5"/>
  <c r="A74" i="5" a="1"/>
  <c r="A74" i="5" s="1"/>
  <c r="AB72" i="5"/>
  <c r="L72" i="5"/>
  <c r="AH72" i="5"/>
  <c r="AD72" i="5"/>
  <c r="R72" i="5"/>
  <c r="N72" i="5"/>
  <c r="B72" i="5"/>
  <c r="D37" i="9" a="1"/>
  <c r="D36" i="9" a="1"/>
  <c r="I38" i="9" a="1"/>
  <c r="H38" i="9" a="1"/>
  <c r="B38" i="9" a="1"/>
  <c r="H38" i="9" l="1"/>
  <c r="E38" i="9" s="1"/>
  <c r="I38" i="9"/>
  <c r="B38" i="9"/>
  <c r="N38" i="9" s="1" a="1"/>
  <c r="N38" i="9" s="1"/>
  <c r="D36" i="9"/>
  <c r="D37" i="9"/>
  <c r="Q38" i="9"/>
  <c r="P38" i="9" s="1"/>
  <c r="L35" i="9"/>
  <c r="K35" i="9"/>
  <c r="A40" i="9"/>
  <c r="AF75" i="5"/>
  <c r="P75" i="5"/>
  <c r="AD75" i="5"/>
  <c r="N75" i="5"/>
  <c r="A77" i="5" a="1"/>
  <c r="A77" i="5" s="1"/>
  <c r="AB75" i="5"/>
  <c r="L75" i="5"/>
  <c r="Z75" i="5"/>
  <c r="J75" i="5"/>
  <c r="AL75" i="5"/>
  <c r="V75" i="5"/>
  <c r="F75" i="5"/>
  <c r="AH75" i="5"/>
  <c r="R75" i="5"/>
  <c r="B75" i="5"/>
  <c r="AJ75" i="5"/>
  <c r="X75" i="5"/>
  <c r="T75" i="5"/>
  <c r="H75" i="5"/>
  <c r="D75" i="5"/>
  <c r="AD74" i="5"/>
  <c r="N74" i="5"/>
  <c r="A76" i="5" a="1"/>
  <c r="A76" i="5" s="1"/>
  <c r="AB74" i="5"/>
  <c r="L74" i="5"/>
  <c r="Z74" i="5"/>
  <c r="J74" i="5"/>
  <c r="X74" i="5"/>
  <c r="H74" i="5"/>
  <c r="AJ74" i="5"/>
  <c r="T74" i="5"/>
  <c r="D74" i="5"/>
  <c r="AF74" i="5"/>
  <c r="P74" i="5"/>
  <c r="AH74" i="5"/>
  <c r="V74" i="5"/>
  <c r="R74" i="5"/>
  <c r="F74" i="5"/>
  <c r="B74" i="5"/>
  <c r="AL74" i="5"/>
  <c r="D38" i="9" a="1"/>
  <c r="F36" i="9" a="1"/>
  <c r="F37" i="9" a="1"/>
  <c r="I39" i="9" a="1"/>
  <c r="H39" i="9" a="1"/>
  <c r="B39" i="9" a="1"/>
  <c r="H39" i="9" l="1"/>
  <c r="I39" i="9"/>
  <c r="B39" i="9"/>
  <c r="N39" i="9" s="1" a="1"/>
  <c r="N39" i="9" s="1"/>
  <c r="F37" i="9"/>
  <c r="G37" i="9" s="1"/>
  <c r="F36" i="9"/>
  <c r="G36" i="9" s="1"/>
  <c r="D38" i="9"/>
  <c r="Q39" i="9"/>
  <c r="P39" i="9" s="1"/>
  <c r="J37" i="9"/>
  <c r="J36" i="9"/>
  <c r="A41" i="9"/>
  <c r="AJ77" i="5"/>
  <c r="T77" i="5"/>
  <c r="D77" i="5"/>
  <c r="AH77" i="5"/>
  <c r="R77" i="5"/>
  <c r="B77" i="5"/>
  <c r="AF77" i="5"/>
  <c r="P77" i="5"/>
  <c r="AD77" i="5"/>
  <c r="N77" i="5"/>
  <c r="Z77" i="5"/>
  <c r="J77" i="5"/>
  <c r="AL77" i="5"/>
  <c r="V77" i="5"/>
  <c r="F77" i="5"/>
  <c r="X77" i="5"/>
  <c r="L77" i="5"/>
  <c r="H77" i="5"/>
  <c r="A79" i="5" a="1"/>
  <c r="A79" i="5" s="1"/>
  <c r="AB77" i="5"/>
  <c r="AH76" i="5"/>
  <c r="R76" i="5"/>
  <c r="B76" i="5"/>
  <c r="AF76" i="5"/>
  <c r="P76" i="5"/>
  <c r="AD76" i="5"/>
  <c r="N76" i="5"/>
  <c r="A78" i="5" a="1"/>
  <c r="A78" i="5" s="1"/>
  <c r="AB76" i="5"/>
  <c r="L76" i="5"/>
  <c r="X76" i="5"/>
  <c r="H76" i="5"/>
  <c r="AJ76" i="5"/>
  <c r="T76" i="5"/>
  <c r="D76" i="5"/>
  <c r="F76" i="5"/>
  <c r="AL76" i="5"/>
  <c r="Z76" i="5"/>
  <c r="V76" i="5"/>
  <c r="J76" i="5"/>
  <c r="I40" i="9" a="1"/>
  <c r="H40" i="9" a="1"/>
  <c r="F38" i="9" a="1"/>
  <c r="B40" i="9" a="1"/>
  <c r="F38" i="9" l="1"/>
  <c r="G38" i="9" s="1"/>
  <c r="H40" i="9"/>
  <c r="I40" i="9"/>
  <c r="B40" i="9"/>
  <c r="N40" i="9" s="1" a="1"/>
  <c r="N40" i="9" s="1"/>
  <c r="J38" i="9"/>
  <c r="Q40" i="9"/>
  <c r="P40" i="9" s="1"/>
  <c r="A42" i="9"/>
  <c r="K36" i="9"/>
  <c r="L36" i="9"/>
  <c r="L37" i="9"/>
  <c r="K37" i="9"/>
  <c r="E39" i="9"/>
  <c r="AL78" i="5"/>
  <c r="V78" i="5"/>
  <c r="F78" i="5"/>
  <c r="AJ78" i="5"/>
  <c r="T78" i="5"/>
  <c r="D78" i="5"/>
  <c r="AH78" i="5"/>
  <c r="R78" i="5"/>
  <c r="B78" i="5"/>
  <c r="AF78" i="5"/>
  <c r="P78" i="5"/>
  <c r="A80" i="5" a="1"/>
  <c r="A80" i="5" s="1"/>
  <c r="AB78" i="5"/>
  <c r="L78" i="5"/>
  <c r="X78" i="5"/>
  <c r="H78" i="5"/>
  <c r="AD78" i="5"/>
  <c r="Z78" i="5"/>
  <c r="N78" i="5"/>
  <c r="J78" i="5"/>
  <c r="X79" i="5"/>
  <c r="H79" i="5"/>
  <c r="AL79" i="5"/>
  <c r="V79" i="5"/>
  <c r="F79" i="5"/>
  <c r="AJ79" i="5"/>
  <c r="T79" i="5"/>
  <c r="D79" i="5"/>
  <c r="AH79" i="5"/>
  <c r="R79" i="5"/>
  <c r="B79" i="5"/>
  <c r="AD79" i="5"/>
  <c r="N79" i="5"/>
  <c r="Z79" i="5"/>
  <c r="J79" i="5"/>
  <c r="AF79" i="5"/>
  <c r="A81" i="5" a="1"/>
  <c r="A81" i="5" s="1"/>
  <c r="AB79" i="5"/>
  <c r="P79" i="5"/>
  <c r="L79" i="5"/>
  <c r="D39" i="9" a="1"/>
  <c r="H41" i="9" a="1"/>
  <c r="I41" i="9" a="1"/>
  <c r="B41" i="9" a="1"/>
  <c r="I41" i="9" l="1"/>
  <c r="H41" i="9"/>
  <c r="B41" i="9"/>
  <c r="N41" i="9" s="1" a="1"/>
  <c r="N41" i="9" s="1"/>
  <c r="D39" i="9"/>
  <c r="F39" i="9" s="1" a="1"/>
  <c r="Q41" i="9"/>
  <c r="P41" i="9" s="1"/>
  <c r="L38" i="9"/>
  <c r="K38" i="9"/>
  <c r="A43" i="9"/>
  <c r="E40" i="9"/>
  <c r="Z80" i="5"/>
  <c r="J80" i="5"/>
  <c r="A82" i="5" a="1"/>
  <c r="A82" i="5" s="1"/>
  <c r="X80" i="5"/>
  <c r="H80" i="5"/>
  <c r="AL80" i="5"/>
  <c r="V80" i="5"/>
  <c r="F80" i="5"/>
  <c r="AJ80" i="5"/>
  <c r="T80" i="5"/>
  <c r="D80" i="5"/>
  <c r="AF80" i="5"/>
  <c r="P80" i="5"/>
  <c r="AB80" i="5"/>
  <c r="L80" i="5"/>
  <c r="N80" i="5"/>
  <c r="B80" i="5"/>
  <c r="AH80" i="5"/>
  <c r="AD80" i="5"/>
  <c r="R80" i="5"/>
  <c r="AF81" i="5"/>
  <c r="P81" i="5"/>
  <c r="AD81" i="5"/>
  <c r="L81" i="5"/>
  <c r="AB81" i="5"/>
  <c r="J81" i="5"/>
  <c r="Z81" i="5"/>
  <c r="H81" i="5"/>
  <c r="X81" i="5"/>
  <c r="F81" i="5"/>
  <c r="A83" i="5" a="1"/>
  <c r="A83" i="5" s="1"/>
  <c r="AL81" i="5"/>
  <c r="T81" i="5"/>
  <c r="B81" i="5"/>
  <c r="AH81" i="5"/>
  <c r="N81" i="5"/>
  <c r="AJ81" i="5"/>
  <c r="V81" i="5"/>
  <c r="R81" i="5"/>
  <c r="D81" i="5"/>
  <c r="D40" i="9" a="1"/>
  <c r="I42" i="9" a="1"/>
  <c r="H42" i="9" a="1"/>
  <c r="B42" i="9" a="1"/>
  <c r="H42" i="9" l="1"/>
  <c r="I42" i="9"/>
  <c r="B42" i="9"/>
  <c r="N42" i="9" s="1" a="1"/>
  <c r="N42" i="9" s="1"/>
  <c r="F39" i="9"/>
  <c r="G39" i="9" s="1"/>
  <c r="D40" i="9"/>
  <c r="F40" i="9" s="1" a="1"/>
  <c r="Q42" i="9"/>
  <c r="P42" i="9" s="1"/>
  <c r="J39" i="9"/>
  <c r="A44" i="9"/>
  <c r="E41" i="9"/>
  <c r="AH82" i="5"/>
  <c r="R82" i="5"/>
  <c r="B82" i="5"/>
  <c r="V82" i="5"/>
  <c r="D82" i="5"/>
  <c r="AL82" i="5"/>
  <c r="T82" i="5"/>
  <c r="A84" i="5" a="1"/>
  <c r="A84" i="5" s="1"/>
  <c r="AJ82" i="5"/>
  <c r="P82" i="5"/>
  <c r="AF82" i="5"/>
  <c r="N82" i="5"/>
  <c r="AB82" i="5"/>
  <c r="J82" i="5"/>
  <c r="X82" i="5"/>
  <c r="F82" i="5"/>
  <c r="AD82" i="5"/>
  <c r="Z82" i="5"/>
  <c r="L82" i="5"/>
  <c r="H82" i="5"/>
  <c r="AJ83" i="5"/>
  <c r="T83" i="5"/>
  <c r="D83" i="5"/>
  <c r="AF83" i="5"/>
  <c r="AD83" i="5"/>
  <c r="L83" i="5"/>
  <c r="A85" i="5" a="1"/>
  <c r="A85" i="5" s="1"/>
  <c r="AB83" i="5"/>
  <c r="J83" i="5"/>
  <c r="Z83" i="5"/>
  <c r="H83" i="5"/>
  <c r="X83" i="5"/>
  <c r="F83" i="5"/>
  <c r="R83" i="5"/>
  <c r="AH83" i="5"/>
  <c r="N83" i="5"/>
  <c r="P83" i="5"/>
  <c r="B83" i="5"/>
  <c r="AL83" i="5"/>
  <c r="V83" i="5"/>
  <c r="D41" i="9" a="1"/>
  <c r="I43" i="9" a="1"/>
  <c r="H43" i="9" a="1"/>
  <c r="B43" i="9" a="1"/>
  <c r="H43" i="9" l="1"/>
  <c r="I43" i="9"/>
  <c r="B43" i="9"/>
  <c r="N43" i="9" s="1" a="1"/>
  <c r="N43" i="9" s="1"/>
  <c r="F40" i="9"/>
  <c r="G40" i="9" s="1"/>
  <c r="D41" i="9"/>
  <c r="K39" i="9"/>
  <c r="L39" i="9"/>
  <c r="E42" i="9"/>
  <c r="Q43" i="9"/>
  <c r="P43" i="9" s="1"/>
  <c r="J40" i="9"/>
  <c r="A45" i="9"/>
  <c r="X85" i="5"/>
  <c r="H85" i="5"/>
  <c r="AJ85" i="5"/>
  <c r="T85" i="5"/>
  <c r="D85" i="5"/>
  <c r="A87" i="5" a="1"/>
  <c r="A87" i="5" s="1"/>
  <c r="Z85" i="5"/>
  <c r="B85" i="5"/>
  <c r="V85" i="5"/>
  <c r="R85" i="5"/>
  <c r="AL85" i="5"/>
  <c r="P85" i="5"/>
  <c r="AF85" i="5"/>
  <c r="L85" i="5"/>
  <c r="AB85" i="5"/>
  <c r="F85" i="5"/>
  <c r="J85" i="5"/>
  <c r="AH85" i="5"/>
  <c r="AD85" i="5"/>
  <c r="N85" i="5"/>
  <c r="AL84" i="5"/>
  <c r="V84" i="5"/>
  <c r="F84" i="5"/>
  <c r="AH84" i="5"/>
  <c r="R84" i="5"/>
  <c r="B84" i="5"/>
  <c r="A86" i="5" a="1"/>
  <c r="A86" i="5" s="1"/>
  <c r="AB84" i="5"/>
  <c r="H84" i="5"/>
  <c r="Z84" i="5"/>
  <c r="D84" i="5"/>
  <c r="X84" i="5"/>
  <c r="T84" i="5"/>
  <c r="AJ84" i="5"/>
  <c r="N84" i="5"/>
  <c r="AD84" i="5"/>
  <c r="J84" i="5"/>
  <c r="AF84" i="5"/>
  <c r="P84" i="5"/>
  <c r="L84" i="5"/>
  <c r="D42" i="9" a="1"/>
  <c r="F41" i="9" a="1"/>
  <c r="I44" i="9" a="1"/>
  <c r="H44" i="9" a="1"/>
  <c r="B44" i="9" a="1"/>
  <c r="H44" i="9" l="1"/>
  <c r="I44" i="9"/>
  <c r="B44" i="9"/>
  <c r="N44" i="9" s="1" a="1"/>
  <c r="N44" i="9" s="1"/>
  <c r="F41" i="9"/>
  <c r="G41" i="9" s="1"/>
  <c r="D42" i="9"/>
  <c r="A46" i="9"/>
  <c r="K40" i="9"/>
  <c r="L40" i="9"/>
  <c r="Q44" i="9"/>
  <c r="P44" i="9" s="1"/>
  <c r="J41" i="9"/>
  <c r="E43" i="9"/>
  <c r="Z86" i="5"/>
  <c r="J86" i="5"/>
  <c r="AL86" i="5"/>
  <c r="V86" i="5"/>
  <c r="F86" i="5"/>
  <c r="T86" i="5"/>
  <c r="R86" i="5"/>
  <c r="A88" i="5" a="1"/>
  <c r="A88" i="5" s="1"/>
  <c r="AJ86" i="5"/>
  <c r="P86" i="5"/>
  <c r="AH86" i="5"/>
  <c r="N86" i="5"/>
  <c r="AD86" i="5"/>
  <c r="H86" i="5"/>
  <c r="X86" i="5"/>
  <c r="B86" i="5"/>
  <c r="AF86" i="5"/>
  <c r="AB86" i="5"/>
  <c r="L86" i="5"/>
  <c r="D86" i="5"/>
  <c r="A89" i="5" a="1"/>
  <c r="A89" i="5" s="1"/>
  <c r="AB87" i="5"/>
  <c r="L87" i="5"/>
  <c r="Z87" i="5"/>
  <c r="J87" i="5"/>
  <c r="X87" i="5"/>
  <c r="H87" i="5"/>
  <c r="V87" i="5"/>
  <c r="T87" i="5"/>
  <c r="R87" i="5"/>
  <c r="AL87" i="5"/>
  <c r="P87" i="5"/>
  <c r="AJ87" i="5"/>
  <c r="N87" i="5"/>
  <c r="AH87" i="5"/>
  <c r="F87" i="5"/>
  <c r="AD87" i="5"/>
  <c r="B87" i="5"/>
  <c r="D87" i="5"/>
  <c r="AF87" i="5"/>
  <c r="H45" i="9" a="1"/>
  <c r="I45" i="9" a="1"/>
  <c r="F42" i="9" a="1"/>
  <c r="D43" i="9" a="1"/>
  <c r="B45" i="9" a="1"/>
  <c r="D43" i="9" l="1"/>
  <c r="F42" i="9"/>
  <c r="G42" i="9" s="1"/>
  <c r="I45" i="9"/>
  <c r="H45" i="9"/>
  <c r="B45" i="9"/>
  <c r="N45" i="9" s="1" a="1"/>
  <c r="N45" i="9" s="1"/>
  <c r="A47" i="9"/>
  <c r="J42" i="9"/>
  <c r="K41" i="9"/>
  <c r="L41" i="9"/>
  <c r="E44" i="9"/>
  <c r="Q45" i="9"/>
  <c r="P45" i="9" s="1"/>
  <c r="AD88" i="5"/>
  <c r="N88" i="5"/>
  <c r="A90" i="5" a="1"/>
  <c r="A90" i="5" s="1"/>
  <c r="AB88" i="5"/>
  <c r="L88" i="5"/>
  <c r="Z88" i="5"/>
  <c r="J88" i="5"/>
  <c r="AF88" i="5"/>
  <c r="D88" i="5"/>
  <c r="X88" i="5"/>
  <c r="B88" i="5"/>
  <c r="V88" i="5"/>
  <c r="T88" i="5"/>
  <c r="R88" i="5"/>
  <c r="AL88" i="5"/>
  <c r="P88" i="5"/>
  <c r="AH88" i="5"/>
  <c r="F88" i="5"/>
  <c r="AJ88" i="5"/>
  <c r="H88" i="5"/>
  <c r="AF89" i="5"/>
  <c r="P89" i="5"/>
  <c r="AD89" i="5"/>
  <c r="N89" i="5"/>
  <c r="A91" i="5" a="1"/>
  <c r="A91" i="5" s="1"/>
  <c r="AB89" i="5"/>
  <c r="L89" i="5"/>
  <c r="AL89" i="5"/>
  <c r="V89" i="5"/>
  <c r="F89" i="5"/>
  <c r="J89" i="5"/>
  <c r="H89" i="5"/>
  <c r="AJ89" i="5"/>
  <c r="D89" i="5"/>
  <c r="AH89" i="5"/>
  <c r="B89" i="5"/>
  <c r="Z89" i="5"/>
  <c r="X89" i="5"/>
  <c r="R89" i="5"/>
  <c r="T89" i="5"/>
  <c r="H46" i="9" a="1"/>
  <c r="I46" i="9" a="1"/>
  <c r="F43" i="9" a="1"/>
  <c r="D44" i="9" a="1"/>
  <c r="B46" i="9" a="1"/>
  <c r="D44" i="9" l="1"/>
  <c r="F43" i="9"/>
  <c r="G43" i="9" s="1"/>
  <c r="I46" i="9"/>
  <c r="H46" i="9"/>
  <c r="B46" i="9"/>
  <c r="N46" i="9" s="1" a="1"/>
  <c r="N46" i="9" s="1"/>
  <c r="L42" i="9"/>
  <c r="K42" i="9"/>
  <c r="A48" i="9"/>
  <c r="E45" i="9"/>
  <c r="J43" i="9"/>
  <c r="Q46" i="9"/>
  <c r="P46" i="9" s="1"/>
  <c r="AJ91" i="5"/>
  <c r="T91" i="5"/>
  <c r="D91" i="5"/>
  <c r="AH91" i="5"/>
  <c r="R91" i="5"/>
  <c r="B91" i="5"/>
  <c r="AF91" i="5"/>
  <c r="P91" i="5"/>
  <c r="Z91" i="5"/>
  <c r="J91" i="5"/>
  <c r="N91" i="5"/>
  <c r="L91" i="5"/>
  <c r="H91" i="5"/>
  <c r="AL91" i="5"/>
  <c r="F91" i="5"/>
  <c r="AD91" i="5"/>
  <c r="A93" i="5" a="1"/>
  <c r="A93" i="5" s="1"/>
  <c r="AB91" i="5"/>
  <c r="V91" i="5"/>
  <c r="X91" i="5"/>
  <c r="AH90" i="5"/>
  <c r="R90" i="5"/>
  <c r="B90" i="5"/>
  <c r="AF90" i="5"/>
  <c r="P90" i="5"/>
  <c r="AD90" i="5"/>
  <c r="N90" i="5"/>
  <c r="X90" i="5"/>
  <c r="H90" i="5"/>
  <c r="A92" i="5" a="1"/>
  <c r="A92" i="5" s="1"/>
  <c r="AB90" i="5"/>
  <c r="Z90" i="5"/>
  <c r="V90" i="5"/>
  <c r="T90" i="5"/>
  <c r="L90" i="5"/>
  <c r="J90" i="5"/>
  <c r="AJ90" i="5"/>
  <c r="D90" i="5"/>
  <c r="AL90" i="5"/>
  <c r="F90" i="5"/>
  <c r="I47" i="9" a="1"/>
  <c r="H47" i="9" a="1"/>
  <c r="F44" i="9" a="1"/>
  <c r="D45" i="9" a="1"/>
  <c r="B47" i="9" a="1"/>
  <c r="D45" i="9" l="1"/>
  <c r="F45" i="9" s="1" a="1"/>
  <c r="F44" i="9"/>
  <c r="G44" i="9" s="1"/>
  <c r="H47" i="9"/>
  <c r="E47" i="9" s="1"/>
  <c r="I47" i="9"/>
  <c r="B47" i="9"/>
  <c r="N47" i="9" s="1" a="1"/>
  <c r="N47" i="9" s="1"/>
  <c r="E46" i="9"/>
  <c r="K43" i="9"/>
  <c r="L43" i="9"/>
  <c r="J44" i="9"/>
  <c r="A49" i="9"/>
  <c r="Q47" i="9"/>
  <c r="P47" i="9" s="1"/>
  <c r="AL92" i="5"/>
  <c r="V92" i="5"/>
  <c r="F92" i="5"/>
  <c r="AJ92" i="5"/>
  <c r="T92" i="5"/>
  <c r="D92" i="5"/>
  <c r="AH92" i="5"/>
  <c r="R92" i="5"/>
  <c r="B92" i="5"/>
  <c r="A94" i="5" a="1"/>
  <c r="A94" i="5" s="1"/>
  <c r="AB92" i="5"/>
  <c r="L92" i="5"/>
  <c r="AF92" i="5"/>
  <c r="AD92" i="5"/>
  <c r="Z92" i="5"/>
  <c r="X92" i="5"/>
  <c r="P92" i="5"/>
  <c r="N92" i="5"/>
  <c r="H92" i="5"/>
  <c r="J92" i="5"/>
  <c r="X93" i="5"/>
  <c r="H93" i="5"/>
  <c r="AL93" i="5"/>
  <c r="V93" i="5"/>
  <c r="F93" i="5"/>
  <c r="AJ93" i="5"/>
  <c r="T93" i="5"/>
  <c r="D93" i="5"/>
  <c r="AD93" i="5"/>
  <c r="N93" i="5"/>
  <c r="R93" i="5"/>
  <c r="P93" i="5"/>
  <c r="L93" i="5"/>
  <c r="J93" i="5"/>
  <c r="AH93" i="5"/>
  <c r="B93" i="5"/>
  <c r="AF93" i="5"/>
  <c r="Z93" i="5"/>
  <c r="A95" i="5" a="1"/>
  <c r="A95" i="5" s="1"/>
  <c r="AB93" i="5"/>
  <c r="I48" i="9" a="1"/>
  <c r="H48" i="9" a="1"/>
  <c r="D47" i="9" a="1"/>
  <c r="D46" i="9" a="1"/>
  <c r="B48" i="9" a="1"/>
  <c r="D46" i="9" l="1"/>
  <c r="F46" i="9" s="1" a="1"/>
  <c r="D47" i="9"/>
  <c r="H48" i="9"/>
  <c r="I48" i="9"/>
  <c r="B48" i="9"/>
  <c r="N48" i="9" s="1" a="1"/>
  <c r="N48" i="9" s="1"/>
  <c r="F45" i="9"/>
  <c r="G45" i="9" s="1"/>
  <c r="A50" i="9"/>
  <c r="A51" i="9" s="1"/>
  <c r="K44" i="9"/>
  <c r="L44" i="9"/>
  <c r="Q48" i="9"/>
  <c r="P48" i="9" s="1"/>
  <c r="J45" i="9"/>
  <c r="A96" i="5" a="1"/>
  <c r="A96" i="5" s="1"/>
  <c r="Z94" i="5"/>
  <c r="J94" i="5"/>
  <c r="X94" i="5"/>
  <c r="H94" i="5"/>
  <c r="AL94" i="5"/>
  <c r="V94" i="5"/>
  <c r="F94" i="5"/>
  <c r="AF94" i="5"/>
  <c r="P94" i="5"/>
  <c r="AJ94" i="5"/>
  <c r="D94" i="5"/>
  <c r="AH94" i="5"/>
  <c r="B94" i="5"/>
  <c r="AD94" i="5"/>
  <c r="AB94" i="5"/>
  <c r="T94" i="5"/>
  <c r="R94" i="5"/>
  <c r="L94" i="5"/>
  <c r="N94" i="5"/>
  <c r="A97" i="5" a="1"/>
  <c r="A97" i="5" s="1"/>
  <c r="AB95" i="5"/>
  <c r="L95" i="5"/>
  <c r="Z95" i="5"/>
  <c r="J95" i="5"/>
  <c r="X95" i="5"/>
  <c r="H95" i="5"/>
  <c r="AH95" i="5"/>
  <c r="R95" i="5"/>
  <c r="B95" i="5"/>
  <c r="V95" i="5"/>
  <c r="T95" i="5"/>
  <c r="P95" i="5"/>
  <c r="N95" i="5"/>
  <c r="AL95" i="5"/>
  <c r="F95" i="5"/>
  <c r="AJ95" i="5"/>
  <c r="D95" i="5"/>
  <c r="AD95" i="5"/>
  <c r="AF95" i="5"/>
  <c r="I49" i="9" a="1"/>
  <c r="H49" i="9" a="1"/>
  <c r="F47" i="9" a="1"/>
  <c r="B49" i="9" a="1"/>
  <c r="F47" i="9" l="1"/>
  <c r="G47" i="9" s="1"/>
  <c r="H49" i="9"/>
  <c r="I49" i="9"/>
  <c r="B49" i="9"/>
  <c r="N49" i="9" s="1" a="1"/>
  <c r="N49" i="9" s="1"/>
  <c r="F46" i="9"/>
  <c r="G46" i="9" s="1"/>
  <c r="K45" i="9"/>
  <c r="L45" i="9"/>
  <c r="E48" i="9"/>
  <c r="J47" i="9"/>
  <c r="Q49" i="9"/>
  <c r="P49" i="9" s="1"/>
  <c r="A52" i="9"/>
  <c r="A53" i="9" s="1"/>
  <c r="J46" i="9"/>
  <c r="AF96" i="5"/>
  <c r="P96" i="5"/>
  <c r="AD96" i="5"/>
  <c r="N96" i="5"/>
  <c r="A98" i="5" a="1"/>
  <c r="A98" i="5" s="1"/>
  <c r="AB96" i="5"/>
  <c r="L96" i="5"/>
  <c r="Z96" i="5"/>
  <c r="J96" i="5"/>
  <c r="AJ96" i="5"/>
  <c r="T96" i="5"/>
  <c r="D96" i="5"/>
  <c r="R96" i="5"/>
  <c r="H96" i="5"/>
  <c r="F96" i="5"/>
  <c r="B96" i="5"/>
  <c r="AL96" i="5"/>
  <c r="AH96" i="5"/>
  <c r="V96" i="5"/>
  <c r="X96" i="5"/>
  <c r="AH97" i="5"/>
  <c r="R97" i="5"/>
  <c r="B97" i="5"/>
  <c r="AF97" i="5"/>
  <c r="P97" i="5"/>
  <c r="AD97" i="5"/>
  <c r="N97" i="5"/>
  <c r="A99" i="5" a="1"/>
  <c r="A99" i="5" s="1"/>
  <c r="AB97" i="5"/>
  <c r="L97" i="5"/>
  <c r="AL97" i="5"/>
  <c r="V97" i="5"/>
  <c r="F97" i="5"/>
  <c r="J97" i="5"/>
  <c r="H97" i="5"/>
  <c r="D97" i="5"/>
  <c r="AJ97" i="5"/>
  <c r="Z97" i="5"/>
  <c r="T97" i="5"/>
  <c r="X97" i="5"/>
  <c r="D48" i="9" a="1"/>
  <c r="I51" i="9" a="1"/>
  <c r="H51" i="9" a="1"/>
  <c r="B51" i="9" a="1"/>
  <c r="H51" i="9" l="1"/>
  <c r="E51" i="9" s="1"/>
  <c r="I51" i="9"/>
  <c r="B51" i="9"/>
  <c r="N51" i="9" s="1" a="1"/>
  <c r="N51" i="9" s="1"/>
  <c r="D48" i="9"/>
  <c r="J48" i="9" s="1"/>
  <c r="A54" i="9"/>
  <c r="Q51" i="9"/>
  <c r="P51" i="9" s="1"/>
  <c r="K46" i="9"/>
  <c r="L46" i="9"/>
  <c r="L47" i="9"/>
  <c r="K47" i="9"/>
  <c r="E49" i="9"/>
  <c r="AL99" i="5"/>
  <c r="V99" i="5"/>
  <c r="F99" i="5"/>
  <c r="AJ99" i="5"/>
  <c r="T99" i="5"/>
  <c r="D99" i="5"/>
  <c r="AH99" i="5"/>
  <c r="R99" i="5"/>
  <c r="B99" i="5"/>
  <c r="AF99" i="5"/>
  <c r="P99" i="5"/>
  <c r="Z99" i="5"/>
  <c r="J99" i="5"/>
  <c r="A101" i="5" a="1"/>
  <c r="A101" i="5" s="1"/>
  <c r="H99" i="5"/>
  <c r="AD99" i="5"/>
  <c r="AB99" i="5"/>
  <c r="X99" i="5"/>
  <c r="L99" i="5"/>
  <c r="N99" i="5"/>
  <c r="AJ98" i="5"/>
  <c r="T98" i="5"/>
  <c r="D98" i="5"/>
  <c r="AH98" i="5"/>
  <c r="R98" i="5"/>
  <c r="B98" i="5"/>
  <c r="AF98" i="5"/>
  <c r="P98" i="5"/>
  <c r="AD98" i="5"/>
  <c r="N98" i="5"/>
  <c r="X98" i="5"/>
  <c r="H98" i="5"/>
  <c r="A100" i="5" a="1"/>
  <c r="A100" i="5" s="1"/>
  <c r="J98" i="5"/>
  <c r="F98" i="5"/>
  <c r="AL98" i="5"/>
  <c r="AB98" i="5"/>
  <c r="Z98" i="5"/>
  <c r="L98" i="5"/>
  <c r="V98" i="5"/>
  <c r="I53" i="9" a="1"/>
  <c r="H53" i="9" a="1"/>
  <c r="D51" i="9" a="1"/>
  <c r="D49" i="9" a="1"/>
  <c r="B53" i="9" a="1"/>
  <c r="D49" i="9" l="1"/>
  <c r="D51" i="9"/>
  <c r="F51" i="9" s="1" a="1"/>
  <c r="H53" i="9"/>
  <c r="I53" i="9"/>
  <c r="B53" i="9"/>
  <c r="N53" i="9" s="1" a="1"/>
  <c r="N53" i="9" s="1"/>
  <c r="A55" i="9"/>
  <c r="K48" i="9"/>
  <c r="L48" i="9"/>
  <c r="Q53" i="9"/>
  <c r="P53" i="9" s="1"/>
  <c r="Z101" i="5"/>
  <c r="J101" i="5"/>
  <c r="X101" i="5"/>
  <c r="H101" i="5"/>
  <c r="AL101" i="5"/>
  <c r="V101" i="5"/>
  <c r="F101" i="5"/>
  <c r="AJ101" i="5"/>
  <c r="T101" i="5"/>
  <c r="D101" i="5"/>
  <c r="AD101" i="5"/>
  <c r="N101" i="5"/>
  <c r="AH101" i="5"/>
  <c r="AF101" i="5"/>
  <c r="AB101" i="5"/>
  <c r="R101" i="5"/>
  <c r="P101" i="5"/>
  <c r="A103" i="5" a="1"/>
  <c r="A103" i="5" s="1"/>
  <c r="B101" i="5"/>
  <c r="L101" i="5"/>
  <c r="X100" i="5"/>
  <c r="H100" i="5"/>
  <c r="AL100" i="5"/>
  <c r="V100" i="5"/>
  <c r="F100" i="5"/>
  <c r="AJ100" i="5"/>
  <c r="T100" i="5"/>
  <c r="D100" i="5"/>
  <c r="AH100" i="5"/>
  <c r="R100" i="5"/>
  <c r="B100" i="5"/>
  <c r="A102" i="5" a="1"/>
  <c r="A102" i="5" s="1"/>
  <c r="AB100" i="5"/>
  <c r="L100" i="5"/>
  <c r="AF100" i="5"/>
  <c r="AD100" i="5"/>
  <c r="Z100" i="5"/>
  <c r="P100" i="5"/>
  <c r="J100" i="5"/>
  <c r="N100" i="5"/>
  <c r="I54" i="9" a="1"/>
  <c r="H54" i="9" a="1"/>
  <c r="F49" i="9" a="1"/>
  <c r="B54" i="9" a="1"/>
  <c r="F51" i="9" l="1"/>
  <c r="G51" i="9" s="1"/>
  <c r="F49" i="9"/>
  <c r="G49" i="9" s="1"/>
  <c r="H54" i="9"/>
  <c r="I54" i="9"/>
  <c r="B54" i="9"/>
  <c r="N54" i="9" s="1" a="1"/>
  <c r="N54" i="9" s="1"/>
  <c r="A56" i="9"/>
  <c r="E53" i="9"/>
  <c r="J51" i="9"/>
  <c r="J49" i="9"/>
  <c r="Q54" i="9"/>
  <c r="P54" i="9" s="1"/>
  <c r="AD103" i="5"/>
  <c r="N103" i="5"/>
  <c r="A105" i="5" a="1"/>
  <c r="A105" i="5" s="1"/>
  <c r="AB103" i="5"/>
  <c r="L103" i="5"/>
  <c r="Z103" i="5"/>
  <c r="J103" i="5"/>
  <c r="X103" i="5"/>
  <c r="H103" i="5"/>
  <c r="AH103" i="5"/>
  <c r="R103" i="5"/>
  <c r="B103" i="5"/>
  <c r="AJ103" i="5"/>
  <c r="AF103" i="5"/>
  <c r="V103" i="5"/>
  <c r="T103" i="5"/>
  <c r="P103" i="5"/>
  <c r="F103" i="5"/>
  <c r="AL103" i="5"/>
  <c r="D103" i="5"/>
  <c r="A104" i="5" a="1"/>
  <c r="A104" i="5" s="1"/>
  <c r="AB102" i="5"/>
  <c r="L102" i="5"/>
  <c r="Z102" i="5"/>
  <c r="J102" i="5"/>
  <c r="X102" i="5"/>
  <c r="H102" i="5"/>
  <c r="AL102" i="5"/>
  <c r="V102" i="5"/>
  <c r="F102" i="5"/>
  <c r="AF102" i="5"/>
  <c r="P102" i="5"/>
  <c r="AJ102" i="5"/>
  <c r="AH102" i="5"/>
  <c r="AD102" i="5"/>
  <c r="T102" i="5"/>
  <c r="R102" i="5"/>
  <c r="N102" i="5"/>
  <c r="B102" i="5"/>
  <c r="D102" i="5"/>
  <c r="I55" i="9" a="1"/>
  <c r="H55" i="9" a="1"/>
  <c r="D53" i="9" a="1"/>
  <c r="B55" i="9" a="1"/>
  <c r="D53" i="9" l="1"/>
  <c r="F53" i="9" s="1" a="1"/>
  <c r="H55" i="9"/>
  <c r="I55" i="9"/>
  <c r="B55" i="9"/>
  <c r="N55" i="9" s="1" a="1"/>
  <c r="N55" i="9" s="1"/>
  <c r="E54" i="9"/>
  <c r="K49" i="9"/>
  <c r="L49" i="9"/>
  <c r="A57" i="9"/>
  <c r="L51" i="9"/>
  <c r="K51" i="9"/>
  <c r="Q55" i="9"/>
  <c r="P55" i="9" s="1"/>
  <c r="AF104" i="5"/>
  <c r="P104" i="5"/>
  <c r="AD104" i="5"/>
  <c r="N104" i="5"/>
  <c r="A106" i="5" a="1"/>
  <c r="A106" i="5" s="1"/>
  <c r="AB104" i="5"/>
  <c r="L104" i="5"/>
  <c r="Z104" i="5"/>
  <c r="J104" i="5"/>
  <c r="AJ104" i="5"/>
  <c r="T104" i="5"/>
  <c r="D104" i="5"/>
  <c r="AH104" i="5"/>
  <c r="X104" i="5"/>
  <c r="V104" i="5"/>
  <c r="R104" i="5"/>
  <c r="H104" i="5"/>
  <c r="F104" i="5"/>
  <c r="AL104" i="5"/>
  <c r="B104" i="5"/>
  <c r="AH105" i="5"/>
  <c r="R105" i="5"/>
  <c r="B105" i="5"/>
  <c r="AF105" i="5"/>
  <c r="P105" i="5"/>
  <c r="AD105" i="5"/>
  <c r="N105" i="5"/>
  <c r="A107" i="5" a="1"/>
  <c r="A107" i="5" s="1"/>
  <c r="AB105" i="5"/>
  <c r="L105" i="5"/>
  <c r="AL105" i="5"/>
  <c r="V105" i="5"/>
  <c r="F105" i="5"/>
  <c r="Z105" i="5"/>
  <c r="X105" i="5"/>
  <c r="T105" i="5"/>
  <c r="J105" i="5"/>
  <c r="H105" i="5"/>
  <c r="D105" i="5"/>
  <c r="AJ105" i="5"/>
  <c r="I56" i="9" a="1"/>
  <c r="H56" i="9" a="1"/>
  <c r="D54" i="9" a="1"/>
  <c r="B56" i="9" a="1"/>
  <c r="D54" i="9" l="1"/>
  <c r="F54" i="9" s="1" a="1"/>
  <c r="H56" i="9"/>
  <c r="I56" i="9"/>
  <c r="B56" i="9"/>
  <c r="N56" i="9" s="1" a="1"/>
  <c r="N56" i="9" s="1"/>
  <c r="F53" i="9"/>
  <c r="G53" i="9" s="1"/>
  <c r="E55" i="9"/>
  <c r="A58" i="9"/>
  <c r="Q56" i="9"/>
  <c r="P56" i="9" s="1"/>
  <c r="J53" i="9"/>
  <c r="AL107" i="5"/>
  <c r="V107" i="5"/>
  <c r="F107" i="5"/>
  <c r="AJ107" i="5"/>
  <c r="T107" i="5"/>
  <c r="D107" i="5"/>
  <c r="AH107" i="5"/>
  <c r="R107" i="5"/>
  <c r="B107" i="5"/>
  <c r="AF107" i="5"/>
  <c r="P107" i="5"/>
  <c r="Z107" i="5"/>
  <c r="J107" i="5"/>
  <c r="X107" i="5"/>
  <c r="N107" i="5"/>
  <c r="L107" i="5"/>
  <c r="H107" i="5"/>
  <c r="AB107" i="5"/>
  <c r="A109" i="5" a="1"/>
  <c r="A109" i="5" s="1"/>
  <c r="AD107" i="5"/>
  <c r="AJ106" i="5"/>
  <c r="T106" i="5"/>
  <c r="D106" i="5"/>
  <c r="AH106" i="5"/>
  <c r="R106" i="5"/>
  <c r="B106" i="5"/>
  <c r="AF106" i="5"/>
  <c r="P106" i="5"/>
  <c r="AD106" i="5"/>
  <c r="N106" i="5"/>
  <c r="A108" i="5" a="1"/>
  <c r="A108" i="5" s="1"/>
  <c r="X106" i="5"/>
  <c r="H106" i="5"/>
  <c r="Z106" i="5"/>
  <c r="V106" i="5"/>
  <c r="L106" i="5"/>
  <c r="J106" i="5"/>
  <c r="F106" i="5"/>
  <c r="AB106" i="5"/>
  <c r="AL106" i="5"/>
  <c r="H57" i="9" a="1"/>
  <c r="I57" i="9" a="1"/>
  <c r="D55" i="9" a="1"/>
  <c r="B57" i="9" a="1"/>
  <c r="D55" i="9" l="1"/>
  <c r="I57" i="9"/>
  <c r="H57" i="9"/>
  <c r="B57" i="9"/>
  <c r="N57" i="9" s="1" a="1"/>
  <c r="N57" i="9" s="1"/>
  <c r="F54" i="9"/>
  <c r="G54" i="9" s="1"/>
  <c r="K53" i="9"/>
  <c r="L53" i="9"/>
  <c r="E56" i="9"/>
  <c r="Q57" i="9"/>
  <c r="P57" i="9" s="1"/>
  <c r="A59" i="9"/>
  <c r="J54" i="9"/>
  <c r="Z109" i="5"/>
  <c r="J109" i="5"/>
  <c r="A111" i="5" a="1"/>
  <c r="A111" i="5" s="1"/>
  <c r="X109" i="5"/>
  <c r="H109" i="5"/>
  <c r="AL109" i="5"/>
  <c r="V109" i="5"/>
  <c r="F109" i="5"/>
  <c r="AJ109" i="5"/>
  <c r="T109" i="5"/>
  <c r="D109" i="5"/>
  <c r="AH109" i="5"/>
  <c r="R109" i="5"/>
  <c r="B109" i="5"/>
  <c r="AD109" i="5"/>
  <c r="N109" i="5"/>
  <c r="AF109" i="5"/>
  <c r="AB109" i="5"/>
  <c r="P109" i="5"/>
  <c r="L109" i="5"/>
  <c r="X108" i="5"/>
  <c r="H108" i="5"/>
  <c r="AL108" i="5"/>
  <c r="V108" i="5"/>
  <c r="F108" i="5"/>
  <c r="AJ108" i="5"/>
  <c r="T108" i="5"/>
  <c r="D108" i="5"/>
  <c r="AH108" i="5"/>
  <c r="R108" i="5"/>
  <c r="B108" i="5"/>
  <c r="AF108" i="5"/>
  <c r="P108" i="5"/>
  <c r="A110" i="5" a="1"/>
  <c r="A110" i="5" s="1"/>
  <c r="AB108" i="5"/>
  <c r="L108" i="5"/>
  <c r="AD108" i="5"/>
  <c r="Z108" i="5"/>
  <c r="N108" i="5"/>
  <c r="J108" i="5"/>
  <c r="F55" i="9" a="1"/>
  <c r="D56" i="9" a="1"/>
  <c r="I58" i="9" a="1"/>
  <c r="H58" i="9" a="1"/>
  <c r="B58" i="9" a="1"/>
  <c r="H58" i="9" l="1"/>
  <c r="I58" i="9"/>
  <c r="B58" i="9"/>
  <c r="N58" i="9" s="1" a="1"/>
  <c r="N58" i="9" s="1"/>
  <c r="D56" i="9"/>
  <c r="F56" i="9" s="1" a="1"/>
  <c r="F55" i="9"/>
  <c r="G55" i="9" s="1"/>
  <c r="K54" i="9"/>
  <c r="L54" i="9"/>
  <c r="A60" i="9"/>
  <c r="Q58" i="9"/>
  <c r="P58" i="9" s="1"/>
  <c r="E57" i="9"/>
  <c r="J55" i="9"/>
  <c r="X111" i="5"/>
  <c r="H111" i="5"/>
  <c r="AL111" i="5"/>
  <c r="T111" i="5"/>
  <c r="B111" i="5"/>
  <c r="A113" i="5" a="1"/>
  <c r="A113" i="5" s="1"/>
  <c r="AJ111" i="5"/>
  <c r="R111" i="5"/>
  <c r="AH111" i="5"/>
  <c r="P111" i="5"/>
  <c r="AF111" i="5"/>
  <c r="N111" i="5"/>
  <c r="AD111" i="5"/>
  <c r="L111" i="5"/>
  <c r="Z111" i="5"/>
  <c r="F111" i="5"/>
  <c r="AB111" i="5"/>
  <c r="V111" i="5"/>
  <c r="J111" i="5"/>
  <c r="D111" i="5"/>
  <c r="AL110" i="5"/>
  <c r="V110" i="5"/>
  <c r="AD110" i="5"/>
  <c r="L110" i="5"/>
  <c r="AB110" i="5"/>
  <c r="J110" i="5"/>
  <c r="Z110" i="5"/>
  <c r="H110" i="5"/>
  <c r="X110" i="5"/>
  <c r="F110" i="5"/>
  <c r="T110" i="5"/>
  <c r="D110" i="5"/>
  <c r="AH110" i="5"/>
  <c r="P110" i="5"/>
  <c r="B110" i="5"/>
  <c r="AJ110" i="5"/>
  <c r="AF110" i="5"/>
  <c r="N110" i="5"/>
  <c r="A112" i="5" a="1"/>
  <c r="A112" i="5" s="1"/>
  <c r="R110" i="5"/>
  <c r="H59" i="9" a="1"/>
  <c r="I59" i="9" a="1"/>
  <c r="D57" i="9" a="1"/>
  <c r="B59" i="9" a="1"/>
  <c r="F56" i="9" l="1"/>
  <c r="G56" i="9" s="1"/>
  <c r="D57" i="9"/>
  <c r="F57" i="9" s="1" a="1"/>
  <c r="I59" i="9"/>
  <c r="H59" i="9"/>
  <c r="B59" i="9"/>
  <c r="N59" i="9" s="1" a="1"/>
  <c r="N59" i="9" s="1"/>
  <c r="K55" i="9"/>
  <c r="L55" i="9"/>
  <c r="J56" i="9"/>
  <c r="E58" i="9"/>
  <c r="A61" i="9"/>
  <c r="Q59" i="9"/>
  <c r="P59" i="9" s="1"/>
  <c r="A115" i="5" a="1"/>
  <c r="A115" i="5" s="1"/>
  <c r="AB113" i="5"/>
  <c r="L113" i="5"/>
  <c r="AL113" i="5"/>
  <c r="T113" i="5"/>
  <c r="B113" i="5"/>
  <c r="AJ113" i="5"/>
  <c r="R113" i="5"/>
  <c r="AH113" i="5"/>
  <c r="P113" i="5"/>
  <c r="AF113" i="5"/>
  <c r="N113" i="5"/>
  <c r="AD113" i="5"/>
  <c r="J113" i="5"/>
  <c r="X113" i="5"/>
  <c r="F113" i="5"/>
  <c r="H113" i="5"/>
  <c r="D113" i="5"/>
  <c r="V113" i="5"/>
  <c r="Z113" i="5"/>
  <c r="Z112" i="5"/>
  <c r="J112" i="5"/>
  <c r="AD112" i="5"/>
  <c r="L112" i="5"/>
  <c r="AB112" i="5"/>
  <c r="H112" i="5"/>
  <c r="X112" i="5"/>
  <c r="F112" i="5"/>
  <c r="V112" i="5"/>
  <c r="D112" i="5"/>
  <c r="AL112" i="5"/>
  <c r="T112" i="5"/>
  <c r="B112" i="5"/>
  <c r="AH112" i="5"/>
  <c r="P112" i="5"/>
  <c r="AJ112" i="5"/>
  <c r="AF112" i="5"/>
  <c r="A114" i="5" a="1"/>
  <c r="A114" i="5" s="1"/>
  <c r="R112" i="5"/>
  <c r="N112" i="5"/>
  <c r="D58" i="9" a="1"/>
  <c r="I60" i="9" a="1"/>
  <c r="H60" i="9" a="1"/>
  <c r="B60" i="9" a="1"/>
  <c r="H60" i="9" l="1"/>
  <c r="I60" i="9"/>
  <c r="B60" i="9"/>
  <c r="N60" i="9" s="1" a="1"/>
  <c r="N60" i="9" s="1"/>
  <c r="D58" i="9"/>
  <c r="F57" i="9"/>
  <c r="G57" i="9" s="1"/>
  <c r="E59" i="9"/>
  <c r="A62" i="9"/>
  <c r="A63" i="9" s="1"/>
  <c r="A64" i="9" s="1"/>
  <c r="A65" i="9" s="1"/>
  <c r="A66" i="9" s="1"/>
  <c r="A67" i="9" s="1"/>
  <c r="A68" i="9" s="1"/>
  <c r="A69" i="9" s="1"/>
  <c r="A70" i="9" s="1"/>
  <c r="Q60" i="9"/>
  <c r="P60" i="9" s="1"/>
  <c r="J57" i="9"/>
  <c r="K56" i="9"/>
  <c r="L56" i="9"/>
  <c r="AF115" i="5"/>
  <c r="P115" i="5"/>
  <c r="A117" i="5" a="1"/>
  <c r="A117" i="5" s="1"/>
  <c r="AL115" i="5"/>
  <c r="T115" i="5"/>
  <c r="B115" i="5"/>
  <c r="AJ115" i="5"/>
  <c r="R115" i="5"/>
  <c r="AH115" i="5"/>
  <c r="N115" i="5"/>
  <c r="AD115" i="5"/>
  <c r="L115" i="5"/>
  <c r="AB115" i="5"/>
  <c r="J115" i="5"/>
  <c r="X115" i="5"/>
  <c r="F115" i="5"/>
  <c r="Z115" i="5"/>
  <c r="V115" i="5"/>
  <c r="D115" i="5"/>
  <c r="H115" i="5"/>
  <c r="AD114" i="5"/>
  <c r="N114" i="5"/>
  <c r="AB114" i="5"/>
  <c r="J114" i="5"/>
  <c r="Z114" i="5"/>
  <c r="H114" i="5"/>
  <c r="X114" i="5"/>
  <c r="F114" i="5"/>
  <c r="V114" i="5"/>
  <c r="D114" i="5"/>
  <c r="A116" i="5" a="1"/>
  <c r="A116" i="5" s="1"/>
  <c r="AL114" i="5"/>
  <c r="T114" i="5"/>
  <c r="B114" i="5"/>
  <c r="AH114" i="5"/>
  <c r="P114" i="5"/>
  <c r="AJ114" i="5"/>
  <c r="AF114" i="5"/>
  <c r="R114" i="5"/>
  <c r="L114" i="5"/>
  <c r="I61" i="9" a="1"/>
  <c r="H61" i="9" a="1"/>
  <c r="F58" i="9" a="1"/>
  <c r="D59" i="9" a="1"/>
  <c r="B61" i="9" a="1"/>
  <c r="D59" i="9" l="1"/>
  <c r="F59" i="9" s="1" a="1"/>
  <c r="F58" i="9"/>
  <c r="G58" i="9" s="1"/>
  <c r="H61" i="9"/>
  <c r="I61" i="9"/>
  <c r="B61" i="9"/>
  <c r="N61" i="9" s="1" a="1"/>
  <c r="N61" i="9" s="1"/>
  <c r="K57" i="9"/>
  <c r="L57" i="9"/>
  <c r="J58" i="9"/>
  <c r="E60" i="9"/>
  <c r="Q61" i="9"/>
  <c r="P61" i="9" s="1"/>
  <c r="AJ117" i="5"/>
  <c r="T117" i="5"/>
  <c r="D117" i="5"/>
  <c r="A119" i="5" a="1"/>
  <c r="A119" i="5" s="1"/>
  <c r="AL117" i="5"/>
  <c r="R117" i="5"/>
  <c r="AH117" i="5"/>
  <c r="P117" i="5"/>
  <c r="AF117" i="5"/>
  <c r="N117" i="5"/>
  <c r="AD117" i="5"/>
  <c r="L117" i="5"/>
  <c r="AB117" i="5"/>
  <c r="J117" i="5"/>
  <c r="X117" i="5"/>
  <c r="F117" i="5"/>
  <c r="Z117" i="5"/>
  <c r="V117" i="5"/>
  <c r="H117" i="5"/>
  <c r="B117" i="5"/>
  <c r="AH116" i="5"/>
  <c r="R116" i="5"/>
  <c r="B116" i="5"/>
  <c r="AB116" i="5"/>
  <c r="J116" i="5"/>
  <c r="Z116" i="5"/>
  <c r="H116" i="5"/>
  <c r="X116" i="5"/>
  <c r="F116" i="5"/>
  <c r="V116" i="5"/>
  <c r="D116" i="5"/>
  <c r="A118" i="5" a="1"/>
  <c r="A118" i="5" s="1"/>
  <c r="AL116" i="5"/>
  <c r="T116" i="5"/>
  <c r="AF116" i="5"/>
  <c r="N116" i="5"/>
  <c r="P116" i="5"/>
  <c r="L116" i="5"/>
  <c r="AD116" i="5"/>
  <c r="AJ116" i="5"/>
  <c r="D60" i="9" a="1"/>
  <c r="D60" i="9" l="1"/>
  <c r="F60" i="9" s="1" a="1"/>
  <c r="F59" i="9"/>
  <c r="G59" i="9" s="1"/>
  <c r="K58" i="9"/>
  <c r="L58" i="9"/>
  <c r="E61" i="9"/>
  <c r="J59" i="9"/>
  <c r="X119" i="5"/>
  <c r="H119" i="5"/>
  <c r="AJ119" i="5"/>
  <c r="R119" i="5"/>
  <c r="AH119" i="5"/>
  <c r="P119" i="5"/>
  <c r="A121" i="5" a="1"/>
  <c r="A121" i="5" s="1"/>
  <c r="AF119" i="5"/>
  <c r="N119" i="5"/>
  <c r="AD119" i="5"/>
  <c r="L119" i="5"/>
  <c r="AB119" i="5"/>
  <c r="J119" i="5"/>
  <c r="V119" i="5"/>
  <c r="D119" i="5"/>
  <c r="Z119" i="5"/>
  <c r="T119" i="5"/>
  <c r="F119" i="5"/>
  <c r="B119" i="5"/>
  <c r="AL119" i="5"/>
  <c r="AL118" i="5"/>
  <c r="V118" i="5"/>
  <c r="F118" i="5"/>
  <c r="AB118" i="5"/>
  <c r="J118" i="5"/>
  <c r="Z118" i="5"/>
  <c r="H118" i="5"/>
  <c r="X118" i="5"/>
  <c r="D118" i="5"/>
  <c r="T118" i="5"/>
  <c r="B118" i="5"/>
  <c r="A120" i="5" a="1"/>
  <c r="A120" i="5" s="1"/>
  <c r="AJ118" i="5"/>
  <c r="R118" i="5"/>
  <c r="AF118" i="5"/>
  <c r="N118" i="5"/>
  <c r="AH118" i="5"/>
  <c r="AD118" i="5"/>
  <c r="L118" i="5"/>
  <c r="P118" i="5"/>
  <c r="D61" i="9" a="1"/>
  <c r="D61" i="9" l="1"/>
  <c r="F61" i="9" s="1" a="1"/>
  <c r="F60" i="9"/>
  <c r="G60" i="9" s="1"/>
  <c r="L59" i="9"/>
  <c r="K59" i="9"/>
  <c r="J60" i="9"/>
  <c r="Z120" i="5"/>
  <c r="J120" i="5"/>
  <c r="X120" i="5"/>
  <c r="A122" i="5" a="1"/>
  <c r="A122" i="5" s="1"/>
  <c r="AD120" i="5"/>
  <c r="H120" i="5"/>
  <c r="AB120" i="5"/>
  <c r="F120" i="5"/>
  <c r="V120" i="5"/>
  <c r="D120" i="5"/>
  <c r="T120" i="5"/>
  <c r="B120" i="5"/>
  <c r="AL120" i="5"/>
  <c r="R120" i="5"/>
  <c r="AH120" i="5"/>
  <c r="N120" i="5"/>
  <c r="AJ120" i="5"/>
  <c r="AF120" i="5"/>
  <c r="P120" i="5"/>
  <c r="L120" i="5"/>
  <c r="A123" i="5" a="1"/>
  <c r="A123" i="5" s="1"/>
  <c r="AB121" i="5"/>
  <c r="L121" i="5"/>
  <c r="AH121" i="5"/>
  <c r="P121" i="5"/>
  <c r="X121" i="5"/>
  <c r="D121" i="5"/>
  <c r="V121" i="5"/>
  <c r="B121" i="5"/>
  <c r="T121" i="5"/>
  <c r="AL121" i="5"/>
  <c r="R121" i="5"/>
  <c r="AJ121" i="5"/>
  <c r="N121" i="5"/>
  <c r="AD121" i="5"/>
  <c r="H121" i="5"/>
  <c r="J121" i="5"/>
  <c r="F121" i="5"/>
  <c r="Z121" i="5"/>
  <c r="AF121" i="5"/>
  <c r="F61" i="9" l="1"/>
  <c r="G61" i="9" s="1"/>
  <c r="K60" i="9"/>
  <c r="L60" i="9"/>
  <c r="J61" i="9"/>
  <c r="AD122" i="5"/>
  <c r="N122" i="5"/>
  <c r="X122" i="5"/>
  <c r="F122" i="5"/>
  <c r="T122" i="5"/>
  <c r="AL122" i="5"/>
  <c r="R122" i="5"/>
  <c r="AJ122" i="5"/>
  <c r="P122" i="5"/>
  <c r="AH122" i="5"/>
  <c r="L122" i="5"/>
  <c r="A124" i="5" a="1"/>
  <c r="A124" i="5" s="1"/>
  <c r="AF122" i="5"/>
  <c r="J122" i="5"/>
  <c r="Z122" i="5"/>
  <c r="D122" i="5"/>
  <c r="AB122" i="5"/>
  <c r="V122" i="5"/>
  <c r="H122" i="5"/>
  <c r="B122" i="5"/>
  <c r="AF123" i="5"/>
  <c r="P123" i="5"/>
  <c r="AH123" i="5"/>
  <c r="N123" i="5"/>
  <c r="AL123" i="5"/>
  <c r="R123" i="5"/>
  <c r="AJ123" i="5"/>
  <c r="L123" i="5"/>
  <c r="AD123" i="5"/>
  <c r="J123" i="5"/>
  <c r="A125" i="5" a="1"/>
  <c r="A125" i="5" s="1"/>
  <c r="AB123" i="5"/>
  <c r="H123" i="5"/>
  <c r="Z123" i="5"/>
  <c r="F123" i="5"/>
  <c r="V123" i="5"/>
  <c r="B123" i="5"/>
  <c r="D123" i="5"/>
  <c r="T123" i="5"/>
  <c r="X123" i="5"/>
  <c r="K61" i="9" l="1"/>
  <c r="L61" i="9"/>
  <c r="AH124" i="5"/>
  <c r="R124" i="5"/>
  <c r="B124" i="5"/>
  <c r="X124" i="5"/>
  <c r="F124" i="5"/>
  <c r="AF124" i="5"/>
  <c r="L124" i="5"/>
  <c r="A126" i="5" a="1"/>
  <c r="A126" i="5" s="1"/>
  <c r="AD124" i="5"/>
  <c r="J124" i="5"/>
  <c r="AB124" i="5"/>
  <c r="H124" i="5"/>
  <c r="Z124" i="5"/>
  <c r="D124" i="5"/>
  <c r="V124" i="5"/>
  <c r="AL124" i="5"/>
  <c r="P124" i="5"/>
  <c r="AJ124" i="5"/>
  <c r="T124" i="5"/>
  <c r="N124" i="5"/>
  <c r="AJ125" i="5"/>
  <c r="T125" i="5"/>
  <c r="D125" i="5"/>
  <c r="AF125" i="5"/>
  <c r="N125" i="5"/>
  <c r="A127" i="5" a="1"/>
  <c r="A127" i="5" s="1"/>
  <c r="AB125" i="5"/>
  <c r="H125" i="5"/>
  <c r="Z125" i="5"/>
  <c r="F125" i="5"/>
  <c r="X125" i="5"/>
  <c r="B125" i="5"/>
  <c r="V125" i="5"/>
  <c r="R125" i="5"/>
  <c r="AH125" i="5"/>
  <c r="L125" i="5"/>
  <c r="AL125" i="5"/>
  <c r="AD125" i="5"/>
  <c r="J125" i="5"/>
  <c r="P125" i="5"/>
  <c r="AL126" i="5" l="1"/>
  <c r="V126" i="5"/>
  <c r="F126" i="5"/>
  <c r="X126" i="5"/>
  <c r="D126" i="5"/>
  <c r="Z126" i="5"/>
  <c r="B126" i="5"/>
  <c r="T126" i="5"/>
  <c r="R126" i="5"/>
  <c r="AJ126" i="5"/>
  <c r="P126" i="5"/>
  <c r="AH126" i="5"/>
  <c r="N126" i="5"/>
  <c r="A128" i="5" a="1"/>
  <c r="A128" i="5" s="1"/>
  <c r="AD126" i="5"/>
  <c r="J126" i="5"/>
  <c r="AF126" i="5"/>
  <c r="AB126" i="5"/>
  <c r="L126" i="5"/>
  <c r="H126" i="5"/>
  <c r="X127" i="5"/>
  <c r="H127" i="5"/>
  <c r="AF127" i="5"/>
  <c r="N127" i="5"/>
  <c r="T127" i="5"/>
  <c r="AL127" i="5"/>
  <c r="R127" i="5"/>
  <c r="AJ127" i="5"/>
  <c r="P127" i="5"/>
  <c r="AH127" i="5"/>
  <c r="L127" i="5"/>
  <c r="AD127" i="5"/>
  <c r="J127" i="5"/>
  <c r="Z127" i="5"/>
  <c r="D127" i="5"/>
  <c r="AB127" i="5"/>
  <c r="V127" i="5"/>
  <c r="B127" i="5"/>
  <c r="A129" i="5" a="1"/>
  <c r="A129" i="5" s="1"/>
  <c r="F127" i="5"/>
  <c r="A131" i="5" l="1" a="1"/>
  <c r="A131" i="5" s="1"/>
  <c r="AB129" i="5"/>
  <c r="L129" i="5"/>
  <c r="AF129" i="5"/>
  <c r="N129" i="5"/>
  <c r="AH129" i="5"/>
  <c r="J129" i="5"/>
  <c r="AD129" i="5"/>
  <c r="H129" i="5"/>
  <c r="Z129" i="5"/>
  <c r="F129" i="5"/>
  <c r="X129" i="5"/>
  <c r="D129" i="5"/>
  <c r="V129" i="5"/>
  <c r="B129" i="5"/>
  <c r="AL129" i="5"/>
  <c r="R129" i="5"/>
  <c r="AJ129" i="5"/>
  <c r="T129" i="5"/>
  <c r="P129" i="5"/>
  <c r="Z128" i="5"/>
  <c r="J128" i="5"/>
  <c r="V128" i="5"/>
  <c r="D128" i="5"/>
  <c r="AJ128" i="5"/>
  <c r="P128" i="5"/>
  <c r="AH128" i="5"/>
  <c r="N128" i="5"/>
  <c r="AF128" i="5"/>
  <c r="L128" i="5"/>
  <c r="AD128" i="5"/>
  <c r="H128" i="5"/>
  <c r="A130" i="5" a="1"/>
  <c r="A130" i="5" s="1"/>
  <c r="AB128" i="5"/>
  <c r="F128" i="5"/>
  <c r="T128" i="5"/>
  <c r="X128" i="5"/>
  <c r="R128" i="5"/>
  <c r="B128" i="5"/>
  <c r="AL128" i="5"/>
  <c r="AD130" i="5" l="1"/>
  <c r="N130" i="5"/>
  <c r="V130" i="5"/>
  <c r="D130" i="5"/>
  <c r="AH130" i="5"/>
  <c r="P130" i="5"/>
  <c r="AJ130" i="5"/>
  <c r="J130" i="5"/>
  <c r="AF130" i="5"/>
  <c r="H130" i="5"/>
  <c r="AB130" i="5"/>
  <c r="F130" i="5"/>
  <c r="Z130" i="5"/>
  <c r="B130" i="5"/>
  <c r="X130" i="5"/>
  <c r="R130" i="5"/>
  <c r="T130" i="5"/>
  <c r="L130" i="5"/>
  <c r="A132" i="5" a="1"/>
  <c r="A132" i="5" s="1"/>
  <c r="AL130" i="5"/>
  <c r="AF131" i="5"/>
  <c r="P131" i="5"/>
  <c r="AD131" i="5"/>
  <c r="L131" i="5"/>
  <c r="X131" i="5"/>
  <c r="F131" i="5"/>
  <c r="AL131" i="5"/>
  <c r="N131" i="5"/>
  <c r="AJ131" i="5"/>
  <c r="J131" i="5"/>
  <c r="AH131" i="5"/>
  <c r="H131" i="5"/>
  <c r="AB131" i="5"/>
  <c r="D131" i="5"/>
  <c r="Z131" i="5"/>
  <c r="B131" i="5"/>
  <c r="A133" i="5" a="1"/>
  <c r="A133" i="5" s="1"/>
  <c r="T131" i="5"/>
  <c r="V131" i="5"/>
  <c r="R131" i="5"/>
  <c r="AH132" i="5" l="1"/>
  <c r="R132" i="5"/>
  <c r="B132" i="5"/>
  <c r="V132" i="5"/>
  <c r="D132" i="5"/>
  <c r="AF132" i="5"/>
  <c r="N132" i="5"/>
  <c r="P132" i="5"/>
  <c r="AL132" i="5"/>
  <c r="L132" i="5"/>
  <c r="AJ132" i="5"/>
  <c r="J132" i="5"/>
  <c r="AD132" i="5"/>
  <c r="H132" i="5"/>
  <c r="AB132" i="5"/>
  <c r="F132" i="5"/>
  <c r="X132" i="5"/>
  <c r="Z132" i="5"/>
  <c r="T132" i="5"/>
  <c r="A134" i="5" a="1"/>
  <c r="A134" i="5" s="1"/>
  <c r="AJ133" i="5"/>
  <c r="T133" i="5"/>
  <c r="D133" i="5"/>
  <c r="AD133" i="5"/>
  <c r="L133" i="5"/>
  <c r="X133" i="5"/>
  <c r="F133" i="5"/>
  <c r="A135" i="5" a="1"/>
  <c r="A135" i="5" s="1"/>
  <c r="R133" i="5"/>
  <c r="P133" i="5"/>
  <c r="AL133" i="5"/>
  <c r="N133" i="5"/>
  <c r="AH133" i="5"/>
  <c r="J133" i="5"/>
  <c r="AF133" i="5"/>
  <c r="H133" i="5"/>
  <c r="Z133" i="5"/>
  <c r="AB133" i="5"/>
  <c r="V133" i="5"/>
  <c r="B133" i="5"/>
  <c r="X135" i="5" l="1"/>
  <c r="H135" i="5"/>
  <c r="AD135" i="5"/>
  <c r="L135" i="5"/>
  <c r="V135" i="5"/>
  <c r="D135" i="5"/>
  <c r="A137" i="5" a="1"/>
  <c r="A137" i="5" s="1"/>
  <c r="AB135" i="5"/>
  <c r="B135" i="5"/>
  <c r="Z135" i="5"/>
  <c r="T135" i="5"/>
  <c r="R135" i="5"/>
  <c r="AL135" i="5"/>
  <c r="P135" i="5"/>
  <c r="AJ135" i="5"/>
  <c r="N135" i="5"/>
  <c r="AF135" i="5"/>
  <c r="F135" i="5"/>
  <c r="J135" i="5"/>
  <c r="AH135" i="5"/>
  <c r="AL134" i="5"/>
  <c r="V134" i="5"/>
  <c r="F134" i="5"/>
  <c r="T134" i="5"/>
  <c r="B134" i="5"/>
  <c r="AF134" i="5"/>
  <c r="N134" i="5"/>
  <c r="X134" i="5"/>
  <c r="R134" i="5"/>
  <c r="A136" i="5" a="1"/>
  <c r="A136" i="5" s="1"/>
  <c r="P134" i="5"/>
  <c r="AJ134" i="5"/>
  <c r="L134" i="5"/>
  <c r="AH134" i="5"/>
  <c r="J134" i="5"/>
  <c r="AB134" i="5"/>
  <c r="D134" i="5"/>
  <c r="AD134" i="5"/>
  <c r="Z134" i="5"/>
  <c r="H134" i="5"/>
  <c r="Z136" i="5" l="1"/>
  <c r="J136" i="5"/>
  <c r="AL136" i="5"/>
  <c r="T136" i="5"/>
  <c r="B136" i="5"/>
  <c r="AF136" i="5"/>
  <c r="N136" i="5"/>
  <c r="V136" i="5"/>
  <c r="A138" i="5" a="1"/>
  <c r="A138" i="5" s="1"/>
  <c r="AJ136" i="5"/>
  <c r="H136" i="5"/>
  <c r="AH136" i="5"/>
  <c r="F136" i="5"/>
  <c r="AD136" i="5"/>
  <c r="D136" i="5"/>
  <c r="AB136" i="5"/>
  <c r="X136" i="5"/>
  <c r="R136" i="5"/>
  <c r="L136" i="5"/>
  <c r="P136" i="5"/>
  <c r="A139" i="5" a="1"/>
  <c r="A139" i="5" s="1"/>
  <c r="AB137" i="5"/>
  <c r="L137" i="5"/>
  <c r="AD137" i="5"/>
  <c r="J137" i="5"/>
  <c r="V137" i="5"/>
  <c r="D137" i="5"/>
  <c r="X137" i="5"/>
  <c r="R137" i="5"/>
  <c r="P137" i="5"/>
  <c r="AL137" i="5"/>
  <c r="N137" i="5"/>
  <c r="AJ137" i="5"/>
  <c r="H137" i="5"/>
  <c r="AH137" i="5"/>
  <c r="F137" i="5"/>
  <c r="AF137" i="5"/>
  <c r="B137" i="5"/>
  <c r="T137" i="5"/>
  <c r="Z137" i="5"/>
  <c r="AD138" i="5" l="1"/>
  <c r="N138" i="5"/>
  <c r="A140" i="5" a="1"/>
  <c r="A140" i="5" s="1"/>
  <c r="AL138" i="5"/>
  <c r="T138" i="5"/>
  <c r="B138" i="5"/>
  <c r="AF138" i="5"/>
  <c r="L138" i="5"/>
  <c r="Z138" i="5"/>
  <c r="D138" i="5"/>
  <c r="AB138" i="5"/>
  <c r="X138" i="5"/>
  <c r="V138" i="5"/>
  <c r="R138" i="5"/>
  <c r="P138" i="5"/>
  <c r="J138" i="5"/>
  <c r="AH138" i="5"/>
  <c r="F138" i="5"/>
  <c r="AJ138" i="5"/>
  <c r="H138" i="5"/>
  <c r="AF139" i="5"/>
  <c r="P139" i="5"/>
  <c r="AB139" i="5"/>
  <c r="J139" i="5"/>
  <c r="V139" i="5"/>
  <c r="D139" i="5"/>
  <c r="AD139" i="5"/>
  <c r="F139" i="5"/>
  <c r="A141" i="5" a="1"/>
  <c r="A141" i="5" s="1"/>
  <c r="AL139" i="5"/>
  <c r="L139" i="5"/>
  <c r="AJ139" i="5"/>
  <c r="H139" i="5"/>
  <c r="AH139" i="5"/>
  <c r="B139" i="5"/>
  <c r="Z139" i="5"/>
  <c r="X139" i="5"/>
  <c r="T139" i="5"/>
  <c r="N139" i="5"/>
  <c r="R139" i="5"/>
  <c r="AJ141" i="5" l="1"/>
  <c r="T141" i="5"/>
  <c r="D141" i="5"/>
  <c r="AB141" i="5"/>
  <c r="J141" i="5"/>
  <c r="V141" i="5"/>
  <c r="B141" i="5"/>
  <c r="AH141" i="5"/>
  <c r="L141" i="5"/>
  <c r="AD141" i="5"/>
  <c r="Z141" i="5"/>
  <c r="X141" i="5"/>
  <c r="R141" i="5"/>
  <c r="P141" i="5"/>
  <c r="N141" i="5"/>
  <c r="AF141" i="5"/>
  <c r="F141" i="5"/>
  <c r="A143" i="5" a="1"/>
  <c r="A143" i="5" s="1"/>
  <c r="AL141" i="5"/>
  <c r="H141" i="5"/>
  <c r="AH140" i="5"/>
  <c r="R140" i="5"/>
  <c r="B140" i="5"/>
  <c r="A142" i="5" a="1"/>
  <c r="A142" i="5" s="1"/>
  <c r="AL140" i="5"/>
  <c r="T140" i="5"/>
  <c r="AD140" i="5"/>
  <c r="L140" i="5"/>
  <c r="AF140" i="5"/>
  <c r="H140" i="5"/>
  <c r="V140" i="5"/>
  <c r="P140" i="5"/>
  <c r="N140" i="5"/>
  <c r="J140" i="5"/>
  <c r="AJ140" i="5"/>
  <c r="F140" i="5"/>
  <c r="AB140" i="5"/>
  <c r="D140" i="5"/>
  <c r="X140" i="5"/>
  <c r="Z140" i="5"/>
  <c r="AL142" i="5" l="1"/>
  <c r="V142" i="5"/>
  <c r="F142" i="5"/>
  <c r="A144" i="5" a="1"/>
  <c r="A144" i="5" s="1"/>
  <c r="AJ142" i="5"/>
  <c r="R142" i="5"/>
  <c r="AD142" i="5"/>
  <c r="L142" i="5"/>
  <c r="N142" i="5"/>
  <c r="J142" i="5"/>
  <c r="AH142" i="5"/>
  <c r="H142" i="5"/>
  <c r="AF142" i="5"/>
  <c r="D142" i="5"/>
  <c r="AB142" i="5"/>
  <c r="B142" i="5"/>
  <c r="Z142" i="5"/>
  <c r="X142" i="5"/>
  <c r="P142" i="5"/>
  <c r="T142" i="5"/>
  <c r="X143" i="5"/>
  <c r="H143" i="5"/>
  <c r="AB143" i="5"/>
  <c r="J143" i="5"/>
  <c r="AL143" i="5"/>
  <c r="T143" i="5"/>
  <c r="B143" i="5"/>
  <c r="P143" i="5"/>
  <c r="V143" i="5"/>
  <c r="R143" i="5"/>
  <c r="N143" i="5"/>
  <c r="AJ143" i="5"/>
  <c r="L143" i="5"/>
  <c r="A145" i="5" a="1"/>
  <c r="A145" i="5" s="1"/>
  <c r="AH143" i="5"/>
  <c r="F143" i="5"/>
  <c r="AF143" i="5"/>
  <c r="D143" i="5"/>
  <c r="Z143" i="5"/>
  <c r="AD143" i="5"/>
  <c r="M180" i="9" a="1"/>
  <c r="M175" i="9" a="1"/>
  <c r="M61" i="9" a="1"/>
  <c r="M180" i="9" l="1"/>
  <c r="O180" i="9" s="1"/>
  <c r="M175" i="9"/>
  <c r="O175" i="9" s="1"/>
  <c r="M61" i="9"/>
  <c r="AB145" i="5"/>
  <c r="L145" i="5"/>
  <c r="Z145" i="5"/>
  <c r="H145" i="5"/>
  <c r="AL145" i="5"/>
  <c r="T145" i="5"/>
  <c r="B145" i="5"/>
  <c r="V145" i="5"/>
  <c r="N145" i="5"/>
  <c r="AJ145" i="5"/>
  <c r="J145" i="5"/>
  <c r="AH145" i="5"/>
  <c r="F145" i="5"/>
  <c r="AF145" i="5"/>
  <c r="D145" i="5"/>
  <c r="AD145" i="5"/>
  <c r="X145" i="5"/>
  <c r="P145" i="5"/>
  <c r="R145" i="5"/>
  <c r="Z144" i="5"/>
  <c r="J144" i="5"/>
  <c r="AJ144" i="5"/>
  <c r="R144" i="5"/>
  <c r="AD144" i="5"/>
  <c r="L144" i="5"/>
  <c r="T144" i="5"/>
  <c r="AF144" i="5"/>
  <c r="D144" i="5"/>
  <c r="AB144" i="5"/>
  <c r="B144" i="5"/>
  <c r="X144" i="5"/>
  <c r="V144" i="5"/>
  <c r="P144" i="5"/>
  <c r="N144" i="5"/>
  <c r="AH144" i="5"/>
  <c r="F144" i="5"/>
  <c r="H144" i="5"/>
  <c r="AL144" i="5"/>
  <c r="M110" i="9" a="1"/>
  <c r="M105" i="9" a="1"/>
  <c r="M35" i="9" a="1"/>
  <c r="M28" i="9" a="1"/>
  <c r="M25" i="9" a="1"/>
  <c r="M41" i="9" a="1"/>
  <c r="M23" i="9" a="1"/>
  <c r="M36" i="9" a="1"/>
  <c r="M60" i="9" a="1"/>
  <c r="M40" i="9" a="1"/>
  <c r="M57" i="9" a="1"/>
  <c r="M51" i="9" a="1"/>
  <c r="M43" i="9" a="1"/>
  <c r="M37" i="9" a="1"/>
  <c r="M24" i="9" a="1"/>
  <c r="M34" i="9" a="1"/>
  <c r="M30" i="9" a="1"/>
  <c r="M58" i="9" a="1"/>
  <c r="M22" i="9" a="1"/>
  <c r="M59" i="9" a="1"/>
  <c r="M31" i="9" a="1"/>
  <c r="M56" i="9" a="1"/>
  <c r="M46" i="9" a="1"/>
  <c r="M32" i="9" a="1"/>
  <c r="M19" i="9" a="1"/>
  <c r="M18" i="9" a="1"/>
  <c r="M42" i="9" a="1"/>
  <c r="M21" i="9" a="1"/>
  <c r="M33" i="9" a="1"/>
  <c r="M38" i="9" a="1"/>
  <c r="M27" i="9" a="1"/>
  <c r="M44" i="9" a="1"/>
  <c r="M49" i="9" a="1"/>
  <c r="M47" i="9" a="1"/>
  <c r="M45" i="9" a="1"/>
  <c r="M54" i="9" a="1"/>
  <c r="M20" i="9" a="1"/>
  <c r="M29" i="9" a="1"/>
  <c r="M26" i="9" a="1"/>
  <c r="M55" i="9" a="1"/>
  <c r="M48" i="9" a="1"/>
  <c r="M53" i="9" a="1"/>
  <c r="M39" i="9" a="1"/>
  <c r="I2" i="8"/>
  <c r="I1" i="8"/>
  <c r="M105" i="9" l="1"/>
  <c r="O105" i="9" s="1"/>
  <c r="M110" i="9"/>
  <c r="O110" i="9" s="1"/>
  <c r="M39" i="9"/>
  <c r="O39" i="9" s="1"/>
  <c r="M53" i="9"/>
  <c r="O53" i="9" s="1"/>
  <c r="M48" i="9"/>
  <c r="O48" i="9" s="1"/>
  <c r="M55" i="9"/>
  <c r="O55" i="9" s="1"/>
  <c r="M26" i="9"/>
  <c r="O26" i="9" s="1"/>
  <c r="M29" i="9"/>
  <c r="O29" i="9" s="1"/>
  <c r="M20" i="9"/>
  <c r="O20" i="9" s="1"/>
  <c r="M54" i="9"/>
  <c r="O54" i="9" s="1"/>
  <c r="M45" i="9"/>
  <c r="O45" i="9" s="1"/>
  <c r="M47" i="9"/>
  <c r="O47" i="9" s="1"/>
  <c r="M49" i="9"/>
  <c r="O49" i="9" s="1"/>
  <c r="M44" i="9"/>
  <c r="O44" i="9" s="1"/>
  <c r="M27" i="9"/>
  <c r="O27" i="9" s="1"/>
  <c r="M38" i="9"/>
  <c r="O38" i="9" s="1"/>
  <c r="M33" i="9"/>
  <c r="O33" i="9" s="1"/>
  <c r="M21" i="9"/>
  <c r="O21" i="9" s="1"/>
  <c r="M42" i="9"/>
  <c r="O42" i="9" s="1"/>
  <c r="M18" i="9"/>
  <c r="O18" i="9" s="1"/>
  <c r="M19" i="9"/>
  <c r="O19" i="9" s="1"/>
  <c r="M32" i="9"/>
  <c r="O32" i="9" s="1"/>
  <c r="M46" i="9"/>
  <c r="O46" i="9" s="1"/>
  <c r="M56" i="9"/>
  <c r="O56" i="9" s="1"/>
  <c r="M31" i="9"/>
  <c r="O31" i="9" s="1"/>
  <c r="M59" i="9"/>
  <c r="O59" i="9" s="1"/>
  <c r="M22" i="9"/>
  <c r="O22" i="9" s="1"/>
  <c r="M58" i="9"/>
  <c r="O58" i="9" s="1"/>
  <c r="M30" i="9"/>
  <c r="O30" i="9" s="1"/>
  <c r="M34" i="9"/>
  <c r="O34" i="9" s="1"/>
  <c r="O61" i="9"/>
  <c r="M24" i="9"/>
  <c r="O24" i="9" s="1"/>
  <c r="M37" i="9"/>
  <c r="O37" i="9" s="1"/>
  <c r="M43" i="9"/>
  <c r="O43" i="9" s="1"/>
  <c r="M51" i="9"/>
  <c r="O51" i="9" s="1"/>
  <c r="M57" i="9"/>
  <c r="O57" i="9" s="1"/>
  <c r="M40" i="9"/>
  <c r="O40" i="9" s="1"/>
  <c r="M60" i="9"/>
  <c r="O60" i="9" s="1"/>
  <c r="M36" i="9"/>
  <c r="O36" i="9" s="1"/>
  <c r="M23" i="9"/>
  <c r="O23" i="9" s="1"/>
  <c r="M41" i="9"/>
  <c r="O41" i="9" s="1"/>
  <c r="M25" i="9"/>
  <c r="O25" i="9" s="1"/>
  <c r="M28" i="9"/>
  <c r="O28" i="9" s="1"/>
  <c r="M35" i="9"/>
  <c r="O35" i="9" s="1"/>
  <c r="O52" i="9"/>
  <c r="O50" i="9"/>
  <c r="A9" i="6"/>
  <c r="AH147" i="5" a="1"/>
  <c r="AH147" i="5" s="1"/>
  <c r="AH146" i="5" a="1"/>
  <c r="AH146" i="5" s="1"/>
  <c r="R146" i="5" a="1"/>
  <c r="R146" i="5" s="1"/>
  <c r="C7" i="6" s="1"/>
  <c r="K7" i="6" s="1"/>
  <c r="F7" i="6" s="1"/>
  <c r="R147" i="5" a="1"/>
  <c r="R147" i="5" s="1"/>
  <c r="Z146" i="5" a="1"/>
  <c r="Z146" i="5" s="1"/>
  <c r="Z147" i="5" a="1"/>
  <c r="Z147" i="5" s="1"/>
  <c r="P146" i="5" a="1"/>
  <c r="P146" i="5" s="1"/>
  <c r="C6" i="6" s="1"/>
  <c r="K6" i="6" s="1"/>
  <c r="F6" i="6" s="1"/>
  <c r="P147" i="5" a="1"/>
  <c r="P147" i="5" s="1"/>
  <c r="AJ146" i="5" a="1"/>
  <c r="AJ146" i="5" s="1"/>
  <c r="AJ147" i="5" a="1"/>
  <c r="AJ147" i="5" s="1"/>
  <c r="L146" i="5" a="1"/>
  <c r="L146" i="5" s="1"/>
  <c r="L147" i="5" a="1"/>
  <c r="L147" i="5" s="1"/>
  <c r="H146" i="5" a="1"/>
  <c r="H146" i="5" s="1"/>
  <c r="C3" i="6" s="1"/>
  <c r="K3" i="6" s="1"/>
  <c r="F3" i="6" s="1"/>
  <c r="H147" i="5" a="1"/>
  <c r="H147" i="5" s="1"/>
  <c r="N147" i="5" a="1"/>
  <c r="N147" i="5" s="1"/>
  <c r="N146" i="5" a="1"/>
  <c r="N146" i="5" s="1"/>
  <c r="AB146" i="5" a="1"/>
  <c r="AB146" i="5" s="1"/>
  <c r="AB147" i="5" a="1"/>
  <c r="AB147" i="5" s="1"/>
  <c r="AD146" i="5" a="1"/>
  <c r="AD146" i="5" s="1"/>
  <c r="AD147" i="5" a="1"/>
  <c r="AD147" i="5" s="1"/>
  <c r="V147" i="5" a="1"/>
  <c r="V147" i="5" s="1"/>
  <c r="V146" i="5" a="1"/>
  <c r="V146" i="5" s="1"/>
  <c r="B146" i="5" a="1"/>
  <c r="B146" i="5" s="1"/>
  <c r="B147" i="5" a="1"/>
  <c r="B147" i="5" s="1"/>
  <c r="J146" i="5" a="1"/>
  <c r="J146" i="5" s="1"/>
  <c r="C4" i="6" s="1"/>
  <c r="K4" i="6" s="1"/>
  <c r="F4" i="6" s="1"/>
  <c r="J147" i="5" a="1"/>
  <c r="J147" i="5" s="1"/>
  <c r="X147" i="5" a="1"/>
  <c r="X147" i="5" s="1"/>
  <c r="X146" i="5" a="1"/>
  <c r="X146" i="5" s="1"/>
  <c r="D147" i="5" a="1"/>
  <c r="D147" i="5" s="1"/>
  <c r="D146" i="5" a="1"/>
  <c r="D146" i="5" s="1"/>
  <c r="AF147" i="5" a="1"/>
  <c r="AF147" i="5" s="1"/>
  <c r="AF146" i="5" a="1"/>
  <c r="AF146" i="5" s="1"/>
  <c r="T146" i="5" a="1"/>
  <c r="T146" i="5" s="1"/>
  <c r="C8" i="6" s="1"/>
  <c r="K8" i="6" s="1"/>
  <c r="F8" i="6" s="1"/>
  <c r="T147" i="5" a="1"/>
  <c r="T147" i="5" s="1"/>
  <c r="F147" i="5" a="1"/>
  <c r="F147" i="5" s="1"/>
  <c r="F146" i="5" a="1"/>
  <c r="F146" i="5" s="1"/>
  <c r="C2" i="6" s="1"/>
  <c r="K2" i="6" s="1"/>
  <c r="F2" i="6" s="1"/>
  <c r="F19" i="9" a="1"/>
  <c r="F48" i="9" a="1"/>
  <c r="H231" i="9" a="1"/>
  <c r="H235" i="9" a="1"/>
  <c r="H219" i="9" a="1"/>
  <c r="H223" i="9" a="1"/>
  <c r="H239" i="9" a="1"/>
  <c r="H215" i="9" a="1"/>
  <c r="C243" i="9" a="1"/>
  <c r="F19" i="9" l="1"/>
  <c r="G19" i="9" s="1"/>
  <c r="F48" i="9"/>
  <c r="G48" i="9" s="1"/>
  <c r="C5" i="6"/>
  <c r="K5" i="6" s="1"/>
  <c r="F5" i="6" s="1"/>
  <c r="H235" i="9"/>
  <c r="H223" i="9"/>
  <c r="H231" i="9"/>
  <c r="C243" i="9"/>
  <c r="H215" i="9"/>
  <c r="H239" i="9"/>
  <c r="H219" i="9"/>
  <c r="E6" i="8"/>
  <c r="H227" i="9" a="1"/>
  <c r="H227" i="9" l="1"/>
  <c r="F227" i="9" s="1"/>
  <c r="G227" i="9" s="1"/>
  <c r="J243" i="9"/>
  <c r="F243" i="9"/>
  <c r="G243" i="9" s="1"/>
  <c r="K231" i="9"/>
  <c r="L231" i="9" s="1"/>
  <c r="Q231" i="9"/>
  <c r="P231" i="9" s="1"/>
  <c r="F231" i="9"/>
  <c r="G231" i="9" s="1"/>
  <c r="K219" i="9"/>
  <c r="L219" i="9" s="1"/>
  <c r="Q219" i="9"/>
  <c r="P219" i="9" s="1"/>
  <c r="F219" i="9"/>
  <c r="G219" i="9" s="1"/>
  <c r="K223" i="9"/>
  <c r="L223" i="9" s="1"/>
  <c r="Q223" i="9"/>
  <c r="P223" i="9" s="1"/>
  <c r="F223" i="9"/>
  <c r="G223" i="9" s="1"/>
  <c r="K239" i="9"/>
  <c r="L239" i="9" s="1"/>
  <c r="Q239" i="9"/>
  <c r="P239" i="9" s="1"/>
  <c r="F239" i="9"/>
  <c r="G239" i="9" s="1"/>
  <c r="K235" i="9"/>
  <c r="L235" i="9" s="1"/>
  <c r="Q235" i="9"/>
  <c r="P235" i="9" s="1"/>
  <c r="F235" i="9"/>
  <c r="G235" i="9" s="1"/>
  <c r="H214" i="9"/>
  <c r="C6" i="8"/>
  <c r="F214" i="9" s="1"/>
  <c r="K215" i="9"/>
  <c r="L215" i="9" s="1"/>
  <c r="Q215" i="9"/>
  <c r="P215" i="9" s="1"/>
  <c r="F215" i="9"/>
  <c r="G215" i="9" s="1"/>
  <c r="Q227" i="9" l="1"/>
  <c r="P227" i="9" s="1"/>
  <c r="K227" i="9"/>
  <c r="L227" i="9" s="1"/>
  <c r="D6" i="8"/>
  <c r="G214" i="9" s="1"/>
  <c r="O5" i="7" a="1"/>
  <c r="O5" i="7" l="1"/>
  <c r="O13" i="7" s="1" a="1"/>
  <c r="O13" i="7" s="1"/>
  <c r="O21" i="7" s="1" a="1"/>
  <c r="O21" i="7" s="1"/>
  <c r="O4" i="7" a="1"/>
  <c r="O4" i="7" l="1"/>
  <c r="O12" i="7" s="1" a="1"/>
  <c r="F4" i="7" a="1"/>
  <c r="O3" i="7" a="1"/>
  <c r="F4" i="7" l="1"/>
  <c r="A4" i="7" s="1" a="1"/>
  <c r="O12" i="7"/>
  <c r="O20" i="7" s="1" a="1"/>
  <c r="O3" i="7"/>
  <c r="O11" i="7" a="1"/>
  <c r="O2" i="7" a="1"/>
  <c r="A4" i="7" l="1"/>
  <c r="O11" i="7"/>
  <c r="O19" i="7" s="1" a="1"/>
  <c r="O19" i="7" s="1"/>
  <c r="O20" i="7"/>
  <c r="O2" i="7"/>
  <c r="O10" i="7" a="1"/>
  <c r="O1" i="7" a="1"/>
  <c r="O10" i="7" l="1"/>
  <c r="O18" i="7" s="1" a="1"/>
  <c r="O18" i="7" s="1"/>
  <c r="O1" i="7"/>
  <c r="O9" i="7" s="1" a="1"/>
  <c r="O9" i="7" s="1"/>
  <c r="O17" i="7" s="1" a="1"/>
  <c r="O17" i="7" s="1"/>
  <c r="O8" i="7" a="1"/>
  <c r="O6" i="7" a="1"/>
  <c r="O8" i="7" l="1"/>
  <c r="O16" i="7" s="1" a="1"/>
  <c r="O16" i="7" s="1"/>
  <c r="O24" i="7" s="1" a="1"/>
  <c r="O24" i="7" s="1"/>
  <c r="O6" i="7"/>
  <c r="O14" i="7" a="1"/>
  <c r="F6" i="7" a="1"/>
  <c r="O7" i="7" a="1"/>
  <c r="F6" i="7" l="1"/>
  <c r="O14" i="7"/>
  <c r="B14" i="7" s="1" a="1"/>
  <c r="O7" i="7"/>
  <c r="B9" i="7" a="1"/>
  <c r="B9" i="7" s="1"/>
  <c r="B10" i="7" a="1"/>
  <c r="B10" i="7" s="1"/>
  <c r="B18" i="7" s="1" a="1"/>
  <c r="B18" i="7" s="1"/>
  <c r="F18" i="7" s="1" a="1"/>
  <c r="F18" i="7" s="1"/>
  <c r="A18" i="7" s="1" a="1"/>
  <c r="A18" i="7" s="1"/>
  <c r="B11" i="7" a="1"/>
  <c r="B11" i="7" s="1"/>
  <c r="B19" i="7" s="1" a="1"/>
  <c r="B19" i="7" s="1"/>
  <c r="F19" i="7" s="1" a="1"/>
  <c r="F19" i="7" s="1"/>
  <c r="A19" i="7" s="1" a="1"/>
  <c r="A19" i="7" s="1"/>
  <c r="B13" i="7" a="1"/>
  <c r="B13" i="7" s="1"/>
  <c r="B21" i="7" s="1" a="1"/>
  <c r="B21" i="7" s="1"/>
  <c r="F21" i="7" s="1" a="1"/>
  <c r="F21" i="7" s="1"/>
  <c r="A21" i="7" s="1" a="1"/>
  <c r="A21" i="7" s="1"/>
  <c r="B16" i="7" a="1"/>
  <c r="B16" i="7" s="1"/>
  <c r="A6" i="7" a="1"/>
  <c r="B12" i="7" a="1"/>
  <c r="F1" i="7" a="1"/>
  <c r="F3" i="7" a="1"/>
  <c r="F2" i="7" a="1"/>
  <c r="F5" i="7" a="1"/>
  <c r="F8" i="7" a="1"/>
  <c r="O22" i="7" l="1" a="1"/>
  <c r="O22" i="7" s="1"/>
  <c r="F8" i="7"/>
  <c r="A8" i="7" s="1" a="1"/>
  <c r="A8" i="7" s="1"/>
  <c r="B12" i="7"/>
  <c r="A6" i="7"/>
  <c r="B14" i="7"/>
  <c r="O15" i="7" a="1"/>
  <c r="O15" i="7" s="1"/>
  <c r="B15" i="7" a="1"/>
  <c r="B15" i="7" s="1"/>
  <c r="F15" i="7" s="1" a="1"/>
  <c r="F15" i="7" s="1"/>
  <c r="A15" i="7" s="1" a="1"/>
  <c r="A15" i="7" s="1"/>
  <c r="O23" i="7" a="1"/>
  <c r="O23" i="7" s="1"/>
  <c r="F1" i="7"/>
  <c r="A1" i="7" s="1" a="1"/>
  <c r="A1" i="7" s="1"/>
  <c r="F5" i="7"/>
  <c r="A5" i="7" s="1" a="1"/>
  <c r="A5" i="7" s="1"/>
  <c r="F2" i="7"/>
  <c r="F3" i="7"/>
  <c r="F9" i="7" a="1"/>
  <c r="F9" i="7" s="1"/>
  <c r="A9" i="7" s="1" a="1"/>
  <c r="A9" i="7" s="1"/>
  <c r="B17" i="7" a="1"/>
  <c r="B17" i="7" s="1"/>
  <c r="F17" i="7" s="1" a="1"/>
  <c r="F17" i="7" s="1"/>
  <c r="A17" i="7" s="1" a="1"/>
  <c r="A17" i="7" s="1"/>
  <c r="F16" i="7" a="1"/>
  <c r="F16" i="7" s="1"/>
  <c r="A16" i="7" s="1" a="1"/>
  <c r="A16" i="7" s="1"/>
  <c r="B24" i="7" a="1"/>
  <c r="B24" i="7" s="1"/>
  <c r="F24" i="7" s="1" a="1"/>
  <c r="F24" i="7" s="1"/>
  <c r="A24" i="7" s="1" a="1"/>
  <c r="A24" i="7" s="1"/>
  <c r="F13" i="7" a="1"/>
  <c r="F13" i="7" s="1"/>
  <c r="A13" i="7" s="1" a="1"/>
  <c r="A13" i="7" s="1"/>
  <c r="F11" i="7" a="1"/>
  <c r="F11" i="7" s="1"/>
  <c r="A11" i="7" s="1" a="1"/>
  <c r="A11" i="7" s="1"/>
  <c r="F10" i="7" a="1"/>
  <c r="F10" i="7" s="1"/>
  <c r="A10" i="7" s="1" a="1"/>
  <c r="A10" i="7" s="1"/>
  <c r="F14" i="7" a="1"/>
  <c r="A2" i="7" a="1"/>
  <c r="A3" i="7" a="1"/>
  <c r="F7" i="7" a="1"/>
  <c r="F14" i="7" l="1"/>
  <c r="F7" i="7"/>
  <c r="A7" i="7" s="1" a="1"/>
  <c r="A7" i="7" s="1"/>
  <c r="B23" i="7" a="1"/>
  <c r="B23" i="7" s="1"/>
  <c r="F23" i="7" s="1" a="1"/>
  <c r="F23" i="7" s="1"/>
  <c r="A23" i="7" s="1" a="1"/>
  <c r="A23" i="7" s="1"/>
  <c r="A3" i="7"/>
  <c r="A2" i="7"/>
  <c r="F12" i="7" a="1"/>
  <c r="B22" i="7" a="1"/>
  <c r="B22" i="7" l="1"/>
  <c r="F22" i="7" s="1" a="1"/>
  <c r="F12" i="7"/>
  <c r="B20" i="7" a="1"/>
  <c r="A14" i="7" a="1"/>
  <c r="A14" i="7" l="1"/>
  <c r="B20" i="7"/>
  <c r="F22" i="7"/>
  <c r="A22" i="7" a="1"/>
  <c r="A12" i="7" a="1"/>
  <c r="A12" i="7" l="1"/>
  <c r="A22" i="7"/>
  <c r="R7" i="7" a="1"/>
  <c r="R7" i="7" s="1"/>
  <c r="D250" i="9" a="1"/>
  <c r="D250" i="9" s="1"/>
  <c r="I252" i="9" a="1"/>
  <c r="I252" i="9" s="1"/>
  <c r="Q252" i="9" s="1"/>
  <c r="P252" i="9" s="1"/>
  <c r="D249" i="9" a="1"/>
  <c r="D249" i="9" s="1"/>
  <c r="I248" i="9" a="1"/>
  <c r="I248" i="9" s="1"/>
  <c r="Q248" i="9" s="1"/>
  <c r="P248" i="9" s="1"/>
  <c r="C249" i="9" a="1"/>
  <c r="C249" i="9" s="1"/>
  <c r="I249" i="9" a="1"/>
  <c r="I249" i="9" s="1"/>
  <c r="Q249" i="9" s="1"/>
  <c r="P249" i="9" s="1"/>
  <c r="D248" i="9" a="1"/>
  <c r="D248" i="9" s="1"/>
  <c r="D253" i="9" a="1"/>
  <c r="D253" i="9" s="1"/>
  <c r="R8" i="7" a="1"/>
  <c r="R8" i="7" s="1"/>
  <c r="C250" i="9" a="1"/>
  <c r="C250" i="9" s="1"/>
  <c r="D251" i="9" a="1"/>
  <c r="D251" i="9" s="1"/>
  <c r="R6" i="7" a="1"/>
  <c r="R6" i="7" s="1"/>
  <c r="C247" i="9" a="1"/>
  <c r="C247" i="9" s="1"/>
  <c r="I250" i="9" a="1"/>
  <c r="I250" i="9" s="1"/>
  <c r="Q250" i="9" s="1"/>
  <c r="P250" i="9" s="1"/>
  <c r="R9" i="7" a="1"/>
  <c r="R9" i="7" s="1"/>
  <c r="D252" i="9" a="1"/>
  <c r="D252" i="9" s="1"/>
  <c r="C254" i="9" a="1"/>
  <c r="C254" i="9" s="1"/>
  <c r="R5" i="7" a="1"/>
  <c r="R5" i="7" s="1"/>
  <c r="I254" i="9" a="1"/>
  <c r="I254" i="9" s="1"/>
  <c r="Q254" i="9" s="1"/>
  <c r="P254" i="9" s="1"/>
  <c r="C251" i="9" a="1"/>
  <c r="C251" i="9" s="1"/>
  <c r="D254" i="9" a="1"/>
  <c r="D254" i="9" s="1"/>
  <c r="C253" i="9" a="1"/>
  <c r="C253" i="9" s="1"/>
  <c r="D247" i="9" a="1"/>
  <c r="D247" i="9" s="1"/>
  <c r="C252" i="9" a="1"/>
  <c r="C252" i="9" s="1"/>
  <c r="I251" i="9" a="1"/>
  <c r="I251" i="9" s="1"/>
  <c r="Q251" i="9" s="1"/>
  <c r="P251" i="9" s="1"/>
  <c r="I247" i="9" a="1"/>
  <c r="I247" i="9" s="1"/>
  <c r="Q247" i="9" s="1"/>
  <c r="P247" i="9" s="1"/>
  <c r="I253" i="9" a="1"/>
  <c r="I253" i="9" s="1"/>
  <c r="Q253" i="9" s="1"/>
  <c r="P253" i="9" s="1"/>
  <c r="C248" i="9" a="1"/>
  <c r="C248" i="9" s="1"/>
  <c r="F20" i="7" a="1"/>
  <c r="F20" i="7" l="1"/>
  <c r="R204" i="9" a="1"/>
  <c r="R204" i="9" s="1"/>
  <c r="R251" i="9" a="1"/>
  <c r="R251" i="9" s="1"/>
  <c r="R72" i="9" a="1"/>
  <c r="R72" i="9" s="1"/>
  <c r="R207" i="9" a="1"/>
  <c r="R207" i="9" s="1"/>
  <c r="R249" i="9" a="1"/>
  <c r="R249" i="9" s="1"/>
  <c r="R150" i="9" a="1"/>
  <c r="R150" i="9" s="1"/>
  <c r="R200" i="9" a="1"/>
  <c r="R200" i="9" s="1"/>
  <c r="R233" i="9" a="1"/>
  <c r="R233" i="9" s="1"/>
  <c r="R80" i="9" a="1"/>
  <c r="R80" i="9" s="1"/>
  <c r="R26" i="9" a="1"/>
  <c r="R26" i="9" s="1"/>
  <c r="R127" i="9" a="1"/>
  <c r="R127" i="9" s="1"/>
  <c r="R73" i="9" a="1"/>
  <c r="R73" i="9" s="1"/>
  <c r="R228" i="9" a="1"/>
  <c r="R228" i="9" s="1"/>
  <c r="R149" i="9" a="1"/>
  <c r="R149" i="9" s="1"/>
  <c r="R258" i="9" a="1"/>
  <c r="R258" i="9" s="1"/>
  <c r="R135" i="9" a="1"/>
  <c r="R135" i="9" s="1"/>
  <c r="R198" i="9" a="1"/>
  <c r="R198" i="9" s="1"/>
  <c r="R64" i="9" a="1"/>
  <c r="R64" i="9" s="1"/>
  <c r="R18" i="9" a="1"/>
  <c r="R18" i="9" s="1"/>
  <c r="R84" i="9" a="1"/>
  <c r="R84" i="9" s="1"/>
  <c r="R136" i="9" a="1"/>
  <c r="R136" i="9" s="1"/>
  <c r="R43" i="9" a="1"/>
  <c r="R43" i="9" s="1"/>
  <c r="Y43" i="9" s="1" a="1"/>
  <c r="R134" i="9" a="1"/>
  <c r="R134" i="9" s="1"/>
  <c r="R2" i="9" a="1"/>
  <c r="R2" i="9" s="1"/>
  <c r="R112" i="9" a="1"/>
  <c r="R112" i="9" s="1"/>
  <c r="R151" i="9" a="1"/>
  <c r="R151" i="9" s="1"/>
  <c r="R53" i="9" a="1"/>
  <c r="R53" i="9" s="1"/>
  <c r="R178" i="9" a="1"/>
  <c r="R178" i="9" s="1"/>
  <c r="R20" i="9" a="1"/>
  <c r="R20" i="9" s="1"/>
  <c r="R67" i="9" a="1"/>
  <c r="R67" i="9" s="1"/>
  <c r="Z67" i="9" s="1" a="1"/>
  <c r="R65" i="9" a="1"/>
  <c r="R65" i="9" s="1"/>
  <c r="Z65" i="9" s="1" a="1"/>
  <c r="R10" i="9" a="1"/>
  <c r="R10" i="9" s="1"/>
  <c r="R114" i="9" a="1"/>
  <c r="R114" i="9" s="1"/>
  <c r="R244" i="9" a="1"/>
  <c r="R244" i="9" s="1"/>
  <c r="R17" i="9" a="1"/>
  <c r="R17" i="9" s="1"/>
  <c r="R37" i="9" a="1"/>
  <c r="R37" i="9" s="1"/>
  <c r="R128" i="9" a="1"/>
  <c r="R128" i="9" s="1"/>
  <c r="R100" i="9" a="1"/>
  <c r="R100" i="9" s="1"/>
  <c r="R196" i="9" a="1"/>
  <c r="R196" i="9" s="1"/>
  <c r="R119" i="9" a="1"/>
  <c r="R119" i="9" s="1"/>
  <c r="R250" i="9" a="1"/>
  <c r="R250" i="9" s="1"/>
  <c r="R203" i="9" a="1"/>
  <c r="R203" i="9" s="1"/>
  <c r="R162" i="9" a="1"/>
  <c r="R162" i="9" s="1"/>
  <c r="R62" i="9" a="1"/>
  <c r="R62" i="9" s="1"/>
  <c r="R55" i="9" a="1"/>
  <c r="R55" i="9" s="1"/>
  <c r="R44" i="9" a="1"/>
  <c r="R44" i="9" s="1"/>
  <c r="W44" i="9" s="1" a="1"/>
  <c r="R14" i="9" a="1"/>
  <c r="R14" i="9" s="1"/>
  <c r="Y14" i="9" s="1" a="1"/>
  <c r="R85" i="9" a="1"/>
  <c r="R85" i="9" s="1"/>
  <c r="R117" i="9" a="1"/>
  <c r="R117" i="9" s="1"/>
  <c r="R173" i="9" a="1"/>
  <c r="R173" i="9" s="1"/>
  <c r="R182" i="9" a="1"/>
  <c r="R182" i="9" s="1"/>
  <c r="R96" i="9" a="1"/>
  <c r="R96" i="9" s="1"/>
  <c r="R168" i="9" a="1"/>
  <c r="R168" i="9" s="1"/>
  <c r="R19" i="9" a="1"/>
  <c r="R19" i="9" s="1"/>
  <c r="Y19" i="9" s="1" a="1"/>
  <c r="R238" i="9" a="1"/>
  <c r="R238" i="9" s="1"/>
  <c r="R186" i="9" a="1"/>
  <c r="R186" i="9" s="1"/>
  <c r="R16" i="9" a="1"/>
  <c r="R16" i="9" s="1"/>
  <c r="R126" i="9" a="1"/>
  <c r="R126" i="9" s="1"/>
  <c r="R166" i="9" a="1"/>
  <c r="R166" i="9" s="1"/>
  <c r="R15" i="9" a="1"/>
  <c r="R15" i="9" s="1"/>
  <c r="R234" i="9" a="1"/>
  <c r="R234" i="9" s="1"/>
  <c r="R83" i="9" a="1"/>
  <c r="R83" i="9" s="1"/>
  <c r="R99" i="9" a="1"/>
  <c r="R99" i="9" s="1"/>
  <c r="R255" i="9" a="1"/>
  <c r="R255" i="9" s="1"/>
  <c r="R97" i="9" a="1"/>
  <c r="R97" i="9" s="1"/>
  <c r="R185" i="9" a="1"/>
  <c r="R185" i="9" s="1"/>
  <c r="R205" i="9" a="1"/>
  <c r="R205" i="9" s="1"/>
  <c r="R23" i="9" a="1"/>
  <c r="R23" i="9" s="1"/>
  <c r="R130" i="9" a="1"/>
  <c r="R130" i="9" s="1"/>
  <c r="R88" i="9" a="1"/>
  <c r="R88" i="9" s="1"/>
  <c r="R49" i="9" a="1"/>
  <c r="R49" i="9" s="1"/>
  <c r="W49" i="9" s="1" a="1"/>
  <c r="R161" i="9" a="1"/>
  <c r="R161" i="9" s="1"/>
  <c r="R70" i="9" a="1"/>
  <c r="R70" i="9" s="1"/>
  <c r="R183" i="9" a="1"/>
  <c r="R183" i="9" s="1"/>
  <c r="R91" i="9" a="1"/>
  <c r="R91" i="9" s="1"/>
  <c r="R141" i="9" a="1"/>
  <c r="R141" i="9" s="1"/>
  <c r="R82" i="9" a="1"/>
  <c r="R82" i="9" s="1"/>
  <c r="R41" i="9" a="1"/>
  <c r="R41" i="9" s="1"/>
  <c r="W41" i="9" s="1" a="1"/>
  <c r="R254" i="9" a="1"/>
  <c r="R254" i="9" s="1"/>
  <c r="R159" i="9" a="1"/>
  <c r="R159" i="9" s="1"/>
  <c r="R190" i="9" a="1"/>
  <c r="R190" i="9" s="1"/>
  <c r="R52" i="9" a="1"/>
  <c r="R52" i="9" s="1"/>
  <c r="R123" i="9" a="1"/>
  <c r="R123" i="9" s="1"/>
  <c r="R115" i="9" a="1"/>
  <c r="R115" i="9" s="1"/>
  <c r="R122" i="9" a="1"/>
  <c r="R122" i="9" s="1"/>
  <c r="R180" i="9" a="1"/>
  <c r="R180" i="9" s="1"/>
  <c r="R89" i="9" a="1"/>
  <c r="R89" i="9" s="1"/>
  <c r="R131" i="9" a="1"/>
  <c r="R131" i="9" s="1"/>
  <c r="R6" i="9" a="1"/>
  <c r="R6" i="9" s="1"/>
  <c r="R174" i="9" a="1"/>
  <c r="R174" i="9" s="1"/>
  <c r="R167" i="9" a="1"/>
  <c r="R167" i="9" s="1"/>
  <c r="R132" i="9" a="1"/>
  <c r="R132" i="9" s="1"/>
  <c r="R104" i="9" a="1"/>
  <c r="R104" i="9" s="1"/>
  <c r="R71" i="9" a="1"/>
  <c r="R71" i="9" s="1"/>
  <c r="AB71" i="9" s="1" a="1"/>
  <c r="R248" i="9" a="1"/>
  <c r="R248" i="9" s="1"/>
  <c r="R116" i="9" a="1"/>
  <c r="R116" i="9" s="1"/>
  <c r="R236" i="9" a="1"/>
  <c r="R236" i="9" s="1"/>
  <c r="R54" i="9" a="1"/>
  <c r="R54" i="9" s="1"/>
  <c r="R47" i="9" a="1"/>
  <c r="R47" i="9" s="1"/>
  <c r="R3" i="9" a="1"/>
  <c r="R3" i="9" s="1"/>
  <c r="R93" i="9" a="1"/>
  <c r="R93" i="9" s="1"/>
  <c r="R108" i="9" a="1"/>
  <c r="R108" i="9" s="1"/>
  <c r="R34" i="9" a="1"/>
  <c r="R34" i="9" s="1"/>
  <c r="Z34" i="9" s="1" a="1"/>
  <c r="R189" i="9" a="1"/>
  <c r="R189" i="9" s="1"/>
  <c r="R21" i="9" a="1"/>
  <c r="R21" i="9" s="1"/>
  <c r="R13" i="9" a="1"/>
  <c r="R13" i="9" s="1"/>
  <c r="R235" i="9" a="1"/>
  <c r="R235" i="9" s="1"/>
  <c r="R209" i="9" a="1"/>
  <c r="R209" i="9" s="1"/>
  <c r="R30" i="9" a="1"/>
  <c r="R30" i="9" s="1"/>
  <c r="R118" i="9" a="1"/>
  <c r="R118" i="9" s="1"/>
  <c r="R142" i="9" a="1"/>
  <c r="R142" i="9" s="1"/>
  <c r="R188" i="9" a="1"/>
  <c r="R188" i="9" s="1"/>
  <c r="R222" i="9" a="1"/>
  <c r="R222" i="9" s="1"/>
  <c r="R239" i="9" a="1"/>
  <c r="R239" i="9" s="1"/>
  <c r="R208" i="9" a="1"/>
  <c r="R208" i="9" s="1"/>
  <c r="R25" i="9" a="1"/>
  <c r="R25" i="9" s="1"/>
  <c r="R61" i="9" a="1"/>
  <c r="R61" i="9" s="1"/>
  <c r="R181" i="9" a="1"/>
  <c r="R181" i="9" s="1"/>
  <c r="R253" i="9" a="1"/>
  <c r="R253" i="9" s="1"/>
  <c r="R175" i="9" a="1"/>
  <c r="R175" i="9" s="1"/>
  <c r="R194" i="9" a="1"/>
  <c r="R194" i="9" s="1"/>
  <c r="R216" i="9" a="1"/>
  <c r="R216" i="9" s="1"/>
  <c r="R192" i="9" a="1"/>
  <c r="R192" i="9" s="1"/>
  <c r="R227" i="9" a="1"/>
  <c r="R227" i="9" s="1"/>
  <c r="R165" i="9" a="1"/>
  <c r="R165" i="9" s="1"/>
  <c r="R213" i="9" a="1"/>
  <c r="R213" i="9" s="1"/>
  <c r="R225" i="9" a="1"/>
  <c r="R225" i="9" s="1"/>
  <c r="R201" i="9" a="1"/>
  <c r="R201" i="9" s="1"/>
  <c r="R243" i="9" a="1"/>
  <c r="R243" i="9" s="1"/>
  <c r="R206" i="9" a="1"/>
  <c r="R206" i="9" s="1"/>
  <c r="R229" i="9" a="1"/>
  <c r="R229" i="9" s="1"/>
  <c r="R40" i="9" a="1"/>
  <c r="R40" i="9" s="1"/>
  <c r="R46" i="9" a="1"/>
  <c r="R46" i="9" s="1"/>
  <c r="R1" i="9" a="1"/>
  <c r="R1" i="9" s="1"/>
  <c r="R177" i="9" a="1"/>
  <c r="R177" i="9" s="1"/>
  <c r="R110" i="9" a="1"/>
  <c r="R110" i="9" s="1"/>
  <c r="R157" i="9" a="1"/>
  <c r="R157" i="9" s="1"/>
  <c r="R223" i="9" a="1"/>
  <c r="R223" i="9" s="1"/>
  <c r="R107" i="9" a="1"/>
  <c r="R107" i="9" s="1"/>
  <c r="R33" i="9" a="1"/>
  <c r="R33" i="9" s="1"/>
  <c r="R45" i="9" a="1"/>
  <c r="R45" i="9" s="1"/>
  <c r="R105" i="9" a="1"/>
  <c r="R105" i="9" s="1"/>
  <c r="R92" i="9" a="1"/>
  <c r="R92" i="9" s="1"/>
  <c r="R191" i="9" a="1"/>
  <c r="R191" i="9" s="1"/>
  <c r="R12" i="9" a="1"/>
  <c r="R12" i="9" s="1"/>
  <c r="R156" i="9" a="1"/>
  <c r="R156" i="9" s="1"/>
  <c r="R179" i="9" a="1"/>
  <c r="R179" i="9" s="1"/>
  <c r="R218" i="9" a="1"/>
  <c r="R218" i="9" s="1"/>
  <c r="R111" i="9" a="1"/>
  <c r="R111" i="9" s="1"/>
  <c r="R245" i="9" a="1"/>
  <c r="R245" i="9" s="1"/>
  <c r="R76" i="9" a="1"/>
  <c r="R76" i="9" s="1"/>
  <c r="AA76" i="9" s="1" a="1"/>
  <c r="R4" i="9" a="1"/>
  <c r="R4" i="9" s="1"/>
  <c r="R50" i="9" a="1"/>
  <c r="R50" i="9" s="1"/>
  <c r="R9" i="9" a="1"/>
  <c r="R9" i="9" s="1"/>
  <c r="R57" i="9" a="1"/>
  <c r="R57" i="9" s="1"/>
  <c r="R11" i="9" a="1"/>
  <c r="R11" i="9" s="1"/>
  <c r="R95" i="9" a="1"/>
  <c r="R95" i="9" s="1"/>
  <c r="R152" i="9" a="1"/>
  <c r="R152" i="9" s="1"/>
  <c r="R90" i="9" a="1"/>
  <c r="R90" i="9" s="1"/>
  <c r="R252" i="9" a="1"/>
  <c r="R252" i="9" s="1"/>
  <c r="R164" i="9" a="1"/>
  <c r="R164" i="9" s="1"/>
  <c r="R241" i="9" a="1"/>
  <c r="R241" i="9" s="1"/>
  <c r="R137" i="9" a="1"/>
  <c r="R137" i="9" s="1"/>
  <c r="R63" i="9" a="1"/>
  <c r="R63" i="9" s="1"/>
  <c r="R38" i="9" a="1"/>
  <c r="R38" i="9" s="1"/>
  <c r="R247" i="9" a="1"/>
  <c r="R247" i="9" s="1"/>
  <c r="R59" i="9" a="1"/>
  <c r="R59" i="9" s="1"/>
  <c r="V59" i="9" s="1" a="1"/>
  <c r="R86" i="9" a="1"/>
  <c r="R86" i="9" s="1"/>
  <c r="R68" i="9" a="1"/>
  <c r="R68" i="9" s="1"/>
  <c r="R24" i="9" a="1"/>
  <c r="R24" i="9" s="1"/>
  <c r="R75" i="9" a="1"/>
  <c r="R75" i="9" s="1"/>
  <c r="R32" i="9" a="1"/>
  <c r="R32" i="9" s="1"/>
  <c r="R36" i="9" a="1"/>
  <c r="R36" i="9" s="1"/>
  <c r="R74" i="9" a="1"/>
  <c r="R74" i="9" s="1"/>
  <c r="X74" i="9" s="1" a="1"/>
  <c r="R226" i="9" a="1"/>
  <c r="R226" i="9" s="1"/>
  <c r="R7" i="9" a="1"/>
  <c r="R7" i="9" s="1"/>
  <c r="R147" i="9" a="1"/>
  <c r="R147" i="9" s="1"/>
  <c r="R193" i="9" a="1"/>
  <c r="R193" i="9" s="1"/>
  <c r="R231" i="9" a="1"/>
  <c r="R231" i="9" s="1"/>
  <c r="R170" i="9" a="1"/>
  <c r="R170" i="9" s="1"/>
  <c r="R101" i="9" a="1"/>
  <c r="R101" i="9" s="1"/>
  <c r="R155" i="9" a="1"/>
  <c r="R155" i="9" s="1"/>
  <c r="R125" i="9" a="1"/>
  <c r="R125" i="9" s="1"/>
  <c r="R42" i="9" a="1"/>
  <c r="R42" i="9" s="1"/>
  <c r="R120" i="9" a="1"/>
  <c r="R120" i="9" s="1"/>
  <c r="R29" i="9" a="1"/>
  <c r="R29" i="9" s="1"/>
  <c r="R172" i="9" a="1"/>
  <c r="R172" i="9" s="1"/>
  <c r="R144" i="9" a="1"/>
  <c r="R144" i="9" s="1"/>
  <c r="R210" i="9" a="1"/>
  <c r="R210" i="9" s="1"/>
  <c r="R5" i="9" a="1"/>
  <c r="R5" i="9" s="1"/>
  <c r="R78" i="9" a="1"/>
  <c r="R78" i="9" s="1"/>
  <c r="R187" i="9" a="1"/>
  <c r="R187" i="9" s="1"/>
  <c r="R56" i="9" a="1"/>
  <c r="R56" i="9" s="1"/>
  <c r="R143" i="9" a="1"/>
  <c r="R143" i="9" s="1"/>
  <c r="R212" i="9" a="1"/>
  <c r="R212" i="9" s="1"/>
  <c r="R145" i="9" a="1"/>
  <c r="R145" i="9" s="1"/>
  <c r="R109" i="9" a="1"/>
  <c r="R109" i="9" s="1"/>
  <c r="R28" i="9" a="1"/>
  <c r="R28" i="9" s="1"/>
  <c r="X28" i="9" s="1" a="1"/>
  <c r="R138" i="9" a="1"/>
  <c r="R138" i="9" s="1"/>
  <c r="R257" i="9" a="1"/>
  <c r="R257" i="9" s="1"/>
  <c r="R169" i="9" a="1"/>
  <c r="R169" i="9" s="1"/>
  <c r="R158" i="9" a="1"/>
  <c r="R158" i="9" s="1"/>
  <c r="R148" i="9" a="1"/>
  <c r="R148" i="9" s="1"/>
  <c r="R215" i="9" a="1"/>
  <c r="R215" i="9" s="1"/>
  <c r="R124" i="9" a="1"/>
  <c r="R124" i="9" s="1"/>
  <c r="R35" i="9" a="1"/>
  <c r="R35" i="9" s="1"/>
  <c r="S35" i="9" s="1" a="1"/>
  <c r="R79" i="9" a="1"/>
  <c r="R79" i="9" s="1"/>
  <c r="R113" i="9" a="1"/>
  <c r="R113" i="9" s="1"/>
  <c r="R140" i="9" a="1"/>
  <c r="R140" i="9" s="1"/>
  <c r="R256" i="9" a="1"/>
  <c r="R256" i="9" s="1"/>
  <c r="R154" i="9" a="1"/>
  <c r="R154" i="9" s="1"/>
  <c r="R103" i="9" a="1"/>
  <c r="R103" i="9" s="1"/>
  <c r="R139" i="9" a="1"/>
  <c r="R139" i="9" s="1"/>
  <c r="R94" i="9" a="1"/>
  <c r="R94" i="9" s="1"/>
  <c r="R39" i="9" a="1"/>
  <c r="R39" i="9" s="1"/>
  <c r="AB39" i="9" s="1" a="1"/>
  <c r="R48" i="9" a="1"/>
  <c r="R48" i="9" s="1"/>
  <c r="R246" i="9" a="1"/>
  <c r="R246" i="9" s="1"/>
  <c r="R87" i="9" a="1"/>
  <c r="R87" i="9" s="1"/>
  <c r="R230" i="9" a="1"/>
  <c r="R230" i="9" s="1"/>
  <c r="R102" i="9" a="1"/>
  <c r="R102" i="9" s="1"/>
  <c r="R224" i="9" a="1"/>
  <c r="R224" i="9" s="1"/>
  <c r="R163" i="9" a="1"/>
  <c r="R163" i="9" s="1"/>
  <c r="R160" i="9" a="1"/>
  <c r="R160" i="9" s="1"/>
  <c r="R237" i="9" a="1"/>
  <c r="R237" i="9" s="1"/>
  <c r="R66" i="9" a="1"/>
  <c r="R66" i="9" s="1"/>
  <c r="R217" i="9" a="1"/>
  <c r="R217" i="9" s="1"/>
  <c r="R214" i="9" a="1"/>
  <c r="R214" i="9" s="1"/>
  <c r="R221" i="9" a="1"/>
  <c r="R221" i="9" s="1"/>
  <c r="R129" i="9" a="1"/>
  <c r="R129" i="9" s="1"/>
  <c r="R176" i="9" a="1"/>
  <c r="R176" i="9" s="1"/>
  <c r="R69" i="9" a="1"/>
  <c r="R69" i="9" s="1"/>
  <c r="V69" i="9" s="1" a="1"/>
  <c r="R211" i="9" a="1"/>
  <c r="R211" i="9" s="1"/>
  <c r="R153" i="9" a="1"/>
  <c r="R153" i="9" s="1"/>
  <c r="R232" i="9" a="1"/>
  <c r="R232" i="9" s="1"/>
  <c r="R58" i="9" a="1"/>
  <c r="R58" i="9" s="1"/>
  <c r="R219" i="9" a="1"/>
  <c r="R219" i="9" s="1"/>
  <c r="R77" i="9" a="1"/>
  <c r="R77" i="9" s="1"/>
  <c r="R31" i="9" a="1"/>
  <c r="R31" i="9" s="1"/>
  <c r="V31" i="9" s="1" a="1"/>
  <c r="R133" i="9" a="1"/>
  <c r="R133" i="9" s="1"/>
  <c r="R121" i="9" a="1"/>
  <c r="R121" i="9" s="1"/>
  <c r="R51" i="9" a="1"/>
  <c r="R51" i="9" s="1"/>
  <c r="Z51" i="9" s="1" a="1"/>
  <c r="R184" i="9" a="1"/>
  <c r="R184" i="9" s="1"/>
  <c r="R202" i="9" a="1"/>
  <c r="R202" i="9" s="1"/>
  <c r="R199" i="9" a="1"/>
  <c r="R199" i="9" s="1"/>
  <c r="R98" i="9" a="1"/>
  <c r="R98" i="9" s="1"/>
  <c r="R146" i="9" a="1"/>
  <c r="R146" i="9" s="1"/>
  <c r="R8" i="9" a="1"/>
  <c r="R8" i="9" s="1"/>
  <c r="W8" i="9" s="1" a="1"/>
  <c r="R22" i="9" a="1"/>
  <c r="R22" i="9" s="1"/>
  <c r="Y22" i="9" s="1" a="1"/>
  <c r="R106" i="9" a="1"/>
  <c r="R106" i="9" s="1"/>
  <c r="R240" i="9" a="1"/>
  <c r="R240" i="9" s="1"/>
  <c r="R242" i="9" a="1"/>
  <c r="R242" i="9" s="1"/>
  <c r="R171" i="9" a="1"/>
  <c r="R171" i="9" s="1"/>
  <c r="R220" i="9" a="1"/>
  <c r="R220" i="9" s="1"/>
  <c r="R197" i="9" a="1"/>
  <c r="R197" i="9" s="1"/>
  <c r="R27" i="9" a="1"/>
  <c r="R27" i="9" s="1"/>
  <c r="Z27" i="9" s="1" a="1"/>
  <c r="R195" i="9" a="1"/>
  <c r="R195" i="9" s="1"/>
  <c r="R60" i="9" a="1"/>
  <c r="R60" i="9" s="1"/>
  <c r="AA60" i="9" s="1" a="1"/>
  <c r="R81" i="9" a="1"/>
  <c r="R81" i="9" s="1"/>
  <c r="A20" i="7" a="1"/>
  <c r="W10" i="9" a="1"/>
  <c r="X10" i="9" a="1"/>
  <c r="Z10" i="9" a="1"/>
  <c r="AA10" i="9" a="1"/>
  <c r="V10" i="9" a="1"/>
  <c r="S10" i="9" a="1"/>
  <c r="Y10" i="9" a="1"/>
  <c r="AB10" i="9" a="1"/>
  <c r="T10" i="9" a="1"/>
  <c r="AB7" i="9" a="1"/>
  <c r="W7" i="9" a="1"/>
  <c r="V7" i="9" a="1"/>
  <c r="Z7" i="9" a="1"/>
  <c r="AA7" i="9" a="1"/>
  <c r="Y7" i="9" a="1"/>
  <c r="S7" i="9" a="1"/>
  <c r="X7" i="9" a="1"/>
  <c r="T7" i="9" a="1"/>
  <c r="AA42" i="9" a="1"/>
  <c r="Y42" i="9" a="1"/>
  <c r="X42" i="9" a="1"/>
  <c r="W42" i="9" a="1"/>
  <c r="Z42" i="9" a="1"/>
  <c r="V42" i="9" a="1"/>
  <c r="S42" i="9" a="1"/>
  <c r="AB42" i="9" a="1"/>
  <c r="T42" i="9" a="1"/>
  <c r="S48" i="9" a="1"/>
  <c r="Z48" i="9" a="1"/>
  <c r="X48" i="9" a="1"/>
  <c r="W48" i="9" a="1"/>
  <c r="V48" i="9" a="1"/>
  <c r="Y48" i="9" a="1"/>
  <c r="AA48" i="9" a="1"/>
  <c r="AB48" i="9" a="1"/>
  <c r="T48" i="9" a="1"/>
  <c r="Z22" i="9" a="1"/>
  <c r="AA22" i="9" a="1"/>
  <c r="W22" i="9" a="1"/>
  <c r="V22" i="9" a="1"/>
  <c r="X22" i="9" a="1"/>
  <c r="S22" i="9" a="1"/>
  <c r="AB22" i="9" a="1"/>
  <c r="T22" i="9" a="1"/>
  <c r="W60" i="9" a="1"/>
  <c r="Y16" i="9" a="1"/>
  <c r="X16" i="9" a="1"/>
  <c r="V16" i="9" a="1"/>
  <c r="AB16" i="9" a="1"/>
  <c r="AA16" i="9" a="1"/>
  <c r="W16" i="9" a="1"/>
  <c r="Z16" i="9" a="1"/>
  <c r="S16" i="9" a="1"/>
  <c r="T16" i="9" a="1"/>
  <c r="S70" i="9" a="1"/>
  <c r="Z70" i="9" a="1"/>
  <c r="V70" i="9" a="1"/>
  <c r="Y70" i="9" a="1"/>
  <c r="AA70" i="9" a="1"/>
  <c r="W70" i="9" a="1"/>
  <c r="AB70" i="9" a="1"/>
  <c r="X70" i="9" a="1"/>
  <c r="T70" i="9" a="1"/>
  <c r="Y21" i="9" a="1"/>
  <c r="X21" i="9" a="1"/>
  <c r="AA21" i="9" a="1"/>
  <c r="V21" i="9" a="1"/>
  <c r="Z21" i="9" a="1"/>
  <c r="W21" i="9" a="1"/>
  <c r="S21" i="9" a="1"/>
  <c r="AB21" i="9" a="1"/>
  <c r="T21" i="9" a="1"/>
  <c r="AA12" i="9" a="1"/>
  <c r="X12" i="9" a="1"/>
  <c r="Z12" i="9" a="1"/>
  <c r="Y12" i="9" a="1"/>
  <c r="V12" i="9" a="1"/>
  <c r="S12" i="9" a="1"/>
  <c r="AB12" i="9" a="1"/>
  <c r="W12" i="9" a="1"/>
  <c r="T12" i="9" a="1"/>
  <c r="Z50" i="9" a="1"/>
  <c r="W50" i="9" a="1"/>
  <c r="X50" i="9" a="1"/>
  <c r="AA50" i="9" a="1"/>
  <c r="S50" i="9" a="1"/>
  <c r="V50" i="9" a="1"/>
  <c r="Y50" i="9" a="1"/>
  <c r="AB50" i="9" a="1"/>
  <c r="T50" i="9" a="1"/>
  <c r="Z68" i="9" a="1"/>
  <c r="AA68" i="9" a="1"/>
  <c r="Y68" i="9" a="1"/>
  <c r="W68" i="9" a="1"/>
  <c r="AB68" i="9" a="1"/>
  <c r="V68" i="9" a="1"/>
  <c r="X68" i="9" a="1"/>
  <c r="S68" i="9" a="1"/>
  <c r="T68" i="9" a="1"/>
  <c r="V56" i="9" a="1"/>
  <c r="Y56" i="9" a="1"/>
  <c r="Z56" i="9" a="1"/>
  <c r="W56" i="9" a="1"/>
  <c r="AA56" i="9" a="1"/>
  <c r="X56" i="9" a="1"/>
  <c r="S56" i="9" a="1"/>
  <c r="AB56" i="9" a="1"/>
  <c r="T56" i="9" a="1"/>
  <c r="AA66" i="9" a="1"/>
  <c r="W66" i="9" a="1"/>
  <c r="X66" i="9" a="1"/>
  <c r="Z66" i="9" a="1"/>
  <c r="S66" i="9" a="1"/>
  <c r="AB66" i="9" a="1"/>
  <c r="Y66" i="9" a="1"/>
  <c r="V66" i="9" a="1"/>
  <c r="T66" i="9" a="1"/>
  <c r="AA51" i="9" a="1"/>
  <c r="W51" i="9" a="1"/>
  <c r="S51" i="9" a="1"/>
  <c r="V51" i="9" a="1"/>
  <c r="X51" i="9" a="1"/>
  <c r="Y51" i="9" a="1"/>
  <c r="AB51" i="9" a="1"/>
  <c r="W26" i="9" a="1"/>
  <c r="Y26" i="9" a="1"/>
  <c r="V26" i="9" a="1"/>
  <c r="AA26" i="9" a="1"/>
  <c r="S26" i="9" a="1"/>
  <c r="X26" i="9" a="1"/>
  <c r="Z26" i="9" a="1"/>
  <c r="AB26" i="9" a="1"/>
  <c r="T26" i="9" a="1"/>
  <c r="S64" i="9" a="1"/>
  <c r="W64" i="9" a="1"/>
  <c r="Z64" i="9" a="1"/>
  <c r="V64" i="9" a="1"/>
  <c r="AA64" i="9" a="1"/>
  <c r="Y64" i="9" a="1"/>
  <c r="AB64" i="9" a="1"/>
  <c r="X64" i="9" a="1"/>
  <c r="T64" i="9" a="1"/>
  <c r="Z52" i="9" a="1"/>
  <c r="Y52" i="9" a="1"/>
  <c r="S52" i="9" a="1"/>
  <c r="W52" i="9" a="1"/>
  <c r="V52" i="9" a="1"/>
  <c r="AA52" i="9" a="1"/>
  <c r="X52" i="9" a="1"/>
  <c r="AB52" i="9" a="1"/>
  <c r="T52" i="9" a="1"/>
  <c r="Z54" i="9" a="1"/>
  <c r="Y54" i="9" a="1"/>
  <c r="S54" i="9" a="1"/>
  <c r="W54" i="9" a="1"/>
  <c r="X54" i="9" a="1"/>
  <c r="AA54" i="9" a="1"/>
  <c r="V54" i="9" a="1"/>
  <c r="AB54" i="9" a="1"/>
  <c r="T54" i="9" a="1"/>
  <c r="Z13" i="9" a="1"/>
  <c r="X13" i="9" a="1"/>
  <c r="Y13" i="9" a="1"/>
  <c r="V13" i="9" a="1"/>
  <c r="AB13" i="9" a="1"/>
  <c r="AA13" i="9" a="1"/>
  <c r="W13" i="9" a="1"/>
  <c r="S13" i="9" a="1"/>
  <c r="T13" i="9" a="1"/>
  <c r="Z9" i="9" a="1"/>
  <c r="X9" i="9" a="1"/>
  <c r="AB9" i="9" a="1"/>
  <c r="Y9" i="9" a="1"/>
  <c r="AA9" i="9" a="1"/>
  <c r="W9" i="9" a="1"/>
  <c r="V9" i="9" a="1"/>
  <c r="S9" i="9" a="1"/>
  <c r="T9" i="9" a="1"/>
  <c r="Y24" i="9" a="1"/>
  <c r="X24" i="9" a="1"/>
  <c r="AA24" i="9" a="1"/>
  <c r="V24" i="9" a="1"/>
  <c r="W24" i="9" a="1"/>
  <c r="Z24" i="9" a="1"/>
  <c r="S24" i="9" a="1"/>
  <c r="AB24" i="9" a="1"/>
  <c r="T24" i="9" a="1"/>
  <c r="V29" i="9" a="1"/>
  <c r="W29" i="9" a="1"/>
  <c r="Z29" i="9" a="1"/>
  <c r="Y29" i="9" a="1"/>
  <c r="S29" i="9" a="1"/>
  <c r="X29" i="9" a="1"/>
  <c r="AA29" i="9" a="1"/>
  <c r="AB29" i="9" a="1"/>
  <c r="T29" i="9" a="1"/>
  <c r="AB72" i="9" a="1"/>
  <c r="X72" i="9" a="1"/>
  <c r="Z72" i="9" a="1"/>
  <c r="S72" i="9" a="1"/>
  <c r="AA72" i="9" a="1"/>
  <c r="V72" i="9" a="1"/>
  <c r="Y72" i="9" a="1"/>
  <c r="W72" i="9" a="1"/>
  <c r="T72" i="9" a="1"/>
  <c r="V18" i="9" a="1"/>
  <c r="S18" i="9" a="1"/>
  <c r="W18" i="9" a="1"/>
  <c r="Y18" i="9" a="1"/>
  <c r="X18" i="9" a="1"/>
  <c r="AA18" i="9" a="1"/>
  <c r="Z18" i="9" a="1"/>
  <c r="AB18" i="9" a="1"/>
  <c r="T18" i="9" a="1"/>
  <c r="S53" i="9" a="1"/>
  <c r="W53" i="9" a="1"/>
  <c r="X53" i="9" a="1"/>
  <c r="V53" i="9" a="1"/>
  <c r="Y53" i="9" a="1"/>
  <c r="Z53" i="9" a="1"/>
  <c r="AA53" i="9" a="1"/>
  <c r="AB53" i="9" a="1"/>
  <c r="T53" i="9" a="1"/>
  <c r="X17" i="9" a="1"/>
  <c r="Y17" i="9" a="1"/>
  <c r="AA17" i="9" a="1"/>
  <c r="Z17" i="9" a="1"/>
  <c r="V17" i="9" a="1"/>
  <c r="AB17" i="9" a="1"/>
  <c r="W17" i="9" a="1"/>
  <c r="S17" i="9" a="1"/>
  <c r="T17" i="9" a="1"/>
  <c r="S47" i="9" a="1"/>
  <c r="Z47" i="9" a="1"/>
  <c r="W47" i="9" a="1"/>
  <c r="X47" i="9" a="1"/>
  <c r="Y47" i="9" a="1"/>
  <c r="V47" i="9" a="1"/>
  <c r="AA47" i="9" a="1"/>
  <c r="AB47" i="9" a="1"/>
  <c r="T47" i="9" a="1"/>
  <c r="W57" i="9" a="1"/>
  <c r="X57" i="9" a="1"/>
  <c r="Y57" i="9" a="1"/>
  <c r="AA57" i="9" a="1"/>
  <c r="Z57" i="9" a="1"/>
  <c r="V57" i="9" a="1"/>
  <c r="S57" i="9" a="1"/>
  <c r="AB57" i="9" a="1"/>
  <c r="T57" i="9" a="1"/>
  <c r="Y75" i="9" a="1"/>
  <c r="AA75" i="9" a="1"/>
  <c r="W75" i="9" a="1"/>
  <c r="V75" i="9" a="1"/>
  <c r="AB75" i="9" a="1"/>
  <c r="Z75" i="9" a="1"/>
  <c r="X75" i="9" a="1"/>
  <c r="S75" i="9" a="1"/>
  <c r="T75" i="9" a="1"/>
  <c r="V58" i="9" a="1"/>
  <c r="W58" i="9" a="1"/>
  <c r="Y58" i="9" a="1"/>
  <c r="X58" i="9" a="1"/>
  <c r="S58" i="9" a="1"/>
  <c r="Z58" i="9" a="1"/>
  <c r="AA58" i="9" a="1"/>
  <c r="AB58" i="9" a="1"/>
  <c r="T58" i="9" a="1"/>
  <c r="V73" i="9" a="1"/>
  <c r="Z73" i="9" a="1"/>
  <c r="X73" i="9" a="1"/>
  <c r="AB73" i="9" a="1"/>
  <c r="AA73" i="9" a="1"/>
  <c r="S73" i="9" a="1"/>
  <c r="Y73" i="9" a="1"/>
  <c r="W73" i="9" a="1"/>
  <c r="T73" i="9" a="1"/>
  <c r="AA37" i="9" a="1"/>
  <c r="Z37" i="9" a="1"/>
  <c r="V37" i="9" a="1"/>
  <c r="Y37" i="9" a="1"/>
  <c r="S37" i="9" a="1"/>
  <c r="X37" i="9" a="1"/>
  <c r="W37" i="9" a="1"/>
  <c r="AB37" i="9" a="1"/>
  <c r="T37" i="9" a="1"/>
  <c r="S62" i="9" a="1"/>
  <c r="V62" i="9" a="1"/>
  <c r="Z62" i="9" a="1"/>
  <c r="W62" i="9" a="1"/>
  <c r="X62" i="9" a="1"/>
  <c r="Y62" i="9" a="1"/>
  <c r="AA62" i="9" a="1"/>
  <c r="AB62" i="9" a="1"/>
  <c r="T62" i="9" a="1"/>
  <c r="AA15" i="9" a="1"/>
  <c r="Z15" i="9" a="1"/>
  <c r="AB15" i="9" a="1"/>
  <c r="V15" i="9" a="1"/>
  <c r="X15" i="9" a="1"/>
  <c r="W15" i="9" a="1"/>
  <c r="Y15" i="9" a="1"/>
  <c r="S15" i="9" a="1"/>
  <c r="T15" i="9" a="1"/>
  <c r="S23" i="9" a="1"/>
  <c r="Z23" i="9" a="1"/>
  <c r="V23" i="9" a="1"/>
  <c r="AA23" i="9" a="1"/>
  <c r="X23" i="9" a="1"/>
  <c r="Y23" i="9" a="1"/>
  <c r="W23" i="9" a="1"/>
  <c r="AB23" i="9" a="1"/>
  <c r="T23" i="9" a="1"/>
  <c r="Y25" i="9" a="1"/>
  <c r="W25" i="9" a="1"/>
  <c r="S25" i="9" a="1"/>
  <c r="V25" i="9" a="1"/>
  <c r="X25" i="9" a="1"/>
  <c r="Z25" i="9" a="1"/>
  <c r="AA25" i="9" a="1"/>
  <c r="AB25" i="9" a="1"/>
  <c r="T25" i="9" a="1"/>
  <c r="W40" i="9" a="1"/>
  <c r="Y40" i="9" a="1"/>
  <c r="V40" i="9" a="1"/>
  <c r="Z40" i="9" a="1"/>
  <c r="X40" i="9" a="1"/>
  <c r="S40" i="9" a="1"/>
  <c r="AA40" i="9" a="1"/>
  <c r="AB40" i="9" a="1"/>
  <c r="T40" i="9" a="1"/>
  <c r="W33" i="9" a="1"/>
  <c r="S33" i="9" a="1"/>
  <c r="Y33" i="9" a="1"/>
  <c r="Z33" i="9" a="1"/>
  <c r="V33" i="9" a="1"/>
  <c r="X33" i="9" a="1"/>
  <c r="AA33" i="9" a="1"/>
  <c r="AB33" i="9" a="1"/>
  <c r="T33" i="9" a="1"/>
  <c r="X11" i="9" a="1"/>
  <c r="Y11" i="9" a="1"/>
  <c r="Z11" i="9" a="1"/>
  <c r="AA11" i="9" a="1"/>
  <c r="W11" i="9" a="1"/>
  <c r="V11" i="9" a="1"/>
  <c r="S11" i="9" a="1"/>
  <c r="AB11" i="9" a="1"/>
  <c r="T11" i="9" a="1"/>
  <c r="S63" i="9" a="1"/>
  <c r="W63" i="9" a="1"/>
  <c r="V63" i="9" a="1"/>
  <c r="Y63" i="9" a="1"/>
  <c r="AB63" i="9" a="1"/>
  <c r="Z63" i="9" a="1"/>
  <c r="X63" i="9" a="1"/>
  <c r="AA63" i="9" a="1"/>
  <c r="T63" i="9" a="1"/>
  <c r="Y32" i="9" a="1"/>
  <c r="AA32" i="9" a="1"/>
  <c r="W32" i="9" a="1"/>
  <c r="Z32" i="9" a="1"/>
  <c r="V32" i="9" a="1"/>
  <c r="X32" i="9" a="1"/>
  <c r="S32" i="9" a="1"/>
  <c r="AB32" i="9" a="1"/>
  <c r="T32" i="9" a="1"/>
  <c r="V20" i="9" a="1"/>
  <c r="AA20" i="9" a="1"/>
  <c r="S20" i="9" a="1"/>
  <c r="X20" i="9" a="1"/>
  <c r="Z20" i="9" a="1"/>
  <c r="Y20" i="9" a="1"/>
  <c r="W20" i="9" a="1"/>
  <c r="AB20" i="9" a="1"/>
  <c r="T20" i="9" a="1"/>
  <c r="V55" i="9" a="1"/>
  <c r="W55" i="9" a="1"/>
  <c r="Z55" i="9" a="1"/>
  <c r="S55" i="9" a="1"/>
  <c r="AA55" i="9" a="1"/>
  <c r="X55" i="9" a="1"/>
  <c r="Y55" i="9" a="1"/>
  <c r="AB55" i="9" a="1"/>
  <c r="T55" i="9" a="1"/>
  <c r="Y30" i="9" a="1"/>
  <c r="X30" i="9" a="1"/>
  <c r="V30" i="9" a="1"/>
  <c r="W30" i="9" a="1"/>
  <c r="Z30" i="9" a="1"/>
  <c r="S30" i="9" a="1"/>
  <c r="AA30" i="9" a="1"/>
  <c r="AB30" i="9" a="1"/>
  <c r="T30" i="9" a="1"/>
  <c r="W61" i="9" a="1"/>
  <c r="X61" i="9" a="1"/>
  <c r="V61" i="9" a="1"/>
  <c r="Y61" i="9" a="1"/>
  <c r="S61" i="9" a="1"/>
  <c r="Z61" i="9" a="1"/>
  <c r="AA61" i="9" a="1"/>
  <c r="AB61" i="9" a="1"/>
  <c r="T61" i="9" a="1"/>
  <c r="S46" i="9" a="1"/>
  <c r="W46" i="9" a="1"/>
  <c r="AA46" i="9" a="1"/>
  <c r="X46" i="9" a="1"/>
  <c r="Y46" i="9" a="1"/>
  <c r="V46" i="9" a="1"/>
  <c r="Z46" i="9" a="1"/>
  <c r="AB46" i="9" a="1"/>
  <c r="T46" i="9" a="1"/>
  <c r="W45" i="9" a="1"/>
  <c r="AA45" i="9" a="1"/>
  <c r="Y45" i="9" a="1"/>
  <c r="S45" i="9" a="1"/>
  <c r="X45" i="9" a="1"/>
  <c r="Z45" i="9" a="1"/>
  <c r="V45" i="9" a="1"/>
  <c r="AB45" i="9" a="1"/>
  <c r="T45" i="9" a="1"/>
  <c r="X38" i="9" a="1"/>
  <c r="Z38" i="9" a="1"/>
  <c r="V38" i="9" a="1"/>
  <c r="W38" i="9" a="1"/>
  <c r="Y38" i="9" a="1"/>
  <c r="AA38" i="9" a="1"/>
  <c r="S38" i="9" a="1"/>
  <c r="AB38" i="9" a="1"/>
  <c r="T38" i="9" a="1"/>
  <c r="V36" i="9" a="1"/>
  <c r="Y36" i="9" a="1"/>
  <c r="X36" i="9" a="1"/>
  <c r="AA36" i="9" a="1"/>
  <c r="S36" i="9" a="1"/>
  <c r="W36" i="9" a="1"/>
  <c r="Z36" i="9" a="1"/>
  <c r="AB36" i="9" a="1"/>
  <c r="T36" i="9" a="1"/>
  <c r="AA43" i="9" a="1"/>
  <c r="X43" i="9" a="1"/>
  <c r="V43" i="9" a="1"/>
  <c r="W67" i="9" a="1"/>
  <c r="AA67" i="9" a="1"/>
  <c r="V67" i="9" a="1"/>
  <c r="Z44" i="9" a="1"/>
  <c r="V44" i="9" a="1"/>
  <c r="W19" i="9" a="1"/>
  <c r="X19" i="9" a="1"/>
  <c r="T19" i="9" a="1"/>
  <c r="Y41" i="9" a="1"/>
  <c r="AB41" i="9" a="1"/>
  <c r="T41" i="9" a="1"/>
  <c r="Z71" i="9" a="1"/>
  <c r="V71" i="9" a="1"/>
  <c r="AB74" i="9" a="1"/>
  <c r="S74" i="9" a="1"/>
  <c r="V28" i="9" a="1"/>
  <c r="Y28" i="9" a="1"/>
  <c r="X35" i="9" a="1"/>
  <c r="W35" i="9" a="1"/>
  <c r="Z31" i="9" a="1"/>
  <c r="W31" i="9" a="1"/>
  <c r="AA65" i="9" a="1"/>
  <c r="AB14" i="9" a="1"/>
  <c r="Z49" i="9" a="1"/>
  <c r="X34" i="9" a="1"/>
  <c r="V76" i="9" a="1"/>
  <c r="T76" i="9" a="1"/>
  <c r="AB59" i="9" a="1"/>
  <c r="W2" i="9" a="1"/>
  <c r="AA4" i="9" a="1"/>
  <c r="S6" i="9" a="1"/>
  <c r="V3" i="9" a="1"/>
  <c r="AB1" i="9" a="1"/>
  <c r="Z5" i="9" a="1"/>
  <c r="Y2" i="9" a="1"/>
  <c r="S4" i="9" a="1"/>
  <c r="AA6" i="9" a="1"/>
  <c r="Z3" i="9" a="1"/>
  <c r="T1" i="9" a="1"/>
  <c r="W5" i="9" a="1"/>
  <c r="AB5" i="9" a="1"/>
  <c r="AA2" i="9" a="1"/>
  <c r="Y4" i="9" a="1"/>
  <c r="Z6" i="9" a="1"/>
  <c r="AA3" i="9" a="1"/>
  <c r="S1" i="9" a="1"/>
  <c r="T2" i="9" a="1"/>
  <c r="W4" i="9" a="1"/>
  <c r="X6" i="9" a="1"/>
  <c r="W3" i="9" a="1"/>
  <c r="T3" i="9" a="1"/>
  <c r="Y1" i="9" a="1"/>
  <c r="Y5" i="9" a="1"/>
  <c r="T5" i="9" a="1"/>
  <c r="S2" i="9" a="1"/>
  <c r="AB4" i="9" a="1"/>
  <c r="AB6" i="9" a="1"/>
  <c r="AB3" i="9" a="1"/>
  <c r="Z1" i="9" a="1"/>
  <c r="X5" i="9" a="1"/>
  <c r="Z2" i="9" a="1"/>
  <c r="V4" i="9" a="1"/>
  <c r="T4" i="9" a="1"/>
  <c r="V6" i="9" a="1"/>
  <c r="S3" i="9" a="1"/>
  <c r="W1" i="9" a="1"/>
  <c r="S5" i="9" a="1"/>
  <c r="X2" i="9" a="1"/>
  <c r="X4" i="9" a="1"/>
  <c r="Y6" i="9" a="1"/>
  <c r="T6" i="9" a="1"/>
  <c r="X3" i="9" a="1"/>
  <c r="AA1" i="9" a="1"/>
  <c r="AA5" i="9" a="1"/>
  <c r="AB2" i="9" a="1"/>
  <c r="Z4" i="9" a="1"/>
  <c r="W6" i="9" a="1"/>
  <c r="Y3" i="9" a="1"/>
  <c r="X1" i="9" a="1"/>
  <c r="V5" i="9" a="1"/>
  <c r="S28" i="9" l="1" a="1"/>
  <c r="Y44" i="9" a="1"/>
  <c r="S31" i="9" a="1"/>
  <c r="AA35" i="9" a="1"/>
  <c r="W74" i="9" a="1"/>
  <c r="W71" i="9" a="1"/>
  <c r="V41" i="9" a="1"/>
  <c r="V41" i="9" s="1"/>
  <c r="AB19" i="9" a="1"/>
  <c r="AB19" i="9" s="1"/>
  <c r="T44" i="9" a="1"/>
  <c r="Y67" i="9" a="1"/>
  <c r="S43" i="9" a="1"/>
  <c r="X39" i="9" a="1"/>
  <c r="T31" i="9" a="1"/>
  <c r="AA31" i="9" a="1"/>
  <c r="Y35" i="9" a="1"/>
  <c r="Y35" i="9" s="1"/>
  <c r="W28" i="9" a="1"/>
  <c r="W28" i="9" s="1"/>
  <c r="Y74" i="9" a="1"/>
  <c r="Y71" i="9" a="1"/>
  <c r="AA41" i="9" a="1"/>
  <c r="V19" i="9" a="1"/>
  <c r="AB44" i="9" a="1"/>
  <c r="T67" i="9" a="1"/>
  <c r="S67" i="9" a="1"/>
  <c r="S67" i="9" s="1"/>
  <c r="Z43" i="9" a="1"/>
  <c r="Z43" i="9" s="1"/>
  <c r="T51" i="9" a="1"/>
  <c r="AB31" i="9" a="1"/>
  <c r="T35" i="9" a="1"/>
  <c r="V35" i="9" a="1"/>
  <c r="Z28" i="9" a="1"/>
  <c r="Z74" i="9" a="1"/>
  <c r="S71" i="9" a="1"/>
  <c r="S71" i="9" s="1"/>
  <c r="S41" i="9" a="1"/>
  <c r="S41" i="9" s="1"/>
  <c r="Z19" i="9" a="1"/>
  <c r="S44" i="9" a="1"/>
  <c r="AB67" i="9" a="1"/>
  <c r="T43" i="9" a="1"/>
  <c r="W43" i="9" a="1"/>
  <c r="T60" i="9" a="1"/>
  <c r="X31" i="9" a="1"/>
  <c r="X31" i="9" s="1"/>
  <c r="AB35" i="9" a="1"/>
  <c r="AB35" i="9" s="1"/>
  <c r="T28" i="9" a="1"/>
  <c r="AA28" i="9" a="1"/>
  <c r="V74" i="9" a="1"/>
  <c r="AA71" i="9" a="1"/>
  <c r="Z41" i="9" a="1"/>
  <c r="AA19" i="9" a="1"/>
  <c r="AA44" i="9" a="1"/>
  <c r="AA44" i="9" s="1"/>
  <c r="X67" i="9" a="1"/>
  <c r="X67" i="9" s="1"/>
  <c r="AB43" i="9" a="1"/>
  <c r="AB27" i="9" a="1"/>
  <c r="Y60" i="9" a="1"/>
  <c r="Y31" i="9" a="1"/>
  <c r="Z35" i="9" a="1"/>
  <c r="AB28" i="9" a="1"/>
  <c r="T74" i="9" a="1"/>
  <c r="AA74" i="9" a="1"/>
  <c r="AA74" i="9" s="1"/>
  <c r="X71" i="9" a="1"/>
  <c r="X41" i="9" a="1"/>
  <c r="S19" i="9" a="1"/>
  <c r="X44" i="9" a="1"/>
  <c r="T69" i="9" a="1"/>
  <c r="T71" i="9" a="1"/>
  <c r="X69" i="9" a="1"/>
  <c r="X69" i="9" s="1"/>
  <c r="V60" i="9" a="1"/>
  <c r="V60" i="9" s="1"/>
  <c r="Y39" i="9" a="1"/>
  <c r="Z76" i="9" a="1"/>
  <c r="Y34" i="9" a="1"/>
  <c r="W65" i="9" a="1"/>
  <c r="AA69" i="9" a="1"/>
  <c r="S8" i="9" a="1"/>
  <c r="S60" i="9" a="1"/>
  <c r="S60" i="9" s="1"/>
  <c r="Z8" i="9" a="1"/>
  <c r="Z8" i="9" s="1"/>
  <c r="AA59" i="9" a="1"/>
  <c r="T34" i="9" a="1"/>
  <c r="V49" i="9" a="1"/>
  <c r="S14" i="9" a="1"/>
  <c r="W27" i="9" a="1"/>
  <c r="W27" i="9" s="1"/>
  <c r="W39" i="9" a="1"/>
  <c r="Z59" i="9" a="1"/>
  <c r="Z59" i="9" s="1"/>
  <c r="X76" i="9" a="1"/>
  <c r="X76" i="9" s="1"/>
  <c r="AB34" i="9" a="1"/>
  <c r="T49" i="9" a="1"/>
  <c r="T49" i="9" s="1"/>
  <c r="S49" i="9" a="1"/>
  <c r="S49" i="9" s="1"/>
  <c r="Z14" i="9" a="1"/>
  <c r="X65" i="9" a="1"/>
  <c r="X65" i="9" s="1"/>
  <c r="Y27" i="9" a="1"/>
  <c r="S69" i="9" a="1"/>
  <c r="S69" i="9" s="1"/>
  <c r="AA8" i="9" a="1"/>
  <c r="AA8" i="9" s="1"/>
  <c r="Z60" i="9" a="1"/>
  <c r="S39" i="9" a="1"/>
  <c r="Y59" i="9" a="1"/>
  <c r="S76" i="9" a="1"/>
  <c r="V34" i="9" a="1"/>
  <c r="AB49" i="9" a="1"/>
  <c r="T14" i="9" a="1"/>
  <c r="T14" i="9" s="1"/>
  <c r="X14" i="9" a="1"/>
  <c r="X14" i="9" s="1"/>
  <c r="S65" i="9" a="1"/>
  <c r="AA27" i="9" a="1"/>
  <c r="AA27" i="9" s="1"/>
  <c r="W69" i="9" a="1"/>
  <c r="W69" i="9" s="1"/>
  <c r="V8" i="9" a="1"/>
  <c r="X60" i="9" a="1"/>
  <c r="AA14" i="9" a="1"/>
  <c r="AA14" i="9" s="1"/>
  <c r="Y8" i="9" a="1"/>
  <c r="Y8" i="9" s="1"/>
  <c r="S59" i="9" a="1"/>
  <c r="S59" i="9" s="1"/>
  <c r="V27" i="9" a="1"/>
  <c r="X59" i="9" a="1"/>
  <c r="X59" i="9" s="1"/>
  <c r="S27" i="9" a="1"/>
  <c r="Z69" i="9" a="1"/>
  <c r="T8" i="9" a="1"/>
  <c r="T8" i="9" s="1"/>
  <c r="AB8" i="9" a="1"/>
  <c r="AB60" i="9" a="1"/>
  <c r="AB60" i="9" s="1"/>
  <c r="Z39" i="9" a="1"/>
  <c r="AB76" i="9" a="1"/>
  <c r="Y49" i="9" a="1"/>
  <c r="Y49" i="9" s="1"/>
  <c r="Y65" i="9" a="1"/>
  <c r="Y65" i="9" s="1"/>
  <c r="AA39" i="9" a="1"/>
  <c r="AA39" i="9" s="1"/>
  <c r="AA34" i="9" a="1"/>
  <c r="AA34" i="9" s="1"/>
  <c r="V14" i="9" a="1"/>
  <c r="V14" i="9" s="1"/>
  <c r="W59" i="9" a="1"/>
  <c r="W59" i="9" s="1"/>
  <c r="W34" i="9" a="1"/>
  <c r="W34" i="9" s="1"/>
  <c r="V65" i="9" a="1"/>
  <c r="V65" i="9" s="1"/>
  <c r="X27" i="9" a="1"/>
  <c r="X27" i="9" s="1"/>
  <c r="X8" i="9" a="1"/>
  <c r="S34" i="9" a="1"/>
  <c r="T65" i="9" a="1"/>
  <c r="T65" i="9" s="1"/>
  <c r="AB69" i="9" a="1"/>
  <c r="AB69" i="9" s="1"/>
  <c r="W76" i="9" a="1"/>
  <c r="W76" i="9" s="1"/>
  <c r="AA49" i="9" a="1"/>
  <c r="AA49" i="9" s="1"/>
  <c r="AB65" i="9" a="1"/>
  <c r="T39" i="9" a="1"/>
  <c r="V39" i="9" a="1"/>
  <c r="Y76" i="9" a="1"/>
  <c r="Y76" i="9" s="1"/>
  <c r="X49" i="9" a="1"/>
  <c r="X49" i="9" s="1"/>
  <c r="W14" i="9" a="1"/>
  <c r="Y69" i="9" a="1"/>
  <c r="Y69" i="9" s="1"/>
  <c r="T59" i="9" a="1"/>
  <c r="T59" i="9" s="1"/>
  <c r="T27" i="9" a="1"/>
  <c r="T27" i="9" s="1"/>
  <c r="T39" i="9"/>
  <c r="AB39" i="9"/>
  <c r="X39" i="9"/>
  <c r="Y39" i="9"/>
  <c r="W39" i="9"/>
  <c r="S39" i="9"/>
  <c r="Z39" i="9"/>
  <c r="V39" i="9"/>
  <c r="AB59" i="9"/>
  <c r="AA59" i="9"/>
  <c r="Y59" i="9"/>
  <c r="V59" i="9"/>
  <c r="T76" i="9"/>
  <c r="Z76" i="9"/>
  <c r="S76" i="9"/>
  <c r="AB76" i="9"/>
  <c r="AA76" i="9"/>
  <c r="V76" i="9"/>
  <c r="T34" i="9"/>
  <c r="AB34" i="9"/>
  <c r="V34" i="9"/>
  <c r="S34" i="9"/>
  <c r="Z34" i="9"/>
  <c r="X34" i="9"/>
  <c r="Y34" i="9"/>
  <c r="AB49" i="9"/>
  <c r="W49" i="9"/>
  <c r="Z49" i="9"/>
  <c r="V49" i="9"/>
  <c r="W14" i="9"/>
  <c r="Y14" i="9"/>
  <c r="AB14" i="9"/>
  <c r="S14" i="9"/>
  <c r="Z14" i="9"/>
  <c r="AB65" i="9"/>
  <c r="Z65" i="9"/>
  <c r="AA65" i="9"/>
  <c r="W65" i="9"/>
  <c r="S65" i="9"/>
  <c r="T31" i="9"/>
  <c r="AB31" i="9"/>
  <c r="Y31" i="9"/>
  <c r="V31" i="9"/>
  <c r="W31" i="9"/>
  <c r="Z31" i="9"/>
  <c r="S31" i="9"/>
  <c r="AA31" i="9"/>
  <c r="T35" i="9"/>
  <c r="Z35" i="9"/>
  <c r="S35" i="9"/>
  <c r="W35" i="9"/>
  <c r="X35" i="9"/>
  <c r="AA35" i="9"/>
  <c r="V35" i="9"/>
  <c r="T28" i="9"/>
  <c r="AB28" i="9"/>
  <c r="X28" i="9"/>
  <c r="Y28" i="9"/>
  <c r="V28" i="9"/>
  <c r="S28" i="9"/>
  <c r="Z28" i="9"/>
  <c r="AA28" i="9"/>
  <c r="T5" i="9"/>
  <c r="AB5" i="9"/>
  <c r="W5" i="9"/>
  <c r="Z5" i="9"/>
  <c r="V5" i="9"/>
  <c r="AA5" i="9"/>
  <c r="S5" i="9"/>
  <c r="X5" i="9"/>
  <c r="Y5" i="9"/>
  <c r="T74" i="9"/>
  <c r="X74" i="9"/>
  <c r="S74" i="9"/>
  <c r="AB74" i="9"/>
  <c r="W74" i="9"/>
  <c r="Y74" i="9"/>
  <c r="Z74" i="9"/>
  <c r="V74" i="9"/>
  <c r="T1" i="9"/>
  <c r="AB1" i="9"/>
  <c r="X1" i="9"/>
  <c r="AA1" i="9"/>
  <c r="W1" i="9"/>
  <c r="Z1" i="9"/>
  <c r="Y1" i="9"/>
  <c r="S1" i="9"/>
  <c r="T71" i="9"/>
  <c r="V71" i="9"/>
  <c r="Z71" i="9"/>
  <c r="W71" i="9"/>
  <c r="Y71" i="9"/>
  <c r="AA71" i="9"/>
  <c r="X71" i="9"/>
  <c r="AB71" i="9"/>
  <c r="T41" i="9"/>
  <c r="AB41" i="9"/>
  <c r="AA41" i="9"/>
  <c r="Z41" i="9"/>
  <c r="X41" i="9"/>
  <c r="W41" i="9"/>
  <c r="Y41" i="9"/>
  <c r="T19" i="9"/>
  <c r="V19" i="9"/>
  <c r="Z19" i="9"/>
  <c r="AA19" i="9"/>
  <c r="S19" i="9"/>
  <c r="Y19" i="9"/>
  <c r="X19" i="9"/>
  <c r="W19" i="9"/>
  <c r="T44" i="9"/>
  <c r="AB44" i="9"/>
  <c r="S44" i="9"/>
  <c r="X44" i="9"/>
  <c r="W44" i="9"/>
  <c r="V44" i="9"/>
  <c r="Z44" i="9"/>
  <c r="Y44" i="9"/>
  <c r="T67" i="9"/>
  <c r="AB67" i="9"/>
  <c r="V67" i="9"/>
  <c r="Z67" i="9"/>
  <c r="AA67" i="9"/>
  <c r="W67" i="9"/>
  <c r="Y67" i="9"/>
  <c r="T43" i="9"/>
  <c r="AB43" i="9"/>
  <c r="V43" i="9"/>
  <c r="Y43" i="9"/>
  <c r="X43" i="9"/>
  <c r="AA43" i="9"/>
  <c r="S43" i="9"/>
  <c r="W43" i="9"/>
  <c r="AB27" i="9"/>
  <c r="Y27" i="9"/>
  <c r="V27" i="9"/>
  <c r="S27" i="9"/>
  <c r="Z27" i="9"/>
  <c r="T36" i="9"/>
  <c r="AB36" i="9"/>
  <c r="Z36" i="9"/>
  <c r="W36" i="9"/>
  <c r="S36" i="9"/>
  <c r="AA36" i="9"/>
  <c r="X36" i="9"/>
  <c r="Y36" i="9"/>
  <c r="V36" i="9"/>
  <c r="T38" i="9"/>
  <c r="AB38" i="9"/>
  <c r="S38" i="9"/>
  <c r="AA38" i="9"/>
  <c r="Y38" i="9"/>
  <c r="W38" i="9"/>
  <c r="V38" i="9"/>
  <c r="Z38" i="9"/>
  <c r="X38" i="9"/>
  <c r="T45" i="9"/>
  <c r="AB45" i="9"/>
  <c r="V45" i="9"/>
  <c r="Z45" i="9"/>
  <c r="X45" i="9"/>
  <c r="S45" i="9"/>
  <c r="Y45" i="9"/>
  <c r="AA45" i="9"/>
  <c r="W45" i="9"/>
  <c r="T46" i="9"/>
  <c r="AB46" i="9"/>
  <c r="Z46" i="9"/>
  <c r="V46" i="9"/>
  <c r="Y46" i="9"/>
  <c r="X46" i="9"/>
  <c r="AA46" i="9"/>
  <c r="W46" i="9"/>
  <c r="S46" i="9"/>
  <c r="T61" i="9"/>
  <c r="AB61" i="9"/>
  <c r="AA61" i="9"/>
  <c r="Z61" i="9"/>
  <c r="S61" i="9"/>
  <c r="Y61" i="9"/>
  <c r="V61" i="9"/>
  <c r="X61" i="9"/>
  <c r="W61" i="9"/>
  <c r="T30" i="9"/>
  <c r="AB30" i="9"/>
  <c r="AA30" i="9"/>
  <c r="S30" i="9"/>
  <c r="Z30" i="9"/>
  <c r="W30" i="9"/>
  <c r="V30" i="9"/>
  <c r="X30" i="9"/>
  <c r="Y30" i="9"/>
  <c r="T55" i="9"/>
  <c r="AB55" i="9"/>
  <c r="Y55" i="9"/>
  <c r="X55" i="9"/>
  <c r="AA55" i="9"/>
  <c r="S55" i="9"/>
  <c r="Z55" i="9"/>
  <c r="W55" i="9"/>
  <c r="V55" i="9"/>
  <c r="T20" i="9"/>
  <c r="AB20" i="9"/>
  <c r="W20" i="9"/>
  <c r="Y20" i="9"/>
  <c r="Z20" i="9"/>
  <c r="X20" i="9"/>
  <c r="S20" i="9"/>
  <c r="AA20" i="9"/>
  <c r="V20" i="9"/>
  <c r="T69" i="9"/>
  <c r="AA69" i="9"/>
  <c r="Z69" i="9"/>
  <c r="V69" i="9"/>
  <c r="T32" i="9"/>
  <c r="AB32" i="9"/>
  <c r="S32" i="9"/>
  <c r="X32" i="9"/>
  <c r="V32" i="9"/>
  <c r="Z32" i="9"/>
  <c r="W32" i="9"/>
  <c r="AA32" i="9"/>
  <c r="Y32" i="9"/>
  <c r="T63" i="9"/>
  <c r="AA63" i="9"/>
  <c r="X63" i="9"/>
  <c r="Z63" i="9"/>
  <c r="AB63" i="9"/>
  <c r="Y63" i="9"/>
  <c r="V63" i="9"/>
  <c r="W63" i="9"/>
  <c r="S63" i="9"/>
  <c r="T11" i="9"/>
  <c r="AB11" i="9"/>
  <c r="S11" i="9"/>
  <c r="V11" i="9"/>
  <c r="W11" i="9"/>
  <c r="AA11" i="9"/>
  <c r="Z11" i="9"/>
  <c r="Y11" i="9"/>
  <c r="X11" i="9"/>
  <c r="T33" i="9"/>
  <c r="AB33" i="9"/>
  <c r="AA33" i="9"/>
  <c r="X33" i="9"/>
  <c r="V33" i="9"/>
  <c r="Z33" i="9"/>
  <c r="Y33" i="9"/>
  <c r="S33" i="9"/>
  <c r="W33" i="9"/>
  <c r="T40" i="9"/>
  <c r="AB40" i="9"/>
  <c r="AA40" i="9"/>
  <c r="S40" i="9"/>
  <c r="X40" i="9"/>
  <c r="Z40" i="9"/>
  <c r="V40" i="9"/>
  <c r="Y40" i="9"/>
  <c r="W40" i="9"/>
  <c r="T25" i="9"/>
  <c r="AB25" i="9"/>
  <c r="AA25" i="9"/>
  <c r="Z25" i="9"/>
  <c r="X25" i="9"/>
  <c r="V25" i="9"/>
  <c r="S25" i="9"/>
  <c r="W25" i="9"/>
  <c r="Y25" i="9"/>
  <c r="T3" i="9"/>
  <c r="AA3" i="9"/>
  <c r="Z3" i="9"/>
  <c r="V3" i="9"/>
  <c r="Y3" i="9"/>
  <c r="X3" i="9"/>
  <c r="S3" i="9"/>
  <c r="AB3" i="9"/>
  <c r="W3" i="9"/>
  <c r="T23" i="9"/>
  <c r="AB23" i="9"/>
  <c r="W23" i="9"/>
  <c r="Y23" i="9"/>
  <c r="X23" i="9"/>
  <c r="AA23" i="9"/>
  <c r="V23" i="9"/>
  <c r="Z23" i="9"/>
  <c r="S23" i="9"/>
  <c r="T15" i="9"/>
  <c r="S15" i="9"/>
  <c r="Y15" i="9"/>
  <c r="W15" i="9"/>
  <c r="X15" i="9"/>
  <c r="V15" i="9"/>
  <c r="AB15" i="9"/>
  <c r="Z15" i="9"/>
  <c r="AA15" i="9"/>
  <c r="T62" i="9"/>
  <c r="AB62" i="9"/>
  <c r="AA62" i="9"/>
  <c r="Y62" i="9"/>
  <c r="X62" i="9"/>
  <c r="W62" i="9"/>
  <c r="Z62" i="9"/>
  <c r="V62" i="9"/>
  <c r="S62" i="9"/>
  <c r="T37" i="9"/>
  <c r="AB37" i="9"/>
  <c r="W37" i="9"/>
  <c r="X37" i="9"/>
  <c r="S37" i="9"/>
  <c r="Y37" i="9"/>
  <c r="V37" i="9"/>
  <c r="Z37" i="9"/>
  <c r="AA37" i="9"/>
  <c r="T73" i="9"/>
  <c r="W73" i="9"/>
  <c r="Y73" i="9"/>
  <c r="S73" i="9"/>
  <c r="AA73" i="9"/>
  <c r="AB73" i="9"/>
  <c r="X73" i="9"/>
  <c r="Z73" i="9"/>
  <c r="V73" i="9"/>
  <c r="T58" i="9"/>
  <c r="AB58" i="9"/>
  <c r="AA58" i="9"/>
  <c r="Z58" i="9"/>
  <c r="S58" i="9"/>
  <c r="X58" i="9"/>
  <c r="Y58" i="9"/>
  <c r="W58" i="9"/>
  <c r="V58" i="9"/>
  <c r="T75" i="9"/>
  <c r="S75" i="9"/>
  <c r="X75" i="9"/>
  <c r="Z75" i="9"/>
  <c r="AB75" i="9"/>
  <c r="V75" i="9"/>
  <c r="W75" i="9"/>
  <c r="AA75" i="9"/>
  <c r="Y75" i="9"/>
  <c r="T57" i="9"/>
  <c r="AB57" i="9"/>
  <c r="S57" i="9"/>
  <c r="V57" i="9"/>
  <c r="Z57" i="9"/>
  <c r="AA57" i="9"/>
  <c r="Y57" i="9"/>
  <c r="X57" i="9"/>
  <c r="W57" i="9"/>
  <c r="T47" i="9"/>
  <c r="AB47" i="9"/>
  <c r="AA47" i="9"/>
  <c r="V47" i="9"/>
  <c r="Y47" i="9"/>
  <c r="X47" i="9"/>
  <c r="W47" i="9"/>
  <c r="Z47" i="9"/>
  <c r="S47" i="9"/>
  <c r="T17" i="9"/>
  <c r="S17" i="9"/>
  <c r="W17" i="9"/>
  <c r="AB17" i="9"/>
  <c r="V17" i="9"/>
  <c r="Z17" i="9"/>
  <c r="AA17" i="9"/>
  <c r="Y17" i="9"/>
  <c r="X17" i="9"/>
  <c r="T53" i="9"/>
  <c r="AB53" i="9"/>
  <c r="AA53" i="9"/>
  <c r="Z53" i="9"/>
  <c r="Y53" i="9"/>
  <c r="V53" i="9"/>
  <c r="X53" i="9"/>
  <c r="W53" i="9"/>
  <c r="S53" i="9"/>
  <c r="T18" i="9"/>
  <c r="AB18" i="9"/>
  <c r="Z18" i="9"/>
  <c r="AA18" i="9"/>
  <c r="X18" i="9"/>
  <c r="Y18" i="9"/>
  <c r="W18" i="9"/>
  <c r="S18" i="9"/>
  <c r="V18" i="9"/>
  <c r="T72" i="9"/>
  <c r="W72" i="9"/>
  <c r="Y72" i="9"/>
  <c r="V72" i="9"/>
  <c r="AA72" i="9"/>
  <c r="S72" i="9"/>
  <c r="Z72" i="9"/>
  <c r="X72" i="9"/>
  <c r="AB72" i="9"/>
  <c r="T29" i="9"/>
  <c r="AB29" i="9"/>
  <c r="AA29" i="9"/>
  <c r="X29" i="9"/>
  <c r="S29" i="9"/>
  <c r="Y29" i="9"/>
  <c r="Z29" i="9"/>
  <c r="W29" i="9"/>
  <c r="V29" i="9"/>
  <c r="T24" i="9"/>
  <c r="AB24" i="9"/>
  <c r="S24" i="9"/>
  <c r="Z24" i="9"/>
  <c r="W24" i="9"/>
  <c r="V24" i="9"/>
  <c r="AA24" i="9"/>
  <c r="X24" i="9"/>
  <c r="Y24" i="9"/>
  <c r="T9" i="9"/>
  <c r="S9" i="9"/>
  <c r="V9" i="9"/>
  <c r="W9" i="9"/>
  <c r="AA9" i="9"/>
  <c r="Y9" i="9"/>
  <c r="AB9" i="9"/>
  <c r="X9" i="9"/>
  <c r="Z9" i="9"/>
  <c r="T13" i="9"/>
  <c r="S13" i="9"/>
  <c r="W13" i="9"/>
  <c r="AA13" i="9"/>
  <c r="AB13" i="9"/>
  <c r="V13" i="9"/>
  <c r="Y13" i="9"/>
  <c r="X13" i="9"/>
  <c r="Z13" i="9"/>
  <c r="T54" i="9"/>
  <c r="AB54" i="9"/>
  <c r="V54" i="9"/>
  <c r="AA54" i="9"/>
  <c r="X54" i="9"/>
  <c r="W54" i="9"/>
  <c r="S54" i="9"/>
  <c r="Y54" i="9"/>
  <c r="Z54" i="9"/>
  <c r="T52" i="9"/>
  <c r="AB52" i="9"/>
  <c r="X52" i="9"/>
  <c r="AA52" i="9"/>
  <c r="V52" i="9"/>
  <c r="W52" i="9"/>
  <c r="S52" i="9"/>
  <c r="Y52" i="9"/>
  <c r="Z52" i="9"/>
  <c r="T64" i="9"/>
  <c r="X64" i="9"/>
  <c r="AB64" i="9"/>
  <c r="Y64" i="9"/>
  <c r="AA64" i="9"/>
  <c r="V64" i="9"/>
  <c r="Z64" i="9"/>
  <c r="W64" i="9"/>
  <c r="S64" i="9"/>
  <c r="T26" i="9"/>
  <c r="AB26" i="9"/>
  <c r="Z26" i="9"/>
  <c r="X26" i="9"/>
  <c r="S26" i="9"/>
  <c r="AA26" i="9"/>
  <c r="V26" i="9"/>
  <c r="Y26" i="9"/>
  <c r="W26" i="9"/>
  <c r="T51" i="9"/>
  <c r="AB51" i="9"/>
  <c r="Y51" i="9"/>
  <c r="X51" i="9"/>
  <c r="V51" i="9"/>
  <c r="S51" i="9"/>
  <c r="W51" i="9"/>
  <c r="AA51" i="9"/>
  <c r="Z51" i="9"/>
  <c r="T66" i="9"/>
  <c r="V66" i="9"/>
  <c r="Y66" i="9"/>
  <c r="AB66" i="9"/>
  <c r="S66" i="9"/>
  <c r="Z66" i="9"/>
  <c r="X66" i="9"/>
  <c r="W66" i="9"/>
  <c r="AA66" i="9"/>
  <c r="T56" i="9"/>
  <c r="AB56" i="9"/>
  <c r="S56" i="9"/>
  <c r="X56" i="9"/>
  <c r="AA56" i="9"/>
  <c r="W56" i="9"/>
  <c r="Z56" i="9"/>
  <c r="Y56" i="9"/>
  <c r="V56" i="9"/>
  <c r="T68" i="9"/>
  <c r="S68" i="9"/>
  <c r="X68" i="9"/>
  <c r="V68" i="9"/>
  <c r="AB68" i="9"/>
  <c r="W68" i="9"/>
  <c r="Y68" i="9"/>
  <c r="AA68" i="9"/>
  <c r="Z68" i="9"/>
  <c r="T50" i="9"/>
  <c r="AB50" i="9"/>
  <c r="Y50" i="9"/>
  <c r="V50" i="9"/>
  <c r="S50" i="9"/>
  <c r="AA50" i="9"/>
  <c r="X50" i="9"/>
  <c r="W50" i="9"/>
  <c r="Z50" i="9"/>
  <c r="T12" i="9"/>
  <c r="W12" i="9"/>
  <c r="AB12" i="9"/>
  <c r="S12" i="9"/>
  <c r="V12" i="9"/>
  <c r="Y12" i="9"/>
  <c r="Z12" i="9"/>
  <c r="X12" i="9"/>
  <c r="AA12" i="9"/>
  <c r="T21" i="9"/>
  <c r="AB21" i="9"/>
  <c r="S21" i="9"/>
  <c r="W21" i="9"/>
  <c r="Z21" i="9"/>
  <c r="V21" i="9"/>
  <c r="AA21" i="9"/>
  <c r="X21" i="9"/>
  <c r="Y21" i="9"/>
  <c r="T6" i="9"/>
  <c r="V6" i="9"/>
  <c r="AB6" i="9"/>
  <c r="X6" i="9"/>
  <c r="Z6" i="9"/>
  <c r="AA6" i="9"/>
  <c r="S6" i="9"/>
  <c r="W6" i="9"/>
  <c r="Y6" i="9"/>
  <c r="T70" i="9"/>
  <c r="X70" i="9"/>
  <c r="AB70" i="9"/>
  <c r="W70" i="9"/>
  <c r="AA70" i="9"/>
  <c r="Y70" i="9"/>
  <c r="V70" i="9"/>
  <c r="Z70" i="9"/>
  <c r="S70" i="9"/>
  <c r="T16" i="9"/>
  <c r="S16" i="9"/>
  <c r="Z16" i="9"/>
  <c r="W16" i="9"/>
  <c r="AA16" i="9"/>
  <c r="AB16" i="9"/>
  <c r="V16" i="9"/>
  <c r="X16" i="9"/>
  <c r="Y16" i="9"/>
  <c r="X8" i="9"/>
  <c r="W8" i="9"/>
  <c r="S8" i="9"/>
  <c r="V8" i="9"/>
  <c r="AB8" i="9"/>
  <c r="T60" i="9"/>
  <c r="AA60" i="9"/>
  <c r="Y60" i="9"/>
  <c r="Z60" i="9"/>
  <c r="X60" i="9"/>
  <c r="W60" i="9"/>
  <c r="T22" i="9"/>
  <c r="AB22" i="9"/>
  <c r="S22" i="9"/>
  <c r="Y22" i="9"/>
  <c r="X22" i="9"/>
  <c r="V22" i="9"/>
  <c r="W22" i="9"/>
  <c r="AA22" i="9"/>
  <c r="Z22" i="9"/>
  <c r="T48" i="9"/>
  <c r="AB48" i="9"/>
  <c r="AA48" i="9"/>
  <c r="Y48" i="9"/>
  <c r="V48" i="9"/>
  <c r="W48" i="9"/>
  <c r="X48" i="9"/>
  <c r="Z48" i="9"/>
  <c r="S48" i="9"/>
  <c r="T42" i="9"/>
  <c r="AB42" i="9"/>
  <c r="S42" i="9"/>
  <c r="V42" i="9"/>
  <c r="Z42" i="9"/>
  <c r="W42" i="9"/>
  <c r="X42" i="9"/>
  <c r="Y42" i="9"/>
  <c r="AA42" i="9"/>
  <c r="T7" i="9"/>
  <c r="X7" i="9"/>
  <c r="S7" i="9"/>
  <c r="Y7" i="9"/>
  <c r="AA7" i="9"/>
  <c r="Z7" i="9"/>
  <c r="V7" i="9"/>
  <c r="W7" i="9"/>
  <c r="AB7" i="9"/>
  <c r="T4" i="9"/>
  <c r="AB4" i="9"/>
  <c r="W4" i="9"/>
  <c r="Y4" i="9"/>
  <c r="S4" i="9"/>
  <c r="AA4" i="9"/>
  <c r="Z4" i="9"/>
  <c r="X4" i="9"/>
  <c r="V4" i="9"/>
  <c r="T10" i="9"/>
  <c r="AB10" i="9"/>
  <c r="Y10" i="9"/>
  <c r="S10" i="9"/>
  <c r="V10" i="9"/>
  <c r="AA10" i="9"/>
  <c r="Z10" i="9"/>
  <c r="X10" i="9"/>
  <c r="W10" i="9"/>
  <c r="T2" i="9"/>
  <c r="AA2" i="9"/>
  <c r="Y2" i="9"/>
  <c r="W2" i="9"/>
  <c r="AB2" i="9"/>
  <c r="X2" i="9"/>
  <c r="Z2" i="9"/>
  <c r="S2" i="9"/>
  <c r="A20" i="7"/>
  <c r="T79" i="9" a="1"/>
  <c r="T79" i="9" s="1"/>
  <c r="S79" i="9" a="1"/>
  <c r="S79" i="9" s="1"/>
  <c r="W79" i="9" a="1"/>
  <c r="W79" i="9" s="1"/>
  <c r="X79" i="9" a="1"/>
  <c r="X79" i="9" s="1"/>
  <c r="AB79" i="9" a="1"/>
  <c r="AB79" i="9" s="1"/>
  <c r="V79" i="9" a="1"/>
  <c r="V79" i="9" s="1"/>
  <c r="Z79" i="9" a="1"/>
  <c r="Z79" i="9" s="1"/>
  <c r="Y79" i="9" a="1"/>
  <c r="Y79" i="9" s="1"/>
  <c r="AA79" i="9" a="1"/>
  <c r="AA79" i="9" s="1"/>
  <c r="T138" i="9" a="1"/>
  <c r="T138" i="9" s="1"/>
  <c r="W138" i="9" a="1"/>
  <c r="W138" i="9" s="1"/>
  <c r="V138" i="9" a="1"/>
  <c r="V138" i="9" s="1"/>
  <c r="X138" i="9" a="1"/>
  <c r="X138" i="9" s="1"/>
  <c r="AB138" i="9" a="1"/>
  <c r="AB138" i="9" s="1"/>
  <c r="AA138" i="9" a="1"/>
  <c r="AA138" i="9" s="1"/>
  <c r="S138" i="9" a="1"/>
  <c r="S138" i="9" s="1"/>
  <c r="Z138" i="9" a="1"/>
  <c r="Z138" i="9" s="1"/>
  <c r="Y138" i="9" a="1"/>
  <c r="Y138" i="9" s="1"/>
  <c r="T125" i="9" a="1"/>
  <c r="T125" i="9" s="1"/>
  <c r="Z125" i="9" a="1"/>
  <c r="Z125" i="9" s="1"/>
  <c r="AB125" i="9" a="1"/>
  <c r="AB125" i="9" s="1"/>
  <c r="S125" i="9" a="1"/>
  <c r="S125" i="9" s="1"/>
  <c r="Y125" i="9" a="1"/>
  <c r="Y125" i="9" s="1"/>
  <c r="V125" i="9" a="1"/>
  <c r="V125" i="9" s="1"/>
  <c r="AA125" i="9" a="1"/>
  <c r="AA125" i="9" s="1"/>
  <c r="W125" i="9" a="1"/>
  <c r="W125" i="9" s="1"/>
  <c r="X125" i="9" a="1"/>
  <c r="X125" i="9" s="1"/>
  <c r="AB226" i="9" a="1"/>
  <c r="AB226" i="9" s="1"/>
  <c r="X226" i="9" a="1"/>
  <c r="X226" i="9" s="1"/>
  <c r="T226" i="9" a="1"/>
  <c r="T226" i="9" s="1"/>
  <c r="Y226" i="9" a="1"/>
  <c r="Y226" i="9" s="1"/>
  <c r="AA226" i="9" a="1"/>
  <c r="AA226" i="9" s="1"/>
  <c r="V226" i="9" a="1"/>
  <c r="V226" i="9" s="1"/>
  <c r="W226" i="9" a="1"/>
  <c r="W226" i="9" s="1"/>
  <c r="Z226" i="9" a="1"/>
  <c r="Z226" i="9" s="1"/>
  <c r="S226" i="9" a="1"/>
  <c r="S226" i="9" s="1"/>
  <c r="T90" i="9" a="1"/>
  <c r="T90" i="9" s="1"/>
  <c r="Y90" i="9" a="1"/>
  <c r="Y90" i="9" s="1"/>
  <c r="Z90" i="9" a="1"/>
  <c r="Z90" i="9" s="1"/>
  <c r="W90" i="9" a="1"/>
  <c r="W90" i="9" s="1"/>
  <c r="AB90" i="9" a="1"/>
  <c r="AB90" i="9" s="1"/>
  <c r="X90" i="9" a="1"/>
  <c r="X90" i="9" s="1"/>
  <c r="V90" i="9" a="1"/>
  <c r="V90" i="9" s="1"/>
  <c r="S90" i="9" a="1"/>
  <c r="S90" i="9" s="1"/>
  <c r="AA90" i="9" a="1"/>
  <c r="AA90" i="9" s="1"/>
  <c r="T92" i="9" a="1"/>
  <c r="T92" i="9" s="1"/>
  <c r="AA92" i="9" a="1"/>
  <c r="AA92" i="9" s="1"/>
  <c r="AB92" i="9" a="1"/>
  <c r="AB92" i="9" s="1"/>
  <c r="X92" i="9" a="1"/>
  <c r="X92" i="9" s="1"/>
  <c r="S92" i="9" a="1"/>
  <c r="S92" i="9" s="1"/>
  <c r="Y92" i="9" a="1"/>
  <c r="Y92" i="9" s="1"/>
  <c r="W92" i="9" a="1"/>
  <c r="W92" i="9" s="1"/>
  <c r="Z92" i="9" a="1"/>
  <c r="Z92" i="9" s="1"/>
  <c r="V92" i="9" a="1"/>
  <c r="V92" i="9" s="1"/>
  <c r="T177" i="9" a="1"/>
  <c r="T177" i="9" s="1"/>
  <c r="AA177" i="9" a="1"/>
  <c r="AA177" i="9" s="1"/>
  <c r="S177" i="9" a="1"/>
  <c r="S177" i="9" s="1"/>
  <c r="Z177" i="9" a="1"/>
  <c r="Z177" i="9" s="1"/>
  <c r="X177" i="9" a="1"/>
  <c r="X177" i="9" s="1"/>
  <c r="Y177" i="9" a="1"/>
  <c r="Y177" i="9" s="1"/>
  <c r="AB177" i="9" a="1"/>
  <c r="AB177" i="9" s="1"/>
  <c r="V177" i="9" a="1"/>
  <c r="V177" i="9" s="1"/>
  <c r="W177" i="9" a="1"/>
  <c r="W177" i="9" s="1"/>
  <c r="Z225" i="9" a="1"/>
  <c r="Z225" i="9" s="1"/>
  <c r="W225" i="9" a="1"/>
  <c r="W225" i="9" s="1"/>
  <c r="AA225" i="9" a="1"/>
  <c r="AA225" i="9" s="1"/>
  <c r="X225" i="9" a="1"/>
  <c r="X225" i="9" s="1"/>
  <c r="T225" i="9" a="1"/>
  <c r="T225" i="9" s="1"/>
  <c r="S225" i="9" a="1"/>
  <c r="S225" i="9" s="1"/>
  <c r="Y225" i="9" a="1"/>
  <c r="Y225" i="9" s="1"/>
  <c r="V225" i="9" a="1"/>
  <c r="V225" i="9" s="1"/>
  <c r="AB225" i="9" a="1"/>
  <c r="AB225" i="9" s="1"/>
  <c r="W253" i="9" a="1"/>
  <c r="W253" i="9" s="1"/>
  <c r="V253" i="9" a="1"/>
  <c r="V253" i="9" s="1"/>
  <c r="Z253" i="9" a="1"/>
  <c r="Z253" i="9" s="1"/>
  <c r="X253" i="9" a="1"/>
  <c r="X253" i="9" s="1"/>
  <c r="Y253" i="9" a="1"/>
  <c r="Y253" i="9" s="1"/>
  <c r="S253" i="9" a="1"/>
  <c r="S253" i="9" s="1"/>
  <c r="AA253" i="9" a="1"/>
  <c r="AA253" i="9" s="1"/>
  <c r="T253" i="9" a="1"/>
  <c r="T253" i="9" s="1"/>
  <c r="AB253" i="9" a="1"/>
  <c r="AB253" i="9" s="1"/>
  <c r="T142" i="9" a="1"/>
  <c r="T142" i="9" s="1"/>
  <c r="Z142" i="9" a="1"/>
  <c r="Z142" i="9" s="1"/>
  <c r="S142" i="9" a="1"/>
  <c r="S142" i="9" s="1"/>
  <c r="X142" i="9" a="1"/>
  <c r="X142" i="9" s="1"/>
  <c r="AB142" i="9" a="1"/>
  <c r="AB142" i="9" s="1"/>
  <c r="Y142" i="9" a="1"/>
  <c r="Y142" i="9" s="1"/>
  <c r="AA142" i="9" a="1"/>
  <c r="AA142" i="9" s="1"/>
  <c r="V142" i="9" a="1"/>
  <c r="V142" i="9" s="1"/>
  <c r="W142" i="9" a="1"/>
  <c r="W142" i="9" s="1"/>
  <c r="AB248" i="9" a="1"/>
  <c r="AB248" i="9" s="1"/>
  <c r="Y248" i="9" a="1"/>
  <c r="Y248" i="9" s="1"/>
  <c r="Z248" i="9" a="1"/>
  <c r="Z248" i="9" s="1"/>
  <c r="T248" i="9" a="1"/>
  <c r="T248" i="9" s="1"/>
  <c r="AA248" i="9" a="1"/>
  <c r="AA248" i="9" s="1"/>
  <c r="V248" i="9" a="1"/>
  <c r="V248" i="9" s="1"/>
  <c r="S248" i="9" a="1"/>
  <c r="S248" i="9" s="1"/>
  <c r="X248" i="9" a="1"/>
  <c r="X248" i="9" s="1"/>
  <c r="W248" i="9" a="1"/>
  <c r="W248" i="9" s="1"/>
  <c r="T89" i="9" a="1"/>
  <c r="T89" i="9" s="1"/>
  <c r="Z89" i="9" a="1"/>
  <c r="Z89" i="9" s="1"/>
  <c r="V89" i="9" a="1"/>
  <c r="V89" i="9" s="1"/>
  <c r="AA89" i="9" a="1"/>
  <c r="AA89" i="9" s="1"/>
  <c r="W89" i="9" a="1"/>
  <c r="W89" i="9" s="1"/>
  <c r="X89" i="9" a="1"/>
  <c r="X89" i="9" s="1"/>
  <c r="S89" i="9" a="1"/>
  <c r="S89" i="9" s="1"/>
  <c r="AB89" i="9" a="1"/>
  <c r="AB89" i="9" s="1"/>
  <c r="Y89" i="9" a="1"/>
  <c r="Y89" i="9" s="1"/>
  <c r="S254" i="9" a="1"/>
  <c r="S254" i="9" s="1"/>
  <c r="Y254" i="9" a="1"/>
  <c r="Y254" i="9" s="1"/>
  <c r="AA254" i="9" a="1"/>
  <c r="AA254" i="9" s="1"/>
  <c r="X254" i="9" a="1"/>
  <c r="X254" i="9" s="1"/>
  <c r="W254" i="9" a="1"/>
  <c r="W254" i="9" s="1"/>
  <c r="V254" i="9" a="1"/>
  <c r="V254" i="9" s="1"/>
  <c r="AB254" i="9" a="1"/>
  <c r="AB254" i="9" s="1"/>
  <c r="T254" i="9" a="1"/>
  <c r="T254" i="9" s="1"/>
  <c r="Z254" i="9" a="1"/>
  <c r="Z254" i="9" s="1"/>
  <c r="T99" i="9" a="1"/>
  <c r="T99" i="9" s="1"/>
  <c r="AA99" i="9" a="1"/>
  <c r="AA99" i="9" s="1"/>
  <c r="S99" i="9" a="1"/>
  <c r="S99" i="9" s="1"/>
  <c r="X99" i="9" a="1"/>
  <c r="X99" i="9" s="1"/>
  <c r="AB99" i="9" a="1"/>
  <c r="AB99" i="9" s="1"/>
  <c r="V99" i="9" a="1"/>
  <c r="V99" i="9" s="1"/>
  <c r="W99" i="9" a="1"/>
  <c r="W99" i="9" s="1"/>
  <c r="Y99" i="9" a="1"/>
  <c r="Y99" i="9" s="1"/>
  <c r="Z99" i="9" a="1"/>
  <c r="Z99" i="9" s="1"/>
  <c r="W238" i="9" a="1"/>
  <c r="W238" i="9" s="1"/>
  <c r="Y238" i="9" a="1"/>
  <c r="Y238" i="9" s="1"/>
  <c r="Z238" i="9" a="1"/>
  <c r="Z238" i="9" s="1"/>
  <c r="S238" i="9" a="1"/>
  <c r="S238" i="9" s="1"/>
  <c r="T238" i="9" a="1"/>
  <c r="T238" i="9" s="1"/>
  <c r="AA238" i="9" a="1"/>
  <c r="AA238" i="9" s="1"/>
  <c r="X238" i="9" a="1"/>
  <c r="X238" i="9" s="1"/>
  <c r="AB238" i="9" a="1"/>
  <c r="AB238" i="9" s="1"/>
  <c r="V238" i="9" a="1"/>
  <c r="V238" i="9" s="1"/>
  <c r="T196" i="9" a="1"/>
  <c r="T196" i="9" s="1"/>
  <c r="Y196" i="9" a="1"/>
  <c r="Y196" i="9" s="1"/>
  <c r="Z196" i="9" a="1"/>
  <c r="Z196" i="9" s="1"/>
  <c r="S196" i="9" a="1"/>
  <c r="S196" i="9" s="1"/>
  <c r="AB196" i="9" a="1"/>
  <c r="AB196" i="9" s="1"/>
  <c r="AA196" i="9" a="1"/>
  <c r="AA196" i="9" s="1"/>
  <c r="V196" i="9" a="1"/>
  <c r="V196" i="9" s="1"/>
  <c r="W196" i="9" a="1"/>
  <c r="W196" i="9" s="1"/>
  <c r="X196" i="9" a="1"/>
  <c r="X196" i="9" s="1"/>
  <c r="T134" i="9" a="1"/>
  <c r="T134" i="9" s="1"/>
  <c r="W134" i="9" a="1"/>
  <c r="W134" i="9" s="1"/>
  <c r="Y134" i="9" a="1"/>
  <c r="Y134" i="9" s="1"/>
  <c r="Z134" i="9" a="1"/>
  <c r="Z134" i="9" s="1"/>
  <c r="V134" i="9" a="1"/>
  <c r="V134" i="9" s="1"/>
  <c r="AB134" i="9" a="1"/>
  <c r="AB134" i="9" s="1"/>
  <c r="X134" i="9" a="1"/>
  <c r="X134" i="9" s="1"/>
  <c r="S134" i="9" a="1"/>
  <c r="S134" i="9" s="1"/>
  <c r="AA134" i="9" a="1"/>
  <c r="AA134" i="9" s="1"/>
  <c r="X258" i="9" a="1"/>
  <c r="X258" i="9" s="1"/>
  <c r="AB258" i="9" a="1"/>
  <c r="AB258" i="9" s="1"/>
  <c r="Z258" i="9" a="1"/>
  <c r="Z258" i="9" s="1"/>
  <c r="T258" i="9" a="1"/>
  <c r="T258" i="9" s="1"/>
  <c r="AA258" i="9" a="1"/>
  <c r="AA258" i="9" s="1"/>
  <c r="W258" i="9" a="1"/>
  <c r="W258" i="9" s="1"/>
  <c r="V258" i="9" a="1"/>
  <c r="V258" i="9" s="1"/>
  <c r="S258" i="9" a="1"/>
  <c r="S258" i="9" s="1"/>
  <c r="Y258" i="9" a="1"/>
  <c r="Y258" i="9" s="1"/>
  <c r="T200" i="9" a="1"/>
  <c r="T200" i="9" s="1"/>
  <c r="Z200" i="9" a="1"/>
  <c r="Z200" i="9" s="1"/>
  <c r="AA200" i="9" a="1"/>
  <c r="AA200" i="9" s="1"/>
  <c r="V200" i="9" a="1"/>
  <c r="V200" i="9" s="1"/>
  <c r="W200" i="9" a="1"/>
  <c r="W200" i="9" s="1"/>
  <c r="S200" i="9" a="1"/>
  <c r="S200" i="9" s="1"/>
  <c r="Y200" i="9" a="1"/>
  <c r="Y200" i="9" s="1"/>
  <c r="X200" i="9" a="1"/>
  <c r="X200" i="9" s="1"/>
  <c r="AB200" i="9" a="1"/>
  <c r="AB200" i="9" s="1"/>
  <c r="T160" i="9" a="1"/>
  <c r="T160" i="9" s="1"/>
  <c r="W160" i="9" a="1"/>
  <c r="W160" i="9" s="1"/>
  <c r="AB160" i="9" a="1"/>
  <c r="AB160" i="9" s="1"/>
  <c r="X160" i="9" a="1"/>
  <c r="X160" i="9" s="1"/>
  <c r="Y160" i="9" a="1"/>
  <c r="Y160" i="9" s="1"/>
  <c r="S160" i="9" a="1"/>
  <c r="S160" i="9" s="1"/>
  <c r="Z160" i="9" a="1"/>
  <c r="Z160" i="9" s="1"/>
  <c r="V160" i="9" a="1"/>
  <c r="V160" i="9" s="1"/>
  <c r="AA160" i="9" a="1"/>
  <c r="AA160" i="9" s="1"/>
  <c r="T176" i="9" a="1"/>
  <c r="T176" i="9" s="1"/>
  <c r="AA176" i="9" a="1"/>
  <c r="AA176" i="9" s="1"/>
  <c r="AB176" i="9" a="1"/>
  <c r="AB176" i="9" s="1"/>
  <c r="X176" i="9" a="1"/>
  <c r="X176" i="9" s="1"/>
  <c r="V176" i="9" a="1"/>
  <c r="V176" i="9" s="1"/>
  <c r="W176" i="9" a="1"/>
  <c r="W176" i="9" s="1"/>
  <c r="Z176" i="9" a="1"/>
  <c r="Z176" i="9" s="1"/>
  <c r="Y176" i="9" a="1"/>
  <c r="Y176" i="9" s="1"/>
  <c r="S176" i="9" a="1"/>
  <c r="S176" i="9" s="1"/>
  <c r="T163" i="9" a="1"/>
  <c r="T163" i="9" s="1"/>
  <c r="V163" i="9" a="1"/>
  <c r="V163" i="9" s="1"/>
  <c r="AA163" i="9" a="1"/>
  <c r="AA163" i="9" s="1"/>
  <c r="X163" i="9" a="1"/>
  <c r="X163" i="9" s="1"/>
  <c r="AB163" i="9" a="1"/>
  <c r="AB163" i="9" s="1"/>
  <c r="W163" i="9" a="1"/>
  <c r="W163" i="9" s="1"/>
  <c r="S163" i="9" a="1"/>
  <c r="S163" i="9" s="1"/>
  <c r="Y163" i="9" a="1"/>
  <c r="Y163" i="9" s="1"/>
  <c r="Z163" i="9" a="1"/>
  <c r="Z163" i="9" s="1"/>
  <c r="T94" i="9" a="1"/>
  <c r="T94" i="9" s="1"/>
  <c r="Z94" i="9" a="1"/>
  <c r="Z94" i="9" s="1"/>
  <c r="V94" i="9" a="1"/>
  <c r="V94" i="9" s="1"/>
  <c r="AA94" i="9" a="1"/>
  <c r="AA94" i="9" s="1"/>
  <c r="W94" i="9" a="1"/>
  <c r="W94" i="9" s="1"/>
  <c r="AB94" i="9" a="1"/>
  <c r="AB94" i="9" s="1"/>
  <c r="S94" i="9" a="1"/>
  <c r="S94" i="9" s="1"/>
  <c r="X94" i="9" a="1"/>
  <c r="X94" i="9" s="1"/>
  <c r="Y94" i="9" a="1"/>
  <c r="Y94" i="9" s="1"/>
  <c r="T155" i="9" a="1"/>
  <c r="T155" i="9" s="1"/>
  <c r="X155" i="9" a="1"/>
  <c r="X155" i="9" s="1"/>
  <c r="W155" i="9" a="1"/>
  <c r="W155" i="9" s="1"/>
  <c r="S155" i="9" a="1"/>
  <c r="S155" i="9" s="1"/>
  <c r="AA155" i="9" a="1"/>
  <c r="AA155" i="9" s="1"/>
  <c r="Y155" i="9" a="1"/>
  <c r="Y155" i="9" s="1"/>
  <c r="AB155" i="9" a="1"/>
  <c r="AB155" i="9" s="1"/>
  <c r="V155" i="9" a="1"/>
  <c r="V155" i="9" s="1"/>
  <c r="Z155" i="9" a="1"/>
  <c r="Z155" i="9" s="1"/>
  <c r="Z247" i="9" a="1"/>
  <c r="Z247" i="9" s="1"/>
  <c r="Y247" i="9" a="1"/>
  <c r="Y247" i="9" s="1"/>
  <c r="X247" i="9" a="1"/>
  <c r="X247" i="9" s="1"/>
  <c r="V247" i="9" a="1"/>
  <c r="V247" i="9" s="1"/>
  <c r="AA247" i="9" a="1"/>
  <c r="AA247" i="9" s="1"/>
  <c r="S247" i="9" a="1"/>
  <c r="S247" i="9" s="1"/>
  <c r="T247" i="9" a="1"/>
  <c r="T247" i="9" s="1"/>
  <c r="AB247" i="9" a="1"/>
  <c r="AB247" i="9" s="1"/>
  <c r="W247" i="9" a="1"/>
  <c r="W247" i="9" s="1"/>
  <c r="T152" i="9" a="1"/>
  <c r="T152" i="9" s="1"/>
  <c r="V152" i="9" a="1"/>
  <c r="V152" i="9" s="1"/>
  <c r="AA152" i="9" a="1"/>
  <c r="AA152" i="9" s="1"/>
  <c r="AB152" i="9" a="1"/>
  <c r="AB152" i="9" s="1"/>
  <c r="S152" i="9" a="1"/>
  <c r="S152" i="9" s="1"/>
  <c r="X152" i="9" a="1"/>
  <c r="X152" i="9" s="1"/>
  <c r="W152" i="9" a="1"/>
  <c r="W152" i="9" s="1"/>
  <c r="Y152" i="9" a="1"/>
  <c r="Y152" i="9" s="1"/>
  <c r="Z152" i="9" a="1"/>
  <c r="Z152" i="9" s="1"/>
  <c r="AA245" i="9" a="1"/>
  <c r="AA245" i="9" s="1"/>
  <c r="V245" i="9" a="1"/>
  <c r="V245" i="9" s="1"/>
  <c r="S245" i="9" a="1"/>
  <c r="S245" i="9" s="1"/>
  <c r="T245" i="9" a="1"/>
  <c r="T245" i="9" s="1"/>
  <c r="Z245" i="9" a="1"/>
  <c r="Z245" i="9" s="1"/>
  <c r="AB245" i="9" a="1"/>
  <c r="AB245" i="9" s="1"/>
  <c r="Y245" i="9" a="1"/>
  <c r="Y245" i="9" s="1"/>
  <c r="X245" i="9" a="1"/>
  <c r="X245" i="9" s="1"/>
  <c r="W245" i="9" a="1"/>
  <c r="W245" i="9" s="1"/>
  <c r="T105" i="9" a="1"/>
  <c r="T105" i="9" s="1"/>
  <c r="V105" i="9" a="1"/>
  <c r="V105" i="9" s="1"/>
  <c r="Y105" i="9" a="1"/>
  <c r="Y105" i="9" s="1"/>
  <c r="AA105" i="9" a="1"/>
  <c r="AA105" i="9" s="1"/>
  <c r="W105" i="9" a="1"/>
  <c r="W105" i="9" s="1"/>
  <c r="AB105" i="9" a="1"/>
  <c r="AB105" i="9" s="1"/>
  <c r="S105" i="9" a="1"/>
  <c r="S105" i="9" s="1"/>
  <c r="X105" i="9" a="1"/>
  <c r="X105" i="9" s="1"/>
  <c r="Z105" i="9" a="1"/>
  <c r="Z105" i="9" s="1"/>
  <c r="S213" i="9" a="1"/>
  <c r="S213" i="9" s="1"/>
  <c r="Y213" i="9" a="1"/>
  <c r="Y213" i="9" s="1"/>
  <c r="T213" i="9" a="1"/>
  <c r="T213" i="9" s="1"/>
  <c r="W213" i="9" a="1"/>
  <c r="W213" i="9" s="1"/>
  <c r="V213" i="9" a="1"/>
  <c r="V213" i="9" s="1"/>
  <c r="X213" i="9" a="1"/>
  <c r="X213" i="9" s="1"/>
  <c r="AB213" i="9" a="1"/>
  <c r="AB213" i="9" s="1"/>
  <c r="AA213" i="9" a="1"/>
  <c r="AA213" i="9" s="1"/>
  <c r="Z213" i="9" a="1"/>
  <c r="Z213" i="9" s="1"/>
  <c r="T181" i="9" a="1"/>
  <c r="T181" i="9" s="1"/>
  <c r="Y181" i="9" a="1"/>
  <c r="Y181" i="9" s="1"/>
  <c r="V181" i="9" a="1"/>
  <c r="V181" i="9" s="1"/>
  <c r="AA181" i="9" a="1"/>
  <c r="AA181" i="9" s="1"/>
  <c r="AB181" i="9" a="1"/>
  <c r="AB181" i="9" s="1"/>
  <c r="Z181" i="9" a="1"/>
  <c r="Z181" i="9" s="1"/>
  <c r="W181" i="9" a="1"/>
  <c r="W181" i="9" s="1"/>
  <c r="X181" i="9" a="1"/>
  <c r="X181" i="9" s="1"/>
  <c r="S181" i="9" a="1"/>
  <c r="S181" i="9" s="1"/>
  <c r="T118" i="9" a="1"/>
  <c r="T118" i="9" s="1"/>
  <c r="AA118" i="9" a="1"/>
  <c r="AA118" i="9" s="1"/>
  <c r="AB118" i="9" a="1"/>
  <c r="AB118" i="9" s="1"/>
  <c r="W118" i="9" a="1"/>
  <c r="W118" i="9" s="1"/>
  <c r="X118" i="9" a="1"/>
  <c r="X118" i="9" s="1"/>
  <c r="S118" i="9" a="1"/>
  <c r="S118" i="9" s="1"/>
  <c r="Y118" i="9" a="1"/>
  <c r="Y118" i="9" s="1"/>
  <c r="Z118" i="9" a="1"/>
  <c r="Z118" i="9" s="1"/>
  <c r="V118" i="9" a="1"/>
  <c r="V118" i="9" s="1"/>
  <c r="T108" i="9" a="1"/>
  <c r="T108" i="9" s="1"/>
  <c r="AB108" i="9" a="1"/>
  <c r="AB108" i="9" s="1"/>
  <c r="W108" i="9" a="1"/>
  <c r="W108" i="9" s="1"/>
  <c r="X108" i="9" a="1"/>
  <c r="X108" i="9" s="1"/>
  <c r="S108" i="9" a="1"/>
  <c r="S108" i="9" s="1"/>
  <c r="Y108" i="9" a="1"/>
  <c r="Y108" i="9" s="1"/>
  <c r="Z108" i="9" a="1"/>
  <c r="Z108" i="9" s="1"/>
  <c r="V108" i="9" a="1"/>
  <c r="V108" i="9" s="1"/>
  <c r="AA108" i="9" a="1"/>
  <c r="AA108" i="9" s="1"/>
  <c r="T180" i="9" a="1"/>
  <c r="T180" i="9" s="1"/>
  <c r="Z180" i="9" a="1"/>
  <c r="Z180" i="9" s="1"/>
  <c r="Y180" i="9" a="1"/>
  <c r="Y180" i="9" s="1"/>
  <c r="V180" i="9" a="1"/>
  <c r="V180" i="9" s="1"/>
  <c r="S180" i="9" a="1"/>
  <c r="S180" i="9" s="1"/>
  <c r="AA180" i="9" a="1"/>
  <c r="AA180" i="9" s="1"/>
  <c r="AB180" i="9" a="1"/>
  <c r="AB180" i="9" s="1"/>
  <c r="W180" i="9" a="1"/>
  <c r="W180" i="9" s="1"/>
  <c r="X180" i="9" a="1"/>
  <c r="X180" i="9" s="1"/>
  <c r="T88" i="9" a="1"/>
  <c r="T88" i="9" s="1"/>
  <c r="W88" i="9" a="1"/>
  <c r="W88" i="9" s="1"/>
  <c r="AB88" i="9" a="1"/>
  <c r="AB88" i="9" s="1"/>
  <c r="X88" i="9" a="1"/>
  <c r="X88" i="9" s="1"/>
  <c r="S88" i="9" a="1"/>
  <c r="S88" i="9" s="1"/>
  <c r="Y88" i="9" a="1"/>
  <c r="Y88" i="9" s="1"/>
  <c r="Z88" i="9" a="1"/>
  <c r="Z88" i="9" s="1"/>
  <c r="V88" i="9" a="1"/>
  <c r="V88" i="9" s="1"/>
  <c r="AA88" i="9" a="1"/>
  <c r="AA88" i="9" s="1"/>
  <c r="T83" i="9" a="1"/>
  <c r="T83" i="9" s="1"/>
  <c r="V83" i="9" a="1"/>
  <c r="V83" i="9" s="1"/>
  <c r="AA83" i="9" a="1"/>
  <c r="AA83" i="9" s="1"/>
  <c r="Z83" i="9" a="1"/>
  <c r="Z83" i="9" s="1"/>
  <c r="W83" i="9" a="1"/>
  <c r="W83" i="9" s="1"/>
  <c r="AB83" i="9" a="1"/>
  <c r="AB83" i="9" s="1"/>
  <c r="X83" i="9" a="1"/>
  <c r="X83" i="9" s="1"/>
  <c r="S83" i="9" a="1"/>
  <c r="S83" i="9" s="1"/>
  <c r="Y83" i="9" a="1"/>
  <c r="Y83" i="9" s="1"/>
  <c r="T100" i="9" a="1"/>
  <c r="T100" i="9" s="1"/>
  <c r="S100" i="9" a="1"/>
  <c r="S100" i="9" s="1"/>
  <c r="AB100" i="9" a="1"/>
  <c r="AB100" i="9" s="1"/>
  <c r="W100" i="9" a="1"/>
  <c r="W100" i="9" s="1"/>
  <c r="X100" i="9" a="1"/>
  <c r="X100" i="9" s="1"/>
  <c r="Y100" i="9" a="1"/>
  <c r="Y100" i="9" s="1"/>
  <c r="V100" i="9" a="1"/>
  <c r="V100" i="9" s="1"/>
  <c r="AA100" i="9" a="1"/>
  <c r="AA100" i="9" s="1"/>
  <c r="Z100" i="9" a="1"/>
  <c r="Z100" i="9" s="1"/>
  <c r="T149" i="9" a="1"/>
  <c r="T149" i="9" s="1"/>
  <c r="AA149" i="9" a="1"/>
  <c r="AA149" i="9" s="1"/>
  <c r="X149" i="9" a="1"/>
  <c r="X149" i="9" s="1"/>
  <c r="AB149" i="9" a="1"/>
  <c r="AB149" i="9" s="1"/>
  <c r="V149" i="9" a="1"/>
  <c r="V149" i="9" s="1"/>
  <c r="W149" i="9" a="1"/>
  <c r="W149" i="9" s="1"/>
  <c r="Y149" i="9" a="1"/>
  <c r="Y149" i="9" s="1"/>
  <c r="Z149" i="9" a="1"/>
  <c r="Z149" i="9" s="1"/>
  <c r="S149" i="9" a="1"/>
  <c r="S149" i="9" s="1"/>
  <c r="T150" i="9" a="1"/>
  <c r="T150" i="9" s="1"/>
  <c r="W150" i="9" a="1"/>
  <c r="W150" i="9" s="1"/>
  <c r="Y150" i="9" a="1"/>
  <c r="Y150" i="9" s="1"/>
  <c r="V150" i="9" a="1"/>
  <c r="V150" i="9" s="1"/>
  <c r="AA150" i="9" a="1"/>
  <c r="AA150" i="9" s="1"/>
  <c r="Z150" i="9" a="1"/>
  <c r="Z150" i="9" s="1"/>
  <c r="S150" i="9" a="1"/>
  <c r="S150" i="9" s="1"/>
  <c r="X150" i="9" a="1"/>
  <c r="X150" i="9" s="1"/>
  <c r="AB150" i="9" a="1"/>
  <c r="AB150" i="9" s="1"/>
  <c r="V220" i="9" a="1"/>
  <c r="V220" i="9" s="1"/>
  <c r="AA220" i="9" a="1"/>
  <c r="AA220" i="9" s="1"/>
  <c r="S220" i="9" a="1"/>
  <c r="S220" i="9" s="1"/>
  <c r="AB220" i="9" a="1"/>
  <c r="AB220" i="9" s="1"/>
  <c r="X220" i="9" a="1"/>
  <c r="X220" i="9" s="1"/>
  <c r="T220" i="9" a="1"/>
  <c r="T220" i="9" s="1"/>
  <c r="Y220" i="9" a="1"/>
  <c r="Y220" i="9" s="1"/>
  <c r="Z220" i="9" a="1"/>
  <c r="Z220" i="9" s="1"/>
  <c r="W220" i="9" a="1"/>
  <c r="W220" i="9" s="1"/>
  <c r="T98" i="9" a="1"/>
  <c r="T98" i="9" s="1"/>
  <c r="X98" i="9" a="1"/>
  <c r="X98" i="9" s="1"/>
  <c r="Y98" i="9" a="1"/>
  <c r="Y98" i="9" s="1"/>
  <c r="AA98" i="9" a="1"/>
  <c r="AA98" i="9" s="1"/>
  <c r="AB98" i="9" a="1"/>
  <c r="AB98" i="9" s="1"/>
  <c r="V98" i="9" a="1"/>
  <c r="V98" i="9" s="1"/>
  <c r="S98" i="9" a="1"/>
  <c r="S98" i="9" s="1"/>
  <c r="Z98" i="9" a="1"/>
  <c r="Z98" i="9" s="1"/>
  <c r="W98" i="9" a="1"/>
  <c r="W98" i="9" s="1"/>
  <c r="T129" i="9" a="1"/>
  <c r="T129" i="9" s="1"/>
  <c r="Z129" i="9" a="1"/>
  <c r="Z129" i="9" s="1"/>
  <c r="AA129" i="9" a="1"/>
  <c r="AA129" i="9" s="1"/>
  <c r="V129" i="9" a="1"/>
  <c r="V129" i="9" s="1"/>
  <c r="X129" i="9" a="1"/>
  <c r="X129" i="9" s="1"/>
  <c r="W129" i="9" a="1"/>
  <c r="W129" i="9" s="1"/>
  <c r="AB129" i="9" a="1"/>
  <c r="AB129" i="9" s="1"/>
  <c r="S129" i="9" a="1"/>
  <c r="S129" i="9" s="1"/>
  <c r="Y129" i="9" a="1"/>
  <c r="Y129" i="9" s="1"/>
  <c r="S224" i="9" a="1"/>
  <c r="S224" i="9" s="1"/>
  <c r="X224" i="9" a="1"/>
  <c r="X224" i="9" s="1"/>
  <c r="AB224" i="9" a="1"/>
  <c r="AB224" i="9" s="1"/>
  <c r="T224" i="9" a="1"/>
  <c r="T224" i="9" s="1"/>
  <c r="V224" i="9" a="1"/>
  <c r="V224" i="9" s="1"/>
  <c r="Y224" i="9" a="1"/>
  <c r="Y224" i="9" s="1"/>
  <c r="W224" i="9" a="1"/>
  <c r="W224" i="9" s="1"/>
  <c r="Z224" i="9" a="1"/>
  <c r="Z224" i="9" s="1"/>
  <c r="AA224" i="9" a="1"/>
  <c r="AA224" i="9" s="1"/>
  <c r="T139" i="9" a="1"/>
  <c r="T139" i="9" s="1"/>
  <c r="AA139" i="9" a="1"/>
  <c r="AA139" i="9" s="1"/>
  <c r="S139" i="9" a="1"/>
  <c r="S139" i="9" s="1"/>
  <c r="X139" i="9" a="1"/>
  <c r="X139" i="9" s="1"/>
  <c r="AB139" i="9" a="1"/>
  <c r="AB139" i="9" s="1"/>
  <c r="V139" i="9" a="1"/>
  <c r="V139" i="9" s="1"/>
  <c r="Z139" i="9" a="1"/>
  <c r="Z139" i="9" s="1"/>
  <c r="W139" i="9" a="1"/>
  <c r="W139" i="9" s="1"/>
  <c r="Y139" i="9" a="1"/>
  <c r="Y139" i="9" s="1"/>
  <c r="T124" i="9" a="1"/>
  <c r="T124" i="9" s="1"/>
  <c r="AA124" i="9" a="1"/>
  <c r="AA124" i="9" s="1"/>
  <c r="X124" i="9" a="1"/>
  <c r="X124" i="9" s="1"/>
  <c r="AB124" i="9" a="1"/>
  <c r="AB124" i="9" s="1"/>
  <c r="S124" i="9" a="1"/>
  <c r="S124" i="9" s="1"/>
  <c r="Y124" i="9" a="1"/>
  <c r="Y124" i="9" s="1"/>
  <c r="V124" i="9" a="1"/>
  <c r="V124" i="9" s="1"/>
  <c r="W124" i="9" a="1"/>
  <c r="W124" i="9" s="1"/>
  <c r="Z124" i="9" a="1"/>
  <c r="Z124" i="9" s="1"/>
  <c r="T109" i="9" a="1"/>
  <c r="T109" i="9" s="1"/>
  <c r="S109" i="9" a="1"/>
  <c r="S109" i="9" s="1"/>
  <c r="AA109" i="9" a="1"/>
  <c r="AA109" i="9" s="1"/>
  <c r="X109" i="9" a="1"/>
  <c r="X109" i="9" s="1"/>
  <c r="Y109" i="9" a="1"/>
  <c r="Y109" i="9" s="1"/>
  <c r="Z109" i="9" a="1"/>
  <c r="Z109" i="9" s="1"/>
  <c r="V109" i="9" a="1"/>
  <c r="V109" i="9" s="1"/>
  <c r="W109" i="9" a="1"/>
  <c r="W109" i="9" s="1"/>
  <c r="AB109" i="9" a="1"/>
  <c r="AB109" i="9" s="1"/>
  <c r="T210" i="9" a="1"/>
  <c r="T210" i="9" s="1"/>
  <c r="S210" i="9" a="1"/>
  <c r="S210" i="9" s="1"/>
  <c r="AA210" i="9" a="1"/>
  <c r="AA210" i="9" s="1"/>
  <c r="AB210" i="9" a="1"/>
  <c r="AB210" i="9" s="1"/>
  <c r="X210" i="9" a="1"/>
  <c r="X210" i="9" s="1"/>
  <c r="V210" i="9" a="1"/>
  <c r="V210" i="9" s="1"/>
  <c r="Z210" i="9" a="1"/>
  <c r="Z210" i="9" s="1"/>
  <c r="W210" i="9" a="1"/>
  <c r="W210" i="9" s="1"/>
  <c r="Y210" i="9" a="1"/>
  <c r="Y210" i="9" s="1"/>
  <c r="T101" i="9" a="1"/>
  <c r="T101" i="9" s="1"/>
  <c r="Y101" i="9" a="1"/>
  <c r="Y101" i="9" s="1"/>
  <c r="AA101" i="9" a="1"/>
  <c r="AA101" i="9" s="1"/>
  <c r="W101" i="9" a="1"/>
  <c r="W101" i="9" s="1"/>
  <c r="S101" i="9" a="1"/>
  <c r="S101" i="9" s="1"/>
  <c r="AB101" i="9" a="1"/>
  <c r="AB101" i="9" s="1"/>
  <c r="Z101" i="9" a="1"/>
  <c r="Z101" i="9" s="1"/>
  <c r="V101" i="9" a="1"/>
  <c r="V101" i="9" s="1"/>
  <c r="X101" i="9" a="1"/>
  <c r="X101" i="9" s="1"/>
  <c r="T95" i="9" a="1"/>
  <c r="T95" i="9" s="1"/>
  <c r="S95" i="9" a="1"/>
  <c r="S95" i="9" s="1"/>
  <c r="X95" i="9" a="1"/>
  <c r="X95" i="9" s="1"/>
  <c r="AB95" i="9" a="1"/>
  <c r="AB95" i="9" s="1"/>
  <c r="W95" i="9" a="1"/>
  <c r="W95" i="9" s="1"/>
  <c r="Y95" i="9" a="1"/>
  <c r="Y95" i="9" s="1"/>
  <c r="Z95" i="9" a="1"/>
  <c r="Z95" i="9" s="1"/>
  <c r="V95" i="9" a="1"/>
  <c r="V95" i="9" s="1"/>
  <c r="AA95" i="9" a="1"/>
  <c r="AA95" i="9" s="1"/>
  <c r="T111" i="9" a="1"/>
  <c r="T111" i="9" s="1"/>
  <c r="X111" i="9" a="1"/>
  <c r="X111" i="9" s="1"/>
  <c r="AB111" i="9" a="1"/>
  <c r="AB111" i="9" s="1"/>
  <c r="Z111" i="9" a="1"/>
  <c r="Z111" i="9" s="1"/>
  <c r="V111" i="9" a="1"/>
  <c r="V111" i="9" s="1"/>
  <c r="S111" i="9" a="1"/>
  <c r="S111" i="9" s="1"/>
  <c r="AA111" i="9" a="1"/>
  <c r="AA111" i="9" s="1"/>
  <c r="W111" i="9" a="1"/>
  <c r="W111" i="9" s="1"/>
  <c r="Y111" i="9" a="1"/>
  <c r="Y111" i="9" s="1"/>
  <c r="T165" i="9" a="1"/>
  <c r="T165" i="9" s="1"/>
  <c r="S165" i="9" a="1"/>
  <c r="S165" i="9" s="1"/>
  <c r="X165" i="9" a="1"/>
  <c r="X165" i="9" s="1"/>
  <c r="AB165" i="9" a="1"/>
  <c r="AB165" i="9" s="1"/>
  <c r="V165" i="9" a="1"/>
  <c r="V165" i="9" s="1"/>
  <c r="Y165" i="9" a="1"/>
  <c r="Y165" i="9" s="1"/>
  <c r="W165" i="9" a="1"/>
  <c r="W165" i="9" s="1"/>
  <c r="AA165" i="9" a="1"/>
  <c r="AA165" i="9" s="1"/>
  <c r="Z165" i="9" a="1"/>
  <c r="Z165" i="9" s="1"/>
  <c r="T93" i="9" a="1"/>
  <c r="T93" i="9" s="1"/>
  <c r="V93" i="9" a="1"/>
  <c r="V93" i="9" s="1"/>
  <c r="AA93" i="9" a="1"/>
  <c r="AA93" i="9" s="1"/>
  <c r="W93" i="9" a="1"/>
  <c r="W93" i="9" s="1"/>
  <c r="AB93" i="9" a="1"/>
  <c r="AB93" i="9" s="1"/>
  <c r="X93" i="9" a="1"/>
  <c r="X93" i="9" s="1"/>
  <c r="Y93" i="9" a="1"/>
  <c r="Y93" i="9" s="1"/>
  <c r="Z93" i="9" a="1"/>
  <c r="Z93" i="9" s="1"/>
  <c r="S93" i="9" a="1"/>
  <c r="S93" i="9" s="1"/>
  <c r="T104" i="9" a="1"/>
  <c r="T104" i="9" s="1"/>
  <c r="W104" i="9" a="1"/>
  <c r="W104" i="9" s="1"/>
  <c r="Y104" i="9" a="1"/>
  <c r="Y104" i="9" s="1"/>
  <c r="X104" i="9" a="1"/>
  <c r="X104" i="9" s="1"/>
  <c r="S104" i="9" a="1"/>
  <c r="S104" i="9" s="1"/>
  <c r="Z104" i="9" a="1"/>
  <c r="Z104" i="9" s="1"/>
  <c r="AA104" i="9" a="1"/>
  <c r="AA104" i="9" s="1"/>
  <c r="AB104" i="9" a="1"/>
  <c r="AB104" i="9" s="1"/>
  <c r="V104" i="9" a="1"/>
  <c r="V104" i="9" s="1"/>
  <c r="T122" i="9" a="1"/>
  <c r="T122" i="9" s="1"/>
  <c r="AB122" i="9" a="1"/>
  <c r="AB122" i="9" s="1"/>
  <c r="S122" i="9" a="1"/>
  <c r="S122" i="9" s="1"/>
  <c r="Y122" i="9" a="1"/>
  <c r="Y122" i="9" s="1"/>
  <c r="Z122" i="9" a="1"/>
  <c r="Z122" i="9" s="1"/>
  <c r="V122" i="9" a="1"/>
  <c r="V122" i="9" s="1"/>
  <c r="AA122" i="9" a="1"/>
  <c r="AA122" i="9" s="1"/>
  <c r="W122" i="9" a="1"/>
  <c r="W122" i="9" s="1"/>
  <c r="X122" i="9" a="1"/>
  <c r="X122" i="9" s="1"/>
  <c r="T82" i="9" a="1"/>
  <c r="T82" i="9" s="1"/>
  <c r="W82" i="9" a="1"/>
  <c r="W82" i="9" s="1"/>
  <c r="Y82" i="9" a="1"/>
  <c r="Y82" i="9" s="1"/>
  <c r="S82" i="9" a="1"/>
  <c r="S82" i="9" s="1"/>
  <c r="Z82" i="9" a="1"/>
  <c r="Z82" i="9" s="1"/>
  <c r="X82" i="9" a="1"/>
  <c r="X82" i="9" s="1"/>
  <c r="AB82" i="9" a="1"/>
  <c r="AB82" i="9" s="1"/>
  <c r="V82" i="9" a="1"/>
  <c r="V82" i="9" s="1"/>
  <c r="AA82" i="9" a="1"/>
  <c r="AA82" i="9" s="1"/>
  <c r="T130" i="9" a="1"/>
  <c r="T130" i="9" s="1"/>
  <c r="W130" i="9" a="1"/>
  <c r="W130" i="9" s="1"/>
  <c r="AA130" i="9" a="1"/>
  <c r="AA130" i="9" s="1"/>
  <c r="X130" i="9" a="1"/>
  <c r="X130" i="9" s="1"/>
  <c r="S130" i="9" a="1"/>
  <c r="S130" i="9" s="1"/>
  <c r="Y130" i="9" a="1"/>
  <c r="Y130" i="9" s="1"/>
  <c r="Z130" i="9" a="1"/>
  <c r="Z130" i="9" s="1"/>
  <c r="AB130" i="9" a="1"/>
  <c r="AB130" i="9" s="1"/>
  <c r="V130" i="9" a="1"/>
  <c r="V130" i="9" s="1"/>
  <c r="Y234" i="9" a="1"/>
  <c r="Y234" i="9" s="1"/>
  <c r="Z234" i="9" a="1"/>
  <c r="Z234" i="9" s="1"/>
  <c r="AA234" i="9" a="1"/>
  <c r="AA234" i="9" s="1"/>
  <c r="T234" i="9" a="1"/>
  <c r="T234" i="9" s="1"/>
  <c r="S234" i="9" a="1"/>
  <c r="S234" i="9" s="1"/>
  <c r="V234" i="9" a="1"/>
  <c r="V234" i="9" s="1"/>
  <c r="X234" i="9" a="1"/>
  <c r="X234" i="9" s="1"/>
  <c r="AB234" i="9" a="1"/>
  <c r="AB234" i="9" s="1"/>
  <c r="W234" i="9" a="1"/>
  <c r="W234" i="9" s="1"/>
  <c r="T168" i="9" a="1"/>
  <c r="T168" i="9" s="1"/>
  <c r="V168" i="9" a="1"/>
  <c r="V168" i="9" s="1"/>
  <c r="Z168" i="9" a="1"/>
  <c r="Z168" i="9" s="1"/>
  <c r="S168" i="9" a="1"/>
  <c r="S168" i="9" s="1"/>
  <c r="AB168" i="9" a="1"/>
  <c r="AB168" i="9" s="1"/>
  <c r="W168" i="9" a="1"/>
  <c r="W168" i="9" s="1"/>
  <c r="X168" i="9" a="1"/>
  <c r="X168" i="9" s="1"/>
  <c r="AA168" i="9" a="1"/>
  <c r="AA168" i="9" s="1"/>
  <c r="Y168" i="9" a="1"/>
  <c r="Y168" i="9" s="1"/>
  <c r="T128" i="9" a="1"/>
  <c r="T128" i="9" s="1"/>
  <c r="Y128" i="9" a="1"/>
  <c r="Y128" i="9" s="1"/>
  <c r="Z128" i="9" a="1"/>
  <c r="Z128" i="9" s="1"/>
  <c r="V128" i="9" a="1"/>
  <c r="V128" i="9" s="1"/>
  <c r="AA128" i="9" a="1"/>
  <c r="AA128" i="9" s="1"/>
  <c r="AB128" i="9" a="1"/>
  <c r="AB128" i="9" s="1"/>
  <c r="S128" i="9" a="1"/>
  <c r="S128" i="9" s="1"/>
  <c r="W128" i="9" a="1"/>
  <c r="W128" i="9" s="1"/>
  <c r="X128" i="9" a="1"/>
  <c r="X128" i="9" s="1"/>
  <c r="T136" i="9" a="1"/>
  <c r="T136" i="9" s="1"/>
  <c r="Z136" i="9" a="1"/>
  <c r="Z136" i="9" s="1"/>
  <c r="AA136" i="9" a="1"/>
  <c r="AA136" i="9" s="1"/>
  <c r="V136" i="9" a="1"/>
  <c r="V136" i="9" s="1"/>
  <c r="W136" i="9" a="1"/>
  <c r="W136" i="9" s="1"/>
  <c r="AB136" i="9" a="1"/>
  <c r="AB136" i="9" s="1"/>
  <c r="S136" i="9" a="1"/>
  <c r="S136" i="9" s="1"/>
  <c r="Y136" i="9" a="1"/>
  <c r="Y136" i="9" s="1"/>
  <c r="X136" i="9" a="1"/>
  <c r="X136" i="9" s="1"/>
  <c r="W228" i="9" a="1"/>
  <c r="W228" i="9" s="1"/>
  <c r="Z228" i="9" a="1"/>
  <c r="Z228" i="9" s="1"/>
  <c r="S228" i="9" a="1"/>
  <c r="S228" i="9" s="1"/>
  <c r="AA228" i="9" a="1"/>
  <c r="AA228" i="9" s="1"/>
  <c r="X228" i="9" a="1"/>
  <c r="X228" i="9" s="1"/>
  <c r="T228" i="9" a="1"/>
  <c r="T228" i="9" s="1"/>
  <c r="Y228" i="9" a="1"/>
  <c r="Y228" i="9" s="1"/>
  <c r="AB228" i="9" a="1"/>
  <c r="AB228" i="9" s="1"/>
  <c r="V228" i="9" a="1"/>
  <c r="V228" i="9" s="1"/>
  <c r="AB249" i="9" a="1"/>
  <c r="AB249" i="9" s="1"/>
  <c r="T249" i="9" a="1"/>
  <c r="T249" i="9" s="1"/>
  <c r="W249" i="9" a="1"/>
  <c r="W249" i="9" s="1"/>
  <c r="X249" i="9" a="1"/>
  <c r="X249" i="9" s="1"/>
  <c r="V249" i="9" a="1"/>
  <c r="V249" i="9" s="1"/>
  <c r="Y249" i="9" a="1"/>
  <c r="Y249" i="9" s="1"/>
  <c r="Z249" i="9" a="1"/>
  <c r="Z249" i="9" s="1"/>
  <c r="S249" i="9" a="1"/>
  <c r="S249" i="9" s="1"/>
  <c r="AA249" i="9" a="1"/>
  <c r="AA249" i="9" s="1"/>
  <c r="T171" i="9" a="1"/>
  <c r="T171" i="9" s="1"/>
  <c r="W171" i="9" a="1"/>
  <c r="W171" i="9" s="1"/>
  <c r="S171" i="9" a="1"/>
  <c r="S171" i="9" s="1"/>
  <c r="V171" i="9" a="1"/>
  <c r="V171" i="9" s="1"/>
  <c r="X171" i="9" a="1"/>
  <c r="X171" i="9" s="1"/>
  <c r="AB171" i="9" a="1"/>
  <c r="AB171" i="9" s="1"/>
  <c r="Y171" i="9" a="1"/>
  <c r="Y171" i="9" s="1"/>
  <c r="Z171" i="9" a="1"/>
  <c r="Z171" i="9" s="1"/>
  <c r="AA171" i="9" a="1"/>
  <c r="AA171" i="9" s="1"/>
  <c r="T199" i="9" a="1"/>
  <c r="T199" i="9" s="1"/>
  <c r="AA199" i="9" a="1"/>
  <c r="AA199" i="9" s="1"/>
  <c r="W199" i="9" a="1"/>
  <c r="W199" i="9" s="1"/>
  <c r="AB199" i="9" a="1"/>
  <c r="AB199" i="9" s="1"/>
  <c r="Y199" i="9" a="1"/>
  <c r="Y199" i="9" s="1"/>
  <c r="X199" i="9" a="1"/>
  <c r="X199" i="9" s="1"/>
  <c r="V199" i="9" a="1"/>
  <c r="V199" i="9" s="1"/>
  <c r="Z199" i="9" a="1"/>
  <c r="Z199" i="9" s="1"/>
  <c r="S199" i="9" a="1"/>
  <c r="S199" i="9" s="1"/>
  <c r="AB219" i="9" a="1"/>
  <c r="AB219" i="9" s="1"/>
  <c r="X219" i="9" a="1"/>
  <c r="X219" i="9" s="1"/>
  <c r="Y219" i="9" a="1"/>
  <c r="Y219" i="9" s="1"/>
  <c r="V219" i="9" a="1"/>
  <c r="V219" i="9" s="1"/>
  <c r="Z219" i="9" a="1"/>
  <c r="Z219" i="9" s="1"/>
  <c r="W219" i="9" a="1"/>
  <c r="W219" i="9" s="1"/>
  <c r="S219" i="9" a="1"/>
  <c r="S219" i="9" s="1"/>
  <c r="AA219" i="9" a="1"/>
  <c r="AA219" i="9" s="1"/>
  <c r="T219" i="9" a="1"/>
  <c r="T219" i="9" s="1"/>
  <c r="T221" i="9" a="1"/>
  <c r="T221" i="9" s="1"/>
  <c r="Z221" i="9" a="1"/>
  <c r="Z221" i="9" s="1"/>
  <c r="X221" i="9" a="1"/>
  <c r="X221" i="9" s="1"/>
  <c r="W221" i="9" a="1"/>
  <c r="W221" i="9" s="1"/>
  <c r="V221" i="9" a="1"/>
  <c r="V221" i="9" s="1"/>
  <c r="S221" i="9" a="1"/>
  <c r="S221" i="9" s="1"/>
  <c r="Y221" i="9" a="1"/>
  <c r="Y221" i="9" s="1"/>
  <c r="AB221" i="9" a="1"/>
  <c r="AB221" i="9" s="1"/>
  <c r="AA221" i="9" a="1"/>
  <c r="AA221" i="9" s="1"/>
  <c r="T102" i="9" a="1"/>
  <c r="T102" i="9" s="1"/>
  <c r="AA102" i="9" a="1"/>
  <c r="AA102" i="9" s="1"/>
  <c r="S102" i="9" a="1"/>
  <c r="S102" i="9" s="1"/>
  <c r="AB102" i="9" a="1"/>
  <c r="AB102" i="9" s="1"/>
  <c r="V102" i="9" a="1"/>
  <c r="V102" i="9" s="1"/>
  <c r="W102" i="9" a="1"/>
  <c r="W102" i="9" s="1"/>
  <c r="Z102" i="9" a="1"/>
  <c r="Z102" i="9" s="1"/>
  <c r="X102" i="9" a="1"/>
  <c r="X102" i="9" s="1"/>
  <c r="Y102" i="9" a="1"/>
  <c r="Y102" i="9" s="1"/>
  <c r="T103" i="9" a="1"/>
  <c r="T103" i="9" s="1"/>
  <c r="W103" i="9" a="1"/>
  <c r="W103" i="9" s="1"/>
  <c r="X103" i="9" a="1"/>
  <c r="X103" i="9" s="1"/>
  <c r="Y103" i="9" a="1"/>
  <c r="Y103" i="9" s="1"/>
  <c r="Z103" i="9" a="1"/>
  <c r="Z103" i="9" s="1"/>
  <c r="S103" i="9" a="1"/>
  <c r="S103" i="9" s="1"/>
  <c r="AA103" i="9" a="1"/>
  <c r="AA103" i="9" s="1"/>
  <c r="V103" i="9" a="1"/>
  <c r="V103" i="9" s="1"/>
  <c r="AB103" i="9" a="1"/>
  <c r="AB103" i="9" s="1"/>
  <c r="AA215" i="9" a="1"/>
  <c r="AA215" i="9" s="1"/>
  <c r="T215" i="9" a="1"/>
  <c r="T215" i="9" s="1"/>
  <c r="W215" i="9" a="1"/>
  <c r="W215" i="9" s="1"/>
  <c r="S215" i="9" a="1"/>
  <c r="S215" i="9" s="1"/>
  <c r="Y215" i="9" a="1"/>
  <c r="Y215" i="9" s="1"/>
  <c r="Z215" i="9" a="1"/>
  <c r="Z215" i="9" s="1"/>
  <c r="V215" i="9" a="1"/>
  <c r="V215" i="9" s="1"/>
  <c r="AB215" i="9" a="1"/>
  <c r="AB215" i="9" s="1"/>
  <c r="X215" i="9" a="1"/>
  <c r="X215" i="9" s="1"/>
  <c r="T145" i="9" a="1"/>
  <c r="T145" i="9" s="1"/>
  <c r="V145" i="9" a="1"/>
  <c r="V145" i="9" s="1"/>
  <c r="S145" i="9" a="1"/>
  <c r="S145" i="9" s="1"/>
  <c r="X145" i="9" a="1"/>
  <c r="X145" i="9" s="1"/>
  <c r="AB145" i="9" a="1"/>
  <c r="AB145" i="9" s="1"/>
  <c r="AA145" i="9" a="1"/>
  <c r="AA145" i="9" s="1"/>
  <c r="W145" i="9" a="1"/>
  <c r="W145" i="9" s="1"/>
  <c r="Y145" i="9" a="1"/>
  <c r="Y145" i="9" s="1"/>
  <c r="Z145" i="9" a="1"/>
  <c r="Z145" i="9" s="1"/>
  <c r="T144" i="9" a="1"/>
  <c r="T144" i="9" s="1"/>
  <c r="Y144" i="9" a="1"/>
  <c r="Y144" i="9" s="1"/>
  <c r="Z144" i="9" a="1"/>
  <c r="Z144" i="9" s="1"/>
  <c r="X144" i="9" a="1"/>
  <c r="X144" i="9" s="1"/>
  <c r="AB144" i="9" a="1"/>
  <c r="AB144" i="9" s="1"/>
  <c r="S144" i="9" a="1"/>
  <c r="S144" i="9" s="1"/>
  <c r="AA144" i="9" a="1"/>
  <c r="AA144" i="9" s="1"/>
  <c r="V144" i="9" a="1"/>
  <c r="V144" i="9" s="1"/>
  <c r="W144" i="9" a="1"/>
  <c r="W144" i="9" s="1"/>
  <c r="T170" i="9" a="1"/>
  <c r="T170" i="9" s="1"/>
  <c r="AA170" i="9" a="1"/>
  <c r="AA170" i="9" s="1"/>
  <c r="AB170" i="9" a="1"/>
  <c r="AB170" i="9" s="1"/>
  <c r="X170" i="9" a="1"/>
  <c r="X170" i="9" s="1"/>
  <c r="S170" i="9" a="1"/>
  <c r="S170" i="9" s="1"/>
  <c r="W170" i="9" a="1"/>
  <c r="W170" i="9" s="1"/>
  <c r="V170" i="9" a="1"/>
  <c r="V170" i="9" s="1"/>
  <c r="Y170" i="9" a="1"/>
  <c r="Y170" i="9" s="1"/>
  <c r="Z170" i="9" a="1"/>
  <c r="Z170" i="9" s="1"/>
  <c r="S218" i="9" a="1"/>
  <c r="S218" i="9" s="1"/>
  <c r="X218" i="9" a="1"/>
  <c r="X218" i="9" s="1"/>
  <c r="W218" i="9" a="1"/>
  <c r="W218" i="9" s="1"/>
  <c r="Z218" i="9" a="1"/>
  <c r="Z218" i="9" s="1"/>
  <c r="AA218" i="9" a="1"/>
  <c r="AA218" i="9" s="1"/>
  <c r="T218" i="9" a="1"/>
  <c r="T218" i="9" s="1"/>
  <c r="AB218" i="9" a="1"/>
  <c r="AB218" i="9" s="1"/>
  <c r="Y218" i="9" a="1"/>
  <c r="Y218" i="9" s="1"/>
  <c r="V218" i="9" a="1"/>
  <c r="V218" i="9" s="1"/>
  <c r="X227" i="9" a="1"/>
  <c r="X227" i="9" s="1"/>
  <c r="V227" i="9" a="1"/>
  <c r="V227" i="9" s="1"/>
  <c r="Y227" i="9" a="1"/>
  <c r="Y227" i="9" s="1"/>
  <c r="W227" i="9" a="1"/>
  <c r="W227" i="9" s="1"/>
  <c r="S227" i="9" a="1"/>
  <c r="S227" i="9" s="1"/>
  <c r="AA227" i="9" a="1"/>
  <c r="AA227" i="9" s="1"/>
  <c r="AB227" i="9" a="1"/>
  <c r="AB227" i="9" s="1"/>
  <c r="T227" i="9" a="1"/>
  <c r="T227" i="9" s="1"/>
  <c r="Z227" i="9" a="1"/>
  <c r="Z227" i="9" s="1"/>
  <c r="T209" i="9" a="1"/>
  <c r="T209" i="9" s="1"/>
  <c r="AA209" i="9" a="1"/>
  <c r="AA209" i="9" s="1"/>
  <c r="Z209" i="9" a="1"/>
  <c r="Z209" i="9" s="1"/>
  <c r="W209" i="9" a="1"/>
  <c r="W209" i="9" s="1"/>
  <c r="AB209" i="9" a="1"/>
  <c r="AB209" i="9" s="1"/>
  <c r="X209" i="9" a="1"/>
  <c r="X209" i="9" s="1"/>
  <c r="S209" i="9" a="1"/>
  <c r="S209" i="9" s="1"/>
  <c r="Y209" i="9" a="1"/>
  <c r="Y209" i="9" s="1"/>
  <c r="V209" i="9" a="1"/>
  <c r="V209" i="9" s="1"/>
  <c r="T132" i="9" a="1"/>
  <c r="T132" i="9" s="1"/>
  <c r="V132" i="9" a="1"/>
  <c r="V132" i="9" s="1"/>
  <c r="AA132" i="9" a="1"/>
  <c r="AA132" i="9" s="1"/>
  <c r="W132" i="9" a="1"/>
  <c r="W132" i="9" s="1"/>
  <c r="S132" i="9" a="1"/>
  <c r="S132" i="9" s="1"/>
  <c r="Z132" i="9" a="1"/>
  <c r="Z132" i="9" s="1"/>
  <c r="X132" i="9" a="1"/>
  <c r="X132" i="9" s="1"/>
  <c r="Y132" i="9" a="1"/>
  <c r="Y132" i="9" s="1"/>
  <c r="AB132" i="9" a="1"/>
  <c r="AB132" i="9" s="1"/>
  <c r="T115" i="9" a="1"/>
  <c r="T115" i="9" s="1"/>
  <c r="S115" i="9" a="1"/>
  <c r="S115" i="9" s="1"/>
  <c r="Y115" i="9" a="1"/>
  <c r="Y115" i="9" s="1"/>
  <c r="Z115" i="9" a="1"/>
  <c r="Z115" i="9" s="1"/>
  <c r="V115" i="9" a="1"/>
  <c r="V115" i="9" s="1"/>
  <c r="AA115" i="9" a="1"/>
  <c r="AA115" i="9" s="1"/>
  <c r="W115" i="9" a="1"/>
  <c r="W115" i="9" s="1"/>
  <c r="AB115" i="9" a="1"/>
  <c r="AB115" i="9" s="1"/>
  <c r="X115" i="9" a="1"/>
  <c r="X115" i="9" s="1"/>
  <c r="T141" i="9" a="1"/>
  <c r="T141" i="9" s="1"/>
  <c r="X141" i="9" a="1"/>
  <c r="X141" i="9" s="1"/>
  <c r="AB141" i="9" a="1"/>
  <c r="AB141" i="9" s="1"/>
  <c r="V141" i="9" a="1"/>
  <c r="V141" i="9" s="1"/>
  <c r="Z141" i="9" a="1"/>
  <c r="Z141" i="9" s="1"/>
  <c r="W141" i="9" a="1"/>
  <c r="W141" i="9" s="1"/>
  <c r="Y141" i="9" a="1"/>
  <c r="Y141" i="9" s="1"/>
  <c r="AA141" i="9" a="1"/>
  <c r="AA141" i="9" s="1"/>
  <c r="S141" i="9" a="1"/>
  <c r="S141" i="9" s="1"/>
  <c r="T96" i="9" a="1"/>
  <c r="T96" i="9" s="1"/>
  <c r="V96" i="9" a="1"/>
  <c r="V96" i="9" s="1"/>
  <c r="W96" i="9" a="1"/>
  <c r="W96" i="9" s="1"/>
  <c r="X96" i="9" a="1"/>
  <c r="X96" i="9" s="1"/>
  <c r="AB96" i="9" a="1"/>
  <c r="AB96" i="9" s="1"/>
  <c r="S96" i="9" a="1"/>
  <c r="S96" i="9" s="1"/>
  <c r="Y96" i="9" a="1"/>
  <c r="Y96" i="9" s="1"/>
  <c r="Z96" i="9" a="1"/>
  <c r="Z96" i="9" s="1"/>
  <c r="AA96" i="9" a="1"/>
  <c r="AA96" i="9" s="1"/>
  <c r="T178" i="9" a="1"/>
  <c r="T178" i="9" s="1"/>
  <c r="X178" i="9" a="1"/>
  <c r="X178" i="9" s="1"/>
  <c r="Z178" i="9" a="1"/>
  <c r="Z178" i="9" s="1"/>
  <c r="Y178" i="9" a="1"/>
  <c r="Y178" i="9" s="1"/>
  <c r="S178" i="9" a="1"/>
  <c r="S178" i="9" s="1"/>
  <c r="AA178" i="9" a="1"/>
  <c r="AA178" i="9" s="1"/>
  <c r="AB178" i="9" a="1"/>
  <c r="AB178" i="9" s="1"/>
  <c r="W178" i="9" a="1"/>
  <c r="W178" i="9" s="1"/>
  <c r="V178" i="9" a="1"/>
  <c r="V178" i="9" s="1"/>
  <c r="T84" i="9" a="1"/>
  <c r="T84" i="9" s="1"/>
  <c r="AA84" i="9" a="1"/>
  <c r="AA84" i="9" s="1"/>
  <c r="X84" i="9" a="1"/>
  <c r="X84" i="9" s="1"/>
  <c r="AB84" i="9" a="1"/>
  <c r="AB84" i="9" s="1"/>
  <c r="W84" i="9" a="1"/>
  <c r="W84" i="9" s="1"/>
  <c r="Y84" i="9" a="1"/>
  <c r="Y84" i="9" s="1"/>
  <c r="Z84" i="9" a="1"/>
  <c r="Z84" i="9" s="1"/>
  <c r="V84" i="9" a="1"/>
  <c r="V84" i="9" s="1"/>
  <c r="S84" i="9" a="1"/>
  <c r="S84" i="9" s="1"/>
  <c r="T207" i="9" a="1"/>
  <c r="T207" i="9" s="1"/>
  <c r="Y207" i="9" a="1"/>
  <c r="Y207" i="9" s="1"/>
  <c r="Z207" i="9" a="1"/>
  <c r="Z207" i="9" s="1"/>
  <c r="V207" i="9" a="1"/>
  <c r="V207" i="9" s="1"/>
  <c r="AA207" i="9" a="1"/>
  <c r="AA207" i="9" s="1"/>
  <c r="AB207" i="9" a="1"/>
  <c r="AB207" i="9" s="1"/>
  <c r="X207" i="9" a="1"/>
  <c r="X207" i="9" s="1"/>
  <c r="W207" i="9" a="1"/>
  <c r="W207" i="9" s="1"/>
  <c r="S207" i="9" a="1"/>
  <c r="S207" i="9" s="1"/>
  <c r="T146" i="9" a="1"/>
  <c r="T146" i="9" s="1"/>
  <c r="Z146" i="9" a="1"/>
  <c r="Z146" i="9" s="1"/>
  <c r="S146" i="9" a="1"/>
  <c r="S146" i="9" s="1"/>
  <c r="AB146" i="9" a="1"/>
  <c r="AB146" i="9" s="1"/>
  <c r="AA146" i="9" a="1"/>
  <c r="AA146" i="9" s="1"/>
  <c r="Y146" i="9" a="1"/>
  <c r="Y146" i="9" s="1"/>
  <c r="V146" i="9" a="1"/>
  <c r="V146" i="9" s="1"/>
  <c r="X146" i="9" a="1"/>
  <c r="X146" i="9" s="1"/>
  <c r="W146" i="9" a="1"/>
  <c r="W146" i="9" s="1"/>
  <c r="Y242" i="9" a="1"/>
  <c r="Y242" i="9" s="1"/>
  <c r="X242" i="9" a="1"/>
  <c r="X242" i="9" s="1"/>
  <c r="AB242" i="9" a="1"/>
  <c r="AB242" i="9" s="1"/>
  <c r="Z242" i="9" a="1"/>
  <c r="Z242" i="9" s="1"/>
  <c r="AA242" i="9" a="1"/>
  <c r="AA242" i="9" s="1"/>
  <c r="T242" i="9" a="1"/>
  <c r="T242" i="9" s="1"/>
  <c r="V242" i="9" a="1"/>
  <c r="V242" i="9" s="1"/>
  <c r="W242" i="9" a="1"/>
  <c r="W242" i="9" s="1"/>
  <c r="S242" i="9" a="1"/>
  <c r="S242" i="9" s="1"/>
  <c r="T202" i="9" a="1"/>
  <c r="T202" i="9" s="1"/>
  <c r="S202" i="9" a="1"/>
  <c r="S202" i="9" s="1"/>
  <c r="Z202" i="9" a="1"/>
  <c r="Z202" i="9" s="1"/>
  <c r="X202" i="9" a="1"/>
  <c r="X202" i="9" s="1"/>
  <c r="AB202" i="9" a="1"/>
  <c r="AB202" i="9" s="1"/>
  <c r="V202" i="9" a="1"/>
  <c r="V202" i="9" s="1"/>
  <c r="W202" i="9" a="1"/>
  <c r="W202" i="9" s="1"/>
  <c r="Y202" i="9" a="1"/>
  <c r="Y202" i="9" s="1"/>
  <c r="AA202" i="9" a="1"/>
  <c r="AA202" i="9" s="1"/>
  <c r="W214" i="9" a="1"/>
  <c r="W214" i="9" s="1"/>
  <c r="Z214" i="9" a="1"/>
  <c r="Z214" i="9" s="1"/>
  <c r="X214" i="9" a="1"/>
  <c r="X214" i="9" s="1"/>
  <c r="AB214" i="9" a="1"/>
  <c r="AB214" i="9" s="1"/>
  <c r="S214" i="9" a="1"/>
  <c r="S214" i="9" s="1"/>
  <c r="Y214" i="9" a="1"/>
  <c r="Y214" i="9" s="1"/>
  <c r="T214" i="9" a="1"/>
  <c r="T214" i="9" s="1"/>
  <c r="V214" i="9" a="1"/>
  <c r="V214" i="9" s="1"/>
  <c r="AA214" i="9" a="1"/>
  <c r="AA214" i="9" s="1"/>
  <c r="AB230" i="9" a="1"/>
  <c r="AB230" i="9" s="1"/>
  <c r="Y230" i="9" a="1"/>
  <c r="Y230" i="9" s="1"/>
  <c r="Z230" i="9" a="1"/>
  <c r="Z230" i="9" s="1"/>
  <c r="AA230" i="9" a="1"/>
  <c r="AA230" i="9" s="1"/>
  <c r="V230" i="9" a="1"/>
  <c r="V230" i="9" s="1"/>
  <c r="W230" i="9" a="1"/>
  <c r="W230" i="9" s="1"/>
  <c r="T230" i="9" a="1"/>
  <c r="T230" i="9" s="1"/>
  <c r="S230" i="9" a="1"/>
  <c r="S230" i="9" s="1"/>
  <c r="X230" i="9" a="1"/>
  <c r="X230" i="9" s="1"/>
  <c r="T154" i="9" a="1"/>
  <c r="T154" i="9" s="1"/>
  <c r="AB154" i="9" a="1"/>
  <c r="AB154" i="9" s="1"/>
  <c r="W154" i="9" a="1"/>
  <c r="W154" i="9" s="1"/>
  <c r="Y154" i="9" a="1"/>
  <c r="Y154" i="9" s="1"/>
  <c r="V154" i="9" a="1"/>
  <c r="V154" i="9" s="1"/>
  <c r="AA154" i="9" a="1"/>
  <c r="AA154" i="9" s="1"/>
  <c r="Z154" i="9" a="1"/>
  <c r="Z154" i="9" s="1"/>
  <c r="S154" i="9" a="1"/>
  <c r="S154" i="9" s="1"/>
  <c r="X154" i="9" a="1"/>
  <c r="X154" i="9" s="1"/>
  <c r="T148" i="9" a="1"/>
  <c r="T148" i="9" s="1"/>
  <c r="AA148" i="9" a="1"/>
  <c r="AA148" i="9" s="1"/>
  <c r="Z148" i="9" a="1"/>
  <c r="Z148" i="9" s="1"/>
  <c r="AB148" i="9" a="1"/>
  <c r="AB148" i="9" s="1"/>
  <c r="W148" i="9" a="1"/>
  <c r="W148" i="9" s="1"/>
  <c r="Y148" i="9" a="1"/>
  <c r="Y148" i="9" s="1"/>
  <c r="V148" i="9" a="1"/>
  <c r="V148" i="9" s="1"/>
  <c r="S148" i="9" a="1"/>
  <c r="S148" i="9" s="1"/>
  <c r="X148" i="9" a="1"/>
  <c r="X148" i="9" s="1"/>
  <c r="AB212" i="9" a="1"/>
  <c r="AB212" i="9" s="1"/>
  <c r="AA212" i="9" a="1"/>
  <c r="AA212" i="9" s="1"/>
  <c r="X212" i="9" a="1"/>
  <c r="X212" i="9" s="1"/>
  <c r="S212" i="9" a="1"/>
  <c r="S212" i="9" s="1"/>
  <c r="T212" i="9" a="1"/>
  <c r="T212" i="9" s="1"/>
  <c r="Z212" i="9" a="1"/>
  <c r="Z212" i="9" s="1"/>
  <c r="W212" i="9" a="1"/>
  <c r="W212" i="9" s="1"/>
  <c r="Y212" i="9" a="1"/>
  <c r="Y212" i="9" s="1"/>
  <c r="V212" i="9" a="1"/>
  <c r="V212" i="9" s="1"/>
  <c r="T172" i="9" a="1"/>
  <c r="T172" i="9" s="1"/>
  <c r="V172" i="9" a="1"/>
  <c r="V172" i="9" s="1"/>
  <c r="AB172" i="9" a="1"/>
  <c r="AB172" i="9" s="1"/>
  <c r="X172" i="9" a="1"/>
  <c r="X172" i="9" s="1"/>
  <c r="Y172" i="9" a="1"/>
  <c r="Y172" i="9" s="1"/>
  <c r="Z172" i="9" a="1"/>
  <c r="Z172" i="9" s="1"/>
  <c r="AA172" i="9" a="1"/>
  <c r="AA172" i="9" s="1"/>
  <c r="W172" i="9" a="1"/>
  <c r="W172" i="9" s="1"/>
  <c r="S172" i="9" a="1"/>
  <c r="S172" i="9" s="1"/>
  <c r="S231" i="9" a="1"/>
  <c r="S231" i="9" s="1"/>
  <c r="AB231" i="9" a="1"/>
  <c r="AB231" i="9" s="1"/>
  <c r="Z231" i="9" a="1"/>
  <c r="Z231" i="9" s="1"/>
  <c r="W231" i="9" a="1"/>
  <c r="W231" i="9" s="1"/>
  <c r="AA231" i="9" a="1"/>
  <c r="AA231" i="9" s="1"/>
  <c r="X231" i="9" a="1"/>
  <c r="X231" i="9" s="1"/>
  <c r="T231" i="9" a="1"/>
  <c r="T231" i="9" s="1"/>
  <c r="Y231" i="9" a="1"/>
  <c r="Y231" i="9" s="1"/>
  <c r="V231" i="9" a="1"/>
  <c r="V231" i="9" s="1"/>
  <c r="T137" i="9" a="1"/>
  <c r="T137" i="9" s="1"/>
  <c r="AA137" i="9" a="1"/>
  <c r="AA137" i="9" s="1"/>
  <c r="V137" i="9" a="1"/>
  <c r="V137" i="9" s="1"/>
  <c r="AB137" i="9" a="1"/>
  <c r="AB137" i="9" s="1"/>
  <c r="S137" i="9" a="1"/>
  <c r="S137" i="9" s="1"/>
  <c r="Y137" i="9" a="1"/>
  <c r="Y137" i="9" s="1"/>
  <c r="X137" i="9" a="1"/>
  <c r="X137" i="9" s="1"/>
  <c r="W137" i="9" a="1"/>
  <c r="W137" i="9" s="1"/>
  <c r="Z137" i="9" a="1"/>
  <c r="Z137" i="9" s="1"/>
  <c r="T179" i="9" a="1"/>
  <c r="T179" i="9" s="1"/>
  <c r="Z179" i="9" a="1"/>
  <c r="Z179" i="9" s="1"/>
  <c r="V179" i="9" a="1"/>
  <c r="V179" i="9" s="1"/>
  <c r="X179" i="9" a="1"/>
  <c r="X179" i="9" s="1"/>
  <c r="S179" i="9" a="1"/>
  <c r="S179" i="9" s="1"/>
  <c r="AA179" i="9" a="1"/>
  <c r="AA179" i="9" s="1"/>
  <c r="AB179" i="9" a="1"/>
  <c r="AB179" i="9" s="1"/>
  <c r="Y179" i="9" a="1"/>
  <c r="Y179" i="9" s="1"/>
  <c r="W179" i="9" a="1"/>
  <c r="W179" i="9" s="1"/>
  <c r="T107" i="9" a="1"/>
  <c r="T107" i="9" s="1"/>
  <c r="Y107" i="9" a="1"/>
  <c r="Y107" i="9" s="1"/>
  <c r="S107" i="9" a="1"/>
  <c r="S107" i="9" s="1"/>
  <c r="Z107" i="9" a="1"/>
  <c r="Z107" i="9" s="1"/>
  <c r="V107" i="9" a="1"/>
  <c r="V107" i="9" s="1"/>
  <c r="X107" i="9" a="1"/>
  <c r="X107" i="9" s="1"/>
  <c r="AA107" i="9" a="1"/>
  <c r="AA107" i="9" s="1"/>
  <c r="W107" i="9" a="1"/>
  <c r="W107" i="9" s="1"/>
  <c r="AB107" i="9" a="1"/>
  <c r="AB107" i="9" s="1"/>
  <c r="X229" i="9" a="1"/>
  <c r="X229" i="9" s="1"/>
  <c r="T229" i="9" a="1"/>
  <c r="T229" i="9" s="1"/>
  <c r="V229" i="9" a="1"/>
  <c r="V229" i="9" s="1"/>
  <c r="S229" i="9" a="1"/>
  <c r="S229" i="9" s="1"/>
  <c r="Y229" i="9" a="1"/>
  <c r="Y229" i="9" s="1"/>
  <c r="Z229" i="9" a="1"/>
  <c r="Z229" i="9" s="1"/>
  <c r="W229" i="9" a="1"/>
  <c r="W229" i="9" s="1"/>
  <c r="AA229" i="9" a="1"/>
  <c r="AA229" i="9" s="1"/>
  <c r="AB229" i="9" a="1"/>
  <c r="AB229" i="9" s="1"/>
  <c r="T192" i="9" a="1"/>
  <c r="T192" i="9" s="1"/>
  <c r="Y192" i="9" a="1"/>
  <c r="Y192" i="9" s="1"/>
  <c r="W192" i="9" a="1"/>
  <c r="W192" i="9" s="1"/>
  <c r="AA192" i="9" a="1"/>
  <c r="AA192" i="9" s="1"/>
  <c r="S192" i="9" a="1"/>
  <c r="S192" i="9" s="1"/>
  <c r="V192" i="9" a="1"/>
  <c r="V192" i="9" s="1"/>
  <c r="X192" i="9" a="1"/>
  <c r="X192" i="9" s="1"/>
  <c r="AB192" i="9" a="1"/>
  <c r="AB192" i="9" s="1"/>
  <c r="Z192" i="9" a="1"/>
  <c r="Z192" i="9" s="1"/>
  <c r="T208" i="9" a="1"/>
  <c r="T208" i="9" s="1"/>
  <c r="S208" i="9" a="1"/>
  <c r="S208" i="9" s="1"/>
  <c r="Y208" i="9" a="1"/>
  <c r="Y208" i="9" s="1"/>
  <c r="Z208" i="9" a="1"/>
  <c r="Z208" i="9" s="1"/>
  <c r="W208" i="9" a="1"/>
  <c r="W208" i="9" s="1"/>
  <c r="V208" i="9" a="1"/>
  <c r="V208" i="9" s="1"/>
  <c r="AB208" i="9" a="1"/>
  <c r="AB208" i="9" s="1"/>
  <c r="AA208" i="9" a="1"/>
  <c r="AA208" i="9" s="1"/>
  <c r="X208" i="9" a="1"/>
  <c r="X208" i="9" s="1"/>
  <c r="Y235" i="9" a="1"/>
  <c r="Y235" i="9" s="1"/>
  <c r="Z235" i="9" a="1"/>
  <c r="Z235" i="9" s="1"/>
  <c r="S235" i="9" a="1"/>
  <c r="S235" i="9" s="1"/>
  <c r="AA235" i="9" a="1"/>
  <c r="AA235" i="9" s="1"/>
  <c r="T235" i="9" a="1"/>
  <c r="T235" i="9" s="1"/>
  <c r="W235" i="9" a="1"/>
  <c r="W235" i="9" s="1"/>
  <c r="AB235" i="9" a="1"/>
  <c r="AB235" i="9" s="1"/>
  <c r="X235" i="9" a="1"/>
  <c r="X235" i="9" s="1"/>
  <c r="V235" i="9" a="1"/>
  <c r="V235" i="9" s="1"/>
  <c r="T167" i="9" a="1"/>
  <c r="T167" i="9" s="1"/>
  <c r="Z167" i="9" a="1"/>
  <c r="Z167" i="9" s="1"/>
  <c r="W167" i="9" a="1"/>
  <c r="W167" i="9" s="1"/>
  <c r="AA167" i="9" a="1"/>
  <c r="AA167" i="9" s="1"/>
  <c r="S167" i="9" a="1"/>
  <c r="S167" i="9" s="1"/>
  <c r="X167" i="9" a="1"/>
  <c r="X167" i="9" s="1"/>
  <c r="AB167" i="9" a="1"/>
  <c r="AB167" i="9" s="1"/>
  <c r="V167" i="9" a="1"/>
  <c r="V167" i="9" s="1"/>
  <c r="Y167" i="9" a="1"/>
  <c r="Y167" i="9" s="1"/>
  <c r="T123" i="9" a="1"/>
  <c r="T123" i="9" s="1"/>
  <c r="Y123" i="9" a="1"/>
  <c r="Y123" i="9" s="1"/>
  <c r="AB123" i="9" a="1"/>
  <c r="AB123" i="9" s="1"/>
  <c r="AA123" i="9" a="1"/>
  <c r="AA123" i="9" s="1"/>
  <c r="X123" i="9" a="1"/>
  <c r="X123" i="9" s="1"/>
  <c r="Z123" i="9" a="1"/>
  <c r="Z123" i="9" s="1"/>
  <c r="V123" i="9" a="1"/>
  <c r="V123" i="9" s="1"/>
  <c r="W123" i="9" a="1"/>
  <c r="W123" i="9" s="1"/>
  <c r="S123" i="9" a="1"/>
  <c r="S123" i="9" s="1"/>
  <c r="T91" i="9" a="1"/>
  <c r="T91" i="9" s="1"/>
  <c r="W91" i="9" a="1"/>
  <c r="W91" i="9" s="1"/>
  <c r="X91" i="9" a="1"/>
  <c r="X91" i="9" s="1"/>
  <c r="S91" i="9" a="1"/>
  <c r="S91" i="9" s="1"/>
  <c r="Y91" i="9" a="1"/>
  <c r="Y91" i="9" s="1"/>
  <c r="Z91" i="9" a="1"/>
  <c r="Z91" i="9" s="1"/>
  <c r="AA91" i="9" a="1"/>
  <c r="AA91" i="9" s="1"/>
  <c r="V91" i="9" a="1"/>
  <c r="V91" i="9" s="1"/>
  <c r="AB91" i="9" a="1"/>
  <c r="AB91" i="9" s="1"/>
  <c r="T205" i="9" a="1"/>
  <c r="T205" i="9" s="1"/>
  <c r="Z205" i="9" a="1"/>
  <c r="Z205" i="9" s="1"/>
  <c r="X205" i="9" a="1"/>
  <c r="X205" i="9" s="1"/>
  <c r="Y205" i="9" a="1"/>
  <c r="Y205" i="9" s="1"/>
  <c r="S205" i="9" a="1"/>
  <c r="S205" i="9" s="1"/>
  <c r="AA205" i="9" a="1"/>
  <c r="AA205" i="9" s="1"/>
  <c r="W205" i="9" a="1"/>
  <c r="W205" i="9" s="1"/>
  <c r="V205" i="9" a="1"/>
  <c r="V205" i="9" s="1"/>
  <c r="AB205" i="9" a="1"/>
  <c r="AB205" i="9" s="1"/>
  <c r="T166" i="9" a="1"/>
  <c r="T166" i="9" s="1"/>
  <c r="Z166" i="9" a="1"/>
  <c r="Z166" i="9" s="1"/>
  <c r="AB166" i="9" a="1"/>
  <c r="AB166" i="9" s="1"/>
  <c r="V166" i="9" a="1"/>
  <c r="V166" i="9" s="1"/>
  <c r="AA166" i="9" a="1"/>
  <c r="AA166" i="9" s="1"/>
  <c r="S166" i="9" a="1"/>
  <c r="S166" i="9" s="1"/>
  <c r="Y166" i="9" a="1"/>
  <c r="Y166" i="9" s="1"/>
  <c r="X166" i="9" a="1"/>
  <c r="X166" i="9" s="1"/>
  <c r="W166" i="9" a="1"/>
  <c r="W166" i="9" s="1"/>
  <c r="T182" i="9" a="1"/>
  <c r="T182" i="9" s="1"/>
  <c r="W182" i="9" a="1"/>
  <c r="W182" i="9" s="1"/>
  <c r="X182" i="9" a="1"/>
  <c r="X182" i="9" s="1"/>
  <c r="S182" i="9" a="1"/>
  <c r="S182" i="9" s="1"/>
  <c r="Y182" i="9" a="1"/>
  <c r="Y182" i="9" s="1"/>
  <c r="Z182" i="9" a="1"/>
  <c r="Z182" i="9" s="1"/>
  <c r="V182" i="9" a="1"/>
  <c r="V182" i="9" s="1"/>
  <c r="AA182" i="9" a="1"/>
  <c r="AA182" i="9" s="1"/>
  <c r="AB182" i="9" a="1"/>
  <c r="AB182" i="9" s="1"/>
  <c r="T162" i="9" a="1"/>
  <c r="T162" i="9" s="1"/>
  <c r="V162" i="9" a="1"/>
  <c r="V162" i="9" s="1"/>
  <c r="AA162" i="9" a="1"/>
  <c r="AA162" i="9" s="1"/>
  <c r="W162" i="9" a="1"/>
  <c r="W162" i="9" s="1"/>
  <c r="X162" i="9" a="1"/>
  <c r="X162" i="9" s="1"/>
  <c r="S162" i="9" a="1"/>
  <c r="S162" i="9" s="1"/>
  <c r="Y162" i="9" a="1"/>
  <c r="Y162" i="9" s="1"/>
  <c r="Z162" i="9" a="1"/>
  <c r="Z162" i="9" s="1"/>
  <c r="AB162" i="9" a="1"/>
  <c r="AB162" i="9" s="1"/>
  <c r="T127" i="9" a="1"/>
  <c r="T127" i="9" s="1"/>
  <c r="W127" i="9" a="1"/>
  <c r="W127" i="9" s="1"/>
  <c r="X127" i="9" a="1"/>
  <c r="X127" i="9" s="1"/>
  <c r="Z127" i="9" a="1"/>
  <c r="Z127" i="9" s="1"/>
  <c r="S127" i="9" a="1"/>
  <c r="S127" i="9" s="1"/>
  <c r="AB127" i="9" a="1"/>
  <c r="AB127" i="9" s="1"/>
  <c r="Y127" i="9" a="1"/>
  <c r="Y127" i="9" s="1"/>
  <c r="V127" i="9" a="1"/>
  <c r="V127" i="9" s="1"/>
  <c r="AA127" i="9" a="1"/>
  <c r="AA127" i="9" s="1"/>
  <c r="T133" i="9" a="1"/>
  <c r="T133" i="9" s="1"/>
  <c r="AB133" i="9" a="1"/>
  <c r="AB133" i="9" s="1"/>
  <c r="X133" i="9" a="1"/>
  <c r="X133" i="9" s="1"/>
  <c r="W133" i="9" a="1"/>
  <c r="W133" i="9" s="1"/>
  <c r="Z133" i="9" a="1"/>
  <c r="Z133" i="9" s="1"/>
  <c r="V133" i="9" a="1"/>
  <c r="V133" i="9" s="1"/>
  <c r="Y133" i="9" a="1"/>
  <c r="Y133" i="9" s="1"/>
  <c r="AA133" i="9" a="1"/>
  <c r="AA133" i="9" s="1"/>
  <c r="S133" i="9" a="1"/>
  <c r="S133" i="9" s="1"/>
  <c r="T81" i="9" a="1"/>
  <c r="T81" i="9" s="1"/>
  <c r="V81" i="9" a="1"/>
  <c r="V81" i="9" s="1"/>
  <c r="AB81" i="9" a="1"/>
  <c r="AB81" i="9" s="1"/>
  <c r="S81" i="9" a="1"/>
  <c r="S81" i="9" s="1"/>
  <c r="X81" i="9" a="1"/>
  <c r="X81" i="9" s="1"/>
  <c r="W81" i="9" a="1"/>
  <c r="W81" i="9" s="1"/>
  <c r="Z81" i="9" a="1"/>
  <c r="Z81" i="9" s="1"/>
  <c r="Y81" i="9" a="1"/>
  <c r="Y81" i="9" s="1"/>
  <c r="AA81" i="9" a="1"/>
  <c r="AA81" i="9" s="1"/>
  <c r="V240" i="9" a="1"/>
  <c r="V240" i="9" s="1"/>
  <c r="W240" i="9" a="1"/>
  <c r="W240" i="9" s="1"/>
  <c r="Y240" i="9" a="1"/>
  <c r="Y240" i="9" s="1"/>
  <c r="S240" i="9" a="1"/>
  <c r="S240" i="9" s="1"/>
  <c r="Z240" i="9" a="1"/>
  <c r="Z240" i="9" s="1"/>
  <c r="AB240" i="9" a="1"/>
  <c r="AB240" i="9" s="1"/>
  <c r="X240" i="9" a="1"/>
  <c r="X240" i="9" s="1"/>
  <c r="T240" i="9" a="1"/>
  <c r="T240" i="9" s="1"/>
  <c r="AA240" i="9" a="1"/>
  <c r="AA240" i="9" s="1"/>
  <c r="T184" i="9" a="1"/>
  <c r="T184" i="9" s="1"/>
  <c r="AA184" i="9" a="1"/>
  <c r="AA184" i="9" s="1"/>
  <c r="Z184" i="9" a="1"/>
  <c r="Z184" i="9" s="1"/>
  <c r="V184" i="9" a="1"/>
  <c r="V184" i="9" s="1"/>
  <c r="W184" i="9" a="1"/>
  <c r="W184" i="9" s="1"/>
  <c r="AB184" i="9" a="1"/>
  <c r="AB184" i="9" s="1"/>
  <c r="X184" i="9" a="1"/>
  <c r="X184" i="9" s="1"/>
  <c r="S184" i="9" a="1"/>
  <c r="S184" i="9" s="1"/>
  <c r="Y184" i="9" a="1"/>
  <c r="Y184" i="9" s="1"/>
  <c r="W232" i="9" a="1"/>
  <c r="W232" i="9" s="1"/>
  <c r="T232" i="9" a="1"/>
  <c r="T232" i="9" s="1"/>
  <c r="Y232" i="9" a="1"/>
  <c r="Y232" i="9" s="1"/>
  <c r="V232" i="9" a="1"/>
  <c r="V232" i="9" s="1"/>
  <c r="Z232" i="9" a="1"/>
  <c r="Z232" i="9" s="1"/>
  <c r="AA232" i="9" a="1"/>
  <c r="AA232" i="9" s="1"/>
  <c r="S232" i="9" a="1"/>
  <c r="S232" i="9" s="1"/>
  <c r="AB232" i="9" a="1"/>
  <c r="AB232" i="9" s="1"/>
  <c r="X232" i="9" a="1"/>
  <c r="X232" i="9" s="1"/>
  <c r="V217" i="9" a="1"/>
  <c r="V217" i="9" s="1"/>
  <c r="AA217" i="9" a="1"/>
  <c r="AA217" i="9" s="1"/>
  <c r="AB217" i="9" a="1"/>
  <c r="AB217" i="9" s="1"/>
  <c r="X217" i="9" a="1"/>
  <c r="X217" i="9" s="1"/>
  <c r="S217" i="9" a="1"/>
  <c r="S217" i="9" s="1"/>
  <c r="W217" i="9" a="1"/>
  <c r="W217" i="9" s="1"/>
  <c r="Y217" i="9" a="1"/>
  <c r="Y217" i="9" s="1"/>
  <c r="T217" i="9" a="1"/>
  <c r="T217" i="9" s="1"/>
  <c r="Z217" i="9" a="1"/>
  <c r="Z217" i="9" s="1"/>
  <c r="T87" i="9" a="1"/>
  <c r="T87" i="9" s="1"/>
  <c r="Y87" i="9" a="1"/>
  <c r="Y87" i="9" s="1"/>
  <c r="AA87" i="9" a="1"/>
  <c r="AA87" i="9" s="1"/>
  <c r="V87" i="9" a="1"/>
  <c r="V87" i="9" s="1"/>
  <c r="X87" i="9" a="1"/>
  <c r="X87" i="9" s="1"/>
  <c r="W87" i="9" a="1"/>
  <c r="W87" i="9" s="1"/>
  <c r="AB87" i="9" a="1"/>
  <c r="AB87" i="9" s="1"/>
  <c r="Z87" i="9" a="1"/>
  <c r="Z87" i="9" s="1"/>
  <c r="S87" i="9" a="1"/>
  <c r="S87" i="9" s="1"/>
  <c r="V256" i="9" a="1"/>
  <c r="V256" i="9" s="1"/>
  <c r="W256" i="9" a="1"/>
  <c r="W256" i="9" s="1"/>
  <c r="Y256" i="9" a="1"/>
  <c r="Y256" i="9" s="1"/>
  <c r="S256" i="9" a="1"/>
  <c r="S256" i="9" s="1"/>
  <c r="Z256" i="9" a="1"/>
  <c r="Z256" i="9" s="1"/>
  <c r="X256" i="9" a="1"/>
  <c r="X256" i="9" s="1"/>
  <c r="AB256" i="9" a="1"/>
  <c r="AB256" i="9" s="1"/>
  <c r="AA256" i="9" a="1"/>
  <c r="AA256" i="9" s="1"/>
  <c r="T256" i="9" a="1"/>
  <c r="T256" i="9" s="1"/>
  <c r="T158" i="9" a="1"/>
  <c r="T158" i="9" s="1"/>
  <c r="W158" i="9" a="1"/>
  <c r="W158" i="9" s="1"/>
  <c r="V158" i="9" a="1"/>
  <c r="V158" i="9" s="1"/>
  <c r="S158" i="9" a="1"/>
  <c r="S158" i="9" s="1"/>
  <c r="AB158" i="9" a="1"/>
  <c r="AB158" i="9" s="1"/>
  <c r="X158" i="9" a="1"/>
  <c r="X158" i="9" s="1"/>
  <c r="Y158" i="9" a="1"/>
  <c r="Y158" i="9" s="1"/>
  <c r="AA158" i="9" a="1"/>
  <c r="AA158" i="9" s="1"/>
  <c r="Z158" i="9" a="1"/>
  <c r="Z158" i="9" s="1"/>
  <c r="T143" i="9" a="1"/>
  <c r="T143" i="9" s="1"/>
  <c r="W143" i="9" a="1"/>
  <c r="W143" i="9" s="1"/>
  <c r="Z143" i="9" a="1"/>
  <c r="Z143" i="9" s="1"/>
  <c r="AA143" i="9" a="1"/>
  <c r="AA143" i="9" s="1"/>
  <c r="S143" i="9" a="1"/>
  <c r="S143" i="9" s="1"/>
  <c r="V143" i="9" a="1"/>
  <c r="V143" i="9" s="1"/>
  <c r="Y143" i="9" a="1"/>
  <c r="Y143" i="9" s="1"/>
  <c r="X143" i="9" a="1"/>
  <c r="X143" i="9" s="1"/>
  <c r="AB143" i="9" a="1"/>
  <c r="AB143" i="9" s="1"/>
  <c r="T193" i="9" a="1"/>
  <c r="T193" i="9" s="1"/>
  <c r="V193" i="9" a="1"/>
  <c r="V193" i="9" s="1"/>
  <c r="W193" i="9" a="1"/>
  <c r="W193" i="9" s="1"/>
  <c r="S193" i="9" a="1"/>
  <c r="S193" i="9" s="1"/>
  <c r="Y193" i="9" a="1"/>
  <c r="Y193" i="9" s="1"/>
  <c r="AA193" i="9" a="1"/>
  <c r="AA193" i="9" s="1"/>
  <c r="Z193" i="9" a="1"/>
  <c r="Z193" i="9" s="1"/>
  <c r="X193" i="9" a="1"/>
  <c r="X193" i="9" s="1"/>
  <c r="AB193" i="9" a="1"/>
  <c r="AB193" i="9" s="1"/>
  <c r="S241" i="9" a="1"/>
  <c r="S241" i="9" s="1"/>
  <c r="T241" i="9" a="1"/>
  <c r="T241" i="9" s="1"/>
  <c r="AA241" i="9" a="1"/>
  <c r="AA241" i="9" s="1"/>
  <c r="Y241" i="9" a="1"/>
  <c r="Y241" i="9" s="1"/>
  <c r="Z241" i="9" a="1"/>
  <c r="Z241" i="9" s="1"/>
  <c r="AB241" i="9" a="1"/>
  <c r="AB241" i="9" s="1"/>
  <c r="V241" i="9" a="1"/>
  <c r="V241" i="9" s="1"/>
  <c r="W241" i="9" a="1"/>
  <c r="W241" i="9" s="1"/>
  <c r="X241" i="9" a="1"/>
  <c r="X241" i="9" s="1"/>
  <c r="T156" i="9" a="1"/>
  <c r="T156" i="9" s="1"/>
  <c r="AB156" i="9" a="1"/>
  <c r="AB156" i="9" s="1"/>
  <c r="AA156" i="9" a="1"/>
  <c r="AA156" i="9" s="1"/>
  <c r="W156" i="9" a="1"/>
  <c r="W156" i="9" s="1"/>
  <c r="V156" i="9" a="1"/>
  <c r="V156" i="9" s="1"/>
  <c r="Y156" i="9" a="1"/>
  <c r="Y156" i="9" s="1"/>
  <c r="S156" i="9" a="1"/>
  <c r="S156" i="9" s="1"/>
  <c r="Z156" i="9" a="1"/>
  <c r="Z156" i="9" s="1"/>
  <c r="X156" i="9" a="1"/>
  <c r="X156" i="9" s="1"/>
  <c r="T223" i="9" a="1"/>
  <c r="T223" i="9" s="1"/>
  <c r="Z223" i="9" a="1"/>
  <c r="Z223" i="9" s="1"/>
  <c r="W223" i="9" a="1"/>
  <c r="W223" i="9" s="1"/>
  <c r="AB223" i="9" a="1"/>
  <c r="AB223" i="9" s="1"/>
  <c r="S223" i="9" a="1"/>
  <c r="S223" i="9" s="1"/>
  <c r="X223" i="9" a="1"/>
  <c r="X223" i="9" s="1"/>
  <c r="AA223" i="9" a="1"/>
  <c r="AA223" i="9" s="1"/>
  <c r="Y223" i="9" a="1"/>
  <c r="Y223" i="9" s="1"/>
  <c r="V223" i="9" a="1"/>
  <c r="V223" i="9" s="1"/>
  <c r="T206" i="9" a="1"/>
  <c r="T206" i="9" s="1"/>
  <c r="Z206" i="9" a="1"/>
  <c r="Z206" i="9" s="1"/>
  <c r="AA206" i="9" a="1"/>
  <c r="AA206" i="9" s="1"/>
  <c r="V206" i="9" a="1"/>
  <c r="V206" i="9" s="1"/>
  <c r="W206" i="9" a="1"/>
  <c r="W206" i="9" s="1"/>
  <c r="S206" i="9" a="1"/>
  <c r="S206" i="9" s="1"/>
  <c r="AB206" i="9" a="1"/>
  <c r="AB206" i="9" s="1"/>
  <c r="X206" i="9" a="1"/>
  <c r="X206" i="9" s="1"/>
  <c r="Y206" i="9" a="1"/>
  <c r="Y206" i="9" s="1"/>
  <c r="S216" i="9" a="1"/>
  <c r="S216" i="9" s="1"/>
  <c r="Z216" i="9" a="1"/>
  <c r="Z216" i="9" s="1"/>
  <c r="V216" i="9" a="1"/>
  <c r="V216" i="9" s="1"/>
  <c r="Y216" i="9" a="1"/>
  <c r="Y216" i="9" s="1"/>
  <c r="X216" i="9" a="1"/>
  <c r="X216" i="9" s="1"/>
  <c r="T216" i="9" a="1"/>
  <c r="T216" i="9" s="1"/>
  <c r="AA216" i="9" a="1"/>
  <c r="AA216" i="9" s="1"/>
  <c r="W216" i="9" a="1"/>
  <c r="W216" i="9" s="1"/>
  <c r="AB216" i="9" a="1"/>
  <c r="AB216" i="9" s="1"/>
  <c r="Y239" i="9" a="1"/>
  <c r="Y239" i="9" s="1"/>
  <c r="S239" i="9" a="1"/>
  <c r="S239" i="9" s="1"/>
  <c r="AA239" i="9" a="1"/>
  <c r="AA239" i="9" s="1"/>
  <c r="AB239" i="9" a="1"/>
  <c r="AB239" i="9" s="1"/>
  <c r="T239" i="9" a="1"/>
  <c r="T239" i="9" s="1"/>
  <c r="V239" i="9" a="1"/>
  <c r="V239" i="9" s="1"/>
  <c r="W239" i="9" a="1"/>
  <c r="W239" i="9" s="1"/>
  <c r="Z239" i="9" a="1"/>
  <c r="Z239" i="9" s="1"/>
  <c r="X239" i="9" a="1"/>
  <c r="X239" i="9" s="1"/>
  <c r="T174" i="9" a="1"/>
  <c r="T174" i="9" s="1"/>
  <c r="Y174" i="9" a="1"/>
  <c r="Y174" i="9" s="1"/>
  <c r="V174" i="9" a="1"/>
  <c r="V174" i="9" s="1"/>
  <c r="X174" i="9" a="1"/>
  <c r="X174" i="9" s="1"/>
  <c r="Z174" i="9" a="1"/>
  <c r="Z174" i="9" s="1"/>
  <c r="S174" i="9" a="1"/>
  <c r="S174" i="9" s="1"/>
  <c r="AA174" i="9" a="1"/>
  <c r="AA174" i="9" s="1"/>
  <c r="AB174" i="9" a="1"/>
  <c r="AB174" i="9" s="1"/>
  <c r="W174" i="9" a="1"/>
  <c r="W174" i="9" s="1"/>
  <c r="T183" i="9" a="1"/>
  <c r="T183" i="9" s="1"/>
  <c r="AA183" i="9" a="1"/>
  <c r="AA183" i="9" s="1"/>
  <c r="S183" i="9" a="1"/>
  <c r="S183" i="9" s="1"/>
  <c r="Y183" i="9" a="1"/>
  <c r="Y183" i="9" s="1"/>
  <c r="Z183" i="9" a="1"/>
  <c r="Z183" i="9" s="1"/>
  <c r="AB183" i="9" a="1"/>
  <c r="AB183" i="9" s="1"/>
  <c r="W183" i="9" a="1"/>
  <c r="W183" i="9" s="1"/>
  <c r="V183" i="9" a="1"/>
  <c r="V183" i="9" s="1"/>
  <c r="X183" i="9" a="1"/>
  <c r="X183" i="9" s="1"/>
  <c r="T185" i="9" a="1"/>
  <c r="T185" i="9" s="1"/>
  <c r="Z185" i="9" a="1"/>
  <c r="Z185" i="9" s="1"/>
  <c r="AB185" i="9" a="1"/>
  <c r="AB185" i="9" s="1"/>
  <c r="S185" i="9" a="1"/>
  <c r="S185" i="9" s="1"/>
  <c r="Y185" i="9" a="1"/>
  <c r="Y185" i="9" s="1"/>
  <c r="X185" i="9" a="1"/>
  <c r="X185" i="9" s="1"/>
  <c r="AA185" i="9" a="1"/>
  <c r="AA185" i="9" s="1"/>
  <c r="W185" i="9" a="1"/>
  <c r="W185" i="9" s="1"/>
  <c r="V185" i="9" a="1"/>
  <c r="V185" i="9" s="1"/>
  <c r="T126" i="9" a="1"/>
  <c r="T126" i="9" s="1"/>
  <c r="AB126" i="9" a="1"/>
  <c r="AB126" i="9" s="1"/>
  <c r="X126" i="9" a="1"/>
  <c r="X126" i="9" s="1"/>
  <c r="Y126" i="9" a="1"/>
  <c r="Y126" i="9" s="1"/>
  <c r="AA126" i="9" a="1"/>
  <c r="AA126" i="9" s="1"/>
  <c r="S126" i="9" a="1"/>
  <c r="S126" i="9" s="1"/>
  <c r="V126" i="9" a="1"/>
  <c r="V126" i="9" s="1"/>
  <c r="Z126" i="9" a="1"/>
  <c r="Z126" i="9" s="1"/>
  <c r="W126" i="9" a="1"/>
  <c r="W126" i="9" s="1"/>
  <c r="T173" i="9" a="1"/>
  <c r="T173" i="9" s="1"/>
  <c r="X173" i="9" a="1"/>
  <c r="X173" i="9" s="1"/>
  <c r="AB173" i="9" a="1"/>
  <c r="AB173" i="9" s="1"/>
  <c r="W173" i="9" a="1"/>
  <c r="W173" i="9" s="1"/>
  <c r="Y173" i="9" a="1"/>
  <c r="Y173" i="9" s="1"/>
  <c r="Z173" i="9" a="1"/>
  <c r="Z173" i="9" s="1"/>
  <c r="V173" i="9" a="1"/>
  <c r="V173" i="9" s="1"/>
  <c r="S173" i="9" a="1"/>
  <c r="S173" i="9" s="1"/>
  <c r="AA173" i="9" a="1"/>
  <c r="AA173" i="9" s="1"/>
  <c r="T203" i="9" a="1"/>
  <c r="T203" i="9" s="1"/>
  <c r="AB203" i="9" a="1"/>
  <c r="AB203" i="9" s="1"/>
  <c r="S203" i="9" a="1"/>
  <c r="S203" i="9" s="1"/>
  <c r="X203" i="9" a="1"/>
  <c r="X203" i="9" s="1"/>
  <c r="Y203" i="9" a="1"/>
  <c r="Y203" i="9" s="1"/>
  <c r="V203" i="9" a="1"/>
  <c r="V203" i="9" s="1"/>
  <c r="AA203" i="9" a="1"/>
  <c r="AA203" i="9" s="1"/>
  <c r="Z203" i="9" a="1"/>
  <c r="Z203" i="9" s="1"/>
  <c r="W203" i="9" a="1"/>
  <c r="W203" i="9" s="1"/>
  <c r="W244" i="9" a="1"/>
  <c r="W244" i="9" s="1"/>
  <c r="Z244" i="9" a="1"/>
  <c r="Z244" i="9" s="1"/>
  <c r="AA244" i="9" a="1"/>
  <c r="AA244" i="9" s="1"/>
  <c r="V244" i="9" a="1"/>
  <c r="V244" i="9" s="1"/>
  <c r="Y244" i="9" a="1"/>
  <c r="Y244" i="9" s="1"/>
  <c r="X244" i="9" a="1"/>
  <c r="X244" i="9" s="1"/>
  <c r="AB244" i="9" a="1"/>
  <c r="AB244" i="9" s="1"/>
  <c r="T244" i="9" a="1"/>
  <c r="T244" i="9" s="1"/>
  <c r="S244" i="9" a="1"/>
  <c r="S244" i="9" s="1"/>
  <c r="T151" i="9" a="1"/>
  <c r="T151" i="9" s="1"/>
  <c r="S151" i="9" a="1"/>
  <c r="S151" i="9" s="1"/>
  <c r="AA151" i="9" a="1"/>
  <c r="AA151" i="9" s="1"/>
  <c r="X151" i="9" a="1"/>
  <c r="X151" i="9" s="1"/>
  <c r="AB151" i="9" a="1"/>
  <c r="AB151" i="9" s="1"/>
  <c r="V151" i="9" a="1"/>
  <c r="V151" i="9" s="1"/>
  <c r="Z151" i="9" a="1"/>
  <c r="Z151" i="9" s="1"/>
  <c r="W151" i="9" a="1"/>
  <c r="W151" i="9" s="1"/>
  <c r="Y151" i="9" a="1"/>
  <c r="Y151" i="9" s="1"/>
  <c r="X251" i="9" a="1"/>
  <c r="X251" i="9" s="1"/>
  <c r="V251" i="9" a="1"/>
  <c r="V251" i="9" s="1"/>
  <c r="Y251" i="9" a="1"/>
  <c r="Y251" i="9" s="1"/>
  <c r="Z251" i="9" a="1"/>
  <c r="Z251" i="9" s="1"/>
  <c r="S251" i="9" a="1"/>
  <c r="S251" i="9" s="1"/>
  <c r="AA251" i="9" a="1"/>
  <c r="AA251" i="9" s="1"/>
  <c r="AB251" i="9" a="1"/>
  <c r="AB251" i="9" s="1"/>
  <c r="W251" i="9" a="1"/>
  <c r="W251" i="9" s="1"/>
  <c r="T251" i="9" a="1"/>
  <c r="T251" i="9" s="1"/>
  <c r="T197" i="9" a="1"/>
  <c r="T197" i="9" s="1"/>
  <c r="W197" i="9" a="1"/>
  <c r="W197" i="9" s="1"/>
  <c r="X197" i="9" a="1"/>
  <c r="X197" i="9" s="1"/>
  <c r="Y197" i="9" a="1"/>
  <c r="Y197" i="9" s="1"/>
  <c r="Z197" i="9" a="1"/>
  <c r="Z197" i="9" s="1"/>
  <c r="AB197" i="9" a="1"/>
  <c r="AB197" i="9" s="1"/>
  <c r="S197" i="9" a="1"/>
  <c r="S197" i="9" s="1"/>
  <c r="V197" i="9" a="1"/>
  <c r="V197" i="9" s="1"/>
  <c r="AA197" i="9" a="1"/>
  <c r="AA197" i="9" s="1"/>
  <c r="T106" i="9" a="1"/>
  <c r="T106" i="9" s="1"/>
  <c r="AA106" i="9" a="1"/>
  <c r="AA106" i="9" s="1"/>
  <c r="V106" i="9" a="1"/>
  <c r="V106" i="9" s="1"/>
  <c r="AB106" i="9" a="1"/>
  <c r="AB106" i="9" s="1"/>
  <c r="W106" i="9" a="1"/>
  <c r="W106" i="9" s="1"/>
  <c r="X106" i="9" a="1"/>
  <c r="X106" i="9" s="1"/>
  <c r="S106" i="9" a="1"/>
  <c r="S106" i="9" s="1"/>
  <c r="Y106" i="9" a="1"/>
  <c r="Y106" i="9" s="1"/>
  <c r="Z106" i="9" a="1"/>
  <c r="Z106" i="9" s="1"/>
  <c r="T153" i="9" a="1"/>
  <c r="T153" i="9" s="1"/>
  <c r="X153" i="9" a="1"/>
  <c r="X153" i="9" s="1"/>
  <c r="V153" i="9" a="1"/>
  <c r="V153" i="9" s="1"/>
  <c r="AB153" i="9" a="1"/>
  <c r="AB153" i="9" s="1"/>
  <c r="Z153" i="9" a="1"/>
  <c r="Z153" i="9" s="1"/>
  <c r="W153" i="9" a="1"/>
  <c r="W153" i="9" s="1"/>
  <c r="Y153" i="9" a="1"/>
  <c r="Y153" i="9" s="1"/>
  <c r="S153" i="9" a="1"/>
  <c r="S153" i="9" s="1"/>
  <c r="AA153" i="9" a="1"/>
  <c r="AA153" i="9" s="1"/>
  <c r="AA246" i="9" a="1"/>
  <c r="AA246" i="9" s="1"/>
  <c r="V246" i="9" a="1"/>
  <c r="V246" i="9" s="1"/>
  <c r="S246" i="9" a="1"/>
  <c r="S246" i="9" s="1"/>
  <c r="W246" i="9" a="1"/>
  <c r="W246" i="9" s="1"/>
  <c r="X246" i="9" a="1"/>
  <c r="X246" i="9" s="1"/>
  <c r="AB246" i="9" a="1"/>
  <c r="AB246" i="9" s="1"/>
  <c r="Z246" i="9" a="1"/>
  <c r="Z246" i="9" s="1"/>
  <c r="Y246" i="9" a="1"/>
  <c r="Y246" i="9" s="1"/>
  <c r="T246" i="9" a="1"/>
  <c r="T246" i="9" s="1"/>
  <c r="T140" i="9" a="1"/>
  <c r="T140" i="9" s="1"/>
  <c r="Y140" i="9" a="1"/>
  <c r="Y140" i="9" s="1"/>
  <c r="AA140" i="9" a="1"/>
  <c r="AA140" i="9" s="1"/>
  <c r="V140" i="9" a="1"/>
  <c r="V140" i="9" s="1"/>
  <c r="Z140" i="9" a="1"/>
  <c r="Z140" i="9" s="1"/>
  <c r="S140" i="9" a="1"/>
  <c r="S140" i="9" s="1"/>
  <c r="X140" i="9" a="1"/>
  <c r="X140" i="9" s="1"/>
  <c r="AB140" i="9" a="1"/>
  <c r="AB140" i="9" s="1"/>
  <c r="W140" i="9" a="1"/>
  <c r="W140" i="9" s="1"/>
  <c r="T169" i="9" a="1"/>
  <c r="T169" i="9" s="1"/>
  <c r="AA169" i="9" a="1"/>
  <c r="AA169" i="9" s="1"/>
  <c r="X169" i="9" a="1"/>
  <c r="X169" i="9" s="1"/>
  <c r="Y169" i="9" a="1"/>
  <c r="Y169" i="9" s="1"/>
  <c r="Z169" i="9" a="1"/>
  <c r="Z169" i="9" s="1"/>
  <c r="V169" i="9" a="1"/>
  <c r="V169" i="9" s="1"/>
  <c r="S169" i="9" a="1"/>
  <c r="S169" i="9" s="1"/>
  <c r="W169" i="9" a="1"/>
  <c r="W169" i="9" s="1"/>
  <c r="AB169" i="9" a="1"/>
  <c r="AB169" i="9" s="1"/>
  <c r="T120" i="9" a="1"/>
  <c r="T120" i="9" s="1"/>
  <c r="Z120" i="9" a="1"/>
  <c r="Z120" i="9" s="1"/>
  <c r="AB120" i="9" a="1"/>
  <c r="AB120" i="9" s="1"/>
  <c r="S120" i="9" a="1"/>
  <c r="S120" i="9" s="1"/>
  <c r="Y120" i="9" a="1"/>
  <c r="Y120" i="9" s="1"/>
  <c r="X120" i="9" a="1"/>
  <c r="X120" i="9" s="1"/>
  <c r="W120" i="9" a="1"/>
  <c r="W120" i="9" s="1"/>
  <c r="V120" i="9" a="1"/>
  <c r="V120" i="9" s="1"/>
  <c r="AA120" i="9" a="1"/>
  <c r="AA120" i="9" s="1"/>
  <c r="T147" i="9" a="1"/>
  <c r="T147" i="9" s="1"/>
  <c r="AB147" i="9" a="1"/>
  <c r="AB147" i="9" s="1"/>
  <c r="V147" i="9" a="1"/>
  <c r="V147" i="9" s="1"/>
  <c r="X147" i="9" a="1"/>
  <c r="X147" i="9" s="1"/>
  <c r="Z147" i="9" a="1"/>
  <c r="Z147" i="9" s="1"/>
  <c r="AA147" i="9" a="1"/>
  <c r="AA147" i="9" s="1"/>
  <c r="W147" i="9" a="1"/>
  <c r="W147" i="9" s="1"/>
  <c r="S147" i="9" a="1"/>
  <c r="S147" i="9" s="1"/>
  <c r="Y147" i="9" a="1"/>
  <c r="Y147" i="9" s="1"/>
  <c r="T164" i="9" a="1"/>
  <c r="T164" i="9" s="1"/>
  <c r="V164" i="9" a="1"/>
  <c r="V164" i="9" s="1"/>
  <c r="X164" i="9" a="1"/>
  <c r="X164" i="9" s="1"/>
  <c r="S164" i="9" a="1"/>
  <c r="S164" i="9" s="1"/>
  <c r="AA164" i="9" a="1"/>
  <c r="AA164" i="9" s="1"/>
  <c r="Y164" i="9" a="1"/>
  <c r="Y164" i="9" s="1"/>
  <c r="Z164" i="9" a="1"/>
  <c r="Z164" i="9" s="1"/>
  <c r="W164" i="9" a="1"/>
  <c r="W164" i="9" s="1"/>
  <c r="AB164" i="9" a="1"/>
  <c r="AB164" i="9" s="1"/>
  <c r="T157" i="9" a="1"/>
  <c r="T157" i="9" s="1"/>
  <c r="V157" i="9" a="1"/>
  <c r="V157" i="9" s="1"/>
  <c r="AB157" i="9" a="1"/>
  <c r="AB157" i="9" s="1"/>
  <c r="Y157" i="9" a="1"/>
  <c r="Y157" i="9" s="1"/>
  <c r="Z157" i="9" a="1"/>
  <c r="Z157" i="9" s="1"/>
  <c r="X157" i="9" a="1"/>
  <c r="X157" i="9" s="1"/>
  <c r="AA157" i="9" a="1"/>
  <c r="AA157" i="9" s="1"/>
  <c r="W157" i="9" a="1"/>
  <c r="W157" i="9" s="1"/>
  <c r="S157" i="9" a="1"/>
  <c r="S157" i="9" s="1"/>
  <c r="Z243" i="9" a="1"/>
  <c r="Z243" i="9" s="1"/>
  <c r="W243" i="9" a="1"/>
  <c r="W243" i="9" s="1"/>
  <c r="X243" i="9" a="1"/>
  <c r="X243" i="9" s="1"/>
  <c r="S243" i="9" a="1"/>
  <c r="S243" i="9" s="1"/>
  <c r="Y243" i="9" a="1"/>
  <c r="Y243" i="9" s="1"/>
  <c r="AA243" i="9" a="1"/>
  <c r="AA243" i="9" s="1"/>
  <c r="T243" i="9" a="1"/>
  <c r="T243" i="9" s="1"/>
  <c r="V243" i="9" a="1"/>
  <c r="V243" i="9" s="1"/>
  <c r="AB243" i="9" a="1"/>
  <c r="AB243" i="9" s="1"/>
  <c r="T194" i="9" a="1"/>
  <c r="T194" i="9" s="1"/>
  <c r="Y194" i="9" a="1"/>
  <c r="Y194" i="9" s="1"/>
  <c r="AA194" i="9" a="1"/>
  <c r="AA194" i="9" s="1"/>
  <c r="S194" i="9" a="1"/>
  <c r="S194" i="9" s="1"/>
  <c r="X194" i="9" a="1"/>
  <c r="X194" i="9" s="1"/>
  <c r="Z194" i="9" a="1"/>
  <c r="Z194" i="9" s="1"/>
  <c r="AB194" i="9" a="1"/>
  <c r="AB194" i="9" s="1"/>
  <c r="V194" i="9" a="1"/>
  <c r="V194" i="9" s="1"/>
  <c r="W194" i="9" a="1"/>
  <c r="W194" i="9" s="1"/>
  <c r="W222" i="9" a="1"/>
  <c r="W222" i="9" s="1"/>
  <c r="Z222" i="9" a="1"/>
  <c r="Z222" i="9" s="1"/>
  <c r="AA222" i="9" a="1"/>
  <c r="AA222" i="9" s="1"/>
  <c r="S222" i="9" a="1"/>
  <c r="S222" i="9" s="1"/>
  <c r="AB222" i="9" a="1"/>
  <c r="AB222" i="9" s="1"/>
  <c r="X222" i="9" a="1"/>
  <c r="X222" i="9" s="1"/>
  <c r="T222" i="9" a="1"/>
  <c r="T222" i="9" s="1"/>
  <c r="Y222" i="9" a="1"/>
  <c r="Y222" i="9" s="1"/>
  <c r="V222" i="9" a="1"/>
  <c r="V222" i="9" s="1"/>
  <c r="Y236" i="9" a="1"/>
  <c r="Y236" i="9" s="1"/>
  <c r="Z236" i="9" a="1"/>
  <c r="Z236" i="9" s="1"/>
  <c r="T236" i="9" a="1"/>
  <c r="T236" i="9" s="1"/>
  <c r="S236" i="9" a="1"/>
  <c r="S236" i="9" s="1"/>
  <c r="AA236" i="9" a="1"/>
  <c r="AA236" i="9" s="1"/>
  <c r="X236" i="9" a="1"/>
  <c r="X236" i="9" s="1"/>
  <c r="V236" i="9" a="1"/>
  <c r="V236" i="9" s="1"/>
  <c r="AB236" i="9" a="1"/>
  <c r="AB236" i="9" s="1"/>
  <c r="W236" i="9" a="1"/>
  <c r="W236" i="9" s="1"/>
  <c r="T190" i="9" a="1"/>
  <c r="T190" i="9" s="1"/>
  <c r="Y190" i="9" a="1"/>
  <c r="Y190" i="9" s="1"/>
  <c r="X190" i="9" a="1"/>
  <c r="X190" i="9" s="1"/>
  <c r="Z190" i="9" a="1"/>
  <c r="Z190" i="9" s="1"/>
  <c r="AA190" i="9" a="1"/>
  <c r="AA190" i="9" s="1"/>
  <c r="W190" i="9" a="1"/>
  <c r="W190" i="9" s="1"/>
  <c r="AB190" i="9" a="1"/>
  <c r="AB190" i="9" s="1"/>
  <c r="S190" i="9" a="1"/>
  <c r="S190" i="9" s="1"/>
  <c r="V190" i="9" a="1"/>
  <c r="V190" i="9" s="1"/>
  <c r="T97" i="9" a="1"/>
  <c r="T97" i="9" s="1"/>
  <c r="AB97" i="9" a="1"/>
  <c r="AB97" i="9" s="1"/>
  <c r="V97" i="9" a="1"/>
  <c r="V97" i="9" s="1"/>
  <c r="W97" i="9" a="1"/>
  <c r="W97" i="9" s="1"/>
  <c r="Y97" i="9" a="1"/>
  <c r="Y97" i="9" s="1"/>
  <c r="Z97" i="9" a="1"/>
  <c r="Z97" i="9" s="1"/>
  <c r="S97" i="9" a="1"/>
  <c r="S97" i="9" s="1"/>
  <c r="AA97" i="9" a="1"/>
  <c r="AA97" i="9" s="1"/>
  <c r="X97" i="9" a="1"/>
  <c r="X97" i="9" s="1"/>
  <c r="T117" i="9" a="1"/>
  <c r="T117" i="9" s="1"/>
  <c r="AA117" i="9" a="1"/>
  <c r="AA117" i="9" s="1"/>
  <c r="W117" i="9" a="1"/>
  <c r="W117" i="9" s="1"/>
  <c r="X117" i="9" a="1"/>
  <c r="X117" i="9" s="1"/>
  <c r="AB117" i="9" a="1"/>
  <c r="AB117" i="9" s="1"/>
  <c r="S117" i="9" a="1"/>
  <c r="S117" i="9" s="1"/>
  <c r="Y117" i="9" a="1"/>
  <c r="Y117" i="9" s="1"/>
  <c r="Z117" i="9" a="1"/>
  <c r="Z117" i="9" s="1"/>
  <c r="V117" i="9" a="1"/>
  <c r="V117" i="9" s="1"/>
  <c r="T250" i="9" a="1"/>
  <c r="T250" i="9" s="1"/>
  <c r="AA250" i="9" a="1"/>
  <c r="AA250" i="9" s="1"/>
  <c r="S250" i="9" a="1"/>
  <c r="S250" i="9" s="1"/>
  <c r="V250" i="9" a="1"/>
  <c r="V250" i="9" s="1"/>
  <c r="AB250" i="9" a="1"/>
  <c r="AB250" i="9" s="1"/>
  <c r="X250" i="9" a="1"/>
  <c r="X250" i="9" s="1"/>
  <c r="W250" i="9" a="1"/>
  <c r="W250" i="9" s="1"/>
  <c r="Y250" i="9" a="1"/>
  <c r="Y250" i="9" s="1"/>
  <c r="Z250" i="9" a="1"/>
  <c r="Z250" i="9" s="1"/>
  <c r="T114" i="9" a="1"/>
  <c r="T114" i="9" s="1"/>
  <c r="X114" i="9" a="1"/>
  <c r="X114" i="9" s="1"/>
  <c r="S114" i="9" a="1"/>
  <c r="S114" i="9" s="1"/>
  <c r="Y114" i="9" a="1"/>
  <c r="Y114" i="9" s="1"/>
  <c r="V114" i="9" a="1"/>
  <c r="V114" i="9" s="1"/>
  <c r="Z114" i="9" a="1"/>
  <c r="Z114" i="9" s="1"/>
  <c r="AA114" i="9" a="1"/>
  <c r="AA114" i="9" s="1"/>
  <c r="W114" i="9" a="1"/>
  <c r="W114" i="9" s="1"/>
  <c r="AB114" i="9" a="1"/>
  <c r="AB114" i="9" s="1"/>
  <c r="T112" i="9" a="1"/>
  <c r="T112" i="9" s="1"/>
  <c r="AB112" i="9" a="1"/>
  <c r="AB112" i="9" s="1"/>
  <c r="S112" i="9" a="1"/>
  <c r="S112" i="9" s="1"/>
  <c r="Y112" i="9" a="1"/>
  <c r="Y112" i="9" s="1"/>
  <c r="Z112" i="9" a="1"/>
  <c r="Z112" i="9" s="1"/>
  <c r="V112" i="9" a="1"/>
  <c r="V112" i="9" s="1"/>
  <c r="AA112" i="9" a="1"/>
  <c r="AA112" i="9" s="1"/>
  <c r="W112" i="9" a="1"/>
  <c r="W112" i="9" s="1"/>
  <c r="X112" i="9" a="1"/>
  <c r="X112" i="9" s="1"/>
  <c r="T198" i="9" a="1"/>
  <c r="T198" i="9" s="1"/>
  <c r="Y198" i="9" a="1"/>
  <c r="Y198" i="9" s="1"/>
  <c r="S198" i="9" a="1"/>
  <c r="S198" i="9" s="1"/>
  <c r="V198" i="9" a="1"/>
  <c r="V198" i="9" s="1"/>
  <c r="Z198" i="9" a="1"/>
  <c r="Z198" i="9" s="1"/>
  <c r="AB198" i="9" a="1"/>
  <c r="AB198" i="9" s="1"/>
  <c r="W198" i="9" a="1"/>
  <c r="W198" i="9" s="1"/>
  <c r="AA198" i="9" a="1"/>
  <c r="AA198" i="9" s="1"/>
  <c r="X198" i="9" a="1"/>
  <c r="X198" i="9" s="1"/>
  <c r="T80" i="9" a="1"/>
  <c r="T80" i="9" s="1"/>
  <c r="AB80" i="9" a="1"/>
  <c r="AB80" i="9" s="1"/>
  <c r="Y80" i="9" a="1"/>
  <c r="Y80" i="9" s="1"/>
  <c r="AA80" i="9" a="1"/>
  <c r="AA80" i="9" s="1"/>
  <c r="V80" i="9" a="1"/>
  <c r="V80" i="9" s="1"/>
  <c r="W80" i="9" a="1"/>
  <c r="W80" i="9" s="1"/>
  <c r="Z80" i="9" a="1"/>
  <c r="Z80" i="9" s="1"/>
  <c r="S80" i="9" a="1"/>
  <c r="S80" i="9" s="1"/>
  <c r="X80" i="9" a="1"/>
  <c r="X80" i="9" s="1"/>
  <c r="T204" i="9" a="1"/>
  <c r="T204" i="9" s="1"/>
  <c r="AA204" i="9" a="1"/>
  <c r="AA204" i="9" s="1"/>
  <c r="W204" i="9" a="1"/>
  <c r="W204" i="9" s="1"/>
  <c r="S204" i="9" a="1"/>
  <c r="S204" i="9" s="1"/>
  <c r="V204" i="9" a="1"/>
  <c r="V204" i="9" s="1"/>
  <c r="X204" i="9" a="1"/>
  <c r="X204" i="9" s="1"/>
  <c r="AB204" i="9" a="1"/>
  <c r="AB204" i="9" s="1"/>
  <c r="Y204" i="9" a="1"/>
  <c r="Y204" i="9" s="1"/>
  <c r="Z204" i="9" a="1"/>
  <c r="Z204" i="9" s="1"/>
  <c r="T195" i="9" a="1"/>
  <c r="T195" i="9" s="1"/>
  <c r="S195" i="9" a="1"/>
  <c r="S195" i="9" s="1"/>
  <c r="X195" i="9" a="1"/>
  <c r="X195" i="9" s="1"/>
  <c r="AA195" i="9" a="1"/>
  <c r="AA195" i="9" s="1"/>
  <c r="Y195" i="9" a="1"/>
  <c r="Y195" i="9" s="1"/>
  <c r="W195" i="9" a="1"/>
  <c r="W195" i="9" s="1"/>
  <c r="V195" i="9" a="1"/>
  <c r="V195" i="9" s="1"/>
  <c r="Z195" i="9" a="1"/>
  <c r="Z195" i="9" s="1"/>
  <c r="AB195" i="9" a="1"/>
  <c r="AB195" i="9" s="1"/>
  <c r="T121" i="9" a="1"/>
  <c r="T121" i="9" s="1"/>
  <c r="W121" i="9" a="1"/>
  <c r="W121" i="9" s="1"/>
  <c r="AB121" i="9" a="1"/>
  <c r="AB121" i="9" s="1"/>
  <c r="X121" i="9" a="1"/>
  <c r="X121" i="9" s="1"/>
  <c r="S121" i="9" a="1"/>
  <c r="S121" i="9" s="1"/>
  <c r="Y121" i="9" a="1"/>
  <c r="Y121" i="9" s="1"/>
  <c r="V121" i="9" a="1"/>
  <c r="V121" i="9" s="1"/>
  <c r="Z121" i="9" a="1"/>
  <c r="Z121" i="9" s="1"/>
  <c r="AA121" i="9" a="1"/>
  <c r="AA121" i="9" s="1"/>
  <c r="W211" i="9" a="1"/>
  <c r="W211" i="9" s="1"/>
  <c r="AA211" i="9" a="1"/>
  <c r="AA211" i="9" s="1"/>
  <c r="AB211" i="9" a="1"/>
  <c r="AB211" i="9" s="1"/>
  <c r="S211" i="9" a="1"/>
  <c r="S211" i="9" s="1"/>
  <c r="Y211" i="9" a="1"/>
  <c r="Y211" i="9" s="1"/>
  <c r="T211" i="9" a="1"/>
  <c r="T211" i="9" s="1"/>
  <c r="X211" i="9" a="1"/>
  <c r="X211" i="9" s="1"/>
  <c r="Z211" i="9" a="1"/>
  <c r="Z211" i="9" s="1"/>
  <c r="V211" i="9" a="1"/>
  <c r="V211" i="9" s="1"/>
  <c r="AB237" i="9" a="1"/>
  <c r="AB237" i="9" s="1"/>
  <c r="W237" i="9" a="1"/>
  <c r="W237" i="9" s="1"/>
  <c r="V237" i="9" a="1"/>
  <c r="V237" i="9" s="1"/>
  <c r="Z237" i="9" a="1"/>
  <c r="Z237" i="9" s="1"/>
  <c r="X237" i="9" a="1"/>
  <c r="X237" i="9" s="1"/>
  <c r="Y237" i="9" a="1"/>
  <c r="Y237" i="9" s="1"/>
  <c r="S237" i="9" a="1"/>
  <c r="S237" i="9" s="1"/>
  <c r="AA237" i="9" a="1"/>
  <c r="AA237" i="9" s="1"/>
  <c r="T237" i="9" a="1"/>
  <c r="T237" i="9" s="1"/>
  <c r="T113" i="9" a="1"/>
  <c r="T113" i="9" s="1"/>
  <c r="W113" i="9" a="1"/>
  <c r="W113" i="9" s="1"/>
  <c r="AA113" i="9" a="1"/>
  <c r="AA113" i="9" s="1"/>
  <c r="Y113" i="9" a="1"/>
  <c r="Y113" i="9" s="1"/>
  <c r="Z113" i="9" a="1"/>
  <c r="Z113" i="9" s="1"/>
  <c r="V113" i="9" a="1"/>
  <c r="V113" i="9" s="1"/>
  <c r="AB113" i="9" a="1"/>
  <c r="AB113" i="9" s="1"/>
  <c r="X113" i="9" a="1"/>
  <c r="X113" i="9" s="1"/>
  <c r="S113" i="9" a="1"/>
  <c r="S113" i="9" s="1"/>
  <c r="V257" i="9" a="1"/>
  <c r="V257" i="9" s="1"/>
  <c r="S257" i="9" a="1"/>
  <c r="S257" i="9" s="1"/>
  <c r="Y257" i="9" a="1"/>
  <c r="Y257" i="9" s="1"/>
  <c r="T257" i="9" a="1"/>
  <c r="T257" i="9" s="1"/>
  <c r="AB257" i="9" a="1"/>
  <c r="AB257" i="9" s="1"/>
  <c r="Z257" i="9" a="1"/>
  <c r="Z257" i="9" s="1"/>
  <c r="X257" i="9" a="1"/>
  <c r="X257" i="9" s="1"/>
  <c r="AA257" i="9" a="1"/>
  <c r="AA257" i="9" s="1"/>
  <c r="W257" i="9" a="1"/>
  <c r="W257" i="9" s="1"/>
  <c r="T187" i="9" a="1"/>
  <c r="T187" i="9" s="1"/>
  <c r="Y187" i="9" a="1"/>
  <c r="Y187" i="9" s="1"/>
  <c r="X187" i="9" a="1"/>
  <c r="X187" i="9" s="1"/>
  <c r="V187" i="9" a="1"/>
  <c r="V187" i="9" s="1"/>
  <c r="W187" i="9" a="1"/>
  <c r="W187" i="9" s="1"/>
  <c r="AB187" i="9" a="1"/>
  <c r="AB187" i="9" s="1"/>
  <c r="Z187" i="9" a="1"/>
  <c r="Z187" i="9" s="1"/>
  <c r="S187" i="9" a="1"/>
  <c r="S187" i="9" s="1"/>
  <c r="AA187" i="9" a="1"/>
  <c r="AA187" i="9" s="1"/>
  <c r="T86" i="9" a="1"/>
  <c r="T86" i="9" s="1"/>
  <c r="AA86" i="9" a="1"/>
  <c r="AA86" i="9" s="1"/>
  <c r="S86" i="9" a="1"/>
  <c r="S86" i="9" s="1"/>
  <c r="X86" i="9" a="1"/>
  <c r="X86" i="9" s="1"/>
  <c r="AB86" i="9" a="1"/>
  <c r="AB86" i="9" s="1"/>
  <c r="Y86" i="9" a="1"/>
  <c r="Y86" i="9" s="1"/>
  <c r="Z86" i="9" a="1"/>
  <c r="Z86" i="9" s="1"/>
  <c r="V86" i="9" a="1"/>
  <c r="V86" i="9" s="1"/>
  <c r="W86" i="9" a="1"/>
  <c r="W86" i="9" s="1"/>
  <c r="Y252" i="9" a="1"/>
  <c r="Y252" i="9" s="1"/>
  <c r="Z252" i="9" a="1"/>
  <c r="Z252" i="9" s="1"/>
  <c r="V252" i="9" a="1"/>
  <c r="V252" i="9" s="1"/>
  <c r="S252" i="9" a="1"/>
  <c r="S252" i="9" s="1"/>
  <c r="AA252" i="9" a="1"/>
  <c r="AA252" i="9" s="1"/>
  <c r="AB252" i="9" a="1"/>
  <c r="AB252" i="9" s="1"/>
  <c r="T252" i="9" a="1"/>
  <c r="T252" i="9" s="1"/>
  <c r="X252" i="9" a="1"/>
  <c r="X252" i="9" s="1"/>
  <c r="W252" i="9" a="1"/>
  <c r="W252" i="9" s="1"/>
  <c r="T191" i="9" a="1"/>
  <c r="T191" i="9" s="1"/>
  <c r="X191" i="9" a="1"/>
  <c r="X191" i="9" s="1"/>
  <c r="AB191" i="9" a="1"/>
  <c r="AB191" i="9" s="1"/>
  <c r="V191" i="9" a="1"/>
  <c r="V191" i="9" s="1"/>
  <c r="AA191" i="9" a="1"/>
  <c r="AA191" i="9" s="1"/>
  <c r="Z191" i="9" a="1"/>
  <c r="Z191" i="9" s="1"/>
  <c r="Y191" i="9" a="1"/>
  <c r="Y191" i="9" s="1"/>
  <c r="W191" i="9" a="1"/>
  <c r="W191" i="9" s="1"/>
  <c r="S191" i="9" a="1"/>
  <c r="S191" i="9" s="1"/>
  <c r="T110" i="9" a="1"/>
  <c r="T110" i="9" s="1"/>
  <c r="Y110" i="9" a="1"/>
  <c r="Y110" i="9" s="1"/>
  <c r="AA110" i="9" a="1"/>
  <c r="AA110" i="9" s="1"/>
  <c r="Z110" i="9" a="1"/>
  <c r="Z110" i="9" s="1"/>
  <c r="V110" i="9" a="1"/>
  <c r="V110" i="9" s="1"/>
  <c r="X110" i="9" a="1"/>
  <c r="X110" i="9" s="1"/>
  <c r="W110" i="9" a="1"/>
  <c r="W110" i="9" s="1"/>
  <c r="AB110" i="9" a="1"/>
  <c r="AB110" i="9" s="1"/>
  <c r="S110" i="9" a="1"/>
  <c r="S110" i="9" s="1"/>
  <c r="T201" i="9" a="1"/>
  <c r="T201" i="9" s="1"/>
  <c r="W201" i="9" a="1"/>
  <c r="W201" i="9" s="1"/>
  <c r="AB201" i="9" a="1"/>
  <c r="AB201" i="9" s="1"/>
  <c r="X201" i="9" a="1"/>
  <c r="X201" i="9" s="1"/>
  <c r="Y201" i="9" a="1"/>
  <c r="Y201" i="9" s="1"/>
  <c r="Z201" i="9" a="1"/>
  <c r="Z201" i="9" s="1"/>
  <c r="V201" i="9" a="1"/>
  <c r="V201" i="9" s="1"/>
  <c r="S201" i="9" a="1"/>
  <c r="S201" i="9" s="1"/>
  <c r="AA201" i="9" a="1"/>
  <c r="AA201" i="9" s="1"/>
  <c r="T175" i="9" a="1"/>
  <c r="T175" i="9" s="1"/>
  <c r="S175" i="9" a="1"/>
  <c r="S175" i="9" s="1"/>
  <c r="X175" i="9" a="1"/>
  <c r="X175" i="9" s="1"/>
  <c r="Y175" i="9" a="1"/>
  <c r="Y175" i="9" s="1"/>
  <c r="Z175" i="9" a="1"/>
  <c r="Z175" i="9" s="1"/>
  <c r="AA175" i="9" a="1"/>
  <c r="AA175" i="9" s="1"/>
  <c r="V175" i="9" a="1"/>
  <c r="V175" i="9" s="1"/>
  <c r="AB175" i="9" a="1"/>
  <c r="AB175" i="9" s="1"/>
  <c r="W175" i="9" a="1"/>
  <c r="W175" i="9" s="1"/>
  <c r="T188" i="9" a="1"/>
  <c r="T188" i="9" s="1"/>
  <c r="X188" i="9" a="1"/>
  <c r="X188" i="9" s="1"/>
  <c r="Z188" i="9" a="1"/>
  <c r="Z188" i="9" s="1"/>
  <c r="V188" i="9" a="1"/>
  <c r="V188" i="9" s="1"/>
  <c r="AA188" i="9" a="1"/>
  <c r="AA188" i="9" s="1"/>
  <c r="W188" i="9" a="1"/>
  <c r="W188" i="9" s="1"/>
  <c r="AB188" i="9" a="1"/>
  <c r="AB188" i="9" s="1"/>
  <c r="S188" i="9" a="1"/>
  <c r="S188" i="9" s="1"/>
  <c r="Y188" i="9" a="1"/>
  <c r="Y188" i="9" s="1"/>
  <c r="T189" i="9" a="1"/>
  <c r="T189" i="9" s="1"/>
  <c r="AB189" i="9" a="1"/>
  <c r="AB189" i="9" s="1"/>
  <c r="X189" i="9" a="1"/>
  <c r="X189" i="9" s="1"/>
  <c r="Y189" i="9" a="1"/>
  <c r="Y189" i="9" s="1"/>
  <c r="S189" i="9" a="1"/>
  <c r="S189" i="9" s="1"/>
  <c r="W189" i="9" a="1"/>
  <c r="W189" i="9" s="1"/>
  <c r="Z189" i="9" a="1"/>
  <c r="Z189" i="9" s="1"/>
  <c r="V189" i="9" a="1"/>
  <c r="V189" i="9" s="1"/>
  <c r="AA189" i="9" a="1"/>
  <c r="AA189" i="9" s="1"/>
  <c r="T116" i="9" a="1"/>
  <c r="T116" i="9" s="1"/>
  <c r="W116" i="9" a="1"/>
  <c r="W116" i="9" s="1"/>
  <c r="AB116" i="9" a="1"/>
  <c r="AB116" i="9" s="1"/>
  <c r="X116" i="9" a="1"/>
  <c r="X116" i="9" s="1"/>
  <c r="Y116" i="9" a="1"/>
  <c r="Y116" i="9" s="1"/>
  <c r="S116" i="9" a="1"/>
  <c r="S116" i="9" s="1"/>
  <c r="Z116" i="9" a="1"/>
  <c r="Z116" i="9" s="1"/>
  <c r="V116" i="9" a="1"/>
  <c r="V116" i="9" s="1"/>
  <c r="AA116" i="9" a="1"/>
  <c r="AA116" i="9" s="1"/>
  <c r="T131" i="9" a="1"/>
  <c r="T131" i="9" s="1"/>
  <c r="V131" i="9" a="1"/>
  <c r="V131" i="9" s="1"/>
  <c r="Z131" i="9" a="1"/>
  <c r="Z131" i="9" s="1"/>
  <c r="AA131" i="9" a="1"/>
  <c r="AA131" i="9" s="1"/>
  <c r="W131" i="9" a="1"/>
  <c r="W131" i="9" s="1"/>
  <c r="AB131" i="9" a="1"/>
  <c r="AB131" i="9" s="1"/>
  <c r="X131" i="9" a="1"/>
  <c r="X131" i="9" s="1"/>
  <c r="S131" i="9" a="1"/>
  <c r="S131" i="9" s="1"/>
  <c r="Y131" i="9" a="1"/>
  <c r="Y131" i="9" s="1"/>
  <c r="T159" i="9" a="1"/>
  <c r="T159" i="9" s="1"/>
  <c r="S159" i="9" a="1"/>
  <c r="S159" i="9" s="1"/>
  <c r="W159" i="9" a="1"/>
  <c r="W159" i="9" s="1"/>
  <c r="X159" i="9" a="1"/>
  <c r="X159" i="9" s="1"/>
  <c r="Y159" i="9" a="1"/>
  <c r="Y159" i="9" s="1"/>
  <c r="Z159" i="9" a="1"/>
  <c r="Z159" i="9" s="1"/>
  <c r="AA159" i="9" a="1"/>
  <c r="AA159" i="9" s="1"/>
  <c r="AB159" i="9" a="1"/>
  <c r="AB159" i="9" s="1"/>
  <c r="V159" i="9" a="1"/>
  <c r="V159" i="9" s="1"/>
  <c r="T161" i="9" a="1"/>
  <c r="T161" i="9" s="1"/>
  <c r="W161" i="9" a="1"/>
  <c r="W161" i="9" s="1"/>
  <c r="AB161" i="9" a="1"/>
  <c r="AB161" i="9" s="1"/>
  <c r="X161" i="9" a="1"/>
  <c r="X161" i="9" s="1"/>
  <c r="S161" i="9" a="1"/>
  <c r="S161" i="9" s="1"/>
  <c r="Y161" i="9" a="1"/>
  <c r="Y161" i="9" s="1"/>
  <c r="AA161" i="9" a="1"/>
  <c r="AA161" i="9" s="1"/>
  <c r="Z161" i="9" a="1"/>
  <c r="Z161" i="9" s="1"/>
  <c r="V161" i="9" a="1"/>
  <c r="V161" i="9" s="1"/>
  <c r="Z255" i="9" a="1"/>
  <c r="Z255" i="9" s="1"/>
  <c r="Y255" i="9" a="1"/>
  <c r="Y255" i="9" s="1"/>
  <c r="X255" i="9" a="1"/>
  <c r="X255" i="9" s="1"/>
  <c r="S255" i="9" a="1"/>
  <c r="S255" i="9" s="1"/>
  <c r="AA255" i="9" a="1"/>
  <c r="AA255" i="9" s="1"/>
  <c r="T255" i="9" a="1"/>
  <c r="T255" i="9" s="1"/>
  <c r="AB255" i="9" a="1"/>
  <c r="AB255" i="9" s="1"/>
  <c r="V255" i="9" a="1"/>
  <c r="V255" i="9" s="1"/>
  <c r="W255" i="9" a="1"/>
  <c r="W255" i="9" s="1"/>
  <c r="T186" i="9" a="1"/>
  <c r="T186" i="9" s="1"/>
  <c r="X186" i="9" a="1"/>
  <c r="X186" i="9" s="1"/>
  <c r="S186" i="9" a="1"/>
  <c r="S186" i="9" s="1"/>
  <c r="Y186" i="9" a="1"/>
  <c r="Y186" i="9" s="1"/>
  <c r="Z186" i="9" a="1"/>
  <c r="Z186" i="9" s="1"/>
  <c r="V186" i="9" a="1"/>
  <c r="V186" i="9" s="1"/>
  <c r="W186" i="9" a="1"/>
  <c r="W186" i="9" s="1"/>
  <c r="AA186" i="9" a="1"/>
  <c r="AA186" i="9" s="1"/>
  <c r="AB186" i="9" a="1"/>
  <c r="AB186" i="9" s="1"/>
  <c r="T85" i="9" a="1"/>
  <c r="T85" i="9" s="1"/>
  <c r="AB85" i="9" a="1"/>
  <c r="AB85" i="9" s="1"/>
  <c r="Z85" i="9" a="1"/>
  <c r="Z85" i="9" s="1"/>
  <c r="X85" i="9" a="1"/>
  <c r="X85" i="9" s="1"/>
  <c r="S85" i="9" a="1"/>
  <c r="S85" i="9" s="1"/>
  <c r="Y85" i="9" a="1"/>
  <c r="Y85" i="9" s="1"/>
  <c r="AA85" i="9" a="1"/>
  <c r="AA85" i="9" s="1"/>
  <c r="W85" i="9" a="1"/>
  <c r="W85" i="9" s="1"/>
  <c r="V85" i="9" a="1"/>
  <c r="V85" i="9" s="1"/>
  <c r="T119" i="9" a="1"/>
  <c r="T119" i="9" s="1"/>
  <c r="Y119" i="9" a="1"/>
  <c r="Y119" i="9" s="1"/>
  <c r="Z119" i="9" a="1"/>
  <c r="Z119" i="9" s="1"/>
  <c r="V119" i="9" a="1"/>
  <c r="V119" i="9" s="1"/>
  <c r="AA119" i="9" a="1"/>
  <c r="AA119" i="9" s="1"/>
  <c r="AB119" i="9" a="1"/>
  <c r="AB119" i="9" s="1"/>
  <c r="W119" i="9" a="1"/>
  <c r="W119" i="9" s="1"/>
  <c r="X119" i="9" a="1"/>
  <c r="X119" i="9" s="1"/>
  <c r="S119" i="9" a="1"/>
  <c r="S119" i="9" s="1"/>
  <c r="T135" i="9" a="1"/>
  <c r="T135" i="9" s="1"/>
  <c r="S135" i="9" a="1"/>
  <c r="S135" i="9" s="1"/>
  <c r="Z135" i="9" a="1"/>
  <c r="Z135" i="9" s="1"/>
  <c r="AA135" i="9" a="1"/>
  <c r="AA135" i="9" s="1"/>
  <c r="AB135" i="9" a="1"/>
  <c r="AB135" i="9" s="1"/>
  <c r="W135" i="9" a="1"/>
  <c r="W135" i="9" s="1"/>
  <c r="X135" i="9" a="1"/>
  <c r="X135" i="9" s="1"/>
  <c r="V135" i="9" a="1"/>
  <c r="V135" i="9" s="1"/>
  <c r="Y135" i="9" a="1"/>
  <c r="Y135" i="9" s="1"/>
  <c r="Y233" i="9" a="1"/>
  <c r="Y233" i="9" s="1"/>
  <c r="Z233" i="9" a="1"/>
  <c r="Z233" i="9" s="1"/>
  <c r="S233" i="9" a="1"/>
  <c r="S233" i="9" s="1"/>
  <c r="AA233" i="9" a="1"/>
  <c r="AA233" i="9" s="1"/>
  <c r="T233" i="9" a="1"/>
  <c r="T233" i="9" s="1"/>
  <c r="AB233" i="9" a="1"/>
  <c r="AB233" i="9" s="1"/>
  <c r="W233" i="9" a="1"/>
  <c r="W233" i="9" s="1"/>
  <c r="V233" i="9" a="1"/>
  <c r="V233" i="9" s="1"/>
  <c r="X233" i="9" a="1"/>
  <c r="X233" i="9" s="1"/>
  <c r="AB78" i="9" a="1"/>
  <c r="V77" i="9" a="1"/>
  <c r="Y78" i="9" a="1"/>
  <c r="Z77" i="9" a="1"/>
  <c r="X78" i="9" a="1"/>
  <c r="W77" i="9" a="1"/>
  <c r="V78" i="9" a="1"/>
  <c r="Y77" i="9" a="1"/>
  <c r="W78" i="9" a="1"/>
  <c r="AA77" i="9" a="1"/>
  <c r="T78" i="9" a="1"/>
  <c r="Z78" i="9" a="1"/>
  <c r="T77" i="9" a="1"/>
  <c r="S77" i="9" a="1"/>
  <c r="AA78" i="9" a="1"/>
  <c r="X77" i="9" a="1"/>
  <c r="S78" i="9" a="1"/>
  <c r="AB77" i="9" a="1"/>
  <c r="V1" i="9" a="1"/>
  <c r="B2" i="10"/>
  <c r="C2" i="10" a="1"/>
  <c r="V2" i="9" a="1"/>
  <c r="V1" i="9" l="1"/>
  <c r="V2" i="9"/>
  <c r="C2" i="10"/>
  <c r="AB77" i="9"/>
  <c r="S78" i="9"/>
  <c r="X77" i="9"/>
  <c r="AA78" i="9"/>
  <c r="S77" i="9"/>
  <c r="T77" i="9"/>
  <c r="Z78" i="9"/>
  <c r="T78" i="9"/>
  <c r="AA77" i="9"/>
  <c r="W78" i="9"/>
  <c r="Y77" i="9"/>
  <c r="V78" i="9"/>
  <c r="W77" i="9"/>
  <c r="X78" i="9"/>
  <c r="Z77" i="9"/>
  <c r="Y78" i="9"/>
  <c r="H1" i="10"/>
  <c r="V77" i="9"/>
  <c r="AB78" i="9"/>
  <c r="C4" i="10" a="1"/>
  <c r="C1" i="10" a="1"/>
  <c r="C1" i="10" l="1"/>
  <c r="B1" i="10" s="1"/>
  <c r="C4" i="10"/>
  <c r="I2" i="10"/>
  <c r="J2" i="10" a="1"/>
  <c r="J2" i="10" l="1"/>
  <c r="A9" i="10"/>
  <c r="C3" i="10" a="1"/>
  <c r="C3" i="10" s="1"/>
  <c r="F6" i="10" a="1"/>
  <c r="J4" i="10" a="1"/>
  <c r="J1" i="10" a="1"/>
  <c r="F7" i="10" a="1"/>
  <c r="G1" i="10" a="1"/>
  <c r="C6" i="10" a="1"/>
  <c r="B6" i="10" a="1"/>
  <c r="D6" i="10" a="1"/>
  <c r="D7" i="10" a="1"/>
  <c r="F3" i="10" a="1"/>
  <c r="B7" i="10" a="1"/>
  <c r="F2" i="10" a="1"/>
  <c r="F4" i="10" a="1"/>
  <c r="F4" i="10" l="1"/>
  <c r="F2" i="10"/>
  <c r="B7" i="10"/>
  <c r="F3" i="10"/>
  <c r="D7" i="10"/>
  <c r="D6" i="10"/>
  <c r="B6" i="10"/>
  <c r="C6" i="10"/>
  <c r="G1" i="10"/>
  <c r="F7" i="10"/>
  <c r="J1" i="10"/>
  <c r="J4" i="10"/>
  <c r="F6" i="10"/>
  <c r="B10" i="10"/>
  <c r="C10" i="10" a="1"/>
  <c r="C10" i="10" l="1"/>
  <c r="H9" i="10"/>
  <c r="I1" i="10"/>
  <c r="I6" i="10" a="1"/>
  <c r="N1" i="10" a="1"/>
  <c r="C9" i="10" a="1"/>
  <c r="J3" i="10" a="1"/>
  <c r="M4" i="10" a="1"/>
  <c r="M6" i="10" a="1"/>
  <c r="K6" i="10" a="1"/>
  <c r="M7" i="10" a="1"/>
  <c r="C12" i="10" a="1"/>
  <c r="J6" i="10" a="1"/>
  <c r="M3" i="10" a="1"/>
  <c r="M2" i="10" a="1"/>
  <c r="M2" i="10" l="1"/>
  <c r="M3" i="10"/>
  <c r="J6" i="10"/>
  <c r="C12" i="10"/>
  <c r="M7" i="10"/>
  <c r="K6" i="10"/>
  <c r="M6" i="10"/>
  <c r="M4" i="10"/>
  <c r="J3" i="10"/>
  <c r="C9" i="10"/>
  <c r="N1" i="10"/>
  <c r="I6" i="10"/>
  <c r="I10" i="10"/>
  <c r="J10" i="10" a="1"/>
  <c r="J10" i="10" l="1"/>
  <c r="A17" i="10"/>
  <c r="K7" i="10"/>
  <c r="I7" i="10"/>
  <c r="B9" i="10"/>
  <c r="D14" i="10" a="1"/>
  <c r="D14" i="10" s="1"/>
  <c r="F12" i="10" a="1"/>
  <c r="F12" i="10" s="1"/>
  <c r="G9" i="10" a="1"/>
  <c r="G9" i="10" s="1"/>
  <c r="F14" i="10" a="1"/>
  <c r="F14" i="10" s="1"/>
  <c r="C14" i="10" a="1"/>
  <c r="C14" i="10" s="1"/>
  <c r="D15" i="10" s="1"/>
  <c r="F11" i="10" a="1"/>
  <c r="F11" i="10" s="1"/>
  <c r="C11" i="10" a="1"/>
  <c r="C11" i="10" s="1"/>
  <c r="F15" i="10" a="1"/>
  <c r="F15" i="10" s="1"/>
  <c r="B14" i="10" a="1"/>
  <c r="B14" i="10" s="1"/>
  <c r="F10" i="10" a="1"/>
  <c r="F10" i="10" s="1"/>
  <c r="J9" i="10" a="1"/>
  <c r="J12" i="10" a="1"/>
  <c r="J12" i="10" l="1"/>
  <c r="J9" i="10"/>
  <c r="B15" i="10"/>
  <c r="B18" i="10"/>
  <c r="C18" i="10" a="1"/>
  <c r="C18" i="10" l="1"/>
  <c r="H17" i="10"/>
  <c r="J14" i="10" a="1"/>
  <c r="J14" i="10" s="1"/>
  <c r="I15" i="10" s="1"/>
  <c r="I14" i="10" a="1"/>
  <c r="I14" i="10" s="1"/>
  <c r="M11" i="10" a="1"/>
  <c r="M11" i="10" s="1"/>
  <c r="N9" i="10" a="1"/>
  <c r="N9" i="10" s="1"/>
  <c r="J11" i="10" a="1"/>
  <c r="J11" i="10" s="1"/>
  <c r="K14" i="10" a="1"/>
  <c r="K14" i="10" s="1"/>
  <c r="M15" i="10" a="1"/>
  <c r="M15" i="10" s="1"/>
  <c r="M14" i="10" a="1"/>
  <c r="M14" i="10" s="1"/>
  <c r="M12" i="10" a="1"/>
  <c r="M12" i="10" s="1"/>
  <c r="M10" i="10" a="1"/>
  <c r="M10" i="10" s="1"/>
  <c r="I9" i="10"/>
  <c r="K15" i="10"/>
  <c r="C17" i="10" a="1"/>
  <c r="C20" i="10" a="1"/>
  <c r="C20" i="10" l="1"/>
  <c r="C17" i="10"/>
  <c r="I18" i="10"/>
  <c r="J18" i="10" a="1"/>
  <c r="J18" i="10" l="1"/>
  <c r="A25" i="10"/>
  <c r="C22" i="10" a="1"/>
  <c r="C22" i="10" s="1"/>
  <c r="D23" i="10" s="1"/>
  <c r="F22" i="10" a="1"/>
  <c r="F22" i="10" s="1"/>
  <c r="B22" i="10" a="1"/>
  <c r="B22" i="10" s="1"/>
  <c r="D22" i="10" a="1"/>
  <c r="D22" i="10" s="1"/>
  <c r="F18" i="10" a="1"/>
  <c r="F18" i="10" s="1"/>
  <c r="F19" i="10" a="1"/>
  <c r="F19" i="10" s="1"/>
  <c r="C19" i="10" a="1"/>
  <c r="C19" i="10" s="1"/>
  <c r="B17" i="10"/>
  <c r="F23" i="10" a="1"/>
  <c r="F23" i="10" s="1"/>
  <c r="F20" i="10" a="1"/>
  <c r="F20" i="10" s="1"/>
  <c r="G17" i="10" a="1"/>
  <c r="G17" i="10" s="1"/>
  <c r="B23" i="10"/>
  <c r="J20" i="10" a="1"/>
  <c r="J17" i="10" a="1"/>
  <c r="J17" i="10" l="1"/>
  <c r="J20" i="10"/>
  <c r="B26" i="10"/>
  <c r="C26" i="10" a="1"/>
  <c r="C26" i="10" l="1"/>
  <c r="H25" i="10"/>
  <c r="J19" i="10" a="1"/>
  <c r="J19" i="10" s="1"/>
  <c r="I22" i="10" a="1"/>
  <c r="I22" i="10" s="1"/>
  <c r="M20" i="10" a="1"/>
  <c r="M20" i="10" s="1"/>
  <c r="J22" i="10" a="1"/>
  <c r="J22" i="10" s="1"/>
  <c r="K23" i="10" s="1"/>
  <c r="M19" i="10" a="1"/>
  <c r="M19" i="10" s="1"/>
  <c r="K22" i="10" a="1"/>
  <c r="K22" i="10" s="1"/>
  <c r="M18" i="10" a="1"/>
  <c r="M18" i="10" s="1"/>
  <c r="M22" i="10" a="1"/>
  <c r="M22" i="10" s="1"/>
  <c r="N17" i="10" a="1"/>
  <c r="N17" i="10" s="1"/>
  <c r="I17" i="10"/>
  <c r="M23" i="10" a="1"/>
  <c r="M23" i="10" s="1"/>
  <c r="C28" i="10" a="1"/>
  <c r="C25" i="10" a="1"/>
  <c r="I23" i="10" l="1"/>
  <c r="C25" i="10"/>
  <c r="C28" i="10"/>
  <c r="I26" i="10"/>
  <c r="J26" i="10" a="1"/>
  <c r="J26" i="10" l="1"/>
  <c r="A33" i="10"/>
  <c r="C30" i="10" a="1"/>
  <c r="C30" i="10" s="1"/>
  <c r="D31" i="10" s="1"/>
  <c r="B30" i="10" a="1"/>
  <c r="B30" i="10" s="1"/>
  <c r="F27" i="10" a="1"/>
  <c r="F27" i="10" s="1"/>
  <c r="F30" i="10" a="1"/>
  <c r="F30" i="10" s="1"/>
  <c r="F28" i="10" a="1"/>
  <c r="F28" i="10" s="1"/>
  <c r="F31" i="10" a="1"/>
  <c r="F31" i="10" s="1"/>
  <c r="C27" i="10" a="1"/>
  <c r="C27" i="10" s="1"/>
  <c r="B25" i="10"/>
  <c r="G25" i="10" a="1"/>
  <c r="G25" i="10" s="1"/>
  <c r="F26" i="10" a="1"/>
  <c r="F26" i="10" s="1"/>
  <c r="D30" i="10" a="1"/>
  <c r="D30" i="10" s="1"/>
  <c r="J25" i="10" a="1"/>
  <c r="J28" i="10" a="1"/>
  <c r="J28" i="10" l="1"/>
  <c r="J25" i="10"/>
  <c r="B31" i="10"/>
  <c r="B34" i="10"/>
  <c r="C34" i="10" a="1"/>
  <c r="C34" i="10" l="1"/>
  <c r="H33" i="10"/>
  <c r="I25" i="10"/>
  <c r="M27" i="10" a="1"/>
  <c r="M27" i="10" s="1"/>
  <c r="K30" i="10" a="1"/>
  <c r="K30" i="10" s="1"/>
  <c r="J27" i="10" a="1"/>
  <c r="J27" i="10" s="1"/>
  <c r="M26" i="10" a="1"/>
  <c r="M26" i="10" s="1"/>
  <c r="I30" i="10" a="1"/>
  <c r="I30" i="10" s="1"/>
  <c r="N25" i="10" a="1"/>
  <c r="N25" i="10" s="1"/>
  <c r="M31" i="10" a="1"/>
  <c r="M31" i="10" s="1"/>
  <c r="M28" i="10" a="1"/>
  <c r="M28" i="10" s="1"/>
  <c r="J30" i="10" a="1"/>
  <c r="J30" i="10" s="1"/>
  <c r="I31" i="10" s="1"/>
  <c r="M30" i="10" a="1"/>
  <c r="M30" i="10" s="1"/>
  <c r="C36" i="10" a="1"/>
  <c r="C33" i="10" a="1"/>
  <c r="C33" i="10" l="1"/>
  <c r="C36" i="10"/>
  <c r="K31" i="10"/>
  <c r="I34" i="10"/>
  <c r="J34" i="10" a="1"/>
  <c r="J34" i="10" l="1"/>
  <c r="A41" i="10"/>
  <c r="C38" i="10" a="1"/>
  <c r="C38" i="10" s="1"/>
  <c r="B39" i="10" s="1"/>
  <c r="G33" i="10" a="1"/>
  <c r="G33" i="10" s="1"/>
  <c r="D38" i="10" a="1"/>
  <c r="D38" i="10" s="1"/>
  <c r="B33" i="10"/>
  <c r="F34" i="10" a="1"/>
  <c r="F34" i="10" s="1"/>
  <c r="F35" i="10" a="1"/>
  <c r="F35" i="10" s="1"/>
  <c r="F38" i="10" a="1"/>
  <c r="F38" i="10" s="1"/>
  <c r="F36" i="10" a="1"/>
  <c r="F36" i="10" s="1"/>
  <c r="F39" i="10" a="1"/>
  <c r="F39" i="10" s="1"/>
  <c r="C35" i="10" a="1"/>
  <c r="C35" i="10" s="1"/>
  <c r="B38" i="10" a="1"/>
  <c r="B38" i="10" s="1"/>
  <c r="J36" i="10" a="1"/>
  <c r="J33" i="10" a="1"/>
  <c r="J33" i="10" l="1"/>
  <c r="J36" i="10"/>
  <c r="D39" i="10"/>
  <c r="B42" i="10"/>
  <c r="C42" i="10" a="1"/>
  <c r="C42" i="10" l="1"/>
  <c r="H41" i="10"/>
  <c r="I33" i="10"/>
  <c r="M34" i="10" a="1"/>
  <c r="M34" i="10" s="1"/>
  <c r="M39" i="10" a="1"/>
  <c r="M39" i="10" s="1"/>
  <c r="M35" i="10" a="1"/>
  <c r="M35" i="10" s="1"/>
  <c r="M38" i="10" a="1"/>
  <c r="M38" i="10" s="1"/>
  <c r="J35" i="10" a="1"/>
  <c r="J35" i="10" s="1"/>
  <c r="J38" i="10" a="1"/>
  <c r="J38" i="10" s="1"/>
  <c r="K39" i="10" s="1"/>
  <c r="M36" i="10" a="1"/>
  <c r="M36" i="10" s="1"/>
  <c r="K38" i="10" a="1"/>
  <c r="K38" i="10" s="1"/>
  <c r="I38" i="10" a="1"/>
  <c r="I38" i="10" s="1"/>
  <c r="N33" i="10" a="1"/>
  <c r="N33" i="10" s="1"/>
  <c r="C44" i="10" a="1"/>
  <c r="C41" i="10" a="1"/>
  <c r="I39" i="10" l="1"/>
  <c r="C41" i="10"/>
  <c r="C44" i="10"/>
  <c r="I42" i="10"/>
  <c r="J42" i="10" a="1"/>
  <c r="J42" i="10" l="1"/>
  <c r="P1" i="10"/>
  <c r="D46" i="10" a="1"/>
  <c r="D46" i="10" s="1"/>
  <c r="F44" i="10" a="1"/>
  <c r="F44" i="10" s="1"/>
  <c r="F42" i="10" a="1"/>
  <c r="F42" i="10" s="1"/>
  <c r="F47" i="10" a="1"/>
  <c r="F47" i="10" s="1"/>
  <c r="C46" i="10" a="1"/>
  <c r="C46" i="10" s="1"/>
  <c r="B47" i="10" s="1"/>
  <c r="G41" i="10" a="1"/>
  <c r="G41" i="10" s="1"/>
  <c r="C43" i="10" a="1"/>
  <c r="C43" i="10" s="1"/>
  <c r="F43" i="10" a="1"/>
  <c r="F43" i="10" s="1"/>
  <c r="B41" i="10"/>
  <c r="F46" i="10" a="1"/>
  <c r="F46" i="10" s="1"/>
  <c r="B46" i="10" a="1"/>
  <c r="B46" i="10" s="1"/>
  <c r="J44" i="10" a="1"/>
  <c r="J41" i="10" a="1"/>
  <c r="D47" i="10" l="1"/>
  <c r="J41" i="10"/>
  <c r="J44" i="10"/>
  <c r="Q2" i="10"/>
  <c r="R2" i="10" a="1"/>
  <c r="R2" i="10" l="1"/>
  <c r="W1" i="10"/>
  <c r="M47" i="10" a="1"/>
  <c r="M47" i="10" s="1"/>
  <c r="J43" i="10" a="1"/>
  <c r="J43" i="10" s="1"/>
  <c r="N41" i="10" a="1"/>
  <c r="N41" i="10" s="1"/>
  <c r="I46" i="10" a="1"/>
  <c r="I46" i="10" s="1"/>
  <c r="K46" i="10" a="1"/>
  <c r="K46" i="10" s="1"/>
  <c r="M43" i="10" a="1"/>
  <c r="M43" i="10" s="1"/>
  <c r="J46" i="10" a="1"/>
  <c r="J46" i="10" s="1"/>
  <c r="K47" i="10" s="1"/>
  <c r="M44" i="10" a="1"/>
  <c r="M44" i="10" s="1"/>
  <c r="M42" i="10" a="1"/>
  <c r="M42" i="10" s="1"/>
  <c r="I41" i="10"/>
  <c r="M46" i="10" a="1"/>
  <c r="M46" i="10" s="1"/>
  <c r="R1" i="10" a="1"/>
  <c r="R4" i="10" a="1"/>
  <c r="R4" i="10" l="1"/>
  <c r="R1" i="10"/>
  <c r="I47" i="10"/>
  <c r="X2" i="10"/>
  <c r="Y2" i="10" a="1"/>
  <c r="Y2" i="10" l="1"/>
  <c r="P9" i="10"/>
  <c r="U4" i="10" a="1"/>
  <c r="U4" i="10" s="1"/>
  <c r="U3" i="10" a="1"/>
  <c r="U3" i="10" s="1"/>
  <c r="S6" i="10" a="1"/>
  <c r="S6" i="10" s="1"/>
  <c r="Q6" i="10" a="1"/>
  <c r="Q6" i="10" s="1"/>
  <c r="U2" i="10" a="1"/>
  <c r="U2" i="10" s="1"/>
  <c r="U6" i="10" a="1"/>
  <c r="U6" i="10" s="1"/>
  <c r="R3" i="10" a="1"/>
  <c r="R3" i="10" s="1"/>
  <c r="U7" i="10" a="1"/>
  <c r="U7" i="10" s="1"/>
  <c r="Q1" i="10"/>
  <c r="R6" i="10" a="1"/>
  <c r="R6" i="10" s="1"/>
  <c r="S7" i="10" s="1"/>
  <c r="V1" i="10" a="1"/>
  <c r="V1" i="10" s="1"/>
  <c r="Y1" i="10" a="1"/>
  <c r="Y4" i="10" a="1"/>
  <c r="Q7" i="10" l="1"/>
  <c r="Y4" i="10"/>
  <c r="Y1" i="10"/>
  <c r="Q10" i="10"/>
  <c r="R10" i="10" a="1"/>
  <c r="R10" i="10" l="1"/>
  <c r="W9" i="10"/>
  <c r="AB2" i="10" a="1"/>
  <c r="AB2" i="10" s="1"/>
  <c r="Y6" i="10" a="1"/>
  <c r="Y6" i="10" s="1"/>
  <c r="X7" i="10" s="1"/>
  <c r="AB4" i="10" a="1"/>
  <c r="AB4" i="10" s="1"/>
  <c r="X1" i="10"/>
  <c r="AB3" i="10" a="1"/>
  <c r="AB3" i="10" s="1"/>
  <c r="AB7" i="10" a="1"/>
  <c r="AB7" i="10" s="1"/>
  <c r="Z6" i="10" a="1"/>
  <c r="Z6" i="10" s="1"/>
  <c r="Y3" i="10" a="1"/>
  <c r="Y3" i="10" s="1"/>
  <c r="X6" i="10" a="1"/>
  <c r="X6" i="10" s="1"/>
  <c r="AB6" i="10" a="1"/>
  <c r="AB6" i="10" s="1"/>
  <c r="AC1" i="10" a="1"/>
  <c r="AC1" i="10" s="1"/>
  <c r="Z7" i="10"/>
  <c r="R12" i="10" a="1"/>
  <c r="R9" i="10" a="1"/>
  <c r="R9" i="10" l="1"/>
  <c r="R12" i="10"/>
  <c r="X10" i="10"/>
  <c r="Y10" i="10" a="1"/>
  <c r="Y10" i="10" l="1"/>
  <c r="P17" i="10"/>
  <c r="Q9" i="10"/>
  <c r="R14" i="10" a="1"/>
  <c r="R14" i="10" s="1"/>
  <c r="S15" i="10" s="1"/>
  <c r="U10" i="10" a="1"/>
  <c r="U10" i="10" s="1"/>
  <c r="V9" i="10" a="1"/>
  <c r="V9" i="10" s="1"/>
  <c r="S14" i="10" a="1"/>
  <c r="S14" i="10" s="1"/>
  <c r="Q14" i="10" a="1"/>
  <c r="Q14" i="10" s="1"/>
  <c r="U14" i="10" a="1"/>
  <c r="U14" i="10" s="1"/>
  <c r="U15" i="10" a="1"/>
  <c r="U15" i="10" s="1"/>
  <c r="R11" i="10" a="1"/>
  <c r="R11" i="10" s="1"/>
  <c r="U12" i="10" a="1"/>
  <c r="U12" i="10" s="1"/>
  <c r="U11" i="10" a="1"/>
  <c r="U11" i="10" s="1"/>
  <c r="Y12" i="10" a="1"/>
  <c r="Y9" i="10" a="1"/>
  <c r="Y9" i="10" l="1"/>
  <c r="Y12" i="10"/>
  <c r="Q15" i="10"/>
  <c r="Q18" i="10"/>
  <c r="R18" i="10" a="1"/>
  <c r="R18" i="10" l="1"/>
  <c r="W17" i="10"/>
  <c r="AB10" i="10" a="1"/>
  <c r="AB10" i="10" s="1"/>
  <c r="X9" i="10"/>
  <c r="Y11" i="10" a="1"/>
  <c r="Y11" i="10" s="1"/>
  <c r="AC9" i="10" a="1"/>
  <c r="AC9" i="10" s="1"/>
  <c r="Z14" i="10" a="1"/>
  <c r="Z14" i="10" s="1"/>
  <c r="AB12" i="10" a="1"/>
  <c r="AB12" i="10" s="1"/>
  <c r="Y14" i="10" a="1"/>
  <c r="Y14" i="10" s="1"/>
  <c r="X15" i="10" s="1"/>
  <c r="AB15" i="10" a="1"/>
  <c r="AB15" i="10" s="1"/>
  <c r="AB11" i="10" a="1"/>
  <c r="AB11" i="10" s="1"/>
  <c r="AB14" i="10" a="1"/>
  <c r="AB14" i="10" s="1"/>
  <c r="X14" i="10" a="1"/>
  <c r="X14" i="10" s="1"/>
  <c r="R20" i="10" a="1"/>
  <c r="R17" i="10" a="1"/>
  <c r="Z15" i="10" l="1"/>
  <c r="R17" i="10"/>
  <c r="R20" i="10"/>
  <c r="X18" i="10"/>
  <c r="Y18" i="10" a="1"/>
  <c r="Y18" i="10" l="1"/>
  <c r="P25" i="10"/>
  <c r="S22" i="10" a="1"/>
  <c r="S22" i="10" s="1"/>
  <c r="R19" i="10" a="1"/>
  <c r="R19" i="10" s="1"/>
  <c r="U23" i="10" a="1"/>
  <c r="U23" i="10" s="1"/>
  <c r="U20" i="10" a="1"/>
  <c r="U20" i="10" s="1"/>
  <c r="R22" i="10" a="1"/>
  <c r="R22" i="10" s="1"/>
  <c r="S23" i="10" s="1"/>
  <c r="V17" i="10" a="1"/>
  <c r="V17" i="10" s="1"/>
  <c r="U22" i="10" a="1"/>
  <c r="U22" i="10" s="1"/>
  <c r="U18" i="10" a="1"/>
  <c r="U18" i="10" s="1"/>
  <c r="Q22" i="10" a="1"/>
  <c r="Q22" i="10" s="1"/>
  <c r="Q17" i="10"/>
  <c r="U19" i="10" a="1"/>
  <c r="U19" i="10" s="1"/>
  <c r="Y20" i="10" a="1"/>
  <c r="Y17" i="10" a="1"/>
  <c r="Q23" i="10" l="1"/>
  <c r="Y17" i="10"/>
  <c r="Y20" i="10"/>
  <c r="Q26" i="10"/>
  <c r="R26" i="10" a="1"/>
  <c r="R26" i="10" l="1"/>
  <c r="W25" i="10"/>
  <c r="X17" i="10"/>
  <c r="X22" i="10" a="1"/>
  <c r="X22" i="10" s="1"/>
  <c r="Z22" i="10" a="1"/>
  <c r="Z22" i="10" s="1"/>
  <c r="AB20" i="10" a="1"/>
  <c r="AB20" i="10" s="1"/>
  <c r="AB22" i="10" a="1"/>
  <c r="AB22" i="10" s="1"/>
  <c r="AB23" i="10" a="1"/>
  <c r="AB23" i="10" s="1"/>
  <c r="AB18" i="10" a="1"/>
  <c r="AB18" i="10" s="1"/>
  <c r="AC17" i="10" a="1"/>
  <c r="AC17" i="10" s="1"/>
  <c r="AB19" i="10" a="1"/>
  <c r="AB19" i="10" s="1"/>
  <c r="Y19" i="10" a="1"/>
  <c r="Y19" i="10" s="1"/>
  <c r="Y22" i="10" a="1"/>
  <c r="Y22" i="10" s="1"/>
  <c r="Z23" i="10" s="1"/>
  <c r="R28" i="10" a="1"/>
  <c r="R25" i="10" a="1"/>
  <c r="X23" i="10" l="1"/>
  <c r="R25" i="10"/>
  <c r="R28" i="10"/>
  <c r="X26" i="10"/>
  <c r="Y26" i="10" a="1"/>
  <c r="Y26" i="10" l="1"/>
  <c r="P33" i="10"/>
  <c r="R30" i="10" a="1"/>
  <c r="R30" i="10" s="1"/>
  <c r="Q31" i="10" s="1"/>
  <c r="Q25" i="10"/>
  <c r="V25" i="10" a="1"/>
  <c r="V25" i="10" s="1"/>
  <c r="Q30" i="10" a="1"/>
  <c r="Q30" i="10" s="1"/>
  <c r="R27" i="10" a="1"/>
  <c r="R27" i="10" s="1"/>
  <c r="U30" i="10" a="1"/>
  <c r="U30" i="10" s="1"/>
  <c r="S30" i="10" a="1"/>
  <c r="S30" i="10" s="1"/>
  <c r="U26" i="10" a="1"/>
  <c r="U26" i="10" s="1"/>
  <c r="U31" i="10" a="1"/>
  <c r="U31" i="10" s="1"/>
  <c r="U27" i="10" a="1"/>
  <c r="U27" i="10" s="1"/>
  <c r="U28" i="10" a="1"/>
  <c r="U28" i="10" s="1"/>
  <c r="Y25" i="10" a="1"/>
  <c r="Y28" i="10" a="1"/>
  <c r="Y28" i="10" l="1"/>
  <c r="Y25" i="10"/>
  <c r="S31" i="10"/>
  <c r="Q34" i="10"/>
  <c r="R34" i="10" a="1"/>
  <c r="R34" i="10" l="1"/>
  <c r="W33" i="10"/>
  <c r="AB31" i="10" a="1"/>
  <c r="AB31" i="10" s="1"/>
  <c r="AB26" i="10" a="1"/>
  <c r="AB26" i="10" s="1"/>
  <c r="Z30" i="10" a="1"/>
  <c r="Z30" i="10" s="1"/>
  <c r="X30" i="10" a="1"/>
  <c r="X30" i="10" s="1"/>
  <c r="AB30" i="10" a="1"/>
  <c r="AB30" i="10" s="1"/>
  <c r="Y30" i="10" a="1"/>
  <c r="Y30" i="10" s="1"/>
  <c r="X31" i="10" s="1"/>
  <c r="AB27" i="10" a="1"/>
  <c r="AB27" i="10" s="1"/>
  <c r="X25" i="10"/>
  <c r="AC25" i="10" a="1"/>
  <c r="AC25" i="10" s="1"/>
  <c r="AB28" i="10" a="1"/>
  <c r="AB28" i="10" s="1"/>
  <c r="Y27" i="10" a="1"/>
  <c r="Y27" i="10" s="1"/>
  <c r="R36" i="10" a="1"/>
  <c r="R33" i="10" a="1"/>
  <c r="Z31" i="10" l="1"/>
  <c r="R33" i="10"/>
  <c r="R36" i="10"/>
  <c r="X34" i="10"/>
  <c r="Y34" i="10" a="1"/>
  <c r="Y34" i="10" l="1"/>
  <c r="P41" i="10"/>
  <c r="U36" i="10" a="1"/>
  <c r="U36" i="10" s="1"/>
  <c r="U39" i="10" a="1"/>
  <c r="U39" i="10" s="1"/>
  <c r="R35" i="10" a="1"/>
  <c r="R35" i="10" s="1"/>
  <c r="U34" i="10" a="1"/>
  <c r="U34" i="10" s="1"/>
  <c r="V33" i="10" a="1"/>
  <c r="V33" i="10" s="1"/>
  <c r="Q33" i="10"/>
  <c r="U35" i="10" a="1"/>
  <c r="U35" i="10" s="1"/>
  <c r="S38" i="10" a="1"/>
  <c r="S38" i="10" s="1"/>
  <c r="R38" i="10" a="1"/>
  <c r="R38" i="10" s="1"/>
  <c r="S39" i="10" s="1"/>
  <c r="U38" i="10" a="1"/>
  <c r="U38" i="10" s="1"/>
  <c r="Q38" i="10" a="1"/>
  <c r="Q38" i="10" s="1"/>
  <c r="Y36" i="10" a="1"/>
  <c r="Y33" i="10" a="1"/>
  <c r="Y33" i="10" l="1"/>
  <c r="Y36" i="10"/>
  <c r="Q39" i="10"/>
  <c r="Q42" i="10"/>
  <c r="R42" i="10" a="1"/>
  <c r="R42" i="10" l="1"/>
  <c r="W41" i="10"/>
  <c r="Z38" i="10" a="1"/>
  <c r="Z38" i="10" s="1"/>
  <c r="X33" i="10"/>
  <c r="Y35" i="10" a="1"/>
  <c r="Y35" i="10" s="1"/>
  <c r="AB35" i="10" a="1"/>
  <c r="AB35" i="10" s="1"/>
  <c r="AB39" i="10" a="1"/>
  <c r="AB39" i="10" s="1"/>
  <c r="AC33" i="10" a="1"/>
  <c r="AC33" i="10" s="1"/>
  <c r="AB38" i="10" a="1"/>
  <c r="AB38" i="10" s="1"/>
  <c r="AB34" i="10" a="1"/>
  <c r="AB34" i="10" s="1"/>
  <c r="Y38" i="10" a="1"/>
  <c r="Y38" i="10" s="1"/>
  <c r="Z39" i="10" s="1"/>
  <c r="X38" i="10" a="1"/>
  <c r="X38" i="10" s="1"/>
  <c r="AB36" i="10" a="1"/>
  <c r="AB36" i="10" s="1"/>
  <c r="R44" i="10" a="1"/>
  <c r="R41" i="10" a="1"/>
  <c r="R41" i="10" l="1"/>
  <c r="R44" i="10"/>
  <c r="X39" i="10"/>
  <c r="X42" i="10"/>
  <c r="Y42" i="10" a="1"/>
  <c r="Y42" i="10" l="1"/>
  <c r="AE1" i="10"/>
  <c r="S47" i="10"/>
  <c r="Q47" i="10"/>
  <c r="S46" i="10" a="1"/>
  <c r="S46" i="10" s="1"/>
  <c r="R43" i="10" a="1"/>
  <c r="R43" i="10" s="1"/>
  <c r="U46" i="10" a="1"/>
  <c r="U46" i="10" s="1"/>
  <c r="Q41" i="10"/>
  <c r="U47" i="10" a="1"/>
  <c r="U47" i="10" s="1"/>
  <c r="R46" i="10" a="1"/>
  <c r="R46" i="10" s="1"/>
  <c r="V41" i="10" a="1"/>
  <c r="V41" i="10" s="1"/>
  <c r="U42" i="10" a="1"/>
  <c r="U42" i="10" s="1"/>
  <c r="Q46" i="10" a="1"/>
  <c r="Q46" i="10" s="1"/>
  <c r="U43" i="10" a="1"/>
  <c r="U43" i="10" s="1"/>
  <c r="U44" i="10" a="1"/>
  <c r="U44" i="10" s="1"/>
  <c r="Y41" i="10" a="1"/>
  <c r="Y44" i="10" a="1"/>
  <c r="Y44" i="10" l="1"/>
  <c r="Y41" i="10"/>
  <c r="AF2" i="10"/>
  <c r="AG2" i="10" a="1"/>
  <c r="AG2" i="10" l="1"/>
  <c r="AL1" i="10"/>
  <c r="X46" i="10" a="1"/>
  <c r="X46" i="10" s="1"/>
  <c r="AB43" i="10" a="1"/>
  <c r="AB43" i="10" s="1"/>
  <c r="AB46" i="10" a="1"/>
  <c r="AB46" i="10" s="1"/>
  <c r="AC41" i="10" a="1"/>
  <c r="AC41" i="10" s="1"/>
  <c r="AB47" i="10" a="1"/>
  <c r="AB47" i="10" s="1"/>
  <c r="Y46" i="10" a="1"/>
  <c r="Y46" i="10" s="1"/>
  <c r="Z47" i="10" s="1"/>
  <c r="X41" i="10"/>
  <c r="AB42" i="10" a="1"/>
  <c r="AB42" i="10" s="1"/>
  <c r="AB44" i="10" a="1"/>
  <c r="AB44" i="10" s="1"/>
  <c r="Y43" i="10" a="1"/>
  <c r="Y43" i="10" s="1"/>
  <c r="Z46" i="10" a="1"/>
  <c r="Z46" i="10" s="1"/>
  <c r="AG1" i="10" a="1"/>
  <c r="AG4" i="10" a="1"/>
  <c r="X47" i="10" l="1"/>
  <c r="AG4" i="10"/>
  <c r="AG1" i="10"/>
  <c r="AM2" i="10"/>
  <c r="AN2" i="10" a="1"/>
  <c r="AN2" i="10" l="1"/>
  <c r="AE9" i="10"/>
  <c r="AF1" i="10"/>
  <c r="AG6" i="10" a="1"/>
  <c r="AG6" i="10" s="1"/>
  <c r="AF7" i="10" s="1"/>
  <c r="AJ2" i="10" a="1"/>
  <c r="AJ2" i="10" s="1"/>
  <c r="AJ6" i="10" a="1"/>
  <c r="AJ6" i="10" s="1"/>
  <c r="AF6" i="10" a="1"/>
  <c r="AF6" i="10" s="1"/>
  <c r="AG3" i="10" a="1"/>
  <c r="AG3" i="10" s="1"/>
  <c r="AK1" i="10" a="1"/>
  <c r="AK1" i="10" s="1"/>
  <c r="AJ3" i="10" a="1"/>
  <c r="AJ3" i="10" s="1"/>
  <c r="AJ7" i="10" a="1"/>
  <c r="AJ7" i="10" s="1"/>
  <c r="AH6" i="10" a="1"/>
  <c r="AH6" i="10" s="1"/>
  <c r="AJ4" i="10" a="1"/>
  <c r="AJ4" i="10" s="1"/>
  <c r="AH7" i="10"/>
  <c r="AN4" i="10" a="1"/>
  <c r="AN1" i="10" a="1"/>
  <c r="AN1" i="10" l="1"/>
  <c r="AN4" i="10"/>
  <c r="AF10" i="10"/>
  <c r="AG10" i="10" a="1"/>
  <c r="AG10" i="10" l="1"/>
  <c r="AL9" i="10"/>
  <c r="AM1" i="10"/>
  <c r="AQ7" i="10" a="1"/>
  <c r="AQ7" i="10" s="1"/>
  <c r="AQ6" i="10" a="1"/>
  <c r="AQ6" i="10" s="1"/>
  <c r="AR1" i="10" a="1"/>
  <c r="AR1" i="10" s="1"/>
  <c r="AM6" i="10" a="1"/>
  <c r="AM6" i="10" s="1"/>
  <c r="AN3" i="10" a="1"/>
  <c r="AN3" i="10" s="1"/>
  <c r="AN6" i="10" a="1"/>
  <c r="AN6" i="10" s="1"/>
  <c r="AM7" i="10" s="1"/>
  <c r="AO6" i="10" a="1"/>
  <c r="AO6" i="10" s="1"/>
  <c r="AQ2" i="10" a="1"/>
  <c r="AQ2" i="10" s="1"/>
  <c r="AQ3" i="10" a="1"/>
  <c r="AQ3" i="10" s="1"/>
  <c r="AQ4" i="10" a="1"/>
  <c r="AQ4" i="10" s="1"/>
  <c r="AG12" i="10" a="1"/>
  <c r="AG9" i="10" a="1"/>
  <c r="AG9" i="10" l="1"/>
  <c r="AG12" i="10"/>
  <c r="AO7" i="10"/>
  <c r="AM10" i="10"/>
  <c r="AN10" i="10" a="1"/>
  <c r="AN10" i="10" l="1"/>
  <c r="AE17" i="10"/>
  <c r="AF9" i="10"/>
  <c r="AK9" i="10" a="1"/>
  <c r="AK9" i="10" s="1"/>
  <c r="AG11" i="10" a="1"/>
  <c r="AG11" i="10" s="1"/>
  <c r="AF14" i="10" a="1"/>
  <c r="AF14" i="10" s="1"/>
  <c r="AJ15" i="10" a="1"/>
  <c r="AJ15" i="10" s="1"/>
  <c r="AJ12" i="10" a="1"/>
  <c r="AJ12" i="10" s="1"/>
  <c r="AJ11" i="10" a="1"/>
  <c r="AJ11" i="10" s="1"/>
  <c r="AG14" i="10" a="1"/>
  <c r="AG14" i="10" s="1"/>
  <c r="AH15" i="10" s="1"/>
  <c r="AJ14" i="10" a="1"/>
  <c r="AJ14" i="10" s="1"/>
  <c r="AH14" i="10" a="1"/>
  <c r="AH14" i="10" s="1"/>
  <c r="AJ10" i="10" a="1"/>
  <c r="AJ10" i="10" s="1"/>
  <c r="AN12" i="10" a="1"/>
  <c r="AN9" i="10" a="1"/>
  <c r="AN9" i="10" l="1"/>
  <c r="AN12" i="10"/>
  <c r="AF15" i="10"/>
  <c r="AF18" i="10"/>
  <c r="AG18" i="10" a="1"/>
  <c r="AG18" i="10" l="1"/>
  <c r="AL17" i="10"/>
  <c r="AQ15" i="10" a="1"/>
  <c r="AQ15" i="10" s="1"/>
  <c r="AO14" i="10" a="1"/>
  <c r="AO14" i="10" s="1"/>
  <c r="AN11" i="10" a="1"/>
  <c r="AN11" i="10" s="1"/>
  <c r="AM9" i="10"/>
  <c r="AQ10" i="10" a="1"/>
  <c r="AQ10" i="10" s="1"/>
  <c r="AQ12" i="10" a="1"/>
  <c r="AQ12" i="10" s="1"/>
  <c r="AQ11" i="10" a="1"/>
  <c r="AQ11" i="10" s="1"/>
  <c r="AM14" i="10" a="1"/>
  <c r="AM14" i="10" s="1"/>
  <c r="AR9" i="10" a="1"/>
  <c r="AR9" i="10" s="1"/>
  <c r="AN14" i="10" a="1"/>
  <c r="AN14" i="10" s="1"/>
  <c r="AM15" i="10" s="1"/>
  <c r="AQ14" i="10" a="1"/>
  <c r="AQ14" i="10" s="1"/>
  <c r="AG17" i="10" a="1"/>
  <c r="AG20" i="10" a="1"/>
  <c r="AG20" i="10" l="1"/>
  <c r="AG17" i="10"/>
  <c r="AO15" i="10"/>
  <c r="AM18" i="10"/>
  <c r="AN18" i="10" a="1"/>
  <c r="AN18" i="10" l="1"/>
  <c r="AE25" i="10"/>
  <c r="AK17" i="10" a="1"/>
  <c r="AK17" i="10" s="1"/>
  <c r="AG19" i="10" a="1"/>
  <c r="AG19" i="10" s="1"/>
  <c r="AJ18" i="10" a="1"/>
  <c r="AJ18" i="10" s="1"/>
  <c r="AJ23" i="10" a="1"/>
  <c r="AJ23" i="10" s="1"/>
  <c r="AJ19" i="10" a="1"/>
  <c r="AJ19" i="10" s="1"/>
  <c r="AG22" i="10" a="1"/>
  <c r="AG22" i="10" s="1"/>
  <c r="AF23" i="10" s="1"/>
  <c r="AF17" i="10"/>
  <c r="AH22" i="10" a="1"/>
  <c r="AH22" i="10" s="1"/>
  <c r="AJ20" i="10" a="1"/>
  <c r="AJ20" i="10" s="1"/>
  <c r="AJ22" i="10" a="1"/>
  <c r="AJ22" i="10" s="1"/>
  <c r="AF22" i="10" a="1"/>
  <c r="AF22" i="10" s="1"/>
  <c r="AN17" i="10" a="1"/>
  <c r="AN20" i="10" a="1"/>
  <c r="AH23" i="10" l="1"/>
  <c r="AN20" i="10"/>
  <c r="AN17" i="10"/>
  <c r="AF26" i="10"/>
  <c r="AG26" i="10" a="1"/>
  <c r="AG26" i="10" l="1"/>
  <c r="AL25" i="10"/>
  <c r="AQ23" i="10" a="1"/>
  <c r="AQ23" i="10" s="1"/>
  <c r="AQ19" i="10" a="1"/>
  <c r="AQ19" i="10" s="1"/>
  <c r="AQ18" i="10" a="1"/>
  <c r="AQ18" i="10" s="1"/>
  <c r="AR17" i="10" a="1"/>
  <c r="AR17" i="10" s="1"/>
  <c r="AM22" i="10" a="1"/>
  <c r="AM22" i="10" s="1"/>
  <c r="AQ22" i="10" a="1"/>
  <c r="AQ22" i="10" s="1"/>
  <c r="AQ20" i="10" a="1"/>
  <c r="AQ20" i="10" s="1"/>
  <c r="AN22" i="10" a="1"/>
  <c r="AN22" i="10" s="1"/>
  <c r="AO23" i="10" s="1"/>
  <c r="AN19" i="10" a="1"/>
  <c r="AN19" i="10" s="1"/>
  <c r="AO22" i="10" a="1"/>
  <c r="AO22" i="10" s="1"/>
  <c r="AM17" i="10"/>
  <c r="AG28" i="10" a="1"/>
  <c r="AG25" i="10" a="1"/>
  <c r="AM23" i="10" l="1"/>
  <c r="AG25" i="10"/>
  <c r="AG28" i="10"/>
  <c r="AM26" i="10"/>
  <c r="AN26" i="10" a="1"/>
  <c r="AN26" i="10" l="1"/>
  <c r="AE33" i="10"/>
  <c r="AG27" i="10" a="1"/>
  <c r="AG27" i="10" s="1"/>
  <c r="AJ31" i="10" a="1"/>
  <c r="AJ31" i="10" s="1"/>
  <c r="AH30" i="10" a="1"/>
  <c r="AH30" i="10" s="1"/>
  <c r="AJ28" i="10" a="1"/>
  <c r="AJ28" i="10" s="1"/>
  <c r="AF30" i="10" a="1"/>
  <c r="AF30" i="10" s="1"/>
  <c r="AJ26" i="10" a="1"/>
  <c r="AJ26" i="10" s="1"/>
  <c r="AJ27" i="10" a="1"/>
  <c r="AJ27" i="10" s="1"/>
  <c r="AJ30" i="10" a="1"/>
  <c r="AJ30" i="10" s="1"/>
  <c r="AG30" i="10" a="1"/>
  <c r="AG30" i="10" s="1"/>
  <c r="AH31" i="10" s="1"/>
  <c r="AF25" i="10"/>
  <c r="AK25" i="10" a="1"/>
  <c r="AK25" i="10" s="1"/>
  <c r="AN28" i="10" a="1"/>
  <c r="AN25" i="10" a="1"/>
  <c r="AN25" i="10" l="1"/>
  <c r="AN28" i="10"/>
  <c r="AF31" i="10"/>
  <c r="AF34" i="10"/>
  <c r="AG34" i="10" a="1"/>
  <c r="AG34" i="10" l="1"/>
  <c r="AL33" i="10"/>
  <c r="AN27" i="10" a="1"/>
  <c r="AN27" i="10" s="1"/>
  <c r="AN30" i="10" a="1"/>
  <c r="AN30" i="10" s="1"/>
  <c r="AO31" i="10" s="1"/>
  <c r="AQ31" i="10" a="1"/>
  <c r="AQ31" i="10" s="1"/>
  <c r="AQ30" i="10" a="1"/>
  <c r="AQ30" i="10" s="1"/>
  <c r="AQ27" i="10" a="1"/>
  <c r="AQ27" i="10" s="1"/>
  <c r="AM30" i="10" a="1"/>
  <c r="AM30" i="10" s="1"/>
  <c r="AR25" i="10" a="1"/>
  <c r="AR25" i="10" s="1"/>
  <c r="AM25" i="10"/>
  <c r="AQ26" i="10" a="1"/>
  <c r="AQ26" i="10" s="1"/>
  <c r="AQ28" i="10" a="1"/>
  <c r="AQ28" i="10" s="1"/>
  <c r="AO30" i="10" a="1"/>
  <c r="AO30" i="10" s="1"/>
  <c r="AG36" i="10" a="1"/>
  <c r="AG33" i="10" a="1"/>
  <c r="AG33" i="10" l="1"/>
  <c r="AG36" i="10"/>
  <c r="AM31" i="10"/>
  <c r="AM34" i="10"/>
  <c r="AN34" i="10" a="1"/>
  <c r="AN34" i="10" l="1"/>
  <c r="AE41" i="10"/>
  <c r="AG38" i="10" a="1"/>
  <c r="AG38" i="10" s="1"/>
  <c r="AF39" i="10" s="1"/>
  <c r="AJ34" i="10" a="1"/>
  <c r="AJ34" i="10" s="1"/>
  <c r="AJ39" i="10" a="1"/>
  <c r="AJ39" i="10" s="1"/>
  <c r="AH38" i="10" a="1"/>
  <c r="AH38" i="10" s="1"/>
  <c r="AJ36" i="10" a="1"/>
  <c r="AJ36" i="10" s="1"/>
  <c r="AJ38" i="10" a="1"/>
  <c r="AJ38" i="10" s="1"/>
  <c r="AG35" i="10" a="1"/>
  <c r="AG35" i="10" s="1"/>
  <c r="AJ35" i="10" a="1"/>
  <c r="AJ35" i="10" s="1"/>
  <c r="AF33" i="10"/>
  <c r="AF38" i="10" a="1"/>
  <c r="AF38" i="10" s="1"/>
  <c r="AK33" i="10" a="1"/>
  <c r="AK33" i="10" s="1"/>
  <c r="AN36" i="10" a="1"/>
  <c r="AN33" i="10" a="1"/>
  <c r="AN33" i="10" l="1"/>
  <c r="AN36" i="10"/>
  <c r="AH39" i="10"/>
  <c r="AF42" i="10"/>
  <c r="AG42" i="10" a="1"/>
  <c r="AG42" i="10" l="1"/>
  <c r="AL41" i="10"/>
  <c r="AM38" i="10" a="1"/>
  <c r="AM38" i="10" s="1"/>
  <c r="AQ39" i="10" a="1"/>
  <c r="AQ39" i="10" s="1"/>
  <c r="AM33" i="10"/>
  <c r="AN38" i="10" a="1"/>
  <c r="AN38" i="10" s="1"/>
  <c r="AM39" i="10" s="1"/>
  <c r="AO38" i="10" a="1"/>
  <c r="AO38" i="10" s="1"/>
  <c r="AN35" i="10" a="1"/>
  <c r="AN35" i="10" s="1"/>
  <c r="AQ38" i="10" a="1"/>
  <c r="AQ38" i="10" s="1"/>
  <c r="AQ35" i="10" a="1"/>
  <c r="AQ35" i="10" s="1"/>
  <c r="AQ36" i="10" a="1"/>
  <c r="AQ36" i="10" s="1"/>
  <c r="AR33" i="10" a="1"/>
  <c r="AR33" i="10" s="1"/>
  <c r="AQ34" i="10" a="1"/>
  <c r="AQ34" i="10" s="1"/>
  <c r="AG44" i="10" a="1"/>
  <c r="AG41" i="10" a="1"/>
  <c r="AO39" i="10" l="1"/>
  <c r="AG41" i="10"/>
  <c r="AG44" i="10"/>
  <c r="AM42" i="10"/>
  <c r="AN42" i="10" a="1"/>
  <c r="AN42" i="10" l="1"/>
  <c r="AT1" i="10"/>
  <c r="AG46" i="10" a="1"/>
  <c r="AG46" i="10" s="1"/>
  <c r="AF47" i="10" s="1"/>
  <c r="AJ42" i="10" a="1"/>
  <c r="AJ42" i="10" s="1"/>
  <c r="AK41" i="10" a="1"/>
  <c r="AK41" i="10" s="1"/>
  <c r="AF41" i="10"/>
  <c r="AJ44" i="10" a="1"/>
  <c r="AJ44" i="10" s="1"/>
  <c r="AH46" i="10" a="1"/>
  <c r="AH46" i="10" s="1"/>
  <c r="AJ43" i="10" a="1"/>
  <c r="AJ43" i="10" s="1"/>
  <c r="AF46" i="10" a="1"/>
  <c r="AF46" i="10" s="1"/>
  <c r="AG43" i="10" a="1"/>
  <c r="AG43" i="10" s="1"/>
  <c r="AJ46" i="10" a="1"/>
  <c r="AJ46" i="10" s="1"/>
  <c r="AJ47" i="10" a="1"/>
  <c r="AJ47" i="10" s="1"/>
  <c r="AN41" i="10" a="1"/>
  <c r="AN44" i="10" a="1"/>
  <c r="AN44" i="10" l="1"/>
  <c r="AN41" i="10"/>
  <c r="AH47" i="10"/>
  <c r="AU2" i="10"/>
  <c r="AV2" i="10" a="1"/>
  <c r="AV2" i="10" l="1"/>
  <c r="BA1" i="10"/>
  <c r="AQ46" i="10" a="1"/>
  <c r="AQ46" i="10" s="1"/>
  <c r="AR41" i="10" a="1"/>
  <c r="AR41" i="10" s="1"/>
  <c r="AM41" i="10"/>
  <c r="AN43" i="10" a="1"/>
  <c r="AN43" i="10" s="1"/>
  <c r="AQ43" i="10" a="1"/>
  <c r="AQ43" i="10" s="1"/>
  <c r="AQ44" i="10" a="1"/>
  <c r="AQ44" i="10" s="1"/>
  <c r="AQ42" i="10" a="1"/>
  <c r="AQ42" i="10" s="1"/>
  <c r="AN46" i="10" a="1"/>
  <c r="AN46" i="10" s="1"/>
  <c r="AO47" i="10" s="1"/>
  <c r="AM46" i="10" a="1"/>
  <c r="AM46" i="10" s="1"/>
  <c r="AQ47" i="10" a="1"/>
  <c r="AQ47" i="10" s="1"/>
  <c r="AO46" i="10" a="1"/>
  <c r="AO46" i="10" s="1"/>
  <c r="AM47" i="10"/>
  <c r="AV1" i="10" a="1"/>
  <c r="AV4" i="10" a="1"/>
  <c r="AV4" i="10" l="1"/>
  <c r="AV1" i="10"/>
  <c r="BB2" i="10"/>
  <c r="BC2" i="10" a="1"/>
  <c r="BC2" i="10" l="1"/>
  <c r="AT9" i="10"/>
  <c r="AY2" i="10" a="1"/>
  <c r="AY2" i="10" s="1"/>
  <c r="AY6" i="10" a="1"/>
  <c r="AY6" i="10" s="1"/>
  <c r="AV6" i="10" a="1"/>
  <c r="AV6" i="10" s="1"/>
  <c r="AW7" i="10" s="1"/>
  <c r="AY4" i="10" a="1"/>
  <c r="AY4" i="10" s="1"/>
  <c r="AU1" i="10"/>
  <c r="AY7" i="10" a="1"/>
  <c r="AY7" i="10" s="1"/>
  <c r="AY3" i="10" a="1"/>
  <c r="AY3" i="10" s="1"/>
  <c r="AU6" i="10" a="1"/>
  <c r="AU6" i="10" s="1"/>
  <c r="AW6" i="10" a="1"/>
  <c r="AW6" i="10" s="1"/>
  <c r="AV3" i="10" a="1"/>
  <c r="AV3" i="10" s="1"/>
  <c r="AZ1" i="10" a="1"/>
  <c r="AZ1" i="10" s="1"/>
  <c r="BC4" i="10" a="1"/>
  <c r="BC1" i="10" a="1"/>
  <c r="BC1" i="10" l="1"/>
  <c r="BC4" i="10"/>
  <c r="AU7" i="10"/>
  <c r="AU10" i="10"/>
  <c r="AV10" i="10" a="1"/>
  <c r="AV10" i="10" l="1"/>
  <c r="BA9" i="10"/>
  <c r="BB6" i="10" a="1"/>
  <c r="BB6" i="10" s="1"/>
  <c r="BG1" i="10" a="1"/>
  <c r="BG1" i="10" s="1"/>
  <c r="BC3" i="10" a="1"/>
  <c r="BC3" i="10" s="1"/>
  <c r="BD6" i="10" a="1"/>
  <c r="BD6" i="10" s="1"/>
  <c r="BC6" i="10" a="1"/>
  <c r="BC6" i="10" s="1"/>
  <c r="BD7" i="10" s="1"/>
  <c r="BF3" i="10" a="1"/>
  <c r="BF3" i="10" s="1"/>
  <c r="BB1" i="10"/>
  <c r="BF7" i="10" a="1"/>
  <c r="BF7" i="10" s="1"/>
  <c r="BF2" i="10" a="1"/>
  <c r="BF2" i="10" s="1"/>
  <c r="BF6" i="10" a="1"/>
  <c r="BF6" i="10" s="1"/>
  <c r="BF4" i="10" a="1"/>
  <c r="BF4" i="10" s="1"/>
  <c r="AV12" i="10" a="1"/>
  <c r="AV9" i="10" a="1"/>
  <c r="BB7" i="10" l="1"/>
  <c r="AV9" i="10"/>
  <c r="AV12" i="10"/>
  <c r="BB10" i="10"/>
  <c r="BC10" i="10" a="1"/>
  <c r="BC10" i="10" l="1"/>
  <c r="AT17" i="10"/>
  <c r="AU9" i="10"/>
  <c r="AV14" i="10" a="1"/>
  <c r="AV14" i="10" s="1"/>
  <c r="AW15" i="10" s="1"/>
  <c r="AY11" i="10" a="1"/>
  <c r="AY11" i="10" s="1"/>
  <c r="AY15" i="10" a="1"/>
  <c r="AY15" i="10" s="1"/>
  <c r="AZ9" i="10" a="1"/>
  <c r="AZ9" i="10" s="1"/>
  <c r="AW14" i="10" a="1"/>
  <c r="AW14" i="10" s="1"/>
  <c r="AY14" i="10" a="1"/>
  <c r="AY14" i="10" s="1"/>
  <c r="AV11" i="10" a="1"/>
  <c r="AV11" i="10" s="1"/>
  <c r="AY12" i="10" a="1"/>
  <c r="AY12" i="10" s="1"/>
  <c r="AU14" i="10" a="1"/>
  <c r="AU14" i="10" s="1"/>
  <c r="AY10" i="10" a="1"/>
  <c r="AY10" i="10" s="1"/>
  <c r="BC9" i="10" a="1"/>
  <c r="BC12" i="10" a="1"/>
  <c r="BC12" i="10" l="1"/>
  <c r="BC9" i="10"/>
  <c r="AU15" i="10"/>
  <c r="AU18" i="10"/>
  <c r="AV18" i="10" a="1"/>
  <c r="AV18" i="10" l="1"/>
  <c r="BA17" i="10"/>
  <c r="BD14" i="10" a="1"/>
  <c r="BD14" i="10" s="1"/>
  <c r="BB9" i="10"/>
  <c r="BF12" i="10" a="1"/>
  <c r="BF12" i="10" s="1"/>
  <c r="BC11" i="10" a="1"/>
  <c r="BC11" i="10" s="1"/>
  <c r="BG9" i="10" a="1"/>
  <c r="BG9" i="10" s="1"/>
  <c r="BF11" i="10" a="1"/>
  <c r="BF11" i="10" s="1"/>
  <c r="BC14" i="10" a="1"/>
  <c r="BC14" i="10" s="1"/>
  <c r="BB15" i="10" s="1"/>
  <c r="BB14" i="10" a="1"/>
  <c r="BB14" i="10" s="1"/>
  <c r="BF10" i="10" a="1"/>
  <c r="BF10" i="10" s="1"/>
  <c r="BF14" i="10" a="1"/>
  <c r="BF14" i="10" s="1"/>
  <c r="BF15" i="10" a="1"/>
  <c r="BF15" i="10" s="1"/>
  <c r="BD15" i="10"/>
  <c r="AV20" i="10" a="1"/>
  <c r="AV17" i="10" a="1"/>
  <c r="AV17" i="10" l="1"/>
  <c r="AV20" i="10"/>
  <c r="BB18" i="10"/>
  <c r="BC18" i="10" a="1"/>
  <c r="BC18" i="10" l="1"/>
  <c r="AT25" i="10"/>
  <c r="AU22" i="10" a="1"/>
  <c r="AU22" i="10" s="1"/>
  <c r="AY19" i="10" a="1"/>
  <c r="AY19" i="10" s="1"/>
  <c r="AU17" i="10"/>
  <c r="AW22" i="10" a="1"/>
  <c r="AW22" i="10" s="1"/>
  <c r="AY23" i="10" a="1"/>
  <c r="AY23" i="10" s="1"/>
  <c r="AY22" i="10" a="1"/>
  <c r="AY22" i="10" s="1"/>
  <c r="AV22" i="10" a="1"/>
  <c r="AV22" i="10" s="1"/>
  <c r="AW23" i="10" s="1"/>
  <c r="AZ17" i="10" a="1"/>
  <c r="AZ17" i="10" s="1"/>
  <c r="AY18" i="10" a="1"/>
  <c r="AY18" i="10" s="1"/>
  <c r="AY20" i="10" a="1"/>
  <c r="AY20" i="10" s="1"/>
  <c r="AV19" i="10" a="1"/>
  <c r="AV19" i="10" s="1"/>
  <c r="BC20" i="10" a="1"/>
  <c r="BC17" i="10" a="1"/>
  <c r="BC17" i="10" l="1"/>
  <c r="BC20" i="10"/>
  <c r="AU23" i="10"/>
  <c r="AU26" i="10"/>
  <c r="AV26" i="10" a="1"/>
  <c r="AV26" i="10" l="1"/>
  <c r="BA25" i="10"/>
  <c r="BB22" i="10" a="1"/>
  <c r="BB22" i="10" s="1"/>
  <c r="BB17" i="10"/>
  <c r="BF18" i="10" a="1"/>
  <c r="BF18" i="10" s="1"/>
  <c r="BF20" i="10" a="1"/>
  <c r="BF20" i="10" s="1"/>
  <c r="BG17" i="10" a="1"/>
  <c r="BG17" i="10" s="1"/>
  <c r="BC19" i="10" a="1"/>
  <c r="BC19" i="10" s="1"/>
  <c r="BF23" i="10" a="1"/>
  <c r="BF23" i="10" s="1"/>
  <c r="BC22" i="10" a="1"/>
  <c r="BC22" i="10" s="1"/>
  <c r="BD23" i="10" s="1"/>
  <c r="BF19" i="10" a="1"/>
  <c r="BF19" i="10" s="1"/>
  <c r="BF22" i="10" a="1"/>
  <c r="BF22" i="10" s="1"/>
  <c r="BD22" i="10" a="1"/>
  <c r="BD22" i="10" s="1"/>
  <c r="AV28" i="10" a="1"/>
  <c r="AV25" i="10" a="1"/>
  <c r="AV25" i="10" l="1"/>
  <c r="AV28" i="10"/>
  <c r="BB23" i="10"/>
  <c r="BB26" i="10"/>
  <c r="BC26" i="10" a="1"/>
  <c r="BC26" i="10" l="1"/>
  <c r="AT33" i="10"/>
  <c r="AW30" i="10" a="1"/>
  <c r="AW30" i="10" s="1"/>
  <c r="AY28" i="10" a="1"/>
  <c r="AY28" i="10" s="1"/>
  <c r="AV27" i="10" a="1"/>
  <c r="AV27" i="10" s="1"/>
  <c r="AY31" i="10" a="1"/>
  <c r="AY31" i="10" s="1"/>
  <c r="AY27" i="10" a="1"/>
  <c r="AY27" i="10" s="1"/>
  <c r="AU30" i="10" a="1"/>
  <c r="AU30" i="10" s="1"/>
  <c r="AV30" i="10" a="1"/>
  <c r="AV30" i="10" s="1"/>
  <c r="AW31" i="10" s="1"/>
  <c r="AU25" i="10"/>
  <c r="AY30" i="10" a="1"/>
  <c r="AY30" i="10" s="1"/>
  <c r="AZ25" i="10" a="1"/>
  <c r="AZ25" i="10" s="1"/>
  <c r="AY26" i="10" a="1"/>
  <c r="AY26" i="10" s="1"/>
  <c r="BC28" i="10" a="1"/>
  <c r="BC25" i="10" a="1"/>
  <c r="BC25" i="10" l="1"/>
  <c r="BC28" i="10"/>
  <c r="AU31" i="10"/>
  <c r="AU34" i="10"/>
  <c r="AV34" i="10" a="1"/>
  <c r="AV34" i="10" l="1"/>
  <c r="BA33" i="10"/>
  <c r="BG25" i="10" a="1"/>
  <c r="BG25" i="10" s="1"/>
  <c r="BB30" i="10" a="1"/>
  <c r="BB30" i="10" s="1"/>
  <c r="BC30" i="10" a="1"/>
  <c r="BC30" i="10" s="1"/>
  <c r="BB31" i="10" s="1"/>
  <c r="BC27" i="10" a="1"/>
  <c r="BC27" i="10" s="1"/>
  <c r="BF30" i="10" a="1"/>
  <c r="BF30" i="10" s="1"/>
  <c r="BF28" i="10" a="1"/>
  <c r="BF28" i="10" s="1"/>
  <c r="BF27" i="10" a="1"/>
  <c r="BF27" i="10" s="1"/>
  <c r="BF31" i="10" a="1"/>
  <c r="BF31" i="10" s="1"/>
  <c r="BD30" i="10" a="1"/>
  <c r="BD30" i="10" s="1"/>
  <c r="BF26" i="10" a="1"/>
  <c r="BF26" i="10" s="1"/>
  <c r="BB25" i="10"/>
  <c r="AV36" i="10" a="1"/>
  <c r="AV33" i="10" a="1"/>
  <c r="BD31" i="10" l="1"/>
  <c r="AV33" i="10"/>
  <c r="AV36" i="10"/>
  <c r="BB34" i="10"/>
  <c r="BC34" i="10" a="1"/>
  <c r="BC34" i="10" l="1"/>
  <c r="AT41" i="10"/>
  <c r="AV38" i="10" a="1"/>
  <c r="AV38" i="10" s="1"/>
  <c r="AW39" i="10" s="1"/>
  <c r="AV35" i="10" a="1"/>
  <c r="AV35" i="10" s="1"/>
  <c r="AU38" i="10" a="1"/>
  <c r="AU38" i="10" s="1"/>
  <c r="AZ33" i="10" a="1"/>
  <c r="AZ33" i="10" s="1"/>
  <c r="AY34" i="10" a="1"/>
  <c r="AY34" i="10" s="1"/>
  <c r="AY35" i="10" a="1"/>
  <c r="AY35" i="10" s="1"/>
  <c r="AY38" i="10" a="1"/>
  <c r="AY38" i="10" s="1"/>
  <c r="AU33" i="10"/>
  <c r="AY39" i="10" a="1"/>
  <c r="AY39" i="10" s="1"/>
  <c r="AY36" i="10" a="1"/>
  <c r="AY36" i="10" s="1"/>
  <c r="AW38" i="10" a="1"/>
  <c r="AW38" i="10" s="1"/>
  <c r="BC33" i="10" a="1"/>
  <c r="BC36" i="10" a="1"/>
  <c r="BC36" i="10" l="1"/>
  <c r="BC33" i="10"/>
  <c r="AU39" i="10"/>
  <c r="AU42" i="10"/>
  <c r="AV42" i="10" a="1"/>
  <c r="AV42" i="10" l="1"/>
  <c r="BA41" i="10"/>
  <c r="BB38" i="10" a="1"/>
  <c r="BB38" i="10" s="1"/>
  <c r="BC38" i="10" a="1"/>
  <c r="BC38" i="10" s="1"/>
  <c r="BB39" i="10" s="1"/>
  <c r="BF36" i="10" a="1"/>
  <c r="BF36" i="10" s="1"/>
  <c r="BF35" i="10" a="1"/>
  <c r="BF35" i="10" s="1"/>
  <c r="BG33" i="10" a="1"/>
  <c r="BG33" i="10" s="1"/>
  <c r="BF34" i="10" a="1"/>
  <c r="BF34" i="10" s="1"/>
  <c r="BB33" i="10"/>
  <c r="BD38" i="10" a="1"/>
  <c r="BD38" i="10" s="1"/>
  <c r="BF38" i="10" a="1"/>
  <c r="BF38" i="10" s="1"/>
  <c r="BF39" i="10" a="1"/>
  <c r="BF39" i="10" s="1"/>
  <c r="BC35" i="10" a="1"/>
  <c r="BC35" i="10" s="1"/>
  <c r="BD39" i="10"/>
  <c r="AV41" i="10" a="1"/>
  <c r="AV44" i="10" a="1"/>
  <c r="AV44" i="10" l="1"/>
  <c r="AV41" i="10"/>
  <c r="BB42" i="10"/>
  <c r="BC42" i="10" a="1"/>
  <c r="BC42" i="10" l="1"/>
  <c r="BI1" i="10"/>
  <c r="AV43" i="10" a="1"/>
  <c r="AV43" i="10" s="1"/>
  <c r="AY44" i="10" a="1"/>
  <c r="AY44" i="10" s="1"/>
  <c r="AU41" i="10"/>
  <c r="AW46" i="10" a="1"/>
  <c r="AW46" i="10" s="1"/>
  <c r="AV46" i="10" a="1"/>
  <c r="AV46" i="10" s="1"/>
  <c r="AU47" i="10" s="1"/>
  <c r="AY47" i="10" a="1"/>
  <c r="AY47" i="10" s="1"/>
  <c r="AY46" i="10" a="1"/>
  <c r="AY46" i="10" s="1"/>
  <c r="AZ41" i="10" a="1"/>
  <c r="AZ41" i="10" s="1"/>
  <c r="AY43" i="10" a="1"/>
  <c r="AY43" i="10" s="1"/>
  <c r="AU46" i="10" a="1"/>
  <c r="AU46" i="10" s="1"/>
  <c r="AY42" i="10" a="1"/>
  <c r="AY42" i="10" s="1"/>
  <c r="BC41" i="10" a="1"/>
  <c r="BC44" i="10" a="1"/>
  <c r="AW47" i="10" l="1"/>
  <c r="BC44" i="10"/>
  <c r="BC41" i="10"/>
  <c r="BJ2" i="10"/>
  <c r="BK2" i="10" a="1"/>
  <c r="BK2" i="10" l="1"/>
  <c r="BP1" i="10"/>
  <c r="BB41" i="10"/>
  <c r="BG41" i="10" a="1"/>
  <c r="BG41" i="10" s="1"/>
  <c r="BF42" i="10" a="1"/>
  <c r="BF42" i="10" s="1"/>
  <c r="BC43" i="10" a="1"/>
  <c r="BC43" i="10" s="1"/>
  <c r="BF43" i="10" a="1"/>
  <c r="BF43" i="10" s="1"/>
  <c r="BF46" i="10" a="1"/>
  <c r="BF46" i="10" s="1"/>
  <c r="BB46" i="10" a="1"/>
  <c r="BB46" i="10" s="1"/>
  <c r="BC46" i="10" a="1"/>
  <c r="BC46" i="10" s="1"/>
  <c r="BB47" i="10" s="1"/>
  <c r="BD46" i="10" a="1"/>
  <c r="BD46" i="10" s="1"/>
  <c r="BF47" i="10" a="1"/>
  <c r="BF47" i="10" s="1"/>
  <c r="BF44" i="10" a="1"/>
  <c r="BF44" i="10" s="1"/>
  <c r="BD47" i="10"/>
  <c r="BK4" i="10" a="1"/>
  <c r="BK1" i="10" a="1"/>
  <c r="BK1" i="10" l="1"/>
  <c r="BK4" i="10"/>
  <c r="BQ2" i="10"/>
  <c r="BR2" i="10" a="1"/>
  <c r="BR2" i="10" l="1"/>
  <c r="BI9" i="10"/>
  <c r="BK6" i="10" a="1"/>
  <c r="BK6" i="10" s="1"/>
  <c r="BJ7" i="10" s="1"/>
  <c r="BN6" i="10" a="1"/>
  <c r="BN6" i="10" s="1"/>
  <c r="BO1" i="10" a="1"/>
  <c r="BO1" i="10" s="1"/>
  <c r="BJ1" i="10"/>
  <c r="BK3" i="10" a="1"/>
  <c r="BK3" i="10" s="1"/>
  <c r="BN2" i="10" a="1"/>
  <c r="BN2" i="10" s="1"/>
  <c r="BL6" i="10" a="1"/>
  <c r="BL6" i="10" s="1"/>
  <c r="BN7" i="10" a="1"/>
  <c r="BN7" i="10" s="1"/>
  <c r="BJ6" i="10" a="1"/>
  <c r="BJ6" i="10" s="1"/>
  <c r="BN3" i="10" a="1"/>
  <c r="BN3" i="10" s="1"/>
  <c r="BN4" i="10" a="1"/>
  <c r="BN4" i="10" s="1"/>
  <c r="BR4" i="10" a="1"/>
  <c r="BR1" i="10" a="1"/>
  <c r="BR1" i="10" l="1"/>
  <c r="BR4" i="10"/>
  <c r="BL7" i="10"/>
  <c r="BJ10" i="10"/>
  <c r="BK10" i="10" a="1"/>
  <c r="BK10" i="10" l="1"/>
  <c r="BP9" i="10"/>
  <c r="BR3" i="10" a="1"/>
  <c r="BR3" i="10" s="1"/>
  <c r="BQ6" i="10" a="1"/>
  <c r="BQ6" i="10" s="1"/>
  <c r="BU3" i="10" a="1"/>
  <c r="BU3" i="10" s="1"/>
  <c r="BU6" i="10" a="1"/>
  <c r="BU6" i="10" s="1"/>
  <c r="BS6" i="10" a="1"/>
  <c r="BS6" i="10" s="1"/>
  <c r="BU7" i="10" a="1"/>
  <c r="BU7" i="10" s="1"/>
  <c r="BU4" i="10" a="1"/>
  <c r="BU4" i="10" s="1"/>
  <c r="BV1" i="10" a="1"/>
  <c r="BV1" i="10" s="1"/>
  <c r="BQ1" i="10"/>
  <c r="BR6" i="10" a="1"/>
  <c r="BR6" i="10" s="1"/>
  <c r="BS7" i="10" s="1"/>
  <c r="BU2" i="10" a="1"/>
  <c r="BU2" i="10" s="1"/>
  <c r="BK9" i="10" a="1"/>
  <c r="BK12" i="10" a="1"/>
  <c r="BK12" i="10" l="1"/>
  <c r="BK9" i="10"/>
  <c r="BQ7" i="10"/>
  <c r="BQ10" i="10"/>
  <c r="BR10" i="10" a="1"/>
  <c r="BR10" i="10" l="1"/>
  <c r="BI17" i="10"/>
  <c r="BO9" i="10" a="1"/>
  <c r="BO9" i="10" s="1"/>
  <c r="BK14" i="10" a="1"/>
  <c r="BK14" i="10" s="1"/>
  <c r="BL15" i="10" s="1"/>
  <c r="BN11" i="10" a="1"/>
  <c r="BN11" i="10" s="1"/>
  <c r="BJ9" i="10"/>
  <c r="BN12" i="10" a="1"/>
  <c r="BN12" i="10" s="1"/>
  <c r="BJ14" i="10" a="1"/>
  <c r="BJ14" i="10" s="1"/>
  <c r="BK11" i="10" a="1"/>
  <c r="BK11" i="10" s="1"/>
  <c r="BN10" i="10" a="1"/>
  <c r="BN10" i="10" s="1"/>
  <c r="BN14" i="10" a="1"/>
  <c r="BN14" i="10" s="1"/>
  <c r="BL14" i="10" a="1"/>
  <c r="BL14" i="10" s="1"/>
  <c r="BN15" i="10" a="1"/>
  <c r="BN15" i="10" s="1"/>
  <c r="BJ15" i="10"/>
  <c r="BR12" i="10" a="1"/>
  <c r="BR9" i="10" a="1"/>
  <c r="BR9" i="10" l="1"/>
  <c r="BR12" i="10"/>
  <c r="BJ18" i="10"/>
  <c r="BK18" i="10" a="1"/>
  <c r="BK18" i="10" l="1"/>
  <c r="BP17" i="10"/>
  <c r="BU14" i="10" a="1"/>
  <c r="BU14" i="10" s="1"/>
  <c r="BQ14" i="10" a="1"/>
  <c r="BQ14" i="10" s="1"/>
  <c r="BR14" i="10" a="1"/>
  <c r="BR14" i="10" s="1"/>
  <c r="BQ15" i="10" s="1"/>
  <c r="BR11" i="10" a="1"/>
  <c r="BR11" i="10" s="1"/>
  <c r="BU11" i="10" a="1"/>
  <c r="BU11" i="10" s="1"/>
  <c r="BU10" i="10" a="1"/>
  <c r="BU10" i="10" s="1"/>
  <c r="BS14" i="10" a="1"/>
  <c r="BS14" i="10" s="1"/>
  <c r="BV9" i="10" a="1"/>
  <c r="BV9" i="10" s="1"/>
  <c r="BU12" i="10" a="1"/>
  <c r="BU12" i="10" s="1"/>
  <c r="BU15" i="10" a="1"/>
  <c r="BU15" i="10" s="1"/>
  <c r="BQ9" i="10"/>
  <c r="BK17" i="10" a="1"/>
  <c r="BK20" i="10" a="1"/>
  <c r="BS15" i="10" l="1"/>
  <c r="BK20" i="10"/>
  <c r="BK17" i="10"/>
  <c r="BQ18" i="10"/>
  <c r="BR18" i="10" a="1"/>
  <c r="BR18" i="10" l="1"/>
  <c r="BI25" i="10"/>
  <c r="BL22" i="10" a="1"/>
  <c r="BL22" i="10" s="1"/>
  <c r="BO17" i="10" a="1"/>
  <c r="BO17" i="10" s="1"/>
  <c r="BK22" i="10" a="1"/>
  <c r="BK22" i="10" s="1"/>
  <c r="BJ23" i="10" s="1"/>
  <c r="BK19" i="10" a="1"/>
  <c r="BK19" i="10" s="1"/>
  <c r="BN20" i="10" a="1"/>
  <c r="BN20" i="10" s="1"/>
  <c r="BN19" i="10" a="1"/>
  <c r="BN19" i="10" s="1"/>
  <c r="BN22" i="10" a="1"/>
  <c r="BN22" i="10" s="1"/>
  <c r="BN23" i="10" a="1"/>
  <c r="BN23" i="10" s="1"/>
  <c r="BJ22" i="10" a="1"/>
  <c r="BJ22" i="10" s="1"/>
  <c r="BJ17" i="10"/>
  <c r="BN18" i="10" a="1"/>
  <c r="BN18" i="10" s="1"/>
  <c r="BL23" i="10"/>
  <c r="BR17" i="10" a="1"/>
  <c r="BR20" i="10" a="1"/>
  <c r="BR20" i="10" l="1"/>
  <c r="BR17" i="10"/>
  <c r="BJ26" i="10"/>
  <c r="BK26" i="10" a="1"/>
  <c r="BK26" i="10" l="1"/>
  <c r="BP25" i="10"/>
  <c r="BR19" i="10" a="1"/>
  <c r="BR19" i="10" s="1"/>
  <c r="BU18" i="10" a="1"/>
  <c r="BU18" i="10" s="1"/>
  <c r="BQ22" i="10" a="1"/>
  <c r="BQ22" i="10" s="1"/>
  <c r="BU19" i="10" a="1"/>
  <c r="BU19" i="10" s="1"/>
  <c r="BU20" i="10" a="1"/>
  <c r="BU20" i="10" s="1"/>
  <c r="BR22" i="10" a="1"/>
  <c r="BR22" i="10" s="1"/>
  <c r="BS23" i="10" s="1"/>
  <c r="BU22" i="10" a="1"/>
  <c r="BU22" i="10" s="1"/>
  <c r="BU23" i="10" a="1"/>
  <c r="BU23" i="10" s="1"/>
  <c r="BS22" i="10" a="1"/>
  <c r="BS22" i="10" s="1"/>
  <c r="BV17" i="10" a="1"/>
  <c r="BV17" i="10" s="1"/>
  <c r="BQ17" i="10"/>
  <c r="BK28" i="10" a="1"/>
  <c r="BK25" i="10" a="1"/>
  <c r="BQ23" i="10" l="1"/>
  <c r="BK25" i="10"/>
  <c r="BK28" i="10"/>
  <c r="BQ26" i="10"/>
  <c r="BR26" i="10" a="1"/>
  <c r="BR26" i="10" l="1"/>
  <c r="BI33" i="10"/>
  <c r="BL30" i="10" a="1"/>
  <c r="BL30" i="10" s="1"/>
  <c r="BJ25" i="10"/>
  <c r="BN26" i="10" a="1"/>
  <c r="BN26" i="10" s="1"/>
  <c r="BN31" i="10" a="1"/>
  <c r="BN31" i="10" s="1"/>
  <c r="BK30" i="10" a="1"/>
  <c r="BK30" i="10" s="1"/>
  <c r="BJ31" i="10" s="1"/>
  <c r="BK27" i="10" a="1"/>
  <c r="BK27" i="10" s="1"/>
  <c r="BN30" i="10" a="1"/>
  <c r="BN30" i="10" s="1"/>
  <c r="BN28" i="10" a="1"/>
  <c r="BN28" i="10" s="1"/>
  <c r="BN27" i="10" a="1"/>
  <c r="BN27" i="10" s="1"/>
  <c r="BO25" i="10" a="1"/>
  <c r="BO25" i="10" s="1"/>
  <c r="BJ30" i="10" a="1"/>
  <c r="BJ30" i="10" s="1"/>
  <c r="BR25" i="10" a="1"/>
  <c r="BR28" i="10" a="1"/>
  <c r="BR28" i="10" l="1"/>
  <c r="BR25" i="10"/>
  <c r="BL31" i="10"/>
  <c r="BJ34" i="10"/>
  <c r="BK34" i="10" a="1"/>
  <c r="BK34" i="10" l="1"/>
  <c r="BP33" i="10"/>
  <c r="BU30" i="10" a="1"/>
  <c r="BU30" i="10" s="1"/>
  <c r="BR30" i="10" a="1"/>
  <c r="BR30" i="10" s="1"/>
  <c r="BS31" i="10" s="1"/>
  <c r="BR27" i="10" a="1"/>
  <c r="BR27" i="10" s="1"/>
  <c r="BU31" i="10" a="1"/>
  <c r="BU31" i="10" s="1"/>
  <c r="BQ30" i="10" a="1"/>
  <c r="BQ30" i="10" s="1"/>
  <c r="BU27" i="10" a="1"/>
  <c r="BU27" i="10" s="1"/>
  <c r="BQ25" i="10"/>
  <c r="BU28" i="10" a="1"/>
  <c r="BU28" i="10" s="1"/>
  <c r="BV25" i="10" a="1"/>
  <c r="BV25" i="10" s="1"/>
  <c r="BS30" i="10" a="1"/>
  <c r="BS30" i="10" s="1"/>
  <c r="BU26" i="10" a="1"/>
  <c r="BU26" i="10" s="1"/>
  <c r="BQ31" i="10"/>
  <c r="BK36" i="10" a="1"/>
  <c r="BK33" i="10" a="1"/>
  <c r="BK33" i="10" l="1"/>
  <c r="BK36" i="10"/>
  <c r="BQ34" i="10"/>
  <c r="BR34" i="10" a="1"/>
  <c r="BR34" i="10" l="1"/>
  <c r="BI41" i="10"/>
  <c r="BL39" i="10"/>
  <c r="BJ39" i="10"/>
  <c r="BN35" i="10" a="1"/>
  <c r="BN35" i="10" s="1"/>
  <c r="BL38" i="10" a="1"/>
  <c r="BL38" i="10" s="1"/>
  <c r="BN38" i="10" a="1"/>
  <c r="BN38" i="10" s="1"/>
  <c r="BN36" i="10" a="1"/>
  <c r="BN36" i="10" s="1"/>
  <c r="BK38" i="10" a="1"/>
  <c r="BK38" i="10" s="1"/>
  <c r="BJ38" i="10" a="1"/>
  <c r="BJ38" i="10" s="1"/>
  <c r="BN39" i="10" a="1"/>
  <c r="BN39" i="10" s="1"/>
  <c r="BJ33" i="10"/>
  <c r="BO33" i="10" a="1"/>
  <c r="BO33" i="10" s="1"/>
  <c r="BK35" i="10" a="1"/>
  <c r="BK35" i="10" s="1"/>
  <c r="BN34" i="10" a="1"/>
  <c r="BN34" i="10" s="1"/>
  <c r="BR33" i="10" a="1"/>
  <c r="BR36" i="10" a="1"/>
  <c r="BR36" i="10" l="1"/>
  <c r="BR33" i="10"/>
  <c r="BJ42" i="10"/>
  <c r="BK42" i="10" a="1"/>
  <c r="BK42" i="10" l="1"/>
  <c r="BP41" i="10"/>
  <c r="BQ38" i="10" a="1"/>
  <c r="BQ38" i="10" s="1"/>
  <c r="BR35" i="10" a="1"/>
  <c r="BR35" i="10" s="1"/>
  <c r="BR38" i="10" a="1"/>
  <c r="BR38" i="10" s="1"/>
  <c r="BS39" i="10" s="1"/>
  <c r="BV33" i="10" a="1"/>
  <c r="BV33" i="10" s="1"/>
  <c r="BU36" i="10" a="1"/>
  <c r="BU36" i="10" s="1"/>
  <c r="BU34" i="10" a="1"/>
  <c r="BU34" i="10" s="1"/>
  <c r="BU39" i="10" a="1"/>
  <c r="BU39" i="10" s="1"/>
  <c r="BQ33" i="10"/>
  <c r="BS38" i="10" a="1"/>
  <c r="BS38" i="10" s="1"/>
  <c r="BU38" i="10" a="1"/>
  <c r="BU38" i="10" s="1"/>
  <c r="BU35" i="10" a="1"/>
  <c r="BU35" i="10" s="1"/>
  <c r="BK44" i="10" a="1"/>
  <c r="BK41" i="10" a="1"/>
  <c r="BK41" i="10" l="1"/>
  <c r="BK44" i="10"/>
  <c r="BQ39" i="10"/>
  <c r="BQ42" i="10"/>
  <c r="BR42" i="10" a="1"/>
  <c r="BR42" i="10" l="1"/>
  <c r="BX1" i="10"/>
  <c r="BN46" i="10" a="1"/>
  <c r="BN46" i="10" s="1"/>
  <c r="BK43" i="10" a="1"/>
  <c r="BK43" i="10" s="1"/>
  <c r="BO41" i="10" a="1"/>
  <c r="BO41" i="10" s="1"/>
  <c r="BK46" i="10" a="1"/>
  <c r="BK46" i="10" s="1"/>
  <c r="BJ47" i="10" s="1"/>
  <c r="BN44" i="10" a="1"/>
  <c r="BN44" i="10" s="1"/>
  <c r="BN42" i="10" a="1"/>
  <c r="BN42" i="10" s="1"/>
  <c r="BL46" i="10" a="1"/>
  <c r="BL46" i="10" s="1"/>
  <c r="BJ41" i="10"/>
  <c r="BN43" i="10" a="1"/>
  <c r="BN43" i="10" s="1"/>
  <c r="BJ46" i="10" a="1"/>
  <c r="BJ46" i="10" s="1"/>
  <c r="BN47" i="10" a="1"/>
  <c r="BN47" i="10" s="1"/>
  <c r="BR41" i="10" a="1"/>
  <c r="BR44" i="10" a="1"/>
  <c r="BL47" i="10" l="1"/>
  <c r="BR44" i="10"/>
  <c r="BR41" i="10"/>
  <c r="BY2" i="10"/>
  <c r="BZ2" i="10" a="1"/>
  <c r="BZ2" i="10" l="1"/>
  <c r="CE1" i="10"/>
  <c r="BS46" i="10" a="1"/>
  <c r="BS46" i="10" s="1"/>
  <c r="BU43" i="10" a="1"/>
  <c r="BU43" i="10" s="1"/>
  <c r="BR43" i="10" a="1"/>
  <c r="BR43" i="10" s="1"/>
  <c r="BR46" i="10" a="1"/>
  <c r="BR46" i="10" s="1"/>
  <c r="BQ47" i="10" s="1"/>
  <c r="BQ41" i="10"/>
  <c r="BV41" i="10" a="1"/>
  <c r="BV41" i="10" s="1"/>
  <c r="BU44" i="10" a="1"/>
  <c r="BU44" i="10" s="1"/>
  <c r="BU46" i="10" a="1"/>
  <c r="BU46" i="10" s="1"/>
  <c r="BQ46" i="10" a="1"/>
  <c r="BQ46" i="10" s="1"/>
  <c r="BU47" i="10" a="1"/>
  <c r="BU47" i="10" s="1"/>
  <c r="BU42" i="10" a="1"/>
  <c r="BU42" i="10" s="1"/>
  <c r="BZ4" i="10" a="1"/>
  <c r="BZ1" i="10" a="1"/>
  <c r="BS47" i="10" l="1"/>
  <c r="BZ1" i="10"/>
  <c r="BZ4" i="10"/>
  <c r="CF2" i="10"/>
  <c r="CG2" i="10" a="1"/>
  <c r="CG2" i="10" l="1"/>
  <c r="BX9" i="10"/>
  <c r="CD1" i="10" a="1"/>
  <c r="CD1" i="10" s="1"/>
  <c r="CC4" i="10" a="1"/>
  <c r="CC4" i="10" s="1"/>
  <c r="CC7" i="10" a="1"/>
  <c r="CC7" i="10" s="1"/>
  <c r="BZ6" i="10" a="1"/>
  <c r="BZ6" i="10" s="1"/>
  <c r="CA7" i="10" s="1"/>
  <c r="CC3" i="10" a="1"/>
  <c r="CC3" i="10" s="1"/>
  <c r="CC2" i="10" a="1"/>
  <c r="CC2" i="10" s="1"/>
  <c r="BY6" i="10" a="1"/>
  <c r="BY6" i="10" s="1"/>
  <c r="CC6" i="10" a="1"/>
  <c r="CC6" i="10" s="1"/>
  <c r="BY1" i="10"/>
  <c r="BZ3" i="10" a="1"/>
  <c r="BZ3" i="10" s="1"/>
  <c r="CA6" i="10" a="1"/>
  <c r="CA6" i="10" s="1"/>
  <c r="CG1" i="10" a="1"/>
  <c r="CG4" i="10" a="1"/>
  <c r="BY7" i="10" l="1"/>
  <c r="CG4" i="10"/>
  <c r="CG1" i="10"/>
  <c r="BY10" i="10"/>
  <c r="BZ10" i="10" a="1"/>
  <c r="BZ10" i="10" l="1"/>
  <c r="CE9" i="10"/>
  <c r="CF6" i="10" a="1"/>
  <c r="CF6" i="10" s="1"/>
  <c r="CJ7" i="10" a="1"/>
  <c r="CJ7" i="10" s="1"/>
  <c r="CH6" i="10" a="1"/>
  <c r="CH6" i="10" s="1"/>
  <c r="CG6" i="10" a="1"/>
  <c r="CG6" i="10" s="1"/>
  <c r="CH7" i="10" s="1"/>
  <c r="CF1" i="10"/>
  <c r="CK1" i="10" a="1"/>
  <c r="CK1" i="10" s="1"/>
  <c r="CG3" i="10" a="1"/>
  <c r="CG3" i="10" s="1"/>
  <c r="CJ6" i="10" a="1"/>
  <c r="CJ6" i="10" s="1"/>
  <c r="CJ2" i="10" a="1"/>
  <c r="CJ2" i="10" s="1"/>
  <c r="CJ4" i="10" a="1"/>
  <c r="CJ4" i="10" s="1"/>
  <c r="CJ3" i="10" a="1"/>
  <c r="CJ3" i="10" s="1"/>
  <c r="BZ12" i="10" a="1"/>
  <c r="BZ9" i="10" a="1"/>
  <c r="BZ9" i="10" l="1"/>
  <c r="BZ12" i="10"/>
  <c r="CF7" i="10"/>
  <c r="CF10" i="10"/>
  <c r="CG10" i="10" a="1"/>
  <c r="CG10" i="10" l="1"/>
  <c r="BX17" i="10"/>
  <c r="CC10" i="10" a="1"/>
  <c r="CC10" i="10" s="1"/>
  <c r="BZ11" i="10" a="1"/>
  <c r="BZ11" i="10" s="1"/>
  <c r="BZ14" i="10" a="1"/>
  <c r="BZ14" i="10" s="1"/>
  <c r="CA15" i="10" s="1"/>
  <c r="CA14" i="10" a="1"/>
  <c r="CA14" i="10" s="1"/>
  <c r="CD9" i="10" a="1"/>
  <c r="CD9" i="10" s="1"/>
  <c r="CC11" i="10" a="1"/>
  <c r="CC11" i="10" s="1"/>
  <c r="CC12" i="10" a="1"/>
  <c r="CC12" i="10" s="1"/>
  <c r="CC15" i="10" a="1"/>
  <c r="CC15" i="10" s="1"/>
  <c r="CC14" i="10" a="1"/>
  <c r="CC14" i="10" s="1"/>
  <c r="BY9" i="10"/>
  <c r="BY14" i="10" a="1"/>
  <c r="BY14" i="10" s="1"/>
  <c r="CG12" i="10" a="1"/>
  <c r="CG9" i="10" a="1"/>
  <c r="CG9" i="10" l="1"/>
  <c r="CG12" i="10"/>
  <c r="BY15" i="10"/>
  <c r="BY18" i="10"/>
  <c r="BZ18" i="10" a="1"/>
  <c r="BZ18" i="10" l="1"/>
  <c r="CE17" i="10"/>
  <c r="CJ12" i="10" a="1"/>
  <c r="CJ12" i="10" s="1"/>
  <c r="CF9" i="10"/>
  <c r="CG14" i="10" a="1"/>
  <c r="CG14" i="10" s="1"/>
  <c r="CH15" i="10" s="1"/>
  <c r="CJ15" i="10" a="1"/>
  <c r="CJ15" i="10" s="1"/>
  <c r="CG11" i="10" a="1"/>
  <c r="CG11" i="10" s="1"/>
  <c r="CJ11" i="10" a="1"/>
  <c r="CJ11" i="10" s="1"/>
  <c r="CK9" i="10" a="1"/>
  <c r="CK9" i="10" s="1"/>
  <c r="CJ14" i="10" a="1"/>
  <c r="CJ14" i="10" s="1"/>
  <c r="CH14" i="10" a="1"/>
  <c r="CH14" i="10" s="1"/>
  <c r="CF14" i="10" a="1"/>
  <c r="CF14" i="10" s="1"/>
  <c r="CJ10" i="10" a="1"/>
  <c r="CJ10" i="10" s="1"/>
  <c r="BZ17" i="10" a="1"/>
  <c r="BZ20" i="10" a="1"/>
  <c r="CF15" i="10" l="1"/>
  <c r="BZ20" i="10"/>
  <c r="BZ17" i="10"/>
  <c r="CF18" i="10"/>
  <c r="CG18" i="10" a="1"/>
  <c r="CG18" i="10" l="1"/>
  <c r="BX25" i="10"/>
  <c r="CC22" i="10" a="1"/>
  <c r="CC22" i="10" s="1"/>
  <c r="CD17" i="10" a="1"/>
  <c r="CD17" i="10" s="1"/>
  <c r="CA22" i="10" a="1"/>
  <c r="CA22" i="10" s="1"/>
  <c r="BY17" i="10"/>
  <c r="CC23" i="10" a="1"/>
  <c r="CC23" i="10" s="1"/>
  <c r="CC19" i="10" a="1"/>
  <c r="CC19" i="10" s="1"/>
  <c r="BZ19" i="10" a="1"/>
  <c r="BZ19" i="10" s="1"/>
  <c r="CC18" i="10" a="1"/>
  <c r="CC18" i="10" s="1"/>
  <c r="BY22" i="10" a="1"/>
  <c r="BY22" i="10" s="1"/>
  <c r="BZ22" i="10" a="1"/>
  <c r="BZ22" i="10" s="1"/>
  <c r="BY23" i="10" s="1"/>
  <c r="CC20" i="10" a="1"/>
  <c r="CC20" i="10" s="1"/>
  <c r="CA23" i="10"/>
  <c r="CG17" i="10" a="1"/>
  <c r="CG20" i="10" a="1"/>
  <c r="CG20" i="10" l="1"/>
  <c r="CG17" i="10"/>
  <c r="BY26" i="10"/>
  <c r="BZ26" i="10" a="1"/>
  <c r="BZ26" i="10" l="1"/>
  <c r="CE25" i="10"/>
  <c r="CJ18" i="10" a="1"/>
  <c r="CJ18" i="10" s="1"/>
  <c r="CJ23" i="10" a="1"/>
  <c r="CJ23" i="10" s="1"/>
  <c r="CG22" i="10" a="1"/>
  <c r="CG22" i="10" s="1"/>
  <c r="CH23" i="10" s="1"/>
  <c r="CJ20" i="10" a="1"/>
  <c r="CJ20" i="10" s="1"/>
  <c r="CG19" i="10" a="1"/>
  <c r="CG19" i="10" s="1"/>
  <c r="CF17" i="10"/>
  <c r="CF22" i="10" a="1"/>
  <c r="CF22" i="10" s="1"/>
  <c r="CH22" i="10" a="1"/>
  <c r="CH22" i="10" s="1"/>
  <c r="CK17" i="10" a="1"/>
  <c r="CK17" i="10" s="1"/>
  <c r="CJ19" i="10" a="1"/>
  <c r="CJ19" i="10" s="1"/>
  <c r="CJ22" i="10" a="1"/>
  <c r="CJ22" i="10" s="1"/>
  <c r="CF23" i="10"/>
  <c r="BZ28" i="10" a="1"/>
  <c r="BZ25" i="10" a="1"/>
  <c r="BZ25" i="10" l="1"/>
  <c r="BZ28" i="10"/>
  <c r="CF26" i="10"/>
  <c r="CG26" i="10" a="1"/>
  <c r="CG26" i="10" l="1"/>
  <c r="BX33" i="10"/>
  <c r="BY25" i="10"/>
  <c r="BZ30" i="10" a="1"/>
  <c r="BZ30" i="10" s="1"/>
  <c r="BY31" i="10" s="1"/>
  <c r="CA30" i="10" a="1"/>
  <c r="CA30" i="10" s="1"/>
  <c r="CC27" i="10" a="1"/>
  <c r="CC27" i="10" s="1"/>
  <c r="BZ27" i="10" a="1"/>
  <c r="BZ27" i="10" s="1"/>
  <c r="BY30" i="10" a="1"/>
  <c r="BY30" i="10" s="1"/>
  <c r="CD25" i="10" a="1"/>
  <c r="CD25" i="10" s="1"/>
  <c r="CC26" i="10" a="1"/>
  <c r="CC26" i="10" s="1"/>
  <c r="CC31" i="10" a="1"/>
  <c r="CC31" i="10" s="1"/>
  <c r="CC30" i="10" a="1"/>
  <c r="CC30" i="10" s="1"/>
  <c r="CC28" i="10" a="1"/>
  <c r="CC28" i="10" s="1"/>
  <c r="CG25" i="10" a="1"/>
  <c r="CG28" i="10" a="1"/>
  <c r="CG28" i="10" l="1"/>
  <c r="CG25" i="10"/>
  <c r="CA31" i="10"/>
  <c r="BY34" i="10"/>
  <c r="BZ34" i="10" a="1"/>
  <c r="BZ34" i="10" l="1"/>
  <c r="CE33" i="10"/>
  <c r="CH30" i="10" a="1"/>
  <c r="CH30" i="10" s="1"/>
  <c r="CJ30" i="10" a="1"/>
  <c r="CJ30" i="10" s="1"/>
  <c r="CG27" i="10" a="1"/>
  <c r="CG27" i="10" s="1"/>
  <c r="CK25" i="10" a="1"/>
  <c r="CK25" i="10" s="1"/>
  <c r="CJ26" i="10" a="1"/>
  <c r="CJ26" i="10" s="1"/>
  <c r="CJ31" i="10" a="1"/>
  <c r="CJ31" i="10" s="1"/>
  <c r="CJ28" i="10" a="1"/>
  <c r="CJ28" i="10" s="1"/>
  <c r="CF25" i="10"/>
  <c r="CJ27" i="10" a="1"/>
  <c r="CJ27" i="10" s="1"/>
  <c r="CF30" i="10" a="1"/>
  <c r="CF30" i="10" s="1"/>
  <c r="CG30" i="10" a="1"/>
  <c r="CG30" i="10" s="1"/>
  <c r="CH31" i="10" s="1"/>
  <c r="BZ36" i="10" a="1"/>
  <c r="BZ33" i="10" a="1"/>
  <c r="BZ33" i="10" l="1"/>
  <c r="BZ36" i="10"/>
  <c r="CF31" i="10"/>
  <c r="CF34" i="10"/>
  <c r="CG34" i="10" a="1"/>
  <c r="CG34" i="10" l="1"/>
  <c r="BX41" i="10"/>
  <c r="BY39" i="10"/>
  <c r="BY38" i="10" a="1"/>
  <c r="BY38" i="10" s="1"/>
  <c r="CC34" i="10" a="1"/>
  <c r="CC34" i="10" s="1"/>
  <c r="CA38" i="10" a="1"/>
  <c r="CA38" i="10" s="1"/>
  <c r="BZ35" i="10" a="1"/>
  <c r="BZ35" i="10" s="1"/>
  <c r="CC39" i="10" a="1"/>
  <c r="CC39" i="10" s="1"/>
  <c r="BZ38" i="10" a="1"/>
  <c r="BZ38" i="10" s="1"/>
  <c r="CA39" i="10" s="1"/>
  <c r="CD33" i="10" a="1"/>
  <c r="CD33" i="10" s="1"/>
  <c r="BY33" i="10"/>
  <c r="CC36" i="10" a="1"/>
  <c r="CC36" i="10" s="1"/>
  <c r="CC35" i="10" a="1"/>
  <c r="CC35" i="10" s="1"/>
  <c r="CC38" i="10" a="1"/>
  <c r="CC38" i="10" s="1"/>
  <c r="CG33" i="10" a="1"/>
  <c r="CG36" i="10" a="1"/>
  <c r="CG36" i="10" l="1"/>
  <c r="CG33" i="10"/>
  <c r="BY42" i="10"/>
  <c r="BZ42" i="10" a="1"/>
  <c r="BZ42" i="10" l="1"/>
  <c r="CE41" i="10"/>
  <c r="CF33" i="10"/>
  <c r="CJ36" i="10" a="1"/>
  <c r="CJ36" i="10" s="1"/>
  <c r="CJ35" i="10" a="1"/>
  <c r="CJ35" i="10" s="1"/>
  <c r="CG38" i="10" a="1"/>
  <c r="CG38" i="10" s="1"/>
  <c r="CF39" i="10" s="1"/>
  <c r="CH38" i="10" a="1"/>
  <c r="CH38" i="10" s="1"/>
  <c r="CK33" i="10" a="1"/>
  <c r="CK33" i="10" s="1"/>
  <c r="CG35" i="10" a="1"/>
  <c r="CG35" i="10" s="1"/>
  <c r="CJ39" i="10" a="1"/>
  <c r="CJ39" i="10" s="1"/>
  <c r="CF38" i="10" a="1"/>
  <c r="CF38" i="10" s="1"/>
  <c r="CJ34" i="10" a="1"/>
  <c r="CJ34" i="10" s="1"/>
  <c r="CJ38" i="10" a="1"/>
  <c r="CJ38" i="10" s="1"/>
  <c r="BZ44" i="10" a="1"/>
  <c r="BZ41" i="10" a="1"/>
  <c r="BZ41" i="10" l="1"/>
  <c r="BZ44" i="10"/>
  <c r="CH39" i="10"/>
  <c r="CF42" i="10"/>
  <c r="CG42" i="10" a="1"/>
  <c r="CG42" i="10" l="1"/>
  <c r="CM1" i="10"/>
  <c r="CD41" i="10" a="1"/>
  <c r="CD41" i="10" s="1"/>
  <c r="BZ46" i="10" a="1"/>
  <c r="BZ46" i="10" s="1"/>
  <c r="CA47" i="10" s="1"/>
  <c r="BY46" i="10" a="1"/>
  <c r="BY46" i="10" s="1"/>
  <c r="CC47" i="10" a="1"/>
  <c r="CC47" i="10" s="1"/>
  <c r="CC46" i="10" a="1"/>
  <c r="CC46" i="10" s="1"/>
  <c r="CC43" i="10" a="1"/>
  <c r="CC43" i="10" s="1"/>
  <c r="BZ43" i="10" a="1"/>
  <c r="BZ43" i="10" s="1"/>
  <c r="CA46" i="10" a="1"/>
  <c r="CA46" i="10" s="1"/>
  <c r="CC44" i="10" a="1"/>
  <c r="CC44" i="10" s="1"/>
  <c r="BY41" i="10"/>
  <c r="CC42" i="10" a="1"/>
  <c r="CC42" i="10" s="1"/>
  <c r="CG44" i="10" a="1"/>
  <c r="CG41" i="10" a="1"/>
  <c r="CG41" i="10" l="1"/>
  <c r="CG44" i="10"/>
  <c r="BY47" i="10"/>
  <c r="CN2" i="10"/>
  <c r="CO2" i="10" a="1"/>
  <c r="CO2" i="10" l="1"/>
  <c r="CT1" i="10"/>
  <c r="CJ43" i="10" a="1"/>
  <c r="CJ43" i="10" s="1"/>
  <c r="CG43" i="10" a="1"/>
  <c r="CG43" i="10" s="1"/>
  <c r="CF46" i="10" a="1"/>
  <c r="CF46" i="10" s="1"/>
  <c r="CH46" i="10" a="1"/>
  <c r="CH46" i="10" s="1"/>
  <c r="CJ47" i="10" a="1"/>
  <c r="CJ47" i="10" s="1"/>
  <c r="CK41" i="10" a="1"/>
  <c r="CK41" i="10" s="1"/>
  <c r="CF41" i="10"/>
  <c r="CJ42" i="10" a="1"/>
  <c r="CJ42" i="10" s="1"/>
  <c r="CJ46" i="10" a="1"/>
  <c r="CJ46" i="10" s="1"/>
  <c r="CJ44" i="10" a="1"/>
  <c r="CJ44" i="10" s="1"/>
  <c r="CG46" i="10" a="1"/>
  <c r="CG46" i="10" s="1"/>
  <c r="CH47" i="10" s="1"/>
  <c r="CO4" i="10" a="1"/>
  <c r="CO1" i="10" a="1"/>
  <c r="CF47" i="10" l="1"/>
  <c r="CO1" i="10"/>
  <c r="CO4" i="10"/>
  <c r="CU2" i="10"/>
  <c r="CV2" i="10" a="1"/>
  <c r="CV2" i="10" l="1"/>
  <c r="CM9" i="10"/>
  <c r="CR7" i="10" a="1"/>
  <c r="CR7" i="10" s="1"/>
  <c r="CO6" i="10" a="1"/>
  <c r="CO6" i="10" s="1"/>
  <c r="CN7" i="10" s="1"/>
  <c r="CS1" i="10" a="1"/>
  <c r="CS1" i="10" s="1"/>
  <c r="CR4" i="10" a="1"/>
  <c r="CR4" i="10" s="1"/>
  <c r="CP6" i="10" a="1"/>
  <c r="CP6" i="10" s="1"/>
  <c r="CR3" i="10" a="1"/>
  <c r="CR3" i="10" s="1"/>
  <c r="CO3" i="10" a="1"/>
  <c r="CO3" i="10" s="1"/>
  <c r="CR2" i="10" a="1"/>
  <c r="CR2" i="10" s="1"/>
  <c r="CR6" i="10" a="1"/>
  <c r="CR6" i="10" s="1"/>
  <c r="CN1" i="10"/>
  <c r="CN6" i="10" a="1"/>
  <c r="CN6" i="10" s="1"/>
  <c r="CV1" i="10" a="1"/>
  <c r="CV4" i="10" a="1"/>
  <c r="CV4" i="10" l="1"/>
  <c r="CV1" i="10"/>
  <c r="CP7" i="10"/>
  <c r="CN10" i="10"/>
  <c r="CO10" i="10" a="1"/>
  <c r="CO10" i="10" l="1"/>
  <c r="CT9" i="10"/>
  <c r="CU6" i="10" a="1"/>
  <c r="CU6" i="10" s="1"/>
  <c r="CZ1" i="10" a="1"/>
  <c r="CZ1" i="10" s="1"/>
  <c r="CU1" i="10"/>
  <c r="CY3" i="10" a="1"/>
  <c r="CY3" i="10" s="1"/>
  <c r="CV6" i="10" a="1"/>
  <c r="CV6" i="10" s="1"/>
  <c r="CW7" i="10" s="1"/>
  <c r="CV3" i="10" a="1"/>
  <c r="CV3" i="10" s="1"/>
  <c r="CY6" i="10" a="1"/>
  <c r="CY6" i="10" s="1"/>
  <c r="CY4" i="10" a="1"/>
  <c r="CY4" i="10" s="1"/>
  <c r="CY7" i="10" a="1"/>
  <c r="CY7" i="10" s="1"/>
  <c r="CY2" i="10" a="1"/>
  <c r="CY2" i="10" s="1"/>
  <c r="CW6" i="10" a="1"/>
  <c r="CW6" i="10" s="1"/>
  <c r="CO9" i="10" a="1"/>
  <c r="CO12" i="10" a="1"/>
  <c r="CU7" i="10" l="1"/>
  <c r="CO12" i="10"/>
  <c r="CO9" i="10"/>
  <c r="CU10" i="10"/>
  <c r="CV10" i="10" a="1"/>
  <c r="CV10" i="10" l="1"/>
  <c r="CM17" i="10"/>
  <c r="CR15" i="10" a="1"/>
  <c r="CR15" i="10" s="1"/>
  <c r="CO11" i="10" a="1"/>
  <c r="CO11" i="10" s="1"/>
  <c r="CN14" i="10" a="1"/>
  <c r="CN14" i="10" s="1"/>
  <c r="CR11" i="10" a="1"/>
  <c r="CR11" i="10" s="1"/>
  <c r="CR14" i="10" a="1"/>
  <c r="CR14" i="10" s="1"/>
  <c r="CN9" i="10"/>
  <c r="CR10" i="10" a="1"/>
  <c r="CR10" i="10" s="1"/>
  <c r="CR12" i="10" a="1"/>
  <c r="CR12" i="10" s="1"/>
  <c r="CS9" i="10" a="1"/>
  <c r="CS9" i="10" s="1"/>
  <c r="CO14" i="10" a="1"/>
  <c r="CO14" i="10" s="1"/>
  <c r="CP15" i="10" s="1"/>
  <c r="CP14" i="10" a="1"/>
  <c r="CP14" i="10" s="1"/>
  <c r="CN15" i="10"/>
  <c r="CV9" i="10" a="1"/>
  <c r="CV12" i="10" a="1"/>
  <c r="CV12" i="10" l="1"/>
  <c r="CV9" i="10"/>
  <c r="CN18" i="10"/>
  <c r="CO18" i="10" a="1"/>
  <c r="CO18" i="10" l="1"/>
  <c r="CT17" i="10"/>
  <c r="CU9" i="10"/>
  <c r="CY11" i="10" a="1"/>
  <c r="CY11" i="10" s="1"/>
  <c r="CY15" i="10" a="1"/>
  <c r="CY15" i="10" s="1"/>
  <c r="CY12" i="10" a="1"/>
  <c r="CY12" i="10" s="1"/>
  <c r="CV11" i="10" a="1"/>
  <c r="CV11" i="10" s="1"/>
  <c r="CV14" i="10" a="1"/>
  <c r="CV14" i="10" s="1"/>
  <c r="CW15" i="10" s="1"/>
  <c r="CY10" i="10" a="1"/>
  <c r="CY10" i="10" s="1"/>
  <c r="CW14" i="10" a="1"/>
  <c r="CW14" i="10" s="1"/>
  <c r="CY14" i="10" a="1"/>
  <c r="CY14" i="10" s="1"/>
  <c r="CZ9" i="10" a="1"/>
  <c r="CZ9" i="10" s="1"/>
  <c r="CU14" i="10" a="1"/>
  <c r="CU14" i="10" s="1"/>
  <c r="CO17" i="10" a="1"/>
  <c r="CO20" i="10" a="1"/>
  <c r="CU15" i="10" l="1"/>
  <c r="CO20" i="10"/>
  <c r="CO17" i="10"/>
  <c r="CU18" i="10"/>
  <c r="CV18" i="10" a="1"/>
  <c r="CV18" i="10" l="1"/>
  <c r="CM25" i="10"/>
  <c r="CO22" i="10" a="1"/>
  <c r="CO22" i="10" s="1"/>
  <c r="CP23" i="10" s="1"/>
  <c r="CR18" i="10" a="1"/>
  <c r="CR18" i="10" s="1"/>
  <c r="CR19" i="10" a="1"/>
  <c r="CR19" i="10" s="1"/>
  <c r="CN22" i="10" a="1"/>
  <c r="CN22" i="10" s="1"/>
  <c r="CR22" i="10" a="1"/>
  <c r="CR22" i="10" s="1"/>
  <c r="CN17" i="10"/>
  <c r="CP22" i="10" a="1"/>
  <c r="CP22" i="10" s="1"/>
  <c r="CO19" i="10" a="1"/>
  <c r="CO19" i="10" s="1"/>
  <c r="CS17" i="10" a="1"/>
  <c r="CS17" i="10" s="1"/>
  <c r="CR23" i="10" a="1"/>
  <c r="CR23" i="10" s="1"/>
  <c r="CR20" i="10" a="1"/>
  <c r="CR20" i="10" s="1"/>
  <c r="CN23" i="10"/>
  <c r="CV17" i="10" a="1"/>
  <c r="CV20" i="10" a="1"/>
  <c r="CV20" i="10" l="1"/>
  <c r="CV17" i="10"/>
  <c r="CN26" i="10"/>
  <c r="CO26" i="10" a="1"/>
  <c r="CO26" i="10" l="1"/>
  <c r="CT25" i="10"/>
  <c r="CY18" i="10" a="1"/>
  <c r="CY18" i="10" s="1"/>
  <c r="CU17" i="10"/>
  <c r="CY22" i="10" a="1"/>
  <c r="CY22" i="10" s="1"/>
  <c r="CY23" i="10" a="1"/>
  <c r="CY23" i="10" s="1"/>
  <c r="CY20" i="10" a="1"/>
  <c r="CY20" i="10" s="1"/>
  <c r="CV19" i="10" a="1"/>
  <c r="CV19" i="10" s="1"/>
  <c r="CW22" i="10" a="1"/>
  <c r="CW22" i="10" s="1"/>
  <c r="CU22" i="10" a="1"/>
  <c r="CU22" i="10" s="1"/>
  <c r="CZ17" i="10" a="1"/>
  <c r="CZ17" i="10" s="1"/>
  <c r="CY19" i="10" a="1"/>
  <c r="CY19" i="10" s="1"/>
  <c r="CV22" i="10" a="1"/>
  <c r="CV22" i="10" s="1"/>
  <c r="CU23" i="10" s="1"/>
  <c r="CO28" i="10" a="1"/>
  <c r="CO25" i="10" a="1"/>
  <c r="CO25" i="10" l="1"/>
  <c r="CO28" i="10"/>
  <c r="CW23" i="10"/>
  <c r="CU26" i="10"/>
  <c r="CV26" i="10" a="1"/>
  <c r="CV26" i="10" l="1"/>
  <c r="CM33" i="10"/>
  <c r="CR28" i="10" a="1"/>
  <c r="CR28" i="10" s="1"/>
  <c r="CR31" i="10" a="1"/>
  <c r="CR31" i="10" s="1"/>
  <c r="CS25" i="10" a="1"/>
  <c r="CS25" i="10" s="1"/>
  <c r="CR30" i="10" a="1"/>
  <c r="CR30" i="10" s="1"/>
  <c r="CO30" i="10" a="1"/>
  <c r="CO30" i="10" s="1"/>
  <c r="CP31" i="10" s="1"/>
  <c r="CN25" i="10"/>
  <c r="CR26" i="10" a="1"/>
  <c r="CR26" i="10" s="1"/>
  <c r="CR27" i="10" a="1"/>
  <c r="CR27" i="10" s="1"/>
  <c r="CO27" i="10" a="1"/>
  <c r="CO27" i="10" s="1"/>
  <c r="CN30" i="10" a="1"/>
  <c r="CN30" i="10" s="1"/>
  <c r="CP30" i="10" a="1"/>
  <c r="CP30" i="10" s="1"/>
  <c r="CV25" i="10" a="1"/>
  <c r="CV28" i="10" a="1"/>
  <c r="CN31" i="10" l="1"/>
  <c r="CV28" i="10"/>
  <c r="CV25" i="10"/>
  <c r="CN34" i="10"/>
  <c r="CO34" i="10" a="1"/>
  <c r="CO34" i="10" l="1"/>
  <c r="CT33" i="10"/>
  <c r="CY28" i="10" a="1"/>
  <c r="CY28" i="10" s="1"/>
  <c r="CY30" i="10" a="1"/>
  <c r="CY30" i="10" s="1"/>
  <c r="CY26" i="10" a="1"/>
  <c r="CY26" i="10" s="1"/>
  <c r="CU25" i="10"/>
  <c r="CU30" i="10" a="1"/>
  <c r="CU30" i="10" s="1"/>
  <c r="CV30" i="10" a="1"/>
  <c r="CV30" i="10" s="1"/>
  <c r="CW31" i="10" s="1"/>
  <c r="CV27" i="10" a="1"/>
  <c r="CV27" i="10" s="1"/>
  <c r="CZ25" i="10" a="1"/>
  <c r="CZ25" i="10" s="1"/>
  <c r="CW30" i="10" a="1"/>
  <c r="CW30" i="10" s="1"/>
  <c r="CY27" i="10" a="1"/>
  <c r="CY27" i="10" s="1"/>
  <c r="CY31" i="10" a="1"/>
  <c r="CY31" i="10" s="1"/>
  <c r="CO36" i="10" a="1"/>
  <c r="CO33" i="10" a="1"/>
  <c r="CU31" i="10" l="1"/>
  <c r="CO33" i="10"/>
  <c r="CO36" i="10"/>
  <c r="CU34" i="10"/>
  <c r="CV34" i="10" a="1"/>
  <c r="CV34" i="10" l="1"/>
  <c r="CM41" i="10"/>
  <c r="CR38" i="10" a="1"/>
  <c r="CR38" i="10" s="1"/>
  <c r="CR35" i="10" a="1"/>
  <c r="CR35" i="10" s="1"/>
  <c r="CS33" i="10" a="1"/>
  <c r="CS33" i="10" s="1"/>
  <c r="CO35" i="10" a="1"/>
  <c r="CO35" i="10" s="1"/>
  <c r="CN38" i="10" a="1"/>
  <c r="CN38" i="10" s="1"/>
  <c r="CR39" i="10" a="1"/>
  <c r="CR39" i="10" s="1"/>
  <c r="CR36" i="10" a="1"/>
  <c r="CR36" i="10" s="1"/>
  <c r="CR34" i="10" a="1"/>
  <c r="CR34" i="10" s="1"/>
  <c r="CO38" i="10" a="1"/>
  <c r="CO38" i="10" s="1"/>
  <c r="CP39" i="10" s="1"/>
  <c r="CN33" i="10"/>
  <c r="CP38" i="10" a="1"/>
  <c r="CP38" i="10" s="1"/>
  <c r="CV33" i="10" a="1"/>
  <c r="CV36" i="10" a="1"/>
  <c r="CV36" i="10" l="1"/>
  <c r="CV33" i="10"/>
  <c r="CN39" i="10"/>
  <c r="CN42" i="10"/>
  <c r="CO42" i="10" a="1"/>
  <c r="CO42" i="10" l="1"/>
  <c r="CT41" i="10"/>
  <c r="CU38" i="10" a="1"/>
  <c r="CU38" i="10" s="1"/>
  <c r="CY36" i="10" a="1"/>
  <c r="CY36" i="10" s="1"/>
  <c r="CZ33" i="10" a="1"/>
  <c r="CZ33" i="10" s="1"/>
  <c r="CY34" i="10" a="1"/>
  <c r="CY34" i="10" s="1"/>
  <c r="CY35" i="10" a="1"/>
  <c r="CY35" i="10" s="1"/>
  <c r="CW38" i="10" a="1"/>
  <c r="CW38" i="10" s="1"/>
  <c r="CV38" i="10" a="1"/>
  <c r="CV38" i="10" s="1"/>
  <c r="CW39" i="10" s="1"/>
  <c r="CU33" i="10"/>
  <c r="CY39" i="10" a="1"/>
  <c r="CY39" i="10" s="1"/>
  <c r="CY38" i="10" a="1"/>
  <c r="CY38" i="10" s="1"/>
  <c r="CV35" i="10" a="1"/>
  <c r="CV35" i="10" s="1"/>
  <c r="CU39" i="10"/>
  <c r="CO41" i="10" a="1"/>
  <c r="CO44" i="10" a="1"/>
  <c r="CO44" i="10" l="1"/>
  <c r="CO41" i="10"/>
  <c r="CU42" i="10"/>
  <c r="CV42" i="10" a="1"/>
  <c r="CV42" i="10" l="1"/>
  <c r="CN41" i="10"/>
  <c r="CN46" i="10" a="1"/>
  <c r="CN46" i="10" s="1"/>
  <c r="CR43" i="10" a="1"/>
  <c r="CR43" i="10" s="1"/>
  <c r="CP46" i="10" a="1"/>
  <c r="CP46" i="10" s="1"/>
  <c r="CS41" i="10" a="1"/>
  <c r="CS41" i="10" s="1"/>
  <c r="CR44" i="10" a="1"/>
  <c r="CR44" i="10" s="1"/>
  <c r="CR46" i="10" a="1"/>
  <c r="CR46" i="10" s="1"/>
  <c r="CR47" i="10" a="1"/>
  <c r="CR47" i="10" s="1"/>
  <c r="CO46" i="10" a="1"/>
  <c r="CO46" i="10" s="1"/>
  <c r="CN47" i="10" s="1"/>
  <c r="CR42" i="10" a="1"/>
  <c r="CR42" i="10" s="1"/>
  <c r="CO43" i="10" a="1"/>
  <c r="CO43" i="10" s="1"/>
  <c r="CP47" i="10"/>
  <c r="CV44" i="10" a="1"/>
  <c r="CV41" i="10" a="1"/>
  <c r="CV41" i="10" l="1"/>
  <c r="CV44" i="10"/>
  <c r="CY42" i="10" l="1" a="1"/>
  <c r="CY42" i="10" s="1"/>
  <c r="CU41" i="10"/>
  <c r="CZ41" i="10" a="1"/>
  <c r="CZ41" i="10" s="1"/>
  <c r="CY46" i="10" a="1"/>
  <c r="CY46" i="10" s="1"/>
  <c r="CV43" i="10" a="1"/>
  <c r="CV43" i="10" s="1"/>
  <c r="CY47" i="10" a="1"/>
  <c r="CY47" i="10" s="1"/>
  <c r="CU46" i="10" a="1"/>
  <c r="CU46" i="10" s="1"/>
  <c r="CW46" i="10" a="1"/>
  <c r="CW46" i="10" s="1"/>
  <c r="CY43" i="10" a="1"/>
  <c r="CY43" i="10" s="1"/>
  <c r="CV46" i="10" a="1"/>
  <c r="CV46" i="10" s="1"/>
  <c r="CW47" i="10" s="1"/>
  <c r="CY44" i="10" a="1"/>
  <c r="CY44" i="10" s="1"/>
  <c r="CU47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<sst xmlns="http://schemas.openxmlformats.org/spreadsheetml/2006/main" count="100" uniqueCount="35">
  <si>
    <t>赤</t>
  </si>
  <si>
    <t>キャラ弁（学食）</t>
  </si>
  <si>
    <t>キャラ弁当</t>
  </si>
  <si>
    <t>おやつ</t>
  </si>
  <si>
    <t>社食</t>
  </si>
  <si>
    <t>＊＊＊</t>
  </si>
  <si>
    <t>数出表</t>
  </si>
  <si>
    <t>上段：園児、下段：先生</t>
  </si>
  <si>
    <t>作成日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</si>
  <si>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</si>
  <si>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</si>
  <si>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</si>
  <si>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</si>
  <si>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</si>
  <si>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</si>
  <si>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</si>
  <si>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</si>
  <si>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</si>
  <si>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</si>
  <si>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</si>
  <si>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</si>
  <si>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</si>
  <si>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</si>
  <si>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</si>
  <si>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</si>
  <si>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</si>
  <si>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</si>
  <si>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</si>
  <si>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</si>
  <si>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</si>
  <si>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</si>
  <si>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</si>
  <si>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</si>
  <si>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</si>
  <si>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キャラ弁（学食）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</si>
</sst>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1" fillId="6" borderId="0" xfId="0" applyFont="1" applyFill="1" applyAlignment="1">
      <alignment horizontal="right"/>
    </xf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F6" sqref="F6"/>
    </sheetView>
  </sheetViews>
  <sheetFormatPr defaultRowHeight="18"/>
  <cols>
    <col min="1" max="1" width="16.69921875" style="29" customWidth="1"/>
    <col min="5" max="5" width="21.69921875" customWidth="1"/>
  </cols>
  <sheetData>
    <row r="1" spans="1:6">
      <c r="A1"/>
      <c r="E1" t="s">
        <v>34</v>
      </c>
      <c r="F1">
        <v>24</v>
      </c>
    </row>
    <row r="2" spans="1:6">
      <c r="A2"/>
      <c r="E2" t="s">
        <v>2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70"/>
  <sheetViews>
    <sheetView workbookViewId="0"/>
  </sheetViews>
  <sheetFormatPr defaultRowHeight="18"/>
  <cols>
    <col min="1" max="1" width="28.59765625" style="29" customWidth="1"/>
    <col min="8" max="8" width="3.19921875" style="131" customWidth="1"/>
    <col min="9" max="9" width="5.59765625" style="29" customWidth="1"/>
    <col min="10" max="15" width="14.796875" style="29" customWidth="1"/>
    <col min="16" max="21" width="4" customWidth="1"/>
  </cols>
  <sheetData>
    <row r="1" spans="1:22">
      <c r="A1"/>
      <c r="I1">
        <v>7</v>
      </c>
      <c r="J1" t="str" cm="1">
        <f t="array" aca="1" ref="J1" ca="1">IFERROR(IF(OR(COUNTIF(INDIRECT("数出表_Excel!"&amp;P1&amp;"3"),"*キャラ*"),
COUNTIF(INDIRECT("数出表_Excel!"&amp;P1&amp;"3"),"*赤*")),
INDIRECT("数出表_Excel!"&amp;P1&amp;"3")
&amp;"　"&amp;INDIRECT("数出表_Excel!"&amp;P1&amp;"4")
&amp;INDIRECT("数出表_Excel!"&amp;P1&amp;"5"),
INDIRECT("数出表_Excel!"&amp;P1&amp;"3")),"")</f>
        <v/>
      </c>
      <c r="K1" t="str" cm="1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 cm="1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 cm="1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 cm="1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 cm="1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ca="1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ca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ca="1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ca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" ca="1" si="0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ca="1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64" ca="1" si="1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>I1+2</f>
        <v>9</v>
      </c>
      <c r="J2" t="str" cm="1">
        <f t="array" aca="1" ref="J2" ca="1">IFERROR(IF(OR(COUNTIF(INDIRECT("数出表_Excel!"&amp;P2&amp;"3"),"*キャラ*"),
COUNTIF(INDIRECT("数出表_Excel!"&amp;P2&amp;"3"),"*赤*")),
INDIRECT("数出表_Excel!"&amp;P2&amp;"3")
&amp;"　"&amp;INDIRECT("数出表_Excel!"&amp;P2&amp;"4")
&amp;INDIRECT("数出表_Excel!"&amp;P2&amp;"5"),
INDIRECT("数出表_Excel!"&amp;P2&amp;"3")),"")</f>
        <v/>
      </c>
      <c r="K2" t="str" cm="1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 cm="1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 cm="1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 cm="1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 cm="1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ref="P2:P65" ca="1" si="2">IFERROR(
SUBSTITUTE(ADDRESS(1,
IFERROR(COLUMN(INDEX(INDIRECT("数出表_Excel!B"&amp;$I2-1&amp;":T"&amp;$I2-1&amp;""),1,MATCH(TEXT(B2,0),INDIRECT("数出表_Excel!B"&amp;$I2-1&amp;":T"&amp;$I2-1&amp;""),0))),""),4),"1",""),
"")</f>
        <v/>
      </c>
      <c r="Q2" t="str">
        <f t="shared" ref="Q2:Q65" ca="1" si="3">IFERROR(
SUBSTITUTE(ADDRESS(1,
IFERROR(COLUMN(INDEX(INDIRECT("数出表_Excel!B"&amp;$I2-1&amp;":T"&amp;$I2-1&amp;""),1,MATCH(TEXT(C2,0),INDIRECT("数出表_Excel!B"&amp;$I2-1&amp;":T"&amp;$I2-1&amp;""),0))),""),4),"1",""),
"")</f>
        <v/>
      </c>
      <c r="R2" t="str">
        <f t="shared" ref="R2:R65" ca="1" si="4">IFERROR(
SUBSTITUTE(ADDRESS(1,
IFERROR(COLUMN(INDEX(INDIRECT("数出表_Excel!B"&amp;$I2-1&amp;":T"&amp;$I2-1&amp;""),1,MATCH(TEXT(D2,0),INDIRECT("数出表_Excel!B"&amp;$I2-1&amp;":T"&amp;$I2-1&amp;""),0))),""),4),"1",""),
"")</f>
        <v/>
      </c>
      <c r="S2" t="str">
        <f t="shared" ref="S2:S65" ca="1" si="5">IFERROR(
SUBSTITUTE(ADDRESS(1,
IFERROR(COLUMN(INDEX(INDIRECT("数出表_Excel!B"&amp;$I2&amp;":T"&amp;$I2&amp;""),1,MATCH(TEXT(E2,0),INDIRECT("数出表_Excel!B"&amp;$I2&amp;":T"&amp;$I2&amp;""),0))),""),4),"1",""),
"")</f>
        <v/>
      </c>
      <c r="T2" t="str">
        <f t="shared" ref="T2:T65" ca="1" si="6">IFERROR(
SUBSTITUTE(ADDRESS(1,
IFERROR(COLUMN(INDEX(INDIRECT("数出表_Excel!B"&amp;$I2&amp;":T"&amp;$I2&amp;""),1,MATCH(TEXT(F2,0),INDIRECT("数出表_Excel!B"&amp;$I2&amp;":T"&amp;$I2&amp;""),0))),""),4),"1",""),
"")</f>
        <v/>
      </c>
      <c r="U2" t="str">
        <f t="shared" ref="U2:U65" ca="1" si="7">IFERROR(
SUBSTITUTE(ADDRESS(1,
IFERROR(COLUMN(INDEX(INDIRECT("数出表_Excel!B"&amp;$I2&amp;":T"&amp;$I2&amp;""),1,MATCH(TEXT(G2,0),INDIRECT("数出表_Excel!B"&amp;$I2&amp;":T"&amp;$I2&amp;""),0))),""),4),"1",""),
"")</f>
        <v/>
      </c>
      <c r="V2" t="str">
        <f t="shared" ca="1" si="1"/>
        <v/>
      </c>
    </row>
    <row r="3" spans="1:22">
      <c r="A3"/>
      <c r="I3">
        <f t="shared" ref="I3:I66" si="8">I2+2</f>
        <v>11</v>
      </c>
      <c r="J3" t="str" cm="1">
        <f t="array" aca="1" ref="J3" ca="1">IFERROR(IF(OR(COUNTIF(INDIRECT("数出表_Excel!"&amp;P3&amp;"3"),"*キャラ*"),
COUNTIF(INDIRECT("数出表_Excel!"&amp;P3&amp;"3"),"*赤*")),
INDIRECT("数出表_Excel!"&amp;P3&amp;"3")
&amp;"　"&amp;INDIRECT("数出表_Excel!"&amp;P3&amp;"4")
&amp;INDIRECT("数出表_Excel!"&amp;P3&amp;"5"),
INDIRECT("数出表_Excel!"&amp;P3&amp;"3")),"")</f>
        <v/>
      </c>
      <c r="K3" t="str" cm="1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 cm="1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 cm="1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 cm="1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 cm="1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2"/>
        <v/>
      </c>
      <c r="Q3" t="str">
        <f t="shared" ca="1" si="3"/>
        <v/>
      </c>
      <c r="R3" t="str">
        <f t="shared" ca="1" si="4"/>
        <v/>
      </c>
      <c r="S3" t="str">
        <f t="shared" ca="1" si="5"/>
        <v/>
      </c>
      <c r="T3" t="str">
        <f t="shared" ca="1" si="6"/>
        <v/>
      </c>
      <c r="U3" t="str">
        <f t="shared" ca="1" si="7"/>
        <v/>
      </c>
      <c r="V3" t="str">
        <f t="shared" ca="1" si="1"/>
        <v/>
      </c>
    </row>
    <row r="4" spans="1:22">
      <c r="A4"/>
      <c r="I4">
        <f t="shared" si="8"/>
        <v>13</v>
      </c>
      <c r="J4" t="str" cm="1">
        <f t="array" aca="1" ref="J4" ca="1">IFERROR(IF(OR(COUNTIF(INDIRECT("数出表_Excel!"&amp;P4&amp;"3"),"*キャラ*"),
COUNTIF(INDIRECT("数出表_Excel!"&amp;P4&amp;"3"),"*赤*")),
INDIRECT("数出表_Excel!"&amp;P4&amp;"3")
&amp;"　"&amp;INDIRECT("数出表_Excel!"&amp;P4&amp;"4")
&amp;INDIRECT("数出表_Excel!"&amp;P4&amp;"5"),
INDIRECT("数出表_Excel!"&amp;P4&amp;"3")),"")</f>
        <v/>
      </c>
      <c r="K4" t="str" cm="1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 cm="1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 cm="1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 cm="1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 cm="1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2"/>
        <v/>
      </c>
      <c r="Q4" t="str">
        <f t="shared" ca="1" si="3"/>
        <v/>
      </c>
      <c r="R4" t="str">
        <f t="shared" ca="1" si="4"/>
        <v/>
      </c>
      <c r="S4" t="str">
        <f t="shared" ca="1" si="5"/>
        <v/>
      </c>
      <c r="T4" t="str">
        <f t="shared" ca="1" si="6"/>
        <v/>
      </c>
      <c r="U4" t="str">
        <f t="shared" ca="1" si="7"/>
        <v/>
      </c>
      <c r="V4" t="str">
        <f t="shared" ca="1" si="1"/>
        <v/>
      </c>
    </row>
    <row r="5" spans="1:22">
      <c r="A5"/>
      <c r="I5">
        <f t="shared" si="8"/>
        <v>15</v>
      </c>
      <c r="J5" t="str" cm="1">
        <f t="array" aca="1" ref="J5" ca="1">IFERROR(IF(OR(COUNTIF(INDIRECT("数出表_Excel!"&amp;P5&amp;"3"),"*キャラ*"),
COUNTIF(INDIRECT("数出表_Excel!"&amp;P5&amp;"3"),"*赤*")),
INDIRECT("数出表_Excel!"&amp;P5&amp;"3")
&amp;"　"&amp;INDIRECT("数出表_Excel!"&amp;P5&amp;"4")
&amp;INDIRECT("数出表_Excel!"&amp;P5&amp;"5"),
INDIRECT("数出表_Excel!"&amp;P5&amp;"3")),"")</f>
        <v/>
      </c>
      <c r="K5" t="str" cm="1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 cm="1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 cm="1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 cm="1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 cm="1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2"/>
        <v/>
      </c>
      <c r="Q5" t="str">
        <f t="shared" ca="1" si="3"/>
        <v/>
      </c>
      <c r="R5" t="str">
        <f t="shared" ca="1" si="4"/>
        <v/>
      </c>
      <c r="S5" t="str">
        <f t="shared" ca="1" si="5"/>
        <v/>
      </c>
      <c r="T5" t="str">
        <f t="shared" ca="1" si="6"/>
        <v/>
      </c>
      <c r="U5" t="str">
        <f t="shared" ca="1" si="7"/>
        <v/>
      </c>
      <c r="V5" t="str">
        <f t="shared" ca="1" si="1"/>
        <v/>
      </c>
    </row>
    <row r="6" spans="1:22">
      <c r="A6"/>
      <c r="I6">
        <f t="shared" si="8"/>
        <v>17</v>
      </c>
      <c r="J6" t="str" cm="1">
        <f t="array" aca="1" ref="J6" ca="1">IFERROR(IF(OR(COUNTIF(INDIRECT("数出表_Excel!"&amp;P6&amp;"3"),"*キャラ*"),
COUNTIF(INDIRECT("数出表_Excel!"&amp;P6&amp;"3"),"*赤*")),
INDIRECT("数出表_Excel!"&amp;P6&amp;"3")
&amp;"　"&amp;INDIRECT("数出表_Excel!"&amp;P6&amp;"4")
&amp;INDIRECT("数出表_Excel!"&amp;P6&amp;"5"),
INDIRECT("数出表_Excel!"&amp;P6&amp;"3")),"")</f>
        <v/>
      </c>
      <c r="K6" t="str" cm="1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 cm="1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 cm="1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 cm="1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 cm="1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2"/>
        <v/>
      </c>
      <c r="Q6" t="str">
        <f t="shared" ca="1" si="3"/>
        <v/>
      </c>
      <c r="R6" t="str">
        <f t="shared" ca="1" si="4"/>
        <v/>
      </c>
      <c r="S6" t="str">
        <f t="shared" ca="1" si="5"/>
        <v/>
      </c>
      <c r="T6" t="str">
        <f t="shared" ca="1" si="6"/>
        <v/>
      </c>
      <c r="U6" t="str">
        <f t="shared" ca="1" si="7"/>
        <v/>
      </c>
      <c r="V6" t="str">
        <f t="shared" ca="1" si="1"/>
        <v/>
      </c>
    </row>
    <row r="7" spans="1:22">
      <c r="A7"/>
      <c r="I7">
        <f t="shared" si="8"/>
        <v>19</v>
      </c>
      <c r="J7" t="str" cm="1">
        <f t="array" aca="1" ref="J7" ca="1">IFERROR(IF(OR(COUNTIF(INDIRECT("数出表_Excel!"&amp;P7&amp;"3"),"*キャラ*"),
COUNTIF(INDIRECT("数出表_Excel!"&amp;P7&amp;"3"),"*赤*")),
INDIRECT("数出表_Excel!"&amp;P7&amp;"3")
&amp;"　"&amp;INDIRECT("数出表_Excel!"&amp;P7&amp;"4")
&amp;INDIRECT("数出表_Excel!"&amp;P7&amp;"5"),
INDIRECT("数出表_Excel!"&amp;P7&amp;"3")),"")</f>
        <v/>
      </c>
      <c r="K7" t="str" cm="1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 cm="1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 cm="1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 cm="1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 cm="1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2"/>
        <v/>
      </c>
      <c r="Q7" t="str">
        <f t="shared" ca="1" si="3"/>
        <v/>
      </c>
      <c r="R7" t="str">
        <f t="shared" ca="1" si="4"/>
        <v/>
      </c>
      <c r="S7" t="str">
        <f t="shared" ca="1" si="5"/>
        <v/>
      </c>
      <c r="T7" t="str">
        <f t="shared" ca="1" si="6"/>
        <v/>
      </c>
      <c r="U7" t="str">
        <f t="shared" ca="1" si="7"/>
        <v/>
      </c>
      <c r="V7" t="str">
        <f t="shared" ca="1" si="1"/>
        <v/>
      </c>
    </row>
    <row r="8" spans="1:22">
      <c r="A8"/>
      <c r="I8">
        <f t="shared" si="8"/>
        <v>21</v>
      </c>
      <c r="J8" t="str" cm="1">
        <f t="array" aca="1" ref="J8" ca="1">IFERROR(IF(OR(COUNTIF(INDIRECT("数出表_Excel!"&amp;P8&amp;"3"),"*キャラ*"),
COUNTIF(INDIRECT("数出表_Excel!"&amp;P8&amp;"3"),"*赤*")),
INDIRECT("数出表_Excel!"&amp;P8&amp;"3")
&amp;"　"&amp;INDIRECT("数出表_Excel!"&amp;P8&amp;"4")
&amp;INDIRECT("数出表_Excel!"&amp;P8&amp;"5"),
INDIRECT("数出表_Excel!"&amp;P8&amp;"3")),"")</f>
        <v/>
      </c>
      <c r="K8" t="str" cm="1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 cm="1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 cm="1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 cm="1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 cm="1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2"/>
        <v/>
      </c>
      <c r="Q8" t="str">
        <f t="shared" ca="1" si="3"/>
        <v/>
      </c>
      <c r="R8" t="str">
        <f t="shared" ca="1" si="4"/>
        <v/>
      </c>
      <c r="S8" t="str">
        <f t="shared" ca="1" si="5"/>
        <v/>
      </c>
      <c r="T8" t="str">
        <f t="shared" ca="1" si="6"/>
        <v/>
      </c>
      <c r="U8" t="str">
        <f t="shared" ca="1" si="7"/>
        <v/>
      </c>
      <c r="V8" t="str">
        <f t="shared" ca="1" si="1"/>
        <v/>
      </c>
    </row>
    <row r="9" spans="1:22">
      <c r="A9"/>
      <c r="I9">
        <f t="shared" si="8"/>
        <v>23</v>
      </c>
      <c r="J9" t="str" cm="1">
        <f t="array" aca="1" ref="J9" ca="1">IFERROR(IF(OR(COUNTIF(INDIRECT("数出表_Excel!"&amp;P9&amp;"3"),"*キャラ*"),
COUNTIF(INDIRECT("数出表_Excel!"&amp;P9&amp;"3"),"*赤*")),
INDIRECT("数出表_Excel!"&amp;P9&amp;"3")
&amp;"　"&amp;INDIRECT("数出表_Excel!"&amp;P9&amp;"4")
&amp;INDIRECT("数出表_Excel!"&amp;P9&amp;"5"),
INDIRECT("数出表_Excel!"&amp;P9&amp;"3")),"")</f>
        <v/>
      </c>
      <c r="K9" t="str" cm="1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 cm="1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 cm="1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 cm="1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 cm="1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2"/>
        <v/>
      </c>
      <c r="Q9" t="str">
        <f t="shared" ca="1" si="3"/>
        <v/>
      </c>
      <c r="R9" t="str">
        <f t="shared" ca="1" si="4"/>
        <v/>
      </c>
      <c r="S9" t="str">
        <f t="shared" ca="1" si="5"/>
        <v/>
      </c>
      <c r="T9" t="str">
        <f t="shared" ca="1" si="6"/>
        <v/>
      </c>
      <c r="U9" t="str">
        <f t="shared" ca="1" si="7"/>
        <v/>
      </c>
      <c r="V9" t="str">
        <f t="shared" ca="1" si="1"/>
        <v/>
      </c>
    </row>
    <row r="10" spans="1:22">
      <c r="A10"/>
      <c r="I10">
        <f t="shared" si="8"/>
        <v>25</v>
      </c>
      <c r="J10" t="str" cm="1">
        <f t="array" aca="1" ref="J10" ca="1">IFERROR(IF(OR(COUNTIF(INDIRECT("数出表_Excel!"&amp;P10&amp;"3"),"*キャラ*"),
COUNTIF(INDIRECT("数出表_Excel!"&amp;P10&amp;"3"),"*赤*")),
INDIRECT("数出表_Excel!"&amp;P10&amp;"3")
&amp;"　"&amp;INDIRECT("数出表_Excel!"&amp;P10&amp;"4")
&amp;INDIRECT("数出表_Excel!"&amp;P10&amp;"5"),
INDIRECT("数出表_Excel!"&amp;P10&amp;"3")),"")</f>
        <v/>
      </c>
      <c r="K10" t="str" cm="1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 cm="1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 cm="1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 cm="1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 cm="1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2"/>
        <v/>
      </c>
      <c r="Q10" t="str">
        <f t="shared" ca="1" si="3"/>
        <v/>
      </c>
      <c r="R10" t="str">
        <f t="shared" ca="1" si="4"/>
        <v/>
      </c>
      <c r="S10" t="str">
        <f t="shared" ca="1" si="5"/>
        <v/>
      </c>
      <c r="T10" t="str">
        <f t="shared" ca="1" si="6"/>
        <v/>
      </c>
      <c r="U10" t="str">
        <f t="shared" ca="1" si="7"/>
        <v/>
      </c>
      <c r="V10" t="str">
        <f t="shared" ca="1" si="1"/>
        <v/>
      </c>
    </row>
    <row r="11" spans="1:22">
      <c r="A11"/>
      <c r="I11">
        <f t="shared" si="8"/>
        <v>27</v>
      </c>
      <c r="J11" t="str" cm="1">
        <f t="array" aca="1" ref="J11" ca="1">IFERROR(IF(OR(COUNTIF(INDIRECT("数出表_Excel!"&amp;P11&amp;"3"),"*キャラ*"),
COUNTIF(INDIRECT("数出表_Excel!"&amp;P11&amp;"3"),"*赤*")),
INDIRECT("数出表_Excel!"&amp;P11&amp;"3")
&amp;"　"&amp;INDIRECT("数出表_Excel!"&amp;P11&amp;"4")
&amp;INDIRECT("数出表_Excel!"&amp;P11&amp;"5"),
INDIRECT("数出表_Excel!"&amp;P11&amp;"3")),"")</f>
        <v/>
      </c>
      <c r="K11" t="str" cm="1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 cm="1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 cm="1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 cm="1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 cm="1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2"/>
        <v/>
      </c>
      <c r="Q11" t="str">
        <f t="shared" ca="1" si="3"/>
        <v/>
      </c>
      <c r="R11" t="str">
        <f t="shared" ca="1" si="4"/>
        <v/>
      </c>
      <c r="S11" t="str">
        <f t="shared" ca="1" si="5"/>
        <v/>
      </c>
      <c r="T11" t="str">
        <f t="shared" ca="1" si="6"/>
        <v/>
      </c>
      <c r="U11" t="str">
        <f t="shared" ca="1" si="7"/>
        <v/>
      </c>
      <c r="V11" t="str">
        <f t="shared" ca="1" si="1"/>
        <v/>
      </c>
    </row>
    <row r="12" spans="1:22">
      <c r="A12"/>
      <c r="I12">
        <f t="shared" si="8"/>
        <v>29</v>
      </c>
      <c r="J12" t="str" cm="1">
        <f t="array" aca="1" ref="J12" ca="1">IFERROR(IF(OR(COUNTIF(INDIRECT("数出表_Excel!"&amp;P12&amp;"3"),"*キャラ*"),
COUNTIF(INDIRECT("数出表_Excel!"&amp;P12&amp;"3"),"*赤*")),
INDIRECT("数出表_Excel!"&amp;P12&amp;"3")
&amp;"　"&amp;INDIRECT("数出表_Excel!"&amp;P12&amp;"4")
&amp;INDIRECT("数出表_Excel!"&amp;P12&amp;"5"),
INDIRECT("数出表_Excel!"&amp;P12&amp;"3")),"")</f>
        <v/>
      </c>
      <c r="K12" t="str" cm="1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 cm="1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 cm="1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 cm="1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 cm="1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2"/>
        <v/>
      </c>
      <c r="Q12" t="str">
        <f t="shared" ca="1" si="3"/>
        <v/>
      </c>
      <c r="R12" t="str">
        <f t="shared" ca="1" si="4"/>
        <v/>
      </c>
      <c r="S12" t="str">
        <f t="shared" ca="1" si="5"/>
        <v/>
      </c>
      <c r="T12" t="str">
        <f t="shared" ca="1" si="6"/>
        <v/>
      </c>
      <c r="U12" t="str">
        <f t="shared" ca="1" si="7"/>
        <v/>
      </c>
      <c r="V12" t="str">
        <f t="shared" ca="1" si="1"/>
        <v/>
      </c>
    </row>
    <row r="13" spans="1:22">
      <c r="A13"/>
      <c r="I13">
        <f t="shared" si="8"/>
        <v>31</v>
      </c>
      <c r="J13" t="str" cm="1">
        <f t="array" aca="1" ref="J13" ca="1">IFERROR(IF(OR(COUNTIF(INDIRECT("数出表_Excel!"&amp;P13&amp;"3"),"*キャラ*"),
COUNTIF(INDIRECT("数出表_Excel!"&amp;P13&amp;"3"),"*赤*")),
INDIRECT("数出表_Excel!"&amp;P13&amp;"3")
&amp;"　"&amp;INDIRECT("数出表_Excel!"&amp;P13&amp;"4")
&amp;INDIRECT("数出表_Excel!"&amp;P13&amp;"5"),
INDIRECT("数出表_Excel!"&amp;P13&amp;"3")),"")</f>
        <v/>
      </c>
      <c r="K13" t="str" cm="1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 cm="1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 cm="1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 cm="1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 cm="1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2"/>
        <v/>
      </c>
      <c r="Q13" t="str">
        <f t="shared" ca="1" si="3"/>
        <v/>
      </c>
      <c r="R13" t="str">
        <f t="shared" ca="1" si="4"/>
        <v/>
      </c>
      <c r="S13" t="str">
        <f t="shared" ca="1" si="5"/>
        <v/>
      </c>
      <c r="T13" t="str">
        <f t="shared" ca="1" si="6"/>
        <v/>
      </c>
      <c r="U13" t="str">
        <f t="shared" ca="1" si="7"/>
        <v/>
      </c>
      <c r="V13" t="str">
        <f t="shared" ca="1" si="1"/>
        <v/>
      </c>
    </row>
    <row r="14" spans="1:22">
      <c r="A14"/>
      <c r="I14">
        <f t="shared" si="8"/>
        <v>33</v>
      </c>
      <c r="J14" t="str" cm="1">
        <f t="array" aca="1" ref="J14" ca="1">IFERROR(IF(OR(COUNTIF(INDIRECT("数出表_Excel!"&amp;P14&amp;"3"),"*キャラ*"),
COUNTIF(INDIRECT("数出表_Excel!"&amp;P14&amp;"3"),"*赤*")),
INDIRECT("数出表_Excel!"&amp;P14&amp;"3")
&amp;"　"&amp;INDIRECT("数出表_Excel!"&amp;P14&amp;"4")
&amp;INDIRECT("数出表_Excel!"&amp;P14&amp;"5"),
INDIRECT("数出表_Excel!"&amp;P14&amp;"3")),"")</f>
        <v/>
      </c>
      <c r="K14" t="str" cm="1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 cm="1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 cm="1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 cm="1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 cm="1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2"/>
        <v/>
      </c>
      <c r="Q14" t="str">
        <f t="shared" ca="1" si="3"/>
        <v/>
      </c>
      <c r="R14" t="str">
        <f t="shared" ca="1" si="4"/>
        <v/>
      </c>
      <c r="S14" t="str">
        <f t="shared" ca="1" si="5"/>
        <v/>
      </c>
      <c r="T14" t="str">
        <f t="shared" ca="1" si="6"/>
        <v/>
      </c>
      <c r="U14" t="str">
        <f t="shared" ca="1" si="7"/>
        <v/>
      </c>
      <c r="V14" t="str">
        <f t="shared" ca="1" si="1"/>
        <v/>
      </c>
    </row>
    <row r="15" spans="1:22">
      <c r="A15"/>
      <c r="I15">
        <f t="shared" si="8"/>
        <v>35</v>
      </c>
      <c r="J15" t="str" cm="1">
        <f t="array" aca="1" ref="J15" ca="1">IFERROR(IF(OR(COUNTIF(INDIRECT("数出表_Excel!"&amp;P15&amp;"3"),"*キャラ*"),
COUNTIF(INDIRECT("数出表_Excel!"&amp;P15&amp;"3"),"*赤*")),
INDIRECT("数出表_Excel!"&amp;P15&amp;"3")
&amp;"　"&amp;INDIRECT("数出表_Excel!"&amp;P15&amp;"4")
&amp;INDIRECT("数出表_Excel!"&amp;P15&amp;"5"),
INDIRECT("数出表_Excel!"&amp;P15&amp;"3")),"")</f>
        <v/>
      </c>
      <c r="K15" t="str" cm="1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 cm="1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 cm="1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 cm="1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 cm="1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2"/>
        <v/>
      </c>
      <c r="Q15" t="str">
        <f t="shared" ca="1" si="3"/>
        <v/>
      </c>
      <c r="R15" t="str">
        <f t="shared" ca="1" si="4"/>
        <v/>
      </c>
      <c r="S15" t="str">
        <f t="shared" ca="1" si="5"/>
        <v/>
      </c>
      <c r="T15" t="str">
        <f t="shared" ca="1" si="6"/>
        <v/>
      </c>
      <c r="U15" t="str">
        <f t="shared" ca="1" si="7"/>
        <v/>
      </c>
      <c r="V15" t="str">
        <f t="shared" ca="1" si="1"/>
        <v/>
      </c>
    </row>
    <row r="16" spans="1:22">
      <c r="A16"/>
      <c r="I16">
        <f t="shared" si="8"/>
        <v>37</v>
      </c>
      <c r="J16" t="str" cm="1">
        <f t="array" aca="1" ref="J16" ca="1">IFERROR(IF(OR(COUNTIF(INDIRECT("数出表_Excel!"&amp;P16&amp;"3"),"*キャラ*"),
COUNTIF(INDIRECT("数出表_Excel!"&amp;P16&amp;"3"),"*赤*")),
INDIRECT("数出表_Excel!"&amp;P16&amp;"3")
&amp;"　"&amp;INDIRECT("数出表_Excel!"&amp;P16&amp;"4")
&amp;INDIRECT("数出表_Excel!"&amp;P16&amp;"5"),
INDIRECT("数出表_Excel!"&amp;P16&amp;"3")),"")</f>
        <v/>
      </c>
      <c r="K16" t="str" cm="1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 cm="1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 cm="1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 cm="1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 cm="1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2"/>
        <v/>
      </c>
      <c r="Q16" t="str">
        <f t="shared" ca="1" si="3"/>
        <v/>
      </c>
      <c r="R16" t="str">
        <f t="shared" ca="1" si="4"/>
        <v/>
      </c>
      <c r="S16" t="str">
        <f t="shared" ca="1" si="5"/>
        <v/>
      </c>
      <c r="T16" t="str">
        <f t="shared" ca="1" si="6"/>
        <v/>
      </c>
      <c r="U16" t="str">
        <f t="shared" ca="1" si="7"/>
        <v/>
      </c>
      <c r="V16" t="str">
        <f t="shared" ca="1" si="1"/>
        <v/>
      </c>
    </row>
    <row r="17" spans="1:22">
      <c r="A17"/>
      <c r="I17">
        <f t="shared" si="8"/>
        <v>39</v>
      </c>
      <c r="J17" t="str" cm="1">
        <f t="array" aca="1" ref="J17" ca="1">IFERROR(IF(OR(COUNTIF(INDIRECT("数出表_Excel!"&amp;P17&amp;"3"),"*キャラ*"),
COUNTIF(INDIRECT("数出表_Excel!"&amp;P17&amp;"3"),"*赤*")),
INDIRECT("数出表_Excel!"&amp;P17&amp;"3")
&amp;"　"&amp;INDIRECT("数出表_Excel!"&amp;P17&amp;"4")
&amp;INDIRECT("数出表_Excel!"&amp;P17&amp;"5"),
INDIRECT("数出表_Excel!"&amp;P17&amp;"3")),"")</f>
        <v/>
      </c>
      <c r="K17" t="str" cm="1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 cm="1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 cm="1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 cm="1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 cm="1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2"/>
        <v/>
      </c>
      <c r="Q17" t="str">
        <f t="shared" ca="1" si="3"/>
        <v/>
      </c>
      <c r="R17" t="str">
        <f t="shared" ca="1" si="4"/>
        <v/>
      </c>
      <c r="S17" t="str">
        <f t="shared" ca="1" si="5"/>
        <v/>
      </c>
      <c r="T17" t="str">
        <f t="shared" ca="1" si="6"/>
        <v/>
      </c>
      <c r="U17" t="str">
        <f t="shared" ca="1" si="7"/>
        <v/>
      </c>
      <c r="V17" t="str">
        <f t="shared" ca="1" si="1"/>
        <v/>
      </c>
    </row>
    <row r="18" spans="1:22">
      <c r="A18"/>
      <c r="I18">
        <f t="shared" si="8"/>
        <v>41</v>
      </c>
      <c r="J18" t="str" cm="1">
        <f t="array" aca="1" ref="J18" ca="1">IFERROR(IF(OR(COUNTIF(INDIRECT("数出表_Excel!"&amp;P18&amp;"3"),"*キャラ*"),
COUNTIF(INDIRECT("数出表_Excel!"&amp;P18&amp;"3"),"*赤*")),
INDIRECT("数出表_Excel!"&amp;P18&amp;"3")
&amp;"　"&amp;INDIRECT("数出表_Excel!"&amp;P18&amp;"4")
&amp;INDIRECT("数出表_Excel!"&amp;P18&amp;"5"),
INDIRECT("数出表_Excel!"&amp;P18&amp;"3")),"")</f>
        <v/>
      </c>
      <c r="K18" t="str" cm="1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 cm="1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 cm="1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 cm="1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 cm="1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2"/>
        <v/>
      </c>
      <c r="Q18" t="str">
        <f t="shared" ca="1" si="3"/>
        <v/>
      </c>
      <c r="R18" t="str">
        <f t="shared" ca="1" si="4"/>
        <v/>
      </c>
      <c r="S18" t="str">
        <f t="shared" ca="1" si="5"/>
        <v/>
      </c>
      <c r="T18" t="str">
        <f t="shared" ca="1" si="6"/>
        <v/>
      </c>
      <c r="U18" t="str">
        <f t="shared" ca="1" si="7"/>
        <v/>
      </c>
      <c r="V18" t="str">
        <f t="shared" ca="1" si="1"/>
        <v/>
      </c>
    </row>
    <row r="19" spans="1:22">
      <c r="A19"/>
      <c r="I19">
        <f t="shared" si="8"/>
        <v>43</v>
      </c>
      <c r="J19" t="str" cm="1">
        <f t="array" aca="1" ref="J19" ca="1">IFERROR(IF(OR(COUNTIF(INDIRECT("数出表_Excel!"&amp;P19&amp;"3"),"*キャラ*"),
COUNTIF(INDIRECT("数出表_Excel!"&amp;P19&amp;"3"),"*赤*")),
INDIRECT("数出表_Excel!"&amp;P19&amp;"3")
&amp;"　"&amp;INDIRECT("数出表_Excel!"&amp;P19&amp;"4")
&amp;INDIRECT("数出表_Excel!"&amp;P19&amp;"5"),
INDIRECT("数出表_Excel!"&amp;P19&amp;"3")),"")</f>
        <v/>
      </c>
      <c r="K19" t="str" cm="1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 cm="1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 cm="1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 cm="1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 cm="1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2"/>
        <v/>
      </c>
      <c r="Q19" t="str">
        <f t="shared" ca="1" si="3"/>
        <v/>
      </c>
      <c r="R19" t="str">
        <f t="shared" ca="1" si="4"/>
        <v/>
      </c>
      <c r="S19" t="str">
        <f t="shared" ca="1" si="5"/>
        <v/>
      </c>
      <c r="T19" t="str">
        <f t="shared" ca="1" si="6"/>
        <v/>
      </c>
      <c r="U19" t="str">
        <f t="shared" ca="1" si="7"/>
        <v/>
      </c>
      <c r="V19" t="str">
        <f t="shared" ca="1" si="1"/>
        <v/>
      </c>
    </row>
    <row r="20" spans="1:22">
      <c r="A20"/>
      <c r="I20">
        <f t="shared" si="8"/>
        <v>45</v>
      </c>
      <c r="J20" t="str" cm="1">
        <f t="array" aca="1" ref="J20" ca="1">IFERROR(IF(OR(COUNTIF(INDIRECT("数出表_Excel!"&amp;P20&amp;"3"),"*キャラ*"),
COUNTIF(INDIRECT("数出表_Excel!"&amp;P20&amp;"3"),"*赤*")),
INDIRECT("数出表_Excel!"&amp;P20&amp;"3")
&amp;"　"&amp;INDIRECT("数出表_Excel!"&amp;P20&amp;"4")
&amp;INDIRECT("数出表_Excel!"&amp;P20&amp;"5"),
INDIRECT("数出表_Excel!"&amp;P20&amp;"3")),"")</f>
        <v/>
      </c>
      <c r="K20" t="str" cm="1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 cm="1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 cm="1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 cm="1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 cm="1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2"/>
        <v/>
      </c>
      <c r="Q20" t="str">
        <f t="shared" ca="1" si="3"/>
        <v/>
      </c>
      <c r="R20" t="str">
        <f t="shared" ca="1" si="4"/>
        <v/>
      </c>
      <c r="S20" t="str">
        <f t="shared" ca="1" si="5"/>
        <v/>
      </c>
      <c r="T20" t="str">
        <f t="shared" ca="1" si="6"/>
        <v/>
      </c>
      <c r="U20" t="str">
        <f t="shared" ca="1" si="7"/>
        <v/>
      </c>
      <c r="V20" t="str">
        <f t="shared" ca="1" si="1"/>
        <v/>
      </c>
    </row>
    <row r="21" spans="1:22">
      <c r="A21"/>
      <c r="I21">
        <f t="shared" si="8"/>
        <v>47</v>
      </c>
      <c r="J21" t="str" cm="1">
        <f t="array" aca="1" ref="J21" ca="1">IFERROR(IF(OR(COUNTIF(INDIRECT("数出表_Excel!"&amp;P21&amp;"3"),"*キャラ*"),
COUNTIF(INDIRECT("数出表_Excel!"&amp;P21&amp;"3"),"*赤*")),
INDIRECT("数出表_Excel!"&amp;P21&amp;"3")
&amp;"　"&amp;INDIRECT("数出表_Excel!"&amp;P21&amp;"4")
&amp;INDIRECT("数出表_Excel!"&amp;P21&amp;"5"),
INDIRECT("数出表_Excel!"&amp;P21&amp;"3")),"")</f>
        <v/>
      </c>
      <c r="K21" t="str" cm="1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 cm="1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 cm="1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 cm="1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 cm="1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2"/>
        <v/>
      </c>
      <c r="Q21" t="str">
        <f t="shared" ca="1" si="3"/>
        <v/>
      </c>
      <c r="R21" t="str">
        <f t="shared" ca="1" si="4"/>
        <v/>
      </c>
      <c r="S21" t="str">
        <f t="shared" ca="1" si="5"/>
        <v/>
      </c>
      <c r="T21" t="str">
        <f t="shared" ca="1" si="6"/>
        <v/>
      </c>
      <c r="U21" t="str">
        <f t="shared" ca="1" si="7"/>
        <v/>
      </c>
      <c r="V21" t="str">
        <f t="shared" ca="1" si="1"/>
        <v/>
      </c>
    </row>
    <row r="22" spans="1:22">
      <c r="A22"/>
      <c r="I22">
        <f t="shared" si="8"/>
        <v>49</v>
      </c>
      <c r="J22" t="str" cm="1">
        <f t="array" aca="1" ref="J22" ca="1">IFERROR(IF(OR(COUNTIF(INDIRECT("数出表_Excel!"&amp;P22&amp;"3"),"*キャラ*"),
COUNTIF(INDIRECT("数出表_Excel!"&amp;P22&amp;"3"),"*赤*")),
INDIRECT("数出表_Excel!"&amp;P22&amp;"3")
&amp;"　"&amp;INDIRECT("数出表_Excel!"&amp;P22&amp;"4")
&amp;INDIRECT("数出表_Excel!"&amp;P22&amp;"5"),
INDIRECT("数出表_Excel!"&amp;P22&amp;"3")),"")</f>
        <v/>
      </c>
      <c r="K22" t="str" cm="1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 cm="1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 cm="1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 cm="1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 cm="1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2"/>
        <v/>
      </c>
      <c r="Q22" t="str">
        <f t="shared" ca="1" si="3"/>
        <v/>
      </c>
      <c r="R22" t="str">
        <f t="shared" ca="1" si="4"/>
        <v/>
      </c>
      <c r="S22" t="str">
        <f t="shared" ca="1" si="5"/>
        <v/>
      </c>
      <c r="T22" t="str">
        <f t="shared" ca="1" si="6"/>
        <v/>
      </c>
      <c r="U22" t="str">
        <f t="shared" ca="1" si="7"/>
        <v/>
      </c>
      <c r="V22" t="str">
        <f t="shared" ca="1" si="1"/>
        <v/>
      </c>
    </row>
    <row r="23" spans="1:22">
      <c r="A23"/>
      <c r="I23">
        <f t="shared" si="8"/>
        <v>51</v>
      </c>
      <c r="J23" t="str" cm="1">
        <f t="array" aca="1" ref="J23" ca="1">IFERROR(IF(OR(COUNTIF(INDIRECT("数出表_Excel!"&amp;P23&amp;"3"),"*キャラ*"),
COUNTIF(INDIRECT("数出表_Excel!"&amp;P23&amp;"3"),"*赤*")),
INDIRECT("数出表_Excel!"&amp;P23&amp;"3")
&amp;"　"&amp;INDIRECT("数出表_Excel!"&amp;P23&amp;"4")
&amp;INDIRECT("数出表_Excel!"&amp;P23&amp;"5"),
INDIRECT("数出表_Excel!"&amp;P23&amp;"3")),"")</f>
        <v/>
      </c>
      <c r="K23" t="str" cm="1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 cm="1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 cm="1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 cm="1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 cm="1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2"/>
        <v/>
      </c>
      <c r="Q23" t="str">
        <f t="shared" ca="1" si="3"/>
        <v/>
      </c>
      <c r="R23" t="str">
        <f t="shared" ca="1" si="4"/>
        <v/>
      </c>
      <c r="S23" t="str">
        <f t="shared" ca="1" si="5"/>
        <v/>
      </c>
      <c r="T23" t="str">
        <f t="shared" ca="1" si="6"/>
        <v/>
      </c>
      <c r="U23" t="str">
        <f t="shared" ca="1" si="7"/>
        <v/>
      </c>
      <c r="V23" t="str">
        <f t="shared" ca="1" si="1"/>
        <v/>
      </c>
    </row>
    <row r="24" spans="1:22">
      <c r="A24"/>
      <c r="I24">
        <f t="shared" si="8"/>
        <v>53</v>
      </c>
      <c r="J24" t="str" cm="1">
        <f t="array" aca="1" ref="J24" ca="1">IFERROR(IF(OR(COUNTIF(INDIRECT("数出表_Excel!"&amp;P24&amp;"3"),"*キャラ*"),
COUNTIF(INDIRECT("数出表_Excel!"&amp;P24&amp;"3"),"*赤*")),
INDIRECT("数出表_Excel!"&amp;P24&amp;"3")
&amp;"　"&amp;INDIRECT("数出表_Excel!"&amp;P24&amp;"4")
&amp;INDIRECT("数出表_Excel!"&amp;P24&amp;"5"),
INDIRECT("数出表_Excel!"&amp;P24&amp;"3")),"")</f>
        <v/>
      </c>
      <c r="K24" t="str" cm="1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 cm="1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 cm="1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 cm="1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 cm="1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2"/>
        <v/>
      </c>
      <c r="Q24" t="str">
        <f t="shared" ca="1" si="3"/>
        <v/>
      </c>
      <c r="R24" t="str">
        <f t="shared" ca="1" si="4"/>
        <v/>
      </c>
      <c r="S24" t="str">
        <f t="shared" ca="1" si="5"/>
        <v/>
      </c>
      <c r="T24" t="str">
        <f t="shared" ca="1" si="6"/>
        <v/>
      </c>
      <c r="U24" t="str">
        <f t="shared" ca="1" si="7"/>
        <v/>
      </c>
      <c r="V24" t="str">
        <f t="shared" ca="1" si="1"/>
        <v/>
      </c>
    </row>
    <row r="25" spans="1:22">
      <c r="A25"/>
      <c r="I25">
        <f t="shared" si="8"/>
        <v>55</v>
      </c>
      <c r="J25" t="str" cm="1">
        <f t="array" aca="1" ref="J25" ca="1">IFERROR(IF(OR(COUNTIF(INDIRECT("数出表_Excel!"&amp;P25&amp;"3"),"*キャラ*"),
COUNTIF(INDIRECT("数出表_Excel!"&amp;P25&amp;"3"),"*赤*")),
INDIRECT("数出表_Excel!"&amp;P25&amp;"3")
&amp;"　"&amp;INDIRECT("数出表_Excel!"&amp;P25&amp;"4")
&amp;INDIRECT("数出表_Excel!"&amp;P25&amp;"5"),
INDIRECT("数出表_Excel!"&amp;P25&amp;"3")),"")</f>
        <v/>
      </c>
      <c r="K25" t="str" cm="1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 cm="1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 cm="1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 cm="1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 cm="1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2"/>
        <v/>
      </c>
      <c r="Q25" t="str">
        <f t="shared" ca="1" si="3"/>
        <v/>
      </c>
      <c r="R25" t="str">
        <f t="shared" ca="1" si="4"/>
        <v/>
      </c>
      <c r="S25" t="str">
        <f t="shared" ca="1" si="5"/>
        <v/>
      </c>
      <c r="T25" t="str">
        <f t="shared" ca="1" si="6"/>
        <v/>
      </c>
      <c r="U25" t="str">
        <f t="shared" ca="1" si="7"/>
        <v/>
      </c>
      <c r="V25" t="str">
        <f t="shared" ca="1" si="1"/>
        <v/>
      </c>
    </row>
    <row r="26" spans="1:22">
      <c r="A26"/>
      <c r="I26">
        <f t="shared" si="8"/>
        <v>57</v>
      </c>
      <c r="J26" t="str" cm="1">
        <f t="array" aca="1" ref="J26" ca="1">IFERROR(IF(OR(COUNTIF(INDIRECT("数出表_Excel!"&amp;P26&amp;"3"),"*キャラ*"),
COUNTIF(INDIRECT("数出表_Excel!"&amp;P26&amp;"3"),"*赤*")),
INDIRECT("数出表_Excel!"&amp;P26&amp;"3")
&amp;"　"&amp;INDIRECT("数出表_Excel!"&amp;P26&amp;"4")
&amp;INDIRECT("数出表_Excel!"&amp;P26&amp;"5"),
INDIRECT("数出表_Excel!"&amp;P26&amp;"3")),"")</f>
        <v/>
      </c>
      <c r="K26" t="str" cm="1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 cm="1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 cm="1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 cm="1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 cm="1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2"/>
        <v/>
      </c>
      <c r="Q26" t="str">
        <f t="shared" ca="1" si="3"/>
        <v/>
      </c>
      <c r="R26" t="str">
        <f t="shared" ca="1" si="4"/>
        <v/>
      </c>
      <c r="S26" t="str">
        <f t="shared" ca="1" si="5"/>
        <v/>
      </c>
      <c r="T26" t="str">
        <f t="shared" ca="1" si="6"/>
        <v/>
      </c>
      <c r="U26" t="str">
        <f t="shared" ca="1" si="7"/>
        <v/>
      </c>
      <c r="V26" t="str">
        <f t="shared" ca="1" si="1"/>
        <v/>
      </c>
    </row>
    <row r="27" spans="1:22">
      <c r="A27"/>
      <c r="I27">
        <f t="shared" si="8"/>
        <v>59</v>
      </c>
      <c r="J27" t="str" cm="1">
        <f t="array" aca="1" ref="J27" ca="1">IFERROR(IF(OR(COUNTIF(INDIRECT("数出表_Excel!"&amp;P27&amp;"3"),"*キャラ*"),
COUNTIF(INDIRECT("数出表_Excel!"&amp;P27&amp;"3"),"*赤*")),
INDIRECT("数出表_Excel!"&amp;P27&amp;"3")
&amp;"　"&amp;INDIRECT("数出表_Excel!"&amp;P27&amp;"4")
&amp;INDIRECT("数出表_Excel!"&amp;P27&amp;"5"),
INDIRECT("数出表_Excel!"&amp;P27&amp;"3")),"")</f>
        <v/>
      </c>
      <c r="K27" t="str" cm="1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 cm="1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 cm="1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 cm="1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 cm="1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2"/>
        <v/>
      </c>
      <c r="Q27" t="str">
        <f t="shared" ca="1" si="3"/>
        <v/>
      </c>
      <c r="R27" t="str">
        <f t="shared" ca="1" si="4"/>
        <v/>
      </c>
      <c r="S27" t="str">
        <f t="shared" ca="1" si="5"/>
        <v/>
      </c>
      <c r="T27" t="str">
        <f t="shared" ca="1" si="6"/>
        <v/>
      </c>
      <c r="U27" t="str">
        <f t="shared" ca="1" si="7"/>
        <v/>
      </c>
      <c r="V27" t="str">
        <f t="shared" ca="1" si="1"/>
        <v/>
      </c>
    </row>
    <row r="28" spans="1:22">
      <c r="A28"/>
      <c r="I28">
        <f t="shared" si="8"/>
        <v>61</v>
      </c>
      <c r="J28" t="str" cm="1">
        <f t="array" aca="1" ref="J28" ca="1">IFERROR(IF(OR(COUNTIF(INDIRECT("数出表_Excel!"&amp;P28&amp;"3"),"*キャラ*"),
COUNTIF(INDIRECT("数出表_Excel!"&amp;P28&amp;"3"),"*赤*")),
INDIRECT("数出表_Excel!"&amp;P28&amp;"3")
&amp;"　"&amp;INDIRECT("数出表_Excel!"&amp;P28&amp;"4")
&amp;INDIRECT("数出表_Excel!"&amp;P28&amp;"5"),
INDIRECT("数出表_Excel!"&amp;P28&amp;"3")),"")</f>
        <v/>
      </c>
      <c r="K28" t="str" cm="1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 cm="1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 cm="1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 cm="1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 cm="1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2"/>
        <v/>
      </c>
      <c r="Q28" t="str">
        <f t="shared" ca="1" si="3"/>
        <v/>
      </c>
      <c r="R28" t="str">
        <f t="shared" ca="1" si="4"/>
        <v/>
      </c>
      <c r="S28" t="str">
        <f t="shared" ca="1" si="5"/>
        <v/>
      </c>
      <c r="T28" t="str">
        <f t="shared" ca="1" si="6"/>
        <v/>
      </c>
      <c r="U28" t="str">
        <f t="shared" ca="1" si="7"/>
        <v/>
      </c>
      <c r="V28" t="str">
        <f t="shared" ca="1" si="1"/>
        <v/>
      </c>
    </row>
    <row r="29" spans="1:22">
      <c r="A29"/>
      <c r="I29">
        <f t="shared" si="8"/>
        <v>63</v>
      </c>
      <c r="J29" t="str" cm="1">
        <f t="array" aca="1" ref="J29" ca="1">IFERROR(IF(OR(COUNTIF(INDIRECT("数出表_Excel!"&amp;P29&amp;"3"),"*キャラ*"),
COUNTIF(INDIRECT("数出表_Excel!"&amp;P29&amp;"3"),"*赤*")),
INDIRECT("数出表_Excel!"&amp;P29&amp;"3")
&amp;"　"&amp;INDIRECT("数出表_Excel!"&amp;P29&amp;"4")
&amp;INDIRECT("数出表_Excel!"&amp;P29&amp;"5"),
INDIRECT("数出表_Excel!"&amp;P29&amp;"3")),"")</f>
        <v/>
      </c>
      <c r="K29" t="str" cm="1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 cm="1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 cm="1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 cm="1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 cm="1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2"/>
        <v/>
      </c>
      <c r="Q29" t="str">
        <f t="shared" ca="1" si="3"/>
        <v/>
      </c>
      <c r="R29" t="str">
        <f t="shared" ca="1" si="4"/>
        <v/>
      </c>
      <c r="S29" t="str">
        <f t="shared" ca="1" si="5"/>
        <v/>
      </c>
      <c r="T29" t="str">
        <f t="shared" ca="1" si="6"/>
        <v/>
      </c>
      <c r="U29" t="str">
        <f t="shared" ca="1" si="7"/>
        <v/>
      </c>
      <c r="V29" t="str">
        <f t="shared" ca="1" si="1"/>
        <v/>
      </c>
    </row>
    <row r="30" spans="1:22">
      <c r="A30"/>
      <c r="I30">
        <f t="shared" si="8"/>
        <v>65</v>
      </c>
      <c r="J30" t="str" cm="1">
        <f t="array" aca="1" ref="J30" ca="1">IFERROR(IF(OR(COUNTIF(INDIRECT("数出表_Excel!"&amp;P30&amp;"3"),"*キャラ*"),
COUNTIF(INDIRECT("数出表_Excel!"&amp;P30&amp;"3"),"*赤*")),
INDIRECT("数出表_Excel!"&amp;P30&amp;"3")
&amp;"　"&amp;INDIRECT("数出表_Excel!"&amp;P30&amp;"4")
&amp;INDIRECT("数出表_Excel!"&amp;P30&amp;"5"),
INDIRECT("数出表_Excel!"&amp;P30&amp;"3")),"")</f>
        <v/>
      </c>
      <c r="K30" t="str" cm="1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 cm="1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 cm="1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 cm="1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 cm="1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2"/>
        <v/>
      </c>
      <c r="Q30" t="str">
        <f t="shared" ca="1" si="3"/>
        <v/>
      </c>
      <c r="R30" t="str">
        <f t="shared" ca="1" si="4"/>
        <v/>
      </c>
      <c r="S30" t="str">
        <f t="shared" ca="1" si="5"/>
        <v/>
      </c>
      <c r="T30" t="str">
        <f t="shared" ca="1" si="6"/>
        <v/>
      </c>
      <c r="U30" t="str">
        <f t="shared" ca="1" si="7"/>
        <v/>
      </c>
      <c r="V30" t="str">
        <f t="shared" ca="1" si="1"/>
        <v/>
      </c>
    </row>
    <row r="31" spans="1:22">
      <c r="A31"/>
      <c r="I31">
        <f t="shared" si="8"/>
        <v>67</v>
      </c>
      <c r="J31" t="str" cm="1">
        <f t="array" aca="1" ref="J31" ca="1">IFERROR(IF(OR(COUNTIF(INDIRECT("数出表_Excel!"&amp;P31&amp;"3"),"*キャラ*"),
COUNTIF(INDIRECT("数出表_Excel!"&amp;P31&amp;"3"),"*赤*")),
INDIRECT("数出表_Excel!"&amp;P31&amp;"3")
&amp;"　"&amp;INDIRECT("数出表_Excel!"&amp;P31&amp;"4")
&amp;INDIRECT("数出表_Excel!"&amp;P31&amp;"5"),
INDIRECT("数出表_Excel!"&amp;P31&amp;"3")),"")</f>
        <v/>
      </c>
      <c r="K31" t="str" cm="1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 cm="1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 cm="1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 cm="1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 cm="1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2"/>
        <v/>
      </c>
      <c r="Q31" t="str">
        <f t="shared" ca="1" si="3"/>
        <v/>
      </c>
      <c r="R31" t="str">
        <f t="shared" ca="1" si="4"/>
        <v/>
      </c>
      <c r="S31" t="str">
        <f t="shared" ca="1" si="5"/>
        <v/>
      </c>
      <c r="T31" t="str">
        <f t="shared" ca="1" si="6"/>
        <v/>
      </c>
      <c r="U31" t="str">
        <f t="shared" ca="1" si="7"/>
        <v/>
      </c>
      <c r="V31" t="str">
        <f t="shared" ca="1" si="1"/>
        <v/>
      </c>
    </row>
    <row r="32" spans="1:22">
      <c r="A32"/>
      <c r="I32">
        <f t="shared" si="8"/>
        <v>69</v>
      </c>
      <c r="J32" t="str" cm="1">
        <f t="array" aca="1" ref="J32" ca="1">IFERROR(IF(OR(COUNTIF(INDIRECT("数出表_Excel!"&amp;P32&amp;"3"),"*キャラ*"),
COUNTIF(INDIRECT("数出表_Excel!"&amp;P32&amp;"3"),"*赤*")),
INDIRECT("数出表_Excel!"&amp;P32&amp;"3")
&amp;"　"&amp;INDIRECT("数出表_Excel!"&amp;P32&amp;"4")
&amp;INDIRECT("数出表_Excel!"&amp;P32&amp;"5"),
INDIRECT("数出表_Excel!"&amp;P32&amp;"3")),"")</f>
        <v/>
      </c>
      <c r="K32" t="str" cm="1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 cm="1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 cm="1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 cm="1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 cm="1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2"/>
        <v/>
      </c>
      <c r="Q32" t="str">
        <f t="shared" ca="1" si="3"/>
        <v/>
      </c>
      <c r="R32" t="str">
        <f t="shared" ca="1" si="4"/>
        <v/>
      </c>
      <c r="S32" t="str">
        <f t="shared" ca="1" si="5"/>
        <v/>
      </c>
      <c r="T32" t="str">
        <f t="shared" ca="1" si="6"/>
        <v/>
      </c>
      <c r="U32" t="str">
        <f t="shared" ca="1" si="7"/>
        <v/>
      </c>
      <c r="V32" t="str">
        <f t="shared" ca="1" si="1"/>
        <v/>
      </c>
    </row>
    <row r="33" spans="1:22">
      <c r="A33"/>
      <c r="I33">
        <f t="shared" si="8"/>
        <v>71</v>
      </c>
      <c r="J33" t="str" cm="1">
        <f t="array" aca="1" ref="J33" ca="1">IFERROR(IF(OR(COUNTIF(INDIRECT("数出表_Excel!"&amp;P33&amp;"3"),"*キャラ*"),
COUNTIF(INDIRECT("数出表_Excel!"&amp;P33&amp;"3"),"*赤*")),
INDIRECT("数出表_Excel!"&amp;P33&amp;"3")
&amp;"　"&amp;INDIRECT("数出表_Excel!"&amp;P33&amp;"4")
&amp;INDIRECT("数出表_Excel!"&amp;P33&amp;"5"),
INDIRECT("数出表_Excel!"&amp;P33&amp;"3")),"")</f>
        <v/>
      </c>
      <c r="K33" t="str" cm="1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 cm="1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 cm="1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 cm="1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 cm="1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ca="1" si="2"/>
        <v/>
      </c>
      <c r="Q33" t="str">
        <f t="shared" ca="1" si="3"/>
        <v/>
      </c>
      <c r="R33" t="str">
        <f t="shared" ca="1" si="4"/>
        <v/>
      </c>
      <c r="S33" t="str">
        <f t="shared" ca="1" si="5"/>
        <v/>
      </c>
      <c r="T33" t="str">
        <f t="shared" ca="1" si="6"/>
        <v/>
      </c>
      <c r="U33" t="str">
        <f t="shared" ca="1" si="7"/>
        <v/>
      </c>
      <c r="V33" t="str">
        <f t="shared" ca="1" si="1"/>
        <v/>
      </c>
    </row>
    <row r="34" spans="1:22">
      <c r="A34"/>
      <c r="I34">
        <f t="shared" si="8"/>
        <v>73</v>
      </c>
      <c r="J34" t="str" cm="1">
        <f t="array" aca="1" ref="J34" ca="1">IFERROR(IF(OR(COUNTIF(INDIRECT("数出表_Excel!"&amp;P34&amp;"3"),"*キャラ*"),
COUNTIF(INDIRECT("数出表_Excel!"&amp;P34&amp;"3"),"*赤*")),
INDIRECT("数出表_Excel!"&amp;P34&amp;"3")
&amp;"　"&amp;INDIRECT("数出表_Excel!"&amp;P34&amp;"4")
&amp;INDIRECT("数出表_Excel!"&amp;P34&amp;"5"),
INDIRECT("数出表_Excel!"&amp;P34&amp;"3")),"")</f>
        <v/>
      </c>
      <c r="K34" t="str" cm="1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 cm="1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 cm="1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 cm="1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 cm="1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2"/>
        <v/>
      </c>
      <c r="Q34" t="str">
        <f t="shared" ca="1" si="3"/>
        <v/>
      </c>
      <c r="R34" t="str">
        <f t="shared" ca="1" si="4"/>
        <v/>
      </c>
      <c r="S34" t="str">
        <f t="shared" ca="1" si="5"/>
        <v/>
      </c>
      <c r="T34" t="str">
        <f t="shared" ca="1" si="6"/>
        <v/>
      </c>
      <c r="U34" t="str">
        <f t="shared" ca="1" si="7"/>
        <v/>
      </c>
      <c r="V34" t="str">
        <f t="shared" ca="1" si="1"/>
        <v/>
      </c>
    </row>
    <row r="35" spans="1:22">
      <c r="A35"/>
      <c r="I35">
        <f t="shared" si="8"/>
        <v>75</v>
      </c>
      <c r="J35" t="str" cm="1">
        <f t="array" aca="1" ref="J35" ca="1">IFERROR(IF(OR(COUNTIF(INDIRECT("数出表_Excel!"&amp;P35&amp;"3"),"*キャラ*"),
COUNTIF(INDIRECT("数出表_Excel!"&amp;P35&amp;"3"),"*赤*")),
INDIRECT("数出表_Excel!"&amp;P35&amp;"3")
&amp;"　"&amp;INDIRECT("数出表_Excel!"&amp;P35&amp;"4")
&amp;INDIRECT("数出表_Excel!"&amp;P35&amp;"5"),
INDIRECT("数出表_Excel!"&amp;P35&amp;"3")),"")</f>
        <v/>
      </c>
      <c r="K35" t="str" cm="1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 cm="1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 cm="1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 cm="1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 cm="1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2"/>
        <v/>
      </c>
      <c r="Q35" t="str">
        <f t="shared" ca="1" si="3"/>
        <v/>
      </c>
      <c r="R35" t="str">
        <f t="shared" ca="1" si="4"/>
        <v/>
      </c>
      <c r="S35" t="str">
        <f t="shared" ca="1" si="5"/>
        <v/>
      </c>
      <c r="T35" t="str">
        <f t="shared" ca="1" si="6"/>
        <v/>
      </c>
      <c r="U35" t="str">
        <f t="shared" ca="1" si="7"/>
        <v/>
      </c>
      <c r="V35" t="str">
        <f t="shared" ca="1" si="1"/>
        <v/>
      </c>
    </row>
    <row r="36" spans="1:22">
      <c r="A36"/>
      <c r="I36">
        <f t="shared" si="8"/>
        <v>77</v>
      </c>
      <c r="J36" t="str" cm="1">
        <f t="array" aca="1" ref="J36" ca="1">IFERROR(IF(OR(COUNTIF(INDIRECT("数出表_Excel!"&amp;P36&amp;"3"),"*キャラ*"),
COUNTIF(INDIRECT("数出表_Excel!"&amp;P36&amp;"3"),"*赤*")),
INDIRECT("数出表_Excel!"&amp;P36&amp;"3")
&amp;"　"&amp;INDIRECT("数出表_Excel!"&amp;P36&amp;"4")
&amp;INDIRECT("数出表_Excel!"&amp;P36&amp;"5"),
INDIRECT("数出表_Excel!"&amp;P36&amp;"3")),"")</f>
        <v/>
      </c>
      <c r="K36" t="str" cm="1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 cm="1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 cm="1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 cm="1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 cm="1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2"/>
        <v/>
      </c>
      <c r="Q36" t="str">
        <f t="shared" ca="1" si="3"/>
        <v/>
      </c>
      <c r="R36" t="str">
        <f t="shared" ca="1" si="4"/>
        <v/>
      </c>
      <c r="S36" t="str">
        <f t="shared" ca="1" si="5"/>
        <v/>
      </c>
      <c r="T36" t="str">
        <f t="shared" ca="1" si="6"/>
        <v/>
      </c>
      <c r="U36" t="str">
        <f t="shared" ca="1" si="7"/>
        <v/>
      </c>
      <c r="V36" t="str">
        <f t="shared" ca="1" si="1"/>
        <v/>
      </c>
    </row>
    <row r="37" spans="1:22">
      <c r="A37"/>
      <c r="I37">
        <f t="shared" si="8"/>
        <v>79</v>
      </c>
      <c r="J37" t="str" cm="1">
        <f t="array" aca="1" ref="J37" ca="1">IFERROR(IF(OR(COUNTIF(INDIRECT("数出表_Excel!"&amp;P37&amp;"3"),"*キャラ*"),
COUNTIF(INDIRECT("数出表_Excel!"&amp;P37&amp;"3"),"*赤*")),
INDIRECT("数出表_Excel!"&amp;P37&amp;"3")
&amp;"　"&amp;INDIRECT("数出表_Excel!"&amp;P37&amp;"4")
&amp;INDIRECT("数出表_Excel!"&amp;P37&amp;"5"),
INDIRECT("数出表_Excel!"&amp;P37&amp;"3")),"")</f>
        <v/>
      </c>
      <c r="K37" t="str" cm="1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 cm="1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 cm="1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 cm="1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 cm="1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2"/>
        <v/>
      </c>
      <c r="Q37" t="str">
        <f t="shared" ca="1" si="3"/>
        <v/>
      </c>
      <c r="R37" t="str">
        <f t="shared" ca="1" si="4"/>
        <v/>
      </c>
      <c r="S37" t="str">
        <f t="shared" ca="1" si="5"/>
        <v/>
      </c>
      <c r="T37" t="str">
        <f t="shared" ca="1" si="6"/>
        <v/>
      </c>
      <c r="U37" t="str">
        <f t="shared" ca="1" si="7"/>
        <v/>
      </c>
      <c r="V37" t="str">
        <f t="shared" ca="1" si="1"/>
        <v/>
      </c>
    </row>
    <row r="38" spans="1:22">
      <c r="A38"/>
      <c r="I38">
        <f t="shared" si="8"/>
        <v>81</v>
      </c>
      <c r="J38" t="str" cm="1">
        <f t="array" aca="1" ref="J38" ca="1">IFERROR(IF(OR(COUNTIF(INDIRECT("数出表_Excel!"&amp;P38&amp;"3"),"*キャラ*"),
COUNTIF(INDIRECT("数出表_Excel!"&amp;P38&amp;"3"),"*赤*")),
INDIRECT("数出表_Excel!"&amp;P38&amp;"3")
&amp;"　"&amp;INDIRECT("数出表_Excel!"&amp;P38&amp;"4")
&amp;INDIRECT("数出表_Excel!"&amp;P38&amp;"5"),
INDIRECT("数出表_Excel!"&amp;P38&amp;"3")),"")</f>
        <v/>
      </c>
      <c r="K38" t="str" cm="1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 cm="1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 cm="1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 cm="1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 cm="1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2"/>
        <v/>
      </c>
      <c r="Q38" t="str">
        <f t="shared" ca="1" si="3"/>
        <v/>
      </c>
      <c r="R38" t="str">
        <f t="shared" ca="1" si="4"/>
        <v/>
      </c>
      <c r="S38" t="str">
        <f t="shared" ca="1" si="5"/>
        <v/>
      </c>
      <c r="T38" t="str">
        <f t="shared" ca="1" si="6"/>
        <v/>
      </c>
      <c r="U38" t="str">
        <f t="shared" ca="1" si="7"/>
        <v/>
      </c>
      <c r="V38" t="str">
        <f t="shared" ca="1" si="1"/>
        <v/>
      </c>
    </row>
    <row r="39" spans="1:22">
      <c r="A39"/>
      <c r="I39">
        <f t="shared" si="8"/>
        <v>83</v>
      </c>
      <c r="J39" t="str" cm="1">
        <f t="array" aca="1" ref="J39" ca="1">IFERROR(IF(OR(COUNTIF(INDIRECT("数出表_Excel!"&amp;P39&amp;"3"),"*キャラ*"),
COUNTIF(INDIRECT("数出表_Excel!"&amp;P39&amp;"3"),"*赤*")),
INDIRECT("数出表_Excel!"&amp;P39&amp;"3")
&amp;"　"&amp;INDIRECT("数出表_Excel!"&amp;P39&amp;"4")
&amp;INDIRECT("数出表_Excel!"&amp;P39&amp;"5"),
INDIRECT("数出表_Excel!"&amp;P39&amp;"3")),"")</f>
        <v/>
      </c>
      <c r="K39" t="str" cm="1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 cm="1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 cm="1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 cm="1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 cm="1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2"/>
        <v/>
      </c>
      <c r="Q39" t="str">
        <f t="shared" ca="1" si="3"/>
        <v/>
      </c>
      <c r="R39" t="str">
        <f t="shared" ca="1" si="4"/>
        <v/>
      </c>
      <c r="S39" t="str">
        <f t="shared" ca="1" si="5"/>
        <v/>
      </c>
      <c r="T39" t="str">
        <f t="shared" ca="1" si="6"/>
        <v/>
      </c>
      <c r="U39" t="str">
        <f t="shared" ca="1" si="7"/>
        <v/>
      </c>
      <c r="V39" t="str">
        <f t="shared" ca="1" si="1"/>
        <v/>
      </c>
    </row>
    <row r="40" spans="1:22">
      <c r="A40"/>
      <c r="I40">
        <f t="shared" si="8"/>
        <v>85</v>
      </c>
      <c r="J40" t="str" cm="1">
        <f t="array" aca="1" ref="J40" ca="1">IFERROR(IF(OR(COUNTIF(INDIRECT("数出表_Excel!"&amp;P40&amp;"3"),"*キャラ*"),
COUNTIF(INDIRECT("数出表_Excel!"&amp;P40&amp;"3"),"*赤*")),
INDIRECT("数出表_Excel!"&amp;P40&amp;"3")
&amp;"　"&amp;INDIRECT("数出表_Excel!"&amp;P40&amp;"4")
&amp;INDIRECT("数出表_Excel!"&amp;P40&amp;"5"),
INDIRECT("数出表_Excel!"&amp;P40&amp;"3")),"")</f>
        <v/>
      </c>
      <c r="K40" t="str" cm="1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 cm="1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 cm="1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 cm="1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 cm="1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2"/>
        <v/>
      </c>
      <c r="Q40" t="str">
        <f t="shared" ca="1" si="3"/>
        <v/>
      </c>
      <c r="R40" t="str">
        <f t="shared" ca="1" si="4"/>
        <v/>
      </c>
      <c r="S40" t="str">
        <f t="shared" ca="1" si="5"/>
        <v/>
      </c>
      <c r="T40" t="str">
        <f t="shared" ca="1" si="6"/>
        <v/>
      </c>
      <c r="U40" t="str">
        <f t="shared" ca="1" si="7"/>
        <v/>
      </c>
      <c r="V40" t="str">
        <f ca="1">TRIM(SUBSTITUTE(
IF(COUNTIF(P40:U40,"A")&gt;0,"A ","")&amp;
IF(COUNTIF(P40:U40,"B")&gt;0,"B ","")&amp;
IF(COUNTIF(P40:U40,"C")&gt;0,"C ","")&amp;
IF(COUNTIF(P40:U40,"D")&gt;0,"D ","")&amp;
IF(COUNTIF(P40:U40,"E")&gt;0,"E ","")&amp;
IF(COUNTIF(P40:U40,"F")&gt;0,"F ","")&amp;
IF(COUNTIF(P40:U40,"G")&gt;0,"G ","")&amp;
IF(COUNTIF(P40:U40,"H")&gt;0,"H ","")&amp;
IF(COUNTIF(P40:U40,"I")&gt;0,"I ","")&amp;
IF(COUNTIF(P40:U40,"J")&gt;0,"J ","")&amp;
IF(COUNTIF(P40:U40,"K")&gt;0,"K ","")&amp;
IF(COUNTIF(P40:U40,"L")&gt;0,"L ","")&amp;
IF(COUNTIF(P40:U40,"M")&gt;0,"M ","")&amp;
IF(COUNTIF(P40:U40,"N")&gt;0,"N ","")&amp;
IF(COUNTIF(P40:U40,"O")&gt;0,"O ","")&amp;
IF(COUNTIF(P40:U40,"P")&gt;0,"P ","")&amp;
IF(COUNTIF(P40:U40,"Q")&gt;0,"Q ","")&amp;
IF(COUNTIF(P40:U40,"R")&gt;0,"R ","")&amp;
IF(COUNTIF(P40:U40,"S")&gt;0,"S ","")&amp;
IF(COUNTIF(P40:U40,"T")&gt;0,"T ","")&amp;
IF(COUNTIF(P40:U40,"U")&gt;0,"U ","")&amp;
IF(COUNTIF(P40:U40,"V")&gt;0,"V ","")&amp;
IF(COUNTIF(P40:U40,"W")&gt;0,"W ","")&amp;
IF(COUNTIF(P40:U40,"X")&gt;0,"X ","")&amp;
IF(COUNTIF(P40:U40,"Y")&gt;0,"Y ","")&amp;
IF(COUNTIF(P40:U40,"Z")&gt;0,"Z ","")," ",","))</f>
        <v/>
      </c>
    </row>
    <row r="41" spans="1:22">
      <c r="A41"/>
      <c r="I41">
        <f t="shared" si="8"/>
        <v>87</v>
      </c>
      <c r="J41" t="str" cm="1">
        <f t="array" aca="1" ref="J41" ca="1">IFERROR(IF(OR(COUNTIF(INDIRECT("数出表_Excel!"&amp;P41&amp;"3"),"*キャラ*"),
COUNTIF(INDIRECT("数出表_Excel!"&amp;P41&amp;"3"),"*赤*")),
INDIRECT("数出表_Excel!"&amp;P41&amp;"3")
&amp;"　"&amp;INDIRECT("数出表_Excel!"&amp;P41&amp;"4")
&amp;INDIRECT("数出表_Excel!"&amp;P41&amp;"5"),
INDIRECT("数出表_Excel!"&amp;P41&amp;"3")),"")</f>
        <v/>
      </c>
      <c r="K41" t="str" cm="1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 cm="1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 cm="1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 cm="1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 cm="1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2"/>
        <v/>
      </c>
      <c r="Q41" t="str">
        <f t="shared" ca="1" si="3"/>
        <v/>
      </c>
      <c r="R41" t="str">
        <f t="shared" ca="1" si="4"/>
        <v/>
      </c>
      <c r="S41" t="str">
        <f t="shared" ca="1" si="5"/>
        <v/>
      </c>
      <c r="T41" t="str">
        <f t="shared" ca="1" si="6"/>
        <v/>
      </c>
      <c r="U41" t="str">
        <f t="shared" ca="1" si="7"/>
        <v/>
      </c>
      <c r="V41" t="str">
        <f t="shared" ca="1" si="1"/>
        <v/>
      </c>
    </row>
    <row r="42" spans="1:22">
      <c r="A42"/>
      <c r="I42">
        <f t="shared" si="8"/>
        <v>89</v>
      </c>
      <c r="J42" t="str" cm="1">
        <f t="array" aca="1" ref="J42" ca="1">IFERROR(IF(OR(COUNTIF(INDIRECT("数出表_Excel!"&amp;P42&amp;"3"),"*キャラ*"),
COUNTIF(INDIRECT("数出表_Excel!"&amp;P42&amp;"3"),"*赤*")),
INDIRECT("数出表_Excel!"&amp;P42&amp;"3")
&amp;"　"&amp;INDIRECT("数出表_Excel!"&amp;P42&amp;"4")
&amp;INDIRECT("数出表_Excel!"&amp;P42&amp;"5"),
INDIRECT("数出表_Excel!"&amp;P42&amp;"3")),"")</f>
        <v/>
      </c>
      <c r="K42" t="str" cm="1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 cm="1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 cm="1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 cm="1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 cm="1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2"/>
        <v/>
      </c>
      <c r="Q42" t="str">
        <f t="shared" ca="1" si="3"/>
        <v/>
      </c>
      <c r="R42" t="str">
        <f t="shared" ca="1" si="4"/>
        <v/>
      </c>
      <c r="S42" t="str">
        <f t="shared" ca="1" si="5"/>
        <v/>
      </c>
      <c r="T42" t="str">
        <f t="shared" ca="1" si="6"/>
        <v/>
      </c>
      <c r="U42" t="str">
        <f t="shared" ca="1" si="7"/>
        <v/>
      </c>
      <c r="V42" t="str">
        <f t="shared" ca="1" si="1"/>
        <v/>
      </c>
    </row>
    <row r="43" spans="1:22">
      <c r="A43"/>
      <c r="I43">
        <f t="shared" si="8"/>
        <v>91</v>
      </c>
      <c r="J43" t="str" cm="1">
        <f t="array" aca="1" ref="J43" ca="1">IFERROR(IF(OR(COUNTIF(INDIRECT("数出表_Excel!"&amp;P43&amp;"3"),"*キャラ*"),
COUNTIF(INDIRECT("数出表_Excel!"&amp;P43&amp;"3"),"*赤*")),
INDIRECT("数出表_Excel!"&amp;P43&amp;"3")
&amp;"　"&amp;INDIRECT("数出表_Excel!"&amp;P43&amp;"4")
&amp;INDIRECT("数出表_Excel!"&amp;P43&amp;"5"),
INDIRECT("数出表_Excel!"&amp;P43&amp;"3")),"")</f>
        <v/>
      </c>
      <c r="K43" t="str" cm="1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 cm="1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 cm="1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 cm="1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 cm="1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2"/>
        <v/>
      </c>
      <c r="Q43" t="str">
        <f t="shared" ca="1" si="3"/>
        <v/>
      </c>
      <c r="R43" t="str">
        <f t="shared" ca="1" si="4"/>
        <v/>
      </c>
      <c r="S43" t="str">
        <f t="shared" ca="1" si="5"/>
        <v/>
      </c>
      <c r="T43" t="str">
        <f t="shared" ca="1" si="6"/>
        <v/>
      </c>
      <c r="U43" t="str">
        <f t="shared" ca="1" si="7"/>
        <v/>
      </c>
      <c r="V43" t="str">
        <f t="shared" ca="1" si="1"/>
        <v/>
      </c>
    </row>
    <row r="44" spans="1:22">
      <c r="A44"/>
      <c r="I44">
        <f t="shared" si="8"/>
        <v>93</v>
      </c>
      <c r="J44" t="str" cm="1">
        <f t="array" aca="1" ref="J44" ca="1">IFERROR(IF(OR(COUNTIF(INDIRECT("数出表_Excel!"&amp;P44&amp;"3"),"*キャラ*"),
COUNTIF(INDIRECT("数出表_Excel!"&amp;P44&amp;"3"),"*赤*")),
INDIRECT("数出表_Excel!"&amp;P44&amp;"3")
&amp;"　"&amp;INDIRECT("数出表_Excel!"&amp;P44&amp;"4")
&amp;INDIRECT("数出表_Excel!"&amp;P44&amp;"5"),
INDIRECT("数出表_Excel!"&amp;P44&amp;"3")),"")</f>
        <v/>
      </c>
      <c r="K44" t="str" cm="1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 cm="1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 cm="1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 cm="1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 cm="1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2"/>
        <v/>
      </c>
      <c r="Q44" t="str">
        <f t="shared" ca="1" si="3"/>
        <v/>
      </c>
      <c r="R44" t="str">
        <f t="shared" ca="1" si="4"/>
        <v/>
      </c>
      <c r="S44" t="str">
        <f t="shared" ca="1" si="5"/>
        <v/>
      </c>
      <c r="T44" t="str">
        <f t="shared" ca="1" si="6"/>
        <v/>
      </c>
      <c r="U44" t="str">
        <f t="shared" ca="1" si="7"/>
        <v/>
      </c>
      <c r="V44" t="str">
        <f t="shared" ca="1" si="1"/>
        <v/>
      </c>
    </row>
    <row r="45" spans="1:22">
      <c r="A45"/>
      <c r="I45">
        <f t="shared" si="8"/>
        <v>95</v>
      </c>
      <c r="J45" t="str" cm="1">
        <f t="array" aca="1" ref="J45" ca="1">IFERROR(IF(OR(COUNTIF(INDIRECT("数出表_Excel!"&amp;P45&amp;"3"),"*キャラ*"),
COUNTIF(INDIRECT("数出表_Excel!"&amp;P45&amp;"3"),"*赤*")),
INDIRECT("数出表_Excel!"&amp;P45&amp;"3")
&amp;"　"&amp;INDIRECT("数出表_Excel!"&amp;P45&amp;"4")
&amp;INDIRECT("数出表_Excel!"&amp;P45&amp;"5"),
INDIRECT("数出表_Excel!"&amp;P45&amp;"3")),"")</f>
        <v/>
      </c>
      <c r="K45" t="str" cm="1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 cm="1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 cm="1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 cm="1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 cm="1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2"/>
        <v/>
      </c>
      <c r="Q45" t="str">
        <f t="shared" ca="1" si="3"/>
        <v/>
      </c>
      <c r="R45" t="str">
        <f t="shared" ca="1" si="4"/>
        <v/>
      </c>
      <c r="S45" t="str">
        <f t="shared" ca="1" si="5"/>
        <v/>
      </c>
      <c r="T45" t="str">
        <f t="shared" ca="1" si="6"/>
        <v/>
      </c>
      <c r="U45" t="str">
        <f t="shared" ca="1" si="7"/>
        <v/>
      </c>
      <c r="V45" t="str">
        <f t="shared" ca="1" si="1"/>
        <v/>
      </c>
    </row>
    <row r="46" spans="1:22">
      <c r="A46"/>
      <c r="I46">
        <f t="shared" si="8"/>
        <v>97</v>
      </c>
      <c r="J46" t="str" cm="1">
        <f t="array" aca="1" ref="J46" ca="1">IFERROR(IF(OR(COUNTIF(INDIRECT("数出表_Excel!"&amp;P46&amp;"3"),"*キャラ*"),
COUNTIF(INDIRECT("数出表_Excel!"&amp;P46&amp;"3"),"*赤*")),
INDIRECT("数出表_Excel!"&amp;P46&amp;"3")
&amp;"　"&amp;INDIRECT("数出表_Excel!"&amp;P46&amp;"4")
&amp;INDIRECT("数出表_Excel!"&amp;P46&amp;"5"),
INDIRECT("数出表_Excel!"&amp;P46&amp;"3")),"")</f>
        <v/>
      </c>
      <c r="K46" t="str" cm="1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 cm="1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 cm="1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 cm="1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 cm="1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2"/>
        <v/>
      </c>
      <c r="Q46" t="str">
        <f t="shared" ca="1" si="3"/>
        <v/>
      </c>
      <c r="R46" t="str">
        <f t="shared" ca="1" si="4"/>
        <v/>
      </c>
      <c r="S46" t="str">
        <f t="shared" ca="1" si="5"/>
        <v/>
      </c>
      <c r="T46" t="str">
        <f t="shared" ca="1" si="6"/>
        <v/>
      </c>
      <c r="U46" t="str">
        <f t="shared" ca="1" si="7"/>
        <v/>
      </c>
      <c r="V46" t="str">
        <f t="shared" ca="1" si="1"/>
        <v/>
      </c>
    </row>
    <row r="47" spans="1:22">
      <c r="A47"/>
      <c r="I47">
        <f t="shared" si="8"/>
        <v>99</v>
      </c>
      <c r="J47" t="str" cm="1">
        <f t="array" aca="1" ref="J47" ca="1">IFERROR(IF(OR(COUNTIF(INDIRECT("数出表_Excel!"&amp;P47&amp;"3"),"*キャラ*"),
COUNTIF(INDIRECT("数出表_Excel!"&amp;P47&amp;"3"),"*赤*")),
INDIRECT("数出表_Excel!"&amp;P47&amp;"3")
&amp;"　"&amp;INDIRECT("数出表_Excel!"&amp;P47&amp;"4")
&amp;INDIRECT("数出表_Excel!"&amp;P47&amp;"5"),
INDIRECT("数出表_Excel!"&amp;P47&amp;"3")),"")</f>
        <v/>
      </c>
      <c r="K47" t="str" cm="1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 cm="1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 cm="1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 cm="1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 cm="1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2"/>
        <v/>
      </c>
      <c r="Q47" t="str">
        <f t="shared" ca="1" si="3"/>
        <v/>
      </c>
      <c r="R47" t="str">
        <f t="shared" ca="1" si="4"/>
        <v/>
      </c>
      <c r="S47" t="str">
        <f t="shared" ca="1" si="5"/>
        <v/>
      </c>
      <c r="T47" t="str">
        <f t="shared" ca="1" si="6"/>
        <v/>
      </c>
      <c r="U47" t="str">
        <f t="shared" ca="1" si="7"/>
        <v/>
      </c>
      <c r="V47" t="str">
        <f t="shared" ca="1" si="1"/>
        <v/>
      </c>
    </row>
    <row r="48" spans="1:22">
      <c r="A48"/>
      <c r="I48">
        <f t="shared" si="8"/>
        <v>101</v>
      </c>
      <c r="J48" t="str" cm="1">
        <f t="array" aca="1" ref="J48" ca="1">IFERROR(IF(OR(COUNTIF(INDIRECT("数出表_Excel!"&amp;P48&amp;"3"),"*キャラ*"),
COUNTIF(INDIRECT("数出表_Excel!"&amp;P48&amp;"3"),"*赤*")),
INDIRECT("数出表_Excel!"&amp;P48&amp;"3")
&amp;"　"&amp;INDIRECT("数出表_Excel!"&amp;P48&amp;"4")
&amp;INDIRECT("数出表_Excel!"&amp;P48&amp;"5"),
INDIRECT("数出表_Excel!"&amp;P48&amp;"3")),"")</f>
        <v/>
      </c>
      <c r="K48" t="str" cm="1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 cm="1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 cm="1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 cm="1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 cm="1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2"/>
        <v/>
      </c>
      <c r="Q48" t="str">
        <f t="shared" ca="1" si="3"/>
        <v/>
      </c>
      <c r="R48" t="str">
        <f t="shared" ca="1" si="4"/>
        <v/>
      </c>
      <c r="S48" t="str">
        <f t="shared" ca="1" si="5"/>
        <v/>
      </c>
      <c r="T48" t="str">
        <f t="shared" ca="1" si="6"/>
        <v/>
      </c>
      <c r="U48" t="str">
        <f t="shared" ca="1" si="7"/>
        <v/>
      </c>
      <c r="V48" t="str">
        <f t="shared" ca="1" si="1"/>
        <v/>
      </c>
    </row>
    <row r="49" spans="1:22">
      <c r="A49"/>
      <c r="I49">
        <f t="shared" si="8"/>
        <v>103</v>
      </c>
      <c r="J49" t="str" cm="1">
        <f t="array" aca="1" ref="J49" ca="1">IFERROR(IF(OR(COUNTIF(INDIRECT("数出表_Excel!"&amp;P49&amp;"3"),"*キャラ*"),
COUNTIF(INDIRECT("数出表_Excel!"&amp;P49&amp;"3"),"*赤*")),
INDIRECT("数出表_Excel!"&amp;P49&amp;"3")
&amp;"　"&amp;INDIRECT("数出表_Excel!"&amp;P49&amp;"4")
&amp;INDIRECT("数出表_Excel!"&amp;P49&amp;"5"),
INDIRECT("数出表_Excel!"&amp;P49&amp;"3")),"")</f>
        <v/>
      </c>
      <c r="K49" t="str" cm="1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 cm="1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 cm="1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 cm="1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 cm="1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2"/>
        <v/>
      </c>
      <c r="Q49" t="str">
        <f t="shared" ca="1" si="3"/>
        <v/>
      </c>
      <c r="R49" t="str">
        <f t="shared" ca="1" si="4"/>
        <v/>
      </c>
      <c r="S49" t="str">
        <f t="shared" ca="1" si="5"/>
        <v/>
      </c>
      <c r="T49" t="str">
        <f t="shared" ca="1" si="6"/>
        <v/>
      </c>
      <c r="U49" t="str">
        <f t="shared" ca="1" si="7"/>
        <v/>
      </c>
      <c r="V49" t="str">
        <f t="shared" ca="1" si="1"/>
        <v/>
      </c>
    </row>
    <row r="50" spans="1:22">
      <c r="A50"/>
      <c r="I50">
        <f t="shared" si="8"/>
        <v>105</v>
      </c>
      <c r="J50" t="str" cm="1">
        <f t="array" aca="1" ref="J50" ca="1">IFERROR(IF(OR(COUNTIF(INDIRECT("数出表_Excel!"&amp;P50&amp;"3"),"*キャラ*"),
COUNTIF(INDIRECT("数出表_Excel!"&amp;P50&amp;"3"),"*赤*")),
INDIRECT("数出表_Excel!"&amp;P50&amp;"3")
&amp;"　"&amp;INDIRECT("数出表_Excel!"&amp;P50&amp;"4")
&amp;INDIRECT("数出表_Excel!"&amp;P50&amp;"5"),
INDIRECT("数出表_Excel!"&amp;P50&amp;"3")),"")</f>
        <v/>
      </c>
      <c r="K50" t="str" cm="1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 cm="1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 cm="1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 cm="1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 cm="1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2"/>
        <v/>
      </c>
      <c r="Q50" t="str">
        <f t="shared" ca="1" si="3"/>
        <v/>
      </c>
      <c r="R50" t="str">
        <f t="shared" ca="1" si="4"/>
        <v/>
      </c>
      <c r="S50" t="str">
        <f t="shared" ca="1" si="5"/>
        <v/>
      </c>
      <c r="T50" t="str">
        <f t="shared" ca="1" si="6"/>
        <v/>
      </c>
      <c r="U50" t="str">
        <f t="shared" ca="1" si="7"/>
        <v/>
      </c>
      <c r="V50" t="str">
        <f t="shared" ca="1" si="1"/>
        <v/>
      </c>
    </row>
    <row r="51" spans="1:22">
      <c r="A51"/>
      <c r="I51">
        <f t="shared" si="8"/>
        <v>107</v>
      </c>
      <c r="J51" t="str" cm="1">
        <f t="array" aca="1" ref="J51" ca="1">IFERROR(IF(OR(COUNTIF(INDIRECT("数出表_Excel!"&amp;P51&amp;"3"),"*キャラ*"),
COUNTIF(INDIRECT("数出表_Excel!"&amp;P51&amp;"3"),"*赤*")),
INDIRECT("数出表_Excel!"&amp;P51&amp;"3")
&amp;"　"&amp;INDIRECT("数出表_Excel!"&amp;P51&amp;"4")
&amp;INDIRECT("数出表_Excel!"&amp;P51&amp;"5"),
INDIRECT("数出表_Excel!"&amp;P51&amp;"3")),"")</f>
        <v/>
      </c>
      <c r="K51" t="str" cm="1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 cm="1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 cm="1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 cm="1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 cm="1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2"/>
        <v/>
      </c>
      <c r="Q51" t="str">
        <f t="shared" ca="1" si="3"/>
        <v/>
      </c>
      <c r="R51" t="str">
        <f t="shared" ca="1" si="4"/>
        <v/>
      </c>
      <c r="S51" t="str">
        <f t="shared" ca="1" si="5"/>
        <v/>
      </c>
      <c r="T51" t="str">
        <f t="shared" ca="1" si="6"/>
        <v/>
      </c>
      <c r="U51" t="str">
        <f t="shared" ca="1" si="7"/>
        <v/>
      </c>
      <c r="V51" t="str">
        <f t="shared" ca="1" si="1"/>
        <v/>
      </c>
    </row>
    <row r="52" spans="1:22">
      <c r="A52"/>
      <c r="I52">
        <f t="shared" si="8"/>
        <v>109</v>
      </c>
      <c r="J52" t="str" cm="1">
        <f t="array" aca="1" ref="J52" ca="1">IFERROR(IF(OR(COUNTIF(INDIRECT("数出表_Excel!"&amp;P52&amp;"3"),"*キャラ*"),
COUNTIF(INDIRECT("数出表_Excel!"&amp;P52&amp;"3"),"*赤*")),
INDIRECT("数出表_Excel!"&amp;P52&amp;"3")
&amp;"　"&amp;INDIRECT("数出表_Excel!"&amp;P52&amp;"4")
&amp;INDIRECT("数出表_Excel!"&amp;P52&amp;"5"),
INDIRECT("数出表_Excel!"&amp;P52&amp;"3")),"")</f>
        <v/>
      </c>
      <c r="K52" t="str" cm="1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 cm="1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 cm="1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 cm="1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 cm="1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2"/>
        <v/>
      </c>
      <c r="Q52" t="str">
        <f t="shared" ca="1" si="3"/>
        <v/>
      </c>
      <c r="R52" t="str">
        <f t="shared" ca="1" si="4"/>
        <v/>
      </c>
      <c r="S52" t="str">
        <f t="shared" ca="1" si="5"/>
        <v/>
      </c>
      <c r="T52" t="str">
        <f t="shared" ca="1" si="6"/>
        <v/>
      </c>
      <c r="U52" t="str">
        <f t="shared" ca="1" si="7"/>
        <v/>
      </c>
      <c r="V52" t="str">
        <f t="shared" ca="1" si="1"/>
        <v/>
      </c>
    </row>
    <row r="53" spans="1:22">
      <c r="A53"/>
      <c r="I53">
        <f t="shared" si="8"/>
        <v>111</v>
      </c>
      <c r="J53" t="str" cm="1">
        <f t="array" aca="1" ref="J53" ca="1">IFERROR(IF(OR(COUNTIF(INDIRECT("数出表_Excel!"&amp;P53&amp;"3"),"*キャラ*"),
COUNTIF(INDIRECT("数出表_Excel!"&amp;P53&amp;"3"),"*赤*")),
INDIRECT("数出表_Excel!"&amp;P53&amp;"3")
&amp;"　"&amp;INDIRECT("数出表_Excel!"&amp;P53&amp;"4")
&amp;INDIRECT("数出表_Excel!"&amp;P53&amp;"5"),
INDIRECT("数出表_Excel!"&amp;P53&amp;"3")),"")</f>
        <v/>
      </c>
      <c r="K53" t="str" cm="1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 cm="1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 cm="1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 cm="1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 cm="1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2"/>
        <v/>
      </c>
      <c r="Q53" t="str">
        <f t="shared" ca="1" si="3"/>
        <v/>
      </c>
      <c r="R53" t="str">
        <f t="shared" ca="1" si="4"/>
        <v/>
      </c>
      <c r="S53" t="str">
        <f t="shared" ca="1" si="5"/>
        <v/>
      </c>
      <c r="T53" t="str">
        <f t="shared" ca="1" si="6"/>
        <v/>
      </c>
      <c r="U53" t="str">
        <f t="shared" ca="1" si="7"/>
        <v/>
      </c>
      <c r="V53" t="str">
        <f t="shared" ca="1" si="1"/>
        <v/>
      </c>
    </row>
    <row r="54" spans="1:22">
      <c r="A54"/>
      <c r="I54">
        <f t="shared" si="8"/>
        <v>113</v>
      </c>
      <c r="J54" t="str" cm="1">
        <f t="array" aca="1" ref="J54" ca="1">IFERROR(IF(OR(COUNTIF(INDIRECT("数出表_Excel!"&amp;P54&amp;"3"),"*キャラ*"),
COUNTIF(INDIRECT("数出表_Excel!"&amp;P54&amp;"3"),"*赤*")),
INDIRECT("数出表_Excel!"&amp;P54&amp;"3")
&amp;"　"&amp;INDIRECT("数出表_Excel!"&amp;P54&amp;"4")
&amp;INDIRECT("数出表_Excel!"&amp;P54&amp;"5"),
INDIRECT("数出表_Excel!"&amp;P54&amp;"3")),"")</f>
        <v/>
      </c>
      <c r="K54" t="str" cm="1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 cm="1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 cm="1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 cm="1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 cm="1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2"/>
        <v/>
      </c>
      <c r="Q54" t="str">
        <f t="shared" ca="1" si="3"/>
        <v/>
      </c>
      <c r="R54" t="str">
        <f t="shared" ca="1" si="4"/>
        <v/>
      </c>
      <c r="S54" t="str">
        <f t="shared" ca="1" si="5"/>
        <v/>
      </c>
      <c r="T54" t="str">
        <f t="shared" ca="1" si="6"/>
        <v/>
      </c>
      <c r="U54" t="str">
        <f t="shared" ca="1" si="7"/>
        <v/>
      </c>
      <c r="V54" t="str">
        <f t="shared" ca="1" si="1"/>
        <v/>
      </c>
    </row>
    <row r="55" spans="1:22">
      <c r="A55"/>
      <c r="I55">
        <f t="shared" si="8"/>
        <v>115</v>
      </c>
      <c r="J55" t="str" cm="1">
        <f t="array" aca="1" ref="J55" ca="1">IFERROR(IF(OR(COUNTIF(INDIRECT("数出表_Excel!"&amp;P55&amp;"3"),"*キャラ*"),
COUNTIF(INDIRECT("数出表_Excel!"&amp;P55&amp;"3"),"*赤*")),
INDIRECT("数出表_Excel!"&amp;P55&amp;"3")
&amp;"　"&amp;INDIRECT("数出表_Excel!"&amp;P55&amp;"4")
&amp;INDIRECT("数出表_Excel!"&amp;P55&amp;"5"),
INDIRECT("数出表_Excel!"&amp;P55&amp;"3")),"")</f>
        <v/>
      </c>
      <c r="K55" t="str" cm="1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 cm="1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 cm="1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 cm="1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 cm="1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2"/>
        <v/>
      </c>
      <c r="Q55" t="str">
        <f t="shared" ca="1" si="3"/>
        <v/>
      </c>
      <c r="R55" t="str">
        <f t="shared" ca="1" si="4"/>
        <v/>
      </c>
      <c r="S55" t="str">
        <f t="shared" ca="1" si="5"/>
        <v/>
      </c>
      <c r="T55" t="str">
        <f t="shared" ca="1" si="6"/>
        <v/>
      </c>
      <c r="U55" t="str">
        <f t="shared" ca="1" si="7"/>
        <v/>
      </c>
      <c r="V55" t="str">
        <f t="shared" ca="1" si="1"/>
        <v/>
      </c>
    </row>
    <row r="56" spans="1:22">
      <c r="A56"/>
      <c r="I56">
        <f t="shared" si="8"/>
        <v>117</v>
      </c>
      <c r="J56" t="str" cm="1">
        <f t="array" aca="1" ref="J56" ca="1">IFERROR(IF(OR(COUNTIF(INDIRECT("数出表_Excel!"&amp;P56&amp;"3"),"*キャラ*"),
COUNTIF(INDIRECT("数出表_Excel!"&amp;P56&amp;"3"),"*赤*")),
INDIRECT("数出表_Excel!"&amp;P56&amp;"3")
&amp;"　"&amp;INDIRECT("数出表_Excel!"&amp;P56&amp;"4")
&amp;INDIRECT("数出表_Excel!"&amp;P56&amp;"5"),
INDIRECT("数出表_Excel!"&amp;P56&amp;"3")),"")</f>
        <v/>
      </c>
      <c r="K56" t="str" cm="1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 cm="1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 cm="1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 cm="1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 cm="1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2"/>
        <v/>
      </c>
      <c r="Q56" t="str">
        <f t="shared" ca="1" si="3"/>
        <v/>
      </c>
      <c r="R56" t="str">
        <f t="shared" ca="1" si="4"/>
        <v/>
      </c>
      <c r="S56" t="str">
        <f t="shared" ca="1" si="5"/>
        <v/>
      </c>
      <c r="T56" t="str">
        <f t="shared" ca="1" si="6"/>
        <v/>
      </c>
      <c r="U56" t="str">
        <f t="shared" ca="1" si="7"/>
        <v/>
      </c>
      <c r="V56" t="str">
        <f t="shared" ca="1" si="1"/>
        <v/>
      </c>
    </row>
    <row r="57" spans="1:22">
      <c r="A57"/>
      <c r="I57">
        <f t="shared" si="8"/>
        <v>119</v>
      </c>
      <c r="J57" t="str" cm="1">
        <f t="array" aca="1" ref="J57" ca="1">IFERROR(IF(OR(COUNTIF(INDIRECT("数出表_Excel!"&amp;P57&amp;"3"),"*キャラ*"),
COUNTIF(INDIRECT("数出表_Excel!"&amp;P57&amp;"3"),"*赤*")),
INDIRECT("数出表_Excel!"&amp;P57&amp;"3")
&amp;"　"&amp;INDIRECT("数出表_Excel!"&amp;P57&amp;"4")
&amp;INDIRECT("数出表_Excel!"&amp;P57&amp;"5"),
INDIRECT("数出表_Excel!"&amp;P57&amp;"3")),"")</f>
        <v/>
      </c>
      <c r="K57" t="str" cm="1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 cm="1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 cm="1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 cm="1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 cm="1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2"/>
        <v/>
      </c>
      <c r="Q57" t="str">
        <f t="shared" ca="1" si="3"/>
        <v/>
      </c>
      <c r="R57" t="str">
        <f t="shared" ca="1" si="4"/>
        <v/>
      </c>
      <c r="S57" t="str">
        <f t="shared" ca="1" si="5"/>
        <v/>
      </c>
      <c r="T57" t="str">
        <f t="shared" ca="1" si="6"/>
        <v/>
      </c>
      <c r="U57" t="str">
        <f t="shared" ca="1" si="7"/>
        <v/>
      </c>
      <c r="V57" t="str">
        <f t="shared" ca="1" si="1"/>
        <v/>
      </c>
    </row>
    <row r="58" spans="1:22">
      <c r="A58"/>
      <c r="I58">
        <f t="shared" si="8"/>
        <v>121</v>
      </c>
      <c r="J58" t="str" cm="1">
        <f t="array" aca="1" ref="J58" ca="1">IFERROR(IF(OR(COUNTIF(INDIRECT("数出表_Excel!"&amp;P58&amp;"3"),"*キャラ*"),
COUNTIF(INDIRECT("数出表_Excel!"&amp;P58&amp;"3"),"*赤*")),
INDIRECT("数出表_Excel!"&amp;P58&amp;"3")
&amp;"　"&amp;INDIRECT("数出表_Excel!"&amp;P58&amp;"4")
&amp;INDIRECT("数出表_Excel!"&amp;P58&amp;"5"),
INDIRECT("数出表_Excel!"&amp;P58&amp;"3")),"")</f>
        <v/>
      </c>
      <c r="K58" t="str" cm="1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 cm="1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 cm="1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 cm="1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 cm="1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2"/>
        <v/>
      </c>
      <c r="Q58" t="str">
        <f t="shared" ca="1" si="3"/>
        <v/>
      </c>
      <c r="R58" t="str">
        <f t="shared" ca="1" si="4"/>
        <v/>
      </c>
      <c r="S58" t="str">
        <f t="shared" ca="1" si="5"/>
        <v/>
      </c>
      <c r="T58" t="str">
        <f t="shared" ca="1" si="6"/>
        <v/>
      </c>
      <c r="U58" t="str">
        <f t="shared" ca="1" si="7"/>
        <v/>
      </c>
      <c r="V58" t="str">
        <f t="shared" ca="1" si="1"/>
        <v/>
      </c>
    </row>
    <row r="59" spans="1:22">
      <c r="A59"/>
      <c r="I59">
        <f t="shared" si="8"/>
        <v>123</v>
      </c>
      <c r="J59" t="str" cm="1">
        <f t="array" aca="1" ref="J59" ca="1">IFERROR(IF(OR(COUNTIF(INDIRECT("数出表_Excel!"&amp;P59&amp;"3"),"*キャラ*"),
COUNTIF(INDIRECT("数出表_Excel!"&amp;P59&amp;"3"),"*赤*")),
INDIRECT("数出表_Excel!"&amp;P59&amp;"3")
&amp;"　"&amp;INDIRECT("数出表_Excel!"&amp;P59&amp;"4")
&amp;INDIRECT("数出表_Excel!"&amp;P59&amp;"5"),
INDIRECT("数出表_Excel!"&amp;P59&amp;"3")),"")</f>
        <v/>
      </c>
      <c r="K59" t="str" cm="1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 cm="1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 cm="1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 cm="1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 cm="1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2"/>
        <v/>
      </c>
      <c r="Q59" t="str">
        <f t="shared" ca="1" si="3"/>
        <v/>
      </c>
      <c r="R59" t="str">
        <f t="shared" ca="1" si="4"/>
        <v/>
      </c>
      <c r="S59" t="str">
        <f t="shared" ca="1" si="5"/>
        <v/>
      </c>
      <c r="T59" t="str">
        <f t="shared" ca="1" si="6"/>
        <v/>
      </c>
      <c r="U59" t="str">
        <f t="shared" ca="1" si="7"/>
        <v/>
      </c>
      <c r="V59" t="str">
        <f t="shared" ca="1" si="1"/>
        <v/>
      </c>
    </row>
    <row r="60" spans="1:22">
      <c r="A60"/>
      <c r="I60">
        <f t="shared" si="8"/>
        <v>125</v>
      </c>
      <c r="J60" t="str" cm="1">
        <f t="array" aca="1" ref="J60" ca="1">IFERROR(IF(OR(COUNTIF(INDIRECT("数出表_Excel!"&amp;P60&amp;"3"),"*キャラ*"),
COUNTIF(INDIRECT("数出表_Excel!"&amp;P60&amp;"3"),"*赤*")),
INDIRECT("数出表_Excel!"&amp;P60&amp;"3")
&amp;"　"&amp;INDIRECT("数出表_Excel!"&amp;P60&amp;"4")
&amp;INDIRECT("数出表_Excel!"&amp;P60&amp;"5"),
INDIRECT("数出表_Excel!"&amp;P60&amp;"3")),"")</f>
        <v/>
      </c>
      <c r="K60" t="str" cm="1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 cm="1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 cm="1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 cm="1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 cm="1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2"/>
        <v/>
      </c>
      <c r="Q60" t="str">
        <f t="shared" ca="1" si="3"/>
        <v/>
      </c>
      <c r="R60" t="str">
        <f t="shared" ca="1" si="4"/>
        <v/>
      </c>
      <c r="S60" t="str">
        <f t="shared" ca="1" si="5"/>
        <v/>
      </c>
      <c r="T60" t="str">
        <f t="shared" ca="1" si="6"/>
        <v/>
      </c>
      <c r="U60" t="str">
        <f t="shared" ca="1" si="7"/>
        <v/>
      </c>
      <c r="V60" t="str">
        <f t="shared" ca="1" si="1"/>
        <v/>
      </c>
    </row>
    <row r="61" spans="1:22">
      <c r="A61"/>
      <c r="I61">
        <f t="shared" si="8"/>
        <v>127</v>
      </c>
      <c r="J61" t="str" cm="1">
        <f t="array" aca="1" ref="J61" ca="1">IFERROR(IF(OR(COUNTIF(INDIRECT("数出表_Excel!"&amp;P61&amp;"3"),"*キャラ*"),
COUNTIF(INDIRECT("数出表_Excel!"&amp;P61&amp;"3"),"*赤*")),
INDIRECT("数出表_Excel!"&amp;P61&amp;"3")
&amp;"　"&amp;INDIRECT("数出表_Excel!"&amp;P61&amp;"4")
&amp;INDIRECT("数出表_Excel!"&amp;P61&amp;"5"),
INDIRECT("数出表_Excel!"&amp;P61&amp;"3")),"")</f>
        <v/>
      </c>
      <c r="K61" t="str" cm="1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 cm="1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 cm="1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 cm="1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 cm="1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2"/>
        <v/>
      </c>
      <c r="Q61" t="str">
        <f t="shared" ca="1" si="3"/>
        <v/>
      </c>
      <c r="R61" t="str">
        <f t="shared" ca="1" si="4"/>
        <v/>
      </c>
      <c r="S61" t="str">
        <f t="shared" ca="1" si="5"/>
        <v/>
      </c>
      <c r="T61" t="str">
        <f t="shared" ca="1" si="6"/>
        <v/>
      </c>
      <c r="U61" t="str">
        <f t="shared" ca="1" si="7"/>
        <v/>
      </c>
      <c r="V61" t="str">
        <f t="shared" ca="1" si="1"/>
        <v/>
      </c>
    </row>
    <row r="62" spans="1:22">
      <c r="I62">
        <f t="shared" si="8"/>
        <v>129</v>
      </c>
      <c r="J62" t="str" cm="1">
        <f t="array" aca="1" ref="J62" ca="1">IFERROR(IF(OR(COUNTIF(INDIRECT("数出表_Excel!"&amp;P62&amp;"3"),"*キャラ*"),
COUNTIF(INDIRECT("数出表_Excel!"&amp;P62&amp;"3"),"*赤*")),
INDIRECT("数出表_Excel!"&amp;P62&amp;"3")
&amp;"　"&amp;INDIRECT("数出表_Excel!"&amp;P62&amp;"4")
&amp;INDIRECT("数出表_Excel!"&amp;P62&amp;"5"),
INDIRECT("数出表_Excel!"&amp;P62&amp;"3")),"")</f>
        <v/>
      </c>
      <c r="K62" t="str" cm="1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 cm="1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 cm="1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 cm="1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 cm="1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2"/>
        <v/>
      </c>
      <c r="Q62" t="str">
        <f t="shared" ca="1" si="3"/>
        <v/>
      </c>
      <c r="R62" t="str">
        <f t="shared" ca="1" si="4"/>
        <v/>
      </c>
      <c r="S62" t="str">
        <f t="shared" ca="1" si="5"/>
        <v/>
      </c>
      <c r="T62" t="str">
        <f t="shared" ca="1" si="6"/>
        <v/>
      </c>
      <c r="U62" t="str">
        <f t="shared" ca="1" si="7"/>
        <v/>
      </c>
      <c r="V62" t="str">
        <f t="shared" ca="1" si="1"/>
        <v/>
      </c>
    </row>
    <row r="63" spans="1:22">
      <c r="I63">
        <f t="shared" si="8"/>
        <v>131</v>
      </c>
      <c r="J63" t="str" cm="1">
        <f t="array" aca="1" ref="J63" ca="1">IFERROR(IF(OR(COUNTIF(INDIRECT("数出表_Excel!"&amp;P63&amp;"3"),"*キャラ*"),
COUNTIF(INDIRECT("数出表_Excel!"&amp;P63&amp;"3"),"*赤*")),
INDIRECT("数出表_Excel!"&amp;P63&amp;"3")
&amp;"　"&amp;INDIRECT("数出表_Excel!"&amp;P63&amp;"4")
&amp;INDIRECT("数出表_Excel!"&amp;P63&amp;"5"),
INDIRECT("数出表_Excel!"&amp;P63&amp;"3")),"")</f>
        <v/>
      </c>
      <c r="K63" t="str" cm="1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 cm="1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 cm="1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 cm="1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 cm="1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2"/>
        <v/>
      </c>
      <c r="Q63" t="str">
        <f t="shared" ca="1" si="3"/>
        <v/>
      </c>
      <c r="R63" t="str">
        <f t="shared" ca="1" si="4"/>
        <v/>
      </c>
      <c r="S63" t="str">
        <f t="shared" ca="1" si="5"/>
        <v/>
      </c>
      <c r="T63" t="str">
        <f t="shared" ca="1" si="6"/>
        <v/>
      </c>
      <c r="U63" t="str">
        <f t="shared" ca="1" si="7"/>
        <v/>
      </c>
      <c r="V63" t="str">
        <f t="shared" ca="1" si="1"/>
        <v/>
      </c>
    </row>
    <row r="64" spans="1:22">
      <c r="I64">
        <f t="shared" si="8"/>
        <v>133</v>
      </c>
      <c r="J64" t="str" cm="1">
        <f t="array" aca="1" ref="J64" ca="1">IFERROR(IF(OR(COUNTIF(INDIRECT("数出表_Excel!"&amp;P64&amp;"3"),"*キャラ*"),
COUNTIF(INDIRECT("数出表_Excel!"&amp;P64&amp;"3"),"*赤*")),
INDIRECT("数出表_Excel!"&amp;P64&amp;"3")
&amp;"　"&amp;INDIRECT("数出表_Excel!"&amp;P64&amp;"4")
&amp;INDIRECT("数出表_Excel!"&amp;P64&amp;"5"),
INDIRECT("数出表_Excel!"&amp;P64&amp;"3")),"")</f>
        <v/>
      </c>
      <c r="K64" t="str" cm="1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 cm="1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 cm="1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 cm="1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 cm="1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2"/>
        <v/>
      </c>
      <c r="Q64" t="str">
        <f t="shared" ca="1" si="3"/>
        <v/>
      </c>
      <c r="R64" t="str">
        <f t="shared" ca="1" si="4"/>
        <v/>
      </c>
      <c r="S64" t="str">
        <f t="shared" ca="1" si="5"/>
        <v/>
      </c>
      <c r="T64" t="str">
        <f t="shared" ca="1" si="6"/>
        <v/>
      </c>
      <c r="U64" t="str">
        <f t="shared" ca="1" si="7"/>
        <v/>
      </c>
      <c r="V64" t="str">
        <f t="shared" ca="1" si="1"/>
        <v/>
      </c>
    </row>
    <row r="65" spans="8:22">
      <c r="I65">
        <f t="shared" si="8"/>
        <v>135</v>
      </c>
      <c r="J65" t="str" cm="1">
        <f t="array" aca="1" ref="J65" ca="1">IFERROR(IF(OR(COUNTIF(INDIRECT("数出表_Excel!"&amp;P65&amp;"3"),"*キャラ*"),
COUNTIF(INDIRECT("数出表_Excel!"&amp;P65&amp;"3"),"*赤*")),
INDIRECT("数出表_Excel!"&amp;P65&amp;"3")
&amp;"　"&amp;INDIRECT("数出表_Excel!"&amp;P65&amp;"4")
&amp;INDIRECT("数出表_Excel!"&amp;P65&amp;"5"),
INDIRECT("数出表_Excel!"&amp;P65&amp;"3")),"")</f>
        <v/>
      </c>
      <c r="K65" t="str" cm="1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 cm="1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 cm="1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 cm="1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 cm="1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ca="1" si="2"/>
        <v/>
      </c>
      <c r="Q65" t="str">
        <f t="shared" ca="1" si="3"/>
        <v/>
      </c>
      <c r="R65" t="str">
        <f t="shared" ca="1" si="4"/>
        <v/>
      </c>
      <c r="S65" t="str">
        <f t="shared" ca="1" si="5"/>
        <v/>
      </c>
      <c r="T65" t="str">
        <f t="shared" ca="1" si="6"/>
        <v/>
      </c>
      <c r="U65" t="str">
        <f t="shared" ca="1" si="7"/>
        <v/>
      </c>
      <c r="V65" t="str">
        <f t="shared" ref="V65:V70" ca="1" si="9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8:22">
      <c r="I66">
        <f t="shared" si="8"/>
        <v>137</v>
      </c>
      <c r="J66" t="str" cm="1">
        <f t="array" aca="1" ref="J66" ca="1">IFERROR(IF(OR(COUNTIF(INDIRECT("数出表_Excel!"&amp;P66&amp;"3"),"*キャラ*"),
COUNTIF(INDIRECT("数出表_Excel!"&amp;P66&amp;"3"),"*赤*")),
INDIRECT("数出表_Excel!"&amp;P66&amp;"3")
&amp;"　"&amp;INDIRECT("数出表_Excel!"&amp;P66&amp;"4")
&amp;INDIRECT("数出表_Excel!"&amp;P66&amp;"5"),
INDIRECT("数出表_Excel!"&amp;P66&amp;"3")),"")</f>
        <v/>
      </c>
      <c r="K66" t="str" cm="1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 cm="1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 cm="1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 cm="1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 cm="1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ref="P66:P70" ca="1" si="10">IFERROR(
SUBSTITUTE(ADDRESS(1,
IFERROR(COLUMN(INDEX(INDIRECT("数出表_Excel!B"&amp;$I66-1&amp;":T"&amp;$I66-1&amp;""),1,MATCH(TEXT(B66,0),INDIRECT("数出表_Excel!B"&amp;$I66-1&amp;":T"&amp;$I66-1&amp;""),0))),""),4),"1",""),
"")</f>
        <v/>
      </c>
      <c r="Q66" t="str">
        <f t="shared" ref="Q66:Q70" ca="1" si="11">IFERROR(
SUBSTITUTE(ADDRESS(1,
IFERROR(COLUMN(INDEX(INDIRECT("数出表_Excel!B"&amp;$I66-1&amp;":T"&amp;$I66-1&amp;""),1,MATCH(TEXT(C66,0),INDIRECT("数出表_Excel!B"&amp;$I66-1&amp;":T"&amp;$I66-1&amp;""),0))),""),4),"1",""),
"")</f>
        <v/>
      </c>
      <c r="R66" t="str">
        <f t="shared" ref="R66:R70" ca="1" si="12">IFERROR(
SUBSTITUTE(ADDRESS(1,
IFERROR(COLUMN(INDEX(INDIRECT("数出表_Excel!B"&amp;$I66-1&amp;":T"&amp;$I66-1&amp;""),1,MATCH(TEXT(D66,0),INDIRECT("数出表_Excel!B"&amp;$I66-1&amp;":T"&amp;$I66-1&amp;""),0))),""),4),"1",""),
"")</f>
        <v/>
      </c>
      <c r="S66" t="str">
        <f t="shared" ref="S66:S70" ca="1" si="13">IFERROR(
SUBSTITUTE(ADDRESS(1,
IFERROR(COLUMN(INDEX(INDIRECT("数出表_Excel!B"&amp;$I66&amp;":T"&amp;$I66&amp;""),1,MATCH(TEXT(E66,0),INDIRECT("数出表_Excel!B"&amp;$I66&amp;":T"&amp;$I66&amp;""),0))),""),4),"1",""),
"")</f>
        <v/>
      </c>
      <c r="T66" t="str">
        <f t="shared" ref="T66:T70" ca="1" si="14">IFERROR(
SUBSTITUTE(ADDRESS(1,
IFERROR(COLUMN(INDEX(INDIRECT("数出表_Excel!B"&amp;$I66&amp;":T"&amp;$I66&amp;""),1,MATCH(TEXT(F66,0),INDIRECT("数出表_Excel!B"&amp;$I66&amp;":T"&amp;$I66&amp;""),0))),""),4),"1",""),
"")</f>
        <v/>
      </c>
      <c r="U66" t="str">
        <f t="shared" ref="U66:U70" ca="1" si="15">IFERROR(
SUBSTITUTE(ADDRESS(1,
IFERROR(COLUMN(INDEX(INDIRECT("数出表_Excel!B"&amp;$I66&amp;":T"&amp;$I66&amp;""),1,MATCH(TEXT(G66,0),INDIRECT("数出表_Excel!B"&amp;$I66&amp;":T"&amp;$I66&amp;""),0))),""),4),"1",""),
"")</f>
        <v/>
      </c>
      <c r="V66" t="str">
        <f t="shared" ca="1" si="9"/>
        <v/>
      </c>
    </row>
    <row r="67" spans="8:22">
      <c r="I67">
        <f t="shared" ref="I67:I70" si="16">I66+2</f>
        <v>139</v>
      </c>
      <c r="J67" t="str" cm="1">
        <f t="array" aca="1" ref="J67" ca="1">IFERROR(IF(OR(COUNTIF(INDIRECT("数出表_Excel!"&amp;P67&amp;"3"),"*キャラ*"),
COUNTIF(INDIRECT("数出表_Excel!"&amp;P67&amp;"3"),"*赤*")),
INDIRECT("数出表_Excel!"&amp;P67&amp;"3")
&amp;"　"&amp;INDIRECT("数出表_Excel!"&amp;P67&amp;"4")
&amp;INDIRECT("数出表_Excel!"&amp;P67&amp;"5"),
INDIRECT("数出表_Excel!"&amp;P67&amp;"3")),"")</f>
        <v/>
      </c>
      <c r="K67" t="str" cm="1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 cm="1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 cm="1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 cm="1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 cm="1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shared" ca="1" si="11"/>
        <v/>
      </c>
      <c r="R67" t="str">
        <f t="shared" ca="1" si="12"/>
        <v/>
      </c>
      <c r="S67" t="str">
        <f t="shared" ca="1" si="13"/>
        <v/>
      </c>
      <c r="T67" t="str">
        <f t="shared" ca="1" si="14"/>
        <v/>
      </c>
      <c r="U67" t="str">
        <f t="shared" ca="1" si="15"/>
        <v/>
      </c>
      <c r="V67" t="str">
        <f t="shared" ca="1" si="9"/>
        <v/>
      </c>
    </row>
    <row r="68" spans="8:22">
      <c r="I68">
        <f t="shared" si="16"/>
        <v>141</v>
      </c>
      <c r="J68" t="str" cm="1">
        <f t="array" aca="1" ref="J68" ca="1">IFERROR(IF(OR(COUNTIF(INDIRECT("数出表_Excel!"&amp;P68&amp;"3"),"*キャラ*"),
COUNTIF(INDIRECT("数出表_Excel!"&amp;P68&amp;"3"),"*赤*")),
INDIRECT("数出表_Excel!"&amp;P68&amp;"3")
&amp;"　"&amp;INDIRECT("数出表_Excel!"&amp;P68&amp;"4")
&amp;INDIRECT("数出表_Excel!"&amp;P68&amp;"5"),
INDIRECT("数出表_Excel!"&amp;P68&amp;"3")),"")</f>
        <v/>
      </c>
      <c r="K68" t="str" cm="1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 cm="1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 cm="1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 cm="1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 cm="1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shared" ca="1" si="11"/>
        <v/>
      </c>
      <c r="R68" t="str">
        <f t="shared" ca="1" si="12"/>
        <v/>
      </c>
      <c r="S68" t="str">
        <f t="shared" ca="1" si="13"/>
        <v/>
      </c>
      <c r="T68" t="str">
        <f t="shared" ca="1" si="14"/>
        <v/>
      </c>
      <c r="U68" t="str">
        <f t="shared" ca="1" si="15"/>
        <v/>
      </c>
      <c r="V68" t="str">
        <f t="shared" ca="1" si="9"/>
        <v/>
      </c>
    </row>
    <row r="69" spans="8:22">
      <c r="I69">
        <f t="shared" si="16"/>
        <v>143</v>
      </c>
      <c r="J69" t="str" cm="1">
        <f t="array" aca="1" ref="J69" ca="1">IFERROR(IF(OR(COUNTIF(INDIRECT("数出表_Excel!"&amp;P69&amp;"3"),"*キャラ*"),
COUNTIF(INDIRECT("数出表_Excel!"&amp;P69&amp;"3"),"*赤*")),
INDIRECT("数出表_Excel!"&amp;P69&amp;"3")
&amp;"　"&amp;INDIRECT("数出表_Excel!"&amp;P69&amp;"4")
&amp;INDIRECT("数出表_Excel!"&amp;P69&amp;"5"),
INDIRECT("数出表_Excel!"&amp;P69&amp;"3")),"")</f>
        <v/>
      </c>
      <c r="K69" t="str" cm="1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 cm="1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 cm="1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 cm="1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 cm="1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shared" ca="1" si="11"/>
        <v/>
      </c>
      <c r="R69" t="str">
        <f t="shared" ca="1" si="12"/>
        <v/>
      </c>
      <c r="S69" t="str">
        <f t="shared" ca="1" si="13"/>
        <v/>
      </c>
      <c r="T69" t="str">
        <f t="shared" ca="1" si="14"/>
        <v/>
      </c>
      <c r="U69" t="str">
        <f t="shared" ca="1" si="15"/>
        <v/>
      </c>
      <c r="V69" t="str">
        <f t="shared" ca="1" si="9"/>
        <v/>
      </c>
    </row>
    <row r="70" spans="8:22" s="132" customFormat="1">
      <c r="H70" s="131"/>
      <c r="I70" s="132">
        <f t="shared" si="16"/>
        <v>145</v>
      </c>
      <c r="J70" s="132" t="str" cm="1">
        <f t="array" aca="1" ref="J70" ca="1">IFERROR(IF(OR(COUNTIF(INDIRECT("数出表_Excel!"&amp;P70&amp;"3"),"*キャラ*"),
COUNTIF(INDIRECT("数出表_Excel!"&amp;P70&amp;"3"),"*赤*")),
INDIRECT("数出表_Excel!"&amp;P70&amp;"3")
&amp;"　"&amp;INDIRECT("数出表_Excel!"&amp;P70&amp;"4")
&amp;INDIRECT("数出表_Excel!"&amp;P70&amp;"5"),
INDIRECT("数出表_Excel!"&amp;P70&amp;"3")),"")</f>
        <v/>
      </c>
      <c r="K70" s="132" t="str" cm="1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2" t="str" cm="1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2" t="str" cm="1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2" t="str" cm="1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2" t="str" cm="1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2" t="str">
        <f t="shared" ca="1" si="10"/>
        <v/>
      </c>
      <c r="Q70" s="132" t="str">
        <f t="shared" ca="1" si="11"/>
        <v/>
      </c>
      <c r="R70" s="132" t="str">
        <f t="shared" ca="1" si="12"/>
        <v/>
      </c>
      <c r="S70" s="132" t="str">
        <f t="shared" ca="1" si="13"/>
        <v/>
      </c>
      <c r="T70" s="132" t="str">
        <f t="shared" ca="1" si="14"/>
        <v/>
      </c>
      <c r="U70" s="132" t="str">
        <f t="shared" ca="1" si="15"/>
        <v/>
      </c>
      <c r="V70" s="132" t="str">
        <f t="shared" ca="1" si="9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topLeftCell="A70" zoomScale="60" zoomScaleNormal="60" workbookViewId="0">
      <selection activeCell="D79" sqref="D79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27" sqref="V27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3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8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</v>
      </c>
      <c r="J2" s="16"/>
      <c r="K2" s="16" t="s">
        <v>6</v>
      </c>
      <c r="L2" s="16"/>
      <c r="M2" s="16" t="s">
        <v>5</v>
      </c>
      <c r="N2" s="10"/>
      <c r="O2"/>
      <c r="P2"/>
      <c r="Q2"/>
      <c r="R2" t="s">
        <v>7</v>
      </c>
      <c r="S2"/>
      <c r="T2" t="s">
        <v>8</v>
      </c>
      <c r="U2" t="s">
        <v>8</v>
      </c>
      <c r="V2" s="69" t="str">
        <f>貼り付け用!T2&amp;"　"&amp;貼り付け用!U2&amp;"　"&amp;貼り付け用!V2&amp;"　"&amp;貼り付け用!W2</f>
        <v>　　　</v>
      </c>
    </row>
    <row r="3" spans="1:23">
      <c r="A3" s="4"/>
      <c r="B3" s="191" t="s">
        <v>34</v>
      </c>
      <c r="C3" s="23" t="s">
        <v>1</v>
      </c>
      <c r="D3" s="191" t="s">
        <v>2</v>
      </c>
      <c r="E3" s="24" t="s">
        <v>2</v>
      </c>
      <c r="F3" s="23" t="s">
        <v>2</v>
      </c>
      <c r="G3" s="191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5">
        <f>IF(COUNTIF(注文弁当の抽出!A2,"*おやつ*"),"",注文弁当の抽出!A2)</f>
        <v>0</v>
      </c>
      <c r="M3" s="65">
        <f>IF(L3&lt;&gt;"",IF(COUNTIF(注文弁当の抽出!A3,"*おやつ*"),"",注文弁当の抽出!A3),"")</f>
        <v>0</v>
      </c>
      <c r="N3" s="65">
        <f>IF(M3&lt;&gt;"",IF(COUNTIF(注文弁当の抽出!A4,"*おやつ*"),"",注文弁当の抽出!A4),"")</f>
        <v>0</v>
      </c>
      <c r="O3" s="65">
        <f>IF(N3&lt;&gt;"",IF(COUNTIF(注文弁当の抽出!A5,"*おやつ*"),"",注文弁当の抽出!A5),"")</f>
        <v>0</v>
      </c>
      <c r="P3" s="65">
        <f>IF(O3&lt;&gt;"",IF(COUNTIF(注文弁当の抽出!A6,"*おやつ*"),"",注文弁当の抽出!A6),"")</f>
        <v>0</v>
      </c>
      <c r="Q3" s="65">
        <f>IF(P3&lt;&gt;"",IF(COUNTIF(注文弁当の抽出!A7,"*おやつ*"),"",注文弁当の抽出!A7),"")</f>
        <v>0</v>
      </c>
      <c r="R3" s="65">
        <f>IF(Q3&lt;&gt;"",IF(COUNTIF(注文弁当の抽出!A8,"*おやつ*"),"",注文弁当の抽出!A8),"")</f>
        <v>0</v>
      </c>
      <c r="S3" s="65">
        <f>IF(R3&lt;&gt;"",IF(COUNTIF(注文弁当の抽出!A9,"*おやつ*"),"",注文弁当の抽出!A9),"")</f>
        <v>0</v>
      </c>
      <c r="T3" s="62" t="s">
        <v>3</v>
      </c>
      <c r="U3" s="15"/>
      <c r="V3" s="70"/>
      <c r="W3" s="6"/>
    </row>
    <row r="4" spans="1:23">
      <c r="A4" s="2" t="s">
        <v>9</v>
      </c>
      <c r="B4" s="13" t="s">
        <v>10</v>
      </c>
      <c r="C4" s="13" t="s">
        <v>10</v>
      </c>
      <c r="D4" s="13" t="s">
        <v>10</v>
      </c>
      <c r="E4" s="13" t="s">
        <v>11</v>
      </c>
      <c r="F4" s="13" t="s">
        <v>12</v>
      </c>
      <c r="G4" s="13" t="s">
        <v>10</v>
      </c>
      <c r="H4" s="13" t="s">
        <v>10</v>
      </c>
      <c r="I4" s="13" t="s">
        <v>11</v>
      </c>
      <c r="J4" s="13" t="s">
        <v>11</v>
      </c>
      <c r="K4" s="13" t="s">
        <v>12</v>
      </c>
      <c r="L4" s="62"/>
      <c r="M4" s="62"/>
      <c r="N4" s="62"/>
      <c r="O4" s="62"/>
      <c r="P4" s="62"/>
      <c r="Q4" s="62"/>
      <c r="R4" s="62"/>
      <c r="S4" s="62"/>
      <c r="T4" s="62"/>
      <c r="U4" s="19"/>
      <c r="V4" s="71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13</v>
      </c>
      <c r="F5" s="13"/>
      <c r="G5" s="13">
        <v>120</v>
      </c>
      <c r="H5" s="13">
        <v>100</v>
      </c>
      <c r="I5" s="13" t="s">
        <v>13</v>
      </c>
      <c r="J5" s="13" t="s">
        <v>14</v>
      </c>
      <c r="K5" s="13"/>
      <c r="L5" s="62"/>
      <c r="M5" s="62"/>
      <c r="N5" s="62"/>
      <c r="O5" s="62"/>
      <c r="P5" s="62"/>
      <c r="Q5" s="62"/>
      <c r="R5" s="62"/>
      <c r="S5" s="62"/>
      <c r="T5" s="62"/>
      <c r="U5" s="20"/>
      <c r="V5" s="71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2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2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2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2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2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2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2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2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2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2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2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2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2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2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2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2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2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2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2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2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2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2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2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2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2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2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2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2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2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2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2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2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2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2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2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2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2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2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2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2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2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2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2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2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2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2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2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2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2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2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2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2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2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2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2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2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2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2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2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2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2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2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2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2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2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2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2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2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2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2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2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2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2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2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2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2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2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2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2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2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2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2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2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2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2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2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2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2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2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2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2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2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2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2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2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2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2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2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2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2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2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2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2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2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2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2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2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2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2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2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2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2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2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2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2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2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2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2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2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2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2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2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2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2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2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2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2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2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2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2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2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2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2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2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2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2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2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2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2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2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3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4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workbookViewId="0">
      <selection activeCell="I5" sqref="I5:I8"/>
    </sheetView>
  </sheetViews>
  <sheetFormatPr defaultRowHeight="18"/>
  <cols>
    <col min="1" max="1" width="23.8984375" style="29" customWidth="1"/>
    <col min="10" max="10" width="8.796875" style="74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R24"/>
  <sheetViews>
    <sheetView workbookViewId="0">
      <selection activeCell="E7" sqref="E7"/>
    </sheetView>
  </sheetViews>
  <sheetFormatPr defaultRowHeight="18"/>
  <cols>
    <col min="1" max="1" width="17.3984375" style="29" customWidth="1"/>
  </cols>
  <sheetData>
    <row r="1" spans="1:18">
      <c r="A1" s="74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4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4"/>
      <c r="D1" s="74"/>
      <c r="E1" s="74"/>
      <c r="F1" s="74" t="e">
        <f t="array" aca="1" ref="F1" ca="1">IF(B1&lt;&gt;"",
INDIRECT("'数出表_Excel（アレルギー入力）'!"&amp;P1&amp;O1&amp;""),"")</f>
        <v>#REF!</v>
      </c>
      <c r="G1" s="74"/>
      <c r="H1" s="74"/>
      <c r="I1" s="74"/>
      <c r="J1" s="74"/>
      <c r="K1" s="74"/>
      <c r="L1" s="74"/>
      <c r="M1" s="74"/>
      <c r="N1" s="74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22</v>
      </c>
    </row>
    <row r="2" spans="1:18">
      <c r="A2" s="74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4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4"/>
      <c r="D2" s="74"/>
      <c r="E2" s="74"/>
      <c r="F2" s="74" t="e">
        <f t="array" aca="1" ref="F2" ca="1">IF(B2&lt;&gt;"",
INDIRECT("'数出表_Excel（アレルギー入力）'!"&amp;P2&amp;O2&amp;""),"")</f>
        <v>#REF!</v>
      </c>
      <c r="G2" s="74"/>
      <c r="H2" s="74"/>
      <c r="I2" s="74"/>
      <c r="J2" s="74"/>
      <c r="K2" s="74"/>
      <c r="L2" s="74"/>
      <c r="M2" s="74"/>
      <c r="N2" s="74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23</v>
      </c>
    </row>
    <row r="3" spans="1:18">
      <c r="A3" s="74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4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4"/>
      <c r="D3" s="74"/>
      <c r="E3" s="74"/>
      <c r="F3" s="74" t="e">
        <f t="array" aca="1" ref="F3" ca="1">IF(B3&lt;&gt;"",
INDIRECT("'数出表_Excel（アレルギー入力）'!"&amp;P3&amp;O3&amp;""),"")</f>
        <v>#REF!</v>
      </c>
      <c r="G3" s="74"/>
      <c r="H3" s="74"/>
      <c r="I3" s="74"/>
      <c r="J3" s="74"/>
      <c r="K3" s="74"/>
      <c r="L3" s="74"/>
      <c r="M3" s="74"/>
      <c r="N3" s="74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24</v>
      </c>
    </row>
    <row r="4" spans="1:18">
      <c r="A4" s="74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4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4"/>
      <c r="D4" s="74"/>
      <c r="E4" s="74"/>
      <c r="F4" s="74" t="e">
        <f t="array" aca="1" ref="F4" ca="1">IF(B4&lt;&gt;"",
INDIRECT("'数出表_Excel（アレルギー入力）'!"&amp;P4&amp;O4&amp;""),"")</f>
        <v>#REF!</v>
      </c>
      <c r="G4" s="74"/>
      <c r="H4" s="74"/>
      <c r="I4" s="74"/>
      <c r="J4" s="74"/>
      <c r="K4" s="74"/>
      <c r="L4" s="74"/>
      <c r="M4" s="74"/>
      <c r="N4" s="74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25</v>
      </c>
    </row>
    <row r="5" spans="1:18">
      <c r="A5" s="74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4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4"/>
      <c r="D5" s="74"/>
      <c r="E5" s="74"/>
      <c r="F5" s="74" t="e">
        <f t="array" aca="1" ref="F5" ca="1">IF(B5&lt;&gt;"",
INDIRECT("'数出表_Excel（アレルギー入力）'!"&amp;P5&amp;O5&amp;""),"")</f>
        <v>#REF!</v>
      </c>
      <c r="G5" s="74"/>
      <c r="H5" s="74"/>
      <c r="I5" s="74"/>
      <c r="J5" s="74"/>
      <c r="K5" s="74"/>
      <c r="L5" s="74"/>
      <c r="M5" s="74"/>
      <c r="N5" s="74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26</v>
      </c>
      <c r="R5" t="str">
        <f t="array" aca="1" ref="R5" ca="1">IFERROR(INDEX($A$1:$N$24,SMALL(IF($B$1:$B$24&lt;&gt;"",ROW($B$1:$B$24),""),ROW(A4)),COLUMN(A$1)),"")</f>
        <v/>
      </c>
    </row>
    <row r="6" spans="1:18">
      <c r="A6" s="74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4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4"/>
      <c r="D6" s="74"/>
      <c r="E6" s="74"/>
      <c r="F6" s="74" t="e">
        <f t="array" aca="1" ref="F6" ca="1">IF(B6&lt;&gt;"",
INDIRECT("'数出表_Excel（アレルギー入力）'!"&amp;P6&amp;O6&amp;""),"")</f>
        <v>#REF!</v>
      </c>
      <c r="G6" s="74"/>
      <c r="H6" s="74"/>
      <c r="I6" s="74"/>
      <c r="J6" s="74"/>
      <c r="K6" s="74"/>
      <c r="L6" s="74"/>
      <c r="M6" s="74"/>
      <c r="N6" s="74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27</v>
      </c>
      <c r="R6" t="str">
        <f t="array" aca="1" ref="R6" ca="1">IFERROR(INDEX($A$1:$N$24,SMALL(IF($B$1:$B$24&lt;&gt;"",ROW($B$1:$B$24),""),ROW(A5)),COLUMN(A$1)),"")</f>
        <v/>
      </c>
    </row>
    <row r="7" spans="1:18">
      <c r="A7" s="74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4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4"/>
      <c r="D7" s="74"/>
      <c r="E7" s="74"/>
      <c r="F7" s="74" t="e">
        <f t="array" aca="1" ref="F7" ca="1">IF(B7&lt;&gt;"",
INDIRECT("'数出表_Excel（アレルギー入力）'!"&amp;P7&amp;O7&amp;""),"")</f>
        <v>#REF!</v>
      </c>
      <c r="G7" s="74"/>
      <c r="H7" s="74"/>
      <c r="I7" s="74"/>
      <c r="J7" s="74"/>
      <c r="K7" s="74"/>
      <c r="L7" s="74"/>
      <c r="M7" s="74"/>
      <c r="N7" s="74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28</v>
      </c>
      <c r="R7" t="str">
        <f t="array" aca="1" ref="R7" ca="1">IFERROR(INDEX($A$1:$N$24,SMALL(IF($B$1:$B$24&lt;&gt;"",ROW($B$1:$B$24),""),ROW(A6)),COLUMN(A$1)),"")</f>
        <v/>
      </c>
    </row>
    <row r="8" spans="1:18">
      <c r="A8" s="74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4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4"/>
      <c r="D8" s="74"/>
      <c r="E8" s="74"/>
      <c r="F8" s="74" t="e">
        <f t="array" aca="1" ref="F8" ca="1">IF(B8&lt;&gt;"",
INDIRECT("'数出表_Excel（アレルギー入力）'!"&amp;P8&amp;O8&amp;""),"")</f>
        <v>#REF!</v>
      </c>
      <c r="G8" s="74"/>
      <c r="H8" s="74"/>
      <c r="I8" s="74"/>
      <c r="J8" s="74"/>
      <c r="K8" s="74"/>
      <c r="L8" s="74"/>
      <c r="M8" s="74"/>
      <c r="N8" s="74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29</v>
      </c>
      <c r="R8" t="str">
        <f t="array" aca="1" ref="R8" ca="1">IFERROR(INDEX($A$1:$N$24,SMALL(IF($B$1:$B$24&lt;&gt;"",ROW($B$1:$B$24),""),ROW(A7)),COLUMN(A$1)),"")</f>
        <v/>
      </c>
    </row>
    <row r="9" spans="1:18">
      <c r="A9" s="131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1" t="str">
        <f t="array" aca="1" ref="B9" ca="1">IF(AND(B1&lt;&gt;"",O9&lt;&gt;0),
IF(INDIRECT("'数出表_Excel（アレルギー入力）'!"&amp;P9&amp;"147")&lt;&gt;F1,B1,""),"")</f>
        <v/>
      </c>
      <c r="C9" s="131"/>
      <c r="D9" s="131"/>
      <c r="E9" s="131"/>
      <c r="F9" s="131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1"/>
      <c r="H9" s="131"/>
      <c r="I9" s="131"/>
      <c r="J9" s="131"/>
      <c r="K9" s="131"/>
      <c r="L9" s="131"/>
      <c r="M9" s="131"/>
      <c r="N9" s="131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22</v>
      </c>
      <c r="R9" t="str">
        <f t="array" aca="1" ref="R9" ca="1">IFERROR(INDEX($A$1:$N$24,SMALL(IF($B$1:$B$24&lt;&gt;"",ROW($B$1:$B$24),""),ROW(A8)),COLUMN(A$1)),"")</f>
        <v/>
      </c>
    </row>
    <row r="10" spans="1:18">
      <c r="A10" s="131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1" t="str">
        <f t="array" aca="1" ref="B10" ca="1">IF(AND(B2&lt;&gt;"",O10&lt;&gt;0),
IF(INDIRECT("'数出表_Excel（アレルギー入力）'!"&amp;P10&amp;"147")&lt;&gt;F2,B2,""),"")</f>
        <v/>
      </c>
      <c r="C10" s="131"/>
      <c r="D10" s="131"/>
      <c r="E10" s="131"/>
      <c r="F10" s="131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1"/>
      <c r="H10" s="131"/>
      <c r="I10" s="131"/>
      <c r="J10" s="131"/>
      <c r="K10" s="131"/>
      <c r="L10" s="131"/>
      <c r="M10" s="131"/>
      <c r="N10" s="131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23</v>
      </c>
    </row>
    <row r="11" spans="1:18">
      <c r="A11" s="131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1" t="str">
        <f t="array" aca="1" ref="B11" ca="1">IF(AND(B3&lt;&gt;"",O11&lt;&gt;0),
IF(INDIRECT("'数出表_Excel（アレルギー入力）'!"&amp;P11&amp;"147")&lt;&gt;F3,B3,""),"")</f>
        <v/>
      </c>
      <c r="C11" s="131"/>
      <c r="D11" s="131"/>
      <c r="E11" s="131"/>
      <c r="F11" s="131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1"/>
      <c r="H11" s="131"/>
      <c r="I11" s="131"/>
      <c r="J11" s="131"/>
      <c r="K11" s="131"/>
      <c r="L11" s="131"/>
      <c r="M11" s="131"/>
      <c r="N11" s="131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24</v>
      </c>
    </row>
    <row r="12" spans="1:18">
      <c r="A12" s="131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1" t="str">
        <f t="array" aca="1" ref="B12" ca="1">IF(AND(B4&lt;&gt;"",O12&lt;&gt;0),
IF(INDIRECT("'数出表_Excel（アレルギー入力）'!"&amp;P12&amp;"147")&lt;&gt;F4,B4,""),"")</f>
        <v/>
      </c>
      <c r="C12" s="131"/>
      <c r="D12" s="131"/>
      <c r="E12" s="131"/>
      <c r="F12" s="131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1"/>
      <c r="H12" s="131"/>
      <c r="I12" s="131"/>
      <c r="J12" s="131"/>
      <c r="K12" s="131"/>
      <c r="L12" s="131"/>
      <c r="M12" s="131"/>
      <c r="N12" s="131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25</v>
      </c>
    </row>
    <row r="13" spans="1:18">
      <c r="A13" s="131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1" t="str">
        <f t="array" aca="1" ref="B13" ca="1">IF(AND(B5&lt;&gt;"",O13&lt;&gt;0),
IF(INDIRECT("'数出表_Excel（アレルギー入力）'!"&amp;P13&amp;"147")&lt;&gt;F5,B5,""),"")</f>
        <v/>
      </c>
      <c r="C13" s="131"/>
      <c r="D13" s="131"/>
      <c r="E13" s="131"/>
      <c r="F13" s="131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1"/>
      <c r="H13" s="131"/>
      <c r="I13" s="131"/>
      <c r="J13" s="131"/>
      <c r="K13" s="131"/>
      <c r="L13" s="131"/>
      <c r="M13" s="131"/>
      <c r="N13" s="131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26</v>
      </c>
    </row>
    <row r="14" spans="1:18">
      <c r="A14" s="131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1" t="str">
        <f t="array" aca="1" ref="B14" ca="1">IF(AND(B6&lt;&gt;"",O14&lt;&gt;0),
IF(INDIRECT("'数出表_Excel（アレルギー入力）'!"&amp;P14&amp;"147")&lt;&gt;F6,B6,""),"")</f>
        <v/>
      </c>
      <c r="C14" s="131"/>
      <c r="D14" s="131"/>
      <c r="E14" s="131"/>
      <c r="F14" s="131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1"/>
      <c r="H14" s="131"/>
      <c r="I14" s="131"/>
      <c r="J14" s="131"/>
      <c r="K14" s="131"/>
      <c r="L14" s="131"/>
      <c r="M14" s="131"/>
      <c r="N14" s="131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27</v>
      </c>
    </row>
    <row r="15" spans="1:18">
      <c r="A15" s="131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1" t="str">
        <f t="array" aca="1" ref="B15" ca="1">IF(AND(B7&lt;&gt;"",O15&lt;&gt;0),
IF(INDIRECT("'数出表_Excel（アレルギー入力）'!"&amp;P15&amp;"147")&lt;&gt;F7,B7,""),"")</f>
        <v/>
      </c>
      <c r="C15" s="131"/>
      <c r="D15" s="131"/>
      <c r="E15" s="131"/>
      <c r="F15" s="131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1"/>
      <c r="H15" s="131"/>
      <c r="I15" s="131"/>
      <c r="J15" s="131"/>
      <c r="K15" s="131"/>
      <c r="L15" s="131"/>
      <c r="M15" s="131"/>
      <c r="N15" s="131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28</v>
      </c>
    </row>
    <row r="16" spans="1:18">
      <c r="A16" s="131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1" t="str">
        <f t="array" aca="1" ref="B16" ca="1">IF(AND(B8&lt;&gt;"",O16&lt;&gt;0),
IF(INDIRECT("'数出表_Excel（アレルギー入力）'!"&amp;P16&amp;"147")&lt;&gt;F8,B8,""),"")</f>
        <v/>
      </c>
      <c r="C16" s="131"/>
      <c r="D16" s="131"/>
      <c r="E16" s="131"/>
      <c r="F16" s="131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1"/>
      <c r="H16" s="131"/>
      <c r="I16" s="131"/>
      <c r="J16" s="131"/>
      <c r="K16" s="131"/>
      <c r="L16" s="131"/>
      <c r="M16" s="131"/>
      <c r="N16" s="131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29</v>
      </c>
    </row>
    <row r="17" spans="1:16">
      <c r="A17" s="132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2" t="str">
        <f t="array" aca="1" ref="B17" ca="1">IF(AND(B9&lt;&gt;"",O17&lt;&gt;0),
IF(INDIRECT("'数出表_Excel（アレルギー入力）'!"&amp;P17&amp;"147")&lt;&gt;F9,B9,""),"")</f>
        <v/>
      </c>
      <c r="C17" s="132"/>
      <c r="D17" s="132"/>
      <c r="E17" s="132"/>
      <c r="F17" s="132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2"/>
      <c r="H17" s="132"/>
      <c r="I17" s="132"/>
      <c r="J17" s="132"/>
      <c r="K17" s="132"/>
      <c r="L17" s="132"/>
      <c r="M17" s="132"/>
      <c r="N17" s="132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22</v>
      </c>
    </row>
    <row r="18" spans="1:16">
      <c r="A18" s="132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2" t="str">
        <f t="array" aca="1" ref="B18" ca="1">IF(AND(B10&lt;&gt;"",O18&lt;&gt;0),
IF(INDIRECT("'数出表_Excel（アレルギー入力）'!"&amp;P18&amp;"147")&lt;&gt;F10,B10,""),"")</f>
        <v/>
      </c>
      <c r="C18" s="132"/>
      <c r="D18" s="132"/>
      <c r="E18" s="132"/>
      <c r="F18" s="132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2"/>
      <c r="H18" s="132"/>
      <c r="I18" s="132"/>
      <c r="J18" s="132"/>
      <c r="K18" s="132"/>
      <c r="L18" s="132"/>
      <c r="M18" s="132"/>
      <c r="N18" s="132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23</v>
      </c>
    </row>
    <row r="19" spans="1:16">
      <c r="A19" s="132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2" t="str">
        <f t="array" aca="1" ref="B19" ca="1">IF(AND(B11&lt;&gt;"",O19&lt;&gt;0),
IF(INDIRECT("'数出表_Excel（アレルギー入力）'!"&amp;P19&amp;"147")&lt;&gt;F11,B11,""),"")</f>
        <v/>
      </c>
      <c r="C19" s="132"/>
      <c r="D19" s="132"/>
      <c r="E19" s="132"/>
      <c r="F19" s="132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2"/>
      <c r="H19" s="132"/>
      <c r="I19" s="132"/>
      <c r="J19" s="132"/>
      <c r="K19" s="132"/>
      <c r="L19" s="132"/>
      <c r="M19" s="132"/>
      <c r="N19" s="132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24</v>
      </c>
    </row>
    <row r="20" spans="1:16">
      <c r="A20" s="132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2" t="str">
        <f t="array" aca="1" ref="B20" ca="1">IF(AND(B12&lt;&gt;"",O20&lt;&gt;0),
IF(INDIRECT("'数出表_Excel（アレルギー入力）'!"&amp;P20&amp;"147")&lt;&gt;F12,B12,""),"")</f>
        <v/>
      </c>
      <c r="C20" s="132"/>
      <c r="D20" s="132"/>
      <c r="E20" s="132"/>
      <c r="F20" s="132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2"/>
      <c r="H20" s="132"/>
      <c r="I20" s="132"/>
      <c r="J20" s="132"/>
      <c r="K20" s="132"/>
      <c r="L20" s="132"/>
      <c r="M20" s="132"/>
      <c r="N20" s="132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25</v>
      </c>
    </row>
    <row r="21" spans="1:16">
      <c r="A21" s="132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2" t="str">
        <f t="array" aca="1" ref="B21" ca="1">IF(AND(B13&lt;&gt;"",O21&lt;&gt;0),
IF(INDIRECT("'数出表_Excel（アレルギー入力）'!"&amp;P21&amp;"147")&lt;&gt;F13,B13,""),"")</f>
        <v/>
      </c>
      <c r="C21" s="132"/>
      <c r="D21" s="132"/>
      <c r="E21" s="132"/>
      <c r="F21" s="132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2"/>
      <c r="H21" s="132"/>
      <c r="I21" s="132"/>
      <c r="J21" s="132"/>
      <c r="K21" s="132"/>
      <c r="L21" s="132"/>
      <c r="M21" s="132"/>
      <c r="N21" s="132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26</v>
      </c>
    </row>
    <row r="22" spans="1:16">
      <c r="A22" s="132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2" t="str">
        <f t="array" aca="1" ref="B22" ca="1">IF(AND(B14&lt;&gt;"",O22&lt;&gt;0),
IF(INDIRECT("'数出表_Excel（アレルギー入力）'!"&amp;P22&amp;"147")&lt;&gt;F14,B14,""),"")</f>
        <v/>
      </c>
      <c r="C22" s="132"/>
      <c r="D22" s="132"/>
      <c r="E22" s="132"/>
      <c r="F22" s="132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2"/>
      <c r="H22" s="132"/>
      <c r="I22" s="132"/>
      <c r="J22" s="132"/>
      <c r="K22" s="132"/>
      <c r="L22" s="132"/>
      <c r="M22" s="132"/>
      <c r="N22" s="132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27</v>
      </c>
    </row>
    <row r="23" spans="1:16">
      <c r="A23" s="132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2" t="str">
        <f t="array" aca="1" ref="B23" ca="1">IF(AND(B15&lt;&gt;"",O23&lt;&gt;0),
IF(INDIRECT("'数出表_Excel（アレルギー入力）'!"&amp;P23&amp;"147")&lt;&gt;F15,B15,""),"")</f>
        <v/>
      </c>
      <c r="C23" s="132"/>
      <c r="D23" s="132"/>
      <c r="E23" s="132"/>
      <c r="F23" s="132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2"/>
      <c r="H23" s="132"/>
      <c r="I23" s="132"/>
      <c r="J23" s="132"/>
      <c r="K23" s="132"/>
      <c r="L23" s="132"/>
      <c r="M23" s="132"/>
      <c r="N23" s="132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28</v>
      </c>
    </row>
    <row r="24" spans="1:16">
      <c r="A24" s="132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2" t="str">
        <f t="array" aca="1" ref="B24" ca="1">IF(AND(B16&lt;&gt;"",O24&lt;&gt;0),
IF(INDIRECT("'数出表_Excel（アレルギー入力）'!"&amp;P24&amp;"147")&lt;&gt;F16,B16,""),"")</f>
        <v/>
      </c>
      <c r="C24" s="132"/>
      <c r="D24" s="132"/>
      <c r="E24" s="132"/>
      <c r="F24" s="132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2"/>
      <c r="H24" s="132"/>
      <c r="I24" s="132"/>
      <c r="J24" s="132"/>
      <c r="K24" s="132"/>
      <c r="L24" s="132"/>
      <c r="M24" s="132"/>
      <c r="N24" s="132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F8" sqref="F8"/>
    </sheetView>
  </sheetViews>
  <sheetFormatPr defaultRowHeight="18"/>
  <sheetData>
    <row r="1" spans="1:10">
      <c r="A1" t="s">
        <v>4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30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31</v>
      </c>
      <c r="E4" t="e">
        <f ca="1">MID(B3,FIND("新日本",B3)+3,FIND("ニシム",B3)-1-(FIND("新日本",B3)+3))</f>
        <v>#N/A</v>
      </c>
    </row>
    <row r="5" spans="1:10">
      <c r="A5" t="s">
        <v>32</v>
      </c>
      <c r="E5">
        <v>2</v>
      </c>
    </row>
    <row r="6" spans="1:10">
      <c r="A6" t="s">
        <v>33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3" sqref="A3"/>
    </sheetView>
  </sheetViews>
  <sheetFormatPr defaultRowHeight="16.2" customHeight="1"/>
  <cols>
    <col min="1" max="1" width="26.69921875" style="139" customWidth="1"/>
    <col min="2" max="2" width="10.59765625" style="78" customWidth="1"/>
    <col min="3" max="3" width="5.09765625" style="78" customWidth="1"/>
    <col min="4" max="4" width="10.59765625" style="78" customWidth="1"/>
    <col min="5" max="5" width="5.09765625" style="78" customWidth="1"/>
    <col min="6" max="6" width="10.8984375" style="79" customWidth="1"/>
    <col min="7" max="7" width="5.09765625" style="78" customWidth="1"/>
    <col min="8" max="8" width="10.59765625" style="78" customWidth="1"/>
    <col min="9" max="9" width="5.09765625" style="78" customWidth="1"/>
    <col min="10" max="10" width="10.59765625" style="78" customWidth="1"/>
    <col min="11" max="11" width="5.09765625" style="78" customWidth="1"/>
    <col min="12" max="12" width="10.59765625" style="79" customWidth="1"/>
    <col min="13" max="13" width="5.09765625" style="78" customWidth="1"/>
    <col min="14" max="14" width="10.59765625" style="78" customWidth="1"/>
    <col min="15" max="15" width="5.09765625" style="78" customWidth="1"/>
    <col min="16" max="16" width="10.59765625" style="78" customWidth="1"/>
    <col min="17" max="17" width="5.09765625" style="78" customWidth="1"/>
    <col min="18" max="18" width="10.59765625" style="78" customWidth="1"/>
    <col min="19" max="19" width="5.09765625" style="78" customWidth="1"/>
    <col min="20" max="20" width="10.59765625" style="78" customWidth="1"/>
    <col min="21" max="21" width="5.09765625" style="78" customWidth="1"/>
    <col min="22" max="22" width="10.59765625" style="82" customWidth="1"/>
    <col min="23" max="23" width="5.09765625" style="80" customWidth="1"/>
    <col min="24" max="24" width="10.59765625" style="122" customWidth="1"/>
    <col min="25" max="25" width="5.09765625" style="78" customWidth="1"/>
    <col min="26" max="26" width="10.59765625" style="82" customWidth="1"/>
    <col min="27" max="27" width="5.09765625" style="80" customWidth="1"/>
    <col min="28" max="28" width="10.59765625" style="122" customWidth="1"/>
    <col min="29" max="29" width="5.09765625" style="78" customWidth="1"/>
    <col min="30" max="30" width="10.59765625" style="82" customWidth="1"/>
    <col min="31" max="31" width="5.09765625" style="80" customWidth="1"/>
    <col min="32" max="32" width="10.59765625" style="122" customWidth="1"/>
    <col min="33" max="33" width="5.09765625" style="78" customWidth="1"/>
    <col min="34" max="34" width="10.59765625" style="82" customWidth="1"/>
    <col min="35" max="35" width="5.09765625" style="80" customWidth="1"/>
    <col min="36" max="36" width="10.59765625" style="122" customWidth="1"/>
    <col min="37" max="37" width="5.09765625" style="78" customWidth="1"/>
    <col min="38" max="38" width="11.3984375" style="83" customWidth="1"/>
    <col min="39" max="39" width="32.796875" style="139" customWidth="1"/>
    <col min="40" max="40" width="27.69921875" style="139" customWidth="1"/>
    <col min="41" max="49" width="8.796875" style="77" customWidth="1"/>
    <col min="50" max="16384" width="8.796875" style="77"/>
  </cols>
  <sheetData>
    <row r="1" spans="1:40" s="133" customFormat="1" ht="16.2" customHeight="1">
      <c r="B1" s="167"/>
      <c r="C1" s="167"/>
      <c r="D1" s="167"/>
      <c r="E1" s="167"/>
      <c r="F1" s="168"/>
      <c r="G1" s="167"/>
      <c r="H1" s="167"/>
      <c r="I1" s="167"/>
      <c r="J1" s="167"/>
      <c r="K1" s="167"/>
      <c r="L1" s="168"/>
      <c r="M1" s="167"/>
      <c r="N1" s="167"/>
      <c r="O1" s="167"/>
      <c r="P1" s="167"/>
      <c r="Q1" s="167"/>
      <c r="R1" s="167"/>
      <c r="S1" s="167"/>
      <c r="T1" s="167"/>
      <c r="U1" s="167"/>
      <c r="V1" s="168"/>
      <c r="W1" s="169"/>
      <c r="X1" s="167"/>
      <c r="Y1" s="167"/>
      <c r="Z1" s="168"/>
      <c r="AA1" s="169"/>
      <c r="AB1" s="167"/>
      <c r="AC1" s="167"/>
      <c r="AD1" s="168"/>
      <c r="AE1" s="169"/>
      <c r="AF1" s="167"/>
      <c r="AG1" s="167"/>
      <c r="AH1" s="168"/>
      <c r="AI1" s="169"/>
      <c r="AJ1" s="167"/>
      <c r="AK1" s="170"/>
      <c r="AL1" s="171"/>
      <c r="AM1" s="172" t="s">
        <v>15</v>
      </c>
    </row>
    <row r="2" spans="1:40" s="133" customFormat="1" ht="16.2" customHeight="1">
      <c r="A2" s="133" t="str">
        <f>貼り付け用!A2&amp;"　"&amp;貼り付け用!B2&amp;"　"&amp;貼り付け用!C2</f>
        <v>　　</v>
      </c>
      <c r="B2" s="167"/>
      <c r="C2" s="167"/>
      <c r="D2" s="167"/>
      <c r="E2" s="167"/>
      <c r="F2" s="168"/>
      <c r="G2" s="167"/>
      <c r="H2" s="167"/>
      <c r="I2" s="167"/>
      <c r="J2" s="167"/>
      <c r="K2" s="167"/>
      <c r="L2" s="168"/>
      <c r="M2" s="167"/>
      <c r="N2" s="167"/>
      <c r="O2" s="167"/>
      <c r="P2" s="167" t="s">
        <v>5</v>
      </c>
      <c r="Q2" s="167"/>
      <c r="R2" s="167"/>
      <c r="S2" s="167"/>
      <c r="T2" s="167" t="s">
        <v>6</v>
      </c>
      <c r="U2" s="167"/>
      <c r="V2" s="168"/>
      <c r="W2" s="169"/>
      <c r="X2" s="167" t="s">
        <v>5</v>
      </c>
      <c r="Y2" s="167"/>
      <c r="Z2" s="168"/>
      <c r="AA2" s="169"/>
      <c r="AB2" s="167" t="s">
        <v>7</v>
      </c>
      <c r="AC2" s="167"/>
      <c r="AD2" s="168"/>
      <c r="AE2" s="169"/>
      <c r="AF2" s="167"/>
      <c r="AG2" s="167"/>
      <c r="AH2" s="173"/>
      <c r="AI2" s="169"/>
      <c r="AJ2" s="167"/>
      <c r="AK2" s="167"/>
      <c r="AL2" s="174" t="s">
        <v>8</v>
      </c>
      <c r="AM2" s="133" t="str">
        <f>貼り付け用!T2&amp;"　"&amp;貼り付け用!U2&amp;"　"&amp;貼り付け用!V2&amp;"　"&amp;貼り付け用!W2</f>
        <v>　　　</v>
      </c>
    </row>
    <row r="3" spans="1:40" s="133" customFormat="1" ht="16.2" customHeight="1">
      <c r="A3" s="134"/>
      <c r="B3" s="144" t="s">
        <v>1</v>
      </c>
      <c r="C3" s="145"/>
      <c r="D3" s="146" t="s">
        <v>1</v>
      </c>
      <c r="E3" s="147"/>
      <c r="F3" s="148" t="s">
        <v>2</v>
      </c>
      <c r="G3" s="149"/>
      <c r="H3" s="149" t="s">
        <v>2</v>
      </c>
      <c r="I3" s="149"/>
      <c r="J3" s="149" t="s">
        <v>2</v>
      </c>
      <c r="K3" s="149"/>
      <c r="L3" s="190" t="s">
        <v>0</v>
      </c>
      <c r="M3" s="149"/>
      <c r="N3" s="149" t="s">
        <v>0</v>
      </c>
      <c r="O3" s="149"/>
      <c r="P3" s="149" t="s">
        <v>0</v>
      </c>
      <c r="Q3" s="149"/>
      <c r="R3" s="149" t="s">
        <v>0</v>
      </c>
      <c r="S3" s="149"/>
      <c r="T3" s="149" t="s">
        <v>0</v>
      </c>
      <c r="U3" s="149"/>
      <c r="V3" s="151">
        <f>数出表_Excel!L3</f>
        <v>0</v>
      </c>
      <c r="W3" s="150">
        <f>IF(V3&lt;&gt;"",0,"")</f>
        <v>0</v>
      </c>
      <c r="X3" s="152">
        <f>数出表_Excel!M3</f>
        <v>0</v>
      </c>
      <c r="Y3" s="150">
        <f>IF(X3&lt;&gt;"",0,"")</f>
        <v>0</v>
      </c>
      <c r="Z3" s="151">
        <f>数出表_Excel!N3</f>
        <v>0</v>
      </c>
      <c r="AA3" s="150">
        <f>IF(Z3&lt;&gt;"",0,"")</f>
        <v>0</v>
      </c>
      <c r="AB3" s="152">
        <f>数出表_Excel!O3</f>
        <v>0</v>
      </c>
      <c r="AC3" s="150">
        <f>IF(AB3&lt;&gt;"",0,"")</f>
        <v>0</v>
      </c>
      <c r="AD3" s="151">
        <f>数出表_Excel!P3</f>
        <v>0</v>
      </c>
      <c r="AE3" s="150">
        <f>IF(AD3&lt;&gt;"",0,"")</f>
        <v>0</v>
      </c>
      <c r="AF3" s="153">
        <f>数出表_Excel!Q3</f>
        <v>0</v>
      </c>
      <c r="AG3" s="154">
        <f>IF(AF3&lt;&gt;"",0,"")</f>
        <v>0</v>
      </c>
      <c r="AH3" s="151">
        <f>数出表_Excel!R3</f>
        <v>0</v>
      </c>
      <c r="AI3" s="150">
        <f>IF(AH3&lt;&gt;"",0,"")</f>
        <v>0</v>
      </c>
      <c r="AJ3" s="153">
        <f>数出表_Excel!S3</f>
        <v>0</v>
      </c>
      <c r="AK3" s="154">
        <f>IF(AJ3&lt;&gt;"",0,"")</f>
        <v>0</v>
      </c>
      <c r="AL3" s="155" t="s">
        <v>3</v>
      </c>
      <c r="AM3" s="156"/>
      <c r="AN3" s="157"/>
    </row>
    <row r="4" spans="1:40" s="133" customFormat="1" ht="16.2" customHeight="1">
      <c r="A4" s="135" t="s">
        <v>9</v>
      </c>
      <c r="B4" s="158" t="s">
        <v>10</v>
      </c>
      <c r="C4" s="158"/>
      <c r="D4" s="158" t="s">
        <v>10</v>
      </c>
      <c r="E4" s="153"/>
      <c r="F4" s="159" t="s">
        <v>10</v>
      </c>
      <c r="G4" s="158"/>
      <c r="H4" s="158" t="s">
        <v>11</v>
      </c>
      <c r="I4" s="158"/>
      <c r="J4" s="158" t="s">
        <v>12</v>
      </c>
      <c r="K4" s="153"/>
      <c r="L4" s="159" t="s">
        <v>10</v>
      </c>
      <c r="M4" s="158"/>
      <c r="N4" s="158" t="s">
        <v>10</v>
      </c>
      <c r="O4" s="158"/>
      <c r="P4" s="158" t="s">
        <v>11</v>
      </c>
      <c r="Q4" s="158"/>
      <c r="R4" s="158" t="s">
        <v>11</v>
      </c>
      <c r="S4" s="158"/>
      <c r="T4" s="158" t="s">
        <v>12</v>
      </c>
      <c r="U4" s="153"/>
      <c r="V4" s="161"/>
      <c r="W4" s="160"/>
      <c r="X4" s="162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3"/>
      <c r="Z4" s="163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60"/>
      <c r="AB4" s="162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3"/>
      <c r="AD4" s="163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60"/>
      <c r="AF4" s="162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3"/>
      <c r="AH4" s="163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60"/>
      <c r="AJ4" s="162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3"/>
      <c r="AL4" s="164"/>
      <c r="AM4" s="165"/>
      <c r="AN4" s="166"/>
    </row>
    <row r="5" spans="1:40" ht="16.2" customHeight="1">
      <c r="A5" s="136"/>
      <c r="B5" s="84">
        <v>100</v>
      </c>
      <c r="C5" s="84"/>
      <c r="D5" s="84">
        <v>150</v>
      </c>
      <c r="E5" s="85"/>
      <c r="F5" s="86">
        <v>120</v>
      </c>
      <c r="G5" s="84"/>
      <c r="H5" s="84" t="s">
        <v>13</v>
      </c>
      <c r="I5" s="84"/>
      <c r="J5" s="84"/>
      <c r="K5" s="85"/>
      <c r="L5" s="86">
        <v>120</v>
      </c>
      <c r="M5" s="84"/>
      <c r="N5" s="84">
        <v>100</v>
      </c>
      <c r="O5" s="84"/>
      <c r="P5" s="84" t="s">
        <v>13</v>
      </c>
      <c r="Q5" s="84"/>
      <c r="R5" s="84" t="s">
        <v>14</v>
      </c>
      <c r="S5" s="84"/>
      <c r="T5" s="84"/>
      <c r="U5" s="85"/>
      <c r="V5" s="86"/>
      <c r="W5" s="87"/>
      <c r="X5" s="84"/>
      <c r="Y5" s="85"/>
      <c r="Z5" s="86"/>
      <c r="AA5" s="87"/>
      <c r="AB5" s="84"/>
      <c r="AC5" s="85"/>
      <c r="AD5" s="86"/>
      <c r="AE5" s="87"/>
      <c r="AF5" s="84"/>
      <c r="AG5" s="85"/>
      <c r="AH5" s="86"/>
      <c r="AI5" s="87"/>
      <c r="AJ5" s="84"/>
      <c r="AK5" s="85"/>
      <c r="AL5" s="88"/>
      <c r="AM5" s="165"/>
      <c r="AN5" s="166"/>
    </row>
    <row r="6" spans="1:40" ht="16.2" customHeight="1">
      <c r="A6" s="137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5" t="str">
        <f ca="1">IFERROR(VALUE(IF(VLOOKUP($A6,数出表_Excel!$A$6:$T$150,COLUMN()/2+1,FALSE)=0,"",VLOOKUP($A6,数出表_Excel!$A$6:$T$150,COLUMN()/2+1,FALSE))),"")</f>
        <v/>
      </c>
      <c r="C6" s="90"/>
      <c r="D6" s="125" t="str">
        <f ca="1">IFERROR(VALUE(IF(VLOOKUP($A6,数出表_Excel!$A$6:$T$150,COLUMN()/2+1,FALSE)=0,"",VLOOKUP($A6,数出表_Excel!$A$6:$T$150,COLUMN()/2+1,FALSE))),"")</f>
        <v/>
      </c>
      <c r="E6" s="90"/>
      <c r="F6" s="127" t="str">
        <f ca="1">IFERROR(VALUE(IF(VLOOKUP($A6,数出表_Excel!$A$6:$T$150,COLUMN()/2+1,FALSE)=0,"",VLOOKUP($A6,数出表_Excel!$A$6:$T$150,COLUMN()/2+1,FALSE))),"")</f>
        <v/>
      </c>
      <c r="G6" s="90"/>
      <c r="H6" s="125" t="str">
        <f ca="1">IFERROR(VALUE(IF(VLOOKUP($A6,数出表_Excel!$A$6:$T$150,COLUMN()/2+1,FALSE)=0,"",VLOOKUP($A6,数出表_Excel!$A$6:$T$150,COLUMN()/2+1,FALSE))),"")</f>
        <v/>
      </c>
      <c r="I6" s="90"/>
      <c r="J6" s="125" t="str">
        <f ca="1">IFERROR(VALUE(IF(VLOOKUP($A6,数出表_Excel!$A$6:$T$150,COLUMN()/2+1,FALSE)=0,"",VLOOKUP($A6,数出表_Excel!$A$6:$T$150,COLUMN()/2+1,FALSE))),"")</f>
        <v/>
      </c>
      <c r="K6" s="90"/>
      <c r="L6" s="127" t="str">
        <f ca="1">IFERROR(VALUE(IF(VLOOKUP($A6,数出表_Excel!$A$6:$T$150,COLUMN()/2+1,FALSE)=0,"",VLOOKUP($A6,数出表_Excel!$A$6:$T$150,COLUMN()/2+1,FALSE))),"")</f>
        <v/>
      </c>
      <c r="M6" s="90"/>
      <c r="N6" s="125" t="str">
        <f ca="1">IFERROR(VALUE(IF(VLOOKUP($A6,数出表_Excel!$A$6:$T$150,COLUMN()/2+1,FALSE)=0,"",VLOOKUP($A6,数出表_Excel!$A$6:$T$150,COLUMN()/2+1,FALSE))),"")</f>
        <v/>
      </c>
      <c r="O6" s="90"/>
      <c r="P6" s="125" t="str">
        <f ca="1">IFERROR(VALUE(IF(VLOOKUP($A6,数出表_Excel!$A$6:$T$150,COLUMN()/2+1,FALSE)=0,"",VLOOKUP($A6,数出表_Excel!$A$6:$T$150,COLUMN()/2+1,FALSE))),"")</f>
        <v/>
      </c>
      <c r="Q6" s="90"/>
      <c r="R6" s="125" t="str">
        <f ca="1">IFERROR(VALUE(IF(VLOOKUP($A6,数出表_Excel!$A$6:$T$150,COLUMN()/2+1,FALSE)=0,"",VLOOKUP($A6,数出表_Excel!$A$6:$T$150,COLUMN()/2+1,FALSE))),"")</f>
        <v/>
      </c>
      <c r="S6" s="90"/>
      <c r="T6" s="125" t="str">
        <f ca="1">IFERROR(VALUE(IF(VLOOKUP($A6,数出表_Excel!$A$6:$T$150,COLUMN()/2+1,FALSE)=0,"",VLOOKUP($A6,数出表_Excel!$A$6:$T$150,COLUMN()/2+1,FALSE))),"")</f>
        <v/>
      </c>
      <c r="U6" s="90"/>
      <c r="V6" s="127" t="str">
        <f ca="1">IFERROR(VALUE(IF(VLOOKUP($A6,数出表_Excel!$A$6:$T$150,COLUMN()/2+1,FALSE)=0,"",VLOOKUP($A6,数出表_Excel!$A$6:$T$150,COLUMN()/2+1,FALSE))),"")</f>
        <v/>
      </c>
      <c r="W6" s="90"/>
      <c r="X6" s="127" t="str">
        <f ca="1">IFERROR(VALUE(IF(VLOOKUP($A6,数出表_Excel!$A$6:$T$150,COLUMN()/2+1,FALSE)=0,"",VLOOKUP($A6,数出表_Excel!$A$6:$T$150,COLUMN()/2+1,FALSE))),"")</f>
        <v/>
      </c>
      <c r="Y6" s="90"/>
      <c r="Z6" s="127" t="str">
        <f ca="1">IFERROR(VALUE(IF(VLOOKUP($A6,数出表_Excel!$A$6:$T$150,COLUMN()/2+1,FALSE)=0,"",VLOOKUP($A6,数出表_Excel!$A$6:$T$150,COLUMN()/2+1,FALSE))),"")</f>
        <v/>
      </c>
      <c r="AA6" s="128"/>
      <c r="AB6" s="126" t="str">
        <f ca="1">IFERROR(VALUE(IF(VLOOKUP($A6,数出表_Excel!$A$6:$T$150,COLUMN()/2+1,FALSE)=0,"",VLOOKUP($A6,数出表_Excel!$A$6:$T$150,COLUMN()/2+1,FALSE))),"")</f>
        <v/>
      </c>
      <c r="AC6" s="90"/>
      <c r="AD6" s="127" t="str">
        <f ca="1">IFERROR(VALUE(IF(VLOOKUP($A6,数出表_Excel!$A$6:$T$150,COLUMN()/2+1,FALSE)=0,"",VLOOKUP($A6,数出表_Excel!$A$6:$T$150,COLUMN()/2+1,FALSE))),"")</f>
        <v/>
      </c>
      <c r="AE6" s="90"/>
      <c r="AF6" s="127" t="str">
        <f ca="1">IFERROR(VALUE(IF(VLOOKUP($A6,数出表_Excel!$A$6:$T$150,COLUMN()/2+1,FALSE)=0,"",VLOOKUP($A6,数出表_Excel!$A$6:$T$150,COLUMN()/2+1,FALSE))),"")</f>
        <v/>
      </c>
      <c r="AG6" s="90"/>
      <c r="AH6" s="127" t="str">
        <f ca="1">IFERROR(VALUE(IF(VLOOKUP($A6,数出表_Excel!$A$6:$T$150,COLUMN()/2+1,FALSE)=0,"",VLOOKUP($A6,数出表_Excel!$A$6:$T$150,COLUMN()/2+1,FALSE))),"")</f>
        <v/>
      </c>
      <c r="AI6" s="128"/>
      <c r="AJ6" s="126" t="str">
        <f ca="1">IFERROR(VALUE(IF(VLOOKUP($A6,数出表_Excel!$A$6:$T$150,COLUMN()/2+1,FALSE)=0,"",VLOOKUP($A6,数出表_Excel!$A$6:$T$150,COLUMN()/2+1,FALSE))),"")</f>
        <v/>
      </c>
      <c r="AK6" s="90"/>
      <c r="AL6" s="94" t="e">
        <f ca="1">IF(A6&lt;&gt;"",
IF(VLOOKUP($A6,数出表_Excel!$A$6:$T$150,COLUMN()/2+1,FALSE)=0,"",VLOOKUP($A6,数出表_Excel!$A$6:$T$150,COLUMN()/2+1,FALSE)),"")</f>
        <v>#N/A</v>
      </c>
      <c r="AM6" s="175" t="e">
        <f ca="1">数出表_Excel!V6</f>
        <v>#N/A</v>
      </c>
      <c r="AN6" s="176" t="e">
        <f ca="1">数出表_Excel!W6</f>
        <v>#N/A</v>
      </c>
    </row>
    <row r="7" spans="1:40" ht="16.2" customHeight="1">
      <c r="A7" s="138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1" t="str">
        <f ca="1">IFERROR(VALUE(IF(VLOOKUP($A7,数出表_Excel!$A$6:$T$150,COLUMN()/2+1,FALSE)=0,"",VLOOKUP($A7,数出表_Excel!$A$6:$T$150,COLUMN()/2+1,FALSE))),"")</f>
        <v/>
      </c>
      <c r="C7" s="91"/>
      <c r="D7" s="91" t="str">
        <f ca="1">IFERROR(VALUE(IF(VLOOKUP($A7,数出表_Excel!$A$6:$T$150,COLUMN()/2+1,FALSE)=0,"",VLOOKUP($A7,数出表_Excel!$A$6:$T$150,COLUMN()/2+1,FALSE))),"")</f>
        <v/>
      </c>
      <c r="E7" s="91"/>
      <c r="F7" s="95" t="str">
        <f ca="1">IFERROR(VALUE(IF(VLOOKUP($A7,数出表_Excel!$A$6:$T$150,COLUMN()/2+1,FALSE)=0,"",VLOOKUP($A7,数出表_Excel!$A$6:$T$150,COLUMN()/2+1,FALSE))),"")</f>
        <v/>
      </c>
      <c r="G7" s="91"/>
      <c r="H7" s="91" t="str">
        <f ca="1">IFERROR(VALUE(IF(VLOOKUP($A7,数出表_Excel!$A$6:$T$150,COLUMN()/2+1,FALSE)=0,"",VLOOKUP($A7,数出表_Excel!$A$6:$T$150,COLUMN()/2+1,FALSE))),"")</f>
        <v/>
      </c>
      <c r="I7" s="91"/>
      <c r="J7" s="91" t="str">
        <f ca="1">IFERROR(VALUE(IF(VLOOKUP($A7,数出表_Excel!$A$6:$T$150,COLUMN()/2+1,FALSE)=0,"",VLOOKUP($A7,数出表_Excel!$A$6:$T$150,COLUMN()/2+1,FALSE))),"")</f>
        <v/>
      </c>
      <c r="K7" s="91"/>
      <c r="L7" s="95" t="str">
        <f ca="1">IFERROR(VALUE(IF(VLOOKUP($A7,数出表_Excel!$A$6:$T$150,COLUMN()/2+1,FALSE)=0,"",VLOOKUP($A7,数出表_Excel!$A$6:$T$150,COLUMN()/2+1,FALSE))),"")</f>
        <v/>
      </c>
      <c r="M7" s="91"/>
      <c r="N7" s="91" t="str">
        <f ca="1">IFERROR(VALUE(IF(VLOOKUP($A7,数出表_Excel!$A$6:$T$150,COLUMN()/2+1,FALSE)=0,"",VLOOKUP($A7,数出表_Excel!$A$6:$T$150,COLUMN()/2+1,FALSE))),"")</f>
        <v/>
      </c>
      <c r="O7" s="91"/>
      <c r="P7" s="91" t="str">
        <f ca="1">IFERROR(VALUE(IF(VLOOKUP($A7,数出表_Excel!$A$6:$T$150,COLUMN()/2+1,FALSE)=0,"",VLOOKUP($A7,数出表_Excel!$A$6:$T$150,COLUMN()/2+1,FALSE))),"")</f>
        <v/>
      </c>
      <c r="Q7" s="91"/>
      <c r="R7" s="91" t="str">
        <f ca="1">IFERROR(VALUE(IF(VLOOKUP($A7,数出表_Excel!$A$6:$T$150,COLUMN()/2+1,FALSE)=0,"",VLOOKUP($A7,数出表_Excel!$A$6:$T$150,COLUMN()/2+1,FALSE))),"")</f>
        <v/>
      </c>
      <c r="S7" s="91"/>
      <c r="T7" s="91" t="str">
        <f ca="1">IFERROR(VALUE(IF(VLOOKUP($A7,数出表_Excel!$A$6:$T$150,COLUMN()/2+1,FALSE)=0,"",VLOOKUP($A7,数出表_Excel!$A$6:$T$150,COLUMN()/2+1,FALSE))),"")</f>
        <v/>
      </c>
      <c r="U7" s="91"/>
      <c r="V7" s="95" t="str">
        <f ca="1">IFERROR(VALUE(IF(VLOOKUP($A7,数出表_Excel!$A$6:$T$150,COLUMN()/2+1,FALSE)=0,"",VLOOKUP($A7,数出表_Excel!$A$6:$T$150,COLUMN()/2+1,FALSE))),"")</f>
        <v/>
      </c>
      <c r="W7" s="91"/>
      <c r="X7" s="95" t="str">
        <f ca="1">IFERROR(VALUE(IF(VLOOKUP($A7,数出表_Excel!$A$6:$T$150,COLUMN()/2+1,FALSE)=0,"",VLOOKUP($A7,数出表_Excel!$A$6:$T$150,COLUMN()/2+1,FALSE))),"")</f>
        <v/>
      </c>
      <c r="Y7" s="91"/>
      <c r="Z7" s="95" t="str">
        <f ca="1">IFERROR(VALUE(IF(VLOOKUP($A7,数出表_Excel!$A$6:$T$150,COLUMN()/2+1,FALSE)=0,"",VLOOKUP($A7,数出表_Excel!$A$6:$T$150,COLUMN()/2+1,FALSE))),"")</f>
        <v/>
      </c>
      <c r="AA7" s="129"/>
      <c r="AB7" s="96" t="str">
        <f ca="1">IFERROR(VALUE(IF(VLOOKUP($A7,数出表_Excel!$A$6:$T$150,COLUMN()/2+1,FALSE)=0,"",VLOOKUP($A7,数出表_Excel!$A$6:$T$150,COLUMN()/2+1,FALSE))),"")</f>
        <v/>
      </c>
      <c r="AC7" s="91"/>
      <c r="AD7" s="95" t="str">
        <f ca="1">IFERROR(VALUE(IF(VLOOKUP($A7,数出表_Excel!$A$6:$T$150,COLUMN()/2+1,FALSE)=0,"",VLOOKUP($A7,数出表_Excel!$A$6:$T$150,COLUMN()/2+1,FALSE))),"")</f>
        <v/>
      </c>
      <c r="AE7" s="91"/>
      <c r="AF7" s="95" t="str">
        <f ca="1">IFERROR(VALUE(IF(VLOOKUP($A7,数出表_Excel!$A$6:$T$150,COLUMN()/2+1,FALSE)=0,"",VLOOKUP($A7,数出表_Excel!$A$6:$T$150,COLUMN()/2+1,FALSE))),"")</f>
        <v/>
      </c>
      <c r="AG7" s="91"/>
      <c r="AH7" s="95" t="str">
        <f ca="1">IFERROR(VALUE(IF(VLOOKUP($A7,数出表_Excel!$A$6:$T$150,COLUMN()/2+1,FALSE)=0,"",VLOOKUP($A7,数出表_Excel!$A$6:$T$150,COLUMN()/2+1,FALSE))),"")</f>
        <v/>
      </c>
      <c r="AI7" s="129"/>
      <c r="AJ7" s="96" t="str">
        <f ca="1">IFERROR(VALUE(IF(VLOOKUP($A7,数出表_Excel!$A$6:$T$150,COLUMN()/2+1,FALSE)=0,"",VLOOKUP($A7,数出表_Excel!$A$6:$T$150,COLUMN()/2+1,FALSE))),"")</f>
        <v/>
      </c>
      <c r="AK7" s="91"/>
      <c r="AL7" s="97" t="e">
        <f ca="1">IF(A7&lt;&gt;"",
IF(VLOOKUP($A7,数出表_Excel!$A$6:$T$150,COLUMN()/2+1,FALSE)=0,"",VLOOKUP($A7,数出表_Excel!$A$6:$T$150,COLUMN()/2+1,FALSE)),"")</f>
        <v>#N/A</v>
      </c>
      <c r="AM7" s="177" t="e">
        <f ca="1">数出表_Excel!V7</f>
        <v>#N/A</v>
      </c>
      <c r="AN7" s="178" t="e">
        <f ca="1">数出表_Excel!W7</f>
        <v>#N/A</v>
      </c>
    </row>
    <row r="8" spans="1:40" ht="16.2" customHeight="1">
      <c r="A8" s="137" t="e">
        <f t="array" aca="1" ref="A8" ca="1">IF(OR(COUNTIF(A6,"*10002*"),COUNTIF(A6,"")),"",INDEX(貼り付け用!$A1:$A200,MATCH(A6,貼り付け用!$A1:$A200,0)+2,0))</f>
        <v>#N/A</v>
      </c>
      <c r="B8" s="125" t="str">
        <f ca="1">IFERROR(VALUE(IF(VLOOKUP($A8,数出表_Excel!$A$6:$T$150,COLUMN()/2+1,FALSE)=0,"",VLOOKUP($A8,数出表_Excel!$A$6:$T$150,COLUMN()/2+1,FALSE))),"")</f>
        <v/>
      </c>
      <c r="C8" s="90"/>
      <c r="D8" s="125" t="str">
        <f ca="1">IFERROR(VALUE(IF(VLOOKUP($A8,数出表_Excel!$A$6:$T$150,COLUMN()/2+1,FALSE)=0,"",VLOOKUP($A8,数出表_Excel!$A$6:$T$150,COLUMN()/2+1,FALSE))),"")</f>
        <v/>
      </c>
      <c r="E8" s="90"/>
      <c r="F8" s="127" t="str">
        <f ca="1">IFERROR(VALUE(IF(VLOOKUP($A8,数出表_Excel!$A$6:$T$150,COLUMN()/2+1,FALSE)=0,"",VLOOKUP($A8,数出表_Excel!$A$6:$T$150,COLUMN()/2+1,FALSE))),"")</f>
        <v/>
      </c>
      <c r="G8" s="90"/>
      <c r="H8" s="125" t="str">
        <f ca="1">IFERROR(VALUE(IF(VLOOKUP($A8,数出表_Excel!$A$6:$T$150,COLUMN()/2+1,FALSE)=0,"",VLOOKUP($A8,数出表_Excel!$A$6:$T$150,COLUMN()/2+1,FALSE))),"")</f>
        <v/>
      </c>
      <c r="I8" s="90"/>
      <c r="J8" s="125" t="str">
        <f ca="1">IFERROR(VALUE(IF(VLOOKUP($A8,数出表_Excel!$A$6:$T$150,COLUMN()/2+1,FALSE)=0,"",VLOOKUP($A8,数出表_Excel!$A$6:$T$150,COLUMN()/2+1,FALSE))),"")</f>
        <v/>
      </c>
      <c r="K8" s="90"/>
      <c r="L8" s="127" t="str">
        <f ca="1">IFERROR(VALUE(IF(VLOOKUP($A8,数出表_Excel!$A$6:$T$150,COLUMN()/2+1,FALSE)=0,"",VLOOKUP($A8,数出表_Excel!$A$6:$T$150,COLUMN()/2+1,FALSE))),"")</f>
        <v/>
      </c>
      <c r="M8" s="90"/>
      <c r="N8" s="125" t="str">
        <f ca="1">IFERROR(VALUE(IF(VLOOKUP($A8,数出表_Excel!$A$6:$T$150,COLUMN()/2+1,FALSE)=0,"",VLOOKUP($A8,数出表_Excel!$A$6:$T$150,COLUMN()/2+1,FALSE))),"")</f>
        <v/>
      </c>
      <c r="O8" s="90"/>
      <c r="P8" s="125" t="str">
        <f ca="1">IFERROR(VALUE(IF(VLOOKUP($A8,数出表_Excel!$A$6:$T$150,COLUMN()/2+1,FALSE)=0,"",VLOOKUP($A8,数出表_Excel!$A$6:$T$150,COLUMN()/2+1,FALSE))),"")</f>
        <v/>
      </c>
      <c r="Q8" s="90"/>
      <c r="R8" s="125" t="str">
        <f ca="1">IFERROR(VALUE(IF(VLOOKUP($A8,数出表_Excel!$A$6:$T$150,COLUMN()/2+1,FALSE)=0,"",VLOOKUP($A8,数出表_Excel!$A$6:$T$150,COLUMN()/2+1,FALSE))),"")</f>
        <v/>
      </c>
      <c r="S8" s="90"/>
      <c r="T8" s="125" t="str">
        <f ca="1">IFERROR(VALUE(IF(VLOOKUP($A8,数出表_Excel!$A$6:$T$150,COLUMN()/2+1,FALSE)=0,"",VLOOKUP($A8,数出表_Excel!$A$6:$T$150,COLUMN()/2+1,FALSE))),"")</f>
        <v/>
      </c>
      <c r="U8" s="90"/>
      <c r="V8" s="127" t="str">
        <f ca="1">IFERROR(VALUE(IF(VLOOKUP($A8,数出表_Excel!$A$6:$T$150,COLUMN()/2+1,FALSE)=0,"",VLOOKUP($A8,数出表_Excel!$A$6:$T$150,COLUMN()/2+1,FALSE))),"")</f>
        <v/>
      </c>
      <c r="W8" s="90"/>
      <c r="X8" s="127" t="str">
        <f ca="1">IFERROR(VALUE(IF(VLOOKUP($A8,数出表_Excel!$A$6:$T$150,COLUMN()/2+1,FALSE)=0,"",VLOOKUP($A8,数出表_Excel!$A$6:$T$150,COLUMN()/2+1,FALSE))),"")</f>
        <v/>
      </c>
      <c r="Y8" s="90"/>
      <c r="Z8" s="127" t="str">
        <f ca="1">IFERROR(VALUE(IF(VLOOKUP($A8,数出表_Excel!$A$6:$T$150,COLUMN()/2+1,FALSE)=0,"",VLOOKUP($A8,数出表_Excel!$A$6:$T$150,COLUMN()/2+1,FALSE))),"")</f>
        <v/>
      </c>
      <c r="AA8" s="128"/>
      <c r="AB8" s="126" t="str">
        <f ca="1">IFERROR(VALUE(IF(VLOOKUP($A8,数出表_Excel!$A$6:$T$150,COLUMN()/2+1,FALSE)=0,"",VLOOKUP($A8,数出表_Excel!$A$6:$T$150,COLUMN()/2+1,FALSE))),"")</f>
        <v/>
      </c>
      <c r="AC8" s="90"/>
      <c r="AD8" s="127" t="str">
        <f ca="1">IFERROR(VALUE(IF(VLOOKUP($A8,数出表_Excel!$A$6:$T$150,COLUMN()/2+1,FALSE)=0,"",VLOOKUP($A8,数出表_Excel!$A$6:$T$150,COLUMN()/2+1,FALSE))),"")</f>
        <v/>
      </c>
      <c r="AE8" s="90"/>
      <c r="AF8" s="127" t="str">
        <f ca="1">IFERROR(VALUE(IF(VLOOKUP($A8,数出表_Excel!$A$6:$T$150,COLUMN()/2+1,FALSE)=0,"",VLOOKUP($A8,数出表_Excel!$A$6:$T$150,COLUMN()/2+1,FALSE))),"")</f>
        <v/>
      </c>
      <c r="AG8" s="90"/>
      <c r="AH8" s="127" t="str">
        <f ca="1">IFERROR(VALUE(IF(VLOOKUP($A8,数出表_Excel!$A$6:$T$150,COLUMN()/2+1,FALSE)=0,"",VLOOKUP($A8,数出表_Excel!$A$6:$T$150,COLUMN()/2+1,FALSE))),"")</f>
        <v/>
      </c>
      <c r="AI8" s="128"/>
      <c r="AJ8" s="126" t="str">
        <f ca="1">IFERROR(VALUE(IF(VLOOKUP($A8,数出表_Excel!$A$6:$T$150,COLUMN()/2+1,FALSE)=0,"",VLOOKUP($A8,数出表_Excel!$A$6:$T$150,COLUMN()/2+1,FALSE))),"")</f>
        <v/>
      </c>
      <c r="AK8" s="90"/>
      <c r="AL8" s="94" t="e">
        <f ca="1">IF(A8&lt;&gt;"",
IF(VLOOKUP($A8,数出表_Excel!$A$6:$T$150,COLUMN()/2+1,FALSE)=0,"",VLOOKUP($A8,数出表_Excel!$A$6:$T$150,COLUMN()/2+1,FALSE)),"")</f>
        <v>#N/A</v>
      </c>
      <c r="AM8" s="175" t="e">
        <f ca="1">数出表_Excel!V8</f>
        <v>#N/A</v>
      </c>
      <c r="AN8" s="176" t="e">
        <f ca="1">数出表_Excel!W8</f>
        <v>#N/A</v>
      </c>
    </row>
    <row r="9" spans="1:40" ht="16.2" customHeight="1">
      <c r="A9" s="138" t="e">
        <f t="array" aca="1" ref="A9" ca="1">IF(OR(COUNTIF(A7,"*1000*"),COUNTIF(A7,"")),"",INDEX(貼り付け用!$A1:$A200,MATCH(A7,貼り付け用!$A1:$A200,0)+2,0))</f>
        <v>#N/A</v>
      </c>
      <c r="B9" s="91" t="str">
        <f ca="1">IFERROR(VALUE(IF(VLOOKUP($A9,数出表_Excel!$A$6:$T$150,COLUMN()/2+1,FALSE)=0,"",VLOOKUP($A9,数出表_Excel!$A$6:$T$150,COLUMN()/2+1,FALSE))),"")</f>
        <v/>
      </c>
      <c r="C9" s="91"/>
      <c r="D9" s="91" t="str">
        <f ca="1">IFERROR(VALUE(IF(VLOOKUP($A9,数出表_Excel!$A$6:$T$150,COLUMN()/2+1,FALSE)=0,"",VLOOKUP($A9,数出表_Excel!$A$6:$T$150,COLUMN()/2+1,FALSE))),"")</f>
        <v/>
      </c>
      <c r="E9" s="91"/>
      <c r="F9" s="95" t="str">
        <f ca="1">IFERROR(VALUE(IF(VLOOKUP($A9,数出表_Excel!$A$6:$T$150,COLUMN()/2+1,FALSE)=0,"",VLOOKUP($A9,数出表_Excel!$A$6:$T$150,COLUMN()/2+1,FALSE))),"")</f>
        <v/>
      </c>
      <c r="G9" s="91"/>
      <c r="H9" s="91" t="str">
        <f ca="1">IFERROR(VALUE(IF(VLOOKUP($A9,数出表_Excel!$A$6:$T$150,COLUMN()/2+1,FALSE)=0,"",VLOOKUP($A9,数出表_Excel!$A$6:$T$150,COLUMN()/2+1,FALSE))),"")</f>
        <v/>
      </c>
      <c r="I9" s="91"/>
      <c r="J9" s="91" t="str">
        <f ca="1">IFERROR(VALUE(IF(VLOOKUP($A9,数出表_Excel!$A$6:$T$150,COLUMN()/2+1,FALSE)=0,"",VLOOKUP($A9,数出表_Excel!$A$6:$T$150,COLUMN()/2+1,FALSE))),"")</f>
        <v/>
      </c>
      <c r="K9" s="91"/>
      <c r="L9" s="95" t="str">
        <f ca="1">IFERROR(VALUE(IF(VLOOKUP($A9,数出表_Excel!$A$6:$T$150,COLUMN()/2+1,FALSE)=0,"",VLOOKUP($A9,数出表_Excel!$A$6:$T$150,COLUMN()/2+1,FALSE))),"")</f>
        <v/>
      </c>
      <c r="M9" s="91"/>
      <c r="N9" s="91" t="str">
        <f ca="1">IFERROR(VALUE(IF(VLOOKUP($A9,数出表_Excel!$A$6:$T$150,COLUMN()/2+1,FALSE)=0,"",VLOOKUP($A9,数出表_Excel!$A$6:$T$150,COLUMN()/2+1,FALSE))),"")</f>
        <v/>
      </c>
      <c r="O9" s="91"/>
      <c r="P9" s="91" t="str">
        <f ca="1">IFERROR(VALUE(IF(VLOOKUP($A9,数出表_Excel!$A$6:$T$150,COLUMN()/2+1,FALSE)=0,"",VLOOKUP($A9,数出表_Excel!$A$6:$T$150,COLUMN()/2+1,FALSE))),"")</f>
        <v/>
      </c>
      <c r="Q9" s="91"/>
      <c r="R9" s="91" t="str">
        <f ca="1">IFERROR(VALUE(IF(VLOOKUP($A9,数出表_Excel!$A$6:$T$150,COLUMN()/2+1,FALSE)=0,"",VLOOKUP($A9,数出表_Excel!$A$6:$T$150,COLUMN()/2+1,FALSE))),"")</f>
        <v/>
      </c>
      <c r="S9" s="91"/>
      <c r="T9" s="91" t="str">
        <f ca="1">IFERROR(VALUE(IF(VLOOKUP($A9,数出表_Excel!$A$6:$T$150,COLUMN()/2+1,FALSE)=0,"",VLOOKUP($A9,数出表_Excel!$A$6:$T$150,COLUMN()/2+1,FALSE))),"")</f>
        <v/>
      </c>
      <c r="U9" s="91"/>
      <c r="V9" s="95" t="str">
        <f ca="1">IFERROR(VALUE(IF(VLOOKUP($A9,数出表_Excel!$A$6:$T$150,COLUMN()/2+1,FALSE)=0,"",VLOOKUP($A9,数出表_Excel!$A$6:$T$150,COLUMN()/2+1,FALSE))),"")</f>
        <v/>
      </c>
      <c r="W9" s="91"/>
      <c r="X9" s="95" t="str">
        <f ca="1">IFERROR(VALUE(IF(VLOOKUP($A9,数出表_Excel!$A$6:$T$150,COLUMN()/2+1,FALSE)=0,"",VLOOKUP($A9,数出表_Excel!$A$6:$T$150,COLUMN()/2+1,FALSE))),"")</f>
        <v/>
      </c>
      <c r="Y9" s="91"/>
      <c r="Z9" s="95" t="str">
        <f ca="1">IFERROR(VALUE(IF(VLOOKUP($A9,数出表_Excel!$A$6:$T$150,COLUMN()/2+1,FALSE)=0,"",VLOOKUP($A9,数出表_Excel!$A$6:$T$150,COLUMN()/2+1,FALSE))),"")</f>
        <v/>
      </c>
      <c r="AA9" s="129"/>
      <c r="AB9" s="96" t="str">
        <f ca="1">IFERROR(VALUE(IF(VLOOKUP($A9,数出表_Excel!$A$6:$T$150,COLUMN()/2+1,FALSE)=0,"",VLOOKUP($A9,数出表_Excel!$A$6:$T$150,COLUMN()/2+1,FALSE))),"")</f>
        <v/>
      </c>
      <c r="AC9" s="91"/>
      <c r="AD9" s="95" t="str">
        <f ca="1">IFERROR(VALUE(IF(VLOOKUP($A9,数出表_Excel!$A$6:$T$150,COLUMN()/2+1,FALSE)=0,"",VLOOKUP($A9,数出表_Excel!$A$6:$T$150,COLUMN()/2+1,FALSE))),"")</f>
        <v/>
      </c>
      <c r="AE9" s="91"/>
      <c r="AF9" s="95" t="str">
        <f ca="1">IFERROR(VALUE(IF(VLOOKUP($A9,数出表_Excel!$A$6:$T$150,COLUMN()/2+1,FALSE)=0,"",VLOOKUP($A9,数出表_Excel!$A$6:$T$150,COLUMN()/2+1,FALSE))),"")</f>
        <v/>
      </c>
      <c r="AG9" s="91"/>
      <c r="AH9" s="95" t="str">
        <f ca="1">IFERROR(VALUE(IF(VLOOKUP($A9,数出表_Excel!$A$6:$T$150,COLUMN()/2+1,FALSE)=0,"",VLOOKUP($A9,数出表_Excel!$A$6:$T$150,COLUMN()/2+1,FALSE))),"")</f>
        <v/>
      </c>
      <c r="AI9" s="129"/>
      <c r="AJ9" s="96" t="str">
        <f ca="1">IFERROR(VALUE(IF(VLOOKUP($A9,数出表_Excel!$A$6:$T$150,COLUMN()/2+1,FALSE)=0,"",VLOOKUP($A9,数出表_Excel!$A$6:$T$150,COLUMN()/2+1,FALSE))),"")</f>
        <v/>
      </c>
      <c r="AK9" s="91"/>
      <c r="AL9" s="97" t="e">
        <f ca="1">IF(A9&lt;&gt;"",
IF(VLOOKUP($A9,数出表_Excel!$A$6:$T$150,COLUMN()/2+1,FALSE)=0,"",VLOOKUP($A9,数出表_Excel!$A$6:$T$150,COLUMN()/2+1,FALSE)),"")</f>
        <v>#N/A</v>
      </c>
      <c r="AM9" s="177" t="e">
        <f ca="1">数出表_Excel!V9</f>
        <v>#N/A</v>
      </c>
      <c r="AN9" s="178" t="e">
        <f ca="1">数出表_Excel!W9</f>
        <v>#N/A</v>
      </c>
    </row>
    <row r="10" spans="1:40" ht="16.2" customHeight="1">
      <c r="A10" s="137" t="e">
        <f t="array" aca="1" ref="A10" ca="1">IF(OR(COUNTIF(A8,"*10002*"),COUNTIF(A8,"")),"",INDEX(貼り付け用!$A1:$A200,MATCH(A8,貼り付け用!$A1:$A200,0)+2,0))</f>
        <v>#N/A</v>
      </c>
      <c r="B10" s="125" t="str">
        <f ca="1">IFERROR(VALUE(IF(VLOOKUP($A10,数出表_Excel!$A$6:$T$150,COLUMN()/2+1,FALSE)=0,"",VLOOKUP($A10,数出表_Excel!$A$6:$T$150,COLUMN()/2+1,FALSE))),"")</f>
        <v/>
      </c>
      <c r="C10" s="90"/>
      <c r="D10" s="125" t="str">
        <f ca="1">IFERROR(VALUE(IF(VLOOKUP($A10,数出表_Excel!$A$6:$T$150,COLUMN()/2+1,FALSE)=0,"",VLOOKUP($A10,数出表_Excel!$A$6:$T$150,COLUMN()/2+1,FALSE))),"")</f>
        <v/>
      </c>
      <c r="E10" s="90"/>
      <c r="F10" s="127" t="str">
        <f ca="1">IFERROR(VALUE(IF(VLOOKUP($A10,数出表_Excel!$A$6:$T$150,COLUMN()/2+1,FALSE)=0,"",VLOOKUP($A10,数出表_Excel!$A$6:$T$150,COLUMN()/2+1,FALSE))),"")</f>
        <v/>
      </c>
      <c r="G10" s="90"/>
      <c r="H10" s="125" t="str">
        <f ca="1">IFERROR(VALUE(IF(VLOOKUP($A10,数出表_Excel!$A$6:$T$150,COLUMN()/2+1,FALSE)=0,"",VLOOKUP($A10,数出表_Excel!$A$6:$T$150,COLUMN()/2+1,FALSE))),"")</f>
        <v/>
      </c>
      <c r="I10" s="90"/>
      <c r="J10" s="125" t="str">
        <f ca="1">IFERROR(VALUE(IF(VLOOKUP($A10,数出表_Excel!$A$6:$T$150,COLUMN()/2+1,FALSE)=0,"",VLOOKUP($A10,数出表_Excel!$A$6:$T$150,COLUMN()/2+1,FALSE))),"")</f>
        <v/>
      </c>
      <c r="K10" s="90"/>
      <c r="L10" s="127" t="str">
        <f ca="1">IFERROR(VALUE(IF(VLOOKUP($A10,数出表_Excel!$A$6:$T$150,COLUMN()/2+1,FALSE)=0,"",VLOOKUP($A10,数出表_Excel!$A$6:$T$150,COLUMN()/2+1,FALSE))),"")</f>
        <v/>
      </c>
      <c r="M10" s="90"/>
      <c r="N10" s="125" t="str">
        <f ca="1">IFERROR(VALUE(IF(VLOOKUP($A10,数出表_Excel!$A$6:$T$150,COLUMN()/2+1,FALSE)=0,"",VLOOKUP($A10,数出表_Excel!$A$6:$T$150,COLUMN()/2+1,FALSE))),"")</f>
        <v/>
      </c>
      <c r="O10" s="90"/>
      <c r="P10" s="125" t="str">
        <f ca="1">IFERROR(VALUE(IF(VLOOKUP($A10,数出表_Excel!$A$6:$T$150,COLUMN()/2+1,FALSE)=0,"",VLOOKUP($A10,数出表_Excel!$A$6:$T$150,COLUMN()/2+1,FALSE))),"")</f>
        <v/>
      </c>
      <c r="Q10" s="90"/>
      <c r="R10" s="125" t="str">
        <f ca="1">IFERROR(VALUE(IF(VLOOKUP($A10,数出表_Excel!$A$6:$T$150,COLUMN()/2+1,FALSE)=0,"",VLOOKUP($A10,数出表_Excel!$A$6:$T$150,COLUMN()/2+1,FALSE))),"")</f>
        <v/>
      </c>
      <c r="S10" s="90"/>
      <c r="T10" s="125" t="str">
        <f ca="1">IFERROR(VALUE(IF(VLOOKUP($A10,数出表_Excel!$A$6:$T$150,COLUMN()/2+1,FALSE)=0,"",VLOOKUP($A10,数出表_Excel!$A$6:$T$150,COLUMN()/2+1,FALSE))),"")</f>
        <v/>
      </c>
      <c r="U10" s="90"/>
      <c r="V10" s="127" t="str">
        <f ca="1">IFERROR(VALUE(IF(VLOOKUP($A10,数出表_Excel!$A$6:$T$150,COLUMN()/2+1,FALSE)=0,"",VLOOKUP($A10,数出表_Excel!$A$6:$T$150,COLUMN()/2+1,FALSE))),"")</f>
        <v/>
      </c>
      <c r="W10" s="90"/>
      <c r="X10" s="127" t="str">
        <f ca="1">IFERROR(VALUE(IF(VLOOKUP($A10,数出表_Excel!$A$6:$T$150,COLUMN()/2+1,FALSE)=0,"",VLOOKUP($A10,数出表_Excel!$A$6:$T$150,COLUMN()/2+1,FALSE))),"")</f>
        <v/>
      </c>
      <c r="Y10" s="90"/>
      <c r="Z10" s="127" t="str">
        <f ca="1">IFERROR(VALUE(IF(VLOOKUP($A10,数出表_Excel!$A$6:$T$150,COLUMN()/2+1,FALSE)=0,"",VLOOKUP($A10,数出表_Excel!$A$6:$T$150,COLUMN()/2+1,FALSE))),"")</f>
        <v/>
      </c>
      <c r="AA10" s="128"/>
      <c r="AB10" s="126" t="str">
        <f ca="1">IFERROR(VALUE(IF(VLOOKUP($A10,数出表_Excel!$A$6:$T$150,COLUMN()/2+1,FALSE)=0,"",VLOOKUP($A10,数出表_Excel!$A$6:$T$150,COLUMN()/2+1,FALSE))),"")</f>
        <v/>
      </c>
      <c r="AC10" s="90"/>
      <c r="AD10" s="127" t="str">
        <f ca="1">IFERROR(VALUE(IF(VLOOKUP($A10,数出表_Excel!$A$6:$T$150,COLUMN()/2+1,FALSE)=0,"",VLOOKUP($A10,数出表_Excel!$A$6:$T$150,COLUMN()/2+1,FALSE))),"")</f>
        <v/>
      </c>
      <c r="AE10" s="90"/>
      <c r="AF10" s="127" t="str">
        <f ca="1">IFERROR(VALUE(IF(VLOOKUP($A10,数出表_Excel!$A$6:$T$150,COLUMN()/2+1,FALSE)=0,"",VLOOKUP($A10,数出表_Excel!$A$6:$T$150,COLUMN()/2+1,FALSE))),"")</f>
        <v/>
      </c>
      <c r="AG10" s="90"/>
      <c r="AH10" s="127" t="str">
        <f ca="1">IFERROR(VALUE(IF(VLOOKUP($A10,数出表_Excel!$A$6:$T$150,COLUMN()/2+1,FALSE)=0,"",VLOOKUP($A10,数出表_Excel!$A$6:$T$150,COLUMN()/2+1,FALSE))),"")</f>
        <v/>
      </c>
      <c r="AI10" s="128"/>
      <c r="AJ10" s="126" t="str">
        <f ca="1">IFERROR(VALUE(IF(VLOOKUP($A10,数出表_Excel!$A$6:$T$150,COLUMN()/2+1,FALSE)=0,"",VLOOKUP($A10,数出表_Excel!$A$6:$T$150,COLUMN()/2+1,FALSE))),"")</f>
        <v/>
      </c>
      <c r="AK10" s="90"/>
      <c r="AL10" s="94" t="e">
        <f ca="1">IF(A10&lt;&gt;"",
IF(VLOOKUP($A10,数出表_Excel!$A$6:$T$150,COLUMN()/2+1,FALSE)=0,"",VLOOKUP($A10,数出表_Excel!$A$6:$T$150,COLUMN()/2+1,FALSE)),"")</f>
        <v>#N/A</v>
      </c>
      <c r="AM10" s="175" t="e">
        <f ca="1">数出表_Excel!V10</f>
        <v>#N/A</v>
      </c>
      <c r="AN10" s="176" t="e">
        <f ca="1">数出表_Excel!W10</f>
        <v>#N/A</v>
      </c>
    </row>
    <row r="11" spans="1:40" ht="16.2" customHeight="1">
      <c r="A11" s="138" t="e">
        <f t="array" aca="1" ref="A11" ca="1">IF(OR(COUNTIF(A9,"*1000*"),COUNTIF(A9,"")),"",INDEX(貼り付け用!$A1:$A200,MATCH(A9,貼り付け用!$A1:$A200,0)+2,0))</f>
        <v>#N/A</v>
      </c>
      <c r="B11" s="91" t="str">
        <f ca="1">IFERROR(VALUE(IF(VLOOKUP($A11,数出表_Excel!$A$6:$T$150,COLUMN()/2+1,FALSE)=0,"",VLOOKUP($A11,数出表_Excel!$A$6:$T$150,COLUMN()/2+1,FALSE))),"")</f>
        <v/>
      </c>
      <c r="C11" s="91"/>
      <c r="D11" s="91" t="str">
        <f ca="1">IFERROR(VALUE(IF(VLOOKUP($A11,数出表_Excel!$A$6:$T$150,COLUMN()/2+1,FALSE)=0,"",VLOOKUP($A11,数出表_Excel!$A$6:$T$150,COLUMN()/2+1,FALSE))),"")</f>
        <v/>
      </c>
      <c r="E11" s="91"/>
      <c r="F11" s="95" t="str">
        <f ca="1">IFERROR(VALUE(IF(VLOOKUP($A11,数出表_Excel!$A$6:$T$150,COLUMN()/2+1,FALSE)=0,"",VLOOKUP($A11,数出表_Excel!$A$6:$T$150,COLUMN()/2+1,FALSE))),"")</f>
        <v/>
      </c>
      <c r="G11" s="91"/>
      <c r="H11" s="91" t="str">
        <f ca="1">IFERROR(VALUE(IF(VLOOKUP($A11,数出表_Excel!$A$6:$T$150,COLUMN()/2+1,FALSE)=0,"",VLOOKUP($A11,数出表_Excel!$A$6:$T$150,COLUMN()/2+1,FALSE))),"")</f>
        <v/>
      </c>
      <c r="I11" s="91"/>
      <c r="J11" s="91" t="str">
        <f ca="1">IFERROR(VALUE(IF(VLOOKUP($A11,数出表_Excel!$A$6:$T$150,COLUMN()/2+1,FALSE)=0,"",VLOOKUP($A11,数出表_Excel!$A$6:$T$150,COLUMN()/2+1,FALSE))),"")</f>
        <v/>
      </c>
      <c r="K11" s="91"/>
      <c r="L11" s="95" t="str">
        <f ca="1">IFERROR(VALUE(IF(VLOOKUP($A11,数出表_Excel!$A$6:$T$150,COLUMN()/2+1,FALSE)=0,"",VLOOKUP($A11,数出表_Excel!$A$6:$T$150,COLUMN()/2+1,FALSE))),"")</f>
        <v/>
      </c>
      <c r="M11" s="91"/>
      <c r="N11" s="91" t="str">
        <f ca="1">IFERROR(VALUE(IF(VLOOKUP($A11,数出表_Excel!$A$6:$T$150,COLUMN()/2+1,FALSE)=0,"",VLOOKUP($A11,数出表_Excel!$A$6:$T$150,COLUMN()/2+1,FALSE))),"")</f>
        <v/>
      </c>
      <c r="O11" s="91"/>
      <c r="P11" s="91" t="str">
        <f ca="1">IFERROR(VALUE(IF(VLOOKUP($A11,数出表_Excel!$A$6:$T$150,COLUMN()/2+1,FALSE)=0,"",VLOOKUP($A11,数出表_Excel!$A$6:$T$150,COLUMN()/2+1,FALSE))),"")</f>
        <v/>
      </c>
      <c r="Q11" s="91"/>
      <c r="R11" s="91" t="str">
        <f ca="1">IFERROR(VALUE(IF(VLOOKUP($A11,数出表_Excel!$A$6:$T$150,COLUMN()/2+1,FALSE)=0,"",VLOOKUP($A11,数出表_Excel!$A$6:$T$150,COLUMN()/2+1,FALSE))),"")</f>
        <v/>
      </c>
      <c r="S11" s="91"/>
      <c r="T11" s="91" t="str">
        <f ca="1">IFERROR(VALUE(IF(VLOOKUP($A11,数出表_Excel!$A$6:$T$150,COLUMN()/2+1,FALSE)=0,"",VLOOKUP($A11,数出表_Excel!$A$6:$T$150,COLUMN()/2+1,FALSE))),"")</f>
        <v/>
      </c>
      <c r="U11" s="91"/>
      <c r="V11" s="95" t="str">
        <f ca="1">IFERROR(VALUE(IF(VLOOKUP($A11,数出表_Excel!$A$6:$T$150,COLUMN()/2+1,FALSE)=0,"",VLOOKUP($A11,数出表_Excel!$A$6:$T$150,COLUMN()/2+1,FALSE))),"")</f>
        <v/>
      </c>
      <c r="W11" s="91"/>
      <c r="X11" s="95" t="str">
        <f ca="1">IFERROR(VALUE(IF(VLOOKUP($A11,数出表_Excel!$A$6:$T$150,COLUMN()/2+1,FALSE)=0,"",VLOOKUP($A11,数出表_Excel!$A$6:$T$150,COLUMN()/2+1,FALSE))),"")</f>
        <v/>
      </c>
      <c r="Y11" s="91"/>
      <c r="Z11" s="95" t="str">
        <f ca="1">IFERROR(VALUE(IF(VLOOKUP($A11,数出表_Excel!$A$6:$T$150,COLUMN()/2+1,FALSE)=0,"",VLOOKUP($A11,数出表_Excel!$A$6:$T$150,COLUMN()/2+1,FALSE))),"")</f>
        <v/>
      </c>
      <c r="AA11" s="129"/>
      <c r="AB11" s="96" t="str">
        <f ca="1">IFERROR(VALUE(IF(VLOOKUP($A11,数出表_Excel!$A$6:$T$150,COLUMN()/2+1,FALSE)=0,"",VLOOKUP($A11,数出表_Excel!$A$6:$T$150,COLUMN()/2+1,FALSE))),"")</f>
        <v/>
      </c>
      <c r="AC11" s="91"/>
      <c r="AD11" s="95" t="str">
        <f ca="1">IFERROR(VALUE(IF(VLOOKUP($A11,数出表_Excel!$A$6:$T$150,COLUMN()/2+1,FALSE)=0,"",VLOOKUP($A11,数出表_Excel!$A$6:$T$150,COLUMN()/2+1,FALSE))),"")</f>
        <v/>
      </c>
      <c r="AE11" s="91"/>
      <c r="AF11" s="95" t="str">
        <f ca="1">IFERROR(VALUE(IF(VLOOKUP($A11,数出表_Excel!$A$6:$T$150,COLUMN()/2+1,FALSE)=0,"",VLOOKUP($A11,数出表_Excel!$A$6:$T$150,COLUMN()/2+1,FALSE))),"")</f>
        <v/>
      </c>
      <c r="AG11" s="91"/>
      <c r="AH11" s="95" t="str">
        <f ca="1">IFERROR(VALUE(IF(VLOOKUP($A11,数出表_Excel!$A$6:$T$150,COLUMN()/2+1,FALSE)=0,"",VLOOKUP($A11,数出表_Excel!$A$6:$T$150,COLUMN()/2+1,FALSE))),"")</f>
        <v/>
      </c>
      <c r="AI11" s="129"/>
      <c r="AJ11" s="96" t="str">
        <f ca="1">IFERROR(VALUE(IF(VLOOKUP($A11,数出表_Excel!$A$6:$T$150,COLUMN()/2+1,FALSE)=0,"",VLOOKUP($A11,数出表_Excel!$A$6:$T$150,COLUMN()/2+1,FALSE))),"")</f>
        <v/>
      </c>
      <c r="AK11" s="91"/>
      <c r="AL11" s="97" t="e">
        <f ca="1">IF(A11&lt;&gt;"",
IF(VLOOKUP($A11,数出表_Excel!$A$6:$T$150,COLUMN()/2+1,FALSE)=0,"",VLOOKUP($A11,数出表_Excel!$A$6:$T$150,COLUMN()/2+1,FALSE)),"")</f>
        <v>#N/A</v>
      </c>
      <c r="AM11" s="177" t="e">
        <f ca="1">数出表_Excel!V11</f>
        <v>#N/A</v>
      </c>
      <c r="AN11" s="178" t="e">
        <f ca="1">数出表_Excel!W11</f>
        <v>#N/A</v>
      </c>
    </row>
    <row r="12" spans="1:40" ht="16.2" customHeight="1">
      <c r="A12" s="137" t="e">
        <f t="array" aca="1" ref="A12" ca="1">IF(OR(COUNTIF(A10,"*10002*"),COUNTIF(A10,"")),"",INDEX(貼り付け用!$A1:$A200,MATCH(A10,貼り付け用!$A1:$A200,0)+2,0))</f>
        <v>#N/A</v>
      </c>
      <c r="B12" s="125" t="str">
        <f ca="1">IFERROR(VALUE(IF(VLOOKUP($A12,数出表_Excel!$A$6:$T$150,COLUMN()/2+1,FALSE)=0,"",VLOOKUP($A12,数出表_Excel!$A$6:$T$150,COLUMN()/2+1,FALSE))),"")</f>
        <v/>
      </c>
      <c r="C12" s="90"/>
      <c r="D12" s="125" t="str">
        <f ca="1">IFERROR(VALUE(IF(VLOOKUP($A12,数出表_Excel!$A$6:$T$150,COLUMN()/2+1,FALSE)=0,"",VLOOKUP($A12,数出表_Excel!$A$6:$T$150,COLUMN()/2+1,FALSE))),"")</f>
        <v/>
      </c>
      <c r="E12" s="90"/>
      <c r="F12" s="127" t="str">
        <f ca="1">IFERROR(VALUE(IF(VLOOKUP($A12,数出表_Excel!$A$6:$T$150,COLUMN()/2+1,FALSE)=0,"",VLOOKUP($A12,数出表_Excel!$A$6:$T$150,COLUMN()/2+1,FALSE))),"")</f>
        <v/>
      </c>
      <c r="G12" s="90"/>
      <c r="H12" s="125" t="str">
        <f ca="1">IFERROR(VALUE(IF(VLOOKUP($A12,数出表_Excel!$A$6:$T$150,COLUMN()/2+1,FALSE)=0,"",VLOOKUP($A12,数出表_Excel!$A$6:$T$150,COLUMN()/2+1,FALSE))),"")</f>
        <v/>
      </c>
      <c r="I12" s="90"/>
      <c r="J12" s="125" t="str">
        <f ca="1">IFERROR(VALUE(IF(VLOOKUP($A12,数出表_Excel!$A$6:$T$150,COLUMN()/2+1,FALSE)=0,"",VLOOKUP($A12,数出表_Excel!$A$6:$T$150,COLUMN()/2+1,FALSE))),"")</f>
        <v/>
      </c>
      <c r="K12" s="90"/>
      <c r="L12" s="127" t="str">
        <f ca="1">IFERROR(VALUE(IF(VLOOKUP($A12,数出表_Excel!$A$6:$T$150,COLUMN()/2+1,FALSE)=0,"",VLOOKUP($A12,数出表_Excel!$A$6:$T$150,COLUMN()/2+1,FALSE))),"")</f>
        <v/>
      </c>
      <c r="M12" s="90"/>
      <c r="N12" s="125" t="str">
        <f ca="1">IFERROR(VALUE(IF(VLOOKUP($A12,数出表_Excel!$A$6:$T$150,COLUMN()/2+1,FALSE)=0,"",VLOOKUP($A12,数出表_Excel!$A$6:$T$150,COLUMN()/2+1,FALSE))),"")</f>
        <v/>
      </c>
      <c r="O12" s="90"/>
      <c r="P12" s="125" t="str">
        <f ca="1">IFERROR(VALUE(IF(VLOOKUP($A12,数出表_Excel!$A$6:$T$150,COLUMN()/2+1,FALSE)=0,"",VLOOKUP($A12,数出表_Excel!$A$6:$T$150,COLUMN()/2+1,FALSE))),"")</f>
        <v/>
      </c>
      <c r="Q12" s="90"/>
      <c r="R12" s="125" t="str">
        <f ca="1">IFERROR(VALUE(IF(VLOOKUP($A12,数出表_Excel!$A$6:$T$150,COLUMN()/2+1,FALSE)=0,"",VLOOKUP($A12,数出表_Excel!$A$6:$T$150,COLUMN()/2+1,FALSE))),"")</f>
        <v/>
      </c>
      <c r="S12" s="90"/>
      <c r="T12" s="125" t="str">
        <f ca="1">IFERROR(VALUE(IF(VLOOKUP($A12,数出表_Excel!$A$6:$T$150,COLUMN()/2+1,FALSE)=0,"",VLOOKUP($A12,数出表_Excel!$A$6:$T$150,COLUMN()/2+1,FALSE))),"")</f>
        <v/>
      </c>
      <c r="U12" s="90"/>
      <c r="V12" s="127" t="str">
        <f ca="1">IFERROR(VALUE(IF(VLOOKUP($A12,数出表_Excel!$A$6:$T$150,COLUMN()/2+1,FALSE)=0,"",VLOOKUP($A12,数出表_Excel!$A$6:$T$150,COLUMN()/2+1,FALSE))),"")</f>
        <v/>
      </c>
      <c r="W12" s="90"/>
      <c r="X12" s="127" t="str">
        <f ca="1">IFERROR(VALUE(IF(VLOOKUP($A12,数出表_Excel!$A$6:$T$150,COLUMN()/2+1,FALSE)=0,"",VLOOKUP($A12,数出表_Excel!$A$6:$T$150,COLUMN()/2+1,FALSE))),"")</f>
        <v/>
      </c>
      <c r="Y12" s="90"/>
      <c r="Z12" s="127" t="str">
        <f ca="1">IFERROR(VALUE(IF(VLOOKUP($A12,数出表_Excel!$A$6:$T$150,COLUMN()/2+1,FALSE)=0,"",VLOOKUP($A12,数出表_Excel!$A$6:$T$150,COLUMN()/2+1,FALSE))),"")</f>
        <v/>
      </c>
      <c r="AA12" s="128"/>
      <c r="AB12" s="126" t="str">
        <f ca="1">IFERROR(VALUE(IF(VLOOKUP($A12,数出表_Excel!$A$6:$T$150,COLUMN()/2+1,FALSE)=0,"",VLOOKUP($A12,数出表_Excel!$A$6:$T$150,COLUMN()/2+1,FALSE))),"")</f>
        <v/>
      </c>
      <c r="AC12" s="90"/>
      <c r="AD12" s="127" t="str">
        <f ca="1">IFERROR(VALUE(IF(VLOOKUP($A12,数出表_Excel!$A$6:$T$150,COLUMN()/2+1,FALSE)=0,"",VLOOKUP($A12,数出表_Excel!$A$6:$T$150,COLUMN()/2+1,FALSE))),"")</f>
        <v/>
      </c>
      <c r="AE12" s="90"/>
      <c r="AF12" s="127" t="str">
        <f ca="1">IFERROR(VALUE(IF(VLOOKUP($A12,数出表_Excel!$A$6:$T$150,COLUMN()/2+1,FALSE)=0,"",VLOOKUP($A12,数出表_Excel!$A$6:$T$150,COLUMN()/2+1,FALSE))),"")</f>
        <v/>
      </c>
      <c r="AG12" s="90"/>
      <c r="AH12" s="127" t="str">
        <f ca="1">IFERROR(VALUE(IF(VLOOKUP($A12,数出表_Excel!$A$6:$T$150,COLUMN()/2+1,FALSE)=0,"",VLOOKUP($A12,数出表_Excel!$A$6:$T$150,COLUMN()/2+1,FALSE))),"")</f>
        <v/>
      </c>
      <c r="AI12" s="128"/>
      <c r="AJ12" s="126" t="str">
        <f ca="1">IFERROR(VALUE(IF(VLOOKUP($A12,数出表_Excel!$A$6:$T$150,COLUMN()/2+1,FALSE)=0,"",VLOOKUP($A12,数出表_Excel!$A$6:$T$150,COLUMN()/2+1,FALSE))),"")</f>
        <v/>
      </c>
      <c r="AK12" s="90"/>
      <c r="AL12" s="94" t="e">
        <f ca="1">IF(A12&lt;&gt;"",
IF(VLOOKUP($A12,数出表_Excel!$A$6:$T$150,COLUMN()/2+1,FALSE)=0,"",VLOOKUP($A12,数出表_Excel!$A$6:$T$150,COLUMN()/2+1,FALSE)),"")</f>
        <v>#N/A</v>
      </c>
      <c r="AM12" s="175" t="e">
        <f ca="1">数出表_Excel!V12</f>
        <v>#N/A</v>
      </c>
      <c r="AN12" s="176" t="e">
        <f ca="1">数出表_Excel!W12</f>
        <v>#N/A</v>
      </c>
    </row>
    <row r="13" spans="1:40" ht="16.2" customHeight="1">
      <c r="A13" s="138" t="e">
        <f t="array" aca="1" ref="A13" ca="1">IF(OR(COUNTIF(A11,"*1000*"),COUNTIF(A11,"")),"",INDEX(貼り付け用!$A1:$A200,MATCH(A11,貼り付け用!$A1:$A200,0)+2,0))</f>
        <v>#N/A</v>
      </c>
      <c r="B13" s="91" t="str">
        <f ca="1">IFERROR(VALUE(IF(VLOOKUP($A13,数出表_Excel!$A$6:$T$150,COLUMN()/2+1,FALSE)=0,"",VLOOKUP($A13,数出表_Excel!$A$6:$T$150,COLUMN()/2+1,FALSE))),"")</f>
        <v/>
      </c>
      <c r="C13" s="91"/>
      <c r="D13" s="91" t="str">
        <f ca="1">IFERROR(VALUE(IF(VLOOKUP($A13,数出表_Excel!$A$6:$T$150,COLUMN()/2+1,FALSE)=0,"",VLOOKUP($A13,数出表_Excel!$A$6:$T$150,COLUMN()/2+1,FALSE))),"")</f>
        <v/>
      </c>
      <c r="E13" s="91"/>
      <c r="F13" s="95" t="str">
        <f ca="1">IFERROR(VALUE(IF(VLOOKUP($A13,数出表_Excel!$A$6:$T$150,COLUMN()/2+1,FALSE)=0,"",VLOOKUP($A13,数出表_Excel!$A$6:$T$150,COLUMN()/2+1,FALSE))),"")</f>
        <v/>
      </c>
      <c r="G13" s="91"/>
      <c r="H13" s="91" t="str">
        <f ca="1">IFERROR(VALUE(IF(VLOOKUP($A13,数出表_Excel!$A$6:$T$150,COLUMN()/2+1,FALSE)=0,"",VLOOKUP($A13,数出表_Excel!$A$6:$T$150,COLUMN()/2+1,FALSE))),"")</f>
        <v/>
      </c>
      <c r="I13" s="91"/>
      <c r="J13" s="91" t="str">
        <f ca="1">IFERROR(VALUE(IF(VLOOKUP($A13,数出表_Excel!$A$6:$T$150,COLUMN()/2+1,FALSE)=0,"",VLOOKUP($A13,数出表_Excel!$A$6:$T$150,COLUMN()/2+1,FALSE))),"")</f>
        <v/>
      </c>
      <c r="K13" s="91"/>
      <c r="L13" s="95" t="str">
        <f ca="1">IFERROR(VALUE(IF(VLOOKUP($A13,数出表_Excel!$A$6:$T$150,COLUMN()/2+1,FALSE)=0,"",VLOOKUP($A13,数出表_Excel!$A$6:$T$150,COLUMN()/2+1,FALSE))),"")</f>
        <v/>
      </c>
      <c r="M13" s="91"/>
      <c r="N13" s="91" t="str">
        <f ca="1">IFERROR(VALUE(IF(VLOOKUP($A13,数出表_Excel!$A$6:$T$150,COLUMN()/2+1,FALSE)=0,"",VLOOKUP($A13,数出表_Excel!$A$6:$T$150,COLUMN()/2+1,FALSE))),"")</f>
        <v/>
      </c>
      <c r="O13" s="91"/>
      <c r="P13" s="91" t="str">
        <f ca="1">IFERROR(VALUE(IF(VLOOKUP($A13,数出表_Excel!$A$6:$T$150,COLUMN()/2+1,FALSE)=0,"",VLOOKUP($A13,数出表_Excel!$A$6:$T$150,COLUMN()/2+1,FALSE))),"")</f>
        <v/>
      </c>
      <c r="Q13" s="91"/>
      <c r="R13" s="91" t="str">
        <f ca="1">IFERROR(VALUE(IF(VLOOKUP($A13,数出表_Excel!$A$6:$T$150,COLUMN()/2+1,FALSE)=0,"",VLOOKUP($A13,数出表_Excel!$A$6:$T$150,COLUMN()/2+1,FALSE))),"")</f>
        <v/>
      </c>
      <c r="S13" s="91"/>
      <c r="T13" s="91" t="str">
        <f ca="1">IFERROR(VALUE(IF(VLOOKUP($A13,数出表_Excel!$A$6:$T$150,COLUMN()/2+1,FALSE)=0,"",VLOOKUP($A13,数出表_Excel!$A$6:$T$150,COLUMN()/2+1,FALSE))),"")</f>
        <v/>
      </c>
      <c r="U13" s="91"/>
      <c r="V13" s="95" t="str">
        <f ca="1">IFERROR(VALUE(IF(VLOOKUP($A13,数出表_Excel!$A$6:$T$150,COLUMN()/2+1,FALSE)=0,"",VLOOKUP($A13,数出表_Excel!$A$6:$T$150,COLUMN()/2+1,FALSE))),"")</f>
        <v/>
      </c>
      <c r="W13" s="91"/>
      <c r="X13" s="95" t="str">
        <f ca="1">IFERROR(VALUE(IF(VLOOKUP($A13,数出表_Excel!$A$6:$T$150,COLUMN()/2+1,FALSE)=0,"",VLOOKUP($A13,数出表_Excel!$A$6:$T$150,COLUMN()/2+1,FALSE))),"")</f>
        <v/>
      </c>
      <c r="Y13" s="91"/>
      <c r="Z13" s="95" t="str">
        <f ca="1">IFERROR(VALUE(IF(VLOOKUP($A13,数出表_Excel!$A$6:$T$150,COLUMN()/2+1,FALSE)=0,"",VLOOKUP($A13,数出表_Excel!$A$6:$T$150,COLUMN()/2+1,FALSE))),"")</f>
        <v/>
      </c>
      <c r="AA13" s="129"/>
      <c r="AB13" s="96" t="str">
        <f ca="1">IFERROR(VALUE(IF(VLOOKUP($A13,数出表_Excel!$A$6:$T$150,COLUMN()/2+1,FALSE)=0,"",VLOOKUP($A13,数出表_Excel!$A$6:$T$150,COLUMN()/2+1,FALSE))),"")</f>
        <v/>
      </c>
      <c r="AC13" s="91"/>
      <c r="AD13" s="95" t="str">
        <f ca="1">IFERROR(VALUE(IF(VLOOKUP($A13,数出表_Excel!$A$6:$T$150,COLUMN()/2+1,FALSE)=0,"",VLOOKUP($A13,数出表_Excel!$A$6:$T$150,COLUMN()/2+1,FALSE))),"")</f>
        <v/>
      </c>
      <c r="AE13" s="91"/>
      <c r="AF13" s="95" t="str">
        <f ca="1">IFERROR(VALUE(IF(VLOOKUP($A13,数出表_Excel!$A$6:$T$150,COLUMN()/2+1,FALSE)=0,"",VLOOKUP($A13,数出表_Excel!$A$6:$T$150,COLUMN()/2+1,FALSE))),"")</f>
        <v/>
      </c>
      <c r="AG13" s="91"/>
      <c r="AH13" s="95" t="str">
        <f ca="1">IFERROR(VALUE(IF(VLOOKUP($A13,数出表_Excel!$A$6:$T$150,COLUMN()/2+1,FALSE)=0,"",VLOOKUP($A13,数出表_Excel!$A$6:$T$150,COLUMN()/2+1,FALSE))),"")</f>
        <v/>
      </c>
      <c r="AI13" s="129"/>
      <c r="AJ13" s="96" t="str">
        <f ca="1">IFERROR(VALUE(IF(VLOOKUP($A13,数出表_Excel!$A$6:$T$150,COLUMN()/2+1,FALSE)=0,"",VLOOKUP($A13,数出表_Excel!$A$6:$T$150,COLUMN()/2+1,FALSE))),"")</f>
        <v/>
      </c>
      <c r="AK13" s="91"/>
      <c r="AL13" s="97" t="e">
        <f ca="1">IF(A13&lt;&gt;"",
IF(VLOOKUP($A13,数出表_Excel!$A$6:$T$150,COLUMN()/2+1,FALSE)=0,"",VLOOKUP($A13,数出表_Excel!$A$6:$T$150,COLUMN()/2+1,FALSE)),"")</f>
        <v>#N/A</v>
      </c>
      <c r="AM13" s="177" t="e">
        <f ca="1">数出表_Excel!V13</f>
        <v>#N/A</v>
      </c>
      <c r="AN13" s="178" t="e">
        <f ca="1">数出表_Excel!W13</f>
        <v>#N/A</v>
      </c>
    </row>
    <row r="14" spans="1:40" ht="16.2" customHeight="1">
      <c r="A14" s="137" t="e">
        <f t="array" aca="1" ref="A14" ca="1">IF(OR(COUNTIF(A12,"*10002*"),COUNTIF(A12,"")),"",INDEX(貼り付け用!$A1:$A200,MATCH(A12,貼り付け用!$A1:$A200,0)+2,0))</f>
        <v>#N/A</v>
      </c>
      <c r="B14" s="125" t="str">
        <f ca="1">IFERROR(VALUE(IF(VLOOKUP($A14,数出表_Excel!$A$6:$T$150,COLUMN()/2+1,FALSE)=0,"",VLOOKUP($A14,数出表_Excel!$A$6:$T$150,COLUMN()/2+1,FALSE))),"")</f>
        <v/>
      </c>
      <c r="C14" s="90"/>
      <c r="D14" s="125" t="str">
        <f ca="1">IFERROR(VALUE(IF(VLOOKUP($A14,数出表_Excel!$A$6:$T$150,COLUMN()/2+1,FALSE)=0,"",VLOOKUP($A14,数出表_Excel!$A$6:$T$150,COLUMN()/2+1,FALSE))),"")</f>
        <v/>
      </c>
      <c r="E14" s="90"/>
      <c r="F14" s="127" t="str">
        <f ca="1">IFERROR(VALUE(IF(VLOOKUP($A14,数出表_Excel!$A$6:$T$150,COLUMN()/2+1,FALSE)=0,"",VLOOKUP($A14,数出表_Excel!$A$6:$T$150,COLUMN()/2+1,FALSE))),"")</f>
        <v/>
      </c>
      <c r="G14" s="90"/>
      <c r="H14" s="125" t="str">
        <f ca="1">IFERROR(VALUE(IF(VLOOKUP($A14,数出表_Excel!$A$6:$T$150,COLUMN()/2+1,FALSE)=0,"",VLOOKUP($A14,数出表_Excel!$A$6:$T$150,COLUMN()/2+1,FALSE))),"")</f>
        <v/>
      </c>
      <c r="I14" s="90"/>
      <c r="J14" s="125" t="str">
        <f ca="1">IFERROR(VALUE(IF(VLOOKUP($A14,数出表_Excel!$A$6:$T$150,COLUMN()/2+1,FALSE)=0,"",VLOOKUP($A14,数出表_Excel!$A$6:$T$150,COLUMN()/2+1,FALSE))),"")</f>
        <v/>
      </c>
      <c r="K14" s="90"/>
      <c r="L14" s="127" t="str">
        <f ca="1">IFERROR(VALUE(IF(VLOOKUP($A14,数出表_Excel!$A$6:$T$150,COLUMN()/2+1,FALSE)=0,"",VLOOKUP($A14,数出表_Excel!$A$6:$T$150,COLUMN()/2+1,FALSE))),"")</f>
        <v/>
      </c>
      <c r="M14" s="90"/>
      <c r="N14" s="125" t="str">
        <f ca="1">IFERROR(VALUE(IF(VLOOKUP($A14,数出表_Excel!$A$6:$T$150,COLUMN()/2+1,FALSE)=0,"",VLOOKUP($A14,数出表_Excel!$A$6:$T$150,COLUMN()/2+1,FALSE))),"")</f>
        <v/>
      </c>
      <c r="O14" s="90"/>
      <c r="P14" s="125" t="str">
        <f ca="1">IFERROR(VALUE(IF(VLOOKUP($A14,数出表_Excel!$A$6:$T$150,COLUMN()/2+1,FALSE)=0,"",VLOOKUP($A14,数出表_Excel!$A$6:$T$150,COLUMN()/2+1,FALSE))),"")</f>
        <v/>
      </c>
      <c r="Q14" s="90"/>
      <c r="R14" s="125" t="str">
        <f ca="1">IFERROR(VALUE(IF(VLOOKUP($A14,数出表_Excel!$A$6:$T$150,COLUMN()/2+1,FALSE)=0,"",VLOOKUP($A14,数出表_Excel!$A$6:$T$150,COLUMN()/2+1,FALSE))),"")</f>
        <v/>
      </c>
      <c r="S14" s="90"/>
      <c r="T14" s="125" t="str">
        <f ca="1">IFERROR(VALUE(IF(VLOOKUP($A14,数出表_Excel!$A$6:$T$150,COLUMN()/2+1,FALSE)=0,"",VLOOKUP($A14,数出表_Excel!$A$6:$T$150,COLUMN()/2+1,FALSE))),"")</f>
        <v/>
      </c>
      <c r="U14" s="90"/>
      <c r="V14" s="127" t="str">
        <f ca="1">IFERROR(VALUE(IF(VLOOKUP($A14,数出表_Excel!$A$6:$T$150,COLUMN()/2+1,FALSE)=0,"",VLOOKUP($A14,数出表_Excel!$A$6:$T$150,COLUMN()/2+1,FALSE))),"")</f>
        <v/>
      </c>
      <c r="W14" s="90"/>
      <c r="X14" s="127" t="str">
        <f ca="1">IFERROR(VALUE(IF(VLOOKUP($A14,数出表_Excel!$A$6:$T$150,COLUMN()/2+1,FALSE)=0,"",VLOOKUP($A14,数出表_Excel!$A$6:$T$150,COLUMN()/2+1,FALSE))),"")</f>
        <v/>
      </c>
      <c r="Y14" s="90"/>
      <c r="Z14" s="127" t="str">
        <f ca="1">IFERROR(VALUE(IF(VLOOKUP($A14,数出表_Excel!$A$6:$T$150,COLUMN()/2+1,FALSE)=0,"",VLOOKUP($A14,数出表_Excel!$A$6:$T$150,COLUMN()/2+1,FALSE))),"")</f>
        <v/>
      </c>
      <c r="AA14" s="128"/>
      <c r="AB14" s="126" t="str">
        <f ca="1">IFERROR(VALUE(IF(VLOOKUP($A14,数出表_Excel!$A$6:$T$150,COLUMN()/2+1,FALSE)=0,"",VLOOKUP($A14,数出表_Excel!$A$6:$T$150,COLUMN()/2+1,FALSE))),"")</f>
        <v/>
      </c>
      <c r="AC14" s="90"/>
      <c r="AD14" s="127" t="str">
        <f ca="1">IFERROR(VALUE(IF(VLOOKUP($A14,数出表_Excel!$A$6:$T$150,COLUMN()/2+1,FALSE)=0,"",VLOOKUP($A14,数出表_Excel!$A$6:$T$150,COLUMN()/2+1,FALSE))),"")</f>
        <v/>
      </c>
      <c r="AE14" s="90"/>
      <c r="AF14" s="127" t="str">
        <f ca="1">IFERROR(VALUE(IF(VLOOKUP($A14,数出表_Excel!$A$6:$T$150,COLUMN()/2+1,FALSE)=0,"",VLOOKUP($A14,数出表_Excel!$A$6:$T$150,COLUMN()/2+1,FALSE))),"")</f>
        <v/>
      </c>
      <c r="AG14" s="90"/>
      <c r="AH14" s="127" t="str">
        <f ca="1">IFERROR(VALUE(IF(VLOOKUP($A14,数出表_Excel!$A$6:$T$150,COLUMN()/2+1,FALSE)=0,"",VLOOKUP($A14,数出表_Excel!$A$6:$T$150,COLUMN()/2+1,FALSE))),"")</f>
        <v/>
      </c>
      <c r="AI14" s="128"/>
      <c r="AJ14" s="126" t="str">
        <f ca="1">IFERROR(VALUE(IF(VLOOKUP($A14,数出表_Excel!$A$6:$T$150,COLUMN()/2+1,FALSE)=0,"",VLOOKUP($A14,数出表_Excel!$A$6:$T$150,COLUMN()/2+1,FALSE))),"")</f>
        <v/>
      </c>
      <c r="AK14" s="90"/>
      <c r="AL14" s="94" t="e">
        <f ca="1">IF(A14&lt;&gt;"",
IF(VLOOKUP($A14,数出表_Excel!$A$6:$T$150,COLUMN()/2+1,FALSE)=0,"",VLOOKUP($A14,数出表_Excel!$A$6:$T$150,COLUMN()/2+1,FALSE)),"")</f>
        <v>#N/A</v>
      </c>
      <c r="AM14" s="175" t="e">
        <f ca="1">数出表_Excel!V14</f>
        <v>#N/A</v>
      </c>
      <c r="AN14" s="176" t="e">
        <f ca="1">数出表_Excel!W14</f>
        <v>#N/A</v>
      </c>
    </row>
    <row r="15" spans="1:40" ht="16.2" customHeight="1">
      <c r="A15" s="138" t="e">
        <f t="array" aca="1" ref="A15" ca="1">IF(OR(COUNTIF(A13,"*1000*"),COUNTIF(A13,"")),"",INDEX(貼り付け用!$A1:$A200,MATCH(A13,貼り付け用!$A1:$A200,0)+2,0))</f>
        <v>#N/A</v>
      </c>
      <c r="B15" s="91" t="str">
        <f ca="1">IFERROR(VALUE(IF(VLOOKUP($A15,数出表_Excel!$A$6:$T$150,COLUMN()/2+1,FALSE)=0,"",VLOOKUP($A15,数出表_Excel!$A$6:$T$150,COLUMN()/2+1,FALSE))),"")</f>
        <v/>
      </c>
      <c r="C15" s="91"/>
      <c r="D15" s="91" t="str">
        <f ca="1">IFERROR(VALUE(IF(VLOOKUP($A15,数出表_Excel!$A$6:$T$150,COLUMN()/2+1,FALSE)=0,"",VLOOKUP($A15,数出表_Excel!$A$6:$T$150,COLUMN()/2+1,FALSE))),"")</f>
        <v/>
      </c>
      <c r="E15" s="91"/>
      <c r="F15" s="95" t="str">
        <f ca="1">IFERROR(VALUE(IF(VLOOKUP($A15,数出表_Excel!$A$6:$T$150,COLUMN()/2+1,FALSE)=0,"",VLOOKUP($A15,数出表_Excel!$A$6:$T$150,COLUMN()/2+1,FALSE))),"")</f>
        <v/>
      </c>
      <c r="G15" s="91"/>
      <c r="H15" s="91" t="str">
        <f ca="1">IFERROR(VALUE(IF(VLOOKUP($A15,数出表_Excel!$A$6:$T$150,COLUMN()/2+1,FALSE)=0,"",VLOOKUP($A15,数出表_Excel!$A$6:$T$150,COLUMN()/2+1,FALSE))),"")</f>
        <v/>
      </c>
      <c r="I15" s="91"/>
      <c r="J15" s="91" t="str">
        <f ca="1">IFERROR(VALUE(IF(VLOOKUP($A15,数出表_Excel!$A$6:$T$150,COLUMN()/2+1,FALSE)=0,"",VLOOKUP($A15,数出表_Excel!$A$6:$T$150,COLUMN()/2+1,FALSE))),"")</f>
        <v/>
      </c>
      <c r="K15" s="91"/>
      <c r="L15" s="95" t="str">
        <f ca="1">IFERROR(VALUE(IF(VLOOKUP($A15,数出表_Excel!$A$6:$T$150,COLUMN()/2+1,FALSE)=0,"",VLOOKUP($A15,数出表_Excel!$A$6:$T$150,COLUMN()/2+1,FALSE))),"")</f>
        <v/>
      </c>
      <c r="M15" s="91"/>
      <c r="N15" s="91" t="str">
        <f ca="1">IFERROR(VALUE(IF(VLOOKUP($A15,数出表_Excel!$A$6:$T$150,COLUMN()/2+1,FALSE)=0,"",VLOOKUP($A15,数出表_Excel!$A$6:$T$150,COLUMN()/2+1,FALSE))),"")</f>
        <v/>
      </c>
      <c r="O15" s="91"/>
      <c r="P15" s="91" t="str">
        <f ca="1">IFERROR(VALUE(IF(VLOOKUP($A15,数出表_Excel!$A$6:$T$150,COLUMN()/2+1,FALSE)=0,"",VLOOKUP($A15,数出表_Excel!$A$6:$T$150,COLUMN()/2+1,FALSE))),"")</f>
        <v/>
      </c>
      <c r="Q15" s="91"/>
      <c r="R15" s="91" t="str">
        <f ca="1">IFERROR(VALUE(IF(VLOOKUP($A15,数出表_Excel!$A$6:$T$150,COLUMN()/2+1,FALSE)=0,"",VLOOKUP($A15,数出表_Excel!$A$6:$T$150,COLUMN()/2+1,FALSE))),"")</f>
        <v/>
      </c>
      <c r="S15" s="91"/>
      <c r="T15" s="91" t="str">
        <f ca="1">IFERROR(VALUE(IF(VLOOKUP($A15,数出表_Excel!$A$6:$T$150,COLUMN()/2+1,FALSE)=0,"",VLOOKUP($A15,数出表_Excel!$A$6:$T$150,COLUMN()/2+1,FALSE))),"")</f>
        <v/>
      </c>
      <c r="U15" s="91"/>
      <c r="V15" s="95" t="str">
        <f ca="1">IFERROR(VALUE(IF(VLOOKUP($A15,数出表_Excel!$A$6:$T$150,COLUMN()/2+1,FALSE)=0,"",VLOOKUP($A15,数出表_Excel!$A$6:$T$150,COLUMN()/2+1,FALSE))),"")</f>
        <v/>
      </c>
      <c r="W15" s="91"/>
      <c r="X15" s="95" t="str">
        <f ca="1">IFERROR(VALUE(IF(VLOOKUP($A15,数出表_Excel!$A$6:$T$150,COLUMN()/2+1,FALSE)=0,"",VLOOKUP($A15,数出表_Excel!$A$6:$T$150,COLUMN()/2+1,FALSE))),"")</f>
        <v/>
      </c>
      <c r="Y15" s="91"/>
      <c r="Z15" s="95" t="str">
        <f ca="1">IFERROR(VALUE(IF(VLOOKUP($A15,数出表_Excel!$A$6:$T$150,COLUMN()/2+1,FALSE)=0,"",VLOOKUP($A15,数出表_Excel!$A$6:$T$150,COLUMN()/2+1,FALSE))),"")</f>
        <v/>
      </c>
      <c r="AA15" s="129"/>
      <c r="AB15" s="96" t="str">
        <f ca="1">IFERROR(VALUE(IF(VLOOKUP($A15,数出表_Excel!$A$6:$T$150,COLUMN()/2+1,FALSE)=0,"",VLOOKUP($A15,数出表_Excel!$A$6:$T$150,COLUMN()/2+1,FALSE))),"")</f>
        <v/>
      </c>
      <c r="AC15" s="91"/>
      <c r="AD15" s="95" t="str">
        <f ca="1">IFERROR(VALUE(IF(VLOOKUP($A15,数出表_Excel!$A$6:$T$150,COLUMN()/2+1,FALSE)=0,"",VLOOKUP($A15,数出表_Excel!$A$6:$T$150,COLUMN()/2+1,FALSE))),"")</f>
        <v/>
      </c>
      <c r="AE15" s="91"/>
      <c r="AF15" s="95" t="str">
        <f ca="1">IFERROR(VALUE(IF(VLOOKUP($A15,数出表_Excel!$A$6:$T$150,COLUMN()/2+1,FALSE)=0,"",VLOOKUP($A15,数出表_Excel!$A$6:$T$150,COLUMN()/2+1,FALSE))),"")</f>
        <v/>
      </c>
      <c r="AG15" s="91"/>
      <c r="AH15" s="95" t="str">
        <f ca="1">IFERROR(VALUE(IF(VLOOKUP($A15,数出表_Excel!$A$6:$T$150,COLUMN()/2+1,FALSE)=0,"",VLOOKUP($A15,数出表_Excel!$A$6:$T$150,COLUMN()/2+1,FALSE))),"")</f>
        <v/>
      </c>
      <c r="AI15" s="129"/>
      <c r="AJ15" s="96" t="str">
        <f ca="1">IFERROR(VALUE(IF(VLOOKUP($A15,数出表_Excel!$A$6:$T$150,COLUMN()/2+1,FALSE)=0,"",VLOOKUP($A15,数出表_Excel!$A$6:$T$150,COLUMN()/2+1,FALSE))),"")</f>
        <v/>
      </c>
      <c r="AK15" s="91"/>
      <c r="AL15" s="97" t="e">
        <f ca="1">IF(A15&lt;&gt;"",
IF(VLOOKUP($A15,数出表_Excel!$A$6:$T$150,COLUMN()/2+1,FALSE)=0,"",VLOOKUP($A15,数出表_Excel!$A$6:$T$150,COLUMN()/2+1,FALSE)),"")</f>
        <v>#N/A</v>
      </c>
      <c r="AM15" s="177" t="e">
        <f ca="1">数出表_Excel!V15</f>
        <v>#N/A</v>
      </c>
      <c r="AN15" s="178" t="e">
        <f ca="1">数出表_Excel!W15</f>
        <v>#N/A</v>
      </c>
    </row>
    <row r="16" spans="1:40" ht="16.2" customHeight="1">
      <c r="A16" s="137" t="e">
        <f t="array" aca="1" ref="A16" ca="1">IF(OR(COUNTIF(A14,"*10002*"),COUNTIF(A14,"")),"",INDEX(貼り付け用!$A1:$A200,MATCH(A14,貼り付け用!$A1:$A200,0)+2,0))</f>
        <v>#N/A</v>
      </c>
      <c r="B16" s="125" t="str">
        <f ca="1">IFERROR(VALUE(IF(VLOOKUP($A16,数出表_Excel!$A$6:$T$150,COLUMN()/2+1,FALSE)=0,"",VLOOKUP($A16,数出表_Excel!$A$6:$T$150,COLUMN()/2+1,FALSE))),"")</f>
        <v/>
      </c>
      <c r="C16" s="90"/>
      <c r="D16" s="125" t="str">
        <f ca="1">IFERROR(VALUE(IF(VLOOKUP($A16,数出表_Excel!$A$6:$T$150,COLUMN()/2+1,FALSE)=0,"",VLOOKUP($A16,数出表_Excel!$A$6:$T$150,COLUMN()/2+1,FALSE))),"")</f>
        <v/>
      </c>
      <c r="E16" s="90"/>
      <c r="F16" s="127" t="str">
        <f ca="1">IFERROR(VALUE(IF(VLOOKUP($A16,数出表_Excel!$A$6:$T$150,COLUMN()/2+1,FALSE)=0,"",VLOOKUP($A16,数出表_Excel!$A$6:$T$150,COLUMN()/2+1,FALSE))),"")</f>
        <v/>
      </c>
      <c r="G16" s="90"/>
      <c r="H16" s="125" t="str">
        <f ca="1">IFERROR(VALUE(IF(VLOOKUP($A16,数出表_Excel!$A$6:$T$150,COLUMN()/2+1,FALSE)=0,"",VLOOKUP($A16,数出表_Excel!$A$6:$T$150,COLUMN()/2+1,FALSE))),"")</f>
        <v/>
      </c>
      <c r="I16" s="90"/>
      <c r="J16" s="125" t="str">
        <f ca="1">IFERROR(VALUE(IF(VLOOKUP($A16,数出表_Excel!$A$6:$T$150,COLUMN()/2+1,FALSE)=0,"",VLOOKUP($A16,数出表_Excel!$A$6:$T$150,COLUMN()/2+1,FALSE))),"")</f>
        <v/>
      </c>
      <c r="K16" s="90"/>
      <c r="L16" s="127" t="str">
        <f ca="1">IFERROR(VALUE(IF(VLOOKUP($A16,数出表_Excel!$A$6:$T$150,COLUMN()/2+1,FALSE)=0,"",VLOOKUP($A16,数出表_Excel!$A$6:$T$150,COLUMN()/2+1,FALSE))),"")</f>
        <v/>
      </c>
      <c r="M16" s="90"/>
      <c r="N16" s="125" t="str">
        <f ca="1">IFERROR(VALUE(IF(VLOOKUP($A16,数出表_Excel!$A$6:$T$150,COLUMN()/2+1,FALSE)=0,"",VLOOKUP($A16,数出表_Excel!$A$6:$T$150,COLUMN()/2+1,FALSE))),"")</f>
        <v/>
      </c>
      <c r="O16" s="90"/>
      <c r="P16" s="125" t="str">
        <f ca="1">IFERROR(VALUE(IF(VLOOKUP($A16,数出表_Excel!$A$6:$T$150,COLUMN()/2+1,FALSE)=0,"",VLOOKUP($A16,数出表_Excel!$A$6:$T$150,COLUMN()/2+1,FALSE))),"")</f>
        <v/>
      </c>
      <c r="Q16" s="90"/>
      <c r="R16" s="125" t="str">
        <f ca="1">IFERROR(VALUE(IF(VLOOKUP($A16,数出表_Excel!$A$6:$T$150,COLUMN()/2+1,FALSE)=0,"",VLOOKUP($A16,数出表_Excel!$A$6:$T$150,COLUMN()/2+1,FALSE))),"")</f>
        <v/>
      </c>
      <c r="S16" s="90"/>
      <c r="T16" s="125" t="str">
        <f ca="1">IFERROR(VALUE(IF(VLOOKUP($A16,数出表_Excel!$A$6:$T$150,COLUMN()/2+1,FALSE)=0,"",VLOOKUP($A16,数出表_Excel!$A$6:$T$150,COLUMN()/2+1,FALSE))),"")</f>
        <v/>
      </c>
      <c r="U16" s="90"/>
      <c r="V16" s="127" t="str">
        <f ca="1">IFERROR(VALUE(IF(VLOOKUP($A16,数出表_Excel!$A$6:$T$150,COLUMN()/2+1,FALSE)=0,"",VLOOKUP($A16,数出表_Excel!$A$6:$T$150,COLUMN()/2+1,FALSE))),"")</f>
        <v/>
      </c>
      <c r="W16" s="90"/>
      <c r="X16" s="127" t="str">
        <f ca="1">IFERROR(VALUE(IF(VLOOKUP($A16,数出表_Excel!$A$6:$T$150,COLUMN()/2+1,FALSE)=0,"",VLOOKUP($A16,数出表_Excel!$A$6:$T$150,COLUMN()/2+1,FALSE))),"")</f>
        <v/>
      </c>
      <c r="Y16" s="90"/>
      <c r="Z16" s="127" t="str">
        <f ca="1">IFERROR(VALUE(IF(VLOOKUP($A16,数出表_Excel!$A$6:$T$150,COLUMN()/2+1,FALSE)=0,"",VLOOKUP($A16,数出表_Excel!$A$6:$T$150,COLUMN()/2+1,FALSE))),"")</f>
        <v/>
      </c>
      <c r="AA16" s="128"/>
      <c r="AB16" s="126" t="str">
        <f ca="1">IFERROR(VALUE(IF(VLOOKUP($A16,数出表_Excel!$A$6:$T$150,COLUMN()/2+1,FALSE)=0,"",VLOOKUP($A16,数出表_Excel!$A$6:$T$150,COLUMN()/2+1,FALSE))),"")</f>
        <v/>
      </c>
      <c r="AC16" s="90"/>
      <c r="AD16" s="127" t="str">
        <f ca="1">IFERROR(VALUE(IF(VLOOKUP($A16,数出表_Excel!$A$6:$T$150,COLUMN()/2+1,FALSE)=0,"",VLOOKUP($A16,数出表_Excel!$A$6:$T$150,COLUMN()/2+1,FALSE))),"")</f>
        <v/>
      </c>
      <c r="AE16" s="90"/>
      <c r="AF16" s="127" t="str">
        <f ca="1">IFERROR(VALUE(IF(VLOOKUP($A16,数出表_Excel!$A$6:$T$150,COLUMN()/2+1,FALSE)=0,"",VLOOKUP($A16,数出表_Excel!$A$6:$T$150,COLUMN()/2+1,FALSE))),"")</f>
        <v/>
      </c>
      <c r="AG16" s="90"/>
      <c r="AH16" s="127" t="str">
        <f ca="1">IFERROR(VALUE(IF(VLOOKUP($A16,数出表_Excel!$A$6:$T$150,COLUMN()/2+1,FALSE)=0,"",VLOOKUP($A16,数出表_Excel!$A$6:$T$150,COLUMN()/2+1,FALSE))),"")</f>
        <v/>
      </c>
      <c r="AI16" s="128"/>
      <c r="AJ16" s="126" t="str">
        <f ca="1">IFERROR(VALUE(IF(VLOOKUP($A16,数出表_Excel!$A$6:$T$150,COLUMN()/2+1,FALSE)=0,"",VLOOKUP($A16,数出表_Excel!$A$6:$T$150,COLUMN()/2+1,FALSE))),"")</f>
        <v/>
      </c>
      <c r="AK16" s="90"/>
      <c r="AL16" s="94" t="e">
        <f ca="1">IF(A16&lt;&gt;"",
IF(VLOOKUP($A16,数出表_Excel!$A$6:$T$150,COLUMN()/2+1,FALSE)=0,"",VLOOKUP($A16,数出表_Excel!$A$6:$T$150,COLUMN()/2+1,FALSE)),"")</f>
        <v>#N/A</v>
      </c>
      <c r="AM16" s="175" t="e">
        <f ca="1">数出表_Excel!V16</f>
        <v>#N/A</v>
      </c>
      <c r="AN16" s="176" t="e">
        <f ca="1">数出表_Excel!W16</f>
        <v>#N/A</v>
      </c>
    </row>
    <row r="17" spans="1:40" ht="16.2" customHeight="1">
      <c r="A17" s="138" t="e">
        <f t="array" aca="1" ref="A17" ca="1">IF(OR(COUNTIF(A15,"*1000*"),COUNTIF(A15,"")),"",INDEX(貼り付け用!$A1:$A200,MATCH(A15,貼り付け用!$A1:$A200,0)+2,0))</f>
        <v>#N/A</v>
      </c>
      <c r="B17" s="91" t="str">
        <f ca="1">IFERROR(VALUE(IF(VLOOKUP($A17,数出表_Excel!$A$6:$T$150,COLUMN()/2+1,FALSE)=0,"",VLOOKUP($A17,数出表_Excel!$A$6:$T$150,COLUMN()/2+1,FALSE))),"")</f>
        <v/>
      </c>
      <c r="C17" s="91"/>
      <c r="D17" s="91" t="str">
        <f ca="1">IFERROR(VALUE(IF(VLOOKUP($A17,数出表_Excel!$A$6:$T$150,COLUMN()/2+1,FALSE)=0,"",VLOOKUP($A17,数出表_Excel!$A$6:$T$150,COLUMN()/2+1,FALSE))),"")</f>
        <v/>
      </c>
      <c r="E17" s="91"/>
      <c r="F17" s="95" t="str">
        <f ca="1">IFERROR(VALUE(IF(VLOOKUP($A17,数出表_Excel!$A$6:$T$150,COLUMN()/2+1,FALSE)=0,"",VLOOKUP($A17,数出表_Excel!$A$6:$T$150,COLUMN()/2+1,FALSE))),"")</f>
        <v/>
      </c>
      <c r="G17" s="91"/>
      <c r="H17" s="91" t="str">
        <f ca="1">IFERROR(VALUE(IF(VLOOKUP($A17,数出表_Excel!$A$6:$T$150,COLUMN()/2+1,FALSE)=0,"",VLOOKUP($A17,数出表_Excel!$A$6:$T$150,COLUMN()/2+1,FALSE))),"")</f>
        <v/>
      </c>
      <c r="I17" s="91"/>
      <c r="J17" s="91" t="str">
        <f ca="1">IFERROR(VALUE(IF(VLOOKUP($A17,数出表_Excel!$A$6:$T$150,COLUMN()/2+1,FALSE)=0,"",VLOOKUP($A17,数出表_Excel!$A$6:$T$150,COLUMN()/2+1,FALSE))),"")</f>
        <v/>
      </c>
      <c r="K17" s="91"/>
      <c r="L17" s="95" t="str">
        <f ca="1">IFERROR(VALUE(IF(VLOOKUP($A17,数出表_Excel!$A$6:$T$150,COLUMN()/2+1,FALSE)=0,"",VLOOKUP($A17,数出表_Excel!$A$6:$T$150,COLUMN()/2+1,FALSE))),"")</f>
        <v/>
      </c>
      <c r="M17" s="91"/>
      <c r="N17" s="91" t="str">
        <f ca="1">IFERROR(VALUE(IF(VLOOKUP($A17,数出表_Excel!$A$6:$T$150,COLUMN()/2+1,FALSE)=0,"",VLOOKUP($A17,数出表_Excel!$A$6:$T$150,COLUMN()/2+1,FALSE))),"")</f>
        <v/>
      </c>
      <c r="O17" s="91"/>
      <c r="P17" s="91" t="str">
        <f ca="1">IFERROR(VALUE(IF(VLOOKUP($A17,数出表_Excel!$A$6:$T$150,COLUMN()/2+1,FALSE)=0,"",VLOOKUP($A17,数出表_Excel!$A$6:$T$150,COLUMN()/2+1,FALSE))),"")</f>
        <v/>
      </c>
      <c r="Q17" s="91"/>
      <c r="R17" s="91" t="str">
        <f ca="1">IFERROR(VALUE(IF(VLOOKUP($A17,数出表_Excel!$A$6:$T$150,COLUMN()/2+1,FALSE)=0,"",VLOOKUP($A17,数出表_Excel!$A$6:$T$150,COLUMN()/2+1,FALSE))),"")</f>
        <v/>
      </c>
      <c r="S17" s="91"/>
      <c r="T17" s="91" t="str">
        <f ca="1">IFERROR(VALUE(IF(VLOOKUP($A17,数出表_Excel!$A$6:$T$150,COLUMN()/2+1,FALSE)=0,"",VLOOKUP($A17,数出表_Excel!$A$6:$T$150,COLUMN()/2+1,FALSE))),"")</f>
        <v/>
      </c>
      <c r="U17" s="91"/>
      <c r="V17" s="95" t="str">
        <f ca="1">IFERROR(VALUE(IF(VLOOKUP($A17,数出表_Excel!$A$6:$T$150,COLUMN()/2+1,FALSE)=0,"",VLOOKUP($A17,数出表_Excel!$A$6:$T$150,COLUMN()/2+1,FALSE))),"")</f>
        <v/>
      </c>
      <c r="W17" s="91"/>
      <c r="X17" s="95" t="str">
        <f ca="1">IFERROR(VALUE(IF(VLOOKUP($A17,数出表_Excel!$A$6:$T$150,COLUMN()/2+1,FALSE)=0,"",VLOOKUP($A17,数出表_Excel!$A$6:$T$150,COLUMN()/2+1,FALSE))),"")</f>
        <v/>
      </c>
      <c r="Y17" s="91"/>
      <c r="Z17" s="95" t="str">
        <f ca="1">IFERROR(VALUE(IF(VLOOKUP($A17,数出表_Excel!$A$6:$T$150,COLUMN()/2+1,FALSE)=0,"",VLOOKUP($A17,数出表_Excel!$A$6:$T$150,COLUMN()/2+1,FALSE))),"")</f>
        <v/>
      </c>
      <c r="AA17" s="129"/>
      <c r="AB17" s="96" t="str">
        <f ca="1">IFERROR(VALUE(IF(VLOOKUP($A17,数出表_Excel!$A$6:$T$150,COLUMN()/2+1,FALSE)=0,"",VLOOKUP($A17,数出表_Excel!$A$6:$T$150,COLUMN()/2+1,FALSE))),"")</f>
        <v/>
      </c>
      <c r="AC17" s="91"/>
      <c r="AD17" s="95" t="str">
        <f ca="1">IFERROR(VALUE(IF(VLOOKUP($A17,数出表_Excel!$A$6:$T$150,COLUMN()/2+1,FALSE)=0,"",VLOOKUP($A17,数出表_Excel!$A$6:$T$150,COLUMN()/2+1,FALSE))),"")</f>
        <v/>
      </c>
      <c r="AE17" s="91"/>
      <c r="AF17" s="95" t="str">
        <f ca="1">IFERROR(VALUE(IF(VLOOKUP($A17,数出表_Excel!$A$6:$T$150,COLUMN()/2+1,FALSE)=0,"",VLOOKUP($A17,数出表_Excel!$A$6:$T$150,COLUMN()/2+1,FALSE))),"")</f>
        <v/>
      </c>
      <c r="AG17" s="91"/>
      <c r="AH17" s="95" t="str">
        <f ca="1">IFERROR(VALUE(IF(VLOOKUP($A17,数出表_Excel!$A$6:$T$150,COLUMN()/2+1,FALSE)=0,"",VLOOKUP($A17,数出表_Excel!$A$6:$T$150,COLUMN()/2+1,FALSE))),"")</f>
        <v/>
      </c>
      <c r="AI17" s="129"/>
      <c r="AJ17" s="96" t="str">
        <f ca="1">IFERROR(VALUE(IF(VLOOKUP($A17,数出表_Excel!$A$6:$T$150,COLUMN()/2+1,FALSE)=0,"",VLOOKUP($A17,数出表_Excel!$A$6:$T$150,COLUMN()/2+1,FALSE))),"")</f>
        <v/>
      </c>
      <c r="AK17" s="91"/>
      <c r="AL17" s="97" t="e">
        <f ca="1">IF(A17&lt;&gt;"",
IF(VLOOKUP($A17,数出表_Excel!$A$6:$T$150,COLUMN()/2+1,FALSE)=0,"",VLOOKUP($A17,数出表_Excel!$A$6:$T$150,COLUMN()/2+1,FALSE)),"")</f>
        <v>#N/A</v>
      </c>
      <c r="AM17" s="177" t="e">
        <f ca="1">数出表_Excel!V17</f>
        <v>#N/A</v>
      </c>
      <c r="AN17" s="178" t="e">
        <f ca="1">数出表_Excel!W17</f>
        <v>#N/A</v>
      </c>
    </row>
    <row r="18" spans="1:40" ht="16.2" customHeight="1">
      <c r="A18" s="137" t="e">
        <f t="array" aca="1" ref="A18" ca="1">IF(OR(COUNTIF(A16,"*10002*"),COUNTIF(A16,"")),"",INDEX(貼り付け用!$A1:$A200,MATCH(A16,貼り付け用!$A1:$A200,0)+2,0))</f>
        <v>#N/A</v>
      </c>
      <c r="B18" s="125" t="str">
        <f ca="1">IFERROR(VALUE(IF(VLOOKUP($A18,数出表_Excel!$A$6:$T$150,COLUMN()/2+1,FALSE)=0,"",VLOOKUP($A18,数出表_Excel!$A$6:$T$150,COLUMN()/2+1,FALSE))),"")</f>
        <v/>
      </c>
      <c r="C18" s="90"/>
      <c r="D18" s="125" t="str">
        <f ca="1">IFERROR(VALUE(IF(VLOOKUP($A18,数出表_Excel!$A$6:$T$150,COLUMN()/2+1,FALSE)=0,"",VLOOKUP($A18,数出表_Excel!$A$6:$T$150,COLUMN()/2+1,FALSE))),"")</f>
        <v/>
      </c>
      <c r="E18" s="90"/>
      <c r="F18" s="127" t="str">
        <f ca="1">IFERROR(VALUE(IF(VLOOKUP($A18,数出表_Excel!$A$6:$T$150,COLUMN()/2+1,FALSE)=0,"",VLOOKUP($A18,数出表_Excel!$A$6:$T$150,COLUMN()/2+1,FALSE))),"")</f>
        <v/>
      </c>
      <c r="G18" s="90"/>
      <c r="H18" s="125" t="str">
        <f ca="1">IFERROR(VALUE(IF(VLOOKUP($A18,数出表_Excel!$A$6:$T$150,COLUMN()/2+1,FALSE)=0,"",VLOOKUP($A18,数出表_Excel!$A$6:$T$150,COLUMN()/2+1,FALSE))),"")</f>
        <v/>
      </c>
      <c r="I18" s="90"/>
      <c r="J18" s="125" t="str">
        <f ca="1">IFERROR(VALUE(IF(VLOOKUP($A18,数出表_Excel!$A$6:$T$150,COLUMN()/2+1,FALSE)=0,"",VLOOKUP($A18,数出表_Excel!$A$6:$T$150,COLUMN()/2+1,FALSE))),"")</f>
        <v/>
      </c>
      <c r="K18" s="90"/>
      <c r="L18" s="127" t="str">
        <f ca="1">IFERROR(VALUE(IF(VLOOKUP($A18,数出表_Excel!$A$6:$T$150,COLUMN()/2+1,FALSE)=0,"",VLOOKUP($A18,数出表_Excel!$A$6:$T$150,COLUMN()/2+1,FALSE))),"")</f>
        <v/>
      </c>
      <c r="M18" s="90"/>
      <c r="N18" s="125" t="str">
        <f ca="1">IFERROR(VALUE(IF(VLOOKUP($A18,数出表_Excel!$A$6:$T$150,COLUMN()/2+1,FALSE)=0,"",VLOOKUP($A18,数出表_Excel!$A$6:$T$150,COLUMN()/2+1,FALSE))),"")</f>
        <v/>
      </c>
      <c r="O18" s="90"/>
      <c r="P18" s="125" t="str">
        <f ca="1">IFERROR(VALUE(IF(VLOOKUP($A18,数出表_Excel!$A$6:$T$150,COLUMN()/2+1,FALSE)=0,"",VLOOKUP($A18,数出表_Excel!$A$6:$T$150,COLUMN()/2+1,FALSE))),"")</f>
        <v/>
      </c>
      <c r="Q18" s="90"/>
      <c r="R18" s="125" t="str">
        <f ca="1">IFERROR(VALUE(IF(VLOOKUP($A18,数出表_Excel!$A$6:$T$150,COLUMN()/2+1,FALSE)=0,"",VLOOKUP($A18,数出表_Excel!$A$6:$T$150,COLUMN()/2+1,FALSE))),"")</f>
        <v/>
      </c>
      <c r="S18" s="90"/>
      <c r="T18" s="125" t="str">
        <f ca="1">IFERROR(VALUE(IF(VLOOKUP($A18,数出表_Excel!$A$6:$T$150,COLUMN()/2+1,FALSE)=0,"",VLOOKUP($A18,数出表_Excel!$A$6:$T$150,COLUMN()/2+1,FALSE))),"")</f>
        <v/>
      </c>
      <c r="U18" s="90"/>
      <c r="V18" s="127" t="str">
        <f ca="1">IFERROR(VALUE(IF(VLOOKUP($A18,数出表_Excel!$A$6:$T$150,COLUMN()/2+1,FALSE)=0,"",VLOOKUP($A18,数出表_Excel!$A$6:$T$150,COLUMN()/2+1,FALSE))),"")</f>
        <v/>
      </c>
      <c r="W18" s="90"/>
      <c r="X18" s="127" t="str">
        <f ca="1">IFERROR(VALUE(IF(VLOOKUP($A18,数出表_Excel!$A$6:$T$150,COLUMN()/2+1,FALSE)=0,"",VLOOKUP($A18,数出表_Excel!$A$6:$T$150,COLUMN()/2+1,FALSE))),"")</f>
        <v/>
      </c>
      <c r="Y18" s="90"/>
      <c r="Z18" s="127" t="str">
        <f ca="1">IFERROR(VALUE(IF(VLOOKUP($A18,数出表_Excel!$A$6:$T$150,COLUMN()/2+1,FALSE)=0,"",VLOOKUP($A18,数出表_Excel!$A$6:$T$150,COLUMN()/2+1,FALSE))),"")</f>
        <v/>
      </c>
      <c r="AA18" s="128"/>
      <c r="AB18" s="126" t="str">
        <f ca="1">IFERROR(VALUE(IF(VLOOKUP($A18,数出表_Excel!$A$6:$T$150,COLUMN()/2+1,FALSE)=0,"",VLOOKUP($A18,数出表_Excel!$A$6:$T$150,COLUMN()/2+1,FALSE))),"")</f>
        <v/>
      </c>
      <c r="AC18" s="90"/>
      <c r="AD18" s="127" t="str">
        <f ca="1">IFERROR(VALUE(IF(VLOOKUP($A18,数出表_Excel!$A$6:$T$150,COLUMN()/2+1,FALSE)=0,"",VLOOKUP($A18,数出表_Excel!$A$6:$T$150,COLUMN()/2+1,FALSE))),"")</f>
        <v/>
      </c>
      <c r="AE18" s="90"/>
      <c r="AF18" s="127" t="str">
        <f ca="1">IFERROR(VALUE(IF(VLOOKUP($A18,数出表_Excel!$A$6:$T$150,COLUMN()/2+1,FALSE)=0,"",VLOOKUP($A18,数出表_Excel!$A$6:$T$150,COLUMN()/2+1,FALSE))),"")</f>
        <v/>
      </c>
      <c r="AG18" s="90"/>
      <c r="AH18" s="127" t="str">
        <f ca="1">IFERROR(VALUE(IF(VLOOKUP($A18,数出表_Excel!$A$6:$T$150,COLUMN()/2+1,FALSE)=0,"",VLOOKUP($A18,数出表_Excel!$A$6:$T$150,COLUMN()/2+1,FALSE))),"")</f>
        <v/>
      </c>
      <c r="AI18" s="128"/>
      <c r="AJ18" s="126" t="str">
        <f ca="1">IFERROR(VALUE(IF(VLOOKUP($A18,数出表_Excel!$A$6:$T$150,COLUMN()/2+1,FALSE)=0,"",VLOOKUP($A18,数出表_Excel!$A$6:$T$150,COLUMN()/2+1,FALSE))),"")</f>
        <v/>
      </c>
      <c r="AK18" s="90"/>
      <c r="AL18" s="94" t="e">
        <f ca="1">IF(A18&lt;&gt;"",
IF(VLOOKUP($A18,数出表_Excel!$A$6:$T$150,COLUMN()/2+1,FALSE)=0,"",VLOOKUP($A18,数出表_Excel!$A$6:$T$150,COLUMN()/2+1,FALSE)),"")</f>
        <v>#N/A</v>
      </c>
      <c r="AM18" s="175" t="e">
        <f ca="1">数出表_Excel!V18</f>
        <v>#N/A</v>
      </c>
      <c r="AN18" s="176" t="e">
        <f ca="1">数出表_Excel!W18</f>
        <v>#N/A</v>
      </c>
    </row>
    <row r="19" spans="1:40" ht="16.2" customHeight="1">
      <c r="A19" s="138" t="e">
        <f t="array" aca="1" ref="A19" ca="1">IF(OR(COUNTIF(A17,"*1000*"),COUNTIF(A17,"")),"",INDEX(貼り付け用!$A1:$A200,MATCH(A17,貼り付け用!$A1:$A200,0)+2,0))</f>
        <v>#N/A</v>
      </c>
      <c r="B19" s="91" t="str">
        <f ca="1">IFERROR(VALUE(IF(VLOOKUP($A19,数出表_Excel!$A$6:$T$150,COLUMN()/2+1,FALSE)=0,"",VLOOKUP($A19,数出表_Excel!$A$6:$T$150,COLUMN()/2+1,FALSE))),"")</f>
        <v/>
      </c>
      <c r="C19" s="91"/>
      <c r="D19" s="91" t="str">
        <f ca="1">IFERROR(VALUE(IF(VLOOKUP($A19,数出表_Excel!$A$6:$T$150,COLUMN()/2+1,FALSE)=0,"",VLOOKUP($A19,数出表_Excel!$A$6:$T$150,COLUMN()/2+1,FALSE))),"")</f>
        <v/>
      </c>
      <c r="E19" s="91"/>
      <c r="F19" s="95" t="str">
        <f ca="1">IFERROR(VALUE(IF(VLOOKUP($A19,数出表_Excel!$A$6:$T$150,COLUMN()/2+1,FALSE)=0,"",VLOOKUP($A19,数出表_Excel!$A$6:$T$150,COLUMN()/2+1,FALSE))),"")</f>
        <v/>
      </c>
      <c r="G19" s="91"/>
      <c r="H19" s="91" t="str">
        <f ca="1">IFERROR(VALUE(IF(VLOOKUP($A19,数出表_Excel!$A$6:$T$150,COLUMN()/2+1,FALSE)=0,"",VLOOKUP($A19,数出表_Excel!$A$6:$T$150,COLUMN()/2+1,FALSE))),"")</f>
        <v/>
      </c>
      <c r="I19" s="91"/>
      <c r="J19" s="91" t="str">
        <f ca="1">IFERROR(VALUE(IF(VLOOKUP($A19,数出表_Excel!$A$6:$T$150,COLUMN()/2+1,FALSE)=0,"",VLOOKUP($A19,数出表_Excel!$A$6:$T$150,COLUMN()/2+1,FALSE))),"")</f>
        <v/>
      </c>
      <c r="K19" s="91"/>
      <c r="L19" s="95" t="str">
        <f ca="1">IFERROR(VALUE(IF(VLOOKUP($A19,数出表_Excel!$A$6:$T$150,COLUMN()/2+1,FALSE)=0,"",VLOOKUP($A19,数出表_Excel!$A$6:$T$150,COLUMN()/2+1,FALSE))),"")</f>
        <v/>
      </c>
      <c r="M19" s="91"/>
      <c r="N19" s="91" t="str">
        <f ca="1">IFERROR(VALUE(IF(VLOOKUP($A19,数出表_Excel!$A$6:$T$150,COLUMN()/2+1,FALSE)=0,"",VLOOKUP($A19,数出表_Excel!$A$6:$T$150,COLUMN()/2+1,FALSE))),"")</f>
        <v/>
      </c>
      <c r="O19" s="91"/>
      <c r="P19" s="91" t="str">
        <f ca="1">IFERROR(VALUE(IF(VLOOKUP($A19,数出表_Excel!$A$6:$T$150,COLUMN()/2+1,FALSE)=0,"",VLOOKUP($A19,数出表_Excel!$A$6:$T$150,COLUMN()/2+1,FALSE))),"")</f>
        <v/>
      </c>
      <c r="Q19" s="91"/>
      <c r="R19" s="91" t="str">
        <f ca="1">IFERROR(VALUE(IF(VLOOKUP($A19,数出表_Excel!$A$6:$T$150,COLUMN()/2+1,FALSE)=0,"",VLOOKUP($A19,数出表_Excel!$A$6:$T$150,COLUMN()/2+1,FALSE))),"")</f>
        <v/>
      </c>
      <c r="S19" s="91"/>
      <c r="T19" s="91" t="str">
        <f ca="1">IFERROR(VALUE(IF(VLOOKUP($A19,数出表_Excel!$A$6:$T$150,COLUMN()/2+1,FALSE)=0,"",VLOOKUP($A19,数出表_Excel!$A$6:$T$150,COLUMN()/2+1,FALSE))),"")</f>
        <v/>
      </c>
      <c r="U19" s="91"/>
      <c r="V19" s="95" t="str">
        <f ca="1">IFERROR(VALUE(IF(VLOOKUP($A19,数出表_Excel!$A$6:$T$150,COLUMN()/2+1,FALSE)=0,"",VLOOKUP($A19,数出表_Excel!$A$6:$T$150,COLUMN()/2+1,FALSE))),"")</f>
        <v/>
      </c>
      <c r="W19" s="91"/>
      <c r="X19" s="95" t="str">
        <f ca="1">IFERROR(VALUE(IF(VLOOKUP($A19,数出表_Excel!$A$6:$T$150,COLUMN()/2+1,FALSE)=0,"",VLOOKUP($A19,数出表_Excel!$A$6:$T$150,COLUMN()/2+1,FALSE))),"")</f>
        <v/>
      </c>
      <c r="Y19" s="91"/>
      <c r="Z19" s="95" t="str">
        <f ca="1">IFERROR(VALUE(IF(VLOOKUP($A19,数出表_Excel!$A$6:$T$150,COLUMN()/2+1,FALSE)=0,"",VLOOKUP($A19,数出表_Excel!$A$6:$T$150,COLUMN()/2+1,FALSE))),"")</f>
        <v/>
      </c>
      <c r="AA19" s="129"/>
      <c r="AB19" s="96" t="str">
        <f ca="1">IFERROR(VALUE(IF(VLOOKUP($A19,数出表_Excel!$A$6:$T$150,COLUMN()/2+1,FALSE)=0,"",VLOOKUP($A19,数出表_Excel!$A$6:$T$150,COLUMN()/2+1,FALSE))),"")</f>
        <v/>
      </c>
      <c r="AC19" s="91"/>
      <c r="AD19" s="95" t="str">
        <f ca="1">IFERROR(VALUE(IF(VLOOKUP($A19,数出表_Excel!$A$6:$T$150,COLUMN()/2+1,FALSE)=0,"",VLOOKUP($A19,数出表_Excel!$A$6:$T$150,COLUMN()/2+1,FALSE))),"")</f>
        <v/>
      </c>
      <c r="AE19" s="91"/>
      <c r="AF19" s="95" t="str">
        <f ca="1">IFERROR(VALUE(IF(VLOOKUP($A19,数出表_Excel!$A$6:$T$150,COLUMN()/2+1,FALSE)=0,"",VLOOKUP($A19,数出表_Excel!$A$6:$T$150,COLUMN()/2+1,FALSE))),"")</f>
        <v/>
      </c>
      <c r="AG19" s="91"/>
      <c r="AH19" s="95" t="str">
        <f ca="1">IFERROR(VALUE(IF(VLOOKUP($A19,数出表_Excel!$A$6:$T$150,COLUMN()/2+1,FALSE)=0,"",VLOOKUP($A19,数出表_Excel!$A$6:$T$150,COLUMN()/2+1,FALSE))),"")</f>
        <v/>
      </c>
      <c r="AI19" s="129"/>
      <c r="AJ19" s="96" t="str">
        <f ca="1">IFERROR(VALUE(IF(VLOOKUP($A19,数出表_Excel!$A$6:$T$150,COLUMN()/2+1,FALSE)=0,"",VLOOKUP($A19,数出表_Excel!$A$6:$T$150,COLUMN()/2+1,FALSE))),"")</f>
        <v/>
      </c>
      <c r="AK19" s="91"/>
      <c r="AL19" s="97" t="e">
        <f ca="1">IF(A19&lt;&gt;"",
IF(VLOOKUP($A19,数出表_Excel!$A$6:$T$150,COLUMN()/2+1,FALSE)=0,"",VLOOKUP($A19,数出表_Excel!$A$6:$T$150,COLUMN()/2+1,FALSE)),"")</f>
        <v>#N/A</v>
      </c>
      <c r="AM19" s="177" t="e">
        <f ca="1">数出表_Excel!V19</f>
        <v>#N/A</v>
      </c>
      <c r="AN19" s="178" t="e">
        <f ca="1">数出表_Excel!W19</f>
        <v>#N/A</v>
      </c>
    </row>
    <row r="20" spans="1:40" ht="16.2" customHeight="1">
      <c r="A20" s="137" t="e">
        <f t="array" aca="1" ref="A20" ca="1">IF(OR(COUNTIF(A18,"*10002*"),COUNTIF(A18,"")),"",INDEX(貼り付け用!$A1:$A200,MATCH(A18,貼り付け用!$A1:$A200,0)+2,0))</f>
        <v>#N/A</v>
      </c>
      <c r="B20" s="125" t="str">
        <f ca="1">IFERROR(VALUE(IF(VLOOKUP($A20,数出表_Excel!$A$6:$T$150,COLUMN()/2+1,FALSE)=0,"",VLOOKUP($A20,数出表_Excel!$A$6:$T$150,COLUMN()/2+1,FALSE))),"")</f>
        <v/>
      </c>
      <c r="C20" s="90"/>
      <c r="D20" s="125" t="str">
        <f ca="1">IFERROR(VALUE(IF(VLOOKUP($A20,数出表_Excel!$A$6:$T$150,COLUMN()/2+1,FALSE)=0,"",VLOOKUP($A20,数出表_Excel!$A$6:$T$150,COLUMN()/2+1,FALSE))),"")</f>
        <v/>
      </c>
      <c r="E20" s="90"/>
      <c r="F20" s="127" t="str">
        <f ca="1">IFERROR(VALUE(IF(VLOOKUP($A20,数出表_Excel!$A$6:$T$150,COLUMN()/2+1,FALSE)=0,"",VLOOKUP($A20,数出表_Excel!$A$6:$T$150,COLUMN()/2+1,FALSE))),"")</f>
        <v/>
      </c>
      <c r="G20" s="90"/>
      <c r="H20" s="125" t="str">
        <f ca="1">IFERROR(VALUE(IF(VLOOKUP($A20,数出表_Excel!$A$6:$T$150,COLUMN()/2+1,FALSE)=0,"",VLOOKUP($A20,数出表_Excel!$A$6:$T$150,COLUMN()/2+1,FALSE))),"")</f>
        <v/>
      </c>
      <c r="I20" s="90"/>
      <c r="J20" s="125" t="str">
        <f ca="1">IFERROR(VALUE(IF(VLOOKUP($A20,数出表_Excel!$A$6:$T$150,COLUMN()/2+1,FALSE)=0,"",VLOOKUP($A20,数出表_Excel!$A$6:$T$150,COLUMN()/2+1,FALSE))),"")</f>
        <v/>
      </c>
      <c r="K20" s="90"/>
      <c r="L20" s="127" t="str">
        <f ca="1">IFERROR(VALUE(IF(VLOOKUP($A20,数出表_Excel!$A$6:$T$150,COLUMN()/2+1,FALSE)=0,"",VLOOKUP($A20,数出表_Excel!$A$6:$T$150,COLUMN()/2+1,FALSE))),"")</f>
        <v/>
      </c>
      <c r="M20" s="90"/>
      <c r="N20" s="125" t="str">
        <f ca="1">IFERROR(VALUE(IF(VLOOKUP($A20,数出表_Excel!$A$6:$T$150,COLUMN()/2+1,FALSE)=0,"",VLOOKUP($A20,数出表_Excel!$A$6:$T$150,COLUMN()/2+1,FALSE))),"")</f>
        <v/>
      </c>
      <c r="O20" s="90"/>
      <c r="P20" s="125" t="str">
        <f ca="1">IFERROR(VALUE(IF(VLOOKUP($A20,数出表_Excel!$A$6:$T$150,COLUMN()/2+1,FALSE)=0,"",VLOOKUP($A20,数出表_Excel!$A$6:$T$150,COLUMN()/2+1,FALSE))),"")</f>
        <v/>
      </c>
      <c r="Q20" s="90"/>
      <c r="R20" s="125" t="str">
        <f ca="1">IFERROR(VALUE(IF(VLOOKUP($A20,数出表_Excel!$A$6:$T$150,COLUMN()/2+1,FALSE)=0,"",VLOOKUP($A20,数出表_Excel!$A$6:$T$150,COLUMN()/2+1,FALSE))),"")</f>
        <v/>
      </c>
      <c r="S20" s="90"/>
      <c r="T20" s="125" t="str">
        <f ca="1">IFERROR(VALUE(IF(VLOOKUP($A20,数出表_Excel!$A$6:$T$150,COLUMN()/2+1,FALSE)=0,"",VLOOKUP($A20,数出表_Excel!$A$6:$T$150,COLUMN()/2+1,FALSE))),"")</f>
        <v/>
      </c>
      <c r="U20" s="90"/>
      <c r="V20" s="127" t="str">
        <f ca="1">IFERROR(VALUE(IF(VLOOKUP($A20,数出表_Excel!$A$6:$T$150,COLUMN()/2+1,FALSE)=0,"",VLOOKUP($A20,数出表_Excel!$A$6:$T$150,COLUMN()/2+1,FALSE))),"")</f>
        <v/>
      </c>
      <c r="W20" s="90"/>
      <c r="X20" s="127" t="str">
        <f ca="1">IFERROR(VALUE(IF(VLOOKUP($A20,数出表_Excel!$A$6:$T$150,COLUMN()/2+1,FALSE)=0,"",VLOOKUP($A20,数出表_Excel!$A$6:$T$150,COLUMN()/2+1,FALSE))),"")</f>
        <v/>
      </c>
      <c r="Y20" s="90"/>
      <c r="Z20" s="127" t="str">
        <f ca="1">IFERROR(VALUE(IF(VLOOKUP($A20,数出表_Excel!$A$6:$T$150,COLUMN()/2+1,FALSE)=0,"",VLOOKUP($A20,数出表_Excel!$A$6:$T$150,COLUMN()/2+1,FALSE))),"")</f>
        <v/>
      </c>
      <c r="AA20" s="128"/>
      <c r="AB20" s="126" t="str">
        <f ca="1">IFERROR(VALUE(IF(VLOOKUP($A20,数出表_Excel!$A$6:$T$150,COLUMN()/2+1,FALSE)=0,"",VLOOKUP($A20,数出表_Excel!$A$6:$T$150,COLUMN()/2+1,FALSE))),"")</f>
        <v/>
      </c>
      <c r="AC20" s="90"/>
      <c r="AD20" s="127" t="str">
        <f ca="1">IFERROR(VALUE(IF(VLOOKUP($A20,数出表_Excel!$A$6:$T$150,COLUMN()/2+1,FALSE)=0,"",VLOOKUP($A20,数出表_Excel!$A$6:$T$150,COLUMN()/2+1,FALSE))),"")</f>
        <v/>
      </c>
      <c r="AE20" s="90"/>
      <c r="AF20" s="127" t="str">
        <f ca="1">IFERROR(VALUE(IF(VLOOKUP($A20,数出表_Excel!$A$6:$T$150,COLUMN()/2+1,FALSE)=0,"",VLOOKUP($A20,数出表_Excel!$A$6:$T$150,COLUMN()/2+1,FALSE))),"")</f>
        <v/>
      </c>
      <c r="AG20" s="90"/>
      <c r="AH20" s="127" t="str">
        <f ca="1">IFERROR(VALUE(IF(VLOOKUP($A20,数出表_Excel!$A$6:$T$150,COLUMN()/2+1,FALSE)=0,"",VLOOKUP($A20,数出表_Excel!$A$6:$T$150,COLUMN()/2+1,FALSE))),"")</f>
        <v/>
      </c>
      <c r="AI20" s="128"/>
      <c r="AJ20" s="126" t="str">
        <f ca="1">IFERROR(VALUE(IF(VLOOKUP($A20,数出表_Excel!$A$6:$T$150,COLUMN()/2+1,FALSE)=0,"",VLOOKUP($A20,数出表_Excel!$A$6:$T$150,COLUMN()/2+1,FALSE))),"")</f>
        <v/>
      </c>
      <c r="AK20" s="90"/>
      <c r="AL20" s="94" t="e">
        <f ca="1">IF(A20&lt;&gt;"",
IF(VLOOKUP($A20,数出表_Excel!$A$6:$T$150,COLUMN()/2+1,FALSE)=0,"",VLOOKUP($A20,数出表_Excel!$A$6:$T$150,COLUMN()/2+1,FALSE)),"")</f>
        <v>#N/A</v>
      </c>
      <c r="AM20" s="175" t="e">
        <f ca="1">数出表_Excel!V20</f>
        <v>#N/A</v>
      </c>
      <c r="AN20" s="176" t="e">
        <f ca="1">数出表_Excel!W20</f>
        <v>#N/A</v>
      </c>
    </row>
    <row r="21" spans="1:40" ht="16.2" customHeight="1">
      <c r="A21" s="138" t="e">
        <f t="array" aca="1" ref="A21" ca="1">IF(OR(COUNTIF(A19,"*1000*"),COUNTIF(A19,"")),"",INDEX(貼り付け用!$A1:$A200,MATCH(A19,貼り付け用!$A1:$A200,0)+2,0))</f>
        <v>#N/A</v>
      </c>
      <c r="B21" s="91" t="str">
        <f ca="1">IFERROR(VALUE(IF(VLOOKUP($A21,数出表_Excel!$A$6:$T$150,COLUMN()/2+1,FALSE)=0,"",VLOOKUP($A21,数出表_Excel!$A$6:$T$150,COLUMN()/2+1,FALSE))),"")</f>
        <v/>
      </c>
      <c r="C21" s="91"/>
      <c r="D21" s="91" t="str">
        <f ca="1">IFERROR(VALUE(IF(VLOOKUP($A21,数出表_Excel!$A$6:$T$150,COLUMN()/2+1,FALSE)=0,"",VLOOKUP($A21,数出表_Excel!$A$6:$T$150,COLUMN()/2+1,FALSE))),"")</f>
        <v/>
      </c>
      <c r="E21" s="91"/>
      <c r="F21" s="95" t="str">
        <f ca="1">IFERROR(VALUE(IF(VLOOKUP($A21,数出表_Excel!$A$6:$T$150,COLUMN()/2+1,FALSE)=0,"",VLOOKUP($A21,数出表_Excel!$A$6:$T$150,COLUMN()/2+1,FALSE))),"")</f>
        <v/>
      </c>
      <c r="G21" s="91"/>
      <c r="H21" s="91" t="str">
        <f ca="1">IFERROR(VALUE(IF(VLOOKUP($A21,数出表_Excel!$A$6:$T$150,COLUMN()/2+1,FALSE)=0,"",VLOOKUP($A21,数出表_Excel!$A$6:$T$150,COLUMN()/2+1,FALSE))),"")</f>
        <v/>
      </c>
      <c r="I21" s="91"/>
      <c r="J21" s="91" t="str">
        <f ca="1">IFERROR(VALUE(IF(VLOOKUP($A21,数出表_Excel!$A$6:$T$150,COLUMN()/2+1,FALSE)=0,"",VLOOKUP($A21,数出表_Excel!$A$6:$T$150,COLUMN()/2+1,FALSE))),"")</f>
        <v/>
      </c>
      <c r="K21" s="91"/>
      <c r="L21" s="95" t="str">
        <f ca="1">IFERROR(VALUE(IF(VLOOKUP($A21,数出表_Excel!$A$6:$T$150,COLUMN()/2+1,FALSE)=0,"",VLOOKUP($A21,数出表_Excel!$A$6:$T$150,COLUMN()/2+1,FALSE))),"")</f>
        <v/>
      </c>
      <c r="M21" s="91"/>
      <c r="N21" s="91" t="str">
        <f ca="1">IFERROR(VALUE(IF(VLOOKUP($A21,数出表_Excel!$A$6:$T$150,COLUMN()/2+1,FALSE)=0,"",VLOOKUP($A21,数出表_Excel!$A$6:$T$150,COLUMN()/2+1,FALSE))),"")</f>
        <v/>
      </c>
      <c r="O21" s="91"/>
      <c r="P21" s="91" t="str">
        <f ca="1">IFERROR(VALUE(IF(VLOOKUP($A21,数出表_Excel!$A$6:$T$150,COLUMN()/2+1,FALSE)=0,"",VLOOKUP($A21,数出表_Excel!$A$6:$T$150,COLUMN()/2+1,FALSE))),"")</f>
        <v/>
      </c>
      <c r="Q21" s="91"/>
      <c r="R21" s="91" t="str">
        <f ca="1">IFERROR(VALUE(IF(VLOOKUP($A21,数出表_Excel!$A$6:$T$150,COLUMN()/2+1,FALSE)=0,"",VLOOKUP($A21,数出表_Excel!$A$6:$T$150,COLUMN()/2+1,FALSE))),"")</f>
        <v/>
      </c>
      <c r="S21" s="91"/>
      <c r="T21" s="91" t="str">
        <f ca="1">IFERROR(VALUE(IF(VLOOKUP($A21,数出表_Excel!$A$6:$T$150,COLUMN()/2+1,FALSE)=0,"",VLOOKUP($A21,数出表_Excel!$A$6:$T$150,COLUMN()/2+1,FALSE))),"")</f>
        <v/>
      </c>
      <c r="U21" s="91"/>
      <c r="V21" s="95" t="str">
        <f ca="1">IFERROR(VALUE(IF(VLOOKUP($A21,数出表_Excel!$A$6:$T$150,COLUMN()/2+1,FALSE)=0,"",VLOOKUP($A21,数出表_Excel!$A$6:$T$150,COLUMN()/2+1,FALSE))),"")</f>
        <v/>
      </c>
      <c r="W21" s="91"/>
      <c r="X21" s="95" t="str">
        <f ca="1">IFERROR(VALUE(IF(VLOOKUP($A21,数出表_Excel!$A$6:$T$150,COLUMN()/2+1,FALSE)=0,"",VLOOKUP($A21,数出表_Excel!$A$6:$T$150,COLUMN()/2+1,FALSE))),"")</f>
        <v/>
      </c>
      <c r="Y21" s="91"/>
      <c r="Z21" s="95" t="str">
        <f ca="1">IFERROR(VALUE(IF(VLOOKUP($A21,数出表_Excel!$A$6:$T$150,COLUMN()/2+1,FALSE)=0,"",VLOOKUP($A21,数出表_Excel!$A$6:$T$150,COLUMN()/2+1,FALSE))),"")</f>
        <v/>
      </c>
      <c r="AA21" s="129"/>
      <c r="AB21" s="96" t="str">
        <f ca="1">IFERROR(VALUE(IF(VLOOKUP($A21,数出表_Excel!$A$6:$T$150,COLUMN()/2+1,FALSE)=0,"",VLOOKUP($A21,数出表_Excel!$A$6:$T$150,COLUMN()/2+1,FALSE))),"")</f>
        <v/>
      </c>
      <c r="AC21" s="91"/>
      <c r="AD21" s="95" t="str">
        <f ca="1">IFERROR(VALUE(IF(VLOOKUP($A21,数出表_Excel!$A$6:$T$150,COLUMN()/2+1,FALSE)=0,"",VLOOKUP($A21,数出表_Excel!$A$6:$T$150,COLUMN()/2+1,FALSE))),"")</f>
        <v/>
      </c>
      <c r="AE21" s="91"/>
      <c r="AF21" s="95" t="str">
        <f ca="1">IFERROR(VALUE(IF(VLOOKUP($A21,数出表_Excel!$A$6:$T$150,COLUMN()/2+1,FALSE)=0,"",VLOOKUP($A21,数出表_Excel!$A$6:$T$150,COLUMN()/2+1,FALSE))),"")</f>
        <v/>
      </c>
      <c r="AG21" s="91"/>
      <c r="AH21" s="95" t="str">
        <f ca="1">IFERROR(VALUE(IF(VLOOKUP($A21,数出表_Excel!$A$6:$T$150,COLUMN()/2+1,FALSE)=0,"",VLOOKUP($A21,数出表_Excel!$A$6:$T$150,COLUMN()/2+1,FALSE))),"")</f>
        <v/>
      </c>
      <c r="AI21" s="129"/>
      <c r="AJ21" s="96" t="str">
        <f ca="1">IFERROR(VALUE(IF(VLOOKUP($A21,数出表_Excel!$A$6:$T$150,COLUMN()/2+1,FALSE)=0,"",VLOOKUP($A21,数出表_Excel!$A$6:$T$150,COLUMN()/2+1,FALSE))),"")</f>
        <v/>
      </c>
      <c r="AK21" s="91"/>
      <c r="AL21" s="97" t="e">
        <f ca="1">IF(A21&lt;&gt;"",
IF(VLOOKUP($A21,数出表_Excel!$A$6:$T$150,COLUMN()/2+1,FALSE)=0,"",VLOOKUP($A21,数出表_Excel!$A$6:$T$150,COLUMN()/2+1,FALSE)),"")</f>
        <v>#N/A</v>
      </c>
      <c r="AM21" s="177" t="e">
        <f ca="1">数出表_Excel!V21</f>
        <v>#N/A</v>
      </c>
      <c r="AN21" s="178" t="e">
        <f ca="1">数出表_Excel!W21</f>
        <v>#N/A</v>
      </c>
    </row>
    <row r="22" spans="1:40" ht="16.2" customHeight="1">
      <c r="A22" s="137" t="e">
        <f t="array" aca="1" ref="A22" ca="1">IF(OR(COUNTIF(A20,"*10002*"),COUNTIF(A20,"")),"",INDEX(貼り付け用!$A1:$A200,MATCH(A20,貼り付け用!$A1:$A200,0)+2,0))</f>
        <v>#N/A</v>
      </c>
      <c r="B22" s="125" t="str">
        <f ca="1">IFERROR(VALUE(IF(VLOOKUP($A22,数出表_Excel!$A$6:$T$150,COLUMN()/2+1,FALSE)=0,"",VLOOKUP($A22,数出表_Excel!$A$6:$T$150,COLUMN()/2+1,FALSE))),"")</f>
        <v/>
      </c>
      <c r="C22" s="90"/>
      <c r="D22" s="125" t="str">
        <f ca="1">IFERROR(VALUE(IF(VLOOKUP($A22,数出表_Excel!$A$6:$T$150,COLUMN()/2+1,FALSE)=0,"",VLOOKUP($A22,数出表_Excel!$A$6:$T$150,COLUMN()/2+1,FALSE))),"")</f>
        <v/>
      </c>
      <c r="E22" s="90"/>
      <c r="F22" s="127" t="str">
        <f ca="1">IFERROR(VALUE(IF(VLOOKUP($A22,数出表_Excel!$A$6:$T$150,COLUMN()/2+1,FALSE)=0,"",VLOOKUP($A22,数出表_Excel!$A$6:$T$150,COLUMN()/2+1,FALSE))),"")</f>
        <v/>
      </c>
      <c r="G22" s="90"/>
      <c r="H22" s="125" t="str">
        <f ca="1">IFERROR(VALUE(IF(VLOOKUP($A22,数出表_Excel!$A$6:$T$150,COLUMN()/2+1,FALSE)=0,"",VLOOKUP($A22,数出表_Excel!$A$6:$T$150,COLUMN()/2+1,FALSE))),"")</f>
        <v/>
      </c>
      <c r="I22" s="90"/>
      <c r="J22" s="125" t="str">
        <f ca="1">IFERROR(VALUE(IF(VLOOKUP($A22,数出表_Excel!$A$6:$T$150,COLUMN()/2+1,FALSE)=0,"",VLOOKUP($A22,数出表_Excel!$A$6:$T$150,COLUMN()/2+1,FALSE))),"")</f>
        <v/>
      </c>
      <c r="K22" s="90"/>
      <c r="L22" s="127" t="str">
        <f ca="1">IFERROR(VALUE(IF(VLOOKUP($A22,数出表_Excel!$A$6:$T$150,COLUMN()/2+1,FALSE)=0,"",VLOOKUP($A22,数出表_Excel!$A$6:$T$150,COLUMN()/2+1,FALSE))),"")</f>
        <v/>
      </c>
      <c r="M22" s="90"/>
      <c r="N22" s="125" t="str">
        <f ca="1">IFERROR(VALUE(IF(VLOOKUP($A22,数出表_Excel!$A$6:$T$150,COLUMN()/2+1,FALSE)=0,"",VLOOKUP($A22,数出表_Excel!$A$6:$T$150,COLUMN()/2+1,FALSE))),"")</f>
        <v/>
      </c>
      <c r="O22" s="90"/>
      <c r="P22" s="125" t="str">
        <f ca="1">IFERROR(VALUE(IF(VLOOKUP($A22,数出表_Excel!$A$6:$T$150,COLUMN()/2+1,FALSE)=0,"",VLOOKUP($A22,数出表_Excel!$A$6:$T$150,COLUMN()/2+1,FALSE))),"")</f>
        <v/>
      </c>
      <c r="Q22" s="90"/>
      <c r="R22" s="125" t="str">
        <f ca="1">IFERROR(VALUE(IF(VLOOKUP($A22,数出表_Excel!$A$6:$T$150,COLUMN()/2+1,FALSE)=0,"",VLOOKUP($A22,数出表_Excel!$A$6:$T$150,COLUMN()/2+1,FALSE))),"")</f>
        <v/>
      </c>
      <c r="S22" s="90"/>
      <c r="T22" s="125" t="str">
        <f ca="1">IFERROR(VALUE(IF(VLOOKUP($A22,数出表_Excel!$A$6:$T$150,COLUMN()/2+1,FALSE)=0,"",VLOOKUP($A22,数出表_Excel!$A$6:$T$150,COLUMN()/2+1,FALSE))),"")</f>
        <v/>
      </c>
      <c r="U22" s="90"/>
      <c r="V22" s="127" t="str">
        <f ca="1">IFERROR(VALUE(IF(VLOOKUP($A22,数出表_Excel!$A$6:$T$150,COLUMN()/2+1,FALSE)=0,"",VLOOKUP($A22,数出表_Excel!$A$6:$T$150,COLUMN()/2+1,FALSE))),"")</f>
        <v/>
      </c>
      <c r="W22" s="90"/>
      <c r="X22" s="127" t="str">
        <f ca="1">IFERROR(VALUE(IF(VLOOKUP($A22,数出表_Excel!$A$6:$T$150,COLUMN()/2+1,FALSE)=0,"",VLOOKUP($A22,数出表_Excel!$A$6:$T$150,COLUMN()/2+1,FALSE))),"")</f>
        <v/>
      </c>
      <c r="Y22" s="90"/>
      <c r="Z22" s="127" t="str">
        <f ca="1">IFERROR(VALUE(IF(VLOOKUP($A22,数出表_Excel!$A$6:$T$150,COLUMN()/2+1,FALSE)=0,"",VLOOKUP($A22,数出表_Excel!$A$6:$T$150,COLUMN()/2+1,FALSE))),"")</f>
        <v/>
      </c>
      <c r="AA22" s="128"/>
      <c r="AB22" s="126" t="str">
        <f ca="1">IFERROR(VALUE(IF(VLOOKUP($A22,数出表_Excel!$A$6:$T$150,COLUMN()/2+1,FALSE)=0,"",VLOOKUP($A22,数出表_Excel!$A$6:$T$150,COLUMN()/2+1,FALSE))),"")</f>
        <v/>
      </c>
      <c r="AC22" s="90"/>
      <c r="AD22" s="127" t="str">
        <f ca="1">IFERROR(VALUE(IF(VLOOKUP($A22,数出表_Excel!$A$6:$T$150,COLUMN()/2+1,FALSE)=0,"",VLOOKUP($A22,数出表_Excel!$A$6:$T$150,COLUMN()/2+1,FALSE))),"")</f>
        <v/>
      </c>
      <c r="AE22" s="90"/>
      <c r="AF22" s="127" t="str">
        <f ca="1">IFERROR(VALUE(IF(VLOOKUP($A22,数出表_Excel!$A$6:$T$150,COLUMN()/2+1,FALSE)=0,"",VLOOKUP($A22,数出表_Excel!$A$6:$T$150,COLUMN()/2+1,FALSE))),"")</f>
        <v/>
      </c>
      <c r="AG22" s="90"/>
      <c r="AH22" s="127" t="str">
        <f ca="1">IFERROR(VALUE(IF(VLOOKUP($A22,数出表_Excel!$A$6:$T$150,COLUMN()/2+1,FALSE)=0,"",VLOOKUP($A22,数出表_Excel!$A$6:$T$150,COLUMN()/2+1,FALSE))),"")</f>
        <v/>
      </c>
      <c r="AI22" s="128"/>
      <c r="AJ22" s="126" t="str">
        <f ca="1">IFERROR(VALUE(IF(VLOOKUP($A22,数出表_Excel!$A$6:$T$150,COLUMN()/2+1,FALSE)=0,"",VLOOKUP($A22,数出表_Excel!$A$6:$T$150,COLUMN()/2+1,FALSE))),"")</f>
        <v/>
      </c>
      <c r="AK22" s="90"/>
      <c r="AL22" s="94" t="e">
        <f ca="1">IF(A22&lt;&gt;"",
IF(VLOOKUP($A22,数出表_Excel!$A$6:$T$150,COLUMN()/2+1,FALSE)=0,"",VLOOKUP($A22,数出表_Excel!$A$6:$T$150,COLUMN()/2+1,FALSE)),"")</f>
        <v>#N/A</v>
      </c>
      <c r="AM22" s="175" t="e">
        <f ca="1">数出表_Excel!V22</f>
        <v>#N/A</v>
      </c>
      <c r="AN22" s="176" t="e">
        <f ca="1">数出表_Excel!W22</f>
        <v>#N/A</v>
      </c>
    </row>
    <row r="23" spans="1:40" ht="16.2" customHeight="1">
      <c r="A23" s="138" t="e">
        <f t="array" aca="1" ref="A23" ca="1">IF(OR(COUNTIF(A21,"*1000*"),COUNTIF(A21,"")),"",INDEX(貼り付け用!$A1:$A200,MATCH(A21,貼り付け用!$A1:$A200,0)+2,0))</f>
        <v>#N/A</v>
      </c>
      <c r="B23" s="91" t="str">
        <f ca="1">IFERROR(VALUE(IF(VLOOKUP($A23,数出表_Excel!$A$6:$T$150,COLUMN()/2+1,FALSE)=0,"",VLOOKUP($A23,数出表_Excel!$A$6:$T$150,COLUMN()/2+1,FALSE))),"")</f>
        <v/>
      </c>
      <c r="C23" s="91"/>
      <c r="D23" s="91" t="str">
        <f ca="1">IFERROR(VALUE(IF(VLOOKUP($A23,数出表_Excel!$A$6:$T$150,COLUMN()/2+1,FALSE)=0,"",VLOOKUP($A23,数出表_Excel!$A$6:$T$150,COLUMN()/2+1,FALSE))),"")</f>
        <v/>
      </c>
      <c r="E23" s="91"/>
      <c r="F23" s="95" t="str">
        <f ca="1">IFERROR(VALUE(IF(VLOOKUP($A23,数出表_Excel!$A$6:$T$150,COLUMN()/2+1,FALSE)=0,"",VLOOKUP($A23,数出表_Excel!$A$6:$T$150,COLUMN()/2+1,FALSE))),"")</f>
        <v/>
      </c>
      <c r="G23" s="91"/>
      <c r="H23" s="91" t="str">
        <f ca="1">IFERROR(VALUE(IF(VLOOKUP($A23,数出表_Excel!$A$6:$T$150,COLUMN()/2+1,FALSE)=0,"",VLOOKUP($A23,数出表_Excel!$A$6:$T$150,COLUMN()/2+1,FALSE))),"")</f>
        <v/>
      </c>
      <c r="I23" s="91"/>
      <c r="J23" s="91" t="str">
        <f ca="1">IFERROR(VALUE(IF(VLOOKUP($A23,数出表_Excel!$A$6:$T$150,COLUMN()/2+1,FALSE)=0,"",VLOOKUP($A23,数出表_Excel!$A$6:$T$150,COLUMN()/2+1,FALSE))),"")</f>
        <v/>
      </c>
      <c r="K23" s="91"/>
      <c r="L23" s="95" t="str">
        <f ca="1">IFERROR(VALUE(IF(VLOOKUP($A23,数出表_Excel!$A$6:$T$150,COLUMN()/2+1,FALSE)=0,"",VLOOKUP($A23,数出表_Excel!$A$6:$T$150,COLUMN()/2+1,FALSE))),"")</f>
        <v/>
      </c>
      <c r="M23" s="91"/>
      <c r="N23" s="91" t="str">
        <f ca="1">IFERROR(VALUE(IF(VLOOKUP($A23,数出表_Excel!$A$6:$T$150,COLUMN()/2+1,FALSE)=0,"",VLOOKUP($A23,数出表_Excel!$A$6:$T$150,COLUMN()/2+1,FALSE))),"")</f>
        <v/>
      </c>
      <c r="O23" s="91"/>
      <c r="P23" s="91" t="str">
        <f ca="1">IFERROR(VALUE(IF(VLOOKUP($A23,数出表_Excel!$A$6:$T$150,COLUMN()/2+1,FALSE)=0,"",VLOOKUP($A23,数出表_Excel!$A$6:$T$150,COLUMN()/2+1,FALSE))),"")</f>
        <v/>
      </c>
      <c r="Q23" s="91"/>
      <c r="R23" s="91" t="str">
        <f ca="1">IFERROR(VALUE(IF(VLOOKUP($A23,数出表_Excel!$A$6:$T$150,COLUMN()/2+1,FALSE)=0,"",VLOOKUP($A23,数出表_Excel!$A$6:$T$150,COLUMN()/2+1,FALSE))),"")</f>
        <v/>
      </c>
      <c r="S23" s="91"/>
      <c r="T23" s="91" t="str">
        <f ca="1">IFERROR(VALUE(IF(VLOOKUP($A23,数出表_Excel!$A$6:$T$150,COLUMN()/2+1,FALSE)=0,"",VLOOKUP($A23,数出表_Excel!$A$6:$T$150,COLUMN()/2+1,FALSE))),"")</f>
        <v/>
      </c>
      <c r="U23" s="91"/>
      <c r="V23" s="95" t="str">
        <f ca="1">IFERROR(VALUE(IF(VLOOKUP($A23,数出表_Excel!$A$6:$T$150,COLUMN()/2+1,FALSE)=0,"",VLOOKUP($A23,数出表_Excel!$A$6:$T$150,COLUMN()/2+1,FALSE))),"")</f>
        <v/>
      </c>
      <c r="W23" s="91"/>
      <c r="X23" s="95" t="str">
        <f ca="1">IFERROR(VALUE(IF(VLOOKUP($A23,数出表_Excel!$A$6:$T$150,COLUMN()/2+1,FALSE)=0,"",VLOOKUP($A23,数出表_Excel!$A$6:$T$150,COLUMN()/2+1,FALSE))),"")</f>
        <v/>
      </c>
      <c r="Y23" s="91"/>
      <c r="Z23" s="95" t="str">
        <f ca="1">IFERROR(VALUE(IF(VLOOKUP($A23,数出表_Excel!$A$6:$T$150,COLUMN()/2+1,FALSE)=0,"",VLOOKUP($A23,数出表_Excel!$A$6:$T$150,COLUMN()/2+1,FALSE))),"")</f>
        <v/>
      </c>
      <c r="AA23" s="129"/>
      <c r="AB23" s="96" t="str">
        <f ca="1">IFERROR(VALUE(IF(VLOOKUP($A23,数出表_Excel!$A$6:$T$150,COLUMN()/2+1,FALSE)=0,"",VLOOKUP($A23,数出表_Excel!$A$6:$T$150,COLUMN()/2+1,FALSE))),"")</f>
        <v/>
      </c>
      <c r="AC23" s="91"/>
      <c r="AD23" s="95" t="str">
        <f ca="1">IFERROR(VALUE(IF(VLOOKUP($A23,数出表_Excel!$A$6:$T$150,COLUMN()/2+1,FALSE)=0,"",VLOOKUP($A23,数出表_Excel!$A$6:$T$150,COLUMN()/2+1,FALSE))),"")</f>
        <v/>
      </c>
      <c r="AE23" s="91"/>
      <c r="AF23" s="95" t="str">
        <f ca="1">IFERROR(VALUE(IF(VLOOKUP($A23,数出表_Excel!$A$6:$T$150,COLUMN()/2+1,FALSE)=0,"",VLOOKUP($A23,数出表_Excel!$A$6:$T$150,COLUMN()/2+1,FALSE))),"")</f>
        <v/>
      </c>
      <c r="AG23" s="91"/>
      <c r="AH23" s="95" t="str">
        <f ca="1">IFERROR(VALUE(IF(VLOOKUP($A23,数出表_Excel!$A$6:$T$150,COLUMN()/2+1,FALSE)=0,"",VLOOKUP($A23,数出表_Excel!$A$6:$T$150,COLUMN()/2+1,FALSE))),"")</f>
        <v/>
      </c>
      <c r="AI23" s="129"/>
      <c r="AJ23" s="96" t="str">
        <f ca="1">IFERROR(VALUE(IF(VLOOKUP($A23,数出表_Excel!$A$6:$T$150,COLUMN()/2+1,FALSE)=0,"",VLOOKUP($A23,数出表_Excel!$A$6:$T$150,COLUMN()/2+1,FALSE))),"")</f>
        <v/>
      </c>
      <c r="AK23" s="91"/>
      <c r="AL23" s="97" t="e">
        <f ca="1">IF(A23&lt;&gt;"",
IF(VLOOKUP($A23,数出表_Excel!$A$6:$T$150,COLUMN()/2+1,FALSE)=0,"",VLOOKUP($A23,数出表_Excel!$A$6:$T$150,COLUMN()/2+1,FALSE)),"")</f>
        <v>#N/A</v>
      </c>
      <c r="AM23" s="177" t="e">
        <f ca="1">数出表_Excel!V23</f>
        <v>#N/A</v>
      </c>
      <c r="AN23" s="178" t="e">
        <f ca="1">数出表_Excel!W23</f>
        <v>#N/A</v>
      </c>
    </row>
    <row r="24" spans="1:40" ht="16.2" customHeight="1">
      <c r="A24" s="137" t="e">
        <f t="array" aca="1" ref="A24" ca="1">IF(OR(COUNTIF(A22,"*10002*"),COUNTIF(A22,"")),"",INDEX(貼り付け用!$A1:$A200,MATCH(A22,貼り付け用!$A1:$A200,0)+2,0))</f>
        <v>#N/A</v>
      </c>
      <c r="B24" s="125" t="str">
        <f ca="1">IFERROR(VALUE(IF(VLOOKUP($A24,数出表_Excel!$A$6:$T$150,COLUMN()/2+1,FALSE)=0,"",VLOOKUP($A24,数出表_Excel!$A$6:$T$150,COLUMN()/2+1,FALSE))),"")</f>
        <v/>
      </c>
      <c r="C24" s="90"/>
      <c r="D24" s="125" t="str">
        <f ca="1">IFERROR(VALUE(IF(VLOOKUP($A24,数出表_Excel!$A$6:$T$150,COLUMN()/2+1,FALSE)=0,"",VLOOKUP($A24,数出表_Excel!$A$6:$T$150,COLUMN()/2+1,FALSE))),"")</f>
        <v/>
      </c>
      <c r="E24" s="90"/>
      <c r="F24" s="127" t="str">
        <f ca="1">IFERROR(VALUE(IF(VLOOKUP($A24,数出表_Excel!$A$6:$T$150,COLUMN()/2+1,FALSE)=0,"",VLOOKUP($A24,数出表_Excel!$A$6:$T$150,COLUMN()/2+1,FALSE))),"")</f>
        <v/>
      </c>
      <c r="G24" s="90"/>
      <c r="H24" s="125" t="str">
        <f ca="1">IFERROR(VALUE(IF(VLOOKUP($A24,数出表_Excel!$A$6:$T$150,COLUMN()/2+1,FALSE)=0,"",VLOOKUP($A24,数出表_Excel!$A$6:$T$150,COLUMN()/2+1,FALSE))),"")</f>
        <v/>
      </c>
      <c r="I24" s="90"/>
      <c r="J24" s="125" t="str">
        <f ca="1">IFERROR(VALUE(IF(VLOOKUP($A24,数出表_Excel!$A$6:$T$150,COLUMN()/2+1,FALSE)=0,"",VLOOKUP($A24,数出表_Excel!$A$6:$T$150,COLUMN()/2+1,FALSE))),"")</f>
        <v/>
      </c>
      <c r="K24" s="90"/>
      <c r="L24" s="127" t="str">
        <f ca="1">IFERROR(VALUE(IF(VLOOKUP($A24,数出表_Excel!$A$6:$T$150,COLUMN()/2+1,FALSE)=0,"",VLOOKUP($A24,数出表_Excel!$A$6:$T$150,COLUMN()/2+1,FALSE))),"")</f>
        <v/>
      </c>
      <c r="M24" s="90"/>
      <c r="N24" s="125" t="str">
        <f ca="1">IFERROR(VALUE(IF(VLOOKUP($A24,数出表_Excel!$A$6:$T$150,COLUMN()/2+1,FALSE)=0,"",VLOOKUP($A24,数出表_Excel!$A$6:$T$150,COLUMN()/2+1,FALSE))),"")</f>
        <v/>
      </c>
      <c r="O24" s="90"/>
      <c r="P24" s="125" t="str">
        <f ca="1">IFERROR(VALUE(IF(VLOOKUP($A24,数出表_Excel!$A$6:$T$150,COLUMN()/2+1,FALSE)=0,"",VLOOKUP($A24,数出表_Excel!$A$6:$T$150,COLUMN()/2+1,FALSE))),"")</f>
        <v/>
      </c>
      <c r="Q24" s="90"/>
      <c r="R24" s="125" t="str">
        <f ca="1">IFERROR(VALUE(IF(VLOOKUP($A24,数出表_Excel!$A$6:$T$150,COLUMN()/2+1,FALSE)=0,"",VLOOKUP($A24,数出表_Excel!$A$6:$T$150,COLUMN()/2+1,FALSE))),"")</f>
        <v/>
      </c>
      <c r="S24" s="90"/>
      <c r="T24" s="125" t="str">
        <f ca="1">IFERROR(VALUE(IF(VLOOKUP($A24,数出表_Excel!$A$6:$T$150,COLUMN()/2+1,FALSE)=0,"",VLOOKUP($A24,数出表_Excel!$A$6:$T$150,COLUMN()/2+1,FALSE))),"")</f>
        <v/>
      </c>
      <c r="U24" s="90"/>
      <c r="V24" s="127" t="str">
        <f ca="1">IFERROR(VALUE(IF(VLOOKUP($A24,数出表_Excel!$A$6:$T$150,COLUMN()/2+1,FALSE)=0,"",VLOOKUP($A24,数出表_Excel!$A$6:$T$150,COLUMN()/2+1,FALSE))),"")</f>
        <v/>
      </c>
      <c r="W24" s="90"/>
      <c r="X24" s="127" t="str">
        <f ca="1">IFERROR(VALUE(IF(VLOOKUP($A24,数出表_Excel!$A$6:$T$150,COLUMN()/2+1,FALSE)=0,"",VLOOKUP($A24,数出表_Excel!$A$6:$T$150,COLUMN()/2+1,FALSE))),"")</f>
        <v/>
      </c>
      <c r="Y24" s="90"/>
      <c r="Z24" s="127" t="str">
        <f ca="1">IFERROR(VALUE(IF(VLOOKUP($A24,数出表_Excel!$A$6:$T$150,COLUMN()/2+1,FALSE)=0,"",VLOOKUP($A24,数出表_Excel!$A$6:$T$150,COLUMN()/2+1,FALSE))),"")</f>
        <v/>
      </c>
      <c r="AA24" s="128"/>
      <c r="AB24" s="126" t="str">
        <f ca="1">IFERROR(VALUE(IF(VLOOKUP($A24,数出表_Excel!$A$6:$T$150,COLUMN()/2+1,FALSE)=0,"",VLOOKUP($A24,数出表_Excel!$A$6:$T$150,COLUMN()/2+1,FALSE))),"")</f>
        <v/>
      </c>
      <c r="AC24" s="90"/>
      <c r="AD24" s="127" t="str">
        <f ca="1">IFERROR(VALUE(IF(VLOOKUP($A24,数出表_Excel!$A$6:$T$150,COLUMN()/2+1,FALSE)=0,"",VLOOKUP($A24,数出表_Excel!$A$6:$T$150,COLUMN()/2+1,FALSE))),"")</f>
        <v/>
      </c>
      <c r="AE24" s="90"/>
      <c r="AF24" s="127" t="str">
        <f ca="1">IFERROR(VALUE(IF(VLOOKUP($A24,数出表_Excel!$A$6:$T$150,COLUMN()/2+1,FALSE)=0,"",VLOOKUP($A24,数出表_Excel!$A$6:$T$150,COLUMN()/2+1,FALSE))),"")</f>
        <v/>
      </c>
      <c r="AG24" s="90"/>
      <c r="AH24" s="127" t="str">
        <f ca="1">IFERROR(VALUE(IF(VLOOKUP($A24,数出表_Excel!$A$6:$T$150,COLUMN()/2+1,FALSE)=0,"",VLOOKUP($A24,数出表_Excel!$A$6:$T$150,COLUMN()/2+1,FALSE))),"")</f>
        <v/>
      </c>
      <c r="AI24" s="128"/>
      <c r="AJ24" s="126" t="str">
        <f ca="1">IFERROR(VALUE(IF(VLOOKUP($A24,数出表_Excel!$A$6:$T$150,COLUMN()/2+1,FALSE)=0,"",VLOOKUP($A24,数出表_Excel!$A$6:$T$150,COLUMN()/2+1,FALSE))),"")</f>
        <v/>
      </c>
      <c r="AK24" s="90"/>
      <c r="AL24" s="94" t="e">
        <f ca="1">IF(A24&lt;&gt;"",
IF(VLOOKUP($A24,数出表_Excel!$A$6:$T$150,COLUMN()/2+1,FALSE)=0,"",VLOOKUP($A24,数出表_Excel!$A$6:$T$150,COLUMN()/2+1,FALSE)),"")</f>
        <v>#N/A</v>
      </c>
      <c r="AM24" s="175" t="e">
        <f ca="1">数出表_Excel!V24</f>
        <v>#N/A</v>
      </c>
      <c r="AN24" s="176" t="e">
        <f ca="1">数出表_Excel!W24</f>
        <v>#N/A</v>
      </c>
    </row>
    <row r="25" spans="1:40" ht="16.2" customHeight="1">
      <c r="A25" s="138" t="e">
        <f t="array" aca="1" ref="A25" ca="1">IF(OR(COUNTIF(A23,"*1000*"),COUNTIF(A23,"")),"",INDEX(貼り付け用!$A1:$A200,MATCH(A23,貼り付け用!$A1:$A200,0)+2,0))</f>
        <v>#N/A</v>
      </c>
      <c r="B25" s="91" t="str">
        <f ca="1">IFERROR(VALUE(IF(VLOOKUP($A25,数出表_Excel!$A$6:$T$150,COLUMN()/2+1,FALSE)=0,"",VLOOKUP($A25,数出表_Excel!$A$6:$T$150,COLUMN()/2+1,FALSE))),"")</f>
        <v/>
      </c>
      <c r="C25" s="91"/>
      <c r="D25" s="91" t="str">
        <f ca="1">IFERROR(VALUE(IF(VLOOKUP($A25,数出表_Excel!$A$6:$T$150,COLUMN()/2+1,FALSE)=0,"",VLOOKUP($A25,数出表_Excel!$A$6:$T$150,COLUMN()/2+1,FALSE))),"")</f>
        <v/>
      </c>
      <c r="E25" s="91"/>
      <c r="F25" s="95" t="str">
        <f ca="1">IFERROR(VALUE(IF(VLOOKUP($A25,数出表_Excel!$A$6:$T$150,COLUMN()/2+1,FALSE)=0,"",VLOOKUP($A25,数出表_Excel!$A$6:$T$150,COLUMN()/2+1,FALSE))),"")</f>
        <v/>
      </c>
      <c r="G25" s="91"/>
      <c r="H25" s="91" t="str">
        <f ca="1">IFERROR(VALUE(IF(VLOOKUP($A25,数出表_Excel!$A$6:$T$150,COLUMN()/2+1,FALSE)=0,"",VLOOKUP($A25,数出表_Excel!$A$6:$T$150,COLUMN()/2+1,FALSE))),"")</f>
        <v/>
      </c>
      <c r="I25" s="91"/>
      <c r="J25" s="91" t="str">
        <f ca="1">IFERROR(VALUE(IF(VLOOKUP($A25,数出表_Excel!$A$6:$T$150,COLUMN()/2+1,FALSE)=0,"",VLOOKUP($A25,数出表_Excel!$A$6:$T$150,COLUMN()/2+1,FALSE))),"")</f>
        <v/>
      </c>
      <c r="K25" s="91"/>
      <c r="L25" s="95" t="str">
        <f ca="1">IFERROR(VALUE(IF(VLOOKUP($A25,数出表_Excel!$A$6:$T$150,COLUMN()/2+1,FALSE)=0,"",VLOOKUP($A25,数出表_Excel!$A$6:$T$150,COLUMN()/2+1,FALSE))),"")</f>
        <v/>
      </c>
      <c r="M25" s="91"/>
      <c r="N25" s="91" t="str">
        <f ca="1">IFERROR(VALUE(IF(VLOOKUP($A25,数出表_Excel!$A$6:$T$150,COLUMN()/2+1,FALSE)=0,"",VLOOKUP($A25,数出表_Excel!$A$6:$T$150,COLUMN()/2+1,FALSE))),"")</f>
        <v/>
      </c>
      <c r="O25" s="91"/>
      <c r="P25" s="91" t="str">
        <f ca="1">IFERROR(VALUE(IF(VLOOKUP($A25,数出表_Excel!$A$6:$T$150,COLUMN()/2+1,FALSE)=0,"",VLOOKUP($A25,数出表_Excel!$A$6:$T$150,COLUMN()/2+1,FALSE))),"")</f>
        <v/>
      </c>
      <c r="Q25" s="91"/>
      <c r="R25" s="91" t="str">
        <f ca="1">IFERROR(VALUE(IF(VLOOKUP($A25,数出表_Excel!$A$6:$T$150,COLUMN()/2+1,FALSE)=0,"",VLOOKUP($A25,数出表_Excel!$A$6:$T$150,COLUMN()/2+1,FALSE))),"")</f>
        <v/>
      </c>
      <c r="S25" s="91"/>
      <c r="T25" s="91" t="str">
        <f ca="1">IFERROR(VALUE(IF(VLOOKUP($A25,数出表_Excel!$A$6:$T$150,COLUMN()/2+1,FALSE)=0,"",VLOOKUP($A25,数出表_Excel!$A$6:$T$150,COLUMN()/2+1,FALSE))),"")</f>
        <v/>
      </c>
      <c r="U25" s="91"/>
      <c r="V25" s="95" t="str">
        <f ca="1">IFERROR(VALUE(IF(VLOOKUP($A25,数出表_Excel!$A$6:$T$150,COLUMN()/2+1,FALSE)=0,"",VLOOKUP($A25,数出表_Excel!$A$6:$T$150,COLUMN()/2+1,FALSE))),"")</f>
        <v/>
      </c>
      <c r="W25" s="91"/>
      <c r="X25" s="95" t="str">
        <f ca="1">IFERROR(VALUE(IF(VLOOKUP($A25,数出表_Excel!$A$6:$T$150,COLUMN()/2+1,FALSE)=0,"",VLOOKUP($A25,数出表_Excel!$A$6:$T$150,COLUMN()/2+1,FALSE))),"")</f>
        <v/>
      </c>
      <c r="Y25" s="91"/>
      <c r="Z25" s="95" t="str">
        <f ca="1">IFERROR(VALUE(IF(VLOOKUP($A25,数出表_Excel!$A$6:$T$150,COLUMN()/2+1,FALSE)=0,"",VLOOKUP($A25,数出表_Excel!$A$6:$T$150,COLUMN()/2+1,FALSE))),"")</f>
        <v/>
      </c>
      <c r="AA25" s="129"/>
      <c r="AB25" s="96" t="str">
        <f ca="1">IFERROR(VALUE(IF(VLOOKUP($A25,数出表_Excel!$A$6:$T$150,COLUMN()/2+1,FALSE)=0,"",VLOOKUP($A25,数出表_Excel!$A$6:$T$150,COLUMN()/2+1,FALSE))),"")</f>
        <v/>
      </c>
      <c r="AC25" s="91"/>
      <c r="AD25" s="95" t="str">
        <f ca="1">IFERROR(VALUE(IF(VLOOKUP($A25,数出表_Excel!$A$6:$T$150,COLUMN()/2+1,FALSE)=0,"",VLOOKUP($A25,数出表_Excel!$A$6:$T$150,COLUMN()/2+1,FALSE))),"")</f>
        <v/>
      </c>
      <c r="AE25" s="91"/>
      <c r="AF25" s="95" t="str">
        <f ca="1">IFERROR(VALUE(IF(VLOOKUP($A25,数出表_Excel!$A$6:$T$150,COLUMN()/2+1,FALSE)=0,"",VLOOKUP($A25,数出表_Excel!$A$6:$T$150,COLUMN()/2+1,FALSE))),"")</f>
        <v/>
      </c>
      <c r="AG25" s="91"/>
      <c r="AH25" s="95" t="str">
        <f ca="1">IFERROR(VALUE(IF(VLOOKUP($A25,数出表_Excel!$A$6:$T$150,COLUMN()/2+1,FALSE)=0,"",VLOOKUP($A25,数出表_Excel!$A$6:$T$150,COLUMN()/2+1,FALSE))),"")</f>
        <v/>
      </c>
      <c r="AI25" s="129"/>
      <c r="AJ25" s="96" t="str">
        <f ca="1">IFERROR(VALUE(IF(VLOOKUP($A25,数出表_Excel!$A$6:$T$150,COLUMN()/2+1,FALSE)=0,"",VLOOKUP($A25,数出表_Excel!$A$6:$T$150,COLUMN()/2+1,FALSE))),"")</f>
        <v/>
      </c>
      <c r="AK25" s="91"/>
      <c r="AL25" s="97" t="e">
        <f ca="1">IF(A25&lt;&gt;"",
IF(VLOOKUP($A25,数出表_Excel!$A$6:$T$150,COLUMN()/2+1,FALSE)=0,"",VLOOKUP($A25,数出表_Excel!$A$6:$T$150,COLUMN()/2+1,FALSE)),"")</f>
        <v>#N/A</v>
      </c>
      <c r="AM25" s="177" t="e">
        <f ca="1">数出表_Excel!V25</f>
        <v>#N/A</v>
      </c>
      <c r="AN25" s="178" t="e">
        <f ca="1">数出表_Excel!W25</f>
        <v>#N/A</v>
      </c>
    </row>
    <row r="26" spans="1:40" ht="16.2" customHeight="1">
      <c r="A26" s="137" t="e">
        <f t="array" aca="1" ref="A26" ca="1">IF(OR(COUNTIF(A24,"*10002*"),COUNTIF(A24,"")),"",INDEX(貼り付け用!$A1:$A200,MATCH(A24,貼り付け用!$A1:$A200,0)+2,0))</f>
        <v>#N/A</v>
      </c>
      <c r="B26" s="125" t="str">
        <f ca="1">IFERROR(VALUE(IF(VLOOKUP($A26,数出表_Excel!$A$6:$T$150,COLUMN()/2+1,FALSE)=0,"",VLOOKUP($A26,数出表_Excel!$A$6:$T$150,COLUMN()/2+1,FALSE))),"")</f>
        <v/>
      </c>
      <c r="C26" s="90"/>
      <c r="D26" s="125" t="str">
        <f ca="1">IFERROR(VALUE(IF(VLOOKUP($A26,数出表_Excel!$A$6:$T$150,COLUMN()/2+1,FALSE)=0,"",VLOOKUP($A26,数出表_Excel!$A$6:$T$150,COLUMN()/2+1,FALSE))),"")</f>
        <v/>
      </c>
      <c r="E26" s="90"/>
      <c r="F26" s="127" t="str">
        <f ca="1">IFERROR(VALUE(IF(VLOOKUP($A26,数出表_Excel!$A$6:$T$150,COLUMN()/2+1,FALSE)=0,"",VLOOKUP($A26,数出表_Excel!$A$6:$T$150,COLUMN()/2+1,FALSE))),"")</f>
        <v/>
      </c>
      <c r="G26" s="90"/>
      <c r="H26" s="125" t="str">
        <f ca="1">IFERROR(VALUE(IF(VLOOKUP($A26,数出表_Excel!$A$6:$T$150,COLUMN()/2+1,FALSE)=0,"",VLOOKUP($A26,数出表_Excel!$A$6:$T$150,COLUMN()/2+1,FALSE))),"")</f>
        <v/>
      </c>
      <c r="I26" s="90"/>
      <c r="J26" s="125" t="str">
        <f ca="1">IFERROR(VALUE(IF(VLOOKUP($A26,数出表_Excel!$A$6:$T$150,COLUMN()/2+1,FALSE)=0,"",VLOOKUP($A26,数出表_Excel!$A$6:$T$150,COLUMN()/2+1,FALSE))),"")</f>
        <v/>
      </c>
      <c r="K26" s="90"/>
      <c r="L26" s="127" t="str">
        <f ca="1">IFERROR(VALUE(IF(VLOOKUP($A26,数出表_Excel!$A$6:$T$150,COLUMN()/2+1,FALSE)=0,"",VLOOKUP($A26,数出表_Excel!$A$6:$T$150,COLUMN()/2+1,FALSE))),"")</f>
        <v/>
      </c>
      <c r="M26" s="90"/>
      <c r="N26" s="125" t="str">
        <f ca="1">IFERROR(VALUE(IF(VLOOKUP($A26,数出表_Excel!$A$6:$T$150,COLUMN()/2+1,FALSE)=0,"",VLOOKUP($A26,数出表_Excel!$A$6:$T$150,COLUMN()/2+1,FALSE))),"")</f>
        <v/>
      </c>
      <c r="O26" s="90"/>
      <c r="P26" s="125" t="str">
        <f ca="1">IFERROR(VALUE(IF(VLOOKUP($A26,数出表_Excel!$A$6:$T$150,COLUMN()/2+1,FALSE)=0,"",VLOOKUP($A26,数出表_Excel!$A$6:$T$150,COLUMN()/2+1,FALSE))),"")</f>
        <v/>
      </c>
      <c r="Q26" s="90"/>
      <c r="R26" s="125" t="str">
        <f ca="1">IFERROR(VALUE(IF(VLOOKUP($A26,数出表_Excel!$A$6:$T$150,COLUMN()/2+1,FALSE)=0,"",VLOOKUP($A26,数出表_Excel!$A$6:$T$150,COLUMN()/2+1,FALSE))),"")</f>
        <v/>
      </c>
      <c r="S26" s="90"/>
      <c r="T26" s="125" t="str">
        <f ca="1">IFERROR(VALUE(IF(VLOOKUP($A26,数出表_Excel!$A$6:$T$150,COLUMN()/2+1,FALSE)=0,"",VLOOKUP($A26,数出表_Excel!$A$6:$T$150,COLUMN()/2+1,FALSE))),"")</f>
        <v/>
      </c>
      <c r="U26" s="90"/>
      <c r="V26" s="127" t="str">
        <f ca="1">IFERROR(VALUE(IF(VLOOKUP($A26,数出表_Excel!$A$6:$T$150,COLUMN()/2+1,FALSE)=0,"",VLOOKUP($A26,数出表_Excel!$A$6:$T$150,COLUMN()/2+1,FALSE))),"")</f>
        <v/>
      </c>
      <c r="W26" s="90"/>
      <c r="X26" s="127" t="str">
        <f ca="1">IFERROR(VALUE(IF(VLOOKUP($A26,数出表_Excel!$A$6:$T$150,COLUMN()/2+1,FALSE)=0,"",VLOOKUP($A26,数出表_Excel!$A$6:$T$150,COLUMN()/2+1,FALSE))),"")</f>
        <v/>
      </c>
      <c r="Y26" s="90"/>
      <c r="Z26" s="127" t="str">
        <f ca="1">IFERROR(VALUE(IF(VLOOKUP($A26,数出表_Excel!$A$6:$T$150,COLUMN()/2+1,FALSE)=0,"",VLOOKUP($A26,数出表_Excel!$A$6:$T$150,COLUMN()/2+1,FALSE))),"")</f>
        <v/>
      </c>
      <c r="AA26" s="128"/>
      <c r="AB26" s="126" t="str">
        <f ca="1">IFERROR(VALUE(IF(VLOOKUP($A26,数出表_Excel!$A$6:$T$150,COLUMN()/2+1,FALSE)=0,"",VLOOKUP($A26,数出表_Excel!$A$6:$T$150,COLUMN()/2+1,FALSE))),"")</f>
        <v/>
      </c>
      <c r="AC26" s="90"/>
      <c r="AD26" s="127" t="str">
        <f ca="1">IFERROR(VALUE(IF(VLOOKUP($A26,数出表_Excel!$A$6:$T$150,COLUMN()/2+1,FALSE)=0,"",VLOOKUP($A26,数出表_Excel!$A$6:$T$150,COLUMN()/2+1,FALSE))),"")</f>
        <v/>
      </c>
      <c r="AE26" s="90"/>
      <c r="AF26" s="127" t="str">
        <f ca="1">IFERROR(VALUE(IF(VLOOKUP($A26,数出表_Excel!$A$6:$T$150,COLUMN()/2+1,FALSE)=0,"",VLOOKUP($A26,数出表_Excel!$A$6:$T$150,COLUMN()/2+1,FALSE))),"")</f>
        <v/>
      </c>
      <c r="AG26" s="90"/>
      <c r="AH26" s="127" t="str">
        <f ca="1">IFERROR(VALUE(IF(VLOOKUP($A26,数出表_Excel!$A$6:$T$150,COLUMN()/2+1,FALSE)=0,"",VLOOKUP($A26,数出表_Excel!$A$6:$T$150,COLUMN()/2+1,FALSE))),"")</f>
        <v/>
      </c>
      <c r="AI26" s="128"/>
      <c r="AJ26" s="126" t="str">
        <f ca="1">IFERROR(VALUE(IF(VLOOKUP($A26,数出表_Excel!$A$6:$T$150,COLUMN()/2+1,FALSE)=0,"",VLOOKUP($A26,数出表_Excel!$A$6:$T$150,COLUMN()/2+1,FALSE))),"")</f>
        <v/>
      </c>
      <c r="AK26" s="90"/>
      <c r="AL26" s="94" t="e">
        <f ca="1">IF(A26&lt;&gt;"",
IF(VLOOKUP($A26,数出表_Excel!$A$6:$T$150,COLUMN()/2+1,FALSE)=0,"",VLOOKUP($A26,数出表_Excel!$A$6:$T$150,COLUMN()/2+1,FALSE)),"")</f>
        <v>#N/A</v>
      </c>
      <c r="AM26" s="175" t="e">
        <f ca="1">数出表_Excel!V26</f>
        <v>#N/A</v>
      </c>
      <c r="AN26" s="176" t="e">
        <f ca="1">数出表_Excel!W26</f>
        <v>#N/A</v>
      </c>
    </row>
    <row r="27" spans="1:40" ht="16.2" customHeight="1">
      <c r="A27" s="138" t="e">
        <f t="array" aca="1" ref="A27" ca="1">IF(OR(COUNTIF(A25,"*1000*"),COUNTIF(A25,"")),"",INDEX(貼り付け用!$A1:$A200,MATCH(A25,貼り付け用!$A1:$A200,0)+2,0))</f>
        <v>#N/A</v>
      </c>
      <c r="B27" s="91" t="str">
        <f ca="1">IFERROR(VALUE(IF(VLOOKUP($A27,数出表_Excel!$A$6:$T$150,COLUMN()/2+1,FALSE)=0,"",VLOOKUP($A27,数出表_Excel!$A$6:$T$150,COLUMN()/2+1,FALSE))),"")</f>
        <v/>
      </c>
      <c r="C27" s="91"/>
      <c r="D27" s="91" t="str">
        <f ca="1">IFERROR(VALUE(IF(VLOOKUP($A27,数出表_Excel!$A$6:$T$150,COLUMN()/2+1,FALSE)=0,"",VLOOKUP($A27,数出表_Excel!$A$6:$T$150,COLUMN()/2+1,FALSE))),"")</f>
        <v/>
      </c>
      <c r="E27" s="91"/>
      <c r="F27" s="95" t="str">
        <f ca="1">IFERROR(VALUE(IF(VLOOKUP($A27,数出表_Excel!$A$6:$T$150,COLUMN()/2+1,FALSE)=0,"",VLOOKUP($A27,数出表_Excel!$A$6:$T$150,COLUMN()/2+1,FALSE))),"")</f>
        <v/>
      </c>
      <c r="G27" s="91"/>
      <c r="H27" s="91" t="str">
        <f ca="1">IFERROR(VALUE(IF(VLOOKUP($A27,数出表_Excel!$A$6:$T$150,COLUMN()/2+1,FALSE)=0,"",VLOOKUP($A27,数出表_Excel!$A$6:$T$150,COLUMN()/2+1,FALSE))),"")</f>
        <v/>
      </c>
      <c r="I27" s="91"/>
      <c r="J27" s="91" t="str">
        <f ca="1">IFERROR(VALUE(IF(VLOOKUP($A27,数出表_Excel!$A$6:$T$150,COLUMN()/2+1,FALSE)=0,"",VLOOKUP($A27,数出表_Excel!$A$6:$T$150,COLUMN()/2+1,FALSE))),"")</f>
        <v/>
      </c>
      <c r="K27" s="91"/>
      <c r="L27" s="95" t="str">
        <f ca="1">IFERROR(VALUE(IF(VLOOKUP($A27,数出表_Excel!$A$6:$T$150,COLUMN()/2+1,FALSE)=0,"",VLOOKUP($A27,数出表_Excel!$A$6:$T$150,COLUMN()/2+1,FALSE))),"")</f>
        <v/>
      </c>
      <c r="M27" s="91"/>
      <c r="N27" s="91" t="str">
        <f ca="1">IFERROR(VALUE(IF(VLOOKUP($A27,数出表_Excel!$A$6:$T$150,COLUMN()/2+1,FALSE)=0,"",VLOOKUP($A27,数出表_Excel!$A$6:$T$150,COLUMN()/2+1,FALSE))),"")</f>
        <v/>
      </c>
      <c r="O27" s="91"/>
      <c r="P27" s="91" t="str">
        <f ca="1">IFERROR(VALUE(IF(VLOOKUP($A27,数出表_Excel!$A$6:$T$150,COLUMN()/2+1,FALSE)=0,"",VLOOKUP($A27,数出表_Excel!$A$6:$T$150,COLUMN()/2+1,FALSE))),"")</f>
        <v/>
      </c>
      <c r="Q27" s="91"/>
      <c r="R27" s="91" t="str">
        <f ca="1">IFERROR(VALUE(IF(VLOOKUP($A27,数出表_Excel!$A$6:$T$150,COLUMN()/2+1,FALSE)=0,"",VLOOKUP($A27,数出表_Excel!$A$6:$T$150,COLUMN()/2+1,FALSE))),"")</f>
        <v/>
      </c>
      <c r="S27" s="91"/>
      <c r="T27" s="91" t="str">
        <f ca="1">IFERROR(VALUE(IF(VLOOKUP($A27,数出表_Excel!$A$6:$T$150,COLUMN()/2+1,FALSE)=0,"",VLOOKUP($A27,数出表_Excel!$A$6:$T$150,COLUMN()/2+1,FALSE))),"")</f>
        <v/>
      </c>
      <c r="U27" s="91"/>
      <c r="V27" s="95" t="str">
        <f ca="1">IFERROR(VALUE(IF(VLOOKUP($A27,数出表_Excel!$A$6:$T$150,COLUMN()/2+1,FALSE)=0,"",VLOOKUP($A27,数出表_Excel!$A$6:$T$150,COLUMN()/2+1,FALSE))),"")</f>
        <v/>
      </c>
      <c r="W27" s="91"/>
      <c r="X27" s="95" t="str">
        <f ca="1">IFERROR(VALUE(IF(VLOOKUP($A27,数出表_Excel!$A$6:$T$150,COLUMN()/2+1,FALSE)=0,"",VLOOKUP($A27,数出表_Excel!$A$6:$T$150,COLUMN()/2+1,FALSE))),"")</f>
        <v/>
      </c>
      <c r="Y27" s="91"/>
      <c r="Z27" s="95" t="str">
        <f ca="1">IFERROR(VALUE(IF(VLOOKUP($A27,数出表_Excel!$A$6:$T$150,COLUMN()/2+1,FALSE)=0,"",VLOOKUP($A27,数出表_Excel!$A$6:$T$150,COLUMN()/2+1,FALSE))),"")</f>
        <v/>
      </c>
      <c r="AA27" s="129"/>
      <c r="AB27" s="96" t="str">
        <f ca="1">IFERROR(VALUE(IF(VLOOKUP($A27,数出表_Excel!$A$6:$T$150,COLUMN()/2+1,FALSE)=0,"",VLOOKUP($A27,数出表_Excel!$A$6:$T$150,COLUMN()/2+1,FALSE))),"")</f>
        <v/>
      </c>
      <c r="AC27" s="91"/>
      <c r="AD27" s="95" t="str">
        <f ca="1">IFERROR(VALUE(IF(VLOOKUP($A27,数出表_Excel!$A$6:$T$150,COLUMN()/2+1,FALSE)=0,"",VLOOKUP($A27,数出表_Excel!$A$6:$T$150,COLUMN()/2+1,FALSE))),"")</f>
        <v/>
      </c>
      <c r="AE27" s="91"/>
      <c r="AF27" s="95" t="str">
        <f ca="1">IFERROR(VALUE(IF(VLOOKUP($A27,数出表_Excel!$A$6:$T$150,COLUMN()/2+1,FALSE)=0,"",VLOOKUP($A27,数出表_Excel!$A$6:$T$150,COLUMN()/2+1,FALSE))),"")</f>
        <v/>
      </c>
      <c r="AG27" s="91"/>
      <c r="AH27" s="95" t="str">
        <f ca="1">IFERROR(VALUE(IF(VLOOKUP($A27,数出表_Excel!$A$6:$T$150,COLUMN()/2+1,FALSE)=0,"",VLOOKUP($A27,数出表_Excel!$A$6:$T$150,COLUMN()/2+1,FALSE))),"")</f>
        <v/>
      </c>
      <c r="AI27" s="129"/>
      <c r="AJ27" s="96" t="str">
        <f ca="1">IFERROR(VALUE(IF(VLOOKUP($A27,数出表_Excel!$A$6:$T$150,COLUMN()/2+1,FALSE)=0,"",VLOOKUP($A27,数出表_Excel!$A$6:$T$150,COLUMN()/2+1,FALSE))),"")</f>
        <v/>
      </c>
      <c r="AK27" s="91"/>
      <c r="AL27" s="97" t="e">
        <f ca="1">IF(A27&lt;&gt;"",
IF(VLOOKUP($A27,数出表_Excel!$A$6:$T$150,COLUMN()/2+1,FALSE)=0,"",VLOOKUP($A27,数出表_Excel!$A$6:$T$150,COLUMN()/2+1,FALSE)),"")</f>
        <v>#N/A</v>
      </c>
      <c r="AM27" s="177" t="e">
        <f ca="1">数出表_Excel!V27</f>
        <v>#N/A</v>
      </c>
      <c r="AN27" s="178" t="e">
        <f ca="1">数出表_Excel!W27</f>
        <v>#N/A</v>
      </c>
    </row>
    <row r="28" spans="1:40" ht="16.2" customHeight="1">
      <c r="A28" s="137" t="e">
        <f t="array" aca="1" ref="A28" ca="1">IF(OR(COUNTIF(A26,"*10002*"),COUNTIF(A26,"")),"",INDEX(貼り付け用!$A1:$A200,MATCH(A26,貼り付け用!$A1:$A200,0)+2,0))</f>
        <v>#N/A</v>
      </c>
      <c r="B28" s="125" t="str">
        <f ca="1">IFERROR(VALUE(IF(VLOOKUP($A28,数出表_Excel!$A$6:$T$150,COLUMN()/2+1,FALSE)=0,"",VLOOKUP($A28,数出表_Excel!$A$6:$T$150,COLUMN()/2+1,FALSE))),"")</f>
        <v/>
      </c>
      <c r="C28" s="90"/>
      <c r="D28" s="125" t="str">
        <f ca="1">IFERROR(VALUE(IF(VLOOKUP($A28,数出表_Excel!$A$6:$T$150,COLUMN()/2+1,FALSE)=0,"",VLOOKUP($A28,数出表_Excel!$A$6:$T$150,COLUMN()/2+1,FALSE))),"")</f>
        <v/>
      </c>
      <c r="E28" s="90"/>
      <c r="F28" s="127" t="str">
        <f ca="1">IFERROR(VALUE(IF(VLOOKUP($A28,数出表_Excel!$A$6:$T$150,COLUMN()/2+1,FALSE)=0,"",VLOOKUP($A28,数出表_Excel!$A$6:$T$150,COLUMN()/2+1,FALSE))),"")</f>
        <v/>
      </c>
      <c r="G28" s="90"/>
      <c r="H28" s="125" t="str">
        <f ca="1">IFERROR(VALUE(IF(VLOOKUP($A28,数出表_Excel!$A$6:$T$150,COLUMN()/2+1,FALSE)=0,"",VLOOKUP($A28,数出表_Excel!$A$6:$T$150,COLUMN()/2+1,FALSE))),"")</f>
        <v/>
      </c>
      <c r="I28" s="90"/>
      <c r="J28" s="125" t="str">
        <f ca="1">IFERROR(VALUE(IF(VLOOKUP($A28,数出表_Excel!$A$6:$T$150,COLUMN()/2+1,FALSE)=0,"",VLOOKUP($A28,数出表_Excel!$A$6:$T$150,COLUMN()/2+1,FALSE))),"")</f>
        <v/>
      </c>
      <c r="K28" s="90"/>
      <c r="L28" s="127" t="str">
        <f ca="1">IFERROR(VALUE(IF(VLOOKUP($A28,数出表_Excel!$A$6:$T$150,COLUMN()/2+1,FALSE)=0,"",VLOOKUP($A28,数出表_Excel!$A$6:$T$150,COLUMN()/2+1,FALSE))),"")</f>
        <v/>
      </c>
      <c r="M28" s="90"/>
      <c r="N28" s="125" t="str">
        <f ca="1">IFERROR(VALUE(IF(VLOOKUP($A28,数出表_Excel!$A$6:$T$150,COLUMN()/2+1,FALSE)=0,"",VLOOKUP($A28,数出表_Excel!$A$6:$T$150,COLUMN()/2+1,FALSE))),"")</f>
        <v/>
      </c>
      <c r="O28" s="90"/>
      <c r="P28" s="125" t="str">
        <f ca="1">IFERROR(VALUE(IF(VLOOKUP($A28,数出表_Excel!$A$6:$T$150,COLUMN()/2+1,FALSE)=0,"",VLOOKUP($A28,数出表_Excel!$A$6:$T$150,COLUMN()/2+1,FALSE))),"")</f>
        <v/>
      </c>
      <c r="Q28" s="90"/>
      <c r="R28" s="125" t="str">
        <f ca="1">IFERROR(VALUE(IF(VLOOKUP($A28,数出表_Excel!$A$6:$T$150,COLUMN()/2+1,FALSE)=0,"",VLOOKUP($A28,数出表_Excel!$A$6:$T$150,COLUMN()/2+1,FALSE))),"")</f>
        <v/>
      </c>
      <c r="S28" s="90"/>
      <c r="T28" s="125" t="str">
        <f ca="1">IFERROR(VALUE(IF(VLOOKUP($A28,数出表_Excel!$A$6:$T$150,COLUMN()/2+1,FALSE)=0,"",VLOOKUP($A28,数出表_Excel!$A$6:$T$150,COLUMN()/2+1,FALSE))),"")</f>
        <v/>
      </c>
      <c r="U28" s="90"/>
      <c r="V28" s="127" t="str">
        <f ca="1">IFERROR(VALUE(IF(VLOOKUP($A28,数出表_Excel!$A$6:$T$150,COLUMN()/2+1,FALSE)=0,"",VLOOKUP($A28,数出表_Excel!$A$6:$T$150,COLUMN()/2+1,FALSE))),"")</f>
        <v/>
      </c>
      <c r="W28" s="90"/>
      <c r="X28" s="127" t="str">
        <f ca="1">IFERROR(VALUE(IF(VLOOKUP($A28,数出表_Excel!$A$6:$T$150,COLUMN()/2+1,FALSE)=0,"",VLOOKUP($A28,数出表_Excel!$A$6:$T$150,COLUMN()/2+1,FALSE))),"")</f>
        <v/>
      </c>
      <c r="Y28" s="90"/>
      <c r="Z28" s="127" t="str">
        <f ca="1">IFERROR(VALUE(IF(VLOOKUP($A28,数出表_Excel!$A$6:$T$150,COLUMN()/2+1,FALSE)=0,"",VLOOKUP($A28,数出表_Excel!$A$6:$T$150,COLUMN()/2+1,FALSE))),"")</f>
        <v/>
      </c>
      <c r="AA28" s="128"/>
      <c r="AB28" s="126" t="str">
        <f ca="1">IFERROR(VALUE(IF(VLOOKUP($A28,数出表_Excel!$A$6:$T$150,COLUMN()/2+1,FALSE)=0,"",VLOOKUP($A28,数出表_Excel!$A$6:$T$150,COLUMN()/2+1,FALSE))),"")</f>
        <v/>
      </c>
      <c r="AC28" s="90"/>
      <c r="AD28" s="127" t="str">
        <f ca="1">IFERROR(VALUE(IF(VLOOKUP($A28,数出表_Excel!$A$6:$T$150,COLUMN()/2+1,FALSE)=0,"",VLOOKUP($A28,数出表_Excel!$A$6:$T$150,COLUMN()/2+1,FALSE))),"")</f>
        <v/>
      </c>
      <c r="AE28" s="90"/>
      <c r="AF28" s="127" t="str">
        <f ca="1">IFERROR(VALUE(IF(VLOOKUP($A28,数出表_Excel!$A$6:$T$150,COLUMN()/2+1,FALSE)=0,"",VLOOKUP($A28,数出表_Excel!$A$6:$T$150,COLUMN()/2+1,FALSE))),"")</f>
        <v/>
      </c>
      <c r="AG28" s="90"/>
      <c r="AH28" s="127" t="str">
        <f ca="1">IFERROR(VALUE(IF(VLOOKUP($A28,数出表_Excel!$A$6:$T$150,COLUMN()/2+1,FALSE)=0,"",VLOOKUP($A28,数出表_Excel!$A$6:$T$150,COLUMN()/2+1,FALSE))),"")</f>
        <v/>
      </c>
      <c r="AI28" s="128"/>
      <c r="AJ28" s="126" t="str">
        <f ca="1">IFERROR(VALUE(IF(VLOOKUP($A28,数出表_Excel!$A$6:$T$150,COLUMN()/2+1,FALSE)=0,"",VLOOKUP($A28,数出表_Excel!$A$6:$T$150,COLUMN()/2+1,FALSE))),"")</f>
        <v/>
      </c>
      <c r="AK28" s="90"/>
      <c r="AL28" s="94" t="e">
        <f ca="1">IF(A28&lt;&gt;"",
IF(VLOOKUP($A28,数出表_Excel!$A$6:$T$150,COLUMN()/2+1,FALSE)=0,"",VLOOKUP($A28,数出表_Excel!$A$6:$T$150,COLUMN()/2+1,FALSE)),"")</f>
        <v>#N/A</v>
      </c>
      <c r="AM28" s="175" t="e">
        <f ca="1">数出表_Excel!V28</f>
        <v>#N/A</v>
      </c>
      <c r="AN28" s="176" t="e">
        <f ca="1">数出表_Excel!W28</f>
        <v>#N/A</v>
      </c>
    </row>
    <row r="29" spans="1:40" ht="16.2" customHeight="1">
      <c r="A29" s="138" t="e">
        <f t="array" aca="1" ref="A29" ca="1">IF(OR(COUNTIF(A27,"*1000*"),COUNTIF(A27,"")),"",INDEX(貼り付け用!$A1:$A200,MATCH(A27,貼り付け用!$A1:$A200,0)+2,0))</f>
        <v>#N/A</v>
      </c>
      <c r="B29" s="91" t="str">
        <f ca="1">IFERROR(VALUE(IF(VLOOKUP($A29,数出表_Excel!$A$6:$T$150,COLUMN()/2+1,FALSE)=0,"",VLOOKUP($A29,数出表_Excel!$A$6:$T$150,COLUMN()/2+1,FALSE))),"")</f>
        <v/>
      </c>
      <c r="C29" s="91"/>
      <c r="D29" s="91" t="str">
        <f ca="1">IFERROR(VALUE(IF(VLOOKUP($A29,数出表_Excel!$A$6:$T$150,COLUMN()/2+1,FALSE)=0,"",VLOOKUP($A29,数出表_Excel!$A$6:$T$150,COLUMN()/2+1,FALSE))),"")</f>
        <v/>
      </c>
      <c r="E29" s="91"/>
      <c r="F29" s="95" t="str">
        <f ca="1">IFERROR(VALUE(IF(VLOOKUP($A29,数出表_Excel!$A$6:$T$150,COLUMN()/2+1,FALSE)=0,"",VLOOKUP($A29,数出表_Excel!$A$6:$T$150,COLUMN()/2+1,FALSE))),"")</f>
        <v/>
      </c>
      <c r="G29" s="91"/>
      <c r="H29" s="91" t="str">
        <f ca="1">IFERROR(VALUE(IF(VLOOKUP($A29,数出表_Excel!$A$6:$T$150,COLUMN()/2+1,FALSE)=0,"",VLOOKUP($A29,数出表_Excel!$A$6:$T$150,COLUMN()/2+1,FALSE))),"")</f>
        <v/>
      </c>
      <c r="I29" s="91"/>
      <c r="J29" s="91" t="str">
        <f ca="1">IFERROR(VALUE(IF(VLOOKUP($A29,数出表_Excel!$A$6:$T$150,COLUMN()/2+1,FALSE)=0,"",VLOOKUP($A29,数出表_Excel!$A$6:$T$150,COLUMN()/2+1,FALSE))),"")</f>
        <v/>
      </c>
      <c r="K29" s="91"/>
      <c r="L29" s="95" t="str">
        <f ca="1">IFERROR(VALUE(IF(VLOOKUP($A29,数出表_Excel!$A$6:$T$150,COLUMN()/2+1,FALSE)=0,"",VLOOKUP($A29,数出表_Excel!$A$6:$T$150,COLUMN()/2+1,FALSE))),"")</f>
        <v/>
      </c>
      <c r="M29" s="91"/>
      <c r="N29" s="91" t="str">
        <f ca="1">IFERROR(VALUE(IF(VLOOKUP($A29,数出表_Excel!$A$6:$T$150,COLUMN()/2+1,FALSE)=0,"",VLOOKUP($A29,数出表_Excel!$A$6:$T$150,COLUMN()/2+1,FALSE))),"")</f>
        <v/>
      </c>
      <c r="O29" s="91"/>
      <c r="P29" s="91" t="str">
        <f ca="1">IFERROR(VALUE(IF(VLOOKUP($A29,数出表_Excel!$A$6:$T$150,COLUMN()/2+1,FALSE)=0,"",VLOOKUP($A29,数出表_Excel!$A$6:$T$150,COLUMN()/2+1,FALSE))),"")</f>
        <v/>
      </c>
      <c r="Q29" s="91"/>
      <c r="R29" s="91" t="str">
        <f ca="1">IFERROR(VALUE(IF(VLOOKUP($A29,数出表_Excel!$A$6:$T$150,COLUMN()/2+1,FALSE)=0,"",VLOOKUP($A29,数出表_Excel!$A$6:$T$150,COLUMN()/2+1,FALSE))),"")</f>
        <v/>
      </c>
      <c r="S29" s="91"/>
      <c r="T29" s="91" t="str">
        <f ca="1">IFERROR(VALUE(IF(VLOOKUP($A29,数出表_Excel!$A$6:$T$150,COLUMN()/2+1,FALSE)=0,"",VLOOKUP($A29,数出表_Excel!$A$6:$T$150,COLUMN()/2+1,FALSE))),"")</f>
        <v/>
      </c>
      <c r="U29" s="91"/>
      <c r="V29" s="95" t="str">
        <f ca="1">IFERROR(VALUE(IF(VLOOKUP($A29,数出表_Excel!$A$6:$T$150,COLUMN()/2+1,FALSE)=0,"",VLOOKUP($A29,数出表_Excel!$A$6:$T$150,COLUMN()/2+1,FALSE))),"")</f>
        <v/>
      </c>
      <c r="W29" s="91"/>
      <c r="X29" s="95" t="str">
        <f ca="1">IFERROR(VALUE(IF(VLOOKUP($A29,数出表_Excel!$A$6:$T$150,COLUMN()/2+1,FALSE)=0,"",VLOOKUP($A29,数出表_Excel!$A$6:$T$150,COLUMN()/2+1,FALSE))),"")</f>
        <v/>
      </c>
      <c r="Y29" s="91"/>
      <c r="Z29" s="95" t="str">
        <f ca="1">IFERROR(VALUE(IF(VLOOKUP($A29,数出表_Excel!$A$6:$T$150,COLUMN()/2+1,FALSE)=0,"",VLOOKUP($A29,数出表_Excel!$A$6:$T$150,COLUMN()/2+1,FALSE))),"")</f>
        <v/>
      </c>
      <c r="AA29" s="129"/>
      <c r="AB29" s="96" t="str">
        <f ca="1">IFERROR(VALUE(IF(VLOOKUP($A29,数出表_Excel!$A$6:$T$150,COLUMN()/2+1,FALSE)=0,"",VLOOKUP($A29,数出表_Excel!$A$6:$T$150,COLUMN()/2+1,FALSE))),"")</f>
        <v/>
      </c>
      <c r="AC29" s="91"/>
      <c r="AD29" s="95" t="str">
        <f ca="1">IFERROR(VALUE(IF(VLOOKUP($A29,数出表_Excel!$A$6:$T$150,COLUMN()/2+1,FALSE)=0,"",VLOOKUP($A29,数出表_Excel!$A$6:$T$150,COLUMN()/2+1,FALSE))),"")</f>
        <v/>
      </c>
      <c r="AE29" s="91"/>
      <c r="AF29" s="95" t="str">
        <f ca="1">IFERROR(VALUE(IF(VLOOKUP($A29,数出表_Excel!$A$6:$T$150,COLUMN()/2+1,FALSE)=0,"",VLOOKUP($A29,数出表_Excel!$A$6:$T$150,COLUMN()/2+1,FALSE))),"")</f>
        <v/>
      </c>
      <c r="AG29" s="91"/>
      <c r="AH29" s="95" t="str">
        <f ca="1">IFERROR(VALUE(IF(VLOOKUP($A29,数出表_Excel!$A$6:$T$150,COLUMN()/2+1,FALSE)=0,"",VLOOKUP($A29,数出表_Excel!$A$6:$T$150,COLUMN()/2+1,FALSE))),"")</f>
        <v/>
      </c>
      <c r="AI29" s="129"/>
      <c r="AJ29" s="96" t="str">
        <f ca="1">IFERROR(VALUE(IF(VLOOKUP($A29,数出表_Excel!$A$6:$T$150,COLUMN()/2+1,FALSE)=0,"",VLOOKUP($A29,数出表_Excel!$A$6:$T$150,COLUMN()/2+1,FALSE))),"")</f>
        <v/>
      </c>
      <c r="AK29" s="91"/>
      <c r="AL29" s="97" t="e">
        <f ca="1">IF(A29&lt;&gt;"",
IF(VLOOKUP($A29,数出表_Excel!$A$6:$T$150,COLUMN()/2+1,FALSE)=0,"",VLOOKUP($A29,数出表_Excel!$A$6:$T$150,COLUMN()/2+1,FALSE)),"")</f>
        <v>#N/A</v>
      </c>
      <c r="AM29" s="177" t="e">
        <f ca="1">数出表_Excel!V29</f>
        <v>#N/A</v>
      </c>
      <c r="AN29" s="178" t="e">
        <f ca="1">数出表_Excel!W29</f>
        <v>#N/A</v>
      </c>
    </row>
    <row r="30" spans="1:40" ht="16.2" customHeight="1">
      <c r="A30" s="137" t="e">
        <f t="array" aca="1" ref="A30" ca="1">IF(OR(COUNTIF(A28,"*10002*"),COUNTIF(A28,"")),"",INDEX(貼り付け用!$A1:$A200,MATCH(A28,貼り付け用!$A1:$A200,0)+2,0))</f>
        <v>#N/A</v>
      </c>
      <c r="B30" s="125" t="str">
        <f ca="1">IFERROR(VALUE(IF(VLOOKUP($A30,数出表_Excel!$A$6:$T$150,COLUMN()/2+1,FALSE)=0,"",VLOOKUP($A30,数出表_Excel!$A$6:$T$150,COLUMN()/2+1,FALSE))),"")</f>
        <v/>
      </c>
      <c r="C30" s="90"/>
      <c r="D30" s="125" t="str">
        <f ca="1">IFERROR(VALUE(IF(VLOOKUP($A30,数出表_Excel!$A$6:$T$150,COLUMN()/2+1,FALSE)=0,"",VLOOKUP($A30,数出表_Excel!$A$6:$T$150,COLUMN()/2+1,FALSE))),"")</f>
        <v/>
      </c>
      <c r="E30" s="90"/>
      <c r="F30" s="127" t="str">
        <f ca="1">IFERROR(VALUE(IF(VLOOKUP($A30,数出表_Excel!$A$6:$T$150,COLUMN()/2+1,FALSE)=0,"",VLOOKUP($A30,数出表_Excel!$A$6:$T$150,COLUMN()/2+1,FALSE))),"")</f>
        <v/>
      </c>
      <c r="G30" s="90"/>
      <c r="H30" s="125" t="str">
        <f ca="1">IFERROR(VALUE(IF(VLOOKUP($A30,数出表_Excel!$A$6:$T$150,COLUMN()/2+1,FALSE)=0,"",VLOOKUP($A30,数出表_Excel!$A$6:$T$150,COLUMN()/2+1,FALSE))),"")</f>
        <v/>
      </c>
      <c r="I30" s="90"/>
      <c r="J30" s="125" t="str">
        <f ca="1">IFERROR(VALUE(IF(VLOOKUP($A30,数出表_Excel!$A$6:$T$150,COLUMN()/2+1,FALSE)=0,"",VLOOKUP($A30,数出表_Excel!$A$6:$T$150,COLUMN()/2+1,FALSE))),"")</f>
        <v/>
      </c>
      <c r="K30" s="90"/>
      <c r="L30" s="127" t="str">
        <f ca="1">IFERROR(VALUE(IF(VLOOKUP($A30,数出表_Excel!$A$6:$T$150,COLUMN()/2+1,FALSE)=0,"",VLOOKUP($A30,数出表_Excel!$A$6:$T$150,COLUMN()/2+1,FALSE))),"")</f>
        <v/>
      </c>
      <c r="M30" s="90"/>
      <c r="N30" s="125" t="str">
        <f ca="1">IFERROR(VALUE(IF(VLOOKUP($A30,数出表_Excel!$A$6:$T$150,COLUMN()/2+1,FALSE)=0,"",VLOOKUP($A30,数出表_Excel!$A$6:$T$150,COLUMN()/2+1,FALSE))),"")</f>
        <v/>
      </c>
      <c r="O30" s="90"/>
      <c r="P30" s="125" t="str">
        <f ca="1">IFERROR(VALUE(IF(VLOOKUP($A30,数出表_Excel!$A$6:$T$150,COLUMN()/2+1,FALSE)=0,"",VLOOKUP($A30,数出表_Excel!$A$6:$T$150,COLUMN()/2+1,FALSE))),"")</f>
        <v/>
      </c>
      <c r="Q30" s="90"/>
      <c r="R30" s="125" t="str">
        <f ca="1">IFERROR(VALUE(IF(VLOOKUP($A30,数出表_Excel!$A$6:$T$150,COLUMN()/2+1,FALSE)=0,"",VLOOKUP($A30,数出表_Excel!$A$6:$T$150,COLUMN()/2+1,FALSE))),"")</f>
        <v/>
      </c>
      <c r="S30" s="90"/>
      <c r="T30" s="125" t="str">
        <f ca="1">IFERROR(VALUE(IF(VLOOKUP($A30,数出表_Excel!$A$6:$T$150,COLUMN()/2+1,FALSE)=0,"",VLOOKUP($A30,数出表_Excel!$A$6:$T$150,COLUMN()/2+1,FALSE))),"")</f>
        <v/>
      </c>
      <c r="U30" s="90"/>
      <c r="V30" s="127" t="str">
        <f ca="1">IFERROR(VALUE(IF(VLOOKUP($A30,数出表_Excel!$A$6:$T$150,COLUMN()/2+1,FALSE)=0,"",VLOOKUP($A30,数出表_Excel!$A$6:$T$150,COLUMN()/2+1,FALSE))),"")</f>
        <v/>
      </c>
      <c r="W30" s="90"/>
      <c r="X30" s="127" t="str">
        <f ca="1">IFERROR(VALUE(IF(VLOOKUP($A30,数出表_Excel!$A$6:$T$150,COLUMN()/2+1,FALSE)=0,"",VLOOKUP($A30,数出表_Excel!$A$6:$T$150,COLUMN()/2+1,FALSE))),"")</f>
        <v/>
      </c>
      <c r="Y30" s="90"/>
      <c r="Z30" s="127" t="str">
        <f ca="1">IFERROR(VALUE(IF(VLOOKUP($A30,数出表_Excel!$A$6:$T$150,COLUMN()/2+1,FALSE)=0,"",VLOOKUP($A30,数出表_Excel!$A$6:$T$150,COLUMN()/2+1,FALSE))),"")</f>
        <v/>
      </c>
      <c r="AA30" s="128"/>
      <c r="AB30" s="126" t="str">
        <f ca="1">IFERROR(VALUE(IF(VLOOKUP($A30,数出表_Excel!$A$6:$T$150,COLUMN()/2+1,FALSE)=0,"",VLOOKUP($A30,数出表_Excel!$A$6:$T$150,COLUMN()/2+1,FALSE))),"")</f>
        <v/>
      </c>
      <c r="AC30" s="90"/>
      <c r="AD30" s="127" t="str">
        <f ca="1">IFERROR(VALUE(IF(VLOOKUP($A30,数出表_Excel!$A$6:$T$150,COLUMN()/2+1,FALSE)=0,"",VLOOKUP($A30,数出表_Excel!$A$6:$T$150,COLUMN()/2+1,FALSE))),"")</f>
        <v/>
      </c>
      <c r="AE30" s="90"/>
      <c r="AF30" s="127" t="str">
        <f ca="1">IFERROR(VALUE(IF(VLOOKUP($A30,数出表_Excel!$A$6:$T$150,COLUMN()/2+1,FALSE)=0,"",VLOOKUP($A30,数出表_Excel!$A$6:$T$150,COLUMN()/2+1,FALSE))),"")</f>
        <v/>
      </c>
      <c r="AG30" s="90"/>
      <c r="AH30" s="127" t="str">
        <f ca="1">IFERROR(VALUE(IF(VLOOKUP($A30,数出表_Excel!$A$6:$T$150,COLUMN()/2+1,FALSE)=0,"",VLOOKUP($A30,数出表_Excel!$A$6:$T$150,COLUMN()/2+1,FALSE))),"")</f>
        <v/>
      </c>
      <c r="AI30" s="128"/>
      <c r="AJ30" s="126" t="str">
        <f ca="1">IFERROR(VALUE(IF(VLOOKUP($A30,数出表_Excel!$A$6:$T$150,COLUMN()/2+1,FALSE)=0,"",VLOOKUP($A30,数出表_Excel!$A$6:$T$150,COLUMN()/2+1,FALSE))),"")</f>
        <v/>
      </c>
      <c r="AK30" s="90"/>
      <c r="AL30" s="94" t="e">
        <f ca="1">IF(A30&lt;&gt;"",
IF(VLOOKUP($A30,数出表_Excel!$A$6:$T$150,COLUMN()/2+1,FALSE)=0,"",VLOOKUP($A30,数出表_Excel!$A$6:$T$150,COLUMN()/2+1,FALSE)),"")</f>
        <v>#N/A</v>
      </c>
      <c r="AM30" s="175" t="e">
        <f ca="1">数出表_Excel!V30</f>
        <v>#N/A</v>
      </c>
      <c r="AN30" s="176" t="e">
        <f ca="1">数出表_Excel!W30</f>
        <v>#N/A</v>
      </c>
    </row>
    <row r="31" spans="1:40" ht="16.2" customHeight="1">
      <c r="A31" s="138" t="e">
        <f t="array" aca="1" ref="A31" ca="1">IF(OR(COUNTIF(A29,"*1000*"),COUNTIF(A29,"")),"",INDEX(貼り付け用!$A1:$A200,MATCH(A29,貼り付け用!$A1:$A200,0)+2,0))</f>
        <v>#N/A</v>
      </c>
      <c r="B31" s="91" t="str">
        <f ca="1">IFERROR(VALUE(IF(VLOOKUP($A31,数出表_Excel!$A$6:$T$150,COLUMN()/2+1,FALSE)=0,"",VLOOKUP($A31,数出表_Excel!$A$6:$T$150,COLUMN()/2+1,FALSE))),"")</f>
        <v/>
      </c>
      <c r="C31" s="91"/>
      <c r="D31" s="91" t="str">
        <f ca="1">IFERROR(VALUE(IF(VLOOKUP($A31,数出表_Excel!$A$6:$T$150,COLUMN()/2+1,FALSE)=0,"",VLOOKUP($A31,数出表_Excel!$A$6:$T$150,COLUMN()/2+1,FALSE))),"")</f>
        <v/>
      </c>
      <c r="E31" s="91"/>
      <c r="F31" s="95" t="str">
        <f ca="1">IFERROR(VALUE(IF(VLOOKUP($A31,数出表_Excel!$A$6:$T$150,COLUMN()/2+1,FALSE)=0,"",VLOOKUP($A31,数出表_Excel!$A$6:$T$150,COLUMN()/2+1,FALSE))),"")</f>
        <v/>
      </c>
      <c r="G31" s="91"/>
      <c r="H31" s="91" t="str">
        <f ca="1">IFERROR(VALUE(IF(VLOOKUP($A31,数出表_Excel!$A$6:$T$150,COLUMN()/2+1,FALSE)=0,"",VLOOKUP($A31,数出表_Excel!$A$6:$T$150,COLUMN()/2+1,FALSE))),"")</f>
        <v/>
      </c>
      <c r="I31" s="91"/>
      <c r="J31" s="91" t="str">
        <f ca="1">IFERROR(VALUE(IF(VLOOKUP($A31,数出表_Excel!$A$6:$T$150,COLUMN()/2+1,FALSE)=0,"",VLOOKUP($A31,数出表_Excel!$A$6:$T$150,COLUMN()/2+1,FALSE))),"")</f>
        <v/>
      </c>
      <c r="K31" s="91"/>
      <c r="L31" s="95" t="str">
        <f ca="1">IFERROR(VALUE(IF(VLOOKUP($A31,数出表_Excel!$A$6:$T$150,COLUMN()/2+1,FALSE)=0,"",VLOOKUP($A31,数出表_Excel!$A$6:$T$150,COLUMN()/2+1,FALSE))),"")</f>
        <v/>
      </c>
      <c r="M31" s="91"/>
      <c r="N31" s="91" t="str">
        <f ca="1">IFERROR(VALUE(IF(VLOOKUP($A31,数出表_Excel!$A$6:$T$150,COLUMN()/2+1,FALSE)=0,"",VLOOKUP($A31,数出表_Excel!$A$6:$T$150,COLUMN()/2+1,FALSE))),"")</f>
        <v/>
      </c>
      <c r="O31" s="91"/>
      <c r="P31" s="91" t="str">
        <f ca="1">IFERROR(VALUE(IF(VLOOKUP($A31,数出表_Excel!$A$6:$T$150,COLUMN()/2+1,FALSE)=0,"",VLOOKUP($A31,数出表_Excel!$A$6:$T$150,COLUMN()/2+1,FALSE))),"")</f>
        <v/>
      </c>
      <c r="Q31" s="91"/>
      <c r="R31" s="91" t="str">
        <f ca="1">IFERROR(VALUE(IF(VLOOKUP($A31,数出表_Excel!$A$6:$T$150,COLUMN()/2+1,FALSE)=0,"",VLOOKUP($A31,数出表_Excel!$A$6:$T$150,COLUMN()/2+1,FALSE))),"")</f>
        <v/>
      </c>
      <c r="S31" s="91"/>
      <c r="T31" s="91" t="str">
        <f ca="1">IFERROR(VALUE(IF(VLOOKUP($A31,数出表_Excel!$A$6:$T$150,COLUMN()/2+1,FALSE)=0,"",VLOOKUP($A31,数出表_Excel!$A$6:$T$150,COLUMN()/2+1,FALSE))),"")</f>
        <v/>
      </c>
      <c r="U31" s="91"/>
      <c r="V31" s="95" t="str">
        <f ca="1">IFERROR(VALUE(IF(VLOOKUP($A31,数出表_Excel!$A$6:$T$150,COLUMN()/2+1,FALSE)=0,"",VLOOKUP($A31,数出表_Excel!$A$6:$T$150,COLUMN()/2+1,FALSE))),"")</f>
        <v/>
      </c>
      <c r="W31" s="91"/>
      <c r="X31" s="95" t="str">
        <f ca="1">IFERROR(VALUE(IF(VLOOKUP($A31,数出表_Excel!$A$6:$T$150,COLUMN()/2+1,FALSE)=0,"",VLOOKUP($A31,数出表_Excel!$A$6:$T$150,COLUMN()/2+1,FALSE))),"")</f>
        <v/>
      </c>
      <c r="Y31" s="91"/>
      <c r="Z31" s="95" t="str">
        <f ca="1">IFERROR(VALUE(IF(VLOOKUP($A31,数出表_Excel!$A$6:$T$150,COLUMN()/2+1,FALSE)=0,"",VLOOKUP($A31,数出表_Excel!$A$6:$T$150,COLUMN()/2+1,FALSE))),"")</f>
        <v/>
      </c>
      <c r="AA31" s="129"/>
      <c r="AB31" s="96" t="str">
        <f ca="1">IFERROR(VALUE(IF(VLOOKUP($A31,数出表_Excel!$A$6:$T$150,COLUMN()/2+1,FALSE)=0,"",VLOOKUP($A31,数出表_Excel!$A$6:$T$150,COLUMN()/2+1,FALSE))),"")</f>
        <v/>
      </c>
      <c r="AC31" s="91"/>
      <c r="AD31" s="95" t="str">
        <f ca="1">IFERROR(VALUE(IF(VLOOKUP($A31,数出表_Excel!$A$6:$T$150,COLUMN()/2+1,FALSE)=0,"",VLOOKUP($A31,数出表_Excel!$A$6:$T$150,COLUMN()/2+1,FALSE))),"")</f>
        <v/>
      </c>
      <c r="AE31" s="91"/>
      <c r="AF31" s="95" t="str">
        <f ca="1">IFERROR(VALUE(IF(VLOOKUP($A31,数出表_Excel!$A$6:$T$150,COLUMN()/2+1,FALSE)=0,"",VLOOKUP($A31,数出表_Excel!$A$6:$T$150,COLUMN()/2+1,FALSE))),"")</f>
        <v/>
      </c>
      <c r="AG31" s="91"/>
      <c r="AH31" s="95" t="str">
        <f ca="1">IFERROR(VALUE(IF(VLOOKUP($A31,数出表_Excel!$A$6:$T$150,COLUMN()/2+1,FALSE)=0,"",VLOOKUP($A31,数出表_Excel!$A$6:$T$150,COLUMN()/2+1,FALSE))),"")</f>
        <v/>
      </c>
      <c r="AI31" s="129"/>
      <c r="AJ31" s="96" t="str">
        <f ca="1">IFERROR(VALUE(IF(VLOOKUP($A31,数出表_Excel!$A$6:$T$150,COLUMN()/2+1,FALSE)=0,"",VLOOKUP($A31,数出表_Excel!$A$6:$T$150,COLUMN()/2+1,FALSE))),"")</f>
        <v/>
      </c>
      <c r="AK31" s="91"/>
      <c r="AL31" s="97" t="e">
        <f ca="1">IF(A31&lt;&gt;"",
IF(VLOOKUP($A31,数出表_Excel!$A$6:$T$150,COLUMN()/2+1,FALSE)=0,"",VLOOKUP($A31,数出表_Excel!$A$6:$T$150,COLUMN()/2+1,FALSE)),"")</f>
        <v>#N/A</v>
      </c>
      <c r="AM31" s="177" t="e">
        <f ca="1">数出表_Excel!V31</f>
        <v>#N/A</v>
      </c>
      <c r="AN31" s="178" t="e">
        <f ca="1">数出表_Excel!W31</f>
        <v>#N/A</v>
      </c>
    </row>
    <row r="32" spans="1:40" ht="16.2" customHeight="1">
      <c r="A32" s="137" t="e">
        <f t="array" aca="1" ref="A32" ca="1">IF(OR(COUNTIF(A30,"*10002*"),COUNTIF(A30,"")),"",INDEX(貼り付け用!$A1:$A200,MATCH(A30,貼り付け用!$A1:$A200,0)+2,0))</f>
        <v>#N/A</v>
      </c>
      <c r="B32" s="125" t="str">
        <f ca="1">IFERROR(VALUE(IF(VLOOKUP($A32,数出表_Excel!$A$6:$T$150,COLUMN()/2+1,FALSE)=0,"",VLOOKUP($A32,数出表_Excel!$A$6:$T$150,COLUMN()/2+1,FALSE))),"")</f>
        <v/>
      </c>
      <c r="C32" s="90"/>
      <c r="D32" s="125" t="str">
        <f ca="1">IFERROR(VALUE(IF(VLOOKUP($A32,数出表_Excel!$A$6:$T$150,COLUMN()/2+1,FALSE)=0,"",VLOOKUP($A32,数出表_Excel!$A$6:$T$150,COLUMN()/2+1,FALSE))),"")</f>
        <v/>
      </c>
      <c r="E32" s="90"/>
      <c r="F32" s="127" t="str">
        <f ca="1">IFERROR(VALUE(IF(VLOOKUP($A32,数出表_Excel!$A$6:$T$150,COLUMN()/2+1,FALSE)=0,"",VLOOKUP($A32,数出表_Excel!$A$6:$T$150,COLUMN()/2+1,FALSE))),"")</f>
        <v/>
      </c>
      <c r="G32" s="90"/>
      <c r="H32" s="125" t="str">
        <f ca="1">IFERROR(VALUE(IF(VLOOKUP($A32,数出表_Excel!$A$6:$T$150,COLUMN()/2+1,FALSE)=0,"",VLOOKUP($A32,数出表_Excel!$A$6:$T$150,COLUMN()/2+1,FALSE))),"")</f>
        <v/>
      </c>
      <c r="I32" s="90"/>
      <c r="J32" s="125" t="str">
        <f ca="1">IFERROR(VALUE(IF(VLOOKUP($A32,数出表_Excel!$A$6:$T$150,COLUMN()/2+1,FALSE)=0,"",VLOOKUP($A32,数出表_Excel!$A$6:$T$150,COLUMN()/2+1,FALSE))),"")</f>
        <v/>
      </c>
      <c r="K32" s="90"/>
      <c r="L32" s="127" t="str">
        <f ca="1">IFERROR(VALUE(IF(VLOOKUP($A32,数出表_Excel!$A$6:$T$150,COLUMN()/2+1,FALSE)=0,"",VLOOKUP($A32,数出表_Excel!$A$6:$T$150,COLUMN()/2+1,FALSE))),"")</f>
        <v/>
      </c>
      <c r="M32" s="90"/>
      <c r="N32" s="125" t="str">
        <f ca="1">IFERROR(VALUE(IF(VLOOKUP($A32,数出表_Excel!$A$6:$T$150,COLUMN()/2+1,FALSE)=0,"",VLOOKUP($A32,数出表_Excel!$A$6:$T$150,COLUMN()/2+1,FALSE))),"")</f>
        <v/>
      </c>
      <c r="O32" s="90"/>
      <c r="P32" s="125" t="str">
        <f ca="1">IFERROR(VALUE(IF(VLOOKUP($A32,数出表_Excel!$A$6:$T$150,COLUMN()/2+1,FALSE)=0,"",VLOOKUP($A32,数出表_Excel!$A$6:$T$150,COLUMN()/2+1,FALSE))),"")</f>
        <v/>
      </c>
      <c r="Q32" s="90"/>
      <c r="R32" s="125" t="str">
        <f ca="1">IFERROR(VALUE(IF(VLOOKUP($A32,数出表_Excel!$A$6:$T$150,COLUMN()/2+1,FALSE)=0,"",VLOOKUP($A32,数出表_Excel!$A$6:$T$150,COLUMN()/2+1,FALSE))),"")</f>
        <v/>
      </c>
      <c r="S32" s="90"/>
      <c r="T32" s="125" t="str">
        <f ca="1">IFERROR(VALUE(IF(VLOOKUP($A32,数出表_Excel!$A$6:$T$150,COLUMN()/2+1,FALSE)=0,"",VLOOKUP($A32,数出表_Excel!$A$6:$T$150,COLUMN()/2+1,FALSE))),"")</f>
        <v/>
      </c>
      <c r="U32" s="90"/>
      <c r="V32" s="127" t="str">
        <f ca="1">IFERROR(VALUE(IF(VLOOKUP($A32,数出表_Excel!$A$6:$T$150,COLUMN()/2+1,FALSE)=0,"",VLOOKUP($A32,数出表_Excel!$A$6:$T$150,COLUMN()/2+1,FALSE))),"")</f>
        <v/>
      </c>
      <c r="W32" s="90"/>
      <c r="X32" s="127" t="str">
        <f ca="1">IFERROR(VALUE(IF(VLOOKUP($A32,数出表_Excel!$A$6:$T$150,COLUMN()/2+1,FALSE)=0,"",VLOOKUP($A32,数出表_Excel!$A$6:$T$150,COLUMN()/2+1,FALSE))),"")</f>
        <v/>
      </c>
      <c r="Y32" s="90"/>
      <c r="Z32" s="127" t="str">
        <f ca="1">IFERROR(VALUE(IF(VLOOKUP($A32,数出表_Excel!$A$6:$T$150,COLUMN()/2+1,FALSE)=0,"",VLOOKUP($A32,数出表_Excel!$A$6:$T$150,COLUMN()/2+1,FALSE))),"")</f>
        <v/>
      </c>
      <c r="AA32" s="128"/>
      <c r="AB32" s="126" t="str">
        <f ca="1">IFERROR(VALUE(IF(VLOOKUP($A32,数出表_Excel!$A$6:$T$150,COLUMN()/2+1,FALSE)=0,"",VLOOKUP($A32,数出表_Excel!$A$6:$T$150,COLUMN()/2+1,FALSE))),"")</f>
        <v/>
      </c>
      <c r="AC32" s="90"/>
      <c r="AD32" s="127" t="str">
        <f ca="1">IFERROR(VALUE(IF(VLOOKUP($A32,数出表_Excel!$A$6:$T$150,COLUMN()/2+1,FALSE)=0,"",VLOOKUP($A32,数出表_Excel!$A$6:$T$150,COLUMN()/2+1,FALSE))),"")</f>
        <v/>
      </c>
      <c r="AE32" s="90"/>
      <c r="AF32" s="127" t="str">
        <f ca="1">IFERROR(VALUE(IF(VLOOKUP($A32,数出表_Excel!$A$6:$T$150,COLUMN()/2+1,FALSE)=0,"",VLOOKUP($A32,数出表_Excel!$A$6:$T$150,COLUMN()/2+1,FALSE))),"")</f>
        <v/>
      </c>
      <c r="AG32" s="90"/>
      <c r="AH32" s="127" t="str">
        <f ca="1">IFERROR(VALUE(IF(VLOOKUP($A32,数出表_Excel!$A$6:$T$150,COLUMN()/2+1,FALSE)=0,"",VLOOKUP($A32,数出表_Excel!$A$6:$T$150,COLUMN()/2+1,FALSE))),"")</f>
        <v/>
      </c>
      <c r="AI32" s="128"/>
      <c r="AJ32" s="126" t="str">
        <f ca="1">IFERROR(VALUE(IF(VLOOKUP($A32,数出表_Excel!$A$6:$T$150,COLUMN()/2+1,FALSE)=0,"",VLOOKUP($A32,数出表_Excel!$A$6:$T$150,COLUMN()/2+1,FALSE))),"")</f>
        <v/>
      </c>
      <c r="AK32" s="90"/>
      <c r="AL32" s="94" t="e">
        <f ca="1">IF(A32&lt;&gt;"",
IF(VLOOKUP($A32,数出表_Excel!$A$6:$T$150,COLUMN()/2+1,FALSE)=0,"",VLOOKUP($A32,数出表_Excel!$A$6:$T$150,COLUMN()/2+1,FALSE)),"")</f>
        <v>#N/A</v>
      </c>
      <c r="AM32" s="175" t="e">
        <f ca="1">数出表_Excel!V32</f>
        <v>#N/A</v>
      </c>
      <c r="AN32" s="176" t="e">
        <f ca="1">数出表_Excel!W32</f>
        <v>#N/A</v>
      </c>
    </row>
    <row r="33" spans="1:40" ht="16.2" customHeight="1">
      <c r="A33" s="138" t="e">
        <f t="array" aca="1" ref="A33" ca="1">IF(OR(COUNTIF(A31,"*1000*"),COUNTIF(A31,"")),"",INDEX(貼り付け用!$A1:$A200,MATCH(A31,貼り付け用!$A1:$A200,0)+2,0))</f>
        <v>#N/A</v>
      </c>
      <c r="B33" s="91" t="str">
        <f ca="1">IFERROR(VALUE(IF(VLOOKUP($A33,数出表_Excel!$A$6:$T$150,COLUMN()/2+1,FALSE)=0,"",VLOOKUP($A33,数出表_Excel!$A$6:$T$150,COLUMN()/2+1,FALSE))),"")</f>
        <v/>
      </c>
      <c r="C33" s="91"/>
      <c r="D33" s="91" t="str">
        <f ca="1">IFERROR(VALUE(IF(VLOOKUP($A33,数出表_Excel!$A$6:$T$150,COLUMN()/2+1,FALSE)=0,"",VLOOKUP($A33,数出表_Excel!$A$6:$T$150,COLUMN()/2+1,FALSE))),"")</f>
        <v/>
      </c>
      <c r="E33" s="91"/>
      <c r="F33" s="95" t="str">
        <f ca="1">IFERROR(VALUE(IF(VLOOKUP($A33,数出表_Excel!$A$6:$T$150,COLUMN()/2+1,FALSE)=0,"",VLOOKUP($A33,数出表_Excel!$A$6:$T$150,COLUMN()/2+1,FALSE))),"")</f>
        <v/>
      </c>
      <c r="G33" s="91"/>
      <c r="H33" s="91" t="str">
        <f ca="1">IFERROR(VALUE(IF(VLOOKUP($A33,数出表_Excel!$A$6:$T$150,COLUMN()/2+1,FALSE)=0,"",VLOOKUP($A33,数出表_Excel!$A$6:$T$150,COLUMN()/2+1,FALSE))),"")</f>
        <v/>
      </c>
      <c r="I33" s="91"/>
      <c r="J33" s="91" t="str">
        <f ca="1">IFERROR(VALUE(IF(VLOOKUP($A33,数出表_Excel!$A$6:$T$150,COLUMN()/2+1,FALSE)=0,"",VLOOKUP($A33,数出表_Excel!$A$6:$T$150,COLUMN()/2+1,FALSE))),"")</f>
        <v/>
      </c>
      <c r="K33" s="91"/>
      <c r="L33" s="95" t="str">
        <f ca="1">IFERROR(VALUE(IF(VLOOKUP($A33,数出表_Excel!$A$6:$T$150,COLUMN()/2+1,FALSE)=0,"",VLOOKUP($A33,数出表_Excel!$A$6:$T$150,COLUMN()/2+1,FALSE))),"")</f>
        <v/>
      </c>
      <c r="M33" s="91"/>
      <c r="N33" s="91" t="str">
        <f ca="1">IFERROR(VALUE(IF(VLOOKUP($A33,数出表_Excel!$A$6:$T$150,COLUMN()/2+1,FALSE)=0,"",VLOOKUP($A33,数出表_Excel!$A$6:$T$150,COLUMN()/2+1,FALSE))),"")</f>
        <v/>
      </c>
      <c r="O33" s="91"/>
      <c r="P33" s="91" t="str">
        <f ca="1">IFERROR(VALUE(IF(VLOOKUP($A33,数出表_Excel!$A$6:$T$150,COLUMN()/2+1,FALSE)=0,"",VLOOKUP($A33,数出表_Excel!$A$6:$T$150,COLUMN()/2+1,FALSE))),"")</f>
        <v/>
      </c>
      <c r="Q33" s="91"/>
      <c r="R33" s="91" t="str">
        <f ca="1">IFERROR(VALUE(IF(VLOOKUP($A33,数出表_Excel!$A$6:$T$150,COLUMN()/2+1,FALSE)=0,"",VLOOKUP($A33,数出表_Excel!$A$6:$T$150,COLUMN()/2+1,FALSE))),"")</f>
        <v/>
      </c>
      <c r="S33" s="91"/>
      <c r="T33" s="91" t="str">
        <f ca="1">IFERROR(VALUE(IF(VLOOKUP($A33,数出表_Excel!$A$6:$T$150,COLUMN()/2+1,FALSE)=0,"",VLOOKUP($A33,数出表_Excel!$A$6:$T$150,COLUMN()/2+1,FALSE))),"")</f>
        <v/>
      </c>
      <c r="U33" s="91"/>
      <c r="V33" s="95" t="str">
        <f ca="1">IFERROR(VALUE(IF(VLOOKUP($A33,数出表_Excel!$A$6:$T$150,COLUMN()/2+1,FALSE)=0,"",VLOOKUP($A33,数出表_Excel!$A$6:$T$150,COLUMN()/2+1,FALSE))),"")</f>
        <v/>
      </c>
      <c r="W33" s="91"/>
      <c r="X33" s="95" t="str">
        <f ca="1">IFERROR(VALUE(IF(VLOOKUP($A33,数出表_Excel!$A$6:$T$150,COLUMN()/2+1,FALSE)=0,"",VLOOKUP($A33,数出表_Excel!$A$6:$T$150,COLUMN()/2+1,FALSE))),"")</f>
        <v/>
      </c>
      <c r="Y33" s="91"/>
      <c r="Z33" s="95" t="str">
        <f ca="1">IFERROR(VALUE(IF(VLOOKUP($A33,数出表_Excel!$A$6:$T$150,COLUMN()/2+1,FALSE)=0,"",VLOOKUP($A33,数出表_Excel!$A$6:$T$150,COLUMN()/2+1,FALSE))),"")</f>
        <v/>
      </c>
      <c r="AA33" s="129"/>
      <c r="AB33" s="96" t="str">
        <f ca="1">IFERROR(VALUE(IF(VLOOKUP($A33,数出表_Excel!$A$6:$T$150,COLUMN()/2+1,FALSE)=0,"",VLOOKUP($A33,数出表_Excel!$A$6:$T$150,COLUMN()/2+1,FALSE))),"")</f>
        <v/>
      </c>
      <c r="AC33" s="91"/>
      <c r="AD33" s="95" t="str">
        <f ca="1">IFERROR(VALUE(IF(VLOOKUP($A33,数出表_Excel!$A$6:$T$150,COLUMN()/2+1,FALSE)=0,"",VLOOKUP($A33,数出表_Excel!$A$6:$T$150,COLUMN()/2+1,FALSE))),"")</f>
        <v/>
      </c>
      <c r="AE33" s="91"/>
      <c r="AF33" s="95" t="str">
        <f ca="1">IFERROR(VALUE(IF(VLOOKUP($A33,数出表_Excel!$A$6:$T$150,COLUMN()/2+1,FALSE)=0,"",VLOOKUP($A33,数出表_Excel!$A$6:$T$150,COLUMN()/2+1,FALSE))),"")</f>
        <v/>
      </c>
      <c r="AG33" s="91"/>
      <c r="AH33" s="95" t="str">
        <f ca="1">IFERROR(VALUE(IF(VLOOKUP($A33,数出表_Excel!$A$6:$T$150,COLUMN()/2+1,FALSE)=0,"",VLOOKUP($A33,数出表_Excel!$A$6:$T$150,COLUMN()/2+1,FALSE))),"")</f>
        <v/>
      </c>
      <c r="AI33" s="129"/>
      <c r="AJ33" s="96" t="str">
        <f ca="1">IFERROR(VALUE(IF(VLOOKUP($A33,数出表_Excel!$A$6:$T$150,COLUMN()/2+1,FALSE)=0,"",VLOOKUP($A33,数出表_Excel!$A$6:$T$150,COLUMN()/2+1,FALSE))),"")</f>
        <v/>
      </c>
      <c r="AK33" s="91"/>
      <c r="AL33" s="97" t="e">
        <f ca="1">IF(A33&lt;&gt;"",
IF(VLOOKUP($A33,数出表_Excel!$A$6:$T$150,COLUMN()/2+1,FALSE)=0,"",VLOOKUP($A33,数出表_Excel!$A$6:$T$150,COLUMN()/2+1,FALSE)),"")</f>
        <v>#N/A</v>
      </c>
      <c r="AM33" s="177" t="e">
        <f ca="1">数出表_Excel!V33</f>
        <v>#N/A</v>
      </c>
      <c r="AN33" s="178" t="e">
        <f ca="1">数出表_Excel!W33</f>
        <v>#N/A</v>
      </c>
    </row>
    <row r="34" spans="1:40" ht="16.2" customHeight="1">
      <c r="A34" s="137" t="e">
        <f t="array" aca="1" ref="A34" ca="1">IF(OR(COUNTIF(A32,"*10002*"),COUNTIF(A32,"")),"",INDEX(貼り付け用!$A1:$A200,MATCH(A32,貼り付け用!$A1:$A200,0)+2,0))</f>
        <v>#N/A</v>
      </c>
      <c r="B34" s="125" t="str">
        <f ca="1">IFERROR(VALUE(IF(VLOOKUP($A34,数出表_Excel!$A$6:$T$150,COLUMN()/2+1,FALSE)=0,"",VLOOKUP($A34,数出表_Excel!$A$6:$T$150,COLUMN()/2+1,FALSE))),"")</f>
        <v/>
      </c>
      <c r="C34" s="90"/>
      <c r="D34" s="125" t="str">
        <f ca="1">IFERROR(VALUE(IF(VLOOKUP($A34,数出表_Excel!$A$6:$T$150,COLUMN()/2+1,FALSE)=0,"",VLOOKUP($A34,数出表_Excel!$A$6:$T$150,COLUMN()/2+1,FALSE))),"")</f>
        <v/>
      </c>
      <c r="E34" s="90"/>
      <c r="F34" s="127" t="str">
        <f ca="1">IFERROR(VALUE(IF(VLOOKUP($A34,数出表_Excel!$A$6:$T$150,COLUMN()/2+1,FALSE)=0,"",VLOOKUP($A34,数出表_Excel!$A$6:$T$150,COLUMN()/2+1,FALSE))),"")</f>
        <v/>
      </c>
      <c r="G34" s="90"/>
      <c r="H34" s="125" t="str">
        <f ca="1">IFERROR(VALUE(IF(VLOOKUP($A34,数出表_Excel!$A$6:$T$150,COLUMN()/2+1,FALSE)=0,"",VLOOKUP($A34,数出表_Excel!$A$6:$T$150,COLUMN()/2+1,FALSE))),"")</f>
        <v/>
      </c>
      <c r="I34" s="90"/>
      <c r="J34" s="125" t="str">
        <f ca="1">IFERROR(VALUE(IF(VLOOKUP($A34,数出表_Excel!$A$6:$T$150,COLUMN()/2+1,FALSE)=0,"",VLOOKUP($A34,数出表_Excel!$A$6:$T$150,COLUMN()/2+1,FALSE))),"")</f>
        <v/>
      </c>
      <c r="K34" s="90"/>
      <c r="L34" s="127" t="str">
        <f ca="1">IFERROR(VALUE(IF(VLOOKUP($A34,数出表_Excel!$A$6:$T$150,COLUMN()/2+1,FALSE)=0,"",VLOOKUP($A34,数出表_Excel!$A$6:$T$150,COLUMN()/2+1,FALSE))),"")</f>
        <v/>
      </c>
      <c r="M34" s="90"/>
      <c r="N34" s="125" t="str">
        <f ca="1">IFERROR(VALUE(IF(VLOOKUP($A34,数出表_Excel!$A$6:$T$150,COLUMN()/2+1,FALSE)=0,"",VLOOKUP($A34,数出表_Excel!$A$6:$T$150,COLUMN()/2+1,FALSE))),"")</f>
        <v/>
      </c>
      <c r="O34" s="90"/>
      <c r="P34" s="125" t="str">
        <f ca="1">IFERROR(VALUE(IF(VLOOKUP($A34,数出表_Excel!$A$6:$T$150,COLUMN()/2+1,FALSE)=0,"",VLOOKUP($A34,数出表_Excel!$A$6:$T$150,COLUMN()/2+1,FALSE))),"")</f>
        <v/>
      </c>
      <c r="Q34" s="90"/>
      <c r="R34" s="125" t="str">
        <f ca="1">IFERROR(VALUE(IF(VLOOKUP($A34,数出表_Excel!$A$6:$T$150,COLUMN()/2+1,FALSE)=0,"",VLOOKUP($A34,数出表_Excel!$A$6:$T$150,COLUMN()/2+1,FALSE))),"")</f>
        <v/>
      </c>
      <c r="S34" s="90"/>
      <c r="T34" s="125" t="str">
        <f ca="1">IFERROR(VALUE(IF(VLOOKUP($A34,数出表_Excel!$A$6:$T$150,COLUMN()/2+1,FALSE)=0,"",VLOOKUP($A34,数出表_Excel!$A$6:$T$150,COLUMN()/2+1,FALSE))),"")</f>
        <v/>
      </c>
      <c r="U34" s="90"/>
      <c r="V34" s="127" t="str">
        <f ca="1">IFERROR(VALUE(IF(VLOOKUP($A34,数出表_Excel!$A$6:$T$150,COLUMN()/2+1,FALSE)=0,"",VLOOKUP($A34,数出表_Excel!$A$6:$T$150,COLUMN()/2+1,FALSE))),"")</f>
        <v/>
      </c>
      <c r="W34" s="90"/>
      <c r="X34" s="127" t="str">
        <f ca="1">IFERROR(VALUE(IF(VLOOKUP($A34,数出表_Excel!$A$6:$T$150,COLUMN()/2+1,FALSE)=0,"",VLOOKUP($A34,数出表_Excel!$A$6:$T$150,COLUMN()/2+1,FALSE))),"")</f>
        <v/>
      </c>
      <c r="Y34" s="90"/>
      <c r="Z34" s="127" t="str">
        <f ca="1">IFERROR(VALUE(IF(VLOOKUP($A34,数出表_Excel!$A$6:$T$150,COLUMN()/2+1,FALSE)=0,"",VLOOKUP($A34,数出表_Excel!$A$6:$T$150,COLUMN()/2+1,FALSE))),"")</f>
        <v/>
      </c>
      <c r="AA34" s="128"/>
      <c r="AB34" s="126" t="str">
        <f ca="1">IFERROR(VALUE(IF(VLOOKUP($A34,数出表_Excel!$A$6:$T$150,COLUMN()/2+1,FALSE)=0,"",VLOOKUP($A34,数出表_Excel!$A$6:$T$150,COLUMN()/2+1,FALSE))),"")</f>
        <v/>
      </c>
      <c r="AC34" s="90"/>
      <c r="AD34" s="127" t="str">
        <f ca="1">IFERROR(VALUE(IF(VLOOKUP($A34,数出表_Excel!$A$6:$T$150,COLUMN()/2+1,FALSE)=0,"",VLOOKUP($A34,数出表_Excel!$A$6:$T$150,COLUMN()/2+1,FALSE))),"")</f>
        <v/>
      </c>
      <c r="AE34" s="90"/>
      <c r="AF34" s="127" t="str">
        <f ca="1">IFERROR(VALUE(IF(VLOOKUP($A34,数出表_Excel!$A$6:$T$150,COLUMN()/2+1,FALSE)=0,"",VLOOKUP($A34,数出表_Excel!$A$6:$T$150,COLUMN()/2+1,FALSE))),"")</f>
        <v/>
      </c>
      <c r="AG34" s="90"/>
      <c r="AH34" s="127" t="str">
        <f ca="1">IFERROR(VALUE(IF(VLOOKUP($A34,数出表_Excel!$A$6:$T$150,COLUMN()/2+1,FALSE)=0,"",VLOOKUP($A34,数出表_Excel!$A$6:$T$150,COLUMN()/2+1,FALSE))),"")</f>
        <v/>
      </c>
      <c r="AI34" s="128"/>
      <c r="AJ34" s="126" t="str">
        <f ca="1">IFERROR(VALUE(IF(VLOOKUP($A34,数出表_Excel!$A$6:$T$150,COLUMN()/2+1,FALSE)=0,"",VLOOKUP($A34,数出表_Excel!$A$6:$T$150,COLUMN()/2+1,FALSE))),"")</f>
        <v/>
      </c>
      <c r="AK34" s="90"/>
      <c r="AL34" s="94" t="e">
        <f ca="1">IF(A34&lt;&gt;"",
IF(VLOOKUP($A34,数出表_Excel!$A$6:$T$150,COLUMN()/2+1,FALSE)=0,"",VLOOKUP($A34,数出表_Excel!$A$6:$T$150,COLUMN()/2+1,FALSE)),"")</f>
        <v>#N/A</v>
      </c>
      <c r="AM34" s="175" t="e">
        <f ca="1">数出表_Excel!V34</f>
        <v>#N/A</v>
      </c>
      <c r="AN34" s="176" t="e">
        <f ca="1">数出表_Excel!W34</f>
        <v>#N/A</v>
      </c>
    </row>
    <row r="35" spans="1:40" ht="16.2" customHeight="1">
      <c r="A35" s="138" t="e">
        <f t="array" aca="1" ref="A35" ca="1">IF(OR(COUNTIF(A33,"*1000*"),COUNTIF(A33,"")),"",INDEX(貼り付け用!$A1:$A200,MATCH(A33,貼り付け用!$A1:$A200,0)+2,0))</f>
        <v>#N/A</v>
      </c>
      <c r="B35" s="91" t="str">
        <f ca="1">IFERROR(VALUE(IF(VLOOKUP($A35,数出表_Excel!$A$6:$T$150,COLUMN()/2+1,FALSE)=0,"",VLOOKUP($A35,数出表_Excel!$A$6:$T$150,COLUMN()/2+1,FALSE))),"")</f>
        <v/>
      </c>
      <c r="C35" s="91"/>
      <c r="D35" s="91" t="str">
        <f ca="1">IFERROR(VALUE(IF(VLOOKUP($A35,数出表_Excel!$A$6:$T$150,COLUMN()/2+1,FALSE)=0,"",VLOOKUP($A35,数出表_Excel!$A$6:$T$150,COLUMN()/2+1,FALSE))),"")</f>
        <v/>
      </c>
      <c r="E35" s="91"/>
      <c r="F35" s="95" t="str">
        <f ca="1">IFERROR(VALUE(IF(VLOOKUP($A35,数出表_Excel!$A$6:$T$150,COLUMN()/2+1,FALSE)=0,"",VLOOKUP($A35,数出表_Excel!$A$6:$T$150,COLUMN()/2+1,FALSE))),"")</f>
        <v/>
      </c>
      <c r="G35" s="91"/>
      <c r="H35" s="91" t="str">
        <f ca="1">IFERROR(VALUE(IF(VLOOKUP($A35,数出表_Excel!$A$6:$T$150,COLUMN()/2+1,FALSE)=0,"",VLOOKUP($A35,数出表_Excel!$A$6:$T$150,COLUMN()/2+1,FALSE))),"")</f>
        <v/>
      </c>
      <c r="I35" s="91"/>
      <c r="J35" s="91" t="str">
        <f ca="1">IFERROR(VALUE(IF(VLOOKUP($A35,数出表_Excel!$A$6:$T$150,COLUMN()/2+1,FALSE)=0,"",VLOOKUP($A35,数出表_Excel!$A$6:$T$150,COLUMN()/2+1,FALSE))),"")</f>
        <v/>
      </c>
      <c r="K35" s="91"/>
      <c r="L35" s="95" t="str">
        <f ca="1">IFERROR(VALUE(IF(VLOOKUP($A35,数出表_Excel!$A$6:$T$150,COLUMN()/2+1,FALSE)=0,"",VLOOKUP($A35,数出表_Excel!$A$6:$T$150,COLUMN()/2+1,FALSE))),"")</f>
        <v/>
      </c>
      <c r="M35" s="91"/>
      <c r="N35" s="91" t="str">
        <f ca="1">IFERROR(VALUE(IF(VLOOKUP($A35,数出表_Excel!$A$6:$T$150,COLUMN()/2+1,FALSE)=0,"",VLOOKUP($A35,数出表_Excel!$A$6:$T$150,COLUMN()/2+1,FALSE))),"")</f>
        <v/>
      </c>
      <c r="O35" s="91"/>
      <c r="P35" s="91" t="str">
        <f ca="1">IFERROR(VALUE(IF(VLOOKUP($A35,数出表_Excel!$A$6:$T$150,COLUMN()/2+1,FALSE)=0,"",VLOOKUP($A35,数出表_Excel!$A$6:$T$150,COLUMN()/2+1,FALSE))),"")</f>
        <v/>
      </c>
      <c r="Q35" s="91"/>
      <c r="R35" s="91" t="str">
        <f ca="1">IFERROR(VALUE(IF(VLOOKUP($A35,数出表_Excel!$A$6:$T$150,COLUMN()/2+1,FALSE)=0,"",VLOOKUP($A35,数出表_Excel!$A$6:$T$150,COLUMN()/2+1,FALSE))),"")</f>
        <v/>
      </c>
      <c r="S35" s="91"/>
      <c r="T35" s="91" t="str">
        <f ca="1">IFERROR(VALUE(IF(VLOOKUP($A35,数出表_Excel!$A$6:$T$150,COLUMN()/2+1,FALSE)=0,"",VLOOKUP($A35,数出表_Excel!$A$6:$T$150,COLUMN()/2+1,FALSE))),"")</f>
        <v/>
      </c>
      <c r="U35" s="91"/>
      <c r="V35" s="95" t="str">
        <f ca="1">IFERROR(VALUE(IF(VLOOKUP($A35,数出表_Excel!$A$6:$T$150,COLUMN()/2+1,FALSE)=0,"",VLOOKUP($A35,数出表_Excel!$A$6:$T$150,COLUMN()/2+1,FALSE))),"")</f>
        <v/>
      </c>
      <c r="W35" s="91"/>
      <c r="X35" s="95" t="str">
        <f ca="1">IFERROR(VALUE(IF(VLOOKUP($A35,数出表_Excel!$A$6:$T$150,COLUMN()/2+1,FALSE)=0,"",VLOOKUP($A35,数出表_Excel!$A$6:$T$150,COLUMN()/2+1,FALSE))),"")</f>
        <v/>
      </c>
      <c r="Y35" s="91"/>
      <c r="Z35" s="95" t="str">
        <f ca="1">IFERROR(VALUE(IF(VLOOKUP($A35,数出表_Excel!$A$6:$T$150,COLUMN()/2+1,FALSE)=0,"",VLOOKUP($A35,数出表_Excel!$A$6:$T$150,COLUMN()/2+1,FALSE))),"")</f>
        <v/>
      </c>
      <c r="AA35" s="129"/>
      <c r="AB35" s="96" t="str">
        <f ca="1">IFERROR(VALUE(IF(VLOOKUP($A35,数出表_Excel!$A$6:$T$150,COLUMN()/2+1,FALSE)=0,"",VLOOKUP($A35,数出表_Excel!$A$6:$T$150,COLUMN()/2+1,FALSE))),"")</f>
        <v/>
      </c>
      <c r="AC35" s="91"/>
      <c r="AD35" s="95" t="str">
        <f ca="1">IFERROR(VALUE(IF(VLOOKUP($A35,数出表_Excel!$A$6:$T$150,COLUMN()/2+1,FALSE)=0,"",VLOOKUP($A35,数出表_Excel!$A$6:$T$150,COLUMN()/2+1,FALSE))),"")</f>
        <v/>
      </c>
      <c r="AE35" s="91"/>
      <c r="AF35" s="95" t="str">
        <f ca="1">IFERROR(VALUE(IF(VLOOKUP($A35,数出表_Excel!$A$6:$T$150,COLUMN()/2+1,FALSE)=0,"",VLOOKUP($A35,数出表_Excel!$A$6:$T$150,COLUMN()/2+1,FALSE))),"")</f>
        <v/>
      </c>
      <c r="AG35" s="91"/>
      <c r="AH35" s="95" t="str">
        <f ca="1">IFERROR(VALUE(IF(VLOOKUP($A35,数出表_Excel!$A$6:$T$150,COLUMN()/2+1,FALSE)=0,"",VLOOKUP($A35,数出表_Excel!$A$6:$T$150,COLUMN()/2+1,FALSE))),"")</f>
        <v/>
      </c>
      <c r="AI35" s="129"/>
      <c r="AJ35" s="96" t="str">
        <f ca="1">IFERROR(VALUE(IF(VLOOKUP($A35,数出表_Excel!$A$6:$T$150,COLUMN()/2+1,FALSE)=0,"",VLOOKUP($A35,数出表_Excel!$A$6:$T$150,COLUMN()/2+1,FALSE))),"")</f>
        <v/>
      </c>
      <c r="AK35" s="91"/>
      <c r="AL35" s="97" t="e">
        <f ca="1">IF(A35&lt;&gt;"",
IF(VLOOKUP($A35,数出表_Excel!$A$6:$T$150,COLUMN()/2+1,FALSE)=0,"",VLOOKUP($A35,数出表_Excel!$A$6:$T$150,COLUMN()/2+1,FALSE)),"")</f>
        <v>#N/A</v>
      </c>
      <c r="AM35" s="177" t="e">
        <f ca="1">数出表_Excel!V35</f>
        <v>#N/A</v>
      </c>
      <c r="AN35" s="178" t="e">
        <f ca="1">数出表_Excel!W35</f>
        <v>#N/A</v>
      </c>
    </row>
    <row r="36" spans="1:40" ht="16.2" customHeight="1">
      <c r="A36" s="137" t="e">
        <f t="array" aca="1" ref="A36" ca="1">IF(OR(COUNTIF(A34,"*10002*"),COUNTIF(A34,"")),"",INDEX(貼り付け用!$A1:$A200,MATCH(A34,貼り付け用!$A1:$A200,0)+2,0))</f>
        <v>#N/A</v>
      </c>
      <c r="B36" s="125" t="str">
        <f ca="1">IFERROR(VALUE(IF(VLOOKUP($A36,数出表_Excel!$A$6:$T$150,COLUMN()/2+1,FALSE)=0,"",VLOOKUP($A36,数出表_Excel!$A$6:$T$150,COLUMN()/2+1,FALSE))),"")</f>
        <v/>
      </c>
      <c r="C36" s="90"/>
      <c r="D36" s="125" t="str">
        <f ca="1">IFERROR(VALUE(IF(VLOOKUP($A36,数出表_Excel!$A$6:$T$150,COLUMN()/2+1,FALSE)=0,"",VLOOKUP($A36,数出表_Excel!$A$6:$T$150,COLUMN()/2+1,FALSE))),"")</f>
        <v/>
      </c>
      <c r="E36" s="90"/>
      <c r="F36" s="127" t="str">
        <f ca="1">IFERROR(VALUE(IF(VLOOKUP($A36,数出表_Excel!$A$6:$T$150,COLUMN()/2+1,FALSE)=0,"",VLOOKUP($A36,数出表_Excel!$A$6:$T$150,COLUMN()/2+1,FALSE))),"")</f>
        <v/>
      </c>
      <c r="G36" s="90"/>
      <c r="H36" s="125" t="str">
        <f ca="1">IFERROR(VALUE(IF(VLOOKUP($A36,数出表_Excel!$A$6:$T$150,COLUMN()/2+1,FALSE)=0,"",VLOOKUP($A36,数出表_Excel!$A$6:$T$150,COLUMN()/2+1,FALSE))),"")</f>
        <v/>
      </c>
      <c r="I36" s="90"/>
      <c r="J36" s="125" t="str">
        <f ca="1">IFERROR(VALUE(IF(VLOOKUP($A36,数出表_Excel!$A$6:$T$150,COLUMN()/2+1,FALSE)=0,"",VLOOKUP($A36,数出表_Excel!$A$6:$T$150,COLUMN()/2+1,FALSE))),"")</f>
        <v/>
      </c>
      <c r="K36" s="90"/>
      <c r="L36" s="127" t="str">
        <f ca="1">IFERROR(VALUE(IF(VLOOKUP($A36,数出表_Excel!$A$6:$T$150,COLUMN()/2+1,FALSE)=0,"",VLOOKUP($A36,数出表_Excel!$A$6:$T$150,COLUMN()/2+1,FALSE))),"")</f>
        <v/>
      </c>
      <c r="M36" s="90"/>
      <c r="N36" s="125" t="str">
        <f ca="1">IFERROR(VALUE(IF(VLOOKUP($A36,数出表_Excel!$A$6:$T$150,COLUMN()/2+1,FALSE)=0,"",VLOOKUP($A36,数出表_Excel!$A$6:$T$150,COLUMN()/2+1,FALSE))),"")</f>
        <v/>
      </c>
      <c r="O36" s="90"/>
      <c r="P36" s="125" t="str">
        <f ca="1">IFERROR(VALUE(IF(VLOOKUP($A36,数出表_Excel!$A$6:$T$150,COLUMN()/2+1,FALSE)=0,"",VLOOKUP($A36,数出表_Excel!$A$6:$T$150,COLUMN()/2+1,FALSE))),"")</f>
        <v/>
      </c>
      <c r="Q36" s="90"/>
      <c r="R36" s="125" t="str">
        <f ca="1">IFERROR(VALUE(IF(VLOOKUP($A36,数出表_Excel!$A$6:$T$150,COLUMN()/2+1,FALSE)=0,"",VLOOKUP($A36,数出表_Excel!$A$6:$T$150,COLUMN()/2+1,FALSE))),"")</f>
        <v/>
      </c>
      <c r="S36" s="90"/>
      <c r="T36" s="125" t="str">
        <f ca="1">IFERROR(VALUE(IF(VLOOKUP($A36,数出表_Excel!$A$6:$T$150,COLUMN()/2+1,FALSE)=0,"",VLOOKUP($A36,数出表_Excel!$A$6:$T$150,COLUMN()/2+1,FALSE))),"")</f>
        <v/>
      </c>
      <c r="U36" s="90"/>
      <c r="V36" s="127" t="str">
        <f ca="1">IFERROR(VALUE(IF(VLOOKUP($A36,数出表_Excel!$A$6:$T$150,COLUMN()/2+1,FALSE)=0,"",VLOOKUP($A36,数出表_Excel!$A$6:$T$150,COLUMN()/2+1,FALSE))),"")</f>
        <v/>
      </c>
      <c r="W36" s="90"/>
      <c r="X36" s="127" t="str">
        <f ca="1">IFERROR(VALUE(IF(VLOOKUP($A36,数出表_Excel!$A$6:$T$150,COLUMN()/2+1,FALSE)=0,"",VLOOKUP($A36,数出表_Excel!$A$6:$T$150,COLUMN()/2+1,FALSE))),"")</f>
        <v/>
      </c>
      <c r="Y36" s="90"/>
      <c r="Z36" s="127" t="str">
        <f ca="1">IFERROR(VALUE(IF(VLOOKUP($A36,数出表_Excel!$A$6:$T$150,COLUMN()/2+1,FALSE)=0,"",VLOOKUP($A36,数出表_Excel!$A$6:$T$150,COLUMN()/2+1,FALSE))),"")</f>
        <v/>
      </c>
      <c r="AA36" s="128"/>
      <c r="AB36" s="126" t="str">
        <f ca="1">IFERROR(VALUE(IF(VLOOKUP($A36,数出表_Excel!$A$6:$T$150,COLUMN()/2+1,FALSE)=0,"",VLOOKUP($A36,数出表_Excel!$A$6:$T$150,COLUMN()/2+1,FALSE))),"")</f>
        <v/>
      </c>
      <c r="AC36" s="90"/>
      <c r="AD36" s="127" t="str">
        <f ca="1">IFERROR(VALUE(IF(VLOOKUP($A36,数出表_Excel!$A$6:$T$150,COLUMN()/2+1,FALSE)=0,"",VLOOKUP($A36,数出表_Excel!$A$6:$T$150,COLUMN()/2+1,FALSE))),"")</f>
        <v/>
      </c>
      <c r="AE36" s="90"/>
      <c r="AF36" s="127" t="str">
        <f ca="1">IFERROR(VALUE(IF(VLOOKUP($A36,数出表_Excel!$A$6:$T$150,COLUMN()/2+1,FALSE)=0,"",VLOOKUP($A36,数出表_Excel!$A$6:$T$150,COLUMN()/2+1,FALSE))),"")</f>
        <v/>
      </c>
      <c r="AG36" s="90"/>
      <c r="AH36" s="127" t="str">
        <f ca="1">IFERROR(VALUE(IF(VLOOKUP($A36,数出表_Excel!$A$6:$T$150,COLUMN()/2+1,FALSE)=0,"",VLOOKUP($A36,数出表_Excel!$A$6:$T$150,COLUMN()/2+1,FALSE))),"")</f>
        <v/>
      </c>
      <c r="AI36" s="128"/>
      <c r="AJ36" s="126" t="str">
        <f ca="1">IFERROR(VALUE(IF(VLOOKUP($A36,数出表_Excel!$A$6:$T$150,COLUMN()/2+1,FALSE)=0,"",VLOOKUP($A36,数出表_Excel!$A$6:$T$150,COLUMN()/2+1,FALSE))),"")</f>
        <v/>
      </c>
      <c r="AK36" s="90"/>
      <c r="AL36" s="94" t="e">
        <f ca="1">IF(A36&lt;&gt;"",
IF(VLOOKUP($A36,数出表_Excel!$A$6:$T$150,COLUMN()/2+1,FALSE)=0,"",VLOOKUP($A36,数出表_Excel!$A$6:$T$150,COLUMN()/2+1,FALSE)),"")</f>
        <v>#N/A</v>
      </c>
      <c r="AM36" s="175" t="e">
        <f ca="1">数出表_Excel!V36</f>
        <v>#N/A</v>
      </c>
      <c r="AN36" s="176" t="e">
        <f ca="1">数出表_Excel!W36</f>
        <v>#N/A</v>
      </c>
    </row>
    <row r="37" spans="1:40" ht="16.2" customHeight="1">
      <c r="A37" s="138" t="e">
        <f t="array" aca="1" ref="A37" ca="1">IF(OR(COUNTIF(A35,"*1000*"),COUNTIF(A35,"")),"",INDEX(貼り付け用!$A1:$A200,MATCH(A35,貼り付け用!$A1:$A200,0)+2,0))</f>
        <v>#N/A</v>
      </c>
      <c r="B37" s="91" t="str">
        <f ca="1">IFERROR(VALUE(IF(VLOOKUP($A37,数出表_Excel!$A$6:$T$150,COLUMN()/2+1,FALSE)=0,"",VLOOKUP($A37,数出表_Excel!$A$6:$T$150,COLUMN()/2+1,FALSE))),"")</f>
        <v/>
      </c>
      <c r="C37" s="91"/>
      <c r="D37" s="91" t="str">
        <f ca="1">IFERROR(VALUE(IF(VLOOKUP($A37,数出表_Excel!$A$6:$T$150,COLUMN()/2+1,FALSE)=0,"",VLOOKUP($A37,数出表_Excel!$A$6:$T$150,COLUMN()/2+1,FALSE))),"")</f>
        <v/>
      </c>
      <c r="E37" s="91"/>
      <c r="F37" s="95" t="str">
        <f ca="1">IFERROR(VALUE(IF(VLOOKUP($A37,数出表_Excel!$A$6:$T$150,COLUMN()/2+1,FALSE)=0,"",VLOOKUP($A37,数出表_Excel!$A$6:$T$150,COLUMN()/2+1,FALSE))),"")</f>
        <v/>
      </c>
      <c r="G37" s="91"/>
      <c r="H37" s="91" t="str">
        <f ca="1">IFERROR(VALUE(IF(VLOOKUP($A37,数出表_Excel!$A$6:$T$150,COLUMN()/2+1,FALSE)=0,"",VLOOKUP($A37,数出表_Excel!$A$6:$T$150,COLUMN()/2+1,FALSE))),"")</f>
        <v/>
      </c>
      <c r="I37" s="91"/>
      <c r="J37" s="91" t="str">
        <f ca="1">IFERROR(VALUE(IF(VLOOKUP($A37,数出表_Excel!$A$6:$T$150,COLUMN()/2+1,FALSE)=0,"",VLOOKUP($A37,数出表_Excel!$A$6:$T$150,COLUMN()/2+1,FALSE))),"")</f>
        <v/>
      </c>
      <c r="K37" s="91"/>
      <c r="L37" s="95" t="str">
        <f ca="1">IFERROR(VALUE(IF(VLOOKUP($A37,数出表_Excel!$A$6:$T$150,COLUMN()/2+1,FALSE)=0,"",VLOOKUP($A37,数出表_Excel!$A$6:$T$150,COLUMN()/2+1,FALSE))),"")</f>
        <v/>
      </c>
      <c r="M37" s="91"/>
      <c r="N37" s="91" t="str">
        <f ca="1">IFERROR(VALUE(IF(VLOOKUP($A37,数出表_Excel!$A$6:$T$150,COLUMN()/2+1,FALSE)=0,"",VLOOKUP($A37,数出表_Excel!$A$6:$T$150,COLUMN()/2+1,FALSE))),"")</f>
        <v/>
      </c>
      <c r="O37" s="91"/>
      <c r="P37" s="91" t="str">
        <f ca="1">IFERROR(VALUE(IF(VLOOKUP($A37,数出表_Excel!$A$6:$T$150,COLUMN()/2+1,FALSE)=0,"",VLOOKUP($A37,数出表_Excel!$A$6:$T$150,COLUMN()/2+1,FALSE))),"")</f>
        <v/>
      </c>
      <c r="Q37" s="91"/>
      <c r="R37" s="91" t="str">
        <f ca="1">IFERROR(VALUE(IF(VLOOKUP($A37,数出表_Excel!$A$6:$T$150,COLUMN()/2+1,FALSE)=0,"",VLOOKUP($A37,数出表_Excel!$A$6:$T$150,COLUMN()/2+1,FALSE))),"")</f>
        <v/>
      </c>
      <c r="S37" s="91"/>
      <c r="T37" s="91" t="str">
        <f ca="1">IFERROR(VALUE(IF(VLOOKUP($A37,数出表_Excel!$A$6:$T$150,COLUMN()/2+1,FALSE)=0,"",VLOOKUP($A37,数出表_Excel!$A$6:$T$150,COLUMN()/2+1,FALSE))),"")</f>
        <v/>
      </c>
      <c r="U37" s="91"/>
      <c r="V37" s="95" t="str">
        <f ca="1">IFERROR(VALUE(IF(VLOOKUP($A37,数出表_Excel!$A$6:$T$150,COLUMN()/2+1,FALSE)=0,"",VLOOKUP($A37,数出表_Excel!$A$6:$T$150,COLUMN()/2+1,FALSE))),"")</f>
        <v/>
      </c>
      <c r="W37" s="91"/>
      <c r="X37" s="95" t="str">
        <f ca="1">IFERROR(VALUE(IF(VLOOKUP($A37,数出表_Excel!$A$6:$T$150,COLUMN()/2+1,FALSE)=0,"",VLOOKUP($A37,数出表_Excel!$A$6:$T$150,COLUMN()/2+1,FALSE))),"")</f>
        <v/>
      </c>
      <c r="Y37" s="91"/>
      <c r="Z37" s="95" t="str">
        <f ca="1">IFERROR(VALUE(IF(VLOOKUP($A37,数出表_Excel!$A$6:$T$150,COLUMN()/2+1,FALSE)=0,"",VLOOKUP($A37,数出表_Excel!$A$6:$T$150,COLUMN()/2+1,FALSE))),"")</f>
        <v/>
      </c>
      <c r="AA37" s="129"/>
      <c r="AB37" s="96" t="str">
        <f ca="1">IFERROR(VALUE(IF(VLOOKUP($A37,数出表_Excel!$A$6:$T$150,COLUMN()/2+1,FALSE)=0,"",VLOOKUP($A37,数出表_Excel!$A$6:$T$150,COLUMN()/2+1,FALSE))),"")</f>
        <v/>
      </c>
      <c r="AC37" s="91"/>
      <c r="AD37" s="95" t="str">
        <f ca="1">IFERROR(VALUE(IF(VLOOKUP($A37,数出表_Excel!$A$6:$T$150,COLUMN()/2+1,FALSE)=0,"",VLOOKUP($A37,数出表_Excel!$A$6:$T$150,COLUMN()/2+1,FALSE))),"")</f>
        <v/>
      </c>
      <c r="AE37" s="91"/>
      <c r="AF37" s="95" t="str">
        <f ca="1">IFERROR(VALUE(IF(VLOOKUP($A37,数出表_Excel!$A$6:$T$150,COLUMN()/2+1,FALSE)=0,"",VLOOKUP($A37,数出表_Excel!$A$6:$T$150,COLUMN()/2+1,FALSE))),"")</f>
        <v/>
      </c>
      <c r="AG37" s="91"/>
      <c r="AH37" s="95" t="str">
        <f ca="1">IFERROR(VALUE(IF(VLOOKUP($A37,数出表_Excel!$A$6:$T$150,COLUMN()/2+1,FALSE)=0,"",VLOOKUP($A37,数出表_Excel!$A$6:$T$150,COLUMN()/2+1,FALSE))),"")</f>
        <v/>
      </c>
      <c r="AI37" s="129"/>
      <c r="AJ37" s="96" t="str">
        <f ca="1">IFERROR(VALUE(IF(VLOOKUP($A37,数出表_Excel!$A$6:$T$150,COLUMN()/2+1,FALSE)=0,"",VLOOKUP($A37,数出表_Excel!$A$6:$T$150,COLUMN()/2+1,FALSE))),"")</f>
        <v/>
      </c>
      <c r="AK37" s="91"/>
      <c r="AL37" s="97" t="e">
        <f ca="1">IF(A37&lt;&gt;"",
IF(VLOOKUP($A37,数出表_Excel!$A$6:$T$150,COLUMN()/2+1,FALSE)=0,"",VLOOKUP($A37,数出表_Excel!$A$6:$T$150,COLUMN()/2+1,FALSE)),"")</f>
        <v>#N/A</v>
      </c>
      <c r="AM37" s="177" t="e">
        <f ca="1">数出表_Excel!V37</f>
        <v>#N/A</v>
      </c>
      <c r="AN37" s="178" t="e">
        <f ca="1">数出表_Excel!W37</f>
        <v>#N/A</v>
      </c>
    </row>
    <row r="38" spans="1:40" ht="16.2" customHeight="1">
      <c r="A38" s="137" t="e">
        <f t="array" aca="1" ref="A38" ca="1">IF(OR(COUNTIF(A36,"*10002*"),COUNTIF(A36,"")),"",INDEX(貼り付け用!$A1:$A200,MATCH(A36,貼り付け用!$A1:$A200,0)+2,0))</f>
        <v>#N/A</v>
      </c>
      <c r="B38" s="125" t="str">
        <f ca="1">IFERROR(VALUE(IF(VLOOKUP($A38,数出表_Excel!$A$6:$T$150,COLUMN()/2+1,FALSE)=0,"",VLOOKUP($A38,数出表_Excel!$A$6:$T$150,COLUMN()/2+1,FALSE))),"")</f>
        <v/>
      </c>
      <c r="C38" s="90"/>
      <c r="D38" s="125" t="str">
        <f ca="1">IFERROR(VALUE(IF(VLOOKUP($A38,数出表_Excel!$A$6:$T$150,COLUMN()/2+1,FALSE)=0,"",VLOOKUP($A38,数出表_Excel!$A$6:$T$150,COLUMN()/2+1,FALSE))),"")</f>
        <v/>
      </c>
      <c r="E38" s="90"/>
      <c r="F38" s="127" t="str">
        <f ca="1">IFERROR(VALUE(IF(VLOOKUP($A38,数出表_Excel!$A$6:$T$150,COLUMN()/2+1,FALSE)=0,"",VLOOKUP($A38,数出表_Excel!$A$6:$T$150,COLUMN()/2+1,FALSE))),"")</f>
        <v/>
      </c>
      <c r="G38" s="90"/>
      <c r="H38" s="125" t="str">
        <f ca="1">IFERROR(VALUE(IF(VLOOKUP($A38,数出表_Excel!$A$6:$T$150,COLUMN()/2+1,FALSE)=0,"",VLOOKUP($A38,数出表_Excel!$A$6:$T$150,COLUMN()/2+1,FALSE))),"")</f>
        <v/>
      </c>
      <c r="I38" s="90"/>
      <c r="J38" s="125" t="str">
        <f ca="1">IFERROR(VALUE(IF(VLOOKUP($A38,数出表_Excel!$A$6:$T$150,COLUMN()/2+1,FALSE)=0,"",VLOOKUP($A38,数出表_Excel!$A$6:$T$150,COLUMN()/2+1,FALSE))),"")</f>
        <v/>
      </c>
      <c r="K38" s="90"/>
      <c r="L38" s="127" t="str">
        <f ca="1">IFERROR(VALUE(IF(VLOOKUP($A38,数出表_Excel!$A$6:$T$150,COLUMN()/2+1,FALSE)=0,"",VLOOKUP($A38,数出表_Excel!$A$6:$T$150,COLUMN()/2+1,FALSE))),"")</f>
        <v/>
      </c>
      <c r="M38" s="90"/>
      <c r="N38" s="125" t="str">
        <f ca="1">IFERROR(VALUE(IF(VLOOKUP($A38,数出表_Excel!$A$6:$T$150,COLUMN()/2+1,FALSE)=0,"",VLOOKUP($A38,数出表_Excel!$A$6:$T$150,COLUMN()/2+1,FALSE))),"")</f>
        <v/>
      </c>
      <c r="O38" s="90"/>
      <c r="P38" s="125" t="str">
        <f ca="1">IFERROR(VALUE(IF(VLOOKUP($A38,数出表_Excel!$A$6:$T$150,COLUMN()/2+1,FALSE)=0,"",VLOOKUP($A38,数出表_Excel!$A$6:$T$150,COLUMN()/2+1,FALSE))),"")</f>
        <v/>
      </c>
      <c r="Q38" s="90"/>
      <c r="R38" s="125" t="str">
        <f ca="1">IFERROR(VALUE(IF(VLOOKUP($A38,数出表_Excel!$A$6:$T$150,COLUMN()/2+1,FALSE)=0,"",VLOOKUP($A38,数出表_Excel!$A$6:$T$150,COLUMN()/2+1,FALSE))),"")</f>
        <v/>
      </c>
      <c r="S38" s="90"/>
      <c r="T38" s="125" t="str">
        <f ca="1">IFERROR(VALUE(IF(VLOOKUP($A38,数出表_Excel!$A$6:$T$150,COLUMN()/2+1,FALSE)=0,"",VLOOKUP($A38,数出表_Excel!$A$6:$T$150,COLUMN()/2+1,FALSE))),"")</f>
        <v/>
      </c>
      <c r="U38" s="90"/>
      <c r="V38" s="127" t="str">
        <f ca="1">IFERROR(VALUE(IF(VLOOKUP($A38,数出表_Excel!$A$6:$T$150,COLUMN()/2+1,FALSE)=0,"",VLOOKUP($A38,数出表_Excel!$A$6:$T$150,COLUMN()/2+1,FALSE))),"")</f>
        <v/>
      </c>
      <c r="W38" s="90"/>
      <c r="X38" s="127" t="str">
        <f ca="1">IFERROR(VALUE(IF(VLOOKUP($A38,数出表_Excel!$A$6:$T$150,COLUMN()/2+1,FALSE)=0,"",VLOOKUP($A38,数出表_Excel!$A$6:$T$150,COLUMN()/2+1,FALSE))),"")</f>
        <v/>
      </c>
      <c r="Y38" s="90"/>
      <c r="Z38" s="127" t="str">
        <f ca="1">IFERROR(VALUE(IF(VLOOKUP($A38,数出表_Excel!$A$6:$T$150,COLUMN()/2+1,FALSE)=0,"",VLOOKUP($A38,数出表_Excel!$A$6:$T$150,COLUMN()/2+1,FALSE))),"")</f>
        <v/>
      </c>
      <c r="AA38" s="128"/>
      <c r="AB38" s="126" t="str">
        <f ca="1">IFERROR(VALUE(IF(VLOOKUP($A38,数出表_Excel!$A$6:$T$150,COLUMN()/2+1,FALSE)=0,"",VLOOKUP($A38,数出表_Excel!$A$6:$T$150,COLUMN()/2+1,FALSE))),"")</f>
        <v/>
      </c>
      <c r="AC38" s="90"/>
      <c r="AD38" s="127" t="str">
        <f ca="1">IFERROR(VALUE(IF(VLOOKUP($A38,数出表_Excel!$A$6:$T$150,COLUMN()/2+1,FALSE)=0,"",VLOOKUP($A38,数出表_Excel!$A$6:$T$150,COLUMN()/2+1,FALSE))),"")</f>
        <v/>
      </c>
      <c r="AE38" s="90"/>
      <c r="AF38" s="127" t="str">
        <f ca="1">IFERROR(VALUE(IF(VLOOKUP($A38,数出表_Excel!$A$6:$T$150,COLUMN()/2+1,FALSE)=0,"",VLOOKUP($A38,数出表_Excel!$A$6:$T$150,COLUMN()/2+1,FALSE))),"")</f>
        <v/>
      </c>
      <c r="AG38" s="90"/>
      <c r="AH38" s="127" t="str">
        <f ca="1">IFERROR(VALUE(IF(VLOOKUP($A38,数出表_Excel!$A$6:$T$150,COLUMN()/2+1,FALSE)=0,"",VLOOKUP($A38,数出表_Excel!$A$6:$T$150,COLUMN()/2+1,FALSE))),"")</f>
        <v/>
      </c>
      <c r="AI38" s="128"/>
      <c r="AJ38" s="126" t="str">
        <f ca="1">IFERROR(VALUE(IF(VLOOKUP($A38,数出表_Excel!$A$6:$T$150,COLUMN()/2+1,FALSE)=0,"",VLOOKUP($A38,数出表_Excel!$A$6:$T$150,COLUMN()/2+1,FALSE))),"")</f>
        <v/>
      </c>
      <c r="AK38" s="90"/>
      <c r="AL38" s="94" t="e">
        <f ca="1">IF(A38&lt;&gt;"",
IF(VLOOKUP($A38,数出表_Excel!$A$6:$T$150,COLUMN()/2+1,FALSE)=0,"",VLOOKUP($A38,数出表_Excel!$A$6:$T$150,COLUMN()/2+1,FALSE)),"")</f>
        <v>#N/A</v>
      </c>
      <c r="AM38" s="175" t="e">
        <f ca="1">数出表_Excel!V38</f>
        <v>#N/A</v>
      </c>
      <c r="AN38" s="176" t="e">
        <f ca="1">数出表_Excel!W38</f>
        <v>#N/A</v>
      </c>
    </row>
    <row r="39" spans="1:40" ht="16.2" customHeight="1">
      <c r="A39" s="138" t="e">
        <f t="array" aca="1" ref="A39" ca="1">IF(OR(COUNTIF(A37,"*1000*"),COUNTIF(A37,"")),"",INDEX(貼り付け用!$A1:$A200,MATCH(A37,貼り付け用!$A1:$A200,0)+2,0))</f>
        <v>#N/A</v>
      </c>
      <c r="B39" s="91" t="str">
        <f ca="1">IFERROR(VALUE(IF(VLOOKUP($A39,数出表_Excel!$A$6:$T$150,COLUMN()/2+1,FALSE)=0,"",VLOOKUP($A39,数出表_Excel!$A$6:$T$150,COLUMN()/2+1,FALSE))),"")</f>
        <v/>
      </c>
      <c r="C39" s="91"/>
      <c r="D39" s="91" t="str">
        <f ca="1">IFERROR(VALUE(IF(VLOOKUP($A39,数出表_Excel!$A$6:$T$150,COLUMN()/2+1,FALSE)=0,"",VLOOKUP($A39,数出表_Excel!$A$6:$T$150,COLUMN()/2+1,FALSE))),"")</f>
        <v/>
      </c>
      <c r="E39" s="91"/>
      <c r="F39" s="95" t="str">
        <f ca="1">IFERROR(VALUE(IF(VLOOKUP($A39,数出表_Excel!$A$6:$T$150,COLUMN()/2+1,FALSE)=0,"",VLOOKUP($A39,数出表_Excel!$A$6:$T$150,COLUMN()/2+1,FALSE))),"")</f>
        <v/>
      </c>
      <c r="G39" s="91"/>
      <c r="H39" s="91" t="str">
        <f ca="1">IFERROR(VALUE(IF(VLOOKUP($A39,数出表_Excel!$A$6:$T$150,COLUMN()/2+1,FALSE)=0,"",VLOOKUP($A39,数出表_Excel!$A$6:$T$150,COLUMN()/2+1,FALSE))),"")</f>
        <v/>
      </c>
      <c r="I39" s="91"/>
      <c r="J39" s="91" t="str">
        <f ca="1">IFERROR(VALUE(IF(VLOOKUP($A39,数出表_Excel!$A$6:$T$150,COLUMN()/2+1,FALSE)=0,"",VLOOKUP($A39,数出表_Excel!$A$6:$T$150,COLUMN()/2+1,FALSE))),"")</f>
        <v/>
      </c>
      <c r="K39" s="91"/>
      <c r="L39" s="95" t="str">
        <f ca="1">IFERROR(VALUE(IF(VLOOKUP($A39,数出表_Excel!$A$6:$T$150,COLUMN()/2+1,FALSE)=0,"",VLOOKUP($A39,数出表_Excel!$A$6:$T$150,COLUMN()/2+1,FALSE))),"")</f>
        <v/>
      </c>
      <c r="M39" s="91"/>
      <c r="N39" s="91" t="str">
        <f ca="1">IFERROR(VALUE(IF(VLOOKUP($A39,数出表_Excel!$A$6:$T$150,COLUMN()/2+1,FALSE)=0,"",VLOOKUP($A39,数出表_Excel!$A$6:$T$150,COLUMN()/2+1,FALSE))),"")</f>
        <v/>
      </c>
      <c r="O39" s="91"/>
      <c r="P39" s="91" t="str">
        <f ca="1">IFERROR(VALUE(IF(VLOOKUP($A39,数出表_Excel!$A$6:$T$150,COLUMN()/2+1,FALSE)=0,"",VLOOKUP($A39,数出表_Excel!$A$6:$T$150,COLUMN()/2+1,FALSE))),"")</f>
        <v/>
      </c>
      <c r="Q39" s="91"/>
      <c r="R39" s="91" t="str">
        <f ca="1">IFERROR(VALUE(IF(VLOOKUP($A39,数出表_Excel!$A$6:$T$150,COLUMN()/2+1,FALSE)=0,"",VLOOKUP($A39,数出表_Excel!$A$6:$T$150,COLUMN()/2+1,FALSE))),"")</f>
        <v/>
      </c>
      <c r="S39" s="91"/>
      <c r="T39" s="91" t="str">
        <f ca="1">IFERROR(VALUE(IF(VLOOKUP($A39,数出表_Excel!$A$6:$T$150,COLUMN()/2+1,FALSE)=0,"",VLOOKUP($A39,数出表_Excel!$A$6:$T$150,COLUMN()/2+1,FALSE))),"")</f>
        <v/>
      </c>
      <c r="U39" s="91"/>
      <c r="V39" s="95" t="str">
        <f ca="1">IFERROR(VALUE(IF(VLOOKUP($A39,数出表_Excel!$A$6:$T$150,COLUMN()/2+1,FALSE)=0,"",VLOOKUP($A39,数出表_Excel!$A$6:$T$150,COLUMN()/2+1,FALSE))),"")</f>
        <v/>
      </c>
      <c r="W39" s="91"/>
      <c r="X39" s="95" t="str">
        <f ca="1">IFERROR(VALUE(IF(VLOOKUP($A39,数出表_Excel!$A$6:$T$150,COLUMN()/2+1,FALSE)=0,"",VLOOKUP($A39,数出表_Excel!$A$6:$T$150,COLUMN()/2+1,FALSE))),"")</f>
        <v/>
      </c>
      <c r="Y39" s="91"/>
      <c r="Z39" s="95" t="str">
        <f ca="1">IFERROR(VALUE(IF(VLOOKUP($A39,数出表_Excel!$A$6:$T$150,COLUMN()/2+1,FALSE)=0,"",VLOOKUP($A39,数出表_Excel!$A$6:$T$150,COLUMN()/2+1,FALSE))),"")</f>
        <v/>
      </c>
      <c r="AA39" s="129"/>
      <c r="AB39" s="96" t="str">
        <f ca="1">IFERROR(VALUE(IF(VLOOKUP($A39,数出表_Excel!$A$6:$T$150,COLUMN()/2+1,FALSE)=0,"",VLOOKUP($A39,数出表_Excel!$A$6:$T$150,COLUMN()/2+1,FALSE))),"")</f>
        <v/>
      </c>
      <c r="AC39" s="91"/>
      <c r="AD39" s="95" t="str">
        <f ca="1">IFERROR(VALUE(IF(VLOOKUP($A39,数出表_Excel!$A$6:$T$150,COLUMN()/2+1,FALSE)=0,"",VLOOKUP($A39,数出表_Excel!$A$6:$T$150,COLUMN()/2+1,FALSE))),"")</f>
        <v/>
      </c>
      <c r="AE39" s="91"/>
      <c r="AF39" s="95" t="str">
        <f ca="1">IFERROR(VALUE(IF(VLOOKUP($A39,数出表_Excel!$A$6:$T$150,COLUMN()/2+1,FALSE)=0,"",VLOOKUP($A39,数出表_Excel!$A$6:$T$150,COLUMN()/2+1,FALSE))),"")</f>
        <v/>
      </c>
      <c r="AG39" s="91"/>
      <c r="AH39" s="95" t="str">
        <f ca="1">IFERROR(VALUE(IF(VLOOKUP($A39,数出表_Excel!$A$6:$T$150,COLUMN()/2+1,FALSE)=0,"",VLOOKUP($A39,数出表_Excel!$A$6:$T$150,COLUMN()/2+1,FALSE))),"")</f>
        <v/>
      </c>
      <c r="AI39" s="129"/>
      <c r="AJ39" s="96" t="str">
        <f ca="1">IFERROR(VALUE(IF(VLOOKUP($A39,数出表_Excel!$A$6:$T$150,COLUMN()/2+1,FALSE)=0,"",VLOOKUP($A39,数出表_Excel!$A$6:$T$150,COLUMN()/2+1,FALSE))),"")</f>
        <v/>
      </c>
      <c r="AK39" s="91"/>
      <c r="AL39" s="97" t="e">
        <f ca="1">IF(A39&lt;&gt;"",
IF(VLOOKUP($A39,数出表_Excel!$A$6:$T$150,COLUMN()/2+1,FALSE)=0,"",VLOOKUP($A39,数出表_Excel!$A$6:$T$150,COLUMN()/2+1,FALSE)),"")</f>
        <v>#N/A</v>
      </c>
      <c r="AM39" s="177" t="e">
        <f ca="1">数出表_Excel!V39</f>
        <v>#N/A</v>
      </c>
      <c r="AN39" s="178" t="e">
        <f ca="1">数出表_Excel!W39</f>
        <v>#N/A</v>
      </c>
    </row>
    <row r="40" spans="1:40" ht="16.2" customHeight="1">
      <c r="A40" s="137" t="e">
        <f t="array" aca="1" ref="A40" ca="1">IF(OR(COUNTIF(A38,"*10002*"),COUNTIF(A38,"")),"",INDEX(貼り付け用!$A1:$A200,MATCH(A38,貼り付け用!$A1:$A200,0)+2,0))</f>
        <v>#N/A</v>
      </c>
      <c r="B40" s="125" t="str">
        <f ca="1">IFERROR(VALUE(IF(VLOOKUP($A40,数出表_Excel!$A$6:$T$150,COLUMN()/2+1,FALSE)=0,"",VLOOKUP($A40,数出表_Excel!$A$6:$T$150,COLUMN()/2+1,FALSE))),"")</f>
        <v/>
      </c>
      <c r="C40" s="90"/>
      <c r="D40" s="125" t="str">
        <f ca="1">IFERROR(VALUE(IF(VLOOKUP($A40,数出表_Excel!$A$6:$T$150,COLUMN()/2+1,FALSE)=0,"",VLOOKUP($A40,数出表_Excel!$A$6:$T$150,COLUMN()/2+1,FALSE))),"")</f>
        <v/>
      </c>
      <c r="E40" s="90"/>
      <c r="F40" s="127" t="str">
        <f ca="1">IFERROR(VALUE(IF(VLOOKUP($A40,数出表_Excel!$A$6:$T$150,COLUMN()/2+1,FALSE)=0,"",VLOOKUP($A40,数出表_Excel!$A$6:$T$150,COLUMN()/2+1,FALSE))),"")</f>
        <v/>
      </c>
      <c r="G40" s="90"/>
      <c r="H40" s="125" t="str">
        <f ca="1">IFERROR(VALUE(IF(VLOOKUP($A40,数出表_Excel!$A$6:$T$150,COLUMN()/2+1,FALSE)=0,"",VLOOKUP($A40,数出表_Excel!$A$6:$T$150,COLUMN()/2+1,FALSE))),"")</f>
        <v/>
      </c>
      <c r="I40" s="90"/>
      <c r="J40" s="125" t="str">
        <f ca="1">IFERROR(VALUE(IF(VLOOKUP($A40,数出表_Excel!$A$6:$T$150,COLUMN()/2+1,FALSE)=0,"",VLOOKUP($A40,数出表_Excel!$A$6:$T$150,COLUMN()/2+1,FALSE))),"")</f>
        <v/>
      </c>
      <c r="K40" s="90"/>
      <c r="L40" s="127" t="str">
        <f ca="1">IFERROR(VALUE(IF(VLOOKUP($A40,数出表_Excel!$A$6:$T$150,COLUMN()/2+1,FALSE)=0,"",VLOOKUP($A40,数出表_Excel!$A$6:$T$150,COLUMN()/2+1,FALSE))),"")</f>
        <v/>
      </c>
      <c r="M40" s="90"/>
      <c r="N40" s="125" t="str">
        <f ca="1">IFERROR(VALUE(IF(VLOOKUP($A40,数出表_Excel!$A$6:$T$150,COLUMN()/2+1,FALSE)=0,"",VLOOKUP($A40,数出表_Excel!$A$6:$T$150,COLUMN()/2+1,FALSE))),"")</f>
        <v/>
      </c>
      <c r="O40" s="90"/>
      <c r="P40" s="125" t="str">
        <f ca="1">IFERROR(VALUE(IF(VLOOKUP($A40,数出表_Excel!$A$6:$T$150,COLUMN()/2+1,FALSE)=0,"",VLOOKUP($A40,数出表_Excel!$A$6:$T$150,COLUMN()/2+1,FALSE))),"")</f>
        <v/>
      </c>
      <c r="Q40" s="90"/>
      <c r="R40" s="125" t="str">
        <f ca="1">IFERROR(VALUE(IF(VLOOKUP($A40,数出表_Excel!$A$6:$T$150,COLUMN()/2+1,FALSE)=0,"",VLOOKUP($A40,数出表_Excel!$A$6:$T$150,COLUMN()/2+1,FALSE))),"")</f>
        <v/>
      </c>
      <c r="S40" s="90"/>
      <c r="T40" s="125" t="str">
        <f ca="1">IFERROR(VALUE(IF(VLOOKUP($A40,数出表_Excel!$A$6:$T$150,COLUMN()/2+1,FALSE)=0,"",VLOOKUP($A40,数出表_Excel!$A$6:$T$150,COLUMN()/2+1,FALSE))),"")</f>
        <v/>
      </c>
      <c r="U40" s="90"/>
      <c r="V40" s="127" t="str">
        <f ca="1">IFERROR(VALUE(IF(VLOOKUP($A40,数出表_Excel!$A$6:$T$150,COLUMN()/2+1,FALSE)=0,"",VLOOKUP($A40,数出表_Excel!$A$6:$T$150,COLUMN()/2+1,FALSE))),"")</f>
        <v/>
      </c>
      <c r="W40" s="90"/>
      <c r="X40" s="127" t="str">
        <f ca="1">IFERROR(VALUE(IF(VLOOKUP($A40,数出表_Excel!$A$6:$T$150,COLUMN()/2+1,FALSE)=0,"",VLOOKUP($A40,数出表_Excel!$A$6:$T$150,COLUMN()/2+1,FALSE))),"")</f>
        <v/>
      </c>
      <c r="Y40" s="90"/>
      <c r="Z40" s="127" t="str">
        <f ca="1">IFERROR(VALUE(IF(VLOOKUP($A40,数出表_Excel!$A$6:$T$150,COLUMN()/2+1,FALSE)=0,"",VLOOKUP($A40,数出表_Excel!$A$6:$T$150,COLUMN()/2+1,FALSE))),"")</f>
        <v/>
      </c>
      <c r="AA40" s="128"/>
      <c r="AB40" s="126" t="str">
        <f ca="1">IFERROR(VALUE(IF(VLOOKUP($A40,数出表_Excel!$A$6:$T$150,COLUMN()/2+1,FALSE)=0,"",VLOOKUP($A40,数出表_Excel!$A$6:$T$150,COLUMN()/2+1,FALSE))),"")</f>
        <v/>
      </c>
      <c r="AC40" s="90"/>
      <c r="AD40" s="127" t="str">
        <f ca="1">IFERROR(VALUE(IF(VLOOKUP($A40,数出表_Excel!$A$6:$T$150,COLUMN()/2+1,FALSE)=0,"",VLOOKUP($A40,数出表_Excel!$A$6:$T$150,COLUMN()/2+1,FALSE))),"")</f>
        <v/>
      </c>
      <c r="AE40" s="90"/>
      <c r="AF40" s="127" t="str">
        <f ca="1">IFERROR(VALUE(IF(VLOOKUP($A40,数出表_Excel!$A$6:$T$150,COLUMN()/2+1,FALSE)=0,"",VLOOKUP($A40,数出表_Excel!$A$6:$T$150,COLUMN()/2+1,FALSE))),"")</f>
        <v/>
      </c>
      <c r="AG40" s="90"/>
      <c r="AH40" s="127" t="str">
        <f ca="1">IFERROR(VALUE(IF(VLOOKUP($A40,数出表_Excel!$A$6:$T$150,COLUMN()/2+1,FALSE)=0,"",VLOOKUP($A40,数出表_Excel!$A$6:$T$150,COLUMN()/2+1,FALSE))),"")</f>
        <v/>
      </c>
      <c r="AI40" s="128"/>
      <c r="AJ40" s="126" t="str">
        <f ca="1">IFERROR(VALUE(IF(VLOOKUP($A40,数出表_Excel!$A$6:$T$150,COLUMN()/2+1,FALSE)=0,"",VLOOKUP($A40,数出表_Excel!$A$6:$T$150,COLUMN()/2+1,FALSE))),"")</f>
        <v/>
      </c>
      <c r="AK40" s="90"/>
      <c r="AL40" s="94" t="e">
        <f ca="1">IF(A40&lt;&gt;"",
IF(VLOOKUP($A40,数出表_Excel!$A$6:$T$150,COLUMN()/2+1,FALSE)=0,"",VLOOKUP($A40,数出表_Excel!$A$6:$T$150,COLUMN()/2+1,FALSE)),"")</f>
        <v>#N/A</v>
      </c>
      <c r="AM40" s="175" t="e">
        <f>数出表_Excel!V40</f>
        <v>#N/A</v>
      </c>
      <c r="AN40" s="176" t="e">
        <f>数出表_Excel!W40</f>
        <v>#N/A</v>
      </c>
    </row>
    <row r="41" spans="1:40" ht="16.2" customHeight="1">
      <c r="A41" s="138" t="e">
        <f t="array" aca="1" ref="A41" ca="1">IF(OR(COUNTIF(A39,"*1000*"),COUNTIF(A39,"")),"",INDEX(貼り付け用!$A1:$A200,MATCH(A39,貼り付け用!$A1:$A200,0)+2,0))</f>
        <v>#N/A</v>
      </c>
      <c r="B41" s="91" t="str">
        <f ca="1">IFERROR(VALUE(IF(VLOOKUP($A41,数出表_Excel!$A$6:$T$150,COLUMN()/2+1,FALSE)=0,"",VLOOKUP($A41,数出表_Excel!$A$6:$T$150,COLUMN()/2+1,FALSE))),"")</f>
        <v/>
      </c>
      <c r="C41" s="91"/>
      <c r="D41" s="91" t="str">
        <f ca="1">IFERROR(VALUE(IF(VLOOKUP($A41,数出表_Excel!$A$6:$T$150,COLUMN()/2+1,FALSE)=0,"",VLOOKUP($A41,数出表_Excel!$A$6:$T$150,COLUMN()/2+1,FALSE))),"")</f>
        <v/>
      </c>
      <c r="E41" s="91"/>
      <c r="F41" s="95" t="str">
        <f ca="1">IFERROR(VALUE(IF(VLOOKUP($A41,数出表_Excel!$A$6:$T$150,COLUMN()/2+1,FALSE)=0,"",VLOOKUP($A41,数出表_Excel!$A$6:$T$150,COLUMN()/2+1,FALSE))),"")</f>
        <v/>
      </c>
      <c r="G41" s="91"/>
      <c r="H41" s="91" t="str">
        <f ca="1">IFERROR(VALUE(IF(VLOOKUP($A41,数出表_Excel!$A$6:$T$150,COLUMN()/2+1,FALSE)=0,"",VLOOKUP($A41,数出表_Excel!$A$6:$T$150,COLUMN()/2+1,FALSE))),"")</f>
        <v/>
      </c>
      <c r="I41" s="91"/>
      <c r="J41" s="91" t="str">
        <f ca="1">IFERROR(VALUE(IF(VLOOKUP($A41,数出表_Excel!$A$6:$T$150,COLUMN()/2+1,FALSE)=0,"",VLOOKUP($A41,数出表_Excel!$A$6:$T$150,COLUMN()/2+1,FALSE))),"")</f>
        <v/>
      </c>
      <c r="K41" s="91"/>
      <c r="L41" s="95" t="str">
        <f ca="1">IFERROR(VALUE(IF(VLOOKUP($A41,数出表_Excel!$A$6:$T$150,COLUMN()/2+1,FALSE)=0,"",VLOOKUP($A41,数出表_Excel!$A$6:$T$150,COLUMN()/2+1,FALSE))),"")</f>
        <v/>
      </c>
      <c r="M41" s="91"/>
      <c r="N41" s="91" t="str">
        <f ca="1">IFERROR(VALUE(IF(VLOOKUP($A41,数出表_Excel!$A$6:$T$150,COLUMN()/2+1,FALSE)=0,"",VLOOKUP($A41,数出表_Excel!$A$6:$T$150,COLUMN()/2+1,FALSE))),"")</f>
        <v/>
      </c>
      <c r="O41" s="91"/>
      <c r="P41" s="91" t="str">
        <f ca="1">IFERROR(VALUE(IF(VLOOKUP($A41,数出表_Excel!$A$6:$T$150,COLUMN()/2+1,FALSE)=0,"",VLOOKUP($A41,数出表_Excel!$A$6:$T$150,COLUMN()/2+1,FALSE))),"")</f>
        <v/>
      </c>
      <c r="Q41" s="91"/>
      <c r="R41" s="91" t="str">
        <f ca="1">IFERROR(VALUE(IF(VLOOKUP($A41,数出表_Excel!$A$6:$T$150,COLUMN()/2+1,FALSE)=0,"",VLOOKUP($A41,数出表_Excel!$A$6:$T$150,COLUMN()/2+1,FALSE))),"")</f>
        <v/>
      </c>
      <c r="S41" s="91"/>
      <c r="T41" s="91" t="str">
        <f ca="1">IFERROR(VALUE(IF(VLOOKUP($A41,数出表_Excel!$A$6:$T$150,COLUMN()/2+1,FALSE)=0,"",VLOOKUP($A41,数出表_Excel!$A$6:$T$150,COLUMN()/2+1,FALSE))),"")</f>
        <v/>
      </c>
      <c r="U41" s="91"/>
      <c r="V41" s="95" t="str">
        <f ca="1">IFERROR(VALUE(IF(VLOOKUP($A41,数出表_Excel!$A$6:$T$150,COLUMN()/2+1,FALSE)=0,"",VLOOKUP($A41,数出表_Excel!$A$6:$T$150,COLUMN()/2+1,FALSE))),"")</f>
        <v/>
      </c>
      <c r="W41" s="91"/>
      <c r="X41" s="95" t="str">
        <f ca="1">IFERROR(VALUE(IF(VLOOKUP($A41,数出表_Excel!$A$6:$T$150,COLUMN()/2+1,FALSE)=0,"",VLOOKUP($A41,数出表_Excel!$A$6:$T$150,COLUMN()/2+1,FALSE))),"")</f>
        <v/>
      </c>
      <c r="Y41" s="91"/>
      <c r="Z41" s="95" t="str">
        <f ca="1">IFERROR(VALUE(IF(VLOOKUP($A41,数出表_Excel!$A$6:$T$150,COLUMN()/2+1,FALSE)=0,"",VLOOKUP($A41,数出表_Excel!$A$6:$T$150,COLUMN()/2+1,FALSE))),"")</f>
        <v/>
      </c>
      <c r="AA41" s="129"/>
      <c r="AB41" s="96" t="str">
        <f ca="1">IFERROR(VALUE(IF(VLOOKUP($A41,数出表_Excel!$A$6:$T$150,COLUMN()/2+1,FALSE)=0,"",VLOOKUP($A41,数出表_Excel!$A$6:$T$150,COLUMN()/2+1,FALSE))),"")</f>
        <v/>
      </c>
      <c r="AC41" s="91"/>
      <c r="AD41" s="95" t="str">
        <f ca="1">IFERROR(VALUE(IF(VLOOKUP($A41,数出表_Excel!$A$6:$T$150,COLUMN()/2+1,FALSE)=0,"",VLOOKUP($A41,数出表_Excel!$A$6:$T$150,COLUMN()/2+1,FALSE))),"")</f>
        <v/>
      </c>
      <c r="AE41" s="91"/>
      <c r="AF41" s="95" t="str">
        <f ca="1">IFERROR(VALUE(IF(VLOOKUP($A41,数出表_Excel!$A$6:$T$150,COLUMN()/2+1,FALSE)=0,"",VLOOKUP($A41,数出表_Excel!$A$6:$T$150,COLUMN()/2+1,FALSE))),"")</f>
        <v/>
      </c>
      <c r="AG41" s="91"/>
      <c r="AH41" s="95" t="str">
        <f ca="1">IFERROR(VALUE(IF(VLOOKUP($A41,数出表_Excel!$A$6:$T$150,COLUMN()/2+1,FALSE)=0,"",VLOOKUP($A41,数出表_Excel!$A$6:$T$150,COLUMN()/2+1,FALSE))),"")</f>
        <v/>
      </c>
      <c r="AI41" s="129"/>
      <c r="AJ41" s="96" t="str">
        <f ca="1">IFERROR(VALUE(IF(VLOOKUP($A41,数出表_Excel!$A$6:$T$150,COLUMN()/2+1,FALSE)=0,"",VLOOKUP($A41,数出表_Excel!$A$6:$T$150,COLUMN()/2+1,FALSE))),"")</f>
        <v/>
      </c>
      <c r="AK41" s="91"/>
      <c r="AL41" s="97" t="e">
        <f ca="1">IF(A41&lt;&gt;"",
IF(VLOOKUP($A41,数出表_Excel!$A$6:$T$150,COLUMN()/2+1,FALSE)=0,"",VLOOKUP($A41,数出表_Excel!$A$6:$T$150,COLUMN()/2+1,FALSE)),"")</f>
        <v>#N/A</v>
      </c>
      <c r="AM41" s="177" t="e">
        <f>数出表_Excel!V41</f>
        <v>#N/A</v>
      </c>
      <c r="AN41" s="178" t="e">
        <f>数出表_Excel!W41</f>
        <v>#N/A</v>
      </c>
    </row>
    <row r="42" spans="1:40" ht="16.2" customHeight="1">
      <c r="A42" s="137" t="e">
        <f t="array" aca="1" ref="A42" ca="1">IF(OR(COUNTIF(A40,"*10002*"),COUNTIF(A40,"")),"",INDEX(貼り付け用!$A1:$A200,MATCH(A40,貼り付け用!$A1:$A200,0)+2,0))</f>
        <v>#N/A</v>
      </c>
      <c r="B42" s="125" t="str">
        <f ca="1">IFERROR(VALUE(IF(VLOOKUP($A42,数出表_Excel!$A$6:$T$150,COLUMN()/2+1,FALSE)=0,"",VLOOKUP($A42,数出表_Excel!$A$6:$T$150,COLUMN()/2+1,FALSE))),"")</f>
        <v/>
      </c>
      <c r="C42" s="90"/>
      <c r="D42" s="125" t="str">
        <f ca="1">IFERROR(VALUE(IF(VLOOKUP($A42,数出表_Excel!$A$6:$T$150,COLUMN()/2+1,FALSE)=0,"",VLOOKUP($A42,数出表_Excel!$A$6:$T$150,COLUMN()/2+1,FALSE))),"")</f>
        <v/>
      </c>
      <c r="E42" s="90"/>
      <c r="F42" s="127" t="str">
        <f ca="1">IFERROR(VALUE(IF(VLOOKUP($A42,数出表_Excel!$A$6:$T$150,COLUMN()/2+1,FALSE)=0,"",VLOOKUP($A42,数出表_Excel!$A$6:$T$150,COLUMN()/2+1,FALSE))),"")</f>
        <v/>
      </c>
      <c r="G42" s="90"/>
      <c r="H42" s="125" t="str">
        <f ca="1">IFERROR(VALUE(IF(VLOOKUP($A42,数出表_Excel!$A$6:$T$150,COLUMN()/2+1,FALSE)=0,"",VLOOKUP($A42,数出表_Excel!$A$6:$T$150,COLUMN()/2+1,FALSE))),"")</f>
        <v/>
      </c>
      <c r="I42" s="90"/>
      <c r="J42" s="125" t="str">
        <f ca="1">IFERROR(VALUE(IF(VLOOKUP($A42,数出表_Excel!$A$6:$T$150,COLUMN()/2+1,FALSE)=0,"",VLOOKUP($A42,数出表_Excel!$A$6:$T$150,COLUMN()/2+1,FALSE))),"")</f>
        <v/>
      </c>
      <c r="K42" s="90"/>
      <c r="L42" s="127" t="str">
        <f ca="1">IFERROR(VALUE(IF(VLOOKUP($A42,数出表_Excel!$A$6:$T$150,COLUMN()/2+1,FALSE)=0,"",VLOOKUP($A42,数出表_Excel!$A$6:$T$150,COLUMN()/2+1,FALSE))),"")</f>
        <v/>
      </c>
      <c r="M42" s="90"/>
      <c r="N42" s="125" t="str">
        <f ca="1">IFERROR(VALUE(IF(VLOOKUP($A42,数出表_Excel!$A$6:$T$150,COLUMN()/2+1,FALSE)=0,"",VLOOKUP($A42,数出表_Excel!$A$6:$T$150,COLUMN()/2+1,FALSE))),"")</f>
        <v/>
      </c>
      <c r="O42" s="90"/>
      <c r="P42" s="125" t="str">
        <f ca="1">IFERROR(VALUE(IF(VLOOKUP($A42,数出表_Excel!$A$6:$T$150,COLUMN()/2+1,FALSE)=0,"",VLOOKUP($A42,数出表_Excel!$A$6:$T$150,COLUMN()/2+1,FALSE))),"")</f>
        <v/>
      </c>
      <c r="Q42" s="90"/>
      <c r="R42" s="125" t="str">
        <f ca="1">IFERROR(VALUE(IF(VLOOKUP($A42,数出表_Excel!$A$6:$T$150,COLUMN()/2+1,FALSE)=0,"",VLOOKUP($A42,数出表_Excel!$A$6:$T$150,COLUMN()/2+1,FALSE))),"")</f>
        <v/>
      </c>
      <c r="S42" s="90"/>
      <c r="T42" s="125" t="str">
        <f ca="1">IFERROR(VALUE(IF(VLOOKUP($A42,数出表_Excel!$A$6:$T$150,COLUMN()/2+1,FALSE)=0,"",VLOOKUP($A42,数出表_Excel!$A$6:$T$150,COLUMN()/2+1,FALSE))),"")</f>
        <v/>
      </c>
      <c r="U42" s="90"/>
      <c r="V42" s="127" t="str">
        <f ca="1">IFERROR(VALUE(IF(VLOOKUP($A42,数出表_Excel!$A$6:$T$150,COLUMN()/2+1,FALSE)=0,"",VLOOKUP($A42,数出表_Excel!$A$6:$T$150,COLUMN()/2+1,FALSE))),"")</f>
        <v/>
      </c>
      <c r="W42" s="90"/>
      <c r="X42" s="127" t="str">
        <f ca="1">IFERROR(VALUE(IF(VLOOKUP($A42,数出表_Excel!$A$6:$T$150,COLUMN()/2+1,FALSE)=0,"",VLOOKUP($A42,数出表_Excel!$A$6:$T$150,COLUMN()/2+1,FALSE))),"")</f>
        <v/>
      </c>
      <c r="Y42" s="90"/>
      <c r="Z42" s="127" t="str">
        <f ca="1">IFERROR(VALUE(IF(VLOOKUP($A42,数出表_Excel!$A$6:$T$150,COLUMN()/2+1,FALSE)=0,"",VLOOKUP($A42,数出表_Excel!$A$6:$T$150,COLUMN()/2+1,FALSE))),"")</f>
        <v/>
      </c>
      <c r="AA42" s="128"/>
      <c r="AB42" s="126" t="str">
        <f ca="1">IFERROR(VALUE(IF(VLOOKUP($A42,数出表_Excel!$A$6:$T$150,COLUMN()/2+1,FALSE)=0,"",VLOOKUP($A42,数出表_Excel!$A$6:$T$150,COLUMN()/2+1,FALSE))),"")</f>
        <v/>
      </c>
      <c r="AC42" s="90"/>
      <c r="AD42" s="127" t="str">
        <f ca="1">IFERROR(VALUE(IF(VLOOKUP($A42,数出表_Excel!$A$6:$T$150,COLUMN()/2+1,FALSE)=0,"",VLOOKUP($A42,数出表_Excel!$A$6:$T$150,COLUMN()/2+1,FALSE))),"")</f>
        <v/>
      </c>
      <c r="AE42" s="90"/>
      <c r="AF42" s="127" t="str">
        <f ca="1">IFERROR(VALUE(IF(VLOOKUP($A42,数出表_Excel!$A$6:$T$150,COLUMN()/2+1,FALSE)=0,"",VLOOKUP($A42,数出表_Excel!$A$6:$T$150,COLUMN()/2+1,FALSE))),"")</f>
        <v/>
      </c>
      <c r="AG42" s="90"/>
      <c r="AH42" s="127" t="str">
        <f ca="1">IFERROR(VALUE(IF(VLOOKUP($A42,数出表_Excel!$A$6:$T$150,COLUMN()/2+1,FALSE)=0,"",VLOOKUP($A42,数出表_Excel!$A$6:$T$150,COLUMN()/2+1,FALSE))),"")</f>
        <v/>
      </c>
      <c r="AI42" s="128"/>
      <c r="AJ42" s="126" t="str">
        <f ca="1">IFERROR(VALUE(IF(VLOOKUP($A42,数出表_Excel!$A$6:$T$150,COLUMN()/2+1,FALSE)=0,"",VLOOKUP($A42,数出表_Excel!$A$6:$T$150,COLUMN()/2+1,FALSE))),"")</f>
        <v/>
      </c>
      <c r="AK42" s="90"/>
      <c r="AL42" s="94" t="e">
        <f ca="1">IF(A42&lt;&gt;"",
IF(VLOOKUP($A42,数出表_Excel!$A$6:$T$150,COLUMN()/2+1,FALSE)=0,"",VLOOKUP($A42,数出表_Excel!$A$6:$T$150,COLUMN()/2+1,FALSE)),"")</f>
        <v>#N/A</v>
      </c>
      <c r="AM42" s="175" t="e">
        <f>数出表_Excel!V42</f>
        <v>#N/A</v>
      </c>
      <c r="AN42" s="176" t="e">
        <f>数出表_Excel!W42</f>
        <v>#N/A</v>
      </c>
    </row>
    <row r="43" spans="1:40" ht="16.2" customHeight="1">
      <c r="A43" s="138" t="e">
        <f t="array" aca="1" ref="A43" ca="1">IF(OR(COUNTIF(A41,"*1000*"),COUNTIF(A41,"")),"",INDEX(貼り付け用!$A1:$A200,MATCH(A41,貼り付け用!$A1:$A200,0)+2,0))</f>
        <v>#N/A</v>
      </c>
      <c r="B43" s="91" t="str">
        <f ca="1">IFERROR(VALUE(IF(VLOOKUP($A43,数出表_Excel!$A$6:$T$150,COLUMN()/2+1,FALSE)=0,"",VLOOKUP($A43,数出表_Excel!$A$6:$T$150,COLUMN()/2+1,FALSE))),"")</f>
        <v/>
      </c>
      <c r="C43" s="91"/>
      <c r="D43" s="91" t="str">
        <f ca="1">IFERROR(VALUE(IF(VLOOKUP($A43,数出表_Excel!$A$6:$T$150,COLUMN()/2+1,FALSE)=0,"",VLOOKUP($A43,数出表_Excel!$A$6:$T$150,COLUMN()/2+1,FALSE))),"")</f>
        <v/>
      </c>
      <c r="E43" s="91"/>
      <c r="F43" s="95" t="str">
        <f ca="1">IFERROR(VALUE(IF(VLOOKUP($A43,数出表_Excel!$A$6:$T$150,COLUMN()/2+1,FALSE)=0,"",VLOOKUP($A43,数出表_Excel!$A$6:$T$150,COLUMN()/2+1,FALSE))),"")</f>
        <v/>
      </c>
      <c r="G43" s="91"/>
      <c r="H43" s="91" t="str">
        <f ca="1">IFERROR(VALUE(IF(VLOOKUP($A43,数出表_Excel!$A$6:$T$150,COLUMN()/2+1,FALSE)=0,"",VLOOKUP($A43,数出表_Excel!$A$6:$T$150,COLUMN()/2+1,FALSE))),"")</f>
        <v/>
      </c>
      <c r="I43" s="91"/>
      <c r="J43" s="91" t="str">
        <f ca="1">IFERROR(VALUE(IF(VLOOKUP($A43,数出表_Excel!$A$6:$T$150,COLUMN()/2+1,FALSE)=0,"",VLOOKUP($A43,数出表_Excel!$A$6:$T$150,COLUMN()/2+1,FALSE))),"")</f>
        <v/>
      </c>
      <c r="K43" s="91"/>
      <c r="L43" s="95" t="str">
        <f ca="1">IFERROR(VALUE(IF(VLOOKUP($A43,数出表_Excel!$A$6:$T$150,COLUMN()/2+1,FALSE)=0,"",VLOOKUP($A43,数出表_Excel!$A$6:$T$150,COLUMN()/2+1,FALSE))),"")</f>
        <v/>
      </c>
      <c r="M43" s="91"/>
      <c r="N43" s="91" t="str">
        <f ca="1">IFERROR(VALUE(IF(VLOOKUP($A43,数出表_Excel!$A$6:$T$150,COLUMN()/2+1,FALSE)=0,"",VLOOKUP($A43,数出表_Excel!$A$6:$T$150,COLUMN()/2+1,FALSE))),"")</f>
        <v/>
      </c>
      <c r="O43" s="91"/>
      <c r="P43" s="91" t="str">
        <f ca="1">IFERROR(VALUE(IF(VLOOKUP($A43,数出表_Excel!$A$6:$T$150,COLUMN()/2+1,FALSE)=0,"",VLOOKUP($A43,数出表_Excel!$A$6:$T$150,COLUMN()/2+1,FALSE))),"")</f>
        <v/>
      </c>
      <c r="Q43" s="91"/>
      <c r="R43" s="91" t="str">
        <f ca="1">IFERROR(VALUE(IF(VLOOKUP($A43,数出表_Excel!$A$6:$T$150,COLUMN()/2+1,FALSE)=0,"",VLOOKUP($A43,数出表_Excel!$A$6:$T$150,COLUMN()/2+1,FALSE))),"")</f>
        <v/>
      </c>
      <c r="S43" s="91"/>
      <c r="T43" s="91" t="str">
        <f ca="1">IFERROR(VALUE(IF(VLOOKUP($A43,数出表_Excel!$A$6:$T$150,COLUMN()/2+1,FALSE)=0,"",VLOOKUP($A43,数出表_Excel!$A$6:$T$150,COLUMN()/2+1,FALSE))),"")</f>
        <v/>
      </c>
      <c r="U43" s="91"/>
      <c r="V43" s="95" t="str">
        <f ca="1">IFERROR(VALUE(IF(VLOOKUP($A43,数出表_Excel!$A$6:$T$150,COLUMN()/2+1,FALSE)=0,"",VLOOKUP($A43,数出表_Excel!$A$6:$T$150,COLUMN()/2+1,FALSE))),"")</f>
        <v/>
      </c>
      <c r="W43" s="91"/>
      <c r="X43" s="95" t="str">
        <f ca="1">IFERROR(VALUE(IF(VLOOKUP($A43,数出表_Excel!$A$6:$T$150,COLUMN()/2+1,FALSE)=0,"",VLOOKUP($A43,数出表_Excel!$A$6:$T$150,COLUMN()/2+1,FALSE))),"")</f>
        <v/>
      </c>
      <c r="Y43" s="91"/>
      <c r="Z43" s="95" t="str">
        <f ca="1">IFERROR(VALUE(IF(VLOOKUP($A43,数出表_Excel!$A$6:$T$150,COLUMN()/2+1,FALSE)=0,"",VLOOKUP($A43,数出表_Excel!$A$6:$T$150,COLUMN()/2+1,FALSE))),"")</f>
        <v/>
      </c>
      <c r="AA43" s="129"/>
      <c r="AB43" s="96" t="str">
        <f ca="1">IFERROR(VALUE(IF(VLOOKUP($A43,数出表_Excel!$A$6:$T$150,COLUMN()/2+1,FALSE)=0,"",VLOOKUP($A43,数出表_Excel!$A$6:$T$150,COLUMN()/2+1,FALSE))),"")</f>
        <v/>
      </c>
      <c r="AC43" s="91"/>
      <c r="AD43" s="95" t="str">
        <f ca="1">IFERROR(VALUE(IF(VLOOKUP($A43,数出表_Excel!$A$6:$T$150,COLUMN()/2+1,FALSE)=0,"",VLOOKUP($A43,数出表_Excel!$A$6:$T$150,COLUMN()/2+1,FALSE))),"")</f>
        <v/>
      </c>
      <c r="AE43" s="91"/>
      <c r="AF43" s="95" t="str">
        <f ca="1">IFERROR(VALUE(IF(VLOOKUP($A43,数出表_Excel!$A$6:$T$150,COLUMN()/2+1,FALSE)=0,"",VLOOKUP($A43,数出表_Excel!$A$6:$T$150,COLUMN()/2+1,FALSE))),"")</f>
        <v/>
      </c>
      <c r="AG43" s="91"/>
      <c r="AH43" s="95" t="str">
        <f ca="1">IFERROR(VALUE(IF(VLOOKUP($A43,数出表_Excel!$A$6:$T$150,COLUMN()/2+1,FALSE)=0,"",VLOOKUP($A43,数出表_Excel!$A$6:$T$150,COLUMN()/2+1,FALSE))),"")</f>
        <v/>
      </c>
      <c r="AI43" s="129"/>
      <c r="AJ43" s="96" t="str">
        <f ca="1">IFERROR(VALUE(IF(VLOOKUP($A43,数出表_Excel!$A$6:$T$150,COLUMN()/2+1,FALSE)=0,"",VLOOKUP($A43,数出表_Excel!$A$6:$T$150,COLUMN()/2+1,FALSE))),"")</f>
        <v/>
      </c>
      <c r="AK43" s="91"/>
      <c r="AL43" s="97" t="e">
        <f ca="1">IF(A43&lt;&gt;"",
IF(VLOOKUP($A43,数出表_Excel!$A$6:$T$150,COLUMN()/2+1,FALSE)=0,"",VLOOKUP($A43,数出表_Excel!$A$6:$T$150,COLUMN()/2+1,FALSE)),"")</f>
        <v>#N/A</v>
      </c>
      <c r="AM43" s="177" t="e">
        <f>数出表_Excel!V43</f>
        <v>#N/A</v>
      </c>
      <c r="AN43" s="178" t="e">
        <f>数出表_Excel!W43</f>
        <v>#N/A</v>
      </c>
    </row>
    <row r="44" spans="1:40" ht="16.2" customHeight="1">
      <c r="A44" s="137" t="e">
        <f t="array" aca="1" ref="A44" ca="1">IF(OR(COUNTIF(A42,"*10002*"),COUNTIF(A42,"")),"",INDEX(貼り付け用!$A1:$A200,MATCH(A42,貼り付け用!$A1:$A200,0)+2,0))</f>
        <v>#N/A</v>
      </c>
      <c r="B44" s="125" t="str">
        <f ca="1">IFERROR(VALUE(IF(VLOOKUP($A44,数出表_Excel!$A$6:$T$150,COLUMN()/2+1,FALSE)=0,"",VLOOKUP($A44,数出表_Excel!$A$6:$T$150,COLUMN()/2+1,FALSE))),"")</f>
        <v/>
      </c>
      <c r="C44" s="90"/>
      <c r="D44" s="125" t="str">
        <f ca="1">IFERROR(VALUE(IF(VLOOKUP($A44,数出表_Excel!$A$6:$T$150,COLUMN()/2+1,FALSE)=0,"",VLOOKUP($A44,数出表_Excel!$A$6:$T$150,COLUMN()/2+1,FALSE))),"")</f>
        <v/>
      </c>
      <c r="E44" s="90"/>
      <c r="F44" s="127" t="str">
        <f ca="1">IFERROR(VALUE(IF(VLOOKUP($A44,数出表_Excel!$A$6:$T$150,COLUMN()/2+1,FALSE)=0,"",VLOOKUP($A44,数出表_Excel!$A$6:$T$150,COLUMN()/2+1,FALSE))),"")</f>
        <v/>
      </c>
      <c r="G44" s="90"/>
      <c r="H44" s="125" t="str">
        <f ca="1">IFERROR(VALUE(IF(VLOOKUP($A44,数出表_Excel!$A$6:$T$150,COLUMN()/2+1,FALSE)=0,"",VLOOKUP($A44,数出表_Excel!$A$6:$T$150,COLUMN()/2+1,FALSE))),"")</f>
        <v/>
      </c>
      <c r="I44" s="90"/>
      <c r="J44" s="125" t="str">
        <f ca="1">IFERROR(VALUE(IF(VLOOKUP($A44,数出表_Excel!$A$6:$T$150,COLUMN()/2+1,FALSE)=0,"",VLOOKUP($A44,数出表_Excel!$A$6:$T$150,COLUMN()/2+1,FALSE))),"")</f>
        <v/>
      </c>
      <c r="K44" s="90"/>
      <c r="L44" s="127" t="str">
        <f ca="1">IFERROR(VALUE(IF(VLOOKUP($A44,数出表_Excel!$A$6:$T$150,COLUMN()/2+1,FALSE)=0,"",VLOOKUP($A44,数出表_Excel!$A$6:$T$150,COLUMN()/2+1,FALSE))),"")</f>
        <v/>
      </c>
      <c r="M44" s="90"/>
      <c r="N44" s="125" t="str">
        <f ca="1">IFERROR(VALUE(IF(VLOOKUP($A44,数出表_Excel!$A$6:$T$150,COLUMN()/2+1,FALSE)=0,"",VLOOKUP($A44,数出表_Excel!$A$6:$T$150,COLUMN()/2+1,FALSE))),"")</f>
        <v/>
      </c>
      <c r="O44" s="90"/>
      <c r="P44" s="125" t="str">
        <f ca="1">IFERROR(VALUE(IF(VLOOKUP($A44,数出表_Excel!$A$6:$T$150,COLUMN()/2+1,FALSE)=0,"",VLOOKUP($A44,数出表_Excel!$A$6:$T$150,COLUMN()/2+1,FALSE))),"")</f>
        <v/>
      </c>
      <c r="Q44" s="90"/>
      <c r="R44" s="125" t="str">
        <f ca="1">IFERROR(VALUE(IF(VLOOKUP($A44,数出表_Excel!$A$6:$T$150,COLUMN()/2+1,FALSE)=0,"",VLOOKUP($A44,数出表_Excel!$A$6:$T$150,COLUMN()/2+1,FALSE))),"")</f>
        <v/>
      </c>
      <c r="S44" s="90"/>
      <c r="T44" s="125" t="str">
        <f ca="1">IFERROR(VALUE(IF(VLOOKUP($A44,数出表_Excel!$A$6:$T$150,COLUMN()/2+1,FALSE)=0,"",VLOOKUP($A44,数出表_Excel!$A$6:$T$150,COLUMN()/2+1,FALSE))),"")</f>
        <v/>
      </c>
      <c r="U44" s="90"/>
      <c r="V44" s="127" t="str">
        <f ca="1">IFERROR(VALUE(IF(VLOOKUP($A44,数出表_Excel!$A$6:$T$150,COLUMN()/2+1,FALSE)=0,"",VLOOKUP($A44,数出表_Excel!$A$6:$T$150,COLUMN()/2+1,FALSE))),"")</f>
        <v/>
      </c>
      <c r="W44" s="90"/>
      <c r="X44" s="127" t="str">
        <f ca="1">IFERROR(VALUE(IF(VLOOKUP($A44,数出表_Excel!$A$6:$T$150,COLUMN()/2+1,FALSE)=0,"",VLOOKUP($A44,数出表_Excel!$A$6:$T$150,COLUMN()/2+1,FALSE))),"")</f>
        <v/>
      </c>
      <c r="Y44" s="90"/>
      <c r="Z44" s="127" t="str">
        <f ca="1">IFERROR(VALUE(IF(VLOOKUP($A44,数出表_Excel!$A$6:$T$150,COLUMN()/2+1,FALSE)=0,"",VLOOKUP($A44,数出表_Excel!$A$6:$T$150,COLUMN()/2+1,FALSE))),"")</f>
        <v/>
      </c>
      <c r="AA44" s="128"/>
      <c r="AB44" s="126" t="str">
        <f ca="1">IFERROR(VALUE(IF(VLOOKUP($A44,数出表_Excel!$A$6:$T$150,COLUMN()/2+1,FALSE)=0,"",VLOOKUP($A44,数出表_Excel!$A$6:$T$150,COLUMN()/2+1,FALSE))),"")</f>
        <v/>
      </c>
      <c r="AC44" s="90"/>
      <c r="AD44" s="127" t="str">
        <f ca="1">IFERROR(VALUE(IF(VLOOKUP($A44,数出表_Excel!$A$6:$T$150,COLUMN()/2+1,FALSE)=0,"",VLOOKUP($A44,数出表_Excel!$A$6:$T$150,COLUMN()/2+1,FALSE))),"")</f>
        <v/>
      </c>
      <c r="AE44" s="90"/>
      <c r="AF44" s="127" t="str">
        <f ca="1">IFERROR(VALUE(IF(VLOOKUP($A44,数出表_Excel!$A$6:$T$150,COLUMN()/2+1,FALSE)=0,"",VLOOKUP($A44,数出表_Excel!$A$6:$T$150,COLUMN()/2+1,FALSE))),"")</f>
        <v/>
      </c>
      <c r="AG44" s="90"/>
      <c r="AH44" s="127" t="str">
        <f ca="1">IFERROR(VALUE(IF(VLOOKUP($A44,数出表_Excel!$A$6:$T$150,COLUMN()/2+1,FALSE)=0,"",VLOOKUP($A44,数出表_Excel!$A$6:$T$150,COLUMN()/2+1,FALSE))),"")</f>
        <v/>
      </c>
      <c r="AI44" s="128"/>
      <c r="AJ44" s="126" t="str">
        <f ca="1">IFERROR(VALUE(IF(VLOOKUP($A44,数出表_Excel!$A$6:$T$150,COLUMN()/2+1,FALSE)=0,"",VLOOKUP($A44,数出表_Excel!$A$6:$T$150,COLUMN()/2+1,FALSE))),"")</f>
        <v/>
      </c>
      <c r="AK44" s="90"/>
      <c r="AL44" s="94" t="e">
        <f ca="1">IF(A44&lt;&gt;"",
IF(VLOOKUP($A44,数出表_Excel!$A$6:$T$150,COLUMN()/2+1,FALSE)=0,"",VLOOKUP($A44,数出表_Excel!$A$6:$T$150,COLUMN()/2+1,FALSE)),"")</f>
        <v>#N/A</v>
      </c>
      <c r="AM44" s="175" t="e">
        <f>数出表_Excel!V44</f>
        <v>#N/A</v>
      </c>
      <c r="AN44" s="176" t="e">
        <f>数出表_Excel!W44</f>
        <v>#N/A</v>
      </c>
    </row>
    <row r="45" spans="1:40" ht="16.2" customHeight="1">
      <c r="A45" s="138" t="e">
        <f t="array" aca="1" ref="A45" ca="1">IF(OR(COUNTIF(A43,"*1000*"),COUNTIF(A43,"")),"",INDEX(貼り付け用!$A1:$A200,MATCH(A43,貼り付け用!$A1:$A200,0)+2,0))</f>
        <v>#N/A</v>
      </c>
      <c r="B45" s="91" t="str">
        <f ca="1">IFERROR(VALUE(IF(VLOOKUP($A45,数出表_Excel!$A$6:$T$150,COLUMN()/2+1,FALSE)=0,"",VLOOKUP($A45,数出表_Excel!$A$6:$T$150,COLUMN()/2+1,FALSE))),"")</f>
        <v/>
      </c>
      <c r="C45" s="91"/>
      <c r="D45" s="91" t="str">
        <f ca="1">IFERROR(VALUE(IF(VLOOKUP($A45,数出表_Excel!$A$6:$T$150,COLUMN()/2+1,FALSE)=0,"",VLOOKUP($A45,数出表_Excel!$A$6:$T$150,COLUMN()/2+1,FALSE))),"")</f>
        <v/>
      </c>
      <c r="E45" s="91"/>
      <c r="F45" s="95" t="str">
        <f ca="1">IFERROR(VALUE(IF(VLOOKUP($A45,数出表_Excel!$A$6:$T$150,COLUMN()/2+1,FALSE)=0,"",VLOOKUP($A45,数出表_Excel!$A$6:$T$150,COLUMN()/2+1,FALSE))),"")</f>
        <v/>
      </c>
      <c r="G45" s="91"/>
      <c r="H45" s="91" t="str">
        <f ca="1">IFERROR(VALUE(IF(VLOOKUP($A45,数出表_Excel!$A$6:$T$150,COLUMN()/2+1,FALSE)=0,"",VLOOKUP($A45,数出表_Excel!$A$6:$T$150,COLUMN()/2+1,FALSE))),"")</f>
        <v/>
      </c>
      <c r="I45" s="91"/>
      <c r="J45" s="91" t="str">
        <f ca="1">IFERROR(VALUE(IF(VLOOKUP($A45,数出表_Excel!$A$6:$T$150,COLUMN()/2+1,FALSE)=0,"",VLOOKUP($A45,数出表_Excel!$A$6:$T$150,COLUMN()/2+1,FALSE))),"")</f>
        <v/>
      </c>
      <c r="K45" s="91"/>
      <c r="L45" s="95" t="str">
        <f ca="1">IFERROR(VALUE(IF(VLOOKUP($A45,数出表_Excel!$A$6:$T$150,COLUMN()/2+1,FALSE)=0,"",VLOOKUP($A45,数出表_Excel!$A$6:$T$150,COLUMN()/2+1,FALSE))),"")</f>
        <v/>
      </c>
      <c r="M45" s="91"/>
      <c r="N45" s="91" t="str">
        <f ca="1">IFERROR(VALUE(IF(VLOOKUP($A45,数出表_Excel!$A$6:$T$150,COLUMN()/2+1,FALSE)=0,"",VLOOKUP($A45,数出表_Excel!$A$6:$T$150,COLUMN()/2+1,FALSE))),"")</f>
        <v/>
      </c>
      <c r="O45" s="91"/>
      <c r="P45" s="91" t="str">
        <f ca="1">IFERROR(VALUE(IF(VLOOKUP($A45,数出表_Excel!$A$6:$T$150,COLUMN()/2+1,FALSE)=0,"",VLOOKUP($A45,数出表_Excel!$A$6:$T$150,COLUMN()/2+1,FALSE))),"")</f>
        <v/>
      </c>
      <c r="Q45" s="91"/>
      <c r="R45" s="91" t="str">
        <f ca="1">IFERROR(VALUE(IF(VLOOKUP($A45,数出表_Excel!$A$6:$T$150,COLUMN()/2+1,FALSE)=0,"",VLOOKUP($A45,数出表_Excel!$A$6:$T$150,COLUMN()/2+1,FALSE))),"")</f>
        <v/>
      </c>
      <c r="S45" s="91"/>
      <c r="T45" s="91" t="str">
        <f ca="1">IFERROR(VALUE(IF(VLOOKUP($A45,数出表_Excel!$A$6:$T$150,COLUMN()/2+1,FALSE)=0,"",VLOOKUP($A45,数出表_Excel!$A$6:$T$150,COLUMN()/2+1,FALSE))),"")</f>
        <v/>
      </c>
      <c r="U45" s="91"/>
      <c r="V45" s="95" t="str">
        <f ca="1">IFERROR(VALUE(IF(VLOOKUP($A45,数出表_Excel!$A$6:$T$150,COLUMN()/2+1,FALSE)=0,"",VLOOKUP($A45,数出表_Excel!$A$6:$T$150,COLUMN()/2+1,FALSE))),"")</f>
        <v/>
      </c>
      <c r="W45" s="91"/>
      <c r="X45" s="95" t="str">
        <f ca="1">IFERROR(VALUE(IF(VLOOKUP($A45,数出表_Excel!$A$6:$T$150,COLUMN()/2+1,FALSE)=0,"",VLOOKUP($A45,数出表_Excel!$A$6:$T$150,COLUMN()/2+1,FALSE))),"")</f>
        <v/>
      </c>
      <c r="Y45" s="91"/>
      <c r="Z45" s="95" t="str">
        <f ca="1">IFERROR(VALUE(IF(VLOOKUP($A45,数出表_Excel!$A$6:$T$150,COLUMN()/2+1,FALSE)=0,"",VLOOKUP($A45,数出表_Excel!$A$6:$T$150,COLUMN()/2+1,FALSE))),"")</f>
        <v/>
      </c>
      <c r="AA45" s="129"/>
      <c r="AB45" s="96" t="str">
        <f ca="1">IFERROR(VALUE(IF(VLOOKUP($A45,数出表_Excel!$A$6:$T$150,COLUMN()/2+1,FALSE)=0,"",VLOOKUP($A45,数出表_Excel!$A$6:$T$150,COLUMN()/2+1,FALSE))),"")</f>
        <v/>
      </c>
      <c r="AC45" s="91"/>
      <c r="AD45" s="95" t="str">
        <f ca="1">IFERROR(VALUE(IF(VLOOKUP($A45,数出表_Excel!$A$6:$T$150,COLUMN()/2+1,FALSE)=0,"",VLOOKUP($A45,数出表_Excel!$A$6:$T$150,COLUMN()/2+1,FALSE))),"")</f>
        <v/>
      </c>
      <c r="AE45" s="91"/>
      <c r="AF45" s="95" t="str">
        <f ca="1">IFERROR(VALUE(IF(VLOOKUP($A45,数出表_Excel!$A$6:$T$150,COLUMN()/2+1,FALSE)=0,"",VLOOKUP($A45,数出表_Excel!$A$6:$T$150,COLUMN()/2+1,FALSE))),"")</f>
        <v/>
      </c>
      <c r="AG45" s="91"/>
      <c r="AH45" s="95" t="str">
        <f ca="1">IFERROR(VALUE(IF(VLOOKUP($A45,数出表_Excel!$A$6:$T$150,COLUMN()/2+1,FALSE)=0,"",VLOOKUP($A45,数出表_Excel!$A$6:$T$150,COLUMN()/2+1,FALSE))),"")</f>
        <v/>
      </c>
      <c r="AI45" s="129"/>
      <c r="AJ45" s="96" t="str">
        <f ca="1">IFERROR(VALUE(IF(VLOOKUP($A45,数出表_Excel!$A$6:$T$150,COLUMN()/2+1,FALSE)=0,"",VLOOKUP($A45,数出表_Excel!$A$6:$T$150,COLUMN()/2+1,FALSE))),"")</f>
        <v/>
      </c>
      <c r="AK45" s="91"/>
      <c r="AL45" s="97" t="e">
        <f ca="1">IF(A45&lt;&gt;"",
IF(VLOOKUP($A45,数出表_Excel!$A$6:$T$150,COLUMN()/2+1,FALSE)=0,"",VLOOKUP($A45,数出表_Excel!$A$6:$T$150,COLUMN()/2+1,FALSE)),"")</f>
        <v>#N/A</v>
      </c>
      <c r="AM45" s="177" t="e">
        <f>数出表_Excel!V45</f>
        <v>#N/A</v>
      </c>
      <c r="AN45" s="178" t="e">
        <f>数出表_Excel!W45</f>
        <v>#N/A</v>
      </c>
    </row>
    <row r="46" spans="1:40" ht="16.2" customHeight="1">
      <c r="A46" s="137" t="e">
        <f t="array" aca="1" ref="A46" ca="1">IF(OR(COUNTIF(A44,"*10002*"),COUNTIF(A44,"")),"",INDEX(貼り付け用!$A1:$A200,MATCH(A44,貼り付け用!$A1:$A200,0)+2,0))</f>
        <v>#N/A</v>
      </c>
      <c r="B46" s="125" t="str">
        <f ca="1">IFERROR(VALUE(IF(VLOOKUP($A46,数出表_Excel!$A$6:$T$150,COLUMN()/2+1,FALSE)=0,"",VLOOKUP($A46,数出表_Excel!$A$6:$T$150,COLUMN()/2+1,FALSE))),"")</f>
        <v/>
      </c>
      <c r="C46" s="90"/>
      <c r="D46" s="125" t="str">
        <f ca="1">IFERROR(VALUE(IF(VLOOKUP($A46,数出表_Excel!$A$6:$T$150,COLUMN()/2+1,FALSE)=0,"",VLOOKUP($A46,数出表_Excel!$A$6:$T$150,COLUMN()/2+1,FALSE))),"")</f>
        <v/>
      </c>
      <c r="E46" s="90"/>
      <c r="F46" s="127" t="str">
        <f ca="1">IFERROR(VALUE(IF(VLOOKUP($A46,数出表_Excel!$A$6:$T$150,COLUMN()/2+1,FALSE)=0,"",VLOOKUP($A46,数出表_Excel!$A$6:$T$150,COLUMN()/2+1,FALSE))),"")</f>
        <v/>
      </c>
      <c r="G46" s="90"/>
      <c r="H46" s="125" t="str">
        <f ca="1">IFERROR(VALUE(IF(VLOOKUP($A46,数出表_Excel!$A$6:$T$150,COLUMN()/2+1,FALSE)=0,"",VLOOKUP($A46,数出表_Excel!$A$6:$T$150,COLUMN()/2+1,FALSE))),"")</f>
        <v/>
      </c>
      <c r="I46" s="90"/>
      <c r="J46" s="125" t="str">
        <f ca="1">IFERROR(VALUE(IF(VLOOKUP($A46,数出表_Excel!$A$6:$T$150,COLUMN()/2+1,FALSE)=0,"",VLOOKUP($A46,数出表_Excel!$A$6:$T$150,COLUMN()/2+1,FALSE))),"")</f>
        <v/>
      </c>
      <c r="K46" s="90"/>
      <c r="L46" s="127" t="str">
        <f ca="1">IFERROR(VALUE(IF(VLOOKUP($A46,数出表_Excel!$A$6:$T$150,COLUMN()/2+1,FALSE)=0,"",VLOOKUP($A46,数出表_Excel!$A$6:$T$150,COLUMN()/2+1,FALSE))),"")</f>
        <v/>
      </c>
      <c r="M46" s="90"/>
      <c r="N46" s="125" t="str">
        <f ca="1">IFERROR(VALUE(IF(VLOOKUP($A46,数出表_Excel!$A$6:$T$150,COLUMN()/2+1,FALSE)=0,"",VLOOKUP($A46,数出表_Excel!$A$6:$T$150,COLUMN()/2+1,FALSE))),"")</f>
        <v/>
      </c>
      <c r="O46" s="90"/>
      <c r="P46" s="125" t="str">
        <f ca="1">IFERROR(VALUE(IF(VLOOKUP($A46,数出表_Excel!$A$6:$T$150,COLUMN()/2+1,FALSE)=0,"",VLOOKUP($A46,数出表_Excel!$A$6:$T$150,COLUMN()/2+1,FALSE))),"")</f>
        <v/>
      </c>
      <c r="Q46" s="90"/>
      <c r="R46" s="125" t="str">
        <f ca="1">IFERROR(VALUE(IF(VLOOKUP($A46,数出表_Excel!$A$6:$T$150,COLUMN()/2+1,FALSE)=0,"",VLOOKUP($A46,数出表_Excel!$A$6:$T$150,COLUMN()/2+1,FALSE))),"")</f>
        <v/>
      </c>
      <c r="S46" s="90"/>
      <c r="T46" s="125" t="str">
        <f ca="1">IFERROR(VALUE(IF(VLOOKUP($A46,数出表_Excel!$A$6:$T$150,COLUMN()/2+1,FALSE)=0,"",VLOOKUP($A46,数出表_Excel!$A$6:$T$150,COLUMN()/2+1,FALSE))),"")</f>
        <v/>
      </c>
      <c r="U46" s="90"/>
      <c r="V46" s="127" t="str">
        <f ca="1">IFERROR(VALUE(IF(VLOOKUP($A46,数出表_Excel!$A$6:$T$150,COLUMN()/2+1,FALSE)=0,"",VLOOKUP($A46,数出表_Excel!$A$6:$T$150,COLUMN()/2+1,FALSE))),"")</f>
        <v/>
      </c>
      <c r="W46" s="90"/>
      <c r="X46" s="127" t="str">
        <f ca="1">IFERROR(VALUE(IF(VLOOKUP($A46,数出表_Excel!$A$6:$T$150,COLUMN()/2+1,FALSE)=0,"",VLOOKUP($A46,数出表_Excel!$A$6:$T$150,COLUMN()/2+1,FALSE))),"")</f>
        <v/>
      </c>
      <c r="Y46" s="90"/>
      <c r="Z46" s="127" t="str">
        <f ca="1">IFERROR(VALUE(IF(VLOOKUP($A46,数出表_Excel!$A$6:$T$150,COLUMN()/2+1,FALSE)=0,"",VLOOKUP($A46,数出表_Excel!$A$6:$T$150,COLUMN()/2+1,FALSE))),"")</f>
        <v/>
      </c>
      <c r="AA46" s="128"/>
      <c r="AB46" s="126" t="str">
        <f ca="1">IFERROR(VALUE(IF(VLOOKUP($A46,数出表_Excel!$A$6:$T$150,COLUMN()/2+1,FALSE)=0,"",VLOOKUP($A46,数出表_Excel!$A$6:$T$150,COLUMN()/2+1,FALSE))),"")</f>
        <v/>
      </c>
      <c r="AC46" s="90"/>
      <c r="AD46" s="127" t="str">
        <f ca="1">IFERROR(VALUE(IF(VLOOKUP($A46,数出表_Excel!$A$6:$T$150,COLUMN()/2+1,FALSE)=0,"",VLOOKUP($A46,数出表_Excel!$A$6:$T$150,COLUMN()/2+1,FALSE))),"")</f>
        <v/>
      </c>
      <c r="AE46" s="90"/>
      <c r="AF46" s="127" t="str">
        <f ca="1">IFERROR(VALUE(IF(VLOOKUP($A46,数出表_Excel!$A$6:$T$150,COLUMN()/2+1,FALSE)=0,"",VLOOKUP($A46,数出表_Excel!$A$6:$T$150,COLUMN()/2+1,FALSE))),"")</f>
        <v/>
      </c>
      <c r="AG46" s="90"/>
      <c r="AH46" s="127" t="str">
        <f ca="1">IFERROR(VALUE(IF(VLOOKUP($A46,数出表_Excel!$A$6:$T$150,COLUMN()/2+1,FALSE)=0,"",VLOOKUP($A46,数出表_Excel!$A$6:$T$150,COLUMN()/2+1,FALSE))),"")</f>
        <v/>
      </c>
      <c r="AI46" s="128"/>
      <c r="AJ46" s="126" t="str">
        <f ca="1">IFERROR(VALUE(IF(VLOOKUP($A46,数出表_Excel!$A$6:$T$150,COLUMN()/2+1,FALSE)=0,"",VLOOKUP($A46,数出表_Excel!$A$6:$T$150,COLUMN()/2+1,FALSE))),"")</f>
        <v/>
      </c>
      <c r="AK46" s="90"/>
      <c r="AL46" s="94" t="e">
        <f ca="1">IF(A46&lt;&gt;"",
IF(VLOOKUP($A46,数出表_Excel!$A$6:$T$150,COLUMN()/2+1,FALSE)=0,"",VLOOKUP($A46,数出表_Excel!$A$6:$T$150,COLUMN()/2+1,FALSE)),"")</f>
        <v>#N/A</v>
      </c>
      <c r="AM46" s="175" t="e">
        <f>数出表_Excel!V46</f>
        <v>#N/A</v>
      </c>
      <c r="AN46" s="176" t="e">
        <f>数出表_Excel!W46</f>
        <v>#N/A</v>
      </c>
    </row>
    <row r="47" spans="1:40" ht="16.2" customHeight="1">
      <c r="A47" s="138" t="e">
        <f t="array" aca="1" ref="A47" ca="1">IF(OR(COUNTIF(A45,"*1000*"),COUNTIF(A45,"")),"",INDEX(貼り付け用!$A1:$A200,MATCH(A45,貼り付け用!$A1:$A200,0)+2,0))</f>
        <v>#N/A</v>
      </c>
      <c r="B47" s="91" t="str">
        <f ca="1">IFERROR(VALUE(IF(VLOOKUP($A47,数出表_Excel!$A$6:$T$150,COLUMN()/2+1,FALSE)=0,"",VLOOKUP($A47,数出表_Excel!$A$6:$T$150,COLUMN()/2+1,FALSE))),"")</f>
        <v/>
      </c>
      <c r="C47" s="91"/>
      <c r="D47" s="91" t="str">
        <f ca="1">IFERROR(VALUE(IF(VLOOKUP($A47,数出表_Excel!$A$6:$T$150,COLUMN()/2+1,FALSE)=0,"",VLOOKUP($A47,数出表_Excel!$A$6:$T$150,COLUMN()/2+1,FALSE))),"")</f>
        <v/>
      </c>
      <c r="E47" s="91"/>
      <c r="F47" s="95" t="str">
        <f ca="1">IFERROR(VALUE(IF(VLOOKUP($A47,数出表_Excel!$A$6:$T$150,COLUMN()/2+1,FALSE)=0,"",VLOOKUP($A47,数出表_Excel!$A$6:$T$150,COLUMN()/2+1,FALSE))),"")</f>
        <v/>
      </c>
      <c r="G47" s="91"/>
      <c r="H47" s="91" t="str">
        <f ca="1">IFERROR(VALUE(IF(VLOOKUP($A47,数出表_Excel!$A$6:$T$150,COLUMN()/2+1,FALSE)=0,"",VLOOKUP($A47,数出表_Excel!$A$6:$T$150,COLUMN()/2+1,FALSE))),"")</f>
        <v/>
      </c>
      <c r="I47" s="91"/>
      <c r="J47" s="91" t="str">
        <f ca="1">IFERROR(VALUE(IF(VLOOKUP($A47,数出表_Excel!$A$6:$T$150,COLUMN()/2+1,FALSE)=0,"",VLOOKUP($A47,数出表_Excel!$A$6:$T$150,COLUMN()/2+1,FALSE))),"")</f>
        <v/>
      </c>
      <c r="K47" s="91"/>
      <c r="L47" s="95" t="str">
        <f ca="1">IFERROR(VALUE(IF(VLOOKUP($A47,数出表_Excel!$A$6:$T$150,COLUMN()/2+1,FALSE)=0,"",VLOOKUP($A47,数出表_Excel!$A$6:$T$150,COLUMN()/2+1,FALSE))),"")</f>
        <v/>
      </c>
      <c r="M47" s="91"/>
      <c r="N47" s="91" t="str">
        <f ca="1">IFERROR(VALUE(IF(VLOOKUP($A47,数出表_Excel!$A$6:$T$150,COLUMN()/2+1,FALSE)=0,"",VLOOKUP($A47,数出表_Excel!$A$6:$T$150,COLUMN()/2+1,FALSE))),"")</f>
        <v/>
      </c>
      <c r="O47" s="91"/>
      <c r="P47" s="91" t="str">
        <f ca="1">IFERROR(VALUE(IF(VLOOKUP($A47,数出表_Excel!$A$6:$T$150,COLUMN()/2+1,FALSE)=0,"",VLOOKUP($A47,数出表_Excel!$A$6:$T$150,COLUMN()/2+1,FALSE))),"")</f>
        <v/>
      </c>
      <c r="Q47" s="91"/>
      <c r="R47" s="91" t="str">
        <f ca="1">IFERROR(VALUE(IF(VLOOKUP($A47,数出表_Excel!$A$6:$T$150,COLUMN()/2+1,FALSE)=0,"",VLOOKUP($A47,数出表_Excel!$A$6:$T$150,COLUMN()/2+1,FALSE))),"")</f>
        <v/>
      </c>
      <c r="S47" s="91"/>
      <c r="T47" s="91" t="str">
        <f ca="1">IFERROR(VALUE(IF(VLOOKUP($A47,数出表_Excel!$A$6:$T$150,COLUMN()/2+1,FALSE)=0,"",VLOOKUP($A47,数出表_Excel!$A$6:$T$150,COLUMN()/2+1,FALSE))),"")</f>
        <v/>
      </c>
      <c r="U47" s="91"/>
      <c r="V47" s="95" t="str">
        <f ca="1">IFERROR(VALUE(IF(VLOOKUP($A47,数出表_Excel!$A$6:$T$150,COLUMN()/2+1,FALSE)=0,"",VLOOKUP($A47,数出表_Excel!$A$6:$T$150,COLUMN()/2+1,FALSE))),"")</f>
        <v/>
      </c>
      <c r="W47" s="91"/>
      <c r="X47" s="95" t="str">
        <f ca="1">IFERROR(VALUE(IF(VLOOKUP($A47,数出表_Excel!$A$6:$T$150,COLUMN()/2+1,FALSE)=0,"",VLOOKUP($A47,数出表_Excel!$A$6:$T$150,COLUMN()/2+1,FALSE))),"")</f>
        <v/>
      </c>
      <c r="Y47" s="91"/>
      <c r="Z47" s="95" t="str">
        <f ca="1">IFERROR(VALUE(IF(VLOOKUP($A47,数出表_Excel!$A$6:$T$150,COLUMN()/2+1,FALSE)=0,"",VLOOKUP($A47,数出表_Excel!$A$6:$T$150,COLUMN()/2+1,FALSE))),"")</f>
        <v/>
      </c>
      <c r="AA47" s="129"/>
      <c r="AB47" s="96" t="str">
        <f ca="1">IFERROR(VALUE(IF(VLOOKUP($A47,数出表_Excel!$A$6:$T$150,COLUMN()/2+1,FALSE)=0,"",VLOOKUP($A47,数出表_Excel!$A$6:$T$150,COLUMN()/2+1,FALSE))),"")</f>
        <v/>
      </c>
      <c r="AC47" s="91"/>
      <c r="AD47" s="95" t="str">
        <f ca="1">IFERROR(VALUE(IF(VLOOKUP($A47,数出表_Excel!$A$6:$T$150,COLUMN()/2+1,FALSE)=0,"",VLOOKUP($A47,数出表_Excel!$A$6:$T$150,COLUMN()/2+1,FALSE))),"")</f>
        <v/>
      </c>
      <c r="AE47" s="91"/>
      <c r="AF47" s="95" t="str">
        <f ca="1">IFERROR(VALUE(IF(VLOOKUP($A47,数出表_Excel!$A$6:$T$150,COLUMN()/2+1,FALSE)=0,"",VLOOKUP($A47,数出表_Excel!$A$6:$T$150,COLUMN()/2+1,FALSE))),"")</f>
        <v/>
      </c>
      <c r="AG47" s="91"/>
      <c r="AH47" s="95" t="str">
        <f ca="1">IFERROR(VALUE(IF(VLOOKUP($A47,数出表_Excel!$A$6:$T$150,COLUMN()/2+1,FALSE)=0,"",VLOOKUP($A47,数出表_Excel!$A$6:$T$150,COLUMN()/2+1,FALSE))),"")</f>
        <v/>
      </c>
      <c r="AI47" s="129"/>
      <c r="AJ47" s="96" t="str">
        <f ca="1">IFERROR(VALUE(IF(VLOOKUP($A47,数出表_Excel!$A$6:$T$150,COLUMN()/2+1,FALSE)=0,"",VLOOKUP($A47,数出表_Excel!$A$6:$T$150,COLUMN()/2+1,FALSE))),"")</f>
        <v/>
      </c>
      <c r="AK47" s="91"/>
      <c r="AL47" s="97" t="e">
        <f ca="1">IF(A47&lt;&gt;"",
IF(VLOOKUP($A47,数出表_Excel!$A$6:$T$150,COLUMN()/2+1,FALSE)=0,"",VLOOKUP($A47,数出表_Excel!$A$6:$T$150,COLUMN()/2+1,FALSE)),"")</f>
        <v>#N/A</v>
      </c>
      <c r="AM47" s="177" t="e">
        <f>数出表_Excel!V47</f>
        <v>#N/A</v>
      </c>
      <c r="AN47" s="178" t="e">
        <f>数出表_Excel!W47</f>
        <v>#N/A</v>
      </c>
    </row>
    <row r="48" spans="1:40" ht="16.2" customHeight="1">
      <c r="A48" s="137" t="e">
        <f t="array" aca="1" ref="A48" ca="1">IF(OR(COUNTIF(A46,"*10002*"),COUNTIF(A46,"")),"",INDEX(貼り付け用!$A1:$A200,MATCH(A46,貼り付け用!$A1:$A200,0)+2,0))</f>
        <v>#N/A</v>
      </c>
      <c r="B48" s="125" t="str">
        <f ca="1">IFERROR(VALUE(IF(VLOOKUP($A48,数出表_Excel!$A$6:$T$150,COLUMN()/2+1,FALSE)=0,"",VLOOKUP($A48,数出表_Excel!$A$6:$T$150,COLUMN()/2+1,FALSE))),"")</f>
        <v/>
      </c>
      <c r="C48" s="90"/>
      <c r="D48" s="125" t="str">
        <f ca="1">IFERROR(VALUE(IF(VLOOKUP($A48,数出表_Excel!$A$6:$T$150,COLUMN()/2+1,FALSE)=0,"",VLOOKUP($A48,数出表_Excel!$A$6:$T$150,COLUMN()/2+1,FALSE))),"")</f>
        <v/>
      </c>
      <c r="E48" s="90"/>
      <c r="F48" s="127" t="str">
        <f ca="1">IFERROR(VALUE(IF(VLOOKUP($A48,数出表_Excel!$A$6:$T$150,COLUMN()/2+1,FALSE)=0,"",VLOOKUP($A48,数出表_Excel!$A$6:$T$150,COLUMN()/2+1,FALSE))),"")</f>
        <v/>
      </c>
      <c r="G48" s="90"/>
      <c r="H48" s="125" t="str">
        <f ca="1">IFERROR(VALUE(IF(VLOOKUP($A48,数出表_Excel!$A$6:$T$150,COLUMN()/2+1,FALSE)=0,"",VLOOKUP($A48,数出表_Excel!$A$6:$T$150,COLUMN()/2+1,FALSE))),"")</f>
        <v/>
      </c>
      <c r="I48" s="90"/>
      <c r="J48" s="125" t="str">
        <f ca="1">IFERROR(VALUE(IF(VLOOKUP($A48,数出表_Excel!$A$6:$T$150,COLUMN()/2+1,FALSE)=0,"",VLOOKUP($A48,数出表_Excel!$A$6:$T$150,COLUMN()/2+1,FALSE))),"")</f>
        <v/>
      </c>
      <c r="K48" s="90"/>
      <c r="L48" s="127" t="str">
        <f ca="1">IFERROR(VALUE(IF(VLOOKUP($A48,数出表_Excel!$A$6:$T$150,COLUMN()/2+1,FALSE)=0,"",VLOOKUP($A48,数出表_Excel!$A$6:$T$150,COLUMN()/2+1,FALSE))),"")</f>
        <v/>
      </c>
      <c r="M48" s="90"/>
      <c r="N48" s="125" t="str">
        <f ca="1">IFERROR(VALUE(IF(VLOOKUP($A48,数出表_Excel!$A$6:$T$150,COLUMN()/2+1,FALSE)=0,"",VLOOKUP($A48,数出表_Excel!$A$6:$T$150,COLUMN()/2+1,FALSE))),"")</f>
        <v/>
      </c>
      <c r="O48" s="90"/>
      <c r="P48" s="125" t="str">
        <f ca="1">IFERROR(VALUE(IF(VLOOKUP($A48,数出表_Excel!$A$6:$T$150,COLUMN()/2+1,FALSE)=0,"",VLOOKUP($A48,数出表_Excel!$A$6:$T$150,COLUMN()/2+1,FALSE))),"")</f>
        <v/>
      </c>
      <c r="Q48" s="90"/>
      <c r="R48" s="125" t="str">
        <f ca="1">IFERROR(VALUE(IF(VLOOKUP($A48,数出表_Excel!$A$6:$T$150,COLUMN()/2+1,FALSE)=0,"",VLOOKUP($A48,数出表_Excel!$A$6:$T$150,COLUMN()/2+1,FALSE))),"")</f>
        <v/>
      </c>
      <c r="S48" s="90"/>
      <c r="T48" s="125" t="str">
        <f ca="1">IFERROR(VALUE(IF(VLOOKUP($A48,数出表_Excel!$A$6:$T$150,COLUMN()/2+1,FALSE)=0,"",VLOOKUP($A48,数出表_Excel!$A$6:$T$150,COLUMN()/2+1,FALSE))),"")</f>
        <v/>
      </c>
      <c r="U48" s="90"/>
      <c r="V48" s="127" t="str">
        <f ca="1">IFERROR(VALUE(IF(VLOOKUP($A48,数出表_Excel!$A$6:$T$150,COLUMN()/2+1,FALSE)=0,"",VLOOKUP($A48,数出表_Excel!$A$6:$T$150,COLUMN()/2+1,FALSE))),"")</f>
        <v/>
      </c>
      <c r="W48" s="90"/>
      <c r="X48" s="127" t="str">
        <f ca="1">IFERROR(VALUE(IF(VLOOKUP($A48,数出表_Excel!$A$6:$T$150,COLUMN()/2+1,FALSE)=0,"",VLOOKUP($A48,数出表_Excel!$A$6:$T$150,COLUMN()/2+1,FALSE))),"")</f>
        <v/>
      </c>
      <c r="Y48" s="90"/>
      <c r="Z48" s="127" t="str">
        <f ca="1">IFERROR(VALUE(IF(VLOOKUP($A48,数出表_Excel!$A$6:$T$150,COLUMN()/2+1,FALSE)=0,"",VLOOKUP($A48,数出表_Excel!$A$6:$T$150,COLUMN()/2+1,FALSE))),"")</f>
        <v/>
      </c>
      <c r="AA48" s="128"/>
      <c r="AB48" s="126" t="str">
        <f ca="1">IFERROR(VALUE(IF(VLOOKUP($A48,数出表_Excel!$A$6:$T$150,COLUMN()/2+1,FALSE)=0,"",VLOOKUP($A48,数出表_Excel!$A$6:$T$150,COLUMN()/2+1,FALSE))),"")</f>
        <v/>
      </c>
      <c r="AC48" s="90"/>
      <c r="AD48" s="127" t="str">
        <f ca="1">IFERROR(VALUE(IF(VLOOKUP($A48,数出表_Excel!$A$6:$T$150,COLUMN()/2+1,FALSE)=0,"",VLOOKUP($A48,数出表_Excel!$A$6:$T$150,COLUMN()/2+1,FALSE))),"")</f>
        <v/>
      </c>
      <c r="AE48" s="90"/>
      <c r="AF48" s="127" t="str">
        <f ca="1">IFERROR(VALUE(IF(VLOOKUP($A48,数出表_Excel!$A$6:$T$150,COLUMN()/2+1,FALSE)=0,"",VLOOKUP($A48,数出表_Excel!$A$6:$T$150,COLUMN()/2+1,FALSE))),"")</f>
        <v/>
      </c>
      <c r="AG48" s="90"/>
      <c r="AH48" s="127" t="str">
        <f ca="1">IFERROR(VALUE(IF(VLOOKUP($A48,数出表_Excel!$A$6:$T$150,COLUMN()/2+1,FALSE)=0,"",VLOOKUP($A48,数出表_Excel!$A$6:$T$150,COLUMN()/2+1,FALSE))),"")</f>
        <v/>
      </c>
      <c r="AI48" s="128"/>
      <c r="AJ48" s="126" t="str">
        <f ca="1">IFERROR(VALUE(IF(VLOOKUP($A48,数出表_Excel!$A$6:$T$150,COLUMN()/2+1,FALSE)=0,"",VLOOKUP($A48,数出表_Excel!$A$6:$T$150,COLUMN()/2+1,FALSE))),"")</f>
        <v/>
      </c>
      <c r="AK48" s="90"/>
      <c r="AL48" s="94" t="e">
        <f ca="1">IF(A48&lt;&gt;"",
IF(VLOOKUP($A48,数出表_Excel!$A$6:$T$150,COLUMN()/2+1,FALSE)=0,"",VLOOKUP($A48,数出表_Excel!$A$6:$T$150,COLUMN()/2+1,FALSE)),"")</f>
        <v>#N/A</v>
      </c>
      <c r="AM48" s="175" t="e">
        <f>数出表_Excel!V48</f>
        <v>#N/A</v>
      </c>
      <c r="AN48" s="176" t="e">
        <f>数出表_Excel!W48</f>
        <v>#N/A</v>
      </c>
    </row>
    <row r="49" spans="1:40" ht="16.2" customHeight="1">
      <c r="A49" s="138" t="e">
        <f t="array" aca="1" ref="A49" ca="1">IF(OR(COUNTIF(A47,"*1000*"),COUNTIF(A47,"")),"",INDEX(貼り付け用!$A1:$A200,MATCH(A47,貼り付け用!$A1:$A200,0)+2,0))</f>
        <v>#N/A</v>
      </c>
      <c r="B49" s="91" t="str">
        <f ca="1">IFERROR(VALUE(IF(VLOOKUP($A49,数出表_Excel!$A$6:$T$150,COLUMN()/2+1,FALSE)=0,"",VLOOKUP($A49,数出表_Excel!$A$6:$T$150,COLUMN()/2+1,FALSE))),"")</f>
        <v/>
      </c>
      <c r="C49" s="91"/>
      <c r="D49" s="91" t="str">
        <f ca="1">IFERROR(VALUE(IF(VLOOKUP($A49,数出表_Excel!$A$6:$T$150,COLUMN()/2+1,FALSE)=0,"",VLOOKUP($A49,数出表_Excel!$A$6:$T$150,COLUMN()/2+1,FALSE))),"")</f>
        <v/>
      </c>
      <c r="E49" s="91"/>
      <c r="F49" s="95" t="str">
        <f ca="1">IFERROR(VALUE(IF(VLOOKUP($A49,数出表_Excel!$A$6:$T$150,COLUMN()/2+1,FALSE)=0,"",VLOOKUP($A49,数出表_Excel!$A$6:$T$150,COLUMN()/2+1,FALSE))),"")</f>
        <v/>
      </c>
      <c r="G49" s="91"/>
      <c r="H49" s="91" t="str">
        <f ca="1">IFERROR(VALUE(IF(VLOOKUP($A49,数出表_Excel!$A$6:$T$150,COLUMN()/2+1,FALSE)=0,"",VLOOKUP($A49,数出表_Excel!$A$6:$T$150,COLUMN()/2+1,FALSE))),"")</f>
        <v/>
      </c>
      <c r="I49" s="91"/>
      <c r="J49" s="91" t="str">
        <f ca="1">IFERROR(VALUE(IF(VLOOKUP($A49,数出表_Excel!$A$6:$T$150,COLUMN()/2+1,FALSE)=0,"",VLOOKUP($A49,数出表_Excel!$A$6:$T$150,COLUMN()/2+1,FALSE))),"")</f>
        <v/>
      </c>
      <c r="K49" s="91"/>
      <c r="L49" s="95" t="str">
        <f ca="1">IFERROR(VALUE(IF(VLOOKUP($A49,数出表_Excel!$A$6:$T$150,COLUMN()/2+1,FALSE)=0,"",VLOOKUP($A49,数出表_Excel!$A$6:$T$150,COLUMN()/2+1,FALSE))),"")</f>
        <v/>
      </c>
      <c r="M49" s="91"/>
      <c r="N49" s="91" t="str">
        <f ca="1">IFERROR(VALUE(IF(VLOOKUP($A49,数出表_Excel!$A$6:$T$150,COLUMN()/2+1,FALSE)=0,"",VLOOKUP($A49,数出表_Excel!$A$6:$T$150,COLUMN()/2+1,FALSE))),"")</f>
        <v/>
      </c>
      <c r="O49" s="91"/>
      <c r="P49" s="91" t="str">
        <f ca="1">IFERROR(VALUE(IF(VLOOKUP($A49,数出表_Excel!$A$6:$T$150,COLUMN()/2+1,FALSE)=0,"",VLOOKUP($A49,数出表_Excel!$A$6:$T$150,COLUMN()/2+1,FALSE))),"")</f>
        <v/>
      </c>
      <c r="Q49" s="91"/>
      <c r="R49" s="91" t="str">
        <f ca="1">IFERROR(VALUE(IF(VLOOKUP($A49,数出表_Excel!$A$6:$T$150,COLUMN()/2+1,FALSE)=0,"",VLOOKUP($A49,数出表_Excel!$A$6:$T$150,COLUMN()/2+1,FALSE))),"")</f>
        <v/>
      </c>
      <c r="S49" s="91"/>
      <c r="T49" s="91" t="str">
        <f ca="1">IFERROR(VALUE(IF(VLOOKUP($A49,数出表_Excel!$A$6:$T$150,COLUMN()/2+1,FALSE)=0,"",VLOOKUP($A49,数出表_Excel!$A$6:$T$150,COLUMN()/2+1,FALSE))),"")</f>
        <v/>
      </c>
      <c r="U49" s="91"/>
      <c r="V49" s="95" t="str">
        <f ca="1">IFERROR(VALUE(IF(VLOOKUP($A49,数出表_Excel!$A$6:$T$150,COLUMN()/2+1,FALSE)=0,"",VLOOKUP($A49,数出表_Excel!$A$6:$T$150,COLUMN()/2+1,FALSE))),"")</f>
        <v/>
      </c>
      <c r="W49" s="91"/>
      <c r="X49" s="95" t="str">
        <f ca="1">IFERROR(VALUE(IF(VLOOKUP($A49,数出表_Excel!$A$6:$T$150,COLUMN()/2+1,FALSE)=0,"",VLOOKUP($A49,数出表_Excel!$A$6:$T$150,COLUMN()/2+1,FALSE))),"")</f>
        <v/>
      </c>
      <c r="Y49" s="91"/>
      <c r="Z49" s="95" t="str">
        <f ca="1">IFERROR(VALUE(IF(VLOOKUP($A49,数出表_Excel!$A$6:$T$150,COLUMN()/2+1,FALSE)=0,"",VLOOKUP($A49,数出表_Excel!$A$6:$T$150,COLUMN()/2+1,FALSE))),"")</f>
        <v/>
      </c>
      <c r="AA49" s="129"/>
      <c r="AB49" s="96" t="str">
        <f ca="1">IFERROR(VALUE(IF(VLOOKUP($A49,数出表_Excel!$A$6:$T$150,COLUMN()/2+1,FALSE)=0,"",VLOOKUP($A49,数出表_Excel!$A$6:$T$150,COLUMN()/2+1,FALSE))),"")</f>
        <v/>
      </c>
      <c r="AC49" s="91"/>
      <c r="AD49" s="95" t="str">
        <f ca="1">IFERROR(VALUE(IF(VLOOKUP($A49,数出表_Excel!$A$6:$T$150,COLUMN()/2+1,FALSE)=0,"",VLOOKUP($A49,数出表_Excel!$A$6:$T$150,COLUMN()/2+1,FALSE))),"")</f>
        <v/>
      </c>
      <c r="AE49" s="91"/>
      <c r="AF49" s="95" t="str">
        <f ca="1">IFERROR(VALUE(IF(VLOOKUP($A49,数出表_Excel!$A$6:$T$150,COLUMN()/2+1,FALSE)=0,"",VLOOKUP($A49,数出表_Excel!$A$6:$T$150,COLUMN()/2+1,FALSE))),"")</f>
        <v/>
      </c>
      <c r="AG49" s="91"/>
      <c r="AH49" s="95" t="str">
        <f ca="1">IFERROR(VALUE(IF(VLOOKUP($A49,数出表_Excel!$A$6:$T$150,COLUMN()/2+1,FALSE)=0,"",VLOOKUP($A49,数出表_Excel!$A$6:$T$150,COLUMN()/2+1,FALSE))),"")</f>
        <v/>
      </c>
      <c r="AI49" s="129"/>
      <c r="AJ49" s="96" t="str">
        <f ca="1">IFERROR(VALUE(IF(VLOOKUP($A49,数出表_Excel!$A$6:$T$150,COLUMN()/2+1,FALSE)=0,"",VLOOKUP($A49,数出表_Excel!$A$6:$T$150,COLUMN()/2+1,FALSE))),"")</f>
        <v/>
      </c>
      <c r="AK49" s="91"/>
      <c r="AL49" s="97" t="e">
        <f ca="1">IF(A49&lt;&gt;"",
IF(VLOOKUP($A49,数出表_Excel!$A$6:$T$150,COLUMN()/2+1,FALSE)=0,"",VLOOKUP($A49,数出表_Excel!$A$6:$T$150,COLUMN()/2+1,FALSE)),"")</f>
        <v>#N/A</v>
      </c>
      <c r="AM49" s="177" t="e">
        <f>数出表_Excel!V49</f>
        <v>#N/A</v>
      </c>
      <c r="AN49" s="178" t="e">
        <f>数出表_Excel!W49</f>
        <v>#N/A</v>
      </c>
    </row>
    <row r="50" spans="1:40" ht="16.2" customHeight="1">
      <c r="A50" s="137" t="e">
        <f t="array" aca="1" ref="A50" ca="1">IF(OR(COUNTIF(A48,"*10002*"),COUNTIF(A48,"")),"",INDEX(貼り付け用!$A1:$A200,MATCH(A48,貼り付け用!$A1:$A200,0)+2,0))</f>
        <v>#N/A</v>
      </c>
      <c r="B50" s="125" t="str">
        <f ca="1">IFERROR(VALUE(IF(VLOOKUP($A50,数出表_Excel!$A$6:$T$150,COLUMN()/2+1,FALSE)=0,"",VLOOKUP($A50,数出表_Excel!$A$6:$T$150,COLUMN()/2+1,FALSE))),"")</f>
        <v/>
      </c>
      <c r="C50" s="90"/>
      <c r="D50" s="125" t="str">
        <f ca="1">IFERROR(VALUE(IF(VLOOKUP($A50,数出表_Excel!$A$6:$T$150,COLUMN()/2+1,FALSE)=0,"",VLOOKUP($A50,数出表_Excel!$A$6:$T$150,COLUMN()/2+1,FALSE))),"")</f>
        <v/>
      </c>
      <c r="E50" s="90"/>
      <c r="F50" s="127" t="str">
        <f ca="1">IFERROR(VALUE(IF(VLOOKUP($A50,数出表_Excel!$A$6:$T$150,COLUMN()/2+1,FALSE)=0,"",VLOOKUP($A50,数出表_Excel!$A$6:$T$150,COLUMN()/2+1,FALSE))),"")</f>
        <v/>
      </c>
      <c r="G50" s="90"/>
      <c r="H50" s="125" t="str">
        <f ca="1">IFERROR(VALUE(IF(VLOOKUP($A50,数出表_Excel!$A$6:$T$150,COLUMN()/2+1,FALSE)=0,"",VLOOKUP($A50,数出表_Excel!$A$6:$T$150,COLUMN()/2+1,FALSE))),"")</f>
        <v/>
      </c>
      <c r="I50" s="90"/>
      <c r="J50" s="125" t="str">
        <f ca="1">IFERROR(VALUE(IF(VLOOKUP($A50,数出表_Excel!$A$6:$T$150,COLUMN()/2+1,FALSE)=0,"",VLOOKUP($A50,数出表_Excel!$A$6:$T$150,COLUMN()/2+1,FALSE))),"")</f>
        <v/>
      </c>
      <c r="K50" s="90"/>
      <c r="L50" s="127" t="str">
        <f ca="1">IFERROR(VALUE(IF(VLOOKUP($A50,数出表_Excel!$A$6:$T$150,COLUMN()/2+1,FALSE)=0,"",VLOOKUP($A50,数出表_Excel!$A$6:$T$150,COLUMN()/2+1,FALSE))),"")</f>
        <v/>
      </c>
      <c r="M50" s="90"/>
      <c r="N50" s="125" t="str">
        <f ca="1">IFERROR(VALUE(IF(VLOOKUP($A50,数出表_Excel!$A$6:$T$150,COLUMN()/2+1,FALSE)=0,"",VLOOKUP($A50,数出表_Excel!$A$6:$T$150,COLUMN()/2+1,FALSE))),"")</f>
        <v/>
      </c>
      <c r="O50" s="90"/>
      <c r="P50" s="125" t="str">
        <f ca="1">IFERROR(VALUE(IF(VLOOKUP($A50,数出表_Excel!$A$6:$T$150,COLUMN()/2+1,FALSE)=0,"",VLOOKUP($A50,数出表_Excel!$A$6:$T$150,COLUMN()/2+1,FALSE))),"")</f>
        <v/>
      </c>
      <c r="Q50" s="90"/>
      <c r="R50" s="125" t="str">
        <f ca="1">IFERROR(VALUE(IF(VLOOKUP($A50,数出表_Excel!$A$6:$T$150,COLUMN()/2+1,FALSE)=0,"",VLOOKUP($A50,数出表_Excel!$A$6:$T$150,COLUMN()/2+1,FALSE))),"")</f>
        <v/>
      </c>
      <c r="S50" s="90"/>
      <c r="T50" s="125" t="str">
        <f ca="1">IFERROR(VALUE(IF(VLOOKUP($A50,数出表_Excel!$A$6:$T$150,COLUMN()/2+1,FALSE)=0,"",VLOOKUP($A50,数出表_Excel!$A$6:$T$150,COLUMN()/2+1,FALSE))),"")</f>
        <v/>
      </c>
      <c r="U50" s="90"/>
      <c r="V50" s="127" t="str">
        <f ca="1">IFERROR(VALUE(IF(VLOOKUP($A50,数出表_Excel!$A$6:$T$150,COLUMN()/2+1,FALSE)=0,"",VLOOKUP($A50,数出表_Excel!$A$6:$T$150,COLUMN()/2+1,FALSE))),"")</f>
        <v/>
      </c>
      <c r="W50" s="90"/>
      <c r="X50" s="127" t="str">
        <f ca="1">IFERROR(VALUE(IF(VLOOKUP($A50,数出表_Excel!$A$6:$T$150,COLUMN()/2+1,FALSE)=0,"",VLOOKUP($A50,数出表_Excel!$A$6:$T$150,COLUMN()/2+1,FALSE))),"")</f>
        <v/>
      </c>
      <c r="Y50" s="90"/>
      <c r="Z50" s="127" t="str">
        <f ca="1">IFERROR(VALUE(IF(VLOOKUP($A50,数出表_Excel!$A$6:$T$150,COLUMN()/2+1,FALSE)=0,"",VLOOKUP($A50,数出表_Excel!$A$6:$T$150,COLUMN()/2+1,FALSE))),"")</f>
        <v/>
      </c>
      <c r="AA50" s="128"/>
      <c r="AB50" s="126" t="str">
        <f ca="1">IFERROR(VALUE(IF(VLOOKUP($A50,数出表_Excel!$A$6:$T$150,COLUMN()/2+1,FALSE)=0,"",VLOOKUP($A50,数出表_Excel!$A$6:$T$150,COLUMN()/2+1,FALSE))),"")</f>
        <v/>
      </c>
      <c r="AC50" s="90"/>
      <c r="AD50" s="127" t="str">
        <f ca="1">IFERROR(VALUE(IF(VLOOKUP($A50,数出表_Excel!$A$6:$T$150,COLUMN()/2+1,FALSE)=0,"",VLOOKUP($A50,数出表_Excel!$A$6:$T$150,COLUMN()/2+1,FALSE))),"")</f>
        <v/>
      </c>
      <c r="AE50" s="90"/>
      <c r="AF50" s="127" t="str">
        <f ca="1">IFERROR(VALUE(IF(VLOOKUP($A50,数出表_Excel!$A$6:$T$150,COLUMN()/2+1,FALSE)=0,"",VLOOKUP($A50,数出表_Excel!$A$6:$T$150,COLUMN()/2+1,FALSE))),"")</f>
        <v/>
      </c>
      <c r="AG50" s="90"/>
      <c r="AH50" s="127" t="str">
        <f ca="1">IFERROR(VALUE(IF(VLOOKUP($A50,数出表_Excel!$A$6:$T$150,COLUMN()/2+1,FALSE)=0,"",VLOOKUP($A50,数出表_Excel!$A$6:$T$150,COLUMN()/2+1,FALSE))),"")</f>
        <v/>
      </c>
      <c r="AI50" s="128"/>
      <c r="AJ50" s="126" t="str">
        <f ca="1">IFERROR(VALUE(IF(VLOOKUP($A50,数出表_Excel!$A$6:$T$150,COLUMN()/2+1,FALSE)=0,"",VLOOKUP($A50,数出表_Excel!$A$6:$T$150,COLUMN()/2+1,FALSE))),"")</f>
        <v/>
      </c>
      <c r="AK50" s="90"/>
      <c r="AL50" s="94" t="e">
        <f ca="1">IF(A50&lt;&gt;"",
IF(VLOOKUP($A50,数出表_Excel!$A$6:$T$150,COLUMN()/2+1,FALSE)=0,"",VLOOKUP($A50,数出表_Excel!$A$6:$T$150,COLUMN()/2+1,FALSE)),"")</f>
        <v>#N/A</v>
      </c>
      <c r="AM50" s="175" t="e">
        <f>数出表_Excel!V50</f>
        <v>#N/A</v>
      </c>
      <c r="AN50" s="176" t="e">
        <f>数出表_Excel!W50</f>
        <v>#N/A</v>
      </c>
    </row>
    <row r="51" spans="1:40" ht="16.2" customHeight="1">
      <c r="A51" s="138" t="e">
        <f t="array" aca="1" ref="A51" ca="1">IF(OR(COUNTIF(A49,"*1000*"),COUNTIF(A49,"")),"",INDEX(貼り付け用!$A1:$A200,MATCH(A49,貼り付け用!$A1:$A200,0)+2,0))</f>
        <v>#N/A</v>
      </c>
      <c r="B51" s="91" t="str">
        <f ca="1">IFERROR(VALUE(IF(VLOOKUP($A51,数出表_Excel!$A$6:$T$150,COLUMN()/2+1,FALSE)=0,"",VLOOKUP($A51,数出表_Excel!$A$6:$T$150,COLUMN()/2+1,FALSE))),"")</f>
        <v/>
      </c>
      <c r="C51" s="91"/>
      <c r="D51" s="91" t="str">
        <f ca="1">IFERROR(VALUE(IF(VLOOKUP($A51,数出表_Excel!$A$6:$T$150,COLUMN()/2+1,FALSE)=0,"",VLOOKUP($A51,数出表_Excel!$A$6:$T$150,COLUMN()/2+1,FALSE))),"")</f>
        <v/>
      </c>
      <c r="E51" s="91"/>
      <c r="F51" s="95" t="str">
        <f ca="1">IFERROR(VALUE(IF(VLOOKUP($A51,数出表_Excel!$A$6:$T$150,COLUMN()/2+1,FALSE)=0,"",VLOOKUP($A51,数出表_Excel!$A$6:$T$150,COLUMN()/2+1,FALSE))),"")</f>
        <v/>
      </c>
      <c r="G51" s="91"/>
      <c r="H51" s="91" t="str">
        <f ca="1">IFERROR(VALUE(IF(VLOOKUP($A51,数出表_Excel!$A$6:$T$150,COLUMN()/2+1,FALSE)=0,"",VLOOKUP($A51,数出表_Excel!$A$6:$T$150,COLUMN()/2+1,FALSE))),"")</f>
        <v/>
      </c>
      <c r="I51" s="91"/>
      <c r="J51" s="91" t="str">
        <f ca="1">IFERROR(VALUE(IF(VLOOKUP($A51,数出表_Excel!$A$6:$T$150,COLUMN()/2+1,FALSE)=0,"",VLOOKUP($A51,数出表_Excel!$A$6:$T$150,COLUMN()/2+1,FALSE))),"")</f>
        <v/>
      </c>
      <c r="K51" s="91"/>
      <c r="L51" s="95" t="str">
        <f ca="1">IFERROR(VALUE(IF(VLOOKUP($A51,数出表_Excel!$A$6:$T$150,COLUMN()/2+1,FALSE)=0,"",VLOOKUP($A51,数出表_Excel!$A$6:$T$150,COLUMN()/2+1,FALSE))),"")</f>
        <v/>
      </c>
      <c r="M51" s="91"/>
      <c r="N51" s="91" t="str">
        <f ca="1">IFERROR(VALUE(IF(VLOOKUP($A51,数出表_Excel!$A$6:$T$150,COLUMN()/2+1,FALSE)=0,"",VLOOKUP($A51,数出表_Excel!$A$6:$T$150,COLUMN()/2+1,FALSE))),"")</f>
        <v/>
      </c>
      <c r="O51" s="91"/>
      <c r="P51" s="91" t="str">
        <f ca="1">IFERROR(VALUE(IF(VLOOKUP($A51,数出表_Excel!$A$6:$T$150,COLUMN()/2+1,FALSE)=0,"",VLOOKUP($A51,数出表_Excel!$A$6:$T$150,COLUMN()/2+1,FALSE))),"")</f>
        <v/>
      </c>
      <c r="Q51" s="91"/>
      <c r="R51" s="91" t="str">
        <f ca="1">IFERROR(VALUE(IF(VLOOKUP($A51,数出表_Excel!$A$6:$T$150,COLUMN()/2+1,FALSE)=0,"",VLOOKUP($A51,数出表_Excel!$A$6:$T$150,COLUMN()/2+1,FALSE))),"")</f>
        <v/>
      </c>
      <c r="S51" s="91"/>
      <c r="T51" s="91" t="str">
        <f ca="1">IFERROR(VALUE(IF(VLOOKUP($A51,数出表_Excel!$A$6:$T$150,COLUMN()/2+1,FALSE)=0,"",VLOOKUP($A51,数出表_Excel!$A$6:$T$150,COLUMN()/2+1,FALSE))),"")</f>
        <v/>
      </c>
      <c r="U51" s="91"/>
      <c r="V51" s="95" t="str">
        <f ca="1">IFERROR(VALUE(IF(VLOOKUP($A51,数出表_Excel!$A$6:$T$150,COLUMN()/2+1,FALSE)=0,"",VLOOKUP($A51,数出表_Excel!$A$6:$T$150,COLUMN()/2+1,FALSE))),"")</f>
        <v/>
      </c>
      <c r="W51" s="91"/>
      <c r="X51" s="95" t="str">
        <f ca="1">IFERROR(VALUE(IF(VLOOKUP($A51,数出表_Excel!$A$6:$T$150,COLUMN()/2+1,FALSE)=0,"",VLOOKUP($A51,数出表_Excel!$A$6:$T$150,COLUMN()/2+1,FALSE))),"")</f>
        <v/>
      </c>
      <c r="Y51" s="91"/>
      <c r="Z51" s="95" t="str">
        <f ca="1">IFERROR(VALUE(IF(VLOOKUP($A51,数出表_Excel!$A$6:$T$150,COLUMN()/2+1,FALSE)=0,"",VLOOKUP($A51,数出表_Excel!$A$6:$T$150,COLUMN()/2+1,FALSE))),"")</f>
        <v/>
      </c>
      <c r="AA51" s="129"/>
      <c r="AB51" s="96" t="str">
        <f ca="1">IFERROR(VALUE(IF(VLOOKUP($A51,数出表_Excel!$A$6:$T$150,COLUMN()/2+1,FALSE)=0,"",VLOOKUP($A51,数出表_Excel!$A$6:$T$150,COLUMN()/2+1,FALSE))),"")</f>
        <v/>
      </c>
      <c r="AC51" s="91"/>
      <c r="AD51" s="95" t="str">
        <f ca="1">IFERROR(VALUE(IF(VLOOKUP($A51,数出表_Excel!$A$6:$T$150,COLUMN()/2+1,FALSE)=0,"",VLOOKUP($A51,数出表_Excel!$A$6:$T$150,COLUMN()/2+1,FALSE))),"")</f>
        <v/>
      </c>
      <c r="AE51" s="91"/>
      <c r="AF51" s="95" t="str">
        <f ca="1">IFERROR(VALUE(IF(VLOOKUP($A51,数出表_Excel!$A$6:$T$150,COLUMN()/2+1,FALSE)=0,"",VLOOKUP($A51,数出表_Excel!$A$6:$T$150,COLUMN()/2+1,FALSE))),"")</f>
        <v/>
      </c>
      <c r="AG51" s="91"/>
      <c r="AH51" s="95" t="str">
        <f ca="1">IFERROR(VALUE(IF(VLOOKUP($A51,数出表_Excel!$A$6:$T$150,COLUMN()/2+1,FALSE)=0,"",VLOOKUP($A51,数出表_Excel!$A$6:$T$150,COLUMN()/2+1,FALSE))),"")</f>
        <v/>
      </c>
      <c r="AI51" s="129"/>
      <c r="AJ51" s="96" t="str">
        <f ca="1">IFERROR(VALUE(IF(VLOOKUP($A51,数出表_Excel!$A$6:$T$150,COLUMN()/2+1,FALSE)=0,"",VLOOKUP($A51,数出表_Excel!$A$6:$T$150,COLUMN()/2+1,FALSE))),"")</f>
        <v/>
      </c>
      <c r="AK51" s="91"/>
      <c r="AL51" s="97" t="e">
        <f ca="1">IF(A51&lt;&gt;"",
IF(VLOOKUP($A51,数出表_Excel!$A$6:$T$150,COLUMN()/2+1,FALSE)=0,"",VLOOKUP($A51,数出表_Excel!$A$6:$T$150,COLUMN()/2+1,FALSE)),"")</f>
        <v>#N/A</v>
      </c>
      <c r="AM51" s="177" t="e">
        <f>数出表_Excel!V51</f>
        <v>#N/A</v>
      </c>
      <c r="AN51" s="178" t="e">
        <f>数出表_Excel!W51</f>
        <v>#N/A</v>
      </c>
    </row>
    <row r="52" spans="1:40" ht="16.2" customHeight="1">
      <c r="A52" s="137" t="e">
        <f t="array" aca="1" ref="A52" ca="1">IF(OR(COUNTIF(A50,"*10002*"),COUNTIF(A50,"")),"",INDEX(貼り付け用!$A1:$A200,MATCH(A50,貼り付け用!$A1:$A200,0)+2,0))</f>
        <v>#N/A</v>
      </c>
      <c r="B52" s="125" t="str">
        <f ca="1">IFERROR(VALUE(IF(VLOOKUP($A52,数出表_Excel!$A$6:$T$150,COLUMN()/2+1,FALSE)=0,"",VLOOKUP($A52,数出表_Excel!$A$6:$T$150,COLUMN()/2+1,FALSE))),"")</f>
        <v/>
      </c>
      <c r="C52" s="90"/>
      <c r="D52" s="125" t="str">
        <f ca="1">IFERROR(VALUE(IF(VLOOKUP($A52,数出表_Excel!$A$6:$T$150,COLUMN()/2+1,FALSE)=0,"",VLOOKUP($A52,数出表_Excel!$A$6:$T$150,COLUMN()/2+1,FALSE))),"")</f>
        <v/>
      </c>
      <c r="E52" s="90"/>
      <c r="F52" s="127" t="str">
        <f ca="1">IFERROR(VALUE(IF(VLOOKUP($A52,数出表_Excel!$A$6:$T$150,COLUMN()/2+1,FALSE)=0,"",VLOOKUP($A52,数出表_Excel!$A$6:$T$150,COLUMN()/2+1,FALSE))),"")</f>
        <v/>
      </c>
      <c r="G52" s="90"/>
      <c r="H52" s="125" t="str">
        <f ca="1">IFERROR(VALUE(IF(VLOOKUP($A52,数出表_Excel!$A$6:$T$150,COLUMN()/2+1,FALSE)=0,"",VLOOKUP($A52,数出表_Excel!$A$6:$T$150,COLUMN()/2+1,FALSE))),"")</f>
        <v/>
      </c>
      <c r="I52" s="90"/>
      <c r="J52" s="125" t="str">
        <f ca="1">IFERROR(VALUE(IF(VLOOKUP($A52,数出表_Excel!$A$6:$T$150,COLUMN()/2+1,FALSE)=0,"",VLOOKUP($A52,数出表_Excel!$A$6:$T$150,COLUMN()/2+1,FALSE))),"")</f>
        <v/>
      </c>
      <c r="K52" s="90"/>
      <c r="L52" s="127" t="str">
        <f ca="1">IFERROR(VALUE(IF(VLOOKUP($A52,数出表_Excel!$A$6:$T$150,COLUMN()/2+1,FALSE)=0,"",VLOOKUP($A52,数出表_Excel!$A$6:$T$150,COLUMN()/2+1,FALSE))),"")</f>
        <v/>
      </c>
      <c r="M52" s="90"/>
      <c r="N52" s="125" t="str">
        <f ca="1">IFERROR(VALUE(IF(VLOOKUP($A52,数出表_Excel!$A$6:$T$150,COLUMN()/2+1,FALSE)=0,"",VLOOKUP($A52,数出表_Excel!$A$6:$T$150,COLUMN()/2+1,FALSE))),"")</f>
        <v/>
      </c>
      <c r="O52" s="90"/>
      <c r="P52" s="125" t="str">
        <f ca="1">IFERROR(VALUE(IF(VLOOKUP($A52,数出表_Excel!$A$6:$T$150,COLUMN()/2+1,FALSE)=0,"",VLOOKUP($A52,数出表_Excel!$A$6:$T$150,COLUMN()/2+1,FALSE))),"")</f>
        <v/>
      </c>
      <c r="Q52" s="90"/>
      <c r="R52" s="125" t="str">
        <f ca="1">IFERROR(VALUE(IF(VLOOKUP($A52,数出表_Excel!$A$6:$T$150,COLUMN()/2+1,FALSE)=0,"",VLOOKUP($A52,数出表_Excel!$A$6:$T$150,COLUMN()/2+1,FALSE))),"")</f>
        <v/>
      </c>
      <c r="S52" s="90"/>
      <c r="T52" s="125" t="str">
        <f ca="1">IFERROR(VALUE(IF(VLOOKUP($A52,数出表_Excel!$A$6:$T$150,COLUMN()/2+1,FALSE)=0,"",VLOOKUP($A52,数出表_Excel!$A$6:$T$150,COLUMN()/2+1,FALSE))),"")</f>
        <v/>
      </c>
      <c r="U52" s="90"/>
      <c r="V52" s="127" t="str">
        <f ca="1">IFERROR(VALUE(IF(VLOOKUP($A52,数出表_Excel!$A$6:$T$150,COLUMN()/2+1,FALSE)=0,"",VLOOKUP($A52,数出表_Excel!$A$6:$T$150,COLUMN()/2+1,FALSE))),"")</f>
        <v/>
      </c>
      <c r="W52" s="90"/>
      <c r="X52" s="127" t="str">
        <f ca="1">IFERROR(VALUE(IF(VLOOKUP($A52,数出表_Excel!$A$6:$T$150,COLUMN()/2+1,FALSE)=0,"",VLOOKUP($A52,数出表_Excel!$A$6:$T$150,COLUMN()/2+1,FALSE))),"")</f>
        <v/>
      </c>
      <c r="Y52" s="90"/>
      <c r="Z52" s="127" t="str">
        <f ca="1">IFERROR(VALUE(IF(VLOOKUP($A52,数出表_Excel!$A$6:$T$150,COLUMN()/2+1,FALSE)=0,"",VLOOKUP($A52,数出表_Excel!$A$6:$T$150,COLUMN()/2+1,FALSE))),"")</f>
        <v/>
      </c>
      <c r="AA52" s="128"/>
      <c r="AB52" s="126" t="str">
        <f ca="1">IFERROR(VALUE(IF(VLOOKUP($A52,数出表_Excel!$A$6:$T$150,COLUMN()/2+1,FALSE)=0,"",VLOOKUP($A52,数出表_Excel!$A$6:$T$150,COLUMN()/2+1,FALSE))),"")</f>
        <v/>
      </c>
      <c r="AC52" s="90"/>
      <c r="AD52" s="127" t="str">
        <f ca="1">IFERROR(VALUE(IF(VLOOKUP($A52,数出表_Excel!$A$6:$T$150,COLUMN()/2+1,FALSE)=0,"",VLOOKUP($A52,数出表_Excel!$A$6:$T$150,COLUMN()/2+1,FALSE))),"")</f>
        <v/>
      </c>
      <c r="AE52" s="90"/>
      <c r="AF52" s="127" t="str">
        <f ca="1">IFERROR(VALUE(IF(VLOOKUP($A52,数出表_Excel!$A$6:$T$150,COLUMN()/2+1,FALSE)=0,"",VLOOKUP($A52,数出表_Excel!$A$6:$T$150,COLUMN()/2+1,FALSE))),"")</f>
        <v/>
      </c>
      <c r="AG52" s="90"/>
      <c r="AH52" s="127" t="str">
        <f ca="1">IFERROR(VALUE(IF(VLOOKUP($A52,数出表_Excel!$A$6:$T$150,COLUMN()/2+1,FALSE)=0,"",VLOOKUP($A52,数出表_Excel!$A$6:$T$150,COLUMN()/2+1,FALSE))),"")</f>
        <v/>
      </c>
      <c r="AI52" s="128"/>
      <c r="AJ52" s="126" t="str">
        <f ca="1">IFERROR(VALUE(IF(VLOOKUP($A52,数出表_Excel!$A$6:$T$150,COLUMN()/2+1,FALSE)=0,"",VLOOKUP($A52,数出表_Excel!$A$6:$T$150,COLUMN()/2+1,FALSE))),"")</f>
        <v/>
      </c>
      <c r="AK52" s="90"/>
      <c r="AL52" s="94" t="e">
        <f ca="1">IF(A52&lt;&gt;"",
IF(VLOOKUP($A52,数出表_Excel!$A$6:$T$150,COLUMN()/2+1,FALSE)=0,"",VLOOKUP($A52,数出表_Excel!$A$6:$T$150,COLUMN()/2+1,FALSE)),"")</f>
        <v>#N/A</v>
      </c>
      <c r="AM52" s="175" t="e">
        <f>数出表_Excel!V52</f>
        <v>#N/A</v>
      </c>
      <c r="AN52" s="176" t="e">
        <f>数出表_Excel!W52</f>
        <v>#N/A</v>
      </c>
    </row>
    <row r="53" spans="1:40" ht="16.2" customHeight="1">
      <c r="A53" s="138" t="e">
        <f t="array" aca="1" ref="A53" ca="1">IF(OR(COUNTIF(A51,"*1000*"),COUNTIF(A51,"")),"",INDEX(貼り付け用!$A1:$A200,MATCH(A51,貼り付け用!$A1:$A200,0)+2,0))</f>
        <v>#N/A</v>
      </c>
      <c r="B53" s="91" t="str">
        <f ca="1">IFERROR(VALUE(IF(VLOOKUP($A53,数出表_Excel!$A$6:$T$150,COLUMN()/2+1,FALSE)=0,"",VLOOKUP($A53,数出表_Excel!$A$6:$T$150,COLUMN()/2+1,FALSE))),"")</f>
        <v/>
      </c>
      <c r="C53" s="91"/>
      <c r="D53" s="91" t="str">
        <f ca="1">IFERROR(VALUE(IF(VLOOKUP($A53,数出表_Excel!$A$6:$T$150,COLUMN()/2+1,FALSE)=0,"",VLOOKUP($A53,数出表_Excel!$A$6:$T$150,COLUMN()/2+1,FALSE))),"")</f>
        <v/>
      </c>
      <c r="E53" s="91"/>
      <c r="F53" s="95" t="str">
        <f ca="1">IFERROR(VALUE(IF(VLOOKUP($A53,数出表_Excel!$A$6:$T$150,COLUMN()/2+1,FALSE)=0,"",VLOOKUP($A53,数出表_Excel!$A$6:$T$150,COLUMN()/2+1,FALSE))),"")</f>
        <v/>
      </c>
      <c r="G53" s="91"/>
      <c r="H53" s="91" t="str">
        <f ca="1">IFERROR(VALUE(IF(VLOOKUP($A53,数出表_Excel!$A$6:$T$150,COLUMN()/2+1,FALSE)=0,"",VLOOKUP($A53,数出表_Excel!$A$6:$T$150,COLUMN()/2+1,FALSE))),"")</f>
        <v/>
      </c>
      <c r="I53" s="91"/>
      <c r="J53" s="91" t="str">
        <f ca="1">IFERROR(VALUE(IF(VLOOKUP($A53,数出表_Excel!$A$6:$T$150,COLUMN()/2+1,FALSE)=0,"",VLOOKUP($A53,数出表_Excel!$A$6:$T$150,COLUMN()/2+1,FALSE))),"")</f>
        <v/>
      </c>
      <c r="K53" s="91"/>
      <c r="L53" s="95" t="str">
        <f ca="1">IFERROR(VALUE(IF(VLOOKUP($A53,数出表_Excel!$A$6:$T$150,COLUMN()/2+1,FALSE)=0,"",VLOOKUP($A53,数出表_Excel!$A$6:$T$150,COLUMN()/2+1,FALSE))),"")</f>
        <v/>
      </c>
      <c r="M53" s="91"/>
      <c r="N53" s="91" t="str">
        <f ca="1">IFERROR(VALUE(IF(VLOOKUP($A53,数出表_Excel!$A$6:$T$150,COLUMN()/2+1,FALSE)=0,"",VLOOKUP($A53,数出表_Excel!$A$6:$T$150,COLUMN()/2+1,FALSE))),"")</f>
        <v/>
      </c>
      <c r="O53" s="91"/>
      <c r="P53" s="91" t="str">
        <f ca="1">IFERROR(VALUE(IF(VLOOKUP($A53,数出表_Excel!$A$6:$T$150,COLUMN()/2+1,FALSE)=0,"",VLOOKUP($A53,数出表_Excel!$A$6:$T$150,COLUMN()/2+1,FALSE))),"")</f>
        <v/>
      </c>
      <c r="Q53" s="91"/>
      <c r="R53" s="91" t="str">
        <f ca="1">IFERROR(VALUE(IF(VLOOKUP($A53,数出表_Excel!$A$6:$T$150,COLUMN()/2+1,FALSE)=0,"",VLOOKUP($A53,数出表_Excel!$A$6:$T$150,COLUMN()/2+1,FALSE))),"")</f>
        <v/>
      </c>
      <c r="S53" s="91"/>
      <c r="T53" s="91" t="str">
        <f ca="1">IFERROR(VALUE(IF(VLOOKUP($A53,数出表_Excel!$A$6:$T$150,COLUMN()/2+1,FALSE)=0,"",VLOOKUP($A53,数出表_Excel!$A$6:$T$150,COLUMN()/2+1,FALSE))),"")</f>
        <v/>
      </c>
      <c r="U53" s="91"/>
      <c r="V53" s="95" t="str">
        <f ca="1">IFERROR(VALUE(IF(VLOOKUP($A53,数出表_Excel!$A$6:$T$150,COLUMN()/2+1,FALSE)=0,"",VLOOKUP($A53,数出表_Excel!$A$6:$T$150,COLUMN()/2+1,FALSE))),"")</f>
        <v/>
      </c>
      <c r="W53" s="91"/>
      <c r="X53" s="95" t="str">
        <f ca="1">IFERROR(VALUE(IF(VLOOKUP($A53,数出表_Excel!$A$6:$T$150,COLUMN()/2+1,FALSE)=0,"",VLOOKUP($A53,数出表_Excel!$A$6:$T$150,COLUMN()/2+1,FALSE))),"")</f>
        <v/>
      </c>
      <c r="Y53" s="91"/>
      <c r="Z53" s="95" t="str">
        <f ca="1">IFERROR(VALUE(IF(VLOOKUP($A53,数出表_Excel!$A$6:$T$150,COLUMN()/2+1,FALSE)=0,"",VLOOKUP($A53,数出表_Excel!$A$6:$T$150,COLUMN()/2+1,FALSE))),"")</f>
        <v/>
      </c>
      <c r="AA53" s="129"/>
      <c r="AB53" s="96" t="str">
        <f ca="1">IFERROR(VALUE(IF(VLOOKUP($A53,数出表_Excel!$A$6:$T$150,COLUMN()/2+1,FALSE)=0,"",VLOOKUP($A53,数出表_Excel!$A$6:$T$150,COLUMN()/2+1,FALSE))),"")</f>
        <v/>
      </c>
      <c r="AC53" s="91"/>
      <c r="AD53" s="95" t="str">
        <f ca="1">IFERROR(VALUE(IF(VLOOKUP($A53,数出表_Excel!$A$6:$T$150,COLUMN()/2+1,FALSE)=0,"",VLOOKUP($A53,数出表_Excel!$A$6:$T$150,COLUMN()/2+1,FALSE))),"")</f>
        <v/>
      </c>
      <c r="AE53" s="91"/>
      <c r="AF53" s="95" t="str">
        <f ca="1">IFERROR(VALUE(IF(VLOOKUP($A53,数出表_Excel!$A$6:$T$150,COLUMN()/2+1,FALSE)=0,"",VLOOKUP($A53,数出表_Excel!$A$6:$T$150,COLUMN()/2+1,FALSE))),"")</f>
        <v/>
      </c>
      <c r="AG53" s="91"/>
      <c r="AH53" s="95" t="str">
        <f ca="1">IFERROR(VALUE(IF(VLOOKUP($A53,数出表_Excel!$A$6:$T$150,COLUMN()/2+1,FALSE)=0,"",VLOOKUP($A53,数出表_Excel!$A$6:$T$150,COLUMN()/2+1,FALSE))),"")</f>
        <v/>
      </c>
      <c r="AI53" s="129"/>
      <c r="AJ53" s="96" t="str">
        <f ca="1">IFERROR(VALUE(IF(VLOOKUP($A53,数出表_Excel!$A$6:$T$150,COLUMN()/2+1,FALSE)=0,"",VLOOKUP($A53,数出表_Excel!$A$6:$T$150,COLUMN()/2+1,FALSE))),"")</f>
        <v/>
      </c>
      <c r="AK53" s="91"/>
      <c r="AL53" s="97" t="e">
        <f ca="1">IF(A53&lt;&gt;"",
IF(VLOOKUP($A53,数出表_Excel!$A$6:$T$150,COLUMN()/2+1,FALSE)=0,"",VLOOKUP($A53,数出表_Excel!$A$6:$T$150,COLUMN()/2+1,FALSE)),"")</f>
        <v>#N/A</v>
      </c>
      <c r="AM53" s="177" t="e">
        <f>数出表_Excel!V53</f>
        <v>#N/A</v>
      </c>
      <c r="AN53" s="178" t="e">
        <f>数出表_Excel!W53</f>
        <v>#N/A</v>
      </c>
    </row>
    <row r="54" spans="1:40" ht="16.2" customHeight="1">
      <c r="A54" s="137" t="e">
        <f t="array" aca="1" ref="A54" ca="1">IF(OR(COUNTIF(A52,"*10002*"),COUNTIF(A52,"")),"",INDEX(貼り付け用!$A1:$A200,MATCH(A52,貼り付け用!$A1:$A200,0)+2,0))</f>
        <v>#N/A</v>
      </c>
      <c r="B54" s="125" t="str">
        <f ca="1">IFERROR(VALUE(IF(VLOOKUP($A54,数出表_Excel!$A$6:$T$150,COLUMN()/2+1,FALSE)=0,"",VLOOKUP($A54,数出表_Excel!$A$6:$T$150,COLUMN()/2+1,FALSE))),"")</f>
        <v/>
      </c>
      <c r="C54" s="90"/>
      <c r="D54" s="125" t="str">
        <f ca="1">IFERROR(VALUE(IF(VLOOKUP($A54,数出表_Excel!$A$6:$T$150,COLUMN()/2+1,FALSE)=0,"",VLOOKUP($A54,数出表_Excel!$A$6:$T$150,COLUMN()/2+1,FALSE))),"")</f>
        <v/>
      </c>
      <c r="E54" s="90"/>
      <c r="F54" s="127" t="str">
        <f ca="1">IFERROR(VALUE(IF(VLOOKUP($A54,数出表_Excel!$A$6:$T$150,COLUMN()/2+1,FALSE)=0,"",VLOOKUP($A54,数出表_Excel!$A$6:$T$150,COLUMN()/2+1,FALSE))),"")</f>
        <v/>
      </c>
      <c r="G54" s="90"/>
      <c r="H54" s="125" t="str">
        <f ca="1">IFERROR(VALUE(IF(VLOOKUP($A54,数出表_Excel!$A$6:$T$150,COLUMN()/2+1,FALSE)=0,"",VLOOKUP($A54,数出表_Excel!$A$6:$T$150,COLUMN()/2+1,FALSE))),"")</f>
        <v/>
      </c>
      <c r="I54" s="90"/>
      <c r="J54" s="125" t="str">
        <f ca="1">IFERROR(VALUE(IF(VLOOKUP($A54,数出表_Excel!$A$6:$T$150,COLUMN()/2+1,FALSE)=0,"",VLOOKUP($A54,数出表_Excel!$A$6:$T$150,COLUMN()/2+1,FALSE))),"")</f>
        <v/>
      </c>
      <c r="K54" s="90"/>
      <c r="L54" s="127" t="str">
        <f ca="1">IFERROR(VALUE(IF(VLOOKUP($A54,数出表_Excel!$A$6:$T$150,COLUMN()/2+1,FALSE)=0,"",VLOOKUP($A54,数出表_Excel!$A$6:$T$150,COLUMN()/2+1,FALSE))),"")</f>
        <v/>
      </c>
      <c r="M54" s="90"/>
      <c r="N54" s="125" t="str">
        <f ca="1">IFERROR(VALUE(IF(VLOOKUP($A54,数出表_Excel!$A$6:$T$150,COLUMN()/2+1,FALSE)=0,"",VLOOKUP($A54,数出表_Excel!$A$6:$T$150,COLUMN()/2+1,FALSE))),"")</f>
        <v/>
      </c>
      <c r="O54" s="90"/>
      <c r="P54" s="125" t="str">
        <f ca="1">IFERROR(VALUE(IF(VLOOKUP($A54,数出表_Excel!$A$6:$T$150,COLUMN()/2+1,FALSE)=0,"",VLOOKUP($A54,数出表_Excel!$A$6:$T$150,COLUMN()/2+1,FALSE))),"")</f>
        <v/>
      </c>
      <c r="Q54" s="90"/>
      <c r="R54" s="125" t="str">
        <f ca="1">IFERROR(VALUE(IF(VLOOKUP($A54,数出表_Excel!$A$6:$T$150,COLUMN()/2+1,FALSE)=0,"",VLOOKUP($A54,数出表_Excel!$A$6:$T$150,COLUMN()/2+1,FALSE))),"")</f>
        <v/>
      </c>
      <c r="S54" s="90"/>
      <c r="T54" s="125" t="str">
        <f ca="1">IFERROR(VALUE(IF(VLOOKUP($A54,数出表_Excel!$A$6:$T$150,COLUMN()/2+1,FALSE)=0,"",VLOOKUP($A54,数出表_Excel!$A$6:$T$150,COLUMN()/2+1,FALSE))),"")</f>
        <v/>
      </c>
      <c r="U54" s="90"/>
      <c r="V54" s="127" t="str">
        <f ca="1">IFERROR(VALUE(IF(VLOOKUP($A54,数出表_Excel!$A$6:$T$150,COLUMN()/2+1,FALSE)=0,"",VLOOKUP($A54,数出表_Excel!$A$6:$T$150,COLUMN()/2+1,FALSE))),"")</f>
        <v/>
      </c>
      <c r="W54" s="90"/>
      <c r="X54" s="127" t="str">
        <f ca="1">IFERROR(VALUE(IF(VLOOKUP($A54,数出表_Excel!$A$6:$T$150,COLUMN()/2+1,FALSE)=0,"",VLOOKUP($A54,数出表_Excel!$A$6:$T$150,COLUMN()/2+1,FALSE))),"")</f>
        <v/>
      </c>
      <c r="Y54" s="90"/>
      <c r="Z54" s="127" t="str">
        <f ca="1">IFERROR(VALUE(IF(VLOOKUP($A54,数出表_Excel!$A$6:$T$150,COLUMN()/2+1,FALSE)=0,"",VLOOKUP($A54,数出表_Excel!$A$6:$T$150,COLUMN()/2+1,FALSE))),"")</f>
        <v/>
      </c>
      <c r="AA54" s="128"/>
      <c r="AB54" s="126" t="str">
        <f ca="1">IFERROR(VALUE(IF(VLOOKUP($A54,数出表_Excel!$A$6:$T$150,COLUMN()/2+1,FALSE)=0,"",VLOOKUP($A54,数出表_Excel!$A$6:$T$150,COLUMN()/2+1,FALSE))),"")</f>
        <v/>
      </c>
      <c r="AC54" s="90"/>
      <c r="AD54" s="127" t="str">
        <f ca="1">IFERROR(VALUE(IF(VLOOKUP($A54,数出表_Excel!$A$6:$T$150,COLUMN()/2+1,FALSE)=0,"",VLOOKUP($A54,数出表_Excel!$A$6:$T$150,COLUMN()/2+1,FALSE))),"")</f>
        <v/>
      </c>
      <c r="AE54" s="90"/>
      <c r="AF54" s="127" t="str">
        <f ca="1">IFERROR(VALUE(IF(VLOOKUP($A54,数出表_Excel!$A$6:$T$150,COLUMN()/2+1,FALSE)=0,"",VLOOKUP($A54,数出表_Excel!$A$6:$T$150,COLUMN()/2+1,FALSE))),"")</f>
        <v/>
      </c>
      <c r="AG54" s="90"/>
      <c r="AH54" s="127" t="str">
        <f ca="1">IFERROR(VALUE(IF(VLOOKUP($A54,数出表_Excel!$A$6:$T$150,COLUMN()/2+1,FALSE)=0,"",VLOOKUP($A54,数出表_Excel!$A$6:$T$150,COLUMN()/2+1,FALSE))),"")</f>
        <v/>
      </c>
      <c r="AI54" s="128"/>
      <c r="AJ54" s="126" t="str">
        <f ca="1">IFERROR(VALUE(IF(VLOOKUP($A54,数出表_Excel!$A$6:$T$150,COLUMN()/2+1,FALSE)=0,"",VLOOKUP($A54,数出表_Excel!$A$6:$T$150,COLUMN()/2+1,FALSE))),"")</f>
        <v/>
      </c>
      <c r="AK54" s="90"/>
      <c r="AL54" s="94" t="e">
        <f ca="1">IF(A54&lt;&gt;"",
IF(VLOOKUP($A54,数出表_Excel!$A$6:$T$150,COLUMN()/2+1,FALSE)=0,"",VLOOKUP($A54,数出表_Excel!$A$6:$T$150,COLUMN()/2+1,FALSE)),"")</f>
        <v>#N/A</v>
      </c>
      <c r="AM54" s="175" t="e">
        <f>数出表_Excel!V54</f>
        <v>#N/A</v>
      </c>
      <c r="AN54" s="176" t="e">
        <f>数出表_Excel!W54</f>
        <v>#N/A</v>
      </c>
    </row>
    <row r="55" spans="1:40" ht="16.2" customHeight="1">
      <c r="A55" s="138" t="e">
        <f t="array" aca="1" ref="A55" ca="1">IF(OR(COUNTIF(A53,"*1000*"),COUNTIF(A53,"")),"",INDEX(貼り付け用!$A1:$A200,MATCH(A53,貼り付け用!$A1:$A200,0)+2,0))</f>
        <v>#N/A</v>
      </c>
      <c r="B55" s="91" t="str">
        <f ca="1">IFERROR(VALUE(IF(VLOOKUP($A55,数出表_Excel!$A$6:$T$150,COLUMN()/2+1,FALSE)=0,"",VLOOKUP($A55,数出表_Excel!$A$6:$T$150,COLUMN()/2+1,FALSE))),"")</f>
        <v/>
      </c>
      <c r="C55" s="91"/>
      <c r="D55" s="91" t="str">
        <f ca="1">IFERROR(VALUE(IF(VLOOKUP($A55,数出表_Excel!$A$6:$T$150,COLUMN()/2+1,FALSE)=0,"",VLOOKUP($A55,数出表_Excel!$A$6:$T$150,COLUMN()/2+1,FALSE))),"")</f>
        <v/>
      </c>
      <c r="E55" s="91"/>
      <c r="F55" s="95" t="str">
        <f ca="1">IFERROR(VALUE(IF(VLOOKUP($A55,数出表_Excel!$A$6:$T$150,COLUMN()/2+1,FALSE)=0,"",VLOOKUP($A55,数出表_Excel!$A$6:$T$150,COLUMN()/2+1,FALSE))),"")</f>
        <v/>
      </c>
      <c r="G55" s="91"/>
      <c r="H55" s="91" t="str">
        <f ca="1">IFERROR(VALUE(IF(VLOOKUP($A55,数出表_Excel!$A$6:$T$150,COLUMN()/2+1,FALSE)=0,"",VLOOKUP($A55,数出表_Excel!$A$6:$T$150,COLUMN()/2+1,FALSE))),"")</f>
        <v/>
      </c>
      <c r="I55" s="91"/>
      <c r="J55" s="91" t="str">
        <f ca="1">IFERROR(VALUE(IF(VLOOKUP($A55,数出表_Excel!$A$6:$T$150,COLUMN()/2+1,FALSE)=0,"",VLOOKUP($A55,数出表_Excel!$A$6:$T$150,COLUMN()/2+1,FALSE))),"")</f>
        <v/>
      </c>
      <c r="K55" s="91"/>
      <c r="L55" s="95" t="str">
        <f ca="1">IFERROR(VALUE(IF(VLOOKUP($A55,数出表_Excel!$A$6:$T$150,COLUMN()/2+1,FALSE)=0,"",VLOOKUP($A55,数出表_Excel!$A$6:$T$150,COLUMN()/2+1,FALSE))),"")</f>
        <v/>
      </c>
      <c r="M55" s="91"/>
      <c r="N55" s="91" t="str">
        <f ca="1">IFERROR(VALUE(IF(VLOOKUP($A55,数出表_Excel!$A$6:$T$150,COLUMN()/2+1,FALSE)=0,"",VLOOKUP($A55,数出表_Excel!$A$6:$T$150,COLUMN()/2+1,FALSE))),"")</f>
        <v/>
      </c>
      <c r="O55" s="91"/>
      <c r="P55" s="91" t="str">
        <f ca="1">IFERROR(VALUE(IF(VLOOKUP($A55,数出表_Excel!$A$6:$T$150,COLUMN()/2+1,FALSE)=0,"",VLOOKUP($A55,数出表_Excel!$A$6:$T$150,COLUMN()/2+1,FALSE))),"")</f>
        <v/>
      </c>
      <c r="Q55" s="91"/>
      <c r="R55" s="91" t="str">
        <f ca="1">IFERROR(VALUE(IF(VLOOKUP($A55,数出表_Excel!$A$6:$T$150,COLUMN()/2+1,FALSE)=0,"",VLOOKUP($A55,数出表_Excel!$A$6:$T$150,COLUMN()/2+1,FALSE))),"")</f>
        <v/>
      </c>
      <c r="S55" s="91"/>
      <c r="T55" s="91" t="str">
        <f ca="1">IFERROR(VALUE(IF(VLOOKUP($A55,数出表_Excel!$A$6:$T$150,COLUMN()/2+1,FALSE)=0,"",VLOOKUP($A55,数出表_Excel!$A$6:$T$150,COLUMN()/2+1,FALSE))),"")</f>
        <v/>
      </c>
      <c r="U55" s="91"/>
      <c r="V55" s="95" t="str">
        <f ca="1">IFERROR(VALUE(IF(VLOOKUP($A55,数出表_Excel!$A$6:$T$150,COLUMN()/2+1,FALSE)=0,"",VLOOKUP($A55,数出表_Excel!$A$6:$T$150,COLUMN()/2+1,FALSE))),"")</f>
        <v/>
      </c>
      <c r="W55" s="91"/>
      <c r="X55" s="95" t="str">
        <f ca="1">IFERROR(VALUE(IF(VLOOKUP($A55,数出表_Excel!$A$6:$T$150,COLUMN()/2+1,FALSE)=0,"",VLOOKUP($A55,数出表_Excel!$A$6:$T$150,COLUMN()/2+1,FALSE))),"")</f>
        <v/>
      </c>
      <c r="Y55" s="91"/>
      <c r="Z55" s="95" t="str">
        <f ca="1">IFERROR(VALUE(IF(VLOOKUP($A55,数出表_Excel!$A$6:$T$150,COLUMN()/2+1,FALSE)=0,"",VLOOKUP($A55,数出表_Excel!$A$6:$T$150,COLUMN()/2+1,FALSE))),"")</f>
        <v/>
      </c>
      <c r="AA55" s="129"/>
      <c r="AB55" s="96" t="str">
        <f ca="1">IFERROR(VALUE(IF(VLOOKUP($A55,数出表_Excel!$A$6:$T$150,COLUMN()/2+1,FALSE)=0,"",VLOOKUP($A55,数出表_Excel!$A$6:$T$150,COLUMN()/2+1,FALSE))),"")</f>
        <v/>
      </c>
      <c r="AC55" s="91"/>
      <c r="AD55" s="95" t="str">
        <f ca="1">IFERROR(VALUE(IF(VLOOKUP($A55,数出表_Excel!$A$6:$T$150,COLUMN()/2+1,FALSE)=0,"",VLOOKUP($A55,数出表_Excel!$A$6:$T$150,COLUMN()/2+1,FALSE))),"")</f>
        <v/>
      </c>
      <c r="AE55" s="91"/>
      <c r="AF55" s="95" t="str">
        <f ca="1">IFERROR(VALUE(IF(VLOOKUP($A55,数出表_Excel!$A$6:$T$150,COLUMN()/2+1,FALSE)=0,"",VLOOKUP($A55,数出表_Excel!$A$6:$T$150,COLUMN()/2+1,FALSE))),"")</f>
        <v/>
      </c>
      <c r="AG55" s="91"/>
      <c r="AH55" s="95" t="str">
        <f ca="1">IFERROR(VALUE(IF(VLOOKUP($A55,数出表_Excel!$A$6:$T$150,COLUMN()/2+1,FALSE)=0,"",VLOOKUP($A55,数出表_Excel!$A$6:$T$150,COLUMN()/2+1,FALSE))),"")</f>
        <v/>
      </c>
      <c r="AI55" s="129"/>
      <c r="AJ55" s="96" t="str">
        <f ca="1">IFERROR(VALUE(IF(VLOOKUP($A55,数出表_Excel!$A$6:$T$150,COLUMN()/2+1,FALSE)=0,"",VLOOKUP($A55,数出表_Excel!$A$6:$T$150,COLUMN()/2+1,FALSE))),"")</f>
        <v/>
      </c>
      <c r="AK55" s="91"/>
      <c r="AL55" s="97" t="e">
        <f ca="1">IF(A55&lt;&gt;"",
IF(VLOOKUP($A55,数出表_Excel!$A$6:$T$150,COLUMN()/2+1,FALSE)=0,"",VLOOKUP($A55,数出表_Excel!$A$6:$T$150,COLUMN()/2+1,FALSE)),"")</f>
        <v>#N/A</v>
      </c>
      <c r="AM55" s="177" t="e">
        <f>数出表_Excel!V55</f>
        <v>#N/A</v>
      </c>
      <c r="AN55" s="178" t="e">
        <f>数出表_Excel!W55</f>
        <v>#N/A</v>
      </c>
    </row>
    <row r="56" spans="1:40" ht="16.2" customHeight="1">
      <c r="A56" s="137" t="e">
        <f t="array" aca="1" ref="A56" ca="1">IF(OR(COUNTIF(A54,"*10002*"),COUNTIF(A54,"")),"",INDEX(貼り付け用!$A1:$A200,MATCH(A54,貼り付け用!$A1:$A200,0)+2,0))</f>
        <v>#N/A</v>
      </c>
      <c r="B56" s="125" t="str">
        <f ca="1">IFERROR(VALUE(IF(VLOOKUP($A56,数出表_Excel!$A$6:$T$150,COLUMN()/2+1,FALSE)=0,"",VLOOKUP($A56,数出表_Excel!$A$6:$T$150,COLUMN()/2+1,FALSE))),"")</f>
        <v/>
      </c>
      <c r="C56" s="90"/>
      <c r="D56" s="125" t="str">
        <f ca="1">IFERROR(VALUE(IF(VLOOKUP($A56,数出表_Excel!$A$6:$T$150,COLUMN()/2+1,FALSE)=0,"",VLOOKUP($A56,数出表_Excel!$A$6:$T$150,COLUMN()/2+1,FALSE))),"")</f>
        <v/>
      </c>
      <c r="E56" s="90"/>
      <c r="F56" s="127" t="str">
        <f ca="1">IFERROR(VALUE(IF(VLOOKUP($A56,数出表_Excel!$A$6:$T$150,COLUMN()/2+1,FALSE)=0,"",VLOOKUP($A56,数出表_Excel!$A$6:$T$150,COLUMN()/2+1,FALSE))),"")</f>
        <v/>
      </c>
      <c r="G56" s="90"/>
      <c r="H56" s="125" t="str">
        <f ca="1">IFERROR(VALUE(IF(VLOOKUP($A56,数出表_Excel!$A$6:$T$150,COLUMN()/2+1,FALSE)=0,"",VLOOKUP($A56,数出表_Excel!$A$6:$T$150,COLUMN()/2+1,FALSE))),"")</f>
        <v/>
      </c>
      <c r="I56" s="90"/>
      <c r="J56" s="125" t="str">
        <f ca="1">IFERROR(VALUE(IF(VLOOKUP($A56,数出表_Excel!$A$6:$T$150,COLUMN()/2+1,FALSE)=0,"",VLOOKUP($A56,数出表_Excel!$A$6:$T$150,COLUMN()/2+1,FALSE))),"")</f>
        <v/>
      </c>
      <c r="K56" s="90"/>
      <c r="L56" s="127" t="str">
        <f ca="1">IFERROR(VALUE(IF(VLOOKUP($A56,数出表_Excel!$A$6:$T$150,COLUMN()/2+1,FALSE)=0,"",VLOOKUP($A56,数出表_Excel!$A$6:$T$150,COLUMN()/2+1,FALSE))),"")</f>
        <v/>
      </c>
      <c r="M56" s="90"/>
      <c r="N56" s="125" t="str">
        <f ca="1">IFERROR(VALUE(IF(VLOOKUP($A56,数出表_Excel!$A$6:$T$150,COLUMN()/2+1,FALSE)=0,"",VLOOKUP($A56,数出表_Excel!$A$6:$T$150,COLUMN()/2+1,FALSE))),"")</f>
        <v/>
      </c>
      <c r="O56" s="90"/>
      <c r="P56" s="125" t="str">
        <f ca="1">IFERROR(VALUE(IF(VLOOKUP($A56,数出表_Excel!$A$6:$T$150,COLUMN()/2+1,FALSE)=0,"",VLOOKUP($A56,数出表_Excel!$A$6:$T$150,COLUMN()/2+1,FALSE))),"")</f>
        <v/>
      </c>
      <c r="Q56" s="90"/>
      <c r="R56" s="125" t="str">
        <f ca="1">IFERROR(VALUE(IF(VLOOKUP($A56,数出表_Excel!$A$6:$T$150,COLUMN()/2+1,FALSE)=0,"",VLOOKUP($A56,数出表_Excel!$A$6:$T$150,COLUMN()/2+1,FALSE))),"")</f>
        <v/>
      </c>
      <c r="S56" s="90"/>
      <c r="T56" s="125" t="str">
        <f ca="1">IFERROR(VALUE(IF(VLOOKUP($A56,数出表_Excel!$A$6:$T$150,COLUMN()/2+1,FALSE)=0,"",VLOOKUP($A56,数出表_Excel!$A$6:$T$150,COLUMN()/2+1,FALSE))),"")</f>
        <v/>
      </c>
      <c r="U56" s="90"/>
      <c r="V56" s="127" t="str">
        <f ca="1">IFERROR(VALUE(IF(VLOOKUP($A56,数出表_Excel!$A$6:$T$150,COLUMN()/2+1,FALSE)=0,"",VLOOKUP($A56,数出表_Excel!$A$6:$T$150,COLUMN()/2+1,FALSE))),"")</f>
        <v/>
      </c>
      <c r="W56" s="90"/>
      <c r="X56" s="127" t="str">
        <f ca="1">IFERROR(VALUE(IF(VLOOKUP($A56,数出表_Excel!$A$6:$T$150,COLUMN()/2+1,FALSE)=0,"",VLOOKUP($A56,数出表_Excel!$A$6:$T$150,COLUMN()/2+1,FALSE))),"")</f>
        <v/>
      </c>
      <c r="Y56" s="90"/>
      <c r="Z56" s="127" t="str">
        <f ca="1">IFERROR(VALUE(IF(VLOOKUP($A56,数出表_Excel!$A$6:$T$150,COLUMN()/2+1,FALSE)=0,"",VLOOKUP($A56,数出表_Excel!$A$6:$T$150,COLUMN()/2+1,FALSE))),"")</f>
        <v/>
      </c>
      <c r="AA56" s="128"/>
      <c r="AB56" s="126" t="str">
        <f ca="1">IFERROR(VALUE(IF(VLOOKUP($A56,数出表_Excel!$A$6:$T$150,COLUMN()/2+1,FALSE)=0,"",VLOOKUP($A56,数出表_Excel!$A$6:$T$150,COLUMN()/2+1,FALSE))),"")</f>
        <v/>
      </c>
      <c r="AC56" s="90"/>
      <c r="AD56" s="127" t="str">
        <f ca="1">IFERROR(VALUE(IF(VLOOKUP($A56,数出表_Excel!$A$6:$T$150,COLUMN()/2+1,FALSE)=0,"",VLOOKUP($A56,数出表_Excel!$A$6:$T$150,COLUMN()/2+1,FALSE))),"")</f>
        <v/>
      </c>
      <c r="AE56" s="90"/>
      <c r="AF56" s="127" t="str">
        <f ca="1">IFERROR(VALUE(IF(VLOOKUP($A56,数出表_Excel!$A$6:$T$150,COLUMN()/2+1,FALSE)=0,"",VLOOKUP($A56,数出表_Excel!$A$6:$T$150,COLUMN()/2+1,FALSE))),"")</f>
        <v/>
      </c>
      <c r="AG56" s="90"/>
      <c r="AH56" s="127" t="str">
        <f ca="1">IFERROR(VALUE(IF(VLOOKUP($A56,数出表_Excel!$A$6:$T$150,COLUMN()/2+1,FALSE)=0,"",VLOOKUP($A56,数出表_Excel!$A$6:$T$150,COLUMN()/2+1,FALSE))),"")</f>
        <v/>
      </c>
      <c r="AI56" s="128"/>
      <c r="AJ56" s="126" t="str">
        <f ca="1">IFERROR(VALUE(IF(VLOOKUP($A56,数出表_Excel!$A$6:$T$150,COLUMN()/2+1,FALSE)=0,"",VLOOKUP($A56,数出表_Excel!$A$6:$T$150,COLUMN()/2+1,FALSE))),"")</f>
        <v/>
      </c>
      <c r="AK56" s="90"/>
      <c r="AL56" s="94" t="e">
        <f ca="1">IF(A56&lt;&gt;"",
IF(VLOOKUP($A56,数出表_Excel!$A$6:$T$150,COLUMN()/2+1,FALSE)=0,"",VLOOKUP($A56,数出表_Excel!$A$6:$T$150,COLUMN()/2+1,FALSE)),"")</f>
        <v>#N/A</v>
      </c>
      <c r="AM56" s="175" t="e">
        <f>数出表_Excel!V56</f>
        <v>#N/A</v>
      </c>
      <c r="AN56" s="176" t="e">
        <f>数出表_Excel!W56</f>
        <v>#N/A</v>
      </c>
    </row>
    <row r="57" spans="1:40" ht="16.2" customHeight="1">
      <c r="A57" s="138" t="e">
        <f t="array" aca="1" ref="A57" ca="1">IF(OR(COUNTIF(A55,"*1000*"),COUNTIF(A55,"")),"",INDEX(貼り付け用!$A1:$A200,MATCH(A55,貼り付け用!$A1:$A200,0)+2,0))</f>
        <v>#N/A</v>
      </c>
      <c r="B57" s="91" t="str">
        <f ca="1">IFERROR(VALUE(IF(VLOOKUP($A57,数出表_Excel!$A$6:$T$150,COLUMN()/2+1,FALSE)=0,"",VLOOKUP($A57,数出表_Excel!$A$6:$T$150,COLUMN()/2+1,FALSE))),"")</f>
        <v/>
      </c>
      <c r="C57" s="91"/>
      <c r="D57" s="91" t="str">
        <f ca="1">IFERROR(VALUE(IF(VLOOKUP($A57,数出表_Excel!$A$6:$T$150,COLUMN()/2+1,FALSE)=0,"",VLOOKUP($A57,数出表_Excel!$A$6:$T$150,COLUMN()/2+1,FALSE))),"")</f>
        <v/>
      </c>
      <c r="E57" s="91"/>
      <c r="F57" s="95" t="str">
        <f ca="1">IFERROR(VALUE(IF(VLOOKUP($A57,数出表_Excel!$A$6:$T$150,COLUMN()/2+1,FALSE)=0,"",VLOOKUP($A57,数出表_Excel!$A$6:$T$150,COLUMN()/2+1,FALSE))),"")</f>
        <v/>
      </c>
      <c r="G57" s="91"/>
      <c r="H57" s="91" t="str">
        <f ca="1">IFERROR(VALUE(IF(VLOOKUP($A57,数出表_Excel!$A$6:$T$150,COLUMN()/2+1,FALSE)=0,"",VLOOKUP($A57,数出表_Excel!$A$6:$T$150,COLUMN()/2+1,FALSE))),"")</f>
        <v/>
      </c>
      <c r="I57" s="91"/>
      <c r="J57" s="91" t="str">
        <f ca="1">IFERROR(VALUE(IF(VLOOKUP($A57,数出表_Excel!$A$6:$T$150,COLUMN()/2+1,FALSE)=0,"",VLOOKUP($A57,数出表_Excel!$A$6:$T$150,COLUMN()/2+1,FALSE))),"")</f>
        <v/>
      </c>
      <c r="K57" s="91"/>
      <c r="L57" s="95" t="str">
        <f ca="1">IFERROR(VALUE(IF(VLOOKUP($A57,数出表_Excel!$A$6:$T$150,COLUMN()/2+1,FALSE)=0,"",VLOOKUP($A57,数出表_Excel!$A$6:$T$150,COLUMN()/2+1,FALSE))),"")</f>
        <v/>
      </c>
      <c r="M57" s="91"/>
      <c r="N57" s="91" t="str">
        <f ca="1">IFERROR(VALUE(IF(VLOOKUP($A57,数出表_Excel!$A$6:$T$150,COLUMN()/2+1,FALSE)=0,"",VLOOKUP($A57,数出表_Excel!$A$6:$T$150,COLUMN()/2+1,FALSE))),"")</f>
        <v/>
      </c>
      <c r="O57" s="91"/>
      <c r="P57" s="91" t="str">
        <f ca="1">IFERROR(VALUE(IF(VLOOKUP($A57,数出表_Excel!$A$6:$T$150,COLUMN()/2+1,FALSE)=0,"",VLOOKUP($A57,数出表_Excel!$A$6:$T$150,COLUMN()/2+1,FALSE))),"")</f>
        <v/>
      </c>
      <c r="Q57" s="91"/>
      <c r="R57" s="91" t="str">
        <f ca="1">IFERROR(VALUE(IF(VLOOKUP($A57,数出表_Excel!$A$6:$T$150,COLUMN()/2+1,FALSE)=0,"",VLOOKUP($A57,数出表_Excel!$A$6:$T$150,COLUMN()/2+1,FALSE))),"")</f>
        <v/>
      </c>
      <c r="S57" s="91"/>
      <c r="T57" s="91" t="str">
        <f ca="1">IFERROR(VALUE(IF(VLOOKUP($A57,数出表_Excel!$A$6:$T$150,COLUMN()/2+1,FALSE)=0,"",VLOOKUP($A57,数出表_Excel!$A$6:$T$150,COLUMN()/2+1,FALSE))),"")</f>
        <v/>
      </c>
      <c r="U57" s="91"/>
      <c r="V57" s="95" t="str">
        <f ca="1">IFERROR(VALUE(IF(VLOOKUP($A57,数出表_Excel!$A$6:$T$150,COLUMN()/2+1,FALSE)=0,"",VLOOKUP($A57,数出表_Excel!$A$6:$T$150,COLUMN()/2+1,FALSE))),"")</f>
        <v/>
      </c>
      <c r="W57" s="91"/>
      <c r="X57" s="95" t="str">
        <f ca="1">IFERROR(VALUE(IF(VLOOKUP($A57,数出表_Excel!$A$6:$T$150,COLUMN()/2+1,FALSE)=0,"",VLOOKUP($A57,数出表_Excel!$A$6:$T$150,COLUMN()/2+1,FALSE))),"")</f>
        <v/>
      </c>
      <c r="Y57" s="91"/>
      <c r="Z57" s="95" t="str">
        <f ca="1">IFERROR(VALUE(IF(VLOOKUP($A57,数出表_Excel!$A$6:$T$150,COLUMN()/2+1,FALSE)=0,"",VLOOKUP($A57,数出表_Excel!$A$6:$T$150,COLUMN()/2+1,FALSE))),"")</f>
        <v/>
      </c>
      <c r="AA57" s="129"/>
      <c r="AB57" s="96" t="str">
        <f ca="1">IFERROR(VALUE(IF(VLOOKUP($A57,数出表_Excel!$A$6:$T$150,COLUMN()/2+1,FALSE)=0,"",VLOOKUP($A57,数出表_Excel!$A$6:$T$150,COLUMN()/2+1,FALSE))),"")</f>
        <v/>
      </c>
      <c r="AC57" s="91"/>
      <c r="AD57" s="95" t="str">
        <f ca="1">IFERROR(VALUE(IF(VLOOKUP($A57,数出表_Excel!$A$6:$T$150,COLUMN()/2+1,FALSE)=0,"",VLOOKUP($A57,数出表_Excel!$A$6:$T$150,COLUMN()/2+1,FALSE))),"")</f>
        <v/>
      </c>
      <c r="AE57" s="91"/>
      <c r="AF57" s="95" t="str">
        <f ca="1">IFERROR(VALUE(IF(VLOOKUP($A57,数出表_Excel!$A$6:$T$150,COLUMN()/2+1,FALSE)=0,"",VLOOKUP($A57,数出表_Excel!$A$6:$T$150,COLUMN()/2+1,FALSE))),"")</f>
        <v/>
      </c>
      <c r="AG57" s="91"/>
      <c r="AH57" s="95" t="str">
        <f ca="1">IFERROR(VALUE(IF(VLOOKUP($A57,数出表_Excel!$A$6:$T$150,COLUMN()/2+1,FALSE)=0,"",VLOOKUP($A57,数出表_Excel!$A$6:$T$150,COLUMN()/2+1,FALSE))),"")</f>
        <v/>
      </c>
      <c r="AI57" s="129"/>
      <c r="AJ57" s="96" t="str">
        <f ca="1">IFERROR(VALUE(IF(VLOOKUP($A57,数出表_Excel!$A$6:$T$150,COLUMN()/2+1,FALSE)=0,"",VLOOKUP($A57,数出表_Excel!$A$6:$T$150,COLUMN()/2+1,FALSE))),"")</f>
        <v/>
      </c>
      <c r="AK57" s="91"/>
      <c r="AL57" s="97" t="e">
        <f ca="1">IF(A57&lt;&gt;"",
IF(VLOOKUP($A57,数出表_Excel!$A$6:$T$150,COLUMN()/2+1,FALSE)=0,"",VLOOKUP($A57,数出表_Excel!$A$6:$T$150,COLUMN()/2+1,FALSE)),"")</f>
        <v>#N/A</v>
      </c>
      <c r="AM57" s="177" t="e">
        <f>数出表_Excel!V57</f>
        <v>#N/A</v>
      </c>
      <c r="AN57" s="178" t="e">
        <f>数出表_Excel!W57</f>
        <v>#N/A</v>
      </c>
    </row>
    <row r="58" spans="1:40" ht="16.2" customHeight="1">
      <c r="A58" s="137" t="e">
        <f t="array" aca="1" ref="A58" ca="1">IF(OR(COUNTIF(A56,"*10002*"),COUNTIF(A56,"")),"",INDEX(貼り付け用!$A1:$A200,MATCH(A56,貼り付け用!$A1:$A200,0)+2,0))</f>
        <v>#N/A</v>
      </c>
      <c r="B58" s="125" t="str">
        <f ca="1">IFERROR(VALUE(IF(VLOOKUP($A58,数出表_Excel!$A$6:$T$150,COLUMN()/2+1,FALSE)=0,"",VLOOKUP($A58,数出表_Excel!$A$6:$T$150,COLUMN()/2+1,FALSE))),"")</f>
        <v/>
      </c>
      <c r="C58" s="90"/>
      <c r="D58" s="125" t="str">
        <f ca="1">IFERROR(VALUE(IF(VLOOKUP($A58,数出表_Excel!$A$6:$T$150,COLUMN()/2+1,FALSE)=0,"",VLOOKUP($A58,数出表_Excel!$A$6:$T$150,COLUMN()/2+1,FALSE))),"")</f>
        <v/>
      </c>
      <c r="E58" s="90"/>
      <c r="F58" s="127" t="str">
        <f ca="1">IFERROR(VALUE(IF(VLOOKUP($A58,数出表_Excel!$A$6:$T$150,COLUMN()/2+1,FALSE)=0,"",VLOOKUP($A58,数出表_Excel!$A$6:$T$150,COLUMN()/2+1,FALSE))),"")</f>
        <v/>
      </c>
      <c r="G58" s="90"/>
      <c r="H58" s="125" t="str">
        <f ca="1">IFERROR(VALUE(IF(VLOOKUP($A58,数出表_Excel!$A$6:$T$150,COLUMN()/2+1,FALSE)=0,"",VLOOKUP($A58,数出表_Excel!$A$6:$T$150,COLUMN()/2+1,FALSE))),"")</f>
        <v/>
      </c>
      <c r="I58" s="90"/>
      <c r="J58" s="125" t="str">
        <f ca="1">IFERROR(VALUE(IF(VLOOKUP($A58,数出表_Excel!$A$6:$T$150,COLUMN()/2+1,FALSE)=0,"",VLOOKUP($A58,数出表_Excel!$A$6:$T$150,COLUMN()/2+1,FALSE))),"")</f>
        <v/>
      </c>
      <c r="K58" s="90"/>
      <c r="L58" s="127" t="str">
        <f ca="1">IFERROR(VALUE(IF(VLOOKUP($A58,数出表_Excel!$A$6:$T$150,COLUMN()/2+1,FALSE)=0,"",VLOOKUP($A58,数出表_Excel!$A$6:$T$150,COLUMN()/2+1,FALSE))),"")</f>
        <v/>
      </c>
      <c r="M58" s="90"/>
      <c r="N58" s="125" t="str">
        <f ca="1">IFERROR(VALUE(IF(VLOOKUP($A58,数出表_Excel!$A$6:$T$150,COLUMN()/2+1,FALSE)=0,"",VLOOKUP($A58,数出表_Excel!$A$6:$T$150,COLUMN()/2+1,FALSE))),"")</f>
        <v/>
      </c>
      <c r="O58" s="90"/>
      <c r="P58" s="125" t="str">
        <f ca="1">IFERROR(VALUE(IF(VLOOKUP($A58,数出表_Excel!$A$6:$T$150,COLUMN()/2+1,FALSE)=0,"",VLOOKUP($A58,数出表_Excel!$A$6:$T$150,COLUMN()/2+1,FALSE))),"")</f>
        <v/>
      </c>
      <c r="Q58" s="90"/>
      <c r="R58" s="125" t="str">
        <f ca="1">IFERROR(VALUE(IF(VLOOKUP($A58,数出表_Excel!$A$6:$T$150,COLUMN()/2+1,FALSE)=0,"",VLOOKUP($A58,数出表_Excel!$A$6:$T$150,COLUMN()/2+1,FALSE))),"")</f>
        <v/>
      </c>
      <c r="S58" s="90"/>
      <c r="T58" s="125" t="str">
        <f ca="1">IFERROR(VALUE(IF(VLOOKUP($A58,数出表_Excel!$A$6:$T$150,COLUMN()/2+1,FALSE)=0,"",VLOOKUP($A58,数出表_Excel!$A$6:$T$150,COLUMN()/2+1,FALSE))),"")</f>
        <v/>
      </c>
      <c r="U58" s="90"/>
      <c r="V58" s="127" t="str">
        <f ca="1">IFERROR(VALUE(IF(VLOOKUP($A58,数出表_Excel!$A$6:$T$150,COLUMN()/2+1,FALSE)=0,"",VLOOKUP($A58,数出表_Excel!$A$6:$T$150,COLUMN()/2+1,FALSE))),"")</f>
        <v/>
      </c>
      <c r="W58" s="90"/>
      <c r="X58" s="127" t="str">
        <f ca="1">IFERROR(VALUE(IF(VLOOKUP($A58,数出表_Excel!$A$6:$T$150,COLUMN()/2+1,FALSE)=0,"",VLOOKUP($A58,数出表_Excel!$A$6:$T$150,COLUMN()/2+1,FALSE))),"")</f>
        <v/>
      </c>
      <c r="Y58" s="90"/>
      <c r="Z58" s="127" t="str">
        <f ca="1">IFERROR(VALUE(IF(VLOOKUP($A58,数出表_Excel!$A$6:$T$150,COLUMN()/2+1,FALSE)=0,"",VLOOKUP($A58,数出表_Excel!$A$6:$T$150,COLUMN()/2+1,FALSE))),"")</f>
        <v/>
      </c>
      <c r="AA58" s="128"/>
      <c r="AB58" s="126" t="str">
        <f ca="1">IFERROR(VALUE(IF(VLOOKUP($A58,数出表_Excel!$A$6:$T$150,COLUMN()/2+1,FALSE)=0,"",VLOOKUP($A58,数出表_Excel!$A$6:$T$150,COLUMN()/2+1,FALSE))),"")</f>
        <v/>
      </c>
      <c r="AC58" s="90"/>
      <c r="AD58" s="127" t="str">
        <f ca="1">IFERROR(VALUE(IF(VLOOKUP($A58,数出表_Excel!$A$6:$T$150,COLUMN()/2+1,FALSE)=0,"",VLOOKUP($A58,数出表_Excel!$A$6:$T$150,COLUMN()/2+1,FALSE))),"")</f>
        <v/>
      </c>
      <c r="AE58" s="90"/>
      <c r="AF58" s="127" t="str">
        <f ca="1">IFERROR(VALUE(IF(VLOOKUP($A58,数出表_Excel!$A$6:$T$150,COLUMN()/2+1,FALSE)=0,"",VLOOKUP($A58,数出表_Excel!$A$6:$T$150,COLUMN()/2+1,FALSE))),"")</f>
        <v/>
      </c>
      <c r="AG58" s="90"/>
      <c r="AH58" s="127" t="str">
        <f ca="1">IFERROR(VALUE(IF(VLOOKUP($A58,数出表_Excel!$A$6:$T$150,COLUMN()/2+1,FALSE)=0,"",VLOOKUP($A58,数出表_Excel!$A$6:$T$150,COLUMN()/2+1,FALSE))),"")</f>
        <v/>
      </c>
      <c r="AI58" s="128"/>
      <c r="AJ58" s="126" t="str">
        <f ca="1">IFERROR(VALUE(IF(VLOOKUP($A58,数出表_Excel!$A$6:$T$150,COLUMN()/2+1,FALSE)=0,"",VLOOKUP($A58,数出表_Excel!$A$6:$T$150,COLUMN()/2+1,FALSE))),"")</f>
        <v/>
      </c>
      <c r="AK58" s="90"/>
      <c r="AL58" s="94" t="e">
        <f ca="1">IF(A58&lt;&gt;"",
IF(VLOOKUP($A58,数出表_Excel!$A$6:$T$150,COLUMN()/2+1,FALSE)=0,"",VLOOKUP($A58,数出表_Excel!$A$6:$T$150,COLUMN()/2+1,FALSE)),"")</f>
        <v>#N/A</v>
      </c>
      <c r="AM58" s="175" t="e">
        <f>数出表_Excel!V58</f>
        <v>#N/A</v>
      </c>
      <c r="AN58" s="176" t="e">
        <f>数出表_Excel!W58</f>
        <v>#N/A</v>
      </c>
    </row>
    <row r="59" spans="1:40" ht="16.2" customHeight="1">
      <c r="A59" s="138" t="e">
        <f t="array" aca="1" ref="A59" ca="1">IF(OR(COUNTIF(A57,"*1000*"),COUNTIF(A57,"")),"",INDEX(貼り付け用!$A1:$A200,MATCH(A57,貼り付け用!$A1:$A200,0)+2,0))</f>
        <v>#N/A</v>
      </c>
      <c r="B59" s="91" t="str">
        <f ca="1">IFERROR(VALUE(IF(VLOOKUP($A59,数出表_Excel!$A$6:$T$150,COLUMN()/2+1,FALSE)=0,"",VLOOKUP($A59,数出表_Excel!$A$6:$T$150,COLUMN()/2+1,FALSE))),"")</f>
        <v/>
      </c>
      <c r="C59" s="91"/>
      <c r="D59" s="91" t="str">
        <f ca="1">IFERROR(VALUE(IF(VLOOKUP($A59,数出表_Excel!$A$6:$T$150,COLUMN()/2+1,FALSE)=0,"",VLOOKUP($A59,数出表_Excel!$A$6:$T$150,COLUMN()/2+1,FALSE))),"")</f>
        <v/>
      </c>
      <c r="E59" s="91"/>
      <c r="F59" s="95" t="str">
        <f ca="1">IFERROR(VALUE(IF(VLOOKUP($A59,数出表_Excel!$A$6:$T$150,COLUMN()/2+1,FALSE)=0,"",VLOOKUP($A59,数出表_Excel!$A$6:$T$150,COLUMN()/2+1,FALSE))),"")</f>
        <v/>
      </c>
      <c r="G59" s="91"/>
      <c r="H59" s="91" t="str">
        <f ca="1">IFERROR(VALUE(IF(VLOOKUP($A59,数出表_Excel!$A$6:$T$150,COLUMN()/2+1,FALSE)=0,"",VLOOKUP($A59,数出表_Excel!$A$6:$T$150,COLUMN()/2+1,FALSE))),"")</f>
        <v/>
      </c>
      <c r="I59" s="91"/>
      <c r="J59" s="91" t="str">
        <f ca="1">IFERROR(VALUE(IF(VLOOKUP($A59,数出表_Excel!$A$6:$T$150,COLUMN()/2+1,FALSE)=0,"",VLOOKUP($A59,数出表_Excel!$A$6:$T$150,COLUMN()/2+1,FALSE))),"")</f>
        <v/>
      </c>
      <c r="K59" s="91"/>
      <c r="L59" s="95" t="str">
        <f ca="1">IFERROR(VALUE(IF(VLOOKUP($A59,数出表_Excel!$A$6:$T$150,COLUMN()/2+1,FALSE)=0,"",VLOOKUP($A59,数出表_Excel!$A$6:$T$150,COLUMN()/2+1,FALSE))),"")</f>
        <v/>
      </c>
      <c r="M59" s="91"/>
      <c r="N59" s="91" t="str">
        <f ca="1">IFERROR(VALUE(IF(VLOOKUP($A59,数出表_Excel!$A$6:$T$150,COLUMN()/2+1,FALSE)=0,"",VLOOKUP($A59,数出表_Excel!$A$6:$T$150,COLUMN()/2+1,FALSE))),"")</f>
        <v/>
      </c>
      <c r="O59" s="91"/>
      <c r="P59" s="91" t="str">
        <f ca="1">IFERROR(VALUE(IF(VLOOKUP($A59,数出表_Excel!$A$6:$T$150,COLUMN()/2+1,FALSE)=0,"",VLOOKUP($A59,数出表_Excel!$A$6:$T$150,COLUMN()/2+1,FALSE))),"")</f>
        <v/>
      </c>
      <c r="Q59" s="91"/>
      <c r="R59" s="91" t="str">
        <f ca="1">IFERROR(VALUE(IF(VLOOKUP($A59,数出表_Excel!$A$6:$T$150,COLUMN()/2+1,FALSE)=0,"",VLOOKUP($A59,数出表_Excel!$A$6:$T$150,COLUMN()/2+1,FALSE))),"")</f>
        <v/>
      </c>
      <c r="S59" s="91"/>
      <c r="T59" s="91" t="str">
        <f ca="1">IFERROR(VALUE(IF(VLOOKUP($A59,数出表_Excel!$A$6:$T$150,COLUMN()/2+1,FALSE)=0,"",VLOOKUP($A59,数出表_Excel!$A$6:$T$150,COLUMN()/2+1,FALSE))),"")</f>
        <v/>
      </c>
      <c r="U59" s="91"/>
      <c r="V59" s="95" t="str">
        <f ca="1">IFERROR(VALUE(IF(VLOOKUP($A59,数出表_Excel!$A$6:$T$150,COLUMN()/2+1,FALSE)=0,"",VLOOKUP($A59,数出表_Excel!$A$6:$T$150,COLUMN()/2+1,FALSE))),"")</f>
        <v/>
      </c>
      <c r="W59" s="91"/>
      <c r="X59" s="95" t="str">
        <f ca="1">IFERROR(VALUE(IF(VLOOKUP($A59,数出表_Excel!$A$6:$T$150,COLUMN()/2+1,FALSE)=0,"",VLOOKUP($A59,数出表_Excel!$A$6:$T$150,COLUMN()/2+1,FALSE))),"")</f>
        <v/>
      </c>
      <c r="Y59" s="91"/>
      <c r="Z59" s="95" t="str">
        <f ca="1">IFERROR(VALUE(IF(VLOOKUP($A59,数出表_Excel!$A$6:$T$150,COLUMN()/2+1,FALSE)=0,"",VLOOKUP($A59,数出表_Excel!$A$6:$T$150,COLUMN()/2+1,FALSE))),"")</f>
        <v/>
      </c>
      <c r="AA59" s="129"/>
      <c r="AB59" s="96" t="str">
        <f ca="1">IFERROR(VALUE(IF(VLOOKUP($A59,数出表_Excel!$A$6:$T$150,COLUMN()/2+1,FALSE)=0,"",VLOOKUP($A59,数出表_Excel!$A$6:$T$150,COLUMN()/2+1,FALSE))),"")</f>
        <v/>
      </c>
      <c r="AC59" s="91"/>
      <c r="AD59" s="95" t="str">
        <f ca="1">IFERROR(VALUE(IF(VLOOKUP($A59,数出表_Excel!$A$6:$T$150,COLUMN()/2+1,FALSE)=0,"",VLOOKUP($A59,数出表_Excel!$A$6:$T$150,COLUMN()/2+1,FALSE))),"")</f>
        <v/>
      </c>
      <c r="AE59" s="91"/>
      <c r="AF59" s="95" t="str">
        <f ca="1">IFERROR(VALUE(IF(VLOOKUP($A59,数出表_Excel!$A$6:$T$150,COLUMN()/2+1,FALSE)=0,"",VLOOKUP($A59,数出表_Excel!$A$6:$T$150,COLUMN()/2+1,FALSE))),"")</f>
        <v/>
      </c>
      <c r="AG59" s="91"/>
      <c r="AH59" s="95" t="str">
        <f ca="1">IFERROR(VALUE(IF(VLOOKUP($A59,数出表_Excel!$A$6:$T$150,COLUMN()/2+1,FALSE)=0,"",VLOOKUP($A59,数出表_Excel!$A$6:$T$150,COLUMN()/2+1,FALSE))),"")</f>
        <v/>
      </c>
      <c r="AI59" s="129"/>
      <c r="AJ59" s="96" t="str">
        <f ca="1">IFERROR(VALUE(IF(VLOOKUP($A59,数出表_Excel!$A$6:$T$150,COLUMN()/2+1,FALSE)=0,"",VLOOKUP($A59,数出表_Excel!$A$6:$T$150,COLUMN()/2+1,FALSE))),"")</f>
        <v/>
      </c>
      <c r="AK59" s="91"/>
      <c r="AL59" s="97" t="e">
        <f ca="1">IF(A59&lt;&gt;"",
IF(VLOOKUP($A59,数出表_Excel!$A$6:$T$150,COLUMN()/2+1,FALSE)=0,"",VLOOKUP($A59,数出表_Excel!$A$6:$T$150,COLUMN()/2+1,FALSE)),"")</f>
        <v>#N/A</v>
      </c>
      <c r="AM59" s="177" t="e">
        <f>数出表_Excel!V59</f>
        <v>#N/A</v>
      </c>
      <c r="AN59" s="178" t="e">
        <f>数出表_Excel!W59</f>
        <v>#N/A</v>
      </c>
    </row>
    <row r="60" spans="1:40" ht="16.2" customHeight="1">
      <c r="A60" s="137" t="e">
        <f t="array" aca="1" ref="A60" ca="1">IF(OR(COUNTIF(A58,"*10002*"),COUNTIF(A58,"")),"",INDEX(貼り付け用!$A1:$A200,MATCH(A58,貼り付け用!$A1:$A200,0)+2,0))</f>
        <v>#N/A</v>
      </c>
      <c r="B60" s="125" t="str">
        <f ca="1">IFERROR(VALUE(IF(VLOOKUP($A60,数出表_Excel!$A$6:$T$150,COLUMN()/2+1,FALSE)=0,"",VLOOKUP($A60,数出表_Excel!$A$6:$T$150,COLUMN()/2+1,FALSE))),"")</f>
        <v/>
      </c>
      <c r="C60" s="90"/>
      <c r="D60" s="125" t="str">
        <f ca="1">IFERROR(VALUE(IF(VLOOKUP($A60,数出表_Excel!$A$6:$T$150,COLUMN()/2+1,FALSE)=0,"",VLOOKUP($A60,数出表_Excel!$A$6:$T$150,COLUMN()/2+1,FALSE))),"")</f>
        <v/>
      </c>
      <c r="E60" s="90"/>
      <c r="F60" s="127" t="str">
        <f ca="1">IFERROR(VALUE(IF(VLOOKUP($A60,数出表_Excel!$A$6:$T$150,COLUMN()/2+1,FALSE)=0,"",VLOOKUP($A60,数出表_Excel!$A$6:$T$150,COLUMN()/2+1,FALSE))),"")</f>
        <v/>
      </c>
      <c r="G60" s="90"/>
      <c r="H60" s="125" t="str">
        <f ca="1">IFERROR(VALUE(IF(VLOOKUP($A60,数出表_Excel!$A$6:$T$150,COLUMN()/2+1,FALSE)=0,"",VLOOKUP($A60,数出表_Excel!$A$6:$T$150,COLUMN()/2+1,FALSE))),"")</f>
        <v/>
      </c>
      <c r="I60" s="90"/>
      <c r="J60" s="125" t="str">
        <f ca="1">IFERROR(VALUE(IF(VLOOKUP($A60,数出表_Excel!$A$6:$T$150,COLUMN()/2+1,FALSE)=0,"",VLOOKUP($A60,数出表_Excel!$A$6:$T$150,COLUMN()/2+1,FALSE))),"")</f>
        <v/>
      </c>
      <c r="K60" s="90"/>
      <c r="L60" s="127" t="str">
        <f ca="1">IFERROR(VALUE(IF(VLOOKUP($A60,数出表_Excel!$A$6:$T$150,COLUMN()/2+1,FALSE)=0,"",VLOOKUP($A60,数出表_Excel!$A$6:$T$150,COLUMN()/2+1,FALSE))),"")</f>
        <v/>
      </c>
      <c r="M60" s="90"/>
      <c r="N60" s="125" t="str">
        <f ca="1">IFERROR(VALUE(IF(VLOOKUP($A60,数出表_Excel!$A$6:$T$150,COLUMN()/2+1,FALSE)=0,"",VLOOKUP($A60,数出表_Excel!$A$6:$T$150,COLUMN()/2+1,FALSE))),"")</f>
        <v/>
      </c>
      <c r="O60" s="90"/>
      <c r="P60" s="125" t="str">
        <f ca="1">IFERROR(VALUE(IF(VLOOKUP($A60,数出表_Excel!$A$6:$T$150,COLUMN()/2+1,FALSE)=0,"",VLOOKUP($A60,数出表_Excel!$A$6:$T$150,COLUMN()/2+1,FALSE))),"")</f>
        <v/>
      </c>
      <c r="Q60" s="90"/>
      <c r="R60" s="125" t="str">
        <f ca="1">IFERROR(VALUE(IF(VLOOKUP($A60,数出表_Excel!$A$6:$T$150,COLUMN()/2+1,FALSE)=0,"",VLOOKUP($A60,数出表_Excel!$A$6:$T$150,COLUMN()/2+1,FALSE))),"")</f>
        <v/>
      </c>
      <c r="S60" s="90"/>
      <c r="T60" s="125" t="str">
        <f ca="1">IFERROR(VALUE(IF(VLOOKUP($A60,数出表_Excel!$A$6:$T$150,COLUMN()/2+1,FALSE)=0,"",VLOOKUP($A60,数出表_Excel!$A$6:$T$150,COLUMN()/2+1,FALSE))),"")</f>
        <v/>
      </c>
      <c r="U60" s="90"/>
      <c r="V60" s="127" t="str">
        <f ca="1">IFERROR(VALUE(IF(VLOOKUP($A60,数出表_Excel!$A$6:$T$150,COLUMN()/2+1,FALSE)=0,"",VLOOKUP($A60,数出表_Excel!$A$6:$T$150,COLUMN()/2+1,FALSE))),"")</f>
        <v/>
      </c>
      <c r="W60" s="90"/>
      <c r="X60" s="127" t="str">
        <f ca="1">IFERROR(VALUE(IF(VLOOKUP($A60,数出表_Excel!$A$6:$T$150,COLUMN()/2+1,FALSE)=0,"",VLOOKUP($A60,数出表_Excel!$A$6:$T$150,COLUMN()/2+1,FALSE))),"")</f>
        <v/>
      </c>
      <c r="Y60" s="90"/>
      <c r="Z60" s="127" t="str">
        <f ca="1">IFERROR(VALUE(IF(VLOOKUP($A60,数出表_Excel!$A$6:$T$150,COLUMN()/2+1,FALSE)=0,"",VLOOKUP($A60,数出表_Excel!$A$6:$T$150,COLUMN()/2+1,FALSE))),"")</f>
        <v/>
      </c>
      <c r="AA60" s="128"/>
      <c r="AB60" s="126" t="str">
        <f ca="1">IFERROR(VALUE(IF(VLOOKUP($A60,数出表_Excel!$A$6:$T$150,COLUMN()/2+1,FALSE)=0,"",VLOOKUP($A60,数出表_Excel!$A$6:$T$150,COLUMN()/2+1,FALSE))),"")</f>
        <v/>
      </c>
      <c r="AC60" s="90"/>
      <c r="AD60" s="127" t="str">
        <f ca="1">IFERROR(VALUE(IF(VLOOKUP($A60,数出表_Excel!$A$6:$T$150,COLUMN()/2+1,FALSE)=0,"",VLOOKUP($A60,数出表_Excel!$A$6:$T$150,COLUMN()/2+1,FALSE))),"")</f>
        <v/>
      </c>
      <c r="AE60" s="90"/>
      <c r="AF60" s="127" t="str">
        <f ca="1">IFERROR(VALUE(IF(VLOOKUP($A60,数出表_Excel!$A$6:$T$150,COLUMN()/2+1,FALSE)=0,"",VLOOKUP($A60,数出表_Excel!$A$6:$T$150,COLUMN()/2+1,FALSE))),"")</f>
        <v/>
      </c>
      <c r="AG60" s="90"/>
      <c r="AH60" s="127" t="str">
        <f ca="1">IFERROR(VALUE(IF(VLOOKUP($A60,数出表_Excel!$A$6:$T$150,COLUMN()/2+1,FALSE)=0,"",VLOOKUP($A60,数出表_Excel!$A$6:$T$150,COLUMN()/2+1,FALSE))),"")</f>
        <v/>
      </c>
      <c r="AI60" s="128"/>
      <c r="AJ60" s="126" t="str">
        <f ca="1">IFERROR(VALUE(IF(VLOOKUP($A60,数出表_Excel!$A$6:$T$150,COLUMN()/2+1,FALSE)=0,"",VLOOKUP($A60,数出表_Excel!$A$6:$T$150,COLUMN()/2+1,FALSE))),"")</f>
        <v/>
      </c>
      <c r="AK60" s="90"/>
      <c r="AL60" s="94" t="e">
        <f ca="1">IF(A60&lt;&gt;"",
IF(VLOOKUP($A60,数出表_Excel!$A$6:$T$150,COLUMN()/2+1,FALSE)=0,"",VLOOKUP($A60,数出表_Excel!$A$6:$T$150,COLUMN()/2+1,FALSE)),"")</f>
        <v>#N/A</v>
      </c>
      <c r="AM60" s="175" t="e">
        <f>数出表_Excel!V60</f>
        <v>#N/A</v>
      </c>
      <c r="AN60" s="176" t="e">
        <f>数出表_Excel!W60</f>
        <v>#N/A</v>
      </c>
    </row>
    <row r="61" spans="1:40" ht="16.2" customHeight="1">
      <c r="A61" s="138" t="e">
        <f t="array" aca="1" ref="A61" ca="1">IF(OR(COUNTIF(A59,"*1000*"),COUNTIF(A59,"")),"",INDEX(貼り付け用!$A1:$A200,MATCH(A59,貼り付け用!$A1:$A200,0)+2,0))</f>
        <v>#N/A</v>
      </c>
      <c r="B61" s="91" t="str">
        <f ca="1">IFERROR(VALUE(IF(VLOOKUP($A61,数出表_Excel!$A$6:$T$150,COLUMN()/2+1,FALSE)=0,"",VLOOKUP($A61,数出表_Excel!$A$6:$T$150,COLUMN()/2+1,FALSE))),"")</f>
        <v/>
      </c>
      <c r="C61" s="91"/>
      <c r="D61" s="91" t="str">
        <f ca="1">IFERROR(VALUE(IF(VLOOKUP($A61,数出表_Excel!$A$6:$T$150,COLUMN()/2+1,FALSE)=0,"",VLOOKUP($A61,数出表_Excel!$A$6:$T$150,COLUMN()/2+1,FALSE))),"")</f>
        <v/>
      </c>
      <c r="E61" s="91"/>
      <c r="F61" s="95" t="str">
        <f ca="1">IFERROR(VALUE(IF(VLOOKUP($A61,数出表_Excel!$A$6:$T$150,COLUMN()/2+1,FALSE)=0,"",VLOOKUP($A61,数出表_Excel!$A$6:$T$150,COLUMN()/2+1,FALSE))),"")</f>
        <v/>
      </c>
      <c r="G61" s="91"/>
      <c r="H61" s="91" t="str">
        <f ca="1">IFERROR(VALUE(IF(VLOOKUP($A61,数出表_Excel!$A$6:$T$150,COLUMN()/2+1,FALSE)=0,"",VLOOKUP($A61,数出表_Excel!$A$6:$T$150,COLUMN()/2+1,FALSE))),"")</f>
        <v/>
      </c>
      <c r="I61" s="91"/>
      <c r="J61" s="91" t="str">
        <f ca="1">IFERROR(VALUE(IF(VLOOKUP($A61,数出表_Excel!$A$6:$T$150,COLUMN()/2+1,FALSE)=0,"",VLOOKUP($A61,数出表_Excel!$A$6:$T$150,COLUMN()/2+1,FALSE))),"")</f>
        <v/>
      </c>
      <c r="K61" s="91"/>
      <c r="L61" s="95" t="str">
        <f ca="1">IFERROR(VALUE(IF(VLOOKUP($A61,数出表_Excel!$A$6:$T$150,COLUMN()/2+1,FALSE)=0,"",VLOOKUP($A61,数出表_Excel!$A$6:$T$150,COLUMN()/2+1,FALSE))),"")</f>
        <v/>
      </c>
      <c r="M61" s="91"/>
      <c r="N61" s="91" t="str">
        <f ca="1">IFERROR(VALUE(IF(VLOOKUP($A61,数出表_Excel!$A$6:$T$150,COLUMN()/2+1,FALSE)=0,"",VLOOKUP($A61,数出表_Excel!$A$6:$T$150,COLUMN()/2+1,FALSE))),"")</f>
        <v/>
      </c>
      <c r="O61" s="91"/>
      <c r="P61" s="91" t="str">
        <f ca="1">IFERROR(VALUE(IF(VLOOKUP($A61,数出表_Excel!$A$6:$T$150,COLUMN()/2+1,FALSE)=0,"",VLOOKUP($A61,数出表_Excel!$A$6:$T$150,COLUMN()/2+1,FALSE))),"")</f>
        <v/>
      </c>
      <c r="Q61" s="91"/>
      <c r="R61" s="91" t="str">
        <f ca="1">IFERROR(VALUE(IF(VLOOKUP($A61,数出表_Excel!$A$6:$T$150,COLUMN()/2+1,FALSE)=0,"",VLOOKUP($A61,数出表_Excel!$A$6:$T$150,COLUMN()/2+1,FALSE))),"")</f>
        <v/>
      </c>
      <c r="S61" s="91"/>
      <c r="T61" s="91" t="str">
        <f ca="1">IFERROR(VALUE(IF(VLOOKUP($A61,数出表_Excel!$A$6:$T$150,COLUMN()/2+1,FALSE)=0,"",VLOOKUP($A61,数出表_Excel!$A$6:$T$150,COLUMN()/2+1,FALSE))),"")</f>
        <v/>
      </c>
      <c r="U61" s="91"/>
      <c r="V61" s="95" t="str">
        <f ca="1">IFERROR(VALUE(IF(VLOOKUP($A61,数出表_Excel!$A$6:$T$150,COLUMN()/2+1,FALSE)=0,"",VLOOKUP($A61,数出表_Excel!$A$6:$T$150,COLUMN()/2+1,FALSE))),"")</f>
        <v/>
      </c>
      <c r="W61" s="91"/>
      <c r="X61" s="95" t="str">
        <f ca="1">IFERROR(VALUE(IF(VLOOKUP($A61,数出表_Excel!$A$6:$T$150,COLUMN()/2+1,FALSE)=0,"",VLOOKUP($A61,数出表_Excel!$A$6:$T$150,COLUMN()/2+1,FALSE))),"")</f>
        <v/>
      </c>
      <c r="Y61" s="91"/>
      <c r="Z61" s="95" t="str">
        <f ca="1">IFERROR(VALUE(IF(VLOOKUP($A61,数出表_Excel!$A$6:$T$150,COLUMN()/2+1,FALSE)=0,"",VLOOKUP($A61,数出表_Excel!$A$6:$T$150,COLUMN()/2+1,FALSE))),"")</f>
        <v/>
      </c>
      <c r="AA61" s="129"/>
      <c r="AB61" s="96" t="str">
        <f ca="1">IFERROR(VALUE(IF(VLOOKUP($A61,数出表_Excel!$A$6:$T$150,COLUMN()/2+1,FALSE)=0,"",VLOOKUP($A61,数出表_Excel!$A$6:$T$150,COLUMN()/2+1,FALSE))),"")</f>
        <v/>
      </c>
      <c r="AC61" s="91"/>
      <c r="AD61" s="95" t="str">
        <f ca="1">IFERROR(VALUE(IF(VLOOKUP($A61,数出表_Excel!$A$6:$T$150,COLUMN()/2+1,FALSE)=0,"",VLOOKUP($A61,数出表_Excel!$A$6:$T$150,COLUMN()/2+1,FALSE))),"")</f>
        <v/>
      </c>
      <c r="AE61" s="91"/>
      <c r="AF61" s="95" t="str">
        <f ca="1">IFERROR(VALUE(IF(VLOOKUP($A61,数出表_Excel!$A$6:$T$150,COLUMN()/2+1,FALSE)=0,"",VLOOKUP($A61,数出表_Excel!$A$6:$T$150,COLUMN()/2+1,FALSE))),"")</f>
        <v/>
      </c>
      <c r="AG61" s="91"/>
      <c r="AH61" s="95" t="str">
        <f ca="1">IFERROR(VALUE(IF(VLOOKUP($A61,数出表_Excel!$A$6:$T$150,COLUMN()/2+1,FALSE)=0,"",VLOOKUP($A61,数出表_Excel!$A$6:$T$150,COLUMN()/2+1,FALSE))),"")</f>
        <v/>
      </c>
      <c r="AI61" s="129"/>
      <c r="AJ61" s="96" t="str">
        <f ca="1">IFERROR(VALUE(IF(VLOOKUP($A61,数出表_Excel!$A$6:$T$150,COLUMN()/2+1,FALSE)=0,"",VLOOKUP($A61,数出表_Excel!$A$6:$T$150,COLUMN()/2+1,FALSE))),"")</f>
        <v/>
      </c>
      <c r="AK61" s="91"/>
      <c r="AL61" s="97" t="e">
        <f ca="1">IF(A61&lt;&gt;"",
IF(VLOOKUP($A61,数出表_Excel!$A$6:$T$150,COLUMN()/2+1,FALSE)=0,"",VLOOKUP($A61,数出表_Excel!$A$6:$T$150,COLUMN()/2+1,FALSE)),"")</f>
        <v>#N/A</v>
      </c>
      <c r="AM61" s="177" t="e">
        <f>数出表_Excel!V61</f>
        <v>#N/A</v>
      </c>
      <c r="AN61" s="178" t="e">
        <f>数出表_Excel!W61</f>
        <v>#N/A</v>
      </c>
    </row>
    <row r="62" spans="1:40" ht="16.2" customHeight="1">
      <c r="A62" s="137" t="e">
        <f t="array" aca="1" ref="A62" ca="1">IF(OR(COUNTIF(A60,"*10002*"),COUNTIF(A60,"")),"",INDEX(貼り付け用!$A1:$A200,MATCH(A60,貼り付け用!$A1:$A200,0)+2,0))</f>
        <v>#N/A</v>
      </c>
      <c r="B62" s="125" t="str">
        <f ca="1">IFERROR(VALUE(IF(VLOOKUP($A62,数出表_Excel!$A$6:$T$150,COLUMN()/2+1,FALSE)=0,"",VLOOKUP($A62,数出表_Excel!$A$6:$T$150,COLUMN()/2+1,FALSE))),"")</f>
        <v/>
      </c>
      <c r="C62" s="90"/>
      <c r="D62" s="125" t="str">
        <f ca="1">IFERROR(VALUE(IF(VLOOKUP($A62,数出表_Excel!$A$6:$T$150,COLUMN()/2+1,FALSE)=0,"",VLOOKUP($A62,数出表_Excel!$A$6:$T$150,COLUMN()/2+1,FALSE))),"")</f>
        <v/>
      </c>
      <c r="E62" s="90"/>
      <c r="F62" s="127" t="str">
        <f ca="1">IFERROR(VALUE(IF(VLOOKUP($A62,数出表_Excel!$A$6:$T$150,COLUMN()/2+1,FALSE)=0,"",VLOOKUP($A62,数出表_Excel!$A$6:$T$150,COLUMN()/2+1,FALSE))),"")</f>
        <v/>
      </c>
      <c r="G62" s="90"/>
      <c r="H62" s="125" t="str">
        <f ca="1">IFERROR(VALUE(IF(VLOOKUP($A62,数出表_Excel!$A$6:$T$150,COLUMN()/2+1,FALSE)=0,"",VLOOKUP($A62,数出表_Excel!$A$6:$T$150,COLUMN()/2+1,FALSE))),"")</f>
        <v/>
      </c>
      <c r="I62" s="90"/>
      <c r="J62" s="125" t="str">
        <f ca="1">IFERROR(VALUE(IF(VLOOKUP($A62,数出表_Excel!$A$6:$T$150,COLUMN()/2+1,FALSE)=0,"",VLOOKUP($A62,数出表_Excel!$A$6:$T$150,COLUMN()/2+1,FALSE))),"")</f>
        <v/>
      </c>
      <c r="K62" s="90"/>
      <c r="L62" s="127" t="str">
        <f ca="1">IFERROR(VALUE(IF(VLOOKUP($A62,数出表_Excel!$A$6:$T$150,COLUMN()/2+1,FALSE)=0,"",VLOOKUP($A62,数出表_Excel!$A$6:$T$150,COLUMN()/2+1,FALSE))),"")</f>
        <v/>
      </c>
      <c r="M62" s="90"/>
      <c r="N62" s="125" t="str">
        <f ca="1">IFERROR(VALUE(IF(VLOOKUP($A62,数出表_Excel!$A$6:$T$150,COLUMN()/2+1,FALSE)=0,"",VLOOKUP($A62,数出表_Excel!$A$6:$T$150,COLUMN()/2+1,FALSE))),"")</f>
        <v/>
      </c>
      <c r="O62" s="90"/>
      <c r="P62" s="125" t="str">
        <f ca="1">IFERROR(VALUE(IF(VLOOKUP($A62,数出表_Excel!$A$6:$T$150,COLUMN()/2+1,FALSE)=0,"",VLOOKUP($A62,数出表_Excel!$A$6:$T$150,COLUMN()/2+1,FALSE))),"")</f>
        <v/>
      </c>
      <c r="Q62" s="90"/>
      <c r="R62" s="125" t="str">
        <f ca="1">IFERROR(VALUE(IF(VLOOKUP($A62,数出表_Excel!$A$6:$T$150,COLUMN()/2+1,FALSE)=0,"",VLOOKUP($A62,数出表_Excel!$A$6:$T$150,COLUMN()/2+1,FALSE))),"")</f>
        <v/>
      </c>
      <c r="S62" s="90"/>
      <c r="T62" s="125" t="str">
        <f ca="1">IFERROR(VALUE(IF(VLOOKUP($A62,数出表_Excel!$A$6:$T$150,COLUMN()/2+1,FALSE)=0,"",VLOOKUP($A62,数出表_Excel!$A$6:$T$150,COLUMN()/2+1,FALSE))),"")</f>
        <v/>
      </c>
      <c r="U62" s="90"/>
      <c r="V62" s="127" t="str">
        <f ca="1">IFERROR(VALUE(IF(VLOOKUP($A62,数出表_Excel!$A$6:$T$150,COLUMN()/2+1,FALSE)=0,"",VLOOKUP($A62,数出表_Excel!$A$6:$T$150,COLUMN()/2+1,FALSE))),"")</f>
        <v/>
      </c>
      <c r="W62" s="90"/>
      <c r="X62" s="127" t="str">
        <f ca="1">IFERROR(VALUE(IF(VLOOKUP($A62,数出表_Excel!$A$6:$T$150,COLUMN()/2+1,FALSE)=0,"",VLOOKUP($A62,数出表_Excel!$A$6:$T$150,COLUMN()/2+1,FALSE))),"")</f>
        <v/>
      </c>
      <c r="Y62" s="90"/>
      <c r="Z62" s="127" t="str">
        <f ca="1">IFERROR(VALUE(IF(VLOOKUP($A62,数出表_Excel!$A$6:$T$150,COLUMN()/2+1,FALSE)=0,"",VLOOKUP($A62,数出表_Excel!$A$6:$T$150,COLUMN()/2+1,FALSE))),"")</f>
        <v/>
      </c>
      <c r="AA62" s="128"/>
      <c r="AB62" s="126" t="str">
        <f ca="1">IFERROR(VALUE(IF(VLOOKUP($A62,数出表_Excel!$A$6:$T$150,COLUMN()/2+1,FALSE)=0,"",VLOOKUP($A62,数出表_Excel!$A$6:$T$150,COLUMN()/2+1,FALSE))),"")</f>
        <v/>
      </c>
      <c r="AC62" s="90"/>
      <c r="AD62" s="127" t="str">
        <f ca="1">IFERROR(VALUE(IF(VLOOKUP($A62,数出表_Excel!$A$6:$T$150,COLUMN()/2+1,FALSE)=0,"",VLOOKUP($A62,数出表_Excel!$A$6:$T$150,COLUMN()/2+1,FALSE))),"")</f>
        <v/>
      </c>
      <c r="AE62" s="90"/>
      <c r="AF62" s="127" t="str">
        <f ca="1">IFERROR(VALUE(IF(VLOOKUP($A62,数出表_Excel!$A$6:$T$150,COLUMN()/2+1,FALSE)=0,"",VLOOKUP($A62,数出表_Excel!$A$6:$T$150,COLUMN()/2+1,FALSE))),"")</f>
        <v/>
      </c>
      <c r="AG62" s="90"/>
      <c r="AH62" s="127" t="str">
        <f ca="1">IFERROR(VALUE(IF(VLOOKUP($A62,数出表_Excel!$A$6:$T$150,COLUMN()/2+1,FALSE)=0,"",VLOOKUP($A62,数出表_Excel!$A$6:$T$150,COLUMN()/2+1,FALSE))),"")</f>
        <v/>
      </c>
      <c r="AI62" s="128"/>
      <c r="AJ62" s="126" t="str">
        <f ca="1">IFERROR(VALUE(IF(VLOOKUP($A62,数出表_Excel!$A$6:$T$150,COLUMN()/2+1,FALSE)=0,"",VLOOKUP($A62,数出表_Excel!$A$6:$T$150,COLUMN()/2+1,FALSE))),"")</f>
        <v/>
      </c>
      <c r="AK62" s="90"/>
      <c r="AL62" s="94" t="e">
        <f ca="1">IF(A62&lt;&gt;"",
IF(VLOOKUP($A62,数出表_Excel!$A$6:$T$150,COLUMN()/2+1,FALSE)=0,"",VLOOKUP($A62,数出表_Excel!$A$6:$T$150,COLUMN()/2+1,FALSE)),"")</f>
        <v>#N/A</v>
      </c>
      <c r="AM62" s="175" t="e">
        <f>数出表_Excel!V62</f>
        <v>#N/A</v>
      </c>
      <c r="AN62" s="176" t="e">
        <f>数出表_Excel!W62</f>
        <v>#N/A</v>
      </c>
    </row>
    <row r="63" spans="1:40" ht="16.2" customHeight="1">
      <c r="A63" s="138" t="e">
        <f t="array" aca="1" ref="A63" ca="1">IF(OR(COUNTIF(A61,"*1000*"),COUNTIF(A61,"")),"",INDEX(貼り付け用!$A1:$A200,MATCH(A61,貼り付け用!$A1:$A200,0)+2,0))</f>
        <v>#N/A</v>
      </c>
      <c r="B63" s="91" t="str">
        <f ca="1">IFERROR(VALUE(IF(VLOOKUP($A63,数出表_Excel!$A$6:$T$150,COLUMN()/2+1,FALSE)=0,"",VLOOKUP($A63,数出表_Excel!$A$6:$T$150,COLUMN()/2+1,FALSE))),"")</f>
        <v/>
      </c>
      <c r="C63" s="91"/>
      <c r="D63" s="91" t="str">
        <f ca="1">IFERROR(VALUE(IF(VLOOKUP($A63,数出表_Excel!$A$6:$T$150,COLUMN()/2+1,FALSE)=0,"",VLOOKUP($A63,数出表_Excel!$A$6:$T$150,COLUMN()/2+1,FALSE))),"")</f>
        <v/>
      </c>
      <c r="E63" s="91"/>
      <c r="F63" s="95" t="str">
        <f ca="1">IFERROR(VALUE(IF(VLOOKUP($A63,数出表_Excel!$A$6:$T$150,COLUMN()/2+1,FALSE)=0,"",VLOOKUP($A63,数出表_Excel!$A$6:$T$150,COLUMN()/2+1,FALSE))),"")</f>
        <v/>
      </c>
      <c r="G63" s="91"/>
      <c r="H63" s="91" t="str">
        <f ca="1">IFERROR(VALUE(IF(VLOOKUP($A63,数出表_Excel!$A$6:$T$150,COLUMN()/2+1,FALSE)=0,"",VLOOKUP($A63,数出表_Excel!$A$6:$T$150,COLUMN()/2+1,FALSE))),"")</f>
        <v/>
      </c>
      <c r="I63" s="91"/>
      <c r="J63" s="91" t="str">
        <f ca="1">IFERROR(VALUE(IF(VLOOKUP($A63,数出表_Excel!$A$6:$T$150,COLUMN()/2+1,FALSE)=0,"",VLOOKUP($A63,数出表_Excel!$A$6:$T$150,COLUMN()/2+1,FALSE))),"")</f>
        <v/>
      </c>
      <c r="K63" s="91"/>
      <c r="L63" s="95" t="str">
        <f ca="1">IFERROR(VALUE(IF(VLOOKUP($A63,数出表_Excel!$A$6:$T$150,COLUMN()/2+1,FALSE)=0,"",VLOOKUP($A63,数出表_Excel!$A$6:$T$150,COLUMN()/2+1,FALSE))),"")</f>
        <v/>
      </c>
      <c r="M63" s="91"/>
      <c r="N63" s="91" t="str">
        <f ca="1">IFERROR(VALUE(IF(VLOOKUP($A63,数出表_Excel!$A$6:$T$150,COLUMN()/2+1,FALSE)=0,"",VLOOKUP($A63,数出表_Excel!$A$6:$T$150,COLUMN()/2+1,FALSE))),"")</f>
        <v/>
      </c>
      <c r="O63" s="91"/>
      <c r="P63" s="91" t="str">
        <f ca="1">IFERROR(VALUE(IF(VLOOKUP($A63,数出表_Excel!$A$6:$T$150,COLUMN()/2+1,FALSE)=0,"",VLOOKUP($A63,数出表_Excel!$A$6:$T$150,COLUMN()/2+1,FALSE))),"")</f>
        <v/>
      </c>
      <c r="Q63" s="91"/>
      <c r="R63" s="91" t="str">
        <f ca="1">IFERROR(VALUE(IF(VLOOKUP($A63,数出表_Excel!$A$6:$T$150,COLUMN()/2+1,FALSE)=0,"",VLOOKUP($A63,数出表_Excel!$A$6:$T$150,COLUMN()/2+1,FALSE))),"")</f>
        <v/>
      </c>
      <c r="S63" s="91"/>
      <c r="T63" s="91" t="str">
        <f ca="1">IFERROR(VALUE(IF(VLOOKUP($A63,数出表_Excel!$A$6:$T$150,COLUMN()/2+1,FALSE)=0,"",VLOOKUP($A63,数出表_Excel!$A$6:$T$150,COLUMN()/2+1,FALSE))),"")</f>
        <v/>
      </c>
      <c r="U63" s="91"/>
      <c r="V63" s="95" t="str">
        <f ca="1">IFERROR(VALUE(IF(VLOOKUP($A63,数出表_Excel!$A$6:$T$150,COLUMN()/2+1,FALSE)=0,"",VLOOKUP($A63,数出表_Excel!$A$6:$T$150,COLUMN()/2+1,FALSE))),"")</f>
        <v/>
      </c>
      <c r="W63" s="91"/>
      <c r="X63" s="95" t="str">
        <f ca="1">IFERROR(VALUE(IF(VLOOKUP($A63,数出表_Excel!$A$6:$T$150,COLUMN()/2+1,FALSE)=0,"",VLOOKUP($A63,数出表_Excel!$A$6:$T$150,COLUMN()/2+1,FALSE))),"")</f>
        <v/>
      </c>
      <c r="Y63" s="91"/>
      <c r="Z63" s="95" t="str">
        <f ca="1">IFERROR(VALUE(IF(VLOOKUP($A63,数出表_Excel!$A$6:$T$150,COLUMN()/2+1,FALSE)=0,"",VLOOKUP($A63,数出表_Excel!$A$6:$T$150,COLUMN()/2+1,FALSE))),"")</f>
        <v/>
      </c>
      <c r="AA63" s="129"/>
      <c r="AB63" s="96" t="str">
        <f ca="1">IFERROR(VALUE(IF(VLOOKUP($A63,数出表_Excel!$A$6:$T$150,COLUMN()/2+1,FALSE)=0,"",VLOOKUP($A63,数出表_Excel!$A$6:$T$150,COLUMN()/2+1,FALSE))),"")</f>
        <v/>
      </c>
      <c r="AC63" s="91"/>
      <c r="AD63" s="95" t="str">
        <f ca="1">IFERROR(VALUE(IF(VLOOKUP($A63,数出表_Excel!$A$6:$T$150,COLUMN()/2+1,FALSE)=0,"",VLOOKUP($A63,数出表_Excel!$A$6:$T$150,COLUMN()/2+1,FALSE))),"")</f>
        <v/>
      </c>
      <c r="AE63" s="91"/>
      <c r="AF63" s="95" t="str">
        <f ca="1">IFERROR(VALUE(IF(VLOOKUP($A63,数出表_Excel!$A$6:$T$150,COLUMN()/2+1,FALSE)=0,"",VLOOKUP($A63,数出表_Excel!$A$6:$T$150,COLUMN()/2+1,FALSE))),"")</f>
        <v/>
      </c>
      <c r="AG63" s="91"/>
      <c r="AH63" s="95" t="str">
        <f ca="1">IFERROR(VALUE(IF(VLOOKUP($A63,数出表_Excel!$A$6:$T$150,COLUMN()/2+1,FALSE)=0,"",VLOOKUP($A63,数出表_Excel!$A$6:$T$150,COLUMN()/2+1,FALSE))),"")</f>
        <v/>
      </c>
      <c r="AI63" s="129"/>
      <c r="AJ63" s="96" t="str">
        <f ca="1">IFERROR(VALUE(IF(VLOOKUP($A63,数出表_Excel!$A$6:$T$150,COLUMN()/2+1,FALSE)=0,"",VLOOKUP($A63,数出表_Excel!$A$6:$T$150,COLUMN()/2+1,FALSE))),"")</f>
        <v/>
      </c>
      <c r="AK63" s="91"/>
      <c r="AL63" s="97" t="e">
        <f ca="1">IF(A63&lt;&gt;"",
IF(VLOOKUP($A63,数出表_Excel!$A$6:$T$150,COLUMN()/2+1,FALSE)=0,"",VLOOKUP($A63,数出表_Excel!$A$6:$T$150,COLUMN()/2+1,FALSE)),"")</f>
        <v>#N/A</v>
      </c>
      <c r="AM63" s="177" t="e">
        <f>数出表_Excel!V63</f>
        <v>#N/A</v>
      </c>
      <c r="AN63" s="178" t="e">
        <f>数出表_Excel!W63</f>
        <v>#N/A</v>
      </c>
    </row>
    <row r="64" spans="1:40" ht="16.2" customHeight="1">
      <c r="A64" s="137" t="e">
        <f t="array" aca="1" ref="A64" ca="1">IF(OR(COUNTIF(A62,"*10002*"),COUNTIF(A62,"")),"",INDEX(貼り付け用!$A1:$A200,MATCH(A62,貼り付け用!$A1:$A200,0)+2,0))</f>
        <v>#N/A</v>
      </c>
      <c r="B64" s="125" t="str">
        <f ca="1">IFERROR(VALUE(IF(VLOOKUP($A64,数出表_Excel!$A$6:$T$150,COLUMN()/2+1,FALSE)=0,"",VLOOKUP($A64,数出表_Excel!$A$6:$T$150,COLUMN()/2+1,FALSE))),"")</f>
        <v/>
      </c>
      <c r="C64" s="90"/>
      <c r="D64" s="125" t="str">
        <f ca="1">IFERROR(VALUE(IF(VLOOKUP($A64,数出表_Excel!$A$6:$T$150,COLUMN()/2+1,FALSE)=0,"",VLOOKUP($A64,数出表_Excel!$A$6:$T$150,COLUMN()/2+1,FALSE))),"")</f>
        <v/>
      </c>
      <c r="E64" s="90"/>
      <c r="F64" s="127" t="str">
        <f ca="1">IFERROR(VALUE(IF(VLOOKUP($A64,数出表_Excel!$A$6:$T$150,COLUMN()/2+1,FALSE)=0,"",VLOOKUP($A64,数出表_Excel!$A$6:$T$150,COLUMN()/2+1,FALSE))),"")</f>
        <v/>
      </c>
      <c r="G64" s="90"/>
      <c r="H64" s="125" t="str">
        <f ca="1">IFERROR(VALUE(IF(VLOOKUP($A64,数出表_Excel!$A$6:$T$150,COLUMN()/2+1,FALSE)=0,"",VLOOKUP($A64,数出表_Excel!$A$6:$T$150,COLUMN()/2+1,FALSE))),"")</f>
        <v/>
      </c>
      <c r="I64" s="90"/>
      <c r="J64" s="125" t="str">
        <f ca="1">IFERROR(VALUE(IF(VLOOKUP($A64,数出表_Excel!$A$6:$T$150,COLUMN()/2+1,FALSE)=0,"",VLOOKUP($A64,数出表_Excel!$A$6:$T$150,COLUMN()/2+1,FALSE))),"")</f>
        <v/>
      </c>
      <c r="K64" s="90"/>
      <c r="L64" s="127" t="str">
        <f ca="1">IFERROR(VALUE(IF(VLOOKUP($A64,数出表_Excel!$A$6:$T$150,COLUMN()/2+1,FALSE)=0,"",VLOOKUP($A64,数出表_Excel!$A$6:$T$150,COLUMN()/2+1,FALSE))),"")</f>
        <v/>
      </c>
      <c r="M64" s="90"/>
      <c r="N64" s="125" t="str">
        <f ca="1">IFERROR(VALUE(IF(VLOOKUP($A64,数出表_Excel!$A$6:$T$150,COLUMN()/2+1,FALSE)=0,"",VLOOKUP($A64,数出表_Excel!$A$6:$T$150,COLUMN()/2+1,FALSE))),"")</f>
        <v/>
      </c>
      <c r="O64" s="90"/>
      <c r="P64" s="125" t="str">
        <f ca="1">IFERROR(VALUE(IF(VLOOKUP($A64,数出表_Excel!$A$6:$T$150,COLUMN()/2+1,FALSE)=0,"",VLOOKUP($A64,数出表_Excel!$A$6:$T$150,COLUMN()/2+1,FALSE))),"")</f>
        <v/>
      </c>
      <c r="Q64" s="90"/>
      <c r="R64" s="125" t="str">
        <f ca="1">IFERROR(VALUE(IF(VLOOKUP($A64,数出表_Excel!$A$6:$T$150,COLUMN()/2+1,FALSE)=0,"",VLOOKUP($A64,数出表_Excel!$A$6:$T$150,COLUMN()/2+1,FALSE))),"")</f>
        <v/>
      </c>
      <c r="S64" s="90"/>
      <c r="T64" s="125" t="str">
        <f ca="1">IFERROR(VALUE(IF(VLOOKUP($A64,数出表_Excel!$A$6:$T$150,COLUMN()/2+1,FALSE)=0,"",VLOOKUP($A64,数出表_Excel!$A$6:$T$150,COLUMN()/2+1,FALSE))),"")</f>
        <v/>
      </c>
      <c r="U64" s="90"/>
      <c r="V64" s="127" t="str">
        <f ca="1">IFERROR(VALUE(IF(VLOOKUP($A64,数出表_Excel!$A$6:$T$150,COLUMN()/2+1,FALSE)=0,"",VLOOKUP($A64,数出表_Excel!$A$6:$T$150,COLUMN()/2+1,FALSE))),"")</f>
        <v/>
      </c>
      <c r="W64" s="90"/>
      <c r="X64" s="127" t="str">
        <f ca="1">IFERROR(VALUE(IF(VLOOKUP($A64,数出表_Excel!$A$6:$T$150,COLUMN()/2+1,FALSE)=0,"",VLOOKUP($A64,数出表_Excel!$A$6:$T$150,COLUMN()/2+1,FALSE))),"")</f>
        <v/>
      </c>
      <c r="Y64" s="90"/>
      <c r="Z64" s="127" t="str">
        <f ca="1">IFERROR(VALUE(IF(VLOOKUP($A64,数出表_Excel!$A$6:$T$150,COLUMN()/2+1,FALSE)=0,"",VLOOKUP($A64,数出表_Excel!$A$6:$T$150,COLUMN()/2+1,FALSE))),"")</f>
        <v/>
      </c>
      <c r="AA64" s="128"/>
      <c r="AB64" s="126" t="str">
        <f ca="1">IFERROR(VALUE(IF(VLOOKUP($A64,数出表_Excel!$A$6:$T$150,COLUMN()/2+1,FALSE)=0,"",VLOOKUP($A64,数出表_Excel!$A$6:$T$150,COLUMN()/2+1,FALSE))),"")</f>
        <v/>
      </c>
      <c r="AC64" s="90"/>
      <c r="AD64" s="127" t="str">
        <f ca="1">IFERROR(VALUE(IF(VLOOKUP($A64,数出表_Excel!$A$6:$T$150,COLUMN()/2+1,FALSE)=0,"",VLOOKUP($A64,数出表_Excel!$A$6:$T$150,COLUMN()/2+1,FALSE))),"")</f>
        <v/>
      </c>
      <c r="AE64" s="90"/>
      <c r="AF64" s="127" t="str">
        <f ca="1">IFERROR(VALUE(IF(VLOOKUP($A64,数出表_Excel!$A$6:$T$150,COLUMN()/2+1,FALSE)=0,"",VLOOKUP($A64,数出表_Excel!$A$6:$T$150,COLUMN()/2+1,FALSE))),"")</f>
        <v/>
      </c>
      <c r="AG64" s="90"/>
      <c r="AH64" s="127" t="str">
        <f ca="1">IFERROR(VALUE(IF(VLOOKUP($A64,数出表_Excel!$A$6:$T$150,COLUMN()/2+1,FALSE)=0,"",VLOOKUP($A64,数出表_Excel!$A$6:$T$150,COLUMN()/2+1,FALSE))),"")</f>
        <v/>
      </c>
      <c r="AI64" s="128"/>
      <c r="AJ64" s="126" t="str">
        <f ca="1">IFERROR(VALUE(IF(VLOOKUP($A64,数出表_Excel!$A$6:$T$150,COLUMN()/2+1,FALSE)=0,"",VLOOKUP($A64,数出表_Excel!$A$6:$T$150,COLUMN()/2+1,FALSE))),"")</f>
        <v/>
      </c>
      <c r="AK64" s="90"/>
      <c r="AL64" s="94" t="e">
        <f ca="1">IF(A64&lt;&gt;"",
IF(VLOOKUP($A64,数出表_Excel!$A$6:$T$150,COLUMN()/2+1,FALSE)=0,"",VLOOKUP($A64,数出表_Excel!$A$6:$T$150,COLUMN()/2+1,FALSE)),"")</f>
        <v>#N/A</v>
      </c>
      <c r="AM64" s="175" t="e">
        <f>数出表_Excel!V64</f>
        <v>#N/A</v>
      </c>
      <c r="AN64" s="176" t="e">
        <f>数出表_Excel!W64</f>
        <v>#N/A</v>
      </c>
    </row>
    <row r="65" spans="1:40" ht="16.2" customHeight="1">
      <c r="A65" s="138" t="e">
        <f t="array" aca="1" ref="A65" ca="1">IF(OR(COUNTIF(A63,"*1000*"),COUNTIF(A63,"")),"",INDEX(貼り付け用!$A1:$A200,MATCH(A63,貼り付け用!$A1:$A200,0)+2,0))</f>
        <v>#N/A</v>
      </c>
      <c r="B65" s="91" t="str">
        <f ca="1">IFERROR(VALUE(IF(VLOOKUP($A65,数出表_Excel!$A$6:$T$150,COLUMN()/2+1,FALSE)=0,"",VLOOKUP($A65,数出表_Excel!$A$6:$T$150,COLUMN()/2+1,FALSE))),"")</f>
        <v/>
      </c>
      <c r="C65" s="91"/>
      <c r="D65" s="91" t="str">
        <f ca="1">IFERROR(VALUE(IF(VLOOKUP($A65,数出表_Excel!$A$6:$T$150,COLUMN()/2+1,FALSE)=0,"",VLOOKUP($A65,数出表_Excel!$A$6:$T$150,COLUMN()/2+1,FALSE))),"")</f>
        <v/>
      </c>
      <c r="E65" s="91"/>
      <c r="F65" s="95" t="str">
        <f ca="1">IFERROR(VALUE(IF(VLOOKUP($A65,数出表_Excel!$A$6:$T$150,COLUMN()/2+1,FALSE)=0,"",VLOOKUP($A65,数出表_Excel!$A$6:$T$150,COLUMN()/2+1,FALSE))),"")</f>
        <v/>
      </c>
      <c r="G65" s="91"/>
      <c r="H65" s="91" t="str">
        <f ca="1">IFERROR(VALUE(IF(VLOOKUP($A65,数出表_Excel!$A$6:$T$150,COLUMN()/2+1,FALSE)=0,"",VLOOKUP($A65,数出表_Excel!$A$6:$T$150,COLUMN()/2+1,FALSE))),"")</f>
        <v/>
      </c>
      <c r="I65" s="91"/>
      <c r="J65" s="91" t="str">
        <f ca="1">IFERROR(VALUE(IF(VLOOKUP($A65,数出表_Excel!$A$6:$T$150,COLUMN()/2+1,FALSE)=0,"",VLOOKUP($A65,数出表_Excel!$A$6:$T$150,COLUMN()/2+1,FALSE))),"")</f>
        <v/>
      </c>
      <c r="K65" s="91"/>
      <c r="L65" s="95" t="str">
        <f ca="1">IFERROR(VALUE(IF(VLOOKUP($A65,数出表_Excel!$A$6:$T$150,COLUMN()/2+1,FALSE)=0,"",VLOOKUP($A65,数出表_Excel!$A$6:$T$150,COLUMN()/2+1,FALSE))),"")</f>
        <v/>
      </c>
      <c r="M65" s="91"/>
      <c r="N65" s="91" t="str">
        <f ca="1">IFERROR(VALUE(IF(VLOOKUP($A65,数出表_Excel!$A$6:$T$150,COLUMN()/2+1,FALSE)=0,"",VLOOKUP($A65,数出表_Excel!$A$6:$T$150,COLUMN()/2+1,FALSE))),"")</f>
        <v/>
      </c>
      <c r="O65" s="91"/>
      <c r="P65" s="91" t="str">
        <f ca="1">IFERROR(VALUE(IF(VLOOKUP($A65,数出表_Excel!$A$6:$T$150,COLUMN()/2+1,FALSE)=0,"",VLOOKUP($A65,数出表_Excel!$A$6:$T$150,COLUMN()/2+1,FALSE))),"")</f>
        <v/>
      </c>
      <c r="Q65" s="91"/>
      <c r="R65" s="91" t="str">
        <f ca="1">IFERROR(VALUE(IF(VLOOKUP($A65,数出表_Excel!$A$6:$T$150,COLUMN()/2+1,FALSE)=0,"",VLOOKUP($A65,数出表_Excel!$A$6:$T$150,COLUMN()/2+1,FALSE))),"")</f>
        <v/>
      </c>
      <c r="S65" s="91"/>
      <c r="T65" s="91" t="str">
        <f ca="1">IFERROR(VALUE(IF(VLOOKUP($A65,数出表_Excel!$A$6:$T$150,COLUMN()/2+1,FALSE)=0,"",VLOOKUP($A65,数出表_Excel!$A$6:$T$150,COLUMN()/2+1,FALSE))),"")</f>
        <v/>
      </c>
      <c r="U65" s="91"/>
      <c r="V65" s="95" t="str">
        <f ca="1">IFERROR(VALUE(IF(VLOOKUP($A65,数出表_Excel!$A$6:$T$150,COLUMN()/2+1,FALSE)=0,"",VLOOKUP($A65,数出表_Excel!$A$6:$T$150,COLUMN()/2+1,FALSE))),"")</f>
        <v/>
      </c>
      <c r="W65" s="91"/>
      <c r="X65" s="95" t="str">
        <f ca="1">IFERROR(VALUE(IF(VLOOKUP($A65,数出表_Excel!$A$6:$T$150,COLUMN()/2+1,FALSE)=0,"",VLOOKUP($A65,数出表_Excel!$A$6:$T$150,COLUMN()/2+1,FALSE))),"")</f>
        <v/>
      </c>
      <c r="Y65" s="91"/>
      <c r="Z65" s="95" t="str">
        <f ca="1">IFERROR(VALUE(IF(VLOOKUP($A65,数出表_Excel!$A$6:$T$150,COLUMN()/2+1,FALSE)=0,"",VLOOKUP($A65,数出表_Excel!$A$6:$T$150,COLUMN()/2+1,FALSE))),"")</f>
        <v/>
      </c>
      <c r="AA65" s="129"/>
      <c r="AB65" s="96" t="str">
        <f ca="1">IFERROR(VALUE(IF(VLOOKUP($A65,数出表_Excel!$A$6:$T$150,COLUMN()/2+1,FALSE)=0,"",VLOOKUP($A65,数出表_Excel!$A$6:$T$150,COLUMN()/2+1,FALSE))),"")</f>
        <v/>
      </c>
      <c r="AC65" s="91"/>
      <c r="AD65" s="95" t="str">
        <f ca="1">IFERROR(VALUE(IF(VLOOKUP($A65,数出表_Excel!$A$6:$T$150,COLUMN()/2+1,FALSE)=0,"",VLOOKUP($A65,数出表_Excel!$A$6:$T$150,COLUMN()/2+1,FALSE))),"")</f>
        <v/>
      </c>
      <c r="AE65" s="91"/>
      <c r="AF65" s="95" t="str">
        <f ca="1">IFERROR(VALUE(IF(VLOOKUP($A65,数出表_Excel!$A$6:$T$150,COLUMN()/2+1,FALSE)=0,"",VLOOKUP($A65,数出表_Excel!$A$6:$T$150,COLUMN()/2+1,FALSE))),"")</f>
        <v/>
      </c>
      <c r="AG65" s="91"/>
      <c r="AH65" s="95" t="str">
        <f ca="1">IFERROR(VALUE(IF(VLOOKUP($A65,数出表_Excel!$A$6:$T$150,COLUMN()/2+1,FALSE)=0,"",VLOOKUP($A65,数出表_Excel!$A$6:$T$150,COLUMN()/2+1,FALSE))),"")</f>
        <v/>
      </c>
      <c r="AI65" s="129"/>
      <c r="AJ65" s="96" t="str">
        <f ca="1">IFERROR(VALUE(IF(VLOOKUP($A65,数出表_Excel!$A$6:$T$150,COLUMN()/2+1,FALSE)=0,"",VLOOKUP($A65,数出表_Excel!$A$6:$T$150,COLUMN()/2+1,FALSE))),"")</f>
        <v/>
      </c>
      <c r="AK65" s="91"/>
      <c r="AL65" s="97" t="e">
        <f ca="1">IF(A65&lt;&gt;"",
IF(VLOOKUP($A65,数出表_Excel!$A$6:$T$150,COLUMN()/2+1,FALSE)=0,"",VLOOKUP($A65,数出表_Excel!$A$6:$T$150,COLUMN()/2+1,FALSE)),"")</f>
        <v>#N/A</v>
      </c>
      <c r="AM65" s="177" t="e">
        <f>数出表_Excel!V65</f>
        <v>#N/A</v>
      </c>
      <c r="AN65" s="178" t="e">
        <f>数出表_Excel!W65</f>
        <v>#N/A</v>
      </c>
    </row>
    <row r="66" spans="1:40" ht="16.2" customHeight="1">
      <c r="A66" s="137" t="e">
        <f t="array" aca="1" ref="A66" ca="1">IF(OR(COUNTIF(A64,"*10002*"),COUNTIF(A64,"")),"",INDEX(貼り付け用!$A1:$A200,MATCH(A64,貼り付け用!$A1:$A200,0)+2,0))</f>
        <v>#N/A</v>
      </c>
      <c r="B66" s="125" t="str">
        <f ca="1">IFERROR(VALUE(IF(VLOOKUP($A66,数出表_Excel!$A$6:$T$150,COLUMN()/2+1,FALSE)=0,"",VLOOKUP($A66,数出表_Excel!$A$6:$T$150,COLUMN()/2+1,FALSE))),"")</f>
        <v/>
      </c>
      <c r="C66" s="90"/>
      <c r="D66" s="125" t="str">
        <f ca="1">IFERROR(VALUE(IF(VLOOKUP($A66,数出表_Excel!$A$6:$T$150,COLUMN()/2+1,FALSE)=0,"",VLOOKUP($A66,数出表_Excel!$A$6:$T$150,COLUMN()/2+1,FALSE))),"")</f>
        <v/>
      </c>
      <c r="E66" s="90"/>
      <c r="F66" s="127" t="str">
        <f ca="1">IFERROR(VALUE(IF(VLOOKUP($A66,数出表_Excel!$A$6:$T$150,COLUMN()/2+1,FALSE)=0,"",VLOOKUP($A66,数出表_Excel!$A$6:$T$150,COLUMN()/2+1,FALSE))),"")</f>
        <v/>
      </c>
      <c r="G66" s="90"/>
      <c r="H66" s="125" t="str">
        <f ca="1">IFERROR(VALUE(IF(VLOOKUP($A66,数出表_Excel!$A$6:$T$150,COLUMN()/2+1,FALSE)=0,"",VLOOKUP($A66,数出表_Excel!$A$6:$T$150,COLUMN()/2+1,FALSE))),"")</f>
        <v/>
      </c>
      <c r="I66" s="90"/>
      <c r="J66" s="125" t="str">
        <f ca="1">IFERROR(VALUE(IF(VLOOKUP($A66,数出表_Excel!$A$6:$T$150,COLUMN()/2+1,FALSE)=0,"",VLOOKUP($A66,数出表_Excel!$A$6:$T$150,COLUMN()/2+1,FALSE))),"")</f>
        <v/>
      </c>
      <c r="K66" s="90"/>
      <c r="L66" s="127" t="str">
        <f ca="1">IFERROR(VALUE(IF(VLOOKUP($A66,数出表_Excel!$A$6:$T$150,COLUMN()/2+1,FALSE)=0,"",VLOOKUP($A66,数出表_Excel!$A$6:$T$150,COLUMN()/2+1,FALSE))),"")</f>
        <v/>
      </c>
      <c r="M66" s="90"/>
      <c r="N66" s="125" t="str">
        <f ca="1">IFERROR(VALUE(IF(VLOOKUP($A66,数出表_Excel!$A$6:$T$150,COLUMN()/2+1,FALSE)=0,"",VLOOKUP($A66,数出表_Excel!$A$6:$T$150,COLUMN()/2+1,FALSE))),"")</f>
        <v/>
      </c>
      <c r="O66" s="90"/>
      <c r="P66" s="125" t="str">
        <f ca="1">IFERROR(VALUE(IF(VLOOKUP($A66,数出表_Excel!$A$6:$T$150,COLUMN()/2+1,FALSE)=0,"",VLOOKUP($A66,数出表_Excel!$A$6:$T$150,COLUMN()/2+1,FALSE))),"")</f>
        <v/>
      </c>
      <c r="Q66" s="90"/>
      <c r="R66" s="125" t="str">
        <f ca="1">IFERROR(VALUE(IF(VLOOKUP($A66,数出表_Excel!$A$6:$T$150,COLUMN()/2+1,FALSE)=0,"",VLOOKUP($A66,数出表_Excel!$A$6:$T$150,COLUMN()/2+1,FALSE))),"")</f>
        <v/>
      </c>
      <c r="S66" s="90"/>
      <c r="T66" s="125" t="str">
        <f ca="1">IFERROR(VALUE(IF(VLOOKUP($A66,数出表_Excel!$A$6:$T$150,COLUMN()/2+1,FALSE)=0,"",VLOOKUP($A66,数出表_Excel!$A$6:$T$150,COLUMN()/2+1,FALSE))),"")</f>
        <v/>
      </c>
      <c r="U66" s="90"/>
      <c r="V66" s="127" t="str">
        <f ca="1">IFERROR(VALUE(IF(VLOOKUP($A66,数出表_Excel!$A$6:$T$150,COLUMN()/2+1,FALSE)=0,"",VLOOKUP($A66,数出表_Excel!$A$6:$T$150,COLUMN()/2+1,FALSE))),"")</f>
        <v/>
      </c>
      <c r="W66" s="90"/>
      <c r="X66" s="127" t="str">
        <f ca="1">IFERROR(VALUE(IF(VLOOKUP($A66,数出表_Excel!$A$6:$T$150,COLUMN()/2+1,FALSE)=0,"",VLOOKUP($A66,数出表_Excel!$A$6:$T$150,COLUMN()/2+1,FALSE))),"")</f>
        <v/>
      </c>
      <c r="Y66" s="90"/>
      <c r="Z66" s="127" t="str">
        <f ca="1">IFERROR(VALUE(IF(VLOOKUP($A66,数出表_Excel!$A$6:$T$150,COLUMN()/2+1,FALSE)=0,"",VLOOKUP($A66,数出表_Excel!$A$6:$T$150,COLUMN()/2+1,FALSE))),"")</f>
        <v/>
      </c>
      <c r="AA66" s="128"/>
      <c r="AB66" s="126" t="str">
        <f ca="1">IFERROR(VALUE(IF(VLOOKUP($A66,数出表_Excel!$A$6:$T$150,COLUMN()/2+1,FALSE)=0,"",VLOOKUP($A66,数出表_Excel!$A$6:$T$150,COLUMN()/2+1,FALSE))),"")</f>
        <v/>
      </c>
      <c r="AC66" s="90"/>
      <c r="AD66" s="127" t="str">
        <f ca="1">IFERROR(VALUE(IF(VLOOKUP($A66,数出表_Excel!$A$6:$T$150,COLUMN()/2+1,FALSE)=0,"",VLOOKUP($A66,数出表_Excel!$A$6:$T$150,COLUMN()/2+1,FALSE))),"")</f>
        <v/>
      </c>
      <c r="AE66" s="90"/>
      <c r="AF66" s="127" t="str">
        <f ca="1">IFERROR(VALUE(IF(VLOOKUP($A66,数出表_Excel!$A$6:$T$150,COLUMN()/2+1,FALSE)=0,"",VLOOKUP($A66,数出表_Excel!$A$6:$T$150,COLUMN()/2+1,FALSE))),"")</f>
        <v/>
      </c>
      <c r="AG66" s="90"/>
      <c r="AH66" s="127" t="str">
        <f ca="1">IFERROR(VALUE(IF(VLOOKUP($A66,数出表_Excel!$A$6:$T$150,COLUMN()/2+1,FALSE)=0,"",VLOOKUP($A66,数出表_Excel!$A$6:$T$150,COLUMN()/2+1,FALSE))),"")</f>
        <v/>
      </c>
      <c r="AI66" s="128"/>
      <c r="AJ66" s="126" t="str">
        <f ca="1">IFERROR(VALUE(IF(VLOOKUP($A66,数出表_Excel!$A$6:$T$150,COLUMN()/2+1,FALSE)=0,"",VLOOKUP($A66,数出表_Excel!$A$6:$T$150,COLUMN()/2+1,FALSE))),"")</f>
        <v/>
      </c>
      <c r="AK66" s="90"/>
      <c r="AL66" s="94" t="e">
        <f ca="1">IF(A66&lt;&gt;"",
IF(VLOOKUP($A66,数出表_Excel!$A$6:$T$150,COLUMN()/2+1,FALSE)=0,"",VLOOKUP($A66,数出表_Excel!$A$6:$T$150,COLUMN()/2+1,FALSE)),"")</f>
        <v>#N/A</v>
      </c>
      <c r="AM66" s="175" t="e">
        <f>数出表_Excel!V66</f>
        <v>#N/A</v>
      </c>
      <c r="AN66" s="176" t="e">
        <f>数出表_Excel!W66</f>
        <v>#N/A</v>
      </c>
    </row>
    <row r="67" spans="1:40" ht="16.2" customHeight="1">
      <c r="A67" s="138" t="e">
        <f t="array" aca="1" ref="A67" ca="1">IF(OR(COUNTIF(A65,"*1000*"),COUNTIF(A65,"")),"",INDEX(貼り付け用!$A1:$A200,MATCH(A65,貼り付け用!$A1:$A200,0)+2,0))</f>
        <v>#N/A</v>
      </c>
      <c r="B67" s="91" t="str">
        <f ca="1">IFERROR(VALUE(IF(VLOOKUP($A67,数出表_Excel!$A$6:$T$150,COLUMN()/2+1,FALSE)=0,"",VLOOKUP($A67,数出表_Excel!$A$6:$T$150,COLUMN()/2+1,FALSE))),"")</f>
        <v/>
      </c>
      <c r="C67" s="91"/>
      <c r="D67" s="91" t="str">
        <f ca="1">IFERROR(VALUE(IF(VLOOKUP($A67,数出表_Excel!$A$6:$T$150,COLUMN()/2+1,FALSE)=0,"",VLOOKUP($A67,数出表_Excel!$A$6:$T$150,COLUMN()/2+1,FALSE))),"")</f>
        <v/>
      </c>
      <c r="E67" s="91"/>
      <c r="F67" s="95" t="str">
        <f ca="1">IFERROR(VALUE(IF(VLOOKUP($A67,数出表_Excel!$A$6:$T$150,COLUMN()/2+1,FALSE)=0,"",VLOOKUP($A67,数出表_Excel!$A$6:$T$150,COLUMN()/2+1,FALSE))),"")</f>
        <v/>
      </c>
      <c r="G67" s="91"/>
      <c r="H67" s="91" t="str">
        <f ca="1">IFERROR(VALUE(IF(VLOOKUP($A67,数出表_Excel!$A$6:$T$150,COLUMN()/2+1,FALSE)=0,"",VLOOKUP($A67,数出表_Excel!$A$6:$T$150,COLUMN()/2+1,FALSE))),"")</f>
        <v/>
      </c>
      <c r="I67" s="91"/>
      <c r="J67" s="91" t="str">
        <f ca="1">IFERROR(VALUE(IF(VLOOKUP($A67,数出表_Excel!$A$6:$T$150,COLUMN()/2+1,FALSE)=0,"",VLOOKUP($A67,数出表_Excel!$A$6:$T$150,COLUMN()/2+1,FALSE))),"")</f>
        <v/>
      </c>
      <c r="K67" s="91"/>
      <c r="L67" s="95" t="str">
        <f ca="1">IFERROR(VALUE(IF(VLOOKUP($A67,数出表_Excel!$A$6:$T$150,COLUMN()/2+1,FALSE)=0,"",VLOOKUP($A67,数出表_Excel!$A$6:$T$150,COLUMN()/2+1,FALSE))),"")</f>
        <v/>
      </c>
      <c r="M67" s="91"/>
      <c r="N67" s="91" t="str">
        <f ca="1">IFERROR(VALUE(IF(VLOOKUP($A67,数出表_Excel!$A$6:$T$150,COLUMN()/2+1,FALSE)=0,"",VLOOKUP($A67,数出表_Excel!$A$6:$T$150,COLUMN()/2+1,FALSE))),"")</f>
        <v/>
      </c>
      <c r="O67" s="91"/>
      <c r="P67" s="91" t="str">
        <f ca="1">IFERROR(VALUE(IF(VLOOKUP($A67,数出表_Excel!$A$6:$T$150,COLUMN()/2+1,FALSE)=0,"",VLOOKUP($A67,数出表_Excel!$A$6:$T$150,COLUMN()/2+1,FALSE))),"")</f>
        <v/>
      </c>
      <c r="Q67" s="91"/>
      <c r="R67" s="91" t="str">
        <f ca="1">IFERROR(VALUE(IF(VLOOKUP($A67,数出表_Excel!$A$6:$T$150,COLUMN()/2+1,FALSE)=0,"",VLOOKUP($A67,数出表_Excel!$A$6:$T$150,COLUMN()/2+1,FALSE))),"")</f>
        <v/>
      </c>
      <c r="S67" s="91"/>
      <c r="T67" s="91" t="str">
        <f ca="1">IFERROR(VALUE(IF(VLOOKUP($A67,数出表_Excel!$A$6:$T$150,COLUMN()/2+1,FALSE)=0,"",VLOOKUP($A67,数出表_Excel!$A$6:$T$150,COLUMN()/2+1,FALSE))),"")</f>
        <v/>
      </c>
      <c r="U67" s="91"/>
      <c r="V67" s="95" t="str">
        <f ca="1">IFERROR(VALUE(IF(VLOOKUP($A67,数出表_Excel!$A$6:$T$150,COLUMN()/2+1,FALSE)=0,"",VLOOKUP($A67,数出表_Excel!$A$6:$T$150,COLUMN()/2+1,FALSE))),"")</f>
        <v/>
      </c>
      <c r="W67" s="91"/>
      <c r="X67" s="95" t="str">
        <f ca="1">IFERROR(VALUE(IF(VLOOKUP($A67,数出表_Excel!$A$6:$T$150,COLUMN()/2+1,FALSE)=0,"",VLOOKUP($A67,数出表_Excel!$A$6:$T$150,COLUMN()/2+1,FALSE))),"")</f>
        <v/>
      </c>
      <c r="Y67" s="91"/>
      <c r="Z67" s="95" t="str">
        <f ca="1">IFERROR(VALUE(IF(VLOOKUP($A67,数出表_Excel!$A$6:$T$150,COLUMN()/2+1,FALSE)=0,"",VLOOKUP($A67,数出表_Excel!$A$6:$T$150,COLUMN()/2+1,FALSE))),"")</f>
        <v/>
      </c>
      <c r="AA67" s="129"/>
      <c r="AB67" s="96" t="str">
        <f ca="1">IFERROR(VALUE(IF(VLOOKUP($A67,数出表_Excel!$A$6:$T$150,COLUMN()/2+1,FALSE)=0,"",VLOOKUP($A67,数出表_Excel!$A$6:$T$150,COLUMN()/2+1,FALSE))),"")</f>
        <v/>
      </c>
      <c r="AC67" s="91"/>
      <c r="AD67" s="95" t="str">
        <f ca="1">IFERROR(VALUE(IF(VLOOKUP($A67,数出表_Excel!$A$6:$T$150,COLUMN()/2+1,FALSE)=0,"",VLOOKUP($A67,数出表_Excel!$A$6:$T$150,COLUMN()/2+1,FALSE))),"")</f>
        <v/>
      </c>
      <c r="AE67" s="91"/>
      <c r="AF67" s="95" t="str">
        <f ca="1">IFERROR(VALUE(IF(VLOOKUP($A67,数出表_Excel!$A$6:$T$150,COLUMN()/2+1,FALSE)=0,"",VLOOKUP($A67,数出表_Excel!$A$6:$T$150,COLUMN()/2+1,FALSE))),"")</f>
        <v/>
      </c>
      <c r="AG67" s="91"/>
      <c r="AH67" s="95" t="str">
        <f ca="1">IFERROR(VALUE(IF(VLOOKUP($A67,数出表_Excel!$A$6:$T$150,COLUMN()/2+1,FALSE)=0,"",VLOOKUP($A67,数出表_Excel!$A$6:$T$150,COLUMN()/2+1,FALSE))),"")</f>
        <v/>
      </c>
      <c r="AI67" s="129"/>
      <c r="AJ67" s="96" t="str">
        <f ca="1">IFERROR(VALUE(IF(VLOOKUP($A67,数出表_Excel!$A$6:$T$150,COLUMN()/2+1,FALSE)=0,"",VLOOKUP($A67,数出表_Excel!$A$6:$T$150,COLUMN()/2+1,FALSE))),"")</f>
        <v/>
      </c>
      <c r="AK67" s="91"/>
      <c r="AL67" s="97" t="e">
        <f ca="1">IF(A67&lt;&gt;"",
IF(VLOOKUP($A67,数出表_Excel!$A$6:$T$150,COLUMN()/2+1,FALSE)=0,"",VLOOKUP($A67,数出表_Excel!$A$6:$T$150,COLUMN()/2+1,FALSE)),"")</f>
        <v>#N/A</v>
      </c>
      <c r="AM67" s="177" t="e">
        <f>数出表_Excel!V67</f>
        <v>#N/A</v>
      </c>
      <c r="AN67" s="178" t="e">
        <f>数出表_Excel!W67</f>
        <v>#N/A</v>
      </c>
    </row>
    <row r="68" spans="1:40" ht="16.2" customHeight="1">
      <c r="A68" s="137" t="e">
        <f t="array" aca="1" ref="A68" ca="1">IF(OR(COUNTIF(A66,"*10002*"),COUNTIF(A66,"")),"",INDEX(貼り付け用!$A1:$A200,MATCH(A66,貼り付け用!$A1:$A200,0)+2,0))</f>
        <v>#N/A</v>
      </c>
      <c r="B68" s="125" t="str">
        <f ca="1">IFERROR(VALUE(IF(VLOOKUP($A68,数出表_Excel!$A$6:$T$150,COLUMN()/2+1,FALSE)=0,"",VLOOKUP($A68,数出表_Excel!$A$6:$T$150,COLUMN()/2+1,FALSE))),"")</f>
        <v/>
      </c>
      <c r="C68" s="90"/>
      <c r="D68" s="125" t="str">
        <f ca="1">IFERROR(VALUE(IF(VLOOKUP($A68,数出表_Excel!$A$6:$T$150,COLUMN()/2+1,FALSE)=0,"",VLOOKUP($A68,数出表_Excel!$A$6:$T$150,COLUMN()/2+1,FALSE))),"")</f>
        <v/>
      </c>
      <c r="E68" s="90"/>
      <c r="F68" s="127" t="str">
        <f ca="1">IFERROR(VALUE(IF(VLOOKUP($A68,数出表_Excel!$A$6:$T$150,COLUMN()/2+1,FALSE)=0,"",VLOOKUP($A68,数出表_Excel!$A$6:$T$150,COLUMN()/2+1,FALSE))),"")</f>
        <v/>
      </c>
      <c r="G68" s="90"/>
      <c r="H68" s="125" t="str">
        <f ca="1">IFERROR(VALUE(IF(VLOOKUP($A68,数出表_Excel!$A$6:$T$150,COLUMN()/2+1,FALSE)=0,"",VLOOKUP($A68,数出表_Excel!$A$6:$T$150,COLUMN()/2+1,FALSE))),"")</f>
        <v/>
      </c>
      <c r="I68" s="90"/>
      <c r="J68" s="125" t="str">
        <f ca="1">IFERROR(VALUE(IF(VLOOKUP($A68,数出表_Excel!$A$6:$T$150,COLUMN()/2+1,FALSE)=0,"",VLOOKUP($A68,数出表_Excel!$A$6:$T$150,COLUMN()/2+1,FALSE))),"")</f>
        <v/>
      </c>
      <c r="K68" s="90"/>
      <c r="L68" s="127" t="str">
        <f ca="1">IFERROR(VALUE(IF(VLOOKUP($A68,数出表_Excel!$A$6:$T$150,COLUMN()/2+1,FALSE)=0,"",VLOOKUP($A68,数出表_Excel!$A$6:$T$150,COLUMN()/2+1,FALSE))),"")</f>
        <v/>
      </c>
      <c r="M68" s="90"/>
      <c r="N68" s="125" t="str">
        <f ca="1">IFERROR(VALUE(IF(VLOOKUP($A68,数出表_Excel!$A$6:$T$150,COLUMN()/2+1,FALSE)=0,"",VLOOKUP($A68,数出表_Excel!$A$6:$T$150,COLUMN()/2+1,FALSE))),"")</f>
        <v/>
      </c>
      <c r="O68" s="90"/>
      <c r="P68" s="125" t="str">
        <f ca="1">IFERROR(VALUE(IF(VLOOKUP($A68,数出表_Excel!$A$6:$T$150,COLUMN()/2+1,FALSE)=0,"",VLOOKUP($A68,数出表_Excel!$A$6:$T$150,COLUMN()/2+1,FALSE))),"")</f>
        <v/>
      </c>
      <c r="Q68" s="90"/>
      <c r="R68" s="125" t="str">
        <f ca="1">IFERROR(VALUE(IF(VLOOKUP($A68,数出表_Excel!$A$6:$T$150,COLUMN()/2+1,FALSE)=0,"",VLOOKUP($A68,数出表_Excel!$A$6:$T$150,COLUMN()/2+1,FALSE))),"")</f>
        <v/>
      </c>
      <c r="S68" s="90"/>
      <c r="T68" s="125" t="str">
        <f ca="1">IFERROR(VALUE(IF(VLOOKUP($A68,数出表_Excel!$A$6:$T$150,COLUMN()/2+1,FALSE)=0,"",VLOOKUP($A68,数出表_Excel!$A$6:$T$150,COLUMN()/2+1,FALSE))),"")</f>
        <v/>
      </c>
      <c r="U68" s="90"/>
      <c r="V68" s="127" t="str">
        <f ca="1">IFERROR(VALUE(IF(VLOOKUP($A68,数出表_Excel!$A$6:$T$150,COLUMN()/2+1,FALSE)=0,"",VLOOKUP($A68,数出表_Excel!$A$6:$T$150,COLUMN()/2+1,FALSE))),"")</f>
        <v/>
      </c>
      <c r="W68" s="90"/>
      <c r="X68" s="127" t="str">
        <f ca="1">IFERROR(VALUE(IF(VLOOKUP($A68,数出表_Excel!$A$6:$T$150,COLUMN()/2+1,FALSE)=0,"",VLOOKUP($A68,数出表_Excel!$A$6:$T$150,COLUMN()/2+1,FALSE))),"")</f>
        <v/>
      </c>
      <c r="Y68" s="90"/>
      <c r="Z68" s="127" t="str">
        <f ca="1">IFERROR(VALUE(IF(VLOOKUP($A68,数出表_Excel!$A$6:$T$150,COLUMN()/2+1,FALSE)=0,"",VLOOKUP($A68,数出表_Excel!$A$6:$T$150,COLUMN()/2+1,FALSE))),"")</f>
        <v/>
      </c>
      <c r="AA68" s="128"/>
      <c r="AB68" s="126" t="str">
        <f ca="1">IFERROR(VALUE(IF(VLOOKUP($A68,数出表_Excel!$A$6:$T$150,COLUMN()/2+1,FALSE)=0,"",VLOOKUP($A68,数出表_Excel!$A$6:$T$150,COLUMN()/2+1,FALSE))),"")</f>
        <v/>
      </c>
      <c r="AC68" s="90"/>
      <c r="AD68" s="127" t="str">
        <f ca="1">IFERROR(VALUE(IF(VLOOKUP($A68,数出表_Excel!$A$6:$T$150,COLUMN()/2+1,FALSE)=0,"",VLOOKUP($A68,数出表_Excel!$A$6:$T$150,COLUMN()/2+1,FALSE))),"")</f>
        <v/>
      </c>
      <c r="AE68" s="90"/>
      <c r="AF68" s="127" t="str">
        <f ca="1">IFERROR(VALUE(IF(VLOOKUP($A68,数出表_Excel!$A$6:$T$150,COLUMN()/2+1,FALSE)=0,"",VLOOKUP($A68,数出表_Excel!$A$6:$T$150,COLUMN()/2+1,FALSE))),"")</f>
        <v/>
      </c>
      <c r="AG68" s="90"/>
      <c r="AH68" s="127" t="str">
        <f ca="1">IFERROR(VALUE(IF(VLOOKUP($A68,数出表_Excel!$A$6:$T$150,COLUMN()/2+1,FALSE)=0,"",VLOOKUP($A68,数出表_Excel!$A$6:$T$150,COLUMN()/2+1,FALSE))),"")</f>
        <v/>
      </c>
      <c r="AI68" s="128"/>
      <c r="AJ68" s="126" t="str">
        <f ca="1">IFERROR(VALUE(IF(VLOOKUP($A68,数出表_Excel!$A$6:$T$150,COLUMN()/2+1,FALSE)=0,"",VLOOKUP($A68,数出表_Excel!$A$6:$T$150,COLUMN()/2+1,FALSE))),"")</f>
        <v/>
      </c>
      <c r="AK68" s="90"/>
      <c r="AL68" s="94" t="e">
        <f ca="1">IF(A68&lt;&gt;"",
IF(VLOOKUP($A68,数出表_Excel!$A$6:$T$150,COLUMN()/2+1,FALSE)=0,"",VLOOKUP($A68,数出表_Excel!$A$6:$T$150,COLUMN()/2+1,FALSE)),"")</f>
        <v>#N/A</v>
      </c>
      <c r="AM68" s="175" t="e">
        <f>数出表_Excel!V68</f>
        <v>#N/A</v>
      </c>
      <c r="AN68" s="176" t="e">
        <f>数出表_Excel!W68</f>
        <v>#N/A</v>
      </c>
    </row>
    <row r="69" spans="1:40" ht="16.2" customHeight="1">
      <c r="A69" s="138" t="e">
        <f t="array" aca="1" ref="A69" ca="1">IF(OR(COUNTIF(A67,"*1000*"),COUNTIF(A67,"")),"",INDEX(貼り付け用!$A1:$A200,MATCH(A67,貼り付け用!$A1:$A200,0)+2,0))</f>
        <v>#N/A</v>
      </c>
      <c r="B69" s="91" t="str">
        <f ca="1">IFERROR(VALUE(IF(VLOOKUP($A69,数出表_Excel!$A$6:$T$150,COLUMN()/2+1,FALSE)=0,"",VLOOKUP($A69,数出表_Excel!$A$6:$T$150,COLUMN()/2+1,FALSE))),"")</f>
        <v/>
      </c>
      <c r="C69" s="91"/>
      <c r="D69" s="91" t="str">
        <f ca="1">IFERROR(VALUE(IF(VLOOKUP($A69,数出表_Excel!$A$6:$T$150,COLUMN()/2+1,FALSE)=0,"",VLOOKUP($A69,数出表_Excel!$A$6:$T$150,COLUMN()/2+1,FALSE))),"")</f>
        <v/>
      </c>
      <c r="E69" s="91"/>
      <c r="F69" s="95" t="str">
        <f ca="1">IFERROR(VALUE(IF(VLOOKUP($A69,数出表_Excel!$A$6:$T$150,COLUMN()/2+1,FALSE)=0,"",VLOOKUP($A69,数出表_Excel!$A$6:$T$150,COLUMN()/2+1,FALSE))),"")</f>
        <v/>
      </c>
      <c r="G69" s="91"/>
      <c r="H69" s="91" t="str">
        <f ca="1">IFERROR(VALUE(IF(VLOOKUP($A69,数出表_Excel!$A$6:$T$150,COLUMN()/2+1,FALSE)=0,"",VLOOKUP($A69,数出表_Excel!$A$6:$T$150,COLUMN()/2+1,FALSE))),"")</f>
        <v/>
      </c>
      <c r="I69" s="91"/>
      <c r="J69" s="91" t="str">
        <f ca="1">IFERROR(VALUE(IF(VLOOKUP($A69,数出表_Excel!$A$6:$T$150,COLUMN()/2+1,FALSE)=0,"",VLOOKUP($A69,数出表_Excel!$A$6:$T$150,COLUMN()/2+1,FALSE))),"")</f>
        <v/>
      </c>
      <c r="K69" s="91"/>
      <c r="L69" s="95" t="str">
        <f ca="1">IFERROR(VALUE(IF(VLOOKUP($A69,数出表_Excel!$A$6:$T$150,COLUMN()/2+1,FALSE)=0,"",VLOOKUP($A69,数出表_Excel!$A$6:$T$150,COLUMN()/2+1,FALSE))),"")</f>
        <v/>
      </c>
      <c r="M69" s="91"/>
      <c r="N69" s="91" t="str">
        <f ca="1">IFERROR(VALUE(IF(VLOOKUP($A69,数出表_Excel!$A$6:$T$150,COLUMN()/2+1,FALSE)=0,"",VLOOKUP($A69,数出表_Excel!$A$6:$T$150,COLUMN()/2+1,FALSE))),"")</f>
        <v/>
      </c>
      <c r="O69" s="91"/>
      <c r="P69" s="91" t="str">
        <f ca="1">IFERROR(VALUE(IF(VLOOKUP($A69,数出表_Excel!$A$6:$T$150,COLUMN()/2+1,FALSE)=0,"",VLOOKUP($A69,数出表_Excel!$A$6:$T$150,COLUMN()/2+1,FALSE))),"")</f>
        <v/>
      </c>
      <c r="Q69" s="91"/>
      <c r="R69" s="91" t="str">
        <f ca="1">IFERROR(VALUE(IF(VLOOKUP($A69,数出表_Excel!$A$6:$T$150,COLUMN()/2+1,FALSE)=0,"",VLOOKUP($A69,数出表_Excel!$A$6:$T$150,COLUMN()/2+1,FALSE))),"")</f>
        <v/>
      </c>
      <c r="S69" s="91"/>
      <c r="T69" s="91" t="str">
        <f ca="1">IFERROR(VALUE(IF(VLOOKUP($A69,数出表_Excel!$A$6:$T$150,COLUMN()/2+1,FALSE)=0,"",VLOOKUP($A69,数出表_Excel!$A$6:$T$150,COLUMN()/2+1,FALSE))),"")</f>
        <v/>
      </c>
      <c r="U69" s="91"/>
      <c r="V69" s="95" t="str">
        <f ca="1">IFERROR(VALUE(IF(VLOOKUP($A69,数出表_Excel!$A$6:$T$150,COLUMN()/2+1,FALSE)=0,"",VLOOKUP($A69,数出表_Excel!$A$6:$T$150,COLUMN()/2+1,FALSE))),"")</f>
        <v/>
      </c>
      <c r="W69" s="91"/>
      <c r="X69" s="95" t="str">
        <f ca="1">IFERROR(VALUE(IF(VLOOKUP($A69,数出表_Excel!$A$6:$T$150,COLUMN()/2+1,FALSE)=0,"",VLOOKUP($A69,数出表_Excel!$A$6:$T$150,COLUMN()/2+1,FALSE))),"")</f>
        <v/>
      </c>
      <c r="Y69" s="91"/>
      <c r="Z69" s="95" t="str">
        <f ca="1">IFERROR(VALUE(IF(VLOOKUP($A69,数出表_Excel!$A$6:$T$150,COLUMN()/2+1,FALSE)=0,"",VLOOKUP($A69,数出表_Excel!$A$6:$T$150,COLUMN()/2+1,FALSE))),"")</f>
        <v/>
      </c>
      <c r="AA69" s="129"/>
      <c r="AB69" s="96" t="str">
        <f ca="1">IFERROR(VALUE(IF(VLOOKUP($A69,数出表_Excel!$A$6:$T$150,COLUMN()/2+1,FALSE)=0,"",VLOOKUP($A69,数出表_Excel!$A$6:$T$150,COLUMN()/2+1,FALSE))),"")</f>
        <v/>
      </c>
      <c r="AC69" s="91"/>
      <c r="AD69" s="95" t="str">
        <f ca="1">IFERROR(VALUE(IF(VLOOKUP($A69,数出表_Excel!$A$6:$T$150,COLUMN()/2+1,FALSE)=0,"",VLOOKUP($A69,数出表_Excel!$A$6:$T$150,COLUMN()/2+1,FALSE))),"")</f>
        <v/>
      </c>
      <c r="AE69" s="91"/>
      <c r="AF69" s="95" t="str">
        <f ca="1">IFERROR(VALUE(IF(VLOOKUP($A69,数出表_Excel!$A$6:$T$150,COLUMN()/2+1,FALSE)=0,"",VLOOKUP($A69,数出表_Excel!$A$6:$T$150,COLUMN()/2+1,FALSE))),"")</f>
        <v/>
      </c>
      <c r="AG69" s="91"/>
      <c r="AH69" s="95" t="str">
        <f ca="1">IFERROR(VALUE(IF(VLOOKUP($A69,数出表_Excel!$A$6:$T$150,COLUMN()/2+1,FALSE)=0,"",VLOOKUP($A69,数出表_Excel!$A$6:$T$150,COLUMN()/2+1,FALSE))),"")</f>
        <v/>
      </c>
      <c r="AI69" s="129"/>
      <c r="AJ69" s="96" t="str">
        <f ca="1">IFERROR(VALUE(IF(VLOOKUP($A69,数出表_Excel!$A$6:$T$150,COLUMN()/2+1,FALSE)=0,"",VLOOKUP($A69,数出表_Excel!$A$6:$T$150,COLUMN()/2+1,FALSE))),"")</f>
        <v/>
      </c>
      <c r="AK69" s="91"/>
      <c r="AL69" s="97" t="e">
        <f ca="1">IF(A69&lt;&gt;"",
IF(VLOOKUP($A69,数出表_Excel!$A$6:$T$150,COLUMN()/2+1,FALSE)=0,"",VLOOKUP($A69,数出表_Excel!$A$6:$T$150,COLUMN()/2+1,FALSE)),"")</f>
        <v>#N/A</v>
      </c>
      <c r="AM69" s="177" t="e">
        <f>数出表_Excel!V69</f>
        <v>#N/A</v>
      </c>
      <c r="AN69" s="178" t="e">
        <f>数出表_Excel!W69</f>
        <v>#N/A</v>
      </c>
    </row>
    <row r="70" spans="1:40" ht="16.2" customHeight="1">
      <c r="A70" s="137" t="e">
        <f t="array" aca="1" ref="A70" ca="1">IF(OR(COUNTIF(A68,"*10002*"),COUNTIF(A68,"")),"",INDEX(貼り付け用!$A1:$A200,MATCH(A68,貼り付け用!$A1:$A200,0)+2,0))</f>
        <v>#N/A</v>
      </c>
      <c r="B70" s="125" t="str">
        <f ca="1">IFERROR(VALUE(IF(VLOOKUP($A70,数出表_Excel!$A$6:$T$150,COLUMN()/2+1,FALSE)=0,"",VLOOKUP($A70,数出表_Excel!$A$6:$T$150,COLUMN()/2+1,FALSE))),"")</f>
        <v/>
      </c>
      <c r="C70" s="90"/>
      <c r="D70" s="125" t="str">
        <f ca="1">IFERROR(VALUE(IF(VLOOKUP($A70,数出表_Excel!$A$6:$T$150,COLUMN()/2+1,FALSE)=0,"",VLOOKUP($A70,数出表_Excel!$A$6:$T$150,COLUMN()/2+1,FALSE))),"")</f>
        <v/>
      </c>
      <c r="E70" s="90"/>
      <c r="F70" s="127" t="str">
        <f ca="1">IFERROR(VALUE(IF(VLOOKUP($A70,数出表_Excel!$A$6:$T$150,COLUMN()/2+1,FALSE)=0,"",VLOOKUP($A70,数出表_Excel!$A$6:$T$150,COLUMN()/2+1,FALSE))),"")</f>
        <v/>
      </c>
      <c r="G70" s="90"/>
      <c r="H70" s="125" t="str">
        <f ca="1">IFERROR(VALUE(IF(VLOOKUP($A70,数出表_Excel!$A$6:$T$150,COLUMN()/2+1,FALSE)=0,"",VLOOKUP($A70,数出表_Excel!$A$6:$T$150,COLUMN()/2+1,FALSE))),"")</f>
        <v/>
      </c>
      <c r="I70" s="90"/>
      <c r="J70" s="125" t="str">
        <f ca="1">IFERROR(VALUE(IF(VLOOKUP($A70,数出表_Excel!$A$6:$T$150,COLUMN()/2+1,FALSE)=0,"",VLOOKUP($A70,数出表_Excel!$A$6:$T$150,COLUMN()/2+1,FALSE))),"")</f>
        <v/>
      </c>
      <c r="K70" s="90"/>
      <c r="L70" s="127" t="str">
        <f ca="1">IFERROR(VALUE(IF(VLOOKUP($A70,数出表_Excel!$A$6:$T$150,COLUMN()/2+1,FALSE)=0,"",VLOOKUP($A70,数出表_Excel!$A$6:$T$150,COLUMN()/2+1,FALSE))),"")</f>
        <v/>
      </c>
      <c r="M70" s="90"/>
      <c r="N70" s="125" t="str">
        <f ca="1">IFERROR(VALUE(IF(VLOOKUP($A70,数出表_Excel!$A$6:$T$150,COLUMN()/2+1,FALSE)=0,"",VLOOKUP($A70,数出表_Excel!$A$6:$T$150,COLUMN()/2+1,FALSE))),"")</f>
        <v/>
      </c>
      <c r="O70" s="90"/>
      <c r="P70" s="125" t="str">
        <f ca="1">IFERROR(VALUE(IF(VLOOKUP($A70,数出表_Excel!$A$6:$T$150,COLUMN()/2+1,FALSE)=0,"",VLOOKUP($A70,数出表_Excel!$A$6:$T$150,COLUMN()/2+1,FALSE))),"")</f>
        <v/>
      </c>
      <c r="Q70" s="90"/>
      <c r="R70" s="125" t="str">
        <f ca="1">IFERROR(VALUE(IF(VLOOKUP($A70,数出表_Excel!$A$6:$T$150,COLUMN()/2+1,FALSE)=0,"",VLOOKUP($A70,数出表_Excel!$A$6:$T$150,COLUMN()/2+1,FALSE))),"")</f>
        <v/>
      </c>
      <c r="S70" s="90"/>
      <c r="T70" s="125" t="str">
        <f ca="1">IFERROR(VALUE(IF(VLOOKUP($A70,数出表_Excel!$A$6:$T$150,COLUMN()/2+1,FALSE)=0,"",VLOOKUP($A70,数出表_Excel!$A$6:$T$150,COLUMN()/2+1,FALSE))),"")</f>
        <v/>
      </c>
      <c r="U70" s="90"/>
      <c r="V70" s="127" t="str">
        <f ca="1">IFERROR(VALUE(IF(VLOOKUP($A70,数出表_Excel!$A$6:$T$150,COLUMN()/2+1,FALSE)=0,"",VLOOKUP($A70,数出表_Excel!$A$6:$T$150,COLUMN()/2+1,FALSE))),"")</f>
        <v/>
      </c>
      <c r="W70" s="90"/>
      <c r="X70" s="127" t="str">
        <f ca="1">IFERROR(VALUE(IF(VLOOKUP($A70,数出表_Excel!$A$6:$T$150,COLUMN()/2+1,FALSE)=0,"",VLOOKUP($A70,数出表_Excel!$A$6:$T$150,COLUMN()/2+1,FALSE))),"")</f>
        <v/>
      </c>
      <c r="Y70" s="90"/>
      <c r="Z70" s="127" t="str">
        <f ca="1">IFERROR(VALUE(IF(VLOOKUP($A70,数出表_Excel!$A$6:$T$150,COLUMN()/2+1,FALSE)=0,"",VLOOKUP($A70,数出表_Excel!$A$6:$T$150,COLUMN()/2+1,FALSE))),"")</f>
        <v/>
      </c>
      <c r="AA70" s="128"/>
      <c r="AB70" s="126" t="str">
        <f ca="1">IFERROR(VALUE(IF(VLOOKUP($A70,数出表_Excel!$A$6:$T$150,COLUMN()/2+1,FALSE)=0,"",VLOOKUP($A70,数出表_Excel!$A$6:$T$150,COLUMN()/2+1,FALSE))),"")</f>
        <v/>
      </c>
      <c r="AC70" s="90"/>
      <c r="AD70" s="127" t="str">
        <f ca="1">IFERROR(VALUE(IF(VLOOKUP($A70,数出表_Excel!$A$6:$T$150,COLUMN()/2+1,FALSE)=0,"",VLOOKUP($A70,数出表_Excel!$A$6:$T$150,COLUMN()/2+1,FALSE))),"")</f>
        <v/>
      </c>
      <c r="AE70" s="90"/>
      <c r="AF70" s="127" t="str">
        <f ca="1">IFERROR(VALUE(IF(VLOOKUP($A70,数出表_Excel!$A$6:$T$150,COLUMN()/2+1,FALSE)=0,"",VLOOKUP($A70,数出表_Excel!$A$6:$T$150,COLUMN()/2+1,FALSE))),"")</f>
        <v/>
      </c>
      <c r="AG70" s="90"/>
      <c r="AH70" s="127" t="str">
        <f ca="1">IFERROR(VALUE(IF(VLOOKUP($A70,数出表_Excel!$A$6:$T$150,COLUMN()/2+1,FALSE)=0,"",VLOOKUP($A70,数出表_Excel!$A$6:$T$150,COLUMN()/2+1,FALSE))),"")</f>
        <v/>
      </c>
      <c r="AI70" s="128"/>
      <c r="AJ70" s="126" t="str">
        <f ca="1">IFERROR(VALUE(IF(VLOOKUP($A70,数出表_Excel!$A$6:$T$150,COLUMN()/2+1,FALSE)=0,"",VLOOKUP($A70,数出表_Excel!$A$6:$T$150,COLUMN()/2+1,FALSE))),"")</f>
        <v/>
      </c>
      <c r="AK70" s="90"/>
      <c r="AL70" s="94" t="e">
        <f ca="1">IF(A70&lt;&gt;"",
IF(VLOOKUP($A70,数出表_Excel!$A$6:$T$150,COLUMN()/2+1,FALSE)=0,"",VLOOKUP($A70,数出表_Excel!$A$6:$T$150,COLUMN()/2+1,FALSE)),"")</f>
        <v>#N/A</v>
      </c>
      <c r="AM70" s="175" t="e">
        <f>数出表_Excel!V70</f>
        <v>#N/A</v>
      </c>
      <c r="AN70" s="176" t="e">
        <f>数出表_Excel!W70</f>
        <v>#N/A</v>
      </c>
    </row>
    <row r="71" spans="1:40" ht="16.2" customHeight="1">
      <c r="A71" s="138" t="e">
        <f t="array" aca="1" ref="A71" ca="1">IF(OR(COUNTIF(A69,"*1000*"),COUNTIF(A69,"")),"",INDEX(貼り付け用!$A1:$A200,MATCH(A69,貼り付け用!$A1:$A200,0)+2,0))</f>
        <v>#N/A</v>
      </c>
      <c r="B71" s="91" t="str">
        <f ca="1">IFERROR(VALUE(IF(VLOOKUP($A71,数出表_Excel!$A$6:$T$150,COLUMN()/2+1,FALSE)=0,"",VLOOKUP($A71,数出表_Excel!$A$6:$T$150,COLUMN()/2+1,FALSE))),"")</f>
        <v/>
      </c>
      <c r="C71" s="91"/>
      <c r="D71" s="91" t="str">
        <f ca="1">IFERROR(VALUE(IF(VLOOKUP($A71,数出表_Excel!$A$6:$T$150,COLUMN()/2+1,FALSE)=0,"",VLOOKUP($A71,数出表_Excel!$A$6:$T$150,COLUMN()/2+1,FALSE))),"")</f>
        <v/>
      </c>
      <c r="E71" s="91"/>
      <c r="F71" s="95" t="str">
        <f ca="1">IFERROR(VALUE(IF(VLOOKUP($A71,数出表_Excel!$A$6:$T$150,COLUMN()/2+1,FALSE)=0,"",VLOOKUP($A71,数出表_Excel!$A$6:$T$150,COLUMN()/2+1,FALSE))),"")</f>
        <v/>
      </c>
      <c r="G71" s="91"/>
      <c r="H71" s="91" t="str">
        <f ca="1">IFERROR(VALUE(IF(VLOOKUP($A71,数出表_Excel!$A$6:$T$150,COLUMN()/2+1,FALSE)=0,"",VLOOKUP($A71,数出表_Excel!$A$6:$T$150,COLUMN()/2+1,FALSE))),"")</f>
        <v/>
      </c>
      <c r="I71" s="91"/>
      <c r="J71" s="91" t="str">
        <f ca="1">IFERROR(VALUE(IF(VLOOKUP($A71,数出表_Excel!$A$6:$T$150,COLUMN()/2+1,FALSE)=0,"",VLOOKUP($A71,数出表_Excel!$A$6:$T$150,COLUMN()/2+1,FALSE))),"")</f>
        <v/>
      </c>
      <c r="K71" s="91"/>
      <c r="L71" s="95" t="str">
        <f ca="1">IFERROR(VALUE(IF(VLOOKUP($A71,数出表_Excel!$A$6:$T$150,COLUMN()/2+1,FALSE)=0,"",VLOOKUP($A71,数出表_Excel!$A$6:$T$150,COLUMN()/2+1,FALSE))),"")</f>
        <v/>
      </c>
      <c r="M71" s="91"/>
      <c r="N71" s="91" t="str">
        <f ca="1">IFERROR(VALUE(IF(VLOOKUP($A71,数出表_Excel!$A$6:$T$150,COLUMN()/2+1,FALSE)=0,"",VLOOKUP($A71,数出表_Excel!$A$6:$T$150,COLUMN()/2+1,FALSE))),"")</f>
        <v/>
      </c>
      <c r="O71" s="91"/>
      <c r="P71" s="91" t="str">
        <f ca="1">IFERROR(VALUE(IF(VLOOKUP($A71,数出表_Excel!$A$6:$T$150,COLUMN()/2+1,FALSE)=0,"",VLOOKUP($A71,数出表_Excel!$A$6:$T$150,COLUMN()/2+1,FALSE))),"")</f>
        <v/>
      </c>
      <c r="Q71" s="91"/>
      <c r="R71" s="91" t="str">
        <f ca="1">IFERROR(VALUE(IF(VLOOKUP($A71,数出表_Excel!$A$6:$T$150,COLUMN()/2+1,FALSE)=0,"",VLOOKUP($A71,数出表_Excel!$A$6:$T$150,COLUMN()/2+1,FALSE))),"")</f>
        <v/>
      </c>
      <c r="S71" s="91"/>
      <c r="T71" s="91" t="str">
        <f ca="1">IFERROR(VALUE(IF(VLOOKUP($A71,数出表_Excel!$A$6:$T$150,COLUMN()/2+1,FALSE)=0,"",VLOOKUP($A71,数出表_Excel!$A$6:$T$150,COLUMN()/2+1,FALSE))),"")</f>
        <v/>
      </c>
      <c r="U71" s="91"/>
      <c r="V71" s="95" t="str">
        <f ca="1">IFERROR(VALUE(IF(VLOOKUP($A71,数出表_Excel!$A$6:$T$150,COLUMN()/2+1,FALSE)=0,"",VLOOKUP($A71,数出表_Excel!$A$6:$T$150,COLUMN()/2+1,FALSE))),"")</f>
        <v/>
      </c>
      <c r="W71" s="91"/>
      <c r="X71" s="95" t="str">
        <f ca="1">IFERROR(VALUE(IF(VLOOKUP($A71,数出表_Excel!$A$6:$T$150,COLUMN()/2+1,FALSE)=0,"",VLOOKUP($A71,数出表_Excel!$A$6:$T$150,COLUMN()/2+1,FALSE))),"")</f>
        <v/>
      </c>
      <c r="Y71" s="91"/>
      <c r="Z71" s="95" t="str">
        <f ca="1">IFERROR(VALUE(IF(VLOOKUP($A71,数出表_Excel!$A$6:$T$150,COLUMN()/2+1,FALSE)=0,"",VLOOKUP($A71,数出表_Excel!$A$6:$T$150,COLUMN()/2+1,FALSE))),"")</f>
        <v/>
      </c>
      <c r="AA71" s="129"/>
      <c r="AB71" s="96" t="str">
        <f ca="1">IFERROR(VALUE(IF(VLOOKUP($A71,数出表_Excel!$A$6:$T$150,COLUMN()/2+1,FALSE)=0,"",VLOOKUP($A71,数出表_Excel!$A$6:$T$150,COLUMN()/2+1,FALSE))),"")</f>
        <v/>
      </c>
      <c r="AC71" s="91"/>
      <c r="AD71" s="95" t="str">
        <f ca="1">IFERROR(VALUE(IF(VLOOKUP($A71,数出表_Excel!$A$6:$T$150,COLUMN()/2+1,FALSE)=0,"",VLOOKUP($A71,数出表_Excel!$A$6:$T$150,COLUMN()/2+1,FALSE))),"")</f>
        <v/>
      </c>
      <c r="AE71" s="91"/>
      <c r="AF71" s="95" t="str">
        <f ca="1">IFERROR(VALUE(IF(VLOOKUP($A71,数出表_Excel!$A$6:$T$150,COLUMN()/2+1,FALSE)=0,"",VLOOKUP($A71,数出表_Excel!$A$6:$T$150,COLUMN()/2+1,FALSE))),"")</f>
        <v/>
      </c>
      <c r="AG71" s="91"/>
      <c r="AH71" s="95" t="str">
        <f ca="1">IFERROR(VALUE(IF(VLOOKUP($A71,数出表_Excel!$A$6:$T$150,COLUMN()/2+1,FALSE)=0,"",VLOOKUP($A71,数出表_Excel!$A$6:$T$150,COLUMN()/2+1,FALSE))),"")</f>
        <v/>
      </c>
      <c r="AI71" s="129"/>
      <c r="AJ71" s="96" t="str">
        <f ca="1">IFERROR(VALUE(IF(VLOOKUP($A71,数出表_Excel!$A$6:$T$150,COLUMN()/2+1,FALSE)=0,"",VLOOKUP($A71,数出表_Excel!$A$6:$T$150,COLUMN()/2+1,FALSE))),"")</f>
        <v/>
      </c>
      <c r="AK71" s="91"/>
      <c r="AL71" s="97" t="e">
        <f ca="1">IF(A71&lt;&gt;"",
IF(VLOOKUP($A71,数出表_Excel!$A$6:$T$150,COLUMN()/2+1,FALSE)=0,"",VLOOKUP($A71,数出表_Excel!$A$6:$T$150,COLUMN()/2+1,FALSE)),"")</f>
        <v>#N/A</v>
      </c>
      <c r="AM71" s="177" t="e">
        <f>数出表_Excel!V71</f>
        <v>#N/A</v>
      </c>
      <c r="AN71" s="178" t="e">
        <f>数出表_Excel!W71</f>
        <v>#N/A</v>
      </c>
    </row>
    <row r="72" spans="1:40" ht="16.2" customHeight="1">
      <c r="A72" s="137" t="e">
        <f t="array" aca="1" ref="A72" ca="1">IF(OR(COUNTIF(A70,"*10002*"),COUNTIF(A70,"")),"",INDEX(貼り付け用!$A1:$A200,MATCH(A70,貼り付け用!$A1:$A200,0)+2,0))</f>
        <v>#N/A</v>
      </c>
      <c r="B72" s="125" t="str">
        <f ca="1">IFERROR(VALUE(IF(VLOOKUP($A72,数出表_Excel!$A$6:$T$150,COLUMN()/2+1,FALSE)=0,"",VLOOKUP($A72,数出表_Excel!$A$6:$T$150,COLUMN()/2+1,FALSE))),"")</f>
        <v/>
      </c>
      <c r="C72" s="90"/>
      <c r="D72" s="125" t="str">
        <f ca="1">IFERROR(VALUE(IF(VLOOKUP($A72,数出表_Excel!$A$6:$T$150,COLUMN()/2+1,FALSE)=0,"",VLOOKUP($A72,数出表_Excel!$A$6:$T$150,COLUMN()/2+1,FALSE))),"")</f>
        <v/>
      </c>
      <c r="E72" s="90"/>
      <c r="F72" s="127" t="str">
        <f ca="1">IFERROR(VALUE(IF(VLOOKUP($A72,数出表_Excel!$A$6:$T$150,COLUMN()/2+1,FALSE)=0,"",VLOOKUP($A72,数出表_Excel!$A$6:$T$150,COLUMN()/2+1,FALSE))),"")</f>
        <v/>
      </c>
      <c r="G72" s="90"/>
      <c r="H72" s="125" t="str">
        <f ca="1">IFERROR(VALUE(IF(VLOOKUP($A72,数出表_Excel!$A$6:$T$150,COLUMN()/2+1,FALSE)=0,"",VLOOKUP($A72,数出表_Excel!$A$6:$T$150,COLUMN()/2+1,FALSE))),"")</f>
        <v/>
      </c>
      <c r="I72" s="90"/>
      <c r="J72" s="125" t="str">
        <f ca="1">IFERROR(VALUE(IF(VLOOKUP($A72,数出表_Excel!$A$6:$T$150,COLUMN()/2+1,FALSE)=0,"",VLOOKUP($A72,数出表_Excel!$A$6:$T$150,COLUMN()/2+1,FALSE))),"")</f>
        <v/>
      </c>
      <c r="K72" s="90"/>
      <c r="L72" s="127" t="str">
        <f ca="1">IFERROR(VALUE(IF(VLOOKUP($A72,数出表_Excel!$A$6:$T$150,COLUMN()/2+1,FALSE)=0,"",VLOOKUP($A72,数出表_Excel!$A$6:$T$150,COLUMN()/2+1,FALSE))),"")</f>
        <v/>
      </c>
      <c r="M72" s="90"/>
      <c r="N72" s="125" t="str">
        <f ca="1">IFERROR(VALUE(IF(VLOOKUP($A72,数出表_Excel!$A$6:$T$150,COLUMN()/2+1,FALSE)=0,"",VLOOKUP($A72,数出表_Excel!$A$6:$T$150,COLUMN()/2+1,FALSE))),"")</f>
        <v/>
      </c>
      <c r="O72" s="90"/>
      <c r="P72" s="125" t="str">
        <f ca="1">IFERROR(VALUE(IF(VLOOKUP($A72,数出表_Excel!$A$6:$T$150,COLUMN()/2+1,FALSE)=0,"",VLOOKUP($A72,数出表_Excel!$A$6:$T$150,COLUMN()/2+1,FALSE))),"")</f>
        <v/>
      </c>
      <c r="Q72" s="90"/>
      <c r="R72" s="125" t="str">
        <f ca="1">IFERROR(VALUE(IF(VLOOKUP($A72,数出表_Excel!$A$6:$T$150,COLUMN()/2+1,FALSE)=0,"",VLOOKUP($A72,数出表_Excel!$A$6:$T$150,COLUMN()/2+1,FALSE))),"")</f>
        <v/>
      </c>
      <c r="S72" s="90"/>
      <c r="T72" s="125" t="str">
        <f ca="1">IFERROR(VALUE(IF(VLOOKUP($A72,数出表_Excel!$A$6:$T$150,COLUMN()/2+1,FALSE)=0,"",VLOOKUP($A72,数出表_Excel!$A$6:$T$150,COLUMN()/2+1,FALSE))),"")</f>
        <v/>
      </c>
      <c r="U72" s="90"/>
      <c r="V72" s="127" t="str">
        <f ca="1">IFERROR(VALUE(IF(VLOOKUP($A72,数出表_Excel!$A$6:$T$150,COLUMN()/2+1,FALSE)=0,"",VLOOKUP($A72,数出表_Excel!$A$6:$T$150,COLUMN()/2+1,FALSE))),"")</f>
        <v/>
      </c>
      <c r="W72" s="90"/>
      <c r="X72" s="127" t="str">
        <f ca="1">IFERROR(VALUE(IF(VLOOKUP($A72,数出表_Excel!$A$6:$T$150,COLUMN()/2+1,FALSE)=0,"",VLOOKUP($A72,数出表_Excel!$A$6:$T$150,COLUMN()/2+1,FALSE))),"")</f>
        <v/>
      </c>
      <c r="Y72" s="90"/>
      <c r="Z72" s="127" t="str">
        <f ca="1">IFERROR(VALUE(IF(VLOOKUP($A72,数出表_Excel!$A$6:$T$150,COLUMN()/2+1,FALSE)=0,"",VLOOKUP($A72,数出表_Excel!$A$6:$T$150,COLUMN()/2+1,FALSE))),"")</f>
        <v/>
      </c>
      <c r="AA72" s="128"/>
      <c r="AB72" s="126" t="str">
        <f ca="1">IFERROR(VALUE(IF(VLOOKUP($A72,数出表_Excel!$A$6:$T$150,COLUMN()/2+1,FALSE)=0,"",VLOOKUP($A72,数出表_Excel!$A$6:$T$150,COLUMN()/2+1,FALSE))),"")</f>
        <v/>
      </c>
      <c r="AC72" s="90"/>
      <c r="AD72" s="127" t="str">
        <f ca="1">IFERROR(VALUE(IF(VLOOKUP($A72,数出表_Excel!$A$6:$T$150,COLUMN()/2+1,FALSE)=0,"",VLOOKUP($A72,数出表_Excel!$A$6:$T$150,COLUMN()/2+1,FALSE))),"")</f>
        <v/>
      </c>
      <c r="AE72" s="90"/>
      <c r="AF72" s="127" t="str">
        <f ca="1">IFERROR(VALUE(IF(VLOOKUP($A72,数出表_Excel!$A$6:$T$150,COLUMN()/2+1,FALSE)=0,"",VLOOKUP($A72,数出表_Excel!$A$6:$T$150,COLUMN()/2+1,FALSE))),"")</f>
        <v/>
      </c>
      <c r="AG72" s="90"/>
      <c r="AH72" s="127" t="str">
        <f ca="1">IFERROR(VALUE(IF(VLOOKUP($A72,数出表_Excel!$A$6:$T$150,COLUMN()/2+1,FALSE)=0,"",VLOOKUP($A72,数出表_Excel!$A$6:$T$150,COLUMN()/2+1,FALSE))),"")</f>
        <v/>
      </c>
      <c r="AI72" s="128"/>
      <c r="AJ72" s="126" t="str">
        <f ca="1">IFERROR(VALUE(IF(VLOOKUP($A72,数出表_Excel!$A$6:$T$150,COLUMN()/2+1,FALSE)=0,"",VLOOKUP($A72,数出表_Excel!$A$6:$T$150,COLUMN()/2+1,FALSE))),"")</f>
        <v/>
      </c>
      <c r="AK72" s="90"/>
      <c r="AL72" s="94" t="e">
        <f ca="1">IF(A72&lt;&gt;"",
IF(VLOOKUP($A72,数出表_Excel!$A$6:$T$150,COLUMN()/2+1,FALSE)=0,"",VLOOKUP($A72,数出表_Excel!$A$6:$T$150,COLUMN()/2+1,FALSE)),"")</f>
        <v>#N/A</v>
      </c>
      <c r="AM72" s="175" t="e">
        <f>数出表_Excel!V72</f>
        <v>#N/A</v>
      </c>
      <c r="AN72" s="176" t="e">
        <f>数出表_Excel!W72</f>
        <v>#N/A</v>
      </c>
    </row>
    <row r="73" spans="1:40" ht="16.2" customHeight="1">
      <c r="A73" s="138" t="e">
        <f t="array" aca="1" ref="A73" ca="1">IF(OR(COUNTIF(A71,"*1000*"),COUNTIF(A71,"")),"",INDEX(貼り付け用!$A1:$A200,MATCH(A71,貼り付け用!$A1:$A200,0)+2,0))</f>
        <v>#N/A</v>
      </c>
      <c r="B73" s="91" t="str">
        <f ca="1">IFERROR(VALUE(IF(VLOOKUP($A73,数出表_Excel!$A$6:$T$150,COLUMN()/2+1,FALSE)=0,"",VLOOKUP($A73,数出表_Excel!$A$6:$T$150,COLUMN()/2+1,FALSE))),"")</f>
        <v/>
      </c>
      <c r="C73" s="91"/>
      <c r="D73" s="91" t="str">
        <f ca="1">IFERROR(VALUE(IF(VLOOKUP($A73,数出表_Excel!$A$6:$T$150,COLUMN()/2+1,FALSE)=0,"",VLOOKUP($A73,数出表_Excel!$A$6:$T$150,COLUMN()/2+1,FALSE))),"")</f>
        <v/>
      </c>
      <c r="E73" s="91"/>
      <c r="F73" s="95" t="str">
        <f ca="1">IFERROR(VALUE(IF(VLOOKUP($A73,数出表_Excel!$A$6:$T$150,COLUMN()/2+1,FALSE)=0,"",VLOOKUP($A73,数出表_Excel!$A$6:$T$150,COLUMN()/2+1,FALSE))),"")</f>
        <v/>
      </c>
      <c r="G73" s="91"/>
      <c r="H73" s="91" t="str">
        <f ca="1">IFERROR(VALUE(IF(VLOOKUP($A73,数出表_Excel!$A$6:$T$150,COLUMN()/2+1,FALSE)=0,"",VLOOKUP($A73,数出表_Excel!$A$6:$T$150,COLUMN()/2+1,FALSE))),"")</f>
        <v/>
      </c>
      <c r="I73" s="91"/>
      <c r="J73" s="91" t="str">
        <f ca="1">IFERROR(VALUE(IF(VLOOKUP($A73,数出表_Excel!$A$6:$T$150,COLUMN()/2+1,FALSE)=0,"",VLOOKUP($A73,数出表_Excel!$A$6:$T$150,COLUMN()/2+1,FALSE))),"")</f>
        <v/>
      </c>
      <c r="K73" s="91"/>
      <c r="L73" s="95" t="str">
        <f ca="1">IFERROR(VALUE(IF(VLOOKUP($A73,数出表_Excel!$A$6:$T$150,COLUMN()/2+1,FALSE)=0,"",VLOOKUP($A73,数出表_Excel!$A$6:$T$150,COLUMN()/2+1,FALSE))),"")</f>
        <v/>
      </c>
      <c r="M73" s="91"/>
      <c r="N73" s="91" t="str">
        <f ca="1">IFERROR(VALUE(IF(VLOOKUP($A73,数出表_Excel!$A$6:$T$150,COLUMN()/2+1,FALSE)=0,"",VLOOKUP($A73,数出表_Excel!$A$6:$T$150,COLUMN()/2+1,FALSE))),"")</f>
        <v/>
      </c>
      <c r="O73" s="91"/>
      <c r="P73" s="91" t="str">
        <f ca="1">IFERROR(VALUE(IF(VLOOKUP($A73,数出表_Excel!$A$6:$T$150,COLUMN()/2+1,FALSE)=0,"",VLOOKUP($A73,数出表_Excel!$A$6:$T$150,COLUMN()/2+1,FALSE))),"")</f>
        <v/>
      </c>
      <c r="Q73" s="91"/>
      <c r="R73" s="91" t="str">
        <f ca="1">IFERROR(VALUE(IF(VLOOKUP($A73,数出表_Excel!$A$6:$T$150,COLUMN()/2+1,FALSE)=0,"",VLOOKUP($A73,数出表_Excel!$A$6:$T$150,COLUMN()/2+1,FALSE))),"")</f>
        <v/>
      </c>
      <c r="S73" s="91"/>
      <c r="T73" s="91" t="str">
        <f ca="1">IFERROR(VALUE(IF(VLOOKUP($A73,数出表_Excel!$A$6:$T$150,COLUMN()/2+1,FALSE)=0,"",VLOOKUP($A73,数出表_Excel!$A$6:$T$150,COLUMN()/2+1,FALSE))),"")</f>
        <v/>
      </c>
      <c r="U73" s="91"/>
      <c r="V73" s="95" t="str">
        <f ca="1">IFERROR(VALUE(IF(VLOOKUP($A73,数出表_Excel!$A$6:$T$150,COLUMN()/2+1,FALSE)=0,"",VLOOKUP($A73,数出表_Excel!$A$6:$T$150,COLUMN()/2+1,FALSE))),"")</f>
        <v/>
      </c>
      <c r="W73" s="91"/>
      <c r="X73" s="95" t="str">
        <f ca="1">IFERROR(VALUE(IF(VLOOKUP($A73,数出表_Excel!$A$6:$T$150,COLUMN()/2+1,FALSE)=0,"",VLOOKUP($A73,数出表_Excel!$A$6:$T$150,COLUMN()/2+1,FALSE))),"")</f>
        <v/>
      </c>
      <c r="Y73" s="91"/>
      <c r="Z73" s="95" t="str">
        <f ca="1">IFERROR(VALUE(IF(VLOOKUP($A73,数出表_Excel!$A$6:$T$150,COLUMN()/2+1,FALSE)=0,"",VLOOKUP($A73,数出表_Excel!$A$6:$T$150,COLUMN()/2+1,FALSE))),"")</f>
        <v/>
      </c>
      <c r="AA73" s="129"/>
      <c r="AB73" s="96" t="str">
        <f ca="1">IFERROR(VALUE(IF(VLOOKUP($A73,数出表_Excel!$A$6:$T$150,COLUMN()/2+1,FALSE)=0,"",VLOOKUP($A73,数出表_Excel!$A$6:$T$150,COLUMN()/2+1,FALSE))),"")</f>
        <v/>
      </c>
      <c r="AC73" s="91"/>
      <c r="AD73" s="95" t="str">
        <f ca="1">IFERROR(VALUE(IF(VLOOKUP($A73,数出表_Excel!$A$6:$T$150,COLUMN()/2+1,FALSE)=0,"",VLOOKUP($A73,数出表_Excel!$A$6:$T$150,COLUMN()/2+1,FALSE))),"")</f>
        <v/>
      </c>
      <c r="AE73" s="91"/>
      <c r="AF73" s="95" t="str">
        <f ca="1">IFERROR(VALUE(IF(VLOOKUP($A73,数出表_Excel!$A$6:$T$150,COLUMN()/2+1,FALSE)=0,"",VLOOKUP($A73,数出表_Excel!$A$6:$T$150,COLUMN()/2+1,FALSE))),"")</f>
        <v/>
      </c>
      <c r="AG73" s="91"/>
      <c r="AH73" s="95" t="str">
        <f ca="1">IFERROR(VALUE(IF(VLOOKUP($A73,数出表_Excel!$A$6:$T$150,COLUMN()/2+1,FALSE)=0,"",VLOOKUP($A73,数出表_Excel!$A$6:$T$150,COLUMN()/2+1,FALSE))),"")</f>
        <v/>
      </c>
      <c r="AI73" s="129"/>
      <c r="AJ73" s="96" t="str">
        <f ca="1">IFERROR(VALUE(IF(VLOOKUP($A73,数出表_Excel!$A$6:$T$150,COLUMN()/2+1,FALSE)=0,"",VLOOKUP($A73,数出表_Excel!$A$6:$T$150,COLUMN()/2+1,FALSE))),"")</f>
        <v/>
      </c>
      <c r="AK73" s="91"/>
      <c r="AL73" s="97" t="e">
        <f ca="1">IF(A73&lt;&gt;"",
IF(VLOOKUP($A73,数出表_Excel!$A$6:$T$150,COLUMN()/2+1,FALSE)=0,"",VLOOKUP($A73,数出表_Excel!$A$6:$T$150,COLUMN()/2+1,FALSE)),"")</f>
        <v>#N/A</v>
      </c>
      <c r="AM73" s="177" t="e">
        <f>数出表_Excel!V73</f>
        <v>#N/A</v>
      </c>
      <c r="AN73" s="178" t="e">
        <f>数出表_Excel!W73</f>
        <v>#N/A</v>
      </c>
    </row>
    <row r="74" spans="1:40" ht="16.2" customHeight="1">
      <c r="A74" s="137" t="e">
        <f t="array" aca="1" ref="A74" ca="1">IF(OR(COUNTIF(A72,"*10002*"),COUNTIF(A72,"")),"",INDEX(貼り付け用!$A1:$A200,MATCH(A72,貼り付け用!$A1:$A200,0)+2,0))</f>
        <v>#N/A</v>
      </c>
      <c r="B74" s="125" t="str">
        <f ca="1">IFERROR(VALUE(IF(VLOOKUP($A74,数出表_Excel!$A$6:$T$150,COLUMN()/2+1,FALSE)=0,"",VLOOKUP($A74,数出表_Excel!$A$6:$T$150,COLUMN()/2+1,FALSE))),"")</f>
        <v/>
      </c>
      <c r="C74" s="90"/>
      <c r="D74" s="125" t="str">
        <f ca="1">IFERROR(VALUE(IF(VLOOKUP($A74,数出表_Excel!$A$6:$T$150,COLUMN()/2+1,FALSE)=0,"",VLOOKUP($A74,数出表_Excel!$A$6:$T$150,COLUMN()/2+1,FALSE))),"")</f>
        <v/>
      </c>
      <c r="E74" s="90"/>
      <c r="F74" s="127" t="str">
        <f ca="1">IFERROR(VALUE(IF(VLOOKUP($A74,数出表_Excel!$A$6:$T$150,COLUMN()/2+1,FALSE)=0,"",VLOOKUP($A74,数出表_Excel!$A$6:$T$150,COLUMN()/2+1,FALSE))),"")</f>
        <v/>
      </c>
      <c r="G74" s="90"/>
      <c r="H74" s="125" t="str">
        <f ca="1">IFERROR(VALUE(IF(VLOOKUP($A74,数出表_Excel!$A$6:$T$150,COLUMN()/2+1,FALSE)=0,"",VLOOKUP($A74,数出表_Excel!$A$6:$T$150,COLUMN()/2+1,FALSE))),"")</f>
        <v/>
      </c>
      <c r="I74" s="90"/>
      <c r="J74" s="125" t="str">
        <f ca="1">IFERROR(VALUE(IF(VLOOKUP($A74,数出表_Excel!$A$6:$T$150,COLUMN()/2+1,FALSE)=0,"",VLOOKUP($A74,数出表_Excel!$A$6:$T$150,COLUMN()/2+1,FALSE))),"")</f>
        <v/>
      </c>
      <c r="K74" s="90"/>
      <c r="L74" s="127" t="str">
        <f ca="1">IFERROR(VALUE(IF(VLOOKUP($A74,数出表_Excel!$A$6:$T$150,COLUMN()/2+1,FALSE)=0,"",VLOOKUP($A74,数出表_Excel!$A$6:$T$150,COLUMN()/2+1,FALSE))),"")</f>
        <v/>
      </c>
      <c r="M74" s="90"/>
      <c r="N74" s="125" t="str">
        <f ca="1">IFERROR(VALUE(IF(VLOOKUP($A74,数出表_Excel!$A$6:$T$150,COLUMN()/2+1,FALSE)=0,"",VLOOKUP($A74,数出表_Excel!$A$6:$T$150,COLUMN()/2+1,FALSE))),"")</f>
        <v/>
      </c>
      <c r="O74" s="90"/>
      <c r="P74" s="125" t="str">
        <f ca="1">IFERROR(VALUE(IF(VLOOKUP($A74,数出表_Excel!$A$6:$T$150,COLUMN()/2+1,FALSE)=0,"",VLOOKUP($A74,数出表_Excel!$A$6:$T$150,COLUMN()/2+1,FALSE))),"")</f>
        <v/>
      </c>
      <c r="Q74" s="90"/>
      <c r="R74" s="125" t="str">
        <f ca="1">IFERROR(VALUE(IF(VLOOKUP($A74,数出表_Excel!$A$6:$T$150,COLUMN()/2+1,FALSE)=0,"",VLOOKUP($A74,数出表_Excel!$A$6:$T$150,COLUMN()/2+1,FALSE))),"")</f>
        <v/>
      </c>
      <c r="S74" s="90"/>
      <c r="T74" s="125" t="str">
        <f ca="1">IFERROR(VALUE(IF(VLOOKUP($A74,数出表_Excel!$A$6:$T$150,COLUMN()/2+1,FALSE)=0,"",VLOOKUP($A74,数出表_Excel!$A$6:$T$150,COLUMN()/2+1,FALSE))),"")</f>
        <v/>
      </c>
      <c r="U74" s="90"/>
      <c r="V74" s="127" t="str">
        <f ca="1">IFERROR(VALUE(IF(VLOOKUP($A74,数出表_Excel!$A$6:$T$150,COLUMN()/2+1,FALSE)=0,"",VLOOKUP($A74,数出表_Excel!$A$6:$T$150,COLUMN()/2+1,FALSE))),"")</f>
        <v/>
      </c>
      <c r="W74" s="90"/>
      <c r="X74" s="127" t="str">
        <f ca="1">IFERROR(VALUE(IF(VLOOKUP($A74,数出表_Excel!$A$6:$T$150,COLUMN()/2+1,FALSE)=0,"",VLOOKUP($A74,数出表_Excel!$A$6:$T$150,COLUMN()/2+1,FALSE))),"")</f>
        <v/>
      </c>
      <c r="Y74" s="90"/>
      <c r="Z74" s="127" t="str">
        <f ca="1">IFERROR(VALUE(IF(VLOOKUP($A74,数出表_Excel!$A$6:$T$150,COLUMN()/2+1,FALSE)=0,"",VLOOKUP($A74,数出表_Excel!$A$6:$T$150,COLUMN()/2+1,FALSE))),"")</f>
        <v/>
      </c>
      <c r="AA74" s="128"/>
      <c r="AB74" s="126" t="str">
        <f ca="1">IFERROR(VALUE(IF(VLOOKUP($A74,数出表_Excel!$A$6:$T$150,COLUMN()/2+1,FALSE)=0,"",VLOOKUP($A74,数出表_Excel!$A$6:$T$150,COLUMN()/2+1,FALSE))),"")</f>
        <v/>
      </c>
      <c r="AC74" s="90"/>
      <c r="AD74" s="127" t="str">
        <f ca="1">IFERROR(VALUE(IF(VLOOKUP($A74,数出表_Excel!$A$6:$T$150,COLUMN()/2+1,FALSE)=0,"",VLOOKUP($A74,数出表_Excel!$A$6:$T$150,COLUMN()/2+1,FALSE))),"")</f>
        <v/>
      </c>
      <c r="AE74" s="90"/>
      <c r="AF74" s="127" t="str">
        <f ca="1">IFERROR(VALUE(IF(VLOOKUP($A74,数出表_Excel!$A$6:$T$150,COLUMN()/2+1,FALSE)=0,"",VLOOKUP($A74,数出表_Excel!$A$6:$T$150,COLUMN()/2+1,FALSE))),"")</f>
        <v/>
      </c>
      <c r="AG74" s="90"/>
      <c r="AH74" s="127" t="str">
        <f ca="1">IFERROR(VALUE(IF(VLOOKUP($A74,数出表_Excel!$A$6:$T$150,COLUMN()/2+1,FALSE)=0,"",VLOOKUP($A74,数出表_Excel!$A$6:$T$150,COLUMN()/2+1,FALSE))),"")</f>
        <v/>
      </c>
      <c r="AI74" s="128"/>
      <c r="AJ74" s="126" t="str">
        <f ca="1">IFERROR(VALUE(IF(VLOOKUP($A74,数出表_Excel!$A$6:$T$150,COLUMN()/2+1,FALSE)=0,"",VLOOKUP($A74,数出表_Excel!$A$6:$T$150,COLUMN()/2+1,FALSE))),"")</f>
        <v/>
      </c>
      <c r="AK74" s="90"/>
      <c r="AL74" s="94" t="e">
        <f ca="1">IF(A74&lt;&gt;"",
IF(VLOOKUP($A74,数出表_Excel!$A$6:$T$150,COLUMN()/2+1,FALSE)=0,"",VLOOKUP($A74,数出表_Excel!$A$6:$T$150,COLUMN()/2+1,FALSE)),"")</f>
        <v>#N/A</v>
      </c>
      <c r="AM74" s="175" t="e">
        <f>数出表_Excel!V74</f>
        <v>#N/A</v>
      </c>
      <c r="AN74" s="176" t="e">
        <f>数出表_Excel!W74</f>
        <v>#N/A</v>
      </c>
    </row>
    <row r="75" spans="1:40" ht="16.2" customHeight="1">
      <c r="A75" s="138" t="e">
        <f t="array" aca="1" ref="A75" ca="1">IF(OR(COUNTIF(A73,"*1000*"),COUNTIF(A73,"")),"",INDEX(貼り付け用!$A1:$A200,MATCH(A73,貼り付け用!$A1:$A200,0)+2,0))</f>
        <v>#N/A</v>
      </c>
      <c r="B75" s="91" t="str">
        <f ca="1">IFERROR(VALUE(IF(VLOOKUP($A75,数出表_Excel!$A$6:$T$150,COLUMN()/2+1,FALSE)=0,"",VLOOKUP($A75,数出表_Excel!$A$6:$T$150,COLUMN()/2+1,FALSE))),"")</f>
        <v/>
      </c>
      <c r="C75" s="91"/>
      <c r="D75" s="91" t="str">
        <f ca="1">IFERROR(VALUE(IF(VLOOKUP($A75,数出表_Excel!$A$6:$T$150,COLUMN()/2+1,FALSE)=0,"",VLOOKUP($A75,数出表_Excel!$A$6:$T$150,COLUMN()/2+1,FALSE))),"")</f>
        <v/>
      </c>
      <c r="E75" s="91"/>
      <c r="F75" s="95" t="str">
        <f ca="1">IFERROR(VALUE(IF(VLOOKUP($A75,数出表_Excel!$A$6:$T$150,COLUMN()/2+1,FALSE)=0,"",VLOOKUP($A75,数出表_Excel!$A$6:$T$150,COLUMN()/2+1,FALSE))),"")</f>
        <v/>
      </c>
      <c r="G75" s="91"/>
      <c r="H75" s="91" t="str">
        <f ca="1">IFERROR(VALUE(IF(VLOOKUP($A75,数出表_Excel!$A$6:$T$150,COLUMN()/2+1,FALSE)=0,"",VLOOKUP($A75,数出表_Excel!$A$6:$T$150,COLUMN()/2+1,FALSE))),"")</f>
        <v/>
      </c>
      <c r="I75" s="91"/>
      <c r="J75" s="91" t="str">
        <f ca="1">IFERROR(VALUE(IF(VLOOKUP($A75,数出表_Excel!$A$6:$T$150,COLUMN()/2+1,FALSE)=0,"",VLOOKUP($A75,数出表_Excel!$A$6:$T$150,COLUMN()/2+1,FALSE))),"")</f>
        <v/>
      </c>
      <c r="K75" s="91"/>
      <c r="L75" s="95" t="str">
        <f ca="1">IFERROR(VALUE(IF(VLOOKUP($A75,数出表_Excel!$A$6:$T$150,COLUMN()/2+1,FALSE)=0,"",VLOOKUP($A75,数出表_Excel!$A$6:$T$150,COLUMN()/2+1,FALSE))),"")</f>
        <v/>
      </c>
      <c r="M75" s="91"/>
      <c r="N75" s="91" t="str">
        <f ca="1">IFERROR(VALUE(IF(VLOOKUP($A75,数出表_Excel!$A$6:$T$150,COLUMN()/2+1,FALSE)=0,"",VLOOKUP($A75,数出表_Excel!$A$6:$T$150,COLUMN()/2+1,FALSE))),"")</f>
        <v/>
      </c>
      <c r="O75" s="91"/>
      <c r="P75" s="91" t="str">
        <f ca="1">IFERROR(VALUE(IF(VLOOKUP($A75,数出表_Excel!$A$6:$T$150,COLUMN()/2+1,FALSE)=0,"",VLOOKUP($A75,数出表_Excel!$A$6:$T$150,COLUMN()/2+1,FALSE))),"")</f>
        <v/>
      </c>
      <c r="Q75" s="91"/>
      <c r="R75" s="91" t="str">
        <f ca="1">IFERROR(VALUE(IF(VLOOKUP($A75,数出表_Excel!$A$6:$T$150,COLUMN()/2+1,FALSE)=0,"",VLOOKUP($A75,数出表_Excel!$A$6:$T$150,COLUMN()/2+1,FALSE))),"")</f>
        <v/>
      </c>
      <c r="S75" s="91"/>
      <c r="T75" s="91" t="str">
        <f ca="1">IFERROR(VALUE(IF(VLOOKUP($A75,数出表_Excel!$A$6:$T$150,COLUMN()/2+1,FALSE)=0,"",VLOOKUP($A75,数出表_Excel!$A$6:$T$150,COLUMN()/2+1,FALSE))),"")</f>
        <v/>
      </c>
      <c r="U75" s="91"/>
      <c r="V75" s="95" t="str">
        <f ca="1">IFERROR(VALUE(IF(VLOOKUP($A75,数出表_Excel!$A$6:$T$150,COLUMN()/2+1,FALSE)=0,"",VLOOKUP($A75,数出表_Excel!$A$6:$T$150,COLUMN()/2+1,FALSE))),"")</f>
        <v/>
      </c>
      <c r="W75" s="91"/>
      <c r="X75" s="95" t="str">
        <f ca="1">IFERROR(VALUE(IF(VLOOKUP($A75,数出表_Excel!$A$6:$T$150,COLUMN()/2+1,FALSE)=0,"",VLOOKUP($A75,数出表_Excel!$A$6:$T$150,COLUMN()/2+1,FALSE))),"")</f>
        <v/>
      </c>
      <c r="Y75" s="91"/>
      <c r="Z75" s="95" t="str">
        <f ca="1">IFERROR(VALUE(IF(VLOOKUP($A75,数出表_Excel!$A$6:$T$150,COLUMN()/2+1,FALSE)=0,"",VLOOKUP($A75,数出表_Excel!$A$6:$T$150,COLUMN()/2+1,FALSE))),"")</f>
        <v/>
      </c>
      <c r="AA75" s="129"/>
      <c r="AB75" s="96" t="str">
        <f ca="1">IFERROR(VALUE(IF(VLOOKUP($A75,数出表_Excel!$A$6:$T$150,COLUMN()/2+1,FALSE)=0,"",VLOOKUP($A75,数出表_Excel!$A$6:$T$150,COLUMN()/2+1,FALSE))),"")</f>
        <v/>
      </c>
      <c r="AC75" s="91"/>
      <c r="AD75" s="95" t="str">
        <f ca="1">IFERROR(VALUE(IF(VLOOKUP($A75,数出表_Excel!$A$6:$T$150,COLUMN()/2+1,FALSE)=0,"",VLOOKUP($A75,数出表_Excel!$A$6:$T$150,COLUMN()/2+1,FALSE))),"")</f>
        <v/>
      </c>
      <c r="AE75" s="91"/>
      <c r="AF75" s="95" t="str">
        <f ca="1">IFERROR(VALUE(IF(VLOOKUP($A75,数出表_Excel!$A$6:$T$150,COLUMN()/2+1,FALSE)=0,"",VLOOKUP($A75,数出表_Excel!$A$6:$T$150,COLUMN()/2+1,FALSE))),"")</f>
        <v/>
      </c>
      <c r="AG75" s="91"/>
      <c r="AH75" s="95" t="str">
        <f ca="1">IFERROR(VALUE(IF(VLOOKUP($A75,数出表_Excel!$A$6:$T$150,COLUMN()/2+1,FALSE)=0,"",VLOOKUP($A75,数出表_Excel!$A$6:$T$150,COLUMN()/2+1,FALSE))),"")</f>
        <v/>
      </c>
      <c r="AI75" s="129"/>
      <c r="AJ75" s="96" t="str">
        <f ca="1">IFERROR(VALUE(IF(VLOOKUP($A75,数出表_Excel!$A$6:$T$150,COLUMN()/2+1,FALSE)=0,"",VLOOKUP($A75,数出表_Excel!$A$6:$T$150,COLUMN()/2+1,FALSE))),"")</f>
        <v/>
      </c>
      <c r="AK75" s="91"/>
      <c r="AL75" s="97" t="e">
        <f ca="1">IF(A75&lt;&gt;"",
IF(VLOOKUP($A75,数出表_Excel!$A$6:$T$150,COLUMN()/2+1,FALSE)=0,"",VLOOKUP($A75,数出表_Excel!$A$6:$T$150,COLUMN()/2+1,FALSE)),"")</f>
        <v>#N/A</v>
      </c>
      <c r="AM75" s="177" t="e">
        <f>数出表_Excel!V75</f>
        <v>#N/A</v>
      </c>
      <c r="AN75" s="178" t="e">
        <f>数出表_Excel!W75</f>
        <v>#N/A</v>
      </c>
    </row>
    <row r="76" spans="1:40" ht="16.2" customHeight="1">
      <c r="A76" s="137" t="e">
        <f t="array" aca="1" ref="A76" ca="1">IF(OR(COUNTIF(A74,"*10002*"),COUNTIF(A74,"")),"",INDEX(貼り付け用!$A1:$A200,MATCH(A74,貼り付け用!$A1:$A200,0)+2,0))</f>
        <v>#N/A</v>
      </c>
      <c r="B76" s="125" t="str">
        <f ca="1">IFERROR(VALUE(IF(VLOOKUP($A76,数出表_Excel!$A$6:$T$150,COLUMN()/2+1,FALSE)=0,"",VLOOKUP($A76,数出表_Excel!$A$6:$T$150,COLUMN()/2+1,FALSE))),"")</f>
        <v/>
      </c>
      <c r="C76" s="90"/>
      <c r="D76" s="125" t="str">
        <f ca="1">IFERROR(VALUE(IF(VLOOKUP($A76,数出表_Excel!$A$6:$T$150,COLUMN()/2+1,FALSE)=0,"",VLOOKUP($A76,数出表_Excel!$A$6:$T$150,COLUMN()/2+1,FALSE))),"")</f>
        <v/>
      </c>
      <c r="E76" s="90"/>
      <c r="F76" s="127" t="str">
        <f ca="1">IFERROR(VALUE(IF(VLOOKUP($A76,数出表_Excel!$A$6:$T$150,COLUMN()/2+1,FALSE)=0,"",VLOOKUP($A76,数出表_Excel!$A$6:$T$150,COLUMN()/2+1,FALSE))),"")</f>
        <v/>
      </c>
      <c r="G76" s="90"/>
      <c r="H76" s="125" t="str">
        <f ca="1">IFERROR(VALUE(IF(VLOOKUP($A76,数出表_Excel!$A$6:$T$150,COLUMN()/2+1,FALSE)=0,"",VLOOKUP($A76,数出表_Excel!$A$6:$T$150,COLUMN()/2+1,FALSE))),"")</f>
        <v/>
      </c>
      <c r="I76" s="90"/>
      <c r="J76" s="125" t="str">
        <f ca="1">IFERROR(VALUE(IF(VLOOKUP($A76,数出表_Excel!$A$6:$T$150,COLUMN()/2+1,FALSE)=0,"",VLOOKUP($A76,数出表_Excel!$A$6:$T$150,COLUMN()/2+1,FALSE))),"")</f>
        <v/>
      </c>
      <c r="K76" s="90"/>
      <c r="L76" s="127" t="str">
        <f ca="1">IFERROR(VALUE(IF(VLOOKUP($A76,数出表_Excel!$A$6:$T$150,COLUMN()/2+1,FALSE)=0,"",VLOOKUP($A76,数出表_Excel!$A$6:$T$150,COLUMN()/2+1,FALSE))),"")</f>
        <v/>
      </c>
      <c r="M76" s="90"/>
      <c r="N76" s="125" t="str">
        <f ca="1">IFERROR(VALUE(IF(VLOOKUP($A76,数出表_Excel!$A$6:$T$150,COLUMN()/2+1,FALSE)=0,"",VLOOKUP($A76,数出表_Excel!$A$6:$T$150,COLUMN()/2+1,FALSE))),"")</f>
        <v/>
      </c>
      <c r="O76" s="90"/>
      <c r="P76" s="125" t="str">
        <f ca="1">IFERROR(VALUE(IF(VLOOKUP($A76,数出表_Excel!$A$6:$T$150,COLUMN()/2+1,FALSE)=0,"",VLOOKUP($A76,数出表_Excel!$A$6:$T$150,COLUMN()/2+1,FALSE))),"")</f>
        <v/>
      </c>
      <c r="Q76" s="90"/>
      <c r="R76" s="125" t="str">
        <f ca="1">IFERROR(VALUE(IF(VLOOKUP($A76,数出表_Excel!$A$6:$T$150,COLUMN()/2+1,FALSE)=0,"",VLOOKUP($A76,数出表_Excel!$A$6:$T$150,COLUMN()/2+1,FALSE))),"")</f>
        <v/>
      </c>
      <c r="S76" s="90"/>
      <c r="T76" s="125" t="str">
        <f ca="1">IFERROR(VALUE(IF(VLOOKUP($A76,数出表_Excel!$A$6:$T$150,COLUMN()/2+1,FALSE)=0,"",VLOOKUP($A76,数出表_Excel!$A$6:$T$150,COLUMN()/2+1,FALSE))),"")</f>
        <v/>
      </c>
      <c r="U76" s="90"/>
      <c r="V76" s="127" t="str">
        <f ca="1">IFERROR(VALUE(IF(VLOOKUP($A76,数出表_Excel!$A$6:$T$150,COLUMN()/2+1,FALSE)=0,"",VLOOKUP($A76,数出表_Excel!$A$6:$T$150,COLUMN()/2+1,FALSE))),"")</f>
        <v/>
      </c>
      <c r="W76" s="90"/>
      <c r="X76" s="127" t="str">
        <f ca="1">IFERROR(VALUE(IF(VLOOKUP($A76,数出表_Excel!$A$6:$T$150,COLUMN()/2+1,FALSE)=0,"",VLOOKUP($A76,数出表_Excel!$A$6:$T$150,COLUMN()/2+1,FALSE))),"")</f>
        <v/>
      </c>
      <c r="Y76" s="90"/>
      <c r="Z76" s="127" t="str">
        <f ca="1">IFERROR(VALUE(IF(VLOOKUP($A76,数出表_Excel!$A$6:$T$150,COLUMN()/2+1,FALSE)=0,"",VLOOKUP($A76,数出表_Excel!$A$6:$T$150,COLUMN()/2+1,FALSE))),"")</f>
        <v/>
      </c>
      <c r="AA76" s="128"/>
      <c r="AB76" s="126" t="str">
        <f ca="1">IFERROR(VALUE(IF(VLOOKUP($A76,数出表_Excel!$A$6:$T$150,COLUMN()/2+1,FALSE)=0,"",VLOOKUP($A76,数出表_Excel!$A$6:$T$150,COLUMN()/2+1,FALSE))),"")</f>
        <v/>
      </c>
      <c r="AC76" s="90"/>
      <c r="AD76" s="127" t="str">
        <f ca="1">IFERROR(VALUE(IF(VLOOKUP($A76,数出表_Excel!$A$6:$T$150,COLUMN()/2+1,FALSE)=0,"",VLOOKUP($A76,数出表_Excel!$A$6:$T$150,COLUMN()/2+1,FALSE))),"")</f>
        <v/>
      </c>
      <c r="AE76" s="90"/>
      <c r="AF76" s="127" t="str">
        <f ca="1">IFERROR(VALUE(IF(VLOOKUP($A76,数出表_Excel!$A$6:$T$150,COLUMN()/2+1,FALSE)=0,"",VLOOKUP($A76,数出表_Excel!$A$6:$T$150,COLUMN()/2+1,FALSE))),"")</f>
        <v/>
      </c>
      <c r="AG76" s="90"/>
      <c r="AH76" s="127" t="str">
        <f ca="1">IFERROR(VALUE(IF(VLOOKUP($A76,数出表_Excel!$A$6:$T$150,COLUMN()/2+1,FALSE)=0,"",VLOOKUP($A76,数出表_Excel!$A$6:$T$150,COLUMN()/2+1,FALSE))),"")</f>
        <v/>
      </c>
      <c r="AI76" s="128"/>
      <c r="AJ76" s="126" t="str">
        <f ca="1">IFERROR(VALUE(IF(VLOOKUP($A76,数出表_Excel!$A$6:$T$150,COLUMN()/2+1,FALSE)=0,"",VLOOKUP($A76,数出表_Excel!$A$6:$T$150,COLUMN()/2+1,FALSE))),"")</f>
        <v/>
      </c>
      <c r="AK76" s="90"/>
      <c r="AL76" s="94" t="e">
        <f ca="1">IF(A76&lt;&gt;"",
IF(VLOOKUP($A76,数出表_Excel!$A$6:$T$150,COLUMN()/2+1,FALSE)=0,"",VLOOKUP($A76,数出表_Excel!$A$6:$T$150,COLUMN()/2+1,FALSE)),"")</f>
        <v>#N/A</v>
      </c>
      <c r="AM76" s="175" t="e">
        <f>数出表_Excel!V76</f>
        <v>#N/A</v>
      </c>
      <c r="AN76" s="176" t="e">
        <f>数出表_Excel!W76</f>
        <v>#N/A</v>
      </c>
    </row>
    <row r="77" spans="1:40" ht="16.2" customHeight="1">
      <c r="A77" s="138" t="e">
        <f t="array" aca="1" ref="A77" ca="1">IF(OR(COUNTIF(A75,"*1000*"),COUNTIF(A75,"")),"",INDEX(貼り付け用!$A1:$A200,MATCH(A75,貼り付け用!$A1:$A200,0)+2,0))</f>
        <v>#N/A</v>
      </c>
      <c r="B77" s="91" t="str">
        <f ca="1">IFERROR(VALUE(IF(VLOOKUP($A77,数出表_Excel!$A$6:$T$150,COLUMN()/2+1,FALSE)=0,"",VLOOKUP($A77,数出表_Excel!$A$6:$T$150,COLUMN()/2+1,FALSE))),"")</f>
        <v/>
      </c>
      <c r="C77" s="91"/>
      <c r="D77" s="91" t="str">
        <f ca="1">IFERROR(VALUE(IF(VLOOKUP($A77,数出表_Excel!$A$6:$T$150,COLUMN()/2+1,FALSE)=0,"",VLOOKUP($A77,数出表_Excel!$A$6:$T$150,COLUMN()/2+1,FALSE))),"")</f>
        <v/>
      </c>
      <c r="E77" s="91"/>
      <c r="F77" s="95" t="str">
        <f ca="1">IFERROR(VALUE(IF(VLOOKUP($A77,数出表_Excel!$A$6:$T$150,COLUMN()/2+1,FALSE)=0,"",VLOOKUP($A77,数出表_Excel!$A$6:$T$150,COLUMN()/2+1,FALSE))),"")</f>
        <v/>
      </c>
      <c r="G77" s="91"/>
      <c r="H77" s="91" t="str">
        <f ca="1">IFERROR(VALUE(IF(VLOOKUP($A77,数出表_Excel!$A$6:$T$150,COLUMN()/2+1,FALSE)=0,"",VLOOKUP($A77,数出表_Excel!$A$6:$T$150,COLUMN()/2+1,FALSE))),"")</f>
        <v/>
      </c>
      <c r="I77" s="91"/>
      <c r="J77" s="91" t="str">
        <f ca="1">IFERROR(VALUE(IF(VLOOKUP($A77,数出表_Excel!$A$6:$T$150,COLUMN()/2+1,FALSE)=0,"",VLOOKUP($A77,数出表_Excel!$A$6:$T$150,COLUMN()/2+1,FALSE))),"")</f>
        <v/>
      </c>
      <c r="K77" s="91"/>
      <c r="L77" s="95" t="str">
        <f ca="1">IFERROR(VALUE(IF(VLOOKUP($A77,数出表_Excel!$A$6:$T$150,COLUMN()/2+1,FALSE)=0,"",VLOOKUP($A77,数出表_Excel!$A$6:$T$150,COLUMN()/2+1,FALSE))),"")</f>
        <v/>
      </c>
      <c r="M77" s="91"/>
      <c r="N77" s="91" t="str">
        <f ca="1">IFERROR(VALUE(IF(VLOOKUP($A77,数出表_Excel!$A$6:$T$150,COLUMN()/2+1,FALSE)=0,"",VLOOKUP($A77,数出表_Excel!$A$6:$T$150,COLUMN()/2+1,FALSE))),"")</f>
        <v/>
      </c>
      <c r="O77" s="91"/>
      <c r="P77" s="91" t="str">
        <f ca="1">IFERROR(VALUE(IF(VLOOKUP($A77,数出表_Excel!$A$6:$T$150,COLUMN()/2+1,FALSE)=0,"",VLOOKUP($A77,数出表_Excel!$A$6:$T$150,COLUMN()/2+1,FALSE))),"")</f>
        <v/>
      </c>
      <c r="Q77" s="91"/>
      <c r="R77" s="91" t="str">
        <f ca="1">IFERROR(VALUE(IF(VLOOKUP($A77,数出表_Excel!$A$6:$T$150,COLUMN()/2+1,FALSE)=0,"",VLOOKUP($A77,数出表_Excel!$A$6:$T$150,COLUMN()/2+1,FALSE))),"")</f>
        <v/>
      </c>
      <c r="S77" s="91"/>
      <c r="T77" s="91" t="str">
        <f ca="1">IFERROR(VALUE(IF(VLOOKUP($A77,数出表_Excel!$A$6:$T$150,COLUMN()/2+1,FALSE)=0,"",VLOOKUP($A77,数出表_Excel!$A$6:$T$150,COLUMN()/2+1,FALSE))),"")</f>
        <v/>
      </c>
      <c r="U77" s="91"/>
      <c r="V77" s="95" t="str">
        <f ca="1">IFERROR(VALUE(IF(VLOOKUP($A77,数出表_Excel!$A$6:$T$150,COLUMN()/2+1,FALSE)=0,"",VLOOKUP($A77,数出表_Excel!$A$6:$T$150,COLUMN()/2+1,FALSE))),"")</f>
        <v/>
      </c>
      <c r="W77" s="91"/>
      <c r="X77" s="95" t="str">
        <f ca="1">IFERROR(VALUE(IF(VLOOKUP($A77,数出表_Excel!$A$6:$T$150,COLUMN()/2+1,FALSE)=0,"",VLOOKUP($A77,数出表_Excel!$A$6:$T$150,COLUMN()/2+1,FALSE))),"")</f>
        <v/>
      </c>
      <c r="Y77" s="91"/>
      <c r="Z77" s="95" t="str">
        <f ca="1">IFERROR(VALUE(IF(VLOOKUP($A77,数出表_Excel!$A$6:$T$150,COLUMN()/2+1,FALSE)=0,"",VLOOKUP($A77,数出表_Excel!$A$6:$T$150,COLUMN()/2+1,FALSE))),"")</f>
        <v/>
      </c>
      <c r="AA77" s="129"/>
      <c r="AB77" s="96" t="str">
        <f ca="1">IFERROR(VALUE(IF(VLOOKUP($A77,数出表_Excel!$A$6:$T$150,COLUMN()/2+1,FALSE)=0,"",VLOOKUP($A77,数出表_Excel!$A$6:$T$150,COLUMN()/2+1,FALSE))),"")</f>
        <v/>
      </c>
      <c r="AC77" s="91"/>
      <c r="AD77" s="95" t="str">
        <f ca="1">IFERROR(VALUE(IF(VLOOKUP($A77,数出表_Excel!$A$6:$T$150,COLUMN()/2+1,FALSE)=0,"",VLOOKUP($A77,数出表_Excel!$A$6:$T$150,COLUMN()/2+1,FALSE))),"")</f>
        <v/>
      </c>
      <c r="AE77" s="91"/>
      <c r="AF77" s="95" t="str">
        <f ca="1">IFERROR(VALUE(IF(VLOOKUP($A77,数出表_Excel!$A$6:$T$150,COLUMN()/2+1,FALSE)=0,"",VLOOKUP($A77,数出表_Excel!$A$6:$T$150,COLUMN()/2+1,FALSE))),"")</f>
        <v/>
      </c>
      <c r="AG77" s="91"/>
      <c r="AH77" s="95" t="str">
        <f ca="1">IFERROR(VALUE(IF(VLOOKUP($A77,数出表_Excel!$A$6:$T$150,COLUMN()/2+1,FALSE)=0,"",VLOOKUP($A77,数出表_Excel!$A$6:$T$150,COLUMN()/2+1,FALSE))),"")</f>
        <v/>
      </c>
      <c r="AI77" s="129"/>
      <c r="AJ77" s="96" t="str">
        <f ca="1">IFERROR(VALUE(IF(VLOOKUP($A77,数出表_Excel!$A$6:$T$150,COLUMN()/2+1,FALSE)=0,"",VLOOKUP($A77,数出表_Excel!$A$6:$T$150,COLUMN()/2+1,FALSE))),"")</f>
        <v/>
      </c>
      <c r="AK77" s="91"/>
      <c r="AL77" s="97" t="e">
        <f ca="1">IF(A77&lt;&gt;"",
IF(VLOOKUP($A77,数出表_Excel!$A$6:$T$150,COLUMN()/2+1,FALSE)=0,"",VLOOKUP($A77,数出表_Excel!$A$6:$T$150,COLUMN()/2+1,FALSE)),"")</f>
        <v>#N/A</v>
      </c>
      <c r="AM77" s="177" t="e">
        <f>数出表_Excel!V77</f>
        <v>#N/A</v>
      </c>
      <c r="AN77" s="178" t="e">
        <f>数出表_Excel!W77</f>
        <v>#N/A</v>
      </c>
    </row>
    <row r="78" spans="1:40" ht="16.2" customHeight="1">
      <c r="A78" s="137" t="e">
        <f t="array" aca="1" ref="A78" ca="1">IF(OR(COUNTIF(A76,"*10002*"),COUNTIF(A76,"")),"",INDEX(貼り付け用!$A1:$A200,MATCH(A76,貼り付け用!$A1:$A200,0)+2,0))</f>
        <v>#N/A</v>
      </c>
      <c r="B78" s="125" t="str">
        <f ca="1">IFERROR(VALUE(IF(VLOOKUP($A78,数出表_Excel!$A$6:$T$150,COLUMN()/2+1,FALSE)=0,"",VLOOKUP($A78,数出表_Excel!$A$6:$T$150,COLUMN()/2+1,FALSE))),"")</f>
        <v/>
      </c>
      <c r="C78" s="90"/>
      <c r="D78" s="125" t="str">
        <f ca="1">IFERROR(VALUE(IF(VLOOKUP($A78,数出表_Excel!$A$6:$T$150,COLUMN()/2+1,FALSE)=0,"",VLOOKUP($A78,数出表_Excel!$A$6:$T$150,COLUMN()/2+1,FALSE))),"")</f>
        <v/>
      </c>
      <c r="E78" s="90"/>
      <c r="F78" s="127" t="str">
        <f ca="1">IFERROR(VALUE(IF(VLOOKUP($A78,数出表_Excel!$A$6:$T$150,COLUMN()/2+1,FALSE)=0,"",VLOOKUP($A78,数出表_Excel!$A$6:$T$150,COLUMN()/2+1,FALSE))),"")</f>
        <v/>
      </c>
      <c r="G78" s="90"/>
      <c r="H78" s="125" t="str">
        <f ca="1">IFERROR(VALUE(IF(VLOOKUP($A78,数出表_Excel!$A$6:$T$150,COLUMN()/2+1,FALSE)=0,"",VLOOKUP($A78,数出表_Excel!$A$6:$T$150,COLUMN()/2+1,FALSE))),"")</f>
        <v/>
      </c>
      <c r="I78" s="90"/>
      <c r="J78" s="125" t="str">
        <f ca="1">IFERROR(VALUE(IF(VLOOKUP($A78,数出表_Excel!$A$6:$T$150,COLUMN()/2+1,FALSE)=0,"",VLOOKUP($A78,数出表_Excel!$A$6:$T$150,COLUMN()/2+1,FALSE))),"")</f>
        <v/>
      </c>
      <c r="K78" s="90"/>
      <c r="L78" s="127" t="str">
        <f ca="1">IFERROR(VALUE(IF(VLOOKUP($A78,数出表_Excel!$A$6:$T$150,COLUMN()/2+1,FALSE)=0,"",VLOOKUP($A78,数出表_Excel!$A$6:$T$150,COLUMN()/2+1,FALSE))),"")</f>
        <v/>
      </c>
      <c r="M78" s="90"/>
      <c r="N78" s="125" t="str">
        <f ca="1">IFERROR(VALUE(IF(VLOOKUP($A78,数出表_Excel!$A$6:$T$150,COLUMN()/2+1,FALSE)=0,"",VLOOKUP($A78,数出表_Excel!$A$6:$T$150,COLUMN()/2+1,FALSE))),"")</f>
        <v/>
      </c>
      <c r="O78" s="90"/>
      <c r="P78" s="125" t="str">
        <f ca="1">IFERROR(VALUE(IF(VLOOKUP($A78,数出表_Excel!$A$6:$T$150,COLUMN()/2+1,FALSE)=0,"",VLOOKUP($A78,数出表_Excel!$A$6:$T$150,COLUMN()/2+1,FALSE))),"")</f>
        <v/>
      </c>
      <c r="Q78" s="90"/>
      <c r="R78" s="125" t="str">
        <f ca="1">IFERROR(VALUE(IF(VLOOKUP($A78,数出表_Excel!$A$6:$T$150,COLUMN()/2+1,FALSE)=0,"",VLOOKUP($A78,数出表_Excel!$A$6:$T$150,COLUMN()/2+1,FALSE))),"")</f>
        <v/>
      </c>
      <c r="S78" s="90"/>
      <c r="T78" s="125" t="str">
        <f ca="1">IFERROR(VALUE(IF(VLOOKUP($A78,数出表_Excel!$A$6:$T$150,COLUMN()/2+1,FALSE)=0,"",VLOOKUP($A78,数出表_Excel!$A$6:$T$150,COLUMN()/2+1,FALSE))),"")</f>
        <v/>
      </c>
      <c r="U78" s="90"/>
      <c r="V78" s="127" t="str">
        <f ca="1">IFERROR(VALUE(IF(VLOOKUP($A78,数出表_Excel!$A$6:$T$150,COLUMN()/2+1,FALSE)=0,"",VLOOKUP($A78,数出表_Excel!$A$6:$T$150,COLUMN()/2+1,FALSE))),"")</f>
        <v/>
      </c>
      <c r="W78" s="90"/>
      <c r="X78" s="127" t="str">
        <f ca="1">IFERROR(VALUE(IF(VLOOKUP($A78,数出表_Excel!$A$6:$T$150,COLUMN()/2+1,FALSE)=0,"",VLOOKUP($A78,数出表_Excel!$A$6:$T$150,COLUMN()/2+1,FALSE))),"")</f>
        <v/>
      </c>
      <c r="Y78" s="90"/>
      <c r="Z78" s="127" t="str">
        <f ca="1">IFERROR(VALUE(IF(VLOOKUP($A78,数出表_Excel!$A$6:$T$150,COLUMN()/2+1,FALSE)=0,"",VLOOKUP($A78,数出表_Excel!$A$6:$T$150,COLUMN()/2+1,FALSE))),"")</f>
        <v/>
      </c>
      <c r="AA78" s="128"/>
      <c r="AB78" s="126" t="str">
        <f ca="1">IFERROR(VALUE(IF(VLOOKUP($A78,数出表_Excel!$A$6:$T$150,COLUMN()/2+1,FALSE)=0,"",VLOOKUP($A78,数出表_Excel!$A$6:$T$150,COLUMN()/2+1,FALSE))),"")</f>
        <v/>
      </c>
      <c r="AC78" s="90"/>
      <c r="AD78" s="127" t="str">
        <f ca="1">IFERROR(VALUE(IF(VLOOKUP($A78,数出表_Excel!$A$6:$T$150,COLUMN()/2+1,FALSE)=0,"",VLOOKUP($A78,数出表_Excel!$A$6:$T$150,COLUMN()/2+1,FALSE))),"")</f>
        <v/>
      </c>
      <c r="AE78" s="90"/>
      <c r="AF78" s="127" t="str">
        <f ca="1">IFERROR(VALUE(IF(VLOOKUP($A78,数出表_Excel!$A$6:$T$150,COLUMN()/2+1,FALSE)=0,"",VLOOKUP($A78,数出表_Excel!$A$6:$T$150,COLUMN()/2+1,FALSE))),"")</f>
        <v/>
      </c>
      <c r="AG78" s="90"/>
      <c r="AH78" s="127" t="str">
        <f ca="1">IFERROR(VALUE(IF(VLOOKUP($A78,数出表_Excel!$A$6:$T$150,COLUMN()/2+1,FALSE)=0,"",VLOOKUP($A78,数出表_Excel!$A$6:$T$150,COLUMN()/2+1,FALSE))),"")</f>
        <v/>
      </c>
      <c r="AI78" s="128"/>
      <c r="AJ78" s="126" t="str">
        <f ca="1">IFERROR(VALUE(IF(VLOOKUP($A78,数出表_Excel!$A$6:$T$150,COLUMN()/2+1,FALSE)=0,"",VLOOKUP($A78,数出表_Excel!$A$6:$T$150,COLUMN()/2+1,FALSE))),"")</f>
        <v/>
      </c>
      <c r="AK78" s="90"/>
      <c r="AL78" s="94" t="e">
        <f ca="1">IF(A78&lt;&gt;"",
IF(VLOOKUP($A78,数出表_Excel!$A$6:$T$150,COLUMN()/2+1,FALSE)=0,"",VLOOKUP($A78,数出表_Excel!$A$6:$T$150,COLUMN()/2+1,FALSE)),"")</f>
        <v>#N/A</v>
      </c>
      <c r="AM78" s="175" t="e">
        <f>数出表_Excel!V78</f>
        <v>#N/A</v>
      </c>
      <c r="AN78" s="176" t="e">
        <f>数出表_Excel!W78</f>
        <v>#N/A</v>
      </c>
    </row>
    <row r="79" spans="1:40" ht="16.2" customHeight="1">
      <c r="A79" s="138" t="e">
        <f t="array" aca="1" ref="A79" ca="1">IF(OR(COUNTIF(A77,"*1000*"),COUNTIF(A77,"")),"",INDEX(貼り付け用!$A1:$A200,MATCH(A77,貼り付け用!$A1:$A200,0)+2,0))</f>
        <v>#N/A</v>
      </c>
      <c r="B79" s="91" t="str">
        <f ca="1">IFERROR(VALUE(IF(VLOOKUP($A79,数出表_Excel!$A$6:$T$150,COLUMN()/2+1,FALSE)=0,"",VLOOKUP($A79,数出表_Excel!$A$6:$T$150,COLUMN()/2+1,FALSE))),"")</f>
        <v/>
      </c>
      <c r="C79" s="91"/>
      <c r="D79" s="91" t="str">
        <f ca="1">IFERROR(VALUE(IF(VLOOKUP($A79,数出表_Excel!$A$6:$T$150,COLUMN()/2+1,FALSE)=0,"",VLOOKUP($A79,数出表_Excel!$A$6:$T$150,COLUMN()/2+1,FALSE))),"")</f>
        <v/>
      </c>
      <c r="E79" s="91"/>
      <c r="F79" s="95" t="str">
        <f ca="1">IFERROR(VALUE(IF(VLOOKUP($A79,数出表_Excel!$A$6:$T$150,COLUMN()/2+1,FALSE)=0,"",VLOOKUP($A79,数出表_Excel!$A$6:$T$150,COLUMN()/2+1,FALSE))),"")</f>
        <v/>
      </c>
      <c r="G79" s="91"/>
      <c r="H79" s="91" t="str">
        <f ca="1">IFERROR(VALUE(IF(VLOOKUP($A79,数出表_Excel!$A$6:$T$150,COLUMN()/2+1,FALSE)=0,"",VLOOKUP($A79,数出表_Excel!$A$6:$T$150,COLUMN()/2+1,FALSE))),"")</f>
        <v/>
      </c>
      <c r="I79" s="91"/>
      <c r="J79" s="91" t="str">
        <f ca="1">IFERROR(VALUE(IF(VLOOKUP($A79,数出表_Excel!$A$6:$T$150,COLUMN()/2+1,FALSE)=0,"",VLOOKUP($A79,数出表_Excel!$A$6:$T$150,COLUMN()/2+1,FALSE))),"")</f>
        <v/>
      </c>
      <c r="K79" s="91"/>
      <c r="L79" s="95" t="str">
        <f ca="1">IFERROR(VALUE(IF(VLOOKUP($A79,数出表_Excel!$A$6:$T$150,COLUMN()/2+1,FALSE)=0,"",VLOOKUP($A79,数出表_Excel!$A$6:$T$150,COLUMN()/2+1,FALSE))),"")</f>
        <v/>
      </c>
      <c r="M79" s="91"/>
      <c r="N79" s="91" t="str">
        <f ca="1">IFERROR(VALUE(IF(VLOOKUP($A79,数出表_Excel!$A$6:$T$150,COLUMN()/2+1,FALSE)=0,"",VLOOKUP($A79,数出表_Excel!$A$6:$T$150,COLUMN()/2+1,FALSE))),"")</f>
        <v/>
      </c>
      <c r="O79" s="91"/>
      <c r="P79" s="91" t="str">
        <f ca="1">IFERROR(VALUE(IF(VLOOKUP($A79,数出表_Excel!$A$6:$T$150,COLUMN()/2+1,FALSE)=0,"",VLOOKUP($A79,数出表_Excel!$A$6:$T$150,COLUMN()/2+1,FALSE))),"")</f>
        <v/>
      </c>
      <c r="Q79" s="91"/>
      <c r="R79" s="91" t="str">
        <f ca="1">IFERROR(VALUE(IF(VLOOKUP($A79,数出表_Excel!$A$6:$T$150,COLUMN()/2+1,FALSE)=0,"",VLOOKUP($A79,数出表_Excel!$A$6:$T$150,COLUMN()/2+1,FALSE))),"")</f>
        <v/>
      </c>
      <c r="S79" s="91"/>
      <c r="T79" s="91" t="str">
        <f ca="1">IFERROR(VALUE(IF(VLOOKUP($A79,数出表_Excel!$A$6:$T$150,COLUMN()/2+1,FALSE)=0,"",VLOOKUP($A79,数出表_Excel!$A$6:$T$150,COLUMN()/2+1,FALSE))),"")</f>
        <v/>
      </c>
      <c r="U79" s="91"/>
      <c r="V79" s="95" t="str">
        <f ca="1">IFERROR(VALUE(IF(VLOOKUP($A79,数出表_Excel!$A$6:$T$150,COLUMN()/2+1,FALSE)=0,"",VLOOKUP($A79,数出表_Excel!$A$6:$T$150,COLUMN()/2+1,FALSE))),"")</f>
        <v/>
      </c>
      <c r="W79" s="91"/>
      <c r="X79" s="95" t="str">
        <f ca="1">IFERROR(VALUE(IF(VLOOKUP($A79,数出表_Excel!$A$6:$T$150,COLUMN()/2+1,FALSE)=0,"",VLOOKUP($A79,数出表_Excel!$A$6:$T$150,COLUMN()/2+1,FALSE))),"")</f>
        <v/>
      </c>
      <c r="Y79" s="91"/>
      <c r="Z79" s="95" t="str">
        <f ca="1">IFERROR(VALUE(IF(VLOOKUP($A79,数出表_Excel!$A$6:$T$150,COLUMN()/2+1,FALSE)=0,"",VLOOKUP($A79,数出表_Excel!$A$6:$T$150,COLUMN()/2+1,FALSE))),"")</f>
        <v/>
      </c>
      <c r="AA79" s="129"/>
      <c r="AB79" s="96" t="str">
        <f ca="1">IFERROR(VALUE(IF(VLOOKUP($A79,数出表_Excel!$A$6:$T$150,COLUMN()/2+1,FALSE)=0,"",VLOOKUP($A79,数出表_Excel!$A$6:$T$150,COLUMN()/2+1,FALSE))),"")</f>
        <v/>
      </c>
      <c r="AC79" s="91"/>
      <c r="AD79" s="95" t="str">
        <f ca="1">IFERROR(VALUE(IF(VLOOKUP($A79,数出表_Excel!$A$6:$T$150,COLUMN()/2+1,FALSE)=0,"",VLOOKUP($A79,数出表_Excel!$A$6:$T$150,COLUMN()/2+1,FALSE))),"")</f>
        <v/>
      </c>
      <c r="AE79" s="91"/>
      <c r="AF79" s="95" t="str">
        <f ca="1">IFERROR(VALUE(IF(VLOOKUP($A79,数出表_Excel!$A$6:$T$150,COLUMN()/2+1,FALSE)=0,"",VLOOKUP($A79,数出表_Excel!$A$6:$T$150,COLUMN()/2+1,FALSE))),"")</f>
        <v/>
      </c>
      <c r="AG79" s="91"/>
      <c r="AH79" s="95" t="str">
        <f ca="1">IFERROR(VALUE(IF(VLOOKUP($A79,数出表_Excel!$A$6:$T$150,COLUMN()/2+1,FALSE)=0,"",VLOOKUP($A79,数出表_Excel!$A$6:$T$150,COLUMN()/2+1,FALSE))),"")</f>
        <v/>
      </c>
      <c r="AI79" s="129"/>
      <c r="AJ79" s="96" t="str">
        <f ca="1">IFERROR(VALUE(IF(VLOOKUP($A79,数出表_Excel!$A$6:$T$150,COLUMN()/2+1,FALSE)=0,"",VLOOKUP($A79,数出表_Excel!$A$6:$T$150,COLUMN()/2+1,FALSE))),"")</f>
        <v/>
      </c>
      <c r="AK79" s="91"/>
      <c r="AL79" s="97" t="e">
        <f ca="1">IF(A79&lt;&gt;"",
IF(VLOOKUP($A79,数出表_Excel!$A$6:$T$150,COLUMN()/2+1,FALSE)=0,"",VLOOKUP($A79,数出表_Excel!$A$6:$T$150,COLUMN()/2+1,FALSE)),"")</f>
        <v>#N/A</v>
      </c>
      <c r="AM79" s="177" t="e">
        <f>数出表_Excel!V79</f>
        <v>#N/A</v>
      </c>
      <c r="AN79" s="178" t="e">
        <f>数出表_Excel!W79</f>
        <v>#N/A</v>
      </c>
    </row>
    <row r="80" spans="1:40" ht="16.2" customHeight="1">
      <c r="A80" s="137" t="e">
        <f t="array" aca="1" ref="A80" ca="1">IF(OR(COUNTIF(A78,"*10002*"),COUNTIF(A78,"")),"",INDEX(貼り付け用!$A1:$A200,MATCH(A78,貼り付け用!$A1:$A200,0)+2,0))</f>
        <v>#N/A</v>
      </c>
      <c r="B80" s="125" t="str">
        <f ca="1">IFERROR(VALUE(IF(VLOOKUP($A80,数出表_Excel!$A$6:$T$150,COLUMN()/2+1,FALSE)=0,"",VLOOKUP($A80,数出表_Excel!$A$6:$T$150,COLUMN()/2+1,FALSE))),"")</f>
        <v/>
      </c>
      <c r="C80" s="90"/>
      <c r="D80" s="125" t="str">
        <f ca="1">IFERROR(VALUE(IF(VLOOKUP($A80,数出表_Excel!$A$6:$T$150,COLUMN()/2+1,FALSE)=0,"",VLOOKUP($A80,数出表_Excel!$A$6:$T$150,COLUMN()/2+1,FALSE))),"")</f>
        <v/>
      </c>
      <c r="E80" s="90"/>
      <c r="F80" s="127" t="str">
        <f ca="1">IFERROR(VALUE(IF(VLOOKUP($A80,数出表_Excel!$A$6:$T$150,COLUMN()/2+1,FALSE)=0,"",VLOOKUP($A80,数出表_Excel!$A$6:$T$150,COLUMN()/2+1,FALSE))),"")</f>
        <v/>
      </c>
      <c r="G80" s="90"/>
      <c r="H80" s="125" t="str">
        <f ca="1">IFERROR(VALUE(IF(VLOOKUP($A80,数出表_Excel!$A$6:$T$150,COLUMN()/2+1,FALSE)=0,"",VLOOKUP($A80,数出表_Excel!$A$6:$T$150,COLUMN()/2+1,FALSE))),"")</f>
        <v/>
      </c>
      <c r="I80" s="90"/>
      <c r="J80" s="125" t="str">
        <f ca="1">IFERROR(VALUE(IF(VLOOKUP($A80,数出表_Excel!$A$6:$T$150,COLUMN()/2+1,FALSE)=0,"",VLOOKUP($A80,数出表_Excel!$A$6:$T$150,COLUMN()/2+1,FALSE))),"")</f>
        <v/>
      </c>
      <c r="K80" s="90"/>
      <c r="L80" s="127" t="str">
        <f ca="1">IFERROR(VALUE(IF(VLOOKUP($A80,数出表_Excel!$A$6:$T$150,COLUMN()/2+1,FALSE)=0,"",VLOOKUP($A80,数出表_Excel!$A$6:$T$150,COLUMN()/2+1,FALSE))),"")</f>
        <v/>
      </c>
      <c r="M80" s="90"/>
      <c r="N80" s="125" t="str">
        <f ca="1">IFERROR(VALUE(IF(VLOOKUP($A80,数出表_Excel!$A$6:$T$150,COLUMN()/2+1,FALSE)=0,"",VLOOKUP($A80,数出表_Excel!$A$6:$T$150,COLUMN()/2+1,FALSE))),"")</f>
        <v/>
      </c>
      <c r="O80" s="90"/>
      <c r="P80" s="125" t="str">
        <f ca="1">IFERROR(VALUE(IF(VLOOKUP($A80,数出表_Excel!$A$6:$T$150,COLUMN()/2+1,FALSE)=0,"",VLOOKUP($A80,数出表_Excel!$A$6:$T$150,COLUMN()/2+1,FALSE))),"")</f>
        <v/>
      </c>
      <c r="Q80" s="90"/>
      <c r="R80" s="125" t="str">
        <f ca="1">IFERROR(VALUE(IF(VLOOKUP($A80,数出表_Excel!$A$6:$T$150,COLUMN()/2+1,FALSE)=0,"",VLOOKUP($A80,数出表_Excel!$A$6:$T$150,COLUMN()/2+1,FALSE))),"")</f>
        <v/>
      </c>
      <c r="S80" s="90"/>
      <c r="T80" s="125" t="str">
        <f ca="1">IFERROR(VALUE(IF(VLOOKUP($A80,数出表_Excel!$A$6:$T$150,COLUMN()/2+1,FALSE)=0,"",VLOOKUP($A80,数出表_Excel!$A$6:$T$150,COLUMN()/2+1,FALSE))),"")</f>
        <v/>
      </c>
      <c r="U80" s="90"/>
      <c r="V80" s="127" t="str">
        <f ca="1">IFERROR(VALUE(IF(VLOOKUP($A80,数出表_Excel!$A$6:$T$150,COLUMN()/2+1,FALSE)=0,"",VLOOKUP($A80,数出表_Excel!$A$6:$T$150,COLUMN()/2+1,FALSE))),"")</f>
        <v/>
      </c>
      <c r="W80" s="90"/>
      <c r="X80" s="127" t="str">
        <f ca="1">IFERROR(VALUE(IF(VLOOKUP($A80,数出表_Excel!$A$6:$T$150,COLUMN()/2+1,FALSE)=0,"",VLOOKUP($A80,数出表_Excel!$A$6:$T$150,COLUMN()/2+1,FALSE))),"")</f>
        <v/>
      </c>
      <c r="Y80" s="90"/>
      <c r="Z80" s="127" t="str">
        <f ca="1">IFERROR(VALUE(IF(VLOOKUP($A80,数出表_Excel!$A$6:$T$150,COLUMN()/2+1,FALSE)=0,"",VLOOKUP($A80,数出表_Excel!$A$6:$T$150,COLUMN()/2+1,FALSE))),"")</f>
        <v/>
      </c>
      <c r="AA80" s="128"/>
      <c r="AB80" s="126" t="str">
        <f ca="1">IFERROR(VALUE(IF(VLOOKUP($A80,数出表_Excel!$A$6:$T$150,COLUMN()/2+1,FALSE)=0,"",VLOOKUP($A80,数出表_Excel!$A$6:$T$150,COLUMN()/2+1,FALSE))),"")</f>
        <v/>
      </c>
      <c r="AC80" s="90"/>
      <c r="AD80" s="127" t="str">
        <f ca="1">IFERROR(VALUE(IF(VLOOKUP($A80,数出表_Excel!$A$6:$T$150,COLUMN()/2+1,FALSE)=0,"",VLOOKUP($A80,数出表_Excel!$A$6:$T$150,COLUMN()/2+1,FALSE))),"")</f>
        <v/>
      </c>
      <c r="AE80" s="90"/>
      <c r="AF80" s="127" t="str">
        <f ca="1">IFERROR(VALUE(IF(VLOOKUP($A80,数出表_Excel!$A$6:$T$150,COLUMN()/2+1,FALSE)=0,"",VLOOKUP($A80,数出表_Excel!$A$6:$T$150,COLUMN()/2+1,FALSE))),"")</f>
        <v/>
      </c>
      <c r="AG80" s="90"/>
      <c r="AH80" s="127" t="str">
        <f ca="1">IFERROR(VALUE(IF(VLOOKUP($A80,数出表_Excel!$A$6:$T$150,COLUMN()/2+1,FALSE)=0,"",VLOOKUP($A80,数出表_Excel!$A$6:$T$150,COLUMN()/2+1,FALSE))),"")</f>
        <v/>
      </c>
      <c r="AI80" s="128"/>
      <c r="AJ80" s="126" t="str">
        <f ca="1">IFERROR(VALUE(IF(VLOOKUP($A80,数出表_Excel!$A$6:$T$150,COLUMN()/2+1,FALSE)=0,"",VLOOKUP($A80,数出表_Excel!$A$6:$T$150,COLUMN()/2+1,FALSE))),"")</f>
        <v/>
      </c>
      <c r="AK80" s="90"/>
      <c r="AL80" s="94" t="e">
        <f ca="1">IF(A80&lt;&gt;"",
IF(VLOOKUP($A80,数出表_Excel!$A$6:$T$150,COLUMN()/2+1,FALSE)=0,"",VLOOKUP($A80,数出表_Excel!$A$6:$T$150,COLUMN()/2+1,FALSE)),"")</f>
        <v>#N/A</v>
      </c>
      <c r="AM80" s="175" t="e">
        <f>数出表_Excel!V80</f>
        <v>#N/A</v>
      </c>
      <c r="AN80" s="176" t="e">
        <f>数出表_Excel!W80</f>
        <v>#N/A</v>
      </c>
    </row>
    <row r="81" spans="1:40" ht="16.2" customHeight="1">
      <c r="A81" s="138" t="e">
        <f t="array" aca="1" ref="A81" ca="1">IF(OR(COUNTIF(A79,"*1000*"),COUNTIF(A79,"")),"",INDEX(貼り付け用!$A1:$A200,MATCH(A79,貼り付け用!$A1:$A200,0)+2,0))</f>
        <v>#N/A</v>
      </c>
      <c r="B81" s="91" t="str">
        <f ca="1">IFERROR(VALUE(IF(VLOOKUP($A81,数出表_Excel!$A$6:$T$150,COLUMN()/2+1,FALSE)=0,"",VLOOKUP($A81,数出表_Excel!$A$6:$T$150,COLUMN()/2+1,FALSE))),"")</f>
        <v/>
      </c>
      <c r="C81" s="91"/>
      <c r="D81" s="91" t="str">
        <f ca="1">IFERROR(VALUE(IF(VLOOKUP($A81,数出表_Excel!$A$6:$T$150,COLUMN()/2+1,FALSE)=0,"",VLOOKUP($A81,数出表_Excel!$A$6:$T$150,COLUMN()/2+1,FALSE))),"")</f>
        <v/>
      </c>
      <c r="E81" s="91"/>
      <c r="F81" s="95" t="str">
        <f ca="1">IFERROR(VALUE(IF(VLOOKUP($A81,数出表_Excel!$A$6:$T$150,COLUMN()/2+1,FALSE)=0,"",VLOOKUP($A81,数出表_Excel!$A$6:$T$150,COLUMN()/2+1,FALSE))),"")</f>
        <v/>
      </c>
      <c r="G81" s="91"/>
      <c r="H81" s="91" t="str">
        <f ca="1">IFERROR(VALUE(IF(VLOOKUP($A81,数出表_Excel!$A$6:$T$150,COLUMN()/2+1,FALSE)=0,"",VLOOKUP($A81,数出表_Excel!$A$6:$T$150,COLUMN()/2+1,FALSE))),"")</f>
        <v/>
      </c>
      <c r="I81" s="91"/>
      <c r="J81" s="91" t="str">
        <f ca="1">IFERROR(VALUE(IF(VLOOKUP($A81,数出表_Excel!$A$6:$T$150,COLUMN()/2+1,FALSE)=0,"",VLOOKUP($A81,数出表_Excel!$A$6:$T$150,COLUMN()/2+1,FALSE))),"")</f>
        <v/>
      </c>
      <c r="K81" s="91"/>
      <c r="L81" s="95" t="str">
        <f ca="1">IFERROR(VALUE(IF(VLOOKUP($A81,数出表_Excel!$A$6:$T$150,COLUMN()/2+1,FALSE)=0,"",VLOOKUP($A81,数出表_Excel!$A$6:$T$150,COLUMN()/2+1,FALSE))),"")</f>
        <v/>
      </c>
      <c r="M81" s="91"/>
      <c r="N81" s="91" t="str">
        <f ca="1">IFERROR(VALUE(IF(VLOOKUP($A81,数出表_Excel!$A$6:$T$150,COLUMN()/2+1,FALSE)=0,"",VLOOKUP($A81,数出表_Excel!$A$6:$T$150,COLUMN()/2+1,FALSE))),"")</f>
        <v/>
      </c>
      <c r="O81" s="91"/>
      <c r="P81" s="91" t="str">
        <f ca="1">IFERROR(VALUE(IF(VLOOKUP($A81,数出表_Excel!$A$6:$T$150,COLUMN()/2+1,FALSE)=0,"",VLOOKUP($A81,数出表_Excel!$A$6:$T$150,COLUMN()/2+1,FALSE))),"")</f>
        <v/>
      </c>
      <c r="Q81" s="91"/>
      <c r="R81" s="91" t="str">
        <f ca="1">IFERROR(VALUE(IF(VLOOKUP($A81,数出表_Excel!$A$6:$T$150,COLUMN()/2+1,FALSE)=0,"",VLOOKUP($A81,数出表_Excel!$A$6:$T$150,COLUMN()/2+1,FALSE))),"")</f>
        <v/>
      </c>
      <c r="S81" s="91"/>
      <c r="T81" s="91" t="str">
        <f ca="1">IFERROR(VALUE(IF(VLOOKUP($A81,数出表_Excel!$A$6:$T$150,COLUMN()/2+1,FALSE)=0,"",VLOOKUP($A81,数出表_Excel!$A$6:$T$150,COLUMN()/2+1,FALSE))),"")</f>
        <v/>
      </c>
      <c r="U81" s="91"/>
      <c r="V81" s="95" t="str">
        <f ca="1">IFERROR(VALUE(IF(VLOOKUP($A81,数出表_Excel!$A$6:$T$150,COLUMN()/2+1,FALSE)=0,"",VLOOKUP($A81,数出表_Excel!$A$6:$T$150,COLUMN()/2+1,FALSE))),"")</f>
        <v/>
      </c>
      <c r="W81" s="91"/>
      <c r="X81" s="95" t="str">
        <f ca="1">IFERROR(VALUE(IF(VLOOKUP($A81,数出表_Excel!$A$6:$T$150,COLUMN()/2+1,FALSE)=0,"",VLOOKUP($A81,数出表_Excel!$A$6:$T$150,COLUMN()/2+1,FALSE))),"")</f>
        <v/>
      </c>
      <c r="Y81" s="91"/>
      <c r="Z81" s="95" t="str">
        <f ca="1">IFERROR(VALUE(IF(VLOOKUP($A81,数出表_Excel!$A$6:$T$150,COLUMN()/2+1,FALSE)=0,"",VLOOKUP($A81,数出表_Excel!$A$6:$T$150,COLUMN()/2+1,FALSE))),"")</f>
        <v/>
      </c>
      <c r="AA81" s="129"/>
      <c r="AB81" s="96" t="str">
        <f ca="1">IFERROR(VALUE(IF(VLOOKUP($A81,数出表_Excel!$A$6:$T$150,COLUMN()/2+1,FALSE)=0,"",VLOOKUP($A81,数出表_Excel!$A$6:$T$150,COLUMN()/2+1,FALSE))),"")</f>
        <v/>
      </c>
      <c r="AC81" s="91"/>
      <c r="AD81" s="95" t="str">
        <f ca="1">IFERROR(VALUE(IF(VLOOKUP($A81,数出表_Excel!$A$6:$T$150,COLUMN()/2+1,FALSE)=0,"",VLOOKUP($A81,数出表_Excel!$A$6:$T$150,COLUMN()/2+1,FALSE))),"")</f>
        <v/>
      </c>
      <c r="AE81" s="91"/>
      <c r="AF81" s="95" t="str">
        <f ca="1">IFERROR(VALUE(IF(VLOOKUP($A81,数出表_Excel!$A$6:$T$150,COLUMN()/2+1,FALSE)=0,"",VLOOKUP($A81,数出表_Excel!$A$6:$T$150,COLUMN()/2+1,FALSE))),"")</f>
        <v/>
      </c>
      <c r="AG81" s="91"/>
      <c r="AH81" s="95" t="str">
        <f ca="1">IFERROR(VALUE(IF(VLOOKUP($A81,数出表_Excel!$A$6:$T$150,COLUMN()/2+1,FALSE)=0,"",VLOOKUP($A81,数出表_Excel!$A$6:$T$150,COLUMN()/2+1,FALSE))),"")</f>
        <v/>
      </c>
      <c r="AI81" s="129"/>
      <c r="AJ81" s="96" t="str">
        <f ca="1">IFERROR(VALUE(IF(VLOOKUP($A81,数出表_Excel!$A$6:$T$150,COLUMN()/2+1,FALSE)=0,"",VLOOKUP($A81,数出表_Excel!$A$6:$T$150,COLUMN()/2+1,FALSE))),"")</f>
        <v/>
      </c>
      <c r="AK81" s="91"/>
      <c r="AL81" s="97" t="e">
        <f ca="1">IF(A81&lt;&gt;"",
IF(VLOOKUP($A81,数出表_Excel!$A$6:$T$150,COLUMN()/2+1,FALSE)=0,"",VLOOKUP($A81,数出表_Excel!$A$6:$T$150,COLUMN()/2+1,FALSE)),"")</f>
        <v>#N/A</v>
      </c>
      <c r="AM81" s="177" t="e">
        <f>数出表_Excel!V81</f>
        <v>#N/A</v>
      </c>
      <c r="AN81" s="178" t="e">
        <f>数出表_Excel!W81</f>
        <v>#N/A</v>
      </c>
    </row>
    <row r="82" spans="1:40" ht="16.2" customHeight="1">
      <c r="A82" s="137" t="e">
        <f t="array" aca="1" ref="A82" ca="1">IF(OR(COUNTIF(A80,"*10002*"),COUNTIF(A80,"")),"",INDEX(貼り付け用!$A1:$A200,MATCH(A80,貼り付け用!$A1:$A200,0)+2,0))</f>
        <v>#N/A</v>
      </c>
      <c r="B82" s="125" t="str">
        <f ca="1">IFERROR(VALUE(IF(VLOOKUP($A82,数出表_Excel!$A$6:$T$150,COLUMN()/2+1,FALSE)=0,"",VLOOKUP($A82,数出表_Excel!$A$6:$T$150,COLUMN()/2+1,FALSE))),"")</f>
        <v/>
      </c>
      <c r="C82" s="90"/>
      <c r="D82" s="125" t="str">
        <f ca="1">IFERROR(VALUE(IF(VLOOKUP($A82,数出表_Excel!$A$6:$T$150,COLUMN()/2+1,FALSE)=0,"",VLOOKUP($A82,数出表_Excel!$A$6:$T$150,COLUMN()/2+1,FALSE))),"")</f>
        <v/>
      </c>
      <c r="E82" s="90"/>
      <c r="F82" s="127" t="str">
        <f ca="1">IFERROR(VALUE(IF(VLOOKUP($A82,数出表_Excel!$A$6:$T$150,COLUMN()/2+1,FALSE)=0,"",VLOOKUP($A82,数出表_Excel!$A$6:$T$150,COLUMN()/2+1,FALSE))),"")</f>
        <v/>
      </c>
      <c r="G82" s="90"/>
      <c r="H82" s="125" t="str">
        <f ca="1">IFERROR(VALUE(IF(VLOOKUP($A82,数出表_Excel!$A$6:$T$150,COLUMN()/2+1,FALSE)=0,"",VLOOKUP($A82,数出表_Excel!$A$6:$T$150,COLUMN()/2+1,FALSE))),"")</f>
        <v/>
      </c>
      <c r="I82" s="90"/>
      <c r="J82" s="125" t="str">
        <f ca="1">IFERROR(VALUE(IF(VLOOKUP($A82,数出表_Excel!$A$6:$T$150,COLUMN()/2+1,FALSE)=0,"",VLOOKUP($A82,数出表_Excel!$A$6:$T$150,COLUMN()/2+1,FALSE))),"")</f>
        <v/>
      </c>
      <c r="K82" s="90"/>
      <c r="L82" s="127" t="str">
        <f ca="1">IFERROR(VALUE(IF(VLOOKUP($A82,数出表_Excel!$A$6:$T$150,COLUMN()/2+1,FALSE)=0,"",VLOOKUP($A82,数出表_Excel!$A$6:$T$150,COLUMN()/2+1,FALSE))),"")</f>
        <v/>
      </c>
      <c r="M82" s="90"/>
      <c r="N82" s="125" t="str">
        <f ca="1">IFERROR(VALUE(IF(VLOOKUP($A82,数出表_Excel!$A$6:$T$150,COLUMN()/2+1,FALSE)=0,"",VLOOKUP($A82,数出表_Excel!$A$6:$T$150,COLUMN()/2+1,FALSE))),"")</f>
        <v/>
      </c>
      <c r="O82" s="90"/>
      <c r="P82" s="125" t="str">
        <f ca="1">IFERROR(VALUE(IF(VLOOKUP($A82,数出表_Excel!$A$6:$T$150,COLUMN()/2+1,FALSE)=0,"",VLOOKUP($A82,数出表_Excel!$A$6:$T$150,COLUMN()/2+1,FALSE))),"")</f>
        <v/>
      </c>
      <c r="Q82" s="90"/>
      <c r="R82" s="125" t="str">
        <f ca="1">IFERROR(VALUE(IF(VLOOKUP($A82,数出表_Excel!$A$6:$T$150,COLUMN()/2+1,FALSE)=0,"",VLOOKUP($A82,数出表_Excel!$A$6:$T$150,COLUMN()/2+1,FALSE))),"")</f>
        <v/>
      </c>
      <c r="S82" s="90"/>
      <c r="T82" s="125" t="str">
        <f ca="1">IFERROR(VALUE(IF(VLOOKUP($A82,数出表_Excel!$A$6:$T$150,COLUMN()/2+1,FALSE)=0,"",VLOOKUP($A82,数出表_Excel!$A$6:$T$150,COLUMN()/2+1,FALSE))),"")</f>
        <v/>
      </c>
      <c r="U82" s="90"/>
      <c r="V82" s="127" t="str">
        <f ca="1">IFERROR(VALUE(IF(VLOOKUP($A82,数出表_Excel!$A$6:$T$150,COLUMN()/2+1,FALSE)=0,"",VLOOKUP($A82,数出表_Excel!$A$6:$T$150,COLUMN()/2+1,FALSE))),"")</f>
        <v/>
      </c>
      <c r="W82" s="90"/>
      <c r="X82" s="127" t="str">
        <f ca="1">IFERROR(VALUE(IF(VLOOKUP($A82,数出表_Excel!$A$6:$T$150,COLUMN()/2+1,FALSE)=0,"",VLOOKUP($A82,数出表_Excel!$A$6:$T$150,COLUMN()/2+1,FALSE))),"")</f>
        <v/>
      </c>
      <c r="Y82" s="90"/>
      <c r="Z82" s="127" t="str">
        <f ca="1">IFERROR(VALUE(IF(VLOOKUP($A82,数出表_Excel!$A$6:$T$150,COLUMN()/2+1,FALSE)=0,"",VLOOKUP($A82,数出表_Excel!$A$6:$T$150,COLUMN()/2+1,FALSE))),"")</f>
        <v/>
      </c>
      <c r="AA82" s="128"/>
      <c r="AB82" s="126" t="str">
        <f ca="1">IFERROR(VALUE(IF(VLOOKUP($A82,数出表_Excel!$A$6:$T$150,COLUMN()/2+1,FALSE)=0,"",VLOOKUP($A82,数出表_Excel!$A$6:$T$150,COLUMN()/2+1,FALSE))),"")</f>
        <v/>
      </c>
      <c r="AC82" s="90"/>
      <c r="AD82" s="127" t="str">
        <f ca="1">IFERROR(VALUE(IF(VLOOKUP($A82,数出表_Excel!$A$6:$T$150,COLUMN()/2+1,FALSE)=0,"",VLOOKUP($A82,数出表_Excel!$A$6:$T$150,COLUMN()/2+1,FALSE))),"")</f>
        <v/>
      </c>
      <c r="AE82" s="90"/>
      <c r="AF82" s="127" t="str">
        <f ca="1">IFERROR(VALUE(IF(VLOOKUP($A82,数出表_Excel!$A$6:$T$150,COLUMN()/2+1,FALSE)=0,"",VLOOKUP($A82,数出表_Excel!$A$6:$T$150,COLUMN()/2+1,FALSE))),"")</f>
        <v/>
      </c>
      <c r="AG82" s="90"/>
      <c r="AH82" s="127" t="str">
        <f ca="1">IFERROR(VALUE(IF(VLOOKUP($A82,数出表_Excel!$A$6:$T$150,COLUMN()/2+1,FALSE)=0,"",VLOOKUP($A82,数出表_Excel!$A$6:$T$150,COLUMN()/2+1,FALSE))),"")</f>
        <v/>
      </c>
      <c r="AI82" s="128"/>
      <c r="AJ82" s="126" t="str">
        <f ca="1">IFERROR(VALUE(IF(VLOOKUP($A82,数出表_Excel!$A$6:$T$150,COLUMN()/2+1,FALSE)=0,"",VLOOKUP($A82,数出表_Excel!$A$6:$T$150,COLUMN()/2+1,FALSE))),"")</f>
        <v/>
      </c>
      <c r="AK82" s="90"/>
      <c r="AL82" s="94" t="e">
        <f ca="1">IF(A82&lt;&gt;"",
IF(VLOOKUP($A82,数出表_Excel!$A$6:$T$150,COLUMN()/2+1,FALSE)=0,"",VLOOKUP($A82,数出表_Excel!$A$6:$T$150,COLUMN()/2+1,FALSE)),"")</f>
        <v>#N/A</v>
      </c>
      <c r="AM82" s="175" t="e">
        <f>数出表_Excel!V82</f>
        <v>#N/A</v>
      </c>
      <c r="AN82" s="176" t="e">
        <f>数出表_Excel!W82</f>
        <v>#N/A</v>
      </c>
    </row>
    <row r="83" spans="1:40" ht="16.2" customHeight="1">
      <c r="A83" s="138" t="e">
        <f t="array" aca="1" ref="A83" ca="1">IF(OR(COUNTIF(A81,"*1000*"),COUNTIF(A81,"")),"",INDEX(貼り付け用!$A1:$A200,MATCH(A81,貼り付け用!$A1:$A200,0)+2,0))</f>
        <v>#N/A</v>
      </c>
      <c r="B83" s="91" t="str">
        <f ca="1">IFERROR(VALUE(IF(VLOOKUP($A83,数出表_Excel!$A$6:$T$150,COLUMN()/2+1,FALSE)=0,"",VLOOKUP($A83,数出表_Excel!$A$6:$T$150,COLUMN()/2+1,FALSE))),"")</f>
        <v/>
      </c>
      <c r="C83" s="91"/>
      <c r="D83" s="91" t="str">
        <f ca="1">IFERROR(VALUE(IF(VLOOKUP($A83,数出表_Excel!$A$6:$T$150,COLUMN()/2+1,FALSE)=0,"",VLOOKUP($A83,数出表_Excel!$A$6:$T$150,COLUMN()/2+1,FALSE))),"")</f>
        <v/>
      </c>
      <c r="E83" s="91"/>
      <c r="F83" s="95" t="str">
        <f ca="1">IFERROR(VALUE(IF(VLOOKUP($A83,数出表_Excel!$A$6:$T$150,COLUMN()/2+1,FALSE)=0,"",VLOOKUP($A83,数出表_Excel!$A$6:$T$150,COLUMN()/2+1,FALSE))),"")</f>
        <v/>
      </c>
      <c r="G83" s="91"/>
      <c r="H83" s="91" t="str">
        <f ca="1">IFERROR(VALUE(IF(VLOOKUP($A83,数出表_Excel!$A$6:$T$150,COLUMN()/2+1,FALSE)=0,"",VLOOKUP($A83,数出表_Excel!$A$6:$T$150,COLUMN()/2+1,FALSE))),"")</f>
        <v/>
      </c>
      <c r="I83" s="91"/>
      <c r="J83" s="91" t="str">
        <f ca="1">IFERROR(VALUE(IF(VLOOKUP($A83,数出表_Excel!$A$6:$T$150,COLUMN()/2+1,FALSE)=0,"",VLOOKUP($A83,数出表_Excel!$A$6:$T$150,COLUMN()/2+1,FALSE))),"")</f>
        <v/>
      </c>
      <c r="K83" s="91"/>
      <c r="L83" s="95" t="str">
        <f ca="1">IFERROR(VALUE(IF(VLOOKUP($A83,数出表_Excel!$A$6:$T$150,COLUMN()/2+1,FALSE)=0,"",VLOOKUP($A83,数出表_Excel!$A$6:$T$150,COLUMN()/2+1,FALSE))),"")</f>
        <v/>
      </c>
      <c r="M83" s="91"/>
      <c r="N83" s="91" t="str">
        <f ca="1">IFERROR(VALUE(IF(VLOOKUP($A83,数出表_Excel!$A$6:$T$150,COLUMN()/2+1,FALSE)=0,"",VLOOKUP($A83,数出表_Excel!$A$6:$T$150,COLUMN()/2+1,FALSE))),"")</f>
        <v/>
      </c>
      <c r="O83" s="91"/>
      <c r="P83" s="91" t="str">
        <f ca="1">IFERROR(VALUE(IF(VLOOKUP($A83,数出表_Excel!$A$6:$T$150,COLUMN()/2+1,FALSE)=0,"",VLOOKUP($A83,数出表_Excel!$A$6:$T$150,COLUMN()/2+1,FALSE))),"")</f>
        <v/>
      </c>
      <c r="Q83" s="91"/>
      <c r="R83" s="91" t="str">
        <f ca="1">IFERROR(VALUE(IF(VLOOKUP($A83,数出表_Excel!$A$6:$T$150,COLUMN()/2+1,FALSE)=0,"",VLOOKUP($A83,数出表_Excel!$A$6:$T$150,COLUMN()/2+1,FALSE))),"")</f>
        <v/>
      </c>
      <c r="S83" s="91"/>
      <c r="T83" s="91" t="str">
        <f ca="1">IFERROR(VALUE(IF(VLOOKUP($A83,数出表_Excel!$A$6:$T$150,COLUMN()/2+1,FALSE)=0,"",VLOOKUP($A83,数出表_Excel!$A$6:$T$150,COLUMN()/2+1,FALSE))),"")</f>
        <v/>
      </c>
      <c r="U83" s="91"/>
      <c r="V83" s="95" t="str">
        <f ca="1">IFERROR(VALUE(IF(VLOOKUP($A83,数出表_Excel!$A$6:$T$150,COLUMN()/2+1,FALSE)=0,"",VLOOKUP($A83,数出表_Excel!$A$6:$T$150,COLUMN()/2+1,FALSE))),"")</f>
        <v/>
      </c>
      <c r="W83" s="91"/>
      <c r="X83" s="95" t="str">
        <f ca="1">IFERROR(VALUE(IF(VLOOKUP($A83,数出表_Excel!$A$6:$T$150,COLUMN()/2+1,FALSE)=0,"",VLOOKUP($A83,数出表_Excel!$A$6:$T$150,COLUMN()/2+1,FALSE))),"")</f>
        <v/>
      </c>
      <c r="Y83" s="91"/>
      <c r="Z83" s="95" t="str">
        <f ca="1">IFERROR(VALUE(IF(VLOOKUP($A83,数出表_Excel!$A$6:$T$150,COLUMN()/2+1,FALSE)=0,"",VLOOKUP($A83,数出表_Excel!$A$6:$T$150,COLUMN()/2+1,FALSE))),"")</f>
        <v/>
      </c>
      <c r="AA83" s="129"/>
      <c r="AB83" s="96" t="str">
        <f ca="1">IFERROR(VALUE(IF(VLOOKUP($A83,数出表_Excel!$A$6:$T$150,COLUMN()/2+1,FALSE)=0,"",VLOOKUP($A83,数出表_Excel!$A$6:$T$150,COLUMN()/2+1,FALSE))),"")</f>
        <v/>
      </c>
      <c r="AC83" s="91"/>
      <c r="AD83" s="95" t="str">
        <f ca="1">IFERROR(VALUE(IF(VLOOKUP($A83,数出表_Excel!$A$6:$T$150,COLUMN()/2+1,FALSE)=0,"",VLOOKUP($A83,数出表_Excel!$A$6:$T$150,COLUMN()/2+1,FALSE))),"")</f>
        <v/>
      </c>
      <c r="AE83" s="91"/>
      <c r="AF83" s="95" t="str">
        <f ca="1">IFERROR(VALUE(IF(VLOOKUP($A83,数出表_Excel!$A$6:$T$150,COLUMN()/2+1,FALSE)=0,"",VLOOKUP($A83,数出表_Excel!$A$6:$T$150,COLUMN()/2+1,FALSE))),"")</f>
        <v/>
      </c>
      <c r="AG83" s="91"/>
      <c r="AH83" s="95" t="str">
        <f ca="1">IFERROR(VALUE(IF(VLOOKUP($A83,数出表_Excel!$A$6:$T$150,COLUMN()/2+1,FALSE)=0,"",VLOOKUP($A83,数出表_Excel!$A$6:$T$150,COLUMN()/2+1,FALSE))),"")</f>
        <v/>
      </c>
      <c r="AI83" s="129"/>
      <c r="AJ83" s="96" t="str">
        <f ca="1">IFERROR(VALUE(IF(VLOOKUP($A83,数出表_Excel!$A$6:$T$150,COLUMN()/2+1,FALSE)=0,"",VLOOKUP($A83,数出表_Excel!$A$6:$T$150,COLUMN()/2+1,FALSE))),"")</f>
        <v/>
      </c>
      <c r="AK83" s="91"/>
      <c r="AL83" s="97" t="e">
        <f ca="1">IF(A83&lt;&gt;"",
IF(VLOOKUP($A83,数出表_Excel!$A$6:$T$150,COLUMN()/2+1,FALSE)=0,"",VLOOKUP($A83,数出表_Excel!$A$6:$T$150,COLUMN()/2+1,FALSE)),"")</f>
        <v>#N/A</v>
      </c>
      <c r="AM83" s="177" t="e">
        <f>数出表_Excel!V83</f>
        <v>#N/A</v>
      </c>
      <c r="AN83" s="178" t="e">
        <f>数出表_Excel!W83</f>
        <v>#N/A</v>
      </c>
    </row>
    <row r="84" spans="1:40" ht="16.2" customHeight="1">
      <c r="A84" s="137" t="e">
        <f t="array" aca="1" ref="A84" ca="1">IF(OR(COUNTIF(A82,"*10002*"),COUNTIF(A82,"")),"",INDEX(貼り付け用!$A1:$A200,MATCH(A82,貼り付け用!$A1:$A200,0)+2,0))</f>
        <v>#N/A</v>
      </c>
      <c r="B84" s="125" t="str">
        <f ca="1">IFERROR(VALUE(IF(VLOOKUP($A84,数出表_Excel!$A$6:$T$150,COLUMN()/2+1,FALSE)=0,"",VLOOKUP($A84,数出表_Excel!$A$6:$T$150,COLUMN()/2+1,FALSE))),"")</f>
        <v/>
      </c>
      <c r="C84" s="90"/>
      <c r="D84" s="125" t="str">
        <f ca="1">IFERROR(VALUE(IF(VLOOKUP($A84,数出表_Excel!$A$6:$T$150,COLUMN()/2+1,FALSE)=0,"",VLOOKUP($A84,数出表_Excel!$A$6:$T$150,COLUMN()/2+1,FALSE))),"")</f>
        <v/>
      </c>
      <c r="E84" s="90"/>
      <c r="F84" s="127" t="str">
        <f ca="1">IFERROR(VALUE(IF(VLOOKUP($A84,数出表_Excel!$A$6:$T$150,COLUMN()/2+1,FALSE)=0,"",VLOOKUP($A84,数出表_Excel!$A$6:$T$150,COLUMN()/2+1,FALSE))),"")</f>
        <v/>
      </c>
      <c r="G84" s="90"/>
      <c r="H84" s="125" t="str">
        <f ca="1">IFERROR(VALUE(IF(VLOOKUP($A84,数出表_Excel!$A$6:$T$150,COLUMN()/2+1,FALSE)=0,"",VLOOKUP($A84,数出表_Excel!$A$6:$T$150,COLUMN()/2+1,FALSE))),"")</f>
        <v/>
      </c>
      <c r="I84" s="90"/>
      <c r="J84" s="125" t="str">
        <f ca="1">IFERROR(VALUE(IF(VLOOKUP($A84,数出表_Excel!$A$6:$T$150,COLUMN()/2+1,FALSE)=0,"",VLOOKUP($A84,数出表_Excel!$A$6:$T$150,COLUMN()/2+1,FALSE))),"")</f>
        <v/>
      </c>
      <c r="K84" s="90"/>
      <c r="L84" s="127" t="str">
        <f ca="1">IFERROR(VALUE(IF(VLOOKUP($A84,数出表_Excel!$A$6:$T$150,COLUMN()/2+1,FALSE)=0,"",VLOOKUP($A84,数出表_Excel!$A$6:$T$150,COLUMN()/2+1,FALSE))),"")</f>
        <v/>
      </c>
      <c r="M84" s="90"/>
      <c r="N84" s="125" t="str">
        <f ca="1">IFERROR(VALUE(IF(VLOOKUP($A84,数出表_Excel!$A$6:$T$150,COLUMN()/2+1,FALSE)=0,"",VLOOKUP($A84,数出表_Excel!$A$6:$T$150,COLUMN()/2+1,FALSE))),"")</f>
        <v/>
      </c>
      <c r="O84" s="90"/>
      <c r="P84" s="125" t="str">
        <f ca="1">IFERROR(VALUE(IF(VLOOKUP($A84,数出表_Excel!$A$6:$T$150,COLUMN()/2+1,FALSE)=0,"",VLOOKUP($A84,数出表_Excel!$A$6:$T$150,COLUMN()/2+1,FALSE))),"")</f>
        <v/>
      </c>
      <c r="Q84" s="90"/>
      <c r="R84" s="125" t="str">
        <f ca="1">IFERROR(VALUE(IF(VLOOKUP($A84,数出表_Excel!$A$6:$T$150,COLUMN()/2+1,FALSE)=0,"",VLOOKUP($A84,数出表_Excel!$A$6:$T$150,COLUMN()/2+1,FALSE))),"")</f>
        <v/>
      </c>
      <c r="S84" s="90"/>
      <c r="T84" s="125" t="str">
        <f ca="1">IFERROR(VALUE(IF(VLOOKUP($A84,数出表_Excel!$A$6:$T$150,COLUMN()/2+1,FALSE)=0,"",VLOOKUP($A84,数出表_Excel!$A$6:$T$150,COLUMN()/2+1,FALSE))),"")</f>
        <v/>
      </c>
      <c r="U84" s="90"/>
      <c r="V84" s="127" t="str">
        <f ca="1">IFERROR(VALUE(IF(VLOOKUP($A84,数出表_Excel!$A$6:$T$150,COLUMN()/2+1,FALSE)=0,"",VLOOKUP($A84,数出表_Excel!$A$6:$T$150,COLUMN()/2+1,FALSE))),"")</f>
        <v/>
      </c>
      <c r="W84" s="90"/>
      <c r="X84" s="127" t="str">
        <f ca="1">IFERROR(VALUE(IF(VLOOKUP($A84,数出表_Excel!$A$6:$T$150,COLUMN()/2+1,FALSE)=0,"",VLOOKUP($A84,数出表_Excel!$A$6:$T$150,COLUMN()/2+1,FALSE))),"")</f>
        <v/>
      </c>
      <c r="Y84" s="90"/>
      <c r="Z84" s="127" t="str">
        <f ca="1">IFERROR(VALUE(IF(VLOOKUP($A84,数出表_Excel!$A$6:$T$150,COLUMN()/2+1,FALSE)=0,"",VLOOKUP($A84,数出表_Excel!$A$6:$T$150,COLUMN()/2+1,FALSE))),"")</f>
        <v/>
      </c>
      <c r="AA84" s="128"/>
      <c r="AB84" s="126" t="str">
        <f ca="1">IFERROR(VALUE(IF(VLOOKUP($A84,数出表_Excel!$A$6:$T$150,COLUMN()/2+1,FALSE)=0,"",VLOOKUP($A84,数出表_Excel!$A$6:$T$150,COLUMN()/2+1,FALSE))),"")</f>
        <v/>
      </c>
      <c r="AC84" s="90"/>
      <c r="AD84" s="127" t="str">
        <f ca="1">IFERROR(VALUE(IF(VLOOKUP($A84,数出表_Excel!$A$6:$T$150,COLUMN()/2+1,FALSE)=0,"",VLOOKUP($A84,数出表_Excel!$A$6:$T$150,COLUMN()/2+1,FALSE))),"")</f>
        <v/>
      </c>
      <c r="AE84" s="90"/>
      <c r="AF84" s="127" t="str">
        <f ca="1">IFERROR(VALUE(IF(VLOOKUP($A84,数出表_Excel!$A$6:$T$150,COLUMN()/2+1,FALSE)=0,"",VLOOKUP($A84,数出表_Excel!$A$6:$T$150,COLUMN()/2+1,FALSE))),"")</f>
        <v/>
      </c>
      <c r="AG84" s="90"/>
      <c r="AH84" s="127" t="str">
        <f ca="1">IFERROR(VALUE(IF(VLOOKUP($A84,数出表_Excel!$A$6:$T$150,COLUMN()/2+1,FALSE)=0,"",VLOOKUP($A84,数出表_Excel!$A$6:$T$150,COLUMN()/2+1,FALSE))),"")</f>
        <v/>
      </c>
      <c r="AI84" s="128"/>
      <c r="AJ84" s="126" t="str">
        <f ca="1">IFERROR(VALUE(IF(VLOOKUP($A84,数出表_Excel!$A$6:$T$150,COLUMN()/2+1,FALSE)=0,"",VLOOKUP($A84,数出表_Excel!$A$6:$T$150,COLUMN()/2+1,FALSE))),"")</f>
        <v/>
      </c>
      <c r="AK84" s="90"/>
      <c r="AL84" s="94" t="e">
        <f ca="1">IF(A84&lt;&gt;"",
IF(VLOOKUP($A84,数出表_Excel!$A$6:$T$150,COLUMN()/2+1,FALSE)=0,"",VLOOKUP($A84,数出表_Excel!$A$6:$T$150,COLUMN()/2+1,FALSE)),"")</f>
        <v>#N/A</v>
      </c>
      <c r="AM84" s="175" t="e">
        <f>数出表_Excel!V84</f>
        <v>#N/A</v>
      </c>
      <c r="AN84" s="176" t="e">
        <f>数出表_Excel!W84</f>
        <v>#N/A</v>
      </c>
    </row>
    <row r="85" spans="1:40" ht="16.2" customHeight="1">
      <c r="A85" s="138" t="e">
        <f t="array" aca="1" ref="A85" ca="1">IF(OR(COUNTIF(A83,"*1000*"),COUNTIF(A83,"")),"",INDEX(貼り付け用!$A1:$A200,MATCH(A83,貼り付け用!$A1:$A200,0)+2,0))</f>
        <v>#N/A</v>
      </c>
      <c r="B85" s="91" t="str">
        <f ca="1">IFERROR(VALUE(IF(VLOOKUP($A85,数出表_Excel!$A$6:$T$150,COLUMN()/2+1,FALSE)=0,"",VLOOKUP($A85,数出表_Excel!$A$6:$T$150,COLUMN()/2+1,FALSE))),"")</f>
        <v/>
      </c>
      <c r="C85" s="91"/>
      <c r="D85" s="91" t="str">
        <f ca="1">IFERROR(VALUE(IF(VLOOKUP($A85,数出表_Excel!$A$6:$T$150,COLUMN()/2+1,FALSE)=0,"",VLOOKUP($A85,数出表_Excel!$A$6:$T$150,COLUMN()/2+1,FALSE))),"")</f>
        <v/>
      </c>
      <c r="E85" s="91"/>
      <c r="F85" s="95" t="str">
        <f ca="1">IFERROR(VALUE(IF(VLOOKUP($A85,数出表_Excel!$A$6:$T$150,COLUMN()/2+1,FALSE)=0,"",VLOOKUP($A85,数出表_Excel!$A$6:$T$150,COLUMN()/2+1,FALSE))),"")</f>
        <v/>
      </c>
      <c r="G85" s="91"/>
      <c r="H85" s="91" t="str">
        <f ca="1">IFERROR(VALUE(IF(VLOOKUP($A85,数出表_Excel!$A$6:$T$150,COLUMN()/2+1,FALSE)=0,"",VLOOKUP($A85,数出表_Excel!$A$6:$T$150,COLUMN()/2+1,FALSE))),"")</f>
        <v/>
      </c>
      <c r="I85" s="91"/>
      <c r="J85" s="91" t="str">
        <f ca="1">IFERROR(VALUE(IF(VLOOKUP($A85,数出表_Excel!$A$6:$T$150,COLUMN()/2+1,FALSE)=0,"",VLOOKUP($A85,数出表_Excel!$A$6:$T$150,COLUMN()/2+1,FALSE))),"")</f>
        <v/>
      </c>
      <c r="K85" s="91"/>
      <c r="L85" s="95" t="str">
        <f ca="1">IFERROR(VALUE(IF(VLOOKUP($A85,数出表_Excel!$A$6:$T$150,COLUMN()/2+1,FALSE)=0,"",VLOOKUP($A85,数出表_Excel!$A$6:$T$150,COLUMN()/2+1,FALSE))),"")</f>
        <v/>
      </c>
      <c r="M85" s="91"/>
      <c r="N85" s="91" t="str">
        <f ca="1">IFERROR(VALUE(IF(VLOOKUP($A85,数出表_Excel!$A$6:$T$150,COLUMN()/2+1,FALSE)=0,"",VLOOKUP($A85,数出表_Excel!$A$6:$T$150,COLUMN()/2+1,FALSE))),"")</f>
        <v/>
      </c>
      <c r="O85" s="91"/>
      <c r="P85" s="91" t="str">
        <f ca="1">IFERROR(VALUE(IF(VLOOKUP($A85,数出表_Excel!$A$6:$T$150,COLUMN()/2+1,FALSE)=0,"",VLOOKUP($A85,数出表_Excel!$A$6:$T$150,COLUMN()/2+1,FALSE))),"")</f>
        <v/>
      </c>
      <c r="Q85" s="91"/>
      <c r="R85" s="91" t="str">
        <f ca="1">IFERROR(VALUE(IF(VLOOKUP($A85,数出表_Excel!$A$6:$T$150,COLUMN()/2+1,FALSE)=0,"",VLOOKUP($A85,数出表_Excel!$A$6:$T$150,COLUMN()/2+1,FALSE))),"")</f>
        <v/>
      </c>
      <c r="S85" s="91"/>
      <c r="T85" s="91" t="str">
        <f ca="1">IFERROR(VALUE(IF(VLOOKUP($A85,数出表_Excel!$A$6:$T$150,COLUMN()/2+1,FALSE)=0,"",VLOOKUP($A85,数出表_Excel!$A$6:$T$150,COLUMN()/2+1,FALSE))),"")</f>
        <v/>
      </c>
      <c r="U85" s="91"/>
      <c r="V85" s="95" t="str">
        <f ca="1">IFERROR(VALUE(IF(VLOOKUP($A85,数出表_Excel!$A$6:$T$150,COLUMN()/2+1,FALSE)=0,"",VLOOKUP($A85,数出表_Excel!$A$6:$T$150,COLUMN()/2+1,FALSE))),"")</f>
        <v/>
      </c>
      <c r="W85" s="91"/>
      <c r="X85" s="95" t="str">
        <f ca="1">IFERROR(VALUE(IF(VLOOKUP($A85,数出表_Excel!$A$6:$T$150,COLUMN()/2+1,FALSE)=0,"",VLOOKUP($A85,数出表_Excel!$A$6:$T$150,COLUMN()/2+1,FALSE))),"")</f>
        <v/>
      </c>
      <c r="Y85" s="91"/>
      <c r="Z85" s="95" t="str">
        <f ca="1">IFERROR(VALUE(IF(VLOOKUP($A85,数出表_Excel!$A$6:$T$150,COLUMN()/2+1,FALSE)=0,"",VLOOKUP($A85,数出表_Excel!$A$6:$T$150,COLUMN()/2+1,FALSE))),"")</f>
        <v/>
      </c>
      <c r="AA85" s="129"/>
      <c r="AB85" s="96" t="str">
        <f ca="1">IFERROR(VALUE(IF(VLOOKUP($A85,数出表_Excel!$A$6:$T$150,COLUMN()/2+1,FALSE)=0,"",VLOOKUP($A85,数出表_Excel!$A$6:$T$150,COLUMN()/2+1,FALSE))),"")</f>
        <v/>
      </c>
      <c r="AC85" s="91"/>
      <c r="AD85" s="95" t="str">
        <f ca="1">IFERROR(VALUE(IF(VLOOKUP($A85,数出表_Excel!$A$6:$T$150,COLUMN()/2+1,FALSE)=0,"",VLOOKUP($A85,数出表_Excel!$A$6:$T$150,COLUMN()/2+1,FALSE))),"")</f>
        <v/>
      </c>
      <c r="AE85" s="91"/>
      <c r="AF85" s="95" t="str">
        <f ca="1">IFERROR(VALUE(IF(VLOOKUP($A85,数出表_Excel!$A$6:$T$150,COLUMN()/2+1,FALSE)=0,"",VLOOKUP($A85,数出表_Excel!$A$6:$T$150,COLUMN()/2+1,FALSE))),"")</f>
        <v/>
      </c>
      <c r="AG85" s="91"/>
      <c r="AH85" s="95" t="str">
        <f ca="1">IFERROR(VALUE(IF(VLOOKUP($A85,数出表_Excel!$A$6:$T$150,COLUMN()/2+1,FALSE)=0,"",VLOOKUP($A85,数出表_Excel!$A$6:$T$150,COLUMN()/2+1,FALSE))),"")</f>
        <v/>
      </c>
      <c r="AI85" s="129"/>
      <c r="AJ85" s="96" t="str">
        <f ca="1">IFERROR(VALUE(IF(VLOOKUP($A85,数出表_Excel!$A$6:$T$150,COLUMN()/2+1,FALSE)=0,"",VLOOKUP($A85,数出表_Excel!$A$6:$T$150,COLUMN()/2+1,FALSE))),"")</f>
        <v/>
      </c>
      <c r="AK85" s="91"/>
      <c r="AL85" s="97" t="e">
        <f ca="1">IF(A85&lt;&gt;"",
IF(VLOOKUP($A85,数出表_Excel!$A$6:$T$150,COLUMN()/2+1,FALSE)=0,"",VLOOKUP($A85,数出表_Excel!$A$6:$T$150,COLUMN()/2+1,FALSE)),"")</f>
        <v>#N/A</v>
      </c>
      <c r="AM85" s="177" t="e">
        <f>数出表_Excel!V85</f>
        <v>#N/A</v>
      </c>
      <c r="AN85" s="178" t="e">
        <f>数出表_Excel!W85</f>
        <v>#N/A</v>
      </c>
    </row>
    <row r="86" spans="1:40" ht="16.2" customHeight="1">
      <c r="A86" s="137" t="e">
        <f t="array" aca="1" ref="A86" ca="1">IF(OR(COUNTIF(A84,"*10002*"),COUNTIF(A84,"")),"",INDEX(貼り付け用!$A1:$A200,MATCH(A84,貼り付け用!$A1:$A200,0)+2,0))</f>
        <v>#N/A</v>
      </c>
      <c r="B86" s="125" t="str">
        <f ca="1">IFERROR(VALUE(IF(VLOOKUP($A86,数出表_Excel!$A$6:$T$150,COLUMN()/2+1,FALSE)=0,"",VLOOKUP($A86,数出表_Excel!$A$6:$T$150,COLUMN()/2+1,FALSE))),"")</f>
        <v/>
      </c>
      <c r="C86" s="90"/>
      <c r="D86" s="125" t="str">
        <f ca="1">IFERROR(VALUE(IF(VLOOKUP($A86,数出表_Excel!$A$6:$T$150,COLUMN()/2+1,FALSE)=0,"",VLOOKUP($A86,数出表_Excel!$A$6:$T$150,COLUMN()/2+1,FALSE))),"")</f>
        <v/>
      </c>
      <c r="E86" s="90"/>
      <c r="F86" s="127" t="str">
        <f ca="1">IFERROR(VALUE(IF(VLOOKUP($A86,数出表_Excel!$A$6:$T$150,COLUMN()/2+1,FALSE)=0,"",VLOOKUP($A86,数出表_Excel!$A$6:$T$150,COLUMN()/2+1,FALSE))),"")</f>
        <v/>
      </c>
      <c r="G86" s="90"/>
      <c r="H86" s="125" t="str">
        <f ca="1">IFERROR(VALUE(IF(VLOOKUP($A86,数出表_Excel!$A$6:$T$150,COLUMN()/2+1,FALSE)=0,"",VLOOKUP($A86,数出表_Excel!$A$6:$T$150,COLUMN()/2+1,FALSE))),"")</f>
        <v/>
      </c>
      <c r="I86" s="90"/>
      <c r="J86" s="125" t="str">
        <f ca="1">IFERROR(VALUE(IF(VLOOKUP($A86,数出表_Excel!$A$6:$T$150,COLUMN()/2+1,FALSE)=0,"",VLOOKUP($A86,数出表_Excel!$A$6:$T$150,COLUMN()/2+1,FALSE))),"")</f>
        <v/>
      </c>
      <c r="K86" s="90"/>
      <c r="L86" s="127" t="str">
        <f ca="1">IFERROR(VALUE(IF(VLOOKUP($A86,数出表_Excel!$A$6:$T$150,COLUMN()/2+1,FALSE)=0,"",VLOOKUP($A86,数出表_Excel!$A$6:$T$150,COLUMN()/2+1,FALSE))),"")</f>
        <v/>
      </c>
      <c r="M86" s="90"/>
      <c r="N86" s="125" t="str">
        <f ca="1">IFERROR(VALUE(IF(VLOOKUP($A86,数出表_Excel!$A$6:$T$150,COLUMN()/2+1,FALSE)=0,"",VLOOKUP($A86,数出表_Excel!$A$6:$T$150,COLUMN()/2+1,FALSE))),"")</f>
        <v/>
      </c>
      <c r="O86" s="90"/>
      <c r="P86" s="125" t="str">
        <f ca="1">IFERROR(VALUE(IF(VLOOKUP($A86,数出表_Excel!$A$6:$T$150,COLUMN()/2+1,FALSE)=0,"",VLOOKUP($A86,数出表_Excel!$A$6:$T$150,COLUMN()/2+1,FALSE))),"")</f>
        <v/>
      </c>
      <c r="Q86" s="90"/>
      <c r="R86" s="125" t="str">
        <f ca="1">IFERROR(VALUE(IF(VLOOKUP($A86,数出表_Excel!$A$6:$T$150,COLUMN()/2+1,FALSE)=0,"",VLOOKUP($A86,数出表_Excel!$A$6:$T$150,COLUMN()/2+1,FALSE))),"")</f>
        <v/>
      </c>
      <c r="S86" s="90"/>
      <c r="T86" s="125" t="str">
        <f ca="1">IFERROR(VALUE(IF(VLOOKUP($A86,数出表_Excel!$A$6:$T$150,COLUMN()/2+1,FALSE)=0,"",VLOOKUP($A86,数出表_Excel!$A$6:$T$150,COLUMN()/2+1,FALSE))),"")</f>
        <v/>
      </c>
      <c r="U86" s="90"/>
      <c r="V86" s="127" t="str">
        <f ca="1">IFERROR(VALUE(IF(VLOOKUP($A86,数出表_Excel!$A$6:$T$150,COLUMN()/2+1,FALSE)=0,"",VLOOKUP($A86,数出表_Excel!$A$6:$T$150,COLUMN()/2+1,FALSE))),"")</f>
        <v/>
      </c>
      <c r="W86" s="90"/>
      <c r="X86" s="127" t="str">
        <f ca="1">IFERROR(VALUE(IF(VLOOKUP($A86,数出表_Excel!$A$6:$T$150,COLUMN()/2+1,FALSE)=0,"",VLOOKUP($A86,数出表_Excel!$A$6:$T$150,COLUMN()/2+1,FALSE))),"")</f>
        <v/>
      </c>
      <c r="Y86" s="90"/>
      <c r="Z86" s="127" t="str">
        <f ca="1">IFERROR(VALUE(IF(VLOOKUP($A86,数出表_Excel!$A$6:$T$150,COLUMN()/2+1,FALSE)=0,"",VLOOKUP($A86,数出表_Excel!$A$6:$T$150,COLUMN()/2+1,FALSE))),"")</f>
        <v/>
      </c>
      <c r="AA86" s="128"/>
      <c r="AB86" s="126" t="str">
        <f ca="1">IFERROR(VALUE(IF(VLOOKUP($A86,数出表_Excel!$A$6:$T$150,COLUMN()/2+1,FALSE)=0,"",VLOOKUP($A86,数出表_Excel!$A$6:$T$150,COLUMN()/2+1,FALSE))),"")</f>
        <v/>
      </c>
      <c r="AC86" s="90"/>
      <c r="AD86" s="127" t="str">
        <f ca="1">IFERROR(VALUE(IF(VLOOKUP($A86,数出表_Excel!$A$6:$T$150,COLUMN()/2+1,FALSE)=0,"",VLOOKUP($A86,数出表_Excel!$A$6:$T$150,COLUMN()/2+1,FALSE))),"")</f>
        <v/>
      </c>
      <c r="AE86" s="90"/>
      <c r="AF86" s="127" t="str">
        <f ca="1">IFERROR(VALUE(IF(VLOOKUP($A86,数出表_Excel!$A$6:$T$150,COLUMN()/2+1,FALSE)=0,"",VLOOKUP($A86,数出表_Excel!$A$6:$T$150,COLUMN()/2+1,FALSE))),"")</f>
        <v/>
      </c>
      <c r="AG86" s="90"/>
      <c r="AH86" s="127" t="str">
        <f ca="1">IFERROR(VALUE(IF(VLOOKUP($A86,数出表_Excel!$A$6:$T$150,COLUMN()/2+1,FALSE)=0,"",VLOOKUP($A86,数出表_Excel!$A$6:$T$150,COLUMN()/2+1,FALSE))),"")</f>
        <v/>
      </c>
      <c r="AI86" s="128"/>
      <c r="AJ86" s="126" t="str">
        <f ca="1">IFERROR(VALUE(IF(VLOOKUP($A86,数出表_Excel!$A$6:$T$150,COLUMN()/2+1,FALSE)=0,"",VLOOKUP($A86,数出表_Excel!$A$6:$T$150,COLUMN()/2+1,FALSE))),"")</f>
        <v/>
      </c>
      <c r="AK86" s="90"/>
      <c r="AL86" s="94" t="e">
        <f ca="1">IF(A86&lt;&gt;"",
IF(VLOOKUP($A86,数出表_Excel!$A$6:$T$150,COLUMN()/2+1,FALSE)=0,"",VLOOKUP($A86,数出表_Excel!$A$6:$T$150,COLUMN()/2+1,FALSE)),"")</f>
        <v>#N/A</v>
      </c>
      <c r="AM86" s="175" t="e">
        <f>数出表_Excel!V86</f>
        <v>#N/A</v>
      </c>
      <c r="AN86" s="176" t="e">
        <f>数出表_Excel!W86</f>
        <v>#N/A</v>
      </c>
    </row>
    <row r="87" spans="1:40" ht="16.2" customHeight="1">
      <c r="A87" s="138" t="e">
        <f t="array" aca="1" ref="A87" ca="1">IF(OR(COUNTIF(A85,"*1000*"),COUNTIF(A85,"")),"",INDEX(貼り付け用!$A1:$A200,MATCH(A85,貼り付け用!$A1:$A200,0)+2,0))</f>
        <v>#N/A</v>
      </c>
      <c r="B87" s="91" t="str">
        <f ca="1">IFERROR(VALUE(IF(VLOOKUP($A87,数出表_Excel!$A$6:$T$150,COLUMN()/2+1,FALSE)=0,"",VLOOKUP($A87,数出表_Excel!$A$6:$T$150,COLUMN()/2+1,FALSE))),"")</f>
        <v/>
      </c>
      <c r="C87" s="91"/>
      <c r="D87" s="91" t="str">
        <f ca="1">IFERROR(VALUE(IF(VLOOKUP($A87,数出表_Excel!$A$6:$T$150,COLUMN()/2+1,FALSE)=0,"",VLOOKUP($A87,数出表_Excel!$A$6:$T$150,COLUMN()/2+1,FALSE))),"")</f>
        <v/>
      </c>
      <c r="E87" s="91"/>
      <c r="F87" s="95" t="str">
        <f ca="1">IFERROR(VALUE(IF(VLOOKUP($A87,数出表_Excel!$A$6:$T$150,COLUMN()/2+1,FALSE)=0,"",VLOOKUP($A87,数出表_Excel!$A$6:$T$150,COLUMN()/2+1,FALSE))),"")</f>
        <v/>
      </c>
      <c r="G87" s="91"/>
      <c r="H87" s="91" t="str">
        <f ca="1">IFERROR(VALUE(IF(VLOOKUP($A87,数出表_Excel!$A$6:$T$150,COLUMN()/2+1,FALSE)=0,"",VLOOKUP($A87,数出表_Excel!$A$6:$T$150,COLUMN()/2+1,FALSE))),"")</f>
        <v/>
      </c>
      <c r="I87" s="91"/>
      <c r="J87" s="91" t="str">
        <f ca="1">IFERROR(VALUE(IF(VLOOKUP($A87,数出表_Excel!$A$6:$T$150,COLUMN()/2+1,FALSE)=0,"",VLOOKUP($A87,数出表_Excel!$A$6:$T$150,COLUMN()/2+1,FALSE))),"")</f>
        <v/>
      </c>
      <c r="K87" s="91"/>
      <c r="L87" s="95" t="str">
        <f ca="1">IFERROR(VALUE(IF(VLOOKUP($A87,数出表_Excel!$A$6:$T$150,COLUMN()/2+1,FALSE)=0,"",VLOOKUP($A87,数出表_Excel!$A$6:$T$150,COLUMN()/2+1,FALSE))),"")</f>
        <v/>
      </c>
      <c r="M87" s="91"/>
      <c r="N87" s="91" t="str">
        <f ca="1">IFERROR(VALUE(IF(VLOOKUP($A87,数出表_Excel!$A$6:$T$150,COLUMN()/2+1,FALSE)=0,"",VLOOKUP($A87,数出表_Excel!$A$6:$T$150,COLUMN()/2+1,FALSE))),"")</f>
        <v/>
      </c>
      <c r="O87" s="91"/>
      <c r="P87" s="91" t="str">
        <f ca="1">IFERROR(VALUE(IF(VLOOKUP($A87,数出表_Excel!$A$6:$T$150,COLUMN()/2+1,FALSE)=0,"",VLOOKUP($A87,数出表_Excel!$A$6:$T$150,COLUMN()/2+1,FALSE))),"")</f>
        <v/>
      </c>
      <c r="Q87" s="91"/>
      <c r="R87" s="91" t="str">
        <f ca="1">IFERROR(VALUE(IF(VLOOKUP($A87,数出表_Excel!$A$6:$T$150,COLUMN()/2+1,FALSE)=0,"",VLOOKUP($A87,数出表_Excel!$A$6:$T$150,COLUMN()/2+1,FALSE))),"")</f>
        <v/>
      </c>
      <c r="S87" s="91"/>
      <c r="T87" s="91" t="str">
        <f ca="1">IFERROR(VALUE(IF(VLOOKUP($A87,数出表_Excel!$A$6:$T$150,COLUMN()/2+1,FALSE)=0,"",VLOOKUP($A87,数出表_Excel!$A$6:$T$150,COLUMN()/2+1,FALSE))),"")</f>
        <v/>
      </c>
      <c r="U87" s="91"/>
      <c r="V87" s="95" t="str">
        <f ca="1">IFERROR(VALUE(IF(VLOOKUP($A87,数出表_Excel!$A$6:$T$150,COLUMN()/2+1,FALSE)=0,"",VLOOKUP($A87,数出表_Excel!$A$6:$T$150,COLUMN()/2+1,FALSE))),"")</f>
        <v/>
      </c>
      <c r="W87" s="91"/>
      <c r="X87" s="95" t="str">
        <f ca="1">IFERROR(VALUE(IF(VLOOKUP($A87,数出表_Excel!$A$6:$T$150,COLUMN()/2+1,FALSE)=0,"",VLOOKUP($A87,数出表_Excel!$A$6:$T$150,COLUMN()/2+1,FALSE))),"")</f>
        <v/>
      </c>
      <c r="Y87" s="91"/>
      <c r="Z87" s="95" t="str">
        <f ca="1">IFERROR(VALUE(IF(VLOOKUP($A87,数出表_Excel!$A$6:$T$150,COLUMN()/2+1,FALSE)=0,"",VLOOKUP($A87,数出表_Excel!$A$6:$T$150,COLUMN()/2+1,FALSE))),"")</f>
        <v/>
      </c>
      <c r="AA87" s="129"/>
      <c r="AB87" s="96" t="str">
        <f ca="1">IFERROR(VALUE(IF(VLOOKUP($A87,数出表_Excel!$A$6:$T$150,COLUMN()/2+1,FALSE)=0,"",VLOOKUP($A87,数出表_Excel!$A$6:$T$150,COLUMN()/2+1,FALSE))),"")</f>
        <v/>
      </c>
      <c r="AC87" s="91"/>
      <c r="AD87" s="95" t="str">
        <f ca="1">IFERROR(VALUE(IF(VLOOKUP($A87,数出表_Excel!$A$6:$T$150,COLUMN()/2+1,FALSE)=0,"",VLOOKUP($A87,数出表_Excel!$A$6:$T$150,COLUMN()/2+1,FALSE))),"")</f>
        <v/>
      </c>
      <c r="AE87" s="91"/>
      <c r="AF87" s="95" t="str">
        <f ca="1">IFERROR(VALUE(IF(VLOOKUP($A87,数出表_Excel!$A$6:$T$150,COLUMN()/2+1,FALSE)=0,"",VLOOKUP($A87,数出表_Excel!$A$6:$T$150,COLUMN()/2+1,FALSE))),"")</f>
        <v/>
      </c>
      <c r="AG87" s="91"/>
      <c r="AH87" s="95" t="str">
        <f ca="1">IFERROR(VALUE(IF(VLOOKUP($A87,数出表_Excel!$A$6:$T$150,COLUMN()/2+1,FALSE)=0,"",VLOOKUP($A87,数出表_Excel!$A$6:$T$150,COLUMN()/2+1,FALSE))),"")</f>
        <v/>
      </c>
      <c r="AI87" s="129"/>
      <c r="AJ87" s="96" t="str">
        <f ca="1">IFERROR(VALUE(IF(VLOOKUP($A87,数出表_Excel!$A$6:$T$150,COLUMN()/2+1,FALSE)=0,"",VLOOKUP($A87,数出表_Excel!$A$6:$T$150,COLUMN()/2+1,FALSE))),"")</f>
        <v/>
      </c>
      <c r="AK87" s="91"/>
      <c r="AL87" s="97" t="e">
        <f ca="1">IF(A87&lt;&gt;"",
IF(VLOOKUP($A87,数出表_Excel!$A$6:$T$150,COLUMN()/2+1,FALSE)=0,"",VLOOKUP($A87,数出表_Excel!$A$6:$T$150,COLUMN()/2+1,FALSE)),"")</f>
        <v>#N/A</v>
      </c>
      <c r="AM87" s="177" t="e">
        <f>数出表_Excel!V87</f>
        <v>#N/A</v>
      </c>
      <c r="AN87" s="178" t="e">
        <f>数出表_Excel!W87</f>
        <v>#N/A</v>
      </c>
    </row>
    <row r="88" spans="1:40" ht="16.2" customHeight="1">
      <c r="A88" s="137" t="e">
        <f t="array" aca="1" ref="A88" ca="1">IF(OR(COUNTIF(A86,"*10002*"),COUNTIF(A86,"")),"",INDEX(貼り付け用!$A1:$A200,MATCH(A86,貼り付け用!$A1:$A200,0)+2,0))</f>
        <v>#N/A</v>
      </c>
      <c r="B88" s="125" t="str">
        <f ca="1">IFERROR(VALUE(IF(VLOOKUP($A88,数出表_Excel!$A$6:$T$150,COLUMN()/2+1,FALSE)=0,"",VLOOKUP($A88,数出表_Excel!$A$6:$T$150,COLUMN()/2+1,FALSE))),"")</f>
        <v/>
      </c>
      <c r="C88" s="90"/>
      <c r="D88" s="125" t="str">
        <f ca="1">IFERROR(VALUE(IF(VLOOKUP($A88,数出表_Excel!$A$6:$T$150,COLUMN()/2+1,FALSE)=0,"",VLOOKUP($A88,数出表_Excel!$A$6:$T$150,COLUMN()/2+1,FALSE))),"")</f>
        <v/>
      </c>
      <c r="E88" s="90"/>
      <c r="F88" s="127" t="str">
        <f ca="1">IFERROR(VALUE(IF(VLOOKUP($A88,数出表_Excel!$A$6:$T$150,COLUMN()/2+1,FALSE)=0,"",VLOOKUP($A88,数出表_Excel!$A$6:$T$150,COLUMN()/2+1,FALSE))),"")</f>
        <v/>
      </c>
      <c r="G88" s="90"/>
      <c r="H88" s="125" t="str">
        <f ca="1">IFERROR(VALUE(IF(VLOOKUP($A88,数出表_Excel!$A$6:$T$150,COLUMN()/2+1,FALSE)=0,"",VLOOKUP($A88,数出表_Excel!$A$6:$T$150,COLUMN()/2+1,FALSE))),"")</f>
        <v/>
      </c>
      <c r="I88" s="90"/>
      <c r="J88" s="125" t="str">
        <f ca="1">IFERROR(VALUE(IF(VLOOKUP($A88,数出表_Excel!$A$6:$T$150,COLUMN()/2+1,FALSE)=0,"",VLOOKUP($A88,数出表_Excel!$A$6:$T$150,COLUMN()/2+1,FALSE))),"")</f>
        <v/>
      </c>
      <c r="K88" s="90"/>
      <c r="L88" s="127" t="str">
        <f ca="1">IFERROR(VALUE(IF(VLOOKUP($A88,数出表_Excel!$A$6:$T$150,COLUMN()/2+1,FALSE)=0,"",VLOOKUP($A88,数出表_Excel!$A$6:$T$150,COLUMN()/2+1,FALSE))),"")</f>
        <v/>
      </c>
      <c r="M88" s="90"/>
      <c r="N88" s="125" t="str">
        <f ca="1">IFERROR(VALUE(IF(VLOOKUP($A88,数出表_Excel!$A$6:$T$150,COLUMN()/2+1,FALSE)=0,"",VLOOKUP($A88,数出表_Excel!$A$6:$T$150,COLUMN()/2+1,FALSE))),"")</f>
        <v/>
      </c>
      <c r="O88" s="90"/>
      <c r="P88" s="125" t="str">
        <f ca="1">IFERROR(VALUE(IF(VLOOKUP($A88,数出表_Excel!$A$6:$T$150,COLUMN()/2+1,FALSE)=0,"",VLOOKUP($A88,数出表_Excel!$A$6:$T$150,COLUMN()/2+1,FALSE))),"")</f>
        <v/>
      </c>
      <c r="Q88" s="90"/>
      <c r="R88" s="125" t="str">
        <f ca="1">IFERROR(VALUE(IF(VLOOKUP($A88,数出表_Excel!$A$6:$T$150,COLUMN()/2+1,FALSE)=0,"",VLOOKUP($A88,数出表_Excel!$A$6:$T$150,COLUMN()/2+1,FALSE))),"")</f>
        <v/>
      </c>
      <c r="S88" s="90"/>
      <c r="T88" s="125" t="str">
        <f ca="1">IFERROR(VALUE(IF(VLOOKUP($A88,数出表_Excel!$A$6:$T$150,COLUMN()/2+1,FALSE)=0,"",VLOOKUP($A88,数出表_Excel!$A$6:$T$150,COLUMN()/2+1,FALSE))),"")</f>
        <v/>
      </c>
      <c r="U88" s="90"/>
      <c r="V88" s="127" t="str">
        <f ca="1">IFERROR(VALUE(IF(VLOOKUP($A88,数出表_Excel!$A$6:$T$150,COLUMN()/2+1,FALSE)=0,"",VLOOKUP($A88,数出表_Excel!$A$6:$T$150,COLUMN()/2+1,FALSE))),"")</f>
        <v/>
      </c>
      <c r="W88" s="90"/>
      <c r="X88" s="127" t="str">
        <f ca="1">IFERROR(VALUE(IF(VLOOKUP($A88,数出表_Excel!$A$6:$T$150,COLUMN()/2+1,FALSE)=0,"",VLOOKUP($A88,数出表_Excel!$A$6:$T$150,COLUMN()/2+1,FALSE))),"")</f>
        <v/>
      </c>
      <c r="Y88" s="90"/>
      <c r="Z88" s="127" t="str">
        <f ca="1">IFERROR(VALUE(IF(VLOOKUP($A88,数出表_Excel!$A$6:$T$150,COLUMN()/2+1,FALSE)=0,"",VLOOKUP($A88,数出表_Excel!$A$6:$T$150,COLUMN()/2+1,FALSE))),"")</f>
        <v/>
      </c>
      <c r="AA88" s="128"/>
      <c r="AB88" s="126" t="str">
        <f ca="1">IFERROR(VALUE(IF(VLOOKUP($A88,数出表_Excel!$A$6:$T$150,COLUMN()/2+1,FALSE)=0,"",VLOOKUP($A88,数出表_Excel!$A$6:$T$150,COLUMN()/2+1,FALSE))),"")</f>
        <v/>
      </c>
      <c r="AC88" s="90"/>
      <c r="AD88" s="127" t="str">
        <f ca="1">IFERROR(VALUE(IF(VLOOKUP($A88,数出表_Excel!$A$6:$T$150,COLUMN()/2+1,FALSE)=0,"",VLOOKUP($A88,数出表_Excel!$A$6:$T$150,COLUMN()/2+1,FALSE))),"")</f>
        <v/>
      </c>
      <c r="AE88" s="90"/>
      <c r="AF88" s="127" t="str">
        <f ca="1">IFERROR(VALUE(IF(VLOOKUP($A88,数出表_Excel!$A$6:$T$150,COLUMN()/2+1,FALSE)=0,"",VLOOKUP($A88,数出表_Excel!$A$6:$T$150,COLUMN()/2+1,FALSE))),"")</f>
        <v/>
      </c>
      <c r="AG88" s="90"/>
      <c r="AH88" s="127" t="str">
        <f ca="1">IFERROR(VALUE(IF(VLOOKUP($A88,数出表_Excel!$A$6:$T$150,COLUMN()/2+1,FALSE)=0,"",VLOOKUP($A88,数出表_Excel!$A$6:$T$150,COLUMN()/2+1,FALSE))),"")</f>
        <v/>
      </c>
      <c r="AI88" s="128"/>
      <c r="AJ88" s="126" t="str">
        <f ca="1">IFERROR(VALUE(IF(VLOOKUP($A88,数出表_Excel!$A$6:$T$150,COLUMN()/2+1,FALSE)=0,"",VLOOKUP($A88,数出表_Excel!$A$6:$T$150,COLUMN()/2+1,FALSE))),"")</f>
        <v/>
      </c>
      <c r="AK88" s="90"/>
      <c r="AL88" s="94" t="e">
        <f ca="1">IF(A88&lt;&gt;"",
IF(VLOOKUP($A88,数出表_Excel!$A$6:$T$150,COLUMN()/2+1,FALSE)=0,"",VLOOKUP($A88,数出表_Excel!$A$6:$T$150,COLUMN()/2+1,FALSE)),"")</f>
        <v>#N/A</v>
      </c>
      <c r="AM88" s="175" t="e">
        <f>数出表_Excel!V88</f>
        <v>#N/A</v>
      </c>
      <c r="AN88" s="176" t="e">
        <f>数出表_Excel!W88</f>
        <v>#N/A</v>
      </c>
    </row>
    <row r="89" spans="1:40" ht="16.2" customHeight="1">
      <c r="A89" s="138" t="e">
        <f t="array" aca="1" ref="A89" ca="1">IF(OR(COUNTIF(A87,"*1000*"),COUNTIF(A87,"")),"",INDEX(貼り付け用!$A1:$A200,MATCH(A87,貼り付け用!$A1:$A200,0)+2,0))</f>
        <v>#N/A</v>
      </c>
      <c r="B89" s="91" t="str">
        <f ca="1">IFERROR(VALUE(IF(VLOOKUP($A89,数出表_Excel!$A$6:$T$150,COLUMN()/2+1,FALSE)=0,"",VLOOKUP($A89,数出表_Excel!$A$6:$T$150,COLUMN()/2+1,FALSE))),"")</f>
        <v/>
      </c>
      <c r="C89" s="91"/>
      <c r="D89" s="91" t="str">
        <f ca="1">IFERROR(VALUE(IF(VLOOKUP($A89,数出表_Excel!$A$6:$T$150,COLUMN()/2+1,FALSE)=0,"",VLOOKUP($A89,数出表_Excel!$A$6:$T$150,COLUMN()/2+1,FALSE))),"")</f>
        <v/>
      </c>
      <c r="E89" s="91"/>
      <c r="F89" s="95" t="str">
        <f ca="1">IFERROR(VALUE(IF(VLOOKUP($A89,数出表_Excel!$A$6:$T$150,COLUMN()/2+1,FALSE)=0,"",VLOOKUP($A89,数出表_Excel!$A$6:$T$150,COLUMN()/2+1,FALSE))),"")</f>
        <v/>
      </c>
      <c r="G89" s="91"/>
      <c r="H89" s="91" t="str">
        <f ca="1">IFERROR(VALUE(IF(VLOOKUP($A89,数出表_Excel!$A$6:$T$150,COLUMN()/2+1,FALSE)=0,"",VLOOKUP($A89,数出表_Excel!$A$6:$T$150,COLUMN()/2+1,FALSE))),"")</f>
        <v/>
      </c>
      <c r="I89" s="91"/>
      <c r="J89" s="91" t="str">
        <f ca="1">IFERROR(VALUE(IF(VLOOKUP($A89,数出表_Excel!$A$6:$T$150,COLUMN()/2+1,FALSE)=0,"",VLOOKUP($A89,数出表_Excel!$A$6:$T$150,COLUMN()/2+1,FALSE))),"")</f>
        <v/>
      </c>
      <c r="K89" s="91"/>
      <c r="L89" s="95" t="str">
        <f ca="1">IFERROR(VALUE(IF(VLOOKUP($A89,数出表_Excel!$A$6:$T$150,COLUMN()/2+1,FALSE)=0,"",VLOOKUP($A89,数出表_Excel!$A$6:$T$150,COLUMN()/2+1,FALSE))),"")</f>
        <v/>
      </c>
      <c r="M89" s="91"/>
      <c r="N89" s="91" t="str">
        <f ca="1">IFERROR(VALUE(IF(VLOOKUP($A89,数出表_Excel!$A$6:$T$150,COLUMN()/2+1,FALSE)=0,"",VLOOKUP($A89,数出表_Excel!$A$6:$T$150,COLUMN()/2+1,FALSE))),"")</f>
        <v/>
      </c>
      <c r="O89" s="91"/>
      <c r="P89" s="91" t="str">
        <f ca="1">IFERROR(VALUE(IF(VLOOKUP($A89,数出表_Excel!$A$6:$T$150,COLUMN()/2+1,FALSE)=0,"",VLOOKUP($A89,数出表_Excel!$A$6:$T$150,COLUMN()/2+1,FALSE))),"")</f>
        <v/>
      </c>
      <c r="Q89" s="91"/>
      <c r="R89" s="91" t="str">
        <f ca="1">IFERROR(VALUE(IF(VLOOKUP($A89,数出表_Excel!$A$6:$T$150,COLUMN()/2+1,FALSE)=0,"",VLOOKUP($A89,数出表_Excel!$A$6:$T$150,COLUMN()/2+1,FALSE))),"")</f>
        <v/>
      </c>
      <c r="S89" s="91"/>
      <c r="T89" s="91" t="str">
        <f ca="1">IFERROR(VALUE(IF(VLOOKUP($A89,数出表_Excel!$A$6:$T$150,COLUMN()/2+1,FALSE)=0,"",VLOOKUP($A89,数出表_Excel!$A$6:$T$150,COLUMN()/2+1,FALSE))),"")</f>
        <v/>
      </c>
      <c r="U89" s="91"/>
      <c r="V89" s="95" t="str">
        <f ca="1">IFERROR(VALUE(IF(VLOOKUP($A89,数出表_Excel!$A$6:$T$150,COLUMN()/2+1,FALSE)=0,"",VLOOKUP($A89,数出表_Excel!$A$6:$T$150,COLUMN()/2+1,FALSE))),"")</f>
        <v/>
      </c>
      <c r="W89" s="91"/>
      <c r="X89" s="95" t="str">
        <f ca="1">IFERROR(VALUE(IF(VLOOKUP($A89,数出表_Excel!$A$6:$T$150,COLUMN()/2+1,FALSE)=0,"",VLOOKUP($A89,数出表_Excel!$A$6:$T$150,COLUMN()/2+1,FALSE))),"")</f>
        <v/>
      </c>
      <c r="Y89" s="91"/>
      <c r="Z89" s="95" t="str">
        <f ca="1">IFERROR(VALUE(IF(VLOOKUP($A89,数出表_Excel!$A$6:$T$150,COLUMN()/2+1,FALSE)=0,"",VLOOKUP($A89,数出表_Excel!$A$6:$T$150,COLUMN()/2+1,FALSE))),"")</f>
        <v/>
      </c>
      <c r="AA89" s="129"/>
      <c r="AB89" s="96" t="str">
        <f ca="1">IFERROR(VALUE(IF(VLOOKUP($A89,数出表_Excel!$A$6:$T$150,COLUMN()/2+1,FALSE)=0,"",VLOOKUP($A89,数出表_Excel!$A$6:$T$150,COLUMN()/2+1,FALSE))),"")</f>
        <v/>
      </c>
      <c r="AC89" s="91"/>
      <c r="AD89" s="95" t="str">
        <f ca="1">IFERROR(VALUE(IF(VLOOKUP($A89,数出表_Excel!$A$6:$T$150,COLUMN()/2+1,FALSE)=0,"",VLOOKUP($A89,数出表_Excel!$A$6:$T$150,COLUMN()/2+1,FALSE))),"")</f>
        <v/>
      </c>
      <c r="AE89" s="91"/>
      <c r="AF89" s="95" t="str">
        <f ca="1">IFERROR(VALUE(IF(VLOOKUP($A89,数出表_Excel!$A$6:$T$150,COLUMN()/2+1,FALSE)=0,"",VLOOKUP($A89,数出表_Excel!$A$6:$T$150,COLUMN()/2+1,FALSE))),"")</f>
        <v/>
      </c>
      <c r="AG89" s="91"/>
      <c r="AH89" s="95" t="str">
        <f ca="1">IFERROR(VALUE(IF(VLOOKUP($A89,数出表_Excel!$A$6:$T$150,COLUMN()/2+1,FALSE)=0,"",VLOOKUP($A89,数出表_Excel!$A$6:$T$150,COLUMN()/2+1,FALSE))),"")</f>
        <v/>
      </c>
      <c r="AI89" s="129"/>
      <c r="AJ89" s="96" t="str">
        <f ca="1">IFERROR(VALUE(IF(VLOOKUP($A89,数出表_Excel!$A$6:$T$150,COLUMN()/2+1,FALSE)=0,"",VLOOKUP($A89,数出表_Excel!$A$6:$T$150,COLUMN()/2+1,FALSE))),"")</f>
        <v/>
      </c>
      <c r="AK89" s="91"/>
      <c r="AL89" s="97" t="e">
        <f ca="1">IF(A89&lt;&gt;"",
IF(VLOOKUP($A89,数出表_Excel!$A$6:$T$150,COLUMN()/2+1,FALSE)=0,"",VLOOKUP($A89,数出表_Excel!$A$6:$T$150,COLUMN()/2+1,FALSE)),"")</f>
        <v>#N/A</v>
      </c>
      <c r="AM89" s="177" t="e">
        <f>数出表_Excel!V89</f>
        <v>#N/A</v>
      </c>
      <c r="AN89" s="178" t="e">
        <f>数出表_Excel!W89</f>
        <v>#N/A</v>
      </c>
    </row>
    <row r="90" spans="1:40" ht="16.2" customHeight="1">
      <c r="A90" s="137" t="e">
        <f t="array" aca="1" ref="A90" ca="1">IF(OR(COUNTIF(A88,"*10002*"),COUNTIF(A88,"")),"",INDEX(貼り付け用!$A1:$A200,MATCH(A88,貼り付け用!$A1:$A200,0)+2,0))</f>
        <v>#N/A</v>
      </c>
      <c r="B90" s="125" t="str">
        <f ca="1">IFERROR(VALUE(IF(VLOOKUP($A90,数出表_Excel!$A$6:$T$150,COLUMN()/2+1,FALSE)=0,"",VLOOKUP($A90,数出表_Excel!$A$6:$T$150,COLUMN()/2+1,FALSE))),"")</f>
        <v/>
      </c>
      <c r="C90" s="90"/>
      <c r="D90" s="125" t="str">
        <f ca="1">IFERROR(VALUE(IF(VLOOKUP($A90,数出表_Excel!$A$6:$T$150,COLUMN()/2+1,FALSE)=0,"",VLOOKUP($A90,数出表_Excel!$A$6:$T$150,COLUMN()/2+1,FALSE))),"")</f>
        <v/>
      </c>
      <c r="E90" s="90"/>
      <c r="F90" s="127" t="str">
        <f ca="1">IFERROR(VALUE(IF(VLOOKUP($A90,数出表_Excel!$A$6:$T$150,COLUMN()/2+1,FALSE)=0,"",VLOOKUP($A90,数出表_Excel!$A$6:$T$150,COLUMN()/2+1,FALSE))),"")</f>
        <v/>
      </c>
      <c r="G90" s="90"/>
      <c r="H90" s="125" t="str">
        <f ca="1">IFERROR(VALUE(IF(VLOOKUP($A90,数出表_Excel!$A$6:$T$150,COLUMN()/2+1,FALSE)=0,"",VLOOKUP($A90,数出表_Excel!$A$6:$T$150,COLUMN()/2+1,FALSE))),"")</f>
        <v/>
      </c>
      <c r="I90" s="90"/>
      <c r="J90" s="125" t="str">
        <f ca="1">IFERROR(VALUE(IF(VLOOKUP($A90,数出表_Excel!$A$6:$T$150,COLUMN()/2+1,FALSE)=0,"",VLOOKUP($A90,数出表_Excel!$A$6:$T$150,COLUMN()/2+1,FALSE))),"")</f>
        <v/>
      </c>
      <c r="K90" s="90"/>
      <c r="L90" s="127" t="str">
        <f ca="1">IFERROR(VALUE(IF(VLOOKUP($A90,数出表_Excel!$A$6:$T$150,COLUMN()/2+1,FALSE)=0,"",VLOOKUP($A90,数出表_Excel!$A$6:$T$150,COLUMN()/2+1,FALSE))),"")</f>
        <v/>
      </c>
      <c r="M90" s="90"/>
      <c r="N90" s="125" t="str">
        <f ca="1">IFERROR(VALUE(IF(VLOOKUP($A90,数出表_Excel!$A$6:$T$150,COLUMN()/2+1,FALSE)=0,"",VLOOKUP($A90,数出表_Excel!$A$6:$T$150,COLUMN()/2+1,FALSE))),"")</f>
        <v/>
      </c>
      <c r="O90" s="90"/>
      <c r="P90" s="125" t="str">
        <f ca="1">IFERROR(VALUE(IF(VLOOKUP($A90,数出表_Excel!$A$6:$T$150,COLUMN()/2+1,FALSE)=0,"",VLOOKUP($A90,数出表_Excel!$A$6:$T$150,COLUMN()/2+1,FALSE))),"")</f>
        <v/>
      </c>
      <c r="Q90" s="90"/>
      <c r="R90" s="125" t="str">
        <f ca="1">IFERROR(VALUE(IF(VLOOKUP($A90,数出表_Excel!$A$6:$T$150,COLUMN()/2+1,FALSE)=0,"",VLOOKUP($A90,数出表_Excel!$A$6:$T$150,COLUMN()/2+1,FALSE))),"")</f>
        <v/>
      </c>
      <c r="S90" s="90"/>
      <c r="T90" s="125" t="str">
        <f ca="1">IFERROR(VALUE(IF(VLOOKUP($A90,数出表_Excel!$A$6:$T$150,COLUMN()/2+1,FALSE)=0,"",VLOOKUP($A90,数出表_Excel!$A$6:$T$150,COLUMN()/2+1,FALSE))),"")</f>
        <v/>
      </c>
      <c r="U90" s="90"/>
      <c r="V90" s="127" t="str">
        <f ca="1">IFERROR(VALUE(IF(VLOOKUP($A90,数出表_Excel!$A$6:$T$150,COLUMN()/2+1,FALSE)=0,"",VLOOKUP($A90,数出表_Excel!$A$6:$T$150,COLUMN()/2+1,FALSE))),"")</f>
        <v/>
      </c>
      <c r="W90" s="90"/>
      <c r="X90" s="127" t="str">
        <f ca="1">IFERROR(VALUE(IF(VLOOKUP($A90,数出表_Excel!$A$6:$T$150,COLUMN()/2+1,FALSE)=0,"",VLOOKUP($A90,数出表_Excel!$A$6:$T$150,COLUMN()/2+1,FALSE))),"")</f>
        <v/>
      </c>
      <c r="Y90" s="90"/>
      <c r="Z90" s="127" t="str">
        <f ca="1">IFERROR(VALUE(IF(VLOOKUP($A90,数出表_Excel!$A$6:$T$150,COLUMN()/2+1,FALSE)=0,"",VLOOKUP($A90,数出表_Excel!$A$6:$T$150,COLUMN()/2+1,FALSE))),"")</f>
        <v/>
      </c>
      <c r="AA90" s="128"/>
      <c r="AB90" s="126" t="str">
        <f ca="1">IFERROR(VALUE(IF(VLOOKUP($A90,数出表_Excel!$A$6:$T$150,COLUMN()/2+1,FALSE)=0,"",VLOOKUP($A90,数出表_Excel!$A$6:$T$150,COLUMN()/2+1,FALSE))),"")</f>
        <v/>
      </c>
      <c r="AC90" s="90"/>
      <c r="AD90" s="127" t="str">
        <f ca="1">IFERROR(VALUE(IF(VLOOKUP($A90,数出表_Excel!$A$6:$T$150,COLUMN()/2+1,FALSE)=0,"",VLOOKUP($A90,数出表_Excel!$A$6:$T$150,COLUMN()/2+1,FALSE))),"")</f>
        <v/>
      </c>
      <c r="AE90" s="90"/>
      <c r="AF90" s="127" t="str">
        <f ca="1">IFERROR(VALUE(IF(VLOOKUP($A90,数出表_Excel!$A$6:$T$150,COLUMN()/2+1,FALSE)=0,"",VLOOKUP($A90,数出表_Excel!$A$6:$T$150,COLUMN()/2+1,FALSE))),"")</f>
        <v/>
      </c>
      <c r="AG90" s="90"/>
      <c r="AH90" s="127" t="str">
        <f ca="1">IFERROR(VALUE(IF(VLOOKUP($A90,数出表_Excel!$A$6:$T$150,COLUMN()/2+1,FALSE)=0,"",VLOOKUP($A90,数出表_Excel!$A$6:$T$150,COLUMN()/2+1,FALSE))),"")</f>
        <v/>
      </c>
      <c r="AI90" s="128"/>
      <c r="AJ90" s="126" t="str">
        <f ca="1">IFERROR(VALUE(IF(VLOOKUP($A90,数出表_Excel!$A$6:$T$150,COLUMN()/2+1,FALSE)=0,"",VLOOKUP($A90,数出表_Excel!$A$6:$T$150,COLUMN()/2+1,FALSE))),"")</f>
        <v/>
      </c>
      <c r="AK90" s="90"/>
      <c r="AL90" s="94" t="e">
        <f ca="1">IF(A90&lt;&gt;"",
IF(VLOOKUP($A90,数出表_Excel!$A$6:$T$150,COLUMN()/2+1,FALSE)=0,"",VLOOKUP($A90,数出表_Excel!$A$6:$T$150,COLUMN()/2+1,FALSE)),"")</f>
        <v>#N/A</v>
      </c>
      <c r="AM90" s="175" t="e">
        <f>数出表_Excel!V90</f>
        <v>#N/A</v>
      </c>
      <c r="AN90" s="176" t="e">
        <f>数出表_Excel!W90</f>
        <v>#N/A</v>
      </c>
    </row>
    <row r="91" spans="1:40" ht="16.2" customHeight="1">
      <c r="A91" s="138" t="e">
        <f t="array" aca="1" ref="A91" ca="1">IF(OR(COUNTIF(A89,"*1000*"),COUNTIF(A89,"")),"",INDEX(貼り付け用!$A1:$A200,MATCH(A89,貼り付け用!$A1:$A200,0)+2,0))</f>
        <v>#N/A</v>
      </c>
      <c r="B91" s="91" t="str">
        <f ca="1">IFERROR(VALUE(IF(VLOOKUP($A91,数出表_Excel!$A$6:$T$150,COLUMN()/2+1,FALSE)=0,"",VLOOKUP($A91,数出表_Excel!$A$6:$T$150,COLUMN()/2+1,FALSE))),"")</f>
        <v/>
      </c>
      <c r="C91" s="91"/>
      <c r="D91" s="91" t="str">
        <f ca="1">IFERROR(VALUE(IF(VLOOKUP($A91,数出表_Excel!$A$6:$T$150,COLUMN()/2+1,FALSE)=0,"",VLOOKUP($A91,数出表_Excel!$A$6:$T$150,COLUMN()/2+1,FALSE))),"")</f>
        <v/>
      </c>
      <c r="E91" s="91"/>
      <c r="F91" s="95" t="str">
        <f ca="1">IFERROR(VALUE(IF(VLOOKUP($A91,数出表_Excel!$A$6:$T$150,COLUMN()/2+1,FALSE)=0,"",VLOOKUP($A91,数出表_Excel!$A$6:$T$150,COLUMN()/2+1,FALSE))),"")</f>
        <v/>
      </c>
      <c r="G91" s="91"/>
      <c r="H91" s="91" t="str">
        <f ca="1">IFERROR(VALUE(IF(VLOOKUP($A91,数出表_Excel!$A$6:$T$150,COLUMN()/2+1,FALSE)=0,"",VLOOKUP($A91,数出表_Excel!$A$6:$T$150,COLUMN()/2+1,FALSE))),"")</f>
        <v/>
      </c>
      <c r="I91" s="91"/>
      <c r="J91" s="91" t="str">
        <f ca="1">IFERROR(VALUE(IF(VLOOKUP($A91,数出表_Excel!$A$6:$T$150,COLUMN()/2+1,FALSE)=0,"",VLOOKUP($A91,数出表_Excel!$A$6:$T$150,COLUMN()/2+1,FALSE))),"")</f>
        <v/>
      </c>
      <c r="K91" s="91"/>
      <c r="L91" s="95" t="str">
        <f ca="1">IFERROR(VALUE(IF(VLOOKUP($A91,数出表_Excel!$A$6:$T$150,COLUMN()/2+1,FALSE)=0,"",VLOOKUP($A91,数出表_Excel!$A$6:$T$150,COLUMN()/2+1,FALSE))),"")</f>
        <v/>
      </c>
      <c r="M91" s="91"/>
      <c r="N91" s="91" t="str">
        <f ca="1">IFERROR(VALUE(IF(VLOOKUP($A91,数出表_Excel!$A$6:$T$150,COLUMN()/2+1,FALSE)=0,"",VLOOKUP($A91,数出表_Excel!$A$6:$T$150,COLUMN()/2+1,FALSE))),"")</f>
        <v/>
      </c>
      <c r="O91" s="91"/>
      <c r="P91" s="91" t="str">
        <f ca="1">IFERROR(VALUE(IF(VLOOKUP($A91,数出表_Excel!$A$6:$T$150,COLUMN()/2+1,FALSE)=0,"",VLOOKUP($A91,数出表_Excel!$A$6:$T$150,COLUMN()/2+1,FALSE))),"")</f>
        <v/>
      </c>
      <c r="Q91" s="91"/>
      <c r="R91" s="91" t="str">
        <f ca="1">IFERROR(VALUE(IF(VLOOKUP($A91,数出表_Excel!$A$6:$T$150,COLUMN()/2+1,FALSE)=0,"",VLOOKUP($A91,数出表_Excel!$A$6:$T$150,COLUMN()/2+1,FALSE))),"")</f>
        <v/>
      </c>
      <c r="S91" s="91"/>
      <c r="T91" s="91" t="str">
        <f ca="1">IFERROR(VALUE(IF(VLOOKUP($A91,数出表_Excel!$A$6:$T$150,COLUMN()/2+1,FALSE)=0,"",VLOOKUP($A91,数出表_Excel!$A$6:$T$150,COLUMN()/2+1,FALSE))),"")</f>
        <v/>
      </c>
      <c r="U91" s="91"/>
      <c r="V91" s="95" t="str">
        <f ca="1">IFERROR(VALUE(IF(VLOOKUP($A91,数出表_Excel!$A$6:$T$150,COLUMN()/2+1,FALSE)=0,"",VLOOKUP($A91,数出表_Excel!$A$6:$T$150,COLUMN()/2+1,FALSE))),"")</f>
        <v/>
      </c>
      <c r="W91" s="91"/>
      <c r="X91" s="95" t="str">
        <f ca="1">IFERROR(VALUE(IF(VLOOKUP($A91,数出表_Excel!$A$6:$T$150,COLUMN()/2+1,FALSE)=0,"",VLOOKUP($A91,数出表_Excel!$A$6:$T$150,COLUMN()/2+1,FALSE))),"")</f>
        <v/>
      </c>
      <c r="Y91" s="91"/>
      <c r="Z91" s="95" t="str">
        <f ca="1">IFERROR(VALUE(IF(VLOOKUP($A91,数出表_Excel!$A$6:$T$150,COLUMN()/2+1,FALSE)=0,"",VLOOKUP($A91,数出表_Excel!$A$6:$T$150,COLUMN()/2+1,FALSE))),"")</f>
        <v/>
      </c>
      <c r="AA91" s="129"/>
      <c r="AB91" s="96" t="str">
        <f ca="1">IFERROR(VALUE(IF(VLOOKUP($A91,数出表_Excel!$A$6:$T$150,COLUMN()/2+1,FALSE)=0,"",VLOOKUP($A91,数出表_Excel!$A$6:$T$150,COLUMN()/2+1,FALSE))),"")</f>
        <v/>
      </c>
      <c r="AC91" s="91"/>
      <c r="AD91" s="95" t="str">
        <f ca="1">IFERROR(VALUE(IF(VLOOKUP($A91,数出表_Excel!$A$6:$T$150,COLUMN()/2+1,FALSE)=0,"",VLOOKUP($A91,数出表_Excel!$A$6:$T$150,COLUMN()/2+1,FALSE))),"")</f>
        <v/>
      </c>
      <c r="AE91" s="91"/>
      <c r="AF91" s="95" t="str">
        <f ca="1">IFERROR(VALUE(IF(VLOOKUP($A91,数出表_Excel!$A$6:$T$150,COLUMN()/2+1,FALSE)=0,"",VLOOKUP($A91,数出表_Excel!$A$6:$T$150,COLUMN()/2+1,FALSE))),"")</f>
        <v/>
      </c>
      <c r="AG91" s="91"/>
      <c r="AH91" s="95" t="str">
        <f ca="1">IFERROR(VALUE(IF(VLOOKUP($A91,数出表_Excel!$A$6:$T$150,COLUMN()/2+1,FALSE)=0,"",VLOOKUP($A91,数出表_Excel!$A$6:$T$150,COLUMN()/2+1,FALSE))),"")</f>
        <v/>
      </c>
      <c r="AI91" s="129"/>
      <c r="AJ91" s="96" t="str">
        <f ca="1">IFERROR(VALUE(IF(VLOOKUP($A91,数出表_Excel!$A$6:$T$150,COLUMN()/2+1,FALSE)=0,"",VLOOKUP($A91,数出表_Excel!$A$6:$T$150,COLUMN()/2+1,FALSE))),"")</f>
        <v/>
      </c>
      <c r="AK91" s="91"/>
      <c r="AL91" s="97" t="e">
        <f ca="1">IF(A91&lt;&gt;"",
IF(VLOOKUP($A91,数出表_Excel!$A$6:$T$150,COLUMN()/2+1,FALSE)=0,"",VLOOKUP($A91,数出表_Excel!$A$6:$T$150,COLUMN()/2+1,FALSE)),"")</f>
        <v>#N/A</v>
      </c>
      <c r="AM91" s="177" t="e">
        <f>数出表_Excel!V91</f>
        <v>#N/A</v>
      </c>
      <c r="AN91" s="178" t="e">
        <f>数出表_Excel!W91</f>
        <v>#N/A</v>
      </c>
    </row>
    <row r="92" spans="1:40" ht="16.2" customHeight="1">
      <c r="A92" s="137" t="e">
        <f t="array" aca="1" ref="A92" ca="1">IF(OR(COUNTIF(A90,"*10002*"),COUNTIF(A90,"")),"",INDEX(貼り付け用!$A1:$A200,MATCH(A90,貼り付け用!$A1:$A200,0)+2,0))</f>
        <v>#N/A</v>
      </c>
      <c r="B92" s="125" t="str">
        <f ca="1">IFERROR(VALUE(IF(VLOOKUP($A92,数出表_Excel!$A$6:$T$150,COLUMN()/2+1,FALSE)=0,"",VLOOKUP($A92,数出表_Excel!$A$6:$T$150,COLUMN()/2+1,FALSE))),"")</f>
        <v/>
      </c>
      <c r="C92" s="90"/>
      <c r="D92" s="125" t="str">
        <f ca="1">IFERROR(VALUE(IF(VLOOKUP($A92,数出表_Excel!$A$6:$T$150,COLUMN()/2+1,FALSE)=0,"",VLOOKUP($A92,数出表_Excel!$A$6:$T$150,COLUMN()/2+1,FALSE))),"")</f>
        <v/>
      </c>
      <c r="E92" s="90"/>
      <c r="F92" s="127" t="str">
        <f ca="1">IFERROR(VALUE(IF(VLOOKUP($A92,数出表_Excel!$A$6:$T$150,COLUMN()/2+1,FALSE)=0,"",VLOOKUP($A92,数出表_Excel!$A$6:$T$150,COLUMN()/2+1,FALSE))),"")</f>
        <v/>
      </c>
      <c r="G92" s="90"/>
      <c r="H92" s="125" t="str">
        <f ca="1">IFERROR(VALUE(IF(VLOOKUP($A92,数出表_Excel!$A$6:$T$150,COLUMN()/2+1,FALSE)=0,"",VLOOKUP($A92,数出表_Excel!$A$6:$T$150,COLUMN()/2+1,FALSE))),"")</f>
        <v/>
      </c>
      <c r="I92" s="90"/>
      <c r="J92" s="125" t="str">
        <f ca="1">IFERROR(VALUE(IF(VLOOKUP($A92,数出表_Excel!$A$6:$T$150,COLUMN()/2+1,FALSE)=0,"",VLOOKUP($A92,数出表_Excel!$A$6:$T$150,COLUMN()/2+1,FALSE))),"")</f>
        <v/>
      </c>
      <c r="K92" s="90"/>
      <c r="L92" s="127" t="str">
        <f ca="1">IFERROR(VALUE(IF(VLOOKUP($A92,数出表_Excel!$A$6:$T$150,COLUMN()/2+1,FALSE)=0,"",VLOOKUP($A92,数出表_Excel!$A$6:$T$150,COLUMN()/2+1,FALSE))),"")</f>
        <v/>
      </c>
      <c r="M92" s="90"/>
      <c r="N92" s="125" t="str">
        <f ca="1">IFERROR(VALUE(IF(VLOOKUP($A92,数出表_Excel!$A$6:$T$150,COLUMN()/2+1,FALSE)=0,"",VLOOKUP($A92,数出表_Excel!$A$6:$T$150,COLUMN()/2+1,FALSE))),"")</f>
        <v/>
      </c>
      <c r="O92" s="90"/>
      <c r="P92" s="125" t="str">
        <f ca="1">IFERROR(VALUE(IF(VLOOKUP($A92,数出表_Excel!$A$6:$T$150,COLUMN()/2+1,FALSE)=0,"",VLOOKUP($A92,数出表_Excel!$A$6:$T$150,COLUMN()/2+1,FALSE))),"")</f>
        <v/>
      </c>
      <c r="Q92" s="90"/>
      <c r="R92" s="125" t="str">
        <f ca="1">IFERROR(VALUE(IF(VLOOKUP($A92,数出表_Excel!$A$6:$T$150,COLUMN()/2+1,FALSE)=0,"",VLOOKUP($A92,数出表_Excel!$A$6:$T$150,COLUMN()/2+1,FALSE))),"")</f>
        <v/>
      </c>
      <c r="S92" s="90"/>
      <c r="T92" s="125" t="str">
        <f ca="1">IFERROR(VALUE(IF(VLOOKUP($A92,数出表_Excel!$A$6:$T$150,COLUMN()/2+1,FALSE)=0,"",VLOOKUP($A92,数出表_Excel!$A$6:$T$150,COLUMN()/2+1,FALSE))),"")</f>
        <v/>
      </c>
      <c r="U92" s="90"/>
      <c r="V92" s="127" t="str">
        <f ca="1">IFERROR(VALUE(IF(VLOOKUP($A92,数出表_Excel!$A$6:$T$150,COLUMN()/2+1,FALSE)=0,"",VLOOKUP($A92,数出表_Excel!$A$6:$T$150,COLUMN()/2+1,FALSE))),"")</f>
        <v/>
      </c>
      <c r="W92" s="90"/>
      <c r="X92" s="127" t="str">
        <f ca="1">IFERROR(VALUE(IF(VLOOKUP($A92,数出表_Excel!$A$6:$T$150,COLUMN()/2+1,FALSE)=0,"",VLOOKUP($A92,数出表_Excel!$A$6:$T$150,COLUMN()/2+1,FALSE))),"")</f>
        <v/>
      </c>
      <c r="Y92" s="90"/>
      <c r="Z92" s="127" t="str">
        <f ca="1">IFERROR(VALUE(IF(VLOOKUP($A92,数出表_Excel!$A$6:$T$150,COLUMN()/2+1,FALSE)=0,"",VLOOKUP($A92,数出表_Excel!$A$6:$T$150,COLUMN()/2+1,FALSE))),"")</f>
        <v/>
      </c>
      <c r="AA92" s="128"/>
      <c r="AB92" s="126" t="str">
        <f ca="1">IFERROR(VALUE(IF(VLOOKUP($A92,数出表_Excel!$A$6:$T$150,COLUMN()/2+1,FALSE)=0,"",VLOOKUP($A92,数出表_Excel!$A$6:$T$150,COLUMN()/2+1,FALSE))),"")</f>
        <v/>
      </c>
      <c r="AC92" s="90"/>
      <c r="AD92" s="127" t="str">
        <f ca="1">IFERROR(VALUE(IF(VLOOKUP($A92,数出表_Excel!$A$6:$T$150,COLUMN()/2+1,FALSE)=0,"",VLOOKUP($A92,数出表_Excel!$A$6:$T$150,COLUMN()/2+1,FALSE))),"")</f>
        <v/>
      </c>
      <c r="AE92" s="90"/>
      <c r="AF92" s="127" t="str">
        <f ca="1">IFERROR(VALUE(IF(VLOOKUP($A92,数出表_Excel!$A$6:$T$150,COLUMN()/2+1,FALSE)=0,"",VLOOKUP($A92,数出表_Excel!$A$6:$T$150,COLUMN()/2+1,FALSE))),"")</f>
        <v/>
      </c>
      <c r="AG92" s="90"/>
      <c r="AH92" s="127" t="str">
        <f ca="1">IFERROR(VALUE(IF(VLOOKUP($A92,数出表_Excel!$A$6:$T$150,COLUMN()/2+1,FALSE)=0,"",VLOOKUP($A92,数出表_Excel!$A$6:$T$150,COLUMN()/2+1,FALSE))),"")</f>
        <v/>
      </c>
      <c r="AI92" s="128"/>
      <c r="AJ92" s="126" t="str">
        <f ca="1">IFERROR(VALUE(IF(VLOOKUP($A92,数出表_Excel!$A$6:$T$150,COLUMN()/2+1,FALSE)=0,"",VLOOKUP($A92,数出表_Excel!$A$6:$T$150,COLUMN()/2+1,FALSE))),"")</f>
        <v/>
      </c>
      <c r="AK92" s="90"/>
      <c r="AL92" s="94" t="e">
        <f ca="1">IF(A92&lt;&gt;"",
IF(VLOOKUP($A92,数出表_Excel!$A$6:$T$150,COLUMN()/2+1,FALSE)=0,"",VLOOKUP($A92,数出表_Excel!$A$6:$T$150,COLUMN()/2+1,FALSE)),"")</f>
        <v>#N/A</v>
      </c>
      <c r="AM92" s="175" t="e">
        <f>数出表_Excel!V92</f>
        <v>#N/A</v>
      </c>
      <c r="AN92" s="176" t="e">
        <f>数出表_Excel!W92</f>
        <v>#N/A</v>
      </c>
    </row>
    <row r="93" spans="1:40" ht="16.2" customHeight="1">
      <c r="A93" s="138" t="e">
        <f t="array" aca="1" ref="A93" ca="1">IF(OR(COUNTIF(A91,"*1000*"),COUNTIF(A91,"")),"",INDEX(貼り付け用!$A1:$A200,MATCH(A91,貼り付け用!$A1:$A200,0)+2,0))</f>
        <v>#N/A</v>
      </c>
      <c r="B93" s="91" t="str">
        <f ca="1">IFERROR(VALUE(IF(VLOOKUP($A93,数出表_Excel!$A$6:$T$150,COLUMN()/2+1,FALSE)=0,"",VLOOKUP($A93,数出表_Excel!$A$6:$T$150,COLUMN()/2+1,FALSE))),"")</f>
        <v/>
      </c>
      <c r="C93" s="91"/>
      <c r="D93" s="91" t="str">
        <f ca="1">IFERROR(VALUE(IF(VLOOKUP($A93,数出表_Excel!$A$6:$T$150,COLUMN()/2+1,FALSE)=0,"",VLOOKUP($A93,数出表_Excel!$A$6:$T$150,COLUMN()/2+1,FALSE))),"")</f>
        <v/>
      </c>
      <c r="E93" s="91"/>
      <c r="F93" s="95" t="str">
        <f ca="1">IFERROR(VALUE(IF(VLOOKUP($A93,数出表_Excel!$A$6:$T$150,COLUMN()/2+1,FALSE)=0,"",VLOOKUP($A93,数出表_Excel!$A$6:$T$150,COLUMN()/2+1,FALSE))),"")</f>
        <v/>
      </c>
      <c r="G93" s="91"/>
      <c r="H93" s="91" t="str">
        <f ca="1">IFERROR(VALUE(IF(VLOOKUP($A93,数出表_Excel!$A$6:$T$150,COLUMN()/2+1,FALSE)=0,"",VLOOKUP($A93,数出表_Excel!$A$6:$T$150,COLUMN()/2+1,FALSE))),"")</f>
        <v/>
      </c>
      <c r="I93" s="91"/>
      <c r="J93" s="91" t="str">
        <f ca="1">IFERROR(VALUE(IF(VLOOKUP($A93,数出表_Excel!$A$6:$T$150,COLUMN()/2+1,FALSE)=0,"",VLOOKUP($A93,数出表_Excel!$A$6:$T$150,COLUMN()/2+1,FALSE))),"")</f>
        <v/>
      </c>
      <c r="K93" s="91"/>
      <c r="L93" s="95" t="str">
        <f ca="1">IFERROR(VALUE(IF(VLOOKUP($A93,数出表_Excel!$A$6:$T$150,COLUMN()/2+1,FALSE)=0,"",VLOOKUP($A93,数出表_Excel!$A$6:$T$150,COLUMN()/2+1,FALSE))),"")</f>
        <v/>
      </c>
      <c r="M93" s="91"/>
      <c r="N93" s="91" t="str">
        <f ca="1">IFERROR(VALUE(IF(VLOOKUP($A93,数出表_Excel!$A$6:$T$150,COLUMN()/2+1,FALSE)=0,"",VLOOKUP($A93,数出表_Excel!$A$6:$T$150,COLUMN()/2+1,FALSE))),"")</f>
        <v/>
      </c>
      <c r="O93" s="91"/>
      <c r="P93" s="91" t="str">
        <f ca="1">IFERROR(VALUE(IF(VLOOKUP($A93,数出表_Excel!$A$6:$T$150,COLUMN()/2+1,FALSE)=0,"",VLOOKUP($A93,数出表_Excel!$A$6:$T$150,COLUMN()/2+1,FALSE))),"")</f>
        <v/>
      </c>
      <c r="Q93" s="91"/>
      <c r="R93" s="91" t="str">
        <f ca="1">IFERROR(VALUE(IF(VLOOKUP($A93,数出表_Excel!$A$6:$T$150,COLUMN()/2+1,FALSE)=0,"",VLOOKUP($A93,数出表_Excel!$A$6:$T$150,COLUMN()/2+1,FALSE))),"")</f>
        <v/>
      </c>
      <c r="S93" s="91"/>
      <c r="T93" s="91" t="str">
        <f ca="1">IFERROR(VALUE(IF(VLOOKUP($A93,数出表_Excel!$A$6:$T$150,COLUMN()/2+1,FALSE)=0,"",VLOOKUP($A93,数出表_Excel!$A$6:$T$150,COLUMN()/2+1,FALSE))),"")</f>
        <v/>
      </c>
      <c r="U93" s="91"/>
      <c r="V93" s="95" t="str">
        <f ca="1">IFERROR(VALUE(IF(VLOOKUP($A93,数出表_Excel!$A$6:$T$150,COLUMN()/2+1,FALSE)=0,"",VLOOKUP($A93,数出表_Excel!$A$6:$T$150,COLUMN()/2+1,FALSE))),"")</f>
        <v/>
      </c>
      <c r="W93" s="91"/>
      <c r="X93" s="95" t="str">
        <f ca="1">IFERROR(VALUE(IF(VLOOKUP($A93,数出表_Excel!$A$6:$T$150,COLUMN()/2+1,FALSE)=0,"",VLOOKUP($A93,数出表_Excel!$A$6:$T$150,COLUMN()/2+1,FALSE))),"")</f>
        <v/>
      </c>
      <c r="Y93" s="91"/>
      <c r="Z93" s="95" t="str">
        <f ca="1">IFERROR(VALUE(IF(VLOOKUP($A93,数出表_Excel!$A$6:$T$150,COLUMN()/2+1,FALSE)=0,"",VLOOKUP($A93,数出表_Excel!$A$6:$T$150,COLUMN()/2+1,FALSE))),"")</f>
        <v/>
      </c>
      <c r="AA93" s="129"/>
      <c r="AB93" s="96" t="str">
        <f ca="1">IFERROR(VALUE(IF(VLOOKUP($A93,数出表_Excel!$A$6:$T$150,COLUMN()/2+1,FALSE)=0,"",VLOOKUP($A93,数出表_Excel!$A$6:$T$150,COLUMN()/2+1,FALSE))),"")</f>
        <v/>
      </c>
      <c r="AC93" s="91"/>
      <c r="AD93" s="95" t="str">
        <f ca="1">IFERROR(VALUE(IF(VLOOKUP($A93,数出表_Excel!$A$6:$T$150,COLUMN()/2+1,FALSE)=0,"",VLOOKUP($A93,数出表_Excel!$A$6:$T$150,COLUMN()/2+1,FALSE))),"")</f>
        <v/>
      </c>
      <c r="AE93" s="91"/>
      <c r="AF93" s="95" t="str">
        <f ca="1">IFERROR(VALUE(IF(VLOOKUP($A93,数出表_Excel!$A$6:$T$150,COLUMN()/2+1,FALSE)=0,"",VLOOKUP($A93,数出表_Excel!$A$6:$T$150,COLUMN()/2+1,FALSE))),"")</f>
        <v/>
      </c>
      <c r="AG93" s="91"/>
      <c r="AH93" s="95" t="str">
        <f ca="1">IFERROR(VALUE(IF(VLOOKUP($A93,数出表_Excel!$A$6:$T$150,COLUMN()/2+1,FALSE)=0,"",VLOOKUP($A93,数出表_Excel!$A$6:$T$150,COLUMN()/2+1,FALSE))),"")</f>
        <v/>
      </c>
      <c r="AI93" s="129"/>
      <c r="AJ93" s="96" t="str">
        <f ca="1">IFERROR(VALUE(IF(VLOOKUP($A93,数出表_Excel!$A$6:$T$150,COLUMN()/2+1,FALSE)=0,"",VLOOKUP($A93,数出表_Excel!$A$6:$T$150,COLUMN()/2+1,FALSE))),"")</f>
        <v/>
      </c>
      <c r="AK93" s="91"/>
      <c r="AL93" s="97" t="e">
        <f ca="1">IF(A93&lt;&gt;"",
IF(VLOOKUP($A93,数出表_Excel!$A$6:$T$150,COLUMN()/2+1,FALSE)=0,"",VLOOKUP($A93,数出表_Excel!$A$6:$T$150,COLUMN()/2+1,FALSE)),"")</f>
        <v>#N/A</v>
      </c>
      <c r="AM93" s="177" t="e">
        <f>数出表_Excel!V93</f>
        <v>#N/A</v>
      </c>
      <c r="AN93" s="178" t="e">
        <f>数出表_Excel!W93</f>
        <v>#N/A</v>
      </c>
    </row>
    <row r="94" spans="1:40" ht="16.2" customHeight="1">
      <c r="A94" s="137" t="e">
        <f t="array" aca="1" ref="A94" ca="1">IF(OR(COUNTIF(A92,"*10002*"),COUNTIF(A92,"")),"",INDEX(貼り付け用!$A1:$A200,MATCH(A92,貼り付け用!$A1:$A200,0)+2,0))</f>
        <v>#N/A</v>
      </c>
      <c r="B94" s="125" t="str">
        <f ca="1">IFERROR(VALUE(IF(VLOOKUP($A94,数出表_Excel!$A$6:$T$150,COLUMN()/2+1,FALSE)=0,"",VLOOKUP($A94,数出表_Excel!$A$6:$T$150,COLUMN()/2+1,FALSE))),"")</f>
        <v/>
      </c>
      <c r="C94" s="90"/>
      <c r="D94" s="125" t="str">
        <f ca="1">IFERROR(VALUE(IF(VLOOKUP($A94,数出表_Excel!$A$6:$T$150,COLUMN()/2+1,FALSE)=0,"",VLOOKUP($A94,数出表_Excel!$A$6:$T$150,COLUMN()/2+1,FALSE))),"")</f>
        <v/>
      </c>
      <c r="E94" s="90"/>
      <c r="F94" s="127" t="str">
        <f ca="1">IFERROR(VALUE(IF(VLOOKUP($A94,数出表_Excel!$A$6:$T$150,COLUMN()/2+1,FALSE)=0,"",VLOOKUP($A94,数出表_Excel!$A$6:$T$150,COLUMN()/2+1,FALSE))),"")</f>
        <v/>
      </c>
      <c r="G94" s="90"/>
      <c r="H94" s="125" t="str">
        <f ca="1">IFERROR(VALUE(IF(VLOOKUP($A94,数出表_Excel!$A$6:$T$150,COLUMN()/2+1,FALSE)=0,"",VLOOKUP($A94,数出表_Excel!$A$6:$T$150,COLUMN()/2+1,FALSE))),"")</f>
        <v/>
      </c>
      <c r="I94" s="90"/>
      <c r="J94" s="125" t="str">
        <f ca="1">IFERROR(VALUE(IF(VLOOKUP($A94,数出表_Excel!$A$6:$T$150,COLUMN()/2+1,FALSE)=0,"",VLOOKUP($A94,数出表_Excel!$A$6:$T$150,COLUMN()/2+1,FALSE))),"")</f>
        <v/>
      </c>
      <c r="K94" s="90"/>
      <c r="L94" s="127" t="str">
        <f ca="1">IFERROR(VALUE(IF(VLOOKUP($A94,数出表_Excel!$A$6:$T$150,COLUMN()/2+1,FALSE)=0,"",VLOOKUP($A94,数出表_Excel!$A$6:$T$150,COLUMN()/2+1,FALSE))),"")</f>
        <v/>
      </c>
      <c r="M94" s="90"/>
      <c r="N94" s="125" t="str">
        <f ca="1">IFERROR(VALUE(IF(VLOOKUP($A94,数出表_Excel!$A$6:$T$150,COLUMN()/2+1,FALSE)=0,"",VLOOKUP($A94,数出表_Excel!$A$6:$T$150,COLUMN()/2+1,FALSE))),"")</f>
        <v/>
      </c>
      <c r="O94" s="90"/>
      <c r="P94" s="125" t="str">
        <f ca="1">IFERROR(VALUE(IF(VLOOKUP($A94,数出表_Excel!$A$6:$T$150,COLUMN()/2+1,FALSE)=0,"",VLOOKUP($A94,数出表_Excel!$A$6:$T$150,COLUMN()/2+1,FALSE))),"")</f>
        <v/>
      </c>
      <c r="Q94" s="90"/>
      <c r="R94" s="125" t="str">
        <f ca="1">IFERROR(VALUE(IF(VLOOKUP($A94,数出表_Excel!$A$6:$T$150,COLUMN()/2+1,FALSE)=0,"",VLOOKUP($A94,数出表_Excel!$A$6:$T$150,COLUMN()/2+1,FALSE))),"")</f>
        <v/>
      </c>
      <c r="S94" s="90"/>
      <c r="T94" s="125" t="str">
        <f ca="1">IFERROR(VALUE(IF(VLOOKUP($A94,数出表_Excel!$A$6:$T$150,COLUMN()/2+1,FALSE)=0,"",VLOOKUP($A94,数出表_Excel!$A$6:$T$150,COLUMN()/2+1,FALSE))),"")</f>
        <v/>
      </c>
      <c r="U94" s="90"/>
      <c r="V94" s="127" t="str">
        <f ca="1">IFERROR(VALUE(IF(VLOOKUP($A94,数出表_Excel!$A$6:$T$150,COLUMN()/2+1,FALSE)=0,"",VLOOKUP($A94,数出表_Excel!$A$6:$T$150,COLUMN()/2+1,FALSE))),"")</f>
        <v/>
      </c>
      <c r="W94" s="90"/>
      <c r="X94" s="127" t="str">
        <f ca="1">IFERROR(VALUE(IF(VLOOKUP($A94,数出表_Excel!$A$6:$T$150,COLUMN()/2+1,FALSE)=0,"",VLOOKUP($A94,数出表_Excel!$A$6:$T$150,COLUMN()/2+1,FALSE))),"")</f>
        <v/>
      </c>
      <c r="Y94" s="90"/>
      <c r="Z94" s="127" t="str">
        <f ca="1">IFERROR(VALUE(IF(VLOOKUP($A94,数出表_Excel!$A$6:$T$150,COLUMN()/2+1,FALSE)=0,"",VLOOKUP($A94,数出表_Excel!$A$6:$T$150,COLUMN()/2+1,FALSE))),"")</f>
        <v/>
      </c>
      <c r="AA94" s="128"/>
      <c r="AB94" s="126" t="str">
        <f ca="1">IFERROR(VALUE(IF(VLOOKUP($A94,数出表_Excel!$A$6:$T$150,COLUMN()/2+1,FALSE)=0,"",VLOOKUP($A94,数出表_Excel!$A$6:$T$150,COLUMN()/2+1,FALSE))),"")</f>
        <v/>
      </c>
      <c r="AC94" s="90"/>
      <c r="AD94" s="127" t="str">
        <f ca="1">IFERROR(VALUE(IF(VLOOKUP($A94,数出表_Excel!$A$6:$T$150,COLUMN()/2+1,FALSE)=0,"",VLOOKUP($A94,数出表_Excel!$A$6:$T$150,COLUMN()/2+1,FALSE))),"")</f>
        <v/>
      </c>
      <c r="AE94" s="90"/>
      <c r="AF94" s="127" t="str">
        <f ca="1">IFERROR(VALUE(IF(VLOOKUP($A94,数出表_Excel!$A$6:$T$150,COLUMN()/2+1,FALSE)=0,"",VLOOKUP($A94,数出表_Excel!$A$6:$T$150,COLUMN()/2+1,FALSE))),"")</f>
        <v/>
      </c>
      <c r="AG94" s="90"/>
      <c r="AH94" s="127" t="str">
        <f ca="1">IFERROR(VALUE(IF(VLOOKUP($A94,数出表_Excel!$A$6:$T$150,COLUMN()/2+1,FALSE)=0,"",VLOOKUP($A94,数出表_Excel!$A$6:$T$150,COLUMN()/2+1,FALSE))),"")</f>
        <v/>
      </c>
      <c r="AI94" s="128"/>
      <c r="AJ94" s="126" t="str">
        <f ca="1">IFERROR(VALUE(IF(VLOOKUP($A94,数出表_Excel!$A$6:$T$150,COLUMN()/2+1,FALSE)=0,"",VLOOKUP($A94,数出表_Excel!$A$6:$T$150,COLUMN()/2+1,FALSE))),"")</f>
        <v/>
      </c>
      <c r="AK94" s="90"/>
      <c r="AL94" s="94" t="e">
        <f ca="1">IF(A94&lt;&gt;"",
IF(VLOOKUP($A94,数出表_Excel!$A$6:$T$150,COLUMN()/2+1,FALSE)=0,"",VLOOKUP($A94,数出表_Excel!$A$6:$T$150,COLUMN()/2+1,FALSE)),"")</f>
        <v>#N/A</v>
      </c>
      <c r="AM94" s="175" t="e">
        <f>数出表_Excel!V94</f>
        <v>#N/A</v>
      </c>
      <c r="AN94" s="176" t="e">
        <f>数出表_Excel!W94</f>
        <v>#N/A</v>
      </c>
    </row>
    <row r="95" spans="1:40" ht="16.2" customHeight="1">
      <c r="A95" s="138" t="e">
        <f t="array" aca="1" ref="A95" ca="1">IF(OR(COUNTIF(A93,"*1000*"),COUNTIF(A93,"")),"",INDEX(貼り付け用!$A1:$A200,MATCH(A93,貼り付け用!$A1:$A200,0)+2,0))</f>
        <v>#N/A</v>
      </c>
      <c r="B95" s="91" t="str">
        <f ca="1">IFERROR(VALUE(IF(VLOOKUP($A95,数出表_Excel!$A$6:$T$150,COLUMN()/2+1,FALSE)=0,"",VLOOKUP($A95,数出表_Excel!$A$6:$T$150,COLUMN()/2+1,FALSE))),"")</f>
        <v/>
      </c>
      <c r="C95" s="91"/>
      <c r="D95" s="91" t="str">
        <f ca="1">IFERROR(VALUE(IF(VLOOKUP($A95,数出表_Excel!$A$6:$T$150,COLUMN()/2+1,FALSE)=0,"",VLOOKUP($A95,数出表_Excel!$A$6:$T$150,COLUMN()/2+1,FALSE))),"")</f>
        <v/>
      </c>
      <c r="E95" s="91"/>
      <c r="F95" s="95" t="str">
        <f ca="1">IFERROR(VALUE(IF(VLOOKUP($A95,数出表_Excel!$A$6:$T$150,COLUMN()/2+1,FALSE)=0,"",VLOOKUP($A95,数出表_Excel!$A$6:$T$150,COLUMN()/2+1,FALSE))),"")</f>
        <v/>
      </c>
      <c r="G95" s="91"/>
      <c r="H95" s="91" t="str">
        <f ca="1">IFERROR(VALUE(IF(VLOOKUP($A95,数出表_Excel!$A$6:$T$150,COLUMN()/2+1,FALSE)=0,"",VLOOKUP($A95,数出表_Excel!$A$6:$T$150,COLUMN()/2+1,FALSE))),"")</f>
        <v/>
      </c>
      <c r="I95" s="91"/>
      <c r="J95" s="91" t="str">
        <f ca="1">IFERROR(VALUE(IF(VLOOKUP($A95,数出表_Excel!$A$6:$T$150,COLUMN()/2+1,FALSE)=0,"",VLOOKUP($A95,数出表_Excel!$A$6:$T$150,COLUMN()/2+1,FALSE))),"")</f>
        <v/>
      </c>
      <c r="K95" s="91"/>
      <c r="L95" s="95" t="str">
        <f ca="1">IFERROR(VALUE(IF(VLOOKUP($A95,数出表_Excel!$A$6:$T$150,COLUMN()/2+1,FALSE)=0,"",VLOOKUP($A95,数出表_Excel!$A$6:$T$150,COLUMN()/2+1,FALSE))),"")</f>
        <v/>
      </c>
      <c r="M95" s="91"/>
      <c r="N95" s="91" t="str">
        <f ca="1">IFERROR(VALUE(IF(VLOOKUP($A95,数出表_Excel!$A$6:$T$150,COLUMN()/2+1,FALSE)=0,"",VLOOKUP($A95,数出表_Excel!$A$6:$T$150,COLUMN()/2+1,FALSE))),"")</f>
        <v/>
      </c>
      <c r="O95" s="91"/>
      <c r="P95" s="91" t="str">
        <f ca="1">IFERROR(VALUE(IF(VLOOKUP($A95,数出表_Excel!$A$6:$T$150,COLUMN()/2+1,FALSE)=0,"",VLOOKUP($A95,数出表_Excel!$A$6:$T$150,COLUMN()/2+1,FALSE))),"")</f>
        <v/>
      </c>
      <c r="Q95" s="91"/>
      <c r="R95" s="91" t="str">
        <f ca="1">IFERROR(VALUE(IF(VLOOKUP($A95,数出表_Excel!$A$6:$T$150,COLUMN()/2+1,FALSE)=0,"",VLOOKUP($A95,数出表_Excel!$A$6:$T$150,COLUMN()/2+1,FALSE))),"")</f>
        <v/>
      </c>
      <c r="S95" s="91"/>
      <c r="T95" s="91" t="str">
        <f ca="1">IFERROR(VALUE(IF(VLOOKUP($A95,数出表_Excel!$A$6:$T$150,COLUMN()/2+1,FALSE)=0,"",VLOOKUP($A95,数出表_Excel!$A$6:$T$150,COLUMN()/2+1,FALSE))),"")</f>
        <v/>
      </c>
      <c r="U95" s="91"/>
      <c r="V95" s="95" t="str">
        <f ca="1">IFERROR(VALUE(IF(VLOOKUP($A95,数出表_Excel!$A$6:$T$150,COLUMN()/2+1,FALSE)=0,"",VLOOKUP($A95,数出表_Excel!$A$6:$T$150,COLUMN()/2+1,FALSE))),"")</f>
        <v/>
      </c>
      <c r="W95" s="91"/>
      <c r="X95" s="95" t="str">
        <f ca="1">IFERROR(VALUE(IF(VLOOKUP($A95,数出表_Excel!$A$6:$T$150,COLUMN()/2+1,FALSE)=0,"",VLOOKUP($A95,数出表_Excel!$A$6:$T$150,COLUMN()/2+1,FALSE))),"")</f>
        <v/>
      </c>
      <c r="Y95" s="91"/>
      <c r="Z95" s="95" t="str">
        <f ca="1">IFERROR(VALUE(IF(VLOOKUP($A95,数出表_Excel!$A$6:$T$150,COLUMN()/2+1,FALSE)=0,"",VLOOKUP($A95,数出表_Excel!$A$6:$T$150,COLUMN()/2+1,FALSE))),"")</f>
        <v/>
      </c>
      <c r="AA95" s="129"/>
      <c r="AB95" s="96" t="str">
        <f ca="1">IFERROR(VALUE(IF(VLOOKUP($A95,数出表_Excel!$A$6:$T$150,COLUMN()/2+1,FALSE)=0,"",VLOOKUP($A95,数出表_Excel!$A$6:$T$150,COLUMN()/2+1,FALSE))),"")</f>
        <v/>
      </c>
      <c r="AC95" s="91"/>
      <c r="AD95" s="95" t="str">
        <f ca="1">IFERROR(VALUE(IF(VLOOKUP($A95,数出表_Excel!$A$6:$T$150,COLUMN()/2+1,FALSE)=0,"",VLOOKUP($A95,数出表_Excel!$A$6:$T$150,COLUMN()/2+1,FALSE))),"")</f>
        <v/>
      </c>
      <c r="AE95" s="91"/>
      <c r="AF95" s="95" t="str">
        <f ca="1">IFERROR(VALUE(IF(VLOOKUP($A95,数出表_Excel!$A$6:$T$150,COLUMN()/2+1,FALSE)=0,"",VLOOKUP($A95,数出表_Excel!$A$6:$T$150,COLUMN()/2+1,FALSE))),"")</f>
        <v/>
      </c>
      <c r="AG95" s="91"/>
      <c r="AH95" s="95" t="str">
        <f ca="1">IFERROR(VALUE(IF(VLOOKUP($A95,数出表_Excel!$A$6:$T$150,COLUMN()/2+1,FALSE)=0,"",VLOOKUP($A95,数出表_Excel!$A$6:$T$150,COLUMN()/2+1,FALSE))),"")</f>
        <v/>
      </c>
      <c r="AI95" s="129"/>
      <c r="AJ95" s="96" t="str">
        <f ca="1">IFERROR(VALUE(IF(VLOOKUP($A95,数出表_Excel!$A$6:$T$150,COLUMN()/2+1,FALSE)=0,"",VLOOKUP($A95,数出表_Excel!$A$6:$T$150,COLUMN()/2+1,FALSE))),"")</f>
        <v/>
      </c>
      <c r="AK95" s="91"/>
      <c r="AL95" s="97" t="e">
        <f ca="1">IF(A95&lt;&gt;"",
IF(VLOOKUP($A95,数出表_Excel!$A$6:$T$150,COLUMN()/2+1,FALSE)=0,"",VLOOKUP($A95,数出表_Excel!$A$6:$T$150,COLUMN()/2+1,FALSE)),"")</f>
        <v>#N/A</v>
      </c>
      <c r="AM95" s="177" t="e">
        <f>数出表_Excel!V95</f>
        <v>#N/A</v>
      </c>
      <c r="AN95" s="178" t="e">
        <f>数出表_Excel!W95</f>
        <v>#N/A</v>
      </c>
    </row>
    <row r="96" spans="1:40" ht="16.2" customHeight="1">
      <c r="A96" s="137" t="e">
        <f t="array" aca="1" ref="A96" ca="1">IF(OR(COUNTIF(A94,"*10002*"),COUNTIF(A94,"")),"",INDEX(貼り付け用!$A1:$A200,MATCH(A94,貼り付け用!$A1:$A200,0)+2,0))</f>
        <v>#N/A</v>
      </c>
      <c r="B96" s="125" t="str">
        <f ca="1">IFERROR(VALUE(IF(VLOOKUP($A96,数出表_Excel!$A$6:$T$150,COLUMN()/2+1,FALSE)=0,"",VLOOKUP($A96,数出表_Excel!$A$6:$T$150,COLUMN()/2+1,FALSE))),"")</f>
        <v/>
      </c>
      <c r="C96" s="90"/>
      <c r="D96" s="125" t="str">
        <f ca="1">IFERROR(VALUE(IF(VLOOKUP($A96,数出表_Excel!$A$6:$T$150,COLUMN()/2+1,FALSE)=0,"",VLOOKUP($A96,数出表_Excel!$A$6:$T$150,COLUMN()/2+1,FALSE))),"")</f>
        <v/>
      </c>
      <c r="E96" s="90"/>
      <c r="F96" s="127" t="str">
        <f ca="1">IFERROR(VALUE(IF(VLOOKUP($A96,数出表_Excel!$A$6:$T$150,COLUMN()/2+1,FALSE)=0,"",VLOOKUP($A96,数出表_Excel!$A$6:$T$150,COLUMN()/2+1,FALSE))),"")</f>
        <v/>
      </c>
      <c r="G96" s="90"/>
      <c r="H96" s="125" t="str">
        <f ca="1">IFERROR(VALUE(IF(VLOOKUP($A96,数出表_Excel!$A$6:$T$150,COLUMN()/2+1,FALSE)=0,"",VLOOKUP($A96,数出表_Excel!$A$6:$T$150,COLUMN()/2+1,FALSE))),"")</f>
        <v/>
      </c>
      <c r="I96" s="90"/>
      <c r="J96" s="125" t="str">
        <f ca="1">IFERROR(VALUE(IF(VLOOKUP($A96,数出表_Excel!$A$6:$T$150,COLUMN()/2+1,FALSE)=0,"",VLOOKUP($A96,数出表_Excel!$A$6:$T$150,COLUMN()/2+1,FALSE))),"")</f>
        <v/>
      </c>
      <c r="K96" s="90"/>
      <c r="L96" s="127" t="str">
        <f ca="1">IFERROR(VALUE(IF(VLOOKUP($A96,数出表_Excel!$A$6:$T$150,COLUMN()/2+1,FALSE)=0,"",VLOOKUP($A96,数出表_Excel!$A$6:$T$150,COLUMN()/2+1,FALSE))),"")</f>
        <v/>
      </c>
      <c r="M96" s="90"/>
      <c r="N96" s="125" t="str">
        <f ca="1">IFERROR(VALUE(IF(VLOOKUP($A96,数出表_Excel!$A$6:$T$150,COLUMN()/2+1,FALSE)=0,"",VLOOKUP($A96,数出表_Excel!$A$6:$T$150,COLUMN()/2+1,FALSE))),"")</f>
        <v/>
      </c>
      <c r="O96" s="90"/>
      <c r="P96" s="125" t="str">
        <f ca="1">IFERROR(VALUE(IF(VLOOKUP($A96,数出表_Excel!$A$6:$T$150,COLUMN()/2+1,FALSE)=0,"",VLOOKUP($A96,数出表_Excel!$A$6:$T$150,COLUMN()/2+1,FALSE))),"")</f>
        <v/>
      </c>
      <c r="Q96" s="90"/>
      <c r="R96" s="125" t="str">
        <f ca="1">IFERROR(VALUE(IF(VLOOKUP($A96,数出表_Excel!$A$6:$T$150,COLUMN()/2+1,FALSE)=0,"",VLOOKUP($A96,数出表_Excel!$A$6:$T$150,COLUMN()/2+1,FALSE))),"")</f>
        <v/>
      </c>
      <c r="S96" s="90"/>
      <c r="T96" s="125" t="str">
        <f ca="1">IFERROR(VALUE(IF(VLOOKUP($A96,数出表_Excel!$A$6:$T$150,COLUMN()/2+1,FALSE)=0,"",VLOOKUP($A96,数出表_Excel!$A$6:$T$150,COLUMN()/2+1,FALSE))),"")</f>
        <v/>
      </c>
      <c r="U96" s="90"/>
      <c r="V96" s="127" t="str">
        <f ca="1">IFERROR(VALUE(IF(VLOOKUP($A96,数出表_Excel!$A$6:$T$150,COLUMN()/2+1,FALSE)=0,"",VLOOKUP($A96,数出表_Excel!$A$6:$T$150,COLUMN()/2+1,FALSE))),"")</f>
        <v/>
      </c>
      <c r="W96" s="90"/>
      <c r="X96" s="127" t="str">
        <f ca="1">IFERROR(VALUE(IF(VLOOKUP($A96,数出表_Excel!$A$6:$T$150,COLUMN()/2+1,FALSE)=0,"",VLOOKUP($A96,数出表_Excel!$A$6:$T$150,COLUMN()/2+1,FALSE))),"")</f>
        <v/>
      </c>
      <c r="Y96" s="90"/>
      <c r="Z96" s="127" t="str">
        <f ca="1">IFERROR(VALUE(IF(VLOOKUP($A96,数出表_Excel!$A$6:$T$150,COLUMN()/2+1,FALSE)=0,"",VLOOKUP($A96,数出表_Excel!$A$6:$T$150,COLUMN()/2+1,FALSE))),"")</f>
        <v/>
      </c>
      <c r="AA96" s="128"/>
      <c r="AB96" s="126" t="str">
        <f ca="1">IFERROR(VALUE(IF(VLOOKUP($A96,数出表_Excel!$A$6:$T$150,COLUMN()/2+1,FALSE)=0,"",VLOOKUP($A96,数出表_Excel!$A$6:$T$150,COLUMN()/2+1,FALSE))),"")</f>
        <v/>
      </c>
      <c r="AC96" s="90"/>
      <c r="AD96" s="127" t="str">
        <f ca="1">IFERROR(VALUE(IF(VLOOKUP($A96,数出表_Excel!$A$6:$T$150,COLUMN()/2+1,FALSE)=0,"",VLOOKUP($A96,数出表_Excel!$A$6:$T$150,COLUMN()/2+1,FALSE))),"")</f>
        <v/>
      </c>
      <c r="AE96" s="90"/>
      <c r="AF96" s="127" t="str">
        <f ca="1">IFERROR(VALUE(IF(VLOOKUP($A96,数出表_Excel!$A$6:$T$150,COLUMN()/2+1,FALSE)=0,"",VLOOKUP($A96,数出表_Excel!$A$6:$T$150,COLUMN()/2+1,FALSE))),"")</f>
        <v/>
      </c>
      <c r="AG96" s="90"/>
      <c r="AH96" s="127" t="str">
        <f ca="1">IFERROR(VALUE(IF(VLOOKUP($A96,数出表_Excel!$A$6:$T$150,COLUMN()/2+1,FALSE)=0,"",VLOOKUP($A96,数出表_Excel!$A$6:$T$150,COLUMN()/2+1,FALSE))),"")</f>
        <v/>
      </c>
      <c r="AI96" s="128"/>
      <c r="AJ96" s="126" t="str">
        <f ca="1">IFERROR(VALUE(IF(VLOOKUP($A96,数出表_Excel!$A$6:$T$150,COLUMN()/2+1,FALSE)=0,"",VLOOKUP($A96,数出表_Excel!$A$6:$T$150,COLUMN()/2+1,FALSE))),"")</f>
        <v/>
      </c>
      <c r="AK96" s="90"/>
      <c r="AL96" s="94" t="e">
        <f ca="1">IF(A96&lt;&gt;"",
IF(VLOOKUP($A96,数出表_Excel!$A$6:$T$150,COLUMN()/2+1,FALSE)=0,"",VLOOKUP($A96,数出表_Excel!$A$6:$T$150,COLUMN()/2+1,FALSE)),"")</f>
        <v>#N/A</v>
      </c>
      <c r="AM96" s="175" t="e">
        <f>数出表_Excel!V96</f>
        <v>#N/A</v>
      </c>
      <c r="AN96" s="176" t="e">
        <f>数出表_Excel!W96</f>
        <v>#N/A</v>
      </c>
    </row>
    <row r="97" spans="1:40" ht="16.2" customHeight="1">
      <c r="A97" s="138" t="e">
        <f t="array" aca="1" ref="A97" ca="1">IF(OR(COUNTIF(A95,"*1000*"),COUNTIF(A95,"")),"",INDEX(貼り付け用!$A1:$A200,MATCH(A95,貼り付け用!$A1:$A200,0)+2,0))</f>
        <v>#N/A</v>
      </c>
      <c r="B97" s="91" t="str">
        <f ca="1">IFERROR(VALUE(IF(VLOOKUP($A97,数出表_Excel!$A$6:$T$150,COLUMN()/2+1,FALSE)=0,"",VLOOKUP($A97,数出表_Excel!$A$6:$T$150,COLUMN()/2+1,FALSE))),"")</f>
        <v/>
      </c>
      <c r="C97" s="91"/>
      <c r="D97" s="91" t="str">
        <f ca="1">IFERROR(VALUE(IF(VLOOKUP($A97,数出表_Excel!$A$6:$T$150,COLUMN()/2+1,FALSE)=0,"",VLOOKUP($A97,数出表_Excel!$A$6:$T$150,COLUMN()/2+1,FALSE))),"")</f>
        <v/>
      </c>
      <c r="E97" s="91"/>
      <c r="F97" s="95" t="str">
        <f ca="1">IFERROR(VALUE(IF(VLOOKUP($A97,数出表_Excel!$A$6:$T$150,COLUMN()/2+1,FALSE)=0,"",VLOOKUP($A97,数出表_Excel!$A$6:$T$150,COLUMN()/2+1,FALSE))),"")</f>
        <v/>
      </c>
      <c r="G97" s="91"/>
      <c r="H97" s="91" t="str">
        <f ca="1">IFERROR(VALUE(IF(VLOOKUP($A97,数出表_Excel!$A$6:$T$150,COLUMN()/2+1,FALSE)=0,"",VLOOKUP($A97,数出表_Excel!$A$6:$T$150,COLUMN()/2+1,FALSE))),"")</f>
        <v/>
      </c>
      <c r="I97" s="91"/>
      <c r="J97" s="91" t="str">
        <f ca="1">IFERROR(VALUE(IF(VLOOKUP($A97,数出表_Excel!$A$6:$T$150,COLUMN()/2+1,FALSE)=0,"",VLOOKUP($A97,数出表_Excel!$A$6:$T$150,COLUMN()/2+1,FALSE))),"")</f>
        <v/>
      </c>
      <c r="K97" s="91"/>
      <c r="L97" s="95" t="str">
        <f ca="1">IFERROR(VALUE(IF(VLOOKUP($A97,数出表_Excel!$A$6:$T$150,COLUMN()/2+1,FALSE)=0,"",VLOOKUP($A97,数出表_Excel!$A$6:$T$150,COLUMN()/2+1,FALSE))),"")</f>
        <v/>
      </c>
      <c r="M97" s="91"/>
      <c r="N97" s="91" t="str">
        <f ca="1">IFERROR(VALUE(IF(VLOOKUP($A97,数出表_Excel!$A$6:$T$150,COLUMN()/2+1,FALSE)=0,"",VLOOKUP($A97,数出表_Excel!$A$6:$T$150,COLUMN()/2+1,FALSE))),"")</f>
        <v/>
      </c>
      <c r="O97" s="91"/>
      <c r="P97" s="91" t="str">
        <f ca="1">IFERROR(VALUE(IF(VLOOKUP($A97,数出表_Excel!$A$6:$T$150,COLUMN()/2+1,FALSE)=0,"",VLOOKUP($A97,数出表_Excel!$A$6:$T$150,COLUMN()/2+1,FALSE))),"")</f>
        <v/>
      </c>
      <c r="Q97" s="91"/>
      <c r="R97" s="91" t="str">
        <f ca="1">IFERROR(VALUE(IF(VLOOKUP($A97,数出表_Excel!$A$6:$T$150,COLUMN()/2+1,FALSE)=0,"",VLOOKUP($A97,数出表_Excel!$A$6:$T$150,COLUMN()/2+1,FALSE))),"")</f>
        <v/>
      </c>
      <c r="S97" s="91"/>
      <c r="T97" s="91" t="str">
        <f ca="1">IFERROR(VALUE(IF(VLOOKUP($A97,数出表_Excel!$A$6:$T$150,COLUMN()/2+1,FALSE)=0,"",VLOOKUP($A97,数出表_Excel!$A$6:$T$150,COLUMN()/2+1,FALSE))),"")</f>
        <v/>
      </c>
      <c r="U97" s="91"/>
      <c r="V97" s="95" t="str">
        <f ca="1">IFERROR(VALUE(IF(VLOOKUP($A97,数出表_Excel!$A$6:$T$150,COLUMN()/2+1,FALSE)=0,"",VLOOKUP($A97,数出表_Excel!$A$6:$T$150,COLUMN()/2+1,FALSE))),"")</f>
        <v/>
      </c>
      <c r="W97" s="91"/>
      <c r="X97" s="95" t="str">
        <f ca="1">IFERROR(VALUE(IF(VLOOKUP($A97,数出表_Excel!$A$6:$T$150,COLUMN()/2+1,FALSE)=0,"",VLOOKUP($A97,数出表_Excel!$A$6:$T$150,COLUMN()/2+1,FALSE))),"")</f>
        <v/>
      </c>
      <c r="Y97" s="91"/>
      <c r="Z97" s="95" t="str">
        <f ca="1">IFERROR(VALUE(IF(VLOOKUP($A97,数出表_Excel!$A$6:$T$150,COLUMN()/2+1,FALSE)=0,"",VLOOKUP($A97,数出表_Excel!$A$6:$T$150,COLUMN()/2+1,FALSE))),"")</f>
        <v/>
      </c>
      <c r="AA97" s="129"/>
      <c r="AB97" s="96" t="str">
        <f ca="1">IFERROR(VALUE(IF(VLOOKUP($A97,数出表_Excel!$A$6:$T$150,COLUMN()/2+1,FALSE)=0,"",VLOOKUP($A97,数出表_Excel!$A$6:$T$150,COLUMN()/2+1,FALSE))),"")</f>
        <v/>
      </c>
      <c r="AC97" s="91"/>
      <c r="AD97" s="95" t="str">
        <f ca="1">IFERROR(VALUE(IF(VLOOKUP($A97,数出表_Excel!$A$6:$T$150,COLUMN()/2+1,FALSE)=0,"",VLOOKUP($A97,数出表_Excel!$A$6:$T$150,COLUMN()/2+1,FALSE))),"")</f>
        <v/>
      </c>
      <c r="AE97" s="91"/>
      <c r="AF97" s="95" t="str">
        <f ca="1">IFERROR(VALUE(IF(VLOOKUP($A97,数出表_Excel!$A$6:$T$150,COLUMN()/2+1,FALSE)=0,"",VLOOKUP($A97,数出表_Excel!$A$6:$T$150,COLUMN()/2+1,FALSE))),"")</f>
        <v/>
      </c>
      <c r="AG97" s="91"/>
      <c r="AH97" s="95" t="str">
        <f ca="1">IFERROR(VALUE(IF(VLOOKUP($A97,数出表_Excel!$A$6:$T$150,COLUMN()/2+1,FALSE)=0,"",VLOOKUP($A97,数出表_Excel!$A$6:$T$150,COLUMN()/2+1,FALSE))),"")</f>
        <v/>
      </c>
      <c r="AI97" s="129"/>
      <c r="AJ97" s="96" t="str">
        <f ca="1">IFERROR(VALUE(IF(VLOOKUP($A97,数出表_Excel!$A$6:$T$150,COLUMN()/2+1,FALSE)=0,"",VLOOKUP($A97,数出表_Excel!$A$6:$T$150,COLUMN()/2+1,FALSE))),"")</f>
        <v/>
      </c>
      <c r="AK97" s="91"/>
      <c r="AL97" s="97" t="e">
        <f ca="1">IF(A97&lt;&gt;"",
IF(VLOOKUP($A97,数出表_Excel!$A$6:$T$150,COLUMN()/2+1,FALSE)=0,"",VLOOKUP($A97,数出表_Excel!$A$6:$T$150,COLUMN()/2+1,FALSE)),"")</f>
        <v>#N/A</v>
      </c>
      <c r="AM97" s="177" t="e">
        <f>数出表_Excel!V97</f>
        <v>#N/A</v>
      </c>
      <c r="AN97" s="178" t="e">
        <f>数出表_Excel!W97</f>
        <v>#N/A</v>
      </c>
    </row>
    <row r="98" spans="1:40" ht="16.2" customHeight="1">
      <c r="A98" s="137" t="e">
        <f t="array" aca="1" ref="A98" ca="1">IF(OR(COUNTIF(A96,"*10002*"),COUNTIF(A96,"")),"",INDEX(貼り付け用!$A1:$A200,MATCH(A96,貼り付け用!$A1:$A200,0)+2,0))</f>
        <v>#N/A</v>
      </c>
      <c r="B98" s="125" t="str">
        <f ca="1">IFERROR(VALUE(IF(VLOOKUP($A98,数出表_Excel!$A$6:$T$150,COLUMN()/2+1,FALSE)=0,"",VLOOKUP($A98,数出表_Excel!$A$6:$T$150,COLUMN()/2+1,FALSE))),"")</f>
        <v/>
      </c>
      <c r="C98" s="90"/>
      <c r="D98" s="125" t="str">
        <f ca="1">IFERROR(VALUE(IF(VLOOKUP($A98,数出表_Excel!$A$6:$T$150,COLUMN()/2+1,FALSE)=0,"",VLOOKUP($A98,数出表_Excel!$A$6:$T$150,COLUMN()/2+1,FALSE))),"")</f>
        <v/>
      </c>
      <c r="E98" s="90"/>
      <c r="F98" s="127" t="str">
        <f ca="1">IFERROR(VALUE(IF(VLOOKUP($A98,数出表_Excel!$A$6:$T$150,COLUMN()/2+1,FALSE)=0,"",VLOOKUP($A98,数出表_Excel!$A$6:$T$150,COLUMN()/2+1,FALSE))),"")</f>
        <v/>
      </c>
      <c r="G98" s="90"/>
      <c r="H98" s="125" t="str">
        <f ca="1">IFERROR(VALUE(IF(VLOOKUP($A98,数出表_Excel!$A$6:$T$150,COLUMN()/2+1,FALSE)=0,"",VLOOKUP($A98,数出表_Excel!$A$6:$T$150,COLUMN()/2+1,FALSE))),"")</f>
        <v/>
      </c>
      <c r="I98" s="90"/>
      <c r="J98" s="125" t="str">
        <f ca="1">IFERROR(VALUE(IF(VLOOKUP($A98,数出表_Excel!$A$6:$T$150,COLUMN()/2+1,FALSE)=0,"",VLOOKUP($A98,数出表_Excel!$A$6:$T$150,COLUMN()/2+1,FALSE))),"")</f>
        <v/>
      </c>
      <c r="K98" s="90"/>
      <c r="L98" s="127" t="str">
        <f ca="1">IFERROR(VALUE(IF(VLOOKUP($A98,数出表_Excel!$A$6:$T$150,COLUMN()/2+1,FALSE)=0,"",VLOOKUP($A98,数出表_Excel!$A$6:$T$150,COLUMN()/2+1,FALSE))),"")</f>
        <v/>
      </c>
      <c r="M98" s="90"/>
      <c r="N98" s="125" t="str">
        <f ca="1">IFERROR(VALUE(IF(VLOOKUP($A98,数出表_Excel!$A$6:$T$150,COLUMN()/2+1,FALSE)=0,"",VLOOKUP($A98,数出表_Excel!$A$6:$T$150,COLUMN()/2+1,FALSE))),"")</f>
        <v/>
      </c>
      <c r="O98" s="90"/>
      <c r="P98" s="125" t="str">
        <f ca="1">IFERROR(VALUE(IF(VLOOKUP($A98,数出表_Excel!$A$6:$T$150,COLUMN()/2+1,FALSE)=0,"",VLOOKUP($A98,数出表_Excel!$A$6:$T$150,COLUMN()/2+1,FALSE))),"")</f>
        <v/>
      </c>
      <c r="Q98" s="90"/>
      <c r="R98" s="125" t="str">
        <f ca="1">IFERROR(VALUE(IF(VLOOKUP($A98,数出表_Excel!$A$6:$T$150,COLUMN()/2+1,FALSE)=0,"",VLOOKUP($A98,数出表_Excel!$A$6:$T$150,COLUMN()/2+1,FALSE))),"")</f>
        <v/>
      </c>
      <c r="S98" s="90"/>
      <c r="T98" s="125" t="str">
        <f ca="1">IFERROR(VALUE(IF(VLOOKUP($A98,数出表_Excel!$A$6:$T$150,COLUMN()/2+1,FALSE)=0,"",VLOOKUP($A98,数出表_Excel!$A$6:$T$150,COLUMN()/2+1,FALSE))),"")</f>
        <v/>
      </c>
      <c r="U98" s="90"/>
      <c r="V98" s="127" t="str">
        <f ca="1">IFERROR(VALUE(IF(VLOOKUP($A98,数出表_Excel!$A$6:$T$150,COLUMN()/2+1,FALSE)=0,"",VLOOKUP($A98,数出表_Excel!$A$6:$T$150,COLUMN()/2+1,FALSE))),"")</f>
        <v/>
      </c>
      <c r="W98" s="90"/>
      <c r="X98" s="127" t="str">
        <f ca="1">IFERROR(VALUE(IF(VLOOKUP($A98,数出表_Excel!$A$6:$T$150,COLUMN()/2+1,FALSE)=0,"",VLOOKUP($A98,数出表_Excel!$A$6:$T$150,COLUMN()/2+1,FALSE))),"")</f>
        <v/>
      </c>
      <c r="Y98" s="90"/>
      <c r="Z98" s="127" t="str">
        <f ca="1">IFERROR(VALUE(IF(VLOOKUP($A98,数出表_Excel!$A$6:$T$150,COLUMN()/2+1,FALSE)=0,"",VLOOKUP($A98,数出表_Excel!$A$6:$T$150,COLUMN()/2+1,FALSE))),"")</f>
        <v/>
      </c>
      <c r="AA98" s="128"/>
      <c r="AB98" s="126" t="str">
        <f ca="1">IFERROR(VALUE(IF(VLOOKUP($A98,数出表_Excel!$A$6:$T$150,COLUMN()/2+1,FALSE)=0,"",VLOOKUP($A98,数出表_Excel!$A$6:$T$150,COLUMN()/2+1,FALSE))),"")</f>
        <v/>
      </c>
      <c r="AC98" s="90"/>
      <c r="AD98" s="127" t="str">
        <f ca="1">IFERROR(VALUE(IF(VLOOKUP($A98,数出表_Excel!$A$6:$T$150,COLUMN()/2+1,FALSE)=0,"",VLOOKUP($A98,数出表_Excel!$A$6:$T$150,COLUMN()/2+1,FALSE))),"")</f>
        <v/>
      </c>
      <c r="AE98" s="90"/>
      <c r="AF98" s="127" t="str">
        <f ca="1">IFERROR(VALUE(IF(VLOOKUP($A98,数出表_Excel!$A$6:$T$150,COLUMN()/2+1,FALSE)=0,"",VLOOKUP($A98,数出表_Excel!$A$6:$T$150,COLUMN()/2+1,FALSE))),"")</f>
        <v/>
      </c>
      <c r="AG98" s="90"/>
      <c r="AH98" s="127" t="str">
        <f ca="1">IFERROR(VALUE(IF(VLOOKUP($A98,数出表_Excel!$A$6:$T$150,COLUMN()/2+1,FALSE)=0,"",VLOOKUP($A98,数出表_Excel!$A$6:$T$150,COLUMN()/2+1,FALSE))),"")</f>
        <v/>
      </c>
      <c r="AI98" s="128"/>
      <c r="AJ98" s="126" t="str">
        <f ca="1">IFERROR(VALUE(IF(VLOOKUP($A98,数出表_Excel!$A$6:$T$150,COLUMN()/2+1,FALSE)=0,"",VLOOKUP($A98,数出表_Excel!$A$6:$T$150,COLUMN()/2+1,FALSE))),"")</f>
        <v/>
      </c>
      <c r="AK98" s="90"/>
      <c r="AL98" s="94" t="e">
        <f ca="1">IF(A98&lt;&gt;"",
IF(VLOOKUP($A98,数出表_Excel!$A$6:$T$150,COLUMN()/2+1,FALSE)=0,"",VLOOKUP($A98,数出表_Excel!$A$6:$T$150,COLUMN()/2+1,FALSE)),"")</f>
        <v>#N/A</v>
      </c>
      <c r="AM98" s="175" t="e">
        <f>数出表_Excel!V98</f>
        <v>#N/A</v>
      </c>
      <c r="AN98" s="176" t="e">
        <f>数出表_Excel!W98</f>
        <v>#N/A</v>
      </c>
    </row>
    <row r="99" spans="1:40" ht="16.2" customHeight="1">
      <c r="A99" s="138" t="e">
        <f t="array" aca="1" ref="A99" ca="1">IF(OR(COUNTIF(A97,"*1000*"),COUNTIF(A97,"")),"",INDEX(貼り付け用!$A1:$A200,MATCH(A97,貼り付け用!$A1:$A200,0)+2,0))</f>
        <v>#N/A</v>
      </c>
      <c r="B99" s="91" t="str">
        <f ca="1">IFERROR(VALUE(IF(VLOOKUP($A99,数出表_Excel!$A$6:$T$150,COLUMN()/2+1,FALSE)=0,"",VLOOKUP($A99,数出表_Excel!$A$6:$T$150,COLUMN()/2+1,FALSE))),"")</f>
        <v/>
      </c>
      <c r="C99" s="91"/>
      <c r="D99" s="91" t="str">
        <f ca="1">IFERROR(VALUE(IF(VLOOKUP($A99,数出表_Excel!$A$6:$T$150,COLUMN()/2+1,FALSE)=0,"",VLOOKUP($A99,数出表_Excel!$A$6:$T$150,COLUMN()/2+1,FALSE))),"")</f>
        <v/>
      </c>
      <c r="E99" s="91"/>
      <c r="F99" s="95" t="str">
        <f ca="1">IFERROR(VALUE(IF(VLOOKUP($A99,数出表_Excel!$A$6:$T$150,COLUMN()/2+1,FALSE)=0,"",VLOOKUP($A99,数出表_Excel!$A$6:$T$150,COLUMN()/2+1,FALSE))),"")</f>
        <v/>
      </c>
      <c r="G99" s="91"/>
      <c r="H99" s="91" t="str">
        <f ca="1">IFERROR(VALUE(IF(VLOOKUP($A99,数出表_Excel!$A$6:$T$150,COLUMN()/2+1,FALSE)=0,"",VLOOKUP($A99,数出表_Excel!$A$6:$T$150,COLUMN()/2+1,FALSE))),"")</f>
        <v/>
      </c>
      <c r="I99" s="91"/>
      <c r="J99" s="91" t="str">
        <f ca="1">IFERROR(VALUE(IF(VLOOKUP($A99,数出表_Excel!$A$6:$T$150,COLUMN()/2+1,FALSE)=0,"",VLOOKUP($A99,数出表_Excel!$A$6:$T$150,COLUMN()/2+1,FALSE))),"")</f>
        <v/>
      </c>
      <c r="K99" s="91"/>
      <c r="L99" s="95" t="str">
        <f ca="1">IFERROR(VALUE(IF(VLOOKUP($A99,数出表_Excel!$A$6:$T$150,COLUMN()/2+1,FALSE)=0,"",VLOOKUP($A99,数出表_Excel!$A$6:$T$150,COLUMN()/2+1,FALSE))),"")</f>
        <v/>
      </c>
      <c r="M99" s="91"/>
      <c r="N99" s="91" t="str">
        <f ca="1">IFERROR(VALUE(IF(VLOOKUP($A99,数出表_Excel!$A$6:$T$150,COLUMN()/2+1,FALSE)=0,"",VLOOKUP($A99,数出表_Excel!$A$6:$T$150,COLUMN()/2+1,FALSE))),"")</f>
        <v/>
      </c>
      <c r="O99" s="91"/>
      <c r="P99" s="91" t="str">
        <f ca="1">IFERROR(VALUE(IF(VLOOKUP($A99,数出表_Excel!$A$6:$T$150,COLUMN()/2+1,FALSE)=0,"",VLOOKUP($A99,数出表_Excel!$A$6:$T$150,COLUMN()/2+1,FALSE))),"")</f>
        <v/>
      </c>
      <c r="Q99" s="91"/>
      <c r="R99" s="91" t="str">
        <f ca="1">IFERROR(VALUE(IF(VLOOKUP($A99,数出表_Excel!$A$6:$T$150,COLUMN()/2+1,FALSE)=0,"",VLOOKUP($A99,数出表_Excel!$A$6:$T$150,COLUMN()/2+1,FALSE))),"")</f>
        <v/>
      </c>
      <c r="S99" s="91"/>
      <c r="T99" s="91" t="str">
        <f ca="1">IFERROR(VALUE(IF(VLOOKUP($A99,数出表_Excel!$A$6:$T$150,COLUMN()/2+1,FALSE)=0,"",VLOOKUP($A99,数出表_Excel!$A$6:$T$150,COLUMN()/2+1,FALSE))),"")</f>
        <v/>
      </c>
      <c r="U99" s="91"/>
      <c r="V99" s="95" t="str">
        <f ca="1">IFERROR(VALUE(IF(VLOOKUP($A99,数出表_Excel!$A$6:$T$150,COLUMN()/2+1,FALSE)=0,"",VLOOKUP($A99,数出表_Excel!$A$6:$T$150,COLUMN()/2+1,FALSE))),"")</f>
        <v/>
      </c>
      <c r="W99" s="91"/>
      <c r="X99" s="95" t="str">
        <f ca="1">IFERROR(VALUE(IF(VLOOKUP($A99,数出表_Excel!$A$6:$T$150,COLUMN()/2+1,FALSE)=0,"",VLOOKUP($A99,数出表_Excel!$A$6:$T$150,COLUMN()/2+1,FALSE))),"")</f>
        <v/>
      </c>
      <c r="Y99" s="91"/>
      <c r="Z99" s="95" t="str">
        <f ca="1">IFERROR(VALUE(IF(VLOOKUP($A99,数出表_Excel!$A$6:$T$150,COLUMN()/2+1,FALSE)=0,"",VLOOKUP($A99,数出表_Excel!$A$6:$T$150,COLUMN()/2+1,FALSE))),"")</f>
        <v/>
      </c>
      <c r="AA99" s="129"/>
      <c r="AB99" s="96" t="str">
        <f ca="1">IFERROR(VALUE(IF(VLOOKUP($A99,数出表_Excel!$A$6:$T$150,COLUMN()/2+1,FALSE)=0,"",VLOOKUP($A99,数出表_Excel!$A$6:$T$150,COLUMN()/2+1,FALSE))),"")</f>
        <v/>
      </c>
      <c r="AC99" s="91"/>
      <c r="AD99" s="95" t="str">
        <f ca="1">IFERROR(VALUE(IF(VLOOKUP($A99,数出表_Excel!$A$6:$T$150,COLUMN()/2+1,FALSE)=0,"",VLOOKUP($A99,数出表_Excel!$A$6:$T$150,COLUMN()/2+1,FALSE))),"")</f>
        <v/>
      </c>
      <c r="AE99" s="91"/>
      <c r="AF99" s="95" t="str">
        <f ca="1">IFERROR(VALUE(IF(VLOOKUP($A99,数出表_Excel!$A$6:$T$150,COLUMN()/2+1,FALSE)=0,"",VLOOKUP($A99,数出表_Excel!$A$6:$T$150,COLUMN()/2+1,FALSE))),"")</f>
        <v/>
      </c>
      <c r="AG99" s="91"/>
      <c r="AH99" s="95" t="str">
        <f ca="1">IFERROR(VALUE(IF(VLOOKUP($A99,数出表_Excel!$A$6:$T$150,COLUMN()/2+1,FALSE)=0,"",VLOOKUP($A99,数出表_Excel!$A$6:$T$150,COLUMN()/2+1,FALSE))),"")</f>
        <v/>
      </c>
      <c r="AI99" s="129"/>
      <c r="AJ99" s="96" t="str">
        <f ca="1">IFERROR(VALUE(IF(VLOOKUP($A99,数出表_Excel!$A$6:$T$150,COLUMN()/2+1,FALSE)=0,"",VLOOKUP($A99,数出表_Excel!$A$6:$T$150,COLUMN()/2+1,FALSE))),"")</f>
        <v/>
      </c>
      <c r="AK99" s="91"/>
      <c r="AL99" s="97" t="e">
        <f ca="1">IF(A99&lt;&gt;"",
IF(VLOOKUP($A99,数出表_Excel!$A$6:$T$150,COLUMN()/2+1,FALSE)=0,"",VLOOKUP($A99,数出表_Excel!$A$6:$T$150,COLUMN()/2+1,FALSE)),"")</f>
        <v>#N/A</v>
      </c>
      <c r="AM99" s="177" t="e">
        <f>数出表_Excel!V99</f>
        <v>#N/A</v>
      </c>
      <c r="AN99" s="178" t="e">
        <f>数出表_Excel!W99</f>
        <v>#N/A</v>
      </c>
    </row>
    <row r="100" spans="1:40" ht="16.2" customHeight="1">
      <c r="A100" s="137" t="e">
        <f t="array" aca="1" ref="A100" ca="1">IF(OR(COUNTIF(A98,"*10002*"),COUNTIF(A98,"")),"",INDEX(貼り付け用!$A1:$A200,MATCH(A98,貼り付け用!$A1:$A200,0)+2,0))</f>
        <v>#N/A</v>
      </c>
      <c r="B100" s="125" t="str">
        <f ca="1">IFERROR(VALUE(IF(VLOOKUP($A100,数出表_Excel!$A$6:$T$150,COLUMN()/2+1,FALSE)=0,"",VLOOKUP($A100,数出表_Excel!$A$6:$T$150,COLUMN()/2+1,FALSE))),"")</f>
        <v/>
      </c>
      <c r="C100" s="90"/>
      <c r="D100" s="125" t="str">
        <f ca="1">IFERROR(VALUE(IF(VLOOKUP($A100,数出表_Excel!$A$6:$T$150,COLUMN()/2+1,FALSE)=0,"",VLOOKUP($A100,数出表_Excel!$A$6:$T$150,COLUMN()/2+1,FALSE))),"")</f>
        <v/>
      </c>
      <c r="E100" s="90"/>
      <c r="F100" s="127" t="str">
        <f ca="1">IFERROR(VALUE(IF(VLOOKUP($A100,数出表_Excel!$A$6:$T$150,COLUMN()/2+1,FALSE)=0,"",VLOOKUP($A100,数出表_Excel!$A$6:$T$150,COLUMN()/2+1,FALSE))),"")</f>
        <v/>
      </c>
      <c r="G100" s="90"/>
      <c r="H100" s="125" t="str">
        <f ca="1">IFERROR(VALUE(IF(VLOOKUP($A100,数出表_Excel!$A$6:$T$150,COLUMN()/2+1,FALSE)=0,"",VLOOKUP($A100,数出表_Excel!$A$6:$T$150,COLUMN()/2+1,FALSE))),"")</f>
        <v/>
      </c>
      <c r="I100" s="90"/>
      <c r="J100" s="125" t="str">
        <f ca="1">IFERROR(VALUE(IF(VLOOKUP($A100,数出表_Excel!$A$6:$T$150,COLUMN()/2+1,FALSE)=0,"",VLOOKUP($A100,数出表_Excel!$A$6:$T$150,COLUMN()/2+1,FALSE))),"")</f>
        <v/>
      </c>
      <c r="K100" s="90"/>
      <c r="L100" s="127" t="str">
        <f ca="1">IFERROR(VALUE(IF(VLOOKUP($A100,数出表_Excel!$A$6:$T$150,COLUMN()/2+1,FALSE)=0,"",VLOOKUP($A100,数出表_Excel!$A$6:$T$150,COLUMN()/2+1,FALSE))),"")</f>
        <v/>
      </c>
      <c r="M100" s="90"/>
      <c r="N100" s="125" t="str">
        <f ca="1">IFERROR(VALUE(IF(VLOOKUP($A100,数出表_Excel!$A$6:$T$150,COLUMN()/2+1,FALSE)=0,"",VLOOKUP($A100,数出表_Excel!$A$6:$T$150,COLUMN()/2+1,FALSE))),"")</f>
        <v/>
      </c>
      <c r="O100" s="90"/>
      <c r="P100" s="125" t="str">
        <f ca="1">IFERROR(VALUE(IF(VLOOKUP($A100,数出表_Excel!$A$6:$T$150,COLUMN()/2+1,FALSE)=0,"",VLOOKUP($A100,数出表_Excel!$A$6:$T$150,COLUMN()/2+1,FALSE))),"")</f>
        <v/>
      </c>
      <c r="Q100" s="90"/>
      <c r="R100" s="125" t="str">
        <f ca="1">IFERROR(VALUE(IF(VLOOKUP($A100,数出表_Excel!$A$6:$T$150,COLUMN()/2+1,FALSE)=0,"",VLOOKUP($A100,数出表_Excel!$A$6:$T$150,COLUMN()/2+1,FALSE))),"")</f>
        <v/>
      </c>
      <c r="S100" s="90"/>
      <c r="T100" s="125" t="str">
        <f ca="1">IFERROR(VALUE(IF(VLOOKUP($A100,数出表_Excel!$A$6:$T$150,COLUMN()/2+1,FALSE)=0,"",VLOOKUP($A100,数出表_Excel!$A$6:$T$150,COLUMN()/2+1,FALSE))),"")</f>
        <v/>
      </c>
      <c r="U100" s="90"/>
      <c r="V100" s="127" t="str">
        <f ca="1">IFERROR(VALUE(IF(VLOOKUP($A100,数出表_Excel!$A$6:$T$150,COLUMN()/2+1,FALSE)=0,"",VLOOKUP($A100,数出表_Excel!$A$6:$T$150,COLUMN()/2+1,FALSE))),"")</f>
        <v/>
      </c>
      <c r="W100" s="90"/>
      <c r="X100" s="127" t="str">
        <f ca="1">IFERROR(VALUE(IF(VLOOKUP($A100,数出表_Excel!$A$6:$T$150,COLUMN()/2+1,FALSE)=0,"",VLOOKUP($A100,数出表_Excel!$A$6:$T$150,COLUMN()/2+1,FALSE))),"")</f>
        <v/>
      </c>
      <c r="Y100" s="90"/>
      <c r="Z100" s="127" t="str">
        <f ca="1">IFERROR(VALUE(IF(VLOOKUP($A100,数出表_Excel!$A$6:$T$150,COLUMN()/2+1,FALSE)=0,"",VLOOKUP($A100,数出表_Excel!$A$6:$T$150,COLUMN()/2+1,FALSE))),"")</f>
        <v/>
      </c>
      <c r="AA100" s="128"/>
      <c r="AB100" s="126" t="str">
        <f ca="1">IFERROR(VALUE(IF(VLOOKUP($A100,数出表_Excel!$A$6:$T$150,COLUMN()/2+1,FALSE)=0,"",VLOOKUP($A100,数出表_Excel!$A$6:$T$150,COLUMN()/2+1,FALSE))),"")</f>
        <v/>
      </c>
      <c r="AC100" s="90"/>
      <c r="AD100" s="127" t="str">
        <f ca="1">IFERROR(VALUE(IF(VLOOKUP($A100,数出表_Excel!$A$6:$T$150,COLUMN()/2+1,FALSE)=0,"",VLOOKUP($A100,数出表_Excel!$A$6:$T$150,COLUMN()/2+1,FALSE))),"")</f>
        <v/>
      </c>
      <c r="AE100" s="90"/>
      <c r="AF100" s="127" t="str">
        <f ca="1">IFERROR(VALUE(IF(VLOOKUP($A100,数出表_Excel!$A$6:$T$150,COLUMN()/2+1,FALSE)=0,"",VLOOKUP($A100,数出表_Excel!$A$6:$T$150,COLUMN()/2+1,FALSE))),"")</f>
        <v/>
      </c>
      <c r="AG100" s="90"/>
      <c r="AH100" s="127" t="str">
        <f ca="1">IFERROR(VALUE(IF(VLOOKUP($A100,数出表_Excel!$A$6:$T$150,COLUMN()/2+1,FALSE)=0,"",VLOOKUP($A100,数出表_Excel!$A$6:$T$150,COLUMN()/2+1,FALSE))),"")</f>
        <v/>
      </c>
      <c r="AI100" s="128"/>
      <c r="AJ100" s="126" t="str">
        <f ca="1">IFERROR(VALUE(IF(VLOOKUP($A100,数出表_Excel!$A$6:$T$150,COLUMN()/2+1,FALSE)=0,"",VLOOKUP($A100,数出表_Excel!$A$6:$T$150,COLUMN()/2+1,FALSE))),"")</f>
        <v/>
      </c>
      <c r="AK100" s="90"/>
      <c r="AL100" s="94" t="e">
        <f ca="1">IF(A100&lt;&gt;"",
IF(VLOOKUP($A100,数出表_Excel!$A$6:$T$150,COLUMN()/2+1,FALSE)=0,"",VLOOKUP($A100,数出表_Excel!$A$6:$T$150,COLUMN()/2+1,FALSE)),"")</f>
        <v>#N/A</v>
      </c>
      <c r="AM100" s="175" t="e">
        <f>数出表_Excel!V100</f>
        <v>#N/A</v>
      </c>
      <c r="AN100" s="176" t="e">
        <f>数出表_Excel!W100</f>
        <v>#N/A</v>
      </c>
    </row>
    <row r="101" spans="1:40" ht="16.2" customHeight="1">
      <c r="A101" s="138" t="e">
        <f t="array" aca="1" ref="A101" ca="1">IF(OR(COUNTIF(A99,"*1000*"),COUNTIF(A99,"")),"",INDEX(貼り付け用!$A1:$A200,MATCH(A99,貼り付け用!$A1:$A200,0)+2,0))</f>
        <v>#N/A</v>
      </c>
      <c r="B101" s="91" t="str">
        <f ca="1">IFERROR(VALUE(IF(VLOOKUP($A101,数出表_Excel!$A$6:$T$150,COLUMN()/2+1,FALSE)=0,"",VLOOKUP($A101,数出表_Excel!$A$6:$T$150,COLUMN()/2+1,FALSE))),"")</f>
        <v/>
      </c>
      <c r="C101" s="91"/>
      <c r="D101" s="91" t="str">
        <f ca="1">IFERROR(VALUE(IF(VLOOKUP($A101,数出表_Excel!$A$6:$T$150,COLUMN()/2+1,FALSE)=0,"",VLOOKUP($A101,数出表_Excel!$A$6:$T$150,COLUMN()/2+1,FALSE))),"")</f>
        <v/>
      </c>
      <c r="E101" s="91"/>
      <c r="F101" s="95" t="str">
        <f ca="1">IFERROR(VALUE(IF(VLOOKUP($A101,数出表_Excel!$A$6:$T$150,COLUMN()/2+1,FALSE)=0,"",VLOOKUP($A101,数出表_Excel!$A$6:$T$150,COLUMN()/2+1,FALSE))),"")</f>
        <v/>
      </c>
      <c r="G101" s="91"/>
      <c r="H101" s="91" t="str">
        <f ca="1">IFERROR(VALUE(IF(VLOOKUP($A101,数出表_Excel!$A$6:$T$150,COLUMN()/2+1,FALSE)=0,"",VLOOKUP($A101,数出表_Excel!$A$6:$T$150,COLUMN()/2+1,FALSE))),"")</f>
        <v/>
      </c>
      <c r="I101" s="91"/>
      <c r="J101" s="91" t="str">
        <f ca="1">IFERROR(VALUE(IF(VLOOKUP($A101,数出表_Excel!$A$6:$T$150,COLUMN()/2+1,FALSE)=0,"",VLOOKUP($A101,数出表_Excel!$A$6:$T$150,COLUMN()/2+1,FALSE))),"")</f>
        <v/>
      </c>
      <c r="K101" s="91"/>
      <c r="L101" s="95" t="str">
        <f ca="1">IFERROR(VALUE(IF(VLOOKUP($A101,数出表_Excel!$A$6:$T$150,COLUMN()/2+1,FALSE)=0,"",VLOOKUP($A101,数出表_Excel!$A$6:$T$150,COLUMN()/2+1,FALSE))),"")</f>
        <v/>
      </c>
      <c r="M101" s="91"/>
      <c r="N101" s="91" t="str">
        <f ca="1">IFERROR(VALUE(IF(VLOOKUP($A101,数出表_Excel!$A$6:$T$150,COLUMN()/2+1,FALSE)=0,"",VLOOKUP($A101,数出表_Excel!$A$6:$T$150,COLUMN()/2+1,FALSE))),"")</f>
        <v/>
      </c>
      <c r="O101" s="91"/>
      <c r="P101" s="91" t="str">
        <f ca="1">IFERROR(VALUE(IF(VLOOKUP($A101,数出表_Excel!$A$6:$T$150,COLUMN()/2+1,FALSE)=0,"",VLOOKUP($A101,数出表_Excel!$A$6:$T$150,COLUMN()/2+1,FALSE))),"")</f>
        <v/>
      </c>
      <c r="Q101" s="91"/>
      <c r="R101" s="91" t="str">
        <f ca="1">IFERROR(VALUE(IF(VLOOKUP($A101,数出表_Excel!$A$6:$T$150,COLUMN()/2+1,FALSE)=0,"",VLOOKUP($A101,数出表_Excel!$A$6:$T$150,COLUMN()/2+1,FALSE))),"")</f>
        <v/>
      </c>
      <c r="S101" s="91"/>
      <c r="T101" s="91" t="str">
        <f ca="1">IFERROR(VALUE(IF(VLOOKUP($A101,数出表_Excel!$A$6:$T$150,COLUMN()/2+1,FALSE)=0,"",VLOOKUP($A101,数出表_Excel!$A$6:$T$150,COLUMN()/2+1,FALSE))),"")</f>
        <v/>
      </c>
      <c r="U101" s="91"/>
      <c r="V101" s="95" t="str">
        <f ca="1">IFERROR(VALUE(IF(VLOOKUP($A101,数出表_Excel!$A$6:$T$150,COLUMN()/2+1,FALSE)=0,"",VLOOKUP($A101,数出表_Excel!$A$6:$T$150,COLUMN()/2+1,FALSE))),"")</f>
        <v/>
      </c>
      <c r="W101" s="91"/>
      <c r="X101" s="95" t="str">
        <f ca="1">IFERROR(VALUE(IF(VLOOKUP($A101,数出表_Excel!$A$6:$T$150,COLUMN()/2+1,FALSE)=0,"",VLOOKUP($A101,数出表_Excel!$A$6:$T$150,COLUMN()/2+1,FALSE))),"")</f>
        <v/>
      </c>
      <c r="Y101" s="91"/>
      <c r="Z101" s="95" t="str">
        <f ca="1">IFERROR(VALUE(IF(VLOOKUP($A101,数出表_Excel!$A$6:$T$150,COLUMN()/2+1,FALSE)=0,"",VLOOKUP($A101,数出表_Excel!$A$6:$T$150,COLUMN()/2+1,FALSE))),"")</f>
        <v/>
      </c>
      <c r="AA101" s="129"/>
      <c r="AB101" s="96" t="str">
        <f ca="1">IFERROR(VALUE(IF(VLOOKUP($A101,数出表_Excel!$A$6:$T$150,COLUMN()/2+1,FALSE)=0,"",VLOOKUP($A101,数出表_Excel!$A$6:$T$150,COLUMN()/2+1,FALSE))),"")</f>
        <v/>
      </c>
      <c r="AC101" s="91"/>
      <c r="AD101" s="95" t="str">
        <f ca="1">IFERROR(VALUE(IF(VLOOKUP($A101,数出表_Excel!$A$6:$T$150,COLUMN()/2+1,FALSE)=0,"",VLOOKUP($A101,数出表_Excel!$A$6:$T$150,COLUMN()/2+1,FALSE))),"")</f>
        <v/>
      </c>
      <c r="AE101" s="91"/>
      <c r="AF101" s="95" t="str">
        <f ca="1">IFERROR(VALUE(IF(VLOOKUP($A101,数出表_Excel!$A$6:$T$150,COLUMN()/2+1,FALSE)=0,"",VLOOKUP($A101,数出表_Excel!$A$6:$T$150,COLUMN()/2+1,FALSE))),"")</f>
        <v/>
      </c>
      <c r="AG101" s="91"/>
      <c r="AH101" s="95" t="str">
        <f ca="1">IFERROR(VALUE(IF(VLOOKUP($A101,数出表_Excel!$A$6:$T$150,COLUMN()/2+1,FALSE)=0,"",VLOOKUP($A101,数出表_Excel!$A$6:$T$150,COLUMN()/2+1,FALSE))),"")</f>
        <v/>
      </c>
      <c r="AI101" s="129"/>
      <c r="AJ101" s="96" t="str">
        <f ca="1">IFERROR(VALUE(IF(VLOOKUP($A101,数出表_Excel!$A$6:$T$150,COLUMN()/2+1,FALSE)=0,"",VLOOKUP($A101,数出表_Excel!$A$6:$T$150,COLUMN()/2+1,FALSE))),"")</f>
        <v/>
      </c>
      <c r="AK101" s="91"/>
      <c r="AL101" s="97" t="e">
        <f ca="1">IF(A101&lt;&gt;"",
IF(VLOOKUP($A101,数出表_Excel!$A$6:$T$150,COLUMN()/2+1,FALSE)=0,"",VLOOKUP($A101,数出表_Excel!$A$6:$T$150,COLUMN()/2+1,FALSE)),"")</f>
        <v>#N/A</v>
      </c>
      <c r="AM101" s="177" t="e">
        <f>数出表_Excel!V101</f>
        <v>#N/A</v>
      </c>
      <c r="AN101" s="178" t="e">
        <f>数出表_Excel!W101</f>
        <v>#N/A</v>
      </c>
    </row>
    <row r="102" spans="1:40" ht="16.2" customHeight="1">
      <c r="A102" s="137" t="e">
        <f t="array" aca="1" ref="A102" ca="1">IF(OR(COUNTIF(A100,"*10002*"),COUNTIF(A100,"")),"",INDEX(貼り付け用!$A1:$A200,MATCH(A100,貼り付け用!$A1:$A200,0)+2,0))</f>
        <v>#N/A</v>
      </c>
      <c r="B102" s="125" t="str">
        <f ca="1">IFERROR(VALUE(IF(VLOOKUP($A102,数出表_Excel!$A$6:$T$150,COLUMN()/2+1,FALSE)=0,"",VLOOKUP($A102,数出表_Excel!$A$6:$T$150,COLUMN()/2+1,FALSE))),"")</f>
        <v/>
      </c>
      <c r="C102" s="90"/>
      <c r="D102" s="125" t="str">
        <f ca="1">IFERROR(VALUE(IF(VLOOKUP($A102,数出表_Excel!$A$6:$T$150,COLUMN()/2+1,FALSE)=0,"",VLOOKUP($A102,数出表_Excel!$A$6:$T$150,COLUMN()/2+1,FALSE))),"")</f>
        <v/>
      </c>
      <c r="E102" s="90"/>
      <c r="F102" s="127" t="str">
        <f ca="1">IFERROR(VALUE(IF(VLOOKUP($A102,数出表_Excel!$A$6:$T$150,COLUMN()/2+1,FALSE)=0,"",VLOOKUP($A102,数出表_Excel!$A$6:$T$150,COLUMN()/2+1,FALSE))),"")</f>
        <v/>
      </c>
      <c r="G102" s="90"/>
      <c r="H102" s="125" t="str">
        <f ca="1">IFERROR(VALUE(IF(VLOOKUP($A102,数出表_Excel!$A$6:$T$150,COLUMN()/2+1,FALSE)=0,"",VLOOKUP($A102,数出表_Excel!$A$6:$T$150,COLUMN()/2+1,FALSE))),"")</f>
        <v/>
      </c>
      <c r="I102" s="90"/>
      <c r="J102" s="125" t="str">
        <f ca="1">IFERROR(VALUE(IF(VLOOKUP($A102,数出表_Excel!$A$6:$T$150,COLUMN()/2+1,FALSE)=0,"",VLOOKUP($A102,数出表_Excel!$A$6:$T$150,COLUMN()/2+1,FALSE))),"")</f>
        <v/>
      </c>
      <c r="K102" s="90"/>
      <c r="L102" s="127" t="str">
        <f ca="1">IFERROR(VALUE(IF(VLOOKUP($A102,数出表_Excel!$A$6:$T$150,COLUMN()/2+1,FALSE)=0,"",VLOOKUP($A102,数出表_Excel!$A$6:$T$150,COLUMN()/2+1,FALSE))),"")</f>
        <v/>
      </c>
      <c r="M102" s="90"/>
      <c r="N102" s="125" t="str">
        <f ca="1">IFERROR(VALUE(IF(VLOOKUP($A102,数出表_Excel!$A$6:$T$150,COLUMN()/2+1,FALSE)=0,"",VLOOKUP($A102,数出表_Excel!$A$6:$T$150,COLUMN()/2+1,FALSE))),"")</f>
        <v/>
      </c>
      <c r="O102" s="90"/>
      <c r="P102" s="125" t="str">
        <f ca="1">IFERROR(VALUE(IF(VLOOKUP($A102,数出表_Excel!$A$6:$T$150,COLUMN()/2+1,FALSE)=0,"",VLOOKUP($A102,数出表_Excel!$A$6:$T$150,COLUMN()/2+1,FALSE))),"")</f>
        <v/>
      </c>
      <c r="Q102" s="90"/>
      <c r="R102" s="125" t="str">
        <f ca="1">IFERROR(VALUE(IF(VLOOKUP($A102,数出表_Excel!$A$6:$T$150,COLUMN()/2+1,FALSE)=0,"",VLOOKUP($A102,数出表_Excel!$A$6:$T$150,COLUMN()/2+1,FALSE))),"")</f>
        <v/>
      </c>
      <c r="S102" s="90"/>
      <c r="T102" s="125" t="str">
        <f ca="1">IFERROR(VALUE(IF(VLOOKUP($A102,数出表_Excel!$A$6:$T$150,COLUMN()/2+1,FALSE)=0,"",VLOOKUP($A102,数出表_Excel!$A$6:$T$150,COLUMN()/2+1,FALSE))),"")</f>
        <v/>
      </c>
      <c r="U102" s="90"/>
      <c r="V102" s="127" t="str">
        <f ca="1">IFERROR(VALUE(IF(VLOOKUP($A102,数出表_Excel!$A$6:$T$150,COLUMN()/2+1,FALSE)=0,"",VLOOKUP($A102,数出表_Excel!$A$6:$T$150,COLUMN()/2+1,FALSE))),"")</f>
        <v/>
      </c>
      <c r="W102" s="90"/>
      <c r="X102" s="127" t="str">
        <f ca="1">IFERROR(VALUE(IF(VLOOKUP($A102,数出表_Excel!$A$6:$T$150,COLUMN()/2+1,FALSE)=0,"",VLOOKUP($A102,数出表_Excel!$A$6:$T$150,COLUMN()/2+1,FALSE))),"")</f>
        <v/>
      </c>
      <c r="Y102" s="90"/>
      <c r="Z102" s="127" t="str">
        <f ca="1">IFERROR(VALUE(IF(VLOOKUP($A102,数出表_Excel!$A$6:$T$150,COLUMN()/2+1,FALSE)=0,"",VLOOKUP($A102,数出表_Excel!$A$6:$T$150,COLUMN()/2+1,FALSE))),"")</f>
        <v/>
      </c>
      <c r="AA102" s="128"/>
      <c r="AB102" s="126" t="str">
        <f ca="1">IFERROR(VALUE(IF(VLOOKUP($A102,数出表_Excel!$A$6:$T$150,COLUMN()/2+1,FALSE)=0,"",VLOOKUP($A102,数出表_Excel!$A$6:$T$150,COLUMN()/2+1,FALSE))),"")</f>
        <v/>
      </c>
      <c r="AC102" s="90"/>
      <c r="AD102" s="127" t="str">
        <f ca="1">IFERROR(VALUE(IF(VLOOKUP($A102,数出表_Excel!$A$6:$T$150,COLUMN()/2+1,FALSE)=0,"",VLOOKUP($A102,数出表_Excel!$A$6:$T$150,COLUMN()/2+1,FALSE))),"")</f>
        <v/>
      </c>
      <c r="AE102" s="90"/>
      <c r="AF102" s="127" t="str">
        <f ca="1">IFERROR(VALUE(IF(VLOOKUP($A102,数出表_Excel!$A$6:$T$150,COLUMN()/2+1,FALSE)=0,"",VLOOKUP($A102,数出表_Excel!$A$6:$T$150,COLUMN()/2+1,FALSE))),"")</f>
        <v/>
      </c>
      <c r="AG102" s="90"/>
      <c r="AH102" s="127" t="str">
        <f ca="1">IFERROR(VALUE(IF(VLOOKUP($A102,数出表_Excel!$A$6:$T$150,COLUMN()/2+1,FALSE)=0,"",VLOOKUP($A102,数出表_Excel!$A$6:$T$150,COLUMN()/2+1,FALSE))),"")</f>
        <v/>
      </c>
      <c r="AI102" s="128"/>
      <c r="AJ102" s="126" t="str">
        <f ca="1">IFERROR(VALUE(IF(VLOOKUP($A102,数出表_Excel!$A$6:$T$150,COLUMN()/2+1,FALSE)=0,"",VLOOKUP($A102,数出表_Excel!$A$6:$T$150,COLUMN()/2+1,FALSE))),"")</f>
        <v/>
      </c>
      <c r="AK102" s="90"/>
      <c r="AL102" s="94" t="e">
        <f ca="1">IF(A102&lt;&gt;"",
IF(VLOOKUP($A102,数出表_Excel!$A$6:$T$150,COLUMN()/2+1,FALSE)=0,"",VLOOKUP($A102,数出表_Excel!$A$6:$T$150,COLUMN()/2+1,FALSE)),"")</f>
        <v>#N/A</v>
      </c>
      <c r="AM102" s="175" t="e">
        <f>数出表_Excel!V102</f>
        <v>#N/A</v>
      </c>
      <c r="AN102" s="176" t="e">
        <f>数出表_Excel!W102</f>
        <v>#N/A</v>
      </c>
    </row>
    <row r="103" spans="1:40" ht="16.2" customHeight="1">
      <c r="A103" s="138" t="e">
        <f t="array" aca="1" ref="A103" ca="1">IF(OR(COUNTIF(A101,"*1000*"),COUNTIF(A101,"")),"",INDEX(貼り付け用!$A1:$A200,MATCH(A101,貼り付け用!$A1:$A200,0)+2,0))</f>
        <v>#N/A</v>
      </c>
      <c r="B103" s="91" t="str">
        <f ca="1">IFERROR(VALUE(IF(VLOOKUP($A103,数出表_Excel!$A$6:$T$150,COLUMN()/2+1,FALSE)=0,"",VLOOKUP($A103,数出表_Excel!$A$6:$T$150,COLUMN()/2+1,FALSE))),"")</f>
        <v/>
      </c>
      <c r="C103" s="91"/>
      <c r="D103" s="91" t="str">
        <f ca="1">IFERROR(VALUE(IF(VLOOKUP($A103,数出表_Excel!$A$6:$T$150,COLUMN()/2+1,FALSE)=0,"",VLOOKUP($A103,数出表_Excel!$A$6:$T$150,COLUMN()/2+1,FALSE))),"")</f>
        <v/>
      </c>
      <c r="E103" s="91"/>
      <c r="F103" s="95" t="str">
        <f ca="1">IFERROR(VALUE(IF(VLOOKUP($A103,数出表_Excel!$A$6:$T$150,COLUMN()/2+1,FALSE)=0,"",VLOOKUP($A103,数出表_Excel!$A$6:$T$150,COLUMN()/2+1,FALSE))),"")</f>
        <v/>
      </c>
      <c r="G103" s="91"/>
      <c r="H103" s="91" t="str">
        <f ca="1">IFERROR(VALUE(IF(VLOOKUP($A103,数出表_Excel!$A$6:$T$150,COLUMN()/2+1,FALSE)=0,"",VLOOKUP($A103,数出表_Excel!$A$6:$T$150,COLUMN()/2+1,FALSE))),"")</f>
        <v/>
      </c>
      <c r="I103" s="91"/>
      <c r="J103" s="91" t="str">
        <f ca="1">IFERROR(VALUE(IF(VLOOKUP($A103,数出表_Excel!$A$6:$T$150,COLUMN()/2+1,FALSE)=0,"",VLOOKUP($A103,数出表_Excel!$A$6:$T$150,COLUMN()/2+1,FALSE))),"")</f>
        <v/>
      </c>
      <c r="K103" s="91"/>
      <c r="L103" s="95" t="str">
        <f ca="1">IFERROR(VALUE(IF(VLOOKUP($A103,数出表_Excel!$A$6:$T$150,COLUMN()/2+1,FALSE)=0,"",VLOOKUP($A103,数出表_Excel!$A$6:$T$150,COLUMN()/2+1,FALSE))),"")</f>
        <v/>
      </c>
      <c r="M103" s="91"/>
      <c r="N103" s="91" t="str">
        <f ca="1">IFERROR(VALUE(IF(VLOOKUP($A103,数出表_Excel!$A$6:$T$150,COLUMN()/2+1,FALSE)=0,"",VLOOKUP($A103,数出表_Excel!$A$6:$T$150,COLUMN()/2+1,FALSE))),"")</f>
        <v/>
      </c>
      <c r="O103" s="91"/>
      <c r="P103" s="91" t="str">
        <f ca="1">IFERROR(VALUE(IF(VLOOKUP($A103,数出表_Excel!$A$6:$T$150,COLUMN()/2+1,FALSE)=0,"",VLOOKUP($A103,数出表_Excel!$A$6:$T$150,COLUMN()/2+1,FALSE))),"")</f>
        <v/>
      </c>
      <c r="Q103" s="91"/>
      <c r="R103" s="91" t="str">
        <f ca="1">IFERROR(VALUE(IF(VLOOKUP($A103,数出表_Excel!$A$6:$T$150,COLUMN()/2+1,FALSE)=0,"",VLOOKUP($A103,数出表_Excel!$A$6:$T$150,COLUMN()/2+1,FALSE))),"")</f>
        <v/>
      </c>
      <c r="S103" s="91"/>
      <c r="T103" s="91" t="str">
        <f ca="1">IFERROR(VALUE(IF(VLOOKUP($A103,数出表_Excel!$A$6:$T$150,COLUMN()/2+1,FALSE)=0,"",VLOOKUP($A103,数出表_Excel!$A$6:$T$150,COLUMN()/2+1,FALSE))),"")</f>
        <v/>
      </c>
      <c r="U103" s="91"/>
      <c r="V103" s="95" t="str">
        <f ca="1">IFERROR(VALUE(IF(VLOOKUP($A103,数出表_Excel!$A$6:$T$150,COLUMN()/2+1,FALSE)=0,"",VLOOKUP($A103,数出表_Excel!$A$6:$T$150,COLUMN()/2+1,FALSE))),"")</f>
        <v/>
      </c>
      <c r="W103" s="91"/>
      <c r="X103" s="95" t="str">
        <f ca="1">IFERROR(VALUE(IF(VLOOKUP($A103,数出表_Excel!$A$6:$T$150,COLUMN()/2+1,FALSE)=0,"",VLOOKUP($A103,数出表_Excel!$A$6:$T$150,COLUMN()/2+1,FALSE))),"")</f>
        <v/>
      </c>
      <c r="Y103" s="91"/>
      <c r="Z103" s="95" t="str">
        <f ca="1">IFERROR(VALUE(IF(VLOOKUP($A103,数出表_Excel!$A$6:$T$150,COLUMN()/2+1,FALSE)=0,"",VLOOKUP($A103,数出表_Excel!$A$6:$T$150,COLUMN()/2+1,FALSE))),"")</f>
        <v/>
      </c>
      <c r="AA103" s="129"/>
      <c r="AB103" s="96" t="str">
        <f ca="1">IFERROR(VALUE(IF(VLOOKUP($A103,数出表_Excel!$A$6:$T$150,COLUMN()/2+1,FALSE)=0,"",VLOOKUP($A103,数出表_Excel!$A$6:$T$150,COLUMN()/2+1,FALSE))),"")</f>
        <v/>
      </c>
      <c r="AC103" s="91"/>
      <c r="AD103" s="95" t="str">
        <f ca="1">IFERROR(VALUE(IF(VLOOKUP($A103,数出表_Excel!$A$6:$T$150,COLUMN()/2+1,FALSE)=0,"",VLOOKUP($A103,数出表_Excel!$A$6:$T$150,COLUMN()/2+1,FALSE))),"")</f>
        <v/>
      </c>
      <c r="AE103" s="91"/>
      <c r="AF103" s="95" t="str">
        <f ca="1">IFERROR(VALUE(IF(VLOOKUP($A103,数出表_Excel!$A$6:$T$150,COLUMN()/2+1,FALSE)=0,"",VLOOKUP($A103,数出表_Excel!$A$6:$T$150,COLUMN()/2+1,FALSE))),"")</f>
        <v/>
      </c>
      <c r="AG103" s="91"/>
      <c r="AH103" s="95" t="str">
        <f ca="1">IFERROR(VALUE(IF(VLOOKUP($A103,数出表_Excel!$A$6:$T$150,COLUMN()/2+1,FALSE)=0,"",VLOOKUP($A103,数出表_Excel!$A$6:$T$150,COLUMN()/2+1,FALSE))),"")</f>
        <v/>
      </c>
      <c r="AI103" s="129"/>
      <c r="AJ103" s="96" t="str">
        <f ca="1">IFERROR(VALUE(IF(VLOOKUP($A103,数出表_Excel!$A$6:$T$150,COLUMN()/2+1,FALSE)=0,"",VLOOKUP($A103,数出表_Excel!$A$6:$T$150,COLUMN()/2+1,FALSE))),"")</f>
        <v/>
      </c>
      <c r="AK103" s="91"/>
      <c r="AL103" s="97" t="e">
        <f ca="1">IF(A103&lt;&gt;"",
IF(VLOOKUP($A103,数出表_Excel!$A$6:$T$150,COLUMN()/2+1,FALSE)=0,"",VLOOKUP($A103,数出表_Excel!$A$6:$T$150,COLUMN()/2+1,FALSE)),"")</f>
        <v>#N/A</v>
      </c>
      <c r="AM103" s="177" t="e">
        <f>数出表_Excel!V103</f>
        <v>#N/A</v>
      </c>
      <c r="AN103" s="178" t="e">
        <f>数出表_Excel!W103</f>
        <v>#N/A</v>
      </c>
    </row>
    <row r="104" spans="1:40" ht="16.2" customHeight="1">
      <c r="A104" s="137" t="e">
        <f t="array" aca="1" ref="A104" ca="1">IF(OR(COUNTIF(A102,"*10002*"),COUNTIF(A102,"")),"",INDEX(貼り付け用!$A1:$A200,MATCH(A102,貼り付け用!$A1:$A200,0)+2,0))</f>
        <v>#N/A</v>
      </c>
      <c r="B104" s="125" t="str">
        <f ca="1">IFERROR(VALUE(IF(VLOOKUP($A104,数出表_Excel!$A$6:$T$150,COLUMN()/2+1,FALSE)=0,"",VLOOKUP($A104,数出表_Excel!$A$6:$T$150,COLUMN()/2+1,FALSE))),"")</f>
        <v/>
      </c>
      <c r="C104" s="90"/>
      <c r="D104" s="125" t="str">
        <f ca="1">IFERROR(VALUE(IF(VLOOKUP($A104,数出表_Excel!$A$6:$T$150,COLUMN()/2+1,FALSE)=0,"",VLOOKUP($A104,数出表_Excel!$A$6:$T$150,COLUMN()/2+1,FALSE))),"")</f>
        <v/>
      </c>
      <c r="E104" s="90"/>
      <c r="F104" s="127" t="str">
        <f ca="1">IFERROR(VALUE(IF(VLOOKUP($A104,数出表_Excel!$A$6:$T$150,COLUMN()/2+1,FALSE)=0,"",VLOOKUP($A104,数出表_Excel!$A$6:$T$150,COLUMN()/2+1,FALSE))),"")</f>
        <v/>
      </c>
      <c r="G104" s="90"/>
      <c r="H104" s="125" t="str">
        <f ca="1">IFERROR(VALUE(IF(VLOOKUP($A104,数出表_Excel!$A$6:$T$150,COLUMN()/2+1,FALSE)=0,"",VLOOKUP($A104,数出表_Excel!$A$6:$T$150,COLUMN()/2+1,FALSE))),"")</f>
        <v/>
      </c>
      <c r="I104" s="90"/>
      <c r="J104" s="125" t="str">
        <f ca="1">IFERROR(VALUE(IF(VLOOKUP($A104,数出表_Excel!$A$6:$T$150,COLUMN()/2+1,FALSE)=0,"",VLOOKUP($A104,数出表_Excel!$A$6:$T$150,COLUMN()/2+1,FALSE))),"")</f>
        <v/>
      </c>
      <c r="K104" s="90"/>
      <c r="L104" s="127" t="str">
        <f ca="1">IFERROR(VALUE(IF(VLOOKUP($A104,数出表_Excel!$A$6:$T$150,COLUMN()/2+1,FALSE)=0,"",VLOOKUP($A104,数出表_Excel!$A$6:$T$150,COLUMN()/2+1,FALSE))),"")</f>
        <v/>
      </c>
      <c r="M104" s="90"/>
      <c r="N104" s="125" t="str">
        <f ca="1">IFERROR(VALUE(IF(VLOOKUP($A104,数出表_Excel!$A$6:$T$150,COLUMN()/2+1,FALSE)=0,"",VLOOKUP($A104,数出表_Excel!$A$6:$T$150,COLUMN()/2+1,FALSE))),"")</f>
        <v/>
      </c>
      <c r="O104" s="90"/>
      <c r="P104" s="125" t="str">
        <f ca="1">IFERROR(VALUE(IF(VLOOKUP($A104,数出表_Excel!$A$6:$T$150,COLUMN()/2+1,FALSE)=0,"",VLOOKUP($A104,数出表_Excel!$A$6:$T$150,COLUMN()/2+1,FALSE))),"")</f>
        <v/>
      </c>
      <c r="Q104" s="90"/>
      <c r="R104" s="125" t="str">
        <f ca="1">IFERROR(VALUE(IF(VLOOKUP($A104,数出表_Excel!$A$6:$T$150,COLUMN()/2+1,FALSE)=0,"",VLOOKUP($A104,数出表_Excel!$A$6:$T$150,COLUMN()/2+1,FALSE))),"")</f>
        <v/>
      </c>
      <c r="S104" s="90"/>
      <c r="T104" s="125" t="str">
        <f ca="1">IFERROR(VALUE(IF(VLOOKUP($A104,数出表_Excel!$A$6:$T$150,COLUMN()/2+1,FALSE)=0,"",VLOOKUP($A104,数出表_Excel!$A$6:$T$150,COLUMN()/2+1,FALSE))),"")</f>
        <v/>
      </c>
      <c r="U104" s="90"/>
      <c r="V104" s="127" t="str">
        <f ca="1">IFERROR(VALUE(IF(VLOOKUP($A104,数出表_Excel!$A$6:$T$150,COLUMN()/2+1,FALSE)=0,"",VLOOKUP($A104,数出表_Excel!$A$6:$T$150,COLUMN()/2+1,FALSE))),"")</f>
        <v/>
      </c>
      <c r="W104" s="90"/>
      <c r="X104" s="127" t="str">
        <f ca="1">IFERROR(VALUE(IF(VLOOKUP($A104,数出表_Excel!$A$6:$T$150,COLUMN()/2+1,FALSE)=0,"",VLOOKUP($A104,数出表_Excel!$A$6:$T$150,COLUMN()/2+1,FALSE))),"")</f>
        <v/>
      </c>
      <c r="Y104" s="90"/>
      <c r="Z104" s="127" t="str">
        <f ca="1">IFERROR(VALUE(IF(VLOOKUP($A104,数出表_Excel!$A$6:$T$150,COLUMN()/2+1,FALSE)=0,"",VLOOKUP($A104,数出表_Excel!$A$6:$T$150,COLUMN()/2+1,FALSE))),"")</f>
        <v/>
      </c>
      <c r="AA104" s="128"/>
      <c r="AB104" s="126" t="str">
        <f ca="1">IFERROR(VALUE(IF(VLOOKUP($A104,数出表_Excel!$A$6:$T$150,COLUMN()/2+1,FALSE)=0,"",VLOOKUP($A104,数出表_Excel!$A$6:$T$150,COLUMN()/2+1,FALSE))),"")</f>
        <v/>
      </c>
      <c r="AC104" s="90"/>
      <c r="AD104" s="127" t="str">
        <f ca="1">IFERROR(VALUE(IF(VLOOKUP($A104,数出表_Excel!$A$6:$T$150,COLUMN()/2+1,FALSE)=0,"",VLOOKUP($A104,数出表_Excel!$A$6:$T$150,COLUMN()/2+1,FALSE))),"")</f>
        <v/>
      </c>
      <c r="AE104" s="90"/>
      <c r="AF104" s="127" t="str">
        <f ca="1">IFERROR(VALUE(IF(VLOOKUP($A104,数出表_Excel!$A$6:$T$150,COLUMN()/2+1,FALSE)=0,"",VLOOKUP($A104,数出表_Excel!$A$6:$T$150,COLUMN()/2+1,FALSE))),"")</f>
        <v/>
      </c>
      <c r="AG104" s="90"/>
      <c r="AH104" s="127" t="str">
        <f ca="1">IFERROR(VALUE(IF(VLOOKUP($A104,数出表_Excel!$A$6:$T$150,COLUMN()/2+1,FALSE)=0,"",VLOOKUP($A104,数出表_Excel!$A$6:$T$150,COLUMN()/2+1,FALSE))),"")</f>
        <v/>
      </c>
      <c r="AI104" s="128"/>
      <c r="AJ104" s="126" t="str">
        <f ca="1">IFERROR(VALUE(IF(VLOOKUP($A104,数出表_Excel!$A$6:$T$150,COLUMN()/2+1,FALSE)=0,"",VLOOKUP($A104,数出表_Excel!$A$6:$T$150,COLUMN()/2+1,FALSE))),"")</f>
        <v/>
      </c>
      <c r="AK104" s="90"/>
      <c r="AL104" s="94" t="e">
        <f ca="1">IF(A104&lt;&gt;"",
IF(VLOOKUP($A104,数出表_Excel!$A$6:$T$150,COLUMN()/2+1,FALSE)=0,"",VLOOKUP($A104,数出表_Excel!$A$6:$T$150,COLUMN()/2+1,FALSE)),"")</f>
        <v>#N/A</v>
      </c>
      <c r="AM104" s="175" t="e">
        <f>数出表_Excel!V104</f>
        <v>#N/A</v>
      </c>
      <c r="AN104" s="176" t="e">
        <f>数出表_Excel!W104</f>
        <v>#N/A</v>
      </c>
    </row>
    <row r="105" spans="1:40" ht="16.2" customHeight="1">
      <c r="A105" s="138" t="e">
        <f t="array" aca="1" ref="A105" ca="1">IF(OR(COUNTIF(A103,"*1000*"),COUNTIF(A103,"")),"",INDEX(貼り付け用!$A1:$A200,MATCH(A103,貼り付け用!$A1:$A200,0)+2,0))</f>
        <v>#N/A</v>
      </c>
      <c r="B105" s="91" t="str">
        <f ca="1">IFERROR(VALUE(IF(VLOOKUP($A105,数出表_Excel!$A$6:$T$150,COLUMN()/2+1,FALSE)=0,"",VLOOKUP($A105,数出表_Excel!$A$6:$T$150,COLUMN()/2+1,FALSE))),"")</f>
        <v/>
      </c>
      <c r="C105" s="91"/>
      <c r="D105" s="91" t="str">
        <f ca="1">IFERROR(VALUE(IF(VLOOKUP($A105,数出表_Excel!$A$6:$T$150,COLUMN()/2+1,FALSE)=0,"",VLOOKUP($A105,数出表_Excel!$A$6:$T$150,COLUMN()/2+1,FALSE))),"")</f>
        <v/>
      </c>
      <c r="E105" s="91"/>
      <c r="F105" s="95" t="str">
        <f ca="1">IFERROR(VALUE(IF(VLOOKUP($A105,数出表_Excel!$A$6:$T$150,COLUMN()/2+1,FALSE)=0,"",VLOOKUP($A105,数出表_Excel!$A$6:$T$150,COLUMN()/2+1,FALSE))),"")</f>
        <v/>
      </c>
      <c r="G105" s="91"/>
      <c r="H105" s="91" t="str">
        <f ca="1">IFERROR(VALUE(IF(VLOOKUP($A105,数出表_Excel!$A$6:$T$150,COLUMN()/2+1,FALSE)=0,"",VLOOKUP($A105,数出表_Excel!$A$6:$T$150,COLUMN()/2+1,FALSE))),"")</f>
        <v/>
      </c>
      <c r="I105" s="91"/>
      <c r="J105" s="91" t="str">
        <f ca="1">IFERROR(VALUE(IF(VLOOKUP($A105,数出表_Excel!$A$6:$T$150,COLUMN()/2+1,FALSE)=0,"",VLOOKUP($A105,数出表_Excel!$A$6:$T$150,COLUMN()/2+1,FALSE))),"")</f>
        <v/>
      </c>
      <c r="K105" s="91"/>
      <c r="L105" s="95" t="str">
        <f ca="1">IFERROR(VALUE(IF(VLOOKUP($A105,数出表_Excel!$A$6:$T$150,COLUMN()/2+1,FALSE)=0,"",VLOOKUP($A105,数出表_Excel!$A$6:$T$150,COLUMN()/2+1,FALSE))),"")</f>
        <v/>
      </c>
      <c r="M105" s="91"/>
      <c r="N105" s="91" t="str">
        <f ca="1">IFERROR(VALUE(IF(VLOOKUP($A105,数出表_Excel!$A$6:$T$150,COLUMN()/2+1,FALSE)=0,"",VLOOKUP($A105,数出表_Excel!$A$6:$T$150,COLUMN()/2+1,FALSE))),"")</f>
        <v/>
      </c>
      <c r="O105" s="91"/>
      <c r="P105" s="91" t="str">
        <f ca="1">IFERROR(VALUE(IF(VLOOKUP($A105,数出表_Excel!$A$6:$T$150,COLUMN()/2+1,FALSE)=0,"",VLOOKUP($A105,数出表_Excel!$A$6:$T$150,COLUMN()/2+1,FALSE))),"")</f>
        <v/>
      </c>
      <c r="Q105" s="91"/>
      <c r="R105" s="91" t="str">
        <f ca="1">IFERROR(VALUE(IF(VLOOKUP($A105,数出表_Excel!$A$6:$T$150,COLUMN()/2+1,FALSE)=0,"",VLOOKUP($A105,数出表_Excel!$A$6:$T$150,COLUMN()/2+1,FALSE))),"")</f>
        <v/>
      </c>
      <c r="S105" s="91"/>
      <c r="T105" s="91" t="str">
        <f ca="1">IFERROR(VALUE(IF(VLOOKUP($A105,数出表_Excel!$A$6:$T$150,COLUMN()/2+1,FALSE)=0,"",VLOOKUP($A105,数出表_Excel!$A$6:$T$150,COLUMN()/2+1,FALSE))),"")</f>
        <v/>
      </c>
      <c r="U105" s="91"/>
      <c r="V105" s="95" t="str">
        <f ca="1">IFERROR(VALUE(IF(VLOOKUP($A105,数出表_Excel!$A$6:$T$150,COLUMN()/2+1,FALSE)=0,"",VLOOKUP($A105,数出表_Excel!$A$6:$T$150,COLUMN()/2+1,FALSE))),"")</f>
        <v/>
      </c>
      <c r="W105" s="91"/>
      <c r="X105" s="95" t="str">
        <f ca="1">IFERROR(VALUE(IF(VLOOKUP($A105,数出表_Excel!$A$6:$T$150,COLUMN()/2+1,FALSE)=0,"",VLOOKUP($A105,数出表_Excel!$A$6:$T$150,COLUMN()/2+1,FALSE))),"")</f>
        <v/>
      </c>
      <c r="Y105" s="91"/>
      <c r="Z105" s="95" t="str">
        <f ca="1">IFERROR(VALUE(IF(VLOOKUP($A105,数出表_Excel!$A$6:$T$150,COLUMN()/2+1,FALSE)=0,"",VLOOKUP($A105,数出表_Excel!$A$6:$T$150,COLUMN()/2+1,FALSE))),"")</f>
        <v/>
      </c>
      <c r="AA105" s="129"/>
      <c r="AB105" s="96" t="str">
        <f ca="1">IFERROR(VALUE(IF(VLOOKUP($A105,数出表_Excel!$A$6:$T$150,COLUMN()/2+1,FALSE)=0,"",VLOOKUP($A105,数出表_Excel!$A$6:$T$150,COLUMN()/2+1,FALSE))),"")</f>
        <v/>
      </c>
      <c r="AC105" s="91"/>
      <c r="AD105" s="95" t="str">
        <f ca="1">IFERROR(VALUE(IF(VLOOKUP($A105,数出表_Excel!$A$6:$T$150,COLUMN()/2+1,FALSE)=0,"",VLOOKUP($A105,数出表_Excel!$A$6:$T$150,COLUMN()/2+1,FALSE))),"")</f>
        <v/>
      </c>
      <c r="AE105" s="91"/>
      <c r="AF105" s="95" t="str">
        <f ca="1">IFERROR(VALUE(IF(VLOOKUP($A105,数出表_Excel!$A$6:$T$150,COLUMN()/2+1,FALSE)=0,"",VLOOKUP($A105,数出表_Excel!$A$6:$T$150,COLUMN()/2+1,FALSE))),"")</f>
        <v/>
      </c>
      <c r="AG105" s="91"/>
      <c r="AH105" s="95" t="str">
        <f ca="1">IFERROR(VALUE(IF(VLOOKUP($A105,数出表_Excel!$A$6:$T$150,COLUMN()/2+1,FALSE)=0,"",VLOOKUP($A105,数出表_Excel!$A$6:$T$150,COLUMN()/2+1,FALSE))),"")</f>
        <v/>
      </c>
      <c r="AI105" s="129"/>
      <c r="AJ105" s="96" t="str">
        <f ca="1">IFERROR(VALUE(IF(VLOOKUP($A105,数出表_Excel!$A$6:$T$150,COLUMN()/2+1,FALSE)=0,"",VLOOKUP($A105,数出表_Excel!$A$6:$T$150,COLUMN()/2+1,FALSE))),"")</f>
        <v/>
      </c>
      <c r="AK105" s="91"/>
      <c r="AL105" s="97" t="e">
        <f ca="1">IF(A105&lt;&gt;"",
IF(VLOOKUP($A105,数出表_Excel!$A$6:$T$150,COLUMN()/2+1,FALSE)=0,"",VLOOKUP($A105,数出表_Excel!$A$6:$T$150,COLUMN()/2+1,FALSE)),"")</f>
        <v>#N/A</v>
      </c>
      <c r="AM105" s="177" t="e">
        <f>数出表_Excel!V105</f>
        <v>#N/A</v>
      </c>
      <c r="AN105" s="178" t="e">
        <f>数出表_Excel!W105</f>
        <v>#N/A</v>
      </c>
    </row>
    <row r="106" spans="1:40" ht="16.2" customHeight="1">
      <c r="A106" s="137" t="e">
        <f t="array" aca="1" ref="A106" ca="1">IF(OR(COUNTIF(A104,"*10002*"),COUNTIF(A104,"")),"",INDEX(貼り付け用!$A1:$A200,MATCH(A104,貼り付け用!$A1:$A200,0)+2,0))</f>
        <v>#N/A</v>
      </c>
      <c r="B106" s="125" t="str">
        <f ca="1">IFERROR(VALUE(IF(VLOOKUP($A106,数出表_Excel!$A$6:$T$150,COLUMN()/2+1,FALSE)=0,"",VLOOKUP($A106,数出表_Excel!$A$6:$T$150,COLUMN()/2+1,FALSE))),"")</f>
        <v/>
      </c>
      <c r="C106" s="90"/>
      <c r="D106" s="125" t="str">
        <f ca="1">IFERROR(VALUE(IF(VLOOKUP($A106,数出表_Excel!$A$6:$T$150,COLUMN()/2+1,FALSE)=0,"",VLOOKUP($A106,数出表_Excel!$A$6:$T$150,COLUMN()/2+1,FALSE))),"")</f>
        <v/>
      </c>
      <c r="E106" s="90"/>
      <c r="F106" s="127" t="str">
        <f ca="1">IFERROR(VALUE(IF(VLOOKUP($A106,数出表_Excel!$A$6:$T$150,COLUMN()/2+1,FALSE)=0,"",VLOOKUP($A106,数出表_Excel!$A$6:$T$150,COLUMN()/2+1,FALSE))),"")</f>
        <v/>
      </c>
      <c r="G106" s="90"/>
      <c r="H106" s="125" t="str">
        <f ca="1">IFERROR(VALUE(IF(VLOOKUP($A106,数出表_Excel!$A$6:$T$150,COLUMN()/2+1,FALSE)=0,"",VLOOKUP($A106,数出表_Excel!$A$6:$T$150,COLUMN()/2+1,FALSE))),"")</f>
        <v/>
      </c>
      <c r="I106" s="90"/>
      <c r="J106" s="125" t="str">
        <f ca="1">IFERROR(VALUE(IF(VLOOKUP($A106,数出表_Excel!$A$6:$T$150,COLUMN()/2+1,FALSE)=0,"",VLOOKUP($A106,数出表_Excel!$A$6:$T$150,COLUMN()/2+1,FALSE))),"")</f>
        <v/>
      </c>
      <c r="K106" s="90"/>
      <c r="L106" s="127" t="str">
        <f ca="1">IFERROR(VALUE(IF(VLOOKUP($A106,数出表_Excel!$A$6:$T$150,COLUMN()/2+1,FALSE)=0,"",VLOOKUP($A106,数出表_Excel!$A$6:$T$150,COLUMN()/2+1,FALSE))),"")</f>
        <v/>
      </c>
      <c r="M106" s="90"/>
      <c r="N106" s="125" t="str">
        <f ca="1">IFERROR(VALUE(IF(VLOOKUP($A106,数出表_Excel!$A$6:$T$150,COLUMN()/2+1,FALSE)=0,"",VLOOKUP($A106,数出表_Excel!$A$6:$T$150,COLUMN()/2+1,FALSE))),"")</f>
        <v/>
      </c>
      <c r="O106" s="90"/>
      <c r="P106" s="125" t="str">
        <f ca="1">IFERROR(VALUE(IF(VLOOKUP($A106,数出表_Excel!$A$6:$T$150,COLUMN()/2+1,FALSE)=0,"",VLOOKUP($A106,数出表_Excel!$A$6:$T$150,COLUMN()/2+1,FALSE))),"")</f>
        <v/>
      </c>
      <c r="Q106" s="90"/>
      <c r="R106" s="125" t="str">
        <f ca="1">IFERROR(VALUE(IF(VLOOKUP($A106,数出表_Excel!$A$6:$T$150,COLUMN()/2+1,FALSE)=0,"",VLOOKUP($A106,数出表_Excel!$A$6:$T$150,COLUMN()/2+1,FALSE))),"")</f>
        <v/>
      </c>
      <c r="S106" s="90"/>
      <c r="T106" s="125" t="str">
        <f ca="1">IFERROR(VALUE(IF(VLOOKUP($A106,数出表_Excel!$A$6:$T$150,COLUMN()/2+1,FALSE)=0,"",VLOOKUP($A106,数出表_Excel!$A$6:$T$150,COLUMN()/2+1,FALSE))),"")</f>
        <v/>
      </c>
      <c r="U106" s="90"/>
      <c r="V106" s="127" t="str">
        <f ca="1">IFERROR(VALUE(IF(VLOOKUP($A106,数出表_Excel!$A$6:$T$150,COLUMN()/2+1,FALSE)=0,"",VLOOKUP($A106,数出表_Excel!$A$6:$T$150,COLUMN()/2+1,FALSE))),"")</f>
        <v/>
      </c>
      <c r="W106" s="90"/>
      <c r="X106" s="127" t="str">
        <f ca="1">IFERROR(VALUE(IF(VLOOKUP($A106,数出表_Excel!$A$6:$T$150,COLUMN()/2+1,FALSE)=0,"",VLOOKUP($A106,数出表_Excel!$A$6:$T$150,COLUMN()/2+1,FALSE))),"")</f>
        <v/>
      </c>
      <c r="Y106" s="90"/>
      <c r="Z106" s="127" t="str">
        <f ca="1">IFERROR(VALUE(IF(VLOOKUP($A106,数出表_Excel!$A$6:$T$150,COLUMN()/2+1,FALSE)=0,"",VLOOKUP($A106,数出表_Excel!$A$6:$T$150,COLUMN()/2+1,FALSE))),"")</f>
        <v/>
      </c>
      <c r="AA106" s="128"/>
      <c r="AB106" s="126" t="str">
        <f ca="1">IFERROR(VALUE(IF(VLOOKUP($A106,数出表_Excel!$A$6:$T$150,COLUMN()/2+1,FALSE)=0,"",VLOOKUP($A106,数出表_Excel!$A$6:$T$150,COLUMN()/2+1,FALSE))),"")</f>
        <v/>
      </c>
      <c r="AC106" s="90"/>
      <c r="AD106" s="127" t="str">
        <f ca="1">IFERROR(VALUE(IF(VLOOKUP($A106,数出表_Excel!$A$6:$T$150,COLUMN()/2+1,FALSE)=0,"",VLOOKUP($A106,数出表_Excel!$A$6:$T$150,COLUMN()/2+1,FALSE))),"")</f>
        <v/>
      </c>
      <c r="AE106" s="90"/>
      <c r="AF106" s="127" t="str">
        <f ca="1">IFERROR(VALUE(IF(VLOOKUP($A106,数出表_Excel!$A$6:$T$150,COLUMN()/2+1,FALSE)=0,"",VLOOKUP($A106,数出表_Excel!$A$6:$T$150,COLUMN()/2+1,FALSE))),"")</f>
        <v/>
      </c>
      <c r="AG106" s="90"/>
      <c r="AH106" s="127" t="str">
        <f ca="1">IFERROR(VALUE(IF(VLOOKUP($A106,数出表_Excel!$A$6:$T$150,COLUMN()/2+1,FALSE)=0,"",VLOOKUP($A106,数出表_Excel!$A$6:$T$150,COLUMN()/2+1,FALSE))),"")</f>
        <v/>
      </c>
      <c r="AI106" s="128"/>
      <c r="AJ106" s="126" t="str">
        <f ca="1">IFERROR(VALUE(IF(VLOOKUP($A106,数出表_Excel!$A$6:$T$150,COLUMN()/2+1,FALSE)=0,"",VLOOKUP($A106,数出表_Excel!$A$6:$T$150,COLUMN()/2+1,FALSE))),"")</f>
        <v/>
      </c>
      <c r="AK106" s="90"/>
      <c r="AL106" s="94" t="e">
        <f ca="1">IF(A106&lt;&gt;"",
IF(VLOOKUP($A106,数出表_Excel!$A$6:$T$150,COLUMN()/2+1,FALSE)=0,"",VLOOKUP($A106,数出表_Excel!$A$6:$T$150,COLUMN()/2+1,FALSE)),"")</f>
        <v>#N/A</v>
      </c>
      <c r="AM106" s="175" t="e">
        <f>数出表_Excel!V106</f>
        <v>#N/A</v>
      </c>
      <c r="AN106" s="176" t="e">
        <f>数出表_Excel!W106</f>
        <v>#N/A</v>
      </c>
    </row>
    <row r="107" spans="1:40" ht="16.2" customHeight="1">
      <c r="A107" s="138" t="e">
        <f t="array" aca="1" ref="A107" ca="1">IF(OR(COUNTIF(A105,"*1000*"),COUNTIF(A105,"")),"",INDEX(貼り付け用!$A1:$A200,MATCH(A105,貼り付け用!$A1:$A200,0)+2,0))</f>
        <v>#N/A</v>
      </c>
      <c r="B107" s="91" t="str">
        <f ca="1">IFERROR(VALUE(IF(VLOOKUP($A107,数出表_Excel!$A$6:$T$150,COLUMN()/2+1,FALSE)=0,"",VLOOKUP($A107,数出表_Excel!$A$6:$T$150,COLUMN()/2+1,FALSE))),"")</f>
        <v/>
      </c>
      <c r="C107" s="91"/>
      <c r="D107" s="91" t="str">
        <f ca="1">IFERROR(VALUE(IF(VLOOKUP($A107,数出表_Excel!$A$6:$T$150,COLUMN()/2+1,FALSE)=0,"",VLOOKUP($A107,数出表_Excel!$A$6:$T$150,COLUMN()/2+1,FALSE))),"")</f>
        <v/>
      </c>
      <c r="E107" s="91"/>
      <c r="F107" s="95" t="str">
        <f ca="1">IFERROR(VALUE(IF(VLOOKUP($A107,数出表_Excel!$A$6:$T$150,COLUMN()/2+1,FALSE)=0,"",VLOOKUP($A107,数出表_Excel!$A$6:$T$150,COLUMN()/2+1,FALSE))),"")</f>
        <v/>
      </c>
      <c r="G107" s="91"/>
      <c r="H107" s="91" t="str">
        <f ca="1">IFERROR(VALUE(IF(VLOOKUP($A107,数出表_Excel!$A$6:$T$150,COLUMN()/2+1,FALSE)=0,"",VLOOKUP($A107,数出表_Excel!$A$6:$T$150,COLUMN()/2+1,FALSE))),"")</f>
        <v/>
      </c>
      <c r="I107" s="91"/>
      <c r="J107" s="91" t="str">
        <f ca="1">IFERROR(VALUE(IF(VLOOKUP($A107,数出表_Excel!$A$6:$T$150,COLUMN()/2+1,FALSE)=0,"",VLOOKUP($A107,数出表_Excel!$A$6:$T$150,COLUMN()/2+1,FALSE))),"")</f>
        <v/>
      </c>
      <c r="K107" s="91"/>
      <c r="L107" s="95" t="str">
        <f ca="1">IFERROR(VALUE(IF(VLOOKUP($A107,数出表_Excel!$A$6:$T$150,COLUMN()/2+1,FALSE)=0,"",VLOOKUP($A107,数出表_Excel!$A$6:$T$150,COLUMN()/2+1,FALSE))),"")</f>
        <v/>
      </c>
      <c r="M107" s="91"/>
      <c r="N107" s="91" t="str">
        <f ca="1">IFERROR(VALUE(IF(VLOOKUP($A107,数出表_Excel!$A$6:$T$150,COLUMN()/2+1,FALSE)=0,"",VLOOKUP($A107,数出表_Excel!$A$6:$T$150,COLUMN()/2+1,FALSE))),"")</f>
        <v/>
      </c>
      <c r="O107" s="91"/>
      <c r="P107" s="91" t="str">
        <f ca="1">IFERROR(VALUE(IF(VLOOKUP($A107,数出表_Excel!$A$6:$T$150,COLUMN()/2+1,FALSE)=0,"",VLOOKUP($A107,数出表_Excel!$A$6:$T$150,COLUMN()/2+1,FALSE))),"")</f>
        <v/>
      </c>
      <c r="Q107" s="91"/>
      <c r="R107" s="91" t="str">
        <f ca="1">IFERROR(VALUE(IF(VLOOKUP($A107,数出表_Excel!$A$6:$T$150,COLUMN()/2+1,FALSE)=0,"",VLOOKUP($A107,数出表_Excel!$A$6:$T$150,COLUMN()/2+1,FALSE))),"")</f>
        <v/>
      </c>
      <c r="S107" s="91"/>
      <c r="T107" s="91" t="str">
        <f ca="1">IFERROR(VALUE(IF(VLOOKUP($A107,数出表_Excel!$A$6:$T$150,COLUMN()/2+1,FALSE)=0,"",VLOOKUP($A107,数出表_Excel!$A$6:$T$150,COLUMN()/2+1,FALSE))),"")</f>
        <v/>
      </c>
      <c r="U107" s="91"/>
      <c r="V107" s="95" t="str">
        <f ca="1">IFERROR(VALUE(IF(VLOOKUP($A107,数出表_Excel!$A$6:$T$150,COLUMN()/2+1,FALSE)=0,"",VLOOKUP($A107,数出表_Excel!$A$6:$T$150,COLUMN()/2+1,FALSE))),"")</f>
        <v/>
      </c>
      <c r="W107" s="91"/>
      <c r="X107" s="95" t="str">
        <f ca="1">IFERROR(VALUE(IF(VLOOKUP($A107,数出表_Excel!$A$6:$T$150,COLUMN()/2+1,FALSE)=0,"",VLOOKUP($A107,数出表_Excel!$A$6:$T$150,COLUMN()/2+1,FALSE))),"")</f>
        <v/>
      </c>
      <c r="Y107" s="91"/>
      <c r="Z107" s="95" t="str">
        <f ca="1">IFERROR(VALUE(IF(VLOOKUP($A107,数出表_Excel!$A$6:$T$150,COLUMN()/2+1,FALSE)=0,"",VLOOKUP($A107,数出表_Excel!$A$6:$T$150,COLUMN()/2+1,FALSE))),"")</f>
        <v/>
      </c>
      <c r="AA107" s="129"/>
      <c r="AB107" s="96" t="str">
        <f ca="1">IFERROR(VALUE(IF(VLOOKUP($A107,数出表_Excel!$A$6:$T$150,COLUMN()/2+1,FALSE)=0,"",VLOOKUP($A107,数出表_Excel!$A$6:$T$150,COLUMN()/2+1,FALSE))),"")</f>
        <v/>
      </c>
      <c r="AC107" s="91"/>
      <c r="AD107" s="95" t="str">
        <f ca="1">IFERROR(VALUE(IF(VLOOKUP($A107,数出表_Excel!$A$6:$T$150,COLUMN()/2+1,FALSE)=0,"",VLOOKUP($A107,数出表_Excel!$A$6:$T$150,COLUMN()/2+1,FALSE))),"")</f>
        <v/>
      </c>
      <c r="AE107" s="91"/>
      <c r="AF107" s="95" t="str">
        <f ca="1">IFERROR(VALUE(IF(VLOOKUP($A107,数出表_Excel!$A$6:$T$150,COLUMN()/2+1,FALSE)=0,"",VLOOKUP($A107,数出表_Excel!$A$6:$T$150,COLUMN()/2+1,FALSE))),"")</f>
        <v/>
      </c>
      <c r="AG107" s="91"/>
      <c r="AH107" s="95" t="str">
        <f ca="1">IFERROR(VALUE(IF(VLOOKUP($A107,数出表_Excel!$A$6:$T$150,COLUMN()/2+1,FALSE)=0,"",VLOOKUP($A107,数出表_Excel!$A$6:$T$150,COLUMN()/2+1,FALSE))),"")</f>
        <v/>
      </c>
      <c r="AI107" s="129"/>
      <c r="AJ107" s="96" t="str">
        <f ca="1">IFERROR(VALUE(IF(VLOOKUP($A107,数出表_Excel!$A$6:$T$150,COLUMN()/2+1,FALSE)=0,"",VLOOKUP($A107,数出表_Excel!$A$6:$T$150,COLUMN()/2+1,FALSE))),"")</f>
        <v/>
      </c>
      <c r="AK107" s="91"/>
      <c r="AL107" s="97" t="e">
        <f ca="1">IF(A107&lt;&gt;"",
IF(VLOOKUP($A107,数出表_Excel!$A$6:$T$150,COLUMN()/2+1,FALSE)=0,"",VLOOKUP($A107,数出表_Excel!$A$6:$T$150,COLUMN()/2+1,FALSE)),"")</f>
        <v>#N/A</v>
      </c>
      <c r="AM107" s="177" t="e">
        <f>数出表_Excel!V107</f>
        <v>#N/A</v>
      </c>
      <c r="AN107" s="178" t="e">
        <f>数出表_Excel!W107</f>
        <v>#N/A</v>
      </c>
    </row>
    <row r="108" spans="1:40" ht="16.2" customHeight="1">
      <c r="A108" s="137" t="e">
        <f t="array" aca="1" ref="A108" ca="1">IF(OR(COUNTIF(A106,"*10002*"),COUNTIF(A106,"")),"",INDEX(貼り付け用!$A1:$A200,MATCH(A106,貼り付け用!$A1:$A200,0)+2,0))</f>
        <v>#N/A</v>
      </c>
      <c r="B108" s="125" t="str">
        <f ca="1">IFERROR(VALUE(IF(VLOOKUP($A108,数出表_Excel!$A$6:$T$150,COLUMN()/2+1,FALSE)=0,"",VLOOKUP($A108,数出表_Excel!$A$6:$T$150,COLUMN()/2+1,FALSE))),"")</f>
        <v/>
      </c>
      <c r="C108" s="90"/>
      <c r="D108" s="125" t="str">
        <f ca="1">IFERROR(VALUE(IF(VLOOKUP($A108,数出表_Excel!$A$6:$T$150,COLUMN()/2+1,FALSE)=0,"",VLOOKUP($A108,数出表_Excel!$A$6:$T$150,COLUMN()/2+1,FALSE))),"")</f>
        <v/>
      </c>
      <c r="E108" s="90"/>
      <c r="F108" s="127" t="str">
        <f ca="1">IFERROR(VALUE(IF(VLOOKUP($A108,数出表_Excel!$A$6:$T$150,COLUMN()/2+1,FALSE)=0,"",VLOOKUP($A108,数出表_Excel!$A$6:$T$150,COLUMN()/2+1,FALSE))),"")</f>
        <v/>
      </c>
      <c r="G108" s="90"/>
      <c r="H108" s="125" t="str">
        <f ca="1">IFERROR(VALUE(IF(VLOOKUP($A108,数出表_Excel!$A$6:$T$150,COLUMN()/2+1,FALSE)=0,"",VLOOKUP($A108,数出表_Excel!$A$6:$T$150,COLUMN()/2+1,FALSE))),"")</f>
        <v/>
      </c>
      <c r="I108" s="90"/>
      <c r="J108" s="125" t="str">
        <f ca="1">IFERROR(VALUE(IF(VLOOKUP($A108,数出表_Excel!$A$6:$T$150,COLUMN()/2+1,FALSE)=0,"",VLOOKUP($A108,数出表_Excel!$A$6:$T$150,COLUMN()/2+1,FALSE))),"")</f>
        <v/>
      </c>
      <c r="K108" s="90"/>
      <c r="L108" s="127" t="str">
        <f ca="1">IFERROR(VALUE(IF(VLOOKUP($A108,数出表_Excel!$A$6:$T$150,COLUMN()/2+1,FALSE)=0,"",VLOOKUP($A108,数出表_Excel!$A$6:$T$150,COLUMN()/2+1,FALSE))),"")</f>
        <v/>
      </c>
      <c r="M108" s="90"/>
      <c r="N108" s="125" t="str">
        <f ca="1">IFERROR(VALUE(IF(VLOOKUP($A108,数出表_Excel!$A$6:$T$150,COLUMN()/2+1,FALSE)=0,"",VLOOKUP($A108,数出表_Excel!$A$6:$T$150,COLUMN()/2+1,FALSE))),"")</f>
        <v/>
      </c>
      <c r="O108" s="90"/>
      <c r="P108" s="125" t="str">
        <f ca="1">IFERROR(VALUE(IF(VLOOKUP($A108,数出表_Excel!$A$6:$T$150,COLUMN()/2+1,FALSE)=0,"",VLOOKUP($A108,数出表_Excel!$A$6:$T$150,COLUMN()/2+1,FALSE))),"")</f>
        <v/>
      </c>
      <c r="Q108" s="90"/>
      <c r="R108" s="125" t="str">
        <f ca="1">IFERROR(VALUE(IF(VLOOKUP($A108,数出表_Excel!$A$6:$T$150,COLUMN()/2+1,FALSE)=0,"",VLOOKUP($A108,数出表_Excel!$A$6:$T$150,COLUMN()/2+1,FALSE))),"")</f>
        <v/>
      </c>
      <c r="S108" s="90"/>
      <c r="T108" s="125" t="str">
        <f ca="1">IFERROR(VALUE(IF(VLOOKUP($A108,数出表_Excel!$A$6:$T$150,COLUMN()/2+1,FALSE)=0,"",VLOOKUP($A108,数出表_Excel!$A$6:$T$150,COLUMN()/2+1,FALSE))),"")</f>
        <v/>
      </c>
      <c r="U108" s="90"/>
      <c r="V108" s="127" t="str">
        <f ca="1">IFERROR(VALUE(IF(VLOOKUP($A108,数出表_Excel!$A$6:$T$150,COLUMN()/2+1,FALSE)=0,"",VLOOKUP($A108,数出表_Excel!$A$6:$T$150,COLUMN()/2+1,FALSE))),"")</f>
        <v/>
      </c>
      <c r="W108" s="90"/>
      <c r="X108" s="127" t="str">
        <f ca="1">IFERROR(VALUE(IF(VLOOKUP($A108,数出表_Excel!$A$6:$T$150,COLUMN()/2+1,FALSE)=0,"",VLOOKUP($A108,数出表_Excel!$A$6:$T$150,COLUMN()/2+1,FALSE))),"")</f>
        <v/>
      </c>
      <c r="Y108" s="90"/>
      <c r="Z108" s="127" t="str">
        <f ca="1">IFERROR(VALUE(IF(VLOOKUP($A108,数出表_Excel!$A$6:$T$150,COLUMN()/2+1,FALSE)=0,"",VLOOKUP($A108,数出表_Excel!$A$6:$T$150,COLUMN()/2+1,FALSE))),"")</f>
        <v/>
      </c>
      <c r="AA108" s="128"/>
      <c r="AB108" s="126" t="str">
        <f ca="1">IFERROR(VALUE(IF(VLOOKUP($A108,数出表_Excel!$A$6:$T$150,COLUMN()/2+1,FALSE)=0,"",VLOOKUP($A108,数出表_Excel!$A$6:$T$150,COLUMN()/2+1,FALSE))),"")</f>
        <v/>
      </c>
      <c r="AC108" s="90"/>
      <c r="AD108" s="127" t="str">
        <f ca="1">IFERROR(VALUE(IF(VLOOKUP($A108,数出表_Excel!$A$6:$T$150,COLUMN()/2+1,FALSE)=0,"",VLOOKUP($A108,数出表_Excel!$A$6:$T$150,COLUMN()/2+1,FALSE))),"")</f>
        <v/>
      </c>
      <c r="AE108" s="90"/>
      <c r="AF108" s="127" t="str">
        <f ca="1">IFERROR(VALUE(IF(VLOOKUP($A108,数出表_Excel!$A$6:$T$150,COLUMN()/2+1,FALSE)=0,"",VLOOKUP($A108,数出表_Excel!$A$6:$T$150,COLUMN()/2+1,FALSE))),"")</f>
        <v/>
      </c>
      <c r="AG108" s="90"/>
      <c r="AH108" s="127" t="str">
        <f ca="1">IFERROR(VALUE(IF(VLOOKUP($A108,数出表_Excel!$A$6:$T$150,COLUMN()/2+1,FALSE)=0,"",VLOOKUP($A108,数出表_Excel!$A$6:$T$150,COLUMN()/2+1,FALSE))),"")</f>
        <v/>
      </c>
      <c r="AI108" s="128"/>
      <c r="AJ108" s="126" t="str">
        <f ca="1">IFERROR(VALUE(IF(VLOOKUP($A108,数出表_Excel!$A$6:$T$150,COLUMN()/2+1,FALSE)=0,"",VLOOKUP($A108,数出表_Excel!$A$6:$T$150,COLUMN()/2+1,FALSE))),"")</f>
        <v/>
      </c>
      <c r="AK108" s="90"/>
      <c r="AL108" s="94" t="e">
        <f ca="1">IF(A108&lt;&gt;"",
IF(VLOOKUP($A108,数出表_Excel!$A$6:$T$150,COLUMN()/2+1,FALSE)=0,"",VLOOKUP($A108,数出表_Excel!$A$6:$T$150,COLUMN()/2+1,FALSE)),"")</f>
        <v>#N/A</v>
      </c>
      <c r="AM108" s="175" t="e">
        <f>数出表_Excel!V108</f>
        <v>#N/A</v>
      </c>
      <c r="AN108" s="176" t="e">
        <f>数出表_Excel!W108</f>
        <v>#N/A</v>
      </c>
    </row>
    <row r="109" spans="1:40" ht="16.2" customHeight="1">
      <c r="A109" s="138" t="e">
        <f t="array" aca="1" ref="A109" ca="1">IF(OR(COUNTIF(A107,"*1000*"),COUNTIF(A107,"")),"",INDEX(貼り付け用!$A1:$A200,MATCH(A107,貼り付け用!$A1:$A200,0)+2,0))</f>
        <v>#N/A</v>
      </c>
      <c r="B109" s="91" t="str">
        <f ca="1">IFERROR(VALUE(IF(VLOOKUP($A109,数出表_Excel!$A$6:$T$150,COLUMN()/2+1,FALSE)=0,"",VLOOKUP($A109,数出表_Excel!$A$6:$T$150,COLUMN()/2+1,FALSE))),"")</f>
        <v/>
      </c>
      <c r="C109" s="91"/>
      <c r="D109" s="91" t="str">
        <f ca="1">IFERROR(VALUE(IF(VLOOKUP($A109,数出表_Excel!$A$6:$T$150,COLUMN()/2+1,FALSE)=0,"",VLOOKUP($A109,数出表_Excel!$A$6:$T$150,COLUMN()/2+1,FALSE))),"")</f>
        <v/>
      </c>
      <c r="E109" s="91"/>
      <c r="F109" s="95" t="str">
        <f ca="1">IFERROR(VALUE(IF(VLOOKUP($A109,数出表_Excel!$A$6:$T$150,COLUMN()/2+1,FALSE)=0,"",VLOOKUP($A109,数出表_Excel!$A$6:$T$150,COLUMN()/2+1,FALSE))),"")</f>
        <v/>
      </c>
      <c r="G109" s="91"/>
      <c r="H109" s="91" t="str">
        <f ca="1">IFERROR(VALUE(IF(VLOOKUP($A109,数出表_Excel!$A$6:$T$150,COLUMN()/2+1,FALSE)=0,"",VLOOKUP($A109,数出表_Excel!$A$6:$T$150,COLUMN()/2+1,FALSE))),"")</f>
        <v/>
      </c>
      <c r="I109" s="91"/>
      <c r="J109" s="91" t="str">
        <f ca="1">IFERROR(VALUE(IF(VLOOKUP($A109,数出表_Excel!$A$6:$T$150,COLUMN()/2+1,FALSE)=0,"",VLOOKUP($A109,数出表_Excel!$A$6:$T$150,COLUMN()/2+1,FALSE))),"")</f>
        <v/>
      </c>
      <c r="K109" s="91"/>
      <c r="L109" s="95" t="str">
        <f ca="1">IFERROR(VALUE(IF(VLOOKUP($A109,数出表_Excel!$A$6:$T$150,COLUMN()/2+1,FALSE)=0,"",VLOOKUP($A109,数出表_Excel!$A$6:$T$150,COLUMN()/2+1,FALSE))),"")</f>
        <v/>
      </c>
      <c r="M109" s="91"/>
      <c r="N109" s="91" t="str">
        <f ca="1">IFERROR(VALUE(IF(VLOOKUP($A109,数出表_Excel!$A$6:$T$150,COLUMN()/2+1,FALSE)=0,"",VLOOKUP($A109,数出表_Excel!$A$6:$T$150,COLUMN()/2+1,FALSE))),"")</f>
        <v/>
      </c>
      <c r="O109" s="91"/>
      <c r="P109" s="91" t="str">
        <f ca="1">IFERROR(VALUE(IF(VLOOKUP($A109,数出表_Excel!$A$6:$T$150,COLUMN()/2+1,FALSE)=0,"",VLOOKUP($A109,数出表_Excel!$A$6:$T$150,COLUMN()/2+1,FALSE))),"")</f>
        <v/>
      </c>
      <c r="Q109" s="91"/>
      <c r="R109" s="91" t="str">
        <f ca="1">IFERROR(VALUE(IF(VLOOKUP($A109,数出表_Excel!$A$6:$T$150,COLUMN()/2+1,FALSE)=0,"",VLOOKUP($A109,数出表_Excel!$A$6:$T$150,COLUMN()/2+1,FALSE))),"")</f>
        <v/>
      </c>
      <c r="S109" s="91"/>
      <c r="T109" s="91" t="str">
        <f ca="1">IFERROR(VALUE(IF(VLOOKUP($A109,数出表_Excel!$A$6:$T$150,COLUMN()/2+1,FALSE)=0,"",VLOOKUP($A109,数出表_Excel!$A$6:$T$150,COLUMN()/2+1,FALSE))),"")</f>
        <v/>
      </c>
      <c r="U109" s="91"/>
      <c r="V109" s="95" t="str">
        <f ca="1">IFERROR(VALUE(IF(VLOOKUP($A109,数出表_Excel!$A$6:$T$150,COLUMN()/2+1,FALSE)=0,"",VLOOKUP($A109,数出表_Excel!$A$6:$T$150,COLUMN()/2+1,FALSE))),"")</f>
        <v/>
      </c>
      <c r="W109" s="91"/>
      <c r="X109" s="95" t="str">
        <f ca="1">IFERROR(VALUE(IF(VLOOKUP($A109,数出表_Excel!$A$6:$T$150,COLUMN()/2+1,FALSE)=0,"",VLOOKUP($A109,数出表_Excel!$A$6:$T$150,COLUMN()/2+1,FALSE))),"")</f>
        <v/>
      </c>
      <c r="Y109" s="91"/>
      <c r="Z109" s="95" t="str">
        <f ca="1">IFERROR(VALUE(IF(VLOOKUP($A109,数出表_Excel!$A$6:$T$150,COLUMN()/2+1,FALSE)=0,"",VLOOKUP($A109,数出表_Excel!$A$6:$T$150,COLUMN()/2+1,FALSE))),"")</f>
        <v/>
      </c>
      <c r="AA109" s="129"/>
      <c r="AB109" s="96" t="str">
        <f ca="1">IFERROR(VALUE(IF(VLOOKUP($A109,数出表_Excel!$A$6:$T$150,COLUMN()/2+1,FALSE)=0,"",VLOOKUP($A109,数出表_Excel!$A$6:$T$150,COLUMN()/2+1,FALSE))),"")</f>
        <v/>
      </c>
      <c r="AC109" s="91"/>
      <c r="AD109" s="95" t="str">
        <f ca="1">IFERROR(VALUE(IF(VLOOKUP($A109,数出表_Excel!$A$6:$T$150,COLUMN()/2+1,FALSE)=0,"",VLOOKUP($A109,数出表_Excel!$A$6:$T$150,COLUMN()/2+1,FALSE))),"")</f>
        <v/>
      </c>
      <c r="AE109" s="91"/>
      <c r="AF109" s="95" t="str">
        <f ca="1">IFERROR(VALUE(IF(VLOOKUP($A109,数出表_Excel!$A$6:$T$150,COLUMN()/2+1,FALSE)=0,"",VLOOKUP($A109,数出表_Excel!$A$6:$T$150,COLUMN()/2+1,FALSE))),"")</f>
        <v/>
      </c>
      <c r="AG109" s="91"/>
      <c r="AH109" s="95" t="str">
        <f ca="1">IFERROR(VALUE(IF(VLOOKUP($A109,数出表_Excel!$A$6:$T$150,COLUMN()/2+1,FALSE)=0,"",VLOOKUP($A109,数出表_Excel!$A$6:$T$150,COLUMN()/2+1,FALSE))),"")</f>
        <v/>
      </c>
      <c r="AI109" s="129"/>
      <c r="AJ109" s="96" t="str">
        <f ca="1">IFERROR(VALUE(IF(VLOOKUP($A109,数出表_Excel!$A$6:$T$150,COLUMN()/2+1,FALSE)=0,"",VLOOKUP($A109,数出表_Excel!$A$6:$T$150,COLUMN()/2+1,FALSE))),"")</f>
        <v/>
      </c>
      <c r="AK109" s="91"/>
      <c r="AL109" s="97" t="e">
        <f ca="1">IF(A109&lt;&gt;"",
IF(VLOOKUP($A109,数出表_Excel!$A$6:$T$150,COLUMN()/2+1,FALSE)=0,"",VLOOKUP($A109,数出表_Excel!$A$6:$T$150,COLUMN()/2+1,FALSE)),"")</f>
        <v>#N/A</v>
      </c>
      <c r="AM109" s="177" t="e">
        <f>数出表_Excel!V109</f>
        <v>#N/A</v>
      </c>
      <c r="AN109" s="178" t="e">
        <f>数出表_Excel!W109</f>
        <v>#N/A</v>
      </c>
    </row>
    <row r="110" spans="1:40" ht="16.2" customHeight="1">
      <c r="A110" s="137" t="e">
        <f t="array" aca="1" ref="A110" ca="1">IF(OR(COUNTIF(A108,"*10002*"),COUNTIF(A108,"")),"",INDEX(貼り付け用!$A1:$A200,MATCH(A108,貼り付け用!$A1:$A200,0)+2,0))</f>
        <v>#N/A</v>
      </c>
      <c r="B110" s="125" t="str">
        <f ca="1">IFERROR(VALUE(IF(VLOOKUP($A110,数出表_Excel!$A$6:$T$150,COLUMN()/2+1,FALSE)=0,"",VLOOKUP($A110,数出表_Excel!$A$6:$T$150,COLUMN()/2+1,FALSE))),"")</f>
        <v/>
      </c>
      <c r="C110" s="90"/>
      <c r="D110" s="125" t="str">
        <f ca="1">IFERROR(VALUE(IF(VLOOKUP($A110,数出表_Excel!$A$6:$T$150,COLUMN()/2+1,FALSE)=0,"",VLOOKUP($A110,数出表_Excel!$A$6:$T$150,COLUMN()/2+1,FALSE))),"")</f>
        <v/>
      </c>
      <c r="E110" s="90"/>
      <c r="F110" s="127" t="str">
        <f ca="1">IFERROR(VALUE(IF(VLOOKUP($A110,数出表_Excel!$A$6:$T$150,COLUMN()/2+1,FALSE)=0,"",VLOOKUP($A110,数出表_Excel!$A$6:$T$150,COLUMN()/2+1,FALSE))),"")</f>
        <v/>
      </c>
      <c r="G110" s="90"/>
      <c r="H110" s="125" t="str">
        <f ca="1">IFERROR(VALUE(IF(VLOOKUP($A110,数出表_Excel!$A$6:$T$150,COLUMN()/2+1,FALSE)=0,"",VLOOKUP($A110,数出表_Excel!$A$6:$T$150,COLUMN()/2+1,FALSE))),"")</f>
        <v/>
      </c>
      <c r="I110" s="90"/>
      <c r="J110" s="125" t="str">
        <f ca="1">IFERROR(VALUE(IF(VLOOKUP($A110,数出表_Excel!$A$6:$T$150,COLUMN()/2+1,FALSE)=0,"",VLOOKUP($A110,数出表_Excel!$A$6:$T$150,COLUMN()/2+1,FALSE))),"")</f>
        <v/>
      </c>
      <c r="K110" s="90"/>
      <c r="L110" s="127" t="str">
        <f ca="1">IFERROR(VALUE(IF(VLOOKUP($A110,数出表_Excel!$A$6:$T$150,COLUMN()/2+1,FALSE)=0,"",VLOOKUP($A110,数出表_Excel!$A$6:$T$150,COLUMN()/2+1,FALSE))),"")</f>
        <v/>
      </c>
      <c r="M110" s="90"/>
      <c r="N110" s="125" t="str">
        <f ca="1">IFERROR(VALUE(IF(VLOOKUP($A110,数出表_Excel!$A$6:$T$150,COLUMN()/2+1,FALSE)=0,"",VLOOKUP($A110,数出表_Excel!$A$6:$T$150,COLUMN()/2+1,FALSE))),"")</f>
        <v/>
      </c>
      <c r="O110" s="90"/>
      <c r="P110" s="125" t="str">
        <f ca="1">IFERROR(VALUE(IF(VLOOKUP($A110,数出表_Excel!$A$6:$T$150,COLUMN()/2+1,FALSE)=0,"",VLOOKUP($A110,数出表_Excel!$A$6:$T$150,COLUMN()/2+1,FALSE))),"")</f>
        <v/>
      </c>
      <c r="Q110" s="90"/>
      <c r="R110" s="125" t="str">
        <f ca="1">IFERROR(VALUE(IF(VLOOKUP($A110,数出表_Excel!$A$6:$T$150,COLUMN()/2+1,FALSE)=0,"",VLOOKUP($A110,数出表_Excel!$A$6:$T$150,COLUMN()/2+1,FALSE))),"")</f>
        <v/>
      </c>
      <c r="S110" s="90"/>
      <c r="T110" s="125" t="str">
        <f ca="1">IFERROR(VALUE(IF(VLOOKUP($A110,数出表_Excel!$A$6:$T$150,COLUMN()/2+1,FALSE)=0,"",VLOOKUP($A110,数出表_Excel!$A$6:$T$150,COLUMN()/2+1,FALSE))),"")</f>
        <v/>
      </c>
      <c r="U110" s="90"/>
      <c r="V110" s="127" t="str">
        <f ca="1">IFERROR(VALUE(IF(VLOOKUP($A110,数出表_Excel!$A$6:$T$150,COLUMN()/2+1,FALSE)=0,"",VLOOKUP($A110,数出表_Excel!$A$6:$T$150,COLUMN()/2+1,FALSE))),"")</f>
        <v/>
      </c>
      <c r="W110" s="90"/>
      <c r="X110" s="127" t="str">
        <f ca="1">IFERROR(VALUE(IF(VLOOKUP($A110,数出表_Excel!$A$6:$T$150,COLUMN()/2+1,FALSE)=0,"",VLOOKUP($A110,数出表_Excel!$A$6:$T$150,COLUMN()/2+1,FALSE))),"")</f>
        <v/>
      </c>
      <c r="Y110" s="90"/>
      <c r="Z110" s="127" t="str">
        <f ca="1">IFERROR(VALUE(IF(VLOOKUP($A110,数出表_Excel!$A$6:$T$150,COLUMN()/2+1,FALSE)=0,"",VLOOKUP($A110,数出表_Excel!$A$6:$T$150,COLUMN()/2+1,FALSE))),"")</f>
        <v/>
      </c>
      <c r="AA110" s="128"/>
      <c r="AB110" s="126" t="str">
        <f ca="1">IFERROR(VALUE(IF(VLOOKUP($A110,数出表_Excel!$A$6:$T$150,COLUMN()/2+1,FALSE)=0,"",VLOOKUP($A110,数出表_Excel!$A$6:$T$150,COLUMN()/2+1,FALSE))),"")</f>
        <v/>
      </c>
      <c r="AC110" s="90"/>
      <c r="AD110" s="127" t="str">
        <f ca="1">IFERROR(VALUE(IF(VLOOKUP($A110,数出表_Excel!$A$6:$T$150,COLUMN()/2+1,FALSE)=0,"",VLOOKUP($A110,数出表_Excel!$A$6:$T$150,COLUMN()/2+1,FALSE))),"")</f>
        <v/>
      </c>
      <c r="AE110" s="90"/>
      <c r="AF110" s="127" t="str">
        <f ca="1">IFERROR(VALUE(IF(VLOOKUP($A110,数出表_Excel!$A$6:$T$150,COLUMN()/2+1,FALSE)=0,"",VLOOKUP($A110,数出表_Excel!$A$6:$T$150,COLUMN()/2+1,FALSE))),"")</f>
        <v/>
      </c>
      <c r="AG110" s="90"/>
      <c r="AH110" s="127" t="str">
        <f ca="1">IFERROR(VALUE(IF(VLOOKUP($A110,数出表_Excel!$A$6:$T$150,COLUMN()/2+1,FALSE)=0,"",VLOOKUP($A110,数出表_Excel!$A$6:$T$150,COLUMN()/2+1,FALSE))),"")</f>
        <v/>
      </c>
      <c r="AI110" s="128"/>
      <c r="AJ110" s="126" t="str">
        <f ca="1">IFERROR(VALUE(IF(VLOOKUP($A110,数出表_Excel!$A$6:$T$150,COLUMN()/2+1,FALSE)=0,"",VLOOKUP($A110,数出表_Excel!$A$6:$T$150,COLUMN()/2+1,FALSE))),"")</f>
        <v/>
      </c>
      <c r="AK110" s="90"/>
      <c r="AL110" s="94" t="e">
        <f ca="1">IF(A110&lt;&gt;"",
IF(VLOOKUP($A110,数出表_Excel!$A$6:$T$150,COLUMN()/2+1,FALSE)=0,"",VLOOKUP($A110,数出表_Excel!$A$6:$T$150,COLUMN()/2+1,FALSE)),"")</f>
        <v>#N/A</v>
      </c>
      <c r="AM110" s="175" t="e">
        <f>数出表_Excel!V110</f>
        <v>#N/A</v>
      </c>
      <c r="AN110" s="176" t="e">
        <f>数出表_Excel!W110</f>
        <v>#N/A</v>
      </c>
    </row>
    <row r="111" spans="1:40" ht="16.2" customHeight="1">
      <c r="A111" s="138" t="e">
        <f t="array" aca="1" ref="A111" ca="1">IF(OR(COUNTIF(A109,"*1000*"),COUNTIF(A109,"")),"",INDEX(貼り付け用!$A1:$A200,MATCH(A109,貼り付け用!$A1:$A200,0)+2,0))</f>
        <v>#N/A</v>
      </c>
      <c r="B111" s="91" t="str">
        <f ca="1">IFERROR(VALUE(IF(VLOOKUP($A111,数出表_Excel!$A$6:$T$150,COLUMN()/2+1,FALSE)=0,"",VLOOKUP($A111,数出表_Excel!$A$6:$T$150,COLUMN()/2+1,FALSE))),"")</f>
        <v/>
      </c>
      <c r="C111" s="91"/>
      <c r="D111" s="91" t="str">
        <f ca="1">IFERROR(VALUE(IF(VLOOKUP($A111,数出表_Excel!$A$6:$T$150,COLUMN()/2+1,FALSE)=0,"",VLOOKUP($A111,数出表_Excel!$A$6:$T$150,COLUMN()/2+1,FALSE))),"")</f>
        <v/>
      </c>
      <c r="E111" s="91"/>
      <c r="F111" s="95" t="str">
        <f ca="1">IFERROR(VALUE(IF(VLOOKUP($A111,数出表_Excel!$A$6:$T$150,COLUMN()/2+1,FALSE)=0,"",VLOOKUP($A111,数出表_Excel!$A$6:$T$150,COLUMN()/2+1,FALSE))),"")</f>
        <v/>
      </c>
      <c r="G111" s="91"/>
      <c r="H111" s="91" t="str">
        <f ca="1">IFERROR(VALUE(IF(VLOOKUP($A111,数出表_Excel!$A$6:$T$150,COLUMN()/2+1,FALSE)=0,"",VLOOKUP($A111,数出表_Excel!$A$6:$T$150,COLUMN()/2+1,FALSE))),"")</f>
        <v/>
      </c>
      <c r="I111" s="91"/>
      <c r="J111" s="91" t="str">
        <f ca="1">IFERROR(VALUE(IF(VLOOKUP($A111,数出表_Excel!$A$6:$T$150,COLUMN()/2+1,FALSE)=0,"",VLOOKUP($A111,数出表_Excel!$A$6:$T$150,COLUMN()/2+1,FALSE))),"")</f>
        <v/>
      </c>
      <c r="K111" s="91"/>
      <c r="L111" s="95" t="str">
        <f ca="1">IFERROR(VALUE(IF(VLOOKUP($A111,数出表_Excel!$A$6:$T$150,COLUMN()/2+1,FALSE)=0,"",VLOOKUP($A111,数出表_Excel!$A$6:$T$150,COLUMN()/2+1,FALSE))),"")</f>
        <v/>
      </c>
      <c r="M111" s="91"/>
      <c r="N111" s="91" t="str">
        <f ca="1">IFERROR(VALUE(IF(VLOOKUP($A111,数出表_Excel!$A$6:$T$150,COLUMN()/2+1,FALSE)=0,"",VLOOKUP($A111,数出表_Excel!$A$6:$T$150,COLUMN()/2+1,FALSE))),"")</f>
        <v/>
      </c>
      <c r="O111" s="91"/>
      <c r="P111" s="91" t="str">
        <f ca="1">IFERROR(VALUE(IF(VLOOKUP($A111,数出表_Excel!$A$6:$T$150,COLUMN()/2+1,FALSE)=0,"",VLOOKUP($A111,数出表_Excel!$A$6:$T$150,COLUMN()/2+1,FALSE))),"")</f>
        <v/>
      </c>
      <c r="Q111" s="91"/>
      <c r="R111" s="91" t="str">
        <f ca="1">IFERROR(VALUE(IF(VLOOKUP($A111,数出表_Excel!$A$6:$T$150,COLUMN()/2+1,FALSE)=0,"",VLOOKUP($A111,数出表_Excel!$A$6:$T$150,COLUMN()/2+1,FALSE))),"")</f>
        <v/>
      </c>
      <c r="S111" s="91"/>
      <c r="T111" s="91" t="str">
        <f ca="1">IFERROR(VALUE(IF(VLOOKUP($A111,数出表_Excel!$A$6:$T$150,COLUMN()/2+1,FALSE)=0,"",VLOOKUP($A111,数出表_Excel!$A$6:$T$150,COLUMN()/2+1,FALSE))),"")</f>
        <v/>
      </c>
      <c r="U111" s="91"/>
      <c r="V111" s="95" t="str">
        <f ca="1">IFERROR(VALUE(IF(VLOOKUP($A111,数出表_Excel!$A$6:$T$150,COLUMN()/2+1,FALSE)=0,"",VLOOKUP($A111,数出表_Excel!$A$6:$T$150,COLUMN()/2+1,FALSE))),"")</f>
        <v/>
      </c>
      <c r="W111" s="91"/>
      <c r="X111" s="95" t="str">
        <f ca="1">IFERROR(VALUE(IF(VLOOKUP($A111,数出表_Excel!$A$6:$T$150,COLUMN()/2+1,FALSE)=0,"",VLOOKUP($A111,数出表_Excel!$A$6:$T$150,COLUMN()/2+1,FALSE))),"")</f>
        <v/>
      </c>
      <c r="Y111" s="91"/>
      <c r="Z111" s="95" t="str">
        <f ca="1">IFERROR(VALUE(IF(VLOOKUP($A111,数出表_Excel!$A$6:$T$150,COLUMN()/2+1,FALSE)=0,"",VLOOKUP($A111,数出表_Excel!$A$6:$T$150,COLUMN()/2+1,FALSE))),"")</f>
        <v/>
      </c>
      <c r="AA111" s="129"/>
      <c r="AB111" s="96" t="str">
        <f ca="1">IFERROR(VALUE(IF(VLOOKUP($A111,数出表_Excel!$A$6:$T$150,COLUMN()/2+1,FALSE)=0,"",VLOOKUP($A111,数出表_Excel!$A$6:$T$150,COLUMN()/2+1,FALSE))),"")</f>
        <v/>
      </c>
      <c r="AC111" s="91"/>
      <c r="AD111" s="95" t="str">
        <f ca="1">IFERROR(VALUE(IF(VLOOKUP($A111,数出表_Excel!$A$6:$T$150,COLUMN()/2+1,FALSE)=0,"",VLOOKUP($A111,数出表_Excel!$A$6:$T$150,COLUMN()/2+1,FALSE))),"")</f>
        <v/>
      </c>
      <c r="AE111" s="91"/>
      <c r="AF111" s="95" t="str">
        <f ca="1">IFERROR(VALUE(IF(VLOOKUP($A111,数出表_Excel!$A$6:$T$150,COLUMN()/2+1,FALSE)=0,"",VLOOKUP($A111,数出表_Excel!$A$6:$T$150,COLUMN()/2+1,FALSE))),"")</f>
        <v/>
      </c>
      <c r="AG111" s="91"/>
      <c r="AH111" s="95" t="str">
        <f ca="1">IFERROR(VALUE(IF(VLOOKUP($A111,数出表_Excel!$A$6:$T$150,COLUMN()/2+1,FALSE)=0,"",VLOOKUP($A111,数出表_Excel!$A$6:$T$150,COLUMN()/2+1,FALSE))),"")</f>
        <v/>
      </c>
      <c r="AI111" s="129"/>
      <c r="AJ111" s="96" t="str">
        <f ca="1">IFERROR(VALUE(IF(VLOOKUP($A111,数出表_Excel!$A$6:$T$150,COLUMN()/2+1,FALSE)=0,"",VLOOKUP($A111,数出表_Excel!$A$6:$T$150,COLUMN()/2+1,FALSE))),"")</f>
        <v/>
      </c>
      <c r="AK111" s="91"/>
      <c r="AL111" s="97" t="e">
        <f ca="1">IF(A111&lt;&gt;"",
IF(VLOOKUP($A111,数出表_Excel!$A$6:$T$150,COLUMN()/2+1,FALSE)=0,"",VLOOKUP($A111,数出表_Excel!$A$6:$T$150,COLUMN()/2+1,FALSE)),"")</f>
        <v>#N/A</v>
      </c>
      <c r="AM111" s="177" t="e">
        <f>数出表_Excel!V111</f>
        <v>#N/A</v>
      </c>
      <c r="AN111" s="178" t="e">
        <f>数出表_Excel!W111</f>
        <v>#N/A</v>
      </c>
    </row>
    <row r="112" spans="1:40" ht="16.2" customHeight="1">
      <c r="A112" s="137" t="e">
        <f t="array" aca="1" ref="A112" ca="1">IF(OR(COUNTIF(A110,"*10002*"),COUNTIF(A110,"")),"",INDEX(貼り付け用!$A1:$A200,MATCH(A110,貼り付け用!$A1:$A200,0)+2,0))</f>
        <v>#N/A</v>
      </c>
      <c r="B112" s="125" t="str">
        <f ca="1">IFERROR(VALUE(IF(VLOOKUP($A112,数出表_Excel!$A$6:$T$150,COLUMN()/2+1,FALSE)=0,"",VLOOKUP($A112,数出表_Excel!$A$6:$T$150,COLUMN()/2+1,FALSE))),"")</f>
        <v/>
      </c>
      <c r="C112" s="90"/>
      <c r="D112" s="125" t="str">
        <f ca="1">IFERROR(VALUE(IF(VLOOKUP($A112,数出表_Excel!$A$6:$T$150,COLUMN()/2+1,FALSE)=0,"",VLOOKUP($A112,数出表_Excel!$A$6:$T$150,COLUMN()/2+1,FALSE))),"")</f>
        <v/>
      </c>
      <c r="E112" s="90"/>
      <c r="F112" s="127" t="str">
        <f ca="1">IFERROR(VALUE(IF(VLOOKUP($A112,数出表_Excel!$A$6:$T$150,COLUMN()/2+1,FALSE)=0,"",VLOOKUP($A112,数出表_Excel!$A$6:$T$150,COLUMN()/2+1,FALSE))),"")</f>
        <v/>
      </c>
      <c r="G112" s="90"/>
      <c r="H112" s="125" t="str">
        <f ca="1">IFERROR(VALUE(IF(VLOOKUP($A112,数出表_Excel!$A$6:$T$150,COLUMN()/2+1,FALSE)=0,"",VLOOKUP($A112,数出表_Excel!$A$6:$T$150,COLUMN()/2+1,FALSE))),"")</f>
        <v/>
      </c>
      <c r="I112" s="90"/>
      <c r="J112" s="125" t="str">
        <f ca="1">IFERROR(VALUE(IF(VLOOKUP($A112,数出表_Excel!$A$6:$T$150,COLUMN()/2+1,FALSE)=0,"",VLOOKUP($A112,数出表_Excel!$A$6:$T$150,COLUMN()/2+1,FALSE))),"")</f>
        <v/>
      </c>
      <c r="K112" s="90"/>
      <c r="L112" s="127" t="str">
        <f ca="1">IFERROR(VALUE(IF(VLOOKUP($A112,数出表_Excel!$A$6:$T$150,COLUMN()/2+1,FALSE)=0,"",VLOOKUP($A112,数出表_Excel!$A$6:$T$150,COLUMN()/2+1,FALSE))),"")</f>
        <v/>
      </c>
      <c r="M112" s="90"/>
      <c r="N112" s="125" t="str">
        <f ca="1">IFERROR(VALUE(IF(VLOOKUP($A112,数出表_Excel!$A$6:$T$150,COLUMN()/2+1,FALSE)=0,"",VLOOKUP($A112,数出表_Excel!$A$6:$T$150,COLUMN()/2+1,FALSE))),"")</f>
        <v/>
      </c>
      <c r="O112" s="90"/>
      <c r="P112" s="125" t="str">
        <f ca="1">IFERROR(VALUE(IF(VLOOKUP($A112,数出表_Excel!$A$6:$T$150,COLUMN()/2+1,FALSE)=0,"",VLOOKUP($A112,数出表_Excel!$A$6:$T$150,COLUMN()/2+1,FALSE))),"")</f>
        <v/>
      </c>
      <c r="Q112" s="90"/>
      <c r="R112" s="125" t="str">
        <f ca="1">IFERROR(VALUE(IF(VLOOKUP($A112,数出表_Excel!$A$6:$T$150,COLUMN()/2+1,FALSE)=0,"",VLOOKUP($A112,数出表_Excel!$A$6:$T$150,COLUMN()/2+1,FALSE))),"")</f>
        <v/>
      </c>
      <c r="S112" s="90"/>
      <c r="T112" s="125" t="str">
        <f ca="1">IFERROR(VALUE(IF(VLOOKUP($A112,数出表_Excel!$A$6:$T$150,COLUMN()/2+1,FALSE)=0,"",VLOOKUP($A112,数出表_Excel!$A$6:$T$150,COLUMN()/2+1,FALSE))),"")</f>
        <v/>
      </c>
      <c r="U112" s="90"/>
      <c r="V112" s="127" t="str">
        <f ca="1">IFERROR(VALUE(IF(VLOOKUP($A112,数出表_Excel!$A$6:$T$150,COLUMN()/2+1,FALSE)=0,"",VLOOKUP($A112,数出表_Excel!$A$6:$T$150,COLUMN()/2+1,FALSE))),"")</f>
        <v/>
      </c>
      <c r="W112" s="90"/>
      <c r="X112" s="127" t="str">
        <f ca="1">IFERROR(VALUE(IF(VLOOKUP($A112,数出表_Excel!$A$6:$T$150,COLUMN()/2+1,FALSE)=0,"",VLOOKUP($A112,数出表_Excel!$A$6:$T$150,COLUMN()/2+1,FALSE))),"")</f>
        <v/>
      </c>
      <c r="Y112" s="90"/>
      <c r="Z112" s="127" t="str">
        <f ca="1">IFERROR(VALUE(IF(VLOOKUP($A112,数出表_Excel!$A$6:$T$150,COLUMN()/2+1,FALSE)=0,"",VLOOKUP($A112,数出表_Excel!$A$6:$T$150,COLUMN()/2+1,FALSE))),"")</f>
        <v/>
      </c>
      <c r="AA112" s="128"/>
      <c r="AB112" s="126" t="str">
        <f ca="1">IFERROR(VALUE(IF(VLOOKUP($A112,数出表_Excel!$A$6:$T$150,COLUMN()/2+1,FALSE)=0,"",VLOOKUP($A112,数出表_Excel!$A$6:$T$150,COLUMN()/2+1,FALSE))),"")</f>
        <v/>
      </c>
      <c r="AC112" s="90"/>
      <c r="AD112" s="127" t="str">
        <f ca="1">IFERROR(VALUE(IF(VLOOKUP($A112,数出表_Excel!$A$6:$T$150,COLUMN()/2+1,FALSE)=0,"",VLOOKUP($A112,数出表_Excel!$A$6:$T$150,COLUMN()/2+1,FALSE))),"")</f>
        <v/>
      </c>
      <c r="AE112" s="90"/>
      <c r="AF112" s="127" t="str">
        <f ca="1">IFERROR(VALUE(IF(VLOOKUP($A112,数出表_Excel!$A$6:$T$150,COLUMN()/2+1,FALSE)=0,"",VLOOKUP($A112,数出表_Excel!$A$6:$T$150,COLUMN()/2+1,FALSE))),"")</f>
        <v/>
      </c>
      <c r="AG112" s="90"/>
      <c r="AH112" s="127" t="str">
        <f ca="1">IFERROR(VALUE(IF(VLOOKUP($A112,数出表_Excel!$A$6:$T$150,COLUMN()/2+1,FALSE)=0,"",VLOOKUP($A112,数出表_Excel!$A$6:$T$150,COLUMN()/2+1,FALSE))),"")</f>
        <v/>
      </c>
      <c r="AI112" s="128"/>
      <c r="AJ112" s="126" t="str">
        <f ca="1">IFERROR(VALUE(IF(VLOOKUP($A112,数出表_Excel!$A$6:$T$150,COLUMN()/2+1,FALSE)=0,"",VLOOKUP($A112,数出表_Excel!$A$6:$T$150,COLUMN()/2+1,FALSE))),"")</f>
        <v/>
      </c>
      <c r="AK112" s="90"/>
      <c r="AL112" s="94" t="e">
        <f ca="1">IF(A112&lt;&gt;"",
IF(VLOOKUP($A112,数出表_Excel!$A$6:$T$150,COLUMN()/2+1,FALSE)=0,"",VLOOKUP($A112,数出表_Excel!$A$6:$T$150,COLUMN()/2+1,FALSE)),"")</f>
        <v>#N/A</v>
      </c>
      <c r="AM112" s="175" t="e">
        <f>数出表_Excel!V112</f>
        <v>#N/A</v>
      </c>
      <c r="AN112" s="176" t="e">
        <f>数出表_Excel!W112</f>
        <v>#N/A</v>
      </c>
    </row>
    <row r="113" spans="1:40" ht="16.2" customHeight="1">
      <c r="A113" s="138" t="e">
        <f t="array" aca="1" ref="A113" ca="1">IF(OR(COUNTIF(A111,"*1000*"),COUNTIF(A111,"")),"",INDEX(貼り付け用!$A1:$A200,MATCH(A111,貼り付け用!$A1:$A200,0)+2,0))</f>
        <v>#N/A</v>
      </c>
      <c r="B113" s="91" t="str">
        <f ca="1">IFERROR(VALUE(IF(VLOOKUP($A113,数出表_Excel!$A$6:$T$150,COLUMN()/2+1,FALSE)=0,"",VLOOKUP($A113,数出表_Excel!$A$6:$T$150,COLUMN()/2+1,FALSE))),"")</f>
        <v/>
      </c>
      <c r="C113" s="91"/>
      <c r="D113" s="91" t="str">
        <f ca="1">IFERROR(VALUE(IF(VLOOKUP($A113,数出表_Excel!$A$6:$T$150,COLUMN()/2+1,FALSE)=0,"",VLOOKUP($A113,数出表_Excel!$A$6:$T$150,COLUMN()/2+1,FALSE))),"")</f>
        <v/>
      </c>
      <c r="E113" s="91"/>
      <c r="F113" s="95" t="str">
        <f ca="1">IFERROR(VALUE(IF(VLOOKUP($A113,数出表_Excel!$A$6:$T$150,COLUMN()/2+1,FALSE)=0,"",VLOOKUP($A113,数出表_Excel!$A$6:$T$150,COLUMN()/2+1,FALSE))),"")</f>
        <v/>
      </c>
      <c r="G113" s="91"/>
      <c r="H113" s="91" t="str">
        <f ca="1">IFERROR(VALUE(IF(VLOOKUP($A113,数出表_Excel!$A$6:$T$150,COLUMN()/2+1,FALSE)=0,"",VLOOKUP($A113,数出表_Excel!$A$6:$T$150,COLUMN()/2+1,FALSE))),"")</f>
        <v/>
      </c>
      <c r="I113" s="91"/>
      <c r="J113" s="91" t="str">
        <f ca="1">IFERROR(VALUE(IF(VLOOKUP($A113,数出表_Excel!$A$6:$T$150,COLUMN()/2+1,FALSE)=0,"",VLOOKUP($A113,数出表_Excel!$A$6:$T$150,COLUMN()/2+1,FALSE))),"")</f>
        <v/>
      </c>
      <c r="K113" s="91"/>
      <c r="L113" s="95" t="str">
        <f ca="1">IFERROR(VALUE(IF(VLOOKUP($A113,数出表_Excel!$A$6:$T$150,COLUMN()/2+1,FALSE)=0,"",VLOOKUP($A113,数出表_Excel!$A$6:$T$150,COLUMN()/2+1,FALSE))),"")</f>
        <v/>
      </c>
      <c r="M113" s="91"/>
      <c r="N113" s="91" t="str">
        <f ca="1">IFERROR(VALUE(IF(VLOOKUP($A113,数出表_Excel!$A$6:$T$150,COLUMN()/2+1,FALSE)=0,"",VLOOKUP($A113,数出表_Excel!$A$6:$T$150,COLUMN()/2+1,FALSE))),"")</f>
        <v/>
      </c>
      <c r="O113" s="91"/>
      <c r="P113" s="91" t="str">
        <f ca="1">IFERROR(VALUE(IF(VLOOKUP($A113,数出表_Excel!$A$6:$T$150,COLUMN()/2+1,FALSE)=0,"",VLOOKUP($A113,数出表_Excel!$A$6:$T$150,COLUMN()/2+1,FALSE))),"")</f>
        <v/>
      </c>
      <c r="Q113" s="91"/>
      <c r="R113" s="91" t="str">
        <f ca="1">IFERROR(VALUE(IF(VLOOKUP($A113,数出表_Excel!$A$6:$T$150,COLUMN()/2+1,FALSE)=0,"",VLOOKUP($A113,数出表_Excel!$A$6:$T$150,COLUMN()/2+1,FALSE))),"")</f>
        <v/>
      </c>
      <c r="S113" s="91"/>
      <c r="T113" s="91" t="str">
        <f ca="1">IFERROR(VALUE(IF(VLOOKUP($A113,数出表_Excel!$A$6:$T$150,COLUMN()/2+1,FALSE)=0,"",VLOOKUP($A113,数出表_Excel!$A$6:$T$150,COLUMN()/2+1,FALSE))),"")</f>
        <v/>
      </c>
      <c r="U113" s="91"/>
      <c r="V113" s="95" t="str">
        <f ca="1">IFERROR(VALUE(IF(VLOOKUP($A113,数出表_Excel!$A$6:$T$150,COLUMN()/2+1,FALSE)=0,"",VLOOKUP($A113,数出表_Excel!$A$6:$T$150,COLUMN()/2+1,FALSE))),"")</f>
        <v/>
      </c>
      <c r="W113" s="91"/>
      <c r="X113" s="95" t="str">
        <f ca="1">IFERROR(VALUE(IF(VLOOKUP($A113,数出表_Excel!$A$6:$T$150,COLUMN()/2+1,FALSE)=0,"",VLOOKUP($A113,数出表_Excel!$A$6:$T$150,COLUMN()/2+1,FALSE))),"")</f>
        <v/>
      </c>
      <c r="Y113" s="91"/>
      <c r="Z113" s="95" t="str">
        <f ca="1">IFERROR(VALUE(IF(VLOOKUP($A113,数出表_Excel!$A$6:$T$150,COLUMN()/2+1,FALSE)=0,"",VLOOKUP($A113,数出表_Excel!$A$6:$T$150,COLUMN()/2+1,FALSE))),"")</f>
        <v/>
      </c>
      <c r="AA113" s="129"/>
      <c r="AB113" s="96" t="str">
        <f ca="1">IFERROR(VALUE(IF(VLOOKUP($A113,数出表_Excel!$A$6:$T$150,COLUMN()/2+1,FALSE)=0,"",VLOOKUP($A113,数出表_Excel!$A$6:$T$150,COLUMN()/2+1,FALSE))),"")</f>
        <v/>
      </c>
      <c r="AC113" s="91"/>
      <c r="AD113" s="95" t="str">
        <f ca="1">IFERROR(VALUE(IF(VLOOKUP($A113,数出表_Excel!$A$6:$T$150,COLUMN()/2+1,FALSE)=0,"",VLOOKUP($A113,数出表_Excel!$A$6:$T$150,COLUMN()/2+1,FALSE))),"")</f>
        <v/>
      </c>
      <c r="AE113" s="91"/>
      <c r="AF113" s="95" t="str">
        <f ca="1">IFERROR(VALUE(IF(VLOOKUP($A113,数出表_Excel!$A$6:$T$150,COLUMN()/2+1,FALSE)=0,"",VLOOKUP($A113,数出表_Excel!$A$6:$T$150,COLUMN()/2+1,FALSE))),"")</f>
        <v/>
      </c>
      <c r="AG113" s="91"/>
      <c r="AH113" s="95" t="str">
        <f ca="1">IFERROR(VALUE(IF(VLOOKUP($A113,数出表_Excel!$A$6:$T$150,COLUMN()/2+1,FALSE)=0,"",VLOOKUP($A113,数出表_Excel!$A$6:$T$150,COLUMN()/2+1,FALSE))),"")</f>
        <v/>
      </c>
      <c r="AI113" s="129"/>
      <c r="AJ113" s="96" t="str">
        <f ca="1">IFERROR(VALUE(IF(VLOOKUP($A113,数出表_Excel!$A$6:$T$150,COLUMN()/2+1,FALSE)=0,"",VLOOKUP($A113,数出表_Excel!$A$6:$T$150,COLUMN()/2+1,FALSE))),"")</f>
        <v/>
      </c>
      <c r="AK113" s="91"/>
      <c r="AL113" s="97" t="e">
        <f ca="1">IF(A113&lt;&gt;"",
IF(VLOOKUP($A113,数出表_Excel!$A$6:$T$150,COLUMN()/2+1,FALSE)=0,"",VLOOKUP($A113,数出表_Excel!$A$6:$T$150,COLUMN()/2+1,FALSE)),"")</f>
        <v>#N/A</v>
      </c>
      <c r="AM113" s="177" t="e">
        <f>数出表_Excel!V113</f>
        <v>#N/A</v>
      </c>
      <c r="AN113" s="178" t="e">
        <f>数出表_Excel!W113</f>
        <v>#N/A</v>
      </c>
    </row>
    <row r="114" spans="1:40" ht="16.2" customHeight="1">
      <c r="A114" s="137" t="e">
        <f t="array" aca="1" ref="A114" ca="1">IF(OR(COUNTIF(A112,"*10002*"),COUNTIF(A112,"")),"",INDEX(貼り付け用!$A1:$A200,MATCH(A112,貼り付け用!$A1:$A200,0)+2,0))</f>
        <v>#N/A</v>
      </c>
      <c r="B114" s="125" t="str">
        <f ca="1">IFERROR(VALUE(IF(VLOOKUP($A114,数出表_Excel!$A$6:$T$150,COLUMN()/2+1,FALSE)=0,"",VLOOKUP($A114,数出表_Excel!$A$6:$T$150,COLUMN()/2+1,FALSE))),"")</f>
        <v/>
      </c>
      <c r="C114" s="90"/>
      <c r="D114" s="125" t="str">
        <f ca="1">IFERROR(VALUE(IF(VLOOKUP($A114,数出表_Excel!$A$6:$T$150,COLUMN()/2+1,FALSE)=0,"",VLOOKUP($A114,数出表_Excel!$A$6:$T$150,COLUMN()/2+1,FALSE))),"")</f>
        <v/>
      </c>
      <c r="E114" s="90"/>
      <c r="F114" s="127" t="str">
        <f ca="1">IFERROR(VALUE(IF(VLOOKUP($A114,数出表_Excel!$A$6:$T$150,COLUMN()/2+1,FALSE)=0,"",VLOOKUP($A114,数出表_Excel!$A$6:$T$150,COLUMN()/2+1,FALSE))),"")</f>
        <v/>
      </c>
      <c r="G114" s="90"/>
      <c r="H114" s="125" t="str">
        <f ca="1">IFERROR(VALUE(IF(VLOOKUP($A114,数出表_Excel!$A$6:$T$150,COLUMN()/2+1,FALSE)=0,"",VLOOKUP($A114,数出表_Excel!$A$6:$T$150,COLUMN()/2+1,FALSE))),"")</f>
        <v/>
      </c>
      <c r="I114" s="90"/>
      <c r="J114" s="125" t="str">
        <f ca="1">IFERROR(VALUE(IF(VLOOKUP($A114,数出表_Excel!$A$6:$T$150,COLUMN()/2+1,FALSE)=0,"",VLOOKUP($A114,数出表_Excel!$A$6:$T$150,COLUMN()/2+1,FALSE))),"")</f>
        <v/>
      </c>
      <c r="K114" s="90"/>
      <c r="L114" s="127" t="str">
        <f ca="1">IFERROR(VALUE(IF(VLOOKUP($A114,数出表_Excel!$A$6:$T$150,COLUMN()/2+1,FALSE)=0,"",VLOOKUP($A114,数出表_Excel!$A$6:$T$150,COLUMN()/2+1,FALSE))),"")</f>
        <v/>
      </c>
      <c r="M114" s="90"/>
      <c r="N114" s="125" t="str">
        <f ca="1">IFERROR(VALUE(IF(VLOOKUP($A114,数出表_Excel!$A$6:$T$150,COLUMN()/2+1,FALSE)=0,"",VLOOKUP($A114,数出表_Excel!$A$6:$T$150,COLUMN()/2+1,FALSE))),"")</f>
        <v/>
      </c>
      <c r="O114" s="90"/>
      <c r="P114" s="125" t="str">
        <f ca="1">IFERROR(VALUE(IF(VLOOKUP($A114,数出表_Excel!$A$6:$T$150,COLUMN()/2+1,FALSE)=0,"",VLOOKUP($A114,数出表_Excel!$A$6:$T$150,COLUMN()/2+1,FALSE))),"")</f>
        <v/>
      </c>
      <c r="Q114" s="90"/>
      <c r="R114" s="125" t="str">
        <f ca="1">IFERROR(VALUE(IF(VLOOKUP($A114,数出表_Excel!$A$6:$T$150,COLUMN()/2+1,FALSE)=0,"",VLOOKUP($A114,数出表_Excel!$A$6:$T$150,COLUMN()/2+1,FALSE))),"")</f>
        <v/>
      </c>
      <c r="S114" s="90"/>
      <c r="T114" s="125" t="str">
        <f ca="1">IFERROR(VALUE(IF(VLOOKUP($A114,数出表_Excel!$A$6:$T$150,COLUMN()/2+1,FALSE)=0,"",VLOOKUP($A114,数出表_Excel!$A$6:$T$150,COLUMN()/2+1,FALSE))),"")</f>
        <v/>
      </c>
      <c r="U114" s="90"/>
      <c r="V114" s="127" t="str">
        <f ca="1">IFERROR(VALUE(IF(VLOOKUP($A114,数出表_Excel!$A$6:$T$150,COLUMN()/2+1,FALSE)=0,"",VLOOKUP($A114,数出表_Excel!$A$6:$T$150,COLUMN()/2+1,FALSE))),"")</f>
        <v/>
      </c>
      <c r="W114" s="90"/>
      <c r="X114" s="127" t="str">
        <f ca="1">IFERROR(VALUE(IF(VLOOKUP($A114,数出表_Excel!$A$6:$T$150,COLUMN()/2+1,FALSE)=0,"",VLOOKUP($A114,数出表_Excel!$A$6:$T$150,COLUMN()/2+1,FALSE))),"")</f>
        <v/>
      </c>
      <c r="Y114" s="90"/>
      <c r="Z114" s="127" t="str">
        <f ca="1">IFERROR(VALUE(IF(VLOOKUP($A114,数出表_Excel!$A$6:$T$150,COLUMN()/2+1,FALSE)=0,"",VLOOKUP($A114,数出表_Excel!$A$6:$T$150,COLUMN()/2+1,FALSE))),"")</f>
        <v/>
      </c>
      <c r="AA114" s="128"/>
      <c r="AB114" s="126" t="str">
        <f ca="1">IFERROR(VALUE(IF(VLOOKUP($A114,数出表_Excel!$A$6:$T$150,COLUMN()/2+1,FALSE)=0,"",VLOOKUP($A114,数出表_Excel!$A$6:$T$150,COLUMN()/2+1,FALSE))),"")</f>
        <v/>
      </c>
      <c r="AC114" s="90"/>
      <c r="AD114" s="127" t="str">
        <f ca="1">IFERROR(VALUE(IF(VLOOKUP($A114,数出表_Excel!$A$6:$T$150,COLUMN()/2+1,FALSE)=0,"",VLOOKUP($A114,数出表_Excel!$A$6:$T$150,COLUMN()/2+1,FALSE))),"")</f>
        <v/>
      </c>
      <c r="AE114" s="90"/>
      <c r="AF114" s="127" t="str">
        <f ca="1">IFERROR(VALUE(IF(VLOOKUP($A114,数出表_Excel!$A$6:$T$150,COLUMN()/2+1,FALSE)=0,"",VLOOKUP($A114,数出表_Excel!$A$6:$T$150,COLUMN()/2+1,FALSE))),"")</f>
        <v/>
      </c>
      <c r="AG114" s="90"/>
      <c r="AH114" s="127" t="str">
        <f ca="1">IFERROR(VALUE(IF(VLOOKUP($A114,数出表_Excel!$A$6:$T$150,COLUMN()/2+1,FALSE)=0,"",VLOOKUP($A114,数出表_Excel!$A$6:$T$150,COLUMN()/2+1,FALSE))),"")</f>
        <v/>
      </c>
      <c r="AI114" s="128"/>
      <c r="AJ114" s="126" t="str">
        <f ca="1">IFERROR(VALUE(IF(VLOOKUP($A114,数出表_Excel!$A$6:$T$150,COLUMN()/2+1,FALSE)=0,"",VLOOKUP($A114,数出表_Excel!$A$6:$T$150,COLUMN()/2+1,FALSE))),"")</f>
        <v/>
      </c>
      <c r="AK114" s="90"/>
      <c r="AL114" s="94" t="e">
        <f ca="1">IF(A114&lt;&gt;"",
IF(VLOOKUP($A114,数出表_Excel!$A$6:$T$150,COLUMN()/2+1,FALSE)=0,"",VLOOKUP($A114,数出表_Excel!$A$6:$T$150,COLUMN()/2+1,FALSE)),"")</f>
        <v>#N/A</v>
      </c>
      <c r="AM114" s="175" t="e">
        <f>数出表_Excel!V114</f>
        <v>#N/A</v>
      </c>
      <c r="AN114" s="176" t="e">
        <f>数出表_Excel!W114</f>
        <v>#N/A</v>
      </c>
    </row>
    <row r="115" spans="1:40" ht="16.2" customHeight="1">
      <c r="A115" s="138" t="e">
        <f t="array" aca="1" ref="A115" ca="1">IF(OR(COUNTIF(A113,"*1000*"),COUNTIF(A113,"")),"",INDEX(貼り付け用!$A1:$A200,MATCH(A113,貼り付け用!$A1:$A200,0)+2,0))</f>
        <v>#N/A</v>
      </c>
      <c r="B115" s="91" t="str">
        <f ca="1">IFERROR(VALUE(IF(VLOOKUP($A115,数出表_Excel!$A$6:$T$150,COLUMN()/2+1,FALSE)=0,"",VLOOKUP($A115,数出表_Excel!$A$6:$T$150,COLUMN()/2+1,FALSE))),"")</f>
        <v/>
      </c>
      <c r="C115" s="91"/>
      <c r="D115" s="91" t="str">
        <f ca="1">IFERROR(VALUE(IF(VLOOKUP($A115,数出表_Excel!$A$6:$T$150,COLUMN()/2+1,FALSE)=0,"",VLOOKUP($A115,数出表_Excel!$A$6:$T$150,COLUMN()/2+1,FALSE))),"")</f>
        <v/>
      </c>
      <c r="E115" s="91"/>
      <c r="F115" s="95" t="str">
        <f ca="1">IFERROR(VALUE(IF(VLOOKUP($A115,数出表_Excel!$A$6:$T$150,COLUMN()/2+1,FALSE)=0,"",VLOOKUP($A115,数出表_Excel!$A$6:$T$150,COLUMN()/2+1,FALSE))),"")</f>
        <v/>
      </c>
      <c r="G115" s="91"/>
      <c r="H115" s="91" t="str">
        <f ca="1">IFERROR(VALUE(IF(VLOOKUP($A115,数出表_Excel!$A$6:$T$150,COLUMN()/2+1,FALSE)=0,"",VLOOKUP($A115,数出表_Excel!$A$6:$T$150,COLUMN()/2+1,FALSE))),"")</f>
        <v/>
      </c>
      <c r="I115" s="91"/>
      <c r="J115" s="91" t="str">
        <f ca="1">IFERROR(VALUE(IF(VLOOKUP($A115,数出表_Excel!$A$6:$T$150,COLUMN()/2+1,FALSE)=0,"",VLOOKUP($A115,数出表_Excel!$A$6:$T$150,COLUMN()/2+1,FALSE))),"")</f>
        <v/>
      </c>
      <c r="K115" s="91"/>
      <c r="L115" s="95" t="str">
        <f ca="1">IFERROR(VALUE(IF(VLOOKUP($A115,数出表_Excel!$A$6:$T$150,COLUMN()/2+1,FALSE)=0,"",VLOOKUP($A115,数出表_Excel!$A$6:$T$150,COLUMN()/2+1,FALSE))),"")</f>
        <v/>
      </c>
      <c r="M115" s="91"/>
      <c r="N115" s="91" t="str">
        <f ca="1">IFERROR(VALUE(IF(VLOOKUP($A115,数出表_Excel!$A$6:$T$150,COLUMN()/2+1,FALSE)=0,"",VLOOKUP($A115,数出表_Excel!$A$6:$T$150,COLUMN()/2+1,FALSE))),"")</f>
        <v/>
      </c>
      <c r="O115" s="91"/>
      <c r="P115" s="91" t="str">
        <f ca="1">IFERROR(VALUE(IF(VLOOKUP($A115,数出表_Excel!$A$6:$T$150,COLUMN()/2+1,FALSE)=0,"",VLOOKUP($A115,数出表_Excel!$A$6:$T$150,COLUMN()/2+1,FALSE))),"")</f>
        <v/>
      </c>
      <c r="Q115" s="91"/>
      <c r="R115" s="91" t="str">
        <f ca="1">IFERROR(VALUE(IF(VLOOKUP($A115,数出表_Excel!$A$6:$T$150,COLUMN()/2+1,FALSE)=0,"",VLOOKUP($A115,数出表_Excel!$A$6:$T$150,COLUMN()/2+1,FALSE))),"")</f>
        <v/>
      </c>
      <c r="S115" s="91"/>
      <c r="T115" s="91" t="str">
        <f ca="1">IFERROR(VALUE(IF(VLOOKUP($A115,数出表_Excel!$A$6:$T$150,COLUMN()/2+1,FALSE)=0,"",VLOOKUP($A115,数出表_Excel!$A$6:$T$150,COLUMN()/2+1,FALSE))),"")</f>
        <v/>
      </c>
      <c r="U115" s="91"/>
      <c r="V115" s="95" t="str">
        <f ca="1">IFERROR(VALUE(IF(VLOOKUP($A115,数出表_Excel!$A$6:$T$150,COLUMN()/2+1,FALSE)=0,"",VLOOKUP($A115,数出表_Excel!$A$6:$T$150,COLUMN()/2+1,FALSE))),"")</f>
        <v/>
      </c>
      <c r="W115" s="91"/>
      <c r="X115" s="95" t="str">
        <f ca="1">IFERROR(VALUE(IF(VLOOKUP($A115,数出表_Excel!$A$6:$T$150,COLUMN()/2+1,FALSE)=0,"",VLOOKUP($A115,数出表_Excel!$A$6:$T$150,COLUMN()/2+1,FALSE))),"")</f>
        <v/>
      </c>
      <c r="Y115" s="91"/>
      <c r="Z115" s="95" t="str">
        <f ca="1">IFERROR(VALUE(IF(VLOOKUP($A115,数出表_Excel!$A$6:$T$150,COLUMN()/2+1,FALSE)=0,"",VLOOKUP($A115,数出表_Excel!$A$6:$T$150,COLUMN()/2+1,FALSE))),"")</f>
        <v/>
      </c>
      <c r="AA115" s="129"/>
      <c r="AB115" s="96" t="str">
        <f ca="1">IFERROR(VALUE(IF(VLOOKUP($A115,数出表_Excel!$A$6:$T$150,COLUMN()/2+1,FALSE)=0,"",VLOOKUP($A115,数出表_Excel!$A$6:$T$150,COLUMN()/2+1,FALSE))),"")</f>
        <v/>
      </c>
      <c r="AC115" s="91"/>
      <c r="AD115" s="95" t="str">
        <f ca="1">IFERROR(VALUE(IF(VLOOKUP($A115,数出表_Excel!$A$6:$T$150,COLUMN()/2+1,FALSE)=0,"",VLOOKUP($A115,数出表_Excel!$A$6:$T$150,COLUMN()/2+1,FALSE))),"")</f>
        <v/>
      </c>
      <c r="AE115" s="91"/>
      <c r="AF115" s="95" t="str">
        <f ca="1">IFERROR(VALUE(IF(VLOOKUP($A115,数出表_Excel!$A$6:$T$150,COLUMN()/2+1,FALSE)=0,"",VLOOKUP($A115,数出表_Excel!$A$6:$T$150,COLUMN()/2+1,FALSE))),"")</f>
        <v/>
      </c>
      <c r="AG115" s="91"/>
      <c r="AH115" s="95" t="str">
        <f ca="1">IFERROR(VALUE(IF(VLOOKUP($A115,数出表_Excel!$A$6:$T$150,COLUMN()/2+1,FALSE)=0,"",VLOOKUP($A115,数出表_Excel!$A$6:$T$150,COLUMN()/2+1,FALSE))),"")</f>
        <v/>
      </c>
      <c r="AI115" s="129"/>
      <c r="AJ115" s="96" t="str">
        <f ca="1">IFERROR(VALUE(IF(VLOOKUP($A115,数出表_Excel!$A$6:$T$150,COLUMN()/2+1,FALSE)=0,"",VLOOKUP($A115,数出表_Excel!$A$6:$T$150,COLUMN()/2+1,FALSE))),"")</f>
        <v/>
      </c>
      <c r="AK115" s="91"/>
      <c r="AL115" s="97" t="e">
        <f ca="1">IF(A115&lt;&gt;"",
IF(VLOOKUP($A115,数出表_Excel!$A$6:$T$150,COLUMN()/2+1,FALSE)=0,"",VLOOKUP($A115,数出表_Excel!$A$6:$T$150,COLUMN()/2+1,FALSE)),"")</f>
        <v>#N/A</v>
      </c>
      <c r="AM115" s="177" t="e">
        <f>数出表_Excel!V115</f>
        <v>#N/A</v>
      </c>
      <c r="AN115" s="178" t="e">
        <f>数出表_Excel!W115</f>
        <v>#N/A</v>
      </c>
    </row>
    <row r="116" spans="1:40" ht="16.2" customHeight="1">
      <c r="A116" s="137" t="e">
        <f t="array" aca="1" ref="A116" ca="1">IF(OR(COUNTIF(A114,"*10002*"),COUNTIF(A114,"")),"",INDEX(貼り付け用!$A1:$A200,MATCH(A114,貼り付け用!$A1:$A200,0)+2,0))</f>
        <v>#N/A</v>
      </c>
      <c r="B116" s="125" t="str">
        <f ca="1">IFERROR(VALUE(IF(VLOOKUP($A116,数出表_Excel!$A$6:$T$150,COLUMN()/2+1,FALSE)=0,"",VLOOKUP($A116,数出表_Excel!$A$6:$T$150,COLUMN()/2+1,FALSE))),"")</f>
        <v/>
      </c>
      <c r="C116" s="90"/>
      <c r="D116" s="125" t="str">
        <f ca="1">IFERROR(VALUE(IF(VLOOKUP($A116,数出表_Excel!$A$6:$T$150,COLUMN()/2+1,FALSE)=0,"",VLOOKUP($A116,数出表_Excel!$A$6:$T$150,COLUMN()/2+1,FALSE))),"")</f>
        <v/>
      </c>
      <c r="E116" s="90"/>
      <c r="F116" s="127" t="str">
        <f ca="1">IFERROR(VALUE(IF(VLOOKUP($A116,数出表_Excel!$A$6:$T$150,COLUMN()/2+1,FALSE)=0,"",VLOOKUP($A116,数出表_Excel!$A$6:$T$150,COLUMN()/2+1,FALSE))),"")</f>
        <v/>
      </c>
      <c r="G116" s="90"/>
      <c r="H116" s="125" t="str">
        <f ca="1">IFERROR(VALUE(IF(VLOOKUP($A116,数出表_Excel!$A$6:$T$150,COLUMN()/2+1,FALSE)=0,"",VLOOKUP($A116,数出表_Excel!$A$6:$T$150,COLUMN()/2+1,FALSE))),"")</f>
        <v/>
      </c>
      <c r="I116" s="90"/>
      <c r="J116" s="125" t="str">
        <f ca="1">IFERROR(VALUE(IF(VLOOKUP($A116,数出表_Excel!$A$6:$T$150,COLUMN()/2+1,FALSE)=0,"",VLOOKUP($A116,数出表_Excel!$A$6:$T$150,COLUMN()/2+1,FALSE))),"")</f>
        <v/>
      </c>
      <c r="K116" s="90"/>
      <c r="L116" s="127" t="str">
        <f ca="1">IFERROR(VALUE(IF(VLOOKUP($A116,数出表_Excel!$A$6:$T$150,COLUMN()/2+1,FALSE)=0,"",VLOOKUP($A116,数出表_Excel!$A$6:$T$150,COLUMN()/2+1,FALSE))),"")</f>
        <v/>
      </c>
      <c r="M116" s="90"/>
      <c r="N116" s="125" t="str">
        <f ca="1">IFERROR(VALUE(IF(VLOOKUP($A116,数出表_Excel!$A$6:$T$150,COLUMN()/2+1,FALSE)=0,"",VLOOKUP($A116,数出表_Excel!$A$6:$T$150,COLUMN()/2+1,FALSE))),"")</f>
        <v/>
      </c>
      <c r="O116" s="90"/>
      <c r="P116" s="125" t="str">
        <f ca="1">IFERROR(VALUE(IF(VLOOKUP($A116,数出表_Excel!$A$6:$T$150,COLUMN()/2+1,FALSE)=0,"",VLOOKUP($A116,数出表_Excel!$A$6:$T$150,COLUMN()/2+1,FALSE))),"")</f>
        <v/>
      </c>
      <c r="Q116" s="90"/>
      <c r="R116" s="125" t="str">
        <f ca="1">IFERROR(VALUE(IF(VLOOKUP($A116,数出表_Excel!$A$6:$T$150,COLUMN()/2+1,FALSE)=0,"",VLOOKUP($A116,数出表_Excel!$A$6:$T$150,COLUMN()/2+1,FALSE))),"")</f>
        <v/>
      </c>
      <c r="S116" s="90"/>
      <c r="T116" s="125" t="str">
        <f ca="1">IFERROR(VALUE(IF(VLOOKUP($A116,数出表_Excel!$A$6:$T$150,COLUMN()/2+1,FALSE)=0,"",VLOOKUP($A116,数出表_Excel!$A$6:$T$150,COLUMN()/2+1,FALSE))),"")</f>
        <v/>
      </c>
      <c r="U116" s="90"/>
      <c r="V116" s="127" t="str">
        <f ca="1">IFERROR(VALUE(IF(VLOOKUP($A116,数出表_Excel!$A$6:$T$150,COLUMN()/2+1,FALSE)=0,"",VLOOKUP($A116,数出表_Excel!$A$6:$T$150,COLUMN()/2+1,FALSE))),"")</f>
        <v/>
      </c>
      <c r="W116" s="90"/>
      <c r="X116" s="127" t="str">
        <f ca="1">IFERROR(VALUE(IF(VLOOKUP($A116,数出表_Excel!$A$6:$T$150,COLUMN()/2+1,FALSE)=0,"",VLOOKUP($A116,数出表_Excel!$A$6:$T$150,COLUMN()/2+1,FALSE))),"")</f>
        <v/>
      </c>
      <c r="Y116" s="90"/>
      <c r="Z116" s="127" t="str">
        <f ca="1">IFERROR(VALUE(IF(VLOOKUP($A116,数出表_Excel!$A$6:$T$150,COLUMN()/2+1,FALSE)=0,"",VLOOKUP($A116,数出表_Excel!$A$6:$T$150,COLUMN()/2+1,FALSE))),"")</f>
        <v/>
      </c>
      <c r="AA116" s="128"/>
      <c r="AB116" s="126" t="str">
        <f ca="1">IFERROR(VALUE(IF(VLOOKUP($A116,数出表_Excel!$A$6:$T$150,COLUMN()/2+1,FALSE)=0,"",VLOOKUP($A116,数出表_Excel!$A$6:$T$150,COLUMN()/2+1,FALSE))),"")</f>
        <v/>
      </c>
      <c r="AC116" s="90"/>
      <c r="AD116" s="127" t="str">
        <f ca="1">IFERROR(VALUE(IF(VLOOKUP($A116,数出表_Excel!$A$6:$T$150,COLUMN()/2+1,FALSE)=0,"",VLOOKUP($A116,数出表_Excel!$A$6:$T$150,COLUMN()/2+1,FALSE))),"")</f>
        <v/>
      </c>
      <c r="AE116" s="90"/>
      <c r="AF116" s="127" t="str">
        <f ca="1">IFERROR(VALUE(IF(VLOOKUP($A116,数出表_Excel!$A$6:$T$150,COLUMN()/2+1,FALSE)=0,"",VLOOKUP($A116,数出表_Excel!$A$6:$T$150,COLUMN()/2+1,FALSE))),"")</f>
        <v/>
      </c>
      <c r="AG116" s="90"/>
      <c r="AH116" s="127" t="str">
        <f ca="1">IFERROR(VALUE(IF(VLOOKUP($A116,数出表_Excel!$A$6:$T$150,COLUMN()/2+1,FALSE)=0,"",VLOOKUP($A116,数出表_Excel!$A$6:$T$150,COLUMN()/2+1,FALSE))),"")</f>
        <v/>
      </c>
      <c r="AI116" s="128"/>
      <c r="AJ116" s="126" t="str">
        <f ca="1">IFERROR(VALUE(IF(VLOOKUP($A116,数出表_Excel!$A$6:$T$150,COLUMN()/2+1,FALSE)=0,"",VLOOKUP($A116,数出表_Excel!$A$6:$T$150,COLUMN()/2+1,FALSE))),"")</f>
        <v/>
      </c>
      <c r="AK116" s="90"/>
      <c r="AL116" s="94" t="e">
        <f ca="1">IF(A116&lt;&gt;"",
IF(VLOOKUP($A116,数出表_Excel!$A$6:$T$150,COLUMN()/2+1,FALSE)=0,"",VLOOKUP($A116,数出表_Excel!$A$6:$T$150,COLUMN()/2+1,FALSE)),"")</f>
        <v>#N/A</v>
      </c>
      <c r="AM116" s="175" t="e">
        <f>数出表_Excel!V116</f>
        <v>#N/A</v>
      </c>
      <c r="AN116" s="176" t="e">
        <f>数出表_Excel!W116</f>
        <v>#N/A</v>
      </c>
    </row>
    <row r="117" spans="1:40" ht="16.2" customHeight="1">
      <c r="A117" s="138" t="e">
        <f t="array" aca="1" ref="A117" ca="1">IF(OR(COUNTIF(A115,"*1000*"),COUNTIF(A115,"")),"",INDEX(貼り付け用!$A1:$A200,MATCH(A115,貼り付け用!$A1:$A200,0)+2,0))</f>
        <v>#N/A</v>
      </c>
      <c r="B117" s="91" t="str">
        <f ca="1">IFERROR(VALUE(IF(VLOOKUP($A117,数出表_Excel!$A$6:$T$150,COLUMN()/2+1,FALSE)=0,"",VLOOKUP($A117,数出表_Excel!$A$6:$T$150,COLUMN()/2+1,FALSE))),"")</f>
        <v/>
      </c>
      <c r="C117" s="91"/>
      <c r="D117" s="91" t="str">
        <f ca="1">IFERROR(VALUE(IF(VLOOKUP($A117,数出表_Excel!$A$6:$T$150,COLUMN()/2+1,FALSE)=0,"",VLOOKUP($A117,数出表_Excel!$A$6:$T$150,COLUMN()/2+1,FALSE))),"")</f>
        <v/>
      </c>
      <c r="E117" s="91"/>
      <c r="F117" s="95" t="str">
        <f ca="1">IFERROR(VALUE(IF(VLOOKUP($A117,数出表_Excel!$A$6:$T$150,COLUMN()/2+1,FALSE)=0,"",VLOOKUP($A117,数出表_Excel!$A$6:$T$150,COLUMN()/2+1,FALSE))),"")</f>
        <v/>
      </c>
      <c r="G117" s="91"/>
      <c r="H117" s="91" t="str">
        <f ca="1">IFERROR(VALUE(IF(VLOOKUP($A117,数出表_Excel!$A$6:$T$150,COLUMN()/2+1,FALSE)=0,"",VLOOKUP($A117,数出表_Excel!$A$6:$T$150,COLUMN()/2+1,FALSE))),"")</f>
        <v/>
      </c>
      <c r="I117" s="91"/>
      <c r="J117" s="91" t="str">
        <f ca="1">IFERROR(VALUE(IF(VLOOKUP($A117,数出表_Excel!$A$6:$T$150,COLUMN()/2+1,FALSE)=0,"",VLOOKUP($A117,数出表_Excel!$A$6:$T$150,COLUMN()/2+1,FALSE))),"")</f>
        <v/>
      </c>
      <c r="K117" s="91"/>
      <c r="L117" s="95" t="str">
        <f ca="1">IFERROR(VALUE(IF(VLOOKUP($A117,数出表_Excel!$A$6:$T$150,COLUMN()/2+1,FALSE)=0,"",VLOOKUP($A117,数出表_Excel!$A$6:$T$150,COLUMN()/2+1,FALSE))),"")</f>
        <v/>
      </c>
      <c r="M117" s="91"/>
      <c r="N117" s="91" t="str">
        <f ca="1">IFERROR(VALUE(IF(VLOOKUP($A117,数出表_Excel!$A$6:$T$150,COLUMN()/2+1,FALSE)=0,"",VLOOKUP($A117,数出表_Excel!$A$6:$T$150,COLUMN()/2+1,FALSE))),"")</f>
        <v/>
      </c>
      <c r="O117" s="91"/>
      <c r="P117" s="91" t="str">
        <f ca="1">IFERROR(VALUE(IF(VLOOKUP($A117,数出表_Excel!$A$6:$T$150,COLUMN()/2+1,FALSE)=0,"",VLOOKUP($A117,数出表_Excel!$A$6:$T$150,COLUMN()/2+1,FALSE))),"")</f>
        <v/>
      </c>
      <c r="Q117" s="91"/>
      <c r="R117" s="91" t="str">
        <f ca="1">IFERROR(VALUE(IF(VLOOKUP($A117,数出表_Excel!$A$6:$T$150,COLUMN()/2+1,FALSE)=0,"",VLOOKUP($A117,数出表_Excel!$A$6:$T$150,COLUMN()/2+1,FALSE))),"")</f>
        <v/>
      </c>
      <c r="S117" s="91"/>
      <c r="T117" s="91" t="str">
        <f ca="1">IFERROR(VALUE(IF(VLOOKUP($A117,数出表_Excel!$A$6:$T$150,COLUMN()/2+1,FALSE)=0,"",VLOOKUP($A117,数出表_Excel!$A$6:$T$150,COLUMN()/2+1,FALSE))),"")</f>
        <v/>
      </c>
      <c r="U117" s="91"/>
      <c r="V117" s="95" t="str">
        <f ca="1">IFERROR(VALUE(IF(VLOOKUP($A117,数出表_Excel!$A$6:$T$150,COLUMN()/2+1,FALSE)=0,"",VLOOKUP($A117,数出表_Excel!$A$6:$T$150,COLUMN()/2+1,FALSE))),"")</f>
        <v/>
      </c>
      <c r="W117" s="91"/>
      <c r="X117" s="95" t="str">
        <f ca="1">IFERROR(VALUE(IF(VLOOKUP($A117,数出表_Excel!$A$6:$T$150,COLUMN()/2+1,FALSE)=0,"",VLOOKUP($A117,数出表_Excel!$A$6:$T$150,COLUMN()/2+1,FALSE))),"")</f>
        <v/>
      </c>
      <c r="Y117" s="91"/>
      <c r="Z117" s="95" t="str">
        <f ca="1">IFERROR(VALUE(IF(VLOOKUP($A117,数出表_Excel!$A$6:$T$150,COLUMN()/2+1,FALSE)=0,"",VLOOKUP($A117,数出表_Excel!$A$6:$T$150,COLUMN()/2+1,FALSE))),"")</f>
        <v/>
      </c>
      <c r="AA117" s="129"/>
      <c r="AB117" s="96" t="str">
        <f ca="1">IFERROR(VALUE(IF(VLOOKUP($A117,数出表_Excel!$A$6:$T$150,COLUMN()/2+1,FALSE)=0,"",VLOOKUP($A117,数出表_Excel!$A$6:$T$150,COLUMN()/2+1,FALSE))),"")</f>
        <v/>
      </c>
      <c r="AC117" s="91"/>
      <c r="AD117" s="95" t="str">
        <f ca="1">IFERROR(VALUE(IF(VLOOKUP($A117,数出表_Excel!$A$6:$T$150,COLUMN()/2+1,FALSE)=0,"",VLOOKUP($A117,数出表_Excel!$A$6:$T$150,COLUMN()/2+1,FALSE))),"")</f>
        <v/>
      </c>
      <c r="AE117" s="91"/>
      <c r="AF117" s="95" t="str">
        <f ca="1">IFERROR(VALUE(IF(VLOOKUP($A117,数出表_Excel!$A$6:$T$150,COLUMN()/2+1,FALSE)=0,"",VLOOKUP($A117,数出表_Excel!$A$6:$T$150,COLUMN()/2+1,FALSE))),"")</f>
        <v/>
      </c>
      <c r="AG117" s="91"/>
      <c r="AH117" s="95" t="str">
        <f ca="1">IFERROR(VALUE(IF(VLOOKUP($A117,数出表_Excel!$A$6:$T$150,COLUMN()/2+1,FALSE)=0,"",VLOOKUP($A117,数出表_Excel!$A$6:$T$150,COLUMN()/2+1,FALSE))),"")</f>
        <v/>
      </c>
      <c r="AI117" s="129"/>
      <c r="AJ117" s="96" t="str">
        <f ca="1">IFERROR(VALUE(IF(VLOOKUP($A117,数出表_Excel!$A$6:$T$150,COLUMN()/2+1,FALSE)=0,"",VLOOKUP($A117,数出表_Excel!$A$6:$T$150,COLUMN()/2+1,FALSE))),"")</f>
        <v/>
      </c>
      <c r="AK117" s="91"/>
      <c r="AL117" s="97" t="e">
        <f ca="1">IF(A117&lt;&gt;"",
IF(VLOOKUP($A117,数出表_Excel!$A$6:$T$150,COLUMN()/2+1,FALSE)=0,"",VLOOKUP($A117,数出表_Excel!$A$6:$T$150,COLUMN()/2+1,FALSE)),"")</f>
        <v>#N/A</v>
      </c>
      <c r="AM117" s="177" t="e">
        <f>数出表_Excel!V117</f>
        <v>#N/A</v>
      </c>
      <c r="AN117" s="178" t="e">
        <f>数出表_Excel!W117</f>
        <v>#N/A</v>
      </c>
    </row>
    <row r="118" spans="1:40" ht="16.2" customHeight="1">
      <c r="A118" s="137" t="e">
        <f t="array" aca="1" ref="A118" ca="1">IF(OR(COUNTIF(A116,"*10002*"),COUNTIF(A116,"")),"",INDEX(貼り付け用!$A1:$A200,MATCH(A116,貼り付け用!$A1:$A200,0)+2,0))</f>
        <v>#N/A</v>
      </c>
      <c r="B118" s="125" t="str">
        <f ca="1">IFERROR(VALUE(IF(VLOOKUP($A118,数出表_Excel!$A$6:$T$150,COLUMN()/2+1,FALSE)=0,"",VLOOKUP($A118,数出表_Excel!$A$6:$T$150,COLUMN()/2+1,FALSE))),"")</f>
        <v/>
      </c>
      <c r="C118" s="90"/>
      <c r="D118" s="125" t="str">
        <f ca="1">IFERROR(VALUE(IF(VLOOKUP($A118,数出表_Excel!$A$6:$T$150,COLUMN()/2+1,FALSE)=0,"",VLOOKUP($A118,数出表_Excel!$A$6:$T$150,COLUMN()/2+1,FALSE))),"")</f>
        <v/>
      </c>
      <c r="E118" s="90"/>
      <c r="F118" s="127" t="str">
        <f ca="1">IFERROR(VALUE(IF(VLOOKUP($A118,数出表_Excel!$A$6:$T$150,COLUMN()/2+1,FALSE)=0,"",VLOOKUP($A118,数出表_Excel!$A$6:$T$150,COLUMN()/2+1,FALSE))),"")</f>
        <v/>
      </c>
      <c r="G118" s="90"/>
      <c r="H118" s="125" t="str">
        <f ca="1">IFERROR(VALUE(IF(VLOOKUP($A118,数出表_Excel!$A$6:$T$150,COLUMN()/2+1,FALSE)=0,"",VLOOKUP($A118,数出表_Excel!$A$6:$T$150,COLUMN()/2+1,FALSE))),"")</f>
        <v/>
      </c>
      <c r="I118" s="90"/>
      <c r="J118" s="125" t="str">
        <f ca="1">IFERROR(VALUE(IF(VLOOKUP($A118,数出表_Excel!$A$6:$T$150,COLUMN()/2+1,FALSE)=0,"",VLOOKUP($A118,数出表_Excel!$A$6:$T$150,COLUMN()/2+1,FALSE))),"")</f>
        <v/>
      </c>
      <c r="K118" s="90"/>
      <c r="L118" s="127" t="str">
        <f ca="1">IFERROR(VALUE(IF(VLOOKUP($A118,数出表_Excel!$A$6:$T$150,COLUMN()/2+1,FALSE)=0,"",VLOOKUP($A118,数出表_Excel!$A$6:$T$150,COLUMN()/2+1,FALSE))),"")</f>
        <v/>
      </c>
      <c r="M118" s="90"/>
      <c r="N118" s="125" t="str">
        <f ca="1">IFERROR(VALUE(IF(VLOOKUP($A118,数出表_Excel!$A$6:$T$150,COLUMN()/2+1,FALSE)=0,"",VLOOKUP($A118,数出表_Excel!$A$6:$T$150,COLUMN()/2+1,FALSE))),"")</f>
        <v/>
      </c>
      <c r="O118" s="90"/>
      <c r="P118" s="125" t="str">
        <f ca="1">IFERROR(VALUE(IF(VLOOKUP($A118,数出表_Excel!$A$6:$T$150,COLUMN()/2+1,FALSE)=0,"",VLOOKUP($A118,数出表_Excel!$A$6:$T$150,COLUMN()/2+1,FALSE))),"")</f>
        <v/>
      </c>
      <c r="Q118" s="90"/>
      <c r="R118" s="125" t="str">
        <f ca="1">IFERROR(VALUE(IF(VLOOKUP($A118,数出表_Excel!$A$6:$T$150,COLUMN()/2+1,FALSE)=0,"",VLOOKUP($A118,数出表_Excel!$A$6:$T$150,COLUMN()/2+1,FALSE))),"")</f>
        <v/>
      </c>
      <c r="S118" s="90"/>
      <c r="T118" s="125" t="str">
        <f ca="1">IFERROR(VALUE(IF(VLOOKUP($A118,数出表_Excel!$A$6:$T$150,COLUMN()/2+1,FALSE)=0,"",VLOOKUP($A118,数出表_Excel!$A$6:$T$150,COLUMN()/2+1,FALSE))),"")</f>
        <v/>
      </c>
      <c r="U118" s="90"/>
      <c r="V118" s="127" t="str">
        <f ca="1">IFERROR(VALUE(IF(VLOOKUP($A118,数出表_Excel!$A$6:$T$150,COLUMN()/2+1,FALSE)=0,"",VLOOKUP($A118,数出表_Excel!$A$6:$T$150,COLUMN()/2+1,FALSE))),"")</f>
        <v/>
      </c>
      <c r="W118" s="90"/>
      <c r="X118" s="127" t="str">
        <f ca="1">IFERROR(VALUE(IF(VLOOKUP($A118,数出表_Excel!$A$6:$T$150,COLUMN()/2+1,FALSE)=0,"",VLOOKUP($A118,数出表_Excel!$A$6:$T$150,COLUMN()/2+1,FALSE))),"")</f>
        <v/>
      </c>
      <c r="Y118" s="90"/>
      <c r="Z118" s="127" t="str">
        <f ca="1">IFERROR(VALUE(IF(VLOOKUP($A118,数出表_Excel!$A$6:$T$150,COLUMN()/2+1,FALSE)=0,"",VLOOKUP($A118,数出表_Excel!$A$6:$T$150,COLUMN()/2+1,FALSE))),"")</f>
        <v/>
      </c>
      <c r="AA118" s="128"/>
      <c r="AB118" s="126" t="str">
        <f ca="1">IFERROR(VALUE(IF(VLOOKUP($A118,数出表_Excel!$A$6:$T$150,COLUMN()/2+1,FALSE)=0,"",VLOOKUP($A118,数出表_Excel!$A$6:$T$150,COLUMN()/2+1,FALSE))),"")</f>
        <v/>
      </c>
      <c r="AC118" s="90"/>
      <c r="AD118" s="127" t="str">
        <f ca="1">IFERROR(VALUE(IF(VLOOKUP($A118,数出表_Excel!$A$6:$T$150,COLUMN()/2+1,FALSE)=0,"",VLOOKUP($A118,数出表_Excel!$A$6:$T$150,COLUMN()/2+1,FALSE))),"")</f>
        <v/>
      </c>
      <c r="AE118" s="90"/>
      <c r="AF118" s="127" t="str">
        <f ca="1">IFERROR(VALUE(IF(VLOOKUP($A118,数出表_Excel!$A$6:$T$150,COLUMN()/2+1,FALSE)=0,"",VLOOKUP($A118,数出表_Excel!$A$6:$T$150,COLUMN()/2+1,FALSE))),"")</f>
        <v/>
      </c>
      <c r="AG118" s="90"/>
      <c r="AH118" s="127" t="str">
        <f ca="1">IFERROR(VALUE(IF(VLOOKUP($A118,数出表_Excel!$A$6:$T$150,COLUMN()/2+1,FALSE)=0,"",VLOOKUP($A118,数出表_Excel!$A$6:$T$150,COLUMN()/2+1,FALSE))),"")</f>
        <v/>
      </c>
      <c r="AI118" s="128"/>
      <c r="AJ118" s="126" t="str">
        <f ca="1">IFERROR(VALUE(IF(VLOOKUP($A118,数出表_Excel!$A$6:$T$150,COLUMN()/2+1,FALSE)=0,"",VLOOKUP($A118,数出表_Excel!$A$6:$T$150,COLUMN()/2+1,FALSE))),"")</f>
        <v/>
      </c>
      <c r="AK118" s="90"/>
      <c r="AL118" s="94" t="e">
        <f ca="1">IF(A118&lt;&gt;"",
IF(VLOOKUP($A118,数出表_Excel!$A$6:$T$150,COLUMN()/2+1,FALSE)=0,"",VLOOKUP($A118,数出表_Excel!$A$6:$T$150,COLUMN()/2+1,FALSE)),"")</f>
        <v>#N/A</v>
      </c>
      <c r="AM118" s="175" t="e">
        <f>数出表_Excel!V118</f>
        <v>#N/A</v>
      </c>
      <c r="AN118" s="176" t="e">
        <f>数出表_Excel!W118</f>
        <v>#N/A</v>
      </c>
    </row>
    <row r="119" spans="1:40" ht="16.2" customHeight="1">
      <c r="A119" s="138" t="e">
        <f t="array" aca="1" ref="A119" ca="1">IF(OR(COUNTIF(A117,"*1000*"),COUNTIF(A117,"")),"",INDEX(貼り付け用!$A1:$A200,MATCH(A117,貼り付け用!$A1:$A200,0)+2,0))</f>
        <v>#N/A</v>
      </c>
      <c r="B119" s="91" t="str">
        <f ca="1">IFERROR(VALUE(IF(VLOOKUP($A119,数出表_Excel!$A$6:$T$150,COLUMN()/2+1,FALSE)=0,"",VLOOKUP($A119,数出表_Excel!$A$6:$T$150,COLUMN()/2+1,FALSE))),"")</f>
        <v/>
      </c>
      <c r="C119" s="91"/>
      <c r="D119" s="91" t="str">
        <f ca="1">IFERROR(VALUE(IF(VLOOKUP($A119,数出表_Excel!$A$6:$T$150,COLUMN()/2+1,FALSE)=0,"",VLOOKUP($A119,数出表_Excel!$A$6:$T$150,COLUMN()/2+1,FALSE))),"")</f>
        <v/>
      </c>
      <c r="E119" s="91"/>
      <c r="F119" s="95" t="str">
        <f ca="1">IFERROR(VALUE(IF(VLOOKUP($A119,数出表_Excel!$A$6:$T$150,COLUMN()/2+1,FALSE)=0,"",VLOOKUP($A119,数出表_Excel!$A$6:$T$150,COLUMN()/2+1,FALSE))),"")</f>
        <v/>
      </c>
      <c r="G119" s="91"/>
      <c r="H119" s="91" t="str">
        <f ca="1">IFERROR(VALUE(IF(VLOOKUP($A119,数出表_Excel!$A$6:$T$150,COLUMN()/2+1,FALSE)=0,"",VLOOKUP($A119,数出表_Excel!$A$6:$T$150,COLUMN()/2+1,FALSE))),"")</f>
        <v/>
      </c>
      <c r="I119" s="91"/>
      <c r="J119" s="91" t="str">
        <f ca="1">IFERROR(VALUE(IF(VLOOKUP($A119,数出表_Excel!$A$6:$T$150,COLUMN()/2+1,FALSE)=0,"",VLOOKUP($A119,数出表_Excel!$A$6:$T$150,COLUMN()/2+1,FALSE))),"")</f>
        <v/>
      </c>
      <c r="K119" s="91"/>
      <c r="L119" s="95" t="str">
        <f ca="1">IFERROR(VALUE(IF(VLOOKUP($A119,数出表_Excel!$A$6:$T$150,COLUMN()/2+1,FALSE)=0,"",VLOOKUP($A119,数出表_Excel!$A$6:$T$150,COLUMN()/2+1,FALSE))),"")</f>
        <v/>
      </c>
      <c r="M119" s="91"/>
      <c r="N119" s="91" t="str">
        <f ca="1">IFERROR(VALUE(IF(VLOOKUP($A119,数出表_Excel!$A$6:$T$150,COLUMN()/2+1,FALSE)=0,"",VLOOKUP($A119,数出表_Excel!$A$6:$T$150,COLUMN()/2+1,FALSE))),"")</f>
        <v/>
      </c>
      <c r="O119" s="91"/>
      <c r="P119" s="91" t="str">
        <f ca="1">IFERROR(VALUE(IF(VLOOKUP($A119,数出表_Excel!$A$6:$T$150,COLUMN()/2+1,FALSE)=0,"",VLOOKUP($A119,数出表_Excel!$A$6:$T$150,COLUMN()/2+1,FALSE))),"")</f>
        <v/>
      </c>
      <c r="Q119" s="91"/>
      <c r="R119" s="91" t="str">
        <f ca="1">IFERROR(VALUE(IF(VLOOKUP($A119,数出表_Excel!$A$6:$T$150,COLUMN()/2+1,FALSE)=0,"",VLOOKUP($A119,数出表_Excel!$A$6:$T$150,COLUMN()/2+1,FALSE))),"")</f>
        <v/>
      </c>
      <c r="S119" s="91"/>
      <c r="T119" s="91" t="str">
        <f ca="1">IFERROR(VALUE(IF(VLOOKUP($A119,数出表_Excel!$A$6:$T$150,COLUMN()/2+1,FALSE)=0,"",VLOOKUP($A119,数出表_Excel!$A$6:$T$150,COLUMN()/2+1,FALSE))),"")</f>
        <v/>
      </c>
      <c r="U119" s="91"/>
      <c r="V119" s="95" t="str">
        <f ca="1">IFERROR(VALUE(IF(VLOOKUP($A119,数出表_Excel!$A$6:$T$150,COLUMN()/2+1,FALSE)=0,"",VLOOKUP($A119,数出表_Excel!$A$6:$T$150,COLUMN()/2+1,FALSE))),"")</f>
        <v/>
      </c>
      <c r="W119" s="91"/>
      <c r="X119" s="95" t="str">
        <f ca="1">IFERROR(VALUE(IF(VLOOKUP($A119,数出表_Excel!$A$6:$T$150,COLUMN()/2+1,FALSE)=0,"",VLOOKUP($A119,数出表_Excel!$A$6:$T$150,COLUMN()/2+1,FALSE))),"")</f>
        <v/>
      </c>
      <c r="Y119" s="91"/>
      <c r="Z119" s="95" t="str">
        <f ca="1">IFERROR(VALUE(IF(VLOOKUP($A119,数出表_Excel!$A$6:$T$150,COLUMN()/2+1,FALSE)=0,"",VLOOKUP($A119,数出表_Excel!$A$6:$T$150,COLUMN()/2+1,FALSE))),"")</f>
        <v/>
      </c>
      <c r="AA119" s="129"/>
      <c r="AB119" s="96" t="str">
        <f ca="1">IFERROR(VALUE(IF(VLOOKUP($A119,数出表_Excel!$A$6:$T$150,COLUMN()/2+1,FALSE)=0,"",VLOOKUP($A119,数出表_Excel!$A$6:$T$150,COLUMN()/2+1,FALSE))),"")</f>
        <v/>
      </c>
      <c r="AC119" s="91"/>
      <c r="AD119" s="95" t="str">
        <f ca="1">IFERROR(VALUE(IF(VLOOKUP($A119,数出表_Excel!$A$6:$T$150,COLUMN()/2+1,FALSE)=0,"",VLOOKUP($A119,数出表_Excel!$A$6:$T$150,COLUMN()/2+1,FALSE))),"")</f>
        <v/>
      </c>
      <c r="AE119" s="91"/>
      <c r="AF119" s="95" t="str">
        <f ca="1">IFERROR(VALUE(IF(VLOOKUP($A119,数出表_Excel!$A$6:$T$150,COLUMN()/2+1,FALSE)=0,"",VLOOKUP($A119,数出表_Excel!$A$6:$T$150,COLUMN()/2+1,FALSE))),"")</f>
        <v/>
      </c>
      <c r="AG119" s="91"/>
      <c r="AH119" s="95" t="str">
        <f ca="1">IFERROR(VALUE(IF(VLOOKUP($A119,数出表_Excel!$A$6:$T$150,COLUMN()/2+1,FALSE)=0,"",VLOOKUP($A119,数出表_Excel!$A$6:$T$150,COLUMN()/2+1,FALSE))),"")</f>
        <v/>
      </c>
      <c r="AI119" s="129"/>
      <c r="AJ119" s="96" t="str">
        <f ca="1">IFERROR(VALUE(IF(VLOOKUP($A119,数出表_Excel!$A$6:$T$150,COLUMN()/2+1,FALSE)=0,"",VLOOKUP($A119,数出表_Excel!$A$6:$T$150,COLUMN()/2+1,FALSE))),"")</f>
        <v/>
      </c>
      <c r="AK119" s="91"/>
      <c r="AL119" s="97" t="e">
        <f ca="1">IF(A119&lt;&gt;"",
IF(VLOOKUP($A119,数出表_Excel!$A$6:$T$150,COLUMN()/2+1,FALSE)=0,"",VLOOKUP($A119,数出表_Excel!$A$6:$T$150,COLUMN()/2+1,FALSE)),"")</f>
        <v>#N/A</v>
      </c>
      <c r="AM119" s="177" t="e">
        <f>数出表_Excel!V119</f>
        <v>#N/A</v>
      </c>
      <c r="AN119" s="178" t="e">
        <f>数出表_Excel!W119</f>
        <v>#N/A</v>
      </c>
    </row>
    <row r="120" spans="1:40" ht="16.2" customHeight="1">
      <c r="A120" s="137" t="e">
        <f t="array" aca="1" ref="A120" ca="1">IF(OR(COUNTIF(A118,"*10002*"),COUNTIF(A118,"")),"",INDEX(貼り付け用!$A1:$A200,MATCH(A118,貼り付け用!$A1:$A200,0)+2,0))</f>
        <v>#N/A</v>
      </c>
      <c r="B120" s="125" t="str">
        <f ca="1">IFERROR(VALUE(IF(VLOOKUP($A120,数出表_Excel!$A$6:$T$150,COLUMN()/2+1,FALSE)=0,"",VLOOKUP($A120,数出表_Excel!$A$6:$T$150,COLUMN()/2+1,FALSE))),"")</f>
        <v/>
      </c>
      <c r="C120" s="90"/>
      <c r="D120" s="125" t="str">
        <f ca="1">IFERROR(VALUE(IF(VLOOKUP($A120,数出表_Excel!$A$6:$T$150,COLUMN()/2+1,FALSE)=0,"",VLOOKUP($A120,数出表_Excel!$A$6:$T$150,COLUMN()/2+1,FALSE))),"")</f>
        <v/>
      </c>
      <c r="E120" s="90"/>
      <c r="F120" s="127" t="str">
        <f ca="1">IFERROR(VALUE(IF(VLOOKUP($A120,数出表_Excel!$A$6:$T$150,COLUMN()/2+1,FALSE)=0,"",VLOOKUP($A120,数出表_Excel!$A$6:$T$150,COLUMN()/2+1,FALSE))),"")</f>
        <v/>
      </c>
      <c r="G120" s="90"/>
      <c r="H120" s="125" t="str">
        <f ca="1">IFERROR(VALUE(IF(VLOOKUP($A120,数出表_Excel!$A$6:$T$150,COLUMN()/2+1,FALSE)=0,"",VLOOKUP($A120,数出表_Excel!$A$6:$T$150,COLUMN()/2+1,FALSE))),"")</f>
        <v/>
      </c>
      <c r="I120" s="90"/>
      <c r="J120" s="125" t="str">
        <f ca="1">IFERROR(VALUE(IF(VLOOKUP($A120,数出表_Excel!$A$6:$T$150,COLUMN()/2+1,FALSE)=0,"",VLOOKUP($A120,数出表_Excel!$A$6:$T$150,COLUMN()/2+1,FALSE))),"")</f>
        <v/>
      </c>
      <c r="K120" s="90"/>
      <c r="L120" s="127" t="str">
        <f ca="1">IFERROR(VALUE(IF(VLOOKUP($A120,数出表_Excel!$A$6:$T$150,COLUMN()/2+1,FALSE)=0,"",VLOOKUP($A120,数出表_Excel!$A$6:$T$150,COLUMN()/2+1,FALSE))),"")</f>
        <v/>
      </c>
      <c r="M120" s="90"/>
      <c r="N120" s="125" t="str">
        <f ca="1">IFERROR(VALUE(IF(VLOOKUP($A120,数出表_Excel!$A$6:$T$150,COLUMN()/2+1,FALSE)=0,"",VLOOKUP($A120,数出表_Excel!$A$6:$T$150,COLUMN()/2+1,FALSE))),"")</f>
        <v/>
      </c>
      <c r="O120" s="90"/>
      <c r="P120" s="125" t="str">
        <f ca="1">IFERROR(VALUE(IF(VLOOKUP($A120,数出表_Excel!$A$6:$T$150,COLUMN()/2+1,FALSE)=0,"",VLOOKUP($A120,数出表_Excel!$A$6:$T$150,COLUMN()/2+1,FALSE))),"")</f>
        <v/>
      </c>
      <c r="Q120" s="90"/>
      <c r="R120" s="125" t="str">
        <f ca="1">IFERROR(VALUE(IF(VLOOKUP($A120,数出表_Excel!$A$6:$T$150,COLUMN()/2+1,FALSE)=0,"",VLOOKUP($A120,数出表_Excel!$A$6:$T$150,COLUMN()/2+1,FALSE))),"")</f>
        <v/>
      </c>
      <c r="S120" s="90"/>
      <c r="T120" s="125" t="str">
        <f ca="1">IFERROR(VALUE(IF(VLOOKUP($A120,数出表_Excel!$A$6:$T$150,COLUMN()/2+1,FALSE)=0,"",VLOOKUP($A120,数出表_Excel!$A$6:$T$150,COLUMN()/2+1,FALSE))),"")</f>
        <v/>
      </c>
      <c r="U120" s="90"/>
      <c r="V120" s="127" t="str">
        <f ca="1">IFERROR(VALUE(IF(VLOOKUP($A120,数出表_Excel!$A$6:$T$150,COLUMN()/2+1,FALSE)=0,"",VLOOKUP($A120,数出表_Excel!$A$6:$T$150,COLUMN()/2+1,FALSE))),"")</f>
        <v/>
      </c>
      <c r="W120" s="90"/>
      <c r="X120" s="127" t="str">
        <f ca="1">IFERROR(VALUE(IF(VLOOKUP($A120,数出表_Excel!$A$6:$T$150,COLUMN()/2+1,FALSE)=0,"",VLOOKUP($A120,数出表_Excel!$A$6:$T$150,COLUMN()/2+1,FALSE))),"")</f>
        <v/>
      </c>
      <c r="Y120" s="90"/>
      <c r="Z120" s="127" t="str">
        <f ca="1">IFERROR(VALUE(IF(VLOOKUP($A120,数出表_Excel!$A$6:$T$150,COLUMN()/2+1,FALSE)=0,"",VLOOKUP($A120,数出表_Excel!$A$6:$T$150,COLUMN()/2+1,FALSE))),"")</f>
        <v/>
      </c>
      <c r="AA120" s="128"/>
      <c r="AB120" s="126" t="str">
        <f ca="1">IFERROR(VALUE(IF(VLOOKUP($A120,数出表_Excel!$A$6:$T$150,COLUMN()/2+1,FALSE)=0,"",VLOOKUP($A120,数出表_Excel!$A$6:$T$150,COLUMN()/2+1,FALSE))),"")</f>
        <v/>
      </c>
      <c r="AC120" s="90"/>
      <c r="AD120" s="127" t="str">
        <f ca="1">IFERROR(VALUE(IF(VLOOKUP($A120,数出表_Excel!$A$6:$T$150,COLUMN()/2+1,FALSE)=0,"",VLOOKUP($A120,数出表_Excel!$A$6:$T$150,COLUMN()/2+1,FALSE))),"")</f>
        <v/>
      </c>
      <c r="AE120" s="90"/>
      <c r="AF120" s="127" t="str">
        <f ca="1">IFERROR(VALUE(IF(VLOOKUP($A120,数出表_Excel!$A$6:$T$150,COLUMN()/2+1,FALSE)=0,"",VLOOKUP($A120,数出表_Excel!$A$6:$T$150,COLUMN()/2+1,FALSE))),"")</f>
        <v/>
      </c>
      <c r="AG120" s="90"/>
      <c r="AH120" s="127" t="str">
        <f ca="1">IFERROR(VALUE(IF(VLOOKUP($A120,数出表_Excel!$A$6:$T$150,COLUMN()/2+1,FALSE)=0,"",VLOOKUP($A120,数出表_Excel!$A$6:$T$150,COLUMN()/2+1,FALSE))),"")</f>
        <v/>
      </c>
      <c r="AI120" s="128"/>
      <c r="AJ120" s="126" t="str">
        <f ca="1">IFERROR(VALUE(IF(VLOOKUP($A120,数出表_Excel!$A$6:$T$150,COLUMN()/2+1,FALSE)=0,"",VLOOKUP($A120,数出表_Excel!$A$6:$T$150,COLUMN()/2+1,FALSE))),"")</f>
        <v/>
      </c>
      <c r="AK120" s="90"/>
      <c r="AL120" s="94" t="e">
        <f ca="1">IF(A120&lt;&gt;"",
IF(VLOOKUP($A120,数出表_Excel!$A$6:$T$150,COLUMN()/2+1,FALSE)=0,"",VLOOKUP($A120,数出表_Excel!$A$6:$T$150,COLUMN()/2+1,FALSE)),"")</f>
        <v>#N/A</v>
      </c>
      <c r="AM120" s="175" t="e">
        <f>数出表_Excel!V120</f>
        <v>#N/A</v>
      </c>
      <c r="AN120" s="176" t="e">
        <f>数出表_Excel!W120</f>
        <v>#N/A</v>
      </c>
    </row>
    <row r="121" spans="1:40" ht="16.2" customHeight="1">
      <c r="A121" s="138" t="e">
        <f t="array" aca="1" ref="A121" ca="1">IF(OR(COUNTIF(A119,"*1000*"),COUNTIF(A119,"")),"",INDEX(貼り付け用!$A1:$A200,MATCH(A119,貼り付け用!$A1:$A200,0)+2,0))</f>
        <v>#N/A</v>
      </c>
      <c r="B121" s="91" t="str">
        <f ca="1">IFERROR(VALUE(IF(VLOOKUP($A121,数出表_Excel!$A$6:$T$150,COLUMN()/2+1,FALSE)=0,"",VLOOKUP($A121,数出表_Excel!$A$6:$T$150,COLUMN()/2+1,FALSE))),"")</f>
        <v/>
      </c>
      <c r="C121" s="91"/>
      <c r="D121" s="91" t="str">
        <f ca="1">IFERROR(VALUE(IF(VLOOKUP($A121,数出表_Excel!$A$6:$T$150,COLUMN()/2+1,FALSE)=0,"",VLOOKUP($A121,数出表_Excel!$A$6:$T$150,COLUMN()/2+1,FALSE))),"")</f>
        <v/>
      </c>
      <c r="E121" s="91"/>
      <c r="F121" s="95" t="str">
        <f ca="1">IFERROR(VALUE(IF(VLOOKUP($A121,数出表_Excel!$A$6:$T$150,COLUMN()/2+1,FALSE)=0,"",VLOOKUP($A121,数出表_Excel!$A$6:$T$150,COLUMN()/2+1,FALSE))),"")</f>
        <v/>
      </c>
      <c r="G121" s="91"/>
      <c r="H121" s="91" t="str">
        <f ca="1">IFERROR(VALUE(IF(VLOOKUP($A121,数出表_Excel!$A$6:$T$150,COLUMN()/2+1,FALSE)=0,"",VLOOKUP($A121,数出表_Excel!$A$6:$T$150,COLUMN()/2+1,FALSE))),"")</f>
        <v/>
      </c>
      <c r="I121" s="91"/>
      <c r="J121" s="91" t="str">
        <f ca="1">IFERROR(VALUE(IF(VLOOKUP($A121,数出表_Excel!$A$6:$T$150,COLUMN()/2+1,FALSE)=0,"",VLOOKUP($A121,数出表_Excel!$A$6:$T$150,COLUMN()/2+1,FALSE))),"")</f>
        <v/>
      </c>
      <c r="K121" s="91"/>
      <c r="L121" s="95" t="str">
        <f ca="1">IFERROR(VALUE(IF(VLOOKUP($A121,数出表_Excel!$A$6:$T$150,COLUMN()/2+1,FALSE)=0,"",VLOOKUP($A121,数出表_Excel!$A$6:$T$150,COLUMN()/2+1,FALSE))),"")</f>
        <v/>
      </c>
      <c r="M121" s="91"/>
      <c r="N121" s="91" t="str">
        <f ca="1">IFERROR(VALUE(IF(VLOOKUP($A121,数出表_Excel!$A$6:$T$150,COLUMN()/2+1,FALSE)=0,"",VLOOKUP($A121,数出表_Excel!$A$6:$T$150,COLUMN()/2+1,FALSE))),"")</f>
        <v/>
      </c>
      <c r="O121" s="91"/>
      <c r="P121" s="91" t="str">
        <f ca="1">IFERROR(VALUE(IF(VLOOKUP($A121,数出表_Excel!$A$6:$T$150,COLUMN()/2+1,FALSE)=0,"",VLOOKUP($A121,数出表_Excel!$A$6:$T$150,COLUMN()/2+1,FALSE))),"")</f>
        <v/>
      </c>
      <c r="Q121" s="91"/>
      <c r="R121" s="91" t="str">
        <f ca="1">IFERROR(VALUE(IF(VLOOKUP($A121,数出表_Excel!$A$6:$T$150,COLUMN()/2+1,FALSE)=0,"",VLOOKUP($A121,数出表_Excel!$A$6:$T$150,COLUMN()/2+1,FALSE))),"")</f>
        <v/>
      </c>
      <c r="S121" s="91"/>
      <c r="T121" s="91" t="str">
        <f ca="1">IFERROR(VALUE(IF(VLOOKUP($A121,数出表_Excel!$A$6:$T$150,COLUMN()/2+1,FALSE)=0,"",VLOOKUP($A121,数出表_Excel!$A$6:$T$150,COLUMN()/2+1,FALSE))),"")</f>
        <v/>
      </c>
      <c r="U121" s="91"/>
      <c r="V121" s="95" t="str">
        <f ca="1">IFERROR(VALUE(IF(VLOOKUP($A121,数出表_Excel!$A$6:$T$150,COLUMN()/2+1,FALSE)=0,"",VLOOKUP($A121,数出表_Excel!$A$6:$T$150,COLUMN()/2+1,FALSE))),"")</f>
        <v/>
      </c>
      <c r="W121" s="91"/>
      <c r="X121" s="95" t="str">
        <f ca="1">IFERROR(VALUE(IF(VLOOKUP($A121,数出表_Excel!$A$6:$T$150,COLUMN()/2+1,FALSE)=0,"",VLOOKUP($A121,数出表_Excel!$A$6:$T$150,COLUMN()/2+1,FALSE))),"")</f>
        <v/>
      </c>
      <c r="Y121" s="91"/>
      <c r="Z121" s="95" t="str">
        <f ca="1">IFERROR(VALUE(IF(VLOOKUP($A121,数出表_Excel!$A$6:$T$150,COLUMN()/2+1,FALSE)=0,"",VLOOKUP($A121,数出表_Excel!$A$6:$T$150,COLUMN()/2+1,FALSE))),"")</f>
        <v/>
      </c>
      <c r="AA121" s="129"/>
      <c r="AB121" s="96" t="str">
        <f ca="1">IFERROR(VALUE(IF(VLOOKUP($A121,数出表_Excel!$A$6:$T$150,COLUMN()/2+1,FALSE)=0,"",VLOOKUP($A121,数出表_Excel!$A$6:$T$150,COLUMN()/2+1,FALSE))),"")</f>
        <v/>
      </c>
      <c r="AC121" s="91"/>
      <c r="AD121" s="95" t="str">
        <f ca="1">IFERROR(VALUE(IF(VLOOKUP($A121,数出表_Excel!$A$6:$T$150,COLUMN()/2+1,FALSE)=0,"",VLOOKUP($A121,数出表_Excel!$A$6:$T$150,COLUMN()/2+1,FALSE))),"")</f>
        <v/>
      </c>
      <c r="AE121" s="91"/>
      <c r="AF121" s="95" t="str">
        <f ca="1">IFERROR(VALUE(IF(VLOOKUP($A121,数出表_Excel!$A$6:$T$150,COLUMN()/2+1,FALSE)=0,"",VLOOKUP($A121,数出表_Excel!$A$6:$T$150,COLUMN()/2+1,FALSE))),"")</f>
        <v/>
      </c>
      <c r="AG121" s="91"/>
      <c r="AH121" s="95" t="str">
        <f ca="1">IFERROR(VALUE(IF(VLOOKUP($A121,数出表_Excel!$A$6:$T$150,COLUMN()/2+1,FALSE)=0,"",VLOOKUP($A121,数出表_Excel!$A$6:$T$150,COLUMN()/2+1,FALSE))),"")</f>
        <v/>
      </c>
      <c r="AI121" s="129"/>
      <c r="AJ121" s="96" t="str">
        <f ca="1">IFERROR(VALUE(IF(VLOOKUP($A121,数出表_Excel!$A$6:$T$150,COLUMN()/2+1,FALSE)=0,"",VLOOKUP($A121,数出表_Excel!$A$6:$T$150,COLUMN()/2+1,FALSE))),"")</f>
        <v/>
      </c>
      <c r="AK121" s="91"/>
      <c r="AL121" s="97" t="e">
        <f ca="1">IF(A121&lt;&gt;"",
IF(VLOOKUP($A121,数出表_Excel!$A$6:$T$150,COLUMN()/2+1,FALSE)=0,"",VLOOKUP($A121,数出表_Excel!$A$6:$T$150,COLUMN()/2+1,FALSE)),"")</f>
        <v>#N/A</v>
      </c>
      <c r="AM121" s="177" t="e">
        <f>数出表_Excel!V121</f>
        <v>#N/A</v>
      </c>
      <c r="AN121" s="178" t="e">
        <f>数出表_Excel!W121</f>
        <v>#N/A</v>
      </c>
    </row>
    <row r="122" spans="1:40" ht="16.2" customHeight="1">
      <c r="A122" s="137" t="e">
        <f t="array" aca="1" ref="A122" ca="1">IF(OR(COUNTIF(A120,"*10002*"),COUNTIF(A120,"")),"",INDEX(貼り付け用!$A1:$A200,MATCH(A120,貼り付け用!$A1:$A200,0)+2,0))</f>
        <v>#N/A</v>
      </c>
      <c r="B122" s="125" t="str">
        <f ca="1">IFERROR(VALUE(IF(VLOOKUP($A122,数出表_Excel!$A$6:$T$150,COLUMN()/2+1,FALSE)=0,"",VLOOKUP($A122,数出表_Excel!$A$6:$T$150,COLUMN()/2+1,FALSE))),"")</f>
        <v/>
      </c>
      <c r="C122" s="90"/>
      <c r="D122" s="125" t="str">
        <f ca="1">IFERROR(VALUE(IF(VLOOKUP($A122,数出表_Excel!$A$6:$T$150,COLUMN()/2+1,FALSE)=0,"",VLOOKUP($A122,数出表_Excel!$A$6:$T$150,COLUMN()/2+1,FALSE))),"")</f>
        <v/>
      </c>
      <c r="E122" s="90"/>
      <c r="F122" s="127" t="str">
        <f ca="1">IFERROR(VALUE(IF(VLOOKUP($A122,数出表_Excel!$A$6:$T$150,COLUMN()/2+1,FALSE)=0,"",VLOOKUP($A122,数出表_Excel!$A$6:$T$150,COLUMN()/2+1,FALSE))),"")</f>
        <v/>
      </c>
      <c r="G122" s="90"/>
      <c r="H122" s="125" t="str">
        <f ca="1">IFERROR(VALUE(IF(VLOOKUP($A122,数出表_Excel!$A$6:$T$150,COLUMN()/2+1,FALSE)=0,"",VLOOKUP($A122,数出表_Excel!$A$6:$T$150,COLUMN()/2+1,FALSE))),"")</f>
        <v/>
      </c>
      <c r="I122" s="90"/>
      <c r="J122" s="125" t="str">
        <f ca="1">IFERROR(VALUE(IF(VLOOKUP($A122,数出表_Excel!$A$6:$T$150,COLUMN()/2+1,FALSE)=0,"",VLOOKUP($A122,数出表_Excel!$A$6:$T$150,COLUMN()/2+1,FALSE))),"")</f>
        <v/>
      </c>
      <c r="K122" s="90"/>
      <c r="L122" s="127" t="str">
        <f ca="1">IFERROR(VALUE(IF(VLOOKUP($A122,数出表_Excel!$A$6:$T$150,COLUMN()/2+1,FALSE)=0,"",VLOOKUP($A122,数出表_Excel!$A$6:$T$150,COLUMN()/2+1,FALSE))),"")</f>
        <v/>
      </c>
      <c r="M122" s="90"/>
      <c r="N122" s="125" t="str">
        <f ca="1">IFERROR(VALUE(IF(VLOOKUP($A122,数出表_Excel!$A$6:$T$150,COLUMN()/2+1,FALSE)=0,"",VLOOKUP($A122,数出表_Excel!$A$6:$T$150,COLUMN()/2+1,FALSE))),"")</f>
        <v/>
      </c>
      <c r="O122" s="90"/>
      <c r="P122" s="125" t="str">
        <f ca="1">IFERROR(VALUE(IF(VLOOKUP($A122,数出表_Excel!$A$6:$T$150,COLUMN()/2+1,FALSE)=0,"",VLOOKUP($A122,数出表_Excel!$A$6:$T$150,COLUMN()/2+1,FALSE))),"")</f>
        <v/>
      </c>
      <c r="Q122" s="90"/>
      <c r="R122" s="125" t="str">
        <f ca="1">IFERROR(VALUE(IF(VLOOKUP($A122,数出表_Excel!$A$6:$T$150,COLUMN()/2+1,FALSE)=0,"",VLOOKUP($A122,数出表_Excel!$A$6:$T$150,COLUMN()/2+1,FALSE))),"")</f>
        <v/>
      </c>
      <c r="S122" s="90"/>
      <c r="T122" s="125" t="str">
        <f ca="1">IFERROR(VALUE(IF(VLOOKUP($A122,数出表_Excel!$A$6:$T$150,COLUMN()/2+1,FALSE)=0,"",VLOOKUP($A122,数出表_Excel!$A$6:$T$150,COLUMN()/2+1,FALSE))),"")</f>
        <v/>
      </c>
      <c r="U122" s="90"/>
      <c r="V122" s="127" t="str">
        <f ca="1">IFERROR(VALUE(IF(VLOOKUP($A122,数出表_Excel!$A$6:$T$150,COLUMN()/2+1,FALSE)=0,"",VLOOKUP($A122,数出表_Excel!$A$6:$T$150,COLUMN()/2+1,FALSE))),"")</f>
        <v/>
      </c>
      <c r="W122" s="90"/>
      <c r="X122" s="127" t="str">
        <f ca="1">IFERROR(VALUE(IF(VLOOKUP($A122,数出表_Excel!$A$6:$T$150,COLUMN()/2+1,FALSE)=0,"",VLOOKUP($A122,数出表_Excel!$A$6:$T$150,COLUMN()/2+1,FALSE))),"")</f>
        <v/>
      </c>
      <c r="Y122" s="90"/>
      <c r="Z122" s="127" t="str">
        <f ca="1">IFERROR(VALUE(IF(VLOOKUP($A122,数出表_Excel!$A$6:$T$150,COLUMN()/2+1,FALSE)=0,"",VLOOKUP($A122,数出表_Excel!$A$6:$T$150,COLUMN()/2+1,FALSE))),"")</f>
        <v/>
      </c>
      <c r="AA122" s="128"/>
      <c r="AB122" s="126" t="str">
        <f ca="1">IFERROR(VALUE(IF(VLOOKUP($A122,数出表_Excel!$A$6:$T$150,COLUMN()/2+1,FALSE)=0,"",VLOOKUP($A122,数出表_Excel!$A$6:$T$150,COLUMN()/2+1,FALSE))),"")</f>
        <v/>
      </c>
      <c r="AC122" s="90"/>
      <c r="AD122" s="127" t="str">
        <f ca="1">IFERROR(VALUE(IF(VLOOKUP($A122,数出表_Excel!$A$6:$T$150,COLUMN()/2+1,FALSE)=0,"",VLOOKUP($A122,数出表_Excel!$A$6:$T$150,COLUMN()/2+1,FALSE))),"")</f>
        <v/>
      </c>
      <c r="AE122" s="90"/>
      <c r="AF122" s="127" t="str">
        <f ca="1">IFERROR(VALUE(IF(VLOOKUP($A122,数出表_Excel!$A$6:$T$150,COLUMN()/2+1,FALSE)=0,"",VLOOKUP($A122,数出表_Excel!$A$6:$T$150,COLUMN()/2+1,FALSE))),"")</f>
        <v/>
      </c>
      <c r="AG122" s="90"/>
      <c r="AH122" s="127" t="str">
        <f ca="1">IFERROR(VALUE(IF(VLOOKUP($A122,数出表_Excel!$A$6:$T$150,COLUMN()/2+1,FALSE)=0,"",VLOOKUP($A122,数出表_Excel!$A$6:$T$150,COLUMN()/2+1,FALSE))),"")</f>
        <v/>
      </c>
      <c r="AI122" s="128"/>
      <c r="AJ122" s="126" t="str">
        <f ca="1">IFERROR(VALUE(IF(VLOOKUP($A122,数出表_Excel!$A$6:$T$150,COLUMN()/2+1,FALSE)=0,"",VLOOKUP($A122,数出表_Excel!$A$6:$T$150,COLUMN()/2+1,FALSE))),"")</f>
        <v/>
      </c>
      <c r="AK122" s="90"/>
      <c r="AL122" s="94" t="e">
        <f ca="1">IF(A122&lt;&gt;"",
IF(VLOOKUP($A122,数出表_Excel!$A$6:$T$150,COLUMN()/2+1,FALSE)=0,"",VLOOKUP($A122,数出表_Excel!$A$6:$T$150,COLUMN()/2+1,FALSE)),"")</f>
        <v>#N/A</v>
      </c>
      <c r="AM122" s="175" t="e">
        <f>数出表_Excel!V122</f>
        <v>#N/A</v>
      </c>
      <c r="AN122" s="176" t="e">
        <f>数出表_Excel!W122</f>
        <v>#N/A</v>
      </c>
    </row>
    <row r="123" spans="1:40" ht="16.2" customHeight="1">
      <c r="A123" s="138" t="e">
        <f t="array" aca="1" ref="A123" ca="1">IF(OR(COUNTIF(A121,"*1000*"),COUNTIF(A121,"")),"",INDEX(貼り付け用!$A1:$A200,MATCH(A121,貼り付け用!$A1:$A200,0)+2,0))</f>
        <v>#N/A</v>
      </c>
      <c r="B123" s="91" t="str">
        <f ca="1">IFERROR(VALUE(IF(VLOOKUP($A123,数出表_Excel!$A$6:$T$150,COLUMN()/2+1,FALSE)=0,"",VLOOKUP($A123,数出表_Excel!$A$6:$T$150,COLUMN()/2+1,FALSE))),"")</f>
        <v/>
      </c>
      <c r="C123" s="91"/>
      <c r="D123" s="91" t="str">
        <f ca="1">IFERROR(VALUE(IF(VLOOKUP($A123,数出表_Excel!$A$6:$T$150,COLUMN()/2+1,FALSE)=0,"",VLOOKUP($A123,数出表_Excel!$A$6:$T$150,COLUMN()/2+1,FALSE))),"")</f>
        <v/>
      </c>
      <c r="E123" s="91"/>
      <c r="F123" s="95" t="str">
        <f ca="1">IFERROR(VALUE(IF(VLOOKUP($A123,数出表_Excel!$A$6:$T$150,COLUMN()/2+1,FALSE)=0,"",VLOOKUP($A123,数出表_Excel!$A$6:$T$150,COLUMN()/2+1,FALSE))),"")</f>
        <v/>
      </c>
      <c r="G123" s="91"/>
      <c r="H123" s="91" t="str">
        <f ca="1">IFERROR(VALUE(IF(VLOOKUP($A123,数出表_Excel!$A$6:$T$150,COLUMN()/2+1,FALSE)=0,"",VLOOKUP($A123,数出表_Excel!$A$6:$T$150,COLUMN()/2+1,FALSE))),"")</f>
        <v/>
      </c>
      <c r="I123" s="91"/>
      <c r="J123" s="91" t="str">
        <f ca="1">IFERROR(VALUE(IF(VLOOKUP($A123,数出表_Excel!$A$6:$T$150,COLUMN()/2+1,FALSE)=0,"",VLOOKUP($A123,数出表_Excel!$A$6:$T$150,COLUMN()/2+1,FALSE))),"")</f>
        <v/>
      </c>
      <c r="K123" s="91"/>
      <c r="L123" s="95" t="str">
        <f ca="1">IFERROR(VALUE(IF(VLOOKUP($A123,数出表_Excel!$A$6:$T$150,COLUMN()/2+1,FALSE)=0,"",VLOOKUP($A123,数出表_Excel!$A$6:$T$150,COLUMN()/2+1,FALSE))),"")</f>
        <v/>
      </c>
      <c r="M123" s="91"/>
      <c r="N123" s="91" t="str">
        <f ca="1">IFERROR(VALUE(IF(VLOOKUP($A123,数出表_Excel!$A$6:$T$150,COLUMN()/2+1,FALSE)=0,"",VLOOKUP($A123,数出表_Excel!$A$6:$T$150,COLUMN()/2+1,FALSE))),"")</f>
        <v/>
      </c>
      <c r="O123" s="91"/>
      <c r="P123" s="91" t="str">
        <f ca="1">IFERROR(VALUE(IF(VLOOKUP($A123,数出表_Excel!$A$6:$T$150,COLUMN()/2+1,FALSE)=0,"",VLOOKUP($A123,数出表_Excel!$A$6:$T$150,COLUMN()/2+1,FALSE))),"")</f>
        <v/>
      </c>
      <c r="Q123" s="91"/>
      <c r="R123" s="91" t="str">
        <f ca="1">IFERROR(VALUE(IF(VLOOKUP($A123,数出表_Excel!$A$6:$T$150,COLUMN()/2+1,FALSE)=0,"",VLOOKUP($A123,数出表_Excel!$A$6:$T$150,COLUMN()/2+1,FALSE))),"")</f>
        <v/>
      </c>
      <c r="S123" s="91"/>
      <c r="T123" s="91" t="str">
        <f ca="1">IFERROR(VALUE(IF(VLOOKUP($A123,数出表_Excel!$A$6:$T$150,COLUMN()/2+1,FALSE)=0,"",VLOOKUP($A123,数出表_Excel!$A$6:$T$150,COLUMN()/2+1,FALSE))),"")</f>
        <v/>
      </c>
      <c r="U123" s="91"/>
      <c r="V123" s="95" t="str">
        <f ca="1">IFERROR(VALUE(IF(VLOOKUP($A123,数出表_Excel!$A$6:$T$150,COLUMN()/2+1,FALSE)=0,"",VLOOKUP($A123,数出表_Excel!$A$6:$T$150,COLUMN()/2+1,FALSE))),"")</f>
        <v/>
      </c>
      <c r="W123" s="91"/>
      <c r="X123" s="95" t="str">
        <f ca="1">IFERROR(VALUE(IF(VLOOKUP($A123,数出表_Excel!$A$6:$T$150,COLUMN()/2+1,FALSE)=0,"",VLOOKUP($A123,数出表_Excel!$A$6:$T$150,COLUMN()/2+1,FALSE))),"")</f>
        <v/>
      </c>
      <c r="Y123" s="91"/>
      <c r="Z123" s="95" t="str">
        <f ca="1">IFERROR(VALUE(IF(VLOOKUP($A123,数出表_Excel!$A$6:$T$150,COLUMN()/2+1,FALSE)=0,"",VLOOKUP($A123,数出表_Excel!$A$6:$T$150,COLUMN()/2+1,FALSE))),"")</f>
        <v/>
      </c>
      <c r="AA123" s="129"/>
      <c r="AB123" s="96" t="str">
        <f ca="1">IFERROR(VALUE(IF(VLOOKUP($A123,数出表_Excel!$A$6:$T$150,COLUMN()/2+1,FALSE)=0,"",VLOOKUP($A123,数出表_Excel!$A$6:$T$150,COLUMN()/2+1,FALSE))),"")</f>
        <v/>
      </c>
      <c r="AC123" s="91"/>
      <c r="AD123" s="95" t="str">
        <f ca="1">IFERROR(VALUE(IF(VLOOKUP($A123,数出表_Excel!$A$6:$T$150,COLUMN()/2+1,FALSE)=0,"",VLOOKUP($A123,数出表_Excel!$A$6:$T$150,COLUMN()/2+1,FALSE))),"")</f>
        <v/>
      </c>
      <c r="AE123" s="91"/>
      <c r="AF123" s="95" t="str">
        <f ca="1">IFERROR(VALUE(IF(VLOOKUP($A123,数出表_Excel!$A$6:$T$150,COLUMN()/2+1,FALSE)=0,"",VLOOKUP($A123,数出表_Excel!$A$6:$T$150,COLUMN()/2+1,FALSE))),"")</f>
        <v/>
      </c>
      <c r="AG123" s="91"/>
      <c r="AH123" s="95" t="str">
        <f ca="1">IFERROR(VALUE(IF(VLOOKUP($A123,数出表_Excel!$A$6:$T$150,COLUMN()/2+1,FALSE)=0,"",VLOOKUP($A123,数出表_Excel!$A$6:$T$150,COLUMN()/2+1,FALSE))),"")</f>
        <v/>
      </c>
      <c r="AI123" s="129"/>
      <c r="AJ123" s="96" t="str">
        <f ca="1">IFERROR(VALUE(IF(VLOOKUP($A123,数出表_Excel!$A$6:$T$150,COLUMN()/2+1,FALSE)=0,"",VLOOKUP($A123,数出表_Excel!$A$6:$T$150,COLUMN()/2+1,FALSE))),"")</f>
        <v/>
      </c>
      <c r="AK123" s="91"/>
      <c r="AL123" s="97" t="e">
        <f ca="1">IF(A123&lt;&gt;"",
IF(VLOOKUP($A123,数出表_Excel!$A$6:$T$150,COLUMN()/2+1,FALSE)=0,"",VLOOKUP($A123,数出表_Excel!$A$6:$T$150,COLUMN()/2+1,FALSE)),"")</f>
        <v>#N/A</v>
      </c>
      <c r="AM123" s="177" t="e">
        <f>数出表_Excel!V123</f>
        <v>#N/A</v>
      </c>
      <c r="AN123" s="178" t="e">
        <f>数出表_Excel!W123</f>
        <v>#N/A</v>
      </c>
    </row>
    <row r="124" spans="1:40" ht="16.2" customHeight="1">
      <c r="A124" s="137" t="e">
        <f t="array" aca="1" ref="A124" ca="1">IF(OR(COUNTIF(A122,"*10002*"),COUNTIF(A122,"")),"",INDEX(貼り付け用!$A1:$A200,MATCH(A122,貼り付け用!$A1:$A200,0)+2,0))</f>
        <v>#N/A</v>
      </c>
      <c r="B124" s="125" t="str">
        <f ca="1">IFERROR(VALUE(IF(VLOOKUP($A124,数出表_Excel!$A$6:$T$150,COLUMN()/2+1,FALSE)=0,"",VLOOKUP($A124,数出表_Excel!$A$6:$T$150,COLUMN()/2+1,FALSE))),"")</f>
        <v/>
      </c>
      <c r="C124" s="90"/>
      <c r="D124" s="125" t="str">
        <f ca="1">IFERROR(VALUE(IF(VLOOKUP($A124,数出表_Excel!$A$6:$T$150,COLUMN()/2+1,FALSE)=0,"",VLOOKUP($A124,数出表_Excel!$A$6:$T$150,COLUMN()/2+1,FALSE))),"")</f>
        <v/>
      </c>
      <c r="E124" s="90"/>
      <c r="F124" s="127" t="str">
        <f ca="1">IFERROR(VALUE(IF(VLOOKUP($A124,数出表_Excel!$A$6:$T$150,COLUMN()/2+1,FALSE)=0,"",VLOOKUP($A124,数出表_Excel!$A$6:$T$150,COLUMN()/2+1,FALSE))),"")</f>
        <v/>
      </c>
      <c r="G124" s="90"/>
      <c r="H124" s="125" t="str">
        <f ca="1">IFERROR(VALUE(IF(VLOOKUP($A124,数出表_Excel!$A$6:$T$150,COLUMN()/2+1,FALSE)=0,"",VLOOKUP($A124,数出表_Excel!$A$6:$T$150,COLUMN()/2+1,FALSE))),"")</f>
        <v/>
      </c>
      <c r="I124" s="90"/>
      <c r="J124" s="125" t="str">
        <f ca="1">IFERROR(VALUE(IF(VLOOKUP($A124,数出表_Excel!$A$6:$T$150,COLUMN()/2+1,FALSE)=0,"",VLOOKUP($A124,数出表_Excel!$A$6:$T$150,COLUMN()/2+1,FALSE))),"")</f>
        <v/>
      </c>
      <c r="K124" s="90"/>
      <c r="L124" s="127" t="str">
        <f ca="1">IFERROR(VALUE(IF(VLOOKUP($A124,数出表_Excel!$A$6:$T$150,COLUMN()/2+1,FALSE)=0,"",VLOOKUP($A124,数出表_Excel!$A$6:$T$150,COLUMN()/2+1,FALSE))),"")</f>
        <v/>
      </c>
      <c r="M124" s="90"/>
      <c r="N124" s="125" t="str">
        <f ca="1">IFERROR(VALUE(IF(VLOOKUP($A124,数出表_Excel!$A$6:$T$150,COLUMN()/2+1,FALSE)=0,"",VLOOKUP($A124,数出表_Excel!$A$6:$T$150,COLUMN()/2+1,FALSE))),"")</f>
        <v/>
      </c>
      <c r="O124" s="90"/>
      <c r="P124" s="125" t="str">
        <f ca="1">IFERROR(VALUE(IF(VLOOKUP($A124,数出表_Excel!$A$6:$T$150,COLUMN()/2+1,FALSE)=0,"",VLOOKUP($A124,数出表_Excel!$A$6:$T$150,COLUMN()/2+1,FALSE))),"")</f>
        <v/>
      </c>
      <c r="Q124" s="90"/>
      <c r="R124" s="125" t="str">
        <f ca="1">IFERROR(VALUE(IF(VLOOKUP($A124,数出表_Excel!$A$6:$T$150,COLUMN()/2+1,FALSE)=0,"",VLOOKUP($A124,数出表_Excel!$A$6:$T$150,COLUMN()/2+1,FALSE))),"")</f>
        <v/>
      </c>
      <c r="S124" s="90"/>
      <c r="T124" s="125" t="str">
        <f ca="1">IFERROR(VALUE(IF(VLOOKUP($A124,数出表_Excel!$A$6:$T$150,COLUMN()/2+1,FALSE)=0,"",VLOOKUP($A124,数出表_Excel!$A$6:$T$150,COLUMN()/2+1,FALSE))),"")</f>
        <v/>
      </c>
      <c r="U124" s="90"/>
      <c r="V124" s="127" t="str">
        <f ca="1">IFERROR(VALUE(IF(VLOOKUP($A124,数出表_Excel!$A$6:$T$150,COLUMN()/2+1,FALSE)=0,"",VLOOKUP($A124,数出表_Excel!$A$6:$T$150,COLUMN()/2+1,FALSE))),"")</f>
        <v/>
      </c>
      <c r="W124" s="90"/>
      <c r="X124" s="127" t="str">
        <f ca="1">IFERROR(VALUE(IF(VLOOKUP($A124,数出表_Excel!$A$6:$T$150,COLUMN()/2+1,FALSE)=0,"",VLOOKUP($A124,数出表_Excel!$A$6:$T$150,COLUMN()/2+1,FALSE))),"")</f>
        <v/>
      </c>
      <c r="Y124" s="90"/>
      <c r="Z124" s="127" t="str">
        <f ca="1">IFERROR(VALUE(IF(VLOOKUP($A124,数出表_Excel!$A$6:$T$150,COLUMN()/2+1,FALSE)=0,"",VLOOKUP($A124,数出表_Excel!$A$6:$T$150,COLUMN()/2+1,FALSE))),"")</f>
        <v/>
      </c>
      <c r="AA124" s="128"/>
      <c r="AB124" s="126" t="str">
        <f ca="1">IFERROR(VALUE(IF(VLOOKUP($A124,数出表_Excel!$A$6:$T$150,COLUMN()/2+1,FALSE)=0,"",VLOOKUP($A124,数出表_Excel!$A$6:$T$150,COLUMN()/2+1,FALSE))),"")</f>
        <v/>
      </c>
      <c r="AC124" s="90"/>
      <c r="AD124" s="127" t="str">
        <f ca="1">IFERROR(VALUE(IF(VLOOKUP($A124,数出表_Excel!$A$6:$T$150,COLUMN()/2+1,FALSE)=0,"",VLOOKUP($A124,数出表_Excel!$A$6:$T$150,COLUMN()/2+1,FALSE))),"")</f>
        <v/>
      </c>
      <c r="AE124" s="90"/>
      <c r="AF124" s="127" t="str">
        <f ca="1">IFERROR(VALUE(IF(VLOOKUP($A124,数出表_Excel!$A$6:$T$150,COLUMN()/2+1,FALSE)=0,"",VLOOKUP($A124,数出表_Excel!$A$6:$T$150,COLUMN()/2+1,FALSE))),"")</f>
        <v/>
      </c>
      <c r="AG124" s="90"/>
      <c r="AH124" s="127" t="str">
        <f ca="1">IFERROR(VALUE(IF(VLOOKUP($A124,数出表_Excel!$A$6:$T$150,COLUMN()/2+1,FALSE)=0,"",VLOOKUP($A124,数出表_Excel!$A$6:$T$150,COLUMN()/2+1,FALSE))),"")</f>
        <v/>
      </c>
      <c r="AI124" s="128"/>
      <c r="AJ124" s="126" t="str">
        <f ca="1">IFERROR(VALUE(IF(VLOOKUP($A124,数出表_Excel!$A$6:$T$150,COLUMN()/2+1,FALSE)=0,"",VLOOKUP($A124,数出表_Excel!$A$6:$T$150,COLUMN()/2+1,FALSE))),"")</f>
        <v/>
      </c>
      <c r="AK124" s="90"/>
      <c r="AL124" s="94" t="e">
        <f ca="1">IF(A124&lt;&gt;"",
IF(VLOOKUP($A124,数出表_Excel!$A$6:$T$150,COLUMN()/2+1,FALSE)=0,"",VLOOKUP($A124,数出表_Excel!$A$6:$T$150,COLUMN()/2+1,FALSE)),"")</f>
        <v>#N/A</v>
      </c>
      <c r="AM124" s="175" t="e">
        <f>数出表_Excel!V124</f>
        <v>#N/A</v>
      </c>
      <c r="AN124" s="176" t="e">
        <f>数出表_Excel!W124</f>
        <v>#N/A</v>
      </c>
    </row>
    <row r="125" spans="1:40" ht="16.2" customHeight="1">
      <c r="A125" s="138" t="e">
        <f t="array" aca="1" ref="A125" ca="1">IF(OR(COUNTIF(A123,"*1000*"),COUNTIF(A123,"")),"",INDEX(貼り付け用!$A1:$A200,MATCH(A123,貼り付け用!$A1:$A200,0)+2,0))</f>
        <v>#N/A</v>
      </c>
      <c r="B125" s="91" t="str">
        <f ca="1">IFERROR(VALUE(IF(VLOOKUP($A125,数出表_Excel!$A$6:$T$150,COLUMN()/2+1,FALSE)=0,"",VLOOKUP($A125,数出表_Excel!$A$6:$T$150,COLUMN()/2+1,FALSE))),"")</f>
        <v/>
      </c>
      <c r="C125" s="91"/>
      <c r="D125" s="91" t="str">
        <f ca="1">IFERROR(VALUE(IF(VLOOKUP($A125,数出表_Excel!$A$6:$T$150,COLUMN()/2+1,FALSE)=0,"",VLOOKUP($A125,数出表_Excel!$A$6:$T$150,COLUMN()/2+1,FALSE))),"")</f>
        <v/>
      </c>
      <c r="E125" s="91"/>
      <c r="F125" s="95" t="str">
        <f ca="1">IFERROR(VALUE(IF(VLOOKUP($A125,数出表_Excel!$A$6:$T$150,COLUMN()/2+1,FALSE)=0,"",VLOOKUP($A125,数出表_Excel!$A$6:$T$150,COLUMN()/2+1,FALSE))),"")</f>
        <v/>
      </c>
      <c r="G125" s="91"/>
      <c r="H125" s="91" t="str">
        <f ca="1">IFERROR(VALUE(IF(VLOOKUP($A125,数出表_Excel!$A$6:$T$150,COLUMN()/2+1,FALSE)=0,"",VLOOKUP($A125,数出表_Excel!$A$6:$T$150,COLUMN()/2+1,FALSE))),"")</f>
        <v/>
      </c>
      <c r="I125" s="91"/>
      <c r="J125" s="91" t="str">
        <f ca="1">IFERROR(VALUE(IF(VLOOKUP($A125,数出表_Excel!$A$6:$T$150,COLUMN()/2+1,FALSE)=0,"",VLOOKUP($A125,数出表_Excel!$A$6:$T$150,COLUMN()/2+1,FALSE))),"")</f>
        <v/>
      </c>
      <c r="K125" s="91"/>
      <c r="L125" s="95" t="str">
        <f ca="1">IFERROR(VALUE(IF(VLOOKUP($A125,数出表_Excel!$A$6:$T$150,COLUMN()/2+1,FALSE)=0,"",VLOOKUP($A125,数出表_Excel!$A$6:$T$150,COLUMN()/2+1,FALSE))),"")</f>
        <v/>
      </c>
      <c r="M125" s="91"/>
      <c r="N125" s="91" t="str">
        <f ca="1">IFERROR(VALUE(IF(VLOOKUP($A125,数出表_Excel!$A$6:$T$150,COLUMN()/2+1,FALSE)=0,"",VLOOKUP($A125,数出表_Excel!$A$6:$T$150,COLUMN()/2+1,FALSE))),"")</f>
        <v/>
      </c>
      <c r="O125" s="91"/>
      <c r="P125" s="91" t="str">
        <f ca="1">IFERROR(VALUE(IF(VLOOKUP($A125,数出表_Excel!$A$6:$T$150,COLUMN()/2+1,FALSE)=0,"",VLOOKUP($A125,数出表_Excel!$A$6:$T$150,COLUMN()/2+1,FALSE))),"")</f>
        <v/>
      </c>
      <c r="Q125" s="91"/>
      <c r="R125" s="91" t="str">
        <f ca="1">IFERROR(VALUE(IF(VLOOKUP($A125,数出表_Excel!$A$6:$T$150,COLUMN()/2+1,FALSE)=0,"",VLOOKUP($A125,数出表_Excel!$A$6:$T$150,COLUMN()/2+1,FALSE))),"")</f>
        <v/>
      </c>
      <c r="S125" s="91"/>
      <c r="T125" s="91" t="str">
        <f ca="1">IFERROR(VALUE(IF(VLOOKUP($A125,数出表_Excel!$A$6:$T$150,COLUMN()/2+1,FALSE)=0,"",VLOOKUP($A125,数出表_Excel!$A$6:$T$150,COLUMN()/2+1,FALSE))),"")</f>
        <v/>
      </c>
      <c r="U125" s="91"/>
      <c r="V125" s="95" t="str">
        <f ca="1">IFERROR(VALUE(IF(VLOOKUP($A125,数出表_Excel!$A$6:$T$150,COLUMN()/2+1,FALSE)=0,"",VLOOKUP($A125,数出表_Excel!$A$6:$T$150,COLUMN()/2+1,FALSE))),"")</f>
        <v/>
      </c>
      <c r="W125" s="91"/>
      <c r="X125" s="95" t="str">
        <f ca="1">IFERROR(VALUE(IF(VLOOKUP($A125,数出表_Excel!$A$6:$T$150,COLUMN()/2+1,FALSE)=0,"",VLOOKUP($A125,数出表_Excel!$A$6:$T$150,COLUMN()/2+1,FALSE))),"")</f>
        <v/>
      </c>
      <c r="Y125" s="91"/>
      <c r="Z125" s="95" t="str">
        <f ca="1">IFERROR(VALUE(IF(VLOOKUP($A125,数出表_Excel!$A$6:$T$150,COLUMN()/2+1,FALSE)=0,"",VLOOKUP($A125,数出表_Excel!$A$6:$T$150,COLUMN()/2+1,FALSE))),"")</f>
        <v/>
      </c>
      <c r="AA125" s="129"/>
      <c r="AB125" s="96" t="str">
        <f ca="1">IFERROR(VALUE(IF(VLOOKUP($A125,数出表_Excel!$A$6:$T$150,COLUMN()/2+1,FALSE)=0,"",VLOOKUP($A125,数出表_Excel!$A$6:$T$150,COLUMN()/2+1,FALSE))),"")</f>
        <v/>
      </c>
      <c r="AC125" s="91"/>
      <c r="AD125" s="95" t="str">
        <f ca="1">IFERROR(VALUE(IF(VLOOKUP($A125,数出表_Excel!$A$6:$T$150,COLUMN()/2+1,FALSE)=0,"",VLOOKUP($A125,数出表_Excel!$A$6:$T$150,COLUMN()/2+1,FALSE))),"")</f>
        <v/>
      </c>
      <c r="AE125" s="91"/>
      <c r="AF125" s="95" t="str">
        <f ca="1">IFERROR(VALUE(IF(VLOOKUP($A125,数出表_Excel!$A$6:$T$150,COLUMN()/2+1,FALSE)=0,"",VLOOKUP($A125,数出表_Excel!$A$6:$T$150,COLUMN()/2+1,FALSE))),"")</f>
        <v/>
      </c>
      <c r="AG125" s="91"/>
      <c r="AH125" s="95" t="str">
        <f ca="1">IFERROR(VALUE(IF(VLOOKUP($A125,数出表_Excel!$A$6:$T$150,COLUMN()/2+1,FALSE)=0,"",VLOOKUP($A125,数出表_Excel!$A$6:$T$150,COLUMN()/2+1,FALSE))),"")</f>
        <v/>
      </c>
      <c r="AI125" s="129"/>
      <c r="AJ125" s="96" t="str">
        <f ca="1">IFERROR(VALUE(IF(VLOOKUP($A125,数出表_Excel!$A$6:$T$150,COLUMN()/2+1,FALSE)=0,"",VLOOKUP($A125,数出表_Excel!$A$6:$T$150,COLUMN()/2+1,FALSE))),"")</f>
        <v/>
      </c>
      <c r="AK125" s="91"/>
      <c r="AL125" s="97" t="e">
        <f ca="1">IF(A125&lt;&gt;"",
IF(VLOOKUP($A125,数出表_Excel!$A$6:$T$150,COLUMN()/2+1,FALSE)=0,"",VLOOKUP($A125,数出表_Excel!$A$6:$T$150,COLUMN()/2+1,FALSE)),"")</f>
        <v>#N/A</v>
      </c>
      <c r="AM125" s="177" t="e">
        <f>数出表_Excel!V125</f>
        <v>#N/A</v>
      </c>
      <c r="AN125" s="178" t="e">
        <f>数出表_Excel!W125</f>
        <v>#N/A</v>
      </c>
    </row>
    <row r="126" spans="1:40" ht="16.2" customHeight="1">
      <c r="A126" s="137" t="e">
        <f t="array" aca="1" ref="A126" ca="1">IF(OR(COUNTIF(A124,"*10002*"),COUNTIF(A124,"")),"",INDEX(貼り付け用!$A1:$A200,MATCH(A124,貼り付け用!$A1:$A200,0)+2,0))</f>
        <v>#N/A</v>
      </c>
      <c r="B126" s="125" t="str">
        <f ca="1">IFERROR(VALUE(IF(VLOOKUP($A126,数出表_Excel!$A$6:$T$150,COLUMN()/2+1,FALSE)=0,"",VLOOKUP($A126,数出表_Excel!$A$6:$T$150,COLUMN()/2+1,FALSE))),"")</f>
        <v/>
      </c>
      <c r="C126" s="90"/>
      <c r="D126" s="125" t="str">
        <f ca="1">IFERROR(VALUE(IF(VLOOKUP($A126,数出表_Excel!$A$6:$T$150,COLUMN()/2+1,FALSE)=0,"",VLOOKUP($A126,数出表_Excel!$A$6:$T$150,COLUMN()/2+1,FALSE))),"")</f>
        <v/>
      </c>
      <c r="E126" s="90"/>
      <c r="F126" s="127" t="str">
        <f ca="1">IFERROR(VALUE(IF(VLOOKUP($A126,数出表_Excel!$A$6:$T$150,COLUMN()/2+1,FALSE)=0,"",VLOOKUP($A126,数出表_Excel!$A$6:$T$150,COLUMN()/2+1,FALSE))),"")</f>
        <v/>
      </c>
      <c r="G126" s="90"/>
      <c r="H126" s="125" t="str">
        <f ca="1">IFERROR(VALUE(IF(VLOOKUP($A126,数出表_Excel!$A$6:$T$150,COLUMN()/2+1,FALSE)=0,"",VLOOKUP($A126,数出表_Excel!$A$6:$T$150,COLUMN()/2+1,FALSE))),"")</f>
        <v/>
      </c>
      <c r="I126" s="90"/>
      <c r="J126" s="125" t="str">
        <f ca="1">IFERROR(VALUE(IF(VLOOKUP($A126,数出表_Excel!$A$6:$T$150,COLUMN()/2+1,FALSE)=0,"",VLOOKUP($A126,数出表_Excel!$A$6:$T$150,COLUMN()/2+1,FALSE))),"")</f>
        <v/>
      </c>
      <c r="K126" s="90"/>
      <c r="L126" s="127" t="str">
        <f ca="1">IFERROR(VALUE(IF(VLOOKUP($A126,数出表_Excel!$A$6:$T$150,COLUMN()/2+1,FALSE)=0,"",VLOOKUP($A126,数出表_Excel!$A$6:$T$150,COLUMN()/2+1,FALSE))),"")</f>
        <v/>
      </c>
      <c r="M126" s="90"/>
      <c r="N126" s="125" t="str">
        <f ca="1">IFERROR(VALUE(IF(VLOOKUP($A126,数出表_Excel!$A$6:$T$150,COLUMN()/2+1,FALSE)=0,"",VLOOKUP($A126,数出表_Excel!$A$6:$T$150,COLUMN()/2+1,FALSE))),"")</f>
        <v/>
      </c>
      <c r="O126" s="90"/>
      <c r="P126" s="125" t="str">
        <f ca="1">IFERROR(VALUE(IF(VLOOKUP($A126,数出表_Excel!$A$6:$T$150,COLUMN()/2+1,FALSE)=0,"",VLOOKUP($A126,数出表_Excel!$A$6:$T$150,COLUMN()/2+1,FALSE))),"")</f>
        <v/>
      </c>
      <c r="Q126" s="90"/>
      <c r="R126" s="125" t="str">
        <f ca="1">IFERROR(VALUE(IF(VLOOKUP($A126,数出表_Excel!$A$6:$T$150,COLUMN()/2+1,FALSE)=0,"",VLOOKUP($A126,数出表_Excel!$A$6:$T$150,COLUMN()/2+1,FALSE))),"")</f>
        <v/>
      </c>
      <c r="S126" s="90"/>
      <c r="T126" s="125" t="str">
        <f ca="1">IFERROR(VALUE(IF(VLOOKUP($A126,数出表_Excel!$A$6:$T$150,COLUMN()/2+1,FALSE)=0,"",VLOOKUP($A126,数出表_Excel!$A$6:$T$150,COLUMN()/2+1,FALSE))),"")</f>
        <v/>
      </c>
      <c r="U126" s="90"/>
      <c r="V126" s="127" t="str">
        <f ca="1">IFERROR(VALUE(IF(VLOOKUP($A126,数出表_Excel!$A$6:$T$150,COLUMN()/2+1,FALSE)=0,"",VLOOKUP($A126,数出表_Excel!$A$6:$T$150,COLUMN()/2+1,FALSE))),"")</f>
        <v/>
      </c>
      <c r="W126" s="90"/>
      <c r="X126" s="127" t="str">
        <f ca="1">IFERROR(VALUE(IF(VLOOKUP($A126,数出表_Excel!$A$6:$T$150,COLUMN()/2+1,FALSE)=0,"",VLOOKUP($A126,数出表_Excel!$A$6:$T$150,COLUMN()/2+1,FALSE))),"")</f>
        <v/>
      </c>
      <c r="Y126" s="90"/>
      <c r="Z126" s="127" t="str">
        <f ca="1">IFERROR(VALUE(IF(VLOOKUP($A126,数出表_Excel!$A$6:$T$150,COLUMN()/2+1,FALSE)=0,"",VLOOKUP($A126,数出表_Excel!$A$6:$T$150,COLUMN()/2+1,FALSE))),"")</f>
        <v/>
      </c>
      <c r="AA126" s="128"/>
      <c r="AB126" s="126" t="str">
        <f ca="1">IFERROR(VALUE(IF(VLOOKUP($A126,数出表_Excel!$A$6:$T$150,COLUMN()/2+1,FALSE)=0,"",VLOOKUP($A126,数出表_Excel!$A$6:$T$150,COLUMN()/2+1,FALSE))),"")</f>
        <v/>
      </c>
      <c r="AC126" s="90"/>
      <c r="AD126" s="127" t="str">
        <f ca="1">IFERROR(VALUE(IF(VLOOKUP($A126,数出表_Excel!$A$6:$T$150,COLUMN()/2+1,FALSE)=0,"",VLOOKUP($A126,数出表_Excel!$A$6:$T$150,COLUMN()/2+1,FALSE))),"")</f>
        <v/>
      </c>
      <c r="AE126" s="90"/>
      <c r="AF126" s="127" t="str">
        <f ca="1">IFERROR(VALUE(IF(VLOOKUP($A126,数出表_Excel!$A$6:$T$150,COLUMN()/2+1,FALSE)=0,"",VLOOKUP($A126,数出表_Excel!$A$6:$T$150,COLUMN()/2+1,FALSE))),"")</f>
        <v/>
      </c>
      <c r="AG126" s="90"/>
      <c r="AH126" s="127" t="str">
        <f ca="1">IFERROR(VALUE(IF(VLOOKUP($A126,数出表_Excel!$A$6:$T$150,COLUMN()/2+1,FALSE)=0,"",VLOOKUP($A126,数出表_Excel!$A$6:$T$150,COLUMN()/2+1,FALSE))),"")</f>
        <v/>
      </c>
      <c r="AI126" s="128"/>
      <c r="AJ126" s="126" t="str">
        <f ca="1">IFERROR(VALUE(IF(VLOOKUP($A126,数出表_Excel!$A$6:$T$150,COLUMN()/2+1,FALSE)=0,"",VLOOKUP($A126,数出表_Excel!$A$6:$T$150,COLUMN()/2+1,FALSE))),"")</f>
        <v/>
      </c>
      <c r="AK126" s="90"/>
      <c r="AL126" s="94" t="e">
        <f ca="1">IF(A126&lt;&gt;"",
IF(VLOOKUP($A126,数出表_Excel!$A$6:$T$150,COLUMN()/2+1,FALSE)=0,"",VLOOKUP($A126,数出表_Excel!$A$6:$T$150,COLUMN()/2+1,FALSE)),"")</f>
        <v>#N/A</v>
      </c>
      <c r="AM126" s="175" t="e">
        <f>数出表_Excel!V126</f>
        <v>#N/A</v>
      </c>
      <c r="AN126" s="176" t="e">
        <f>数出表_Excel!W126</f>
        <v>#N/A</v>
      </c>
    </row>
    <row r="127" spans="1:40" ht="16.2" customHeight="1">
      <c r="A127" s="138" t="e">
        <f t="array" aca="1" ref="A127" ca="1">IF(OR(COUNTIF(A125,"*1000*"),COUNTIF(A125,"")),"",INDEX(貼り付け用!$A1:$A200,MATCH(A125,貼り付け用!$A1:$A200,0)+2,0))</f>
        <v>#N/A</v>
      </c>
      <c r="B127" s="91" t="str">
        <f ca="1">IFERROR(VALUE(IF(VLOOKUP($A127,数出表_Excel!$A$6:$T$150,COLUMN()/2+1,FALSE)=0,"",VLOOKUP($A127,数出表_Excel!$A$6:$T$150,COLUMN()/2+1,FALSE))),"")</f>
        <v/>
      </c>
      <c r="C127" s="91"/>
      <c r="D127" s="91" t="str">
        <f ca="1">IFERROR(VALUE(IF(VLOOKUP($A127,数出表_Excel!$A$6:$T$150,COLUMN()/2+1,FALSE)=0,"",VLOOKUP($A127,数出表_Excel!$A$6:$T$150,COLUMN()/2+1,FALSE))),"")</f>
        <v/>
      </c>
      <c r="E127" s="91"/>
      <c r="F127" s="95" t="str">
        <f ca="1">IFERROR(VALUE(IF(VLOOKUP($A127,数出表_Excel!$A$6:$T$150,COLUMN()/2+1,FALSE)=0,"",VLOOKUP($A127,数出表_Excel!$A$6:$T$150,COLUMN()/2+1,FALSE))),"")</f>
        <v/>
      </c>
      <c r="G127" s="91"/>
      <c r="H127" s="91" t="str">
        <f ca="1">IFERROR(VALUE(IF(VLOOKUP($A127,数出表_Excel!$A$6:$T$150,COLUMN()/2+1,FALSE)=0,"",VLOOKUP($A127,数出表_Excel!$A$6:$T$150,COLUMN()/2+1,FALSE))),"")</f>
        <v/>
      </c>
      <c r="I127" s="91"/>
      <c r="J127" s="91" t="str">
        <f ca="1">IFERROR(VALUE(IF(VLOOKUP($A127,数出表_Excel!$A$6:$T$150,COLUMN()/2+1,FALSE)=0,"",VLOOKUP($A127,数出表_Excel!$A$6:$T$150,COLUMN()/2+1,FALSE))),"")</f>
        <v/>
      </c>
      <c r="K127" s="91"/>
      <c r="L127" s="95" t="str">
        <f ca="1">IFERROR(VALUE(IF(VLOOKUP($A127,数出表_Excel!$A$6:$T$150,COLUMN()/2+1,FALSE)=0,"",VLOOKUP($A127,数出表_Excel!$A$6:$T$150,COLUMN()/2+1,FALSE))),"")</f>
        <v/>
      </c>
      <c r="M127" s="91"/>
      <c r="N127" s="91" t="str">
        <f ca="1">IFERROR(VALUE(IF(VLOOKUP($A127,数出表_Excel!$A$6:$T$150,COLUMN()/2+1,FALSE)=0,"",VLOOKUP($A127,数出表_Excel!$A$6:$T$150,COLUMN()/2+1,FALSE))),"")</f>
        <v/>
      </c>
      <c r="O127" s="91"/>
      <c r="P127" s="91" t="str">
        <f ca="1">IFERROR(VALUE(IF(VLOOKUP($A127,数出表_Excel!$A$6:$T$150,COLUMN()/2+1,FALSE)=0,"",VLOOKUP($A127,数出表_Excel!$A$6:$T$150,COLUMN()/2+1,FALSE))),"")</f>
        <v/>
      </c>
      <c r="Q127" s="91"/>
      <c r="R127" s="91" t="str">
        <f ca="1">IFERROR(VALUE(IF(VLOOKUP($A127,数出表_Excel!$A$6:$T$150,COLUMN()/2+1,FALSE)=0,"",VLOOKUP($A127,数出表_Excel!$A$6:$T$150,COLUMN()/2+1,FALSE))),"")</f>
        <v/>
      </c>
      <c r="S127" s="91"/>
      <c r="T127" s="91" t="str">
        <f ca="1">IFERROR(VALUE(IF(VLOOKUP($A127,数出表_Excel!$A$6:$T$150,COLUMN()/2+1,FALSE)=0,"",VLOOKUP($A127,数出表_Excel!$A$6:$T$150,COLUMN()/2+1,FALSE))),"")</f>
        <v/>
      </c>
      <c r="U127" s="91"/>
      <c r="V127" s="95" t="str">
        <f ca="1">IFERROR(VALUE(IF(VLOOKUP($A127,数出表_Excel!$A$6:$T$150,COLUMN()/2+1,FALSE)=0,"",VLOOKUP($A127,数出表_Excel!$A$6:$T$150,COLUMN()/2+1,FALSE))),"")</f>
        <v/>
      </c>
      <c r="W127" s="91"/>
      <c r="X127" s="95" t="str">
        <f ca="1">IFERROR(VALUE(IF(VLOOKUP($A127,数出表_Excel!$A$6:$T$150,COLUMN()/2+1,FALSE)=0,"",VLOOKUP($A127,数出表_Excel!$A$6:$T$150,COLUMN()/2+1,FALSE))),"")</f>
        <v/>
      </c>
      <c r="Y127" s="91"/>
      <c r="Z127" s="95" t="str">
        <f ca="1">IFERROR(VALUE(IF(VLOOKUP($A127,数出表_Excel!$A$6:$T$150,COLUMN()/2+1,FALSE)=0,"",VLOOKUP($A127,数出表_Excel!$A$6:$T$150,COLUMN()/2+1,FALSE))),"")</f>
        <v/>
      </c>
      <c r="AA127" s="129"/>
      <c r="AB127" s="96" t="str">
        <f ca="1">IFERROR(VALUE(IF(VLOOKUP($A127,数出表_Excel!$A$6:$T$150,COLUMN()/2+1,FALSE)=0,"",VLOOKUP($A127,数出表_Excel!$A$6:$T$150,COLUMN()/2+1,FALSE))),"")</f>
        <v/>
      </c>
      <c r="AC127" s="91"/>
      <c r="AD127" s="95" t="str">
        <f ca="1">IFERROR(VALUE(IF(VLOOKUP($A127,数出表_Excel!$A$6:$T$150,COLUMN()/2+1,FALSE)=0,"",VLOOKUP($A127,数出表_Excel!$A$6:$T$150,COLUMN()/2+1,FALSE))),"")</f>
        <v/>
      </c>
      <c r="AE127" s="91"/>
      <c r="AF127" s="95" t="str">
        <f ca="1">IFERROR(VALUE(IF(VLOOKUP($A127,数出表_Excel!$A$6:$T$150,COLUMN()/2+1,FALSE)=0,"",VLOOKUP($A127,数出表_Excel!$A$6:$T$150,COLUMN()/2+1,FALSE))),"")</f>
        <v/>
      </c>
      <c r="AG127" s="91"/>
      <c r="AH127" s="95" t="str">
        <f ca="1">IFERROR(VALUE(IF(VLOOKUP($A127,数出表_Excel!$A$6:$T$150,COLUMN()/2+1,FALSE)=0,"",VLOOKUP($A127,数出表_Excel!$A$6:$T$150,COLUMN()/2+1,FALSE))),"")</f>
        <v/>
      </c>
      <c r="AI127" s="129"/>
      <c r="AJ127" s="96" t="str">
        <f ca="1">IFERROR(VALUE(IF(VLOOKUP($A127,数出表_Excel!$A$6:$T$150,COLUMN()/2+1,FALSE)=0,"",VLOOKUP($A127,数出表_Excel!$A$6:$T$150,COLUMN()/2+1,FALSE))),"")</f>
        <v/>
      </c>
      <c r="AK127" s="91"/>
      <c r="AL127" s="97" t="e">
        <f ca="1">IF(A127&lt;&gt;"",
IF(VLOOKUP($A127,数出表_Excel!$A$6:$T$150,COLUMN()/2+1,FALSE)=0,"",VLOOKUP($A127,数出表_Excel!$A$6:$T$150,COLUMN()/2+1,FALSE)),"")</f>
        <v>#N/A</v>
      </c>
      <c r="AM127" s="177" t="e">
        <f>数出表_Excel!V127</f>
        <v>#N/A</v>
      </c>
      <c r="AN127" s="178" t="e">
        <f>数出表_Excel!W127</f>
        <v>#N/A</v>
      </c>
    </row>
    <row r="128" spans="1:40" ht="16.2" customHeight="1">
      <c r="A128" s="137" t="e">
        <f t="array" aca="1" ref="A128" ca="1">IF(OR(COUNTIF(A126,"*10002*"),COUNTIF(A126,"")),"",INDEX(貼り付け用!$A1:$A200,MATCH(A126,貼り付け用!$A1:$A200,0)+2,0))</f>
        <v>#N/A</v>
      </c>
      <c r="B128" s="125" t="str">
        <f ca="1">IFERROR(VALUE(IF(VLOOKUP($A128,数出表_Excel!$A$6:$T$150,COLUMN()/2+1,FALSE)=0,"",VLOOKUP($A128,数出表_Excel!$A$6:$T$150,COLUMN()/2+1,FALSE))),"")</f>
        <v/>
      </c>
      <c r="C128" s="90"/>
      <c r="D128" s="125" t="str">
        <f ca="1">IFERROR(VALUE(IF(VLOOKUP($A128,数出表_Excel!$A$6:$T$150,COLUMN()/2+1,FALSE)=0,"",VLOOKUP($A128,数出表_Excel!$A$6:$T$150,COLUMN()/2+1,FALSE))),"")</f>
        <v/>
      </c>
      <c r="E128" s="90"/>
      <c r="F128" s="127" t="str">
        <f ca="1">IFERROR(VALUE(IF(VLOOKUP($A128,数出表_Excel!$A$6:$T$150,COLUMN()/2+1,FALSE)=0,"",VLOOKUP($A128,数出表_Excel!$A$6:$T$150,COLUMN()/2+1,FALSE))),"")</f>
        <v/>
      </c>
      <c r="G128" s="90"/>
      <c r="H128" s="125" t="str">
        <f ca="1">IFERROR(VALUE(IF(VLOOKUP($A128,数出表_Excel!$A$6:$T$150,COLUMN()/2+1,FALSE)=0,"",VLOOKUP($A128,数出表_Excel!$A$6:$T$150,COLUMN()/2+1,FALSE))),"")</f>
        <v/>
      </c>
      <c r="I128" s="90"/>
      <c r="J128" s="125" t="str">
        <f ca="1">IFERROR(VALUE(IF(VLOOKUP($A128,数出表_Excel!$A$6:$T$150,COLUMN()/2+1,FALSE)=0,"",VLOOKUP($A128,数出表_Excel!$A$6:$T$150,COLUMN()/2+1,FALSE))),"")</f>
        <v/>
      </c>
      <c r="K128" s="90"/>
      <c r="L128" s="127" t="str">
        <f ca="1">IFERROR(VALUE(IF(VLOOKUP($A128,数出表_Excel!$A$6:$T$150,COLUMN()/2+1,FALSE)=0,"",VLOOKUP($A128,数出表_Excel!$A$6:$T$150,COLUMN()/2+1,FALSE))),"")</f>
        <v/>
      </c>
      <c r="M128" s="90"/>
      <c r="N128" s="125" t="str">
        <f ca="1">IFERROR(VALUE(IF(VLOOKUP($A128,数出表_Excel!$A$6:$T$150,COLUMN()/2+1,FALSE)=0,"",VLOOKUP($A128,数出表_Excel!$A$6:$T$150,COLUMN()/2+1,FALSE))),"")</f>
        <v/>
      </c>
      <c r="O128" s="90"/>
      <c r="P128" s="125" t="str">
        <f ca="1">IFERROR(VALUE(IF(VLOOKUP($A128,数出表_Excel!$A$6:$T$150,COLUMN()/2+1,FALSE)=0,"",VLOOKUP($A128,数出表_Excel!$A$6:$T$150,COLUMN()/2+1,FALSE))),"")</f>
        <v/>
      </c>
      <c r="Q128" s="90"/>
      <c r="R128" s="125" t="str">
        <f ca="1">IFERROR(VALUE(IF(VLOOKUP($A128,数出表_Excel!$A$6:$T$150,COLUMN()/2+1,FALSE)=0,"",VLOOKUP($A128,数出表_Excel!$A$6:$T$150,COLUMN()/2+1,FALSE))),"")</f>
        <v/>
      </c>
      <c r="S128" s="90"/>
      <c r="T128" s="125" t="str">
        <f ca="1">IFERROR(VALUE(IF(VLOOKUP($A128,数出表_Excel!$A$6:$T$150,COLUMN()/2+1,FALSE)=0,"",VLOOKUP($A128,数出表_Excel!$A$6:$T$150,COLUMN()/2+1,FALSE))),"")</f>
        <v/>
      </c>
      <c r="U128" s="90"/>
      <c r="V128" s="127" t="str">
        <f ca="1">IFERROR(VALUE(IF(VLOOKUP($A128,数出表_Excel!$A$6:$T$150,COLUMN()/2+1,FALSE)=0,"",VLOOKUP($A128,数出表_Excel!$A$6:$T$150,COLUMN()/2+1,FALSE))),"")</f>
        <v/>
      </c>
      <c r="W128" s="90"/>
      <c r="X128" s="127" t="str">
        <f ca="1">IFERROR(VALUE(IF(VLOOKUP($A128,数出表_Excel!$A$6:$T$150,COLUMN()/2+1,FALSE)=0,"",VLOOKUP($A128,数出表_Excel!$A$6:$T$150,COLUMN()/2+1,FALSE))),"")</f>
        <v/>
      </c>
      <c r="Y128" s="90"/>
      <c r="Z128" s="127" t="str">
        <f ca="1">IFERROR(VALUE(IF(VLOOKUP($A128,数出表_Excel!$A$6:$T$150,COLUMN()/2+1,FALSE)=0,"",VLOOKUP($A128,数出表_Excel!$A$6:$T$150,COLUMN()/2+1,FALSE))),"")</f>
        <v/>
      </c>
      <c r="AA128" s="128"/>
      <c r="AB128" s="126" t="str">
        <f ca="1">IFERROR(VALUE(IF(VLOOKUP($A128,数出表_Excel!$A$6:$T$150,COLUMN()/2+1,FALSE)=0,"",VLOOKUP($A128,数出表_Excel!$A$6:$T$150,COLUMN()/2+1,FALSE))),"")</f>
        <v/>
      </c>
      <c r="AC128" s="90"/>
      <c r="AD128" s="127" t="str">
        <f ca="1">IFERROR(VALUE(IF(VLOOKUP($A128,数出表_Excel!$A$6:$T$150,COLUMN()/2+1,FALSE)=0,"",VLOOKUP($A128,数出表_Excel!$A$6:$T$150,COLUMN()/2+1,FALSE))),"")</f>
        <v/>
      </c>
      <c r="AE128" s="90"/>
      <c r="AF128" s="127" t="str">
        <f ca="1">IFERROR(VALUE(IF(VLOOKUP($A128,数出表_Excel!$A$6:$T$150,COLUMN()/2+1,FALSE)=0,"",VLOOKUP($A128,数出表_Excel!$A$6:$T$150,COLUMN()/2+1,FALSE))),"")</f>
        <v/>
      </c>
      <c r="AG128" s="90"/>
      <c r="AH128" s="127" t="str">
        <f ca="1">IFERROR(VALUE(IF(VLOOKUP($A128,数出表_Excel!$A$6:$T$150,COLUMN()/2+1,FALSE)=0,"",VLOOKUP($A128,数出表_Excel!$A$6:$T$150,COLUMN()/2+1,FALSE))),"")</f>
        <v/>
      </c>
      <c r="AI128" s="128"/>
      <c r="AJ128" s="126" t="str">
        <f ca="1">IFERROR(VALUE(IF(VLOOKUP($A128,数出表_Excel!$A$6:$T$150,COLUMN()/2+1,FALSE)=0,"",VLOOKUP($A128,数出表_Excel!$A$6:$T$150,COLUMN()/2+1,FALSE))),"")</f>
        <v/>
      </c>
      <c r="AK128" s="90"/>
      <c r="AL128" s="94" t="e">
        <f ca="1">IF(A128&lt;&gt;"",
IF(VLOOKUP($A128,数出表_Excel!$A$6:$T$150,COLUMN()/2+1,FALSE)=0,"",VLOOKUP($A128,数出表_Excel!$A$6:$T$150,COLUMN()/2+1,FALSE)),"")</f>
        <v>#N/A</v>
      </c>
      <c r="AM128" s="175" t="e">
        <f>数出表_Excel!V128</f>
        <v>#N/A</v>
      </c>
      <c r="AN128" s="176" t="e">
        <f>数出表_Excel!W128</f>
        <v>#N/A</v>
      </c>
    </row>
    <row r="129" spans="1:40" ht="16.2" customHeight="1">
      <c r="A129" s="138" t="e">
        <f t="array" aca="1" ref="A129" ca="1">IF(OR(COUNTIF(A127,"*1000*"),COUNTIF(A127,"")),"",INDEX(貼り付け用!$A1:$A200,MATCH(A127,貼り付け用!$A1:$A200,0)+2,0))</f>
        <v>#N/A</v>
      </c>
      <c r="B129" s="91" t="str">
        <f ca="1">IFERROR(VALUE(IF(VLOOKUP($A129,数出表_Excel!$A$6:$T$150,COLUMN()/2+1,FALSE)=0,"",VLOOKUP($A129,数出表_Excel!$A$6:$T$150,COLUMN()/2+1,FALSE))),"")</f>
        <v/>
      </c>
      <c r="C129" s="91"/>
      <c r="D129" s="91" t="str">
        <f ca="1">IFERROR(VALUE(IF(VLOOKUP($A129,数出表_Excel!$A$6:$T$150,COLUMN()/2+1,FALSE)=0,"",VLOOKUP($A129,数出表_Excel!$A$6:$T$150,COLUMN()/2+1,FALSE))),"")</f>
        <v/>
      </c>
      <c r="E129" s="91"/>
      <c r="F129" s="95" t="str">
        <f ca="1">IFERROR(VALUE(IF(VLOOKUP($A129,数出表_Excel!$A$6:$T$150,COLUMN()/2+1,FALSE)=0,"",VLOOKUP($A129,数出表_Excel!$A$6:$T$150,COLUMN()/2+1,FALSE))),"")</f>
        <v/>
      </c>
      <c r="G129" s="91"/>
      <c r="H129" s="91" t="str">
        <f ca="1">IFERROR(VALUE(IF(VLOOKUP($A129,数出表_Excel!$A$6:$T$150,COLUMN()/2+1,FALSE)=0,"",VLOOKUP($A129,数出表_Excel!$A$6:$T$150,COLUMN()/2+1,FALSE))),"")</f>
        <v/>
      </c>
      <c r="I129" s="91"/>
      <c r="J129" s="91" t="str">
        <f ca="1">IFERROR(VALUE(IF(VLOOKUP($A129,数出表_Excel!$A$6:$T$150,COLUMN()/2+1,FALSE)=0,"",VLOOKUP($A129,数出表_Excel!$A$6:$T$150,COLUMN()/2+1,FALSE))),"")</f>
        <v/>
      </c>
      <c r="K129" s="91"/>
      <c r="L129" s="95" t="str">
        <f ca="1">IFERROR(VALUE(IF(VLOOKUP($A129,数出表_Excel!$A$6:$T$150,COLUMN()/2+1,FALSE)=0,"",VLOOKUP($A129,数出表_Excel!$A$6:$T$150,COLUMN()/2+1,FALSE))),"")</f>
        <v/>
      </c>
      <c r="M129" s="91"/>
      <c r="N129" s="91" t="str">
        <f ca="1">IFERROR(VALUE(IF(VLOOKUP($A129,数出表_Excel!$A$6:$T$150,COLUMN()/2+1,FALSE)=0,"",VLOOKUP($A129,数出表_Excel!$A$6:$T$150,COLUMN()/2+1,FALSE))),"")</f>
        <v/>
      </c>
      <c r="O129" s="91"/>
      <c r="P129" s="91" t="str">
        <f ca="1">IFERROR(VALUE(IF(VLOOKUP($A129,数出表_Excel!$A$6:$T$150,COLUMN()/2+1,FALSE)=0,"",VLOOKUP($A129,数出表_Excel!$A$6:$T$150,COLUMN()/2+1,FALSE))),"")</f>
        <v/>
      </c>
      <c r="Q129" s="91"/>
      <c r="R129" s="91" t="str">
        <f ca="1">IFERROR(VALUE(IF(VLOOKUP($A129,数出表_Excel!$A$6:$T$150,COLUMN()/2+1,FALSE)=0,"",VLOOKUP($A129,数出表_Excel!$A$6:$T$150,COLUMN()/2+1,FALSE))),"")</f>
        <v/>
      </c>
      <c r="S129" s="91"/>
      <c r="T129" s="91" t="str">
        <f ca="1">IFERROR(VALUE(IF(VLOOKUP($A129,数出表_Excel!$A$6:$T$150,COLUMN()/2+1,FALSE)=0,"",VLOOKUP($A129,数出表_Excel!$A$6:$T$150,COLUMN()/2+1,FALSE))),"")</f>
        <v/>
      </c>
      <c r="U129" s="91"/>
      <c r="V129" s="95" t="str">
        <f ca="1">IFERROR(VALUE(IF(VLOOKUP($A129,数出表_Excel!$A$6:$T$150,COLUMN()/2+1,FALSE)=0,"",VLOOKUP($A129,数出表_Excel!$A$6:$T$150,COLUMN()/2+1,FALSE))),"")</f>
        <v/>
      </c>
      <c r="W129" s="91"/>
      <c r="X129" s="95" t="str">
        <f ca="1">IFERROR(VALUE(IF(VLOOKUP($A129,数出表_Excel!$A$6:$T$150,COLUMN()/2+1,FALSE)=0,"",VLOOKUP($A129,数出表_Excel!$A$6:$T$150,COLUMN()/2+1,FALSE))),"")</f>
        <v/>
      </c>
      <c r="Y129" s="91"/>
      <c r="Z129" s="95" t="str">
        <f ca="1">IFERROR(VALUE(IF(VLOOKUP($A129,数出表_Excel!$A$6:$T$150,COLUMN()/2+1,FALSE)=0,"",VLOOKUP($A129,数出表_Excel!$A$6:$T$150,COLUMN()/2+1,FALSE))),"")</f>
        <v/>
      </c>
      <c r="AA129" s="129"/>
      <c r="AB129" s="96" t="str">
        <f ca="1">IFERROR(VALUE(IF(VLOOKUP($A129,数出表_Excel!$A$6:$T$150,COLUMN()/2+1,FALSE)=0,"",VLOOKUP($A129,数出表_Excel!$A$6:$T$150,COLUMN()/2+1,FALSE))),"")</f>
        <v/>
      </c>
      <c r="AC129" s="91"/>
      <c r="AD129" s="95" t="str">
        <f ca="1">IFERROR(VALUE(IF(VLOOKUP($A129,数出表_Excel!$A$6:$T$150,COLUMN()/2+1,FALSE)=0,"",VLOOKUP($A129,数出表_Excel!$A$6:$T$150,COLUMN()/2+1,FALSE))),"")</f>
        <v/>
      </c>
      <c r="AE129" s="91"/>
      <c r="AF129" s="95" t="str">
        <f ca="1">IFERROR(VALUE(IF(VLOOKUP($A129,数出表_Excel!$A$6:$T$150,COLUMN()/2+1,FALSE)=0,"",VLOOKUP($A129,数出表_Excel!$A$6:$T$150,COLUMN()/2+1,FALSE))),"")</f>
        <v/>
      </c>
      <c r="AG129" s="91"/>
      <c r="AH129" s="95" t="str">
        <f ca="1">IFERROR(VALUE(IF(VLOOKUP($A129,数出表_Excel!$A$6:$T$150,COLUMN()/2+1,FALSE)=0,"",VLOOKUP($A129,数出表_Excel!$A$6:$T$150,COLUMN()/2+1,FALSE))),"")</f>
        <v/>
      </c>
      <c r="AI129" s="129"/>
      <c r="AJ129" s="96" t="str">
        <f ca="1">IFERROR(VALUE(IF(VLOOKUP($A129,数出表_Excel!$A$6:$T$150,COLUMN()/2+1,FALSE)=0,"",VLOOKUP($A129,数出表_Excel!$A$6:$T$150,COLUMN()/2+1,FALSE))),"")</f>
        <v/>
      </c>
      <c r="AK129" s="91"/>
      <c r="AL129" s="97" t="e">
        <f ca="1">IF(A129&lt;&gt;"",
IF(VLOOKUP($A129,数出表_Excel!$A$6:$T$150,COLUMN()/2+1,FALSE)=0,"",VLOOKUP($A129,数出表_Excel!$A$6:$T$150,COLUMN()/2+1,FALSE)),"")</f>
        <v>#N/A</v>
      </c>
      <c r="AM129" s="177" t="e">
        <f>数出表_Excel!V129</f>
        <v>#N/A</v>
      </c>
      <c r="AN129" s="178" t="e">
        <f>数出表_Excel!W129</f>
        <v>#N/A</v>
      </c>
    </row>
    <row r="130" spans="1:40" ht="16.2" customHeight="1">
      <c r="A130" s="137" t="e">
        <f t="array" aca="1" ref="A130" ca="1">IF(OR(COUNTIF(A128,"*10002*"),COUNTIF(A128,"")),"",INDEX(貼り付け用!$A1:$A200,MATCH(A128,貼り付け用!$A1:$A200,0)+2,0))</f>
        <v>#N/A</v>
      </c>
      <c r="B130" s="125" t="str">
        <f ca="1">IFERROR(VALUE(IF(VLOOKUP($A130,数出表_Excel!$A$6:$T$150,COLUMN()/2+1,FALSE)=0,"",VLOOKUP($A130,数出表_Excel!$A$6:$T$150,COLUMN()/2+1,FALSE))),"")</f>
        <v/>
      </c>
      <c r="C130" s="90"/>
      <c r="D130" s="125" t="str">
        <f ca="1">IFERROR(VALUE(IF(VLOOKUP($A130,数出表_Excel!$A$6:$T$150,COLUMN()/2+1,FALSE)=0,"",VLOOKUP($A130,数出表_Excel!$A$6:$T$150,COLUMN()/2+1,FALSE))),"")</f>
        <v/>
      </c>
      <c r="E130" s="90"/>
      <c r="F130" s="127" t="str">
        <f ca="1">IFERROR(VALUE(IF(VLOOKUP($A130,数出表_Excel!$A$6:$T$150,COLUMN()/2+1,FALSE)=0,"",VLOOKUP($A130,数出表_Excel!$A$6:$T$150,COLUMN()/2+1,FALSE))),"")</f>
        <v/>
      </c>
      <c r="G130" s="90"/>
      <c r="H130" s="125" t="str">
        <f ca="1">IFERROR(VALUE(IF(VLOOKUP($A130,数出表_Excel!$A$6:$T$150,COLUMN()/2+1,FALSE)=0,"",VLOOKUP($A130,数出表_Excel!$A$6:$T$150,COLUMN()/2+1,FALSE))),"")</f>
        <v/>
      </c>
      <c r="I130" s="90"/>
      <c r="J130" s="125" t="str">
        <f ca="1">IFERROR(VALUE(IF(VLOOKUP($A130,数出表_Excel!$A$6:$T$150,COLUMN()/2+1,FALSE)=0,"",VLOOKUP($A130,数出表_Excel!$A$6:$T$150,COLUMN()/2+1,FALSE))),"")</f>
        <v/>
      </c>
      <c r="K130" s="90"/>
      <c r="L130" s="127" t="str">
        <f ca="1">IFERROR(VALUE(IF(VLOOKUP($A130,数出表_Excel!$A$6:$T$150,COLUMN()/2+1,FALSE)=0,"",VLOOKUP($A130,数出表_Excel!$A$6:$T$150,COLUMN()/2+1,FALSE))),"")</f>
        <v/>
      </c>
      <c r="M130" s="90"/>
      <c r="N130" s="125" t="str">
        <f ca="1">IFERROR(VALUE(IF(VLOOKUP($A130,数出表_Excel!$A$6:$T$150,COLUMN()/2+1,FALSE)=0,"",VLOOKUP($A130,数出表_Excel!$A$6:$T$150,COLUMN()/2+1,FALSE))),"")</f>
        <v/>
      </c>
      <c r="O130" s="90"/>
      <c r="P130" s="125" t="str">
        <f ca="1">IFERROR(VALUE(IF(VLOOKUP($A130,数出表_Excel!$A$6:$T$150,COLUMN()/2+1,FALSE)=0,"",VLOOKUP($A130,数出表_Excel!$A$6:$T$150,COLUMN()/2+1,FALSE))),"")</f>
        <v/>
      </c>
      <c r="Q130" s="90"/>
      <c r="R130" s="125" t="str">
        <f ca="1">IFERROR(VALUE(IF(VLOOKUP($A130,数出表_Excel!$A$6:$T$150,COLUMN()/2+1,FALSE)=0,"",VLOOKUP($A130,数出表_Excel!$A$6:$T$150,COLUMN()/2+1,FALSE))),"")</f>
        <v/>
      </c>
      <c r="S130" s="90"/>
      <c r="T130" s="125" t="str">
        <f ca="1">IFERROR(VALUE(IF(VLOOKUP($A130,数出表_Excel!$A$6:$T$150,COLUMN()/2+1,FALSE)=0,"",VLOOKUP($A130,数出表_Excel!$A$6:$T$150,COLUMN()/2+1,FALSE))),"")</f>
        <v/>
      </c>
      <c r="U130" s="90"/>
      <c r="V130" s="127" t="str">
        <f ca="1">IFERROR(VALUE(IF(VLOOKUP($A130,数出表_Excel!$A$6:$T$150,COLUMN()/2+1,FALSE)=0,"",VLOOKUP($A130,数出表_Excel!$A$6:$T$150,COLUMN()/2+1,FALSE))),"")</f>
        <v/>
      </c>
      <c r="W130" s="90"/>
      <c r="X130" s="127" t="str">
        <f ca="1">IFERROR(VALUE(IF(VLOOKUP($A130,数出表_Excel!$A$6:$T$150,COLUMN()/2+1,FALSE)=0,"",VLOOKUP($A130,数出表_Excel!$A$6:$T$150,COLUMN()/2+1,FALSE))),"")</f>
        <v/>
      </c>
      <c r="Y130" s="90"/>
      <c r="Z130" s="127" t="str">
        <f ca="1">IFERROR(VALUE(IF(VLOOKUP($A130,数出表_Excel!$A$6:$T$150,COLUMN()/2+1,FALSE)=0,"",VLOOKUP($A130,数出表_Excel!$A$6:$T$150,COLUMN()/2+1,FALSE))),"")</f>
        <v/>
      </c>
      <c r="AA130" s="128"/>
      <c r="AB130" s="126" t="str">
        <f ca="1">IFERROR(VALUE(IF(VLOOKUP($A130,数出表_Excel!$A$6:$T$150,COLUMN()/2+1,FALSE)=0,"",VLOOKUP($A130,数出表_Excel!$A$6:$T$150,COLUMN()/2+1,FALSE))),"")</f>
        <v/>
      </c>
      <c r="AC130" s="90"/>
      <c r="AD130" s="127" t="str">
        <f ca="1">IFERROR(VALUE(IF(VLOOKUP($A130,数出表_Excel!$A$6:$T$150,COLUMN()/2+1,FALSE)=0,"",VLOOKUP($A130,数出表_Excel!$A$6:$T$150,COLUMN()/2+1,FALSE))),"")</f>
        <v/>
      </c>
      <c r="AE130" s="90"/>
      <c r="AF130" s="127" t="str">
        <f ca="1">IFERROR(VALUE(IF(VLOOKUP($A130,数出表_Excel!$A$6:$T$150,COLUMN()/2+1,FALSE)=0,"",VLOOKUP($A130,数出表_Excel!$A$6:$T$150,COLUMN()/2+1,FALSE))),"")</f>
        <v/>
      </c>
      <c r="AG130" s="90"/>
      <c r="AH130" s="127" t="str">
        <f ca="1">IFERROR(VALUE(IF(VLOOKUP($A130,数出表_Excel!$A$6:$T$150,COLUMN()/2+1,FALSE)=0,"",VLOOKUP($A130,数出表_Excel!$A$6:$T$150,COLUMN()/2+1,FALSE))),"")</f>
        <v/>
      </c>
      <c r="AI130" s="128"/>
      <c r="AJ130" s="126" t="str">
        <f ca="1">IFERROR(VALUE(IF(VLOOKUP($A130,数出表_Excel!$A$6:$T$150,COLUMN()/2+1,FALSE)=0,"",VLOOKUP($A130,数出表_Excel!$A$6:$T$150,COLUMN()/2+1,FALSE))),"")</f>
        <v/>
      </c>
      <c r="AK130" s="90"/>
      <c r="AL130" s="94" t="e">
        <f ca="1">IF(A130&lt;&gt;"",
IF(VLOOKUP($A130,数出表_Excel!$A$6:$T$150,COLUMN()/2+1,FALSE)=0,"",VLOOKUP($A130,数出表_Excel!$A$6:$T$150,COLUMN()/2+1,FALSE)),"")</f>
        <v>#N/A</v>
      </c>
      <c r="AM130" s="175" t="e">
        <f>数出表_Excel!V130</f>
        <v>#N/A</v>
      </c>
      <c r="AN130" s="176" t="e">
        <f>数出表_Excel!W130</f>
        <v>#N/A</v>
      </c>
    </row>
    <row r="131" spans="1:40" ht="16.2" customHeight="1">
      <c r="A131" s="138" t="e">
        <f t="array" aca="1" ref="A131" ca="1">IF(OR(COUNTIF(A129,"*1000*"),COUNTIF(A129,"")),"",INDEX(貼り付け用!$A1:$A200,MATCH(A129,貼り付け用!$A1:$A200,0)+2,0))</f>
        <v>#N/A</v>
      </c>
      <c r="B131" s="91" t="str">
        <f ca="1">IFERROR(VALUE(IF(VLOOKUP($A131,数出表_Excel!$A$6:$T$150,COLUMN()/2+1,FALSE)=0,"",VLOOKUP($A131,数出表_Excel!$A$6:$T$150,COLUMN()/2+1,FALSE))),"")</f>
        <v/>
      </c>
      <c r="C131" s="91"/>
      <c r="D131" s="91" t="str">
        <f ca="1">IFERROR(VALUE(IF(VLOOKUP($A131,数出表_Excel!$A$6:$T$150,COLUMN()/2+1,FALSE)=0,"",VLOOKUP($A131,数出表_Excel!$A$6:$T$150,COLUMN()/2+1,FALSE))),"")</f>
        <v/>
      </c>
      <c r="E131" s="91"/>
      <c r="F131" s="95" t="str">
        <f ca="1">IFERROR(VALUE(IF(VLOOKUP($A131,数出表_Excel!$A$6:$T$150,COLUMN()/2+1,FALSE)=0,"",VLOOKUP($A131,数出表_Excel!$A$6:$T$150,COLUMN()/2+1,FALSE))),"")</f>
        <v/>
      </c>
      <c r="G131" s="91"/>
      <c r="H131" s="91" t="str">
        <f ca="1">IFERROR(VALUE(IF(VLOOKUP($A131,数出表_Excel!$A$6:$T$150,COLUMN()/2+1,FALSE)=0,"",VLOOKUP($A131,数出表_Excel!$A$6:$T$150,COLUMN()/2+1,FALSE))),"")</f>
        <v/>
      </c>
      <c r="I131" s="91"/>
      <c r="J131" s="91" t="str">
        <f ca="1">IFERROR(VALUE(IF(VLOOKUP($A131,数出表_Excel!$A$6:$T$150,COLUMN()/2+1,FALSE)=0,"",VLOOKUP($A131,数出表_Excel!$A$6:$T$150,COLUMN()/2+1,FALSE))),"")</f>
        <v/>
      </c>
      <c r="K131" s="91"/>
      <c r="L131" s="95" t="str">
        <f ca="1">IFERROR(VALUE(IF(VLOOKUP($A131,数出表_Excel!$A$6:$T$150,COLUMN()/2+1,FALSE)=0,"",VLOOKUP($A131,数出表_Excel!$A$6:$T$150,COLUMN()/2+1,FALSE))),"")</f>
        <v/>
      </c>
      <c r="M131" s="91"/>
      <c r="N131" s="91" t="str">
        <f ca="1">IFERROR(VALUE(IF(VLOOKUP($A131,数出表_Excel!$A$6:$T$150,COLUMN()/2+1,FALSE)=0,"",VLOOKUP($A131,数出表_Excel!$A$6:$T$150,COLUMN()/2+1,FALSE))),"")</f>
        <v/>
      </c>
      <c r="O131" s="91"/>
      <c r="P131" s="91" t="str">
        <f ca="1">IFERROR(VALUE(IF(VLOOKUP($A131,数出表_Excel!$A$6:$T$150,COLUMN()/2+1,FALSE)=0,"",VLOOKUP($A131,数出表_Excel!$A$6:$T$150,COLUMN()/2+1,FALSE))),"")</f>
        <v/>
      </c>
      <c r="Q131" s="91"/>
      <c r="R131" s="91" t="str">
        <f ca="1">IFERROR(VALUE(IF(VLOOKUP($A131,数出表_Excel!$A$6:$T$150,COLUMN()/2+1,FALSE)=0,"",VLOOKUP($A131,数出表_Excel!$A$6:$T$150,COLUMN()/2+1,FALSE))),"")</f>
        <v/>
      </c>
      <c r="S131" s="91"/>
      <c r="T131" s="91" t="str">
        <f ca="1">IFERROR(VALUE(IF(VLOOKUP($A131,数出表_Excel!$A$6:$T$150,COLUMN()/2+1,FALSE)=0,"",VLOOKUP($A131,数出表_Excel!$A$6:$T$150,COLUMN()/2+1,FALSE))),"")</f>
        <v/>
      </c>
      <c r="U131" s="91"/>
      <c r="V131" s="95" t="str">
        <f ca="1">IFERROR(VALUE(IF(VLOOKUP($A131,数出表_Excel!$A$6:$T$150,COLUMN()/2+1,FALSE)=0,"",VLOOKUP($A131,数出表_Excel!$A$6:$T$150,COLUMN()/2+1,FALSE))),"")</f>
        <v/>
      </c>
      <c r="W131" s="91"/>
      <c r="X131" s="95" t="str">
        <f ca="1">IFERROR(VALUE(IF(VLOOKUP($A131,数出表_Excel!$A$6:$T$150,COLUMN()/2+1,FALSE)=0,"",VLOOKUP($A131,数出表_Excel!$A$6:$T$150,COLUMN()/2+1,FALSE))),"")</f>
        <v/>
      </c>
      <c r="Y131" s="91"/>
      <c r="Z131" s="95" t="str">
        <f ca="1">IFERROR(VALUE(IF(VLOOKUP($A131,数出表_Excel!$A$6:$T$150,COLUMN()/2+1,FALSE)=0,"",VLOOKUP($A131,数出表_Excel!$A$6:$T$150,COLUMN()/2+1,FALSE))),"")</f>
        <v/>
      </c>
      <c r="AA131" s="129"/>
      <c r="AB131" s="96" t="str">
        <f ca="1">IFERROR(VALUE(IF(VLOOKUP($A131,数出表_Excel!$A$6:$T$150,COLUMN()/2+1,FALSE)=0,"",VLOOKUP($A131,数出表_Excel!$A$6:$T$150,COLUMN()/2+1,FALSE))),"")</f>
        <v/>
      </c>
      <c r="AC131" s="91"/>
      <c r="AD131" s="95" t="str">
        <f ca="1">IFERROR(VALUE(IF(VLOOKUP($A131,数出表_Excel!$A$6:$T$150,COLUMN()/2+1,FALSE)=0,"",VLOOKUP($A131,数出表_Excel!$A$6:$T$150,COLUMN()/2+1,FALSE))),"")</f>
        <v/>
      </c>
      <c r="AE131" s="91"/>
      <c r="AF131" s="95" t="str">
        <f ca="1">IFERROR(VALUE(IF(VLOOKUP($A131,数出表_Excel!$A$6:$T$150,COLUMN()/2+1,FALSE)=0,"",VLOOKUP($A131,数出表_Excel!$A$6:$T$150,COLUMN()/2+1,FALSE))),"")</f>
        <v/>
      </c>
      <c r="AG131" s="91"/>
      <c r="AH131" s="95" t="str">
        <f ca="1">IFERROR(VALUE(IF(VLOOKUP($A131,数出表_Excel!$A$6:$T$150,COLUMN()/2+1,FALSE)=0,"",VLOOKUP($A131,数出表_Excel!$A$6:$T$150,COLUMN()/2+1,FALSE))),"")</f>
        <v/>
      </c>
      <c r="AI131" s="129"/>
      <c r="AJ131" s="96" t="str">
        <f ca="1">IFERROR(VALUE(IF(VLOOKUP($A131,数出表_Excel!$A$6:$T$150,COLUMN()/2+1,FALSE)=0,"",VLOOKUP($A131,数出表_Excel!$A$6:$T$150,COLUMN()/2+1,FALSE))),"")</f>
        <v/>
      </c>
      <c r="AK131" s="91"/>
      <c r="AL131" s="97" t="e">
        <f ca="1">IF(A131&lt;&gt;"",
IF(VLOOKUP($A131,数出表_Excel!$A$6:$T$150,COLUMN()/2+1,FALSE)=0,"",VLOOKUP($A131,数出表_Excel!$A$6:$T$150,COLUMN()/2+1,FALSE)),"")</f>
        <v>#N/A</v>
      </c>
      <c r="AM131" s="177" t="e">
        <f>数出表_Excel!V131</f>
        <v>#N/A</v>
      </c>
      <c r="AN131" s="178" t="e">
        <f>数出表_Excel!W131</f>
        <v>#N/A</v>
      </c>
    </row>
    <row r="132" spans="1:40" ht="16.2" customHeight="1">
      <c r="A132" s="137" t="e">
        <f t="array" aca="1" ref="A132" ca="1">IF(OR(COUNTIF(A130,"*10002*"),COUNTIF(A130,"")),"",INDEX(貼り付け用!$A1:$A200,MATCH(A130,貼り付け用!$A1:$A200,0)+2,0))</f>
        <v>#N/A</v>
      </c>
      <c r="B132" s="125" t="str">
        <f ca="1">IFERROR(VALUE(IF(VLOOKUP($A132,数出表_Excel!$A$6:$T$150,COLUMN()/2+1,FALSE)=0,"",VLOOKUP($A132,数出表_Excel!$A$6:$T$150,COLUMN()/2+1,FALSE))),"")</f>
        <v/>
      </c>
      <c r="C132" s="90"/>
      <c r="D132" s="125" t="str">
        <f ca="1">IFERROR(VALUE(IF(VLOOKUP($A132,数出表_Excel!$A$6:$T$150,COLUMN()/2+1,FALSE)=0,"",VLOOKUP($A132,数出表_Excel!$A$6:$T$150,COLUMN()/2+1,FALSE))),"")</f>
        <v/>
      </c>
      <c r="E132" s="90"/>
      <c r="F132" s="127" t="str">
        <f ca="1">IFERROR(VALUE(IF(VLOOKUP($A132,数出表_Excel!$A$6:$T$150,COLUMN()/2+1,FALSE)=0,"",VLOOKUP($A132,数出表_Excel!$A$6:$T$150,COLUMN()/2+1,FALSE))),"")</f>
        <v/>
      </c>
      <c r="G132" s="90"/>
      <c r="H132" s="125" t="str">
        <f ca="1">IFERROR(VALUE(IF(VLOOKUP($A132,数出表_Excel!$A$6:$T$150,COLUMN()/2+1,FALSE)=0,"",VLOOKUP($A132,数出表_Excel!$A$6:$T$150,COLUMN()/2+1,FALSE))),"")</f>
        <v/>
      </c>
      <c r="I132" s="90"/>
      <c r="J132" s="125" t="str">
        <f ca="1">IFERROR(VALUE(IF(VLOOKUP($A132,数出表_Excel!$A$6:$T$150,COLUMN()/2+1,FALSE)=0,"",VLOOKUP($A132,数出表_Excel!$A$6:$T$150,COLUMN()/2+1,FALSE))),"")</f>
        <v/>
      </c>
      <c r="K132" s="90"/>
      <c r="L132" s="127" t="str">
        <f ca="1">IFERROR(VALUE(IF(VLOOKUP($A132,数出表_Excel!$A$6:$T$150,COLUMN()/2+1,FALSE)=0,"",VLOOKUP($A132,数出表_Excel!$A$6:$T$150,COLUMN()/2+1,FALSE))),"")</f>
        <v/>
      </c>
      <c r="M132" s="90"/>
      <c r="N132" s="125" t="str">
        <f ca="1">IFERROR(VALUE(IF(VLOOKUP($A132,数出表_Excel!$A$6:$T$150,COLUMN()/2+1,FALSE)=0,"",VLOOKUP($A132,数出表_Excel!$A$6:$T$150,COLUMN()/2+1,FALSE))),"")</f>
        <v/>
      </c>
      <c r="O132" s="90"/>
      <c r="P132" s="125" t="str">
        <f ca="1">IFERROR(VALUE(IF(VLOOKUP($A132,数出表_Excel!$A$6:$T$150,COLUMN()/2+1,FALSE)=0,"",VLOOKUP($A132,数出表_Excel!$A$6:$T$150,COLUMN()/2+1,FALSE))),"")</f>
        <v/>
      </c>
      <c r="Q132" s="90"/>
      <c r="R132" s="125" t="str">
        <f ca="1">IFERROR(VALUE(IF(VLOOKUP($A132,数出表_Excel!$A$6:$T$150,COLUMN()/2+1,FALSE)=0,"",VLOOKUP($A132,数出表_Excel!$A$6:$T$150,COLUMN()/2+1,FALSE))),"")</f>
        <v/>
      </c>
      <c r="S132" s="90"/>
      <c r="T132" s="125" t="str">
        <f ca="1">IFERROR(VALUE(IF(VLOOKUP($A132,数出表_Excel!$A$6:$T$150,COLUMN()/2+1,FALSE)=0,"",VLOOKUP($A132,数出表_Excel!$A$6:$T$150,COLUMN()/2+1,FALSE))),"")</f>
        <v/>
      </c>
      <c r="U132" s="90"/>
      <c r="V132" s="127" t="str">
        <f ca="1">IFERROR(VALUE(IF(VLOOKUP($A132,数出表_Excel!$A$6:$T$150,COLUMN()/2+1,FALSE)=0,"",VLOOKUP($A132,数出表_Excel!$A$6:$T$150,COLUMN()/2+1,FALSE))),"")</f>
        <v/>
      </c>
      <c r="W132" s="90"/>
      <c r="X132" s="127" t="str">
        <f ca="1">IFERROR(VALUE(IF(VLOOKUP($A132,数出表_Excel!$A$6:$T$150,COLUMN()/2+1,FALSE)=0,"",VLOOKUP($A132,数出表_Excel!$A$6:$T$150,COLUMN()/2+1,FALSE))),"")</f>
        <v/>
      </c>
      <c r="Y132" s="90"/>
      <c r="Z132" s="127" t="str">
        <f ca="1">IFERROR(VALUE(IF(VLOOKUP($A132,数出表_Excel!$A$6:$T$150,COLUMN()/2+1,FALSE)=0,"",VLOOKUP($A132,数出表_Excel!$A$6:$T$150,COLUMN()/2+1,FALSE))),"")</f>
        <v/>
      </c>
      <c r="AA132" s="128"/>
      <c r="AB132" s="126" t="str">
        <f ca="1">IFERROR(VALUE(IF(VLOOKUP($A132,数出表_Excel!$A$6:$T$150,COLUMN()/2+1,FALSE)=0,"",VLOOKUP($A132,数出表_Excel!$A$6:$T$150,COLUMN()/2+1,FALSE))),"")</f>
        <v/>
      </c>
      <c r="AC132" s="90"/>
      <c r="AD132" s="127" t="str">
        <f ca="1">IFERROR(VALUE(IF(VLOOKUP($A132,数出表_Excel!$A$6:$T$150,COLUMN()/2+1,FALSE)=0,"",VLOOKUP($A132,数出表_Excel!$A$6:$T$150,COLUMN()/2+1,FALSE))),"")</f>
        <v/>
      </c>
      <c r="AE132" s="90"/>
      <c r="AF132" s="127" t="str">
        <f ca="1">IFERROR(VALUE(IF(VLOOKUP($A132,数出表_Excel!$A$6:$T$150,COLUMN()/2+1,FALSE)=0,"",VLOOKUP($A132,数出表_Excel!$A$6:$T$150,COLUMN()/2+1,FALSE))),"")</f>
        <v/>
      </c>
      <c r="AG132" s="90"/>
      <c r="AH132" s="127" t="str">
        <f ca="1">IFERROR(VALUE(IF(VLOOKUP($A132,数出表_Excel!$A$6:$T$150,COLUMN()/2+1,FALSE)=0,"",VLOOKUP($A132,数出表_Excel!$A$6:$T$150,COLUMN()/2+1,FALSE))),"")</f>
        <v/>
      </c>
      <c r="AI132" s="128"/>
      <c r="AJ132" s="126" t="str">
        <f ca="1">IFERROR(VALUE(IF(VLOOKUP($A132,数出表_Excel!$A$6:$T$150,COLUMN()/2+1,FALSE)=0,"",VLOOKUP($A132,数出表_Excel!$A$6:$T$150,COLUMN()/2+1,FALSE))),"")</f>
        <v/>
      </c>
      <c r="AK132" s="90"/>
      <c r="AL132" s="94" t="e">
        <f ca="1">IF(A132&lt;&gt;"",
IF(VLOOKUP($A132,数出表_Excel!$A$6:$T$150,COLUMN()/2+1,FALSE)=0,"",VLOOKUP($A132,数出表_Excel!$A$6:$T$150,COLUMN()/2+1,FALSE)),"")</f>
        <v>#N/A</v>
      </c>
      <c r="AM132" s="175" t="e">
        <f>数出表_Excel!V132</f>
        <v>#N/A</v>
      </c>
      <c r="AN132" s="176" t="e">
        <f>数出表_Excel!W132</f>
        <v>#N/A</v>
      </c>
    </row>
    <row r="133" spans="1:40" ht="16.2" customHeight="1">
      <c r="A133" s="138" t="e">
        <f t="array" aca="1" ref="A133" ca="1">IF(OR(COUNTIF(A131,"*1000*"),COUNTIF(A131,"")),"",INDEX(貼り付け用!$A1:$A200,MATCH(A131,貼り付け用!$A1:$A200,0)+2,0))</f>
        <v>#N/A</v>
      </c>
      <c r="B133" s="91" t="str">
        <f ca="1">IFERROR(VALUE(IF(VLOOKUP($A133,数出表_Excel!$A$6:$T$150,COLUMN()/2+1,FALSE)=0,"",VLOOKUP($A133,数出表_Excel!$A$6:$T$150,COLUMN()/2+1,FALSE))),"")</f>
        <v/>
      </c>
      <c r="C133" s="91"/>
      <c r="D133" s="91" t="str">
        <f ca="1">IFERROR(VALUE(IF(VLOOKUP($A133,数出表_Excel!$A$6:$T$150,COLUMN()/2+1,FALSE)=0,"",VLOOKUP($A133,数出表_Excel!$A$6:$T$150,COLUMN()/2+1,FALSE))),"")</f>
        <v/>
      </c>
      <c r="E133" s="91"/>
      <c r="F133" s="95" t="str">
        <f ca="1">IFERROR(VALUE(IF(VLOOKUP($A133,数出表_Excel!$A$6:$T$150,COLUMN()/2+1,FALSE)=0,"",VLOOKUP($A133,数出表_Excel!$A$6:$T$150,COLUMN()/2+1,FALSE))),"")</f>
        <v/>
      </c>
      <c r="G133" s="91"/>
      <c r="H133" s="91" t="str">
        <f ca="1">IFERROR(VALUE(IF(VLOOKUP($A133,数出表_Excel!$A$6:$T$150,COLUMN()/2+1,FALSE)=0,"",VLOOKUP($A133,数出表_Excel!$A$6:$T$150,COLUMN()/2+1,FALSE))),"")</f>
        <v/>
      </c>
      <c r="I133" s="91"/>
      <c r="J133" s="91" t="str">
        <f ca="1">IFERROR(VALUE(IF(VLOOKUP($A133,数出表_Excel!$A$6:$T$150,COLUMN()/2+1,FALSE)=0,"",VLOOKUP($A133,数出表_Excel!$A$6:$T$150,COLUMN()/2+1,FALSE))),"")</f>
        <v/>
      </c>
      <c r="K133" s="91"/>
      <c r="L133" s="95" t="str">
        <f ca="1">IFERROR(VALUE(IF(VLOOKUP($A133,数出表_Excel!$A$6:$T$150,COLUMN()/2+1,FALSE)=0,"",VLOOKUP($A133,数出表_Excel!$A$6:$T$150,COLUMN()/2+1,FALSE))),"")</f>
        <v/>
      </c>
      <c r="M133" s="91"/>
      <c r="N133" s="91" t="str">
        <f ca="1">IFERROR(VALUE(IF(VLOOKUP($A133,数出表_Excel!$A$6:$T$150,COLUMN()/2+1,FALSE)=0,"",VLOOKUP($A133,数出表_Excel!$A$6:$T$150,COLUMN()/2+1,FALSE))),"")</f>
        <v/>
      </c>
      <c r="O133" s="91"/>
      <c r="P133" s="91" t="str">
        <f ca="1">IFERROR(VALUE(IF(VLOOKUP($A133,数出表_Excel!$A$6:$T$150,COLUMN()/2+1,FALSE)=0,"",VLOOKUP($A133,数出表_Excel!$A$6:$T$150,COLUMN()/2+1,FALSE))),"")</f>
        <v/>
      </c>
      <c r="Q133" s="91"/>
      <c r="R133" s="91" t="str">
        <f ca="1">IFERROR(VALUE(IF(VLOOKUP($A133,数出表_Excel!$A$6:$T$150,COLUMN()/2+1,FALSE)=0,"",VLOOKUP($A133,数出表_Excel!$A$6:$T$150,COLUMN()/2+1,FALSE))),"")</f>
        <v/>
      </c>
      <c r="S133" s="91"/>
      <c r="T133" s="91" t="str">
        <f ca="1">IFERROR(VALUE(IF(VLOOKUP($A133,数出表_Excel!$A$6:$T$150,COLUMN()/2+1,FALSE)=0,"",VLOOKUP($A133,数出表_Excel!$A$6:$T$150,COLUMN()/2+1,FALSE))),"")</f>
        <v/>
      </c>
      <c r="U133" s="91"/>
      <c r="V133" s="95" t="str">
        <f ca="1">IFERROR(VALUE(IF(VLOOKUP($A133,数出表_Excel!$A$6:$T$150,COLUMN()/2+1,FALSE)=0,"",VLOOKUP($A133,数出表_Excel!$A$6:$T$150,COLUMN()/2+1,FALSE))),"")</f>
        <v/>
      </c>
      <c r="W133" s="91"/>
      <c r="X133" s="95" t="str">
        <f ca="1">IFERROR(VALUE(IF(VLOOKUP($A133,数出表_Excel!$A$6:$T$150,COLUMN()/2+1,FALSE)=0,"",VLOOKUP($A133,数出表_Excel!$A$6:$T$150,COLUMN()/2+1,FALSE))),"")</f>
        <v/>
      </c>
      <c r="Y133" s="91"/>
      <c r="Z133" s="95" t="str">
        <f ca="1">IFERROR(VALUE(IF(VLOOKUP($A133,数出表_Excel!$A$6:$T$150,COLUMN()/2+1,FALSE)=0,"",VLOOKUP($A133,数出表_Excel!$A$6:$T$150,COLUMN()/2+1,FALSE))),"")</f>
        <v/>
      </c>
      <c r="AA133" s="129"/>
      <c r="AB133" s="96" t="str">
        <f ca="1">IFERROR(VALUE(IF(VLOOKUP($A133,数出表_Excel!$A$6:$T$150,COLUMN()/2+1,FALSE)=0,"",VLOOKUP($A133,数出表_Excel!$A$6:$T$150,COLUMN()/2+1,FALSE))),"")</f>
        <v/>
      </c>
      <c r="AC133" s="91"/>
      <c r="AD133" s="95" t="str">
        <f ca="1">IFERROR(VALUE(IF(VLOOKUP($A133,数出表_Excel!$A$6:$T$150,COLUMN()/2+1,FALSE)=0,"",VLOOKUP($A133,数出表_Excel!$A$6:$T$150,COLUMN()/2+1,FALSE))),"")</f>
        <v/>
      </c>
      <c r="AE133" s="91"/>
      <c r="AF133" s="95" t="str">
        <f ca="1">IFERROR(VALUE(IF(VLOOKUP($A133,数出表_Excel!$A$6:$T$150,COLUMN()/2+1,FALSE)=0,"",VLOOKUP($A133,数出表_Excel!$A$6:$T$150,COLUMN()/2+1,FALSE))),"")</f>
        <v/>
      </c>
      <c r="AG133" s="91"/>
      <c r="AH133" s="95" t="str">
        <f ca="1">IFERROR(VALUE(IF(VLOOKUP($A133,数出表_Excel!$A$6:$T$150,COLUMN()/2+1,FALSE)=0,"",VLOOKUP($A133,数出表_Excel!$A$6:$T$150,COLUMN()/2+1,FALSE))),"")</f>
        <v/>
      </c>
      <c r="AI133" s="129"/>
      <c r="AJ133" s="96" t="str">
        <f ca="1">IFERROR(VALUE(IF(VLOOKUP($A133,数出表_Excel!$A$6:$T$150,COLUMN()/2+1,FALSE)=0,"",VLOOKUP($A133,数出表_Excel!$A$6:$T$150,COLUMN()/2+1,FALSE))),"")</f>
        <v/>
      </c>
      <c r="AK133" s="91"/>
      <c r="AL133" s="97" t="e">
        <f ca="1">IF(A133&lt;&gt;"",
IF(VLOOKUP($A133,数出表_Excel!$A$6:$T$150,COLUMN()/2+1,FALSE)=0,"",VLOOKUP($A133,数出表_Excel!$A$6:$T$150,COLUMN()/2+1,FALSE)),"")</f>
        <v>#N/A</v>
      </c>
      <c r="AM133" s="177" t="e">
        <f>数出表_Excel!V133</f>
        <v>#N/A</v>
      </c>
      <c r="AN133" s="178" t="e">
        <f>数出表_Excel!W133</f>
        <v>#N/A</v>
      </c>
    </row>
    <row r="134" spans="1:40" ht="16.2" customHeight="1">
      <c r="A134" s="137" t="e">
        <f t="array" aca="1" ref="A134" ca="1">IF(OR(COUNTIF(A132,"*10002*"),COUNTIF(A132,"")),"",INDEX(貼り付け用!$A1:$A200,MATCH(A132,貼り付け用!$A1:$A200,0)+2,0))</f>
        <v>#N/A</v>
      </c>
      <c r="B134" s="125" t="str">
        <f ca="1">IFERROR(VALUE(IF(VLOOKUP($A134,数出表_Excel!$A$6:$T$150,COLUMN()/2+1,FALSE)=0,"",VLOOKUP($A134,数出表_Excel!$A$6:$T$150,COLUMN()/2+1,FALSE))),"")</f>
        <v/>
      </c>
      <c r="C134" s="90"/>
      <c r="D134" s="125" t="str">
        <f ca="1">IFERROR(VALUE(IF(VLOOKUP($A134,数出表_Excel!$A$6:$T$150,COLUMN()/2+1,FALSE)=0,"",VLOOKUP($A134,数出表_Excel!$A$6:$T$150,COLUMN()/2+1,FALSE))),"")</f>
        <v/>
      </c>
      <c r="E134" s="90"/>
      <c r="F134" s="127" t="str">
        <f ca="1">IFERROR(VALUE(IF(VLOOKUP($A134,数出表_Excel!$A$6:$T$150,COLUMN()/2+1,FALSE)=0,"",VLOOKUP($A134,数出表_Excel!$A$6:$T$150,COLUMN()/2+1,FALSE))),"")</f>
        <v/>
      </c>
      <c r="G134" s="90"/>
      <c r="H134" s="125" t="str">
        <f ca="1">IFERROR(VALUE(IF(VLOOKUP($A134,数出表_Excel!$A$6:$T$150,COLUMN()/2+1,FALSE)=0,"",VLOOKUP($A134,数出表_Excel!$A$6:$T$150,COLUMN()/2+1,FALSE))),"")</f>
        <v/>
      </c>
      <c r="I134" s="90"/>
      <c r="J134" s="125" t="str">
        <f ca="1">IFERROR(VALUE(IF(VLOOKUP($A134,数出表_Excel!$A$6:$T$150,COLUMN()/2+1,FALSE)=0,"",VLOOKUP($A134,数出表_Excel!$A$6:$T$150,COLUMN()/2+1,FALSE))),"")</f>
        <v/>
      </c>
      <c r="K134" s="90"/>
      <c r="L134" s="127" t="str">
        <f ca="1">IFERROR(VALUE(IF(VLOOKUP($A134,数出表_Excel!$A$6:$T$150,COLUMN()/2+1,FALSE)=0,"",VLOOKUP($A134,数出表_Excel!$A$6:$T$150,COLUMN()/2+1,FALSE))),"")</f>
        <v/>
      </c>
      <c r="M134" s="90"/>
      <c r="N134" s="125" t="str">
        <f ca="1">IFERROR(VALUE(IF(VLOOKUP($A134,数出表_Excel!$A$6:$T$150,COLUMN()/2+1,FALSE)=0,"",VLOOKUP($A134,数出表_Excel!$A$6:$T$150,COLUMN()/2+1,FALSE))),"")</f>
        <v/>
      </c>
      <c r="O134" s="90"/>
      <c r="P134" s="125" t="str">
        <f ca="1">IFERROR(VALUE(IF(VLOOKUP($A134,数出表_Excel!$A$6:$T$150,COLUMN()/2+1,FALSE)=0,"",VLOOKUP($A134,数出表_Excel!$A$6:$T$150,COLUMN()/2+1,FALSE))),"")</f>
        <v/>
      </c>
      <c r="Q134" s="90"/>
      <c r="R134" s="125" t="str">
        <f ca="1">IFERROR(VALUE(IF(VLOOKUP($A134,数出表_Excel!$A$6:$T$150,COLUMN()/2+1,FALSE)=0,"",VLOOKUP($A134,数出表_Excel!$A$6:$T$150,COLUMN()/2+1,FALSE))),"")</f>
        <v/>
      </c>
      <c r="S134" s="90"/>
      <c r="T134" s="125" t="str">
        <f ca="1">IFERROR(VALUE(IF(VLOOKUP($A134,数出表_Excel!$A$6:$T$150,COLUMN()/2+1,FALSE)=0,"",VLOOKUP($A134,数出表_Excel!$A$6:$T$150,COLUMN()/2+1,FALSE))),"")</f>
        <v/>
      </c>
      <c r="U134" s="90"/>
      <c r="V134" s="127" t="str">
        <f ca="1">IFERROR(VALUE(IF(VLOOKUP($A134,数出表_Excel!$A$6:$T$150,COLUMN()/2+1,FALSE)=0,"",VLOOKUP($A134,数出表_Excel!$A$6:$T$150,COLUMN()/2+1,FALSE))),"")</f>
        <v/>
      </c>
      <c r="W134" s="90"/>
      <c r="X134" s="127" t="str">
        <f ca="1">IFERROR(VALUE(IF(VLOOKUP($A134,数出表_Excel!$A$6:$T$150,COLUMN()/2+1,FALSE)=0,"",VLOOKUP($A134,数出表_Excel!$A$6:$T$150,COLUMN()/2+1,FALSE))),"")</f>
        <v/>
      </c>
      <c r="Y134" s="90"/>
      <c r="Z134" s="127" t="str">
        <f ca="1">IFERROR(VALUE(IF(VLOOKUP($A134,数出表_Excel!$A$6:$T$150,COLUMN()/2+1,FALSE)=0,"",VLOOKUP($A134,数出表_Excel!$A$6:$T$150,COLUMN()/2+1,FALSE))),"")</f>
        <v/>
      </c>
      <c r="AA134" s="128"/>
      <c r="AB134" s="126" t="str">
        <f ca="1">IFERROR(VALUE(IF(VLOOKUP($A134,数出表_Excel!$A$6:$T$150,COLUMN()/2+1,FALSE)=0,"",VLOOKUP($A134,数出表_Excel!$A$6:$T$150,COLUMN()/2+1,FALSE))),"")</f>
        <v/>
      </c>
      <c r="AC134" s="90"/>
      <c r="AD134" s="127" t="str">
        <f ca="1">IFERROR(VALUE(IF(VLOOKUP($A134,数出表_Excel!$A$6:$T$150,COLUMN()/2+1,FALSE)=0,"",VLOOKUP($A134,数出表_Excel!$A$6:$T$150,COLUMN()/2+1,FALSE))),"")</f>
        <v/>
      </c>
      <c r="AE134" s="90"/>
      <c r="AF134" s="127" t="str">
        <f ca="1">IFERROR(VALUE(IF(VLOOKUP($A134,数出表_Excel!$A$6:$T$150,COLUMN()/2+1,FALSE)=0,"",VLOOKUP($A134,数出表_Excel!$A$6:$T$150,COLUMN()/2+1,FALSE))),"")</f>
        <v/>
      </c>
      <c r="AG134" s="90"/>
      <c r="AH134" s="127" t="str">
        <f ca="1">IFERROR(VALUE(IF(VLOOKUP($A134,数出表_Excel!$A$6:$T$150,COLUMN()/2+1,FALSE)=0,"",VLOOKUP($A134,数出表_Excel!$A$6:$T$150,COLUMN()/2+1,FALSE))),"")</f>
        <v/>
      </c>
      <c r="AI134" s="128"/>
      <c r="AJ134" s="126" t="str">
        <f ca="1">IFERROR(VALUE(IF(VLOOKUP($A134,数出表_Excel!$A$6:$T$150,COLUMN()/2+1,FALSE)=0,"",VLOOKUP($A134,数出表_Excel!$A$6:$T$150,COLUMN()/2+1,FALSE))),"")</f>
        <v/>
      </c>
      <c r="AK134" s="90"/>
      <c r="AL134" s="94" t="e">
        <f ca="1">IF(A134&lt;&gt;"",
IF(VLOOKUP($A134,数出表_Excel!$A$6:$T$150,COLUMN()/2+1,FALSE)=0,"",VLOOKUP($A134,数出表_Excel!$A$6:$T$150,COLUMN()/2+1,FALSE)),"")</f>
        <v>#N/A</v>
      </c>
      <c r="AM134" s="175" t="e">
        <f>数出表_Excel!V134</f>
        <v>#N/A</v>
      </c>
      <c r="AN134" s="176" t="e">
        <f>数出表_Excel!W134</f>
        <v>#N/A</v>
      </c>
    </row>
    <row r="135" spans="1:40" ht="16.2" customHeight="1">
      <c r="A135" s="138" t="e">
        <f t="array" aca="1" ref="A135" ca="1">IF(OR(COUNTIF(A133,"*1000*"),COUNTIF(A133,"")),"",INDEX(貼り付け用!$A1:$A200,MATCH(A133,貼り付け用!$A1:$A200,0)+2,0))</f>
        <v>#N/A</v>
      </c>
      <c r="B135" s="91" t="str">
        <f ca="1">IFERROR(VALUE(IF(VLOOKUP($A135,数出表_Excel!$A$6:$T$150,COLUMN()/2+1,FALSE)=0,"",VLOOKUP($A135,数出表_Excel!$A$6:$T$150,COLUMN()/2+1,FALSE))),"")</f>
        <v/>
      </c>
      <c r="C135" s="91"/>
      <c r="D135" s="91" t="str">
        <f ca="1">IFERROR(VALUE(IF(VLOOKUP($A135,数出表_Excel!$A$6:$T$150,COLUMN()/2+1,FALSE)=0,"",VLOOKUP($A135,数出表_Excel!$A$6:$T$150,COLUMN()/2+1,FALSE))),"")</f>
        <v/>
      </c>
      <c r="E135" s="91"/>
      <c r="F135" s="95" t="str">
        <f ca="1">IFERROR(VALUE(IF(VLOOKUP($A135,数出表_Excel!$A$6:$T$150,COLUMN()/2+1,FALSE)=0,"",VLOOKUP($A135,数出表_Excel!$A$6:$T$150,COLUMN()/2+1,FALSE))),"")</f>
        <v/>
      </c>
      <c r="G135" s="91"/>
      <c r="H135" s="91" t="str">
        <f ca="1">IFERROR(VALUE(IF(VLOOKUP($A135,数出表_Excel!$A$6:$T$150,COLUMN()/2+1,FALSE)=0,"",VLOOKUP($A135,数出表_Excel!$A$6:$T$150,COLUMN()/2+1,FALSE))),"")</f>
        <v/>
      </c>
      <c r="I135" s="91"/>
      <c r="J135" s="91" t="str">
        <f ca="1">IFERROR(VALUE(IF(VLOOKUP($A135,数出表_Excel!$A$6:$T$150,COLUMN()/2+1,FALSE)=0,"",VLOOKUP($A135,数出表_Excel!$A$6:$T$150,COLUMN()/2+1,FALSE))),"")</f>
        <v/>
      </c>
      <c r="K135" s="91"/>
      <c r="L135" s="95" t="str">
        <f ca="1">IFERROR(VALUE(IF(VLOOKUP($A135,数出表_Excel!$A$6:$T$150,COLUMN()/2+1,FALSE)=0,"",VLOOKUP($A135,数出表_Excel!$A$6:$T$150,COLUMN()/2+1,FALSE))),"")</f>
        <v/>
      </c>
      <c r="M135" s="91"/>
      <c r="N135" s="91" t="str">
        <f ca="1">IFERROR(VALUE(IF(VLOOKUP($A135,数出表_Excel!$A$6:$T$150,COLUMN()/2+1,FALSE)=0,"",VLOOKUP($A135,数出表_Excel!$A$6:$T$150,COLUMN()/2+1,FALSE))),"")</f>
        <v/>
      </c>
      <c r="O135" s="91"/>
      <c r="P135" s="91" t="str">
        <f ca="1">IFERROR(VALUE(IF(VLOOKUP($A135,数出表_Excel!$A$6:$T$150,COLUMN()/2+1,FALSE)=0,"",VLOOKUP($A135,数出表_Excel!$A$6:$T$150,COLUMN()/2+1,FALSE))),"")</f>
        <v/>
      </c>
      <c r="Q135" s="91"/>
      <c r="R135" s="91" t="str">
        <f ca="1">IFERROR(VALUE(IF(VLOOKUP($A135,数出表_Excel!$A$6:$T$150,COLUMN()/2+1,FALSE)=0,"",VLOOKUP($A135,数出表_Excel!$A$6:$T$150,COLUMN()/2+1,FALSE))),"")</f>
        <v/>
      </c>
      <c r="S135" s="91"/>
      <c r="T135" s="91" t="str">
        <f ca="1">IFERROR(VALUE(IF(VLOOKUP($A135,数出表_Excel!$A$6:$T$150,COLUMN()/2+1,FALSE)=0,"",VLOOKUP($A135,数出表_Excel!$A$6:$T$150,COLUMN()/2+1,FALSE))),"")</f>
        <v/>
      </c>
      <c r="U135" s="91"/>
      <c r="V135" s="95" t="str">
        <f ca="1">IFERROR(VALUE(IF(VLOOKUP($A135,数出表_Excel!$A$6:$T$150,COLUMN()/2+1,FALSE)=0,"",VLOOKUP($A135,数出表_Excel!$A$6:$T$150,COLUMN()/2+1,FALSE))),"")</f>
        <v/>
      </c>
      <c r="W135" s="91"/>
      <c r="X135" s="95" t="str">
        <f ca="1">IFERROR(VALUE(IF(VLOOKUP($A135,数出表_Excel!$A$6:$T$150,COLUMN()/2+1,FALSE)=0,"",VLOOKUP($A135,数出表_Excel!$A$6:$T$150,COLUMN()/2+1,FALSE))),"")</f>
        <v/>
      </c>
      <c r="Y135" s="91"/>
      <c r="Z135" s="95" t="str">
        <f ca="1">IFERROR(VALUE(IF(VLOOKUP($A135,数出表_Excel!$A$6:$T$150,COLUMN()/2+1,FALSE)=0,"",VLOOKUP($A135,数出表_Excel!$A$6:$T$150,COLUMN()/2+1,FALSE))),"")</f>
        <v/>
      </c>
      <c r="AA135" s="129"/>
      <c r="AB135" s="96" t="str">
        <f ca="1">IFERROR(VALUE(IF(VLOOKUP($A135,数出表_Excel!$A$6:$T$150,COLUMN()/2+1,FALSE)=0,"",VLOOKUP($A135,数出表_Excel!$A$6:$T$150,COLUMN()/2+1,FALSE))),"")</f>
        <v/>
      </c>
      <c r="AC135" s="91"/>
      <c r="AD135" s="95" t="str">
        <f ca="1">IFERROR(VALUE(IF(VLOOKUP($A135,数出表_Excel!$A$6:$T$150,COLUMN()/2+1,FALSE)=0,"",VLOOKUP($A135,数出表_Excel!$A$6:$T$150,COLUMN()/2+1,FALSE))),"")</f>
        <v/>
      </c>
      <c r="AE135" s="91"/>
      <c r="AF135" s="95" t="str">
        <f ca="1">IFERROR(VALUE(IF(VLOOKUP($A135,数出表_Excel!$A$6:$T$150,COLUMN()/2+1,FALSE)=0,"",VLOOKUP($A135,数出表_Excel!$A$6:$T$150,COLUMN()/2+1,FALSE))),"")</f>
        <v/>
      </c>
      <c r="AG135" s="91"/>
      <c r="AH135" s="95" t="str">
        <f ca="1">IFERROR(VALUE(IF(VLOOKUP($A135,数出表_Excel!$A$6:$T$150,COLUMN()/2+1,FALSE)=0,"",VLOOKUP($A135,数出表_Excel!$A$6:$T$150,COLUMN()/2+1,FALSE))),"")</f>
        <v/>
      </c>
      <c r="AI135" s="129"/>
      <c r="AJ135" s="96" t="str">
        <f ca="1">IFERROR(VALUE(IF(VLOOKUP($A135,数出表_Excel!$A$6:$T$150,COLUMN()/2+1,FALSE)=0,"",VLOOKUP($A135,数出表_Excel!$A$6:$T$150,COLUMN()/2+1,FALSE))),"")</f>
        <v/>
      </c>
      <c r="AK135" s="91"/>
      <c r="AL135" s="97" t="e">
        <f ca="1">IF(A135&lt;&gt;"",
IF(VLOOKUP($A135,数出表_Excel!$A$6:$T$150,COLUMN()/2+1,FALSE)=0,"",VLOOKUP($A135,数出表_Excel!$A$6:$T$150,COLUMN()/2+1,FALSE)),"")</f>
        <v>#N/A</v>
      </c>
      <c r="AM135" s="177" t="e">
        <f>数出表_Excel!V135</f>
        <v>#N/A</v>
      </c>
      <c r="AN135" s="178" t="e">
        <f>数出表_Excel!W135</f>
        <v>#N/A</v>
      </c>
    </row>
    <row r="136" spans="1:40" ht="16.2" customHeight="1">
      <c r="A136" s="137" t="e">
        <f t="array" aca="1" ref="A136" ca="1">IF(OR(COUNTIF(A134,"*10002*"),COUNTIF(A134,"")),"",INDEX(貼り付け用!$A1:$A200,MATCH(A134,貼り付け用!$A1:$A200,0)+2,0))</f>
        <v>#N/A</v>
      </c>
      <c r="B136" s="125" t="str">
        <f ca="1">IFERROR(VALUE(IF(VLOOKUP($A136,数出表_Excel!$A$6:$T$150,COLUMN()/2+1,FALSE)=0,"",VLOOKUP($A136,数出表_Excel!$A$6:$T$150,COLUMN()/2+1,FALSE))),"")</f>
        <v/>
      </c>
      <c r="C136" s="90"/>
      <c r="D136" s="125" t="str">
        <f ca="1">IFERROR(VALUE(IF(VLOOKUP($A136,数出表_Excel!$A$6:$T$150,COLUMN()/2+1,FALSE)=0,"",VLOOKUP($A136,数出表_Excel!$A$6:$T$150,COLUMN()/2+1,FALSE))),"")</f>
        <v/>
      </c>
      <c r="E136" s="90"/>
      <c r="F136" s="127" t="str">
        <f ca="1">IFERROR(VALUE(IF(VLOOKUP($A136,数出表_Excel!$A$6:$T$150,COLUMN()/2+1,FALSE)=0,"",VLOOKUP($A136,数出表_Excel!$A$6:$T$150,COLUMN()/2+1,FALSE))),"")</f>
        <v/>
      </c>
      <c r="G136" s="90"/>
      <c r="H136" s="125" t="str">
        <f ca="1">IFERROR(VALUE(IF(VLOOKUP($A136,数出表_Excel!$A$6:$T$150,COLUMN()/2+1,FALSE)=0,"",VLOOKUP($A136,数出表_Excel!$A$6:$T$150,COLUMN()/2+1,FALSE))),"")</f>
        <v/>
      </c>
      <c r="I136" s="90"/>
      <c r="J136" s="125" t="str">
        <f ca="1">IFERROR(VALUE(IF(VLOOKUP($A136,数出表_Excel!$A$6:$T$150,COLUMN()/2+1,FALSE)=0,"",VLOOKUP($A136,数出表_Excel!$A$6:$T$150,COLUMN()/2+1,FALSE))),"")</f>
        <v/>
      </c>
      <c r="K136" s="90"/>
      <c r="L136" s="127" t="str">
        <f ca="1">IFERROR(VALUE(IF(VLOOKUP($A136,数出表_Excel!$A$6:$T$150,COLUMN()/2+1,FALSE)=0,"",VLOOKUP($A136,数出表_Excel!$A$6:$T$150,COLUMN()/2+1,FALSE))),"")</f>
        <v/>
      </c>
      <c r="M136" s="90"/>
      <c r="N136" s="125" t="str">
        <f ca="1">IFERROR(VALUE(IF(VLOOKUP($A136,数出表_Excel!$A$6:$T$150,COLUMN()/2+1,FALSE)=0,"",VLOOKUP($A136,数出表_Excel!$A$6:$T$150,COLUMN()/2+1,FALSE))),"")</f>
        <v/>
      </c>
      <c r="O136" s="90"/>
      <c r="P136" s="125" t="str">
        <f ca="1">IFERROR(VALUE(IF(VLOOKUP($A136,数出表_Excel!$A$6:$T$150,COLUMN()/2+1,FALSE)=0,"",VLOOKUP($A136,数出表_Excel!$A$6:$T$150,COLUMN()/2+1,FALSE))),"")</f>
        <v/>
      </c>
      <c r="Q136" s="90"/>
      <c r="R136" s="125" t="str">
        <f ca="1">IFERROR(VALUE(IF(VLOOKUP($A136,数出表_Excel!$A$6:$T$150,COLUMN()/2+1,FALSE)=0,"",VLOOKUP($A136,数出表_Excel!$A$6:$T$150,COLUMN()/2+1,FALSE))),"")</f>
        <v/>
      </c>
      <c r="S136" s="90"/>
      <c r="T136" s="125" t="str">
        <f ca="1">IFERROR(VALUE(IF(VLOOKUP($A136,数出表_Excel!$A$6:$T$150,COLUMN()/2+1,FALSE)=0,"",VLOOKUP($A136,数出表_Excel!$A$6:$T$150,COLUMN()/2+1,FALSE))),"")</f>
        <v/>
      </c>
      <c r="U136" s="90"/>
      <c r="V136" s="127" t="str">
        <f ca="1">IFERROR(VALUE(IF(VLOOKUP($A136,数出表_Excel!$A$6:$T$150,COLUMN()/2+1,FALSE)=0,"",VLOOKUP($A136,数出表_Excel!$A$6:$T$150,COLUMN()/2+1,FALSE))),"")</f>
        <v/>
      </c>
      <c r="W136" s="90"/>
      <c r="X136" s="127" t="str">
        <f ca="1">IFERROR(VALUE(IF(VLOOKUP($A136,数出表_Excel!$A$6:$T$150,COLUMN()/2+1,FALSE)=0,"",VLOOKUP($A136,数出表_Excel!$A$6:$T$150,COLUMN()/2+1,FALSE))),"")</f>
        <v/>
      </c>
      <c r="Y136" s="90"/>
      <c r="Z136" s="127" t="str">
        <f ca="1">IFERROR(VALUE(IF(VLOOKUP($A136,数出表_Excel!$A$6:$T$150,COLUMN()/2+1,FALSE)=0,"",VLOOKUP($A136,数出表_Excel!$A$6:$T$150,COLUMN()/2+1,FALSE))),"")</f>
        <v/>
      </c>
      <c r="AA136" s="128"/>
      <c r="AB136" s="126" t="str">
        <f ca="1">IFERROR(VALUE(IF(VLOOKUP($A136,数出表_Excel!$A$6:$T$150,COLUMN()/2+1,FALSE)=0,"",VLOOKUP($A136,数出表_Excel!$A$6:$T$150,COLUMN()/2+1,FALSE))),"")</f>
        <v/>
      </c>
      <c r="AC136" s="90"/>
      <c r="AD136" s="127" t="str">
        <f ca="1">IFERROR(VALUE(IF(VLOOKUP($A136,数出表_Excel!$A$6:$T$150,COLUMN()/2+1,FALSE)=0,"",VLOOKUP($A136,数出表_Excel!$A$6:$T$150,COLUMN()/2+1,FALSE))),"")</f>
        <v/>
      </c>
      <c r="AE136" s="90"/>
      <c r="AF136" s="127" t="str">
        <f ca="1">IFERROR(VALUE(IF(VLOOKUP($A136,数出表_Excel!$A$6:$T$150,COLUMN()/2+1,FALSE)=0,"",VLOOKUP($A136,数出表_Excel!$A$6:$T$150,COLUMN()/2+1,FALSE))),"")</f>
        <v/>
      </c>
      <c r="AG136" s="90"/>
      <c r="AH136" s="127" t="str">
        <f ca="1">IFERROR(VALUE(IF(VLOOKUP($A136,数出表_Excel!$A$6:$T$150,COLUMN()/2+1,FALSE)=0,"",VLOOKUP($A136,数出表_Excel!$A$6:$T$150,COLUMN()/2+1,FALSE))),"")</f>
        <v/>
      </c>
      <c r="AI136" s="128"/>
      <c r="AJ136" s="126" t="str">
        <f ca="1">IFERROR(VALUE(IF(VLOOKUP($A136,数出表_Excel!$A$6:$T$150,COLUMN()/2+1,FALSE)=0,"",VLOOKUP($A136,数出表_Excel!$A$6:$T$150,COLUMN()/2+1,FALSE))),"")</f>
        <v/>
      </c>
      <c r="AK136" s="90"/>
      <c r="AL136" s="94" t="e">
        <f ca="1">IF(A136&lt;&gt;"",
IF(VLOOKUP($A136,数出表_Excel!$A$6:$T$150,COLUMN()/2+1,FALSE)=0,"",VLOOKUP($A136,数出表_Excel!$A$6:$T$150,COLUMN()/2+1,FALSE)),"")</f>
        <v>#N/A</v>
      </c>
      <c r="AM136" s="175" t="e">
        <f>数出表_Excel!V136</f>
        <v>#N/A</v>
      </c>
      <c r="AN136" s="176" t="e">
        <f>数出表_Excel!W136</f>
        <v>#N/A</v>
      </c>
    </row>
    <row r="137" spans="1:40" ht="16.2" customHeight="1">
      <c r="A137" s="138" t="e">
        <f t="array" aca="1" ref="A137" ca="1">IF(OR(COUNTIF(A135,"*1000*"),COUNTIF(A135,"")),"",INDEX(貼り付け用!$A1:$A200,MATCH(A135,貼り付け用!$A1:$A200,0)+2,0))</f>
        <v>#N/A</v>
      </c>
      <c r="B137" s="91" t="str">
        <f ca="1">IFERROR(VALUE(IF(VLOOKUP($A137,数出表_Excel!$A$6:$T$150,COLUMN()/2+1,FALSE)=0,"",VLOOKUP($A137,数出表_Excel!$A$6:$T$150,COLUMN()/2+1,FALSE))),"")</f>
        <v/>
      </c>
      <c r="C137" s="91"/>
      <c r="D137" s="91" t="str">
        <f ca="1">IFERROR(VALUE(IF(VLOOKUP($A137,数出表_Excel!$A$6:$T$150,COLUMN()/2+1,FALSE)=0,"",VLOOKUP($A137,数出表_Excel!$A$6:$T$150,COLUMN()/2+1,FALSE))),"")</f>
        <v/>
      </c>
      <c r="E137" s="91"/>
      <c r="F137" s="95" t="str">
        <f ca="1">IFERROR(VALUE(IF(VLOOKUP($A137,数出表_Excel!$A$6:$T$150,COLUMN()/2+1,FALSE)=0,"",VLOOKUP($A137,数出表_Excel!$A$6:$T$150,COLUMN()/2+1,FALSE))),"")</f>
        <v/>
      </c>
      <c r="G137" s="91"/>
      <c r="H137" s="91" t="str">
        <f ca="1">IFERROR(VALUE(IF(VLOOKUP($A137,数出表_Excel!$A$6:$T$150,COLUMN()/2+1,FALSE)=0,"",VLOOKUP($A137,数出表_Excel!$A$6:$T$150,COLUMN()/2+1,FALSE))),"")</f>
        <v/>
      </c>
      <c r="I137" s="91"/>
      <c r="J137" s="91" t="str">
        <f ca="1">IFERROR(VALUE(IF(VLOOKUP($A137,数出表_Excel!$A$6:$T$150,COLUMN()/2+1,FALSE)=0,"",VLOOKUP($A137,数出表_Excel!$A$6:$T$150,COLUMN()/2+1,FALSE))),"")</f>
        <v/>
      </c>
      <c r="K137" s="91"/>
      <c r="L137" s="95" t="str">
        <f ca="1">IFERROR(VALUE(IF(VLOOKUP($A137,数出表_Excel!$A$6:$T$150,COLUMN()/2+1,FALSE)=0,"",VLOOKUP($A137,数出表_Excel!$A$6:$T$150,COLUMN()/2+1,FALSE))),"")</f>
        <v/>
      </c>
      <c r="M137" s="91"/>
      <c r="N137" s="91" t="str">
        <f ca="1">IFERROR(VALUE(IF(VLOOKUP($A137,数出表_Excel!$A$6:$T$150,COLUMN()/2+1,FALSE)=0,"",VLOOKUP($A137,数出表_Excel!$A$6:$T$150,COLUMN()/2+1,FALSE))),"")</f>
        <v/>
      </c>
      <c r="O137" s="91"/>
      <c r="P137" s="91" t="str">
        <f ca="1">IFERROR(VALUE(IF(VLOOKUP($A137,数出表_Excel!$A$6:$T$150,COLUMN()/2+1,FALSE)=0,"",VLOOKUP($A137,数出表_Excel!$A$6:$T$150,COLUMN()/2+1,FALSE))),"")</f>
        <v/>
      </c>
      <c r="Q137" s="91"/>
      <c r="R137" s="91" t="str">
        <f ca="1">IFERROR(VALUE(IF(VLOOKUP($A137,数出表_Excel!$A$6:$T$150,COLUMN()/2+1,FALSE)=0,"",VLOOKUP($A137,数出表_Excel!$A$6:$T$150,COLUMN()/2+1,FALSE))),"")</f>
        <v/>
      </c>
      <c r="S137" s="91"/>
      <c r="T137" s="91" t="str">
        <f ca="1">IFERROR(VALUE(IF(VLOOKUP($A137,数出表_Excel!$A$6:$T$150,COLUMN()/2+1,FALSE)=0,"",VLOOKUP($A137,数出表_Excel!$A$6:$T$150,COLUMN()/2+1,FALSE))),"")</f>
        <v/>
      </c>
      <c r="U137" s="91"/>
      <c r="V137" s="95" t="str">
        <f ca="1">IFERROR(VALUE(IF(VLOOKUP($A137,数出表_Excel!$A$6:$T$150,COLUMN()/2+1,FALSE)=0,"",VLOOKUP($A137,数出表_Excel!$A$6:$T$150,COLUMN()/2+1,FALSE))),"")</f>
        <v/>
      </c>
      <c r="W137" s="91"/>
      <c r="X137" s="95" t="str">
        <f ca="1">IFERROR(VALUE(IF(VLOOKUP($A137,数出表_Excel!$A$6:$T$150,COLUMN()/2+1,FALSE)=0,"",VLOOKUP($A137,数出表_Excel!$A$6:$T$150,COLUMN()/2+1,FALSE))),"")</f>
        <v/>
      </c>
      <c r="Y137" s="91"/>
      <c r="Z137" s="95" t="str">
        <f ca="1">IFERROR(VALUE(IF(VLOOKUP($A137,数出表_Excel!$A$6:$T$150,COLUMN()/2+1,FALSE)=0,"",VLOOKUP($A137,数出表_Excel!$A$6:$T$150,COLUMN()/2+1,FALSE))),"")</f>
        <v/>
      </c>
      <c r="AA137" s="129"/>
      <c r="AB137" s="96" t="str">
        <f ca="1">IFERROR(VALUE(IF(VLOOKUP($A137,数出表_Excel!$A$6:$T$150,COLUMN()/2+1,FALSE)=0,"",VLOOKUP($A137,数出表_Excel!$A$6:$T$150,COLUMN()/2+1,FALSE))),"")</f>
        <v/>
      </c>
      <c r="AC137" s="91"/>
      <c r="AD137" s="95" t="str">
        <f ca="1">IFERROR(VALUE(IF(VLOOKUP($A137,数出表_Excel!$A$6:$T$150,COLUMN()/2+1,FALSE)=0,"",VLOOKUP($A137,数出表_Excel!$A$6:$T$150,COLUMN()/2+1,FALSE))),"")</f>
        <v/>
      </c>
      <c r="AE137" s="91"/>
      <c r="AF137" s="95" t="str">
        <f ca="1">IFERROR(VALUE(IF(VLOOKUP($A137,数出表_Excel!$A$6:$T$150,COLUMN()/2+1,FALSE)=0,"",VLOOKUP($A137,数出表_Excel!$A$6:$T$150,COLUMN()/2+1,FALSE))),"")</f>
        <v/>
      </c>
      <c r="AG137" s="91"/>
      <c r="AH137" s="95" t="str">
        <f ca="1">IFERROR(VALUE(IF(VLOOKUP($A137,数出表_Excel!$A$6:$T$150,COLUMN()/2+1,FALSE)=0,"",VLOOKUP($A137,数出表_Excel!$A$6:$T$150,COLUMN()/2+1,FALSE))),"")</f>
        <v/>
      </c>
      <c r="AI137" s="129"/>
      <c r="AJ137" s="96" t="str">
        <f ca="1">IFERROR(VALUE(IF(VLOOKUP($A137,数出表_Excel!$A$6:$T$150,COLUMN()/2+1,FALSE)=0,"",VLOOKUP($A137,数出表_Excel!$A$6:$T$150,COLUMN()/2+1,FALSE))),"")</f>
        <v/>
      </c>
      <c r="AK137" s="91"/>
      <c r="AL137" s="97" t="e">
        <f ca="1">IF(A137&lt;&gt;"",
IF(VLOOKUP($A137,数出表_Excel!$A$6:$T$150,COLUMN()/2+1,FALSE)=0,"",VLOOKUP($A137,数出表_Excel!$A$6:$T$150,COLUMN()/2+1,FALSE)),"")</f>
        <v>#N/A</v>
      </c>
      <c r="AM137" s="177" t="e">
        <f>数出表_Excel!V137</f>
        <v>#N/A</v>
      </c>
      <c r="AN137" s="178" t="e">
        <f>数出表_Excel!W137</f>
        <v>#N/A</v>
      </c>
    </row>
    <row r="138" spans="1:40" ht="16.2" customHeight="1">
      <c r="A138" s="137" t="e">
        <f t="array" aca="1" ref="A138" ca="1">IF(OR(COUNTIF(A136,"*10002*"),COUNTIF(A136,"")),"",INDEX(貼り付け用!$A1:$A200,MATCH(A136,貼り付け用!$A1:$A200,0)+2,0))</f>
        <v>#N/A</v>
      </c>
      <c r="B138" s="125" t="str">
        <f ca="1">IFERROR(VALUE(IF(VLOOKUP($A138,数出表_Excel!$A$6:$T$150,COLUMN()/2+1,FALSE)=0,"",VLOOKUP($A138,数出表_Excel!$A$6:$T$150,COLUMN()/2+1,FALSE))),"")</f>
        <v/>
      </c>
      <c r="C138" s="90"/>
      <c r="D138" s="125" t="str">
        <f ca="1">IFERROR(VALUE(IF(VLOOKUP($A138,数出表_Excel!$A$6:$T$150,COLUMN()/2+1,FALSE)=0,"",VLOOKUP($A138,数出表_Excel!$A$6:$T$150,COLUMN()/2+1,FALSE))),"")</f>
        <v/>
      </c>
      <c r="E138" s="90"/>
      <c r="F138" s="127" t="str">
        <f ca="1">IFERROR(VALUE(IF(VLOOKUP($A138,数出表_Excel!$A$6:$T$150,COLUMN()/2+1,FALSE)=0,"",VLOOKUP($A138,数出表_Excel!$A$6:$T$150,COLUMN()/2+1,FALSE))),"")</f>
        <v/>
      </c>
      <c r="G138" s="90"/>
      <c r="H138" s="125" t="str">
        <f ca="1">IFERROR(VALUE(IF(VLOOKUP($A138,数出表_Excel!$A$6:$T$150,COLUMN()/2+1,FALSE)=0,"",VLOOKUP($A138,数出表_Excel!$A$6:$T$150,COLUMN()/2+1,FALSE))),"")</f>
        <v/>
      </c>
      <c r="I138" s="90"/>
      <c r="J138" s="125" t="str">
        <f ca="1">IFERROR(VALUE(IF(VLOOKUP($A138,数出表_Excel!$A$6:$T$150,COLUMN()/2+1,FALSE)=0,"",VLOOKUP($A138,数出表_Excel!$A$6:$T$150,COLUMN()/2+1,FALSE))),"")</f>
        <v/>
      </c>
      <c r="K138" s="90"/>
      <c r="L138" s="127" t="str">
        <f ca="1">IFERROR(VALUE(IF(VLOOKUP($A138,数出表_Excel!$A$6:$T$150,COLUMN()/2+1,FALSE)=0,"",VLOOKUP($A138,数出表_Excel!$A$6:$T$150,COLUMN()/2+1,FALSE))),"")</f>
        <v/>
      </c>
      <c r="M138" s="90"/>
      <c r="N138" s="125" t="str">
        <f ca="1">IFERROR(VALUE(IF(VLOOKUP($A138,数出表_Excel!$A$6:$T$150,COLUMN()/2+1,FALSE)=0,"",VLOOKUP($A138,数出表_Excel!$A$6:$T$150,COLUMN()/2+1,FALSE))),"")</f>
        <v/>
      </c>
      <c r="O138" s="90"/>
      <c r="P138" s="125" t="str">
        <f ca="1">IFERROR(VALUE(IF(VLOOKUP($A138,数出表_Excel!$A$6:$T$150,COLUMN()/2+1,FALSE)=0,"",VLOOKUP($A138,数出表_Excel!$A$6:$T$150,COLUMN()/2+1,FALSE))),"")</f>
        <v/>
      </c>
      <c r="Q138" s="90"/>
      <c r="R138" s="125" t="str">
        <f ca="1">IFERROR(VALUE(IF(VLOOKUP($A138,数出表_Excel!$A$6:$T$150,COLUMN()/2+1,FALSE)=0,"",VLOOKUP($A138,数出表_Excel!$A$6:$T$150,COLUMN()/2+1,FALSE))),"")</f>
        <v/>
      </c>
      <c r="S138" s="90"/>
      <c r="T138" s="125" t="str">
        <f ca="1">IFERROR(VALUE(IF(VLOOKUP($A138,数出表_Excel!$A$6:$T$150,COLUMN()/2+1,FALSE)=0,"",VLOOKUP($A138,数出表_Excel!$A$6:$T$150,COLUMN()/2+1,FALSE))),"")</f>
        <v/>
      </c>
      <c r="U138" s="90"/>
      <c r="V138" s="127" t="str">
        <f ca="1">IFERROR(VALUE(IF(VLOOKUP($A138,数出表_Excel!$A$6:$T$150,COLUMN()/2+1,FALSE)=0,"",VLOOKUP($A138,数出表_Excel!$A$6:$T$150,COLUMN()/2+1,FALSE))),"")</f>
        <v/>
      </c>
      <c r="W138" s="90"/>
      <c r="X138" s="127" t="str">
        <f ca="1">IFERROR(VALUE(IF(VLOOKUP($A138,数出表_Excel!$A$6:$T$150,COLUMN()/2+1,FALSE)=0,"",VLOOKUP($A138,数出表_Excel!$A$6:$T$150,COLUMN()/2+1,FALSE))),"")</f>
        <v/>
      </c>
      <c r="Y138" s="90"/>
      <c r="Z138" s="127" t="str">
        <f ca="1">IFERROR(VALUE(IF(VLOOKUP($A138,数出表_Excel!$A$6:$T$150,COLUMN()/2+1,FALSE)=0,"",VLOOKUP($A138,数出表_Excel!$A$6:$T$150,COLUMN()/2+1,FALSE))),"")</f>
        <v/>
      </c>
      <c r="AA138" s="128"/>
      <c r="AB138" s="126" t="str">
        <f ca="1">IFERROR(VALUE(IF(VLOOKUP($A138,数出表_Excel!$A$6:$T$150,COLUMN()/2+1,FALSE)=0,"",VLOOKUP($A138,数出表_Excel!$A$6:$T$150,COLUMN()/2+1,FALSE))),"")</f>
        <v/>
      </c>
      <c r="AC138" s="90"/>
      <c r="AD138" s="127" t="str">
        <f ca="1">IFERROR(VALUE(IF(VLOOKUP($A138,数出表_Excel!$A$6:$T$150,COLUMN()/2+1,FALSE)=0,"",VLOOKUP($A138,数出表_Excel!$A$6:$T$150,COLUMN()/2+1,FALSE))),"")</f>
        <v/>
      </c>
      <c r="AE138" s="90"/>
      <c r="AF138" s="127" t="str">
        <f ca="1">IFERROR(VALUE(IF(VLOOKUP($A138,数出表_Excel!$A$6:$T$150,COLUMN()/2+1,FALSE)=0,"",VLOOKUP($A138,数出表_Excel!$A$6:$T$150,COLUMN()/2+1,FALSE))),"")</f>
        <v/>
      </c>
      <c r="AG138" s="90"/>
      <c r="AH138" s="127" t="str">
        <f ca="1">IFERROR(VALUE(IF(VLOOKUP($A138,数出表_Excel!$A$6:$T$150,COLUMN()/2+1,FALSE)=0,"",VLOOKUP($A138,数出表_Excel!$A$6:$T$150,COLUMN()/2+1,FALSE))),"")</f>
        <v/>
      </c>
      <c r="AI138" s="128"/>
      <c r="AJ138" s="126" t="str">
        <f ca="1">IFERROR(VALUE(IF(VLOOKUP($A138,数出表_Excel!$A$6:$T$150,COLUMN()/2+1,FALSE)=0,"",VLOOKUP($A138,数出表_Excel!$A$6:$T$150,COLUMN()/2+1,FALSE))),"")</f>
        <v/>
      </c>
      <c r="AK138" s="90"/>
      <c r="AL138" s="94" t="e">
        <f ca="1">IF(A138&lt;&gt;"",
IF(VLOOKUP($A138,数出表_Excel!$A$6:$T$150,COLUMN()/2+1,FALSE)=0,"",VLOOKUP($A138,数出表_Excel!$A$6:$T$150,COLUMN()/2+1,FALSE)),"")</f>
        <v>#N/A</v>
      </c>
      <c r="AM138" s="175" t="e">
        <f>数出表_Excel!V138</f>
        <v>#N/A</v>
      </c>
      <c r="AN138" s="176" t="e">
        <f>数出表_Excel!W138</f>
        <v>#N/A</v>
      </c>
    </row>
    <row r="139" spans="1:40" ht="16.2" customHeight="1">
      <c r="A139" s="138" t="e">
        <f t="array" aca="1" ref="A139" ca="1">IF(OR(COUNTIF(A137,"*1000*"),COUNTIF(A137,"")),"",INDEX(貼り付け用!$A1:$A200,MATCH(A137,貼り付け用!$A1:$A200,0)+2,0))</f>
        <v>#N/A</v>
      </c>
      <c r="B139" s="91" t="str">
        <f ca="1">IFERROR(VALUE(IF(VLOOKUP($A139,数出表_Excel!$A$6:$T$150,COLUMN()/2+1,FALSE)=0,"",VLOOKUP($A139,数出表_Excel!$A$6:$T$150,COLUMN()/2+1,FALSE))),"")</f>
        <v/>
      </c>
      <c r="C139" s="91"/>
      <c r="D139" s="91" t="str">
        <f ca="1">IFERROR(VALUE(IF(VLOOKUP($A139,数出表_Excel!$A$6:$T$150,COLUMN()/2+1,FALSE)=0,"",VLOOKUP($A139,数出表_Excel!$A$6:$T$150,COLUMN()/2+1,FALSE))),"")</f>
        <v/>
      </c>
      <c r="E139" s="91"/>
      <c r="F139" s="95" t="str">
        <f ca="1">IFERROR(VALUE(IF(VLOOKUP($A139,数出表_Excel!$A$6:$T$150,COLUMN()/2+1,FALSE)=0,"",VLOOKUP($A139,数出表_Excel!$A$6:$T$150,COLUMN()/2+1,FALSE))),"")</f>
        <v/>
      </c>
      <c r="G139" s="91"/>
      <c r="H139" s="91" t="str">
        <f ca="1">IFERROR(VALUE(IF(VLOOKUP($A139,数出表_Excel!$A$6:$T$150,COLUMN()/2+1,FALSE)=0,"",VLOOKUP($A139,数出表_Excel!$A$6:$T$150,COLUMN()/2+1,FALSE))),"")</f>
        <v/>
      </c>
      <c r="I139" s="91"/>
      <c r="J139" s="91" t="str">
        <f ca="1">IFERROR(VALUE(IF(VLOOKUP($A139,数出表_Excel!$A$6:$T$150,COLUMN()/2+1,FALSE)=0,"",VLOOKUP($A139,数出表_Excel!$A$6:$T$150,COLUMN()/2+1,FALSE))),"")</f>
        <v/>
      </c>
      <c r="K139" s="91"/>
      <c r="L139" s="95" t="str">
        <f ca="1">IFERROR(VALUE(IF(VLOOKUP($A139,数出表_Excel!$A$6:$T$150,COLUMN()/2+1,FALSE)=0,"",VLOOKUP($A139,数出表_Excel!$A$6:$T$150,COLUMN()/2+1,FALSE))),"")</f>
        <v/>
      </c>
      <c r="M139" s="91"/>
      <c r="N139" s="91" t="str">
        <f ca="1">IFERROR(VALUE(IF(VLOOKUP($A139,数出表_Excel!$A$6:$T$150,COLUMN()/2+1,FALSE)=0,"",VLOOKUP($A139,数出表_Excel!$A$6:$T$150,COLUMN()/2+1,FALSE))),"")</f>
        <v/>
      </c>
      <c r="O139" s="91"/>
      <c r="P139" s="91" t="str">
        <f ca="1">IFERROR(VALUE(IF(VLOOKUP($A139,数出表_Excel!$A$6:$T$150,COLUMN()/2+1,FALSE)=0,"",VLOOKUP($A139,数出表_Excel!$A$6:$T$150,COLUMN()/2+1,FALSE))),"")</f>
        <v/>
      </c>
      <c r="Q139" s="91"/>
      <c r="R139" s="91" t="str">
        <f ca="1">IFERROR(VALUE(IF(VLOOKUP($A139,数出表_Excel!$A$6:$T$150,COLUMN()/2+1,FALSE)=0,"",VLOOKUP($A139,数出表_Excel!$A$6:$T$150,COLUMN()/2+1,FALSE))),"")</f>
        <v/>
      </c>
      <c r="S139" s="91"/>
      <c r="T139" s="91" t="str">
        <f ca="1">IFERROR(VALUE(IF(VLOOKUP($A139,数出表_Excel!$A$6:$T$150,COLUMN()/2+1,FALSE)=0,"",VLOOKUP($A139,数出表_Excel!$A$6:$T$150,COLUMN()/2+1,FALSE))),"")</f>
        <v/>
      </c>
      <c r="U139" s="91"/>
      <c r="V139" s="95" t="str">
        <f ca="1">IFERROR(VALUE(IF(VLOOKUP($A139,数出表_Excel!$A$6:$T$150,COLUMN()/2+1,FALSE)=0,"",VLOOKUP($A139,数出表_Excel!$A$6:$T$150,COLUMN()/2+1,FALSE))),"")</f>
        <v/>
      </c>
      <c r="W139" s="91"/>
      <c r="X139" s="95" t="str">
        <f ca="1">IFERROR(VALUE(IF(VLOOKUP($A139,数出表_Excel!$A$6:$T$150,COLUMN()/2+1,FALSE)=0,"",VLOOKUP($A139,数出表_Excel!$A$6:$T$150,COLUMN()/2+1,FALSE))),"")</f>
        <v/>
      </c>
      <c r="Y139" s="91"/>
      <c r="Z139" s="95" t="str">
        <f ca="1">IFERROR(VALUE(IF(VLOOKUP($A139,数出表_Excel!$A$6:$T$150,COLUMN()/2+1,FALSE)=0,"",VLOOKUP($A139,数出表_Excel!$A$6:$T$150,COLUMN()/2+1,FALSE))),"")</f>
        <v/>
      </c>
      <c r="AA139" s="129"/>
      <c r="AB139" s="96" t="str">
        <f ca="1">IFERROR(VALUE(IF(VLOOKUP($A139,数出表_Excel!$A$6:$T$150,COLUMN()/2+1,FALSE)=0,"",VLOOKUP($A139,数出表_Excel!$A$6:$T$150,COLUMN()/2+1,FALSE))),"")</f>
        <v/>
      </c>
      <c r="AC139" s="91"/>
      <c r="AD139" s="95" t="str">
        <f ca="1">IFERROR(VALUE(IF(VLOOKUP($A139,数出表_Excel!$A$6:$T$150,COLUMN()/2+1,FALSE)=0,"",VLOOKUP($A139,数出表_Excel!$A$6:$T$150,COLUMN()/2+1,FALSE))),"")</f>
        <v/>
      </c>
      <c r="AE139" s="91"/>
      <c r="AF139" s="95" t="str">
        <f ca="1">IFERROR(VALUE(IF(VLOOKUP($A139,数出表_Excel!$A$6:$T$150,COLUMN()/2+1,FALSE)=0,"",VLOOKUP($A139,数出表_Excel!$A$6:$T$150,COLUMN()/2+1,FALSE))),"")</f>
        <v/>
      </c>
      <c r="AG139" s="91"/>
      <c r="AH139" s="95" t="str">
        <f ca="1">IFERROR(VALUE(IF(VLOOKUP($A139,数出表_Excel!$A$6:$T$150,COLUMN()/2+1,FALSE)=0,"",VLOOKUP($A139,数出表_Excel!$A$6:$T$150,COLUMN()/2+1,FALSE))),"")</f>
        <v/>
      </c>
      <c r="AI139" s="129"/>
      <c r="AJ139" s="96" t="str">
        <f ca="1">IFERROR(VALUE(IF(VLOOKUP($A139,数出表_Excel!$A$6:$T$150,COLUMN()/2+1,FALSE)=0,"",VLOOKUP($A139,数出表_Excel!$A$6:$T$150,COLUMN()/2+1,FALSE))),"")</f>
        <v/>
      </c>
      <c r="AK139" s="91"/>
      <c r="AL139" s="97" t="e">
        <f ca="1">IF(A139&lt;&gt;"",
IF(VLOOKUP($A139,数出表_Excel!$A$6:$T$150,COLUMN()/2+1,FALSE)=0,"",VLOOKUP($A139,数出表_Excel!$A$6:$T$150,COLUMN()/2+1,FALSE)),"")</f>
        <v>#N/A</v>
      </c>
      <c r="AM139" s="177" t="e">
        <f>数出表_Excel!V139</f>
        <v>#N/A</v>
      </c>
      <c r="AN139" s="178" t="e">
        <f>数出表_Excel!W139</f>
        <v>#N/A</v>
      </c>
    </row>
    <row r="140" spans="1:40" ht="16.2" customHeight="1">
      <c r="A140" s="137" t="e">
        <f t="array" aca="1" ref="A140" ca="1">IF(OR(COUNTIF(A138,"*10002*"),COUNTIF(A138,"")),"",INDEX(貼り付け用!$A1:$A200,MATCH(A138,貼り付け用!$A1:$A200,0)+2,0))</f>
        <v>#N/A</v>
      </c>
      <c r="B140" s="125" t="str">
        <f ca="1">IFERROR(VALUE(IF(VLOOKUP($A140,数出表_Excel!$A$6:$T$150,COLUMN()/2+1,FALSE)=0,"",VLOOKUP($A140,数出表_Excel!$A$6:$T$150,COLUMN()/2+1,FALSE))),"")</f>
        <v/>
      </c>
      <c r="C140" s="90"/>
      <c r="D140" s="125" t="str">
        <f ca="1">IFERROR(VALUE(IF(VLOOKUP($A140,数出表_Excel!$A$6:$T$150,COLUMN()/2+1,FALSE)=0,"",VLOOKUP($A140,数出表_Excel!$A$6:$T$150,COLUMN()/2+1,FALSE))),"")</f>
        <v/>
      </c>
      <c r="E140" s="90"/>
      <c r="F140" s="127" t="str">
        <f ca="1">IFERROR(VALUE(IF(VLOOKUP($A140,数出表_Excel!$A$6:$T$150,COLUMN()/2+1,FALSE)=0,"",VLOOKUP($A140,数出表_Excel!$A$6:$T$150,COLUMN()/2+1,FALSE))),"")</f>
        <v/>
      </c>
      <c r="G140" s="90"/>
      <c r="H140" s="125" t="str">
        <f ca="1">IFERROR(VALUE(IF(VLOOKUP($A140,数出表_Excel!$A$6:$T$150,COLUMN()/2+1,FALSE)=0,"",VLOOKUP($A140,数出表_Excel!$A$6:$T$150,COLUMN()/2+1,FALSE))),"")</f>
        <v/>
      </c>
      <c r="I140" s="90"/>
      <c r="J140" s="125" t="str">
        <f ca="1">IFERROR(VALUE(IF(VLOOKUP($A140,数出表_Excel!$A$6:$T$150,COLUMN()/2+1,FALSE)=0,"",VLOOKUP($A140,数出表_Excel!$A$6:$T$150,COLUMN()/2+1,FALSE))),"")</f>
        <v/>
      </c>
      <c r="K140" s="90"/>
      <c r="L140" s="127" t="str">
        <f ca="1">IFERROR(VALUE(IF(VLOOKUP($A140,数出表_Excel!$A$6:$T$150,COLUMN()/2+1,FALSE)=0,"",VLOOKUP($A140,数出表_Excel!$A$6:$T$150,COLUMN()/2+1,FALSE))),"")</f>
        <v/>
      </c>
      <c r="M140" s="90"/>
      <c r="N140" s="125" t="str">
        <f ca="1">IFERROR(VALUE(IF(VLOOKUP($A140,数出表_Excel!$A$6:$T$150,COLUMN()/2+1,FALSE)=0,"",VLOOKUP($A140,数出表_Excel!$A$6:$T$150,COLUMN()/2+1,FALSE))),"")</f>
        <v/>
      </c>
      <c r="O140" s="90"/>
      <c r="P140" s="125" t="str">
        <f ca="1">IFERROR(VALUE(IF(VLOOKUP($A140,数出表_Excel!$A$6:$T$150,COLUMN()/2+1,FALSE)=0,"",VLOOKUP($A140,数出表_Excel!$A$6:$T$150,COLUMN()/2+1,FALSE))),"")</f>
        <v/>
      </c>
      <c r="Q140" s="90"/>
      <c r="R140" s="125" t="str">
        <f ca="1">IFERROR(VALUE(IF(VLOOKUP($A140,数出表_Excel!$A$6:$T$150,COLUMN()/2+1,FALSE)=0,"",VLOOKUP($A140,数出表_Excel!$A$6:$T$150,COLUMN()/2+1,FALSE))),"")</f>
        <v/>
      </c>
      <c r="S140" s="90"/>
      <c r="T140" s="125" t="str">
        <f ca="1">IFERROR(VALUE(IF(VLOOKUP($A140,数出表_Excel!$A$6:$T$150,COLUMN()/2+1,FALSE)=0,"",VLOOKUP($A140,数出表_Excel!$A$6:$T$150,COLUMN()/2+1,FALSE))),"")</f>
        <v/>
      </c>
      <c r="U140" s="90"/>
      <c r="V140" s="127" t="str">
        <f ca="1">IFERROR(VALUE(IF(VLOOKUP($A140,数出表_Excel!$A$6:$T$150,COLUMN()/2+1,FALSE)=0,"",VLOOKUP($A140,数出表_Excel!$A$6:$T$150,COLUMN()/2+1,FALSE))),"")</f>
        <v/>
      </c>
      <c r="W140" s="90"/>
      <c r="X140" s="127" t="str">
        <f ca="1">IFERROR(VALUE(IF(VLOOKUP($A140,数出表_Excel!$A$6:$T$150,COLUMN()/2+1,FALSE)=0,"",VLOOKUP($A140,数出表_Excel!$A$6:$T$150,COLUMN()/2+1,FALSE))),"")</f>
        <v/>
      </c>
      <c r="Y140" s="90"/>
      <c r="Z140" s="127" t="str">
        <f ca="1">IFERROR(VALUE(IF(VLOOKUP($A140,数出表_Excel!$A$6:$T$150,COLUMN()/2+1,FALSE)=0,"",VLOOKUP($A140,数出表_Excel!$A$6:$T$150,COLUMN()/2+1,FALSE))),"")</f>
        <v/>
      </c>
      <c r="AA140" s="128"/>
      <c r="AB140" s="126" t="str">
        <f ca="1">IFERROR(VALUE(IF(VLOOKUP($A140,数出表_Excel!$A$6:$T$150,COLUMN()/2+1,FALSE)=0,"",VLOOKUP($A140,数出表_Excel!$A$6:$T$150,COLUMN()/2+1,FALSE))),"")</f>
        <v/>
      </c>
      <c r="AC140" s="90"/>
      <c r="AD140" s="127" t="str">
        <f ca="1">IFERROR(VALUE(IF(VLOOKUP($A140,数出表_Excel!$A$6:$T$150,COLUMN()/2+1,FALSE)=0,"",VLOOKUP($A140,数出表_Excel!$A$6:$T$150,COLUMN()/2+1,FALSE))),"")</f>
        <v/>
      </c>
      <c r="AE140" s="90"/>
      <c r="AF140" s="127" t="str">
        <f ca="1">IFERROR(VALUE(IF(VLOOKUP($A140,数出表_Excel!$A$6:$T$150,COLUMN()/2+1,FALSE)=0,"",VLOOKUP($A140,数出表_Excel!$A$6:$T$150,COLUMN()/2+1,FALSE))),"")</f>
        <v/>
      </c>
      <c r="AG140" s="90"/>
      <c r="AH140" s="127" t="str">
        <f ca="1">IFERROR(VALUE(IF(VLOOKUP($A140,数出表_Excel!$A$6:$T$150,COLUMN()/2+1,FALSE)=0,"",VLOOKUP($A140,数出表_Excel!$A$6:$T$150,COLUMN()/2+1,FALSE))),"")</f>
        <v/>
      </c>
      <c r="AI140" s="128"/>
      <c r="AJ140" s="126" t="str">
        <f ca="1">IFERROR(VALUE(IF(VLOOKUP($A140,数出表_Excel!$A$6:$T$150,COLUMN()/2+1,FALSE)=0,"",VLOOKUP($A140,数出表_Excel!$A$6:$T$150,COLUMN()/2+1,FALSE))),"")</f>
        <v/>
      </c>
      <c r="AK140" s="90"/>
      <c r="AL140" s="94" t="e">
        <f ca="1">IF(A140&lt;&gt;"",
IF(VLOOKUP($A140,数出表_Excel!$A$6:$T$150,COLUMN()/2+1,FALSE)=0,"",VLOOKUP($A140,数出表_Excel!$A$6:$T$150,COLUMN()/2+1,FALSE)),"")</f>
        <v>#N/A</v>
      </c>
      <c r="AM140" s="175" t="e">
        <f>数出表_Excel!V140</f>
        <v>#N/A</v>
      </c>
      <c r="AN140" s="176" t="e">
        <f>数出表_Excel!W140</f>
        <v>#N/A</v>
      </c>
    </row>
    <row r="141" spans="1:40" ht="16.2" customHeight="1">
      <c r="A141" s="138" t="e">
        <f t="array" aca="1" ref="A141" ca="1">IF(OR(COUNTIF(A139,"*1000*"),COUNTIF(A139,"")),"",INDEX(貼り付け用!$A1:$A200,MATCH(A139,貼り付け用!$A1:$A200,0)+2,0))</f>
        <v>#N/A</v>
      </c>
      <c r="B141" s="91" t="str">
        <f ca="1">IFERROR(VALUE(IF(VLOOKUP($A141,数出表_Excel!$A$6:$T$150,COLUMN()/2+1,FALSE)=0,"",VLOOKUP($A141,数出表_Excel!$A$6:$T$150,COLUMN()/2+1,FALSE))),"")</f>
        <v/>
      </c>
      <c r="C141" s="91"/>
      <c r="D141" s="91" t="str">
        <f ca="1">IFERROR(VALUE(IF(VLOOKUP($A141,数出表_Excel!$A$6:$T$150,COLUMN()/2+1,FALSE)=0,"",VLOOKUP($A141,数出表_Excel!$A$6:$T$150,COLUMN()/2+1,FALSE))),"")</f>
        <v/>
      </c>
      <c r="E141" s="91"/>
      <c r="F141" s="95" t="str">
        <f ca="1">IFERROR(VALUE(IF(VLOOKUP($A141,数出表_Excel!$A$6:$T$150,COLUMN()/2+1,FALSE)=0,"",VLOOKUP($A141,数出表_Excel!$A$6:$T$150,COLUMN()/2+1,FALSE))),"")</f>
        <v/>
      </c>
      <c r="G141" s="91"/>
      <c r="H141" s="91" t="str">
        <f ca="1">IFERROR(VALUE(IF(VLOOKUP($A141,数出表_Excel!$A$6:$T$150,COLUMN()/2+1,FALSE)=0,"",VLOOKUP($A141,数出表_Excel!$A$6:$T$150,COLUMN()/2+1,FALSE))),"")</f>
        <v/>
      </c>
      <c r="I141" s="91"/>
      <c r="J141" s="91" t="str">
        <f ca="1">IFERROR(VALUE(IF(VLOOKUP($A141,数出表_Excel!$A$6:$T$150,COLUMN()/2+1,FALSE)=0,"",VLOOKUP($A141,数出表_Excel!$A$6:$T$150,COLUMN()/2+1,FALSE))),"")</f>
        <v/>
      </c>
      <c r="K141" s="91"/>
      <c r="L141" s="95" t="str">
        <f ca="1">IFERROR(VALUE(IF(VLOOKUP($A141,数出表_Excel!$A$6:$T$150,COLUMN()/2+1,FALSE)=0,"",VLOOKUP($A141,数出表_Excel!$A$6:$T$150,COLUMN()/2+1,FALSE))),"")</f>
        <v/>
      </c>
      <c r="M141" s="91"/>
      <c r="N141" s="91" t="str">
        <f ca="1">IFERROR(VALUE(IF(VLOOKUP($A141,数出表_Excel!$A$6:$T$150,COLUMN()/2+1,FALSE)=0,"",VLOOKUP($A141,数出表_Excel!$A$6:$T$150,COLUMN()/2+1,FALSE))),"")</f>
        <v/>
      </c>
      <c r="O141" s="91"/>
      <c r="P141" s="91" t="str">
        <f ca="1">IFERROR(VALUE(IF(VLOOKUP($A141,数出表_Excel!$A$6:$T$150,COLUMN()/2+1,FALSE)=0,"",VLOOKUP($A141,数出表_Excel!$A$6:$T$150,COLUMN()/2+1,FALSE))),"")</f>
        <v/>
      </c>
      <c r="Q141" s="91"/>
      <c r="R141" s="91" t="str">
        <f ca="1">IFERROR(VALUE(IF(VLOOKUP($A141,数出表_Excel!$A$6:$T$150,COLUMN()/2+1,FALSE)=0,"",VLOOKUP($A141,数出表_Excel!$A$6:$T$150,COLUMN()/2+1,FALSE))),"")</f>
        <v/>
      </c>
      <c r="S141" s="91"/>
      <c r="T141" s="91" t="str">
        <f ca="1">IFERROR(VALUE(IF(VLOOKUP($A141,数出表_Excel!$A$6:$T$150,COLUMN()/2+1,FALSE)=0,"",VLOOKUP($A141,数出表_Excel!$A$6:$T$150,COLUMN()/2+1,FALSE))),"")</f>
        <v/>
      </c>
      <c r="U141" s="91"/>
      <c r="V141" s="95" t="str">
        <f ca="1">IFERROR(VALUE(IF(VLOOKUP($A141,数出表_Excel!$A$6:$T$150,COLUMN()/2+1,FALSE)=0,"",VLOOKUP($A141,数出表_Excel!$A$6:$T$150,COLUMN()/2+1,FALSE))),"")</f>
        <v/>
      </c>
      <c r="W141" s="91"/>
      <c r="X141" s="95" t="str">
        <f ca="1">IFERROR(VALUE(IF(VLOOKUP($A141,数出表_Excel!$A$6:$T$150,COLUMN()/2+1,FALSE)=0,"",VLOOKUP($A141,数出表_Excel!$A$6:$T$150,COLUMN()/2+1,FALSE))),"")</f>
        <v/>
      </c>
      <c r="Y141" s="91"/>
      <c r="Z141" s="95" t="str">
        <f ca="1">IFERROR(VALUE(IF(VLOOKUP($A141,数出表_Excel!$A$6:$T$150,COLUMN()/2+1,FALSE)=0,"",VLOOKUP($A141,数出表_Excel!$A$6:$T$150,COLUMN()/2+1,FALSE))),"")</f>
        <v/>
      </c>
      <c r="AA141" s="129"/>
      <c r="AB141" s="96" t="str">
        <f ca="1">IFERROR(VALUE(IF(VLOOKUP($A141,数出表_Excel!$A$6:$T$150,COLUMN()/2+1,FALSE)=0,"",VLOOKUP($A141,数出表_Excel!$A$6:$T$150,COLUMN()/2+1,FALSE))),"")</f>
        <v/>
      </c>
      <c r="AC141" s="91"/>
      <c r="AD141" s="95" t="str">
        <f ca="1">IFERROR(VALUE(IF(VLOOKUP($A141,数出表_Excel!$A$6:$T$150,COLUMN()/2+1,FALSE)=0,"",VLOOKUP($A141,数出表_Excel!$A$6:$T$150,COLUMN()/2+1,FALSE))),"")</f>
        <v/>
      </c>
      <c r="AE141" s="91"/>
      <c r="AF141" s="95" t="str">
        <f ca="1">IFERROR(VALUE(IF(VLOOKUP($A141,数出表_Excel!$A$6:$T$150,COLUMN()/2+1,FALSE)=0,"",VLOOKUP($A141,数出表_Excel!$A$6:$T$150,COLUMN()/2+1,FALSE))),"")</f>
        <v/>
      </c>
      <c r="AG141" s="91"/>
      <c r="AH141" s="95" t="str">
        <f ca="1">IFERROR(VALUE(IF(VLOOKUP($A141,数出表_Excel!$A$6:$T$150,COLUMN()/2+1,FALSE)=0,"",VLOOKUP($A141,数出表_Excel!$A$6:$T$150,COLUMN()/2+1,FALSE))),"")</f>
        <v/>
      </c>
      <c r="AI141" s="129"/>
      <c r="AJ141" s="96" t="str">
        <f ca="1">IFERROR(VALUE(IF(VLOOKUP($A141,数出表_Excel!$A$6:$T$150,COLUMN()/2+1,FALSE)=0,"",VLOOKUP($A141,数出表_Excel!$A$6:$T$150,COLUMN()/2+1,FALSE))),"")</f>
        <v/>
      </c>
      <c r="AK141" s="91"/>
      <c r="AL141" s="97" t="e">
        <f ca="1">IF(A141&lt;&gt;"",
IF(VLOOKUP($A141,数出表_Excel!$A$6:$T$150,COLUMN()/2+1,FALSE)=0,"",VLOOKUP($A141,数出表_Excel!$A$6:$T$150,COLUMN()/2+1,FALSE)),"")</f>
        <v>#N/A</v>
      </c>
      <c r="AM141" s="177" t="e">
        <f>数出表_Excel!V141</f>
        <v>#N/A</v>
      </c>
      <c r="AN141" s="178" t="e">
        <f>数出表_Excel!W141</f>
        <v>#N/A</v>
      </c>
    </row>
    <row r="142" spans="1:40" ht="16.2" customHeight="1">
      <c r="A142" s="137" t="e">
        <f t="array" aca="1" ref="A142" ca="1">IF(OR(COUNTIF(A140,"*10002*"),COUNTIF(A140,"")),"",INDEX(貼り付け用!$A1:$A200,MATCH(A140,貼り付け用!$A1:$A200,0)+2,0))</f>
        <v>#N/A</v>
      </c>
      <c r="B142" s="125" t="str">
        <f ca="1">IFERROR(VALUE(IF(VLOOKUP($A142,数出表_Excel!$A$6:$T$150,COLUMN()/2+1,FALSE)=0,"",VLOOKUP($A142,数出表_Excel!$A$6:$T$150,COLUMN()/2+1,FALSE))),"")</f>
        <v/>
      </c>
      <c r="C142" s="90"/>
      <c r="D142" s="125" t="str">
        <f ca="1">IFERROR(VALUE(IF(VLOOKUP($A142,数出表_Excel!$A$6:$T$150,COLUMN()/2+1,FALSE)=0,"",VLOOKUP($A142,数出表_Excel!$A$6:$T$150,COLUMN()/2+1,FALSE))),"")</f>
        <v/>
      </c>
      <c r="E142" s="90"/>
      <c r="F142" s="127" t="str">
        <f ca="1">IFERROR(VALUE(IF(VLOOKUP($A142,数出表_Excel!$A$6:$T$150,COLUMN()/2+1,FALSE)=0,"",VLOOKUP($A142,数出表_Excel!$A$6:$T$150,COLUMN()/2+1,FALSE))),"")</f>
        <v/>
      </c>
      <c r="G142" s="90"/>
      <c r="H142" s="125" t="str">
        <f ca="1">IFERROR(VALUE(IF(VLOOKUP($A142,数出表_Excel!$A$6:$T$150,COLUMN()/2+1,FALSE)=0,"",VLOOKUP($A142,数出表_Excel!$A$6:$T$150,COLUMN()/2+1,FALSE))),"")</f>
        <v/>
      </c>
      <c r="I142" s="90"/>
      <c r="J142" s="125" t="str">
        <f ca="1">IFERROR(VALUE(IF(VLOOKUP($A142,数出表_Excel!$A$6:$T$150,COLUMN()/2+1,FALSE)=0,"",VLOOKUP($A142,数出表_Excel!$A$6:$T$150,COLUMN()/2+1,FALSE))),"")</f>
        <v/>
      </c>
      <c r="K142" s="90"/>
      <c r="L142" s="127" t="str">
        <f ca="1">IFERROR(VALUE(IF(VLOOKUP($A142,数出表_Excel!$A$6:$T$150,COLUMN()/2+1,FALSE)=0,"",VLOOKUP($A142,数出表_Excel!$A$6:$T$150,COLUMN()/2+1,FALSE))),"")</f>
        <v/>
      </c>
      <c r="M142" s="90"/>
      <c r="N142" s="125" t="str">
        <f ca="1">IFERROR(VALUE(IF(VLOOKUP($A142,数出表_Excel!$A$6:$T$150,COLUMN()/2+1,FALSE)=0,"",VLOOKUP($A142,数出表_Excel!$A$6:$T$150,COLUMN()/2+1,FALSE))),"")</f>
        <v/>
      </c>
      <c r="O142" s="90"/>
      <c r="P142" s="125" t="str">
        <f ca="1">IFERROR(VALUE(IF(VLOOKUP($A142,数出表_Excel!$A$6:$T$150,COLUMN()/2+1,FALSE)=0,"",VLOOKUP($A142,数出表_Excel!$A$6:$T$150,COLUMN()/2+1,FALSE))),"")</f>
        <v/>
      </c>
      <c r="Q142" s="90"/>
      <c r="R142" s="125" t="str">
        <f ca="1">IFERROR(VALUE(IF(VLOOKUP($A142,数出表_Excel!$A$6:$T$150,COLUMN()/2+1,FALSE)=0,"",VLOOKUP($A142,数出表_Excel!$A$6:$T$150,COLUMN()/2+1,FALSE))),"")</f>
        <v/>
      </c>
      <c r="S142" s="90"/>
      <c r="T142" s="125" t="str">
        <f ca="1">IFERROR(VALUE(IF(VLOOKUP($A142,数出表_Excel!$A$6:$T$150,COLUMN()/2+1,FALSE)=0,"",VLOOKUP($A142,数出表_Excel!$A$6:$T$150,COLUMN()/2+1,FALSE))),"")</f>
        <v/>
      </c>
      <c r="U142" s="90"/>
      <c r="V142" s="127" t="str">
        <f ca="1">IFERROR(VALUE(IF(VLOOKUP($A142,数出表_Excel!$A$6:$T$150,COLUMN()/2+1,FALSE)=0,"",VLOOKUP($A142,数出表_Excel!$A$6:$T$150,COLUMN()/2+1,FALSE))),"")</f>
        <v/>
      </c>
      <c r="W142" s="90"/>
      <c r="X142" s="127" t="str">
        <f ca="1">IFERROR(VALUE(IF(VLOOKUP($A142,数出表_Excel!$A$6:$T$150,COLUMN()/2+1,FALSE)=0,"",VLOOKUP($A142,数出表_Excel!$A$6:$T$150,COLUMN()/2+1,FALSE))),"")</f>
        <v/>
      </c>
      <c r="Y142" s="90"/>
      <c r="Z142" s="127" t="str">
        <f ca="1">IFERROR(VALUE(IF(VLOOKUP($A142,数出表_Excel!$A$6:$T$150,COLUMN()/2+1,FALSE)=0,"",VLOOKUP($A142,数出表_Excel!$A$6:$T$150,COLUMN()/2+1,FALSE))),"")</f>
        <v/>
      </c>
      <c r="AA142" s="128"/>
      <c r="AB142" s="126" t="str">
        <f ca="1">IFERROR(VALUE(IF(VLOOKUP($A142,数出表_Excel!$A$6:$T$150,COLUMN()/2+1,FALSE)=0,"",VLOOKUP($A142,数出表_Excel!$A$6:$T$150,COLUMN()/2+1,FALSE))),"")</f>
        <v/>
      </c>
      <c r="AC142" s="90"/>
      <c r="AD142" s="127" t="str">
        <f ca="1">IFERROR(VALUE(IF(VLOOKUP($A142,数出表_Excel!$A$6:$T$150,COLUMN()/2+1,FALSE)=0,"",VLOOKUP($A142,数出表_Excel!$A$6:$T$150,COLUMN()/2+1,FALSE))),"")</f>
        <v/>
      </c>
      <c r="AE142" s="90"/>
      <c r="AF142" s="127" t="str">
        <f ca="1">IFERROR(VALUE(IF(VLOOKUP($A142,数出表_Excel!$A$6:$T$150,COLUMN()/2+1,FALSE)=0,"",VLOOKUP($A142,数出表_Excel!$A$6:$T$150,COLUMN()/2+1,FALSE))),"")</f>
        <v/>
      </c>
      <c r="AG142" s="90"/>
      <c r="AH142" s="127" t="str">
        <f ca="1">IFERROR(VALUE(IF(VLOOKUP($A142,数出表_Excel!$A$6:$T$150,COLUMN()/2+1,FALSE)=0,"",VLOOKUP($A142,数出表_Excel!$A$6:$T$150,COLUMN()/2+1,FALSE))),"")</f>
        <v/>
      </c>
      <c r="AI142" s="128"/>
      <c r="AJ142" s="126" t="str">
        <f ca="1">IFERROR(VALUE(IF(VLOOKUP($A142,数出表_Excel!$A$6:$T$150,COLUMN()/2+1,FALSE)=0,"",VLOOKUP($A142,数出表_Excel!$A$6:$T$150,COLUMN()/2+1,FALSE))),"")</f>
        <v/>
      </c>
      <c r="AK142" s="90"/>
      <c r="AL142" s="94" t="e">
        <f ca="1">IF(A142&lt;&gt;"",
IF(VLOOKUP($A142,数出表_Excel!$A$6:$T$150,COLUMN()/2+1,FALSE)=0,"",VLOOKUP($A142,数出表_Excel!$A$6:$T$150,COLUMN()/2+1,FALSE)),"")</f>
        <v>#N/A</v>
      </c>
      <c r="AM142" s="175" t="e">
        <f>数出表_Excel!V142</f>
        <v>#N/A</v>
      </c>
      <c r="AN142" s="176" t="e">
        <f>数出表_Excel!W142</f>
        <v>#N/A</v>
      </c>
    </row>
    <row r="143" spans="1:40" ht="16.2" customHeight="1">
      <c r="A143" s="138" t="e">
        <f t="array" aca="1" ref="A143" ca="1">IF(OR(COUNTIF(A141,"*1000*"),COUNTIF(A141,"")),"",INDEX(貼り付け用!$A1:$A200,MATCH(A141,貼り付け用!$A1:$A200,0)+2,0))</f>
        <v>#N/A</v>
      </c>
      <c r="B143" s="91" t="str">
        <f ca="1">IFERROR(VALUE(IF(VLOOKUP($A143,数出表_Excel!$A$6:$T$150,COLUMN()/2+1,FALSE)=0,"",VLOOKUP($A143,数出表_Excel!$A$6:$T$150,COLUMN()/2+1,FALSE))),"")</f>
        <v/>
      </c>
      <c r="C143" s="91"/>
      <c r="D143" s="91" t="str">
        <f ca="1">IFERROR(VALUE(IF(VLOOKUP($A143,数出表_Excel!$A$6:$T$150,COLUMN()/2+1,FALSE)=0,"",VLOOKUP($A143,数出表_Excel!$A$6:$T$150,COLUMN()/2+1,FALSE))),"")</f>
        <v/>
      </c>
      <c r="E143" s="91"/>
      <c r="F143" s="95" t="str">
        <f ca="1">IFERROR(VALUE(IF(VLOOKUP($A143,数出表_Excel!$A$6:$T$150,COLUMN()/2+1,FALSE)=0,"",VLOOKUP($A143,数出表_Excel!$A$6:$T$150,COLUMN()/2+1,FALSE))),"")</f>
        <v/>
      </c>
      <c r="G143" s="91"/>
      <c r="H143" s="91" t="str">
        <f ca="1">IFERROR(VALUE(IF(VLOOKUP($A143,数出表_Excel!$A$6:$T$150,COLUMN()/2+1,FALSE)=0,"",VLOOKUP($A143,数出表_Excel!$A$6:$T$150,COLUMN()/2+1,FALSE))),"")</f>
        <v/>
      </c>
      <c r="I143" s="91"/>
      <c r="J143" s="91" t="str">
        <f ca="1">IFERROR(VALUE(IF(VLOOKUP($A143,数出表_Excel!$A$6:$T$150,COLUMN()/2+1,FALSE)=0,"",VLOOKUP($A143,数出表_Excel!$A$6:$T$150,COLUMN()/2+1,FALSE))),"")</f>
        <v/>
      </c>
      <c r="K143" s="91"/>
      <c r="L143" s="95" t="str">
        <f ca="1">IFERROR(VALUE(IF(VLOOKUP($A143,数出表_Excel!$A$6:$T$150,COLUMN()/2+1,FALSE)=0,"",VLOOKUP($A143,数出表_Excel!$A$6:$T$150,COLUMN()/2+1,FALSE))),"")</f>
        <v/>
      </c>
      <c r="M143" s="91"/>
      <c r="N143" s="91" t="str">
        <f ca="1">IFERROR(VALUE(IF(VLOOKUP($A143,数出表_Excel!$A$6:$T$150,COLUMN()/2+1,FALSE)=0,"",VLOOKUP($A143,数出表_Excel!$A$6:$T$150,COLUMN()/2+1,FALSE))),"")</f>
        <v/>
      </c>
      <c r="O143" s="91"/>
      <c r="P143" s="91" t="str">
        <f ca="1">IFERROR(VALUE(IF(VLOOKUP($A143,数出表_Excel!$A$6:$T$150,COLUMN()/2+1,FALSE)=0,"",VLOOKUP($A143,数出表_Excel!$A$6:$T$150,COLUMN()/2+1,FALSE))),"")</f>
        <v/>
      </c>
      <c r="Q143" s="91"/>
      <c r="R143" s="91" t="str">
        <f ca="1">IFERROR(VALUE(IF(VLOOKUP($A143,数出表_Excel!$A$6:$T$150,COLUMN()/2+1,FALSE)=0,"",VLOOKUP($A143,数出表_Excel!$A$6:$T$150,COLUMN()/2+1,FALSE))),"")</f>
        <v/>
      </c>
      <c r="S143" s="91"/>
      <c r="T143" s="91" t="str">
        <f ca="1">IFERROR(VALUE(IF(VLOOKUP($A143,数出表_Excel!$A$6:$T$150,COLUMN()/2+1,FALSE)=0,"",VLOOKUP($A143,数出表_Excel!$A$6:$T$150,COLUMN()/2+1,FALSE))),"")</f>
        <v/>
      </c>
      <c r="U143" s="91"/>
      <c r="V143" s="95" t="str">
        <f ca="1">IFERROR(VALUE(IF(VLOOKUP($A143,数出表_Excel!$A$6:$T$150,COLUMN()/2+1,FALSE)=0,"",VLOOKUP($A143,数出表_Excel!$A$6:$T$150,COLUMN()/2+1,FALSE))),"")</f>
        <v/>
      </c>
      <c r="W143" s="91"/>
      <c r="X143" s="95" t="str">
        <f ca="1">IFERROR(VALUE(IF(VLOOKUP($A143,数出表_Excel!$A$6:$T$150,COLUMN()/2+1,FALSE)=0,"",VLOOKUP($A143,数出表_Excel!$A$6:$T$150,COLUMN()/2+1,FALSE))),"")</f>
        <v/>
      </c>
      <c r="Y143" s="91"/>
      <c r="Z143" s="95" t="str">
        <f ca="1">IFERROR(VALUE(IF(VLOOKUP($A143,数出表_Excel!$A$6:$T$150,COLUMN()/2+1,FALSE)=0,"",VLOOKUP($A143,数出表_Excel!$A$6:$T$150,COLUMN()/2+1,FALSE))),"")</f>
        <v/>
      </c>
      <c r="AA143" s="129"/>
      <c r="AB143" s="96" t="str">
        <f ca="1">IFERROR(VALUE(IF(VLOOKUP($A143,数出表_Excel!$A$6:$T$150,COLUMN()/2+1,FALSE)=0,"",VLOOKUP($A143,数出表_Excel!$A$6:$T$150,COLUMN()/2+1,FALSE))),"")</f>
        <v/>
      </c>
      <c r="AC143" s="91"/>
      <c r="AD143" s="95" t="str">
        <f ca="1">IFERROR(VALUE(IF(VLOOKUP($A143,数出表_Excel!$A$6:$T$150,COLUMN()/2+1,FALSE)=0,"",VLOOKUP($A143,数出表_Excel!$A$6:$T$150,COLUMN()/2+1,FALSE))),"")</f>
        <v/>
      </c>
      <c r="AE143" s="91"/>
      <c r="AF143" s="95" t="str">
        <f ca="1">IFERROR(VALUE(IF(VLOOKUP($A143,数出表_Excel!$A$6:$T$150,COLUMN()/2+1,FALSE)=0,"",VLOOKUP($A143,数出表_Excel!$A$6:$T$150,COLUMN()/2+1,FALSE))),"")</f>
        <v/>
      </c>
      <c r="AG143" s="91"/>
      <c r="AH143" s="95" t="str">
        <f ca="1">IFERROR(VALUE(IF(VLOOKUP($A143,数出表_Excel!$A$6:$T$150,COLUMN()/2+1,FALSE)=0,"",VLOOKUP($A143,数出表_Excel!$A$6:$T$150,COLUMN()/2+1,FALSE))),"")</f>
        <v/>
      </c>
      <c r="AI143" s="129"/>
      <c r="AJ143" s="96" t="str">
        <f ca="1">IFERROR(VALUE(IF(VLOOKUP($A143,数出表_Excel!$A$6:$T$150,COLUMN()/2+1,FALSE)=0,"",VLOOKUP($A143,数出表_Excel!$A$6:$T$150,COLUMN()/2+1,FALSE))),"")</f>
        <v/>
      </c>
      <c r="AK143" s="91"/>
      <c r="AL143" s="97" t="e">
        <f ca="1">IF(A143&lt;&gt;"",
IF(VLOOKUP($A143,数出表_Excel!$A$6:$T$150,COLUMN()/2+1,FALSE)=0,"",VLOOKUP($A143,数出表_Excel!$A$6:$T$150,COLUMN()/2+1,FALSE)),"")</f>
        <v>#N/A</v>
      </c>
      <c r="AM143" s="177" t="e">
        <f>数出表_Excel!V143</f>
        <v>#N/A</v>
      </c>
      <c r="AN143" s="178" t="e">
        <f>数出表_Excel!W143</f>
        <v>#N/A</v>
      </c>
    </row>
    <row r="144" spans="1:40" ht="16.2" customHeight="1">
      <c r="A144" s="137" t="e">
        <f t="array" aca="1" ref="A144" ca="1">IF(OR(COUNTIF(A142,"*10002*"),COUNTIF(A142,"")),"",INDEX(貼り付け用!$A1:$A200,MATCH(A142,貼り付け用!$A1:$A200,0)+2,0))</f>
        <v>#N/A</v>
      </c>
      <c r="B144" s="125" t="str">
        <f ca="1">IFERROR(VALUE(IF(VLOOKUP($A144,数出表_Excel!$A$6:$T$150,COLUMN()/2+1,FALSE)=0,"",VLOOKUP($A144,数出表_Excel!$A$6:$T$150,COLUMN()/2+1,FALSE))),"")</f>
        <v/>
      </c>
      <c r="C144" s="90"/>
      <c r="D144" s="125" t="str">
        <f ca="1">IFERROR(VALUE(IF(VLOOKUP($A144,数出表_Excel!$A$6:$T$150,COLUMN()/2+1,FALSE)=0,"",VLOOKUP($A144,数出表_Excel!$A$6:$T$150,COLUMN()/2+1,FALSE))),"")</f>
        <v/>
      </c>
      <c r="E144" s="90"/>
      <c r="F144" s="127" t="str">
        <f ca="1">IFERROR(VALUE(IF(VLOOKUP($A144,数出表_Excel!$A$6:$T$150,COLUMN()/2+1,FALSE)=0,"",VLOOKUP($A144,数出表_Excel!$A$6:$T$150,COLUMN()/2+1,FALSE))),"")</f>
        <v/>
      </c>
      <c r="G144" s="90"/>
      <c r="H144" s="125" t="str">
        <f ca="1">IFERROR(VALUE(IF(VLOOKUP($A144,数出表_Excel!$A$6:$T$150,COLUMN()/2+1,FALSE)=0,"",VLOOKUP($A144,数出表_Excel!$A$6:$T$150,COLUMN()/2+1,FALSE))),"")</f>
        <v/>
      </c>
      <c r="I144" s="90"/>
      <c r="J144" s="125" t="str">
        <f ca="1">IFERROR(VALUE(IF(VLOOKUP($A144,数出表_Excel!$A$6:$T$150,COLUMN()/2+1,FALSE)=0,"",VLOOKUP($A144,数出表_Excel!$A$6:$T$150,COLUMN()/2+1,FALSE))),"")</f>
        <v/>
      </c>
      <c r="K144" s="90"/>
      <c r="L144" s="127" t="str">
        <f ca="1">IFERROR(VALUE(IF(VLOOKUP($A144,数出表_Excel!$A$6:$T$150,COLUMN()/2+1,FALSE)=0,"",VLOOKUP($A144,数出表_Excel!$A$6:$T$150,COLUMN()/2+1,FALSE))),"")</f>
        <v/>
      </c>
      <c r="M144" s="90"/>
      <c r="N144" s="125" t="str">
        <f ca="1">IFERROR(VALUE(IF(VLOOKUP($A144,数出表_Excel!$A$6:$T$150,COLUMN()/2+1,FALSE)=0,"",VLOOKUP($A144,数出表_Excel!$A$6:$T$150,COLUMN()/2+1,FALSE))),"")</f>
        <v/>
      </c>
      <c r="O144" s="90"/>
      <c r="P144" s="125" t="str">
        <f ca="1">IFERROR(VALUE(IF(VLOOKUP($A144,数出表_Excel!$A$6:$T$150,COLUMN()/2+1,FALSE)=0,"",VLOOKUP($A144,数出表_Excel!$A$6:$T$150,COLUMN()/2+1,FALSE))),"")</f>
        <v/>
      </c>
      <c r="Q144" s="90"/>
      <c r="R144" s="125" t="str">
        <f ca="1">IFERROR(VALUE(IF(VLOOKUP($A144,数出表_Excel!$A$6:$T$150,COLUMN()/2+1,FALSE)=0,"",VLOOKUP($A144,数出表_Excel!$A$6:$T$150,COLUMN()/2+1,FALSE))),"")</f>
        <v/>
      </c>
      <c r="S144" s="90"/>
      <c r="T144" s="125" t="str">
        <f ca="1">IFERROR(VALUE(IF(VLOOKUP($A144,数出表_Excel!$A$6:$T$150,COLUMN()/2+1,FALSE)=0,"",VLOOKUP($A144,数出表_Excel!$A$6:$T$150,COLUMN()/2+1,FALSE))),"")</f>
        <v/>
      </c>
      <c r="U144" s="90"/>
      <c r="V144" s="127" t="str">
        <f ca="1">IFERROR(VALUE(IF(VLOOKUP($A144,数出表_Excel!$A$6:$T$150,COLUMN()/2+1,FALSE)=0,"",VLOOKUP($A144,数出表_Excel!$A$6:$T$150,COLUMN()/2+1,FALSE))),"")</f>
        <v/>
      </c>
      <c r="W144" s="90"/>
      <c r="X144" s="127" t="str">
        <f ca="1">IFERROR(VALUE(IF(VLOOKUP($A144,数出表_Excel!$A$6:$T$150,COLUMN()/2+1,FALSE)=0,"",VLOOKUP($A144,数出表_Excel!$A$6:$T$150,COLUMN()/2+1,FALSE))),"")</f>
        <v/>
      </c>
      <c r="Y144" s="90"/>
      <c r="Z144" s="127" t="str">
        <f ca="1">IFERROR(VALUE(IF(VLOOKUP($A144,数出表_Excel!$A$6:$T$150,COLUMN()/2+1,FALSE)=0,"",VLOOKUP($A144,数出表_Excel!$A$6:$T$150,COLUMN()/2+1,FALSE))),"")</f>
        <v/>
      </c>
      <c r="AA144" s="128"/>
      <c r="AB144" s="126" t="str">
        <f ca="1">IFERROR(VALUE(IF(VLOOKUP($A144,数出表_Excel!$A$6:$T$150,COLUMN()/2+1,FALSE)=0,"",VLOOKUP($A144,数出表_Excel!$A$6:$T$150,COLUMN()/2+1,FALSE))),"")</f>
        <v/>
      </c>
      <c r="AC144" s="90"/>
      <c r="AD144" s="127" t="str">
        <f ca="1">IFERROR(VALUE(IF(VLOOKUP($A144,数出表_Excel!$A$6:$T$150,COLUMN()/2+1,FALSE)=0,"",VLOOKUP($A144,数出表_Excel!$A$6:$T$150,COLUMN()/2+1,FALSE))),"")</f>
        <v/>
      </c>
      <c r="AE144" s="90"/>
      <c r="AF144" s="127" t="str">
        <f ca="1">IFERROR(VALUE(IF(VLOOKUP($A144,数出表_Excel!$A$6:$T$150,COLUMN()/2+1,FALSE)=0,"",VLOOKUP($A144,数出表_Excel!$A$6:$T$150,COLUMN()/2+1,FALSE))),"")</f>
        <v/>
      </c>
      <c r="AG144" s="90"/>
      <c r="AH144" s="127" t="str">
        <f ca="1">IFERROR(VALUE(IF(VLOOKUP($A144,数出表_Excel!$A$6:$T$150,COLUMN()/2+1,FALSE)=0,"",VLOOKUP($A144,数出表_Excel!$A$6:$T$150,COLUMN()/2+1,FALSE))),"")</f>
        <v/>
      </c>
      <c r="AI144" s="128"/>
      <c r="AJ144" s="126" t="str">
        <f ca="1">IFERROR(VALUE(IF(VLOOKUP($A144,数出表_Excel!$A$6:$T$150,COLUMN()/2+1,FALSE)=0,"",VLOOKUP($A144,数出表_Excel!$A$6:$T$150,COLUMN()/2+1,FALSE))),"")</f>
        <v/>
      </c>
      <c r="AK144" s="90"/>
      <c r="AL144" s="94" t="e">
        <f ca="1">IF(A144&lt;&gt;"",
IF(VLOOKUP($A144,数出表_Excel!$A$6:$T$150,COLUMN()/2+1,FALSE)=0,"",VLOOKUP($A144,数出表_Excel!$A$6:$T$150,COLUMN()/2+1,FALSE)),"")</f>
        <v>#N/A</v>
      </c>
      <c r="AM144" s="175" t="e">
        <f>数出表_Excel!V144</f>
        <v>#N/A</v>
      </c>
      <c r="AN144" s="176" t="e">
        <f>数出表_Excel!W144</f>
        <v>#N/A</v>
      </c>
    </row>
    <row r="145" spans="1:40" ht="16.2" customHeight="1">
      <c r="A145" s="138" t="e">
        <f t="array" aca="1" ref="A145" ca="1">IF(OR(COUNTIF(A143,"*1000*"),COUNTIF(A143,"")),"",INDEX(貼り付け用!$A1:$A200,MATCH(A143,貼り付け用!$A1:$A200,0)+2,0))</f>
        <v>#N/A</v>
      </c>
      <c r="B145" s="91" t="str">
        <f ca="1">IFERROR(VALUE(IF(VLOOKUP($A145,数出表_Excel!$A$6:$T$150,COLUMN()/2+1,FALSE)=0,"",VLOOKUP($A145,数出表_Excel!$A$6:$T$150,COLUMN()/2+1,FALSE))),"")</f>
        <v/>
      </c>
      <c r="C145" s="91"/>
      <c r="D145" s="91" t="str">
        <f ca="1">IFERROR(VALUE(IF(VLOOKUP($A145,数出表_Excel!$A$6:$T$150,COLUMN()/2+1,FALSE)=0,"",VLOOKUP($A145,数出表_Excel!$A$6:$T$150,COLUMN()/2+1,FALSE))),"")</f>
        <v/>
      </c>
      <c r="E145" s="91"/>
      <c r="F145" s="95" t="str">
        <f ca="1">IFERROR(VALUE(IF(VLOOKUP($A145,数出表_Excel!$A$6:$T$150,COLUMN()/2+1,FALSE)=0,"",VLOOKUP($A145,数出表_Excel!$A$6:$T$150,COLUMN()/2+1,FALSE))),"")</f>
        <v/>
      </c>
      <c r="G145" s="91"/>
      <c r="H145" s="91" t="str">
        <f ca="1">IFERROR(VALUE(IF(VLOOKUP($A145,数出表_Excel!$A$6:$T$150,COLUMN()/2+1,FALSE)=0,"",VLOOKUP($A145,数出表_Excel!$A$6:$T$150,COLUMN()/2+1,FALSE))),"")</f>
        <v/>
      </c>
      <c r="I145" s="91"/>
      <c r="J145" s="91" t="str">
        <f ca="1">IFERROR(VALUE(IF(VLOOKUP($A145,数出表_Excel!$A$6:$T$150,COLUMN()/2+1,FALSE)=0,"",VLOOKUP($A145,数出表_Excel!$A$6:$T$150,COLUMN()/2+1,FALSE))),"")</f>
        <v/>
      </c>
      <c r="K145" s="91"/>
      <c r="L145" s="95" t="str">
        <f ca="1">IFERROR(VALUE(IF(VLOOKUP($A145,数出表_Excel!$A$6:$T$150,COLUMN()/2+1,FALSE)=0,"",VLOOKUP($A145,数出表_Excel!$A$6:$T$150,COLUMN()/2+1,FALSE))),"")</f>
        <v/>
      </c>
      <c r="M145" s="91"/>
      <c r="N145" s="91" t="str">
        <f ca="1">IFERROR(VALUE(IF(VLOOKUP($A145,数出表_Excel!$A$6:$T$150,COLUMN()/2+1,FALSE)=0,"",VLOOKUP($A145,数出表_Excel!$A$6:$T$150,COLUMN()/2+1,FALSE))),"")</f>
        <v/>
      </c>
      <c r="O145" s="91"/>
      <c r="P145" s="91" t="str">
        <f ca="1">IFERROR(VALUE(IF(VLOOKUP($A145,数出表_Excel!$A$6:$T$150,COLUMN()/2+1,FALSE)=0,"",VLOOKUP($A145,数出表_Excel!$A$6:$T$150,COLUMN()/2+1,FALSE))),"")</f>
        <v/>
      </c>
      <c r="Q145" s="91"/>
      <c r="R145" s="91" t="str">
        <f ca="1">IFERROR(VALUE(IF(VLOOKUP($A145,数出表_Excel!$A$6:$T$150,COLUMN()/2+1,FALSE)=0,"",VLOOKUP($A145,数出表_Excel!$A$6:$T$150,COLUMN()/2+1,FALSE))),"")</f>
        <v/>
      </c>
      <c r="S145" s="91"/>
      <c r="T145" s="91" t="str">
        <f ca="1">IFERROR(VALUE(IF(VLOOKUP($A145,数出表_Excel!$A$6:$T$150,COLUMN()/2+1,FALSE)=0,"",VLOOKUP($A145,数出表_Excel!$A$6:$T$150,COLUMN()/2+1,FALSE))),"")</f>
        <v/>
      </c>
      <c r="U145" s="91"/>
      <c r="V145" s="95" t="str">
        <f ca="1">IFERROR(VALUE(IF(VLOOKUP($A145,数出表_Excel!$A$6:$T$150,COLUMN()/2+1,FALSE)=0,"",VLOOKUP($A145,数出表_Excel!$A$6:$T$150,COLUMN()/2+1,FALSE))),"")</f>
        <v/>
      </c>
      <c r="W145" s="91"/>
      <c r="X145" s="95" t="str">
        <f ca="1">IFERROR(VALUE(IF(VLOOKUP($A145,数出表_Excel!$A$6:$T$150,COLUMN()/2+1,FALSE)=0,"",VLOOKUP($A145,数出表_Excel!$A$6:$T$150,COLUMN()/2+1,FALSE))),"")</f>
        <v/>
      </c>
      <c r="Y145" s="91"/>
      <c r="Z145" s="95" t="str">
        <f ca="1">IFERROR(VALUE(IF(VLOOKUP($A145,数出表_Excel!$A$6:$T$150,COLUMN()/2+1,FALSE)=0,"",VLOOKUP($A145,数出表_Excel!$A$6:$T$150,COLUMN()/2+1,FALSE))),"")</f>
        <v/>
      </c>
      <c r="AA145" s="129"/>
      <c r="AB145" s="96" t="str">
        <f ca="1">IFERROR(VALUE(IF(VLOOKUP($A145,数出表_Excel!$A$6:$T$150,COLUMN()/2+1,FALSE)=0,"",VLOOKUP($A145,数出表_Excel!$A$6:$T$150,COLUMN()/2+1,FALSE))),"")</f>
        <v/>
      </c>
      <c r="AC145" s="91"/>
      <c r="AD145" s="95" t="str">
        <f ca="1">IFERROR(VALUE(IF(VLOOKUP($A145,数出表_Excel!$A$6:$T$150,COLUMN()/2+1,FALSE)=0,"",VLOOKUP($A145,数出表_Excel!$A$6:$T$150,COLUMN()/2+1,FALSE))),"")</f>
        <v/>
      </c>
      <c r="AE145" s="91"/>
      <c r="AF145" s="95" t="str">
        <f ca="1">IFERROR(VALUE(IF(VLOOKUP($A145,数出表_Excel!$A$6:$T$150,COLUMN()/2+1,FALSE)=0,"",VLOOKUP($A145,数出表_Excel!$A$6:$T$150,COLUMN()/2+1,FALSE))),"")</f>
        <v/>
      </c>
      <c r="AG145" s="91"/>
      <c r="AH145" s="95" t="str">
        <f ca="1">IFERROR(VALUE(IF(VLOOKUP($A145,数出表_Excel!$A$6:$T$150,COLUMN()/2+1,FALSE)=0,"",VLOOKUP($A145,数出表_Excel!$A$6:$T$150,COLUMN()/2+1,FALSE))),"")</f>
        <v/>
      </c>
      <c r="AI145" s="129"/>
      <c r="AJ145" s="96" t="str">
        <f ca="1">IFERROR(VALUE(IF(VLOOKUP($A145,数出表_Excel!$A$6:$T$150,COLUMN()/2+1,FALSE)=0,"",VLOOKUP($A145,数出表_Excel!$A$6:$T$150,COLUMN()/2+1,FALSE))),"")</f>
        <v/>
      </c>
      <c r="AK145" s="91"/>
      <c r="AL145" s="97" t="e">
        <f ca="1">IF(A145&lt;&gt;"",
IF(VLOOKUP($A145,数出表_Excel!$A$6:$T$150,COLUMN()/2+1,FALSE)=0,"",VLOOKUP($A145,数出表_Excel!$A$6:$T$150,COLUMN()/2+1,FALSE)),"")</f>
        <v>#N/A</v>
      </c>
      <c r="AM145" s="177" t="e">
        <f>数出表_Excel!V145</f>
        <v>#N/A</v>
      </c>
      <c r="AN145" s="178" t="e">
        <f>数出表_Excel!W145</f>
        <v>#N/A</v>
      </c>
    </row>
    <row r="146" spans="1:40" ht="16.2" customHeight="1">
      <c r="A146" s="137" t="e">
        <f>数出表_Excel!A146</f>
        <v>#N/A</v>
      </c>
      <c r="B146" s="89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4"/>
      <c r="D146" s="89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4"/>
      <c r="F146" s="9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4"/>
      <c r="H146" s="89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4"/>
      <c r="J146" s="89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4"/>
      <c r="L146" s="92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4"/>
      <c r="N146" s="89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4"/>
      <c r="P146" s="89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4"/>
      <c r="R146" s="89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4"/>
      <c r="T146" s="89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4"/>
      <c r="V146" s="9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4"/>
      <c r="X146" s="93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4"/>
      <c r="Z146" s="9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30"/>
      <c r="AB146" s="93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4"/>
      <c r="AD146" s="9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4"/>
      <c r="AF146" s="93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4"/>
      <c r="AH146" s="9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30"/>
      <c r="AJ146" s="93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4"/>
      <c r="AL146" s="94" t="e">
        <f>数出表_Excel!T146</f>
        <v>#N/A</v>
      </c>
      <c r="AM146" s="156" t="e">
        <f>数出表_Excel!V146</f>
        <v>#N/A</v>
      </c>
      <c r="AN146" s="157" t="e">
        <f>数出表_Excel!W146</f>
        <v>#N/A</v>
      </c>
    </row>
    <row r="147" spans="1:40" ht="16.2" customHeight="1">
      <c r="A147" s="138" t="e">
        <f>数出表_Excel!A147</f>
        <v>#N/A</v>
      </c>
      <c r="B147" s="91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1"/>
      <c r="D147" s="91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1"/>
      <c r="F147" s="95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1"/>
      <c r="H147" s="91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1"/>
      <c r="J147" s="91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1"/>
      <c r="L147" s="95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1"/>
      <c r="N147" s="91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1"/>
      <c r="P147" s="91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1"/>
      <c r="R147" s="91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1"/>
      <c r="T147" s="91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1"/>
      <c r="V147" s="95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1"/>
      <c r="X147" s="96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1"/>
      <c r="Z147" s="95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9"/>
      <c r="AB147" s="96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1"/>
      <c r="AD147" s="95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1"/>
      <c r="AF147" s="96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1"/>
      <c r="AH147" s="95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9"/>
      <c r="AJ147" s="96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1"/>
      <c r="AL147" s="97" t="e">
        <f>数出表_Excel!T147</f>
        <v>#N/A</v>
      </c>
      <c r="AM147" s="179" t="e">
        <f>数出表_Excel!V147</f>
        <v>#N/A</v>
      </c>
      <c r="AN147" s="180" t="e">
        <f>数出表_Excel!W147</f>
        <v>#N/A</v>
      </c>
    </row>
    <row r="148" spans="1:40" ht="16.2" customHeight="1">
      <c r="B148" s="98"/>
      <c r="C148" s="98"/>
      <c r="D148" s="98"/>
      <c r="E148" s="98"/>
      <c r="F148" s="99"/>
      <c r="G148" s="98"/>
      <c r="H148" s="98"/>
      <c r="I148" s="98"/>
      <c r="J148" s="98"/>
      <c r="K148" s="98"/>
      <c r="L148" s="99"/>
      <c r="M148" s="98"/>
      <c r="N148" s="98"/>
      <c r="O148" s="98"/>
      <c r="P148" s="98"/>
      <c r="Q148" s="98"/>
      <c r="R148" s="98"/>
      <c r="S148" s="98"/>
      <c r="T148" s="98"/>
      <c r="U148" s="98"/>
      <c r="V148" s="100"/>
      <c r="W148" s="101"/>
      <c r="X148" s="121"/>
      <c r="Y148" s="98"/>
      <c r="Z148" s="100"/>
      <c r="AA148" s="101"/>
      <c r="AB148" s="121"/>
      <c r="AC148" s="98"/>
      <c r="AD148" s="100"/>
      <c r="AE148" s="101"/>
      <c r="AF148" s="121"/>
      <c r="AG148" s="98"/>
      <c r="AH148" s="100"/>
      <c r="AI148" s="101"/>
      <c r="AJ148" s="121"/>
      <c r="AK148" s="98"/>
      <c r="AL148" s="102"/>
    </row>
    <row r="149" spans="1:40" ht="23.4" customHeight="1">
      <c r="A149" s="140" t="s">
        <v>16</v>
      </c>
      <c r="B149" s="103"/>
      <c r="C149" s="103"/>
      <c r="D149" s="103"/>
      <c r="E149" s="103"/>
      <c r="F149" s="104" t="str">
        <f>IF(OR(F150&lt;&gt;"",F153&lt;&gt;""),F146-F150-F151-F152-F153,"")</f>
        <v/>
      </c>
      <c r="G149" s="105"/>
      <c r="H149" s="103" t="str">
        <f>IF(OR(H150&lt;&gt;"",H153&lt;&gt;""),H146-H150-H151-H152-H153,"")</f>
        <v/>
      </c>
      <c r="I149" s="105"/>
      <c r="J149" s="103" t="str">
        <f>IF(OR(J150&lt;&gt;"",J153&lt;&gt;""),J146-J150-J151-J152-J153,"")</f>
        <v/>
      </c>
      <c r="K149" s="103"/>
      <c r="L149" s="104" t="str">
        <f>IF(OR(L150&lt;&gt;"",L153&lt;&gt;""),L146-L150-L151-L152-L153,"")</f>
        <v/>
      </c>
      <c r="M149" s="105"/>
      <c r="N149" s="103" t="str">
        <f>IF(OR(N150&lt;&gt;"",N153&lt;&gt;""),N146-N150-N151-N152-N153,"")</f>
        <v/>
      </c>
      <c r="O149" s="105"/>
      <c r="P149" s="103" t="str">
        <f>IF(OR(P150&lt;&gt;"",P153&lt;&gt;""),P146-P150-P151-P152-P153,"")</f>
        <v/>
      </c>
      <c r="Q149" s="105"/>
      <c r="R149" s="103" t="str">
        <f>IF(OR(R150&lt;&gt;"",R153&lt;&gt;""),R146-R150-R151-R152-R153,"")</f>
        <v/>
      </c>
      <c r="S149" s="105"/>
      <c r="T149" s="103" t="str">
        <f>IF(OR(T150&lt;&gt;"",T153&lt;&gt;""),T146-T150-T151-T152-T153,"")</f>
        <v/>
      </c>
      <c r="U149" s="103"/>
      <c r="V149" s="104" t="str">
        <f>IF(OR(V150&lt;&gt;"",V153&lt;&gt;""),V146-V150-V151-V152-V153,"")</f>
        <v/>
      </c>
      <c r="W149" s="106"/>
      <c r="X149" s="103" t="str">
        <f>IF(OR(X150&lt;&gt;"",X153&lt;&gt;""),X146-X150-X151-X152-X153,"")</f>
        <v/>
      </c>
      <c r="Y149" s="103"/>
      <c r="Z149" s="104" t="str">
        <f>IF(OR(Z150&lt;&gt;"",Z153&lt;&gt;""),Z146-Z150-Z151-Z152-Z153,"")</f>
        <v/>
      </c>
      <c r="AA149" s="106"/>
      <c r="AB149" s="103" t="str">
        <f>IF(OR(AB150&lt;&gt;"",AB153&lt;&gt;""),AB146-AB150-AB151-AB152-AB153,"")</f>
        <v/>
      </c>
      <c r="AC149" s="103"/>
      <c r="AD149" s="104" t="str">
        <f>IF(OR(AD150&lt;&gt;"",AD153&lt;&gt;""),AD146-AD150-AD151-AD152-AD153,"")</f>
        <v/>
      </c>
      <c r="AE149" s="106"/>
      <c r="AF149" s="103" t="str">
        <f>IF(OR(AF150&lt;&gt;"",AF153&lt;&gt;""),AF146-AF150-AF151-AF152-AF153,"")</f>
        <v/>
      </c>
      <c r="AG149" s="103"/>
      <c r="AH149" s="104" t="str">
        <f>IF(OR(AH150&lt;&gt;"",AH153&lt;&gt;""),AH146-AH150-AH151-AH152-AH153,"")</f>
        <v/>
      </c>
      <c r="AI149" s="106"/>
      <c r="AJ149" s="103" t="str">
        <f>IF(OR(AJ150&lt;&gt;"",AJ153&lt;&gt;""),AJ146-AJ150-AJ151-AJ152-AJ153,"")</f>
        <v/>
      </c>
      <c r="AK149" s="103"/>
      <c r="AL149" s="123" t="str">
        <f>IF(OR(AL150&lt;&gt;"",AL153&lt;&gt;""),AL146-AL150-AL151-AL152-AL153,"")</f>
        <v/>
      </c>
    </row>
    <row r="150" spans="1:40" ht="16.2" customHeight="1">
      <c r="A150" s="141" t="s">
        <v>17</v>
      </c>
      <c r="B150" s="107"/>
      <c r="C150" s="207">
        <f>SUM(C6:C145)</f>
        <v>0</v>
      </c>
      <c r="D150" s="107"/>
      <c r="E150" s="213">
        <f>SUM(E6:E145)</f>
        <v>0</v>
      </c>
      <c r="F150" s="108"/>
      <c r="G150" s="207">
        <f>SUM(G6:G145)</f>
        <v>0</v>
      </c>
      <c r="H150" s="109"/>
      <c r="I150" s="207">
        <f>SUM(I6:I145)</f>
        <v>0</v>
      </c>
      <c r="J150" s="109"/>
      <c r="K150" s="213">
        <f>SUM(K6:K145)</f>
        <v>0</v>
      </c>
      <c r="L150" s="108"/>
      <c r="M150" s="207">
        <f>SUM(M6:M145)</f>
        <v>0</v>
      </c>
      <c r="N150" s="107"/>
      <c r="O150" s="207">
        <f>SUM(O6:O145)</f>
        <v>0</v>
      </c>
      <c r="P150" s="109"/>
      <c r="Q150" s="207">
        <f>SUM(Q6:Q145)</f>
        <v>0</v>
      </c>
      <c r="R150" s="109"/>
      <c r="S150" s="207">
        <f>SUM(S6:S145)</f>
        <v>0</v>
      </c>
      <c r="T150" s="109"/>
      <c r="U150" s="213">
        <f>SUM(U6:U145)</f>
        <v>0</v>
      </c>
      <c r="V150" s="108"/>
      <c r="W150" s="210">
        <f>SUM(W6:W145)</f>
        <v>0</v>
      </c>
      <c r="X150" s="110"/>
      <c r="Y150" s="213">
        <f>SUM(Y6:Y145)</f>
        <v>0</v>
      </c>
      <c r="Z150" s="108"/>
      <c r="AA150" s="210">
        <f>SUM(AA6:AA145)</f>
        <v>0</v>
      </c>
      <c r="AB150" s="110"/>
      <c r="AC150" s="213">
        <f>SUM(AC6:AC145)</f>
        <v>0</v>
      </c>
      <c r="AD150" s="108"/>
      <c r="AE150" s="210">
        <f>SUM(AE6:AE145)</f>
        <v>0</v>
      </c>
      <c r="AF150" s="112"/>
      <c r="AG150" s="213">
        <f>SUM(AG6:AG145)</f>
        <v>0</v>
      </c>
      <c r="AH150" s="111"/>
      <c r="AI150" s="210">
        <f>SUM(AI6:AI145)</f>
        <v>0</v>
      </c>
      <c r="AJ150" s="112"/>
      <c r="AK150" s="213">
        <f>SUM(AK6:AK145)</f>
        <v>0</v>
      </c>
      <c r="AL150" s="113"/>
      <c r="AM150" s="181"/>
      <c r="AN150" s="182"/>
    </row>
    <row r="151" spans="1:40" ht="16.2" customHeight="1">
      <c r="A151" s="141" t="s">
        <v>18</v>
      </c>
      <c r="B151" s="107"/>
      <c r="C151" s="208"/>
      <c r="D151" s="107"/>
      <c r="E151" s="214"/>
      <c r="F151" s="108"/>
      <c r="G151" s="208"/>
      <c r="H151" s="109"/>
      <c r="I151" s="208"/>
      <c r="J151" s="109"/>
      <c r="K151" s="214"/>
      <c r="L151" s="108"/>
      <c r="M151" s="208"/>
      <c r="N151" s="107"/>
      <c r="O151" s="208"/>
      <c r="P151" s="109"/>
      <c r="Q151" s="208"/>
      <c r="R151" s="109"/>
      <c r="S151" s="208"/>
      <c r="T151" s="109"/>
      <c r="U151" s="214"/>
      <c r="V151" s="108"/>
      <c r="W151" s="211"/>
      <c r="X151" s="110"/>
      <c r="Y151" s="214"/>
      <c r="Z151" s="108"/>
      <c r="AA151" s="211"/>
      <c r="AB151" s="110"/>
      <c r="AC151" s="214"/>
      <c r="AD151" s="108"/>
      <c r="AE151" s="211"/>
      <c r="AF151" s="112"/>
      <c r="AG151" s="214"/>
      <c r="AH151" s="111"/>
      <c r="AI151" s="211"/>
      <c r="AJ151" s="112"/>
      <c r="AK151" s="214"/>
      <c r="AL151" s="113"/>
      <c r="AM151" s="181"/>
      <c r="AN151" s="182"/>
    </row>
    <row r="152" spans="1:40" ht="16.2" customHeight="1">
      <c r="A152" s="141" t="s">
        <v>19</v>
      </c>
      <c r="B152" s="107"/>
      <c r="C152" s="208"/>
      <c r="D152" s="107"/>
      <c r="E152" s="214"/>
      <c r="F152" s="108"/>
      <c r="G152" s="208"/>
      <c r="H152" s="109"/>
      <c r="I152" s="208"/>
      <c r="J152" s="109"/>
      <c r="K152" s="214"/>
      <c r="L152" s="108"/>
      <c r="M152" s="208"/>
      <c r="N152" s="107"/>
      <c r="O152" s="208"/>
      <c r="P152" s="109"/>
      <c r="Q152" s="208"/>
      <c r="R152" s="109"/>
      <c r="S152" s="208"/>
      <c r="T152" s="109"/>
      <c r="U152" s="214"/>
      <c r="V152" s="108"/>
      <c r="W152" s="211"/>
      <c r="X152" s="110"/>
      <c r="Y152" s="214"/>
      <c r="Z152" s="108"/>
      <c r="AA152" s="211"/>
      <c r="AB152" s="110"/>
      <c r="AC152" s="214"/>
      <c r="AD152" s="108"/>
      <c r="AE152" s="211"/>
      <c r="AF152" s="112"/>
      <c r="AG152" s="214"/>
      <c r="AH152" s="111"/>
      <c r="AI152" s="211"/>
      <c r="AJ152" s="112"/>
      <c r="AK152" s="214"/>
      <c r="AL152" s="113"/>
    </row>
    <row r="153" spans="1:40" s="81" customFormat="1" ht="16.2" customHeight="1">
      <c r="A153" s="142" t="s">
        <v>20</v>
      </c>
      <c r="B153" s="114"/>
      <c r="C153" s="209"/>
      <c r="D153" s="114"/>
      <c r="E153" s="215"/>
      <c r="F153" s="115"/>
      <c r="G153" s="209"/>
      <c r="H153" s="116"/>
      <c r="I153" s="209"/>
      <c r="J153" s="116"/>
      <c r="K153" s="215"/>
      <c r="L153" s="115"/>
      <c r="M153" s="209"/>
      <c r="N153" s="114"/>
      <c r="O153" s="209"/>
      <c r="P153" s="116"/>
      <c r="Q153" s="209"/>
      <c r="R153" s="116"/>
      <c r="S153" s="209"/>
      <c r="T153" s="116"/>
      <c r="U153" s="215"/>
      <c r="V153" s="115"/>
      <c r="W153" s="212"/>
      <c r="X153" s="117"/>
      <c r="Y153" s="215"/>
      <c r="Z153" s="115"/>
      <c r="AA153" s="212"/>
      <c r="AB153" s="117"/>
      <c r="AC153" s="215"/>
      <c r="AD153" s="115"/>
      <c r="AE153" s="212"/>
      <c r="AF153" s="119"/>
      <c r="AG153" s="215"/>
      <c r="AH153" s="118"/>
      <c r="AI153" s="212"/>
      <c r="AJ153" s="119"/>
      <c r="AK153" s="215"/>
      <c r="AL153" s="120"/>
      <c r="AM153" s="183"/>
      <c r="AN153" s="183"/>
    </row>
    <row r="154" spans="1:40" ht="16.2" customHeight="1">
      <c r="A154" s="143" t="s">
        <v>21</v>
      </c>
    </row>
  </sheetData>
  <mergeCells count="18">
    <mergeCell ref="Q150:Q153"/>
    <mergeCell ref="O150:O153"/>
    <mergeCell ref="C150:C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58"/>
  <sheetViews>
    <sheetView zoomScale="50" zoomScaleNormal="50" zoomScalePageLayoutView="55" workbookViewId="0"/>
  </sheetViews>
  <sheetFormatPr defaultRowHeight="22.2"/>
  <cols>
    <col min="1" max="1" width="7.19921875" style="196" customWidth="1"/>
    <col min="2" max="2" width="8.79687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55" customWidth="1"/>
    <col min="22" max="22" width="17.69921875" style="55" customWidth="1"/>
    <col min="23" max="44" width="8.796875" style="55" customWidth="1"/>
    <col min="45" max="16384" width="8.796875" style="55"/>
  </cols>
  <sheetData>
    <row r="1" spans="1:28" s="51" customFormat="1" ht="18" customHeight="1">
      <c r="A1" s="52">
        <v>7</v>
      </c>
      <c r="B1" s="52" t="e">
        <f t="array" aca="1" ref="B1" ca="1">IF(AND(LEFT(C1,2)="博多",
LEFT(INDIRECT("数出表_Excel!A"&amp;MATCH(C1,数出表_Excel!$A:$A,0)-1),2)
=LEFT(INDIRECT("数出表_Excel!A"&amp;MATCH(C1,数出表_Excel!$A:$A,0)+1),2)),"博多",
IF(AND(LEFT(C1,3)="奈良屋",
LEFT(INDIRECT("数出表_Excel!A"&amp;MATCH(C1,数出表_Excel!$A:$A,0)-1),2)
=LEFT(INDIRECT("数出表_Excel!A"&amp;MATCH(C1,数出表_Excel!$A:$A,0)+1),2)),"奈良屋",""))</f>
        <v>#N/A</v>
      </c>
      <c r="C1" s="52" t="str" cm="1">
        <f t="array" aca="1" ref="C1" ca="1">IF(IF(クライアント抽出!A1="",0,LEN(クライアント抽出!V1)-LEN(SUBSTITUTE(クライアント抽出!V1,",","")))&gt;=1,INDIRECT("数出表_Excel!A"&amp;A1&amp;""),"")</f>
        <v/>
      </c>
      <c r="D1" s="52" t="str" cm="1">
        <f t="array" aca="1" ref="D1" ca="1">IF(C1&lt;&gt;"",INDIRECT("クライアント抽出!"&amp;E1&amp;MATCH(C1,クライアント抽出!A:A,0)&amp;""),"")</f>
        <v/>
      </c>
      <c r="E1" s="52" t="str">
        <f ca="1">IF(H1&lt;&gt;0,
IFERROR(
SUBSTITUTE(ADDRESS(1,
MATCH(VALUE(H1),クライアント抽出!A1:G1,0)+8,4),"1",""),
""),
IFERROR(
SUBSTITUTE(ADDRESS(1,
MATCH(VALUE(I1),クライアント抽出!A1:G1,0)+8,4),"1",""),
""))</f>
        <v/>
      </c>
      <c r="F1" s="53" t="str" cm="1">
        <f t="array" aca="1" ref="F1" ca="1">IF(D1&lt;&gt;"",
IF(COUNTIF(C1,"*雙葉*"),
IF(ROUND(
IF(O1&lt;&gt;"",(H1-O1),H1)
/IF(COUNTIF('盛付札（関数）'!D1,"*キャラ*"),
VLOOKUP("*キャラ*",#REF!,7,FALSE),
IF(COUNTIF('盛付札（関数）'!D1,"*赤*"),
VLOOKUP("*赤*",#REF!,7,FALSE),
VLOOKUP('盛付札（関数）'!D1,#REF!,7,FALSE))),0)&lt;=0,1,
ROUND(
IF(O1&lt;&gt;"",(H1-O1),H1)
/IF(COUNTIF('盛付札（関数）'!D1,"*キャラ*"),
VLOOKUP("*キャラ*",#REF!,7,FALSE),
IF(COUNTIF('盛付札（関数）'!D1,"*赤*"),
VLOOKUP("*赤*",#REF!,7,FALSE),
VLOOKUP('盛付札（関数）'!D1,#REF!,7,FALSE))),0)),
IF(MATCH(TRUE,
ISNUMBER(--INDIRECT("数出表_Excel!B"&amp;MATCH(C1,数出表_Excel!$A:$A,0)-1&amp;":U"&amp;MATCH(C1,数出表_Excel!$A:$A,0)-1&amp;"")),0)&gt;10,
IF(D1&lt;&gt;"",
IF(IF(COUNTIF('盛付札（関数）'!D1,"*キャラ*"),
VLOOKUP("*キャラ*",#REF!,7,FALSE),
IF(COUNTIF('盛付札（関数）'!D1,"*赤*"),
VLOOKUP("*赤*",#REF!,7,FALSE),
VLOOKUP('盛付札（関数）'!D1,#REF!,7,FALSE)))=0,"",
IF(ROUND(
IF(O1&lt;&gt;"",(H1-O1),H1)
/IF(COUNTIF('盛付札（関数）'!D1,"*キャラ*"),
VLOOKUP("*キャラ*",#REF!,7,FALSE),
IF(COUNTIF('盛付札（関数）'!D1,"*赤*"),
VLOOKUP("*赤*",#REF!,7,FALSE),
VLOOKUP('盛付札（関数）'!D1,#REF!,7,FALSE))),0)&lt;=0,1,
ROUND(
IF(O1&lt;&gt;"",(H1-O1),H1)
/IF(COUNTIF('盛付札（関数）'!D1,"*キャラ*"),
VLOOKUP("*キャラ*",#REF!,7,FALSE),
IF(COUNTIF('盛付札（関数）'!D1,"*赤*"),
VLOOKUP("*赤*",#REF!,7,FALSE),
VLOOKUP('盛付札（関数）'!D1,#REF!,7,FALSE))),0))),""),"")),"")</f>
        <v/>
      </c>
      <c r="G1" s="53" t="str">
        <f ca="1">IF(F1&lt;&gt;"",IF(VALUE(IF(O1&lt;&gt;"",H1-O1,H1))&gt;VALUE(IF(COUNTIF('盛付札（関数）'!D1,"*キャラ*"),
VLOOKUP("*キャラ*",#REF!,7,FALSE),
IF(COUNTIF('盛付札（関数）'!D1,"*赤*"),
VLOOKUP("*赤*",#REF!,7,FALSE),
VLOOKUP('盛付札（関数）'!D1,#REF!,7,FALSE)))*F1),
"+"&amp;IF(O1&lt;&gt;"",H1-O1,H1)-IF(COUNTIF('盛付札（関数）'!D1,"*キャラ*"),
VLOOKUP("*キャラ*",#REF!,7,FALSE),
IF(COUNTIF('盛付札（関数）'!D1,"*赤*"),
VLOOKUP("*赤*",#REF!,7,FALSE),
VLOOKUP('盛付札（関数）'!D1,#REF!,7,FALSE)))*F1,
IF(O1&lt;&gt;"",H1-O1,H1)-IF(COUNTIF('盛付札（関数）'!D1,"*キャラ*"),
VLOOKUP("*キャラ*",#REF!,7,FALSE),
IF(COUNTIF('盛付札（関数）'!D1,"*赤*"),
VLOOKUP("*赤*",#REF!,7,FALSE),
VLOOKUP('盛付札（関数）'!D1,#REF!,7,FALSE)))*F1),"")</f>
        <v/>
      </c>
      <c r="H1" s="195" t="str" cm="1">
        <f t="array" aca="1" ref="H1" ca="1">IF(C1&lt;&gt;"",
IF(INDIRECT("数出表_Excel!"&amp;LEFT(クライアント抽出!V1)&amp;A1-1&amp;"")&lt;&gt;"",INDIRECT("数出表_Excel!"&amp;LEFT(クライアント抽出!V1)&amp;A1-1&amp;""),0),"")</f>
        <v/>
      </c>
      <c r="I1" s="52" t="str" cm="1">
        <f t="array" aca="1" ref="I1" ca="1">IF(C1&lt;&gt;"",
IF(INDIRECT("数出表_Excel!"&amp;LEFT(クライアント抽出!V1)&amp;A1&amp;"")&lt;&gt;"",INDIRECT("数出表_Excel!"&amp;LEFT(クライアント抽出!V1)&amp;A1&amp;""),0),"")</f>
        <v/>
      </c>
      <c r="J1" s="52" t="str">
        <f ca="1">IF(C1&lt;&gt;"",
VLOOKUP(
IF(COUNTIF(D1,"*学食*"),"キャラ弁（学食）",
IF(COUNTIF(D1,"*赤*"),"赤",
IF(COUNTIF(D1,"*キャラ弁当*"),"キャラ弁当",D1))),注文弁当の抽出!$E$1:$F$15,2,FALSE),"")</f>
        <v/>
      </c>
      <c r="K1" s="52" t="str">
        <f ca="1">IF(C1&lt;&gt;"",
IFERROR(INT(H1/J1),""),"")</f>
        <v/>
      </c>
      <c r="L1" s="52" t="str">
        <f ca="1">IFERROR(MOD(H1,J1),"")</f>
        <v/>
      </c>
      <c r="M1" s="52" cm="1">
        <f t="array" aca="1" ref="M1" ca="1">IF(C1&lt;&gt;"",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0)&lt;&gt;0,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"")="",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0)),0),0)</f>
        <v>0</v>
      </c>
      <c r="N1" s="52" t="e">
        <f t="array" aca="1" ref="N1" ca="1">IF(B1="博多",
IF(C1&lt;&gt;"",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0)&lt;&gt;0,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0)="",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0)),0),""),0)</f>
        <v>#N/A</v>
      </c>
      <c r="O1" s="52" t="e">
        <f ca="1">M1+N1</f>
        <v>#N/A</v>
      </c>
      <c r="P1" s="52">
        <f ca="1">IF(COUNTIF(Q1,"TRUE"),ROW(),0)</f>
        <v>0</v>
      </c>
      <c r="Q1" s="52" t="b">
        <f ca="1">IF(C1&lt;&gt;"",TRUE,FALSE)</f>
        <v>0</v>
      </c>
      <c r="R1" s="51" cm="1">
        <f t="array" aca="1" ref="R1" ca="1">IFERROR(SMALL(IF(P$1:P$300&lt;&gt;0,P$1:P$300),ROW(A1)),"")</f>
        <v>211</v>
      </c>
      <c r="S1" s="51" t="str">
        <f t="array" aca="1" ref="S1" ca="1">IF($R1&lt;&gt;"",
INDIRECT(""&amp;IF(COLUMN(C1)&lt;=26,CHAR(COLUMN(C1)+64),CHAR(INT((COLUMN(C1)-1)/26)+64)&amp;CHAR(MOD(COLUMN(C1)-1,26)+65))&amp;$R1&amp;""),"")</f>
        <v>ニシム</v>
      </c>
      <c r="T1" s="51" t="str" cm="1">
        <f t="array" aca="1" ref="T1" ca="1">IF(IF($R1&lt;&gt;"",
INDIRECT(""&amp;IF(COLUMN(D21)&lt;=26,CHAR(COLUMN(D21)+64),CHAR(INT((COLUMN(D21)-1)/26)+64)&amp;CHAR(MOD(COLUMN(D21)-1,26)+65))&amp;$R1&amp;""),"")=0,"",
IF($R1&lt;&gt;"",
INDIRECT(""&amp;IF(COLUMN(D21)&lt;=26,CHAR(COLUMN(D21)+64),CHAR(INT((COLUMN(D21)-1)/26)+64)&amp;CHAR(MOD(COLUMN(D21)-1,26)+65))&amp;$R1&amp;""),""))</f>
        <v/>
      </c>
      <c r="V1" s="51" t="str" cm="1">
        <f t="array" aca="1" ref="V1" ca="1">IF($R1&lt;&gt;"",
IF(T1="",
IF(INDIRECT("F"&amp;$R1&amp;"")&lt;&gt;"",
INDIRECT("F"&amp;$R1&amp;"")&amp;"箱"
&amp;INDIRECT("G"&amp;$R1&amp;""),""),""),"")</f>
        <v/>
      </c>
      <c r="W1" s="51" t="e">
        <f t="array" aca="1" ref="W1" ca="1">IF($R1&lt;&gt;"",
INDIRECT(""&amp;IF(COLUMN(H1)&lt;=26,CHAR(COLUMN(H1)+64),CHAR(INT((COLUMN(H1)-1)/26)+64)&amp;CHAR(MOD(COLUMN(H1)-1,26)+65))&amp;$R1&amp;""),"")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>
        <f t="array" aca="1" ref="Z1" ca="1">IF($R1&lt;&gt;"",
INDIRECT(""&amp;IF(COLUMN(K1)&lt;=26,CHAR(COLUMN(K1)+64),CHAR(INT((COLUMN(K1)-1)/26)+64)&amp;CHAR(MOD(COLUMN(K1)-1,26)+65))&amp;$R1&amp;""),"")</f>
        <v>0</v>
      </c>
      <c r="AA1" s="51">
        <f t="array" aca="1" ref="AA1" ca="1">IF($R1&lt;&gt;"",
INDIRECT(""&amp;IF(COLUMN(L1)&lt;=26,CHAR(COLUMN(L1)+64),CHAR(INT((COLUMN(L1)-1)/26)+64)&amp;CHAR(MOD(COLUMN(L1)-1,26)+65))&amp;$R1&amp;""),"")</f>
        <v>0</v>
      </c>
      <c r="AB1" s="51">
        <f t="array" aca="1" ref="AB1" ca="1">IF($R1&lt;&gt;"",
INDIRECT(""&amp;IF(COLUMN(O1)&lt;=26,CHAR(COLUMN(O1)+64),CHAR(INT((COLUMN(O1)-1)/26)+64)&amp;CHAR(MOD(COLUMN(O1)-1,26)+65))&amp;$R1&amp;""),"")</f>
        <v>0</v>
      </c>
    </row>
    <row r="2" spans="1:28" s="51" customFormat="1" ht="18" customHeight="1">
      <c r="A2" s="197">
        <f>A1+2</f>
        <v>9</v>
      </c>
      <c r="B2" s="52" t="e">
        <f t="array" aca="1" ref="B2" ca="1">IF(AND(LEFT(C2,2)="博多",
LEFT(INDIRECT("数出表_Excel!A"&amp;MATCH(C2,数出表_Excel!$A:$A,0)-1),2)
=LEFT(INDIRECT("数出表_Excel!A"&amp;MATCH(C2,数出表_Excel!$A:$A,0)+1),2)),"博多",
IF(AND(LEFT(C2,3)="奈良屋",
LEFT(INDIRECT("数出表_Excel!A"&amp;MATCH(C2,数出表_Excel!$A:$A,0)-1),2)
=LEFT(INDIRECT("数出表_Excel!A"&amp;MATCH(C2,数出表_Excel!$A:$A,0)+1),2)),"奈良屋",""))</f>
        <v>#N/A</v>
      </c>
      <c r="C2" s="52" t="str" cm="1">
        <f t="array" aca="1" ref="C2" ca="1">IF(IF(クライアント抽出!A2="",0,LEN(クライアント抽出!V2)-LEN(SUBSTITUTE(クライアント抽出!V2,",","")))&gt;=1,INDIRECT("数出表_Excel!A"&amp;A2&amp;""),"")</f>
        <v/>
      </c>
      <c r="D2" s="52" t="str" cm="1">
        <f t="array" aca="1" ref="D2" ca="1">IF(C2&lt;&gt;"",INDIRECT("クライアント抽出!"&amp;E2&amp;MATCH(C2,クライアント抽出!A:A,0)&amp;""),"")</f>
        <v/>
      </c>
      <c r="E2" s="52" t="str">
        <f ca="1"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t="array" aca="1" ref="F2" ca="1">IF(D2&lt;&gt;"",
IF(COUNTIF(C2,"*雙葉*"),
IF(ROUND(
IF(O2&lt;&gt;"",(H2-O2),H2)
/IF(COUNTIF('盛付札（関数）'!D2,"*キャラ*"),
VLOOKUP("*キャラ*",#REF!,7,FALSE),
IF(COUNTIF('盛付札（関数）'!D2,"*赤*"),
VLOOKUP("*赤*",#REF!,7,FALSE),
VLOOKUP('盛付札（関数）'!D2,#REF!,7,FALSE))),0)&lt;=0,1,
ROUND(
IF(O2&lt;&gt;"",(H2-O2),H2)
/IF(COUNTIF('盛付札（関数）'!D2,"*キャラ*"),
VLOOKUP("*キャラ*",#REF!,7,FALSE),
IF(COUNTIF('盛付札（関数）'!D2,"*赤*"),
VLOOKUP("*赤*",#REF!,7,FALSE),
VLOOKUP('盛付札（関数）'!D2,#REF!,7,FALSE))),0)),
IF(MATCH(TRUE,
ISNUMBER(--INDIRECT("数出表_Excel!B"&amp;MATCH(C2,数出表_Excel!$A:$A,0)-1&amp;":U"&amp;MATCH(C2,数出表_Excel!$A:$A,0)-1&amp;"")),0)&gt;10,
IF(D2&lt;&gt;"",
IF(IF(COUNTIF('盛付札（関数）'!D2,"*キャラ*"),
VLOOKUP("*キャラ*",#REF!,7,FALSE),
IF(COUNTIF('盛付札（関数）'!D2,"*赤*"),
VLOOKUP("*赤*",#REF!,7,FALSE),
VLOOKUP('盛付札（関数）'!D2,#REF!,7,FALSE)))=0,"",
IF(ROUND(
IF(O2&lt;&gt;"",(H2-O2),H2)
/IF(COUNTIF('盛付札（関数）'!D2,"*キャラ*"),
VLOOKUP("*キャラ*",#REF!,7,FALSE),
IF(COUNTIF('盛付札（関数）'!D2,"*赤*"),
VLOOKUP("*赤*",#REF!,7,FALSE),
VLOOKUP('盛付札（関数）'!D2,#REF!,7,FALSE))),0)&lt;=0,1,
ROUND(
IF(O2&lt;&gt;"",(H2-O2),H2)
/IF(COUNTIF('盛付札（関数）'!D2,"*キャラ*"),
VLOOKUP("*キャラ*",#REF!,7,FALSE),
IF(COUNTIF('盛付札（関数）'!D2,"*赤*"),
VLOOKUP("*赤*",#REF!,7,FALSE),
VLOOKUP('盛付札（関数）'!D2,#REF!,7,FALSE))),0))),""),"")),"")</f>
        <v/>
      </c>
      <c r="G2" s="53" t="str">
        <f ca="1">IF(F2&lt;&gt;"",IF(VALUE(IF(O2&lt;&gt;"",H2-O2,H2))&gt;VALUE(IF(COUNTIF('盛付札（関数）'!D2,"*キャラ*"),
VLOOKUP("*キャラ*",#REF!,7,FALSE),
IF(COUNTIF('盛付札（関数）'!D2,"*赤*"),
VLOOKUP("*赤*",#REF!,7,FALSE),
VLOOKUP('盛付札（関数）'!D2,#REF!,7,FALSE)))*F2),
"+"&amp;IF(O2&lt;&gt;"",H2-O2,H2)-IF(COUNTIF('盛付札（関数）'!D2,"*キャラ*"),
VLOOKUP("*キャラ*",#REF!,7,FALSE),
IF(COUNTIF('盛付札（関数）'!D2,"*赤*"),
VLOOKUP("*赤*",#REF!,7,FALSE),
VLOOKUP('盛付札（関数）'!D2,#REF!,7,FALSE)))*F2,
IF(O2&lt;&gt;"",H2-O2,H2)-IF(COUNTIF('盛付札（関数）'!D2,"*キャラ*"),
VLOOKUP("*キャラ*",#REF!,7,FALSE),
IF(COUNTIF('盛付札（関数）'!D2,"*赤*"),
VLOOKUP("*赤*",#REF!,7,FALSE),
VLOOKUP('盛付札（関数）'!D2,#REF!,7,FALSE)))*F2),"")</f>
        <v/>
      </c>
      <c r="H2" s="195" t="str" cm="1">
        <f t="array" aca="1" ref="H2" ca="1">IF(C2&lt;&gt;"",
IF(INDIRECT("数出表_Excel!"&amp;LEFT(クライアント抽出!V2)&amp;A2-1&amp;"")&lt;&gt;"",INDIRECT("数出表_Excel!"&amp;LEFT(クライアント抽出!V2)&amp;A2-1&amp;""),0),"")</f>
        <v/>
      </c>
      <c r="I2" s="52" t="str" cm="1">
        <f t="array" aca="1" ref="I2" ca="1">IF(C2&lt;&gt;"",
IF(INDIRECT("数出表_Excel!"&amp;LEFT(クライアント抽出!V2)&amp;A2&amp;"")&lt;&gt;"",INDIRECT("数出表_Excel!"&amp;LEFT(クライアント抽出!V2)&amp;A2&amp;""),0),"")</f>
        <v/>
      </c>
      <c r="J2" s="52" t="str">
        <f ca="1">IF(C2&lt;&gt;"",
VLOOKUP(
IF(COUNTIF(D2,"*学食*"),"キャラ弁（学食）",
IF(COUNTIF(D2,"*赤*"),"赤",
IF(COUNTIF(D2,"*キャラ弁当*"),"キャラ弁当",D2))),注文弁当の抽出!$E$1:$F$15,2,FALSE),"")</f>
        <v/>
      </c>
      <c r="K2" s="52" t="str">
        <f t="shared" ref="K2:K6" ca="1" si="0">IF(C2&lt;&gt;"",
IFERROR(INT(H2/J2),""),"")</f>
        <v/>
      </c>
      <c r="L2" s="52" t="str">
        <f t="shared" ref="L2:L6" ca="1" si="1">IFERROR(MOD(H2,J2),"")</f>
        <v/>
      </c>
      <c r="M2" s="52" cm="1">
        <f t="array" aca="1" ref="M2" ca="1">IF(C2&lt;&gt;"",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0)&lt;&gt;0,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"")="",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0)),0),0)</f>
        <v>0</v>
      </c>
      <c r="N2" s="52" t="e">
        <f t="array" aca="1" ref="N2" ca="1">IF(B2="博多",
IF(C2&lt;&gt;"",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0)&lt;&gt;0,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0)="",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0)),0),""),0)</f>
        <v>#N/A</v>
      </c>
      <c r="O2" s="52" t="e">
        <f t="shared" ref="O2:O6" ca="1" si="2">M2+N2</f>
        <v>#N/A</v>
      </c>
      <c r="P2" s="52">
        <f ca="1">IF(COUNTIF(Q2,"TRUE"),ROW(),0)</f>
        <v>0</v>
      </c>
      <c r="Q2" s="52" t="b">
        <f ca="1">IF(C2&lt;&gt;"",TRUE,FALSE)</f>
        <v>0</v>
      </c>
      <c r="R2" s="51" cm="1">
        <f t="array" aca="1" ref="R2" ca="1">IFERROR(SMALL(IF(P$1:P$300&lt;&gt;0,P$1:P$300),ROW(A2)),"")</f>
        <v>212</v>
      </c>
      <c r="S2" s="51" t="str">
        <f t="array" aca="1" ref="S2" ca="1">IF($R2&lt;&gt;"",
INDIRECT(""&amp;IF(COLUMN(C2)&lt;=26,CHAR(COLUMN(C2)+64),CHAR(INT((COLUMN(C2)-1)/26)+64)&amp;CHAR(MOD(COLUMN(C2)-1,26)+65))&amp;$R2&amp;""),"")</f>
        <v>新日本製薬</v>
      </c>
      <c r="T2" s="51" t="str" cm="1">
        <f t="array" aca="1" ref="T2" ca="1">IF(IF($R2&lt;&gt;"",
INDIRECT(""&amp;IF(COLUMN(D22)&lt;=26,CHAR(COLUMN(D22)+64),CHAR(INT((COLUMN(D22)-1)/26)+64)&amp;CHAR(MOD(COLUMN(D22)-1,26)+65))&amp;$R2&amp;""),"")=0,"",
IF($R2&lt;&gt;"",
INDIRECT(""&amp;IF(COLUMN(D22)&lt;=26,CHAR(COLUMN(D22)+64),CHAR(INT((COLUMN(D22)-1)/26)+64)&amp;CHAR(MOD(COLUMN(D22)-1,26)+65))&amp;$R2&amp;""),""))</f>
        <v/>
      </c>
      <c r="V2" s="51" t="str" cm="1">
        <f t="array" aca="1" ref="V2" ca="1">IF($R2&lt;&gt;"",
IF(T2="",
IF(INDIRECT("F"&amp;$R2&amp;"")&lt;&gt;"",
INDIRECT("F"&amp;$R2&amp;"")&amp;"箱"
&amp;INDIRECT("G"&amp;$R2&amp;""),""),""),"")</f>
        <v/>
      </c>
      <c r="W2" s="51" t="e">
        <f t="array" aca="1" ref="W2" ca="1">IF($R2&lt;&gt;"",
INDIRECT(""&amp;IF(COLUMN(H2)&lt;=26,CHAR(COLUMN(H2)+64),CHAR(INT((COLUMN(H2)-1)/26)+64)&amp;CHAR(MOD(COLUMN(H2)-1,26)+65))&amp;$R2&amp;""),"")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>
        <f t="array" aca="1" ref="Z2" ca="1">IF($R2&lt;&gt;"",
INDIRECT(""&amp;IF(COLUMN(K2)&lt;=26,CHAR(COLUMN(K2)+64),CHAR(INT((COLUMN(K2)-1)/26)+64)&amp;CHAR(MOD(COLUMN(K2)-1,26)+65))&amp;$R2&amp;""),"")</f>
        <v>0</v>
      </c>
      <c r="AA2" s="51">
        <f t="array" aca="1" ref="AA2" ca="1">IF($R2&lt;&gt;"",
INDIRECT(""&amp;IF(COLUMN(L2)&lt;=26,CHAR(COLUMN(L2)+64),CHAR(INT((COLUMN(L2)-1)/26)+64)&amp;CHAR(MOD(COLUMN(L2)-1,26)+65))&amp;$R2&amp;""),"")</f>
        <v>0</v>
      </c>
      <c r="AB2" s="51">
        <f t="array" aca="1" ref="AB2" ca="1">IF($R2&lt;&gt;"",
INDIRECT(""&amp;IF(COLUMN(O2)&lt;=26,CHAR(COLUMN(O2)+64),CHAR(INT((COLUMN(O2)-1)/26)+64)&amp;CHAR(MOD(COLUMN(O2)-1,26)+65))&amp;$R2&amp;""),"")</f>
        <v>0</v>
      </c>
    </row>
    <row r="3" spans="1:28" s="51" customFormat="1" ht="22.2" customHeight="1">
      <c r="A3" s="197">
        <f t="shared" ref="A3:A31" si="3">A2+2</f>
        <v>11</v>
      </c>
      <c r="B3" s="52" t="e">
        <f t="array" aca="1" ref="B3" ca="1">IF(AND(LEFT(C3,2)="博多",
LEFT(INDIRECT("数出表_Excel!A"&amp;MATCH(C3,数出表_Excel!$A:$A,0)-1),2)
=LEFT(INDIRECT("数出表_Excel!A"&amp;MATCH(C3,数出表_Excel!$A:$A,0)+1),2)),"博多",
IF(AND(LEFT(C3,3)="奈良屋",
LEFT(INDIRECT("数出表_Excel!A"&amp;MATCH(C3,数出表_Excel!$A:$A,0)-1),2)
=LEFT(INDIRECT("数出表_Excel!A"&amp;MATCH(C3,数出表_Excel!$A:$A,0)+1),2)),"奈良屋",""))</f>
        <v>#N/A</v>
      </c>
      <c r="C3" s="52" t="str" cm="1">
        <f t="array" aca="1" ref="C3" ca="1">IF(IF(クライアント抽出!A3="",0,LEN(クライアント抽出!V3)-LEN(SUBSTITUTE(クライアント抽出!V3,",","")))&gt;=1,INDIRECT("数出表_Excel!A"&amp;A3&amp;""),"")</f>
        <v/>
      </c>
      <c r="D3" s="52" t="str" cm="1">
        <f t="array" aca="1" ref="D3" ca="1">IF(C3&lt;&gt;"",INDIRECT("クライアント抽出!"&amp;E3&amp;MATCH(C3,クライアント抽出!A:A,0)&amp;""),"")</f>
        <v/>
      </c>
      <c r="E3" s="52" t="str">
        <f ca="1"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t="array" aca="1" ref="F3" ca="1">IF(D3&lt;&gt;"",
IF(COUNTIF(C3,"*雙葉*"),
IF(ROUND(
IF(O3&lt;&gt;"",(H3-O3),H3)
/IF(COUNTIF('盛付札（関数）'!D3,"*キャラ*"),
VLOOKUP("*キャラ*",#REF!,7,FALSE),
IF(COUNTIF('盛付札（関数）'!D3,"*赤*"),
VLOOKUP("*赤*",#REF!,7,FALSE),
VLOOKUP('盛付札（関数）'!D3,#REF!,7,FALSE))),0)&lt;=0,1,
ROUND(
IF(O3&lt;&gt;"",(H3-O3),H3)
/IF(COUNTIF('盛付札（関数）'!D3,"*キャラ*"),
VLOOKUP("*キャラ*",#REF!,7,FALSE),
IF(COUNTIF('盛付札（関数）'!D3,"*赤*"),
VLOOKUP("*赤*",#REF!,7,FALSE),
VLOOKUP('盛付札（関数）'!D3,#REF!,7,FALSE))),0)),
IF(MATCH(TRUE,
ISNUMBER(--INDIRECT("数出表_Excel!B"&amp;MATCH(C3,数出表_Excel!$A:$A,0)-1&amp;":U"&amp;MATCH(C3,数出表_Excel!$A:$A,0)-1&amp;"")),0)&gt;10,
IF(D3&lt;&gt;"",
IF(IF(COUNTIF('盛付札（関数）'!D3,"*キャラ*"),
VLOOKUP("*キャラ*",#REF!,7,FALSE),
IF(COUNTIF('盛付札（関数）'!D3,"*赤*"),
VLOOKUP("*赤*",#REF!,7,FALSE),
VLOOKUP('盛付札（関数）'!D3,#REF!,7,FALSE)))=0,"",
IF(ROUND(
IF(O3&lt;&gt;"",(H3-O3),H3)
/IF(COUNTIF('盛付札（関数）'!D3,"*キャラ*"),
VLOOKUP("*キャラ*",#REF!,7,FALSE),
IF(COUNTIF('盛付札（関数）'!D3,"*赤*"),
VLOOKUP("*赤*",#REF!,7,FALSE),
VLOOKUP('盛付札（関数）'!D3,#REF!,7,FALSE))),0)&lt;=0,1,
ROUND(
IF(O3&lt;&gt;"",(H3-O3),H3)
/IF(COUNTIF('盛付札（関数）'!D3,"*キャラ*"),
VLOOKUP("*キャラ*",#REF!,7,FALSE),
IF(COUNTIF('盛付札（関数）'!D3,"*赤*"),
VLOOKUP("*赤*",#REF!,7,FALSE),
VLOOKUP('盛付札（関数）'!D3,#REF!,7,FALSE))),0))),""),"")),"")</f>
        <v/>
      </c>
      <c r="G3" s="53" t="str">
        <f ca="1">IF(F3&lt;&gt;"",IF(VALUE(IF(O3&lt;&gt;"",H3-O3,H3))&gt;VALUE(IF(COUNTIF('盛付札（関数）'!D3,"*キャラ*"),
VLOOKUP("*キャラ*",#REF!,7,FALSE),
IF(COUNTIF('盛付札（関数）'!D3,"*赤*"),
VLOOKUP("*赤*",#REF!,7,FALSE),
VLOOKUP('盛付札（関数）'!D3,#REF!,7,FALSE)))*F3),
"+"&amp;IF(O3&lt;&gt;"",H3-O3,H3)-IF(COUNTIF('盛付札（関数）'!D3,"*キャラ*"),
VLOOKUP("*キャラ*",#REF!,7,FALSE),
IF(COUNTIF('盛付札（関数）'!D3,"*赤*"),
VLOOKUP("*赤*",#REF!,7,FALSE),
VLOOKUP('盛付札（関数）'!D3,#REF!,7,FALSE)))*F3,
IF(O3&lt;&gt;"",H3-O3,H3)-IF(COUNTIF('盛付札（関数）'!D3,"*キャラ*"),
VLOOKUP("*キャラ*",#REF!,7,FALSE),
IF(COUNTIF('盛付札（関数）'!D3,"*赤*"),
VLOOKUP("*赤*",#REF!,7,FALSE),
VLOOKUP('盛付札（関数）'!D3,#REF!,7,FALSE)))*F3),"")</f>
        <v/>
      </c>
      <c r="H3" s="195" t="str" cm="1">
        <f t="array" aca="1" ref="H3" ca="1">IF(C3&lt;&gt;"",
IF(INDIRECT("数出表_Excel!"&amp;LEFT(クライアント抽出!V3)&amp;A3-1&amp;"")&lt;&gt;"",INDIRECT("数出表_Excel!"&amp;LEFT(クライアント抽出!V3)&amp;A3-1&amp;""),0),"")</f>
        <v/>
      </c>
      <c r="I3" s="52" t="str" cm="1">
        <f t="array" aca="1" ref="I3" ca="1">IF(C3&lt;&gt;"",
IF(INDIRECT("数出表_Excel!"&amp;LEFT(クライアント抽出!V3)&amp;A3&amp;"")&lt;&gt;"",INDIRECT("数出表_Excel!"&amp;LEFT(クライアント抽出!V3)&amp;A3&amp;""),0),"")</f>
        <v/>
      </c>
      <c r="J3" s="52" t="str">
        <f ca="1">IF(C3&lt;&gt;"",
VLOOKUP(
IF(COUNTIF(D3,"*学食*"),"キャラ弁（学食）",
IF(COUNTIF(D3,"*赤*"),"赤",
IF(COUNTIF(D3,"*キャラ弁当*"),"キャラ弁当",D3))),注文弁当の抽出!$E$1:$F$15,2,FALSE),"")</f>
        <v/>
      </c>
      <c r="K3" s="52" t="str">
        <f t="shared" ca="1" si="0"/>
        <v/>
      </c>
      <c r="L3" s="52" t="str">
        <f t="shared" ca="1" si="1"/>
        <v/>
      </c>
      <c r="M3" s="52" cm="1">
        <f t="array" aca="1" ref="M3" ca="1">IF(C3&lt;&gt;"",
IF(IFERROR(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0)&lt;&gt;0,
IF(IFERROR(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"")="",
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""),
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0)),0),0)</f>
        <v>0</v>
      </c>
      <c r="N3" s="52" t="e">
        <f t="array" aca="1" ref="N3" ca="1">IF(B3="博多",
IF(C3&lt;&gt;"",
IF(IFERROR(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0)&lt;&gt;0,
IF(IFERROR(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0)="",
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0),
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0)),0),""),0)</f>
        <v>#N/A</v>
      </c>
      <c r="O3" s="52" t="e">
        <f t="shared" ca="1" si="2"/>
        <v>#N/A</v>
      </c>
      <c r="P3" s="52">
        <f t="shared" ref="P3:P210" ca="1" si="4">IF(COUNTIF(Q3,"TRUE"),ROW(),0)</f>
        <v>0</v>
      </c>
      <c r="Q3" s="52" t="b">
        <f t="shared" ref="Q3:Q31" ca="1" si="5">IF(C3&lt;&gt;"",TRUE,FALSE)</f>
        <v>0</v>
      </c>
      <c r="R3" s="51" cm="1">
        <f t="array" aca="1" ref="R3" ca="1">IFERROR(SMALL(IF(P$1:P$300&lt;&gt;0,P$1:P$300),ROW(A3)),"")</f>
        <v>213</v>
      </c>
      <c r="S3" s="51" t="str">
        <f t="array" aca="1" ref="S3" ca="1">IF($R3&lt;&gt;"",
INDIRECT(""&amp;IF(COLUMN(C4)&lt;=26,CHAR(COLUMN(C4)+64),CHAR(INT((COLUMN(C4)-1)/26)+64)&amp;CHAR(MOD(COLUMN(C4)-1,26)+65))&amp;$R3&amp;""),"")</f>
        <v>配送</v>
      </c>
      <c r="T3" s="51" t="str" cm="1">
        <f t="array" aca="1" ref="T3" ca="1">IF(IF($R3&lt;&gt;"",
INDIRECT(""&amp;IF(COLUMN(D23)&lt;=26,CHAR(COLUMN(D23)+64),CHAR(INT((COLUMN(D23)-1)/26)+64)&amp;CHAR(MOD(COLUMN(D23)-1,26)+65))&amp;$R3&amp;""),"")=0,"",
IF($R3&lt;&gt;"",
INDIRECT(""&amp;IF(COLUMN(D23)&lt;=26,CHAR(COLUMN(D23)+64),CHAR(INT((COLUMN(D23)-1)/26)+64)&amp;CHAR(MOD(COLUMN(D23)-1,26)+65))&amp;$R3&amp;""),""))</f>
        <v/>
      </c>
      <c r="V3" s="51" t="str">
        <f t="array" aca="1" ref="V3" ca="1">IF($R3&lt;&gt;"",
IF(U3="",
IF(INDIRECT("EY"&amp;$R3&amp;"")&lt;&gt;"",
INDIRECT("EY"&amp;$R3&amp;"")&amp;"箱"
&amp;INDIRECT("EZ"&amp;$R3&amp;""),""),""),"")</f>
        <v/>
      </c>
      <c r="W3" s="51">
        <f t="array" aca="1" ref="W3" ca="1">IF($R3&lt;&gt;"",
INDIRECT(""&amp;IF(COLUMN(H4)&lt;=26,CHAR(COLUMN(H4)+64),CHAR(INT((COLUMN(H4)-1)/26)+64)&amp;CHAR(MOD(COLUMN(H4)-1,26)+65))&amp;$R3&amp;""),"")</f>
        <v>2</v>
      </c>
      <c r="X3" s="51">
        <f t="array" aca="1" ref="X3" ca="1">IF($R3&lt;&gt;"",
INDIRECT(""&amp;IF(COLUMN(I4)&lt;=26,CHAR(COLUMN(I4)+64),CHAR(INT((COLUMN(I4)-1)/26)+64)&amp;CHAR(MOD(COLUMN(I4)-1,26)+65))&amp;$R3&amp;""),"")</f>
        <v>0</v>
      </c>
      <c r="Y3" s="51">
        <f t="array" aca="1" ref="Y3" ca="1">IF($R3&lt;&gt;"",
INDIRECT(""&amp;IF(COLUMN(J4)&lt;=26,CHAR(COLUMN(J4)+64),CHAR(INT((COLUMN(J4)-1)/26)+64)&amp;CHAR(MOD(COLUMN(J4)-1,26)+65))&amp;$R3&amp;""),"")</f>
        <v>0</v>
      </c>
      <c r="Z3" s="51">
        <f t="array" aca="1" ref="Z3" ca="1">IF($R3&lt;&gt;"",
INDIRECT(""&amp;IF(COLUMN(K4)&lt;=26,CHAR(COLUMN(K4)+64),CHAR(INT((COLUMN(K4)-1)/26)+64)&amp;CHAR(MOD(COLUMN(K4)-1,26)+65))&amp;$R3&amp;""),"")</f>
        <v>0</v>
      </c>
      <c r="AA3" s="51">
        <f t="array" aca="1" ref="AA3" ca="1">IF($R3&lt;&gt;"",
INDIRECT(""&amp;IF(COLUMN(L4)&lt;=26,CHAR(COLUMN(L4)+64),CHAR(INT((COLUMN(L4)-1)/26)+64)&amp;CHAR(MOD(COLUMN(L4)-1,26)+65))&amp;$R3&amp;""),"")</f>
        <v>0</v>
      </c>
      <c r="AB3" s="51">
        <f t="array" aca="1" ref="AB3" ca="1">IF($R3&lt;&gt;"",
INDIRECT(""&amp;IF(COLUMN(O4)&lt;=26,CHAR(COLUMN(O4)+64),CHAR(INT((COLUMN(O4)-1)/26)+64)&amp;CHAR(MOD(COLUMN(O4)-1,26)+65))&amp;$R3&amp;""),"")</f>
        <v>0</v>
      </c>
    </row>
    <row r="4" spans="1:28" ht="18" customHeight="1">
      <c r="A4" s="197">
        <f t="shared" si="3"/>
        <v>13</v>
      </c>
      <c r="B4" s="52" t="e" cm="1">
        <f t="array" aca="1" ref="B4" ca="1">IF(AND(LEFT(C4,2)="博多",
LEFT(INDIRECT("数出表_Excel!A"&amp;MATCH(C4,数出表_Excel!$A:$A,0)-1),2)
=LEFT(INDIRECT("数出表_Excel!A"&amp;MATCH(C4,数出表_Excel!$A:$A,0)+1),2)),"博多",
IF(AND(LEFT(C4,3)="奈良屋",
LEFT(INDIRECT("数出表_Excel!A"&amp;MATCH(C4,数出表_Excel!$A:$A,0)-1),2)
=LEFT(INDIRECT("数出表_Excel!A"&amp;MATCH(C4,数出表_Excel!$A:$A,0)+1),2)),"奈良屋",""))</f>
        <v>#N/A</v>
      </c>
      <c r="C4" s="52" t="str" cm="1">
        <f t="array" aca="1" ref="C4" ca="1">IF(IF(クライアント抽出!A4="",0,LEN(クライアント抽出!V4)-LEN(SUBSTITUTE(クライアント抽出!V4,",","")))&gt;=1,INDIRECT("数出表_Excel!A"&amp;A4&amp;""),"")</f>
        <v/>
      </c>
      <c r="D4" s="52" t="str" cm="1">
        <f t="array" aca="1" ref="D4" ca="1">IF(C4&lt;&gt;"",INDIRECT("クライアント抽出!"&amp;E4&amp;MATCH(C4,クライアント抽出!A:A,0)&amp;""),"")</f>
        <v/>
      </c>
      <c r="E4" s="52" t="str">
        <f ca="1"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t="array" aca="1" ref="F4" ca="1">IF(D4&lt;&gt;"",
IF(COUNTIF(C4,"*雙葉*"),
IF(ROUND(
IF(O4&lt;&gt;"",(H4-O4),H4)
/IF(COUNTIF('盛付札（関数）'!D4,"*キャラ*"),
VLOOKUP("*キャラ*",#REF!,7,FALSE),
IF(COUNTIF('盛付札（関数）'!D4,"*赤*"),
VLOOKUP("*赤*",#REF!,7,FALSE),
VLOOKUP('盛付札（関数）'!D4,#REF!,7,FALSE))),0)&lt;=0,1,
ROUND(
IF(O4&lt;&gt;"",(H4-O4),H4)
/IF(COUNTIF('盛付札（関数）'!D4,"*キャラ*"),
VLOOKUP("*キャラ*",#REF!,7,FALSE),
IF(COUNTIF('盛付札（関数）'!D4,"*赤*"),
VLOOKUP("*赤*",#REF!,7,FALSE),
VLOOKUP('盛付札（関数）'!D4,#REF!,7,FALSE))),0)),
IF(MATCH(TRUE,
ISNUMBER(--INDIRECT("数出表_Excel!B"&amp;MATCH(C4,数出表_Excel!$A:$A,0)-1&amp;":U"&amp;MATCH(C4,数出表_Excel!$A:$A,0)-1&amp;"")),0)&gt;10,
IF(D4&lt;&gt;"",
IF(IF(COUNTIF('盛付札（関数）'!D4,"*キャラ*"),
VLOOKUP("*キャラ*",#REF!,7,FALSE),
IF(COUNTIF('盛付札（関数）'!D4,"*赤*"),
VLOOKUP("*赤*",#REF!,7,FALSE),
VLOOKUP('盛付札（関数）'!D4,#REF!,7,FALSE)))=0,"",
IF(ROUND(
IF(O4&lt;&gt;"",(H4-O4),H4)
/IF(COUNTIF('盛付札（関数）'!D4,"*キャラ*"),
VLOOKUP("*キャラ*",#REF!,7,FALSE),
IF(COUNTIF('盛付札（関数）'!D4,"*赤*"),
VLOOKUP("*赤*",#REF!,7,FALSE),
VLOOKUP('盛付札（関数）'!D4,#REF!,7,FALSE))),0)&lt;=0,1,
ROUND(
IF(O4&lt;&gt;"",(H4-O4),H4)
/IF(COUNTIF('盛付札（関数）'!D4,"*キャラ*"),
VLOOKUP("*キャラ*",#REF!,7,FALSE),
IF(COUNTIF('盛付札（関数）'!D4,"*赤*"),
VLOOKUP("*赤*",#REF!,7,FALSE),
VLOOKUP('盛付札（関数）'!D4,#REF!,7,FALSE))),0))),""),"")),"")</f>
        <v/>
      </c>
      <c r="G4" s="53" t="str">
        <f ca="1">IF(F4&lt;&gt;"",IF(VALUE(IF(O4&lt;&gt;"",H4-O4,H4))&gt;VALUE(IF(COUNTIF('盛付札（関数）'!D4,"*キャラ*"),
VLOOKUP("*キャラ*",#REF!,7,FALSE),
IF(COUNTIF('盛付札（関数）'!D4,"*赤*"),
VLOOKUP("*赤*",#REF!,7,FALSE),
VLOOKUP('盛付札（関数）'!D4,#REF!,7,FALSE)))*F4),
"+"&amp;IF(O4&lt;&gt;"",H4-O4,H4)-IF(COUNTIF('盛付札（関数）'!D4,"*キャラ*"),
VLOOKUP("*キャラ*",#REF!,7,FALSE),
IF(COUNTIF('盛付札（関数）'!D4,"*赤*"),
VLOOKUP("*赤*",#REF!,7,FALSE),
VLOOKUP('盛付札（関数）'!D4,#REF!,7,FALSE)))*F4,
IF(O4&lt;&gt;"",H4-O4,H4)-IF(COUNTIF('盛付札（関数）'!D4,"*キャラ*"),
VLOOKUP("*キャラ*",#REF!,7,FALSE),
IF(COUNTIF('盛付札（関数）'!D4,"*赤*"),
VLOOKUP("*赤*",#REF!,7,FALSE),
VLOOKUP('盛付札（関数）'!D4,#REF!,7,FALSE)))*F4),"")</f>
        <v/>
      </c>
      <c r="H4" s="195" t="str" cm="1">
        <f t="array" aca="1" ref="H4" ca="1">IF(C4&lt;&gt;"",
IF(INDIRECT("数出表_Excel!"&amp;LEFT(クライアント抽出!V4)&amp;A4-1&amp;"")&lt;&gt;"",INDIRECT("数出表_Excel!"&amp;LEFT(クライアント抽出!V4)&amp;A4-1&amp;""),0),"")</f>
        <v/>
      </c>
      <c r="I4" s="52" t="str" cm="1">
        <f t="array" aca="1" ref="I4" ca="1">IF(C4&lt;&gt;"",
IF(INDIRECT("数出表_Excel!"&amp;LEFT(クライアント抽出!V4)&amp;A4&amp;"")&lt;&gt;"",INDIRECT("数出表_Excel!"&amp;LEFT(クライアント抽出!V4)&amp;A4&amp;""),0),"")</f>
        <v/>
      </c>
      <c r="J4" s="52" t="str">
        <f ca="1">IF(C4&lt;&gt;"",
VLOOKUP(
IF(COUNTIF(D4,"*学食*"),"キャラ弁（学食）",
IF(COUNTIF(D4,"*赤*"),"赤",
IF(COUNTIF(D4,"*キャラ弁当*"),"キャラ弁当",D4))),注文弁当の抽出!$E$1:$F$15,2,FALSE),"")</f>
        <v/>
      </c>
      <c r="K4" s="52" t="str">
        <f t="shared" ca="1" si="0"/>
        <v/>
      </c>
      <c r="L4" s="52" t="str">
        <f t="shared" ca="1" si="1"/>
        <v/>
      </c>
      <c r="M4" s="52" cm="1">
        <f t="array" aca="1" ref="M4" ca="1">IF(C4&lt;&gt;"",
IF(IFERROR(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0)&lt;&gt;0,
IF(IFERROR(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"")="",
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""),
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0)),0),0)</f>
        <v>0</v>
      </c>
      <c r="N4" s="52" t="e">
        <f t="array" aca="1" ref="N4" ca="1">IF(B4="博多",
IF(C4&lt;&gt;"",
IF(IFERROR(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0)&lt;&gt;0,
IF(IFERROR(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0)="",
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0),
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0)),0),""),0)</f>
        <v>#N/A</v>
      </c>
      <c r="O4" s="52" t="e">
        <f t="shared" ca="1" si="2"/>
        <v>#N/A</v>
      </c>
      <c r="P4" s="52">
        <f t="shared" ca="1" si="4"/>
        <v>0</v>
      </c>
      <c r="Q4" s="52" t="b">
        <f t="shared" ca="1" si="5"/>
        <v>0</v>
      </c>
      <c r="R4" s="51" cm="1">
        <f t="array" aca="1" ref="R4" ca="1">IFERROR(SMALL(IF(P$1:P$300&lt;&gt;0,P$1:P$300),ROW(A4)),"")</f>
        <v>214</v>
      </c>
      <c r="S4" s="51" t="str">
        <f t="array" aca="1" ref="S4" ca="1">IF($R4&lt;&gt;"",
INDIRECT(""&amp;IF(COLUMN(C5)&lt;=26,CHAR(COLUMN(C5)+64),CHAR(INT((COLUMN(C5)-1)/26)+64)&amp;CHAR(MOD(COLUMN(C5)-1,26)+65))&amp;$R4&amp;""),"")</f>
        <v>先生用</v>
      </c>
      <c r="T4" s="51" t="str" cm="1">
        <f t="array" aca="1" ref="T4" ca="1">IF(IF($R4&lt;&gt;"",
INDIRECT(""&amp;IF(COLUMN(D24)&lt;=26,CHAR(COLUMN(D24)+64),CHAR(INT((COLUMN(D24)-1)/26)+64)&amp;CHAR(MOD(COLUMN(D24)-1,26)+65))&amp;$R4&amp;""),"")=0,"",
IF($R4&lt;&gt;"",
INDIRECT(""&amp;IF(COLUMN(D24)&lt;=26,CHAR(COLUMN(D24)+64),CHAR(INT((COLUMN(D24)-1)/26)+64)&amp;CHAR(MOD(COLUMN(D24)-1,26)+65))&amp;$R4&amp;""),""))</f>
        <v/>
      </c>
      <c r="U4" s="51"/>
      <c r="V4" s="51" t="str">
        <f t="array" aca="1" ref="V4" ca="1">IF($R4&lt;&gt;"",
IF(U4="",
IF(INDIRECT("EY"&amp;$R4&amp;"")&lt;&gt;"",
INDIRECT("EY"&amp;$R4&amp;"")&amp;"箱"
&amp;INDIRECT("EZ"&amp;$R4&amp;""),""),""),"")</f>
        <v/>
      </c>
      <c r="W4" s="51" t="e">
        <f t="array" aca="1" ref="W4" ca="1">IF($R4&lt;&gt;"",
INDIRECT(""&amp;IF(COLUMN(H5)&lt;=26,CHAR(COLUMN(H5)+64),CHAR(INT((COLUMN(H5)-1)/26)+64)&amp;CHAR(MOD(COLUMN(H5)-1,26)+65))&amp;$R4&amp;""),"")</f>
        <v>#N/A</v>
      </c>
      <c r="X4" s="51">
        <f t="array" aca="1" ref="X4" ca="1">IF($R4&lt;&gt;"",
INDIRECT(""&amp;IF(COLUMN(I5)&lt;=26,CHAR(COLUMN(I5)+64),CHAR(INT((COLUMN(I5)-1)/26)+64)&amp;CHAR(MOD(COLUMN(I5)-1,26)+65))&amp;$R4&amp;""),"")</f>
        <v>0</v>
      </c>
      <c r="Y4" s="51">
        <f t="array" aca="1" ref="Y4" ca="1">IF($R4&lt;&gt;"",
INDIRECT(""&amp;IF(COLUMN(J5)&lt;=26,CHAR(COLUMN(J5)+64),CHAR(INT((COLUMN(J5)-1)/26)+64)&amp;CHAR(MOD(COLUMN(J5)-1,26)+65))&amp;$R4&amp;""),"")</f>
        <v>12</v>
      </c>
      <c r="Z4" s="51">
        <f t="array" aca="1" ref="Z4" ca="1">IF($R4&lt;&gt;"",
INDIRECT(""&amp;IF(COLUMN(K5)&lt;=26,CHAR(COLUMN(K5)+64),CHAR(INT((COLUMN(K5)-1)/26)+64)&amp;CHAR(MOD(COLUMN(K5)-1,26)+65))&amp;$R4&amp;""),"")</f>
        <v>30</v>
      </c>
      <c r="AA4" s="51">
        <f t="array" aca="1" ref="AA4" ca="1">IF($R4&lt;&gt;"",
INDIRECT(""&amp;IF(COLUMN(L5)&lt;=26,CHAR(COLUMN(L5)+64),CHAR(INT((COLUMN(L5)-1)/26)+64)&amp;CHAR(MOD(COLUMN(L5)-1,26)+65))&amp;$R4&amp;""),"")</f>
        <v>0</v>
      </c>
      <c r="AB4" s="51">
        <f t="array" aca="1" ref="AB4" ca="1">IF($R4&lt;&gt;"",
INDIRECT(""&amp;IF(COLUMN(O5)&lt;=26,CHAR(COLUMN(O5)+64),CHAR(INT((COLUMN(O5)-1)/26)+64)&amp;CHAR(MOD(COLUMN(O5)-1,26)+65))&amp;$R4&amp;""),"")</f>
        <v>0</v>
      </c>
    </row>
    <row r="5" spans="1:28" ht="18" customHeight="1">
      <c r="A5" s="197">
        <f t="shared" si="3"/>
        <v>15</v>
      </c>
      <c r="B5" s="52" t="e">
        <f t="array" aca="1" ref="B5" ca="1">IF(AND(LEFT(C5,2)="博多",
LEFT(INDIRECT("数出表_Excel!A"&amp;MATCH(C5,数出表_Excel!$A:$A,0)-1),2)
=LEFT(INDIRECT("数出表_Excel!A"&amp;MATCH(C5,数出表_Excel!$A:$A,0)+1),2)),"博多",
IF(AND(LEFT(C5,3)="奈良屋",
LEFT(INDIRECT("数出表_Excel!A"&amp;MATCH(C5,数出表_Excel!$A:$A,0)-1),2)
=LEFT(INDIRECT("数出表_Excel!A"&amp;MATCH(C5,数出表_Excel!$A:$A,0)+1),2)),"奈良屋",""))</f>
        <v>#N/A</v>
      </c>
      <c r="C5" s="52" t="str" cm="1">
        <f t="array" aca="1" ref="C5" ca="1">IF(IF(クライアント抽出!A5="",0,LEN(クライアント抽出!V5)-LEN(SUBSTITUTE(クライアント抽出!V5,",","")))&gt;=1,INDIRECT("数出表_Excel!A"&amp;A5&amp;""),"")</f>
        <v/>
      </c>
      <c r="D5" s="52" t="str" cm="1">
        <f t="array" aca="1" ref="D5" ca="1">IF(C5&lt;&gt;"",INDIRECT("クライアント抽出!"&amp;E5&amp;MATCH(C5,クライアント抽出!A:A,0)&amp;""),"")</f>
        <v/>
      </c>
      <c r="E5" s="52" t="str">
        <f ca="1"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t="array" aca="1" ref="F5" ca="1">IF(D5&lt;&gt;"",
IF(COUNTIF(C5,"*雙葉*"),
IF(ROUND(
IF(O5&lt;&gt;"",(H5-O5),H5)
/IF(COUNTIF('盛付札（関数）'!D5,"*キャラ*"),
VLOOKUP("*キャラ*",#REF!,7,FALSE),
IF(COUNTIF('盛付札（関数）'!D5,"*赤*"),
VLOOKUP("*赤*",#REF!,7,FALSE),
VLOOKUP('盛付札（関数）'!D5,#REF!,7,FALSE))),0)&lt;=0,1,
ROUND(
IF(O5&lt;&gt;"",(H5-O5),H5)
/IF(COUNTIF('盛付札（関数）'!D5,"*キャラ*"),
VLOOKUP("*キャラ*",#REF!,7,FALSE),
IF(COUNTIF('盛付札（関数）'!D5,"*赤*"),
VLOOKUP("*赤*",#REF!,7,FALSE),
VLOOKUP('盛付札（関数）'!D5,#REF!,7,FALSE))),0)),
IF(MATCH(TRUE,
ISNUMBER(--INDIRECT("数出表_Excel!B"&amp;MATCH(C5,数出表_Excel!$A:$A,0)-1&amp;":U"&amp;MATCH(C5,数出表_Excel!$A:$A,0)-1&amp;"")),0)&gt;10,
IF(D5&lt;&gt;"",
IF(IF(COUNTIF('盛付札（関数）'!D5,"*キャラ*"),
VLOOKUP("*キャラ*",#REF!,7,FALSE),
IF(COUNTIF('盛付札（関数）'!D5,"*赤*"),
VLOOKUP("*赤*",#REF!,7,FALSE),
VLOOKUP('盛付札（関数）'!D5,#REF!,7,FALSE)))=0,"",
IF(ROUND(
IF(O5&lt;&gt;"",(H5-O5),H5)
/IF(COUNTIF('盛付札（関数）'!D5,"*キャラ*"),
VLOOKUP("*キャラ*",#REF!,7,FALSE),
IF(COUNTIF('盛付札（関数）'!D5,"*赤*"),
VLOOKUP("*赤*",#REF!,7,FALSE),
VLOOKUP('盛付札（関数）'!D5,#REF!,7,FALSE))),0)&lt;=0,1,
ROUND(
IF(O5&lt;&gt;"",(H5-O5),H5)
/IF(COUNTIF('盛付札（関数）'!D5,"*キャラ*"),
VLOOKUP("*キャラ*",#REF!,7,FALSE),
IF(COUNTIF('盛付札（関数）'!D5,"*赤*"),
VLOOKUP("*赤*",#REF!,7,FALSE),
VLOOKUP('盛付札（関数）'!D5,#REF!,7,FALSE))),0))),""),"")),"")</f>
        <v/>
      </c>
      <c r="G5" s="53" t="str">
        <f ca="1">IF(F5&lt;&gt;"",IF(VALUE(IF(O5&lt;&gt;"",H5-O5,H5))&gt;VALUE(IF(COUNTIF('盛付札（関数）'!D5,"*キャラ*"),
VLOOKUP("*キャラ*",#REF!,7,FALSE),
IF(COUNTIF('盛付札（関数）'!D5,"*赤*"),
VLOOKUP("*赤*",#REF!,7,FALSE),
VLOOKUP('盛付札（関数）'!D5,#REF!,7,FALSE)))*F5),
"+"&amp;IF(O5&lt;&gt;"",H5-O5,H5)-IF(COUNTIF('盛付札（関数）'!D5,"*キャラ*"),
VLOOKUP("*キャラ*",#REF!,7,FALSE),
IF(COUNTIF('盛付札（関数）'!D5,"*赤*"),
VLOOKUP("*赤*",#REF!,7,FALSE),
VLOOKUP('盛付札（関数）'!D5,#REF!,7,FALSE)))*F5,
IF(O5&lt;&gt;"",H5-O5,H5)-IF(COUNTIF('盛付札（関数）'!D5,"*キャラ*"),
VLOOKUP("*キャラ*",#REF!,7,FALSE),
IF(COUNTIF('盛付札（関数）'!D5,"*赤*"),
VLOOKUP("*赤*",#REF!,7,FALSE),
VLOOKUP('盛付札（関数）'!D5,#REF!,7,FALSE)))*F5),"")</f>
        <v/>
      </c>
      <c r="H5" s="195" t="str" cm="1">
        <f t="array" aca="1" ref="H5" ca="1">IF(C5&lt;&gt;"",
IF(INDIRECT("数出表_Excel!"&amp;LEFT(クライアント抽出!V5)&amp;A5-1&amp;"")&lt;&gt;"",INDIRECT("数出表_Excel!"&amp;LEFT(クライアント抽出!V5)&amp;A5-1&amp;""),0),"")</f>
        <v/>
      </c>
      <c r="I5" s="52" t="str" cm="1">
        <f t="array" aca="1" ref="I5" ca="1">IF(C5&lt;&gt;"",
IF(INDIRECT("数出表_Excel!"&amp;LEFT(クライアント抽出!V5)&amp;A5&amp;"")&lt;&gt;"",INDIRECT("数出表_Excel!"&amp;LEFT(クライアント抽出!V5)&amp;A5&amp;""),0),"")</f>
        <v/>
      </c>
      <c r="J5" s="52" t="str">
        <f ca="1">IF(C5&lt;&gt;"",
VLOOKUP(
IF(COUNTIF(D5,"*学食*"),"キャラ弁（学食）",
IF(COUNTIF(D5,"*赤*"),"赤",
IF(COUNTIF(D5,"*キャラ弁当*"),"キャラ弁当",D5))),注文弁当の抽出!$E$1:$F$15,2,FALSE),"")</f>
        <v/>
      </c>
      <c r="K5" s="52" t="str">
        <f t="shared" ca="1" si="0"/>
        <v/>
      </c>
      <c r="L5" s="52" t="str">
        <f t="shared" ca="1" si="1"/>
        <v/>
      </c>
      <c r="M5" s="52" cm="1">
        <f t="array" aca="1" ref="M5" ca="1">IF(C5&lt;&gt;"",
IF(IFERROR(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0)&lt;&gt;0,
IF(IFERROR(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"")="",
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""),
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0)),0),0)</f>
        <v>0</v>
      </c>
      <c r="N5" s="52" t="e">
        <f t="array" aca="1" ref="N5" ca="1">IF(B5="博多",
IF(C5&lt;&gt;"",
IF(IFERROR(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0)&lt;&gt;0,
IF(IFERROR(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0)="",
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0),
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0)),0),""),0)</f>
        <v>#N/A</v>
      </c>
      <c r="O5" s="52" t="e">
        <f ca="1">M5+N5</f>
        <v>#N/A</v>
      </c>
      <c r="P5" s="52">
        <f t="shared" ca="1" si="4"/>
        <v>0</v>
      </c>
      <c r="Q5" s="52" t="b">
        <f t="shared" ca="1" si="5"/>
        <v>0</v>
      </c>
      <c r="R5" s="51" cm="1">
        <f t="array" aca="1" ref="R5" ca="1">IFERROR(SMALL(IF(P$1:P$300&lt;&gt;0,P$1:P$300),ROW(A5)),"")</f>
        <v>255</v>
      </c>
      <c r="S5" s="51" t="str">
        <f t="array" aca="1" ref="S5" ca="1">IF($R5&lt;&gt;"",
INDIRECT(""&amp;IF(COLUMN(C7)&lt;=26,CHAR(COLUMN(C7)+64),CHAR(INT((COLUMN(C7)-1)/26)+64)&amp;CHAR(MOD(COLUMN(C7)-1,26)+65))&amp;$R5&amp;""),"")</f>
        <v>社食</v>
      </c>
      <c r="T5" s="51" t="str" cm="1">
        <f t="array" aca="1" ref="T5" ca="1">IF(IF($R5&lt;&gt;"",
INDIRECT(""&amp;IF(COLUMN(D25)&lt;=26,CHAR(COLUMN(D25)+64),CHAR(INT((COLUMN(D25)-1)/26)+64)&amp;CHAR(MOD(COLUMN(D25)-1,26)+65))&amp;$R5&amp;""),"")=0,"",
IF($R5&lt;&gt;"",
INDIRECT(""&amp;IF(COLUMN(D25)&lt;=26,CHAR(COLUMN(D25)+64),CHAR(INT((COLUMN(D25)-1)/26)+64)&amp;CHAR(MOD(COLUMN(D25)-1,26)+65))&amp;$R5&amp;""),""))</f>
        <v/>
      </c>
      <c r="U5" s="51"/>
      <c r="V5" s="51" t="str">
        <f t="array" aca="1" ref="V5" ca="1">IF($R5&lt;&gt;"",
IF(U5="",
IF(INDIRECT("EY"&amp;$R5&amp;"")&lt;&gt;"",
INDIRECT("EY"&amp;$R5&amp;"")&amp;"箱"
&amp;INDIRECT("EZ"&amp;$R5&amp;""),""),""),"")</f>
        <v/>
      </c>
      <c r="W5" s="51" t="e">
        <f t="array" aca="1" ref="W5" ca="1">IF($R5&lt;&gt;"",
INDIRECT(""&amp;IF(COLUMN(H7)&lt;=26,CHAR(COLUMN(H7)+64),CHAR(INT((COLUMN(H7)-1)/26)+64)&amp;CHAR(MOD(COLUMN(H7)-1,26)+65))&amp;$R5&amp;""),"")</f>
        <v>#N/A</v>
      </c>
      <c r="X5" s="51" t="str">
        <f t="array" aca="1" ref="X5" ca="1">IF($R5&lt;&gt;"",
INDIRECT(""&amp;IF(COLUMN(I7)&lt;=26,CHAR(COLUMN(I7)+64),CHAR(INT((COLUMN(I7)-1)/26)+64)&amp;CHAR(MOD(COLUMN(I7)-1,26)+65))&amp;$R5&amp;""),"")</f>
        <v/>
      </c>
      <c r="Y5" s="51" t="e">
        <f t="array" aca="1" ref="Y5" ca="1">IF($R5&lt;&gt;"",
INDIRECT(""&amp;IF(COLUMN(J7)&lt;=26,CHAR(COLUMN(J7)+64),CHAR(INT((COLUMN(J7)-1)/26)+64)&amp;CHAR(MOD(COLUMN(J7)-1,26)+65))&amp;$R5&amp;""),"")</f>
        <v>#REF!</v>
      </c>
      <c r="Z5" s="51">
        <f t="array" aca="1" ref="Z5" ca="1">IF($R5&lt;&gt;"",
INDIRECT(""&amp;IF(COLUMN(K7)&lt;=26,CHAR(COLUMN(K7)+64),CHAR(INT((COLUMN(K7)-1)/26)+64)&amp;CHAR(MOD(COLUMN(K7)-1,26)+65))&amp;$R5&amp;""),"")</f>
        <v>0</v>
      </c>
      <c r="AA5" s="51" t="str">
        <f t="array" aca="1" ref="AA5" ca="1">IF($R5&lt;&gt;"",
INDIRECT(""&amp;IF(COLUMN(L7)&lt;=26,CHAR(COLUMN(L7)+64),CHAR(INT((COLUMN(L7)-1)/26)+64)&amp;CHAR(MOD(COLUMN(L7)-1,26)+65))&amp;$R5&amp;""),"")</f>
        <v/>
      </c>
      <c r="AB5" s="51">
        <f t="array" aca="1" ref="AB5" ca="1">IF($R5&lt;&gt;"",
INDIRECT(""&amp;IF(COLUMN(O7)&lt;=26,CHAR(COLUMN(O7)+64),CHAR(INT((COLUMN(O7)-1)/26)+64)&amp;CHAR(MOD(COLUMN(O7)-1,26)+65))&amp;$R5&amp;""),"")</f>
        <v>0</v>
      </c>
    </row>
    <row r="6" spans="1:28" s="51" customFormat="1" ht="22.2" customHeight="1">
      <c r="A6" s="197">
        <f t="shared" si="3"/>
        <v>17</v>
      </c>
      <c r="B6" s="52" t="e">
        <f t="array" aca="1" ref="B6" ca="1">IF(AND(LEFT(C6,2)="博多",
LEFT(INDIRECT("数出表_Excel!A"&amp;MATCH(C6,数出表_Excel!$A:$A,0)-1),2)
=LEFT(INDIRECT("数出表_Excel!A"&amp;MATCH(C6,数出表_Excel!$A:$A,0)+1),2)),"博多",
IF(AND(LEFT(C6,3)="奈良屋",
LEFT(INDIRECT("数出表_Excel!A"&amp;MATCH(C6,数出表_Excel!$A:$A,0)-1),2)
=LEFT(INDIRECT("数出表_Excel!A"&amp;MATCH(C6,数出表_Excel!$A:$A,0)+1),2)),"奈良屋",""))</f>
        <v>#N/A</v>
      </c>
      <c r="C6" s="52" t="str" cm="1">
        <f t="array" aca="1" ref="C6" ca="1">IF(IF(クライアント抽出!A6="",0,LEN(クライアント抽出!V6)-LEN(SUBSTITUTE(クライアント抽出!V6,",","")))&gt;=1,INDIRECT("数出表_Excel!A"&amp;A6&amp;""),"")</f>
        <v/>
      </c>
      <c r="D6" s="52" t="str" cm="1">
        <f t="array" aca="1" ref="D6" ca="1">IF(C6&lt;&gt;"",INDIRECT("クライアント抽出!"&amp;E6&amp;MATCH(C6,クライアント抽出!A:A,0)&amp;""),"")</f>
        <v/>
      </c>
      <c r="E6" s="52" t="str">
        <f ca="1"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t="array" aca="1" ref="F6" ca="1">IF(D6&lt;&gt;"",
IF(COUNTIF(C6,"*雙葉*"),
IF(ROUND(
IF(O6&lt;&gt;"",(H6-O6),H6)
/IF(COUNTIF('盛付札（関数）'!D6,"*キャラ*"),
VLOOKUP("*キャラ*",#REF!,7,FALSE),
IF(COUNTIF('盛付札（関数）'!D6,"*赤*"),
VLOOKUP("*赤*",#REF!,7,FALSE),
VLOOKUP('盛付札（関数）'!D6,#REF!,7,FALSE))),0)&lt;=0,1,
ROUND(
IF(O6&lt;&gt;"",(H6-O6),H6)
/IF(COUNTIF('盛付札（関数）'!D6,"*キャラ*"),
VLOOKUP("*キャラ*",#REF!,7,FALSE),
IF(COUNTIF('盛付札（関数）'!D6,"*赤*"),
VLOOKUP("*赤*",#REF!,7,FALSE),
VLOOKUP('盛付札（関数）'!D6,#REF!,7,FALSE))),0)),
IF(MATCH(TRUE,
ISNUMBER(--INDIRECT("数出表_Excel!B"&amp;MATCH(C6,数出表_Excel!$A:$A,0)-1&amp;":U"&amp;MATCH(C6,数出表_Excel!$A:$A,0)-1&amp;"")),0)&gt;10,
IF(D6&lt;&gt;"",
IF(IF(COUNTIF('盛付札（関数）'!D6,"*キャラ*"),
VLOOKUP("*キャラ*",#REF!,7,FALSE),
IF(COUNTIF('盛付札（関数）'!D6,"*赤*"),
VLOOKUP("*赤*",#REF!,7,FALSE),
VLOOKUP('盛付札（関数）'!D6,#REF!,7,FALSE)))=0,"",
IF(ROUND(
IF(O6&lt;&gt;"",(H6-O6),H6)
/IF(COUNTIF('盛付札（関数）'!D6,"*キャラ*"),
VLOOKUP("*キャラ*",#REF!,7,FALSE),
IF(COUNTIF('盛付札（関数）'!D6,"*赤*"),
VLOOKUP("*赤*",#REF!,7,FALSE),
VLOOKUP('盛付札（関数）'!D6,#REF!,7,FALSE))),0)&lt;=0,1,
ROUND(
IF(O6&lt;&gt;"",(H6-O6),H6)
/IF(COUNTIF('盛付札（関数）'!D6,"*キャラ*"),
VLOOKUP("*キャラ*",#REF!,7,FALSE),
IF(COUNTIF('盛付札（関数）'!D6,"*赤*"),
VLOOKUP("*赤*",#REF!,7,FALSE),
VLOOKUP('盛付札（関数）'!D6,#REF!,7,FALSE))),0))),""),"")),"")</f>
        <v/>
      </c>
      <c r="G6" s="53" t="str">
        <f ca="1">IF(F6&lt;&gt;"",IF(VALUE(IF(O6&lt;&gt;"",H6-O6,H6))&gt;VALUE(IF(COUNTIF('盛付札（関数）'!D6,"*キャラ*"),
VLOOKUP("*キャラ*",#REF!,7,FALSE),
IF(COUNTIF('盛付札（関数）'!D6,"*赤*"),
VLOOKUP("*赤*",#REF!,7,FALSE),
VLOOKUP('盛付札（関数）'!D6,#REF!,7,FALSE)))*F6),
"+"&amp;IF(O6&lt;&gt;"",H6-O6,H6)-IF(COUNTIF('盛付札（関数）'!D6,"*キャラ*"),
VLOOKUP("*キャラ*",#REF!,7,FALSE),
IF(COUNTIF('盛付札（関数）'!D6,"*赤*"),
VLOOKUP("*赤*",#REF!,7,FALSE),
VLOOKUP('盛付札（関数）'!D6,#REF!,7,FALSE)))*F6,
IF(O6&lt;&gt;"",H6-O6,H6)-IF(COUNTIF('盛付札（関数）'!D6,"*キャラ*"),
VLOOKUP("*キャラ*",#REF!,7,FALSE),
IF(COUNTIF('盛付札（関数）'!D6,"*赤*"),
VLOOKUP("*赤*",#REF!,7,FALSE),
VLOOKUP('盛付札（関数）'!D6,#REF!,7,FALSE)))*F6),"")</f>
        <v/>
      </c>
      <c r="H6" s="195" t="str" cm="1">
        <f t="array" aca="1" ref="H6" ca="1">IF(C6&lt;&gt;"",
IF(INDIRECT("数出表_Excel!"&amp;LEFT(クライアント抽出!V6)&amp;A6-1&amp;"")&lt;&gt;"",INDIRECT("数出表_Excel!"&amp;LEFT(クライアント抽出!V6)&amp;A6-1&amp;""),0),"")</f>
        <v/>
      </c>
      <c r="I6" s="52" t="str" cm="1">
        <f t="array" aca="1" ref="I6" ca="1">IF(C6&lt;&gt;"",
IF(INDIRECT("数出表_Excel!"&amp;LEFT(クライアント抽出!V6)&amp;A6&amp;"")&lt;&gt;"",INDIRECT("数出表_Excel!"&amp;LEFT(クライアント抽出!V6)&amp;A6&amp;""),0),"")</f>
        <v/>
      </c>
      <c r="J6" s="52" t="str">
        <f ca="1">IF(C6&lt;&gt;"",
VLOOKUP(
IF(COUNTIF(D6,"*学食*"),"キャラ弁（学食）",
IF(COUNTIF(D6,"*赤*"),"赤",
IF(COUNTIF(D6,"*キャラ弁当*"),"キャラ弁当",D6))),注文弁当の抽出!$E$1:$F$15,2,FALSE),"")</f>
        <v/>
      </c>
      <c r="K6" s="52" t="str">
        <f t="shared" ca="1" si="0"/>
        <v/>
      </c>
      <c r="L6" s="52" t="str">
        <f t="shared" ca="1" si="1"/>
        <v/>
      </c>
      <c r="M6" s="52" cm="1">
        <f t="array" aca="1" ref="M6" ca="1">IF(C6&lt;&gt;"",
IF(IFERROR(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0)&lt;&gt;0,
IF(IFERROR(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"")="",
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""),
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0)),0),0)</f>
        <v>0</v>
      </c>
      <c r="N6" s="52" t="e">
        <f t="array" aca="1" ref="N6" ca="1">IF(B6="博多",
IF(C6&lt;&gt;"",
IF(IFERROR(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0)&lt;&gt;0,
IF(IFERROR(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0)="",
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0),
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0)),0),""),0)</f>
        <v>#N/A</v>
      </c>
      <c r="O6" s="52" t="e">
        <f t="shared" ca="1" si="2"/>
        <v>#N/A</v>
      </c>
      <c r="P6" s="52">
        <f t="shared" ca="1" si="4"/>
        <v>0</v>
      </c>
      <c r="Q6" s="52" t="b">
        <f t="shared" ca="1" si="5"/>
        <v>0</v>
      </c>
      <c r="R6" s="51" cm="1">
        <f t="array" aca="1" ref="R6" ca="1">IFERROR(SMALL(IF(P$1:P$300&lt;&gt;0,P$1:P$300),ROW(A6)),"")</f>
        <v>256</v>
      </c>
      <c r="S6" s="51" t="str">
        <f t="array" aca="1" ref="S6" ca="1">IF($R6&lt;&gt;"",
INDIRECT(""&amp;IF(COLUMN(C8)&lt;=26,CHAR(COLUMN(C8)+64),CHAR(INT((COLUMN(C8)-1)/26)+64)&amp;CHAR(MOD(COLUMN(C8)-1,26)+65))&amp;$R6&amp;""),"")</f>
        <v>社食</v>
      </c>
      <c r="T6" s="51" t="str" cm="1">
        <f t="array" aca="1" ref="T6" ca="1">IF(IF($R6&lt;&gt;"",
INDIRECT(""&amp;IF(COLUMN(D26)&lt;=26,CHAR(COLUMN(D26)+64),CHAR(INT((COLUMN(D26)-1)/26)+64)&amp;CHAR(MOD(COLUMN(D26)-1,26)+65))&amp;$R6&amp;""),"")=0,"",
IF($R6&lt;&gt;"",
INDIRECT(""&amp;IF(COLUMN(D26)&lt;=26,CHAR(COLUMN(D26)+64),CHAR(INT((COLUMN(D26)-1)/26)+64)&amp;CHAR(MOD(COLUMN(D26)-1,26)+65))&amp;$R6&amp;""),""))</f>
        <v/>
      </c>
      <c r="V6" s="51" t="str">
        <f t="array" aca="1" ref="V6" ca="1">IF($R6&lt;&gt;"",
IF(U6="",
IF(INDIRECT("EY"&amp;$R6&amp;"")&lt;&gt;"",
INDIRECT("EY"&amp;$R6&amp;"")&amp;"箱"
&amp;INDIRECT("EZ"&amp;$R6&amp;""),""),""),"")</f>
        <v/>
      </c>
      <c r="W6" s="51" t="str">
        <f t="array" aca="1" ref="W6" ca="1">IF($R6&lt;&gt;"",
INDIRECT(""&amp;IF(COLUMN(H8)&lt;=26,CHAR(COLUMN(H8)+64),CHAR(INT((COLUMN(H8)-1)/26)+64)&amp;CHAR(MOD(COLUMN(H8)-1,26)+65))&amp;$R6&amp;""),"")</f>
        <v/>
      </c>
      <c r="X6" s="51" t="e">
        <f t="array" aca="1" ref="X6" ca="1">IF($R6&lt;&gt;"",
INDIRECT(""&amp;IF(COLUMN(I8)&lt;=26,CHAR(COLUMN(I8)+64),CHAR(INT((COLUMN(I8)-1)/26)+64)&amp;CHAR(MOD(COLUMN(I8)-1,26)+65))&amp;$R6&amp;""),"")</f>
        <v>#N/A</v>
      </c>
      <c r="Y6" s="51" t="e">
        <f t="array" aca="1" ref="Y6" ca="1">IF($R6&lt;&gt;"",
INDIRECT(""&amp;IF(COLUMN(J8)&lt;=26,CHAR(COLUMN(J8)+64),CHAR(INT((COLUMN(J8)-1)/26)+64)&amp;CHAR(MOD(COLUMN(J8)-1,26)+65))&amp;$R6&amp;""),"")</f>
        <v>#REF!</v>
      </c>
      <c r="Z6" s="51">
        <f t="array" aca="1" ref="Z6" ca="1">IF($R6&lt;&gt;"",
INDIRECT(""&amp;IF(COLUMN(K8)&lt;=26,CHAR(COLUMN(K8)+64),CHAR(INT((COLUMN(K8)-1)/26)+64)&amp;CHAR(MOD(COLUMN(K8)-1,26)+65))&amp;$R6&amp;""),"")</f>
        <v>0</v>
      </c>
      <c r="AA6" s="51" t="str">
        <f t="array" aca="1" ref="AA6" ca="1">IF($R6&lt;&gt;"",
INDIRECT(""&amp;IF(COLUMN(L8)&lt;=26,CHAR(COLUMN(L8)+64),CHAR(INT((COLUMN(L8)-1)/26)+64)&amp;CHAR(MOD(COLUMN(L8)-1,26)+65))&amp;$R6&amp;""),"")</f>
        <v/>
      </c>
      <c r="AB6" s="51">
        <f t="array" aca="1" ref="AB6" ca="1">IF($R6&lt;&gt;"",
INDIRECT(""&amp;IF(COLUMN(O8)&lt;=26,CHAR(COLUMN(O8)+64),CHAR(INT((COLUMN(O8)-1)/26)+64)&amp;CHAR(MOD(COLUMN(O8)-1,26)+65))&amp;$R6&amp;""),"")</f>
        <v>0</v>
      </c>
    </row>
    <row r="7" spans="1:28" ht="21" customHeight="1">
      <c r="A7" s="197">
        <f t="shared" si="3"/>
        <v>19</v>
      </c>
      <c r="B7" s="52" t="e">
        <f t="array" aca="1" ref="B7" ca="1">IF(AND(LEFT(C7,2)="博多",
LEFT(INDIRECT("数出表_Excel!A"&amp;MATCH(C7,数出表_Excel!$A:$A,0)-1),2)
=LEFT(INDIRECT("数出表_Excel!A"&amp;MATCH(C7,数出表_Excel!$A:$A,0)+1),2)),"博多",
IF(AND(LEFT(C7,3)="奈良屋",
LEFT(INDIRECT("数出表_Excel!A"&amp;MATCH(C7,数出表_Excel!$A:$A,0)-1),2)
=LEFT(INDIRECT("数出表_Excel!A"&amp;MATCH(C7,数出表_Excel!$A:$A,0)+1),2)),"奈良屋",""))</f>
        <v>#N/A</v>
      </c>
      <c r="C7" s="52" t="str" cm="1">
        <f t="array" aca="1" ref="C7" ca="1">IF(IF(クライアント抽出!A7="",0,LEN(クライアント抽出!V7)-LEN(SUBSTITUTE(クライアント抽出!V7,",","")))&gt;=1,INDIRECT("数出表_Excel!A"&amp;A7&amp;""),"")</f>
        <v/>
      </c>
      <c r="D7" s="52" t="str" cm="1">
        <f t="array" aca="1" ref="D7" ca="1">IF(C7&lt;&gt;"",INDIRECT("クライアント抽出!"&amp;E7&amp;MATCH(C7,クライアント抽出!A:A,0)&amp;""),"")</f>
        <v/>
      </c>
      <c r="E7" s="52" t="str">
        <f ca="1"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t="array" aca="1" ref="F7" ca="1">IF(D7&lt;&gt;"",
IF(COUNTIF(C7,"*雙葉*"),
IF(ROUND(
IF(O7&lt;&gt;"",(H7-O7),H7)
/IF(COUNTIF('盛付札（関数）'!D7,"*キャラ*"),
VLOOKUP("*キャラ*",#REF!,7,FALSE),
IF(COUNTIF('盛付札（関数）'!D7,"*赤*"),
VLOOKUP("*赤*",#REF!,7,FALSE),
VLOOKUP('盛付札（関数）'!D7,#REF!,7,FALSE))),0)&lt;=0,1,
ROUND(
IF(O7&lt;&gt;"",(H7-O7),H7)
/IF(COUNTIF('盛付札（関数）'!D7,"*キャラ*"),
VLOOKUP("*キャラ*",#REF!,7,FALSE),
IF(COUNTIF('盛付札（関数）'!D7,"*赤*"),
VLOOKUP("*赤*",#REF!,7,FALSE),
VLOOKUP('盛付札（関数）'!D7,#REF!,7,FALSE))),0)),
IF(MATCH(TRUE,
ISNUMBER(--INDIRECT("数出表_Excel!B"&amp;MATCH(C7,数出表_Excel!$A:$A,0)-1&amp;":U"&amp;MATCH(C7,数出表_Excel!$A:$A,0)-1&amp;"")),0)&gt;10,
IF(D7&lt;&gt;"",
IF(IF(COUNTIF('盛付札（関数）'!D7,"*キャラ*"),
VLOOKUP("*キャラ*",#REF!,7,FALSE),
IF(COUNTIF('盛付札（関数）'!D7,"*赤*"),
VLOOKUP("*赤*",#REF!,7,FALSE),
VLOOKUP('盛付札（関数）'!D7,#REF!,7,FALSE)))=0,"",
IF(ROUND(
IF(O7&lt;&gt;"",(H7-O7),H7)
/IF(COUNTIF('盛付札（関数）'!D7,"*キャラ*"),
VLOOKUP("*キャラ*",#REF!,7,FALSE),
IF(COUNTIF('盛付札（関数）'!D7,"*赤*"),
VLOOKUP("*赤*",#REF!,7,FALSE),
VLOOKUP('盛付札（関数）'!D7,#REF!,7,FALSE))),0)&lt;=0,1,
ROUND(
IF(O7&lt;&gt;"",(H7-O7),H7)
/IF(COUNTIF('盛付札（関数）'!D7,"*キャラ*"),
VLOOKUP("*キャラ*",#REF!,7,FALSE),
IF(COUNTIF('盛付札（関数）'!D7,"*赤*"),
VLOOKUP("*赤*",#REF!,7,FALSE),
VLOOKUP('盛付札（関数）'!D7,#REF!,7,FALSE))),0))),""),"")),"")</f>
        <v/>
      </c>
      <c r="G7" s="53" t="str">
        <f ca="1">IF(F7&lt;&gt;"",IF(VALUE(IF(O7&lt;&gt;"",H7-O7,H7))&gt;VALUE(IF(COUNTIF('盛付札（関数）'!D7,"*キャラ*"),
VLOOKUP("*キャラ*",#REF!,7,FALSE),
IF(COUNTIF('盛付札（関数）'!D7,"*赤*"),
VLOOKUP("*赤*",#REF!,7,FALSE),
VLOOKUP('盛付札（関数）'!D7,#REF!,7,FALSE)))*F7),
"+"&amp;IF(O7&lt;&gt;"",H7-O7,H7)-IF(COUNTIF('盛付札（関数）'!D7,"*キャラ*"),
VLOOKUP("*キャラ*",#REF!,7,FALSE),
IF(COUNTIF('盛付札（関数）'!D7,"*赤*"),
VLOOKUP("*赤*",#REF!,7,FALSE),
VLOOKUP('盛付札（関数）'!D7,#REF!,7,FALSE)))*F7,
IF(O7&lt;&gt;"",H7-O7,H7)-IF(COUNTIF('盛付札（関数）'!D7,"*キャラ*"),
VLOOKUP("*キャラ*",#REF!,7,FALSE),
IF(COUNTIF('盛付札（関数）'!D7,"*赤*"),
VLOOKUP("*赤*",#REF!,7,FALSE),
VLOOKUP('盛付札（関数）'!D7,#REF!,7,FALSE)))*F7),"")</f>
        <v/>
      </c>
      <c r="H7" s="195" t="str" cm="1">
        <f t="array" aca="1" ref="H7" ca="1">IF(C7&lt;&gt;"",
IF(INDIRECT("数出表_Excel!"&amp;LEFT(クライアント抽出!V7)&amp;A7-1&amp;"")&lt;&gt;"",INDIRECT("数出表_Excel!"&amp;LEFT(クライアント抽出!V7)&amp;A7-1&amp;""),0),"")</f>
        <v/>
      </c>
      <c r="I7" s="52" t="str" cm="1">
        <f t="array" aca="1" ref="I7" ca="1">IF(C7&lt;&gt;"",
IF(INDIRECT("数出表_Excel!"&amp;LEFT(クライアント抽出!V7)&amp;A7&amp;"")&lt;&gt;"",INDIRECT("数出表_Excel!"&amp;LEFT(クライアント抽出!V7)&amp;A7&amp;""),0),"")</f>
        <v/>
      </c>
      <c r="J7" s="52" t="str">
        <f ca="1">IF(C7&lt;&gt;"",
VLOOKUP(
IF(COUNTIF(D7,"*学食*"),"キャラ弁（学食）",
IF(COUNTIF(D7,"*赤*"),"赤",
IF(COUNTIF(D7,"*キャラ弁当*"),"キャラ弁当",D7))),注文弁当の抽出!$E$1:$F$15,2,FALSE),"")</f>
        <v/>
      </c>
      <c r="K7" s="52" t="str">
        <f t="shared" ref="K7:K31" ca="1" si="6">IF(C7&lt;&gt;"",
IFERROR(INT(H7/J7),""),"")</f>
        <v/>
      </c>
      <c r="L7" s="52" t="str">
        <f t="shared" ref="L7:L31" ca="1" si="7">IFERROR(MOD(H7,J7),"")</f>
        <v/>
      </c>
      <c r="M7" s="52" cm="1">
        <f t="array" aca="1" ref="M7" ca="1">IF(C7&lt;&gt;"",
IF(IFERROR(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0)&lt;&gt;0,
IF(IFERROR(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"")="",
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""),
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0)),0),0)</f>
        <v>0</v>
      </c>
      <c r="N7" s="52" t="e">
        <f t="array" aca="1" ref="N7" ca="1">IF(B7="博多",
IF(C7&lt;&gt;"",
IF(IFERROR(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0)&lt;&gt;0,
IF(IFERROR(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0)="",
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0),
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0)),0),""),0)</f>
        <v>#N/A</v>
      </c>
      <c r="O7" s="52" t="e">
        <f t="shared" ref="O7:O31" ca="1" si="8">M7+N7</f>
        <v>#N/A</v>
      </c>
      <c r="P7" s="52">
        <f t="shared" ca="1" si="4"/>
        <v>0</v>
      </c>
      <c r="Q7" s="52" t="b">
        <f t="shared" ca="1" si="5"/>
        <v>0</v>
      </c>
      <c r="R7" s="51" t="str" cm="1">
        <f t="array" aca="1" ref="R7" ca="1">IFERROR(SMALL(IF(P$1:P$300&lt;&gt;0,P$1:P$300),ROW(A7)),"")</f>
        <v/>
      </c>
      <c r="S7" s="51" t="str">
        <f t="array" aca="1" ref="S7" ca="1">IF($R7&lt;&gt;"",
INDIRECT(""&amp;IF(COLUMN(C10)&lt;=26,CHAR(COLUMN(C10)+64),CHAR(INT((COLUMN(C10)-1)/26)+64)&amp;CHAR(MOD(COLUMN(C10)-1,26)+65))&amp;$R7&amp;""),"")</f>
        <v/>
      </c>
      <c r="T7" s="51" t="str" cm="1">
        <f t="array" aca="1" ref="T7" ca="1">IF(IF($R7&lt;&gt;"",
INDIRECT(""&amp;IF(COLUMN(D27)&lt;=26,CHAR(COLUMN(D27)+64),CHAR(INT((COLUMN(D27)-1)/26)+64)&amp;CHAR(MOD(COLUMN(D27)-1,26)+65))&amp;$R7&amp;""),"")=0,"",
IF($R7&lt;&gt;"",
INDIRECT(""&amp;IF(COLUMN(D27)&lt;=26,CHAR(COLUMN(D27)+64),CHAR(INT((COLUMN(D27)-1)/26)+64)&amp;CHAR(MOD(COLUMN(D27)-1,26)+65))&amp;$R7&amp;""),""))</f>
        <v/>
      </c>
      <c r="U7" s="51"/>
      <c r="V7" s="51" t="str">
        <f t="array" aca="1" ref="V7" ca="1">IF($R7&lt;&gt;"",
IF(U7="",
IF(INDIRECT("EY"&amp;$R7&amp;"")&lt;&gt;"",
INDIRECT("EY"&amp;$R7&amp;"")&amp;"箱"
&amp;INDIRECT("EZ"&amp;$R7&amp;""),""),""),"")</f>
        <v/>
      </c>
      <c r="W7" s="51" t="str">
        <f t="array" aca="1" ref="W7" ca="1">IF($R7&lt;&gt;"",
INDIRECT(""&amp;IF(COLUMN(H10)&lt;=26,CHAR(COLUMN(H10)+64),CHAR(INT((COLUMN(H10)-1)/26)+64)&amp;CHAR(MOD(COLUMN(H10)-1,26)+65))&amp;$R7&amp;""),"")</f>
        <v/>
      </c>
      <c r="X7" s="51" t="str">
        <f t="array" aca="1" ref="X7" ca="1">IF($R7&lt;&gt;"",
INDIRECT(""&amp;IF(COLUMN(I10)&lt;=26,CHAR(COLUMN(I10)+64),CHAR(INT((COLUMN(I10)-1)/26)+64)&amp;CHAR(MOD(COLUMN(I10)-1,26)+65))&amp;$R7&amp;""),"")</f>
        <v/>
      </c>
      <c r="Y7" s="51" t="str">
        <f t="array" aca="1" ref="Y7" ca="1">IF($R7&lt;&gt;"",
INDIRECT(""&amp;IF(COLUMN(J10)&lt;=26,CHAR(COLUMN(J10)+64),CHAR(INT((COLUMN(J10)-1)/26)+64)&amp;CHAR(MOD(COLUMN(J10)-1,26)+65))&amp;$R7&amp;""),"")</f>
        <v/>
      </c>
      <c r="Z7" s="51" t="str">
        <f t="array" aca="1" ref="Z7" ca="1">IF($R7&lt;&gt;"",
INDIRECT(""&amp;IF(COLUMN(K10)&lt;=26,CHAR(COLUMN(K10)+64),CHAR(INT((COLUMN(K10)-1)/26)+64)&amp;CHAR(MOD(COLUMN(K10)-1,26)+65))&amp;$R7&amp;""),"")</f>
        <v/>
      </c>
      <c r="AA7" s="51" t="str">
        <f t="array" aca="1" ref="AA7" ca="1">IF($R7&lt;&gt;"",
INDIRECT(""&amp;IF(COLUMN(L10)&lt;=26,CHAR(COLUMN(L10)+64),CHAR(INT((COLUMN(L10)-1)/26)+64)&amp;CHAR(MOD(COLUMN(L10)-1,26)+65))&amp;$R7&amp;""),"")</f>
        <v/>
      </c>
      <c r="AB7" s="51" t="str">
        <f t="array" aca="1" ref="AB7" ca="1">IF($R7&lt;&gt;"",
INDIRECT(""&amp;IF(COLUMN(O10)&lt;=26,CHAR(COLUMN(O10)+64),CHAR(INT((COLUMN(O10)-1)/26)+64)&amp;CHAR(MOD(COLUMN(O10)-1,26)+65))&amp;$R7&amp;""),"")</f>
        <v/>
      </c>
    </row>
    <row r="8" spans="1:28" s="51" customFormat="1" ht="18" customHeight="1">
      <c r="A8" s="197">
        <f t="shared" si="3"/>
        <v>21</v>
      </c>
      <c r="B8" s="52" t="e">
        <f t="array" aca="1" ref="B8" ca="1">IF(AND(LEFT(C8,2)="博多",
LEFT(INDIRECT("数出表_Excel!A"&amp;MATCH(C8,数出表_Excel!$A:$A,0)-1),2)
=LEFT(INDIRECT("数出表_Excel!A"&amp;MATCH(C8,数出表_Excel!$A:$A,0)+1),2)),"博多",
IF(AND(LEFT(C8,3)="奈良屋",
LEFT(INDIRECT("数出表_Excel!A"&amp;MATCH(C8,数出表_Excel!$A:$A,0)-1),2)
=LEFT(INDIRECT("数出表_Excel!A"&amp;MATCH(C8,数出表_Excel!$A:$A,0)+1),2)),"奈良屋",""))</f>
        <v>#N/A</v>
      </c>
      <c r="C8" s="52" t="str" cm="1">
        <f t="array" aca="1" ref="C8" ca="1">IF(IF(クライアント抽出!A8="",0,LEN(クライアント抽出!V8)-LEN(SUBSTITUTE(クライアント抽出!V8,",","")))&gt;=1,INDIRECT("数出表_Excel!A"&amp;A8&amp;""),"")</f>
        <v/>
      </c>
      <c r="D8" s="52" t="str" cm="1">
        <f t="array" aca="1" ref="D8" ca="1">IF(C8&lt;&gt;"",INDIRECT("クライアント抽出!"&amp;E8&amp;MATCH(C8,クライアント抽出!A:A,0)&amp;""),"")</f>
        <v/>
      </c>
      <c r="E8" s="52" t="str">
        <f ca="1"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t="array" aca="1" ref="F8" ca="1">IF(D8&lt;&gt;"",
IF(COUNTIF(C8,"*雙葉*"),
IF(ROUND(
IF(O8&lt;&gt;"",(H8-O8),H8)
/IF(COUNTIF('盛付札（関数）'!D8,"*キャラ*"),
VLOOKUP("*キャラ*",#REF!,7,FALSE),
IF(COUNTIF('盛付札（関数）'!D8,"*赤*"),
VLOOKUP("*赤*",#REF!,7,FALSE),
VLOOKUP('盛付札（関数）'!D8,#REF!,7,FALSE))),0)&lt;=0,1,
ROUND(
IF(O8&lt;&gt;"",(H8-O8),H8)
/IF(COUNTIF('盛付札（関数）'!D8,"*キャラ*"),
VLOOKUP("*キャラ*",#REF!,7,FALSE),
IF(COUNTIF('盛付札（関数）'!D8,"*赤*"),
VLOOKUP("*赤*",#REF!,7,FALSE),
VLOOKUP('盛付札（関数）'!D8,#REF!,7,FALSE))),0)),
IF(MATCH(TRUE,
ISNUMBER(--INDIRECT("数出表_Excel!B"&amp;MATCH(C8,数出表_Excel!$A:$A,0)-1&amp;":U"&amp;MATCH(C8,数出表_Excel!$A:$A,0)-1&amp;"")),0)&gt;10,
IF(D8&lt;&gt;"",
IF(IF(COUNTIF('盛付札（関数）'!D8,"*キャラ*"),
VLOOKUP("*キャラ*",#REF!,7,FALSE),
IF(COUNTIF('盛付札（関数）'!D8,"*赤*"),
VLOOKUP("*赤*",#REF!,7,FALSE),
VLOOKUP('盛付札（関数）'!D8,#REF!,7,FALSE)))=0,"",
IF(ROUND(
IF(O8&lt;&gt;"",(H8-O8),H8)
/IF(COUNTIF('盛付札（関数）'!D8,"*キャラ*"),
VLOOKUP("*キャラ*",#REF!,7,FALSE),
IF(COUNTIF('盛付札（関数）'!D8,"*赤*"),
VLOOKUP("*赤*",#REF!,7,FALSE),
VLOOKUP('盛付札（関数）'!D8,#REF!,7,FALSE))),0)&lt;=0,1,
ROUND(
IF(O8&lt;&gt;"",(H8-O8),H8)
/IF(COUNTIF('盛付札（関数）'!D8,"*キャラ*"),
VLOOKUP("*キャラ*",#REF!,7,FALSE),
IF(COUNTIF('盛付札（関数）'!D8,"*赤*"),
VLOOKUP("*赤*",#REF!,7,FALSE),
VLOOKUP('盛付札（関数）'!D8,#REF!,7,FALSE))),0))),""),"")),"")</f>
        <v/>
      </c>
      <c r="G8" s="53" t="str">
        <f ca="1">IF(F8&lt;&gt;"",IF(VALUE(IF(O8&lt;&gt;"",H8-O8,H8))&gt;VALUE(IF(COUNTIF('盛付札（関数）'!D8,"*キャラ*"),
VLOOKUP("*キャラ*",#REF!,7,FALSE),
IF(COUNTIF('盛付札（関数）'!D8,"*赤*"),
VLOOKUP("*赤*",#REF!,7,FALSE),
VLOOKUP('盛付札（関数）'!D8,#REF!,7,FALSE)))*F8),
"+"&amp;IF(O8&lt;&gt;"",H8-O8,H8)-IF(COUNTIF('盛付札（関数）'!D8,"*キャラ*"),
VLOOKUP("*キャラ*",#REF!,7,FALSE),
IF(COUNTIF('盛付札（関数）'!D8,"*赤*"),
VLOOKUP("*赤*",#REF!,7,FALSE),
VLOOKUP('盛付札（関数）'!D8,#REF!,7,FALSE)))*F8,
IF(O8&lt;&gt;"",H8-O8,H8)-IF(COUNTIF('盛付札（関数）'!D8,"*キャラ*"),
VLOOKUP("*キャラ*",#REF!,7,FALSE),
IF(COUNTIF('盛付札（関数）'!D8,"*赤*"),
VLOOKUP("*赤*",#REF!,7,FALSE),
VLOOKUP('盛付札（関数）'!D8,#REF!,7,FALSE)))*F8),"")</f>
        <v/>
      </c>
      <c r="H8" s="195" t="str" cm="1">
        <f t="array" aca="1" ref="H8" ca="1">IF(C8&lt;&gt;"",
IF(INDIRECT("数出表_Excel!"&amp;LEFT(クライアント抽出!V8)&amp;A8-1&amp;"")&lt;&gt;"",INDIRECT("数出表_Excel!"&amp;LEFT(クライアント抽出!V8)&amp;A8-1&amp;""),0),"")</f>
        <v/>
      </c>
      <c r="I8" s="52" t="str" cm="1">
        <f t="array" aca="1" ref="I8" ca="1">IF(C8&lt;&gt;"",
IF(INDIRECT("数出表_Excel!"&amp;LEFT(クライアント抽出!V8)&amp;A8&amp;"")&lt;&gt;"",INDIRECT("数出表_Excel!"&amp;LEFT(クライアント抽出!V8)&amp;A8&amp;""),0),"")</f>
        <v/>
      </c>
      <c r="J8" s="52" t="str">
        <f ca="1">IF(C8&lt;&gt;"",
VLOOKUP(
IF(COUNTIF(D8,"*学食*"),"キャラ弁（学食）",
IF(COUNTIF(D8,"*赤*"),"赤",
IF(COUNTIF(D8,"*キャラ弁当*"),"キャラ弁当",D8))),注文弁当の抽出!$E$1:$F$15,2,FALSE),"")</f>
        <v/>
      </c>
      <c r="K8" s="52" t="str">
        <f t="shared" ca="1" si="6"/>
        <v/>
      </c>
      <c r="L8" s="52" t="str">
        <f t="shared" ca="1" si="7"/>
        <v/>
      </c>
      <c r="M8" s="52" cm="1">
        <f t="array" aca="1" ref="M8" ca="1">IF(C8&lt;&gt;"",
IF(IFERROR(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0)&lt;&gt;0,
IF(IFERROR(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"")="",
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""),
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0)),0),0)</f>
        <v>0</v>
      </c>
      <c r="N8" s="52" t="e">
        <f t="array" aca="1" ref="N8" ca="1">IF(B8="博多",
IF(C8&lt;&gt;"",
IF(IFERROR(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0)&lt;&gt;0,
IF(IFERROR(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0)="",
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0),
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0)),0),""),0)</f>
        <v>#N/A</v>
      </c>
      <c r="O8" s="52" t="e">
        <f t="shared" ca="1" si="8"/>
        <v>#N/A</v>
      </c>
      <c r="P8" s="52">
        <f t="shared" ca="1" si="4"/>
        <v>0</v>
      </c>
      <c r="Q8" s="52" t="b">
        <f t="shared" ca="1" si="5"/>
        <v>0</v>
      </c>
      <c r="R8" s="51" t="str" cm="1">
        <f t="array" aca="1" ref="R8" ca="1">IFERROR(SMALL(IF(P$1:P$300&lt;&gt;0,P$1:P$300),ROW(A8)),"")</f>
        <v/>
      </c>
      <c r="S8" s="51" t="str">
        <f t="array" aca="1" ref="S8" ca="1">IF($R8&lt;&gt;"",
INDIRECT(""&amp;IF(COLUMN(C11)&lt;=26,CHAR(COLUMN(C11)+64),CHAR(INT((COLUMN(C11)-1)/26)+64)&amp;CHAR(MOD(COLUMN(C11)-1,26)+65))&amp;$R8&amp;""),"")</f>
        <v/>
      </c>
      <c r="T8" s="51" t="str" cm="1">
        <f t="array" aca="1" ref="T8" ca="1">IF(IF($R8&lt;&gt;"",
INDIRECT(""&amp;IF(COLUMN(D28)&lt;=26,CHAR(COLUMN(D28)+64),CHAR(INT((COLUMN(D28)-1)/26)+64)&amp;CHAR(MOD(COLUMN(D28)-1,26)+65))&amp;$R8&amp;""),"")=0,"",
IF($R8&lt;&gt;"",
INDIRECT(""&amp;IF(COLUMN(D28)&lt;=26,CHAR(COLUMN(D28)+64),CHAR(INT((COLUMN(D28)-1)/26)+64)&amp;CHAR(MOD(COLUMN(D28)-1,26)+65))&amp;$R8&amp;""),""))</f>
        <v/>
      </c>
      <c r="V8" s="51" t="str">
        <f t="array" aca="1" ref="V8" ca="1">IF($R8&lt;&gt;"",
IF(U8="",
IF(INDIRECT("EY"&amp;$R8&amp;"")&lt;&gt;"",
INDIRECT("EY"&amp;$R8&amp;"")&amp;"箱"
&amp;INDIRECT("EZ"&amp;$R8&amp;""),""),""),"")</f>
        <v/>
      </c>
      <c r="W8" s="51" t="str">
        <f t="array" aca="1" ref="W8" ca="1">IF($R8&lt;&gt;"",
INDIRECT(""&amp;IF(COLUMN(H11)&lt;=26,CHAR(COLUMN(H11)+64),CHAR(INT((COLUMN(H11)-1)/26)+64)&amp;CHAR(MOD(COLUMN(H11)-1,26)+65))&amp;$R8&amp;""),"")</f>
        <v/>
      </c>
      <c r="X8" s="51" t="str">
        <f t="array" aca="1" ref="X8" ca="1">IF($R8&lt;&gt;"",
INDIRECT(""&amp;IF(COLUMN(I11)&lt;=26,CHAR(COLUMN(I11)+64),CHAR(INT((COLUMN(I11)-1)/26)+64)&amp;CHAR(MOD(COLUMN(I11)-1,26)+65))&amp;$R8&amp;""),"")</f>
        <v/>
      </c>
      <c r="Y8" s="51" t="str">
        <f t="array" aca="1" ref="Y8" ca="1">IF($R8&lt;&gt;"",
INDIRECT(""&amp;IF(COLUMN(J11)&lt;=26,CHAR(COLUMN(J11)+64),CHAR(INT((COLUMN(J11)-1)/26)+64)&amp;CHAR(MOD(COLUMN(J11)-1,26)+65))&amp;$R8&amp;""),"")</f>
        <v/>
      </c>
      <c r="Z8" s="51" t="str">
        <f t="array" aca="1" ref="Z8" ca="1">IF($R8&lt;&gt;"",
INDIRECT(""&amp;IF(COLUMN(K11)&lt;=26,CHAR(COLUMN(K11)+64),CHAR(INT((COLUMN(K11)-1)/26)+64)&amp;CHAR(MOD(COLUMN(K11)-1,26)+65))&amp;$R8&amp;""),"")</f>
        <v/>
      </c>
      <c r="AA8" s="51" t="str">
        <f t="array" aca="1" ref="AA8" ca="1">IF($R8&lt;&gt;"",
INDIRECT(""&amp;IF(COLUMN(L11)&lt;=26,CHAR(COLUMN(L11)+64),CHAR(INT((COLUMN(L11)-1)/26)+64)&amp;CHAR(MOD(COLUMN(L11)-1,26)+65))&amp;$R8&amp;""),"")</f>
        <v/>
      </c>
      <c r="AB8" s="51" t="str">
        <f t="array" aca="1" ref="AB8" ca="1">IF($R8&lt;&gt;"",
INDIRECT(""&amp;IF(COLUMN(O11)&lt;=26,CHAR(COLUMN(O11)+64),CHAR(INT((COLUMN(O11)-1)/26)+64)&amp;CHAR(MOD(COLUMN(O11)-1,26)+65))&amp;$R8&amp;""),"")</f>
        <v/>
      </c>
    </row>
    <row r="9" spans="1:28" s="51" customFormat="1" ht="18" customHeight="1">
      <c r="A9" s="197">
        <f t="shared" si="3"/>
        <v>23</v>
      </c>
      <c r="B9" s="52" t="e">
        <f t="array" aca="1" ref="B9" ca="1">IF(AND(LEFT(C9,2)="博多",
LEFT(INDIRECT("数出表_Excel!A"&amp;MATCH(C9,数出表_Excel!$A:$A,0)-1),2)
=LEFT(INDIRECT("数出表_Excel!A"&amp;MATCH(C9,数出表_Excel!$A:$A,0)+1),2)),"博多",
IF(AND(LEFT(C9,3)="奈良屋",
LEFT(INDIRECT("数出表_Excel!A"&amp;MATCH(C9,数出表_Excel!$A:$A,0)-1),2)
=LEFT(INDIRECT("数出表_Excel!A"&amp;MATCH(C9,数出表_Excel!$A:$A,0)+1),2)),"奈良屋",""))</f>
        <v>#N/A</v>
      </c>
      <c r="C9" s="52" t="str" cm="1">
        <f t="array" aca="1" ref="C9" ca="1">IF(IF(クライアント抽出!A9="",0,LEN(クライアント抽出!V9)-LEN(SUBSTITUTE(クライアント抽出!V9,",","")))&gt;=1,INDIRECT("数出表_Excel!A"&amp;A9&amp;""),"")</f>
        <v/>
      </c>
      <c r="D9" s="52" t="str" cm="1">
        <f t="array" aca="1" ref="D9" ca="1">IF(C9&lt;&gt;"",INDIRECT("クライアント抽出!"&amp;E9&amp;MATCH(C9,クライアント抽出!A:A,0)&amp;""),"")</f>
        <v/>
      </c>
      <c r="E9" s="52" t="str">
        <f ca="1"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t="array" aca="1" ref="F9" ca="1">IF(D9&lt;&gt;"",
IF(COUNTIF(C9,"*雙葉*"),
IF(ROUND(
IF(O9&lt;&gt;"",(H9-O9),H9)
/IF(COUNTIF('盛付札（関数）'!D9,"*キャラ*"),
VLOOKUP("*キャラ*",#REF!,7,FALSE),
IF(COUNTIF('盛付札（関数）'!D9,"*赤*"),
VLOOKUP("*赤*",#REF!,7,FALSE),
VLOOKUP('盛付札（関数）'!D9,#REF!,7,FALSE))),0)&lt;=0,1,
ROUND(
IF(O9&lt;&gt;"",(H9-O9),H9)
/IF(COUNTIF('盛付札（関数）'!D9,"*キャラ*"),
VLOOKUP("*キャラ*",#REF!,7,FALSE),
IF(COUNTIF('盛付札（関数）'!D9,"*赤*"),
VLOOKUP("*赤*",#REF!,7,FALSE),
VLOOKUP('盛付札（関数）'!D9,#REF!,7,FALSE))),0)),
IF(MATCH(TRUE,
ISNUMBER(--INDIRECT("数出表_Excel!B"&amp;MATCH(C9,数出表_Excel!$A:$A,0)-1&amp;":U"&amp;MATCH(C9,数出表_Excel!$A:$A,0)-1&amp;"")),0)&gt;10,
IF(D9&lt;&gt;"",
IF(IF(COUNTIF('盛付札（関数）'!D9,"*キャラ*"),
VLOOKUP("*キャラ*",#REF!,7,FALSE),
IF(COUNTIF('盛付札（関数）'!D9,"*赤*"),
VLOOKUP("*赤*",#REF!,7,FALSE),
VLOOKUP('盛付札（関数）'!D9,#REF!,7,FALSE)))=0,"",
IF(ROUND(
IF(O9&lt;&gt;"",(H9-O9),H9)
/IF(COUNTIF('盛付札（関数）'!D9,"*キャラ*"),
VLOOKUP("*キャラ*",#REF!,7,FALSE),
IF(COUNTIF('盛付札（関数）'!D9,"*赤*"),
VLOOKUP("*赤*",#REF!,7,FALSE),
VLOOKUP('盛付札（関数）'!D9,#REF!,7,FALSE))),0)&lt;=0,1,
ROUND(
IF(O9&lt;&gt;"",(H9-O9),H9)
/IF(COUNTIF('盛付札（関数）'!D9,"*キャラ*"),
VLOOKUP("*キャラ*",#REF!,7,FALSE),
IF(COUNTIF('盛付札（関数）'!D9,"*赤*"),
VLOOKUP("*赤*",#REF!,7,FALSE),
VLOOKUP('盛付札（関数）'!D9,#REF!,7,FALSE))),0))),""),"")),"")</f>
        <v/>
      </c>
      <c r="G9" s="53" t="str">
        <f ca="1">IF(F9&lt;&gt;"",IF(VALUE(IF(O9&lt;&gt;"",H9-O9,H9))&gt;VALUE(IF(COUNTIF('盛付札（関数）'!D9,"*キャラ*"),
VLOOKUP("*キャラ*",#REF!,7,FALSE),
IF(COUNTIF('盛付札（関数）'!D9,"*赤*"),
VLOOKUP("*赤*",#REF!,7,FALSE),
VLOOKUP('盛付札（関数）'!D9,#REF!,7,FALSE)))*F9),
"+"&amp;IF(O9&lt;&gt;"",H9-O9,H9)-IF(COUNTIF('盛付札（関数）'!D9,"*キャラ*"),
VLOOKUP("*キャラ*",#REF!,7,FALSE),
IF(COUNTIF('盛付札（関数）'!D9,"*赤*"),
VLOOKUP("*赤*",#REF!,7,FALSE),
VLOOKUP('盛付札（関数）'!D9,#REF!,7,FALSE)))*F9,
IF(O9&lt;&gt;"",H9-O9,H9)-IF(COUNTIF('盛付札（関数）'!D9,"*キャラ*"),
VLOOKUP("*キャラ*",#REF!,7,FALSE),
IF(COUNTIF('盛付札（関数）'!D9,"*赤*"),
VLOOKUP("*赤*",#REF!,7,FALSE),
VLOOKUP('盛付札（関数）'!D9,#REF!,7,FALSE)))*F9),"")</f>
        <v/>
      </c>
      <c r="H9" s="195" t="str" cm="1">
        <f t="array" aca="1" ref="H9" ca="1">IF(C9&lt;&gt;"",
IF(INDIRECT("数出表_Excel!"&amp;LEFT(クライアント抽出!V9)&amp;A9-1&amp;"")&lt;&gt;"",INDIRECT("数出表_Excel!"&amp;LEFT(クライアント抽出!V9)&amp;A9-1&amp;""),0),"")</f>
        <v/>
      </c>
      <c r="I9" s="52" t="str" cm="1">
        <f t="array" aca="1" ref="I9" ca="1">IF(C9&lt;&gt;"",
IF(INDIRECT("数出表_Excel!"&amp;LEFT(クライアント抽出!V9)&amp;A9&amp;"")&lt;&gt;"",INDIRECT("数出表_Excel!"&amp;LEFT(クライアント抽出!V9)&amp;A9&amp;""),0),"")</f>
        <v/>
      </c>
      <c r="J9" s="52" t="str">
        <f ca="1">IF(C9&lt;&gt;"",
VLOOKUP(
IF(COUNTIF(D9,"*学食*"),"キャラ弁（学食）",
IF(COUNTIF(D9,"*赤*"),"赤",
IF(COUNTIF(D9,"*キャラ弁当*"),"キャラ弁当",D9))),注文弁当の抽出!$E$1:$F$15,2,FALSE),"")</f>
        <v/>
      </c>
      <c r="K9" s="52" t="str">
        <f t="shared" ca="1" si="6"/>
        <v/>
      </c>
      <c r="L9" s="52" t="str">
        <f t="shared" ca="1" si="7"/>
        <v/>
      </c>
      <c r="M9" s="52" cm="1">
        <f t="array" aca="1" ref="M9" ca="1">IF(C9&lt;&gt;"",
IF(IFERROR(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0)&lt;&gt;0,
IF(IFERROR(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"")="",
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""),
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0)),0),0)</f>
        <v>0</v>
      </c>
      <c r="N9" s="52" t="e">
        <f t="array" aca="1" ref="N9" ca="1">IF(B9="博多",
IF(C9&lt;&gt;"",
IF(IFERROR(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0)&lt;&gt;0,
IF(IFERROR(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0)="",
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0),
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0)),0),""),0)</f>
        <v>#N/A</v>
      </c>
      <c r="O9" s="52" t="e">
        <f t="shared" ca="1" si="8"/>
        <v>#N/A</v>
      </c>
      <c r="P9" s="52">
        <f t="shared" ca="1" si="4"/>
        <v>0</v>
      </c>
      <c r="Q9" s="52" t="b">
        <f t="shared" ca="1" si="5"/>
        <v>0</v>
      </c>
      <c r="R9" s="51" t="str" cm="1">
        <f t="array" aca="1" ref="R9" ca="1">IFERROR(SMALL(IF(P$1:P$300&lt;&gt;0,P$1:P$300),ROW(A9)),"")</f>
        <v/>
      </c>
      <c r="S9" s="51" t="str">
        <f t="array" aca="1" ref="S9" ca="1">IF($R9&lt;&gt;"",
INDIRECT(""&amp;IF(COLUMN(C13)&lt;=26,CHAR(COLUMN(C13)+64),CHAR(INT((COLUMN(C13)-1)/26)+64)&amp;CHAR(MOD(COLUMN(C13)-1,26)+65))&amp;$R9&amp;""),"")</f>
        <v/>
      </c>
      <c r="T9" s="51" t="str" cm="1">
        <f t="array" aca="1" ref="T9" ca="1">IF(IF($R9&lt;&gt;"",
INDIRECT(""&amp;IF(COLUMN(D29)&lt;=26,CHAR(COLUMN(D29)+64),CHAR(INT((COLUMN(D29)-1)/26)+64)&amp;CHAR(MOD(COLUMN(D29)-1,26)+65))&amp;$R9&amp;""),"")=0,"",
IF($R9&lt;&gt;"",
INDIRECT(""&amp;IF(COLUMN(D29)&lt;=26,CHAR(COLUMN(D29)+64),CHAR(INT((COLUMN(D29)-1)/26)+64)&amp;CHAR(MOD(COLUMN(D29)-1,26)+65))&amp;$R9&amp;""),""))</f>
        <v/>
      </c>
      <c r="V9" s="51" t="str">
        <f t="array" aca="1" ref="V9" ca="1">IF($R9&lt;&gt;"",
IF(U9="",
IF(INDIRECT("EY"&amp;$R9&amp;"")&lt;&gt;"",
INDIRECT("EY"&amp;$R9&amp;"")&amp;"箱"
&amp;INDIRECT("EZ"&amp;$R9&amp;""),""),""),"")</f>
        <v/>
      </c>
      <c r="W9" s="51" t="str">
        <f t="array" aca="1" ref="W9" ca="1">IF($R9&lt;&gt;"",
INDIRECT(""&amp;IF(COLUMN(H13)&lt;=26,CHAR(COLUMN(H13)+64),CHAR(INT((COLUMN(H13)-1)/26)+64)&amp;CHAR(MOD(COLUMN(H13)-1,26)+65))&amp;$R9&amp;""),"")</f>
        <v/>
      </c>
      <c r="X9" s="51" t="str">
        <f t="array" aca="1" ref="X9" ca="1">IF($R9&lt;&gt;"",
INDIRECT(""&amp;IF(COLUMN(I13)&lt;=26,CHAR(COLUMN(I13)+64),CHAR(INT((COLUMN(I13)-1)/26)+64)&amp;CHAR(MOD(COLUMN(I13)-1,26)+65))&amp;$R9&amp;""),"")</f>
        <v/>
      </c>
      <c r="Y9" s="51" t="str">
        <f t="array" aca="1" ref="Y9" ca="1">IF($R9&lt;&gt;"",
INDIRECT(""&amp;IF(COLUMN(J13)&lt;=26,CHAR(COLUMN(J13)+64),CHAR(INT((COLUMN(J13)-1)/26)+64)&amp;CHAR(MOD(COLUMN(J13)-1,26)+65))&amp;$R9&amp;""),"")</f>
        <v/>
      </c>
      <c r="Z9" s="51" t="str">
        <f t="array" aca="1" ref="Z9" ca="1">IF($R9&lt;&gt;"",
INDIRECT(""&amp;IF(COLUMN(K13)&lt;=26,CHAR(COLUMN(K13)+64),CHAR(INT((COLUMN(K13)-1)/26)+64)&amp;CHAR(MOD(COLUMN(K13)-1,26)+65))&amp;$R9&amp;""),"")</f>
        <v/>
      </c>
      <c r="AA9" s="51" t="str">
        <f t="array" aca="1" ref="AA9" ca="1">IF($R9&lt;&gt;"",
INDIRECT(""&amp;IF(COLUMN(L13)&lt;=26,CHAR(COLUMN(L13)+64),CHAR(INT((COLUMN(L13)-1)/26)+64)&amp;CHAR(MOD(COLUMN(L13)-1,26)+65))&amp;$R9&amp;""),"")</f>
        <v/>
      </c>
      <c r="AB9" s="51" t="str">
        <f t="array" aca="1" ref="AB9" ca="1">IF($R9&lt;&gt;"",
INDIRECT(""&amp;IF(COLUMN(O13)&lt;=26,CHAR(COLUMN(O13)+64),CHAR(INT((COLUMN(O13)-1)/26)+64)&amp;CHAR(MOD(COLUMN(O13)-1,26)+65))&amp;$R9&amp;""),"")</f>
        <v/>
      </c>
    </row>
    <row r="10" spans="1:28" s="51" customFormat="1" ht="22.2" customHeight="1">
      <c r="A10" s="197">
        <f t="shared" si="3"/>
        <v>25</v>
      </c>
      <c r="B10" s="52" t="e">
        <f t="array" aca="1" ref="B10" ca="1">IF(AND(LEFT(C10,2)="博多",
LEFT(INDIRECT("数出表_Excel!A"&amp;MATCH(C10,数出表_Excel!$A:$A,0)-1),2)
=LEFT(INDIRECT("数出表_Excel!A"&amp;MATCH(C10,数出表_Excel!$A:$A,0)+1),2)),"博多",
IF(AND(LEFT(C10,3)="奈良屋",
LEFT(INDIRECT("数出表_Excel!A"&amp;MATCH(C10,数出表_Excel!$A:$A,0)-1),2)
=LEFT(INDIRECT("数出表_Excel!A"&amp;MATCH(C10,数出表_Excel!$A:$A,0)+1),2)),"奈良屋",""))</f>
        <v>#N/A</v>
      </c>
      <c r="C10" s="52" t="str" cm="1">
        <f t="array" aca="1" ref="C10" ca="1">IF(IF(クライアント抽出!A10="",0,LEN(クライアント抽出!V10)-LEN(SUBSTITUTE(クライアント抽出!V10,",","")))&gt;=1,INDIRECT("数出表_Excel!A"&amp;A10&amp;""),"")</f>
        <v/>
      </c>
      <c r="D10" s="52" t="str" cm="1">
        <f t="array" aca="1" ref="D10" ca="1">IF(C10&lt;&gt;"",INDIRECT("クライアント抽出!"&amp;E10&amp;MATCH(C10,クライアント抽出!A:A,0)&amp;""),"")</f>
        <v/>
      </c>
      <c r="E10" s="52" t="str">
        <f ca="1"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t="array" aca="1" ref="F10" ca="1">IF(D10&lt;&gt;"",
IF(COUNTIF(C10,"*雙葉*"),
IF(ROUND(
IF(O10&lt;&gt;"",(H10-O10),H10)
/IF(COUNTIF('盛付札（関数）'!D10,"*キャラ*"),
VLOOKUP("*キャラ*",#REF!,7,FALSE),
IF(COUNTIF('盛付札（関数）'!D10,"*赤*"),
VLOOKUP("*赤*",#REF!,7,FALSE),
VLOOKUP('盛付札（関数）'!D10,#REF!,7,FALSE))),0)&lt;=0,1,
ROUND(
IF(O10&lt;&gt;"",(H10-O10),H10)
/IF(COUNTIF('盛付札（関数）'!D10,"*キャラ*"),
VLOOKUP("*キャラ*",#REF!,7,FALSE),
IF(COUNTIF('盛付札（関数）'!D10,"*赤*"),
VLOOKUP("*赤*",#REF!,7,FALSE),
VLOOKUP('盛付札（関数）'!D10,#REF!,7,FALSE))),0)),
IF(MATCH(TRUE,
ISNUMBER(--INDIRECT("数出表_Excel!B"&amp;MATCH(C10,数出表_Excel!$A:$A,0)-1&amp;":U"&amp;MATCH(C10,数出表_Excel!$A:$A,0)-1&amp;"")),0)&gt;10,
IF(D10&lt;&gt;"",
IF(IF(COUNTIF('盛付札（関数）'!D10,"*キャラ*"),
VLOOKUP("*キャラ*",#REF!,7,FALSE),
IF(COUNTIF('盛付札（関数）'!D10,"*赤*"),
VLOOKUP("*赤*",#REF!,7,FALSE),
VLOOKUP('盛付札（関数）'!D10,#REF!,7,FALSE)))=0,"",
IF(ROUND(
IF(O10&lt;&gt;"",(H10-O10),H10)
/IF(COUNTIF('盛付札（関数）'!D10,"*キャラ*"),
VLOOKUP("*キャラ*",#REF!,7,FALSE),
IF(COUNTIF('盛付札（関数）'!D10,"*赤*"),
VLOOKUP("*赤*",#REF!,7,FALSE),
VLOOKUP('盛付札（関数）'!D10,#REF!,7,FALSE))),0)&lt;=0,1,
ROUND(
IF(O10&lt;&gt;"",(H10-O10),H10)
/IF(COUNTIF('盛付札（関数）'!D10,"*キャラ*"),
VLOOKUP("*キャラ*",#REF!,7,FALSE),
IF(COUNTIF('盛付札（関数）'!D10,"*赤*"),
VLOOKUP("*赤*",#REF!,7,FALSE),
VLOOKUP('盛付札（関数）'!D10,#REF!,7,FALSE))),0))),""),"")),"")</f>
        <v/>
      </c>
      <c r="G10" s="53" t="str">
        <f ca="1">IF(F10&lt;&gt;"",IF(VALUE(IF(O10&lt;&gt;"",H10-O10,H10))&gt;VALUE(IF(COUNTIF('盛付札（関数）'!D10,"*キャラ*"),
VLOOKUP("*キャラ*",#REF!,7,FALSE),
IF(COUNTIF('盛付札（関数）'!D10,"*赤*"),
VLOOKUP("*赤*",#REF!,7,FALSE),
VLOOKUP('盛付札（関数）'!D10,#REF!,7,FALSE)))*F10),
"+"&amp;IF(O10&lt;&gt;"",H10-O10,H10)-IF(COUNTIF('盛付札（関数）'!D10,"*キャラ*"),
VLOOKUP("*キャラ*",#REF!,7,FALSE),
IF(COUNTIF('盛付札（関数）'!D10,"*赤*"),
VLOOKUP("*赤*",#REF!,7,FALSE),
VLOOKUP('盛付札（関数）'!D10,#REF!,7,FALSE)))*F10,
IF(O10&lt;&gt;"",H10-O10,H10)-IF(COUNTIF('盛付札（関数）'!D10,"*キャラ*"),
VLOOKUP("*キャラ*",#REF!,7,FALSE),
IF(COUNTIF('盛付札（関数）'!D10,"*赤*"),
VLOOKUP("*赤*",#REF!,7,FALSE),
VLOOKUP('盛付札（関数）'!D10,#REF!,7,FALSE)))*F10),"")</f>
        <v/>
      </c>
      <c r="H10" s="195" t="str" cm="1">
        <f t="array" aca="1" ref="H10" ca="1">IF(C10&lt;&gt;"",
IF(INDIRECT("数出表_Excel!"&amp;LEFT(クライアント抽出!V10)&amp;A10-1&amp;"")&lt;&gt;"",INDIRECT("数出表_Excel!"&amp;LEFT(クライアント抽出!V10)&amp;A10-1&amp;""),0),"")</f>
        <v/>
      </c>
      <c r="I10" s="52" t="str" cm="1">
        <f t="array" aca="1" ref="I10" ca="1">IF(C10&lt;&gt;"",
IF(INDIRECT("数出表_Excel!"&amp;LEFT(クライアント抽出!V10)&amp;A10&amp;"")&lt;&gt;"",INDIRECT("数出表_Excel!"&amp;LEFT(クライアント抽出!V10)&amp;A10&amp;""),0),"")</f>
        <v/>
      </c>
      <c r="J10" s="52" t="str">
        <f ca="1">IF(C10&lt;&gt;"",
VLOOKUP(
IF(COUNTIF(D10,"*学食*"),"キャラ弁（学食）",
IF(COUNTIF(D10,"*赤*"),"赤",
IF(COUNTIF(D10,"*キャラ弁当*"),"キャラ弁当",D10))),注文弁当の抽出!$E$1:$F$15,2,FALSE),"")</f>
        <v/>
      </c>
      <c r="K10" s="52" t="str">
        <f t="shared" ca="1" si="6"/>
        <v/>
      </c>
      <c r="L10" s="52" t="str">
        <f t="shared" ca="1" si="7"/>
        <v/>
      </c>
      <c r="M10" s="52" cm="1">
        <f t="array" aca="1" ref="M10" ca="1">IF(C10&lt;&gt;"",
IF(IFERROR(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0)&lt;&gt;0,
IF(IFERROR(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"")="",
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""),
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0)),0),0)</f>
        <v>0</v>
      </c>
      <c r="N10" s="52" t="e">
        <f t="array" aca="1" ref="N10" ca="1">IF(B10="博多",
IF(C10&lt;&gt;"",
IF(IFERROR(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0)&lt;&gt;0,
IF(IFERROR(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0)="",
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0),
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0)),0),""),0)</f>
        <v>#N/A</v>
      </c>
      <c r="O10" s="52" t="e">
        <f t="shared" ca="1" si="8"/>
        <v>#N/A</v>
      </c>
      <c r="P10" s="52">
        <f t="shared" ca="1" si="4"/>
        <v>0</v>
      </c>
      <c r="Q10" s="52" t="b">
        <f t="shared" ca="1" si="5"/>
        <v>0</v>
      </c>
      <c r="R10" s="51" t="str" cm="1">
        <f t="array" aca="1" ref="R10" ca="1">IFERROR(SMALL(IF(P$1:P$300&lt;&gt;0,P$1:P$300),ROW(A10)),"")</f>
        <v/>
      </c>
      <c r="S10" s="51" t="str">
        <f t="array" aca="1" ref="S10" ca="1">IF($R10&lt;&gt;"",
INDIRECT(""&amp;IF(COLUMN(C14)&lt;=26,CHAR(COLUMN(C14)+64),CHAR(INT((COLUMN(C14)-1)/26)+64)&amp;CHAR(MOD(COLUMN(C14)-1,26)+65))&amp;$R10&amp;""),"")</f>
        <v/>
      </c>
      <c r="T10" s="51" t="str" cm="1">
        <f t="array" aca="1" ref="T10" ca="1">IF(IF($R10&lt;&gt;"",
INDIRECT(""&amp;IF(COLUMN(D30)&lt;=26,CHAR(COLUMN(D30)+64),CHAR(INT((COLUMN(D30)-1)/26)+64)&amp;CHAR(MOD(COLUMN(D30)-1,26)+65))&amp;$R10&amp;""),"")=0,"",
IF($R10&lt;&gt;"",
INDIRECT(""&amp;IF(COLUMN(D30)&lt;=26,CHAR(COLUMN(D30)+64),CHAR(INT((COLUMN(D30)-1)/26)+64)&amp;CHAR(MOD(COLUMN(D30)-1,26)+65))&amp;$R10&amp;""),""))</f>
        <v/>
      </c>
      <c r="V10" s="51" t="str">
        <f t="array" aca="1" ref="V10" ca="1">IF($R10&lt;&gt;"",
IF(U10="",
IF(INDIRECT("EY"&amp;$R10&amp;"")&lt;&gt;"",
INDIRECT("EY"&amp;$R10&amp;"")&amp;"箱"
&amp;INDIRECT("EZ"&amp;$R10&amp;""),""),""),"")</f>
        <v/>
      </c>
      <c r="W10" s="51" t="str">
        <f t="array" aca="1" ref="W10" ca="1">IF($R10&lt;&gt;"",
INDIRECT(""&amp;IF(COLUMN(H14)&lt;=26,CHAR(COLUMN(H14)+64),CHAR(INT((COLUMN(H14)-1)/26)+64)&amp;CHAR(MOD(COLUMN(H14)-1,26)+65))&amp;$R10&amp;""),"")</f>
        <v/>
      </c>
      <c r="X10" s="51" t="str">
        <f t="array" aca="1" ref="X10" ca="1">IF($R10&lt;&gt;"",
INDIRECT(""&amp;IF(COLUMN(I14)&lt;=26,CHAR(COLUMN(I14)+64),CHAR(INT((COLUMN(I14)-1)/26)+64)&amp;CHAR(MOD(COLUMN(I14)-1,26)+65))&amp;$R10&amp;""),"")</f>
        <v/>
      </c>
      <c r="Y10" s="51" t="str">
        <f t="array" aca="1" ref="Y10" ca="1">IF($R10&lt;&gt;"",
INDIRECT(""&amp;IF(COLUMN(J14)&lt;=26,CHAR(COLUMN(J14)+64),CHAR(INT((COLUMN(J14)-1)/26)+64)&amp;CHAR(MOD(COLUMN(J14)-1,26)+65))&amp;$R10&amp;""),"")</f>
        <v/>
      </c>
      <c r="Z10" s="51" t="str">
        <f t="array" aca="1" ref="Z10" ca="1">IF($R10&lt;&gt;"",
INDIRECT(""&amp;IF(COLUMN(K14)&lt;=26,CHAR(COLUMN(K14)+64),CHAR(INT((COLUMN(K14)-1)/26)+64)&amp;CHAR(MOD(COLUMN(K14)-1,26)+65))&amp;$R10&amp;""),"")</f>
        <v/>
      </c>
      <c r="AA10" s="51" t="str">
        <f t="array" aca="1" ref="AA10" ca="1">IF($R10&lt;&gt;"",
INDIRECT(""&amp;IF(COLUMN(L14)&lt;=26,CHAR(COLUMN(L14)+64),CHAR(INT((COLUMN(L14)-1)/26)+64)&amp;CHAR(MOD(COLUMN(L14)-1,26)+65))&amp;$R10&amp;""),"")</f>
        <v/>
      </c>
      <c r="AB10" s="51" t="str">
        <f t="array" aca="1" ref="AB10" ca="1">IF($R10&lt;&gt;"",
INDIRECT(""&amp;IF(COLUMN(O14)&lt;=26,CHAR(COLUMN(O14)+64),CHAR(INT((COLUMN(O14)-1)/26)+64)&amp;CHAR(MOD(COLUMN(O14)-1,26)+65))&amp;$R10&amp;""),"")</f>
        <v/>
      </c>
    </row>
    <row r="11" spans="1:28" ht="18" customHeight="1">
      <c r="A11" s="197">
        <f t="shared" si="3"/>
        <v>27</v>
      </c>
      <c r="B11" s="52" t="e">
        <f t="array" aca="1" ref="B11" ca="1">IF(AND(LEFT(C11,2)="博多",
LEFT(INDIRECT("数出表_Excel!A"&amp;MATCH(C11,数出表_Excel!$A:$A,0)-1),2)
=LEFT(INDIRECT("数出表_Excel!A"&amp;MATCH(C11,数出表_Excel!$A:$A,0)+1),2)),"博多",
IF(AND(LEFT(C11,3)="奈良屋",
LEFT(INDIRECT("数出表_Excel!A"&amp;MATCH(C11,数出表_Excel!$A:$A,0)-1),2)
=LEFT(INDIRECT("数出表_Excel!A"&amp;MATCH(C11,数出表_Excel!$A:$A,0)+1),2)),"奈良屋",""))</f>
        <v>#N/A</v>
      </c>
      <c r="C11" s="52" t="str" cm="1">
        <f t="array" aca="1" ref="C11" ca="1">IF(IF(クライアント抽出!A11="",0,LEN(クライアント抽出!V11)-LEN(SUBSTITUTE(クライアント抽出!V11,",","")))&gt;=1,INDIRECT("数出表_Excel!A"&amp;A11&amp;""),"")</f>
        <v/>
      </c>
      <c r="D11" s="52" t="str" cm="1">
        <f t="array" aca="1" ref="D11" ca="1">IF(C11&lt;&gt;"",INDIRECT("クライアント抽出!"&amp;E11&amp;MATCH(C11,クライアント抽出!A:A,0)&amp;""),"")</f>
        <v/>
      </c>
      <c r="E11" s="52" t="str">
        <f ca="1"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t="array" aca="1" ref="F11" ca="1">IF(D11&lt;&gt;"",
IF(COUNTIF(C11,"*雙葉*"),
IF(ROUND(
IF(O11&lt;&gt;"",(H11-O11),H11)
/IF(COUNTIF('盛付札（関数）'!D11,"*キャラ*"),
VLOOKUP("*キャラ*",#REF!,7,FALSE),
IF(COUNTIF('盛付札（関数）'!D11,"*赤*"),
VLOOKUP("*赤*",#REF!,7,FALSE),
VLOOKUP('盛付札（関数）'!D11,#REF!,7,FALSE))),0)&lt;=0,1,
ROUND(
IF(O11&lt;&gt;"",(H11-O11),H11)
/IF(COUNTIF('盛付札（関数）'!D11,"*キャラ*"),
VLOOKUP("*キャラ*",#REF!,7,FALSE),
IF(COUNTIF('盛付札（関数）'!D11,"*赤*"),
VLOOKUP("*赤*",#REF!,7,FALSE),
VLOOKUP('盛付札（関数）'!D11,#REF!,7,FALSE))),0)),
IF(MATCH(TRUE,
ISNUMBER(--INDIRECT("数出表_Excel!B"&amp;MATCH(C11,数出表_Excel!$A:$A,0)-1&amp;":U"&amp;MATCH(C11,数出表_Excel!$A:$A,0)-1&amp;"")),0)&gt;10,
IF(D11&lt;&gt;"",
IF(IF(COUNTIF('盛付札（関数）'!D11,"*キャラ*"),
VLOOKUP("*キャラ*",#REF!,7,FALSE),
IF(COUNTIF('盛付札（関数）'!D11,"*赤*"),
VLOOKUP("*赤*",#REF!,7,FALSE),
VLOOKUP('盛付札（関数）'!D11,#REF!,7,FALSE)))=0,"",
IF(ROUND(
IF(O11&lt;&gt;"",(H11-O11),H11)
/IF(COUNTIF('盛付札（関数）'!D11,"*キャラ*"),
VLOOKUP("*キャラ*",#REF!,7,FALSE),
IF(COUNTIF('盛付札（関数）'!D11,"*赤*"),
VLOOKUP("*赤*",#REF!,7,FALSE),
VLOOKUP('盛付札（関数）'!D11,#REF!,7,FALSE))),0)&lt;=0,1,
ROUND(
IF(O11&lt;&gt;"",(H11-O11),H11)
/IF(COUNTIF('盛付札（関数）'!D11,"*キャラ*"),
VLOOKUP("*キャラ*",#REF!,7,FALSE),
IF(COUNTIF('盛付札（関数）'!D11,"*赤*"),
VLOOKUP("*赤*",#REF!,7,FALSE),
VLOOKUP('盛付札（関数）'!D11,#REF!,7,FALSE))),0))),""),"")),"")</f>
        <v/>
      </c>
      <c r="G11" s="53" t="str">
        <f ca="1">IF(F11&lt;&gt;"",IF(VALUE(IF(O11&lt;&gt;"",H11-O11,H11))&gt;VALUE(IF(COUNTIF('盛付札（関数）'!D11,"*キャラ*"),
VLOOKUP("*キャラ*",#REF!,7,FALSE),
IF(COUNTIF('盛付札（関数）'!D11,"*赤*"),
VLOOKUP("*赤*",#REF!,7,FALSE),
VLOOKUP('盛付札（関数）'!D11,#REF!,7,FALSE)))*F11),
"+"&amp;IF(O11&lt;&gt;"",H11-O11,H11)-IF(COUNTIF('盛付札（関数）'!D11,"*キャラ*"),
VLOOKUP("*キャラ*",#REF!,7,FALSE),
IF(COUNTIF('盛付札（関数）'!D11,"*赤*"),
VLOOKUP("*赤*",#REF!,7,FALSE),
VLOOKUP('盛付札（関数）'!D11,#REF!,7,FALSE)))*F11,
IF(O11&lt;&gt;"",H11-O11,H11)-IF(COUNTIF('盛付札（関数）'!D11,"*キャラ*"),
VLOOKUP("*キャラ*",#REF!,7,FALSE),
IF(COUNTIF('盛付札（関数）'!D11,"*赤*"),
VLOOKUP("*赤*",#REF!,7,FALSE),
VLOOKUP('盛付札（関数）'!D11,#REF!,7,FALSE)))*F11),"")</f>
        <v/>
      </c>
      <c r="H11" s="195" t="str" cm="1">
        <f t="array" aca="1" ref="H11" ca="1">IF(C11&lt;&gt;"",
IF(INDIRECT("数出表_Excel!"&amp;LEFT(クライアント抽出!V11)&amp;A11-1&amp;"")&lt;&gt;"",INDIRECT("数出表_Excel!"&amp;LEFT(クライアント抽出!V11)&amp;A11-1&amp;""),0),"")</f>
        <v/>
      </c>
      <c r="I11" s="52" t="str" cm="1">
        <f t="array" aca="1" ref="I11" ca="1">IF(C11&lt;&gt;"",
IF(INDIRECT("数出表_Excel!"&amp;LEFT(クライアント抽出!V11)&amp;A11&amp;"")&lt;&gt;"",INDIRECT("数出表_Excel!"&amp;LEFT(クライアント抽出!V11)&amp;A11&amp;""),0),"")</f>
        <v/>
      </c>
      <c r="J11" s="52" t="str">
        <f ca="1">IF(C11&lt;&gt;"",
VLOOKUP(
IF(COUNTIF(D11,"*学食*"),"キャラ弁（学食）",
IF(COUNTIF(D11,"*赤*"),"赤",
IF(COUNTIF(D11,"*キャラ弁当*"),"キャラ弁当",D11))),注文弁当の抽出!$E$1:$F$15,2,FALSE),"")</f>
        <v/>
      </c>
      <c r="K11" s="52" t="str">
        <f t="shared" ca="1" si="6"/>
        <v/>
      </c>
      <c r="L11" s="52" t="str">
        <f t="shared" ca="1" si="7"/>
        <v/>
      </c>
      <c r="M11" s="52" cm="1">
        <f t="array" aca="1" ref="M11" ca="1">IF(C11&lt;&gt;"",
IF(IFERROR(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0)&lt;&gt;0,
IF(IFERROR(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"")="",
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""),
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0)),0),0)</f>
        <v>0</v>
      </c>
      <c r="N11" s="52" t="e">
        <f t="array" aca="1" ref="N11" ca="1">IF(B11="博多",
IF(C11&lt;&gt;"",
IF(IFERROR(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0)&lt;&gt;0,
IF(IFERROR(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0)="",
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0),
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0)),0),""),0)</f>
        <v>#N/A</v>
      </c>
      <c r="O11" s="52" t="e">
        <f t="shared" ca="1" si="8"/>
        <v>#N/A</v>
      </c>
      <c r="P11" s="52">
        <f t="shared" ca="1" si="4"/>
        <v>0</v>
      </c>
      <c r="Q11" s="52" t="b">
        <f t="shared" ca="1" si="5"/>
        <v>0</v>
      </c>
      <c r="R11" s="51" t="str" cm="1">
        <f t="array" aca="1" ref="R11" ca="1">IFERROR(SMALL(IF(P$1:P$300&lt;&gt;0,P$1:P$300),ROW(A11)),"")</f>
        <v/>
      </c>
      <c r="S11" s="51" t="str">
        <f t="array" aca="1" ref="S11" ca="1">IF($R11&lt;&gt;"",
INDIRECT(""&amp;IF(COLUMN(C16)&lt;=26,CHAR(COLUMN(C16)+64),CHAR(INT((COLUMN(C16)-1)/26)+64)&amp;CHAR(MOD(COLUMN(C16)-1,26)+65))&amp;$R11&amp;""),"")</f>
        <v/>
      </c>
      <c r="T11" s="51" t="str" cm="1">
        <f t="array" aca="1" ref="T11" ca="1">IF(IF($R11&lt;&gt;"",
INDIRECT(""&amp;IF(COLUMN(D31)&lt;=26,CHAR(COLUMN(D31)+64),CHAR(INT((COLUMN(D31)-1)/26)+64)&amp;CHAR(MOD(COLUMN(D31)-1,26)+65))&amp;$R11&amp;""),"")=0,"",
IF($R11&lt;&gt;"",
INDIRECT(""&amp;IF(COLUMN(D31)&lt;=26,CHAR(COLUMN(D31)+64),CHAR(INT((COLUMN(D31)-1)/26)+64)&amp;CHAR(MOD(COLUMN(D31)-1,26)+65))&amp;$R11&amp;""),""))</f>
        <v/>
      </c>
      <c r="U11" s="51"/>
      <c r="V11" s="51" t="str">
        <f t="array" aca="1" ref="V11" ca="1">IF($R11&lt;&gt;"",
IF(U11="",
IF(INDIRECT("EY"&amp;$R11&amp;"")&lt;&gt;"",
INDIRECT("EY"&amp;$R11&amp;"")&amp;"箱"
&amp;INDIRECT("EZ"&amp;$R11&amp;""),""),""),"")</f>
        <v/>
      </c>
      <c r="W11" s="51" t="str">
        <f t="array" aca="1" ref="W11" ca="1">IF($R11&lt;&gt;"",
INDIRECT(""&amp;IF(COLUMN(H16)&lt;=26,CHAR(COLUMN(H16)+64),CHAR(INT((COLUMN(H16)-1)/26)+64)&amp;CHAR(MOD(COLUMN(H16)-1,26)+65))&amp;$R11&amp;""),"")</f>
        <v/>
      </c>
      <c r="X11" s="51" t="str">
        <f t="array" aca="1" ref="X11" ca="1">IF($R11&lt;&gt;"",
INDIRECT(""&amp;IF(COLUMN(I16)&lt;=26,CHAR(COLUMN(I16)+64),CHAR(INT((COLUMN(I16)-1)/26)+64)&amp;CHAR(MOD(COLUMN(I16)-1,26)+65))&amp;$R11&amp;""),"")</f>
        <v/>
      </c>
      <c r="Y11" s="51" t="str">
        <f t="array" aca="1" ref="Y11" ca="1">IF($R11&lt;&gt;"",
INDIRECT(""&amp;IF(COLUMN(J16)&lt;=26,CHAR(COLUMN(J16)+64),CHAR(INT((COLUMN(J16)-1)/26)+64)&amp;CHAR(MOD(COLUMN(J16)-1,26)+65))&amp;$R11&amp;""),"")</f>
        <v/>
      </c>
      <c r="Z11" s="51" t="str">
        <f t="array" aca="1" ref="Z11" ca="1">IF($R11&lt;&gt;"",
INDIRECT(""&amp;IF(COLUMN(K16)&lt;=26,CHAR(COLUMN(K16)+64),CHAR(INT((COLUMN(K16)-1)/26)+64)&amp;CHAR(MOD(COLUMN(K16)-1,26)+65))&amp;$R11&amp;""),"")</f>
        <v/>
      </c>
      <c r="AA11" s="51" t="str">
        <f t="array" aca="1" ref="AA11" ca="1">IF($R11&lt;&gt;"",
INDIRECT(""&amp;IF(COLUMN(L16)&lt;=26,CHAR(COLUMN(L16)+64),CHAR(INT((COLUMN(L16)-1)/26)+64)&amp;CHAR(MOD(COLUMN(L16)-1,26)+65))&amp;$R11&amp;""),"")</f>
        <v/>
      </c>
      <c r="AB11" s="51" t="str">
        <f t="array" aca="1" ref="AB11" ca="1">IF($R11&lt;&gt;"",
INDIRECT(""&amp;IF(COLUMN(O16)&lt;=26,CHAR(COLUMN(O16)+64),CHAR(INT((COLUMN(O16)-1)/26)+64)&amp;CHAR(MOD(COLUMN(O16)-1,26)+65))&amp;$R11&amp;""),"")</f>
        <v/>
      </c>
    </row>
    <row r="12" spans="1:28" ht="18" customHeight="1">
      <c r="A12" s="197">
        <f t="shared" si="3"/>
        <v>29</v>
      </c>
      <c r="B12" s="52" t="e">
        <f t="array" aca="1" ref="B12" ca="1">IF(AND(LEFT(C12,2)="博多",
LEFT(INDIRECT("数出表_Excel!A"&amp;MATCH(C12,数出表_Excel!$A:$A,0)-1),2)
=LEFT(INDIRECT("数出表_Excel!A"&amp;MATCH(C12,数出表_Excel!$A:$A,0)+1),2)),"博多",
IF(AND(LEFT(C12,3)="奈良屋",
LEFT(INDIRECT("数出表_Excel!A"&amp;MATCH(C12,数出表_Excel!$A:$A,0)-1),2)
=LEFT(INDIRECT("数出表_Excel!A"&amp;MATCH(C12,数出表_Excel!$A:$A,0)+1),2)),"奈良屋",""))</f>
        <v>#N/A</v>
      </c>
      <c r="C12" s="52" t="str" cm="1">
        <f t="array" aca="1" ref="C12" ca="1">IF(IF(クライアント抽出!A12="",0,LEN(クライアント抽出!V12)-LEN(SUBSTITUTE(クライアント抽出!V12,",","")))&gt;=1,INDIRECT("数出表_Excel!A"&amp;A12&amp;""),"")</f>
        <v/>
      </c>
      <c r="D12" s="52" t="str" cm="1">
        <f t="array" aca="1" ref="D12" ca="1">IF(C12&lt;&gt;"",INDIRECT("クライアント抽出!"&amp;E12&amp;MATCH(C12,クライアント抽出!A:A,0)&amp;""),"")</f>
        <v/>
      </c>
      <c r="E12" s="52" t="str">
        <f ca="1"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t="array" aca="1" ref="F12" ca="1">IF(D12&lt;&gt;"",
IF(COUNTIF(C12,"*雙葉*"),
IF(ROUND(
IF(O12&lt;&gt;"",(H12-O12),H12)
/IF(COUNTIF('盛付札（関数）'!D12,"*キャラ*"),
VLOOKUP("*キャラ*",#REF!,7,FALSE),
IF(COUNTIF('盛付札（関数）'!D12,"*赤*"),
VLOOKUP("*赤*",#REF!,7,FALSE),
VLOOKUP('盛付札（関数）'!D12,#REF!,7,FALSE))),0)&lt;=0,1,
ROUND(
IF(O12&lt;&gt;"",(H12-O12),H12)
/IF(COUNTIF('盛付札（関数）'!D12,"*キャラ*"),
VLOOKUP("*キャラ*",#REF!,7,FALSE),
IF(COUNTIF('盛付札（関数）'!D12,"*赤*"),
VLOOKUP("*赤*",#REF!,7,FALSE),
VLOOKUP('盛付札（関数）'!D12,#REF!,7,FALSE))),0)),
IF(MATCH(TRUE,
ISNUMBER(--INDIRECT("数出表_Excel!B"&amp;MATCH(C12,数出表_Excel!$A:$A,0)-1&amp;":U"&amp;MATCH(C12,数出表_Excel!$A:$A,0)-1&amp;"")),0)&gt;10,
IF(D12&lt;&gt;"",
IF(IF(COUNTIF('盛付札（関数）'!D12,"*キャラ*"),
VLOOKUP("*キャラ*",#REF!,7,FALSE),
IF(COUNTIF('盛付札（関数）'!D12,"*赤*"),
VLOOKUP("*赤*",#REF!,7,FALSE),
VLOOKUP('盛付札（関数）'!D12,#REF!,7,FALSE)))=0,"",
IF(ROUND(
IF(O12&lt;&gt;"",(H12-O12),H12)
/IF(COUNTIF('盛付札（関数）'!D12,"*キャラ*"),
VLOOKUP("*キャラ*",#REF!,7,FALSE),
IF(COUNTIF('盛付札（関数）'!D12,"*赤*"),
VLOOKUP("*赤*",#REF!,7,FALSE),
VLOOKUP('盛付札（関数）'!D12,#REF!,7,FALSE))),0)&lt;=0,1,
ROUND(
IF(O12&lt;&gt;"",(H12-O12),H12)
/IF(COUNTIF('盛付札（関数）'!D12,"*キャラ*"),
VLOOKUP("*キャラ*",#REF!,7,FALSE),
IF(COUNTIF('盛付札（関数）'!D12,"*赤*"),
VLOOKUP("*赤*",#REF!,7,FALSE),
VLOOKUP('盛付札（関数）'!D12,#REF!,7,FALSE))),0))),""),"")),"")</f>
        <v/>
      </c>
      <c r="G12" s="53" t="str">
        <f ca="1">IF(F12&lt;&gt;"",IF(VALUE(IF(O12&lt;&gt;"",H12-O12,H12))&gt;VALUE(IF(COUNTIF('盛付札（関数）'!D12,"*キャラ*"),
VLOOKUP("*キャラ*",#REF!,7,FALSE),
IF(COUNTIF('盛付札（関数）'!D12,"*赤*"),
VLOOKUP("*赤*",#REF!,7,FALSE),
VLOOKUP('盛付札（関数）'!D12,#REF!,7,FALSE)))*F12),
"+"&amp;IF(O12&lt;&gt;"",H12-O12,H12)-IF(COUNTIF('盛付札（関数）'!D12,"*キャラ*"),
VLOOKUP("*キャラ*",#REF!,7,FALSE),
IF(COUNTIF('盛付札（関数）'!D12,"*赤*"),
VLOOKUP("*赤*",#REF!,7,FALSE),
VLOOKUP('盛付札（関数）'!D12,#REF!,7,FALSE)))*F12,
IF(O12&lt;&gt;"",H12-O12,H12)-IF(COUNTIF('盛付札（関数）'!D12,"*キャラ*"),
VLOOKUP("*キャラ*",#REF!,7,FALSE),
IF(COUNTIF('盛付札（関数）'!D12,"*赤*"),
VLOOKUP("*赤*",#REF!,7,FALSE),
VLOOKUP('盛付札（関数）'!D12,#REF!,7,FALSE)))*F12),"")</f>
        <v/>
      </c>
      <c r="H12" s="195" t="str" cm="1">
        <f t="array" aca="1" ref="H12" ca="1">IF(C12&lt;&gt;"",
IF(INDIRECT("数出表_Excel!"&amp;LEFT(クライアント抽出!V12)&amp;A12-1&amp;"")&lt;&gt;"",INDIRECT("数出表_Excel!"&amp;LEFT(クライアント抽出!V12)&amp;A12-1&amp;""),0),"")</f>
        <v/>
      </c>
      <c r="I12" s="52" t="str" cm="1">
        <f t="array" aca="1" ref="I12" ca="1">IF(C12&lt;&gt;"",
IF(INDIRECT("数出表_Excel!"&amp;LEFT(クライアント抽出!V12)&amp;A12&amp;"")&lt;&gt;"",INDIRECT("数出表_Excel!"&amp;LEFT(クライアント抽出!V12)&amp;A12&amp;""),0),"")</f>
        <v/>
      </c>
      <c r="J12" s="52" t="str">
        <f ca="1">IF(C12&lt;&gt;"",
VLOOKUP(
IF(COUNTIF(D12,"*学食*"),"キャラ弁（学食）",
IF(COUNTIF(D12,"*赤*"),"赤",
IF(COUNTIF(D12,"*キャラ弁当*"),"キャラ弁当",D12))),注文弁当の抽出!$E$1:$F$15,2,FALSE),"")</f>
        <v/>
      </c>
      <c r="K12" s="52" t="str">
        <f t="shared" ca="1" si="6"/>
        <v/>
      </c>
      <c r="L12" s="52" t="str">
        <f t="shared" ca="1" si="7"/>
        <v/>
      </c>
      <c r="M12" s="52" cm="1">
        <f t="array" aca="1" ref="M12" ca="1">IF(C12&lt;&gt;"",
IF(IFERROR(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0)&lt;&gt;0,
IF(IFERROR(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"")="",
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""),
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0)),0),0)</f>
        <v>0</v>
      </c>
      <c r="N12" s="52" t="e">
        <f t="array" aca="1" ref="N12" ca="1">IF(B12="博多",
IF(C12&lt;&gt;"",
IF(IFERROR(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0)&lt;&gt;0,
IF(IFERROR(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0)="",
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0),
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0)),0),""),0)</f>
        <v>#N/A</v>
      </c>
      <c r="O12" s="52" t="e">
        <f t="shared" ca="1" si="8"/>
        <v>#N/A</v>
      </c>
      <c r="P12" s="52">
        <f t="shared" ca="1" si="4"/>
        <v>0</v>
      </c>
      <c r="Q12" s="52" t="b">
        <f t="shared" ca="1" si="5"/>
        <v>0</v>
      </c>
      <c r="R12" s="51" t="str" cm="1">
        <f t="array" aca="1" ref="R12" ca="1">IFERROR(SMALL(IF(P$1:P$300&lt;&gt;0,P$1:P$300),ROW(A12)),"")</f>
        <v/>
      </c>
      <c r="S12" s="51" t="str">
        <f t="array" aca="1" ref="S12" ca="1">IF($R12&lt;&gt;"",
INDIRECT(""&amp;IF(COLUMN(C17)&lt;=26,CHAR(COLUMN(C17)+64),CHAR(INT((COLUMN(C17)-1)/26)+64)&amp;CHAR(MOD(COLUMN(C17)-1,26)+65))&amp;$R12&amp;""),"")</f>
        <v/>
      </c>
      <c r="T12" s="51" t="str" cm="1">
        <f t="array" aca="1" ref="T12" ca="1">IF(IF($R12&lt;&gt;"",
INDIRECT(""&amp;IF(COLUMN(D32)&lt;=26,CHAR(COLUMN(D32)+64),CHAR(INT((COLUMN(D32)-1)/26)+64)&amp;CHAR(MOD(COLUMN(D32)-1,26)+65))&amp;$R12&amp;""),"")=0,"",
IF($R12&lt;&gt;"",
INDIRECT(""&amp;IF(COLUMN(D32)&lt;=26,CHAR(COLUMN(D32)+64),CHAR(INT((COLUMN(D32)-1)/26)+64)&amp;CHAR(MOD(COLUMN(D32)-1,26)+65))&amp;$R12&amp;""),""))</f>
        <v/>
      </c>
      <c r="U12" s="51"/>
      <c r="V12" s="51" t="str">
        <f t="array" aca="1" ref="V12" ca="1">IF($R12&lt;&gt;"",
IF(U12="",
IF(INDIRECT("EY"&amp;$R12&amp;"")&lt;&gt;"",
INDIRECT("EY"&amp;$R12&amp;"")&amp;"箱"
&amp;INDIRECT("EZ"&amp;$R12&amp;""),""),""),"")</f>
        <v/>
      </c>
      <c r="W12" s="51" t="str">
        <f t="array" aca="1" ref="W12" ca="1">IF($R12&lt;&gt;"",
INDIRECT(""&amp;IF(COLUMN(H17)&lt;=26,CHAR(COLUMN(H17)+64),CHAR(INT((COLUMN(H17)-1)/26)+64)&amp;CHAR(MOD(COLUMN(H17)-1,26)+65))&amp;$R12&amp;""),"")</f>
        <v/>
      </c>
      <c r="X12" s="51" t="str">
        <f t="array" aca="1" ref="X12" ca="1">IF($R12&lt;&gt;"",
INDIRECT(""&amp;IF(COLUMN(I17)&lt;=26,CHAR(COLUMN(I17)+64),CHAR(INT((COLUMN(I17)-1)/26)+64)&amp;CHAR(MOD(COLUMN(I17)-1,26)+65))&amp;$R12&amp;""),"")</f>
        <v/>
      </c>
      <c r="Y12" s="51" t="str">
        <f t="array" aca="1" ref="Y12" ca="1">IF($R12&lt;&gt;"",
INDIRECT(""&amp;IF(COLUMN(J17)&lt;=26,CHAR(COLUMN(J17)+64),CHAR(INT((COLUMN(J17)-1)/26)+64)&amp;CHAR(MOD(COLUMN(J17)-1,26)+65))&amp;$R12&amp;""),"")</f>
        <v/>
      </c>
      <c r="Z12" s="51" t="str">
        <f t="array" aca="1" ref="Z12" ca="1">IF($R12&lt;&gt;"",
INDIRECT(""&amp;IF(COLUMN(K17)&lt;=26,CHAR(COLUMN(K17)+64),CHAR(INT((COLUMN(K17)-1)/26)+64)&amp;CHAR(MOD(COLUMN(K17)-1,26)+65))&amp;$R12&amp;""),"")</f>
        <v/>
      </c>
      <c r="AA12" s="51" t="str">
        <f t="array" aca="1" ref="AA12" ca="1">IF($R12&lt;&gt;"",
INDIRECT(""&amp;IF(COLUMN(L17)&lt;=26,CHAR(COLUMN(L17)+64),CHAR(INT((COLUMN(L17)-1)/26)+64)&amp;CHAR(MOD(COLUMN(L17)-1,26)+65))&amp;$R12&amp;""),"")</f>
        <v/>
      </c>
      <c r="AB12" s="51" t="str">
        <f t="array" aca="1" ref="AB12" ca="1">IF($R12&lt;&gt;"",
INDIRECT(""&amp;IF(COLUMN(O17)&lt;=26,CHAR(COLUMN(O17)+64),CHAR(INT((COLUMN(O17)-1)/26)+64)&amp;CHAR(MOD(COLUMN(O17)-1,26)+65))&amp;$R12&amp;""),"")</f>
        <v/>
      </c>
    </row>
    <row r="13" spans="1:28" s="51" customFormat="1" ht="22.2" customHeight="1">
      <c r="A13" s="197">
        <f t="shared" si="3"/>
        <v>31</v>
      </c>
      <c r="B13" s="52" t="e">
        <f t="array" aca="1" ref="B13" ca="1">IF(AND(LEFT(C13,2)="博多",
LEFT(INDIRECT("数出表_Excel!A"&amp;MATCH(C13,数出表_Excel!$A:$A,0)-1),2)
=LEFT(INDIRECT("数出表_Excel!A"&amp;MATCH(C13,数出表_Excel!$A:$A,0)+1),2)),"博多",
IF(AND(LEFT(C13,3)="奈良屋",
LEFT(INDIRECT("数出表_Excel!A"&amp;MATCH(C13,数出表_Excel!$A:$A,0)-1),2)
=LEFT(INDIRECT("数出表_Excel!A"&amp;MATCH(C13,数出表_Excel!$A:$A,0)+1),2)),"奈良屋",""))</f>
        <v>#N/A</v>
      </c>
      <c r="C13" s="52" t="str" cm="1">
        <f t="array" aca="1" ref="C13" ca="1">IF(IF(クライアント抽出!A13="",0,LEN(クライアント抽出!V13)-LEN(SUBSTITUTE(クライアント抽出!V13,",","")))&gt;=1,INDIRECT("数出表_Excel!A"&amp;A13&amp;""),"")</f>
        <v/>
      </c>
      <c r="D13" s="52" t="str" cm="1">
        <f t="array" aca="1" ref="D13" ca="1">IF(C13&lt;&gt;"",INDIRECT("クライアント抽出!"&amp;E13&amp;MATCH(C13,クライアント抽出!A:A,0)&amp;""),"")</f>
        <v/>
      </c>
      <c r="E13" s="52" t="str">
        <f ca="1"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t="array" aca="1" ref="F13" ca="1">IF(D13&lt;&gt;"",
IF(COUNTIF(C13,"*雙葉*"),
IF(ROUND(
IF(O13&lt;&gt;"",(H13-O13),H13)
/IF(COUNTIF('盛付札（関数）'!D13,"*キャラ*"),
VLOOKUP("*キャラ*",#REF!,7,FALSE),
IF(COUNTIF('盛付札（関数）'!D13,"*赤*"),
VLOOKUP("*赤*",#REF!,7,FALSE),
VLOOKUP('盛付札（関数）'!D13,#REF!,7,FALSE))),0)&lt;=0,1,
ROUND(
IF(O13&lt;&gt;"",(H13-O13),H13)
/IF(COUNTIF('盛付札（関数）'!D13,"*キャラ*"),
VLOOKUP("*キャラ*",#REF!,7,FALSE),
IF(COUNTIF('盛付札（関数）'!D13,"*赤*"),
VLOOKUP("*赤*",#REF!,7,FALSE),
VLOOKUP('盛付札（関数）'!D13,#REF!,7,FALSE))),0)),
IF(MATCH(TRUE,
ISNUMBER(--INDIRECT("数出表_Excel!B"&amp;MATCH(C13,数出表_Excel!$A:$A,0)-1&amp;":U"&amp;MATCH(C13,数出表_Excel!$A:$A,0)-1&amp;"")),0)&gt;10,
IF(D13&lt;&gt;"",
IF(IF(COUNTIF('盛付札（関数）'!D13,"*キャラ*"),
VLOOKUP("*キャラ*",#REF!,7,FALSE),
IF(COUNTIF('盛付札（関数）'!D13,"*赤*"),
VLOOKUP("*赤*",#REF!,7,FALSE),
VLOOKUP('盛付札（関数）'!D13,#REF!,7,FALSE)))=0,"",
IF(ROUND(
IF(O13&lt;&gt;"",(H13-O13),H13)
/IF(COUNTIF('盛付札（関数）'!D13,"*キャラ*"),
VLOOKUP("*キャラ*",#REF!,7,FALSE),
IF(COUNTIF('盛付札（関数）'!D13,"*赤*"),
VLOOKUP("*赤*",#REF!,7,FALSE),
VLOOKUP('盛付札（関数）'!D13,#REF!,7,FALSE))),0)&lt;=0,1,
ROUND(
IF(O13&lt;&gt;"",(H13-O13),H13)
/IF(COUNTIF('盛付札（関数）'!D13,"*キャラ*"),
VLOOKUP("*キャラ*",#REF!,7,FALSE),
IF(COUNTIF('盛付札（関数）'!D13,"*赤*"),
VLOOKUP("*赤*",#REF!,7,FALSE),
VLOOKUP('盛付札（関数）'!D13,#REF!,7,FALSE))),0))),""),"")),"")</f>
        <v/>
      </c>
      <c r="G13" s="53" t="str">
        <f ca="1">IF(F13&lt;&gt;"",IF(VALUE(IF(O13&lt;&gt;"",H13-O13,H13))&gt;VALUE(IF(COUNTIF('盛付札（関数）'!D13,"*キャラ*"),
VLOOKUP("*キャラ*",#REF!,7,FALSE),
IF(COUNTIF('盛付札（関数）'!D13,"*赤*"),
VLOOKUP("*赤*",#REF!,7,FALSE),
VLOOKUP('盛付札（関数）'!D13,#REF!,7,FALSE)))*F13),
"+"&amp;IF(O13&lt;&gt;"",H13-O13,H13)-IF(COUNTIF('盛付札（関数）'!D13,"*キャラ*"),
VLOOKUP("*キャラ*",#REF!,7,FALSE),
IF(COUNTIF('盛付札（関数）'!D13,"*赤*"),
VLOOKUP("*赤*",#REF!,7,FALSE),
VLOOKUP('盛付札（関数）'!D13,#REF!,7,FALSE)))*F13,
IF(O13&lt;&gt;"",H13-O13,H13)-IF(COUNTIF('盛付札（関数）'!D13,"*キャラ*"),
VLOOKUP("*キャラ*",#REF!,7,FALSE),
IF(COUNTIF('盛付札（関数）'!D13,"*赤*"),
VLOOKUP("*赤*",#REF!,7,FALSE),
VLOOKUP('盛付札（関数）'!D13,#REF!,7,FALSE)))*F13),"")</f>
        <v/>
      </c>
      <c r="H13" s="195" t="str" cm="1">
        <f t="array" aca="1" ref="H13" ca="1">IF(C13&lt;&gt;"",
IF(INDIRECT("数出表_Excel!"&amp;LEFT(クライアント抽出!V13)&amp;A13-1&amp;"")&lt;&gt;"",INDIRECT("数出表_Excel!"&amp;LEFT(クライアント抽出!V13)&amp;A13-1&amp;""),0),"")</f>
        <v/>
      </c>
      <c r="I13" s="52" t="str" cm="1">
        <f t="array" aca="1" ref="I13" ca="1">IF(C13&lt;&gt;"",
IF(INDIRECT("数出表_Excel!"&amp;LEFT(クライアント抽出!V13)&amp;A13&amp;"")&lt;&gt;"",INDIRECT("数出表_Excel!"&amp;LEFT(クライアント抽出!V13)&amp;A13&amp;""),0),"")</f>
        <v/>
      </c>
      <c r="J13" s="52" t="str">
        <f ca="1">IF(C13&lt;&gt;"",
VLOOKUP(
IF(COUNTIF(D13,"*学食*"),"キャラ弁（学食）",
IF(COUNTIF(D13,"*赤*"),"赤",
IF(COUNTIF(D13,"*キャラ弁当*"),"キャラ弁当",D13))),注文弁当の抽出!$E$1:$F$15,2,FALSE),"")</f>
        <v/>
      </c>
      <c r="K13" s="52" t="str">
        <f t="shared" ca="1" si="6"/>
        <v/>
      </c>
      <c r="L13" s="52" t="str">
        <f t="shared" ca="1" si="7"/>
        <v/>
      </c>
      <c r="M13" s="52" cm="1">
        <f t="array" aca="1" ref="M13" ca="1">IF(C13&lt;&gt;"",
IF(IFERROR(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0)&lt;&gt;0,
IF(IFERROR(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"")="",
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""),
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0)),0),0)</f>
        <v>0</v>
      </c>
      <c r="N13" s="52" t="e">
        <f t="array" aca="1" ref="N13" ca="1">IF(B13="博多",
IF(C13&lt;&gt;"",
IF(IFERROR(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0)&lt;&gt;0,
IF(IFERROR(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0)="",
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0),
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0)),0),""),0)</f>
        <v>#N/A</v>
      </c>
      <c r="O13" s="52" t="e">
        <f t="shared" ca="1" si="8"/>
        <v>#N/A</v>
      </c>
      <c r="P13" s="52">
        <f t="shared" ca="1" si="4"/>
        <v>0</v>
      </c>
      <c r="Q13" s="52" t="b">
        <f t="shared" ca="1" si="5"/>
        <v>0</v>
      </c>
      <c r="R13" s="51" t="str" cm="1">
        <f t="array" aca="1" ref="R13" ca="1">IFERROR(SMALL(IF(P$1:P$300&lt;&gt;0,P$1:P$300),ROW(A13)),"")</f>
        <v/>
      </c>
      <c r="S13" s="51" t="str">
        <f t="array" aca="1" ref="S13" ca="1">IF($R13&lt;&gt;"",
INDIRECT(""&amp;IF(COLUMN(C19)&lt;=26,CHAR(COLUMN(C19)+64),CHAR(INT((COLUMN(C19)-1)/26)+64)&amp;CHAR(MOD(COLUMN(C19)-1,26)+65))&amp;$R13&amp;""),"")</f>
        <v/>
      </c>
      <c r="T13" s="51" t="str" cm="1">
        <f t="array" aca="1" ref="T13" ca="1">IF(IF($R13&lt;&gt;"",
INDIRECT(""&amp;IF(COLUMN(D33)&lt;=26,CHAR(COLUMN(D33)+64),CHAR(INT((COLUMN(D33)-1)/26)+64)&amp;CHAR(MOD(COLUMN(D33)-1,26)+65))&amp;$R13&amp;""),"")=0,"",
IF($R13&lt;&gt;"",
INDIRECT(""&amp;IF(COLUMN(D33)&lt;=26,CHAR(COLUMN(D33)+64),CHAR(INT((COLUMN(D33)-1)/26)+64)&amp;CHAR(MOD(COLUMN(D33)-1,26)+65))&amp;$R13&amp;""),""))</f>
        <v/>
      </c>
      <c r="V13" s="51" t="str">
        <f t="array" aca="1" ref="V13" ca="1">IF($R13&lt;&gt;"",
IF(U13="",
IF(INDIRECT("EY"&amp;$R13&amp;"")&lt;&gt;"",
INDIRECT("EY"&amp;$R13&amp;"")&amp;"箱"
&amp;INDIRECT("EZ"&amp;$R13&amp;""),""),""),"")</f>
        <v/>
      </c>
      <c r="W13" s="51" t="str">
        <f t="array" aca="1" ref="W13" ca="1">IF($R13&lt;&gt;"",
INDIRECT(""&amp;IF(COLUMN(H19)&lt;=26,CHAR(COLUMN(H19)+64),CHAR(INT((COLUMN(H19)-1)/26)+64)&amp;CHAR(MOD(COLUMN(H19)-1,26)+65))&amp;$R13&amp;""),"")</f>
        <v/>
      </c>
      <c r="X13" s="51" t="str">
        <f t="array" aca="1" ref="X13" ca="1">IF($R13&lt;&gt;"",
INDIRECT(""&amp;IF(COLUMN(I19)&lt;=26,CHAR(COLUMN(I19)+64),CHAR(INT((COLUMN(I19)-1)/26)+64)&amp;CHAR(MOD(COLUMN(I19)-1,26)+65))&amp;$R13&amp;""),"")</f>
        <v/>
      </c>
      <c r="Y13" s="51" t="str">
        <f t="array" aca="1" ref="Y13" ca="1">IF($R13&lt;&gt;"",
INDIRECT(""&amp;IF(COLUMN(J19)&lt;=26,CHAR(COLUMN(J19)+64),CHAR(INT((COLUMN(J19)-1)/26)+64)&amp;CHAR(MOD(COLUMN(J19)-1,26)+65))&amp;$R13&amp;""),"")</f>
        <v/>
      </c>
      <c r="Z13" s="51" t="str">
        <f t="array" aca="1" ref="Z13" ca="1">IF($R13&lt;&gt;"",
INDIRECT(""&amp;IF(COLUMN(K19)&lt;=26,CHAR(COLUMN(K19)+64),CHAR(INT((COLUMN(K19)-1)/26)+64)&amp;CHAR(MOD(COLUMN(K19)-1,26)+65))&amp;$R13&amp;""),"")</f>
        <v/>
      </c>
      <c r="AA13" s="51" t="str">
        <f t="array" aca="1" ref="AA13" ca="1">IF($R13&lt;&gt;"",
INDIRECT(""&amp;IF(COLUMN(L19)&lt;=26,CHAR(COLUMN(L19)+64),CHAR(INT((COLUMN(L19)-1)/26)+64)&amp;CHAR(MOD(COLUMN(L19)-1,26)+65))&amp;$R13&amp;""),"")</f>
        <v/>
      </c>
      <c r="AB13" s="51" t="str">
        <f t="array" aca="1" ref="AB13" ca="1">IF($R13&lt;&gt;"",
INDIRECT(""&amp;IF(COLUMN(O19)&lt;=26,CHAR(COLUMN(O19)+64),CHAR(INT((COLUMN(O19)-1)/26)+64)&amp;CHAR(MOD(COLUMN(O19)-1,26)+65))&amp;$R13&amp;""),"")</f>
        <v/>
      </c>
    </row>
    <row r="14" spans="1:28" ht="21" customHeight="1">
      <c r="A14" s="197">
        <f t="shared" si="3"/>
        <v>33</v>
      </c>
      <c r="B14" s="52" t="e">
        <f t="array" aca="1" ref="B14" ca="1">IF(AND(LEFT(C14,2)="博多",
LEFT(INDIRECT("数出表_Excel!A"&amp;MATCH(C14,数出表_Excel!$A:$A,0)-1),2)
=LEFT(INDIRECT("数出表_Excel!A"&amp;MATCH(C14,数出表_Excel!$A:$A,0)+1),2)),"博多",
IF(AND(LEFT(C14,3)="奈良屋",
LEFT(INDIRECT("数出表_Excel!A"&amp;MATCH(C14,数出表_Excel!$A:$A,0)-1),2)
=LEFT(INDIRECT("数出表_Excel!A"&amp;MATCH(C14,数出表_Excel!$A:$A,0)+1),2)),"奈良屋",""))</f>
        <v>#N/A</v>
      </c>
      <c r="C14" s="52" t="str" cm="1">
        <f t="array" aca="1" ref="C14" ca="1">IF(IF(クライアント抽出!A14="",0,LEN(クライアント抽出!V14)-LEN(SUBSTITUTE(クライアント抽出!V14,",","")))&gt;=1,INDIRECT("数出表_Excel!A"&amp;A14&amp;""),"")</f>
        <v/>
      </c>
      <c r="D14" s="52" t="str" cm="1">
        <f t="array" aca="1" ref="D14" ca="1">IF(C14&lt;&gt;"",INDIRECT("クライアント抽出!"&amp;E14&amp;MATCH(C14,クライアント抽出!A:A,0)&amp;""),"")</f>
        <v/>
      </c>
      <c r="E14" s="52" t="str">
        <f ca="1"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t="array" aca="1" ref="F14" ca="1">IF(D14&lt;&gt;"",
IF(COUNTIF(C14,"*雙葉*"),
IF(ROUND(
IF(O14&lt;&gt;"",(H14-O14),H14)
/IF(COUNTIF('盛付札（関数）'!D14,"*キャラ*"),
VLOOKUP("*キャラ*",#REF!,7,FALSE),
IF(COUNTIF('盛付札（関数）'!D14,"*赤*"),
VLOOKUP("*赤*",#REF!,7,FALSE),
VLOOKUP('盛付札（関数）'!D14,#REF!,7,FALSE))),0)&lt;=0,1,
ROUND(
IF(O14&lt;&gt;"",(H14-O14),H14)
/IF(COUNTIF('盛付札（関数）'!D14,"*キャラ*"),
VLOOKUP("*キャラ*",#REF!,7,FALSE),
IF(COUNTIF('盛付札（関数）'!D14,"*赤*"),
VLOOKUP("*赤*",#REF!,7,FALSE),
VLOOKUP('盛付札（関数）'!D14,#REF!,7,FALSE))),0)),
IF(MATCH(TRUE,
ISNUMBER(--INDIRECT("数出表_Excel!B"&amp;MATCH(C14,数出表_Excel!$A:$A,0)-1&amp;":U"&amp;MATCH(C14,数出表_Excel!$A:$A,0)-1&amp;"")),0)&gt;10,
IF(D14&lt;&gt;"",
IF(IF(COUNTIF('盛付札（関数）'!D14,"*キャラ*"),
VLOOKUP("*キャラ*",#REF!,7,FALSE),
IF(COUNTIF('盛付札（関数）'!D14,"*赤*"),
VLOOKUP("*赤*",#REF!,7,FALSE),
VLOOKUP('盛付札（関数）'!D14,#REF!,7,FALSE)))=0,"",
IF(ROUND(
IF(O14&lt;&gt;"",(H14-O14),H14)
/IF(COUNTIF('盛付札（関数）'!D14,"*キャラ*"),
VLOOKUP("*キャラ*",#REF!,7,FALSE),
IF(COUNTIF('盛付札（関数）'!D14,"*赤*"),
VLOOKUP("*赤*",#REF!,7,FALSE),
VLOOKUP('盛付札（関数）'!D14,#REF!,7,FALSE))),0)&lt;=0,1,
ROUND(
IF(O14&lt;&gt;"",(H14-O14),H14)
/IF(COUNTIF('盛付札（関数）'!D14,"*キャラ*"),
VLOOKUP("*キャラ*",#REF!,7,FALSE),
IF(COUNTIF('盛付札（関数）'!D14,"*赤*"),
VLOOKUP("*赤*",#REF!,7,FALSE),
VLOOKUP('盛付札（関数）'!D14,#REF!,7,FALSE))),0))),""),"")),"")</f>
        <v/>
      </c>
      <c r="G14" s="53" t="str">
        <f ca="1">IF(F14&lt;&gt;"",IF(VALUE(IF(O14&lt;&gt;"",H14-O14,H14))&gt;VALUE(IF(COUNTIF('盛付札（関数）'!D14,"*キャラ*"),
VLOOKUP("*キャラ*",#REF!,7,FALSE),
IF(COUNTIF('盛付札（関数）'!D14,"*赤*"),
VLOOKUP("*赤*",#REF!,7,FALSE),
VLOOKUP('盛付札（関数）'!D14,#REF!,7,FALSE)))*F14),
"+"&amp;IF(O14&lt;&gt;"",H14-O14,H14)-IF(COUNTIF('盛付札（関数）'!D14,"*キャラ*"),
VLOOKUP("*キャラ*",#REF!,7,FALSE),
IF(COUNTIF('盛付札（関数）'!D14,"*赤*"),
VLOOKUP("*赤*",#REF!,7,FALSE),
VLOOKUP('盛付札（関数）'!D14,#REF!,7,FALSE)))*F14,
IF(O14&lt;&gt;"",H14-O14,H14)-IF(COUNTIF('盛付札（関数）'!D14,"*キャラ*"),
VLOOKUP("*キャラ*",#REF!,7,FALSE),
IF(COUNTIF('盛付札（関数）'!D14,"*赤*"),
VLOOKUP("*赤*",#REF!,7,FALSE),
VLOOKUP('盛付札（関数）'!D14,#REF!,7,FALSE)))*F14),"")</f>
        <v/>
      </c>
      <c r="H14" s="195" t="str" cm="1">
        <f t="array" aca="1" ref="H14" ca="1">IF(C14&lt;&gt;"",
IF(INDIRECT("数出表_Excel!"&amp;LEFT(クライアント抽出!V14)&amp;A14-1&amp;"")&lt;&gt;"",INDIRECT("数出表_Excel!"&amp;LEFT(クライアント抽出!V14)&amp;A14-1&amp;""),0),"")</f>
        <v/>
      </c>
      <c r="I14" s="52" t="str" cm="1">
        <f t="array" aca="1" ref="I14" ca="1">IF(C14&lt;&gt;"",
IF(INDIRECT("数出表_Excel!"&amp;LEFT(クライアント抽出!V14)&amp;A14&amp;"")&lt;&gt;"",INDIRECT("数出表_Excel!"&amp;LEFT(クライアント抽出!V14)&amp;A14&amp;""),0),"")</f>
        <v/>
      </c>
      <c r="J14" s="52" t="str">
        <f ca="1">IF(C14&lt;&gt;"",
VLOOKUP(
IF(COUNTIF(D14,"*学食*"),"キャラ弁（学食）",
IF(COUNTIF(D14,"*赤*"),"赤",
IF(COUNTIF(D14,"*キャラ弁当*"),"キャラ弁当",D14))),注文弁当の抽出!$E$1:$F$15,2,FALSE),"")</f>
        <v/>
      </c>
      <c r="K14" s="52" t="str">
        <f t="shared" ca="1" si="6"/>
        <v/>
      </c>
      <c r="L14" s="52" t="str">
        <f t="shared" ca="1" si="7"/>
        <v/>
      </c>
      <c r="M14" s="52" cm="1">
        <f t="array" aca="1" ref="M14" ca="1">IF(C14&lt;&gt;"",
IF(IFERROR(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0)&lt;&gt;0,
IF(IFERROR(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"")="",
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""),
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0)),0),0)</f>
        <v>0</v>
      </c>
      <c r="N14" s="52" t="e">
        <f t="array" aca="1" ref="N14" ca="1">IF(B14="博多",
IF(C14&lt;&gt;"",
IF(IFERROR(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0)&lt;&gt;0,
IF(IFERROR(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0)="",
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0),
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0)),0),""),0)</f>
        <v>#N/A</v>
      </c>
      <c r="O14" s="52" t="e">
        <f t="shared" ca="1" si="8"/>
        <v>#N/A</v>
      </c>
      <c r="P14" s="52">
        <f t="shared" ca="1" si="4"/>
        <v>0</v>
      </c>
      <c r="Q14" s="52" t="b">
        <f t="shared" ca="1" si="5"/>
        <v>0</v>
      </c>
      <c r="R14" s="51" t="str" cm="1">
        <f t="array" aca="1" ref="R14" ca="1">IFERROR(SMALL(IF(P$1:P$300&lt;&gt;0,P$1:P$300),ROW(A14)),"")</f>
        <v/>
      </c>
      <c r="S14" s="51" t="str">
        <f t="array" aca="1" ref="S14" ca="1">IF($R14&lt;&gt;"",
INDIRECT(""&amp;IF(COLUMN(C20)&lt;=26,CHAR(COLUMN(C20)+64),CHAR(INT((COLUMN(C20)-1)/26)+64)&amp;CHAR(MOD(COLUMN(C20)-1,26)+65))&amp;$R14&amp;""),"")</f>
        <v/>
      </c>
      <c r="T14" s="51" t="str" cm="1">
        <f t="array" aca="1" ref="T14" ca="1">IF(IF($R14&lt;&gt;"",
INDIRECT(""&amp;IF(COLUMN(D34)&lt;=26,CHAR(COLUMN(D34)+64),CHAR(INT((COLUMN(D34)-1)/26)+64)&amp;CHAR(MOD(COLUMN(D34)-1,26)+65))&amp;$R14&amp;""),"")=0,"",
IF($R14&lt;&gt;"",
INDIRECT(""&amp;IF(COLUMN(D34)&lt;=26,CHAR(COLUMN(D34)+64),CHAR(INT((COLUMN(D34)-1)/26)+64)&amp;CHAR(MOD(COLUMN(D34)-1,26)+65))&amp;$R14&amp;""),""))</f>
        <v/>
      </c>
      <c r="U14" s="51"/>
      <c r="V14" s="51" t="str">
        <f t="array" aca="1" ref="V14" ca="1">IF($R14&lt;&gt;"",
IF(U14="",
IF(INDIRECT("EY"&amp;$R14&amp;"")&lt;&gt;"",
INDIRECT("EY"&amp;$R14&amp;"")&amp;"箱"
&amp;INDIRECT("EZ"&amp;$R14&amp;""),""),""),"")</f>
        <v/>
      </c>
      <c r="W14" s="51" t="str">
        <f t="array" aca="1" ref="W14" ca="1">IF($R14&lt;&gt;"",
INDIRECT(""&amp;IF(COLUMN(H20)&lt;=26,CHAR(COLUMN(H20)+64),CHAR(INT((COLUMN(H20)-1)/26)+64)&amp;CHAR(MOD(COLUMN(H20)-1,26)+65))&amp;$R14&amp;""),"")</f>
        <v/>
      </c>
      <c r="X14" s="51" t="str">
        <f t="array" aca="1" ref="X14" ca="1">IF($R14&lt;&gt;"",
INDIRECT(""&amp;IF(COLUMN(I20)&lt;=26,CHAR(COLUMN(I20)+64),CHAR(INT((COLUMN(I20)-1)/26)+64)&amp;CHAR(MOD(COLUMN(I20)-1,26)+65))&amp;$R14&amp;""),"")</f>
        <v/>
      </c>
      <c r="Y14" s="51" t="str">
        <f t="array" aca="1" ref="Y14" ca="1">IF($R14&lt;&gt;"",
INDIRECT(""&amp;IF(COLUMN(J20)&lt;=26,CHAR(COLUMN(J20)+64),CHAR(INT((COLUMN(J20)-1)/26)+64)&amp;CHAR(MOD(COLUMN(J20)-1,26)+65))&amp;$R14&amp;""),"")</f>
        <v/>
      </c>
      <c r="Z14" s="51" t="str">
        <f t="array" aca="1" ref="Z14" ca="1">IF($R14&lt;&gt;"",
INDIRECT(""&amp;IF(COLUMN(K20)&lt;=26,CHAR(COLUMN(K20)+64),CHAR(INT((COLUMN(K20)-1)/26)+64)&amp;CHAR(MOD(COLUMN(K20)-1,26)+65))&amp;$R14&amp;""),"")</f>
        <v/>
      </c>
      <c r="AA14" s="51" t="str">
        <f t="array" aca="1" ref="AA14" ca="1">IF($R14&lt;&gt;"",
INDIRECT(""&amp;IF(COLUMN(L20)&lt;=26,CHAR(COLUMN(L20)+64),CHAR(INT((COLUMN(L20)-1)/26)+64)&amp;CHAR(MOD(COLUMN(L20)-1,26)+65))&amp;$R14&amp;""),"")</f>
        <v/>
      </c>
      <c r="AB14" s="51" t="str">
        <f t="array" aca="1" ref="AB14" ca="1">IF($R14&lt;&gt;"",
INDIRECT(""&amp;IF(COLUMN(O20)&lt;=26,CHAR(COLUMN(O20)+64),CHAR(INT((COLUMN(O20)-1)/26)+64)&amp;CHAR(MOD(COLUMN(O20)-1,26)+65))&amp;$R14&amp;""),"")</f>
        <v/>
      </c>
    </row>
    <row r="15" spans="1:28" s="51" customFormat="1" ht="18" customHeight="1">
      <c r="A15" s="197">
        <f t="shared" si="3"/>
        <v>35</v>
      </c>
      <c r="B15" s="52" t="e">
        <f t="array" aca="1" ref="B15" ca="1">IF(AND(LEFT(C15,2)="博多",
LEFT(INDIRECT("数出表_Excel!A"&amp;MATCH(C15,数出表_Excel!$A:$A,0)-1),2)
=LEFT(INDIRECT("数出表_Excel!A"&amp;MATCH(C15,数出表_Excel!$A:$A,0)+1),2)),"博多",
IF(AND(LEFT(C15,3)="奈良屋",
LEFT(INDIRECT("数出表_Excel!A"&amp;MATCH(C15,数出表_Excel!$A:$A,0)-1),2)
=LEFT(INDIRECT("数出表_Excel!A"&amp;MATCH(C15,数出表_Excel!$A:$A,0)+1),2)),"奈良屋",""))</f>
        <v>#N/A</v>
      </c>
      <c r="C15" s="52" t="str" cm="1">
        <f t="array" aca="1" ref="C15" ca="1">IF(IF(クライアント抽出!A15="",0,LEN(クライアント抽出!V15)-LEN(SUBSTITUTE(クライアント抽出!V15,",","")))&gt;=1,INDIRECT("数出表_Excel!A"&amp;A15&amp;""),"")</f>
        <v/>
      </c>
      <c r="D15" s="52" t="str" cm="1">
        <f t="array" aca="1" ref="D15" ca="1">IF(C15&lt;&gt;"",INDIRECT("クライアント抽出!"&amp;E15&amp;MATCH(C15,クライアント抽出!A:A,0)&amp;""),"")</f>
        <v/>
      </c>
      <c r="E15" s="52" t="str">
        <f ca="1"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t="array" aca="1" ref="F15" ca="1">IF(D15&lt;&gt;"",
IF(COUNTIF(C15,"*雙葉*"),
IF(ROUND(
IF(O15&lt;&gt;"",(H15-O15),H15)
/IF(COUNTIF('盛付札（関数）'!D15,"*キャラ*"),
VLOOKUP("*キャラ*",#REF!,7,FALSE),
IF(COUNTIF('盛付札（関数）'!D15,"*赤*"),
VLOOKUP("*赤*",#REF!,7,FALSE),
VLOOKUP('盛付札（関数）'!D15,#REF!,7,FALSE))),0)&lt;=0,1,
ROUND(
IF(O15&lt;&gt;"",(H15-O15),H15)
/IF(COUNTIF('盛付札（関数）'!D15,"*キャラ*"),
VLOOKUP("*キャラ*",#REF!,7,FALSE),
IF(COUNTIF('盛付札（関数）'!D15,"*赤*"),
VLOOKUP("*赤*",#REF!,7,FALSE),
VLOOKUP('盛付札（関数）'!D15,#REF!,7,FALSE))),0)),
IF(MATCH(TRUE,
ISNUMBER(--INDIRECT("数出表_Excel!B"&amp;MATCH(C15,数出表_Excel!$A:$A,0)-1&amp;":U"&amp;MATCH(C15,数出表_Excel!$A:$A,0)-1&amp;"")),0)&gt;10,
IF(D15&lt;&gt;"",
IF(IF(COUNTIF('盛付札（関数）'!D15,"*キャラ*"),
VLOOKUP("*キャラ*",#REF!,7,FALSE),
IF(COUNTIF('盛付札（関数）'!D15,"*赤*"),
VLOOKUP("*赤*",#REF!,7,FALSE),
VLOOKUP('盛付札（関数）'!D15,#REF!,7,FALSE)))=0,"",
IF(ROUND(
IF(O15&lt;&gt;"",(H15-O15),H15)
/IF(COUNTIF('盛付札（関数）'!D15,"*キャラ*"),
VLOOKUP("*キャラ*",#REF!,7,FALSE),
IF(COUNTIF('盛付札（関数）'!D15,"*赤*"),
VLOOKUP("*赤*",#REF!,7,FALSE),
VLOOKUP('盛付札（関数）'!D15,#REF!,7,FALSE))),0)&lt;=0,1,
ROUND(
IF(O15&lt;&gt;"",(H15-O15),H15)
/IF(COUNTIF('盛付札（関数）'!D15,"*キャラ*"),
VLOOKUP("*キャラ*",#REF!,7,FALSE),
IF(COUNTIF('盛付札（関数）'!D15,"*赤*"),
VLOOKUP("*赤*",#REF!,7,FALSE),
VLOOKUP('盛付札（関数）'!D15,#REF!,7,FALSE))),0))),""),"")),"")</f>
        <v/>
      </c>
      <c r="G15" s="53" t="str">
        <f ca="1">IF(F15&lt;&gt;"",IF(VALUE(IF(O15&lt;&gt;"",H15-O15,H15))&gt;VALUE(IF(COUNTIF('盛付札（関数）'!D15,"*キャラ*"),
VLOOKUP("*キャラ*",#REF!,7,FALSE),
IF(COUNTIF('盛付札（関数）'!D15,"*赤*"),
VLOOKUP("*赤*",#REF!,7,FALSE),
VLOOKUP('盛付札（関数）'!D15,#REF!,7,FALSE)))*F15),
"+"&amp;IF(O15&lt;&gt;"",H15-O15,H15)-IF(COUNTIF('盛付札（関数）'!D15,"*キャラ*"),
VLOOKUP("*キャラ*",#REF!,7,FALSE),
IF(COUNTIF('盛付札（関数）'!D15,"*赤*"),
VLOOKUP("*赤*",#REF!,7,FALSE),
VLOOKUP('盛付札（関数）'!D15,#REF!,7,FALSE)))*F15,
IF(O15&lt;&gt;"",H15-O15,H15)-IF(COUNTIF('盛付札（関数）'!D15,"*キャラ*"),
VLOOKUP("*キャラ*",#REF!,7,FALSE),
IF(COUNTIF('盛付札（関数）'!D15,"*赤*"),
VLOOKUP("*赤*",#REF!,7,FALSE),
VLOOKUP('盛付札（関数）'!D15,#REF!,7,FALSE)))*F15),"")</f>
        <v/>
      </c>
      <c r="H15" s="195" t="str" cm="1">
        <f t="array" aca="1" ref="H15" ca="1">IF(C15&lt;&gt;"",
IF(INDIRECT("数出表_Excel!"&amp;LEFT(クライアント抽出!V15)&amp;A15-1&amp;"")&lt;&gt;"",INDIRECT("数出表_Excel!"&amp;LEFT(クライアント抽出!V15)&amp;A15-1&amp;""),0),"")</f>
        <v/>
      </c>
      <c r="I15" s="52" t="str" cm="1">
        <f t="array" aca="1" ref="I15" ca="1">IF(C15&lt;&gt;"",
IF(INDIRECT("数出表_Excel!"&amp;LEFT(クライアント抽出!V15)&amp;A15&amp;"")&lt;&gt;"",INDIRECT("数出表_Excel!"&amp;LEFT(クライアント抽出!V15)&amp;A15&amp;""),0),"")</f>
        <v/>
      </c>
      <c r="J15" s="52" t="str">
        <f ca="1">IF(C15&lt;&gt;"",
VLOOKUP(
IF(COUNTIF(D15,"*学食*"),"キャラ弁（学食）",
IF(COUNTIF(D15,"*赤*"),"赤",
IF(COUNTIF(D15,"*キャラ弁当*"),"キャラ弁当",D15))),注文弁当の抽出!$E$1:$F$15,2,FALSE),"")</f>
        <v/>
      </c>
      <c r="K15" s="52" t="str">
        <f t="shared" ca="1" si="6"/>
        <v/>
      </c>
      <c r="L15" s="52" t="str">
        <f t="shared" ca="1" si="7"/>
        <v/>
      </c>
      <c r="M15" s="52" cm="1">
        <f t="array" aca="1" ref="M15" ca="1">IF(C15&lt;&gt;"",
IF(IFERROR(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0)&lt;&gt;0,
IF(IFERROR(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"")="",
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""),
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0)),0),0)</f>
        <v>0</v>
      </c>
      <c r="N15" s="52" t="e">
        <f t="array" aca="1" ref="N15" ca="1">IF(B15="博多",
IF(C15&lt;&gt;"",
IF(IFERROR(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0)&lt;&gt;0,
IF(IFERROR(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0)="",
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0),
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0)),0),""),0)</f>
        <v>#N/A</v>
      </c>
      <c r="O15" s="52" t="e">
        <f t="shared" ca="1" si="8"/>
        <v>#N/A</v>
      </c>
      <c r="P15" s="52">
        <f t="shared" ca="1" si="4"/>
        <v>0</v>
      </c>
      <c r="Q15" s="52" t="b">
        <f t="shared" ca="1" si="5"/>
        <v>0</v>
      </c>
      <c r="R15" s="51" t="str" cm="1">
        <f t="array" aca="1" ref="R15" ca="1">IFERROR(SMALL(IF(P$1:P$300&lt;&gt;0,P$1:P$300),ROW(A15)),"")</f>
        <v/>
      </c>
      <c r="S15" s="51" t="str">
        <f t="array" aca="1" ref="S15" ca="1">IF($R15&lt;&gt;"",
INDIRECT(""&amp;IF(COLUMN(C22)&lt;=26,CHAR(COLUMN(C22)+64),CHAR(INT((COLUMN(C22)-1)/26)+64)&amp;CHAR(MOD(COLUMN(C22)-1,26)+65))&amp;$R15&amp;""),"")</f>
        <v/>
      </c>
      <c r="T15" s="51" t="str" cm="1">
        <f t="array" aca="1" ref="T15" ca="1">IF(IF($R15&lt;&gt;"",
INDIRECT(""&amp;IF(COLUMN(D35)&lt;=26,CHAR(COLUMN(D35)+64),CHAR(INT((COLUMN(D35)-1)/26)+64)&amp;CHAR(MOD(COLUMN(D35)-1,26)+65))&amp;$R15&amp;""),"")=0,"",
IF($R15&lt;&gt;"",
INDIRECT(""&amp;IF(COLUMN(D35)&lt;=26,CHAR(COLUMN(D35)+64),CHAR(INT((COLUMN(D35)-1)/26)+64)&amp;CHAR(MOD(COLUMN(D35)-1,26)+65))&amp;$R15&amp;""),""))</f>
        <v/>
      </c>
      <c r="V15" s="51" t="str">
        <f t="array" aca="1" ref="V15" ca="1">IF($R15&lt;&gt;"",
IF(U15="",
IF(INDIRECT("EY"&amp;$R15&amp;"")&lt;&gt;"",
INDIRECT("EY"&amp;$R15&amp;"")&amp;"箱"
&amp;INDIRECT("EZ"&amp;$R15&amp;""),""),""),"")</f>
        <v/>
      </c>
      <c r="W15" s="51" t="str">
        <f t="array" aca="1" ref="W15" ca="1">IF($R15&lt;&gt;"",
INDIRECT(""&amp;IF(COLUMN(H22)&lt;=26,CHAR(COLUMN(H22)+64),CHAR(INT((COLUMN(H22)-1)/26)+64)&amp;CHAR(MOD(COLUMN(H22)-1,26)+65))&amp;$R15&amp;""),"")</f>
        <v/>
      </c>
      <c r="X15" s="51" t="str">
        <f t="array" aca="1" ref="X15" ca="1">IF($R15&lt;&gt;"",
INDIRECT(""&amp;IF(COLUMN(I22)&lt;=26,CHAR(COLUMN(I22)+64),CHAR(INT((COLUMN(I22)-1)/26)+64)&amp;CHAR(MOD(COLUMN(I22)-1,26)+65))&amp;$R15&amp;""),"")</f>
        <v/>
      </c>
      <c r="Y15" s="51" t="str">
        <f t="array" aca="1" ref="Y15" ca="1">IF($R15&lt;&gt;"",
INDIRECT(""&amp;IF(COLUMN(J22)&lt;=26,CHAR(COLUMN(J22)+64),CHAR(INT((COLUMN(J22)-1)/26)+64)&amp;CHAR(MOD(COLUMN(J22)-1,26)+65))&amp;$R15&amp;""),"")</f>
        <v/>
      </c>
      <c r="Z15" s="51" t="str">
        <f t="array" aca="1" ref="Z15" ca="1">IF($R15&lt;&gt;"",
INDIRECT(""&amp;IF(COLUMN(K22)&lt;=26,CHAR(COLUMN(K22)+64),CHAR(INT((COLUMN(K22)-1)/26)+64)&amp;CHAR(MOD(COLUMN(K22)-1,26)+65))&amp;$R15&amp;""),"")</f>
        <v/>
      </c>
      <c r="AA15" s="51" t="str">
        <f t="array" aca="1" ref="AA15" ca="1">IF($R15&lt;&gt;"",
INDIRECT(""&amp;IF(COLUMN(L22)&lt;=26,CHAR(COLUMN(L22)+64),CHAR(INT((COLUMN(L22)-1)/26)+64)&amp;CHAR(MOD(COLUMN(L22)-1,26)+65))&amp;$R15&amp;""),"")</f>
        <v/>
      </c>
      <c r="AB15" s="51" t="str">
        <f t="array" aca="1" ref="AB15" ca="1">IF($R15&lt;&gt;"",
INDIRECT(""&amp;IF(COLUMN(O22)&lt;=26,CHAR(COLUMN(O22)+64),CHAR(INT((COLUMN(O22)-1)/26)+64)&amp;CHAR(MOD(COLUMN(O22)-1,26)+65))&amp;$R15&amp;""),"")</f>
        <v/>
      </c>
    </row>
    <row r="16" spans="1:28" s="51" customFormat="1" ht="18" customHeight="1">
      <c r="A16" s="197">
        <f t="shared" si="3"/>
        <v>37</v>
      </c>
      <c r="B16" s="52" t="e">
        <f t="array" aca="1" ref="B16" ca="1">IF(AND(LEFT(C16,2)="博多",
LEFT(INDIRECT("数出表_Excel!A"&amp;MATCH(C16,数出表_Excel!$A:$A,0)-1),2)
=LEFT(INDIRECT("数出表_Excel!A"&amp;MATCH(C16,数出表_Excel!$A:$A,0)+1),2)),"博多",
IF(AND(LEFT(C16,3)="奈良屋",
LEFT(INDIRECT("数出表_Excel!A"&amp;MATCH(C16,数出表_Excel!$A:$A,0)-1),2)
=LEFT(INDIRECT("数出表_Excel!A"&amp;MATCH(C16,数出表_Excel!$A:$A,0)+1),2)),"奈良屋",""))</f>
        <v>#N/A</v>
      </c>
      <c r="C16" s="52" t="str" cm="1">
        <f t="array" aca="1" ref="C16" ca="1">IF(IF(クライアント抽出!A16="",0,LEN(クライアント抽出!V16)-LEN(SUBSTITUTE(クライアント抽出!V16,",","")))&gt;=1,INDIRECT("数出表_Excel!A"&amp;A16&amp;""),"")</f>
        <v/>
      </c>
      <c r="D16" s="52" t="str" cm="1">
        <f t="array" aca="1" ref="D16" ca="1">IF(C16&lt;&gt;"",INDIRECT("クライアント抽出!"&amp;E16&amp;MATCH(C16,クライアント抽出!A:A,0)&amp;""),"")</f>
        <v/>
      </c>
      <c r="E16" s="52" t="str">
        <f ca="1"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t="array" aca="1" ref="F16" ca="1">IF(D16&lt;&gt;"",
IF(COUNTIF(C16,"*雙葉*"),
IF(ROUND(
IF(O16&lt;&gt;"",(H16-O16),H16)
/IF(COUNTIF('盛付札（関数）'!D16,"*キャラ*"),
VLOOKUP("*キャラ*",#REF!,7,FALSE),
IF(COUNTIF('盛付札（関数）'!D16,"*赤*"),
VLOOKUP("*赤*",#REF!,7,FALSE),
VLOOKUP('盛付札（関数）'!D16,#REF!,7,FALSE))),0)&lt;=0,1,
ROUND(
IF(O16&lt;&gt;"",(H16-O16),H16)
/IF(COUNTIF('盛付札（関数）'!D16,"*キャラ*"),
VLOOKUP("*キャラ*",#REF!,7,FALSE),
IF(COUNTIF('盛付札（関数）'!D16,"*赤*"),
VLOOKUP("*赤*",#REF!,7,FALSE),
VLOOKUP('盛付札（関数）'!D16,#REF!,7,FALSE))),0)),
IF(MATCH(TRUE,
ISNUMBER(--INDIRECT("数出表_Excel!B"&amp;MATCH(C16,数出表_Excel!$A:$A,0)-1&amp;":U"&amp;MATCH(C16,数出表_Excel!$A:$A,0)-1&amp;"")),0)&gt;10,
IF(D16&lt;&gt;"",
IF(IF(COUNTIF('盛付札（関数）'!D16,"*キャラ*"),
VLOOKUP("*キャラ*",#REF!,7,FALSE),
IF(COUNTIF('盛付札（関数）'!D16,"*赤*"),
VLOOKUP("*赤*",#REF!,7,FALSE),
VLOOKUP('盛付札（関数）'!D16,#REF!,7,FALSE)))=0,"",
IF(ROUND(
IF(O16&lt;&gt;"",(H16-O16),H16)
/IF(COUNTIF('盛付札（関数）'!D16,"*キャラ*"),
VLOOKUP("*キャラ*",#REF!,7,FALSE),
IF(COUNTIF('盛付札（関数）'!D16,"*赤*"),
VLOOKUP("*赤*",#REF!,7,FALSE),
VLOOKUP('盛付札（関数）'!D16,#REF!,7,FALSE))),0)&lt;=0,1,
ROUND(
IF(O16&lt;&gt;"",(H16-O16),H16)
/IF(COUNTIF('盛付札（関数）'!D16,"*キャラ*"),
VLOOKUP("*キャラ*",#REF!,7,FALSE),
IF(COUNTIF('盛付札（関数）'!D16,"*赤*"),
VLOOKUP("*赤*",#REF!,7,FALSE),
VLOOKUP('盛付札（関数）'!D16,#REF!,7,FALSE))),0))),""),"")),"")</f>
        <v/>
      </c>
      <c r="G16" s="53" t="str">
        <f ca="1">IF(F16&lt;&gt;"",IF(VALUE(IF(O16&lt;&gt;"",H16-O16,H16))&gt;VALUE(IF(COUNTIF('盛付札（関数）'!D16,"*キャラ*"),
VLOOKUP("*キャラ*",#REF!,7,FALSE),
IF(COUNTIF('盛付札（関数）'!D16,"*赤*"),
VLOOKUP("*赤*",#REF!,7,FALSE),
VLOOKUP('盛付札（関数）'!D16,#REF!,7,FALSE)))*F16),
"+"&amp;IF(O16&lt;&gt;"",H16-O16,H16)-IF(COUNTIF('盛付札（関数）'!D16,"*キャラ*"),
VLOOKUP("*キャラ*",#REF!,7,FALSE),
IF(COUNTIF('盛付札（関数）'!D16,"*赤*"),
VLOOKUP("*赤*",#REF!,7,FALSE),
VLOOKUP('盛付札（関数）'!D16,#REF!,7,FALSE)))*F16,
IF(O16&lt;&gt;"",H16-O16,H16)-IF(COUNTIF('盛付札（関数）'!D16,"*キャラ*"),
VLOOKUP("*キャラ*",#REF!,7,FALSE),
IF(COUNTIF('盛付札（関数）'!D16,"*赤*"),
VLOOKUP("*赤*",#REF!,7,FALSE),
VLOOKUP('盛付札（関数）'!D16,#REF!,7,FALSE)))*F16),"")</f>
        <v/>
      </c>
      <c r="H16" s="195" t="str" cm="1">
        <f t="array" aca="1" ref="H16" ca="1">IF(C16&lt;&gt;"",
IF(INDIRECT("数出表_Excel!"&amp;LEFT(クライアント抽出!V16)&amp;A16-1&amp;"")&lt;&gt;"",INDIRECT("数出表_Excel!"&amp;LEFT(クライアント抽出!V16)&amp;A16-1&amp;""),0),"")</f>
        <v/>
      </c>
      <c r="I16" s="52" t="str" cm="1">
        <f t="array" aca="1" ref="I16" ca="1">IF(C16&lt;&gt;"",
IF(INDIRECT("数出表_Excel!"&amp;LEFT(クライアント抽出!V16)&amp;A16&amp;"")&lt;&gt;"",INDIRECT("数出表_Excel!"&amp;LEFT(クライアント抽出!V16)&amp;A16&amp;""),0),"")</f>
        <v/>
      </c>
      <c r="J16" s="52" t="str">
        <f ca="1">IF(C16&lt;&gt;"",
VLOOKUP(
IF(COUNTIF(D16,"*学食*"),"キャラ弁（学食）",
IF(COUNTIF(D16,"*赤*"),"赤",
IF(COUNTIF(D16,"*キャラ弁当*"),"キャラ弁当",D16))),注文弁当の抽出!$E$1:$F$15,2,FALSE),"")</f>
        <v/>
      </c>
      <c r="K16" s="52" t="str">
        <f t="shared" ca="1" si="6"/>
        <v/>
      </c>
      <c r="L16" s="52" t="str">
        <f t="shared" ca="1" si="7"/>
        <v/>
      </c>
      <c r="M16" s="52" cm="1">
        <f t="array" aca="1" ref="M16" ca="1">IF(C16&lt;&gt;"",
IF(IFERROR(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0)&lt;&gt;0,
IF(IFERROR(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"")="",
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""),
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0)),0),0)</f>
        <v>0</v>
      </c>
      <c r="N16" s="52" t="e">
        <f t="array" aca="1" ref="N16" ca="1">IF(B16="博多",
IF(C16&lt;&gt;"",
IF(IFERROR(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0)&lt;&gt;0,
IF(IFERROR(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0)="",
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0),
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0)),0),""),0)</f>
        <v>#N/A</v>
      </c>
      <c r="O16" s="52" t="e">
        <f t="shared" ca="1" si="8"/>
        <v>#N/A</v>
      </c>
      <c r="P16" s="52">
        <f t="shared" ca="1" si="4"/>
        <v>0</v>
      </c>
      <c r="Q16" s="52" t="b">
        <f t="shared" ca="1" si="5"/>
        <v>0</v>
      </c>
      <c r="R16" s="51" t="str" cm="1">
        <f t="array" aca="1" ref="R16" ca="1">IFERROR(SMALL(IF(P$1:P$300&lt;&gt;0,P$1:P$300),ROW(A16)),"")</f>
        <v/>
      </c>
      <c r="S16" s="51" t="str">
        <f t="array" aca="1" ref="S16" ca="1">IF($R16&lt;&gt;"",
INDIRECT(""&amp;IF(COLUMN(C23)&lt;=26,CHAR(COLUMN(C23)+64),CHAR(INT((COLUMN(C23)-1)/26)+64)&amp;CHAR(MOD(COLUMN(C23)-1,26)+65))&amp;$R16&amp;""),"")</f>
        <v/>
      </c>
      <c r="T16" s="51" t="str" cm="1">
        <f t="array" aca="1" ref="T16" ca="1">IF(IF($R16&lt;&gt;"",
INDIRECT(""&amp;IF(COLUMN(D36)&lt;=26,CHAR(COLUMN(D36)+64),CHAR(INT((COLUMN(D36)-1)/26)+64)&amp;CHAR(MOD(COLUMN(D36)-1,26)+65))&amp;$R16&amp;""),"")=0,"",
IF($R16&lt;&gt;"",
INDIRECT(""&amp;IF(COLUMN(D36)&lt;=26,CHAR(COLUMN(D36)+64),CHAR(INT((COLUMN(D36)-1)/26)+64)&amp;CHAR(MOD(COLUMN(D36)-1,26)+65))&amp;$R16&amp;""),""))</f>
        <v/>
      </c>
      <c r="V16" s="51" t="str">
        <f t="array" aca="1" ref="V16" ca="1">IF($R16&lt;&gt;"",
IF(U16="",
IF(INDIRECT("EY"&amp;$R16&amp;"")&lt;&gt;"",
INDIRECT("EY"&amp;$R16&amp;"")&amp;"箱"
&amp;INDIRECT("EZ"&amp;$R16&amp;""),""),""),"")</f>
        <v/>
      </c>
      <c r="W16" s="51" t="str">
        <f t="array" aca="1" ref="W16" ca="1">IF($R16&lt;&gt;"",
INDIRECT(""&amp;IF(COLUMN(H23)&lt;=26,CHAR(COLUMN(H23)+64),CHAR(INT((COLUMN(H23)-1)/26)+64)&amp;CHAR(MOD(COLUMN(H23)-1,26)+65))&amp;$R16&amp;""),"")</f>
        <v/>
      </c>
      <c r="X16" s="51" t="str">
        <f t="array" aca="1" ref="X16" ca="1">IF($R16&lt;&gt;"",
INDIRECT(""&amp;IF(COLUMN(I23)&lt;=26,CHAR(COLUMN(I23)+64),CHAR(INT((COLUMN(I23)-1)/26)+64)&amp;CHAR(MOD(COLUMN(I23)-1,26)+65))&amp;$R16&amp;""),"")</f>
        <v/>
      </c>
      <c r="Y16" s="51" t="str">
        <f t="array" aca="1" ref="Y16" ca="1">IF($R16&lt;&gt;"",
INDIRECT(""&amp;IF(COLUMN(J23)&lt;=26,CHAR(COLUMN(J23)+64),CHAR(INT((COLUMN(J23)-1)/26)+64)&amp;CHAR(MOD(COLUMN(J23)-1,26)+65))&amp;$R16&amp;""),"")</f>
        <v/>
      </c>
      <c r="Z16" s="51" t="str">
        <f t="array" aca="1" ref="Z16" ca="1">IF($R16&lt;&gt;"",
INDIRECT(""&amp;IF(COLUMN(K23)&lt;=26,CHAR(COLUMN(K23)+64),CHAR(INT((COLUMN(K23)-1)/26)+64)&amp;CHAR(MOD(COLUMN(K23)-1,26)+65))&amp;$R16&amp;""),"")</f>
        <v/>
      </c>
      <c r="AA16" s="51" t="str">
        <f t="array" aca="1" ref="AA16" ca="1">IF($R16&lt;&gt;"",
INDIRECT(""&amp;IF(COLUMN(L23)&lt;=26,CHAR(COLUMN(L23)+64),CHAR(INT((COLUMN(L23)-1)/26)+64)&amp;CHAR(MOD(COLUMN(L23)-1,26)+65))&amp;$R16&amp;""),"")</f>
        <v/>
      </c>
      <c r="AB16" s="51" t="str">
        <f t="array" aca="1" ref="AB16" ca="1">IF($R16&lt;&gt;"",
INDIRECT(""&amp;IF(COLUMN(O23)&lt;=26,CHAR(COLUMN(O23)+64),CHAR(INT((COLUMN(O23)-1)/26)+64)&amp;CHAR(MOD(COLUMN(O23)-1,26)+65))&amp;$R16&amp;""),"")</f>
        <v/>
      </c>
    </row>
    <row r="17" spans="1:28" s="51" customFormat="1" ht="22.2" customHeight="1">
      <c r="A17" s="197">
        <f t="shared" si="3"/>
        <v>39</v>
      </c>
      <c r="B17" s="52" t="e">
        <f t="array" aca="1" ref="B17" ca="1">IF(AND(LEFT(C17,2)="博多",
LEFT(INDIRECT("数出表_Excel!A"&amp;MATCH(C17,数出表_Excel!$A:$A,0)-1),2)
=LEFT(INDIRECT("数出表_Excel!A"&amp;MATCH(C17,数出表_Excel!$A:$A,0)+1),2)),"博多",
IF(AND(LEFT(C17,3)="奈良屋",
LEFT(INDIRECT("数出表_Excel!A"&amp;MATCH(C17,数出表_Excel!$A:$A,0)-1),2)
=LEFT(INDIRECT("数出表_Excel!A"&amp;MATCH(C17,数出表_Excel!$A:$A,0)+1),2)),"奈良屋",""))</f>
        <v>#N/A</v>
      </c>
      <c r="C17" s="52" t="str" cm="1">
        <f t="array" aca="1" ref="C17" ca="1">IF(IF(クライアント抽出!A17="",0,LEN(クライアント抽出!V17)-LEN(SUBSTITUTE(クライアント抽出!V17,",","")))&gt;=1,INDIRECT("数出表_Excel!A"&amp;A17&amp;""),"")</f>
        <v/>
      </c>
      <c r="D17" s="52" t="str" cm="1">
        <f t="array" aca="1" ref="D17" ca="1">IF(C17&lt;&gt;"",INDIRECT("クライアント抽出!"&amp;E17&amp;MATCH(C17,クライアント抽出!A:A,0)&amp;""),"")</f>
        <v/>
      </c>
      <c r="E17" s="52" t="str">
        <f ca="1"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t="array" aca="1" ref="F17" ca="1">IF(D17&lt;&gt;"",
IF(COUNTIF(C17,"*雙葉*"),
IF(ROUND(
IF(O17&lt;&gt;"",(H17-O17),H17)
/IF(COUNTIF('盛付札（関数）'!D17,"*キャラ*"),
VLOOKUP("*キャラ*",#REF!,7,FALSE),
IF(COUNTIF('盛付札（関数）'!D17,"*赤*"),
VLOOKUP("*赤*",#REF!,7,FALSE),
VLOOKUP('盛付札（関数）'!D17,#REF!,7,FALSE))),0)&lt;=0,1,
ROUND(
IF(O17&lt;&gt;"",(H17-O17),H17)
/IF(COUNTIF('盛付札（関数）'!D17,"*キャラ*"),
VLOOKUP("*キャラ*",#REF!,7,FALSE),
IF(COUNTIF('盛付札（関数）'!D17,"*赤*"),
VLOOKUP("*赤*",#REF!,7,FALSE),
VLOOKUP('盛付札（関数）'!D17,#REF!,7,FALSE))),0)),
IF(MATCH(TRUE,
ISNUMBER(--INDIRECT("数出表_Excel!B"&amp;MATCH(C17,数出表_Excel!$A:$A,0)-1&amp;":U"&amp;MATCH(C17,数出表_Excel!$A:$A,0)-1&amp;"")),0)&gt;10,
IF(D17&lt;&gt;"",
IF(IF(COUNTIF('盛付札（関数）'!D17,"*キャラ*"),
VLOOKUP("*キャラ*",#REF!,7,FALSE),
IF(COUNTIF('盛付札（関数）'!D17,"*赤*"),
VLOOKUP("*赤*",#REF!,7,FALSE),
VLOOKUP('盛付札（関数）'!D17,#REF!,7,FALSE)))=0,"",
IF(ROUND(
IF(O17&lt;&gt;"",(H17-O17),H17)
/IF(COUNTIF('盛付札（関数）'!D17,"*キャラ*"),
VLOOKUP("*キャラ*",#REF!,7,FALSE),
IF(COUNTIF('盛付札（関数）'!D17,"*赤*"),
VLOOKUP("*赤*",#REF!,7,FALSE),
VLOOKUP('盛付札（関数）'!D17,#REF!,7,FALSE))),0)&lt;=0,1,
ROUND(
IF(O17&lt;&gt;"",(H17-O17),H17)
/IF(COUNTIF('盛付札（関数）'!D17,"*キャラ*"),
VLOOKUP("*キャラ*",#REF!,7,FALSE),
IF(COUNTIF('盛付札（関数）'!D17,"*赤*"),
VLOOKUP("*赤*",#REF!,7,FALSE),
VLOOKUP('盛付札（関数）'!D17,#REF!,7,FALSE))),0))),""),"")),"")</f>
        <v/>
      </c>
      <c r="G17" s="53" t="str">
        <f ca="1">IF(F17&lt;&gt;"",IF(VALUE(IF(O17&lt;&gt;"",H17-O17,H17))&gt;VALUE(IF(COUNTIF('盛付札（関数）'!D17,"*キャラ*"),
VLOOKUP("*キャラ*",#REF!,7,FALSE),
IF(COUNTIF('盛付札（関数）'!D17,"*赤*"),
VLOOKUP("*赤*",#REF!,7,FALSE),
VLOOKUP('盛付札（関数）'!D17,#REF!,7,FALSE)))*F17),
"+"&amp;IF(O17&lt;&gt;"",H17-O17,H17)-IF(COUNTIF('盛付札（関数）'!D17,"*キャラ*"),
VLOOKUP("*キャラ*",#REF!,7,FALSE),
IF(COUNTIF('盛付札（関数）'!D17,"*赤*"),
VLOOKUP("*赤*",#REF!,7,FALSE),
VLOOKUP('盛付札（関数）'!D17,#REF!,7,FALSE)))*F17,
IF(O17&lt;&gt;"",H17-O17,H17)-IF(COUNTIF('盛付札（関数）'!D17,"*キャラ*"),
VLOOKUP("*キャラ*",#REF!,7,FALSE),
IF(COUNTIF('盛付札（関数）'!D17,"*赤*"),
VLOOKUP("*赤*",#REF!,7,FALSE),
VLOOKUP('盛付札（関数）'!D17,#REF!,7,FALSE)))*F17),"")</f>
        <v/>
      </c>
      <c r="H17" s="195" t="str" cm="1">
        <f t="array" aca="1" ref="H17" ca="1">IF(C17&lt;&gt;"",
IF(INDIRECT("数出表_Excel!"&amp;LEFT(クライアント抽出!V17)&amp;A17-1&amp;"")&lt;&gt;"",INDIRECT("数出表_Excel!"&amp;LEFT(クライアント抽出!V17)&amp;A17-1&amp;""),0),"")</f>
        <v/>
      </c>
      <c r="I17" s="52" t="str" cm="1">
        <f t="array" aca="1" ref="I17" ca="1">IF(C17&lt;&gt;"",
IF(INDIRECT("数出表_Excel!"&amp;LEFT(クライアント抽出!V17)&amp;A17&amp;"")&lt;&gt;"",INDIRECT("数出表_Excel!"&amp;LEFT(クライアント抽出!V17)&amp;A17&amp;""),0),"")</f>
        <v/>
      </c>
      <c r="J17" s="52" t="str">
        <f ca="1">IF(C17&lt;&gt;"",
VLOOKUP(
IF(COUNTIF(D17,"*学食*"),"キャラ弁（学食）",
IF(COUNTIF(D17,"*赤*"),"赤",
IF(COUNTIF(D17,"*キャラ弁当*"),"キャラ弁当",D17))),注文弁当の抽出!$E$1:$F$15,2,FALSE),"")</f>
        <v/>
      </c>
      <c r="K17" s="52" t="str">
        <f t="shared" ca="1" si="6"/>
        <v/>
      </c>
      <c r="L17" s="52" t="str">
        <f t="shared" ca="1" si="7"/>
        <v/>
      </c>
      <c r="M17" s="52" cm="1">
        <f t="array" aca="1" ref="M17" ca="1">IF(C17&lt;&gt;"",
IF(IFERROR(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0)&lt;&gt;0,
IF(IFERROR(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"")="",
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""),
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0)),0),0)</f>
        <v>0</v>
      </c>
      <c r="N17" s="52" t="e">
        <f t="array" aca="1" ref="N17" ca="1">IF(B17="博多",
IF(C17&lt;&gt;"",
IF(IFERROR(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0)&lt;&gt;0,
IF(IFERROR(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0)="",
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0),
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0)),0),""),0)</f>
        <v>#N/A</v>
      </c>
      <c r="O17" s="52" t="e">
        <f t="shared" ca="1" si="8"/>
        <v>#N/A</v>
      </c>
      <c r="P17" s="52">
        <f t="shared" ca="1" si="4"/>
        <v>0</v>
      </c>
      <c r="Q17" s="52" t="b">
        <f t="shared" ca="1" si="5"/>
        <v>0</v>
      </c>
      <c r="R17" s="51" t="str" cm="1">
        <f t="array" aca="1" ref="R17" ca="1">IFERROR(SMALL(IF(P$1:P$300&lt;&gt;0,P$1:P$300),ROW(A17)),"")</f>
        <v/>
      </c>
      <c r="S17" s="51" t="str">
        <f t="array" aca="1" ref="S17" ca="1">IF($R17&lt;&gt;"",
INDIRECT(""&amp;IF(COLUMN(C25)&lt;=26,CHAR(COLUMN(C25)+64),CHAR(INT((COLUMN(C25)-1)/26)+64)&amp;CHAR(MOD(COLUMN(C25)-1,26)+65))&amp;$R17&amp;""),"")</f>
        <v/>
      </c>
      <c r="T17" s="51" t="str" cm="1">
        <f t="array" aca="1" ref="T17" ca="1">IF(IF($R17&lt;&gt;"",
INDIRECT(""&amp;IF(COLUMN(D37)&lt;=26,CHAR(COLUMN(D37)+64),CHAR(INT((COLUMN(D37)-1)/26)+64)&amp;CHAR(MOD(COLUMN(D37)-1,26)+65))&amp;$R17&amp;""),"")=0,"",
IF($R17&lt;&gt;"",
INDIRECT(""&amp;IF(COLUMN(D37)&lt;=26,CHAR(COLUMN(D37)+64),CHAR(INT((COLUMN(D37)-1)/26)+64)&amp;CHAR(MOD(COLUMN(D37)-1,26)+65))&amp;$R17&amp;""),""))</f>
        <v/>
      </c>
      <c r="V17" s="51" t="str">
        <f t="array" aca="1" ref="V17" ca="1">IF($R17&lt;&gt;"",
IF(U17="",
IF(INDIRECT("EY"&amp;$R17&amp;"")&lt;&gt;"",
INDIRECT("EY"&amp;$R17&amp;"")&amp;"箱"
&amp;INDIRECT("EZ"&amp;$R17&amp;""),""),""),"")</f>
        <v/>
      </c>
      <c r="W17" s="51" t="str">
        <f t="array" aca="1" ref="W17" ca="1">IF($R17&lt;&gt;"",
INDIRECT(""&amp;IF(COLUMN(H25)&lt;=26,CHAR(COLUMN(H25)+64),CHAR(INT((COLUMN(H25)-1)/26)+64)&amp;CHAR(MOD(COLUMN(H25)-1,26)+65))&amp;$R17&amp;""),"")</f>
        <v/>
      </c>
      <c r="X17" s="51" t="str">
        <f t="array" aca="1" ref="X17" ca="1">IF($R17&lt;&gt;"",
INDIRECT(""&amp;IF(COLUMN(I25)&lt;=26,CHAR(COLUMN(I25)+64),CHAR(INT((COLUMN(I25)-1)/26)+64)&amp;CHAR(MOD(COLUMN(I25)-1,26)+65))&amp;$R17&amp;""),"")</f>
        <v/>
      </c>
      <c r="Y17" s="51" t="str">
        <f t="array" aca="1" ref="Y17" ca="1">IF($R17&lt;&gt;"",
INDIRECT(""&amp;IF(COLUMN(J25)&lt;=26,CHAR(COLUMN(J25)+64),CHAR(INT((COLUMN(J25)-1)/26)+64)&amp;CHAR(MOD(COLUMN(J25)-1,26)+65))&amp;$R17&amp;""),"")</f>
        <v/>
      </c>
      <c r="Z17" s="51" t="str">
        <f t="array" aca="1" ref="Z17" ca="1">IF($R17&lt;&gt;"",
INDIRECT(""&amp;IF(COLUMN(K25)&lt;=26,CHAR(COLUMN(K25)+64),CHAR(INT((COLUMN(K25)-1)/26)+64)&amp;CHAR(MOD(COLUMN(K25)-1,26)+65))&amp;$R17&amp;""),"")</f>
        <v/>
      </c>
      <c r="AA17" s="51" t="str">
        <f t="array" aca="1" ref="AA17" ca="1">IF($R17&lt;&gt;"",
INDIRECT(""&amp;IF(COLUMN(L25)&lt;=26,CHAR(COLUMN(L25)+64),CHAR(INT((COLUMN(L25)-1)/26)+64)&amp;CHAR(MOD(COLUMN(L25)-1,26)+65))&amp;$R17&amp;""),"")</f>
        <v/>
      </c>
      <c r="AB17" s="51" t="str">
        <f t="array" aca="1" ref="AB17" ca="1">IF($R17&lt;&gt;"",
INDIRECT(""&amp;IF(COLUMN(O25)&lt;=26,CHAR(COLUMN(O25)+64),CHAR(INT((COLUMN(O25)-1)/26)+64)&amp;CHAR(MOD(COLUMN(O25)-1,26)+65))&amp;$R17&amp;""),"")</f>
        <v/>
      </c>
    </row>
    <row r="18" spans="1:28" ht="18" customHeight="1">
      <c r="A18" s="197">
        <f t="shared" si="3"/>
        <v>41</v>
      </c>
      <c r="B18" s="52" t="e">
        <f t="array" aca="1" ref="B18" ca="1">IF(AND(LEFT(C18,2)="博多",
LEFT(INDIRECT("数出表_Excel!A"&amp;MATCH(C18,数出表_Excel!$A:$A,0)-1),2)
=LEFT(INDIRECT("数出表_Excel!A"&amp;MATCH(C18,数出表_Excel!$A:$A,0)+1),2)),"博多",
IF(AND(LEFT(C18,3)="奈良屋",
LEFT(INDIRECT("数出表_Excel!A"&amp;MATCH(C18,数出表_Excel!$A:$A,0)-1),2)
=LEFT(INDIRECT("数出表_Excel!A"&amp;MATCH(C18,数出表_Excel!$A:$A,0)+1),2)),"奈良屋",""))</f>
        <v>#N/A</v>
      </c>
      <c r="C18" s="52" t="str" cm="1">
        <f t="array" aca="1" ref="C18" ca="1">IF(IF(クライアント抽出!A18="",0,LEN(クライアント抽出!V18)-LEN(SUBSTITUTE(クライアント抽出!V18,",","")))&gt;=1,INDIRECT("数出表_Excel!A"&amp;A18&amp;""),"")</f>
        <v/>
      </c>
      <c r="D18" s="52" t="str" cm="1">
        <f t="array" aca="1" ref="D18" ca="1">IF(C18&lt;&gt;"",INDIRECT("クライアント抽出!"&amp;E18&amp;MATCH(C18,クライアント抽出!A:A,0)&amp;""),"")</f>
        <v/>
      </c>
      <c r="E18" s="52" t="str">
        <f ca="1"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t="array" aca="1" ref="F18" ca="1">IF(D18&lt;&gt;"",
IF(COUNTIF(C18,"*雙葉*"),
IF(ROUND(
IF(O18&lt;&gt;"",(H18-O18),H18)
/IF(COUNTIF('盛付札（関数）'!D18,"*キャラ*"),
VLOOKUP("*キャラ*",#REF!,7,FALSE),
IF(COUNTIF('盛付札（関数）'!D18,"*赤*"),
VLOOKUP("*赤*",#REF!,7,FALSE),
VLOOKUP('盛付札（関数）'!D18,#REF!,7,FALSE))),0)&lt;=0,1,
ROUND(
IF(O18&lt;&gt;"",(H18-O18),H18)
/IF(COUNTIF('盛付札（関数）'!D18,"*キャラ*"),
VLOOKUP("*キャラ*",#REF!,7,FALSE),
IF(COUNTIF('盛付札（関数）'!D18,"*赤*"),
VLOOKUP("*赤*",#REF!,7,FALSE),
VLOOKUP('盛付札（関数）'!D18,#REF!,7,FALSE))),0)),
IF(MATCH(TRUE,
ISNUMBER(--INDIRECT("数出表_Excel!B"&amp;MATCH(C18,数出表_Excel!$A:$A,0)-1&amp;":U"&amp;MATCH(C18,数出表_Excel!$A:$A,0)-1&amp;"")),0)&gt;10,
IF(D18&lt;&gt;"",
IF(IF(COUNTIF('盛付札（関数）'!D18,"*キャラ*"),
VLOOKUP("*キャラ*",#REF!,7,FALSE),
IF(COUNTIF('盛付札（関数）'!D18,"*赤*"),
VLOOKUP("*赤*",#REF!,7,FALSE),
VLOOKUP('盛付札（関数）'!D18,#REF!,7,FALSE)))=0,"",
IF(ROUND(
IF(O18&lt;&gt;"",(H18-O18),H18)
/IF(COUNTIF('盛付札（関数）'!D18,"*キャラ*"),
VLOOKUP("*キャラ*",#REF!,7,FALSE),
IF(COUNTIF('盛付札（関数）'!D18,"*赤*"),
VLOOKUP("*赤*",#REF!,7,FALSE),
VLOOKUP('盛付札（関数）'!D18,#REF!,7,FALSE))),0)&lt;=0,1,
ROUND(
IF(O18&lt;&gt;"",(H18-O18),H18)
/IF(COUNTIF('盛付札（関数）'!D18,"*キャラ*"),
VLOOKUP("*キャラ*",#REF!,7,FALSE),
IF(COUNTIF('盛付札（関数）'!D18,"*赤*"),
VLOOKUP("*赤*",#REF!,7,FALSE),
VLOOKUP('盛付札（関数）'!D18,#REF!,7,FALSE))),0))),""),"")),"")</f>
        <v/>
      </c>
      <c r="G18" s="53" t="str">
        <f ca="1">IF(F18&lt;&gt;"",IF(VALUE(IF(O18&lt;&gt;"",H18-O18,H18))&gt;VALUE(IF(COUNTIF('盛付札（関数）'!D18,"*キャラ*"),
VLOOKUP("*キャラ*",#REF!,7,FALSE),
IF(COUNTIF('盛付札（関数）'!D18,"*赤*"),
VLOOKUP("*赤*",#REF!,7,FALSE),
VLOOKUP('盛付札（関数）'!D18,#REF!,7,FALSE)))*F18),
"+"&amp;IF(O18&lt;&gt;"",H18-O18,H18)-IF(COUNTIF('盛付札（関数）'!D18,"*キャラ*"),
VLOOKUP("*キャラ*",#REF!,7,FALSE),
IF(COUNTIF('盛付札（関数）'!D18,"*赤*"),
VLOOKUP("*赤*",#REF!,7,FALSE),
VLOOKUP('盛付札（関数）'!D18,#REF!,7,FALSE)))*F18,
IF(O18&lt;&gt;"",H18-O18,H18)-IF(COUNTIF('盛付札（関数）'!D18,"*キャラ*"),
VLOOKUP("*キャラ*",#REF!,7,FALSE),
IF(COUNTIF('盛付札（関数）'!D18,"*赤*"),
VLOOKUP("*赤*",#REF!,7,FALSE),
VLOOKUP('盛付札（関数）'!D18,#REF!,7,FALSE)))*F18),"")</f>
        <v/>
      </c>
      <c r="H18" s="195" t="str" cm="1">
        <f t="array" aca="1" ref="H18" ca="1">IF(C18&lt;&gt;"",
IF(INDIRECT("数出表_Excel!"&amp;LEFT(クライアント抽出!V18)&amp;A18-1&amp;"")&lt;&gt;"",INDIRECT("数出表_Excel!"&amp;LEFT(クライアント抽出!V18)&amp;A18-1&amp;""),0),"")</f>
        <v/>
      </c>
      <c r="I18" s="52" t="str" cm="1">
        <f t="array" aca="1" ref="I18" ca="1">IF(C18&lt;&gt;"",
IF(INDIRECT("数出表_Excel!"&amp;LEFT(クライアント抽出!V18)&amp;A18&amp;"")&lt;&gt;"",INDIRECT("数出表_Excel!"&amp;LEFT(クライアント抽出!V18)&amp;A18&amp;""),0),"")</f>
        <v/>
      </c>
      <c r="J18" s="52" t="str">
        <f ca="1">IF(C18&lt;&gt;"",
VLOOKUP(
IF(COUNTIF(D18,"*学食*"),"キャラ弁（学食）",
IF(COUNTIF(D18,"*赤*"),"赤",
IF(COUNTIF(D18,"*キャラ弁当*"),"キャラ弁当",D18))),注文弁当の抽出!$E$1:$F$15,2,FALSE),"")</f>
        <v/>
      </c>
      <c r="K18" s="52" t="str">
        <f t="shared" ca="1" si="6"/>
        <v/>
      </c>
      <c r="L18" s="52" t="str">
        <f t="shared" ca="1" si="7"/>
        <v/>
      </c>
      <c r="M18" s="52" cm="1">
        <f t="array" aca="1" ref="M18" ca="1">IF(C18&lt;&gt;"",
IF(IFERROR(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0)&lt;&gt;0,
IF(IFERROR(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"")="",
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""),
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0)),0),0)</f>
        <v>0</v>
      </c>
      <c r="N18" s="52" t="e">
        <f t="array" aca="1" ref="N18" ca="1">IF(B18="博多",
IF(C18&lt;&gt;"",
IF(IFERROR(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0)&lt;&gt;0,
IF(IFERROR(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0)="",
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0),
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0)),0),""),0)</f>
        <v>#N/A</v>
      </c>
      <c r="O18" s="52" t="e">
        <f t="shared" ca="1" si="8"/>
        <v>#N/A</v>
      </c>
      <c r="P18" s="52">
        <f t="shared" ca="1" si="4"/>
        <v>0</v>
      </c>
      <c r="Q18" s="52" t="b">
        <f t="shared" ca="1" si="5"/>
        <v>0</v>
      </c>
      <c r="R18" s="51" t="str" cm="1">
        <f t="array" aca="1" ref="R18" ca="1">IFERROR(SMALL(IF(P$1:P$300&lt;&gt;0,P$1:P$300),ROW(A18)),"")</f>
        <v/>
      </c>
      <c r="S18" s="51" t="str">
        <f t="array" aca="1" ref="S18" ca="1">IF($R18&lt;&gt;"",
INDIRECT(""&amp;IF(COLUMN(C26)&lt;=26,CHAR(COLUMN(C26)+64),CHAR(INT((COLUMN(C26)-1)/26)+64)&amp;CHAR(MOD(COLUMN(C26)-1,26)+65))&amp;$R18&amp;""),"")</f>
        <v/>
      </c>
      <c r="T18" s="51" t="str" cm="1">
        <f t="array" aca="1" ref="T18" ca="1">IF(IF($R18&lt;&gt;"",
INDIRECT(""&amp;IF(COLUMN(D38)&lt;=26,CHAR(COLUMN(D38)+64),CHAR(INT((COLUMN(D38)-1)/26)+64)&amp;CHAR(MOD(COLUMN(D38)-1,26)+65))&amp;$R18&amp;""),"")=0,"",
IF($R18&lt;&gt;"",
INDIRECT(""&amp;IF(COLUMN(D38)&lt;=26,CHAR(COLUMN(D38)+64),CHAR(INT((COLUMN(D38)-1)/26)+64)&amp;CHAR(MOD(COLUMN(D38)-1,26)+65))&amp;$R18&amp;""),""))</f>
        <v/>
      </c>
      <c r="U18" s="51"/>
      <c r="V18" s="51" t="str">
        <f t="array" aca="1" ref="V18" ca="1">IF($R18&lt;&gt;"",
IF(U18="",
IF(INDIRECT("EY"&amp;$R18&amp;"")&lt;&gt;"",
INDIRECT("EY"&amp;$R18&amp;"")&amp;"箱"
&amp;INDIRECT("EZ"&amp;$R18&amp;""),""),""),"")</f>
        <v/>
      </c>
      <c r="W18" s="51" t="str">
        <f t="array" aca="1" ref="W18" ca="1">IF($R18&lt;&gt;"",
INDIRECT(""&amp;IF(COLUMN(H26)&lt;=26,CHAR(COLUMN(H26)+64),CHAR(INT((COLUMN(H26)-1)/26)+64)&amp;CHAR(MOD(COLUMN(H26)-1,26)+65))&amp;$R18&amp;""),"")</f>
        <v/>
      </c>
      <c r="X18" s="51" t="str">
        <f t="array" aca="1" ref="X18" ca="1">IF($R18&lt;&gt;"",
INDIRECT(""&amp;IF(COLUMN(I26)&lt;=26,CHAR(COLUMN(I26)+64),CHAR(INT((COLUMN(I26)-1)/26)+64)&amp;CHAR(MOD(COLUMN(I26)-1,26)+65))&amp;$R18&amp;""),"")</f>
        <v/>
      </c>
      <c r="Y18" s="51" t="str">
        <f t="array" aca="1" ref="Y18" ca="1">IF($R18&lt;&gt;"",
INDIRECT(""&amp;IF(COLUMN(J26)&lt;=26,CHAR(COLUMN(J26)+64),CHAR(INT((COLUMN(J26)-1)/26)+64)&amp;CHAR(MOD(COLUMN(J26)-1,26)+65))&amp;$R18&amp;""),"")</f>
        <v/>
      </c>
      <c r="Z18" s="51" t="str">
        <f t="array" aca="1" ref="Z18" ca="1">IF($R18&lt;&gt;"",
INDIRECT(""&amp;IF(COLUMN(K26)&lt;=26,CHAR(COLUMN(K26)+64),CHAR(INT((COLUMN(K26)-1)/26)+64)&amp;CHAR(MOD(COLUMN(K26)-1,26)+65))&amp;$R18&amp;""),"")</f>
        <v/>
      </c>
      <c r="AA18" s="51" t="str">
        <f t="array" aca="1" ref="AA18" ca="1">IF($R18&lt;&gt;"",
INDIRECT(""&amp;IF(COLUMN(L26)&lt;=26,CHAR(COLUMN(L26)+64),CHAR(INT((COLUMN(L26)-1)/26)+64)&amp;CHAR(MOD(COLUMN(L26)-1,26)+65))&amp;$R18&amp;""),"")</f>
        <v/>
      </c>
      <c r="AB18" s="51" t="str">
        <f t="array" aca="1" ref="AB18" ca="1">IF($R18&lt;&gt;"",
INDIRECT(""&amp;IF(COLUMN(O26)&lt;=26,CHAR(COLUMN(O26)+64),CHAR(INT((COLUMN(O26)-1)/26)+64)&amp;CHAR(MOD(COLUMN(O26)-1,26)+65))&amp;$R18&amp;""),"")</f>
        <v/>
      </c>
    </row>
    <row r="19" spans="1:28" ht="18" customHeight="1">
      <c r="A19" s="197">
        <f t="shared" si="3"/>
        <v>43</v>
      </c>
      <c r="B19" s="52" t="e">
        <f t="array" aca="1" ref="B19" ca="1">IF(AND(LEFT(C19,2)="博多",
LEFT(INDIRECT("数出表_Excel!A"&amp;MATCH(C19,数出表_Excel!$A:$A,0)-1),2)
=LEFT(INDIRECT("数出表_Excel!A"&amp;MATCH(C19,数出表_Excel!$A:$A,0)+1),2)),"博多",
IF(AND(LEFT(C19,3)="奈良屋",
LEFT(INDIRECT("数出表_Excel!A"&amp;MATCH(C19,数出表_Excel!$A:$A,0)-1),2)
=LEFT(INDIRECT("数出表_Excel!A"&amp;MATCH(C19,数出表_Excel!$A:$A,0)+1),2)),"奈良屋",""))</f>
        <v>#N/A</v>
      </c>
      <c r="C19" s="52" t="str" cm="1">
        <f t="array" aca="1" ref="C19" ca="1">IF(IF(クライアント抽出!A19="",0,LEN(クライアント抽出!V19)-LEN(SUBSTITUTE(クライアント抽出!V19,",","")))&gt;=1,INDIRECT("数出表_Excel!A"&amp;A19&amp;""),"")</f>
        <v/>
      </c>
      <c r="D19" s="52" t="str" cm="1">
        <f t="array" aca="1" ref="D19" ca="1">IF(C19&lt;&gt;"",INDIRECT("クライアント抽出!"&amp;E19&amp;MATCH(C19,クライアント抽出!A:A,0)&amp;""),"")</f>
        <v/>
      </c>
      <c r="E19" s="52" t="str">
        <f ca="1"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t="array" aca="1" ref="F19" ca="1">IF(D19&lt;&gt;"",
IF(COUNTIF(C19,"*雙葉*"),
IF(ROUND(
IF(O19&lt;&gt;"",(H19-O19),H19)
/IF(COUNTIF('盛付札（関数）'!D19,"*キャラ*"),
VLOOKUP("*キャラ*",#REF!,7,FALSE),
IF(COUNTIF('盛付札（関数）'!D19,"*赤*"),
VLOOKUP("*赤*",#REF!,7,FALSE),
VLOOKUP('盛付札（関数）'!D19,#REF!,7,FALSE))),0)&lt;=0,1,
ROUND(
IF(O19&lt;&gt;"",(H19-O19),H19)
/IF(COUNTIF('盛付札（関数）'!D19,"*キャラ*"),
VLOOKUP("*キャラ*",#REF!,7,FALSE),
IF(COUNTIF('盛付札（関数）'!D19,"*赤*"),
VLOOKUP("*赤*",#REF!,7,FALSE),
VLOOKUP('盛付札（関数）'!D19,#REF!,7,FALSE))),0)),
IF(MATCH(TRUE,
ISNUMBER(--INDIRECT("数出表_Excel!B"&amp;MATCH(C19,数出表_Excel!$A:$A,0)-1&amp;":U"&amp;MATCH(C19,数出表_Excel!$A:$A,0)-1&amp;"")),0)&gt;10,
IF(D19&lt;&gt;"",
IF(IF(COUNTIF('盛付札（関数）'!D19,"*キャラ*"),
VLOOKUP("*キャラ*",#REF!,7,FALSE),
IF(COUNTIF('盛付札（関数）'!D19,"*赤*"),
VLOOKUP("*赤*",#REF!,7,FALSE),
VLOOKUP('盛付札（関数）'!D19,#REF!,7,FALSE)))=0,"",
IF(ROUND(
IF(O19&lt;&gt;"",(H19-O19),H19)
/IF(COUNTIF('盛付札（関数）'!D19,"*キャラ*"),
VLOOKUP("*キャラ*",#REF!,7,FALSE),
IF(COUNTIF('盛付札（関数）'!D19,"*赤*"),
VLOOKUP("*赤*",#REF!,7,FALSE),
VLOOKUP('盛付札（関数）'!D19,#REF!,7,FALSE))),0)&lt;=0,1,
ROUND(
IF(O19&lt;&gt;"",(H19-O19),H19)
/IF(COUNTIF('盛付札（関数）'!D19,"*キャラ*"),
VLOOKUP("*キャラ*",#REF!,7,FALSE),
IF(COUNTIF('盛付札（関数）'!D19,"*赤*"),
VLOOKUP("*赤*",#REF!,7,FALSE),
VLOOKUP('盛付札（関数）'!D19,#REF!,7,FALSE))),0))),""),"")),"")</f>
        <v/>
      </c>
      <c r="G19" s="53" t="str">
        <f ca="1">IF(F19&lt;&gt;"",IF(VALUE(IF(O19&lt;&gt;"",H19-O19,H19))&gt;VALUE(IF(COUNTIF('盛付札（関数）'!D19,"*キャラ*"),
VLOOKUP("*キャラ*",#REF!,7,FALSE),
IF(COUNTIF('盛付札（関数）'!D19,"*赤*"),
VLOOKUP("*赤*",#REF!,7,FALSE),
VLOOKUP('盛付札（関数）'!D19,#REF!,7,FALSE)))*F19),
"+"&amp;IF(O19&lt;&gt;"",H19-O19,H19)-IF(COUNTIF('盛付札（関数）'!D19,"*キャラ*"),
VLOOKUP("*キャラ*",#REF!,7,FALSE),
IF(COUNTIF('盛付札（関数）'!D19,"*赤*"),
VLOOKUP("*赤*",#REF!,7,FALSE),
VLOOKUP('盛付札（関数）'!D19,#REF!,7,FALSE)))*F19,
IF(O19&lt;&gt;"",H19-O19,H19)-IF(COUNTIF('盛付札（関数）'!D19,"*キャラ*"),
VLOOKUP("*キャラ*",#REF!,7,FALSE),
IF(COUNTIF('盛付札（関数）'!D19,"*赤*"),
VLOOKUP("*赤*",#REF!,7,FALSE),
VLOOKUP('盛付札（関数）'!D19,#REF!,7,FALSE)))*F19),"")</f>
        <v/>
      </c>
      <c r="H19" s="195" t="str" cm="1">
        <f t="array" aca="1" ref="H19" ca="1">IF(C19&lt;&gt;"",
IF(INDIRECT("数出表_Excel!"&amp;LEFT(クライアント抽出!V19)&amp;A19-1&amp;"")&lt;&gt;"",INDIRECT("数出表_Excel!"&amp;LEFT(クライアント抽出!V19)&amp;A19-1&amp;""),0),"")</f>
        <v/>
      </c>
      <c r="I19" s="52" t="str" cm="1">
        <f t="array" aca="1" ref="I19" ca="1">IF(C19&lt;&gt;"",
IF(INDIRECT("数出表_Excel!"&amp;LEFT(クライアント抽出!V19)&amp;A19&amp;"")&lt;&gt;"",INDIRECT("数出表_Excel!"&amp;LEFT(クライアント抽出!V19)&amp;A19&amp;""),0),"")</f>
        <v/>
      </c>
      <c r="J19" s="52" t="str">
        <f ca="1">IF(C19&lt;&gt;"",
VLOOKUP(
IF(COUNTIF(D19,"*学食*"),"キャラ弁（学食）",
IF(COUNTIF(D19,"*赤*"),"赤",
IF(COUNTIF(D19,"*キャラ弁当*"),"キャラ弁当",D19))),注文弁当の抽出!$E$1:$F$15,2,FALSE),"")</f>
        <v/>
      </c>
      <c r="K19" s="52" t="str">
        <f t="shared" ca="1" si="6"/>
        <v/>
      </c>
      <c r="L19" s="52" t="str">
        <f t="shared" ca="1" si="7"/>
        <v/>
      </c>
      <c r="M19" s="52" cm="1">
        <f t="array" aca="1" ref="M19" ca="1">IF(C19&lt;&gt;"",
IF(IFERROR(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0)&lt;&gt;0,
IF(IFERROR(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"")="",
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""),
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0)),0),0)</f>
        <v>0</v>
      </c>
      <c r="N19" s="52" t="e">
        <f t="array" aca="1" ref="N19" ca="1">IF(B19="博多",
IF(C19&lt;&gt;"",
IF(IFERROR(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0)&lt;&gt;0,
IF(IFERROR(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0)="",
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0),
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0)),0),""),0)</f>
        <v>#N/A</v>
      </c>
      <c r="O19" s="52" t="e">
        <f t="shared" ca="1" si="8"/>
        <v>#N/A</v>
      </c>
      <c r="P19" s="52">
        <f t="shared" ca="1" si="4"/>
        <v>0</v>
      </c>
      <c r="Q19" s="52" t="b">
        <f t="shared" ca="1" si="5"/>
        <v>0</v>
      </c>
      <c r="R19" s="51" t="str" cm="1">
        <f t="array" aca="1" ref="R19" ca="1">IFERROR(SMALL(IF(P$1:P$300&lt;&gt;0,P$1:P$300),ROW(A19)),"")</f>
        <v/>
      </c>
      <c r="S19" s="51" t="str">
        <f t="array" aca="1" ref="S19" ca="1">IF($R19&lt;&gt;"",
INDIRECT(""&amp;IF(COLUMN(C28)&lt;=26,CHAR(COLUMN(C28)+64),CHAR(INT((COLUMN(C28)-1)/26)+64)&amp;CHAR(MOD(COLUMN(C28)-1,26)+65))&amp;$R19&amp;""),"")</f>
        <v/>
      </c>
      <c r="T19" s="51" t="str" cm="1">
        <f t="array" aca="1" ref="T19" ca="1">IF(IF($R19&lt;&gt;"",
INDIRECT(""&amp;IF(COLUMN(D39)&lt;=26,CHAR(COLUMN(D39)+64),CHAR(INT((COLUMN(D39)-1)/26)+64)&amp;CHAR(MOD(COLUMN(D39)-1,26)+65))&amp;$R19&amp;""),"")=0,"",
IF($R19&lt;&gt;"",
INDIRECT(""&amp;IF(COLUMN(D39)&lt;=26,CHAR(COLUMN(D39)+64),CHAR(INT((COLUMN(D39)-1)/26)+64)&amp;CHAR(MOD(COLUMN(D39)-1,26)+65))&amp;$R19&amp;""),""))</f>
        <v/>
      </c>
      <c r="U19" s="51"/>
      <c r="V19" s="51" t="str">
        <f t="array" aca="1" ref="V19" ca="1">IF($R19&lt;&gt;"",
IF(U19="",
IF(INDIRECT("EY"&amp;$R19&amp;"")&lt;&gt;"",
INDIRECT("EY"&amp;$R19&amp;"")&amp;"箱"
&amp;INDIRECT("EZ"&amp;$R19&amp;""),""),""),"")</f>
        <v/>
      </c>
      <c r="W19" s="51" t="str">
        <f t="array" aca="1" ref="W19" ca="1">IF($R19&lt;&gt;"",
INDIRECT(""&amp;IF(COLUMN(H28)&lt;=26,CHAR(COLUMN(H28)+64),CHAR(INT((COLUMN(H28)-1)/26)+64)&amp;CHAR(MOD(COLUMN(H28)-1,26)+65))&amp;$R19&amp;""),"")</f>
        <v/>
      </c>
      <c r="X19" s="51" t="str">
        <f t="array" aca="1" ref="X19" ca="1">IF($R19&lt;&gt;"",
INDIRECT(""&amp;IF(COLUMN(I28)&lt;=26,CHAR(COLUMN(I28)+64),CHAR(INT((COLUMN(I28)-1)/26)+64)&amp;CHAR(MOD(COLUMN(I28)-1,26)+65))&amp;$R19&amp;""),"")</f>
        <v/>
      </c>
      <c r="Y19" s="51" t="str">
        <f t="array" aca="1" ref="Y19" ca="1">IF($R19&lt;&gt;"",
INDIRECT(""&amp;IF(COLUMN(J28)&lt;=26,CHAR(COLUMN(J28)+64),CHAR(INT((COLUMN(J28)-1)/26)+64)&amp;CHAR(MOD(COLUMN(J28)-1,26)+65))&amp;$R19&amp;""),"")</f>
        <v/>
      </c>
      <c r="Z19" s="51" t="str">
        <f t="array" aca="1" ref="Z19" ca="1">IF($R19&lt;&gt;"",
INDIRECT(""&amp;IF(COLUMN(K28)&lt;=26,CHAR(COLUMN(K28)+64),CHAR(INT((COLUMN(K28)-1)/26)+64)&amp;CHAR(MOD(COLUMN(K28)-1,26)+65))&amp;$R19&amp;""),"")</f>
        <v/>
      </c>
      <c r="AA19" s="51" t="str">
        <f t="array" aca="1" ref="AA19" ca="1">IF($R19&lt;&gt;"",
INDIRECT(""&amp;IF(COLUMN(L28)&lt;=26,CHAR(COLUMN(L28)+64),CHAR(INT((COLUMN(L28)-1)/26)+64)&amp;CHAR(MOD(COLUMN(L28)-1,26)+65))&amp;$R19&amp;""),"")</f>
        <v/>
      </c>
      <c r="AB19" s="51" t="str">
        <f t="array" aca="1" ref="AB19" ca="1">IF($R19&lt;&gt;"",
INDIRECT(""&amp;IF(COLUMN(O28)&lt;=26,CHAR(COLUMN(O28)+64),CHAR(INT((COLUMN(O28)-1)/26)+64)&amp;CHAR(MOD(COLUMN(O28)-1,26)+65))&amp;$R19&amp;""),"")</f>
        <v/>
      </c>
    </row>
    <row r="20" spans="1:28" s="51" customFormat="1" ht="22.2" customHeight="1">
      <c r="A20" s="197">
        <f t="shared" si="3"/>
        <v>45</v>
      </c>
      <c r="B20" s="52" t="e">
        <f t="array" aca="1" ref="B20" ca="1">IF(AND(LEFT(C20,2)="博多",
LEFT(INDIRECT("数出表_Excel!A"&amp;MATCH(C20,数出表_Excel!$A:$A,0)-1),2)
=LEFT(INDIRECT("数出表_Excel!A"&amp;MATCH(C20,数出表_Excel!$A:$A,0)+1),2)),"博多",
IF(AND(LEFT(C20,3)="奈良屋",
LEFT(INDIRECT("数出表_Excel!A"&amp;MATCH(C20,数出表_Excel!$A:$A,0)-1),2)
=LEFT(INDIRECT("数出表_Excel!A"&amp;MATCH(C20,数出表_Excel!$A:$A,0)+1),2)),"奈良屋",""))</f>
        <v>#N/A</v>
      </c>
      <c r="C20" s="52" t="str" cm="1">
        <f t="array" aca="1" ref="C20" ca="1">IF(IF(クライアント抽出!A20="",0,LEN(クライアント抽出!V20)-LEN(SUBSTITUTE(クライアント抽出!V20,",","")))&gt;=1,INDIRECT("数出表_Excel!A"&amp;A20&amp;""),"")</f>
        <v/>
      </c>
      <c r="D20" s="52" t="str" cm="1">
        <f t="array" aca="1" ref="D20" ca="1">IF(C20&lt;&gt;"",INDIRECT("クライアント抽出!"&amp;E20&amp;MATCH(C20,クライアント抽出!A:A,0)&amp;""),"")</f>
        <v/>
      </c>
      <c r="E20" s="52" t="str">
        <f ca="1"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t="array" aca="1" ref="F20" ca="1">IF(D20&lt;&gt;"",
IF(COUNTIF(C20,"*雙葉*"),
IF(ROUND(
IF(O20&lt;&gt;"",(H20-O20),H20)
/IF(COUNTIF('盛付札（関数）'!D20,"*キャラ*"),
VLOOKUP("*キャラ*",#REF!,7,FALSE),
IF(COUNTIF('盛付札（関数）'!D20,"*赤*"),
VLOOKUP("*赤*",#REF!,7,FALSE),
VLOOKUP('盛付札（関数）'!D20,#REF!,7,FALSE))),0)&lt;=0,1,
ROUND(
IF(O20&lt;&gt;"",(H20-O20),H20)
/IF(COUNTIF('盛付札（関数）'!D20,"*キャラ*"),
VLOOKUP("*キャラ*",#REF!,7,FALSE),
IF(COUNTIF('盛付札（関数）'!D20,"*赤*"),
VLOOKUP("*赤*",#REF!,7,FALSE),
VLOOKUP('盛付札（関数）'!D20,#REF!,7,FALSE))),0)),
IF(MATCH(TRUE,
ISNUMBER(--INDIRECT("数出表_Excel!B"&amp;MATCH(C20,数出表_Excel!$A:$A,0)-1&amp;":U"&amp;MATCH(C20,数出表_Excel!$A:$A,0)-1&amp;"")),0)&gt;10,
IF(D20&lt;&gt;"",
IF(IF(COUNTIF('盛付札（関数）'!D20,"*キャラ*"),
VLOOKUP("*キャラ*",#REF!,7,FALSE),
IF(COUNTIF('盛付札（関数）'!D20,"*赤*"),
VLOOKUP("*赤*",#REF!,7,FALSE),
VLOOKUP('盛付札（関数）'!D20,#REF!,7,FALSE)))=0,"",
IF(ROUND(
IF(O20&lt;&gt;"",(H20-O20),H20)
/IF(COUNTIF('盛付札（関数）'!D20,"*キャラ*"),
VLOOKUP("*キャラ*",#REF!,7,FALSE),
IF(COUNTIF('盛付札（関数）'!D20,"*赤*"),
VLOOKUP("*赤*",#REF!,7,FALSE),
VLOOKUP('盛付札（関数）'!D20,#REF!,7,FALSE))),0)&lt;=0,1,
ROUND(
IF(O20&lt;&gt;"",(H20-O20),H20)
/IF(COUNTIF('盛付札（関数）'!D20,"*キャラ*"),
VLOOKUP("*キャラ*",#REF!,7,FALSE),
IF(COUNTIF('盛付札（関数）'!D20,"*赤*"),
VLOOKUP("*赤*",#REF!,7,FALSE),
VLOOKUP('盛付札（関数）'!D20,#REF!,7,FALSE))),0))),""),"")),"")</f>
        <v/>
      </c>
      <c r="G20" s="53" t="str">
        <f ca="1">IF(F20&lt;&gt;"",IF(VALUE(IF(O20&lt;&gt;"",H20-O20,H20))&gt;VALUE(IF(COUNTIF('盛付札（関数）'!D20,"*キャラ*"),
VLOOKUP("*キャラ*",#REF!,7,FALSE),
IF(COUNTIF('盛付札（関数）'!D20,"*赤*"),
VLOOKUP("*赤*",#REF!,7,FALSE),
VLOOKUP('盛付札（関数）'!D20,#REF!,7,FALSE)))*F20),
"+"&amp;IF(O20&lt;&gt;"",H20-O20,H20)-IF(COUNTIF('盛付札（関数）'!D20,"*キャラ*"),
VLOOKUP("*キャラ*",#REF!,7,FALSE),
IF(COUNTIF('盛付札（関数）'!D20,"*赤*"),
VLOOKUP("*赤*",#REF!,7,FALSE),
VLOOKUP('盛付札（関数）'!D20,#REF!,7,FALSE)))*F20,
IF(O20&lt;&gt;"",H20-O20,H20)-IF(COUNTIF('盛付札（関数）'!D20,"*キャラ*"),
VLOOKUP("*キャラ*",#REF!,7,FALSE),
IF(COUNTIF('盛付札（関数）'!D20,"*赤*"),
VLOOKUP("*赤*",#REF!,7,FALSE),
VLOOKUP('盛付札（関数）'!D20,#REF!,7,FALSE)))*F20),"")</f>
        <v/>
      </c>
      <c r="H20" s="195" t="str" cm="1">
        <f t="array" aca="1" ref="H20" ca="1">IF(C20&lt;&gt;"",
IF(INDIRECT("数出表_Excel!"&amp;LEFT(クライアント抽出!V20)&amp;A20-1&amp;"")&lt;&gt;"",INDIRECT("数出表_Excel!"&amp;LEFT(クライアント抽出!V20)&amp;A20-1&amp;""),0),"")</f>
        <v/>
      </c>
      <c r="I20" s="52" t="str" cm="1">
        <f t="array" aca="1" ref="I20" ca="1">IF(C20&lt;&gt;"",
IF(INDIRECT("数出表_Excel!"&amp;LEFT(クライアント抽出!V20)&amp;A20&amp;"")&lt;&gt;"",INDIRECT("数出表_Excel!"&amp;LEFT(クライアント抽出!V20)&amp;A20&amp;""),0),"")</f>
        <v/>
      </c>
      <c r="J20" s="52" t="str">
        <f ca="1">IF(C20&lt;&gt;"",
VLOOKUP(
IF(COUNTIF(D20,"*学食*"),"キャラ弁（学食）",
IF(COUNTIF(D20,"*赤*"),"赤",
IF(COUNTIF(D20,"*キャラ弁当*"),"キャラ弁当",D20))),注文弁当の抽出!$E$1:$F$15,2,FALSE),"")</f>
        <v/>
      </c>
      <c r="K20" s="52" t="str">
        <f t="shared" ca="1" si="6"/>
        <v/>
      </c>
      <c r="L20" s="52" t="str">
        <f t="shared" ca="1" si="7"/>
        <v/>
      </c>
      <c r="M20" s="52" cm="1">
        <f t="array" aca="1" ref="M20" ca="1">IF(C20&lt;&gt;"",
IF(IFERROR(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0)&lt;&gt;0,
IF(IFERROR(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"")="",
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""),
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0)),0),0)</f>
        <v>0</v>
      </c>
      <c r="N20" s="52" t="e">
        <f t="array" aca="1" ref="N20" ca="1">IF(B20="博多",
IF(C20&lt;&gt;"",
IF(IFERROR(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0)&lt;&gt;0,
IF(IFERROR(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0)="",
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0),
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0)),0),""),0)</f>
        <v>#N/A</v>
      </c>
      <c r="O20" s="52" t="e">
        <f t="shared" ca="1" si="8"/>
        <v>#N/A</v>
      </c>
      <c r="P20" s="52">
        <f t="shared" ca="1" si="4"/>
        <v>0</v>
      </c>
      <c r="Q20" s="52" t="b">
        <f t="shared" ca="1" si="5"/>
        <v>0</v>
      </c>
      <c r="R20" s="51" t="str" cm="1">
        <f t="array" aca="1" ref="R20" ca="1">IFERROR(SMALL(IF(P$1:P$300&lt;&gt;0,P$1:P$300),ROW(A20)),"")</f>
        <v/>
      </c>
      <c r="S20" s="51" t="str">
        <f t="array" aca="1" ref="S20" ca="1">IF($R20&lt;&gt;"",
INDIRECT(""&amp;IF(COLUMN(C29)&lt;=26,CHAR(COLUMN(C29)+64),CHAR(INT((COLUMN(C29)-1)/26)+64)&amp;CHAR(MOD(COLUMN(C29)-1,26)+65))&amp;$R20&amp;""),"")</f>
        <v/>
      </c>
      <c r="T20" s="51" t="str" cm="1">
        <f t="array" aca="1" ref="T20" ca="1">IF(IF($R20&lt;&gt;"",
INDIRECT(""&amp;IF(COLUMN(D40)&lt;=26,CHAR(COLUMN(D40)+64),CHAR(INT((COLUMN(D40)-1)/26)+64)&amp;CHAR(MOD(COLUMN(D40)-1,26)+65))&amp;$R20&amp;""),"")=0,"",
IF($R20&lt;&gt;"",
INDIRECT(""&amp;IF(COLUMN(D40)&lt;=26,CHAR(COLUMN(D40)+64),CHAR(INT((COLUMN(D40)-1)/26)+64)&amp;CHAR(MOD(COLUMN(D40)-1,26)+65))&amp;$R20&amp;""),""))</f>
        <v/>
      </c>
      <c r="V20" s="51" t="str">
        <f t="array" aca="1" ref="V20" ca="1">IF($R20&lt;&gt;"",
IF(U20="",
IF(INDIRECT("EY"&amp;$R20&amp;"")&lt;&gt;"",
INDIRECT("EY"&amp;$R20&amp;"")&amp;"箱"
&amp;INDIRECT("EZ"&amp;$R20&amp;""),""),""),"")</f>
        <v/>
      </c>
      <c r="W20" s="51" t="str">
        <f t="array" aca="1" ref="W20" ca="1">IF($R20&lt;&gt;"",
INDIRECT(""&amp;IF(COLUMN(H29)&lt;=26,CHAR(COLUMN(H29)+64),CHAR(INT((COLUMN(H29)-1)/26)+64)&amp;CHAR(MOD(COLUMN(H29)-1,26)+65))&amp;$R20&amp;""),"")</f>
        <v/>
      </c>
      <c r="X20" s="51" t="str">
        <f t="array" aca="1" ref="X20" ca="1">IF($R20&lt;&gt;"",
INDIRECT(""&amp;IF(COLUMN(I29)&lt;=26,CHAR(COLUMN(I29)+64),CHAR(INT((COLUMN(I29)-1)/26)+64)&amp;CHAR(MOD(COLUMN(I29)-1,26)+65))&amp;$R20&amp;""),"")</f>
        <v/>
      </c>
      <c r="Y20" s="51" t="str">
        <f t="array" aca="1" ref="Y20" ca="1">IF($R20&lt;&gt;"",
INDIRECT(""&amp;IF(COLUMN(J29)&lt;=26,CHAR(COLUMN(J29)+64),CHAR(INT((COLUMN(J29)-1)/26)+64)&amp;CHAR(MOD(COLUMN(J29)-1,26)+65))&amp;$R20&amp;""),"")</f>
        <v/>
      </c>
      <c r="Z20" s="51" t="str">
        <f t="array" aca="1" ref="Z20" ca="1">IF($R20&lt;&gt;"",
INDIRECT(""&amp;IF(COLUMN(K29)&lt;=26,CHAR(COLUMN(K29)+64),CHAR(INT((COLUMN(K29)-1)/26)+64)&amp;CHAR(MOD(COLUMN(K29)-1,26)+65))&amp;$R20&amp;""),"")</f>
        <v/>
      </c>
      <c r="AA20" s="51" t="str">
        <f t="array" aca="1" ref="AA20" ca="1">IF($R20&lt;&gt;"",
INDIRECT(""&amp;IF(COLUMN(L29)&lt;=26,CHAR(COLUMN(L29)+64),CHAR(INT((COLUMN(L29)-1)/26)+64)&amp;CHAR(MOD(COLUMN(L29)-1,26)+65))&amp;$R20&amp;""),"")</f>
        <v/>
      </c>
      <c r="AB20" s="51" t="str">
        <f t="array" aca="1" ref="AB20" ca="1">IF($R20&lt;&gt;"",
INDIRECT(""&amp;IF(COLUMN(O29)&lt;=26,CHAR(COLUMN(O29)+64),CHAR(INT((COLUMN(O29)-1)/26)+64)&amp;CHAR(MOD(COLUMN(O29)-1,26)+65))&amp;$R20&amp;""),"")</f>
        <v/>
      </c>
    </row>
    <row r="21" spans="1:28" ht="21" customHeight="1">
      <c r="A21" s="197">
        <f t="shared" si="3"/>
        <v>47</v>
      </c>
      <c r="B21" s="52" t="e">
        <f t="array" aca="1" ref="B21" ca="1">IF(AND(LEFT(C21,2)="博多",
LEFT(INDIRECT("数出表_Excel!A"&amp;MATCH(C21,数出表_Excel!$A:$A,0)-1),2)
=LEFT(INDIRECT("数出表_Excel!A"&amp;MATCH(C21,数出表_Excel!$A:$A,0)+1),2)),"博多",
IF(AND(LEFT(C21,3)="奈良屋",
LEFT(INDIRECT("数出表_Excel!A"&amp;MATCH(C21,数出表_Excel!$A:$A,0)-1),2)
=LEFT(INDIRECT("数出表_Excel!A"&amp;MATCH(C21,数出表_Excel!$A:$A,0)+1),2)),"奈良屋",""))</f>
        <v>#N/A</v>
      </c>
      <c r="C21" s="52" t="str" cm="1">
        <f t="array" aca="1" ref="C21" ca="1">IF(IF(クライアント抽出!A21="",0,LEN(クライアント抽出!V21)-LEN(SUBSTITUTE(クライアント抽出!V21,",","")))&gt;=1,INDIRECT("数出表_Excel!A"&amp;A21&amp;""),"")</f>
        <v/>
      </c>
      <c r="D21" s="52" t="str" cm="1">
        <f t="array" aca="1" ref="D21" ca="1">IF(C21&lt;&gt;"",INDIRECT("クライアント抽出!"&amp;E21&amp;MATCH(C21,クライアント抽出!A:A,0)&amp;""),"")</f>
        <v/>
      </c>
      <c r="E21" s="52" t="str">
        <f ca="1"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t="array" aca="1" ref="F21" ca="1">IF(D21&lt;&gt;"",
IF(COUNTIF(C21,"*雙葉*"),
IF(ROUND(
IF(O21&lt;&gt;"",(H21-O21),H21)
/IF(COUNTIF('盛付札（関数）'!D21,"*キャラ*"),
VLOOKUP("*キャラ*",#REF!,7,FALSE),
IF(COUNTIF('盛付札（関数）'!D21,"*赤*"),
VLOOKUP("*赤*",#REF!,7,FALSE),
VLOOKUP('盛付札（関数）'!D21,#REF!,7,FALSE))),0)&lt;=0,1,
ROUND(
IF(O21&lt;&gt;"",(H21-O21),H21)
/IF(COUNTIF('盛付札（関数）'!D21,"*キャラ*"),
VLOOKUP("*キャラ*",#REF!,7,FALSE),
IF(COUNTIF('盛付札（関数）'!D21,"*赤*"),
VLOOKUP("*赤*",#REF!,7,FALSE),
VLOOKUP('盛付札（関数）'!D21,#REF!,7,FALSE))),0)),
IF(MATCH(TRUE,
ISNUMBER(--INDIRECT("数出表_Excel!B"&amp;MATCH(C21,数出表_Excel!$A:$A,0)-1&amp;":U"&amp;MATCH(C21,数出表_Excel!$A:$A,0)-1&amp;"")),0)&gt;10,
IF(D21&lt;&gt;"",
IF(IF(COUNTIF('盛付札（関数）'!D21,"*キャラ*"),
VLOOKUP("*キャラ*",#REF!,7,FALSE),
IF(COUNTIF('盛付札（関数）'!D21,"*赤*"),
VLOOKUP("*赤*",#REF!,7,FALSE),
VLOOKUP('盛付札（関数）'!D21,#REF!,7,FALSE)))=0,"",
IF(ROUND(
IF(O21&lt;&gt;"",(H21-O21),H21)
/IF(COUNTIF('盛付札（関数）'!D21,"*キャラ*"),
VLOOKUP("*キャラ*",#REF!,7,FALSE),
IF(COUNTIF('盛付札（関数）'!D21,"*赤*"),
VLOOKUP("*赤*",#REF!,7,FALSE),
VLOOKUP('盛付札（関数）'!D21,#REF!,7,FALSE))),0)&lt;=0,1,
ROUND(
IF(O21&lt;&gt;"",(H21-O21),H21)
/IF(COUNTIF('盛付札（関数）'!D21,"*キャラ*"),
VLOOKUP("*キャラ*",#REF!,7,FALSE),
IF(COUNTIF('盛付札（関数）'!D21,"*赤*"),
VLOOKUP("*赤*",#REF!,7,FALSE),
VLOOKUP('盛付札（関数）'!D21,#REF!,7,FALSE))),0))),""),"")),"")</f>
        <v/>
      </c>
      <c r="G21" s="53" t="str">
        <f ca="1">IF(F21&lt;&gt;"",IF(VALUE(IF(O21&lt;&gt;"",H21-O21,H21))&gt;VALUE(IF(COUNTIF('盛付札（関数）'!D21,"*キャラ*"),
VLOOKUP("*キャラ*",#REF!,7,FALSE),
IF(COUNTIF('盛付札（関数）'!D21,"*赤*"),
VLOOKUP("*赤*",#REF!,7,FALSE),
VLOOKUP('盛付札（関数）'!D21,#REF!,7,FALSE)))*F21),
"+"&amp;IF(O21&lt;&gt;"",H21-O21,H21)-IF(COUNTIF('盛付札（関数）'!D21,"*キャラ*"),
VLOOKUP("*キャラ*",#REF!,7,FALSE),
IF(COUNTIF('盛付札（関数）'!D21,"*赤*"),
VLOOKUP("*赤*",#REF!,7,FALSE),
VLOOKUP('盛付札（関数）'!D21,#REF!,7,FALSE)))*F21,
IF(O21&lt;&gt;"",H21-O21,H21)-IF(COUNTIF('盛付札（関数）'!D21,"*キャラ*"),
VLOOKUP("*キャラ*",#REF!,7,FALSE),
IF(COUNTIF('盛付札（関数）'!D21,"*赤*"),
VLOOKUP("*赤*",#REF!,7,FALSE),
VLOOKUP('盛付札（関数）'!D21,#REF!,7,FALSE)))*F21),"")</f>
        <v/>
      </c>
      <c r="H21" s="195" t="str" cm="1">
        <f t="array" aca="1" ref="H21" ca="1">IF(C21&lt;&gt;"",
IF(INDIRECT("数出表_Excel!"&amp;LEFT(クライアント抽出!V21)&amp;A21-1&amp;"")&lt;&gt;"",INDIRECT("数出表_Excel!"&amp;LEFT(クライアント抽出!V21)&amp;A21-1&amp;""),0),"")</f>
        <v/>
      </c>
      <c r="I21" s="52" t="str" cm="1">
        <f t="array" aca="1" ref="I21" ca="1">IF(C21&lt;&gt;"",
IF(INDIRECT("数出表_Excel!"&amp;LEFT(クライアント抽出!V21)&amp;A21&amp;"")&lt;&gt;"",INDIRECT("数出表_Excel!"&amp;LEFT(クライアント抽出!V21)&amp;A21&amp;""),0),"")</f>
        <v/>
      </c>
      <c r="J21" s="52" t="str">
        <f ca="1">IF(C21&lt;&gt;"",
VLOOKUP(
IF(COUNTIF(D21,"*学食*"),"キャラ弁（学食）",
IF(COUNTIF(D21,"*赤*"),"赤",
IF(COUNTIF(D21,"*キャラ弁当*"),"キャラ弁当",D21))),注文弁当の抽出!$E$1:$F$15,2,FALSE),"")</f>
        <v/>
      </c>
      <c r="K21" s="52" t="str">
        <f t="shared" ca="1" si="6"/>
        <v/>
      </c>
      <c r="L21" s="52" t="str">
        <f t="shared" ca="1" si="7"/>
        <v/>
      </c>
      <c r="M21" s="52" cm="1">
        <f t="array" aca="1" ref="M21" ca="1">IF(C21&lt;&gt;"",
IF(IFERROR(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0)&lt;&gt;0,
IF(IFERROR(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"")="",
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""),
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0)),0),0)</f>
        <v>0</v>
      </c>
      <c r="N21" s="52" t="e">
        <f t="array" aca="1" ref="N21" ca="1">IF(B21="博多",
IF(C21&lt;&gt;"",
IF(IFERROR(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0)&lt;&gt;0,
IF(IFERROR(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0)="",
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0),
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0)),0),""),0)</f>
        <v>#N/A</v>
      </c>
      <c r="O21" s="52" t="e">
        <f t="shared" ca="1" si="8"/>
        <v>#N/A</v>
      </c>
      <c r="P21" s="52">
        <f t="shared" ca="1" si="4"/>
        <v>0</v>
      </c>
      <c r="Q21" s="52" t="b">
        <f t="shared" ca="1" si="5"/>
        <v>0</v>
      </c>
      <c r="R21" s="51" t="str" cm="1">
        <f t="array" aca="1" ref="R21" ca="1">IFERROR(SMALL(IF(P$1:P$300&lt;&gt;0,P$1:P$300),ROW(A21)),"")</f>
        <v/>
      </c>
      <c r="S21" s="51" t="str">
        <f t="array" aca="1" ref="S21" ca="1">IF($R21&lt;&gt;"",
INDIRECT(""&amp;IF(COLUMN(C31)&lt;=26,CHAR(COLUMN(C31)+64),CHAR(INT((COLUMN(C31)-1)/26)+64)&amp;CHAR(MOD(COLUMN(C31)-1,26)+65))&amp;$R21&amp;""),"")</f>
        <v/>
      </c>
      <c r="T21" s="51" t="str" cm="1">
        <f t="array" aca="1" ref="T21" ca="1">IF(IF($R21&lt;&gt;"",
INDIRECT(""&amp;IF(COLUMN(D41)&lt;=26,CHAR(COLUMN(D41)+64),CHAR(INT((COLUMN(D41)-1)/26)+64)&amp;CHAR(MOD(COLUMN(D41)-1,26)+65))&amp;$R21&amp;""),"")=0,"",
IF($R21&lt;&gt;"",
INDIRECT(""&amp;IF(COLUMN(D41)&lt;=26,CHAR(COLUMN(D41)+64),CHAR(INT((COLUMN(D41)-1)/26)+64)&amp;CHAR(MOD(COLUMN(D41)-1,26)+65))&amp;$R21&amp;""),""))</f>
        <v/>
      </c>
      <c r="U21" s="51"/>
      <c r="V21" s="51" t="str">
        <f t="array" aca="1" ref="V21" ca="1">IF($R21&lt;&gt;"",
IF(U21="",
IF(INDIRECT("EY"&amp;$R21&amp;"")&lt;&gt;"",
INDIRECT("EY"&amp;$R21&amp;"")&amp;"箱"
&amp;INDIRECT("EZ"&amp;$R21&amp;""),""),""),"")</f>
        <v/>
      </c>
      <c r="W21" s="51" t="str">
        <f t="array" aca="1" ref="W21" ca="1">IF($R21&lt;&gt;"",
INDIRECT(""&amp;IF(COLUMN(H31)&lt;=26,CHAR(COLUMN(H31)+64),CHAR(INT((COLUMN(H31)-1)/26)+64)&amp;CHAR(MOD(COLUMN(H31)-1,26)+65))&amp;$R21&amp;""),"")</f>
        <v/>
      </c>
      <c r="X21" s="51" t="str">
        <f t="array" aca="1" ref="X21" ca="1">IF($R21&lt;&gt;"",
INDIRECT(""&amp;IF(COLUMN(I31)&lt;=26,CHAR(COLUMN(I31)+64),CHAR(INT((COLUMN(I31)-1)/26)+64)&amp;CHAR(MOD(COLUMN(I31)-1,26)+65))&amp;$R21&amp;""),"")</f>
        <v/>
      </c>
      <c r="Y21" s="51" t="str">
        <f t="array" aca="1" ref="Y21" ca="1">IF($R21&lt;&gt;"",
INDIRECT(""&amp;IF(COLUMN(J31)&lt;=26,CHAR(COLUMN(J31)+64),CHAR(INT((COLUMN(J31)-1)/26)+64)&amp;CHAR(MOD(COLUMN(J31)-1,26)+65))&amp;$R21&amp;""),"")</f>
        <v/>
      </c>
      <c r="Z21" s="51" t="str">
        <f t="array" aca="1" ref="Z21" ca="1">IF($R21&lt;&gt;"",
INDIRECT(""&amp;IF(COLUMN(K31)&lt;=26,CHAR(COLUMN(K31)+64),CHAR(INT((COLUMN(K31)-1)/26)+64)&amp;CHAR(MOD(COLUMN(K31)-1,26)+65))&amp;$R21&amp;""),"")</f>
        <v/>
      </c>
      <c r="AA21" s="51" t="str">
        <f t="array" aca="1" ref="AA21" ca="1">IF($R21&lt;&gt;"",
INDIRECT(""&amp;IF(COLUMN(L31)&lt;=26,CHAR(COLUMN(L31)+64),CHAR(INT((COLUMN(L31)-1)/26)+64)&amp;CHAR(MOD(COLUMN(L31)-1,26)+65))&amp;$R21&amp;""),"")</f>
        <v/>
      </c>
      <c r="AB21" s="51" t="str">
        <f t="array" aca="1" ref="AB21" ca="1">IF($R21&lt;&gt;"",
INDIRECT(""&amp;IF(COLUMN(O31)&lt;=26,CHAR(COLUMN(O31)+64),CHAR(INT((COLUMN(O31)-1)/26)+64)&amp;CHAR(MOD(COLUMN(O31)-1,26)+65))&amp;$R21&amp;""),"")</f>
        <v/>
      </c>
    </row>
    <row r="22" spans="1:28" s="51" customFormat="1" ht="18" customHeight="1">
      <c r="A22" s="197">
        <f t="shared" si="3"/>
        <v>49</v>
      </c>
      <c r="B22" s="52" t="e">
        <f t="array" aca="1" ref="B22" ca="1">IF(AND(LEFT(C22,2)="博多",
LEFT(INDIRECT("数出表_Excel!A"&amp;MATCH(C22,数出表_Excel!$A:$A,0)-1),2)
=LEFT(INDIRECT("数出表_Excel!A"&amp;MATCH(C22,数出表_Excel!$A:$A,0)+1),2)),"博多",
IF(AND(LEFT(C22,3)="奈良屋",
LEFT(INDIRECT("数出表_Excel!A"&amp;MATCH(C22,数出表_Excel!$A:$A,0)-1),2)
=LEFT(INDIRECT("数出表_Excel!A"&amp;MATCH(C22,数出表_Excel!$A:$A,0)+1),2)),"奈良屋",""))</f>
        <v>#N/A</v>
      </c>
      <c r="C22" s="52" t="str" cm="1">
        <f t="array" aca="1" ref="C22" ca="1">IF(IF(クライアント抽出!A22="",0,LEN(クライアント抽出!V22)-LEN(SUBSTITUTE(クライアント抽出!V22,",","")))&gt;=1,INDIRECT("数出表_Excel!A"&amp;A22&amp;""),"")</f>
        <v/>
      </c>
      <c r="D22" s="52" t="str" cm="1">
        <f t="array" aca="1" ref="D22" ca="1">IF(C22&lt;&gt;"",INDIRECT("クライアント抽出!"&amp;E22&amp;MATCH(C22,クライアント抽出!A:A,0)&amp;""),"")</f>
        <v/>
      </c>
      <c r="E22" s="52" t="str">
        <f ca="1"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t="array" aca="1" ref="F22" ca="1">IF(D22&lt;&gt;"",
IF(COUNTIF(C22,"*雙葉*"),
IF(ROUND(
IF(O22&lt;&gt;"",(H22-O22),H22)
/IF(COUNTIF('盛付札（関数）'!D22,"*キャラ*"),
VLOOKUP("*キャラ*",#REF!,7,FALSE),
IF(COUNTIF('盛付札（関数）'!D22,"*赤*"),
VLOOKUP("*赤*",#REF!,7,FALSE),
VLOOKUP('盛付札（関数）'!D22,#REF!,7,FALSE))),0)&lt;=0,1,
ROUND(
IF(O22&lt;&gt;"",(H22-O22),H22)
/IF(COUNTIF('盛付札（関数）'!D22,"*キャラ*"),
VLOOKUP("*キャラ*",#REF!,7,FALSE),
IF(COUNTIF('盛付札（関数）'!D22,"*赤*"),
VLOOKUP("*赤*",#REF!,7,FALSE),
VLOOKUP('盛付札（関数）'!D22,#REF!,7,FALSE))),0)),
IF(MATCH(TRUE,
ISNUMBER(--INDIRECT("数出表_Excel!B"&amp;MATCH(C22,数出表_Excel!$A:$A,0)-1&amp;":U"&amp;MATCH(C22,数出表_Excel!$A:$A,0)-1&amp;"")),0)&gt;10,
IF(D22&lt;&gt;"",
IF(IF(COUNTIF('盛付札（関数）'!D22,"*キャラ*"),
VLOOKUP("*キャラ*",#REF!,7,FALSE),
IF(COUNTIF('盛付札（関数）'!D22,"*赤*"),
VLOOKUP("*赤*",#REF!,7,FALSE),
VLOOKUP('盛付札（関数）'!D22,#REF!,7,FALSE)))=0,"",
IF(ROUND(
IF(O22&lt;&gt;"",(H22-O22),H22)
/IF(COUNTIF('盛付札（関数）'!D22,"*キャラ*"),
VLOOKUP("*キャラ*",#REF!,7,FALSE),
IF(COUNTIF('盛付札（関数）'!D22,"*赤*"),
VLOOKUP("*赤*",#REF!,7,FALSE),
VLOOKUP('盛付札（関数）'!D22,#REF!,7,FALSE))),0)&lt;=0,1,
ROUND(
IF(O22&lt;&gt;"",(H22-O22),H22)
/IF(COUNTIF('盛付札（関数）'!D22,"*キャラ*"),
VLOOKUP("*キャラ*",#REF!,7,FALSE),
IF(COUNTIF('盛付札（関数）'!D22,"*赤*"),
VLOOKUP("*赤*",#REF!,7,FALSE),
VLOOKUP('盛付札（関数）'!D22,#REF!,7,FALSE))),0))),""),"")),"")</f>
        <v/>
      </c>
      <c r="G22" s="53" t="str">
        <f ca="1">IF(F22&lt;&gt;"",IF(VALUE(IF(O22&lt;&gt;"",H22-O22,H22))&gt;VALUE(IF(COUNTIF('盛付札（関数）'!D22,"*キャラ*"),
VLOOKUP("*キャラ*",#REF!,7,FALSE),
IF(COUNTIF('盛付札（関数）'!D22,"*赤*"),
VLOOKUP("*赤*",#REF!,7,FALSE),
VLOOKUP('盛付札（関数）'!D22,#REF!,7,FALSE)))*F22),
"+"&amp;IF(O22&lt;&gt;"",H22-O22,H22)-IF(COUNTIF('盛付札（関数）'!D22,"*キャラ*"),
VLOOKUP("*キャラ*",#REF!,7,FALSE),
IF(COUNTIF('盛付札（関数）'!D22,"*赤*"),
VLOOKUP("*赤*",#REF!,7,FALSE),
VLOOKUP('盛付札（関数）'!D22,#REF!,7,FALSE)))*F22,
IF(O22&lt;&gt;"",H22-O22,H22)-IF(COUNTIF('盛付札（関数）'!D22,"*キャラ*"),
VLOOKUP("*キャラ*",#REF!,7,FALSE),
IF(COUNTIF('盛付札（関数）'!D22,"*赤*"),
VLOOKUP("*赤*",#REF!,7,FALSE),
VLOOKUP('盛付札（関数）'!D22,#REF!,7,FALSE)))*F22),"")</f>
        <v/>
      </c>
      <c r="H22" s="195" t="str" cm="1">
        <f t="array" aca="1" ref="H22" ca="1">IF(C22&lt;&gt;"",
IF(INDIRECT("数出表_Excel!"&amp;LEFT(クライアント抽出!V22)&amp;A22-1&amp;"")&lt;&gt;"",INDIRECT("数出表_Excel!"&amp;LEFT(クライアント抽出!V22)&amp;A22-1&amp;""),0),"")</f>
        <v/>
      </c>
      <c r="I22" s="52" t="str" cm="1">
        <f t="array" aca="1" ref="I22" ca="1">IF(C22&lt;&gt;"",
IF(INDIRECT("数出表_Excel!"&amp;LEFT(クライアント抽出!V22)&amp;A22&amp;"")&lt;&gt;"",INDIRECT("数出表_Excel!"&amp;LEFT(クライアント抽出!V22)&amp;A22&amp;""),0),"")</f>
        <v/>
      </c>
      <c r="J22" s="52" t="str">
        <f ca="1">IF(C22&lt;&gt;"",
VLOOKUP(
IF(COUNTIF(D22,"*学食*"),"キャラ弁（学食）",
IF(COUNTIF(D22,"*赤*"),"赤",
IF(COUNTIF(D22,"*キャラ弁当*"),"キャラ弁当",D22))),注文弁当の抽出!$E$1:$F$15,2,FALSE),"")</f>
        <v/>
      </c>
      <c r="K22" s="52" t="str">
        <f t="shared" ca="1" si="6"/>
        <v/>
      </c>
      <c r="L22" s="52" t="str">
        <f t="shared" ca="1" si="7"/>
        <v/>
      </c>
      <c r="M22" s="52" cm="1">
        <f t="array" aca="1" ref="M22" ca="1">IF(C22&lt;&gt;"",
IF(IFERROR(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0)&lt;&gt;0,
IF(IFERROR(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"")="",
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""),
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0)),0),0)</f>
        <v>0</v>
      </c>
      <c r="N22" s="52" t="e">
        <f t="array" aca="1" ref="N22" ca="1">IF(B22="博多",
IF(C22&lt;&gt;"",
IF(IFERROR(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0)&lt;&gt;0,
IF(IFERROR(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0)="",
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0),
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0)),0),""),0)</f>
        <v>#N/A</v>
      </c>
      <c r="O22" s="52" t="e">
        <f t="shared" ca="1" si="8"/>
        <v>#N/A</v>
      </c>
      <c r="P22" s="52">
        <f t="shared" ca="1" si="4"/>
        <v>0</v>
      </c>
      <c r="Q22" s="52" t="b">
        <f t="shared" ca="1" si="5"/>
        <v>0</v>
      </c>
      <c r="R22" s="51" t="str" cm="1">
        <f t="array" aca="1" ref="R22" ca="1">IFERROR(SMALL(IF(P$1:P$300&lt;&gt;0,P$1:P$300),ROW(A22)),"")</f>
        <v/>
      </c>
      <c r="S22" s="51" t="str">
        <f t="array" aca="1" ref="S22" ca="1">IF($R22&lt;&gt;"",
INDIRECT(""&amp;IF(COLUMN(C32)&lt;=26,CHAR(COLUMN(C32)+64),CHAR(INT((COLUMN(C32)-1)/26)+64)&amp;CHAR(MOD(COLUMN(C32)-1,26)+65))&amp;$R22&amp;""),"")</f>
        <v/>
      </c>
      <c r="T22" s="51" t="str" cm="1">
        <f t="array" aca="1" ref="T22" ca="1">IF(IF($R22&lt;&gt;"",
INDIRECT(""&amp;IF(COLUMN(D42)&lt;=26,CHAR(COLUMN(D42)+64),CHAR(INT((COLUMN(D42)-1)/26)+64)&amp;CHAR(MOD(COLUMN(D42)-1,26)+65))&amp;$R22&amp;""),"")=0,"",
IF($R22&lt;&gt;"",
INDIRECT(""&amp;IF(COLUMN(D42)&lt;=26,CHAR(COLUMN(D42)+64),CHAR(INT((COLUMN(D42)-1)/26)+64)&amp;CHAR(MOD(COLUMN(D42)-1,26)+65))&amp;$R22&amp;""),""))</f>
        <v/>
      </c>
      <c r="V22" s="51" t="str">
        <f t="array" aca="1" ref="V22" ca="1">IF($R22&lt;&gt;"",
IF(U22="",
IF(INDIRECT("EY"&amp;$R22&amp;"")&lt;&gt;"",
INDIRECT("EY"&amp;$R22&amp;"")&amp;"箱"
&amp;INDIRECT("EZ"&amp;$R22&amp;""),""),""),"")</f>
        <v/>
      </c>
      <c r="W22" s="51" t="str">
        <f t="array" aca="1" ref="W22" ca="1">IF($R22&lt;&gt;"",
INDIRECT(""&amp;IF(COLUMN(H32)&lt;=26,CHAR(COLUMN(H32)+64),CHAR(INT((COLUMN(H32)-1)/26)+64)&amp;CHAR(MOD(COLUMN(H32)-1,26)+65))&amp;$R22&amp;""),"")</f>
        <v/>
      </c>
      <c r="X22" s="51" t="str">
        <f t="array" aca="1" ref="X22" ca="1">IF($R22&lt;&gt;"",
INDIRECT(""&amp;IF(COLUMN(I32)&lt;=26,CHAR(COLUMN(I32)+64),CHAR(INT((COLUMN(I32)-1)/26)+64)&amp;CHAR(MOD(COLUMN(I32)-1,26)+65))&amp;$R22&amp;""),"")</f>
        <v/>
      </c>
      <c r="Y22" s="51" t="str">
        <f t="array" aca="1" ref="Y22" ca="1">IF($R22&lt;&gt;"",
INDIRECT(""&amp;IF(COLUMN(J32)&lt;=26,CHAR(COLUMN(J32)+64),CHAR(INT((COLUMN(J32)-1)/26)+64)&amp;CHAR(MOD(COLUMN(J32)-1,26)+65))&amp;$R22&amp;""),"")</f>
        <v/>
      </c>
      <c r="Z22" s="51" t="str">
        <f t="array" aca="1" ref="Z22" ca="1">IF($R22&lt;&gt;"",
INDIRECT(""&amp;IF(COLUMN(K32)&lt;=26,CHAR(COLUMN(K32)+64),CHAR(INT((COLUMN(K32)-1)/26)+64)&amp;CHAR(MOD(COLUMN(K32)-1,26)+65))&amp;$R22&amp;""),"")</f>
        <v/>
      </c>
      <c r="AA22" s="51" t="str">
        <f t="array" aca="1" ref="AA22" ca="1">IF($R22&lt;&gt;"",
INDIRECT(""&amp;IF(COLUMN(L32)&lt;=26,CHAR(COLUMN(L32)+64),CHAR(INT((COLUMN(L32)-1)/26)+64)&amp;CHAR(MOD(COLUMN(L32)-1,26)+65))&amp;$R22&amp;""),"")</f>
        <v/>
      </c>
      <c r="AB22" s="51" t="str">
        <f t="array" aca="1" ref="AB22" ca="1">IF($R22&lt;&gt;"",
INDIRECT(""&amp;IF(COLUMN(O32)&lt;=26,CHAR(COLUMN(O32)+64),CHAR(INT((COLUMN(O32)-1)/26)+64)&amp;CHAR(MOD(COLUMN(O32)-1,26)+65))&amp;$R22&amp;""),"")</f>
        <v/>
      </c>
    </row>
    <row r="23" spans="1:28" s="51" customFormat="1" ht="18" customHeight="1">
      <c r="A23" s="197">
        <f t="shared" si="3"/>
        <v>51</v>
      </c>
      <c r="B23" s="52" t="e">
        <f t="array" aca="1" ref="B23" ca="1">IF(AND(LEFT(C23,2)="博多",
LEFT(INDIRECT("数出表_Excel!A"&amp;MATCH(C23,数出表_Excel!$A:$A,0)-1),2)
=LEFT(INDIRECT("数出表_Excel!A"&amp;MATCH(C23,数出表_Excel!$A:$A,0)+1),2)),"博多",
IF(AND(LEFT(C23,3)="奈良屋",
LEFT(INDIRECT("数出表_Excel!A"&amp;MATCH(C23,数出表_Excel!$A:$A,0)-1),2)
=LEFT(INDIRECT("数出表_Excel!A"&amp;MATCH(C23,数出表_Excel!$A:$A,0)+1),2)),"奈良屋",""))</f>
        <v>#N/A</v>
      </c>
      <c r="C23" s="52" t="str" cm="1">
        <f t="array" aca="1" ref="C23" ca="1">IF(IF(クライアント抽出!A23="",0,LEN(クライアント抽出!V23)-LEN(SUBSTITUTE(クライアント抽出!V23,",","")))&gt;=1,INDIRECT("数出表_Excel!A"&amp;A23&amp;""),"")</f>
        <v/>
      </c>
      <c r="D23" s="52" t="str" cm="1">
        <f t="array" aca="1" ref="D23" ca="1">IF(C23&lt;&gt;"",INDIRECT("クライアント抽出!"&amp;E23&amp;MATCH(C23,クライアント抽出!A:A,0)&amp;""),"")</f>
        <v/>
      </c>
      <c r="E23" s="52" t="str">
        <f ca="1"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t="array" aca="1" ref="F23" ca="1">IF(D23&lt;&gt;"",
IF(COUNTIF(C23,"*雙葉*"),
IF(ROUND(
IF(O23&lt;&gt;"",(H23-O23),H23)
/IF(COUNTIF('盛付札（関数）'!D23,"*キャラ*"),
VLOOKUP("*キャラ*",#REF!,7,FALSE),
IF(COUNTIF('盛付札（関数）'!D23,"*赤*"),
VLOOKUP("*赤*",#REF!,7,FALSE),
VLOOKUP('盛付札（関数）'!D23,#REF!,7,FALSE))),0)&lt;=0,1,
ROUND(
IF(O23&lt;&gt;"",(H23-O23),H23)
/IF(COUNTIF('盛付札（関数）'!D23,"*キャラ*"),
VLOOKUP("*キャラ*",#REF!,7,FALSE),
IF(COUNTIF('盛付札（関数）'!D23,"*赤*"),
VLOOKUP("*赤*",#REF!,7,FALSE),
VLOOKUP('盛付札（関数）'!D23,#REF!,7,FALSE))),0)),
IF(MATCH(TRUE,
ISNUMBER(--INDIRECT("数出表_Excel!B"&amp;MATCH(C23,数出表_Excel!$A:$A,0)-1&amp;":U"&amp;MATCH(C23,数出表_Excel!$A:$A,0)-1&amp;"")),0)&gt;10,
IF(D23&lt;&gt;"",
IF(IF(COUNTIF('盛付札（関数）'!D23,"*キャラ*"),
VLOOKUP("*キャラ*",#REF!,7,FALSE),
IF(COUNTIF('盛付札（関数）'!D23,"*赤*"),
VLOOKUP("*赤*",#REF!,7,FALSE),
VLOOKUP('盛付札（関数）'!D23,#REF!,7,FALSE)))=0,"",
IF(ROUND(
IF(O23&lt;&gt;"",(H23-O23),H23)
/IF(COUNTIF('盛付札（関数）'!D23,"*キャラ*"),
VLOOKUP("*キャラ*",#REF!,7,FALSE),
IF(COUNTIF('盛付札（関数）'!D23,"*赤*"),
VLOOKUP("*赤*",#REF!,7,FALSE),
VLOOKUP('盛付札（関数）'!D23,#REF!,7,FALSE))),0)&lt;=0,1,
ROUND(
IF(O23&lt;&gt;"",(H23-O23),H23)
/IF(COUNTIF('盛付札（関数）'!D23,"*キャラ*"),
VLOOKUP("*キャラ*",#REF!,7,FALSE),
IF(COUNTIF('盛付札（関数）'!D23,"*赤*"),
VLOOKUP("*赤*",#REF!,7,FALSE),
VLOOKUP('盛付札（関数）'!D23,#REF!,7,FALSE))),0))),""),"")),"")</f>
        <v/>
      </c>
      <c r="G23" s="53" t="str">
        <f ca="1">IF(F23&lt;&gt;"",IF(VALUE(IF(O23&lt;&gt;"",H23-O23,H23))&gt;VALUE(IF(COUNTIF('盛付札（関数）'!D23,"*キャラ*"),
VLOOKUP("*キャラ*",#REF!,7,FALSE),
IF(COUNTIF('盛付札（関数）'!D23,"*赤*"),
VLOOKUP("*赤*",#REF!,7,FALSE),
VLOOKUP('盛付札（関数）'!D23,#REF!,7,FALSE)))*F23),
"+"&amp;IF(O23&lt;&gt;"",H23-O23,H23)-IF(COUNTIF('盛付札（関数）'!D23,"*キャラ*"),
VLOOKUP("*キャラ*",#REF!,7,FALSE),
IF(COUNTIF('盛付札（関数）'!D23,"*赤*"),
VLOOKUP("*赤*",#REF!,7,FALSE),
VLOOKUP('盛付札（関数）'!D23,#REF!,7,FALSE)))*F23,
IF(O23&lt;&gt;"",H23-O23,H23)-IF(COUNTIF('盛付札（関数）'!D23,"*キャラ*"),
VLOOKUP("*キャラ*",#REF!,7,FALSE),
IF(COUNTIF('盛付札（関数）'!D23,"*赤*"),
VLOOKUP("*赤*",#REF!,7,FALSE),
VLOOKUP('盛付札（関数）'!D23,#REF!,7,FALSE)))*F23),"")</f>
        <v/>
      </c>
      <c r="H23" s="195" t="str" cm="1">
        <f t="array" aca="1" ref="H23" ca="1">IF(C23&lt;&gt;"",
IF(INDIRECT("数出表_Excel!"&amp;LEFT(クライアント抽出!V23)&amp;A23-1&amp;"")&lt;&gt;"",INDIRECT("数出表_Excel!"&amp;LEFT(クライアント抽出!V23)&amp;A23-1&amp;""),0),"")</f>
        <v/>
      </c>
      <c r="I23" s="52" t="str" cm="1">
        <f t="array" aca="1" ref="I23" ca="1">IF(C23&lt;&gt;"",
IF(INDIRECT("数出表_Excel!"&amp;LEFT(クライアント抽出!V23)&amp;A23&amp;"")&lt;&gt;"",INDIRECT("数出表_Excel!"&amp;LEFT(クライアント抽出!V23)&amp;A23&amp;""),0),"")</f>
        <v/>
      </c>
      <c r="J23" s="52" t="str">
        <f ca="1">IF(C23&lt;&gt;"",
VLOOKUP(
IF(COUNTIF(D23,"*学食*"),"キャラ弁（学食）",
IF(COUNTIF(D23,"*赤*"),"赤",
IF(COUNTIF(D23,"*キャラ弁当*"),"キャラ弁当",D23))),注文弁当の抽出!$E$1:$F$15,2,FALSE),"")</f>
        <v/>
      </c>
      <c r="K23" s="52" t="str">
        <f t="shared" ca="1" si="6"/>
        <v/>
      </c>
      <c r="L23" s="52" t="str">
        <f t="shared" ca="1" si="7"/>
        <v/>
      </c>
      <c r="M23" s="52" cm="1">
        <f t="array" aca="1" ref="M23" ca="1">IF(C23&lt;&gt;"",
IF(IFERROR(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0)&lt;&gt;0,
IF(IFERROR(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"")="",
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""),
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0)),0),0)</f>
        <v>0</v>
      </c>
      <c r="N23" s="52" t="e">
        <f t="array" aca="1" ref="N23" ca="1">IF(B23="博多",
IF(C23&lt;&gt;"",
IF(IFERROR(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0)&lt;&gt;0,
IF(IFERROR(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0)="",
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0),
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0)),0),""),0)</f>
        <v>#N/A</v>
      </c>
      <c r="O23" s="52" t="e">
        <f t="shared" ca="1" si="8"/>
        <v>#N/A</v>
      </c>
      <c r="P23" s="52">
        <f t="shared" ca="1" si="4"/>
        <v>0</v>
      </c>
      <c r="Q23" s="52" t="b">
        <f t="shared" ca="1" si="5"/>
        <v>0</v>
      </c>
      <c r="R23" s="51" t="str" cm="1">
        <f t="array" aca="1" ref="R23" ca="1">IFERROR(SMALL(IF(P$1:P$300&lt;&gt;0,P$1:P$300),ROW(A23)),"")</f>
        <v/>
      </c>
      <c r="S23" s="51" t="str">
        <f t="array" aca="1" ref="S23" ca="1">IF($R23&lt;&gt;"",
INDIRECT(""&amp;IF(COLUMN(C34)&lt;=26,CHAR(COLUMN(C34)+64),CHAR(INT((COLUMN(C34)-1)/26)+64)&amp;CHAR(MOD(COLUMN(C34)-1,26)+65))&amp;$R23&amp;""),"")</f>
        <v/>
      </c>
      <c r="T23" s="51" t="str" cm="1">
        <f t="array" aca="1" ref="T23" ca="1">IF(IF($R23&lt;&gt;"",
INDIRECT(""&amp;IF(COLUMN(D43)&lt;=26,CHAR(COLUMN(D43)+64),CHAR(INT((COLUMN(D43)-1)/26)+64)&amp;CHAR(MOD(COLUMN(D43)-1,26)+65))&amp;$R23&amp;""),"")=0,"",
IF($R23&lt;&gt;"",
INDIRECT(""&amp;IF(COLUMN(D43)&lt;=26,CHAR(COLUMN(D43)+64),CHAR(INT((COLUMN(D43)-1)/26)+64)&amp;CHAR(MOD(COLUMN(D43)-1,26)+65))&amp;$R23&amp;""),""))</f>
        <v/>
      </c>
      <c r="V23" s="51" t="str">
        <f t="array" aca="1" ref="V23" ca="1">IF($R23&lt;&gt;"",
IF(U23="",
IF(INDIRECT("EY"&amp;$R23&amp;"")&lt;&gt;"",
INDIRECT("EY"&amp;$R23&amp;"")&amp;"箱"
&amp;INDIRECT("EZ"&amp;$R23&amp;""),""),""),"")</f>
        <v/>
      </c>
      <c r="W23" s="51" t="str">
        <f t="array" aca="1" ref="W23" ca="1">IF($R23&lt;&gt;"",
INDIRECT(""&amp;IF(COLUMN(H34)&lt;=26,CHAR(COLUMN(H34)+64),CHAR(INT((COLUMN(H34)-1)/26)+64)&amp;CHAR(MOD(COLUMN(H34)-1,26)+65))&amp;$R23&amp;""),"")</f>
        <v/>
      </c>
      <c r="X23" s="51" t="str">
        <f t="array" aca="1" ref="X23" ca="1">IF($R23&lt;&gt;"",
INDIRECT(""&amp;IF(COLUMN(I34)&lt;=26,CHAR(COLUMN(I34)+64),CHAR(INT((COLUMN(I34)-1)/26)+64)&amp;CHAR(MOD(COLUMN(I34)-1,26)+65))&amp;$R23&amp;""),"")</f>
        <v/>
      </c>
      <c r="Y23" s="51" t="str">
        <f t="array" aca="1" ref="Y23" ca="1">IF($R23&lt;&gt;"",
INDIRECT(""&amp;IF(COLUMN(J34)&lt;=26,CHAR(COLUMN(J34)+64),CHAR(INT((COLUMN(J34)-1)/26)+64)&amp;CHAR(MOD(COLUMN(J34)-1,26)+65))&amp;$R23&amp;""),"")</f>
        <v/>
      </c>
      <c r="Z23" s="51" t="str">
        <f t="array" aca="1" ref="Z23" ca="1">IF($R23&lt;&gt;"",
INDIRECT(""&amp;IF(COLUMN(K34)&lt;=26,CHAR(COLUMN(K34)+64),CHAR(INT((COLUMN(K34)-1)/26)+64)&amp;CHAR(MOD(COLUMN(K34)-1,26)+65))&amp;$R23&amp;""),"")</f>
        <v/>
      </c>
      <c r="AA23" s="51" t="str">
        <f t="array" aca="1" ref="AA23" ca="1">IF($R23&lt;&gt;"",
INDIRECT(""&amp;IF(COLUMN(L34)&lt;=26,CHAR(COLUMN(L34)+64),CHAR(INT((COLUMN(L34)-1)/26)+64)&amp;CHAR(MOD(COLUMN(L34)-1,26)+65))&amp;$R23&amp;""),"")</f>
        <v/>
      </c>
      <c r="AB23" s="51" t="str">
        <f t="array" aca="1" ref="AB23" ca="1">IF($R23&lt;&gt;"",
INDIRECT(""&amp;IF(COLUMN(O34)&lt;=26,CHAR(COLUMN(O34)+64),CHAR(INT((COLUMN(O34)-1)/26)+64)&amp;CHAR(MOD(COLUMN(O34)-1,26)+65))&amp;$R23&amp;""),"")</f>
        <v/>
      </c>
    </row>
    <row r="24" spans="1:28" s="51" customFormat="1" ht="22.2" customHeight="1">
      <c r="A24" s="197">
        <f t="shared" si="3"/>
        <v>53</v>
      </c>
      <c r="B24" s="52" t="e">
        <f t="array" aca="1" ref="B24" ca="1">IF(AND(LEFT(C24,2)="博多",
LEFT(INDIRECT("数出表_Excel!A"&amp;MATCH(C24,数出表_Excel!$A:$A,0)-1),2)
=LEFT(INDIRECT("数出表_Excel!A"&amp;MATCH(C24,数出表_Excel!$A:$A,0)+1),2)),"博多",
IF(AND(LEFT(C24,3)="奈良屋",
LEFT(INDIRECT("数出表_Excel!A"&amp;MATCH(C24,数出表_Excel!$A:$A,0)-1),2)
=LEFT(INDIRECT("数出表_Excel!A"&amp;MATCH(C24,数出表_Excel!$A:$A,0)+1),2)),"奈良屋",""))</f>
        <v>#N/A</v>
      </c>
      <c r="C24" s="52" t="str" cm="1">
        <f t="array" aca="1" ref="C24" ca="1">IF(IF(クライアント抽出!A24="",0,LEN(クライアント抽出!V24)-LEN(SUBSTITUTE(クライアント抽出!V24,",","")))&gt;=1,INDIRECT("数出表_Excel!A"&amp;A24&amp;""),"")</f>
        <v/>
      </c>
      <c r="D24" s="52" t="str" cm="1">
        <f t="array" aca="1" ref="D24" ca="1">IF(C24&lt;&gt;"",INDIRECT("クライアント抽出!"&amp;E24&amp;MATCH(C24,クライアント抽出!A:A,0)&amp;""),"")</f>
        <v/>
      </c>
      <c r="E24" s="52" t="str">
        <f ca="1"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t="array" aca="1" ref="F24" ca="1">IF(D24&lt;&gt;"",
IF(COUNTIF(C24,"*雙葉*"),
IF(ROUND(
IF(O24&lt;&gt;"",(H24-O24),H24)
/IF(COUNTIF('盛付札（関数）'!D24,"*キャラ*"),
VLOOKUP("*キャラ*",#REF!,7,FALSE),
IF(COUNTIF('盛付札（関数）'!D24,"*赤*"),
VLOOKUP("*赤*",#REF!,7,FALSE),
VLOOKUP('盛付札（関数）'!D24,#REF!,7,FALSE))),0)&lt;=0,1,
ROUND(
IF(O24&lt;&gt;"",(H24-O24),H24)
/IF(COUNTIF('盛付札（関数）'!D24,"*キャラ*"),
VLOOKUP("*キャラ*",#REF!,7,FALSE),
IF(COUNTIF('盛付札（関数）'!D24,"*赤*"),
VLOOKUP("*赤*",#REF!,7,FALSE),
VLOOKUP('盛付札（関数）'!D24,#REF!,7,FALSE))),0)),
IF(MATCH(TRUE,
ISNUMBER(--INDIRECT("数出表_Excel!B"&amp;MATCH(C24,数出表_Excel!$A:$A,0)-1&amp;":U"&amp;MATCH(C24,数出表_Excel!$A:$A,0)-1&amp;"")),0)&gt;10,
IF(D24&lt;&gt;"",
IF(IF(COUNTIF('盛付札（関数）'!D24,"*キャラ*"),
VLOOKUP("*キャラ*",#REF!,7,FALSE),
IF(COUNTIF('盛付札（関数）'!D24,"*赤*"),
VLOOKUP("*赤*",#REF!,7,FALSE),
VLOOKUP('盛付札（関数）'!D24,#REF!,7,FALSE)))=0,"",
IF(ROUND(
IF(O24&lt;&gt;"",(H24-O24),H24)
/IF(COUNTIF('盛付札（関数）'!D24,"*キャラ*"),
VLOOKUP("*キャラ*",#REF!,7,FALSE),
IF(COUNTIF('盛付札（関数）'!D24,"*赤*"),
VLOOKUP("*赤*",#REF!,7,FALSE),
VLOOKUP('盛付札（関数）'!D24,#REF!,7,FALSE))),0)&lt;=0,1,
ROUND(
IF(O24&lt;&gt;"",(H24-O24),H24)
/IF(COUNTIF('盛付札（関数）'!D24,"*キャラ*"),
VLOOKUP("*キャラ*",#REF!,7,FALSE),
IF(COUNTIF('盛付札（関数）'!D24,"*赤*"),
VLOOKUP("*赤*",#REF!,7,FALSE),
VLOOKUP('盛付札（関数）'!D24,#REF!,7,FALSE))),0))),""),"")),"")</f>
        <v/>
      </c>
      <c r="G24" s="53" t="str">
        <f ca="1">IF(F24&lt;&gt;"",IF(VALUE(IF(O24&lt;&gt;"",H24-O24,H24))&gt;VALUE(IF(COUNTIF('盛付札（関数）'!D24,"*キャラ*"),
VLOOKUP("*キャラ*",#REF!,7,FALSE),
IF(COUNTIF('盛付札（関数）'!D24,"*赤*"),
VLOOKUP("*赤*",#REF!,7,FALSE),
VLOOKUP('盛付札（関数）'!D24,#REF!,7,FALSE)))*F24),
"+"&amp;IF(O24&lt;&gt;"",H24-O24,H24)-IF(COUNTIF('盛付札（関数）'!D24,"*キャラ*"),
VLOOKUP("*キャラ*",#REF!,7,FALSE),
IF(COUNTIF('盛付札（関数）'!D24,"*赤*"),
VLOOKUP("*赤*",#REF!,7,FALSE),
VLOOKUP('盛付札（関数）'!D24,#REF!,7,FALSE)))*F24,
IF(O24&lt;&gt;"",H24-O24,H24)-IF(COUNTIF('盛付札（関数）'!D24,"*キャラ*"),
VLOOKUP("*キャラ*",#REF!,7,FALSE),
IF(COUNTIF('盛付札（関数）'!D24,"*赤*"),
VLOOKUP("*赤*",#REF!,7,FALSE),
VLOOKUP('盛付札（関数）'!D24,#REF!,7,FALSE)))*F24),"")</f>
        <v/>
      </c>
      <c r="H24" s="195" t="str" cm="1">
        <f t="array" aca="1" ref="H24" ca="1">IF(C24&lt;&gt;"",
IF(INDIRECT("数出表_Excel!"&amp;LEFT(クライアント抽出!V24)&amp;A24-1&amp;"")&lt;&gt;"",INDIRECT("数出表_Excel!"&amp;LEFT(クライアント抽出!V24)&amp;A24-1&amp;""),0),"")</f>
        <v/>
      </c>
      <c r="I24" s="52" t="str" cm="1">
        <f t="array" aca="1" ref="I24" ca="1">IF(C24&lt;&gt;"",
IF(INDIRECT("数出表_Excel!"&amp;LEFT(クライアント抽出!V24)&amp;A24&amp;"")&lt;&gt;"",INDIRECT("数出表_Excel!"&amp;LEFT(クライアント抽出!V24)&amp;A24&amp;""),0),"")</f>
        <v/>
      </c>
      <c r="J24" s="52" t="str">
        <f ca="1">IF(C24&lt;&gt;"",
VLOOKUP(
IF(COUNTIF(D24,"*学食*"),"キャラ弁（学食）",
IF(COUNTIF(D24,"*赤*"),"赤",
IF(COUNTIF(D24,"*キャラ弁当*"),"キャラ弁当",D24))),注文弁当の抽出!$E$1:$F$15,2,FALSE),"")</f>
        <v/>
      </c>
      <c r="K24" s="52" t="str">
        <f t="shared" ca="1" si="6"/>
        <v/>
      </c>
      <c r="L24" s="52" t="str">
        <f t="shared" ca="1" si="7"/>
        <v/>
      </c>
      <c r="M24" s="52" cm="1">
        <f t="array" aca="1" ref="M24" ca="1">IF(C24&lt;&gt;"",
IF(IFERROR(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0)&lt;&gt;0,
IF(IFERROR(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"")="",
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""),
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0)),0),0)</f>
        <v>0</v>
      </c>
      <c r="N24" s="52" t="e">
        <f t="array" aca="1" ref="N24" ca="1">IF(B24="博多",
IF(C24&lt;&gt;"",
IF(IFERROR(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0)&lt;&gt;0,
IF(IFERROR(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0)="",
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0),
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0)),0),""),0)</f>
        <v>#N/A</v>
      </c>
      <c r="O24" s="52" t="e">
        <f t="shared" ca="1" si="8"/>
        <v>#N/A</v>
      </c>
      <c r="P24" s="52">
        <f t="shared" ca="1" si="4"/>
        <v>0</v>
      </c>
      <c r="Q24" s="52" t="b">
        <f t="shared" ca="1" si="5"/>
        <v>0</v>
      </c>
      <c r="R24" s="51" t="str" cm="1">
        <f t="array" aca="1" ref="R24" ca="1">IFERROR(SMALL(IF(P$1:P$300&lt;&gt;0,P$1:P$300),ROW(A24)),"")</f>
        <v/>
      </c>
      <c r="S24" s="51" t="str">
        <f t="array" aca="1" ref="S24" ca="1">IF($R24&lt;&gt;"",
INDIRECT(""&amp;IF(COLUMN(C35)&lt;=26,CHAR(COLUMN(C35)+64),CHAR(INT((COLUMN(C35)-1)/26)+64)&amp;CHAR(MOD(COLUMN(C35)-1,26)+65))&amp;$R24&amp;""),"")</f>
        <v/>
      </c>
      <c r="T24" s="51" t="str" cm="1">
        <f t="array" aca="1" ref="T24" ca="1">IF(IF($R24&lt;&gt;"",
INDIRECT(""&amp;IF(COLUMN(D44)&lt;=26,CHAR(COLUMN(D44)+64),CHAR(INT((COLUMN(D44)-1)/26)+64)&amp;CHAR(MOD(COLUMN(D44)-1,26)+65))&amp;$R24&amp;""),"")=0,"",
IF($R24&lt;&gt;"",
INDIRECT(""&amp;IF(COLUMN(D44)&lt;=26,CHAR(COLUMN(D44)+64),CHAR(INT((COLUMN(D44)-1)/26)+64)&amp;CHAR(MOD(COLUMN(D44)-1,26)+65))&amp;$R24&amp;""),""))</f>
        <v/>
      </c>
      <c r="V24" s="51" t="str">
        <f t="array" aca="1" ref="V24" ca="1">IF($R24&lt;&gt;"",
IF(U24="",
IF(INDIRECT("EY"&amp;$R24&amp;"")&lt;&gt;"",
INDIRECT("EY"&amp;$R24&amp;"")&amp;"箱"
&amp;INDIRECT("EZ"&amp;$R24&amp;""),""),""),"")</f>
        <v/>
      </c>
      <c r="W24" s="51" t="str">
        <f t="array" aca="1" ref="W24" ca="1">IF($R24&lt;&gt;"",
INDIRECT(""&amp;IF(COLUMN(H35)&lt;=26,CHAR(COLUMN(H35)+64),CHAR(INT((COLUMN(H35)-1)/26)+64)&amp;CHAR(MOD(COLUMN(H35)-1,26)+65))&amp;$R24&amp;""),"")</f>
        <v/>
      </c>
      <c r="X24" s="51" t="str">
        <f t="array" aca="1" ref="X24" ca="1">IF($R24&lt;&gt;"",
INDIRECT(""&amp;IF(COLUMN(I35)&lt;=26,CHAR(COLUMN(I35)+64),CHAR(INT((COLUMN(I35)-1)/26)+64)&amp;CHAR(MOD(COLUMN(I35)-1,26)+65))&amp;$R24&amp;""),"")</f>
        <v/>
      </c>
      <c r="Y24" s="51" t="str">
        <f t="array" aca="1" ref="Y24" ca="1">IF($R24&lt;&gt;"",
INDIRECT(""&amp;IF(COLUMN(J35)&lt;=26,CHAR(COLUMN(J35)+64),CHAR(INT((COLUMN(J35)-1)/26)+64)&amp;CHAR(MOD(COLUMN(J35)-1,26)+65))&amp;$R24&amp;""),"")</f>
        <v/>
      </c>
      <c r="Z24" s="51" t="str">
        <f t="array" aca="1" ref="Z24" ca="1">IF($R24&lt;&gt;"",
INDIRECT(""&amp;IF(COLUMN(K35)&lt;=26,CHAR(COLUMN(K35)+64),CHAR(INT((COLUMN(K35)-1)/26)+64)&amp;CHAR(MOD(COLUMN(K35)-1,26)+65))&amp;$R24&amp;""),"")</f>
        <v/>
      </c>
      <c r="AA24" s="51" t="str">
        <f t="array" aca="1" ref="AA24" ca="1">IF($R24&lt;&gt;"",
INDIRECT(""&amp;IF(COLUMN(L35)&lt;=26,CHAR(COLUMN(L35)+64),CHAR(INT((COLUMN(L35)-1)/26)+64)&amp;CHAR(MOD(COLUMN(L35)-1,26)+65))&amp;$R24&amp;""),"")</f>
        <v/>
      </c>
      <c r="AB24" s="51" t="str">
        <f t="array" aca="1" ref="AB24" ca="1">IF($R24&lt;&gt;"",
INDIRECT(""&amp;IF(COLUMN(O35)&lt;=26,CHAR(COLUMN(O35)+64),CHAR(INT((COLUMN(O35)-1)/26)+64)&amp;CHAR(MOD(COLUMN(O35)-1,26)+65))&amp;$R24&amp;""),"")</f>
        <v/>
      </c>
    </row>
    <row r="25" spans="1:28" ht="18" customHeight="1">
      <c r="A25" s="197">
        <f t="shared" si="3"/>
        <v>55</v>
      </c>
      <c r="B25" s="52" t="e">
        <f t="array" aca="1" ref="B25" ca="1">IF(AND(LEFT(C25,2)="博多",
LEFT(INDIRECT("数出表_Excel!A"&amp;MATCH(C25,数出表_Excel!$A:$A,0)-1),2)
=LEFT(INDIRECT("数出表_Excel!A"&amp;MATCH(C25,数出表_Excel!$A:$A,0)+1),2)),"博多",
IF(AND(LEFT(C25,3)="奈良屋",
LEFT(INDIRECT("数出表_Excel!A"&amp;MATCH(C25,数出表_Excel!$A:$A,0)-1),2)
=LEFT(INDIRECT("数出表_Excel!A"&amp;MATCH(C25,数出表_Excel!$A:$A,0)+1),2)),"奈良屋",""))</f>
        <v>#N/A</v>
      </c>
      <c r="C25" s="52" t="str" cm="1">
        <f t="array" aca="1" ref="C25" ca="1">IF(IF(クライアント抽出!A25="",0,LEN(クライアント抽出!V25)-LEN(SUBSTITUTE(クライアント抽出!V25,",","")))&gt;=1,INDIRECT("数出表_Excel!A"&amp;A25&amp;""),"")</f>
        <v/>
      </c>
      <c r="D25" s="52" t="str" cm="1">
        <f t="array" aca="1" ref="D25" ca="1">IF(C25&lt;&gt;"",INDIRECT("クライアント抽出!"&amp;E25&amp;MATCH(C25,クライアント抽出!A:A,0)&amp;""),"")</f>
        <v/>
      </c>
      <c r="E25" s="52" t="str">
        <f ca="1"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t="array" aca="1" ref="F25" ca="1">IF(D25&lt;&gt;"",
IF(COUNTIF(C25,"*雙葉*"),
IF(ROUND(
IF(O25&lt;&gt;"",(H25-O25),H25)
/IF(COUNTIF('盛付札（関数）'!D25,"*キャラ*"),
VLOOKUP("*キャラ*",#REF!,7,FALSE),
IF(COUNTIF('盛付札（関数）'!D25,"*赤*"),
VLOOKUP("*赤*",#REF!,7,FALSE),
VLOOKUP('盛付札（関数）'!D25,#REF!,7,FALSE))),0)&lt;=0,1,
ROUND(
IF(O25&lt;&gt;"",(H25-O25),H25)
/IF(COUNTIF('盛付札（関数）'!D25,"*キャラ*"),
VLOOKUP("*キャラ*",#REF!,7,FALSE),
IF(COUNTIF('盛付札（関数）'!D25,"*赤*"),
VLOOKUP("*赤*",#REF!,7,FALSE),
VLOOKUP('盛付札（関数）'!D25,#REF!,7,FALSE))),0)),
IF(MATCH(TRUE,
ISNUMBER(--INDIRECT("数出表_Excel!B"&amp;MATCH(C25,数出表_Excel!$A:$A,0)-1&amp;":U"&amp;MATCH(C25,数出表_Excel!$A:$A,0)-1&amp;"")),0)&gt;10,
IF(D25&lt;&gt;"",
IF(IF(COUNTIF('盛付札（関数）'!D25,"*キャラ*"),
VLOOKUP("*キャラ*",#REF!,7,FALSE),
IF(COUNTIF('盛付札（関数）'!D25,"*赤*"),
VLOOKUP("*赤*",#REF!,7,FALSE),
VLOOKUP('盛付札（関数）'!D25,#REF!,7,FALSE)))=0,"",
IF(ROUND(
IF(O25&lt;&gt;"",(H25-O25),H25)
/IF(COUNTIF('盛付札（関数）'!D25,"*キャラ*"),
VLOOKUP("*キャラ*",#REF!,7,FALSE),
IF(COUNTIF('盛付札（関数）'!D25,"*赤*"),
VLOOKUP("*赤*",#REF!,7,FALSE),
VLOOKUP('盛付札（関数）'!D25,#REF!,7,FALSE))),0)&lt;=0,1,
ROUND(
IF(O25&lt;&gt;"",(H25-O25),H25)
/IF(COUNTIF('盛付札（関数）'!D25,"*キャラ*"),
VLOOKUP("*キャラ*",#REF!,7,FALSE),
IF(COUNTIF('盛付札（関数）'!D25,"*赤*"),
VLOOKUP("*赤*",#REF!,7,FALSE),
VLOOKUP('盛付札（関数）'!D25,#REF!,7,FALSE))),0))),""),"")),"")</f>
        <v/>
      </c>
      <c r="G25" s="53" t="str">
        <f ca="1">IF(F25&lt;&gt;"",IF(VALUE(IF(O25&lt;&gt;"",H25-O25,H25))&gt;VALUE(IF(COUNTIF('盛付札（関数）'!D25,"*キャラ*"),
VLOOKUP("*キャラ*",#REF!,7,FALSE),
IF(COUNTIF('盛付札（関数）'!D25,"*赤*"),
VLOOKUP("*赤*",#REF!,7,FALSE),
VLOOKUP('盛付札（関数）'!D25,#REF!,7,FALSE)))*F25),
"+"&amp;IF(O25&lt;&gt;"",H25-O25,H25)-IF(COUNTIF('盛付札（関数）'!D25,"*キャラ*"),
VLOOKUP("*キャラ*",#REF!,7,FALSE),
IF(COUNTIF('盛付札（関数）'!D25,"*赤*"),
VLOOKUP("*赤*",#REF!,7,FALSE),
VLOOKUP('盛付札（関数）'!D25,#REF!,7,FALSE)))*F25,
IF(O25&lt;&gt;"",H25-O25,H25)-IF(COUNTIF('盛付札（関数）'!D25,"*キャラ*"),
VLOOKUP("*キャラ*",#REF!,7,FALSE),
IF(COUNTIF('盛付札（関数）'!D25,"*赤*"),
VLOOKUP("*赤*",#REF!,7,FALSE),
VLOOKUP('盛付札（関数）'!D25,#REF!,7,FALSE)))*F25),"")</f>
        <v/>
      </c>
      <c r="H25" s="195" t="str" cm="1">
        <f t="array" aca="1" ref="H25" ca="1">IF(C25&lt;&gt;"",
IF(INDIRECT("数出表_Excel!"&amp;LEFT(クライアント抽出!V25)&amp;A25-1&amp;"")&lt;&gt;"",INDIRECT("数出表_Excel!"&amp;LEFT(クライアント抽出!V25)&amp;A25-1&amp;""),0),"")</f>
        <v/>
      </c>
      <c r="I25" s="52" t="str" cm="1">
        <f t="array" aca="1" ref="I25" ca="1">IF(C25&lt;&gt;"",
IF(INDIRECT("数出表_Excel!"&amp;LEFT(クライアント抽出!V25)&amp;A25&amp;"")&lt;&gt;"",INDIRECT("数出表_Excel!"&amp;LEFT(クライアント抽出!V25)&amp;A25&amp;""),0),"")</f>
        <v/>
      </c>
      <c r="J25" s="52" t="str">
        <f ca="1">IF(C25&lt;&gt;"",
VLOOKUP(
IF(COUNTIF(D25,"*学食*"),"キャラ弁（学食）",
IF(COUNTIF(D25,"*赤*"),"赤",
IF(COUNTIF(D25,"*キャラ弁当*"),"キャラ弁当",D25))),注文弁当の抽出!$E$1:$F$15,2,FALSE),"")</f>
        <v/>
      </c>
      <c r="K25" s="52" t="str">
        <f t="shared" ca="1" si="6"/>
        <v/>
      </c>
      <c r="L25" s="52" t="str">
        <f t="shared" ca="1" si="7"/>
        <v/>
      </c>
      <c r="M25" s="52" cm="1">
        <f t="array" aca="1" ref="M25" ca="1">IF(C25&lt;&gt;"",
IF(IFERROR(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0)&lt;&gt;0,
IF(IFERROR(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"")="",
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""),
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0)),0),0)</f>
        <v>0</v>
      </c>
      <c r="N25" s="52" t="e">
        <f t="array" aca="1" ref="N25" ca="1">IF(B25="博多",
IF(C25&lt;&gt;"",
IF(IFERROR(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0)&lt;&gt;0,
IF(IFERROR(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0)="",
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0),
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0)),0),""),0)</f>
        <v>#N/A</v>
      </c>
      <c r="O25" s="52" t="e">
        <f t="shared" ca="1" si="8"/>
        <v>#N/A</v>
      </c>
      <c r="P25" s="52">
        <f t="shared" ca="1" si="4"/>
        <v>0</v>
      </c>
      <c r="Q25" s="52" t="b">
        <f t="shared" ca="1" si="5"/>
        <v>0</v>
      </c>
      <c r="R25" s="51" t="str" cm="1">
        <f t="array" aca="1" ref="R25" ca="1">IFERROR(SMALL(IF(P$1:P$300&lt;&gt;0,P$1:P$300),ROW(A25)),"")</f>
        <v/>
      </c>
      <c r="S25" s="51" t="str">
        <f t="array" aca="1" ref="S25" ca="1">IF($R25&lt;&gt;"",
INDIRECT(""&amp;IF(COLUMN(C37)&lt;=26,CHAR(COLUMN(C37)+64),CHAR(INT((COLUMN(C37)-1)/26)+64)&amp;CHAR(MOD(COLUMN(C37)-1,26)+65))&amp;$R25&amp;""),"")</f>
        <v/>
      </c>
      <c r="T25" s="51" t="str" cm="1">
        <f t="array" aca="1" ref="T25" ca="1">IF(IF($R25&lt;&gt;"",
INDIRECT(""&amp;IF(COLUMN(D45)&lt;=26,CHAR(COLUMN(D45)+64),CHAR(INT((COLUMN(D45)-1)/26)+64)&amp;CHAR(MOD(COLUMN(D45)-1,26)+65))&amp;$R25&amp;""),"")=0,"",
IF($R25&lt;&gt;"",
INDIRECT(""&amp;IF(COLUMN(D45)&lt;=26,CHAR(COLUMN(D45)+64),CHAR(INT((COLUMN(D45)-1)/26)+64)&amp;CHAR(MOD(COLUMN(D45)-1,26)+65))&amp;$R25&amp;""),""))</f>
        <v/>
      </c>
      <c r="U25" s="51"/>
      <c r="V25" s="51" t="str">
        <f t="array" aca="1" ref="V25" ca="1">IF($R25&lt;&gt;"",
IF(U25="",
IF(INDIRECT("EY"&amp;$R25&amp;"")&lt;&gt;"",
INDIRECT("EY"&amp;$R25&amp;"")&amp;"箱"
&amp;INDIRECT("EZ"&amp;$R25&amp;""),""),""),"")</f>
        <v/>
      </c>
      <c r="W25" s="51" t="str">
        <f t="array" aca="1" ref="W25" ca="1">IF($R25&lt;&gt;"",
INDIRECT(""&amp;IF(COLUMN(H37)&lt;=26,CHAR(COLUMN(H37)+64),CHAR(INT((COLUMN(H37)-1)/26)+64)&amp;CHAR(MOD(COLUMN(H37)-1,26)+65))&amp;$R25&amp;""),"")</f>
        <v/>
      </c>
      <c r="X25" s="51" t="str">
        <f t="array" aca="1" ref="X25" ca="1">IF($R25&lt;&gt;"",
INDIRECT(""&amp;IF(COLUMN(I37)&lt;=26,CHAR(COLUMN(I37)+64),CHAR(INT((COLUMN(I37)-1)/26)+64)&amp;CHAR(MOD(COLUMN(I37)-1,26)+65))&amp;$R25&amp;""),"")</f>
        <v/>
      </c>
      <c r="Y25" s="51" t="str">
        <f t="array" aca="1" ref="Y25" ca="1">IF($R25&lt;&gt;"",
INDIRECT(""&amp;IF(COLUMN(J37)&lt;=26,CHAR(COLUMN(J37)+64),CHAR(INT((COLUMN(J37)-1)/26)+64)&amp;CHAR(MOD(COLUMN(J37)-1,26)+65))&amp;$R25&amp;""),"")</f>
        <v/>
      </c>
      <c r="Z25" s="51" t="str">
        <f t="array" aca="1" ref="Z25" ca="1">IF($R25&lt;&gt;"",
INDIRECT(""&amp;IF(COLUMN(K37)&lt;=26,CHAR(COLUMN(K37)+64),CHAR(INT((COLUMN(K37)-1)/26)+64)&amp;CHAR(MOD(COLUMN(K37)-1,26)+65))&amp;$R25&amp;""),"")</f>
        <v/>
      </c>
      <c r="AA25" s="51" t="str">
        <f t="array" aca="1" ref="AA25" ca="1">IF($R25&lt;&gt;"",
INDIRECT(""&amp;IF(COLUMN(L37)&lt;=26,CHAR(COLUMN(L37)+64),CHAR(INT((COLUMN(L37)-1)/26)+64)&amp;CHAR(MOD(COLUMN(L37)-1,26)+65))&amp;$R25&amp;""),"")</f>
        <v/>
      </c>
      <c r="AB25" s="51" t="str">
        <f t="array" aca="1" ref="AB25" ca="1">IF($R25&lt;&gt;"",
INDIRECT(""&amp;IF(COLUMN(O37)&lt;=26,CHAR(COLUMN(O37)+64),CHAR(INT((COLUMN(O37)-1)/26)+64)&amp;CHAR(MOD(COLUMN(O37)-1,26)+65))&amp;$R25&amp;""),"")</f>
        <v/>
      </c>
    </row>
    <row r="26" spans="1:28" ht="18" customHeight="1">
      <c r="A26" s="197">
        <f t="shared" si="3"/>
        <v>57</v>
      </c>
      <c r="B26" s="52" t="e">
        <f t="array" aca="1" ref="B26" ca="1">IF(AND(LEFT(C26,2)="博多",
LEFT(INDIRECT("数出表_Excel!A"&amp;MATCH(C26,数出表_Excel!$A:$A,0)-1),2)
=LEFT(INDIRECT("数出表_Excel!A"&amp;MATCH(C26,数出表_Excel!$A:$A,0)+1),2)),"博多",
IF(AND(LEFT(C26,3)="奈良屋",
LEFT(INDIRECT("数出表_Excel!A"&amp;MATCH(C26,数出表_Excel!$A:$A,0)-1),2)
=LEFT(INDIRECT("数出表_Excel!A"&amp;MATCH(C26,数出表_Excel!$A:$A,0)+1),2)),"奈良屋",""))</f>
        <v>#N/A</v>
      </c>
      <c r="C26" s="52" t="str" cm="1">
        <f t="array" aca="1" ref="C26" ca="1">IF(IF(クライアント抽出!A26="",0,LEN(クライアント抽出!V26)-LEN(SUBSTITUTE(クライアント抽出!V26,",","")))&gt;=1,INDIRECT("数出表_Excel!A"&amp;A26&amp;""),"")</f>
        <v/>
      </c>
      <c r="D26" s="52" t="str" cm="1">
        <f t="array" aca="1" ref="D26" ca="1">IF(C26&lt;&gt;"",INDIRECT("クライアント抽出!"&amp;E26&amp;MATCH(C26,クライアント抽出!A:A,0)&amp;""),"")</f>
        <v/>
      </c>
      <c r="E26" s="52" t="str">
        <f ca="1"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t="array" aca="1" ref="F26" ca="1">IF(D26&lt;&gt;"",
IF(COUNTIF(C26,"*雙葉*"),
IF(ROUND(
IF(O26&lt;&gt;"",(H26-O26),H26)
/IF(COUNTIF('盛付札（関数）'!D26,"*キャラ*"),
VLOOKUP("*キャラ*",#REF!,7,FALSE),
IF(COUNTIF('盛付札（関数）'!D26,"*赤*"),
VLOOKUP("*赤*",#REF!,7,FALSE),
VLOOKUP('盛付札（関数）'!D26,#REF!,7,FALSE))),0)&lt;=0,1,
ROUND(
IF(O26&lt;&gt;"",(H26-O26),H26)
/IF(COUNTIF('盛付札（関数）'!D26,"*キャラ*"),
VLOOKUP("*キャラ*",#REF!,7,FALSE),
IF(COUNTIF('盛付札（関数）'!D26,"*赤*"),
VLOOKUP("*赤*",#REF!,7,FALSE),
VLOOKUP('盛付札（関数）'!D26,#REF!,7,FALSE))),0)),
IF(MATCH(TRUE,
ISNUMBER(--INDIRECT("数出表_Excel!B"&amp;MATCH(C26,数出表_Excel!$A:$A,0)-1&amp;":U"&amp;MATCH(C26,数出表_Excel!$A:$A,0)-1&amp;"")),0)&gt;10,
IF(D26&lt;&gt;"",
IF(IF(COUNTIF('盛付札（関数）'!D26,"*キャラ*"),
VLOOKUP("*キャラ*",#REF!,7,FALSE),
IF(COUNTIF('盛付札（関数）'!D26,"*赤*"),
VLOOKUP("*赤*",#REF!,7,FALSE),
VLOOKUP('盛付札（関数）'!D26,#REF!,7,FALSE)))=0,"",
IF(ROUND(
IF(O26&lt;&gt;"",(H26-O26),H26)
/IF(COUNTIF('盛付札（関数）'!D26,"*キャラ*"),
VLOOKUP("*キャラ*",#REF!,7,FALSE),
IF(COUNTIF('盛付札（関数）'!D26,"*赤*"),
VLOOKUP("*赤*",#REF!,7,FALSE),
VLOOKUP('盛付札（関数）'!D26,#REF!,7,FALSE))),0)&lt;=0,1,
ROUND(
IF(O26&lt;&gt;"",(H26-O26),H26)
/IF(COUNTIF('盛付札（関数）'!D26,"*キャラ*"),
VLOOKUP("*キャラ*",#REF!,7,FALSE),
IF(COUNTIF('盛付札（関数）'!D26,"*赤*"),
VLOOKUP("*赤*",#REF!,7,FALSE),
VLOOKUP('盛付札（関数）'!D26,#REF!,7,FALSE))),0))),""),"")),"")</f>
        <v/>
      </c>
      <c r="G26" s="53" t="str">
        <f ca="1">IF(F26&lt;&gt;"",IF(VALUE(IF(O26&lt;&gt;"",H26-O26,H26))&gt;VALUE(IF(COUNTIF('盛付札（関数）'!D26,"*キャラ*"),
VLOOKUP("*キャラ*",#REF!,7,FALSE),
IF(COUNTIF('盛付札（関数）'!D26,"*赤*"),
VLOOKUP("*赤*",#REF!,7,FALSE),
VLOOKUP('盛付札（関数）'!D26,#REF!,7,FALSE)))*F26),
"+"&amp;IF(O26&lt;&gt;"",H26-O26,H26)-IF(COUNTIF('盛付札（関数）'!D26,"*キャラ*"),
VLOOKUP("*キャラ*",#REF!,7,FALSE),
IF(COUNTIF('盛付札（関数）'!D26,"*赤*"),
VLOOKUP("*赤*",#REF!,7,FALSE),
VLOOKUP('盛付札（関数）'!D26,#REF!,7,FALSE)))*F26,
IF(O26&lt;&gt;"",H26-O26,H26)-IF(COUNTIF('盛付札（関数）'!D26,"*キャラ*"),
VLOOKUP("*キャラ*",#REF!,7,FALSE),
IF(COUNTIF('盛付札（関数）'!D26,"*赤*"),
VLOOKUP("*赤*",#REF!,7,FALSE),
VLOOKUP('盛付札（関数）'!D26,#REF!,7,FALSE)))*F26),"")</f>
        <v/>
      </c>
      <c r="H26" s="195" t="str" cm="1">
        <f t="array" aca="1" ref="H26" ca="1">IF(C26&lt;&gt;"",
IF(INDIRECT("数出表_Excel!"&amp;LEFT(クライアント抽出!V26)&amp;A26-1&amp;"")&lt;&gt;"",INDIRECT("数出表_Excel!"&amp;LEFT(クライアント抽出!V26)&amp;A26-1&amp;""),0),"")</f>
        <v/>
      </c>
      <c r="I26" s="52" t="str" cm="1">
        <f t="array" aca="1" ref="I26" ca="1">IF(C26&lt;&gt;"",
IF(INDIRECT("数出表_Excel!"&amp;LEFT(クライアント抽出!V26)&amp;A26&amp;"")&lt;&gt;"",INDIRECT("数出表_Excel!"&amp;LEFT(クライアント抽出!V26)&amp;A26&amp;""),0),"")</f>
        <v/>
      </c>
      <c r="J26" s="52" t="str">
        <f ca="1">IF(C26&lt;&gt;"",
VLOOKUP(
IF(COUNTIF(D26,"*学食*"),"キャラ弁（学食）",
IF(COUNTIF(D26,"*赤*"),"赤",
IF(COUNTIF(D26,"*キャラ弁当*"),"キャラ弁当",D26))),注文弁当の抽出!$E$1:$F$15,2,FALSE),"")</f>
        <v/>
      </c>
      <c r="K26" s="52" t="str">
        <f t="shared" ca="1" si="6"/>
        <v/>
      </c>
      <c r="L26" s="52" t="str">
        <f t="shared" ca="1" si="7"/>
        <v/>
      </c>
      <c r="M26" s="52" cm="1">
        <f t="array" aca="1" ref="M26" ca="1">IF(C26&lt;&gt;"",
IF(IFERROR(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0)&lt;&gt;0,
IF(IFERROR(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"")="",
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""),
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0)),0),0)</f>
        <v>0</v>
      </c>
      <c r="N26" s="52" t="e">
        <f t="array" aca="1" ref="N26" ca="1">IF(B26="博多",
IF(C26&lt;&gt;"",
IF(IFERROR(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0)&lt;&gt;0,
IF(IFERROR(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0)="",
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0),
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0)),0),""),0)</f>
        <v>#N/A</v>
      </c>
      <c r="O26" s="52" t="e">
        <f t="shared" ca="1" si="8"/>
        <v>#N/A</v>
      </c>
      <c r="P26" s="52">
        <f t="shared" ca="1" si="4"/>
        <v>0</v>
      </c>
      <c r="Q26" s="52" t="b">
        <f t="shared" ca="1" si="5"/>
        <v>0</v>
      </c>
      <c r="R26" s="51" t="str" cm="1">
        <f t="array" aca="1" ref="R26" ca="1">IFERROR(SMALL(IF(P$1:P$300&lt;&gt;0,P$1:P$300),ROW(A26)),"")</f>
        <v/>
      </c>
      <c r="S26" s="51" t="str">
        <f t="array" aca="1" ref="S26" ca="1">IF($R26&lt;&gt;"",
INDIRECT(""&amp;IF(COLUMN(C38)&lt;=26,CHAR(COLUMN(C38)+64),CHAR(INT((COLUMN(C38)-1)/26)+64)&amp;CHAR(MOD(COLUMN(C38)-1,26)+65))&amp;$R26&amp;""),"")</f>
        <v/>
      </c>
      <c r="T26" s="51" t="str" cm="1">
        <f t="array" aca="1" ref="T26" ca="1">IF(IF($R26&lt;&gt;"",
INDIRECT(""&amp;IF(COLUMN(D46)&lt;=26,CHAR(COLUMN(D46)+64),CHAR(INT((COLUMN(D46)-1)/26)+64)&amp;CHAR(MOD(COLUMN(D46)-1,26)+65))&amp;$R26&amp;""),"")=0,"",
IF($R26&lt;&gt;"",
INDIRECT(""&amp;IF(COLUMN(D46)&lt;=26,CHAR(COLUMN(D46)+64),CHAR(INT((COLUMN(D46)-1)/26)+64)&amp;CHAR(MOD(COLUMN(D46)-1,26)+65))&amp;$R26&amp;""),""))</f>
        <v/>
      </c>
      <c r="U26" s="51"/>
      <c r="V26" s="51" t="str">
        <f t="array" aca="1" ref="V26" ca="1">IF($R26&lt;&gt;"",
IF(U26="",
IF(INDIRECT("EY"&amp;$R26&amp;"")&lt;&gt;"",
INDIRECT("EY"&amp;$R26&amp;"")&amp;"箱"
&amp;INDIRECT("EZ"&amp;$R26&amp;""),""),""),"")</f>
        <v/>
      </c>
      <c r="W26" s="51" t="str">
        <f t="array" aca="1" ref="W26" ca="1">IF($R26&lt;&gt;"",
INDIRECT(""&amp;IF(COLUMN(H38)&lt;=26,CHAR(COLUMN(H38)+64),CHAR(INT((COLUMN(H38)-1)/26)+64)&amp;CHAR(MOD(COLUMN(H38)-1,26)+65))&amp;$R26&amp;""),"")</f>
        <v/>
      </c>
      <c r="X26" s="51" t="str">
        <f t="array" aca="1" ref="X26" ca="1">IF($R26&lt;&gt;"",
INDIRECT(""&amp;IF(COLUMN(I38)&lt;=26,CHAR(COLUMN(I38)+64),CHAR(INT((COLUMN(I38)-1)/26)+64)&amp;CHAR(MOD(COLUMN(I38)-1,26)+65))&amp;$R26&amp;""),"")</f>
        <v/>
      </c>
      <c r="Y26" s="51" t="str">
        <f t="array" aca="1" ref="Y26" ca="1">IF($R26&lt;&gt;"",
INDIRECT(""&amp;IF(COLUMN(J38)&lt;=26,CHAR(COLUMN(J38)+64),CHAR(INT((COLUMN(J38)-1)/26)+64)&amp;CHAR(MOD(COLUMN(J38)-1,26)+65))&amp;$R26&amp;""),"")</f>
        <v/>
      </c>
      <c r="Z26" s="51" t="str">
        <f t="array" aca="1" ref="Z26" ca="1">IF($R26&lt;&gt;"",
INDIRECT(""&amp;IF(COLUMN(K38)&lt;=26,CHAR(COLUMN(K38)+64),CHAR(INT((COLUMN(K38)-1)/26)+64)&amp;CHAR(MOD(COLUMN(K38)-1,26)+65))&amp;$R26&amp;""),"")</f>
        <v/>
      </c>
      <c r="AA26" s="51" t="str">
        <f t="array" aca="1" ref="AA26" ca="1">IF($R26&lt;&gt;"",
INDIRECT(""&amp;IF(COLUMN(L38)&lt;=26,CHAR(COLUMN(L38)+64),CHAR(INT((COLUMN(L38)-1)/26)+64)&amp;CHAR(MOD(COLUMN(L38)-1,26)+65))&amp;$R26&amp;""),"")</f>
        <v/>
      </c>
      <c r="AB26" s="51" t="str">
        <f t="array" aca="1" ref="AB26" ca="1">IF($R26&lt;&gt;"",
INDIRECT(""&amp;IF(COLUMN(O38)&lt;=26,CHAR(COLUMN(O38)+64),CHAR(INT((COLUMN(O38)-1)/26)+64)&amp;CHAR(MOD(COLUMN(O38)-1,26)+65))&amp;$R26&amp;""),"")</f>
        <v/>
      </c>
    </row>
    <row r="27" spans="1:28" s="51" customFormat="1" ht="22.2" customHeight="1">
      <c r="A27" s="197">
        <f t="shared" si="3"/>
        <v>59</v>
      </c>
      <c r="B27" s="52" t="e">
        <f t="array" aca="1" ref="B27" ca="1">IF(AND(LEFT(C27,2)="博多",
LEFT(INDIRECT("数出表_Excel!A"&amp;MATCH(C27,数出表_Excel!$A:$A,0)-1),2)
=LEFT(INDIRECT("数出表_Excel!A"&amp;MATCH(C27,数出表_Excel!$A:$A,0)+1),2)),"博多",
IF(AND(LEFT(C27,3)="奈良屋",
LEFT(INDIRECT("数出表_Excel!A"&amp;MATCH(C27,数出表_Excel!$A:$A,0)-1),2)
=LEFT(INDIRECT("数出表_Excel!A"&amp;MATCH(C27,数出表_Excel!$A:$A,0)+1),2)),"奈良屋",""))</f>
        <v>#N/A</v>
      </c>
      <c r="C27" s="52" t="str" cm="1">
        <f t="array" aca="1" ref="C27" ca="1">IF(IF(クライアント抽出!A27="",0,LEN(クライアント抽出!V27)-LEN(SUBSTITUTE(クライアント抽出!V27,",","")))&gt;=1,INDIRECT("数出表_Excel!A"&amp;A27&amp;""),"")</f>
        <v/>
      </c>
      <c r="D27" s="52" t="str" cm="1">
        <f t="array" aca="1" ref="D27" ca="1">IF(C27&lt;&gt;"",INDIRECT("クライアント抽出!"&amp;E27&amp;MATCH(C27,クライアント抽出!A:A,0)&amp;""),"")</f>
        <v/>
      </c>
      <c r="E27" s="52" t="str">
        <f ca="1"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t="array" aca="1" ref="F27" ca="1">IF(D27&lt;&gt;"",
IF(COUNTIF(C27,"*雙葉*"),
IF(ROUND(
IF(O27&lt;&gt;"",(H27-O27),H27)
/IF(COUNTIF('盛付札（関数）'!D27,"*キャラ*"),
VLOOKUP("*キャラ*",#REF!,7,FALSE),
IF(COUNTIF('盛付札（関数）'!D27,"*赤*"),
VLOOKUP("*赤*",#REF!,7,FALSE),
VLOOKUP('盛付札（関数）'!D27,#REF!,7,FALSE))),0)&lt;=0,1,
ROUND(
IF(O27&lt;&gt;"",(H27-O27),H27)
/IF(COUNTIF('盛付札（関数）'!D27,"*キャラ*"),
VLOOKUP("*キャラ*",#REF!,7,FALSE),
IF(COUNTIF('盛付札（関数）'!D27,"*赤*"),
VLOOKUP("*赤*",#REF!,7,FALSE),
VLOOKUP('盛付札（関数）'!D27,#REF!,7,FALSE))),0)),
IF(MATCH(TRUE,
ISNUMBER(--INDIRECT("数出表_Excel!B"&amp;MATCH(C27,数出表_Excel!$A:$A,0)-1&amp;":U"&amp;MATCH(C27,数出表_Excel!$A:$A,0)-1&amp;"")),0)&gt;10,
IF(D27&lt;&gt;"",
IF(IF(COUNTIF('盛付札（関数）'!D27,"*キャラ*"),
VLOOKUP("*キャラ*",#REF!,7,FALSE),
IF(COUNTIF('盛付札（関数）'!D27,"*赤*"),
VLOOKUP("*赤*",#REF!,7,FALSE),
VLOOKUP('盛付札（関数）'!D27,#REF!,7,FALSE)))=0,"",
IF(ROUND(
IF(O27&lt;&gt;"",(H27-O27),H27)
/IF(COUNTIF('盛付札（関数）'!D27,"*キャラ*"),
VLOOKUP("*キャラ*",#REF!,7,FALSE),
IF(COUNTIF('盛付札（関数）'!D27,"*赤*"),
VLOOKUP("*赤*",#REF!,7,FALSE),
VLOOKUP('盛付札（関数）'!D27,#REF!,7,FALSE))),0)&lt;=0,1,
ROUND(
IF(O27&lt;&gt;"",(H27-O27),H27)
/IF(COUNTIF('盛付札（関数）'!D27,"*キャラ*"),
VLOOKUP("*キャラ*",#REF!,7,FALSE),
IF(COUNTIF('盛付札（関数）'!D27,"*赤*"),
VLOOKUP("*赤*",#REF!,7,FALSE),
VLOOKUP('盛付札（関数）'!D27,#REF!,7,FALSE))),0))),""),"")),"")</f>
        <v/>
      </c>
      <c r="G27" s="53" t="str">
        <f ca="1">IF(F27&lt;&gt;"",IF(VALUE(IF(O27&lt;&gt;"",H27-O27,H27))&gt;VALUE(IF(COUNTIF('盛付札（関数）'!D27,"*キャラ*"),
VLOOKUP("*キャラ*",#REF!,7,FALSE),
IF(COUNTIF('盛付札（関数）'!D27,"*赤*"),
VLOOKUP("*赤*",#REF!,7,FALSE),
VLOOKUP('盛付札（関数）'!D27,#REF!,7,FALSE)))*F27),
"+"&amp;IF(O27&lt;&gt;"",H27-O27,H27)-IF(COUNTIF('盛付札（関数）'!D27,"*キャラ*"),
VLOOKUP("*キャラ*",#REF!,7,FALSE),
IF(COUNTIF('盛付札（関数）'!D27,"*赤*"),
VLOOKUP("*赤*",#REF!,7,FALSE),
VLOOKUP('盛付札（関数）'!D27,#REF!,7,FALSE)))*F27,
IF(O27&lt;&gt;"",H27-O27,H27)-IF(COUNTIF('盛付札（関数）'!D27,"*キャラ*"),
VLOOKUP("*キャラ*",#REF!,7,FALSE),
IF(COUNTIF('盛付札（関数）'!D27,"*赤*"),
VLOOKUP("*赤*",#REF!,7,FALSE),
VLOOKUP('盛付札（関数）'!D27,#REF!,7,FALSE)))*F27),"")</f>
        <v/>
      </c>
      <c r="H27" s="195" t="str" cm="1">
        <f t="array" aca="1" ref="H27" ca="1">IF(C27&lt;&gt;"",
IF(INDIRECT("数出表_Excel!"&amp;LEFT(クライアント抽出!V27)&amp;A27-1&amp;"")&lt;&gt;"",INDIRECT("数出表_Excel!"&amp;LEFT(クライアント抽出!V27)&amp;A27-1&amp;""),0),"")</f>
        <v/>
      </c>
      <c r="I27" s="52" t="str" cm="1">
        <f t="array" aca="1" ref="I27" ca="1">IF(C27&lt;&gt;"",
IF(INDIRECT("数出表_Excel!"&amp;LEFT(クライアント抽出!V27)&amp;A27&amp;"")&lt;&gt;"",INDIRECT("数出表_Excel!"&amp;LEFT(クライアント抽出!V27)&amp;A27&amp;""),0),"")</f>
        <v/>
      </c>
      <c r="J27" s="52" t="str">
        <f ca="1">IF(C27&lt;&gt;"",
VLOOKUP(
IF(COUNTIF(D27,"*学食*"),"キャラ弁（学食）",
IF(COUNTIF(D27,"*赤*"),"赤",
IF(COUNTIF(D27,"*キャラ弁当*"),"キャラ弁当",D27))),注文弁当の抽出!$E$1:$F$15,2,FALSE),"")</f>
        <v/>
      </c>
      <c r="K27" s="52" t="str">
        <f t="shared" ca="1" si="6"/>
        <v/>
      </c>
      <c r="L27" s="52" t="str">
        <f t="shared" ca="1" si="7"/>
        <v/>
      </c>
      <c r="M27" s="52" cm="1">
        <f t="array" aca="1" ref="M27" ca="1">IF(C27&lt;&gt;"",
IF(IFERROR(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0)&lt;&gt;0,
IF(IFERROR(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"")="",
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""),
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0)),0),0)</f>
        <v>0</v>
      </c>
      <c r="N27" s="52" t="e">
        <f t="array" aca="1" ref="N27" ca="1">IF(B27="博多",
IF(C27&lt;&gt;"",
IF(IFERROR(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0)&lt;&gt;0,
IF(IFERROR(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0)="",
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0),
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0)),0),""),0)</f>
        <v>#N/A</v>
      </c>
      <c r="O27" s="52" t="e">
        <f t="shared" ca="1" si="8"/>
        <v>#N/A</v>
      </c>
      <c r="P27" s="52">
        <f t="shared" ca="1" si="4"/>
        <v>0</v>
      </c>
      <c r="Q27" s="52" t="b">
        <f t="shared" ca="1" si="5"/>
        <v>0</v>
      </c>
      <c r="R27" s="51" t="str" cm="1">
        <f t="array" aca="1" ref="R27" ca="1">IFERROR(SMALL(IF(P$1:P$300&lt;&gt;0,P$1:P$300),ROW(A27)),"")</f>
        <v/>
      </c>
      <c r="S27" s="51" t="str">
        <f t="array" aca="1" ref="S27" ca="1">IF($R27&lt;&gt;"",
INDIRECT(""&amp;IF(COLUMN(C40)&lt;=26,CHAR(COLUMN(C40)+64),CHAR(INT((COLUMN(C40)-1)/26)+64)&amp;CHAR(MOD(COLUMN(C40)-1,26)+65))&amp;$R27&amp;""),"")</f>
        <v/>
      </c>
      <c r="T27" s="51" t="str" cm="1">
        <f t="array" aca="1" ref="T27" ca="1">IF(IF($R27&lt;&gt;"",
INDIRECT(""&amp;IF(COLUMN(D47)&lt;=26,CHAR(COLUMN(D47)+64),CHAR(INT((COLUMN(D47)-1)/26)+64)&amp;CHAR(MOD(COLUMN(D47)-1,26)+65))&amp;$R27&amp;""),"")=0,"",
IF($R27&lt;&gt;"",
INDIRECT(""&amp;IF(COLUMN(D47)&lt;=26,CHAR(COLUMN(D47)+64),CHAR(INT((COLUMN(D47)-1)/26)+64)&amp;CHAR(MOD(COLUMN(D47)-1,26)+65))&amp;$R27&amp;""),""))</f>
        <v/>
      </c>
      <c r="V27" s="51" t="str">
        <f t="array" aca="1" ref="V27" ca="1">IF($R27&lt;&gt;"",
IF(U27="",
IF(INDIRECT("EY"&amp;$R27&amp;"")&lt;&gt;"",
INDIRECT("EY"&amp;$R27&amp;"")&amp;"箱"
&amp;INDIRECT("EZ"&amp;$R27&amp;""),""),""),"")</f>
        <v/>
      </c>
      <c r="W27" s="51" t="str">
        <f t="array" aca="1" ref="W27" ca="1">IF($R27&lt;&gt;"",
INDIRECT(""&amp;IF(COLUMN(H40)&lt;=26,CHAR(COLUMN(H40)+64),CHAR(INT((COLUMN(H40)-1)/26)+64)&amp;CHAR(MOD(COLUMN(H40)-1,26)+65))&amp;$R27&amp;""),"")</f>
        <v/>
      </c>
      <c r="X27" s="51" t="str">
        <f t="array" aca="1" ref="X27" ca="1">IF($R27&lt;&gt;"",
INDIRECT(""&amp;IF(COLUMN(I40)&lt;=26,CHAR(COLUMN(I40)+64),CHAR(INT((COLUMN(I40)-1)/26)+64)&amp;CHAR(MOD(COLUMN(I40)-1,26)+65))&amp;$R27&amp;""),"")</f>
        <v/>
      </c>
      <c r="Y27" s="51" t="str">
        <f t="array" aca="1" ref="Y27" ca="1">IF($R27&lt;&gt;"",
INDIRECT(""&amp;IF(COLUMN(J40)&lt;=26,CHAR(COLUMN(J40)+64),CHAR(INT((COLUMN(J40)-1)/26)+64)&amp;CHAR(MOD(COLUMN(J40)-1,26)+65))&amp;$R27&amp;""),"")</f>
        <v/>
      </c>
      <c r="Z27" s="51" t="str">
        <f t="array" aca="1" ref="Z27" ca="1">IF($R27&lt;&gt;"",
INDIRECT(""&amp;IF(COLUMN(K40)&lt;=26,CHAR(COLUMN(K40)+64),CHAR(INT((COLUMN(K40)-1)/26)+64)&amp;CHAR(MOD(COLUMN(K40)-1,26)+65))&amp;$R27&amp;""),"")</f>
        <v/>
      </c>
      <c r="AA27" s="51" t="str">
        <f t="array" aca="1" ref="AA27" ca="1">IF($R27&lt;&gt;"",
INDIRECT(""&amp;IF(COLUMN(L40)&lt;=26,CHAR(COLUMN(L40)+64),CHAR(INT((COLUMN(L40)-1)/26)+64)&amp;CHAR(MOD(COLUMN(L40)-1,26)+65))&amp;$R27&amp;""),"")</f>
        <v/>
      </c>
      <c r="AB27" s="51" t="str">
        <f t="array" aca="1" ref="AB27" ca="1">IF($R27&lt;&gt;"",
INDIRECT(""&amp;IF(COLUMN(O40)&lt;=26,CHAR(COLUMN(O40)+64),CHAR(INT((COLUMN(O40)-1)/26)+64)&amp;CHAR(MOD(COLUMN(O40)-1,26)+65))&amp;$R27&amp;""),"")</f>
        <v/>
      </c>
    </row>
    <row r="28" spans="1:28" ht="21" customHeight="1">
      <c r="A28" s="197">
        <f t="shared" si="3"/>
        <v>61</v>
      </c>
      <c r="B28" s="52" t="e">
        <f t="array" aca="1" ref="B28" ca="1">IF(AND(LEFT(C28,2)="博多",
LEFT(INDIRECT("数出表_Excel!A"&amp;MATCH(C28,数出表_Excel!$A:$A,0)-1),2)
=LEFT(INDIRECT("数出表_Excel!A"&amp;MATCH(C28,数出表_Excel!$A:$A,0)+1),2)),"博多",
IF(AND(LEFT(C28,3)="奈良屋",
LEFT(INDIRECT("数出表_Excel!A"&amp;MATCH(C28,数出表_Excel!$A:$A,0)-1),2)
=LEFT(INDIRECT("数出表_Excel!A"&amp;MATCH(C28,数出表_Excel!$A:$A,0)+1),2)),"奈良屋",""))</f>
        <v>#N/A</v>
      </c>
      <c r="C28" s="52" t="str" cm="1">
        <f t="array" aca="1" ref="C28" ca="1">IF(IF(クライアント抽出!A28="",0,LEN(クライアント抽出!V28)-LEN(SUBSTITUTE(クライアント抽出!V28,",","")))&gt;=1,INDIRECT("数出表_Excel!A"&amp;A28&amp;""),"")</f>
        <v/>
      </c>
      <c r="D28" s="52" t="str" cm="1">
        <f t="array" aca="1" ref="D28" ca="1">IF(C28&lt;&gt;"",INDIRECT("クライアント抽出!"&amp;E28&amp;MATCH(C28,クライアント抽出!A:A,0)&amp;""),"")</f>
        <v/>
      </c>
      <c r="E28" s="52" t="str">
        <f ca="1"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t="array" aca="1" ref="F28" ca="1">IF(D28&lt;&gt;"",
IF(COUNTIF(C28,"*雙葉*"),
IF(ROUND(
IF(O28&lt;&gt;"",(H28-O28),H28)
/IF(COUNTIF('盛付札（関数）'!D28,"*キャラ*"),
VLOOKUP("*キャラ*",#REF!,7,FALSE),
IF(COUNTIF('盛付札（関数）'!D28,"*赤*"),
VLOOKUP("*赤*",#REF!,7,FALSE),
VLOOKUP('盛付札（関数）'!D28,#REF!,7,FALSE))),0)&lt;=0,1,
ROUND(
IF(O28&lt;&gt;"",(H28-O28),H28)
/IF(COUNTIF('盛付札（関数）'!D28,"*キャラ*"),
VLOOKUP("*キャラ*",#REF!,7,FALSE),
IF(COUNTIF('盛付札（関数）'!D28,"*赤*"),
VLOOKUP("*赤*",#REF!,7,FALSE),
VLOOKUP('盛付札（関数）'!D28,#REF!,7,FALSE))),0)),
IF(MATCH(TRUE,
ISNUMBER(--INDIRECT("数出表_Excel!B"&amp;MATCH(C28,数出表_Excel!$A:$A,0)-1&amp;":U"&amp;MATCH(C28,数出表_Excel!$A:$A,0)-1&amp;"")),0)&gt;10,
IF(D28&lt;&gt;"",
IF(IF(COUNTIF('盛付札（関数）'!D28,"*キャラ*"),
VLOOKUP("*キャラ*",#REF!,7,FALSE),
IF(COUNTIF('盛付札（関数）'!D28,"*赤*"),
VLOOKUP("*赤*",#REF!,7,FALSE),
VLOOKUP('盛付札（関数）'!D28,#REF!,7,FALSE)))=0,"",
IF(ROUND(
IF(O28&lt;&gt;"",(H28-O28),H28)
/IF(COUNTIF('盛付札（関数）'!D28,"*キャラ*"),
VLOOKUP("*キャラ*",#REF!,7,FALSE),
IF(COUNTIF('盛付札（関数）'!D28,"*赤*"),
VLOOKUP("*赤*",#REF!,7,FALSE),
VLOOKUP('盛付札（関数）'!D28,#REF!,7,FALSE))),0)&lt;=0,1,
ROUND(
IF(O28&lt;&gt;"",(H28-O28),H28)
/IF(COUNTIF('盛付札（関数）'!D28,"*キャラ*"),
VLOOKUP("*キャラ*",#REF!,7,FALSE),
IF(COUNTIF('盛付札（関数）'!D28,"*赤*"),
VLOOKUP("*赤*",#REF!,7,FALSE),
VLOOKUP('盛付札（関数）'!D28,#REF!,7,FALSE))),0))),""),"")),"")</f>
        <v/>
      </c>
      <c r="G28" s="53" t="str">
        <f ca="1">IF(F28&lt;&gt;"",IF(VALUE(IF(O28&lt;&gt;"",H28-O28,H28))&gt;VALUE(IF(COUNTIF('盛付札（関数）'!D28,"*キャラ*"),
VLOOKUP("*キャラ*",#REF!,7,FALSE),
IF(COUNTIF('盛付札（関数）'!D28,"*赤*"),
VLOOKUP("*赤*",#REF!,7,FALSE),
VLOOKUP('盛付札（関数）'!D28,#REF!,7,FALSE)))*F28),
"+"&amp;IF(O28&lt;&gt;"",H28-O28,H28)-IF(COUNTIF('盛付札（関数）'!D28,"*キャラ*"),
VLOOKUP("*キャラ*",#REF!,7,FALSE),
IF(COUNTIF('盛付札（関数）'!D28,"*赤*"),
VLOOKUP("*赤*",#REF!,7,FALSE),
VLOOKUP('盛付札（関数）'!D28,#REF!,7,FALSE)))*F28,
IF(O28&lt;&gt;"",H28-O28,H28)-IF(COUNTIF('盛付札（関数）'!D28,"*キャラ*"),
VLOOKUP("*キャラ*",#REF!,7,FALSE),
IF(COUNTIF('盛付札（関数）'!D28,"*赤*"),
VLOOKUP("*赤*",#REF!,7,FALSE),
VLOOKUP('盛付札（関数）'!D28,#REF!,7,FALSE)))*F28),"")</f>
        <v/>
      </c>
      <c r="H28" s="195" t="str" cm="1">
        <f t="array" aca="1" ref="H28" ca="1">IF(C28&lt;&gt;"",
IF(INDIRECT("数出表_Excel!"&amp;LEFT(クライアント抽出!V28)&amp;A28-1&amp;"")&lt;&gt;"",INDIRECT("数出表_Excel!"&amp;LEFT(クライアント抽出!V28)&amp;A28-1&amp;""),0),"")</f>
        <v/>
      </c>
      <c r="I28" s="52" t="str" cm="1">
        <f t="array" aca="1" ref="I28" ca="1">IF(C28&lt;&gt;"",
IF(INDIRECT("数出表_Excel!"&amp;LEFT(クライアント抽出!V28)&amp;A28&amp;"")&lt;&gt;"",INDIRECT("数出表_Excel!"&amp;LEFT(クライアント抽出!V28)&amp;A28&amp;""),0),"")</f>
        <v/>
      </c>
      <c r="J28" s="52" t="str">
        <f ca="1">IF(C28&lt;&gt;"",
VLOOKUP(
IF(COUNTIF(D28,"*学食*"),"キャラ弁（学食）",
IF(COUNTIF(D28,"*赤*"),"赤",
IF(COUNTIF(D28,"*キャラ弁当*"),"キャラ弁当",D28))),注文弁当の抽出!$E$1:$F$15,2,FALSE),"")</f>
        <v/>
      </c>
      <c r="K28" s="52" t="str">
        <f t="shared" ca="1" si="6"/>
        <v/>
      </c>
      <c r="L28" s="52" t="str">
        <f t="shared" ca="1" si="7"/>
        <v/>
      </c>
      <c r="M28" s="52" cm="1">
        <f t="array" aca="1" ref="M28" ca="1">IF(C28&lt;&gt;"",
IF(IFERROR(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0)&lt;&gt;0,
IF(IFERROR(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"")="",
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""),
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0)),0),0)</f>
        <v>0</v>
      </c>
      <c r="N28" s="52" t="e">
        <f t="array" aca="1" ref="N28" ca="1">IF(B28="博多",
IF(C28&lt;&gt;"",
IF(IFERROR(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0)&lt;&gt;0,
IF(IFERROR(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0)="",
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0),
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0)),0),""),0)</f>
        <v>#N/A</v>
      </c>
      <c r="O28" s="52" t="e">
        <f t="shared" ca="1" si="8"/>
        <v>#N/A</v>
      </c>
      <c r="P28" s="52">
        <f t="shared" ca="1" si="4"/>
        <v>0</v>
      </c>
      <c r="Q28" s="52" t="b">
        <f t="shared" ca="1" si="5"/>
        <v>0</v>
      </c>
      <c r="R28" s="51" t="str" cm="1">
        <f t="array" aca="1" ref="R28" ca="1">IFERROR(SMALL(IF(P$1:P$300&lt;&gt;0,P$1:P$300),ROW(A28)),"")</f>
        <v/>
      </c>
      <c r="S28" s="51" t="str">
        <f t="array" aca="1" ref="S28" ca="1">IF($R28&lt;&gt;"",
INDIRECT(""&amp;IF(COLUMN(C41)&lt;=26,CHAR(COLUMN(C41)+64),CHAR(INT((COLUMN(C41)-1)/26)+64)&amp;CHAR(MOD(COLUMN(C41)-1,26)+65))&amp;$R28&amp;""),"")</f>
        <v/>
      </c>
      <c r="T28" s="51" t="str" cm="1">
        <f t="array" aca="1" ref="T28" ca="1">IF(IF($R28&lt;&gt;"",
INDIRECT(""&amp;IF(COLUMN(D48)&lt;=26,CHAR(COLUMN(D48)+64),CHAR(INT((COLUMN(D48)-1)/26)+64)&amp;CHAR(MOD(COLUMN(D48)-1,26)+65))&amp;$R28&amp;""),"")=0,"",
IF($R28&lt;&gt;"",
INDIRECT(""&amp;IF(COLUMN(D48)&lt;=26,CHAR(COLUMN(D48)+64),CHAR(INT((COLUMN(D48)-1)/26)+64)&amp;CHAR(MOD(COLUMN(D48)-1,26)+65))&amp;$R28&amp;""),""))</f>
        <v/>
      </c>
      <c r="U28" s="51"/>
      <c r="V28" s="51" t="str">
        <f t="array" aca="1" ref="V28" ca="1">IF($R28&lt;&gt;"",
IF(U28="",
IF(INDIRECT("EY"&amp;$R28&amp;"")&lt;&gt;"",
INDIRECT("EY"&amp;$R28&amp;"")&amp;"箱"
&amp;INDIRECT("EZ"&amp;$R28&amp;""),""),""),"")</f>
        <v/>
      </c>
      <c r="W28" s="51" t="str">
        <f t="array" aca="1" ref="W28" ca="1">IF($R28&lt;&gt;"",
INDIRECT(""&amp;IF(COLUMN(H41)&lt;=26,CHAR(COLUMN(H41)+64),CHAR(INT((COLUMN(H41)-1)/26)+64)&amp;CHAR(MOD(COLUMN(H41)-1,26)+65))&amp;$R28&amp;""),"")</f>
        <v/>
      </c>
      <c r="X28" s="51" t="str">
        <f t="array" aca="1" ref="X28" ca="1">IF($R28&lt;&gt;"",
INDIRECT(""&amp;IF(COLUMN(I41)&lt;=26,CHAR(COLUMN(I41)+64),CHAR(INT((COLUMN(I41)-1)/26)+64)&amp;CHAR(MOD(COLUMN(I41)-1,26)+65))&amp;$R28&amp;""),"")</f>
        <v/>
      </c>
      <c r="Y28" s="51" t="str">
        <f t="array" aca="1" ref="Y28" ca="1">IF($R28&lt;&gt;"",
INDIRECT(""&amp;IF(COLUMN(J41)&lt;=26,CHAR(COLUMN(J41)+64),CHAR(INT((COLUMN(J41)-1)/26)+64)&amp;CHAR(MOD(COLUMN(J41)-1,26)+65))&amp;$R28&amp;""),"")</f>
        <v/>
      </c>
      <c r="Z28" s="51" t="str">
        <f t="array" aca="1" ref="Z28" ca="1">IF($R28&lt;&gt;"",
INDIRECT(""&amp;IF(COLUMN(K41)&lt;=26,CHAR(COLUMN(K41)+64),CHAR(INT((COLUMN(K41)-1)/26)+64)&amp;CHAR(MOD(COLUMN(K41)-1,26)+65))&amp;$R28&amp;""),"")</f>
        <v/>
      </c>
      <c r="AA28" s="51" t="str">
        <f t="array" aca="1" ref="AA28" ca="1">IF($R28&lt;&gt;"",
INDIRECT(""&amp;IF(COLUMN(L41)&lt;=26,CHAR(COLUMN(L41)+64),CHAR(INT((COLUMN(L41)-1)/26)+64)&amp;CHAR(MOD(COLUMN(L41)-1,26)+65))&amp;$R28&amp;""),"")</f>
        <v/>
      </c>
      <c r="AB28" s="51" t="str">
        <f t="array" aca="1" ref="AB28" ca="1">IF($R28&lt;&gt;"",
INDIRECT(""&amp;IF(COLUMN(O41)&lt;=26,CHAR(COLUMN(O41)+64),CHAR(INT((COLUMN(O41)-1)/26)+64)&amp;CHAR(MOD(COLUMN(O41)-1,26)+65))&amp;$R28&amp;""),"")</f>
        <v/>
      </c>
    </row>
    <row r="29" spans="1:28" s="51" customFormat="1" ht="18" customHeight="1">
      <c r="A29" s="197">
        <f t="shared" si="3"/>
        <v>63</v>
      </c>
      <c r="B29" s="52" t="e">
        <f t="array" aca="1" ref="B29" ca="1">IF(AND(LEFT(C29,2)="博多",
LEFT(INDIRECT("数出表_Excel!A"&amp;MATCH(C29,数出表_Excel!$A:$A,0)-1),2)
=LEFT(INDIRECT("数出表_Excel!A"&amp;MATCH(C29,数出表_Excel!$A:$A,0)+1),2)),"博多",
IF(AND(LEFT(C29,3)="奈良屋",
LEFT(INDIRECT("数出表_Excel!A"&amp;MATCH(C29,数出表_Excel!$A:$A,0)-1),2)
=LEFT(INDIRECT("数出表_Excel!A"&amp;MATCH(C29,数出表_Excel!$A:$A,0)+1),2)),"奈良屋",""))</f>
        <v>#N/A</v>
      </c>
      <c r="C29" s="52" t="str" cm="1">
        <f t="array" aca="1" ref="C29" ca="1">IF(IF(クライアント抽出!A29="",0,LEN(クライアント抽出!V29)-LEN(SUBSTITUTE(クライアント抽出!V29,",","")))&gt;=1,INDIRECT("数出表_Excel!A"&amp;A29&amp;""),"")</f>
        <v/>
      </c>
      <c r="D29" s="52" t="str" cm="1">
        <f t="array" aca="1" ref="D29" ca="1">IF(C29&lt;&gt;"",INDIRECT("クライアント抽出!"&amp;E29&amp;MATCH(C29,クライアント抽出!A:A,0)&amp;""),"")</f>
        <v/>
      </c>
      <c r="E29" s="52" t="str">
        <f ca="1"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t="array" aca="1" ref="F29" ca="1">IF(D29&lt;&gt;"",
IF(COUNTIF(C29,"*雙葉*"),
IF(ROUND(
IF(O29&lt;&gt;"",(H29-O29),H29)
/IF(COUNTIF('盛付札（関数）'!D29,"*キャラ*"),
VLOOKUP("*キャラ*",#REF!,7,FALSE),
IF(COUNTIF('盛付札（関数）'!D29,"*赤*"),
VLOOKUP("*赤*",#REF!,7,FALSE),
VLOOKUP('盛付札（関数）'!D29,#REF!,7,FALSE))),0)&lt;=0,1,
ROUND(
IF(O29&lt;&gt;"",(H29-O29),H29)
/IF(COUNTIF('盛付札（関数）'!D29,"*キャラ*"),
VLOOKUP("*キャラ*",#REF!,7,FALSE),
IF(COUNTIF('盛付札（関数）'!D29,"*赤*"),
VLOOKUP("*赤*",#REF!,7,FALSE),
VLOOKUP('盛付札（関数）'!D29,#REF!,7,FALSE))),0)),
IF(MATCH(TRUE,
ISNUMBER(--INDIRECT("数出表_Excel!B"&amp;MATCH(C29,数出表_Excel!$A:$A,0)-1&amp;":U"&amp;MATCH(C29,数出表_Excel!$A:$A,0)-1&amp;"")),0)&gt;10,
IF(D29&lt;&gt;"",
IF(IF(COUNTIF('盛付札（関数）'!D29,"*キャラ*"),
VLOOKUP("*キャラ*",#REF!,7,FALSE),
IF(COUNTIF('盛付札（関数）'!D29,"*赤*"),
VLOOKUP("*赤*",#REF!,7,FALSE),
VLOOKUP('盛付札（関数）'!D29,#REF!,7,FALSE)))=0,"",
IF(ROUND(
IF(O29&lt;&gt;"",(H29-O29),H29)
/IF(COUNTIF('盛付札（関数）'!D29,"*キャラ*"),
VLOOKUP("*キャラ*",#REF!,7,FALSE),
IF(COUNTIF('盛付札（関数）'!D29,"*赤*"),
VLOOKUP("*赤*",#REF!,7,FALSE),
VLOOKUP('盛付札（関数）'!D29,#REF!,7,FALSE))),0)&lt;=0,1,
ROUND(
IF(O29&lt;&gt;"",(H29-O29),H29)
/IF(COUNTIF('盛付札（関数）'!D29,"*キャラ*"),
VLOOKUP("*キャラ*",#REF!,7,FALSE),
IF(COUNTIF('盛付札（関数）'!D29,"*赤*"),
VLOOKUP("*赤*",#REF!,7,FALSE),
VLOOKUP('盛付札（関数）'!D29,#REF!,7,FALSE))),0))),""),"")),"")</f>
        <v/>
      </c>
      <c r="G29" s="53" t="str">
        <f ca="1">IF(F29&lt;&gt;"",IF(VALUE(IF(O29&lt;&gt;"",H29-O29,H29))&gt;VALUE(IF(COUNTIF('盛付札（関数）'!D29,"*キャラ*"),
VLOOKUP("*キャラ*",#REF!,7,FALSE),
IF(COUNTIF('盛付札（関数）'!D29,"*赤*"),
VLOOKUP("*赤*",#REF!,7,FALSE),
VLOOKUP('盛付札（関数）'!D29,#REF!,7,FALSE)))*F29),
"+"&amp;IF(O29&lt;&gt;"",H29-O29,H29)-IF(COUNTIF('盛付札（関数）'!D29,"*キャラ*"),
VLOOKUP("*キャラ*",#REF!,7,FALSE),
IF(COUNTIF('盛付札（関数）'!D29,"*赤*"),
VLOOKUP("*赤*",#REF!,7,FALSE),
VLOOKUP('盛付札（関数）'!D29,#REF!,7,FALSE)))*F29,
IF(O29&lt;&gt;"",H29-O29,H29)-IF(COUNTIF('盛付札（関数）'!D29,"*キャラ*"),
VLOOKUP("*キャラ*",#REF!,7,FALSE),
IF(COUNTIF('盛付札（関数）'!D29,"*赤*"),
VLOOKUP("*赤*",#REF!,7,FALSE),
VLOOKUP('盛付札（関数）'!D29,#REF!,7,FALSE)))*F29),"")</f>
        <v/>
      </c>
      <c r="H29" s="195" t="str" cm="1">
        <f t="array" aca="1" ref="H29" ca="1">IF(C29&lt;&gt;"",
IF(INDIRECT("数出表_Excel!"&amp;LEFT(クライアント抽出!V29)&amp;A29-1&amp;"")&lt;&gt;"",INDIRECT("数出表_Excel!"&amp;LEFT(クライアント抽出!V29)&amp;A29-1&amp;""),0),"")</f>
        <v/>
      </c>
      <c r="I29" s="52" t="str" cm="1">
        <f t="array" aca="1" ref="I29" ca="1">IF(C29&lt;&gt;"",
IF(INDIRECT("数出表_Excel!"&amp;LEFT(クライアント抽出!V29)&amp;A29&amp;"")&lt;&gt;"",INDIRECT("数出表_Excel!"&amp;LEFT(クライアント抽出!V29)&amp;A29&amp;""),0),"")</f>
        <v/>
      </c>
      <c r="J29" s="52" t="str">
        <f ca="1">IF(C29&lt;&gt;"",
VLOOKUP(
IF(COUNTIF(D29,"*学食*"),"キャラ弁（学食）",
IF(COUNTIF(D29,"*赤*"),"赤",
IF(COUNTIF(D29,"*キャラ弁当*"),"キャラ弁当",D29))),注文弁当の抽出!$E$1:$F$15,2,FALSE),"")</f>
        <v/>
      </c>
      <c r="K29" s="52" t="str">
        <f t="shared" ca="1" si="6"/>
        <v/>
      </c>
      <c r="L29" s="52" t="str">
        <f t="shared" ca="1" si="7"/>
        <v/>
      </c>
      <c r="M29" s="52" cm="1">
        <f t="array" aca="1" ref="M29" ca="1">IF(C29&lt;&gt;"",
IF(IFERROR(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0)&lt;&gt;0,
IF(IFERROR(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"")="",
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""),
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0)),0),0)</f>
        <v>0</v>
      </c>
      <c r="N29" s="52" t="e">
        <f t="array" aca="1" ref="N29" ca="1">IF(B29="博多",
IF(C29&lt;&gt;"",
IF(IFERROR(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0)&lt;&gt;0,
IF(IFERROR(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0)="",
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0),
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0)),0),""),0)</f>
        <v>#N/A</v>
      </c>
      <c r="O29" s="52" t="e">
        <f t="shared" ca="1" si="8"/>
        <v>#N/A</v>
      </c>
      <c r="P29" s="52">
        <f t="shared" ca="1" si="4"/>
        <v>0</v>
      </c>
      <c r="Q29" s="52" t="b">
        <f t="shared" ca="1" si="5"/>
        <v>0</v>
      </c>
      <c r="R29" s="51" t="str" cm="1">
        <f t="array" aca="1" ref="R29" ca="1">IFERROR(SMALL(IF(P$1:P$300&lt;&gt;0,P$1:P$300),ROW(A29)),"")</f>
        <v/>
      </c>
      <c r="S29" s="51" t="str">
        <f t="array" aca="1" ref="S29" ca="1">IF($R29&lt;&gt;"",
INDIRECT(""&amp;IF(COLUMN(C43)&lt;=26,CHAR(COLUMN(C43)+64),CHAR(INT((COLUMN(C43)-1)/26)+64)&amp;CHAR(MOD(COLUMN(C43)-1,26)+65))&amp;$R29&amp;""),"")</f>
        <v/>
      </c>
      <c r="T29" s="51" t="str" cm="1">
        <f t="array" aca="1" ref="T29" ca="1">IF(IF($R29&lt;&gt;"",
INDIRECT(""&amp;IF(COLUMN(D49)&lt;=26,CHAR(COLUMN(D49)+64),CHAR(INT((COLUMN(D49)-1)/26)+64)&amp;CHAR(MOD(COLUMN(D49)-1,26)+65))&amp;$R29&amp;""),"")=0,"",
IF($R29&lt;&gt;"",
INDIRECT(""&amp;IF(COLUMN(D49)&lt;=26,CHAR(COLUMN(D49)+64),CHAR(INT((COLUMN(D49)-1)/26)+64)&amp;CHAR(MOD(COLUMN(D49)-1,26)+65))&amp;$R29&amp;""),""))</f>
        <v/>
      </c>
      <c r="V29" s="51" t="str">
        <f t="array" aca="1" ref="V29" ca="1">IF($R29&lt;&gt;"",
IF(U29="",
IF(INDIRECT("EY"&amp;$R29&amp;"")&lt;&gt;"",
INDIRECT("EY"&amp;$R29&amp;"")&amp;"箱"
&amp;INDIRECT("EZ"&amp;$R29&amp;""),""),""),"")</f>
        <v/>
      </c>
      <c r="W29" s="51" t="str">
        <f t="array" aca="1" ref="W29" ca="1">IF($R29&lt;&gt;"",
INDIRECT(""&amp;IF(COLUMN(H43)&lt;=26,CHAR(COLUMN(H43)+64),CHAR(INT((COLUMN(H43)-1)/26)+64)&amp;CHAR(MOD(COLUMN(H43)-1,26)+65))&amp;$R29&amp;""),"")</f>
        <v/>
      </c>
      <c r="X29" s="51" t="str">
        <f t="array" aca="1" ref="X29" ca="1">IF($R29&lt;&gt;"",
INDIRECT(""&amp;IF(COLUMN(I43)&lt;=26,CHAR(COLUMN(I43)+64),CHAR(INT((COLUMN(I43)-1)/26)+64)&amp;CHAR(MOD(COLUMN(I43)-1,26)+65))&amp;$R29&amp;""),"")</f>
        <v/>
      </c>
      <c r="Y29" s="51" t="str">
        <f t="array" aca="1" ref="Y29" ca="1">IF($R29&lt;&gt;"",
INDIRECT(""&amp;IF(COLUMN(J43)&lt;=26,CHAR(COLUMN(J43)+64),CHAR(INT((COLUMN(J43)-1)/26)+64)&amp;CHAR(MOD(COLUMN(J43)-1,26)+65))&amp;$R29&amp;""),"")</f>
        <v/>
      </c>
      <c r="Z29" s="51" t="str">
        <f t="array" aca="1" ref="Z29" ca="1">IF($R29&lt;&gt;"",
INDIRECT(""&amp;IF(COLUMN(K43)&lt;=26,CHAR(COLUMN(K43)+64),CHAR(INT((COLUMN(K43)-1)/26)+64)&amp;CHAR(MOD(COLUMN(K43)-1,26)+65))&amp;$R29&amp;""),"")</f>
        <v/>
      </c>
      <c r="AA29" s="51" t="str">
        <f t="array" aca="1" ref="AA29" ca="1">IF($R29&lt;&gt;"",
INDIRECT(""&amp;IF(COLUMN(L43)&lt;=26,CHAR(COLUMN(L43)+64),CHAR(INT((COLUMN(L43)-1)/26)+64)&amp;CHAR(MOD(COLUMN(L43)-1,26)+65))&amp;$R29&amp;""),"")</f>
        <v/>
      </c>
      <c r="AB29" s="51" t="str">
        <f t="array" aca="1" ref="AB29" ca="1">IF($R29&lt;&gt;"",
INDIRECT(""&amp;IF(COLUMN(O43)&lt;=26,CHAR(COLUMN(O43)+64),CHAR(INT((COLUMN(O43)-1)/26)+64)&amp;CHAR(MOD(COLUMN(O43)-1,26)+65))&amp;$R29&amp;""),"")</f>
        <v/>
      </c>
    </row>
    <row r="30" spans="1:28" s="51" customFormat="1" ht="18" customHeight="1">
      <c r="A30" s="197">
        <f t="shared" si="3"/>
        <v>65</v>
      </c>
      <c r="B30" s="52" t="e">
        <f t="array" aca="1" ref="B30" ca="1">IF(AND(LEFT(C30,2)="博多",
LEFT(INDIRECT("数出表_Excel!A"&amp;MATCH(C30,数出表_Excel!$A:$A,0)-1),2)
=LEFT(INDIRECT("数出表_Excel!A"&amp;MATCH(C30,数出表_Excel!$A:$A,0)+1),2)),"博多",
IF(AND(LEFT(C30,3)="奈良屋",
LEFT(INDIRECT("数出表_Excel!A"&amp;MATCH(C30,数出表_Excel!$A:$A,0)-1),2)
=LEFT(INDIRECT("数出表_Excel!A"&amp;MATCH(C30,数出表_Excel!$A:$A,0)+1),2)),"奈良屋",""))</f>
        <v>#N/A</v>
      </c>
      <c r="C30" s="52" t="str" cm="1">
        <f t="array" aca="1" ref="C30" ca="1">IF(IF(クライアント抽出!A30="",0,LEN(クライアント抽出!V30)-LEN(SUBSTITUTE(クライアント抽出!V30,",","")))&gt;=1,INDIRECT("数出表_Excel!A"&amp;A30&amp;""),"")</f>
        <v/>
      </c>
      <c r="D30" s="52" t="str" cm="1">
        <f t="array" aca="1" ref="D30" ca="1">IF(C30&lt;&gt;"",INDIRECT("クライアント抽出!"&amp;E30&amp;MATCH(C30,クライアント抽出!A:A,0)&amp;""),"")</f>
        <v/>
      </c>
      <c r="E30" s="52" t="str">
        <f ca="1"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t="array" aca="1" ref="F30" ca="1">IF(D30&lt;&gt;"",
IF(COUNTIF(C30,"*雙葉*"),
IF(ROUND(
IF(O30&lt;&gt;"",(H30-O30),H30)
/IF(COUNTIF('盛付札（関数）'!D30,"*キャラ*"),
VLOOKUP("*キャラ*",#REF!,7,FALSE),
IF(COUNTIF('盛付札（関数）'!D30,"*赤*"),
VLOOKUP("*赤*",#REF!,7,FALSE),
VLOOKUP('盛付札（関数）'!D30,#REF!,7,FALSE))),0)&lt;=0,1,
ROUND(
IF(O30&lt;&gt;"",(H30-O30),H30)
/IF(COUNTIF('盛付札（関数）'!D30,"*キャラ*"),
VLOOKUP("*キャラ*",#REF!,7,FALSE),
IF(COUNTIF('盛付札（関数）'!D30,"*赤*"),
VLOOKUP("*赤*",#REF!,7,FALSE),
VLOOKUP('盛付札（関数）'!D30,#REF!,7,FALSE))),0)),
IF(MATCH(TRUE,
ISNUMBER(--INDIRECT("数出表_Excel!B"&amp;MATCH(C30,数出表_Excel!$A:$A,0)-1&amp;":U"&amp;MATCH(C30,数出表_Excel!$A:$A,0)-1&amp;"")),0)&gt;10,
IF(D30&lt;&gt;"",
IF(IF(COUNTIF('盛付札（関数）'!D30,"*キャラ*"),
VLOOKUP("*キャラ*",#REF!,7,FALSE),
IF(COUNTIF('盛付札（関数）'!D30,"*赤*"),
VLOOKUP("*赤*",#REF!,7,FALSE),
VLOOKUP('盛付札（関数）'!D30,#REF!,7,FALSE)))=0,"",
IF(ROUND(
IF(O30&lt;&gt;"",(H30-O30),H30)
/IF(COUNTIF('盛付札（関数）'!D30,"*キャラ*"),
VLOOKUP("*キャラ*",#REF!,7,FALSE),
IF(COUNTIF('盛付札（関数）'!D30,"*赤*"),
VLOOKUP("*赤*",#REF!,7,FALSE),
VLOOKUP('盛付札（関数）'!D30,#REF!,7,FALSE))),0)&lt;=0,1,
ROUND(
IF(O30&lt;&gt;"",(H30-O30),H30)
/IF(COUNTIF('盛付札（関数）'!D30,"*キャラ*"),
VLOOKUP("*キャラ*",#REF!,7,FALSE),
IF(COUNTIF('盛付札（関数）'!D30,"*赤*"),
VLOOKUP("*赤*",#REF!,7,FALSE),
VLOOKUP('盛付札（関数）'!D30,#REF!,7,FALSE))),0))),""),"")),"")</f>
        <v/>
      </c>
      <c r="G30" s="53" t="str">
        <f ca="1">IF(F30&lt;&gt;"",IF(VALUE(IF(O30&lt;&gt;"",H30-O30,H30))&gt;VALUE(IF(COUNTIF('盛付札（関数）'!D30,"*キャラ*"),
VLOOKUP("*キャラ*",#REF!,7,FALSE),
IF(COUNTIF('盛付札（関数）'!D30,"*赤*"),
VLOOKUP("*赤*",#REF!,7,FALSE),
VLOOKUP('盛付札（関数）'!D30,#REF!,7,FALSE)))*F30),
"+"&amp;IF(O30&lt;&gt;"",H30-O30,H30)-IF(COUNTIF('盛付札（関数）'!D30,"*キャラ*"),
VLOOKUP("*キャラ*",#REF!,7,FALSE),
IF(COUNTIF('盛付札（関数）'!D30,"*赤*"),
VLOOKUP("*赤*",#REF!,7,FALSE),
VLOOKUP('盛付札（関数）'!D30,#REF!,7,FALSE)))*F30,
IF(O30&lt;&gt;"",H30-O30,H30)-IF(COUNTIF('盛付札（関数）'!D30,"*キャラ*"),
VLOOKUP("*キャラ*",#REF!,7,FALSE),
IF(COUNTIF('盛付札（関数）'!D30,"*赤*"),
VLOOKUP("*赤*",#REF!,7,FALSE),
VLOOKUP('盛付札（関数）'!D30,#REF!,7,FALSE)))*F30),"")</f>
        <v/>
      </c>
      <c r="H30" s="195" t="str" cm="1">
        <f t="array" aca="1" ref="H30" ca="1">IF(C30&lt;&gt;"",
IF(INDIRECT("数出表_Excel!"&amp;LEFT(クライアント抽出!V30)&amp;A30-1&amp;"")&lt;&gt;"",INDIRECT("数出表_Excel!"&amp;LEFT(クライアント抽出!V30)&amp;A30-1&amp;""),0),"")</f>
        <v/>
      </c>
      <c r="I30" s="52" t="str" cm="1">
        <f t="array" aca="1" ref="I30" ca="1">IF(C30&lt;&gt;"",
IF(INDIRECT("数出表_Excel!"&amp;LEFT(クライアント抽出!V30)&amp;A30&amp;"")&lt;&gt;"",INDIRECT("数出表_Excel!"&amp;LEFT(クライアント抽出!V30)&amp;A30&amp;""),0),"")</f>
        <v/>
      </c>
      <c r="J30" s="52" t="str">
        <f ca="1">IF(C30&lt;&gt;"",
VLOOKUP(
IF(COUNTIF(D30,"*学食*"),"キャラ弁（学食）",
IF(COUNTIF(D30,"*赤*"),"赤",
IF(COUNTIF(D30,"*キャラ弁当*"),"キャラ弁当",D30))),注文弁当の抽出!$E$1:$F$15,2,FALSE),"")</f>
        <v/>
      </c>
      <c r="K30" s="52" t="str">
        <f t="shared" ca="1" si="6"/>
        <v/>
      </c>
      <c r="L30" s="52" t="str">
        <f t="shared" ca="1" si="7"/>
        <v/>
      </c>
      <c r="M30" s="52" cm="1">
        <f t="array" aca="1" ref="M30" ca="1">IF(C30&lt;&gt;"",
IF(IFERROR(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0)&lt;&gt;0,
IF(IFERROR(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"")="",
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""),
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0)),0),0)</f>
        <v>0</v>
      </c>
      <c r="N30" s="52" t="e">
        <f t="array" aca="1" ref="N30" ca="1">IF(B30="博多",
IF(C30&lt;&gt;"",
IF(IFERROR(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0)&lt;&gt;0,
IF(IFERROR(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0)="",
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0),
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0)),0),""),0)</f>
        <v>#N/A</v>
      </c>
      <c r="O30" s="52" t="e">
        <f t="shared" ca="1" si="8"/>
        <v>#N/A</v>
      </c>
      <c r="P30" s="52">
        <f t="shared" ca="1" si="4"/>
        <v>0</v>
      </c>
      <c r="Q30" s="52" t="b">
        <f t="shared" ca="1" si="5"/>
        <v>0</v>
      </c>
      <c r="R30" s="51" t="str" cm="1">
        <f t="array" aca="1" ref="R30" ca="1">IFERROR(SMALL(IF(P$1:P$300&lt;&gt;0,P$1:P$300),ROW(A30)),"")</f>
        <v/>
      </c>
      <c r="S30" s="51" t="str">
        <f t="array" aca="1" ref="S30" ca="1">IF($R30&lt;&gt;"",
INDIRECT(""&amp;IF(COLUMN(C44)&lt;=26,CHAR(COLUMN(C44)+64),CHAR(INT((COLUMN(C44)-1)/26)+64)&amp;CHAR(MOD(COLUMN(C44)-1,26)+65))&amp;$R30&amp;""),"")</f>
        <v/>
      </c>
      <c r="T30" s="51" t="str" cm="1">
        <f t="array" aca="1" ref="T30" ca="1">IF(IF($R30&lt;&gt;"",
INDIRECT(""&amp;IF(COLUMN(D50)&lt;=26,CHAR(COLUMN(D50)+64),CHAR(INT((COLUMN(D50)-1)/26)+64)&amp;CHAR(MOD(COLUMN(D50)-1,26)+65))&amp;$R30&amp;""),"")=0,"",
IF($R30&lt;&gt;"",
INDIRECT(""&amp;IF(COLUMN(D50)&lt;=26,CHAR(COLUMN(D50)+64),CHAR(INT((COLUMN(D50)-1)/26)+64)&amp;CHAR(MOD(COLUMN(D50)-1,26)+65))&amp;$R30&amp;""),""))</f>
        <v/>
      </c>
      <c r="V30" s="51" t="str">
        <f t="array" aca="1" ref="V30" ca="1">IF($R30&lt;&gt;"",
IF(U30="",
IF(INDIRECT("EY"&amp;$R30&amp;"")&lt;&gt;"",
INDIRECT("EY"&amp;$R30&amp;"")&amp;"箱"
&amp;INDIRECT("EZ"&amp;$R30&amp;""),""),""),"")</f>
        <v/>
      </c>
      <c r="W30" s="51" t="str">
        <f t="array" aca="1" ref="W30" ca="1">IF($R30&lt;&gt;"",
INDIRECT(""&amp;IF(COLUMN(H44)&lt;=26,CHAR(COLUMN(H44)+64),CHAR(INT((COLUMN(H44)-1)/26)+64)&amp;CHAR(MOD(COLUMN(H44)-1,26)+65))&amp;$R30&amp;""),"")</f>
        <v/>
      </c>
      <c r="X30" s="51" t="str">
        <f t="array" aca="1" ref="X30" ca="1">IF($R30&lt;&gt;"",
INDIRECT(""&amp;IF(COLUMN(I44)&lt;=26,CHAR(COLUMN(I44)+64),CHAR(INT((COLUMN(I44)-1)/26)+64)&amp;CHAR(MOD(COLUMN(I44)-1,26)+65))&amp;$R30&amp;""),"")</f>
        <v/>
      </c>
      <c r="Y30" s="51" t="str">
        <f t="array" aca="1" ref="Y30" ca="1">IF($R30&lt;&gt;"",
INDIRECT(""&amp;IF(COLUMN(J44)&lt;=26,CHAR(COLUMN(J44)+64),CHAR(INT((COLUMN(J44)-1)/26)+64)&amp;CHAR(MOD(COLUMN(J44)-1,26)+65))&amp;$R30&amp;""),"")</f>
        <v/>
      </c>
      <c r="Z30" s="51" t="str">
        <f t="array" aca="1" ref="Z30" ca="1">IF($R30&lt;&gt;"",
INDIRECT(""&amp;IF(COLUMN(K44)&lt;=26,CHAR(COLUMN(K44)+64),CHAR(INT((COLUMN(K44)-1)/26)+64)&amp;CHAR(MOD(COLUMN(K44)-1,26)+65))&amp;$R30&amp;""),"")</f>
        <v/>
      </c>
      <c r="AA30" s="51" t="str">
        <f t="array" aca="1" ref="AA30" ca="1">IF($R30&lt;&gt;"",
INDIRECT(""&amp;IF(COLUMN(L44)&lt;=26,CHAR(COLUMN(L44)+64),CHAR(INT((COLUMN(L44)-1)/26)+64)&amp;CHAR(MOD(COLUMN(L44)-1,26)+65))&amp;$R30&amp;""),"")</f>
        <v/>
      </c>
      <c r="AB30" s="51" t="str">
        <f t="array" aca="1" ref="AB30" ca="1">IF($R30&lt;&gt;"",
INDIRECT(""&amp;IF(COLUMN(O44)&lt;=26,CHAR(COLUMN(O44)+64),CHAR(INT((COLUMN(O44)-1)/26)+64)&amp;CHAR(MOD(COLUMN(O44)-1,26)+65))&amp;$R30&amp;""),"")</f>
        <v/>
      </c>
    </row>
    <row r="31" spans="1:28" s="51" customFormat="1" ht="22.2" customHeight="1">
      <c r="A31" s="197">
        <f t="shared" si="3"/>
        <v>67</v>
      </c>
      <c r="B31" s="52" t="e">
        <f t="array" aca="1" ref="B31" ca="1">IF(AND(LEFT(C31,2)="博多",
LEFT(INDIRECT("数出表_Excel!A"&amp;MATCH(C31,数出表_Excel!$A:$A,0)-1),2)
=LEFT(INDIRECT("数出表_Excel!A"&amp;MATCH(C31,数出表_Excel!$A:$A,0)+1),2)),"博多",
IF(AND(LEFT(C31,3)="奈良屋",
LEFT(INDIRECT("数出表_Excel!A"&amp;MATCH(C31,数出表_Excel!$A:$A,0)-1),2)
=LEFT(INDIRECT("数出表_Excel!A"&amp;MATCH(C31,数出表_Excel!$A:$A,0)+1),2)),"奈良屋",""))</f>
        <v>#N/A</v>
      </c>
      <c r="C31" s="52" t="str" cm="1">
        <f t="array" aca="1" ref="C31" ca="1">IF(IF(クライアント抽出!A31="",0,LEN(クライアント抽出!V31)-LEN(SUBSTITUTE(クライアント抽出!V31,",","")))&gt;=1,INDIRECT("数出表_Excel!A"&amp;A31&amp;""),"")</f>
        <v/>
      </c>
      <c r="D31" s="52" t="str" cm="1">
        <f t="array" aca="1" ref="D31" ca="1">IF(C31&lt;&gt;"",INDIRECT("クライアント抽出!"&amp;E31&amp;MATCH(C31,クライアント抽出!A:A,0)&amp;""),"")</f>
        <v/>
      </c>
      <c r="E31" s="52" t="str">
        <f ca="1"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t="array" aca="1" ref="F31" ca="1">IF(D31&lt;&gt;"",
IF(COUNTIF(C31,"*雙葉*"),
IF(ROUND(
IF(O31&lt;&gt;"",(H31-O31),H31)
/IF(COUNTIF('盛付札（関数）'!D31,"*キャラ*"),
VLOOKUP("*キャラ*",#REF!,7,FALSE),
IF(COUNTIF('盛付札（関数）'!D31,"*赤*"),
VLOOKUP("*赤*",#REF!,7,FALSE),
VLOOKUP('盛付札（関数）'!D31,#REF!,7,FALSE))),0)&lt;=0,1,
ROUND(
IF(O31&lt;&gt;"",(H31-O31),H31)
/IF(COUNTIF('盛付札（関数）'!D31,"*キャラ*"),
VLOOKUP("*キャラ*",#REF!,7,FALSE),
IF(COUNTIF('盛付札（関数）'!D31,"*赤*"),
VLOOKUP("*赤*",#REF!,7,FALSE),
VLOOKUP('盛付札（関数）'!D31,#REF!,7,FALSE))),0)),
IF(MATCH(TRUE,
ISNUMBER(--INDIRECT("数出表_Excel!B"&amp;MATCH(C31,数出表_Excel!$A:$A,0)-1&amp;":U"&amp;MATCH(C31,数出表_Excel!$A:$A,0)-1&amp;"")),0)&gt;10,
IF(D31&lt;&gt;"",
IF(IF(COUNTIF('盛付札（関数）'!D31,"*キャラ*"),
VLOOKUP("*キャラ*",#REF!,7,FALSE),
IF(COUNTIF('盛付札（関数）'!D31,"*赤*"),
VLOOKUP("*赤*",#REF!,7,FALSE),
VLOOKUP('盛付札（関数）'!D31,#REF!,7,FALSE)))=0,"",
IF(ROUND(
IF(O31&lt;&gt;"",(H31-O31),H31)
/IF(COUNTIF('盛付札（関数）'!D31,"*キャラ*"),
VLOOKUP("*キャラ*",#REF!,7,FALSE),
IF(COUNTIF('盛付札（関数）'!D31,"*赤*"),
VLOOKUP("*赤*",#REF!,7,FALSE),
VLOOKUP('盛付札（関数）'!D31,#REF!,7,FALSE))),0)&lt;=0,1,
ROUND(
IF(O31&lt;&gt;"",(H31-O31),H31)
/IF(COUNTIF('盛付札（関数）'!D31,"*キャラ*"),
VLOOKUP("*キャラ*",#REF!,7,FALSE),
IF(COUNTIF('盛付札（関数）'!D31,"*赤*"),
VLOOKUP("*赤*",#REF!,7,FALSE),
VLOOKUP('盛付札（関数）'!D31,#REF!,7,FALSE))),0))),""),"")),"")</f>
        <v/>
      </c>
      <c r="G31" s="53" t="str">
        <f ca="1">IF(F31&lt;&gt;"",IF(VALUE(IF(O31&lt;&gt;"",H31-O31,H31))&gt;VALUE(IF(COUNTIF('盛付札（関数）'!D31,"*キャラ*"),
VLOOKUP("*キャラ*",#REF!,7,FALSE),
IF(COUNTIF('盛付札（関数）'!D31,"*赤*"),
VLOOKUP("*赤*",#REF!,7,FALSE),
VLOOKUP('盛付札（関数）'!D31,#REF!,7,FALSE)))*F31),
"+"&amp;IF(O31&lt;&gt;"",H31-O31,H31)-IF(COUNTIF('盛付札（関数）'!D31,"*キャラ*"),
VLOOKUP("*キャラ*",#REF!,7,FALSE),
IF(COUNTIF('盛付札（関数）'!D31,"*赤*"),
VLOOKUP("*赤*",#REF!,7,FALSE),
VLOOKUP('盛付札（関数）'!D31,#REF!,7,FALSE)))*F31,
IF(O31&lt;&gt;"",H31-O31,H31)-IF(COUNTIF('盛付札（関数）'!D31,"*キャラ*"),
VLOOKUP("*キャラ*",#REF!,7,FALSE),
IF(COUNTIF('盛付札（関数）'!D31,"*赤*"),
VLOOKUP("*赤*",#REF!,7,FALSE),
VLOOKUP('盛付札（関数）'!D31,#REF!,7,FALSE)))*F31),"")</f>
        <v/>
      </c>
      <c r="H31" s="195" t="str" cm="1">
        <f t="array" aca="1" ref="H31" ca="1">IF(C31&lt;&gt;"",
IF(INDIRECT("数出表_Excel!"&amp;LEFT(クライアント抽出!V31)&amp;A31-1&amp;"")&lt;&gt;"",INDIRECT("数出表_Excel!"&amp;LEFT(クライアント抽出!V31)&amp;A31-1&amp;""),0),"")</f>
        <v/>
      </c>
      <c r="I31" s="52" t="str" cm="1">
        <f t="array" aca="1" ref="I31" ca="1">IF(C31&lt;&gt;"",
IF(INDIRECT("数出表_Excel!"&amp;LEFT(クライアント抽出!V31)&amp;A31&amp;"")&lt;&gt;"",INDIRECT("数出表_Excel!"&amp;LEFT(クライアント抽出!V31)&amp;A31&amp;""),0),"")</f>
        <v/>
      </c>
      <c r="J31" s="52" t="str">
        <f ca="1">IF(C31&lt;&gt;"",
VLOOKUP(
IF(COUNTIF(D31,"*学食*"),"キャラ弁（学食）",
IF(COUNTIF(D31,"*赤*"),"赤",
IF(COUNTIF(D31,"*キャラ弁当*"),"キャラ弁当",D31))),注文弁当の抽出!$E$1:$F$15,2,FALSE),"")</f>
        <v/>
      </c>
      <c r="K31" s="52" t="str">
        <f t="shared" ca="1" si="6"/>
        <v/>
      </c>
      <c r="L31" s="52" t="str">
        <f t="shared" ca="1" si="7"/>
        <v/>
      </c>
      <c r="M31" s="52" cm="1">
        <f t="array" aca="1" ref="M31" ca="1">IF(C31&lt;&gt;"",
IF(IFERROR(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0)&lt;&gt;0,
IF(IFERROR(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"")="",
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""),
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0)),0),0)</f>
        <v>0</v>
      </c>
      <c r="N31" s="52" t="e">
        <f t="array" aca="1" ref="N31" ca="1">IF(B31="博多",
IF(C31&lt;&gt;"",
IF(IFERROR(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0)&lt;&gt;0,
IF(IFERROR(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0)="",
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0),
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0)),0),""),0)</f>
        <v>#N/A</v>
      </c>
      <c r="O31" s="52" t="e">
        <f t="shared" ca="1" si="8"/>
        <v>#N/A</v>
      </c>
      <c r="P31" s="52">
        <f t="shared" ca="1" si="4"/>
        <v>0</v>
      </c>
      <c r="Q31" s="52" t="b">
        <f t="shared" ca="1" si="5"/>
        <v>0</v>
      </c>
      <c r="R31" s="51" t="str" cm="1">
        <f t="array" aca="1" ref="R31" ca="1">IFERROR(SMALL(IF(P$1:P$300&lt;&gt;0,P$1:P$300),ROW(A31)),"")</f>
        <v/>
      </c>
      <c r="S31" s="51" t="str">
        <f t="array" aca="1" ref="S31" ca="1">IF($R31&lt;&gt;"",
INDIRECT(""&amp;IF(COLUMN(C46)&lt;=26,CHAR(COLUMN(C46)+64),CHAR(INT((COLUMN(C46)-1)/26)+64)&amp;CHAR(MOD(COLUMN(C46)-1,26)+65))&amp;$R31&amp;""),"")</f>
        <v/>
      </c>
      <c r="T31" s="51" t="str" cm="1">
        <f t="array" aca="1" ref="T31" ca="1">IF(IF($R31&lt;&gt;"",
INDIRECT(""&amp;IF(COLUMN(D51)&lt;=26,CHAR(COLUMN(D51)+64),CHAR(INT((COLUMN(D51)-1)/26)+64)&amp;CHAR(MOD(COLUMN(D51)-1,26)+65))&amp;$R31&amp;""),"")=0,"",
IF($R31&lt;&gt;"",
INDIRECT(""&amp;IF(COLUMN(D51)&lt;=26,CHAR(COLUMN(D51)+64),CHAR(INT((COLUMN(D51)-1)/26)+64)&amp;CHAR(MOD(COLUMN(D51)-1,26)+65))&amp;$R31&amp;""),""))</f>
        <v/>
      </c>
      <c r="V31" s="51" t="str">
        <f t="array" aca="1" ref="V31" ca="1">IF($R31&lt;&gt;"",
IF(U31="",
IF(INDIRECT("EY"&amp;$R31&amp;"")&lt;&gt;"",
INDIRECT("EY"&amp;$R31&amp;"")&amp;"箱"
&amp;INDIRECT("EZ"&amp;$R31&amp;""),""),""),"")</f>
        <v/>
      </c>
      <c r="W31" s="51" t="str">
        <f t="array" aca="1" ref="W31" ca="1">IF($R31&lt;&gt;"",
INDIRECT(""&amp;IF(COLUMN(H46)&lt;=26,CHAR(COLUMN(H46)+64),CHAR(INT((COLUMN(H46)-1)/26)+64)&amp;CHAR(MOD(COLUMN(H46)-1,26)+65))&amp;$R31&amp;""),"")</f>
        <v/>
      </c>
      <c r="X31" s="51" t="str">
        <f t="array" aca="1" ref="X31" ca="1">IF($R31&lt;&gt;"",
INDIRECT(""&amp;IF(COLUMN(I46)&lt;=26,CHAR(COLUMN(I46)+64),CHAR(INT((COLUMN(I46)-1)/26)+64)&amp;CHAR(MOD(COLUMN(I46)-1,26)+65))&amp;$R31&amp;""),"")</f>
        <v/>
      </c>
      <c r="Y31" s="51" t="str">
        <f t="array" aca="1" ref="Y31" ca="1">IF($R31&lt;&gt;"",
INDIRECT(""&amp;IF(COLUMN(J46)&lt;=26,CHAR(COLUMN(J46)+64),CHAR(INT((COLUMN(J46)-1)/26)+64)&amp;CHAR(MOD(COLUMN(J46)-1,26)+65))&amp;$R31&amp;""),"")</f>
        <v/>
      </c>
      <c r="Z31" s="51" t="str">
        <f t="array" aca="1" ref="Z31" ca="1">IF($R31&lt;&gt;"",
INDIRECT(""&amp;IF(COLUMN(K46)&lt;=26,CHAR(COLUMN(K46)+64),CHAR(INT((COLUMN(K46)-1)/26)+64)&amp;CHAR(MOD(COLUMN(K46)-1,26)+65))&amp;$R31&amp;""),"")</f>
        <v/>
      </c>
      <c r="AA31" s="51" t="str">
        <f t="array" aca="1" ref="AA31" ca="1">IF($R31&lt;&gt;"",
INDIRECT(""&amp;IF(COLUMN(L46)&lt;=26,CHAR(COLUMN(L46)+64),CHAR(INT((COLUMN(L46)-1)/26)+64)&amp;CHAR(MOD(COLUMN(L46)-1,26)+65))&amp;$R31&amp;""),"")</f>
        <v/>
      </c>
      <c r="AB31" s="51" t="str">
        <f t="array" aca="1" ref="AB31" ca="1">IF($R31&lt;&gt;"",
INDIRECT(""&amp;IF(COLUMN(O46)&lt;=26,CHAR(COLUMN(O46)+64),CHAR(INT((COLUMN(O46)-1)/26)+64)&amp;CHAR(MOD(COLUMN(O46)-1,26)+65))&amp;$R31&amp;""),"")</f>
        <v/>
      </c>
    </row>
    <row r="32" spans="1:28" ht="18" customHeight="1">
      <c r="A32" s="197">
        <f>A31+2</f>
        <v>69</v>
      </c>
      <c r="B32" s="52" t="e">
        <f t="array" aca="1" ref="B32" ca="1">IF(AND(LEFT(C32,2)="博多",
LEFT(INDIRECT("数出表_Excel!A"&amp;MATCH(C32,数出表_Excel!$A:$A,0)-1),2)
=LEFT(INDIRECT("数出表_Excel!A"&amp;MATCH(C32,数出表_Excel!$A:$A,0)+1),2)),"博多",
IF(AND(LEFT(C32,3)="奈良屋",
LEFT(INDIRECT("数出表_Excel!A"&amp;MATCH(C32,数出表_Excel!$A:$A,0)-1),2)
=LEFT(INDIRECT("数出表_Excel!A"&amp;MATCH(C32,数出表_Excel!$A:$A,0)+1),2)),"奈良屋",""))</f>
        <v>#N/A</v>
      </c>
      <c r="C32" s="52" t="str" cm="1">
        <f t="array" aca="1" ref="C32" ca="1">IF(IF(クライアント抽出!A32="",0,LEN(クライアント抽出!V32)-LEN(SUBSTITUTE(クライアント抽出!V32,",","")))&gt;=1,INDIRECT("数出表_Excel!A"&amp;A32&amp;""),"")</f>
        <v/>
      </c>
      <c r="D32" s="52" t="str" cm="1">
        <f t="array" aca="1" ref="D32" ca="1">IF(C32&lt;&gt;"",INDIRECT("クライアント抽出!"&amp;E32&amp;MATCH(C32,クライアント抽出!A:A,0)&amp;""),"")</f>
        <v/>
      </c>
      <c r="E32" s="52" t="str">
        <f ca="1"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t="array" aca="1" ref="F32" ca="1">IF(D32&lt;&gt;"",
IF(COUNTIF(C32,"*雙葉*"),
IF(ROUND(
IF(O32&lt;&gt;"",(H32-O32),H32)
/IF(COUNTIF('盛付札（関数）'!D32,"*キャラ*"),
VLOOKUP("*キャラ*",#REF!,7,FALSE),
IF(COUNTIF('盛付札（関数）'!D32,"*赤*"),
VLOOKUP("*赤*",#REF!,7,FALSE),
VLOOKUP('盛付札（関数）'!D32,#REF!,7,FALSE))),0)&lt;=0,1,
ROUND(
IF(O32&lt;&gt;"",(H32-O32),H32)
/IF(COUNTIF('盛付札（関数）'!D32,"*キャラ*"),
VLOOKUP("*キャラ*",#REF!,7,FALSE),
IF(COUNTIF('盛付札（関数）'!D32,"*赤*"),
VLOOKUP("*赤*",#REF!,7,FALSE),
VLOOKUP('盛付札（関数）'!D32,#REF!,7,FALSE))),0)),
IF(MATCH(TRUE,
ISNUMBER(--INDIRECT("数出表_Excel!B"&amp;MATCH(C32,数出表_Excel!$A:$A,0)-1&amp;":U"&amp;MATCH(C32,数出表_Excel!$A:$A,0)-1&amp;"")),0)&gt;10,
IF(D32&lt;&gt;"",
IF(IF(COUNTIF('盛付札（関数）'!D32,"*キャラ*"),
VLOOKUP("*キャラ*",#REF!,7,FALSE),
IF(COUNTIF('盛付札（関数）'!D32,"*赤*"),
VLOOKUP("*赤*",#REF!,7,FALSE),
VLOOKUP('盛付札（関数）'!D32,#REF!,7,FALSE)))=0,"",
IF(ROUND(
IF(O32&lt;&gt;"",(H32-O32),H32)
/IF(COUNTIF('盛付札（関数）'!D32,"*キャラ*"),
VLOOKUP("*キャラ*",#REF!,7,FALSE),
IF(COUNTIF('盛付札（関数）'!D32,"*赤*"),
VLOOKUP("*赤*",#REF!,7,FALSE),
VLOOKUP('盛付札（関数）'!D32,#REF!,7,FALSE))),0)&lt;=0,1,
ROUND(
IF(O32&lt;&gt;"",(H32-O32),H32)
/IF(COUNTIF('盛付札（関数）'!D32,"*キャラ*"),
VLOOKUP("*キャラ*",#REF!,7,FALSE),
IF(COUNTIF('盛付札（関数）'!D32,"*赤*"),
VLOOKUP("*赤*",#REF!,7,FALSE),
VLOOKUP('盛付札（関数）'!D32,#REF!,7,FALSE))),0))),""),"")),"")</f>
        <v/>
      </c>
      <c r="G32" s="53" t="str">
        <f ca="1">IF(F32&lt;&gt;"",IF(VALUE(IF(O32&lt;&gt;"",H32-O32,H32))&gt;VALUE(IF(COUNTIF('盛付札（関数）'!D32,"*キャラ*"),
VLOOKUP("*キャラ*",#REF!,7,FALSE),
IF(COUNTIF('盛付札（関数）'!D32,"*赤*"),
VLOOKUP("*赤*",#REF!,7,FALSE),
VLOOKUP('盛付札（関数）'!D32,#REF!,7,FALSE)))*F32),
"+"&amp;IF(O32&lt;&gt;"",H32-O32,H32)-IF(COUNTIF('盛付札（関数）'!D32,"*キャラ*"),
VLOOKUP("*キャラ*",#REF!,7,FALSE),
IF(COUNTIF('盛付札（関数）'!D32,"*赤*"),
VLOOKUP("*赤*",#REF!,7,FALSE),
VLOOKUP('盛付札（関数）'!D32,#REF!,7,FALSE)))*F32,
IF(O32&lt;&gt;"",H32-O32,H32)-IF(COUNTIF('盛付札（関数）'!D32,"*キャラ*"),
VLOOKUP("*キャラ*",#REF!,7,FALSE),
IF(COUNTIF('盛付札（関数）'!D32,"*赤*"),
VLOOKUP("*赤*",#REF!,7,FALSE),
VLOOKUP('盛付札（関数）'!D32,#REF!,7,FALSE)))*F32),"")</f>
        <v/>
      </c>
      <c r="H32" s="195" t="str" cm="1">
        <f t="array" aca="1" ref="H32" ca="1">IF(C32&lt;&gt;"",
IF(INDIRECT("数出表_Excel!"&amp;LEFT(クライアント抽出!V32)&amp;A32-1&amp;"")&lt;&gt;"",INDIRECT("数出表_Excel!"&amp;LEFT(クライアント抽出!V32)&amp;A32-1&amp;""),0),"")</f>
        <v/>
      </c>
      <c r="I32" s="52" t="str" cm="1">
        <f t="array" aca="1" ref="I32" ca="1">IF(C32&lt;&gt;"",
IF(INDIRECT("数出表_Excel!"&amp;LEFT(クライアント抽出!V32)&amp;A32&amp;"")&lt;&gt;"",INDIRECT("数出表_Excel!"&amp;LEFT(クライアント抽出!V32)&amp;A32&amp;""),0),"")</f>
        <v/>
      </c>
      <c r="J32" s="52" t="str">
        <f ca="1">IF(C32&lt;&gt;"",
VLOOKUP(
IF(COUNTIF(D32,"*学食*"),"キャラ弁（学食）",
IF(COUNTIF(D32,"*赤*"),"赤",
IF(COUNTIF(D32,"*キャラ弁当*"),"キャラ弁当",D32))),注文弁当の抽出!$E$1:$F$15,2,FALSE),"")</f>
        <v/>
      </c>
      <c r="K32" s="52" t="str">
        <f ca="1">IF(C32&lt;&gt;"",
IFERROR(INT(H32/J32),""),"")</f>
        <v/>
      </c>
      <c r="L32" s="52" t="str">
        <f ca="1">IFERROR(MOD(H32,J32),"")</f>
        <v/>
      </c>
      <c r="M32" s="52" cm="1">
        <f t="array" aca="1" ref="M32" ca="1">IF(C32&lt;&gt;"",
IF(IFERROR(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0)&lt;&gt;0,
IF(IFERROR(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"")="",
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""),
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0)),0),0)</f>
        <v>0</v>
      </c>
      <c r="N32" s="52" t="e">
        <f t="array" aca="1" ref="N32" ca="1">IF(B32="博多",
IF(C32&lt;&gt;"",
IF(IFERROR(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0)&lt;&gt;0,
IF(IFERROR(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0)="",
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0),
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0)),0),""),0)</f>
        <v>#N/A</v>
      </c>
      <c r="O32" s="52" t="e">
        <f ca="1">M32+N32</f>
        <v>#N/A</v>
      </c>
      <c r="P32" s="52">
        <f ca="1">IF(COUNTIF(Q32,"TRUE"),ROW(),0)</f>
        <v>0</v>
      </c>
      <c r="Q32" s="52" t="b">
        <f ca="1">IF(C32&lt;&gt;"",TRUE,FALSE)</f>
        <v>0</v>
      </c>
      <c r="R32" s="51" t="str" cm="1">
        <f t="array" aca="1" ref="R32" ca="1">IFERROR(SMALL(IF(P$1:P$300&lt;&gt;0,P$1:P$300),ROW(A32)),"")</f>
        <v/>
      </c>
      <c r="S32" s="51" t="str">
        <f t="array" aca="1" ref="S32" ca="1">IF($R32&lt;&gt;"",
INDIRECT(""&amp;IF(COLUMN(C47)&lt;=26,CHAR(COLUMN(C47)+64),CHAR(INT((COLUMN(C47)-1)/26)+64)&amp;CHAR(MOD(COLUMN(C47)-1,26)+65))&amp;$R32&amp;""),"")</f>
        <v/>
      </c>
      <c r="T32" s="51" t="str" cm="1">
        <f t="array" aca="1" ref="T32" ca="1">IF(IF($R32&lt;&gt;"",
INDIRECT(""&amp;IF(COLUMN(D52)&lt;=26,CHAR(COLUMN(D52)+64),CHAR(INT((COLUMN(D52)-1)/26)+64)&amp;CHAR(MOD(COLUMN(D52)-1,26)+65))&amp;$R32&amp;""),"")=0,"",
IF($R32&lt;&gt;"",
INDIRECT(""&amp;IF(COLUMN(D52)&lt;=26,CHAR(COLUMN(D52)+64),CHAR(INT((COLUMN(D52)-1)/26)+64)&amp;CHAR(MOD(COLUMN(D52)-1,26)+65))&amp;$R32&amp;""),""))</f>
        <v/>
      </c>
      <c r="U32" s="51"/>
      <c r="V32" s="51" t="str">
        <f t="array" aca="1" ref="V32" ca="1">IF($R32&lt;&gt;"",
IF(U32="",
IF(INDIRECT("EY"&amp;$R32&amp;"")&lt;&gt;"",
INDIRECT("EY"&amp;$R32&amp;"")&amp;"箱"
&amp;INDIRECT("EZ"&amp;$R32&amp;""),""),""),"")</f>
        <v/>
      </c>
      <c r="W32" s="51" t="str">
        <f t="array" aca="1" ref="W32" ca="1">IF($R32&lt;&gt;"",
INDIRECT(""&amp;IF(COLUMN(H47)&lt;=26,CHAR(COLUMN(H47)+64),CHAR(INT((COLUMN(H47)-1)/26)+64)&amp;CHAR(MOD(COLUMN(H47)-1,26)+65))&amp;$R32&amp;""),"")</f>
        <v/>
      </c>
      <c r="X32" s="51" t="str">
        <f t="array" aca="1" ref="X32" ca="1">IF($R32&lt;&gt;"",
INDIRECT(""&amp;IF(COLUMN(I47)&lt;=26,CHAR(COLUMN(I47)+64),CHAR(INT((COLUMN(I47)-1)/26)+64)&amp;CHAR(MOD(COLUMN(I47)-1,26)+65))&amp;$R32&amp;""),"")</f>
        <v/>
      </c>
      <c r="Y32" s="51" t="str">
        <f t="array" aca="1" ref="Y32" ca="1">IF($R32&lt;&gt;"",
INDIRECT(""&amp;IF(COLUMN(J47)&lt;=26,CHAR(COLUMN(J47)+64),CHAR(INT((COLUMN(J47)-1)/26)+64)&amp;CHAR(MOD(COLUMN(J47)-1,26)+65))&amp;$R32&amp;""),"")</f>
        <v/>
      </c>
      <c r="Z32" s="51" t="str">
        <f t="array" aca="1" ref="Z32" ca="1">IF($R32&lt;&gt;"",
INDIRECT(""&amp;IF(COLUMN(K47)&lt;=26,CHAR(COLUMN(K47)+64),CHAR(INT((COLUMN(K47)-1)/26)+64)&amp;CHAR(MOD(COLUMN(K47)-1,26)+65))&amp;$R32&amp;""),"")</f>
        <v/>
      </c>
      <c r="AA32" s="51" t="str">
        <f t="array" aca="1" ref="AA32" ca="1">IF($R32&lt;&gt;"",
INDIRECT(""&amp;IF(COLUMN(L47)&lt;=26,CHAR(COLUMN(L47)+64),CHAR(INT((COLUMN(L47)-1)/26)+64)&amp;CHAR(MOD(COLUMN(L47)-1,26)+65))&amp;$R32&amp;""),"")</f>
        <v/>
      </c>
      <c r="AB32" s="51" t="str">
        <f t="array" aca="1" ref="AB32" ca="1">IF($R32&lt;&gt;"",
INDIRECT(""&amp;IF(COLUMN(O47)&lt;=26,CHAR(COLUMN(O47)+64),CHAR(INT((COLUMN(O47)-1)/26)+64)&amp;CHAR(MOD(COLUMN(O47)-1,26)+65))&amp;$R32&amp;""),"")</f>
        <v/>
      </c>
    </row>
    <row r="33" spans="1:28" ht="18" customHeight="1">
      <c r="A33" s="197">
        <f t="shared" ref="A33:A44" si="9">A32+2</f>
        <v>71</v>
      </c>
      <c r="B33" s="52" t="e">
        <f t="array" aca="1" ref="B33" ca="1">IF(AND(LEFT(C33,2)="博多",
LEFT(INDIRECT("数出表_Excel!A"&amp;MATCH(C33,数出表_Excel!$A:$A,0)-1),2)
=LEFT(INDIRECT("数出表_Excel!A"&amp;MATCH(C33,数出表_Excel!$A:$A,0)+1),2)),"博多",
IF(AND(LEFT(C33,3)="奈良屋",
LEFT(INDIRECT("数出表_Excel!A"&amp;MATCH(C33,数出表_Excel!$A:$A,0)-1),2)
=LEFT(INDIRECT("数出表_Excel!A"&amp;MATCH(C33,数出表_Excel!$A:$A,0)+1),2)),"奈良屋",""))</f>
        <v>#N/A</v>
      </c>
      <c r="C33" s="52" t="str" cm="1">
        <f t="array" aca="1" ref="C33" ca="1">IF(IF(クライアント抽出!A33="",0,LEN(クライアント抽出!V33)-LEN(SUBSTITUTE(クライアント抽出!V33,",","")))&gt;=1,INDIRECT("数出表_Excel!A"&amp;A33&amp;""),"")</f>
        <v/>
      </c>
      <c r="D33" s="52" t="str" cm="1">
        <f t="array" aca="1" ref="D33" ca="1">IF(C33&lt;&gt;"",INDIRECT("クライアント抽出!"&amp;E33&amp;MATCH(C33,クライアント抽出!A:A,0)&amp;""),"")</f>
        <v/>
      </c>
      <c r="E33" s="52" t="str">
        <f ca="1"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t="array" aca="1" ref="F33" ca="1">IF(D33&lt;&gt;"",
IF(COUNTIF(C33,"*雙葉*"),
IF(ROUND(
IF(O33&lt;&gt;"",(H33-O33),H33)
/IF(COUNTIF('盛付札（関数）'!D33,"*キャラ*"),
VLOOKUP("*キャラ*",#REF!,7,FALSE),
IF(COUNTIF('盛付札（関数）'!D33,"*赤*"),
VLOOKUP("*赤*",#REF!,7,FALSE),
VLOOKUP('盛付札（関数）'!D33,#REF!,7,FALSE))),0)&lt;=0,1,
ROUND(
IF(O33&lt;&gt;"",(H33-O33),H33)
/IF(COUNTIF('盛付札（関数）'!D33,"*キャラ*"),
VLOOKUP("*キャラ*",#REF!,7,FALSE),
IF(COUNTIF('盛付札（関数）'!D33,"*赤*"),
VLOOKUP("*赤*",#REF!,7,FALSE),
VLOOKUP('盛付札（関数）'!D33,#REF!,7,FALSE))),0)),
IF(MATCH(TRUE,
ISNUMBER(--INDIRECT("数出表_Excel!B"&amp;MATCH(C33,数出表_Excel!$A:$A,0)-1&amp;":U"&amp;MATCH(C33,数出表_Excel!$A:$A,0)-1&amp;"")),0)&gt;10,
IF(D33&lt;&gt;"",
IF(IF(COUNTIF('盛付札（関数）'!D33,"*キャラ*"),
VLOOKUP("*キャラ*",#REF!,7,FALSE),
IF(COUNTIF('盛付札（関数）'!D33,"*赤*"),
VLOOKUP("*赤*",#REF!,7,FALSE),
VLOOKUP('盛付札（関数）'!D33,#REF!,7,FALSE)))=0,"",
IF(ROUND(
IF(O33&lt;&gt;"",(H33-O33),H33)
/IF(COUNTIF('盛付札（関数）'!D33,"*キャラ*"),
VLOOKUP("*キャラ*",#REF!,7,FALSE),
IF(COUNTIF('盛付札（関数）'!D33,"*赤*"),
VLOOKUP("*赤*",#REF!,7,FALSE),
VLOOKUP('盛付札（関数）'!D33,#REF!,7,FALSE))),0)&lt;=0,1,
ROUND(
IF(O33&lt;&gt;"",(H33-O33),H33)
/IF(COUNTIF('盛付札（関数）'!D33,"*キャラ*"),
VLOOKUP("*キャラ*",#REF!,7,FALSE),
IF(COUNTIF('盛付札（関数）'!D33,"*赤*"),
VLOOKUP("*赤*",#REF!,7,FALSE),
VLOOKUP('盛付札（関数）'!D33,#REF!,7,FALSE))),0))),""),"")),"")</f>
        <v/>
      </c>
      <c r="G33" s="53" t="str">
        <f ca="1">IF(F33&lt;&gt;"",IF(VALUE(IF(O33&lt;&gt;"",H33-O33,H33))&gt;VALUE(IF(COUNTIF('盛付札（関数）'!D33,"*キャラ*"),
VLOOKUP("*キャラ*",#REF!,7,FALSE),
IF(COUNTIF('盛付札（関数）'!D33,"*赤*"),
VLOOKUP("*赤*",#REF!,7,FALSE),
VLOOKUP('盛付札（関数）'!D33,#REF!,7,FALSE)))*F33),
"+"&amp;IF(O33&lt;&gt;"",H33-O33,H33)-IF(COUNTIF('盛付札（関数）'!D33,"*キャラ*"),
VLOOKUP("*キャラ*",#REF!,7,FALSE),
IF(COUNTIF('盛付札（関数）'!D33,"*赤*"),
VLOOKUP("*赤*",#REF!,7,FALSE),
VLOOKUP('盛付札（関数）'!D33,#REF!,7,FALSE)))*F33,
IF(O33&lt;&gt;"",H33-O33,H33)-IF(COUNTIF('盛付札（関数）'!D33,"*キャラ*"),
VLOOKUP("*キャラ*",#REF!,7,FALSE),
IF(COUNTIF('盛付札（関数）'!D33,"*赤*"),
VLOOKUP("*赤*",#REF!,7,FALSE),
VLOOKUP('盛付札（関数）'!D33,#REF!,7,FALSE)))*F33),"")</f>
        <v/>
      </c>
      <c r="H33" s="195" t="str" cm="1">
        <f t="array" aca="1" ref="H33" ca="1">IF(C33&lt;&gt;"",
IF(INDIRECT("数出表_Excel!"&amp;LEFT(クライアント抽出!V33)&amp;A33-1&amp;"")&lt;&gt;"",INDIRECT("数出表_Excel!"&amp;LEFT(クライアント抽出!V33)&amp;A33-1&amp;""),0),"")</f>
        <v/>
      </c>
      <c r="I33" s="52" t="str" cm="1">
        <f t="array" aca="1" ref="I33" ca="1">IF(C33&lt;&gt;"",
IF(INDIRECT("数出表_Excel!"&amp;LEFT(クライアント抽出!V33)&amp;A33&amp;"")&lt;&gt;"",INDIRECT("数出表_Excel!"&amp;LEFT(クライアント抽出!V33)&amp;A33&amp;""),0),"")</f>
        <v/>
      </c>
      <c r="J33" s="52" t="str">
        <f ca="1">IF(C33&lt;&gt;"",
VLOOKUP(
IF(COUNTIF(D33,"*学食*"),"キャラ弁（学食）",
IF(COUNTIF(D33,"*赤*"),"赤",
IF(COUNTIF(D33,"*キャラ弁当*"),"キャラ弁当",D33))),注文弁当の抽出!$E$1:$F$15,2,FALSE),"")</f>
        <v/>
      </c>
      <c r="K33" s="52" t="str">
        <f t="shared" ref="K33:K44" ca="1" si="10">IF(C33&lt;&gt;"",
IFERROR(INT(H33/J33),""),"")</f>
        <v/>
      </c>
      <c r="L33" s="52" t="str">
        <f t="shared" ref="L33:L44" ca="1" si="11">IFERROR(MOD(H33,J33),"")</f>
        <v/>
      </c>
      <c r="M33" s="52" cm="1">
        <f t="array" aca="1" ref="M33" ca="1">IF(C33&lt;&gt;"",
IF(IFERROR(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0)&lt;&gt;0,
IF(IFERROR(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"")="",
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""),
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0)),0),0)</f>
        <v>0</v>
      </c>
      <c r="N33" s="52" t="e">
        <f t="array" aca="1" ref="N33" ca="1">IF(B33="博多",
IF(C33&lt;&gt;"",
IF(IFERROR(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0)&lt;&gt;0,
IF(IFERROR(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0)="",
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0),
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0)),0),""),0)</f>
        <v>#N/A</v>
      </c>
      <c r="O33" s="52" t="e">
        <f t="shared" ref="O33:O44" ca="1" si="12">M33+N33</f>
        <v>#N/A</v>
      </c>
      <c r="P33" s="52">
        <f t="shared" ca="1" si="4"/>
        <v>0</v>
      </c>
      <c r="Q33" s="52" t="b">
        <f t="shared" ref="Q33:Q44" ca="1" si="13">IF(C33&lt;&gt;"",TRUE,FALSE)</f>
        <v>0</v>
      </c>
      <c r="R33" s="51" t="str" cm="1">
        <f t="array" aca="1" ref="R33" ca="1">IFERROR(SMALL(IF(P$1:P$300&lt;&gt;0,P$1:P$300),ROW(A33)),"")</f>
        <v/>
      </c>
      <c r="S33" s="51" t="str">
        <f t="array" aca="1" ref="S33" ca="1">IF($R33&lt;&gt;"",
INDIRECT(""&amp;IF(COLUMN(C49)&lt;=26,CHAR(COLUMN(C49)+64),CHAR(INT((COLUMN(C49)-1)/26)+64)&amp;CHAR(MOD(COLUMN(C49)-1,26)+65))&amp;$R33&amp;""),"")</f>
        <v/>
      </c>
      <c r="T33" s="51" t="str" cm="1">
        <f t="array" aca="1" ref="T33" ca="1">IF(IF($R33&lt;&gt;"",
INDIRECT(""&amp;IF(COLUMN(D53)&lt;=26,CHAR(COLUMN(D53)+64),CHAR(INT((COLUMN(D53)-1)/26)+64)&amp;CHAR(MOD(COLUMN(D53)-1,26)+65))&amp;$R33&amp;""),"")=0,"",
IF($R33&lt;&gt;"",
INDIRECT(""&amp;IF(COLUMN(D53)&lt;=26,CHAR(COLUMN(D53)+64),CHAR(INT((COLUMN(D53)-1)/26)+64)&amp;CHAR(MOD(COLUMN(D53)-1,26)+65))&amp;$R33&amp;""),""))</f>
        <v/>
      </c>
      <c r="U33" s="51"/>
      <c r="V33" s="51" t="str">
        <f t="array" aca="1" ref="V33" ca="1">IF($R33&lt;&gt;"",
IF(U33="",
IF(INDIRECT("EY"&amp;$R33&amp;"")&lt;&gt;"",
INDIRECT("EY"&amp;$R33&amp;"")&amp;"箱"
&amp;INDIRECT("EZ"&amp;$R33&amp;""),""),""),"")</f>
        <v/>
      </c>
      <c r="W33" s="51" t="str">
        <f t="array" aca="1" ref="W33" ca="1">IF($R33&lt;&gt;"",
INDIRECT(""&amp;IF(COLUMN(H49)&lt;=26,CHAR(COLUMN(H49)+64),CHAR(INT((COLUMN(H49)-1)/26)+64)&amp;CHAR(MOD(COLUMN(H49)-1,26)+65))&amp;$R33&amp;""),"")</f>
        <v/>
      </c>
      <c r="X33" s="51" t="str">
        <f t="array" aca="1" ref="X33" ca="1">IF($R33&lt;&gt;"",
INDIRECT(""&amp;IF(COLUMN(I49)&lt;=26,CHAR(COLUMN(I49)+64),CHAR(INT((COLUMN(I49)-1)/26)+64)&amp;CHAR(MOD(COLUMN(I49)-1,26)+65))&amp;$R33&amp;""),"")</f>
        <v/>
      </c>
      <c r="Y33" s="51" t="str">
        <f t="array" aca="1" ref="Y33" ca="1">IF($R33&lt;&gt;"",
INDIRECT(""&amp;IF(COLUMN(J49)&lt;=26,CHAR(COLUMN(J49)+64),CHAR(INT((COLUMN(J49)-1)/26)+64)&amp;CHAR(MOD(COLUMN(J49)-1,26)+65))&amp;$R33&amp;""),"")</f>
        <v/>
      </c>
      <c r="Z33" s="51" t="str">
        <f t="array" aca="1" ref="Z33" ca="1">IF($R33&lt;&gt;"",
INDIRECT(""&amp;IF(COLUMN(K49)&lt;=26,CHAR(COLUMN(K49)+64),CHAR(INT((COLUMN(K49)-1)/26)+64)&amp;CHAR(MOD(COLUMN(K49)-1,26)+65))&amp;$R33&amp;""),"")</f>
        <v/>
      </c>
      <c r="AA33" s="51" t="str">
        <f t="array" aca="1" ref="AA33" ca="1">IF($R33&lt;&gt;"",
INDIRECT(""&amp;IF(COLUMN(L49)&lt;=26,CHAR(COLUMN(L49)+64),CHAR(INT((COLUMN(L49)-1)/26)+64)&amp;CHAR(MOD(COLUMN(L49)-1,26)+65))&amp;$R33&amp;""),"")</f>
        <v/>
      </c>
      <c r="AB33" s="51" t="str">
        <f t="array" aca="1" ref="AB33" ca="1">IF($R33&lt;&gt;"",
INDIRECT(""&amp;IF(COLUMN(O49)&lt;=26,CHAR(COLUMN(O49)+64),CHAR(INT((COLUMN(O49)-1)/26)+64)&amp;CHAR(MOD(COLUMN(O49)-1,26)+65))&amp;$R33&amp;""),"")</f>
        <v/>
      </c>
    </row>
    <row r="34" spans="1:28" s="51" customFormat="1" ht="22.2" customHeight="1">
      <c r="A34" s="197">
        <f t="shared" si="9"/>
        <v>73</v>
      </c>
      <c r="B34" s="52" t="e">
        <f t="array" aca="1" ref="B34" ca="1">IF(AND(LEFT(C34,2)="博多",
LEFT(INDIRECT("数出表_Excel!A"&amp;MATCH(C34,数出表_Excel!$A:$A,0)-1),2)
=LEFT(INDIRECT("数出表_Excel!A"&amp;MATCH(C34,数出表_Excel!$A:$A,0)+1),2)),"博多",
IF(AND(LEFT(C34,3)="奈良屋",
LEFT(INDIRECT("数出表_Excel!A"&amp;MATCH(C34,数出表_Excel!$A:$A,0)-1),2)
=LEFT(INDIRECT("数出表_Excel!A"&amp;MATCH(C34,数出表_Excel!$A:$A,0)+1),2)),"奈良屋",""))</f>
        <v>#N/A</v>
      </c>
      <c r="C34" s="52" t="str" cm="1">
        <f t="array" aca="1" ref="C34" ca="1">IF(IF(クライアント抽出!A34="",0,LEN(クライアント抽出!V34)-LEN(SUBSTITUTE(クライアント抽出!V34,",","")))&gt;=1,INDIRECT("数出表_Excel!A"&amp;A34&amp;""),"")</f>
        <v/>
      </c>
      <c r="D34" s="52" t="str" cm="1">
        <f t="array" aca="1" ref="D34" ca="1">IF(C34&lt;&gt;"",INDIRECT("クライアント抽出!"&amp;E34&amp;MATCH(C34,クライアント抽出!A:A,0)&amp;""),"")</f>
        <v/>
      </c>
      <c r="E34" s="52" t="str">
        <f ca="1"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t="array" aca="1" ref="F34" ca="1">IF(D34&lt;&gt;"",
IF(COUNTIF(C34,"*雙葉*"),
IF(ROUND(
IF(O34&lt;&gt;"",(H34-O34),H34)
/IF(COUNTIF('盛付札（関数）'!D34,"*キャラ*"),
VLOOKUP("*キャラ*",#REF!,7,FALSE),
IF(COUNTIF('盛付札（関数）'!D34,"*赤*"),
VLOOKUP("*赤*",#REF!,7,FALSE),
VLOOKUP('盛付札（関数）'!D34,#REF!,7,FALSE))),0)&lt;=0,1,
ROUND(
IF(O34&lt;&gt;"",(H34-O34),H34)
/IF(COUNTIF('盛付札（関数）'!D34,"*キャラ*"),
VLOOKUP("*キャラ*",#REF!,7,FALSE),
IF(COUNTIF('盛付札（関数）'!D34,"*赤*"),
VLOOKUP("*赤*",#REF!,7,FALSE),
VLOOKUP('盛付札（関数）'!D34,#REF!,7,FALSE))),0)),
IF(MATCH(TRUE,
ISNUMBER(--INDIRECT("数出表_Excel!B"&amp;MATCH(C34,数出表_Excel!$A:$A,0)-1&amp;":U"&amp;MATCH(C34,数出表_Excel!$A:$A,0)-1&amp;"")),0)&gt;10,
IF(D34&lt;&gt;"",
IF(IF(COUNTIF('盛付札（関数）'!D34,"*キャラ*"),
VLOOKUP("*キャラ*",#REF!,7,FALSE),
IF(COUNTIF('盛付札（関数）'!D34,"*赤*"),
VLOOKUP("*赤*",#REF!,7,FALSE),
VLOOKUP('盛付札（関数）'!D34,#REF!,7,FALSE)))=0,"",
IF(ROUND(
IF(O34&lt;&gt;"",(H34-O34),H34)
/IF(COUNTIF('盛付札（関数）'!D34,"*キャラ*"),
VLOOKUP("*キャラ*",#REF!,7,FALSE),
IF(COUNTIF('盛付札（関数）'!D34,"*赤*"),
VLOOKUP("*赤*",#REF!,7,FALSE),
VLOOKUP('盛付札（関数）'!D34,#REF!,7,FALSE))),0)&lt;=0,1,
ROUND(
IF(O34&lt;&gt;"",(H34-O34),H34)
/IF(COUNTIF('盛付札（関数）'!D34,"*キャラ*"),
VLOOKUP("*キャラ*",#REF!,7,FALSE),
IF(COUNTIF('盛付札（関数）'!D34,"*赤*"),
VLOOKUP("*赤*",#REF!,7,FALSE),
VLOOKUP('盛付札（関数）'!D34,#REF!,7,FALSE))),0))),""),"")),"")</f>
        <v/>
      </c>
      <c r="G34" s="53" t="str">
        <f ca="1">IF(F34&lt;&gt;"",IF(VALUE(IF(O34&lt;&gt;"",H34-O34,H34))&gt;VALUE(IF(COUNTIF('盛付札（関数）'!D34,"*キャラ*"),
VLOOKUP("*キャラ*",#REF!,7,FALSE),
IF(COUNTIF('盛付札（関数）'!D34,"*赤*"),
VLOOKUP("*赤*",#REF!,7,FALSE),
VLOOKUP('盛付札（関数）'!D34,#REF!,7,FALSE)))*F34),
"+"&amp;IF(O34&lt;&gt;"",H34-O34,H34)-IF(COUNTIF('盛付札（関数）'!D34,"*キャラ*"),
VLOOKUP("*キャラ*",#REF!,7,FALSE),
IF(COUNTIF('盛付札（関数）'!D34,"*赤*"),
VLOOKUP("*赤*",#REF!,7,FALSE),
VLOOKUP('盛付札（関数）'!D34,#REF!,7,FALSE)))*F34,
IF(O34&lt;&gt;"",H34-O34,H34)-IF(COUNTIF('盛付札（関数）'!D34,"*キャラ*"),
VLOOKUP("*キャラ*",#REF!,7,FALSE),
IF(COUNTIF('盛付札（関数）'!D34,"*赤*"),
VLOOKUP("*赤*",#REF!,7,FALSE),
VLOOKUP('盛付札（関数）'!D34,#REF!,7,FALSE)))*F34),"")</f>
        <v/>
      </c>
      <c r="H34" s="195" t="str" cm="1">
        <f t="array" aca="1" ref="H34" ca="1">IF(C34&lt;&gt;"",
IF(INDIRECT("数出表_Excel!"&amp;LEFT(クライアント抽出!V34)&amp;A34-1&amp;"")&lt;&gt;"",INDIRECT("数出表_Excel!"&amp;LEFT(クライアント抽出!V34)&amp;A34-1&amp;""),0),"")</f>
        <v/>
      </c>
      <c r="I34" s="52" t="str" cm="1">
        <f t="array" aca="1" ref="I34" ca="1">IF(C34&lt;&gt;"",
IF(INDIRECT("数出表_Excel!"&amp;LEFT(クライアント抽出!V34)&amp;A34&amp;"")&lt;&gt;"",INDIRECT("数出表_Excel!"&amp;LEFT(クライアント抽出!V34)&amp;A34&amp;""),0),"")</f>
        <v/>
      </c>
      <c r="J34" s="52" t="str">
        <f ca="1">IF(C34&lt;&gt;"",
VLOOKUP(
IF(COUNTIF(D34,"*学食*"),"キャラ弁（学食）",
IF(COUNTIF(D34,"*赤*"),"赤",
IF(COUNTIF(D34,"*キャラ弁当*"),"キャラ弁当",D34))),注文弁当の抽出!$E$1:$F$15,2,FALSE),"")</f>
        <v/>
      </c>
      <c r="K34" s="52" t="str">
        <f t="shared" ca="1" si="10"/>
        <v/>
      </c>
      <c r="L34" s="52" t="str">
        <f t="shared" ca="1" si="11"/>
        <v/>
      </c>
      <c r="M34" s="52" cm="1">
        <f t="array" aca="1" ref="M34" ca="1">IF(C34&lt;&gt;"",
IF(IFERROR(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0)&lt;&gt;0,
IF(IFERROR(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"")="",
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""),
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0)),0),0)</f>
        <v>0</v>
      </c>
      <c r="N34" s="52" t="e">
        <f t="array" aca="1" ref="N34" ca="1">IF(B34="博多",
IF(C34&lt;&gt;"",
IF(IFERROR(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0)&lt;&gt;0,
IF(IFERROR(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0)="",
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0),
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0)),0),""),0)</f>
        <v>#N/A</v>
      </c>
      <c r="O34" s="52" t="e">
        <f t="shared" ca="1" si="12"/>
        <v>#N/A</v>
      </c>
      <c r="P34" s="52">
        <f t="shared" ca="1" si="4"/>
        <v>0</v>
      </c>
      <c r="Q34" s="52" t="b">
        <f t="shared" ca="1" si="13"/>
        <v>0</v>
      </c>
      <c r="R34" s="51" t="str" cm="1">
        <f t="array" aca="1" ref="R34" ca="1">IFERROR(SMALL(IF(P$1:P$300&lt;&gt;0,P$1:P$300),ROW(A34)),"")</f>
        <v/>
      </c>
      <c r="S34" s="51" t="str">
        <f t="array" aca="1" ref="S34" ca="1">IF($R34&lt;&gt;"",
INDIRECT(""&amp;IF(COLUMN(C50)&lt;=26,CHAR(COLUMN(C50)+64),CHAR(INT((COLUMN(C50)-1)/26)+64)&amp;CHAR(MOD(COLUMN(C50)-1,26)+65))&amp;$R34&amp;""),"")</f>
        <v/>
      </c>
      <c r="T34" s="51" t="str" cm="1">
        <f t="array" aca="1" ref="T34" ca="1">IF(IF($R34&lt;&gt;"",
INDIRECT(""&amp;IF(COLUMN(D54)&lt;=26,CHAR(COLUMN(D54)+64),CHAR(INT((COLUMN(D54)-1)/26)+64)&amp;CHAR(MOD(COLUMN(D54)-1,26)+65))&amp;$R34&amp;""),"")=0,"",
IF($R34&lt;&gt;"",
INDIRECT(""&amp;IF(COLUMN(D54)&lt;=26,CHAR(COLUMN(D54)+64),CHAR(INT((COLUMN(D54)-1)/26)+64)&amp;CHAR(MOD(COLUMN(D54)-1,26)+65))&amp;$R34&amp;""),""))</f>
        <v/>
      </c>
      <c r="V34" s="51" t="str">
        <f t="array" aca="1" ref="V34" ca="1">IF($R34&lt;&gt;"",
IF(U34="",
IF(INDIRECT("EY"&amp;$R34&amp;"")&lt;&gt;"",
INDIRECT("EY"&amp;$R34&amp;"")&amp;"箱"
&amp;INDIRECT("EZ"&amp;$R34&amp;""),""),""),"")</f>
        <v/>
      </c>
      <c r="W34" s="51" t="str">
        <f t="array" aca="1" ref="W34" ca="1">IF($R34&lt;&gt;"",
INDIRECT(""&amp;IF(COLUMN(H50)&lt;=26,CHAR(COLUMN(H50)+64),CHAR(INT((COLUMN(H50)-1)/26)+64)&amp;CHAR(MOD(COLUMN(H50)-1,26)+65))&amp;$R34&amp;""),"")</f>
        <v/>
      </c>
      <c r="X34" s="51" t="str">
        <f t="array" aca="1" ref="X34" ca="1">IF($R34&lt;&gt;"",
INDIRECT(""&amp;IF(COLUMN(I50)&lt;=26,CHAR(COLUMN(I50)+64),CHAR(INT((COLUMN(I50)-1)/26)+64)&amp;CHAR(MOD(COLUMN(I50)-1,26)+65))&amp;$R34&amp;""),"")</f>
        <v/>
      </c>
      <c r="Y34" s="51" t="str">
        <f t="array" aca="1" ref="Y34" ca="1">IF($R34&lt;&gt;"",
INDIRECT(""&amp;IF(COLUMN(J50)&lt;=26,CHAR(COLUMN(J50)+64),CHAR(INT((COLUMN(J50)-1)/26)+64)&amp;CHAR(MOD(COLUMN(J50)-1,26)+65))&amp;$R34&amp;""),"")</f>
        <v/>
      </c>
      <c r="Z34" s="51" t="str">
        <f t="array" aca="1" ref="Z34" ca="1">IF($R34&lt;&gt;"",
INDIRECT(""&amp;IF(COLUMN(K50)&lt;=26,CHAR(COLUMN(K50)+64),CHAR(INT((COLUMN(K50)-1)/26)+64)&amp;CHAR(MOD(COLUMN(K50)-1,26)+65))&amp;$R34&amp;""),"")</f>
        <v/>
      </c>
      <c r="AA34" s="51" t="str">
        <f t="array" aca="1" ref="AA34" ca="1">IF($R34&lt;&gt;"",
INDIRECT(""&amp;IF(COLUMN(L50)&lt;=26,CHAR(COLUMN(L50)+64),CHAR(INT((COLUMN(L50)-1)/26)+64)&amp;CHAR(MOD(COLUMN(L50)-1,26)+65))&amp;$R34&amp;""),"")</f>
        <v/>
      </c>
      <c r="AB34" s="51" t="str">
        <f t="array" aca="1" ref="AB34" ca="1">IF($R34&lt;&gt;"",
INDIRECT(""&amp;IF(COLUMN(O50)&lt;=26,CHAR(COLUMN(O50)+64),CHAR(INT((COLUMN(O50)-1)/26)+64)&amp;CHAR(MOD(COLUMN(O50)-1,26)+65))&amp;$R34&amp;""),"")</f>
        <v/>
      </c>
    </row>
    <row r="35" spans="1:28" ht="21" customHeight="1">
      <c r="A35" s="197">
        <f t="shared" si="9"/>
        <v>75</v>
      </c>
      <c r="B35" s="52" t="e">
        <f t="array" aca="1" ref="B35" ca="1">IF(AND(LEFT(C35,2)="博多",
LEFT(INDIRECT("数出表_Excel!A"&amp;MATCH(C35,数出表_Excel!$A:$A,0)-1),2)
=LEFT(INDIRECT("数出表_Excel!A"&amp;MATCH(C35,数出表_Excel!$A:$A,0)+1),2)),"博多",
IF(AND(LEFT(C35,3)="奈良屋",
LEFT(INDIRECT("数出表_Excel!A"&amp;MATCH(C35,数出表_Excel!$A:$A,0)-1),2)
=LEFT(INDIRECT("数出表_Excel!A"&amp;MATCH(C35,数出表_Excel!$A:$A,0)+1),2)),"奈良屋",""))</f>
        <v>#N/A</v>
      </c>
      <c r="C35" s="52" t="str" cm="1">
        <f t="array" aca="1" ref="C35" ca="1">IF(IF(クライアント抽出!A35="",0,LEN(クライアント抽出!V35)-LEN(SUBSTITUTE(クライアント抽出!V35,",","")))&gt;=1,INDIRECT("数出表_Excel!A"&amp;A35&amp;""),"")</f>
        <v/>
      </c>
      <c r="D35" s="52" t="str" cm="1">
        <f t="array" aca="1" ref="D35" ca="1">IF(C35&lt;&gt;"",INDIRECT("クライアント抽出!"&amp;E35&amp;MATCH(C35,クライアント抽出!A:A,0)&amp;""),"")</f>
        <v/>
      </c>
      <c r="E35" s="52" t="str">
        <f ca="1"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t="array" aca="1" ref="F35" ca="1">IF(D35&lt;&gt;"",
IF(COUNTIF(C35,"*雙葉*"),
IF(ROUND(
IF(O35&lt;&gt;"",(H35-O35),H35)
/IF(COUNTIF('盛付札（関数）'!D35,"*キャラ*"),
VLOOKUP("*キャラ*",#REF!,7,FALSE),
IF(COUNTIF('盛付札（関数）'!D35,"*赤*"),
VLOOKUP("*赤*",#REF!,7,FALSE),
VLOOKUP('盛付札（関数）'!D35,#REF!,7,FALSE))),0)&lt;=0,1,
ROUND(
IF(O35&lt;&gt;"",(H35-O35),H35)
/IF(COUNTIF('盛付札（関数）'!D35,"*キャラ*"),
VLOOKUP("*キャラ*",#REF!,7,FALSE),
IF(COUNTIF('盛付札（関数）'!D35,"*赤*"),
VLOOKUP("*赤*",#REF!,7,FALSE),
VLOOKUP('盛付札（関数）'!D35,#REF!,7,FALSE))),0)),
IF(MATCH(TRUE,
ISNUMBER(--INDIRECT("数出表_Excel!B"&amp;MATCH(C35,数出表_Excel!$A:$A,0)-1&amp;":U"&amp;MATCH(C35,数出表_Excel!$A:$A,0)-1&amp;"")),0)&gt;10,
IF(D35&lt;&gt;"",
IF(IF(COUNTIF('盛付札（関数）'!D35,"*キャラ*"),
VLOOKUP("*キャラ*",#REF!,7,FALSE),
IF(COUNTIF('盛付札（関数）'!D35,"*赤*"),
VLOOKUP("*赤*",#REF!,7,FALSE),
VLOOKUP('盛付札（関数）'!D35,#REF!,7,FALSE)))=0,"",
IF(ROUND(
IF(O35&lt;&gt;"",(H35-O35),H35)
/IF(COUNTIF('盛付札（関数）'!D35,"*キャラ*"),
VLOOKUP("*キャラ*",#REF!,7,FALSE),
IF(COUNTIF('盛付札（関数）'!D35,"*赤*"),
VLOOKUP("*赤*",#REF!,7,FALSE),
VLOOKUP('盛付札（関数）'!D35,#REF!,7,FALSE))),0)&lt;=0,1,
ROUND(
IF(O35&lt;&gt;"",(H35-O35),H35)
/IF(COUNTIF('盛付札（関数）'!D35,"*キャラ*"),
VLOOKUP("*キャラ*",#REF!,7,FALSE),
IF(COUNTIF('盛付札（関数）'!D35,"*赤*"),
VLOOKUP("*赤*",#REF!,7,FALSE),
VLOOKUP('盛付札（関数）'!D35,#REF!,7,FALSE))),0))),""),"")),"")</f>
        <v/>
      </c>
      <c r="G35" s="53" t="str">
        <f ca="1">IF(F35&lt;&gt;"",IF(VALUE(IF(O35&lt;&gt;"",H35-O35,H35))&gt;VALUE(IF(COUNTIF('盛付札（関数）'!D35,"*キャラ*"),
VLOOKUP("*キャラ*",#REF!,7,FALSE),
IF(COUNTIF('盛付札（関数）'!D35,"*赤*"),
VLOOKUP("*赤*",#REF!,7,FALSE),
VLOOKUP('盛付札（関数）'!D35,#REF!,7,FALSE)))*F35),
"+"&amp;IF(O35&lt;&gt;"",H35-O35,H35)-IF(COUNTIF('盛付札（関数）'!D35,"*キャラ*"),
VLOOKUP("*キャラ*",#REF!,7,FALSE),
IF(COUNTIF('盛付札（関数）'!D35,"*赤*"),
VLOOKUP("*赤*",#REF!,7,FALSE),
VLOOKUP('盛付札（関数）'!D35,#REF!,7,FALSE)))*F35,
IF(O35&lt;&gt;"",H35-O35,H35)-IF(COUNTIF('盛付札（関数）'!D35,"*キャラ*"),
VLOOKUP("*キャラ*",#REF!,7,FALSE),
IF(COUNTIF('盛付札（関数）'!D35,"*赤*"),
VLOOKUP("*赤*",#REF!,7,FALSE),
VLOOKUP('盛付札（関数）'!D35,#REF!,7,FALSE)))*F35),"")</f>
        <v/>
      </c>
      <c r="H35" s="195" t="str" cm="1">
        <f t="array" aca="1" ref="H35" ca="1">IF(C35&lt;&gt;"",
IF(INDIRECT("数出表_Excel!"&amp;LEFT(クライアント抽出!V35)&amp;A35-1&amp;"")&lt;&gt;"",INDIRECT("数出表_Excel!"&amp;LEFT(クライアント抽出!V35)&amp;A35-1&amp;""),0),"")</f>
        <v/>
      </c>
      <c r="I35" s="52" t="str" cm="1">
        <f t="array" aca="1" ref="I35" ca="1">IF(C35&lt;&gt;"",
IF(INDIRECT("数出表_Excel!"&amp;LEFT(クライアント抽出!V35)&amp;A35&amp;"")&lt;&gt;"",INDIRECT("数出表_Excel!"&amp;LEFT(クライアント抽出!V35)&amp;A35&amp;""),0),"")</f>
        <v/>
      </c>
      <c r="J35" s="52" t="str">
        <f ca="1">IF(C35&lt;&gt;"",
VLOOKUP(
IF(COUNTIF(D35,"*学食*"),"キャラ弁（学食）",
IF(COUNTIF(D35,"*赤*"),"赤",
IF(COUNTIF(D35,"*キャラ弁当*"),"キャラ弁当",D35))),注文弁当の抽出!$E$1:$F$15,2,FALSE),"")</f>
        <v/>
      </c>
      <c r="K35" s="52" t="str">
        <f t="shared" ca="1" si="10"/>
        <v/>
      </c>
      <c r="L35" s="52" t="str">
        <f t="shared" ca="1" si="11"/>
        <v/>
      </c>
      <c r="M35" s="52" cm="1">
        <f t="array" aca="1" ref="M35" ca="1">IF(C35&lt;&gt;"",
IF(IFERROR(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0)&lt;&gt;0,
IF(IFERROR(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"")="",
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""),
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0)),0),0)</f>
        <v>0</v>
      </c>
      <c r="N35" s="52" t="e">
        <f t="array" aca="1" ref="N35" ca="1">IF(B35="博多",
IF(C35&lt;&gt;"",
IF(IFERROR(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0)&lt;&gt;0,
IF(IFERROR(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0)="",
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0),
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0)),0),""),0)</f>
        <v>#N/A</v>
      </c>
      <c r="O35" s="52" t="e">
        <f t="shared" ca="1" si="12"/>
        <v>#N/A</v>
      </c>
      <c r="P35" s="52">
        <f t="shared" ca="1" si="4"/>
        <v>0</v>
      </c>
      <c r="Q35" s="52" t="b">
        <f t="shared" ca="1" si="13"/>
        <v>0</v>
      </c>
      <c r="R35" s="51" t="str" cm="1">
        <f t="array" aca="1" ref="R35" ca="1">IFERROR(SMALL(IF(P$1:P$300&lt;&gt;0,P$1:P$300),ROW(A35)),"")</f>
        <v/>
      </c>
      <c r="S35" s="51" t="str">
        <f t="array" aca="1" ref="S35" ca="1">IF($R35&lt;&gt;"",
INDIRECT(""&amp;IF(COLUMN(C52)&lt;=26,CHAR(COLUMN(C52)+64),CHAR(INT((COLUMN(C52)-1)/26)+64)&amp;CHAR(MOD(COLUMN(C52)-1,26)+65))&amp;$R35&amp;""),"")</f>
        <v/>
      </c>
      <c r="T35" s="51" t="str" cm="1">
        <f t="array" aca="1" ref="T35" ca="1">IF(IF($R35&lt;&gt;"",
INDIRECT(""&amp;IF(COLUMN(D55)&lt;=26,CHAR(COLUMN(D55)+64),CHAR(INT((COLUMN(D55)-1)/26)+64)&amp;CHAR(MOD(COLUMN(D55)-1,26)+65))&amp;$R35&amp;""),"")=0,"",
IF($R35&lt;&gt;"",
INDIRECT(""&amp;IF(COLUMN(D55)&lt;=26,CHAR(COLUMN(D55)+64),CHAR(INT((COLUMN(D55)-1)/26)+64)&amp;CHAR(MOD(COLUMN(D55)-1,26)+65))&amp;$R35&amp;""),""))</f>
        <v/>
      </c>
      <c r="U35" s="51"/>
      <c r="V35" s="51" t="str">
        <f t="array" aca="1" ref="V35" ca="1">IF($R35&lt;&gt;"",
IF(U35="",
IF(INDIRECT("EY"&amp;$R35&amp;"")&lt;&gt;"",
INDIRECT("EY"&amp;$R35&amp;"")&amp;"箱"
&amp;INDIRECT("EZ"&amp;$R35&amp;""),""),""),"")</f>
        <v/>
      </c>
      <c r="W35" s="51" t="str">
        <f t="array" aca="1" ref="W35" ca="1">IF($R35&lt;&gt;"",
INDIRECT(""&amp;IF(COLUMN(H52)&lt;=26,CHAR(COLUMN(H52)+64),CHAR(INT((COLUMN(H52)-1)/26)+64)&amp;CHAR(MOD(COLUMN(H52)-1,26)+65))&amp;$R35&amp;""),"")</f>
        <v/>
      </c>
      <c r="X35" s="51" t="str">
        <f t="array" aca="1" ref="X35" ca="1">IF($R35&lt;&gt;"",
INDIRECT(""&amp;IF(COLUMN(I52)&lt;=26,CHAR(COLUMN(I52)+64),CHAR(INT((COLUMN(I52)-1)/26)+64)&amp;CHAR(MOD(COLUMN(I52)-1,26)+65))&amp;$R35&amp;""),"")</f>
        <v/>
      </c>
      <c r="Y35" s="51" t="str">
        <f t="array" aca="1" ref="Y35" ca="1">IF($R35&lt;&gt;"",
INDIRECT(""&amp;IF(COLUMN(J52)&lt;=26,CHAR(COLUMN(J52)+64),CHAR(INT((COLUMN(J52)-1)/26)+64)&amp;CHAR(MOD(COLUMN(J52)-1,26)+65))&amp;$R35&amp;""),"")</f>
        <v/>
      </c>
      <c r="Z35" s="51" t="str">
        <f t="array" aca="1" ref="Z35" ca="1">IF($R35&lt;&gt;"",
INDIRECT(""&amp;IF(COLUMN(K52)&lt;=26,CHAR(COLUMN(K52)+64),CHAR(INT((COLUMN(K52)-1)/26)+64)&amp;CHAR(MOD(COLUMN(K52)-1,26)+65))&amp;$R35&amp;""),"")</f>
        <v/>
      </c>
      <c r="AA35" s="51" t="str">
        <f t="array" aca="1" ref="AA35" ca="1">IF($R35&lt;&gt;"",
INDIRECT(""&amp;IF(COLUMN(L52)&lt;=26,CHAR(COLUMN(L52)+64),CHAR(INT((COLUMN(L52)-1)/26)+64)&amp;CHAR(MOD(COLUMN(L52)-1,26)+65))&amp;$R35&amp;""),"")</f>
        <v/>
      </c>
      <c r="AB35" s="51" t="str">
        <f t="array" aca="1" ref="AB35" ca="1">IF($R35&lt;&gt;"",
INDIRECT(""&amp;IF(COLUMN(O52)&lt;=26,CHAR(COLUMN(O52)+64),CHAR(INT((COLUMN(O52)-1)/26)+64)&amp;CHAR(MOD(COLUMN(O52)-1,26)+65))&amp;$R35&amp;""),"")</f>
        <v/>
      </c>
    </row>
    <row r="36" spans="1:28" s="51" customFormat="1" ht="19.2" customHeight="1">
      <c r="A36" s="197">
        <f t="shared" si="9"/>
        <v>77</v>
      </c>
      <c r="B36" s="52" t="e">
        <f t="array" aca="1" ref="B36" ca="1">IF(AND(LEFT(C36,2)="博多",
LEFT(INDIRECT("数出表_Excel!A"&amp;MATCH(C36,数出表_Excel!$A:$A,0)-1),2)
=LEFT(INDIRECT("数出表_Excel!A"&amp;MATCH(C36,数出表_Excel!$A:$A,0)+1),2)),"博多",
IF(AND(LEFT(C36,3)="奈良屋",
LEFT(INDIRECT("数出表_Excel!A"&amp;MATCH(C36,数出表_Excel!$A:$A,0)-1),2)
=LEFT(INDIRECT("数出表_Excel!A"&amp;MATCH(C36,数出表_Excel!$A:$A,0)+1),2)),"奈良屋",""))</f>
        <v>#N/A</v>
      </c>
      <c r="C36" s="52" t="str" cm="1">
        <f t="array" aca="1" ref="C36" ca="1">IF(IF(クライアント抽出!A36="",0,LEN(クライアント抽出!V36)-LEN(SUBSTITUTE(クライアント抽出!V36,",","")))&gt;=1,INDIRECT("数出表_Excel!A"&amp;A36&amp;""),"")</f>
        <v/>
      </c>
      <c r="D36" s="52" t="str" cm="1">
        <f t="array" aca="1" ref="D36" ca="1">IF(C36&lt;&gt;"",INDIRECT("クライアント抽出!"&amp;E36&amp;MATCH(C36,クライアント抽出!A:A,0)&amp;""),"")</f>
        <v/>
      </c>
      <c r="E36" s="52" t="str">
        <f ca="1"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t="array" aca="1" ref="F36" ca="1">IF(D36&lt;&gt;"",
IF(COUNTIF(C36,"*雙葉*"),
IF(ROUND(
IF(O36&lt;&gt;"",(H36-O36),H36)
/IF(COUNTIF('盛付札（関数）'!D36,"*キャラ*"),
VLOOKUP("*キャラ*",#REF!,7,FALSE),
IF(COUNTIF('盛付札（関数）'!D36,"*赤*"),
VLOOKUP("*赤*",#REF!,7,FALSE),
VLOOKUP('盛付札（関数）'!D36,#REF!,7,FALSE))),0)&lt;=0,1,
ROUND(
IF(O36&lt;&gt;"",(H36-O36),H36)
/IF(COUNTIF('盛付札（関数）'!D36,"*キャラ*"),
VLOOKUP("*キャラ*",#REF!,7,FALSE),
IF(COUNTIF('盛付札（関数）'!D36,"*赤*"),
VLOOKUP("*赤*",#REF!,7,FALSE),
VLOOKUP('盛付札（関数）'!D36,#REF!,7,FALSE))),0)),
IF(MATCH(TRUE,
ISNUMBER(--INDIRECT("数出表_Excel!B"&amp;MATCH(C36,数出表_Excel!$A:$A,0)-1&amp;":U"&amp;MATCH(C36,数出表_Excel!$A:$A,0)-1&amp;"")),0)&gt;10,
IF(D36&lt;&gt;"",
IF(IF(COUNTIF('盛付札（関数）'!D36,"*キャラ*"),
VLOOKUP("*キャラ*",#REF!,7,FALSE),
IF(COUNTIF('盛付札（関数）'!D36,"*赤*"),
VLOOKUP("*赤*",#REF!,7,FALSE),
VLOOKUP('盛付札（関数）'!D36,#REF!,7,FALSE)))=0,"",
IF(ROUND(
IF(O36&lt;&gt;"",(H36-O36),H36)
/IF(COUNTIF('盛付札（関数）'!D36,"*キャラ*"),
VLOOKUP("*キャラ*",#REF!,7,FALSE),
IF(COUNTIF('盛付札（関数）'!D36,"*赤*"),
VLOOKUP("*赤*",#REF!,7,FALSE),
VLOOKUP('盛付札（関数）'!D36,#REF!,7,FALSE))),0)&lt;=0,1,
ROUND(
IF(O36&lt;&gt;"",(H36-O36),H36)
/IF(COUNTIF('盛付札（関数）'!D36,"*キャラ*"),
VLOOKUP("*キャラ*",#REF!,7,FALSE),
IF(COUNTIF('盛付札（関数）'!D36,"*赤*"),
VLOOKUP("*赤*",#REF!,7,FALSE),
VLOOKUP('盛付札（関数）'!D36,#REF!,7,FALSE))),0))),""),"")),"")</f>
        <v/>
      </c>
      <c r="G36" s="53" t="str">
        <f ca="1">IF(F36&lt;&gt;"",IF(VALUE(IF(O36&lt;&gt;"",H36-O36,H36))&gt;VALUE(IF(COUNTIF('盛付札（関数）'!D36,"*キャラ*"),
VLOOKUP("*キャラ*",#REF!,7,FALSE),
IF(COUNTIF('盛付札（関数）'!D36,"*赤*"),
VLOOKUP("*赤*",#REF!,7,FALSE),
VLOOKUP('盛付札（関数）'!D36,#REF!,7,FALSE)))*F36),
"+"&amp;IF(O36&lt;&gt;"",H36-O36,H36)-IF(COUNTIF('盛付札（関数）'!D36,"*キャラ*"),
VLOOKUP("*キャラ*",#REF!,7,FALSE),
IF(COUNTIF('盛付札（関数）'!D36,"*赤*"),
VLOOKUP("*赤*",#REF!,7,FALSE),
VLOOKUP('盛付札（関数）'!D36,#REF!,7,FALSE)))*F36,
IF(O36&lt;&gt;"",H36-O36,H36)-IF(COUNTIF('盛付札（関数）'!D36,"*キャラ*"),
VLOOKUP("*キャラ*",#REF!,7,FALSE),
IF(COUNTIF('盛付札（関数）'!D36,"*赤*"),
VLOOKUP("*赤*",#REF!,7,FALSE),
VLOOKUP('盛付札（関数）'!D36,#REF!,7,FALSE)))*F36),"")</f>
        <v/>
      </c>
      <c r="H36" s="195" t="str" cm="1">
        <f t="array" aca="1" ref="H36" ca="1">IF(C36&lt;&gt;"",
IF(INDIRECT("数出表_Excel!"&amp;LEFT(クライアント抽出!V36)&amp;A36-1&amp;"")&lt;&gt;"",INDIRECT("数出表_Excel!"&amp;LEFT(クライアント抽出!V36)&amp;A36-1&amp;""),0),"")</f>
        <v/>
      </c>
      <c r="I36" s="52" t="str" cm="1">
        <f t="array" aca="1" ref="I36" ca="1">IF(C36&lt;&gt;"",
IF(INDIRECT("数出表_Excel!"&amp;LEFT(クライアント抽出!V36)&amp;A36&amp;"")&lt;&gt;"",INDIRECT("数出表_Excel!"&amp;LEFT(クライアント抽出!V36)&amp;A36&amp;""),0),"")</f>
        <v/>
      </c>
      <c r="J36" s="52" t="str">
        <f ca="1">IF(C36&lt;&gt;"",
VLOOKUP(
IF(COUNTIF(D36,"*学食*"),"キャラ弁（学食）",
IF(COUNTIF(D36,"*赤*"),"赤",
IF(COUNTIF(D36,"*キャラ弁当*"),"キャラ弁当",D36))),注文弁当の抽出!$E$1:$F$15,2,FALSE),"")</f>
        <v/>
      </c>
      <c r="K36" s="52" t="str">
        <f t="shared" ca="1" si="10"/>
        <v/>
      </c>
      <c r="L36" s="52" t="str">
        <f t="shared" ca="1" si="11"/>
        <v/>
      </c>
      <c r="M36" s="52" cm="1">
        <f t="array" aca="1" ref="M36" ca="1">IF(C36&lt;&gt;"",
IF(IFERROR(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0)&lt;&gt;0,
IF(IFERROR(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"")="",
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""),
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0)),0),0)</f>
        <v>0</v>
      </c>
      <c r="N36" s="52" t="e">
        <f t="array" aca="1" ref="N36" ca="1">IF(B36="博多",
IF(C36&lt;&gt;"",
IF(IFERROR(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0)&lt;&gt;0,
IF(IFERROR(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0)="",
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0),
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0)),0),""),0)</f>
        <v>#N/A</v>
      </c>
      <c r="O36" s="52" t="e">
        <f t="shared" ca="1" si="12"/>
        <v>#N/A</v>
      </c>
      <c r="P36" s="52">
        <f t="shared" ca="1" si="4"/>
        <v>0</v>
      </c>
      <c r="Q36" s="52" t="b">
        <f t="shared" ca="1" si="13"/>
        <v>0</v>
      </c>
      <c r="R36" s="51" t="str" cm="1">
        <f t="array" aca="1" ref="R36" ca="1">IFERROR(SMALL(IF(P$1:P$300&lt;&gt;0,P$1:P$300),ROW(A36)),"")</f>
        <v/>
      </c>
      <c r="S36" s="51" t="str">
        <f t="array" aca="1" ref="S36" ca="1">IF($R36&lt;&gt;"",
INDIRECT(""&amp;IF(COLUMN(C53)&lt;=26,CHAR(COLUMN(C53)+64),CHAR(INT((COLUMN(C53)-1)/26)+64)&amp;CHAR(MOD(COLUMN(C53)-1,26)+65))&amp;$R36&amp;""),"")</f>
        <v/>
      </c>
      <c r="T36" s="51" t="str" cm="1">
        <f t="array" aca="1" ref="T36" ca="1">IF(IF($R36&lt;&gt;"",
INDIRECT(""&amp;IF(COLUMN(D56)&lt;=26,CHAR(COLUMN(D56)+64),CHAR(INT((COLUMN(D56)-1)/26)+64)&amp;CHAR(MOD(COLUMN(D56)-1,26)+65))&amp;$R36&amp;""),"")=0,"",
IF($R36&lt;&gt;"",
INDIRECT(""&amp;IF(COLUMN(D56)&lt;=26,CHAR(COLUMN(D56)+64),CHAR(INT((COLUMN(D56)-1)/26)+64)&amp;CHAR(MOD(COLUMN(D56)-1,26)+65))&amp;$R36&amp;""),""))</f>
        <v/>
      </c>
      <c r="V36" s="51" t="str">
        <f t="array" aca="1" ref="V36" ca="1">IF($R36&lt;&gt;"",
IF(U36="",
IF(INDIRECT("EY"&amp;$R36&amp;"")&lt;&gt;"",
INDIRECT("EY"&amp;$R36&amp;"")&amp;"箱"
&amp;INDIRECT("EZ"&amp;$R36&amp;""),""),""),"")</f>
        <v/>
      </c>
      <c r="W36" s="51" t="str">
        <f t="array" aca="1" ref="W36" ca="1">IF($R36&lt;&gt;"",
INDIRECT(""&amp;IF(COLUMN(H53)&lt;=26,CHAR(COLUMN(H53)+64),CHAR(INT((COLUMN(H53)-1)/26)+64)&amp;CHAR(MOD(COLUMN(H53)-1,26)+65))&amp;$R36&amp;""),"")</f>
        <v/>
      </c>
      <c r="X36" s="51" t="str">
        <f t="array" aca="1" ref="X36" ca="1">IF($R36&lt;&gt;"",
INDIRECT(""&amp;IF(COLUMN(I53)&lt;=26,CHAR(COLUMN(I53)+64),CHAR(INT((COLUMN(I53)-1)/26)+64)&amp;CHAR(MOD(COLUMN(I53)-1,26)+65))&amp;$R36&amp;""),"")</f>
        <v/>
      </c>
      <c r="Y36" s="51" t="str">
        <f t="array" aca="1" ref="Y36" ca="1">IF($R36&lt;&gt;"",
INDIRECT(""&amp;IF(COLUMN(J53)&lt;=26,CHAR(COLUMN(J53)+64),CHAR(INT((COLUMN(J53)-1)/26)+64)&amp;CHAR(MOD(COLUMN(J53)-1,26)+65))&amp;$R36&amp;""),"")</f>
        <v/>
      </c>
      <c r="Z36" s="51" t="str">
        <f t="array" aca="1" ref="Z36" ca="1">IF($R36&lt;&gt;"",
INDIRECT(""&amp;IF(COLUMN(K53)&lt;=26,CHAR(COLUMN(K53)+64),CHAR(INT((COLUMN(K53)-1)/26)+64)&amp;CHAR(MOD(COLUMN(K53)-1,26)+65))&amp;$R36&amp;""),"")</f>
        <v/>
      </c>
      <c r="AA36" s="51" t="str">
        <f t="array" aca="1" ref="AA36" ca="1">IF($R36&lt;&gt;"",
INDIRECT(""&amp;IF(COLUMN(L53)&lt;=26,CHAR(COLUMN(L53)+64),CHAR(INT((COLUMN(L53)-1)/26)+64)&amp;CHAR(MOD(COLUMN(L53)-1,26)+65))&amp;$R36&amp;""),"")</f>
        <v/>
      </c>
      <c r="AB36" s="51" t="str">
        <f t="array" aca="1" ref="AB36" ca="1">IF($R36&lt;&gt;"",
INDIRECT(""&amp;IF(COLUMN(O53)&lt;=26,CHAR(COLUMN(O53)+64),CHAR(INT((COLUMN(O53)-1)/26)+64)&amp;CHAR(MOD(COLUMN(O53)-1,26)+65))&amp;$R36&amp;""),"")</f>
        <v/>
      </c>
    </row>
    <row r="37" spans="1:28" s="51" customFormat="1" ht="19.2" customHeight="1">
      <c r="A37" s="197">
        <f t="shared" si="9"/>
        <v>79</v>
      </c>
      <c r="B37" s="52" t="e">
        <f t="array" aca="1" ref="B37" ca="1">IF(AND(LEFT(C37,2)="博多",
LEFT(INDIRECT("数出表_Excel!A"&amp;MATCH(C37,数出表_Excel!$A:$A,0)-1),2)
=LEFT(INDIRECT("数出表_Excel!A"&amp;MATCH(C37,数出表_Excel!$A:$A,0)+1),2)),"博多",
IF(AND(LEFT(C37,3)="奈良屋",
LEFT(INDIRECT("数出表_Excel!A"&amp;MATCH(C37,数出表_Excel!$A:$A,0)-1),2)
=LEFT(INDIRECT("数出表_Excel!A"&amp;MATCH(C37,数出表_Excel!$A:$A,0)+1),2)),"奈良屋",""))</f>
        <v>#N/A</v>
      </c>
      <c r="C37" s="52" t="str" cm="1">
        <f t="array" aca="1" ref="C37" ca="1">IF(IF(クライアント抽出!A37="",0,LEN(クライアント抽出!V37)-LEN(SUBSTITUTE(クライアント抽出!V37,",","")))&gt;=1,INDIRECT("数出表_Excel!A"&amp;A37&amp;""),"")</f>
        <v/>
      </c>
      <c r="D37" s="52" t="str" cm="1">
        <f t="array" aca="1" ref="D37" ca="1">IF(C37&lt;&gt;"",INDIRECT("クライアント抽出!"&amp;E37&amp;MATCH(C37,クライアント抽出!A:A,0)&amp;""),"")</f>
        <v/>
      </c>
      <c r="E37" s="52" t="str">
        <f ca="1"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t="array" aca="1" ref="F37" ca="1">IF(D37&lt;&gt;"",
IF(COUNTIF(C37,"*雙葉*"),
IF(ROUND(
IF(O37&lt;&gt;"",(H37-O37),H37)
/IF(COUNTIF('盛付札（関数）'!D37,"*キャラ*"),
VLOOKUP("*キャラ*",#REF!,7,FALSE),
IF(COUNTIF('盛付札（関数）'!D37,"*赤*"),
VLOOKUP("*赤*",#REF!,7,FALSE),
VLOOKUP('盛付札（関数）'!D37,#REF!,7,FALSE))),0)&lt;=0,1,
ROUND(
IF(O37&lt;&gt;"",(H37-O37),H37)
/IF(COUNTIF('盛付札（関数）'!D37,"*キャラ*"),
VLOOKUP("*キャラ*",#REF!,7,FALSE),
IF(COUNTIF('盛付札（関数）'!D37,"*赤*"),
VLOOKUP("*赤*",#REF!,7,FALSE),
VLOOKUP('盛付札（関数）'!D37,#REF!,7,FALSE))),0)),
IF(MATCH(TRUE,
ISNUMBER(--INDIRECT("数出表_Excel!B"&amp;MATCH(C37,数出表_Excel!$A:$A,0)-1&amp;":U"&amp;MATCH(C37,数出表_Excel!$A:$A,0)-1&amp;"")),0)&gt;10,
IF(D37&lt;&gt;"",
IF(IF(COUNTIF('盛付札（関数）'!D37,"*キャラ*"),
VLOOKUP("*キャラ*",#REF!,7,FALSE),
IF(COUNTIF('盛付札（関数）'!D37,"*赤*"),
VLOOKUP("*赤*",#REF!,7,FALSE),
VLOOKUP('盛付札（関数）'!D37,#REF!,7,FALSE)))=0,"",
IF(ROUND(
IF(O37&lt;&gt;"",(H37-O37),H37)
/IF(COUNTIF('盛付札（関数）'!D37,"*キャラ*"),
VLOOKUP("*キャラ*",#REF!,7,FALSE),
IF(COUNTIF('盛付札（関数）'!D37,"*赤*"),
VLOOKUP("*赤*",#REF!,7,FALSE),
VLOOKUP('盛付札（関数）'!D37,#REF!,7,FALSE))),0)&lt;=0,1,
ROUND(
IF(O37&lt;&gt;"",(H37-O37),H37)
/IF(COUNTIF('盛付札（関数）'!D37,"*キャラ*"),
VLOOKUP("*キャラ*",#REF!,7,FALSE),
IF(COUNTIF('盛付札（関数）'!D37,"*赤*"),
VLOOKUP("*赤*",#REF!,7,FALSE),
VLOOKUP('盛付札（関数）'!D37,#REF!,7,FALSE))),0))),""),"")),"")</f>
        <v/>
      </c>
      <c r="G37" s="53" t="str">
        <f ca="1">IF(F37&lt;&gt;"",IF(VALUE(IF(O37&lt;&gt;"",H37-O37,H37))&gt;VALUE(IF(COUNTIF('盛付札（関数）'!D37,"*キャラ*"),
VLOOKUP("*キャラ*",#REF!,7,FALSE),
IF(COUNTIF('盛付札（関数）'!D37,"*赤*"),
VLOOKUP("*赤*",#REF!,7,FALSE),
VLOOKUP('盛付札（関数）'!D37,#REF!,7,FALSE)))*F37),
"+"&amp;IF(O37&lt;&gt;"",H37-O37,H37)-IF(COUNTIF('盛付札（関数）'!D37,"*キャラ*"),
VLOOKUP("*キャラ*",#REF!,7,FALSE),
IF(COUNTIF('盛付札（関数）'!D37,"*赤*"),
VLOOKUP("*赤*",#REF!,7,FALSE),
VLOOKUP('盛付札（関数）'!D37,#REF!,7,FALSE)))*F37,
IF(O37&lt;&gt;"",H37-O37,H37)-IF(COUNTIF('盛付札（関数）'!D37,"*キャラ*"),
VLOOKUP("*キャラ*",#REF!,7,FALSE),
IF(COUNTIF('盛付札（関数）'!D37,"*赤*"),
VLOOKUP("*赤*",#REF!,7,FALSE),
VLOOKUP('盛付札（関数）'!D37,#REF!,7,FALSE)))*F37),"")</f>
        <v/>
      </c>
      <c r="H37" s="195" t="str" cm="1">
        <f t="array" aca="1" ref="H37" ca="1">IF(C37&lt;&gt;"",
IF(INDIRECT("数出表_Excel!"&amp;LEFT(クライアント抽出!V37)&amp;A37-1&amp;"")&lt;&gt;"",INDIRECT("数出表_Excel!"&amp;LEFT(クライアント抽出!V37)&amp;A37-1&amp;""),0),"")</f>
        <v/>
      </c>
      <c r="I37" s="52" t="str" cm="1">
        <f t="array" aca="1" ref="I37" ca="1">IF(C37&lt;&gt;"",
IF(INDIRECT("数出表_Excel!"&amp;LEFT(クライアント抽出!V37)&amp;A37&amp;"")&lt;&gt;"",INDIRECT("数出表_Excel!"&amp;LEFT(クライアント抽出!V37)&amp;A37&amp;""),0),"")</f>
        <v/>
      </c>
      <c r="J37" s="52" t="str">
        <f ca="1">IF(C37&lt;&gt;"",
VLOOKUP(
IF(COUNTIF(D37,"*学食*"),"キャラ弁（学食）",
IF(COUNTIF(D37,"*赤*"),"赤",
IF(COUNTIF(D37,"*キャラ弁当*"),"キャラ弁当",D37))),注文弁当の抽出!$E$1:$F$15,2,FALSE),"")</f>
        <v/>
      </c>
      <c r="K37" s="52" t="str">
        <f t="shared" ca="1" si="10"/>
        <v/>
      </c>
      <c r="L37" s="52" t="str">
        <f t="shared" ca="1" si="11"/>
        <v/>
      </c>
      <c r="M37" s="52" cm="1">
        <f t="array" aca="1" ref="M37" ca="1">IF(C37&lt;&gt;"",
IF(IFERROR(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0)&lt;&gt;0,
IF(IFERROR(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"")="",
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""),
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0)),0),0)</f>
        <v>0</v>
      </c>
      <c r="N37" s="52" t="e">
        <f t="array" aca="1" ref="N37" ca="1">IF(B37="博多",
IF(C37&lt;&gt;"",
IF(IFERROR(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0)&lt;&gt;0,
IF(IFERROR(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0)="",
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0),
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0)),0),""),0)</f>
        <v>#N/A</v>
      </c>
      <c r="O37" s="52" t="e">
        <f t="shared" ca="1" si="12"/>
        <v>#N/A</v>
      </c>
      <c r="P37" s="52">
        <f t="shared" ca="1" si="4"/>
        <v>0</v>
      </c>
      <c r="Q37" s="52" t="b">
        <f t="shared" ca="1" si="13"/>
        <v>0</v>
      </c>
      <c r="R37" s="51" t="str" cm="1">
        <f t="array" aca="1" ref="R37" ca="1">IFERROR(SMALL(IF(P$1:P$300&lt;&gt;0,P$1:P$300),ROW(A37)),"")</f>
        <v/>
      </c>
      <c r="S37" s="51" t="str">
        <f t="array" aca="1" ref="S37" ca="1">IF($R37&lt;&gt;"",
INDIRECT(""&amp;IF(COLUMN(C55)&lt;=26,CHAR(COLUMN(C55)+64),CHAR(INT((COLUMN(C55)-1)/26)+64)&amp;CHAR(MOD(COLUMN(C55)-1,26)+65))&amp;$R37&amp;""),"")</f>
        <v/>
      </c>
      <c r="T37" s="51" t="str" cm="1">
        <f t="array" aca="1" ref="T37" ca="1">IF(IF($R37&lt;&gt;"",
INDIRECT(""&amp;IF(COLUMN(D57)&lt;=26,CHAR(COLUMN(D57)+64),CHAR(INT((COLUMN(D57)-1)/26)+64)&amp;CHAR(MOD(COLUMN(D57)-1,26)+65))&amp;$R37&amp;""),"")=0,"",
IF($R37&lt;&gt;"",
INDIRECT(""&amp;IF(COLUMN(D57)&lt;=26,CHAR(COLUMN(D57)+64),CHAR(INT((COLUMN(D57)-1)/26)+64)&amp;CHAR(MOD(COLUMN(D57)-1,26)+65))&amp;$R37&amp;""),""))</f>
        <v/>
      </c>
      <c r="V37" s="51" t="str">
        <f t="array" aca="1" ref="V37" ca="1">IF($R37&lt;&gt;"",
IF(U37="",
IF(INDIRECT("EY"&amp;$R37&amp;"")&lt;&gt;"",
INDIRECT("EY"&amp;$R37&amp;"")&amp;"箱"
&amp;INDIRECT("EZ"&amp;$R37&amp;""),""),""),"")</f>
        <v/>
      </c>
      <c r="W37" s="51" t="str">
        <f t="array" aca="1" ref="W37" ca="1">IF($R37&lt;&gt;"",
INDIRECT(""&amp;IF(COLUMN(H55)&lt;=26,CHAR(COLUMN(H55)+64),CHAR(INT((COLUMN(H55)-1)/26)+64)&amp;CHAR(MOD(COLUMN(H55)-1,26)+65))&amp;$R37&amp;""),"")</f>
        <v/>
      </c>
      <c r="X37" s="51" t="str">
        <f t="array" aca="1" ref="X37" ca="1">IF($R37&lt;&gt;"",
INDIRECT(""&amp;IF(COLUMN(I55)&lt;=26,CHAR(COLUMN(I55)+64),CHAR(INT((COLUMN(I55)-1)/26)+64)&amp;CHAR(MOD(COLUMN(I55)-1,26)+65))&amp;$R37&amp;""),"")</f>
        <v/>
      </c>
      <c r="Y37" s="51" t="str">
        <f t="array" aca="1" ref="Y37" ca="1">IF($R37&lt;&gt;"",
INDIRECT(""&amp;IF(COLUMN(J55)&lt;=26,CHAR(COLUMN(J55)+64),CHAR(INT((COLUMN(J55)-1)/26)+64)&amp;CHAR(MOD(COLUMN(J55)-1,26)+65))&amp;$R37&amp;""),"")</f>
        <v/>
      </c>
      <c r="Z37" s="51" t="str">
        <f t="array" aca="1" ref="Z37" ca="1">IF($R37&lt;&gt;"",
INDIRECT(""&amp;IF(COLUMN(K55)&lt;=26,CHAR(COLUMN(K55)+64),CHAR(INT((COLUMN(K55)-1)/26)+64)&amp;CHAR(MOD(COLUMN(K55)-1,26)+65))&amp;$R37&amp;""),"")</f>
        <v/>
      </c>
      <c r="AA37" s="51" t="str">
        <f t="array" aca="1" ref="AA37" ca="1">IF($R37&lt;&gt;"",
INDIRECT(""&amp;IF(COLUMN(L55)&lt;=26,CHAR(COLUMN(L55)+64),CHAR(INT((COLUMN(L55)-1)/26)+64)&amp;CHAR(MOD(COLUMN(L55)-1,26)+65))&amp;$R37&amp;""),"")</f>
        <v/>
      </c>
      <c r="AB37" s="51" t="str">
        <f t="array" aca="1" ref="AB37" ca="1">IF($R37&lt;&gt;"",
INDIRECT(""&amp;IF(COLUMN(O55)&lt;=26,CHAR(COLUMN(O55)+64),CHAR(INT((COLUMN(O55)-1)/26)+64)&amp;CHAR(MOD(COLUMN(O55)-1,26)+65))&amp;$R37&amp;""),"")</f>
        <v/>
      </c>
    </row>
    <row r="38" spans="1:28" s="51" customFormat="1" ht="22.2" customHeight="1">
      <c r="A38" s="197">
        <f t="shared" si="9"/>
        <v>81</v>
      </c>
      <c r="B38" s="52" t="e">
        <f t="array" aca="1" ref="B38" ca="1">IF(AND(LEFT(C38,2)="博多",
LEFT(INDIRECT("数出表_Excel!A"&amp;MATCH(C38,数出表_Excel!$A:$A,0)-1),2)
=LEFT(INDIRECT("数出表_Excel!A"&amp;MATCH(C38,数出表_Excel!$A:$A,0)+1),2)),"博多",
IF(AND(LEFT(C38,3)="奈良屋",
LEFT(INDIRECT("数出表_Excel!A"&amp;MATCH(C38,数出表_Excel!$A:$A,0)-1),2)
=LEFT(INDIRECT("数出表_Excel!A"&amp;MATCH(C38,数出表_Excel!$A:$A,0)+1),2)),"奈良屋",""))</f>
        <v>#N/A</v>
      </c>
      <c r="C38" s="52" t="str" cm="1">
        <f t="array" aca="1" ref="C38" ca="1">IF(IF(クライアント抽出!A38="",0,LEN(クライアント抽出!V38)-LEN(SUBSTITUTE(クライアント抽出!V38,",","")))&gt;=1,INDIRECT("数出表_Excel!A"&amp;A38&amp;""),"")</f>
        <v/>
      </c>
      <c r="D38" s="52" t="str" cm="1">
        <f t="array" aca="1" ref="D38" ca="1">IF(C38&lt;&gt;"",INDIRECT("クライアント抽出!"&amp;E38&amp;MATCH(C38,クライアント抽出!A:A,0)&amp;""),"")</f>
        <v/>
      </c>
      <c r="E38" s="52" t="str">
        <f ca="1"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t="array" aca="1" ref="F38" ca="1">IF(D38&lt;&gt;"",
IF(COUNTIF(C38,"*雙葉*"),
IF(ROUND(
IF(O38&lt;&gt;"",(H38-O38),H38)
/IF(COUNTIF('盛付札（関数）'!D38,"*キャラ*"),
VLOOKUP("*キャラ*",#REF!,7,FALSE),
IF(COUNTIF('盛付札（関数）'!D38,"*赤*"),
VLOOKUP("*赤*",#REF!,7,FALSE),
VLOOKUP('盛付札（関数）'!D38,#REF!,7,FALSE))),0)&lt;=0,1,
ROUND(
IF(O38&lt;&gt;"",(H38-O38),H38)
/IF(COUNTIF('盛付札（関数）'!D38,"*キャラ*"),
VLOOKUP("*キャラ*",#REF!,7,FALSE),
IF(COUNTIF('盛付札（関数）'!D38,"*赤*"),
VLOOKUP("*赤*",#REF!,7,FALSE),
VLOOKUP('盛付札（関数）'!D38,#REF!,7,FALSE))),0)),
IF(MATCH(TRUE,
ISNUMBER(--INDIRECT("数出表_Excel!B"&amp;MATCH(C38,数出表_Excel!$A:$A,0)-1&amp;":U"&amp;MATCH(C38,数出表_Excel!$A:$A,0)-1&amp;"")),0)&gt;10,
IF(D38&lt;&gt;"",
IF(IF(COUNTIF('盛付札（関数）'!D38,"*キャラ*"),
VLOOKUP("*キャラ*",#REF!,7,FALSE),
IF(COUNTIF('盛付札（関数）'!D38,"*赤*"),
VLOOKUP("*赤*",#REF!,7,FALSE),
VLOOKUP('盛付札（関数）'!D38,#REF!,7,FALSE)))=0,"",
IF(ROUND(
IF(O38&lt;&gt;"",(H38-O38),H38)
/IF(COUNTIF('盛付札（関数）'!D38,"*キャラ*"),
VLOOKUP("*キャラ*",#REF!,7,FALSE),
IF(COUNTIF('盛付札（関数）'!D38,"*赤*"),
VLOOKUP("*赤*",#REF!,7,FALSE),
VLOOKUP('盛付札（関数）'!D38,#REF!,7,FALSE))),0)&lt;=0,1,
ROUND(
IF(O38&lt;&gt;"",(H38-O38),H38)
/IF(COUNTIF('盛付札（関数）'!D38,"*キャラ*"),
VLOOKUP("*キャラ*",#REF!,7,FALSE),
IF(COUNTIF('盛付札（関数）'!D38,"*赤*"),
VLOOKUP("*赤*",#REF!,7,FALSE),
VLOOKUP('盛付札（関数）'!D38,#REF!,7,FALSE))),0))),""),"")),"")</f>
        <v/>
      </c>
      <c r="G38" s="53" t="str">
        <f ca="1">IF(F38&lt;&gt;"",IF(VALUE(IF(O38&lt;&gt;"",H38-O38,H38))&gt;VALUE(IF(COUNTIF('盛付札（関数）'!D38,"*キャラ*"),
VLOOKUP("*キャラ*",#REF!,7,FALSE),
IF(COUNTIF('盛付札（関数）'!D38,"*赤*"),
VLOOKUP("*赤*",#REF!,7,FALSE),
VLOOKUP('盛付札（関数）'!D38,#REF!,7,FALSE)))*F38),
"+"&amp;IF(O38&lt;&gt;"",H38-O38,H38)-IF(COUNTIF('盛付札（関数）'!D38,"*キャラ*"),
VLOOKUP("*キャラ*",#REF!,7,FALSE),
IF(COUNTIF('盛付札（関数）'!D38,"*赤*"),
VLOOKUP("*赤*",#REF!,7,FALSE),
VLOOKUP('盛付札（関数）'!D38,#REF!,7,FALSE)))*F38,
IF(O38&lt;&gt;"",H38-O38,H38)-IF(COUNTIF('盛付札（関数）'!D38,"*キャラ*"),
VLOOKUP("*キャラ*",#REF!,7,FALSE),
IF(COUNTIF('盛付札（関数）'!D38,"*赤*"),
VLOOKUP("*赤*",#REF!,7,FALSE),
VLOOKUP('盛付札（関数）'!D38,#REF!,7,FALSE)))*F38),"")</f>
        <v/>
      </c>
      <c r="H38" s="195" t="str" cm="1">
        <f t="array" aca="1" ref="H38" ca="1">IF(C38&lt;&gt;"",
IF(INDIRECT("数出表_Excel!"&amp;LEFT(クライアント抽出!V38)&amp;A38-1&amp;"")&lt;&gt;"",INDIRECT("数出表_Excel!"&amp;LEFT(クライアント抽出!V38)&amp;A38-1&amp;""),0),"")</f>
        <v/>
      </c>
      <c r="I38" s="52" t="str" cm="1">
        <f t="array" aca="1" ref="I38" ca="1">IF(C38&lt;&gt;"",
IF(INDIRECT("数出表_Excel!"&amp;LEFT(クライアント抽出!V38)&amp;A38&amp;"")&lt;&gt;"",INDIRECT("数出表_Excel!"&amp;LEFT(クライアント抽出!V38)&amp;A38&amp;""),0),"")</f>
        <v/>
      </c>
      <c r="J38" s="52" t="str">
        <f ca="1">IF(C38&lt;&gt;"",
VLOOKUP(
IF(COUNTIF(D38,"*学食*"),"キャラ弁（学食）",
IF(COUNTIF(D38,"*赤*"),"赤",
IF(COUNTIF(D38,"*キャラ弁当*"),"キャラ弁当",D38))),注文弁当の抽出!$E$1:$F$15,2,FALSE),"")</f>
        <v/>
      </c>
      <c r="K38" s="52" t="str">
        <f t="shared" ca="1" si="10"/>
        <v/>
      </c>
      <c r="L38" s="52" t="str">
        <f t="shared" ca="1" si="11"/>
        <v/>
      </c>
      <c r="M38" s="52" cm="1">
        <f t="array" aca="1" ref="M38" ca="1">IF(C38&lt;&gt;"",
IF(IFERROR(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0)&lt;&gt;0,
IF(IFERROR(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"")="",
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""),
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0)),0),0)</f>
        <v>0</v>
      </c>
      <c r="N38" s="52" t="e">
        <f t="array" aca="1" ref="N38" ca="1">IF(B38="博多",
IF(C38&lt;&gt;"",
IF(IFERROR(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0)&lt;&gt;0,
IF(IFERROR(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0)="",
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0),
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0)),0),""),0)</f>
        <v>#N/A</v>
      </c>
      <c r="O38" s="52" t="e">
        <f t="shared" ca="1" si="12"/>
        <v>#N/A</v>
      </c>
      <c r="P38" s="52">
        <f t="shared" ca="1" si="4"/>
        <v>0</v>
      </c>
      <c r="Q38" s="52" t="b">
        <f t="shared" ca="1" si="13"/>
        <v>0</v>
      </c>
      <c r="R38" s="51" t="str" cm="1">
        <f t="array" aca="1" ref="R38" ca="1">IFERROR(SMALL(IF(P$1:P$300&lt;&gt;0,P$1:P$300),ROW(A38)),"")</f>
        <v/>
      </c>
      <c r="S38" s="51" t="str">
        <f t="array" aca="1" ref="S38" ca="1">IF($R38&lt;&gt;"",
INDIRECT(""&amp;IF(COLUMN(C56)&lt;=26,CHAR(COLUMN(C56)+64),CHAR(INT((COLUMN(C56)-1)/26)+64)&amp;CHAR(MOD(COLUMN(C56)-1,26)+65))&amp;$R38&amp;""),"")</f>
        <v/>
      </c>
      <c r="T38" s="51" t="str" cm="1">
        <f t="array" aca="1" ref="T38" ca="1">IF(IF($R38&lt;&gt;"",
INDIRECT(""&amp;IF(COLUMN(D58)&lt;=26,CHAR(COLUMN(D58)+64),CHAR(INT((COLUMN(D58)-1)/26)+64)&amp;CHAR(MOD(COLUMN(D58)-1,26)+65))&amp;$R38&amp;""),"")=0,"",
IF($R38&lt;&gt;"",
INDIRECT(""&amp;IF(COLUMN(D58)&lt;=26,CHAR(COLUMN(D58)+64),CHAR(INT((COLUMN(D58)-1)/26)+64)&amp;CHAR(MOD(COLUMN(D58)-1,26)+65))&amp;$R38&amp;""),""))</f>
        <v/>
      </c>
      <c r="V38" s="51" t="str">
        <f t="array" aca="1" ref="V38" ca="1">IF($R38&lt;&gt;"",
IF(U38="",
IF(INDIRECT("EY"&amp;$R38&amp;"")&lt;&gt;"",
INDIRECT("EY"&amp;$R38&amp;"")&amp;"箱"
&amp;INDIRECT("EZ"&amp;$R38&amp;""),""),""),"")</f>
        <v/>
      </c>
      <c r="W38" s="51" t="str">
        <f t="array" aca="1" ref="W38" ca="1">IF($R38&lt;&gt;"",
INDIRECT(""&amp;IF(COLUMN(H56)&lt;=26,CHAR(COLUMN(H56)+64),CHAR(INT((COLUMN(H56)-1)/26)+64)&amp;CHAR(MOD(COLUMN(H56)-1,26)+65))&amp;$R38&amp;""),"")</f>
        <v/>
      </c>
      <c r="X38" s="51" t="str">
        <f t="array" aca="1" ref="X38" ca="1">IF($R38&lt;&gt;"",
INDIRECT(""&amp;IF(COLUMN(I56)&lt;=26,CHAR(COLUMN(I56)+64),CHAR(INT((COLUMN(I56)-1)/26)+64)&amp;CHAR(MOD(COLUMN(I56)-1,26)+65))&amp;$R38&amp;""),"")</f>
        <v/>
      </c>
      <c r="Y38" s="51" t="str">
        <f t="array" aca="1" ref="Y38" ca="1">IF($R38&lt;&gt;"",
INDIRECT(""&amp;IF(COLUMN(J56)&lt;=26,CHAR(COLUMN(J56)+64),CHAR(INT((COLUMN(J56)-1)/26)+64)&amp;CHAR(MOD(COLUMN(J56)-1,26)+65))&amp;$R38&amp;""),"")</f>
        <v/>
      </c>
      <c r="Z38" s="51" t="str">
        <f t="array" aca="1" ref="Z38" ca="1">IF($R38&lt;&gt;"",
INDIRECT(""&amp;IF(COLUMN(K56)&lt;=26,CHAR(COLUMN(K56)+64),CHAR(INT((COLUMN(K56)-1)/26)+64)&amp;CHAR(MOD(COLUMN(K56)-1,26)+65))&amp;$R38&amp;""),"")</f>
        <v/>
      </c>
      <c r="AA38" s="51" t="str">
        <f t="array" aca="1" ref="AA38" ca="1">IF($R38&lt;&gt;"",
INDIRECT(""&amp;IF(COLUMN(L56)&lt;=26,CHAR(COLUMN(L56)+64),CHAR(INT((COLUMN(L56)-1)/26)+64)&amp;CHAR(MOD(COLUMN(L56)-1,26)+65))&amp;$R38&amp;""),"")</f>
        <v/>
      </c>
      <c r="AB38" s="51" t="str">
        <f t="array" aca="1" ref="AB38" ca="1">IF($R38&lt;&gt;"",
INDIRECT(""&amp;IF(COLUMN(O56)&lt;=26,CHAR(COLUMN(O56)+64),CHAR(INT((COLUMN(O56)-1)/26)+64)&amp;CHAR(MOD(COLUMN(O56)-1,26)+65))&amp;$R38&amp;""),"")</f>
        <v/>
      </c>
    </row>
    <row r="39" spans="1:28" ht="18" customHeight="1">
      <c r="A39" s="197">
        <f t="shared" si="9"/>
        <v>83</v>
      </c>
      <c r="B39" s="52" t="e">
        <f t="array" aca="1" ref="B39" ca="1">IF(AND(LEFT(C39,2)="博多",
LEFT(INDIRECT("数出表_Excel!A"&amp;MATCH(C39,数出表_Excel!$A:$A,0)-1),2)
=LEFT(INDIRECT("数出表_Excel!A"&amp;MATCH(C39,数出表_Excel!$A:$A,0)+1),2)),"博多",
IF(AND(LEFT(C39,3)="奈良屋",
LEFT(INDIRECT("数出表_Excel!A"&amp;MATCH(C39,数出表_Excel!$A:$A,0)-1),2)
=LEFT(INDIRECT("数出表_Excel!A"&amp;MATCH(C39,数出表_Excel!$A:$A,0)+1),2)),"奈良屋",""))</f>
        <v>#N/A</v>
      </c>
      <c r="C39" s="52" t="str" cm="1">
        <f t="array" aca="1" ref="C39" ca="1">IF(IF(クライアント抽出!A39="",0,LEN(クライアント抽出!V39)-LEN(SUBSTITUTE(クライアント抽出!V39,",","")))&gt;=1,INDIRECT("数出表_Excel!A"&amp;A39&amp;""),"")</f>
        <v/>
      </c>
      <c r="D39" s="52" t="str" cm="1">
        <f t="array" aca="1" ref="D39" ca="1">IF(C39&lt;&gt;"",INDIRECT("クライアント抽出!"&amp;E39&amp;MATCH(C39,クライアント抽出!A:A,0)&amp;""),"")</f>
        <v/>
      </c>
      <c r="E39" s="52" t="str">
        <f ca="1"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t="array" aca="1" ref="F39" ca="1">IF(D39&lt;&gt;"",
IF(COUNTIF(C39,"*雙葉*"),
IF(ROUND(
IF(O39&lt;&gt;"",(H39-O39),H39)
/IF(COUNTIF('盛付札（関数）'!D39,"*キャラ*"),
VLOOKUP("*キャラ*",#REF!,7,FALSE),
IF(COUNTIF('盛付札（関数）'!D39,"*赤*"),
VLOOKUP("*赤*",#REF!,7,FALSE),
VLOOKUP('盛付札（関数）'!D39,#REF!,7,FALSE))),0)&lt;=0,1,
ROUND(
IF(O39&lt;&gt;"",(H39-O39),H39)
/IF(COUNTIF('盛付札（関数）'!D39,"*キャラ*"),
VLOOKUP("*キャラ*",#REF!,7,FALSE),
IF(COUNTIF('盛付札（関数）'!D39,"*赤*"),
VLOOKUP("*赤*",#REF!,7,FALSE),
VLOOKUP('盛付札（関数）'!D39,#REF!,7,FALSE))),0)),
IF(MATCH(TRUE,
ISNUMBER(--INDIRECT("数出表_Excel!B"&amp;MATCH(C39,数出表_Excel!$A:$A,0)-1&amp;":U"&amp;MATCH(C39,数出表_Excel!$A:$A,0)-1&amp;"")),0)&gt;10,
IF(D39&lt;&gt;"",
IF(IF(COUNTIF('盛付札（関数）'!D39,"*キャラ*"),
VLOOKUP("*キャラ*",#REF!,7,FALSE),
IF(COUNTIF('盛付札（関数）'!D39,"*赤*"),
VLOOKUP("*赤*",#REF!,7,FALSE),
VLOOKUP('盛付札（関数）'!D39,#REF!,7,FALSE)))=0,"",
IF(ROUND(
IF(O39&lt;&gt;"",(H39-O39),H39)
/IF(COUNTIF('盛付札（関数）'!D39,"*キャラ*"),
VLOOKUP("*キャラ*",#REF!,7,FALSE),
IF(COUNTIF('盛付札（関数）'!D39,"*赤*"),
VLOOKUP("*赤*",#REF!,7,FALSE),
VLOOKUP('盛付札（関数）'!D39,#REF!,7,FALSE))),0)&lt;=0,1,
ROUND(
IF(O39&lt;&gt;"",(H39-O39),H39)
/IF(COUNTIF('盛付札（関数）'!D39,"*キャラ*"),
VLOOKUP("*キャラ*",#REF!,7,FALSE),
IF(COUNTIF('盛付札（関数）'!D39,"*赤*"),
VLOOKUP("*赤*",#REF!,7,FALSE),
VLOOKUP('盛付札（関数）'!D39,#REF!,7,FALSE))),0))),""),"")),"")</f>
        <v/>
      </c>
      <c r="G39" s="53" t="str">
        <f ca="1">IF(F39&lt;&gt;"",IF(VALUE(IF(O39&lt;&gt;"",H39-O39,H39))&gt;VALUE(IF(COUNTIF('盛付札（関数）'!D39,"*キャラ*"),
VLOOKUP("*キャラ*",#REF!,7,FALSE),
IF(COUNTIF('盛付札（関数）'!D39,"*赤*"),
VLOOKUP("*赤*",#REF!,7,FALSE),
VLOOKUP('盛付札（関数）'!D39,#REF!,7,FALSE)))*F39),
"+"&amp;IF(O39&lt;&gt;"",H39-O39,H39)-IF(COUNTIF('盛付札（関数）'!D39,"*キャラ*"),
VLOOKUP("*キャラ*",#REF!,7,FALSE),
IF(COUNTIF('盛付札（関数）'!D39,"*赤*"),
VLOOKUP("*赤*",#REF!,7,FALSE),
VLOOKUP('盛付札（関数）'!D39,#REF!,7,FALSE)))*F39,
IF(O39&lt;&gt;"",H39-O39,H39)-IF(COUNTIF('盛付札（関数）'!D39,"*キャラ*"),
VLOOKUP("*キャラ*",#REF!,7,FALSE),
IF(COUNTIF('盛付札（関数）'!D39,"*赤*"),
VLOOKUP("*赤*",#REF!,7,FALSE),
VLOOKUP('盛付札（関数）'!D39,#REF!,7,FALSE)))*F39),"")</f>
        <v/>
      </c>
      <c r="H39" s="195" t="str" cm="1">
        <f t="array" aca="1" ref="H39" ca="1">IF(C39&lt;&gt;"",
IF(INDIRECT("数出表_Excel!"&amp;LEFT(クライアント抽出!V39)&amp;A39-1&amp;"")&lt;&gt;"",INDIRECT("数出表_Excel!"&amp;LEFT(クライアント抽出!V39)&amp;A39-1&amp;""),0),"")</f>
        <v/>
      </c>
      <c r="I39" s="52" t="str" cm="1">
        <f t="array" aca="1" ref="I39" ca="1">IF(C39&lt;&gt;"",
IF(INDIRECT("数出表_Excel!"&amp;LEFT(クライアント抽出!V39)&amp;A39&amp;"")&lt;&gt;"",INDIRECT("数出表_Excel!"&amp;LEFT(クライアント抽出!V39)&amp;A39&amp;""),0),"")</f>
        <v/>
      </c>
      <c r="J39" s="52" t="str">
        <f ca="1">IF(C39&lt;&gt;"",
VLOOKUP(
IF(COUNTIF(D39,"*学食*"),"キャラ弁（学食）",
IF(COUNTIF(D39,"*赤*"),"赤",
IF(COUNTIF(D39,"*キャラ弁当*"),"キャラ弁当",D39))),注文弁当の抽出!$E$1:$F$15,2,FALSE),"")</f>
        <v/>
      </c>
      <c r="K39" s="52" t="str">
        <f t="shared" ca="1" si="10"/>
        <v/>
      </c>
      <c r="L39" s="52" t="str">
        <f t="shared" ca="1" si="11"/>
        <v/>
      </c>
      <c r="M39" s="52" cm="1">
        <f t="array" aca="1" ref="M39" ca="1">IF(C39&lt;&gt;"",
IF(IFERROR(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0)&lt;&gt;0,
IF(IFERROR(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"")="",
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""),
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0)),0),0)</f>
        <v>0</v>
      </c>
      <c r="N39" s="52" t="e">
        <f t="array" aca="1" ref="N39" ca="1">IF(B39="博多",
IF(C39&lt;&gt;"",
IF(IFERROR(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0)&lt;&gt;0,
IF(IFERROR(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0)="",
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0),
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0)),0),""),0)</f>
        <v>#N/A</v>
      </c>
      <c r="O39" s="52" t="e">
        <f t="shared" ca="1" si="12"/>
        <v>#N/A</v>
      </c>
      <c r="P39" s="52">
        <f t="shared" ca="1" si="4"/>
        <v>0</v>
      </c>
      <c r="Q39" s="52" t="b">
        <f t="shared" ca="1" si="13"/>
        <v>0</v>
      </c>
      <c r="R39" s="51" t="str" cm="1">
        <f t="array" aca="1" ref="R39" ca="1">IFERROR(SMALL(IF(P$1:P$300&lt;&gt;0,P$1:P$300),ROW(A39)),"")</f>
        <v/>
      </c>
      <c r="S39" s="51" t="str">
        <f t="array" aca="1" ref="S39" ca="1">IF($R39&lt;&gt;"",
INDIRECT(""&amp;IF(COLUMN(C58)&lt;=26,CHAR(COLUMN(C58)+64),CHAR(INT((COLUMN(C58)-1)/26)+64)&amp;CHAR(MOD(COLUMN(C58)-1,26)+65))&amp;$R39&amp;""),"")</f>
        <v/>
      </c>
      <c r="T39" s="51" t="str" cm="1">
        <f t="array" aca="1" ref="T39" ca="1">IF(IF($R39&lt;&gt;"",
INDIRECT(""&amp;IF(COLUMN(D59)&lt;=26,CHAR(COLUMN(D59)+64),CHAR(INT((COLUMN(D59)-1)/26)+64)&amp;CHAR(MOD(COLUMN(D59)-1,26)+65))&amp;$R39&amp;""),"")=0,"",
IF($R39&lt;&gt;"",
INDIRECT(""&amp;IF(COLUMN(D59)&lt;=26,CHAR(COLUMN(D59)+64),CHAR(INT((COLUMN(D59)-1)/26)+64)&amp;CHAR(MOD(COLUMN(D59)-1,26)+65))&amp;$R39&amp;""),""))</f>
        <v/>
      </c>
      <c r="U39" s="51"/>
      <c r="V39" s="51" t="str">
        <f t="array" aca="1" ref="V39" ca="1">IF($R39&lt;&gt;"",
IF(U39="",
IF(INDIRECT("EY"&amp;$R39&amp;"")&lt;&gt;"",
INDIRECT("EY"&amp;$R39&amp;"")&amp;"箱"
&amp;INDIRECT("EZ"&amp;$R39&amp;""),""),""),"")</f>
        <v/>
      </c>
      <c r="W39" s="51" t="str">
        <f t="array" aca="1" ref="W39" ca="1">IF($R39&lt;&gt;"",
INDIRECT(""&amp;IF(COLUMN(H58)&lt;=26,CHAR(COLUMN(H58)+64),CHAR(INT((COLUMN(H58)-1)/26)+64)&amp;CHAR(MOD(COLUMN(H58)-1,26)+65))&amp;$R39&amp;""),"")</f>
        <v/>
      </c>
      <c r="X39" s="51" t="str">
        <f t="array" aca="1" ref="X39" ca="1">IF($R39&lt;&gt;"",
INDIRECT(""&amp;IF(COLUMN(I58)&lt;=26,CHAR(COLUMN(I58)+64),CHAR(INT((COLUMN(I58)-1)/26)+64)&amp;CHAR(MOD(COLUMN(I58)-1,26)+65))&amp;$R39&amp;""),"")</f>
        <v/>
      </c>
      <c r="Y39" s="51" t="str">
        <f t="array" aca="1" ref="Y39" ca="1">IF($R39&lt;&gt;"",
INDIRECT(""&amp;IF(COLUMN(J58)&lt;=26,CHAR(COLUMN(J58)+64),CHAR(INT((COLUMN(J58)-1)/26)+64)&amp;CHAR(MOD(COLUMN(J58)-1,26)+65))&amp;$R39&amp;""),"")</f>
        <v/>
      </c>
      <c r="Z39" s="51" t="str">
        <f t="array" aca="1" ref="Z39" ca="1">IF($R39&lt;&gt;"",
INDIRECT(""&amp;IF(COLUMN(K58)&lt;=26,CHAR(COLUMN(K58)+64),CHAR(INT((COLUMN(K58)-1)/26)+64)&amp;CHAR(MOD(COLUMN(K58)-1,26)+65))&amp;$R39&amp;""),"")</f>
        <v/>
      </c>
      <c r="AA39" s="51" t="str">
        <f t="array" aca="1" ref="AA39" ca="1">IF($R39&lt;&gt;"",
INDIRECT(""&amp;IF(COLUMN(L58)&lt;=26,CHAR(COLUMN(L58)+64),CHAR(INT((COLUMN(L58)-1)/26)+64)&amp;CHAR(MOD(COLUMN(L58)-1,26)+65))&amp;$R39&amp;""),"")</f>
        <v/>
      </c>
      <c r="AB39" s="51" t="str">
        <f t="array" aca="1" ref="AB39" ca="1">IF($R39&lt;&gt;"",
INDIRECT(""&amp;IF(COLUMN(O58)&lt;=26,CHAR(COLUMN(O58)+64),CHAR(INT((COLUMN(O58)-1)/26)+64)&amp;CHAR(MOD(COLUMN(O58)-1,26)+65))&amp;$R39&amp;""),"")</f>
        <v/>
      </c>
    </row>
    <row r="40" spans="1:28" ht="18" customHeight="1">
      <c r="A40" s="197">
        <f t="shared" si="9"/>
        <v>85</v>
      </c>
      <c r="B40" s="52" t="e">
        <f t="array" aca="1" ref="B40" ca="1">IF(AND(LEFT(C40,2)="博多",
LEFT(INDIRECT("数出表_Excel!A"&amp;MATCH(C40,数出表_Excel!$A:$A,0)-1),2)
=LEFT(INDIRECT("数出表_Excel!A"&amp;MATCH(C40,数出表_Excel!$A:$A,0)+1),2)),"博多",
IF(AND(LEFT(C40,3)="奈良屋",
LEFT(INDIRECT("数出表_Excel!A"&amp;MATCH(C40,数出表_Excel!$A:$A,0)-1),2)
=LEFT(INDIRECT("数出表_Excel!A"&amp;MATCH(C40,数出表_Excel!$A:$A,0)+1),2)),"奈良屋",""))</f>
        <v>#N/A</v>
      </c>
      <c r="C40" s="52" t="str" cm="1">
        <f t="array" aca="1" ref="C40" ca="1">IF(IF(クライアント抽出!A40="",0,LEN(クライアント抽出!V40)-LEN(SUBSTITUTE(クライアント抽出!V40,",","")))&gt;=1,INDIRECT("数出表_Excel!A"&amp;A40&amp;""),"")</f>
        <v/>
      </c>
      <c r="D40" s="52" t="str" cm="1">
        <f t="array" aca="1" ref="D40" ca="1">IF(C40&lt;&gt;"",INDIRECT("クライアント抽出!"&amp;E40&amp;MATCH(C40,クライアント抽出!A:A,0)&amp;""),"")</f>
        <v/>
      </c>
      <c r="E40" s="52" t="str">
        <f ca="1"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t="array" aca="1" ref="F40" ca="1">IF(D40&lt;&gt;"",
IF(COUNTIF(C40,"*雙葉*"),
IF(ROUND(
IF(O40&lt;&gt;"",(H40-O40),H40)
/IF(COUNTIF('盛付札（関数）'!D40,"*キャラ*"),
VLOOKUP("*キャラ*",#REF!,7,FALSE),
IF(COUNTIF('盛付札（関数）'!D40,"*赤*"),
VLOOKUP("*赤*",#REF!,7,FALSE),
VLOOKUP('盛付札（関数）'!D40,#REF!,7,FALSE))),0)&lt;=0,1,
ROUND(
IF(O40&lt;&gt;"",(H40-O40),H40)
/IF(COUNTIF('盛付札（関数）'!D40,"*キャラ*"),
VLOOKUP("*キャラ*",#REF!,7,FALSE),
IF(COUNTIF('盛付札（関数）'!D40,"*赤*"),
VLOOKUP("*赤*",#REF!,7,FALSE),
VLOOKUP('盛付札（関数）'!D40,#REF!,7,FALSE))),0)),
IF(MATCH(TRUE,
ISNUMBER(--INDIRECT("数出表_Excel!B"&amp;MATCH(C40,数出表_Excel!$A:$A,0)-1&amp;":U"&amp;MATCH(C40,数出表_Excel!$A:$A,0)-1&amp;"")),0)&gt;10,
IF(D40&lt;&gt;"",
IF(IF(COUNTIF('盛付札（関数）'!D40,"*キャラ*"),
VLOOKUP("*キャラ*",#REF!,7,FALSE),
IF(COUNTIF('盛付札（関数）'!D40,"*赤*"),
VLOOKUP("*赤*",#REF!,7,FALSE),
VLOOKUP('盛付札（関数）'!D40,#REF!,7,FALSE)))=0,"",
IF(ROUND(
IF(O40&lt;&gt;"",(H40-O40),H40)
/IF(COUNTIF('盛付札（関数）'!D40,"*キャラ*"),
VLOOKUP("*キャラ*",#REF!,7,FALSE),
IF(COUNTIF('盛付札（関数）'!D40,"*赤*"),
VLOOKUP("*赤*",#REF!,7,FALSE),
VLOOKUP('盛付札（関数）'!D40,#REF!,7,FALSE))),0)&lt;=0,1,
ROUND(
IF(O40&lt;&gt;"",(H40-O40),H40)
/IF(COUNTIF('盛付札（関数）'!D40,"*キャラ*"),
VLOOKUP("*キャラ*",#REF!,7,FALSE),
IF(COUNTIF('盛付札（関数）'!D40,"*赤*"),
VLOOKUP("*赤*",#REF!,7,FALSE),
VLOOKUP('盛付札（関数）'!D40,#REF!,7,FALSE))),0))),""),"")),"")</f>
        <v/>
      </c>
      <c r="G40" s="53" t="str">
        <f ca="1">IF(F40&lt;&gt;"",IF(VALUE(IF(O40&lt;&gt;"",H40-O40,H40))&gt;VALUE(IF(COUNTIF('盛付札（関数）'!D40,"*キャラ*"),
VLOOKUP("*キャラ*",#REF!,7,FALSE),
IF(COUNTIF('盛付札（関数）'!D40,"*赤*"),
VLOOKUP("*赤*",#REF!,7,FALSE),
VLOOKUP('盛付札（関数）'!D40,#REF!,7,FALSE)))*F40),
"+"&amp;IF(O40&lt;&gt;"",H40-O40,H40)-IF(COUNTIF('盛付札（関数）'!D40,"*キャラ*"),
VLOOKUP("*キャラ*",#REF!,7,FALSE),
IF(COUNTIF('盛付札（関数）'!D40,"*赤*"),
VLOOKUP("*赤*",#REF!,7,FALSE),
VLOOKUP('盛付札（関数）'!D40,#REF!,7,FALSE)))*F40,
IF(O40&lt;&gt;"",H40-O40,H40)-IF(COUNTIF('盛付札（関数）'!D40,"*キャラ*"),
VLOOKUP("*キャラ*",#REF!,7,FALSE),
IF(COUNTIF('盛付札（関数）'!D40,"*赤*"),
VLOOKUP("*赤*",#REF!,7,FALSE),
VLOOKUP('盛付札（関数）'!D40,#REF!,7,FALSE)))*F40),"")</f>
        <v/>
      </c>
      <c r="H40" s="195" t="str" cm="1">
        <f t="array" aca="1" ref="H40" ca="1">IF(C40&lt;&gt;"",
IF(INDIRECT("数出表_Excel!"&amp;LEFT(クライアント抽出!V40)&amp;A40-1&amp;"")&lt;&gt;"",INDIRECT("数出表_Excel!"&amp;LEFT(クライアント抽出!V40)&amp;A40-1&amp;""),0),"")</f>
        <v/>
      </c>
      <c r="I40" s="52" t="str" cm="1">
        <f t="array" aca="1" ref="I40" ca="1">IF(C40&lt;&gt;"",
IF(INDIRECT("数出表_Excel!"&amp;LEFT(クライアント抽出!V40)&amp;A40&amp;"")&lt;&gt;"",INDIRECT("数出表_Excel!"&amp;LEFT(クライアント抽出!V40)&amp;A40&amp;""),0),"")</f>
        <v/>
      </c>
      <c r="J40" s="52" t="str">
        <f ca="1">IF(C40&lt;&gt;"",
VLOOKUP(
IF(COUNTIF(D40,"*学食*"),"キャラ弁（学食）",
IF(COUNTIF(D40,"*赤*"),"赤",
IF(COUNTIF(D40,"*キャラ弁当*"),"キャラ弁当",D40))),注文弁当の抽出!$E$1:$F$15,2,FALSE),"")</f>
        <v/>
      </c>
      <c r="K40" s="52" t="str">
        <f t="shared" ca="1" si="10"/>
        <v/>
      </c>
      <c r="L40" s="52" t="str">
        <f t="shared" ca="1" si="11"/>
        <v/>
      </c>
      <c r="M40" s="52" cm="1">
        <f t="array" aca="1" ref="M40" ca="1">IF(C40&lt;&gt;"",
IF(IFERROR(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0)&lt;&gt;0,
IF(IFERROR(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"")="",
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""),
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0)),0),0)</f>
        <v>0</v>
      </c>
      <c r="N40" s="52" t="e">
        <f t="array" aca="1" ref="N40" ca="1">IF(B40="博多",
IF(C40&lt;&gt;"",
IF(IFERROR(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0)&lt;&gt;0,
IF(IFERROR(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0)="",
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0),
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0)),0),""),0)</f>
        <v>#N/A</v>
      </c>
      <c r="O40" s="52" t="e">
        <f t="shared" ca="1" si="12"/>
        <v>#N/A</v>
      </c>
      <c r="P40" s="52">
        <f t="shared" ca="1" si="4"/>
        <v>0</v>
      </c>
      <c r="Q40" s="52" t="b">
        <f t="shared" ca="1" si="13"/>
        <v>0</v>
      </c>
      <c r="R40" s="51" t="str" cm="1">
        <f t="array" aca="1" ref="R40" ca="1">IFERROR(SMALL(IF(P$1:P$300&lt;&gt;0,P$1:P$300),ROW(A40)),"")</f>
        <v/>
      </c>
      <c r="S40" s="51" t="str">
        <f t="array" aca="1" ref="S40" ca="1">IF($R40&lt;&gt;"",
INDIRECT(""&amp;IF(COLUMN(C59)&lt;=26,CHAR(COLUMN(C59)+64),CHAR(INT((COLUMN(C59)-1)/26)+64)&amp;CHAR(MOD(COLUMN(C59)-1,26)+65))&amp;$R40&amp;""),"")</f>
        <v/>
      </c>
      <c r="T40" s="51" t="str" cm="1">
        <f t="array" aca="1" ref="T40" ca="1">IF(IF($R40&lt;&gt;"",
INDIRECT(""&amp;IF(COLUMN(D60)&lt;=26,CHAR(COLUMN(D60)+64),CHAR(INT((COLUMN(D60)-1)/26)+64)&amp;CHAR(MOD(COLUMN(D60)-1,26)+65))&amp;$R40&amp;""),"")=0,"",
IF($R40&lt;&gt;"",
INDIRECT(""&amp;IF(COLUMN(D60)&lt;=26,CHAR(COLUMN(D60)+64),CHAR(INT((COLUMN(D60)-1)/26)+64)&amp;CHAR(MOD(COLUMN(D60)-1,26)+65))&amp;$R40&amp;""),""))</f>
        <v/>
      </c>
      <c r="U40" s="51"/>
      <c r="V40" s="51" t="str">
        <f t="array" aca="1" ref="V40" ca="1">IF($R40&lt;&gt;"",
IF(U40="",
IF(INDIRECT("EY"&amp;$R40&amp;"")&lt;&gt;"",
INDIRECT("EY"&amp;$R40&amp;"")&amp;"箱"
&amp;INDIRECT("EZ"&amp;$R40&amp;""),""),""),"")</f>
        <v/>
      </c>
      <c r="W40" s="51" t="str">
        <f t="array" aca="1" ref="W40" ca="1">IF($R40&lt;&gt;"",
INDIRECT(""&amp;IF(COLUMN(H59)&lt;=26,CHAR(COLUMN(H59)+64),CHAR(INT((COLUMN(H59)-1)/26)+64)&amp;CHAR(MOD(COLUMN(H59)-1,26)+65))&amp;$R40&amp;""),"")</f>
        <v/>
      </c>
      <c r="X40" s="51" t="str">
        <f t="array" aca="1" ref="X40" ca="1">IF($R40&lt;&gt;"",
INDIRECT(""&amp;IF(COLUMN(I59)&lt;=26,CHAR(COLUMN(I59)+64),CHAR(INT((COLUMN(I59)-1)/26)+64)&amp;CHAR(MOD(COLUMN(I59)-1,26)+65))&amp;$R40&amp;""),"")</f>
        <v/>
      </c>
      <c r="Y40" s="51" t="str">
        <f t="array" aca="1" ref="Y40" ca="1">IF($R40&lt;&gt;"",
INDIRECT(""&amp;IF(COLUMN(J59)&lt;=26,CHAR(COLUMN(J59)+64),CHAR(INT((COLUMN(J59)-1)/26)+64)&amp;CHAR(MOD(COLUMN(J59)-1,26)+65))&amp;$R40&amp;""),"")</f>
        <v/>
      </c>
      <c r="Z40" s="51" t="str">
        <f t="array" aca="1" ref="Z40" ca="1">IF($R40&lt;&gt;"",
INDIRECT(""&amp;IF(COLUMN(K59)&lt;=26,CHAR(COLUMN(K59)+64),CHAR(INT((COLUMN(K59)-1)/26)+64)&amp;CHAR(MOD(COLUMN(K59)-1,26)+65))&amp;$R40&amp;""),"")</f>
        <v/>
      </c>
      <c r="AA40" s="51" t="str">
        <f t="array" aca="1" ref="AA40" ca="1">IF($R40&lt;&gt;"",
INDIRECT(""&amp;IF(COLUMN(L59)&lt;=26,CHAR(COLUMN(L59)+64),CHAR(INT((COLUMN(L59)-1)/26)+64)&amp;CHAR(MOD(COLUMN(L59)-1,26)+65))&amp;$R40&amp;""),"")</f>
        <v/>
      </c>
      <c r="AB40" s="51" t="str">
        <f t="array" aca="1" ref="AB40" ca="1">IF($R40&lt;&gt;"",
INDIRECT(""&amp;IF(COLUMN(O59)&lt;=26,CHAR(COLUMN(O59)+64),CHAR(INT((COLUMN(O59)-1)/26)+64)&amp;CHAR(MOD(COLUMN(O59)-1,26)+65))&amp;$R40&amp;""),"")</f>
        <v/>
      </c>
    </row>
    <row r="41" spans="1:28" s="51" customFormat="1" ht="22.2" customHeight="1">
      <c r="A41" s="197">
        <f t="shared" si="9"/>
        <v>87</v>
      </c>
      <c r="B41" s="52" t="e">
        <f t="array" aca="1" ref="B41" ca="1">IF(AND(LEFT(C41,2)="博多",
LEFT(INDIRECT("数出表_Excel!A"&amp;MATCH(C41,数出表_Excel!$A:$A,0)-1),2)
=LEFT(INDIRECT("数出表_Excel!A"&amp;MATCH(C41,数出表_Excel!$A:$A,0)+1),2)),"博多",
IF(AND(LEFT(C41,3)="奈良屋",
LEFT(INDIRECT("数出表_Excel!A"&amp;MATCH(C41,数出表_Excel!$A:$A,0)-1),2)
=LEFT(INDIRECT("数出表_Excel!A"&amp;MATCH(C41,数出表_Excel!$A:$A,0)+1),2)),"奈良屋",""))</f>
        <v>#N/A</v>
      </c>
      <c r="C41" s="52" t="str" cm="1">
        <f t="array" aca="1" ref="C41" ca="1">IF(IF(クライアント抽出!A41="",0,LEN(クライアント抽出!V41)-LEN(SUBSTITUTE(クライアント抽出!V41,",","")))&gt;=1,INDIRECT("数出表_Excel!A"&amp;A41&amp;""),"")</f>
        <v/>
      </c>
      <c r="D41" s="52" t="str" cm="1">
        <f t="array" aca="1" ref="D41" ca="1">IF(C41&lt;&gt;"",INDIRECT("クライアント抽出!"&amp;E41&amp;MATCH(C41,クライアント抽出!A:A,0)&amp;""),"")</f>
        <v/>
      </c>
      <c r="E41" s="52" t="str">
        <f ca="1"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t="array" aca="1" ref="F41" ca="1">IF(D41&lt;&gt;"",
IF(COUNTIF(C41,"*雙葉*"),
IF(ROUND(
IF(O41&lt;&gt;"",(H41-O41),H41)
/IF(COUNTIF('盛付札（関数）'!D41,"*キャラ*"),
VLOOKUP("*キャラ*",#REF!,7,FALSE),
IF(COUNTIF('盛付札（関数）'!D41,"*赤*"),
VLOOKUP("*赤*",#REF!,7,FALSE),
VLOOKUP('盛付札（関数）'!D41,#REF!,7,FALSE))),0)&lt;=0,1,
ROUND(
IF(O41&lt;&gt;"",(H41-O41),H41)
/IF(COUNTIF('盛付札（関数）'!D41,"*キャラ*"),
VLOOKUP("*キャラ*",#REF!,7,FALSE),
IF(COUNTIF('盛付札（関数）'!D41,"*赤*"),
VLOOKUP("*赤*",#REF!,7,FALSE),
VLOOKUP('盛付札（関数）'!D41,#REF!,7,FALSE))),0)),
IF(MATCH(TRUE,
ISNUMBER(--INDIRECT("数出表_Excel!B"&amp;MATCH(C41,数出表_Excel!$A:$A,0)-1&amp;":U"&amp;MATCH(C41,数出表_Excel!$A:$A,0)-1&amp;"")),0)&gt;10,
IF(D41&lt;&gt;"",
IF(IF(COUNTIF('盛付札（関数）'!D41,"*キャラ*"),
VLOOKUP("*キャラ*",#REF!,7,FALSE),
IF(COUNTIF('盛付札（関数）'!D41,"*赤*"),
VLOOKUP("*赤*",#REF!,7,FALSE),
VLOOKUP('盛付札（関数）'!D41,#REF!,7,FALSE)))=0,"",
IF(ROUND(
IF(O41&lt;&gt;"",(H41-O41),H41)
/IF(COUNTIF('盛付札（関数）'!D41,"*キャラ*"),
VLOOKUP("*キャラ*",#REF!,7,FALSE),
IF(COUNTIF('盛付札（関数）'!D41,"*赤*"),
VLOOKUP("*赤*",#REF!,7,FALSE),
VLOOKUP('盛付札（関数）'!D41,#REF!,7,FALSE))),0)&lt;=0,1,
ROUND(
IF(O41&lt;&gt;"",(H41-O41),H41)
/IF(COUNTIF('盛付札（関数）'!D41,"*キャラ*"),
VLOOKUP("*キャラ*",#REF!,7,FALSE),
IF(COUNTIF('盛付札（関数）'!D41,"*赤*"),
VLOOKUP("*赤*",#REF!,7,FALSE),
VLOOKUP('盛付札（関数）'!D41,#REF!,7,FALSE))),0))),""),"")),"")</f>
        <v/>
      </c>
      <c r="G41" s="53" t="str">
        <f ca="1">IF(F41&lt;&gt;"",IF(VALUE(IF(O41&lt;&gt;"",H41-O41,H41))&gt;VALUE(IF(COUNTIF('盛付札（関数）'!D41,"*キャラ*"),
VLOOKUP("*キャラ*",#REF!,7,FALSE),
IF(COUNTIF('盛付札（関数）'!D41,"*赤*"),
VLOOKUP("*赤*",#REF!,7,FALSE),
VLOOKUP('盛付札（関数）'!D41,#REF!,7,FALSE)))*F41),
"+"&amp;IF(O41&lt;&gt;"",H41-O41,H41)-IF(COUNTIF('盛付札（関数）'!D41,"*キャラ*"),
VLOOKUP("*キャラ*",#REF!,7,FALSE),
IF(COUNTIF('盛付札（関数）'!D41,"*赤*"),
VLOOKUP("*赤*",#REF!,7,FALSE),
VLOOKUP('盛付札（関数）'!D41,#REF!,7,FALSE)))*F41,
IF(O41&lt;&gt;"",H41-O41,H41)-IF(COUNTIF('盛付札（関数）'!D41,"*キャラ*"),
VLOOKUP("*キャラ*",#REF!,7,FALSE),
IF(COUNTIF('盛付札（関数）'!D41,"*赤*"),
VLOOKUP("*赤*",#REF!,7,FALSE),
VLOOKUP('盛付札（関数）'!D41,#REF!,7,FALSE)))*F41),"")</f>
        <v/>
      </c>
      <c r="H41" s="195" t="str" cm="1">
        <f t="array" aca="1" ref="H41" ca="1">IF(C41&lt;&gt;"",
IF(INDIRECT("数出表_Excel!"&amp;LEFT(クライアント抽出!V41)&amp;A41-1&amp;"")&lt;&gt;"",INDIRECT("数出表_Excel!"&amp;LEFT(クライアント抽出!V41)&amp;A41-1&amp;""),0),"")</f>
        <v/>
      </c>
      <c r="I41" s="52" t="str" cm="1">
        <f t="array" aca="1" ref="I41" ca="1">IF(C41&lt;&gt;"",
IF(INDIRECT("数出表_Excel!"&amp;LEFT(クライアント抽出!V41)&amp;A41&amp;"")&lt;&gt;"",INDIRECT("数出表_Excel!"&amp;LEFT(クライアント抽出!V41)&amp;A41&amp;""),0),"")</f>
        <v/>
      </c>
      <c r="J41" s="52" t="str">
        <f ca="1">IF(C41&lt;&gt;"",
VLOOKUP(
IF(COUNTIF(D41,"*学食*"),"キャラ弁（学食）",
IF(COUNTIF(D41,"*赤*"),"赤",
IF(COUNTIF(D41,"*キャラ弁当*"),"キャラ弁当",D41))),注文弁当の抽出!$E$1:$F$15,2,FALSE),"")</f>
        <v/>
      </c>
      <c r="K41" s="52" t="str">
        <f t="shared" ca="1" si="10"/>
        <v/>
      </c>
      <c r="L41" s="52" t="str">
        <f t="shared" ca="1" si="11"/>
        <v/>
      </c>
      <c r="M41" s="52" cm="1">
        <f t="array" aca="1" ref="M41" ca="1">IF(C41&lt;&gt;"",
IF(IFERROR(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0)&lt;&gt;0,
IF(IFERROR(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"")="",
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""),
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0)),0),0)</f>
        <v>0</v>
      </c>
      <c r="N41" s="52" t="e">
        <f t="array" aca="1" ref="N41" ca="1">IF(B41="博多",
IF(C41&lt;&gt;"",
IF(IFERROR(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0)&lt;&gt;0,
IF(IFERROR(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0)="",
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0),
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0)),0),""),0)</f>
        <v>#N/A</v>
      </c>
      <c r="O41" s="52" t="e">
        <f t="shared" ca="1" si="12"/>
        <v>#N/A</v>
      </c>
      <c r="P41" s="52">
        <f t="shared" ca="1" si="4"/>
        <v>0</v>
      </c>
      <c r="Q41" s="52" t="b">
        <f t="shared" ca="1" si="13"/>
        <v>0</v>
      </c>
      <c r="R41" s="51" t="str" cm="1">
        <f t="array" aca="1" ref="R41" ca="1">IFERROR(SMALL(IF(P$1:P$300&lt;&gt;0,P$1:P$300),ROW(A41)),"")</f>
        <v/>
      </c>
      <c r="S41" s="51" t="str">
        <f t="array" aca="1" ref="S41" ca="1">IF($R41&lt;&gt;"",
INDIRECT(""&amp;IF(COLUMN(C61)&lt;=26,CHAR(COLUMN(C61)+64),CHAR(INT((COLUMN(C61)-1)/26)+64)&amp;CHAR(MOD(COLUMN(C61)-1,26)+65))&amp;$R41&amp;""),"")</f>
        <v/>
      </c>
      <c r="T41" s="51" t="str" cm="1">
        <f t="array" aca="1" ref="T41" ca="1">IF(IF($R41&lt;&gt;"",
INDIRECT(""&amp;IF(COLUMN(D61)&lt;=26,CHAR(COLUMN(D61)+64),CHAR(INT((COLUMN(D61)-1)/26)+64)&amp;CHAR(MOD(COLUMN(D61)-1,26)+65))&amp;$R41&amp;""),"")=0,"",
IF($R41&lt;&gt;"",
INDIRECT(""&amp;IF(COLUMN(D61)&lt;=26,CHAR(COLUMN(D61)+64),CHAR(INT((COLUMN(D61)-1)/26)+64)&amp;CHAR(MOD(COLUMN(D61)-1,26)+65))&amp;$R41&amp;""),""))</f>
        <v/>
      </c>
      <c r="V41" s="51" t="str">
        <f t="array" aca="1" ref="V41" ca="1">IF($R41&lt;&gt;"",
IF(U41="",
IF(INDIRECT("EY"&amp;$R41&amp;"")&lt;&gt;"",
INDIRECT("EY"&amp;$R41&amp;"")&amp;"箱"
&amp;INDIRECT("EZ"&amp;$R41&amp;""),""),""),"")</f>
        <v/>
      </c>
      <c r="W41" s="51" t="str">
        <f t="array" aca="1" ref="W41" ca="1">IF($R41&lt;&gt;"",
INDIRECT(""&amp;IF(COLUMN(H61)&lt;=26,CHAR(COLUMN(H61)+64),CHAR(INT((COLUMN(H61)-1)/26)+64)&amp;CHAR(MOD(COLUMN(H61)-1,26)+65))&amp;$R41&amp;""),"")</f>
        <v/>
      </c>
      <c r="X41" s="51" t="str">
        <f t="array" aca="1" ref="X41" ca="1">IF($R41&lt;&gt;"",
INDIRECT(""&amp;IF(COLUMN(I61)&lt;=26,CHAR(COLUMN(I61)+64),CHAR(INT((COLUMN(I61)-1)/26)+64)&amp;CHAR(MOD(COLUMN(I61)-1,26)+65))&amp;$R41&amp;""),"")</f>
        <v/>
      </c>
      <c r="Y41" s="51" t="str">
        <f t="array" aca="1" ref="Y41" ca="1">IF($R41&lt;&gt;"",
INDIRECT(""&amp;IF(COLUMN(J61)&lt;=26,CHAR(COLUMN(J61)+64),CHAR(INT((COLUMN(J61)-1)/26)+64)&amp;CHAR(MOD(COLUMN(J61)-1,26)+65))&amp;$R41&amp;""),"")</f>
        <v/>
      </c>
      <c r="Z41" s="51" t="str">
        <f t="array" aca="1" ref="Z41" ca="1">IF($R41&lt;&gt;"",
INDIRECT(""&amp;IF(COLUMN(K61)&lt;=26,CHAR(COLUMN(K61)+64),CHAR(INT((COLUMN(K61)-1)/26)+64)&amp;CHAR(MOD(COLUMN(K61)-1,26)+65))&amp;$R41&amp;""),"")</f>
        <v/>
      </c>
      <c r="AA41" s="51" t="str">
        <f t="array" aca="1" ref="AA41" ca="1">IF($R41&lt;&gt;"",
INDIRECT(""&amp;IF(COLUMN(L61)&lt;=26,CHAR(COLUMN(L61)+64),CHAR(INT((COLUMN(L61)-1)/26)+64)&amp;CHAR(MOD(COLUMN(L61)-1,26)+65))&amp;$R41&amp;""),"")</f>
        <v/>
      </c>
      <c r="AB41" s="51" t="str">
        <f t="array" aca="1" ref="AB41" ca="1">IF($R41&lt;&gt;"",
INDIRECT(""&amp;IF(COLUMN(O61)&lt;=26,CHAR(COLUMN(O61)+64),CHAR(INT((COLUMN(O61)-1)/26)+64)&amp;CHAR(MOD(COLUMN(O61)-1,26)+65))&amp;$R41&amp;""),"")</f>
        <v/>
      </c>
    </row>
    <row r="42" spans="1:28" ht="21" customHeight="1">
      <c r="A42" s="197">
        <f t="shared" si="9"/>
        <v>89</v>
      </c>
      <c r="B42" s="52" t="e">
        <f t="array" aca="1" ref="B42" ca="1">IF(AND(LEFT(C42,2)="博多",
LEFT(INDIRECT("数出表_Excel!A"&amp;MATCH(C42,数出表_Excel!$A:$A,0)-1),2)
=LEFT(INDIRECT("数出表_Excel!A"&amp;MATCH(C42,数出表_Excel!$A:$A,0)+1),2)),"博多",
IF(AND(LEFT(C42,3)="奈良屋",
LEFT(INDIRECT("数出表_Excel!A"&amp;MATCH(C42,数出表_Excel!$A:$A,0)-1),2)
=LEFT(INDIRECT("数出表_Excel!A"&amp;MATCH(C42,数出表_Excel!$A:$A,0)+1),2)),"奈良屋",""))</f>
        <v>#N/A</v>
      </c>
      <c r="C42" s="52" t="str" cm="1">
        <f t="array" aca="1" ref="C42" ca="1">IF(IF(クライアント抽出!A42="",0,LEN(クライアント抽出!V42)-LEN(SUBSTITUTE(クライアント抽出!V42,",","")))&gt;=1,INDIRECT("数出表_Excel!A"&amp;A42&amp;""),"")</f>
        <v/>
      </c>
      <c r="D42" s="52" t="str" cm="1">
        <f t="array" aca="1" ref="D42" ca="1">IF(C42&lt;&gt;"",INDIRECT("クライアント抽出!"&amp;E42&amp;MATCH(C42,クライアント抽出!A:A,0)&amp;""),"")</f>
        <v/>
      </c>
      <c r="E42" s="52" t="str">
        <f ca="1"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t="array" aca="1" ref="F42" ca="1">IF(D42&lt;&gt;"",
IF(COUNTIF(C42,"*雙葉*"),
IF(ROUND(
IF(O42&lt;&gt;"",(H42-O42),H42)
/IF(COUNTIF('盛付札（関数）'!D42,"*キャラ*"),
VLOOKUP("*キャラ*",#REF!,7,FALSE),
IF(COUNTIF('盛付札（関数）'!D42,"*赤*"),
VLOOKUP("*赤*",#REF!,7,FALSE),
VLOOKUP('盛付札（関数）'!D42,#REF!,7,FALSE))),0)&lt;=0,1,
ROUND(
IF(O42&lt;&gt;"",(H42-O42),H42)
/IF(COUNTIF('盛付札（関数）'!D42,"*キャラ*"),
VLOOKUP("*キャラ*",#REF!,7,FALSE),
IF(COUNTIF('盛付札（関数）'!D42,"*赤*"),
VLOOKUP("*赤*",#REF!,7,FALSE),
VLOOKUP('盛付札（関数）'!D42,#REF!,7,FALSE))),0)),
IF(MATCH(TRUE,
ISNUMBER(--INDIRECT("数出表_Excel!B"&amp;MATCH(C42,数出表_Excel!$A:$A,0)-1&amp;":U"&amp;MATCH(C42,数出表_Excel!$A:$A,0)-1&amp;"")),0)&gt;10,
IF(D42&lt;&gt;"",
IF(IF(COUNTIF('盛付札（関数）'!D42,"*キャラ*"),
VLOOKUP("*キャラ*",#REF!,7,FALSE),
IF(COUNTIF('盛付札（関数）'!D42,"*赤*"),
VLOOKUP("*赤*",#REF!,7,FALSE),
VLOOKUP('盛付札（関数）'!D42,#REF!,7,FALSE)))=0,"",
IF(ROUND(
IF(O42&lt;&gt;"",(H42-O42),H42)
/IF(COUNTIF('盛付札（関数）'!D42,"*キャラ*"),
VLOOKUP("*キャラ*",#REF!,7,FALSE),
IF(COUNTIF('盛付札（関数）'!D42,"*赤*"),
VLOOKUP("*赤*",#REF!,7,FALSE),
VLOOKUP('盛付札（関数）'!D42,#REF!,7,FALSE))),0)&lt;=0,1,
ROUND(
IF(O42&lt;&gt;"",(H42-O42),H42)
/IF(COUNTIF('盛付札（関数）'!D42,"*キャラ*"),
VLOOKUP("*キャラ*",#REF!,7,FALSE),
IF(COUNTIF('盛付札（関数）'!D42,"*赤*"),
VLOOKUP("*赤*",#REF!,7,FALSE),
VLOOKUP('盛付札（関数）'!D42,#REF!,7,FALSE))),0))),""),"")),"")</f>
        <v/>
      </c>
      <c r="G42" s="53" t="str">
        <f ca="1">IF(F42&lt;&gt;"",IF(VALUE(IF(O42&lt;&gt;"",H42-O42,H42))&gt;VALUE(IF(COUNTIF('盛付札（関数）'!D42,"*キャラ*"),
VLOOKUP("*キャラ*",#REF!,7,FALSE),
IF(COUNTIF('盛付札（関数）'!D42,"*赤*"),
VLOOKUP("*赤*",#REF!,7,FALSE),
VLOOKUP('盛付札（関数）'!D42,#REF!,7,FALSE)))*F42),
"+"&amp;IF(O42&lt;&gt;"",H42-O42,H42)-IF(COUNTIF('盛付札（関数）'!D42,"*キャラ*"),
VLOOKUP("*キャラ*",#REF!,7,FALSE),
IF(COUNTIF('盛付札（関数）'!D42,"*赤*"),
VLOOKUP("*赤*",#REF!,7,FALSE),
VLOOKUP('盛付札（関数）'!D42,#REF!,7,FALSE)))*F42,
IF(O42&lt;&gt;"",H42-O42,H42)-IF(COUNTIF('盛付札（関数）'!D42,"*キャラ*"),
VLOOKUP("*キャラ*",#REF!,7,FALSE),
IF(COUNTIF('盛付札（関数）'!D42,"*赤*"),
VLOOKUP("*赤*",#REF!,7,FALSE),
VLOOKUP('盛付札（関数）'!D42,#REF!,7,FALSE)))*F42),"")</f>
        <v/>
      </c>
      <c r="H42" s="195" t="str" cm="1">
        <f t="array" aca="1" ref="H42" ca="1">IF(C42&lt;&gt;"",
IF(INDIRECT("数出表_Excel!"&amp;LEFT(クライアント抽出!V42)&amp;A42-1&amp;"")&lt;&gt;"",INDIRECT("数出表_Excel!"&amp;LEFT(クライアント抽出!V42)&amp;A42-1&amp;""),0),"")</f>
        <v/>
      </c>
      <c r="I42" s="52" t="str" cm="1">
        <f t="array" aca="1" ref="I42" ca="1">IF(C42&lt;&gt;"",
IF(INDIRECT("数出表_Excel!"&amp;LEFT(クライアント抽出!V42)&amp;A42&amp;"")&lt;&gt;"",INDIRECT("数出表_Excel!"&amp;LEFT(クライアント抽出!V42)&amp;A42&amp;""),0),"")</f>
        <v/>
      </c>
      <c r="J42" s="52" t="str">
        <f ca="1">IF(C42&lt;&gt;"",
VLOOKUP(
IF(COUNTIF(D42,"*学食*"),"キャラ弁（学食）",
IF(COUNTIF(D42,"*赤*"),"赤",
IF(COUNTIF(D42,"*キャラ弁当*"),"キャラ弁当",D42))),注文弁当の抽出!$E$1:$F$15,2,FALSE),"")</f>
        <v/>
      </c>
      <c r="K42" s="52" t="str">
        <f t="shared" ca="1" si="10"/>
        <v/>
      </c>
      <c r="L42" s="52" t="str">
        <f t="shared" ca="1" si="11"/>
        <v/>
      </c>
      <c r="M42" s="52" cm="1">
        <f t="array" aca="1" ref="M42" ca="1">IF(C42&lt;&gt;"",
IF(IFERROR(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0)&lt;&gt;0,
IF(IFERROR(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"")="",
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""),
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0)),0),0)</f>
        <v>0</v>
      </c>
      <c r="N42" s="52" t="e">
        <f t="array" aca="1" ref="N42" ca="1">IF(B42="博多",
IF(C42&lt;&gt;"",
IF(IFERROR(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0)&lt;&gt;0,
IF(IFERROR(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0)="",
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0),
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0)),0),""),0)</f>
        <v>#N/A</v>
      </c>
      <c r="O42" s="52" t="e">
        <f t="shared" ca="1" si="12"/>
        <v>#N/A</v>
      </c>
      <c r="P42" s="52">
        <f t="shared" ca="1" si="4"/>
        <v>0</v>
      </c>
      <c r="Q42" s="52" t="b">
        <f t="shared" ca="1" si="13"/>
        <v>0</v>
      </c>
      <c r="R42" s="51" t="str" cm="1">
        <f t="array" aca="1" ref="R42" ca="1">IFERROR(SMALL(IF(P$1:P$300&lt;&gt;0,P$1:P$300),ROW(A42)),"")</f>
        <v/>
      </c>
      <c r="S42" s="51" t="str">
        <f t="array" aca="1" ref="S42" ca="1">IF($R42&lt;&gt;"",
INDIRECT(""&amp;IF(COLUMN(C62)&lt;=26,CHAR(COLUMN(C62)+64),CHAR(INT((COLUMN(C62)-1)/26)+64)&amp;CHAR(MOD(COLUMN(C62)-1,26)+65))&amp;$R42&amp;""),"")</f>
        <v/>
      </c>
      <c r="T42" s="51" t="str" cm="1">
        <f t="array" aca="1" ref="T42" ca="1">IF(IF($R42&lt;&gt;"",
INDIRECT(""&amp;IF(COLUMN(D62)&lt;=26,CHAR(COLUMN(D62)+64),CHAR(INT((COLUMN(D62)-1)/26)+64)&amp;CHAR(MOD(COLUMN(D62)-1,26)+65))&amp;$R42&amp;""),"")=0,"",
IF($R42&lt;&gt;"",
INDIRECT(""&amp;IF(COLUMN(D62)&lt;=26,CHAR(COLUMN(D62)+64),CHAR(INT((COLUMN(D62)-1)/26)+64)&amp;CHAR(MOD(COLUMN(D62)-1,26)+65))&amp;$R42&amp;""),""))</f>
        <v/>
      </c>
      <c r="U42" s="51"/>
      <c r="V42" s="51" t="str">
        <f t="array" aca="1" ref="V42" ca="1">IF($R42&lt;&gt;"",
IF(U42="",
IF(INDIRECT("EY"&amp;$R42&amp;"")&lt;&gt;"",
INDIRECT("EY"&amp;$R42&amp;"")&amp;"箱"
&amp;INDIRECT("EZ"&amp;$R42&amp;""),""),""),"")</f>
        <v/>
      </c>
      <c r="W42" s="51" t="str">
        <f t="array" aca="1" ref="W42" ca="1">IF($R42&lt;&gt;"",
INDIRECT(""&amp;IF(COLUMN(H62)&lt;=26,CHAR(COLUMN(H62)+64),CHAR(INT((COLUMN(H62)-1)/26)+64)&amp;CHAR(MOD(COLUMN(H62)-1,26)+65))&amp;$R42&amp;""),"")</f>
        <v/>
      </c>
      <c r="X42" s="51" t="str">
        <f t="array" aca="1" ref="X42" ca="1">IF($R42&lt;&gt;"",
INDIRECT(""&amp;IF(COLUMN(I62)&lt;=26,CHAR(COLUMN(I62)+64),CHAR(INT((COLUMN(I62)-1)/26)+64)&amp;CHAR(MOD(COLUMN(I62)-1,26)+65))&amp;$R42&amp;""),"")</f>
        <v/>
      </c>
      <c r="Y42" s="51" t="str">
        <f t="array" aca="1" ref="Y42" ca="1">IF($R42&lt;&gt;"",
INDIRECT(""&amp;IF(COLUMN(J62)&lt;=26,CHAR(COLUMN(J62)+64),CHAR(INT((COLUMN(J62)-1)/26)+64)&amp;CHAR(MOD(COLUMN(J62)-1,26)+65))&amp;$R42&amp;""),"")</f>
        <v/>
      </c>
      <c r="Z42" s="51" t="str">
        <f t="array" aca="1" ref="Z42" ca="1">IF($R42&lt;&gt;"",
INDIRECT(""&amp;IF(COLUMN(K62)&lt;=26,CHAR(COLUMN(K62)+64),CHAR(INT((COLUMN(K62)-1)/26)+64)&amp;CHAR(MOD(COLUMN(K62)-1,26)+65))&amp;$R42&amp;""),"")</f>
        <v/>
      </c>
      <c r="AA42" s="51" t="str">
        <f t="array" aca="1" ref="AA42" ca="1">IF($R42&lt;&gt;"",
INDIRECT(""&amp;IF(COLUMN(L62)&lt;=26,CHAR(COLUMN(L62)+64),CHAR(INT((COLUMN(L62)-1)/26)+64)&amp;CHAR(MOD(COLUMN(L62)-1,26)+65))&amp;$R42&amp;""),"")</f>
        <v/>
      </c>
      <c r="AB42" s="51" t="str">
        <f t="array" aca="1" ref="AB42" ca="1">IF($R42&lt;&gt;"",
INDIRECT(""&amp;IF(COLUMN(O62)&lt;=26,CHAR(COLUMN(O62)+64),CHAR(INT((COLUMN(O62)-1)/26)+64)&amp;CHAR(MOD(COLUMN(O62)-1,26)+65))&amp;$R42&amp;""),"")</f>
        <v/>
      </c>
    </row>
    <row r="43" spans="1:28" s="51" customFormat="1" ht="18" customHeight="1">
      <c r="A43" s="197">
        <f t="shared" si="9"/>
        <v>91</v>
      </c>
      <c r="B43" s="52" t="e">
        <f t="array" aca="1" ref="B43" ca="1">IF(AND(LEFT(C43,2)="博多",
LEFT(INDIRECT("数出表_Excel!A"&amp;MATCH(C43,数出表_Excel!$A:$A,0)-1),2)
=LEFT(INDIRECT("数出表_Excel!A"&amp;MATCH(C43,数出表_Excel!$A:$A,0)+1),2)),"博多",
IF(AND(LEFT(C43,3)="奈良屋",
LEFT(INDIRECT("数出表_Excel!A"&amp;MATCH(C43,数出表_Excel!$A:$A,0)-1),2)
=LEFT(INDIRECT("数出表_Excel!A"&amp;MATCH(C43,数出表_Excel!$A:$A,0)+1),2)),"奈良屋",""))</f>
        <v>#N/A</v>
      </c>
      <c r="C43" s="52" t="str" cm="1">
        <f t="array" aca="1" ref="C43" ca="1">IF(IF(クライアント抽出!A43="",0,LEN(クライアント抽出!V43)-LEN(SUBSTITUTE(クライアント抽出!V43,",","")))&gt;=1,INDIRECT("数出表_Excel!A"&amp;A43&amp;""),"")</f>
        <v/>
      </c>
      <c r="D43" s="52" t="str" cm="1">
        <f t="array" aca="1" ref="D43" ca="1">IF(C43&lt;&gt;"",INDIRECT("クライアント抽出!"&amp;E43&amp;MATCH(C43,クライアント抽出!A:A,0)&amp;""),"")</f>
        <v/>
      </c>
      <c r="E43" s="52" t="str">
        <f ca="1"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t="array" aca="1" ref="F43" ca="1">IF(D43&lt;&gt;"",
IF(COUNTIF(C43,"*雙葉*"),
IF(ROUND(
IF(O43&lt;&gt;"",(H43-O43),H43)
/IF(COUNTIF('盛付札（関数）'!D43,"*キャラ*"),
VLOOKUP("*キャラ*",#REF!,7,FALSE),
IF(COUNTIF('盛付札（関数）'!D43,"*赤*"),
VLOOKUP("*赤*",#REF!,7,FALSE),
VLOOKUP('盛付札（関数）'!D43,#REF!,7,FALSE))),0)&lt;=0,1,
ROUND(
IF(O43&lt;&gt;"",(H43-O43),H43)
/IF(COUNTIF('盛付札（関数）'!D43,"*キャラ*"),
VLOOKUP("*キャラ*",#REF!,7,FALSE),
IF(COUNTIF('盛付札（関数）'!D43,"*赤*"),
VLOOKUP("*赤*",#REF!,7,FALSE),
VLOOKUP('盛付札（関数）'!D43,#REF!,7,FALSE))),0)),
IF(MATCH(TRUE,
ISNUMBER(--INDIRECT("数出表_Excel!B"&amp;MATCH(C43,数出表_Excel!$A:$A,0)-1&amp;":U"&amp;MATCH(C43,数出表_Excel!$A:$A,0)-1&amp;"")),0)&gt;10,
IF(D43&lt;&gt;"",
IF(IF(COUNTIF('盛付札（関数）'!D43,"*キャラ*"),
VLOOKUP("*キャラ*",#REF!,7,FALSE),
IF(COUNTIF('盛付札（関数）'!D43,"*赤*"),
VLOOKUP("*赤*",#REF!,7,FALSE),
VLOOKUP('盛付札（関数）'!D43,#REF!,7,FALSE)))=0,"",
IF(ROUND(
IF(O43&lt;&gt;"",(H43-O43),H43)
/IF(COUNTIF('盛付札（関数）'!D43,"*キャラ*"),
VLOOKUP("*キャラ*",#REF!,7,FALSE),
IF(COUNTIF('盛付札（関数）'!D43,"*赤*"),
VLOOKUP("*赤*",#REF!,7,FALSE),
VLOOKUP('盛付札（関数）'!D43,#REF!,7,FALSE))),0)&lt;=0,1,
ROUND(
IF(O43&lt;&gt;"",(H43-O43),H43)
/IF(COUNTIF('盛付札（関数）'!D43,"*キャラ*"),
VLOOKUP("*キャラ*",#REF!,7,FALSE),
IF(COUNTIF('盛付札（関数）'!D43,"*赤*"),
VLOOKUP("*赤*",#REF!,7,FALSE),
VLOOKUP('盛付札（関数）'!D43,#REF!,7,FALSE))),0))),""),"")),"")</f>
        <v/>
      </c>
      <c r="G43" s="53" t="str">
        <f ca="1">IF(F43&lt;&gt;"",IF(VALUE(IF(O43&lt;&gt;"",H43-O43,H43))&gt;VALUE(IF(COUNTIF('盛付札（関数）'!D43,"*キャラ*"),
VLOOKUP("*キャラ*",#REF!,7,FALSE),
IF(COUNTIF('盛付札（関数）'!D43,"*赤*"),
VLOOKUP("*赤*",#REF!,7,FALSE),
VLOOKUP('盛付札（関数）'!D43,#REF!,7,FALSE)))*F43),
"+"&amp;IF(O43&lt;&gt;"",H43-O43,H43)-IF(COUNTIF('盛付札（関数）'!D43,"*キャラ*"),
VLOOKUP("*キャラ*",#REF!,7,FALSE),
IF(COUNTIF('盛付札（関数）'!D43,"*赤*"),
VLOOKUP("*赤*",#REF!,7,FALSE),
VLOOKUP('盛付札（関数）'!D43,#REF!,7,FALSE)))*F43,
IF(O43&lt;&gt;"",H43-O43,H43)-IF(COUNTIF('盛付札（関数）'!D43,"*キャラ*"),
VLOOKUP("*キャラ*",#REF!,7,FALSE),
IF(COUNTIF('盛付札（関数）'!D43,"*赤*"),
VLOOKUP("*赤*",#REF!,7,FALSE),
VLOOKUP('盛付札（関数）'!D43,#REF!,7,FALSE)))*F43),"")</f>
        <v/>
      </c>
      <c r="H43" s="195" t="str" cm="1">
        <f t="array" aca="1" ref="H43" ca="1">IF(C43&lt;&gt;"",
IF(INDIRECT("数出表_Excel!"&amp;LEFT(クライアント抽出!V43)&amp;A43-1&amp;"")&lt;&gt;"",INDIRECT("数出表_Excel!"&amp;LEFT(クライアント抽出!V43)&amp;A43-1&amp;""),0),"")</f>
        <v/>
      </c>
      <c r="I43" s="52" t="str" cm="1">
        <f t="array" aca="1" ref="I43" ca="1">IF(C43&lt;&gt;"",
IF(INDIRECT("数出表_Excel!"&amp;LEFT(クライアント抽出!V43)&amp;A43&amp;"")&lt;&gt;"",INDIRECT("数出表_Excel!"&amp;LEFT(クライアント抽出!V43)&amp;A43&amp;""),0),"")</f>
        <v/>
      </c>
      <c r="J43" s="52" t="str">
        <f ca="1">IF(C43&lt;&gt;"",
VLOOKUP(
IF(COUNTIF(D43,"*学食*"),"キャラ弁（学食）",
IF(COUNTIF(D43,"*赤*"),"赤",
IF(COUNTIF(D43,"*キャラ弁当*"),"キャラ弁当",D43))),注文弁当の抽出!$E$1:$F$15,2,FALSE),"")</f>
        <v/>
      </c>
      <c r="K43" s="52" t="str">
        <f t="shared" ca="1" si="10"/>
        <v/>
      </c>
      <c r="L43" s="52" t="str">
        <f t="shared" ca="1" si="11"/>
        <v/>
      </c>
      <c r="M43" s="52" cm="1">
        <f t="array" aca="1" ref="M43" ca="1">IF(C43&lt;&gt;"",
IF(IFERROR(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0)&lt;&gt;0,
IF(IFERROR(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"")="",
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""),
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0)),0),0)</f>
        <v>0</v>
      </c>
      <c r="N43" s="52" t="e">
        <f t="array" aca="1" ref="N43" ca="1">IF(B43="博多",
IF(C43&lt;&gt;"",
IF(IFERROR(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0)&lt;&gt;0,
IF(IFERROR(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0)="",
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0),
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0)),0),""),0)</f>
        <v>#N/A</v>
      </c>
      <c r="O43" s="52" t="e">
        <f t="shared" ca="1" si="12"/>
        <v>#N/A</v>
      </c>
      <c r="P43" s="52">
        <f t="shared" ca="1" si="4"/>
        <v>0</v>
      </c>
      <c r="Q43" s="52" t="b">
        <f t="shared" ca="1" si="13"/>
        <v>0</v>
      </c>
      <c r="R43" s="51" t="str" cm="1">
        <f t="array" aca="1" ref="R43" ca="1">IFERROR(SMALL(IF(P$1:P$300&lt;&gt;0,P$1:P$300),ROW(A43)),"")</f>
        <v/>
      </c>
      <c r="S43" s="51" t="str">
        <f t="array" aca="1" ref="S43" ca="1">IF($R43&lt;&gt;"",
INDIRECT(""&amp;IF(COLUMN(C63)&lt;=26,CHAR(COLUMN(C63)+64),CHAR(INT((COLUMN(C63)-1)/26)+64)&amp;CHAR(MOD(COLUMN(C63)-1,26)+65))&amp;$R43&amp;""),"")</f>
        <v/>
      </c>
      <c r="T43" s="51" t="str" cm="1">
        <f t="array" aca="1" ref="T43" ca="1">IF(IF($R43&lt;&gt;"",
INDIRECT(""&amp;IF(COLUMN(D63)&lt;=26,CHAR(COLUMN(D63)+64),CHAR(INT((COLUMN(D63)-1)/26)+64)&amp;CHAR(MOD(COLUMN(D63)-1,26)+65))&amp;$R43&amp;""),"")=0,"",
IF($R43&lt;&gt;"",
INDIRECT(""&amp;IF(COLUMN(D63)&lt;=26,CHAR(COLUMN(D63)+64),CHAR(INT((COLUMN(D63)-1)/26)+64)&amp;CHAR(MOD(COLUMN(D63)-1,26)+65))&amp;$R43&amp;""),""))</f>
        <v/>
      </c>
      <c r="V43" s="51" t="str">
        <f t="array" aca="1" ref="V43" ca="1">IF($R43&lt;&gt;"",
IF(U43="",
IF(INDIRECT("EY"&amp;$R43&amp;"")&lt;&gt;"",
INDIRECT("EY"&amp;$R43&amp;"")&amp;"箱"
&amp;INDIRECT("EZ"&amp;$R43&amp;""),""),""),"")</f>
        <v/>
      </c>
      <c r="W43" s="51" t="str">
        <f t="array" aca="1" ref="W43" ca="1">IF($R43&lt;&gt;"",
INDIRECT(""&amp;IF(COLUMN(H63)&lt;=26,CHAR(COLUMN(H63)+64),CHAR(INT((COLUMN(H63)-1)/26)+64)&amp;CHAR(MOD(COLUMN(H63)-1,26)+65))&amp;$R43&amp;""),"")</f>
        <v/>
      </c>
      <c r="X43" s="51" t="str">
        <f t="array" aca="1" ref="X43" ca="1">IF($R43&lt;&gt;"",
INDIRECT(""&amp;IF(COLUMN(I63)&lt;=26,CHAR(COLUMN(I63)+64),CHAR(INT((COLUMN(I63)-1)/26)+64)&amp;CHAR(MOD(COLUMN(I63)-1,26)+65))&amp;$R43&amp;""),"")</f>
        <v/>
      </c>
      <c r="Y43" s="51" t="str">
        <f t="array" aca="1" ref="Y43" ca="1">IF($R43&lt;&gt;"",
INDIRECT(""&amp;IF(COLUMN(J63)&lt;=26,CHAR(COLUMN(J63)+64),CHAR(INT((COLUMN(J63)-1)/26)+64)&amp;CHAR(MOD(COLUMN(J63)-1,26)+65))&amp;$R43&amp;""),"")</f>
        <v/>
      </c>
      <c r="Z43" s="51" t="str">
        <f t="array" aca="1" ref="Z43" ca="1">IF($R43&lt;&gt;"",
INDIRECT(""&amp;IF(COLUMN(K63)&lt;=26,CHAR(COLUMN(K63)+64),CHAR(INT((COLUMN(K63)-1)/26)+64)&amp;CHAR(MOD(COLUMN(K63)-1,26)+65))&amp;$R43&amp;""),"")</f>
        <v/>
      </c>
      <c r="AA43" s="51" t="str">
        <f t="array" aca="1" ref="AA43" ca="1">IF($R43&lt;&gt;"",
INDIRECT(""&amp;IF(COLUMN(L63)&lt;=26,CHAR(COLUMN(L63)+64),CHAR(INT((COLUMN(L63)-1)/26)+64)&amp;CHAR(MOD(COLUMN(L63)-1,26)+65))&amp;$R43&amp;""),"")</f>
        <v/>
      </c>
      <c r="AB43" s="51" t="str">
        <f t="array" aca="1" ref="AB43" ca="1">IF($R43&lt;&gt;"",
INDIRECT(""&amp;IF(COLUMN(O63)&lt;=26,CHAR(COLUMN(O63)+64),CHAR(INT((COLUMN(O63)-1)/26)+64)&amp;CHAR(MOD(COLUMN(O63)-1,26)+65))&amp;$R43&amp;""),"")</f>
        <v/>
      </c>
    </row>
    <row r="44" spans="1:28" s="51" customFormat="1" ht="18" customHeight="1">
      <c r="A44" s="197">
        <f t="shared" si="9"/>
        <v>93</v>
      </c>
      <c r="B44" s="52" t="e">
        <f t="array" aca="1" ref="B44" ca="1">IF(AND(LEFT(C44,2)="博多",
LEFT(INDIRECT("数出表_Excel!A"&amp;MATCH(C44,数出表_Excel!$A:$A,0)-1),2)
=LEFT(INDIRECT("数出表_Excel!A"&amp;MATCH(C44,数出表_Excel!$A:$A,0)+1),2)),"博多",
IF(AND(LEFT(C44,3)="奈良屋",
LEFT(INDIRECT("数出表_Excel!A"&amp;MATCH(C44,数出表_Excel!$A:$A,0)-1),2)
=LEFT(INDIRECT("数出表_Excel!A"&amp;MATCH(C44,数出表_Excel!$A:$A,0)+1),2)),"奈良屋",""))</f>
        <v>#N/A</v>
      </c>
      <c r="C44" s="52" t="str" cm="1">
        <f t="array" aca="1" ref="C44" ca="1">IF(IF(クライアント抽出!A44="",0,LEN(クライアント抽出!V44)-LEN(SUBSTITUTE(クライアント抽出!V44,",","")))&gt;=1,INDIRECT("数出表_Excel!A"&amp;A44&amp;""),"")</f>
        <v/>
      </c>
      <c r="D44" s="52" t="str" cm="1">
        <f t="array" aca="1" ref="D44" ca="1">IF(C44&lt;&gt;"",INDIRECT("クライアント抽出!"&amp;E44&amp;MATCH(C44,クライアント抽出!A:A,0)&amp;""),"")</f>
        <v/>
      </c>
      <c r="E44" s="52" t="str">
        <f ca="1"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t="array" aca="1" ref="F44" ca="1">IF(D44&lt;&gt;"",
IF(COUNTIF(C44,"*雙葉*"),
IF(ROUND(
IF(O44&lt;&gt;"",(H44-O44),H44)
/IF(COUNTIF('盛付札（関数）'!D44,"*キャラ*"),
VLOOKUP("*キャラ*",#REF!,7,FALSE),
IF(COUNTIF('盛付札（関数）'!D44,"*赤*"),
VLOOKUP("*赤*",#REF!,7,FALSE),
VLOOKUP('盛付札（関数）'!D44,#REF!,7,FALSE))),0)&lt;=0,1,
ROUND(
IF(O44&lt;&gt;"",(H44-O44),H44)
/IF(COUNTIF('盛付札（関数）'!D44,"*キャラ*"),
VLOOKUP("*キャラ*",#REF!,7,FALSE),
IF(COUNTIF('盛付札（関数）'!D44,"*赤*"),
VLOOKUP("*赤*",#REF!,7,FALSE),
VLOOKUP('盛付札（関数）'!D44,#REF!,7,FALSE))),0)),
IF(MATCH(TRUE,
ISNUMBER(--INDIRECT("数出表_Excel!B"&amp;MATCH(C44,数出表_Excel!$A:$A,0)-1&amp;":U"&amp;MATCH(C44,数出表_Excel!$A:$A,0)-1&amp;"")),0)&gt;10,
IF(D44&lt;&gt;"",
IF(IF(COUNTIF('盛付札（関数）'!D44,"*キャラ*"),
VLOOKUP("*キャラ*",#REF!,7,FALSE),
IF(COUNTIF('盛付札（関数）'!D44,"*赤*"),
VLOOKUP("*赤*",#REF!,7,FALSE),
VLOOKUP('盛付札（関数）'!D44,#REF!,7,FALSE)))=0,"",
IF(ROUND(
IF(O44&lt;&gt;"",(H44-O44),H44)
/IF(COUNTIF('盛付札（関数）'!D44,"*キャラ*"),
VLOOKUP("*キャラ*",#REF!,7,FALSE),
IF(COUNTIF('盛付札（関数）'!D44,"*赤*"),
VLOOKUP("*赤*",#REF!,7,FALSE),
VLOOKUP('盛付札（関数）'!D44,#REF!,7,FALSE))),0)&lt;=0,1,
ROUND(
IF(O44&lt;&gt;"",(H44-O44),H44)
/IF(COUNTIF('盛付札（関数）'!D44,"*キャラ*"),
VLOOKUP("*キャラ*",#REF!,7,FALSE),
IF(COUNTIF('盛付札（関数）'!D44,"*赤*"),
VLOOKUP("*赤*",#REF!,7,FALSE),
VLOOKUP('盛付札（関数）'!D44,#REF!,7,FALSE))),0))),""),"")),"")</f>
        <v/>
      </c>
      <c r="G44" s="53" t="str">
        <f ca="1">IF(F44&lt;&gt;"",IF(VALUE(IF(O44&lt;&gt;"",H44-O44,H44))&gt;VALUE(IF(COUNTIF('盛付札（関数）'!D44,"*キャラ*"),
VLOOKUP("*キャラ*",#REF!,7,FALSE),
IF(COUNTIF('盛付札（関数）'!D44,"*赤*"),
VLOOKUP("*赤*",#REF!,7,FALSE),
VLOOKUP('盛付札（関数）'!D44,#REF!,7,FALSE)))*F44),
"+"&amp;IF(O44&lt;&gt;"",H44-O44,H44)-IF(COUNTIF('盛付札（関数）'!D44,"*キャラ*"),
VLOOKUP("*キャラ*",#REF!,7,FALSE),
IF(COUNTIF('盛付札（関数）'!D44,"*赤*"),
VLOOKUP("*赤*",#REF!,7,FALSE),
VLOOKUP('盛付札（関数）'!D44,#REF!,7,FALSE)))*F44,
IF(O44&lt;&gt;"",H44-O44,H44)-IF(COUNTIF('盛付札（関数）'!D44,"*キャラ*"),
VLOOKUP("*キャラ*",#REF!,7,FALSE),
IF(COUNTIF('盛付札（関数）'!D44,"*赤*"),
VLOOKUP("*赤*",#REF!,7,FALSE),
VLOOKUP('盛付札（関数）'!D44,#REF!,7,FALSE)))*F44),"")</f>
        <v/>
      </c>
      <c r="H44" s="195" t="str" cm="1">
        <f t="array" aca="1" ref="H44" ca="1">IF(C44&lt;&gt;"",
IF(INDIRECT("数出表_Excel!"&amp;LEFT(クライアント抽出!V44)&amp;A44-1&amp;"")&lt;&gt;"",INDIRECT("数出表_Excel!"&amp;LEFT(クライアント抽出!V44)&amp;A44-1&amp;""),0),"")</f>
        <v/>
      </c>
      <c r="I44" s="52" t="str" cm="1">
        <f t="array" aca="1" ref="I44" ca="1">IF(C44&lt;&gt;"",
IF(INDIRECT("数出表_Excel!"&amp;LEFT(クライアント抽出!V44)&amp;A44&amp;"")&lt;&gt;"",INDIRECT("数出表_Excel!"&amp;LEFT(クライアント抽出!V44)&amp;A44&amp;""),0),"")</f>
        <v/>
      </c>
      <c r="J44" s="52" t="str">
        <f ca="1">IF(C44&lt;&gt;"",
VLOOKUP(
IF(COUNTIF(D44,"*学食*"),"キャラ弁（学食）",
IF(COUNTIF(D44,"*赤*"),"赤",
IF(COUNTIF(D44,"*キャラ弁当*"),"キャラ弁当",D44))),注文弁当の抽出!$E$1:$F$15,2,FALSE),"")</f>
        <v/>
      </c>
      <c r="K44" s="52" t="str">
        <f t="shared" ca="1" si="10"/>
        <v/>
      </c>
      <c r="L44" s="52" t="str">
        <f t="shared" ca="1" si="11"/>
        <v/>
      </c>
      <c r="M44" s="52" cm="1">
        <f t="array" aca="1" ref="M44" ca="1">IF(C44&lt;&gt;"",
IF(IFERROR(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0)&lt;&gt;0,
IF(IFERROR(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"")="",
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""),
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0)),0),0)</f>
        <v>0</v>
      </c>
      <c r="N44" s="52" t="e">
        <f t="array" aca="1" ref="N44" ca="1">IF(B44="博多",
IF(C44&lt;&gt;"",
IF(IFERROR(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0)&lt;&gt;0,
IF(IFERROR(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0)="",
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0),
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0)),0),""),0)</f>
        <v>#N/A</v>
      </c>
      <c r="O44" s="52" t="e">
        <f t="shared" ca="1" si="12"/>
        <v>#N/A</v>
      </c>
      <c r="P44" s="52">
        <f t="shared" ca="1" si="4"/>
        <v>0</v>
      </c>
      <c r="Q44" s="52" t="b">
        <f t="shared" ca="1" si="13"/>
        <v>0</v>
      </c>
      <c r="R44" s="51" t="str" cm="1">
        <f t="array" aca="1" ref="R44" ca="1">IFERROR(SMALL(IF(P$1:P$300&lt;&gt;0,P$1:P$300),ROW(A44)),"")</f>
        <v/>
      </c>
      <c r="S44" s="51" t="str">
        <f t="array" aca="1" ref="S44" ca="1">IF($R44&lt;&gt;"",
INDIRECT(""&amp;IF(COLUMN(C64)&lt;=26,CHAR(COLUMN(C64)+64),CHAR(INT((COLUMN(C64)-1)/26)+64)&amp;CHAR(MOD(COLUMN(C64)-1,26)+65))&amp;$R44&amp;""),"")</f>
        <v/>
      </c>
      <c r="T44" s="51" t="str" cm="1">
        <f t="array" aca="1" ref="T44" ca="1">IF(IF($R44&lt;&gt;"",
INDIRECT(""&amp;IF(COLUMN(D64)&lt;=26,CHAR(COLUMN(D64)+64),CHAR(INT((COLUMN(D64)-1)/26)+64)&amp;CHAR(MOD(COLUMN(D64)-1,26)+65))&amp;$R44&amp;""),"")=0,"",
IF($R44&lt;&gt;"",
INDIRECT(""&amp;IF(COLUMN(D64)&lt;=26,CHAR(COLUMN(D64)+64),CHAR(INT((COLUMN(D64)-1)/26)+64)&amp;CHAR(MOD(COLUMN(D64)-1,26)+65))&amp;$R44&amp;""),""))</f>
        <v/>
      </c>
      <c r="V44" s="51" t="str">
        <f t="array" aca="1" ref="V44" ca="1">IF($R44&lt;&gt;"",
IF(U44="",
IF(INDIRECT("EY"&amp;$R44&amp;"")&lt;&gt;"",
INDIRECT("EY"&amp;$R44&amp;"")&amp;"箱"
&amp;INDIRECT("EZ"&amp;$R44&amp;""),""),""),"")</f>
        <v/>
      </c>
      <c r="W44" s="51" t="str">
        <f t="array" aca="1" ref="W44" ca="1">IF($R44&lt;&gt;"",
INDIRECT(""&amp;IF(COLUMN(H64)&lt;=26,CHAR(COLUMN(H64)+64),CHAR(INT((COLUMN(H64)-1)/26)+64)&amp;CHAR(MOD(COLUMN(H64)-1,26)+65))&amp;$R44&amp;""),"")</f>
        <v/>
      </c>
      <c r="X44" s="51" t="str">
        <f t="array" aca="1" ref="X44" ca="1">IF($R44&lt;&gt;"",
INDIRECT(""&amp;IF(COLUMN(I64)&lt;=26,CHAR(COLUMN(I64)+64),CHAR(INT((COLUMN(I64)-1)/26)+64)&amp;CHAR(MOD(COLUMN(I64)-1,26)+65))&amp;$R44&amp;""),"")</f>
        <v/>
      </c>
      <c r="Y44" s="51" t="str">
        <f t="array" aca="1" ref="Y44" ca="1">IF($R44&lt;&gt;"",
INDIRECT(""&amp;IF(COLUMN(J64)&lt;=26,CHAR(COLUMN(J64)+64),CHAR(INT((COLUMN(J64)-1)/26)+64)&amp;CHAR(MOD(COLUMN(J64)-1,26)+65))&amp;$R44&amp;""),"")</f>
        <v/>
      </c>
      <c r="Z44" s="51" t="str">
        <f t="array" aca="1" ref="Z44" ca="1">IF($R44&lt;&gt;"",
INDIRECT(""&amp;IF(COLUMN(K64)&lt;=26,CHAR(COLUMN(K64)+64),CHAR(INT((COLUMN(K64)-1)/26)+64)&amp;CHAR(MOD(COLUMN(K64)-1,26)+65))&amp;$R44&amp;""),"")</f>
        <v/>
      </c>
      <c r="AA44" s="51" t="str">
        <f t="array" aca="1" ref="AA44" ca="1">IF($R44&lt;&gt;"",
INDIRECT(""&amp;IF(COLUMN(L64)&lt;=26,CHAR(COLUMN(L64)+64),CHAR(INT((COLUMN(L64)-1)/26)+64)&amp;CHAR(MOD(COLUMN(L64)-1,26)+65))&amp;$R44&amp;""),"")</f>
        <v/>
      </c>
      <c r="AB44" s="51" t="str">
        <f t="array" aca="1" ref="AB44" ca="1">IF($R44&lt;&gt;"",
INDIRECT(""&amp;IF(COLUMN(O64)&lt;=26,CHAR(COLUMN(O64)+64),CHAR(INT((COLUMN(O64)-1)/26)+64)&amp;CHAR(MOD(COLUMN(O64)-1,26)+65))&amp;$R44&amp;""),"")</f>
        <v/>
      </c>
    </row>
    <row r="45" spans="1:28" s="51" customFormat="1" ht="22.2" customHeight="1">
      <c r="A45" s="197">
        <f t="shared" ref="A45:A70" si="14">A44+2</f>
        <v>95</v>
      </c>
      <c r="B45" s="52" t="e">
        <f t="array" aca="1" ref="B45" ca="1">IF(AND(LEFT(C45,2)="博多",
LEFT(INDIRECT("数出表_Excel!A"&amp;MATCH(C45,数出表_Excel!$A:$A,0)-1),2)
=LEFT(INDIRECT("数出表_Excel!A"&amp;MATCH(C45,数出表_Excel!$A:$A,0)+1),2)),"博多",
IF(AND(LEFT(C45,3)="奈良屋",
LEFT(INDIRECT("数出表_Excel!A"&amp;MATCH(C45,数出表_Excel!$A:$A,0)-1),2)
=LEFT(INDIRECT("数出表_Excel!A"&amp;MATCH(C45,数出表_Excel!$A:$A,0)+1),2)),"奈良屋",""))</f>
        <v>#N/A</v>
      </c>
      <c r="C45" s="52" t="str" cm="1">
        <f t="array" aca="1" ref="C45" ca="1">IF(IF(クライアント抽出!A45="",0,LEN(クライアント抽出!V45)-LEN(SUBSTITUTE(クライアント抽出!V45,",","")))&gt;=1,INDIRECT("数出表_Excel!A"&amp;A45&amp;""),"")</f>
        <v/>
      </c>
      <c r="D45" s="52" t="str" cm="1">
        <f t="array" aca="1" ref="D45" ca="1">IF(C45&lt;&gt;"",INDIRECT("クライアント抽出!"&amp;E45&amp;MATCH(C45,クライアント抽出!A:A,0)&amp;""),"")</f>
        <v/>
      </c>
      <c r="E45" s="52" t="str">
        <f ca="1"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t="array" aca="1" ref="F45" ca="1">IF(D45&lt;&gt;"",
IF(COUNTIF(C45,"*雙葉*"),
IF(ROUND(
IF(O45&lt;&gt;"",(H45-O45),H45)
/IF(COUNTIF('盛付札（関数）'!D45,"*キャラ*"),
VLOOKUP("*キャラ*",#REF!,7,FALSE),
IF(COUNTIF('盛付札（関数）'!D45,"*赤*"),
VLOOKUP("*赤*",#REF!,7,FALSE),
VLOOKUP('盛付札（関数）'!D45,#REF!,7,FALSE))),0)&lt;=0,1,
ROUND(
IF(O45&lt;&gt;"",(H45-O45),H45)
/IF(COUNTIF('盛付札（関数）'!D45,"*キャラ*"),
VLOOKUP("*キャラ*",#REF!,7,FALSE),
IF(COUNTIF('盛付札（関数）'!D45,"*赤*"),
VLOOKUP("*赤*",#REF!,7,FALSE),
VLOOKUP('盛付札（関数）'!D45,#REF!,7,FALSE))),0)),
IF(MATCH(TRUE,
ISNUMBER(--INDIRECT("数出表_Excel!B"&amp;MATCH(C45,数出表_Excel!$A:$A,0)-1&amp;":U"&amp;MATCH(C45,数出表_Excel!$A:$A,0)-1&amp;"")),0)&gt;10,
IF(D45&lt;&gt;"",
IF(IF(COUNTIF('盛付札（関数）'!D45,"*キャラ*"),
VLOOKUP("*キャラ*",#REF!,7,FALSE),
IF(COUNTIF('盛付札（関数）'!D45,"*赤*"),
VLOOKUP("*赤*",#REF!,7,FALSE),
VLOOKUP('盛付札（関数）'!D45,#REF!,7,FALSE)))=0,"",
IF(ROUND(
IF(O45&lt;&gt;"",(H45-O45),H45)
/IF(COUNTIF('盛付札（関数）'!D45,"*キャラ*"),
VLOOKUP("*キャラ*",#REF!,7,FALSE),
IF(COUNTIF('盛付札（関数）'!D45,"*赤*"),
VLOOKUP("*赤*",#REF!,7,FALSE),
VLOOKUP('盛付札（関数）'!D45,#REF!,7,FALSE))),0)&lt;=0,1,
ROUND(
IF(O45&lt;&gt;"",(H45-O45),H45)
/IF(COUNTIF('盛付札（関数）'!D45,"*キャラ*"),
VLOOKUP("*キャラ*",#REF!,7,FALSE),
IF(COUNTIF('盛付札（関数）'!D45,"*赤*"),
VLOOKUP("*赤*",#REF!,7,FALSE),
VLOOKUP('盛付札（関数）'!D45,#REF!,7,FALSE))),0))),""),"")),"")</f>
        <v/>
      </c>
      <c r="G45" s="53" t="str">
        <f ca="1">IF(F45&lt;&gt;"",IF(VALUE(IF(O45&lt;&gt;"",H45-O45,H45))&gt;VALUE(IF(COUNTIF('盛付札（関数）'!D45,"*キャラ*"),
VLOOKUP("*キャラ*",#REF!,7,FALSE),
IF(COUNTIF('盛付札（関数）'!D45,"*赤*"),
VLOOKUP("*赤*",#REF!,7,FALSE),
VLOOKUP('盛付札（関数）'!D45,#REF!,7,FALSE)))*F45),
"+"&amp;IF(O45&lt;&gt;"",H45-O45,H45)-IF(COUNTIF('盛付札（関数）'!D45,"*キャラ*"),
VLOOKUP("*キャラ*",#REF!,7,FALSE),
IF(COUNTIF('盛付札（関数）'!D45,"*赤*"),
VLOOKUP("*赤*",#REF!,7,FALSE),
VLOOKUP('盛付札（関数）'!D45,#REF!,7,FALSE)))*F45,
IF(O45&lt;&gt;"",H45-O45,H45)-IF(COUNTIF('盛付札（関数）'!D45,"*キャラ*"),
VLOOKUP("*キャラ*",#REF!,7,FALSE),
IF(COUNTIF('盛付札（関数）'!D45,"*赤*"),
VLOOKUP("*赤*",#REF!,7,FALSE),
VLOOKUP('盛付札（関数）'!D45,#REF!,7,FALSE)))*F45),"")</f>
        <v/>
      </c>
      <c r="H45" s="195" t="str" cm="1">
        <f t="array" aca="1" ref="H45" ca="1">IF(C45&lt;&gt;"",
IF(INDIRECT("数出表_Excel!"&amp;LEFT(クライアント抽出!V45)&amp;A45-1&amp;"")&lt;&gt;"",INDIRECT("数出表_Excel!"&amp;LEFT(クライアント抽出!V45)&amp;A45-1&amp;""),0),"")</f>
        <v/>
      </c>
      <c r="I45" s="52" t="str" cm="1">
        <f t="array" aca="1" ref="I45" ca="1">IF(C45&lt;&gt;"",
IF(INDIRECT("数出表_Excel!"&amp;LEFT(クライアント抽出!V45)&amp;A45&amp;"")&lt;&gt;"",INDIRECT("数出表_Excel!"&amp;LEFT(クライアント抽出!V45)&amp;A45&amp;""),0),"")</f>
        <v/>
      </c>
      <c r="J45" s="52" t="str">
        <f ca="1">IF(C45&lt;&gt;"",
VLOOKUP(
IF(COUNTIF(D45,"*学食*"),"キャラ弁（学食）",
IF(COUNTIF(D45,"*赤*"),"赤",
IF(COUNTIF(D45,"*キャラ弁当*"),"キャラ弁当",D45))),注文弁当の抽出!$E$1:$F$15,2,FALSE),"")</f>
        <v/>
      </c>
      <c r="K45" s="52" t="str">
        <f t="shared" ref="K45:K70" ca="1" si="15">IF(C45&lt;&gt;"",
IFERROR(INT(H45/J45),""),"")</f>
        <v/>
      </c>
      <c r="L45" s="52" t="str">
        <f t="shared" ref="L45:L70" ca="1" si="16">IFERROR(MOD(H45,J45),"")</f>
        <v/>
      </c>
      <c r="M45" s="52" cm="1">
        <f t="array" aca="1" ref="M45" ca="1">IF(C45&lt;&gt;"",
IF(IFERROR(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0)&lt;&gt;0,
IF(IFERROR(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"")="",
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""),
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0)),0),0)</f>
        <v>0</v>
      </c>
      <c r="N45" s="52" t="e">
        <f t="array" aca="1" ref="N45" ca="1">IF(B45="博多",
IF(C45&lt;&gt;"",
IF(IFERROR(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0)&lt;&gt;0,
IF(IFERROR(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0)="",
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0),
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0)),0),""),0)</f>
        <v>#N/A</v>
      </c>
      <c r="O45" s="52" t="e">
        <f t="shared" ref="O45:O71" ca="1" si="17">M45+N45</f>
        <v>#N/A</v>
      </c>
      <c r="P45" s="52">
        <f t="shared" ca="1" si="4"/>
        <v>0</v>
      </c>
      <c r="Q45" s="52" t="b">
        <f t="shared" ref="Q45:Q70" ca="1" si="18">IF(C45&lt;&gt;"",TRUE,FALSE)</f>
        <v>0</v>
      </c>
      <c r="R45" s="51" t="str" cm="1">
        <f t="array" aca="1" ref="R45" ca="1">IFERROR(SMALL(IF(P$1:P$300&lt;&gt;0,P$1:P$300),ROW(A45)),"")</f>
        <v/>
      </c>
      <c r="S45" s="51" t="str">
        <f t="array" aca="1" ref="S45" ca="1">IF($R45&lt;&gt;"",
INDIRECT(""&amp;IF(COLUMN(C65)&lt;=26,CHAR(COLUMN(C65)+64),CHAR(INT((COLUMN(C65)-1)/26)+64)&amp;CHAR(MOD(COLUMN(C65)-1,26)+65))&amp;$R45&amp;""),"")</f>
        <v/>
      </c>
      <c r="T45" s="51" t="str" cm="1">
        <f t="array" aca="1" ref="T45" ca="1">IF(IF($R45&lt;&gt;"",
INDIRECT(""&amp;IF(COLUMN(D65)&lt;=26,CHAR(COLUMN(D65)+64),CHAR(INT((COLUMN(D65)-1)/26)+64)&amp;CHAR(MOD(COLUMN(D65)-1,26)+65))&amp;$R45&amp;""),"")=0,"",
IF($R45&lt;&gt;"",
INDIRECT(""&amp;IF(COLUMN(D65)&lt;=26,CHAR(COLUMN(D65)+64),CHAR(INT((COLUMN(D65)-1)/26)+64)&amp;CHAR(MOD(COLUMN(D65)-1,26)+65))&amp;$R45&amp;""),""))</f>
        <v/>
      </c>
      <c r="V45" s="51" t="str">
        <f t="array" aca="1" ref="V45" ca="1">IF($R45&lt;&gt;"",
IF(U45="",
IF(INDIRECT("EY"&amp;$R45&amp;"")&lt;&gt;"",
INDIRECT("EY"&amp;$R45&amp;"")&amp;"箱"
&amp;INDIRECT("EZ"&amp;$R45&amp;""),""),""),"")</f>
        <v/>
      </c>
      <c r="W45" s="51" t="str">
        <f t="array" aca="1" ref="W45" ca="1">IF($R45&lt;&gt;"",
INDIRECT(""&amp;IF(COLUMN(H65)&lt;=26,CHAR(COLUMN(H65)+64),CHAR(INT((COLUMN(H65)-1)/26)+64)&amp;CHAR(MOD(COLUMN(H65)-1,26)+65))&amp;$R45&amp;""),"")</f>
        <v/>
      </c>
      <c r="X45" s="51" t="str">
        <f t="array" aca="1" ref="X45" ca="1">IF($R45&lt;&gt;"",
INDIRECT(""&amp;IF(COLUMN(I65)&lt;=26,CHAR(COLUMN(I65)+64),CHAR(INT((COLUMN(I65)-1)/26)+64)&amp;CHAR(MOD(COLUMN(I65)-1,26)+65))&amp;$R45&amp;""),"")</f>
        <v/>
      </c>
      <c r="Y45" s="51" t="str">
        <f t="array" aca="1" ref="Y45" ca="1">IF($R45&lt;&gt;"",
INDIRECT(""&amp;IF(COLUMN(J65)&lt;=26,CHAR(COLUMN(J65)+64),CHAR(INT((COLUMN(J65)-1)/26)+64)&amp;CHAR(MOD(COLUMN(J65)-1,26)+65))&amp;$R45&amp;""),"")</f>
        <v/>
      </c>
      <c r="Z45" s="51" t="str">
        <f t="array" aca="1" ref="Z45" ca="1">IF($R45&lt;&gt;"",
INDIRECT(""&amp;IF(COLUMN(K65)&lt;=26,CHAR(COLUMN(K65)+64),CHAR(INT((COLUMN(K65)-1)/26)+64)&amp;CHAR(MOD(COLUMN(K65)-1,26)+65))&amp;$R45&amp;""),"")</f>
        <v/>
      </c>
      <c r="AA45" s="51" t="str">
        <f t="array" aca="1" ref="AA45" ca="1">IF($R45&lt;&gt;"",
INDIRECT(""&amp;IF(COLUMN(L65)&lt;=26,CHAR(COLUMN(L65)+64),CHAR(INT((COLUMN(L65)-1)/26)+64)&amp;CHAR(MOD(COLUMN(L65)-1,26)+65))&amp;$R45&amp;""),"")</f>
        <v/>
      </c>
      <c r="AB45" s="51" t="str">
        <f t="array" aca="1" ref="AB45" ca="1">IF($R45&lt;&gt;"",
INDIRECT(""&amp;IF(COLUMN(O65)&lt;=26,CHAR(COLUMN(O65)+64),CHAR(INT((COLUMN(O65)-1)/26)+64)&amp;CHAR(MOD(COLUMN(O65)-1,26)+65))&amp;$R45&amp;""),"")</f>
        <v/>
      </c>
    </row>
    <row r="46" spans="1:28" ht="18" customHeight="1">
      <c r="A46" s="197">
        <f t="shared" si="14"/>
        <v>97</v>
      </c>
      <c r="B46" s="52" t="e">
        <f t="array" aca="1" ref="B46" ca="1">IF(AND(LEFT(C46,2)="博多",
LEFT(INDIRECT("数出表_Excel!A"&amp;MATCH(C46,数出表_Excel!$A:$A,0)-1),2)
=LEFT(INDIRECT("数出表_Excel!A"&amp;MATCH(C46,数出表_Excel!$A:$A,0)+1),2)),"博多",
IF(AND(LEFT(C46,3)="奈良屋",
LEFT(INDIRECT("数出表_Excel!A"&amp;MATCH(C46,数出表_Excel!$A:$A,0)-1),2)
=LEFT(INDIRECT("数出表_Excel!A"&amp;MATCH(C46,数出表_Excel!$A:$A,0)+1),2)),"奈良屋",""))</f>
        <v>#N/A</v>
      </c>
      <c r="C46" s="52" t="str" cm="1">
        <f t="array" aca="1" ref="C46" ca="1">IF(IF(クライアント抽出!A46="",0,LEN(クライアント抽出!V46)-LEN(SUBSTITUTE(クライアント抽出!V46,",","")))&gt;=1,INDIRECT("数出表_Excel!A"&amp;A46&amp;""),"")</f>
        <v/>
      </c>
      <c r="D46" s="52" t="str" cm="1">
        <f t="array" aca="1" ref="D46" ca="1">IF(C46&lt;&gt;"",INDIRECT("クライアント抽出!"&amp;E46&amp;MATCH(C46,クライアント抽出!A:A,0)&amp;""),"")</f>
        <v/>
      </c>
      <c r="E46" s="52" t="str">
        <f ca="1"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t="array" aca="1" ref="F46" ca="1">IF(D46&lt;&gt;"",
IF(COUNTIF(C46,"*雙葉*"),
IF(ROUND(
IF(O46&lt;&gt;"",(H46-O46),H46)
/IF(COUNTIF('盛付札（関数）'!D46,"*キャラ*"),
VLOOKUP("*キャラ*",#REF!,7,FALSE),
IF(COUNTIF('盛付札（関数）'!D46,"*赤*"),
VLOOKUP("*赤*",#REF!,7,FALSE),
VLOOKUP('盛付札（関数）'!D46,#REF!,7,FALSE))),0)&lt;=0,1,
ROUND(
IF(O46&lt;&gt;"",(H46-O46),H46)
/IF(COUNTIF('盛付札（関数）'!D46,"*キャラ*"),
VLOOKUP("*キャラ*",#REF!,7,FALSE),
IF(COUNTIF('盛付札（関数）'!D46,"*赤*"),
VLOOKUP("*赤*",#REF!,7,FALSE),
VLOOKUP('盛付札（関数）'!D46,#REF!,7,FALSE))),0)),
IF(MATCH(TRUE,
ISNUMBER(--INDIRECT("数出表_Excel!B"&amp;MATCH(C46,数出表_Excel!$A:$A,0)-1&amp;":U"&amp;MATCH(C46,数出表_Excel!$A:$A,0)-1&amp;"")),0)&gt;10,
IF(D46&lt;&gt;"",
IF(IF(COUNTIF('盛付札（関数）'!D46,"*キャラ*"),
VLOOKUP("*キャラ*",#REF!,7,FALSE),
IF(COUNTIF('盛付札（関数）'!D46,"*赤*"),
VLOOKUP("*赤*",#REF!,7,FALSE),
VLOOKUP('盛付札（関数）'!D46,#REF!,7,FALSE)))=0,"",
IF(ROUND(
IF(O46&lt;&gt;"",(H46-O46),H46)
/IF(COUNTIF('盛付札（関数）'!D46,"*キャラ*"),
VLOOKUP("*キャラ*",#REF!,7,FALSE),
IF(COUNTIF('盛付札（関数）'!D46,"*赤*"),
VLOOKUP("*赤*",#REF!,7,FALSE),
VLOOKUP('盛付札（関数）'!D46,#REF!,7,FALSE))),0)&lt;=0,1,
ROUND(
IF(O46&lt;&gt;"",(H46-O46),H46)
/IF(COUNTIF('盛付札（関数）'!D46,"*キャラ*"),
VLOOKUP("*キャラ*",#REF!,7,FALSE),
IF(COUNTIF('盛付札（関数）'!D46,"*赤*"),
VLOOKUP("*赤*",#REF!,7,FALSE),
VLOOKUP('盛付札（関数）'!D46,#REF!,7,FALSE))),0))),""),"")),"")</f>
        <v/>
      </c>
      <c r="G46" s="53" t="str">
        <f ca="1">IF(F46&lt;&gt;"",IF(VALUE(IF(O46&lt;&gt;"",H46-O46,H46))&gt;VALUE(IF(COUNTIF('盛付札（関数）'!D46,"*キャラ*"),
VLOOKUP("*キャラ*",#REF!,7,FALSE),
IF(COUNTIF('盛付札（関数）'!D46,"*赤*"),
VLOOKUP("*赤*",#REF!,7,FALSE),
VLOOKUP('盛付札（関数）'!D46,#REF!,7,FALSE)))*F46),
"+"&amp;IF(O46&lt;&gt;"",H46-O46,H46)-IF(COUNTIF('盛付札（関数）'!D46,"*キャラ*"),
VLOOKUP("*キャラ*",#REF!,7,FALSE),
IF(COUNTIF('盛付札（関数）'!D46,"*赤*"),
VLOOKUP("*赤*",#REF!,7,FALSE),
VLOOKUP('盛付札（関数）'!D46,#REF!,7,FALSE)))*F46,
IF(O46&lt;&gt;"",H46-O46,H46)-IF(COUNTIF('盛付札（関数）'!D46,"*キャラ*"),
VLOOKUP("*キャラ*",#REF!,7,FALSE),
IF(COUNTIF('盛付札（関数）'!D46,"*赤*"),
VLOOKUP("*赤*",#REF!,7,FALSE),
VLOOKUP('盛付札（関数）'!D46,#REF!,7,FALSE)))*F46),"")</f>
        <v/>
      </c>
      <c r="H46" s="195" t="str" cm="1">
        <f t="array" aca="1" ref="H46" ca="1">IF(C46&lt;&gt;"",
IF(INDIRECT("数出表_Excel!"&amp;LEFT(クライアント抽出!V46)&amp;A46-1&amp;"")&lt;&gt;"",INDIRECT("数出表_Excel!"&amp;LEFT(クライアント抽出!V46)&amp;A46-1&amp;""),0),"")</f>
        <v/>
      </c>
      <c r="I46" s="52" t="str" cm="1">
        <f t="array" aca="1" ref="I46" ca="1">IF(C46&lt;&gt;"",
IF(INDIRECT("数出表_Excel!"&amp;LEFT(クライアント抽出!V46)&amp;A46&amp;"")&lt;&gt;"",INDIRECT("数出表_Excel!"&amp;LEFT(クライアント抽出!V46)&amp;A46&amp;""),0),"")</f>
        <v/>
      </c>
      <c r="J46" s="52" t="str">
        <f ca="1">IF(C46&lt;&gt;"",
VLOOKUP(
IF(COUNTIF(D46,"*学食*"),"キャラ弁（学食）",
IF(COUNTIF(D46,"*赤*"),"赤",
IF(COUNTIF(D46,"*キャラ弁当*"),"キャラ弁当",D46))),注文弁当の抽出!$E$1:$F$15,2,FALSE),"")</f>
        <v/>
      </c>
      <c r="K46" s="52" t="str">
        <f t="shared" ca="1" si="15"/>
        <v/>
      </c>
      <c r="L46" s="52" t="str">
        <f t="shared" ca="1" si="16"/>
        <v/>
      </c>
      <c r="M46" s="52" cm="1">
        <f t="array" aca="1" ref="M46" ca="1">IF(C46&lt;&gt;"",
IF(IFERROR(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0)&lt;&gt;0,
IF(IFERROR(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"")="",
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""),
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0)),0),0)</f>
        <v>0</v>
      </c>
      <c r="N46" s="52" t="e">
        <f t="array" aca="1" ref="N46" ca="1">IF(B46="博多",
IF(C46&lt;&gt;"",
IF(IFERROR(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0)&lt;&gt;0,
IF(IFERROR(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0)="",
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0),
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0)),0),""),0)</f>
        <v>#N/A</v>
      </c>
      <c r="O46" s="52" t="e">
        <f t="shared" ca="1" si="17"/>
        <v>#N/A</v>
      </c>
      <c r="P46" s="52">
        <f t="shared" ca="1" si="4"/>
        <v>0</v>
      </c>
      <c r="Q46" s="52" t="b">
        <f t="shared" ca="1" si="18"/>
        <v>0</v>
      </c>
      <c r="R46" s="51" t="str" cm="1">
        <f t="array" aca="1" ref="R46" ca="1">IFERROR(SMALL(IF(P$1:P$300&lt;&gt;0,P$1:P$300),ROW(A46)),"")</f>
        <v/>
      </c>
      <c r="S46" s="51" t="str">
        <f t="array" aca="1" ref="S46" ca="1">IF($R46&lt;&gt;"",
INDIRECT(""&amp;IF(COLUMN(C66)&lt;=26,CHAR(COLUMN(C66)+64),CHAR(INT((COLUMN(C66)-1)/26)+64)&amp;CHAR(MOD(COLUMN(C66)-1,26)+65))&amp;$R46&amp;""),"")</f>
        <v/>
      </c>
      <c r="T46" s="51" t="str" cm="1">
        <f t="array" aca="1" ref="T46" ca="1">IF(IF($R46&lt;&gt;"",
INDIRECT(""&amp;IF(COLUMN(D66)&lt;=26,CHAR(COLUMN(D66)+64),CHAR(INT((COLUMN(D66)-1)/26)+64)&amp;CHAR(MOD(COLUMN(D66)-1,26)+65))&amp;$R46&amp;""),"")=0,"",
IF($R46&lt;&gt;"",
INDIRECT(""&amp;IF(COLUMN(D66)&lt;=26,CHAR(COLUMN(D66)+64),CHAR(INT((COLUMN(D66)-1)/26)+64)&amp;CHAR(MOD(COLUMN(D66)-1,26)+65))&amp;$R46&amp;""),""))</f>
        <v/>
      </c>
      <c r="U46" s="51"/>
      <c r="V46" s="51" t="str">
        <f t="array" aca="1" ref="V46" ca="1">IF($R46&lt;&gt;"",
IF(U46="",
IF(INDIRECT("EY"&amp;$R46&amp;"")&lt;&gt;"",
INDIRECT("EY"&amp;$R46&amp;"")&amp;"箱"
&amp;INDIRECT("EZ"&amp;$R46&amp;""),""),""),"")</f>
        <v/>
      </c>
      <c r="W46" s="51" t="str">
        <f t="array" aca="1" ref="W46" ca="1">IF($R46&lt;&gt;"",
INDIRECT(""&amp;IF(COLUMN(H66)&lt;=26,CHAR(COLUMN(H66)+64),CHAR(INT((COLUMN(H66)-1)/26)+64)&amp;CHAR(MOD(COLUMN(H66)-1,26)+65))&amp;$R46&amp;""),"")</f>
        <v/>
      </c>
      <c r="X46" s="51" t="str">
        <f t="array" aca="1" ref="X46" ca="1">IF($R46&lt;&gt;"",
INDIRECT(""&amp;IF(COLUMN(I66)&lt;=26,CHAR(COLUMN(I66)+64),CHAR(INT((COLUMN(I66)-1)/26)+64)&amp;CHAR(MOD(COLUMN(I66)-1,26)+65))&amp;$R46&amp;""),"")</f>
        <v/>
      </c>
      <c r="Y46" s="51" t="str">
        <f t="array" aca="1" ref="Y46" ca="1">IF($R46&lt;&gt;"",
INDIRECT(""&amp;IF(COLUMN(J66)&lt;=26,CHAR(COLUMN(J66)+64),CHAR(INT((COLUMN(J66)-1)/26)+64)&amp;CHAR(MOD(COLUMN(J66)-1,26)+65))&amp;$R46&amp;""),"")</f>
        <v/>
      </c>
      <c r="Z46" s="51" t="str">
        <f t="array" aca="1" ref="Z46" ca="1">IF($R46&lt;&gt;"",
INDIRECT(""&amp;IF(COLUMN(K66)&lt;=26,CHAR(COLUMN(K66)+64),CHAR(INT((COLUMN(K66)-1)/26)+64)&amp;CHAR(MOD(COLUMN(K66)-1,26)+65))&amp;$R46&amp;""),"")</f>
        <v/>
      </c>
      <c r="AA46" s="51" t="str">
        <f t="array" aca="1" ref="AA46" ca="1">IF($R46&lt;&gt;"",
INDIRECT(""&amp;IF(COLUMN(L66)&lt;=26,CHAR(COLUMN(L66)+64),CHAR(INT((COLUMN(L66)-1)/26)+64)&amp;CHAR(MOD(COLUMN(L66)-1,26)+65))&amp;$R46&amp;""),"")</f>
        <v/>
      </c>
      <c r="AB46" s="51" t="str">
        <f t="array" aca="1" ref="AB46" ca="1">IF($R46&lt;&gt;"",
INDIRECT(""&amp;IF(COLUMN(O66)&lt;=26,CHAR(COLUMN(O66)+64),CHAR(INT((COLUMN(O66)-1)/26)+64)&amp;CHAR(MOD(COLUMN(O66)-1,26)+65))&amp;$R46&amp;""),"")</f>
        <v/>
      </c>
    </row>
    <row r="47" spans="1:28" ht="18" customHeight="1">
      <c r="A47" s="197">
        <f t="shared" si="14"/>
        <v>99</v>
      </c>
      <c r="B47" s="52" t="e">
        <f t="array" aca="1" ref="B47" ca="1">IF(AND(LEFT(C47,2)="博多",
LEFT(INDIRECT("数出表_Excel!A"&amp;MATCH(C47,数出表_Excel!$A:$A,0)-1),2)
=LEFT(INDIRECT("数出表_Excel!A"&amp;MATCH(C47,数出表_Excel!$A:$A,0)+1),2)),"博多",
IF(AND(LEFT(C47,3)="奈良屋",
LEFT(INDIRECT("数出表_Excel!A"&amp;MATCH(C47,数出表_Excel!$A:$A,0)-1),2)
=LEFT(INDIRECT("数出表_Excel!A"&amp;MATCH(C47,数出表_Excel!$A:$A,0)+1),2)),"奈良屋",""))</f>
        <v>#N/A</v>
      </c>
      <c r="C47" s="52" t="str" cm="1">
        <f t="array" aca="1" ref="C47" ca="1">IF(IF(クライアント抽出!A47="",0,LEN(クライアント抽出!V47)-LEN(SUBSTITUTE(クライアント抽出!V47,",","")))&gt;=1,INDIRECT("数出表_Excel!A"&amp;A47&amp;""),"")</f>
        <v/>
      </c>
      <c r="D47" s="52" t="str" cm="1">
        <f t="array" aca="1" ref="D47" ca="1">IF(C47&lt;&gt;"",INDIRECT("クライアント抽出!"&amp;E47&amp;MATCH(C47,クライアント抽出!A:A,0)&amp;""),"")</f>
        <v/>
      </c>
      <c r="E47" s="52" t="str">
        <f ca="1"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t="array" aca="1" ref="F47" ca="1">IF(D47&lt;&gt;"",
IF(COUNTIF(C47,"*雙葉*"),
IF(ROUND(
IF(O47&lt;&gt;"",(H47-O47),H47)
/IF(COUNTIF('盛付札（関数）'!D47,"*キャラ*"),
VLOOKUP("*キャラ*",#REF!,7,FALSE),
IF(COUNTIF('盛付札（関数）'!D47,"*赤*"),
VLOOKUP("*赤*",#REF!,7,FALSE),
VLOOKUP('盛付札（関数）'!D47,#REF!,7,FALSE))),0)&lt;=0,1,
ROUND(
IF(O47&lt;&gt;"",(H47-O47),H47)
/IF(COUNTIF('盛付札（関数）'!D47,"*キャラ*"),
VLOOKUP("*キャラ*",#REF!,7,FALSE),
IF(COUNTIF('盛付札（関数）'!D47,"*赤*"),
VLOOKUP("*赤*",#REF!,7,FALSE),
VLOOKUP('盛付札（関数）'!D47,#REF!,7,FALSE))),0)),
IF(MATCH(TRUE,
ISNUMBER(--INDIRECT("数出表_Excel!B"&amp;MATCH(C47,数出表_Excel!$A:$A,0)-1&amp;":U"&amp;MATCH(C47,数出表_Excel!$A:$A,0)-1&amp;"")),0)&gt;10,
IF(D47&lt;&gt;"",
IF(IF(COUNTIF('盛付札（関数）'!D47,"*キャラ*"),
VLOOKUP("*キャラ*",#REF!,7,FALSE),
IF(COUNTIF('盛付札（関数）'!D47,"*赤*"),
VLOOKUP("*赤*",#REF!,7,FALSE),
VLOOKUP('盛付札（関数）'!D47,#REF!,7,FALSE)))=0,"",
IF(ROUND(
IF(O47&lt;&gt;"",(H47-O47),H47)
/IF(COUNTIF('盛付札（関数）'!D47,"*キャラ*"),
VLOOKUP("*キャラ*",#REF!,7,FALSE),
IF(COUNTIF('盛付札（関数）'!D47,"*赤*"),
VLOOKUP("*赤*",#REF!,7,FALSE),
VLOOKUP('盛付札（関数）'!D47,#REF!,7,FALSE))),0)&lt;=0,1,
ROUND(
IF(O47&lt;&gt;"",(H47-O47),H47)
/IF(COUNTIF('盛付札（関数）'!D47,"*キャラ*"),
VLOOKUP("*キャラ*",#REF!,7,FALSE),
IF(COUNTIF('盛付札（関数）'!D47,"*赤*"),
VLOOKUP("*赤*",#REF!,7,FALSE),
VLOOKUP('盛付札（関数）'!D47,#REF!,7,FALSE))),0))),""),"")),"")</f>
        <v/>
      </c>
      <c r="G47" s="53" t="str">
        <f ca="1">IF(F47&lt;&gt;"",IF(VALUE(IF(O47&lt;&gt;"",H47-O47,H47))&gt;VALUE(IF(COUNTIF('盛付札（関数）'!D47,"*キャラ*"),
VLOOKUP("*キャラ*",#REF!,7,FALSE),
IF(COUNTIF('盛付札（関数）'!D47,"*赤*"),
VLOOKUP("*赤*",#REF!,7,FALSE),
VLOOKUP('盛付札（関数）'!D47,#REF!,7,FALSE)))*F47),
"+"&amp;IF(O47&lt;&gt;"",H47-O47,H47)-IF(COUNTIF('盛付札（関数）'!D47,"*キャラ*"),
VLOOKUP("*キャラ*",#REF!,7,FALSE),
IF(COUNTIF('盛付札（関数）'!D47,"*赤*"),
VLOOKUP("*赤*",#REF!,7,FALSE),
VLOOKUP('盛付札（関数）'!D47,#REF!,7,FALSE)))*F47,
IF(O47&lt;&gt;"",H47-O47,H47)-IF(COUNTIF('盛付札（関数）'!D47,"*キャラ*"),
VLOOKUP("*キャラ*",#REF!,7,FALSE),
IF(COUNTIF('盛付札（関数）'!D47,"*赤*"),
VLOOKUP("*赤*",#REF!,7,FALSE),
VLOOKUP('盛付札（関数）'!D47,#REF!,7,FALSE)))*F47),"")</f>
        <v/>
      </c>
      <c r="H47" s="195" t="str" cm="1">
        <f t="array" aca="1" ref="H47" ca="1">IF(C47&lt;&gt;"",
IF(INDIRECT("数出表_Excel!"&amp;LEFT(クライアント抽出!V47)&amp;A47-1&amp;"")&lt;&gt;"",INDIRECT("数出表_Excel!"&amp;LEFT(クライアント抽出!V47)&amp;A47-1&amp;""),0),"")</f>
        <v/>
      </c>
      <c r="I47" s="52" t="str" cm="1">
        <f t="array" aca="1" ref="I47" ca="1">IF(C47&lt;&gt;"",
IF(INDIRECT("数出表_Excel!"&amp;LEFT(クライアント抽出!V47)&amp;A47&amp;"")&lt;&gt;"",INDIRECT("数出表_Excel!"&amp;LEFT(クライアント抽出!V47)&amp;A47&amp;""),0),"")</f>
        <v/>
      </c>
      <c r="J47" s="52" t="str">
        <f ca="1">IF(C47&lt;&gt;"",
VLOOKUP(
IF(COUNTIF(D47,"*学食*"),"キャラ弁（学食）",
IF(COUNTIF(D47,"*赤*"),"赤",
IF(COUNTIF(D47,"*キャラ弁当*"),"キャラ弁当",D47))),注文弁当の抽出!$E$1:$F$15,2,FALSE),"")</f>
        <v/>
      </c>
      <c r="K47" s="52" t="str">
        <f t="shared" ca="1" si="15"/>
        <v/>
      </c>
      <c r="L47" s="52" t="str">
        <f t="shared" ca="1" si="16"/>
        <v/>
      </c>
      <c r="M47" s="52" cm="1">
        <f t="array" aca="1" ref="M47" ca="1">IF(C47&lt;&gt;"",
IF(IFERROR(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0)&lt;&gt;0,
IF(IFERROR(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"")="",
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""),
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0)),0),0)</f>
        <v>0</v>
      </c>
      <c r="N47" s="52" t="e">
        <f t="array" aca="1" ref="N47" ca="1">IF(B47="博多",
IF(C47&lt;&gt;"",
IF(IFERROR(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0)&lt;&gt;0,
IF(IFERROR(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0)="",
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0),
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0)),0),""),0)</f>
        <v>#N/A</v>
      </c>
      <c r="O47" s="52" t="e">
        <f t="shared" ca="1" si="17"/>
        <v>#N/A</v>
      </c>
      <c r="P47" s="52">
        <f t="shared" ca="1" si="4"/>
        <v>0</v>
      </c>
      <c r="Q47" s="52" t="b">
        <f t="shared" ca="1" si="18"/>
        <v>0</v>
      </c>
      <c r="R47" s="51" t="str" cm="1">
        <f t="array" aca="1" ref="R47" ca="1">IFERROR(SMALL(IF(P$1:P$300&lt;&gt;0,P$1:P$300),ROW(A47)),"")</f>
        <v/>
      </c>
      <c r="S47" s="51" t="str">
        <f t="array" aca="1" ref="S47" ca="1">IF($R47&lt;&gt;"",
INDIRECT(""&amp;IF(COLUMN(C67)&lt;=26,CHAR(COLUMN(C67)+64),CHAR(INT((COLUMN(C67)-1)/26)+64)&amp;CHAR(MOD(COLUMN(C67)-1,26)+65))&amp;$R47&amp;""),"")</f>
        <v/>
      </c>
      <c r="T47" s="51" t="str" cm="1">
        <f t="array" aca="1" ref="T47" ca="1">IF(IF($R47&lt;&gt;"",
INDIRECT(""&amp;IF(COLUMN(D67)&lt;=26,CHAR(COLUMN(D67)+64),CHAR(INT((COLUMN(D67)-1)/26)+64)&amp;CHAR(MOD(COLUMN(D67)-1,26)+65))&amp;$R47&amp;""),"")=0,"",
IF($R47&lt;&gt;"",
INDIRECT(""&amp;IF(COLUMN(D67)&lt;=26,CHAR(COLUMN(D67)+64),CHAR(INT((COLUMN(D67)-1)/26)+64)&amp;CHAR(MOD(COLUMN(D67)-1,26)+65))&amp;$R47&amp;""),""))</f>
        <v/>
      </c>
      <c r="U47" s="51"/>
      <c r="V47" s="51" t="str">
        <f t="array" aca="1" ref="V47" ca="1">IF($R47&lt;&gt;"",
IF(U47="",
IF(INDIRECT("EY"&amp;$R47&amp;"")&lt;&gt;"",
INDIRECT("EY"&amp;$R47&amp;"")&amp;"箱"
&amp;INDIRECT("EZ"&amp;$R47&amp;""),""),""),"")</f>
        <v/>
      </c>
      <c r="W47" s="51" t="str">
        <f t="array" aca="1" ref="W47" ca="1">IF($R47&lt;&gt;"",
INDIRECT(""&amp;IF(COLUMN(H67)&lt;=26,CHAR(COLUMN(H67)+64),CHAR(INT((COLUMN(H67)-1)/26)+64)&amp;CHAR(MOD(COLUMN(H67)-1,26)+65))&amp;$R47&amp;""),"")</f>
        <v/>
      </c>
      <c r="X47" s="51" t="str">
        <f t="array" aca="1" ref="X47" ca="1">IF($R47&lt;&gt;"",
INDIRECT(""&amp;IF(COLUMN(I67)&lt;=26,CHAR(COLUMN(I67)+64),CHAR(INT((COLUMN(I67)-1)/26)+64)&amp;CHAR(MOD(COLUMN(I67)-1,26)+65))&amp;$R47&amp;""),"")</f>
        <v/>
      </c>
      <c r="Y47" s="51" t="str">
        <f t="array" aca="1" ref="Y47" ca="1">IF($R47&lt;&gt;"",
INDIRECT(""&amp;IF(COLUMN(J67)&lt;=26,CHAR(COLUMN(J67)+64),CHAR(INT((COLUMN(J67)-1)/26)+64)&amp;CHAR(MOD(COLUMN(J67)-1,26)+65))&amp;$R47&amp;""),"")</f>
        <v/>
      </c>
      <c r="Z47" s="51" t="str">
        <f t="array" aca="1" ref="Z47" ca="1">IF($R47&lt;&gt;"",
INDIRECT(""&amp;IF(COLUMN(K67)&lt;=26,CHAR(COLUMN(K67)+64),CHAR(INT((COLUMN(K67)-1)/26)+64)&amp;CHAR(MOD(COLUMN(K67)-1,26)+65))&amp;$R47&amp;""),"")</f>
        <v/>
      </c>
      <c r="AA47" s="51" t="str">
        <f t="array" aca="1" ref="AA47" ca="1">IF($R47&lt;&gt;"",
INDIRECT(""&amp;IF(COLUMN(L67)&lt;=26,CHAR(COLUMN(L67)+64),CHAR(INT((COLUMN(L67)-1)/26)+64)&amp;CHAR(MOD(COLUMN(L67)-1,26)+65))&amp;$R47&amp;""),"")</f>
        <v/>
      </c>
      <c r="AB47" s="51" t="str">
        <f t="array" aca="1" ref="AB47" ca="1">IF($R47&lt;&gt;"",
INDIRECT(""&amp;IF(COLUMN(O67)&lt;=26,CHAR(COLUMN(O67)+64),CHAR(INT((COLUMN(O67)-1)/26)+64)&amp;CHAR(MOD(COLUMN(O67)-1,26)+65))&amp;$R47&amp;""),"")</f>
        <v/>
      </c>
    </row>
    <row r="48" spans="1:28" s="51" customFormat="1" ht="22.2" customHeight="1">
      <c r="A48" s="197">
        <f t="shared" si="14"/>
        <v>101</v>
      </c>
      <c r="B48" s="52" t="e">
        <f t="array" aca="1" ref="B48" ca="1">IF(AND(LEFT(C48,2)="博多",
LEFT(INDIRECT("数出表_Excel!A"&amp;MATCH(C48,数出表_Excel!$A:$A,0)-1),2)
=LEFT(INDIRECT("数出表_Excel!A"&amp;MATCH(C48,数出表_Excel!$A:$A,0)+1),2)),"博多",
IF(AND(LEFT(C48,3)="奈良屋",
LEFT(INDIRECT("数出表_Excel!A"&amp;MATCH(C48,数出表_Excel!$A:$A,0)-1),2)
=LEFT(INDIRECT("数出表_Excel!A"&amp;MATCH(C48,数出表_Excel!$A:$A,0)+1),2)),"奈良屋",""))</f>
        <v>#N/A</v>
      </c>
      <c r="C48" s="52" t="str" cm="1">
        <f t="array" aca="1" ref="C48" ca="1">IF(IF(クライアント抽出!A48="",0,LEN(クライアント抽出!V48)-LEN(SUBSTITUTE(クライアント抽出!V48,",","")))&gt;=1,INDIRECT("数出表_Excel!A"&amp;A48&amp;""),"")</f>
        <v/>
      </c>
      <c r="D48" s="52" t="str" cm="1">
        <f t="array" aca="1" ref="D48" ca="1">IF(C48&lt;&gt;"",INDIRECT("クライアント抽出!"&amp;E48&amp;MATCH(C48,クライアント抽出!A:A,0)&amp;""),"")</f>
        <v/>
      </c>
      <c r="E48" s="52" t="str">
        <f ca="1"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t="array" aca="1" ref="F48" ca="1">IF(D48&lt;&gt;"",
IF(COUNTIF(C48,"*雙葉*"),
IF(ROUND(
IF(O48&lt;&gt;"",(H48-O48),H48)
/IF(COUNTIF('盛付札（関数）'!D48,"*キャラ*"),
VLOOKUP("*キャラ*",#REF!,7,FALSE),
IF(COUNTIF('盛付札（関数）'!D48,"*赤*"),
VLOOKUP("*赤*",#REF!,7,FALSE),
VLOOKUP('盛付札（関数）'!D48,#REF!,7,FALSE))),0)&lt;=0,1,
ROUND(
IF(O48&lt;&gt;"",(H48-O48),H48)
/IF(COUNTIF('盛付札（関数）'!D48,"*キャラ*"),
VLOOKUP("*キャラ*",#REF!,7,FALSE),
IF(COUNTIF('盛付札（関数）'!D48,"*赤*"),
VLOOKUP("*赤*",#REF!,7,FALSE),
VLOOKUP('盛付札（関数）'!D48,#REF!,7,FALSE))),0)),
IF(MATCH(TRUE,
ISNUMBER(--INDIRECT("数出表_Excel!B"&amp;MATCH(C48,数出表_Excel!$A:$A,0)-1&amp;":U"&amp;MATCH(C48,数出表_Excel!$A:$A,0)-1&amp;"")),0)&gt;10,
IF(D48&lt;&gt;"",
IF(IF(COUNTIF('盛付札（関数）'!D48,"*キャラ*"),
VLOOKUP("*キャラ*",#REF!,7,FALSE),
IF(COUNTIF('盛付札（関数）'!D48,"*赤*"),
VLOOKUP("*赤*",#REF!,7,FALSE),
VLOOKUP('盛付札（関数）'!D48,#REF!,7,FALSE)))=0,"",
IF(ROUND(
IF(O48&lt;&gt;"",(H48-O48),H48)
/IF(COUNTIF('盛付札（関数）'!D48,"*キャラ*"),
VLOOKUP("*キャラ*",#REF!,7,FALSE),
IF(COUNTIF('盛付札（関数）'!D48,"*赤*"),
VLOOKUP("*赤*",#REF!,7,FALSE),
VLOOKUP('盛付札（関数）'!D48,#REF!,7,FALSE))),0)&lt;=0,1,
ROUND(
IF(O48&lt;&gt;"",(H48-O48),H48)
/IF(COUNTIF('盛付札（関数）'!D48,"*キャラ*"),
VLOOKUP("*キャラ*",#REF!,7,FALSE),
IF(COUNTIF('盛付札（関数）'!D48,"*赤*"),
VLOOKUP("*赤*",#REF!,7,FALSE),
VLOOKUP('盛付札（関数）'!D48,#REF!,7,FALSE))),0))),""),"")),"")</f>
        <v/>
      </c>
      <c r="G48" s="53" t="str">
        <f ca="1">IF(F48&lt;&gt;"",IF(VALUE(IF(O48&lt;&gt;"",H48-O48,H48))&gt;VALUE(IF(COUNTIF('盛付札（関数）'!D48,"*キャラ*"),
VLOOKUP("*キャラ*",#REF!,7,FALSE),
IF(COUNTIF('盛付札（関数）'!D48,"*赤*"),
VLOOKUP("*赤*",#REF!,7,FALSE),
VLOOKUP('盛付札（関数）'!D48,#REF!,7,FALSE)))*F48),
"+"&amp;IF(O48&lt;&gt;"",H48-O48,H48)-IF(COUNTIF('盛付札（関数）'!D48,"*キャラ*"),
VLOOKUP("*キャラ*",#REF!,7,FALSE),
IF(COUNTIF('盛付札（関数）'!D48,"*赤*"),
VLOOKUP("*赤*",#REF!,7,FALSE),
VLOOKUP('盛付札（関数）'!D48,#REF!,7,FALSE)))*F48,
IF(O48&lt;&gt;"",H48-O48,H48)-IF(COUNTIF('盛付札（関数）'!D48,"*キャラ*"),
VLOOKUP("*キャラ*",#REF!,7,FALSE),
IF(COUNTIF('盛付札（関数）'!D48,"*赤*"),
VLOOKUP("*赤*",#REF!,7,FALSE),
VLOOKUP('盛付札（関数）'!D48,#REF!,7,FALSE)))*F48),"")</f>
        <v/>
      </c>
      <c r="H48" s="195" t="str" cm="1">
        <f t="array" aca="1" ref="H48" ca="1">IF(C48&lt;&gt;"",
IF(INDIRECT("数出表_Excel!"&amp;LEFT(クライアント抽出!V48)&amp;A48-1&amp;"")&lt;&gt;"",INDIRECT("数出表_Excel!"&amp;LEFT(クライアント抽出!V48)&amp;A48-1&amp;""),0),"")</f>
        <v/>
      </c>
      <c r="I48" s="52" t="str" cm="1">
        <f t="array" aca="1" ref="I48" ca="1">IF(C48&lt;&gt;"",
IF(INDIRECT("数出表_Excel!"&amp;LEFT(クライアント抽出!V48)&amp;A48&amp;"")&lt;&gt;"",INDIRECT("数出表_Excel!"&amp;LEFT(クライアント抽出!V48)&amp;A48&amp;""),0),"")</f>
        <v/>
      </c>
      <c r="J48" s="52" t="str">
        <f ca="1">IF(C48&lt;&gt;"",
VLOOKUP(
IF(COUNTIF(D48,"*学食*"),"キャラ弁（学食）",
IF(COUNTIF(D48,"*赤*"),"赤",
IF(COUNTIF(D48,"*キャラ弁当*"),"キャラ弁当",D48))),注文弁当の抽出!$E$1:$F$15,2,FALSE),"")</f>
        <v/>
      </c>
      <c r="K48" s="52" t="str">
        <f t="shared" ca="1" si="15"/>
        <v/>
      </c>
      <c r="L48" s="52" t="str">
        <f t="shared" ca="1" si="16"/>
        <v/>
      </c>
      <c r="M48" s="52" cm="1">
        <f t="array" aca="1" ref="M48" ca="1">IF(C48&lt;&gt;"",
IF(IFERROR(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0)&lt;&gt;0,
IF(IFERROR(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"")="",
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""),
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0)),0),0)</f>
        <v>0</v>
      </c>
      <c r="N48" s="52" t="e">
        <f t="array" aca="1" ref="N48" ca="1">IF(B48="博多",
IF(C48&lt;&gt;"",
IF(IFERROR(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0)&lt;&gt;0,
IF(IFERROR(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0)="",
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0),
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0)),0),""),0)</f>
        <v>#N/A</v>
      </c>
      <c r="O48" s="52" t="e">
        <f t="shared" ca="1" si="17"/>
        <v>#N/A</v>
      </c>
      <c r="P48" s="52">
        <f t="shared" ca="1" si="4"/>
        <v>0</v>
      </c>
      <c r="Q48" s="52" t="b">
        <f t="shared" ca="1" si="18"/>
        <v>0</v>
      </c>
      <c r="R48" s="51" t="str" cm="1">
        <f t="array" aca="1" ref="R48" ca="1">IFERROR(SMALL(IF(P$1:P$300&lt;&gt;0,P$1:P$300),ROW(A48)),"")</f>
        <v/>
      </c>
      <c r="S48" s="51" t="str">
        <f t="array" aca="1" ref="S48" ca="1">IF($R48&lt;&gt;"",
INDIRECT(""&amp;IF(COLUMN(C68)&lt;=26,CHAR(COLUMN(C68)+64),CHAR(INT((COLUMN(C68)-1)/26)+64)&amp;CHAR(MOD(COLUMN(C68)-1,26)+65))&amp;$R48&amp;""),"")</f>
        <v/>
      </c>
      <c r="T48" s="51" t="str" cm="1">
        <f t="array" aca="1" ref="T48" ca="1">IF(IF($R48&lt;&gt;"",
INDIRECT(""&amp;IF(COLUMN(D68)&lt;=26,CHAR(COLUMN(D68)+64),CHAR(INT((COLUMN(D68)-1)/26)+64)&amp;CHAR(MOD(COLUMN(D68)-1,26)+65))&amp;$R48&amp;""),"")=0,"",
IF($R48&lt;&gt;"",
INDIRECT(""&amp;IF(COLUMN(D68)&lt;=26,CHAR(COLUMN(D68)+64),CHAR(INT((COLUMN(D68)-1)/26)+64)&amp;CHAR(MOD(COLUMN(D68)-1,26)+65))&amp;$R48&amp;""),""))</f>
        <v/>
      </c>
      <c r="V48" s="51" t="str">
        <f t="array" aca="1" ref="V48" ca="1">IF($R48&lt;&gt;"",
IF(U48="",
IF(INDIRECT("EY"&amp;$R48&amp;"")&lt;&gt;"",
INDIRECT("EY"&amp;$R48&amp;"")&amp;"箱"
&amp;INDIRECT("EZ"&amp;$R48&amp;""),""),""),"")</f>
        <v/>
      </c>
      <c r="W48" s="51" t="str">
        <f t="array" aca="1" ref="W48" ca="1">IF($R48&lt;&gt;"",
INDIRECT(""&amp;IF(COLUMN(H68)&lt;=26,CHAR(COLUMN(H68)+64),CHAR(INT((COLUMN(H68)-1)/26)+64)&amp;CHAR(MOD(COLUMN(H68)-1,26)+65))&amp;$R48&amp;""),"")</f>
        <v/>
      </c>
      <c r="X48" s="51" t="str">
        <f t="array" aca="1" ref="X48" ca="1">IF($R48&lt;&gt;"",
INDIRECT(""&amp;IF(COLUMN(I68)&lt;=26,CHAR(COLUMN(I68)+64),CHAR(INT((COLUMN(I68)-1)/26)+64)&amp;CHAR(MOD(COLUMN(I68)-1,26)+65))&amp;$R48&amp;""),"")</f>
        <v/>
      </c>
      <c r="Y48" s="51" t="str">
        <f t="array" aca="1" ref="Y48" ca="1">IF($R48&lt;&gt;"",
INDIRECT(""&amp;IF(COLUMN(J68)&lt;=26,CHAR(COLUMN(J68)+64),CHAR(INT((COLUMN(J68)-1)/26)+64)&amp;CHAR(MOD(COLUMN(J68)-1,26)+65))&amp;$R48&amp;""),"")</f>
        <v/>
      </c>
      <c r="Z48" s="51" t="str">
        <f t="array" aca="1" ref="Z48" ca="1">IF($R48&lt;&gt;"",
INDIRECT(""&amp;IF(COLUMN(K68)&lt;=26,CHAR(COLUMN(K68)+64),CHAR(INT((COLUMN(K68)-1)/26)+64)&amp;CHAR(MOD(COLUMN(K68)-1,26)+65))&amp;$R48&amp;""),"")</f>
        <v/>
      </c>
      <c r="AA48" s="51" t="str">
        <f t="array" aca="1" ref="AA48" ca="1">IF($R48&lt;&gt;"",
INDIRECT(""&amp;IF(COLUMN(L68)&lt;=26,CHAR(COLUMN(L68)+64),CHAR(INT((COLUMN(L68)-1)/26)+64)&amp;CHAR(MOD(COLUMN(L68)-1,26)+65))&amp;$R48&amp;""),"")</f>
        <v/>
      </c>
      <c r="AB48" s="51" t="str">
        <f t="array" aca="1" ref="AB48" ca="1">IF($R48&lt;&gt;"",
INDIRECT(""&amp;IF(COLUMN(O68)&lt;=26,CHAR(COLUMN(O68)+64),CHAR(INT((COLUMN(O68)-1)/26)+64)&amp;CHAR(MOD(COLUMN(O68)-1,26)+65))&amp;$R48&amp;""),"")</f>
        <v/>
      </c>
    </row>
    <row r="49" spans="1:28" ht="21" customHeight="1">
      <c r="A49" s="197">
        <f t="shared" si="14"/>
        <v>103</v>
      </c>
      <c r="B49" s="52" t="e">
        <f t="array" aca="1" ref="B49" ca="1">IF(AND(LEFT(C49,2)="博多",
LEFT(INDIRECT("数出表_Excel!A"&amp;MATCH(C49,数出表_Excel!$A:$A,0)-1),2)
=LEFT(INDIRECT("数出表_Excel!A"&amp;MATCH(C49,数出表_Excel!$A:$A,0)+1),2)),"博多",
IF(AND(LEFT(C49,3)="奈良屋",
LEFT(INDIRECT("数出表_Excel!A"&amp;MATCH(C49,数出表_Excel!$A:$A,0)-1),2)
=LEFT(INDIRECT("数出表_Excel!A"&amp;MATCH(C49,数出表_Excel!$A:$A,0)+1),2)),"奈良屋",""))</f>
        <v>#N/A</v>
      </c>
      <c r="C49" s="52" t="str" cm="1">
        <f t="array" aca="1" ref="C49" ca="1">IF(IF(クライアント抽出!A49="",0,LEN(クライアント抽出!V49)-LEN(SUBSTITUTE(クライアント抽出!V49,",","")))&gt;=1,INDIRECT("数出表_Excel!A"&amp;A49&amp;""),"")</f>
        <v/>
      </c>
      <c r="D49" s="52" t="str" cm="1">
        <f t="array" aca="1" ref="D49" ca="1">IF(C49&lt;&gt;"",INDIRECT("クライアント抽出!"&amp;E49&amp;MATCH(C49,クライアント抽出!A:A,0)&amp;""),"")</f>
        <v/>
      </c>
      <c r="E49" s="52" t="str">
        <f ca="1"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t="array" aca="1" ref="F49" ca="1">IF(D49&lt;&gt;"",
IF(COUNTIF(C49,"*雙葉*"),
IF(ROUND(
IF(O49&lt;&gt;"",(H49-O49),H49)
/IF(COUNTIF('盛付札（関数）'!D49,"*キャラ*"),
VLOOKUP("*キャラ*",#REF!,7,FALSE),
IF(COUNTIF('盛付札（関数）'!D49,"*赤*"),
VLOOKUP("*赤*",#REF!,7,FALSE),
VLOOKUP('盛付札（関数）'!D49,#REF!,7,FALSE))),0)&lt;=0,1,
ROUND(
IF(O49&lt;&gt;"",(H49-O49),H49)
/IF(COUNTIF('盛付札（関数）'!D49,"*キャラ*"),
VLOOKUP("*キャラ*",#REF!,7,FALSE),
IF(COUNTIF('盛付札（関数）'!D49,"*赤*"),
VLOOKUP("*赤*",#REF!,7,FALSE),
VLOOKUP('盛付札（関数）'!D49,#REF!,7,FALSE))),0)),
IF(MATCH(TRUE,
ISNUMBER(--INDIRECT("数出表_Excel!B"&amp;MATCH(C49,数出表_Excel!$A:$A,0)-1&amp;":U"&amp;MATCH(C49,数出表_Excel!$A:$A,0)-1&amp;"")),0)&gt;10,
IF(D49&lt;&gt;"",
IF(IF(COUNTIF('盛付札（関数）'!D49,"*キャラ*"),
VLOOKUP("*キャラ*",#REF!,7,FALSE),
IF(COUNTIF('盛付札（関数）'!D49,"*赤*"),
VLOOKUP("*赤*",#REF!,7,FALSE),
VLOOKUP('盛付札（関数）'!D49,#REF!,7,FALSE)))=0,"",
IF(ROUND(
IF(O49&lt;&gt;"",(H49-O49),H49)
/IF(COUNTIF('盛付札（関数）'!D49,"*キャラ*"),
VLOOKUP("*キャラ*",#REF!,7,FALSE),
IF(COUNTIF('盛付札（関数）'!D49,"*赤*"),
VLOOKUP("*赤*",#REF!,7,FALSE),
VLOOKUP('盛付札（関数）'!D49,#REF!,7,FALSE))),0)&lt;=0,1,
ROUND(
IF(O49&lt;&gt;"",(H49-O49),H49)
/IF(COUNTIF('盛付札（関数）'!D49,"*キャラ*"),
VLOOKUP("*キャラ*",#REF!,7,FALSE),
IF(COUNTIF('盛付札（関数）'!D49,"*赤*"),
VLOOKUP("*赤*",#REF!,7,FALSE),
VLOOKUP('盛付札（関数）'!D49,#REF!,7,FALSE))),0))),""),"")),"")</f>
        <v/>
      </c>
      <c r="G49" s="53" t="str">
        <f ca="1">IF(F49&lt;&gt;"",IF(VALUE(IF(O49&lt;&gt;"",H49-O49,H49))&gt;VALUE(IF(COUNTIF('盛付札（関数）'!D49,"*キャラ*"),
VLOOKUP("*キャラ*",#REF!,7,FALSE),
IF(COUNTIF('盛付札（関数）'!D49,"*赤*"),
VLOOKUP("*赤*",#REF!,7,FALSE),
VLOOKUP('盛付札（関数）'!D49,#REF!,7,FALSE)))*F49),
"+"&amp;IF(O49&lt;&gt;"",H49-O49,H49)-IF(COUNTIF('盛付札（関数）'!D49,"*キャラ*"),
VLOOKUP("*キャラ*",#REF!,7,FALSE),
IF(COUNTIF('盛付札（関数）'!D49,"*赤*"),
VLOOKUP("*赤*",#REF!,7,FALSE),
VLOOKUP('盛付札（関数）'!D49,#REF!,7,FALSE)))*F49,
IF(O49&lt;&gt;"",H49-O49,H49)-IF(COUNTIF('盛付札（関数）'!D49,"*キャラ*"),
VLOOKUP("*キャラ*",#REF!,7,FALSE),
IF(COUNTIF('盛付札（関数）'!D49,"*赤*"),
VLOOKUP("*赤*",#REF!,7,FALSE),
VLOOKUP('盛付札（関数）'!D49,#REF!,7,FALSE)))*F49),"")</f>
        <v/>
      </c>
      <c r="H49" s="195" t="str" cm="1">
        <f t="array" aca="1" ref="H49" ca="1">IF(C49&lt;&gt;"",
IF(INDIRECT("数出表_Excel!"&amp;LEFT(クライアント抽出!V49)&amp;A49-1&amp;"")&lt;&gt;"",INDIRECT("数出表_Excel!"&amp;LEFT(クライアント抽出!V49)&amp;A49-1&amp;""),0),"")</f>
        <v/>
      </c>
      <c r="I49" s="52" t="str" cm="1">
        <f t="array" aca="1" ref="I49" ca="1">IF(C49&lt;&gt;"",
IF(INDIRECT("数出表_Excel!"&amp;LEFT(クライアント抽出!V49)&amp;A49&amp;"")&lt;&gt;"",INDIRECT("数出表_Excel!"&amp;LEFT(クライアント抽出!V49)&amp;A49&amp;""),0),"")</f>
        <v/>
      </c>
      <c r="J49" s="52" t="str">
        <f ca="1">IF(C49&lt;&gt;"",
VLOOKUP(
IF(COUNTIF(D49,"*学食*"),"キャラ弁（学食）",
IF(COUNTIF(D49,"*赤*"),"赤",
IF(COUNTIF(D49,"*キャラ弁当*"),"キャラ弁当",D49))),注文弁当の抽出!$E$1:$F$15,2,FALSE),"")</f>
        <v/>
      </c>
      <c r="K49" s="52" t="str">
        <f t="shared" ca="1" si="15"/>
        <v/>
      </c>
      <c r="L49" s="52" t="str">
        <f t="shared" ca="1" si="16"/>
        <v/>
      </c>
      <c r="M49" s="52" cm="1">
        <f t="array" aca="1" ref="M49" ca="1">IF(C49&lt;&gt;"",
IF(IFERROR(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0)&lt;&gt;0,
IF(IFERROR(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"")="",
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""),
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0)),0),0)</f>
        <v>0</v>
      </c>
      <c r="N49" s="52" t="e">
        <f t="array" aca="1" ref="N49" ca="1">IF(B49="博多",
IF(C49&lt;&gt;"",
IF(IFERROR(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0)&lt;&gt;0,
IF(IFERROR(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0)="",
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0),
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0)),0),""),0)</f>
        <v>#N/A</v>
      </c>
      <c r="O49" s="52" t="e">
        <f t="shared" ca="1" si="17"/>
        <v>#N/A</v>
      </c>
      <c r="P49" s="52">
        <f t="shared" ca="1" si="4"/>
        <v>0</v>
      </c>
      <c r="Q49" s="52" t="b">
        <f t="shared" ca="1" si="18"/>
        <v>0</v>
      </c>
      <c r="R49" s="51" t="str" cm="1">
        <f t="array" aca="1" ref="R49" ca="1">IFERROR(SMALL(IF(P$1:P$300&lt;&gt;0,P$1:P$300),ROW(A49)),"")</f>
        <v/>
      </c>
      <c r="S49" s="51" t="str">
        <f t="array" aca="1" ref="S49" ca="1">IF($R49&lt;&gt;"",
INDIRECT(""&amp;IF(COLUMN(C69)&lt;=26,CHAR(COLUMN(C69)+64),CHAR(INT((COLUMN(C69)-1)/26)+64)&amp;CHAR(MOD(COLUMN(C69)-1,26)+65))&amp;$R49&amp;""),"")</f>
        <v/>
      </c>
      <c r="T49" s="51" t="str" cm="1">
        <f t="array" aca="1" ref="T49" ca="1">IF(IF($R49&lt;&gt;"",
INDIRECT(""&amp;IF(COLUMN(D69)&lt;=26,CHAR(COLUMN(D69)+64),CHAR(INT((COLUMN(D69)-1)/26)+64)&amp;CHAR(MOD(COLUMN(D69)-1,26)+65))&amp;$R49&amp;""),"")=0,"",
IF($R49&lt;&gt;"",
INDIRECT(""&amp;IF(COLUMN(D69)&lt;=26,CHAR(COLUMN(D69)+64),CHAR(INT((COLUMN(D69)-1)/26)+64)&amp;CHAR(MOD(COLUMN(D69)-1,26)+65))&amp;$R49&amp;""),""))</f>
        <v/>
      </c>
      <c r="U49" s="51"/>
      <c r="V49" s="51" t="str">
        <f t="array" aca="1" ref="V49" ca="1">IF($R49&lt;&gt;"",
IF(U49="",
IF(INDIRECT("EY"&amp;$R49&amp;"")&lt;&gt;"",
INDIRECT("EY"&amp;$R49&amp;"")&amp;"箱"
&amp;INDIRECT("EZ"&amp;$R49&amp;""),""),""),"")</f>
        <v/>
      </c>
      <c r="W49" s="51" t="str">
        <f t="array" aca="1" ref="W49" ca="1">IF($R49&lt;&gt;"",
INDIRECT(""&amp;IF(COLUMN(H69)&lt;=26,CHAR(COLUMN(H69)+64),CHAR(INT((COLUMN(H69)-1)/26)+64)&amp;CHAR(MOD(COLUMN(H69)-1,26)+65))&amp;$R49&amp;""),"")</f>
        <v/>
      </c>
      <c r="X49" s="51" t="str">
        <f t="array" aca="1" ref="X49" ca="1">IF($R49&lt;&gt;"",
INDIRECT(""&amp;IF(COLUMN(I69)&lt;=26,CHAR(COLUMN(I69)+64),CHAR(INT((COLUMN(I69)-1)/26)+64)&amp;CHAR(MOD(COLUMN(I69)-1,26)+65))&amp;$R49&amp;""),"")</f>
        <v/>
      </c>
      <c r="Y49" s="51" t="str">
        <f t="array" aca="1" ref="Y49" ca="1">IF($R49&lt;&gt;"",
INDIRECT(""&amp;IF(COLUMN(J69)&lt;=26,CHAR(COLUMN(J69)+64),CHAR(INT((COLUMN(J69)-1)/26)+64)&amp;CHAR(MOD(COLUMN(J69)-1,26)+65))&amp;$R49&amp;""),"")</f>
        <v/>
      </c>
      <c r="Z49" s="51" t="str">
        <f t="array" aca="1" ref="Z49" ca="1">IF($R49&lt;&gt;"",
INDIRECT(""&amp;IF(COLUMN(K69)&lt;=26,CHAR(COLUMN(K69)+64),CHAR(INT((COLUMN(K69)-1)/26)+64)&amp;CHAR(MOD(COLUMN(K69)-1,26)+65))&amp;$R49&amp;""),"")</f>
        <v/>
      </c>
      <c r="AA49" s="51" t="str">
        <f t="array" aca="1" ref="AA49" ca="1">IF($R49&lt;&gt;"",
INDIRECT(""&amp;IF(COLUMN(L69)&lt;=26,CHAR(COLUMN(L69)+64),CHAR(INT((COLUMN(L69)-1)/26)+64)&amp;CHAR(MOD(COLUMN(L69)-1,26)+65))&amp;$R49&amp;""),"")</f>
        <v/>
      </c>
      <c r="AB49" s="51" t="str">
        <f t="array" aca="1" ref="AB49" ca="1">IF($R49&lt;&gt;"",
INDIRECT(""&amp;IF(COLUMN(O69)&lt;=26,CHAR(COLUMN(O69)+64),CHAR(INT((COLUMN(O69)-1)/26)+64)&amp;CHAR(MOD(COLUMN(O69)-1,26)+65))&amp;$R49&amp;""),"")</f>
        <v/>
      </c>
    </row>
    <row r="50" spans="1:28" s="51" customFormat="1" ht="18" customHeight="1">
      <c r="A50" s="197">
        <f t="shared" si="14"/>
        <v>105</v>
      </c>
      <c r="B50" s="52" t="e">
        <f t="array" aca="1" ref="B50" ca="1">IF(AND(LEFT(C50,2)="博多",
LEFT(INDIRECT("数出表_Excel!A"&amp;MATCH(C50,数出表_Excel!$A:$A,0)-1),2)
=LEFT(INDIRECT("数出表_Excel!A"&amp;MATCH(C50,数出表_Excel!$A:$A,0)+1),2)),"博多",
IF(AND(LEFT(C50,3)="奈良屋",
LEFT(INDIRECT("数出表_Excel!A"&amp;MATCH(C50,数出表_Excel!$A:$A,0)-1),2)
=LEFT(INDIRECT("数出表_Excel!A"&amp;MATCH(C50,数出表_Excel!$A:$A,0)+1),2)),"奈良屋",""))</f>
        <v>#N/A</v>
      </c>
      <c r="C50" s="52" t="str" cm="1">
        <f t="array" aca="1" ref="C50" ca="1">IF(IF(クライアント抽出!A50="",0,LEN(クライアント抽出!V50)-LEN(SUBSTITUTE(クライアント抽出!V50,",","")))&gt;=1,INDIRECT("数出表_Excel!A"&amp;A50&amp;""),"")</f>
        <v/>
      </c>
      <c r="D50" s="52" t="str" cm="1">
        <f t="array" aca="1" ref="D50" ca="1">IF(C50&lt;&gt;"",INDIRECT("クライアント抽出!"&amp;E50&amp;MATCH(C50,クライアント抽出!A:A,0)&amp;""),"")</f>
        <v/>
      </c>
      <c r="E50" s="52" t="str">
        <f ca="1"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t="array" aca="1" ref="F50" ca="1">IF(D50&lt;&gt;"",
IF(COUNTIF(C50,"*雙葉*"),
IF(ROUND(
IF(O50&lt;&gt;"",(H50-O50),H50)
/IF(COUNTIF('盛付札（関数）'!D50,"*キャラ*"),
VLOOKUP("*キャラ*",#REF!,7,FALSE),
IF(COUNTIF('盛付札（関数）'!D50,"*赤*"),
VLOOKUP("*赤*",#REF!,7,FALSE),
VLOOKUP('盛付札（関数）'!D50,#REF!,7,FALSE))),0)&lt;=0,1,
ROUND(
IF(O50&lt;&gt;"",(H50-O50),H50)
/IF(COUNTIF('盛付札（関数）'!D50,"*キャラ*"),
VLOOKUP("*キャラ*",#REF!,7,FALSE),
IF(COUNTIF('盛付札（関数）'!D50,"*赤*"),
VLOOKUP("*赤*",#REF!,7,FALSE),
VLOOKUP('盛付札（関数）'!D50,#REF!,7,FALSE))),0)),
IF(MATCH(TRUE,
ISNUMBER(--INDIRECT("数出表_Excel!B"&amp;MATCH(C50,数出表_Excel!$A:$A,0)-1&amp;":U"&amp;MATCH(C50,数出表_Excel!$A:$A,0)-1&amp;"")),0)&gt;10,
IF(D50&lt;&gt;"",
IF(IF(COUNTIF('盛付札（関数）'!D50,"*キャラ*"),
VLOOKUP("*キャラ*",#REF!,7,FALSE),
IF(COUNTIF('盛付札（関数）'!D50,"*赤*"),
VLOOKUP("*赤*",#REF!,7,FALSE),
VLOOKUP('盛付札（関数）'!D50,#REF!,7,FALSE)))=0,"",
IF(ROUND(
IF(O50&lt;&gt;"",(H50-O50),H50)
/IF(COUNTIF('盛付札（関数）'!D50,"*キャラ*"),
VLOOKUP("*キャラ*",#REF!,7,FALSE),
IF(COUNTIF('盛付札（関数）'!D50,"*赤*"),
VLOOKUP("*赤*",#REF!,7,FALSE),
VLOOKUP('盛付札（関数）'!D50,#REF!,7,FALSE))),0)&lt;=0,1,
ROUND(
IF(O50&lt;&gt;"",(H50-O50),H50)
/IF(COUNTIF('盛付札（関数）'!D50,"*キャラ*"),
VLOOKUP("*キャラ*",#REF!,7,FALSE),
IF(COUNTIF('盛付札（関数）'!D50,"*赤*"),
VLOOKUP("*赤*",#REF!,7,FALSE),
VLOOKUP('盛付札（関数）'!D50,#REF!,7,FALSE))),0))),""),"")),"")</f>
        <v/>
      </c>
      <c r="G50" s="53" t="str">
        <f ca="1">IF(F50&lt;&gt;"",IF(VALUE(IF(O50&lt;&gt;"",H50-O50,H50))&gt;VALUE(IF(COUNTIF('盛付札（関数）'!D50,"*キャラ*"),
VLOOKUP("*キャラ*",#REF!,7,FALSE),
IF(COUNTIF('盛付札（関数）'!D50,"*赤*"),
VLOOKUP("*赤*",#REF!,7,FALSE),
VLOOKUP('盛付札（関数）'!D50,#REF!,7,FALSE)))*F50),
"+"&amp;IF(O50&lt;&gt;"",H50-O50,H50)-IF(COUNTIF('盛付札（関数）'!D50,"*キャラ*"),
VLOOKUP("*キャラ*",#REF!,7,FALSE),
IF(COUNTIF('盛付札（関数）'!D50,"*赤*"),
VLOOKUP("*赤*",#REF!,7,FALSE),
VLOOKUP('盛付札（関数）'!D50,#REF!,7,FALSE)))*F50,
IF(O50&lt;&gt;"",H50-O50,H50)-IF(COUNTIF('盛付札（関数）'!D50,"*キャラ*"),
VLOOKUP("*キャラ*",#REF!,7,FALSE),
IF(COUNTIF('盛付札（関数）'!D50,"*赤*"),
VLOOKUP("*赤*",#REF!,7,FALSE),
VLOOKUP('盛付札（関数）'!D50,#REF!,7,FALSE)))*F50),"")</f>
        <v/>
      </c>
      <c r="H50" s="195" t="str" cm="1">
        <f t="array" aca="1" ref="H50" ca="1">IF(C50&lt;&gt;"",
IF(INDIRECT("数出表_Excel!"&amp;LEFT(クライアント抽出!V50)&amp;A50-1&amp;"")&lt;&gt;"",INDIRECT("数出表_Excel!"&amp;LEFT(クライアント抽出!V50)&amp;A50-1&amp;""),0),"")</f>
        <v/>
      </c>
      <c r="I50" s="52" t="str" cm="1">
        <f t="array" aca="1" ref="I50" ca="1">IF(C50&lt;&gt;"",
IF(INDIRECT("数出表_Excel!"&amp;LEFT(クライアント抽出!V50)&amp;A50&amp;"")&lt;&gt;"",INDIRECT("数出表_Excel!"&amp;LEFT(クライアント抽出!V50)&amp;A50&amp;""),0),"")</f>
        <v/>
      </c>
      <c r="J50" s="52" t="str">
        <f ca="1">IF(C50&lt;&gt;"",
VLOOKUP(
IF(COUNTIF(D50,"*学食*"),"キャラ弁（学食）",
IF(COUNTIF(D50,"*赤*"),"赤",
IF(COUNTIF(D50,"*キャラ弁当*"),"キャラ弁当",D50))),注文弁当の抽出!$E$1:$F$15,2,FALSE),"")</f>
        <v/>
      </c>
      <c r="K50" s="52" t="str">
        <f t="shared" ca="1" si="15"/>
        <v/>
      </c>
      <c r="L50" s="52" t="str">
        <f t="shared" ca="1" si="16"/>
        <v/>
      </c>
      <c r="M50" s="52" cm="1">
        <f t="array" aca="1" ref="M50" ca="1">IF(C50&lt;&gt;"",
IF(IFERROR(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0)&lt;&gt;0,
IF(IFERROR(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"")="",
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""),
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0)),0),0)</f>
        <v>0</v>
      </c>
      <c r="N50" s="52" t="e">
        <f t="array" aca="1" ref="N50" ca="1">IF(B50="博多",
IF(C50&lt;&gt;"",
IF(IFERROR(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0)&lt;&gt;0,
IF(IFERROR(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0)="",
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0),
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0)),0),""),0)</f>
        <v>#N/A</v>
      </c>
      <c r="O50" s="52" t="e">
        <f t="shared" ca="1" si="17"/>
        <v>#N/A</v>
      </c>
      <c r="P50" s="52">
        <f t="shared" ca="1" si="4"/>
        <v>0</v>
      </c>
      <c r="Q50" s="52" t="b">
        <f t="shared" ca="1" si="18"/>
        <v>0</v>
      </c>
      <c r="R50" s="51" t="str" cm="1">
        <f t="array" aca="1" ref="R50" ca="1">IFERROR(SMALL(IF(P$1:P$300&lt;&gt;0,P$1:P$300),ROW(A50)),"")</f>
        <v/>
      </c>
      <c r="S50" s="51" t="str">
        <f t="array" aca="1" ref="S50" ca="1">IF($R50&lt;&gt;"",
INDIRECT(""&amp;IF(COLUMN(C70)&lt;=26,CHAR(COLUMN(C70)+64),CHAR(INT((COLUMN(C70)-1)/26)+64)&amp;CHAR(MOD(COLUMN(C70)-1,26)+65))&amp;$R50&amp;""),"")</f>
        <v/>
      </c>
      <c r="T50" s="51" t="str" cm="1">
        <f t="array" aca="1" ref="T50" ca="1">IF(IF($R50&lt;&gt;"",
INDIRECT(""&amp;IF(COLUMN(D70)&lt;=26,CHAR(COLUMN(D70)+64),CHAR(INT((COLUMN(D70)-1)/26)+64)&amp;CHAR(MOD(COLUMN(D70)-1,26)+65))&amp;$R50&amp;""),"")=0,"",
IF($R50&lt;&gt;"",
INDIRECT(""&amp;IF(COLUMN(D70)&lt;=26,CHAR(COLUMN(D70)+64),CHAR(INT((COLUMN(D70)-1)/26)+64)&amp;CHAR(MOD(COLUMN(D70)-1,26)+65))&amp;$R50&amp;""),""))</f>
        <v/>
      </c>
      <c r="V50" s="51" t="str">
        <f t="array" aca="1" ref="V50" ca="1">IF($R50&lt;&gt;"",
IF(U50="",
IF(INDIRECT("EY"&amp;$R50&amp;"")&lt;&gt;"",
INDIRECT("EY"&amp;$R50&amp;"")&amp;"箱"
&amp;INDIRECT("EZ"&amp;$R50&amp;""),""),""),"")</f>
        <v/>
      </c>
      <c r="W50" s="51" t="str">
        <f t="array" aca="1" ref="W50" ca="1">IF($R50&lt;&gt;"",
INDIRECT(""&amp;IF(COLUMN(H70)&lt;=26,CHAR(COLUMN(H70)+64),CHAR(INT((COLUMN(H70)-1)/26)+64)&amp;CHAR(MOD(COLUMN(H70)-1,26)+65))&amp;$R50&amp;""),"")</f>
        <v/>
      </c>
      <c r="X50" s="51" t="str">
        <f t="array" aca="1" ref="X50" ca="1">IF($R50&lt;&gt;"",
INDIRECT(""&amp;IF(COLUMN(I70)&lt;=26,CHAR(COLUMN(I70)+64),CHAR(INT((COLUMN(I70)-1)/26)+64)&amp;CHAR(MOD(COLUMN(I70)-1,26)+65))&amp;$R50&amp;""),"")</f>
        <v/>
      </c>
      <c r="Y50" s="51" t="str">
        <f t="array" aca="1" ref="Y50" ca="1">IF($R50&lt;&gt;"",
INDIRECT(""&amp;IF(COLUMN(J70)&lt;=26,CHAR(COLUMN(J70)+64),CHAR(INT((COLUMN(J70)-1)/26)+64)&amp;CHAR(MOD(COLUMN(J70)-1,26)+65))&amp;$R50&amp;""),"")</f>
        <v/>
      </c>
      <c r="Z50" s="51" t="str">
        <f t="array" aca="1" ref="Z50" ca="1">IF($R50&lt;&gt;"",
INDIRECT(""&amp;IF(COLUMN(K70)&lt;=26,CHAR(COLUMN(K70)+64),CHAR(INT((COLUMN(K70)-1)/26)+64)&amp;CHAR(MOD(COLUMN(K70)-1,26)+65))&amp;$R50&amp;""),"")</f>
        <v/>
      </c>
      <c r="AA50" s="51" t="str">
        <f t="array" aca="1" ref="AA50" ca="1">IF($R50&lt;&gt;"",
INDIRECT(""&amp;IF(COLUMN(L70)&lt;=26,CHAR(COLUMN(L70)+64),CHAR(INT((COLUMN(L70)-1)/26)+64)&amp;CHAR(MOD(COLUMN(L70)-1,26)+65))&amp;$R50&amp;""),"")</f>
        <v/>
      </c>
      <c r="AB50" s="51" t="str">
        <f t="array" aca="1" ref="AB50" ca="1">IF($R50&lt;&gt;"",
INDIRECT(""&amp;IF(COLUMN(O70)&lt;=26,CHAR(COLUMN(O70)+64),CHAR(INT((COLUMN(O70)-1)/26)+64)&amp;CHAR(MOD(COLUMN(O70)-1,26)+65))&amp;$R50&amp;""),"")</f>
        <v/>
      </c>
    </row>
    <row r="51" spans="1:28" s="51" customFormat="1" ht="18" customHeight="1">
      <c r="A51" s="197">
        <f t="shared" si="14"/>
        <v>107</v>
      </c>
      <c r="B51" s="52" t="e">
        <f t="array" aca="1" ref="B51" ca="1">IF(AND(LEFT(C51,2)="博多",
LEFT(INDIRECT("数出表_Excel!A"&amp;MATCH(C51,数出表_Excel!$A:$A,0)-1),2)
=LEFT(INDIRECT("数出表_Excel!A"&amp;MATCH(C51,数出表_Excel!$A:$A,0)+1),2)),"博多",
IF(AND(LEFT(C51,3)="奈良屋",
LEFT(INDIRECT("数出表_Excel!A"&amp;MATCH(C51,数出表_Excel!$A:$A,0)-1),2)
=LEFT(INDIRECT("数出表_Excel!A"&amp;MATCH(C51,数出表_Excel!$A:$A,0)+1),2)),"奈良屋",""))</f>
        <v>#N/A</v>
      </c>
      <c r="C51" s="52" t="str" cm="1">
        <f t="array" aca="1" ref="C51" ca="1">IF(IF(クライアント抽出!A51="",0,LEN(クライアント抽出!V51)-LEN(SUBSTITUTE(クライアント抽出!V51,",","")))&gt;=1,INDIRECT("数出表_Excel!A"&amp;A51&amp;""),"")</f>
        <v/>
      </c>
      <c r="D51" s="52" t="str" cm="1">
        <f t="array" aca="1" ref="D51" ca="1">IF(C51&lt;&gt;"",INDIRECT("クライアント抽出!"&amp;E51&amp;MATCH(C51,クライアント抽出!A:A,0)&amp;""),"")</f>
        <v/>
      </c>
      <c r="E51" s="52" t="str">
        <f ca="1"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t="array" aca="1" ref="F51" ca="1">IF(D51&lt;&gt;"",
IF(COUNTIF(C51,"*雙葉*"),
IF(ROUND(
IF(O51&lt;&gt;"",(H51-O51),H51)
/IF(COUNTIF('盛付札（関数）'!D51,"*キャラ*"),
VLOOKUP("*キャラ*",#REF!,7,FALSE),
IF(COUNTIF('盛付札（関数）'!D51,"*赤*"),
VLOOKUP("*赤*",#REF!,7,FALSE),
VLOOKUP('盛付札（関数）'!D51,#REF!,7,FALSE))),0)&lt;=0,1,
ROUND(
IF(O51&lt;&gt;"",(H51-O51),H51)
/IF(COUNTIF('盛付札（関数）'!D51,"*キャラ*"),
VLOOKUP("*キャラ*",#REF!,7,FALSE),
IF(COUNTIF('盛付札（関数）'!D51,"*赤*"),
VLOOKUP("*赤*",#REF!,7,FALSE),
VLOOKUP('盛付札（関数）'!D51,#REF!,7,FALSE))),0)),
IF(MATCH(TRUE,
ISNUMBER(--INDIRECT("数出表_Excel!B"&amp;MATCH(C51,数出表_Excel!$A:$A,0)-1&amp;":U"&amp;MATCH(C51,数出表_Excel!$A:$A,0)-1&amp;"")),0)&gt;10,
IF(D51&lt;&gt;"",
IF(IF(COUNTIF('盛付札（関数）'!D51,"*キャラ*"),
VLOOKUP("*キャラ*",#REF!,7,FALSE),
IF(COUNTIF('盛付札（関数）'!D51,"*赤*"),
VLOOKUP("*赤*",#REF!,7,FALSE),
VLOOKUP('盛付札（関数）'!D51,#REF!,7,FALSE)))=0,"",
IF(ROUND(
IF(O51&lt;&gt;"",(H51-O51),H51)
/IF(COUNTIF('盛付札（関数）'!D51,"*キャラ*"),
VLOOKUP("*キャラ*",#REF!,7,FALSE),
IF(COUNTIF('盛付札（関数）'!D51,"*赤*"),
VLOOKUP("*赤*",#REF!,7,FALSE),
VLOOKUP('盛付札（関数）'!D51,#REF!,7,FALSE))),0)&lt;=0,1,
ROUND(
IF(O51&lt;&gt;"",(H51-O51),H51)
/IF(COUNTIF('盛付札（関数）'!D51,"*キャラ*"),
VLOOKUP("*キャラ*",#REF!,7,FALSE),
IF(COUNTIF('盛付札（関数）'!D51,"*赤*"),
VLOOKUP("*赤*",#REF!,7,FALSE),
VLOOKUP('盛付札（関数）'!D51,#REF!,7,FALSE))),0))),""),"")),"")</f>
        <v/>
      </c>
      <c r="G51" s="53" t="str">
        <f ca="1">IF(F51&lt;&gt;"",IF(VALUE(IF(O51&lt;&gt;"",H51-O51,H51))&gt;VALUE(IF(COUNTIF('盛付札（関数）'!D51,"*キャラ*"),
VLOOKUP("*キャラ*",#REF!,7,FALSE),
IF(COUNTIF('盛付札（関数）'!D51,"*赤*"),
VLOOKUP("*赤*",#REF!,7,FALSE),
VLOOKUP('盛付札（関数）'!D51,#REF!,7,FALSE)))*F51),
"+"&amp;IF(O51&lt;&gt;"",H51-O51,H51)-IF(COUNTIF('盛付札（関数）'!D51,"*キャラ*"),
VLOOKUP("*キャラ*",#REF!,7,FALSE),
IF(COUNTIF('盛付札（関数）'!D51,"*赤*"),
VLOOKUP("*赤*",#REF!,7,FALSE),
VLOOKUP('盛付札（関数）'!D51,#REF!,7,FALSE)))*F51,
IF(O51&lt;&gt;"",H51-O51,H51)-IF(COUNTIF('盛付札（関数）'!D51,"*キャラ*"),
VLOOKUP("*キャラ*",#REF!,7,FALSE),
IF(COUNTIF('盛付札（関数）'!D51,"*赤*"),
VLOOKUP("*赤*",#REF!,7,FALSE),
VLOOKUP('盛付札（関数）'!D51,#REF!,7,FALSE)))*F51),"")</f>
        <v/>
      </c>
      <c r="H51" s="195" t="str" cm="1">
        <f t="array" aca="1" ref="H51" ca="1">IF(C51&lt;&gt;"",
IF(INDIRECT("数出表_Excel!"&amp;LEFT(クライアント抽出!V51)&amp;A51-1&amp;"")&lt;&gt;"",INDIRECT("数出表_Excel!"&amp;LEFT(クライアント抽出!V51)&amp;A51-1&amp;""),0),"")</f>
        <v/>
      </c>
      <c r="I51" s="52" t="str" cm="1">
        <f t="array" aca="1" ref="I51" ca="1">IF(C51&lt;&gt;"",
IF(INDIRECT("数出表_Excel!"&amp;LEFT(クライアント抽出!V51)&amp;A51&amp;"")&lt;&gt;"",INDIRECT("数出表_Excel!"&amp;LEFT(クライアント抽出!V51)&amp;A51&amp;""),0),"")</f>
        <v/>
      </c>
      <c r="J51" s="52" t="str">
        <f ca="1">IF(C51&lt;&gt;"",
VLOOKUP(
IF(COUNTIF(D51,"*学食*"),"キャラ弁（学食）",
IF(COUNTIF(D51,"*赤*"),"赤",
IF(COUNTIF(D51,"*キャラ弁当*"),"キャラ弁当",D51))),注文弁当の抽出!$E$1:$F$15,2,FALSE),"")</f>
        <v/>
      </c>
      <c r="K51" s="52" t="str">
        <f t="shared" ca="1" si="15"/>
        <v/>
      </c>
      <c r="L51" s="52" t="str">
        <f t="shared" ca="1" si="16"/>
        <v/>
      </c>
      <c r="M51" s="52" cm="1">
        <f t="array" aca="1" ref="M51" ca="1">IF(C51&lt;&gt;"",
IF(IFERROR(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0)&lt;&gt;0,
IF(IFERROR(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"")="",
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""),
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0)),0),0)</f>
        <v>0</v>
      </c>
      <c r="N51" s="52" t="e">
        <f t="array" aca="1" ref="N51" ca="1">IF(B51="博多",
IF(C51&lt;&gt;"",
IF(IFERROR(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0)&lt;&gt;0,
IF(IFERROR(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0)="",
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0),
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0)),0),""),0)</f>
        <v>#N/A</v>
      </c>
      <c r="O51" s="52" t="e">
        <f t="shared" ca="1" si="17"/>
        <v>#N/A</v>
      </c>
      <c r="P51" s="52">
        <f t="shared" ca="1" si="4"/>
        <v>0</v>
      </c>
      <c r="Q51" s="52" t="b">
        <f t="shared" ca="1" si="18"/>
        <v>0</v>
      </c>
      <c r="R51" s="51" t="str" cm="1">
        <f t="array" aca="1" ref="R51" ca="1">IFERROR(SMALL(IF(P$1:P$300&lt;&gt;0,P$1:P$300),ROW(A51)),"")</f>
        <v/>
      </c>
      <c r="S51" s="51" t="str">
        <f t="array" aca="1" ref="S51" ca="1">IF($R51&lt;&gt;"",
INDIRECT(""&amp;IF(COLUMN(C71)&lt;=26,CHAR(COLUMN(C71)+64),CHAR(INT((COLUMN(C71)-1)/26)+64)&amp;CHAR(MOD(COLUMN(C71)-1,26)+65))&amp;$R51&amp;""),"")</f>
        <v/>
      </c>
      <c r="T51" s="51" t="str" cm="1">
        <f t="array" aca="1" ref="T51" ca="1">IF(IF($R51&lt;&gt;"",
INDIRECT(""&amp;IF(COLUMN(D71)&lt;=26,CHAR(COLUMN(D71)+64),CHAR(INT((COLUMN(D71)-1)/26)+64)&amp;CHAR(MOD(COLUMN(D71)-1,26)+65))&amp;$R51&amp;""),"")=0,"",
IF($R51&lt;&gt;"",
INDIRECT(""&amp;IF(COLUMN(D71)&lt;=26,CHAR(COLUMN(D71)+64),CHAR(INT((COLUMN(D71)-1)/26)+64)&amp;CHAR(MOD(COLUMN(D71)-1,26)+65))&amp;$R51&amp;""),""))</f>
        <v/>
      </c>
      <c r="V51" s="51" t="str">
        <f t="array" aca="1" ref="V51" ca="1">IF($R51&lt;&gt;"",
IF(U51="",
IF(INDIRECT("EY"&amp;$R51&amp;"")&lt;&gt;"",
INDIRECT("EY"&amp;$R51&amp;"")&amp;"箱"
&amp;INDIRECT("EZ"&amp;$R51&amp;""),""),""),"")</f>
        <v/>
      </c>
      <c r="W51" s="51" t="str">
        <f t="array" aca="1" ref="W51" ca="1">IF($R51&lt;&gt;"",
INDIRECT(""&amp;IF(COLUMN(H71)&lt;=26,CHAR(COLUMN(H71)+64),CHAR(INT((COLUMN(H71)-1)/26)+64)&amp;CHAR(MOD(COLUMN(H71)-1,26)+65))&amp;$R51&amp;""),"")</f>
        <v/>
      </c>
      <c r="X51" s="51" t="str">
        <f t="array" aca="1" ref="X51" ca="1">IF($R51&lt;&gt;"",
INDIRECT(""&amp;IF(COLUMN(I71)&lt;=26,CHAR(COLUMN(I71)+64),CHAR(INT((COLUMN(I71)-1)/26)+64)&amp;CHAR(MOD(COLUMN(I71)-1,26)+65))&amp;$R51&amp;""),"")</f>
        <v/>
      </c>
      <c r="Y51" s="51" t="str">
        <f t="array" aca="1" ref="Y51" ca="1">IF($R51&lt;&gt;"",
INDIRECT(""&amp;IF(COLUMN(J71)&lt;=26,CHAR(COLUMN(J71)+64),CHAR(INT((COLUMN(J71)-1)/26)+64)&amp;CHAR(MOD(COLUMN(J71)-1,26)+65))&amp;$R51&amp;""),"")</f>
        <v/>
      </c>
      <c r="Z51" s="51" t="str">
        <f t="array" aca="1" ref="Z51" ca="1">IF($R51&lt;&gt;"",
INDIRECT(""&amp;IF(COLUMN(K71)&lt;=26,CHAR(COLUMN(K71)+64),CHAR(INT((COLUMN(K71)-1)/26)+64)&amp;CHAR(MOD(COLUMN(K71)-1,26)+65))&amp;$R51&amp;""),"")</f>
        <v/>
      </c>
      <c r="AA51" s="51" t="str">
        <f t="array" aca="1" ref="AA51" ca="1">IF($R51&lt;&gt;"",
INDIRECT(""&amp;IF(COLUMN(L71)&lt;=26,CHAR(COLUMN(L71)+64),CHAR(INT((COLUMN(L71)-1)/26)+64)&amp;CHAR(MOD(COLUMN(L71)-1,26)+65))&amp;$R51&amp;""),"")</f>
        <v/>
      </c>
      <c r="AB51" s="51" t="str">
        <f t="array" aca="1" ref="AB51" ca="1">IF($R51&lt;&gt;"",
INDIRECT(""&amp;IF(COLUMN(O71)&lt;=26,CHAR(COLUMN(O71)+64),CHAR(INT((COLUMN(O71)-1)/26)+64)&amp;CHAR(MOD(COLUMN(O71)-1,26)+65))&amp;$R51&amp;""),"")</f>
        <v/>
      </c>
    </row>
    <row r="52" spans="1:28" s="51" customFormat="1" ht="22.2" customHeight="1">
      <c r="A52" s="197">
        <f t="shared" si="14"/>
        <v>109</v>
      </c>
      <c r="B52" s="52" t="e">
        <f t="array" aca="1" ref="B52" ca="1">IF(AND(LEFT(C52,2)="博多",
LEFT(INDIRECT("数出表_Excel!A"&amp;MATCH(C52,数出表_Excel!$A:$A,0)-1),2)
=LEFT(INDIRECT("数出表_Excel!A"&amp;MATCH(C52,数出表_Excel!$A:$A,0)+1),2)),"博多",
IF(AND(LEFT(C52,3)="奈良屋",
LEFT(INDIRECT("数出表_Excel!A"&amp;MATCH(C52,数出表_Excel!$A:$A,0)-1),2)
=LEFT(INDIRECT("数出表_Excel!A"&amp;MATCH(C52,数出表_Excel!$A:$A,0)+1),2)),"奈良屋",""))</f>
        <v>#N/A</v>
      </c>
      <c r="C52" s="52" t="str" cm="1">
        <f t="array" aca="1" ref="C52" ca="1">IF(IF(クライアント抽出!A52="",0,LEN(クライアント抽出!V52)-LEN(SUBSTITUTE(クライアント抽出!V52,",","")))&gt;=1,INDIRECT("数出表_Excel!A"&amp;A52&amp;""),"")</f>
        <v/>
      </c>
      <c r="D52" s="52" t="str" cm="1">
        <f t="array" aca="1" ref="D52" ca="1">IF(C52&lt;&gt;"",INDIRECT("クライアント抽出!"&amp;E52&amp;MATCH(C52,クライアント抽出!A:A,0)&amp;""),"")</f>
        <v/>
      </c>
      <c r="E52" s="52" t="str">
        <f ca="1"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t="array" aca="1" ref="F52" ca="1">IF(D52&lt;&gt;"",
IF(COUNTIF(C52,"*雙葉*"),
IF(ROUND(
IF(O52&lt;&gt;"",(H52-O52),H52)
/IF(COUNTIF('盛付札（関数）'!D52,"*キャラ*"),
VLOOKUP("*キャラ*",#REF!,7,FALSE),
IF(COUNTIF('盛付札（関数）'!D52,"*赤*"),
VLOOKUP("*赤*",#REF!,7,FALSE),
VLOOKUP('盛付札（関数）'!D52,#REF!,7,FALSE))),0)&lt;=0,1,
ROUND(
IF(O52&lt;&gt;"",(H52-O52),H52)
/IF(COUNTIF('盛付札（関数）'!D52,"*キャラ*"),
VLOOKUP("*キャラ*",#REF!,7,FALSE),
IF(COUNTIF('盛付札（関数）'!D52,"*赤*"),
VLOOKUP("*赤*",#REF!,7,FALSE),
VLOOKUP('盛付札（関数）'!D52,#REF!,7,FALSE))),0)),
IF(MATCH(TRUE,
ISNUMBER(--INDIRECT("数出表_Excel!B"&amp;MATCH(C52,数出表_Excel!$A:$A,0)-1&amp;":U"&amp;MATCH(C52,数出表_Excel!$A:$A,0)-1&amp;"")),0)&gt;10,
IF(D52&lt;&gt;"",
IF(IF(COUNTIF('盛付札（関数）'!D52,"*キャラ*"),
VLOOKUP("*キャラ*",#REF!,7,FALSE),
IF(COUNTIF('盛付札（関数）'!D52,"*赤*"),
VLOOKUP("*赤*",#REF!,7,FALSE),
VLOOKUP('盛付札（関数）'!D52,#REF!,7,FALSE)))=0,"",
IF(ROUND(
IF(O52&lt;&gt;"",(H52-O52),H52)
/IF(COUNTIF('盛付札（関数）'!D52,"*キャラ*"),
VLOOKUP("*キャラ*",#REF!,7,FALSE),
IF(COUNTIF('盛付札（関数）'!D52,"*赤*"),
VLOOKUP("*赤*",#REF!,7,FALSE),
VLOOKUP('盛付札（関数）'!D52,#REF!,7,FALSE))),0)&lt;=0,1,
ROUND(
IF(O52&lt;&gt;"",(H52-O52),H52)
/IF(COUNTIF('盛付札（関数）'!D52,"*キャラ*"),
VLOOKUP("*キャラ*",#REF!,7,FALSE),
IF(COUNTIF('盛付札（関数）'!D52,"*赤*"),
VLOOKUP("*赤*",#REF!,7,FALSE),
VLOOKUP('盛付札（関数）'!D52,#REF!,7,FALSE))),0))),""),"")),"")</f>
        <v/>
      </c>
      <c r="G52" s="53" t="str">
        <f ca="1">IF(F52&lt;&gt;"",IF(VALUE(IF(O52&lt;&gt;"",H52-O52,H52))&gt;VALUE(IF(COUNTIF('盛付札（関数）'!D52,"*キャラ*"),
VLOOKUP("*キャラ*",#REF!,7,FALSE),
IF(COUNTIF('盛付札（関数）'!D52,"*赤*"),
VLOOKUP("*赤*",#REF!,7,FALSE),
VLOOKUP('盛付札（関数）'!D52,#REF!,7,FALSE)))*F52),
"+"&amp;IF(O52&lt;&gt;"",H52-O52,H52)-IF(COUNTIF('盛付札（関数）'!D52,"*キャラ*"),
VLOOKUP("*キャラ*",#REF!,7,FALSE),
IF(COUNTIF('盛付札（関数）'!D52,"*赤*"),
VLOOKUP("*赤*",#REF!,7,FALSE),
VLOOKUP('盛付札（関数）'!D52,#REF!,7,FALSE)))*F52,
IF(O52&lt;&gt;"",H52-O52,H52)-IF(COUNTIF('盛付札（関数）'!D52,"*キャラ*"),
VLOOKUP("*キャラ*",#REF!,7,FALSE),
IF(COUNTIF('盛付札（関数）'!D52,"*赤*"),
VLOOKUP("*赤*",#REF!,7,FALSE),
VLOOKUP('盛付札（関数）'!D52,#REF!,7,FALSE)))*F52),"")</f>
        <v/>
      </c>
      <c r="H52" s="195" t="str" cm="1">
        <f t="array" aca="1" ref="H52" ca="1">IF(C52&lt;&gt;"",
IF(INDIRECT("数出表_Excel!"&amp;LEFT(クライアント抽出!V52)&amp;A52-1&amp;"")&lt;&gt;"",INDIRECT("数出表_Excel!"&amp;LEFT(クライアント抽出!V52)&amp;A52-1&amp;""),0),"")</f>
        <v/>
      </c>
      <c r="I52" s="52" t="str" cm="1">
        <f t="array" aca="1" ref="I52" ca="1">IF(C52&lt;&gt;"",
IF(INDIRECT("数出表_Excel!"&amp;LEFT(クライアント抽出!V52)&amp;A52&amp;"")&lt;&gt;"",INDIRECT("数出表_Excel!"&amp;LEFT(クライアント抽出!V52)&amp;A52&amp;""),0),"")</f>
        <v/>
      </c>
      <c r="J52" s="52" t="str">
        <f ca="1">IF(C52&lt;&gt;"",
VLOOKUP(
IF(COUNTIF(D52,"*学食*"),"キャラ弁（学食）",
IF(COUNTIF(D52,"*赤*"),"赤",
IF(COUNTIF(D52,"*キャラ弁当*"),"キャラ弁当",D52))),注文弁当の抽出!$E$1:$F$15,2,FALSE),"")</f>
        <v/>
      </c>
      <c r="K52" s="52" t="str">
        <f t="shared" ca="1" si="15"/>
        <v/>
      </c>
      <c r="L52" s="52" t="str">
        <f t="shared" ca="1" si="16"/>
        <v/>
      </c>
      <c r="M52" s="52" cm="1">
        <f t="array" aca="1" ref="M52" ca="1">IF(C52&lt;&gt;"",
IF(IFERROR(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0)&lt;&gt;0,
IF(IFERROR(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"")="",
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""),
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0)),0),0)</f>
        <v>0</v>
      </c>
      <c r="N52" s="52" t="e">
        <f t="array" aca="1" ref="N52" ca="1">IF(B52="博多",
IF(C52&lt;&gt;"",
IF(IFERROR(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0)&lt;&gt;0,
IF(IFERROR(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0)="",
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0),
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0)),0),""),0)</f>
        <v>#N/A</v>
      </c>
      <c r="O52" s="52" t="e">
        <f t="shared" ca="1" si="17"/>
        <v>#N/A</v>
      </c>
      <c r="P52" s="52">
        <f t="shared" ca="1" si="4"/>
        <v>0</v>
      </c>
      <c r="Q52" s="52" t="b">
        <f t="shared" ca="1" si="18"/>
        <v>0</v>
      </c>
      <c r="R52" s="51" t="str" cm="1">
        <f t="array" aca="1" ref="R52" ca="1">IFERROR(SMALL(IF(P$1:P$300&lt;&gt;0,P$1:P$300),ROW(A52)),"")</f>
        <v/>
      </c>
      <c r="S52" s="51" t="str">
        <f t="array" aca="1" ref="S52" ca="1">IF($R52&lt;&gt;"",
INDIRECT(""&amp;IF(COLUMN(C72)&lt;=26,CHAR(COLUMN(C72)+64),CHAR(INT((COLUMN(C72)-1)/26)+64)&amp;CHAR(MOD(COLUMN(C72)-1,26)+65))&amp;$R52&amp;""),"")</f>
        <v/>
      </c>
      <c r="T52" s="51" t="str" cm="1">
        <f t="array" aca="1" ref="T52" ca="1">IF(IF($R52&lt;&gt;"",
INDIRECT(""&amp;IF(COLUMN(D72)&lt;=26,CHAR(COLUMN(D72)+64),CHAR(INT((COLUMN(D72)-1)/26)+64)&amp;CHAR(MOD(COLUMN(D72)-1,26)+65))&amp;$R52&amp;""),"")=0,"",
IF($R52&lt;&gt;"",
INDIRECT(""&amp;IF(COLUMN(D72)&lt;=26,CHAR(COLUMN(D72)+64),CHAR(INT((COLUMN(D72)-1)/26)+64)&amp;CHAR(MOD(COLUMN(D72)-1,26)+65))&amp;$R52&amp;""),""))</f>
        <v/>
      </c>
      <c r="V52" s="51" t="str">
        <f t="array" aca="1" ref="V52" ca="1">IF($R52&lt;&gt;"",
IF(U52="",
IF(INDIRECT("EY"&amp;$R52&amp;"")&lt;&gt;"",
INDIRECT("EY"&amp;$R52&amp;"")&amp;"箱"
&amp;INDIRECT("EZ"&amp;$R52&amp;""),""),""),"")</f>
        <v/>
      </c>
      <c r="W52" s="51" t="str">
        <f t="array" aca="1" ref="W52" ca="1">IF($R52&lt;&gt;"",
INDIRECT(""&amp;IF(COLUMN(H72)&lt;=26,CHAR(COLUMN(H72)+64),CHAR(INT((COLUMN(H72)-1)/26)+64)&amp;CHAR(MOD(COLUMN(H72)-1,26)+65))&amp;$R52&amp;""),"")</f>
        <v/>
      </c>
      <c r="X52" s="51" t="str">
        <f t="array" aca="1" ref="X52" ca="1">IF($R52&lt;&gt;"",
INDIRECT(""&amp;IF(COLUMN(I72)&lt;=26,CHAR(COLUMN(I72)+64),CHAR(INT((COLUMN(I72)-1)/26)+64)&amp;CHAR(MOD(COLUMN(I72)-1,26)+65))&amp;$R52&amp;""),"")</f>
        <v/>
      </c>
      <c r="Y52" s="51" t="str">
        <f t="array" aca="1" ref="Y52" ca="1">IF($R52&lt;&gt;"",
INDIRECT(""&amp;IF(COLUMN(J72)&lt;=26,CHAR(COLUMN(J72)+64),CHAR(INT((COLUMN(J72)-1)/26)+64)&amp;CHAR(MOD(COLUMN(J72)-1,26)+65))&amp;$R52&amp;""),"")</f>
        <v/>
      </c>
      <c r="Z52" s="51" t="str">
        <f t="array" aca="1" ref="Z52" ca="1">IF($R52&lt;&gt;"",
INDIRECT(""&amp;IF(COLUMN(K72)&lt;=26,CHAR(COLUMN(K72)+64),CHAR(INT((COLUMN(K72)-1)/26)+64)&amp;CHAR(MOD(COLUMN(K72)-1,26)+65))&amp;$R52&amp;""),"")</f>
        <v/>
      </c>
      <c r="AA52" s="51" t="str">
        <f t="array" aca="1" ref="AA52" ca="1">IF($R52&lt;&gt;"",
INDIRECT(""&amp;IF(COLUMN(L72)&lt;=26,CHAR(COLUMN(L72)+64),CHAR(INT((COLUMN(L72)-1)/26)+64)&amp;CHAR(MOD(COLUMN(L72)-1,26)+65))&amp;$R52&amp;""),"")</f>
        <v/>
      </c>
      <c r="AB52" s="51" t="str">
        <f t="array" aca="1" ref="AB52" ca="1">IF($R52&lt;&gt;"",
INDIRECT(""&amp;IF(COLUMN(O72)&lt;=26,CHAR(COLUMN(O72)+64),CHAR(INT((COLUMN(O72)-1)/26)+64)&amp;CHAR(MOD(COLUMN(O72)-1,26)+65))&amp;$R52&amp;""),"")</f>
        <v/>
      </c>
    </row>
    <row r="53" spans="1:28" ht="18" customHeight="1">
      <c r="A53" s="197">
        <f t="shared" si="14"/>
        <v>111</v>
      </c>
      <c r="B53" s="52" t="e">
        <f t="array" aca="1" ref="B53" ca="1">IF(AND(LEFT(C53,2)="博多",
LEFT(INDIRECT("数出表_Excel!A"&amp;MATCH(C53,数出表_Excel!$A:$A,0)-1),2)
=LEFT(INDIRECT("数出表_Excel!A"&amp;MATCH(C53,数出表_Excel!$A:$A,0)+1),2)),"博多",
IF(AND(LEFT(C53,3)="奈良屋",
LEFT(INDIRECT("数出表_Excel!A"&amp;MATCH(C53,数出表_Excel!$A:$A,0)-1),2)
=LEFT(INDIRECT("数出表_Excel!A"&amp;MATCH(C53,数出表_Excel!$A:$A,0)+1),2)),"奈良屋",""))</f>
        <v>#N/A</v>
      </c>
      <c r="C53" s="52" t="str" cm="1">
        <f t="array" aca="1" ref="C53" ca="1">IF(IF(クライアント抽出!A53="",0,LEN(クライアント抽出!V53)-LEN(SUBSTITUTE(クライアント抽出!V53,",","")))&gt;=1,INDIRECT("数出表_Excel!A"&amp;A53&amp;""),"")</f>
        <v/>
      </c>
      <c r="D53" s="52" t="str" cm="1">
        <f t="array" aca="1" ref="D53" ca="1">IF(C53&lt;&gt;"",INDIRECT("クライアント抽出!"&amp;E53&amp;MATCH(C53,クライアント抽出!A:A,0)&amp;""),"")</f>
        <v/>
      </c>
      <c r="E53" s="52" t="str">
        <f ca="1"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t="array" aca="1" ref="F53" ca="1">IF(D53&lt;&gt;"",
IF(COUNTIF(C53,"*雙葉*"),
IF(ROUND(
IF(O53&lt;&gt;"",(H53-O53),H53)
/IF(COUNTIF('盛付札（関数）'!D53,"*キャラ*"),
VLOOKUP("*キャラ*",#REF!,7,FALSE),
IF(COUNTIF('盛付札（関数）'!D53,"*赤*"),
VLOOKUP("*赤*",#REF!,7,FALSE),
VLOOKUP('盛付札（関数）'!D53,#REF!,7,FALSE))),0)&lt;=0,1,
ROUND(
IF(O53&lt;&gt;"",(H53-O53),H53)
/IF(COUNTIF('盛付札（関数）'!D53,"*キャラ*"),
VLOOKUP("*キャラ*",#REF!,7,FALSE),
IF(COUNTIF('盛付札（関数）'!D53,"*赤*"),
VLOOKUP("*赤*",#REF!,7,FALSE),
VLOOKUP('盛付札（関数）'!D53,#REF!,7,FALSE))),0)),
IF(MATCH(TRUE,
ISNUMBER(--INDIRECT("数出表_Excel!B"&amp;MATCH(C53,数出表_Excel!$A:$A,0)-1&amp;":U"&amp;MATCH(C53,数出表_Excel!$A:$A,0)-1&amp;"")),0)&gt;10,
IF(D53&lt;&gt;"",
IF(IF(COUNTIF('盛付札（関数）'!D53,"*キャラ*"),
VLOOKUP("*キャラ*",#REF!,7,FALSE),
IF(COUNTIF('盛付札（関数）'!D53,"*赤*"),
VLOOKUP("*赤*",#REF!,7,FALSE),
VLOOKUP('盛付札（関数）'!D53,#REF!,7,FALSE)))=0,"",
IF(ROUND(
IF(O53&lt;&gt;"",(H53-O53),H53)
/IF(COUNTIF('盛付札（関数）'!D53,"*キャラ*"),
VLOOKUP("*キャラ*",#REF!,7,FALSE),
IF(COUNTIF('盛付札（関数）'!D53,"*赤*"),
VLOOKUP("*赤*",#REF!,7,FALSE),
VLOOKUP('盛付札（関数）'!D53,#REF!,7,FALSE))),0)&lt;=0,1,
ROUND(
IF(O53&lt;&gt;"",(H53-O53),H53)
/IF(COUNTIF('盛付札（関数）'!D53,"*キャラ*"),
VLOOKUP("*キャラ*",#REF!,7,FALSE),
IF(COUNTIF('盛付札（関数）'!D53,"*赤*"),
VLOOKUP("*赤*",#REF!,7,FALSE),
VLOOKUP('盛付札（関数）'!D53,#REF!,7,FALSE))),0))),""),"")),"")</f>
        <v/>
      </c>
      <c r="G53" s="53" t="str">
        <f ca="1">IF(F53&lt;&gt;"",IF(VALUE(IF(O53&lt;&gt;"",H53-O53,H53))&gt;VALUE(IF(COUNTIF('盛付札（関数）'!D53,"*キャラ*"),
VLOOKUP("*キャラ*",#REF!,7,FALSE),
IF(COUNTIF('盛付札（関数）'!D53,"*赤*"),
VLOOKUP("*赤*",#REF!,7,FALSE),
VLOOKUP('盛付札（関数）'!D53,#REF!,7,FALSE)))*F53),
"+"&amp;IF(O53&lt;&gt;"",H53-O53,H53)-IF(COUNTIF('盛付札（関数）'!D53,"*キャラ*"),
VLOOKUP("*キャラ*",#REF!,7,FALSE),
IF(COUNTIF('盛付札（関数）'!D53,"*赤*"),
VLOOKUP("*赤*",#REF!,7,FALSE),
VLOOKUP('盛付札（関数）'!D53,#REF!,7,FALSE)))*F53,
IF(O53&lt;&gt;"",H53-O53,H53)-IF(COUNTIF('盛付札（関数）'!D53,"*キャラ*"),
VLOOKUP("*キャラ*",#REF!,7,FALSE),
IF(COUNTIF('盛付札（関数）'!D53,"*赤*"),
VLOOKUP("*赤*",#REF!,7,FALSE),
VLOOKUP('盛付札（関数）'!D53,#REF!,7,FALSE)))*F53),"")</f>
        <v/>
      </c>
      <c r="H53" s="195" t="str" cm="1">
        <f t="array" aca="1" ref="H53" ca="1">IF(C53&lt;&gt;"",
IF(INDIRECT("数出表_Excel!"&amp;LEFT(クライアント抽出!V53)&amp;A53-1&amp;"")&lt;&gt;"",INDIRECT("数出表_Excel!"&amp;LEFT(クライアント抽出!V53)&amp;A53-1&amp;""),0),"")</f>
        <v/>
      </c>
      <c r="I53" s="52" t="str" cm="1">
        <f t="array" aca="1" ref="I53" ca="1">IF(C53&lt;&gt;"",
IF(INDIRECT("数出表_Excel!"&amp;LEFT(クライアント抽出!V53)&amp;A53&amp;"")&lt;&gt;"",INDIRECT("数出表_Excel!"&amp;LEFT(クライアント抽出!V53)&amp;A53&amp;""),0),"")</f>
        <v/>
      </c>
      <c r="J53" s="52" t="str">
        <f ca="1">IF(C53&lt;&gt;"",
VLOOKUP(
IF(COUNTIF(D53,"*学食*"),"キャラ弁（学食）",
IF(COUNTIF(D53,"*赤*"),"赤",
IF(COUNTIF(D53,"*キャラ弁当*"),"キャラ弁当",D53))),注文弁当の抽出!$E$1:$F$15,2,FALSE),"")</f>
        <v/>
      </c>
      <c r="K53" s="52" t="str">
        <f t="shared" ca="1" si="15"/>
        <v/>
      </c>
      <c r="L53" s="52" t="str">
        <f t="shared" ca="1" si="16"/>
        <v/>
      </c>
      <c r="M53" s="52" cm="1">
        <f t="array" aca="1" ref="M53" ca="1">IF(C53&lt;&gt;"",
IF(IFERROR(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0)&lt;&gt;0,
IF(IFERROR(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"")="",
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""),
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0)),0),0)</f>
        <v>0</v>
      </c>
      <c r="N53" s="52" t="e">
        <f t="array" aca="1" ref="N53" ca="1">IF(B53="博多",
IF(C53&lt;&gt;"",
IF(IFERROR(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0)&lt;&gt;0,
IF(IFERROR(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0)="",
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0),
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0)),0),""),0)</f>
        <v>#N/A</v>
      </c>
      <c r="O53" s="52" t="e">
        <f t="shared" ca="1" si="17"/>
        <v>#N/A</v>
      </c>
      <c r="P53" s="52">
        <f t="shared" ca="1" si="4"/>
        <v>0</v>
      </c>
      <c r="Q53" s="52" t="b">
        <f t="shared" ca="1" si="18"/>
        <v>0</v>
      </c>
      <c r="R53" s="51" t="str" cm="1">
        <f t="array" aca="1" ref="R53" ca="1">IFERROR(SMALL(IF(P$1:P$300&lt;&gt;0,P$1:P$300),ROW(A53)),"")</f>
        <v/>
      </c>
      <c r="S53" s="51" t="str">
        <f t="array" aca="1" ref="S53" ca="1">IF($R53&lt;&gt;"",
INDIRECT(""&amp;IF(COLUMN(C73)&lt;=26,CHAR(COLUMN(C73)+64),CHAR(INT((COLUMN(C73)-1)/26)+64)&amp;CHAR(MOD(COLUMN(C73)-1,26)+65))&amp;$R53&amp;""),"")</f>
        <v/>
      </c>
      <c r="T53" s="51" t="str" cm="1">
        <f t="array" aca="1" ref="T53" ca="1">IF(IF($R53&lt;&gt;"",
INDIRECT(""&amp;IF(COLUMN(D73)&lt;=26,CHAR(COLUMN(D73)+64),CHAR(INT((COLUMN(D73)-1)/26)+64)&amp;CHAR(MOD(COLUMN(D73)-1,26)+65))&amp;$R53&amp;""),"")=0,"",
IF($R53&lt;&gt;"",
INDIRECT(""&amp;IF(COLUMN(D73)&lt;=26,CHAR(COLUMN(D73)+64),CHAR(INT((COLUMN(D73)-1)/26)+64)&amp;CHAR(MOD(COLUMN(D73)-1,26)+65))&amp;$R53&amp;""),""))</f>
        <v/>
      </c>
      <c r="U53" s="51"/>
      <c r="V53" s="51" t="str">
        <f t="array" aca="1" ref="V53" ca="1">IF($R53&lt;&gt;"",
IF(U53="",
IF(INDIRECT("EY"&amp;$R53&amp;"")&lt;&gt;"",
INDIRECT("EY"&amp;$R53&amp;"")&amp;"箱"
&amp;INDIRECT("EZ"&amp;$R53&amp;""),""),""),"")</f>
        <v/>
      </c>
      <c r="W53" s="51" t="str">
        <f t="array" aca="1" ref="W53" ca="1">IF($R53&lt;&gt;"",
INDIRECT(""&amp;IF(COLUMN(H73)&lt;=26,CHAR(COLUMN(H73)+64),CHAR(INT((COLUMN(H73)-1)/26)+64)&amp;CHAR(MOD(COLUMN(H73)-1,26)+65))&amp;$R53&amp;""),"")</f>
        <v/>
      </c>
      <c r="X53" s="51" t="str">
        <f t="array" aca="1" ref="X53" ca="1">IF($R53&lt;&gt;"",
INDIRECT(""&amp;IF(COLUMN(I73)&lt;=26,CHAR(COLUMN(I73)+64),CHAR(INT((COLUMN(I73)-1)/26)+64)&amp;CHAR(MOD(COLUMN(I73)-1,26)+65))&amp;$R53&amp;""),"")</f>
        <v/>
      </c>
      <c r="Y53" s="51" t="str">
        <f t="array" aca="1" ref="Y53" ca="1">IF($R53&lt;&gt;"",
INDIRECT(""&amp;IF(COLUMN(J73)&lt;=26,CHAR(COLUMN(J73)+64),CHAR(INT((COLUMN(J73)-1)/26)+64)&amp;CHAR(MOD(COLUMN(J73)-1,26)+65))&amp;$R53&amp;""),"")</f>
        <v/>
      </c>
      <c r="Z53" s="51" t="str">
        <f t="array" aca="1" ref="Z53" ca="1">IF($R53&lt;&gt;"",
INDIRECT(""&amp;IF(COLUMN(K73)&lt;=26,CHAR(COLUMN(K73)+64),CHAR(INT((COLUMN(K73)-1)/26)+64)&amp;CHAR(MOD(COLUMN(K73)-1,26)+65))&amp;$R53&amp;""),"")</f>
        <v/>
      </c>
      <c r="AA53" s="51" t="str">
        <f t="array" aca="1" ref="AA53" ca="1">IF($R53&lt;&gt;"",
INDIRECT(""&amp;IF(COLUMN(L73)&lt;=26,CHAR(COLUMN(L73)+64),CHAR(INT((COLUMN(L73)-1)/26)+64)&amp;CHAR(MOD(COLUMN(L73)-1,26)+65))&amp;$R53&amp;""),"")</f>
        <v/>
      </c>
      <c r="AB53" s="51" t="str">
        <f t="array" aca="1" ref="AB53" ca="1">IF($R53&lt;&gt;"",
INDIRECT(""&amp;IF(COLUMN(O73)&lt;=26,CHAR(COLUMN(O73)+64),CHAR(INT((COLUMN(O73)-1)/26)+64)&amp;CHAR(MOD(COLUMN(O73)-1,26)+65))&amp;$R53&amp;""),"")</f>
        <v/>
      </c>
    </row>
    <row r="54" spans="1:28" ht="18" customHeight="1">
      <c r="A54" s="197">
        <f t="shared" si="14"/>
        <v>113</v>
      </c>
      <c r="B54" s="52" t="e">
        <f t="array" aca="1" ref="B54" ca="1">IF(AND(LEFT(C54,2)="博多",
LEFT(INDIRECT("数出表_Excel!A"&amp;MATCH(C54,数出表_Excel!$A:$A,0)-1),2)
=LEFT(INDIRECT("数出表_Excel!A"&amp;MATCH(C54,数出表_Excel!$A:$A,0)+1),2)),"博多",
IF(AND(LEFT(C54,3)="奈良屋",
LEFT(INDIRECT("数出表_Excel!A"&amp;MATCH(C54,数出表_Excel!$A:$A,0)-1),2)
=LEFT(INDIRECT("数出表_Excel!A"&amp;MATCH(C54,数出表_Excel!$A:$A,0)+1),2)),"奈良屋",""))</f>
        <v>#N/A</v>
      </c>
      <c r="C54" s="52" t="str" cm="1">
        <f t="array" aca="1" ref="C54" ca="1">IF(IF(クライアント抽出!A54="",0,LEN(クライアント抽出!V54)-LEN(SUBSTITUTE(クライアント抽出!V54,",","")))&gt;=1,INDIRECT("数出表_Excel!A"&amp;A54&amp;""),"")</f>
        <v/>
      </c>
      <c r="D54" s="52" t="str" cm="1">
        <f t="array" aca="1" ref="D54" ca="1">IF(C54&lt;&gt;"",INDIRECT("クライアント抽出!"&amp;E54&amp;MATCH(C54,クライアント抽出!A:A,0)&amp;""),"")</f>
        <v/>
      </c>
      <c r="E54" s="52" t="str">
        <f ca="1"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t="array" aca="1" ref="F54" ca="1">IF(D54&lt;&gt;"",
IF(COUNTIF(C54,"*雙葉*"),
IF(ROUND(
IF(O54&lt;&gt;"",(H54-O54),H54)
/IF(COUNTIF('盛付札（関数）'!D54,"*キャラ*"),
VLOOKUP("*キャラ*",#REF!,7,FALSE),
IF(COUNTIF('盛付札（関数）'!D54,"*赤*"),
VLOOKUP("*赤*",#REF!,7,FALSE),
VLOOKUP('盛付札（関数）'!D54,#REF!,7,FALSE))),0)&lt;=0,1,
ROUND(
IF(O54&lt;&gt;"",(H54-O54),H54)
/IF(COUNTIF('盛付札（関数）'!D54,"*キャラ*"),
VLOOKUP("*キャラ*",#REF!,7,FALSE),
IF(COUNTIF('盛付札（関数）'!D54,"*赤*"),
VLOOKUP("*赤*",#REF!,7,FALSE),
VLOOKUP('盛付札（関数）'!D54,#REF!,7,FALSE))),0)),
IF(MATCH(TRUE,
ISNUMBER(--INDIRECT("数出表_Excel!B"&amp;MATCH(C54,数出表_Excel!$A:$A,0)-1&amp;":U"&amp;MATCH(C54,数出表_Excel!$A:$A,0)-1&amp;"")),0)&gt;10,
IF(D54&lt;&gt;"",
IF(IF(COUNTIF('盛付札（関数）'!D54,"*キャラ*"),
VLOOKUP("*キャラ*",#REF!,7,FALSE),
IF(COUNTIF('盛付札（関数）'!D54,"*赤*"),
VLOOKUP("*赤*",#REF!,7,FALSE),
VLOOKUP('盛付札（関数）'!D54,#REF!,7,FALSE)))=0,"",
IF(ROUND(
IF(O54&lt;&gt;"",(H54-O54),H54)
/IF(COUNTIF('盛付札（関数）'!D54,"*キャラ*"),
VLOOKUP("*キャラ*",#REF!,7,FALSE),
IF(COUNTIF('盛付札（関数）'!D54,"*赤*"),
VLOOKUP("*赤*",#REF!,7,FALSE),
VLOOKUP('盛付札（関数）'!D54,#REF!,7,FALSE))),0)&lt;=0,1,
ROUND(
IF(O54&lt;&gt;"",(H54-O54),H54)
/IF(COUNTIF('盛付札（関数）'!D54,"*キャラ*"),
VLOOKUP("*キャラ*",#REF!,7,FALSE),
IF(COUNTIF('盛付札（関数）'!D54,"*赤*"),
VLOOKUP("*赤*",#REF!,7,FALSE),
VLOOKUP('盛付札（関数）'!D54,#REF!,7,FALSE))),0))),""),"")),"")</f>
        <v/>
      </c>
      <c r="G54" s="53" t="str">
        <f ca="1">IF(F54&lt;&gt;"",IF(VALUE(IF(O54&lt;&gt;"",H54-O54,H54))&gt;VALUE(IF(COUNTIF('盛付札（関数）'!D54,"*キャラ*"),
VLOOKUP("*キャラ*",#REF!,7,FALSE),
IF(COUNTIF('盛付札（関数）'!D54,"*赤*"),
VLOOKUP("*赤*",#REF!,7,FALSE),
VLOOKUP('盛付札（関数）'!D54,#REF!,7,FALSE)))*F54),
"+"&amp;IF(O54&lt;&gt;"",H54-O54,H54)-IF(COUNTIF('盛付札（関数）'!D54,"*キャラ*"),
VLOOKUP("*キャラ*",#REF!,7,FALSE),
IF(COUNTIF('盛付札（関数）'!D54,"*赤*"),
VLOOKUP("*赤*",#REF!,7,FALSE),
VLOOKUP('盛付札（関数）'!D54,#REF!,7,FALSE)))*F54,
IF(O54&lt;&gt;"",H54-O54,H54)-IF(COUNTIF('盛付札（関数）'!D54,"*キャラ*"),
VLOOKUP("*キャラ*",#REF!,7,FALSE),
IF(COUNTIF('盛付札（関数）'!D54,"*赤*"),
VLOOKUP("*赤*",#REF!,7,FALSE),
VLOOKUP('盛付札（関数）'!D54,#REF!,7,FALSE)))*F54),"")</f>
        <v/>
      </c>
      <c r="H54" s="195" t="str" cm="1">
        <f t="array" aca="1" ref="H54" ca="1">IF(C54&lt;&gt;"",
IF(INDIRECT("数出表_Excel!"&amp;LEFT(クライアント抽出!V54)&amp;A54-1&amp;"")&lt;&gt;"",INDIRECT("数出表_Excel!"&amp;LEFT(クライアント抽出!V54)&amp;A54-1&amp;""),0),"")</f>
        <v/>
      </c>
      <c r="I54" s="52" t="str" cm="1">
        <f t="array" aca="1" ref="I54" ca="1">IF(C54&lt;&gt;"",
IF(INDIRECT("数出表_Excel!"&amp;LEFT(クライアント抽出!V54)&amp;A54&amp;"")&lt;&gt;"",INDIRECT("数出表_Excel!"&amp;LEFT(クライアント抽出!V54)&amp;A54&amp;""),0),"")</f>
        <v/>
      </c>
      <c r="J54" s="52" t="str">
        <f ca="1">IF(C54&lt;&gt;"",
VLOOKUP(
IF(COUNTIF(D54,"*学食*"),"キャラ弁（学食）",
IF(COUNTIF(D54,"*赤*"),"赤",
IF(COUNTIF(D54,"*キャラ弁当*"),"キャラ弁当",D54))),注文弁当の抽出!$E$1:$F$15,2,FALSE),"")</f>
        <v/>
      </c>
      <c r="K54" s="52" t="str">
        <f t="shared" ca="1" si="15"/>
        <v/>
      </c>
      <c r="L54" s="52" t="str">
        <f t="shared" ca="1" si="16"/>
        <v/>
      </c>
      <c r="M54" s="52" cm="1">
        <f t="array" aca="1" ref="M54" ca="1">IF(C54&lt;&gt;"",
IF(IFERROR(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0)&lt;&gt;0,
IF(IFERROR(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"")="",
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""),
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0)),0),0)</f>
        <v>0</v>
      </c>
      <c r="N54" s="52" t="e">
        <f t="array" aca="1" ref="N54" ca="1">IF(B54="博多",
IF(C54&lt;&gt;"",
IF(IFERROR(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0)&lt;&gt;0,
IF(IFERROR(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0)="",
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0),
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0)),0),""),0)</f>
        <v>#N/A</v>
      </c>
      <c r="O54" s="52" t="e">
        <f t="shared" ca="1" si="17"/>
        <v>#N/A</v>
      </c>
      <c r="P54" s="52">
        <f t="shared" ca="1" si="4"/>
        <v>0</v>
      </c>
      <c r="Q54" s="52" t="b">
        <f t="shared" ca="1" si="18"/>
        <v>0</v>
      </c>
      <c r="R54" s="51" t="str" cm="1">
        <f t="array" aca="1" ref="R54" ca="1">IFERROR(SMALL(IF(P$1:P$300&lt;&gt;0,P$1:P$300),ROW(A54)),"")</f>
        <v/>
      </c>
      <c r="S54" s="51" t="str">
        <f t="array" aca="1" ref="S54" ca="1">IF($R54&lt;&gt;"",
INDIRECT(""&amp;IF(COLUMN(C74)&lt;=26,CHAR(COLUMN(C74)+64),CHAR(INT((COLUMN(C74)-1)/26)+64)&amp;CHAR(MOD(COLUMN(C74)-1,26)+65))&amp;$R54&amp;""),"")</f>
        <v/>
      </c>
      <c r="T54" s="51" t="str" cm="1">
        <f t="array" aca="1" ref="T54" ca="1">IF(IF($R54&lt;&gt;"",
INDIRECT(""&amp;IF(COLUMN(D74)&lt;=26,CHAR(COLUMN(D74)+64),CHAR(INT((COLUMN(D74)-1)/26)+64)&amp;CHAR(MOD(COLUMN(D74)-1,26)+65))&amp;$R54&amp;""),"")=0,"",
IF($R54&lt;&gt;"",
INDIRECT(""&amp;IF(COLUMN(D74)&lt;=26,CHAR(COLUMN(D74)+64),CHAR(INT((COLUMN(D74)-1)/26)+64)&amp;CHAR(MOD(COLUMN(D74)-1,26)+65))&amp;$R54&amp;""),""))</f>
        <v/>
      </c>
      <c r="U54" s="51"/>
      <c r="V54" s="51" t="str">
        <f t="array" aca="1" ref="V54" ca="1">IF($R54&lt;&gt;"",
IF(U54="",
IF(INDIRECT("EY"&amp;$R54&amp;"")&lt;&gt;"",
INDIRECT("EY"&amp;$R54&amp;"")&amp;"箱"
&amp;INDIRECT("EZ"&amp;$R54&amp;""),""),""),"")</f>
        <v/>
      </c>
      <c r="W54" s="51" t="str">
        <f t="array" aca="1" ref="W54" ca="1">IF($R54&lt;&gt;"",
INDIRECT(""&amp;IF(COLUMN(H74)&lt;=26,CHAR(COLUMN(H74)+64),CHAR(INT((COLUMN(H74)-1)/26)+64)&amp;CHAR(MOD(COLUMN(H74)-1,26)+65))&amp;$R54&amp;""),"")</f>
        <v/>
      </c>
      <c r="X54" s="51" t="str">
        <f t="array" aca="1" ref="X54" ca="1">IF($R54&lt;&gt;"",
INDIRECT(""&amp;IF(COLUMN(I74)&lt;=26,CHAR(COLUMN(I74)+64),CHAR(INT((COLUMN(I74)-1)/26)+64)&amp;CHAR(MOD(COLUMN(I74)-1,26)+65))&amp;$R54&amp;""),"")</f>
        <v/>
      </c>
      <c r="Y54" s="51" t="str">
        <f t="array" aca="1" ref="Y54" ca="1">IF($R54&lt;&gt;"",
INDIRECT(""&amp;IF(COLUMN(J74)&lt;=26,CHAR(COLUMN(J74)+64),CHAR(INT((COLUMN(J74)-1)/26)+64)&amp;CHAR(MOD(COLUMN(J74)-1,26)+65))&amp;$R54&amp;""),"")</f>
        <v/>
      </c>
      <c r="Z54" s="51" t="str">
        <f t="array" aca="1" ref="Z54" ca="1">IF($R54&lt;&gt;"",
INDIRECT(""&amp;IF(COLUMN(K74)&lt;=26,CHAR(COLUMN(K74)+64),CHAR(INT((COLUMN(K74)-1)/26)+64)&amp;CHAR(MOD(COLUMN(K74)-1,26)+65))&amp;$R54&amp;""),"")</f>
        <v/>
      </c>
      <c r="AA54" s="51" t="str">
        <f t="array" aca="1" ref="AA54" ca="1">IF($R54&lt;&gt;"",
INDIRECT(""&amp;IF(COLUMN(L74)&lt;=26,CHAR(COLUMN(L74)+64),CHAR(INT((COLUMN(L74)-1)/26)+64)&amp;CHAR(MOD(COLUMN(L74)-1,26)+65))&amp;$R54&amp;""),"")</f>
        <v/>
      </c>
      <c r="AB54" s="51" t="str">
        <f t="array" aca="1" ref="AB54" ca="1">IF($R54&lt;&gt;"",
INDIRECT(""&amp;IF(COLUMN(O74)&lt;=26,CHAR(COLUMN(O74)+64),CHAR(INT((COLUMN(O74)-1)/26)+64)&amp;CHAR(MOD(COLUMN(O74)-1,26)+65))&amp;$R54&amp;""),"")</f>
        <v/>
      </c>
    </row>
    <row r="55" spans="1:28" s="51" customFormat="1" ht="22.2" customHeight="1">
      <c r="A55" s="197">
        <f t="shared" si="14"/>
        <v>115</v>
      </c>
      <c r="B55" s="52" t="e">
        <f t="array" aca="1" ref="B55" ca="1">IF(AND(LEFT(C55,2)="博多",
LEFT(INDIRECT("数出表_Excel!A"&amp;MATCH(C55,数出表_Excel!$A:$A,0)-1),2)
=LEFT(INDIRECT("数出表_Excel!A"&amp;MATCH(C55,数出表_Excel!$A:$A,0)+1),2)),"博多",
IF(AND(LEFT(C55,3)="奈良屋",
LEFT(INDIRECT("数出表_Excel!A"&amp;MATCH(C55,数出表_Excel!$A:$A,0)-1),2)
=LEFT(INDIRECT("数出表_Excel!A"&amp;MATCH(C55,数出表_Excel!$A:$A,0)+1),2)),"奈良屋",""))</f>
        <v>#N/A</v>
      </c>
      <c r="C55" s="52" t="str" cm="1">
        <f t="array" aca="1" ref="C55" ca="1">IF(IF(クライアント抽出!A55="",0,LEN(クライアント抽出!V55)-LEN(SUBSTITUTE(クライアント抽出!V55,",","")))&gt;=1,INDIRECT("数出表_Excel!A"&amp;A55&amp;""),"")</f>
        <v/>
      </c>
      <c r="D55" s="52" t="str" cm="1">
        <f t="array" aca="1" ref="D55" ca="1">IF(C55&lt;&gt;"",INDIRECT("クライアント抽出!"&amp;E55&amp;MATCH(C55,クライアント抽出!A:A,0)&amp;""),"")</f>
        <v/>
      </c>
      <c r="E55" s="52" t="str">
        <f ca="1"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t="array" aca="1" ref="F55" ca="1">IF(D55&lt;&gt;"",
IF(COUNTIF(C55,"*雙葉*"),
IF(ROUND(
IF(O55&lt;&gt;"",(H55-O55),H55)
/IF(COUNTIF('盛付札（関数）'!D55,"*キャラ*"),
VLOOKUP("*キャラ*",#REF!,7,FALSE),
IF(COUNTIF('盛付札（関数）'!D55,"*赤*"),
VLOOKUP("*赤*",#REF!,7,FALSE),
VLOOKUP('盛付札（関数）'!D55,#REF!,7,FALSE))),0)&lt;=0,1,
ROUND(
IF(O55&lt;&gt;"",(H55-O55),H55)
/IF(COUNTIF('盛付札（関数）'!D55,"*キャラ*"),
VLOOKUP("*キャラ*",#REF!,7,FALSE),
IF(COUNTIF('盛付札（関数）'!D55,"*赤*"),
VLOOKUP("*赤*",#REF!,7,FALSE),
VLOOKUP('盛付札（関数）'!D55,#REF!,7,FALSE))),0)),
IF(MATCH(TRUE,
ISNUMBER(--INDIRECT("数出表_Excel!B"&amp;MATCH(C55,数出表_Excel!$A:$A,0)-1&amp;":U"&amp;MATCH(C55,数出表_Excel!$A:$A,0)-1&amp;"")),0)&gt;10,
IF(D55&lt;&gt;"",
IF(IF(COUNTIF('盛付札（関数）'!D55,"*キャラ*"),
VLOOKUP("*キャラ*",#REF!,7,FALSE),
IF(COUNTIF('盛付札（関数）'!D55,"*赤*"),
VLOOKUP("*赤*",#REF!,7,FALSE),
VLOOKUP('盛付札（関数）'!D55,#REF!,7,FALSE)))=0,"",
IF(ROUND(
IF(O55&lt;&gt;"",(H55-O55),H55)
/IF(COUNTIF('盛付札（関数）'!D55,"*キャラ*"),
VLOOKUP("*キャラ*",#REF!,7,FALSE),
IF(COUNTIF('盛付札（関数）'!D55,"*赤*"),
VLOOKUP("*赤*",#REF!,7,FALSE),
VLOOKUP('盛付札（関数）'!D55,#REF!,7,FALSE))),0)&lt;=0,1,
ROUND(
IF(O55&lt;&gt;"",(H55-O55),H55)
/IF(COUNTIF('盛付札（関数）'!D55,"*キャラ*"),
VLOOKUP("*キャラ*",#REF!,7,FALSE),
IF(COUNTIF('盛付札（関数）'!D55,"*赤*"),
VLOOKUP("*赤*",#REF!,7,FALSE),
VLOOKUP('盛付札（関数）'!D55,#REF!,7,FALSE))),0))),""),"")),"")</f>
        <v/>
      </c>
      <c r="G55" s="53" t="str">
        <f ca="1">IF(F55&lt;&gt;"",IF(VALUE(IF(O55&lt;&gt;"",H55-O55,H55))&gt;VALUE(IF(COUNTIF('盛付札（関数）'!D55,"*キャラ*"),
VLOOKUP("*キャラ*",#REF!,7,FALSE),
IF(COUNTIF('盛付札（関数）'!D55,"*赤*"),
VLOOKUP("*赤*",#REF!,7,FALSE),
VLOOKUP('盛付札（関数）'!D55,#REF!,7,FALSE)))*F55),
"+"&amp;IF(O55&lt;&gt;"",H55-O55,H55)-IF(COUNTIF('盛付札（関数）'!D55,"*キャラ*"),
VLOOKUP("*キャラ*",#REF!,7,FALSE),
IF(COUNTIF('盛付札（関数）'!D55,"*赤*"),
VLOOKUP("*赤*",#REF!,7,FALSE),
VLOOKUP('盛付札（関数）'!D55,#REF!,7,FALSE)))*F55,
IF(O55&lt;&gt;"",H55-O55,H55)-IF(COUNTIF('盛付札（関数）'!D55,"*キャラ*"),
VLOOKUP("*キャラ*",#REF!,7,FALSE),
IF(COUNTIF('盛付札（関数）'!D55,"*赤*"),
VLOOKUP("*赤*",#REF!,7,FALSE),
VLOOKUP('盛付札（関数）'!D55,#REF!,7,FALSE)))*F55),"")</f>
        <v/>
      </c>
      <c r="H55" s="195" t="str" cm="1">
        <f t="array" aca="1" ref="H55" ca="1">IF(C55&lt;&gt;"",
IF(INDIRECT("数出表_Excel!"&amp;LEFT(クライアント抽出!V55)&amp;A55-1&amp;"")&lt;&gt;"",INDIRECT("数出表_Excel!"&amp;LEFT(クライアント抽出!V55)&amp;A55-1&amp;""),0),"")</f>
        <v/>
      </c>
      <c r="I55" s="52" t="str" cm="1">
        <f t="array" aca="1" ref="I55" ca="1">IF(C55&lt;&gt;"",
IF(INDIRECT("数出表_Excel!"&amp;LEFT(クライアント抽出!V55)&amp;A55&amp;"")&lt;&gt;"",INDIRECT("数出表_Excel!"&amp;LEFT(クライアント抽出!V55)&amp;A55&amp;""),0),"")</f>
        <v/>
      </c>
      <c r="J55" s="52" t="str">
        <f ca="1">IF(C55&lt;&gt;"",
VLOOKUP(
IF(COUNTIF(D55,"*学食*"),"キャラ弁（学食）",
IF(COUNTIF(D55,"*赤*"),"赤",
IF(COUNTIF(D55,"*キャラ弁当*"),"キャラ弁当",D55))),注文弁当の抽出!$E$1:$F$15,2,FALSE),"")</f>
        <v/>
      </c>
      <c r="K55" s="52" t="str">
        <f t="shared" ca="1" si="15"/>
        <v/>
      </c>
      <c r="L55" s="52" t="str">
        <f t="shared" ca="1" si="16"/>
        <v/>
      </c>
      <c r="M55" s="52" cm="1">
        <f t="array" aca="1" ref="M55" ca="1">IF(C55&lt;&gt;"",
IF(IFERROR(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0)&lt;&gt;0,
IF(IFERROR(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"")="",
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""),
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0)),0),0)</f>
        <v>0</v>
      </c>
      <c r="N55" s="52" t="e">
        <f t="array" aca="1" ref="N55" ca="1">IF(B55="博多",
IF(C55&lt;&gt;"",
IF(IFERROR(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0)&lt;&gt;0,
IF(IFERROR(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0)="",
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0),
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0)),0),""),0)</f>
        <v>#N/A</v>
      </c>
      <c r="O55" s="52" t="e">
        <f t="shared" ca="1" si="17"/>
        <v>#N/A</v>
      </c>
      <c r="P55" s="52">
        <f t="shared" ca="1" si="4"/>
        <v>0</v>
      </c>
      <c r="Q55" s="52" t="b">
        <f t="shared" ca="1" si="18"/>
        <v>0</v>
      </c>
      <c r="R55" s="51" t="str" cm="1">
        <f t="array" aca="1" ref="R55" ca="1">IFERROR(SMALL(IF(P$1:P$300&lt;&gt;0,P$1:P$300),ROW(A55)),"")</f>
        <v/>
      </c>
      <c r="S55" s="51" t="str">
        <f t="array" aca="1" ref="S55" ca="1">IF($R55&lt;&gt;"",
INDIRECT(""&amp;IF(COLUMN(C75)&lt;=26,CHAR(COLUMN(C75)+64),CHAR(INT((COLUMN(C75)-1)/26)+64)&amp;CHAR(MOD(COLUMN(C75)-1,26)+65))&amp;$R55&amp;""),"")</f>
        <v/>
      </c>
      <c r="T55" s="51" t="str" cm="1">
        <f t="array" aca="1" ref="T55" ca="1">IF(IF($R55&lt;&gt;"",
INDIRECT(""&amp;IF(COLUMN(D75)&lt;=26,CHAR(COLUMN(D75)+64),CHAR(INT((COLUMN(D75)-1)/26)+64)&amp;CHAR(MOD(COLUMN(D75)-1,26)+65))&amp;$R55&amp;""),"")=0,"",
IF($R55&lt;&gt;"",
INDIRECT(""&amp;IF(COLUMN(D75)&lt;=26,CHAR(COLUMN(D75)+64),CHAR(INT((COLUMN(D75)-1)/26)+64)&amp;CHAR(MOD(COLUMN(D75)-1,26)+65))&amp;$R55&amp;""),""))</f>
        <v/>
      </c>
      <c r="V55" s="51" t="str">
        <f t="array" aca="1" ref="V55" ca="1">IF($R55&lt;&gt;"",
IF(U55="",
IF(INDIRECT("EY"&amp;$R55&amp;"")&lt;&gt;"",
INDIRECT("EY"&amp;$R55&amp;"")&amp;"箱"
&amp;INDIRECT("EZ"&amp;$R55&amp;""),""),""),"")</f>
        <v/>
      </c>
      <c r="W55" s="51" t="str">
        <f t="array" aca="1" ref="W55" ca="1">IF($R55&lt;&gt;"",
INDIRECT(""&amp;IF(COLUMN(H75)&lt;=26,CHAR(COLUMN(H75)+64),CHAR(INT((COLUMN(H75)-1)/26)+64)&amp;CHAR(MOD(COLUMN(H75)-1,26)+65))&amp;$R55&amp;""),"")</f>
        <v/>
      </c>
      <c r="X55" s="51" t="str">
        <f t="array" aca="1" ref="X55" ca="1">IF($R55&lt;&gt;"",
INDIRECT(""&amp;IF(COLUMN(I75)&lt;=26,CHAR(COLUMN(I75)+64),CHAR(INT((COLUMN(I75)-1)/26)+64)&amp;CHAR(MOD(COLUMN(I75)-1,26)+65))&amp;$R55&amp;""),"")</f>
        <v/>
      </c>
      <c r="Y55" s="51" t="str">
        <f t="array" aca="1" ref="Y55" ca="1">IF($R55&lt;&gt;"",
INDIRECT(""&amp;IF(COLUMN(J75)&lt;=26,CHAR(COLUMN(J75)+64),CHAR(INT((COLUMN(J75)-1)/26)+64)&amp;CHAR(MOD(COLUMN(J75)-1,26)+65))&amp;$R55&amp;""),"")</f>
        <v/>
      </c>
      <c r="Z55" s="51" t="str">
        <f t="array" aca="1" ref="Z55" ca="1">IF($R55&lt;&gt;"",
INDIRECT(""&amp;IF(COLUMN(K75)&lt;=26,CHAR(COLUMN(K75)+64),CHAR(INT((COLUMN(K75)-1)/26)+64)&amp;CHAR(MOD(COLUMN(K75)-1,26)+65))&amp;$R55&amp;""),"")</f>
        <v/>
      </c>
      <c r="AA55" s="51" t="str">
        <f t="array" aca="1" ref="AA55" ca="1">IF($R55&lt;&gt;"",
INDIRECT(""&amp;IF(COLUMN(L75)&lt;=26,CHAR(COLUMN(L75)+64),CHAR(INT((COLUMN(L75)-1)/26)+64)&amp;CHAR(MOD(COLUMN(L75)-1,26)+65))&amp;$R55&amp;""),"")</f>
        <v/>
      </c>
      <c r="AB55" s="51" t="str">
        <f t="array" aca="1" ref="AB55" ca="1">IF($R55&lt;&gt;"",
INDIRECT(""&amp;IF(COLUMN(O75)&lt;=26,CHAR(COLUMN(O75)+64),CHAR(INT((COLUMN(O75)-1)/26)+64)&amp;CHAR(MOD(COLUMN(O75)-1,26)+65))&amp;$R55&amp;""),"")</f>
        <v/>
      </c>
    </row>
    <row r="56" spans="1:28" ht="21" customHeight="1">
      <c r="A56" s="197">
        <f t="shared" si="14"/>
        <v>117</v>
      </c>
      <c r="B56" s="52" t="e">
        <f t="array" aca="1" ref="B56" ca="1">IF(AND(LEFT(C56,2)="博多",
LEFT(INDIRECT("数出表_Excel!A"&amp;MATCH(C56,数出表_Excel!$A:$A,0)-1),2)
=LEFT(INDIRECT("数出表_Excel!A"&amp;MATCH(C56,数出表_Excel!$A:$A,0)+1),2)),"博多",
IF(AND(LEFT(C56,3)="奈良屋",
LEFT(INDIRECT("数出表_Excel!A"&amp;MATCH(C56,数出表_Excel!$A:$A,0)-1),2)
=LEFT(INDIRECT("数出表_Excel!A"&amp;MATCH(C56,数出表_Excel!$A:$A,0)+1),2)),"奈良屋",""))</f>
        <v>#N/A</v>
      </c>
      <c r="C56" s="52" t="str" cm="1">
        <f t="array" aca="1" ref="C56" ca="1">IF(IF(クライアント抽出!A56="",0,LEN(クライアント抽出!V56)-LEN(SUBSTITUTE(クライアント抽出!V56,",","")))&gt;=1,INDIRECT("数出表_Excel!A"&amp;A56&amp;""),"")</f>
        <v/>
      </c>
      <c r="D56" s="52" t="str" cm="1">
        <f t="array" aca="1" ref="D56" ca="1">IF(C56&lt;&gt;"",INDIRECT("クライアント抽出!"&amp;E56&amp;MATCH(C56,クライアント抽出!A:A,0)&amp;""),"")</f>
        <v/>
      </c>
      <c r="E56" s="52" t="str">
        <f ca="1"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t="array" aca="1" ref="F56" ca="1">IF(D56&lt;&gt;"",
IF(COUNTIF(C56,"*雙葉*"),
IF(ROUND(
IF(O56&lt;&gt;"",(H56-O56),H56)
/IF(COUNTIF('盛付札（関数）'!D56,"*キャラ*"),
VLOOKUP("*キャラ*",#REF!,7,FALSE),
IF(COUNTIF('盛付札（関数）'!D56,"*赤*"),
VLOOKUP("*赤*",#REF!,7,FALSE),
VLOOKUP('盛付札（関数）'!D56,#REF!,7,FALSE))),0)&lt;=0,1,
ROUND(
IF(O56&lt;&gt;"",(H56-O56),H56)
/IF(COUNTIF('盛付札（関数）'!D56,"*キャラ*"),
VLOOKUP("*キャラ*",#REF!,7,FALSE),
IF(COUNTIF('盛付札（関数）'!D56,"*赤*"),
VLOOKUP("*赤*",#REF!,7,FALSE),
VLOOKUP('盛付札（関数）'!D56,#REF!,7,FALSE))),0)),
IF(MATCH(TRUE,
ISNUMBER(--INDIRECT("数出表_Excel!B"&amp;MATCH(C56,数出表_Excel!$A:$A,0)-1&amp;":U"&amp;MATCH(C56,数出表_Excel!$A:$A,0)-1&amp;"")),0)&gt;10,
IF(D56&lt;&gt;"",
IF(IF(COUNTIF('盛付札（関数）'!D56,"*キャラ*"),
VLOOKUP("*キャラ*",#REF!,7,FALSE),
IF(COUNTIF('盛付札（関数）'!D56,"*赤*"),
VLOOKUP("*赤*",#REF!,7,FALSE),
VLOOKUP('盛付札（関数）'!D56,#REF!,7,FALSE)))=0,"",
IF(ROUND(
IF(O56&lt;&gt;"",(H56-O56),H56)
/IF(COUNTIF('盛付札（関数）'!D56,"*キャラ*"),
VLOOKUP("*キャラ*",#REF!,7,FALSE),
IF(COUNTIF('盛付札（関数）'!D56,"*赤*"),
VLOOKUP("*赤*",#REF!,7,FALSE),
VLOOKUP('盛付札（関数）'!D56,#REF!,7,FALSE))),0)&lt;=0,1,
ROUND(
IF(O56&lt;&gt;"",(H56-O56),H56)
/IF(COUNTIF('盛付札（関数）'!D56,"*キャラ*"),
VLOOKUP("*キャラ*",#REF!,7,FALSE),
IF(COUNTIF('盛付札（関数）'!D56,"*赤*"),
VLOOKUP("*赤*",#REF!,7,FALSE),
VLOOKUP('盛付札（関数）'!D56,#REF!,7,FALSE))),0))),""),"")),"")</f>
        <v/>
      </c>
      <c r="G56" s="53" t="str">
        <f ca="1">IF(F56&lt;&gt;"",IF(VALUE(IF(O56&lt;&gt;"",H56-O56,H56))&gt;VALUE(IF(COUNTIF('盛付札（関数）'!D56,"*キャラ*"),
VLOOKUP("*キャラ*",#REF!,7,FALSE),
IF(COUNTIF('盛付札（関数）'!D56,"*赤*"),
VLOOKUP("*赤*",#REF!,7,FALSE),
VLOOKUP('盛付札（関数）'!D56,#REF!,7,FALSE)))*F56),
"+"&amp;IF(O56&lt;&gt;"",H56-O56,H56)-IF(COUNTIF('盛付札（関数）'!D56,"*キャラ*"),
VLOOKUP("*キャラ*",#REF!,7,FALSE),
IF(COUNTIF('盛付札（関数）'!D56,"*赤*"),
VLOOKUP("*赤*",#REF!,7,FALSE),
VLOOKUP('盛付札（関数）'!D56,#REF!,7,FALSE)))*F56,
IF(O56&lt;&gt;"",H56-O56,H56)-IF(COUNTIF('盛付札（関数）'!D56,"*キャラ*"),
VLOOKUP("*キャラ*",#REF!,7,FALSE),
IF(COUNTIF('盛付札（関数）'!D56,"*赤*"),
VLOOKUP("*赤*",#REF!,7,FALSE),
VLOOKUP('盛付札（関数）'!D56,#REF!,7,FALSE)))*F56),"")</f>
        <v/>
      </c>
      <c r="H56" s="195" t="str" cm="1">
        <f t="array" aca="1" ref="H56" ca="1">IF(C56&lt;&gt;"",
IF(INDIRECT("数出表_Excel!"&amp;LEFT(クライアント抽出!V56)&amp;A56-1&amp;"")&lt;&gt;"",INDIRECT("数出表_Excel!"&amp;LEFT(クライアント抽出!V56)&amp;A56-1&amp;""),0),"")</f>
        <v/>
      </c>
      <c r="I56" s="52" t="str" cm="1">
        <f t="array" aca="1" ref="I56" ca="1">IF(C56&lt;&gt;"",
IF(INDIRECT("数出表_Excel!"&amp;LEFT(クライアント抽出!V56)&amp;A56&amp;"")&lt;&gt;"",INDIRECT("数出表_Excel!"&amp;LEFT(クライアント抽出!V56)&amp;A56&amp;""),0),"")</f>
        <v/>
      </c>
      <c r="J56" s="52" t="str">
        <f ca="1">IF(C56&lt;&gt;"",
VLOOKUP(
IF(COUNTIF(D56,"*学食*"),"キャラ弁（学食）",
IF(COUNTIF(D56,"*赤*"),"赤",
IF(COUNTIF(D56,"*キャラ弁当*"),"キャラ弁当",D56))),注文弁当の抽出!$E$1:$F$15,2,FALSE),"")</f>
        <v/>
      </c>
      <c r="K56" s="52" t="str">
        <f t="shared" ca="1" si="15"/>
        <v/>
      </c>
      <c r="L56" s="52" t="str">
        <f t="shared" ca="1" si="16"/>
        <v/>
      </c>
      <c r="M56" s="52" cm="1">
        <f t="array" aca="1" ref="M56" ca="1">IF(C56&lt;&gt;"",
IF(IFERROR(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0)&lt;&gt;0,
IF(IFERROR(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"")="",
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""),
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0)),0),0)</f>
        <v>0</v>
      </c>
      <c r="N56" s="52" t="e">
        <f t="array" aca="1" ref="N56" ca="1">IF(B56="博多",
IF(C56&lt;&gt;"",
IF(IFERROR(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0)&lt;&gt;0,
IF(IFERROR(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0)="",
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0),
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0)),0),""),0)</f>
        <v>#N/A</v>
      </c>
      <c r="O56" s="52" t="e">
        <f t="shared" ca="1" si="17"/>
        <v>#N/A</v>
      </c>
      <c r="P56" s="52">
        <f t="shared" ca="1" si="4"/>
        <v>0</v>
      </c>
      <c r="Q56" s="52" t="b">
        <f t="shared" ca="1" si="18"/>
        <v>0</v>
      </c>
      <c r="R56" s="51" t="str" cm="1">
        <f t="array" aca="1" ref="R56" ca="1">IFERROR(SMALL(IF(P$1:P$300&lt;&gt;0,P$1:P$300),ROW(A56)),"")</f>
        <v/>
      </c>
      <c r="S56" s="51" t="str">
        <f t="array" aca="1" ref="S56" ca="1">IF($R56&lt;&gt;"",
INDIRECT(""&amp;IF(COLUMN(C76)&lt;=26,CHAR(COLUMN(C76)+64),CHAR(INT((COLUMN(C76)-1)/26)+64)&amp;CHAR(MOD(COLUMN(C76)-1,26)+65))&amp;$R56&amp;""),"")</f>
        <v/>
      </c>
      <c r="T56" s="51" t="str" cm="1">
        <f t="array" aca="1" ref="T56" ca="1">IF(IF($R56&lt;&gt;"",
INDIRECT(""&amp;IF(COLUMN(D76)&lt;=26,CHAR(COLUMN(D76)+64),CHAR(INT((COLUMN(D76)-1)/26)+64)&amp;CHAR(MOD(COLUMN(D76)-1,26)+65))&amp;$R56&amp;""),"")=0,"",
IF($R56&lt;&gt;"",
INDIRECT(""&amp;IF(COLUMN(D76)&lt;=26,CHAR(COLUMN(D76)+64),CHAR(INT((COLUMN(D76)-1)/26)+64)&amp;CHAR(MOD(COLUMN(D76)-1,26)+65))&amp;$R56&amp;""),""))</f>
        <v/>
      </c>
      <c r="U56" s="51"/>
      <c r="V56" s="51" t="str">
        <f t="array" aca="1" ref="V56" ca="1">IF($R56&lt;&gt;"",
IF(U56="",
IF(INDIRECT("EY"&amp;$R56&amp;"")&lt;&gt;"",
INDIRECT("EY"&amp;$R56&amp;"")&amp;"箱"
&amp;INDIRECT("EZ"&amp;$R56&amp;""),""),""),"")</f>
        <v/>
      </c>
      <c r="W56" s="51" t="str">
        <f t="array" aca="1" ref="W56" ca="1">IF($R56&lt;&gt;"",
INDIRECT(""&amp;IF(COLUMN(H76)&lt;=26,CHAR(COLUMN(H76)+64),CHAR(INT((COLUMN(H76)-1)/26)+64)&amp;CHAR(MOD(COLUMN(H76)-1,26)+65))&amp;$R56&amp;""),"")</f>
        <v/>
      </c>
      <c r="X56" s="51" t="str">
        <f t="array" aca="1" ref="X56" ca="1">IF($R56&lt;&gt;"",
INDIRECT(""&amp;IF(COLUMN(I76)&lt;=26,CHAR(COLUMN(I76)+64),CHAR(INT((COLUMN(I76)-1)/26)+64)&amp;CHAR(MOD(COLUMN(I76)-1,26)+65))&amp;$R56&amp;""),"")</f>
        <v/>
      </c>
      <c r="Y56" s="51" t="str">
        <f t="array" aca="1" ref="Y56" ca="1">IF($R56&lt;&gt;"",
INDIRECT(""&amp;IF(COLUMN(J76)&lt;=26,CHAR(COLUMN(J76)+64),CHAR(INT((COLUMN(J76)-1)/26)+64)&amp;CHAR(MOD(COLUMN(J76)-1,26)+65))&amp;$R56&amp;""),"")</f>
        <v/>
      </c>
      <c r="Z56" s="51" t="str">
        <f t="array" aca="1" ref="Z56" ca="1">IF($R56&lt;&gt;"",
INDIRECT(""&amp;IF(COLUMN(K76)&lt;=26,CHAR(COLUMN(K76)+64),CHAR(INT((COLUMN(K76)-1)/26)+64)&amp;CHAR(MOD(COLUMN(K76)-1,26)+65))&amp;$R56&amp;""),"")</f>
        <v/>
      </c>
      <c r="AA56" s="51" t="str">
        <f t="array" aca="1" ref="AA56" ca="1">IF($R56&lt;&gt;"",
INDIRECT(""&amp;IF(COLUMN(L76)&lt;=26,CHAR(COLUMN(L76)+64),CHAR(INT((COLUMN(L76)-1)/26)+64)&amp;CHAR(MOD(COLUMN(L76)-1,26)+65))&amp;$R56&amp;""),"")</f>
        <v/>
      </c>
      <c r="AB56" s="51" t="str">
        <f t="array" aca="1" ref="AB56" ca="1">IF($R56&lt;&gt;"",
INDIRECT(""&amp;IF(COLUMN(O76)&lt;=26,CHAR(COLUMN(O76)+64),CHAR(INT((COLUMN(O76)-1)/26)+64)&amp;CHAR(MOD(COLUMN(O76)-1,26)+65))&amp;$R56&amp;""),"")</f>
        <v/>
      </c>
    </row>
    <row r="57" spans="1:28" s="51" customFormat="1" ht="18" customHeight="1">
      <c r="A57" s="197">
        <f t="shared" si="14"/>
        <v>119</v>
      </c>
      <c r="B57" s="52" t="e">
        <f t="array" aca="1" ref="B57" ca="1">IF(AND(LEFT(C57,2)="博多",
LEFT(INDIRECT("数出表_Excel!A"&amp;MATCH(C57,数出表_Excel!$A:$A,0)-1),2)
=LEFT(INDIRECT("数出表_Excel!A"&amp;MATCH(C57,数出表_Excel!$A:$A,0)+1),2)),"博多",
IF(AND(LEFT(C57,3)="奈良屋",
LEFT(INDIRECT("数出表_Excel!A"&amp;MATCH(C57,数出表_Excel!$A:$A,0)-1),2)
=LEFT(INDIRECT("数出表_Excel!A"&amp;MATCH(C57,数出表_Excel!$A:$A,0)+1),2)),"奈良屋",""))</f>
        <v>#N/A</v>
      </c>
      <c r="C57" s="52" t="str" cm="1">
        <f t="array" aca="1" ref="C57" ca="1">IF(IF(クライアント抽出!A57="",0,LEN(クライアント抽出!V57)-LEN(SUBSTITUTE(クライアント抽出!V57,",","")))&gt;=1,INDIRECT("数出表_Excel!A"&amp;A57&amp;""),"")</f>
        <v/>
      </c>
      <c r="D57" s="52" t="str" cm="1">
        <f t="array" aca="1" ref="D57" ca="1">IF(C57&lt;&gt;"",INDIRECT("クライアント抽出!"&amp;E57&amp;MATCH(C57,クライアント抽出!A:A,0)&amp;""),"")</f>
        <v/>
      </c>
      <c r="E57" s="52" t="str">
        <f ca="1"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t="array" aca="1" ref="F57" ca="1">IF(D57&lt;&gt;"",
IF(COUNTIF(C57,"*雙葉*"),
IF(ROUND(
IF(O57&lt;&gt;"",(H57-O57),H57)
/IF(COUNTIF('盛付札（関数）'!D57,"*キャラ*"),
VLOOKUP("*キャラ*",#REF!,7,FALSE),
IF(COUNTIF('盛付札（関数）'!D57,"*赤*"),
VLOOKUP("*赤*",#REF!,7,FALSE),
VLOOKUP('盛付札（関数）'!D57,#REF!,7,FALSE))),0)&lt;=0,1,
ROUND(
IF(O57&lt;&gt;"",(H57-O57),H57)
/IF(COUNTIF('盛付札（関数）'!D57,"*キャラ*"),
VLOOKUP("*キャラ*",#REF!,7,FALSE),
IF(COUNTIF('盛付札（関数）'!D57,"*赤*"),
VLOOKUP("*赤*",#REF!,7,FALSE),
VLOOKUP('盛付札（関数）'!D57,#REF!,7,FALSE))),0)),
IF(MATCH(TRUE,
ISNUMBER(--INDIRECT("数出表_Excel!B"&amp;MATCH(C57,数出表_Excel!$A:$A,0)-1&amp;":U"&amp;MATCH(C57,数出表_Excel!$A:$A,0)-1&amp;"")),0)&gt;10,
IF(D57&lt;&gt;"",
IF(IF(COUNTIF('盛付札（関数）'!D57,"*キャラ*"),
VLOOKUP("*キャラ*",#REF!,7,FALSE),
IF(COUNTIF('盛付札（関数）'!D57,"*赤*"),
VLOOKUP("*赤*",#REF!,7,FALSE),
VLOOKUP('盛付札（関数）'!D57,#REF!,7,FALSE)))=0,"",
IF(ROUND(
IF(O57&lt;&gt;"",(H57-O57),H57)
/IF(COUNTIF('盛付札（関数）'!D57,"*キャラ*"),
VLOOKUP("*キャラ*",#REF!,7,FALSE),
IF(COUNTIF('盛付札（関数）'!D57,"*赤*"),
VLOOKUP("*赤*",#REF!,7,FALSE),
VLOOKUP('盛付札（関数）'!D57,#REF!,7,FALSE))),0)&lt;=0,1,
ROUND(
IF(O57&lt;&gt;"",(H57-O57),H57)
/IF(COUNTIF('盛付札（関数）'!D57,"*キャラ*"),
VLOOKUP("*キャラ*",#REF!,7,FALSE),
IF(COUNTIF('盛付札（関数）'!D57,"*赤*"),
VLOOKUP("*赤*",#REF!,7,FALSE),
VLOOKUP('盛付札（関数）'!D57,#REF!,7,FALSE))),0))),""),"")),"")</f>
        <v/>
      </c>
      <c r="G57" s="53" t="str">
        <f ca="1">IF(F57&lt;&gt;"",IF(VALUE(IF(O57&lt;&gt;"",H57-O57,H57))&gt;VALUE(IF(COUNTIF('盛付札（関数）'!D57,"*キャラ*"),
VLOOKUP("*キャラ*",#REF!,7,FALSE),
IF(COUNTIF('盛付札（関数）'!D57,"*赤*"),
VLOOKUP("*赤*",#REF!,7,FALSE),
VLOOKUP('盛付札（関数）'!D57,#REF!,7,FALSE)))*F57),
"+"&amp;IF(O57&lt;&gt;"",H57-O57,H57)-IF(COUNTIF('盛付札（関数）'!D57,"*キャラ*"),
VLOOKUP("*キャラ*",#REF!,7,FALSE),
IF(COUNTIF('盛付札（関数）'!D57,"*赤*"),
VLOOKUP("*赤*",#REF!,7,FALSE),
VLOOKUP('盛付札（関数）'!D57,#REF!,7,FALSE)))*F57,
IF(O57&lt;&gt;"",H57-O57,H57)-IF(COUNTIF('盛付札（関数）'!D57,"*キャラ*"),
VLOOKUP("*キャラ*",#REF!,7,FALSE),
IF(COUNTIF('盛付札（関数）'!D57,"*赤*"),
VLOOKUP("*赤*",#REF!,7,FALSE),
VLOOKUP('盛付札（関数）'!D57,#REF!,7,FALSE)))*F57),"")</f>
        <v/>
      </c>
      <c r="H57" s="195" t="str" cm="1">
        <f t="array" aca="1" ref="H57" ca="1">IF(C57&lt;&gt;"",
IF(INDIRECT("数出表_Excel!"&amp;LEFT(クライアント抽出!V57)&amp;A57-1&amp;"")&lt;&gt;"",INDIRECT("数出表_Excel!"&amp;LEFT(クライアント抽出!V57)&amp;A57-1&amp;""),0),"")</f>
        <v/>
      </c>
      <c r="I57" s="52" t="str" cm="1">
        <f t="array" aca="1" ref="I57" ca="1">IF(C57&lt;&gt;"",
IF(INDIRECT("数出表_Excel!"&amp;LEFT(クライアント抽出!V57)&amp;A57&amp;"")&lt;&gt;"",INDIRECT("数出表_Excel!"&amp;LEFT(クライアント抽出!V57)&amp;A57&amp;""),0),"")</f>
        <v/>
      </c>
      <c r="J57" s="52" t="str">
        <f ca="1">IF(C57&lt;&gt;"",
VLOOKUP(
IF(COUNTIF(D57,"*学食*"),"キャラ弁（学食）",
IF(COUNTIF(D57,"*赤*"),"赤",
IF(COUNTIF(D57,"*キャラ弁当*"),"キャラ弁当",D57))),注文弁当の抽出!$E$1:$F$15,2,FALSE),"")</f>
        <v/>
      </c>
      <c r="K57" s="52" t="str">
        <f t="shared" ca="1" si="15"/>
        <v/>
      </c>
      <c r="L57" s="52" t="str">
        <f t="shared" ca="1" si="16"/>
        <v/>
      </c>
      <c r="M57" s="52" cm="1">
        <f t="array" aca="1" ref="M57" ca="1">IF(C57&lt;&gt;"",
IF(IFERROR(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0)&lt;&gt;0,
IF(IFERROR(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"")="",
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""),
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0)),0),0)</f>
        <v>0</v>
      </c>
      <c r="N57" s="52" t="e">
        <f t="array" aca="1" ref="N57" ca="1">IF(B57="博多",
IF(C57&lt;&gt;"",
IF(IFERROR(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0)&lt;&gt;0,
IF(IFERROR(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0)="",
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0),
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0)),0),""),0)</f>
        <v>#N/A</v>
      </c>
      <c r="O57" s="52" t="e">
        <f t="shared" ca="1" si="17"/>
        <v>#N/A</v>
      </c>
      <c r="P57" s="52">
        <f t="shared" ca="1" si="4"/>
        <v>0</v>
      </c>
      <c r="Q57" s="52" t="b">
        <f t="shared" ca="1" si="18"/>
        <v>0</v>
      </c>
      <c r="R57" s="51" t="str" cm="1">
        <f t="array" aca="1" ref="R57" ca="1">IFERROR(SMALL(IF(P$1:P$300&lt;&gt;0,P$1:P$300),ROW(A57)),"")</f>
        <v/>
      </c>
      <c r="S57" s="51" t="str">
        <f t="array" aca="1" ref="S57" ca="1">IF($R57&lt;&gt;"",
INDIRECT(""&amp;IF(COLUMN(C77)&lt;=26,CHAR(COLUMN(C77)+64),CHAR(INT((COLUMN(C77)-1)/26)+64)&amp;CHAR(MOD(COLUMN(C77)-1,26)+65))&amp;$R57&amp;""),"")</f>
        <v/>
      </c>
      <c r="T57" s="51" t="str" cm="1">
        <f t="array" aca="1" ref="T57" ca="1">IF(IF($R57&lt;&gt;"",
INDIRECT(""&amp;IF(COLUMN(D77)&lt;=26,CHAR(COLUMN(D77)+64),CHAR(INT((COLUMN(D77)-1)/26)+64)&amp;CHAR(MOD(COLUMN(D77)-1,26)+65))&amp;$R57&amp;""),"")=0,"",
IF($R57&lt;&gt;"",
INDIRECT(""&amp;IF(COLUMN(D77)&lt;=26,CHAR(COLUMN(D77)+64),CHAR(INT((COLUMN(D77)-1)/26)+64)&amp;CHAR(MOD(COLUMN(D77)-1,26)+65))&amp;$R57&amp;""),""))</f>
        <v/>
      </c>
      <c r="V57" s="51" t="str">
        <f t="array" aca="1" ref="V57" ca="1">IF($R57&lt;&gt;"",
IF(U57="",
IF(INDIRECT("EY"&amp;$R57&amp;"")&lt;&gt;"",
INDIRECT("EY"&amp;$R57&amp;"")&amp;"箱"
&amp;INDIRECT("EZ"&amp;$R57&amp;""),""),""),"")</f>
        <v/>
      </c>
      <c r="W57" s="51" t="str">
        <f t="array" aca="1" ref="W57" ca="1">IF($R57&lt;&gt;"",
INDIRECT(""&amp;IF(COLUMN(H77)&lt;=26,CHAR(COLUMN(H77)+64),CHAR(INT((COLUMN(H77)-1)/26)+64)&amp;CHAR(MOD(COLUMN(H77)-1,26)+65))&amp;$R57&amp;""),"")</f>
        <v/>
      </c>
      <c r="X57" s="51" t="str">
        <f t="array" aca="1" ref="X57" ca="1">IF($R57&lt;&gt;"",
INDIRECT(""&amp;IF(COLUMN(I77)&lt;=26,CHAR(COLUMN(I77)+64),CHAR(INT((COLUMN(I77)-1)/26)+64)&amp;CHAR(MOD(COLUMN(I77)-1,26)+65))&amp;$R57&amp;""),"")</f>
        <v/>
      </c>
      <c r="Y57" s="51" t="str">
        <f t="array" aca="1" ref="Y57" ca="1">IF($R57&lt;&gt;"",
INDIRECT(""&amp;IF(COLUMN(J77)&lt;=26,CHAR(COLUMN(J77)+64),CHAR(INT((COLUMN(J77)-1)/26)+64)&amp;CHAR(MOD(COLUMN(J77)-1,26)+65))&amp;$R57&amp;""),"")</f>
        <v/>
      </c>
      <c r="Z57" s="51" t="str">
        <f t="array" aca="1" ref="Z57" ca="1">IF($R57&lt;&gt;"",
INDIRECT(""&amp;IF(COLUMN(K77)&lt;=26,CHAR(COLUMN(K77)+64),CHAR(INT((COLUMN(K77)-1)/26)+64)&amp;CHAR(MOD(COLUMN(K77)-1,26)+65))&amp;$R57&amp;""),"")</f>
        <v/>
      </c>
      <c r="AA57" s="51" t="str">
        <f t="array" aca="1" ref="AA57" ca="1">IF($R57&lt;&gt;"",
INDIRECT(""&amp;IF(COLUMN(L77)&lt;=26,CHAR(COLUMN(L77)+64),CHAR(INT((COLUMN(L77)-1)/26)+64)&amp;CHAR(MOD(COLUMN(L77)-1,26)+65))&amp;$R57&amp;""),"")</f>
        <v/>
      </c>
      <c r="AB57" s="51" t="str">
        <f t="array" aca="1" ref="AB57" ca="1">IF($R57&lt;&gt;"",
INDIRECT(""&amp;IF(COLUMN(O77)&lt;=26,CHAR(COLUMN(O77)+64),CHAR(INT((COLUMN(O77)-1)/26)+64)&amp;CHAR(MOD(COLUMN(O77)-1,26)+65))&amp;$R57&amp;""),"")</f>
        <v/>
      </c>
    </row>
    <row r="58" spans="1:28" s="51" customFormat="1" ht="18" customHeight="1">
      <c r="A58" s="197">
        <f t="shared" si="14"/>
        <v>121</v>
      </c>
      <c r="B58" s="52" t="e">
        <f t="array" aca="1" ref="B58" ca="1">IF(AND(LEFT(C58,2)="博多",
LEFT(INDIRECT("数出表_Excel!A"&amp;MATCH(C58,数出表_Excel!$A:$A,0)-1),2)
=LEFT(INDIRECT("数出表_Excel!A"&amp;MATCH(C58,数出表_Excel!$A:$A,0)+1),2)),"博多",
IF(AND(LEFT(C58,3)="奈良屋",
LEFT(INDIRECT("数出表_Excel!A"&amp;MATCH(C58,数出表_Excel!$A:$A,0)-1),2)
=LEFT(INDIRECT("数出表_Excel!A"&amp;MATCH(C58,数出表_Excel!$A:$A,0)+1),2)),"奈良屋",""))</f>
        <v>#N/A</v>
      </c>
      <c r="C58" s="52" t="str" cm="1">
        <f t="array" aca="1" ref="C58" ca="1">IF(IF(クライアント抽出!A58="",0,LEN(クライアント抽出!V58)-LEN(SUBSTITUTE(クライアント抽出!V58,",","")))&gt;=1,INDIRECT("数出表_Excel!A"&amp;A58&amp;""),"")</f>
        <v/>
      </c>
      <c r="D58" s="52" t="str" cm="1">
        <f t="array" aca="1" ref="D58" ca="1">IF(C58&lt;&gt;"",INDIRECT("クライアント抽出!"&amp;E58&amp;MATCH(C58,クライアント抽出!A:A,0)&amp;""),"")</f>
        <v/>
      </c>
      <c r="E58" s="52" t="str">
        <f ca="1"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t="array" aca="1" ref="F58" ca="1">IF(D58&lt;&gt;"",
IF(COUNTIF(C58,"*雙葉*"),
IF(ROUND(
IF(O58&lt;&gt;"",(H58-O58),H58)
/IF(COUNTIF('盛付札（関数）'!D58,"*キャラ*"),
VLOOKUP("*キャラ*",#REF!,7,FALSE),
IF(COUNTIF('盛付札（関数）'!D58,"*赤*"),
VLOOKUP("*赤*",#REF!,7,FALSE),
VLOOKUP('盛付札（関数）'!D58,#REF!,7,FALSE))),0)&lt;=0,1,
ROUND(
IF(O58&lt;&gt;"",(H58-O58),H58)
/IF(COUNTIF('盛付札（関数）'!D58,"*キャラ*"),
VLOOKUP("*キャラ*",#REF!,7,FALSE),
IF(COUNTIF('盛付札（関数）'!D58,"*赤*"),
VLOOKUP("*赤*",#REF!,7,FALSE),
VLOOKUP('盛付札（関数）'!D58,#REF!,7,FALSE))),0)),
IF(MATCH(TRUE,
ISNUMBER(--INDIRECT("数出表_Excel!B"&amp;MATCH(C58,数出表_Excel!$A:$A,0)-1&amp;":U"&amp;MATCH(C58,数出表_Excel!$A:$A,0)-1&amp;"")),0)&gt;10,
IF(D58&lt;&gt;"",
IF(IF(COUNTIF('盛付札（関数）'!D58,"*キャラ*"),
VLOOKUP("*キャラ*",#REF!,7,FALSE),
IF(COUNTIF('盛付札（関数）'!D58,"*赤*"),
VLOOKUP("*赤*",#REF!,7,FALSE),
VLOOKUP('盛付札（関数）'!D58,#REF!,7,FALSE)))=0,"",
IF(ROUND(
IF(O58&lt;&gt;"",(H58-O58),H58)
/IF(COUNTIF('盛付札（関数）'!D58,"*キャラ*"),
VLOOKUP("*キャラ*",#REF!,7,FALSE),
IF(COUNTIF('盛付札（関数）'!D58,"*赤*"),
VLOOKUP("*赤*",#REF!,7,FALSE),
VLOOKUP('盛付札（関数）'!D58,#REF!,7,FALSE))),0)&lt;=0,1,
ROUND(
IF(O58&lt;&gt;"",(H58-O58),H58)
/IF(COUNTIF('盛付札（関数）'!D58,"*キャラ*"),
VLOOKUP("*キャラ*",#REF!,7,FALSE),
IF(COUNTIF('盛付札（関数）'!D58,"*赤*"),
VLOOKUP("*赤*",#REF!,7,FALSE),
VLOOKUP('盛付札（関数）'!D58,#REF!,7,FALSE))),0))),""),"")),"")</f>
        <v/>
      </c>
      <c r="G58" s="53" t="str">
        <f ca="1">IF(F58&lt;&gt;"",IF(VALUE(IF(O58&lt;&gt;"",H58-O58,H58))&gt;VALUE(IF(COUNTIF('盛付札（関数）'!D58,"*キャラ*"),
VLOOKUP("*キャラ*",#REF!,7,FALSE),
IF(COUNTIF('盛付札（関数）'!D58,"*赤*"),
VLOOKUP("*赤*",#REF!,7,FALSE),
VLOOKUP('盛付札（関数）'!D58,#REF!,7,FALSE)))*F58),
"+"&amp;IF(O58&lt;&gt;"",H58-O58,H58)-IF(COUNTIF('盛付札（関数）'!D58,"*キャラ*"),
VLOOKUP("*キャラ*",#REF!,7,FALSE),
IF(COUNTIF('盛付札（関数）'!D58,"*赤*"),
VLOOKUP("*赤*",#REF!,7,FALSE),
VLOOKUP('盛付札（関数）'!D58,#REF!,7,FALSE)))*F58,
IF(O58&lt;&gt;"",H58-O58,H58)-IF(COUNTIF('盛付札（関数）'!D58,"*キャラ*"),
VLOOKUP("*キャラ*",#REF!,7,FALSE),
IF(COUNTIF('盛付札（関数）'!D58,"*赤*"),
VLOOKUP("*赤*",#REF!,7,FALSE),
VLOOKUP('盛付札（関数）'!D58,#REF!,7,FALSE)))*F58),"")</f>
        <v/>
      </c>
      <c r="H58" s="195" t="str" cm="1">
        <f t="array" aca="1" ref="H58" ca="1">IF(C58&lt;&gt;"",
IF(INDIRECT("数出表_Excel!"&amp;LEFT(クライアント抽出!V58)&amp;A58-1&amp;"")&lt;&gt;"",INDIRECT("数出表_Excel!"&amp;LEFT(クライアント抽出!V58)&amp;A58-1&amp;""),0),"")</f>
        <v/>
      </c>
      <c r="I58" s="52" t="str" cm="1">
        <f t="array" aca="1" ref="I58" ca="1">IF(C58&lt;&gt;"",
IF(INDIRECT("数出表_Excel!"&amp;LEFT(クライアント抽出!V58)&amp;A58&amp;"")&lt;&gt;"",INDIRECT("数出表_Excel!"&amp;LEFT(クライアント抽出!V58)&amp;A58&amp;""),0),"")</f>
        <v/>
      </c>
      <c r="J58" s="52" t="str">
        <f ca="1">IF(C58&lt;&gt;"",
VLOOKUP(
IF(COUNTIF(D58,"*学食*"),"キャラ弁（学食）",
IF(COUNTIF(D58,"*赤*"),"赤",
IF(COUNTIF(D58,"*キャラ弁当*"),"キャラ弁当",D58))),注文弁当の抽出!$E$1:$F$15,2,FALSE),"")</f>
        <v/>
      </c>
      <c r="K58" s="52" t="str">
        <f t="shared" ca="1" si="15"/>
        <v/>
      </c>
      <c r="L58" s="52" t="str">
        <f t="shared" ca="1" si="16"/>
        <v/>
      </c>
      <c r="M58" s="52" cm="1">
        <f t="array" aca="1" ref="M58" ca="1">IF(C58&lt;&gt;"",
IF(IFERROR(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0)&lt;&gt;0,
IF(IFERROR(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"")="",
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""),
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0)),0),0)</f>
        <v>0</v>
      </c>
      <c r="N58" s="52" t="e">
        <f t="array" aca="1" ref="N58" ca="1">IF(B58="博多",
IF(C58&lt;&gt;"",
IF(IFERROR(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0)&lt;&gt;0,
IF(IFERROR(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0)="",
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0),
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0)),0),""),0)</f>
        <v>#N/A</v>
      </c>
      <c r="O58" s="52" t="e">
        <f t="shared" ca="1" si="17"/>
        <v>#N/A</v>
      </c>
      <c r="P58" s="52">
        <f t="shared" ca="1" si="4"/>
        <v>0</v>
      </c>
      <c r="Q58" s="52" t="b">
        <f t="shared" ca="1" si="18"/>
        <v>0</v>
      </c>
      <c r="R58" s="51" t="str" cm="1">
        <f t="array" aca="1" ref="R58" ca="1">IFERROR(SMALL(IF(P$1:P$300&lt;&gt;0,P$1:P$300),ROW(A58)),"")</f>
        <v/>
      </c>
      <c r="S58" s="51" t="str">
        <f t="array" aca="1" ref="S58" ca="1">IF($R58&lt;&gt;"",
INDIRECT(""&amp;IF(COLUMN(C78)&lt;=26,CHAR(COLUMN(C78)+64),CHAR(INT((COLUMN(C78)-1)/26)+64)&amp;CHAR(MOD(COLUMN(C78)-1,26)+65))&amp;$R58&amp;""),"")</f>
        <v/>
      </c>
      <c r="T58" s="51" t="str" cm="1">
        <f t="array" aca="1" ref="T58" ca="1">IF(IF($R58&lt;&gt;"",
INDIRECT(""&amp;IF(COLUMN(D78)&lt;=26,CHAR(COLUMN(D78)+64),CHAR(INT((COLUMN(D78)-1)/26)+64)&amp;CHAR(MOD(COLUMN(D78)-1,26)+65))&amp;$R58&amp;""),"")=0,"",
IF($R58&lt;&gt;"",
INDIRECT(""&amp;IF(COLUMN(D78)&lt;=26,CHAR(COLUMN(D78)+64),CHAR(INT((COLUMN(D78)-1)/26)+64)&amp;CHAR(MOD(COLUMN(D78)-1,26)+65))&amp;$R58&amp;""),""))</f>
        <v/>
      </c>
      <c r="V58" s="51" t="str">
        <f t="array" aca="1" ref="V58" ca="1">IF($R58&lt;&gt;"",
IF(U58="",
IF(INDIRECT("EY"&amp;$R58&amp;"")&lt;&gt;"",
INDIRECT("EY"&amp;$R58&amp;"")&amp;"箱"
&amp;INDIRECT("EZ"&amp;$R58&amp;""),""),""),"")</f>
        <v/>
      </c>
      <c r="W58" s="51" t="str">
        <f t="array" aca="1" ref="W58" ca="1">IF($R58&lt;&gt;"",
INDIRECT(""&amp;IF(COLUMN(H78)&lt;=26,CHAR(COLUMN(H78)+64),CHAR(INT((COLUMN(H78)-1)/26)+64)&amp;CHAR(MOD(COLUMN(H78)-1,26)+65))&amp;$R58&amp;""),"")</f>
        <v/>
      </c>
      <c r="X58" s="51" t="str">
        <f t="array" aca="1" ref="X58" ca="1">IF($R58&lt;&gt;"",
INDIRECT(""&amp;IF(COLUMN(I78)&lt;=26,CHAR(COLUMN(I78)+64),CHAR(INT((COLUMN(I78)-1)/26)+64)&amp;CHAR(MOD(COLUMN(I78)-1,26)+65))&amp;$R58&amp;""),"")</f>
        <v/>
      </c>
      <c r="Y58" s="51" t="str">
        <f t="array" aca="1" ref="Y58" ca="1">IF($R58&lt;&gt;"",
INDIRECT(""&amp;IF(COLUMN(J78)&lt;=26,CHAR(COLUMN(J78)+64),CHAR(INT((COLUMN(J78)-1)/26)+64)&amp;CHAR(MOD(COLUMN(J78)-1,26)+65))&amp;$R58&amp;""),"")</f>
        <v/>
      </c>
      <c r="Z58" s="51" t="str">
        <f t="array" aca="1" ref="Z58" ca="1">IF($R58&lt;&gt;"",
INDIRECT(""&amp;IF(COLUMN(K78)&lt;=26,CHAR(COLUMN(K78)+64),CHAR(INT((COLUMN(K78)-1)/26)+64)&amp;CHAR(MOD(COLUMN(K78)-1,26)+65))&amp;$R58&amp;""),"")</f>
        <v/>
      </c>
      <c r="AA58" s="51" t="str">
        <f t="array" aca="1" ref="AA58" ca="1">IF($R58&lt;&gt;"",
INDIRECT(""&amp;IF(COLUMN(L78)&lt;=26,CHAR(COLUMN(L78)+64),CHAR(INT((COLUMN(L78)-1)/26)+64)&amp;CHAR(MOD(COLUMN(L78)-1,26)+65))&amp;$R58&amp;""),"")</f>
        <v/>
      </c>
      <c r="AB58" s="51" t="str">
        <f t="array" aca="1" ref="AB58" ca="1">IF($R58&lt;&gt;"",
INDIRECT(""&amp;IF(COLUMN(O78)&lt;=26,CHAR(COLUMN(O78)+64),CHAR(INT((COLUMN(O78)-1)/26)+64)&amp;CHAR(MOD(COLUMN(O78)-1,26)+65))&amp;$R58&amp;""),"")</f>
        <v/>
      </c>
    </row>
    <row r="59" spans="1:28" s="51" customFormat="1" ht="22.2" customHeight="1">
      <c r="A59" s="197">
        <f t="shared" si="14"/>
        <v>123</v>
      </c>
      <c r="B59" s="52" t="e">
        <f t="array" aca="1" ref="B59" ca="1">IF(AND(LEFT(C59,2)="博多",
LEFT(INDIRECT("数出表_Excel!A"&amp;MATCH(C59,数出表_Excel!$A:$A,0)-1),2)
=LEFT(INDIRECT("数出表_Excel!A"&amp;MATCH(C59,数出表_Excel!$A:$A,0)+1),2)),"博多",
IF(AND(LEFT(C59,3)="奈良屋",
LEFT(INDIRECT("数出表_Excel!A"&amp;MATCH(C59,数出表_Excel!$A:$A,0)-1),2)
=LEFT(INDIRECT("数出表_Excel!A"&amp;MATCH(C59,数出表_Excel!$A:$A,0)+1),2)),"奈良屋",""))</f>
        <v>#N/A</v>
      </c>
      <c r="C59" s="52" t="str" cm="1">
        <f t="array" aca="1" ref="C59" ca="1">IF(IF(クライアント抽出!A59="",0,LEN(クライアント抽出!V59)-LEN(SUBSTITUTE(クライアント抽出!V59,",","")))&gt;=1,INDIRECT("数出表_Excel!A"&amp;A59&amp;""),"")</f>
        <v/>
      </c>
      <c r="D59" s="52" t="str" cm="1">
        <f t="array" aca="1" ref="D59" ca="1">IF(C59&lt;&gt;"",INDIRECT("クライアント抽出!"&amp;E59&amp;MATCH(C59,クライアント抽出!A:A,0)&amp;""),"")</f>
        <v/>
      </c>
      <c r="E59" s="52" t="str">
        <f ca="1"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t="array" aca="1" ref="F59" ca="1">IF(D59&lt;&gt;"",
IF(COUNTIF(C59,"*雙葉*"),
IF(ROUND(
IF(O59&lt;&gt;"",(H59-O59),H59)
/IF(COUNTIF('盛付札（関数）'!D59,"*キャラ*"),
VLOOKUP("*キャラ*",#REF!,7,FALSE),
IF(COUNTIF('盛付札（関数）'!D59,"*赤*"),
VLOOKUP("*赤*",#REF!,7,FALSE),
VLOOKUP('盛付札（関数）'!D59,#REF!,7,FALSE))),0)&lt;=0,1,
ROUND(
IF(O59&lt;&gt;"",(H59-O59),H59)
/IF(COUNTIF('盛付札（関数）'!D59,"*キャラ*"),
VLOOKUP("*キャラ*",#REF!,7,FALSE),
IF(COUNTIF('盛付札（関数）'!D59,"*赤*"),
VLOOKUP("*赤*",#REF!,7,FALSE),
VLOOKUP('盛付札（関数）'!D59,#REF!,7,FALSE))),0)),
IF(MATCH(TRUE,
ISNUMBER(--INDIRECT("数出表_Excel!B"&amp;MATCH(C59,数出表_Excel!$A:$A,0)-1&amp;":U"&amp;MATCH(C59,数出表_Excel!$A:$A,0)-1&amp;"")),0)&gt;10,
IF(D59&lt;&gt;"",
IF(IF(COUNTIF('盛付札（関数）'!D59,"*キャラ*"),
VLOOKUP("*キャラ*",#REF!,7,FALSE),
IF(COUNTIF('盛付札（関数）'!D59,"*赤*"),
VLOOKUP("*赤*",#REF!,7,FALSE),
VLOOKUP('盛付札（関数）'!D59,#REF!,7,FALSE)))=0,"",
IF(ROUND(
IF(O59&lt;&gt;"",(H59-O59),H59)
/IF(COUNTIF('盛付札（関数）'!D59,"*キャラ*"),
VLOOKUP("*キャラ*",#REF!,7,FALSE),
IF(COUNTIF('盛付札（関数）'!D59,"*赤*"),
VLOOKUP("*赤*",#REF!,7,FALSE),
VLOOKUP('盛付札（関数）'!D59,#REF!,7,FALSE))),0)&lt;=0,1,
ROUND(
IF(O59&lt;&gt;"",(H59-O59),H59)
/IF(COUNTIF('盛付札（関数）'!D59,"*キャラ*"),
VLOOKUP("*キャラ*",#REF!,7,FALSE),
IF(COUNTIF('盛付札（関数）'!D59,"*赤*"),
VLOOKUP("*赤*",#REF!,7,FALSE),
VLOOKUP('盛付札（関数）'!D59,#REF!,7,FALSE))),0))),""),"")),"")</f>
        <v/>
      </c>
      <c r="G59" s="53" t="str">
        <f ca="1">IF(F59&lt;&gt;"",IF(VALUE(IF(O59&lt;&gt;"",H59-O59,H59))&gt;VALUE(IF(COUNTIF('盛付札（関数）'!D59,"*キャラ*"),
VLOOKUP("*キャラ*",#REF!,7,FALSE),
IF(COUNTIF('盛付札（関数）'!D59,"*赤*"),
VLOOKUP("*赤*",#REF!,7,FALSE),
VLOOKUP('盛付札（関数）'!D59,#REF!,7,FALSE)))*F59),
"+"&amp;IF(O59&lt;&gt;"",H59-O59,H59)-IF(COUNTIF('盛付札（関数）'!D59,"*キャラ*"),
VLOOKUP("*キャラ*",#REF!,7,FALSE),
IF(COUNTIF('盛付札（関数）'!D59,"*赤*"),
VLOOKUP("*赤*",#REF!,7,FALSE),
VLOOKUP('盛付札（関数）'!D59,#REF!,7,FALSE)))*F59,
IF(O59&lt;&gt;"",H59-O59,H59)-IF(COUNTIF('盛付札（関数）'!D59,"*キャラ*"),
VLOOKUP("*キャラ*",#REF!,7,FALSE),
IF(COUNTIF('盛付札（関数）'!D59,"*赤*"),
VLOOKUP("*赤*",#REF!,7,FALSE),
VLOOKUP('盛付札（関数）'!D59,#REF!,7,FALSE)))*F59),"")</f>
        <v/>
      </c>
      <c r="H59" s="195" t="str" cm="1">
        <f t="array" aca="1" ref="H59" ca="1">IF(C59&lt;&gt;"",
IF(INDIRECT("数出表_Excel!"&amp;LEFT(クライアント抽出!V59)&amp;A59-1&amp;"")&lt;&gt;"",INDIRECT("数出表_Excel!"&amp;LEFT(クライアント抽出!V59)&amp;A59-1&amp;""),0),"")</f>
        <v/>
      </c>
      <c r="I59" s="52" t="str" cm="1">
        <f t="array" aca="1" ref="I59" ca="1">IF(C59&lt;&gt;"",
IF(INDIRECT("数出表_Excel!"&amp;LEFT(クライアント抽出!V59)&amp;A59&amp;"")&lt;&gt;"",INDIRECT("数出表_Excel!"&amp;LEFT(クライアント抽出!V59)&amp;A59&amp;""),0),"")</f>
        <v/>
      </c>
      <c r="J59" s="52" t="str">
        <f ca="1">IF(C59&lt;&gt;"",
VLOOKUP(
IF(COUNTIF(D59,"*学食*"),"キャラ弁（学食）",
IF(COUNTIF(D59,"*赤*"),"赤",
IF(COUNTIF(D59,"*キャラ弁当*"),"キャラ弁当",D59))),注文弁当の抽出!$E$1:$F$15,2,FALSE),"")</f>
        <v/>
      </c>
      <c r="K59" s="52" t="str">
        <f t="shared" ca="1" si="15"/>
        <v/>
      </c>
      <c r="L59" s="52" t="str">
        <f t="shared" ca="1" si="16"/>
        <v/>
      </c>
      <c r="M59" s="52" cm="1">
        <f t="array" aca="1" ref="M59" ca="1">IF(C59&lt;&gt;"",
IF(IFERROR(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0)&lt;&gt;0,
IF(IFERROR(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"")="",
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""),
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0)),0),0)</f>
        <v>0</v>
      </c>
      <c r="N59" s="52" t="e">
        <f t="array" aca="1" ref="N59" ca="1">IF(B59="博多",
IF(C59&lt;&gt;"",
IF(IFERROR(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0)&lt;&gt;0,
IF(IFERROR(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0)="",
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0),
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0)),0),""),0)</f>
        <v>#N/A</v>
      </c>
      <c r="O59" s="52" t="e">
        <f t="shared" ca="1" si="17"/>
        <v>#N/A</v>
      </c>
      <c r="P59" s="52">
        <f t="shared" ca="1" si="4"/>
        <v>0</v>
      </c>
      <c r="Q59" s="52" t="b">
        <f t="shared" ca="1" si="18"/>
        <v>0</v>
      </c>
      <c r="R59" s="51" t="str" cm="1">
        <f t="array" aca="1" ref="R59" ca="1">IFERROR(SMALL(IF(P$1:P$300&lt;&gt;0,P$1:P$300),ROW(A59)),"")</f>
        <v/>
      </c>
      <c r="S59" s="51" t="str">
        <f t="array" aca="1" ref="S59" ca="1">IF($R59&lt;&gt;"",
INDIRECT(""&amp;IF(COLUMN(C79)&lt;=26,CHAR(COLUMN(C79)+64),CHAR(INT((COLUMN(C79)-1)/26)+64)&amp;CHAR(MOD(COLUMN(C79)-1,26)+65))&amp;$R59&amp;""),"")</f>
        <v/>
      </c>
      <c r="T59" s="51" t="str" cm="1">
        <f t="array" aca="1" ref="T59" ca="1">IF(IF($R59&lt;&gt;"",
INDIRECT(""&amp;IF(COLUMN(D79)&lt;=26,CHAR(COLUMN(D79)+64),CHAR(INT((COLUMN(D79)-1)/26)+64)&amp;CHAR(MOD(COLUMN(D79)-1,26)+65))&amp;$R59&amp;""),"")=0,"",
IF($R59&lt;&gt;"",
INDIRECT(""&amp;IF(COLUMN(D79)&lt;=26,CHAR(COLUMN(D79)+64),CHAR(INT((COLUMN(D79)-1)/26)+64)&amp;CHAR(MOD(COLUMN(D79)-1,26)+65))&amp;$R59&amp;""),""))</f>
        <v/>
      </c>
      <c r="V59" s="51" t="str">
        <f t="array" aca="1" ref="V59" ca="1">IF($R59&lt;&gt;"",
IF(U59="",
IF(INDIRECT("EY"&amp;$R59&amp;"")&lt;&gt;"",
INDIRECT("EY"&amp;$R59&amp;"")&amp;"箱"
&amp;INDIRECT("EZ"&amp;$R59&amp;""),""),""),"")</f>
        <v/>
      </c>
      <c r="W59" s="51" t="str">
        <f t="array" aca="1" ref="W59" ca="1">IF($R59&lt;&gt;"",
INDIRECT(""&amp;IF(COLUMN(H79)&lt;=26,CHAR(COLUMN(H79)+64),CHAR(INT((COLUMN(H79)-1)/26)+64)&amp;CHAR(MOD(COLUMN(H79)-1,26)+65))&amp;$R59&amp;""),"")</f>
        <v/>
      </c>
      <c r="X59" s="51" t="str">
        <f t="array" aca="1" ref="X59" ca="1">IF($R59&lt;&gt;"",
INDIRECT(""&amp;IF(COLUMN(I79)&lt;=26,CHAR(COLUMN(I79)+64),CHAR(INT((COLUMN(I79)-1)/26)+64)&amp;CHAR(MOD(COLUMN(I79)-1,26)+65))&amp;$R59&amp;""),"")</f>
        <v/>
      </c>
      <c r="Y59" s="51" t="str">
        <f t="array" aca="1" ref="Y59" ca="1">IF($R59&lt;&gt;"",
INDIRECT(""&amp;IF(COLUMN(J79)&lt;=26,CHAR(COLUMN(J79)+64),CHAR(INT((COLUMN(J79)-1)/26)+64)&amp;CHAR(MOD(COLUMN(J79)-1,26)+65))&amp;$R59&amp;""),"")</f>
        <v/>
      </c>
      <c r="Z59" s="51" t="str">
        <f t="array" aca="1" ref="Z59" ca="1">IF($R59&lt;&gt;"",
INDIRECT(""&amp;IF(COLUMN(K79)&lt;=26,CHAR(COLUMN(K79)+64),CHAR(INT((COLUMN(K79)-1)/26)+64)&amp;CHAR(MOD(COLUMN(K79)-1,26)+65))&amp;$R59&amp;""),"")</f>
        <v/>
      </c>
      <c r="AA59" s="51" t="str">
        <f t="array" aca="1" ref="AA59" ca="1">IF($R59&lt;&gt;"",
INDIRECT(""&amp;IF(COLUMN(L79)&lt;=26,CHAR(COLUMN(L79)+64),CHAR(INT((COLUMN(L79)-1)/26)+64)&amp;CHAR(MOD(COLUMN(L79)-1,26)+65))&amp;$R59&amp;""),"")</f>
        <v/>
      </c>
      <c r="AB59" s="51" t="str">
        <f t="array" aca="1" ref="AB59" ca="1">IF($R59&lt;&gt;"",
INDIRECT(""&amp;IF(COLUMN(O79)&lt;=26,CHAR(COLUMN(O79)+64),CHAR(INT((COLUMN(O79)-1)/26)+64)&amp;CHAR(MOD(COLUMN(O79)-1,26)+65))&amp;$R59&amp;""),"")</f>
        <v/>
      </c>
    </row>
    <row r="60" spans="1:28" ht="18" customHeight="1">
      <c r="A60" s="197">
        <f t="shared" si="14"/>
        <v>125</v>
      </c>
      <c r="B60" s="52" t="e">
        <f t="array" aca="1" ref="B60" ca="1">IF(AND(LEFT(C60,2)="博多",
LEFT(INDIRECT("数出表_Excel!A"&amp;MATCH(C60,数出表_Excel!$A:$A,0)-1),2)
=LEFT(INDIRECT("数出表_Excel!A"&amp;MATCH(C60,数出表_Excel!$A:$A,0)+1),2)),"博多",
IF(AND(LEFT(C60,3)="奈良屋",
LEFT(INDIRECT("数出表_Excel!A"&amp;MATCH(C60,数出表_Excel!$A:$A,0)-1),2)
=LEFT(INDIRECT("数出表_Excel!A"&amp;MATCH(C60,数出表_Excel!$A:$A,0)+1),2)),"奈良屋",""))</f>
        <v>#N/A</v>
      </c>
      <c r="C60" s="52" t="str" cm="1">
        <f t="array" aca="1" ref="C60" ca="1">IF(IF(クライアント抽出!A60="",0,LEN(クライアント抽出!V60)-LEN(SUBSTITUTE(クライアント抽出!V60,",","")))&gt;=1,INDIRECT("数出表_Excel!A"&amp;A60&amp;""),"")</f>
        <v/>
      </c>
      <c r="D60" s="52" t="str" cm="1">
        <f t="array" aca="1" ref="D60" ca="1">IF(C60&lt;&gt;"",INDIRECT("クライアント抽出!"&amp;E60&amp;MATCH(C60,クライアント抽出!A:A,0)&amp;""),"")</f>
        <v/>
      </c>
      <c r="E60" s="52" t="str">
        <f ca="1"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t="array" aca="1" ref="F60" ca="1">IF(D60&lt;&gt;"",
IF(COUNTIF(C60,"*雙葉*"),
IF(ROUND(
IF(O60&lt;&gt;"",(H60-O60),H60)
/IF(COUNTIF('盛付札（関数）'!D60,"*キャラ*"),
VLOOKUP("*キャラ*",#REF!,7,FALSE),
IF(COUNTIF('盛付札（関数）'!D60,"*赤*"),
VLOOKUP("*赤*",#REF!,7,FALSE),
VLOOKUP('盛付札（関数）'!D60,#REF!,7,FALSE))),0)&lt;=0,1,
ROUND(
IF(O60&lt;&gt;"",(H60-O60),H60)
/IF(COUNTIF('盛付札（関数）'!D60,"*キャラ*"),
VLOOKUP("*キャラ*",#REF!,7,FALSE),
IF(COUNTIF('盛付札（関数）'!D60,"*赤*"),
VLOOKUP("*赤*",#REF!,7,FALSE),
VLOOKUP('盛付札（関数）'!D60,#REF!,7,FALSE))),0)),
IF(MATCH(TRUE,
ISNUMBER(--INDIRECT("数出表_Excel!B"&amp;MATCH(C60,数出表_Excel!$A:$A,0)-1&amp;":U"&amp;MATCH(C60,数出表_Excel!$A:$A,0)-1&amp;"")),0)&gt;10,
IF(D60&lt;&gt;"",
IF(IF(COUNTIF('盛付札（関数）'!D60,"*キャラ*"),
VLOOKUP("*キャラ*",#REF!,7,FALSE),
IF(COUNTIF('盛付札（関数）'!D60,"*赤*"),
VLOOKUP("*赤*",#REF!,7,FALSE),
VLOOKUP('盛付札（関数）'!D60,#REF!,7,FALSE)))=0,"",
IF(ROUND(
IF(O60&lt;&gt;"",(H60-O60),H60)
/IF(COUNTIF('盛付札（関数）'!D60,"*キャラ*"),
VLOOKUP("*キャラ*",#REF!,7,FALSE),
IF(COUNTIF('盛付札（関数）'!D60,"*赤*"),
VLOOKUP("*赤*",#REF!,7,FALSE),
VLOOKUP('盛付札（関数）'!D60,#REF!,7,FALSE))),0)&lt;=0,1,
ROUND(
IF(O60&lt;&gt;"",(H60-O60),H60)
/IF(COUNTIF('盛付札（関数）'!D60,"*キャラ*"),
VLOOKUP("*キャラ*",#REF!,7,FALSE),
IF(COUNTIF('盛付札（関数）'!D60,"*赤*"),
VLOOKUP("*赤*",#REF!,7,FALSE),
VLOOKUP('盛付札（関数）'!D60,#REF!,7,FALSE))),0))),""),"")),"")</f>
        <v/>
      </c>
      <c r="G60" s="53" t="str">
        <f ca="1">IF(F60&lt;&gt;"",IF(VALUE(IF(O60&lt;&gt;"",H60-O60,H60))&gt;VALUE(IF(COUNTIF('盛付札（関数）'!D60,"*キャラ*"),
VLOOKUP("*キャラ*",#REF!,7,FALSE),
IF(COUNTIF('盛付札（関数）'!D60,"*赤*"),
VLOOKUP("*赤*",#REF!,7,FALSE),
VLOOKUP('盛付札（関数）'!D60,#REF!,7,FALSE)))*F60),
"+"&amp;IF(O60&lt;&gt;"",H60-O60,H60)-IF(COUNTIF('盛付札（関数）'!D60,"*キャラ*"),
VLOOKUP("*キャラ*",#REF!,7,FALSE),
IF(COUNTIF('盛付札（関数）'!D60,"*赤*"),
VLOOKUP("*赤*",#REF!,7,FALSE),
VLOOKUP('盛付札（関数）'!D60,#REF!,7,FALSE)))*F60,
IF(O60&lt;&gt;"",H60-O60,H60)-IF(COUNTIF('盛付札（関数）'!D60,"*キャラ*"),
VLOOKUP("*キャラ*",#REF!,7,FALSE),
IF(COUNTIF('盛付札（関数）'!D60,"*赤*"),
VLOOKUP("*赤*",#REF!,7,FALSE),
VLOOKUP('盛付札（関数）'!D60,#REF!,7,FALSE)))*F60),"")</f>
        <v/>
      </c>
      <c r="H60" s="195" t="str" cm="1">
        <f t="array" aca="1" ref="H60" ca="1">IF(C60&lt;&gt;"",
IF(INDIRECT("数出表_Excel!"&amp;LEFT(クライアント抽出!V60)&amp;A60-1&amp;"")&lt;&gt;"",INDIRECT("数出表_Excel!"&amp;LEFT(クライアント抽出!V60)&amp;A60-1&amp;""),0),"")</f>
        <v/>
      </c>
      <c r="I60" s="52" t="str" cm="1">
        <f t="array" aca="1" ref="I60" ca="1">IF(C60&lt;&gt;"",
IF(INDIRECT("数出表_Excel!"&amp;LEFT(クライアント抽出!V60)&amp;A60&amp;"")&lt;&gt;"",INDIRECT("数出表_Excel!"&amp;LEFT(クライアント抽出!V60)&amp;A60&amp;""),0),"")</f>
        <v/>
      </c>
      <c r="J60" s="52" t="str">
        <f ca="1">IF(C60&lt;&gt;"",
VLOOKUP(
IF(COUNTIF(D60,"*学食*"),"キャラ弁（学食）",
IF(COUNTIF(D60,"*赤*"),"赤",
IF(COUNTIF(D60,"*キャラ弁当*"),"キャラ弁当",D60))),注文弁当の抽出!$E$1:$F$15,2,FALSE),"")</f>
        <v/>
      </c>
      <c r="K60" s="52" t="str">
        <f t="shared" ca="1" si="15"/>
        <v/>
      </c>
      <c r="L60" s="52" t="str">
        <f t="shared" ca="1" si="16"/>
        <v/>
      </c>
      <c r="M60" s="52" cm="1">
        <f t="array" aca="1" ref="M60" ca="1">IF(C60&lt;&gt;"",
IF(IFERROR(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0)&lt;&gt;0,
IF(IFERROR(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"")="",
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""),
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0)),0),0)</f>
        <v>0</v>
      </c>
      <c r="N60" s="52" t="e">
        <f t="array" aca="1" ref="N60" ca="1">IF(B60="博多",
IF(C60&lt;&gt;"",
IF(IFERROR(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0)&lt;&gt;0,
IF(IFERROR(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0)="",
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0),
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0)),0),""),0)</f>
        <v>#N/A</v>
      </c>
      <c r="O60" s="52" t="e">
        <f t="shared" ca="1" si="17"/>
        <v>#N/A</v>
      </c>
      <c r="P60" s="52">
        <f t="shared" ca="1" si="4"/>
        <v>0</v>
      </c>
      <c r="Q60" s="52" t="b">
        <f t="shared" ca="1" si="18"/>
        <v>0</v>
      </c>
      <c r="R60" s="51" t="str" cm="1">
        <f t="array" aca="1" ref="R60" ca="1">IFERROR(SMALL(IF(P$1:P$300&lt;&gt;0,P$1:P$300),ROW(A60)),"")</f>
        <v/>
      </c>
      <c r="S60" s="51" t="str">
        <f t="array" aca="1" ref="S60" ca="1">IF($R60&lt;&gt;"",
INDIRECT(""&amp;IF(COLUMN(C80)&lt;=26,CHAR(COLUMN(C80)+64),CHAR(INT((COLUMN(C80)-1)/26)+64)&amp;CHAR(MOD(COLUMN(C80)-1,26)+65))&amp;$R60&amp;""),"")</f>
        <v/>
      </c>
      <c r="T60" s="51" t="str" cm="1">
        <f t="array" aca="1" ref="T60" ca="1">IF(IF($R60&lt;&gt;"",
INDIRECT(""&amp;IF(COLUMN(D80)&lt;=26,CHAR(COLUMN(D80)+64),CHAR(INT((COLUMN(D80)-1)/26)+64)&amp;CHAR(MOD(COLUMN(D80)-1,26)+65))&amp;$R60&amp;""),"")=0,"",
IF($R60&lt;&gt;"",
INDIRECT(""&amp;IF(COLUMN(D80)&lt;=26,CHAR(COLUMN(D80)+64),CHAR(INT((COLUMN(D80)-1)/26)+64)&amp;CHAR(MOD(COLUMN(D80)-1,26)+65))&amp;$R60&amp;""),""))</f>
        <v/>
      </c>
      <c r="U60" s="51"/>
      <c r="V60" s="51" t="str">
        <f t="array" aca="1" ref="V60" ca="1">IF($R60&lt;&gt;"",
IF(U60="",
IF(INDIRECT("EY"&amp;$R60&amp;"")&lt;&gt;"",
INDIRECT("EY"&amp;$R60&amp;"")&amp;"箱"
&amp;INDIRECT("EZ"&amp;$R60&amp;""),""),""),"")</f>
        <v/>
      </c>
      <c r="W60" s="51" t="str">
        <f t="array" aca="1" ref="W60" ca="1">IF($R60&lt;&gt;"",
INDIRECT(""&amp;IF(COLUMN(H80)&lt;=26,CHAR(COLUMN(H80)+64),CHAR(INT((COLUMN(H80)-1)/26)+64)&amp;CHAR(MOD(COLUMN(H80)-1,26)+65))&amp;$R60&amp;""),"")</f>
        <v/>
      </c>
      <c r="X60" s="51" t="str">
        <f t="array" aca="1" ref="X60" ca="1">IF($R60&lt;&gt;"",
INDIRECT(""&amp;IF(COLUMN(I80)&lt;=26,CHAR(COLUMN(I80)+64),CHAR(INT((COLUMN(I80)-1)/26)+64)&amp;CHAR(MOD(COLUMN(I80)-1,26)+65))&amp;$R60&amp;""),"")</f>
        <v/>
      </c>
      <c r="Y60" s="51" t="str">
        <f t="array" aca="1" ref="Y60" ca="1">IF($R60&lt;&gt;"",
INDIRECT(""&amp;IF(COLUMN(J80)&lt;=26,CHAR(COLUMN(J80)+64),CHAR(INT((COLUMN(J80)-1)/26)+64)&amp;CHAR(MOD(COLUMN(J80)-1,26)+65))&amp;$R60&amp;""),"")</f>
        <v/>
      </c>
      <c r="Z60" s="51" t="str">
        <f t="array" aca="1" ref="Z60" ca="1">IF($R60&lt;&gt;"",
INDIRECT(""&amp;IF(COLUMN(K80)&lt;=26,CHAR(COLUMN(K80)+64),CHAR(INT((COLUMN(K80)-1)/26)+64)&amp;CHAR(MOD(COLUMN(K80)-1,26)+65))&amp;$R60&amp;""),"")</f>
        <v/>
      </c>
      <c r="AA60" s="51" t="str">
        <f t="array" aca="1" ref="AA60" ca="1">IF($R60&lt;&gt;"",
INDIRECT(""&amp;IF(COLUMN(L80)&lt;=26,CHAR(COLUMN(L80)+64),CHAR(INT((COLUMN(L80)-1)/26)+64)&amp;CHAR(MOD(COLUMN(L80)-1,26)+65))&amp;$R60&amp;""),"")</f>
        <v/>
      </c>
      <c r="AB60" s="51" t="str">
        <f t="array" aca="1" ref="AB60" ca="1">IF($R60&lt;&gt;"",
INDIRECT(""&amp;IF(COLUMN(O80)&lt;=26,CHAR(COLUMN(O80)+64),CHAR(INT((COLUMN(O80)-1)/26)+64)&amp;CHAR(MOD(COLUMN(O80)-1,26)+65))&amp;$R60&amp;""),"")</f>
        <v/>
      </c>
    </row>
    <row r="61" spans="1:28" ht="18" customHeight="1">
      <c r="A61" s="197">
        <f t="shared" si="14"/>
        <v>127</v>
      </c>
      <c r="B61" s="52" t="e">
        <f t="array" aca="1" ref="B61" ca="1">IF(AND(LEFT(C61,2)="博多",
LEFT(INDIRECT("数出表_Excel!A"&amp;MATCH(C61,数出表_Excel!$A:$A,0)-1),2)
=LEFT(INDIRECT("数出表_Excel!A"&amp;MATCH(C61,数出表_Excel!$A:$A,0)+1),2)),"博多",
IF(AND(LEFT(C61,3)="奈良屋",
LEFT(INDIRECT("数出表_Excel!A"&amp;MATCH(C61,数出表_Excel!$A:$A,0)-1),2)
=LEFT(INDIRECT("数出表_Excel!A"&amp;MATCH(C61,数出表_Excel!$A:$A,0)+1),2)),"奈良屋",""))</f>
        <v>#N/A</v>
      </c>
      <c r="C61" s="52" t="str" cm="1">
        <f t="array" aca="1" ref="C61" ca="1">IF(IF(クライアント抽出!A61="",0,LEN(クライアント抽出!V61)-LEN(SUBSTITUTE(クライアント抽出!V61,",","")))&gt;=1,INDIRECT("数出表_Excel!A"&amp;A61&amp;""),"")</f>
        <v/>
      </c>
      <c r="D61" s="52" t="str" cm="1">
        <f t="array" aca="1" ref="D61" ca="1">IF(C61&lt;&gt;"",INDIRECT("クライアント抽出!"&amp;E61&amp;MATCH(C61,クライアント抽出!A:A,0)&amp;""),"")</f>
        <v/>
      </c>
      <c r="E61" s="52" t="str">
        <f ca="1"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 cm="1">
        <f t="array" aca="1" ref="F61" ca="1">IF(D61&lt;&gt;"",
IF(COUNTIF(C61,"*雙葉*"),
IF(ROUND(
IF(O61&lt;&gt;"",(H61-O61),H61)
/IF(COUNTIF('盛付札（関数）'!D61,"*キャラ*"),
VLOOKUP("*キャラ*",#REF!,7,FALSE),
IF(COUNTIF('盛付札（関数）'!D61,"*赤*"),
VLOOKUP("*赤*",#REF!,7,FALSE),
VLOOKUP('盛付札（関数）'!D61,#REF!,7,FALSE))),0)&lt;=0,1,
ROUND(
IF(O61&lt;&gt;"",(H61-O61),H61)
/IF(COUNTIF('盛付札（関数）'!D61,"*キャラ*"),
VLOOKUP("*キャラ*",#REF!,7,FALSE),
IF(COUNTIF('盛付札（関数）'!D61,"*赤*"),
VLOOKUP("*赤*",#REF!,7,FALSE),
VLOOKUP('盛付札（関数）'!D61,#REF!,7,FALSE))),0)),
IF(MATCH(TRUE,
ISNUMBER(--INDIRECT("数出表_Excel!B"&amp;MATCH(C61,数出表_Excel!$A:$A,0)-1&amp;":U"&amp;MATCH(C61,数出表_Excel!$A:$A,0)-1&amp;"")),0)&gt;10,
IF(D61&lt;&gt;"",
IF(IF(COUNTIF('盛付札（関数）'!D61,"*キャラ*"),
VLOOKUP("*キャラ*",#REF!,7,FALSE),
IF(COUNTIF('盛付札（関数）'!D61,"*赤*"),
VLOOKUP("*赤*",#REF!,7,FALSE),
VLOOKUP('盛付札（関数）'!D61,#REF!,7,FALSE)))=0,"",
IF(ROUND(
IF(O61&lt;&gt;"",(H61-O61),H61)
/IF(COUNTIF('盛付札（関数）'!D61,"*キャラ*"),
VLOOKUP("*キャラ*",#REF!,7,FALSE),
IF(COUNTIF('盛付札（関数）'!D61,"*赤*"),
VLOOKUP("*赤*",#REF!,7,FALSE),
VLOOKUP('盛付札（関数）'!D61,#REF!,7,FALSE))),0)&lt;=0,1,
ROUND(
IF(O61&lt;&gt;"",(H61-O61),H61)
/IF(COUNTIF('盛付札（関数）'!D61,"*キャラ*"),
VLOOKUP("*キャラ*",#REF!,7,FALSE),
IF(COUNTIF('盛付札（関数）'!D61,"*赤*"),
VLOOKUP("*赤*",#REF!,7,FALSE),
VLOOKUP('盛付札（関数）'!D61,#REF!,7,FALSE))),0))),""),"")),"")</f>
        <v/>
      </c>
      <c r="G61" s="53" t="str">
        <f ca="1">IF(F61&lt;&gt;"",IF(VALUE(IF(O61&lt;&gt;"",H61-O61,H61))&gt;VALUE(IF(COUNTIF('盛付札（関数）'!D61,"*キャラ*"),
VLOOKUP("*キャラ*",#REF!,7,FALSE),
IF(COUNTIF('盛付札（関数）'!D61,"*赤*"),
VLOOKUP("*赤*",#REF!,7,FALSE),
VLOOKUP('盛付札（関数）'!D61,#REF!,7,FALSE)))*F61),
"+"&amp;IF(O61&lt;&gt;"",H61-O61,H61)-IF(COUNTIF('盛付札（関数）'!D61,"*キャラ*"),
VLOOKUP("*キャラ*",#REF!,7,FALSE),
IF(COUNTIF('盛付札（関数）'!D61,"*赤*"),
VLOOKUP("*赤*",#REF!,7,FALSE),
VLOOKUP('盛付札（関数）'!D61,#REF!,7,FALSE)))*F61,
IF(O61&lt;&gt;"",H61-O61,H61)-IF(COUNTIF('盛付札（関数）'!D61,"*キャラ*"),
VLOOKUP("*キャラ*",#REF!,7,FALSE),
IF(COUNTIF('盛付札（関数）'!D61,"*赤*"),
VLOOKUP("*赤*",#REF!,7,FALSE),
VLOOKUP('盛付札（関数）'!D61,#REF!,7,FALSE)))*F61),"")</f>
        <v/>
      </c>
      <c r="H61" s="195" t="str" cm="1">
        <f t="array" aca="1" ref="H61" ca="1">IF(C61&lt;&gt;"",
IF(INDIRECT("数出表_Excel!"&amp;LEFT(クライアント抽出!V61)&amp;A61-1&amp;"")&lt;&gt;"",INDIRECT("数出表_Excel!"&amp;LEFT(クライアント抽出!V61)&amp;A61-1&amp;""),0),"")</f>
        <v/>
      </c>
      <c r="I61" s="52" t="str" cm="1">
        <f t="array" aca="1" ref="I61" ca="1">IF(C61&lt;&gt;"",
IF(INDIRECT("数出表_Excel!"&amp;LEFT(クライアント抽出!V61)&amp;A61&amp;"")&lt;&gt;"",INDIRECT("数出表_Excel!"&amp;LEFT(クライアント抽出!V61)&amp;A61&amp;""),0),"")</f>
        <v/>
      </c>
      <c r="J61" s="52" t="str">
        <f ca="1">IF(C61&lt;&gt;"",
VLOOKUP(
IF(COUNTIF(D61,"*学食*"),"キャラ弁（学食）",
IF(COUNTIF(D61,"*赤*"),"赤",
IF(COUNTIF(D61,"*キャラ弁当*"),"キャラ弁当",D61))),注文弁当の抽出!$E$1:$F$15,2,FALSE),"")</f>
        <v/>
      </c>
      <c r="K61" s="52" t="str">
        <f ca="1">IF(C61&lt;&gt;"",
IFERROR(INT(H61/J61),""),"")</f>
        <v/>
      </c>
      <c r="L61" s="52" t="str">
        <f ca="1">IFERROR(MOD(H61,J61),"")</f>
        <v/>
      </c>
      <c r="M61" s="52" cm="1">
        <f t="array" aca="1" ref="M61" ca="1">IF(C61&lt;&gt;"",
IF(IFERROR(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0)&lt;&gt;0,
IF(IFERROR(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"")="",
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""),
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0)),0),0)</f>
        <v>0</v>
      </c>
      <c r="N61" s="52" t="e" cm="1">
        <f t="array" aca="1" ref="N61" ca="1">IF(B61="博多",
IF(C61&lt;&gt;"",
IF(IFERROR(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0)&lt;&gt;0,
IF(IFERROR(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0)="",
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0),
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0)),0),""),0)</f>
        <v>#N/A</v>
      </c>
      <c r="O61" s="52" t="e">
        <f t="shared" ca="1" si="17"/>
        <v>#N/A</v>
      </c>
      <c r="P61" s="52">
        <f t="shared" ca="1" si="4"/>
        <v>0</v>
      </c>
      <c r="Q61" s="52" t="b">
        <f t="shared" ca="1" si="18"/>
        <v>0</v>
      </c>
      <c r="R61" s="51" t="str" cm="1">
        <f t="array" aca="1" ref="R61" ca="1">IFERROR(SMALL(IF(P$1:P$300&lt;&gt;0,P$1:P$300),ROW(A61)),"")</f>
        <v/>
      </c>
      <c r="S61" s="51" t="str">
        <f t="array" aca="1" ref="S61" ca="1">IF($R61&lt;&gt;"",
INDIRECT(""&amp;IF(COLUMN(C81)&lt;=26,CHAR(COLUMN(C81)+64),CHAR(INT((COLUMN(C81)-1)/26)+64)&amp;CHAR(MOD(COLUMN(C81)-1,26)+65))&amp;$R61&amp;""),"")</f>
        <v/>
      </c>
      <c r="T61" s="51" t="str" cm="1">
        <f t="array" aca="1" ref="T61" ca="1">IF(IF($R61&lt;&gt;"",
INDIRECT(""&amp;IF(COLUMN(D81)&lt;=26,CHAR(COLUMN(D81)+64),CHAR(INT((COLUMN(D81)-1)/26)+64)&amp;CHAR(MOD(COLUMN(D81)-1,26)+65))&amp;$R61&amp;""),"")=0,"",
IF($R61&lt;&gt;"",
INDIRECT(""&amp;IF(COLUMN(D81)&lt;=26,CHAR(COLUMN(D81)+64),CHAR(INT((COLUMN(D81)-1)/26)+64)&amp;CHAR(MOD(COLUMN(D81)-1,26)+65))&amp;$R61&amp;""),""))</f>
        <v/>
      </c>
      <c r="U61" s="51"/>
      <c r="V61" s="51" t="str">
        <f t="array" aca="1" ref="V61" ca="1">IF($R61&lt;&gt;"",
IF(U61="",
IF(INDIRECT("EY"&amp;$R61&amp;"")&lt;&gt;"",
INDIRECT("EY"&amp;$R61&amp;"")&amp;"箱"
&amp;INDIRECT("EZ"&amp;$R61&amp;""),""),""),"")</f>
        <v/>
      </c>
      <c r="W61" s="51" t="str">
        <f t="array" aca="1" ref="W61" ca="1">IF($R61&lt;&gt;"",
INDIRECT(""&amp;IF(COLUMN(H81)&lt;=26,CHAR(COLUMN(H81)+64),CHAR(INT((COLUMN(H81)-1)/26)+64)&amp;CHAR(MOD(COLUMN(H81)-1,26)+65))&amp;$R61&amp;""),"")</f>
        <v/>
      </c>
      <c r="X61" s="51" t="str">
        <f t="array" aca="1" ref="X61" ca="1">IF($R61&lt;&gt;"",
INDIRECT(""&amp;IF(COLUMN(I81)&lt;=26,CHAR(COLUMN(I81)+64),CHAR(INT((COLUMN(I81)-1)/26)+64)&amp;CHAR(MOD(COLUMN(I81)-1,26)+65))&amp;$R61&amp;""),"")</f>
        <v/>
      </c>
      <c r="Y61" s="51" t="str">
        <f t="array" aca="1" ref="Y61" ca="1">IF($R61&lt;&gt;"",
INDIRECT(""&amp;IF(COLUMN(J81)&lt;=26,CHAR(COLUMN(J81)+64),CHAR(INT((COLUMN(J81)-1)/26)+64)&amp;CHAR(MOD(COLUMN(J81)-1,26)+65))&amp;$R61&amp;""),"")</f>
        <v/>
      </c>
      <c r="Z61" s="51" t="str">
        <f t="array" aca="1" ref="Z61" ca="1">IF($R61&lt;&gt;"",
INDIRECT(""&amp;IF(COLUMN(K81)&lt;=26,CHAR(COLUMN(K81)+64),CHAR(INT((COLUMN(K81)-1)/26)+64)&amp;CHAR(MOD(COLUMN(K81)-1,26)+65))&amp;$R61&amp;""),"")</f>
        <v/>
      </c>
      <c r="AA61" s="51" t="str">
        <f t="array" aca="1" ref="AA61" ca="1">IF($R61&lt;&gt;"",
INDIRECT(""&amp;IF(COLUMN(L81)&lt;=26,CHAR(COLUMN(L81)+64),CHAR(INT((COLUMN(L81)-1)/26)+64)&amp;CHAR(MOD(COLUMN(L81)-1,26)+65))&amp;$R61&amp;""),"")</f>
        <v/>
      </c>
      <c r="AB61" s="51" t="str">
        <f t="array" aca="1" ref="AB61" ca="1">IF($R61&lt;&gt;"",
INDIRECT(""&amp;IF(COLUMN(O81)&lt;=26,CHAR(COLUMN(O81)+64),CHAR(INT((COLUMN(O81)-1)/26)+64)&amp;CHAR(MOD(COLUMN(O81)-1,26)+65))&amp;$R61&amp;""),"")</f>
        <v/>
      </c>
    </row>
    <row r="62" spans="1:28" s="51" customFormat="1" ht="22.2" customHeight="1">
      <c r="A62" s="197">
        <f t="shared" si="14"/>
        <v>129</v>
      </c>
      <c r="B62" s="52" t="e">
        <f t="array" aca="1" ref="B62" ca="1">IF(AND(LEFT(C62,2)="博多",
LEFT(INDIRECT("数出表_Excel!A"&amp;MATCH(C62,数出表_Excel!$A:$A,0)-1),2)
=LEFT(INDIRECT("数出表_Excel!A"&amp;MATCH(C62,数出表_Excel!$A:$A,0)+1),2)),"博多",
IF(AND(LEFT(C62,3)="奈良屋",
LEFT(INDIRECT("数出表_Excel!A"&amp;MATCH(C62,数出表_Excel!$A:$A,0)-1),2)
=LEFT(INDIRECT("数出表_Excel!A"&amp;MATCH(C62,数出表_Excel!$A:$A,0)+1),2)),"奈良屋",""))</f>
        <v>#N/A</v>
      </c>
      <c r="C62" s="52" t="str" cm="1">
        <f t="array" aca="1" ref="C62" ca="1">IF(IF(クライアント抽出!A62="",0,LEN(クライアント抽出!V62)-LEN(SUBSTITUTE(クライアント抽出!V62,",","")))&gt;=1,INDIRECT("数出表_Excel!A"&amp;A62&amp;""),"")</f>
        <v/>
      </c>
      <c r="D62" s="52" t="str" cm="1">
        <f t="array" aca="1" ref="D62" ca="1">IF(C62&lt;&gt;"",INDIRECT("クライアント抽出!"&amp;E62&amp;MATCH(C62,クライアント抽出!A:A,0)&amp;""),"")</f>
        <v/>
      </c>
      <c r="E62" s="52" t="str">
        <f ca="1"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t="array" aca="1" ref="F62" ca="1">IF(D62&lt;&gt;"",
IF(COUNTIF(C62,"*雙葉*"),
IF(ROUND(
IF(O62&lt;&gt;"",(H62-O62),H62)
/IF(COUNTIF('盛付札（関数）'!D62,"*キャラ*"),
VLOOKUP("*キャラ*",#REF!,7,FALSE),
IF(COUNTIF('盛付札（関数）'!D62,"*赤*"),
VLOOKUP("*赤*",#REF!,7,FALSE),
VLOOKUP('盛付札（関数）'!D62,#REF!,7,FALSE))),0)&lt;=0,1,
ROUND(
IF(O62&lt;&gt;"",(H62-O62),H62)
/IF(COUNTIF('盛付札（関数）'!D62,"*キャラ*"),
VLOOKUP("*キャラ*",#REF!,7,FALSE),
IF(COUNTIF('盛付札（関数）'!D62,"*赤*"),
VLOOKUP("*赤*",#REF!,7,FALSE),
VLOOKUP('盛付札（関数）'!D62,#REF!,7,FALSE))),0)),
IF(MATCH(TRUE,
ISNUMBER(--INDIRECT("数出表_Excel!B"&amp;MATCH(C62,数出表_Excel!$A:$A,0)-1&amp;":U"&amp;MATCH(C62,数出表_Excel!$A:$A,0)-1&amp;"")),0)&gt;10,
IF(D62&lt;&gt;"",
IF(IF(COUNTIF('盛付札（関数）'!D62,"*キャラ*"),
VLOOKUP("*キャラ*",#REF!,7,FALSE),
IF(COUNTIF('盛付札（関数）'!D62,"*赤*"),
VLOOKUP("*赤*",#REF!,7,FALSE),
VLOOKUP('盛付札（関数）'!D62,#REF!,7,FALSE)))=0,"",
IF(ROUND(
IF(O62&lt;&gt;"",(H62-O62),H62)
/IF(COUNTIF('盛付札（関数）'!D62,"*キャラ*"),
VLOOKUP("*キャラ*",#REF!,7,FALSE),
IF(COUNTIF('盛付札（関数）'!D62,"*赤*"),
VLOOKUP("*赤*",#REF!,7,FALSE),
VLOOKUP('盛付札（関数）'!D62,#REF!,7,FALSE))),0)&lt;=0,1,
ROUND(
IF(O62&lt;&gt;"",(H62-O62),H62)
/IF(COUNTIF('盛付札（関数）'!D62,"*キャラ*"),
VLOOKUP("*キャラ*",#REF!,7,FALSE),
IF(COUNTIF('盛付札（関数）'!D62,"*赤*"),
VLOOKUP("*赤*",#REF!,7,FALSE),
VLOOKUP('盛付札（関数）'!D62,#REF!,7,FALSE))),0))),""),"")),"")</f>
        <v/>
      </c>
      <c r="G62" s="53" t="str">
        <f ca="1">IF(F62&lt;&gt;"",IF(VALUE(IF(O62&lt;&gt;"",H62-O62,H62))&gt;VALUE(IF(COUNTIF('盛付札（関数）'!D62,"*キャラ*"),
VLOOKUP("*キャラ*",#REF!,7,FALSE),
IF(COUNTIF('盛付札（関数）'!D62,"*赤*"),
VLOOKUP("*赤*",#REF!,7,FALSE),
VLOOKUP('盛付札（関数）'!D62,#REF!,7,FALSE)))*F62),
"+"&amp;IF(O62&lt;&gt;"",H62-O62,H62)-IF(COUNTIF('盛付札（関数）'!D62,"*キャラ*"),
VLOOKUP("*キャラ*",#REF!,7,FALSE),
IF(COUNTIF('盛付札（関数）'!D62,"*赤*"),
VLOOKUP("*赤*",#REF!,7,FALSE),
VLOOKUP('盛付札（関数）'!D62,#REF!,7,FALSE)))*F62,
IF(O62&lt;&gt;"",H62-O62,H62)-IF(COUNTIF('盛付札（関数）'!D62,"*キャラ*"),
VLOOKUP("*キャラ*",#REF!,7,FALSE),
IF(COUNTIF('盛付札（関数）'!D62,"*赤*"),
VLOOKUP("*赤*",#REF!,7,FALSE),
VLOOKUP('盛付札（関数）'!D62,#REF!,7,FALSE)))*F62),"")</f>
        <v/>
      </c>
      <c r="H62" s="195" t="str" cm="1">
        <f t="array" aca="1" ref="H62" ca="1">IF(C62&lt;&gt;"",
IF(INDIRECT("数出表_Excel!"&amp;LEFT(クライアント抽出!V62)&amp;A62-1&amp;"")&lt;&gt;"",INDIRECT("数出表_Excel!"&amp;LEFT(クライアント抽出!V62)&amp;A62-1&amp;""),0),"")</f>
        <v/>
      </c>
      <c r="I62" s="52" t="str" cm="1">
        <f t="array" aca="1" ref="I62" ca="1">IF(C62&lt;&gt;"",
IF(INDIRECT("数出表_Excel!"&amp;LEFT(クライアント抽出!V62)&amp;A62&amp;"")&lt;&gt;"",INDIRECT("数出表_Excel!"&amp;LEFT(クライアント抽出!V62)&amp;A62&amp;""),0),"")</f>
        <v/>
      </c>
      <c r="J62" s="52" t="str">
        <f ca="1">IF(C62&lt;&gt;"",
VLOOKUP(
IF(COUNTIF(D62,"*学食*"),"キャラ弁（学食）",
IF(COUNTIF(D62,"*赤*"),"赤",
IF(COUNTIF(D62,"*キャラ弁当*"),"キャラ弁当",D62))),注文弁当の抽出!$E$1:$F$15,2,FALSE),"")</f>
        <v/>
      </c>
      <c r="K62" s="52" t="str">
        <f t="shared" ca="1" si="15"/>
        <v/>
      </c>
      <c r="L62" s="52" t="str">
        <f t="shared" ca="1" si="16"/>
        <v/>
      </c>
      <c r="M62" s="52" cm="1">
        <f t="array" aca="1" ref="M62" ca="1">IF(C62&lt;&gt;"",
IF(IFERROR(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0)&lt;&gt;0,
IF(IFERROR(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"")="",
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""),
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0)),0),0)</f>
        <v>0</v>
      </c>
      <c r="N62" s="52" t="e">
        <f t="array" aca="1" ref="N62" ca="1">IF(B62="博多",
IF(C62&lt;&gt;"",
IF(IFERROR(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0)&lt;&gt;0,
IF(IFERROR(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0)="",
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0),
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0)),0),""),0)</f>
        <v>#N/A</v>
      </c>
      <c r="O62" s="52" t="e">
        <f ca="1">M62+N62</f>
        <v>#N/A</v>
      </c>
      <c r="P62" s="52">
        <f ca="1">IF(COUNTIF(Q62,"TRUE"),ROW(),0)</f>
        <v>0</v>
      </c>
      <c r="Q62" s="52" t="b">
        <f ca="1">IF(C62&lt;&gt;"",TRUE,FALSE)</f>
        <v>0</v>
      </c>
      <c r="R62" s="51" t="str" cm="1">
        <f t="array" aca="1" ref="R62" ca="1">IFERROR(SMALL(IF(P$1:P$300&lt;&gt;0,P$1:P$300),ROW(A62)),"")</f>
        <v/>
      </c>
      <c r="S62" s="51" t="str" cm="1">
        <f t="array" aca="1" ref="S62" ca="1">IF($R62&lt;&gt;"",
INDIRECT(""&amp;IF(COLUMN(C82)&lt;=26,CHAR(COLUMN(C82)+64),CHAR(INT((COLUMN(C82)-1)/26)+64)&amp;CHAR(MOD(COLUMN(C82)-1,26)+65))&amp;$R62&amp;""),"")</f>
        <v/>
      </c>
      <c r="T62" s="51" t="str" cm="1">
        <f t="array" aca="1" ref="T62" ca="1">IF(IF($R62&lt;&gt;"",
INDIRECT(""&amp;IF(COLUMN(D82)&lt;=26,CHAR(COLUMN(D82)+64),CHAR(INT((COLUMN(D82)-1)/26)+64)&amp;CHAR(MOD(COLUMN(D82)-1,26)+65))&amp;$R62&amp;""),"")=0,"",
IF($R62&lt;&gt;"",
INDIRECT(""&amp;IF(COLUMN(D82)&lt;=26,CHAR(COLUMN(D82)+64),CHAR(INT((COLUMN(D82)-1)/26)+64)&amp;CHAR(MOD(COLUMN(D82)-1,26)+65))&amp;$R62&amp;""),""))</f>
        <v/>
      </c>
      <c r="V62" s="51" t="str">
        <f t="array" aca="1" ref="V62" ca="1">IF($R62&lt;&gt;"",
IF(U62="",
IF(INDIRECT("EY"&amp;$R62&amp;"")&lt;&gt;"",
INDIRECT("EY"&amp;$R62&amp;"")&amp;"箱"
&amp;INDIRECT("EZ"&amp;$R62&amp;""),""),""),"")</f>
        <v/>
      </c>
      <c r="W62" s="51" t="str">
        <f t="array" aca="1" ref="W62" ca="1">IF($R62&lt;&gt;"",
INDIRECT(""&amp;IF(COLUMN(H82)&lt;=26,CHAR(COLUMN(H82)+64),CHAR(INT((COLUMN(H82)-1)/26)+64)&amp;CHAR(MOD(COLUMN(H82)-1,26)+65))&amp;$R62&amp;""),"")</f>
        <v/>
      </c>
      <c r="X62" s="51" t="str">
        <f t="array" aca="1" ref="X62" ca="1">IF($R62&lt;&gt;"",
INDIRECT(""&amp;IF(COLUMN(I82)&lt;=26,CHAR(COLUMN(I82)+64),CHAR(INT((COLUMN(I82)-1)/26)+64)&amp;CHAR(MOD(COLUMN(I82)-1,26)+65))&amp;$R62&amp;""),"")</f>
        <v/>
      </c>
      <c r="Y62" s="51" t="str">
        <f t="array" aca="1" ref="Y62" ca="1">IF($R62&lt;&gt;"",
INDIRECT(""&amp;IF(COLUMN(J82)&lt;=26,CHAR(COLUMN(J82)+64),CHAR(INT((COLUMN(J82)-1)/26)+64)&amp;CHAR(MOD(COLUMN(J82)-1,26)+65))&amp;$R62&amp;""),"")</f>
        <v/>
      </c>
      <c r="Z62" s="51" t="str">
        <f t="array" aca="1" ref="Z62" ca="1">IF($R62&lt;&gt;"",
INDIRECT(""&amp;IF(COLUMN(K82)&lt;=26,CHAR(COLUMN(K82)+64),CHAR(INT((COLUMN(K82)-1)/26)+64)&amp;CHAR(MOD(COLUMN(K82)-1,26)+65))&amp;$R62&amp;""),"")</f>
        <v/>
      </c>
      <c r="AA62" s="51" t="str">
        <f t="array" aca="1" ref="AA62" ca="1">IF($R62&lt;&gt;"",
INDIRECT(""&amp;IF(COLUMN(L82)&lt;=26,CHAR(COLUMN(L82)+64),CHAR(INT((COLUMN(L82)-1)/26)+64)&amp;CHAR(MOD(COLUMN(L82)-1,26)+65))&amp;$R62&amp;""),"")</f>
        <v/>
      </c>
      <c r="AB62" s="51" t="str">
        <f t="array" aca="1" ref="AB62" ca="1">IF($R62&lt;&gt;"",
INDIRECT(""&amp;IF(COLUMN(O82)&lt;=26,CHAR(COLUMN(O82)+64),CHAR(INT((COLUMN(O82)-1)/26)+64)&amp;CHAR(MOD(COLUMN(O82)-1,26)+65))&amp;$R62&amp;""),"")</f>
        <v/>
      </c>
    </row>
    <row r="63" spans="1:28" ht="21" customHeight="1">
      <c r="A63" s="197">
        <f t="shared" si="14"/>
        <v>131</v>
      </c>
      <c r="B63" s="52" t="e">
        <f t="array" aca="1" ref="B63" ca="1">IF(AND(LEFT(C63,2)="博多",
LEFT(INDIRECT("数出表_Excel!A"&amp;MATCH(C63,数出表_Excel!$A:$A,0)-1),2)
=LEFT(INDIRECT("数出表_Excel!A"&amp;MATCH(C63,数出表_Excel!$A:$A,0)+1),2)),"博多",
IF(AND(LEFT(C63,3)="奈良屋",
LEFT(INDIRECT("数出表_Excel!A"&amp;MATCH(C63,数出表_Excel!$A:$A,0)-1),2)
=LEFT(INDIRECT("数出表_Excel!A"&amp;MATCH(C63,数出表_Excel!$A:$A,0)+1),2)),"奈良屋",""))</f>
        <v>#N/A</v>
      </c>
      <c r="C63" s="52" t="str" cm="1">
        <f t="array" aca="1" ref="C63" ca="1">IF(IF(クライアント抽出!A63="",0,LEN(クライアント抽出!V63)-LEN(SUBSTITUTE(クライアント抽出!V63,",","")))&gt;=1,INDIRECT("数出表_Excel!A"&amp;A63&amp;""),"")</f>
        <v/>
      </c>
      <c r="D63" s="52" t="str" cm="1">
        <f t="array" aca="1" ref="D63" ca="1">IF(C63&lt;&gt;"",INDIRECT("クライアント抽出!"&amp;E63&amp;MATCH(C63,クライアント抽出!A:A,0)&amp;""),"")</f>
        <v/>
      </c>
      <c r="E63" s="52" t="str">
        <f ca="1"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t="array" aca="1" ref="F63" ca="1">IF(D63&lt;&gt;"",
IF(COUNTIF(C63,"*雙葉*"),
IF(ROUND(
IF(O63&lt;&gt;"",(H63-O63),H63)
/IF(COUNTIF('盛付札（関数）'!D63,"*キャラ*"),
VLOOKUP("*キャラ*",#REF!,7,FALSE),
IF(COUNTIF('盛付札（関数）'!D63,"*赤*"),
VLOOKUP("*赤*",#REF!,7,FALSE),
VLOOKUP('盛付札（関数）'!D63,#REF!,7,FALSE))),0)&lt;=0,1,
ROUND(
IF(O63&lt;&gt;"",(H63-O63),H63)
/IF(COUNTIF('盛付札（関数）'!D63,"*キャラ*"),
VLOOKUP("*キャラ*",#REF!,7,FALSE),
IF(COUNTIF('盛付札（関数）'!D63,"*赤*"),
VLOOKUP("*赤*",#REF!,7,FALSE),
VLOOKUP('盛付札（関数）'!D63,#REF!,7,FALSE))),0)),
IF(MATCH(TRUE,
ISNUMBER(--INDIRECT("数出表_Excel!B"&amp;MATCH(C63,数出表_Excel!$A:$A,0)-1&amp;":U"&amp;MATCH(C63,数出表_Excel!$A:$A,0)-1&amp;"")),0)&gt;10,
IF(D63&lt;&gt;"",
IF(IF(COUNTIF('盛付札（関数）'!D63,"*キャラ*"),
VLOOKUP("*キャラ*",#REF!,7,FALSE),
IF(COUNTIF('盛付札（関数）'!D63,"*赤*"),
VLOOKUP("*赤*",#REF!,7,FALSE),
VLOOKUP('盛付札（関数）'!D63,#REF!,7,FALSE)))=0,"",
IF(ROUND(
IF(O63&lt;&gt;"",(H63-O63),H63)
/IF(COUNTIF('盛付札（関数）'!D63,"*キャラ*"),
VLOOKUP("*キャラ*",#REF!,7,FALSE),
IF(COUNTIF('盛付札（関数）'!D63,"*赤*"),
VLOOKUP("*赤*",#REF!,7,FALSE),
VLOOKUP('盛付札（関数）'!D63,#REF!,7,FALSE))),0)&lt;=0,1,
ROUND(
IF(O63&lt;&gt;"",(H63-O63),H63)
/IF(COUNTIF('盛付札（関数）'!D63,"*キャラ*"),
VLOOKUP("*キャラ*",#REF!,7,FALSE),
IF(COUNTIF('盛付札（関数）'!D63,"*赤*"),
VLOOKUP("*赤*",#REF!,7,FALSE),
VLOOKUP('盛付札（関数）'!D63,#REF!,7,FALSE))),0))),""),"")),"")</f>
        <v/>
      </c>
      <c r="G63" s="53" t="str">
        <f ca="1">IF(F63&lt;&gt;"",IF(VALUE(IF(O63&lt;&gt;"",H63-O63,H63))&gt;VALUE(IF(COUNTIF('盛付札（関数）'!D63,"*キャラ*"),
VLOOKUP("*キャラ*",#REF!,7,FALSE),
IF(COUNTIF('盛付札（関数）'!D63,"*赤*"),
VLOOKUP("*赤*",#REF!,7,FALSE),
VLOOKUP('盛付札（関数）'!D63,#REF!,7,FALSE)))*F63),
"+"&amp;IF(O63&lt;&gt;"",H63-O63,H63)-IF(COUNTIF('盛付札（関数）'!D63,"*キャラ*"),
VLOOKUP("*キャラ*",#REF!,7,FALSE),
IF(COUNTIF('盛付札（関数）'!D63,"*赤*"),
VLOOKUP("*赤*",#REF!,7,FALSE),
VLOOKUP('盛付札（関数）'!D63,#REF!,7,FALSE)))*F63,
IF(O63&lt;&gt;"",H63-O63,H63)-IF(COUNTIF('盛付札（関数）'!D63,"*キャラ*"),
VLOOKUP("*キャラ*",#REF!,7,FALSE),
IF(COUNTIF('盛付札（関数）'!D63,"*赤*"),
VLOOKUP("*赤*",#REF!,7,FALSE),
VLOOKUP('盛付札（関数）'!D63,#REF!,7,FALSE)))*F63),"")</f>
        <v/>
      </c>
      <c r="H63" s="195" t="str" cm="1">
        <f t="array" aca="1" ref="H63" ca="1">IF(C63&lt;&gt;"",
IF(INDIRECT("数出表_Excel!"&amp;LEFT(クライアント抽出!V63)&amp;A63-1&amp;"")&lt;&gt;"",INDIRECT("数出表_Excel!"&amp;LEFT(クライアント抽出!V63)&amp;A63-1&amp;""),0),"")</f>
        <v/>
      </c>
      <c r="I63" s="52" t="str" cm="1">
        <f t="array" aca="1" ref="I63" ca="1">IF(C63&lt;&gt;"",
IF(INDIRECT("数出表_Excel!"&amp;LEFT(クライアント抽出!V63)&amp;A63&amp;"")&lt;&gt;"",INDIRECT("数出表_Excel!"&amp;LEFT(クライアント抽出!V63)&amp;A63&amp;""),0),"")</f>
        <v/>
      </c>
      <c r="J63" s="52" t="str">
        <f ca="1">IF(C63&lt;&gt;"",
VLOOKUP(
IF(COUNTIF(D63,"*学食*"),"キャラ弁（学食）",
IF(COUNTIF(D63,"*赤*"),"赤",
IF(COUNTIF(D63,"*キャラ弁当*"),"キャラ弁当",D63))),注文弁当の抽出!$E$1:$F$15,2,FALSE),"")</f>
        <v/>
      </c>
      <c r="K63" s="52" t="str">
        <f t="shared" ca="1" si="15"/>
        <v/>
      </c>
      <c r="L63" s="52" t="str">
        <f t="shared" ca="1" si="16"/>
        <v/>
      </c>
      <c r="M63" s="52" cm="1">
        <f t="array" aca="1" ref="M63" ca="1">IF(C63&lt;&gt;"",
IF(IFERROR(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0)&lt;&gt;0,
IF(IFERROR(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"")="",
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""),
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0)),0),0)</f>
        <v>0</v>
      </c>
      <c r="N63" s="52" t="e">
        <f t="array" aca="1" ref="N63" ca="1">IF(B63="博多",
IF(C63&lt;&gt;"",
IF(IFERROR(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0)&lt;&gt;0,
IF(IFERROR(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0)="",
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0),
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0)),0),""),0)</f>
        <v>#N/A</v>
      </c>
      <c r="O63" s="52" t="e">
        <f t="shared" ca="1" si="17"/>
        <v>#N/A</v>
      </c>
      <c r="P63" s="52">
        <f t="shared" ca="1" si="4"/>
        <v>0</v>
      </c>
      <c r="Q63" s="52" t="b">
        <f t="shared" ca="1" si="18"/>
        <v>0</v>
      </c>
      <c r="R63" s="51" t="str" cm="1">
        <f t="array" aca="1" ref="R63" ca="1">IFERROR(SMALL(IF(P$1:P$300&lt;&gt;0,P$1:P$300),ROW(A63)),"")</f>
        <v/>
      </c>
      <c r="S63" s="51" t="str">
        <f t="array" aca="1" ref="S63" ca="1">IF($R63&lt;&gt;"",
INDIRECT(""&amp;IF(COLUMN(C83)&lt;=26,CHAR(COLUMN(C83)+64),CHAR(INT((COLUMN(C83)-1)/26)+64)&amp;CHAR(MOD(COLUMN(C83)-1,26)+65))&amp;$R63&amp;""),"")</f>
        <v/>
      </c>
      <c r="T63" s="51" t="str" cm="1">
        <f t="array" aca="1" ref="T63" ca="1">IF(IF($R63&lt;&gt;"",
INDIRECT(""&amp;IF(COLUMN(D83)&lt;=26,CHAR(COLUMN(D83)+64),CHAR(INT((COLUMN(D83)-1)/26)+64)&amp;CHAR(MOD(COLUMN(D83)-1,26)+65))&amp;$R63&amp;""),"")=0,"",
IF($R63&lt;&gt;"",
INDIRECT(""&amp;IF(COLUMN(D83)&lt;=26,CHAR(COLUMN(D83)+64),CHAR(INT((COLUMN(D83)-1)/26)+64)&amp;CHAR(MOD(COLUMN(D83)-1,26)+65))&amp;$R63&amp;""),""))</f>
        <v/>
      </c>
      <c r="U63" s="51"/>
      <c r="V63" s="51" t="str">
        <f t="array" aca="1" ref="V63" ca="1">IF($R63&lt;&gt;"",
IF(U63="",
IF(INDIRECT("EY"&amp;$R63&amp;"")&lt;&gt;"",
INDIRECT("EY"&amp;$R63&amp;"")&amp;"箱"
&amp;INDIRECT("EZ"&amp;$R63&amp;""),""),""),"")</f>
        <v/>
      </c>
      <c r="W63" s="51" t="str">
        <f t="array" aca="1" ref="W63" ca="1">IF($R63&lt;&gt;"",
INDIRECT(""&amp;IF(COLUMN(H83)&lt;=26,CHAR(COLUMN(H83)+64),CHAR(INT((COLUMN(H83)-1)/26)+64)&amp;CHAR(MOD(COLUMN(H83)-1,26)+65))&amp;$R63&amp;""),"")</f>
        <v/>
      </c>
      <c r="X63" s="51" t="str">
        <f t="array" aca="1" ref="X63" ca="1">IF($R63&lt;&gt;"",
INDIRECT(""&amp;IF(COLUMN(I83)&lt;=26,CHAR(COLUMN(I83)+64),CHAR(INT((COLUMN(I83)-1)/26)+64)&amp;CHAR(MOD(COLUMN(I83)-1,26)+65))&amp;$R63&amp;""),"")</f>
        <v/>
      </c>
      <c r="Y63" s="51" t="str">
        <f t="array" aca="1" ref="Y63" ca="1">IF($R63&lt;&gt;"",
INDIRECT(""&amp;IF(COLUMN(J83)&lt;=26,CHAR(COLUMN(J83)+64),CHAR(INT((COLUMN(J83)-1)/26)+64)&amp;CHAR(MOD(COLUMN(J83)-1,26)+65))&amp;$R63&amp;""),"")</f>
        <v/>
      </c>
      <c r="Z63" s="51" t="str">
        <f t="array" aca="1" ref="Z63" ca="1">IF($R63&lt;&gt;"",
INDIRECT(""&amp;IF(COLUMN(K83)&lt;=26,CHAR(COLUMN(K83)+64),CHAR(INT((COLUMN(K83)-1)/26)+64)&amp;CHAR(MOD(COLUMN(K83)-1,26)+65))&amp;$R63&amp;""),"")</f>
        <v/>
      </c>
      <c r="AA63" s="51" t="str">
        <f t="array" aca="1" ref="AA63" ca="1">IF($R63&lt;&gt;"",
INDIRECT(""&amp;IF(COLUMN(L83)&lt;=26,CHAR(COLUMN(L83)+64),CHAR(INT((COLUMN(L83)-1)/26)+64)&amp;CHAR(MOD(COLUMN(L83)-1,26)+65))&amp;$R63&amp;""),"")</f>
        <v/>
      </c>
      <c r="AB63" s="51" t="str">
        <f t="array" aca="1" ref="AB63" ca="1">IF($R63&lt;&gt;"",
INDIRECT(""&amp;IF(COLUMN(O83)&lt;=26,CHAR(COLUMN(O83)+64),CHAR(INT((COLUMN(O83)-1)/26)+64)&amp;CHAR(MOD(COLUMN(O83)-1,26)+65))&amp;$R63&amp;""),"")</f>
        <v/>
      </c>
    </row>
    <row r="64" spans="1:28" s="51" customFormat="1" ht="18" customHeight="1">
      <c r="A64" s="197">
        <f t="shared" si="14"/>
        <v>133</v>
      </c>
      <c r="B64" s="52" t="e">
        <f t="array" aca="1" ref="B64" ca="1">IF(AND(LEFT(C64,2)="博多",
LEFT(INDIRECT("数出表_Excel!A"&amp;MATCH(C64,数出表_Excel!$A:$A,0)-1),2)
=LEFT(INDIRECT("数出表_Excel!A"&amp;MATCH(C64,数出表_Excel!$A:$A,0)+1),2)),"博多",
IF(AND(LEFT(C64,3)="奈良屋",
LEFT(INDIRECT("数出表_Excel!A"&amp;MATCH(C64,数出表_Excel!$A:$A,0)-1),2)
=LEFT(INDIRECT("数出表_Excel!A"&amp;MATCH(C64,数出表_Excel!$A:$A,0)+1),2)),"奈良屋",""))</f>
        <v>#N/A</v>
      </c>
      <c r="C64" s="52" t="str" cm="1">
        <f t="array" aca="1" ref="C64" ca="1">IF(IF(クライアント抽出!A64="",0,LEN(クライアント抽出!V64)-LEN(SUBSTITUTE(クライアント抽出!V64,",","")))&gt;=1,INDIRECT("数出表_Excel!A"&amp;A64&amp;""),"")</f>
        <v/>
      </c>
      <c r="D64" s="52" t="str" cm="1">
        <f t="array" aca="1" ref="D64" ca="1">IF(C64&lt;&gt;"",INDIRECT("クライアント抽出!"&amp;E64&amp;MATCH(C64,クライアント抽出!A:A,0)&amp;""),"")</f>
        <v/>
      </c>
      <c r="E64" s="52" t="str">
        <f ca="1"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t="array" aca="1" ref="F64" ca="1">IF(D64&lt;&gt;"",
IF(COUNTIF(C64,"*雙葉*"),
IF(ROUND(
IF(O64&lt;&gt;"",(H64-O64),H64)
/IF(COUNTIF('盛付札（関数）'!D64,"*キャラ*"),
VLOOKUP("*キャラ*",#REF!,7,FALSE),
IF(COUNTIF('盛付札（関数）'!D64,"*赤*"),
VLOOKUP("*赤*",#REF!,7,FALSE),
VLOOKUP('盛付札（関数）'!D64,#REF!,7,FALSE))),0)&lt;=0,1,
ROUND(
IF(O64&lt;&gt;"",(H64-O64),H64)
/IF(COUNTIF('盛付札（関数）'!D64,"*キャラ*"),
VLOOKUP("*キャラ*",#REF!,7,FALSE),
IF(COUNTIF('盛付札（関数）'!D64,"*赤*"),
VLOOKUP("*赤*",#REF!,7,FALSE),
VLOOKUP('盛付札（関数）'!D64,#REF!,7,FALSE))),0)),
IF(MATCH(TRUE,
ISNUMBER(--INDIRECT("数出表_Excel!B"&amp;MATCH(C64,数出表_Excel!$A:$A,0)-1&amp;":U"&amp;MATCH(C64,数出表_Excel!$A:$A,0)-1&amp;"")),0)&gt;10,
IF(D64&lt;&gt;"",
IF(IF(COUNTIF('盛付札（関数）'!D64,"*キャラ*"),
VLOOKUP("*キャラ*",#REF!,7,FALSE),
IF(COUNTIF('盛付札（関数）'!D64,"*赤*"),
VLOOKUP("*赤*",#REF!,7,FALSE),
VLOOKUP('盛付札（関数）'!D64,#REF!,7,FALSE)))=0,"",
IF(ROUND(
IF(O64&lt;&gt;"",(H64-O64),H64)
/IF(COUNTIF('盛付札（関数）'!D64,"*キャラ*"),
VLOOKUP("*キャラ*",#REF!,7,FALSE),
IF(COUNTIF('盛付札（関数）'!D64,"*赤*"),
VLOOKUP("*赤*",#REF!,7,FALSE),
VLOOKUP('盛付札（関数）'!D64,#REF!,7,FALSE))),0)&lt;=0,1,
ROUND(
IF(O64&lt;&gt;"",(H64-O64),H64)
/IF(COUNTIF('盛付札（関数）'!D64,"*キャラ*"),
VLOOKUP("*キャラ*",#REF!,7,FALSE),
IF(COUNTIF('盛付札（関数）'!D64,"*赤*"),
VLOOKUP("*赤*",#REF!,7,FALSE),
VLOOKUP('盛付札（関数）'!D64,#REF!,7,FALSE))),0))),""),"")),"")</f>
        <v/>
      </c>
      <c r="G64" s="53" t="str">
        <f ca="1">IF(F64&lt;&gt;"",IF(VALUE(IF(O64&lt;&gt;"",H64-O64,H64))&gt;VALUE(IF(COUNTIF('盛付札（関数）'!D64,"*キャラ*"),
VLOOKUP("*キャラ*",#REF!,7,FALSE),
IF(COUNTIF('盛付札（関数）'!D64,"*赤*"),
VLOOKUP("*赤*",#REF!,7,FALSE),
VLOOKUP('盛付札（関数）'!D64,#REF!,7,FALSE)))*F64),
"+"&amp;IF(O64&lt;&gt;"",H64-O64,H64)-IF(COUNTIF('盛付札（関数）'!D64,"*キャラ*"),
VLOOKUP("*キャラ*",#REF!,7,FALSE),
IF(COUNTIF('盛付札（関数）'!D64,"*赤*"),
VLOOKUP("*赤*",#REF!,7,FALSE),
VLOOKUP('盛付札（関数）'!D64,#REF!,7,FALSE)))*F64,
IF(O64&lt;&gt;"",H64-O64,H64)-IF(COUNTIF('盛付札（関数）'!D64,"*キャラ*"),
VLOOKUP("*キャラ*",#REF!,7,FALSE),
IF(COUNTIF('盛付札（関数）'!D64,"*赤*"),
VLOOKUP("*赤*",#REF!,7,FALSE),
VLOOKUP('盛付札（関数）'!D64,#REF!,7,FALSE)))*F64),"")</f>
        <v/>
      </c>
      <c r="H64" s="195" t="str" cm="1">
        <f t="array" aca="1" ref="H64" ca="1">IF(C64&lt;&gt;"",
IF(INDIRECT("数出表_Excel!"&amp;LEFT(クライアント抽出!V64)&amp;A64-1&amp;"")&lt;&gt;"",INDIRECT("数出表_Excel!"&amp;LEFT(クライアント抽出!V64)&amp;A64-1&amp;""),0),"")</f>
        <v/>
      </c>
      <c r="I64" s="52" t="str" cm="1">
        <f t="array" aca="1" ref="I64" ca="1">IF(C64&lt;&gt;"",
IF(INDIRECT("数出表_Excel!"&amp;LEFT(クライアント抽出!V64)&amp;A64&amp;"")&lt;&gt;"",INDIRECT("数出表_Excel!"&amp;LEFT(クライアント抽出!V64)&amp;A64&amp;""),0),"")</f>
        <v/>
      </c>
      <c r="J64" s="52" t="str">
        <f ca="1">IF(C64&lt;&gt;"",
VLOOKUP(
IF(COUNTIF(D64,"*学食*"),"キャラ弁（学食）",
IF(COUNTIF(D64,"*赤*"),"赤",
IF(COUNTIF(D64,"*キャラ弁当*"),"キャラ弁当",D64))),注文弁当の抽出!$E$1:$F$15,2,FALSE),"")</f>
        <v/>
      </c>
      <c r="K64" s="52" t="str">
        <f t="shared" ca="1" si="15"/>
        <v/>
      </c>
      <c r="L64" s="52" t="str">
        <f t="shared" ca="1" si="16"/>
        <v/>
      </c>
      <c r="M64" s="52" cm="1">
        <f t="array" aca="1" ref="M64" ca="1">IF(C64&lt;&gt;"",
IF(IFERROR(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0)&lt;&gt;0,
IF(IFERROR(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"")="",
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""),
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0)),0),0)</f>
        <v>0</v>
      </c>
      <c r="N64" s="52" t="e">
        <f t="array" aca="1" ref="N64" ca="1">IF(B64="博多",
IF(C64&lt;&gt;"",
IF(IFERROR(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0)&lt;&gt;0,
IF(IFERROR(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0)="",
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0),
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0)),0),""),0)</f>
        <v>#N/A</v>
      </c>
      <c r="O64" s="52" t="e">
        <f t="shared" ca="1" si="17"/>
        <v>#N/A</v>
      </c>
      <c r="P64" s="52">
        <f t="shared" ca="1" si="4"/>
        <v>0</v>
      </c>
      <c r="Q64" s="52" t="b">
        <f t="shared" ca="1" si="18"/>
        <v>0</v>
      </c>
      <c r="R64" s="51" t="str" cm="1">
        <f t="array" aca="1" ref="R64" ca="1">IFERROR(SMALL(IF(P$1:P$300&lt;&gt;0,P$1:P$300),ROW(A64)),"")</f>
        <v/>
      </c>
      <c r="S64" s="51" t="str">
        <f t="array" aca="1" ref="S64" ca="1">IF($R64&lt;&gt;"",
INDIRECT(""&amp;IF(COLUMN(C84)&lt;=26,CHAR(COLUMN(C84)+64),CHAR(INT((COLUMN(C84)-1)/26)+64)&amp;CHAR(MOD(COLUMN(C84)-1,26)+65))&amp;$R64&amp;""),"")</f>
        <v/>
      </c>
      <c r="T64" s="51" t="str" cm="1">
        <f t="array" aca="1" ref="T64" ca="1">IF(IF($R64&lt;&gt;"",
INDIRECT(""&amp;IF(COLUMN(D84)&lt;=26,CHAR(COLUMN(D84)+64),CHAR(INT((COLUMN(D84)-1)/26)+64)&amp;CHAR(MOD(COLUMN(D84)-1,26)+65))&amp;$R64&amp;""),"")=0,"",
IF($R64&lt;&gt;"",
INDIRECT(""&amp;IF(COLUMN(D84)&lt;=26,CHAR(COLUMN(D84)+64),CHAR(INT((COLUMN(D84)-1)/26)+64)&amp;CHAR(MOD(COLUMN(D84)-1,26)+65))&amp;$R64&amp;""),""))</f>
        <v/>
      </c>
      <c r="V64" s="51" t="str">
        <f t="array" aca="1" ref="V64" ca="1">IF($R64&lt;&gt;"",
IF(U64="",
IF(INDIRECT("EY"&amp;$R64&amp;"")&lt;&gt;"",
INDIRECT("EY"&amp;$R64&amp;"")&amp;"箱"
&amp;INDIRECT("EZ"&amp;$R64&amp;""),""),""),"")</f>
        <v/>
      </c>
      <c r="W64" s="51" t="str">
        <f t="array" aca="1" ref="W64" ca="1">IF($R64&lt;&gt;"",
INDIRECT(""&amp;IF(COLUMN(H84)&lt;=26,CHAR(COLUMN(H84)+64),CHAR(INT((COLUMN(H84)-1)/26)+64)&amp;CHAR(MOD(COLUMN(H84)-1,26)+65))&amp;$R64&amp;""),"")</f>
        <v/>
      </c>
      <c r="X64" s="51" t="str">
        <f t="array" aca="1" ref="X64" ca="1">IF($R64&lt;&gt;"",
INDIRECT(""&amp;IF(COLUMN(I84)&lt;=26,CHAR(COLUMN(I84)+64),CHAR(INT((COLUMN(I84)-1)/26)+64)&amp;CHAR(MOD(COLUMN(I84)-1,26)+65))&amp;$R64&amp;""),"")</f>
        <v/>
      </c>
      <c r="Y64" s="51" t="str">
        <f t="array" aca="1" ref="Y64" ca="1">IF($R64&lt;&gt;"",
INDIRECT(""&amp;IF(COLUMN(J84)&lt;=26,CHAR(COLUMN(J84)+64),CHAR(INT((COLUMN(J84)-1)/26)+64)&amp;CHAR(MOD(COLUMN(J84)-1,26)+65))&amp;$R64&amp;""),"")</f>
        <v/>
      </c>
      <c r="Z64" s="51" t="str">
        <f t="array" aca="1" ref="Z64" ca="1">IF($R64&lt;&gt;"",
INDIRECT(""&amp;IF(COLUMN(K84)&lt;=26,CHAR(COLUMN(K84)+64),CHAR(INT((COLUMN(K84)-1)/26)+64)&amp;CHAR(MOD(COLUMN(K84)-1,26)+65))&amp;$R64&amp;""),"")</f>
        <v/>
      </c>
      <c r="AA64" s="51" t="str">
        <f t="array" aca="1" ref="AA64" ca="1">IF($R64&lt;&gt;"",
INDIRECT(""&amp;IF(COLUMN(L84)&lt;=26,CHAR(COLUMN(L84)+64),CHAR(INT((COLUMN(L84)-1)/26)+64)&amp;CHAR(MOD(COLUMN(L84)-1,26)+65))&amp;$R64&amp;""),"")</f>
        <v/>
      </c>
      <c r="AB64" s="51" t="str">
        <f t="array" aca="1" ref="AB64" ca="1">IF($R64&lt;&gt;"",
INDIRECT(""&amp;IF(COLUMN(O84)&lt;=26,CHAR(COLUMN(O84)+64),CHAR(INT((COLUMN(O84)-1)/26)+64)&amp;CHAR(MOD(COLUMN(O84)-1,26)+65))&amp;$R64&amp;""),"")</f>
        <v/>
      </c>
    </row>
    <row r="65" spans="1:28" s="51" customFormat="1" ht="18" customHeight="1">
      <c r="A65" s="197">
        <f t="shared" si="14"/>
        <v>135</v>
      </c>
      <c r="B65" s="52" t="e">
        <f t="array" aca="1" ref="B65" ca="1">IF(AND(LEFT(C65,2)="博多",
LEFT(INDIRECT("数出表_Excel!A"&amp;MATCH(C65,数出表_Excel!$A:$A,0)-1),2)
=LEFT(INDIRECT("数出表_Excel!A"&amp;MATCH(C65,数出表_Excel!$A:$A,0)+1),2)),"博多",
IF(AND(LEFT(C65,3)="奈良屋",
LEFT(INDIRECT("数出表_Excel!A"&amp;MATCH(C65,数出表_Excel!$A:$A,0)-1),2)
=LEFT(INDIRECT("数出表_Excel!A"&amp;MATCH(C65,数出表_Excel!$A:$A,0)+1),2)),"奈良屋",""))</f>
        <v>#N/A</v>
      </c>
      <c r="C65" s="52" t="str" cm="1">
        <f t="array" aca="1" ref="C65" ca="1">IF(IF(クライアント抽出!A65="",0,LEN(クライアント抽出!V65)-LEN(SUBSTITUTE(クライアント抽出!V65,",","")))&gt;=1,INDIRECT("数出表_Excel!A"&amp;A65&amp;""),"")</f>
        <v/>
      </c>
      <c r="D65" s="52" t="str" cm="1">
        <f t="array" aca="1" ref="D65" ca="1">IF(C65&lt;&gt;"",INDIRECT("クライアント抽出!"&amp;E65&amp;MATCH(C65,クライアント抽出!A:A,0)&amp;""),"")</f>
        <v/>
      </c>
      <c r="E65" s="52" t="str">
        <f ca="1"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t="array" aca="1" ref="F65" ca="1">IF(D65&lt;&gt;"",
IF(COUNTIF(C65,"*雙葉*"),
IF(ROUND(
IF(O65&lt;&gt;"",(H65-O65),H65)
/IF(COUNTIF('盛付札（関数）'!D65,"*キャラ*"),
VLOOKUP("*キャラ*",#REF!,7,FALSE),
IF(COUNTIF('盛付札（関数）'!D65,"*赤*"),
VLOOKUP("*赤*",#REF!,7,FALSE),
VLOOKUP('盛付札（関数）'!D65,#REF!,7,FALSE))),0)&lt;=0,1,
ROUND(
IF(O65&lt;&gt;"",(H65-O65),H65)
/IF(COUNTIF('盛付札（関数）'!D65,"*キャラ*"),
VLOOKUP("*キャラ*",#REF!,7,FALSE),
IF(COUNTIF('盛付札（関数）'!D65,"*赤*"),
VLOOKUP("*赤*",#REF!,7,FALSE),
VLOOKUP('盛付札（関数）'!D65,#REF!,7,FALSE))),0)),
IF(MATCH(TRUE,
ISNUMBER(--INDIRECT("数出表_Excel!B"&amp;MATCH(C65,数出表_Excel!$A:$A,0)-1&amp;":U"&amp;MATCH(C65,数出表_Excel!$A:$A,0)-1&amp;"")),0)&gt;10,
IF(D65&lt;&gt;"",
IF(IF(COUNTIF('盛付札（関数）'!D65,"*キャラ*"),
VLOOKUP("*キャラ*",#REF!,7,FALSE),
IF(COUNTIF('盛付札（関数）'!D65,"*赤*"),
VLOOKUP("*赤*",#REF!,7,FALSE),
VLOOKUP('盛付札（関数）'!D65,#REF!,7,FALSE)))=0,"",
IF(ROUND(
IF(O65&lt;&gt;"",(H65-O65),H65)
/IF(COUNTIF('盛付札（関数）'!D65,"*キャラ*"),
VLOOKUP("*キャラ*",#REF!,7,FALSE),
IF(COUNTIF('盛付札（関数）'!D65,"*赤*"),
VLOOKUP("*赤*",#REF!,7,FALSE),
VLOOKUP('盛付札（関数）'!D65,#REF!,7,FALSE))),0)&lt;=0,1,
ROUND(
IF(O65&lt;&gt;"",(H65-O65),H65)
/IF(COUNTIF('盛付札（関数）'!D65,"*キャラ*"),
VLOOKUP("*キャラ*",#REF!,7,FALSE),
IF(COUNTIF('盛付札（関数）'!D65,"*赤*"),
VLOOKUP("*赤*",#REF!,7,FALSE),
VLOOKUP('盛付札（関数）'!D65,#REF!,7,FALSE))),0))),""),"")),"")</f>
        <v/>
      </c>
      <c r="G65" s="53" t="str">
        <f ca="1">IF(F65&lt;&gt;"",IF(VALUE(IF(O65&lt;&gt;"",H65-O65,H65))&gt;VALUE(IF(COUNTIF('盛付札（関数）'!D65,"*キャラ*"),
VLOOKUP("*キャラ*",#REF!,7,FALSE),
IF(COUNTIF('盛付札（関数）'!D65,"*赤*"),
VLOOKUP("*赤*",#REF!,7,FALSE),
VLOOKUP('盛付札（関数）'!D65,#REF!,7,FALSE)))*F65),
"+"&amp;IF(O65&lt;&gt;"",H65-O65,H65)-IF(COUNTIF('盛付札（関数）'!D65,"*キャラ*"),
VLOOKUP("*キャラ*",#REF!,7,FALSE),
IF(COUNTIF('盛付札（関数）'!D65,"*赤*"),
VLOOKUP("*赤*",#REF!,7,FALSE),
VLOOKUP('盛付札（関数）'!D65,#REF!,7,FALSE)))*F65,
IF(O65&lt;&gt;"",H65-O65,H65)-IF(COUNTIF('盛付札（関数）'!D65,"*キャラ*"),
VLOOKUP("*キャラ*",#REF!,7,FALSE),
IF(COUNTIF('盛付札（関数）'!D65,"*赤*"),
VLOOKUP("*赤*",#REF!,7,FALSE),
VLOOKUP('盛付札（関数）'!D65,#REF!,7,FALSE)))*F65),"")</f>
        <v/>
      </c>
      <c r="H65" s="195" t="str" cm="1">
        <f t="array" aca="1" ref="H65" ca="1">IF(C65&lt;&gt;"",
IF(INDIRECT("数出表_Excel!"&amp;LEFT(クライアント抽出!V65)&amp;A65-1&amp;"")&lt;&gt;"",INDIRECT("数出表_Excel!"&amp;LEFT(クライアント抽出!V65)&amp;A65-1&amp;""),0),"")</f>
        <v/>
      </c>
      <c r="I65" s="52" t="str" cm="1">
        <f t="array" aca="1" ref="I65" ca="1">IF(C65&lt;&gt;"",
IF(INDIRECT("数出表_Excel!"&amp;LEFT(クライアント抽出!V65)&amp;A65&amp;"")&lt;&gt;"",INDIRECT("数出表_Excel!"&amp;LEFT(クライアント抽出!V65)&amp;A65&amp;""),0),"")</f>
        <v/>
      </c>
      <c r="J65" s="52" t="str">
        <f ca="1">IF(C65&lt;&gt;"",
VLOOKUP(
IF(COUNTIF(D65,"*学食*"),"キャラ弁（学食）",
IF(COUNTIF(D65,"*赤*"),"赤",
IF(COUNTIF(D65,"*キャラ弁当*"),"キャラ弁当",D65))),注文弁当の抽出!$E$1:$F$15,2,FALSE),"")</f>
        <v/>
      </c>
      <c r="K65" s="52" t="str">
        <f t="shared" ca="1" si="15"/>
        <v/>
      </c>
      <c r="L65" s="52" t="str">
        <f t="shared" ca="1" si="16"/>
        <v/>
      </c>
      <c r="M65" s="52" cm="1">
        <f t="array" aca="1" ref="M65" ca="1">IF(C65&lt;&gt;"",
IF(IFERROR(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0)&lt;&gt;0,
IF(IFERROR(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"")="",
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""),
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0)),0),0)</f>
        <v>0</v>
      </c>
      <c r="N65" s="52" t="e">
        <f t="array" aca="1" ref="N65" ca="1">IF(B65="博多",
IF(C65&lt;&gt;"",
IF(IFERROR(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0)&lt;&gt;0,
IF(IFERROR(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0)="",
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0),
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0)),0),""),0)</f>
        <v>#N/A</v>
      </c>
      <c r="O65" s="52" t="e">
        <f t="shared" ca="1" si="17"/>
        <v>#N/A</v>
      </c>
      <c r="P65" s="52">
        <f t="shared" ca="1" si="4"/>
        <v>0</v>
      </c>
      <c r="Q65" s="52" t="b">
        <f t="shared" ca="1" si="18"/>
        <v>0</v>
      </c>
      <c r="R65" s="51" t="str" cm="1">
        <f t="array" aca="1" ref="R65" ca="1">IFERROR(SMALL(IF(P$1:P$300&lt;&gt;0,P$1:P$300),ROW(A65)),"")</f>
        <v/>
      </c>
      <c r="S65" s="51" t="str">
        <f t="array" aca="1" ref="S65" ca="1">IF($R65&lt;&gt;"",
INDIRECT(""&amp;IF(COLUMN(C85)&lt;=26,CHAR(COLUMN(C85)+64),CHAR(INT((COLUMN(C85)-1)/26)+64)&amp;CHAR(MOD(COLUMN(C85)-1,26)+65))&amp;$R65&amp;""),"")</f>
        <v/>
      </c>
      <c r="T65" s="51" t="str" cm="1">
        <f t="array" aca="1" ref="T65" ca="1">IF(IF($R65&lt;&gt;"",
INDIRECT(""&amp;IF(COLUMN(D85)&lt;=26,CHAR(COLUMN(D85)+64),CHAR(INT((COLUMN(D85)-1)/26)+64)&amp;CHAR(MOD(COLUMN(D85)-1,26)+65))&amp;$R65&amp;""),"")=0,"",
IF($R65&lt;&gt;"",
INDIRECT(""&amp;IF(COLUMN(D85)&lt;=26,CHAR(COLUMN(D85)+64),CHAR(INT((COLUMN(D85)-1)/26)+64)&amp;CHAR(MOD(COLUMN(D85)-1,26)+65))&amp;$R65&amp;""),""))</f>
        <v/>
      </c>
      <c r="V65" s="51" t="str">
        <f t="array" aca="1" ref="V65" ca="1">IF($R65&lt;&gt;"",
IF(U65="",
IF(INDIRECT("EY"&amp;$R65&amp;"")&lt;&gt;"",
INDIRECT("EY"&amp;$R65&amp;"")&amp;"箱"
&amp;INDIRECT("EZ"&amp;$R65&amp;""),""),""),"")</f>
        <v/>
      </c>
      <c r="W65" s="51" t="str">
        <f t="array" aca="1" ref="W65" ca="1">IF($R65&lt;&gt;"",
INDIRECT(""&amp;IF(COLUMN(H85)&lt;=26,CHAR(COLUMN(H85)+64),CHAR(INT((COLUMN(H85)-1)/26)+64)&amp;CHAR(MOD(COLUMN(H85)-1,26)+65))&amp;$R65&amp;""),"")</f>
        <v/>
      </c>
      <c r="X65" s="51" t="str">
        <f t="array" aca="1" ref="X65" ca="1">IF($R65&lt;&gt;"",
INDIRECT(""&amp;IF(COLUMN(I85)&lt;=26,CHAR(COLUMN(I85)+64),CHAR(INT((COLUMN(I85)-1)/26)+64)&amp;CHAR(MOD(COLUMN(I85)-1,26)+65))&amp;$R65&amp;""),"")</f>
        <v/>
      </c>
      <c r="Y65" s="51" t="str">
        <f t="array" aca="1" ref="Y65" ca="1">IF($R65&lt;&gt;"",
INDIRECT(""&amp;IF(COLUMN(J85)&lt;=26,CHAR(COLUMN(J85)+64),CHAR(INT((COLUMN(J85)-1)/26)+64)&amp;CHAR(MOD(COLUMN(J85)-1,26)+65))&amp;$R65&amp;""),"")</f>
        <v/>
      </c>
      <c r="Z65" s="51" t="str">
        <f t="array" aca="1" ref="Z65" ca="1">IF($R65&lt;&gt;"",
INDIRECT(""&amp;IF(COLUMN(K85)&lt;=26,CHAR(COLUMN(K85)+64),CHAR(INT((COLUMN(K85)-1)/26)+64)&amp;CHAR(MOD(COLUMN(K85)-1,26)+65))&amp;$R65&amp;""),"")</f>
        <v/>
      </c>
      <c r="AA65" s="51" t="str">
        <f t="array" aca="1" ref="AA65" ca="1">IF($R65&lt;&gt;"",
INDIRECT(""&amp;IF(COLUMN(L85)&lt;=26,CHAR(COLUMN(L85)+64),CHAR(INT((COLUMN(L85)-1)/26)+64)&amp;CHAR(MOD(COLUMN(L85)-1,26)+65))&amp;$R65&amp;""),"")</f>
        <v/>
      </c>
      <c r="AB65" s="51" t="str">
        <f t="array" aca="1" ref="AB65" ca="1">IF($R65&lt;&gt;"",
INDIRECT(""&amp;IF(COLUMN(O85)&lt;=26,CHAR(COLUMN(O85)+64),CHAR(INT((COLUMN(O85)-1)/26)+64)&amp;CHAR(MOD(COLUMN(O85)-1,26)+65))&amp;$R65&amp;""),"")</f>
        <v/>
      </c>
    </row>
    <row r="66" spans="1:28" s="51" customFormat="1" ht="22.2" customHeight="1">
      <c r="A66" s="197">
        <f t="shared" si="14"/>
        <v>137</v>
      </c>
      <c r="B66" s="52" t="e">
        <f t="array" aca="1" ref="B66" ca="1">IF(AND(LEFT(C66,2)="博多",
LEFT(INDIRECT("数出表_Excel!A"&amp;MATCH(C66,数出表_Excel!$A:$A,0)-1),2)
=LEFT(INDIRECT("数出表_Excel!A"&amp;MATCH(C66,数出表_Excel!$A:$A,0)+1),2)),"博多",
IF(AND(LEFT(C66,3)="奈良屋",
LEFT(INDIRECT("数出表_Excel!A"&amp;MATCH(C66,数出表_Excel!$A:$A,0)-1),2)
=LEFT(INDIRECT("数出表_Excel!A"&amp;MATCH(C66,数出表_Excel!$A:$A,0)+1),2)),"奈良屋",""))</f>
        <v>#N/A</v>
      </c>
      <c r="C66" s="52" t="str" cm="1">
        <f t="array" aca="1" ref="C66" ca="1">IF(IF(クライアント抽出!A66="",0,LEN(クライアント抽出!V66)-LEN(SUBSTITUTE(クライアント抽出!V66,",","")))&gt;=1,INDIRECT("数出表_Excel!A"&amp;A66&amp;""),"")</f>
        <v/>
      </c>
      <c r="D66" s="52" t="str" cm="1">
        <f t="array" aca="1" ref="D66" ca="1">IF(C66&lt;&gt;"",INDIRECT("クライアント抽出!"&amp;E66&amp;MATCH(C66,クライアント抽出!A:A,0)&amp;""),"")</f>
        <v/>
      </c>
      <c r="E66" s="52" t="str">
        <f ca="1"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t="array" aca="1" ref="F66" ca="1">IF(D66&lt;&gt;"",
IF(COUNTIF(C66,"*雙葉*"),
IF(ROUND(
IF(O66&lt;&gt;"",(H66-O66),H66)
/IF(COUNTIF('盛付札（関数）'!D66,"*キャラ*"),
VLOOKUP("*キャラ*",#REF!,7,FALSE),
IF(COUNTIF('盛付札（関数）'!D66,"*赤*"),
VLOOKUP("*赤*",#REF!,7,FALSE),
VLOOKUP('盛付札（関数）'!D66,#REF!,7,FALSE))),0)&lt;=0,1,
ROUND(
IF(O66&lt;&gt;"",(H66-O66),H66)
/IF(COUNTIF('盛付札（関数）'!D66,"*キャラ*"),
VLOOKUP("*キャラ*",#REF!,7,FALSE),
IF(COUNTIF('盛付札（関数）'!D66,"*赤*"),
VLOOKUP("*赤*",#REF!,7,FALSE),
VLOOKUP('盛付札（関数）'!D66,#REF!,7,FALSE))),0)),
IF(MATCH(TRUE,
ISNUMBER(--INDIRECT("数出表_Excel!B"&amp;MATCH(C66,数出表_Excel!$A:$A,0)-1&amp;":U"&amp;MATCH(C66,数出表_Excel!$A:$A,0)-1&amp;"")),0)&gt;10,
IF(D66&lt;&gt;"",
IF(IF(COUNTIF('盛付札（関数）'!D66,"*キャラ*"),
VLOOKUP("*キャラ*",#REF!,7,FALSE),
IF(COUNTIF('盛付札（関数）'!D66,"*赤*"),
VLOOKUP("*赤*",#REF!,7,FALSE),
VLOOKUP('盛付札（関数）'!D66,#REF!,7,FALSE)))=0,"",
IF(ROUND(
IF(O66&lt;&gt;"",(H66-O66),H66)
/IF(COUNTIF('盛付札（関数）'!D66,"*キャラ*"),
VLOOKUP("*キャラ*",#REF!,7,FALSE),
IF(COUNTIF('盛付札（関数）'!D66,"*赤*"),
VLOOKUP("*赤*",#REF!,7,FALSE),
VLOOKUP('盛付札（関数）'!D66,#REF!,7,FALSE))),0)&lt;=0,1,
ROUND(
IF(O66&lt;&gt;"",(H66-O66),H66)
/IF(COUNTIF('盛付札（関数）'!D66,"*キャラ*"),
VLOOKUP("*キャラ*",#REF!,7,FALSE),
IF(COUNTIF('盛付札（関数）'!D66,"*赤*"),
VLOOKUP("*赤*",#REF!,7,FALSE),
VLOOKUP('盛付札（関数）'!D66,#REF!,7,FALSE))),0))),""),"")),"")</f>
        <v/>
      </c>
      <c r="G66" s="53" t="str">
        <f ca="1">IF(F66&lt;&gt;"",IF(VALUE(IF(O66&lt;&gt;"",H66-O66,H66))&gt;VALUE(IF(COUNTIF('盛付札（関数）'!D66,"*キャラ*"),
VLOOKUP("*キャラ*",#REF!,7,FALSE),
IF(COUNTIF('盛付札（関数）'!D66,"*赤*"),
VLOOKUP("*赤*",#REF!,7,FALSE),
VLOOKUP('盛付札（関数）'!D66,#REF!,7,FALSE)))*F66),
"+"&amp;IF(O66&lt;&gt;"",H66-O66,H66)-IF(COUNTIF('盛付札（関数）'!D66,"*キャラ*"),
VLOOKUP("*キャラ*",#REF!,7,FALSE),
IF(COUNTIF('盛付札（関数）'!D66,"*赤*"),
VLOOKUP("*赤*",#REF!,7,FALSE),
VLOOKUP('盛付札（関数）'!D66,#REF!,7,FALSE)))*F66,
IF(O66&lt;&gt;"",H66-O66,H66)-IF(COUNTIF('盛付札（関数）'!D66,"*キャラ*"),
VLOOKUP("*キャラ*",#REF!,7,FALSE),
IF(COUNTIF('盛付札（関数）'!D66,"*赤*"),
VLOOKUP("*赤*",#REF!,7,FALSE),
VLOOKUP('盛付札（関数）'!D66,#REF!,7,FALSE)))*F66),"")</f>
        <v/>
      </c>
      <c r="H66" s="195" t="str" cm="1">
        <f t="array" aca="1" ref="H66" ca="1">IF(C66&lt;&gt;"",
IF(INDIRECT("数出表_Excel!"&amp;LEFT(クライアント抽出!V66)&amp;A66-1&amp;"")&lt;&gt;"",INDIRECT("数出表_Excel!"&amp;LEFT(クライアント抽出!V66)&amp;A66-1&amp;""),0),"")</f>
        <v/>
      </c>
      <c r="I66" s="52" t="str" cm="1">
        <f t="array" aca="1" ref="I66" ca="1">IF(C66&lt;&gt;"",
IF(INDIRECT("数出表_Excel!"&amp;LEFT(クライアント抽出!V66)&amp;A66&amp;"")&lt;&gt;"",INDIRECT("数出表_Excel!"&amp;LEFT(クライアント抽出!V66)&amp;A66&amp;""),0),"")</f>
        <v/>
      </c>
      <c r="J66" s="52" t="str">
        <f ca="1">IF(C66&lt;&gt;"",
VLOOKUP(
IF(COUNTIF(D66,"*学食*"),"キャラ弁（学食）",
IF(COUNTIF(D66,"*赤*"),"赤",
IF(COUNTIF(D66,"*キャラ弁当*"),"キャラ弁当",D66))),注文弁当の抽出!$E$1:$F$15,2,FALSE),"")</f>
        <v/>
      </c>
      <c r="K66" s="52" t="str">
        <f t="shared" ca="1" si="15"/>
        <v/>
      </c>
      <c r="L66" s="52" t="str">
        <f t="shared" ca="1" si="16"/>
        <v/>
      </c>
      <c r="M66" s="52" cm="1">
        <f t="array" aca="1" ref="M66" ca="1">IF(C66&lt;&gt;"",
IF(IFERROR(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0)&lt;&gt;0,
IF(IFERROR(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"")="",
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""),
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0)),0),0)</f>
        <v>0</v>
      </c>
      <c r="N66" s="52" t="e">
        <f t="array" aca="1" ref="N66" ca="1">IF(B66="博多",
IF(C66&lt;&gt;"",
IF(IFERROR(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0)&lt;&gt;0,
IF(IFERROR(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0)="",
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0),
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0)),0),""),0)</f>
        <v>#N/A</v>
      </c>
      <c r="O66" s="52" t="e">
        <f t="shared" ca="1" si="17"/>
        <v>#N/A</v>
      </c>
      <c r="P66" s="52">
        <f t="shared" ca="1" si="4"/>
        <v>0</v>
      </c>
      <c r="Q66" s="52" t="b">
        <f t="shared" ca="1" si="18"/>
        <v>0</v>
      </c>
      <c r="R66" s="51" t="str" cm="1">
        <f t="array" aca="1" ref="R66" ca="1">IFERROR(SMALL(IF(P$1:P$300&lt;&gt;0,P$1:P$300),ROW(A66)),"")</f>
        <v/>
      </c>
      <c r="S66" s="51" t="str">
        <f t="array" aca="1" ref="S66" ca="1">IF($R66&lt;&gt;"",
INDIRECT(""&amp;IF(COLUMN(C86)&lt;=26,CHAR(COLUMN(C86)+64),CHAR(INT((COLUMN(C86)-1)/26)+64)&amp;CHAR(MOD(COLUMN(C86)-1,26)+65))&amp;$R66&amp;""),"")</f>
        <v/>
      </c>
      <c r="T66" s="51" t="str" cm="1">
        <f t="array" aca="1" ref="T66" ca="1">IF(IF($R66&lt;&gt;"",
INDIRECT(""&amp;IF(COLUMN(D86)&lt;=26,CHAR(COLUMN(D86)+64),CHAR(INT((COLUMN(D86)-1)/26)+64)&amp;CHAR(MOD(COLUMN(D86)-1,26)+65))&amp;$R66&amp;""),"")=0,"",
IF($R66&lt;&gt;"",
INDIRECT(""&amp;IF(COLUMN(D86)&lt;=26,CHAR(COLUMN(D86)+64),CHAR(INT((COLUMN(D86)-1)/26)+64)&amp;CHAR(MOD(COLUMN(D86)-1,26)+65))&amp;$R66&amp;""),""))</f>
        <v/>
      </c>
      <c r="V66" s="51" t="str">
        <f t="array" aca="1" ref="V66" ca="1">IF($R66&lt;&gt;"",
IF(U66="",
IF(INDIRECT("EY"&amp;$R66&amp;"")&lt;&gt;"",
INDIRECT("EY"&amp;$R66&amp;"")&amp;"箱"
&amp;INDIRECT("EZ"&amp;$R66&amp;""),""),""),"")</f>
        <v/>
      </c>
      <c r="W66" s="51" t="str">
        <f t="array" aca="1" ref="W66" ca="1">IF($R66&lt;&gt;"",
INDIRECT(""&amp;IF(COLUMN(H86)&lt;=26,CHAR(COLUMN(H86)+64),CHAR(INT((COLUMN(H86)-1)/26)+64)&amp;CHAR(MOD(COLUMN(H86)-1,26)+65))&amp;$R66&amp;""),"")</f>
        <v/>
      </c>
      <c r="X66" s="51" t="str">
        <f t="array" aca="1" ref="X66" ca="1">IF($R66&lt;&gt;"",
INDIRECT(""&amp;IF(COLUMN(I86)&lt;=26,CHAR(COLUMN(I86)+64),CHAR(INT((COLUMN(I86)-1)/26)+64)&amp;CHAR(MOD(COLUMN(I86)-1,26)+65))&amp;$R66&amp;""),"")</f>
        <v/>
      </c>
      <c r="Y66" s="51" t="str">
        <f t="array" aca="1" ref="Y66" ca="1">IF($R66&lt;&gt;"",
INDIRECT(""&amp;IF(COLUMN(J86)&lt;=26,CHAR(COLUMN(J86)+64),CHAR(INT((COLUMN(J86)-1)/26)+64)&amp;CHAR(MOD(COLUMN(J86)-1,26)+65))&amp;$R66&amp;""),"")</f>
        <v/>
      </c>
      <c r="Z66" s="51" t="str">
        <f t="array" aca="1" ref="Z66" ca="1">IF($R66&lt;&gt;"",
INDIRECT(""&amp;IF(COLUMN(K86)&lt;=26,CHAR(COLUMN(K86)+64),CHAR(INT((COLUMN(K86)-1)/26)+64)&amp;CHAR(MOD(COLUMN(K86)-1,26)+65))&amp;$R66&amp;""),"")</f>
        <v/>
      </c>
      <c r="AA66" s="51" t="str">
        <f t="array" aca="1" ref="AA66" ca="1">IF($R66&lt;&gt;"",
INDIRECT(""&amp;IF(COLUMN(L86)&lt;=26,CHAR(COLUMN(L86)+64),CHAR(INT((COLUMN(L86)-1)/26)+64)&amp;CHAR(MOD(COLUMN(L86)-1,26)+65))&amp;$R66&amp;""),"")</f>
        <v/>
      </c>
      <c r="AB66" s="51" t="str">
        <f t="array" aca="1" ref="AB66" ca="1">IF($R66&lt;&gt;"",
INDIRECT(""&amp;IF(COLUMN(O86)&lt;=26,CHAR(COLUMN(O86)+64),CHAR(INT((COLUMN(O86)-1)/26)+64)&amp;CHAR(MOD(COLUMN(O86)-1,26)+65))&amp;$R66&amp;""),"")</f>
        <v/>
      </c>
    </row>
    <row r="67" spans="1:28" ht="18" customHeight="1">
      <c r="A67" s="197">
        <f t="shared" si="14"/>
        <v>139</v>
      </c>
      <c r="B67" s="52" t="e">
        <f t="array" aca="1" ref="B67" ca="1">IF(AND(LEFT(C67,2)="博多",
LEFT(INDIRECT("数出表_Excel!A"&amp;MATCH(C67,数出表_Excel!$A:$A,0)-1),2)
=LEFT(INDIRECT("数出表_Excel!A"&amp;MATCH(C67,数出表_Excel!$A:$A,0)+1),2)),"博多",
IF(AND(LEFT(C67,3)="奈良屋",
LEFT(INDIRECT("数出表_Excel!A"&amp;MATCH(C67,数出表_Excel!$A:$A,0)-1),2)
=LEFT(INDIRECT("数出表_Excel!A"&amp;MATCH(C67,数出表_Excel!$A:$A,0)+1),2)),"奈良屋",""))</f>
        <v>#N/A</v>
      </c>
      <c r="C67" s="52" t="str" cm="1">
        <f t="array" aca="1" ref="C67" ca="1">IF(IF(クライアント抽出!A67="",0,LEN(クライアント抽出!V67)-LEN(SUBSTITUTE(クライアント抽出!V67,",","")))&gt;=1,INDIRECT("数出表_Excel!A"&amp;A67&amp;""),"")</f>
        <v/>
      </c>
      <c r="D67" s="52" t="str" cm="1">
        <f t="array" aca="1" ref="D67" ca="1">IF(C67&lt;&gt;"",INDIRECT("クライアント抽出!"&amp;E67&amp;MATCH(C67,クライアント抽出!A:A,0)&amp;""),"")</f>
        <v/>
      </c>
      <c r="E67" s="52" t="str">
        <f ca="1"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t="array" aca="1" ref="F67" ca="1">IF(D67&lt;&gt;"",
IF(COUNTIF(C67,"*雙葉*"),
IF(ROUND(
IF(O67&lt;&gt;"",(H67-O67),H67)
/IF(COUNTIF('盛付札（関数）'!D67,"*キャラ*"),
VLOOKUP("*キャラ*",#REF!,7,FALSE),
IF(COUNTIF('盛付札（関数）'!D67,"*赤*"),
VLOOKUP("*赤*",#REF!,7,FALSE),
VLOOKUP('盛付札（関数）'!D67,#REF!,7,FALSE))),0)&lt;=0,1,
ROUND(
IF(O67&lt;&gt;"",(H67-O67),H67)
/IF(COUNTIF('盛付札（関数）'!D67,"*キャラ*"),
VLOOKUP("*キャラ*",#REF!,7,FALSE),
IF(COUNTIF('盛付札（関数）'!D67,"*赤*"),
VLOOKUP("*赤*",#REF!,7,FALSE),
VLOOKUP('盛付札（関数）'!D67,#REF!,7,FALSE))),0)),
IF(MATCH(TRUE,
ISNUMBER(--INDIRECT("数出表_Excel!B"&amp;MATCH(C67,数出表_Excel!$A:$A,0)-1&amp;":U"&amp;MATCH(C67,数出表_Excel!$A:$A,0)-1&amp;"")),0)&gt;10,
IF(D67&lt;&gt;"",
IF(IF(COUNTIF('盛付札（関数）'!D67,"*キャラ*"),
VLOOKUP("*キャラ*",#REF!,7,FALSE),
IF(COUNTIF('盛付札（関数）'!D67,"*赤*"),
VLOOKUP("*赤*",#REF!,7,FALSE),
VLOOKUP('盛付札（関数）'!D67,#REF!,7,FALSE)))=0,"",
IF(ROUND(
IF(O67&lt;&gt;"",(H67-O67),H67)
/IF(COUNTIF('盛付札（関数）'!D67,"*キャラ*"),
VLOOKUP("*キャラ*",#REF!,7,FALSE),
IF(COUNTIF('盛付札（関数）'!D67,"*赤*"),
VLOOKUP("*赤*",#REF!,7,FALSE),
VLOOKUP('盛付札（関数）'!D67,#REF!,7,FALSE))),0)&lt;=0,1,
ROUND(
IF(O67&lt;&gt;"",(H67-O67),H67)
/IF(COUNTIF('盛付札（関数）'!D67,"*キャラ*"),
VLOOKUP("*キャラ*",#REF!,7,FALSE),
IF(COUNTIF('盛付札（関数）'!D67,"*赤*"),
VLOOKUP("*赤*",#REF!,7,FALSE),
VLOOKUP('盛付札（関数）'!D67,#REF!,7,FALSE))),0))),""),"")),"")</f>
        <v/>
      </c>
      <c r="G67" s="53" t="str">
        <f ca="1">IF(F67&lt;&gt;"",IF(VALUE(IF(O67&lt;&gt;"",H67-O67,H67))&gt;VALUE(IF(COUNTIF('盛付札（関数）'!D67,"*キャラ*"),
VLOOKUP("*キャラ*",#REF!,7,FALSE),
IF(COUNTIF('盛付札（関数）'!D67,"*赤*"),
VLOOKUP("*赤*",#REF!,7,FALSE),
VLOOKUP('盛付札（関数）'!D67,#REF!,7,FALSE)))*F67),
"+"&amp;IF(O67&lt;&gt;"",H67-O67,H67)-IF(COUNTIF('盛付札（関数）'!D67,"*キャラ*"),
VLOOKUP("*キャラ*",#REF!,7,FALSE),
IF(COUNTIF('盛付札（関数）'!D67,"*赤*"),
VLOOKUP("*赤*",#REF!,7,FALSE),
VLOOKUP('盛付札（関数）'!D67,#REF!,7,FALSE)))*F67,
IF(O67&lt;&gt;"",H67-O67,H67)-IF(COUNTIF('盛付札（関数）'!D67,"*キャラ*"),
VLOOKUP("*キャラ*",#REF!,7,FALSE),
IF(COUNTIF('盛付札（関数）'!D67,"*赤*"),
VLOOKUP("*赤*",#REF!,7,FALSE),
VLOOKUP('盛付札（関数）'!D67,#REF!,7,FALSE)))*F67),"")</f>
        <v/>
      </c>
      <c r="H67" s="195" t="str" cm="1">
        <f t="array" aca="1" ref="H67" ca="1">IF(C67&lt;&gt;"",
IF(INDIRECT("数出表_Excel!"&amp;LEFT(クライアント抽出!V67)&amp;A67-1&amp;"")&lt;&gt;"",INDIRECT("数出表_Excel!"&amp;LEFT(クライアント抽出!V67)&amp;A67-1&amp;""),0),"")</f>
        <v/>
      </c>
      <c r="I67" s="52" t="str" cm="1">
        <f t="array" aca="1" ref="I67" ca="1">IF(C67&lt;&gt;"",
IF(INDIRECT("数出表_Excel!"&amp;LEFT(クライアント抽出!V67)&amp;A67&amp;"")&lt;&gt;"",INDIRECT("数出表_Excel!"&amp;LEFT(クライアント抽出!V67)&amp;A67&amp;""),0),"")</f>
        <v/>
      </c>
      <c r="J67" s="52" t="str">
        <f ca="1">IF(C67&lt;&gt;"",
VLOOKUP(
IF(COUNTIF(D67,"*学食*"),"キャラ弁（学食）",
IF(COUNTIF(D67,"*赤*"),"赤",
IF(COUNTIF(D67,"*キャラ弁当*"),"キャラ弁当",D67))),注文弁当の抽出!$E$1:$F$15,2,FALSE),"")</f>
        <v/>
      </c>
      <c r="K67" s="52" t="str">
        <f t="shared" ca="1" si="15"/>
        <v/>
      </c>
      <c r="L67" s="52" t="str">
        <f t="shared" ca="1" si="16"/>
        <v/>
      </c>
      <c r="M67" s="52" cm="1">
        <f t="array" aca="1" ref="M67" ca="1">IF(C67&lt;&gt;"",
IF(IFERROR(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0)&lt;&gt;0,
IF(IFERROR(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"")="",
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""),
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0)),0),0)</f>
        <v>0</v>
      </c>
      <c r="N67" s="52" t="e">
        <f t="array" aca="1" ref="N67" ca="1">IF(B67="博多",
IF(C67&lt;&gt;"",
IF(IFERROR(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0)&lt;&gt;0,
IF(IFERROR(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0)="",
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0),
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0)),0),""),0)</f>
        <v>#N/A</v>
      </c>
      <c r="O67" s="52" t="e">
        <f t="shared" ca="1" si="17"/>
        <v>#N/A</v>
      </c>
      <c r="P67" s="52">
        <f t="shared" ca="1" si="4"/>
        <v>0</v>
      </c>
      <c r="Q67" s="52" t="b">
        <f t="shared" ca="1" si="18"/>
        <v>0</v>
      </c>
      <c r="R67" s="51" t="str" cm="1">
        <f t="array" aca="1" ref="R67" ca="1">IFERROR(SMALL(IF(P$1:P$300&lt;&gt;0,P$1:P$300),ROW(A67)),"")</f>
        <v/>
      </c>
      <c r="S67" s="51" t="str">
        <f t="array" aca="1" ref="S67" ca="1">IF($R67&lt;&gt;"",
INDIRECT(""&amp;IF(COLUMN(C87)&lt;=26,CHAR(COLUMN(C87)+64),CHAR(INT((COLUMN(C87)-1)/26)+64)&amp;CHAR(MOD(COLUMN(C87)-1,26)+65))&amp;$R67&amp;""),"")</f>
        <v/>
      </c>
      <c r="T67" s="51" t="str" cm="1">
        <f t="array" aca="1" ref="T67" ca="1">IF(IF($R67&lt;&gt;"",
INDIRECT(""&amp;IF(COLUMN(D87)&lt;=26,CHAR(COLUMN(D87)+64),CHAR(INT((COLUMN(D87)-1)/26)+64)&amp;CHAR(MOD(COLUMN(D87)-1,26)+65))&amp;$R67&amp;""),"")=0,"",
IF($R67&lt;&gt;"",
INDIRECT(""&amp;IF(COLUMN(D87)&lt;=26,CHAR(COLUMN(D87)+64),CHAR(INT((COLUMN(D87)-1)/26)+64)&amp;CHAR(MOD(COLUMN(D87)-1,26)+65))&amp;$R67&amp;""),""))</f>
        <v/>
      </c>
      <c r="U67" s="51"/>
      <c r="V67" s="51" t="str">
        <f t="array" aca="1" ref="V67" ca="1">IF($R67&lt;&gt;"",
IF(U67="",
IF(INDIRECT("EY"&amp;$R67&amp;"")&lt;&gt;"",
INDIRECT("EY"&amp;$R67&amp;"")&amp;"箱"
&amp;INDIRECT("EZ"&amp;$R67&amp;""),""),""),"")</f>
        <v/>
      </c>
      <c r="W67" s="51" t="str">
        <f t="array" aca="1" ref="W67" ca="1">IF($R67&lt;&gt;"",
INDIRECT(""&amp;IF(COLUMN(H87)&lt;=26,CHAR(COLUMN(H87)+64),CHAR(INT((COLUMN(H87)-1)/26)+64)&amp;CHAR(MOD(COLUMN(H87)-1,26)+65))&amp;$R67&amp;""),"")</f>
        <v/>
      </c>
      <c r="X67" s="51" t="str">
        <f t="array" aca="1" ref="X67" ca="1">IF($R67&lt;&gt;"",
INDIRECT(""&amp;IF(COLUMN(I87)&lt;=26,CHAR(COLUMN(I87)+64),CHAR(INT((COLUMN(I87)-1)/26)+64)&amp;CHAR(MOD(COLUMN(I87)-1,26)+65))&amp;$R67&amp;""),"")</f>
        <v/>
      </c>
      <c r="Y67" s="51" t="str">
        <f t="array" aca="1" ref="Y67" ca="1">IF($R67&lt;&gt;"",
INDIRECT(""&amp;IF(COLUMN(J87)&lt;=26,CHAR(COLUMN(J87)+64),CHAR(INT((COLUMN(J87)-1)/26)+64)&amp;CHAR(MOD(COLUMN(J87)-1,26)+65))&amp;$R67&amp;""),"")</f>
        <v/>
      </c>
      <c r="Z67" s="51" t="str">
        <f t="array" aca="1" ref="Z67" ca="1">IF($R67&lt;&gt;"",
INDIRECT(""&amp;IF(COLUMN(K87)&lt;=26,CHAR(COLUMN(K87)+64),CHAR(INT((COLUMN(K87)-1)/26)+64)&amp;CHAR(MOD(COLUMN(K87)-1,26)+65))&amp;$R67&amp;""),"")</f>
        <v/>
      </c>
      <c r="AA67" s="51" t="str">
        <f t="array" aca="1" ref="AA67" ca="1">IF($R67&lt;&gt;"",
INDIRECT(""&amp;IF(COLUMN(L87)&lt;=26,CHAR(COLUMN(L87)+64),CHAR(INT((COLUMN(L87)-1)/26)+64)&amp;CHAR(MOD(COLUMN(L87)-1,26)+65))&amp;$R67&amp;""),"")</f>
        <v/>
      </c>
      <c r="AB67" s="51" t="str">
        <f t="array" aca="1" ref="AB67" ca="1">IF($R67&lt;&gt;"",
INDIRECT(""&amp;IF(COLUMN(O87)&lt;=26,CHAR(COLUMN(O87)+64),CHAR(INT((COLUMN(O87)-1)/26)+64)&amp;CHAR(MOD(COLUMN(O87)-1,26)+65))&amp;$R67&amp;""),"")</f>
        <v/>
      </c>
    </row>
    <row r="68" spans="1:28" ht="18" customHeight="1">
      <c r="A68" s="197">
        <f t="shared" si="14"/>
        <v>141</v>
      </c>
      <c r="B68" s="52" t="e">
        <f t="array" aca="1" ref="B68" ca="1">IF(AND(LEFT(C68,2)="博多",
LEFT(INDIRECT("数出表_Excel!A"&amp;MATCH(C68,数出表_Excel!$A:$A,0)-1),2)
=LEFT(INDIRECT("数出表_Excel!A"&amp;MATCH(C68,数出表_Excel!$A:$A,0)+1),2)),"博多",
IF(AND(LEFT(C68,3)="奈良屋",
LEFT(INDIRECT("数出表_Excel!A"&amp;MATCH(C68,数出表_Excel!$A:$A,0)-1),2)
=LEFT(INDIRECT("数出表_Excel!A"&amp;MATCH(C68,数出表_Excel!$A:$A,0)+1),2)),"奈良屋",""))</f>
        <v>#N/A</v>
      </c>
      <c r="C68" s="52" t="str" cm="1">
        <f t="array" aca="1" ref="C68" ca="1">IF(IF(クライアント抽出!A68="",0,LEN(クライアント抽出!V68)-LEN(SUBSTITUTE(クライアント抽出!V68,",","")))&gt;=1,INDIRECT("数出表_Excel!A"&amp;A68&amp;""),"")</f>
        <v/>
      </c>
      <c r="D68" s="52" t="str" cm="1">
        <f t="array" aca="1" ref="D68" ca="1">IF(C68&lt;&gt;"",INDIRECT("クライアント抽出!"&amp;E68&amp;MATCH(C68,クライアント抽出!A:A,0)&amp;""),"")</f>
        <v/>
      </c>
      <c r="E68" s="52" t="str">
        <f ca="1"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t="array" aca="1" ref="F68" ca="1">IF(D68&lt;&gt;"",
IF(COUNTIF(C68,"*雙葉*"),
IF(ROUND(
IF(O68&lt;&gt;"",(H68-O68),H68)
/IF(COUNTIF('盛付札（関数）'!D68,"*キャラ*"),
VLOOKUP("*キャラ*",#REF!,7,FALSE),
IF(COUNTIF('盛付札（関数）'!D68,"*赤*"),
VLOOKUP("*赤*",#REF!,7,FALSE),
VLOOKUP('盛付札（関数）'!D68,#REF!,7,FALSE))),0)&lt;=0,1,
ROUND(
IF(O68&lt;&gt;"",(H68-O68),H68)
/IF(COUNTIF('盛付札（関数）'!D68,"*キャラ*"),
VLOOKUP("*キャラ*",#REF!,7,FALSE),
IF(COUNTIF('盛付札（関数）'!D68,"*赤*"),
VLOOKUP("*赤*",#REF!,7,FALSE),
VLOOKUP('盛付札（関数）'!D68,#REF!,7,FALSE))),0)),
IF(MATCH(TRUE,
ISNUMBER(--INDIRECT("数出表_Excel!B"&amp;MATCH(C68,数出表_Excel!$A:$A,0)-1&amp;":U"&amp;MATCH(C68,数出表_Excel!$A:$A,0)-1&amp;"")),0)&gt;10,
IF(D68&lt;&gt;"",
IF(IF(COUNTIF('盛付札（関数）'!D68,"*キャラ*"),
VLOOKUP("*キャラ*",#REF!,7,FALSE),
IF(COUNTIF('盛付札（関数）'!D68,"*赤*"),
VLOOKUP("*赤*",#REF!,7,FALSE),
VLOOKUP('盛付札（関数）'!D68,#REF!,7,FALSE)))=0,"",
IF(ROUND(
IF(O68&lt;&gt;"",(H68-O68),H68)
/IF(COUNTIF('盛付札（関数）'!D68,"*キャラ*"),
VLOOKUP("*キャラ*",#REF!,7,FALSE),
IF(COUNTIF('盛付札（関数）'!D68,"*赤*"),
VLOOKUP("*赤*",#REF!,7,FALSE),
VLOOKUP('盛付札（関数）'!D68,#REF!,7,FALSE))),0)&lt;=0,1,
ROUND(
IF(O68&lt;&gt;"",(H68-O68),H68)
/IF(COUNTIF('盛付札（関数）'!D68,"*キャラ*"),
VLOOKUP("*キャラ*",#REF!,7,FALSE),
IF(COUNTIF('盛付札（関数）'!D68,"*赤*"),
VLOOKUP("*赤*",#REF!,7,FALSE),
VLOOKUP('盛付札（関数）'!D68,#REF!,7,FALSE))),0))),""),"")),"")</f>
        <v/>
      </c>
      <c r="G68" s="53" t="str">
        <f ca="1">IF(F68&lt;&gt;"",IF(VALUE(IF(O68&lt;&gt;"",H68-O68,H68))&gt;VALUE(IF(COUNTIF('盛付札（関数）'!D68,"*キャラ*"),
VLOOKUP("*キャラ*",#REF!,7,FALSE),
IF(COUNTIF('盛付札（関数）'!D68,"*赤*"),
VLOOKUP("*赤*",#REF!,7,FALSE),
VLOOKUP('盛付札（関数）'!D68,#REF!,7,FALSE)))*F68),
"+"&amp;IF(O68&lt;&gt;"",H68-O68,H68)-IF(COUNTIF('盛付札（関数）'!D68,"*キャラ*"),
VLOOKUP("*キャラ*",#REF!,7,FALSE),
IF(COUNTIF('盛付札（関数）'!D68,"*赤*"),
VLOOKUP("*赤*",#REF!,7,FALSE),
VLOOKUP('盛付札（関数）'!D68,#REF!,7,FALSE)))*F68,
IF(O68&lt;&gt;"",H68-O68,H68)-IF(COUNTIF('盛付札（関数）'!D68,"*キャラ*"),
VLOOKUP("*キャラ*",#REF!,7,FALSE),
IF(COUNTIF('盛付札（関数）'!D68,"*赤*"),
VLOOKUP("*赤*",#REF!,7,FALSE),
VLOOKUP('盛付札（関数）'!D68,#REF!,7,FALSE)))*F68),"")</f>
        <v/>
      </c>
      <c r="H68" s="195" t="str" cm="1">
        <f t="array" aca="1" ref="H68" ca="1">IF(C68&lt;&gt;"",
IF(INDIRECT("数出表_Excel!"&amp;LEFT(クライアント抽出!V68)&amp;A68-1&amp;"")&lt;&gt;"",INDIRECT("数出表_Excel!"&amp;LEFT(クライアント抽出!V68)&amp;A68-1&amp;""),0),"")</f>
        <v/>
      </c>
      <c r="I68" s="52" t="str" cm="1">
        <f t="array" aca="1" ref="I68" ca="1">IF(C68&lt;&gt;"",
IF(INDIRECT("数出表_Excel!"&amp;LEFT(クライアント抽出!V68)&amp;A68&amp;"")&lt;&gt;"",INDIRECT("数出表_Excel!"&amp;LEFT(クライアント抽出!V68)&amp;A68&amp;""),0),"")</f>
        <v/>
      </c>
      <c r="J68" s="52" t="str">
        <f ca="1">IF(C68&lt;&gt;"",
VLOOKUP(
IF(COUNTIF(D68,"*学食*"),"キャラ弁（学食）",
IF(COUNTIF(D68,"*赤*"),"赤",
IF(COUNTIF(D68,"*キャラ弁当*"),"キャラ弁当",D68))),注文弁当の抽出!$E$1:$F$15,2,FALSE),"")</f>
        <v/>
      </c>
      <c r="K68" s="52" t="str">
        <f t="shared" ca="1" si="15"/>
        <v/>
      </c>
      <c r="L68" s="52" t="str">
        <f t="shared" ca="1" si="16"/>
        <v/>
      </c>
      <c r="M68" s="52" cm="1">
        <f t="array" aca="1" ref="M68" ca="1">IF(C68&lt;&gt;"",
IF(IFERROR(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0)&lt;&gt;0,
IF(IFERROR(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"")="",
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""),
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0)),0),0)</f>
        <v>0</v>
      </c>
      <c r="N68" s="52" t="e">
        <f t="array" aca="1" ref="N68" ca="1">IF(B68="博多",
IF(C68&lt;&gt;"",
IF(IFERROR(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0)&lt;&gt;0,
IF(IFERROR(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0)="",
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0),
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0)),0),""),0)</f>
        <v>#N/A</v>
      </c>
      <c r="O68" s="52" t="e">
        <f t="shared" ca="1" si="17"/>
        <v>#N/A</v>
      </c>
      <c r="P68" s="52">
        <f t="shared" ca="1" si="4"/>
        <v>0</v>
      </c>
      <c r="Q68" s="52" t="b">
        <f t="shared" ca="1" si="18"/>
        <v>0</v>
      </c>
      <c r="R68" s="51" t="str" cm="1">
        <f t="array" aca="1" ref="R68" ca="1">IFERROR(SMALL(IF(P$1:P$300&lt;&gt;0,P$1:P$300),ROW(A68)),"")</f>
        <v/>
      </c>
      <c r="S68" s="51" t="str">
        <f t="array" aca="1" ref="S68" ca="1">IF($R68&lt;&gt;"",
INDIRECT(""&amp;IF(COLUMN(C88)&lt;=26,CHAR(COLUMN(C88)+64),CHAR(INT((COLUMN(C88)-1)/26)+64)&amp;CHAR(MOD(COLUMN(C88)-1,26)+65))&amp;$R68&amp;""),"")</f>
        <v/>
      </c>
      <c r="T68" s="51" t="str" cm="1">
        <f t="array" aca="1" ref="T68" ca="1">IF(IF($R68&lt;&gt;"",
INDIRECT(""&amp;IF(COLUMN(D88)&lt;=26,CHAR(COLUMN(D88)+64),CHAR(INT((COLUMN(D88)-1)/26)+64)&amp;CHAR(MOD(COLUMN(D88)-1,26)+65))&amp;$R68&amp;""),"")=0,"",
IF($R68&lt;&gt;"",
INDIRECT(""&amp;IF(COLUMN(D88)&lt;=26,CHAR(COLUMN(D88)+64),CHAR(INT((COLUMN(D88)-1)/26)+64)&amp;CHAR(MOD(COLUMN(D88)-1,26)+65))&amp;$R68&amp;""),""))</f>
        <v/>
      </c>
      <c r="U68" s="51"/>
      <c r="V68" s="51" t="str">
        <f t="array" aca="1" ref="V68" ca="1">IF($R68&lt;&gt;"",
IF(U68="",
IF(INDIRECT("EY"&amp;$R68&amp;"")&lt;&gt;"",
INDIRECT("EY"&amp;$R68&amp;"")&amp;"箱"
&amp;INDIRECT("EZ"&amp;$R68&amp;""),""),""),"")</f>
        <v/>
      </c>
      <c r="W68" s="51" t="str">
        <f t="array" aca="1" ref="W68" ca="1">IF($R68&lt;&gt;"",
INDIRECT(""&amp;IF(COLUMN(H88)&lt;=26,CHAR(COLUMN(H88)+64),CHAR(INT((COLUMN(H88)-1)/26)+64)&amp;CHAR(MOD(COLUMN(H88)-1,26)+65))&amp;$R68&amp;""),"")</f>
        <v/>
      </c>
      <c r="X68" s="51" t="str">
        <f t="array" aca="1" ref="X68" ca="1">IF($R68&lt;&gt;"",
INDIRECT(""&amp;IF(COLUMN(I88)&lt;=26,CHAR(COLUMN(I88)+64),CHAR(INT((COLUMN(I88)-1)/26)+64)&amp;CHAR(MOD(COLUMN(I88)-1,26)+65))&amp;$R68&amp;""),"")</f>
        <v/>
      </c>
      <c r="Y68" s="51" t="str">
        <f t="array" aca="1" ref="Y68" ca="1">IF($R68&lt;&gt;"",
INDIRECT(""&amp;IF(COLUMN(J88)&lt;=26,CHAR(COLUMN(J88)+64),CHAR(INT((COLUMN(J88)-1)/26)+64)&amp;CHAR(MOD(COLUMN(J88)-1,26)+65))&amp;$R68&amp;""),"")</f>
        <v/>
      </c>
      <c r="Z68" s="51" t="str">
        <f t="array" aca="1" ref="Z68" ca="1">IF($R68&lt;&gt;"",
INDIRECT(""&amp;IF(COLUMN(K88)&lt;=26,CHAR(COLUMN(K88)+64),CHAR(INT((COLUMN(K88)-1)/26)+64)&amp;CHAR(MOD(COLUMN(K88)-1,26)+65))&amp;$R68&amp;""),"")</f>
        <v/>
      </c>
      <c r="AA68" s="51" t="str">
        <f t="array" aca="1" ref="AA68" ca="1">IF($R68&lt;&gt;"",
INDIRECT(""&amp;IF(COLUMN(L88)&lt;=26,CHAR(COLUMN(L88)+64),CHAR(INT((COLUMN(L88)-1)/26)+64)&amp;CHAR(MOD(COLUMN(L88)-1,26)+65))&amp;$R68&amp;""),"")</f>
        <v/>
      </c>
      <c r="AB68" s="51" t="str">
        <f t="array" aca="1" ref="AB68" ca="1">IF($R68&lt;&gt;"",
INDIRECT(""&amp;IF(COLUMN(O88)&lt;=26,CHAR(COLUMN(O88)+64),CHAR(INT((COLUMN(O88)-1)/26)+64)&amp;CHAR(MOD(COLUMN(O88)-1,26)+65))&amp;$R68&amp;""),"")</f>
        <v/>
      </c>
    </row>
    <row r="69" spans="1:28" s="51" customFormat="1" ht="22.2" customHeight="1">
      <c r="A69" s="197">
        <f t="shared" si="14"/>
        <v>143</v>
      </c>
      <c r="B69" s="52" t="e">
        <f t="array" aca="1" ref="B69" ca="1">IF(AND(LEFT(C69,2)="博多",
LEFT(INDIRECT("数出表_Excel!A"&amp;MATCH(C69,数出表_Excel!$A:$A,0)-1),2)
=LEFT(INDIRECT("数出表_Excel!A"&amp;MATCH(C69,数出表_Excel!$A:$A,0)+1),2)),"博多",
IF(AND(LEFT(C69,3)="奈良屋",
LEFT(INDIRECT("数出表_Excel!A"&amp;MATCH(C69,数出表_Excel!$A:$A,0)-1),2)
=LEFT(INDIRECT("数出表_Excel!A"&amp;MATCH(C69,数出表_Excel!$A:$A,0)+1),2)),"奈良屋",""))</f>
        <v>#N/A</v>
      </c>
      <c r="C69" s="52" t="str" cm="1">
        <f t="array" aca="1" ref="C69" ca="1">IF(IF(クライアント抽出!A69="",0,LEN(クライアント抽出!V69)-LEN(SUBSTITUTE(クライアント抽出!V69,",","")))&gt;=1,INDIRECT("数出表_Excel!A"&amp;A69&amp;""),"")</f>
        <v/>
      </c>
      <c r="D69" s="52" t="str" cm="1">
        <f t="array" aca="1" ref="D69" ca="1">IF(C69&lt;&gt;"",INDIRECT("クライアント抽出!"&amp;E69&amp;MATCH(C69,クライアント抽出!A:A,0)&amp;""),"")</f>
        <v/>
      </c>
      <c r="E69" s="52" t="str">
        <f ca="1"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t="array" aca="1" ref="F69" ca="1">IF(D69&lt;&gt;"",
IF(COUNTIF(C69,"*雙葉*"),
IF(ROUND(
IF(O69&lt;&gt;"",(H69-O69),H69)
/IF(COUNTIF('盛付札（関数）'!D69,"*キャラ*"),
VLOOKUP("*キャラ*",#REF!,7,FALSE),
IF(COUNTIF('盛付札（関数）'!D69,"*赤*"),
VLOOKUP("*赤*",#REF!,7,FALSE),
VLOOKUP('盛付札（関数）'!D69,#REF!,7,FALSE))),0)&lt;=0,1,
ROUND(
IF(O69&lt;&gt;"",(H69-O69),H69)
/IF(COUNTIF('盛付札（関数）'!D69,"*キャラ*"),
VLOOKUP("*キャラ*",#REF!,7,FALSE),
IF(COUNTIF('盛付札（関数）'!D69,"*赤*"),
VLOOKUP("*赤*",#REF!,7,FALSE),
VLOOKUP('盛付札（関数）'!D69,#REF!,7,FALSE))),0)),
IF(MATCH(TRUE,
ISNUMBER(--INDIRECT("数出表_Excel!B"&amp;MATCH(C69,数出表_Excel!$A:$A,0)-1&amp;":U"&amp;MATCH(C69,数出表_Excel!$A:$A,0)-1&amp;"")),0)&gt;10,
IF(D69&lt;&gt;"",
IF(IF(COUNTIF('盛付札（関数）'!D69,"*キャラ*"),
VLOOKUP("*キャラ*",#REF!,7,FALSE),
IF(COUNTIF('盛付札（関数）'!D69,"*赤*"),
VLOOKUP("*赤*",#REF!,7,FALSE),
VLOOKUP('盛付札（関数）'!D69,#REF!,7,FALSE)))=0,"",
IF(ROUND(
IF(O69&lt;&gt;"",(H69-O69),H69)
/IF(COUNTIF('盛付札（関数）'!D69,"*キャラ*"),
VLOOKUP("*キャラ*",#REF!,7,FALSE),
IF(COUNTIF('盛付札（関数）'!D69,"*赤*"),
VLOOKUP("*赤*",#REF!,7,FALSE),
VLOOKUP('盛付札（関数）'!D69,#REF!,7,FALSE))),0)&lt;=0,1,
ROUND(
IF(O69&lt;&gt;"",(H69-O69),H69)
/IF(COUNTIF('盛付札（関数）'!D69,"*キャラ*"),
VLOOKUP("*キャラ*",#REF!,7,FALSE),
IF(COUNTIF('盛付札（関数）'!D69,"*赤*"),
VLOOKUP("*赤*",#REF!,7,FALSE),
VLOOKUP('盛付札（関数）'!D69,#REF!,7,FALSE))),0))),""),"")),"")</f>
        <v/>
      </c>
      <c r="G69" s="53" t="str">
        <f ca="1">IF(F69&lt;&gt;"",IF(VALUE(IF(O69&lt;&gt;"",H69-O69,H69))&gt;VALUE(IF(COUNTIF('盛付札（関数）'!D69,"*キャラ*"),
VLOOKUP("*キャラ*",#REF!,7,FALSE),
IF(COUNTIF('盛付札（関数）'!D69,"*赤*"),
VLOOKUP("*赤*",#REF!,7,FALSE),
VLOOKUP('盛付札（関数）'!D69,#REF!,7,FALSE)))*F69),
"+"&amp;IF(O69&lt;&gt;"",H69-O69,H69)-IF(COUNTIF('盛付札（関数）'!D69,"*キャラ*"),
VLOOKUP("*キャラ*",#REF!,7,FALSE),
IF(COUNTIF('盛付札（関数）'!D69,"*赤*"),
VLOOKUP("*赤*",#REF!,7,FALSE),
VLOOKUP('盛付札（関数）'!D69,#REF!,7,FALSE)))*F69,
IF(O69&lt;&gt;"",H69-O69,H69)-IF(COUNTIF('盛付札（関数）'!D69,"*キャラ*"),
VLOOKUP("*キャラ*",#REF!,7,FALSE),
IF(COUNTIF('盛付札（関数）'!D69,"*赤*"),
VLOOKUP("*赤*",#REF!,7,FALSE),
VLOOKUP('盛付札（関数）'!D69,#REF!,7,FALSE)))*F69),"")</f>
        <v/>
      </c>
      <c r="H69" s="195" t="str" cm="1">
        <f t="array" aca="1" ref="H69" ca="1">IF(C69&lt;&gt;"",
IF(INDIRECT("数出表_Excel!"&amp;LEFT(クライアント抽出!V69)&amp;A69-1&amp;"")&lt;&gt;"",INDIRECT("数出表_Excel!"&amp;LEFT(クライアント抽出!V69)&amp;A69-1&amp;""),0),"")</f>
        <v/>
      </c>
      <c r="I69" s="52" t="str" cm="1">
        <f t="array" aca="1" ref="I69" ca="1">IF(C69&lt;&gt;"",
IF(INDIRECT("数出表_Excel!"&amp;LEFT(クライアント抽出!V69)&amp;A69&amp;"")&lt;&gt;"",INDIRECT("数出表_Excel!"&amp;LEFT(クライアント抽出!V69)&amp;A69&amp;""),0),"")</f>
        <v/>
      </c>
      <c r="J69" s="52" t="str">
        <f ca="1">IF(C69&lt;&gt;"",
VLOOKUP(
IF(COUNTIF(D69,"*学食*"),"キャラ弁（学食）",
IF(COUNTIF(D69,"*赤*"),"赤",
IF(COUNTIF(D69,"*キャラ弁当*"),"キャラ弁当",D69))),注文弁当の抽出!$E$1:$F$15,2,FALSE),"")</f>
        <v/>
      </c>
      <c r="K69" s="52" t="str">
        <f t="shared" ca="1" si="15"/>
        <v/>
      </c>
      <c r="L69" s="52" t="str">
        <f t="shared" ca="1" si="16"/>
        <v/>
      </c>
      <c r="M69" s="52" cm="1">
        <f t="array" aca="1" ref="M69" ca="1">IF(C69&lt;&gt;"",
IF(IFERROR(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0)&lt;&gt;0,
IF(IFERROR(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"")="",
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""),
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0)),0),0)</f>
        <v>0</v>
      </c>
      <c r="N69" s="52" t="e">
        <f t="array" aca="1" ref="N69" ca="1">IF(B69="博多",
IF(C69&lt;&gt;"",
IF(IFERROR(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0)&lt;&gt;0,
IF(IFERROR(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0)="",
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0),
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0)),0),""),0)</f>
        <v>#N/A</v>
      </c>
      <c r="O69" s="52" t="e">
        <f t="shared" ca="1" si="17"/>
        <v>#N/A</v>
      </c>
      <c r="P69" s="52">
        <f t="shared" ca="1" si="4"/>
        <v>0</v>
      </c>
      <c r="Q69" s="52" t="b">
        <f t="shared" ca="1" si="18"/>
        <v>0</v>
      </c>
      <c r="R69" s="51" t="str" cm="1">
        <f t="array" aca="1" ref="R69" ca="1">IFERROR(SMALL(IF(P$1:P$300&lt;&gt;0,P$1:P$300),ROW(A69)),"")</f>
        <v/>
      </c>
      <c r="S69" s="51" t="str">
        <f t="array" aca="1" ref="S69" ca="1">IF($R69&lt;&gt;"",
INDIRECT(""&amp;IF(COLUMN(C89)&lt;=26,CHAR(COLUMN(C89)+64),CHAR(INT((COLUMN(C89)-1)/26)+64)&amp;CHAR(MOD(COLUMN(C89)-1,26)+65))&amp;$R69&amp;""),"")</f>
        <v/>
      </c>
      <c r="T69" s="51" t="str" cm="1">
        <f t="array" aca="1" ref="T69" ca="1">IF(IF($R69&lt;&gt;"",
INDIRECT(""&amp;IF(COLUMN(D89)&lt;=26,CHAR(COLUMN(D89)+64),CHAR(INT((COLUMN(D89)-1)/26)+64)&amp;CHAR(MOD(COLUMN(D89)-1,26)+65))&amp;$R69&amp;""),"")=0,"",
IF($R69&lt;&gt;"",
INDIRECT(""&amp;IF(COLUMN(D89)&lt;=26,CHAR(COLUMN(D89)+64),CHAR(INT((COLUMN(D89)-1)/26)+64)&amp;CHAR(MOD(COLUMN(D89)-1,26)+65))&amp;$R69&amp;""),""))</f>
        <v/>
      </c>
      <c r="V69" s="51" t="str">
        <f t="array" aca="1" ref="V69" ca="1">IF($R69&lt;&gt;"",
IF(U69="",
IF(INDIRECT("EY"&amp;$R69&amp;"")&lt;&gt;"",
INDIRECT("EY"&amp;$R69&amp;"")&amp;"箱"
&amp;INDIRECT("EZ"&amp;$R69&amp;""),""),""),"")</f>
        <v/>
      </c>
      <c r="W69" s="51" t="str">
        <f t="array" aca="1" ref="W69" ca="1">IF($R69&lt;&gt;"",
INDIRECT(""&amp;IF(COLUMN(H89)&lt;=26,CHAR(COLUMN(H89)+64),CHAR(INT((COLUMN(H89)-1)/26)+64)&amp;CHAR(MOD(COLUMN(H89)-1,26)+65))&amp;$R69&amp;""),"")</f>
        <v/>
      </c>
      <c r="X69" s="51" t="str">
        <f t="array" aca="1" ref="X69" ca="1">IF($R69&lt;&gt;"",
INDIRECT(""&amp;IF(COLUMN(I89)&lt;=26,CHAR(COLUMN(I89)+64),CHAR(INT((COLUMN(I89)-1)/26)+64)&amp;CHAR(MOD(COLUMN(I89)-1,26)+65))&amp;$R69&amp;""),"")</f>
        <v/>
      </c>
      <c r="Y69" s="51" t="str">
        <f t="array" aca="1" ref="Y69" ca="1">IF($R69&lt;&gt;"",
INDIRECT(""&amp;IF(COLUMN(J89)&lt;=26,CHAR(COLUMN(J89)+64),CHAR(INT((COLUMN(J89)-1)/26)+64)&amp;CHAR(MOD(COLUMN(J89)-1,26)+65))&amp;$R69&amp;""),"")</f>
        <v/>
      </c>
      <c r="Z69" s="51" t="str">
        <f t="array" aca="1" ref="Z69" ca="1">IF($R69&lt;&gt;"",
INDIRECT(""&amp;IF(COLUMN(K89)&lt;=26,CHAR(COLUMN(K89)+64),CHAR(INT((COLUMN(K89)-1)/26)+64)&amp;CHAR(MOD(COLUMN(K89)-1,26)+65))&amp;$R69&amp;""),"")</f>
        <v/>
      </c>
      <c r="AA69" s="51" t="str">
        <f t="array" aca="1" ref="AA69" ca="1">IF($R69&lt;&gt;"",
INDIRECT(""&amp;IF(COLUMN(L89)&lt;=26,CHAR(COLUMN(L89)+64),CHAR(INT((COLUMN(L89)-1)/26)+64)&amp;CHAR(MOD(COLUMN(L89)-1,26)+65))&amp;$R69&amp;""),"")</f>
        <v/>
      </c>
      <c r="AB69" s="51" t="str">
        <f t="array" aca="1" ref="AB69" ca="1">IF($R69&lt;&gt;"",
INDIRECT(""&amp;IF(COLUMN(O89)&lt;=26,CHAR(COLUMN(O89)+64),CHAR(INT((COLUMN(O89)-1)/26)+64)&amp;CHAR(MOD(COLUMN(O89)-1,26)+65))&amp;$R69&amp;""),"")</f>
        <v/>
      </c>
    </row>
    <row r="70" spans="1:28" ht="21" customHeight="1">
      <c r="A70" s="197">
        <f t="shared" si="14"/>
        <v>145</v>
      </c>
      <c r="B70" s="52" t="e">
        <f t="array" aca="1" ref="B70" ca="1">IF(AND(LEFT(C70,2)="博多",
LEFT(INDIRECT("数出表_Excel!A"&amp;MATCH(C70,数出表_Excel!$A:$A,0)-1),2)
=LEFT(INDIRECT("数出表_Excel!A"&amp;MATCH(C70,数出表_Excel!$A:$A,0)+1),2)),"博多",
IF(AND(LEFT(C70,3)="奈良屋",
LEFT(INDIRECT("数出表_Excel!A"&amp;MATCH(C70,数出表_Excel!$A:$A,0)-1),2)
=LEFT(INDIRECT("数出表_Excel!A"&amp;MATCH(C70,数出表_Excel!$A:$A,0)+1),2)),"奈良屋",""))</f>
        <v>#N/A</v>
      </c>
      <c r="C70" s="52" t="str" cm="1">
        <f t="array" aca="1" ref="C70" ca="1">IF(IF(クライアント抽出!A70="",0,LEN(クライアント抽出!V70)-LEN(SUBSTITUTE(クライアント抽出!V70,",","")))&gt;=1,INDIRECT("数出表_Excel!A"&amp;A70&amp;""),"")</f>
        <v/>
      </c>
      <c r="D70" s="52" t="str" cm="1">
        <f t="array" aca="1" ref="D70" ca="1">IF(C70&lt;&gt;"",INDIRECT("クライアント抽出!"&amp;E70&amp;MATCH(C70,クライアント抽出!A:A,0)&amp;""),"")</f>
        <v/>
      </c>
      <c r="E70" s="52" t="str">
        <f ca="1"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 cm="1">
        <f t="array" aca="1" ref="F70" ca="1">IF(D70&lt;&gt;"",
IF(COUNTIF(C70,"*雙葉*"),
IF(ROUND(
IF(O70&lt;&gt;"",(H70-O70),H70)
/IF(COUNTIF('盛付札（関数）'!D70,"*キャラ*"),
VLOOKUP("*キャラ*",#REF!,7,FALSE),
IF(COUNTIF('盛付札（関数）'!D70,"*赤*"),
VLOOKUP("*赤*",#REF!,7,FALSE),
VLOOKUP('盛付札（関数）'!D70,#REF!,7,FALSE))),0)&lt;=0,1,
ROUND(
IF(O70&lt;&gt;"",(H70-O70),H70)
/IF(COUNTIF('盛付札（関数）'!D70,"*キャラ*"),
VLOOKUP("*キャラ*",#REF!,7,FALSE),
IF(COUNTIF('盛付札（関数）'!D70,"*赤*"),
VLOOKUP("*赤*",#REF!,7,FALSE),
VLOOKUP('盛付札（関数）'!D70,#REF!,7,FALSE))),0)),
IF(MATCH(TRUE,
ISNUMBER(--INDIRECT("数出表_Excel!B"&amp;MATCH(C70,数出表_Excel!$A:$A,0)-1&amp;":U"&amp;MATCH(C70,数出表_Excel!$A:$A,0)-1&amp;"")),0)&gt;10,
IF(D70&lt;&gt;"",
IF(IF(COUNTIF('盛付札（関数）'!D70,"*キャラ*"),
VLOOKUP("*キャラ*",#REF!,7,FALSE),
IF(COUNTIF('盛付札（関数）'!D70,"*赤*"),
VLOOKUP("*赤*",#REF!,7,FALSE),
VLOOKUP('盛付札（関数）'!D70,#REF!,7,FALSE)))=0,"",
IF(ROUND(
IF(O70&lt;&gt;"",(H70-O70),H70)
/IF(COUNTIF('盛付札（関数）'!D70,"*キャラ*"),
VLOOKUP("*キャラ*",#REF!,7,FALSE),
IF(COUNTIF('盛付札（関数）'!D70,"*赤*"),
VLOOKUP("*赤*",#REF!,7,FALSE),
VLOOKUP('盛付札（関数）'!D70,#REF!,7,FALSE))),0)&lt;=0,1,
ROUND(
IF(O70&lt;&gt;"",(H70-O70),H70)
/IF(COUNTIF('盛付札（関数）'!D70,"*キャラ*"),
VLOOKUP("*キャラ*",#REF!,7,FALSE),
IF(COUNTIF('盛付札（関数）'!D70,"*赤*"),
VLOOKUP("*赤*",#REF!,7,FALSE),
VLOOKUP('盛付札（関数）'!D70,#REF!,7,FALSE))),0))),""),"")),"")</f>
        <v/>
      </c>
      <c r="G70" s="53" t="str">
        <f ca="1">IF(F70&lt;&gt;"",IF(VALUE(IF(O70&lt;&gt;"",H70-O70,H70))&gt;VALUE(IF(COUNTIF('盛付札（関数）'!D70,"*キャラ*"),
VLOOKUP("*キャラ*",#REF!,7,FALSE),
IF(COUNTIF('盛付札（関数）'!D70,"*赤*"),
VLOOKUP("*赤*",#REF!,7,FALSE),
VLOOKUP('盛付札（関数）'!D70,#REF!,7,FALSE)))*F70),
"+"&amp;IF(O70&lt;&gt;"",H70-O70,H70)-IF(COUNTIF('盛付札（関数）'!D70,"*キャラ*"),
VLOOKUP("*キャラ*",#REF!,7,FALSE),
IF(COUNTIF('盛付札（関数）'!D70,"*赤*"),
VLOOKUP("*赤*",#REF!,7,FALSE),
VLOOKUP('盛付札（関数）'!D70,#REF!,7,FALSE)))*F70,
IF(O70&lt;&gt;"",H70-O70,H70)-IF(COUNTIF('盛付札（関数）'!D70,"*キャラ*"),
VLOOKUP("*キャラ*",#REF!,7,FALSE),
IF(COUNTIF('盛付札（関数）'!D70,"*赤*"),
VLOOKUP("*赤*",#REF!,7,FALSE),
VLOOKUP('盛付札（関数）'!D70,#REF!,7,FALSE)))*F70),"")</f>
        <v/>
      </c>
      <c r="H70" s="195" t="str" cm="1">
        <f t="array" aca="1" ref="H70" ca="1">IF(C70&lt;&gt;"",
IF(INDIRECT("数出表_Excel!"&amp;LEFT(クライアント抽出!V70)&amp;A70-1&amp;"")&lt;&gt;"",INDIRECT("数出表_Excel!"&amp;LEFT(クライアント抽出!V70)&amp;A70-1&amp;""),0),"")</f>
        <v/>
      </c>
      <c r="I70" s="52" t="str" cm="1">
        <f t="array" aca="1" ref="I70" ca="1">IF(C70&lt;&gt;"",
IF(INDIRECT("数出表_Excel!"&amp;LEFT(クライアント抽出!V70)&amp;A70&amp;"")&lt;&gt;"",INDIRECT("数出表_Excel!"&amp;LEFT(クライアント抽出!V70)&amp;A70&amp;""),0),"")</f>
        <v/>
      </c>
      <c r="J70" s="52" t="str">
        <f ca="1">IF(C70&lt;&gt;"",
VLOOKUP(
IF(COUNTIF(D70,"*学食*"),"キャラ弁（学食）",
IF(COUNTIF(D70,"*赤*"),"赤",
IF(COUNTIF(D70,"*キャラ弁当*"),"キャラ弁当",D70))),注文弁当の抽出!$E$1:$F$15,2,FALSE),"")</f>
        <v/>
      </c>
      <c r="K70" s="52" t="str">
        <f t="shared" ca="1" si="15"/>
        <v/>
      </c>
      <c r="L70" s="52" t="str">
        <f t="shared" ca="1" si="16"/>
        <v/>
      </c>
      <c r="M70" s="52" cm="1">
        <f t="array" aca="1" ref="M70" ca="1">IF(C70&lt;&gt;"",
IF(IFERROR(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0)&lt;&gt;0,
IF(IFERROR(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"")="",
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""),
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0)),0),0)</f>
        <v>0</v>
      </c>
      <c r="N70" s="52" t="e">
        <f t="array" aca="1" ref="N70" ca="1">IF(B70="博多",
IF(C70&lt;&gt;"",
IF(IFERROR(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0)&lt;&gt;0,
IF(IFERROR(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0)="",
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0),
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0)),0),""),0)</f>
        <v>#N/A</v>
      </c>
      <c r="O70" s="52" t="e">
        <f t="shared" ca="1" si="17"/>
        <v>#N/A</v>
      </c>
      <c r="P70" s="52">
        <f t="shared" ca="1" si="4"/>
        <v>0</v>
      </c>
      <c r="Q70" s="52" t="b">
        <f t="shared" ca="1" si="18"/>
        <v>0</v>
      </c>
      <c r="R70" s="51" t="str" cm="1">
        <f t="array" aca="1" ref="R70" ca="1">IFERROR(SMALL(IF(P$1:P$300&lt;&gt;0,P$1:P$300),ROW(A70)),"")</f>
        <v/>
      </c>
      <c r="S70" s="51" t="str">
        <f t="array" aca="1" ref="S70" ca="1">IF($R70&lt;&gt;"",
INDIRECT(""&amp;IF(COLUMN(C90)&lt;=26,CHAR(COLUMN(C90)+64),CHAR(INT((COLUMN(C90)-1)/26)+64)&amp;CHAR(MOD(COLUMN(C90)-1,26)+65))&amp;$R70&amp;""),"")</f>
        <v/>
      </c>
      <c r="T70" s="51" t="str" cm="1">
        <f t="array" aca="1" ref="T70" ca="1">IF(IF($R70&lt;&gt;"",
INDIRECT(""&amp;IF(COLUMN(D90)&lt;=26,CHAR(COLUMN(D90)+64),CHAR(INT((COLUMN(D90)-1)/26)+64)&amp;CHAR(MOD(COLUMN(D90)-1,26)+65))&amp;$R70&amp;""),"")=0,"",
IF($R70&lt;&gt;"",
INDIRECT(""&amp;IF(COLUMN(D90)&lt;=26,CHAR(COLUMN(D90)+64),CHAR(INT((COLUMN(D90)-1)/26)+64)&amp;CHAR(MOD(COLUMN(D90)-1,26)+65))&amp;$R70&amp;""),""))</f>
        <v/>
      </c>
      <c r="U70" s="51"/>
      <c r="V70" s="51" t="str">
        <f t="array" aca="1" ref="V70" ca="1">IF($R70&lt;&gt;"",
IF(U70="",
IF(INDIRECT("EY"&amp;$R70&amp;"")&lt;&gt;"",
INDIRECT("EY"&amp;$R70&amp;"")&amp;"箱"
&amp;INDIRECT("EZ"&amp;$R70&amp;""),""),""),"")</f>
        <v/>
      </c>
      <c r="W70" s="51" t="str">
        <f t="array" aca="1" ref="W70" ca="1">IF($R70&lt;&gt;"",
INDIRECT(""&amp;IF(COLUMN(H90)&lt;=26,CHAR(COLUMN(H90)+64),CHAR(INT((COLUMN(H90)-1)/26)+64)&amp;CHAR(MOD(COLUMN(H90)-1,26)+65))&amp;$R70&amp;""),"")</f>
        <v/>
      </c>
      <c r="X70" s="51" t="str">
        <f t="array" aca="1" ref="X70" ca="1">IF($R70&lt;&gt;"",
INDIRECT(""&amp;IF(COLUMN(I90)&lt;=26,CHAR(COLUMN(I90)+64),CHAR(INT((COLUMN(I90)-1)/26)+64)&amp;CHAR(MOD(COLUMN(I90)-1,26)+65))&amp;$R70&amp;""),"")</f>
        <v/>
      </c>
      <c r="Y70" s="51" t="str">
        <f t="array" aca="1" ref="Y70" ca="1">IF($R70&lt;&gt;"",
INDIRECT(""&amp;IF(COLUMN(J90)&lt;=26,CHAR(COLUMN(J90)+64),CHAR(INT((COLUMN(J90)-1)/26)+64)&amp;CHAR(MOD(COLUMN(J90)-1,26)+65))&amp;$R70&amp;""),"")</f>
        <v/>
      </c>
      <c r="Z70" s="51" t="str">
        <f t="array" aca="1" ref="Z70" ca="1">IF($R70&lt;&gt;"",
INDIRECT(""&amp;IF(COLUMN(K90)&lt;=26,CHAR(COLUMN(K90)+64),CHAR(INT((COLUMN(K90)-1)/26)+64)&amp;CHAR(MOD(COLUMN(K90)-1,26)+65))&amp;$R70&amp;""),"")</f>
        <v/>
      </c>
      <c r="AA70" s="51" t="str">
        <f t="array" aca="1" ref="AA70" ca="1">IF($R70&lt;&gt;"",
INDIRECT(""&amp;IF(COLUMN(L90)&lt;=26,CHAR(COLUMN(L90)+64),CHAR(INT((COLUMN(L90)-1)/26)+64)&amp;CHAR(MOD(COLUMN(L90)-1,26)+65))&amp;$R70&amp;""),"")</f>
        <v/>
      </c>
      <c r="AB70" s="51" t="str">
        <f t="array" aca="1" ref="AB70" ca="1">IF($R70&lt;&gt;"",
INDIRECT(""&amp;IF(COLUMN(O90)&lt;=26,CHAR(COLUMN(O90)+64),CHAR(INT((COLUMN(O90)-1)/26)+64)&amp;CHAR(MOD(COLUMN(O90)-1,26)+65))&amp;$R70&amp;""),"")</f>
        <v/>
      </c>
    </row>
    <row r="71" spans="1:28" s="51" customFormat="1" ht="22.2" customHeight="1">
      <c r="A71" s="200">
        <v>7</v>
      </c>
      <c r="B71" s="200" t="e" cm="1">
        <f t="array" aca="1" ref="B71" ca="1">IF(AND(LEFT(C71,2)="博多",
LEFT(INDIRECT("数出表_Excel!A"&amp;MATCH(C71,数出表_Excel!$A:$A,0)-1),2)
=LEFT(INDIRECT("数出表_Excel!A"&amp;MATCH(C71,数出表_Excel!$A:$A,0)+1),2)),"博多",
IF(AND(LEFT(C71,3)="奈良屋",
LEFT(INDIRECT("数出表_Excel!A"&amp;MATCH(C71,数出表_Excel!$A:$A,0)-1),2)
=LEFT(INDIRECT("数出表_Excel!A"&amp;MATCH(C71,数出表_Excel!$A:$A,0)+1),2)),"奈良屋",""))</f>
        <v>#N/A</v>
      </c>
      <c r="C71" s="200" t="str" cm="1">
        <f t="array" aca="1" ref="C71" ca="1">IF(IF(クライアント抽出!A1="",0,LEN(クライアント抽出!V1)-LEN(SUBSTITUTE(クライアント抽出!V1,",","")))&gt;=2,INDIRECT("数出表_Excel!A"&amp;A71&amp;""),"")</f>
        <v/>
      </c>
      <c r="D71" s="200" t="str" cm="1">
        <f t="array" aca="1" ref="D71" ca="1">IF(C71&lt;&gt;"",INDIRECT("クライアント抽出!"&amp;E71&amp;MATCH(C71,クライアント抽出!A:A,0)&amp;""),"")</f>
        <v/>
      </c>
      <c r="E71" s="20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201" t="str" cm="1">
        <f t="array" aca="1" ref="F71" ca="1">IF(D71&lt;&gt;"",
IF(COUNTIF(C71,"*雙葉*"),
IF(ROUND(
IF(O71&lt;&gt;"",(H71-O71),H71)
/IF(COUNTIF('盛付札（関数）'!D71,"*キャラ*"),
VLOOKUP("*キャラ*",#REF!,7,FALSE),
IF(COUNTIF('盛付札（関数）'!D71,"*赤*"),
VLOOKUP("*赤*",#REF!,7,FALSE),
VLOOKUP('盛付札（関数）'!D71,#REF!,7,FALSE))),0)&lt;=0,1,
ROUND(
IF(O71&lt;&gt;"",(H71-O71),H71)
/IF(COUNTIF('盛付札（関数）'!D71,"*キャラ*"),
VLOOKUP("*キャラ*",#REF!,7,FALSE),
IF(COUNTIF('盛付札（関数）'!D71,"*赤*"),
VLOOKUP("*赤*",#REF!,7,FALSE),
VLOOKUP('盛付札（関数）'!D71,#REF!,7,FALSE))),0)),
IF(MATCH(TRUE,
ISNUMBER(--INDIRECT("数出表_Excel!B"&amp;MATCH(C71,数出表_Excel!$A:$A,0)-1&amp;":U"&amp;MATCH(C71,数出表_Excel!$A:$A,0)-1&amp;"")),0)&gt;10,
IF(D71&lt;&gt;"",
IF(IF(COUNTIF('盛付札（関数）'!D71,"*キャラ*"),
VLOOKUP("*キャラ*",#REF!,7,FALSE),
IF(COUNTIF('盛付札（関数）'!D71,"*赤*"),
VLOOKUP("*赤*",#REF!,7,FALSE),
VLOOKUP('盛付札（関数）'!D71,#REF!,7,FALSE)))=0,"",
IF(ROUND(
IF(O71&lt;&gt;"",(H71-O71),H71)
/IF(COUNTIF('盛付札（関数）'!D71,"*キャラ*"),
VLOOKUP("*キャラ*",#REF!,7,FALSE),
IF(COUNTIF('盛付札（関数）'!D71,"*赤*"),
VLOOKUP("*赤*",#REF!,7,FALSE),
VLOOKUP('盛付札（関数）'!D71,#REF!,7,FALSE))),0)&lt;=0,1,
ROUND(
IF(O71&lt;&gt;"",(H71-O71),H71)
/IF(COUNTIF('盛付札（関数）'!D71,"*キャラ*"),
VLOOKUP("*キャラ*",#REF!,7,FALSE),
IF(COUNTIF('盛付札（関数）'!D71,"*赤*"),
VLOOKUP("*赤*",#REF!,7,FALSE),
VLOOKUP('盛付札（関数）'!D71,#REF!,7,FALSE))),0))),""),"")),"")</f>
        <v/>
      </c>
      <c r="G71" s="201" t="str">
        <f ca="1">IF(F71&lt;&gt;"",IF(VALUE(IF(O71&lt;&gt;"",H71-O71,H71))&gt;VALUE(IF(COUNTIF('盛付札（関数）'!D71,"*キャラ*"),
VLOOKUP("*キャラ*",#REF!,7,FALSE),
IF(COUNTIF('盛付札（関数）'!D71,"*赤*"),
VLOOKUP("*赤*",#REF!,7,FALSE),
VLOOKUP('盛付札（関数）'!D71,#REF!,7,FALSE)))*F71),
"+"&amp;IF(O71&lt;&gt;"",H71-O71,H71)-IF(COUNTIF('盛付札（関数）'!D71,"*キャラ*"),
VLOOKUP("*キャラ*",#REF!,7,FALSE),
IF(COUNTIF('盛付札（関数）'!D71,"*赤*"),
VLOOKUP("*赤*",#REF!,7,FALSE),
VLOOKUP('盛付札（関数）'!D71,#REF!,7,FALSE)))*F71,
IF(O71&lt;&gt;"",H71-O71,H71)-IF(COUNTIF('盛付札（関数）'!D71,"*キャラ*"),
VLOOKUP("*キャラ*",#REF!,7,FALSE),
IF(COUNTIF('盛付札（関数）'!D71,"*赤*"),
VLOOKUP("*赤*",#REF!,7,FALSE),
VLOOKUP('盛付札（関数）'!D71,#REF!,7,FALSE)))*F71),"")</f>
        <v/>
      </c>
      <c r="H71" s="202" t="str" cm="1">
        <f t="array" aca="1" ref="H71" ca="1">IF(C71&lt;&gt;"",
IF(INDIRECT("数出表_Excel!"&amp;IFERROR(MID(クライアント抽出!V1,FIND(",",クライアント抽出!V1)+1,1),"")&amp;A71-1&amp;"")&lt;&gt;"",
INDIRECT("数出表_Excel!"&amp;IFERROR(MID(クライアント抽出!V1,FIND(",",クライアント抽出!V1)+1,1),"")&amp;A71-1&amp;""),0),"")</f>
        <v/>
      </c>
      <c r="I71" s="200" t="str" cm="1">
        <f t="array" aca="1" ref="I71" ca="1">IF(C71&lt;&gt;"",
IF(INDIRECT("数出表_Excel!"&amp;IFERROR(MID(クライアント抽出!V1,FIND(",",クライアント抽出!V1)+1,1),"")&amp;A71&amp;"")&lt;&gt;"",
INDIRECT("数出表_Excel!"&amp;IFERROR(MID(クライアント抽出!V1,FIND(",",クライアント抽出!V1)+1,1),"")&amp;A71&amp;""),0),"")</f>
        <v/>
      </c>
      <c r="J71" s="200" t="str">
        <f ca="1">IF(C71&lt;&gt;"",
VLOOKUP(
IF(COUNTIF(D71,"*学食*"),"キャラ弁（学食）",
IF(COUNTIF(D71,"*赤*"),"赤",
IF(COUNTIF(D71,"*キャラ弁当*"),"キャラ弁当",D71))),注文弁当の抽出!$E$1:$F$15,2,FALSE),"")</f>
        <v/>
      </c>
      <c r="K71" s="200" t="str">
        <f ca="1">IF(C71&lt;&gt;"",
IFERROR(INT(H71/J71),""),"")</f>
        <v/>
      </c>
      <c r="L71" s="200" t="str">
        <f ca="1">IFERROR(MOD(H71,J71),"")</f>
        <v/>
      </c>
      <c r="M71" s="200" cm="1">
        <f t="array" aca="1" ref="M71" ca="1">IF(C71&lt;&gt;"",
IF(IFERROR(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0)&lt;&gt;0,
IF(IFERROR(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"")="",
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""),
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0)),0),0)</f>
        <v>0</v>
      </c>
      <c r="N71" s="200" t="e">
        <f t="array" aca="1" ref="N71" ca="1">IF(B71="博多",
IF(C71&lt;&gt;"",
IF(IFERROR(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0)&lt;&gt;0,
IF(IFERROR(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0)="",
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0),
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0)),0),""),0)</f>
        <v>#N/A</v>
      </c>
      <c r="O71" s="200" t="e">
        <f t="shared" ca="1" si="17"/>
        <v>#N/A</v>
      </c>
      <c r="P71" s="200">
        <f t="shared" ca="1" si="4"/>
        <v>0</v>
      </c>
      <c r="Q71" s="200" t="b">
        <f t="shared" ref="Q71" ca="1" si="19">IF(C71&lt;&gt;"",TRUE,FALSE)</f>
        <v>0</v>
      </c>
      <c r="R71" s="51" t="str" cm="1">
        <f t="array" aca="1" ref="R71" ca="1">IFERROR(SMALL(IF(P$1:P$300&lt;&gt;0,P$1:P$300),ROW(A71)),"")</f>
        <v/>
      </c>
      <c r="S71" s="51" t="str">
        <f t="array" aca="1" ref="S71" ca="1">IF($R71&lt;&gt;"",
INDIRECT(""&amp;IF(COLUMN(C91)&lt;=26,CHAR(COLUMN(C91)+64),CHAR(INT((COLUMN(C91)-1)/26)+64)&amp;CHAR(MOD(COLUMN(C91)-1,26)+65))&amp;$R71&amp;""),"")</f>
        <v/>
      </c>
      <c r="T71" s="51" t="str" cm="1">
        <f t="array" aca="1" ref="T71" ca="1">IF(IF($R71&lt;&gt;"",
INDIRECT(""&amp;IF(COLUMN(D91)&lt;=26,CHAR(COLUMN(D91)+64),CHAR(INT((COLUMN(D91)-1)/26)+64)&amp;CHAR(MOD(COLUMN(D91)-1,26)+65))&amp;$R71&amp;""),"")=0,"",
IF($R71&lt;&gt;"",
INDIRECT(""&amp;IF(COLUMN(D91)&lt;=26,CHAR(COLUMN(D91)+64),CHAR(INT((COLUMN(D91)-1)/26)+64)&amp;CHAR(MOD(COLUMN(D91)-1,26)+65))&amp;$R71&amp;""),""))</f>
        <v/>
      </c>
      <c r="V71" s="51" t="str">
        <f t="array" aca="1" ref="V71" ca="1">IF($R71&lt;&gt;"",
IF(U71="",
IF(INDIRECT("EY"&amp;$R71&amp;"")&lt;&gt;"",
INDIRECT("EY"&amp;$R71&amp;"")&amp;"箱"
&amp;INDIRECT("EZ"&amp;$R71&amp;""),""),""),"")</f>
        <v/>
      </c>
      <c r="W71" s="51" t="str">
        <f t="array" aca="1" ref="W71" ca="1">IF($R71&lt;&gt;"",
INDIRECT(""&amp;IF(COLUMN(H91)&lt;=26,CHAR(COLUMN(H91)+64),CHAR(INT((COLUMN(H91)-1)/26)+64)&amp;CHAR(MOD(COLUMN(H91)-1,26)+65))&amp;$R71&amp;""),"")</f>
        <v/>
      </c>
      <c r="X71" s="51" t="str">
        <f t="array" aca="1" ref="X71" ca="1">IF($R71&lt;&gt;"",
INDIRECT(""&amp;IF(COLUMN(I91)&lt;=26,CHAR(COLUMN(I91)+64),CHAR(INT((COLUMN(I91)-1)/26)+64)&amp;CHAR(MOD(COLUMN(I91)-1,26)+65))&amp;$R71&amp;""),"")</f>
        <v/>
      </c>
      <c r="Y71" s="51" t="str">
        <f t="array" aca="1" ref="Y71" ca="1">IF($R71&lt;&gt;"",
INDIRECT(""&amp;IF(COLUMN(J91)&lt;=26,CHAR(COLUMN(J91)+64),CHAR(INT((COLUMN(J91)-1)/26)+64)&amp;CHAR(MOD(COLUMN(J91)-1,26)+65))&amp;$R71&amp;""),"")</f>
        <v/>
      </c>
      <c r="Z71" s="51" t="str">
        <f t="array" aca="1" ref="Z71" ca="1">IF($R71&lt;&gt;"",
INDIRECT(""&amp;IF(COLUMN(K91)&lt;=26,CHAR(COLUMN(K91)+64),CHAR(INT((COLUMN(K91)-1)/26)+64)&amp;CHAR(MOD(COLUMN(K91)-1,26)+65))&amp;$R71&amp;""),"")</f>
        <v/>
      </c>
      <c r="AA71" s="51" t="str">
        <f t="array" aca="1" ref="AA71" ca="1">IF($R71&lt;&gt;"",
INDIRECT(""&amp;IF(COLUMN(L91)&lt;=26,CHAR(COLUMN(L91)+64),CHAR(INT((COLUMN(L91)-1)/26)+64)&amp;CHAR(MOD(COLUMN(L91)-1,26)+65))&amp;$R71&amp;""),"")</f>
        <v/>
      </c>
      <c r="AB71" s="51" t="str">
        <f t="array" aca="1" ref="AB71" ca="1">IF($R71&lt;&gt;"",
INDIRECT(""&amp;IF(COLUMN(O91)&lt;=26,CHAR(COLUMN(O91)+64),CHAR(INT((COLUMN(O91)-1)/26)+64)&amp;CHAR(MOD(COLUMN(O91)-1,26)+65))&amp;$R71&amp;""),"")</f>
        <v/>
      </c>
    </row>
    <row r="72" spans="1:28" ht="21" customHeight="1">
      <c r="A72" s="199">
        <f>A71+2</f>
        <v>9</v>
      </c>
      <c r="B72" s="200" t="e" cm="1">
        <f t="array" aca="1" ref="B72" ca="1">IF(AND(LEFT(C72,2)="博多",
LEFT(INDIRECT("数出表_Excel!A"&amp;MATCH(C72,数出表_Excel!$A:$A,0)-1),2)
=LEFT(INDIRECT("数出表_Excel!A"&amp;MATCH(C72,数出表_Excel!$A:$A,0)+1),2)),"博多",
IF(AND(LEFT(C72,3)="奈良屋",
LEFT(INDIRECT("数出表_Excel!A"&amp;MATCH(C72,数出表_Excel!$A:$A,0)-1),2)
=LEFT(INDIRECT("数出表_Excel!A"&amp;MATCH(C72,数出表_Excel!$A:$A,0)+1),2)),"奈良屋",""))</f>
        <v>#N/A</v>
      </c>
      <c r="C72" s="200" t="str" cm="1">
        <f t="array" aca="1" ref="C72" ca="1">IF(IF(クライアント抽出!A2="",0,LEN(クライアント抽出!V2)-LEN(SUBSTITUTE(クライアント抽出!V2,",","")))&gt;=2,INDIRECT("数出表_Excel!A"&amp;A72&amp;""),"")</f>
        <v/>
      </c>
      <c r="D72" s="200" t="str" cm="1">
        <f t="array" aca="1" ref="D72" ca="1">IF(C72&lt;&gt;"",INDIRECT("クライアント抽出!"&amp;E72&amp;MATCH(C72,クライアント抽出!A:A,0)&amp;""),"")</f>
        <v/>
      </c>
      <c r="E72" s="20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201" t="str" cm="1">
        <f t="array" aca="1" ref="F72" ca="1">IF(D72&lt;&gt;"",
IF(COUNTIF(C72,"*雙葉*"),
IF(ROUND(
IF(O72&lt;&gt;"",(H72-O72),H72)
/IF(COUNTIF('盛付札（関数）'!D72,"*キャラ*"),
VLOOKUP("*キャラ*",#REF!,7,FALSE),
IF(COUNTIF('盛付札（関数）'!D72,"*赤*"),
VLOOKUP("*赤*",#REF!,7,FALSE),
VLOOKUP('盛付札（関数）'!D72,#REF!,7,FALSE))),0)&lt;=0,1,
ROUND(
IF(O72&lt;&gt;"",(H72-O72),H72)
/IF(COUNTIF('盛付札（関数）'!D72,"*キャラ*"),
VLOOKUP("*キャラ*",#REF!,7,FALSE),
IF(COUNTIF('盛付札（関数）'!D72,"*赤*"),
VLOOKUP("*赤*",#REF!,7,FALSE),
VLOOKUP('盛付札（関数）'!D72,#REF!,7,FALSE))),0)),
IF(MATCH(TRUE,
ISNUMBER(--INDIRECT("数出表_Excel!B"&amp;MATCH(C72,数出表_Excel!$A:$A,0)-1&amp;":U"&amp;MATCH(C72,数出表_Excel!$A:$A,0)-1&amp;"")),0)&gt;10,
IF(D72&lt;&gt;"",
IF(IF(COUNTIF('盛付札（関数）'!D72,"*キャラ*"),
VLOOKUP("*キャラ*",#REF!,7,FALSE),
IF(COUNTIF('盛付札（関数）'!D72,"*赤*"),
VLOOKUP("*赤*",#REF!,7,FALSE),
VLOOKUP('盛付札（関数）'!D72,#REF!,7,FALSE)))=0,"",
IF(ROUND(
IF(O72&lt;&gt;"",(H72-O72),H72)
/IF(COUNTIF('盛付札（関数）'!D72,"*キャラ*"),
VLOOKUP("*キャラ*",#REF!,7,FALSE),
IF(COUNTIF('盛付札（関数）'!D72,"*赤*"),
VLOOKUP("*赤*",#REF!,7,FALSE),
VLOOKUP('盛付札（関数）'!D72,#REF!,7,FALSE))),0)&lt;=0,1,
ROUND(
IF(O72&lt;&gt;"",(H72-O72),H72)
/IF(COUNTIF('盛付札（関数）'!D72,"*キャラ*"),
VLOOKUP("*キャラ*",#REF!,7,FALSE),
IF(COUNTIF('盛付札（関数）'!D72,"*赤*"),
VLOOKUP("*赤*",#REF!,7,FALSE),
VLOOKUP('盛付札（関数）'!D72,#REF!,7,FALSE))),0))),""),"")),"")</f>
        <v/>
      </c>
      <c r="G72" s="201" t="str">
        <f ca="1">IF(F72&lt;&gt;"",IF(VALUE(IF(O72&lt;&gt;"",H72-O72,H72))&gt;VALUE(IF(COUNTIF('盛付札（関数）'!D72,"*キャラ*"),
VLOOKUP("*キャラ*",#REF!,7,FALSE),
IF(COUNTIF('盛付札（関数）'!D72,"*赤*"),
VLOOKUP("*赤*",#REF!,7,FALSE),
VLOOKUP('盛付札（関数）'!D72,#REF!,7,FALSE)))*F72),
"+"&amp;IF(O72&lt;&gt;"",H72-O72,H72)-IF(COUNTIF('盛付札（関数）'!D72,"*キャラ*"),
VLOOKUP("*キャラ*",#REF!,7,FALSE),
IF(COUNTIF('盛付札（関数）'!D72,"*赤*"),
VLOOKUP("*赤*",#REF!,7,FALSE),
VLOOKUP('盛付札（関数）'!D72,#REF!,7,FALSE)))*F72,
IF(O72&lt;&gt;"",H72-O72,H72)-IF(COUNTIF('盛付札（関数）'!D72,"*キャラ*"),
VLOOKUP("*キャラ*",#REF!,7,FALSE),
IF(COUNTIF('盛付札（関数）'!D72,"*赤*"),
VLOOKUP("*赤*",#REF!,7,FALSE),
VLOOKUP('盛付札（関数）'!D72,#REF!,7,FALSE)))*F72),"")</f>
        <v/>
      </c>
      <c r="H72" s="202" t="str" cm="1">
        <f t="array" aca="1" ref="H72" ca="1">IF(C72&lt;&gt;"",
IF(INDIRECT("数出表_Excel!"&amp;IFERROR(MID(クライアント抽出!V2,FIND(",",クライアント抽出!V2)+1,1),"")&amp;A72-1&amp;"")&lt;&gt;"",
INDIRECT("数出表_Excel!"&amp;IFERROR(MID(クライアント抽出!V2,FIND(",",クライアント抽出!V2)+1,1),"")&amp;A72-1&amp;""),0),"")</f>
        <v/>
      </c>
      <c r="I72" s="200" t="str" cm="1">
        <f t="array" aca="1" ref="I72" ca="1">IF(C72&lt;&gt;"",
IF(INDIRECT("数出表_Excel!"&amp;IFERROR(MID(クライアント抽出!V2,FIND(",",クライアント抽出!V2)+1,1),"")&amp;A72&amp;"")&lt;&gt;"",
INDIRECT("数出表_Excel!"&amp;IFERROR(MID(クライアント抽出!V2,FIND(",",クライアント抽出!V2)+1,1),"")&amp;A72&amp;""),0),"")</f>
        <v/>
      </c>
      <c r="J72" s="200" t="str">
        <f ca="1">IF(C72&lt;&gt;"",
VLOOKUP(
IF(COUNTIF(D72,"*学食*"),"キャラ弁（学食）",
IF(COUNTIF(D72,"*赤*"),"赤",
IF(COUNTIF(D72,"*キャラ弁当*"),"キャラ弁当",D72))),注文弁当の抽出!$E$1:$F$15,2,FALSE),"")</f>
        <v/>
      </c>
      <c r="K72" s="200" t="str">
        <f t="shared" ref="K72:K86" ca="1" si="20">IF(C72&lt;&gt;"",
IFERROR(INT(H72/J72),""),"")</f>
        <v/>
      </c>
      <c r="L72" s="200" t="str">
        <f t="shared" ref="L72:L86" ca="1" si="21">IFERROR(MOD(H72,J72),"")</f>
        <v/>
      </c>
      <c r="M72" s="200" cm="1">
        <f t="array" aca="1" ref="M72" ca="1">IF(C72&lt;&gt;"",
IF(IFERROR(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0)&lt;&gt;0,
IF(IFERROR(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"")="",
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""),
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0)),0),0)</f>
        <v>0</v>
      </c>
      <c r="N72" s="200" t="e">
        <f t="array" aca="1" ref="N72" ca="1">IF(B72="博多",
IF(C72&lt;&gt;"",
IF(IFERROR(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0)&lt;&gt;0,
IF(IFERROR(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0)="",
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0),
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0)),0),""),0)</f>
        <v>#N/A</v>
      </c>
      <c r="O72" s="200" t="e">
        <f t="shared" ref="O72:O86" ca="1" si="22">M72+N72</f>
        <v>#N/A</v>
      </c>
      <c r="P72" s="200">
        <f t="shared" ca="1" si="4"/>
        <v>0</v>
      </c>
      <c r="Q72" s="200" t="b">
        <f t="shared" ref="Q72:Q86" ca="1" si="23">IF(C72&lt;&gt;"",TRUE,FALSE)</f>
        <v>0</v>
      </c>
      <c r="R72" s="51" t="str" cm="1">
        <f t="array" aca="1" ref="R72" ca="1">IFERROR(SMALL(IF(P$1:P$300&lt;&gt;0,P$1:P$300),ROW(A72)),"")</f>
        <v/>
      </c>
      <c r="S72" s="51" t="str">
        <f t="array" aca="1" ref="S72" ca="1">IF($R72&lt;&gt;"",
INDIRECT(""&amp;IF(COLUMN(C92)&lt;=26,CHAR(COLUMN(C92)+64),CHAR(INT((COLUMN(C92)-1)/26)+64)&amp;CHAR(MOD(COLUMN(C92)-1,26)+65))&amp;$R72&amp;""),"")</f>
        <v/>
      </c>
      <c r="T72" s="51" t="str" cm="1">
        <f t="array" aca="1" ref="T72" ca="1">IF(IF($R72&lt;&gt;"",
INDIRECT(""&amp;IF(COLUMN(D92)&lt;=26,CHAR(COLUMN(D92)+64),CHAR(INT((COLUMN(D92)-1)/26)+64)&amp;CHAR(MOD(COLUMN(D92)-1,26)+65))&amp;$R72&amp;""),"")=0,"",
IF($R72&lt;&gt;"",
INDIRECT(""&amp;IF(COLUMN(D92)&lt;=26,CHAR(COLUMN(D92)+64),CHAR(INT((COLUMN(D92)-1)/26)+64)&amp;CHAR(MOD(COLUMN(D92)-1,26)+65))&amp;$R72&amp;""),""))</f>
        <v/>
      </c>
      <c r="U72" s="51"/>
      <c r="V72" s="51" t="str">
        <f t="array" aca="1" ref="V72" ca="1">IF($R72&lt;&gt;"",
IF(U72="",
IF(INDIRECT("EY"&amp;$R72&amp;"")&lt;&gt;"",
INDIRECT("EY"&amp;$R72&amp;"")&amp;"箱"
&amp;INDIRECT("EZ"&amp;$R72&amp;""),""),""),"")</f>
        <v/>
      </c>
      <c r="W72" s="51" t="str">
        <f t="array" aca="1" ref="W72" ca="1">IF($R72&lt;&gt;"",
INDIRECT(""&amp;IF(COLUMN(H92)&lt;=26,CHAR(COLUMN(H92)+64),CHAR(INT((COLUMN(H92)-1)/26)+64)&amp;CHAR(MOD(COLUMN(H92)-1,26)+65))&amp;$R72&amp;""),"")</f>
        <v/>
      </c>
      <c r="X72" s="51" t="str">
        <f t="array" aca="1" ref="X72" ca="1">IF($R72&lt;&gt;"",
INDIRECT(""&amp;IF(COLUMN(I92)&lt;=26,CHAR(COLUMN(I92)+64),CHAR(INT((COLUMN(I92)-1)/26)+64)&amp;CHAR(MOD(COLUMN(I92)-1,26)+65))&amp;$R72&amp;""),"")</f>
        <v/>
      </c>
      <c r="Y72" s="51" t="str">
        <f t="array" aca="1" ref="Y72" ca="1">IF($R72&lt;&gt;"",
INDIRECT(""&amp;IF(COLUMN(J92)&lt;=26,CHAR(COLUMN(J92)+64),CHAR(INT((COLUMN(J92)-1)/26)+64)&amp;CHAR(MOD(COLUMN(J92)-1,26)+65))&amp;$R72&amp;""),"")</f>
        <v/>
      </c>
      <c r="Z72" s="51" t="str">
        <f t="array" aca="1" ref="Z72" ca="1">IF($R72&lt;&gt;"",
INDIRECT(""&amp;IF(COLUMN(K92)&lt;=26,CHAR(COLUMN(K92)+64),CHAR(INT((COLUMN(K92)-1)/26)+64)&amp;CHAR(MOD(COLUMN(K92)-1,26)+65))&amp;$R72&amp;""),"")</f>
        <v/>
      </c>
      <c r="AA72" s="51" t="str">
        <f t="array" aca="1" ref="AA72" ca="1">IF($R72&lt;&gt;"",
INDIRECT(""&amp;IF(COLUMN(L92)&lt;=26,CHAR(COLUMN(L92)+64),CHAR(INT((COLUMN(L92)-1)/26)+64)&amp;CHAR(MOD(COLUMN(L92)-1,26)+65))&amp;$R72&amp;""),"")</f>
        <v/>
      </c>
      <c r="AB72" s="51" t="str">
        <f t="array" aca="1" ref="AB72" ca="1">IF($R72&lt;&gt;"",
INDIRECT(""&amp;IF(COLUMN(O92)&lt;=26,CHAR(COLUMN(O92)+64),CHAR(INT((COLUMN(O92)-1)/26)+64)&amp;CHAR(MOD(COLUMN(O92)-1,26)+65))&amp;$R72&amp;""),"")</f>
        <v/>
      </c>
    </row>
    <row r="73" spans="1:28" s="51" customFormat="1" ht="19.2" customHeight="1">
      <c r="A73" s="199">
        <f t="shared" ref="A73:A104" si="24">A72+2</f>
        <v>11</v>
      </c>
      <c r="B73" s="200" t="e" cm="1">
        <f t="array" aca="1" ref="B73" ca="1">IF(AND(LEFT(C73,2)="博多",
LEFT(INDIRECT("数出表_Excel!A"&amp;MATCH(C73,数出表_Excel!$A:$A,0)-1),2)
=LEFT(INDIRECT("数出表_Excel!A"&amp;MATCH(C73,数出表_Excel!$A:$A,0)+1),2)),"博多",
IF(AND(LEFT(C73,3)="奈良屋",
LEFT(INDIRECT("数出表_Excel!A"&amp;MATCH(C73,数出表_Excel!$A:$A,0)-1),2)
=LEFT(INDIRECT("数出表_Excel!A"&amp;MATCH(C73,数出表_Excel!$A:$A,0)+1),2)),"奈良屋",""))</f>
        <v>#N/A</v>
      </c>
      <c r="C73" s="200" t="str" cm="1">
        <f t="array" aca="1" ref="C73" ca="1">IF(IF(クライアント抽出!A3="",0,LEN(クライアント抽出!V3)-LEN(SUBSTITUTE(クライアント抽出!V3,",","")))&gt;=2,INDIRECT("数出表_Excel!A"&amp;A73&amp;""),"")</f>
        <v/>
      </c>
      <c r="D73" s="200" t="str" cm="1">
        <f t="array" aca="1" ref="D73" ca="1">IF(C73&lt;&gt;"",INDIRECT("クライアント抽出!"&amp;E73&amp;MATCH(C73,クライアント抽出!A:A,0)&amp;""),"")</f>
        <v/>
      </c>
      <c r="E73" s="20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201" t="str" cm="1">
        <f t="array" aca="1" ref="F73" ca="1">IF(D73&lt;&gt;"",
IF(COUNTIF(C73,"*雙葉*"),
IF(ROUND(
IF(O73&lt;&gt;"",(H73-O73),H73)
/IF(COUNTIF('盛付札（関数）'!D73,"*キャラ*"),
VLOOKUP("*キャラ*",#REF!,7,FALSE),
IF(COUNTIF('盛付札（関数）'!D73,"*赤*"),
VLOOKUP("*赤*",#REF!,7,FALSE),
VLOOKUP('盛付札（関数）'!D73,#REF!,7,FALSE))),0)&lt;=0,1,
ROUND(
IF(O73&lt;&gt;"",(H73-O73),H73)
/IF(COUNTIF('盛付札（関数）'!D73,"*キャラ*"),
VLOOKUP("*キャラ*",#REF!,7,FALSE),
IF(COUNTIF('盛付札（関数）'!D73,"*赤*"),
VLOOKUP("*赤*",#REF!,7,FALSE),
VLOOKUP('盛付札（関数）'!D73,#REF!,7,FALSE))),0)),
IF(MATCH(TRUE,
ISNUMBER(--INDIRECT("数出表_Excel!B"&amp;MATCH(C73,数出表_Excel!$A:$A,0)-1&amp;":U"&amp;MATCH(C73,数出表_Excel!$A:$A,0)-1&amp;"")),0)&gt;10,
IF(D73&lt;&gt;"",
IF(IF(COUNTIF('盛付札（関数）'!D73,"*キャラ*"),
VLOOKUP("*キャラ*",#REF!,7,FALSE),
IF(COUNTIF('盛付札（関数）'!D73,"*赤*"),
VLOOKUP("*赤*",#REF!,7,FALSE),
VLOOKUP('盛付札（関数）'!D73,#REF!,7,FALSE)))=0,"",
IF(ROUND(
IF(O73&lt;&gt;"",(H73-O73),H73)
/IF(COUNTIF('盛付札（関数）'!D73,"*キャラ*"),
VLOOKUP("*キャラ*",#REF!,7,FALSE),
IF(COUNTIF('盛付札（関数）'!D73,"*赤*"),
VLOOKUP("*赤*",#REF!,7,FALSE),
VLOOKUP('盛付札（関数）'!D73,#REF!,7,FALSE))),0)&lt;=0,1,
ROUND(
IF(O73&lt;&gt;"",(H73-O73),H73)
/IF(COUNTIF('盛付札（関数）'!D73,"*キャラ*"),
VLOOKUP("*キャラ*",#REF!,7,FALSE),
IF(COUNTIF('盛付札（関数）'!D73,"*赤*"),
VLOOKUP("*赤*",#REF!,7,FALSE),
VLOOKUP('盛付札（関数）'!D73,#REF!,7,FALSE))),0))),""),"")),"")</f>
        <v/>
      </c>
      <c r="G73" s="201" t="str">
        <f ca="1">IF(F73&lt;&gt;"",IF(VALUE(IF(O73&lt;&gt;"",H73-O73,H73))&gt;VALUE(IF(COUNTIF('盛付札（関数）'!D73,"*キャラ*"),
VLOOKUP("*キャラ*",#REF!,7,FALSE),
IF(COUNTIF('盛付札（関数）'!D73,"*赤*"),
VLOOKUP("*赤*",#REF!,7,FALSE),
VLOOKUP('盛付札（関数）'!D73,#REF!,7,FALSE)))*F73),
"+"&amp;IF(O73&lt;&gt;"",H73-O73,H73)-IF(COUNTIF('盛付札（関数）'!D73,"*キャラ*"),
VLOOKUP("*キャラ*",#REF!,7,FALSE),
IF(COUNTIF('盛付札（関数）'!D73,"*赤*"),
VLOOKUP("*赤*",#REF!,7,FALSE),
VLOOKUP('盛付札（関数）'!D73,#REF!,7,FALSE)))*F73,
IF(O73&lt;&gt;"",H73-O73,H73)-IF(COUNTIF('盛付札（関数）'!D73,"*キャラ*"),
VLOOKUP("*キャラ*",#REF!,7,FALSE),
IF(COUNTIF('盛付札（関数）'!D73,"*赤*"),
VLOOKUP("*赤*",#REF!,7,FALSE),
VLOOKUP('盛付札（関数）'!D73,#REF!,7,FALSE)))*F73),"")</f>
        <v/>
      </c>
      <c r="H73" s="202" t="str" cm="1">
        <f t="array" aca="1" ref="H73" ca="1">IF(C73&lt;&gt;"",
IF(INDIRECT("数出表_Excel!"&amp;IFERROR(MID(クライアント抽出!V3,FIND(",",クライアント抽出!V3)+1,1),"")&amp;A73-1&amp;"")&lt;&gt;"",
INDIRECT("数出表_Excel!"&amp;IFERROR(MID(クライアント抽出!V3,FIND(",",クライアント抽出!V3)+1,1),"")&amp;A73-1&amp;""),0),"")</f>
        <v/>
      </c>
      <c r="I73" s="200" t="str" cm="1">
        <f t="array" aca="1" ref="I73" ca="1">IF(C73&lt;&gt;"",
IF(INDIRECT("数出表_Excel!"&amp;IFERROR(MID(クライアント抽出!V3,FIND(",",クライアント抽出!V3)+1,1),"")&amp;A73&amp;"")&lt;&gt;"",
INDIRECT("数出表_Excel!"&amp;IFERROR(MID(クライアント抽出!V3,FIND(",",クライアント抽出!V3)+1,1),"")&amp;A73&amp;""),0),"")</f>
        <v/>
      </c>
      <c r="J73" s="200" t="str">
        <f ca="1">IF(C73&lt;&gt;"",
VLOOKUP(
IF(COUNTIF(D73,"*学食*"),"キャラ弁（学食）",
IF(COUNTIF(D73,"*赤*"),"赤",
IF(COUNTIF(D73,"*キャラ弁当*"),"キャラ弁当",D73))),注文弁当の抽出!$E$1:$F$15,2,FALSE),"")</f>
        <v/>
      </c>
      <c r="K73" s="200" t="str">
        <f t="shared" ca="1" si="20"/>
        <v/>
      </c>
      <c r="L73" s="200" t="str">
        <f t="shared" ca="1" si="21"/>
        <v/>
      </c>
      <c r="M73" s="200" cm="1">
        <f t="array" aca="1" ref="M73" ca="1">IF(C73&lt;&gt;"",
IF(IFERROR(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0)&lt;&gt;0,
IF(IFERROR(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"")="",
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""),
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0)),0),0)</f>
        <v>0</v>
      </c>
      <c r="N73" s="200" t="e">
        <f t="array" aca="1" ref="N73" ca="1">IF(B73="博多",
IF(C73&lt;&gt;"",
IF(IFERROR(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0)&lt;&gt;0,
IF(IFERROR(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0)="",
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0),
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0)),0),""),0)</f>
        <v>#N/A</v>
      </c>
      <c r="O73" s="200" t="e">
        <f t="shared" ca="1" si="22"/>
        <v>#N/A</v>
      </c>
      <c r="P73" s="200">
        <f t="shared" ca="1" si="4"/>
        <v>0</v>
      </c>
      <c r="Q73" s="200" t="b">
        <f t="shared" ca="1" si="23"/>
        <v>0</v>
      </c>
      <c r="R73" s="51" t="str" cm="1">
        <f t="array" aca="1" ref="R73" ca="1">IFERROR(SMALL(IF(P$1:P$300&lt;&gt;0,P$1:P$300),ROW(A73)),"")</f>
        <v/>
      </c>
      <c r="S73" s="51" t="str">
        <f t="array" aca="1" ref="S73" ca="1">IF($R73&lt;&gt;"",
INDIRECT(""&amp;IF(COLUMN(C93)&lt;=26,CHAR(COLUMN(C93)+64),CHAR(INT((COLUMN(C93)-1)/26)+64)&amp;CHAR(MOD(COLUMN(C93)-1,26)+65))&amp;$R73&amp;""),"")</f>
        <v/>
      </c>
      <c r="T73" s="51" t="str" cm="1">
        <f t="array" aca="1" ref="T73" ca="1">IF(IF($R73&lt;&gt;"",
INDIRECT(""&amp;IF(COLUMN(D93)&lt;=26,CHAR(COLUMN(D93)+64),CHAR(INT((COLUMN(D93)-1)/26)+64)&amp;CHAR(MOD(COLUMN(D93)-1,26)+65))&amp;$R73&amp;""),"")=0,"",
IF($R73&lt;&gt;"",
INDIRECT(""&amp;IF(COLUMN(D93)&lt;=26,CHAR(COLUMN(D93)+64),CHAR(INT((COLUMN(D93)-1)/26)+64)&amp;CHAR(MOD(COLUMN(D93)-1,26)+65))&amp;$R73&amp;""),""))</f>
        <v/>
      </c>
      <c r="V73" s="51" t="str">
        <f t="array" aca="1" ref="V73" ca="1">IF($R73&lt;&gt;"",
IF(U73="",
IF(INDIRECT("EY"&amp;$R73&amp;"")&lt;&gt;"",
INDIRECT("EY"&amp;$R73&amp;"")&amp;"箱"
&amp;INDIRECT("EZ"&amp;$R73&amp;""),""),""),"")</f>
        <v/>
      </c>
      <c r="W73" s="51" t="str">
        <f t="array" aca="1" ref="W73" ca="1">IF($R73&lt;&gt;"",
INDIRECT(""&amp;IF(COLUMN(H93)&lt;=26,CHAR(COLUMN(H93)+64),CHAR(INT((COLUMN(H93)-1)/26)+64)&amp;CHAR(MOD(COLUMN(H93)-1,26)+65))&amp;$R73&amp;""),"")</f>
        <v/>
      </c>
      <c r="X73" s="51" t="str">
        <f t="array" aca="1" ref="X73" ca="1">IF($R73&lt;&gt;"",
INDIRECT(""&amp;IF(COLUMN(I93)&lt;=26,CHAR(COLUMN(I93)+64),CHAR(INT((COLUMN(I93)-1)/26)+64)&amp;CHAR(MOD(COLUMN(I93)-1,26)+65))&amp;$R73&amp;""),"")</f>
        <v/>
      </c>
      <c r="Y73" s="51" t="str">
        <f t="array" aca="1" ref="Y73" ca="1">IF($R73&lt;&gt;"",
INDIRECT(""&amp;IF(COLUMN(J93)&lt;=26,CHAR(COLUMN(J93)+64),CHAR(INT((COLUMN(J93)-1)/26)+64)&amp;CHAR(MOD(COLUMN(J93)-1,26)+65))&amp;$R73&amp;""),"")</f>
        <v/>
      </c>
      <c r="Z73" s="51" t="str">
        <f t="array" aca="1" ref="Z73" ca="1">IF($R73&lt;&gt;"",
INDIRECT(""&amp;IF(COLUMN(K93)&lt;=26,CHAR(COLUMN(K93)+64),CHAR(INT((COLUMN(K93)-1)/26)+64)&amp;CHAR(MOD(COLUMN(K93)-1,26)+65))&amp;$R73&amp;""),"")</f>
        <v/>
      </c>
      <c r="AA73" s="51" t="str">
        <f t="array" aca="1" ref="AA73" ca="1">IF($R73&lt;&gt;"",
INDIRECT(""&amp;IF(COLUMN(L93)&lt;=26,CHAR(COLUMN(L93)+64),CHAR(INT((COLUMN(L93)-1)/26)+64)&amp;CHAR(MOD(COLUMN(L93)-1,26)+65))&amp;$R73&amp;""),"")</f>
        <v/>
      </c>
      <c r="AB73" s="51" t="str">
        <f t="array" aca="1" ref="AB73" ca="1">IF($R73&lt;&gt;"",
INDIRECT(""&amp;IF(COLUMN(O93)&lt;=26,CHAR(COLUMN(O93)+64),CHAR(INT((COLUMN(O93)-1)/26)+64)&amp;CHAR(MOD(COLUMN(O93)-1,26)+65))&amp;$R73&amp;""),"")</f>
        <v/>
      </c>
    </row>
    <row r="74" spans="1:28" s="51" customFormat="1" ht="19.2" customHeight="1">
      <c r="A74" s="199">
        <f t="shared" si="24"/>
        <v>13</v>
      </c>
      <c r="B74" s="200" t="e" cm="1">
        <f t="array" aca="1" ref="B74" ca="1">IF(AND(LEFT(C74,2)="博多",
LEFT(INDIRECT("数出表_Excel!A"&amp;MATCH(C74,数出表_Excel!$A:$A,0)-1),2)
=LEFT(INDIRECT("数出表_Excel!A"&amp;MATCH(C74,数出表_Excel!$A:$A,0)+1),2)),"博多",
IF(AND(LEFT(C74,3)="奈良屋",
LEFT(INDIRECT("数出表_Excel!A"&amp;MATCH(C74,数出表_Excel!$A:$A,0)-1),2)
=LEFT(INDIRECT("数出表_Excel!A"&amp;MATCH(C74,数出表_Excel!$A:$A,0)+1),2)),"奈良屋",""))</f>
        <v>#N/A</v>
      </c>
      <c r="C74" s="200" t="str" cm="1">
        <f t="array" aca="1" ref="C74" ca="1">IF(IF(クライアント抽出!A4="",0,LEN(クライアント抽出!V4)-LEN(SUBSTITUTE(クライアント抽出!V4,",","")))&gt;=2,INDIRECT("数出表_Excel!A"&amp;A74&amp;""),"")</f>
        <v/>
      </c>
      <c r="D74" s="200" t="str" cm="1">
        <f t="array" aca="1" ref="D74" ca="1">IF(C74&lt;&gt;"",INDIRECT("クライアント抽出!"&amp;E74&amp;MATCH(C74,クライアント抽出!A:A,0)&amp;""),"")</f>
        <v/>
      </c>
      <c r="E74" s="20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201" t="str" cm="1">
        <f t="array" aca="1" ref="F74" ca="1">IF(D74&lt;&gt;"",
IF(COUNTIF(C74,"*雙葉*"),
IF(ROUND(
IF(O74&lt;&gt;"",(H74-O74),H74)
/IF(COUNTIF('盛付札（関数）'!D74,"*キャラ*"),
VLOOKUP("*キャラ*",#REF!,7,FALSE),
IF(COUNTIF('盛付札（関数）'!D74,"*赤*"),
VLOOKUP("*赤*",#REF!,7,FALSE),
VLOOKUP('盛付札（関数）'!D74,#REF!,7,FALSE))),0)&lt;=0,1,
ROUND(
IF(O74&lt;&gt;"",(H74-O74),H74)
/IF(COUNTIF('盛付札（関数）'!D74,"*キャラ*"),
VLOOKUP("*キャラ*",#REF!,7,FALSE),
IF(COUNTIF('盛付札（関数）'!D74,"*赤*"),
VLOOKUP("*赤*",#REF!,7,FALSE),
VLOOKUP('盛付札（関数）'!D74,#REF!,7,FALSE))),0)),
IF(MATCH(TRUE,
ISNUMBER(--INDIRECT("数出表_Excel!B"&amp;MATCH(C74,数出表_Excel!$A:$A,0)-1&amp;":U"&amp;MATCH(C74,数出表_Excel!$A:$A,0)-1&amp;"")),0)&gt;10,
IF(D74&lt;&gt;"",
IF(IF(COUNTIF('盛付札（関数）'!D74,"*キャラ*"),
VLOOKUP("*キャラ*",#REF!,7,FALSE),
IF(COUNTIF('盛付札（関数）'!D74,"*赤*"),
VLOOKUP("*赤*",#REF!,7,FALSE),
VLOOKUP('盛付札（関数）'!D74,#REF!,7,FALSE)))=0,"",
IF(ROUND(
IF(O74&lt;&gt;"",(H74-O74),H74)
/IF(COUNTIF('盛付札（関数）'!D74,"*キャラ*"),
VLOOKUP("*キャラ*",#REF!,7,FALSE),
IF(COUNTIF('盛付札（関数）'!D74,"*赤*"),
VLOOKUP("*赤*",#REF!,7,FALSE),
VLOOKUP('盛付札（関数）'!D74,#REF!,7,FALSE))),0)&lt;=0,1,
ROUND(
IF(O74&lt;&gt;"",(H74-O74),H74)
/IF(COUNTIF('盛付札（関数）'!D74,"*キャラ*"),
VLOOKUP("*キャラ*",#REF!,7,FALSE),
IF(COUNTIF('盛付札（関数）'!D74,"*赤*"),
VLOOKUP("*赤*",#REF!,7,FALSE),
VLOOKUP('盛付札（関数）'!D74,#REF!,7,FALSE))),0))),""),"")),"")</f>
        <v/>
      </c>
      <c r="G74" s="201" t="str">
        <f ca="1">IF(F74&lt;&gt;"",IF(VALUE(IF(O74&lt;&gt;"",H74-O74,H74))&gt;VALUE(IF(COUNTIF('盛付札（関数）'!D74,"*キャラ*"),
VLOOKUP("*キャラ*",#REF!,7,FALSE),
IF(COUNTIF('盛付札（関数）'!D74,"*赤*"),
VLOOKUP("*赤*",#REF!,7,FALSE),
VLOOKUP('盛付札（関数）'!D74,#REF!,7,FALSE)))*F74),
"+"&amp;IF(O74&lt;&gt;"",H74-O74,H74)-IF(COUNTIF('盛付札（関数）'!D74,"*キャラ*"),
VLOOKUP("*キャラ*",#REF!,7,FALSE),
IF(COUNTIF('盛付札（関数）'!D74,"*赤*"),
VLOOKUP("*赤*",#REF!,7,FALSE),
VLOOKUP('盛付札（関数）'!D74,#REF!,7,FALSE)))*F74,
IF(O74&lt;&gt;"",H74-O74,H74)-IF(COUNTIF('盛付札（関数）'!D74,"*キャラ*"),
VLOOKUP("*キャラ*",#REF!,7,FALSE),
IF(COUNTIF('盛付札（関数）'!D74,"*赤*"),
VLOOKUP("*赤*",#REF!,7,FALSE),
VLOOKUP('盛付札（関数）'!D74,#REF!,7,FALSE)))*F74),"")</f>
        <v/>
      </c>
      <c r="H74" s="202" t="str" cm="1">
        <f t="array" aca="1" ref="H74" ca="1">IF(C74&lt;&gt;"",
IF(INDIRECT("数出表_Excel!"&amp;IFERROR(MID(クライアント抽出!V4,FIND(",",クライアント抽出!V4)+1,1),"")&amp;A74-1&amp;"")&lt;&gt;"",
INDIRECT("数出表_Excel!"&amp;IFERROR(MID(クライアント抽出!V4,FIND(",",クライアント抽出!V4)+1,1),"")&amp;A74-1&amp;""),0),"")</f>
        <v/>
      </c>
      <c r="I74" s="200" t="str" cm="1">
        <f t="array" aca="1" ref="I74" ca="1">IF(C74&lt;&gt;"",
IF(INDIRECT("数出表_Excel!"&amp;IFERROR(MID(クライアント抽出!V4,FIND(",",クライアント抽出!V4)+1,1),"")&amp;A74&amp;"")&lt;&gt;"",
INDIRECT("数出表_Excel!"&amp;IFERROR(MID(クライアント抽出!V4,FIND(",",クライアント抽出!V4)+1,1),"")&amp;A74&amp;""),0),"")</f>
        <v/>
      </c>
      <c r="J74" s="200" t="str">
        <f ca="1">IF(C74&lt;&gt;"",
VLOOKUP(
IF(COUNTIF(D74,"*学食*"),"キャラ弁（学食）",
IF(COUNTIF(D74,"*赤*"),"赤",
IF(COUNTIF(D74,"*キャラ弁当*"),"キャラ弁当",D74))),注文弁当の抽出!$E$1:$F$15,2,FALSE),"")</f>
        <v/>
      </c>
      <c r="K74" s="200" t="str">
        <f t="shared" ca="1" si="20"/>
        <v/>
      </c>
      <c r="L74" s="200" t="str">
        <f t="shared" ca="1" si="21"/>
        <v/>
      </c>
      <c r="M74" s="200" cm="1">
        <f t="array" aca="1" ref="M74" ca="1">IF(C74&lt;&gt;"",
IF(IFERROR(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0)&lt;&gt;0,
IF(IFERROR(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"")="",
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""),
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0)),0),0)</f>
        <v>0</v>
      </c>
      <c r="N74" s="200" t="e">
        <f t="array" aca="1" ref="N74" ca="1">IF(B74="博多",
IF(C74&lt;&gt;"",
IF(IFERROR(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0)&lt;&gt;0,
IF(IFERROR(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0)="",
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0),
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0)),0),""),0)</f>
        <v>#N/A</v>
      </c>
      <c r="O74" s="200" t="e">
        <f t="shared" ca="1" si="22"/>
        <v>#N/A</v>
      </c>
      <c r="P74" s="200">
        <f t="shared" ca="1" si="4"/>
        <v>0</v>
      </c>
      <c r="Q74" s="200" t="b">
        <f t="shared" ca="1" si="23"/>
        <v>0</v>
      </c>
      <c r="R74" s="51" t="str" cm="1">
        <f t="array" aca="1" ref="R74" ca="1">IFERROR(SMALL(IF(P$1:P$300&lt;&gt;0,P$1:P$300),ROW(A74)),"")</f>
        <v/>
      </c>
      <c r="S74" s="51" t="str">
        <f t="array" aca="1" ref="S74" ca="1">IF($R74&lt;&gt;"",
INDIRECT(""&amp;IF(COLUMN(C94)&lt;=26,CHAR(COLUMN(C94)+64),CHAR(INT((COLUMN(C94)-1)/26)+64)&amp;CHAR(MOD(COLUMN(C94)-1,26)+65))&amp;$R74&amp;""),"")</f>
        <v/>
      </c>
      <c r="T74" s="51" t="str" cm="1">
        <f t="array" aca="1" ref="T74" ca="1">IF(IF($R74&lt;&gt;"",
INDIRECT(""&amp;IF(COLUMN(D94)&lt;=26,CHAR(COLUMN(D94)+64),CHAR(INT((COLUMN(D94)-1)/26)+64)&amp;CHAR(MOD(COLUMN(D94)-1,26)+65))&amp;$R74&amp;""),"")=0,"",
IF($R74&lt;&gt;"",
INDIRECT(""&amp;IF(COLUMN(D94)&lt;=26,CHAR(COLUMN(D94)+64),CHAR(INT((COLUMN(D94)-1)/26)+64)&amp;CHAR(MOD(COLUMN(D94)-1,26)+65))&amp;$R74&amp;""),""))</f>
        <v/>
      </c>
      <c r="V74" s="51" t="str">
        <f t="array" aca="1" ref="V74" ca="1">IF($R74&lt;&gt;"",
IF(U74="",
IF(INDIRECT("EY"&amp;$R74&amp;"")&lt;&gt;"",
INDIRECT("EY"&amp;$R74&amp;"")&amp;"箱"
&amp;INDIRECT("EZ"&amp;$R74&amp;""),""),""),"")</f>
        <v/>
      </c>
      <c r="W74" s="51" t="str">
        <f t="array" aca="1" ref="W74" ca="1">IF($R74&lt;&gt;"",
INDIRECT(""&amp;IF(COLUMN(H94)&lt;=26,CHAR(COLUMN(H94)+64),CHAR(INT((COLUMN(H94)-1)/26)+64)&amp;CHAR(MOD(COLUMN(H94)-1,26)+65))&amp;$R74&amp;""),"")</f>
        <v/>
      </c>
      <c r="X74" s="51" t="str">
        <f t="array" aca="1" ref="X74" ca="1">IF($R74&lt;&gt;"",
INDIRECT(""&amp;IF(COLUMN(I94)&lt;=26,CHAR(COLUMN(I94)+64),CHAR(INT((COLUMN(I94)-1)/26)+64)&amp;CHAR(MOD(COLUMN(I94)-1,26)+65))&amp;$R74&amp;""),"")</f>
        <v/>
      </c>
      <c r="Y74" s="51" t="str">
        <f t="array" aca="1" ref="Y74" ca="1">IF($R74&lt;&gt;"",
INDIRECT(""&amp;IF(COLUMN(J94)&lt;=26,CHAR(COLUMN(J94)+64),CHAR(INT((COLUMN(J94)-1)/26)+64)&amp;CHAR(MOD(COLUMN(J94)-1,26)+65))&amp;$R74&amp;""),"")</f>
        <v/>
      </c>
      <c r="Z74" s="51" t="str">
        <f t="array" aca="1" ref="Z74" ca="1">IF($R74&lt;&gt;"",
INDIRECT(""&amp;IF(COLUMN(K94)&lt;=26,CHAR(COLUMN(K94)+64),CHAR(INT((COLUMN(K94)-1)/26)+64)&amp;CHAR(MOD(COLUMN(K94)-1,26)+65))&amp;$R74&amp;""),"")</f>
        <v/>
      </c>
      <c r="AA74" s="51" t="str">
        <f t="array" aca="1" ref="AA74" ca="1">IF($R74&lt;&gt;"",
INDIRECT(""&amp;IF(COLUMN(L94)&lt;=26,CHAR(COLUMN(L94)+64),CHAR(INT((COLUMN(L94)-1)/26)+64)&amp;CHAR(MOD(COLUMN(L94)-1,26)+65))&amp;$R74&amp;""),"")</f>
        <v/>
      </c>
      <c r="AB74" s="51" t="str">
        <f t="array" aca="1" ref="AB74" ca="1">IF($R74&lt;&gt;"",
INDIRECT(""&amp;IF(COLUMN(O94)&lt;=26,CHAR(COLUMN(O94)+64),CHAR(INT((COLUMN(O94)-1)/26)+64)&amp;CHAR(MOD(COLUMN(O94)-1,26)+65))&amp;$R74&amp;""),"")</f>
        <v/>
      </c>
    </row>
    <row r="75" spans="1:28" s="51" customFormat="1" ht="22.2" customHeight="1">
      <c r="A75" s="199">
        <f t="shared" si="24"/>
        <v>15</v>
      </c>
      <c r="B75" s="200" t="e" cm="1">
        <f t="array" aca="1" ref="B75" ca="1">IF(AND(LEFT(C75,2)="博多",
LEFT(INDIRECT("数出表_Excel!A"&amp;MATCH(C75,数出表_Excel!$A:$A,0)-1),2)
=LEFT(INDIRECT("数出表_Excel!A"&amp;MATCH(C75,数出表_Excel!$A:$A,0)+1),2)),"博多",
IF(AND(LEFT(C75,3)="奈良屋",
LEFT(INDIRECT("数出表_Excel!A"&amp;MATCH(C75,数出表_Excel!$A:$A,0)-1),2)
=LEFT(INDIRECT("数出表_Excel!A"&amp;MATCH(C75,数出表_Excel!$A:$A,0)+1),2)),"奈良屋",""))</f>
        <v>#N/A</v>
      </c>
      <c r="C75" s="200" t="str" cm="1">
        <f t="array" aca="1" ref="C75" ca="1">IF(IF(クライアント抽出!A5="",0,LEN(クライアント抽出!V5)-LEN(SUBSTITUTE(クライアント抽出!V5,",","")))&gt;=2,INDIRECT("数出表_Excel!A"&amp;A75&amp;""),"")</f>
        <v/>
      </c>
      <c r="D75" s="200" t="str" cm="1">
        <f t="array" aca="1" ref="D75" ca="1">IF(C75&lt;&gt;"",INDIRECT("クライアント抽出!"&amp;E75&amp;MATCH(C75,クライアント抽出!A:A,0)&amp;""),"")</f>
        <v/>
      </c>
      <c r="E75" s="20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201" t="str" cm="1">
        <f t="array" aca="1" ref="F75" ca="1">IF(D75&lt;&gt;"",
IF(COUNTIF(C75,"*雙葉*"),
IF(ROUND(
IF(O75&lt;&gt;"",(H75-O75),H75)
/IF(COUNTIF('盛付札（関数）'!D75,"*キャラ*"),
VLOOKUP("*キャラ*",#REF!,7,FALSE),
IF(COUNTIF('盛付札（関数）'!D75,"*赤*"),
VLOOKUP("*赤*",#REF!,7,FALSE),
VLOOKUP('盛付札（関数）'!D75,#REF!,7,FALSE))),0)&lt;=0,1,
ROUND(
IF(O75&lt;&gt;"",(H75-O75),H75)
/IF(COUNTIF('盛付札（関数）'!D75,"*キャラ*"),
VLOOKUP("*キャラ*",#REF!,7,FALSE),
IF(COUNTIF('盛付札（関数）'!D75,"*赤*"),
VLOOKUP("*赤*",#REF!,7,FALSE),
VLOOKUP('盛付札（関数）'!D75,#REF!,7,FALSE))),0)),
IF(MATCH(TRUE,
ISNUMBER(--INDIRECT("数出表_Excel!B"&amp;MATCH(C75,数出表_Excel!$A:$A,0)-1&amp;":U"&amp;MATCH(C75,数出表_Excel!$A:$A,0)-1&amp;"")),0)&gt;10,
IF(D75&lt;&gt;"",
IF(IF(COUNTIF('盛付札（関数）'!D75,"*キャラ*"),
VLOOKUP("*キャラ*",#REF!,7,FALSE),
IF(COUNTIF('盛付札（関数）'!D75,"*赤*"),
VLOOKUP("*赤*",#REF!,7,FALSE),
VLOOKUP('盛付札（関数）'!D75,#REF!,7,FALSE)))=0,"",
IF(ROUND(
IF(O75&lt;&gt;"",(H75-O75),H75)
/IF(COUNTIF('盛付札（関数）'!D75,"*キャラ*"),
VLOOKUP("*キャラ*",#REF!,7,FALSE),
IF(COUNTIF('盛付札（関数）'!D75,"*赤*"),
VLOOKUP("*赤*",#REF!,7,FALSE),
VLOOKUP('盛付札（関数）'!D75,#REF!,7,FALSE))),0)&lt;=0,1,
ROUND(
IF(O75&lt;&gt;"",(H75-O75),H75)
/IF(COUNTIF('盛付札（関数）'!D75,"*キャラ*"),
VLOOKUP("*キャラ*",#REF!,7,FALSE),
IF(COUNTIF('盛付札（関数）'!D75,"*赤*"),
VLOOKUP("*赤*",#REF!,7,FALSE),
VLOOKUP('盛付札（関数）'!D75,#REF!,7,FALSE))),0))),""),"")),"")</f>
        <v/>
      </c>
      <c r="G75" s="201" t="str">
        <f ca="1">IF(F75&lt;&gt;"",IF(VALUE(IF(O75&lt;&gt;"",H75-O75,H75))&gt;VALUE(IF(COUNTIF('盛付札（関数）'!D75,"*キャラ*"),
VLOOKUP("*キャラ*",#REF!,7,FALSE),
IF(COUNTIF('盛付札（関数）'!D75,"*赤*"),
VLOOKUP("*赤*",#REF!,7,FALSE),
VLOOKUP('盛付札（関数）'!D75,#REF!,7,FALSE)))*F75),
"+"&amp;IF(O75&lt;&gt;"",H75-O75,H75)-IF(COUNTIF('盛付札（関数）'!D75,"*キャラ*"),
VLOOKUP("*キャラ*",#REF!,7,FALSE),
IF(COUNTIF('盛付札（関数）'!D75,"*赤*"),
VLOOKUP("*赤*",#REF!,7,FALSE),
VLOOKUP('盛付札（関数）'!D75,#REF!,7,FALSE)))*F75,
IF(O75&lt;&gt;"",H75-O75,H75)-IF(COUNTIF('盛付札（関数）'!D75,"*キャラ*"),
VLOOKUP("*キャラ*",#REF!,7,FALSE),
IF(COUNTIF('盛付札（関数）'!D75,"*赤*"),
VLOOKUP("*赤*",#REF!,7,FALSE),
VLOOKUP('盛付札（関数）'!D75,#REF!,7,FALSE)))*F75),"")</f>
        <v/>
      </c>
      <c r="H75" s="202" t="str" cm="1">
        <f t="array" aca="1" ref="H75" ca="1">IF(C75&lt;&gt;"",
IF(INDIRECT("数出表_Excel!"&amp;IFERROR(MID(クライアント抽出!V5,FIND(",",クライアント抽出!V5)+1,1),"")&amp;A75-1&amp;"")&lt;&gt;"",
INDIRECT("数出表_Excel!"&amp;IFERROR(MID(クライアント抽出!V5,FIND(",",クライアント抽出!V5)+1,1),"")&amp;A75-1&amp;""),0),"")</f>
        <v/>
      </c>
      <c r="I75" s="200" t="str" cm="1">
        <f t="array" aca="1" ref="I75" ca="1">IF(C75&lt;&gt;"",
IF(INDIRECT("数出表_Excel!"&amp;IFERROR(MID(クライアント抽出!V5,FIND(",",クライアント抽出!V5)+1,1),"")&amp;A75&amp;"")&lt;&gt;"",
INDIRECT("数出表_Excel!"&amp;IFERROR(MID(クライアント抽出!V5,FIND(",",クライアント抽出!V5)+1,1),"")&amp;A75&amp;""),0),"")</f>
        <v/>
      </c>
      <c r="J75" s="200" t="str">
        <f ca="1">IF(C75&lt;&gt;"",
VLOOKUP(
IF(COUNTIF(D75,"*学食*"),"キャラ弁（学食）",
IF(COUNTIF(D75,"*赤*"),"赤",
IF(COUNTIF(D75,"*キャラ弁当*"),"キャラ弁当",D75))),注文弁当の抽出!$E$1:$F$15,2,FALSE),"")</f>
        <v/>
      </c>
      <c r="K75" s="200" t="str">
        <f t="shared" ca="1" si="20"/>
        <v/>
      </c>
      <c r="L75" s="200" t="str">
        <f t="shared" ca="1" si="21"/>
        <v/>
      </c>
      <c r="M75" s="200" cm="1">
        <f t="array" aca="1" ref="M75" ca="1">IF(C75&lt;&gt;"",
IF(IFERROR(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0)&lt;&gt;0,
IF(IFERROR(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"")="",
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""),
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0)),0),0)</f>
        <v>0</v>
      </c>
      <c r="N75" s="200" t="e">
        <f t="array" aca="1" ref="N75" ca="1">IF(B75="博多",
IF(C75&lt;&gt;"",
IF(IFERROR(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0)&lt;&gt;0,
IF(IFERROR(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0)="",
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0),
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0)),0),""),0)</f>
        <v>#N/A</v>
      </c>
      <c r="O75" s="200" t="e">
        <f t="shared" ca="1" si="22"/>
        <v>#N/A</v>
      </c>
      <c r="P75" s="200">
        <f t="shared" ca="1" si="4"/>
        <v>0</v>
      </c>
      <c r="Q75" s="200" t="b">
        <f t="shared" ca="1" si="23"/>
        <v>0</v>
      </c>
      <c r="R75" s="51" t="str" cm="1">
        <f t="array" aca="1" ref="R75" ca="1">IFERROR(SMALL(IF(P$1:P$300&lt;&gt;0,P$1:P$300),ROW(A75)),"")</f>
        <v/>
      </c>
      <c r="S75" s="51" t="str">
        <f t="array" aca="1" ref="S75" ca="1">IF($R75&lt;&gt;"",
INDIRECT(""&amp;IF(COLUMN(C95)&lt;=26,CHAR(COLUMN(C95)+64),CHAR(INT((COLUMN(C95)-1)/26)+64)&amp;CHAR(MOD(COLUMN(C95)-1,26)+65))&amp;$R75&amp;""),"")</f>
        <v/>
      </c>
      <c r="T75" s="51" t="str" cm="1">
        <f t="array" aca="1" ref="T75" ca="1">IF(IF($R75&lt;&gt;"",
INDIRECT(""&amp;IF(COLUMN(D95)&lt;=26,CHAR(COLUMN(D95)+64),CHAR(INT((COLUMN(D95)-1)/26)+64)&amp;CHAR(MOD(COLUMN(D95)-1,26)+65))&amp;$R75&amp;""),"")=0,"",
IF($R75&lt;&gt;"",
INDIRECT(""&amp;IF(COLUMN(D95)&lt;=26,CHAR(COLUMN(D95)+64),CHAR(INT((COLUMN(D95)-1)/26)+64)&amp;CHAR(MOD(COLUMN(D95)-1,26)+65))&amp;$R75&amp;""),""))</f>
        <v/>
      </c>
      <c r="V75" s="51" t="str">
        <f t="array" aca="1" ref="V75" ca="1">IF($R75&lt;&gt;"",
IF(U75="",
IF(INDIRECT("EY"&amp;$R75&amp;"")&lt;&gt;"",
INDIRECT("EY"&amp;$R75&amp;"")&amp;"箱"
&amp;INDIRECT("EZ"&amp;$R75&amp;""),""),""),"")</f>
        <v/>
      </c>
      <c r="W75" s="51" t="str">
        <f t="array" aca="1" ref="W75" ca="1">IF($R75&lt;&gt;"",
INDIRECT(""&amp;IF(COLUMN(H95)&lt;=26,CHAR(COLUMN(H95)+64),CHAR(INT((COLUMN(H95)-1)/26)+64)&amp;CHAR(MOD(COLUMN(H95)-1,26)+65))&amp;$R75&amp;""),"")</f>
        <v/>
      </c>
      <c r="X75" s="51" t="str">
        <f t="array" aca="1" ref="X75" ca="1">IF($R75&lt;&gt;"",
INDIRECT(""&amp;IF(COLUMN(I95)&lt;=26,CHAR(COLUMN(I95)+64),CHAR(INT((COLUMN(I95)-1)/26)+64)&amp;CHAR(MOD(COLUMN(I95)-1,26)+65))&amp;$R75&amp;""),"")</f>
        <v/>
      </c>
      <c r="Y75" s="51" t="str">
        <f t="array" aca="1" ref="Y75" ca="1">IF($R75&lt;&gt;"",
INDIRECT(""&amp;IF(COLUMN(J95)&lt;=26,CHAR(COLUMN(J95)+64),CHAR(INT((COLUMN(J95)-1)/26)+64)&amp;CHAR(MOD(COLUMN(J95)-1,26)+65))&amp;$R75&amp;""),"")</f>
        <v/>
      </c>
      <c r="Z75" s="51" t="str">
        <f t="array" aca="1" ref="Z75" ca="1">IF($R75&lt;&gt;"",
INDIRECT(""&amp;IF(COLUMN(K95)&lt;=26,CHAR(COLUMN(K95)+64),CHAR(INT((COLUMN(K95)-1)/26)+64)&amp;CHAR(MOD(COLUMN(K95)-1,26)+65))&amp;$R75&amp;""),"")</f>
        <v/>
      </c>
      <c r="AA75" s="51" t="str">
        <f t="array" aca="1" ref="AA75" ca="1">IF($R75&lt;&gt;"",
INDIRECT(""&amp;IF(COLUMN(L95)&lt;=26,CHAR(COLUMN(L95)+64),CHAR(INT((COLUMN(L95)-1)/26)+64)&amp;CHAR(MOD(COLUMN(L95)-1,26)+65))&amp;$R75&amp;""),"")</f>
        <v/>
      </c>
      <c r="AB75" s="51" t="str">
        <f t="array" aca="1" ref="AB75" ca="1">IF($R75&lt;&gt;"",
INDIRECT(""&amp;IF(COLUMN(O95)&lt;=26,CHAR(COLUMN(O95)+64),CHAR(INT((COLUMN(O95)-1)/26)+64)&amp;CHAR(MOD(COLUMN(O95)-1,26)+65))&amp;$R75&amp;""),"")</f>
        <v/>
      </c>
    </row>
    <row r="76" spans="1:28" ht="18" customHeight="1">
      <c r="A76" s="199">
        <f t="shared" si="24"/>
        <v>17</v>
      </c>
      <c r="B76" s="200" t="e" cm="1">
        <f t="array" aca="1" ref="B76" ca="1">IF(AND(LEFT(C76,2)="博多",
LEFT(INDIRECT("数出表_Excel!A"&amp;MATCH(C76,数出表_Excel!$A:$A,0)-1),2)
=LEFT(INDIRECT("数出表_Excel!A"&amp;MATCH(C76,数出表_Excel!$A:$A,0)+1),2)),"博多",
IF(AND(LEFT(C76,3)="奈良屋",
LEFT(INDIRECT("数出表_Excel!A"&amp;MATCH(C76,数出表_Excel!$A:$A,0)-1),2)
=LEFT(INDIRECT("数出表_Excel!A"&amp;MATCH(C76,数出表_Excel!$A:$A,0)+1),2)),"奈良屋",""))</f>
        <v>#N/A</v>
      </c>
      <c r="C76" s="200" t="str" cm="1">
        <f t="array" aca="1" ref="C76" ca="1">IF(IF(クライアント抽出!A6="",0,LEN(クライアント抽出!V6)-LEN(SUBSTITUTE(クライアント抽出!V6,",","")))&gt;=2,INDIRECT("数出表_Excel!A"&amp;A76&amp;""),"")</f>
        <v/>
      </c>
      <c r="D76" s="200" t="str" cm="1">
        <f t="array" aca="1" ref="D76" ca="1">IF(C76&lt;&gt;"",INDIRECT("クライアント抽出!"&amp;E76&amp;MATCH(C76,クライアント抽出!A:A,0)&amp;""),"")</f>
        <v/>
      </c>
      <c r="E76" s="20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201" t="str" cm="1">
        <f t="array" aca="1" ref="F76" ca="1">IF(D76&lt;&gt;"",
IF(COUNTIF(C76,"*雙葉*"),
IF(ROUND(
IF(O76&lt;&gt;"",(H76-O76),H76)
/IF(COUNTIF('盛付札（関数）'!D76,"*キャラ*"),
VLOOKUP("*キャラ*",#REF!,7,FALSE),
IF(COUNTIF('盛付札（関数）'!D76,"*赤*"),
VLOOKUP("*赤*",#REF!,7,FALSE),
VLOOKUP('盛付札（関数）'!D76,#REF!,7,FALSE))),0)&lt;=0,1,
ROUND(
IF(O76&lt;&gt;"",(H76-O76),H76)
/IF(COUNTIF('盛付札（関数）'!D76,"*キャラ*"),
VLOOKUP("*キャラ*",#REF!,7,FALSE),
IF(COUNTIF('盛付札（関数）'!D76,"*赤*"),
VLOOKUP("*赤*",#REF!,7,FALSE),
VLOOKUP('盛付札（関数）'!D76,#REF!,7,FALSE))),0)),
IF(MATCH(TRUE,
ISNUMBER(--INDIRECT("数出表_Excel!B"&amp;MATCH(C76,数出表_Excel!$A:$A,0)-1&amp;":U"&amp;MATCH(C76,数出表_Excel!$A:$A,0)-1&amp;"")),0)&gt;10,
IF(D76&lt;&gt;"",
IF(IF(COUNTIF('盛付札（関数）'!D76,"*キャラ*"),
VLOOKUP("*キャラ*",#REF!,7,FALSE),
IF(COUNTIF('盛付札（関数）'!D76,"*赤*"),
VLOOKUP("*赤*",#REF!,7,FALSE),
VLOOKUP('盛付札（関数）'!D76,#REF!,7,FALSE)))=0,"",
IF(ROUND(
IF(O76&lt;&gt;"",(H76-O76),H76)
/IF(COUNTIF('盛付札（関数）'!D76,"*キャラ*"),
VLOOKUP("*キャラ*",#REF!,7,FALSE),
IF(COUNTIF('盛付札（関数）'!D76,"*赤*"),
VLOOKUP("*赤*",#REF!,7,FALSE),
VLOOKUP('盛付札（関数）'!D76,#REF!,7,FALSE))),0)&lt;=0,1,
ROUND(
IF(O76&lt;&gt;"",(H76-O76),H76)
/IF(COUNTIF('盛付札（関数）'!D76,"*キャラ*"),
VLOOKUP("*キャラ*",#REF!,7,FALSE),
IF(COUNTIF('盛付札（関数）'!D76,"*赤*"),
VLOOKUP("*赤*",#REF!,7,FALSE),
VLOOKUP('盛付札（関数）'!D76,#REF!,7,FALSE))),0))),""),"")),"")</f>
        <v/>
      </c>
      <c r="G76" s="201" t="str">
        <f ca="1">IF(F76&lt;&gt;"",IF(VALUE(IF(O76&lt;&gt;"",H76-O76,H76))&gt;VALUE(IF(COUNTIF('盛付札（関数）'!D76,"*キャラ*"),
VLOOKUP("*キャラ*",#REF!,7,FALSE),
IF(COUNTIF('盛付札（関数）'!D76,"*赤*"),
VLOOKUP("*赤*",#REF!,7,FALSE),
VLOOKUP('盛付札（関数）'!D76,#REF!,7,FALSE)))*F76),
"+"&amp;IF(O76&lt;&gt;"",H76-O76,H76)-IF(COUNTIF('盛付札（関数）'!D76,"*キャラ*"),
VLOOKUP("*キャラ*",#REF!,7,FALSE),
IF(COUNTIF('盛付札（関数）'!D76,"*赤*"),
VLOOKUP("*赤*",#REF!,7,FALSE),
VLOOKUP('盛付札（関数）'!D76,#REF!,7,FALSE)))*F76,
IF(O76&lt;&gt;"",H76-O76,H76)-IF(COUNTIF('盛付札（関数）'!D76,"*キャラ*"),
VLOOKUP("*キャラ*",#REF!,7,FALSE),
IF(COUNTIF('盛付札（関数）'!D76,"*赤*"),
VLOOKUP("*赤*",#REF!,7,FALSE),
VLOOKUP('盛付札（関数）'!D76,#REF!,7,FALSE)))*F76),"")</f>
        <v/>
      </c>
      <c r="H76" s="202" t="str" cm="1">
        <f t="array" aca="1" ref="H76" ca="1">IF(C76&lt;&gt;"",
IF(INDIRECT("数出表_Excel!"&amp;IFERROR(MID(クライアント抽出!V6,FIND(",",クライアント抽出!V6)+1,1),"")&amp;A76-1&amp;"")&lt;&gt;"",
INDIRECT("数出表_Excel!"&amp;IFERROR(MID(クライアント抽出!V6,FIND(",",クライアント抽出!V6)+1,1),"")&amp;A76-1&amp;""),0),"")</f>
        <v/>
      </c>
      <c r="I76" s="200" t="str" cm="1">
        <f t="array" aca="1" ref="I76" ca="1">IF(C76&lt;&gt;"",
IF(INDIRECT("数出表_Excel!"&amp;IFERROR(MID(クライアント抽出!V6,FIND(",",クライアント抽出!V6)+1,1),"")&amp;A76&amp;"")&lt;&gt;"",
INDIRECT("数出表_Excel!"&amp;IFERROR(MID(クライアント抽出!V6,FIND(",",クライアント抽出!V6)+1,1),"")&amp;A76&amp;""),0),"")</f>
        <v/>
      </c>
      <c r="J76" s="200" t="str">
        <f ca="1">IF(C76&lt;&gt;"",
VLOOKUP(
IF(COUNTIF(D76,"*学食*"),"キャラ弁（学食）",
IF(COUNTIF(D76,"*赤*"),"赤",
IF(COUNTIF(D76,"*キャラ弁当*"),"キャラ弁当",D76))),注文弁当の抽出!$E$1:$F$15,2,FALSE),"")</f>
        <v/>
      </c>
      <c r="K76" s="200" t="str">
        <f t="shared" ca="1" si="20"/>
        <v/>
      </c>
      <c r="L76" s="200" t="str">
        <f t="shared" ca="1" si="21"/>
        <v/>
      </c>
      <c r="M76" s="200" cm="1">
        <f t="array" aca="1" ref="M76" ca="1">IF(C76&lt;&gt;"",
IF(IFERROR(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0)&lt;&gt;0,
IF(IFERROR(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"")="",
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""),
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0)),0),0)</f>
        <v>0</v>
      </c>
      <c r="N76" s="200" t="e">
        <f t="array" aca="1" ref="N76" ca="1">IF(B76="博多",
IF(C76&lt;&gt;"",
IF(IFERROR(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0)&lt;&gt;0,
IF(IFERROR(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0)="",
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0),
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0)),0),""),0)</f>
        <v>#N/A</v>
      </c>
      <c r="O76" s="200" t="e">
        <f t="shared" ca="1" si="22"/>
        <v>#N/A</v>
      </c>
      <c r="P76" s="200">
        <f t="shared" ca="1" si="4"/>
        <v>0</v>
      </c>
      <c r="Q76" s="200" t="b">
        <f t="shared" ca="1" si="23"/>
        <v>0</v>
      </c>
      <c r="R76" s="51" t="str" cm="1">
        <f t="array" aca="1" ref="R76" ca="1">IFERROR(SMALL(IF(P$1:P$300&lt;&gt;0,P$1:P$300),ROW(A76)),"")</f>
        <v/>
      </c>
      <c r="S76" s="51" t="str">
        <f t="array" aca="1" ref="S76" ca="1">IF($R76&lt;&gt;"",
INDIRECT(""&amp;IF(COLUMN(C96)&lt;=26,CHAR(COLUMN(C96)+64),CHAR(INT((COLUMN(C96)-1)/26)+64)&amp;CHAR(MOD(COLUMN(C96)-1,26)+65))&amp;$R76&amp;""),"")</f>
        <v/>
      </c>
      <c r="T76" s="51" t="str" cm="1">
        <f t="array" aca="1" ref="T76" ca="1">IF(IF($R76&lt;&gt;"",
INDIRECT(""&amp;IF(COLUMN(D96)&lt;=26,CHAR(COLUMN(D96)+64),CHAR(INT((COLUMN(D96)-1)/26)+64)&amp;CHAR(MOD(COLUMN(D96)-1,26)+65))&amp;$R76&amp;""),"")=0,"",
IF($R76&lt;&gt;"",
INDIRECT(""&amp;IF(COLUMN(D96)&lt;=26,CHAR(COLUMN(D96)+64),CHAR(INT((COLUMN(D96)-1)/26)+64)&amp;CHAR(MOD(COLUMN(D96)-1,26)+65))&amp;$R76&amp;""),""))</f>
        <v/>
      </c>
      <c r="U76" s="51"/>
      <c r="V76" s="51" t="str">
        <f t="array" aca="1" ref="V76" ca="1">IF($R76&lt;&gt;"",
IF(U76="",
IF(INDIRECT("EY"&amp;$R76&amp;"")&lt;&gt;"",
INDIRECT("EY"&amp;$R76&amp;"")&amp;"箱"
&amp;INDIRECT("EZ"&amp;$R76&amp;""),""),""),"")</f>
        <v/>
      </c>
      <c r="W76" s="51" t="str">
        <f t="array" aca="1" ref="W76" ca="1">IF($R76&lt;&gt;"",
INDIRECT(""&amp;IF(COLUMN(H96)&lt;=26,CHAR(COLUMN(H96)+64),CHAR(INT((COLUMN(H96)-1)/26)+64)&amp;CHAR(MOD(COLUMN(H96)-1,26)+65))&amp;$R76&amp;""),"")</f>
        <v/>
      </c>
      <c r="X76" s="51" t="str">
        <f t="array" aca="1" ref="X76" ca="1">IF($R76&lt;&gt;"",
INDIRECT(""&amp;IF(COLUMN(I96)&lt;=26,CHAR(COLUMN(I96)+64),CHAR(INT((COLUMN(I96)-1)/26)+64)&amp;CHAR(MOD(COLUMN(I96)-1,26)+65))&amp;$R76&amp;""),"")</f>
        <v/>
      </c>
      <c r="Y76" s="51" t="str">
        <f t="array" aca="1" ref="Y76" ca="1">IF($R76&lt;&gt;"",
INDIRECT(""&amp;IF(COLUMN(J96)&lt;=26,CHAR(COLUMN(J96)+64),CHAR(INT((COLUMN(J96)-1)/26)+64)&amp;CHAR(MOD(COLUMN(J96)-1,26)+65))&amp;$R76&amp;""),"")</f>
        <v/>
      </c>
      <c r="Z76" s="51" t="str">
        <f t="array" aca="1" ref="Z76" ca="1">IF($R76&lt;&gt;"",
INDIRECT(""&amp;IF(COLUMN(K96)&lt;=26,CHAR(COLUMN(K96)+64),CHAR(INT((COLUMN(K96)-1)/26)+64)&amp;CHAR(MOD(COLUMN(K96)-1,26)+65))&amp;$R76&amp;""),"")</f>
        <v/>
      </c>
      <c r="AA76" s="51" t="str">
        <f t="array" aca="1" ref="AA76" ca="1">IF($R76&lt;&gt;"",
INDIRECT(""&amp;IF(COLUMN(L96)&lt;=26,CHAR(COLUMN(L96)+64),CHAR(INT((COLUMN(L96)-1)/26)+64)&amp;CHAR(MOD(COLUMN(L96)-1,26)+65))&amp;$R76&amp;""),"")</f>
        <v/>
      </c>
      <c r="AB76" s="51" t="str">
        <f t="array" aca="1" ref="AB76" ca="1">IF($R76&lt;&gt;"",
INDIRECT(""&amp;IF(COLUMN(O96)&lt;=26,CHAR(COLUMN(O96)+64),CHAR(INT((COLUMN(O96)-1)/26)+64)&amp;CHAR(MOD(COLUMN(O96)-1,26)+65))&amp;$R76&amp;""),"")</f>
        <v/>
      </c>
    </row>
    <row r="77" spans="1:28" ht="18" customHeight="1">
      <c r="A77" s="199">
        <f t="shared" si="24"/>
        <v>19</v>
      </c>
      <c r="B77" s="200" t="e" cm="1">
        <f t="array" aca="1" ref="B77" ca="1">IF(AND(LEFT(C77,2)="博多",
LEFT(INDIRECT("数出表_Excel!A"&amp;MATCH(C77,数出表_Excel!$A:$A,0)-1),2)
=LEFT(INDIRECT("数出表_Excel!A"&amp;MATCH(C77,数出表_Excel!$A:$A,0)+1),2)),"博多",
IF(AND(LEFT(C77,3)="奈良屋",
LEFT(INDIRECT("数出表_Excel!A"&amp;MATCH(C77,数出表_Excel!$A:$A,0)-1),2)
=LEFT(INDIRECT("数出表_Excel!A"&amp;MATCH(C77,数出表_Excel!$A:$A,0)+1),2)),"奈良屋",""))</f>
        <v>#N/A</v>
      </c>
      <c r="C77" s="200" t="str" cm="1">
        <f t="array" aca="1" ref="C77" ca="1">IF(IF(クライアント抽出!A7="",0,LEN(クライアント抽出!V7)-LEN(SUBSTITUTE(クライアント抽出!V7,",","")))&gt;=2,INDIRECT("数出表_Excel!A"&amp;A77&amp;""),"")</f>
        <v/>
      </c>
      <c r="D77" s="200" t="str" cm="1">
        <f t="array" aca="1" ref="D77" ca="1">IF(C77&lt;&gt;"",INDIRECT("クライアント抽出!"&amp;E77&amp;MATCH(C77,クライアント抽出!A:A,0)&amp;""),"")</f>
        <v/>
      </c>
      <c r="E77" s="20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201" t="str" cm="1">
        <f t="array" aca="1" ref="F77" ca="1">IF(D77&lt;&gt;"",
IF(COUNTIF(C77,"*雙葉*"),
IF(ROUND(
IF(O77&lt;&gt;"",(H77-O77),H77)
/IF(COUNTIF('盛付札（関数）'!D77,"*キャラ*"),
VLOOKUP("*キャラ*",#REF!,7,FALSE),
IF(COUNTIF('盛付札（関数）'!D77,"*赤*"),
VLOOKUP("*赤*",#REF!,7,FALSE),
VLOOKUP('盛付札（関数）'!D77,#REF!,7,FALSE))),0)&lt;=0,1,
ROUND(
IF(O77&lt;&gt;"",(H77-O77),H77)
/IF(COUNTIF('盛付札（関数）'!D77,"*キャラ*"),
VLOOKUP("*キャラ*",#REF!,7,FALSE),
IF(COUNTIF('盛付札（関数）'!D77,"*赤*"),
VLOOKUP("*赤*",#REF!,7,FALSE),
VLOOKUP('盛付札（関数）'!D77,#REF!,7,FALSE))),0)),
IF(MATCH(TRUE,
ISNUMBER(--INDIRECT("数出表_Excel!B"&amp;MATCH(C77,数出表_Excel!$A:$A,0)-1&amp;":U"&amp;MATCH(C77,数出表_Excel!$A:$A,0)-1&amp;"")),0)&gt;10,
IF(D77&lt;&gt;"",
IF(IF(COUNTIF('盛付札（関数）'!D77,"*キャラ*"),
VLOOKUP("*キャラ*",#REF!,7,FALSE),
IF(COUNTIF('盛付札（関数）'!D77,"*赤*"),
VLOOKUP("*赤*",#REF!,7,FALSE),
VLOOKUP('盛付札（関数）'!D77,#REF!,7,FALSE)))=0,"",
IF(ROUND(
IF(O77&lt;&gt;"",(H77-O77),H77)
/IF(COUNTIF('盛付札（関数）'!D77,"*キャラ*"),
VLOOKUP("*キャラ*",#REF!,7,FALSE),
IF(COUNTIF('盛付札（関数）'!D77,"*赤*"),
VLOOKUP("*赤*",#REF!,7,FALSE),
VLOOKUP('盛付札（関数）'!D77,#REF!,7,FALSE))),0)&lt;=0,1,
ROUND(
IF(O77&lt;&gt;"",(H77-O77),H77)
/IF(COUNTIF('盛付札（関数）'!D77,"*キャラ*"),
VLOOKUP("*キャラ*",#REF!,7,FALSE),
IF(COUNTIF('盛付札（関数）'!D77,"*赤*"),
VLOOKUP("*赤*",#REF!,7,FALSE),
VLOOKUP('盛付札（関数）'!D77,#REF!,7,FALSE))),0))),""),"")),"")</f>
        <v/>
      </c>
      <c r="G77" s="201" t="str">
        <f ca="1">IF(F77&lt;&gt;"",IF(VALUE(IF(O77&lt;&gt;"",H77-O77,H77))&gt;VALUE(IF(COUNTIF('盛付札（関数）'!D77,"*キャラ*"),
VLOOKUP("*キャラ*",#REF!,7,FALSE),
IF(COUNTIF('盛付札（関数）'!D77,"*赤*"),
VLOOKUP("*赤*",#REF!,7,FALSE),
VLOOKUP('盛付札（関数）'!D77,#REF!,7,FALSE)))*F77),
"+"&amp;IF(O77&lt;&gt;"",H77-O77,H77)-IF(COUNTIF('盛付札（関数）'!D77,"*キャラ*"),
VLOOKUP("*キャラ*",#REF!,7,FALSE),
IF(COUNTIF('盛付札（関数）'!D77,"*赤*"),
VLOOKUP("*赤*",#REF!,7,FALSE),
VLOOKUP('盛付札（関数）'!D77,#REF!,7,FALSE)))*F77,
IF(O77&lt;&gt;"",H77-O77,H77)-IF(COUNTIF('盛付札（関数）'!D77,"*キャラ*"),
VLOOKUP("*キャラ*",#REF!,7,FALSE),
IF(COUNTIF('盛付札（関数）'!D77,"*赤*"),
VLOOKUP("*赤*",#REF!,7,FALSE),
VLOOKUP('盛付札（関数）'!D77,#REF!,7,FALSE)))*F77),"")</f>
        <v/>
      </c>
      <c r="H77" s="202" t="str" cm="1">
        <f t="array" aca="1" ref="H77" ca="1">IF(C77&lt;&gt;"",
IF(INDIRECT("数出表_Excel!"&amp;IFERROR(MID(クライアント抽出!V7,FIND(",",クライアント抽出!V7)+1,1),"")&amp;A77-1&amp;"")&lt;&gt;"",
INDIRECT("数出表_Excel!"&amp;IFERROR(MID(クライアント抽出!V7,FIND(",",クライアント抽出!V7)+1,1),"")&amp;A77-1&amp;""),0),"")</f>
        <v/>
      </c>
      <c r="I77" s="200" t="str" cm="1">
        <f t="array" aca="1" ref="I77" ca="1">IF(C77&lt;&gt;"",
IF(INDIRECT("数出表_Excel!"&amp;IFERROR(MID(クライアント抽出!V7,FIND(",",クライアント抽出!V7)+1,1),"")&amp;A77&amp;"")&lt;&gt;"",
INDIRECT("数出表_Excel!"&amp;IFERROR(MID(クライアント抽出!V7,FIND(",",クライアント抽出!V7)+1,1),"")&amp;A77&amp;""),0),"")</f>
        <v/>
      </c>
      <c r="J77" s="200" t="str">
        <f ca="1">IF(C77&lt;&gt;"",
VLOOKUP(
IF(COUNTIF(D77,"*学食*"),"キャラ弁（学食）",
IF(COUNTIF(D77,"*赤*"),"赤",
IF(COUNTIF(D77,"*キャラ弁当*"),"キャラ弁当",D77))),注文弁当の抽出!$E$1:$F$15,2,FALSE),"")</f>
        <v/>
      </c>
      <c r="K77" s="200" t="str">
        <f t="shared" ca="1" si="20"/>
        <v/>
      </c>
      <c r="L77" s="200" t="str">
        <f t="shared" ca="1" si="21"/>
        <v/>
      </c>
      <c r="M77" s="200" cm="1">
        <f t="array" aca="1" ref="M77" ca="1">IF(C77&lt;&gt;"",
IF(IFERROR(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0)&lt;&gt;0,
IF(IFERROR(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"")="",
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""),
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0)),0),0)</f>
        <v>0</v>
      </c>
      <c r="N77" s="200" t="e">
        <f t="array" aca="1" ref="N77" ca="1">IF(B77="博多",
IF(C77&lt;&gt;"",
IF(IFERROR(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0)&lt;&gt;0,
IF(IFERROR(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0)="",
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0),
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0)),0),""),0)</f>
        <v>#N/A</v>
      </c>
      <c r="O77" s="200" t="e">
        <f t="shared" ca="1" si="22"/>
        <v>#N/A</v>
      </c>
      <c r="P77" s="200">
        <f t="shared" ca="1" si="4"/>
        <v>0</v>
      </c>
      <c r="Q77" s="200" t="b">
        <f t="shared" ca="1" si="23"/>
        <v>0</v>
      </c>
      <c r="R77" s="51" t="str" cm="1">
        <f t="array" aca="1" ref="R77" ca="1">IFERROR(SMALL(IF(P$1:P$300&lt;&gt;0,P$1:P$300),ROW(A77)),"")</f>
        <v/>
      </c>
      <c r="S77" s="51" t="str">
        <f t="array" aca="1" ref="S77" ca="1">IF($R77&lt;&gt;"",
INDIRECT(""&amp;IF(COLUMN(C97)&lt;=26,CHAR(COLUMN(C97)+64),CHAR(INT((COLUMN(C97)-1)/26)+64)&amp;CHAR(MOD(COLUMN(C97)-1,26)+65))&amp;$R77&amp;""),"")</f>
        <v/>
      </c>
      <c r="T77" s="51" t="str" cm="1">
        <f t="array" aca="1" ref="T77" ca="1">IF(IF($R77&lt;&gt;"",
INDIRECT(""&amp;IF(COLUMN(D97)&lt;=26,CHAR(COLUMN(D97)+64),CHAR(INT((COLUMN(D97)-1)/26)+64)&amp;CHAR(MOD(COLUMN(D97)-1,26)+65))&amp;$R77&amp;""),"")=0,"",
IF($R77&lt;&gt;"",
INDIRECT(""&amp;IF(COLUMN(D97)&lt;=26,CHAR(COLUMN(D97)+64),CHAR(INT((COLUMN(D97)-1)/26)+64)&amp;CHAR(MOD(COLUMN(D97)-1,26)+65))&amp;$R77&amp;""),""))</f>
        <v/>
      </c>
      <c r="U77" s="51"/>
      <c r="V77" s="51" t="str">
        <f t="array" aca="1" ref="V77" ca="1">IF($R77&lt;&gt;"",
IF(U77="",
IF(INDIRECT("EY"&amp;$R77&amp;"")&lt;&gt;"",
INDIRECT("EY"&amp;$R77&amp;"")&amp;"箱"
&amp;INDIRECT("EZ"&amp;$R77&amp;""),""),""),"")</f>
        <v/>
      </c>
      <c r="W77" s="51" t="str">
        <f t="array" aca="1" ref="W77" ca="1">IF($R77&lt;&gt;"",
INDIRECT(""&amp;IF(COLUMN(H97)&lt;=26,CHAR(COLUMN(H97)+64),CHAR(INT((COLUMN(H97)-1)/26)+64)&amp;CHAR(MOD(COLUMN(H97)-1,26)+65))&amp;$R77&amp;""),"")</f>
        <v/>
      </c>
      <c r="X77" s="51" t="str">
        <f t="array" aca="1" ref="X77" ca="1">IF($R77&lt;&gt;"",
INDIRECT(""&amp;IF(COLUMN(I97)&lt;=26,CHAR(COLUMN(I97)+64),CHAR(INT((COLUMN(I97)-1)/26)+64)&amp;CHAR(MOD(COLUMN(I97)-1,26)+65))&amp;$R77&amp;""),"")</f>
        <v/>
      </c>
      <c r="Y77" s="51" t="str">
        <f t="array" aca="1" ref="Y77" ca="1">IF($R77&lt;&gt;"",
INDIRECT(""&amp;IF(COLUMN(J97)&lt;=26,CHAR(COLUMN(J97)+64),CHAR(INT((COLUMN(J97)-1)/26)+64)&amp;CHAR(MOD(COLUMN(J97)-1,26)+65))&amp;$R77&amp;""),"")</f>
        <v/>
      </c>
      <c r="Z77" s="51" t="str">
        <f t="array" aca="1" ref="Z77" ca="1">IF($R77&lt;&gt;"",
INDIRECT(""&amp;IF(COLUMN(K97)&lt;=26,CHAR(COLUMN(K97)+64),CHAR(INT((COLUMN(K97)-1)/26)+64)&amp;CHAR(MOD(COLUMN(K97)-1,26)+65))&amp;$R77&amp;""),"")</f>
        <v/>
      </c>
      <c r="AA77" s="51" t="str">
        <f t="array" aca="1" ref="AA77" ca="1">IF($R77&lt;&gt;"",
INDIRECT(""&amp;IF(COLUMN(L97)&lt;=26,CHAR(COLUMN(L97)+64),CHAR(INT((COLUMN(L97)-1)/26)+64)&amp;CHAR(MOD(COLUMN(L97)-1,26)+65))&amp;$R77&amp;""),"")</f>
        <v/>
      </c>
      <c r="AB77" s="51" t="str">
        <f t="array" aca="1" ref="AB77" ca="1">IF($R77&lt;&gt;"",
INDIRECT(""&amp;IF(COLUMN(O97)&lt;=26,CHAR(COLUMN(O97)+64),CHAR(INT((COLUMN(O97)-1)/26)+64)&amp;CHAR(MOD(COLUMN(O97)-1,26)+65))&amp;$R77&amp;""),"")</f>
        <v/>
      </c>
    </row>
    <row r="78" spans="1:28" s="51" customFormat="1" ht="22.2" customHeight="1">
      <c r="A78" s="199">
        <f t="shared" si="24"/>
        <v>21</v>
      </c>
      <c r="B78" s="200" t="e" cm="1">
        <f t="array" aca="1" ref="B78" ca="1">IF(AND(LEFT(C78,2)="博多",
LEFT(INDIRECT("数出表_Excel!A"&amp;MATCH(C78,数出表_Excel!$A:$A,0)-1),2)
=LEFT(INDIRECT("数出表_Excel!A"&amp;MATCH(C78,数出表_Excel!$A:$A,0)+1),2)),"博多",
IF(AND(LEFT(C78,3)="奈良屋",
LEFT(INDIRECT("数出表_Excel!A"&amp;MATCH(C78,数出表_Excel!$A:$A,0)-1),2)
=LEFT(INDIRECT("数出表_Excel!A"&amp;MATCH(C78,数出表_Excel!$A:$A,0)+1),2)),"奈良屋",""))</f>
        <v>#N/A</v>
      </c>
      <c r="C78" s="200" t="str" cm="1">
        <f t="array" aca="1" ref="C78" ca="1">IF(IF(クライアント抽出!A8="",0,LEN(クライアント抽出!V8)-LEN(SUBSTITUTE(クライアント抽出!V8,",","")))&gt;=2,INDIRECT("数出表_Excel!A"&amp;A78&amp;""),"")</f>
        <v/>
      </c>
      <c r="D78" s="200" t="str" cm="1">
        <f t="array" aca="1" ref="D78" ca="1">IF(C78&lt;&gt;"",INDIRECT("クライアント抽出!"&amp;E78&amp;MATCH(C78,クライアント抽出!A:A,0)&amp;""),"")</f>
        <v/>
      </c>
      <c r="E78" s="20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201" t="str" cm="1">
        <f t="array" aca="1" ref="F78" ca="1">IF(D78&lt;&gt;"",
IF(COUNTIF(C78,"*雙葉*"),
IF(ROUND(
IF(O78&lt;&gt;"",(H78-O78),H78)
/IF(COUNTIF('盛付札（関数）'!D78,"*キャラ*"),
VLOOKUP("*キャラ*",#REF!,7,FALSE),
IF(COUNTIF('盛付札（関数）'!D78,"*赤*"),
VLOOKUP("*赤*",#REF!,7,FALSE),
VLOOKUP('盛付札（関数）'!D78,#REF!,7,FALSE))),0)&lt;=0,1,
ROUND(
IF(O78&lt;&gt;"",(H78-O78),H78)
/IF(COUNTIF('盛付札（関数）'!D78,"*キャラ*"),
VLOOKUP("*キャラ*",#REF!,7,FALSE),
IF(COUNTIF('盛付札（関数）'!D78,"*赤*"),
VLOOKUP("*赤*",#REF!,7,FALSE),
VLOOKUP('盛付札（関数）'!D78,#REF!,7,FALSE))),0)),
IF(MATCH(TRUE,
ISNUMBER(--INDIRECT("数出表_Excel!B"&amp;MATCH(C78,数出表_Excel!$A:$A,0)-1&amp;":U"&amp;MATCH(C78,数出表_Excel!$A:$A,0)-1&amp;"")),0)&gt;10,
IF(D78&lt;&gt;"",
IF(IF(COUNTIF('盛付札（関数）'!D78,"*キャラ*"),
VLOOKUP("*キャラ*",#REF!,7,FALSE),
IF(COUNTIF('盛付札（関数）'!D78,"*赤*"),
VLOOKUP("*赤*",#REF!,7,FALSE),
VLOOKUP('盛付札（関数）'!D78,#REF!,7,FALSE)))=0,"",
IF(ROUND(
IF(O78&lt;&gt;"",(H78-O78),H78)
/IF(COUNTIF('盛付札（関数）'!D78,"*キャラ*"),
VLOOKUP("*キャラ*",#REF!,7,FALSE),
IF(COUNTIF('盛付札（関数）'!D78,"*赤*"),
VLOOKUP("*赤*",#REF!,7,FALSE),
VLOOKUP('盛付札（関数）'!D78,#REF!,7,FALSE))),0)&lt;=0,1,
ROUND(
IF(O78&lt;&gt;"",(H78-O78),H78)
/IF(COUNTIF('盛付札（関数）'!D78,"*キャラ*"),
VLOOKUP("*キャラ*",#REF!,7,FALSE),
IF(COUNTIF('盛付札（関数）'!D78,"*赤*"),
VLOOKUP("*赤*",#REF!,7,FALSE),
VLOOKUP('盛付札（関数）'!D78,#REF!,7,FALSE))),0))),""),"")),"")</f>
        <v/>
      </c>
      <c r="G78" s="201" t="str">
        <f ca="1">IF(F78&lt;&gt;"",IF(VALUE(IF(O78&lt;&gt;"",H78-O78,H78))&gt;VALUE(IF(COUNTIF('盛付札（関数）'!D78,"*キャラ*"),
VLOOKUP("*キャラ*",#REF!,7,FALSE),
IF(COUNTIF('盛付札（関数）'!D78,"*赤*"),
VLOOKUP("*赤*",#REF!,7,FALSE),
VLOOKUP('盛付札（関数）'!D78,#REF!,7,FALSE)))*F78),
"+"&amp;IF(O78&lt;&gt;"",H78-O78,H78)-IF(COUNTIF('盛付札（関数）'!D78,"*キャラ*"),
VLOOKUP("*キャラ*",#REF!,7,FALSE),
IF(COUNTIF('盛付札（関数）'!D78,"*赤*"),
VLOOKUP("*赤*",#REF!,7,FALSE),
VLOOKUP('盛付札（関数）'!D78,#REF!,7,FALSE)))*F78,
IF(O78&lt;&gt;"",H78-O78,H78)-IF(COUNTIF('盛付札（関数）'!D78,"*キャラ*"),
VLOOKUP("*キャラ*",#REF!,7,FALSE),
IF(COUNTIF('盛付札（関数）'!D78,"*赤*"),
VLOOKUP("*赤*",#REF!,7,FALSE),
VLOOKUP('盛付札（関数）'!D78,#REF!,7,FALSE)))*F78),"")</f>
        <v/>
      </c>
      <c r="H78" s="202" t="str" cm="1">
        <f t="array" aca="1" ref="H78" ca="1">IF(C78&lt;&gt;"",
IF(INDIRECT("数出表_Excel!"&amp;IFERROR(MID(クライアント抽出!V8,FIND(",",クライアント抽出!V8)+1,1),"")&amp;A78-1&amp;"")&lt;&gt;"",
INDIRECT("数出表_Excel!"&amp;IFERROR(MID(クライアント抽出!V8,FIND(",",クライアント抽出!V8)+1,1),"")&amp;A78-1&amp;""),0),"")</f>
        <v/>
      </c>
      <c r="I78" s="200" t="str" cm="1">
        <f t="array" aca="1" ref="I78" ca="1">IF(C78&lt;&gt;"",
IF(INDIRECT("数出表_Excel!"&amp;IFERROR(MID(クライアント抽出!V8,FIND(",",クライアント抽出!V8)+1,1),"")&amp;A78&amp;"")&lt;&gt;"",
INDIRECT("数出表_Excel!"&amp;IFERROR(MID(クライアント抽出!V8,FIND(",",クライアント抽出!V8)+1,1),"")&amp;A78&amp;""),0),"")</f>
        <v/>
      </c>
      <c r="J78" s="200" t="str">
        <f ca="1">IF(C78&lt;&gt;"",
VLOOKUP(
IF(COUNTIF(D78,"*学食*"),"キャラ弁（学食）",
IF(COUNTIF(D78,"*赤*"),"赤",
IF(COUNTIF(D78,"*キャラ弁当*"),"キャラ弁当",D78))),注文弁当の抽出!$E$1:$F$15,2,FALSE),"")</f>
        <v/>
      </c>
      <c r="K78" s="200" t="str">
        <f t="shared" ca="1" si="20"/>
        <v/>
      </c>
      <c r="L78" s="200" t="str">
        <f t="shared" ca="1" si="21"/>
        <v/>
      </c>
      <c r="M78" s="200" cm="1">
        <f t="array" aca="1" ref="M78" ca="1">IF(C78&lt;&gt;"",
IF(IFERROR(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0)&lt;&gt;0,
IF(IFERROR(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"")="",
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""),
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0)),0),0)</f>
        <v>0</v>
      </c>
      <c r="N78" s="200" t="e">
        <f t="array" aca="1" ref="N78" ca="1">IF(B78="博多",
IF(C78&lt;&gt;"",
IF(IFERROR(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0)&lt;&gt;0,
IF(IFERROR(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0)="",
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0),
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0)),0),""),0)</f>
        <v>#N/A</v>
      </c>
      <c r="O78" s="200" t="e">
        <f t="shared" ca="1" si="22"/>
        <v>#N/A</v>
      </c>
      <c r="P78" s="200">
        <f t="shared" ca="1" si="4"/>
        <v>0</v>
      </c>
      <c r="Q78" s="200" t="b">
        <f t="shared" ca="1" si="23"/>
        <v>0</v>
      </c>
      <c r="R78" s="51" t="str" cm="1">
        <f t="array" aca="1" ref="R78" ca="1">IFERROR(SMALL(IF(P$1:P$300&lt;&gt;0,P$1:P$300),ROW(A78)),"")</f>
        <v/>
      </c>
      <c r="S78" s="51" t="str">
        <f t="array" aca="1" ref="S78" ca="1">IF($R78&lt;&gt;"",
INDIRECT(""&amp;IF(COLUMN(C98)&lt;=26,CHAR(COLUMN(C98)+64),CHAR(INT((COLUMN(C98)-1)/26)+64)&amp;CHAR(MOD(COLUMN(C98)-1,26)+65))&amp;$R78&amp;""),"")</f>
        <v/>
      </c>
      <c r="T78" s="51" t="str" cm="1">
        <f t="array" aca="1" ref="T78" ca="1">IF(IF($R78&lt;&gt;"",
INDIRECT(""&amp;IF(COLUMN(D98)&lt;=26,CHAR(COLUMN(D98)+64),CHAR(INT((COLUMN(D98)-1)/26)+64)&amp;CHAR(MOD(COLUMN(D98)-1,26)+65))&amp;$R78&amp;""),"")=0,"",
IF($R78&lt;&gt;"",
INDIRECT(""&amp;IF(COLUMN(D98)&lt;=26,CHAR(COLUMN(D98)+64),CHAR(INT((COLUMN(D98)-1)/26)+64)&amp;CHAR(MOD(COLUMN(D98)-1,26)+65))&amp;$R78&amp;""),""))</f>
        <v/>
      </c>
      <c r="V78" s="51" t="str">
        <f t="array" aca="1" ref="V78" ca="1">IF($R78&lt;&gt;"",
IF(U78="",
IF(INDIRECT("EY"&amp;$R78&amp;"")&lt;&gt;"",
INDIRECT("EY"&amp;$R78&amp;"")&amp;"箱"
&amp;INDIRECT("EZ"&amp;$R78&amp;""),""),""),"")</f>
        <v/>
      </c>
      <c r="W78" s="51" t="str">
        <f t="array" aca="1" ref="W78" ca="1">IF($R78&lt;&gt;"",
INDIRECT(""&amp;IF(COLUMN(H98)&lt;=26,CHAR(COLUMN(H98)+64),CHAR(INT((COLUMN(H98)-1)/26)+64)&amp;CHAR(MOD(COLUMN(H98)-1,26)+65))&amp;$R78&amp;""),"")</f>
        <v/>
      </c>
      <c r="X78" s="51" t="str">
        <f t="array" aca="1" ref="X78" ca="1">IF($R78&lt;&gt;"",
INDIRECT(""&amp;IF(COLUMN(I98)&lt;=26,CHAR(COLUMN(I98)+64),CHAR(INT((COLUMN(I98)-1)/26)+64)&amp;CHAR(MOD(COLUMN(I98)-1,26)+65))&amp;$R78&amp;""),"")</f>
        <v/>
      </c>
      <c r="Y78" s="51" t="str">
        <f t="array" aca="1" ref="Y78" ca="1">IF($R78&lt;&gt;"",
INDIRECT(""&amp;IF(COLUMN(J98)&lt;=26,CHAR(COLUMN(J98)+64),CHAR(INT((COLUMN(J98)-1)/26)+64)&amp;CHAR(MOD(COLUMN(J98)-1,26)+65))&amp;$R78&amp;""),"")</f>
        <v/>
      </c>
      <c r="Z78" s="51" t="str">
        <f t="array" aca="1" ref="Z78" ca="1">IF($R78&lt;&gt;"",
INDIRECT(""&amp;IF(COLUMN(K98)&lt;=26,CHAR(COLUMN(K98)+64),CHAR(INT((COLUMN(K98)-1)/26)+64)&amp;CHAR(MOD(COLUMN(K98)-1,26)+65))&amp;$R78&amp;""),"")</f>
        <v/>
      </c>
      <c r="AA78" s="51" t="str">
        <f t="array" aca="1" ref="AA78" ca="1">IF($R78&lt;&gt;"",
INDIRECT(""&amp;IF(COLUMN(L98)&lt;=26,CHAR(COLUMN(L98)+64),CHAR(INT((COLUMN(L98)-1)/26)+64)&amp;CHAR(MOD(COLUMN(L98)-1,26)+65))&amp;$R78&amp;""),"")</f>
        <v/>
      </c>
      <c r="AB78" s="51" t="str">
        <f t="array" aca="1" ref="AB78" ca="1">IF($R78&lt;&gt;"",
INDIRECT(""&amp;IF(COLUMN(O98)&lt;=26,CHAR(COLUMN(O98)+64),CHAR(INT((COLUMN(O98)-1)/26)+64)&amp;CHAR(MOD(COLUMN(O98)-1,26)+65))&amp;$R78&amp;""),"")</f>
        <v/>
      </c>
    </row>
    <row r="79" spans="1:28" ht="21" customHeight="1">
      <c r="A79" s="199">
        <f t="shared" si="24"/>
        <v>23</v>
      </c>
      <c r="B79" s="200" t="e" cm="1">
        <f t="array" aca="1" ref="B79" ca="1">IF(AND(LEFT(C79,2)="博多",
LEFT(INDIRECT("数出表_Excel!A"&amp;MATCH(C79,数出表_Excel!$A:$A,0)-1),2)
=LEFT(INDIRECT("数出表_Excel!A"&amp;MATCH(C79,数出表_Excel!$A:$A,0)+1),2)),"博多",
IF(AND(LEFT(C79,3)="奈良屋",
LEFT(INDIRECT("数出表_Excel!A"&amp;MATCH(C79,数出表_Excel!$A:$A,0)-1),2)
=LEFT(INDIRECT("数出表_Excel!A"&amp;MATCH(C79,数出表_Excel!$A:$A,0)+1),2)),"奈良屋",""))</f>
        <v>#N/A</v>
      </c>
      <c r="C79" s="200" t="str" cm="1">
        <f t="array" aca="1" ref="C79" ca="1">IF(IF(クライアント抽出!A9="",0,LEN(クライアント抽出!V9)-LEN(SUBSTITUTE(クライアント抽出!V9,",","")))&gt;=2,INDIRECT("数出表_Excel!A"&amp;A79&amp;""),"")</f>
        <v/>
      </c>
      <c r="D79" s="200" t="str" cm="1">
        <f t="array" aca="1" ref="D79" ca="1">IF(C79&lt;&gt;"",INDIRECT("クライアント抽出!"&amp;E79&amp;MATCH(C79,クライアント抽出!A:A,0)&amp;""),"")</f>
        <v/>
      </c>
      <c r="E79" s="20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201" t="str" cm="1">
        <f t="array" aca="1" ref="F79" ca="1">IF(D79&lt;&gt;"",
IF(COUNTIF(C79,"*雙葉*"),
IF(ROUND(
IF(O79&lt;&gt;"",(H79-O79),H79)
/IF(COUNTIF('盛付札（関数）'!D79,"*キャラ*"),
VLOOKUP("*キャラ*",#REF!,7,FALSE),
IF(COUNTIF('盛付札（関数）'!D79,"*赤*"),
VLOOKUP("*赤*",#REF!,7,FALSE),
VLOOKUP('盛付札（関数）'!D79,#REF!,7,FALSE))),0)&lt;=0,1,
ROUND(
IF(O79&lt;&gt;"",(H79-O79),H79)
/IF(COUNTIF('盛付札（関数）'!D79,"*キャラ*"),
VLOOKUP("*キャラ*",#REF!,7,FALSE),
IF(COUNTIF('盛付札（関数）'!D79,"*赤*"),
VLOOKUP("*赤*",#REF!,7,FALSE),
VLOOKUP('盛付札（関数）'!D79,#REF!,7,FALSE))),0)),
IF(MATCH(TRUE,
ISNUMBER(--INDIRECT("数出表_Excel!B"&amp;MATCH(C79,数出表_Excel!$A:$A,0)-1&amp;":U"&amp;MATCH(C79,数出表_Excel!$A:$A,0)-1&amp;"")),0)&gt;10,
IF(D79&lt;&gt;"",
IF(IF(COUNTIF('盛付札（関数）'!D79,"*キャラ*"),
VLOOKUP("*キャラ*",#REF!,7,FALSE),
IF(COUNTIF('盛付札（関数）'!D79,"*赤*"),
VLOOKUP("*赤*",#REF!,7,FALSE),
VLOOKUP('盛付札（関数）'!D79,#REF!,7,FALSE)))=0,"",
IF(ROUND(
IF(O79&lt;&gt;"",(H79-O79),H79)
/IF(COUNTIF('盛付札（関数）'!D79,"*キャラ*"),
VLOOKUP("*キャラ*",#REF!,7,FALSE),
IF(COUNTIF('盛付札（関数）'!D79,"*赤*"),
VLOOKUP("*赤*",#REF!,7,FALSE),
VLOOKUP('盛付札（関数）'!D79,#REF!,7,FALSE))),0)&lt;=0,1,
ROUND(
IF(O79&lt;&gt;"",(H79-O79),H79)
/IF(COUNTIF('盛付札（関数）'!D79,"*キャラ*"),
VLOOKUP("*キャラ*",#REF!,7,FALSE),
IF(COUNTIF('盛付札（関数）'!D79,"*赤*"),
VLOOKUP("*赤*",#REF!,7,FALSE),
VLOOKUP('盛付札（関数）'!D79,#REF!,7,FALSE))),0))),""),"")),"")</f>
        <v/>
      </c>
      <c r="G79" s="201" t="str">
        <f ca="1">IF(F79&lt;&gt;"",IF(VALUE(IF(O79&lt;&gt;"",H79-O79,H79))&gt;VALUE(IF(COUNTIF('盛付札（関数）'!D79,"*キャラ*"),
VLOOKUP("*キャラ*",#REF!,7,FALSE),
IF(COUNTIF('盛付札（関数）'!D79,"*赤*"),
VLOOKUP("*赤*",#REF!,7,FALSE),
VLOOKUP('盛付札（関数）'!D79,#REF!,7,FALSE)))*F79),
"+"&amp;IF(O79&lt;&gt;"",H79-O79,H79)-IF(COUNTIF('盛付札（関数）'!D79,"*キャラ*"),
VLOOKUP("*キャラ*",#REF!,7,FALSE),
IF(COUNTIF('盛付札（関数）'!D79,"*赤*"),
VLOOKUP("*赤*",#REF!,7,FALSE),
VLOOKUP('盛付札（関数）'!D79,#REF!,7,FALSE)))*F79,
IF(O79&lt;&gt;"",H79-O79,H79)-IF(COUNTIF('盛付札（関数）'!D79,"*キャラ*"),
VLOOKUP("*キャラ*",#REF!,7,FALSE),
IF(COUNTIF('盛付札（関数）'!D79,"*赤*"),
VLOOKUP("*赤*",#REF!,7,FALSE),
VLOOKUP('盛付札（関数）'!D79,#REF!,7,FALSE)))*F79),"")</f>
        <v/>
      </c>
      <c r="H79" s="202" t="str" cm="1">
        <f t="array" aca="1" ref="H79" ca="1">IF(C79&lt;&gt;"",
IF(INDIRECT("数出表_Excel!"&amp;IFERROR(MID(クライアント抽出!V9,FIND(",",クライアント抽出!V9)+1,1),"")&amp;A79-1&amp;"")&lt;&gt;"",
INDIRECT("数出表_Excel!"&amp;IFERROR(MID(クライアント抽出!V9,FIND(",",クライアント抽出!V9)+1,1),"")&amp;A79-1&amp;""),0),"")</f>
        <v/>
      </c>
      <c r="I79" s="200" t="str" cm="1">
        <f t="array" aca="1" ref="I79" ca="1">IF(C79&lt;&gt;"",
IF(INDIRECT("数出表_Excel!"&amp;IFERROR(MID(クライアント抽出!V9,FIND(",",クライアント抽出!V9)+1,1),"")&amp;A79&amp;"")&lt;&gt;"",
INDIRECT("数出表_Excel!"&amp;IFERROR(MID(クライアント抽出!V9,FIND(",",クライアント抽出!V9)+1,1),"")&amp;A79&amp;""),0),"")</f>
        <v/>
      </c>
      <c r="J79" s="200" t="str">
        <f ca="1">IF(C79&lt;&gt;"",
VLOOKUP(
IF(COUNTIF(D79,"*学食*"),"キャラ弁（学食）",
IF(COUNTIF(D79,"*赤*"),"赤",
IF(COUNTIF(D79,"*キャラ弁当*"),"キャラ弁当",D79))),注文弁当の抽出!$E$1:$F$15,2,FALSE),"")</f>
        <v/>
      </c>
      <c r="K79" s="200" t="str">
        <f t="shared" ca="1" si="20"/>
        <v/>
      </c>
      <c r="L79" s="200" t="str">
        <f t="shared" ca="1" si="21"/>
        <v/>
      </c>
      <c r="M79" s="200" cm="1">
        <f t="array" aca="1" ref="M79" ca="1">IF(C79&lt;&gt;"",
IF(IFERROR(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0)&lt;&gt;0,
IF(IFERROR(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"")="",
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""),
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0)),0),0)</f>
        <v>0</v>
      </c>
      <c r="N79" s="200" t="e">
        <f t="array" aca="1" ref="N79" ca="1">IF(B79="博多",
IF(C79&lt;&gt;"",
IF(IFERROR(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0)&lt;&gt;0,
IF(IFERROR(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0)="",
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0),
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0)),0),""),0)</f>
        <v>#N/A</v>
      </c>
      <c r="O79" s="200" t="e">
        <f t="shared" ca="1" si="22"/>
        <v>#N/A</v>
      </c>
      <c r="P79" s="200">
        <f t="shared" ca="1" si="4"/>
        <v>0</v>
      </c>
      <c r="Q79" s="200" t="b">
        <f t="shared" ca="1" si="23"/>
        <v>0</v>
      </c>
      <c r="R79" s="51" t="str" cm="1">
        <f t="array" aca="1" ref="R79" ca="1">IFERROR(SMALL(IF(P$1:P$300&lt;&gt;0,P$1:P$300),ROW(A79)),"")</f>
        <v/>
      </c>
      <c r="S79" s="51" t="str">
        <f t="array" aca="1" ref="S79" ca="1">IF($R79&lt;&gt;"",
INDIRECT(""&amp;IF(COLUMN(C99)&lt;=26,CHAR(COLUMN(C99)+64),CHAR(INT((COLUMN(C99)-1)/26)+64)&amp;CHAR(MOD(COLUMN(C99)-1,26)+65))&amp;$R79&amp;""),"")</f>
        <v/>
      </c>
      <c r="T79" s="51" t="str" cm="1">
        <f t="array" aca="1" ref="T79" ca="1">IF(IF($R79&lt;&gt;"",
INDIRECT(""&amp;IF(COLUMN(D99)&lt;=26,CHAR(COLUMN(D99)+64),CHAR(INT((COLUMN(D99)-1)/26)+64)&amp;CHAR(MOD(COLUMN(D99)-1,26)+65))&amp;$R79&amp;""),"")=0,"",
IF($R79&lt;&gt;"",
INDIRECT(""&amp;IF(COLUMN(D99)&lt;=26,CHAR(COLUMN(D99)+64),CHAR(INT((COLUMN(D99)-1)/26)+64)&amp;CHAR(MOD(COLUMN(D99)-1,26)+65))&amp;$R79&amp;""),""))</f>
        <v/>
      </c>
      <c r="U79" s="51"/>
      <c r="V79" s="51" t="str">
        <f t="array" aca="1" ref="V79" ca="1">IF($R79&lt;&gt;"",
IF(U79="",
IF(INDIRECT("EY"&amp;$R79&amp;"")&lt;&gt;"",
INDIRECT("EY"&amp;$R79&amp;"")&amp;"箱"
&amp;INDIRECT("EZ"&amp;$R79&amp;""),""),""),"")</f>
        <v/>
      </c>
      <c r="W79" s="51" t="str">
        <f t="array" aca="1" ref="W79" ca="1">IF($R79&lt;&gt;"",
INDIRECT(""&amp;IF(COLUMN(H99)&lt;=26,CHAR(COLUMN(H99)+64),CHAR(INT((COLUMN(H99)-1)/26)+64)&amp;CHAR(MOD(COLUMN(H99)-1,26)+65))&amp;$R79&amp;""),"")</f>
        <v/>
      </c>
      <c r="X79" s="51" t="str">
        <f t="array" aca="1" ref="X79" ca="1">IF($R79&lt;&gt;"",
INDIRECT(""&amp;IF(COLUMN(I99)&lt;=26,CHAR(COLUMN(I99)+64),CHAR(INT((COLUMN(I99)-1)/26)+64)&amp;CHAR(MOD(COLUMN(I99)-1,26)+65))&amp;$R79&amp;""),"")</f>
        <v/>
      </c>
      <c r="Y79" s="51" t="str">
        <f t="array" aca="1" ref="Y79" ca="1">IF($R79&lt;&gt;"",
INDIRECT(""&amp;IF(COLUMN(J99)&lt;=26,CHAR(COLUMN(J99)+64),CHAR(INT((COLUMN(J99)-1)/26)+64)&amp;CHAR(MOD(COLUMN(J99)-1,26)+65))&amp;$R79&amp;""),"")</f>
        <v/>
      </c>
      <c r="Z79" s="51" t="str">
        <f t="array" aca="1" ref="Z79" ca="1">IF($R79&lt;&gt;"",
INDIRECT(""&amp;IF(COLUMN(K99)&lt;=26,CHAR(COLUMN(K99)+64),CHAR(INT((COLUMN(K99)-1)/26)+64)&amp;CHAR(MOD(COLUMN(K99)-1,26)+65))&amp;$R79&amp;""),"")</f>
        <v/>
      </c>
      <c r="AA79" s="51" t="str">
        <f t="array" aca="1" ref="AA79" ca="1">IF($R79&lt;&gt;"",
INDIRECT(""&amp;IF(COLUMN(L99)&lt;=26,CHAR(COLUMN(L99)+64),CHAR(INT((COLUMN(L99)-1)/26)+64)&amp;CHAR(MOD(COLUMN(L99)-1,26)+65))&amp;$R79&amp;""),"")</f>
        <v/>
      </c>
      <c r="AB79" s="51" t="str">
        <f t="array" aca="1" ref="AB79" ca="1">IF($R79&lt;&gt;"",
INDIRECT(""&amp;IF(COLUMN(O99)&lt;=26,CHAR(COLUMN(O99)+64),CHAR(INT((COLUMN(O99)-1)/26)+64)&amp;CHAR(MOD(COLUMN(O99)-1,26)+65))&amp;$R79&amp;""),"")</f>
        <v/>
      </c>
    </row>
    <row r="80" spans="1:28" ht="22.2" customHeight="1">
      <c r="A80" s="199">
        <f t="shared" si="24"/>
        <v>25</v>
      </c>
      <c r="B80" s="200" t="e" cm="1">
        <f t="array" aca="1" ref="B80" ca="1">IF(AND(LEFT(C80,2)="博多",
LEFT(INDIRECT("数出表_Excel!A"&amp;MATCH(C80,数出表_Excel!$A:$A,0)-1),2)
=LEFT(INDIRECT("数出表_Excel!A"&amp;MATCH(C80,数出表_Excel!$A:$A,0)+1),2)),"博多",
IF(AND(LEFT(C80,3)="奈良屋",
LEFT(INDIRECT("数出表_Excel!A"&amp;MATCH(C80,数出表_Excel!$A:$A,0)-1),2)
=LEFT(INDIRECT("数出表_Excel!A"&amp;MATCH(C80,数出表_Excel!$A:$A,0)+1),2)),"奈良屋",""))</f>
        <v>#N/A</v>
      </c>
      <c r="C80" s="200" t="str" cm="1">
        <f t="array" aca="1" ref="C80" ca="1">IF(IF(クライアント抽出!A10="",0,LEN(クライアント抽出!V10)-LEN(SUBSTITUTE(クライアント抽出!V10,",","")))&gt;=2,INDIRECT("数出表_Excel!A"&amp;A80&amp;""),"")</f>
        <v/>
      </c>
      <c r="D80" s="200" t="str" cm="1">
        <f t="array" aca="1" ref="D80" ca="1">IF(C80&lt;&gt;"",INDIRECT("クライアント抽出!"&amp;E80&amp;MATCH(C80,クライアント抽出!A:A,0)&amp;""),"")</f>
        <v/>
      </c>
      <c r="E80" s="20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201" t="str" cm="1">
        <f t="array" aca="1" ref="F80" ca="1">IF(D80&lt;&gt;"",
IF(COUNTIF(C80,"*雙葉*"),
IF(ROUND(
IF(O80&lt;&gt;"",(H80-O80),H80)
/IF(COUNTIF('盛付札（関数）'!D80,"*キャラ*"),
VLOOKUP("*キャラ*",#REF!,7,FALSE),
IF(COUNTIF('盛付札（関数）'!D80,"*赤*"),
VLOOKUP("*赤*",#REF!,7,FALSE),
VLOOKUP('盛付札（関数）'!D80,#REF!,7,FALSE))),0)&lt;=0,1,
ROUND(
IF(O80&lt;&gt;"",(H80-O80),H80)
/IF(COUNTIF('盛付札（関数）'!D80,"*キャラ*"),
VLOOKUP("*キャラ*",#REF!,7,FALSE),
IF(COUNTIF('盛付札（関数）'!D80,"*赤*"),
VLOOKUP("*赤*",#REF!,7,FALSE),
VLOOKUP('盛付札（関数）'!D80,#REF!,7,FALSE))),0)),
IF(MATCH(TRUE,
ISNUMBER(--INDIRECT("数出表_Excel!B"&amp;MATCH(C80,数出表_Excel!$A:$A,0)-1&amp;":U"&amp;MATCH(C80,数出表_Excel!$A:$A,0)-1&amp;"")),0)&gt;10,
IF(D80&lt;&gt;"",
IF(IF(COUNTIF('盛付札（関数）'!D80,"*キャラ*"),
VLOOKUP("*キャラ*",#REF!,7,FALSE),
IF(COUNTIF('盛付札（関数）'!D80,"*赤*"),
VLOOKUP("*赤*",#REF!,7,FALSE),
VLOOKUP('盛付札（関数）'!D80,#REF!,7,FALSE)))=0,"",
IF(ROUND(
IF(O80&lt;&gt;"",(H80-O80),H80)
/IF(COUNTIF('盛付札（関数）'!D80,"*キャラ*"),
VLOOKUP("*キャラ*",#REF!,7,FALSE),
IF(COUNTIF('盛付札（関数）'!D80,"*赤*"),
VLOOKUP("*赤*",#REF!,7,FALSE),
VLOOKUP('盛付札（関数）'!D80,#REF!,7,FALSE))),0)&lt;=0,1,
ROUND(
IF(O80&lt;&gt;"",(H80-O80),H80)
/IF(COUNTIF('盛付札（関数）'!D80,"*キャラ*"),
VLOOKUP("*キャラ*",#REF!,7,FALSE),
IF(COUNTIF('盛付札（関数）'!D80,"*赤*"),
VLOOKUP("*赤*",#REF!,7,FALSE),
VLOOKUP('盛付札（関数）'!D80,#REF!,7,FALSE))),0))),""),"")),"")</f>
        <v/>
      </c>
      <c r="G80" s="201" t="str">
        <f ca="1">IF(F80&lt;&gt;"",IF(VALUE(IF(O80&lt;&gt;"",H80-O80,H80))&gt;VALUE(IF(COUNTIF('盛付札（関数）'!D80,"*キャラ*"),
VLOOKUP("*キャラ*",#REF!,7,FALSE),
IF(COUNTIF('盛付札（関数）'!D80,"*赤*"),
VLOOKUP("*赤*",#REF!,7,FALSE),
VLOOKUP('盛付札（関数）'!D80,#REF!,7,FALSE)))*F80),
"+"&amp;IF(O80&lt;&gt;"",H80-O80,H80)-IF(COUNTIF('盛付札（関数）'!D80,"*キャラ*"),
VLOOKUP("*キャラ*",#REF!,7,FALSE),
IF(COUNTIF('盛付札（関数）'!D80,"*赤*"),
VLOOKUP("*赤*",#REF!,7,FALSE),
VLOOKUP('盛付札（関数）'!D80,#REF!,7,FALSE)))*F80,
IF(O80&lt;&gt;"",H80-O80,H80)-IF(COUNTIF('盛付札（関数）'!D80,"*キャラ*"),
VLOOKUP("*キャラ*",#REF!,7,FALSE),
IF(COUNTIF('盛付札（関数）'!D80,"*赤*"),
VLOOKUP("*赤*",#REF!,7,FALSE),
VLOOKUP('盛付札（関数）'!D80,#REF!,7,FALSE)))*F80),"")</f>
        <v/>
      </c>
      <c r="H80" s="202" t="str" cm="1">
        <f t="array" aca="1" ref="H80" ca="1">IF(C80&lt;&gt;"",
IF(INDIRECT("数出表_Excel!"&amp;IFERROR(MID(クライアント抽出!V10,FIND(",",クライアント抽出!V10)+1,1),"")&amp;A80-1&amp;"")&lt;&gt;"",
INDIRECT("数出表_Excel!"&amp;IFERROR(MID(クライアント抽出!V10,FIND(",",クライアント抽出!V10)+1,1),"")&amp;A80-1&amp;""),0),"")</f>
        <v/>
      </c>
      <c r="I80" s="200" t="str" cm="1">
        <f t="array" aca="1" ref="I80" ca="1">IF(C80&lt;&gt;"",
IF(INDIRECT("数出表_Excel!"&amp;IFERROR(MID(クライアント抽出!V10,FIND(",",クライアント抽出!V10)+1,1),"")&amp;A80&amp;"")&lt;&gt;"",
INDIRECT("数出表_Excel!"&amp;IFERROR(MID(クライアント抽出!V10,FIND(",",クライアント抽出!V10)+1,1),"")&amp;A80&amp;""),0),"")</f>
        <v/>
      </c>
      <c r="J80" s="200" t="str">
        <f ca="1">IF(C80&lt;&gt;"",
VLOOKUP(
IF(COUNTIF(D80,"*学食*"),"キャラ弁（学食）",
IF(COUNTIF(D80,"*赤*"),"赤",
IF(COUNTIF(D80,"*キャラ弁当*"),"キャラ弁当",D80))),注文弁当の抽出!$E$1:$F$15,2,FALSE),"")</f>
        <v/>
      </c>
      <c r="K80" s="200" t="str">
        <f t="shared" ca="1" si="20"/>
        <v/>
      </c>
      <c r="L80" s="200" t="str">
        <f t="shared" ca="1" si="21"/>
        <v/>
      </c>
      <c r="M80" s="200" cm="1">
        <f t="array" aca="1" ref="M80" ca="1">IF(C80&lt;&gt;"",
IF(IFERROR(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0)&lt;&gt;0,
IF(IFERROR(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"")="",
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""),
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0)),0),0)</f>
        <v>0</v>
      </c>
      <c r="N80" s="200" t="e">
        <f t="array" aca="1" ref="N80" ca="1">IF(B80="博多",
IF(C80&lt;&gt;"",
IF(IFERROR(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0)&lt;&gt;0,
IF(IFERROR(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0)="",
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0),
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0)),0),""),0)</f>
        <v>#N/A</v>
      </c>
      <c r="O80" s="200" t="e">
        <f t="shared" ca="1" si="22"/>
        <v>#N/A</v>
      </c>
      <c r="P80" s="200">
        <f t="shared" ca="1" si="4"/>
        <v>0</v>
      </c>
      <c r="Q80" s="200" t="b">
        <f t="shared" ca="1" si="23"/>
        <v>0</v>
      </c>
      <c r="R80" s="51" t="str" cm="1">
        <f t="array" aca="1" ref="R80" ca="1">IFERROR(SMALL(IF(P$1:P$300&lt;&gt;0,P$1:P$300),ROW(A80)),"")</f>
        <v/>
      </c>
      <c r="S80" s="51" t="str">
        <f t="array" aca="1" ref="S80" ca="1">IF($R80&lt;&gt;"",
INDIRECT(""&amp;IF(COLUMN(C100)&lt;=26,CHAR(COLUMN(C100)+64),CHAR(INT((COLUMN(C100)-1)/26)+64)&amp;CHAR(MOD(COLUMN(C100)-1,26)+65))&amp;$R80&amp;""),"")</f>
        <v/>
      </c>
      <c r="T80" s="51" t="str" cm="1">
        <f t="array" aca="1" ref="T80" ca="1">IF(IF($R80&lt;&gt;"",
INDIRECT(""&amp;IF(COLUMN(D100)&lt;=26,CHAR(COLUMN(D100)+64),CHAR(INT((COLUMN(D100)-1)/26)+64)&amp;CHAR(MOD(COLUMN(D100)-1,26)+65))&amp;$R80&amp;""),"")=0,"",
IF($R80&lt;&gt;"",
INDIRECT(""&amp;IF(COLUMN(D100)&lt;=26,CHAR(COLUMN(D100)+64),CHAR(INT((COLUMN(D100)-1)/26)+64)&amp;CHAR(MOD(COLUMN(D100)-1,26)+65))&amp;$R80&amp;""),""))</f>
        <v/>
      </c>
      <c r="U80" s="51"/>
      <c r="V80" s="51" t="str">
        <f t="array" aca="1" ref="V80" ca="1">IF($R80&lt;&gt;"",
IF(U80="",
IF(INDIRECT("EY"&amp;$R80&amp;"")&lt;&gt;"",
INDIRECT("EY"&amp;$R80&amp;"")&amp;"箱"
&amp;INDIRECT("EZ"&amp;$R80&amp;""),""),""),"")</f>
        <v/>
      </c>
      <c r="W80" s="51" t="str">
        <f t="array" aca="1" ref="W80" ca="1">IF($R80&lt;&gt;"",
INDIRECT(""&amp;IF(COLUMN(H100)&lt;=26,CHAR(COLUMN(H100)+64),CHAR(INT((COLUMN(H100)-1)/26)+64)&amp;CHAR(MOD(COLUMN(H100)-1,26)+65))&amp;$R80&amp;""),"")</f>
        <v/>
      </c>
      <c r="X80" s="51" t="str">
        <f t="array" aca="1" ref="X80" ca="1">IF($R80&lt;&gt;"",
INDIRECT(""&amp;IF(COLUMN(I100)&lt;=26,CHAR(COLUMN(I100)+64),CHAR(INT((COLUMN(I100)-1)/26)+64)&amp;CHAR(MOD(COLUMN(I100)-1,26)+65))&amp;$R80&amp;""),"")</f>
        <v/>
      </c>
      <c r="Y80" s="51" t="str">
        <f t="array" aca="1" ref="Y80" ca="1">IF($R80&lt;&gt;"",
INDIRECT(""&amp;IF(COLUMN(J100)&lt;=26,CHAR(COLUMN(J100)+64),CHAR(INT((COLUMN(J100)-1)/26)+64)&amp;CHAR(MOD(COLUMN(J100)-1,26)+65))&amp;$R80&amp;""),"")</f>
        <v/>
      </c>
      <c r="Z80" s="51" t="str">
        <f t="array" aca="1" ref="Z80" ca="1">IF($R80&lt;&gt;"",
INDIRECT(""&amp;IF(COLUMN(K100)&lt;=26,CHAR(COLUMN(K100)+64),CHAR(INT((COLUMN(K100)-1)/26)+64)&amp;CHAR(MOD(COLUMN(K100)-1,26)+65))&amp;$R80&amp;""),"")</f>
        <v/>
      </c>
      <c r="AA80" s="51" t="str">
        <f t="array" aca="1" ref="AA80" ca="1">IF($R80&lt;&gt;"",
INDIRECT(""&amp;IF(COLUMN(L100)&lt;=26,CHAR(COLUMN(L100)+64),CHAR(INT((COLUMN(L100)-1)/26)+64)&amp;CHAR(MOD(COLUMN(L100)-1,26)+65))&amp;$R80&amp;""),"")</f>
        <v/>
      </c>
      <c r="AB80" s="51" t="str">
        <f t="array" aca="1" ref="AB80" ca="1">IF($R80&lt;&gt;"",
INDIRECT(""&amp;IF(COLUMN(O100)&lt;=26,CHAR(COLUMN(O100)+64),CHAR(INT((COLUMN(O100)-1)/26)+64)&amp;CHAR(MOD(COLUMN(O100)-1,26)+65))&amp;$R80&amp;""),"")</f>
        <v/>
      </c>
    </row>
    <row r="81" spans="1:28" ht="22.2" customHeight="1">
      <c r="A81" s="199">
        <f t="shared" si="24"/>
        <v>27</v>
      </c>
      <c r="B81" s="200" t="e" cm="1">
        <f t="array" aca="1" ref="B81" ca="1">IF(AND(LEFT(C81,2)="博多",
LEFT(INDIRECT("数出表_Excel!A"&amp;MATCH(C81,数出表_Excel!$A:$A,0)-1),2)
=LEFT(INDIRECT("数出表_Excel!A"&amp;MATCH(C81,数出表_Excel!$A:$A,0)+1),2)),"博多",
IF(AND(LEFT(C81,3)="奈良屋",
LEFT(INDIRECT("数出表_Excel!A"&amp;MATCH(C81,数出表_Excel!$A:$A,0)-1),2)
=LEFT(INDIRECT("数出表_Excel!A"&amp;MATCH(C81,数出表_Excel!$A:$A,0)+1),2)),"奈良屋",""))</f>
        <v>#N/A</v>
      </c>
      <c r="C81" s="200" t="str" cm="1">
        <f t="array" aca="1" ref="C81" ca="1">IF(IF(クライアント抽出!A11="",0,LEN(クライアント抽出!V11)-LEN(SUBSTITUTE(クライアント抽出!V11,",","")))&gt;=2,INDIRECT("数出表_Excel!A"&amp;A81&amp;""),"")</f>
        <v/>
      </c>
      <c r="D81" s="200" t="str" cm="1">
        <f t="array" aca="1" ref="D81" ca="1">IF(C81&lt;&gt;"",INDIRECT("クライアント抽出!"&amp;E81&amp;MATCH(C81,クライアント抽出!A:A,0)&amp;""),"")</f>
        <v/>
      </c>
      <c r="E81" s="20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201" t="str" cm="1">
        <f t="array" aca="1" ref="F81" ca="1">IF(D81&lt;&gt;"",
IF(COUNTIF(C81,"*雙葉*"),
IF(ROUND(
IF(O81&lt;&gt;"",(H81-O81),H81)
/IF(COUNTIF('盛付札（関数）'!D81,"*キャラ*"),
VLOOKUP("*キャラ*",#REF!,7,FALSE),
IF(COUNTIF('盛付札（関数）'!D81,"*赤*"),
VLOOKUP("*赤*",#REF!,7,FALSE),
VLOOKUP('盛付札（関数）'!D81,#REF!,7,FALSE))),0)&lt;=0,1,
ROUND(
IF(O81&lt;&gt;"",(H81-O81),H81)
/IF(COUNTIF('盛付札（関数）'!D81,"*キャラ*"),
VLOOKUP("*キャラ*",#REF!,7,FALSE),
IF(COUNTIF('盛付札（関数）'!D81,"*赤*"),
VLOOKUP("*赤*",#REF!,7,FALSE),
VLOOKUP('盛付札（関数）'!D81,#REF!,7,FALSE))),0)),
IF(MATCH(TRUE,
ISNUMBER(--INDIRECT("数出表_Excel!B"&amp;MATCH(C81,数出表_Excel!$A:$A,0)-1&amp;":U"&amp;MATCH(C81,数出表_Excel!$A:$A,0)-1&amp;"")),0)&gt;10,
IF(D81&lt;&gt;"",
IF(IF(COUNTIF('盛付札（関数）'!D81,"*キャラ*"),
VLOOKUP("*キャラ*",#REF!,7,FALSE),
IF(COUNTIF('盛付札（関数）'!D81,"*赤*"),
VLOOKUP("*赤*",#REF!,7,FALSE),
VLOOKUP('盛付札（関数）'!D81,#REF!,7,FALSE)))=0,"",
IF(ROUND(
IF(O81&lt;&gt;"",(H81-O81),H81)
/IF(COUNTIF('盛付札（関数）'!D81,"*キャラ*"),
VLOOKUP("*キャラ*",#REF!,7,FALSE),
IF(COUNTIF('盛付札（関数）'!D81,"*赤*"),
VLOOKUP("*赤*",#REF!,7,FALSE),
VLOOKUP('盛付札（関数）'!D81,#REF!,7,FALSE))),0)&lt;=0,1,
ROUND(
IF(O81&lt;&gt;"",(H81-O81),H81)
/IF(COUNTIF('盛付札（関数）'!D81,"*キャラ*"),
VLOOKUP("*キャラ*",#REF!,7,FALSE),
IF(COUNTIF('盛付札（関数）'!D81,"*赤*"),
VLOOKUP("*赤*",#REF!,7,FALSE),
VLOOKUP('盛付札（関数）'!D81,#REF!,7,FALSE))),0))),""),"")),"")</f>
        <v/>
      </c>
      <c r="G81" s="201" t="str">
        <f ca="1">IF(F81&lt;&gt;"",IF(VALUE(IF(O81&lt;&gt;"",H81-O81,H81))&gt;VALUE(IF(COUNTIF('盛付札（関数）'!D81,"*キャラ*"),
VLOOKUP("*キャラ*",#REF!,7,FALSE),
IF(COUNTIF('盛付札（関数）'!D81,"*赤*"),
VLOOKUP("*赤*",#REF!,7,FALSE),
VLOOKUP('盛付札（関数）'!D81,#REF!,7,FALSE)))*F81),
"+"&amp;IF(O81&lt;&gt;"",H81-O81,H81)-IF(COUNTIF('盛付札（関数）'!D81,"*キャラ*"),
VLOOKUP("*キャラ*",#REF!,7,FALSE),
IF(COUNTIF('盛付札（関数）'!D81,"*赤*"),
VLOOKUP("*赤*",#REF!,7,FALSE),
VLOOKUP('盛付札（関数）'!D81,#REF!,7,FALSE)))*F81,
IF(O81&lt;&gt;"",H81-O81,H81)-IF(COUNTIF('盛付札（関数）'!D81,"*キャラ*"),
VLOOKUP("*キャラ*",#REF!,7,FALSE),
IF(COUNTIF('盛付札（関数）'!D81,"*赤*"),
VLOOKUP("*赤*",#REF!,7,FALSE),
VLOOKUP('盛付札（関数）'!D81,#REF!,7,FALSE)))*F81),"")</f>
        <v/>
      </c>
      <c r="H81" s="202" t="str" cm="1">
        <f t="array" aca="1" ref="H81" ca="1">IF(C81&lt;&gt;"",
IF(INDIRECT("数出表_Excel!"&amp;IFERROR(MID(クライアント抽出!V11,FIND(",",クライアント抽出!V11)+1,1),"")&amp;A81-1&amp;"")&lt;&gt;"",
INDIRECT("数出表_Excel!"&amp;IFERROR(MID(クライアント抽出!V11,FIND(",",クライアント抽出!V11)+1,1),"")&amp;A81-1&amp;""),0),"")</f>
        <v/>
      </c>
      <c r="I81" s="200" t="str" cm="1">
        <f t="array" aca="1" ref="I81" ca="1">IF(C81&lt;&gt;"",
IF(INDIRECT("数出表_Excel!"&amp;IFERROR(MID(クライアント抽出!V11,FIND(",",クライアント抽出!V11)+1,1),"")&amp;A81&amp;"")&lt;&gt;"",
INDIRECT("数出表_Excel!"&amp;IFERROR(MID(クライアント抽出!V11,FIND(",",クライアント抽出!V11)+1,1),"")&amp;A81&amp;""),0),"")</f>
        <v/>
      </c>
      <c r="J81" s="200" t="str">
        <f ca="1">IF(C81&lt;&gt;"",
VLOOKUP(
IF(COUNTIF(D81,"*学食*"),"キャラ弁（学食）",
IF(COUNTIF(D81,"*赤*"),"赤",
IF(COUNTIF(D81,"*キャラ弁当*"),"キャラ弁当",D81))),注文弁当の抽出!$E$1:$F$15,2,FALSE),"")</f>
        <v/>
      </c>
      <c r="K81" s="200" t="str">
        <f t="shared" ca="1" si="20"/>
        <v/>
      </c>
      <c r="L81" s="200" t="str">
        <f t="shared" ca="1" si="21"/>
        <v/>
      </c>
      <c r="M81" s="200" cm="1">
        <f t="array" aca="1" ref="M81" ca="1">IF(C81&lt;&gt;"",
IF(IFERROR(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0)&lt;&gt;0,
IF(IFERROR(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"")="",
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""),
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0)),0),0)</f>
        <v>0</v>
      </c>
      <c r="N81" s="200" t="e">
        <f t="array" aca="1" ref="N81" ca="1">IF(B81="博多",
IF(C81&lt;&gt;"",
IF(IFERROR(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0)&lt;&gt;0,
IF(IFERROR(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0)="",
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0),
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0)),0),""),0)</f>
        <v>#N/A</v>
      </c>
      <c r="O81" s="200" t="e">
        <f t="shared" ca="1" si="22"/>
        <v>#N/A</v>
      </c>
      <c r="P81" s="200">
        <f t="shared" ca="1" si="4"/>
        <v>0</v>
      </c>
      <c r="Q81" s="200" t="b">
        <f t="shared" ca="1" si="23"/>
        <v>0</v>
      </c>
      <c r="R81" s="51" t="str" cm="1">
        <f t="array" aca="1" ref="R81" ca="1">IFERROR(SMALL(IF(P$1:P$300&lt;&gt;0,P$1:P$300),ROW(A81)),"")</f>
        <v/>
      </c>
      <c r="S81" s="51" t="str">
        <f t="array" aca="1" ref="S81" ca="1">IF($R81&lt;&gt;"",
INDIRECT(""&amp;IF(COLUMN(C101)&lt;=26,CHAR(COLUMN(C101)+64),CHAR(INT((COLUMN(C101)-1)/26)+64)&amp;CHAR(MOD(COLUMN(C101)-1,26)+65))&amp;$R81&amp;""),"")</f>
        <v/>
      </c>
      <c r="T81" s="51" t="str" cm="1">
        <f t="array" aca="1" ref="T81" ca="1">IF(IF($R81&lt;&gt;"",
INDIRECT(""&amp;IF(COLUMN(D101)&lt;=26,CHAR(COLUMN(D101)+64),CHAR(INT((COLUMN(D101)-1)/26)+64)&amp;CHAR(MOD(COLUMN(D101)-1,26)+65))&amp;$R81&amp;""),"")=0,"",
IF($R81&lt;&gt;"",
INDIRECT(""&amp;IF(COLUMN(D101)&lt;=26,CHAR(COLUMN(D101)+64),CHAR(INT((COLUMN(D101)-1)/26)+64)&amp;CHAR(MOD(COLUMN(D101)-1,26)+65))&amp;$R81&amp;""),""))</f>
        <v/>
      </c>
      <c r="U81" s="51"/>
      <c r="V81" s="51" t="str">
        <f t="array" aca="1" ref="V81" ca="1">IF($R81&lt;&gt;"",
IF(U81="",
IF(INDIRECT("EY"&amp;$R81&amp;"")&lt;&gt;"",
INDIRECT("EY"&amp;$R81&amp;"")&amp;"箱"
&amp;INDIRECT("EZ"&amp;$R81&amp;""),""),""),"")</f>
        <v/>
      </c>
      <c r="W81" s="51" t="str">
        <f t="array" aca="1" ref="W81" ca="1">IF($R81&lt;&gt;"",
INDIRECT(""&amp;IF(COLUMN(H101)&lt;=26,CHAR(COLUMN(H101)+64),CHAR(INT((COLUMN(H101)-1)/26)+64)&amp;CHAR(MOD(COLUMN(H101)-1,26)+65))&amp;$R81&amp;""),"")</f>
        <v/>
      </c>
      <c r="X81" s="51" t="str">
        <f t="array" aca="1" ref="X81" ca="1">IF($R81&lt;&gt;"",
INDIRECT(""&amp;IF(COLUMN(I101)&lt;=26,CHAR(COLUMN(I101)+64),CHAR(INT((COLUMN(I101)-1)/26)+64)&amp;CHAR(MOD(COLUMN(I101)-1,26)+65))&amp;$R81&amp;""),"")</f>
        <v/>
      </c>
      <c r="Y81" s="51" t="str">
        <f t="array" aca="1" ref="Y81" ca="1">IF($R81&lt;&gt;"",
INDIRECT(""&amp;IF(COLUMN(J101)&lt;=26,CHAR(COLUMN(J101)+64),CHAR(INT((COLUMN(J101)-1)/26)+64)&amp;CHAR(MOD(COLUMN(J101)-1,26)+65))&amp;$R81&amp;""),"")</f>
        <v/>
      </c>
      <c r="Z81" s="51" t="str">
        <f t="array" aca="1" ref="Z81" ca="1">IF($R81&lt;&gt;"",
INDIRECT(""&amp;IF(COLUMN(K101)&lt;=26,CHAR(COLUMN(K101)+64),CHAR(INT((COLUMN(K101)-1)/26)+64)&amp;CHAR(MOD(COLUMN(K101)-1,26)+65))&amp;$R81&amp;""),"")</f>
        <v/>
      </c>
      <c r="AA81" s="51" t="str">
        <f t="array" aca="1" ref="AA81" ca="1">IF($R81&lt;&gt;"",
INDIRECT(""&amp;IF(COLUMN(L101)&lt;=26,CHAR(COLUMN(L101)+64),CHAR(INT((COLUMN(L101)-1)/26)+64)&amp;CHAR(MOD(COLUMN(L101)-1,26)+65))&amp;$R81&amp;""),"")</f>
        <v/>
      </c>
      <c r="AB81" s="51" t="str">
        <f t="array" aca="1" ref="AB81" ca="1">IF($R81&lt;&gt;"",
INDIRECT(""&amp;IF(COLUMN(O101)&lt;=26,CHAR(COLUMN(O101)+64),CHAR(INT((COLUMN(O101)-1)/26)+64)&amp;CHAR(MOD(COLUMN(O101)-1,26)+65))&amp;$R81&amp;""),"")</f>
        <v/>
      </c>
    </row>
    <row r="82" spans="1:28" ht="22.2" customHeight="1">
      <c r="A82" s="199">
        <f t="shared" si="24"/>
        <v>29</v>
      </c>
      <c r="B82" s="200" t="e" cm="1">
        <f t="array" aca="1" ref="B82" ca="1">IF(AND(LEFT(C82,2)="博多",
LEFT(INDIRECT("数出表_Excel!A"&amp;MATCH(C82,数出表_Excel!$A:$A,0)-1),2)
=LEFT(INDIRECT("数出表_Excel!A"&amp;MATCH(C82,数出表_Excel!$A:$A,0)+1),2)),"博多",
IF(AND(LEFT(C82,3)="奈良屋",
LEFT(INDIRECT("数出表_Excel!A"&amp;MATCH(C82,数出表_Excel!$A:$A,0)-1),2)
=LEFT(INDIRECT("数出表_Excel!A"&amp;MATCH(C82,数出表_Excel!$A:$A,0)+1),2)),"奈良屋",""))</f>
        <v>#N/A</v>
      </c>
      <c r="C82" s="200" t="str" cm="1">
        <f t="array" aca="1" ref="C82" ca="1">IF(IF(クライアント抽出!A12="",0,LEN(クライアント抽出!V12)-LEN(SUBSTITUTE(クライアント抽出!V12,",","")))&gt;=2,INDIRECT("数出表_Excel!A"&amp;A82&amp;""),"")</f>
        <v/>
      </c>
      <c r="D82" s="200" t="str" cm="1">
        <f t="array" aca="1" ref="D82" ca="1">IF(C82&lt;&gt;"",INDIRECT("クライアント抽出!"&amp;E82&amp;MATCH(C82,クライアント抽出!A:A,0)&amp;""),"")</f>
        <v/>
      </c>
      <c r="E82" s="20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201" t="str" cm="1">
        <f t="array" aca="1" ref="F82" ca="1">IF(D82&lt;&gt;"",
IF(COUNTIF(C82,"*雙葉*"),
IF(ROUND(
IF(O82&lt;&gt;"",(H82-O82),H82)
/IF(COUNTIF('盛付札（関数）'!D82,"*キャラ*"),
VLOOKUP("*キャラ*",#REF!,7,FALSE),
IF(COUNTIF('盛付札（関数）'!D82,"*赤*"),
VLOOKUP("*赤*",#REF!,7,FALSE),
VLOOKUP('盛付札（関数）'!D82,#REF!,7,FALSE))),0)&lt;=0,1,
ROUND(
IF(O82&lt;&gt;"",(H82-O82),H82)
/IF(COUNTIF('盛付札（関数）'!D82,"*キャラ*"),
VLOOKUP("*キャラ*",#REF!,7,FALSE),
IF(COUNTIF('盛付札（関数）'!D82,"*赤*"),
VLOOKUP("*赤*",#REF!,7,FALSE),
VLOOKUP('盛付札（関数）'!D82,#REF!,7,FALSE))),0)),
IF(MATCH(TRUE,
ISNUMBER(--INDIRECT("数出表_Excel!B"&amp;MATCH(C82,数出表_Excel!$A:$A,0)-1&amp;":U"&amp;MATCH(C82,数出表_Excel!$A:$A,0)-1&amp;"")),0)&gt;10,
IF(D82&lt;&gt;"",
IF(IF(COUNTIF('盛付札（関数）'!D82,"*キャラ*"),
VLOOKUP("*キャラ*",#REF!,7,FALSE),
IF(COUNTIF('盛付札（関数）'!D82,"*赤*"),
VLOOKUP("*赤*",#REF!,7,FALSE),
VLOOKUP('盛付札（関数）'!D82,#REF!,7,FALSE)))=0,"",
IF(ROUND(
IF(O82&lt;&gt;"",(H82-O82),H82)
/IF(COUNTIF('盛付札（関数）'!D82,"*キャラ*"),
VLOOKUP("*キャラ*",#REF!,7,FALSE),
IF(COUNTIF('盛付札（関数）'!D82,"*赤*"),
VLOOKUP("*赤*",#REF!,7,FALSE),
VLOOKUP('盛付札（関数）'!D82,#REF!,7,FALSE))),0)&lt;=0,1,
ROUND(
IF(O82&lt;&gt;"",(H82-O82),H82)
/IF(COUNTIF('盛付札（関数）'!D82,"*キャラ*"),
VLOOKUP("*キャラ*",#REF!,7,FALSE),
IF(COUNTIF('盛付札（関数）'!D82,"*赤*"),
VLOOKUP("*赤*",#REF!,7,FALSE),
VLOOKUP('盛付札（関数）'!D82,#REF!,7,FALSE))),0))),""),"")),"")</f>
        <v/>
      </c>
      <c r="G82" s="201" t="str">
        <f ca="1">IF(F82&lt;&gt;"",IF(VALUE(IF(O82&lt;&gt;"",H82-O82,H82))&gt;VALUE(IF(COUNTIF('盛付札（関数）'!D82,"*キャラ*"),
VLOOKUP("*キャラ*",#REF!,7,FALSE),
IF(COUNTIF('盛付札（関数）'!D82,"*赤*"),
VLOOKUP("*赤*",#REF!,7,FALSE),
VLOOKUP('盛付札（関数）'!D82,#REF!,7,FALSE)))*F82),
"+"&amp;IF(O82&lt;&gt;"",H82-O82,H82)-IF(COUNTIF('盛付札（関数）'!D82,"*キャラ*"),
VLOOKUP("*キャラ*",#REF!,7,FALSE),
IF(COUNTIF('盛付札（関数）'!D82,"*赤*"),
VLOOKUP("*赤*",#REF!,7,FALSE),
VLOOKUP('盛付札（関数）'!D82,#REF!,7,FALSE)))*F82,
IF(O82&lt;&gt;"",H82-O82,H82)-IF(COUNTIF('盛付札（関数）'!D82,"*キャラ*"),
VLOOKUP("*キャラ*",#REF!,7,FALSE),
IF(COUNTIF('盛付札（関数）'!D82,"*赤*"),
VLOOKUP("*赤*",#REF!,7,FALSE),
VLOOKUP('盛付札（関数）'!D82,#REF!,7,FALSE)))*F82),"")</f>
        <v/>
      </c>
      <c r="H82" s="202" t="str" cm="1">
        <f t="array" aca="1" ref="H82" ca="1">IF(C82&lt;&gt;"",
IF(INDIRECT("数出表_Excel!"&amp;IFERROR(MID(クライアント抽出!V12,FIND(",",クライアント抽出!V12)+1,1),"")&amp;A82-1&amp;"")&lt;&gt;"",
INDIRECT("数出表_Excel!"&amp;IFERROR(MID(クライアント抽出!V12,FIND(",",クライアント抽出!V12)+1,1),"")&amp;A82-1&amp;""),0),"")</f>
        <v/>
      </c>
      <c r="I82" s="200" t="str" cm="1">
        <f t="array" aca="1" ref="I82" ca="1">IF(C82&lt;&gt;"",
IF(INDIRECT("数出表_Excel!"&amp;IFERROR(MID(クライアント抽出!V12,FIND(",",クライアント抽出!V12)+1,1),"")&amp;A82&amp;"")&lt;&gt;"",
INDIRECT("数出表_Excel!"&amp;IFERROR(MID(クライアント抽出!V12,FIND(",",クライアント抽出!V12)+1,1),"")&amp;A82&amp;""),0),"")</f>
        <v/>
      </c>
      <c r="J82" s="200" t="str">
        <f ca="1">IF(C82&lt;&gt;"",
VLOOKUP(
IF(COUNTIF(D82,"*学食*"),"キャラ弁（学食）",
IF(COUNTIF(D82,"*赤*"),"赤",
IF(COUNTIF(D82,"*キャラ弁当*"),"キャラ弁当",D82))),注文弁当の抽出!$E$1:$F$15,2,FALSE),"")</f>
        <v/>
      </c>
      <c r="K82" s="200" t="str">
        <f t="shared" ca="1" si="20"/>
        <v/>
      </c>
      <c r="L82" s="200" t="str">
        <f t="shared" ca="1" si="21"/>
        <v/>
      </c>
      <c r="M82" s="200" cm="1">
        <f t="array" aca="1" ref="M82" ca="1">IF(C82&lt;&gt;"",
IF(IFERROR(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0)&lt;&gt;0,
IF(IFERROR(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"")="",
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""),
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0)),0),0)</f>
        <v>0</v>
      </c>
      <c r="N82" s="200" t="e">
        <f t="array" aca="1" ref="N82" ca="1">IF(B82="博多",
IF(C82&lt;&gt;"",
IF(IFERROR(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0)&lt;&gt;0,
IF(IFERROR(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0)="",
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0),
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0)),0),""),0)</f>
        <v>#N/A</v>
      </c>
      <c r="O82" s="200" t="e">
        <f t="shared" ca="1" si="22"/>
        <v>#N/A</v>
      </c>
      <c r="P82" s="200">
        <f t="shared" ca="1" si="4"/>
        <v>0</v>
      </c>
      <c r="Q82" s="200" t="b">
        <f t="shared" ca="1" si="23"/>
        <v>0</v>
      </c>
      <c r="R82" s="51" t="str" cm="1">
        <f t="array" aca="1" ref="R82" ca="1">IFERROR(SMALL(IF(P$1:P$300&lt;&gt;0,P$1:P$300),ROW(A82)),"")</f>
        <v/>
      </c>
      <c r="S82" s="51" t="str">
        <f t="array" aca="1" ref="S82" ca="1">IF($R82&lt;&gt;"",
INDIRECT(""&amp;IF(COLUMN(C102)&lt;=26,CHAR(COLUMN(C102)+64),CHAR(INT((COLUMN(C102)-1)/26)+64)&amp;CHAR(MOD(COLUMN(C102)-1,26)+65))&amp;$R82&amp;""),"")</f>
        <v/>
      </c>
      <c r="T82" s="51" t="str" cm="1">
        <f t="array" aca="1" ref="T82" ca="1">IF(IF($R82&lt;&gt;"",
INDIRECT(""&amp;IF(COLUMN(D102)&lt;=26,CHAR(COLUMN(D102)+64),CHAR(INT((COLUMN(D102)-1)/26)+64)&amp;CHAR(MOD(COLUMN(D102)-1,26)+65))&amp;$R82&amp;""),"")=0,"",
IF($R82&lt;&gt;"",
INDIRECT(""&amp;IF(COLUMN(D102)&lt;=26,CHAR(COLUMN(D102)+64),CHAR(INT((COLUMN(D102)-1)/26)+64)&amp;CHAR(MOD(COLUMN(D102)-1,26)+65))&amp;$R82&amp;""),""))</f>
        <v/>
      </c>
      <c r="U82" s="51"/>
      <c r="V82" s="51" t="str">
        <f t="array" aca="1" ref="V82" ca="1">IF($R82&lt;&gt;"",
IF(U82="",
IF(INDIRECT("EY"&amp;$R82&amp;"")&lt;&gt;"",
INDIRECT("EY"&amp;$R82&amp;"")&amp;"箱"
&amp;INDIRECT("EZ"&amp;$R82&amp;""),""),""),"")</f>
        <v/>
      </c>
      <c r="W82" s="51" t="str">
        <f t="array" aca="1" ref="W82" ca="1">IF($R82&lt;&gt;"",
INDIRECT(""&amp;IF(COLUMN(H102)&lt;=26,CHAR(COLUMN(H102)+64),CHAR(INT((COLUMN(H102)-1)/26)+64)&amp;CHAR(MOD(COLUMN(H102)-1,26)+65))&amp;$R82&amp;""),"")</f>
        <v/>
      </c>
      <c r="X82" s="51" t="str">
        <f t="array" aca="1" ref="X82" ca="1">IF($R82&lt;&gt;"",
INDIRECT(""&amp;IF(COLUMN(I102)&lt;=26,CHAR(COLUMN(I102)+64),CHAR(INT((COLUMN(I102)-1)/26)+64)&amp;CHAR(MOD(COLUMN(I102)-1,26)+65))&amp;$R82&amp;""),"")</f>
        <v/>
      </c>
      <c r="Y82" s="51" t="str">
        <f t="array" aca="1" ref="Y82" ca="1">IF($R82&lt;&gt;"",
INDIRECT(""&amp;IF(COLUMN(J102)&lt;=26,CHAR(COLUMN(J102)+64),CHAR(INT((COLUMN(J102)-1)/26)+64)&amp;CHAR(MOD(COLUMN(J102)-1,26)+65))&amp;$R82&amp;""),"")</f>
        <v/>
      </c>
      <c r="Z82" s="51" t="str">
        <f t="array" aca="1" ref="Z82" ca="1">IF($R82&lt;&gt;"",
INDIRECT(""&amp;IF(COLUMN(K102)&lt;=26,CHAR(COLUMN(K102)+64),CHAR(INT((COLUMN(K102)-1)/26)+64)&amp;CHAR(MOD(COLUMN(K102)-1,26)+65))&amp;$R82&amp;""),"")</f>
        <v/>
      </c>
      <c r="AA82" s="51" t="str">
        <f t="array" aca="1" ref="AA82" ca="1">IF($R82&lt;&gt;"",
INDIRECT(""&amp;IF(COLUMN(L102)&lt;=26,CHAR(COLUMN(L102)+64),CHAR(INT((COLUMN(L102)-1)/26)+64)&amp;CHAR(MOD(COLUMN(L102)-1,26)+65))&amp;$R82&amp;""),"")</f>
        <v/>
      </c>
      <c r="AB82" s="51" t="str">
        <f t="array" aca="1" ref="AB82" ca="1">IF($R82&lt;&gt;"",
INDIRECT(""&amp;IF(COLUMN(O102)&lt;=26,CHAR(COLUMN(O102)+64),CHAR(INT((COLUMN(O102)-1)/26)+64)&amp;CHAR(MOD(COLUMN(O102)-1,26)+65))&amp;$R82&amp;""),"")</f>
        <v/>
      </c>
    </row>
    <row r="83" spans="1:28" ht="22.2" customHeight="1">
      <c r="A83" s="199">
        <f t="shared" si="24"/>
        <v>31</v>
      </c>
      <c r="B83" s="200" t="e" cm="1">
        <f t="array" aca="1" ref="B83" ca="1">IF(AND(LEFT(C83,2)="博多",
LEFT(INDIRECT("数出表_Excel!A"&amp;MATCH(C83,数出表_Excel!$A:$A,0)-1),2)
=LEFT(INDIRECT("数出表_Excel!A"&amp;MATCH(C83,数出表_Excel!$A:$A,0)+1),2)),"博多",
IF(AND(LEFT(C83,3)="奈良屋",
LEFT(INDIRECT("数出表_Excel!A"&amp;MATCH(C83,数出表_Excel!$A:$A,0)-1),2)
=LEFT(INDIRECT("数出表_Excel!A"&amp;MATCH(C83,数出表_Excel!$A:$A,0)+1),2)),"奈良屋",""))</f>
        <v>#N/A</v>
      </c>
      <c r="C83" s="200" t="str" cm="1">
        <f t="array" aca="1" ref="C83" ca="1">IF(IF(クライアント抽出!A13="",0,LEN(クライアント抽出!V13)-LEN(SUBSTITUTE(クライアント抽出!V13,",","")))&gt;=2,INDIRECT("数出表_Excel!A"&amp;A83&amp;""),"")</f>
        <v/>
      </c>
      <c r="D83" s="200" t="str" cm="1">
        <f t="array" aca="1" ref="D83" ca="1">IF(C83&lt;&gt;"",INDIRECT("クライアント抽出!"&amp;E83&amp;MATCH(C83,クライアント抽出!A:A,0)&amp;""),"")</f>
        <v/>
      </c>
      <c r="E83" s="20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201" t="str" cm="1">
        <f t="array" aca="1" ref="F83" ca="1">IF(D83&lt;&gt;"",
IF(COUNTIF(C83,"*雙葉*"),
IF(ROUND(
IF(O83&lt;&gt;"",(H83-O83),H83)
/IF(COUNTIF('盛付札（関数）'!D83,"*キャラ*"),
VLOOKUP("*キャラ*",#REF!,7,FALSE),
IF(COUNTIF('盛付札（関数）'!D83,"*赤*"),
VLOOKUP("*赤*",#REF!,7,FALSE),
VLOOKUP('盛付札（関数）'!D83,#REF!,7,FALSE))),0)&lt;=0,1,
ROUND(
IF(O83&lt;&gt;"",(H83-O83),H83)
/IF(COUNTIF('盛付札（関数）'!D83,"*キャラ*"),
VLOOKUP("*キャラ*",#REF!,7,FALSE),
IF(COUNTIF('盛付札（関数）'!D83,"*赤*"),
VLOOKUP("*赤*",#REF!,7,FALSE),
VLOOKUP('盛付札（関数）'!D83,#REF!,7,FALSE))),0)),
IF(MATCH(TRUE,
ISNUMBER(--INDIRECT("数出表_Excel!B"&amp;MATCH(C83,数出表_Excel!$A:$A,0)-1&amp;":U"&amp;MATCH(C83,数出表_Excel!$A:$A,0)-1&amp;"")),0)&gt;10,
IF(D83&lt;&gt;"",
IF(IF(COUNTIF('盛付札（関数）'!D83,"*キャラ*"),
VLOOKUP("*キャラ*",#REF!,7,FALSE),
IF(COUNTIF('盛付札（関数）'!D83,"*赤*"),
VLOOKUP("*赤*",#REF!,7,FALSE),
VLOOKUP('盛付札（関数）'!D83,#REF!,7,FALSE)))=0,"",
IF(ROUND(
IF(O83&lt;&gt;"",(H83-O83),H83)
/IF(COUNTIF('盛付札（関数）'!D83,"*キャラ*"),
VLOOKUP("*キャラ*",#REF!,7,FALSE),
IF(COUNTIF('盛付札（関数）'!D83,"*赤*"),
VLOOKUP("*赤*",#REF!,7,FALSE),
VLOOKUP('盛付札（関数）'!D83,#REF!,7,FALSE))),0)&lt;=0,1,
ROUND(
IF(O83&lt;&gt;"",(H83-O83),H83)
/IF(COUNTIF('盛付札（関数）'!D83,"*キャラ*"),
VLOOKUP("*キャラ*",#REF!,7,FALSE),
IF(COUNTIF('盛付札（関数）'!D83,"*赤*"),
VLOOKUP("*赤*",#REF!,7,FALSE),
VLOOKUP('盛付札（関数）'!D83,#REF!,7,FALSE))),0))),""),"")),"")</f>
        <v/>
      </c>
      <c r="G83" s="201" t="str">
        <f ca="1">IF(F83&lt;&gt;"",IF(VALUE(IF(O83&lt;&gt;"",H83-O83,H83))&gt;VALUE(IF(COUNTIF('盛付札（関数）'!D83,"*キャラ*"),
VLOOKUP("*キャラ*",#REF!,7,FALSE),
IF(COUNTIF('盛付札（関数）'!D83,"*赤*"),
VLOOKUP("*赤*",#REF!,7,FALSE),
VLOOKUP('盛付札（関数）'!D83,#REF!,7,FALSE)))*F83),
"+"&amp;IF(O83&lt;&gt;"",H83-O83,H83)-IF(COUNTIF('盛付札（関数）'!D83,"*キャラ*"),
VLOOKUP("*キャラ*",#REF!,7,FALSE),
IF(COUNTIF('盛付札（関数）'!D83,"*赤*"),
VLOOKUP("*赤*",#REF!,7,FALSE),
VLOOKUP('盛付札（関数）'!D83,#REF!,7,FALSE)))*F83,
IF(O83&lt;&gt;"",H83-O83,H83)-IF(COUNTIF('盛付札（関数）'!D83,"*キャラ*"),
VLOOKUP("*キャラ*",#REF!,7,FALSE),
IF(COUNTIF('盛付札（関数）'!D83,"*赤*"),
VLOOKUP("*赤*",#REF!,7,FALSE),
VLOOKUP('盛付札（関数）'!D83,#REF!,7,FALSE)))*F83),"")</f>
        <v/>
      </c>
      <c r="H83" s="202" t="str" cm="1">
        <f t="array" aca="1" ref="H83" ca="1">IF(C83&lt;&gt;"",
IF(INDIRECT("数出表_Excel!"&amp;IFERROR(MID(クライアント抽出!V13,FIND(",",クライアント抽出!V13)+1,1),"")&amp;A83-1&amp;"")&lt;&gt;"",
INDIRECT("数出表_Excel!"&amp;IFERROR(MID(クライアント抽出!V13,FIND(",",クライアント抽出!V13)+1,1),"")&amp;A83-1&amp;""),0),"")</f>
        <v/>
      </c>
      <c r="I83" s="200" t="str" cm="1">
        <f t="array" aca="1" ref="I83" ca="1">IF(C83&lt;&gt;"",
IF(INDIRECT("数出表_Excel!"&amp;IFERROR(MID(クライアント抽出!V13,FIND(",",クライアント抽出!V13)+1,1),"")&amp;A83&amp;"")&lt;&gt;"",
INDIRECT("数出表_Excel!"&amp;IFERROR(MID(クライアント抽出!V13,FIND(",",クライアント抽出!V13)+1,1),"")&amp;A83&amp;""),0),"")</f>
        <v/>
      </c>
      <c r="J83" s="200" t="str">
        <f ca="1">IF(C83&lt;&gt;"",
VLOOKUP(
IF(COUNTIF(D83,"*学食*"),"キャラ弁（学食）",
IF(COUNTIF(D83,"*赤*"),"赤",
IF(COUNTIF(D83,"*キャラ弁当*"),"キャラ弁当",D83))),注文弁当の抽出!$E$1:$F$15,2,FALSE),"")</f>
        <v/>
      </c>
      <c r="K83" s="200" t="str">
        <f t="shared" ca="1" si="20"/>
        <v/>
      </c>
      <c r="L83" s="200" t="str">
        <f t="shared" ca="1" si="21"/>
        <v/>
      </c>
      <c r="M83" s="200" cm="1">
        <f t="array" aca="1" ref="M83" ca="1">IF(C83&lt;&gt;"",
IF(IFERROR(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0)&lt;&gt;0,
IF(IFERROR(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"")="",
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""),
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0)),0),0)</f>
        <v>0</v>
      </c>
      <c r="N83" s="200" t="e">
        <f t="array" aca="1" ref="N83" ca="1">IF(B83="博多",
IF(C83&lt;&gt;"",
IF(IFERROR(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0)&lt;&gt;0,
IF(IFERROR(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0)="",
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0),
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0)),0),""),0)</f>
        <v>#N/A</v>
      </c>
      <c r="O83" s="200" t="e">
        <f t="shared" ca="1" si="22"/>
        <v>#N/A</v>
      </c>
      <c r="P83" s="200">
        <f t="shared" ca="1" si="4"/>
        <v>0</v>
      </c>
      <c r="Q83" s="200" t="b">
        <f t="shared" ca="1" si="23"/>
        <v>0</v>
      </c>
      <c r="R83" s="51" t="str" cm="1">
        <f t="array" aca="1" ref="R83" ca="1">IFERROR(SMALL(IF(P$1:P$300&lt;&gt;0,P$1:P$300),ROW(A83)),"")</f>
        <v/>
      </c>
      <c r="S83" s="51" t="str">
        <f t="array" aca="1" ref="S83" ca="1">IF($R83&lt;&gt;"",
INDIRECT(""&amp;IF(COLUMN(C103)&lt;=26,CHAR(COLUMN(C103)+64),CHAR(INT((COLUMN(C103)-1)/26)+64)&amp;CHAR(MOD(COLUMN(C103)-1,26)+65))&amp;$R83&amp;""),"")</f>
        <v/>
      </c>
      <c r="T83" s="51" t="str" cm="1">
        <f t="array" aca="1" ref="T83" ca="1">IF(IF($R83&lt;&gt;"",
INDIRECT(""&amp;IF(COLUMN(D103)&lt;=26,CHAR(COLUMN(D103)+64),CHAR(INT((COLUMN(D103)-1)/26)+64)&amp;CHAR(MOD(COLUMN(D103)-1,26)+65))&amp;$R83&amp;""),"")=0,"",
IF($R83&lt;&gt;"",
INDIRECT(""&amp;IF(COLUMN(D103)&lt;=26,CHAR(COLUMN(D103)+64),CHAR(INT((COLUMN(D103)-1)/26)+64)&amp;CHAR(MOD(COLUMN(D103)-1,26)+65))&amp;$R83&amp;""),""))</f>
        <v/>
      </c>
      <c r="U83" s="51"/>
      <c r="V83" s="51" t="str">
        <f t="array" aca="1" ref="V83" ca="1">IF($R83&lt;&gt;"",
IF(U83="",
IF(INDIRECT("EY"&amp;$R83&amp;"")&lt;&gt;"",
INDIRECT("EY"&amp;$R83&amp;"")&amp;"箱"
&amp;INDIRECT("EZ"&amp;$R83&amp;""),""),""),"")</f>
        <v/>
      </c>
      <c r="W83" s="51" t="str">
        <f t="array" aca="1" ref="W83" ca="1">IF($R83&lt;&gt;"",
INDIRECT(""&amp;IF(COLUMN(H103)&lt;=26,CHAR(COLUMN(H103)+64),CHAR(INT((COLUMN(H103)-1)/26)+64)&amp;CHAR(MOD(COLUMN(H103)-1,26)+65))&amp;$R83&amp;""),"")</f>
        <v/>
      </c>
      <c r="X83" s="51" t="str">
        <f t="array" aca="1" ref="X83" ca="1">IF($R83&lt;&gt;"",
INDIRECT(""&amp;IF(COLUMN(I103)&lt;=26,CHAR(COLUMN(I103)+64),CHAR(INT((COLUMN(I103)-1)/26)+64)&amp;CHAR(MOD(COLUMN(I103)-1,26)+65))&amp;$R83&amp;""),"")</f>
        <v/>
      </c>
      <c r="Y83" s="51" t="str">
        <f t="array" aca="1" ref="Y83" ca="1">IF($R83&lt;&gt;"",
INDIRECT(""&amp;IF(COLUMN(J103)&lt;=26,CHAR(COLUMN(J103)+64),CHAR(INT((COLUMN(J103)-1)/26)+64)&amp;CHAR(MOD(COLUMN(J103)-1,26)+65))&amp;$R83&amp;""),"")</f>
        <v/>
      </c>
      <c r="Z83" s="51" t="str">
        <f t="array" aca="1" ref="Z83" ca="1">IF($R83&lt;&gt;"",
INDIRECT(""&amp;IF(COLUMN(K103)&lt;=26,CHAR(COLUMN(K103)+64),CHAR(INT((COLUMN(K103)-1)/26)+64)&amp;CHAR(MOD(COLUMN(K103)-1,26)+65))&amp;$R83&amp;""),"")</f>
        <v/>
      </c>
      <c r="AA83" s="51" t="str">
        <f t="array" aca="1" ref="AA83" ca="1">IF($R83&lt;&gt;"",
INDIRECT(""&amp;IF(COLUMN(L103)&lt;=26,CHAR(COLUMN(L103)+64),CHAR(INT((COLUMN(L103)-1)/26)+64)&amp;CHAR(MOD(COLUMN(L103)-1,26)+65))&amp;$R83&amp;""),"")</f>
        <v/>
      </c>
      <c r="AB83" s="51" t="str">
        <f t="array" aca="1" ref="AB83" ca="1">IF($R83&lt;&gt;"",
INDIRECT(""&amp;IF(COLUMN(O103)&lt;=26,CHAR(COLUMN(O103)+64),CHAR(INT((COLUMN(O103)-1)/26)+64)&amp;CHAR(MOD(COLUMN(O103)-1,26)+65))&amp;$R83&amp;""),"")</f>
        <v/>
      </c>
    </row>
    <row r="84" spans="1:28" ht="22.2" customHeight="1">
      <c r="A84" s="199">
        <f t="shared" si="24"/>
        <v>33</v>
      </c>
      <c r="B84" s="200" t="e" cm="1">
        <f t="array" aca="1" ref="B84" ca="1">IF(AND(LEFT(C84,2)="博多",
LEFT(INDIRECT("数出表_Excel!A"&amp;MATCH(C84,数出表_Excel!$A:$A,0)-1),2)
=LEFT(INDIRECT("数出表_Excel!A"&amp;MATCH(C84,数出表_Excel!$A:$A,0)+1),2)),"博多",
IF(AND(LEFT(C84,3)="奈良屋",
LEFT(INDIRECT("数出表_Excel!A"&amp;MATCH(C84,数出表_Excel!$A:$A,0)-1),2)
=LEFT(INDIRECT("数出表_Excel!A"&amp;MATCH(C84,数出表_Excel!$A:$A,0)+1),2)),"奈良屋",""))</f>
        <v>#N/A</v>
      </c>
      <c r="C84" s="200" t="str" cm="1">
        <f t="array" aca="1" ref="C84" ca="1">IF(IF(クライアント抽出!A14="",0,LEN(クライアント抽出!V14)-LEN(SUBSTITUTE(クライアント抽出!V14,",","")))&gt;=2,INDIRECT("数出表_Excel!A"&amp;A84&amp;""),"")</f>
        <v/>
      </c>
      <c r="D84" s="200" t="str" cm="1">
        <f t="array" aca="1" ref="D84" ca="1">IF(C84&lt;&gt;"",INDIRECT("クライアント抽出!"&amp;E84&amp;MATCH(C84,クライアント抽出!A:A,0)&amp;""),"")</f>
        <v/>
      </c>
      <c r="E84" s="20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201" t="str" cm="1">
        <f t="array" aca="1" ref="F84" ca="1">IF(D84&lt;&gt;"",
IF(COUNTIF(C84,"*雙葉*"),
IF(ROUND(
IF(O84&lt;&gt;"",(H84-O84),H84)
/IF(COUNTIF('盛付札（関数）'!D84,"*キャラ*"),
VLOOKUP("*キャラ*",#REF!,7,FALSE),
IF(COUNTIF('盛付札（関数）'!D84,"*赤*"),
VLOOKUP("*赤*",#REF!,7,FALSE),
VLOOKUP('盛付札（関数）'!D84,#REF!,7,FALSE))),0)&lt;=0,1,
ROUND(
IF(O84&lt;&gt;"",(H84-O84),H84)
/IF(COUNTIF('盛付札（関数）'!D84,"*キャラ*"),
VLOOKUP("*キャラ*",#REF!,7,FALSE),
IF(COUNTIF('盛付札（関数）'!D84,"*赤*"),
VLOOKUP("*赤*",#REF!,7,FALSE),
VLOOKUP('盛付札（関数）'!D84,#REF!,7,FALSE))),0)),
IF(MATCH(TRUE,
ISNUMBER(--INDIRECT("数出表_Excel!B"&amp;MATCH(C84,数出表_Excel!$A:$A,0)-1&amp;":U"&amp;MATCH(C84,数出表_Excel!$A:$A,0)-1&amp;"")),0)&gt;10,
IF(D84&lt;&gt;"",
IF(IF(COUNTIF('盛付札（関数）'!D84,"*キャラ*"),
VLOOKUP("*キャラ*",#REF!,7,FALSE),
IF(COUNTIF('盛付札（関数）'!D84,"*赤*"),
VLOOKUP("*赤*",#REF!,7,FALSE),
VLOOKUP('盛付札（関数）'!D84,#REF!,7,FALSE)))=0,"",
IF(ROUND(
IF(O84&lt;&gt;"",(H84-O84),H84)
/IF(COUNTIF('盛付札（関数）'!D84,"*キャラ*"),
VLOOKUP("*キャラ*",#REF!,7,FALSE),
IF(COUNTIF('盛付札（関数）'!D84,"*赤*"),
VLOOKUP("*赤*",#REF!,7,FALSE),
VLOOKUP('盛付札（関数）'!D84,#REF!,7,FALSE))),0)&lt;=0,1,
ROUND(
IF(O84&lt;&gt;"",(H84-O84),H84)
/IF(COUNTIF('盛付札（関数）'!D84,"*キャラ*"),
VLOOKUP("*キャラ*",#REF!,7,FALSE),
IF(COUNTIF('盛付札（関数）'!D84,"*赤*"),
VLOOKUP("*赤*",#REF!,7,FALSE),
VLOOKUP('盛付札（関数）'!D84,#REF!,7,FALSE))),0))),""),"")),"")</f>
        <v/>
      </c>
      <c r="G84" s="201" t="str">
        <f ca="1">IF(F84&lt;&gt;"",IF(VALUE(IF(O84&lt;&gt;"",H84-O84,H84))&gt;VALUE(IF(COUNTIF('盛付札（関数）'!D84,"*キャラ*"),
VLOOKUP("*キャラ*",#REF!,7,FALSE),
IF(COUNTIF('盛付札（関数）'!D84,"*赤*"),
VLOOKUP("*赤*",#REF!,7,FALSE),
VLOOKUP('盛付札（関数）'!D84,#REF!,7,FALSE)))*F84),
"+"&amp;IF(O84&lt;&gt;"",H84-O84,H84)-IF(COUNTIF('盛付札（関数）'!D84,"*キャラ*"),
VLOOKUP("*キャラ*",#REF!,7,FALSE),
IF(COUNTIF('盛付札（関数）'!D84,"*赤*"),
VLOOKUP("*赤*",#REF!,7,FALSE),
VLOOKUP('盛付札（関数）'!D84,#REF!,7,FALSE)))*F84,
IF(O84&lt;&gt;"",H84-O84,H84)-IF(COUNTIF('盛付札（関数）'!D84,"*キャラ*"),
VLOOKUP("*キャラ*",#REF!,7,FALSE),
IF(COUNTIF('盛付札（関数）'!D84,"*赤*"),
VLOOKUP("*赤*",#REF!,7,FALSE),
VLOOKUP('盛付札（関数）'!D84,#REF!,7,FALSE)))*F84),"")</f>
        <v/>
      </c>
      <c r="H84" s="202" t="str" cm="1">
        <f t="array" aca="1" ref="H84" ca="1">IF(C84&lt;&gt;"",
IF(INDIRECT("数出表_Excel!"&amp;IFERROR(MID(クライアント抽出!V14,FIND(",",クライアント抽出!V14)+1,1),"")&amp;A84-1&amp;"")&lt;&gt;"",
INDIRECT("数出表_Excel!"&amp;IFERROR(MID(クライアント抽出!V14,FIND(",",クライアント抽出!V14)+1,1),"")&amp;A84-1&amp;""),0),"")</f>
        <v/>
      </c>
      <c r="I84" s="200" t="str" cm="1">
        <f t="array" aca="1" ref="I84" ca="1">IF(C84&lt;&gt;"",
IF(INDIRECT("数出表_Excel!"&amp;IFERROR(MID(クライアント抽出!V14,FIND(",",クライアント抽出!V14)+1,1),"")&amp;A84&amp;"")&lt;&gt;"",
INDIRECT("数出表_Excel!"&amp;IFERROR(MID(クライアント抽出!V14,FIND(",",クライアント抽出!V14)+1,1),"")&amp;A84&amp;""),0),"")</f>
        <v/>
      </c>
      <c r="J84" s="200" t="str">
        <f ca="1">IF(C84&lt;&gt;"",
VLOOKUP(
IF(COUNTIF(D84,"*学食*"),"キャラ弁（学食）",
IF(COUNTIF(D84,"*赤*"),"赤",
IF(COUNTIF(D84,"*キャラ弁当*"),"キャラ弁当",D84))),注文弁当の抽出!$E$1:$F$15,2,FALSE),"")</f>
        <v/>
      </c>
      <c r="K84" s="200" t="str">
        <f t="shared" ca="1" si="20"/>
        <v/>
      </c>
      <c r="L84" s="200" t="str">
        <f t="shared" ca="1" si="21"/>
        <v/>
      </c>
      <c r="M84" s="200" cm="1">
        <f t="array" aca="1" ref="M84" ca="1">IF(C84&lt;&gt;"",
IF(IFERROR(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0)&lt;&gt;0,
IF(IFERROR(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"")="",
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""),
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0)),0),0)</f>
        <v>0</v>
      </c>
      <c r="N84" s="200" t="e">
        <f t="array" aca="1" ref="N84" ca="1">IF(B84="博多",
IF(C84&lt;&gt;"",
IF(IFERROR(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0)&lt;&gt;0,
IF(IFERROR(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0)="",
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0),
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0)),0),""),0)</f>
        <v>#N/A</v>
      </c>
      <c r="O84" s="200" t="e">
        <f t="shared" ca="1" si="22"/>
        <v>#N/A</v>
      </c>
      <c r="P84" s="200">
        <f t="shared" ca="1" si="4"/>
        <v>0</v>
      </c>
      <c r="Q84" s="200" t="b">
        <f t="shared" ca="1" si="23"/>
        <v>0</v>
      </c>
      <c r="R84" s="51" t="str" cm="1">
        <f t="array" aca="1" ref="R84" ca="1">IFERROR(SMALL(IF(P$1:P$300&lt;&gt;0,P$1:P$300),ROW(A84)),"")</f>
        <v/>
      </c>
      <c r="S84" s="51" t="str">
        <f t="array" aca="1" ref="S84" ca="1">IF($R84&lt;&gt;"",
INDIRECT(""&amp;IF(COLUMN(C104)&lt;=26,CHAR(COLUMN(C104)+64),CHAR(INT((COLUMN(C104)-1)/26)+64)&amp;CHAR(MOD(COLUMN(C104)-1,26)+65))&amp;$R84&amp;""),"")</f>
        <v/>
      </c>
      <c r="T84" s="51" t="str" cm="1">
        <f t="array" aca="1" ref="T84" ca="1">IF(IF($R84&lt;&gt;"",
INDIRECT(""&amp;IF(COLUMN(D104)&lt;=26,CHAR(COLUMN(D104)+64),CHAR(INT((COLUMN(D104)-1)/26)+64)&amp;CHAR(MOD(COLUMN(D104)-1,26)+65))&amp;$R84&amp;""),"")=0,"",
IF($R84&lt;&gt;"",
INDIRECT(""&amp;IF(COLUMN(D104)&lt;=26,CHAR(COLUMN(D104)+64),CHAR(INT((COLUMN(D104)-1)/26)+64)&amp;CHAR(MOD(COLUMN(D104)-1,26)+65))&amp;$R84&amp;""),""))</f>
        <v/>
      </c>
      <c r="U84" s="51"/>
      <c r="V84" s="51" t="str">
        <f t="array" aca="1" ref="V84" ca="1">IF($R84&lt;&gt;"",
IF(U84="",
IF(INDIRECT("EY"&amp;$R84&amp;"")&lt;&gt;"",
INDIRECT("EY"&amp;$R84&amp;"")&amp;"箱"
&amp;INDIRECT("EZ"&amp;$R84&amp;""),""),""),"")</f>
        <v/>
      </c>
      <c r="W84" s="51" t="str">
        <f t="array" aca="1" ref="W84" ca="1">IF($R84&lt;&gt;"",
INDIRECT(""&amp;IF(COLUMN(H104)&lt;=26,CHAR(COLUMN(H104)+64),CHAR(INT((COLUMN(H104)-1)/26)+64)&amp;CHAR(MOD(COLUMN(H104)-1,26)+65))&amp;$R84&amp;""),"")</f>
        <v/>
      </c>
      <c r="X84" s="51" t="str">
        <f t="array" aca="1" ref="X84" ca="1">IF($R84&lt;&gt;"",
INDIRECT(""&amp;IF(COLUMN(I104)&lt;=26,CHAR(COLUMN(I104)+64),CHAR(INT((COLUMN(I104)-1)/26)+64)&amp;CHAR(MOD(COLUMN(I104)-1,26)+65))&amp;$R84&amp;""),"")</f>
        <v/>
      </c>
      <c r="Y84" s="51" t="str">
        <f t="array" aca="1" ref="Y84" ca="1">IF($R84&lt;&gt;"",
INDIRECT(""&amp;IF(COLUMN(J104)&lt;=26,CHAR(COLUMN(J104)+64),CHAR(INT((COLUMN(J104)-1)/26)+64)&amp;CHAR(MOD(COLUMN(J104)-1,26)+65))&amp;$R84&amp;""),"")</f>
        <v/>
      </c>
      <c r="Z84" s="51" t="str">
        <f t="array" aca="1" ref="Z84" ca="1">IF($R84&lt;&gt;"",
INDIRECT(""&amp;IF(COLUMN(K104)&lt;=26,CHAR(COLUMN(K104)+64),CHAR(INT((COLUMN(K104)-1)/26)+64)&amp;CHAR(MOD(COLUMN(K104)-1,26)+65))&amp;$R84&amp;""),"")</f>
        <v/>
      </c>
      <c r="AA84" s="51" t="str">
        <f t="array" aca="1" ref="AA84" ca="1">IF($R84&lt;&gt;"",
INDIRECT(""&amp;IF(COLUMN(L104)&lt;=26,CHAR(COLUMN(L104)+64),CHAR(INT((COLUMN(L104)-1)/26)+64)&amp;CHAR(MOD(COLUMN(L104)-1,26)+65))&amp;$R84&amp;""),"")</f>
        <v/>
      </c>
      <c r="AB84" s="51" t="str">
        <f t="array" aca="1" ref="AB84" ca="1">IF($R84&lt;&gt;"",
INDIRECT(""&amp;IF(COLUMN(O104)&lt;=26,CHAR(COLUMN(O104)+64),CHAR(INT((COLUMN(O104)-1)/26)+64)&amp;CHAR(MOD(COLUMN(O104)-1,26)+65))&amp;$R84&amp;""),"")</f>
        <v/>
      </c>
    </row>
    <row r="85" spans="1:28" ht="22.2" customHeight="1">
      <c r="A85" s="199">
        <f t="shared" si="24"/>
        <v>35</v>
      </c>
      <c r="B85" s="200" t="e" cm="1">
        <f t="array" aca="1" ref="B85" ca="1">IF(AND(LEFT(C85,2)="博多",
LEFT(INDIRECT("数出表_Excel!A"&amp;MATCH(C85,数出表_Excel!$A:$A,0)-1),2)
=LEFT(INDIRECT("数出表_Excel!A"&amp;MATCH(C85,数出表_Excel!$A:$A,0)+1),2)),"博多",
IF(AND(LEFT(C85,3)="奈良屋",
LEFT(INDIRECT("数出表_Excel!A"&amp;MATCH(C85,数出表_Excel!$A:$A,0)-1),2)
=LEFT(INDIRECT("数出表_Excel!A"&amp;MATCH(C85,数出表_Excel!$A:$A,0)+1),2)),"奈良屋",""))</f>
        <v>#N/A</v>
      </c>
      <c r="C85" s="200" t="str" cm="1">
        <f t="array" aca="1" ref="C85" ca="1">IF(IF(クライアント抽出!A15="",0,LEN(クライアント抽出!V15)-LEN(SUBSTITUTE(クライアント抽出!V15,",","")))&gt;=2,INDIRECT("数出表_Excel!A"&amp;A85&amp;""),"")</f>
        <v/>
      </c>
      <c r="D85" s="200" t="str" cm="1">
        <f t="array" aca="1" ref="D85" ca="1">IF(C85&lt;&gt;"",INDIRECT("クライアント抽出!"&amp;E85&amp;MATCH(C85,クライアント抽出!A:A,0)&amp;""),"")</f>
        <v/>
      </c>
      <c r="E85" s="20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201" t="str" cm="1">
        <f t="array" aca="1" ref="F85" ca="1">IF(D85&lt;&gt;"",
IF(COUNTIF(C85,"*雙葉*"),
IF(ROUND(
IF(O85&lt;&gt;"",(H85-O85),H85)
/IF(COUNTIF('盛付札（関数）'!D85,"*キャラ*"),
VLOOKUP("*キャラ*",#REF!,7,FALSE),
IF(COUNTIF('盛付札（関数）'!D85,"*赤*"),
VLOOKUP("*赤*",#REF!,7,FALSE),
VLOOKUP('盛付札（関数）'!D85,#REF!,7,FALSE))),0)&lt;=0,1,
ROUND(
IF(O85&lt;&gt;"",(H85-O85),H85)
/IF(COUNTIF('盛付札（関数）'!D85,"*キャラ*"),
VLOOKUP("*キャラ*",#REF!,7,FALSE),
IF(COUNTIF('盛付札（関数）'!D85,"*赤*"),
VLOOKUP("*赤*",#REF!,7,FALSE),
VLOOKUP('盛付札（関数）'!D85,#REF!,7,FALSE))),0)),
IF(MATCH(TRUE,
ISNUMBER(--INDIRECT("数出表_Excel!B"&amp;MATCH(C85,数出表_Excel!$A:$A,0)-1&amp;":U"&amp;MATCH(C85,数出表_Excel!$A:$A,0)-1&amp;"")),0)&gt;10,
IF(D85&lt;&gt;"",
IF(IF(COUNTIF('盛付札（関数）'!D85,"*キャラ*"),
VLOOKUP("*キャラ*",#REF!,7,FALSE),
IF(COUNTIF('盛付札（関数）'!D85,"*赤*"),
VLOOKUP("*赤*",#REF!,7,FALSE),
VLOOKUP('盛付札（関数）'!D85,#REF!,7,FALSE)))=0,"",
IF(ROUND(
IF(O85&lt;&gt;"",(H85-O85),H85)
/IF(COUNTIF('盛付札（関数）'!D85,"*キャラ*"),
VLOOKUP("*キャラ*",#REF!,7,FALSE),
IF(COUNTIF('盛付札（関数）'!D85,"*赤*"),
VLOOKUP("*赤*",#REF!,7,FALSE),
VLOOKUP('盛付札（関数）'!D85,#REF!,7,FALSE))),0)&lt;=0,1,
ROUND(
IF(O85&lt;&gt;"",(H85-O85),H85)
/IF(COUNTIF('盛付札（関数）'!D85,"*キャラ*"),
VLOOKUP("*キャラ*",#REF!,7,FALSE),
IF(COUNTIF('盛付札（関数）'!D85,"*赤*"),
VLOOKUP("*赤*",#REF!,7,FALSE),
VLOOKUP('盛付札（関数）'!D85,#REF!,7,FALSE))),0))),""),"")),"")</f>
        <v/>
      </c>
      <c r="G85" s="201" t="str">
        <f ca="1">IF(F85&lt;&gt;"",IF(VALUE(IF(O85&lt;&gt;"",H85-O85,H85))&gt;VALUE(IF(COUNTIF('盛付札（関数）'!D85,"*キャラ*"),
VLOOKUP("*キャラ*",#REF!,7,FALSE),
IF(COUNTIF('盛付札（関数）'!D85,"*赤*"),
VLOOKUP("*赤*",#REF!,7,FALSE),
VLOOKUP('盛付札（関数）'!D85,#REF!,7,FALSE)))*F85),
"+"&amp;IF(O85&lt;&gt;"",H85-O85,H85)-IF(COUNTIF('盛付札（関数）'!D85,"*キャラ*"),
VLOOKUP("*キャラ*",#REF!,7,FALSE),
IF(COUNTIF('盛付札（関数）'!D85,"*赤*"),
VLOOKUP("*赤*",#REF!,7,FALSE),
VLOOKUP('盛付札（関数）'!D85,#REF!,7,FALSE)))*F85,
IF(O85&lt;&gt;"",H85-O85,H85)-IF(COUNTIF('盛付札（関数）'!D85,"*キャラ*"),
VLOOKUP("*キャラ*",#REF!,7,FALSE),
IF(COUNTIF('盛付札（関数）'!D85,"*赤*"),
VLOOKUP("*赤*",#REF!,7,FALSE),
VLOOKUP('盛付札（関数）'!D85,#REF!,7,FALSE)))*F85),"")</f>
        <v/>
      </c>
      <c r="H85" s="202" t="str" cm="1">
        <f t="array" aca="1" ref="H85" ca="1">IF(C85&lt;&gt;"",
IF(INDIRECT("数出表_Excel!"&amp;IFERROR(MID(クライアント抽出!V15,FIND(",",クライアント抽出!V15)+1,1),"")&amp;A85-1&amp;"")&lt;&gt;"",
INDIRECT("数出表_Excel!"&amp;IFERROR(MID(クライアント抽出!V15,FIND(",",クライアント抽出!V15)+1,1),"")&amp;A85-1&amp;""),0),"")</f>
        <v/>
      </c>
      <c r="I85" s="200" t="str" cm="1">
        <f t="array" aca="1" ref="I85" ca="1">IF(C85&lt;&gt;"",
IF(INDIRECT("数出表_Excel!"&amp;IFERROR(MID(クライアント抽出!V15,FIND(",",クライアント抽出!V15)+1,1),"")&amp;A85&amp;"")&lt;&gt;"",
INDIRECT("数出表_Excel!"&amp;IFERROR(MID(クライアント抽出!V15,FIND(",",クライアント抽出!V15)+1,1),"")&amp;A85&amp;""),0),"")</f>
        <v/>
      </c>
      <c r="J85" s="200" t="str">
        <f ca="1">IF(C85&lt;&gt;"",
VLOOKUP(
IF(COUNTIF(D85,"*学食*"),"キャラ弁（学食）",
IF(COUNTIF(D85,"*赤*"),"赤",
IF(COUNTIF(D85,"*キャラ弁当*"),"キャラ弁当",D85))),注文弁当の抽出!$E$1:$F$15,2,FALSE),"")</f>
        <v/>
      </c>
      <c r="K85" s="200" t="str">
        <f t="shared" ca="1" si="20"/>
        <v/>
      </c>
      <c r="L85" s="200" t="str">
        <f t="shared" ca="1" si="21"/>
        <v/>
      </c>
      <c r="M85" s="200" cm="1">
        <f t="array" aca="1" ref="M85" ca="1">IF(C85&lt;&gt;"",
IF(IFERROR(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0)&lt;&gt;0,
IF(IFERROR(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"")="",
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""),
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0)),0),0)</f>
        <v>0</v>
      </c>
      <c r="N85" s="200" t="e">
        <f t="array" aca="1" ref="N85" ca="1">IF(B85="博多",
IF(C85&lt;&gt;"",
IF(IFERROR(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0)&lt;&gt;0,
IF(IFERROR(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0)="",
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0),
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0)),0),""),0)</f>
        <v>#N/A</v>
      </c>
      <c r="O85" s="200" t="e">
        <f t="shared" ca="1" si="22"/>
        <v>#N/A</v>
      </c>
      <c r="P85" s="200">
        <f t="shared" ca="1" si="4"/>
        <v>0</v>
      </c>
      <c r="Q85" s="200" t="b">
        <f t="shared" ca="1" si="23"/>
        <v>0</v>
      </c>
      <c r="R85" s="51" t="str" cm="1">
        <f t="array" aca="1" ref="R85" ca="1">IFERROR(SMALL(IF(P$1:P$300&lt;&gt;0,P$1:P$300),ROW(A85)),"")</f>
        <v/>
      </c>
      <c r="S85" s="51" t="str">
        <f t="array" aca="1" ref="S85" ca="1">IF($R85&lt;&gt;"",
INDIRECT(""&amp;IF(COLUMN(C105)&lt;=26,CHAR(COLUMN(C105)+64),CHAR(INT((COLUMN(C105)-1)/26)+64)&amp;CHAR(MOD(COLUMN(C105)-1,26)+65))&amp;$R85&amp;""),"")</f>
        <v/>
      </c>
      <c r="T85" s="51" t="str" cm="1">
        <f t="array" aca="1" ref="T85" ca="1">IF(IF($R85&lt;&gt;"",
INDIRECT(""&amp;IF(COLUMN(D105)&lt;=26,CHAR(COLUMN(D105)+64),CHAR(INT((COLUMN(D105)-1)/26)+64)&amp;CHAR(MOD(COLUMN(D105)-1,26)+65))&amp;$R85&amp;""),"")=0,"",
IF($R85&lt;&gt;"",
INDIRECT(""&amp;IF(COLUMN(D105)&lt;=26,CHAR(COLUMN(D105)+64),CHAR(INT((COLUMN(D105)-1)/26)+64)&amp;CHAR(MOD(COLUMN(D105)-1,26)+65))&amp;$R85&amp;""),""))</f>
        <v/>
      </c>
      <c r="U85" s="51"/>
      <c r="V85" s="51" t="str">
        <f t="array" aca="1" ref="V85" ca="1">IF($R85&lt;&gt;"",
IF(U85="",
IF(INDIRECT("EY"&amp;$R85&amp;"")&lt;&gt;"",
INDIRECT("EY"&amp;$R85&amp;"")&amp;"箱"
&amp;INDIRECT("EZ"&amp;$R85&amp;""),""),""),"")</f>
        <v/>
      </c>
      <c r="W85" s="51" t="str">
        <f t="array" aca="1" ref="W85" ca="1">IF($R85&lt;&gt;"",
INDIRECT(""&amp;IF(COLUMN(H105)&lt;=26,CHAR(COLUMN(H105)+64),CHAR(INT((COLUMN(H105)-1)/26)+64)&amp;CHAR(MOD(COLUMN(H105)-1,26)+65))&amp;$R85&amp;""),"")</f>
        <v/>
      </c>
      <c r="X85" s="51" t="str">
        <f t="array" aca="1" ref="X85" ca="1">IF($R85&lt;&gt;"",
INDIRECT(""&amp;IF(COLUMN(I105)&lt;=26,CHAR(COLUMN(I105)+64),CHAR(INT((COLUMN(I105)-1)/26)+64)&amp;CHAR(MOD(COLUMN(I105)-1,26)+65))&amp;$R85&amp;""),"")</f>
        <v/>
      </c>
      <c r="Y85" s="51" t="str">
        <f t="array" aca="1" ref="Y85" ca="1">IF($R85&lt;&gt;"",
INDIRECT(""&amp;IF(COLUMN(J105)&lt;=26,CHAR(COLUMN(J105)+64),CHAR(INT((COLUMN(J105)-1)/26)+64)&amp;CHAR(MOD(COLUMN(J105)-1,26)+65))&amp;$R85&amp;""),"")</f>
        <v/>
      </c>
      <c r="Z85" s="51" t="str">
        <f t="array" aca="1" ref="Z85" ca="1">IF($R85&lt;&gt;"",
INDIRECT(""&amp;IF(COLUMN(K105)&lt;=26,CHAR(COLUMN(K105)+64),CHAR(INT((COLUMN(K105)-1)/26)+64)&amp;CHAR(MOD(COLUMN(K105)-1,26)+65))&amp;$R85&amp;""),"")</f>
        <v/>
      </c>
      <c r="AA85" s="51" t="str">
        <f t="array" aca="1" ref="AA85" ca="1">IF($R85&lt;&gt;"",
INDIRECT(""&amp;IF(COLUMN(L105)&lt;=26,CHAR(COLUMN(L105)+64),CHAR(INT((COLUMN(L105)-1)/26)+64)&amp;CHAR(MOD(COLUMN(L105)-1,26)+65))&amp;$R85&amp;""),"")</f>
        <v/>
      </c>
      <c r="AB85" s="51" t="str">
        <f t="array" aca="1" ref="AB85" ca="1">IF($R85&lt;&gt;"",
INDIRECT(""&amp;IF(COLUMN(O105)&lt;=26,CHAR(COLUMN(O105)+64),CHAR(INT((COLUMN(O105)-1)/26)+64)&amp;CHAR(MOD(COLUMN(O105)-1,26)+65))&amp;$R85&amp;""),"")</f>
        <v/>
      </c>
    </row>
    <row r="86" spans="1:28" ht="22.2" customHeight="1">
      <c r="A86" s="199">
        <f t="shared" si="24"/>
        <v>37</v>
      </c>
      <c r="B86" s="200" t="e" cm="1">
        <f t="array" aca="1" ref="B86" ca="1">IF(AND(LEFT(C86,2)="博多",
LEFT(INDIRECT("数出表_Excel!A"&amp;MATCH(C86,数出表_Excel!$A:$A,0)-1),2)
=LEFT(INDIRECT("数出表_Excel!A"&amp;MATCH(C86,数出表_Excel!$A:$A,0)+1),2)),"博多",
IF(AND(LEFT(C86,3)="奈良屋",
LEFT(INDIRECT("数出表_Excel!A"&amp;MATCH(C86,数出表_Excel!$A:$A,0)-1),2)
=LEFT(INDIRECT("数出表_Excel!A"&amp;MATCH(C86,数出表_Excel!$A:$A,0)+1),2)),"奈良屋",""))</f>
        <v>#N/A</v>
      </c>
      <c r="C86" s="200" t="str" cm="1">
        <f t="array" aca="1" ref="C86" ca="1">IF(IF(クライアント抽出!A16="",0,LEN(クライアント抽出!V16)-LEN(SUBSTITUTE(クライアント抽出!V16,",","")))&gt;=2,INDIRECT("数出表_Excel!A"&amp;A86&amp;""),"")</f>
        <v/>
      </c>
      <c r="D86" s="200" t="str" cm="1">
        <f t="array" aca="1" ref="D86" ca="1">IF(C86&lt;&gt;"",INDIRECT("クライアント抽出!"&amp;E86&amp;MATCH(C86,クライアント抽出!A:A,0)&amp;""),"")</f>
        <v/>
      </c>
      <c r="E86" s="20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201" t="str" cm="1">
        <f t="array" aca="1" ref="F86" ca="1">IF(D86&lt;&gt;"",
IF(COUNTIF(C86,"*雙葉*"),
IF(ROUND(
IF(O86&lt;&gt;"",(H86-O86),H86)
/IF(COUNTIF('盛付札（関数）'!D86,"*キャラ*"),
VLOOKUP("*キャラ*",#REF!,7,FALSE),
IF(COUNTIF('盛付札（関数）'!D86,"*赤*"),
VLOOKUP("*赤*",#REF!,7,FALSE),
VLOOKUP('盛付札（関数）'!D86,#REF!,7,FALSE))),0)&lt;=0,1,
ROUND(
IF(O86&lt;&gt;"",(H86-O86),H86)
/IF(COUNTIF('盛付札（関数）'!D86,"*キャラ*"),
VLOOKUP("*キャラ*",#REF!,7,FALSE),
IF(COUNTIF('盛付札（関数）'!D86,"*赤*"),
VLOOKUP("*赤*",#REF!,7,FALSE),
VLOOKUP('盛付札（関数）'!D86,#REF!,7,FALSE))),0)),
IF(MATCH(TRUE,
ISNUMBER(--INDIRECT("数出表_Excel!B"&amp;MATCH(C86,数出表_Excel!$A:$A,0)-1&amp;":U"&amp;MATCH(C86,数出表_Excel!$A:$A,0)-1&amp;"")),0)&gt;10,
IF(D86&lt;&gt;"",
IF(IF(COUNTIF('盛付札（関数）'!D86,"*キャラ*"),
VLOOKUP("*キャラ*",#REF!,7,FALSE),
IF(COUNTIF('盛付札（関数）'!D86,"*赤*"),
VLOOKUP("*赤*",#REF!,7,FALSE),
VLOOKUP('盛付札（関数）'!D86,#REF!,7,FALSE)))=0,"",
IF(ROUND(
IF(O86&lt;&gt;"",(H86-O86),H86)
/IF(COUNTIF('盛付札（関数）'!D86,"*キャラ*"),
VLOOKUP("*キャラ*",#REF!,7,FALSE),
IF(COUNTIF('盛付札（関数）'!D86,"*赤*"),
VLOOKUP("*赤*",#REF!,7,FALSE),
VLOOKUP('盛付札（関数）'!D86,#REF!,7,FALSE))),0)&lt;=0,1,
ROUND(
IF(O86&lt;&gt;"",(H86-O86),H86)
/IF(COUNTIF('盛付札（関数）'!D86,"*キャラ*"),
VLOOKUP("*キャラ*",#REF!,7,FALSE),
IF(COUNTIF('盛付札（関数）'!D86,"*赤*"),
VLOOKUP("*赤*",#REF!,7,FALSE),
VLOOKUP('盛付札（関数）'!D86,#REF!,7,FALSE))),0))),""),"")),"")</f>
        <v/>
      </c>
      <c r="G86" s="201" t="str">
        <f ca="1">IF(F86&lt;&gt;"",IF(VALUE(IF(O86&lt;&gt;"",H86-O86,H86))&gt;VALUE(IF(COUNTIF('盛付札（関数）'!D86,"*キャラ*"),
VLOOKUP("*キャラ*",#REF!,7,FALSE),
IF(COUNTIF('盛付札（関数）'!D86,"*赤*"),
VLOOKUP("*赤*",#REF!,7,FALSE),
VLOOKUP('盛付札（関数）'!D86,#REF!,7,FALSE)))*F86),
"+"&amp;IF(O86&lt;&gt;"",H86-O86,H86)-IF(COUNTIF('盛付札（関数）'!D86,"*キャラ*"),
VLOOKUP("*キャラ*",#REF!,7,FALSE),
IF(COUNTIF('盛付札（関数）'!D86,"*赤*"),
VLOOKUP("*赤*",#REF!,7,FALSE),
VLOOKUP('盛付札（関数）'!D86,#REF!,7,FALSE)))*F86,
IF(O86&lt;&gt;"",H86-O86,H86)-IF(COUNTIF('盛付札（関数）'!D86,"*キャラ*"),
VLOOKUP("*キャラ*",#REF!,7,FALSE),
IF(COUNTIF('盛付札（関数）'!D86,"*赤*"),
VLOOKUP("*赤*",#REF!,7,FALSE),
VLOOKUP('盛付札（関数）'!D86,#REF!,7,FALSE)))*F86),"")</f>
        <v/>
      </c>
      <c r="H86" s="202" t="str" cm="1">
        <f t="array" aca="1" ref="H86" ca="1">IF(C86&lt;&gt;"",
IF(INDIRECT("数出表_Excel!"&amp;IFERROR(MID(クライアント抽出!V16,FIND(",",クライアント抽出!V16)+1,1),"")&amp;A86-1&amp;"")&lt;&gt;"",
INDIRECT("数出表_Excel!"&amp;IFERROR(MID(クライアント抽出!V16,FIND(",",クライアント抽出!V16)+1,1),"")&amp;A86-1&amp;""),0),"")</f>
        <v/>
      </c>
      <c r="I86" s="200" t="str" cm="1">
        <f t="array" aca="1" ref="I86" ca="1">IF(C86&lt;&gt;"",
IF(INDIRECT("数出表_Excel!"&amp;IFERROR(MID(クライアント抽出!V16,FIND(",",クライアント抽出!V16)+1,1),"")&amp;A86&amp;"")&lt;&gt;"",
INDIRECT("数出表_Excel!"&amp;IFERROR(MID(クライアント抽出!V16,FIND(",",クライアント抽出!V16)+1,1),"")&amp;A86&amp;""),0),"")</f>
        <v/>
      </c>
      <c r="J86" s="200" t="str">
        <f ca="1">IF(C86&lt;&gt;"",
VLOOKUP(
IF(COUNTIF(D86,"*学食*"),"キャラ弁（学食）",
IF(COUNTIF(D86,"*赤*"),"赤",
IF(COUNTIF(D86,"*キャラ弁当*"),"キャラ弁当",D86))),注文弁当の抽出!$E$1:$F$15,2,FALSE),"")</f>
        <v/>
      </c>
      <c r="K86" s="200" t="str">
        <f t="shared" ca="1" si="20"/>
        <v/>
      </c>
      <c r="L86" s="200" t="str">
        <f t="shared" ca="1" si="21"/>
        <v/>
      </c>
      <c r="M86" s="200" cm="1">
        <f t="array" aca="1" ref="M86" ca="1">IF(C86&lt;&gt;"",
IF(IFERROR(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0)&lt;&gt;0,
IF(IFERROR(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"")="",
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""),
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0)),0),0)</f>
        <v>0</v>
      </c>
      <c r="N86" s="200" t="e">
        <f t="array" aca="1" ref="N86" ca="1">IF(B86="博多",
IF(C86&lt;&gt;"",
IF(IFERROR(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0)&lt;&gt;0,
IF(IFERROR(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0)="",
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0),
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0)),0),""),0)</f>
        <v>#N/A</v>
      </c>
      <c r="O86" s="200" t="e">
        <f t="shared" ca="1" si="22"/>
        <v>#N/A</v>
      </c>
      <c r="P86" s="200">
        <f t="shared" ca="1" si="4"/>
        <v>0</v>
      </c>
      <c r="Q86" s="200" t="b">
        <f t="shared" ca="1" si="23"/>
        <v>0</v>
      </c>
      <c r="R86" s="51" t="str" cm="1">
        <f t="array" aca="1" ref="R86" ca="1">IFERROR(SMALL(IF(P$1:P$300&lt;&gt;0,P$1:P$300),ROW(A86)),"")</f>
        <v/>
      </c>
      <c r="S86" s="51" t="str">
        <f t="array" aca="1" ref="S86" ca="1">IF($R86&lt;&gt;"",
INDIRECT(""&amp;IF(COLUMN(C106)&lt;=26,CHAR(COLUMN(C106)+64),CHAR(INT((COLUMN(C106)-1)/26)+64)&amp;CHAR(MOD(COLUMN(C106)-1,26)+65))&amp;$R86&amp;""),"")</f>
        <v/>
      </c>
      <c r="T86" s="51" t="str" cm="1">
        <f t="array" aca="1" ref="T86" ca="1">IF(IF($R86&lt;&gt;"",
INDIRECT(""&amp;IF(COLUMN(D106)&lt;=26,CHAR(COLUMN(D106)+64),CHAR(INT((COLUMN(D106)-1)/26)+64)&amp;CHAR(MOD(COLUMN(D106)-1,26)+65))&amp;$R86&amp;""),"")=0,"",
IF($R86&lt;&gt;"",
INDIRECT(""&amp;IF(COLUMN(D106)&lt;=26,CHAR(COLUMN(D106)+64),CHAR(INT((COLUMN(D106)-1)/26)+64)&amp;CHAR(MOD(COLUMN(D106)-1,26)+65))&amp;$R86&amp;""),""))</f>
        <v/>
      </c>
      <c r="U86" s="51"/>
      <c r="V86" s="51" t="str">
        <f t="array" aca="1" ref="V86" ca="1">IF($R86&lt;&gt;"",
IF(U86="",
IF(INDIRECT("EY"&amp;$R86&amp;"")&lt;&gt;"",
INDIRECT("EY"&amp;$R86&amp;"")&amp;"箱"
&amp;INDIRECT("EZ"&amp;$R86&amp;""),""),""),"")</f>
        <v/>
      </c>
      <c r="W86" s="51" t="str">
        <f t="array" aca="1" ref="W86" ca="1">IF($R86&lt;&gt;"",
INDIRECT(""&amp;IF(COLUMN(H106)&lt;=26,CHAR(COLUMN(H106)+64),CHAR(INT((COLUMN(H106)-1)/26)+64)&amp;CHAR(MOD(COLUMN(H106)-1,26)+65))&amp;$R86&amp;""),"")</f>
        <v/>
      </c>
      <c r="X86" s="51" t="str">
        <f t="array" aca="1" ref="X86" ca="1">IF($R86&lt;&gt;"",
INDIRECT(""&amp;IF(COLUMN(I106)&lt;=26,CHAR(COLUMN(I106)+64),CHAR(INT((COLUMN(I106)-1)/26)+64)&amp;CHAR(MOD(COLUMN(I106)-1,26)+65))&amp;$R86&amp;""),"")</f>
        <v/>
      </c>
      <c r="Y86" s="51" t="str">
        <f t="array" aca="1" ref="Y86" ca="1">IF($R86&lt;&gt;"",
INDIRECT(""&amp;IF(COLUMN(J106)&lt;=26,CHAR(COLUMN(J106)+64),CHAR(INT((COLUMN(J106)-1)/26)+64)&amp;CHAR(MOD(COLUMN(J106)-1,26)+65))&amp;$R86&amp;""),"")</f>
        <v/>
      </c>
      <c r="Z86" s="51" t="str">
        <f t="array" aca="1" ref="Z86" ca="1">IF($R86&lt;&gt;"",
INDIRECT(""&amp;IF(COLUMN(K106)&lt;=26,CHAR(COLUMN(K106)+64),CHAR(INT((COLUMN(K106)-1)/26)+64)&amp;CHAR(MOD(COLUMN(K106)-1,26)+65))&amp;$R86&amp;""),"")</f>
        <v/>
      </c>
      <c r="AA86" s="51" t="str">
        <f t="array" aca="1" ref="AA86" ca="1">IF($R86&lt;&gt;"",
INDIRECT(""&amp;IF(COLUMN(L106)&lt;=26,CHAR(COLUMN(L106)+64),CHAR(INT((COLUMN(L106)-1)/26)+64)&amp;CHAR(MOD(COLUMN(L106)-1,26)+65))&amp;$R86&amp;""),"")</f>
        <v/>
      </c>
      <c r="AB86" s="51" t="str">
        <f t="array" aca="1" ref="AB86" ca="1">IF($R86&lt;&gt;"",
INDIRECT(""&amp;IF(COLUMN(O106)&lt;=26,CHAR(COLUMN(O106)+64),CHAR(INT((COLUMN(O106)-1)/26)+64)&amp;CHAR(MOD(COLUMN(O106)-1,26)+65))&amp;$R86&amp;""),"")</f>
        <v/>
      </c>
    </row>
    <row r="87" spans="1:28" ht="22.2" customHeight="1">
      <c r="A87" s="199">
        <f t="shared" si="24"/>
        <v>39</v>
      </c>
      <c r="B87" s="200" t="e" cm="1">
        <f t="array" aca="1" ref="B87" ca="1">IF(AND(LEFT(C87,2)="博多",
LEFT(INDIRECT("数出表_Excel!A"&amp;MATCH(C87,数出表_Excel!$A:$A,0)-1),2)
=LEFT(INDIRECT("数出表_Excel!A"&amp;MATCH(C87,数出表_Excel!$A:$A,0)+1),2)),"博多",
IF(AND(LEFT(C87,3)="奈良屋",
LEFT(INDIRECT("数出表_Excel!A"&amp;MATCH(C87,数出表_Excel!$A:$A,0)-1),2)
=LEFT(INDIRECT("数出表_Excel!A"&amp;MATCH(C87,数出表_Excel!$A:$A,0)+1),2)),"奈良屋",""))</f>
        <v>#N/A</v>
      </c>
      <c r="C87" s="200" t="str" cm="1">
        <f t="array" aca="1" ref="C87" ca="1">IF(IF(クライアント抽出!A17="",0,LEN(クライアント抽出!V17)-LEN(SUBSTITUTE(クライアント抽出!V17,",","")))&gt;=2,INDIRECT("数出表_Excel!A"&amp;A87&amp;""),"")</f>
        <v/>
      </c>
      <c r="D87" s="200" t="str" cm="1">
        <f t="array" aca="1" ref="D87" ca="1">IF(C87&lt;&gt;"",INDIRECT("クライアント抽出!"&amp;E87&amp;MATCH(C87,クライアント抽出!A:A,0)&amp;""),"")</f>
        <v/>
      </c>
      <c r="E87" s="20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201" t="str" cm="1">
        <f t="array" aca="1" ref="F87" ca="1">IF(D87&lt;&gt;"",
IF(COUNTIF(C87,"*雙葉*"),
IF(ROUND(
IF(O87&lt;&gt;"",(H87-O87),H87)
/IF(COUNTIF('盛付札（関数）'!D87,"*キャラ*"),
VLOOKUP("*キャラ*",#REF!,7,FALSE),
IF(COUNTIF('盛付札（関数）'!D87,"*赤*"),
VLOOKUP("*赤*",#REF!,7,FALSE),
VLOOKUP('盛付札（関数）'!D87,#REF!,7,FALSE))),0)&lt;=0,1,
ROUND(
IF(O87&lt;&gt;"",(H87-O87),H87)
/IF(COUNTIF('盛付札（関数）'!D87,"*キャラ*"),
VLOOKUP("*キャラ*",#REF!,7,FALSE),
IF(COUNTIF('盛付札（関数）'!D87,"*赤*"),
VLOOKUP("*赤*",#REF!,7,FALSE),
VLOOKUP('盛付札（関数）'!D87,#REF!,7,FALSE))),0)),
IF(MATCH(TRUE,
ISNUMBER(--INDIRECT("数出表_Excel!B"&amp;MATCH(C87,数出表_Excel!$A:$A,0)-1&amp;":U"&amp;MATCH(C87,数出表_Excel!$A:$A,0)-1&amp;"")),0)&gt;10,
IF(D87&lt;&gt;"",
IF(IF(COUNTIF('盛付札（関数）'!D87,"*キャラ*"),
VLOOKUP("*キャラ*",#REF!,7,FALSE),
IF(COUNTIF('盛付札（関数）'!D87,"*赤*"),
VLOOKUP("*赤*",#REF!,7,FALSE),
VLOOKUP('盛付札（関数）'!D87,#REF!,7,FALSE)))=0,"",
IF(ROUND(
IF(O87&lt;&gt;"",(H87-O87),H87)
/IF(COUNTIF('盛付札（関数）'!D87,"*キャラ*"),
VLOOKUP("*キャラ*",#REF!,7,FALSE),
IF(COUNTIF('盛付札（関数）'!D87,"*赤*"),
VLOOKUP("*赤*",#REF!,7,FALSE),
VLOOKUP('盛付札（関数）'!D87,#REF!,7,FALSE))),0)&lt;=0,1,
ROUND(
IF(O87&lt;&gt;"",(H87-O87),H87)
/IF(COUNTIF('盛付札（関数）'!D87,"*キャラ*"),
VLOOKUP("*キャラ*",#REF!,7,FALSE),
IF(COUNTIF('盛付札（関数）'!D87,"*赤*"),
VLOOKUP("*赤*",#REF!,7,FALSE),
VLOOKUP('盛付札（関数）'!D87,#REF!,7,FALSE))),0))),""),"")),"")</f>
        <v/>
      </c>
      <c r="G87" s="201" t="str">
        <f ca="1">IF(F87&lt;&gt;"",IF(VALUE(IF(O87&lt;&gt;"",H87-O87,H87))&gt;VALUE(IF(COUNTIF('盛付札（関数）'!D87,"*キャラ*"),
VLOOKUP("*キャラ*",#REF!,7,FALSE),
IF(COUNTIF('盛付札（関数）'!D87,"*赤*"),
VLOOKUP("*赤*",#REF!,7,FALSE),
VLOOKUP('盛付札（関数）'!D87,#REF!,7,FALSE)))*F87),
"+"&amp;IF(O87&lt;&gt;"",H87-O87,H87)-IF(COUNTIF('盛付札（関数）'!D87,"*キャラ*"),
VLOOKUP("*キャラ*",#REF!,7,FALSE),
IF(COUNTIF('盛付札（関数）'!D87,"*赤*"),
VLOOKUP("*赤*",#REF!,7,FALSE),
VLOOKUP('盛付札（関数）'!D87,#REF!,7,FALSE)))*F87,
IF(O87&lt;&gt;"",H87-O87,H87)-IF(COUNTIF('盛付札（関数）'!D87,"*キャラ*"),
VLOOKUP("*キャラ*",#REF!,7,FALSE),
IF(COUNTIF('盛付札（関数）'!D87,"*赤*"),
VLOOKUP("*赤*",#REF!,7,FALSE),
VLOOKUP('盛付札（関数）'!D87,#REF!,7,FALSE)))*F87),"")</f>
        <v/>
      </c>
      <c r="H87" s="202" t="str" cm="1">
        <f t="array" aca="1" ref="H87" ca="1">IF(C87&lt;&gt;"",
IF(INDIRECT("数出表_Excel!"&amp;IFERROR(MID(クライアント抽出!V17,FIND(",",クライアント抽出!V17)+1,1),"")&amp;A87-1&amp;"")&lt;&gt;"",
INDIRECT("数出表_Excel!"&amp;IFERROR(MID(クライアント抽出!V17,FIND(",",クライアント抽出!V17)+1,1),"")&amp;A87-1&amp;""),0),"")</f>
        <v/>
      </c>
      <c r="I87" s="200" t="str" cm="1">
        <f t="array" aca="1" ref="I87" ca="1">IF(C87&lt;&gt;"",
IF(INDIRECT("数出表_Excel!"&amp;IFERROR(MID(クライアント抽出!V17,FIND(",",クライアント抽出!V17)+1,1),"")&amp;A87&amp;"")&lt;&gt;"",
INDIRECT("数出表_Excel!"&amp;IFERROR(MID(クライアント抽出!V17,FIND(",",クライアント抽出!V17)+1,1),"")&amp;A87&amp;""),0),"")</f>
        <v/>
      </c>
      <c r="J87" s="200" t="str">
        <f ca="1">IF(C87&lt;&gt;"",
VLOOKUP(
IF(COUNTIF(D87,"*学食*"),"キャラ弁（学食）",
IF(COUNTIF(D87,"*赤*"),"赤",
IF(COUNTIF(D87,"*キャラ弁当*"),"キャラ弁当",D87))),注文弁当の抽出!$E$1:$F$15,2,FALSE),"")</f>
        <v/>
      </c>
      <c r="K87" s="200" t="str">
        <f t="shared" ref="K87:K110" ca="1" si="25">IF(C87&lt;&gt;"",
IFERROR(INT(H87/J87),""),"")</f>
        <v/>
      </c>
      <c r="L87" s="200" t="str">
        <f t="shared" ref="L87:L110" ca="1" si="26">IFERROR(MOD(H87,J87),"")</f>
        <v/>
      </c>
      <c r="M87" s="200" cm="1">
        <f t="array" aca="1" ref="M87" ca="1">IF(C87&lt;&gt;"",
IF(IFERROR(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0)&lt;&gt;0,
IF(IFERROR(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"")="",
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""),
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0)),0),0)</f>
        <v>0</v>
      </c>
      <c r="N87" s="200" t="e">
        <f t="array" aca="1" ref="N87" ca="1">IF(B87="博多",
IF(C87&lt;&gt;"",
IF(IFERROR(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0)&lt;&gt;0,
IF(IFERROR(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0)="",
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0),
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0)),0),""),0)</f>
        <v>#N/A</v>
      </c>
      <c r="O87" s="200" t="e">
        <f t="shared" ref="O87:O126" ca="1" si="27">M87+N87</f>
        <v>#N/A</v>
      </c>
      <c r="P87" s="200">
        <f t="shared" ca="1" si="4"/>
        <v>0</v>
      </c>
      <c r="Q87" s="200" t="b">
        <f t="shared" ref="Q87:Q126" ca="1" si="28">IF(C87&lt;&gt;"",TRUE,FALSE)</f>
        <v>0</v>
      </c>
      <c r="R87" s="51" t="str" cm="1">
        <f t="array" aca="1" ref="R87" ca="1">IFERROR(SMALL(IF(P$1:P$300&lt;&gt;0,P$1:P$300),ROW(A87)),"")</f>
        <v/>
      </c>
      <c r="S87" s="51" t="str">
        <f t="array" aca="1" ref="S87" ca="1">IF($R87&lt;&gt;"",
INDIRECT(""&amp;IF(COLUMN(C107)&lt;=26,CHAR(COLUMN(C107)+64),CHAR(INT((COLUMN(C107)-1)/26)+64)&amp;CHAR(MOD(COLUMN(C107)-1,26)+65))&amp;$R87&amp;""),"")</f>
        <v/>
      </c>
      <c r="T87" s="51" t="str" cm="1">
        <f t="array" aca="1" ref="T87" ca="1">IF(IF($R87&lt;&gt;"",
INDIRECT(""&amp;IF(COLUMN(D107)&lt;=26,CHAR(COLUMN(D107)+64),CHAR(INT((COLUMN(D107)-1)/26)+64)&amp;CHAR(MOD(COLUMN(D107)-1,26)+65))&amp;$R87&amp;""),"")=0,"",
IF($R87&lt;&gt;"",
INDIRECT(""&amp;IF(COLUMN(D107)&lt;=26,CHAR(COLUMN(D107)+64),CHAR(INT((COLUMN(D107)-1)/26)+64)&amp;CHAR(MOD(COLUMN(D107)-1,26)+65))&amp;$R87&amp;""),""))</f>
        <v/>
      </c>
      <c r="U87" s="51"/>
      <c r="V87" s="51" t="str">
        <f t="array" aca="1" ref="V87" ca="1">IF($R87&lt;&gt;"",
IF(U87="",
IF(INDIRECT("EY"&amp;$R87&amp;"")&lt;&gt;"",
INDIRECT("EY"&amp;$R87&amp;"")&amp;"箱"
&amp;INDIRECT("EZ"&amp;$R87&amp;""),""),""),"")</f>
        <v/>
      </c>
      <c r="W87" s="51" t="str">
        <f t="array" aca="1" ref="W87" ca="1">IF($R87&lt;&gt;"",
INDIRECT(""&amp;IF(COLUMN(H107)&lt;=26,CHAR(COLUMN(H107)+64),CHAR(INT((COLUMN(H107)-1)/26)+64)&amp;CHAR(MOD(COLUMN(H107)-1,26)+65))&amp;$R87&amp;""),"")</f>
        <v/>
      </c>
      <c r="X87" s="51" t="str">
        <f t="array" aca="1" ref="X87" ca="1">IF($R87&lt;&gt;"",
INDIRECT(""&amp;IF(COLUMN(I107)&lt;=26,CHAR(COLUMN(I107)+64),CHAR(INT((COLUMN(I107)-1)/26)+64)&amp;CHAR(MOD(COLUMN(I107)-1,26)+65))&amp;$R87&amp;""),"")</f>
        <v/>
      </c>
      <c r="Y87" s="51" t="str">
        <f t="array" aca="1" ref="Y87" ca="1">IF($R87&lt;&gt;"",
INDIRECT(""&amp;IF(COLUMN(J107)&lt;=26,CHAR(COLUMN(J107)+64),CHAR(INT((COLUMN(J107)-1)/26)+64)&amp;CHAR(MOD(COLUMN(J107)-1,26)+65))&amp;$R87&amp;""),"")</f>
        <v/>
      </c>
      <c r="Z87" s="51" t="str">
        <f t="array" aca="1" ref="Z87" ca="1">IF($R87&lt;&gt;"",
INDIRECT(""&amp;IF(COLUMN(K107)&lt;=26,CHAR(COLUMN(K107)+64),CHAR(INT((COLUMN(K107)-1)/26)+64)&amp;CHAR(MOD(COLUMN(K107)-1,26)+65))&amp;$R87&amp;""),"")</f>
        <v/>
      </c>
      <c r="AA87" s="51" t="str">
        <f t="array" aca="1" ref="AA87" ca="1">IF($R87&lt;&gt;"",
INDIRECT(""&amp;IF(COLUMN(L107)&lt;=26,CHAR(COLUMN(L107)+64),CHAR(INT((COLUMN(L107)-1)/26)+64)&amp;CHAR(MOD(COLUMN(L107)-1,26)+65))&amp;$R87&amp;""),"")</f>
        <v/>
      </c>
      <c r="AB87" s="51" t="str">
        <f t="array" aca="1" ref="AB87" ca="1">IF($R87&lt;&gt;"",
INDIRECT(""&amp;IF(COLUMN(O107)&lt;=26,CHAR(COLUMN(O107)+64),CHAR(INT((COLUMN(O107)-1)/26)+64)&amp;CHAR(MOD(COLUMN(O107)-1,26)+65))&amp;$R87&amp;""),"")</f>
        <v/>
      </c>
    </row>
    <row r="88" spans="1:28" ht="22.2" customHeight="1">
      <c r="A88" s="199">
        <f t="shared" si="24"/>
        <v>41</v>
      </c>
      <c r="B88" s="200" t="e" cm="1">
        <f t="array" aca="1" ref="B88" ca="1">IF(AND(LEFT(C88,2)="博多",
LEFT(INDIRECT("数出表_Excel!A"&amp;MATCH(C88,数出表_Excel!$A:$A,0)-1),2)
=LEFT(INDIRECT("数出表_Excel!A"&amp;MATCH(C88,数出表_Excel!$A:$A,0)+1),2)),"博多",
IF(AND(LEFT(C88,3)="奈良屋",
LEFT(INDIRECT("数出表_Excel!A"&amp;MATCH(C88,数出表_Excel!$A:$A,0)-1),2)
=LEFT(INDIRECT("数出表_Excel!A"&amp;MATCH(C88,数出表_Excel!$A:$A,0)+1),2)),"奈良屋",""))</f>
        <v>#N/A</v>
      </c>
      <c r="C88" s="200" t="str" cm="1">
        <f t="array" aca="1" ref="C88" ca="1">IF(IF(クライアント抽出!A18="",0,LEN(クライアント抽出!V18)-LEN(SUBSTITUTE(クライアント抽出!V18,",","")))&gt;=2,INDIRECT("数出表_Excel!A"&amp;A88&amp;""),"")</f>
        <v/>
      </c>
      <c r="D88" s="200" t="str" cm="1">
        <f t="array" aca="1" ref="D88" ca="1">IF(C88&lt;&gt;"",INDIRECT("クライアント抽出!"&amp;E88&amp;MATCH(C88,クライアント抽出!A:A,0)&amp;""),"")</f>
        <v/>
      </c>
      <c r="E88" s="20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201" t="str" cm="1">
        <f t="array" aca="1" ref="F88" ca="1">IF(D88&lt;&gt;"",
IF(COUNTIF(C88,"*雙葉*"),
IF(ROUND(
IF(O88&lt;&gt;"",(H88-O88),H88)
/IF(COUNTIF('盛付札（関数）'!D88,"*キャラ*"),
VLOOKUP("*キャラ*",#REF!,7,FALSE),
IF(COUNTIF('盛付札（関数）'!D88,"*赤*"),
VLOOKUP("*赤*",#REF!,7,FALSE),
VLOOKUP('盛付札（関数）'!D88,#REF!,7,FALSE))),0)&lt;=0,1,
ROUND(
IF(O88&lt;&gt;"",(H88-O88),H88)
/IF(COUNTIF('盛付札（関数）'!D88,"*キャラ*"),
VLOOKUP("*キャラ*",#REF!,7,FALSE),
IF(COUNTIF('盛付札（関数）'!D88,"*赤*"),
VLOOKUP("*赤*",#REF!,7,FALSE),
VLOOKUP('盛付札（関数）'!D88,#REF!,7,FALSE))),0)),
IF(MATCH(TRUE,
ISNUMBER(--INDIRECT("数出表_Excel!B"&amp;MATCH(C88,数出表_Excel!$A:$A,0)-1&amp;":U"&amp;MATCH(C88,数出表_Excel!$A:$A,0)-1&amp;"")),0)&gt;10,
IF(D88&lt;&gt;"",
IF(IF(COUNTIF('盛付札（関数）'!D88,"*キャラ*"),
VLOOKUP("*キャラ*",#REF!,7,FALSE),
IF(COUNTIF('盛付札（関数）'!D88,"*赤*"),
VLOOKUP("*赤*",#REF!,7,FALSE),
VLOOKUP('盛付札（関数）'!D88,#REF!,7,FALSE)))=0,"",
IF(ROUND(
IF(O88&lt;&gt;"",(H88-O88),H88)
/IF(COUNTIF('盛付札（関数）'!D88,"*キャラ*"),
VLOOKUP("*キャラ*",#REF!,7,FALSE),
IF(COUNTIF('盛付札（関数）'!D88,"*赤*"),
VLOOKUP("*赤*",#REF!,7,FALSE),
VLOOKUP('盛付札（関数）'!D88,#REF!,7,FALSE))),0)&lt;=0,1,
ROUND(
IF(O88&lt;&gt;"",(H88-O88),H88)
/IF(COUNTIF('盛付札（関数）'!D88,"*キャラ*"),
VLOOKUP("*キャラ*",#REF!,7,FALSE),
IF(COUNTIF('盛付札（関数）'!D88,"*赤*"),
VLOOKUP("*赤*",#REF!,7,FALSE),
VLOOKUP('盛付札（関数）'!D88,#REF!,7,FALSE))),0))),""),"")),"")</f>
        <v/>
      </c>
      <c r="G88" s="201" t="str">
        <f ca="1">IF(F88&lt;&gt;"",IF(VALUE(IF(O88&lt;&gt;"",H88-O88,H88))&gt;VALUE(IF(COUNTIF('盛付札（関数）'!D88,"*キャラ*"),
VLOOKUP("*キャラ*",#REF!,7,FALSE),
IF(COUNTIF('盛付札（関数）'!D88,"*赤*"),
VLOOKUP("*赤*",#REF!,7,FALSE),
VLOOKUP('盛付札（関数）'!D88,#REF!,7,FALSE)))*F88),
"+"&amp;IF(O88&lt;&gt;"",H88-O88,H88)-IF(COUNTIF('盛付札（関数）'!D88,"*キャラ*"),
VLOOKUP("*キャラ*",#REF!,7,FALSE),
IF(COUNTIF('盛付札（関数）'!D88,"*赤*"),
VLOOKUP("*赤*",#REF!,7,FALSE),
VLOOKUP('盛付札（関数）'!D88,#REF!,7,FALSE)))*F88,
IF(O88&lt;&gt;"",H88-O88,H88)-IF(COUNTIF('盛付札（関数）'!D88,"*キャラ*"),
VLOOKUP("*キャラ*",#REF!,7,FALSE),
IF(COUNTIF('盛付札（関数）'!D88,"*赤*"),
VLOOKUP("*赤*",#REF!,7,FALSE),
VLOOKUP('盛付札（関数）'!D88,#REF!,7,FALSE)))*F88),"")</f>
        <v/>
      </c>
      <c r="H88" s="202" t="str" cm="1">
        <f t="array" aca="1" ref="H88" ca="1">IF(C88&lt;&gt;"",
IF(INDIRECT("数出表_Excel!"&amp;IFERROR(MID(クライアント抽出!V18,FIND(",",クライアント抽出!V18)+1,1),"")&amp;A88-1&amp;"")&lt;&gt;"",
INDIRECT("数出表_Excel!"&amp;IFERROR(MID(クライアント抽出!V18,FIND(",",クライアント抽出!V18)+1,1),"")&amp;A88-1&amp;""),0),"")</f>
        <v/>
      </c>
      <c r="I88" s="200" t="str" cm="1">
        <f t="array" aca="1" ref="I88" ca="1">IF(C88&lt;&gt;"",
IF(INDIRECT("数出表_Excel!"&amp;IFERROR(MID(クライアント抽出!V18,FIND(",",クライアント抽出!V18)+1,1),"")&amp;A88&amp;"")&lt;&gt;"",
INDIRECT("数出表_Excel!"&amp;IFERROR(MID(クライアント抽出!V18,FIND(",",クライアント抽出!V18)+1,1),"")&amp;A88&amp;""),0),"")</f>
        <v/>
      </c>
      <c r="J88" s="200" t="str">
        <f ca="1">IF(C88&lt;&gt;"",
VLOOKUP(
IF(COUNTIF(D88,"*学食*"),"キャラ弁（学食）",
IF(COUNTIF(D88,"*赤*"),"赤",
IF(COUNTIF(D88,"*キャラ弁当*"),"キャラ弁当",D88))),注文弁当の抽出!$E$1:$F$15,2,FALSE),"")</f>
        <v/>
      </c>
      <c r="K88" s="200" t="str">
        <f t="shared" ca="1" si="25"/>
        <v/>
      </c>
      <c r="L88" s="200" t="str">
        <f t="shared" ca="1" si="26"/>
        <v/>
      </c>
      <c r="M88" s="200" cm="1">
        <f t="array" aca="1" ref="M88" ca="1">IF(C88&lt;&gt;"",
IF(IFERROR(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0)&lt;&gt;0,
IF(IFERROR(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"")="",
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""),
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0)),0),0)</f>
        <v>0</v>
      </c>
      <c r="N88" s="200" t="e">
        <f t="array" aca="1" ref="N88" ca="1">IF(B88="博多",
IF(C88&lt;&gt;"",
IF(IFERROR(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0)&lt;&gt;0,
IF(IFERROR(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0)="",
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0),
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0)),0),""),0)</f>
        <v>#N/A</v>
      </c>
      <c r="O88" s="200" t="e">
        <f t="shared" ca="1" si="27"/>
        <v>#N/A</v>
      </c>
      <c r="P88" s="200">
        <f t="shared" ca="1" si="4"/>
        <v>0</v>
      </c>
      <c r="Q88" s="200" t="b">
        <f t="shared" ca="1" si="28"/>
        <v>0</v>
      </c>
      <c r="R88" s="51" t="str" cm="1">
        <f t="array" aca="1" ref="R88" ca="1">IFERROR(SMALL(IF(P$1:P$300&lt;&gt;0,P$1:P$300),ROW(A88)),"")</f>
        <v/>
      </c>
      <c r="S88" s="51" t="str">
        <f t="array" aca="1" ref="S88" ca="1">IF($R88&lt;&gt;"",
INDIRECT(""&amp;IF(COLUMN(C108)&lt;=26,CHAR(COLUMN(C108)+64),CHAR(INT((COLUMN(C108)-1)/26)+64)&amp;CHAR(MOD(COLUMN(C108)-1,26)+65))&amp;$R88&amp;""),"")</f>
        <v/>
      </c>
      <c r="T88" s="51" t="str" cm="1">
        <f t="array" aca="1" ref="T88" ca="1">IF(IF($R88&lt;&gt;"",
INDIRECT(""&amp;IF(COLUMN(D108)&lt;=26,CHAR(COLUMN(D108)+64),CHAR(INT((COLUMN(D108)-1)/26)+64)&amp;CHAR(MOD(COLUMN(D108)-1,26)+65))&amp;$R88&amp;""),"")=0,"",
IF($R88&lt;&gt;"",
INDIRECT(""&amp;IF(COLUMN(D108)&lt;=26,CHAR(COLUMN(D108)+64),CHAR(INT((COLUMN(D108)-1)/26)+64)&amp;CHAR(MOD(COLUMN(D108)-1,26)+65))&amp;$R88&amp;""),""))</f>
        <v/>
      </c>
      <c r="U88" s="51"/>
      <c r="V88" s="51" t="str">
        <f t="array" aca="1" ref="V88" ca="1">IF($R88&lt;&gt;"",
IF(U88="",
IF(INDIRECT("EY"&amp;$R88&amp;"")&lt;&gt;"",
INDIRECT("EY"&amp;$R88&amp;"")&amp;"箱"
&amp;INDIRECT("EZ"&amp;$R88&amp;""),""),""),"")</f>
        <v/>
      </c>
      <c r="W88" s="51" t="str">
        <f t="array" aca="1" ref="W88" ca="1">IF($R88&lt;&gt;"",
INDIRECT(""&amp;IF(COLUMN(H108)&lt;=26,CHAR(COLUMN(H108)+64),CHAR(INT((COLUMN(H108)-1)/26)+64)&amp;CHAR(MOD(COLUMN(H108)-1,26)+65))&amp;$R88&amp;""),"")</f>
        <v/>
      </c>
      <c r="X88" s="51" t="str">
        <f t="array" aca="1" ref="X88" ca="1">IF($R88&lt;&gt;"",
INDIRECT(""&amp;IF(COLUMN(I108)&lt;=26,CHAR(COLUMN(I108)+64),CHAR(INT((COLUMN(I108)-1)/26)+64)&amp;CHAR(MOD(COLUMN(I108)-1,26)+65))&amp;$R88&amp;""),"")</f>
        <v/>
      </c>
      <c r="Y88" s="51" t="str">
        <f t="array" aca="1" ref="Y88" ca="1">IF($R88&lt;&gt;"",
INDIRECT(""&amp;IF(COLUMN(J108)&lt;=26,CHAR(COLUMN(J108)+64),CHAR(INT((COLUMN(J108)-1)/26)+64)&amp;CHAR(MOD(COLUMN(J108)-1,26)+65))&amp;$R88&amp;""),"")</f>
        <v/>
      </c>
      <c r="Z88" s="51" t="str">
        <f t="array" aca="1" ref="Z88" ca="1">IF($R88&lt;&gt;"",
INDIRECT(""&amp;IF(COLUMN(K108)&lt;=26,CHAR(COLUMN(K108)+64),CHAR(INT((COLUMN(K108)-1)/26)+64)&amp;CHAR(MOD(COLUMN(K108)-1,26)+65))&amp;$R88&amp;""),"")</f>
        <v/>
      </c>
      <c r="AA88" s="51" t="str">
        <f t="array" aca="1" ref="AA88" ca="1">IF($R88&lt;&gt;"",
INDIRECT(""&amp;IF(COLUMN(L108)&lt;=26,CHAR(COLUMN(L108)+64),CHAR(INT((COLUMN(L108)-1)/26)+64)&amp;CHAR(MOD(COLUMN(L108)-1,26)+65))&amp;$R88&amp;""),"")</f>
        <v/>
      </c>
      <c r="AB88" s="51" t="str">
        <f t="array" aca="1" ref="AB88" ca="1">IF($R88&lt;&gt;"",
INDIRECT(""&amp;IF(COLUMN(O108)&lt;=26,CHAR(COLUMN(O108)+64),CHAR(INT((COLUMN(O108)-1)/26)+64)&amp;CHAR(MOD(COLUMN(O108)-1,26)+65))&amp;$R88&amp;""),"")</f>
        <v/>
      </c>
    </row>
    <row r="89" spans="1:28" ht="22.2" customHeight="1">
      <c r="A89" s="199">
        <f t="shared" si="24"/>
        <v>43</v>
      </c>
      <c r="B89" s="200" t="e" cm="1">
        <f t="array" aca="1" ref="B89" ca="1">IF(AND(LEFT(C89,2)="博多",
LEFT(INDIRECT("数出表_Excel!A"&amp;MATCH(C89,数出表_Excel!$A:$A,0)-1),2)
=LEFT(INDIRECT("数出表_Excel!A"&amp;MATCH(C89,数出表_Excel!$A:$A,0)+1),2)),"博多",
IF(AND(LEFT(C89,3)="奈良屋",
LEFT(INDIRECT("数出表_Excel!A"&amp;MATCH(C89,数出表_Excel!$A:$A,0)-1),2)
=LEFT(INDIRECT("数出表_Excel!A"&amp;MATCH(C89,数出表_Excel!$A:$A,0)+1),2)),"奈良屋",""))</f>
        <v>#N/A</v>
      </c>
      <c r="C89" s="200" t="str" cm="1">
        <f t="array" aca="1" ref="C89" ca="1">IF(IF(クライアント抽出!A19="",0,LEN(クライアント抽出!V19)-LEN(SUBSTITUTE(クライアント抽出!V19,",","")))&gt;=2,INDIRECT("数出表_Excel!A"&amp;A89&amp;""),"")</f>
        <v/>
      </c>
      <c r="D89" s="200" t="str" cm="1">
        <f t="array" aca="1" ref="D89" ca="1">IF(C89&lt;&gt;"",INDIRECT("クライアント抽出!"&amp;E89&amp;MATCH(C89,クライアント抽出!A:A,0)&amp;""),"")</f>
        <v/>
      </c>
      <c r="E89" s="20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201" t="str" cm="1">
        <f t="array" aca="1" ref="F89" ca="1">IF(D89&lt;&gt;"",
IF(COUNTIF(C89,"*雙葉*"),
IF(ROUND(
IF(O89&lt;&gt;"",(H89-O89),H89)
/IF(COUNTIF('盛付札（関数）'!D89,"*キャラ*"),
VLOOKUP("*キャラ*",#REF!,7,FALSE),
IF(COUNTIF('盛付札（関数）'!D89,"*赤*"),
VLOOKUP("*赤*",#REF!,7,FALSE),
VLOOKUP('盛付札（関数）'!D89,#REF!,7,FALSE))),0)&lt;=0,1,
ROUND(
IF(O89&lt;&gt;"",(H89-O89),H89)
/IF(COUNTIF('盛付札（関数）'!D89,"*キャラ*"),
VLOOKUP("*キャラ*",#REF!,7,FALSE),
IF(COUNTIF('盛付札（関数）'!D89,"*赤*"),
VLOOKUP("*赤*",#REF!,7,FALSE),
VLOOKUP('盛付札（関数）'!D89,#REF!,7,FALSE))),0)),
IF(MATCH(TRUE,
ISNUMBER(--INDIRECT("数出表_Excel!B"&amp;MATCH(C89,数出表_Excel!$A:$A,0)-1&amp;":U"&amp;MATCH(C89,数出表_Excel!$A:$A,0)-1&amp;"")),0)&gt;10,
IF(D89&lt;&gt;"",
IF(IF(COUNTIF('盛付札（関数）'!D89,"*キャラ*"),
VLOOKUP("*キャラ*",#REF!,7,FALSE),
IF(COUNTIF('盛付札（関数）'!D89,"*赤*"),
VLOOKUP("*赤*",#REF!,7,FALSE),
VLOOKUP('盛付札（関数）'!D89,#REF!,7,FALSE)))=0,"",
IF(ROUND(
IF(O89&lt;&gt;"",(H89-O89),H89)
/IF(COUNTIF('盛付札（関数）'!D89,"*キャラ*"),
VLOOKUP("*キャラ*",#REF!,7,FALSE),
IF(COUNTIF('盛付札（関数）'!D89,"*赤*"),
VLOOKUP("*赤*",#REF!,7,FALSE),
VLOOKUP('盛付札（関数）'!D89,#REF!,7,FALSE))),0)&lt;=0,1,
ROUND(
IF(O89&lt;&gt;"",(H89-O89),H89)
/IF(COUNTIF('盛付札（関数）'!D89,"*キャラ*"),
VLOOKUP("*キャラ*",#REF!,7,FALSE),
IF(COUNTIF('盛付札（関数）'!D89,"*赤*"),
VLOOKUP("*赤*",#REF!,7,FALSE),
VLOOKUP('盛付札（関数）'!D89,#REF!,7,FALSE))),0))),""),"")),"")</f>
        <v/>
      </c>
      <c r="G89" s="201" t="str">
        <f ca="1">IF(F89&lt;&gt;"",IF(VALUE(IF(O89&lt;&gt;"",H89-O89,H89))&gt;VALUE(IF(COUNTIF('盛付札（関数）'!D89,"*キャラ*"),
VLOOKUP("*キャラ*",#REF!,7,FALSE),
IF(COUNTIF('盛付札（関数）'!D89,"*赤*"),
VLOOKUP("*赤*",#REF!,7,FALSE),
VLOOKUP('盛付札（関数）'!D89,#REF!,7,FALSE)))*F89),
"+"&amp;IF(O89&lt;&gt;"",H89-O89,H89)-IF(COUNTIF('盛付札（関数）'!D89,"*キャラ*"),
VLOOKUP("*キャラ*",#REF!,7,FALSE),
IF(COUNTIF('盛付札（関数）'!D89,"*赤*"),
VLOOKUP("*赤*",#REF!,7,FALSE),
VLOOKUP('盛付札（関数）'!D89,#REF!,7,FALSE)))*F89,
IF(O89&lt;&gt;"",H89-O89,H89)-IF(COUNTIF('盛付札（関数）'!D89,"*キャラ*"),
VLOOKUP("*キャラ*",#REF!,7,FALSE),
IF(COUNTIF('盛付札（関数）'!D89,"*赤*"),
VLOOKUP("*赤*",#REF!,7,FALSE),
VLOOKUP('盛付札（関数）'!D89,#REF!,7,FALSE)))*F89),"")</f>
        <v/>
      </c>
      <c r="H89" s="202" t="str" cm="1">
        <f t="array" aca="1" ref="H89" ca="1">IF(C89&lt;&gt;"",
IF(INDIRECT("数出表_Excel!"&amp;IFERROR(MID(クライアント抽出!V19,FIND(",",クライアント抽出!V19)+1,1),"")&amp;A89-1&amp;"")&lt;&gt;"",
INDIRECT("数出表_Excel!"&amp;IFERROR(MID(クライアント抽出!V19,FIND(",",クライアント抽出!V19)+1,1),"")&amp;A89-1&amp;""),0),"")</f>
        <v/>
      </c>
      <c r="I89" s="200" t="str" cm="1">
        <f t="array" aca="1" ref="I89" ca="1">IF(C89&lt;&gt;"",
IF(INDIRECT("数出表_Excel!"&amp;IFERROR(MID(クライアント抽出!V19,FIND(",",クライアント抽出!V19)+1,1),"")&amp;A89&amp;"")&lt;&gt;"",
INDIRECT("数出表_Excel!"&amp;IFERROR(MID(クライアント抽出!V19,FIND(",",クライアント抽出!V19)+1,1),"")&amp;A89&amp;""),0),"")</f>
        <v/>
      </c>
      <c r="J89" s="200" t="str">
        <f ca="1">IF(C89&lt;&gt;"",
VLOOKUP(
IF(COUNTIF(D89,"*学食*"),"キャラ弁（学食）",
IF(COUNTIF(D89,"*赤*"),"赤",
IF(COUNTIF(D89,"*キャラ弁当*"),"キャラ弁当",D89))),注文弁当の抽出!$E$1:$F$15,2,FALSE),"")</f>
        <v/>
      </c>
      <c r="K89" s="200" t="str">
        <f t="shared" ca="1" si="25"/>
        <v/>
      </c>
      <c r="L89" s="200" t="str">
        <f t="shared" ca="1" si="26"/>
        <v/>
      </c>
      <c r="M89" s="200" cm="1">
        <f t="array" aca="1" ref="M89" ca="1">IF(C89&lt;&gt;"",
IF(IFERROR(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0)&lt;&gt;0,
IF(IFERROR(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"")="",
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""),
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0)),0),0)</f>
        <v>0</v>
      </c>
      <c r="N89" s="200" t="e">
        <f t="array" aca="1" ref="N89" ca="1">IF(B89="博多",
IF(C89&lt;&gt;"",
IF(IFERROR(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0)&lt;&gt;0,
IF(IFERROR(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0)="",
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0),
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0)),0),""),0)</f>
        <v>#N/A</v>
      </c>
      <c r="O89" s="200" t="e">
        <f t="shared" ca="1" si="27"/>
        <v>#N/A</v>
      </c>
      <c r="P89" s="200">
        <f t="shared" ca="1" si="4"/>
        <v>0</v>
      </c>
      <c r="Q89" s="200" t="b">
        <f t="shared" ca="1" si="28"/>
        <v>0</v>
      </c>
      <c r="R89" s="51" t="str" cm="1">
        <f t="array" aca="1" ref="R89" ca="1">IFERROR(SMALL(IF(P$1:P$300&lt;&gt;0,P$1:P$300),ROW(A89)),"")</f>
        <v/>
      </c>
      <c r="S89" s="51" t="str">
        <f t="array" aca="1" ref="S89" ca="1">IF($R89&lt;&gt;"",
INDIRECT(""&amp;IF(COLUMN(C109)&lt;=26,CHAR(COLUMN(C109)+64),CHAR(INT((COLUMN(C109)-1)/26)+64)&amp;CHAR(MOD(COLUMN(C109)-1,26)+65))&amp;$R89&amp;""),"")</f>
        <v/>
      </c>
      <c r="T89" s="51" t="str" cm="1">
        <f t="array" aca="1" ref="T89" ca="1">IF(IF($R89&lt;&gt;"",
INDIRECT(""&amp;IF(COLUMN(D109)&lt;=26,CHAR(COLUMN(D109)+64),CHAR(INT((COLUMN(D109)-1)/26)+64)&amp;CHAR(MOD(COLUMN(D109)-1,26)+65))&amp;$R89&amp;""),"")=0,"",
IF($R89&lt;&gt;"",
INDIRECT(""&amp;IF(COLUMN(D109)&lt;=26,CHAR(COLUMN(D109)+64),CHAR(INT((COLUMN(D109)-1)/26)+64)&amp;CHAR(MOD(COLUMN(D109)-1,26)+65))&amp;$R89&amp;""),""))</f>
        <v/>
      </c>
      <c r="U89" s="51"/>
      <c r="V89" s="51" t="str">
        <f t="array" aca="1" ref="V89" ca="1">IF($R89&lt;&gt;"",
IF(U89="",
IF(INDIRECT("EY"&amp;$R89&amp;"")&lt;&gt;"",
INDIRECT("EY"&amp;$R89&amp;"")&amp;"箱"
&amp;INDIRECT("EZ"&amp;$R89&amp;""),""),""),"")</f>
        <v/>
      </c>
      <c r="W89" s="51" t="str">
        <f t="array" aca="1" ref="W89" ca="1">IF($R89&lt;&gt;"",
INDIRECT(""&amp;IF(COLUMN(H109)&lt;=26,CHAR(COLUMN(H109)+64),CHAR(INT((COLUMN(H109)-1)/26)+64)&amp;CHAR(MOD(COLUMN(H109)-1,26)+65))&amp;$R89&amp;""),"")</f>
        <v/>
      </c>
      <c r="X89" s="51" t="str">
        <f t="array" aca="1" ref="X89" ca="1">IF($R89&lt;&gt;"",
INDIRECT(""&amp;IF(COLUMN(I109)&lt;=26,CHAR(COLUMN(I109)+64),CHAR(INT((COLUMN(I109)-1)/26)+64)&amp;CHAR(MOD(COLUMN(I109)-1,26)+65))&amp;$R89&amp;""),"")</f>
        <v/>
      </c>
      <c r="Y89" s="51" t="str">
        <f t="array" aca="1" ref="Y89" ca="1">IF($R89&lt;&gt;"",
INDIRECT(""&amp;IF(COLUMN(J109)&lt;=26,CHAR(COLUMN(J109)+64),CHAR(INT((COLUMN(J109)-1)/26)+64)&amp;CHAR(MOD(COLUMN(J109)-1,26)+65))&amp;$R89&amp;""),"")</f>
        <v/>
      </c>
      <c r="Z89" s="51" t="str">
        <f t="array" aca="1" ref="Z89" ca="1">IF($R89&lt;&gt;"",
INDIRECT(""&amp;IF(COLUMN(K109)&lt;=26,CHAR(COLUMN(K109)+64),CHAR(INT((COLUMN(K109)-1)/26)+64)&amp;CHAR(MOD(COLUMN(K109)-1,26)+65))&amp;$R89&amp;""),"")</f>
        <v/>
      </c>
      <c r="AA89" s="51" t="str">
        <f t="array" aca="1" ref="AA89" ca="1">IF($R89&lt;&gt;"",
INDIRECT(""&amp;IF(COLUMN(L109)&lt;=26,CHAR(COLUMN(L109)+64),CHAR(INT((COLUMN(L109)-1)/26)+64)&amp;CHAR(MOD(COLUMN(L109)-1,26)+65))&amp;$R89&amp;""),"")</f>
        <v/>
      </c>
      <c r="AB89" s="51" t="str">
        <f t="array" aca="1" ref="AB89" ca="1">IF($R89&lt;&gt;"",
INDIRECT(""&amp;IF(COLUMN(O109)&lt;=26,CHAR(COLUMN(O109)+64),CHAR(INT((COLUMN(O109)-1)/26)+64)&amp;CHAR(MOD(COLUMN(O109)-1,26)+65))&amp;$R89&amp;""),"")</f>
        <v/>
      </c>
    </row>
    <row r="90" spans="1:28" ht="22.2" customHeight="1">
      <c r="A90" s="199">
        <f t="shared" si="24"/>
        <v>45</v>
      </c>
      <c r="B90" s="200" t="e" cm="1">
        <f t="array" aca="1" ref="B90" ca="1">IF(AND(LEFT(C90,2)="博多",
LEFT(INDIRECT("数出表_Excel!A"&amp;MATCH(C90,数出表_Excel!$A:$A,0)-1),2)
=LEFT(INDIRECT("数出表_Excel!A"&amp;MATCH(C90,数出表_Excel!$A:$A,0)+1),2)),"博多",
IF(AND(LEFT(C90,3)="奈良屋",
LEFT(INDIRECT("数出表_Excel!A"&amp;MATCH(C90,数出表_Excel!$A:$A,0)-1),2)
=LEFT(INDIRECT("数出表_Excel!A"&amp;MATCH(C90,数出表_Excel!$A:$A,0)+1),2)),"奈良屋",""))</f>
        <v>#N/A</v>
      </c>
      <c r="C90" s="200" t="str" cm="1">
        <f t="array" aca="1" ref="C90" ca="1">IF(IF(クライアント抽出!A20="",0,LEN(クライアント抽出!V20)-LEN(SUBSTITUTE(クライアント抽出!V20,",","")))&gt;=2,INDIRECT("数出表_Excel!A"&amp;A90&amp;""),"")</f>
        <v/>
      </c>
      <c r="D90" s="200" t="str" cm="1">
        <f t="array" aca="1" ref="D90" ca="1">IF(C90&lt;&gt;"",INDIRECT("クライアント抽出!"&amp;E90&amp;MATCH(C90,クライアント抽出!A:A,0)&amp;""),"")</f>
        <v/>
      </c>
      <c r="E90" s="20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201" t="str" cm="1">
        <f t="array" aca="1" ref="F90" ca="1">IF(D90&lt;&gt;"",
IF(COUNTIF(C90,"*雙葉*"),
IF(ROUND(
IF(O90&lt;&gt;"",(H90-O90),H90)
/IF(COUNTIF('盛付札（関数）'!D90,"*キャラ*"),
VLOOKUP("*キャラ*",#REF!,7,FALSE),
IF(COUNTIF('盛付札（関数）'!D90,"*赤*"),
VLOOKUP("*赤*",#REF!,7,FALSE),
VLOOKUP('盛付札（関数）'!D90,#REF!,7,FALSE))),0)&lt;=0,1,
ROUND(
IF(O90&lt;&gt;"",(H90-O90),H90)
/IF(COUNTIF('盛付札（関数）'!D90,"*キャラ*"),
VLOOKUP("*キャラ*",#REF!,7,FALSE),
IF(COUNTIF('盛付札（関数）'!D90,"*赤*"),
VLOOKUP("*赤*",#REF!,7,FALSE),
VLOOKUP('盛付札（関数）'!D90,#REF!,7,FALSE))),0)),
IF(MATCH(TRUE,
ISNUMBER(--INDIRECT("数出表_Excel!B"&amp;MATCH(C90,数出表_Excel!$A:$A,0)-1&amp;":U"&amp;MATCH(C90,数出表_Excel!$A:$A,0)-1&amp;"")),0)&gt;10,
IF(D90&lt;&gt;"",
IF(IF(COUNTIF('盛付札（関数）'!D90,"*キャラ*"),
VLOOKUP("*キャラ*",#REF!,7,FALSE),
IF(COUNTIF('盛付札（関数）'!D90,"*赤*"),
VLOOKUP("*赤*",#REF!,7,FALSE),
VLOOKUP('盛付札（関数）'!D90,#REF!,7,FALSE)))=0,"",
IF(ROUND(
IF(O90&lt;&gt;"",(H90-O90),H90)
/IF(COUNTIF('盛付札（関数）'!D90,"*キャラ*"),
VLOOKUP("*キャラ*",#REF!,7,FALSE),
IF(COUNTIF('盛付札（関数）'!D90,"*赤*"),
VLOOKUP("*赤*",#REF!,7,FALSE),
VLOOKUP('盛付札（関数）'!D90,#REF!,7,FALSE))),0)&lt;=0,1,
ROUND(
IF(O90&lt;&gt;"",(H90-O90),H90)
/IF(COUNTIF('盛付札（関数）'!D90,"*キャラ*"),
VLOOKUP("*キャラ*",#REF!,7,FALSE),
IF(COUNTIF('盛付札（関数）'!D90,"*赤*"),
VLOOKUP("*赤*",#REF!,7,FALSE),
VLOOKUP('盛付札（関数）'!D90,#REF!,7,FALSE))),0))),""),"")),"")</f>
        <v/>
      </c>
      <c r="G90" s="201" t="str">
        <f ca="1">IF(F90&lt;&gt;"",IF(VALUE(IF(O90&lt;&gt;"",H90-O90,H90))&gt;VALUE(IF(COUNTIF('盛付札（関数）'!D90,"*キャラ*"),
VLOOKUP("*キャラ*",#REF!,7,FALSE),
IF(COUNTIF('盛付札（関数）'!D90,"*赤*"),
VLOOKUP("*赤*",#REF!,7,FALSE),
VLOOKUP('盛付札（関数）'!D90,#REF!,7,FALSE)))*F90),
"+"&amp;IF(O90&lt;&gt;"",H90-O90,H90)-IF(COUNTIF('盛付札（関数）'!D90,"*キャラ*"),
VLOOKUP("*キャラ*",#REF!,7,FALSE),
IF(COUNTIF('盛付札（関数）'!D90,"*赤*"),
VLOOKUP("*赤*",#REF!,7,FALSE),
VLOOKUP('盛付札（関数）'!D90,#REF!,7,FALSE)))*F90,
IF(O90&lt;&gt;"",H90-O90,H90)-IF(COUNTIF('盛付札（関数）'!D90,"*キャラ*"),
VLOOKUP("*キャラ*",#REF!,7,FALSE),
IF(COUNTIF('盛付札（関数）'!D90,"*赤*"),
VLOOKUP("*赤*",#REF!,7,FALSE),
VLOOKUP('盛付札（関数）'!D90,#REF!,7,FALSE)))*F90),"")</f>
        <v/>
      </c>
      <c r="H90" s="202" t="str" cm="1">
        <f t="array" aca="1" ref="H90" ca="1">IF(C90&lt;&gt;"",
IF(INDIRECT("数出表_Excel!"&amp;IFERROR(MID(クライアント抽出!V20,FIND(",",クライアント抽出!V20)+1,1),"")&amp;A90-1&amp;"")&lt;&gt;"",
INDIRECT("数出表_Excel!"&amp;IFERROR(MID(クライアント抽出!V20,FIND(",",クライアント抽出!V20)+1,1),"")&amp;A90-1&amp;""),0),"")</f>
        <v/>
      </c>
      <c r="I90" s="200" t="str" cm="1">
        <f t="array" aca="1" ref="I90" ca="1">IF(C90&lt;&gt;"",
IF(INDIRECT("数出表_Excel!"&amp;IFERROR(MID(クライアント抽出!V20,FIND(",",クライアント抽出!V20)+1,1),"")&amp;A90&amp;"")&lt;&gt;"",
INDIRECT("数出表_Excel!"&amp;IFERROR(MID(クライアント抽出!V20,FIND(",",クライアント抽出!V20)+1,1),"")&amp;A90&amp;""),0),"")</f>
        <v/>
      </c>
      <c r="J90" s="200" t="str">
        <f ca="1">IF(C90&lt;&gt;"",
VLOOKUP(
IF(COUNTIF(D90,"*学食*"),"キャラ弁（学食）",
IF(COUNTIF(D90,"*赤*"),"赤",
IF(COUNTIF(D90,"*キャラ弁当*"),"キャラ弁当",D90))),注文弁当の抽出!$E$1:$F$15,2,FALSE),"")</f>
        <v/>
      </c>
      <c r="K90" s="200" t="str">
        <f t="shared" ca="1" si="25"/>
        <v/>
      </c>
      <c r="L90" s="200" t="str">
        <f t="shared" ca="1" si="26"/>
        <v/>
      </c>
      <c r="M90" s="200" cm="1">
        <f t="array" aca="1" ref="M90" ca="1">IF(C90&lt;&gt;"",
IF(IFERROR(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0)&lt;&gt;0,
IF(IFERROR(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"")="",
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""),
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0)),0),0)</f>
        <v>0</v>
      </c>
      <c r="N90" s="200" t="e">
        <f t="array" aca="1" ref="N90" ca="1">IF(B90="博多",
IF(C90&lt;&gt;"",
IF(IFERROR(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0)&lt;&gt;0,
IF(IFERROR(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0)="",
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0),
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0)),0),""),0)</f>
        <v>#N/A</v>
      </c>
      <c r="O90" s="200" t="e">
        <f t="shared" ca="1" si="27"/>
        <v>#N/A</v>
      </c>
      <c r="P90" s="200">
        <f t="shared" ca="1" si="4"/>
        <v>0</v>
      </c>
      <c r="Q90" s="200" t="b">
        <f t="shared" ca="1" si="28"/>
        <v>0</v>
      </c>
      <c r="R90" s="51" t="str" cm="1">
        <f t="array" aca="1" ref="R90" ca="1">IFERROR(SMALL(IF(P$1:P$300&lt;&gt;0,P$1:P$300),ROW(A90)),"")</f>
        <v/>
      </c>
      <c r="S90" s="51" t="str">
        <f t="array" aca="1" ref="S90" ca="1">IF($R90&lt;&gt;"",
INDIRECT(""&amp;IF(COLUMN(C110)&lt;=26,CHAR(COLUMN(C110)+64),CHAR(INT((COLUMN(C110)-1)/26)+64)&amp;CHAR(MOD(COLUMN(C110)-1,26)+65))&amp;$R90&amp;""),"")</f>
        <v/>
      </c>
      <c r="T90" s="51" t="str" cm="1">
        <f t="array" aca="1" ref="T90" ca="1">IF(IF($R90&lt;&gt;"",
INDIRECT(""&amp;IF(COLUMN(D110)&lt;=26,CHAR(COLUMN(D110)+64),CHAR(INT((COLUMN(D110)-1)/26)+64)&amp;CHAR(MOD(COLUMN(D110)-1,26)+65))&amp;$R90&amp;""),"")=0,"",
IF($R90&lt;&gt;"",
INDIRECT(""&amp;IF(COLUMN(D110)&lt;=26,CHAR(COLUMN(D110)+64),CHAR(INT((COLUMN(D110)-1)/26)+64)&amp;CHAR(MOD(COLUMN(D110)-1,26)+65))&amp;$R90&amp;""),""))</f>
        <v/>
      </c>
      <c r="U90" s="51"/>
      <c r="V90" s="51" t="str">
        <f t="array" aca="1" ref="V90" ca="1">IF($R90&lt;&gt;"",
IF(U90="",
IF(INDIRECT("EY"&amp;$R90&amp;"")&lt;&gt;"",
INDIRECT("EY"&amp;$R90&amp;"")&amp;"箱"
&amp;INDIRECT("EZ"&amp;$R90&amp;""),""),""),"")</f>
        <v/>
      </c>
      <c r="W90" s="51" t="str">
        <f t="array" aca="1" ref="W90" ca="1">IF($R90&lt;&gt;"",
INDIRECT(""&amp;IF(COLUMN(H110)&lt;=26,CHAR(COLUMN(H110)+64),CHAR(INT((COLUMN(H110)-1)/26)+64)&amp;CHAR(MOD(COLUMN(H110)-1,26)+65))&amp;$R90&amp;""),"")</f>
        <v/>
      </c>
      <c r="X90" s="51" t="str">
        <f t="array" aca="1" ref="X90" ca="1">IF($R90&lt;&gt;"",
INDIRECT(""&amp;IF(COLUMN(I110)&lt;=26,CHAR(COLUMN(I110)+64),CHAR(INT((COLUMN(I110)-1)/26)+64)&amp;CHAR(MOD(COLUMN(I110)-1,26)+65))&amp;$R90&amp;""),"")</f>
        <v/>
      </c>
      <c r="Y90" s="51" t="str">
        <f t="array" aca="1" ref="Y90" ca="1">IF($R90&lt;&gt;"",
INDIRECT(""&amp;IF(COLUMN(J110)&lt;=26,CHAR(COLUMN(J110)+64),CHAR(INT((COLUMN(J110)-1)/26)+64)&amp;CHAR(MOD(COLUMN(J110)-1,26)+65))&amp;$R90&amp;""),"")</f>
        <v/>
      </c>
      <c r="Z90" s="51" t="str">
        <f t="array" aca="1" ref="Z90" ca="1">IF($R90&lt;&gt;"",
INDIRECT(""&amp;IF(COLUMN(K110)&lt;=26,CHAR(COLUMN(K110)+64),CHAR(INT((COLUMN(K110)-1)/26)+64)&amp;CHAR(MOD(COLUMN(K110)-1,26)+65))&amp;$R90&amp;""),"")</f>
        <v/>
      </c>
      <c r="AA90" s="51" t="str">
        <f t="array" aca="1" ref="AA90" ca="1">IF($R90&lt;&gt;"",
INDIRECT(""&amp;IF(COLUMN(L110)&lt;=26,CHAR(COLUMN(L110)+64),CHAR(INT((COLUMN(L110)-1)/26)+64)&amp;CHAR(MOD(COLUMN(L110)-1,26)+65))&amp;$R90&amp;""),"")</f>
        <v/>
      </c>
      <c r="AB90" s="51" t="str">
        <f t="array" aca="1" ref="AB90" ca="1">IF($R90&lt;&gt;"",
INDIRECT(""&amp;IF(COLUMN(O110)&lt;=26,CHAR(COLUMN(O110)+64),CHAR(INT((COLUMN(O110)-1)/26)+64)&amp;CHAR(MOD(COLUMN(O110)-1,26)+65))&amp;$R90&amp;""),"")</f>
        <v/>
      </c>
    </row>
    <row r="91" spans="1:28" ht="22.2" customHeight="1">
      <c r="A91" s="199">
        <f t="shared" si="24"/>
        <v>47</v>
      </c>
      <c r="B91" s="200" t="e" cm="1">
        <f t="array" aca="1" ref="B91" ca="1">IF(AND(LEFT(C91,2)="博多",
LEFT(INDIRECT("数出表_Excel!A"&amp;MATCH(C91,数出表_Excel!$A:$A,0)-1),2)
=LEFT(INDIRECT("数出表_Excel!A"&amp;MATCH(C91,数出表_Excel!$A:$A,0)+1),2)),"博多",
IF(AND(LEFT(C91,3)="奈良屋",
LEFT(INDIRECT("数出表_Excel!A"&amp;MATCH(C91,数出表_Excel!$A:$A,0)-1),2)
=LEFT(INDIRECT("数出表_Excel!A"&amp;MATCH(C91,数出表_Excel!$A:$A,0)+1),2)),"奈良屋",""))</f>
        <v>#N/A</v>
      </c>
      <c r="C91" s="200" t="str" cm="1">
        <f t="array" aca="1" ref="C91" ca="1">IF(IF(クライアント抽出!A21="",0,LEN(クライアント抽出!V21)-LEN(SUBSTITUTE(クライアント抽出!V21,",","")))&gt;=2,INDIRECT("数出表_Excel!A"&amp;A91&amp;""),"")</f>
        <v/>
      </c>
      <c r="D91" s="200" t="str" cm="1">
        <f t="array" aca="1" ref="D91" ca="1">IF(C91&lt;&gt;"",INDIRECT("クライアント抽出!"&amp;E91&amp;MATCH(C91,クライアント抽出!A:A,0)&amp;""),"")</f>
        <v/>
      </c>
      <c r="E91" s="20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201" t="str" cm="1">
        <f t="array" aca="1" ref="F91" ca="1">IF(D91&lt;&gt;"",
IF(COUNTIF(C91,"*雙葉*"),
IF(ROUND(
IF(O91&lt;&gt;"",(H91-O91),H91)
/IF(COUNTIF('盛付札（関数）'!D91,"*キャラ*"),
VLOOKUP("*キャラ*",#REF!,7,FALSE),
IF(COUNTIF('盛付札（関数）'!D91,"*赤*"),
VLOOKUP("*赤*",#REF!,7,FALSE),
VLOOKUP('盛付札（関数）'!D91,#REF!,7,FALSE))),0)&lt;=0,1,
ROUND(
IF(O91&lt;&gt;"",(H91-O91),H91)
/IF(COUNTIF('盛付札（関数）'!D91,"*キャラ*"),
VLOOKUP("*キャラ*",#REF!,7,FALSE),
IF(COUNTIF('盛付札（関数）'!D91,"*赤*"),
VLOOKUP("*赤*",#REF!,7,FALSE),
VLOOKUP('盛付札（関数）'!D91,#REF!,7,FALSE))),0)),
IF(MATCH(TRUE,
ISNUMBER(--INDIRECT("数出表_Excel!B"&amp;MATCH(C91,数出表_Excel!$A:$A,0)-1&amp;":U"&amp;MATCH(C91,数出表_Excel!$A:$A,0)-1&amp;"")),0)&gt;10,
IF(D91&lt;&gt;"",
IF(IF(COUNTIF('盛付札（関数）'!D91,"*キャラ*"),
VLOOKUP("*キャラ*",#REF!,7,FALSE),
IF(COUNTIF('盛付札（関数）'!D91,"*赤*"),
VLOOKUP("*赤*",#REF!,7,FALSE),
VLOOKUP('盛付札（関数）'!D91,#REF!,7,FALSE)))=0,"",
IF(ROUND(
IF(O91&lt;&gt;"",(H91-O91),H91)
/IF(COUNTIF('盛付札（関数）'!D91,"*キャラ*"),
VLOOKUP("*キャラ*",#REF!,7,FALSE),
IF(COUNTIF('盛付札（関数）'!D91,"*赤*"),
VLOOKUP("*赤*",#REF!,7,FALSE),
VLOOKUP('盛付札（関数）'!D91,#REF!,7,FALSE))),0)&lt;=0,1,
ROUND(
IF(O91&lt;&gt;"",(H91-O91),H91)
/IF(COUNTIF('盛付札（関数）'!D91,"*キャラ*"),
VLOOKUP("*キャラ*",#REF!,7,FALSE),
IF(COUNTIF('盛付札（関数）'!D91,"*赤*"),
VLOOKUP("*赤*",#REF!,7,FALSE),
VLOOKUP('盛付札（関数）'!D91,#REF!,7,FALSE))),0))),""),"")),"")</f>
        <v/>
      </c>
      <c r="G91" s="201" t="str">
        <f ca="1">IF(F91&lt;&gt;"",IF(VALUE(IF(O91&lt;&gt;"",H91-O91,H91))&gt;VALUE(IF(COUNTIF('盛付札（関数）'!D91,"*キャラ*"),
VLOOKUP("*キャラ*",#REF!,7,FALSE),
IF(COUNTIF('盛付札（関数）'!D91,"*赤*"),
VLOOKUP("*赤*",#REF!,7,FALSE),
VLOOKUP('盛付札（関数）'!D91,#REF!,7,FALSE)))*F91),
"+"&amp;IF(O91&lt;&gt;"",H91-O91,H91)-IF(COUNTIF('盛付札（関数）'!D91,"*キャラ*"),
VLOOKUP("*キャラ*",#REF!,7,FALSE),
IF(COUNTIF('盛付札（関数）'!D91,"*赤*"),
VLOOKUP("*赤*",#REF!,7,FALSE),
VLOOKUP('盛付札（関数）'!D91,#REF!,7,FALSE)))*F91,
IF(O91&lt;&gt;"",H91-O91,H91)-IF(COUNTIF('盛付札（関数）'!D91,"*キャラ*"),
VLOOKUP("*キャラ*",#REF!,7,FALSE),
IF(COUNTIF('盛付札（関数）'!D91,"*赤*"),
VLOOKUP("*赤*",#REF!,7,FALSE),
VLOOKUP('盛付札（関数）'!D91,#REF!,7,FALSE)))*F91),"")</f>
        <v/>
      </c>
      <c r="H91" s="202" t="str" cm="1">
        <f t="array" aca="1" ref="H91" ca="1">IF(C91&lt;&gt;"",
IF(INDIRECT("数出表_Excel!"&amp;IFERROR(MID(クライアント抽出!V21,FIND(",",クライアント抽出!V21)+1,1),"")&amp;A91-1&amp;"")&lt;&gt;"",
INDIRECT("数出表_Excel!"&amp;IFERROR(MID(クライアント抽出!V21,FIND(",",クライアント抽出!V21)+1,1),"")&amp;A91-1&amp;""),0),"")</f>
        <v/>
      </c>
      <c r="I91" s="200" t="str" cm="1">
        <f t="array" aca="1" ref="I91" ca="1">IF(C91&lt;&gt;"",
IF(INDIRECT("数出表_Excel!"&amp;IFERROR(MID(クライアント抽出!V21,FIND(",",クライアント抽出!V21)+1,1),"")&amp;A91&amp;"")&lt;&gt;"",
INDIRECT("数出表_Excel!"&amp;IFERROR(MID(クライアント抽出!V21,FIND(",",クライアント抽出!V21)+1,1),"")&amp;A91&amp;""),0),"")</f>
        <v/>
      </c>
      <c r="J91" s="200" t="str">
        <f ca="1">IF(C91&lt;&gt;"",
VLOOKUP(
IF(COUNTIF(D91,"*学食*"),"キャラ弁（学食）",
IF(COUNTIF(D91,"*赤*"),"赤",
IF(COUNTIF(D91,"*キャラ弁当*"),"キャラ弁当",D91))),注文弁当の抽出!$E$1:$F$15,2,FALSE),"")</f>
        <v/>
      </c>
      <c r="K91" s="200" t="str">
        <f t="shared" ca="1" si="25"/>
        <v/>
      </c>
      <c r="L91" s="200" t="str">
        <f t="shared" ca="1" si="26"/>
        <v/>
      </c>
      <c r="M91" s="200" cm="1">
        <f t="array" aca="1" ref="M91" ca="1">IF(C91&lt;&gt;"",
IF(IFERROR(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0)&lt;&gt;0,
IF(IFERROR(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"")="",
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""),
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0)),0),0)</f>
        <v>0</v>
      </c>
      <c r="N91" s="200" t="e">
        <f t="array" aca="1" ref="N91" ca="1">IF(B91="博多",
IF(C91&lt;&gt;"",
IF(IFERROR(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0)&lt;&gt;0,
IF(IFERROR(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0)="",
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0),
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0)),0),""),0)</f>
        <v>#N/A</v>
      </c>
      <c r="O91" s="200" t="e">
        <f t="shared" ca="1" si="27"/>
        <v>#N/A</v>
      </c>
      <c r="P91" s="200">
        <f t="shared" ca="1" si="4"/>
        <v>0</v>
      </c>
      <c r="Q91" s="200" t="b">
        <f t="shared" ca="1" si="28"/>
        <v>0</v>
      </c>
      <c r="R91" s="51" t="str" cm="1">
        <f t="array" aca="1" ref="R91" ca="1">IFERROR(SMALL(IF(P$1:P$300&lt;&gt;0,P$1:P$300),ROW(A91)),"")</f>
        <v/>
      </c>
      <c r="S91" s="51" t="str">
        <f t="array" aca="1" ref="S91" ca="1">IF($R91&lt;&gt;"",
INDIRECT(""&amp;IF(COLUMN(C111)&lt;=26,CHAR(COLUMN(C111)+64),CHAR(INT((COLUMN(C111)-1)/26)+64)&amp;CHAR(MOD(COLUMN(C111)-1,26)+65))&amp;$R91&amp;""),"")</f>
        <v/>
      </c>
      <c r="T91" s="51" t="str" cm="1">
        <f t="array" aca="1" ref="T91" ca="1">IF(IF($R91&lt;&gt;"",
INDIRECT(""&amp;IF(COLUMN(D111)&lt;=26,CHAR(COLUMN(D111)+64),CHAR(INT((COLUMN(D111)-1)/26)+64)&amp;CHAR(MOD(COLUMN(D111)-1,26)+65))&amp;$R91&amp;""),"")=0,"",
IF($R91&lt;&gt;"",
INDIRECT(""&amp;IF(COLUMN(D111)&lt;=26,CHAR(COLUMN(D111)+64),CHAR(INT((COLUMN(D111)-1)/26)+64)&amp;CHAR(MOD(COLUMN(D111)-1,26)+65))&amp;$R91&amp;""),""))</f>
        <v/>
      </c>
      <c r="U91" s="51"/>
      <c r="V91" s="51" t="str">
        <f t="array" aca="1" ref="V91" ca="1">IF($R91&lt;&gt;"",
IF(U91="",
IF(INDIRECT("EY"&amp;$R91&amp;"")&lt;&gt;"",
INDIRECT("EY"&amp;$R91&amp;"")&amp;"箱"
&amp;INDIRECT("EZ"&amp;$R91&amp;""),""),""),"")</f>
        <v/>
      </c>
      <c r="W91" s="51" t="str">
        <f t="array" aca="1" ref="W91" ca="1">IF($R91&lt;&gt;"",
INDIRECT(""&amp;IF(COLUMN(H111)&lt;=26,CHAR(COLUMN(H111)+64),CHAR(INT((COLUMN(H111)-1)/26)+64)&amp;CHAR(MOD(COLUMN(H111)-1,26)+65))&amp;$R91&amp;""),"")</f>
        <v/>
      </c>
      <c r="X91" s="51" t="str">
        <f t="array" aca="1" ref="X91" ca="1">IF($R91&lt;&gt;"",
INDIRECT(""&amp;IF(COLUMN(I111)&lt;=26,CHAR(COLUMN(I111)+64),CHAR(INT((COLUMN(I111)-1)/26)+64)&amp;CHAR(MOD(COLUMN(I111)-1,26)+65))&amp;$R91&amp;""),"")</f>
        <v/>
      </c>
      <c r="Y91" s="51" t="str">
        <f t="array" aca="1" ref="Y91" ca="1">IF($R91&lt;&gt;"",
INDIRECT(""&amp;IF(COLUMN(J111)&lt;=26,CHAR(COLUMN(J111)+64),CHAR(INT((COLUMN(J111)-1)/26)+64)&amp;CHAR(MOD(COLUMN(J111)-1,26)+65))&amp;$R91&amp;""),"")</f>
        <v/>
      </c>
      <c r="Z91" s="51" t="str">
        <f t="array" aca="1" ref="Z91" ca="1">IF($R91&lt;&gt;"",
INDIRECT(""&amp;IF(COLUMN(K111)&lt;=26,CHAR(COLUMN(K111)+64),CHAR(INT((COLUMN(K111)-1)/26)+64)&amp;CHAR(MOD(COLUMN(K111)-1,26)+65))&amp;$R91&amp;""),"")</f>
        <v/>
      </c>
      <c r="AA91" s="51" t="str">
        <f t="array" aca="1" ref="AA91" ca="1">IF($R91&lt;&gt;"",
INDIRECT(""&amp;IF(COLUMN(L111)&lt;=26,CHAR(COLUMN(L111)+64),CHAR(INT((COLUMN(L111)-1)/26)+64)&amp;CHAR(MOD(COLUMN(L111)-1,26)+65))&amp;$R91&amp;""),"")</f>
        <v/>
      </c>
      <c r="AB91" s="51" t="str">
        <f t="array" aca="1" ref="AB91" ca="1">IF($R91&lt;&gt;"",
INDIRECT(""&amp;IF(COLUMN(O111)&lt;=26,CHAR(COLUMN(O111)+64),CHAR(INT((COLUMN(O111)-1)/26)+64)&amp;CHAR(MOD(COLUMN(O111)-1,26)+65))&amp;$R91&amp;""),"")</f>
        <v/>
      </c>
    </row>
    <row r="92" spans="1:28" ht="22.2" customHeight="1">
      <c r="A92" s="199">
        <f t="shared" si="24"/>
        <v>49</v>
      </c>
      <c r="B92" s="200" t="e" cm="1">
        <f t="array" aca="1" ref="B92" ca="1">IF(AND(LEFT(C92,2)="博多",
LEFT(INDIRECT("数出表_Excel!A"&amp;MATCH(C92,数出表_Excel!$A:$A,0)-1),2)
=LEFT(INDIRECT("数出表_Excel!A"&amp;MATCH(C92,数出表_Excel!$A:$A,0)+1),2)),"博多",
IF(AND(LEFT(C92,3)="奈良屋",
LEFT(INDIRECT("数出表_Excel!A"&amp;MATCH(C92,数出表_Excel!$A:$A,0)-1),2)
=LEFT(INDIRECT("数出表_Excel!A"&amp;MATCH(C92,数出表_Excel!$A:$A,0)+1),2)),"奈良屋",""))</f>
        <v>#N/A</v>
      </c>
      <c r="C92" s="200" t="str" cm="1">
        <f t="array" aca="1" ref="C92" ca="1">IF(IF(クライアント抽出!A22="",0,LEN(クライアント抽出!V22)-LEN(SUBSTITUTE(クライアント抽出!V22,",","")))&gt;=2,INDIRECT("数出表_Excel!A"&amp;A92&amp;""),"")</f>
        <v/>
      </c>
      <c r="D92" s="200" t="str" cm="1">
        <f t="array" aca="1" ref="D92" ca="1">IF(C92&lt;&gt;"",INDIRECT("クライアント抽出!"&amp;E92&amp;MATCH(C92,クライアント抽出!A:A,0)&amp;""),"")</f>
        <v/>
      </c>
      <c r="E92" s="20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201" t="str" cm="1">
        <f t="array" aca="1" ref="F92" ca="1">IF(D92&lt;&gt;"",
IF(COUNTIF(C92,"*雙葉*"),
IF(ROUND(
IF(O92&lt;&gt;"",(H92-O92),H92)
/IF(COUNTIF('盛付札（関数）'!D92,"*キャラ*"),
VLOOKUP("*キャラ*",#REF!,7,FALSE),
IF(COUNTIF('盛付札（関数）'!D92,"*赤*"),
VLOOKUP("*赤*",#REF!,7,FALSE),
VLOOKUP('盛付札（関数）'!D92,#REF!,7,FALSE))),0)&lt;=0,1,
ROUND(
IF(O92&lt;&gt;"",(H92-O92),H92)
/IF(COUNTIF('盛付札（関数）'!D92,"*キャラ*"),
VLOOKUP("*キャラ*",#REF!,7,FALSE),
IF(COUNTIF('盛付札（関数）'!D92,"*赤*"),
VLOOKUP("*赤*",#REF!,7,FALSE),
VLOOKUP('盛付札（関数）'!D92,#REF!,7,FALSE))),0)),
IF(MATCH(TRUE,
ISNUMBER(--INDIRECT("数出表_Excel!B"&amp;MATCH(C92,数出表_Excel!$A:$A,0)-1&amp;":U"&amp;MATCH(C92,数出表_Excel!$A:$A,0)-1&amp;"")),0)&gt;10,
IF(D92&lt;&gt;"",
IF(IF(COUNTIF('盛付札（関数）'!D92,"*キャラ*"),
VLOOKUP("*キャラ*",#REF!,7,FALSE),
IF(COUNTIF('盛付札（関数）'!D92,"*赤*"),
VLOOKUP("*赤*",#REF!,7,FALSE),
VLOOKUP('盛付札（関数）'!D92,#REF!,7,FALSE)))=0,"",
IF(ROUND(
IF(O92&lt;&gt;"",(H92-O92),H92)
/IF(COUNTIF('盛付札（関数）'!D92,"*キャラ*"),
VLOOKUP("*キャラ*",#REF!,7,FALSE),
IF(COUNTIF('盛付札（関数）'!D92,"*赤*"),
VLOOKUP("*赤*",#REF!,7,FALSE),
VLOOKUP('盛付札（関数）'!D92,#REF!,7,FALSE))),0)&lt;=0,1,
ROUND(
IF(O92&lt;&gt;"",(H92-O92),H92)
/IF(COUNTIF('盛付札（関数）'!D92,"*キャラ*"),
VLOOKUP("*キャラ*",#REF!,7,FALSE),
IF(COUNTIF('盛付札（関数）'!D92,"*赤*"),
VLOOKUP("*赤*",#REF!,7,FALSE),
VLOOKUP('盛付札（関数）'!D92,#REF!,7,FALSE))),0))),""),"")),"")</f>
        <v/>
      </c>
      <c r="G92" s="201" t="str">
        <f ca="1">IF(F92&lt;&gt;"",IF(VALUE(IF(O92&lt;&gt;"",H92-O92,H92))&gt;VALUE(IF(COUNTIF('盛付札（関数）'!D92,"*キャラ*"),
VLOOKUP("*キャラ*",#REF!,7,FALSE),
IF(COUNTIF('盛付札（関数）'!D92,"*赤*"),
VLOOKUP("*赤*",#REF!,7,FALSE),
VLOOKUP('盛付札（関数）'!D92,#REF!,7,FALSE)))*F92),
"+"&amp;IF(O92&lt;&gt;"",H92-O92,H92)-IF(COUNTIF('盛付札（関数）'!D92,"*キャラ*"),
VLOOKUP("*キャラ*",#REF!,7,FALSE),
IF(COUNTIF('盛付札（関数）'!D92,"*赤*"),
VLOOKUP("*赤*",#REF!,7,FALSE),
VLOOKUP('盛付札（関数）'!D92,#REF!,7,FALSE)))*F92,
IF(O92&lt;&gt;"",H92-O92,H92)-IF(COUNTIF('盛付札（関数）'!D92,"*キャラ*"),
VLOOKUP("*キャラ*",#REF!,7,FALSE),
IF(COUNTIF('盛付札（関数）'!D92,"*赤*"),
VLOOKUP("*赤*",#REF!,7,FALSE),
VLOOKUP('盛付札（関数）'!D92,#REF!,7,FALSE)))*F92),"")</f>
        <v/>
      </c>
      <c r="H92" s="202" t="str" cm="1">
        <f t="array" aca="1" ref="H92" ca="1">IF(C92&lt;&gt;"",
IF(INDIRECT("数出表_Excel!"&amp;IFERROR(MID(クライアント抽出!V22,FIND(",",クライアント抽出!V22)+1,1),"")&amp;A92-1&amp;"")&lt;&gt;"",
INDIRECT("数出表_Excel!"&amp;IFERROR(MID(クライアント抽出!V22,FIND(",",クライアント抽出!V22)+1,1),"")&amp;A92-1&amp;""),0),"")</f>
        <v/>
      </c>
      <c r="I92" s="200" t="str" cm="1">
        <f t="array" aca="1" ref="I92" ca="1">IF(C92&lt;&gt;"",
IF(INDIRECT("数出表_Excel!"&amp;IFERROR(MID(クライアント抽出!V22,FIND(",",クライアント抽出!V22)+1,1),"")&amp;A92&amp;"")&lt;&gt;"",
INDIRECT("数出表_Excel!"&amp;IFERROR(MID(クライアント抽出!V22,FIND(",",クライアント抽出!V22)+1,1),"")&amp;A92&amp;""),0),"")</f>
        <v/>
      </c>
      <c r="J92" s="200" t="str">
        <f ca="1">IF(C92&lt;&gt;"",
VLOOKUP(
IF(COUNTIF(D92,"*学食*"),"キャラ弁（学食）",
IF(COUNTIF(D92,"*赤*"),"赤",
IF(COUNTIF(D92,"*キャラ弁当*"),"キャラ弁当",D92))),注文弁当の抽出!$E$1:$F$15,2,FALSE),"")</f>
        <v/>
      </c>
      <c r="K92" s="200" t="str">
        <f t="shared" ca="1" si="25"/>
        <v/>
      </c>
      <c r="L92" s="200" t="str">
        <f t="shared" ca="1" si="26"/>
        <v/>
      </c>
      <c r="M92" s="200" cm="1">
        <f t="array" aca="1" ref="M92" ca="1">IF(C92&lt;&gt;"",
IF(IFERROR(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0)&lt;&gt;0,
IF(IFERROR(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"")="",
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""),
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0)),0),0)</f>
        <v>0</v>
      </c>
      <c r="N92" s="200" t="e">
        <f t="array" aca="1" ref="N92" ca="1">IF(B92="博多",
IF(C92&lt;&gt;"",
IF(IFERROR(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0)&lt;&gt;0,
IF(IFERROR(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0)="",
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0),
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0)),0),""),0)</f>
        <v>#N/A</v>
      </c>
      <c r="O92" s="200" t="e">
        <f t="shared" ca="1" si="27"/>
        <v>#N/A</v>
      </c>
      <c r="P92" s="200">
        <f t="shared" ca="1" si="4"/>
        <v>0</v>
      </c>
      <c r="Q92" s="200" t="b">
        <f t="shared" ca="1" si="28"/>
        <v>0</v>
      </c>
      <c r="R92" s="51" t="str" cm="1">
        <f t="array" aca="1" ref="R92" ca="1">IFERROR(SMALL(IF(P$1:P$300&lt;&gt;0,P$1:P$300),ROW(A92)),"")</f>
        <v/>
      </c>
      <c r="S92" s="51" t="str">
        <f t="array" aca="1" ref="S92" ca="1">IF($R92&lt;&gt;"",
INDIRECT(""&amp;IF(COLUMN(C112)&lt;=26,CHAR(COLUMN(C112)+64),CHAR(INT((COLUMN(C112)-1)/26)+64)&amp;CHAR(MOD(COLUMN(C112)-1,26)+65))&amp;$R92&amp;""),"")</f>
        <v/>
      </c>
      <c r="T92" s="51" t="str" cm="1">
        <f t="array" aca="1" ref="T92" ca="1">IF(IF($R92&lt;&gt;"",
INDIRECT(""&amp;IF(COLUMN(D112)&lt;=26,CHAR(COLUMN(D112)+64),CHAR(INT((COLUMN(D112)-1)/26)+64)&amp;CHAR(MOD(COLUMN(D112)-1,26)+65))&amp;$R92&amp;""),"")=0,"",
IF($R92&lt;&gt;"",
INDIRECT(""&amp;IF(COLUMN(D112)&lt;=26,CHAR(COLUMN(D112)+64),CHAR(INT((COLUMN(D112)-1)/26)+64)&amp;CHAR(MOD(COLUMN(D112)-1,26)+65))&amp;$R92&amp;""),""))</f>
        <v/>
      </c>
      <c r="U92" s="51"/>
      <c r="V92" s="51" t="str">
        <f t="array" aca="1" ref="V92" ca="1">IF($R92&lt;&gt;"",
IF(U92="",
IF(INDIRECT("EY"&amp;$R92&amp;"")&lt;&gt;"",
INDIRECT("EY"&amp;$R92&amp;"")&amp;"箱"
&amp;INDIRECT("EZ"&amp;$R92&amp;""),""),""),"")</f>
        <v/>
      </c>
      <c r="W92" s="51" t="str">
        <f t="array" aca="1" ref="W92" ca="1">IF($R92&lt;&gt;"",
INDIRECT(""&amp;IF(COLUMN(H112)&lt;=26,CHAR(COLUMN(H112)+64),CHAR(INT((COLUMN(H112)-1)/26)+64)&amp;CHAR(MOD(COLUMN(H112)-1,26)+65))&amp;$R92&amp;""),"")</f>
        <v/>
      </c>
      <c r="X92" s="51" t="str">
        <f t="array" aca="1" ref="X92" ca="1">IF($R92&lt;&gt;"",
INDIRECT(""&amp;IF(COLUMN(I112)&lt;=26,CHAR(COLUMN(I112)+64),CHAR(INT((COLUMN(I112)-1)/26)+64)&amp;CHAR(MOD(COLUMN(I112)-1,26)+65))&amp;$R92&amp;""),"")</f>
        <v/>
      </c>
      <c r="Y92" s="51" t="str">
        <f t="array" aca="1" ref="Y92" ca="1">IF($R92&lt;&gt;"",
INDIRECT(""&amp;IF(COLUMN(J112)&lt;=26,CHAR(COLUMN(J112)+64),CHAR(INT((COLUMN(J112)-1)/26)+64)&amp;CHAR(MOD(COLUMN(J112)-1,26)+65))&amp;$R92&amp;""),"")</f>
        <v/>
      </c>
      <c r="Z92" s="51" t="str">
        <f t="array" aca="1" ref="Z92" ca="1">IF($R92&lt;&gt;"",
INDIRECT(""&amp;IF(COLUMN(K112)&lt;=26,CHAR(COLUMN(K112)+64),CHAR(INT((COLUMN(K112)-1)/26)+64)&amp;CHAR(MOD(COLUMN(K112)-1,26)+65))&amp;$R92&amp;""),"")</f>
        <v/>
      </c>
      <c r="AA92" s="51" t="str">
        <f t="array" aca="1" ref="AA92" ca="1">IF($R92&lt;&gt;"",
INDIRECT(""&amp;IF(COLUMN(L112)&lt;=26,CHAR(COLUMN(L112)+64),CHAR(INT((COLUMN(L112)-1)/26)+64)&amp;CHAR(MOD(COLUMN(L112)-1,26)+65))&amp;$R92&amp;""),"")</f>
        <v/>
      </c>
      <c r="AB92" s="51" t="str">
        <f t="array" aca="1" ref="AB92" ca="1">IF($R92&lt;&gt;"",
INDIRECT(""&amp;IF(COLUMN(O112)&lt;=26,CHAR(COLUMN(O112)+64),CHAR(INT((COLUMN(O112)-1)/26)+64)&amp;CHAR(MOD(COLUMN(O112)-1,26)+65))&amp;$R92&amp;""),"")</f>
        <v/>
      </c>
    </row>
    <row r="93" spans="1:28" ht="22.2" customHeight="1">
      <c r="A93" s="199">
        <f t="shared" si="24"/>
        <v>51</v>
      </c>
      <c r="B93" s="200" t="e" cm="1">
        <f t="array" aca="1" ref="B93" ca="1">IF(AND(LEFT(C93,2)="博多",
LEFT(INDIRECT("数出表_Excel!A"&amp;MATCH(C93,数出表_Excel!$A:$A,0)-1),2)
=LEFT(INDIRECT("数出表_Excel!A"&amp;MATCH(C93,数出表_Excel!$A:$A,0)+1),2)),"博多",
IF(AND(LEFT(C93,3)="奈良屋",
LEFT(INDIRECT("数出表_Excel!A"&amp;MATCH(C93,数出表_Excel!$A:$A,0)-1),2)
=LEFT(INDIRECT("数出表_Excel!A"&amp;MATCH(C93,数出表_Excel!$A:$A,0)+1),2)),"奈良屋",""))</f>
        <v>#N/A</v>
      </c>
      <c r="C93" s="200" t="str" cm="1">
        <f t="array" aca="1" ref="C93" ca="1">IF(IF(クライアント抽出!A23="",0,LEN(クライアント抽出!V23)-LEN(SUBSTITUTE(クライアント抽出!V23,",","")))&gt;=2,INDIRECT("数出表_Excel!A"&amp;A93&amp;""),"")</f>
        <v/>
      </c>
      <c r="D93" s="200" t="str" cm="1">
        <f t="array" aca="1" ref="D93" ca="1">IF(C93&lt;&gt;"",INDIRECT("クライアント抽出!"&amp;E93&amp;MATCH(C93,クライアント抽出!A:A,0)&amp;""),"")</f>
        <v/>
      </c>
      <c r="E93" s="20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201" t="str" cm="1">
        <f t="array" aca="1" ref="F93" ca="1">IF(D93&lt;&gt;"",
IF(COUNTIF(C93,"*雙葉*"),
IF(ROUND(
IF(O93&lt;&gt;"",(H93-O93),H93)
/IF(COUNTIF('盛付札（関数）'!D93,"*キャラ*"),
VLOOKUP("*キャラ*",#REF!,7,FALSE),
IF(COUNTIF('盛付札（関数）'!D93,"*赤*"),
VLOOKUP("*赤*",#REF!,7,FALSE),
VLOOKUP('盛付札（関数）'!D93,#REF!,7,FALSE))),0)&lt;=0,1,
ROUND(
IF(O93&lt;&gt;"",(H93-O93),H93)
/IF(COUNTIF('盛付札（関数）'!D93,"*キャラ*"),
VLOOKUP("*キャラ*",#REF!,7,FALSE),
IF(COUNTIF('盛付札（関数）'!D93,"*赤*"),
VLOOKUP("*赤*",#REF!,7,FALSE),
VLOOKUP('盛付札（関数）'!D93,#REF!,7,FALSE))),0)),
IF(MATCH(TRUE,
ISNUMBER(--INDIRECT("数出表_Excel!B"&amp;MATCH(C93,数出表_Excel!$A:$A,0)-1&amp;":U"&amp;MATCH(C93,数出表_Excel!$A:$A,0)-1&amp;"")),0)&gt;10,
IF(D93&lt;&gt;"",
IF(IF(COUNTIF('盛付札（関数）'!D93,"*キャラ*"),
VLOOKUP("*キャラ*",#REF!,7,FALSE),
IF(COUNTIF('盛付札（関数）'!D93,"*赤*"),
VLOOKUP("*赤*",#REF!,7,FALSE),
VLOOKUP('盛付札（関数）'!D93,#REF!,7,FALSE)))=0,"",
IF(ROUND(
IF(O93&lt;&gt;"",(H93-O93),H93)
/IF(COUNTIF('盛付札（関数）'!D93,"*キャラ*"),
VLOOKUP("*キャラ*",#REF!,7,FALSE),
IF(COUNTIF('盛付札（関数）'!D93,"*赤*"),
VLOOKUP("*赤*",#REF!,7,FALSE),
VLOOKUP('盛付札（関数）'!D93,#REF!,7,FALSE))),0)&lt;=0,1,
ROUND(
IF(O93&lt;&gt;"",(H93-O93),H93)
/IF(COUNTIF('盛付札（関数）'!D93,"*キャラ*"),
VLOOKUP("*キャラ*",#REF!,7,FALSE),
IF(COUNTIF('盛付札（関数）'!D93,"*赤*"),
VLOOKUP("*赤*",#REF!,7,FALSE),
VLOOKUP('盛付札（関数）'!D93,#REF!,7,FALSE))),0))),""),"")),"")</f>
        <v/>
      </c>
      <c r="G93" s="201" t="str">
        <f ca="1">IF(F93&lt;&gt;"",IF(VALUE(IF(O93&lt;&gt;"",H93-O93,H93))&gt;VALUE(IF(COUNTIF('盛付札（関数）'!D93,"*キャラ*"),
VLOOKUP("*キャラ*",#REF!,7,FALSE),
IF(COUNTIF('盛付札（関数）'!D93,"*赤*"),
VLOOKUP("*赤*",#REF!,7,FALSE),
VLOOKUP('盛付札（関数）'!D93,#REF!,7,FALSE)))*F93),
"+"&amp;IF(O93&lt;&gt;"",H93-O93,H93)-IF(COUNTIF('盛付札（関数）'!D93,"*キャラ*"),
VLOOKUP("*キャラ*",#REF!,7,FALSE),
IF(COUNTIF('盛付札（関数）'!D93,"*赤*"),
VLOOKUP("*赤*",#REF!,7,FALSE),
VLOOKUP('盛付札（関数）'!D93,#REF!,7,FALSE)))*F93,
IF(O93&lt;&gt;"",H93-O93,H93)-IF(COUNTIF('盛付札（関数）'!D93,"*キャラ*"),
VLOOKUP("*キャラ*",#REF!,7,FALSE),
IF(COUNTIF('盛付札（関数）'!D93,"*赤*"),
VLOOKUP("*赤*",#REF!,7,FALSE),
VLOOKUP('盛付札（関数）'!D93,#REF!,7,FALSE)))*F93),"")</f>
        <v/>
      </c>
      <c r="H93" s="202" t="str" cm="1">
        <f t="array" aca="1" ref="H93" ca="1">IF(C93&lt;&gt;"",
IF(INDIRECT("数出表_Excel!"&amp;IFERROR(MID(クライアント抽出!V23,FIND(",",クライアント抽出!V23)+1,1),"")&amp;A93-1&amp;"")&lt;&gt;"",
INDIRECT("数出表_Excel!"&amp;IFERROR(MID(クライアント抽出!V23,FIND(",",クライアント抽出!V23)+1,1),"")&amp;A93-1&amp;""),0),"")</f>
        <v/>
      </c>
      <c r="I93" s="200" t="str" cm="1">
        <f t="array" aca="1" ref="I93" ca="1">IF(C93&lt;&gt;"",
IF(INDIRECT("数出表_Excel!"&amp;IFERROR(MID(クライアント抽出!V23,FIND(",",クライアント抽出!V23)+1,1),"")&amp;A93&amp;"")&lt;&gt;"",
INDIRECT("数出表_Excel!"&amp;IFERROR(MID(クライアント抽出!V23,FIND(",",クライアント抽出!V23)+1,1),"")&amp;A93&amp;""),0),"")</f>
        <v/>
      </c>
      <c r="J93" s="200" t="str">
        <f ca="1">IF(C93&lt;&gt;"",
VLOOKUP(
IF(COUNTIF(D93,"*学食*"),"キャラ弁（学食）",
IF(COUNTIF(D93,"*赤*"),"赤",
IF(COUNTIF(D93,"*キャラ弁当*"),"キャラ弁当",D93))),注文弁当の抽出!$E$1:$F$15,2,FALSE),"")</f>
        <v/>
      </c>
      <c r="K93" s="200" t="str">
        <f t="shared" ca="1" si="25"/>
        <v/>
      </c>
      <c r="L93" s="200" t="str">
        <f t="shared" ca="1" si="26"/>
        <v/>
      </c>
      <c r="M93" s="200" cm="1">
        <f t="array" aca="1" ref="M93" ca="1">IF(C93&lt;&gt;"",
IF(IFERROR(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0)&lt;&gt;0,
IF(IFERROR(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"")="",
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""),
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0)),0),0)</f>
        <v>0</v>
      </c>
      <c r="N93" s="200" t="e">
        <f t="array" aca="1" ref="N93" ca="1">IF(B93="博多",
IF(C93&lt;&gt;"",
IF(IFERROR(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0)&lt;&gt;0,
IF(IFERROR(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0)="",
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0),
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0)),0),""),0)</f>
        <v>#N/A</v>
      </c>
      <c r="O93" s="200" t="e">
        <f t="shared" ca="1" si="27"/>
        <v>#N/A</v>
      </c>
      <c r="P93" s="200">
        <f t="shared" ca="1" si="4"/>
        <v>0</v>
      </c>
      <c r="Q93" s="200" t="b">
        <f t="shared" ca="1" si="28"/>
        <v>0</v>
      </c>
      <c r="R93" s="51" t="str" cm="1">
        <f t="array" aca="1" ref="R93" ca="1">IFERROR(SMALL(IF(P$1:P$300&lt;&gt;0,P$1:P$300),ROW(A93)),"")</f>
        <v/>
      </c>
      <c r="S93" s="51" t="str">
        <f t="array" aca="1" ref="S93" ca="1">IF($R93&lt;&gt;"",
INDIRECT(""&amp;IF(COLUMN(C113)&lt;=26,CHAR(COLUMN(C113)+64),CHAR(INT((COLUMN(C113)-1)/26)+64)&amp;CHAR(MOD(COLUMN(C113)-1,26)+65))&amp;$R93&amp;""),"")</f>
        <v/>
      </c>
      <c r="T93" s="51" t="str" cm="1">
        <f t="array" aca="1" ref="T93" ca="1">IF(IF($R93&lt;&gt;"",
INDIRECT(""&amp;IF(COLUMN(D113)&lt;=26,CHAR(COLUMN(D113)+64),CHAR(INT((COLUMN(D113)-1)/26)+64)&amp;CHAR(MOD(COLUMN(D113)-1,26)+65))&amp;$R93&amp;""),"")=0,"",
IF($R93&lt;&gt;"",
INDIRECT(""&amp;IF(COLUMN(D113)&lt;=26,CHAR(COLUMN(D113)+64),CHAR(INT((COLUMN(D113)-1)/26)+64)&amp;CHAR(MOD(COLUMN(D113)-1,26)+65))&amp;$R93&amp;""),""))</f>
        <v/>
      </c>
      <c r="U93" s="51"/>
      <c r="V93" s="51" t="str">
        <f t="array" aca="1" ref="V93" ca="1">IF($R93&lt;&gt;"",
IF(U93="",
IF(INDIRECT("EY"&amp;$R93&amp;"")&lt;&gt;"",
INDIRECT("EY"&amp;$R93&amp;"")&amp;"箱"
&amp;INDIRECT("EZ"&amp;$R93&amp;""),""),""),"")</f>
        <v/>
      </c>
      <c r="W93" s="51" t="str">
        <f t="array" aca="1" ref="W93" ca="1">IF($R93&lt;&gt;"",
INDIRECT(""&amp;IF(COLUMN(H113)&lt;=26,CHAR(COLUMN(H113)+64),CHAR(INT((COLUMN(H113)-1)/26)+64)&amp;CHAR(MOD(COLUMN(H113)-1,26)+65))&amp;$R93&amp;""),"")</f>
        <v/>
      </c>
      <c r="X93" s="51" t="str">
        <f t="array" aca="1" ref="X93" ca="1">IF($R93&lt;&gt;"",
INDIRECT(""&amp;IF(COLUMN(I113)&lt;=26,CHAR(COLUMN(I113)+64),CHAR(INT((COLUMN(I113)-1)/26)+64)&amp;CHAR(MOD(COLUMN(I113)-1,26)+65))&amp;$R93&amp;""),"")</f>
        <v/>
      </c>
      <c r="Y93" s="51" t="str">
        <f t="array" aca="1" ref="Y93" ca="1">IF($R93&lt;&gt;"",
INDIRECT(""&amp;IF(COLUMN(J113)&lt;=26,CHAR(COLUMN(J113)+64),CHAR(INT((COLUMN(J113)-1)/26)+64)&amp;CHAR(MOD(COLUMN(J113)-1,26)+65))&amp;$R93&amp;""),"")</f>
        <v/>
      </c>
      <c r="Z93" s="51" t="str">
        <f t="array" aca="1" ref="Z93" ca="1">IF($R93&lt;&gt;"",
INDIRECT(""&amp;IF(COLUMN(K113)&lt;=26,CHAR(COLUMN(K113)+64),CHAR(INT((COLUMN(K113)-1)/26)+64)&amp;CHAR(MOD(COLUMN(K113)-1,26)+65))&amp;$R93&amp;""),"")</f>
        <v/>
      </c>
      <c r="AA93" s="51" t="str">
        <f t="array" aca="1" ref="AA93" ca="1">IF($R93&lt;&gt;"",
INDIRECT(""&amp;IF(COLUMN(L113)&lt;=26,CHAR(COLUMN(L113)+64),CHAR(INT((COLUMN(L113)-1)/26)+64)&amp;CHAR(MOD(COLUMN(L113)-1,26)+65))&amp;$R93&amp;""),"")</f>
        <v/>
      </c>
      <c r="AB93" s="51" t="str">
        <f t="array" aca="1" ref="AB93" ca="1">IF($R93&lt;&gt;"",
INDIRECT(""&amp;IF(COLUMN(O113)&lt;=26,CHAR(COLUMN(O113)+64),CHAR(INT((COLUMN(O113)-1)/26)+64)&amp;CHAR(MOD(COLUMN(O113)-1,26)+65))&amp;$R93&amp;""),"")</f>
        <v/>
      </c>
    </row>
    <row r="94" spans="1:28" ht="22.2" customHeight="1">
      <c r="A94" s="199">
        <f t="shared" si="24"/>
        <v>53</v>
      </c>
      <c r="B94" s="200" t="e" cm="1">
        <f t="array" aca="1" ref="B94" ca="1">IF(AND(LEFT(C94,2)="博多",
LEFT(INDIRECT("数出表_Excel!A"&amp;MATCH(C94,数出表_Excel!$A:$A,0)-1),2)
=LEFT(INDIRECT("数出表_Excel!A"&amp;MATCH(C94,数出表_Excel!$A:$A,0)+1),2)),"博多",
IF(AND(LEFT(C94,3)="奈良屋",
LEFT(INDIRECT("数出表_Excel!A"&amp;MATCH(C94,数出表_Excel!$A:$A,0)-1),2)
=LEFT(INDIRECT("数出表_Excel!A"&amp;MATCH(C94,数出表_Excel!$A:$A,0)+1),2)),"奈良屋",""))</f>
        <v>#N/A</v>
      </c>
      <c r="C94" s="200" t="str" cm="1">
        <f t="array" aca="1" ref="C94" ca="1">IF(IF(クライアント抽出!A24="",0,LEN(クライアント抽出!V24)-LEN(SUBSTITUTE(クライアント抽出!V24,",","")))&gt;=2,INDIRECT("数出表_Excel!A"&amp;A94&amp;""),"")</f>
        <v/>
      </c>
      <c r="D94" s="200" t="str" cm="1">
        <f t="array" aca="1" ref="D94" ca="1">IF(C94&lt;&gt;"",INDIRECT("クライアント抽出!"&amp;E94&amp;MATCH(C94,クライアント抽出!A:A,0)&amp;""),"")</f>
        <v/>
      </c>
      <c r="E94" s="20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201" t="str" cm="1">
        <f t="array" aca="1" ref="F94" ca="1">IF(D94&lt;&gt;"",
IF(COUNTIF(C94,"*雙葉*"),
IF(ROUND(
IF(O94&lt;&gt;"",(H94-O94),H94)
/IF(COUNTIF('盛付札（関数）'!D94,"*キャラ*"),
VLOOKUP("*キャラ*",#REF!,7,FALSE),
IF(COUNTIF('盛付札（関数）'!D94,"*赤*"),
VLOOKUP("*赤*",#REF!,7,FALSE),
VLOOKUP('盛付札（関数）'!D94,#REF!,7,FALSE))),0)&lt;=0,1,
ROUND(
IF(O94&lt;&gt;"",(H94-O94),H94)
/IF(COUNTIF('盛付札（関数）'!D94,"*キャラ*"),
VLOOKUP("*キャラ*",#REF!,7,FALSE),
IF(COUNTIF('盛付札（関数）'!D94,"*赤*"),
VLOOKUP("*赤*",#REF!,7,FALSE),
VLOOKUP('盛付札（関数）'!D94,#REF!,7,FALSE))),0)),
IF(MATCH(TRUE,
ISNUMBER(--INDIRECT("数出表_Excel!B"&amp;MATCH(C94,数出表_Excel!$A:$A,0)-1&amp;":U"&amp;MATCH(C94,数出表_Excel!$A:$A,0)-1&amp;"")),0)&gt;10,
IF(D94&lt;&gt;"",
IF(IF(COUNTIF('盛付札（関数）'!D94,"*キャラ*"),
VLOOKUP("*キャラ*",#REF!,7,FALSE),
IF(COUNTIF('盛付札（関数）'!D94,"*赤*"),
VLOOKUP("*赤*",#REF!,7,FALSE),
VLOOKUP('盛付札（関数）'!D94,#REF!,7,FALSE)))=0,"",
IF(ROUND(
IF(O94&lt;&gt;"",(H94-O94),H94)
/IF(COUNTIF('盛付札（関数）'!D94,"*キャラ*"),
VLOOKUP("*キャラ*",#REF!,7,FALSE),
IF(COUNTIF('盛付札（関数）'!D94,"*赤*"),
VLOOKUP("*赤*",#REF!,7,FALSE),
VLOOKUP('盛付札（関数）'!D94,#REF!,7,FALSE))),0)&lt;=0,1,
ROUND(
IF(O94&lt;&gt;"",(H94-O94),H94)
/IF(COUNTIF('盛付札（関数）'!D94,"*キャラ*"),
VLOOKUP("*キャラ*",#REF!,7,FALSE),
IF(COUNTIF('盛付札（関数）'!D94,"*赤*"),
VLOOKUP("*赤*",#REF!,7,FALSE),
VLOOKUP('盛付札（関数）'!D94,#REF!,7,FALSE))),0))),""),"")),"")</f>
        <v/>
      </c>
      <c r="G94" s="201" t="str">
        <f ca="1">IF(F94&lt;&gt;"",IF(VALUE(IF(O94&lt;&gt;"",H94-O94,H94))&gt;VALUE(IF(COUNTIF('盛付札（関数）'!D94,"*キャラ*"),
VLOOKUP("*キャラ*",#REF!,7,FALSE),
IF(COUNTIF('盛付札（関数）'!D94,"*赤*"),
VLOOKUP("*赤*",#REF!,7,FALSE),
VLOOKUP('盛付札（関数）'!D94,#REF!,7,FALSE)))*F94),
"+"&amp;IF(O94&lt;&gt;"",H94-O94,H94)-IF(COUNTIF('盛付札（関数）'!D94,"*キャラ*"),
VLOOKUP("*キャラ*",#REF!,7,FALSE),
IF(COUNTIF('盛付札（関数）'!D94,"*赤*"),
VLOOKUP("*赤*",#REF!,7,FALSE),
VLOOKUP('盛付札（関数）'!D94,#REF!,7,FALSE)))*F94,
IF(O94&lt;&gt;"",H94-O94,H94)-IF(COUNTIF('盛付札（関数）'!D94,"*キャラ*"),
VLOOKUP("*キャラ*",#REF!,7,FALSE),
IF(COUNTIF('盛付札（関数）'!D94,"*赤*"),
VLOOKUP("*赤*",#REF!,7,FALSE),
VLOOKUP('盛付札（関数）'!D94,#REF!,7,FALSE)))*F94),"")</f>
        <v/>
      </c>
      <c r="H94" s="202" t="str" cm="1">
        <f t="array" aca="1" ref="H94" ca="1">IF(C94&lt;&gt;"",
IF(INDIRECT("数出表_Excel!"&amp;IFERROR(MID(クライアント抽出!V24,FIND(",",クライアント抽出!V24)+1,1),"")&amp;A94-1&amp;"")&lt;&gt;"",
INDIRECT("数出表_Excel!"&amp;IFERROR(MID(クライアント抽出!V24,FIND(",",クライアント抽出!V24)+1,1),"")&amp;A94-1&amp;""),0),"")</f>
        <v/>
      </c>
      <c r="I94" s="200" t="str" cm="1">
        <f t="array" aca="1" ref="I94" ca="1">IF(C94&lt;&gt;"",
IF(INDIRECT("数出表_Excel!"&amp;IFERROR(MID(クライアント抽出!V24,FIND(",",クライアント抽出!V24)+1,1),"")&amp;A94&amp;"")&lt;&gt;"",
INDIRECT("数出表_Excel!"&amp;IFERROR(MID(クライアント抽出!V24,FIND(",",クライアント抽出!V24)+1,1),"")&amp;A94&amp;""),0),"")</f>
        <v/>
      </c>
      <c r="J94" s="200" t="str">
        <f ca="1">IF(C94&lt;&gt;"",
VLOOKUP(
IF(COUNTIF(D94,"*学食*"),"キャラ弁（学食）",
IF(COUNTIF(D94,"*赤*"),"赤",
IF(COUNTIF(D94,"*キャラ弁当*"),"キャラ弁当",D94))),注文弁当の抽出!$E$1:$F$15,2,FALSE),"")</f>
        <v/>
      </c>
      <c r="K94" s="200" t="str">
        <f t="shared" ca="1" si="25"/>
        <v/>
      </c>
      <c r="L94" s="200" t="str">
        <f t="shared" ca="1" si="26"/>
        <v/>
      </c>
      <c r="M94" s="200" cm="1">
        <f t="array" aca="1" ref="M94" ca="1">IF(C94&lt;&gt;"",
IF(IFERROR(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0)&lt;&gt;0,
IF(IFERROR(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"")="",
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""),
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0)),0),0)</f>
        <v>0</v>
      </c>
      <c r="N94" s="200" t="e">
        <f t="array" aca="1" ref="N94" ca="1">IF(B94="博多",
IF(C94&lt;&gt;"",
IF(IFERROR(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0)&lt;&gt;0,
IF(IFERROR(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0)="",
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0),
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0)),0),""),0)</f>
        <v>#N/A</v>
      </c>
      <c r="O94" s="200" t="e">
        <f t="shared" ca="1" si="27"/>
        <v>#N/A</v>
      </c>
      <c r="P94" s="200">
        <f t="shared" ca="1" si="4"/>
        <v>0</v>
      </c>
      <c r="Q94" s="200" t="b">
        <f t="shared" ca="1" si="28"/>
        <v>0</v>
      </c>
      <c r="R94" s="51" t="str" cm="1">
        <f t="array" aca="1" ref="R94" ca="1">IFERROR(SMALL(IF(P$1:P$300&lt;&gt;0,P$1:P$300),ROW(A94)),"")</f>
        <v/>
      </c>
      <c r="S94" s="51" t="str">
        <f t="array" aca="1" ref="S94" ca="1">IF($R94&lt;&gt;"",
INDIRECT(""&amp;IF(COLUMN(C114)&lt;=26,CHAR(COLUMN(C114)+64),CHAR(INT((COLUMN(C114)-1)/26)+64)&amp;CHAR(MOD(COLUMN(C114)-1,26)+65))&amp;$R94&amp;""),"")</f>
        <v/>
      </c>
      <c r="T94" s="51" t="str" cm="1">
        <f t="array" aca="1" ref="T94" ca="1">IF(IF($R94&lt;&gt;"",
INDIRECT(""&amp;IF(COLUMN(D114)&lt;=26,CHAR(COLUMN(D114)+64),CHAR(INT((COLUMN(D114)-1)/26)+64)&amp;CHAR(MOD(COLUMN(D114)-1,26)+65))&amp;$R94&amp;""),"")=0,"",
IF($R94&lt;&gt;"",
INDIRECT(""&amp;IF(COLUMN(D114)&lt;=26,CHAR(COLUMN(D114)+64),CHAR(INT((COLUMN(D114)-1)/26)+64)&amp;CHAR(MOD(COLUMN(D114)-1,26)+65))&amp;$R94&amp;""),""))</f>
        <v/>
      </c>
      <c r="U94" s="51"/>
      <c r="V94" s="51" t="str">
        <f t="array" aca="1" ref="V94" ca="1">IF($R94&lt;&gt;"",
IF(U94="",
IF(INDIRECT("EY"&amp;$R94&amp;"")&lt;&gt;"",
INDIRECT("EY"&amp;$R94&amp;"")&amp;"箱"
&amp;INDIRECT("EZ"&amp;$R94&amp;""),""),""),"")</f>
        <v/>
      </c>
      <c r="W94" s="51" t="str">
        <f t="array" aca="1" ref="W94" ca="1">IF($R94&lt;&gt;"",
INDIRECT(""&amp;IF(COLUMN(H114)&lt;=26,CHAR(COLUMN(H114)+64),CHAR(INT((COLUMN(H114)-1)/26)+64)&amp;CHAR(MOD(COLUMN(H114)-1,26)+65))&amp;$R94&amp;""),"")</f>
        <v/>
      </c>
      <c r="X94" s="51" t="str">
        <f t="array" aca="1" ref="X94" ca="1">IF($R94&lt;&gt;"",
INDIRECT(""&amp;IF(COLUMN(I114)&lt;=26,CHAR(COLUMN(I114)+64),CHAR(INT((COLUMN(I114)-1)/26)+64)&amp;CHAR(MOD(COLUMN(I114)-1,26)+65))&amp;$R94&amp;""),"")</f>
        <v/>
      </c>
      <c r="Y94" s="51" t="str">
        <f t="array" aca="1" ref="Y94" ca="1">IF($R94&lt;&gt;"",
INDIRECT(""&amp;IF(COLUMN(J114)&lt;=26,CHAR(COLUMN(J114)+64),CHAR(INT((COLUMN(J114)-1)/26)+64)&amp;CHAR(MOD(COLUMN(J114)-1,26)+65))&amp;$R94&amp;""),"")</f>
        <v/>
      </c>
      <c r="Z94" s="51" t="str">
        <f t="array" aca="1" ref="Z94" ca="1">IF($R94&lt;&gt;"",
INDIRECT(""&amp;IF(COLUMN(K114)&lt;=26,CHAR(COLUMN(K114)+64),CHAR(INT((COLUMN(K114)-1)/26)+64)&amp;CHAR(MOD(COLUMN(K114)-1,26)+65))&amp;$R94&amp;""),"")</f>
        <v/>
      </c>
      <c r="AA94" s="51" t="str">
        <f t="array" aca="1" ref="AA94" ca="1">IF($R94&lt;&gt;"",
INDIRECT(""&amp;IF(COLUMN(L114)&lt;=26,CHAR(COLUMN(L114)+64),CHAR(INT((COLUMN(L114)-1)/26)+64)&amp;CHAR(MOD(COLUMN(L114)-1,26)+65))&amp;$R94&amp;""),"")</f>
        <v/>
      </c>
      <c r="AB94" s="51" t="str">
        <f t="array" aca="1" ref="AB94" ca="1">IF($R94&lt;&gt;"",
INDIRECT(""&amp;IF(COLUMN(O114)&lt;=26,CHAR(COLUMN(O114)+64),CHAR(INT((COLUMN(O114)-1)/26)+64)&amp;CHAR(MOD(COLUMN(O114)-1,26)+65))&amp;$R94&amp;""),"")</f>
        <v/>
      </c>
    </row>
    <row r="95" spans="1:28" ht="22.2" customHeight="1">
      <c r="A95" s="199">
        <f t="shared" si="24"/>
        <v>55</v>
      </c>
      <c r="B95" s="200" t="e" cm="1">
        <f t="array" aca="1" ref="B95" ca="1">IF(AND(LEFT(C95,2)="博多",
LEFT(INDIRECT("数出表_Excel!A"&amp;MATCH(C95,数出表_Excel!$A:$A,0)-1),2)
=LEFT(INDIRECT("数出表_Excel!A"&amp;MATCH(C95,数出表_Excel!$A:$A,0)+1),2)),"博多",
IF(AND(LEFT(C95,3)="奈良屋",
LEFT(INDIRECT("数出表_Excel!A"&amp;MATCH(C95,数出表_Excel!$A:$A,0)-1),2)
=LEFT(INDIRECT("数出表_Excel!A"&amp;MATCH(C95,数出表_Excel!$A:$A,0)+1),2)),"奈良屋",""))</f>
        <v>#N/A</v>
      </c>
      <c r="C95" s="200" t="str" cm="1">
        <f t="array" aca="1" ref="C95" ca="1">IF(IF(クライアント抽出!A25="",0,LEN(クライアント抽出!V25)-LEN(SUBSTITUTE(クライアント抽出!V25,",","")))&gt;=2,INDIRECT("数出表_Excel!A"&amp;A95&amp;""),"")</f>
        <v/>
      </c>
      <c r="D95" s="200" t="str" cm="1">
        <f t="array" aca="1" ref="D95" ca="1">IF(C95&lt;&gt;"",INDIRECT("クライアント抽出!"&amp;E95&amp;MATCH(C95,クライアント抽出!A:A,0)&amp;""),"")</f>
        <v/>
      </c>
      <c r="E95" s="20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201" t="str" cm="1">
        <f t="array" aca="1" ref="F95" ca="1">IF(D95&lt;&gt;"",
IF(COUNTIF(C95,"*雙葉*"),
IF(ROUND(
IF(O95&lt;&gt;"",(H95-O95),H95)
/IF(COUNTIF('盛付札（関数）'!D95,"*キャラ*"),
VLOOKUP("*キャラ*",#REF!,7,FALSE),
IF(COUNTIF('盛付札（関数）'!D95,"*赤*"),
VLOOKUP("*赤*",#REF!,7,FALSE),
VLOOKUP('盛付札（関数）'!D95,#REF!,7,FALSE))),0)&lt;=0,1,
ROUND(
IF(O95&lt;&gt;"",(H95-O95),H95)
/IF(COUNTIF('盛付札（関数）'!D95,"*キャラ*"),
VLOOKUP("*キャラ*",#REF!,7,FALSE),
IF(COUNTIF('盛付札（関数）'!D95,"*赤*"),
VLOOKUP("*赤*",#REF!,7,FALSE),
VLOOKUP('盛付札（関数）'!D95,#REF!,7,FALSE))),0)),
IF(MATCH(TRUE,
ISNUMBER(--INDIRECT("数出表_Excel!B"&amp;MATCH(C95,数出表_Excel!$A:$A,0)-1&amp;":U"&amp;MATCH(C95,数出表_Excel!$A:$A,0)-1&amp;"")),0)&gt;10,
IF(D95&lt;&gt;"",
IF(IF(COUNTIF('盛付札（関数）'!D95,"*キャラ*"),
VLOOKUP("*キャラ*",#REF!,7,FALSE),
IF(COUNTIF('盛付札（関数）'!D95,"*赤*"),
VLOOKUP("*赤*",#REF!,7,FALSE),
VLOOKUP('盛付札（関数）'!D95,#REF!,7,FALSE)))=0,"",
IF(ROUND(
IF(O95&lt;&gt;"",(H95-O95),H95)
/IF(COUNTIF('盛付札（関数）'!D95,"*キャラ*"),
VLOOKUP("*キャラ*",#REF!,7,FALSE),
IF(COUNTIF('盛付札（関数）'!D95,"*赤*"),
VLOOKUP("*赤*",#REF!,7,FALSE),
VLOOKUP('盛付札（関数）'!D95,#REF!,7,FALSE))),0)&lt;=0,1,
ROUND(
IF(O95&lt;&gt;"",(H95-O95),H95)
/IF(COUNTIF('盛付札（関数）'!D95,"*キャラ*"),
VLOOKUP("*キャラ*",#REF!,7,FALSE),
IF(COUNTIF('盛付札（関数）'!D95,"*赤*"),
VLOOKUP("*赤*",#REF!,7,FALSE),
VLOOKUP('盛付札（関数）'!D95,#REF!,7,FALSE))),0))),""),"")),"")</f>
        <v/>
      </c>
      <c r="G95" s="201" t="str">
        <f ca="1">IF(F95&lt;&gt;"",IF(VALUE(IF(O95&lt;&gt;"",H95-O95,H95))&gt;VALUE(IF(COUNTIF('盛付札（関数）'!D95,"*キャラ*"),
VLOOKUP("*キャラ*",#REF!,7,FALSE),
IF(COUNTIF('盛付札（関数）'!D95,"*赤*"),
VLOOKUP("*赤*",#REF!,7,FALSE),
VLOOKUP('盛付札（関数）'!D95,#REF!,7,FALSE)))*F95),
"+"&amp;IF(O95&lt;&gt;"",H95-O95,H95)-IF(COUNTIF('盛付札（関数）'!D95,"*キャラ*"),
VLOOKUP("*キャラ*",#REF!,7,FALSE),
IF(COUNTIF('盛付札（関数）'!D95,"*赤*"),
VLOOKUP("*赤*",#REF!,7,FALSE),
VLOOKUP('盛付札（関数）'!D95,#REF!,7,FALSE)))*F95,
IF(O95&lt;&gt;"",H95-O95,H95)-IF(COUNTIF('盛付札（関数）'!D95,"*キャラ*"),
VLOOKUP("*キャラ*",#REF!,7,FALSE),
IF(COUNTIF('盛付札（関数）'!D95,"*赤*"),
VLOOKUP("*赤*",#REF!,7,FALSE),
VLOOKUP('盛付札（関数）'!D95,#REF!,7,FALSE)))*F95),"")</f>
        <v/>
      </c>
      <c r="H95" s="202" t="str" cm="1">
        <f t="array" aca="1" ref="H95" ca="1">IF(C95&lt;&gt;"",
IF(INDIRECT("数出表_Excel!"&amp;IFERROR(MID(クライアント抽出!V25,FIND(",",クライアント抽出!V25)+1,1),"")&amp;A95-1&amp;"")&lt;&gt;"",
INDIRECT("数出表_Excel!"&amp;IFERROR(MID(クライアント抽出!V25,FIND(",",クライアント抽出!V25)+1,1),"")&amp;A95-1&amp;""),0),"")</f>
        <v/>
      </c>
      <c r="I95" s="200" t="str" cm="1">
        <f t="array" aca="1" ref="I95" ca="1">IF(C95&lt;&gt;"",
IF(INDIRECT("数出表_Excel!"&amp;IFERROR(MID(クライアント抽出!V25,FIND(",",クライアント抽出!V25)+1,1),"")&amp;A95&amp;"")&lt;&gt;"",
INDIRECT("数出表_Excel!"&amp;IFERROR(MID(クライアント抽出!V25,FIND(",",クライアント抽出!V25)+1,1),"")&amp;A95&amp;""),0),"")</f>
        <v/>
      </c>
      <c r="J95" s="200" t="str">
        <f ca="1">IF(C95&lt;&gt;"",
VLOOKUP(
IF(COUNTIF(D95,"*学食*"),"キャラ弁（学食）",
IF(COUNTIF(D95,"*赤*"),"赤",
IF(COUNTIF(D95,"*キャラ弁当*"),"キャラ弁当",D95))),注文弁当の抽出!$E$1:$F$15,2,FALSE),"")</f>
        <v/>
      </c>
      <c r="K95" s="200" t="str">
        <f t="shared" ca="1" si="25"/>
        <v/>
      </c>
      <c r="L95" s="200" t="str">
        <f t="shared" ca="1" si="26"/>
        <v/>
      </c>
      <c r="M95" s="200" cm="1">
        <f t="array" aca="1" ref="M95" ca="1">IF(C95&lt;&gt;"",
IF(IFERROR(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0)&lt;&gt;0,
IF(IFERROR(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"")="",
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""),
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0)),0),0)</f>
        <v>0</v>
      </c>
      <c r="N95" s="200" t="e">
        <f t="array" aca="1" ref="N95" ca="1">IF(B95="博多",
IF(C95&lt;&gt;"",
IF(IFERROR(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0)&lt;&gt;0,
IF(IFERROR(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0)="",
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0),
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0)),0),""),0)</f>
        <v>#N/A</v>
      </c>
      <c r="O95" s="200" t="e">
        <f t="shared" ca="1" si="27"/>
        <v>#N/A</v>
      </c>
      <c r="P95" s="200">
        <f t="shared" ca="1" si="4"/>
        <v>0</v>
      </c>
      <c r="Q95" s="200" t="b">
        <f t="shared" ca="1" si="28"/>
        <v>0</v>
      </c>
      <c r="R95" s="51" t="str" cm="1">
        <f t="array" aca="1" ref="R95" ca="1">IFERROR(SMALL(IF(P$1:P$300&lt;&gt;0,P$1:P$300),ROW(A95)),"")</f>
        <v/>
      </c>
      <c r="S95" s="51" t="str">
        <f t="array" aca="1" ref="S95" ca="1">IF($R95&lt;&gt;"",
INDIRECT(""&amp;IF(COLUMN(C115)&lt;=26,CHAR(COLUMN(C115)+64),CHAR(INT((COLUMN(C115)-1)/26)+64)&amp;CHAR(MOD(COLUMN(C115)-1,26)+65))&amp;$R95&amp;""),"")</f>
        <v/>
      </c>
      <c r="T95" s="51" t="str" cm="1">
        <f t="array" aca="1" ref="T95" ca="1">IF(IF($R95&lt;&gt;"",
INDIRECT(""&amp;IF(COLUMN(D115)&lt;=26,CHAR(COLUMN(D115)+64),CHAR(INT((COLUMN(D115)-1)/26)+64)&amp;CHAR(MOD(COLUMN(D115)-1,26)+65))&amp;$R95&amp;""),"")=0,"",
IF($R95&lt;&gt;"",
INDIRECT(""&amp;IF(COLUMN(D115)&lt;=26,CHAR(COLUMN(D115)+64),CHAR(INT((COLUMN(D115)-1)/26)+64)&amp;CHAR(MOD(COLUMN(D115)-1,26)+65))&amp;$R95&amp;""),""))</f>
        <v/>
      </c>
      <c r="U95" s="51"/>
      <c r="V95" s="51" t="str">
        <f t="array" aca="1" ref="V95" ca="1">IF($R95&lt;&gt;"",
IF(U95="",
IF(INDIRECT("EY"&amp;$R95&amp;"")&lt;&gt;"",
INDIRECT("EY"&amp;$R95&amp;"")&amp;"箱"
&amp;INDIRECT("EZ"&amp;$R95&amp;""),""),""),"")</f>
        <v/>
      </c>
      <c r="W95" s="51" t="str">
        <f t="array" aca="1" ref="W95" ca="1">IF($R95&lt;&gt;"",
INDIRECT(""&amp;IF(COLUMN(H115)&lt;=26,CHAR(COLUMN(H115)+64),CHAR(INT((COLUMN(H115)-1)/26)+64)&amp;CHAR(MOD(COLUMN(H115)-1,26)+65))&amp;$R95&amp;""),"")</f>
        <v/>
      </c>
      <c r="X95" s="51" t="str">
        <f t="array" aca="1" ref="X95" ca="1">IF($R95&lt;&gt;"",
INDIRECT(""&amp;IF(COLUMN(I115)&lt;=26,CHAR(COLUMN(I115)+64),CHAR(INT((COLUMN(I115)-1)/26)+64)&amp;CHAR(MOD(COLUMN(I115)-1,26)+65))&amp;$R95&amp;""),"")</f>
        <v/>
      </c>
      <c r="Y95" s="51" t="str">
        <f t="array" aca="1" ref="Y95" ca="1">IF($R95&lt;&gt;"",
INDIRECT(""&amp;IF(COLUMN(J115)&lt;=26,CHAR(COLUMN(J115)+64),CHAR(INT((COLUMN(J115)-1)/26)+64)&amp;CHAR(MOD(COLUMN(J115)-1,26)+65))&amp;$R95&amp;""),"")</f>
        <v/>
      </c>
      <c r="Z95" s="51" t="str">
        <f t="array" aca="1" ref="Z95" ca="1">IF($R95&lt;&gt;"",
INDIRECT(""&amp;IF(COLUMN(K115)&lt;=26,CHAR(COLUMN(K115)+64),CHAR(INT((COLUMN(K115)-1)/26)+64)&amp;CHAR(MOD(COLUMN(K115)-1,26)+65))&amp;$R95&amp;""),"")</f>
        <v/>
      </c>
      <c r="AA95" s="51" t="str">
        <f t="array" aca="1" ref="AA95" ca="1">IF($R95&lt;&gt;"",
INDIRECT(""&amp;IF(COLUMN(L115)&lt;=26,CHAR(COLUMN(L115)+64),CHAR(INT((COLUMN(L115)-1)/26)+64)&amp;CHAR(MOD(COLUMN(L115)-1,26)+65))&amp;$R95&amp;""),"")</f>
        <v/>
      </c>
      <c r="AB95" s="51" t="str">
        <f t="array" aca="1" ref="AB95" ca="1">IF($R95&lt;&gt;"",
INDIRECT(""&amp;IF(COLUMN(O115)&lt;=26,CHAR(COLUMN(O115)+64),CHAR(INT((COLUMN(O115)-1)/26)+64)&amp;CHAR(MOD(COLUMN(O115)-1,26)+65))&amp;$R95&amp;""),"")</f>
        <v/>
      </c>
    </row>
    <row r="96" spans="1:28" ht="22.2" customHeight="1">
      <c r="A96" s="199">
        <f t="shared" si="24"/>
        <v>57</v>
      </c>
      <c r="B96" s="200" t="e" cm="1">
        <f t="array" aca="1" ref="B96" ca="1">IF(AND(LEFT(C96,2)="博多",
LEFT(INDIRECT("数出表_Excel!A"&amp;MATCH(C96,数出表_Excel!$A:$A,0)-1),2)
=LEFT(INDIRECT("数出表_Excel!A"&amp;MATCH(C96,数出表_Excel!$A:$A,0)+1),2)),"博多",
IF(AND(LEFT(C96,3)="奈良屋",
LEFT(INDIRECT("数出表_Excel!A"&amp;MATCH(C96,数出表_Excel!$A:$A,0)-1),2)
=LEFT(INDIRECT("数出表_Excel!A"&amp;MATCH(C96,数出表_Excel!$A:$A,0)+1),2)),"奈良屋",""))</f>
        <v>#N/A</v>
      </c>
      <c r="C96" s="200" t="str" cm="1">
        <f t="array" aca="1" ref="C96" ca="1">IF(IF(クライアント抽出!A26="",0,LEN(クライアント抽出!V26)-LEN(SUBSTITUTE(クライアント抽出!V26,",","")))&gt;=2,INDIRECT("数出表_Excel!A"&amp;A96&amp;""),"")</f>
        <v/>
      </c>
      <c r="D96" s="200" t="str" cm="1">
        <f t="array" aca="1" ref="D96" ca="1">IF(C96&lt;&gt;"",INDIRECT("クライアント抽出!"&amp;E96&amp;MATCH(C96,クライアント抽出!A:A,0)&amp;""),"")</f>
        <v/>
      </c>
      <c r="E96" s="20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201" t="str" cm="1">
        <f t="array" aca="1" ref="F96" ca="1">IF(D96&lt;&gt;"",
IF(COUNTIF(C96,"*雙葉*"),
IF(ROUND(
IF(O96&lt;&gt;"",(H96-O96),H96)
/IF(COUNTIF('盛付札（関数）'!D96,"*キャラ*"),
VLOOKUP("*キャラ*",#REF!,7,FALSE),
IF(COUNTIF('盛付札（関数）'!D96,"*赤*"),
VLOOKUP("*赤*",#REF!,7,FALSE),
VLOOKUP('盛付札（関数）'!D96,#REF!,7,FALSE))),0)&lt;=0,1,
ROUND(
IF(O96&lt;&gt;"",(H96-O96),H96)
/IF(COUNTIF('盛付札（関数）'!D96,"*キャラ*"),
VLOOKUP("*キャラ*",#REF!,7,FALSE),
IF(COUNTIF('盛付札（関数）'!D96,"*赤*"),
VLOOKUP("*赤*",#REF!,7,FALSE),
VLOOKUP('盛付札（関数）'!D96,#REF!,7,FALSE))),0)),
IF(MATCH(TRUE,
ISNUMBER(--INDIRECT("数出表_Excel!B"&amp;MATCH(C96,数出表_Excel!$A:$A,0)-1&amp;":U"&amp;MATCH(C96,数出表_Excel!$A:$A,0)-1&amp;"")),0)&gt;10,
IF(D96&lt;&gt;"",
IF(IF(COUNTIF('盛付札（関数）'!D96,"*キャラ*"),
VLOOKUP("*キャラ*",#REF!,7,FALSE),
IF(COUNTIF('盛付札（関数）'!D96,"*赤*"),
VLOOKUP("*赤*",#REF!,7,FALSE),
VLOOKUP('盛付札（関数）'!D96,#REF!,7,FALSE)))=0,"",
IF(ROUND(
IF(O96&lt;&gt;"",(H96-O96),H96)
/IF(COUNTIF('盛付札（関数）'!D96,"*キャラ*"),
VLOOKUP("*キャラ*",#REF!,7,FALSE),
IF(COUNTIF('盛付札（関数）'!D96,"*赤*"),
VLOOKUP("*赤*",#REF!,7,FALSE),
VLOOKUP('盛付札（関数）'!D96,#REF!,7,FALSE))),0)&lt;=0,1,
ROUND(
IF(O96&lt;&gt;"",(H96-O96),H96)
/IF(COUNTIF('盛付札（関数）'!D96,"*キャラ*"),
VLOOKUP("*キャラ*",#REF!,7,FALSE),
IF(COUNTIF('盛付札（関数）'!D96,"*赤*"),
VLOOKUP("*赤*",#REF!,7,FALSE),
VLOOKUP('盛付札（関数）'!D96,#REF!,7,FALSE))),0))),""),"")),"")</f>
        <v/>
      </c>
      <c r="G96" s="201" t="str">
        <f ca="1">IF(F96&lt;&gt;"",IF(VALUE(IF(O96&lt;&gt;"",H96-O96,H96))&gt;VALUE(IF(COUNTIF('盛付札（関数）'!D96,"*キャラ*"),
VLOOKUP("*キャラ*",#REF!,7,FALSE),
IF(COUNTIF('盛付札（関数）'!D96,"*赤*"),
VLOOKUP("*赤*",#REF!,7,FALSE),
VLOOKUP('盛付札（関数）'!D96,#REF!,7,FALSE)))*F96),
"+"&amp;IF(O96&lt;&gt;"",H96-O96,H96)-IF(COUNTIF('盛付札（関数）'!D96,"*キャラ*"),
VLOOKUP("*キャラ*",#REF!,7,FALSE),
IF(COUNTIF('盛付札（関数）'!D96,"*赤*"),
VLOOKUP("*赤*",#REF!,7,FALSE),
VLOOKUP('盛付札（関数）'!D96,#REF!,7,FALSE)))*F96,
IF(O96&lt;&gt;"",H96-O96,H96)-IF(COUNTIF('盛付札（関数）'!D96,"*キャラ*"),
VLOOKUP("*キャラ*",#REF!,7,FALSE),
IF(COUNTIF('盛付札（関数）'!D96,"*赤*"),
VLOOKUP("*赤*",#REF!,7,FALSE),
VLOOKUP('盛付札（関数）'!D96,#REF!,7,FALSE)))*F96),"")</f>
        <v/>
      </c>
      <c r="H96" s="202" t="str" cm="1">
        <f t="array" aca="1" ref="H96" ca="1">IF(C96&lt;&gt;"",
IF(INDIRECT("数出表_Excel!"&amp;IFERROR(MID(クライアント抽出!V26,FIND(",",クライアント抽出!V26)+1,1),"")&amp;A96-1&amp;"")&lt;&gt;"",
INDIRECT("数出表_Excel!"&amp;IFERROR(MID(クライアント抽出!V26,FIND(",",クライアント抽出!V26)+1,1),"")&amp;A96-1&amp;""),0),"")</f>
        <v/>
      </c>
      <c r="I96" s="200" t="str" cm="1">
        <f t="array" aca="1" ref="I96" ca="1">IF(C96&lt;&gt;"",
IF(INDIRECT("数出表_Excel!"&amp;IFERROR(MID(クライアント抽出!V26,FIND(",",クライアント抽出!V26)+1,1),"")&amp;A96&amp;"")&lt;&gt;"",
INDIRECT("数出表_Excel!"&amp;IFERROR(MID(クライアント抽出!V26,FIND(",",クライアント抽出!V26)+1,1),"")&amp;A96&amp;""),0),"")</f>
        <v/>
      </c>
      <c r="J96" s="200" t="str">
        <f ca="1">IF(C96&lt;&gt;"",
VLOOKUP(
IF(COUNTIF(D96,"*学食*"),"キャラ弁（学食）",
IF(COUNTIF(D96,"*赤*"),"赤",
IF(COUNTIF(D96,"*キャラ弁当*"),"キャラ弁当",D96))),注文弁当の抽出!$E$1:$F$15,2,FALSE),"")</f>
        <v/>
      </c>
      <c r="K96" s="200" t="str">
        <f t="shared" ca="1" si="25"/>
        <v/>
      </c>
      <c r="L96" s="200" t="str">
        <f t="shared" ca="1" si="26"/>
        <v/>
      </c>
      <c r="M96" s="200" cm="1">
        <f t="array" aca="1" ref="M96" ca="1">IF(C96&lt;&gt;"",
IF(IFERROR(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0)&lt;&gt;0,
IF(IFERROR(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"")="",
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""),
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0)),0),0)</f>
        <v>0</v>
      </c>
      <c r="N96" s="200" t="e">
        <f t="array" aca="1" ref="N96" ca="1">IF(B96="博多",
IF(C96&lt;&gt;"",
IF(IFERROR(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0)&lt;&gt;0,
IF(IFERROR(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0)="",
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0),
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0)),0),""),0)</f>
        <v>#N/A</v>
      </c>
      <c r="O96" s="200" t="e">
        <f t="shared" ca="1" si="27"/>
        <v>#N/A</v>
      </c>
      <c r="P96" s="200">
        <f t="shared" ca="1" si="4"/>
        <v>0</v>
      </c>
      <c r="Q96" s="200" t="b">
        <f t="shared" ca="1" si="28"/>
        <v>0</v>
      </c>
      <c r="R96" s="51" t="str" cm="1">
        <f t="array" aca="1" ref="R96" ca="1">IFERROR(SMALL(IF(P$1:P$300&lt;&gt;0,P$1:P$300),ROW(A96)),"")</f>
        <v/>
      </c>
      <c r="S96" s="51" t="str">
        <f t="array" aca="1" ref="S96" ca="1">IF($R96&lt;&gt;"",
INDIRECT(""&amp;IF(COLUMN(C116)&lt;=26,CHAR(COLUMN(C116)+64),CHAR(INT((COLUMN(C116)-1)/26)+64)&amp;CHAR(MOD(COLUMN(C116)-1,26)+65))&amp;$R96&amp;""),"")</f>
        <v/>
      </c>
      <c r="T96" s="51" t="str" cm="1">
        <f t="array" aca="1" ref="T96" ca="1">IF(IF($R96&lt;&gt;"",
INDIRECT(""&amp;IF(COLUMN(D116)&lt;=26,CHAR(COLUMN(D116)+64),CHAR(INT((COLUMN(D116)-1)/26)+64)&amp;CHAR(MOD(COLUMN(D116)-1,26)+65))&amp;$R96&amp;""),"")=0,"",
IF($R96&lt;&gt;"",
INDIRECT(""&amp;IF(COLUMN(D116)&lt;=26,CHAR(COLUMN(D116)+64),CHAR(INT((COLUMN(D116)-1)/26)+64)&amp;CHAR(MOD(COLUMN(D116)-1,26)+65))&amp;$R96&amp;""),""))</f>
        <v/>
      </c>
      <c r="U96" s="51"/>
      <c r="V96" s="51" t="str">
        <f t="array" aca="1" ref="V96" ca="1">IF($R96&lt;&gt;"",
IF(U96="",
IF(INDIRECT("EY"&amp;$R96&amp;"")&lt;&gt;"",
INDIRECT("EY"&amp;$R96&amp;"")&amp;"箱"
&amp;INDIRECT("EZ"&amp;$R96&amp;""),""),""),"")</f>
        <v/>
      </c>
      <c r="W96" s="51" t="str">
        <f t="array" aca="1" ref="W96" ca="1">IF($R96&lt;&gt;"",
INDIRECT(""&amp;IF(COLUMN(H116)&lt;=26,CHAR(COLUMN(H116)+64),CHAR(INT((COLUMN(H116)-1)/26)+64)&amp;CHAR(MOD(COLUMN(H116)-1,26)+65))&amp;$R96&amp;""),"")</f>
        <v/>
      </c>
      <c r="X96" s="51" t="str">
        <f t="array" aca="1" ref="X96" ca="1">IF($R96&lt;&gt;"",
INDIRECT(""&amp;IF(COLUMN(I116)&lt;=26,CHAR(COLUMN(I116)+64),CHAR(INT((COLUMN(I116)-1)/26)+64)&amp;CHAR(MOD(COLUMN(I116)-1,26)+65))&amp;$R96&amp;""),"")</f>
        <v/>
      </c>
      <c r="Y96" s="51" t="str">
        <f t="array" aca="1" ref="Y96" ca="1">IF($R96&lt;&gt;"",
INDIRECT(""&amp;IF(COLUMN(J116)&lt;=26,CHAR(COLUMN(J116)+64),CHAR(INT((COLUMN(J116)-1)/26)+64)&amp;CHAR(MOD(COLUMN(J116)-1,26)+65))&amp;$R96&amp;""),"")</f>
        <v/>
      </c>
      <c r="Z96" s="51" t="str">
        <f t="array" aca="1" ref="Z96" ca="1">IF($R96&lt;&gt;"",
INDIRECT(""&amp;IF(COLUMN(K116)&lt;=26,CHAR(COLUMN(K116)+64),CHAR(INT((COLUMN(K116)-1)/26)+64)&amp;CHAR(MOD(COLUMN(K116)-1,26)+65))&amp;$R96&amp;""),"")</f>
        <v/>
      </c>
      <c r="AA96" s="51" t="str">
        <f t="array" aca="1" ref="AA96" ca="1">IF($R96&lt;&gt;"",
INDIRECT(""&amp;IF(COLUMN(L116)&lt;=26,CHAR(COLUMN(L116)+64),CHAR(INT((COLUMN(L116)-1)/26)+64)&amp;CHAR(MOD(COLUMN(L116)-1,26)+65))&amp;$R96&amp;""),"")</f>
        <v/>
      </c>
      <c r="AB96" s="51" t="str">
        <f t="array" aca="1" ref="AB96" ca="1">IF($R96&lt;&gt;"",
INDIRECT(""&amp;IF(COLUMN(O116)&lt;=26,CHAR(COLUMN(O116)+64),CHAR(INT((COLUMN(O116)-1)/26)+64)&amp;CHAR(MOD(COLUMN(O116)-1,26)+65))&amp;$R96&amp;""),"")</f>
        <v/>
      </c>
    </row>
    <row r="97" spans="1:28" ht="22.2" customHeight="1">
      <c r="A97" s="199">
        <f t="shared" si="24"/>
        <v>59</v>
      </c>
      <c r="B97" s="200" t="e" cm="1">
        <f t="array" aca="1" ref="B97" ca="1">IF(AND(LEFT(C97,2)="博多",
LEFT(INDIRECT("数出表_Excel!A"&amp;MATCH(C97,数出表_Excel!$A:$A,0)-1),2)
=LEFT(INDIRECT("数出表_Excel!A"&amp;MATCH(C97,数出表_Excel!$A:$A,0)+1),2)),"博多",
IF(AND(LEFT(C97,3)="奈良屋",
LEFT(INDIRECT("数出表_Excel!A"&amp;MATCH(C97,数出表_Excel!$A:$A,0)-1),2)
=LEFT(INDIRECT("数出表_Excel!A"&amp;MATCH(C97,数出表_Excel!$A:$A,0)+1),2)),"奈良屋",""))</f>
        <v>#N/A</v>
      </c>
      <c r="C97" s="200" t="str" cm="1">
        <f t="array" aca="1" ref="C97" ca="1">IF(IF(クライアント抽出!A27="",0,LEN(クライアント抽出!V27)-LEN(SUBSTITUTE(クライアント抽出!V27,",","")))&gt;=2,INDIRECT("数出表_Excel!A"&amp;A97&amp;""),"")</f>
        <v/>
      </c>
      <c r="D97" s="200" t="str" cm="1">
        <f t="array" aca="1" ref="D97" ca="1">IF(C97&lt;&gt;"",INDIRECT("クライアント抽出!"&amp;E97&amp;MATCH(C97,クライアント抽出!A:A,0)&amp;""),"")</f>
        <v/>
      </c>
      <c r="E97" s="20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201" t="str" cm="1">
        <f t="array" aca="1" ref="F97" ca="1">IF(D97&lt;&gt;"",
IF(COUNTIF(C97,"*雙葉*"),
IF(ROUND(
IF(O97&lt;&gt;"",(H97-O97),H97)
/IF(COUNTIF('盛付札（関数）'!D97,"*キャラ*"),
VLOOKUP("*キャラ*",#REF!,7,FALSE),
IF(COUNTIF('盛付札（関数）'!D97,"*赤*"),
VLOOKUP("*赤*",#REF!,7,FALSE),
VLOOKUP('盛付札（関数）'!D97,#REF!,7,FALSE))),0)&lt;=0,1,
ROUND(
IF(O97&lt;&gt;"",(H97-O97),H97)
/IF(COUNTIF('盛付札（関数）'!D97,"*キャラ*"),
VLOOKUP("*キャラ*",#REF!,7,FALSE),
IF(COUNTIF('盛付札（関数）'!D97,"*赤*"),
VLOOKUP("*赤*",#REF!,7,FALSE),
VLOOKUP('盛付札（関数）'!D97,#REF!,7,FALSE))),0)),
IF(MATCH(TRUE,
ISNUMBER(--INDIRECT("数出表_Excel!B"&amp;MATCH(C97,数出表_Excel!$A:$A,0)-1&amp;":U"&amp;MATCH(C97,数出表_Excel!$A:$A,0)-1&amp;"")),0)&gt;10,
IF(D97&lt;&gt;"",
IF(IF(COUNTIF('盛付札（関数）'!D97,"*キャラ*"),
VLOOKUP("*キャラ*",#REF!,7,FALSE),
IF(COUNTIF('盛付札（関数）'!D97,"*赤*"),
VLOOKUP("*赤*",#REF!,7,FALSE),
VLOOKUP('盛付札（関数）'!D97,#REF!,7,FALSE)))=0,"",
IF(ROUND(
IF(O97&lt;&gt;"",(H97-O97),H97)
/IF(COUNTIF('盛付札（関数）'!D97,"*キャラ*"),
VLOOKUP("*キャラ*",#REF!,7,FALSE),
IF(COUNTIF('盛付札（関数）'!D97,"*赤*"),
VLOOKUP("*赤*",#REF!,7,FALSE),
VLOOKUP('盛付札（関数）'!D97,#REF!,7,FALSE))),0)&lt;=0,1,
ROUND(
IF(O97&lt;&gt;"",(H97-O97),H97)
/IF(COUNTIF('盛付札（関数）'!D97,"*キャラ*"),
VLOOKUP("*キャラ*",#REF!,7,FALSE),
IF(COUNTIF('盛付札（関数）'!D97,"*赤*"),
VLOOKUP("*赤*",#REF!,7,FALSE),
VLOOKUP('盛付札（関数）'!D97,#REF!,7,FALSE))),0))),""),"")),"")</f>
        <v/>
      </c>
      <c r="G97" s="201" t="str">
        <f ca="1">IF(F97&lt;&gt;"",IF(VALUE(IF(O97&lt;&gt;"",H97-O97,H97))&gt;VALUE(IF(COUNTIF('盛付札（関数）'!D97,"*キャラ*"),
VLOOKUP("*キャラ*",#REF!,7,FALSE),
IF(COUNTIF('盛付札（関数）'!D97,"*赤*"),
VLOOKUP("*赤*",#REF!,7,FALSE),
VLOOKUP('盛付札（関数）'!D97,#REF!,7,FALSE)))*F97),
"+"&amp;IF(O97&lt;&gt;"",H97-O97,H97)-IF(COUNTIF('盛付札（関数）'!D97,"*キャラ*"),
VLOOKUP("*キャラ*",#REF!,7,FALSE),
IF(COUNTIF('盛付札（関数）'!D97,"*赤*"),
VLOOKUP("*赤*",#REF!,7,FALSE),
VLOOKUP('盛付札（関数）'!D97,#REF!,7,FALSE)))*F97,
IF(O97&lt;&gt;"",H97-O97,H97)-IF(COUNTIF('盛付札（関数）'!D97,"*キャラ*"),
VLOOKUP("*キャラ*",#REF!,7,FALSE),
IF(COUNTIF('盛付札（関数）'!D97,"*赤*"),
VLOOKUP("*赤*",#REF!,7,FALSE),
VLOOKUP('盛付札（関数）'!D97,#REF!,7,FALSE)))*F97),"")</f>
        <v/>
      </c>
      <c r="H97" s="202" t="str" cm="1">
        <f t="array" aca="1" ref="H97" ca="1">IF(C97&lt;&gt;"",
IF(INDIRECT("数出表_Excel!"&amp;IFERROR(MID(クライアント抽出!V27,FIND(",",クライアント抽出!V27)+1,1),"")&amp;A97-1&amp;"")&lt;&gt;"",
INDIRECT("数出表_Excel!"&amp;IFERROR(MID(クライアント抽出!V27,FIND(",",クライアント抽出!V27)+1,1),"")&amp;A97-1&amp;""),0),"")</f>
        <v/>
      </c>
      <c r="I97" s="200" t="str" cm="1">
        <f t="array" aca="1" ref="I97" ca="1">IF(C97&lt;&gt;"",
IF(INDIRECT("数出表_Excel!"&amp;IFERROR(MID(クライアント抽出!V27,FIND(",",クライアント抽出!V27)+1,1),"")&amp;A97&amp;"")&lt;&gt;"",
INDIRECT("数出表_Excel!"&amp;IFERROR(MID(クライアント抽出!V27,FIND(",",クライアント抽出!V27)+1,1),"")&amp;A97&amp;""),0),"")</f>
        <v/>
      </c>
      <c r="J97" s="200" t="str">
        <f ca="1">IF(C97&lt;&gt;"",
VLOOKUP(
IF(COUNTIF(D97,"*学食*"),"キャラ弁（学食）",
IF(COUNTIF(D97,"*赤*"),"赤",
IF(COUNTIF(D97,"*キャラ弁当*"),"キャラ弁当",D97))),注文弁当の抽出!$E$1:$F$15,2,FALSE),"")</f>
        <v/>
      </c>
      <c r="K97" s="200" t="str">
        <f t="shared" ca="1" si="25"/>
        <v/>
      </c>
      <c r="L97" s="200" t="str">
        <f t="shared" ca="1" si="26"/>
        <v/>
      </c>
      <c r="M97" s="200" cm="1">
        <f t="array" aca="1" ref="M97" ca="1">IF(C97&lt;&gt;"",
IF(IFERROR(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0)&lt;&gt;0,
IF(IFERROR(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"")="",
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""),
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0)),0),0)</f>
        <v>0</v>
      </c>
      <c r="N97" s="200" t="e">
        <f t="array" aca="1" ref="N97" ca="1">IF(B97="博多",
IF(C97&lt;&gt;"",
IF(IFERROR(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0)&lt;&gt;0,
IF(IFERROR(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0)="",
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0),
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0)),0),""),0)</f>
        <v>#N/A</v>
      </c>
      <c r="O97" s="200" t="e">
        <f t="shared" ca="1" si="27"/>
        <v>#N/A</v>
      </c>
      <c r="P97" s="200">
        <f t="shared" ca="1" si="4"/>
        <v>0</v>
      </c>
      <c r="Q97" s="200" t="b">
        <f t="shared" ca="1" si="28"/>
        <v>0</v>
      </c>
      <c r="R97" s="51" t="str" cm="1">
        <f t="array" aca="1" ref="R97" ca="1">IFERROR(SMALL(IF(P$1:P$300&lt;&gt;0,P$1:P$300),ROW(A97)),"")</f>
        <v/>
      </c>
      <c r="S97" s="51" t="str">
        <f t="array" aca="1" ref="S97" ca="1">IF($R97&lt;&gt;"",
INDIRECT(""&amp;IF(COLUMN(C117)&lt;=26,CHAR(COLUMN(C117)+64),CHAR(INT((COLUMN(C117)-1)/26)+64)&amp;CHAR(MOD(COLUMN(C117)-1,26)+65))&amp;$R97&amp;""),"")</f>
        <v/>
      </c>
      <c r="T97" s="51" t="str" cm="1">
        <f t="array" aca="1" ref="T97" ca="1">IF(IF($R97&lt;&gt;"",
INDIRECT(""&amp;IF(COLUMN(D117)&lt;=26,CHAR(COLUMN(D117)+64),CHAR(INT((COLUMN(D117)-1)/26)+64)&amp;CHAR(MOD(COLUMN(D117)-1,26)+65))&amp;$R97&amp;""),"")=0,"",
IF($R97&lt;&gt;"",
INDIRECT(""&amp;IF(COLUMN(D117)&lt;=26,CHAR(COLUMN(D117)+64),CHAR(INT((COLUMN(D117)-1)/26)+64)&amp;CHAR(MOD(COLUMN(D117)-1,26)+65))&amp;$R97&amp;""),""))</f>
        <v/>
      </c>
      <c r="U97" s="51"/>
      <c r="V97" s="51" t="str">
        <f t="array" aca="1" ref="V97" ca="1">IF($R97&lt;&gt;"",
IF(U97="",
IF(INDIRECT("EY"&amp;$R97&amp;"")&lt;&gt;"",
INDIRECT("EY"&amp;$R97&amp;"")&amp;"箱"
&amp;INDIRECT("EZ"&amp;$R97&amp;""),""),""),"")</f>
        <v/>
      </c>
      <c r="W97" s="51" t="str">
        <f t="array" aca="1" ref="W97" ca="1">IF($R97&lt;&gt;"",
INDIRECT(""&amp;IF(COLUMN(H117)&lt;=26,CHAR(COLUMN(H117)+64),CHAR(INT((COLUMN(H117)-1)/26)+64)&amp;CHAR(MOD(COLUMN(H117)-1,26)+65))&amp;$R97&amp;""),"")</f>
        <v/>
      </c>
      <c r="X97" s="51" t="str">
        <f t="array" aca="1" ref="X97" ca="1">IF($R97&lt;&gt;"",
INDIRECT(""&amp;IF(COLUMN(I117)&lt;=26,CHAR(COLUMN(I117)+64),CHAR(INT((COLUMN(I117)-1)/26)+64)&amp;CHAR(MOD(COLUMN(I117)-1,26)+65))&amp;$R97&amp;""),"")</f>
        <v/>
      </c>
      <c r="Y97" s="51" t="str">
        <f t="array" aca="1" ref="Y97" ca="1">IF($R97&lt;&gt;"",
INDIRECT(""&amp;IF(COLUMN(J117)&lt;=26,CHAR(COLUMN(J117)+64),CHAR(INT((COLUMN(J117)-1)/26)+64)&amp;CHAR(MOD(COLUMN(J117)-1,26)+65))&amp;$R97&amp;""),"")</f>
        <v/>
      </c>
      <c r="Z97" s="51" t="str">
        <f t="array" aca="1" ref="Z97" ca="1">IF($R97&lt;&gt;"",
INDIRECT(""&amp;IF(COLUMN(K117)&lt;=26,CHAR(COLUMN(K117)+64),CHAR(INT((COLUMN(K117)-1)/26)+64)&amp;CHAR(MOD(COLUMN(K117)-1,26)+65))&amp;$R97&amp;""),"")</f>
        <v/>
      </c>
      <c r="AA97" s="51" t="str">
        <f t="array" aca="1" ref="AA97" ca="1">IF($R97&lt;&gt;"",
INDIRECT(""&amp;IF(COLUMN(L117)&lt;=26,CHAR(COLUMN(L117)+64),CHAR(INT((COLUMN(L117)-1)/26)+64)&amp;CHAR(MOD(COLUMN(L117)-1,26)+65))&amp;$R97&amp;""),"")</f>
        <v/>
      </c>
      <c r="AB97" s="51" t="str">
        <f t="array" aca="1" ref="AB97" ca="1">IF($R97&lt;&gt;"",
INDIRECT(""&amp;IF(COLUMN(O117)&lt;=26,CHAR(COLUMN(O117)+64),CHAR(INT((COLUMN(O117)-1)/26)+64)&amp;CHAR(MOD(COLUMN(O117)-1,26)+65))&amp;$R97&amp;""),"")</f>
        <v/>
      </c>
    </row>
    <row r="98" spans="1:28" ht="22.2" customHeight="1">
      <c r="A98" s="199">
        <f t="shared" si="24"/>
        <v>61</v>
      </c>
      <c r="B98" s="200" t="e" cm="1">
        <f t="array" aca="1" ref="B98" ca="1">IF(AND(LEFT(C98,2)="博多",
LEFT(INDIRECT("数出表_Excel!A"&amp;MATCH(C98,数出表_Excel!$A:$A,0)-1),2)
=LEFT(INDIRECT("数出表_Excel!A"&amp;MATCH(C98,数出表_Excel!$A:$A,0)+1),2)),"博多",
IF(AND(LEFT(C98,3)="奈良屋",
LEFT(INDIRECT("数出表_Excel!A"&amp;MATCH(C98,数出表_Excel!$A:$A,0)-1),2)
=LEFT(INDIRECT("数出表_Excel!A"&amp;MATCH(C98,数出表_Excel!$A:$A,0)+1),2)),"奈良屋",""))</f>
        <v>#N/A</v>
      </c>
      <c r="C98" s="200" t="str" cm="1">
        <f t="array" aca="1" ref="C98" ca="1">IF(IF(クライアント抽出!A28="",0,LEN(クライアント抽出!V28)-LEN(SUBSTITUTE(クライアント抽出!V28,",","")))&gt;=2,INDIRECT("数出表_Excel!A"&amp;A98&amp;""),"")</f>
        <v/>
      </c>
      <c r="D98" s="200" t="str" cm="1">
        <f t="array" aca="1" ref="D98" ca="1">IF(C98&lt;&gt;"",INDIRECT("クライアント抽出!"&amp;E98&amp;MATCH(C98,クライアント抽出!A:A,0)&amp;""),"")</f>
        <v/>
      </c>
      <c r="E98" s="20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201" t="str" cm="1">
        <f t="array" aca="1" ref="F98" ca="1">IF(D98&lt;&gt;"",
IF(COUNTIF(C98,"*雙葉*"),
IF(ROUND(
IF(O98&lt;&gt;"",(H98-O98),H98)
/IF(COUNTIF('盛付札（関数）'!D98,"*キャラ*"),
VLOOKUP("*キャラ*",#REF!,7,FALSE),
IF(COUNTIF('盛付札（関数）'!D98,"*赤*"),
VLOOKUP("*赤*",#REF!,7,FALSE),
VLOOKUP('盛付札（関数）'!D98,#REF!,7,FALSE))),0)&lt;=0,1,
ROUND(
IF(O98&lt;&gt;"",(H98-O98),H98)
/IF(COUNTIF('盛付札（関数）'!D98,"*キャラ*"),
VLOOKUP("*キャラ*",#REF!,7,FALSE),
IF(COUNTIF('盛付札（関数）'!D98,"*赤*"),
VLOOKUP("*赤*",#REF!,7,FALSE),
VLOOKUP('盛付札（関数）'!D98,#REF!,7,FALSE))),0)),
IF(MATCH(TRUE,
ISNUMBER(--INDIRECT("数出表_Excel!B"&amp;MATCH(C98,数出表_Excel!$A:$A,0)-1&amp;":U"&amp;MATCH(C98,数出表_Excel!$A:$A,0)-1&amp;"")),0)&gt;10,
IF(D98&lt;&gt;"",
IF(IF(COUNTIF('盛付札（関数）'!D98,"*キャラ*"),
VLOOKUP("*キャラ*",#REF!,7,FALSE),
IF(COUNTIF('盛付札（関数）'!D98,"*赤*"),
VLOOKUP("*赤*",#REF!,7,FALSE),
VLOOKUP('盛付札（関数）'!D98,#REF!,7,FALSE)))=0,"",
IF(ROUND(
IF(O98&lt;&gt;"",(H98-O98),H98)
/IF(COUNTIF('盛付札（関数）'!D98,"*キャラ*"),
VLOOKUP("*キャラ*",#REF!,7,FALSE),
IF(COUNTIF('盛付札（関数）'!D98,"*赤*"),
VLOOKUP("*赤*",#REF!,7,FALSE),
VLOOKUP('盛付札（関数）'!D98,#REF!,7,FALSE))),0)&lt;=0,1,
ROUND(
IF(O98&lt;&gt;"",(H98-O98),H98)
/IF(COUNTIF('盛付札（関数）'!D98,"*キャラ*"),
VLOOKUP("*キャラ*",#REF!,7,FALSE),
IF(COUNTIF('盛付札（関数）'!D98,"*赤*"),
VLOOKUP("*赤*",#REF!,7,FALSE),
VLOOKUP('盛付札（関数）'!D98,#REF!,7,FALSE))),0))),""),"")),"")</f>
        <v/>
      </c>
      <c r="G98" s="201" t="str">
        <f ca="1">IF(F98&lt;&gt;"",IF(VALUE(IF(O98&lt;&gt;"",H98-O98,H98))&gt;VALUE(IF(COUNTIF('盛付札（関数）'!D98,"*キャラ*"),
VLOOKUP("*キャラ*",#REF!,7,FALSE),
IF(COUNTIF('盛付札（関数）'!D98,"*赤*"),
VLOOKUP("*赤*",#REF!,7,FALSE),
VLOOKUP('盛付札（関数）'!D98,#REF!,7,FALSE)))*F98),
"+"&amp;IF(O98&lt;&gt;"",H98-O98,H98)-IF(COUNTIF('盛付札（関数）'!D98,"*キャラ*"),
VLOOKUP("*キャラ*",#REF!,7,FALSE),
IF(COUNTIF('盛付札（関数）'!D98,"*赤*"),
VLOOKUP("*赤*",#REF!,7,FALSE),
VLOOKUP('盛付札（関数）'!D98,#REF!,7,FALSE)))*F98,
IF(O98&lt;&gt;"",H98-O98,H98)-IF(COUNTIF('盛付札（関数）'!D98,"*キャラ*"),
VLOOKUP("*キャラ*",#REF!,7,FALSE),
IF(COUNTIF('盛付札（関数）'!D98,"*赤*"),
VLOOKUP("*赤*",#REF!,7,FALSE),
VLOOKUP('盛付札（関数）'!D98,#REF!,7,FALSE)))*F98),"")</f>
        <v/>
      </c>
      <c r="H98" s="202" t="str" cm="1">
        <f t="array" aca="1" ref="H98" ca="1">IF(C98&lt;&gt;"",
IF(INDIRECT("数出表_Excel!"&amp;IFERROR(MID(クライアント抽出!V28,FIND(",",クライアント抽出!V28)+1,1),"")&amp;A98-1&amp;"")&lt;&gt;"",
INDIRECT("数出表_Excel!"&amp;IFERROR(MID(クライアント抽出!V28,FIND(",",クライアント抽出!V28)+1,1),"")&amp;A98-1&amp;""),0),"")</f>
        <v/>
      </c>
      <c r="I98" s="200" t="str" cm="1">
        <f t="array" aca="1" ref="I98" ca="1">IF(C98&lt;&gt;"",
IF(INDIRECT("数出表_Excel!"&amp;IFERROR(MID(クライアント抽出!V28,FIND(",",クライアント抽出!V28)+1,1),"")&amp;A98&amp;"")&lt;&gt;"",
INDIRECT("数出表_Excel!"&amp;IFERROR(MID(クライアント抽出!V28,FIND(",",クライアント抽出!V28)+1,1),"")&amp;A98&amp;""),0),"")</f>
        <v/>
      </c>
      <c r="J98" s="200" t="str">
        <f ca="1">IF(C98&lt;&gt;"",
VLOOKUP(
IF(COUNTIF(D98,"*学食*"),"キャラ弁（学食）",
IF(COUNTIF(D98,"*赤*"),"赤",
IF(COUNTIF(D98,"*キャラ弁当*"),"キャラ弁当",D98))),注文弁当の抽出!$E$1:$F$15,2,FALSE),"")</f>
        <v/>
      </c>
      <c r="K98" s="200" t="str">
        <f t="shared" ca="1" si="25"/>
        <v/>
      </c>
      <c r="L98" s="200" t="str">
        <f t="shared" ca="1" si="26"/>
        <v/>
      </c>
      <c r="M98" s="200" cm="1">
        <f t="array" aca="1" ref="M98" ca="1">IF(C98&lt;&gt;"",
IF(IFERROR(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0)&lt;&gt;0,
IF(IFERROR(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"")="",
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""),
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0)),0),0)</f>
        <v>0</v>
      </c>
      <c r="N98" s="200" t="e">
        <f t="array" aca="1" ref="N98" ca="1">IF(B98="博多",
IF(C98&lt;&gt;"",
IF(IFERROR(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0)&lt;&gt;0,
IF(IFERROR(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0)="",
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0),
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0)),0),""),0)</f>
        <v>#N/A</v>
      </c>
      <c r="O98" s="200" t="e">
        <f t="shared" ca="1" si="27"/>
        <v>#N/A</v>
      </c>
      <c r="P98" s="200">
        <f t="shared" ca="1" si="4"/>
        <v>0</v>
      </c>
      <c r="Q98" s="200" t="b">
        <f t="shared" ca="1" si="28"/>
        <v>0</v>
      </c>
      <c r="R98" s="51" t="str" cm="1">
        <f t="array" aca="1" ref="R98" ca="1">IFERROR(SMALL(IF(P$1:P$300&lt;&gt;0,P$1:P$300),ROW(A98)),"")</f>
        <v/>
      </c>
      <c r="S98" s="51" t="str">
        <f t="array" aca="1" ref="S98" ca="1">IF($R98&lt;&gt;"",
INDIRECT(""&amp;IF(COLUMN(C118)&lt;=26,CHAR(COLUMN(C118)+64),CHAR(INT((COLUMN(C118)-1)/26)+64)&amp;CHAR(MOD(COLUMN(C118)-1,26)+65))&amp;$R98&amp;""),"")</f>
        <v/>
      </c>
      <c r="T98" s="51" t="str" cm="1">
        <f t="array" aca="1" ref="T98" ca="1">IF(IF($R98&lt;&gt;"",
INDIRECT(""&amp;IF(COLUMN(D118)&lt;=26,CHAR(COLUMN(D118)+64),CHAR(INT((COLUMN(D118)-1)/26)+64)&amp;CHAR(MOD(COLUMN(D118)-1,26)+65))&amp;$R98&amp;""),"")=0,"",
IF($R98&lt;&gt;"",
INDIRECT(""&amp;IF(COLUMN(D118)&lt;=26,CHAR(COLUMN(D118)+64),CHAR(INT((COLUMN(D118)-1)/26)+64)&amp;CHAR(MOD(COLUMN(D118)-1,26)+65))&amp;$R98&amp;""),""))</f>
        <v/>
      </c>
      <c r="U98" s="51"/>
      <c r="V98" s="51" t="str">
        <f t="array" aca="1" ref="V98" ca="1">IF($R98&lt;&gt;"",
IF(U98="",
IF(INDIRECT("EY"&amp;$R98&amp;"")&lt;&gt;"",
INDIRECT("EY"&amp;$R98&amp;"")&amp;"箱"
&amp;INDIRECT("EZ"&amp;$R98&amp;""),""),""),"")</f>
        <v/>
      </c>
      <c r="W98" s="51" t="str">
        <f t="array" aca="1" ref="W98" ca="1">IF($R98&lt;&gt;"",
INDIRECT(""&amp;IF(COLUMN(H118)&lt;=26,CHAR(COLUMN(H118)+64),CHAR(INT((COLUMN(H118)-1)/26)+64)&amp;CHAR(MOD(COLUMN(H118)-1,26)+65))&amp;$R98&amp;""),"")</f>
        <v/>
      </c>
      <c r="X98" s="51" t="str">
        <f t="array" aca="1" ref="X98" ca="1">IF($R98&lt;&gt;"",
INDIRECT(""&amp;IF(COLUMN(I118)&lt;=26,CHAR(COLUMN(I118)+64),CHAR(INT((COLUMN(I118)-1)/26)+64)&amp;CHAR(MOD(COLUMN(I118)-1,26)+65))&amp;$R98&amp;""),"")</f>
        <v/>
      </c>
      <c r="Y98" s="51" t="str">
        <f t="array" aca="1" ref="Y98" ca="1">IF($R98&lt;&gt;"",
INDIRECT(""&amp;IF(COLUMN(J118)&lt;=26,CHAR(COLUMN(J118)+64),CHAR(INT((COLUMN(J118)-1)/26)+64)&amp;CHAR(MOD(COLUMN(J118)-1,26)+65))&amp;$R98&amp;""),"")</f>
        <v/>
      </c>
      <c r="Z98" s="51" t="str">
        <f t="array" aca="1" ref="Z98" ca="1">IF($R98&lt;&gt;"",
INDIRECT(""&amp;IF(COLUMN(K118)&lt;=26,CHAR(COLUMN(K118)+64),CHAR(INT((COLUMN(K118)-1)/26)+64)&amp;CHAR(MOD(COLUMN(K118)-1,26)+65))&amp;$R98&amp;""),"")</f>
        <v/>
      </c>
      <c r="AA98" s="51" t="str">
        <f t="array" aca="1" ref="AA98" ca="1">IF($R98&lt;&gt;"",
INDIRECT(""&amp;IF(COLUMN(L118)&lt;=26,CHAR(COLUMN(L118)+64),CHAR(INT((COLUMN(L118)-1)/26)+64)&amp;CHAR(MOD(COLUMN(L118)-1,26)+65))&amp;$R98&amp;""),"")</f>
        <v/>
      </c>
      <c r="AB98" s="51" t="str">
        <f t="array" aca="1" ref="AB98" ca="1">IF($R98&lt;&gt;"",
INDIRECT(""&amp;IF(COLUMN(O118)&lt;=26,CHAR(COLUMN(O118)+64),CHAR(INT((COLUMN(O118)-1)/26)+64)&amp;CHAR(MOD(COLUMN(O118)-1,26)+65))&amp;$R98&amp;""),"")</f>
        <v/>
      </c>
    </row>
    <row r="99" spans="1:28" ht="22.2" customHeight="1">
      <c r="A99" s="199">
        <f t="shared" si="24"/>
        <v>63</v>
      </c>
      <c r="B99" s="200" t="e" cm="1">
        <f t="array" aca="1" ref="B99" ca="1">IF(AND(LEFT(C99,2)="博多",
LEFT(INDIRECT("数出表_Excel!A"&amp;MATCH(C99,数出表_Excel!$A:$A,0)-1),2)
=LEFT(INDIRECT("数出表_Excel!A"&amp;MATCH(C99,数出表_Excel!$A:$A,0)+1),2)),"博多",
IF(AND(LEFT(C99,3)="奈良屋",
LEFT(INDIRECT("数出表_Excel!A"&amp;MATCH(C99,数出表_Excel!$A:$A,0)-1),2)
=LEFT(INDIRECT("数出表_Excel!A"&amp;MATCH(C99,数出表_Excel!$A:$A,0)+1),2)),"奈良屋",""))</f>
        <v>#N/A</v>
      </c>
      <c r="C99" s="200" t="str" cm="1">
        <f t="array" aca="1" ref="C99" ca="1">IF(IF(クライアント抽出!A29="",0,LEN(クライアント抽出!V29)-LEN(SUBSTITUTE(クライアント抽出!V29,",","")))&gt;=2,INDIRECT("数出表_Excel!A"&amp;A99&amp;""),"")</f>
        <v/>
      </c>
      <c r="D99" s="200" t="str" cm="1">
        <f t="array" aca="1" ref="D99" ca="1">IF(C99&lt;&gt;"",INDIRECT("クライアント抽出!"&amp;E99&amp;MATCH(C99,クライアント抽出!A:A,0)&amp;""),"")</f>
        <v/>
      </c>
      <c r="E99" s="20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201" t="str" cm="1">
        <f t="array" aca="1" ref="F99" ca="1">IF(D99&lt;&gt;"",
IF(COUNTIF(C99,"*雙葉*"),
IF(ROUND(
IF(O99&lt;&gt;"",(H99-O99),H99)
/IF(COUNTIF('盛付札（関数）'!D99,"*キャラ*"),
VLOOKUP("*キャラ*",#REF!,7,FALSE),
IF(COUNTIF('盛付札（関数）'!D99,"*赤*"),
VLOOKUP("*赤*",#REF!,7,FALSE),
VLOOKUP('盛付札（関数）'!D99,#REF!,7,FALSE))),0)&lt;=0,1,
ROUND(
IF(O99&lt;&gt;"",(H99-O99),H99)
/IF(COUNTIF('盛付札（関数）'!D99,"*キャラ*"),
VLOOKUP("*キャラ*",#REF!,7,FALSE),
IF(COUNTIF('盛付札（関数）'!D99,"*赤*"),
VLOOKUP("*赤*",#REF!,7,FALSE),
VLOOKUP('盛付札（関数）'!D99,#REF!,7,FALSE))),0)),
IF(MATCH(TRUE,
ISNUMBER(--INDIRECT("数出表_Excel!B"&amp;MATCH(C99,数出表_Excel!$A:$A,0)-1&amp;":U"&amp;MATCH(C99,数出表_Excel!$A:$A,0)-1&amp;"")),0)&gt;10,
IF(D99&lt;&gt;"",
IF(IF(COUNTIF('盛付札（関数）'!D99,"*キャラ*"),
VLOOKUP("*キャラ*",#REF!,7,FALSE),
IF(COUNTIF('盛付札（関数）'!D99,"*赤*"),
VLOOKUP("*赤*",#REF!,7,FALSE),
VLOOKUP('盛付札（関数）'!D99,#REF!,7,FALSE)))=0,"",
IF(ROUND(
IF(O99&lt;&gt;"",(H99-O99),H99)
/IF(COUNTIF('盛付札（関数）'!D99,"*キャラ*"),
VLOOKUP("*キャラ*",#REF!,7,FALSE),
IF(COUNTIF('盛付札（関数）'!D99,"*赤*"),
VLOOKUP("*赤*",#REF!,7,FALSE),
VLOOKUP('盛付札（関数）'!D99,#REF!,7,FALSE))),0)&lt;=0,1,
ROUND(
IF(O99&lt;&gt;"",(H99-O99),H99)
/IF(COUNTIF('盛付札（関数）'!D99,"*キャラ*"),
VLOOKUP("*キャラ*",#REF!,7,FALSE),
IF(COUNTIF('盛付札（関数）'!D99,"*赤*"),
VLOOKUP("*赤*",#REF!,7,FALSE),
VLOOKUP('盛付札（関数）'!D99,#REF!,7,FALSE))),0))),""),"")),"")</f>
        <v/>
      </c>
      <c r="G99" s="201" t="str">
        <f ca="1">IF(F99&lt;&gt;"",IF(VALUE(IF(O99&lt;&gt;"",H99-O99,H99))&gt;VALUE(IF(COUNTIF('盛付札（関数）'!D99,"*キャラ*"),
VLOOKUP("*キャラ*",#REF!,7,FALSE),
IF(COUNTIF('盛付札（関数）'!D99,"*赤*"),
VLOOKUP("*赤*",#REF!,7,FALSE),
VLOOKUP('盛付札（関数）'!D99,#REF!,7,FALSE)))*F99),
"+"&amp;IF(O99&lt;&gt;"",H99-O99,H99)-IF(COUNTIF('盛付札（関数）'!D99,"*キャラ*"),
VLOOKUP("*キャラ*",#REF!,7,FALSE),
IF(COUNTIF('盛付札（関数）'!D99,"*赤*"),
VLOOKUP("*赤*",#REF!,7,FALSE),
VLOOKUP('盛付札（関数）'!D99,#REF!,7,FALSE)))*F99,
IF(O99&lt;&gt;"",H99-O99,H99)-IF(COUNTIF('盛付札（関数）'!D99,"*キャラ*"),
VLOOKUP("*キャラ*",#REF!,7,FALSE),
IF(COUNTIF('盛付札（関数）'!D99,"*赤*"),
VLOOKUP("*赤*",#REF!,7,FALSE),
VLOOKUP('盛付札（関数）'!D99,#REF!,7,FALSE)))*F99),"")</f>
        <v/>
      </c>
      <c r="H99" s="202" t="str" cm="1">
        <f t="array" aca="1" ref="H99" ca="1">IF(C99&lt;&gt;"",
IF(INDIRECT("数出表_Excel!"&amp;IFERROR(MID(クライアント抽出!V29,FIND(",",クライアント抽出!V29)+1,1),"")&amp;A99-1&amp;"")&lt;&gt;"",
INDIRECT("数出表_Excel!"&amp;IFERROR(MID(クライアント抽出!V29,FIND(",",クライアント抽出!V29)+1,1),"")&amp;A99-1&amp;""),0),"")</f>
        <v/>
      </c>
      <c r="I99" s="200" t="str" cm="1">
        <f t="array" aca="1" ref="I99" ca="1">IF(C99&lt;&gt;"",
IF(INDIRECT("数出表_Excel!"&amp;IFERROR(MID(クライアント抽出!V29,FIND(",",クライアント抽出!V29)+1,1),"")&amp;A99&amp;"")&lt;&gt;"",
INDIRECT("数出表_Excel!"&amp;IFERROR(MID(クライアント抽出!V29,FIND(",",クライアント抽出!V29)+1,1),"")&amp;A99&amp;""),0),"")</f>
        <v/>
      </c>
      <c r="J99" s="200" t="str">
        <f ca="1">IF(C99&lt;&gt;"",
VLOOKUP(
IF(COUNTIF(D99,"*学食*"),"キャラ弁（学食）",
IF(COUNTIF(D99,"*赤*"),"赤",
IF(COUNTIF(D99,"*キャラ弁当*"),"キャラ弁当",D99))),注文弁当の抽出!$E$1:$F$15,2,FALSE),"")</f>
        <v/>
      </c>
      <c r="K99" s="200" t="str">
        <f t="shared" ca="1" si="25"/>
        <v/>
      </c>
      <c r="L99" s="200" t="str">
        <f t="shared" ca="1" si="26"/>
        <v/>
      </c>
      <c r="M99" s="200" cm="1">
        <f t="array" aca="1" ref="M99" ca="1">IF(C99&lt;&gt;"",
IF(IFERROR(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0)&lt;&gt;0,
IF(IFERROR(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"")="",
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""),
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0)),0),0)</f>
        <v>0</v>
      </c>
      <c r="N99" s="200" t="e">
        <f t="array" aca="1" ref="N99" ca="1">IF(B99="博多",
IF(C99&lt;&gt;"",
IF(IFERROR(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0)&lt;&gt;0,
IF(IFERROR(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0)="",
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0),
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0)),0),""),0)</f>
        <v>#N/A</v>
      </c>
      <c r="O99" s="200" t="e">
        <f t="shared" ca="1" si="27"/>
        <v>#N/A</v>
      </c>
      <c r="P99" s="200">
        <f t="shared" ca="1" si="4"/>
        <v>0</v>
      </c>
      <c r="Q99" s="200" t="b">
        <f t="shared" ca="1" si="28"/>
        <v>0</v>
      </c>
      <c r="R99" s="51" t="str" cm="1">
        <f t="array" aca="1" ref="R99" ca="1">IFERROR(SMALL(IF(P$1:P$300&lt;&gt;0,P$1:P$300),ROW(A99)),"")</f>
        <v/>
      </c>
      <c r="S99" s="51" t="str">
        <f t="array" aca="1" ref="S99" ca="1">IF($R99&lt;&gt;"",
INDIRECT(""&amp;IF(COLUMN(C119)&lt;=26,CHAR(COLUMN(C119)+64),CHAR(INT((COLUMN(C119)-1)/26)+64)&amp;CHAR(MOD(COLUMN(C119)-1,26)+65))&amp;$R99&amp;""),"")</f>
        <v/>
      </c>
      <c r="T99" s="51" t="str" cm="1">
        <f t="array" aca="1" ref="T99" ca="1">IF(IF($R99&lt;&gt;"",
INDIRECT(""&amp;IF(COLUMN(D119)&lt;=26,CHAR(COLUMN(D119)+64),CHAR(INT((COLUMN(D119)-1)/26)+64)&amp;CHAR(MOD(COLUMN(D119)-1,26)+65))&amp;$R99&amp;""),"")=0,"",
IF($R99&lt;&gt;"",
INDIRECT(""&amp;IF(COLUMN(D119)&lt;=26,CHAR(COLUMN(D119)+64),CHAR(INT((COLUMN(D119)-1)/26)+64)&amp;CHAR(MOD(COLUMN(D119)-1,26)+65))&amp;$R99&amp;""),""))</f>
        <v/>
      </c>
      <c r="U99" s="51"/>
      <c r="V99" s="51" t="str">
        <f t="array" aca="1" ref="V99" ca="1">IF($R99&lt;&gt;"",
IF(U99="",
IF(INDIRECT("EY"&amp;$R99&amp;"")&lt;&gt;"",
INDIRECT("EY"&amp;$R99&amp;"")&amp;"箱"
&amp;INDIRECT("EZ"&amp;$R99&amp;""),""),""),"")</f>
        <v/>
      </c>
      <c r="W99" s="51" t="str">
        <f t="array" aca="1" ref="W99" ca="1">IF($R99&lt;&gt;"",
INDIRECT(""&amp;IF(COLUMN(H119)&lt;=26,CHAR(COLUMN(H119)+64),CHAR(INT((COLUMN(H119)-1)/26)+64)&amp;CHAR(MOD(COLUMN(H119)-1,26)+65))&amp;$R99&amp;""),"")</f>
        <v/>
      </c>
      <c r="X99" s="51" t="str">
        <f t="array" aca="1" ref="X99" ca="1">IF($R99&lt;&gt;"",
INDIRECT(""&amp;IF(COLUMN(I119)&lt;=26,CHAR(COLUMN(I119)+64),CHAR(INT((COLUMN(I119)-1)/26)+64)&amp;CHAR(MOD(COLUMN(I119)-1,26)+65))&amp;$R99&amp;""),"")</f>
        <v/>
      </c>
      <c r="Y99" s="51" t="str">
        <f t="array" aca="1" ref="Y99" ca="1">IF($R99&lt;&gt;"",
INDIRECT(""&amp;IF(COLUMN(J119)&lt;=26,CHAR(COLUMN(J119)+64),CHAR(INT((COLUMN(J119)-1)/26)+64)&amp;CHAR(MOD(COLUMN(J119)-1,26)+65))&amp;$R99&amp;""),"")</f>
        <v/>
      </c>
      <c r="Z99" s="51" t="str">
        <f t="array" aca="1" ref="Z99" ca="1">IF($R99&lt;&gt;"",
INDIRECT(""&amp;IF(COLUMN(K119)&lt;=26,CHAR(COLUMN(K119)+64),CHAR(INT((COLUMN(K119)-1)/26)+64)&amp;CHAR(MOD(COLUMN(K119)-1,26)+65))&amp;$R99&amp;""),"")</f>
        <v/>
      </c>
      <c r="AA99" s="51" t="str">
        <f t="array" aca="1" ref="AA99" ca="1">IF($R99&lt;&gt;"",
INDIRECT(""&amp;IF(COLUMN(L119)&lt;=26,CHAR(COLUMN(L119)+64),CHAR(INT((COLUMN(L119)-1)/26)+64)&amp;CHAR(MOD(COLUMN(L119)-1,26)+65))&amp;$R99&amp;""),"")</f>
        <v/>
      </c>
      <c r="AB99" s="51" t="str">
        <f t="array" aca="1" ref="AB99" ca="1">IF($R99&lt;&gt;"",
INDIRECT(""&amp;IF(COLUMN(O119)&lt;=26,CHAR(COLUMN(O119)+64),CHAR(INT((COLUMN(O119)-1)/26)+64)&amp;CHAR(MOD(COLUMN(O119)-1,26)+65))&amp;$R99&amp;""),"")</f>
        <v/>
      </c>
    </row>
    <row r="100" spans="1:28" ht="22.2" customHeight="1">
      <c r="A100" s="199">
        <f t="shared" si="24"/>
        <v>65</v>
      </c>
      <c r="B100" s="200" t="e" cm="1">
        <f t="array" aca="1" ref="B100" ca="1">IF(AND(LEFT(C100,2)="博多",
LEFT(INDIRECT("数出表_Excel!A"&amp;MATCH(C100,数出表_Excel!$A:$A,0)-1),2)
=LEFT(INDIRECT("数出表_Excel!A"&amp;MATCH(C100,数出表_Excel!$A:$A,0)+1),2)),"博多",
IF(AND(LEFT(C100,3)="奈良屋",
LEFT(INDIRECT("数出表_Excel!A"&amp;MATCH(C100,数出表_Excel!$A:$A,0)-1),2)
=LEFT(INDIRECT("数出表_Excel!A"&amp;MATCH(C100,数出表_Excel!$A:$A,0)+1),2)),"奈良屋",""))</f>
        <v>#N/A</v>
      </c>
      <c r="C100" s="200" t="str" cm="1">
        <f t="array" aca="1" ref="C100" ca="1">IF(IF(クライアント抽出!A30="",0,LEN(クライアント抽出!V30)-LEN(SUBSTITUTE(クライアント抽出!V30,",","")))&gt;=2,INDIRECT("数出表_Excel!A"&amp;A100&amp;""),"")</f>
        <v/>
      </c>
      <c r="D100" s="200" t="str" cm="1">
        <f t="array" aca="1" ref="D100" ca="1">IF(C100&lt;&gt;"",INDIRECT("クライアント抽出!"&amp;E100&amp;MATCH(C100,クライアント抽出!A:A,0)&amp;""),"")</f>
        <v/>
      </c>
      <c r="E100" s="20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201" t="str" cm="1">
        <f t="array" aca="1" ref="F100" ca="1">IF(D100&lt;&gt;"",
IF(COUNTIF(C100,"*雙葉*"),
IF(ROUND(
IF(O100&lt;&gt;"",(H100-O100),H100)
/IF(COUNTIF('盛付札（関数）'!D100,"*キャラ*"),
VLOOKUP("*キャラ*",#REF!,7,FALSE),
IF(COUNTIF('盛付札（関数）'!D100,"*赤*"),
VLOOKUP("*赤*",#REF!,7,FALSE),
VLOOKUP('盛付札（関数）'!D100,#REF!,7,FALSE))),0)&lt;=0,1,
ROUND(
IF(O100&lt;&gt;"",(H100-O100),H100)
/IF(COUNTIF('盛付札（関数）'!D100,"*キャラ*"),
VLOOKUP("*キャラ*",#REF!,7,FALSE),
IF(COUNTIF('盛付札（関数）'!D100,"*赤*"),
VLOOKUP("*赤*",#REF!,7,FALSE),
VLOOKUP('盛付札（関数）'!D100,#REF!,7,FALSE))),0)),
IF(MATCH(TRUE,
ISNUMBER(--INDIRECT("数出表_Excel!B"&amp;MATCH(C100,数出表_Excel!$A:$A,0)-1&amp;":U"&amp;MATCH(C100,数出表_Excel!$A:$A,0)-1&amp;"")),0)&gt;10,
IF(D100&lt;&gt;"",
IF(IF(COUNTIF('盛付札（関数）'!D100,"*キャラ*"),
VLOOKUP("*キャラ*",#REF!,7,FALSE),
IF(COUNTIF('盛付札（関数）'!D100,"*赤*"),
VLOOKUP("*赤*",#REF!,7,FALSE),
VLOOKUP('盛付札（関数）'!D100,#REF!,7,FALSE)))=0,"",
IF(ROUND(
IF(O100&lt;&gt;"",(H100-O100),H100)
/IF(COUNTIF('盛付札（関数）'!D100,"*キャラ*"),
VLOOKUP("*キャラ*",#REF!,7,FALSE),
IF(COUNTIF('盛付札（関数）'!D100,"*赤*"),
VLOOKUP("*赤*",#REF!,7,FALSE),
VLOOKUP('盛付札（関数）'!D100,#REF!,7,FALSE))),0)&lt;=0,1,
ROUND(
IF(O100&lt;&gt;"",(H100-O100),H100)
/IF(COUNTIF('盛付札（関数）'!D100,"*キャラ*"),
VLOOKUP("*キャラ*",#REF!,7,FALSE),
IF(COUNTIF('盛付札（関数）'!D100,"*赤*"),
VLOOKUP("*赤*",#REF!,7,FALSE),
VLOOKUP('盛付札（関数）'!D100,#REF!,7,FALSE))),0))),""),"")),"")</f>
        <v/>
      </c>
      <c r="G100" s="201" t="str">
        <f ca="1">IF(F100&lt;&gt;"",IF(VALUE(IF(O100&lt;&gt;"",H100-O100,H100))&gt;VALUE(IF(COUNTIF('盛付札（関数）'!D100,"*キャラ*"),
VLOOKUP("*キャラ*",#REF!,7,FALSE),
IF(COUNTIF('盛付札（関数）'!D100,"*赤*"),
VLOOKUP("*赤*",#REF!,7,FALSE),
VLOOKUP('盛付札（関数）'!D100,#REF!,7,FALSE)))*F100),
"+"&amp;IF(O100&lt;&gt;"",H100-O100,H100)-IF(COUNTIF('盛付札（関数）'!D100,"*キャラ*"),
VLOOKUP("*キャラ*",#REF!,7,FALSE),
IF(COUNTIF('盛付札（関数）'!D100,"*赤*"),
VLOOKUP("*赤*",#REF!,7,FALSE),
VLOOKUP('盛付札（関数）'!D100,#REF!,7,FALSE)))*F100,
IF(O100&lt;&gt;"",H100-O100,H100)-IF(COUNTIF('盛付札（関数）'!D100,"*キャラ*"),
VLOOKUP("*キャラ*",#REF!,7,FALSE),
IF(COUNTIF('盛付札（関数）'!D100,"*赤*"),
VLOOKUP("*赤*",#REF!,7,FALSE),
VLOOKUP('盛付札（関数）'!D100,#REF!,7,FALSE)))*F100),"")</f>
        <v/>
      </c>
      <c r="H100" s="202" t="str" cm="1">
        <f t="array" aca="1" ref="H100" ca="1">IF(C100&lt;&gt;"",
IF(INDIRECT("数出表_Excel!"&amp;IFERROR(MID(クライアント抽出!V30,FIND(",",クライアント抽出!V30)+1,1),"")&amp;A100-1&amp;"")&lt;&gt;"",
INDIRECT("数出表_Excel!"&amp;IFERROR(MID(クライアント抽出!V30,FIND(",",クライアント抽出!V30)+1,1),"")&amp;A100-1&amp;""),0),"")</f>
        <v/>
      </c>
      <c r="I100" s="200" t="str" cm="1">
        <f t="array" aca="1" ref="I100" ca="1">IF(C100&lt;&gt;"",
IF(INDIRECT("数出表_Excel!"&amp;IFERROR(MID(クライアント抽出!V30,FIND(",",クライアント抽出!V30)+1,1),"")&amp;A100&amp;"")&lt;&gt;"",
INDIRECT("数出表_Excel!"&amp;IFERROR(MID(クライアント抽出!V30,FIND(",",クライアント抽出!V30)+1,1),"")&amp;A100&amp;""),0),"")</f>
        <v/>
      </c>
      <c r="J100" s="200" t="str">
        <f ca="1">IF(C100&lt;&gt;"",
VLOOKUP(
IF(COUNTIF(D100,"*学食*"),"キャラ弁（学食）",
IF(COUNTIF(D100,"*赤*"),"赤",
IF(COUNTIF(D100,"*キャラ弁当*"),"キャラ弁当",D100))),注文弁当の抽出!$E$1:$F$15,2,FALSE),"")</f>
        <v/>
      </c>
      <c r="K100" s="200" t="str">
        <f t="shared" ca="1" si="25"/>
        <v/>
      </c>
      <c r="L100" s="200" t="str">
        <f t="shared" ca="1" si="26"/>
        <v/>
      </c>
      <c r="M100" s="200" cm="1">
        <f t="array" aca="1" ref="M100" ca="1">IF(C100&lt;&gt;"",
IF(IFERROR(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0)&lt;&gt;0,
IF(IFERROR(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"")="",
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""),
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0)),0),0)</f>
        <v>0</v>
      </c>
      <c r="N100" s="200" t="e">
        <f t="array" aca="1" ref="N100" ca="1">IF(B100="博多",
IF(C100&lt;&gt;"",
IF(IFERROR(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0)&lt;&gt;0,
IF(IFERROR(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0)="",
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0),
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0)),0),""),0)</f>
        <v>#N/A</v>
      </c>
      <c r="O100" s="200" t="e">
        <f t="shared" ca="1" si="27"/>
        <v>#N/A</v>
      </c>
      <c r="P100" s="200">
        <f t="shared" ca="1" si="4"/>
        <v>0</v>
      </c>
      <c r="Q100" s="200" t="b">
        <f t="shared" ca="1" si="28"/>
        <v>0</v>
      </c>
      <c r="R100" s="51" t="str" cm="1">
        <f t="array" aca="1" ref="R100" ca="1">IFERROR(SMALL(IF(P$1:P$300&lt;&gt;0,P$1:P$300),ROW(A100)),"")</f>
        <v/>
      </c>
      <c r="S100" s="51" t="str">
        <f t="array" aca="1" ref="S100" ca="1">IF($R100&lt;&gt;"",
INDIRECT(""&amp;IF(COLUMN(C120)&lt;=26,CHAR(COLUMN(C120)+64),CHAR(INT((COLUMN(C120)-1)/26)+64)&amp;CHAR(MOD(COLUMN(C120)-1,26)+65))&amp;$R100&amp;""),"")</f>
        <v/>
      </c>
      <c r="T100" s="51" t="str" cm="1">
        <f t="array" aca="1" ref="T100" ca="1">IF(IF($R100&lt;&gt;"",
INDIRECT(""&amp;IF(COLUMN(D120)&lt;=26,CHAR(COLUMN(D120)+64),CHAR(INT((COLUMN(D120)-1)/26)+64)&amp;CHAR(MOD(COLUMN(D120)-1,26)+65))&amp;$R100&amp;""),"")=0,"",
IF($R100&lt;&gt;"",
INDIRECT(""&amp;IF(COLUMN(D120)&lt;=26,CHAR(COLUMN(D120)+64),CHAR(INT((COLUMN(D120)-1)/26)+64)&amp;CHAR(MOD(COLUMN(D120)-1,26)+65))&amp;$R100&amp;""),""))</f>
        <v/>
      </c>
      <c r="U100" s="51"/>
      <c r="V100" s="51" t="str">
        <f t="array" aca="1" ref="V100" ca="1">IF($R100&lt;&gt;"",
IF(U100="",
IF(INDIRECT("EY"&amp;$R100&amp;"")&lt;&gt;"",
INDIRECT("EY"&amp;$R100&amp;"")&amp;"箱"
&amp;INDIRECT("EZ"&amp;$R100&amp;""),""),""),"")</f>
        <v/>
      </c>
      <c r="W100" s="51" t="str">
        <f t="array" aca="1" ref="W100" ca="1">IF($R100&lt;&gt;"",
INDIRECT(""&amp;IF(COLUMN(H120)&lt;=26,CHAR(COLUMN(H120)+64),CHAR(INT((COLUMN(H120)-1)/26)+64)&amp;CHAR(MOD(COLUMN(H120)-1,26)+65))&amp;$R100&amp;""),"")</f>
        <v/>
      </c>
      <c r="X100" s="51" t="str">
        <f t="array" aca="1" ref="X100" ca="1">IF($R100&lt;&gt;"",
INDIRECT(""&amp;IF(COLUMN(I120)&lt;=26,CHAR(COLUMN(I120)+64),CHAR(INT((COLUMN(I120)-1)/26)+64)&amp;CHAR(MOD(COLUMN(I120)-1,26)+65))&amp;$R100&amp;""),"")</f>
        <v/>
      </c>
      <c r="Y100" s="51" t="str">
        <f t="array" aca="1" ref="Y100" ca="1">IF($R100&lt;&gt;"",
INDIRECT(""&amp;IF(COLUMN(J120)&lt;=26,CHAR(COLUMN(J120)+64),CHAR(INT((COLUMN(J120)-1)/26)+64)&amp;CHAR(MOD(COLUMN(J120)-1,26)+65))&amp;$R100&amp;""),"")</f>
        <v/>
      </c>
      <c r="Z100" s="51" t="str">
        <f t="array" aca="1" ref="Z100" ca="1">IF($R100&lt;&gt;"",
INDIRECT(""&amp;IF(COLUMN(K120)&lt;=26,CHAR(COLUMN(K120)+64),CHAR(INT((COLUMN(K120)-1)/26)+64)&amp;CHAR(MOD(COLUMN(K120)-1,26)+65))&amp;$R100&amp;""),"")</f>
        <v/>
      </c>
      <c r="AA100" s="51" t="str">
        <f t="array" aca="1" ref="AA100" ca="1">IF($R100&lt;&gt;"",
INDIRECT(""&amp;IF(COLUMN(L120)&lt;=26,CHAR(COLUMN(L120)+64),CHAR(INT((COLUMN(L120)-1)/26)+64)&amp;CHAR(MOD(COLUMN(L120)-1,26)+65))&amp;$R100&amp;""),"")</f>
        <v/>
      </c>
      <c r="AB100" s="51" t="str">
        <f t="array" aca="1" ref="AB100" ca="1">IF($R100&lt;&gt;"",
INDIRECT(""&amp;IF(COLUMN(O120)&lt;=26,CHAR(COLUMN(O120)+64),CHAR(INT((COLUMN(O120)-1)/26)+64)&amp;CHAR(MOD(COLUMN(O120)-1,26)+65))&amp;$R100&amp;""),"")</f>
        <v/>
      </c>
    </row>
    <row r="101" spans="1:28" ht="22.2" customHeight="1">
      <c r="A101" s="199">
        <f t="shared" si="24"/>
        <v>67</v>
      </c>
      <c r="B101" s="200" t="e" cm="1">
        <f t="array" aca="1" ref="B101" ca="1">IF(AND(LEFT(C101,2)="博多",
LEFT(INDIRECT("数出表_Excel!A"&amp;MATCH(C101,数出表_Excel!$A:$A,0)-1),2)
=LEFT(INDIRECT("数出表_Excel!A"&amp;MATCH(C101,数出表_Excel!$A:$A,0)+1),2)),"博多",
IF(AND(LEFT(C101,3)="奈良屋",
LEFT(INDIRECT("数出表_Excel!A"&amp;MATCH(C101,数出表_Excel!$A:$A,0)-1),2)
=LEFT(INDIRECT("数出表_Excel!A"&amp;MATCH(C101,数出表_Excel!$A:$A,0)+1),2)),"奈良屋",""))</f>
        <v>#N/A</v>
      </c>
      <c r="C101" s="200" t="str" cm="1">
        <f t="array" aca="1" ref="C101" ca="1">IF(IF(クライアント抽出!A31="",0,LEN(クライアント抽出!V31)-LEN(SUBSTITUTE(クライアント抽出!V31,",","")))&gt;=2,INDIRECT("数出表_Excel!A"&amp;A101&amp;""),"")</f>
        <v/>
      </c>
      <c r="D101" s="200" t="str" cm="1">
        <f t="array" aca="1" ref="D101" ca="1">IF(C101&lt;&gt;"",INDIRECT("クライアント抽出!"&amp;E101&amp;MATCH(C101,クライアント抽出!A:A,0)&amp;""),"")</f>
        <v/>
      </c>
      <c r="E101" s="20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201" t="str" cm="1">
        <f t="array" aca="1" ref="F101" ca="1">IF(D101&lt;&gt;"",
IF(COUNTIF(C101,"*雙葉*"),
IF(ROUND(
IF(O101&lt;&gt;"",(H101-O101),H101)
/IF(COUNTIF('盛付札（関数）'!D101,"*キャラ*"),
VLOOKUP("*キャラ*",#REF!,7,FALSE),
IF(COUNTIF('盛付札（関数）'!D101,"*赤*"),
VLOOKUP("*赤*",#REF!,7,FALSE),
VLOOKUP('盛付札（関数）'!D101,#REF!,7,FALSE))),0)&lt;=0,1,
ROUND(
IF(O101&lt;&gt;"",(H101-O101),H101)
/IF(COUNTIF('盛付札（関数）'!D101,"*キャラ*"),
VLOOKUP("*キャラ*",#REF!,7,FALSE),
IF(COUNTIF('盛付札（関数）'!D101,"*赤*"),
VLOOKUP("*赤*",#REF!,7,FALSE),
VLOOKUP('盛付札（関数）'!D101,#REF!,7,FALSE))),0)),
IF(MATCH(TRUE,
ISNUMBER(--INDIRECT("数出表_Excel!B"&amp;MATCH(C101,数出表_Excel!$A:$A,0)-1&amp;":U"&amp;MATCH(C101,数出表_Excel!$A:$A,0)-1&amp;"")),0)&gt;10,
IF(D101&lt;&gt;"",
IF(IF(COUNTIF('盛付札（関数）'!D101,"*キャラ*"),
VLOOKUP("*キャラ*",#REF!,7,FALSE),
IF(COUNTIF('盛付札（関数）'!D101,"*赤*"),
VLOOKUP("*赤*",#REF!,7,FALSE),
VLOOKUP('盛付札（関数）'!D101,#REF!,7,FALSE)))=0,"",
IF(ROUND(
IF(O101&lt;&gt;"",(H101-O101),H101)
/IF(COUNTIF('盛付札（関数）'!D101,"*キャラ*"),
VLOOKUP("*キャラ*",#REF!,7,FALSE),
IF(COUNTIF('盛付札（関数）'!D101,"*赤*"),
VLOOKUP("*赤*",#REF!,7,FALSE),
VLOOKUP('盛付札（関数）'!D101,#REF!,7,FALSE))),0)&lt;=0,1,
ROUND(
IF(O101&lt;&gt;"",(H101-O101),H101)
/IF(COUNTIF('盛付札（関数）'!D101,"*キャラ*"),
VLOOKUP("*キャラ*",#REF!,7,FALSE),
IF(COUNTIF('盛付札（関数）'!D101,"*赤*"),
VLOOKUP("*赤*",#REF!,7,FALSE),
VLOOKUP('盛付札（関数）'!D101,#REF!,7,FALSE))),0))),""),"")),"")</f>
        <v/>
      </c>
      <c r="G101" s="201" t="str">
        <f ca="1">IF(F101&lt;&gt;"",IF(VALUE(IF(O101&lt;&gt;"",H101-O101,H101))&gt;VALUE(IF(COUNTIF('盛付札（関数）'!D101,"*キャラ*"),
VLOOKUP("*キャラ*",#REF!,7,FALSE),
IF(COUNTIF('盛付札（関数）'!D101,"*赤*"),
VLOOKUP("*赤*",#REF!,7,FALSE),
VLOOKUP('盛付札（関数）'!D101,#REF!,7,FALSE)))*F101),
"+"&amp;IF(O101&lt;&gt;"",H101-O101,H101)-IF(COUNTIF('盛付札（関数）'!D101,"*キャラ*"),
VLOOKUP("*キャラ*",#REF!,7,FALSE),
IF(COUNTIF('盛付札（関数）'!D101,"*赤*"),
VLOOKUP("*赤*",#REF!,7,FALSE),
VLOOKUP('盛付札（関数）'!D101,#REF!,7,FALSE)))*F101,
IF(O101&lt;&gt;"",H101-O101,H101)-IF(COUNTIF('盛付札（関数）'!D101,"*キャラ*"),
VLOOKUP("*キャラ*",#REF!,7,FALSE),
IF(COUNTIF('盛付札（関数）'!D101,"*赤*"),
VLOOKUP("*赤*",#REF!,7,FALSE),
VLOOKUP('盛付札（関数）'!D101,#REF!,7,FALSE)))*F101),"")</f>
        <v/>
      </c>
      <c r="H101" s="202" t="str" cm="1">
        <f t="array" aca="1" ref="H101" ca="1">IF(C101&lt;&gt;"",
IF(INDIRECT("数出表_Excel!"&amp;IFERROR(MID(クライアント抽出!V31,FIND(",",クライアント抽出!V31)+1,1),"")&amp;A101-1&amp;"")&lt;&gt;"",
INDIRECT("数出表_Excel!"&amp;IFERROR(MID(クライアント抽出!V31,FIND(",",クライアント抽出!V31)+1,1),"")&amp;A101-1&amp;""),0),"")</f>
        <v/>
      </c>
      <c r="I101" s="200" t="str" cm="1">
        <f t="array" aca="1" ref="I101" ca="1">IF(C101&lt;&gt;"",
IF(INDIRECT("数出表_Excel!"&amp;IFERROR(MID(クライアント抽出!V31,FIND(",",クライアント抽出!V31)+1,1),"")&amp;A101&amp;"")&lt;&gt;"",
INDIRECT("数出表_Excel!"&amp;IFERROR(MID(クライアント抽出!V31,FIND(",",クライアント抽出!V31)+1,1),"")&amp;A101&amp;""),0),"")</f>
        <v/>
      </c>
      <c r="J101" s="200" t="str">
        <f ca="1">IF(C101&lt;&gt;"",
VLOOKUP(
IF(COUNTIF(D101,"*学食*"),"キャラ弁（学食）",
IF(COUNTIF(D101,"*赤*"),"赤",
IF(COUNTIF(D101,"*キャラ弁当*"),"キャラ弁当",D101))),注文弁当の抽出!$E$1:$F$15,2,FALSE),"")</f>
        <v/>
      </c>
      <c r="K101" s="200" t="str">
        <f t="shared" ca="1" si="25"/>
        <v/>
      </c>
      <c r="L101" s="200" t="str">
        <f t="shared" ca="1" si="26"/>
        <v/>
      </c>
      <c r="M101" s="200" cm="1">
        <f t="array" aca="1" ref="M101" ca="1">IF(C101&lt;&gt;"",
IF(IFERROR(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0)&lt;&gt;0,
IF(IFERROR(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"")="",
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""),
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0)),0),0)</f>
        <v>0</v>
      </c>
      <c r="N101" s="200" t="e">
        <f t="array" aca="1" ref="N101" ca="1">IF(B101="博多",
IF(C101&lt;&gt;"",
IF(IFERROR(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0)&lt;&gt;0,
IF(IFERROR(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0)="",
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0),
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0)),0),""),0)</f>
        <v>#N/A</v>
      </c>
      <c r="O101" s="200" t="e">
        <f t="shared" ca="1" si="27"/>
        <v>#N/A</v>
      </c>
      <c r="P101" s="200">
        <f t="shared" ca="1" si="4"/>
        <v>0</v>
      </c>
      <c r="Q101" s="200" t="b">
        <f t="shared" ca="1" si="28"/>
        <v>0</v>
      </c>
      <c r="R101" s="51" t="str" cm="1">
        <f t="array" aca="1" ref="R101" ca="1">IFERROR(SMALL(IF(P$1:P$300&lt;&gt;0,P$1:P$300),ROW(A101)),"")</f>
        <v/>
      </c>
      <c r="S101" s="51" t="str">
        <f t="array" aca="1" ref="S101" ca="1">IF($R101&lt;&gt;"",
INDIRECT(""&amp;IF(COLUMN(C121)&lt;=26,CHAR(COLUMN(C121)+64),CHAR(INT((COLUMN(C121)-1)/26)+64)&amp;CHAR(MOD(COLUMN(C121)-1,26)+65))&amp;$R101&amp;""),"")</f>
        <v/>
      </c>
      <c r="T101" s="51" t="str" cm="1">
        <f t="array" aca="1" ref="T101" ca="1">IF(IF($R101&lt;&gt;"",
INDIRECT(""&amp;IF(COLUMN(D121)&lt;=26,CHAR(COLUMN(D121)+64),CHAR(INT((COLUMN(D121)-1)/26)+64)&amp;CHAR(MOD(COLUMN(D121)-1,26)+65))&amp;$R101&amp;""),"")=0,"",
IF($R101&lt;&gt;"",
INDIRECT(""&amp;IF(COLUMN(D121)&lt;=26,CHAR(COLUMN(D121)+64),CHAR(INT((COLUMN(D121)-1)/26)+64)&amp;CHAR(MOD(COLUMN(D121)-1,26)+65))&amp;$R101&amp;""),""))</f>
        <v/>
      </c>
      <c r="U101" s="51"/>
      <c r="V101" s="51" t="str">
        <f t="array" aca="1" ref="V101" ca="1">IF($R101&lt;&gt;"",
IF(U101="",
IF(INDIRECT("EY"&amp;$R101&amp;"")&lt;&gt;"",
INDIRECT("EY"&amp;$R101&amp;"")&amp;"箱"
&amp;INDIRECT("EZ"&amp;$R101&amp;""),""),""),"")</f>
        <v/>
      </c>
      <c r="W101" s="51" t="str">
        <f t="array" aca="1" ref="W101" ca="1">IF($R101&lt;&gt;"",
INDIRECT(""&amp;IF(COLUMN(H121)&lt;=26,CHAR(COLUMN(H121)+64),CHAR(INT((COLUMN(H121)-1)/26)+64)&amp;CHAR(MOD(COLUMN(H121)-1,26)+65))&amp;$R101&amp;""),"")</f>
        <v/>
      </c>
      <c r="X101" s="51" t="str">
        <f t="array" aca="1" ref="X101" ca="1">IF($R101&lt;&gt;"",
INDIRECT(""&amp;IF(COLUMN(I121)&lt;=26,CHAR(COLUMN(I121)+64),CHAR(INT((COLUMN(I121)-1)/26)+64)&amp;CHAR(MOD(COLUMN(I121)-1,26)+65))&amp;$R101&amp;""),"")</f>
        <v/>
      </c>
      <c r="Y101" s="51" t="str">
        <f t="array" aca="1" ref="Y101" ca="1">IF($R101&lt;&gt;"",
INDIRECT(""&amp;IF(COLUMN(J121)&lt;=26,CHAR(COLUMN(J121)+64),CHAR(INT((COLUMN(J121)-1)/26)+64)&amp;CHAR(MOD(COLUMN(J121)-1,26)+65))&amp;$R101&amp;""),"")</f>
        <v/>
      </c>
      <c r="Z101" s="51" t="str">
        <f t="array" aca="1" ref="Z101" ca="1">IF($R101&lt;&gt;"",
INDIRECT(""&amp;IF(COLUMN(K121)&lt;=26,CHAR(COLUMN(K121)+64),CHAR(INT((COLUMN(K121)-1)/26)+64)&amp;CHAR(MOD(COLUMN(K121)-1,26)+65))&amp;$R101&amp;""),"")</f>
        <v/>
      </c>
      <c r="AA101" s="51" t="str">
        <f t="array" aca="1" ref="AA101" ca="1">IF($R101&lt;&gt;"",
INDIRECT(""&amp;IF(COLUMN(L121)&lt;=26,CHAR(COLUMN(L121)+64),CHAR(INT((COLUMN(L121)-1)/26)+64)&amp;CHAR(MOD(COLUMN(L121)-1,26)+65))&amp;$R101&amp;""),"")</f>
        <v/>
      </c>
      <c r="AB101" s="51" t="str">
        <f t="array" aca="1" ref="AB101" ca="1">IF($R101&lt;&gt;"",
INDIRECT(""&amp;IF(COLUMN(O121)&lt;=26,CHAR(COLUMN(O121)+64),CHAR(INT((COLUMN(O121)-1)/26)+64)&amp;CHAR(MOD(COLUMN(O121)-1,26)+65))&amp;$R101&amp;""),"")</f>
        <v/>
      </c>
    </row>
    <row r="102" spans="1:28" ht="22.2" customHeight="1">
      <c r="A102" s="199">
        <f t="shared" si="24"/>
        <v>69</v>
      </c>
      <c r="B102" s="200" t="e" cm="1">
        <f t="array" aca="1" ref="B102" ca="1">IF(AND(LEFT(C102,2)="博多",
LEFT(INDIRECT("数出表_Excel!A"&amp;MATCH(C102,数出表_Excel!$A:$A,0)-1),2)
=LEFT(INDIRECT("数出表_Excel!A"&amp;MATCH(C102,数出表_Excel!$A:$A,0)+1),2)),"博多",
IF(AND(LEFT(C102,3)="奈良屋",
LEFT(INDIRECT("数出表_Excel!A"&amp;MATCH(C102,数出表_Excel!$A:$A,0)-1),2)
=LEFT(INDIRECT("数出表_Excel!A"&amp;MATCH(C102,数出表_Excel!$A:$A,0)+1),2)),"奈良屋",""))</f>
        <v>#N/A</v>
      </c>
      <c r="C102" s="200" t="str" cm="1">
        <f t="array" aca="1" ref="C102" ca="1">IF(IF(クライアント抽出!A32="",0,LEN(クライアント抽出!V32)-LEN(SUBSTITUTE(クライアント抽出!V32,",","")))&gt;=2,INDIRECT("数出表_Excel!A"&amp;A102&amp;""),"")</f>
        <v/>
      </c>
      <c r="D102" s="200" t="str" cm="1">
        <f t="array" aca="1" ref="D102" ca="1">IF(C102&lt;&gt;"",INDIRECT("クライアント抽出!"&amp;E102&amp;MATCH(C102,クライアント抽出!A:A,0)&amp;""),"")</f>
        <v/>
      </c>
      <c r="E102" s="20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201" t="str" cm="1">
        <f t="array" aca="1" ref="F102" ca="1">IF(D102&lt;&gt;"",
IF(COUNTIF(C102,"*雙葉*"),
IF(ROUND(
IF(O102&lt;&gt;"",(H102-O102),H102)
/IF(COUNTIF('盛付札（関数）'!D102,"*キャラ*"),
VLOOKUP("*キャラ*",#REF!,7,FALSE),
IF(COUNTIF('盛付札（関数）'!D102,"*赤*"),
VLOOKUP("*赤*",#REF!,7,FALSE),
VLOOKUP('盛付札（関数）'!D102,#REF!,7,FALSE))),0)&lt;=0,1,
ROUND(
IF(O102&lt;&gt;"",(H102-O102),H102)
/IF(COUNTIF('盛付札（関数）'!D102,"*キャラ*"),
VLOOKUP("*キャラ*",#REF!,7,FALSE),
IF(COUNTIF('盛付札（関数）'!D102,"*赤*"),
VLOOKUP("*赤*",#REF!,7,FALSE),
VLOOKUP('盛付札（関数）'!D102,#REF!,7,FALSE))),0)),
IF(MATCH(TRUE,
ISNUMBER(--INDIRECT("数出表_Excel!B"&amp;MATCH(C102,数出表_Excel!$A:$A,0)-1&amp;":U"&amp;MATCH(C102,数出表_Excel!$A:$A,0)-1&amp;"")),0)&gt;10,
IF(D102&lt;&gt;"",
IF(IF(COUNTIF('盛付札（関数）'!D102,"*キャラ*"),
VLOOKUP("*キャラ*",#REF!,7,FALSE),
IF(COUNTIF('盛付札（関数）'!D102,"*赤*"),
VLOOKUP("*赤*",#REF!,7,FALSE),
VLOOKUP('盛付札（関数）'!D102,#REF!,7,FALSE)))=0,"",
IF(ROUND(
IF(O102&lt;&gt;"",(H102-O102),H102)
/IF(COUNTIF('盛付札（関数）'!D102,"*キャラ*"),
VLOOKUP("*キャラ*",#REF!,7,FALSE),
IF(COUNTIF('盛付札（関数）'!D102,"*赤*"),
VLOOKUP("*赤*",#REF!,7,FALSE),
VLOOKUP('盛付札（関数）'!D102,#REF!,7,FALSE))),0)&lt;=0,1,
ROUND(
IF(O102&lt;&gt;"",(H102-O102),H102)
/IF(COUNTIF('盛付札（関数）'!D102,"*キャラ*"),
VLOOKUP("*キャラ*",#REF!,7,FALSE),
IF(COUNTIF('盛付札（関数）'!D102,"*赤*"),
VLOOKUP("*赤*",#REF!,7,FALSE),
VLOOKUP('盛付札（関数）'!D102,#REF!,7,FALSE))),0))),""),"")),"")</f>
        <v/>
      </c>
      <c r="G102" s="201" t="str">
        <f ca="1">IF(F102&lt;&gt;"",IF(VALUE(IF(O102&lt;&gt;"",H102-O102,H102))&gt;VALUE(IF(COUNTIF('盛付札（関数）'!D102,"*キャラ*"),
VLOOKUP("*キャラ*",#REF!,7,FALSE),
IF(COUNTIF('盛付札（関数）'!D102,"*赤*"),
VLOOKUP("*赤*",#REF!,7,FALSE),
VLOOKUP('盛付札（関数）'!D102,#REF!,7,FALSE)))*F102),
"+"&amp;IF(O102&lt;&gt;"",H102-O102,H102)-IF(COUNTIF('盛付札（関数）'!D102,"*キャラ*"),
VLOOKUP("*キャラ*",#REF!,7,FALSE),
IF(COUNTIF('盛付札（関数）'!D102,"*赤*"),
VLOOKUP("*赤*",#REF!,7,FALSE),
VLOOKUP('盛付札（関数）'!D102,#REF!,7,FALSE)))*F102,
IF(O102&lt;&gt;"",H102-O102,H102)-IF(COUNTIF('盛付札（関数）'!D102,"*キャラ*"),
VLOOKUP("*キャラ*",#REF!,7,FALSE),
IF(COUNTIF('盛付札（関数）'!D102,"*赤*"),
VLOOKUP("*赤*",#REF!,7,FALSE),
VLOOKUP('盛付札（関数）'!D102,#REF!,7,FALSE)))*F102),"")</f>
        <v/>
      </c>
      <c r="H102" s="202" t="str" cm="1">
        <f t="array" aca="1" ref="H102" ca="1">IF(C102&lt;&gt;"",
IF(INDIRECT("数出表_Excel!"&amp;IFERROR(MID(クライアント抽出!V32,FIND(",",クライアント抽出!V32)+1,1),"")&amp;A102-1&amp;"")&lt;&gt;"",
INDIRECT("数出表_Excel!"&amp;IFERROR(MID(クライアント抽出!V32,FIND(",",クライアント抽出!V32)+1,1),"")&amp;A102-1&amp;""),0),"")</f>
        <v/>
      </c>
      <c r="I102" s="200" t="str" cm="1">
        <f t="array" aca="1" ref="I102" ca="1">IF(C102&lt;&gt;"",
IF(INDIRECT("数出表_Excel!"&amp;IFERROR(MID(クライアント抽出!V32,FIND(",",クライアント抽出!V32)+1,1),"")&amp;A102&amp;"")&lt;&gt;"",
INDIRECT("数出表_Excel!"&amp;IFERROR(MID(クライアント抽出!V32,FIND(",",クライアント抽出!V32)+1,1),"")&amp;A102&amp;""),0),"")</f>
        <v/>
      </c>
      <c r="J102" s="200" t="str">
        <f ca="1">IF(C102&lt;&gt;"",
VLOOKUP(
IF(COUNTIF(D102,"*学食*"),"キャラ弁（学食）",
IF(COUNTIF(D102,"*赤*"),"赤",
IF(COUNTIF(D102,"*キャラ弁当*"),"キャラ弁当",D102))),注文弁当の抽出!$E$1:$F$15,2,FALSE),"")</f>
        <v/>
      </c>
      <c r="K102" s="200" t="str">
        <f t="shared" ca="1" si="25"/>
        <v/>
      </c>
      <c r="L102" s="200" t="str">
        <f t="shared" ca="1" si="26"/>
        <v/>
      </c>
      <c r="M102" s="200" cm="1">
        <f t="array" aca="1" ref="M102" ca="1">IF(C102&lt;&gt;"",
IF(IFERROR(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0)&lt;&gt;0,
IF(IFERROR(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"")="",
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""),
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0)),0),0)</f>
        <v>0</v>
      </c>
      <c r="N102" s="200" t="e">
        <f t="array" aca="1" ref="N102" ca="1">IF(B102="博多",
IF(C102&lt;&gt;"",
IF(IFERROR(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0)&lt;&gt;0,
IF(IFERROR(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0)="",
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0),
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0)),0),""),0)</f>
        <v>#N/A</v>
      </c>
      <c r="O102" s="200" t="e">
        <f t="shared" ca="1" si="27"/>
        <v>#N/A</v>
      </c>
      <c r="P102" s="200">
        <f t="shared" ca="1" si="4"/>
        <v>0</v>
      </c>
      <c r="Q102" s="200" t="b">
        <f t="shared" ca="1" si="28"/>
        <v>0</v>
      </c>
      <c r="R102" s="51" t="str" cm="1">
        <f t="array" aca="1" ref="R102" ca="1">IFERROR(SMALL(IF(P$1:P$300&lt;&gt;0,P$1:P$300),ROW(A102)),"")</f>
        <v/>
      </c>
      <c r="S102" s="51" t="str">
        <f t="array" aca="1" ref="S102" ca="1">IF($R102&lt;&gt;"",
INDIRECT(""&amp;IF(COLUMN(C122)&lt;=26,CHAR(COLUMN(C122)+64),CHAR(INT((COLUMN(C122)-1)/26)+64)&amp;CHAR(MOD(COLUMN(C122)-1,26)+65))&amp;$R102&amp;""),"")</f>
        <v/>
      </c>
      <c r="T102" s="51" t="str" cm="1">
        <f t="array" aca="1" ref="T102" ca="1">IF(IF($R102&lt;&gt;"",
INDIRECT(""&amp;IF(COLUMN(D122)&lt;=26,CHAR(COLUMN(D122)+64),CHAR(INT((COLUMN(D122)-1)/26)+64)&amp;CHAR(MOD(COLUMN(D122)-1,26)+65))&amp;$R102&amp;""),"")=0,"",
IF($R102&lt;&gt;"",
INDIRECT(""&amp;IF(COLUMN(D122)&lt;=26,CHAR(COLUMN(D122)+64),CHAR(INT((COLUMN(D122)-1)/26)+64)&amp;CHAR(MOD(COLUMN(D122)-1,26)+65))&amp;$R102&amp;""),""))</f>
        <v/>
      </c>
      <c r="U102" s="51"/>
      <c r="V102" s="51" t="str">
        <f t="array" aca="1" ref="V102" ca="1">IF($R102&lt;&gt;"",
IF(U102="",
IF(INDIRECT("EY"&amp;$R102&amp;"")&lt;&gt;"",
INDIRECT("EY"&amp;$R102&amp;"")&amp;"箱"
&amp;INDIRECT("EZ"&amp;$R102&amp;""),""),""),"")</f>
        <v/>
      </c>
      <c r="W102" s="51" t="str">
        <f t="array" aca="1" ref="W102" ca="1">IF($R102&lt;&gt;"",
INDIRECT(""&amp;IF(COLUMN(H122)&lt;=26,CHAR(COLUMN(H122)+64),CHAR(INT((COLUMN(H122)-1)/26)+64)&amp;CHAR(MOD(COLUMN(H122)-1,26)+65))&amp;$R102&amp;""),"")</f>
        <v/>
      </c>
      <c r="X102" s="51" t="str">
        <f t="array" aca="1" ref="X102" ca="1">IF($R102&lt;&gt;"",
INDIRECT(""&amp;IF(COLUMN(I122)&lt;=26,CHAR(COLUMN(I122)+64),CHAR(INT((COLUMN(I122)-1)/26)+64)&amp;CHAR(MOD(COLUMN(I122)-1,26)+65))&amp;$R102&amp;""),"")</f>
        <v/>
      </c>
      <c r="Y102" s="51" t="str">
        <f t="array" aca="1" ref="Y102" ca="1">IF($R102&lt;&gt;"",
INDIRECT(""&amp;IF(COLUMN(J122)&lt;=26,CHAR(COLUMN(J122)+64),CHAR(INT((COLUMN(J122)-1)/26)+64)&amp;CHAR(MOD(COLUMN(J122)-1,26)+65))&amp;$R102&amp;""),"")</f>
        <v/>
      </c>
      <c r="Z102" s="51" t="str">
        <f t="array" aca="1" ref="Z102" ca="1">IF($R102&lt;&gt;"",
INDIRECT(""&amp;IF(COLUMN(K122)&lt;=26,CHAR(COLUMN(K122)+64),CHAR(INT((COLUMN(K122)-1)/26)+64)&amp;CHAR(MOD(COLUMN(K122)-1,26)+65))&amp;$R102&amp;""),"")</f>
        <v/>
      </c>
      <c r="AA102" s="51" t="str">
        <f t="array" aca="1" ref="AA102" ca="1">IF($R102&lt;&gt;"",
INDIRECT(""&amp;IF(COLUMN(L122)&lt;=26,CHAR(COLUMN(L122)+64),CHAR(INT((COLUMN(L122)-1)/26)+64)&amp;CHAR(MOD(COLUMN(L122)-1,26)+65))&amp;$R102&amp;""),"")</f>
        <v/>
      </c>
      <c r="AB102" s="51" t="str">
        <f t="array" aca="1" ref="AB102" ca="1">IF($R102&lt;&gt;"",
INDIRECT(""&amp;IF(COLUMN(O122)&lt;=26,CHAR(COLUMN(O122)+64),CHAR(INT((COLUMN(O122)-1)/26)+64)&amp;CHAR(MOD(COLUMN(O122)-1,26)+65))&amp;$R102&amp;""),"")</f>
        <v/>
      </c>
    </row>
    <row r="103" spans="1:28" ht="22.2" customHeight="1">
      <c r="A103" s="199">
        <f t="shared" si="24"/>
        <v>71</v>
      </c>
      <c r="B103" s="200" t="e" cm="1">
        <f t="array" aca="1" ref="B103" ca="1">IF(AND(LEFT(C103,2)="博多",
LEFT(INDIRECT("数出表_Excel!A"&amp;MATCH(C103,数出表_Excel!$A:$A,0)-1),2)
=LEFT(INDIRECT("数出表_Excel!A"&amp;MATCH(C103,数出表_Excel!$A:$A,0)+1),2)),"博多",
IF(AND(LEFT(C103,3)="奈良屋",
LEFT(INDIRECT("数出表_Excel!A"&amp;MATCH(C103,数出表_Excel!$A:$A,0)-1),2)
=LEFT(INDIRECT("数出表_Excel!A"&amp;MATCH(C103,数出表_Excel!$A:$A,0)+1),2)),"奈良屋",""))</f>
        <v>#N/A</v>
      </c>
      <c r="C103" s="200" t="str" cm="1">
        <f t="array" aca="1" ref="C103" ca="1">IF(IF(クライアント抽出!A33="",0,LEN(クライアント抽出!V33)-LEN(SUBSTITUTE(クライアント抽出!V33,",","")))&gt;=2,INDIRECT("数出表_Excel!A"&amp;A103&amp;""),"")</f>
        <v/>
      </c>
      <c r="D103" s="200" t="str" cm="1">
        <f t="array" aca="1" ref="D103" ca="1">IF(C103&lt;&gt;"",INDIRECT("クライアント抽出!"&amp;E103&amp;MATCH(C103,クライアント抽出!A:A,0)&amp;""),"")</f>
        <v/>
      </c>
      <c r="E103" s="20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201" t="str" cm="1">
        <f t="array" aca="1" ref="F103" ca="1">IF(D103&lt;&gt;"",
IF(COUNTIF(C103,"*雙葉*"),
IF(ROUND(
IF(O103&lt;&gt;"",(H103-O103),H103)
/IF(COUNTIF('盛付札（関数）'!D103,"*キャラ*"),
VLOOKUP("*キャラ*",#REF!,7,FALSE),
IF(COUNTIF('盛付札（関数）'!D103,"*赤*"),
VLOOKUP("*赤*",#REF!,7,FALSE),
VLOOKUP('盛付札（関数）'!D103,#REF!,7,FALSE))),0)&lt;=0,1,
ROUND(
IF(O103&lt;&gt;"",(H103-O103),H103)
/IF(COUNTIF('盛付札（関数）'!D103,"*キャラ*"),
VLOOKUP("*キャラ*",#REF!,7,FALSE),
IF(COUNTIF('盛付札（関数）'!D103,"*赤*"),
VLOOKUP("*赤*",#REF!,7,FALSE),
VLOOKUP('盛付札（関数）'!D103,#REF!,7,FALSE))),0)),
IF(MATCH(TRUE,
ISNUMBER(--INDIRECT("数出表_Excel!B"&amp;MATCH(C103,数出表_Excel!$A:$A,0)-1&amp;":U"&amp;MATCH(C103,数出表_Excel!$A:$A,0)-1&amp;"")),0)&gt;10,
IF(D103&lt;&gt;"",
IF(IF(COUNTIF('盛付札（関数）'!D103,"*キャラ*"),
VLOOKUP("*キャラ*",#REF!,7,FALSE),
IF(COUNTIF('盛付札（関数）'!D103,"*赤*"),
VLOOKUP("*赤*",#REF!,7,FALSE),
VLOOKUP('盛付札（関数）'!D103,#REF!,7,FALSE)))=0,"",
IF(ROUND(
IF(O103&lt;&gt;"",(H103-O103),H103)
/IF(COUNTIF('盛付札（関数）'!D103,"*キャラ*"),
VLOOKUP("*キャラ*",#REF!,7,FALSE),
IF(COUNTIF('盛付札（関数）'!D103,"*赤*"),
VLOOKUP("*赤*",#REF!,7,FALSE),
VLOOKUP('盛付札（関数）'!D103,#REF!,7,FALSE))),0)&lt;=0,1,
ROUND(
IF(O103&lt;&gt;"",(H103-O103),H103)
/IF(COUNTIF('盛付札（関数）'!D103,"*キャラ*"),
VLOOKUP("*キャラ*",#REF!,7,FALSE),
IF(COUNTIF('盛付札（関数）'!D103,"*赤*"),
VLOOKUP("*赤*",#REF!,7,FALSE),
VLOOKUP('盛付札（関数）'!D103,#REF!,7,FALSE))),0))),""),"")),"")</f>
        <v/>
      </c>
      <c r="G103" s="201" t="str">
        <f ca="1">IF(F103&lt;&gt;"",IF(VALUE(IF(O103&lt;&gt;"",H103-O103,H103))&gt;VALUE(IF(COUNTIF('盛付札（関数）'!D103,"*キャラ*"),
VLOOKUP("*キャラ*",#REF!,7,FALSE),
IF(COUNTIF('盛付札（関数）'!D103,"*赤*"),
VLOOKUP("*赤*",#REF!,7,FALSE),
VLOOKUP('盛付札（関数）'!D103,#REF!,7,FALSE)))*F103),
"+"&amp;IF(O103&lt;&gt;"",H103-O103,H103)-IF(COUNTIF('盛付札（関数）'!D103,"*キャラ*"),
VLOOKUP("*キャラ*",#REF!,7,FALSE),
IF(COUNTIF('盛付札（関数）'!D103,"*赤*"),
VLOOKUP("*赤*",#REF!,7,FALSE),
VLOOKUP('盛付札（関数）'!D103,#REF!,7,FALSE)))*F103,
IF(O103&lt;&gt;"",H103-O103,H103)-IF(COUNTIF('盛付札（関数）'!D103,"*キャラ*"),
VLOOKUP("*キャラ*",#REF!,7,FALSE),
IF(COUNTIF('盛付札（関数）'!D103,"*赤*"),
VLOOKUP("*赤*",#REF!,7,FALSE),
VLOOKUP('盛付札（関数）'!D103,#REF!,7,FALSE)))*F103),"")</f>
        <v/>
      </c>
      <c r="H103" s="202" t="str" cm="1">
        <f t="array" aca="1" ref="H103" ca="1">IF(C103&lt;&gt;"",
IF(INDIRECT("数出表_Excel!"&amp;IFERROR(MID(クライアント抽出!V33,FIND(",",クライアント抽出!V33)+1,1),"")&amp;A103-1&amp;"")&lt;&gt;"",
INDIRECT("数出表_Excel!"&amp;IFERROR(MID(クライアント抽出!V33,FIND(",",クライアント抽出!V33)+1,1),"")&amp;A103-1&amp;""),0),"")</f>
        <v/>
      </c>
      <c r="I103" s="200" t="str" cm="1">
        <f t="array" aca="1" ref="I103" ca="1">IF(C103&lt;&gt;"",
IF(INDIRECT("数出表_Excel!"&amp;IFERROR(MID(クライアント抽出!V33,FIND(",",クライアント抽出!V33)+1,1),"")&amp;A103&amp;"")&lt;&gt;"",
INDIRECT("数出表_Excel!"&amp;IFERROR(MID(クライアント抽出!V33,FIND(",",クライアント抽出!V33)+1,1),"")&amp;A103&amp;""),0),"")</f>
        <v/>
      </c>
      <c r="J103" s="200" t="str">
        <f ca="1">IF(C103&lt;&gt;"",
VLOOKUP(
IF(COUNTIF(D103,"*学食*"),"キャラ弁（学食）",
IF(COUNTIF(D103,"*赤*"),"赤",
IF(COUNTIF(D103,"*キャラ弁当*"),"キャラ弁当",D103))),注文弁当の抽出!$E$1:$F$15,2,FALSE),"")</f>
        <v/>
      </c>
      <c r="K103" s="200" t="str">
        <f t="shared" ca="1" si="25"/>
        <v/>
      </c>
      <c r="L103" s="200" t="str">
        <f t="shared" ca="1" si="26"/>
        <v/>
      </c>
      <c r="M103" s="200" cm="1">
        <f t="array" aca="1" ref="M103" ca="1">IF(C103&lt;&gt;"",
IF(IFERROR(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0)&lt;&gt;0,
IF(IFERROR(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"")="",
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""),
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0)),0),0)</f>
        <v>0</v>
      </c>
      <c r="N103" s="200" t="e">
        <f t="array" aca="1" ref="N103" ca="1">IF(B103="博多",
IF(C103&lt;&gt;"",
IF(IFERROR(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0)&lt;&gt;0,
IF(IFERROR(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0)="",
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0),
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0)),0),""),0)</f>
        <v>#N/A</v>
      </c>
      <c r="O103" s="200" t="e">
        <f t="shared" ca="1" si="27"/>
        <v>#N/A</v>
      </c>
      <c r="P103" s="200">
        <f t="shared" ca="1" si="4"/>
        <v>0</v>
      </c>
      <c r="Q103" s="200" t="b">
        <f t="shared" ca="1" si="28"/>
        <v>0</v>
      </c>
      <c r="R103" s="51" t="str" cm="1">
        <f t="array" aca="1" ref="R103" ca="1">IFERROR(SMALL(IF(P$1:P$300&lt;&gt;0,P$1:P$300),ROW(A103)),"")</f>
        <v/>
      </c>
      <c r="S103" s="51" t="str">
        <f t="array" aca="1" ref="S103" ca="1">IF($R103&lt;&gt;"",
INDIRECT(""&amp;IF(COLUMN(C123)&lt;=26,CHAR(COLUMN(C123)+64),CHAR(INT((COLUMN(C123)-1)/26)+64)&amp;CHAR(MOD(COLUMN(C123)-1,26)+65))&amp;$R103&amp;""),"")</f>
        <v/>
      </c>
      <c r="T103" s="51" t="str" cm="1">
        <f t="array" aca="1" ref="T103" ca="1">IF(IF($R103&lt;&gt;"",
INDIRECT(""&amp;IF(COLUMN(D123)&lt;=26,CHAR(COLUMN(D123)+64),CHAR(INT((COLUMN(D123)-1)/26)+64)&amp;CHAR(MOD(COLUMN(D123)-1,26)+65))&amp;$R103&amp;""),"")=0,"",
IF($R103&lt;&gt;"",
INDIRECT(""&amp;IF(COLUMN(D123)&lt;=26,CHAR(COLUMN(D123)+64),CHAR(INT((COLUMN(D123)-1)/26)+64)&amp;CHAR(MOD(COLUMN(D123)-1,26)+65))&amp;$R103&amp;""),""))</f>
        <v/>
      </c>
      <c r="U103" s="51"/>
      <c r="V103" s="51" t="str">
        <f t="array" aca="1" ref="V103" ca="1">IF($R103&lt;&gt;"",
IF(U103="",
IF(INDIRECT("EY"&amp;$R103&amp;"")&lt;&gt;"",
INDIRECT("EY"&amp;$R103&amp;"")&amp;"箱"
&amp;INDIRECT("EZ"&amp;$R103&amp;""),""),""),"")</f>
        <v/>
      </c>
      <c r="W103" s="51" t="str">
        <f t="array" aca="1" ref="W103" ca="1">IF($R103&lt;&gt;"",
INDIRECT(""&amp;IF(COLUMN(H123)&lt;=26,CHAR(COLUMN(H123)+64),CHAR(INT((COLUMN(H123)-1)/26)+64)&amp;CHAR(MOD(COLUMN(H123)-1,26)+65))&amp;$R103&amp;""),"")</f>
        <v/>
      </c>
      <c r="X103" s="51" t="str">
        <f t="array" aca="1" ref="X103" ca="1">IF($R103&lt;&gt;"",
INDIRECT(""&amp;IF(COLUMN(I123)&lt;=26,CHAR(COLUMN(I123)+64),CHAR(INT((COLUMN(I123)-1)/26)+64)&amp;CHAR(MOD(COLUMN(I123)-1,26)+65))&amp;$R103&amp;""),"")</f>
        <v/>
      </c>
      <c r="Y103" s="51" t="str">
        <f t="array" aca="1" ref="Y103" ca="1">IF($R103&lt;&gt;"",
INDIRECT(""&amp;IF(COLUMN(J123)&lt;=26,CHAR(COLUMN(J123)+64),CHAR(INT((COLUMN(J123)-1)/26)+64)&amp;CHAR(MOD(COLUMN(J123)-1,26)+65))&amp;$R103&amp;""),"")</f>
        <v/>
      </c>
      <c r="Z103" s="51" t="str">
        <f t="array" aca="1" ref="Z103" ca="1">IF($R103&lt;&gt;"",
INDIRECT(""&amp;IF(COLUMN(K123)&lt;=26,CHAR(COLUMN(K123)+64),CHAR(INT((COLUMN(K123)-1)/26)+64)&amp;CHAR(MOD(COLUMN(K123)-1,26)+65))&amp;$R103&amp;""),"")</f>
        <v/>
      </c>
      <c r="AA103" s="51" t="str">
        <f t="array" aca="1" ref="AA103" ca="1">IF($R103&lt;&gt;"",
INDIRECT(""&amp;IF(COLUMN(L123)&lt;=26,CHAR(COLUMN(L123)+64),CHAR(INT((COLUMN(L123)-1)/26)+64)&amp;CHAR(MOD(COLUMN(L123)-1,26)+65))&amp;$R103&amp;""),"")</f>
        <v/>
      </c>
      <c r="AB103" s="51" t="str">
        <f t="array" aca="1" ref="AB103" ca="1">IF($R103&lt;&gt;"",
INDIRECT(""&amp;IF(COLUMN(O123)&lt;=26,CHAR(COLUMN(O123)+64),CHAR(INT((COLUMN(O123)-1)/26)+64)&amp;CHAR(MOD(COLUMN(O123)-1,26)+65))&amp;$R103&amp;""),"")</f>
        <v/>
      </c>
    </row>
    <row r="104" spans="1:28" ht="22.2" customHeight="1">
      <c r="A104" s="199">
        <f t="shared" si="24"/>
        <v>73</v>
      </c>
      <c r="B104" s="200" t="e" cm="1">
        <f t="array" aca="1" ref="B104" ca="1">IF(AND(LEFT(C104,2)="博多",
LEFT(INDIRECT("数出表_Excel!A"&amp;MATCH(C104,数出表_Excel!$A:$A,0)-1),2)
=LEFT(INDIRECT("数出表_Excel!A"&amp;MATCH(C104,数出表_Excel!$A:$A,0)+1),2)),"博多",
IF(AND(LEFT(C104,3)="奈良屋",
LEFT(INDIRECT("数出表_Excel!A"&amp;MATCH(C104,数出表_Excel!$A:$A,0)-1),2)
=LEFT(INDIRECT("数出表_Excel!A"&amp;MATCH(C104,数出表_Excel!$A:$A,0)+1),2)),"奈良屋",""))</f>
        <v>#N/A</v>
      </c>
      <c r="C104" s="200" t="str" cm="1">
        <f t="array" aca="1" ref="C104" ca="1">IF(IF(クライアント抽出!A34="",0,LEN(クライアント抽出!V34)-LEN(SUBSTITUTE(クライアント抽出!V34,",","")))&gt;=2,INDIRECT("数出表_Excel!A"&amp;A104&amp;""),"")</f>
        <v/>
      </c>
      <c r="D104" s="200" t="str" cm="1">
        <f t="array" aca="1" ref="D104" ca="1">IF(C104&lt;&gt;"",INDIRECT("クライアント抽出!"&amp;E104&amp;MATCH(C104,クライアント抽出!A:A,0)&amp;""),"")</f>
        <v/>
      </c>
      <c r="E104" s="20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201" t="str" cm="1">
        <f t="array" aca="1" ref="F104" ca="1">IF(D104&lt;&gt;"",
IF(COUNTIF(C104,"*雙葉*"),
IF(ROUND(
IF(O104&lt;&gt;"",(H104-O104),H104)
/IF(COUNTIF('盛付札（関数）'!D104,"*キャラ*"),
VLOOKUP("*キャラ*",#REF!,7,FALSE),
IF(COUNTIF('盛付札（関数）'!D104,"*赤*"),
VLOOKUP("*赤*",#REF!,7,FALSE),
VLOOKUP('盛付札（関数）'!D104,#REF!,7,FALSE))),0)&lt;=0,1,
ROUND(
IF(O104&lt;&gt;"",(H104-O104),H104)
/IF(COUNTIF('盛付札（関数）'!D104,"*キャラ*"),
VLOOKUP("*キャラ*",#REF!,7,FALSE),
IF(COUNTIF('盛付札（関数）'!D104,"*赤*"),
VLOOKUP("*赤*",#REF!,7,FALSE),
VLOOKUP('盛付札（関数）'!D104,#REF!,7,FALSE))),0)),
IF(MATCH(TRUE,
ISNUMBER(--INDIRECT("数出表_Excel!B"&amp;MATCH(C104,数出表_Excel!$A:$A,0)-1&amp;":U"&amp;MATCH(C104,数出表_Excel!$A:$A,0)-1&amp;"")),0)&gt;10,
IF(D104&lt;&gt;"",
IF(IF(COUNTIF('盛付札（関数）'!D104,"*キャラ*"),
VLOOKUP("*キャラ*",#REF!,7,FALSE),
IF(COUNTIF('盛付札（関数）'!D104,"*赤*"),
VLOOKUP("*赤*",#REF!,7,FALSE),
VLOOKUP('盛付札（関数）'!D104,#REF!,7,FALSE)))=0,"",
IF(ROUND(
IF(O104&lt;&gt;"",(H104-O104),H104)
/IF(COUNTIF('盛付札（関数）'!D104,"*キャラ*"),
VLOOKUP("*キャラ*",#REF!,7,FALSE),
IF(COUNTIF('盛付札（関数）'!D104,"*赤*"),
VLOOKUP("*赤*",#REF!,7,FALSE),
VLOOKUP('盛付札（関数）'!D104,#REF!,7,FALSE))),0)&lt;=0,1,
ROUND(
IF(O104&lt;&gt;"",(H104-O104),H104)
/IF(COUNTIF('盛付札（関数）'!D104,"*キャラ*"),
VLOOKUP("*キャラ*",#REF!,7,FALSE),
IF(COUNTIF('盛付札（関数）'!D104,"*赤*"),
VLOOKUP("*赤*",#REF!,7,FALSE),
VLOOKUP('盛付札（関数）'!D104,#REF!,7,FALSE))),0))),""),"")),"")</f>
        <v/>
      </c>
      <c r="G104" s="201" t="str">
        <f ca="1">IF(F104&lt;&gt;"",IF(VALUE(IF(O104&lt;&gt;"",H104-O104,H104))&gt;VALUE(IF(COUNTIF('盛付札（関数）'!D104,"*キャラ*"),
VLOOKUP("*キャラ*",#REF!,7,FALSE),
IF(COUNTIF('盛付札（関数）'!D104,"*赤*"),
VLOOKUP("*赤*",#REF!,7,FALSE),
VLOOKUP('盛付札（関数）'!D104,#REF!,7,FALSE)))*F104),
"+"&amp;IF(O104&lt;&gt;"",H104-O104,H104)-IF(COUNTIF('盛付札（関数）'!D104,"*キャラ*"),
VLOOKUP("*キャラ*",#REF!,7,FALSE),
IF(COUNTIF('盛付札（関数）'!D104,"*赤*"),
VLOOKUP("*赤*",#REF!,7,FALSE),
VLOOKUP('盛付札（関数）'!D104,#REF!,7,FALSE)))*F104,
IF(O104&lt;&gt;"",H104-O104,H104)-IF(COUNTIF('盛付札（関数）'!D104,"*キャラ*"),
VLOOKUP("*キャラ*",#REF!,7,FALSE),
IF(COUNTIF('盛付札（関数）'!D104,"*赤*"),
VLOOKUP("*赤*",#REF!,7,FALSE),
VLOOKUP('盛付札（関数）'!D104,#REF!,7,FALSE)))*F104),"")</f>
        <v/>
      </c>
      <c r="H104" s="202" t="str" cm="1">
        <f t="array" aca="1" ref="H104" ca="1">IF(C104&lt;&gt;"",
IF(INDIRECT("数出表_Excel!"&amp;IFERROR(MID(クライアント抽出!V34,FIND(",",クライアント抽出!V34)+1,1),"")&amp;A104-1&amp;"")&lt;&gt;"",
INDIRECT("数出表_Excel!"&amp;IFERROR(MID(クライアント抽出!V34,FIND(",",クライアント抽出!V34)+1,1),"")&amp;A104-1&amp;""),0),"")</f>
        <v/>
      </c>
      <c r="I104" s="200" t="str" cm="1">
        <f t="array" aca="1" ref="I104" ca="1">IF(C104&lt;&gt;"",
IF(INDIRECT("数出表_Excel!"&amp;IFERROR(MID(クライアント抽出!V34,FIND(",",クライアント抽出!V34)+1,1),"")&amp;A104&amp;"")&lt;&gt;"",
INDIRECT("数出表_Excel!"&amp;IFERROR(MID(クライアント抽出!V34,FIND(",",クライアント抽出!V34)+1,1),"")&amp;A104&amp;""),0),"")</f>
        <v/>
      </c>
      <c r="J104" s="200" t="str">
        <f ca="1">IF(C104&lt;&gt;"",
VLOOKUP(
IF(COUNTIF(D104,"*学食*"),"キャラ弁（学食）",
IF(COUNTIF(D104,"*赤*"),"赤",
IF(COUNTIF(D104,"*キャラ弁当*"),"キャラ弁当",D104))),注文弁当の抽出!$E$1:$F$15,2,FALSE),"")</f>
        <v/>
      </c>
      <c r="K104" s="200" t="str">
        <f t="shared" ca="1" si="25"/>
        <v/>
      </c>
      <c r="L104" s="200" t="str">
        <f t="shared" ca="1" si="26"/>
        <v/>
      </c>
      <c r="M104" s="200" cm="1">
        <f t="array" aca="1" ref="M104" ca="1">IF(C104&lt;&gt;"",
IF(IFERROR(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0)&lt;&gt;0,
IF(IFERROR(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"")="",
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""),
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0)),0),0)</f>
        <v>0</v>
      </c>
      <c r="N104" s="200" t="e">
        <f t="array" aca="1" ref="N104" ca="1">IF(B104="博多",
IF(C104&lt;&gt;"",
IF(IFERROR(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0)&lt;&gt;0,
IF(IFERROR(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0)="",
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0),
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0)),0),""),0)</f>
        <v>#N/A</v>
      </c>
      <c r="O104" s="200" t="e">
        <f t="shared" ca="1" si="27"/>
        <v>#N/A</v>
      </c>
      <c r="P104" s="200">
        <f t="shared" ca="1" si="4"/>
        <v>0</v>
      </c>
      <c r="Q104" s="200" t="b">
        <f t="shared" ca="1" si="28"/>
        <v>0</v>
      </c>
      <c r="R104" s="51" t="str" cm="1">
        <f t="array" aca="1" ref="R104" ca="1">IFERROR(SMALL(IF(P$1:P$300&lt;&gt;0,P$1:P$300),ROW(A104)),"")</f>
        <v/>
      </c>
      <c r="S104" s="51" t="str">
        <f t="array" aca="1" ref="S104" ca="1">IF($R104&lt;&gt;"",
INDIRECT(""&amp;IF(COLUMN(C124)&lt;=26,CHAR(COLUMN(C124)+64),CHAR(INT((COLUMN(C124)-1)/26)+64)&amp;CHAR(MOD(COLUMN(C124)-1,26)+65))&amp;$R104&amp;""),"")</f>
        <v/>
      </c>
      <c r="T104" s="51" t="str" cm="1">
        <f t="array" aca="1" ref="T104" ca="1">IF(IF($R104&lt;&gt;"",
INDIRECT(""&amp;IF(COLUMN(D124)&lt;=26,CHAR(COLUMN(D124)+64),CHAR(INT((COLUMN(D124)-1)/26)+64)&amp;CHAR(MOD(COLUMN(D124)-1,26)+65))&amp;$R104&amp;""),"")=0,"",
IF($R104&lt;&gt;"",
INDIRECT(""&amp;IF(COLUMN(D124)&lt;=26,CHAR(COLUMN(D124)+64),CHAR(INT((COLUMN(D124)-1)/26)+64)&amp;CHAR(MOD(COLUMN(D124)-1,26)+65))&amp;$R104&amp;""),""))</f>
        <v/>
      </c>
      <c r="U104" s="51"/>
      <c r="V104" s="51" t="str">
        <f t="array" aca="1" ref="V104" ca="1">IF($R104&lt;&gt;"",
IF(U104="",
IF(INDIRECT("EY"&amp;$R104&amp;"")&lt;&gt;"",
INDIRECT("EY"&amp;$R104&amp;"")&amp;"箱"
&amp;INDIRECT("EZ"&amp;$R104&amp;""),""),""),"")</f>
        <v/>
      </c>
      <c r="W104" s="51" t="str">
        <f t="array" aca="1" ref="W104" ca="1">IF($R104&lt;&gt;"",
INDIRECT(""&amp;IF(COLUMN(H124)&lt;=26,CHAR(COLUMN(H124)+64),CHAR(INT((COLUMN(H124)-1)/26)+64)&amp;CHAR(MOD(COLUMN(H124)-1,26)+65))&amp;$R104&amp;""),"")</f>
        <v/>
      </c>
      <c r="X104" s="51" t="str">
        <f t="array" aca="1" ref="X104" ca="1">IF($R104&lt;&gt;"",
INDIRECT(""&amp;IF(COLUMN(I124)&lt;=26,CHAR(COLUMN(I124)+64),CHAR(INT((COLUMN(I124)-1)/26)+64)&amp;CHAR(MOD(COLUMN(I124)-1,26)+65))&amp;$R104&amp;""),"")</f>
        <v/>
      </c>
      <c r="Y104" s="51" t="str">
        <f t="array" aca="1" ref="Y104" ca="1">IF($R104&lt;&gt;"",
INDIRECT(""&amp;IF(COLUMN(J124)&lt;=26,CHAR(COLUMN(J124)+64),CHAR(INT((COLUMN(J124)-1)/26)+64)&amp;CHAR(MOD(COLUMN(J124)-1,26)+65))&amp;$R104&amp;""),"")</f>
        <v/>
      </c>
      <c r="Z104" s="51" t="str">
        <f t="array" aca="1" ref="Z104" ca="1">IF($R104&lt;&gt;"",
INDIRECT(""&amp;IF(COLUMN(K124)&lt;=26,CHAR(COLUMN(K124)+64),CHAR(INT((COLUMN(K124)-1)/26)+64)&amp;CHAR(MOD(COLUMN(K124)-1,26)+65))&amp;$R104&amp;""),"")</f>
        <v/>
      </c>
      <c r="AA104" s="51" t="str">
        <f t="array" aca="1" ref="AA104" ca="1">IF($R104&lt;&gt;"",
INDIRECT(""&amp;IF(COLUMN(L124)&lt;=26,CHAR(COLUMN(L124)+64),CHAR(INT((COLUMN(L124)-1)/26)+64)&amp;CHAR(MOD(COLUMN(L124)-1,26)+65))&amp;$R104&amp;""),"")</f>
        <v/>
      </c>
      <c r="AB104" s="51" t="str">
        <f t="array" aca="1" ref="AB104" ca="1">IF($R104&lt;&gt;"",
INDIRECT(""&amp;IF(COLUMN(O124)&lt;=26,CHAR(COLUMN(O124)+64),CHAR(INT((COLUMN(O124)-1)/26)+64)&amp;CHAR(MOD(COLUMN(O124)-1,26)+65))&amp;$R104&amp;""),"")</f>
        <v/>
      </c>
    </row>
    <row r="105" spans="1:28" ht="22.2" customHeight="1">
      <c r="A105" s="199">
        <f t="shared" ref="A105:A140" si="29">A104+2</f>
        <v>75</v>
      </c>
      <c r="B105" s="200" t="e" cm="1">
        <f t="array" aca="1" ref="B105" ca="1">IF(AND(LEFT(C105,2)="博多",
LEFT(INDIRECT("数出表_Excel!A"&amp;MATCH(C105,数出表_Excel!$A:$A,0)-1),2)
=LEFT(INDIRECT("数出表_Excel!A"&amp;MATCH(C105,数出表_Excel!$A:$A,0)+1),2)),"博多",
IF(AND(LEFT(C105,3)="奈良屋",
LEFT(INDIRECT("数出表_Excel!A"&amp;MATCH(C105,数出表_Excel!$A:$A,0)-1),2)
=LEFT(INDIRECT("数出表_Excel!A"&amp;MATCH(C105,数出表_Excel!$A:$A,0)+1),2)),"奈良屋",""))</f>
        <v>#N/A</v>
      </c>
      <c r="C105" s="200" t="str" cm="1">
        <f t="array" aca="1" ref="C105" ca="1">IF(IF(クライアント抽出!A35="",0,LEN(クライアント抽出!V35)-LEN(SUBSTITUTE(クライアント抽出!V35,",","")))&gt;=2,INDIRECT("数出表_Excel!A"&amp;A105&amp;""),"")</f>
        <v/>
      </c>
      <c r="D105" s="200" t="str" cm="1">
        <f t="array" aca="1" ref="D105" ca="1">IF(C105&lt;&gt;"",INDIRECT("クライアント抽出!"&amp;E105&amp;MATCH(C105,クライアント抽出!A:A,0)&amp;""),"")</f>
        <v/>
      </c>
      <c r="E105" s="20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201" t="str" cm="1">
        <f t="array" aca="1" ref="F105" ca="1">IF(D105&lt;&gt;"",
IF(COUNTIF(C105,"*雙葉*"),
IF(ROUND(
IF(O105&lt;&gt;"",(H105-O105),H105)
/IF(COUNTIF('盛付札（関数）'!D105,"*キャラ*"),
VLOOKUP("*キャラ*",#REF!,7,FALSE),
IF(COUNTIF('盛付札（関数）'!D105,"*赤*"),
VLOOKUP("*赤*",#REF!,7,FALSE),
VLOOKUP('盛付札（関数）'!D105,#REF!,7,FALSE))),0)&lt;=0,1,
ROUND(
IF(O105&lt;&gt;"",(H105-O105),H105)
/IF(COUNTIF('盛付札（関数）'!D105,"*キャラ*"),
VLOOKUP("*キャラ*",#REF!,7,FALSE),
IF(COUNTIF('盛付札（関数）'!D105,"*赤*"),
VLOOKUP("*赤*",#REF!,7,FALSE),
VLOOKUP('盛付札（関数）'!D105,#REF!,7,FALSE))),0)),
IF(MATCH(TRUE,
ISNUMBER(--INDIRECT("数出表_Excel!B"&amp;MATCH(C105,数出表_Excel!$A:$A,0)-1&amp;":U"&amp;MATCH(C105,数出表_Excel!$A:$A,0)-1&amp;"")),0)&gt;10,
IF(D105&lt;&gt;"",
IF(IF(COUNTIF('盛付札（関数）'!D105,"*キャラ*"),
VLOOKUP("*キャラ*",#REF!,7,FALSE),
IF(COUNTIF('盛付札（関数）'!D105,"*赤*"),
VLOOKUP("*赤*",#REF!,7,FALSE),
VLOOKUP('盛付札（関数）'!D105,#REF!,7,FALSE)))=0,"",
IF(ROUND(
IF(O105&lt;&gt;"",(H105-O105),H105)
/IF(COUNTIF('盛付札（関数）'!D105,"*キャラ*"),
VLOOKUP("*キャラ*",#REF!,7,FALSE),
IF(COUNTIF('盛付札（関数）'!D105,"*赤*"),
VLOOKUP("*赤*",#REF!,7,FALSE),
VLOOKUP('盛付札（関数）'!D105,#REF!,7,FALSE))),0)&lt;=0,1,
ROUND(
IF(O105&lt;&gt;"",(H105-O105),H105)
/IF(COUNTIF('盛付札（関数）'!D105,"*キャラ*"),
VLOOKUP("*キャラ*",#REF!,7,FALSE),
IF(COUNTIF('盛付札（関数）'!D105,"*赤*"),
VLOOKUP("*赤*",#REF!,7,FALSE),
VLOOKUP('盛付札（関数）'!D105,#REF!,7,FALSE))),0))),""),"")),"")</f>
        <v/>
      </c>
      <c r="G105" s="201" t="str">
        <f ca="1">IF(F105&lt;&gt;"",IF(VALUE(IF(O105&lt;&gt;"",H105-O105,H105))&gt;VALUE(IF(COUNTIF('盛付札（関数）'!D105,"*キャラ*"),
VLOOKUP("*キャラ*",#REF!,7,FALSE),
IF(COUNTIF('盛付札（関数）'!D105,"*赤*"),
VLOOKUP("*赤*",#REF!,7,FALSE),
VLOOKUP('盛付札（関数）'!D105,#REF!,7,FALSE)))*F105),
"+"&amp;IF(O105&lt;&gt;"",H105-O105,H105)-IF(COUNTIF('盛付札（関数）'!D105,"*キャラ*"),
VLOOKUP("*キャラ*",#REF!,7,FALSE),
IF(COUNTIF('盛付札（関数）'!D105,"*赤*"),
VLOOKUP("*赤*",#REF!,7,FALSE),
VLOOKUP('盛付札（関数）'!D105,#REF!,7,FALSE)))*F105,
IF(O105&lt;&gt;"",H105-O105,H105)-IF(COUNTIF('盛付札（関数）'!D105,"*キャラ*"),
VLOOKUP("*キャラ*",#REF!,7,FALSE),
IF(COUNTIF('盛付札（関数）'!D105,"*赤*"),
VLOOKUP("*赤*",#REF!,7,FALSE),
VLOOKUP('盛付札（関数）'!D105,#REF!,7,FALSE)))*F105),"")</f>
        <v/>
      </c>
      <c r="H105" s="202" t="str" cm="1">
        <f t="array" aca="1" ref="H105" ca="1">IF(C105&lt;&gt;"",
IF(INDIRECT("数出表_Excel!"&amp;IFERROR(MID(クライアント抽出!V35,FIND(",",クライアント抽出!V35)+1,1),"")&amp;A105-1&amp;"")&lt;&gt;"",
INDIRECT("数出表_Excel!"&amp;IFERROR(MID(クライアント抽出!V35,FIND(",",クライアント抽出!V35)+1,1),"")&amp;A105-1&amp;""),0),"")</f>
        <v/>
      </c>
      <c r="I105" s="200" t="str" cm="1">
        <f t="array" aca="1" ref="I105" ca="1">IF(C105&lt;&gt;"",
IF(INDIRECT("数出表_Excel!"&amp;IFERROR(MID(クライアント抽出!V35,FIND(",",クライアント抽出!V35)+1,1),"")&amp;A105&amp;"")&lt;&gt;"",
INDIRECT("数出表_Excel!"&amp;IFERROR(MID(クライアント抽出!V35,FIND(",",クライアント抽出!V35)+1,1),"")&amp;A105&amp;""),0),"")</f>
        <v/>
      </c>
      <c r="J105" s="200" t="str">
        <f ca="1">IF(C105&lt;&gt;"",
VLOOKUP(
IF(COUNTIF(D105,"*学食*"),"キャラ弁（学食）",
IF(COUNTIF(D105,"*赤*"),"赤",
IF(COUNTIF(D105,"*キャラ弁当*"),"キャラ弁当",D105))),注文弁当の抽出!$E$1:$F$15,2,FALSE),"")</f>
        <v/>
      </c>
      <c r="K105" s="200" t="str">
        <f t="shared" ca="1" si="25"/>
        <v/>
      </c>
      <c r="L105" s="200" t="str">
        <f t="shared" ca="1" si="26"/>
        <v/>
      </c>
      <c r="M105" s="200" cm="1">
        <f t="array" aca="1" ref="M105" ca="1">IF(C105&lt;&gt;"",
IF(IFERROR(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0)&lt;&gt;0,
IF(IFERROR(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"")="",
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""),
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0)),0),0)</f>
        <v>0</v>
      </c>
      <c r="N105" s="200" t="e">
        <f t="array" aca="1" ref="N105" ca="1">IF(B105="博多",
IF(C105&lt;&gt;"",
IF(IFERROR(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0)&lt;&gt;0,
IF(IFERROR(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0)="",
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0),
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0)),0),""),0)</f>
        <v>#N/A</v>
      </c>
      <c r="O105" s="200" t="e">
        <f t="shared" ca="1" si="27"/>
        <v>#N/A</v>
      </c>
      <c r="P105" s="200">
        <f t="shared" ca="1" si="4"/>
        <v>0</v>
      </c>
      <c r="Q105" s="200" t="b">
        <f t="shared" ca="1" si="28"/>
        <v>0</v>
      </c>
      <c r="R105" s="51" t="str" cm="1">
        <f t="array" aca="1" ref="R105" ca="1">IFERROR(SMALL(IF(P$1:P$300&lt;&gt;0,P$1:P$300),ROW(A105)),"")</f>
        <v/>
      </c>
      <c r="S105" s="51" t="str">
        <f t="array" aca="1" ref="S105" ca="1">IF($R105&lt;&gt;"",
INDIRECT(""&amp;IF(COLUMN(C125)&lt;=26,CHAR(COLUMN(C125)+64),CHAR(INT((COLUMN(C125)-1)/26)+64)&amp;CHAR(MOD(COLUMN(C125)-1,26)+65))&amp;$R105&amp;""),"")</f>
        <v/>
      </c>
      <c r="T105" s="51" t="str" cm="1">
        <f t="array" aca="1" ref="T105" ca="1">IF(IF($R105&lt;&gt;"",
INDIRECT(""&amp;IF(COLUMN(D125)&lt;=26,CHAR(COLUMN(D125)+64),CHAR(INT((COLUMN(D125)-1)/26)+64)&amp;CHAR(MOD(COLUMN(D125)-1,26)+65))&amp;$R105&amp;""),"")=0,"",
IF($R105&lt;&gt;"",
INDIRECT(""&amp;IF(COLUMN(D125)&lt;=26,CHAR(COLUMN(D125)+64),CHAR(INT((COLUMN(D125)-1)/26)+64)&amp;CHAR(MOD(COLUMN(D125)-1,26)+65))&amp;$R105&amp;""),""))</f>
        <v/>
      </c>
      <c r="U105" s="51"/>
      <c r="V105" s="51" t="str">
        <f t="array" aca="1" ref="V105" ca="1">IF($R105&lt;&gt;"",
IF(U105="",
IF(INDIRECT("EY"&amp;$R105&amp;"")&lt;&gt;"",
INDIRECT("EY"&amp;$R105&amp;"")&amp;"箱"
&amp;INDIRECT("EZ"&amp;$R105&amp;""),""),""),"")</f>
        <v/>
      </c>
      <c r="W105" s="51" t="str">
        <f t="array" aca="1" ref="W105" ca="1">IF($R105&lt;&gt;"",
INDIRECT(""&amp;IF(COLUMN(H125)&lt;=26,CHAR(COLUMN(H125)+64),CHAR(INT((COLUMN(H125)-1)/26)+64)&amp;CHAR(MOD(COLUMN(H125)-1,26)+65))&amp;$R105&amp;""),"")</f>
        <v/>
      </c>
      <c r="X105" s="51" t="str">
        <f t="array" aca="1" ref="X105" ca="1">IF($R105&lt;&gt;"",
INDIRECT(""&amp;IF(COLUMN(I125)&lt;=26,CHAR(COLUMN(I125)+64),CHAR(INT((COLUMN(I125)-1)/26)+64)&amp;CHAR(MOD(COLUMN(I125)-1,26)+65))&amp;$R105&amp;""),"")</f>
        <v/>
      </c>
      <c r="Y105" s="51" t="str">
        <f t="array" aca="1" ref="Y105" ca="1">IF($R105&lt;&gt;"",
INDIRECT(""&amp;IF(COLUMN(J125)&lt;=26,CHAR(COLUMN(J125)+64),CHAR(INT((COLUMN(J125)-1)/26)+64)&amp;CHAR(MOD(COLUMN(J125)-1,26)+65))&amp;$R105&amp;""),"")</f>
        <v/>
      </c>
      <c r="Z105" s="51" t="str">
        <f t="array" aca="1" ref="Z105" ca="1">IF($R105&lt;&gt;"",
INDIRECT(""&amp;IF(COLUMN(K125)&lt;=26,CHAR(COLUMN(K125)+64),CHAR(INT((COLUMN(K125)-1)/26)+64)&amp;CHAR(MOD(COLUMN(K125)-1,26)+65))&amp;$R105&amp;""),"")</f>
        <v/>
      </c>
      <c r="AA105" s="51" t="str">
        <f t="array" aca="1" ref="AA105" ca="1">IF($R105&lt;&gt;"",
INDIRECT(""&amp;IF(COLUMN(L125)&lt;=26,CHAR(COLUMN(L125)+64),CHAR(INT((COLUMN(L125)-1)/26)+64)&amp;CHAR(MOD(COLUMN(L125)-1,26)+65))&amp;$R105&amp;""),"")</f>
        <v/>
      </c>
      <c r="AB105" s="51" t="str">
        <f t="array" aca="1" ref="AB105" ca="1">IF($R105&lt;&gt;"",
INDIRECT(""&amp;IF(COLUMN(O125)&lt;=26,CHAR(COLUMN(O125)+64),CHAR(INT((COLUMN(O125)-1)/26)+64)&amp;CHAR(MOD(COLUMN(O125)-1,26)+65))&amp;$R105&amp;""),"")</f>
        <v/>
      </c>
    </row>
    <row r="106" spans="1:28" ht="22.2" customHeight="1">
      <c r="A106" s="199">
        <f t="shared" si="29"/>
        <v>77</v>
      </c>
      <c r="B106" s="200" t="e" cm="1">
        <f t="array" aca="1" ref="B106" ca="1">IF(AND(LEFT(C106,2)="博多",
LEFT(INDIRECT("数出表_Excel!A"&amp;MATCH(C106,数出表_Excel!$A:$A,0)-1),2)
=LEFT(INDIRECT("数出表_Excel!A"&amp;MATCH(C106,数出表_Excel!$A:$A,0)+1),2)),"博多",
IF(AND(LEFT(C106,3)="奈良屋",
LEFT(INDIRECT("数出表_Excel!A"&amp;MATCH(C106,数出表_Excel!$A:$A,0)-1),2)
=LEFT(INDIRECT("数出表_Excel!A"&amp;MATCH(C106,数出表_Excel!$A:$A,0)+1),2)),"奈良屋",""))</f>
        <v>#N/A</v>
      </c>
      <c r="C106" s="200" t="str" cm="1">
        <f t="array" aca="1" ref="C106" ca="1">IF(IF(クライアント抽出!A36="",0,LEN(クライアント抽出!V36)-LEN(SUBSTITUTE(クライアント抽出!V36,",","")))&gt;=2,INDIRECT("数出表_Excel!A"&amp;A106&amp;""),"")</f>
        <v/>
      </c>
      <c r="D106" s="200" t="str" cm="1">
        <f t="array" aca="1" ref="D106" ca="1">IF(C106&lt;&gt;"",INDIRECT("クライアント抽出!"&amp;E106&amp;MATCH(C106,クライアント抽出!A:A,0)&amp;""),"")</f>
        <v/>
      </c>
      <c r="E106" s="20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201" t="str" cm="1">
        <f t="array" aca="1" ref="F106" ca="1">IF(D106&lt;&gt;"",
IF(COUNTIF(C106,"*雙葉*"),
IF(ROUND(
IF(O106&lt;&gt;"",(H106-O106),H106)
/IF(COUNTIF('盛付札（関数）'!D106,"*キャラ*"),
VLOOKUP("*キャラ*",#REF!,7,FALSE),
IF(COUNTIF('盛付札（関数）'!D106,"*赤*"),
VLOOKUP("*赤*",#REF!,7,FALSE),
VLOOKUP('盛付札（関数）'!D106,#REF!,7,FALSE))),0)&lt;=0,1,
ROUND(
IF(O106&lt;&gt;"",(H106-O106),H106)
/IF(COUNTIF('盛付札（関数）'!D106,"*キャラ*"),
VLOOKUP("*キャラ*",#REF!,7,FALSE),
IF(COUNTIF('盛付札（関数）'!D106,"*赤*"),
VLOOKUP("*赤*",#REF!,7,FALSE),
VLOOKUP('盛付札（関数）'!D106,#REF!,7,FALSE))),0)),
IF(MATCH(TRUE,
ISNUMBER(--INDIRECT("数出表_Excel!B"&amp;MATCH(C106,数出表_Excel!$A:$A,0)-1&amp;":U"&amp;MATCH(C106,数出表_Excel!$A:$A,0)-1&amp;"")),0)&gt;10,
IF(D106&lt;&gt;"",
IF(IF(COUNTIF('盛付札（関数）'!D106,"*キャラ*"),
VLOOKUP("*キャラ*",#REF!,7,FALSE),
IF(COUNTIF('盛付札（関数）'!D106,"*赤*"),
VLOOKUP("*赤*",#REF!,7,FALSE),
VLOOKUP('盛付札（関数）'!D106,#REF!,7,FALSE)))=0,"",
IF(ROUND(
IF(O106&lt;&gt;"",(H106-O106),H106)
/IF(COUNTIF('盛付札（関数）'!D106,"*キャラ*"),
VLOOKUP("*キャラ*",#REF!,7,FALSE),
IF(COUNTIF('盛付札（関数）'!D106,"*赤*"),
VLOOKUP("*赤*",#REF!,7,FALSE),
VLOOKUP('盛付札（関数）'!D106,#REF!,7,FALSE))),0)&lt;=0,1,
ROUND(
IF(O106&lt;&gt;"",(H106-O106),H106)
/IF(COUNTIF('盛付札（関数）'!D106,"*キャラ*"),
VLOOKUP("*キャラ*",#REF!,7,FALSE),
IF(COUNTIF('盛付札（関数）'!D106,"*赤*"),
VLOOKUP("*赤*",#REF!,7,FALSE),
VLOOKUP('盛付札（関数）'!D106,#REF!,7,FALSE))),0))),""),"")),"")</f>
        <v/>
      </c>
      <c r="G106" s="201" t="str">
        <f ca="1">IF(F106&lt;&gt;"",IF(VALUE(IF(O106&lt;&gt;"",H106-O106,H106))&gt;VALUE(IF(COUNTIF('盛付札（関数）'!D106,"*キャラ*"),
VLOOKUP("*キャラ*",#REF!,7,FALSE),
IF(COUNTIF('盛付札（関数）'!D106,"*赤*"),
VLOOKUP("*赤*",#REF!,7,FALSE),
VLOOKUP('盛付札（関数）'!D106,#REF!,7,FALSE)))*F106),
"+"&amp;IF(O106&lt;&gt;"",H106-O106,H106)-IF(COUNTIF('盛付札（関数）'!D106,"*キャラ*"),
VLOOKUP("*キャラ*",#REF!,7,FALSE),
IF(COUNTIF('盛付札（関数）'!D106,"*赤*"),
VLOOKUP("*赤*",#REF!,7,FALSE),
VLOOKUP('盛付札（関数）'!D106,#REF!,7,FALSE)))*F106,
IF(O106&lt;&gt;"",H106-O106,H106)-IF(COUNTIF('盛付札（関数）'!D106,"*キャラ*"),
VLOOKUP("*キャラ*",#REF!,7,FALSE),
IF(COUNTIF('盛付札（関数）'!D106,"*赤*"),
VLOOKUP("*赤*",#REF!,7,FALSE),
VLOOKUP('盛付札（関数）'!D106,#REF!,7,FALSE)))*F106),"")</f>
        <v/>
      </c>
      <c r="H106" s="202" t="str" cm="1">
        <f t="array" aca="1" ref="H106" ca="1">IF(C106&lt;&gt;"",
IF(INDIRECT("数出表_Excel!"&amp;IFERROR(MID(クライアント抽出!V36,FIND(",",クライアント抽出!V36)+1,1),"")&amp;A106-1&amp;"")&lt;&gt;"",
INDIRECT("数出表_Excel!"&amp;IFERROR(MID(クライアント抽出!V36,FIND(",",クライアント抽出!V36)+1,1),"")&amp;A106-1&amp;""),0),"")</f>
        <v/>
      </c>
      <c r="I106" s="200" t="str" cm="1">
        <f t="array" aca="1" ref="I106" ca="1">IF(C106&lt;&gt;"",
IF(INDIRECT("数出表_Excel!"&amp;IFERROR(MID(クライアント抽出!V36,FIND(",",クライアント抽出!V36)+1,1),"")&amp;A106&amp;"")&lt;&gt;"",
INDIRECT("数出表_Excel!"&amp;IFERROR(MID(クライアント抽出!V36,FIND(",",クライアント抽出!V36)+1,1),"")&amp;A106&amp;""),0),"")</f>
        <v/>
      </c>
      <c r="J106" s="200" t="str">
        <f ca="1">IF(C106&lt;&gt;"",
VLOOKUP(
IF(COUNTIF(D106,"*学食*"),"キャラ弁（学食）",
IF(COUNTIF(D106,"*赤*"),"赤",
IF(COUNTIF(D106,"*キャラ弁当*"),"キャラ弁当",D106))),注文弁当の抽出!$E$1:$F$15,2,FALSE),"")</f>
        <v/>
      </c>
      <c r="K106" s="200" t="str">
        <f t="shared" ca="1" si="25"/>
        <v/>
      </c>
      <c r="L106" s="200" t="str">
        <f t="shared" ca="1" si="26"/>
        <v/>
      </c>
      <c r="M106" s="200" cm="1">
        <f t="array" aca="1" ref="M106" ca="1">IF(C106&lt;&gt;"",
IF(IFERROR(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0)&lt;&gt;0,
IF(IFERROR(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"")="",
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""),
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0)),0),0)</f>
        <v>0</v>
      </c>
      <c r="N106" s="200" t="e">
        <f t="array" aca="1" ref="N106" ca="1">IF(B106="博多",
IF(C106&lt;&gt;"",
IF(IFERROR(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0)&lt;&gt;0,
IF(IFERROR(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0)="",
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0),
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0)),0),""),0)</f>
        <v>#N/A</v>
      </c>
      <c r="O106" s="200" t="e">
        <f t="shared" ca="1" si="27"/>
        <v>#N/A</v>
      </c>
      <c r="P106" s="200">
        <f t="shared" ca="1" si="4"/>
        <v>0</v>
      </c>
      <c r="Q106" s="200" t="b">
        <f t="shared" ca="1" si="28"/>
        <v>0</v>
      </c>
      <c r="R106" s="51" t="str" cm="1">
        <f t="array" aca="1" ref="R106" ca="1">IFERROR(SMALL(IF(P$1:P$300&lt;&gt;0,P$1:P$300),ROW(A106)),"")</f>
        <v/>
      </c>
      <c r="S106" s="51" t="str">
        <f t="array" aca="1" ref="S106" ca="1">IF($R106&lt;&gt;"",
INDIRECT(""&amp;IF(COLUMN(C126)&lt;=26,CHAR(COLUMN(C126)+64),CHAR(INT((COLUMN(C126)-1)/26)+64)&amp;CHAR(MOD(COLUMN(C126)-1,26)+65))&amp;$R106&amp;""),"")</f>
        <v/>
      </c>
      <c r="T106" s="51" t="str" cm="1">
        <f t="array" aca="1" ref="T106" ca="1">IF(IF($R106&lt;&gt;"",
INDIRECT(""&amp;IF(COLUMN(D126)&lt;=26,CHAR(COLUMN(D126)+64),CHAR(INT((COLUMN(D126)-1)/26)+64)&amp;CHAR(MOD(COLUMN(D126)-1,26)+65))&amp;$R106&amp;""),"")=0,"",
IF($R106&lt;&gt;"",
INDIRECT(""&amp;IF(COLUMN(D126)&lt;=26,CHAR(COLUMN(D126)+64),CHAR(INT((COLUMN(D126)-1)/26)+64)&amp;CHAR(MOD(COLUMN(D126)-1,26)+65))&amp;$R106&amp;""),""))</f>
        <v/>
      </c>
      <c r="U106" s="51"/>
      <c r="V106" s="51" t="str">
        <f t="array" aca="1" ref="V106" ca="1">IF($R106&lt;&gt;"",
IF(U106="",
IF(INDIRECT("EY"&amp;$R106&amp;"")&lt;&gt;"",
INDIRECT("EY"&amp;$R106&amp;"")&amp;"箱"
&amp;INDIRECT("EZ"&amp;$R106&amp;""),""),""),"")</f>
        <v/>
      </c>
      <c r="W106" s="51" t="str">
        <f t="array" aca="1" ref="W106" ca="1">IF($R106&lt;&gt;"",
INDIRECT(""&amp;IF(COLUMN(H126)&lt;=26,CHAR(COLUMN(H126)+64),CHAR(INT((COLUMN(H126)-1)/26)+64)&amp;CHAR(MOD(COLUMN(H126)-1,26)+65))&amp;$R106&amp;""),"")</f>
        <v/>
      </c>
      <c r="X106" s="51" t="str">
        <f t="array" aca="1" ref="X106" ca="1">IF($R106&lt;&gt;"",
INDIRECT(""&amp;IF(COLUMN(I126)&lt;=26,CHAR(COLUMN(I126)+64),CHAR(INT((COLUMN(I126)-1)/26)+64)&amp;CHAR(MOD(COLUMN(I126)-1,26)+65))&amp;$R106&amp;""),"")</f>
        <v/>
      </c>
      <c r="Y106" s="51" t="str">
        <f t="array" aca="1" ref="Y106" ca="1">IF($R106&lt;&gt;"",
INDIRECT(""&amp;IF(COLUMN(J126)&lt;=26,CHAR(COLUMN(J126)+64),CHAR(INT((COLUMN(J126)-1)/26)+64)&amp;CHAR(MOD(COLUMN(J126)-1,26)+65))&amp;$R106&amp;""),"")</f>
        <v/>
      </c>
      <c r="Z106" s="51" t="str">
        <f t="array" aca="1" ref="Z106" ca="1">IF($R106&lt;&gt;"",
INDIRECT(""&amp;IF(COLUMN(K126)&lt;=26,CHAR(COLUMN(K126)+64),CHAR(INT((COLUMN(K126)-1)/26)+64)&amp;CHAR(MOD(COLUMN(K126)-1,26)+65))&amp;$R106&amp;""),"")</f>
        <v/>
      </c>
      <c r="AA106" s="51" t="str">
        <f t="array" aca="1" ref="AA106" ca="1">IF($R106&lt;&gt;"",
INDIRECT(""&amp;IF(COLUMN(L126)&lt;=26,CHAR(COLUMN(L126)+64),CHAR(INT((COLUMN(L126)-1)/26)+64)&amp;CHAR(MOD(COLUMN(L126)-1,26)+65))&amp;$R106&amp;""),"")</f>
        <v/>
      </c>
      <c r="AB106" s="51" t="str">
        <f t="array" aca="1" ref="AB106" ca="1">IF($R106&lt;&gt;"",
INDIRECT(""&amp;IF(COLUMN(O126)&lt;=26,CHAR(COLUMN(O126)+64),CHAR(INT((COLUMN(O126)-1)/26)+64)&amp;CHAR(MOD(COLUMN(O126)-1,26)+65))&amp;$R106&amp;""),"")</f>
        <v/>
      </c>
    </row>
    <row r="107" spans="1:28" ht="22.2" customHeight="1">
      <c r="A107" s="199">
        <f t="shared" si="29"/>
        <v>79</v>
      </c>
      <c r="B107" s="200" t="e" cm="1">
        <f t="array" aca="1" ref="B107" ca="1">IF(AND(LEFT(C107,2)="博多",
LEFT(INDIRECT("数出表_Excel!A"&amp;MATCH(C107,数出表_Excel!$A:$A,0)-1),2)
=LEFT(INDIRECT("数出表_Excel!A"&amp;MATCH(C107,数出表_Excel!$A:$A,0)+1),2)),"博多",
IF(AND(LEFT(C107,3)="奈良屋",
LEFT(INDIRECT("数出表_Excel!A"&amp;MATCH(C107,数出表_Excel!$A:$A,0)-1),2)
=LEFT(INDIRECT("数出表_Excel!A"&amp;MATCH(C107,数出表_Excel!$A:$A,0)+1),2)),"奈良屋",""))</f>
        <v>#N/A</v>
      </c>
      <c r="C107" s="200" t="str" cm="1">
        <f t="array" aca="1" ref="C107" ca="1">IF(IF(クライアント抽出!A37="",0,LEN(クライアント抽出!V37)-LEN(SUBSTITUTE(クライアント抽出!V37,",","")))&gt;=2,INDIRECT("数出表_Excel!A"&amp;A107&amp;""),"")</f>
        <v/>
      </c>
      <c r="D107" s="200" t="str" cm="1">
        <f t="array" aca="1" ref="D107" ca="1">IF(C107&lt;&gt;"",INDIRECT("クライアント抽出!"&amp;E107&amp;MATCH(C107,クライアント抽出!A:A,0)&amp;""),"")</f>
        <v/>
      </c>
      <c r="E107" s="20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201" t="str" cm="1">
        <f t="array" aca="1" ref="F107" ca="1">IF(D107&lt;&gt;"",
IF(COUNTIF(C107,"*雙葉*"),
IF(ROUND(
IF(O107&lt;&gt;"",(H107-O107),H107)
/IF(COUNTIF('盛付札（関数）'!D107,"*キャラ*"),
VLOOKUP("*キャラ*",#REF!,7,FALSE),
IF(COUNTIF('盛付札（関数）'!D107,"*赤*"),
VLOOKUP("*赤*",#REF!,7,FALSE),
VLOOKUP('盛付札（関数）'!D107,#REF!,7,FALSE))),0)&lt;=0,1,
ROUND(
IF(O107&lt;&gt;"",(H107-O107),H107)
/IF(COUNTIF('盛付札（関数）'!D107,"*キャラ*"),
VLOOKUP("*キャラ*",#REF!,7,FALSE),
IF(COUNTIF('盛付札（関数）'!D107,"*赤*"),
VLOOKUP("*赤*",#REF!,7,FALSE),
VLOOKUP('盛付札（関数）'!D107,#REF!,7,FALSE))),0)),
IF(MATCH(TRUE,
ISNUMBER(--INDIRECT("数出表_Excel!B"&amp;MATCH(C107,数出表_Excel!$A:$A,0)-1&amp;":U"&amp;MATCH(C107,数出表_Excel!$A:$A,0)-1&amp;"")),0)&gt;10,
IF(D107&lt;&gt;"",
IF(IF(COUNTIF('盛付札（関数）'!D107,"*キャラ*"),
VLOOKUP("*キャラ*",#REF!,7,FALSE),
IF(COUNTIF('盛付札（関数）'!D107,"*赤*"),
VLOOKUP("*赤*",#REF!,7,FALSE),
VLOOKUP('盛付札（関数）'!D107,#REF!,7,FALSE)))=0,"",
IF(ROUND(
IF(O107&lt;&gt;"",(H107-O107),H107)
/IF(COUNTIF('盛付札（関数）'!D107,"*キャラ*"),
VLOOKUP("*キャラ*",#REF!,7,FALSE),
IF(COUNTIF('盛付札（関数）'!D107,"*赤*"),
VLOOKUP("*赤*",#REF!,7,FALSE),
VLOOKUP('盛付札（関数）'!D107,#REF!,7,FALSE))),0)&lt;=0,1,
ROUND(
IF(O107&lt;&gt;"",(H107-O107),H107)
/IF(COUNTIF('盛付札（関数）'!D107,"*キャラ*"),
VLOOKUP("*キャラ*",#REF!,7,FALSE),
IF(COUNTIF('盛付札（関数）'!D107,"*赤*"),
VLOOKUP("*赤*",#REF!,7,FALSE),
VLOOKUP('盛付札（関数）'!D107,#REF!,7,FALSE))),0))),""),"")),"")</f>
        <v/>
      </c>
      <c r="G107" s="201" t="str">
        <f ca="1">IF(F107&lt;&gt;"",IF(VALUE(IF(O107&lt;&gt;"",H107-O107,H107))&gt;VALUE(IF(COUNTIF('盛付札（関数）'!D107,"*キャラ*"),
VLOOKUP("*キャラ*",#REF!,7,FALSE),
IF(COUNTIF('盛付札（関数）'!D107,"*赤*"),
VLOOKUP("*赤*",#REF!,7,FALSE),
VLOOKUP('盛付札（関数）'!D107,#REF!,7,FALSE)))*F107),
"+"&amp;IF(O107&lt;&gt;"",H107-O107,H107)-IF(COUNTIF('盛付札（関数）'!D107,"*キャラ*"),
VLOOKUP("*キャラ*",#REF!,7,FALSE),
IF(COUNTIF('盛付札（関数）'!D107,"*赤*"),
VLOOKUP("*赤*",#REF!,7,FALSE),
VLOOKUP('盛付札（関数）'!D107,#REF!,7,FALSE)))*F107,
IF(O107&lt;&gt;"",H107-O107,H107)-IF(COUNTIF('盛付札（関数）'!D107,"*キャラ*"),
VLOOKUP("*キャラ*",#REF!,7,FALSE),
IF(COUNTIF('盛付札（関数）'!D107,"*赤*"),
VLOOKUP("*赤*",#REF!,7,FALSE),
VLOOKUP('盛付札（関数）'!D107,#REF!,7,FALSE)))*F107),"")</f>
        <v/>
      </c>
      <c r="H107" s="202" t="str" cm="1">
        <f t="array" aca="1" ref="H107" ca="1">IF(C107&lt;&gt;"",
IF(INDIRECT("数出表_Excel!"&amp;IFERROR(MID(クライアント抽出!V37,FIND(",",クライアント抽出!V37)+1,1),"")&amp;A107-1&amp;"")&lt;&gt;"",
INDIRECT("数出表_Excel!"&amp;IFERROR(MID(クライアント抽出!V37,FIND(",",クライアント抽出!V37)+1,1),"")&amp;A107-1&amp;""),0),"")</f>
        <v/>
      </c>
      <c r="I107" s="200" t="str" cm="1">
        <f t="array" aca="1" ref="I107" ca="1">IF(C107&lt;&gt;"",
IF(INDIRECT("数出表_Excel!"&amp;IFERROR(MID(クライアント抽出!V37,FIND(",",クライアント抽出!V37)+1,1),"")&amp;A107&amp;"")&lt;&gt;"",
INDIRECT("数出表_Excel!"&amp;IFERROR(MID(クライアント抽出!V37,FIND(",",クライアント抽出!V37)+1,1),"")&amp;A107&amp;""),0),"")</f>
        <v/>
      </c>
      <c r="J107" s="200" t="str">
        <f ca="1">IF(C107&lt;&gt;"",
VLOOKUP(
IF(COUNTIF(D107,"*学食*"),"キャラ弁（学食）",
IF(COUNTIF(D107,"*赤*"),"赤",
IF(COUNTIF(D107,"*キャラ弁当*"),"キャラ弁当",D107))),注文弁当の抽出!$E$1:$F$15,2,FALSE),"")</f>
        <v/>
      </c>
      <c r="K107" s="200" t="str">
        <f t="shared" ca="1" si="25"/>
        <v/>
      </c>
      <c r="L107" s="200" t="str">
        <f t="shared" ca="1" si="26"/>
        <v/>
      </c>
      <c r="M107" s="200" cm="1">
        <f t="array" aca="1" ref="M107" ca="1">IF(C107&lt;&gt;"",
IF(IFERROR(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0)&lt;&gt;0,
IF(IFERROR(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"")="",
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""),
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0)),0),0)</f>
        <v>0</v>
      </c>
      <c r="N107" s="200" t="e">
        <f t="array" aca="1" ref="N107" ca="1">IF(B107="博多",
IF(C107&lt;&gt;"",
IF(IFERROR(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0)&lt;&gt;0,
IF(IFERROR(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0)="",
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0),
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0)),0),""),0)</f>
        <v>#N/A</v>
      </c>
      <c r="O107" s="200" t="e">
        <f t="shared" ca="1" si="27"/>
        <v>#N/A</v>
      </c>
      <c r="P107" s="200">
        <f t="shared" ca="1" si="4"/>
        <v>0</v>
      </c>
      <c r="Q107" s="200" t="b">
        <f t="shared" ca="1" si="28"/>
        <v>0</v>
      </c>
      <c r="R107" s="51" t="str" cm="1">
        <f t="array" aca="1" ref="R107" ca="1">IFERROR(SMALL(IF(P$1:P$300&lt;&gt;0,P$1:P$300),ROW(A107)),"")</f>
        <v/>
      </c>
      <c r="S107" s="51" t="str">
        <f t="array" aca="1" ref="S107" ca="1">IF($R107&lt;&gt;"",
INDIRECT(""&amp;IF(COLUMN(C127)&lt;=26,CHAR(COLUMN(C127)+64),CHAR(INT((COLUMN(C127)-1)/26)+64)&amp;CHAR(MOD(COLUMN(C127)-1,26)+65))&amp;$R107&amp;""),"")</f>
        <v/>
      </c>
      <c r="T107" s="51" t="str" cm="1">
        <f t="array" aca="1" ref="T107" ca="1">IF(IF($R107&lt;&gt;"",
INDIRECT(""&amp;IF(COLUMN(D127)&lt;=26,CHAR(COLUMN(D127)+64),CHAR(INT((COLUMN(D127)-1)/26)+64)&amp;CHAR(MOD(COLUMN(D127)-1,26)+65))&amp;$R107&amp;""),"")=0,"",
IF($R107&lt;&gt;"",
INDIRECT(""&amp;IF(COLUMN(D127)&lt;=26,CHAR(COLUMN(D127)+64),CHAR(INT((COLUMN(D127)-1)/26)+64)&amp;CHAR(MOD(COLUMN(D127)-1,26)+65))&amp;$R107&amp;""),""))</f>
        <v/>
      </c>
      <c r="U107" s="51"/>
      <c r="V107" s="51" t="str">
        <f t="array" aca="1" ref="V107" ca="1">IF($R107&lt;&gt;"",
IF(U107="",
IF(INDIRECT("EY"&amp;$R107&amp;"")&lt;&gt;"",
INDIRECT("EY"&amp;$R107&amp;"")&amp;"箱"
&amp;INDIRECT("EZ"&amp;$R107&amp;""),""),""),"")</f>
        <v/>
      </c>
      <c r="W107" s="51" t="str">
        <f t="array" aca="1" ref="W107" ca="1">IF($R107&lt;&gt;"",
INDIRECT(""&amp;IF(COLUMN(H127)&lt;=26,CHAR(COLUMN(H127)+64),CHAR(INT((COLUMN(H127)-1)/26)+64)&amp;CHAR(MOD(COLUMN(H127)-1,26)+65))&amp;$R107&amp;""),"")</f>
        <v/>
      </c>
      <c r="X107" s="51" t="str">
        <f t="array" aca="1" ref="X107" ca="1">IF($R107&lt;&gt;"",
INDIRECT(""&amp;IF(COLUMN(I127)&lt;=26,CHAR(COLUMN(I127)+64),CHAR(INT((COLUMN(I127)-1)/26)+64)&amp;CHAR(MOD(COLUMN(I127)-1,26)+65))&amp;$R107&amp;""),"")</f>
        <v/>
      </c>
      <c r="Y107" s="51" t="str">
        <f t="array" aca="1" ref="Y107" ca="1">IF($R107&lt;&gt;"",
INDIRECT(""&amp;IF(COLUMN(J127)&lt;=26,CHAR(COLUMN(J127)+64),CHAR(INT((COLUMN(J127)-1)/26)+64)&amp;CHAR(MOD(COLUMN(J127)-1,26)+65))&amp;$R107&amp;""),"")</f>
        <v/>
      </c>
      <c r="Z107" s="51" t="str">
        <f t="array" aca="1" ref="Z107" ca="1">IF($R107&lt;&gt;"",
INDIRECT(""&amp;IF(COLUMN(K127)&lt;=26,CHAR(COLUMN(K127)+64),CHAR(INT((COLUMN(K127)-1)/26)+64)&amp;CHAR(MOD(COLUMN(K127)-1,26)+65))&amp;$R107&amp;""),"")</f>
        <v/>
      </c>
      <c r="AA107" s="51" t="str">
        <f t="array" aca="1" ref="AA107" ca="1">IF($R107&lt;&gt;"",
INDIRECT(""&amp;IF(COLUMN(L127)&lt;=26,CHAR(COLUMN(L127)+64),CHAR(INT((COLUMN(L127)-1)/26)+64)&amp;CHAR(MOD(COLUMN(L127)-1,26)+65))&amp;$R107&amp;""),"")</f>
        <v/>
      </c>
      <c r="AB107" s="51" t="str">
        <f t="array" aca="1" ref="AB107" ca="1">IF($R107&lt;&gt;"",
INDIRECT(""&amp;IF(COLUMN(O127)&lt;=26,CHAR(COLUMN(O127)+64),CHAR(INT((COLUMN(O127)-1)/26)+64)&amp;CHAR(MOD(COLUMN(O127)-1,26)+65))&amp;$R107&amp;""),"")</f>
        <v/>
      </c>
    </row>
    <row r="108" spans="1:28" ht="22.2" customHeight="1">
      <c r="A108" s="199">
        <f t="shared" si="29"/>
        <v>81</v>
      </c>
      <c r="B108" s="200" t="e" cm="1">
        <f t="array" aca="1" ref="B108" ca="1">IF(AND(LEFT(C108,2)="博多",
LEFT(INDIRECT("数出表_Excel!A"&amp;MATCH(C108,数出表_Excel!$A:$A,0)-1),2)
=LEFT(INDIRECT("数出表_Excel!A"&amp;MATCH(C108,数出表_Excel!$A:$A,0)+1),2)),"博多",
IF(AND(LEFT(C108,3)="奈良屋",
LEFT(INDIRECT("数出表_Excel!A"&amp;MATCH(C108,数出表_Excel!$A:$A,0)-1),2)
=LEFT(INDIRECT("数出表_Excel!A"&amp;MATCH(C108,数出表_Excel!$A:$A,0)+1),2)),"奈良屋",""))</f>
        <v>#N/A</v>
      </c>
      <c r="C108" s="200" t="str" cm="1">
        <f t="array" aca="1" ref="C108" ca="1">IF(IF(クライアント抽出!A38="",0,LEN(クライアント抽出!V38)-LEN(SUBSTITUTE(クライアント抽出!V38,",","")))&gt;=2,INDIRECT("数出表_Excel!A"&amp;A108&amp;""),"")</f>
        <v/>
      </c>
      <c r="D108" s="200" t="str" cm="1">
        <f t="array" aca="1" ref="D108" ca="1">IF(C108&lt;&gt;"",INDIRECT("クライアント抽出!"&amp;E108&amp;MATCH(C108,クライアント抽出!A:A,0)&amp;""),"")</f>
        <v/>
      </c>
      <c r="E108" s="20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201" t="str" cm="1">
        <f t="array" aca="1" ref="F108" ca="1">IF(D108&lt;&gt;"",
IF(COUNTIF(C108,"*雙葉*"),
IF(ROUND(
IF(O108&lt;&gt;"",(H108-O108),H108)
/IF(COUNTIF('盛付札（関数）'!D108,"*キャラ*"),
VLOOKUP("*キャラ*",#REF!,7,FALSE),
IF(COUNTIF('盛付札（関数）'!D108,"*赤*"),
VLOOKUP("*赤*",#REF!,7,FALSE),
VLOOKUP('盛付札（関数）'!D108,#REF!,7,FALSE))),0)&lt;=0,1,
ROUND(
IF(O108&lt;&gt;"",(H108-O108),H108)
/IF(COUNTIF('盛付札（関数）'!D108,"*キャラ*"),
VLOOKUP("*キャラ*",#REF!,7,FALSE),
IF(COUNTIF('盛付札（関数）'!D108,"*赤*"),
VLOOKUP("*赤*",#REF!,7,FALSE),
VLOOKUP('盛付札（関数）'!D108,#REF!,7,FALSE))),0)),
IF(MATCH(TRUE,
ISNUMBER(--INDIRECT("数出表_Excel!B"&amp;MATCH(C108,数出表_Excel!$A:$A,0)-1&amp;":U"&amp;MATCH(C108,数出表_Excel!$A:$A,0)-1&amp;"")),0)&gt;10,
IF(D108&lt;&gt;"",
IF(IF(COUNTIF('盛付札（関数）'!D108,"*キャラ*"),
VLOOKUP("*キャラ*",#REF!,7,FALSE),
IF(COUNTIF('盛付札（関数）'!D108,"*赤*"),
VLOOKUP("*赤*",#REF!,7,FALSE),
VLOOKUP('盛付札（関数）'!D108,#REF!,7,FALSE)))=0,"",
IF(ROUND(
IF(O108&lt;&gt;"",(H108-O108),H108)
/IF(COUNTIF('盛付札（関数）'!D108,"*キャラ*"),
VLOOKUP("*キャラ*",#REF!,7,FALSE),
IF(COUNTIF('盛付札（関数）'!D108,"*赤*"),
VLOOKUP("*赤*",#REF!,7,FALSE),
VLOOKUP('盛付札（関数）'!D108,#REF!,7,FALSE))),0)&lt;=0,1,
ROUND(
IF(O108&lt;&gt;"",(H108-O108),H108)
/IF(COUNTIF('盛付札（関数）'!D108,"*キャラ*"),
VLOOKUP("*キャラ*",#REF!,7,FALSE),
IF(COUNTIF('盛付札（関数）'!D108,"*赤*"),
VLOOKUP("*赤*",#REF!,7,FALSE),
VLOOKUP('盛付札（関数）'!D108,#REF!,7,FALSE))),0))),""),"")),"")</f>
        <v/>
      </c>
      <c r="G108" s="201" t="str">
        <f ca="1">IF(F108&lt;&gt;"",IF(VALUE(IF(O108&lt;&gt;"",H108-O108,H108))&gt;VALUE(IF(COUNTIF('盛付札（関数）'!D108,"*キャラ*"),
VLOOKUP("*キャラ*",#REF!,7,FALSE),
IF(COUNTIF('盛付札（関数）'!D108,"*赤*"),
VLOOKUP("*赤*",#REF!,7,FALSE),
VLOOKUP('盛付札（関数）'!D108,#REF!,7,FALSE)))*F108),
"+"&amp;IF(O108&lt;&gt;"",H108-O108,H108)-IF(COUNTIF('盛付札（関数）'!D108,"*キャラ*"),
VLOOKUP("*キャラ*",#REF!,7,FALSE),
IF(COUNTIF('盛付札（関数）'!D108,"*赤*"),
VLOOKUP("*赤*",#REF!,7,FALSE),
VLOOKUP('盛付札（関数）'!D108,#REF!,7,FALSE)))*F108,
IF(O108&lt;&gt;"",H108-O108,H108)-IF(COUNTIF('盛付札（関数）'!D108,"*キャラ*"),
VLOOKUP("*キャラ*",#REF!,7,FALSE),
IF(COUNTIF('盛付札（関数）'!D108,"*赤*"),
VLOOKUP("*赤*",#REF!,7,FALSE),
VLOOKUP('盛付札（関数）'!D108,#REF!,7,FALSE)))*F108),"")</f>
        <v/>
      </c>
      <c r="H108" s="202" t="str" cm="1">
        <f t="array" aca="1" ref="H108" ca="1">IF(C108&lt;&gt;"",
IF(INDIRECT("数出表_Excel!"&amp;IFERROR(MID(クライアント抽出!V38,FIND(",",クライアント抽出!V38)+1,1),"")&amp;A108-1&amp;"")&lt;&gt;"",
INDIRECT("数出表_Excel!"&amp;IFERROR(MID(クライアント抽出!V38,FIND(",",クライアント抽出!V38)+1,1),"")&amp;A108-1&amp;""),0),"")</f>
        <v/>
      </c>
      <c r="I108" s="200" t="str" cm="1">
        <f t="array" aca="1" ref="I108" ca="1">IF(C108&lt;&gt;"",
IF(INDIRECT("数出表_Excel!"&amp;IFERROR(MID(クライアント抽出!V38,FIND(",",クライアント抽出!V38)+1,1),"")&amp;A108&amp;"")&lt;&gt;"",
INDIRECT("数出表_Excel!"&amp;IFERROR(MID(クライアント抽出!V38,FIND(",",クライアント抽出!V38)+1,1),"")&amp;A108&amp;""),0),"")</f>
        <v/>
      </c>
      <c r="J108" s="200" t="str">
        <f ca="1">IF(C108&lt;&gt;"",
VLOOKUP(
IF(COUNTIF(D108,"*学食*"),"キャラ弁（学食）",
IF(COUNTIF(D108,"*赤*"),"赤",
IF(COUNTIF(D108,"*キャラ弁当*"),"キャラ弁当",D108))),注文弁当の抽出!$E$1:$F$15,2,FALSE),"")</f>
        <v/>
      </c>
      <c r="K108" s="200" t="str">
        <f t="shared" ca="1" si="25"/>
        <v/>
      </c>
      <c r="L108" s="200" t="str">
        <f t="shared" ca="1" si="26"/>
        <v/>
      </c>
      <c r="M108" s="200" cm="1">
        <f t="array" aca="1" ref="M108" ca="1">IF(C108&lt;&gt;"",
IF(IFERROR(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0)&lt;&gt;0,
IF(IFERROR(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"")="",
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""),
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0)),0),0)</f>
        <v>0</v>
      </c>
      <c r="N108" s="200" t="e">
        <f t="array" aca="1" ref="N108" ca="1">IF(B108="博多",
IF(C108&lt;&gt;"",
IF(IFERROR(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0)&lt;&gt;0,
IF(IFERROR(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0)="",
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0),
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0)),0),""),0)</f>
        <v>#N/A</v>
      </c>
      <c r="O108" s="200" t="e">
        <f t="shared" ca="1" si="27"/>
        <v>#N/A</v>
      </c>
      <c r="P108" s="200">
        <f t="shared" ca="1" si="4"/>
        <v>0</v>
      </c>
      <c r="Q108" s="200" t="b">
        <f t="shared" ca="1" si="28"/>
        <v>0</v>
      </c>
      <c r="R108" s="51" t="str" cm="1">
        <f t="array" aca="1" ref="R108" ca="1">IFERROR(SMALL(IF(P$1:P$300&lt;&gt;0,P$1:P$300),ROW(A108)),"")</f>
        <v/>
      </c>
      <c r="S108" s="51" t="str">
        <f t="array" aca="1" ref="S108" ca="1">IF($R108&lt;&gt;"",
INDIRECT(""&amp;IF(COLUMN(C128)&lt;=26,CHAR(COLUMN(C128)+64),CHAR(INT((COLUMN(C128)-1)/26)+64)&amp;CHAR(MOD(COLUMN(C128)-1,26)+65))&amp;$R108&amp;""),"")</f>
        <v/>
      </c>
      <c r="T108" s="51" t="str" cm="1">
        <f t="array" aca="1" ref="T108" ca="1">IF(IF($R108&lt;&gt;"",
INDIRECT(""&amp;IF(COLUMN(D128)&lt;=26,CHAR(COLUMN(D128)+64),CHAR(INT((COLUMN(D128)-1)/26)+64)&amp;CHAR(MOD(COLUMN(D128)-1,26)+65))&amp;$R108&amp;""),"")=0,"",
IF($R108&lt;&gt;"",
INDIRECT(""&amp;IF(COLUMN(D128)&lt;=26,CHAR(COLUMN(D128)+64),CHAR(INT((COLUMN(D128)-1)/26)+64)&amp;CHAR(MOD(COLUMN(D128)-1,26)+65))&amp;$R108&amp;""),""))</f>
        <v/>
      </c>
      <c r="U108" s="51"/>
      <c r="V108" s="51" t="str">
        <f t="array" aca="1" ref="V108" ca="1">IF($R108&lt;&gt;"",
IF(U108="",
IF(INDIRECT("EY"&amp;$R108&amp;"")&lt;&gt;"",
INDIRECT("EY"&amp;$R108&amp;"")&amp;"箱"
&amp;INDIRECT("EZ"&amp;$R108&amp;""),""),""),"")</f>
        <v/>
      </c>
      <c r="W108" s="51" t="str">
        <f t="array" aca="1" ref="W108" ca="1">IF($R108&lt;&gt;"",
INDIRECT(""&amp;IF(COLUMN(H128)&lt;=26,CHAR(COLUMN(H128)+64),CHAR(INT((COLUMN(H128)-1)/26)+64)&amp;CHAR(MOD(COLUMN(H128)-1,26)+65))&amp;$R108&amp;""),"")</f>
        <v/>
      </c>
      <c r="X108" s="51" t="str">
        <f t="array" aca="1" ref="X108" ca="1">IF($R108&lt;&gt;"",
INDIRECT(""&amp;IF(COLUMN(I128)&lt;=26,CHAR(COLUMN(I128)+64),CHAR(INT((COLUMN(I128)-1)/26)+64)&amp;CHAR(MOD(COLUMN(I128)-1,26)+65))&amp;$R108&amp;""),"")</f>
        <v/>
      </c>
      <c r="Y108" s="51" t="str">
        <f t="array" aca="1" ref="Y108" ca="1">IF($R108&lt;&gt;"",
INDIRECT(""&amp;IF(COLUMN(J128)&lt;=26,CHAR(COLUMN(J128)+64),CHAR(INT((COLUMN(J128)-1)/26)+64)&amp;CHAR(MOD(COLUMN(J128)-1,26)+65))&amp;$R108&amp;""),"")</f>
        <v/>
      </c>
      <c r="Z108" s="51" t="str">
        <f t="array" aca="1" ref="Z108" ca="1">IF($R108&lt;&gt;"",
INDIRECT(""&amp;IF(COLUMN(K128)&lt;=26,CHAR(COLUMN(K128)+64),CHAR(INT((COLUMN(K128)-1)/26)+64)&amp;CHAR(MOD(COLUMN(K128)-1,26)+65))&amp;$R108&amp;""),"")</f>
        <v/>
      </c>
      <c r="AA108" s="51" t="str">
        <f t="array" aca="1" ref="AA108" ca="1">IF($R108&lt;&gt;"",
INDIRECT(""&amp;IF(COLUMN(L128)&lt;=26,CHAR(COLUMN(L128)+64),CHAR(INT((COLUMN(L128)-1)/26)+64)&amp;CHAR(MOD(COLUMN(L128)-1,26)+65))&amp;$R108&amp;""),"")</f>
        <v/>
      </c>
      <c r="AB108" s="51" t="str">
        <f t="array" aca="1" ref="AB108" ca="1">IF($R108&lt;&gt;"",
INDIRECT(""&amp;IF(COLUMN(O128)&lt;=26,CHAR(COLUMN(O128)+64),CHAR(INT((COLUMN(O128)-1)/26)+64)&amp;CHAR(MOD(COLUMN(O128)-1,26)+65))&amp;$R108&amp;""),"")</f>
        <v/>
      </c>
    </row>
    <row r="109" spans="1:28" ht="22.2" customHeight="1">
      <c r="A109" s="199">
        <f t="shared" si="29"/>
        <v>83</v>
      </c>
      <c r="B109" s="200" t="e" cm="1">
        <f t="array" aca="1" ref="B109" ca="1">IF(AND(LEFT(C109,2)="博多",
LEFT(INDIRECT("数出表_Excel!A"&amp;MATCH(C109,数出表_Excel!$A:$A,0)-1),2)
=LEFT(INDIRECT("数出表_Excel!A"&amp;MATCH(C109,数出表_Excel!$A:$A,0)+1),2)),"博多",
IF(AND(LEFT(C109,3)="奈良屋",
LEFT(INDIRECT("数出表_Excel!A"&amp;MATCH(C109,数出表_Excel!$A:$A,0)-1),2)
=LEFT(INDIRECT("数出表_Excel!A"&amp;MATCH(C109,数出表_Excel!$A:$A,0)+1),2)),"奈良屋",""))</f>
        <v>#N/A</v>
      </c>
      <c r="C109" s="200" t="str" cm="1">
        <f t="array" aca="1" ref="C109" ca="1">IF(IF(クライアント抽出!A39="",0,LEN(クライアント抽出!V39)-LEN(SUBSTITUTE(クライアント抽出!V39,",","")))&gt;=2,INDIRECT("数出表_Excel!A"&amp;A109&amp;""),"")</f>
        <v/>
      </c>
      <c r="D109" s="200" t="str" cm="1">
        <f t="array" aca="1" ref="D109" ca="1">IF(C109&lt;&gt;"",INDIRECT("クライアント抽出!"&amp;E109&amp;MATCH(C109,クライアント抽出!A:A,0)&amp;""),"")</f>
        <v/>
      </c>
      <c r="E109" s="20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1" t="str" cm="1">
        <f t="array" aca="1" ref="F109" ca="1">IF(D109&lt;&gt;"",
IF(COUNTIF(C109,"*雙葉*"),
IF(ROUND(
IF(O109&lt;&gt;"",(H109-O109),H109)
/IF(COUNTIF('盛付札（関数）'!D109,"*キャラ*"),
VLOOKUP("*キャラ*",#REF!,7,FALSE),
IF(COUNTIF('盛付札（関数）'!D109,"*赤*"),
VLOOKUP("*赤*",#REF!,7,FALSE),
VLOOKUP('盛付札（関数）'!D109,#REF!,7,FALSE))),0)&lt;=0,1,
ROUND(
IF(O109&lt;&gt;"",(H109-O109),H109)
/IF(COUNTIF('盛付札（関数）'!D109,"*キャラ*"),
VLOOKUP("*キャラ*",#REF!,7,FALSE),
IF(COUNTIF('盛付札（関数）'!D109,"*赤*"),
VLOOKUP("*赤*",#REF!,7,FALSE),
VLOOKUP('盛付札（関数）'!D109,#REF!,7,FALSE))),0)),
IF(MATCH(TRUE,
ISNUMBER(--INDIRECT("数出表_Excel!B"&amp;MATCH(C109,数出表_Excel!$A:$A,0)-1&amp;":U"&amp;MATCH(C109,数出表_Excel!$A:$A,0)-1&amp;"")),0)&gt;10,
IF(D109&lt;&gt;"",
IF(IF(COUNTIF('盛付札（関数）'!D109,"*キャラ*"),
VLOOKUP("*キャラ*",#REF!,7,FALSE),
IF(COUNTIF('盛付札（関数）'!D109,"*赤*"),
VLOOKUP("*赤*",#REF!,7,FALSE),
VLOOKUP('盛付札（関数）'!D109,#REF!,7,FALSE)))=0,"",
IF(ROUND(
IF(O109&lt;&gt;"",(H109-O109),H109)
/IF(COUNTIF('盛付札（関数）'!D109,"*キャラ*"),
VLOOKUP("*キャラ*",#REF!,7,FALSE),
IF(COUNTIF('盛付札（関数）'!D109,"*赤*"),
VLOOKUP("*赤*",#REF!,7,FALSE),
VLOOKUP('盛付札（関数）'!D109,#REF!,7,FALSE))),0)&lt;=0,1,
ROUND(
IF(O109&lt;&gt;"",(H109-O109),H109)
/IF(COUNTIF('盛付札（関数）'!D109,"*キャラ*"),
VLOOKUP("*キャラ*",#REF!,7,FALSE),
IF(COUNTIF('盛付札（関数）'!D109,"*赤*"),
VLOOKUP("*赤*",#REF!,7,FALSE),
VLOOKUP('盛付札（関数）'!D109,#REF!,7,FALSE))),0))),""),"")),"")</f>
        <v/>
      </c>
      <c r="G109" s="201" t="str">
        <f ca="1">IF(F109&lt;&gt;"",IF(VALUE(IF(O109&lt;&gt;"",H109-O109,H109))&gt;VALUE(IF(COUNTIF('盛付札（関数）'!D109,"*キャラ*"),
VLOOKUP("*キャラ*",#REF!,7,FALSE),
IF(COUNTIF('盛付札（関数）'!D109,"*赤*"),
VLOOKUP("*赤*",#REF!,7,FALSE),
VLOOKUP('盛付札（関数）'!D109,#REF!,7,FALSE)))*F109),
"+"&amp;IF(O109&lt;&gt;"",H109-O109,H109)-IF(COUNTIF('盛付札（関数）'!D109,"*キャラ*"),
VLOOKUP("*キャラ*",#REF!,7,FALSE),
IF(COUNTIF('盛付札（関数）'!D109,"*赤*"),
VLOOKUP("*赤*",#REF!,7,FALSE),
VLOOKUP('盛付札（関数）'!D109,#REF!,7,FALSE)))*F109,
IF(O109&lt;&gt;"",H109-O109,H109)-IF(COUNTIF('盛付札（関数）'!D109,"*キャラ*"),
VLOOKUP("*キャラ*",#REF!,7,FALSE),
IF(COUNTIF('盛付札（関数）'!D109,"*赤*"),
VLOOKUP("*赤*",#REF!,7,FALSE),
VLOOKUP('盛付札（関数）'!D109,#REF!,7,FALSE)))*F109),"")</f>
        <v/>
      </c>
      <c r="H109" s="202" t="str" cm="1">
        <f t="array" aca="1" ref="H109" ca="1">IF(C109&lt;&gt;"",
IF(INDIRECT("数出表_Excel!"&amp;IFERROR(MID(クライアント抽出!V39,FIND(",",クライアント抽出!V39)+1,1),"")&amp;A109-1&amp;"")&lt;&gt;"",
INDIRECT("数出表_Excel!"&amp;IFERROR(MID(クライアント抽出!V39,FIND(",",クライアント抽出!V39)+1,1),"")&amp;A109-1&amp;""),0),"")</f>
        <v/>
      </c>
      <c r="I109" s="200" t="str" cm="1">
        <f t="array" aca="1" ref="I109" ca="1">IF(C109&lt;&gt;"",
IF(INDIRECT("数出表_Excel!"&amp;IFERROR(MID(クライアント抽出!V39,FIND(",",クライアント抽出!V39)+1,1),"")&amp;A109&amp;"")&lt;&gt;"",
INDIRECT("数出表_Excel!"&amp;IFERROR(MID(クライアント抽出!V39,FIND(",",クライアント抽出!V39)+1,1),"")&amp;A109&amp;""),0),"")</f>
        <v/>
      </c>
      <c r="J109" s="200" t="str">
        <f ca="1">IF(C109&lt;&gt;"",
VLOOKUP(
IF(COUNTIF(D109,"*学食*"),"キャラ弁（学食）",
IF(COUNTIF(D109,"*赤*"),"赤",
IF(COUNTIF(D109,"*キャラ弁当*"),"キャラ弁当",D109))),注文弁当の抽出!$E$1:$F$15,2,FALSE),"")</f>
        <v/>
      </c>
      <c r="K109" s="200" t="str">
        <f t="shared" ca="1" si="25"/>
        <v/>
      </c>
      <c r="L109" s="200" t="str">
        <f t="shared" ca="1" si="26"/>
        <v/>
      </c>
      <c r="M109" s="200" cm="1">
        <f t="array" aca="1" ref="M109" ca="1">IF(C109&lt;&gt;"",
IF(IFERROR(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0)&lt;&gt;0,
IF(IFERROR(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"")="",
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""),
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0)),0),0)</f>
        <v>0</v>
      </c>
      <c r="N109" s="200" t="e">
        <f t="array" aca="1" ref="N109" ca="1">IF(B109="博多",
IF(C109&lt;&gt;"",
IF(IFERROR(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0)&lt;&gt;0,
IF(IFERROR(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0)="",
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0),
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0)),0),""),0)</f>
        <v>#N/A</v>
      </c>
      <c r="O109" s="200" t="e">
        <f t="shared" ca="1" si="27"/>
        <v>#N/A</v>
      </c>
      <c r="P109" s="200">
        <f t="shared" ca="1" si="4"/>
        <v>0</v>
      </c>
      <c r="Q109" s="200" t="b">
        <f t="shared" ca="1" si="28"/>
        <v>0</v>
      </c>
      <c r="R109" s="51" t="str" cm="1">
        <f t="array" aca="1" ref="R109" ca="1">IFERROR(SMALL(IF(P$1:P$300&lt;&gt;0,P$1:P$300),ROW(A109)),"")</f>
        <v/>
      </c>
      <c r="S109" s="51" t="str">
        <f t="array" aca="1" ref="S109" ca="1">IF($R109&lt;&gt;"",
INDIRECT(""&amp;IF(COLUMN(C129)&lt;=26,CHAR(COLUMN(C129)+64),CHAR(INT((COLUMN(C129)-1)/26)+64)&amp;CHAR(MOD(COLUMN(C129)-1,26)+65))&amp;$R109&amp;""),"")</f>
        <v/>
      </c>
      <c r="T109" s="51" t="str" cm="1">
        <f t="array" aca="1" ref="T109" ca="1">IF(IF($R109&lt;&gt;"",
INDIRECT(""&amp;IF(COLUMN(D129)&lt;=26,CHAR(COLUMN(D129)+64),CHAR(INT((COLUMN(D129)-1)/26)+64)&amp;CHAR(MOD(COLUMN(D129)-1,26)+65))&amp;$R109&amp;""),"")=0,"",
IF($R109&lt;&gt;"",
INDIRECT(""&amp;IF(COLUMN(D129)&lt;=26,CHAR(COLUMN(D129)+64),CHAR(INT((COLUMN(D129)-1)/26)+64)&amp;CHAR(MOD(COLUMN(D129)-1,26)+65))&amp;$R109&amp;""),""))</f>
        <v/>
      </c>
      <c r="U109" s="51"/>
      <c r="V109" s="51" t="str">
        <f t="array" aca="1" ref="V109" ca="1">IF($R109&lt;&gt;"",
IF(U109="",
IF(INDIRECT("EY"&amp;$R109&amp;"")&lt;&gt;"",
INDIRECT("EY"&amp;$R109&amp;"")&amp;"箱"
&amp;INDIRECT("EZ"&amp;$R109&amp;""),""),""),"")</f>
        <v/>
      </c>
      <c r="W109" s="51" t="str">
        <f t="array" aca="1" ref="W109" ca="1">IF($R109&lt;&gt;"",
INDIRECT(""&amp;IF(COLUMN(H129)&lt;=26,CHAR(COLUMN(H129)+64),CHAR(INT((COLUMN(H129)-1)/26)+64)&amp;CHAR(MOD(COLUMN(H129)-1,26)+65))&amp;$R109&amp;""),"")</f>
        <v/>
      </c>
      <c r="X109" s="51" t="str">
        <f t="array" aca="1" ref="X109" ca="1">IF($R109&lt;&gt;"",
INDIRECT(""&amp;IF(COLUMN(I129)&lt;=26,CHAR(COLUMN(I129)+64),CHAR(INT((COLUMN(I129)-1)/26)+64)&amp;CHAR(MOD(COLUMN(I129)-1,26)+65))&amp;$R109&amp;""),"")</f>
        <v/>
      </c>
      <c r="Y109" s="51" t="str">
        <f t="array" aca="1" ref="Y109" ca="1">IF($R109&lt;&gt;"",
INDIRECT(""&amp;IF(COLUMN(J129)&lt;=26,CHAR(COLUMN(J129)+64),CHAR(INT((COLUMN(J129)-1)/26)+64)&amp;CHAR(MOD(COLUMN(J129)-1,26)+65))&amp;$R109&amp;""),"")</f>
        <v/>
      </c>
      <c r="Z109" s="51" t="str">
        <f t="array" aca="1" ref="Z109" ca="1">IF($R109&lt;&gt;"",
INDIRECT(""&amp;IF(COLUMN(K129)&lt;=26,CHAR(COLUMN(K129)+64),CHAR(INT((COLUMN(K129)-1)/26)+64)&amp;CHAR(MOD(COLUMN(K129)-1,26)+65))&amp;$R109&amp;""),"")</f>
        <v/>
      </c>
      <c r="AA109" s="51" t="str">
        <f t="array" aca="1" ref="AA109" ca="1">IF($R109&lt;&gt;"",
INDIRECT(""&amp;IF(COLUMN(L129)&lt;=26,CHAR(COLUMN(L129)+64),CHAR(INT((COLUMN(L129)-1)/26)+64)&amp;CHAR(MOD(COLUMN(L129)-1,26)+65))&amp;$R109&amp;""),"")</f>
        <v/>
      </c>
      <c r="AB109" s="51" t="str">
        <f t="array" aca="1" ref="AB109" ca="1">IF($R109&lt;&gt;"",
INDIRECT(""&amp;IF(COLUMN(O129)&lt;=26,CHAR(COLUMN(O129)+64),CHAR(INT((COLUMN(O129)-1)/26)+64)&amp;CHAR(MOD(COLUMN(O129)-1,26)+65))&amp;$R109&amp;""),"")</f>
        <v/>
      </c>
    </row>
    <row r="110" spans="1:28" ht="22.2" customHeight="1">
      <c r="A110" s="199">
        <f t="shared" si="29"/>
        <v>85</v>
      </c>
      <c r="B110" s="200" t="e" cm="1">
        <f t="array" aca="1" ref="B110" ca="1">IF(AND(LEFT(C110,2)="博多",
LEFT(INDIRECT("数出表_Excel!A"&amp;MATCH(C110,数出表_Excel!$A:$A,0)-1),2)
=LEFT(INDIRECT("数出表_Excel!A"&amp;MATCH(C110,数出表_Excel!$A:$A,0)+1),2)),"博多",
IF(AND(LEFT(C110,3)="奈良屋",
LEFT(INDIRECT("数出表_Excel!A"&amp;MATCH(C110,数出表_Excel!$A:$A,0)-1),2)
=LEFT(INDIRECT("数出表_Excel!A"&amp;MATCH(C110,数出表_Excel!$A:$A,0)+1),2)),"奈良屋",""))</f>
        <v>#N/A</v>
      </c>
      <c r="C110" s="200" t="str" cm="1">
        <f t="array" aca="1" ref="C110" ca="1">IF(IF(クライアント抽出!A40="",0,LEN(クライアント抽出!V40)-LEN(SUBSTITUTE(クライアント抽出!V40,",","")))&gt;=2,INDIRECT("数出表_Excel!A"&amp;A110&amp;""),"")</f>
        <v/>
      </c>
      <c r="D110" s="200" t="str" cm="1">
        <f t="array" aca="1" ref="D110" ca="1">IF(C110&lt;&gt;"",INDIRECT("クライアント抽出!"&amp;E110&amp;MATCH(C110,クライアント抽出!A:A,0)&amp;""),"")</f>
        <v/>
      </c>
      <c r="E110" s="20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201" t="str" cm="1">
        <f t="array" aca="1" ref="F110" ca="1">IF(D110&lt;&gt;"",
IF(COUNTIF(C110,"*雙葉*"),
IF(ROUND(
IF(O110&lt;&gt;"",(H110-O110),H110)
/IF(COUNTIF('盛付札（関数）'!D110,"*キャラ*"),
VLOOKUP("*キャラ*",#REF!,7,FALSE),
IF(COUNTIF('盛付札（関数）'!D110,"*赤*"),
VLOOKUP("*赤*",#REF!,7,FALSE),
VLOOKUP('盛付札（関数）'!D110,#REF!,7,FALSE))),0)&lt;=0,1,
ROUND(
IF(O110&lt;&gt;"",(H110-O110),H110)
/IF(COUNTIF('盛付札（関数）'!D110,"*キャラ*"),
VLOOKUP("*キャラ*",#REF!,7,FALSE),
IF(COUNTIF('盛付札（関数）'!D110,"*赤*"),
VLOOKUP("*赤*",#REF!,7,FALSE),
VLOOKUP('盛付札（関数）'!D110,#REF!,7,FALSE))),0)),
IF(MATCH(TRUE,
ISNUMBER(--INDIRECT("数出表_Excel!B"&amp;MATCH(C110,数出表_Excel!$A:$A,0)-1&amp;":U"&amp;MATCH(C110,数出表_Excel!$A:$A,0)-1&amp;"")),0)&gt;10,
IF(D110&lt;&gt;"",
IF(IF(COUNTIF('盛付札（関数）'!D110,"*キャラ*"),
VLOOKUP("*キャラ*",#REF!,7,FALSE),
IF(COUNTIF('盛付札（関数）'!D110,"*赤*"),
VLOOKUP("*赤*",#REF!,7,FALSE),
VLOOKUP('盛付札（関数）'!D110,#REF!,7,FALSE)))=0,"",
IF(ROUND(
IF(O110&lt;&gt;"",(H110-O110),H110)
/IF(COUNTIF('盛付札（関数）'!D110,"*キャラ*"),
VLOOKUP("*キャラ*",#REF!,7,FALSE),
IF(COUNTIF('盛付札（関数）'!D110,"*赤*"),
VLOOKUP("*赤*",#REF!,7,FALSE),
VLOOKUP('盛付札（関数）'!D110,#REF!,7,FALSE))),0)&lt;=0,1,
ROUND(
IF(O110&lt;&gt;"",(H110-O110),H110)
/IF(COUNTIF('盛付札（関数）'!D110,"*キャラ*"),
VLOOKUP("*キャラ*",#REF!,7,FALSE),
IF(COUNTIF('盛付札（関数）'!D110,"*赤*"),
VLOOKUP("*赤*",#REF!,7,FALSE),
VLOOKUP('盛付札（関数）'!D110,#REF!,7,FALSE))),0))),""),"")),"")</f>
        <v/>
      </c>
      <c r="G110" s="201" t="str">
        <f ca="1">IF(F110&lt;&gt;"",IF(VALUE(IF(O110&lt;&gt;"",H110-O110,H110))&gt;VALUE(IF(COUNTIF('盛付札（関数）'!D110,"*キャラ*"),
VLOOKUP("*キャラ*",#REF!,7,FALSE),
IF(COUNTIF('盛付札（関数）'!D110,"*赤*"),
VLOOKUP("*赤*",#REF!,7,FALSE),
VLOOKUP('盛付札（関数）'!D110,#REF!,7,FALSE)))*F110),
"+"&amp;IF(O110&lt;&gt;"",H110-O110,H110)-IF(COUNTIF('盛付札（関数）'!D110,"*キャラ*"),
VLOOKUP("*キャラ*",#REF!,7,FALSE),
IF(COUNTIF('盛付札（関数）'!D110,"*赤*"),
VLOOKUP("*赤*",#REF!,7,FALSE),
VLOOKUP('盛付札（関数）'!D110,#REF!,7,FALSE)))*F110,
IF(O110&lt;&gt;"",H110-O110,H110)-IF(COUNTIF('盛付札（関数）'!D110,"*キャラ*"),
VLOOKUP("*キャラ*",#REF!,7,FALSE),
IF(COUNTIF('盛付札（関数）'!D110,"*赤*"),
VLOOKUP("*赤*",#REF!,7,FALSE),
VLOOKUP('盛付札（関数）'!D110,#REF!,7,FALSE)))*F110),"")</f>
        <v/>
      </c>
      <c r="H110" s="202" t="str" cm="1">
        <f t="array" aca="1" ref="H110" ca="1">IF(C110&lt;&gt;"",
IF(INDIRECT("数出表_Excel!"&amp;IFERROR(MID(クライアント抽出!V40,FIND(",",クライアント抽出!V40)+1,1),"")&amp;A110-1&amp;"")&lt;&gt;"",
INDIRECT("数出表_Excel!"&amp;IFERROR(MID(クライアント抽出!V40,FIND(",",クライアント抽出!V40)+1,1),"")&amp;A110-1&amp;""),0),"")</f>
        <v/>
      </c>
      <c r="I110" s="200" t="str" cm="1">
        <f t="array" aca="1" ref="I110" ca="1">IF(C110&lt;&gt;"",
IF(INDIRECT("数出表_Excel!"&amp;IFERROR(MID(クライアント抽出!V40,FIND(",",クライアント抽出!V40)+1,1),"")&amp;A110&amp;"")&lt;&gt;"",
INDIRECT("数出表_Excel!"&amp;IFERROR(MID(クライアント抽出!V40,FIND(",",クライアント抽出!V40)+1,1),"")&amp;A110&amp;""),0),"")</f>
        <v/>
      </c>
      <c r="J110" s="200" t="str">
        <f ca="1">IF(C110&lt;&gt;"",
VLOOKUP(
IF(COUNTIF(D110,"*学食*"),"キャラ弁（学食）",
IF(COUNTIF(D110,"*赤*"),"赤",
IF(COUNTIF(D110,"*キャラ弁当*"),"キャラ弁当",D110))),注文弁当の抽出!$E$1:$F$15,2,FALSE),"")</f>
        <v/>
      </c>
      <c r="K110" s="200" t="str">
        <f t="shared" ca="1" si="25"/>
        <v/>
      </c>
      <c r="L110" s="200" t="str">
        <f t="shared" ca="1" si="26"/>
        <v/>
      </c>
      <c r="M110" s="200" cm="1">
        <f t="array" aca="1" ref="M110" ca="1">IF(C110&lt;&gt;"",
IF(IFERROR(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0)&lt;&gt;0,
IF(IFERROR(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"")="",
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""),
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0)),0),0)</f>
        <v>0</v>
      </c>
      <c r="N110" s="200" t="e">
        <f t="array" aca="1" ref="N110" ca="1">IF(B110="博多",
IF(C110&lt;&gt;"",
IF(IFERROR(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0)&lt;&gt;0,
IF(IFERROR(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0)="",
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0),
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0)),0),""),0)</f>
        <v>#N/A</v>
      </c>
      <c r="O110" s="200" t="e">
        <f t="shared" ca="1" si="27"/>
        <v>#N/A</v>
      </c>
      <c r="P110" s="200">
        <f t="shared" ca="1" si="4"/>
        <v>0</v>
      </c>
      <c r="Q110" s="200" t="b">
        <f t="shared" ca="1" si="28"/>
        <v>0</v>
      </c>
      <c r="R110" s="51" t="str" cm="1">
        <f t="array" aca="1" ref="R110" ca="1">IFERROR(SMALL(IF(P$1:P$300&lt;&gt;0,P$1:P$300),ROW(A110)),"")</f>
        <v/>
      </c>
      <c r="S110" s="51" t="str">
        <f t="array" aca="1" ref="S110" ca="1">IF($R110&lt;&gt;"",
INDIRECT(""&amp;IF(COLUMN(C130)&lt;=26,CHAR(COLUMN(C130)+64),CHAR(INT((COLUMN(C130)-1)/26)+64)&amp;CHAR(MOD(COLUMN(C130)-1,26)+65))&amp;$R110&amp;""),"")</f>
        <v/>
      </c>
      <c r="T110" s="51" t="str" cm="1">
        <f t="array" aca="1" ref="T110" ca="1">IF(IF($R110&lt;&gt;"",
INDIRECT(""&amp;IF(COLUMN(D130)&lt;=26,CHAR(COLUMN(D130)+64),CHAR(INT((COLUMN(D130)-1)/26)+64)&amp;CHAR(MOD(COLUMN(D130)-1,26)+65))&amp;$R110&amp;""),"")=0,"",
IF($R110&lt;&gt;"",
INDIRECT(""&amp;IF(COLUMN(D130)&lt;=26,CHAR(COLUMN(D130)+64),CHAR(INT((COLUMN(D130)-1)/26)+64)&amp;CHAR(MOD(COLUMN(D130)-1,26)+65))&amp;$R110&amp;""),""))</f>
        <v/>
      </c>
      <c r="U110" s="51"/>
      <c r="V110" s="51" t="str">
        <f t="array" aca="1" ref="V110" ca="1">IF($R110&lt;&gt;"",
IF(U110="",
IF(INDIRECT("EY"&amp;$R110&amp;"")&lt;&gt;"",
INDIRECT("EY"&amp;$R110&amp;"")&amp;"箱"
&amp;INDIRECT("EZ"&amp;$R110&amp;""),""),""),"")</f>
        <v/>
      </c>
      <c r="W110" s="51" t="str">
        <f t="array" aca="1" ref="W110" ca="1">IF($R110&lt;&gt;"",
INDIRECT(""&amp;IF(COLUMN(H130)&lt;=26,CHAR(COLUMN(H130)+64),CHAR(INT((COLUMN(H130)-1)/26)+64)&amp;CHAR(MOD(COLUMN(H130)-1,26)+65))&amp;$R110&amp;""),"")</f>
        <v/>
      </c>
      <c r="X110" s="51" t="str">
        <f t="array" aca="1" ref="X110" ca="1">IF($R110&lt;&gt;"",
INDIRECT(""&amp;IF(COLUMN(I130)&lt;=26,CHAR(COLUMN(I130)+64),CHAR(INT((COLUMN(I130)-1)/26)+64)&amp;CHAR(MOD(COLUMN(I130)-1,26)+65))&amp;$R110&amp;""),"")</f>
        <v/>
      </c>
      <c r="Y110" s="51" t="str">
        <f t="array" aca="1" ref="Y110" ca="1">IF($R110&lt;&gt;"",
INDIRECT(""&amp;IF(COLUMN(J130)&lt;=26,CHAR(COLUMN(J130)+64),CHAR(INT((COLUMN(J130)-1)/26)+64)&amp;CHAR(MOD(COLUMN(J130)-1,26)+65))&amp;$R110&amp;""),"")</f>
        <v/>
      </c>
      <c r="Z110" s="51" t="str">
        <f t="array" aca="1" ref="Z110" ca="1">IF($R110&lt;&gt;"",
INDIRECT(""&amp;IF(COLUMN(K130)&lt;=26,CHAR(COLUMN(K130)+64),CHAR(INT((COLUMN(K130)-1)/26)+64)&amp;CHAR(MOD(COLUMN(K130)-1,26)+65))&amp;$R110&amp;""),"")</f>
        <v/>
      </c>
      <c r="AA110" s="51" t="str">
        <f t="array" aca="1" ref="AA110" ca="1">IF($R110&lt;&gt;"",
INDIRECT(""&amp;IF(COLUMN(L130)&lt;=26,CHAR(COLUMN(L130)+64),CHAR(INT((COLUMN(L130)-1)/26)+64)&amp;CHAR(MOD(COLUMN(L130)-1,26)+65))&amp;$R110&amp;""),"")</f>
        <v/>
      </c>
      <c r="AB110" s="51" t="str">
        <f t="array" aca="1" ref="AB110" ca="1">IF($R110&lt;&gt;"",
INDIRECT(""&amp;IF(COLUMN(O130)&lt;=26,CHAR(COLUMN(O130)+64),CHAR(INT((COLUMN(O130)-1)/26)+64)&amp;CHAR(MOD(COLUMN(O130)-1,26)+65))&amp;$R110&amp;""),"")</f>
        <v/>
      </c>
    </row>
    <row r="111" spans="1:28" ht="22.2" customHeight="1">
      <c r="A111" s="199">
        <f t="shared" si="29"/>
        <v>87</v>
      </c>
      <c r="B111" s="200" t="e" cm="1">
        <f t="array" aca="1" ref="B111" ca="1">IF(AND(LEFT(C111,2)="博多",
LEFT(INDIRECT("数出表_Excel!A"&amp;MATCH(C111,数出表_Excel!$A:$A,0)-1),2)
=LEFT(INDIRECT("数出表_Excel!A"&amp;MATCH(C111,数出表_Excel!$A:$A,0)+1),2)),"博多",
IF(AND(LEFT(C111,3)="奈良屋",
LEFT(INDIRECT("数出表_Excel!A"&amp;MATCH(C111,数出表_Excel!$A:$A,0)-1),2)
=LEFT(INDIRECT("数出表_Excel!A"&amp;MATCH(C111,数出表_Excel!$A:$A,0)+1),2)),"奈良屋",""))</f>
        <v>#N/A</v>
      </c>
      <c r="C111" s="200" t="str" cm="1">
        <f t="array" aca="1" ref="C111" ca="1">IF(IF(クライアント抽出!A41="",0,LEN(クライアント抽出!V41)-LEN(SUBSTITUTE(クライアント抽出!V41,",","")))&gt;=2,INDIRECT("数出表_Excel!A"&amp;A111&amp;""),"")</f>
        <v/>
      </c>
      <c r="D111" s="200" t="str" cm="1">
        <f t="array" aca="1" ref="D111" ca="1">IF(C111&lt;&gt;"",INDIRECT("クライアント抽出!"&amp;E111&amp;MATCH(C111,クライアント抽出!A:A,0)&amp;""),"")</f>
        <v/>
      </c>
      <c r="E111" s="20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201" t="str" cm="1">
        <f t="array" aca="1" ref="F111" ca="1">IF(D111&lt;&gt;"",
IF(COUNTIF(C111,"*雙葉*"),
IF(ROUND(
IF(O111&lt;&gt;"",(H111-O111),H111)
/IF(COUNTIF('盛付札（関数）'!D111,"*キャラ*"),
VLOOKUP("*キャラ*",#REF!,7,FALSE),
IF(COUNTIF('盛付札（関数）'!D111,"*赤*"),
VLOOKUP("*赤*",#REF!,7,FALSE),
VLOOKUP('盛付札（関数）'!D111,#REF!,7,FALSE))),0)&lt;=0,1,
ROUND(
IF(O111&lt;&gt;"",(H111-O111),H111)
/IF(COUNTIF('盛付札（関数）'!D111,"*キャラ*"),
VLOOKUP("*キャラ*",#REF!,7,FALSE),
IF(COUNTIF('盛付札（関数）'!D111,"*赤*"),
VLOOKUP("*赤*",#REF!,7,FALSE),
VLOOKUP('盛付札（関数）'!D111,#REF!,7,FALSE))),0)),
IF(MATCH(TRUE,
ISNUMBER(--INDIRECT("数出表_Excel!B"&amp;MATCH(C111,数出表_Excel!$A:$A,0)-1&amp;":U"&amp;MATCH(C111,数出表_Excel!$A:$A,0)-1&amp;"")),0)&gt;10,
IF(D111&lt;&gt;"",
IF(IF(COUNTIF('盛付札（関数）'!D111,"*キャラ*"),
VLOOKUP("*キャラ*",#REF!,7,FALSE),
IF(COUNTIF('盛付札（関数）'!D111,"*赤*"),
VLOOKUP("*赤*",#REF!,7,FALSE),
VLOOKUP('盛付札（関数）'!D111,#REF!,7,FALSE)))=0,"",
IF(ROUND(
IF(O111&lt;&gt;"",(H111-O111),H111)
/IF(COUNTIF('盛付札（関数）'!D111,"*キャラ*"),
VLOOKUP("*キャラ*",#REF!,7,FALSE),
IF(COUNTIF('盛付札（関数）'!D111,"*赤*"),
VLOOKUP("*赤*",#REF!,7,FALSE),
VLOOKUP('盛付札（関数）'!D111,#REF!,7,FALSE))),0)&lt;=0,1,
ROUND(
IF(O111&lt;&gt;"",(H111-O111),H111)
/IF(COUNTIF('盛付札（関数）'!D111,"*キャラ*"),
VLOOKUP("*キャラ*",#REF!,7,FALSE),
IF(COUNTIF('盛付札（関数）'!D111,"*赤*"),
VLOOKUP("*赤*",#REF!,7,FALSE),
VLOOKUP('盛付札（関数）'!D111,#REF!,7,FALSE))),0))),""),"")),"")</f>
        <v/>
      </c>
      <c r="G111" s="201" t="str">
        <f ca="1">IF(F111&lt;&gt;"",IF(VALUE(IF(O111&lt;&gt;"",H111-O111,H111))&gt;VALUE(IF(COUNTIF('盛付札（関数）'!D111,"*キャラ*"),
VLOOKUP("*キャラ*",#REF!,7,FALSE),
IF(COUNTIF('盛付札（関数）'!D111,"*赤*"),
VLOOKUP("*赤*",#REF!,7,FALSE),
VLOOKUP('盛付札（関数）'!D111,#REF!,7,FALSE)))*F111),
"+"&amp;IF(O111&lt;&gt;"",H111-O111,H111)-IF(COUNTIF('盛付札（関数）'!D111,"*キャラ*"),
VLOOKUP("*キャラ*",#REF!,7,FALSE),
IF(COUNTIF('盛付札（関数）'!D111,"*赤*"),
VLOOKUP("*赤*",#REF!,7,FALSE),
VLOOKUP('盛付札（関数）'!D111,#REF!,7,FALSE)))*F111,
IF(O111&lt;&gt;"",H111-O111,H111)-IF(COUNTIF('盛付札（関数）'!D111,"*キャラ*"),
VLOOKUP("*キャラ*",#REF!,7,FALSE),
IF(COUNTIF('盛付札（関数）'!D111,"*赤*"),
VLOOKUP("*赤*",#REF!,7,FALSE),
VLOOKUP('盛付札（関数）'!D111,#REF!,7,FALSE)))*F111),"")</f>
        <v/>
      </c>
      <c r="H111" s="202" t="str" cm="1">
        <f t="array" aca="1" ref="H111" ca="1">IF(C111&lt;&gt;"",
IF(INDIRECT("数出表_Excel!"&amp;IFERROR(MID(クライアント抽出!V41,FIND(",",クライアント抽出!V41)+1,1),"")&amp;A111-1&amp;"")&lt;&gt;"",
INDIRECT("数出表_Excel!"&amp;IFERROR(MID(クライアント抽出!V41,FIND(",",クライアント抽出!V41)+1,1),"")&amp;A111-1&amp;""),0),"")</f>
        <v/>
      </c>
      <c r="I111" s="200" t="str" cm="1">
        <f t="array" aca="1" ref="I111" ca="1">IF(C111&lt;&gt;"",
IF(INDIRECT("数出表_Excel!"&amp;IFERROR(MID(クライアント抽出!V41,FIND(",",クライアント抽出!V41)+1,1),"")&amp;A111&amp;"")&lt;&gt;"",
INDIRECT("数出表_Excel!"&amp;IFERROR(MID(クライアント抽出!V41,FIND(",",クライアント抽出!V41)+1,1),"")&amp;A111&amp;""),0),"")</f>
        <v/>
      </c>
      <c r="J111" s="200" t="str">
        <f ca="1">IF(C111&lt;&gt;"",
VLOOKUP(
IF(COUNTIF(D111,"*学食*"),"キャラ弁（学食）",
IF(COUNTIF(D111,"*赤*"),"赤",
IF(COUNTIF(D111,"*キャラ弁当*"),"キャラ弁当",D111))),注文弁当の抽出!$E$1:$F$15,2,FALSE),"")</f>
        <v/>
      </c>
      <c r="K111" s="200" t="str">
        <f ca="1">IF(C111&lt;&gt;"",
IFERROR(INT(H111/J111),""),"")</f>
        <v/>
      </c>
      <c r="L111" s="200" t="str">
        <f ca="1">IFERROR(MOD(H111,J111),"")</f>
        <v/>
      </c>
      <c r="M111" s="200" cm="1">
        <f t="array" aca="1" ref="M111" ca="1">IF(C111&lt;&gt;"",
IF(IFERROR(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0)&lt;&gt;0,
IF(IFERROR(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"")="",
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""),
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0)),0),0)</f>
        <v>0</v>
      </c>
      <c r="N111" s="200" t="e">
        <f t="array" aca="1" ref="N111" ca="1">IF(B111="博多",
IF(C111&lt;&gt;"",
IF(IFERROR(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0)&lt;&gt;0,
IF(IFERROR(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0)="",
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0),
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0)),0),""),0)</f>
        <v>#N/A</v>
      </c>
      <c r="O111" s="200" t="e">
        <f t="shared" ca="1" si="27"/>
        <v>#N/A</v>
      </c>
      <c r="P111" s="200">
        <f t="shared" ca="1" si="4"/>
        <v>0</v>
      </c>
      <c r="Q111" s="200" t="b">
        <f t="shared" ca="1" si="28"/>
        <v>0</v>
      </c>
      <c r="R111" s="51" t="str" cm="1">
        <f t="array" aca="1" ref="R111" ca="1">IFERROR(SMALL(IF(P$1:P$300&lt;&gt;0,P$1:P$300),ROW(A111)),"")</f>
        <v/>
      </c>
      <c r="S111" s="51" t="str">
        <f t="array" aca="1" ref="S111" ca="1">IF($R111&lt;&gt;"",
INDIRECT(""&amp;IF(COLUMN(C131)&lt;=26,CHAR(COLUMN(C131)+64),CHAR(INT((COLUMN(C131)-1)/26)+64)&amp;CHAR(MOD(COLUMN(C131)-1,26)+65))&amp;$R111&amp;""),"")</f>
        <v/>
      </c>
      <c r="T111" s="51" t="str" cm="1">
        <f t="array" aca="1" ref="T111" ca="1">IF(IF($R111&lt;&gt;"",
INDIRECT(""&amp;IF(COLUMN(D131)&lt;=26,CHAR(COLUMN(D131)+64),CHAR(INT((COLUMN(D131)-1)/26)+64)&amp;CHAR(MOD(COLUMN(D131)-1,26)+65))&amp;$R111&amp;""),"")=0,"",
IF($R111&lt;&gt;"",
INDIRECT(""&amp;IF(COLUMN(D131)&lt;=26,CHAR(COLUMN(D131)+64),CHAR(INT((COLUMN(D131)-1)/26)+64)&amp;CHAR(MOD(COLUMN(D131)-1,26)+65))&amp;$R111&amp;""),""))</f>
        <v/>
      </c>
      <c r="U111" s="51"/>
      <c r="V111" s="51" t="str">
        <f t="array" aca="1" ref="V111" ca="1">IF($R111&lt;&gt;"",
IF(U111="",
IF(INDIRECT("EY"&amp;$R111&amp;"")&lt;&gt;"",
INDIRECT("EY"&amp;$R111&amp;"")&amp;"箱"
&amp;INDIRECT("EZ"&amp;$R111&amp;""),""),""),"")</f>
        <v/>
      </c>
      <c r="W111" s="51" t="str">
        <f t="array" aca="1" ref="W111" ca="1">IF($R111&lt;&gt;"",
INDIRECT(""&amp;IF(COLUMN(H131)&lt;=26,CHAR(COLUMN(H131)+64),CHAR(INT((COLUMN(H131)-1)/26)+64)&amp;CHAR(MOD(COLUMN(H131)-1,26)+65))&amp;$R111&amp;""),"")</f>
        <v/>
      </c>
      <c r="X111" s="51" t="str">
        <f t="array" aca="1" ref="X111" ca="1">IF($R111&lt;&gt;"",
INDIRECT(""&amp;IF(COLUMN(I131)&lt;=26,CHAR(COLUMN(I131)+64),CHAR(INT((COLUMN(I131)-1)/26)+64)&amp;CHAR(MOD(COLUMN(I131)-1,26)+65))&amp;$R111&amp;""),"")</f>
        <v/>
      </c>
      <c r="Y111" s="51" t="str">
        <f t="array" aca="1" ref="Y111" ca="1">IF($R111&lt;&gt;"",
INDIRECT(""&amp;IF(COLUMN(J131)&lt;=26,CHAR(COLUMN(J131)+64),CHAR(INT((COLUMN(J131)-1)/26)+64)&amp;CHAR(MOD(COLUMN(J131)-1,26)+65))&amp;$R111&amp;""),"")</f>
        <v/>
      </c>
      <c r="Z111" s="51" t="str">
        <f t="array" aca="1" ref="Z111" ca="1">IF($R111&lt;&gt;"",
INDIRECT(""&amp;IF(COLUMN(K131)&lt;=26,CHAR(COLUMN(K131)+64),CHAR(INT((COLUMN(K131)-1)/26)+64)&amp;CHAR(MOD(COLUMN(K131)-1,26)+65))&amp;$R111&amp;""),"")</f>
        <v/>
      </c>
      <c r="AA111" s="51" t="str">
        <f t="array" aca="1" ref="AA111" ca="1">IF($R111&lt;&gt;"",
INDIRECT(""&amp;IF(COLUMN(L131)&lt;=26,CHAR(COLUMN(L131)+64),CHAR(INT((COLUMN(L131)-1)/26)+64)&amp;CHAR(MOD(COLUMN(L131)-1,26)+65))&amp;$R111&amp;""),"")</f>
        <v/>
      </c>
      <c r="AB111" s="51" t="str">
        <f t="array" aca="1" ref="AB111" ca="1">IF($R111&lt;&gt;"",
INDIRECT(""&amp;IF(COLUMN(O131)&lt;=26,CHAR(COLUMN(O131)+64),CHAR(INT((COLUMN(O131)-1)/26)+64)&amp;CHAR(MOD(COLUMN(O131)-1,26)+65))&amp;$R111&amp;""),"")</f>
        <v/>
      </c>
    </row>
    <row r="112" spans="1:28" ht="22.2" customHeight="1">
      <c r="A112" s="199">
        <f t="shared" si="29"/>
        <v>89</v>
      </c>
      <c r="B112" s="200" t="e" cm="1">
        <f t="array" aca="1" ref="B112" ca="1">IF(AND(LEFT(C112,2)="博多",
LEFT(INDIRECT("数出表_Excel!A"&amp;MATCH(C112,数出表_Excel!$A:$A,0)-1),2)
=LEFT(INDIRECT("数出表_Excel!A"&amp;MATCH(C112,数出表_Excel!$A:$A,0)+1),2)),"博多",
IF(AND(LEFT(C112,3)="奈良屋",
LEFT(INDIRECT("数出表_Excel!A"&amp;MATCH(C112,数出表_Excel!$A:$A,0)-1),2)
=LEFT(INDIRECT("数出表_Excel!A"&amp;MATCH(C112,数出表_Excel!$A:$A,0)+1),2)),"奈良屋",""))</f>
        <v>#N/A</v>
      </c>
      <c r="C112" s="200" t="str" cm="1">
        <f t="array" aca="1" ref="C112" ca="1">IF(IF(クライアント抽出!A42="",0,LEN(クライアント抽出!V42)-LEN(SUBSTITUTE(クライアント抽出!V42,",","")))&gt;=2,INDIRECT("数出表_Excel!A"&amp;A112&amp;""),"")</f>
        <v/>
      </c>
      <c r="D112" s="200" t="str" cm="1">
        <f t="array" aca="1" ref="D112" ca="1">IF(C112&lt;&gt;"",INDIRECT("クライアント抽出!"&amp;E112&amp;MATCH(C112,クライアント抽出!A:A,0)&amp;""),"")</f>
        <v/>
      </c>
      <c r="E112" s="20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201" t="str" cm="1">
        <f t="array" aca="1" ref="F112" ca="1">IF(D112&lt;&gt;"",
IF(COUNTIF(C112,"*雙葉*"),
IF(ROUND(
IF(O112&lt;&gt;"",(H112-O112),H112)
/IF(COUNTIF('盛付札（関数）'!D112,"*キャラ*"),
VLOOKUP("*キャラ*",#REF!,7,FALSE),
IF(COUNTIF('盛付札（関数）'!D112,"*赤*"),
VLOOKUP("*赤*",#REF!,7,FALSE),
VLOOKUP('盛付札（関数）'!D112,#REF!,7,FALSE))),0)&lt;=0,1,
ROUND(
IF(O112&lt;&gt;"",(H112-O112),H112)
/IF(COUNTIF('盛付札（関数）'!D112,"*キャラ*"),
VLOOKUP("*キャラ*",#REF!,7,FALSE),
IF(COUNTIF('盛付札（関数）'!D112,"*赤*"),
VLOOKUP("*赤*",#REF!,7,FALSE),
VLOOKUP('盛付札（関数）'!D112,#REF!,7,FALSE))),0)),
IF(MATCH(TRUE,
ISNUMBER(--INDIRECT("数出表_Excel!B"&amp;MATCH(C112,数出表_Excel!$A:$A,0)-1&amp;":U"&amp;MATCH(C112,数出表_Excel!$A:$A,0)-1&amp;"")),0)&gt;10,
IF(D112&lt;&gt;"",
IF(IF(COUNTIF('盛付札（関数）'!D112,"*キャラ*"),
VLOOKUP("*キャラ*",#REF!,7,FALSE),
IF(COUNTIF('盛付札（関数）'!D112,"*赤*"),
VLOOKUP("*赤*",#REF!,7,FALSE),
VLOOKUP('盛付札（関数）'!D112,#REF!,7,FALSE)))=0,"",
IF(ROUND(
IF(O112&lt;&gt;"",(H112-O112),H112)
/IF(COUNTIF('盛付札（関数）'!D112,"*キャラ*"),
VLOOKUP("*キャラ*",#REF!,7,FALSE),
IF(COUNTIF('盛付札（関数）'!D112,"*赤*"),
VLOOKUP("*赤*",#REF!,7,FALSE),
VLOOKUP('盛付札（関数）'!D112,#REF!,7,FALSE))),0)&lt;=0,1,
ROUND(
IF(O112&lt;&gt;"",(H112-O112),H112)
/IF(COUNTIF('盛付札（関数）'!D112,"*キャラ*"),
VLOOKUP("*キャラ*",#REF!,7,FALSE),
IF(COUNTIF('盛付札（関数）'!D112,"*赤*"),
VLOOKUP("*赤*",#REF!,7,FALSE),
VLOOKUP('盛付札（関数）'!D112,#REF!,7,FALSE))),0))),""),"")),"")</f>
        <v/>
      </c>
      <c r="G112" s="201" t="str">
        <f ca="1">IF(F112&lt;&gt;"",IF(VALUE(IF(O112&lt;&gt;"",H112-O112,H112))&gt;VALUE(IF(COUNTIF('盛付札（関数）'!D112,"*キャラ*"),
VLOOKUP("*キャラ*",#REF!,7,FALSE),
IF(COUNTIF('盛付札（関数）'!D112,"*赤*"),
VLOOKUP("*赤*",#REF!,7,FALSE),
VLOOKUP('盛付札（関数）'!D112,#REF!,7,FALSE)))*F112),
"+"&amp;IF(O112&lt;&gt;"",H112-O112,H112)-IF(COUNTIF('盛付札（関数）'!D112,"*キャラ*"),
VLOOKUP("*キャラ*",#REF!,7,FALSE),
IF(COUNTIF('盛付札（関数）'!D112,"*赤*"),
VLOOKUP("*赤*",#REF!,7,FALSE),
VLOOKUP('盛付札（関数）'!D112,#REF!,7,FALSE)))*F112,
IF(O112&lt;&gt;"",H112-O112,H112)-IF(COUNTIF('盛付札（関数）'!D112,"*キャラ*"),
VLOOKUP("*キャラ*",#REF!,7,FALSE),
IF(COUNTIF('盛付札（関数）'!D112,"*赤*"),
VLOOKUP("*赤*",#REF!,7,FALSE),
VLOOKUP('盛付札（関数）'!D112,#REF!,7,FALSE)))*F112),"")</f>
        <v/>
      </c>
      <c r="H112" s="202" t="str" cm="1">
        <f t="array" aca="1" ref="H112" ca="1">IF(C112&lt;&gt;"",
IF(INDIRECT("数出表_Excel!"&amp;IFERROR(MID(クライアント抽出!V42,FIND(",",クライアント抽出!V42)+1,1),"")&amp;A112-1&amp;"")&lt;&gt;"",
INDIRECT("数出表_Excel!"&amp;IFERROR(MID(クライアント抽出!V42,FIND(",",クライアント抽出!V42)+1,1),"")&amp;A112-1&amp;""),0),"")</f>
        <v/>
      </c>
      <c r="I112" s="200" t="str" cm="1">
        <f t="array" aca="1" ref="I112" ca="1">IF(C112&lt;&gt;"",
IF(INDIRECT("数出表_Excel!"&amp;IFERROR(MID(クライアント抽出!V42,FIND(",",クライアント抽出!V42)+1,1),"")&amp;A112&amp;"")&lt;&gt;"",
INDIRECT("数出表_Excel!"&amp;IFERROR(MID(クライアント抽出!V42,FIND(",",クライアント抽出!V42)+1,1),"")&amp;A112&amp;""),0),"")</f>
        <v/>
      </c>
      <c r="J112" s="200" t="str">
        <f ca="1">IF(C112&lt;&gt;"",
VLOOKUP(
IF(COUNTIF(D112,"*学食*"),"キャラ弁（学食）",
IF(COUNTIF(D112,"*赤*"),"赤",
IF(COUNTIF(D112,"*キャラ弁当*"),"キャラ弁当",D112))),注文弁当の抽出!$E$1:$F$15,2,FALSE),"")</f>
        <v/>
      </c>
      <c r="K112" s="200" t="str">
        <f t="shared" ref="K112:K140" ca="1" si="30">IF(C112&lt;&gt;"",
IFERROR(INT(H112/J112),""),"")</f>
        <v/>
      </c>
      <c r="L112" s="200" t="str">
        <f t="shared" ref="L112:L139" ca="1" si="31">IFERROR(MOD(H112,J112),"")</f>
        <v/>
      </c>
      <c r="M112" s="200" cm="1">
        <f t="array" aca="1" ref="M112" ca="1">IF(C112&lt;&gt;"",
IF(IFERROR(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0)&lt;&gt;0,
IF(IFERROR(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"")="",
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""),
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0)),0),0)</f>
        <v>0</v>
      </c>
      <c r="N112" s="200" t="e">
        <f t="array" aca="1" ref="N112" ca="1">IF(B112="博多",
IF(C112&lt;&gt;"",
IF(IFERROR(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0)&lt;&gt;0,
IF(IFERROR(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0)="",
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0),
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0)),0),""),0)</f>
        <v>#N/A</v>
      </c>
      <c r="O112" s="200" t="e">
        <f t="shared" ca="1" si="27"/>
        <v>#N/A</v>
      </c>
      <c r="P112" s="200">
        <f t="shared" ca="1" si="4"/>
        <v>0</v>
      </c>
      <c r="Q112" s="200" t="b">
        <f t="shared" ca="1" si="28"/>
        <v>0</v>
      </c>
      <c r="R112" s="51" t="str" cm="1">
        <f t="array" aca="1" ref="R112" ca="1">IFERROR(SMALL(IF(P$1:P$300&lt;&gt;0,P$1:P$300),ROW(A112)),"")</f>
        <v/>
      </c>
      <c r="S112" s="51" t="str">
        <f t="array" aca="1" ref="S112" ca="1">IF($R112&lt;&gt;"",
INDIRECT(""&amp;IF(COLUMN(C132)&lt;=26,CHAR(COLUMN(C132)+64),CHAR(INT((COLUMN(C132)-1)/26)+64)&amp;CHAR(MOD(COLUMN(C132)-1,26)+65))&amp;$R112&amp;""),"")</f>
        <v/>
      </c>
      <c r="T112" s="51" t="str" cm="1">
        <f t="array" aca="1" ref="T112" ca="1">IF(IF($R112&lt;&gt;"",
INDIRECT(""&amp;IF(COLUMN(D132)&lt;=26,CHAR(COLUMN(D132)+64),CHAR(INT((COLUMN(D132)-1)/26)+64)&amp;CHAR(MOD(COLUMN(D132)-1,26)+65))&amp;$R112&amp;""),"")=0,"",
IF($R112&lt;&gt;"",
INDIRECT(""&amp;IF(COLUMN(D132)&lt;=26,CHAR(COLUMN(D132)+64),CHAR(INT((COLUMN(D132)-1)/26)+64)&amp;CHAR(MOD(COLUMN(D132)-1,26)+65))&amp;$R112&amp;""),""))</f>
        <v/>
      </c>
      <c r="U112" s="51"/>
      <c r="V112" s="51" t="str">
        <f t="array" aca="1" ref="V112" ca="1">IF($R112&lt;&gt;"",
IF(U112="",
IF(INDIRECT("EY"&amp;$R112&amp;"")&lt;&gt;"",
INDIRECT("EY"&amp;$R112&amp;"")&amp;"箱"
&amp;INDIRECT("EZ"&amp;$R112&amp;""),""),""),"")</f>
        <v/>
      </c>
      <c r="W112" s="51" t="str">
        <f t="array" aca="1" ref="W112" ca="1">IF($R112&lt;&gt;"",
INDIRECT(""&amp;IF(COLUMN(H132)&lt;=26,CHAR(COLUMN(H132)+64),CHAR(INT((COLUMN(H132)-1)/26)+64)&amp;CHAR(MOD(COLUMN(H132)-1,26)+65))&amp;$R112&amp;""),"")</f>
        <v/>
      </c>
      <c r="X112" s="51" t="str">
        <f t="array" aca="1" ref="X112" ca="1">IF($R112&lt;&gt;"",
INDIRECT(""&amp;IF(COLUMN(I132)&lt;=26,CHAR(COLUMN(I132)+64),CHAR(INT((COLUMN(I132)-1)/26)+64)&amp;CHAR(MOD(COLUMN(I132)-1,26)+65))&amp;$R112&amp;""),"")</f>
        <v/>
      </c>
      <c r="Y112" s="51" t="str">
        <f t="array" aca="1" ref="Y112" ca="1">IF($R112&lt;&gt;"",
INDIRECT(""&amp;IF(COLUMN(J132)&lt;=26,CHAR(COLUMN(J132)+64),CHAR(INT((COLUMN(J132)-1)/26)+64)&amp;CHAR(MOD(COLUMN(J132)-1,26)+65))&amp;$R112&amp;""),"")</f>
        <v/>
      </c>
      <c r="Z112" s="51" t="str">
        <f t="array" aca="1" ref="Z112" ca="1">IF($R112&lt;&gt;"",
INDIRECT(""&amp;IF(COLUMN(K132)&lt;=26,CHAR(COLUMN(K132)+64),CHAR(INT((COLUMN(K132)-1)/26)+64)&amp;CHAR(MOD(COLUMN(K132)-1,26)+65))&amp;$R112&amp;""),"")</f>
        <v/>
      </c>
      <c r="AA112" s="51" t="str">
        <f t="array" aca="1" ref="AA112" ca="1">IF($R112&lt;&gt;"",
INDIRECT(""&amp;IF(COLUMN(L132)&lt;=26,CHAR(COLUMN(L132)+64),CHAR(INT((COLUMN(L132)-1)/26)+64)&amp;CHAR(MOD(COLUMN(L132)-1,26)+65))&amp;$R112&amp;""),"")</f>
        <v/>
      </c>
      <c r="AB112" s="51" t="str">
        <f t="array" aca="1" ref="AB112" ca="1">IF($R112&lt;&gt;"",
INDIRECT(""&amp;IF(COLUMN(O132)&lt;=26,CHAR(COLUMN(O132)+64),CHAR(INT((COLUMN(O132)-1)/26)+64)&amp;CHAR(MOD(COLUMN(O132)-1,26)+65))&amp;$R112&amp;""),"")</f>
        <v/>
      </c>
    </row>
    <row r="113" spans="1:28" ht="22.2" customHeight="1">
      <c r="A113" s="199">
        <f t="shared" si="29"/>
        <v>91</v>
      </c>
      <c r="B113" s="200" t="e" cm="1">
        <f t="array" aca="1" ref="B113" ca="1">IF(AND(LEFT(C113,2)="博多",
LEFT(INDIRECT("数出表_Excel!A"&amp;MATCH(C113,数出表_Excel!$A:$A,0)-1),2)
=LEFT(INDIRECT("数出表_Excel!A"&amp;MATCH(C113,数出表_Excel!$A:$A,0)+1),2)),"博多",
IF(AND(LEFT(C113,3)="奈良屋",
LEFT(INDIRECT("数出表_Excel!A"&amp;MATCH(C113,数出表_Excel!$A:$A,0)-1),2)
=LEFT(INDIRECT("数出表_Excel!A"&amp;MATCH(C113,数出表_Excel!$A:$A,0)+1),2)),"奈良屋",""))</f>
        <v>#N/A</v>
      </c>
      <c r="C113" s="200" t="str" cm="1">
        <f t="array" aca="1" ref="C113" ca="1">IF(IF(クライアント抽出!A43="",0,LEN(クライアント抽出!V43)-LEN(SUBSTITUTE(クライアント抽出!V43,",","")))&gt;=2,INDIRECT("数出表_Excel!A"&amp;A113&amp;""),"")</f>
        <v/>
      </c>
      <c r="D113" s="200" t="str" cm="1">
        <f t="array" aca="1" ref="D113" ca="1">IF(C113&lt;&gt;"",INDIRECT("クライアント抽出!"&amp;E113&amp;MATCH(C113,クライアント抽出!A:A,0)&amp;""),"")</f>
        <v/>
      </c>
      <c r="E113" s="20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201" t="str" cm="1">
        <f t="array" aca="1" ref="F113" ca="1">IF(D113&lt;&gt;"",
IF(COUNTIF(C113,"*雙葉*"),
IF(ROUND(
IF(O113&lt;&gt;"",(H113-O113),H113)
/IF(COUNTIF('盛付札（関数）'!D113,"*キャラ*"),
VLOOKUP("*キャラ*",#REF!,7,FALSE),
IF(COUNTIF('盛付札（関数）'!D113,"*赤*"),
VLOOKUP("*赤*",#REF!,7,FALSE),
VLOOKUP('盛付札（関数）'!D113,#REF!,7,FALSE))),0)&lt;=0,1,
ROUND(
IF(O113&lt;&gt;"",(H113-O113),H113)
/IF(COUNTIF('盛付札（関数）'!D113,"*キャラ*"),
VLOOKUP("*キャラ*",#REF!,7,FALSE),
IF(COUNTIF('盛付札（関数）'!D113,"*赤*"),
VLOOKUP("*赤*",#REF!,7,FALSE),
VLOOKUP('盛付札（関数）'!D113,#REF!,7,FALSE))),0)),
IF(MATCH(TRUE,
ISNUMBER(--INDIRECT("数出表_Excel!B"&amp;MATCH(C113,数出表_Excel!$A:$A,0)-1&amp;":U"&amp;MATCH(C113,数出表_Excel!$A:$A,0)-1&amp;"")),0)&gt;10,
IF(D113&lt;&gt;"",
IF(IF(COUNTIF('盛付札（関数）'!D113,"*キャラ*"),
VLOOKUP("*キャラ*",#REF!,7,FALSE),
IF(COUNTIF('盛付札（関数）'!D113,"*赤*"),
VLOOKUP("*赤*",#REF!,7,FALSE),
VLOOKUP('盛付札（関数）'!D113,#REF!,7,FALSE)))=0,"",
IF(ROUND(
IF(O113&lt;&gt;"",(H113-O113),H113)
/IF(COUNTIF('盛付札（関数）'!D113,"*キャラ*"),
VLOOKUP("*キャラ*",#REF!,7,FALSE),
IF(COUNTIF('盛付札（関数）'!D113,"*赤*"),
VLOOKUP("*赤*",#REF!,7,FALSE),
VLOOKUP('盛付札（関数）'!D113,#REF!,7,FALSE))),0)&lt;=0,1,
ROUND(
IF(O113&lt;&gt;"",(H113-O113),H113)
/IF(COUNTIF('盛付札（関数）'!D113,"*キャラ*"),
VLOOKUP("*キャラ*",#REF!,7,FALSE),
IF(COUNTIF('盛付札（関数）'!D113,"*赤*"),
VLOOKUP("*赤*",#REF!,7,FALSE),
VLOOKUP('盛付札（関数）'!D113,#REF!,7,FALSE))),0))),""),"")),"")</f>
        <v/>
      </c>
      <c r="G113" s="201" t="str">
        <f ca="1">IF(F113&lt;&gt;"",IF(VALUE(IF(O113&lt;&gt;"",H113-O113,H113))&gt;VALUE(IF(COUNTIF('盛付札（関数）'!D113,"*キャラ*"),
VLOOKUP("*キャラ*",#REF!,7,FALSE),
IF(COUNTIF('盛付札（関数）'!D113,"*赤*"),
VLOOKUP("*赤*",#REF!,7,FALSE),
VLOOKUP('盛付札（関数）'!D113,#REF!,7,FALSE)))*F113),
"+"&amp;IF(O113&lt;&gt;"",H113-O113,H113)-IF(COUNTIF('盛付札（関数）'!D113,"*キャラ*"),
VLOOKUP("*キャラ*",#REF!,7,FALSE),
IF(COUNTIF('盛付札（関数）'!D113,"*赤*"),
VLOOKUP("*赤*",#REF!,7,FALSE),
VLOOKUP('盛付札（関数）'!D113,#REF!,7,FALSE)))*F113,
IF(O113&lt;&gt;"",H113-O113,H113)-IF(COUNTIF('盛付札（関数）'!D113,"*キャラ*"),
VLOOKUP("*キャラ*",#REF!,7,FALSE),
IF(COUNTIF('盛付札（関数）'!D113,"*赤*"),
VLOOKUP("*赤*",#REF!,7,FALSE),
VLOOKUP('盛付札（関数）'!D113,#REF!,7,FALSE)))*F113),"")</f>
        <v/>
      </c>
      <c r="H113" s="202" t="str" cm="1">
        <f t="array" aca="1" ref="H113" ca="1">IF(C113&lt;&gt;"",
IF(INDIRECT("数出表_Excel!"&amp;IFERROR(MID(クライアント抽出!V43,FIND(",",クライアント抽出!V43)+1,1),"")&amp;A113-1&amp;"")&lt;&gt;"",
INDIRECT("数出表_Excel!"&amp;IFERROR(MID(クライアント抽出!V43,FIND(",",クライアント抽出!V43)+1,1),"")&amp;A113-1&amp;""),0),"")</f>
        <v/>
      </c>
      <c r="I113" s="200" t="str" cm="1">
        <f t="array" aca="1" ref="I113" ca="1">IF(C113&lt;&gt;"",
IF(INDIRECT("数出表_Excel!"&amp;IFERROR(MID(クライアント抽出!V43,FIND(",",クライアント抽出!V43)+1,1),"")&amp;A113&amp;"")&lt;&gt;"",
INDIRECT("数出表_Excel!"&amp;IFERROR(MID(クライアント抽出!V43,FIND(",",クライアント抽出!V43)+1,1),"")&amp;A113&amp;""),0),"")</f>
        <v/>
      </c>
      <c r="J113" s="200" t="str">
        <f ca="1">IF(C113&lt;&gt;"",
VLOOKUP(
IF(COUNTIF(D113,"*学食*"),"キャラ弁（学食）",
IF(COUNTIF(D113,"*赤*"),"赤",
IF(COUNTIF(D113,"*キャラ弁当*"),"キャラ弁当",D113))),注文弁当の抽出!$E$1:$F$15,2,FALSE),"")</f>
        <v/>
      </c>
      <c r="K113" s="200" t="str">
        <f t="shared" ca="1" si="30"/>
        <v/>
      </c>
      <c r="L113" s="200" t="str">
        <f t="shared" ca="1" si="31"/>
        <v/>
      </c>
      <c r="M113" s="200" cm="1">
        <f t="array" aca="1" ref="M113" ca="1">IF(C113&lt;&gt;"",
IF(IFERROR(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0)&lt;&gt;0,
IF(IFERROR(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"")="",
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""),
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0)),0),0)</f>
        <v>0</v>
      </c>
      <c r="N113" s="200" t="e">
        <f t="array" aca="1" ref="N113" ca="1">IF(B113="博多",
IF(C113&lt;&gt;"",
IF(IFERROR(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0)&lt;&gt;0,
IF(IFERROR(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0)="",
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0),
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0)),0),""),0)</f>
        <v>#N/A</v>
      </c>
      <c r="O113" s="200" t="e">
        <f t="shared" ca="1" si="27"/>
        <v>#N/A</v>
      </c>
      <c r="P113" s="200">
        <f t="shared" ca="1" si="4"/>
        <v>0</v>
      </c>
      <c r="Q113" s="200" t="b">
        <f t="shared" ca="1" si="28"/>
        <v>0</v>
      </c>
      <c r="R113" s="51" t="str" cm="1">
        <f t="array" aca="1" ref="R113" ca="1">IFERROR(SMALL(IF(P$1:P$300&lt;&gt;0,P$1:P$300),ROW(A113)),"")</f>
        <v/>
      </c>
      <c r="S113" s="51" t="str">
        <f t="array" aca="1" ref="S113" ca="1">IF($R113&lt;&gt;"",
INDIRECT(""&amp;IF(COLUMN(C133)&lt;=26,CHAR(COLUMN(C133)+64),CHAR(INT((COLUMN(C133)-1)/26)+64)&amp;CHAR(MOD(COLUMN(C133)-1,26)+65))&amp;$R113&amp;""),"")</f>
        <v/>
      </c>
      <c r="T113" s="51" t="str" cm="1">
        <f t="array" aca="1" ref="T113" ca="1">IF(IF($R113&lt;&gt;"",
INDIRECT(""&amp;IF(COLUMN(D133)&lt;=26,CHAR(COLUMN(D133)+64),CHAR(INT((COLUMN(D133)-1)/26)+64)&amp;CHAR(MOD(COLUMN(D133)-1,26)+65))&amp;$R113&amp;""),"")=0,"",
IF($R113&lt;&gt;"",
INDIRECT(""&amp;IF(COLUMN(D133)&lt;=26,CHAR(COLUMN(D133)+64),CHAR(INT((COLUMN(D133)-1)/26)+64)&amp;CHAR(MOD(COLUMN(D133)-1,26)+65))&amp;$R113&amp;""),""))</f>
        <v/>
      </c>
      <c r="U113" s="51"/>
      <c r="V113" s="51" t="str">
        <f t="array" aca="1" ref="V113" ca="1">IF($R113&lt;&gt;"",
IF(U113="",
IF(INDIRECT("EY"&amp;$R113&amp;"")&lt;&gt;"",
INDIRECT("EY"&amp;$R113&amp;"")&amp;"箱"
&amp;INDIRECT("EZ"&amp;$R113&amp;""),""),""),"")</f>
        <v/>
      </c>
      <c r="W113" s="51" t="str">
        <f t="array" aca="1" ref="W113" ca="1">IF($R113&lt;&gt;"",
INDIRECT(""&amp;IF(COLUMN(H133)&lt;=26,CHAR(COLUMN(H133)+64),CHAR(INT((COLUMN(H133)-1)/26)+64)&amp;CHAR(MOD(COLUMN(H133)-1,26)+65))&amp;$R113&amp;""),"")</f>
        <v/>
      </c>
      <c r="X113" s="51" t="str">
        <f t="array" aca="1" ref="X113" ca="1">IF($R113&lt;&gt;"",
INDIRECT(""&amp;IF(COLUMN(I133)&lt;=26,CHAR(COLUMN(I133)+64),CHAR(INT((COLUMN(I133)-1)/26)+64)&amp;CHAR(MOD(COLUMN(I133)-1,26)+65))&amp;$R113&amp;""),"")</f>
        <v/>
      </c>
      <c r="Y113" s="51" t="str">
        <f t="array" aca="1" ref="Y113" ca="1">IF($R113&lt;&gt;"",
INDIRECT(""&amp;IF(COLUMN(J133)&lt;=26,CHAR(COLUMN(J133)+64),CHAR(INT((COLUMN(J133)-1)/26)+64)&amp;CHAR(MOD(COLUMN(J133)-1,26)+65))&amp;$R113&amp;""),"")</f>
        <v/>
      </c>
      <c r="Z113" s="51" t="str">
        <f t="array" aca="1" ref="Z113" ca="1">IF($R113&lt;&gt;"",
INDIRECT(""&amp;IF(COLUMN(K133)&lt;=26,CHAR(COLUMN(K133)+64),CHAR(INT((COLUMN(K133)-1)/26)+64)&amp;CHAR(MOD(COLUMN(K133)-1,26)+65))&amp;$R113&amp;""),"")</f>
        <v/>
      </c>
      <c r="AA113" s="51" t="str">
        <f t="array" aca="1" ref="AA113" ca="1">IF($R113&lt;&gt;"",
INDIRECT(""&amp;IF(COLUMN(L133)&lt;=26,CHAR(COLUMN(L133)+64),CHAR(INT((COLUMN(L133)-1)/26)+64)&amp;CHAR(MOD(COLUMN(L133)-1,26)+65))&amp;$R113&amp;""),"")</f>
        <v/>
      </c>
      <c r="AB113" s="51" t="str">
        <f t="array" aca="1" ref="AB113" ca="1">IF($R113&lt;&gt;"",
INDIRECT(""&amp;IF(COLUMN(O133)&lt;=26,CHAR(COLUMN(O133)+64),CHAR(INT((COLUMN(O133)-1)/26)+64)&amp;CHAR(MOD(COLUMN(O133)-1,26)+65))&amp;$R113&amp;""),"")</f>
        <v/>
      </c>
    </row>
    <row r="114" spans="1:28" ht="22.2" customHeight="1">
      <c r="A114" s="199">
        <f t="shared" si="29"/>
        <v>93</v>
      </c>
      <c r="B114" s="200" t="e" cm="1">
        <f t="array" aca="1" ref="B114" ca="1">IF(AND(LEFT(C114,2)="博多",
LEFT(INDIRECT("数出表_Excel!A"&amp;MATCH(C114,数出表_Excel!$A:$A,0)-1),2)
=LEFT(INDIRECT("数出表_Excel!A"&amp;MATCH(C114,数出表_Excel!$A:$A,0)+1),2)),"博多",
IF(AND(LEFT(C114,3)="奈良屋",
LEFT(INDIRECT("数出表_Excel!A"&amp;MATCH(C114,数出表_Excel!$A:$A,0)-1),2)
=LEFT(INDIRECT("数出表_Excel!A"&amp;MATCH(C114,数出表_Excel!$A:$A,0)+1),2)),"奈良屋",""))</f>
        <v>#N/A</v>
      </c>
      <c r="C114" s="200" t="str" cm="1">
        <f t="array" aca="1" ref="C114" ca="1">IF(IF(クライアント抽出!A44="",0,LEN(クライアント抽出!V44)-LEN(SUBSTITUTE(クライアント抽出!V44,",","")))&gt;=2,INDIRECT("数出表_Excel!A"&amp;A114&amp;""),"")</f>
        <v/>
      </c>
      <c r="D114" s="200" t="str" cm="1">
        <f t="array" aca="1" ref="D114" ca="1">IF(C114&lt;&gt;"",INDIRECT("クライアント抽出!"&amp;E114&amp;MATCH(C114,クライアント抽出!A:A,0)&amp;""),"")</f>
        <v/>
      </c>
      <c r="E114" s="20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201" t="str" cm="1">
        <f t="array" aca="1" ref="F114" ca="1">IF(D114&lt;&gt;"",
IF(COUNTIF(C114,"*雙葉*"),
IF(ROUND(
IF(O114&lt;&gt;"",(H114-O114),H114)
/IF(COUNTIF('盛付札（関数）'!D114,"*キャラ*"),
VLOOKUP("*キャラ*",#REF!,7,FALSE),
IF(COUNTIF('盛付札（関数）'!D114,"*赤*"),
VLOOKUP("*赤*",#REF!,7,FALSE),
VLOOKUP('盛付札（関数）'!D114,#REF!,7,FALSE))),0)&lt;=0,1,
ROUND(
IF(O114&lt;&gt;"",(H114-O114),H114)
/IF(COUNTIF('盛付札（関数）'!D114,"*キャラ*"),
VLOOKUP("*キャラ*",#REF!,7,FALSE),
IF(COUNTIF('盛付札（関数）'!D114,"*赤*"),
VLOOKUP("*赤*",#REF!,7,FALSE),
VLOOKUP('盛付札（関数）'!D114,#REF!,7,FALSE))),0)),
IF(MATCH(TRUE,
ISNUMBER(--INDIRECT("数出表_Excel!B"&amp;MATCH(C114,数出表_Excel!$A:$A,0)-1&amp;":U"&amp;MATCH(C114,数出表_Excel!$A:$A,0)-1&amp;"")),0)&gt;10,
IF(D114&lt;&gt;"",
IF(IF(COUNTIF('盛付札（関数）'!D114,"*キャラ*"),
VLOOKUP("*キャラ*",#REF!,7,FALSE),
IF(COUNTIF('盛付札（関数）'!D114,"*赤*"),
VLOOKUP("*赤*",#REF!,7,FALSE),
VLOOKUP('盛付札（関数）'!D114,#REF!,7,FALSE)))=0,"",
IF(ROUND(
IF(O114&lt;&gt;"",(H114-O114),H114)
/IF(COUNTIF('盛付札（関数）'!D114,"*キャラ*"),
VLOOKUP("*キャラ*",#REF!,7,FALSE),
IF(COUNTIF('盛付札（関数）'!D114,"*赤*"),
VLOOKUP("*赤*",#REF!,7,FALSE),
VLOOKUP('盛付札（関数）'!D114,#REF!,7,FALSE))),0)&lt;=0,1,
ROUND(
IF(O114&lt;&gt;"",(H114-O114),H114)
/IF(COUNTIF('盛付札（関数）'!D114,"*キャラ*"),
VLOOKUP("*キャラ*",#REF!,7,FALSE),
IF(COUNTIF('盛付札（関数）'!D114,"*赤*"),
VLOOKUP("*赤*",#REF!,7,FALSE),
VLOOKUP('盛付札（関数）'!D114,#REF!,7,FALSE))),0))),""),"")),"")</f>
        <v/>
      </c>
      <c r="G114" s="201" t="str">
        <f ca="1">IF(F114&lt;&gt;"",IF(VALUE(IF(O114&lt;&gt;"",H114-O114,H114))&gt;VALUE(IF(COUNTIF('盛付札（関数）'!D114,"*キャラ*"),
VLOOKUP("*キャラ*",#REF!,7,FALSE),
IF(COUNTIF('盛付札（関数）'!D114,"*赤*"),
VLOOKUP("*赤*",#REF!,7,FALSE),
VLOOKUP('盛付札（関数）'!D114,#REF!,7,FALSE)))*F114),
"+"&amp;IF(O114&lt;&gt;"",H114-O114,H114)-IF(COUNTIF('盛付札（関数）'!D114,"*キャラ*"),
VLOOKUP("*キャラ*",#REF!,7,FALSE),
IF(COUNTIF('盛付札（関数）'!D114,"*赤*"),
VLOOKUP("*赤*",#REF!,7,FALSE),
VLOOKUP('盛付札（関数）'!D114,#REF!,7,FALSE)))*F114,
IF(O114&lt;&gt;"",H114-O114,H114)-IF(COUNTIF('盛付札（関数）'!D114,"*キャラ*"),
VLOOKUP("*キャラ*",#REF!,7,FALSE),
IF(COUNTIF('盛付札（関数）'!D114,"*赤*"),
VLOOKUP("*赤*",#REF!,7,FALSE),
VLOOKUP('盛付札（関数）'!D114,#REF!,7,FALSE)))*F114),"")</f>
        <v/>
      </c>
      <c r="H114" s="202" t="str" cm="1">
        <f t="array" aca="1" ref="H114" ca="1">IF(C114&lt;&gt;"",
IF(INDIRECT("数出表_Excel!"&amp;IFERROR(MID(クライアント抽出!V44,FIND(",",クライアント抽出!V44)+1,1),"")&amp;A114-1&amp;"")&lt;&gt;"",
INDIRECT("数出表_Excel!"&amp;IFERROR(MID(クライアント抽出!V44,FIND(",",クライアント抽出!V44)+1,1),"")&amp;A114-1&amp;""),0),"")</f>
        <v/>
      </c>
      <c r="I114" s="200" t="str" cm="1">
        <f t="array" aca="1" ref="I114" ca="1">IF(C114&lt;&gt;"",
IF(INDIRECT("数出表_Excel!"&amp;IFERROR(MID(クライアント抽出!V44,FIND(",",クライアント抽出!V44)+1,1),"")&amp;A114&amp;"")&lt;&gt;"",
INDIRECT("数出表_Excel!"&amp;IFERROR(MID(クライアント抽出!V44,FIND(",",クライアント抽出!V44)+1,1),"")&amp;A114&amp;""),0),"")</f>
        <v/>
      </c>
      <c r="J114" s="200" t="str">
        <f ca="1">IF(C114&lt;&gt;"",
VLOOKUP(
IF(COUNTIF(D114,"*学食*"),"キャラ弁（学食）",
IF(COUNTIF(D114,"*赤*"),"赤",
IF(COUNTIF(D114,"*キャラ弁当*"),"キャラ弁当",D114))),注文弁当の抽出!$E$1:$F$15,2,FALSE),"")</f>
        <v/>
      </c>
      <c r="K114" s="200" t="str">
        <f t="shared" ca="1" si="30"/>
        <v/>
      </c>
      <c r="L114" s="200" t="str">
        <f t="shared" ca="1" si="31"/>
        <v/>
      </c>
      <c r="M114" s="200" cm="1">
        <f t="array" aca="1" ref="M114" ca="1">IF(C114&lt;&gt;"",
IF(IFERROR(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0)&lt;&gt;0,
IF(IFERROR(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"")="",
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""),
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0)),0),0)</f>
        <v>0</v>
      </c>
      <c r="N114" s="200" t="e">
        <f t="array" aca="1" ref="N114" ca="1">IF(B114="博多",
IF(C114&lt;&gt;"",
IF(IFERROR(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0)&lt;&gt;0,
IF(IFERROR(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0)="",
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0),
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0)),0),""),0)</f>
        <v>#N/A</v>
      </c>
      <c r="O114" s="200" t="e">
        <f t="shared" ca="1" si="27"/>
        <v>#N/A</v>
      </c>
      <c r="P114" s="200">
        <f t="shared" ca="1" si="4"/>
        <v>0</v>
      </c>
      <c r="Q114" s="200" t="b">
        <f t="shared" ca="1" si="28"/>
        <v>0</v>
      </c>
      <c r="R114" s="51" t="str" cm="1">
        <f t="array" aca="1" ref="R114" ca="1">IFERROR(SMALL(IF(P$1:P$300&lt;&gt;0,P$1:P$300),ROW(A114)),"")</f>
        <v/>
      </c>
      <c r="S114" s="51" t="str">
        <f t="array" aca="1" ref="S114" ca="1">IF($R114&lt;&gt;"",
INDIRECT(""&amp;IF(COLUMN(C134)&lt;=26,CHAR(COLUMN(C134)+64),CHAR(INT((COLUMN(C134)-1)/26)+64)&amp;CHAR(MOD(COLUMN(C134)-1,26)+65))&amp;$R114&amp;""),"")</f>
        <v/>
      </c>
      <c r="T114" s="51" t="str" cm="1">
        <f t="array" aca="1" ref="T114" ca="1">IF(IF($R114&lt;&gt;"",
INDIRECT(""&amp;IF(COLUMN(D134)&lt;=26,CHAR(COLUMN(D134)+64),CHAR(INT((COLUMN(D134)-1)/26)+64)&amp;CHAR(MOD(COLUMN(D134)-1,26)+65))&amp;$R114&amp;""),"")=0,"",
IF($R114&lt;&gt;"",
INDIRECT(""&amp;IF(COLUMN(D134)&lt;=26,CHAR(COLUMN(D134)+64),CHAR(INT((COLUMN(D134)-1)/26)+64)&amp;CHAR(MOD(COLUMN(D134)-1,26)+65))&amp;$R114&amp;""),""))</f>
        <v/>
      </c>
      <c r="U114" s="51"/>
      <c r="V114" s="51" t="str">
        <f t="array" aca="1" ref="V114" ca="1">IF($R114&lt;&gt;"",
IF(U114="",
IF(INDIRECT("EY"&amp;$R114&amp;"")&lt;&gt;"",
INDIRECT("EY"&amp;$R114&amp;"")&amp;"箱"
&amp;INDIRECT("EZ"&amp;$R114&amp;""),""),""),"")</f>
        <v/>
      </c>
      <c r="W114" s="51" t="str">
        <f t="array" aca="1" ref="W114" ca="1">IF($R114&lt;&gt;"",
INDIRECT(""&amp;IF(COLUMN(H134)&lt;=26,CHAR(COLUMN(H134)+64),CHAR(INT((COLUMN(H134)-1)/26)+64)&amp;CHAR(MOD(COLUMN(H134)-1,26)+65))&amp;$R114&amp;""),"")</f>
        <v/>
      </c>
      <c r="X114" s="51" t="str">
        <f t="array" aca="1" ref="X114" ca="1">IF($R114&lt;&gt;"",
INDIRECT(""&amp;IF(COLUMN(I134)&lt;=26,CHAR(COLUMN(I134)+64),CHAR(INT((COLUMN(I134)-1)/26)+64)&amp;CHAR(MOD(COLUMN(I134)-1,26)+65))&amp;$R114&amp;""),"")</f>
        <v/>
      </c>
      <c r="Y114" s="51" t="str">
        <f t="array" aca="1" ref="Y114" ca="1">IF($R114&lt;&gt;"",
INDIRECT(""&amp;IF(COLUMN(J134)&lt;=26,CHAR(COLUMN(J134)+64),CHAR(INT((COLUMN(J134)-1)/26)+64)&amp;CHAR(MOD(COLUMN(J134)-1,26)+65))&amp;$R114&amp;""),"")</f>
        <v/>
      </c>
      <c r="Z114" s="51" t="str">
        <f t="array" aca="1" ref="Z114" ca="1">IF($R114&lt;&gt;"",
INDIRECT(""&amp;IF(COLUMN(K134)&lt;=26,CHAR(COLUMN(K134)+64),CHAR(INT((COLUMN(K134)-1)/26)+64)&amp;CHAR(MOD(COLUMN(K134)-1,26)+65))&amp;$R114&amp;""),"")</f>
        <v/>
      </c>
      <c r="AA114" s="51" t="str">
        <f t="array" aca="1" ref="AA114" ca="1">IF($R114&lt;&gt;"",
INDIRECT(""&amp;IF(COLUMN(L134)&lt;=26,CHAR(COLUMN(L134)+64),CHAR(INT((COLUMN(L134)-1)/26)+64)&amp;CHAR(MOD(COLUMN(L134)-1,26)+65))&amp;$R114&amp;""),"")</f>
        <v/>
      </c>
      <c r="AB114" s="51" t="str">
        <f t="array" aca="1" ref="AB114" ca="1">IF($R114&lt;&gt;"",
INDIRECT(""&amp;IF(COLUMN(O134)&lt;=26,CHAR(COLUMN(O134)+64),CHAR(INT((COLUMN(O134)-1)/26)+64)&amp;CHAR(MOD(COLUMN(O134)-1,26)+65))&amp;$R114&amp;""),"")</f>
        <v/>
      </c>
    </row>
    <row r="115" spans="1:28" ht="22.2" customHeight="1">
      <c r="A115" s="199">
        <f t="shared" si="29"/>
        <v>95</v>
      </c>
      <c r="B115" s="200" t="e" cm="1">
        <f t="array" aca="1" ref="B115" ca="1">IF(AND(LEFT(C115,2)="博多",
LEFT(INDIRECT("数出表_Excel!A"&amp;MATCH(C115,数出表_Excel!$A:$A,0)-1),2)
=LEFT(INDIRECT("数出表_Excel!A"&amp;MATCH(C115,数出表_Excel!$A:$A,0)+1),2)),"博多",
IF(AND(LEFT(C115,3)="奈良屋",
LEFT(INDIRECT("数出表_Excel!A"&amp;MATCH(C115,数出表_Excel!$A:$A,0)-1),2)
=LEFT(INDIRECT("数出表_Excel!A"&amp;MATCH(C115,数出表_Excel!$A:$A,0)+1),2)),"奈良屋",""))</f>
        <v>#N/A</v>
      </c>
      <c r="C115" s="200" t="str" cm="1">
        <f t="array" aca="1" ref="C115" ca="1">IF(IF(クライアント抽出!A45="",0,LEN(クライアント抽出!V45)-LEN(SUBSTITUTE(クライアント抽出!V45,",","")))&gt;=2,INDIRECT("数出表_Excel!A"&amp;A115&amp;""),"")</f>
        <v/>
      </c>
      <c r="D115" s="200" t="str" cm="1">
        <f t="array" aca="1" ref="D115" ca="1">IF(C115&lt;&gt;"",INDIRECT("クライアント抽出!"&amp;E115&amp;MATCH(C115,クライアント抽出!A:A,0)&amp;""),"")</f>
        <v/>
      </c>
      <c r="E115" s="20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201" t="str" cm="1">
        <f t="array" aca="1" ref="F115" ca="1">IF(D115&lt;&gt;"",
IF(COUNTIF(C115,"*雙葉*"),
IF(ROUND(
IF(O115&lt;&gt;"",(H115-O115),H115)
/IF(COUNTIF('盛付札（関数）'!D115,"*キャラ*"),
VLOOKUP("*キャラ*",#REF!,7,FALSE),
IF(COUNTIF('盛付札（関数）'!D115,"*赤*"),
VLOOKUP("*赤*",#REF!,7,FALSE),
VLOOKUP('盛付札（関数）'!D115,#REF!,7,FALSE))),0)&lt;=0,1,
ROUND(
IF(O115&lt;&gt;"",(H115-O115),H115)
/IF(COUNTIF('盛付札（関数）'!D115,"*キャラ*"),
VLOOKUP("*キャラ*",#REF!,7,FALSE),
IF(COUNTIF('盛付札（関数）'!D115,"*赤*"),
VLOOKUP("*赤*",#REF!,7,FALSE),
VLOOKUP('盛付札（関数）'!D115,#REF!,7,FALSE))),0)),
IF(MATCH(TRUE,
ISNUMBER(--INDIRECT("数出表_Excel!B"&amp;MATCH(C115,数出表_Excel!$A:$A,0)-1&amp;":U"&amp;MATCH(C115,数出表_Excel!$A:$A,0)-1&amp;"")),0)&gt;10,
IF(D115&lt;&gt;"",
IF(IF(COUNTIF('盛付札（関数）'!D115,"*キャラ*"),
VLOOKUP("*キャラ*",#REF!,7,FALSE),
IF(COUNTIF('盛付札（関数）'!D115,"*赤*"),
VLOOKUP("*赤*",#REF!,7,FALSE),
VLOOKUP('盛付札（関数）'!D115,#REF!,7,FALSE)))=0,"",
IF(ROUND(
IF(O115&lt;&gt;"",(H115-O115),H115)
/IF(COUNTIF('盛付札（関数）'!D115,"*キャラ*"),
VLOOKUP("*キャラ*",#REF!,7,FALSE),
IF(COUNTIF('盛付札（関数）'!D115,"*赤*"),
VLOOKUP("*赤*",#REF!,7,FALSE),
VLOOKUP('盛付札（関数）'!D115,#REF!,7,FALSE))),0)&lt;=0,1,
ROUND(
IF(O115&lt;&gt;"",(H115-O115),H115)
/IF(COUNTIF('盛付札（関数）'!D115,"*キャラ*"),
VLOOKUP("*キャラ*",#REF!,7,FALSE),
IF(COUNTIF('盛付札（関数）'!D115,"*赤*"),
VLOOKUP("*赤*",#REF!,7,FALSE),
VLOOKUP('盛付札（関数）'!D115,#REF!,7,FALSE))),0))),""),"")),"")</f>
        <v/>
      </c>
      <c r="G115" s="201" t="str">
        <f ca="1">IF(F115&lt;&gt;"",IF(VALUE(IF(O115&lt;&gt;"",H115-O115,H115))&gt;VALUE(IF(COUNTIF('盛付札（関数）'!D115,"*キャラ*"),
VLOOKUP("*キャラ*",#REF!,7,FALSE),
IF(COUNTIF('盛付札（関数）'!D115,"*赤*"),
VLOOKUP("*赤*",#REF!,7,FALSE),
VLOOKUP('盛付札（関数）'!D115,#REF!,7,FALSE)))*F115),
"+"&amp;IF(O115&lt;&gt;"",H115-O115,H115)-IF(COUNTIF('盛付札（関数）'!D115,"*キャラ*"),
VLOOKUP("*キャラ*",#REF!,7,FALSE),
IF(COUNTIF('盛付札（関数）'!D115,"*赤*"),
VLOOKUP("*赤*",#REF!,7,FALSE),
VLOOKUP('盛付札（関数）'!D115,#REF!,7,FALSE)))*F115,
IF(O115&lt;&gt;"",H115-O115,H115)-IF(COUNTIF('盛付札（関数）'!D115,"*キャラ*"),
VLOOKUP("*キャラ*",#REF!,7,FALSE),
IF(COUNTIF('盛付札（関数）'!D115,"*赤*"),
VLOOKUP("*赤*",#REF!,7,FALSE),
VLOOKUP('盛付札（関数）'!D115,#REF!,7,FALSE)))*F115),"")</f>
        <v/>
      </c>
      <c r="H115" s="202" t="str" cm="1">
        <f t="array" aca="1" ref="H115" ca="1">IF(C115&lt;&gt;"",
IF(INDIRECT("数出表_Excel!"&amp;IFERROR(MID(クライアント抽出!V45,FIND(",",クライアント抽出!V45)+1,1),"")&amp;A115-1&amp;"")&lt;&gt;"",
INDIRECT("数出表_Excel!"&amp;IFERROR(MID(クライアント抽出!V45,FIND(",",クライアント抽出!V45)+1,1),"")&amp;A115-1&amp;""),0),"")</f>
        <v/>
      </c>
      <c r="I115" s="200" t="str" cm="1">
        <f t="array" aca="1" ref="I115" ca="1">IF(C115&lt;&gt;"",
IF(INDIRECT("数出表_Excel!"&amp;IFERROR(MID(クライアント抽出!V45,FIND(",",クライアント抽出!V45)+1,1),"")&amp;A115&amp;"")&lt;&gt;"",
INDIRECT("数出表_Excel!"&amp;IFERROR(MID(クライアント抽出!V45,FIND(",",クライアント抽出!V45)+1,1),"")&amp;A115&amp;""),0),"")</f>
        <v/>
      </c>
      <c r="J115" s="200" t="str">
        <f ca="1">IF(C115&lt;&gt;"",
VLOOKUP(
IF(COUNTIF(D115,"*学食*"),"キャラ弁（学食）",
IF(COUNTIF(D115,"*赤*"),"赤",
IF(COUNTIF(D115,"*キャラ弁当*"),"キャラ弁当",D115))),注文弁当の抽出!$E$1:$F$15,2,FALSE),"")</f>
        <v/>
      </c>
      <c r="K115" s="200" t="str">
        <f t="shared" ca="1" si="30"/>
        <v/>
      </c>
      <c r="L115" s="200" t="str">
        <f t="shared" ca="1" si="31"/>
        <v/>
      </c>
      <c r="M115" s="200" cm="1">
        <f t="array" aca="1" ref="M115" ca="1">IF(C115&lt;&gt;"",
IF(IFERROR(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0)&lt;&gt;0,
IF(IFERROR(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"")="",
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""),
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0)),0),0)</f>
        <v>0</v>
      </c>
      <c r="N115" s="200" t="e">
        <f t="array" aca="1" ref="N115" ca="1">IF(B115="博多",
IF(C115&lt;&gt;"",
IF(IFERROR(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0)&lt;&gt;0,
IF(IFERROR(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0)="",
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0),
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0)),0),""),0)</f>
        <v>#N/A</v>
      </c>
      <c r="O115" s="200" t="e">
        <f t="shared" ca="1" si="27"/>
        <v>#N/A</v>
      </c>
      <c r="P115" s="200">
        <f t="shared" ca="1" si="4"/>
        <v>0</v>
      </c>
      <c r="Q115" s="200" t="b">
        <f t="shared" ca="1" si="28"/>
        <v>0</v>
      </c>
      <c r="R115" s="51" t="str" cm="1">
        <f t="array" aca="1" ref="R115" ca="1">IFERROR(SMALL(IF(P$1:P$300&lt;&gt;0,P$1:P$300),ROW(A115)),"")</f>
        <v/>
      </c>
      <c r="S115" s="51" t="str">
        <f t="array" aca="1" ref="S115" ca="1">IF($R115&lt;&gt;"",
INDIRECT(""&amp;IF(COLUMN(C135)&lt;=26,CHAR(COLUMN(C135)+64),CHAR(INT((COLUMN(C135)-1)/26)+64)&amp;CHAR(MOD(COLUMN(C135)-1,26)+65))&amp;$R115&amp;""),"")</f>
        <v/>
      </c>
      <c r="T115" s="51" t="str" cm="1">
        <f t="array" aca="1" ref="T115" ca="1">IF(IF($R115&lt;&gt;"",
INDIRECT(""&amp;IF(COLUMN(D135)&lt;=26,CHAR(COLUMN(D135)+64),CHAR(INT((COLUMN(D135)-1)/26)+64)&amp;CHAR(MOD(COLUMN(D135)-1,26)+65))&amp;$R115&amp;""),"")=0,"",
IF($R115&lt;&gt;"",
INDIRECT(""&amp;IF(COLUMN(D135)&lt;=26,CHAR(COLUMN(D135)+64),CHAR(INT((COLUMN(D135)-1)/26)+64)&amp;CHAR(MOD(COLUMN(D135)-1,26)+65))&amp;$R115&amp;""),""))</f>
        <v/>
      </c>
      <c r="U115" s="51"/>
      <c r="V115" s="51" t="str">
        <f t="array" aca="1" ref="V115" ca="1">IF($R115&lt;&gt;"",
IF(U115="",
IF(INDIRECT("EY"&amp;$R115&amp;"")&lt;&gt;"",
INDIRECT("EY"&amp;$R115&amp;"")&amp;"箱"
&amp;INDIRECT("EZ"&amp;$R115&amp;""),""),""),"")</f>
        <v/>
      </c>
      <c r="W115" s="51" t="str">
        <f t="array" aca="1" ref="W115" ca="1">IF($R115&lt;&gt;"",
INDIRECT(""&amp;IF(COLUMN(H135)&lt;=26,CHAR(COLUMN(H135)+64),CHAR(INT((COLUMN(H135)-1)/26)+64)&amp;CHAR(MOD(COLUMN(H135)-1,26)+65))&amp;$R115&amp;""),"")</f>
        <v/>
      </c>
      <c r="X115" s="51" t="str">
        <f t="array" aca="1" ref="X115" ca="1">IF($R115&lt;&gt;"",
INDIRECT(""&amp;IF(COLUMN(I135)&lt;=26,CHAR(COLUMN(I135)+64),CHAR(INT((COLUMN(I135)-1)/26)+64)&amp;CHAR(MOD(COLUMN(I135)-1,26)+65))&amp;$R115&amp;""),"")</f>
        <v/>
      </c>
      <c r="Y115" s="51" t="str">
        <f t="array" aca="1" ref="Y115" ca="1">IF($R115&lt;&gt;"",
INDIRECT(""&amp;IF(COLUMN(J135)&lt;=26,CHAR(COLUMN(J135)+64),CHAR(INT((COLUMN(J135)-1)/26)+64)&amp;CHAR(MOD(COLUMN(J135)-1,26)+65))&amp;$R115&amp;""),"")</f>
        <v/>
      </c>
      <c r="Z115" s="51" t="str">
        <f t="array" aca="1" ref="Z115" ca="1">IF($R115&lt;&gt;"",
INDIRECT(""&amp;IF(COLUMN(K135)&lt;=26,CHAR(COLUMN(K135)+64),CHAR(INT((COLUMN(K135)-1)/26)+64)&amp;CHAR(MOD(COLUMN(K135)-1,26)+65))&amp;$R115&amp;""),"")</f>
        <v/>
      </c>
      <c r="AA115" s="51" t="str">
        <f t="array" aca="1" ref="AA115" ca="1">IF($R115&lt;&gt;"",
INDIRECT(""&amp;IF(COLUMN(L135)&lt;=26,CHAR(COLUMN(L135)+64),CHAR(INT((COLUMN(L135)-1)/26)+64)&amp;CHAR(MOD(COLUMN(L135)-1,26)+65))&amp;$R115&amp;""),"")</f>
        <v/>
      </c>
      <c r="AB115" s="51" t="str">
        <f t="array" aca="1" ref="AB115" ca="1">IF($R115&lt;&gt;"",
INDIRECT(""&amp;IF(COLUMN(O135)&lt;=26,CHAR(COLUMN(O135)+64),CHAR(INT((COLUMN(O135)-1)/26)+64)&amp;CHAR(MOD(COLUMN(O135)-1,26)+65))&amp;$R115&amp;""),"")</f>
        <v/>
      </c>
    </row>
    <row r="116" spans="1:28" ht="22.2" customHeight="1">
      <c r="A116" s="199">
        <f t="shared" si="29"/>
        <v>97</v>
      </c>
      <c r="B116" s="200" t="e" cm="1">
        <f t="array" aca="1" ref="B116" ca="1">IF(AND(LEFT(C116,2)="博多",
LEFT(INDIRECT("数出表_Excel!A"&amp;MATCH(C116,数出表_Excel!$A:$A,0)-1),2)
=LEFT(INDIRECT("数出表_Excel!A"&amp;MATCH(C116,数出表_Excel!$A:$A,0)+1),2)),"博多",
IF(AND(LEFT(C116,3)="奈良屋",
LEFT(INDIRECT("数出表_Excel!A"&amp;MATCH(C116,数出表_Excel!$A:$A,0)-1),2)
=LEFT(INDIRECT("数出表_Excel!A"&amp;MATCH(C116,数出表_Excel!$A:$A,0)+1),2)),"奈良屋",""))</f>
        <v>#N/A</v>
      </c>
      <c r="C116" s="200" t="str" cm="1">
        <f t="array" aca="1" ref="C116" ca="1">IF(IF(クライアント抽出!A46="",0,LEN(クライアント抽出!V46)-LEN(SUBSTITUTE(クライアント抽出!V46,",","")))&gt;=2,INDIRECT("数出表_Excel!A"&amp;A116&amp;""),"")</f>
        <v/>
      </c>
      <c r="D116" s="200" t="str" cm="1">
        <f t="array" aca="1" ref="D116" ca="1">IF(C116&lt;&gt;"",INDIRECT("クライアント抽出!"&amp;E116&amp;MATCH(C116,クライアント抽出!A:A,0)&amp;""),"")</f>
        <v/>
      </c>
      <c r="E116" s="20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201" t="str" cm="1">
        <f t="array" aca="1" ref="F116" ca="1">IF(D116&lt;&gt;"",
IF(COUNTIF(C116,"*雙葉*"),
IF(ROUND(
IF(O116&lt;&gt;"",(H116-O116),H116)
/IF(COUNTIF('盛付札（関数）'!D116,"*キャラ*"),
VLOOKUP("*キャラ*",#REF!,7,FALSE),
IF(COUNTIF('盛付札（関数）'!D116,"*赤*"),
VLOOKUP("*赤*",#REF!,7,FALSE),
VLOOKUP('盛付札（関数）'!D116,#REF!,7,FALSE))),0)&lt;=0,1,
ROUND(
IF(O116&lt;&gt;"",(H116-O116),H116)
/IF(COUNTIF('盛付札（関数）'!D116,"*キャラ*"),
VLOOKUP("*キャラ*",#REF!,7,FALSE),
IF(COUNTIF('盛付札（関数）'!D116,"*赤*"),
VLOOKUP("*赤*",#REF!,7,FALSE),
VLOOKUP('盛付札（関数）'!D116,#REF!,7,FALSE))),0)),
IF(MATCH(TRUE,
ISNUMBER(--INDIRECT("数出表_Excel!B"&amp;MATCH(C116,数出表_Excel!$A:$A,0)-1&amp;":U"&amp;MATCH(C116,数出表_Excel!$A:$A,0)-1&amp;"")),0)&gt;10,
IF(D116&lt;&gt;"",
IF(IF(COUNTIF('盛付札（関数）'!D116,"*キャラ*"),
VLOOKUP("*キャラ*",#REF!,7,FALSE),
IF(COUNTIF('盛付札（関数）'!D116,"*赤*"),
VLOOKUP("*赤*",#REF!,7,FALSE),
VLOOKUP('盛付札（関数）'!D116,#REF!,7,FALSE)))=0,"",
IF(ROUND(
IF(O116&lt;&gt;"",(H116-O116),H116)
/IF(COUNTIF('盛付札（関数）'!D116,"*キャラ*"),
VLOOKUP("*キャラ*",#REF!,7,FALSE),
IF(COUNTIF('盛付札（関数）'!D116,"*赤*"),
VLOOKUP("*赤*",#REF!,7,FALSE),
VLOOKUP('盛付札（関数）'!D116,#REF!,7,FALSE))),0)&lt;=0,1,
ROUND(
IF(O116&lt;&gt;"",(H116-O116),H116)
/IF(COUNTIF('盛付札（関数）'!D116,"*キャラ*"),
VLOOKUP("*キャラ*",#REF!,7,FALSE),
IF(COUNTIF('盛付札（関数）'!D116,"*赤*"),
VLOOKUP("*赤*",#REF!,7,FALSE),
VLOOKUP('盛付札（関数）'!D116,#REF!,7,FALSE))),0))),""),"")),"")</f>
        <v/>
      </c>
      <c r="G116" s="201" t="str">
        <f ca="1">IF(F116&lt;&gt;"",IF(VALUE(IF(O116&lt;&gt;"",H116-O116,H116))&gt;VALUE(IF(COUNTIF('盛付札（関数）'!D116,"*キャラ*"),
VLOOKUP("*キャラ*",#REF!,7,FALSE),
IF(COUNTIF('盛付札（関数）'!D116,"*赤*"),
VLOOKUP("*赤*",#REF!,7,FALSE),
VLOOKUP('盛付札（関数）'!D116,#REF!,7,FALSE)))*F116),
"+"&amp;IF(O116&lt;&gt;"",H116-O116,H116)-IF(COUNTIF('盛付札（関数）'!D116,"*キャラ*"),
VLOOKUP("*キャラ*",#REF!,7,FALSE),
IF(COUNTIF('盛付札（関数）'!D116,"*赤*"),
VLOOKUP("*赤*",#REF!,7,FALSE),
VLOOKUP('盛付札（関数）'!D116,#REF!,7,FALSE)))*F116,
IF(O116&lt;&gt;"",H116-O116,H116)-IF(COUNTIF('盛付札（関数）'!D116,"*キャラ*"),
VLOOKUP("*キャラ*",#REF!,7,FALSE),
IF(COUNTIF('盛付札（関数）'!D116,"*赤*"),
VLOOKUP("*赤*",#REF!,7,FALSE),
VLOOKUP('盛付札（関数）'!D116,#REF!,7,FALSE)))*F116),"")</f>
        <v/>
      </c>
      <c r="H116" s="202" t="str" cm="1">
        <f t="array" aca="1" ref="H116" ca="1">IF(C116&lt;&gt;"",
IF(INDIRECT("数出表_Excel!"&amp;IFERROR(MID(クライアント抽出!V46,FIND(",",クライアント抽出!V46)+1,1),"")&amp;A116-1&amp;"")&lt;&gt;"",
INDIRECT("数出表_Excel!"&amp;IFERROR(MID(クライアント抽出!V46,FIND(",",クライアント抽出!V46)+1,1),"")&amp;A116-1&amp;""),0),"")</f>
        <v/>
      </c>
      <c r="I116" s="200" t="str" cm="1">
        <f t="array" aca="1" ref="I116" ca="1">IF(C116&lt;&gt;"",
IF(INDIRECT("数出表_Excel!"&amp;IFERROR(MID(クライアント抽出!V46,FIND(",",クライアント抽出!V46)+1,1),"")&amp;A116&amp;"")&lt;&gt;"",
INDIRECT("数出表_Excel!"&amp;IFERROR(MID(クライアント抽出!V46,FIND(",",クライアント抽出!V46)+1,1),"")&amp;A116&amp;""),0),"")</f>
        <v/>
      </c>
      <c r="J116" s="200" t="str">
        <f ca="1">IF(C116&lt;&gt;"",
VLOOKUP(
IF(COUNTIF(D116,"*学食*"),"キャラ弁（学食）",
IF(COUNTIF(D116,"*赤*"),"赤",
IF(COUNTIF(D116,"*キャラ弁当*"),"キャラ弁当",D116))),注文弁当の抽出!$E$1:$F$15,2,FALSE),"")</f>
        <v/>
      </c>
      <c r="K116" s="200" t="str">
        <f t="shared" ca="1" si="30"/>
        <v/>
      </c>
      <c r="L116" s="200" t="str">
        <f t="shared" ca="1" si="31"/>
        <v/>
      </c>
      <c r="M116" s="200" cm="1">
        <f t="array" aca="1" ref="M116" ca="1">IF(C116&lt;&gt;"",
IF(IFERROR(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0)&lt;&gt;0,
IF(IFERROR(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"")="",
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""),
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0)),0),0)</f>
        <v>0</v>
      </c>
      <c r="N116" s="200" t="e">
        <f t="array" aca="1" ref="N116" ca="1">IF(B116="博多",
IF(C116&lt;&gt;"",
IF(IFERROR(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0)&lt;&gt;0,
IF(IFERROR(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0)="",
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0),
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0)),0),""),0)</f>
        <v>#N/A</v>
      </c>
      <c r="O116" s="200" t="e">
        <f t="shared" ca="1" si="27"/>
        <v>#N/A</v>
      </c>
      <c r="P116" s="200">
        <f t="shared" ca="1" si="4"/>
        <v>0</v>
      </c>
      <c r="Q116" s="200" t="b">
        <f t="shared" ca="1" si="28"/>
        <v>0</v>
      </c>
      <c r="R116" s="51" t="str" cm="1">
        <f t="array" aca="1" ref="R116" ca="1">IFERROR(SMALL(IF(P$1:P$300&lt;&gt;0,P$1:P$300),ROW(A116)),"")</f>
        <v/>
      </c>
      <c r="S116" s="51" t="str">
        <f t="array" aca="1" ref="S116" ca="1">IF($R116&lt;&gt;"",
INDIRECT(""&amp;IF(COLUMN(C136)&lt;=26,CHAR(COLUMN(C136)+64),CHAR(INT((COLUMN(C136)-1)/26)+64)&amp;CHAR(MOD(COLUMN(C136)-1,26)+65))&amp;$R116&amp;""),"")</f>
        <v/>
      </c>
      <c r="T116" s="51" t="str" cm="1">
        <f t="array" aca="1" ref="T116" ca="1">IF(IF($R116&lt;&gt;"",
INDIRECT(""&amp;IF(COLUMN(D136)&lt;=26,CHAR(COLUMN(D136)+64),CHAR(INT((COLUMN(D136)-1)/26)+64)&amp;CHAR(MOD(COLUMN(D136)-1,26)+65))&amp;$R116&amp;""),"")=0,"",
IF($R116&lt;&gt;"",
INDIRECT(""&amp;IF(COLUMN(D136)&lt;=26,CHAR(COLUMN(D136)+64),CHAR(INT((COLUMN(D136)-1)/26)+64)&amp;CHAR(MOD(COLUMN(D136)-1,26)+65))&amp;$R116&amp;""),""))</f>
        <v/>
      </c>
      <c r="U116" s="51"/>
      <c r="V116" s="51" t="str">
        <f t="array" aca="1" ref="V116" ca="1">IF($R116&lt;&gt;"",
IF(U116="",
IF(INDIRECT("EY"&amp;$R116&amp;"")&lt;&gt;"",
INDIRECT("EY"&amp;$R116&amp;"")&amp;"箱"
&amp;INDIRECT("EZ"&amp;$R116&amp;""),""),""),"")</f>
        <v/>
      </c>
      <c r="W116" s="51" t="str">
        <f t="array" aca="1" ref="W116" ca="1">IF($R116&lt;&gt;"",
INDIRECT(""&amp;IF(COLUMN(H136)&lt;=26,CHAR(COLUMN(H136)+64),CHAR(INT((COLUMN(H136)-1)/26)+64)&amp;CHAR(MOD(COLUMN(H136)-1,26)+65))&amp;$R116&amp;""),"")</f>
        <v/>
      </c>
      <c r="X116" s="51" t="str">
        <f t="array" aca="1" ref="X116" ca="1">IF($R116&lt;&gt;"",
INDIRECT(""&amp;IF(COLUMN(I136)&lt;=26,CHAR(COLUMN(I136)+64),CHAR(INT((COLUMN(I136)-1)/26)+64)&amp;CHAR(MOD(COLUMN(I136)-1,26)+65))&amp;$R116&amp;""),"")</f>
        <v/>
      </c>
      <c r="Y116" s="51" t="str">
        <f t="array" aca="1" ref="Y116" ca="1">IF($R116&lt;&gt;"",
INDIRECT(""&amp;IF(COLUMN(J136)&lt;=26,CHAR(COLUMN(J136)+64),CHAR(INT((COLUMN(J136)-1)/26)+64)&amp;CHAR(MOD(COLUMN(J136)-1,26)+65))&amp;$R116&amp;""),"")</f>
        <v/>
      </c>
      <c r="Z116" s="51" t="str">
        <f t="array" aca="1" ref="Z116" ca="1">IF($R116&lt;&gt;"",
INDIRECT(""&amp;IF(COLUMN(K136)&lt;=26,CHAR(COLUMN(K136)+64),CHAR(INT((COLUMN(K136)-1)/26)+64)&amp;CHAR(MOD(COLUMN(K136)-1,26)+65))&amp;$R116&amp;""),"")</f>
        <v/>
      </c>
      <c r="AA116" s="51" t="str">
        <f t="array" aca="1" ref="AA116" ca="1">IF($R116&lt;&gt;"",
INDIRECT(""&amp;IF(COLUMN(L136)&lt;=26,CHAR(COLUMN(L136)+64),CHAR(INT((COLUMN(L136)-1)/26)+64)&amp;CHAR(MOD(COLUMN(L136)-1,26)+65))&amp;$R116&amp;""),"")</f>
        <v/>
      </c>
      <c r="AB116" s="51" t="str">
        <f t="array" aca="1" ref="AB116" ca="1">IF($R116&lt;&gt;"",
INDIRECT(""&amp;IF(COLUMN(O136)&lt;=26,CHAR(COLUMN(O136)+64),CHAR(INT((COLUMN(O136)-1)/26)+64)&amp;CHAR(MOD(COLUMN(O136)-1,26)+65))&amp;$R116&amp;""),"")</f>
        <v/>
      </c>
    </row>
    <row r="117" spans="1:28" ht="22.2" customHeight="1">
      <c r="A117" s="199">
        <f t="shared" si="29"/>
        <v>99</v>
      </c>
      <c r="B117" s="200" t="e" cm="1">
        <f t="array" aca="1" ref="B117" ca="1">IF(AND(LEFT(C117,2)="博多",
LEFT(INDIRECT("数出表_Excel!A"&amp;MATCH(C117,数出表_Excel!$A:$A,0)-1),2)
=LEFT(INDIRECT("数出表_Excel!A"&amp;MATCH(C117,数出表_Excel!$A:$A,0)+1),2)),"博多",
IF(AND(LEFT(C117,3)="奈良屋",
LEFT(INDIRECT("数出表_Excel!A"&amp;MATCH(C117,数出表_Excel!$A:$A,0)-1),2)
=LEFT(INDIRECT("数出表_Excel!A"&amp;MATCH(C117,数出表_Excel!$A:$A,0)+1),2)),"奈良屋",""))</f>
        <v>#N/A</v>
      </c>
      <c r="C117" s="200" t="str" cm="1">
        <f t="array" aca="1" ref="C117" ca="1">IF(IF(クライアント抽出!A47="",0,LEN(クライアント抽出!V47)-LEN(SUBSTITUTE(クライアント抽出!V47,",","")))&gt;=2,INDIRECT("数出表_Excel!A"&amp;A117&amp;""),"")</f>
        <v/>
      </c>
      <c r="D117" s="200" t="str" cm="1">
        <f t="array" aca="1" ref="D117" ca="1">IF(C117&lt;&gt;"",INDIRECT("クライアント抽出!"&amp;E117&amp;MATCH(C117,クライアント抽出!A:A,0)&amp;""),"")</f>
        <v/>
      </c>
      <c r="E117" s="20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201" t="str" cm="1">
        <f t="array" aca="1" ref="F117" ca="1">IF(D117&lt;&gt;"",
IF(COUNTIF(C117,"*雙葉*"),
IF(ROUND(
IF(O117&lt;&gt;"",(H117-O117),H117)
/IF(COUNTIF('盛付札（関数）'!D117,"*キャラ*"),
VLOOKUP("*キャラ*",#REF!,7,FALSE),
IF(COUNTIF('盛付札（関数）'!D117,"*赤*"),
VLOOKUP("*赤*",#REF!,7,FALSE),
VLOOKUP('盛付札（関数）'!D117,#REF!,7,FALSE))),0)&lt;=0,1,
ROUND(
IF(O117&lt;&gt;"",(H117-O117),H117)
/IF(COUNTIF('盛付札（関数）'!D117,"*キャラ*"),
VLOOKUP("*キャラ*",#REF!,7,FALSE),
IF(COUNTIF('盛付札（関数）'!D117,"*赤*"),
VLOOKUP("*赤*",#REF!,7,FALSE),
VLOOKUP('盛付札（関数）'!D117,#REF!,7,FALSE))),0)),
IF(MATCH(TRUE,
ISNUMBER(--INDIRECT("数出表_Excel!B"&amp;MATCH(C117,数出表_Excel!$A:$A,0)-1&amp;":U"&amp;MATCH(C117,数出表_Excel!$A:$A,0)-1&amp;"")),0)&gt;10,
IF(D117&lt;&gt;"",
IF(IF(COUNTIF('盛付札（関数）'!D117,"*キャラ*"),
VLOOKUP("*キャラ*",#REF!,7,FALSE),
IF(COUNTIF('盛付札（関数）'!D117,"*赤*"),
VLOOKUP("*赤*",#REF!,7,FALSE),
VLOOKUP('盛付札（関数）'!D117,#REF!,7,FALSE)))=0,"",
IF(ROUND(
IF(O117&lt;&gt;"",(H117-O117),H117)
/IF(COUNTIF('盛付札（関数）'!D117,"*キャラ*"),
VLOOKUP("*キャラ*",#REF!,7,FALSE),
IF(COUNTIF('盛付札（関数）'!D117,"*赤*"),
VLOOKUP("*赤*",#REF!,7,FALSE),
VLOOKUP('盛付札（関数）'!D117,#REF!,7,FALSE))),0)&lt;=0,1,
ROUND(
IF(O117&lt;&gt;"",(H117-O117),H117)
/IF(COUNTIF('盛付札（関数）'!D117,"*キャラ*"),
VLOOKUP("*キャラ*",#REF!,7,FALSE),
IF(COUNTIF('盛付札（関数）'!D117,"*赤*"),
VLOOKUP("*赤*",#REF!,7,FALSE),
VLOOKUP('盛付札（関数）'!D117,#REF!,7,FALSE))),0))),""),"")),"")</f>
        <v/>
      </c>
      <c r="G117" s="201" t="str">
        <f ca="1">IF(F117&lt;&gt;"",IF(VALUE(IF(O117&lt;&gt;"",H117-O117,H117))&gt;VALUE(IF(COUNTIF('盛付札（関数）'!D117,"*キャラ*"),
VLOOKUP("*キャラ*",#REF!,7,FALSE),
IF(COUNTIF('盛付札（関数）'!D117,"*赤*"),
VLOOKUP("*赤*",#REF!,7,FALSE),
VLOOKUP('盛付札（関数）'!D117,#REF!,7,FALSE)))*F117),
"+"&amp;IF(O117&lt;&gt;"",H117-O117,H117)-IF(COUNTIF('盛付札（関数）'!D117,"*キャラ*"),
VLOOKUP("*キャラ*",#REF!,7,FALSE),
IF(COUNTIF('盛付札（関数）'!D117,"*赤*"),
VLOOKUP("*赤*",#REF!,7,FALSE),
VLOOKUP('盛付札（関数）'!D117,#REF!,7,FALSE)))*F117,
IF(O117&lt;&gt;"",H117-O117,H117)-IF(COUNTIF('盛付札（関数）'!D117,"*キャラ*"),
VLOOKUP("*キャラ*",#REF!,7,FALSE),
IF(COUNTIF('盛付札（関数）'!D117,"*赤*"),
VLOOKUP("*赤*",#REF!,7,FALSE),
VLOOKUP('盛付札（関数）'!D117,#REF!,7,FALSE)))*F117),"")</f>
        <v/>
      </c>
      <c r="H117" s="202" t="str" cm="1">
        <f t="array" aca="1" ref="H117" ca="1">IF(C117&lt;&gt;"",
IF(INDIRECT("数出表_Excel!"&amp;IFERROR(MID(クライアント抽出!V47,FIND(",",クライアント抽出!V47)+1,1),"")&amp;A117-1&amp;"")&lt;&gt;"",
INDIRECT("数出表_Excel!"&amp;IFERROR(MID(クライアント抽出!V47,FIND(",",クライアント抽出!V47)+1,1),"")&amp;A117-1&amp;""),0),"")</f>
        <v/>
      </c>
      <c r="I117" s="200" t="str" cm="1">
        <f t="array" aca="1" ref="I117" ca="1">IF(C117&lt;&gt;"",
IF(INDIRECT("数出表_Excel!"&amp;IFERROR(MID(クライアント抽出!V47,FIND(",",クライアント抽出!V47)+1,1),"")&amp;A117&amp;"")&lt;&gt;"",
INDIRECT("数出表_Excel!"&amp;IFERROR(MID(クライアント抽出!V47,FIND(",",クライアント抽出!V47)+1,1),"")&amp;A117&amp;""),0),"")</f>
        <v/>
      </c>
      <c r="J117" s="200" t="str">
        <f ca="1">IF(C117&lt;&gt;"",
VLOOKUP(
IF(COUNTIF(D117,"*学食*"),"キャラ弁（学食）",
IF(COUNTIF(D117,"*赤*"),"赤",
IF(COUNTIF(D117,"*キャラ弁当*"),"キャラ弁当",D117))),注文弁当の抽出!$E$1:$F$15,2,FALSE),"")</f>
        <v/>
      </c>
      <c r="K117" s="200" t="str">
        <f t="shared" ca="1" si="30"/>
        <v/>
      </c>
      <c r="L117" s="200" t="str">
        <f t="shared" ca="1" si="31"/>
        <v/>
      </c>
      <c r="M117" s="200" cm="1">
        <f t="array" aca="1" ref="M117" ca="1">IF(C117&lt;&gt;"",
IF(IFERROR(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0)&lt;&gt;0,
IF(IFERROR(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"")="",
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""),
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0)),0),0)</f>
        <v>0</v>
      </c>
      <c r="N117" s="200" t="e">
        <f t="array" aca="1" ref="N117" ca="1">IF(B117="博多",
IF(C117&lt;&gt;"",
IF(IFERROR(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0)&lt;&gt;0,
IF(IFERROR(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0)="",
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0),
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0)),0),""),0)</f>
        <v>#N/A</v>
      </c>
      <c r="O117" s="200" t="e">
        <f t="shared" ca="1" si="27"/>
        <v>#N/A</v>
      </c>
      <c r="P117" s="200">
        <f t="shared" ca="1" si="4"/>
        <v>0</v>
      </c>
      <c r="Q117" s="200" t="b">
        <f t="shared" ca="1" si="28"/>
        <v>0</v>
      </c>
      <c r="R117" s="51" t="str" cm="1">
        <f t="array" aca="1" ref="R117" ca="1">IFERROR(SMALL(IF(P$1:P$300&lt;&gt;0,P$1:P$300),ROW(A117)),"")</f>
        <v/>
      </c>
      <c r="S117" s="51" t="str">
        <f t="array" aca="1" ref="S117" ca="1">IF($R117&lt;&gt;"",
INDIRECT(""&amp;IF(COLUMN(C137)&lt;=26,CHAR(COLUMN(C137)+64),CHAR(INT((COLUMN(C137)-1)/26)+64)&amp;CHAR(MOD(COLUMN(C137)-1,26)+65))&amp;$R117&amp;""),"")</f>
        <v/>
      </c>
      <c r="T117" s="51" t="str" cm="1">
        <f t="array" aca="1" ref="T117" ca="1">IF(IF($R117&lt;&gt;"",
INDIRECT(""&amp;IF(COLUMN(D137)&lt;=26,CHAR(COLUMN(D137)+64),CHAR(INT((COLUMN(D137)-1)/26)+64)&amp;CHAR(MOD(COLUMN(D137)-1,26)+65))&amp;$R117&amp;""),"")=0,"",
IF($R117&lt;&gt;"",
INDIRECT(""&amp;IF(COLUMN(D137)&lt;=26,CHAR(COLUMN(D137)+64),CHAR(INT((COLUMN(D137)-1)/26)+64)&amp;CHAR(MOD(COLUMN(D137)-1,26)+65))&amp;$R117&amp;""),""))</f>
        <v/>
      </c>
      <c r="U117" s="51"/>
      <c r="V117" s="51" t="str">
        <f t="array" aca="1" ref="V117" ca="1">IF($R117&lt;&gt;"",
IF(U117="",
IF(INDIRECT("EY"&amp;$R117&amp;"")&lt;&gt;"",
INDIRECT("EY"&amp;$R117&amp;"")&amp;"箱"
&amp;INDIRECT("EZ"&amp;$R117&amp;""),""),""),"")</f>
        <v/>
      </c>
      <c r="W117" s="51" t="str">
        <f t="array" aca="1" ref="W117" ca="1">IF($R117&lt;&gt;"",
INDIRECT(""&amp;IF(COLUMN(H137)&lt;=26,CHAR(COLUMN(H137)+64),CHAR(INT((COLUMN(H137)-1)/26)+64)&amp;CHAR(MOD(COLUMN(H137)-1,26)+65))&amp;$R117&amp;""),"")</f>
        <v/>
      </c>
      <c r="X117" s="51" t="str">
        <f t="array" aca="1" ref="X117" ca="1">IF($R117&lt;&gt;"",
INDIRECT(""&amp;IF(COLUMN(I137)&lt;=26,CHAR(COLUMN(I137)+64),CHAR(INT((COLUMN(I137)-1)/26)+64)&amp;CHAR(MOD(COLUMN(I137)-1,26)+65))&amp;$R117&amp;""),"")</f>
        <v/>
      </c>
      <c r="Y117" s="51" t="str">
        <f t="array" aca="1" ref="Y117" ca="1">IF($R117&lt;&gt;"",
INDIRECT(""&amp;IF(COLUMN(J137)&lt;=26,CHAR(COLUMN(J137)+64),CHAR(INT((COLUMN(J137)-1)/26)+64)&amp;CHAR(MOD(COLUMN(J137)-1,26)+65))&amp;$R117&amp;""),"")</f>
        <v/>
      </c>
      <c r="Z117" s="51" t="str">
        <f t="array" aca="1" ref="Z117" ca="1">IF($R117&lt;&gt;"",
INDIRECT(""&amp;IF(COLUMN(K137)&lt;=26,CHAR(COLUMN(K137)+64),CHAR(INT((COLUMN(K137)-1)/26)+64)&amp;CHAR(MOD(COLUMN(K137)-1,26)+65))&amp;$R117&amp;""),"")</f>
        <v/>
      </c>
      <c r="AA117" s="51" t="str">
        <f t="array" aca="1" ref="AA117" ca="1">IF($R117&lt;&gt;"",
INDIRECT(""&amp;IF(COLUMN(L137)&lt;=26,CHAR(COLUMN(L137)+64),CHAR(INT((COLUMN(L137)-1)/26)+64)&amp;CHAR(MOD(COLUMN(L137)-1,26)+65))&amp;$R117&amp;""),"")</f>
        <v/>
      </c>
      <c r="AB117" s="51" t="str">
        <f t="array" aca="1" ref="AB117" ca="1">IF($R117&lt;&gt;"",
INDIRECT(""&amp;IF(COLUMN(O137)&lt;=26,CHAR(COLUMN(O137)+64),CHAR(INT((COLUMN(O137)-1)/26)+64)&amp;CHAR(MOD(COLUMN(O137)-1,26)+65))&amp;$R117&amp;""),"")</f>
        <v/>
      </c>
    </row>
    <row r="118" spans="1:28" ht="22.2" customHeight="1">
      <c r="A118" s="199">
        <f t="shared" si="29"/>
        <v>101</v>
      </c>
      <c r="B118" s="200" t="e" cm="1">
        <f t="array" aca="1" ref="B118" ca="1">IF(AND(LEFT(C118,2)="博多",
LEFT(INDIRECT("数出表_Excel!A"&amp;MATCH(C118,数出表_Excel!$A:$A,0)-1),2)
=LEFT(INDIRECT("数出表_Excel!A"&amp;MATCH(C118,数出表_Excel!$A:$A,0)+1),2)),"博多",
IF(AND(LEFT(C118,3)="奈良屋",
LEFT(INDIRECT("数出表_Excel!A"&amp;MATCH(C118,数出表_Excel!$A:$A,0)-1),2)
=LEFT(INDIRECT("数出表_Excel!A"&amp;MATCH(C118,数出表_Excel!$A:$A,0)+1),2)),"奈良屋",""))</f>
        <v>#N/A</v>
      </c>
      <c r="C118" s="200" t="str" cm="1">
        <f t="array" aca="1" ref="C118" ca="1">IF(IF(クライアント抽出!A48="",0,LEN(クライアント抽出!V48)-LEN(SUBSTITUTE(クライアント抽出!V48,",","")))&gt;=2,INDIRECT("数出表_Excel!A"&amp;A118&amp;""),"")</f>
        <v/>
      </c>
      <c r="D118" s="200" t="str" cm="1">
        <f t="array" aca="1" ref="D118" ca="1">IF(C118&lt;&gt;"",INDIRECT("クライアント抽出!"&amp;E118&amp;MATCH(C118,クライアント抽出!A:A,0)&amp;""),"")</f>
        <v/>
      </c>
      <c r="E118" s="20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201" t="str" cm="1">
        <f t="array" aca="1" ref="F118" ca="1">IF(D118&lt;&gt;"",
IF(COUNTIF(C118,"*雙葉*"),
IF(ROUND(
IF(O118&lt;&gt;"",(H118-O118),H118)
/IF(COUNTIF('盛付札（関数）'!D118,"*キャラ*"),
VLOOKUP("*キャラ*",#REF!,7,FALSE),
IF(COUNTIF('盛付札（関数）'!D118,"*赤*"),
VLOOKUP("*赤*",#REF!,7,FALSE),
VLOOKUP('盛付札（関数）'!D118,#REF!,7,FALSE))),0)&lt;=0,1,
ROUND(
IF(O118&lt;&gt;"",(H118-O118),H118)
/IF(COUNTIF('盛付札（関数）'!D118,"*キャラ*"),
VLOOKUP("*キャラ*",#REF!,7,FALSE),
IF(COUNTIF('盛付札（関数）'!D118,"*赤*"),
VLOOKUP("*赤*",#REF!,7,FALSE),
VLOOKUP('盛付札（関数）'!D118,#REF!,7,FALSE))),0)),
IF(MATCH(TRUE,
ISNUMBER(--INDIRECT("数出表_Excel!B"&amp;MATCH(C118,数出表_Excel!$A:$A,0)-1&amp;":U"&amp;MATCH(C118,数出表_Excel!$A:$A,0)-1&amp;"")),0)&gt;10,
IF(D118&lt;&gt;"",
IF(IF(COUNTIF('盛付札（関数）'!D118,"*キャラ*"),
VLOOKUP("*キャラ*",#REF!,7,FALSE),
IF(COUNTIF('盛付札（関数）'!D118,"*赤*"),
VLOOKUP("*赤*",#REF!,7,FALSE),
VLOOKUP('盛付札（関数）'!D118,#REF!,7,FALSE)))=0,"",
IF(ROUND(
IF(O118&lt;&gt;"",(H118-O118),H118)
/IF(COUNTIF('盛付札（関数）'!D118,"*キャラ*"),
VLOOKUP("*キャラ*",#REF!,7,FALSE),
IF(COUNTIF('盛付札（関数）'!D118,"*赤*"),
VLOOKUP("*赤*",#REF!,7,FALSE),
VLOOKUP('盛付札（関数）'!D118,#REF!,7,FALSE))),0)&lt;=0,1,
ROUND(
IF(O118&lt;&gt;"",(H118-O118),H118)
/IF(COUNTIF('盛付札（関数）'!D118,"*キャラ*"),
VLOOKUP("*キャラ*",#REF!,7,FALSE),
IF(COUNTIF('盛付札（関数）'!D118,"*赤*"),
VLOOKUP("*赤*",#REF!,7,FALSE),
VLOOKUP('盛付札（関数）'!D118,#REF!,7,FALSE))),0))),""),"")),"")</f>
        <v/>
      </c>
      <c r="G118" s="201" t="str">
        <f ca="1">IF(F118&lt;&gt;"",IF(VALUE(IF(O118&lt;&gt;"",H118-O118,H118))&gt;VALUE(IF(COUNTIF('盛付札（関数）'!D118,"*キャラ*"),
VLOOKUP("*キャラ*",#REF!,7,FALSE),
IF(COUNTIF('盛付札（関数）'!D118,"*赤*"),
VLOOKUP("*赤*",#REF!,7,FALSE),
VLOOKUP('盛付札（関数）'!D118,#REF!,7,FALSE)))*F118),
"+"&amp;IF(O118&lt;&gt;"",H118-O118,H118)-IF(COUNTIF('盛付札（関数）'!D118,"*キャラ*"),
VLOOKUP("*キャラ*",#REF!,7,FALSE),
IF(COUNTIF('盛付札（関数）'!D118,"*赤*"),
VLOOKUP("*赤*",#REF!,7,FALSE),
VLOOKUP('盛付札（関数）'!D118,#REF!,7,FALSE)))*F118,
IF(O118&lt;&gt;"",H118-O118,H118)-IF(COUNTIF('盛付札（関数）'!D118,"*キャラ*"),
VLOOKUP("*キャラ*",#REF!,7,FALSE),
IF(COUNTIF('盛付札（関数）'!D118,"*赤*"),
VLOOKUP("*赤*",#REF!,7,FALSE),
VLOOKUP('盛付札（関数）'!D118,#REF!,7,FALSE)))*F118),"")</f>
        <v/>
      </c>
      <c r="H118" s="202" t="str" cm="1">
        <f t="array" aca="1" ref="H118" ca="1">IF(C118&lt;&gt;"",
IF(INDIRECT("数出表_Excel!"&amp;IFERROR(MID(クライアント抽出!V48,FIND(",",クライアント抽出!V48)+1,1),"")&amp;A118-1&amp;"")&lt;&gt;"",
INDIRECT("数出表_Excel!"&amp;IFERROR(MID(クライアント抽出!V48,FIND(",",クライアント抽出!V48)+1,1),"")&amp;A118-1&amp;""),0),"")</f>
        <v/>
      </c>
      <c r="I118" s="200" t="str" cm="1">
        <f t="array" aca="1" ref="I118" ca="1">IF(C118&lt;&gt;"",
IF(INDIRECT("数出表_Excel!"&amp;IFERROR(MID(クライアント抽出!V48,FIND(",",クライアント抽出!V48)+1,1),"")&amp;A118&amp;"")&lt;&gt;"",
INDIRECT("数出表_Excel!"&amp;IFERROR(MID(クライアント抽出!V48,FIND(",",クライアント抽出!V48)+1,1),"")&amp;A118&amp;""),0),"")</f>
        <v/>
      </c>
      <c r="J118" s="200" t="str">
        <f ca="1">IF(C118&lt;&gt;"",
VLOOKUP(
IF(COUNTIF(D118,"*学食*"),"キャラ弁（学食）",
IF(COUNTIF(D118,"*赤*"),"赤",
IF(COUNTIF(D118,"*キャラ弁当*"),"キャラ弁当",D118))),注文弁当の抽出!$E$1:$F$15,2,FALSE),"")</f>
        <v/>
      </c>
      <c r="K118" s="200" t="str">
        <f t="shared" ca="1" si="30"/>
        <v/>
      </c>
      <c r="L118" s="200" t="str">
        <f t="shared" ca="1" si="31"/>
        <v/>
      </c>
      <c r="M118" s="200" cm="1">
        <f t="array" aca="1" ref="M118" ca="1">IF(C118&lt;&gt;"",
IF(IFERROR(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0)&lt;&gt;0,
IF(IFERROR(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"")="",
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""),
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0)),0),0)</f>
        <v>0</v>
      </c>
      <c r="N118" s="200" t="e">
        <f t="array" aca="1" ref="N118" ca="1">IF(B118="博多",
IF(C118&lt;&gt;"",
IF(IFERROR(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0)&lt;&gt;0,
IF(IFERROR(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0)="",
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0),
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0)),0),""),0)</f>
        <v>#N/A</v>
      </c>
      <c r="O118" s="200" t="e">
        <f t="shared" ca="1" si="27"/>
        <v>#N/A</v>
      </c>
      <c r="P118" s="200">
        <f t="shared" ca="1" si="4"/>
        <v>0</v>
      </c>
      <c r="Q118" s="200" t="b">
        <f t="shared" ca="1" si="28"/>
        <v>0</v>
      </c>
      <c r="R118" s="51" t="str" cm="1">
        <f t="array" aca="1" ref="R118" ca="1">IFERROR(SMALL(IF(P$1:P$300&lt;&gt;0,P$1:P$300),ROW(A118)),"")</f>
        <v/>
      </c>
      <c r="S118" s="51" t="str">
        <f t="array" aca="1" ref="S118" ca="1">IF($R118&lt;&gt;"",
INDIRECT(""&amp;IF(COLUMN(C138)&lt;=26,CHAR(COLUMN(C138)+64),CHAR(INT((COLUMN(C138)-1)/26)+64)&amp;CHAR(MOD(COLUMN(C138)-1,26)+65))&amp;$R118&amp;""),"")</f>
        <v/>
      </c>
      <c r="T118" s="51" t="str" cm="1">
        <f t="array" aca="1" ref="T118" ca="1">IF(IF($R118&lt;&gt;"",
INDIRECT(""&amp;IF(COLUMN(D138)&lt;=26,CHAR(COLUMN(D138)+64),CHAR(INT((COLUMN(D138)-1)/26)+64)&amp;CHAR(MOD(COLUMN(D138)-1,26)+65))&amp;$R118&amp;""),"")=0,"",
IF($R118&lt;&gt;"",
INDIRECT(""&amp;IF(COLUMN(D138)&lt;=26,CHAR(COLUMN(D138)+64),CHAR(INT((COLUMN(D138)-1)/26)+64)&amp;CHAR(MOD(COLUMN(D138)-1,26)+65))&amp;$R118&amp;""),""))</f>
        <v/>
      </c>
      <c r="U118" s="51"/>
      <c r="V118" s="51" t="str">
        <f t="array" aca="1" ref="V118" ca="1">IF($R118&lt;&gt;"",
IF(U118="",
IF(INDIRECT("EY"&amp;$R118&amp;"")&lt;&gt;"",
INDIRECT("EY"&amp;$R118&amp;"")&amp;"箱"
&amp;INDIRECT("EZ"&amp;$R118&amp;""),""),""),"")</f>
        <v/>
      </c>
      <c r="W118" s="51" t="str">
        <f t="array" aca="1" ref="W118" ca="1">IF($R118&lt;&gt;"",
INDIRECT(""&amp;IF(COLUMN(H138)&lt;=26,CHAR(COLUMN(H138)+64),CHAR(INT((COLUMN(H138)-1)/26)+64)&amp;CHAR(MOD(COLUMN(H138)-1,26)+65))&amp;$R118&amp;""),"")</f>
        <v/>
      </c>
      <c r="X118" s="51" t="str">
        <f t="array" aca="1" ref="X118" ca="1">IF($R118&lt;&gt;"",
INDIRECT(""&amp;IF(COLUMN(I138)&lt;=26,CHAR(COLUMN(I138)+64),CHAR(INT((COLUMN(I138)-1)/26)+64)&amp;CHAR(MOD(COLUMN(I138)-1,26)+65))&amp;$R118&amp;""),"")</f>
        <v/>
      </c>
      <c r="Y118" s="51" t="str">
        <f t="array" aca="1" ref="Y118" ca="1">IF($R118&lt;&gt;"",
INDIRECT(""&amp;IF(COLUMN(J138)&lt;=26,CHAR(COLUMN(J138)+64),CHAR(INT((COLUMN(J138)-1)/26)+64)&amp;CHAR(MOD(COLUMN(J138)-1,26)+65))&amp;$R118&amp;""),"")</f>
        <v/>
      </c>
      <c r="Z118" s="51" t="str">
        <f t="array" aca="1" ref="Z118" ca="1">IF($R118&lt;&gt;"",
INDIRECT(""&amp;IF(COLUMN(K138)&lt;=26,CHAR(COLUMN(K138)+64),CHAR(INT((COLUMN(K138)-1)/26)+64)&amp;CHAR(MOD(COLUMN(K138)-1,26)+65))&amp;$R118&amp;""),"")</f>
        <v/>
      </c>
      <c r="AA118" s="51" t="str">
        <f t="array" aca="1" ref="AA118" ca="1">IF($R118&lt;&gt;"",
INDIRECT(""&amp;IF(COLUMN(L138)&lt;=26,CHAR(COLUMN(L138)+64),CHAR(INT((COLUMN(L138)-1)/26)+64)&amp;CHAR(MOD(COLUMN(L138)-1,26)+65))&amp;$R118&amp;""),"")</f>
        <v/>
      </c>
      <c r="AB118" s="51" t="str">
        <f t="array" aca="1" ref="AB118" ca="1">IF($R118&lt;&gt;"",
INDIRECT(""&amp;IF(COLUMN(O138)&lt;=26,CHAR(COLUMN(O138)+64),CHAR(INT((COLUMN(O138)-1)/26)+64)&amp;CHAR(MOD(COLUMN(O138)-1,26)+65))&amp;$R118&amp;""),"")</f>
        <v/>
      </c>
    </row>
    <row r="119" spans="1:28" ht="22.2" customHeight="1">
      <c r="A119" s="199">
        <f t="shared" si="29"/>
        <v>103</v>
      </c>
      <c r="B119" s="200" t="e" cm="1">
        <f t="array" aca="1" ref="B119" ca="1">IF(AND(LEFT(C119,2)="博多",
LEFT(INDIRECT("数出表_Excel!A"&amp;MATCH(C119,数出表_Excel!$A:$A,0)-1),2)
=LEFT(INDIRECT("数出表_Excel!A"&amp;MATCH(C119,数出表_Excel!$A:$A,0)+1),2)),"博多",
IF(AND(LEFT(C119,3)="奈良屋",
LEFT(INDIRECT("数出表_Excel!A"&amp;MATCH(C119,数出表_Excel!$A:$A,0)-1),2)
=LEFT(INDIRECT("数出表_Excel!A"&amp;MATCH(C119,数出表_Excel!$A:$A,0)+1),2)),"奈良屋",""))</f>
        <v>#N/A</v>
      </c>
      <c r="C119" s="200" t="str" cm="1">
        <f t="array" aca="1" ref="C119" ca="1">IF(IF(クライアント抽出!A49="",0,LEN(クライアント抽出!V49)-LEN(SUBSTITUTE(クライアント抽出!V49,",","")))&gt;=2,INDIRECT("数出表_Excel!A"&amp;A119&amp;""),"")</f>
        <v/>
      </c>
      <c r="D119" s="200" t="str" cm="1">
        <f t="array" aca="1" ref="D119" ca="1">IF(C119&lt;&gt;"",INDIRECT("クライアント抽出!"&amp;E119&amp;MATCH(C119,クライアント抽出!A:A,0)&amp;""),"")</f>
        <v/>
      </c>
      <c r="E119" s="20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201" t="str" cm="1">
        <f t="array" aca="1" ref="F119" ca="1">IF(D119&lt;&gt;"",
IF(COUNTIF(C119,"*雙葉*"),
IF(ROUND(
IF(O119&lt;&gt;"",(H119-O119),H119)
/IF(COUNTIF('盛付札（関数）'!D119,"*キャラ*"),
VLOOKUP("*キャラ*",#REF!,7,FALSE),
IF(COUNTIF('盛付札（関数）'!D119,"*赤*"),
VLOOKUP("*赤*",#REF!,7,FALSE),
VLOOKUP('盛付札（関数）'!D119,#REF!,7,FALSE))),0)&lt;=0,1,
ROUND(
IF(O119&lt;&gt;"",(H119-O119),H119)
/IF(COUNTIF('盛付札（関数）'!D119,"*キャラ*"),
VLOOKUP("*キャラ*",#REF!,7,FALSE),
IF(COUNTIF('盛付札（関数）'!D119,"*赤*"),
VLOOKUP("*赤*",#REF!,7,FALSE),
VLOOKUP('盛付札（関数）'!D119,#REF!,7,FALSE))),0)),
IF(MATCH(TRUE,
ISNUMBER(--INDIRECT("数出表_Excel!B"&amp;MATCH(C119,数出表_Excel!$A:$A,0)-1&amp;":U"&amp;MATCH(C119,数出表_Excel!$A:$A,0)-1&amp;"")),0)&gt;10,
IF(D119&lt;&gt;"",
IF(IF(COUNTIF('盛付札（関数）'!D119,"*キャラ*"),
VLOOKUP("*キャラ*",#REF!,7,FALSE),
IF(COUNTIF('盛付札（関数）'!D119,"*赤*"),
VLOOKUP("*赤*",#REF!,7,FALSE),
VLOOKUP('盛付札（関数）'!D119,#REF!,7,FALSE)))=0,"",
IF(ROUND(
IF(O119&lt;&gt;"",(H119-O119),H119)
/IF(COUNTIF('盛付札（関数）'!D119,"*キャラ*"),
VLOOKUP("*キャラ*",#REF!,7,FALSE),
IF(COUNTIF('盛付札（関数）'!D119,"*赤*"),
VLOOKUP("*赤*",#REF!,7,FALSE),
VLOOKUP('盛付札（関数）'!D119,#REF!,7,FALSE))),0)&lt;=0,1,
ROUND(
IF(O119&lt;&gt;"",(H119-O119),H119)
/IF(COUNTIF('盛付札（関数）'!D119,"*キャラ*"),
VLOOKUP("*キャラ*",#REF!,7,FALSE),
IF(COUNTIF('盛付札（関数）'!D119,"*赤*"),
VLOOKUP("*赤*",#REF!,7,FALSE),
VLOOKUP('盛付札（関数）'!D119,#REF!,7,FALSE))),0))),""),"")),"")</f>
        <v/>
      </c>
      <c r="G119" s="201" t="str">
        <f ca="1">IF(F119&lt;&gt;"",IF(VALUE(IF(O119&lt;&gt;"",H119-O119,H119))&gt;VALUE(IF(COUNTIF('盛付札（関数）'!D119,"*キャラ*"),
VLOOKUP("*キャラ*",#REF!,7,FALSE),
IF(COUNTIF('盛付札（関数）'!D119,"*赤*"),
VLOOKUP("*赤*",#REF!,7,FALSE),
VLOOKUP('盛付札（関数）'!D119,#REF!,7,FALSE)))*F119),
"+"&amp;IF(O119&lt;&gt;"",H119-O119,H119)-IF(COUNTIF('盛付札（関数）'!D119,"*キャラ*"),
VLOOKUP("*キャラ*",#REF!,7,FALSE),
IF(COUNTIF('盛付札（関数）'!D119,"*赤*"),
VLOOKUP("*赤*",#REF!,7,FALSE),
VLOOKUP('盛付札（関数）'!D119,#REF!,7,FALSE)))*F119,
IF(O119&lt;&gt;"",H119-O119,H119)-IF(COUNTIF('盛付札（関数）'!D119,"*キャラ*"),
VLOOKUP("*キャラ*",#REF!,7,FALSE),
IF(COUNTIF('盛付札（関数）'!D119,"*赤*"),
VLOOKUP("*赤*",#REF!,7,FALSE),
VLOOKUP('盛付札（関数）'!D119,#REF!,7,FALSE)))*F119),"")</f>
        <v/>
      </c>
      <c r="H119" s="202" t="str" cm="1">
        <f t="array" aca="1" ref="H119" ca="1">IF(C119&lt;&gt;"",
IF(INDIRECT("数出表_Excel!"&amp;IFERROR(MID(クライアント抽出!V49,FIND(",",クライアント抽出!V49)+1,1),"")&amp;A119-1&amp;"")&lt;&gt;"",
INDIRECT("数出表_Excel!"&amp;IFERROR(MID(クライアント抽出!V49,FIND(",",クライアント抽出!V49)+1,1),"")&amp;A119-1&amp;""),0),"")</f>
        <v/>
      </c>
      <c r="I119" s="200" t="str" cm="1">
        <f t="array" aca="1" ref="I119" ca="1">IF(C119&lt;&gt;"",
IF(INDIRECT("数出表_Excel!"&amp;IFERROR(MID(クライアント抽出!V49,FIND(",",クライアント抽出!V49)+1,1),"")&amp;A119&amp;"")&lt;&gt;"",
INDIRECT("数出表_Excel!"&amp;IFERROR(MID(クライアント抽出!V49,FIND(",",クライアント抽出!V49)+1,1),"")&amp;A119&amp;""),0),"")</f>
        <v/>
      </c>
      <c r="J119" s="200" t="str">
        <f ca="1">IF(C119&lt;&gt;"",
VLOOKUP(
IF(COUNTIF(D119,"*学食*"),"キャラ弁（学食）",
IF(COUNTIF(D119,"*赤*"),"赤",
IF(COUNTIF(D119,"*キャラ弁当*"),"キャラ弁当",D119))),注文弁当の抽出!$E$1:$F$15,2,FALSE),"")</f>
        <v/>
      </c>
      <c r="K119" s="200" t="str">
        <f t="shared" ca="1" si="30"/>
        <v/>
      </c>
      <c r="L119" s="200" t="str">
        <f t="shared" ca="1" si="31"/>
        <v/>
      </c>
      <c r="M119" s="200" cm="1">
        <f t="array" aca="1" ref="M119" ca="1">IF(C119&lt;&gt;"",
IF(IFERROR(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0)&lt;&gt;0,
IF(IFERROR(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"")="",
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""),
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0)),0),0)</f>
        <v>0</v>
      </c>
      <c r="N119" s="200" t="e">
        <f t="array" aca="1" ref="N119" ca="1">IF(B119="博多",
IF(C119&lt;&gt;"",
IF(IFERROR(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0)&lt;&gt;0,
IF(IFERROR(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0)="",
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0),
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0)),0),""),0)</f>
        <v>#N/A</v>
      </c>
      <c r="O119" s="200" t="e">
        <f t="shared" ca="1" si="27"/>
        <v>#N/A</v>
      </c>
      <c r="P119" s="200">
        <f t="shared" ca="1" si="4"/>
        <v>0</v>
      </c>
      <c r="Q119" s="200" t="b">
        <f t="shared" ca="1" si="28"/>
        <v>0</v>
      </c>
      <c r="R119" s="51" t="str" cm="1">
        <f t="array" aca="1" ref="R119" ca="1">IFERROR(SMALL(IF(P$1:P$300&lt;&gt;0,P$1:P$300),ROW(A119)),"")</f>
        <v/>
      </c>
      <c r="S119" s="51" t="str">
        <f t="array" aca="1" ref="S119" ca="1">IF($R119&lt;&gt;"",
INDIRECT(""&amp;IF(COLUMN(C139)&lt;=26,CHAR(COLUMN(C139)+64),CHAR(INT((COLUMN(C139)-1)/26)+64)&amp;CHAR(MOD(COLUMN(C139)-1,26)+65))&amp;$R119&amp;""),"")</f>
        <v/>
      </c>
      <c r="T119" s="51" t="str" cm="1">
        <f t="array" aca="1" ref="T119" ca="1">IF(IF($R119&lt;&gt;"",
INDIRECT(""&amp;IF(COLUMN(D139)&lt;=26,CHAR(COLUMN(D139)+64),CHAR(INT((COLUMN(D139)-1)/26)+64)&amp;CHAR(MOD(COLUMN(D139)-1,26)+65))&amp;$R119&amp;""),"")=0,"",
IF($R119&lt;&gt;"",
INDIRECT(""&amp;IF(COLUMN(D139)&lt;=26,CHAR(COLUMN(D139)+64),CHAR(INT((COLUMN(D139)-1)/26)+64)&amp;CHAR(MOD(COLUMN(D139)-1,26)+65))&amp;$R119&amp;""),""))</f>
        <v/>
      </c>
      <c r="U119" s="51"/>
      <c r="V119" s="51" t="str">
        <f t="array" aca="1" ref="V119" ca="1">IF($R119&lt;&gt;"",
IF(U119="",
IF(INDIRECT("EY"&amp;$R119&amp;"")&lt;&gt;"",
INDIRECT("EY"&amp;$R119&amp;"")&amp;"箱"
&amp;INDIRECT("EZ"&amp;$R119&amp;""),""),""),"")</f>
        <v/>
      </c>
      <c r="W119" s="51" t="str">
        <f t="array" aca="1" ref="W119" ca="1">IF($R119&lt;&gt;"",
INDIRECT(""&amp;IF(COLUMN(H139)&lt;=26,CHAR(COLUMN(H139)+64),CHAR(INT((COLUMN(H139)-1)/26)+64)&amp;CHAR(MOD(COLUMN(H139)-1,26)+65))&amp;$R119&amp;""),"")</f>
        <v/>
      </c>
      <c r="X119" s="51" t="str">
        <f t="array" aca="1" ref="X119" ca="1">IF($R119&lt;&gt;"",
INDIRECT(""&amp;IF(COLUMN(I139)&lt;=26,CHAR(COLUMN(I139)+64),CHAR(INT((COLUMN(I139)-1)/26)+64)&amp;CHAR(MOD(COLUMN(I139)-1,26)+65))&amp;$R119&amp;""),"")</f>
        <v/>
      </c>
      <c r="Y119" s="51" t="str">
        <f t="array" aca="1" ref="Y119" ca="1">IF($R119&lt;&gt;"",
INDIRECT(""&amp;IF(COLUMN(J139)&lt;=26,CHAR(COLUMN(J139)+64),CHAR(INT((COLUMN(J139)-1)/26)+64)&amp;CHAR(MOD(COLUMN(J139)-1,26)+65))&amp;$R119&amp;""),"")</f>
        <v/>
      </c>
      <c r="Z119" s="51" t="str">
        <f t="array" aca="1" ref="Z119" ca="1">IF($R119&lt;&gt;"",
INDIRECT(""&amp;IF(COLUMN(K139)&lt;=26,CHAR(COLUMN(K139)+64),CHAR(INT((COLUMN(K139)-1)/26)+64)&amp;CHAR(MOD(COLUMN(K139)-1,26)+65))&amp;$R119&amp;""),"")</f>
        <v/>
      </c>
      <c r="AA119" s="51" t="str">
        <f t="array" aca="1" ref="AA119" ca="1">IF($R119&lt;&gt;"",
INDIRECT(""&amp;IF(COLUMN(L139)&lt;=26,CHAR(COLUMN(L139)+64),CHAR(INT((COLUMN(L139)-1)/26)+64)&amp;CHAR(MOD(COLUMN(L139)-1,26)+65))&amp;$R119&amp;""),"")</f>
        <v/>
      </c>
      <c r="AB119" s="51" t="str">
        <f t="array" aca="1" ref="AB119" ca="1">IF($R119&lt;&gt;"",
INDIRECT(""&amp;IF(COLUMN(O139)&lt;=26,CHAR(COLUMN(O139)+64),CHAR(INT((COLUMN(O139)-1)/26)+64)&amp;CHAR(MOD(COLUMN(O139)-1,26)+65))&amp;$R119&amp;""),"")</f>
        <v/>
      </c>
    </row>
    <row r="120" spans="1:28" ht="22.2" customHeight="1">
      <c r="A120" s="199">
        <f t="shared" si="29"/>
        <v>105</v>
      </c>
      <c r="B120" s="200" t="e" cm="1">
        <f t="array" aca="1" ref="B120" ca="1">IF(AND(LEFT(C120,2)="博多",
LEFT(INDIRECT("数出表_Excel!A"&amp;MATCH(C120,数出表_Excel!$A:$A,0)-1),2)
=LEFT(INDIRECT("数出表_Excel!A"&amp;MATCH(C120,数出表_Excel!$A:$A,0)+1),2)),"博多",
IF(AND(LEFT(C120,3)="奈良屋",
LEFT(INDIRECT("数出表_Excel!A"&amp;MATCH(C120,数出表_Excel!$A:$A,0)-1),2)
=LEFT(INDIRECT("数出表_Excel!A"&amp;MATCH(C120,数出表_Excel!$A:$A,0)+1),2)),"奈良屋",""))</f>
        <v>#N/A</v>
      </c>
      <c r="C120" s="200" t="str" cm="1">
        <f t="array" aca="1" ref="C120" ca="1">IF(IF(クライアント抽出!A50="",0,LEN(クライアント抽出!V50)-LEN(SUBSTITUTE(クライアント抽出!V50,",","")))&gt;=2,INDIRECT("数出表_Excel!A"&amp;A120&amp;""),"")</f>
        <v/>
      </c>
      <c r="D120" s="200" t="str" cm="1">
        <f t="array" aca="1" ref="D120" ca="1">IF(C120&lt;&gt;"",INDIRECT("クライアント抽出!"&amp;E120&amp;MATCH(C120,クライアント抽出!A:A,0)&amp;""),"")</f>
        <v/>
      </c>
      <c r="E120" s="20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201" t="str" cm="1">
        <f t="array" aca="1" ref="F120" ca="1">IF(D120&lt;&gt;"",
IF(COUNTIF(C120,"*雙葉*"),
IF(ROUND(
IF(O120&lt;&gt;"",(H120-O120),H120)
/IF(COUNTIF('盛付札（関数）'!D120,"*キャラ*"),
VLOOKUP("*キャラ*",#REF!,7,FALSE),
IF(COUNTIF('盛付札（関数）'!D120,"*赤*"),
VLOOKUP("*赤*",#REF!,7,FALSE),
VLOOKUP('盛付札（関数）'!D120,#REF!,7,FALSE))),0)&lt;=0,1,
ROUND(
IF(O120&lt;&gt;"",(H120-O120),H120)
/IF(COUNTIF('盛付札（関数）'!D120,"*キャラ*"),
VLOOKUP("*キャラ*",#REF!,7,FALSE),
IF(COUNTIF('盛付札（関数）'!D120,"*赤*"),
VLOOKUP("*赤*",#REF!,7,FALSE),
VLOOKUP('盛付札（関数）'!D120,#REF!,7,FALSE))),0)),
IF(MATCH(TRUE,
ISNUMBER(--INDIRECT("数出表_Excel!B"&amp;MATCH(C120,数出表_Excel!$A:$A,0)-1&amp;":U"&amp;MATCH(C120,数出表_Excel!$A:$A,0)-1&amp;"")),0)&gt;10,
IF(D120&lt;&gt;"",
IF(IF(COUNTIF('盛付札（関数）'!D120,"*キャラ*"),
VLOOKUP("*キャラ*",#REF!,7,FALSE),
IF(COUNTIF('盛付札（関数）'!D120,"*赤*"),
VLOOKUP("*赤*",#REF!,7,FALSE),
VLOOKUP('盛付札（関数）'!D120,#REF!,7,FALSE)))=0,"",
IF(ROUND(
IF(O120&lt;&gt;"",(H120-O120),H120)
/IF(COUNTIF('盛付札（関数）'!D120,"*キャラ*"),
VLOOKUP("*キャラ*",#REF!,7,FALSE),
IF(COUNTIF('盛付札（関数）'!D120,"*赤*"),
VLOOKUP("*赤*",#REF!,7,FALSE),
VLOOKUP('盛付札（関数）'!D120,#REF!,7,FALSE))),0)&lt;=0,1,
ROUND(
IF(O120&lt;&gt;"",(H120-O120),H120)
/IF(COUNTIF('盛付札（関数）'!D120,"*キャラ*"),
VLOOKUP("*キャラ*",#REF!,7,FALSE),
IF(COUNTIF('盛付札（関数）'!D120,"*赤*"),
VLOOKUP("*赤*",#REF!,7,FALSE),
VLOOKUP('盛付札（関数）'!D120,#REF!,7,FALSE))),0))),""),"")),"")</f>
        <v/>
      </c>
      <c r="G120" s="201" t="str">
        <f ca="1">IF(F120&lt;&gt;"",IF(VALUE(IF(O120&lt;&gt;"",H120-O120,H120))&gt;VALUE(IF(COUNTIF('盛付札（関数）'!D120,"*キャラ*"),
VLOOKUP("*キャラ*",#REF!,7,FALSE),
IF(COUNTIF('盛付札（関数）'!D120,"*赤*"),
VLOOKUP("*赤*",#REF!,7,FALSE),
VLOOKUP('盛付札（関数）'!D120,#REF!,7,FALSE)))*F120),
"+"&amp;IF(O120&lt;&gt;"",H120-O120,H120)-IF(COUNTIF('盛付札（関数）'!D120,"*キャラ*"),
VLOOKUP("*キャラ*",#REF!,7,FALSE),
IF(COUNTIF('盛付札（関数）'!D120,"*赤*"),
VLOOKUP("*赤*",#REF!,7,FALSE),
VLOOKUP('盛付札（関数）'!D120,#REF!,7,FALSE)))*F120,
IF(O120&lt;&gt;"",H120-O120,H120)-IF(COUNTIF('盛付札（関数）'!D120,"*キャラ*"),
VLOOKUP("*キャラ*",#REF!,7,FALSE),
IF(COUNTIF('盛付札（関数）'!D120,"*赤*"),
VLOOKUP("*赤*",#REF!,7,FALSE),
VLOOKUP('盛付札（関数）'!D120,#REF!,7,FALSE)))*F120),"")</f>
        <v/>
      </c>
      <c r="H120" s="202" t="str" cm="1">
        <f t="array" aca="1" ref="H120" ca="1">IF(C120&lt;&gt;"",
IF(INDIRECT("数出表_Excel!"&amp;IFERROR(MID(クライアント抽出!V50,FIND(",",クライアント抽出!V50)+1,1),"")&amp;A120-1&amp;"")&lt;&gt;"",
INDIRECT("数出表_Excel!"&amp;IFERROR(MID(クライアント抽出!V50,FIND(",",クライアント抽出!V50)+1,1),"")&amp;A120-1&amp;""),0),"")</f>
        <v/>
      </c>
      <c r="I120" s="200" t="str" cm="1">
        <f t="array" aca="1" ref="I120" ca="1">IF(C120&lt;&gt;"",
IF(INDIRECT("数出表_Excel!"&amp;IFERROR(MID(クライアント抽出!V50,FIND(",",クライアント抽出!V50)+1,1),"")&amp;A120&amp;"")&lt;&gt;"",
INDIRECT("数出表_Excel!"&amp;IFERROR(MID(クライアント抽出!V50,FIND(",",クライアント抽出!V50)+1,1),"")&amp;A120&amp;""),0),"")</f>
        <v/>
      </c>
      <c r="J120" s="200" t="str">
        <f ca="1">IF(C120&lt;&gt;"",
VLOOKUP(
IF(COUNTIF(D120,"*学食*"),"キャラ弁（学食）",
IF(COUNTIF(D120,"*赤*"),"赤",
IF(COUNTIF(D120,"*キャラ弁当*"),"キャラ弁当",D120))),注文弁当の抽出!$E$1:$F$15,2,FALSE),"")</f>
        <v/>
      </c>
      <c r="K120" s="200" t="str">
        <f t="shared" ca="1" si="30"/>
        <v/>
      </c>
      <c r="L120" s="200" t="str">
        <f t="shared" ca="1" si="31"/>
        <v/>
      </c>
      <c r="M120" s="200" cm="1">
        <f t="array" aca="1" ref="M120" ca="1">IF(C120&lt;&gt;"",
IF(IFERROR(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0)&lt;&gt;0,
IF(IFERROR(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"")="",
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""),
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0)),0),0)</f>
        <v>0</v>
      </c>
      <c r="N120" s="200" t="e">
        <f t="array" aca="1" ref="N120" ca="1">IF(B120="博多",
IF(C120&lt;&gt;"",
IF(IFERROR(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0)&lt;&gt;0,
IF(IFERROR(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0)="",
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0),
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0)),0),""),0)</f>
        <v>#N/A</v>
      </c>
      <c r="O120" s="200" t="e">
        <f t="shared" ca="1" si="27"/>
        <v>#N/A</v>
      </c>
      <c r="P120" s="200">
        <f t="shared" ca="1" si="4"/>
        <v>0</v>
      </c>
      <c r="Q120" s="200" t="b">
        <f t="shared" ca="1" si="28"/>
        <v>0</v>
      </c>
      <c r="R120" s="51" t="str" cm="1">
        <f t="array" aca="1" ref="R120" ca="1">IFERROR(SMALL(IF(P$1:P$300&lt;&gt;0,P$1:P$300),ROW(A120)),"")</f>
        <v/>
      </c>
      <c r="S120" s="51" t="str">
        <f t="array" aca="1" ref="S120" ca="1">IF($R120&lt;&gt;"",
INDIRECT(""&amp;IF(COLUMN(C140)&lt;=26,CHAR(COLUMN(C140)+64),CHAR(INT((COLUMN(C140)-1)/26)+64)&amp;CHAR(MOD(COLUMN(C140)-1,26)+65))&amp;$R120&amp;""),"")</f>
        <v/>
      </c>
      <c r="T120" s="51" t="str" cm="1">
        <f t="array" aca="1" ref="T120" ca="1">IF(IF($R120&lt;&gt;"",
INDIRECT(""&amp;IF(COLUMN(D140)&lt;=26,CHAR(COLUMN(D140)+64),CHAR(INT((COLUMN(D140)-1)/26)+64)&amp;CHAR(MOD(COLUMN(D140)-1,26)+65))&amp;$R120&amp;""),"")=0,"",
IF($R120&lt;&gt;"",
INDIRECT(""&amp;IF(COLUMN(D140)&lt;=26,CHAR(COLUMN(D140)+64),CHAR(INT((COLUMN(D140)-1)/26)+64)&amp;CHAR(MOD(COLUMN(D140)-1,26)+65))&amp;$R120&amp;""),""))</f>
        <v/>
      </c>
      <c r="U120" s="51"/>
      <c r="V120" s="51" t="str">
        <f t="array" aca="1" ref="V120" ca="1">IF($R120&lt;&gt;"",
IF(U120="",
IF(INDIRECT("EY"&amp;$R120&amp;"")&lt;&gt;"",
INDIRECT("EY"&amp;$R120&amp;"")&amp;"箱"
&amp;INDIRECT("EZ"&amp;$R120&amp;""),""),""),"")</f>
        <v/>
      </c>
      <c r="W120" s="51" t="str">
        <f t="array" aca="1" ref="W120" ca="1">IF($R120&lt;&gt;"",
INDIRECT(""&amp;IF(COLUMN(H140)&lt;=26,CHAR(COLUMN(H140)+64),CHAR(INT((COLUMN(H140)-1)/26)+64)&amp;CHAR(MOD(COLUMN(H140)-1,26)+65))&amp;$R120&amp;""),"")</f>
        <v/>
      </c>
      <c r="X120" s="51" t="str">
        <f t="array" aca="1" ref="X120" ca="1">IF($R120&lt;&gt;"",
INDIRECT(""&amp;IF(COLUMN(I140)&lt;=26,CHAR(COLUMN(I140)+64),CHAR(INT((COLUMN(I140)-1)/26)+64)&amp;CHAR(MOD(COLUMN(I140)-1,26)+65))&amp;$R120&amp;""),"")</f>
        <v/>
      </c>
      <c r="Y120" s="51" t="str">
        <f t="array" aca="1" ref="Y120" ca="1">IF($R120&lt;&gt;"",
INDIRECT(""&amp;IF(COLUMN(J140)&lt;=26,CHAR(COLUMN(J140)+64),CHAR(INT((COLUMN(J140)-1)/26)+64)&amp;CHAR(MOD(COLUMN(J140)-1,26)+65))&amp;$R120&amp;""),"")</f>
        <v/>
      </c>
      <c r="Z120" s="51" t="str">
        <f t="array" aca="1" ref="Z120" ca="1">IF($R120&lt;&gt;"",
INDIRECT(""&amp;IF(COLUMN(K140)&lt;=26,CHAR(COLUMN(K140)+64),CHAR(INT((COLUMN(K140)-1)/26)+64)&amp;CHAR(MOD(COLUMN(K140)-1,26)+65))&amp;$R120&amp;""),"")</f>
        <v/>
      </c>
      <c r="AA120" s="51" t="str">
        <f t="array" aca="1" ref="AA120" ca="1">IF($R120&lt;&gt;"",
INDIRECT(""&amp;IF(COLUMN(L140)&lt;=26,CHAR(COLUMN(L140)+64),CHAR(INT((COLUMN(L140)-1)/26)+64)&amp;CHAR(MOD(COLUMN(L140)-1,26)+65))&amp;$R120&amp;""),"")</f>
        <v/>
      </c>
      <c r="AB120" s="51" t="str">
        <f t="array" aca="1" ref="AB120" ca="1">IF($R120&lt;&gt;"",
INDIRECT(""&amp;IF(COLUMN(O140)&lt;=26,CHAR(COLUMN(O140)+64),CHAR(INT((COLUMN(O140)-1)/26)+64)&amp;CHAR(MOD(COLUMN(O140)-1,26)+65))&amp;$R120&amp;""),"")</f>
        <v/>
      </c>
    </row>
    <row r="121" spans="1:28" ht="27.6" customHeight="1">
      <c r="A121" s="199">
        <f t="shared" si="29"/>
        <v>107</v>
      </c>
      <c r="B121" s="200" t="e" cm="1">
        <f t="array" aca="1" ref="B121" ca="1">IF(AND(LEFT(C121,2)="博多",
LEFT(INDIRECT("数出表_Excel!A"&amp;MATCH(C121,数出表_Excel!$A:$A,0)-1),2)
=LEFT(INDIRECT("数出表_Excel!A"&amp;MATCH(C121,数出表_Excel!$A:$A,0)+1),2)),"博多",
IF(AND(LEFT(C121,3)="奈良屋",
LEFT(INDIRECT("数出表_Excel!A"&amp;MATCH(C121,数出表_Excel!$A:$A,0)-1),2)
=LEFT(INDIRECT("数出表_Excel!A"&amp;MATCH(C121,数出表_Excel!$A:$A,0)+1),2)),"奈良屋",""))</f>
        <v>#N/A</v>
      </c>
      <c r="C121" s="200" t="str" cm="1">
        <f t="array" aca="1" ref="C121" ca="1">IF(IF(クライアント抽出!A51="",0,LEN(クライアント抽出!V51)-LEN(SUBSTITUTE(クライアント抽出!V51,",","")))&gt;=2,INDIRECT("数出表_Excel!A"&amp;A121&amp;""),"")</f>
        <v/>
      </c>
      <c r="D121" s="200" t="str" cm="1">
        <f t="array" aca="1" ref="D121" ca="1">IF(C121&lt;&gt;"",INDIRECT("クライアント抽出!"&amp;E121&amp;MATCH(C121,クライアント抽出!A:A,0)&amp;""),"")</f>
        <v/>
      </c>
      <c r="E121" s="20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201" t="str" cm="1">
        <f t="array" aca="1" ref="F121" ca="1">IF(D121&lt;&gt;"",
IF(COUNTIF(C121,"*雙葉*"),
IF(ROUND(
IF(O121&lt;&gt;"",(H121-O121),H121)
/IF(COUNTIF('盛付札（関数）'!D121,"*キャラ*"),
VLOOKUP("*キャラ*",#REF!,7,FALSE),
IF(COUNTIF('盛付札（関数）'!D121,"*赤*"),
VLOOKUP("*赤*",#REF!,7,FALSE),
VLOOKUP('盛付札（関数）'!D121,#REF!,7,FALSE))),0)&lt;=0,1,
ROUND(
IF(O121&lt;&gt;"",(H121-O121),H121)
/IF(COUNTIF('盛付札（関数）'!D121,"*キャラ*"),
VLOOKUP("*キャラ*",#REF!,7,FALSE),
IF(COUNTIF('盛付札（関数）'!D121,"*赤*"),
VLOOKUP("*赤*",#REF!,7,FALSE),
VLOOKUP('盛付札（関数）'!D121,#REF!,7,FALSE))),0)),
IF(MATCH(TRUE,
ISNUMBER(--INDIRECT("数出表_Excel!B"&amp;MATCH(C121,数出表_Excel!$A:$A,0)-1&amp;":U"&amp;MATCH(C121,数出表_Excel!$A:$A,0)-1&amp;"")),0)&gt;10,
IF(D121&lt;&gt;"",
IF(IF(COUNTIF('盛付札（関数）'!D121,"*キャラ*"),
VLOOKUP("*キャラ*",#REF!,7,FALSE),
IF(COUNTIF('盛付札（関数）'!D121,"*赤*"),
VLOOKUP("*赤*",#REF!,7,FALSE),
VLOOKUP('盛付札（関数）'!D121,#REF!,7,FALSE)))=0,"",
IF(ROUND(
IF(O121&lt;&gt;"",(H121-O121),H121)
/IF(COUNTIF('盛付札（関数）'!D121,"*キャラ*"),
VLOOKUP("*キャラ*",#REF!,7,FALSE),
IF(COUNTIF('盛付札（関数）'!D121,"*赤*"),
VLOOKUP("*赤*",#REF!,7,FALSE),
VLOOKUP('盛付札（関数）'!D121,#REF!,7,FALSE))),0)&lt;=0,1,
ROUND(
IF(O121&lt;&gt;"",(H121-O121),H121)
/IF(COUNTIF('盛付札（関数）'!D121,"*キャラ*"),
VLOOKUP("*キャラ*",#REF!,7,FALSE),
IF(COUNTIF('盛付札（関数）'!D121,"*赤*"),
VLOOKUP("*赤*",#REF!,7,FALSE),
VLOOKUP('盛付札（関数）'!D121,#REF!,7,FALSE))),0))),""),"")),"")</f>
        <v/>
      </c>
      <c r="G121" s="201" t="str">
        <f ca="1">IF(F121&lt;&gt;"",IF(VALUE(IF(O121&lt;&gt;"",H121-O121,H121))&gt;VALUE(IF(COUNTIF('盛付札（関数）'!D121,"*キャラ*"),
VLOOKUP("*キャラ*",#REF!,7,FALSE),
IF(COUNTIF('盛付札（関数）'!D121,"*赤*"),
VLOOKUP("*赤*",#REF!,7,FALSE),
VLOOKUP('盛付札（関数）'!D121,#REF!,7,FALSE)))*F121),
"+"&amp;IF(O121&lt;&gt;"",H121-O121,H121)-IF(COUNTIF('盛付札（関数）'!D121,"*キャラ*"),
VLOOKUP("*キャラ*",#REF!,7,FALSE),
IF(COUNTIF('盛付札（関数）'!D121,"*赤*"),
VLOOKUP("*赤*",#REF!,7,FALSE),
VLOOKUP('盛付札（関数）'!D121,#REF!,7,FALSE)))*F121,
IF(O121&lt;&gt;"",H121-O121,H121)-IF(COUNTIF('盛付札（関数）'!D121,"*キャラ*"),
VLOOKUP("*キャラ*",#REF!,7,FALSE),
IF(COUNTIF('盛付札（関数）'!D121,"*赤*"),
VLOOKUP("*赤*",#REF!,7,FALSE),
VLOOKUP('盛付札（関数）'!D121,#REF!,7,FALSE)))*F121),"")</f>
        <v/>
      </c>
      <c r="H121" s="202" t="str" cm="1">
        <f t="array" aca="1" ref="H121" ca="1">IF(C121&lt;&gt;"",
IF(INDIRECT("数出表_Excel!"&amp;IFERROR(MID(クライアント抽出!V51,FIND(",",クライアント抽出!V51)+1,1),"")&amp;A121-1&amp;"")&lt;&gt;"",
INDIRECT("数出表_Excel!"&amp;IFERROR(MID(クライアント抽出!V51,FIND(",",クライアント抽出!V51)+1,1),"")&amp;A121-1&amp;""),0),"")</f>
        <v/>
      </c>
      <c r="I121" s="200" t="str" cm="1">
        <f t="array" aca="1" ref="I121" ca="1">IF(C121&lt;&gt;"",
IF(INDIRECT("数出表_Excel!"&amp;IFERROR(MID(クライアント抽出!V51,FIND(",",クライアント抽出!V51)+1,1),"")&amp;A121&amp;"")&lt;&gt;"",
INDIRECT("数出表_Excel!"&amp;IFERROR(MID(クライアント抽出!V51,FIND(",",クライアント抽出!V51)+1,1),"")&amp;A121&amp;""),0),"")</f>
        <v/>
      </c>
      <c r="J121" s="200" t="str">
        <f ca="1">IF(C121&lt;&gt;"",
VLOOKUP(
IF(COUNTIF(D121,"*学食*"),"キャラ弁（学食）",
IF(COUNTIF(D121,"*赤*"),"赤",
IF(COUNTIF(D121,"*キャラ弁当*"),"キャラ弁当",D121))),注文弁当の抽出!$E$1:$F$15,2,FALSE),"")</f>
        <v/>
      </c>
      <c r="K121" s="200" t="str">
        <f t="shared" ca="1" si="30"/>
        <v/>
      </c>
      <c r="L121" s="200" t="str">
        <f t="shared" ca="1" si="31"/>
        <v/>
      </c>
      <c r="M121" s="200" cm="1">
        <f t="array" aca="1" ref="M121" ca="1">IF(C121&lt;&gt;"",
IF(IFERROR(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0)&lt;&gt;0,
IF(IFERROR(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"")="",
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""),
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0)),0),0)</f>
        <v>0</v>
      </c>
      <c r="N121" s="200" t="e">
        <f t="array" aca="1" ref="N121" ca="1">IF(B121="博多",
IF(C121&lt;&gt;"",
IF(IFERROR(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0)&lt;&gt;0,
IF(IFERROR(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0)="",
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0),
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0)),0),""),0)</f>
        <v>#N/A</v>
      </c>
      <c r="O121" s="200" t="e">
        <f t="shared" ca="1" si="27"/>
        <v>#N/A</v>
      </c>
      <c r="P121" s="200">
        <f t="shared" ca="1" si="4"/>
        <v>0</v>
      </c>
      <c r="Q121" s="200" t="b">
        <f t="shared" ca="1" si="28"/>
        <v>0</v>
      </c>
      <c r="R121" s="51" t="str" cm="1">
        <f t="array" aca="1" ref="R121" ca="1">IFERROR(SMALL(IF(P$1:P$300&lt;&gt;0,P$1:P$300),ROW(A121)),"")</f>
        <v/>
      </c>
      <c r="S121" s="51" t="str">
        <f t="array" aca="1" ref="S121" ca="1">IF($R121&lt;&gt;"",
INDIRECT(""&amp;IF(COLUMN(C141)&lt;=26,CHAR(COLUMN(C141)+64),CHAR(INT((COLUMN(C141)-1)/26)+64)&amp;CHAR(MOD(COLUMN(C141)-1,26)+65))&amp;$R121&amp;""),"")</f>
        <v/>
      </c>
      <c r="T121" s="51" t="str" cm="1">
        <f t="array" aca="1" ref="T121" ca="1">IF(IF($R121&lt;&gt;"",
INDIRECT(""&amp;IF(COLUMN(D141)&lt;=26,CHAR(COLUMN(D141)+64),CHAR(INT((COLUMN(D141)-1)/26)+64)&amp;CHAR(MOD(COLUMN(D141)-1,26)+65))&amp;$R121&amp;""),"")=0,"",
IF($R121&lt;&gt;"",
INDIRECT(""&amp;IF(COLUMN(D141)&lt;=26,CHAR(COLUMN(D141)+64),CHAR(INT((COLUMN(D141)-1)/26)+64)&amp;CHAR(MOD(COLUMN(D141)-1,26)+65))&amp;$R121&amp;""),""))</f>
        <v/>
      </c>
      <c r="U121" s="51"/>
      <c r="V121" s="51" t="str">
        <f t="array" aca="1" ref="V121" ca="1">IF($R121&lt;&gt;"",
IF(U121="",
IF(INDIRECT("EY"&amp;$R121&amp;"")&lt;&gt;"",
INDIRECT("EY"&amp;$R121&amp;"")&amp;"箱"
&amp;INDIRECT("EZ"&amp;$R121&amp;""),""),""),"")</f>
        <v/>
      </c>
      <c r="W121" s="51" t="str">
        <f t="array" aca="1" ref="W121" ca="1">IF($R121&lt;&gt;"",
INDIRECT(""&amp;IF(COLUMN(H141)&lt;=26,CHAR(COLUMN(H141)+64),CHAR(INT((COLUMN(H141)-1)/26)+64)&amp;CHAR(MOD(COLUMN(H141)-1,26)+65))&amp;$R121&amp;""),"")</f>
        <v/>
      </c>
      <c r="X121" s="51" t="str">
        <f t="array" aca="1" ref="X121" ca="1">IF($R121&lt;&gt;"",
INDIRECT(""&amp;IF(COLUMN(I141)&lt;=26,CHAR(COLUMN(I141)+64),CHAR(INT((COLUMN(I141)-1)/26)+64)&amp;CHAR(MOD(COLUMN(I141)-1,26)+65))&amp;$R121&amp;""),"")</f>
        <v/>
      </c>
      <c r="Y121" s="51" t="str">
        <f t="array" aca="1" ref="Y121" ca="1">IF($R121&lt;&gt;"",
INDIRECT(""&amp;IF(COLUMN(J141)&lt;=26,CHAR(COLUMN(J141)+64),CHAR(INT((COLUMN(J141)-1)/26)+64)&amp;CHAR(MOD(COLUMN(J141)-1,26)+65))&amp;$R121&amp;""),"")</f>
        <v/>
      </c>
      <c r="Z121" s="51" t="str">
        <f t="array" aca="1" ref="Z121" ca="1">IF($R121&lt;&gt;"",
INDIRECT(""&amp;IF(COLUMN(K141)&lt;=26,CHAR(COLUMN(K141)+64),CHAR(INT((COLUMN(K141)-1)/26)+64)&amp;CHAR(MOD(COLUMN(K141)-1,26)+65))&amp;$R121&amp;""),"")</f>
        <v/>
      </c>
      <c r="AA121" s="51" t="str">
        <f t="array" aca="1" ref="AA121" ca="1">IF($R121&lt;&gt;"",
INDIRECT(""&amp;IF(COLUMN(L141)&lt;=26,CHAR(COLUMN(L141)+64),CHAR(INT((COLUMN(L141)-1)/26)+64)&amp;CHAR(MOD(COLUMN(L141)-1,26)+65))&amp;$R121&amp;""),"")</f>
        <v/>
      </c>
      <c r="AB121" s="51" t="str">
        <f t="array" aca="1" ref="AB121" ca="1">IF($R121&lt;&gt;"",
INDIRECT(""&amp;IF(COLUMN(O141)&lt;=26,CHAR(COLUMN(O141)+64),CHAR(INT((COLUMN(O141)-1)/26)+64)&amp;CHAR(MOD(COLUMN(O141)-1,26)+65))&amp;$R121&amp;""),"")</f>
        <v/>
      </c>
    </row>
    <row r="122" spans="1:28" ht="22.2" customHeight="1">
      <c r="A122" s="199">
        <f t="shared" si="29"/>
        <v>109</v>
      </c>
      <c r="B122" s="200" t="e" cm="1">
        <f t="array" aca="1" ref="B122" ca="1">IF(AND(LEFT(C122,2)="博多",
LEFT(INDIRECT("数出表_Excel!A"&amp;MATCH(C122,数出表_Excel!$A:$A,0)-1),2)
=LEFT(INDIRECT("数出表_Excel!A"&amp;MATCH(C122,数出表_Excel!$A:$A,0)+1),2)),"博多",
IF(AND(LEFT(C122,3)="奈良屋",
LEFT(INDIRECT("数出表_Excel!A"&amp;MATCH(C122,数出表_Excel!$A:$A,0)-1),2)
=LEFT(INDIRECT("数出表_Excel!A"&amp;MATCH(C122,数出表_Excel!$A:$A,0)+1),2)),"奈良屋",""))</f>
        <v>#N/A</v>
      </c>
      <c r="C122" s="200" t="str" cm="1">
        <f t="array" aca="1" ref="C122" ca="1">IF(IF(クライアント抽出!A52="",0,LEN(クライアント抽出!V52)-LEN(SUBSTITUTE(クライアント抽出!V52,",","")))&gt;=2,INDIRECT("数出表_Excel!A"&amp;A122&amp;""),"")</f>
        <v/>
      </c>
      <c r="D122" s="200" t="str" cm="1">
        <f t="array" aca="1" ref="D122" ca="1">IF(C122&lt;&gt;"",INDIRECT("クライアント抽出!"&amp;E122&amp;MATCH(C122,クライアント抽出!A:A,0)&amp;""),"")</f>
        <v/>
      </c>
      <c r="E122" s="20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201" t="str" cm="1">
        <f t="array" aca="1" ref="F122" ca="1">IF(D122&lt;&gt;"",
IF(COUNTIF(C122,"*雙葉*"),
IF(ROUND(
IF(O122&lt;&gt;"",(H122-O122),H122)
/IF(COUNTIF('盛付札（関数）'!D122,"*キャラ*"),
VLOOKUP("*キャラ*",#REF!,7,FALSE),
IF(COUNTIF('盛付札（関数）'!D122,"*赤*"),
VLOOKUP("*赤*",#REF!,7,FALSE),
VLOOKUP('盛付札（関数）'!D122,#REF!,7,FALSE))),0)&lt;=0,1,
ROUND(
IF(O122&lt;&gt;"",(H122-O122),H122)
/IF(COUNTIF('盛付札（関数）'!D122,"*キャラ*"),
VLOOKUP("*キャラ*",#REF!,7,FALSE),
IF(COUNTIF('盛付札（関数）'!D122,"*赤*"),
VLOOKUP("*赤*",#REF!,7,FALSE),
VLOOKUP('盛付札（関数）'!D122,#REF!,7,FALSE))),0)),
IF(MATCH(TRUE,
ISNUMBER(--INDIRECT("数出表_Excel!B"&amp;MATCH(C122,数出表_Excel!$A:$A,0)-1&amp;":U"&amp;MATCH(C122,数出表_Excel!$A:$A,0)-1&amp;"")),0)&gt;10,
IF(D122&lt;&gt;"",
IF(IF(COUNTIF('盛付札（関数）'!D122,"*キャラ*"),
VLOOKUP("*キャラ*",#REF!,7,FALSE),
IF(COUNTIF('盛付札（関数）'!D122,"*赤*"),
VLOOKUP("*赤*",#REF!,7,FALSE),
VLOOKUP('盛付札（関数）'!D122,#REF!,7,FALSE)))=0,"",
IF(ROUND(
IF(O122&lt;&gt;"",(H122-O122),H122)
/IF(COUNTIF('盛付札（関数）'!D122,"*キャラ*"),
VLOOKUP("*キャラ*",#REF!,7,FALSE),
IF(COUNTIF('盛付札（関数）'!D122,"*赤*"),
VLOOKUP("*赤*",#REF!,7,FALSE),
VLOOKUP('盛付札（関数）'!D122,#REF!,7,FALSE))),0)&lt;=0,1,
ROUND(
IF(O122&lt;&gt;"",(H122-O122),H122)
/IF(COUNTIF('盛付札（関数）'!D122,"*キャラ*"),
VLOOKUP("*キャラ*",#REF!,7,FALSE),
IF(COUNTIF('盛付札（関数）'!D122,"*赤*"),
VLOOKUP("*赤*",#REF!,7,FALSE),
VLOOKUP('盛付札（関数）'!D122,#REF!,7,FALSE))),0))),""),"")),"")</f>
        <v/>
      </c>
      <c r="G122" s="201" t="str">
        <f ca="1">IF(F122&lt;&gt;"",IF(VALUE(IF(O122&lt;&gt;"",H122-O122,H122))&gt;VALUE(IF(COUNTIF('盛付札（関数）'!D122,"*キャラ*"),
VLOOKUP("*キャラ*",#REF!,7,FALSE),
IF(COUNTIF('盛付札（関数）'!D122,"*赤*"),
VLOOKUP("*赤*",#REF!,7,FALSE),
VLOOKUP('盛付札（関数）'!D122,#REF!,7,FALSE)))*F122),
"+"&amp;IF(O122&lt;&gt;"",H122-O122,H122)-IF(COUNTIF('盛付札（関数）'!D122,"*キャラ*"),
VLOOKUP("*キャラ*",#REF!,7,FALSE),
IF(COUNTIF('盛付札（関数）'!D122,"*赤*"),
VLOOKUP("*赤*",#REF!,7,FALSE),
VLOOKUP('盛付札（関数）'!D122,#REF!,7,FALSE)))*F122,
IF(O122&lt;&gt;"",H122-O122,H122)-IF(COUNTIF('盛付札（関数）'!D122,"*キャラ*"),
VLOOKUP("*キャラ*",#REF!,7,FALSE),
IF(COUNTIF('盛付札（関数）'!D122,"*赤*"),
VLOOKUP("*赤*",#REF!,7,FALSE),
VLOOKUP('盛付札（関数）'!D122,#REF!,7,FALSE)))*F122),"")</f>
        <v/>
      </c>
      <c r="H122" s="202" t="str" cm="1">
        <f t="array" aca="1" ref="H122" ca="1">IF(C122&lt;&gt;"",
IF(INDIRECT("数出表_Excel!"&amp;IFERROR(MID(クライアント抽出!V52,FIND(",",クライアント抽出!V52)+1,1),"")&amp;A122-1&amp;"")&lt;&gt;"",
INDIRECT("数出表_Excel!"&amp;IFERROR(MID(クライアント抽出!V52,FIND(",",クライアント抽出!V52)+1,1),"")&amp;A122-1&amp;""),0),"")</f>
        <v/>
      </c>
      <c r="I122" s="200" t="str" cm="1">
        <f t="array" aca="1" ref="I122" ca="1">IF(C122&lt;&gt;"",
IF(INDIRECT("数出表_Excel!"&amp;IFERROR(MID(クライアント抽出!V52,FIND(",",クライアント抽出!V52)+1,1),"")&amp;A122&amp;"")&lt;&gt;"",
INDIRECT("数出表_Excel!"&amp;IFERROR(MID(クライアント抽出!V52,FIND(",",クライアント抽出!V52)+1,1),"")&amp;A122&amp;""),0),"")</f>
        <v/>
      </c>
      <c r="J122" s="200" t="str">
        <f ca="1">IF(C122&lt;&gt;"",
VLOOKUP(
IF(COUNTIF(D122,"*学食*"),"キャラ弁（学食）",
IF(COUNTIF(D122,"*赤*"),"赤",
IF(COUNTIF(D122,"*キャラ弁当*"),"キャラ弁当",D122))),注文弁当の抽出!$E$1:$F$15,2,FALSE),"")</f>
        <v/>
      </c>
      <c r="K122" s="200" t="str">
        <f t="shared" ca="1" si="30"/>
        <v/>
      </c>
      <c r="L122" s="200" t="str">
        <f t="shared" ca="1" si="31"/>
        <v/>
      </c>
      <c r="M122" s="200" cm="1">
        <f t="array" aca="1" ref="M122" ca="1">IF(C122&lt;&gt;"",
IF(IFERROR(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0)&lt;&gt;0,
IF(IFERROR(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"")="",
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""),
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0)),0),0)</f>
        <v>0</v>
      </c>
      <c r="N122" s="200" t="e">
        <f t="array" aca="1" ref="N122" ca="1">IF(B122="博多",
IF(C122&lt;&gt;"",
IF(IFERROR(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0)&lt;&gt;0,
IF(IFERROR(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0)="",
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0),
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0)),0),""),0)</f>
        <v>#N/A</v>
      </c>
      <c r="O122" s="200" t="e">
        <f t="shared" ca="1" si="27"/>
        <v>#N/A</v>
      </c>
      <c r="P122" s="200">
        <f t="shared" ca="1" si="4"/>
        <v>0</v>
      </c>
      <c r="Q122" s="200" t="b">
        <f t="shared" ca="1" si="28"/>
        <v>0</v>
      </c>
      <c r="R122" s="51" t="str" cm="1">
        <f t="array" aca="1" ref="R122" ca="1">IFERROR(SMALL(IF(P$1:P$300&lt;&gt;0,P$1:P$300),ROW(A122)),"")</f>
        <v/>
      </c>
      <c r="S122" s="51" t="str">
        <f t="array" aca="1" ref="S122" ca="1">IF($R122&lt;&gt;"",
INDIRECT(""&amp;IF(COLUMN(C142)&lt;=26,CHAR(COLUMN(C142)+64),CHAR(INT((COLUMN(C142)-1)/26)+64)&amp;CHAR(MOD(COLUMN(C142)-1,26)+65))&amp;$R122&amp;""),"")</f>
        <v/>
      </c>
      <c r="T122" s="51" t="str" cm="1">
        <f t="array" aca="1" ref="T122" ca="1">IF(IF($R122&lt;&gt;"",
INDIRECT(""&amp;IF(COLUMN(D142)&lt;=26,CHAR(COLUMN(D142)+64),CHAR(INT((COLUMN(D142)-1)/26)+64)&amp;CHAR(MOD(COLUMN(D142)-1,26)+65))&amp;$R122&amp;""),"")=0,"",
IF($R122&lt;&gt;"",
INDIRECT(""&amp;IF(COLUMN(D142)&lt;=26,CHAR(COLUMN(D142)+64),CHAR(INT((COLUMN(D142)-1)/26)+64)&amp;CHAR(MOD(COLUMN(D142)-1,26)+65))&amp;$R122&amp;""),""))</f>
        <v/>
      </c>
      <c r="U122" s="51"/>
      <c r="V122" s="51" t="str">
        <f t="array" aca="1" ref="V122" ca="1">IF($R122&lt;&gt;"",
IF(U122="",
IF(INDIRECT("EY"&amp;$R122&amp;"")&lt;&gt;"",
INDIRECT("EY"&amp;$R122&amp;"")&amp;"箱"
&amp;INDIRECT("EZ"&amp;$R122&amp;""),""),""),"")</f>
        <v/>
      </c>
      <c r="W122" s="51" t="str">
        <f t="array" aca="1" ref="W122" ca="1">IF($R122&lt;&gt;"",
INDIRECT(""&amp;IF(COLUMN(H142)&lt;=26,CHAR(COLUMN(H142)+64),CHAR(INT((COLUMN(H142)-1)/26)+64)&amp;CHAR(MOD(COLUMN(H142)-1,26)+65))&amp;$R122&amp;""),"")</f>
        <v/>
      </c>
      <c r="X122" s="51" t="str">
        <f t="array" aca="1" ref="X122" ca="1">IF($R122&lt;&gt;"",
INDIRECT(""&amp;IF(COLUMN(I142)&lt;=26,CHAR(COLUMN(I142)+64),CHAR(INT((COLUMN(I142)-1)/26)+64)&amp;CHAR(MOD(COLUMN(I142)-1,26)+65))&amp;$R122&amp;""),"")</f>
        <v/>
      </c>
      <c r="Y122" s="51" t="str">
        <f t="array" aca="1" ref="Y122" ca="1">IF($R122&lt;&gt;"",
INDIRECT(""&amp;IF(COLUMN(J142)&lt;=26,CHAR(COLUMN(J142)+64),CHAR(INT((COLUMN(J142)-1)/26)+64)&amp;CHAR(MOD(COLUMN(J142)-1,26)+65))&amp;$R122&amp;""),"")</f>
        <v/>
      </c>
      <c r="Z122" s="51" t="str">
        <f t="array" aca="1" ref="Z122" ca="1">IF($R122&lt;&gt;"",
INDIRECT(""&amp;IF(COLUMN(K142)&lt;=26,CHAR(COLUMN(K142)+64),CHAR(INT((COLUMN(K142)-1)/26)+64)&amp;CHAR(MOD(COLUMN(K142)-1,26)+65))&amp;$R122&amp;""),"")</f>
        <v/>
      </c>
      <c r="AA122" s="51" t="str">
        <f t="array" aca="1" ref="AA122" ca="1">IF($R122&lt;&gt;"",
INDIRECT(""&amp;IF(COLUMN(L142)&lt;=26,CHAR(COLUMN(L142)+64),CHAR(INT((COLUMN(L142)-1)/26)+64)&amp;CHAR(MOD(COLUMN(L142)-1,26)+65))&amp;$R122&amp;""),"")</f>
        <v/>
      </c>
      <c r="AB122" s="51" t="str">
        <f t="array" aca="1" ref="AB122" ca="1">IF($R122&lt;&gt;"",
INDIRECT(""&amp;IF(COLUMN(O142)&lt;=26,CHAR(COLUMN(O142)+64),CHAR(INT((COLUMN(O142)-1)/26)+64)&amp;CHAR(MOD(COLUMN(O142)-1,26)+65))&amp;$R122&amp;""),"")</f>
        <v/>
      </c>
    </row>
    <row r="123" spans="1:28" ht="22.2" customHeight="1">
      <c r="A123" s="199">
        <f t="shared" si="29"/>
        <v>111</v>
      </c>
      <c r="B123" s="200" t="e" cm="1">
        <f t="array" aca="1" ref="B123" ca="1">IF(AND(LEFT(C123,2)="博多",
LEFT(INDIRECT("数出表_Excel!A"&amp;MATCH(C123,数出表_Excel!$A:$A,0)-1),2)
=LEFT(INDIRECT("数出表_Excel!A"&amp;MATCH(C123,数出表_Excel!$A:$A,0)+1),2)),"博多",
IF(AND(LEFT(C123,3)="奈良屋",
LEFT(INDIRECT("数出表_Excel!A"&amp;MATCH(C123,数出表_Excel!$A:$A,0)-1),2)
=LEFT(INDIRECT("数出表_Excel!A"&amp;MATCH(C123,数出表_Excel!$A:$A,0)+1),2)),"奈良屋",""))</f>
        <v>#N/A</v>
      </c>
      <c r="C123" s="200" t="str" cm="1">
        <f t="array" aca="1" ref="C123" ca="1">IF(IF(クライアント抽出!A53="",0,LEN(クライアント抽出!V53)-LEN(SUBSTITUTE(クライアント抽出!V53,",","")))&gt;=2,INDIRECT("数出表_Excel!A"&amp;A123&amp;""),"")</f>
        <v/>
      </c>
      <c r="D123" s="200" t="str" cm="1">
        <f t="array" aca="1" ref="D123" ca="1">IF(C123&lt;&gt;"",INDIRECT("クライアント抽出!"&amp;E123&amp;MATCH(C123,クライアント抽出!A:A,0)&amp;""),"")</f>
        <v/>
      </c>
      <c r="E123" s="20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201" t="str" cm="1">
        <f t="array" aca="1" ref="F123" ca="1">IF(D123&lt;&gt;"",
IF(COUNTIF(C123,"*雙葉*"),
IF(ROUND(
IF(O123&lt;&gt;"",(H123-O123),H123)
/IF(COUNTIF('盛付札（関数）'!D123,"*キャラ*"),
VLOOKUP("*キャラ*",#REF!,7,FALSE),
IF(COUNTIF('盛付札（関数）'!D123,"*赤*"),
VLOOKUP("*赤*",#REF!,7,FALSE),
VLOOKUP('盛付札（関数）'!D123,#REF!,7,FALSE))),0)&lt;=0,1,
ROUND(
IF(O123&lt;&gt;"",(H123-O123),H123)
/IF(COUNTIF('盛付札（関数）'!D123,"*キャラ*"),
VLOOKUP("*キャラ*",#REF!,7,FALSE),
IF(COUNTIF('盛付札（関数）'!D123,"*赤*"),
VLOOKUP("*赤*",#REF!,7,FALSE),
VLOOKUP('盛付札（関数）'!D123,#REF!,7,FALSE))),0)),
IF(MATCH(TRUE,
ISNUMBER(--INDIRECT("数出表_Excel!B"&amp;MATCH(C123,数出表_Excel!$A:$A,0)-1&amp;":U"&amp;MATCH(C123,数出表_Excel!$A:$A,0)-1&amp;"")),0)&gt;10,
IF(D123&lt;&gt;"",
IF(IF(COUNTIF('盛付札（関数）'!D123,"*キャラ*"),
VLOOKUP("*キャラ*",#REF!,7,FALSE),
IF(COUNTIF('盛付札（関数）'!D123,"*赤*"),
VLOOKUP("*赤*",#REF!,7,FALSE),
VLOOKUP('盛付札（関数）'!D123,#REF!,7,FALSE)))=0,"",
IF(ROUND(
IF(O123&lt;&gt;"",(H123-O123),H123)
/IF(COUNTIF('盛付札（関数）'!D123,"*キャラ*"),
VLOOKUP("*キャラ*",#REF!,7,FALSE),
IF(COUNTIF('盛付札（関数）'!D123,"*赤*"),
VLOOKUP("*赤*",#REF!,7,FALSE),
VLOOKUP('盛付札（関数）'!D123,#REF!,7,FALSE))),0)&lt;=0,1,
ROUND(
IF(O123&lt;&gt;"",(H123-O123),H123)
/IF(COUNTIF('盛付札（関数）'!D123,"*キャラ*"),
VLOOKUP("*キャラ*",#REF!,7,FALSE),
IF(COUNTIF('盛付札（関数）'!D123,"*赤*"),
VLOOKUP("*赤*",#REF!,7,FALSE),
VLOOKUP('盛付札（関数）'!D123,#REF!,7,FALSE))),0))),""),"")),"")</f>
        <v/>
      </c>
      <c r="G123" s="201" t="str">
        <f ca="1">IF(F123&lt;&gt;"",IF(VALUE(IF(O123&lt;&gt;"",H123-O123,H123))&gt;VALUE(IF(COUNTIF('盛付札（関数）'!D123,"*キャラ*"),
VLOOKUP("*キャラ*",#REF!,7,FALSE),
IF(COUNTIF('盛付札（関数）'!D123,"*赤*"),
VLOOKUP("*赤*",#REF!,7,FALSE),
VLOOKUP('盛付札（関数）'!D123,#REF!,7,FALSE)))*F123),
"+"&amp;IF(O123&lt;&gt;"",H123-O123,H123)-IF(COUNTIF('盛付札（関数）'!D123,"*キャラ*"),
VLOOKUP("*キャラ*",#REF!,7,FALSE),
IF(COUNTIF('盛付札（関数）'!D123,"*赤*"),
VLOOKUP("*赤*",#REF!,7,FALSE),
VLOOKUP('盛付札（関数）'!D123,#REF!,7,FALSE)))*F123,
IF(O123&lt;&gt;"",H123-O123,H123)-IF(COUNTIF('盛付札（関数）'!D123,"*キャラ*"),
VLOOKUP("*キャラ*",#REF!,7,FALSE),
IF(COUNTIF('盛付札（関数）'!D123,"*赤*"),
VLOOKUP("*赤*",#REF!,7,FALSE),
VLOOKUP('盛付札（関数）'!D123,#REF!,7,FALSE)))*F123),"")</f>
        <v/>
      </c>
      <c r="H123" s="202" t="str" cm="1">
        <f t="array" aca="1" ref="H123" ca="1">IF(C123&lt;&gt;"",
IF(INDIRECT("数出表_Excel!"&amp;IFERROR(MID(クライアント抽出!V53,FIND(",",クライアント抽出!V53)+1,1),"")&amp;A123-1&amp;"")&lt;&gt;"",
INDIRECT("数出表_Excel!"&amp;IFERROR(MID(クライアント抽出!V53,FIND(",",クライアント抽出!V53)+1,1),"")&amp;A123-1&amp;""),0),"")</f>
        <v/>
      </c>
      <c r="I123" s="200" t="str" cm="1">
        <f t="array" aca="1" ref="I123" ca="1">IF(C123&lt;&gt;"",
IF(INDIRECT("数出表_Excel!"&amp;IFERROR(MID(クライアント抽出!V53,FIND(",",クライアント抽出!V53)+1,1),"")&amp;A123&amp;"")&lt;&gt;"",
INDIRECT("数出表_Excel!"&amp;IFERROR(MID(クライアント抽出!V53,FIND(",",クライアント抽出!V53)+1,1),"")&amp;A123&amp;""),0),"")</f>
        <v/>
      </c>
      <c r="J123" s="200" t="str">
        <f ca="1">IF(C123&lt;&gt;"",
VLOOKUP(
IF(COUNTIF(D123,"*学食*"),"キャラ弁（学食）",
IF(COUNTIF(D123,"*赤*"),"赤",
IF(COUNTIF(D123,"*キャラ弁当*"),"キャラ弁当",D123))),注文弁当の抽出!$E$1:$F$15,2,FALSE),"")</f>
        <v/>
      </c>
      <c r="K123" s="200" t="str">
        <f t="shared" ca="1" si="30"/>
        <v/>
      </c>
      <c r="L123" s="200" t="str">
        <f t="shared" ca="1" si="31"/>
        <v/>
      </c>
      <c r="M123" s="200" cm="1">
        <f t="array" aca="1" ref="M123" ca="1">IF(C123&lt;&gt;"",
IF(IFERROR(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0)&lt;&gt;0,
IF(IFERROR(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"")="",
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""),
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0)),0),0)</f>
        <v>0</v>
      </c>
      <c r="N123" s="200" t="e">
        <f t="array" aca="1" ref="N123" ca="1">IF(B123="博多",
IF(C123&lt;&gt;"",
IF(IFERROR(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0)&lt;&gt;0,
IF(IFERROR(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0)="",
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0),
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0)),0),""),0)</f>
        <v>#N/A</v>
      </c>
      <c r="O123" s="200" t="e">
        <f t="shared" ca="1" si="27"/>
        <v>#N/A</v>
      </c>
      <c r="P123" s="200">
        <f t="shared" ca="1" si="4"/>
        <v>0</v>
      </c>
      <c r="Q123" s="200" t="b">
        <f t="shared" ca="1" si="28"/>
        <v>0</v>
      </c>
      <c r="R123" s="51" t="str" cm="1">
        <f t="array" aca="1" ref="R123" ca="1">IFERROR(SMALL(IF(P$1:P$300&lt;&gt;0,P$1:P$300),ROW(A123)),"")</f>
        <v/>
      </c>
      <c r="S123" s="51" t="str">
        <f t="array" aca="1" ref="S123" ca="1">IF($R123&lt;&gt;"",
INDIRECT(""&amp;IF(COLUMN(C143)&lt;=26,CHAR(COLUMN(C143)+64),CHAR(INT((COLUMN(C143)-1)/26)+64)&amp;CHAR(MOD(COLUMN(C143)-1,26)+65))&amp;$R123&amp;""),"")</f>
        <v/>
      </c>
      <c r="T123" s="51" t="str" cm="1">
        <f t="array" aca="1" ref="T123" ca="1">IF(IF($R123&lt;&gt;"",
INDIRECT(""&amp;IF(COLUMN(D143)&lt;=26,CHAR(COLUMN(D143)+64),CHAR(INT((COLUMN(D143)-1)/26)+64)&amp;CHAR(MOD(COLUMN(D143)-1,26)+65))&amp;$R123&amp;""),"")=0,"",
IF($R123&lt;&gt;"",
INDIRECT(""&amp;IF(COLUMN(D143)&lt;=26,CHAR(COLUMN(D143)+64),CHAR(INT((COLUMN(D143)-1)/26)+64)&amp;CHAR(MOD(COLUMN(D143)-1,26)+65))&amp;$R123&amp;""),""))</f>
        <v/>
      </c>
      <c r="U123" s="51"/>
      <c r="V123" s="51" t="str">
        <f t="array" aca="1" ref="V123" ca="1">IF($R123&lt;&gt;"",
IF(U123="",
IF(INDIRECT("EY"&amp;$R123&amp;"")&lt;&gt;"",
INDIRECT("EY"&amp;$R123&amp;"")&amp;"箱"
&amp;INDIRECT("EZ"&amp;$R123&amp;""),""),""),"")</f>
        <v/>
      </c>
      <c r="W123" s="51" t="str">
        <f t="array" aca="1" ref="W123" ca="1">IF($R123&lt;&gt;"",
INDIRECT(""&amp;IF(COLUMN(H143)&lt;=26,CHAR(COLUMN(H143)+64),CHAR(INT((COLUMN(H143)-1)/26)+64)&amp;CHAR(MOD(COLUMN(H143)-1,26)+65))&amp;$R123&amp;""),"")</f>
        <v/>
      </c>
      <c r="X123" s="51" t="str">
        <f t="array" aca="1" ref="X123" ca="1">IF($R123&lt;&gt;"",
INDIRECT(""&amp;IF(COLUMN(I143)&lt;=26,CHAR(COLUMN(I143)+64),CHAR(INT((COLUMN(I143)-1)/26)+64)&amp;CHAR(MOD(COLUMN(I143)-1,26)+65))&amp;$R123&amp;""),"")</f>
        <v/>
      </c>
      <c r="Y123" s="51" t="str">
        <f t="array" aca="1" ref="Y123" ca="1">IF($R123&lt;&gt;"",
INDIRECT(""&amp;IF(COLUMN(J143)&lt;=26,CHAR(COLUMN(J143)+64),CHAR(INT((COLUMN(J143)-1)/26)+64)&amp;CHAR(MOD(COLUMN(J143)-1,26)+65))&amp;$R123&amp;""),"")</f>
        <v/>
      </c>
      <c r="Z123" s="51" t="str">
        <f t="array" aca="1" ref="Z123" ca="1">IF($R123&lt;&gt;"",
INDIRECT(""&amp;IF(COLUMN(K143)&lt;=26,CHAR(COLUMN(K143)+64),CHAR(INT((COLUMN(K143)-1)/26)+64)&amp;CHAR(MOD(COLUMN(K143)-1,26)+65))&amp;$R123&amp;""),"")</f>
        <v/>
      </c>
      <c r="AA123" s="51" t="str">
        <f t="array" aca="1" ref="AA123" ca="1">IF($R123&lt;&gt;"",
INDIRECT(""&amp;IF(COLUMN(L143)&lt;=26,CHAR(COLUMN(L143)+64),CHAR(INT((COLUMN(L143)-1)/26)+64)&amp;CHAR(MOD(COLUMN(L143)-1,26)+65))&amp;$R123&amp;""),"")</f>
        <v/>
      </c>
      <c r="AB123" s="51" t="str">
        <f t="array" aca="1" ref="AB123" ca="1">IF($R123&lt;&gt;"",
INDIRECT(""&amp;IF(COLUMN(O143)&lt;=26,CHAR(COLUMN(O143)+64),CHAR(INT((COLUMN(O143)-1)/26)+64)&amp;CHAR(MOD(COLUMN(O143)-1,26)+65))&amp;$R123&amp;""),"")</f>
        <v/>
      </c>
    </row>
    <row r="124" spans="1:28" ht="22.2" customHeight="1">
      <c r="A124" s="199">
        <f t="shared" si="29"/>
        <v>113</v>
      </c>
      <c r="B124" s="200" t="e" cm="1">
        <f t="array" aca="1" ref="B124" ca="1">IF(AND(LEFT(C124,2)="博多",
LEFT(INDIRECT("数出表_Excel!A"&amp;MATCH(C124,数出表_Excel!$A:$A,0)-1),2)
=LEFT(INDIRECT("数出表_Excel!A"&amp;MATCH(C124,数出表_Excel!$A:$A,0)+1),2)),"博多",
IF(AND(LEFT(C124,3)="奈良屋",
LEFT(INDIRECT("数出表_Excel!A"&amp;MATCH(C124,数出表_Excel!$A:$A,0)-1),2)
=LEFT(INDIRECT("数出表_Excel!A"&amp;MATCH(C124,数出表_Excel!$A:$A,0)+1),2)),"奈良屋",""))</f>
        <v>#N/A</v>
      </c>
      <c r="C124" s="200" t="str" cm="1">
        <f t="array" aca="1" ref="C124" ca="1">IF(IF(クライアント抽出!A54="",0,LEN(クライアント抽出!V54)-LEN(SUBSTITUTE(クライアント抽出!V54,",","")))&gt;=2,INDIRECT("数出表_Excel!A"&amp;A124&amp;""),"")</f>
        <v/>
      </c>
      <c r="D124" s="200" t="str" cm="1">
        <f t="array" aca="1" ref="D124" ca="1">IF(C124&lt;&gt;"",INDIRECT("クライアント抽出!"&amp;E124&amp;MATCH(C124,クライアント抽出!A:A,0)&amp;""),"")</f>
        <v/>
      </c>
      <c r="E124" s="20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201" t="str" cm="1">
        <f t="array" aca="1" ref="F124" ca="1">IF(D124&lt;&gt;"",
IF(COUNTIF(C124,"*雙葉*"),
IF(ROUND(
IF(O124&lt;&gt;"",(H124-O124),H124)
/IF(COUNTIF('盛付札（関数）'!D124,"*キャラ*"),
VLOOKUP("*キャラ*",#REF!,7,FALSE),
IF(COUNTIF('盛付札（関数）'!D124,"*赤*"),
VLOOKUP("*赤*",#REF!,7,FALSE),
VLOOKUP('盛付札（関数）'!D124,#REF!,7,FALSE))),0)&lt;=0,1,
ROUND(
IF(O124&lt;&gt;"",(H124-O124),H124)
/IF(COUNTIF('盛付札（関数）'!D124,"*キャラ*"),
VLOOKUP("*キャラ*",#REF!,7,FALSE),
IF(COUNTIF('盛付札（関数）'!D124,"*赤*"),
VLOOKUP("*赤*",#REF!,7,FALSE),
VLOOKUP('盛付札（関数）'!D124,#REF!,7,FALSE))),0)),
IF(MATCH(TRUE,
ISNUMBER(--INDIRECT("数出表_Excel!B"&amp;MATCH(C124,数出表_Excel!$A:$A,0)-1&amp;":U"&amp;MATCH(C124,数出表_Excel!$A:$A,0)-1&amp;"")),0)&gt;10,
IF(D124&lt;&gt;"",
IF(IF(COUNTIF('盛付札（関数）'!D124,"*キャラ*"),
VLOOKUP("*キャラ*",#REF!,7,FALSE),
IF(COUNTIF('盛付札（関数）'!D124,"*赤*"),
VLOOKUP("*赤*",#REF!,7,FALSE),
VLOOKUP('盛付札（関数）'!D124,#REF!,7,FALSE)))=0,"",
IF(ROUND(
IF(O124&lt;&gt;"",(H124-O124),H124)
/IF(COUNTIF('盛付札（関数）'!D124,"*キャラ*"),
VLOOKUP("*キャラ*",#REF!,7,FALSE),
IF(COUNTIF('盛付札（関数）'!D124,"*赤*"),
VLOOKUP("*赤*",#REF!,7,FALSE),
VLOOKUP('盛付札（関数）'!D124,#REF!,7,FALSE))),0)&lt;=0,1,
ROUND(
IF(O124&lt;&gt;"",(H124-O124),H124)
/IF(COUNTIF('盛付札（関数）'!D124,"*キャラ*"),
VLOOKUP("*キャラ*",#REF!,7,FALSE),
IF(COUNTIF('盛付札（関数）'!D124,"*赤*"),
VLOOKUP("*赤*",#REF!,7,FALSE),
VLOOKUP('盛付札（関数）'!D124,#REF!,7,FALSE))),0))),""),"")),"")</f>
        <v/>
      </c>
      <c r="G124" s="201" t="str">
        <f ca="1">IF(F124&lt;&gt;"",IF(VALUE(IF(O124&lt;&gt;"",H124-O124,H124))&gt;VALUE(IF(COUNTIF('盛付札（関数）'!D124,"*キャラ*"),
VLOOKUP("*キャラ*",#REF!,7,FALSE),
IF(COUNTIF('盛付札（関数）'!D124,"*赤*"),
VLOOKUP("*赤*",#REF!,7,FALSE),
VLOOKUP('盛付札（関数）'!D124,#REF!,7,FALSE)))*F124),
"+"&amp;IF(O124&lt;&gt;"",H124-O124,H124)-IF(COUNTIF('盛付札（関数）'!D124,"*キャラ*"),
VLOOKUP("*キャラ*",#REF!,7,FALSE),
IF(COUNTIF('盛付札（関数）'!D124,"*赤*"),
VLOOKUP("*赤*",#REF!,7,FALSE),
VLOOKUP('盛付札（関数）'!D124,#REF!,7,FALSE)))*F124,
IF(O124&lt;&gt;"",H124-O124,H124)-IF(COUNTIF('盛付札（関数）'!D124,"*キャラ*"),
VLOOKUP("*キャラ*",#REF!,7,FALSE),
IF(COUNTIF('盛付札（関数）'!D124,"*赤*"),
VLOOKUP("*赤*",#REF!,7,FALSE),
VLOOKUP('盛付札（関数）'!D124,#REF!,7,FALSE)))*F124),"")</f>
        <v/>
      </c>
      <c r="H124" s="202" t="str" cm="1">
        <f t="array" aca="1" ref="H124" ca="1">IF(C124&lt;&gt;"",
IF(INDIRECT("数出表_Excel!"&amp;IFERROR(MID(クライアント抽出!V54,FIND(",",クライアント抽出!V54)+1,1),"")&amp;A124-1&amp;"")&lt;&gt;"",
INDIRECT("数出表_Excel!"&amp;IFERROR(MID(クライアント抽出!V54,FIND(",",クライアント抽出!V54)+1,1),"")&amp;A124-1&amp;""),0),"")</f>
        <v/>
      </c>
      <c r="I124" s="200" t="str" cm="1">
        <f t="array" aca="1" ref="I124" ca="1">IF(C124&lt;&gt;"",
IF(INDIRECT("数出表_Excel!"&amp;IFERROR(MID(クライアント抽出!V54,FIND(",",クライアント抽出!V54)+1,1),"")&amp;A124&amp;"")&lt;&gt;"",
INDIRECT("数出表_Excel!"&amp;IFERROR(MID(クライアント抽出!V54,FIND(",",クライアント抽出!V54)+1,1),"")&amp;A124&amp;""),0),"")</f>
        <v/>
      </c>
      <c r="J124" s="200" t="str">
        <f ca="1">IF(C124&lt;&gt;"",
VLOOKUP(
IF(COUNTIF(D124,"*学食*"),"キャラ弁（学食）",
IF(COUNTIF(D124,"*赤*"),"赤",
IF(COUNTIF(D124,"*キャラ弁当*"),"キャラ弁当",D124))),注文弁当の抽出!$E$1:$F$15,2,FALSE),"")</f>
        <v/>
      </c>
      <c r="K124" s="200" t="str">
        <f t="shared" ca="1" si="30"/>
        <v/>
      </c>
      <c r="L124" s="200" t="str">
        <f t="shared" ca="1" si="31"/>
        <v/>
      </c>
      <c r="M124" s="200" cm="1">
        <f t="array" aca="1" ref="M124" ca="1">IF(C124&lt;&gt;"",
IF(IFERROR(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0)&lt;&gt;0,
IF(IFERROR(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"")="",
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""),
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0)),0),0)</f>
        <v>0</v>
      </c>
      <c r="N124" s="200" t="e">
        <f t="array" aca="1" ref="N124" ca="1">IF(B124="博多",
IF(C124&lt;&gt;"",
IF(IFERROR(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0)&lt;&gt;0,
IF(IFERROR(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0)="",
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0),
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0)),0),""),0)</f>
        <v>#N/A</v>
      </c>
      <c r="O124" s="200" t="e">
        <f t="shared" ca="1" si="27"/>
        <v>#N/A</v>
      </c>
      <c r="P124" s="200">
        <f t="shared" ca="1" si="4"/>
        <v>0</v>
      </c>
      <c r="Q124" s="200" t="b">
        <f t="shared" ca="1" si="28"/>
        <v>0</v>
      </c>
      <c r="R124" s="51" t="str" cm="1">
        <f t="array" aca="1" ref="R124" ca="1">IFERROR(SMALL(IF(P$1:P$300&lt;&gt;0,P$1:P$300),ROW(A124)),"")</f>
        <v/>
      </c>
      <c r="S124" s="51" t="str">
        <f t="array" aca="1" ref="S124" ca="1">IF($R124&lt;&gt;"",
INDIRECT(""&amp;IF(COLUMN(C144)&lt;=26,CHAR(COLUMN(C144)+64),CHAR(INT((COLUMN(C144)-1)/26)+64)&amp;CHAR(MOD(COLUMN(C144)-1,26)+65))&amp;$R124&amp;""),"")</f>
        <v/>
      </c>
      <c r="T124" s="51" t="str" cm="1">
        <f t="array" aca="1" ref="T124" ca="1">IF(IF($R124&lt;&gt;"",
INDIRECT(""&amp;IF(COLUMN(D144)&lt;=26,CHAR(COLUMN(D144)+64),CHAR(INT((COLUMN(D144)-1)/26)+64)&amp;CHAR(MOD(COLUMN(D144)-1,26)+65))&amp;$R124&amp;""),"")=0,"",
IF($R124&lt;&gt;"",
INDIRECT(""&amp;IF(COLUMN(D144)&lt;=26,CHAR(COLUMN(D144)+64),CHAR(INT((COLUMN(D144)-1)/26)+64)&amp;CHAR(MOD(COLUMN(D144)-1,26)+65))&amp;$R124&amp;""),""))</f>
        <v/>
      </c>
      <c r="U124" s="51"/>
      <c r="V124" s="51" t="str">
        <f t="array" aca="1" ref="V124" ca="1">IF($R124&lt;&gt;"",
IF(U124="",
IF(INDIRECT("EY"&amp;$R124&amp;"")&lt;&gt;"",
INDIRECT("EY"&amp;$R124&amp;"")&amp;"箱"
&amp;INDIRECT("EZ"&amp;$R124&amp;""),""),""),"")</f>
        <v/>
      </c>
      <c r="W124" s="51" t="str">
        <f t="array" aca="1" ref="W124" ca="1">IF($R124&lt;&gt;"",
INDIRECT(""&amp;IF(COLUMN(H144)&lt;=26,CHAR(COLUMN(H144)+64),CHAR(INT((COLUMN(H144)-1)/26)+64)&amp;CHAR(MOD(COLUMN(H144)-1,26)+65))&amp;$R124&amp;""),"")</f>
        <v/>
      </c>
      <c r="X124" s="51" t="str">
        <f t="array" aca="1" ref="X124" ca="1">IF($R124&lt;&gt;"",
INDIRECT(""&amp;IF(COLUMN(I144)&lt;=26,CHAR(COLUMN(I144)+64),CHAR(INT((COLUMN(I144)-1)/26)+64)&amp;CHAR(MOD(COLUMN(I144)-1,26)+65))&amp;$R124&amp;""),"")</f>
        <v/>
      </c>
      <c r="Y124" s="51" t="str">
        <f t="array" aca="1" ref="Y124" ca="1">IF($R124&lt;&gt;"",
INDIRECT(""&amp;IF(COLUMN(J144)&lt;=26,CHAR(COLUMN(J144)+64),CHAR(INT((COLUMN(J144)-1)/26)+64)&amp;CHAR(MOD(COLUMN(J144)-1,26)+65))&amp;$R124&amp;""),"")</f>
        <v/>
      </c>
      <c r="Z124" s="51" t="str">
        <f t="array" aca="1" ref="Z124" ca="1">IF($R124&lt;&gt;"",
INDIRECT(""&amp;IF(COLUMN(K144)&lt;=26,CHAR(COLUMN(K144)+64),CHAR(INT((COLUMN(K144)-1)/26)+64)&amp;CHAR(MOD(COLUMN(K144)-1,26)+65))&amp;$R124&amp;""),"")</f>
        <v/>
      </c>
      <c r="AA124" s="51" t="str">
        <f t="array" aca="1" ref="AA124" ca="1">IF($R124&lt;&gt;"",
INDIRECT(""&amp;IF(COLUMN(L144)&lt;=26,CHAR(COLUMN(L144)+64),CHAR(INT((COLUMN(L144)-1)/26)+64)&amp;CHAR(MOD(COLUMN(L144)-1,26)+65))&amp;$R124&amp;""),"")</f>
        <v/>
      </c>
      <c r="AB124" s="51" t="str">
        <f t="array" aca="1" ref="AB124" ca="1">IF($R124&lt;&gt;"",
INDIRECT(""&amp;IF(COLUMN(O144)&lt;=26,CHAR(COLUMN(O144)+64),CHAR(INT((COLUMN(O144)-1)/26)+64)&amp;CHAR(MOD(COLUMN(O144)-1,26)+65))&amp;$R124&amp;""),"")</f>
        <v/>
      </c>
    </row>
    <row r="125" spans="1:28" ht="22.2" customHeight="1">
      <c r="A125" s="199">
        <f t="shared" si="29"/>
        <v>115</v>
      </c>
      <c r="B125" s="200" t="e" cm="1">
        <f t="array" aca="1" ref="B125" ca="1">IF(AND(LEFT(C125,2)="博多",
LEFT(INDIRECT("数出表_Excel!A"&amp;MATCH(C125,数出表_Excel!$A:$A,0)-1),2)
=LEFT(INDIRECT("数出表_Excel!A"&amp;MATCH(C125,数出表_Excel!$A:$A,0)+1),2)),"博多",
IF(AND(LEFT(C125,3)="奈良屋",
LEFT(INDIRECT("数出表_Excel!A"&amp;MATCH(C125,数出表_Excel!$A:$A,0)-1),2)
=LEFT(INDIRECT("数出表_Excel!A"&amp;MATCH(C125,数出表_Excel!$A:$A,0)+1),2)),"奈良屋",""))</f>
        <v>#N/A</v>
      </c>
      <c r="C125" s="200" t="str" cm="1">
        <f t="array" aca="1" ref="C125" ca="1">IF(IF(クライアント抽出!A55="",0,LEN(クライアント抽出!V55)-LEN(SUBSTITUTE(クライアント抽出!V55,",","")))&gt;=2,INDIRECT("数出表_Excel!A"&amp;A125&amp;""),"")</f>
        <v/>
      </c>
      <c r="D125" s="200" t="str" cm="1">
        <f t="array" aca="1" ref="D125" ca="1">IF(C125&lt;&gt;"",INDIRECT("クライアント抽出!"&amp;E125&amp;MATCH(C125,クライアント抽出!A:A,0)&amp;""),"")</f>
        <v/>
      </c>
      <c r="E125" s="20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201" t="str" cm="1">
        <f t="array" aca="1" ref="F125" ca="1">IF(D125&lt;&gt;"",
IF(COUNTIF(C125,"*雙葉*"),
IF(ROUND(
IF(O125&lt;&gt;"",(H125-O125),H125)
/IF(COUNTIF('盛付札（関数）'!D125,"*キャラ*"),
VLOOKUP("*キャラ*",#REF!,7,FALSE),
IF(COUNTIF('盛付札（関数）'!D125,"*赤*"),
VLOOKUP("*赤*",#REF!,7,FALSE),
VLOOKUP('盛付札（関数）'!D125,#REF!,7,FALSE))),0)&lt;=0,1,
ROUND(
IF(O125&lt;&gt;"",(H125-O125),H125)
/IF(COUNTIF('盛付札（関数）'!D125,"*キャラ*"),
VLOOKUP("*キャラ*",#REF!,7,FALSE),
IF(COUNTIF('盛付札（関数）'!D125,"*赤*"),
VLOOKUP("*赤*",#REF!,7,FALSE),
VLOOKUP('盛付札（関数）'!D125,#REF!,7,FALSE))),0)),
IF(MATCH(TRUE,
ISNUMBER(--INDIRECT("数出表_Excel!B"&amp;MATCH(C125,数出表_Excel!$A:$A,0)-1&amp;":U"&amp;MATCH(C125,数出表_Excel!$A:$A,0)-1&amp;"")),0)&gt;10,
IF(D125&lt;&gt;"",
IF(IF(COUNTIF('盛付札（関数）'!D125,"*キャラ*"),
VLOOKUP("*キャラ*",#REF!,7,FALSE),
IF(COUNTIF('盛付札（関数）'!D125,"*赤*"),
VLOOKUP("*赤*",#REF!,7,FALSE),
VLOOKUP('盛付札（関数）'!D125,#REF!,7,FALSE)))=0,"",
IF(ROUND(
IF(O125&lt;&gt;"",(H125-O125),H125)
/IF(COUNTIF('盛付札（関数）'!D125,"*キャラ*"),
VLOOKUP("*キャラ*",#REF!,7,FALSE),
IF(COUNTIF('盛付札（関数）'!D125,"*赤*"),
VLOOKUP("*赤*",#REF!,7,FALSE),
VLOOKUP('盛付札（関数）'!D125,#REF!,7,FALSE))),0)&lt;=0,1,
ROUND(
IF(O125&lt;&gt;"",(H125-O125),H125)
/IF(COUNTIF('盛付札（関数）'!D125,"*キャラ*"),
VLOOKUP("*キャラ*",#REF!,7,FALSE),
IF(COUNTIF('盛付札（関数）'!D125,"*赤*"),
VLOOKUP("*赤*",#REF!,7,FALSE),
VLOOKUP('盛付札（関数）'!D125,#REF!,7,FALSE))),0))),""),"")),"")</f>
        <v/>
      </c>
      <c r="G125" s="201" t="str">
        <f ca="1">IF(F125&lt;&gt;"",IF(VALUE(IF(O125&lt;&gt;"",H125-O125,H125))&gt;VALUE(IF(COUNTIF('盛付札（関数）'!D125,"*キャラ*"),
VLOOKUP("*キャラ*",#REF!,7,FALSE),
IF(COUNTIF('盛付札（関数）'!D125,"*赤*"),
VLOOKUP("*赤*",#REF!,7,FALSE),
VLOOKUP('盛付札（関数）'!D125,#REF!,7,FALSE)))*F125),
"+"&amp;IF(O125&lt;&gt;"",H125-O125,H125)-IF(COUNTIF('盛付札（関数）'!D125,"*キャラ*"),
VLOOKUP("*キャラ*",#REF!,7,FALSE),
IF(COUNTIF('盛付札（関数）'!D125,"*赤*"),
VLOOKUP("*赤*",#REF!,7,FALSE),
VLOOKUP('盛付札（関数）'!D125,#REF!,7,FALSE)))*F125,
IF(O125&lt;&gt;"",H125-O125,H125)-IF(COUNTIF('盛付札（関数）'!D125,"*キャラ*"),
VLOOKUP("*キャラ*",#REF!,7,FALSE),
IF(COUNTIF('盛付札（関数）'!D125,"*赤*"),
VLOOKUP("*赤*",#REF!,7,FALSE),
VLOOKUP('盛付札（関数）'!D125,#REF!,7,FALSE)))*F125),"")</f>
        <v/>
      </c>
      <c r="H125" s="202" t="str" cm="1">
        <f t="array" aca="1" ref="H125" ca="1">IF(C125&lt;&gt;"",
IF(INDIRECT("数出表_Excel!"&amp;IFERROR(MID(クライアント抽出!V55,FIND(",",クライアント抽出!V55)+1,1),"")&amp;A125-1&amp;"")&lt;&gt;"",
INDIRECT("数出表_Excel!"&amp;IFERROR(MID(クライアント抽出!V55,FIND(",",クライアント抽出!V55)+1,1),"")&amp;A125-1&amp;""),0),"")</f>
        <v/>
      </c>
      <c r="I125" s="200" t="str" cm="1">
        <f t="array" aca="1" ref="I125" ca="1">IF(C125&lt;&gt;"",
IF(INDIRECT("数出表_Excel!"&amp;IFERROR(MID(クライアント抽出!V55,FIND(",",クライアント抽出!V55)+1,1),"")&amp;A125&amp;"")&lt;&gt;"",
INDIRECT("数出表_Excel!"&amp;IFERROR(MID(クライアント抽出!V55,FIND(",",クライアント抽出!V55)+1,1),"")&amp;A125&amp;""),0),"")</f>
        <v/>
      </c>
      <c r="J125" s="200" t="str">
        <f ca="1">IF(C125&lt;&gt;"",
VLOOKUP(
IF(COUNTIF(D125,"*学食*"),"キャラ弁（学食）",
IF(COUNTIF(D125,"*赤*"),"赤",
IF(COUNTIF(D125,"*キャラ弁当*"),"キャラ弁当",D125))),注文弁当の抽出!$E$1:$F$15,2,FALSE),"")</f>
        <v/>
      </c>
      <c r="K125" s="200" t="str">
        <f t="shared" ca="1" si="30"/>
        <v/>
      </c>
      <c r="L125" s="200" t="str">
        <f t="shared" ca="1" si="31"/>
        <v/>
      </c>
      <c r="M125" s="200" cm="1">
        <f t="array" aca="1" ref="M125" ca="1">IF(C125&lt;&gt;"",
IF(IFERROR(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0)&lt;&gt;0,
IF(IFERROR(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"")="",
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""),
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0)),0),0)</f>
        <v>0</v>
      </c>
      <c r="N125" s="200" t="e">
        <f t="array" aca="1" ref="N125" ca="1">IF(B125="博多",
IF(C125&lt;&gt;"",
IF(IFERROR(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0)&lt;&gt;0,
IF(IFERROR(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0)="",
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0),
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0)),0),""),0)</f>
        <v>#N/A</v>
      </c>
      <c r="O125" s="200" t="e">
        <f t="shared" ca="1" si="27"/>
        <v>#N/A</v>
      </c>
      <c r="P125" s="200">
        <f t="shared" ca="1" si="4"/>
        <v>0</v>
      </c>
      <c r="Q125" s="200" t="b">
        <f t="shared" ca="1" si="28"/>
        <v>0</v>
      </c>
      <c r="R125" s="51" t="str" cm="1">
        <f t="array" aca="1" ref="R125" ca="1">IFERROR(SMALL(IF(P$1:P$300&lt;&gt;0,P$1:P$300),ROW(A125)),"")</f>
        <v/>
      </c>
      <c r="S125" s="51" t="str">
        <f t="array" aca="1" ref="S125" ca="1">IF($R125&lt;&gt;"",
INDIRECT(""&amp;IF(COLUMN(C145)&lt;=26,CHAR(COLUMN(C145)+64),CHAR(INT((COLUMN(C145)-1)/26)+64)&amp;CHAR(MOD(COLUMN(C145)-1,26)+65))&amp;$R125&amp;""),"")</f>
        <v/>
      </c>
      <c r="T125" s="51" t="str" cm="1">
        <f t="array" aca="1" ref="T125" ca="1">IF(IF($R125&lt;&gt;"",
INDIRECT(""&amp;IF(COLUMN(D145)&lt;=26,CHAR(COLUMN(D145)+64),CHAR(INT((COLUMN(D145)-1)/26)+64)&amp;CHAR(MOD(COLUMN(D145)-1,26)+65))&amp;$R125&amp;""),"")=0,"",
IF($R125&lt;&gt;"",
INDIRECT(""&amp;IF(COLUMN(D145)&lt;=26,CHAR(COLUMN(D145)+64),CHAR(INT((COLUMN(D145)-1)/26)+64)&amp;CHAR(MOD(COLUMN(D145)-1,26)+65))&amp;$R125&amp;""),""))</f>
        <v/>
      </c>
      <c r="U125" s="51"/>
      <c r="V125" s="51" t="str">
        <f t="array" aca="1" ref="V125" ca="1">IF($R125&lt;&gt;"",
IF(U125="",
IF(INDIRECT("EY"&amp;$R125&amp;"")&lt;&gt;"",
INDIRECT("EY"&amp;$R125&amp;"")&amp;"箱"
&amp;INDIRECT("EZ"&amp;$R125&amp;""),""),""),"")</f>
        <v/>
      </c>
      <c r="W125" s="51" t="str">
        <f t="array" aca="1" ref="W125" ca="1">IF($R125&lt;&gt;"",
INDIRECT(""&amp;IF(COLUMN(H145)&lt;=26,CHAR(COLUMN(H145)+64),CHAR(INT((COLUMN(H145)-1)/26)+64)&amp;CHAR(MOD(COLUMN(H145)-1,26)+65))&amp;$R125&amp;""),"")</f>
        <v/>
      </c>
      <c r="X125" s="51" t="str">
        <f t="array" aca="1" ref="X125" ca="1">IF($R125&lt;&gt;"",
INDIRECT(""&amp;IF(COLUMN(I145)&lt;=26,CHAR(COLUMN(I145)+64),CHAR(INT((COLUMN(I145)-1)/26)+64)&amp;CHAR(MOD(COLUMN(I145)-1,26)+65))&amp;$R125&amp;""),"")</f>
        <v/>
      </c>
      <c r="Y125" s="51" t="str">
        <f t="array" aca="1" ref="Y125" ca="1">IF($R125&lt;&gt;"",
INDIRECT(""&amp;IF(COLUMN(J145)&lt;=26,CHAR(COLUMN(J145)+64),CHAR(INT((COLUMN(J145)-1)/26)+64)&amp;CHAR(MOD(COLUMN(J145)-1,26)+65))&amp;$R125&amp;""),"")</f>
        <v/>
      </c>
      <c r="Z125" s="51" t="str">
        <f t="array" aca="1" ref="Z125" ca="1">IF($R125&lt;&gt;"",
INDIRECT(""&amp;IF(COLUMN(K145)&lt;=26,CHAR(COLUMN(K145)+64),CHAR(INT((COLUMN(K145)-1)/26)+64)&amp;CHAR(MOD(COLUMN(K145)-1,26)+65))&amp;$R125&amp;""),"")</f>
        <v/>
      </c>
      <c r="AA125" s="51" t="str">
        <f t="array" aca="1" ref="AA125" ca="1">IF($R125&lt;&gt;"",
INDIRECT(""&amp;IF(COLUMN(L145)&lt;=26,CHAR(COLUMN(L145)+64),CHAR(INT((COLUMN(L145)-1)/26)+64)&amp;CHAR(MOD(COLUMN(L145)-1,26)+65))&amp;$R125&amp;""),"")</f>
        <v/>
      </c>
      <c r="AB125" s="51" t="str">
        <f t="array" aca="1" ref="AB125" ca="1">IF($R125&lt;&gt;"",
INDIRECT(""&amp;IF(COLUMN(O145)&lt;=26,CHAR(COLUMN(O145)+64),CHAR(INT((COLUMN(O145)-1)/26)+64)&amp;CHAR(MOD(COLUMN(O145)-1,26)+65))&amp;$R125&amp;""),"")</f>
        <v/>
      </c>
    </row>
    <row r="126" spans="1:28" ht="22.2" customHeight="1">
      <c r="A126" s="199">
        <f t="shared" si="29"/>
        <v>117</v>
      </c>
      <c r="B126" s="200" t="e" cm="1">
        <f t="array" aca="1" ref="B126" ca="1">IF(AND(LEFT(C126,2)="博多",
LEFT(INDIRECT("数出表_Excel!A"&amp;MATCH(C126,数出表_Excel!$A:$A,0)-1),2)
=LEFT(INDIRECT("数出表_Excel!A"&amp;MATCH(C126,数出表_Excel!$A:$A,0)+1),2)),"博多",
IF(AND(LEFT(C126,3)="奈良屋",
LEFT(INDIRECT("数出表_Excel!A"&amp;MATCH(C126,数出表_Excel!$A:$A,0)-1),2)
=LEFT(INDIRECT("数出表_Excel!A"&amp;MATCH(C126,数出表_Excel!$A:$A,0)+1),2)),"奈良屋",""))</f>
        <v>#N/A</v>
      </c>
      <c r="C126" s="200" t="str" cm="1">
        <f t="array" aca="1" ref="C126" ca="1">IF(IF(クライアント抽出!A56="",0,LEN(クライアント抽出!V56)-LEN(SUBSTITUTE(クライアント抽出!V56,",","")))&gt;=2,INDIRECT("数出表_Excel!A"&amp;A126&amp;""),"")</f>
        <v/>
      </c>
      <c r="D126" s="200" t="str" cm="1">
        <f t="array" aca="1" ref="D126" ca="1">IF(C126&lt;&gt;"",INDIRECT("クライアント抽出!"&amp;E126&amp;MATCH(C126,クライアント抽出!A:A,0)&amp;""),"")</f>
        <v/>
      </c>
      <c r="E126" s="20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201" t="str" cm="1">
        <f t="array" aca="1" ref="F126" ca="1">IF(D126&lt;&gt;"",
IF(COUNTIF(C126,"*雙葉*"),
IF(ROUND(
IF(O126&lt;&gt;"",(H126-O126),H126)
/IF(COUNTIF('盛付札（関数）'!D126,"*キャラ*"),
VLOOKUP("*キャラ*",#REF!,7,FALSE),
IF(COUNTIF('盛付札（関数）'!D126,"*赤*"),
VLOOKUP("*赤*",#REF!,7,FALSE),
VLOOKUP('盛付札（関数）'!D126,#REF!,7,FALSE))),0)&lt;=0,1,
ROUND(
IF(O126&lt;&gt;"",(H126-O126),H126)
/IF(COUNTIF('盛付札（関数）'!D126,"*キャラ*"),
VLOOKUP("*キャラ*",#REF!,7,FALSE),
IF(COUNTIF('盛付札（関数）'!D126,"*赤*"),
VLOOKUP("*赤*",#REF!,7,FALSE),
VLOOKUP('盛付札（関数）'!D126,#REF!,7,FALSE))),0)),
IF(MATCH(TRUE,
ISNUMBER(--INDIRECT("数出表_Excel!B"&amp;MATCH(C126,数出表_Excel!$A:$A,0)-1&amp;":U"&amp;MATCH(C126,数出表_Excel!$A:$A,0)-1&amp;"")),0)&gt;10,
IF(D126&lt;&gt;"",
IF(IF(COUNTIF('盛付札（関数）'!D126,"*キャラ*"),
VLOOKUP("*キャラ*",#REF!,7,FALSE),
IF(COUNTIF('盛付札（関数）'!D126,"*赤*"),
VLOOKUP("*赤*",#REF!,7,FALSE),
VLOOKUP('盛付札（関数）'!D126,#REF!,7,FALSE)))=0,"",
IF(ROUND(
IF(O126&lt;&gt;"",(H126-O126),H126)
/IF(COUNTIF('盛付札（関数）'!D126,"*キャラ*"),
VLOOKUP("*キャラ*",#REF!,7,FALSE),
IF(COUNTIF('盛付札（関数）'!D126,"*赤*"),
VLOOKUP("*赤*",#REF!,7,FALSE),
VLOOKUP('盛付札（関数）'!D126,#REF!,7,FALSE))),0)&lt;=0,1,
ROUND(
IF(O126&lt;&gt;"",(H126-O126),H126)
/IF(COUNTIF('盛付札（関数）'!D126,"*キャラ*"),
VLOOKUP("*キャラ*",#REF!,7,FALSE),
IF(COUNTIF('盛付札（関数）'!D126,"*赤*"),
VLOOKUP("*赤*",#REF!,7,FALSE),
VLOOKUP('盛付札（関数）'!D126,#REF!,7,FALSE))),0))),""),"")),"")</f>
        <v/>
      </c>
      <c r="G126" s="201" t="str">
        <f ca="1">IF(F126&lt;&gt;"",IF(VALUE(IF(O126&lt;&gt;"",H126-O126,H126))&gt;VALUE(IF(COUNTIF('盛付札（関数）'!D126,"*キャラ*"),
VLOOKUP("*キャラ*",#REF!,7,FALSE),
IF(COUNTIF('盛付札（関数）'!D126,"*赤*"),
VLOOKUP("*赤*",#REF!,7,FALSE),
VLOOKUP('盛付札（関数）'!D126,#REF!,7,FALSE)))*F126),
"+"&amp;IF(O126&lt;&gt;"",H126-O126,H126)-IF(COUNTIF('盛付札（関数）'!D126,"*キャラ*"),
VLOOKUP("*キャラ*",#REF!,7,FALSE),
IF(COUNTIF('盛付札（関数）'!D126,"*赤*"),
VLOOKUP("*赤*",#REF!,7,FALSE),
VLOOKUP('盛付札（関数）'!D126,#REF!,7,FALSE)))*F126,
IF(O126&lt;&gt;"",H126-O126,H126)-IF(COUNTIF('盛付札（関数）'!D126,"*キャラ*"),
VLOOKUP("*キャラ*",#REF!,7,FALSE),
IF(COUNTIF('盛付札（関数）'!D126,"*赤*"),
VLOOKUP("*赤*",#REF!,7,FALSE),
VLOOKUP('盛付札（関数）'!D126,#REF!,7,FALSE)))*F126),"")</f>
        <v/>
      </c>
      <c r="H126" s="202" t="str" cm="1">
        <f t="array" aca="1" ref="H126" ca="1">IF(C126&lt;&gt;"",
IF(INDIRECT("数出表_Excel!"&amp;IFERROR(MID(クライアント抽出!V56,FIND(",",クライアント抽出!V56)+1,1),"")&amp;A126-1&amp;"")&lt;&gt;"",
INDIRECT("数出表_Excel!"&amp;IFERROR(MID(クライアント抽出!V56,FIND(",",クライアント抽出!V56)+1,1),"")&amp;A126-1&amp;""),0),"")</f>
        <v/>
      </c>
      <c r="I126" s="200" t="str" cm="1">
        <f t="array" aca="1" ref="I126" ca="1">IF(C126&lt;&gt;"",
IF(INDIRECT("数出表_Excel!"&amp;IFERROR(MID(クライアント抽出!V56,FIND(",",クライアント抽出!V56)+1,1),"")&amp;A126&amp;"")&lt;&gt;"",
INDIRECT("数出表_Excel!"&amp;IFERROR(MID(クライアント抽出!V56,FIND(",",クライアント抽出!V56)+1,1),"")&amp;A126&amp;""),0),"")</f>
        <v/>
      </c>
      <c r="J126" s="200" t="str">
        <f ca="1">IF(C126&lt;&gt;"",
VLOOKUP(
IF(COUNTIF(D126,"*学食*"),"キャラ弁（学食）",
IF(COUNTIF(D126,"*赤*"),"赤",
IF(COUNTIF(D126,"*キャラ弁当*"),"キャラ弁当",D126))),注文弁当の抽出!$E$1:$F$15,2,FALSE),"")</f>
        <v/>
      </c>
      <c r="K126" s="200" t="str">
        <f t="shared" ca="1" si="30"/>
        <v/>
      </c>
      <c r="L126" s="200" t="str">
        <f t="shared" ca="1" si="31"/>
        <v/>
      </c>
      <c r="M126" s="200" cm="1">
        <f t="array" aca="1" ref="M126" ca="1">IF(C126&lt;&gt;"",
IF(IFERROR(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0)&lt;&gt;0,
IF(IFERROR(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"")="",
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""),
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0)),0),0)</f>
        <v>0</v>
      </c>
      <c r="N126" s="200" t="e">
        <f t="array" aca="1" ref="N126" ca="1">IF(B126="博多",
IF(C126&lt;&gt;"",
IF(IFERROR(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0)&lt;&gt;0,
IF(IFERROR(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0)="",
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0),
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0)),0),""),0)</f>
        <v>#N/A</v>
      </c>
      <c r="O126" s="200" t="e">
        <f t="shared" ca="1" si="27"/>
        <v>#N/A</v>
      </c>
      <c r="P126" s="200">
        <f t="shared" ca="1" si="4"/>
        <v>0</v>
      </c>
      <c r="Q126" s="200" t="b">
        <f t="shared" ca="1" si="28"/>
        <v>0</v>
      </c>
      <c r="R126" s="51" t="str" cm="1">
        <f t="array" aca="1" ref="R126" ca="1">IFERROR(SMALL(IF(P$1:P$300&lt;&gt;0,P$1:P$300),ROW(A126)),"")</f>
        <v/>
      </c>
      <c r="S126" s="51" t="str">
        <f t="array" aca="1" ref="S126" ca="1">IF($R126&lt;&gt;"",
INDIRECT(""&amp;IF(COLUMN(C146)&lt;=26,CHAR(COLUMN(C146)+64),CHAR(INT((COLUMN(C146)-1)/26)+64)&amp;CHAR(MOD(COLUMN(C146)-1,26)+65))&amp;$R126&amp;""),"")</f>
        <v/>
      </c>
      <c r="T126" s="51" t="str" cm="1">
        <f t="array" aca="1" ref="T126" ca="1">IF(IF($R126&lt;&gt;"",
INDIRECT(""&amp;IF(COLUMN(D146)&lt;=26,CHAR(COLUMN(D146)+64),CHAR(INT((COLUMN(D146)-1)/26)+64)&amp;CHAR(MOD(COLUMN(D146)-1,26)+65))&amp;$R126&amp;""),"")=0,"",
IF($R126&lt;&gt;"",
INDIRECT(""&amp;IF(COLUMN(D146)&lt;=26,CHAR(COLUMN(D146)+64),CHAR(INT((COLUMN(D146)-1)/26)+64)&amp;CHAR(MOD(COLUMN(D146)-1,26)+65))&amp;$R126&amp;""),""))</f>
        <v/>
      </c>
      <c r="U126" s="51"/>
      <c r="V126" s="51" t="str">
        <f t="array" aca="1" ref="V126" ca="1">IF($R126&lt;&gt;"",
IF(U126="",
IF(INDIRECT("EY"&amp;$R126&amp;"")&lt;&gt;"",
INDIRECT("EY"&amp;$R126&amp;"")&amp;"箱"
&amp;INDIRECT("EZ"&amp;$R126&amp;""),""),""),"")</f>
        <v/>
      </c>
      <c r="W126" s="51" t="str">
        <f t="array" aca="1" ref="W126" ca="1">IF($R126&lt;&gt;"",
INDIRECT(""&amp;IF(COLUMN(H146)&lt;=26,CHAR(COLUMN(H146)+64),CHAR(INT((COLUMN(H146)-1)/26)+64)&amp;CHAR(MOD(COLUMN(H146)-1,26)+65))&amp;$R126&amp;""),"")</f>
        <v/>
      </c>
      <c r="X126" s="51" t="str">
        <f t="array" aca="1" ref="X126" ca="1">IF($R126&lt;&gt;"",
INDIRECT(""&amp;IF(COLUMN(I146)&lt;=26,CHAR(COLUMN(I146)+64),CHAR(INT((COLUMN(I146)-1)/26)+64)&amp;CHAR(MOD(COLUMN(I146)-1,26)+65))&amp;$R126&amp;""),"")</f>
        <v/>
      </c>
      <c r="Y126" s="51" t="str">
        <f t="array" aca="1" ref="Y126" ca="1">IF($R126&lt;&gt;"",
INDIRECT(""&amp;IF(COLUMN(J146)&lt;=26,CHAR(COLUMN(J146)+64),CHAR(INT((COLUMN(J146)-1)/26)+64)&amp;CHAR(MOD(COLUMN(J146)-1,26)+65))&amp;$R126&amp;""),"")</f>
        <v/>
      </c>
      <c r="Z126" s="51" t="str">
        <f t="array" aca="1" ref="Z126" ca="1">IF($R126&lt;&gt;"",
INDIRECT(""&amp;IF(COLUMN(K146)&lt;=26,CHAR(COLUMN(K146)+64),CHAR(INT((COLUMN(K146)-1)/26)+64)&amp;CHAR(MOD(COLUMN(K146)-1,26)+65))&amp;$R126&amp;""),"")</f>
        <v/>
      </c>
      <c r="AA126" s="51" t="str">
        <f t="array" aca="1" ref="AA126" ca="1">IF($R126&lt;&gt;"",
INDIRECT(""&amp;IF(COLUMN(L146)&lt;=26,CHAR(COLUMN(L146)+64),CHAR(INT((COLUMN(L146)-1)/26)+64)&amp;CHAR(MOD(COLUMN(L146)-1,26)+65))&amp;$R126&amp;""),"")</f>
        <v/>
      </c>
      <c r="AB126" s="51" t="str">
        <f t="array" aca="1" ref="AB126" ca="1">IF($R126&lt;&gt;"",
INDIRECT(""&amp;IF(COLUMN(O146)&lt;=26,CHAR(COLUMN(O146)+64),CHAR(INT((COLUMN(O146)-1)/26)+64)&amp;CHAR(MOD(COLUMN(O146)-1,26)+65))&amp;$R126&amp;""),"")</f>
        <v/>
      </c>
    </row>
    <row r="127" spans="1:28" ht="22.2" customHeight="1">
      <c r="A127" s="199">
        <f t="shared" si="29"/>
        <v>119</v>
      </c>
      <c r="B127" s="200" t="e" cm="1">
        <f t="array" aca="1" ref="B127" ca="1">IF(AND(LEFT(C127,2)="博多",
LEFT(INDIRECT("数出表_Excel!A"&amp;MATCH(C127,数出表_Excel!$A:$A,0)-1),2)
=LEFT(INDIRECT("数出表_Excel!A"&amp;MATCH(C127,数出表_Excel!$A:$A,0)+1),2)),"博多",
IF(AND(LEFT(C127,3)="奈良屋",
LEFT(INDIRECT("数出表_Excel!A"&amp;MATCH(C127,数出表_Excel!$A:$A,0)-1),2)
=LEFT(INDIRECT("数出表_Excel!A"&amp;MATCH(C127,数出表_Excel!$A:$A,0)+1),2)),"奈良屋",""))</f>
        <v>#N/A</v>
      </c>
      <c r="C127" s="200" t="str" cm="1">
        <f t="array" aca="1" ref="C127" ca="1">IF(IF(クライアント抽出!A57="",0,LEN(クライアント抽出!V57)-LEN(SUBSTITUTE(クライアント抽出!V57,",","")))&gt;=2,INDIRECT("数出表_Excel!A"&amp;A127&amp;""),"")</f>
        <v/>
      </c>
      <c r="D127" s="200" t="str" cm="1">
        <f t="array" aca="1" ref="D127" ca="1">IF(C127&lt;&gt;"",INDIRECT("クライアント抽出!"&amp;E127&amp;MATCH(C127,クライアント抽出!A:A,0)&amp;""),"")</f>
        <v/>
      </c>
      <c r="E127" s="20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201" t="str" cm="1">
        <f t="array" aca="1" ref="F127" ca="1">IF(D127&lt;&gt;"",
IF(COUNTIF(C127,"*雙葉*"),
IF(ROUND(
IF(O127&lt;&gt;"",(H127-O127),H127)
/IF(COUNTIF('盛付札（関数）'!D127,"*キャラ*"),
VLOOKUP("*キャラ*",#REF!,7,FALSE),
IF(COUNTIF('盛付札（関数）'!D127,"*赤*"),
VLOOKUP("*赤*",#REF!,7,FALSE),
VLOOKUP('盛付札（関数）'!D127,#REF!,7,FALSE))),0)&lt;=0,1,
ROUND(
IF(O127&lt;&gt;"",(H127-O127),H127)
/IF(COUNTIF('盛付札（関数）'!D127,"*キャラ*"),
VLOOKUP("*キャラ*",#REF!,7,FALSE),
IF(COUNTIF('盛付札（関数）'!D127,"*赤*"),
VLOOKUP("*赤*",#REF!,7,FALSE),
VLOOKUP('盛付札（関数）'!D127,#REF!,7,FALSE))),0)),
IF(MATCH(TRUE,
ISNUMBER(--INDIRECT("数出表_Excel!B"&amp;MATCH(C127,数出表_Excel!$A:$A,0)-1&amp;":U"&amp;MATCH(C127,数出表_Excel!$A:$A,0)-1&amp;"")),0)&gt;10,
IF(D127&lt;&gt;"",
IF(IF(COUNTIF('盛付札（関数）'!D127,"*キャラ*"),
VLOOKUP("*キャラ*",#REF!,7,FALSE),
IF(COUNTIF('盛付札（関数）'!D127,"*赤*"),
VLOOKUP("*赤*",#REF!,7,FALSE),
VLOOKUP('盛付札（関数）'!D127,#REF!,7,FALSE)))=0,"",
IF(ROUND(
IF(O127&lt;&gt;"",(H127-O127),H127)
/IF(COUNTIF('盛付札（関数）'!D127,"*キャラ*"),
VLOOKUP("*キャラ*",#REF!,7,FALSE),
IF(COUNTIF('盛付札（関数）'!D127,"*赤*"),
VLOOKUP("*赤*",#REF!,7,FALSE),
VLOOKUP('盛付札（関数）'!D127,#REF!,7,FALSE))),0)&lt;=0,1,
ROUND(
IF(O127&lt;&gt;"",(H127-O127),H127)
/IF(COUNTIF('盛付札（関数）'!D127,"*キャラ*"),
VLOOKUP("*キャラ*",#REF!,7,FALSE),
IF(COUNTIF('盛付札（関数）'!D127,"*赤*"),
VLOOKUP("*赤*",#REF!,7,FALSE),
VLOOKUP('盛付札（関数）'!D127,#REF!,7,FALSE))),0))),""),"")),"")</f>
        <v/>
      </c>
      <c r="G127" s="201" t="str">
        <f ca="1">IF(F127&lt;&gt;"",IF(VALUE(IF(O127&lt;&gt;"",H127-O127,H127))&gt;VALUE(IF(COUNTIF('盛付札（関数）'!D127,"*キャラ*"),
VLOOKUP("*キャラ*",#REF!,7,FALSE),
IF(COUNTIF('盛付札（関数）'!D127,"*赤*"),
VLOOKUP("*赤*",#REF!,7,FALSE),
VLOOKUP('盛付札（関数）'!D127,#REF!,7,FALSE)))*F127),
"+"&amp;IF(O127&lt;&gt;"",H127-O127,H127)-IF(COUNTIF('盛付札（関数）'!D127,"*キャラ*"),
VLOOKUP("*キャラ*",#REF!,7,FALSE),
IF(COUNTIF('盛付札（関数）'!D127,"*赤*"),
VLOOKUP("*赤*",#REF!,7,FALSE),
VLOOKUP('盛付札（関数）'!D127,#REF!,7,FALSE)))*F127,
IF(O127&lt;&gt;"",H127-O127,H127)-IF(COUNTIF('盛付札（関数）'!D127,"*キャラ*"),
VLOOKUP("*キャラ*",#REF!,7,FALSE),
IF(COUNTIF('盛付札（関数）'!D127,"*赤*"),
VLOOKUP("*赤*",#REF!,7,FALSE),
VLOOKUP('盛付札（関数）'!D127,#REF!,7,FALSE)))*F127),"")</f>
        <v/>
      </c>
      <c r="H127" s="202" t="str" cm="1">
        <f t="array" aca="1" ref="H127" ca="1">IF(C127&lt;&gt;"",
IF(INDIRECT("数出表_Excel!"&amp;IFERROR(MID(クライアント抽出!V57,FIND(",",クライアント抽出!V57)+1,1),"")&amp;A127-1&amp;"")&lt;&gt;"",
INDIRECT("数出表_Excel!"&amp;IFERROR(MID(クライアント抽出!V57,FIND(",",クライアント抽出!V57)+1,1),"")&amp;A127-1&amp;""),0),"")</f>
        <v/>
      </c>
      <c r="I127" s="200" t="str" cm="1">
        <f t="array" aca="1" ref="I127" ca="1">IF(C127&lt;&gt;"",
IF(INDIRECT("数出表_Excel!"&amp;IFERROR(MID(クライアント抽出!V57,FIND(",",クライアント抽出!V57)+1,1),"")&amp;A127&amp;"")&lt;&gt;"",
INDIRECT("数出表_Excel!"&amp;IFERROR(MID(クライアント抽出!V57,FIND(",",クライアント抽出!V57)+1,1),"")&amp;A127&amp;""),0),"")</f>
        <v/>
      </c>
      <c r="J127" s="200" t="str">
        <f ca="1">IF(C127&lt;&gt;"",
VLOOKUP(
IF(COUNTIF(D127,"*学食*"),"キャラ弁（学食）",
IF(COUNTIF(D127,"*赤*"),"赤",
IF(COUNTIF(D127,"*キャラ弁当*"),"キャラ弁当",D127))),注文弁当の抽出!$E$1:$F$15,2,FALSE),"")</f>
        <v/>
      </c>
      <c r="K127" s="200" t="str">
        <f t="shared" ca="1" si="30"/>
        <v/>
      </c>
      <c r="L127" s="200" t="str">
        <f t="shared" ca="1" si="31"/>
        <v/>
      </c>
      <c r="M127" s="200" cm="1">
        <f t="array" aca="1" ref="M127" ca="1">IF(C127&lt;&gt;"",
IF(IFERROR(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0)&lt;&gt;0,
IF(IFERROR(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"")="",
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""),
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0)),0),0)</f>
        <v>0</v>
      </c>
      <c r="N127" s="200" t="e">
        <f t="array" aca="1" ref="N127" ca="1">IF(B127="博多",
IF(C127&lt;&gt;"",
IF(IFERROR(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0)&lt;&gt;0,
IF(IFERROR(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0)="",
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0),
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0)),0),""),0)</f>
        <v>#N/A</v>
      </c>
      <c r="O127" s="200" t="e">
        <f t="shared" ref="O127:O140" ca="1" si="32">M127+N127</f>
        <v>#N/A</v>
      </c>
      <c r="P127" s="200">
        <f t="shared" ca="1" si="4"/>
        <v>0</v>
      </c>
      <c r="Q127" s="200" t="b">
        <f t="shared" ref="Q127:Q140" ca="1" si="33">IF(C127&lt;&gt;"",TRUE,FALSE)</f>
        <v>0</v>
      </c>
      <c r="R127" s="51" t="str" cm="1">
        <f t="array" aca="1" ref="R127" ca="1">IFERROR(SMALL(IF(P$1:P$300&lt;&gt;0,P$1:P$300),ROW(A127)),"")</f>
        <v/>
      </c>
      <c r="S127" s="51" t="str">
        <f t="array" aca="1" ref="S127" ca="1">IF($R127&lt;&gt;"",
INDIRECT(""&amp;IF(COLUMN(C147)&lt;=26,CHAR(COLUMN(C147)+64),CHAR(INT((COLUMN(C147)-1)/26)+64)&amp;CHAR(MOD(COLUMN(C147)-1,26)+65))&amp;$R127&amp;""),"")</f>
        <v/>
      </c>
      <c r="T127" s="51" t="str" cm="1">
        <f t="array" aca="1" ref="T127" ca="1">IF(IF($R127&lt;&gt;"",
INDIRECT(""&amp;IF(COLUMN(D147)&lt;=26,CHAR(COLUMN(D147)+64),CHAR(INT((COLUMN(D147)-1)/26)+64)&amp;CHAR(MOD(COLUMN(D147)-1,26)+65))&amp;$R127&amp;""),"")=0,"",
IF($R127&lt;&gt;"",
INDIRECT(""&amp;IF(COLUMN(D147)&lt;=26,CHAR(COLUMN(D147)+64),CHAR(INT((COLUMN(D147)-1)/26)+64)&amp;CHAR(MOD(COLUMN(D147)-1,26)+65))&amp;$R127&amp;""),""))</f>
        <v/>
      </c>
      <c r="U127" s="51"/>
      <c r="V127" s="51" t="str">
        <f t="array" aca="1" ref="V127" ca="1">IF($R127&lt;&gt;"",
IF(U127="",
IF(INDIRECT("EY"&amp;$R127&amp;"")&lt;&gt;"",
INDIRECT("EY"&amp;$R127&amp;"")&amp;"箱"
&amp;INDIRECT("EZ"&amp;$R127&amp;""),""),""),"")</f>
        <v/>
      </c>
      <c r="W127" s="51" t="str">
        <f t="array" aca="1" ref="W127" ca="1">IF($R127&lt;&gt;"",
INDIRECT(""&amp;IF(COLUMN(H147)&lt;=26,CHAR(COLUMN(H147)+64),CHAR(INT((COLUMN(H147)-1)/26)+64)&amp;CHAR(MOD(COLUMN(H147)-1,26)+65))&amp;$R127&amp;""),"")</f>
        <v/>
      </c>
      <c r="X127" s="51" t="str">
        <f t="array" aca="1" ref="X127" ca="1">IF($R127&lt;&gt;"",
INDIRECT(""&amp;IF(COLUMN(I147)&lt;=26,CHAR(COLUMN(I147)+64),CHAR(INT((COLUMN(I147)-1)/26)+64)&amp;CHAR(MOD(COLUMN(I147)-1,26)+65))&amp;$R127&amp;""),"")</f>
        <v/>
      </c>
      <c r="Y127" s="51" t="str">
        <f t="array" aca="1" ref="Y127" ca="1">IF($R127&lt;&gt;"",
INDIRECT(""&amp;IF(COLUMN(J147)&lt;=26,CHAR(COLUMN(J147)+64),CHAR(INT((COLUMN(J147)-1)/26)+64)&amp;CHAR(MOD(COLUMN(J147)-1,26)+65))&amp;$R127&amp;""),"")</f>
        <v/>
      </c>
      <c r="Z127" s="51" t="str">
        <f t="array" aca="1" ref="Z127" ca="1">IF($R127&lt;&gt;"",
INDIRECT(""&amp;IF(COLUMN(K147)&lt;=26,CHAR(COLUMN(K147)+64),CHAR(INT((COLUMN(K147)-1)/26)+64)&amp;CHAR(MOD(COLUMN(K147)-1,26)+65))&amp;$R127&amp;""),"")</f>
        <v/>
      </c>
      <c r="AA127" s="51" t="str">
        <f t="array" aca="1" ref="AA127" ca="1">IF($R127&lt;&gt;"",
INDIRECT(""&amp;IF(COLUMN(L147)&lt;=26,CHAR(COLUMN(L147)+64),CHAR(INT((COLUMN(L147)-1)/26)+64)&amp;CHAR(MOD(COLUMN(L147)-1,26)+65))&amp;$R127&amp;""),"")</f>
        <v/>
      </c>
      <c r="AB127" s="51" t="str">
        <f t="array" aca="1" ref="AB127" ca="1">IF($R127&lt;&gt;"",
INDIRECT(""&amp;IF(COLUMN(O147)&lt;=26,CHAR(COLUMN(O147)+64),CHAR(INT((COLUMN(O147)-1)/26)+64)&amp;CHAR(MOD(COLUMN(O147)-1,26)+65))&amp;$R127&amp;""),"")</f>
        <v/>
      </c>
    </row>
    <row r="128" spans="1:28" ht="22.2" customHeight="1">
      <c r="A128" s="199">
        <f t="shared" si="29"/>
        <v>121</v>
      </c>
      <c r="B128" s="200" t="e" cm="1">
        <f t="array" aca="1" ref="B128" ca="1">IF(AND(LEFT(C128,2)="博多",
LEFT(INDIRECT("数出表_Excel!A"&amp;MATCH(C128,数出表_Excel!$A:$A,0)-1),2)
=LEFT(INDIRECT("数出表_Excel!A"&amp;MATCH(C128,数出表_Excel!$A:$A,0)+1),2)),"博多",
IF(AND(LEFT(C128,3)="奈良屋",
LEFT(INDIRECT("数出表_Excel!A"&amp;MATCH(C128,数出表_Excel!$A:$A,0)-1),2)
=LEFT(INDIRECT("数出表_Excel!A"&amp;MATCH(C128,数出表_Excel!$A:$A,0)+1),2)),"奈良屋",""))</f>
        <v>#N/A</v>
      </c>
      <c r="C128" s="200" t="str" cm="1">
        <f t="array" aca="1" ref="C128" ca="1">IF(IF(クライアント抽出!A58="",0,LEN(クライアント抽出!V58)-LEN(SUBSTITUTE(クライアント抽出!V58,",","")))&gt;=2,INDIRECT("数出表_Excel!A"&amp;A128&amp;""),"")</f>
        <v/>
      </c>
      <c r="D128" s="200" t="str" cm="1">
        <f t="array" aca="1" ref="D128" ca="1">IF(C128&lt;&gt;"",INDIRECT("クライアント抽出!"&amp;E128&amp;MATCH(C128,クライアント抽出!A:A,0)&amp;""),"")</f>
        <v/>
      </c>
      <c r="E128" s="20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201" t="str" cm="1">
        <f t="array" aca="1" ref="F128" ca="1">IF(D128&lt;&gt;"",
IF(COUNTIF(C128,"*雙葉*"),
IF(ROUND(
IF(O128&lt;&gt;"",(H128-O128),H128)
/IF(COUNTIF('盛付札（関数）'!D128,"*キャラ*"),
VLOOKUP("*キャラ*",#REF!,7,FALSE),
IF(COUNTIF('盛付札（関数）'!D128,"*赤*"),
VLOOKUP("*赤*",#REF!,7,FALSE),
VLOOKUP('盛付札（関数）'!D128,#REF!,7,FALSE))),0)&lt;=0,1,
ROUND(
IF(O128&lt;&gt;"",(H128-O128),H128)
/IF(COUNTIF('盛付札（関数）'!D128,"*キャラ*"),
VLOOKUP("*キャラ*",#REF!,7,FALSE),
IF(COUNTIF('盛付札（関数）'!D128,"*赤*"),
VLOOKUP("*赤*",#REF!,7,FALSE),
VLOOKUP('盛付札（関数）'!D128,#REF!,7,FALSE))),0)),
IF(MATCH(TRUE,
ISNUMBER(--INDIRECT("数出表_Excel!B"&amp;MATCH(C128,数出表_Excel!$A:$A,0)-1&amp;":U"&amp;MATCH(C128,数出表_Excel!$A:$A,0)-1&amp;"")),0)&gt;10,
IF(D128&lt;&gt;"",
IF(IF(COUNTIF('盛付札（関数）'!D128,"*キャラ*"),
VLOOKUP("*キャラ*",#REF!,7,FALSE),
IF(COUNTIF('盛付札（関数）'!D128,"*赤*"),
VLOOKUP("*赤*",#REF!,7,FALSE),
VLOOKUP('盛付札（関数）'!D128,#REF!,7,FALSE)))=0,"",
IF(ROUND(
IF(O128&lt;&gt;"",(H128-O128),H128)
/IF(COUNTIF('盛付札（関数）'!D128,"*キャラ*"),
VLOOKUP("*キャラ*",#REF!,7,FALSE),
IF(COUNTIF('盛付札（関数）'!D128,"*赤*"),
VLOOKUP("*赤*",#REF!,7,FALSE),
VLOOKUP('盛付札（関数）'!D128,#REF!,7,FALSE))),0)&lt;=0,1,
ROUND(
IF(O128&lt;&gt;"",(H128-O128),H128)
/IF(COUNTIF('盛付札（関数）'!D128,"*キャラ*"),
VLOOKUP("*キャラ*",#REF!,7,FALSE),
IF(COUNTIF('盛付札（関数）'!D128,"*赤*"),
VLOOKUP("*赤*",#REF!,7,FALSE),
VLOOKUP('盛付札（関数）'!D128,#REF!,7,FALSE))),0))),""),"")),"")</f>
        <v/>
      </c>
      <c r="G128" s="201" t="str">
        <f ca="1">IF(F128&lt;&gt;"",IF(VALUE(IF(O128&lt;&gt;"",H128-O128,H128))&gt;VALUE(IF(COUNTIF('盛付札（関数）'!D128,"*キャラ*"),
VLOOKUP("*キャラ*",#REF!,7,FALSE),
IF(COUNTIF('盛付札（関数）'!D128,"*赤*"),
VLOOKUP("*赤*",#REF!,7,FALSE),
VLOOKUP('盛付札（関数）'!D128,#REF!,7,FALSE)))*F128),
"+"&amp;IF(O128&lt;&gt;"",H128-O128,H128)-IF(COUNTIF('盛付札（関数）'!D128,"*キャラ*"),
VLOOKUP("*キャラ*",#REF!,7,FALSE),
IF(COUNTIF('盛付札（関数）'!D128,"*赤*"),
VLOOKUP("*赤*",#REF!,7,FALSE),
VLOOKUP('盛付札（関数）'!D128,#REF!,7,FALSE)))*F128,
IF(O128&lt;&gt;"",H128-O128,H128)-IF(COUNTIF('盛付札（関数）'!D128,"*キャラ*"),
VLOOKUP("*キャラ*",#REF!,7,FALSE),
IF(COUNTIF('盛付札（関数）'!D128,"*赤*"),
VLOOKUP("*赤*",#REF!,7,FALSE),
VLOOKUP('盛付札（関数）'!D128,#REF!,7,FALSE)))*F128),"")</f>
        <v/>
      </c>
      <c r="H128" s="202" t="str" cm="1">
        <f t="array" aca="1" ref="H128" ca="1">IF(C128&lt;&gt;"",
IF(INDIRECT("数出表_Excel!"&amp;IFERROR(MID(クライアント抽出!V58,FIND(",",クライアント抽出!V58)+1,1),"")&amp;A128-1&amp;"")&lt;&gt;"",
INDIRECT("数出表_Excel!"&amp;IFERROR(MID(クライアント抽出!V58,FIND(",",クライアント抽出!V58)+1,1),"")&amp;A128-1&amp;""),0),"")</f>
        <v/>
      </c>
      <c r="I128" s="200" t="str" cm="1">
        <f t="array" aca="1" ref="I128" ca="1">IF(C128&lt;&gt;"",
IF(INDIRECT("数出表_Excel!"&amp;IFERROR(MID(クライアント抽出!V58,FIND(",",クライアント抽出!V58)+1,1),"")&amp;A128&amp;"")&lt;&gt;"",
INDIRECT("数出表_Excel!"&amp;IFERROR(MID(クライアント抽出!V58,FIND(",",クライアント抽出!V58)+1,1),"")&amp;A128&amp;""),0),"")</f>
        <v/>
      </c>
      <c r="J128" s="200" t="str">
        <f ca="1">IF(C128&lt;&gt;"",
VLOOKUP(
IF(COUNTIF(D128,"*学食*"),"キャラ弁（学食）",
IF(COUNTIF(D128,"*赤*"),"赤",
IF(COUNTIF(D128,"*キャラ弁当*"),"キャラ弁当",D128))),注文弁当の抽出!$E$1:$F$15,2,FALSE),"")</f>
        <v/>
      </c>
      <c r="K128" s="200" t="str">
        <f t="shared" ca="1" si="30"/>
        <v/>
      </c>
      <c r="L128" s="200" t="str">
        <f t="shared" ca="1" si="31"/>
        <v/>
      </c>
      <c r="M128" s="200" cm="1">
        <f t="array" aca="1" ref="M128" ca="1">IF(C128&lt;&gt;"",
IF(IFERROR(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0)&lt;&gt;0,
IF(IFERROR(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"")="",
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""),
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0)),0),0)</f>
        <v>0</v>
      </c>
      <c r="N128" s="200" t="e">
        <f t="array" aca="1" ref="N128" ca="1">IF(B128="博多",
IF(C128&lt;&gt;"",
IF(IFERROR(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0)&lt;&gt;0,
IF(IFERROR(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0)="",
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0),
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0)),0),""),0)</f>
        <v>#N/A</v>
      </c>
      <c r="O128" s="200" t="e">
        <f t="shared" ca="1" si="32"/>
        <v>#N/A</v>
      </c>
      <c r="P128" s="200">
        <f t="shared" ca="1" si="4"/>
        <v>0</v>
      </c>
      <c r="Q128" s="200" t="b">
        <f t="shared" ca="1" si="33"/>
        <v>0</v>
      </c>
      <c r="R128" s="51" t="str" cm="1">
        <f t="array" aca="1" ref="R128" ca="1">IFERROR(SMALL(IF(P$1:P$300&lt;&gt;0,P$1:P$300),ROW(A128)),"")</f>
        <v/>
      </c>
      <c r="S128" s="51" t="str">
        <f t="array" aca="1" ref="S128" ca="1">IF($R128&lt;&gt;"",
INDIRECT(""&amp;IF(COLUMN(C148)&lt;=26,CHAR(COLUMN(C148)+64),CHAR(INT((COLUMN(C148)-1)/26)+64)&amp;CHAR(MOD(COLUMN(C148)-1,26)+65))&amp;$R128&amp;""),"")</f>
        <v/>
      </c>
      <c r="T128" s="51" t="str" cm="1">
        <f t="array" aca="1" ref="T128" ca="1">IF(IF($R128&lt;&gt;"",
INDIRECT(""&amp;IF(COLUMN(D148)&lt;=26,CHAR(COLUMN(D148)+64),CHAR(INT((COLUMN(D148)-1)/26)+64)&amp;CHAR(MOD(COLUMN(D148)-1,26)+65))&amp;$R128&amp;""),"")=0,"",
IF($R128&lt;&gt;"",
INDIRECT(""&amp;IF(COLUMN(D148)&lt;=26,CHAR(COLUMN(D148)+64),CHAR(INT((COLUMN(D148)-1)/26)+64)&amp;CHAR(MOD(COLUMN(D148)-1,26)+65))&amp;$R128&amp;""),""))</f>
        <v/>
      </c>
      <c r="U128" s="51"/>
      <c r="V128" s="51" t="str">
        <f t="array" aca="1" ref="V128" ca="1">IF($R128&lt;&gt;"",
IF(U128="",
IF(INDIRECT("EY"&amp;$R128&amp;"")&lt;&gt;"",
INDIRECT("EY"&amp;$R128&amp;"")&amp;"箱"
&amp;INDIRECT("EZ"&amp;$R128&amp;""),""),""),"")</f>
        <v/>
      </c>
      <c r="W128" s="51" t="str">
        <f t="array" aca="1" ref="W128" ca="1">IF($R128&lt;&gt;"",
INDIRECT(""&amp;IF(COLUMN(H148)&lt;=26,CHAR(COLUMN(H148)+64),CHAR(INT((COLUMN(H148)-1)/26)+64)&amp;CHAR(MOD(COLUMN(H148)-1,26)+65))&amp;$R128&amp;""),"")</f>
        <v/>
      </c>
      <c r="X128" s="51" t="str">
        <f t="array" aca="1" ref="X128" ca="1">IF($R128&lt;&gt;"",
INDIRECT(""&amp;IF(COLUMN(I148)&lt;=26,CHAR(COLUMN(I148)+64),CHAR(INT((COLUMN(I148)-1)/26)+64)&amp;CHAR(MOD(COLUMN(I148)-1,26)+65))&amp;$R128&amp;""),"")</f>
        <v/>
      </c>
      <c r="Y128" s="51" t="str">
        <f t="array" aca="1" ref="Y128" ca="1">IF($R128&lt;&gt;"",
INDIRECT(""&amp;IF(COLUMN(J148)&lt;=26,CHAR(COLUMN(J148)+64),CHAR(INT((COLUMN(J148)-1)/26)+64)&amp;CHAR(MOD(COLUMN(J148)-1,26)+65))&amp;$R128&amp;""),"")</f>
        <v/>
      </c>
      <c r="Z128" s="51" t="str">
        <f t="array" aca="1" ref="Z128" ca="1">IF($R128&lt;&gt;"",
INDIRECT(""&amp;IF(COLUMN(K148)&lt;=26,CHAR(COLUMN(K148)+64),CHAR(INT((COLUMN(K148)-1)/26)+64)&amp;CHAR(MOD(COLUMN(K148)-1,26)+65))&amp;$R128&amp;""),"")</f>
        <v/>
      </c>
      <c r="AA128" s="51" t="str">
        <f t="array" aca="1" ref="AA128" ca="1">IF($R128&lt;&gt;"",
INDIRECT(""&amp;IF(COLUMN(L148)&lt;=26,CHAR(COLUMN(L148)+64),CHAR(INT((COLUMN(L148)-1)/26)+64)&amp;CHAR(MOD(COLUMN(L148)-1,26)+65))&amp;$R128&amp;""),"")</f>
        <v/>
      </c>
      <c r="AB128" s="51" t="str">
        <f t="array" aca="1" ref="AB128" ca="1">IF($R128&lt;&gt;"",
INDIRECT(""&amp;IF(COLUMN(O148)&lt;=26,CHAR(COLUMN(O148)+64),CHAR(INT((COLUMN(O148)-1)/26)+64)&amp;CHAR(MOD(COLUMN(O148)-1,26)+65))&amp;$R128&amp;""),"")</f>
        <v/>
      </c>
    </row>
    <row r="129" spans="1:28" ht="22.2" customHeight="1">
      <c r="A129" s="199">
        <f t="shared" si="29"/>
        <v>123</v>
      </c>
      <c r="B129" s="200" t="e" cm="1">
        <f t="array" aca="1" ref="B129" ca="1">IF(AND(LEFT(C129,2)="博多",
LEFT(INDIRECT("数出表_Excel!A"&amp;MATCH(C129,数出表_Excel!$A:$A,0)-1),2)
=LEFT(INDIRECT("数出表_Excel!A"&amp;MATCH(C129,数出表_Excel!$A:$A,0)+1),2)),"博多",
IF(AND(LEFT(C129,3)="奈良屋",
LEFT(INDIRECT("数出表_Excel!A"&amp;MATCH(C129,数出表_Excel!$A:$A,0)-1),2)
=LEFT(INDIRECT("数出表_Excel!A"&amp;MATCH(C129,数出表_Excel!$A:$A,0)+1),2)),"奈良屋",""))</f>
        <v>#N/A</v>
      </c>
      <c r="C129" s="200" t="str" cm="1">
        <f t="array" aca="1" ref="C129" ca="1">IF(IF(クライアント抽出!A59="",0,LEN(クライアント抽出!V59)-LEN(SUBSTITUTE(クライアント抽出!V59,",","")))&gt;=2,INDIRECT("数出表_Excel!A"&amp;A129&amp;""),"")</f>
        <v/>
      </c>
      <c r="D129" s="200" t="str" cm="1">
        <f t="array" aca="1" ref="D129" ca="1">IF(C129&lt;&gt;"",INDIRECT("クライアント抽出!"&amp;E129&amp;MATCH(C129,クライアント抽出!A:A,0)&amp;""),"")</f>
        <v/>
      </c>
      <c r="E129" s="20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201" t="str" cm="1">
        <f t="array" aca="1" ref="F129" ca="1">IF(D129&lt;&gt;"",
IF(COUNTIF(C129,"*雙葉*"),
IF(ROUND(
IF(O129&lt;&gt;"",(H129-O129),H129)
/IF(COUNTIF('盛付札（関数）'!D129,"*キャラ*"),
VLOOKUP("*キャラ*",#REF!,7,FALSE),
IF(COUNTIF('盛付札（関数）'!D129,"*赤*"),
VLOOKUP("*赤*",#REF!,7,FALSE),
VLOOKUP('盛付札（関数）'!D129,#REF!,7,FALSE))),0)&lt;=0,1,
ROUND(
IF(O129&lt;&gt;"",(H129-O129),H129)
/IF(COUNTIF('盛付札（関数）'!D129,"*キャラ*"),
VLOOKUP("*キャラ*",#REF!,7,FALSE),
IF(COUNTIF('盛付札（関数）'!D129,"*赤*"),
VLOOKUP("*赤*",#REF!,7,FALSE),
VLOOKUP('盛付札（関数）'!D129,#REF!,7,FALSE))),0)),
IF(MATCH(TRUE,
ISNUMBER(--INDIRECT("数出表_Excel!B"&amp;MATCH(C129,数出表_Excel!$A:$A,0)-1&amp;":U"&amp;MATCH(C129,数出表_Excel!$A:$A,0)-1&amp;"")),0)&gt;10,
IF(D129&lt;&gt;"",
IF(IF(COUNTIF('盛付札（関数）'!D129,"*キャラ*"),
VLOOKUP("*キャラ*",#REF!,7,FALSE),
IF(COUNTIF('盛付札（関数）'!D129,"*赤*"),
VLOOKUP("*赤*",#REF!,7,FALSE),
VLOOKUP('盛付札（関数）'!D129,#REF!,7,FALSE)))=0,"",
IF(ROUND(
IF(O129&lt;&gt;"",(H129-O129),H129)
/IF(COUNTIF('盛付札（関数）'!D129,"*キャラ*"),
VLOOKUP("*キャラ*",#REF!,7,FALSE),
IF(COUNTIF('盛付札（関数）'!D129,"*赤*"),
VLOOKUP("*赤*",#REF!,7,FALSE),
VLOOKUP('盛付札（関数）'!D129,#REF!,7,FALSE))),0)&lt;=0,1,
ROUND(
IF(O129&lt;&gt;"",(H129-O129),H129)
/IF(COUNTIF('盛付札（関数）'!D129,"*キャラ*"),
VLOOKUP("*キャラ*",#REF!,7,FALSE),
IF(COUNTIF('盛付札（関数）'!D129,"*赤*"),
VLOOKUP("*赤*",#REF!,7,FALSE),
VLOOKUP('盛付札（関数）'!D129,#REF!,7,FALSE))),0))),""),"")),"")</f>
        <v/>
      </c>
      <c r="G129" s="201" t="str">
        <f ca="1">IF(F129&lt;&gt;"",IF(VALUE(IF(O129&lt;&gt;"",H129-O129,H129))&gt;VALUE(IF(COUNTIF('盛付札（関数）'!D129,"*キャラ*"),
VLOOKUP("*キャラ*",#REF!,7,FALSE),
IF(COUNTIF('盛付札（関数）'!D129,"*赤*"),
VLOOKUP("*赤*",#REF!,7,FALSE),
VLOOKUP('盛付札（関数）'!D129,#REF!,7,FALSE)))*F129),
"+"&amp;IF(O129&lt;&gt;"",H129-O129,H129)-IF(COUNTIF('盛付札（関数）'!D129,"*キャラ*"),
VLOOKUP("*キャラ*",#REF!,7,FALSE),
IF(COUNTIF('盛付札（関数）'!D129,"*赤*"),
VLOOKUP("*赤*",#REF!,7,FALSE),
VLOOKUP('盛付札（関数）'!D129,#REF!,7,FALSE)))*F129,
IF(O129&lt;&gt;"",H129-O129,H129)-IF(COUNTIF('盛付札（関数）'!D129,"*キャラ*"),
VLOOKUP("*キャラ*",#REF!,7,FALSE),
IF(COUNTIF('盛付札（関数）'!D129,"*赤*"),
VLOOKUP("*赤*",#REF!,7,FALSE),
VLOOKUP('盛付札（関数）'!D129,#REF!,7,FALSE)))*F129),"")</f>
        <v/>
      </c>
      <c r="H129" s="202" t="str" cm="1">
        <f t="array" aca="1" ref="H129" ca="1">IF(C129&lt;&gt;"",
IF(INDIRECT("数出表_Excel!"&amp;IFERROR(MID(クライアント抽出!V59,FIND(",",クライアント抽出!V59)+1,1),"")&amp;A129-1&amp;"")&lt;&gt;"",
INDIRECT("数出表_Excel!"&amp;IFERROR(MID(クライアント抽出!V59,FIND(",",クライアント抽出!V59)+1,1),"")&amp;A129-1&amp;""),0),"")</f>
        <v/>
      </c>
      <c r="I129" s="200" t="str" cm="1">
        <f t="array" aca="1" ref="I129" ca="1">IF(C129&lt;&gt;"",
IF(INDIRECT("数出表_Excel!"&amp;IFERROR(MID(クライアント抽出!V59,FIND(",",クライアント抽出!V59)+1,1),"")&amp;A129&amp;"")&lt;&gt;"",
INDIRECT("数出表_Excel!"&amp;IFERROR(MID(クライアント抽出!V59,FIND(",",クライアント抽出!V59)+1,1),"")&amp;A129&amp;""),0),"")</f>
        <v/>
      </c>
      <c r="J129" s="200" t="str">
        <f ca="1">IF(C129&lt;&gt;"",
VLOOKUP(
IF(COUNTIF(D129,"*学食*"),"キャラ弁（学食）",
IF(COUNTIF(D129,"*赤*"),"赤",
IF(COUNTIF(D129,"*キャラ弁当*"),"キャラ弁当",D129))),注文弁当の抽出!$E$1:$F$15,2,FALSE),"")</f>
        <v/>
      </c>
      <c r="K129" s="200" t="str">
        <f t="shared" ca="1" si="30"/>
        <v/>
      </c>
      <c r="L129" s="200" t="str">
        <f t="shared" ca="1" si="31"/>
        <v/>
      </c>
      <c r="M129" s="200" cm="1">
        <f t="array" aca="1" ref="M129" ca="1">IF(C129&lt;&gt;"",
IF(IFERROR(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0)&lt;&gt;0,
IF(IFERROR(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"")="",
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""),
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0)),0),0)</f>
        <v>0</v>
      </c>
      <c r="N129" s="200" t="e">
        <f t="array" aca="1" ref="N129" ca="1">IF(B129="博多",
IF(C129&lt;&gt;"",
IF(IFERROR(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0)&lt;&gt;0,
IF(IFERROR(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0)="",
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0),
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0)),0),""),0)</f>
        <v>#N/A</v>
      </c>
      <c r="O129" s="200" t="e">
        <f t="shared" ca="1" si="32"/>
        <v>#N/A</v>
      </c>
      <c r="P129" s="200">
        <f t="shared" ca="1" si="4"/>
        <v>0</v>
      </c>
      <c r="Q129" s="200" t="b">
        <f t="shared" ca="1" si="33"/>
        <v>0</v>
      </c>
      <c r="R129" s="51" t="str" cm="1">
        <f t="array" aca="1" ref="R129" ca="1">IFERROR(SMALL(IF(P$1:P$300&lt;&gt;0,P$1:P$300),ROW(A129)),"")</f>
        <v/>
      </c>
      <c r="S129" s="51" t="str">
        <f t="array" aca="1" ref="S129" ca="1">IF($R129&lt;&gt;"",
INDIRECT(""&amp;IF(COLUMN(C149)&lt;=26,CHAR(COLUMN(C149)+64),CHAR(INT((COLUMN(C149)-1)/26)+64)&amp;CHAR(MOD(COLUMN(C149)-1,26)+65))&amp;$R129&amp;""),"")</f>
        <v/>
      </c>
      <c r="T129" s="51" t="str" cm="1">
        <f t="array" aca="1" ref="T129" ca="1">IF(IF($R129&lt;&gt;"",
INDIRECT(""&amp;IF(COLUMN(D149)&lt;=26,CHAR(COLUMN(D149)+64),CHAR(INT((COLUMN(D149)-1)/26)+64)&amp;CHAR(MOD(COLUMN(D149)-1,26)+65))&amp;$R129&amp;""),"")=0,"",
IF($R129&lt;&gt;"",
INDIRECT(""&amp;IF(COLUMN(D149)&lt;=26,CHAR(COLUMN(D149)+64),CHAR(INT((COLUMN(D149)-1)/26)+64)&amp;CHAR(MOD(COLUMN(D149)-1,26)+65))&amp;$R129&amp;""),""))</f>
        <v/>
      </c>
      <c r="U129" s="51"/>
      <c r="V129" s="51" t="str">
        <f t="array" aca="1" ref="V129" ca="1">IF($R129&lt;&gt;"",
IF(U129="",
IF(INDIRECT("EY"&amp;$R129&amp;"")&lt;&gt;"",
INDIRECT("EY"&amp;$R129&amp;"")&amp;"箱"
&amp;INDIRECT("EZ"&amp;$R129&amp;""),""),""),"")</f>
        <v/>
      </c>
      <c r="W129" s="51" t="str">
        <f t="array" aca="1" ref="W129" ca="1">IF($R129&lt;&gt;"",
INDIRECT(""&amp;IF(COLUMN(H149)&lt;=26,CHAR(COLUMN(H149)+64),CHAR(INT((COLUMN(H149)-1)/26)+64)&amp;CHAR(MOD(COLUMN(H149)-1,26)+65))&amp;$R129&amp;""),"")</f>
        <v/>
      </c>
      <c r="X129" s="51" t="str">
        <f t="array" aca="1" ref="X129" ca="1">IF($R129&lt;&gt;"",
INDIRECT(""&amp;IF(COLUMN(I149)&lt;=26,CHAR(COLUMN(I149)+64),CHAR(INT((COLUMN(I149)-1)/26)+64)&amp;CHAR(MOD(COLUMN(I149)-1,26)+65))&amp;$R129&amp;""),"")</f>
        <v/>
      </c>
      <c r="Y129" s="51" t="str">
        <f t="array" aca="1" ref="Y129" ca="1">IF($R129&lt;&gt;"",
INDIRECT(""&amp;IF(COLUMN(J149)&lt;=26,CHAR(COLUMN(J149)+64),CHAR(INT((COLUMN(J149)-1)/26)+64)&amp;CHAR(MOD(COLUMN(J149)-1,26)+65))&amp;$R129&amp;""),"")</f>
        <v/>
      </c>
      <c r="Z129" s="51" t="str">
        <f t="array" aca="1" ref="Z129" ca="1">IF($R129&lt;&gt;"",
INDIRECT(""&amp;IF(COLUMN(K149)&lt;=26,CHAR(COLUMN(K149)+64),CHAR(INT((COLUMN(K149)-1)/26)+64)&amp;CHAR(MOD(COLUMN(K149)-1,26)+65))&amp;$R129&amp;""),"")</f>
        <v/>
      </c>
      <c r="AA129" s="51" t="str">
        <f t="array" aca="1" ref="AA129" ca="1">IF($R129&lt;&gt;"",
INDIRECT(""&amp;IF(COLUMN(L149)&lt;=26,CHAR(COLUMN(L149)+64),CHAR(INT((COLUMN(L149)-1)/26)+64)&amp;CHAR(MOD(COLUMN(L149)-1,26)+65))&amp;$R129&amp;""),"")</f>
        <v/>
      </c>
      <c r="AB129" s="51" t="str">
        <f t="array" aca="1" ref="AB129" ca="1">IF($R129&lt;&gt;"",
INDIRECT(""&amp;IF(COLUMN(O149)&lt;=26,CHAR(COLUMN(O149)+64),CHAR(INT((COLUMN(O149)-1)/26)+64)&amp;CHAR(MOD(COLUMN(O149)-1,26)+65))&amp;$R129&amp;""),"")</f>
        <v/>
      </c>
    </row>
    <row r="130" spans="1:28" ht="22.2" customHeight="1">
      <c r="A130" s="199">
        <f t="shared" si="29"/>
        <v>125</v>
      </c>
      <c r="B130" s="200" t="e" cm="1">
        <f t="array" aca="1" ref="B130" ca="1">IF(AND(LEFT(C130,2)="博多",
LEFT(INDIRECT("数出表_Excel!A"&amp;MATCH(C130,数出表_Excel!$A:$A,0)-1),2)
=LEFT(INDIRECT("数出表_Excel!A"&amp;MATCH(C130,数出表_Excel!$A:$A,0)+1),2)),"博多",
IF(AND(LEFT(C130,3)="奈良屋",
LEFT(INDIRECT("数出表_Excel!A"&amp;MATCH(C130,数出表_Excel!$A:$A,0)-1),2)
=LEFT(INDIRECT("数出表_Excel!A"&amp;MATCH(C130,数出表_Excel!$A:$A,0)+1),2)),"奈良屋",""))</f>
        <v>#N/A</v>
      </c>
      <c r="C130" s="200" t="str" cm="1">
        <f t="array" aca="1" ref="C130" ca="1">IF(IF(クライアント抽出!A60="",0,LEN(クライアント抽出!V60)-LEN(SUBSTITUTE(クライアント抽出!V60,",","")))&gt;=2,INDIRECT("数出表_Excel!A"&amp;A130&amp;""),"")</f>
        <v/>
      </c>
      <c r="D130" s="200" t="str" cm="1">
        <f t="array" aca="1" ref="D130" ca="1">IF(C130&lt;&gt;"",INDIRECT("クライアント抽出!"&amp;E130&amp;MATCH(C130,クライアント抽出!A:A,0)&amp;""),"")</f>
        <v/>
      </c>
      <c r="E130" s="20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201" t="str" cm="1">
        <f t="array" aca="1" ref="F130" ca="1">IF(D130&lt;&gt;"",
IF(COUNTIF(C130,"*雙葉*"),
IF(ROUND(
IF(O130&lt;&gt;"",(H130-O130),H130)
/IF(COUNTIF('盛付札（関数）'!D130,"*キャラ*"),
VLOOKUP("*キャラ*",#REF!,7,FALSE),
IF(COUNTIF('盛付札（関数）'!D130,"*赤*"),
VLOOKUP("*赤*",#REF!,7,FALSE),
VLOOKUP('盛付札（関数）'!D130,#REF!,7,FALSE))),0)&lt;=0,1,
ROUND(
IF(O130&lt;&gt;"",(H130-O130),H130)
/IF(COUNTIF('盛付札（関数）'!D130,"*キャラ*"),
VLOOKUP("*キャラ*",#REF!,7,FALSE),
IF(COUNTIF('盛付札（関数）'!D130,"*赤*"),
VLOOKUP("*赤*",#REF!,7,FALSE),
VLOOKUP('盛付札（関数）'!D130,#REF!,7,FALSE))),0)),
IF(MATCH(TRUE,
ISNUMBER(--INDIRECT("数出表_Excel!B"&amp;MATCH(C130,数出表_Excel!$A:$A,0)-1&amp;":U"&amp;MATCH(C130,数出表_Excel!$A:$A,0)-1&amp;"")),0)&gt;10,
IF(D130&lt;&gt;"",
IF(IF(COUNTIF('盛付札（関数）'!D130,"*キャラ*"),
VLOOKUP("*キャラ*",#REF!,7,FALSE),
IF(COUNTIF('盛付札（関数）'!D130,"*赤*"),
VLOOKUP("*赤*",#REF!,7,FALSE),
VLOOKUP('盛付札（関数）'!D130,#REF!,7,FALSE)))=0,"",
IF(ROUND(
IF(O130&lt;&gt;"",(H130-O130),H130)
/IF(COUNTIF('盛付札（関数）'!D130,"*キャラ*"),
VLOOKUP("*キャラ*",#REF!,7,FALSE),
IF(COUNTIF('盛付札（関数）'!D130,"*赤*"),
VLOOKUP("*赤*",#REF!,7,FALSE),
VLOOKUP('盛付札（関数）'!D130,#REF!,7,FALSE))),0)&lt;=0,1,
ROUND(
IF(O130&lt;&gt;"",(H130-O130),H130)
/IF(COUNTIF('盛付札（関数）'!D130,"*キャラ*"),
VLOOKUP("*キャラ*",#REF!,7,FALSE),
IF(COUNTIF('盛付札（関数）'!D130,"*赤*"),
VLOOKUP("*赤*",#REF!,7,FALSE),
VLOOKUP('盛付札（関数）'!D130,#REF!,7,FALSE))),0))),""),"")),"")</f>
        <v/>
      </c>
      <c r="G130" s="201" t="str">
        <f ca="1">IF(F130&lt;&gt;"",IF(VALUE(IF(O130&lt;&gt;"",H130-O130,H130))&gt;VALUE(IF(COUNTIF('盛付札（関数）'!D130,"*キャラ*"),
VLOOKUP("*キャラ*",#REF!,7,FALSE),
IF(COUNTIF('盛付札（関数）'!D130,"*赤*"),
VLOOKUP("*赤*",#REF!,7,FALSE),
VLOOKUP('盛付札（関数）'!D130,#REF!,7,FALSE)))*F130),
"+"&amp;IF(O130&lt;&gt;"",H130-O130,H130)-IF(COUNTIF('盛付札（関数）'!D130,"*キャラ*"),
VLOOKUP("*キャラ*",#REF!,7,FALSE),
IF(COUNTIF('盛付札（関数）'!D130,"*赤*"),
VLOOKUP("*赤*",#REF!,7,FALSE),
VLOOKUP('盛付札（関数）'!D130,#REF!,7,FALSE)))*F130,
IF(O130&lt;&gt;"",H130-O130,H130)-IF(COUNTIF('盛付札（関数）'!D130,"*キャラ*"),
VLOOKUP("*キャラ*",#REF!,7,FALSE),
IF(COUNTIF('盛付札（関数）'!D130,"*赤*"),
VLOOKUP("*赤*",#REF!,7,FALSE),
VLOOKUP('盛付札（関数）'!D130,#REF!,7,FALSE)))*F130),"")</f>
        <v/>
      </c>
      <c r="H130" s="202" t="str" cm="1">
        <f t="array" aca="1" ref="H130" ca="1">IF(C130&lt;&gt;"",
IF(INDIRECT("数出表_Excel!"&amp;IFERROR(MID(クライアント抽出!V60,FIND(",",クライアント抽出!V60)+1,1),"")&amp;A130-1&amp;"")&lt;&gt;"",
INDIRECT("数出表_Excel!"&amp;IFERROR(MID(クライアント抽出!V60,FIND(",",クライアント抽出!V60)+1,1),"")&amp;A130-1&amp;""),0),"")</f>
        <v/>
      </c>
      <c r="I130" s="200" t="str" cm="1">
        <f t="array" aca="1" ref="I130" ca="1">IF(C130&lt;&gt;"",
IF(INDIRECT("数出表_Excel!"&amp;IFERROR(MID(クライアント抽出!V60,FIND(",",クライアント抽出!V60)+1,1),"")&amp;A130&amp;"")&lt;&gt;"",
INDIRECT("数出表_Excel!"&amp;IFERROR(MID(クライアント抽出!V60,FIND(",",クライアント抽出!V60)+1,1),"")&amp;A130&amp;""),0),"")</f>
        <v/>
      </c>
      <c r="J130" s="200" t="str">
        <f ca="1">IF(C130&lt;&gt;"",
VLOOKUP(
IF(COUNTIF(D130,"*学食*"),"キャラ弁（学食）",
IF(COUNTIF(D130,"*赤*"),"赤",
IF(COUNTIF(D130,"*キャラ弁当*"),"キャラ弁当",D130))),注文弁当の抽出!$E$1:$F$15,2,FALSE),"")</f>
        <v/>
      </c>
      <c r="K130" s="200" t="str">
        <f t="shared" ca="1" si="30"/>
        <v/>
      </c>
      <c r="L130" s="200" t="str">
        <f t="shared" ca="1" si="31"/>
        <v/>
      </c>
      <c r="M130" s="200" cm="1">
        <f t="array" aca="1" ref="M130" ca="1">IF(C130&lt;&gt;"",
IF(IFERROR(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0)&lt;&gt;0,
IF(IFERROR(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"")="",
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""),
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0)),0),0)</f>
        <v>0</v>
      </c>
      <c r="N130" s="200" t="e">
        <f t="array" aca="1" ref="N130" ca="1">IF(B130="博多",
IF(C130&lt;&gt;"",
IF(IFERROR(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0)&lt;&gt;0,
IF(IFERROR(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0)="",
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0),
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0)),0),""),0)</f>
        <v>#N/A</v>
      </c>
      <c r="O130" s="200" t="e">
        <f t="shared" ca="1" si="32"/>
        <v>#N/A</v>
      </c>
      <c r="P130" s="200">
        <f t="shared" ca="1" si="4"/>
        <v>0</v>
      </c>
      <c r="Q130" s="200" t="b">
        <f t="shared" ca="1" si="33"/>
        <v>0</v>
      </c>
      <c r="R130" s="51" t="str" cm="1">
        <f t="array" aca="1" ref="R130" ca="1">IFERROR(SMALL(IF(P$1:P$300&lt;&gt;0,P$1:P$300),ROW(A130)),"")</f>
        <v/>
      </c>
      <c r="S130" s="51" t="str">
        <f t="array" aca="1" ref="S130" ca="1">IF($R130&lt;&gt;"",
INDIRECT(""&amp;IF(COLUMN(C150)&lt;=26,CHAR(COLUMN(C150)+64),CHAR(INT((COLUMN(C150)-1)/26)+64)&amp;CHAR(MOD(COLUMN(C150)-1,26)+65))&amp;$R130&amp;""),"")</f>
        <v/>
      </c>
      <c r="T130" s="51" t="str" cm="1">
        <f t="array" aca="1" ref="T130" ca="1">IF(IF($R130&lt;&gt;"",
INDIRECT(""&amp;IF(COLUMN(D150)&lt;=26,CHAR(COLUMN(D150)+64),CHAR(INT((COLUMN(D150)-1)/26)+64)&amp;CHAR(MOD(COLUMN(D150)-1,26)+65))&amp;$R130&amp;""),"")=0,"",
IF($R130&lt;&gt;"",
INDIRECT(""&amp;IF(COLUMN(D150)&lt;=26,CHAR(COLUMN(D150)+64),CHAR(INT((COLUMN(D150)-1)/26)+64)&amp;CHAR(MOD(COLUMN(D150)-1,26)+65))&amp;$R130&amp;""),""))</f>
        <v/>
      </c>
      <c r="U130" s="51"/>
      <c r="V130" s="51" t="str">
        <f t="array" aca="1" ref="V130" ca="1">IF($R130&lt;&gt;"",
IF(U130="",
IF(INDIRECT("EY"&amp;$R130&amp;"")&lt;&gt;"",
INDIRECT("EY"&amp;$R130&amp;"")&amp;"箱"
&amp;INDIRECT("EZ"&amp;$R130&amp;""),""),""),"")</f>
        <v/>
      </c>
      <c r="W130" s="51" t="str">
        <f t="array" aca="1" ref="W130" ca="1">IF($R130&lt;&gt;"",
INDIRECT(""&amp;IF(COLUMN(H150)&lt;=26,CHAR(COLUMN(H150)+64),CHAR(INT((COLUMN(H150)-1)/26)+64)&amp;CHAR(MOD(COLUMN(H150)-1,26)+65))&amp;$R130&amp;""),"")</f>
        <v/>
      </c>
      <c r="X130" s="51" t="str">
        <f t="array" aca="1" ref="X130" ca="1">IF($R130&lt;&gt;"",
INDIRECT(""&amp;IF(COLUMN(I150)&lt;=26,CHAR(COLUMN(I150)+64),CHAR(INT((COLUMN(I150)-1)/26)+64)&amp;CHAR(MOD(COLUMN(I150)-1,26)+65))&amp;$R130&amp;""),"")</f>
        <v/>
      </c>
      <c r="Y130" s="51" t="str">
        <f t="array" aca="1" ref="Y130" ca="1">IF($R130&lt;&gt;"",
INDIRECT(""&amp;IF(COLUMN(J150)&lt;=26,CHAR(COLUMN(J150)+64),CHAR(INT((COLUMN(J150)-1)/26)+64)&amp;CHAR(MOD(COLUMN(J150)-1,26)+65))&amp;$R130&amp;""),"")</f>
        <v/>
      </c>
      <c r="Z130" s="51" t="str">
        <f t="array" aca="1" ref="Z130" ca="1">IF($R130&lt;&gt;"",
INDIRECT(""&amp;IF(COLUMN(K150)&lt;=26,CHAR(COLUMN(K150)+64),CHAR(INT((COLUMN(K150)-1)/26)+64)&amp;CHAR(MOD(COLUMN(K150)-1,26)+65))&amp;$R130&amp;""),"")</f>
        <v/>
      </c>
      <c r="AA130" s="51" t="str">
        <f t="array" aca="1" ref="AA130" ca="1">IF($R130&lt;&gt;"",
INDIRECT(""&amp;IF(COLUMN(L150)&lt;=26,CHAR(COLUMN(L150)+64),CHAR(INT((COLUMN(L150)-1)/26)+64)&amp;CHAR(MOD(COLUMN(L150)-1,26)+65))&amp;$R130&amp;""),"")</f>
        <v/>
      </c>
      <c r="AB130" s="51" t="str">
        <f t="array" aca="1" ref="AB130" ca="1">IF($R130&lt;&gt;"",
INDIRECT(""&amp;IF(COLUMN(O150)&lt;=26,CHAR(COLUMN(O150)+64),CHAR(INT((COLUMN(O150)-1)/26)+64)&amp;CHAR(MOD(COLUMN(O150)-1,26)+65))&amp;$R130&amp;""),"")</f>
        <v/>
      </c>
    </row>
    <row r="131" spans="1:28" ht="22.2" customHeight="1">
      <c r="A131" s="199">
        <f t="shared" si="29"/>
        <v>127</v>
      </c>
      <c r="B131" s="200" t="e" cm="1">
        <f t="array" aca="1" ref="B131" ca="1">IF(AND(LEFT(C131,2)="博多",
LEFT(INDIRECT("数出表_Excel!A"&amp;MATCH(C131,数出表_Excel!$A:$A,0)-1),2)
=LEFT(INDIRECT("数出表_Excel!A"&amp;MATCH(C131,数出表_Excel!$A:$A,0)+1),2)),"博多",
IF(AND(LEFT(C131,3)="奈良屋",
LEFT(INDIRECT("数出表_Excel!A"&amp;MATCH(C131,数出表_Excel!$A:$A,0)-1),2)
=LEFT(INDIRECT("数出表_Excel!A"&amp;MATCH(C131,数出表_Excel!$A:$A,0)+1),2)),"奈良屋",""))</f>
        <v>#N/A</v>
      </c>
      <c r="C131" s="200" t="str" cm="1">
        <f t="array" aca="1" ref="C131" ca="1">IF(IF(クライアント抽出!A61="",0,LEN(クライアント抽出!V61)-LEN(SUBSTITUTE(クライアント抽出!V61,",","")))&gt;=2,INDIRECT("数出表_Excel!A"&amp;A131&amp;""),"")</f>
        <v/>
      </c>
      <c r="D131" s="200" t="str" cm="1">
        <f t="array" aca="1" ref="D131" ca="1">IF(C131&lt;&gt;"",INDIRECT("クライアント抽出!"&amp;E131&amp;MATCH(C131,クライアント抽出!A:A,0)&amp;""),"")</f>
        <v/>
      </c>
      <c r="E131" s="20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201" t="str" cm="1">
        <f t="array" aca="1" ref="F131" ca="1">IF(D131&lt;&gt;"",
IF(COUNTIF(C131,"*雙葉*"),
IF(ROUND(
IF(O131&lt;&gt;"",(H131-O131),H131)
/IF(COUNTIF('盛付札（関数）'!D131,"*キャラ*"),
VLOOKUP("*キャラ*",#REF!,7,FALSE),
IF(COUNTIF('盛付札（関数）'!D131,"*赤*"),
VLOOKUP("*赤*",#REF!,7,FALSE),
VLOOKUP('盛付札（関数）'!D131,#REF!,7,FALSE))),0)&lt;=0,1,
ROUND(
IF(O131&lt;&gt;"",(H131-O131),H131)
/IF(COUNTIF('盛付札（関数）'!D131,"*キャラ*"),
VLOOKUP("*キャラ*",#REF!,7,FALSE),
IF(COUNTIF('盛付札（関数）'!D131,"*赤*"),
VLOOKUP("*赤*",#REF!,7,FALSE),
VLOOKUP('盛付札（関数）'!D131,#REF!,7,FALSE))),0)),
IF(MATCH(TRUE,
ISNUMBER(--INDIRECT("数出表_Excel!B"&amp;MATCH(C131,数出表_Excel!$A:$A,0)-1&amp;":U"&amp;MATCH(C131,数出表_Excel!$A:$A,0)-1&amp;"")),0)&gt;10,
IF(D131&lt;&gt;"",
IF(IF(COUNTIF('盛付札（関数）'!D131,"*キャラ*"),
VLOOKUP("*キャラ*",#REF!,7,FALSE),
IF(COUNTIF('盛付札（関数）'!D131,"*赤*"),
VLOOKUP("*赤*",#REF!,7,FALSE),
VLOOKUP('盛付札（関数）'!D131,#REF!,7,FALSE)))=0,"",
IF(ROUND(
IF(O131&lt;&gt;"",(H131-O131),H131)
/IF(COUNTIF('盛付札（関数）'!D131,"*キャラ*"),
VLOOKUP("*キャラ*",#REF!,7,FALSE),
IF(COUNTIF('盛付札（関数）'!D131,"*赤*"),
VLOOKUP("*赤*",#REF!,7,FALSE),
VLOOKUP('盛付札（関数）'!D131,#REF!,7,FALSE))),0)&lt;=0,1,
ROUND(
IF(O131&lt;&gt;"",(H131-O131),H131)
/IF(COUNTIF('盛付札（関数）'!D131,"*キャラ*"),
VLOOKUP("*キャラ*",#REF!,7,FALSE),
IF(COUNTIF('盛付札（関数）'!D131,"*赤*"),
VLOOKUP("*赤*",#REF!,7,FALSE),
VLOOKUP('盛付札（関数）'!D131,#REF!,7,FALSE))),0))),""),"")),"")</f>
        <v/>
      </c>
      <c r="G131" s="201" t="str">
        <f ca="1">IF(F131&lt;&gt;"",IF(VALUE(IF(O131&lt;&gt;"",H131-O131,H131))&gt;VALUE(IF(COUNTIF('盛付札（関数）'!D131,"*キャラ*"),
VLOOKUP("*キャラ*",#REF!,7,FALSE),
IF(COUNTIF('盛付札（関数）'!D131,"*赤*"),
VLOOKUP("*赤*",#REF!,7,FALSE),
VLOOKUP('盛付札（関数）'!D131,#REF!,7,FALSE)))*F131),
"+"&amp;IF(O131&lt;&gt;"",H131-O131,H131)-IF(COUNTIF('盛付札（関数）'!D131,"*キャラ*"),
VLOOKUP("*キャラ*",#REF!,7,FALSE),
IF(COUNTIF('盛付札（関数）'!D131,"*赤*"),
VLOOKUP("*赤*",#REF!,7,FALSE),
VLOOKUP('盛付札（関数）'!D131,#REF!,7,FALSE)))*F131,
IF(O131&lt;&gt;"",H131-O131,H131)-IF(COUNTIF('盛付札（関数）'!D131,"*キャラ*"),
VLOOKUP("*キャラ*",#REF!,7,FALSE),
IF(COUNTIF('盛付札（関数）'!D131,"*赤*"),
VLOOKUP("*赤*",#REF!,7,FALSE),
VLOOKUP('盛付札（関数）'!D131,#REF!,7,FALSE)))*F131),"")</f>
        <v/>
      </c>
      <c r="H131" s="202" t="str" cm="1">
        <f t="array" aca="1" ref="H131" ca="1">IF(C131&lt;&gt;"",
IF(INDIRECT("数出表_Excel!"&amp;IFERROR(MID(クライアント抽出!V61,FIND(",",クライアント抽出!V61)+1,1),"")&amp;A131-1&amp;"")&lt;&gt;"",
INDIRECT("数出表_Excel!"&amp;IFERROR(MID(クライアント抽出!V61,FIND(",",クライアント抽出!V61)+1,1),"")&amp;A131-1&amp;""),0),"")</f>
        <v/>
      </c>
      <c r="I131" s="200" t="str" cm="1">
        <f t="array" aca="1" ref="I131" ca="1">IF(C131&lt;&gt;"",
IF(INDIRECT("数出表_Excel!"&amp;IFERROR(MID(クライアント抽出!V61,FIND(",",クライアント抽出!V61)+1,1),"")&amp;A131&amp;"")&lt;&gt;"",
INDIRECT("数出表_Excel!"&amp;IFERROR(MID(クライアント抽出!V61,FIND(",",クライアント抽出!V61)+1,1),"")&amp;A131&amp;""),0),"")</f>
        <v/>
      </c>
      <c r="J131" s="200" t="str">
        <f ca="1">IF(C131&lt;&gt;"",
VLOOKUP(
IF(COUNTIF(D131,"*学食*"),"キャラ弁（学食）",
IF(COUNTIF(D131,"*赤*"),"赤",
IF(COUNTIF(D131,"*キャラ弁当*"),"キャラ弁当",D131))),注文弁当の抽出!$E$1:$F$15,2,FALSE),"")</f>
        <v/>
      </c>
      <c r="K131" s="200" t="str">
        <f t="shared" ca="1" si="30"/>
        <v/>
      </c>
      <c r="L131" s="200" t="str">
        <f t="shared" ca="1" si="31"/>
        <v/>
      </c>
      <c r="M131" s="200" cm="1">
        <f t="array" aca="1" ref="M131" ca="1">IF(C131&lt;&gt;"",
IF(IFERROR(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0)&lt;&gt;0,
IF(IFERROR(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"")="",
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""),
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0)),0),0)</f>
        <v>0</v>
      </c>
      <c r="N131" s="200" t="e">
        <f t="array" aca="1" ref="N131" ca="1">IF(B131="博多",
IF(C131&lt;&gt;"",
IF(IFERROR(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0)&lt;&gt;0,
IF(IFERROR(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0)="",
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0),
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0)),0),""),0)</f>
        <v>#N/A</v>
      </c>
      <c r="O131" s="200" t="e">
        <f t="shared" ca="1" si="32"/>
        <v>#N/A</v>
      </c>
      <c r="P131" s="200">
        <f t="shared" ca="1" si="4"/>
        <v>0</v>
      </c>
      <c r="Q131" s="200" t="b">
        <f t="shared" ca="1" si="33"/>
        <v>0</v>
      </c>
      <c r="R131" s="51" t="str" cm="1">
        <f t="array" aca="1" ref="R131" ca="1">IFERROR(SMALL(IF(P$1:P$300&lt;&gt;0,P$1:P$300),ROW(A131)),"")</f>
        <v/>
      </c>
      <c r="S131" s="51" t="str">
        <f t="array" aca="1" ref="S131" ca="1">IF($R131&lt;&gt;"",
INDIRECT(""&amp;IF(COLUMN(C151)&lt;=26,CHAR(COLUMN(C151)+64),CHAR(INT((COLUMN(C151)-1)/26)+64)&amp;CHAR(MOD(COLUMN(C151)-1,26)+65))&amp;$R131&amp;""),"")</f>
        <v/>
      </c>
      <c r="T131" s="51" t="str" cm="1">
        <f t="array" aca="1" ref="T131" ca="1">IF(IF($R131&lt;&gt;"",
INDIRECT(""&amp;IF(COLUMN(D151)&lt;=26,CHAR(COLUMN(D151)+64),CHAR(INT((COLUMN(D151)-1)/26)+64)&amp;CHAR(MOD(COLUMN(D151)-1,26)+65))&amp;$R131&amp;""),"")=0,"",
IF($R131&lt;&gt;"",
INDIRECT(""&amp;IF(COLUMN(D151)&lt;=26,CHAR(COLUMN(D151)+64),CHAR(INT((COLUMN(D151)-1)/26)+64)&amp;CHAR(MOD(COLUMN(D151)-1,26)+65))&amp;$R131&amp;""),""))</f>
        <v/>
      </c>
      <c r="U131" s="51"/>
      <c r="V131" s="51" t="str">
        <f t="array" aca="1" ref="V131" ca="1">IF($R131&lt;&gt;"",
IF(U131="",
IF(INDIRECT("EY"&amp;$R131&amp;"")&lt;&gt;"",
INDIRECT("EY"&amp;$R131&amp;"")&amp;"箱"
&amp;INDIRECT("EZ"&amp;$R131&amp;""),""),""),"")</f>
        <v/>
      </c>
      <c r="W131" s="51" t="str">
        <f t="array" aca="1" ref="W131" ca="1">IF($R131&lt;&gt;"",
INDIRECT(""&amp;IF(COLUMN(H151)&lt;=26,CHAR(COLUMN(H151)+64),CHAR(INT((COLUMN(H151)-1)/26)+64)&amp;CHAR(MOD(COLUMN(H151)-1,26)+65))&amp;$R131&amp;""),"")</f>
        <v/>
      </c>
      <c r="X131" s="51" t="str">
        <f t="array" aca="1" ref="X131" ca="1">IF($R131&lt;&gt;"",
INDIRECT(""&amp;IF(COLUMN(I151)&lt;=26,CHAR(COLUMN(I151)+64),CHAR(INT((COLUMN(I151)-1)/26)+64)&amp;CHAR(MOD(COLUMN(I151)-1,26)+65))&amp;$R131&amp;""),"")</f>
        <v/>
      </c>
      <c r="Y131" s="51" t="str">
        <f t="array" aca="1" ref="Y131" ca="1">IF($R131&lt;&gt;"",
INDIRECT(""&amp;IF(COLUMN(J151)&lt;=26,CHAR(COLUMN(J151)+64),CHAR(INT((COLUMN(J151)-1)/26)+64)&amp;CHAR(MOD(COLUMN(J151)-1,26)+65))&amp;$R131&amp;""),"")</f>
        <v/>
      </c>
      <c r="Z131" s="51" t="str">
        <f t="array" aca="1" ref="Z131" ca="1">IF($R131&lt;&gt;"",
INDIRECT(""&amp;IF(COLUMN(K151)&lt;=26,CHAR(COLUMN(K151)+64),CHAR(INT((COLUMN(K151)-1)/26)+64)&amp;CHAR(MOD(COLUMN(K151)-1,26)+65))&amp;$R131&amp;""),"")</f>
        <v/>
      </c>
      <c r="AA131" s="51" t="str">
        <f t="array" aca="1" ref="AA131" ca="1">IF($R131&lt;&gt;"",
INDIRECT(""&amp;IF(COLUMN(L151)&lt;=26,CHAR(COLUMN(L151)+64),CHAR(INT((COLUMN(L151)-1)/26)+64)&amp;CHAR(MOD(COLUMN(L151)-1,26)+65))&amp;$R131&amp;""),"")</f>
        <v/>
      </c>
      <c r="AB131" s="51" t="str">
        <f t="array" aca="1" ref="AB131" ca="1">IF($R131&lt;&gt;"",
INDIRECT(""&amp;IF(COLUMN(O151)&lt;=26,CHAR(COLUMN(O151)+64),CHAR(INT((COLUMN(O151)-1)/26)+64)&amp;CHAR(MOD(COLUMN(O151)-1,26)+65))&amp;$R131&amp;""),"")</f>
        <v/>
      </c>
    </row>
    <row r="132" spans="1:28" ht="22.2" customHeight="1">
      <c r="A132" s="199">
        <f t="shared" si="29"/>
        <v>129</v>
      </c>
      <c r="B132" s="200" t="e" cm="1">
        <f t="array" aca="1" ref="B132" ca="1">IF(AND(LEFT(C132,2)="博多",
LEFT(INDIRECT("数出表_Excel!A"&amp;MATCH(C132,数出表_Excel!$A:$A,0)-1),2)
=LEFT(INDIRECT("数出表_Excel!A"&amp;MATCH(C132,数出表_Excel!$A:$A,0)+1),2)),"博多",
IF(AND(LEFT(C132,3)="奈良屋",
LEFT(INDIRECT("数出表_Excel!A"&amp;MATCH(C132,数出表_Excel!$A:$A,0)-1),2)
=LEFT(INDIRECT("数出表_Excel!A"&amp;MATCH(C132,数出表_Excel!$A:$A,0)+1),2)),"奈良屋",""))</f>
        <v>#N/A</v>
      </c>
      <c r="C132" s="200" t="str" cm="1">
        <f t="array" aca="1" ref="C132" ca="1">IF(IF(クライアント抽出!A62="",0,LEN(クライアント抽出!V62)-LEN(SUBSTITUTE(クライアント抽出!V62,",","")))&gt;=2,INDIRECT("数出表_Excel!A"&amp;A132&amp;""),"")</f>
        <v/>
      </c>
      <c r="D132" s="200" t="str" cm="1">
        <f t="array" aca="1" ref="D132" ca="1">IF(C132&lt;&gt;"",INDIRECT("クライアント抽出!"&amp;E132&amp;MATCH(C132,クライアント抽出!A:A,0)&amp;""),"")</f>
        <v/>
      </c>
      <c r="E132" s="20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201" t="str" cm="1">
        <f t="array" aca="1" ref="F132" ca="1">IF(D132&lt;&gt;"",
IF(COUNTIF(C132,"*雙葉*"),
IF(ROUND(
IF(O132&lt;&gt;"",(H132-O132),H132)
/IF(COUNTIF('盛付札（関数）'!D132,"*キャラ*"),
VLOOKUP("*キャラ*",#REF!,7,FALSE),
IF(COUNTIF('盛付札（関数）'!D132,"*赤*"),
VLOOKUP("*赤*",#REF!,7,FALSE),
VLOOKUP('盛付札（関数）'!D132,#REF!,7,FALSE))),0)&lt;=0,1,
ROUND(
IF(O132&lt;&gt;"",(H132-O132),H132)
/IF(COUNTIF('盛付札（関数）'!D132,"*キャラ*"),
VLOOKUP("*キャラ*",#REF!,7,FALSE),
IF(COUNTIF('盛付札（関数）'!D132,"*赤*"),
VLOOKUP("*赤*",#REF!,7,FALSE),
VLOOKUP('盛付札（関数）'!D132,#REF!,7,FALSE))),0)),
IF(MATCH(TRUE,
ISNUMBER(--INDIRECT("数出表_Excel!B"&amp;MATCH(C132,数出表_Excel!$A:$A,0)-1&amp;":U"&amp;MATCH(C132,数出表_Excel!$A:$A,0)-1&amp;"")),0)&gt;10,
IF(D132&lt;&gt;"",
IF(IF(COUNTIF('盛付札（関数）'!D132,"*キャラ*"),
VLOOKUP("*キャラ*",#REF!,7,FALSE),
IF(COUNTIF('盛付札（関数）'!D132,"*赤*"),
VLOOKUP("*赤*",#REF!,7,FALSE),
VLOOKUP('盛付札（関数）'!D132,#REF!,7,FALSE)))=0,"",
IF(ROUND(
IF(O132&lt;&gt;"",(H132-O132),H132)
/IF(COUNTIF('盛付札（関数）'!D132,"*キャラ*"),
VLOOKUP("*キャラ*",#REF!,7,FALSE),
IF(COUNTIF('盛付札（関数）'!D132,"*赤*"),
VLOOKUP("*赤*",#REF!,7,FALSE),
VLOOKUP('盛付札（関数）'!D132,#REF!,7,FALSE))),0)&lt;=0,1,
ROUND(
IF(O132&lt;&gt;"",(H132-O132),H132)
/IF(COUNTIF('盛付札（関数）'!D132,"*キャラ*"),
VLOOKUP("*キャラ*",#REF!,7,FALSE),
IF(COUNTIF('盛付札（関数）'!D132,"*赤*"),
VLOOKUP("*赤*",#REF!,7,FALSE),
VLOOKUP('盛付札（関数）'!D132,#REF!,7,FALSE))),0))),""),"")),"")</f>
        <v/>
      </c>
      <c r="G132" s="201" t="str">
        <f ca="1">IF(F132&lt;&gt;"",IF(VALUE(IF(O132&lt;&gt;"",H132-O132,H132))&gt;VALUE(IF(COUNTIF('盛付札（関数）'!D132,"*キャラ*"),
VLOOKUP("*キャラ*",#REF!,7,FALSE),
IF(COUNTIF('盛付札（関数）'!D132,"*赤*"),
VLOOKUP("*赤*",#REF!,7,FALSE),
VLOOKUP('盛付札（関数）'!D132,#REF!,7,FALSE)))*F132),
"+"&amp;IF(O132&lt;&gt;"",H132-O132,H132)-IF(COUNTIF('盛付札（関数）'!D132,"*キャラ*"),
VLOOKUP("*キャラ*",#REF!,7,FALSE),
IF(COUNTIF('盛付札（関数）'!D132,"*赤*"),
VLOOKUP("*赤*",#REF!,7,FALSE),
VLOOKUP('盛付札（関数）'!D132,#REF!,7,FALSE)))*F132,
IF(O132&lt;&gt;"",H132-O132,H132)-IF(COUNTIF('盛付札（関数）'!D132,"*キャラ*"),
VLOOKUP("*キャラ*",#REF!,7,FALSE),
IF(COUNTIF('盛付札（関数）'!D132,"*赤*"),
VLOOKUP("*赤*",#REF!,7,FALSE),
VLOOKUP('盛付札（関数）'!D132,#REF!,7,FALSE)))*F132),"")</f>
        <v/>
      </c>
      <c r="H132" s="202" t="str" cm="1">
        <f t="array" aca="1" ref="H132" ca="1">IF(C132&lt;&gt;"",
IF(INDIRECT("数出表_Excel!"&amp;IFERROR(MID(クライアント抽出!V62,FIND(",",クライアント抽出!V62)+1,1),"")&amp;A132-1&amp;"")&lt;&gt;"",
INDIRECT("数出表_Excel!"&amp;IFERROR(MID(クライアント抽出!V62,FIND(",",クライアント抽出!V62)+1,1),"")&amp;A132-1&amp;""),0),"")</f>
        <v/>
      </c>
      <c r="I132" s="200" t="str" cm="1">
        <f t="array" aca="1" ref="I132" ca="1">IF(C132&lt;&gt;"",
IF(INDIRECT("数出表_Excel!"&amp;IFERROR(MID(クライアント抽出!V62,FIND(",",クライアント抽出!V62)+1,1),"")&amp;A132&amp;"")&lt;&gt;"",
INDIRECT("数出表_Excel!"&amp;IFERROR(MID(クライアント抽出!V62,FIND(",",クライアント抽出!V62)+1,1),"")&amp;A132&amp;""),0),"")</f>
        <v/>
      </c>
      <c r="J132" s="200" t="str">
        <f ca="1">IF(C132&lt;&gt;"",
VLOOKUP(
IF(COUNTIF(D132,"*学食*"),"キャラ弁（学食）",
IF(COUNTIF(D132,"*赤*"),"赤",
IF(COUNTIF(D132,"*キャラ弁当*"),"キャラ弁当",D132))),注文弁当の抽出!$E$1:$F$15,2,FALSE),"")</f>
        <v/>
      </c>
      <c r="K132" s="200" t="str">
        <f t="shared" ca="1" si="30"/>
        <v/>
      </c>
      <c r="L132" s="200" t="str">
        <f t="shared" ca="1" si="31"/>
        <v/>
      </c>
      <c r="M132" s="200" cm="1">
        <f t="array" aca="1" ref="M132" ca="1">IF(C132&lt;&gt;"",
IF(IFERROR(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0)&lt;&gt;0,
IF(IFERROR(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"")="",
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""),
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0)),0),0)</f>
        <v>0</v>
      </c>
      <c r="N132" s="200" t="e">
        <f t="array" aca="1" ref="N132" ca="1">IF(B132="博多",
IF(C132&lt;&gt;"",
IF(IFERROR(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0)&lt;&gt;0,
IF(IFERROR(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0)="",
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0),
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0)),0),""),0)</f>
        <v>#N/A</v>
      </c>
      <c r="O132" s="200" t="e">
        <f t="shared" ca="1" si="32"/>
        <v>#N/A</v>
      </c>
      <c r="P132" s="200">
        <f t="shared" ca="1" si="4"/>
        <v>0</v>
      </c>
      <c r="Q132" s="200" t="b">
        <f t="shared" ca="1" si="33"/>
        <v>0</v>
      </c>
      <c r="R132" s="51" t="str" cm="1">
        <f t="array" aca="1" ref="R132" ca="1">IFERROR(SMALL(IF(P$1:P$300&lt;&gt;0,P$1:P$300),ROW(A132)),"")</f>
        <v/>
      </c>
      <c r="S132" s="51" t="str">
        <f t="array" aca="1" ref="S132" ca="1">IF($R132&lt;&gt;"",
INDIRECT(""&amp;IF(COLUMN(C152)&lt;=26,CHAR(COLUMN(C152)+64),CHAR(INT((COLUMN(C152)-1)/26)+64)&amp;CHAR(MOD(COLUMN(C152)-1,26)+65))&amp;$R132&amp;""),"")</f>
        <v/>
      </c>
      <c r="T132" s="51" t="str" cm="1">
        <f t="array" aca="1" ref="T132" ca="1">IF(IF($R132&lt;&gt;"",
INDIRECT(""&amp;IF(COLUMN(D152)&lt;=26,CHAR(COLUMN(D152)+64),CHAR(INT((COLUMN(D152)-1)/26)+64)&amp;CHAR(MOD(COLUMN(D152)-1,26)+65))&amp;$R132&amp;""),"")=0,"",
IF($R132&lt;&gt;"",
INDIRECT(""&amp;IF(COLUMN(D152)&lt;=26,CHAR(COLUMN(D152)+64),CHAR(INT((COLUMN(D152)-1)/26)+64)&amp;CHAR(MOD(COLUMN(D152)-1,26)+65))&amp;$R132&amp;""),""))</f>
        <v/>
      </c>
      <c r="U132" s="51"/>
      <c r="V132" s="51" t="str">
        <f t="array" aca="1" ref="V132" ca="1">IF($R132&lt;&gt;"",
IF(U132="",
IF(INDIRECT("EY"&amp;$R132&amp;"")&lt;&gt;"",
INDIRECT("EY"&amp;$R132&amp;"")&amp;"箱"
&amp;INDIRECT("EZ"&amp;$R132&amp;""),""),""),"")</f>
        <v/>
      </c>
      <c r="W132" s="51" t="str">
        <f t="array" aca="1" ref="W132" ca="1">IF($R132&lt;&gt;"",
INDIRECT(""&amp;IF(COLUMN(H152)&lt;=26,CHAR(COLUMN(H152)+64),CHAR(INT((COLUMN(H152)-1)/26)+64)&amp;CHAR(MOD(COLUMN(H152)-1,26)+65))&amp;$R132&amp;""),"")</f>
        <v/>
      </c>
      <c r="X132" s="51" t="str">
        <f t="array" aca="1" ref="X132" ca="1">IF($R132&lt;&gt;"",
INDIRECT(""&amp;IF(COLUMN(I152)&lt;=26,CHAR(COLUMN(I152)+64),CHAR(INT((COLUMN(I152)-1)/26)+64)&amp;CHAR(MOD(COLUMN(I152)-1,26)+65))&amp;$R132&amp;""),"")</f>
        <v/>
      </c>
      <c r="Y132" s="51" t="str">
        <f t="array" aca="1" ref="Y132" ca="1">IF($R132&lt;&gt;"",
INDIRECT(""&amp;IF(COLUMN(J152)&lt;=26,CHAR(COLUMN(J152)+64),CHAR(INT((COLUMN(J152)-1)/26)+64)&amp;CHAR(MOD(COLUMN(J152)-1,26)+65))&amp;$R132&amp;""),"")</f>
        <v/>
      </c>
      <c r="Z132" s="51" t="str">
        <f t="array" aca="1" ref="Z132" ca="1">IF($R132&lt;&gt;"",
INDIRECT(""&amp;IF(COLUMN(K152)&lt;=26,CHAR(COLUMN(K152)+64),CHAR(INT((COLUMN(K152)-1)/26)+64)&amp;CHAR(MOD(COLUMN(K152)-1,26)+65))&amp;$R132&amp;""),"")</f>
        <v/>
      </c>
      <c r="AA132" s="51" t="str">
        <f t="array" aca="1" ref="AA132" ca="1">IF($R132&lt;&gt;"",
INDIRECT(""&amp;IF(COLUMN(L152)&lt;=26,CHAR(COLUMN(L152)+64),CHAR(INT((COLUMN(L152)-1)/26)+64)&amp;CHAR(MOD(COLUMN(L152)-1,26)+65))&amp;$R132&amp;""),"")</f>
        <v/>
      </c>
      <c r="AB132" s="51" t="str">
        <f t="array" aca="1" ref="AB132" ca="1">IF($R132&lt;&gt;"",
INDIRECT(""&amp;IF(COLUMN(O152)&lt;=26,CHAR(COLUMN(O152)+64),CHAR(INT((COLUMN(O152)-1)/26)+64)&amp;CHAR(MOD(COLUMN(O152)-1,26)+65))&amp;$R132&amp;""),"")</f>
        <v/>
      </c>
    </row>
    <row r="133" spans="1:28" ht="22.2" customHeight="1">
      <c r="A133" s="199">
        <f t="shared" si="29"/>
        <v>131</v>
      </c>
      <c r="B133" s="200" t="e" cm="1">
        <f t="array" aca="1" ref="B133" ca="1">IF(AND(LEFT(C133,2)="博多",
LEFT(INDIRECT("数出表_Excel!A"&amp;MATCH(C133,数出表_Excel!$A:$A,0)-1),2)
=LEFT(INDIRECT("数出表_Excel!A"&amp;MATCH(C133,数出表_Excel!$A:$A,0)+1),2)),"博多",
IF(AND(LEFT(C133,3)="奈良屋",
LEFT(INDIRECT("数出表_Excel!A"&amp;MATCH(C133,数出表_Excel!$A:$A,0)-1),2)
=LEFT(INDIRECT("数出表_Excel!A"&amp;MATCH(C133,数出表_Excel!$A:$A,0)+1),2)),"奈良屋",""))</f>
        <v>#N/A</v>
      </c>
      <c r="C133" s="200" t="str" cm="1">
        <f t="array" aca="1" ref="C133" ca="1">IF(IF(クライアント抽出!A63="",0,LEN(クライアント抽出!V63)-LEN(SUBSTITUTE(クライアント抽出!V63,",","")))&gt;=2,INDIRECT("数出表_Excel!A"&amp;A133&amp;""),"")</f>
        <v/>
      </c>
      <c r="D133" s="200" t="str" cm="1">
        <f t="array" aca="1" ref="D133" ca="1">IF(C133&lt;&gt;"",INDIRECT("クライアント抽出!"&amp;E133&amp;MATCH(C133,クライアント抽出!A:A,0)&amp;""),"")</f>
        <v/>
      </c>
      <c r="E133" s="20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201" t="str" cm="1">
        <f t="array" aca="1" ref="F133" ca="1">IF(D133&lt;&gt;"",
IF(COUNTIF(C133,"*雙葉*"),
IF(ROUND(
IF(O133&lt;&gt;"",(H133-O133),H133)
/IF(COUNTIF('盛付札（関数）'!D133,"*キャラ*"),
VLOOKUP("*キャラ*",#REF!,7,FALSE),
IF(COUNTIF('盛付札（関数）'!D133,"*赤*"),
VLOOKUP("*赤*",#REF!,7,FALSE),
VLOOKUP('盛付札（関数）'!D133,#REF!,7,FALSE))),0)&lt;=0,1,
ROUND(
IF(O133&lt;&gt;"",(H133-O133),H133)
/IF(COUNTIF('盛付札（関数）'!D133,"*キャラ*"),
VLOOKUP("*キャラ*",#REF!,7,FALSE),
IF(COUNTIF('盛付札（関数）'!D133,"*赤*"),
VLOOKUP("*赤*",#REF!,7,FALSE),
VLOOKUP('盛付札（関数）'!D133,#REF!,7,FALSE))),0)),
IF(MATCH(TRUE,
ISNUMBER(--INDIRECT("数出表_Excel!B"&amp;MATCH(C133,数出表_Excel!$A:$A,0)-1&amp;":U"&amp;MATCH(C133,数出表_Excel!$A:$A,0)-1&amp;"")),0)&gt;10,
IF(D133&lt;&gt;"",
IF(IF(COUNTIF('盛付札（関数）'!D133,"*キャラ*"),
VLOOKUP("*キャラ*",#REF!,7,FALSE),
IF(COUNTIF('盛付札（関数）'!D133,"*赤*"),
VLOOKUP("*赤*",#REF!,7,FALSE),
VLOOKUP('盛付札（関数）'!D133,#REF!,7,FALSE)))=0,"",
IF(ROUND(
IF(O133&lt;&gt;"",(H133-O133),H133)
/IF(COUNTIF('盛付札（関数）'!D133,"*キャラ*"),
VLOOKUP("*キャラ*",#REF!,7,FALSE),
IF(COUNTIF('盛付札（関数）'!D133,"*赤*"),
VLOOKUP("*赤*",#REF!,7,FALSE),
VLOOKUP('盛付札（関数）'!D133,#REF!,7,FALSE))),0)&lt;=0,1,
ROUND(
IF(O133&lt;&gt;"",(H133-O133),H133)
/IF(COUNTIF('盛付札（関数）'!D133,"*キャラ*"),
VLOOKUP("*キャラ*",#REF!,7,FALSE),
IF(COUNTIF('盛付札（関数）'!D133,"*赤*"),
VLOOKUP("*赤*",#REF!,7,FALSE),
VLOOKUP('盛付札（関数）'!D133,#REF!,7,FALSE))),0))),""),"")),"")</f>
        <v/>
      </c>
      <c r="G133" s="201" t="str">
        <f ca="1">IF(F133&lt;&gt;"",IF(VALUE(IF(O133&lt;&gt;"",H133-O133,H133))&gt;VALUE(IF(COUNTIF('盛付札（関数）'!D133,"*キャラ*"),
VLOOKUP("*キャラ*",#REF!,7,FALSE),
IF(COUNTIF('盛付札（関数）'!D133,"*赤*"),
VLOOKUP("*赤*",#REF!,7,FALSE),
VLOOKUP('盛付札（関数）'!D133,#REF!,7,FALSE)))*F133),
"+"&amp;IF(O133&lt;&gt;"",H133-O133,H133)-IF(COUNTIF('盛付札（関数）'!D133,"*キャラ*"),
VLOOKUP("*キャラ*",#REF!,7,FALSE),
IF(COUNTIF('盛付札（関数）'!D133,"*赤*"),
VLOOKUP("*赤*",#REF!,7,FALSE),
VLOOKUP('盛付札（関数）'!D133,#REF!,7,FALSE)))*F133,
IF(O133&lt;&gt;"",H133-O133,H133)-IF(COUNTIF('盛付札（関数）'!D133,"*キャラ*"),
VLOOKUP("*キャラ*",#REF!,7,FALSE),
IF(COUNTIF('盛付札（関数）'!D133,"*赤*"),
VLOOKUP("*赤*",#REF!,7,FALSE),
VLOOKUP('盛付札（関数）'!D133,#REF!,7,FALSE)))*F133),"")</f>
        <v/>
      </c>
      <c r="H133" s="202" t="str" cm="1">
        <f t="array" aca="1" ref="H133" ca="1">IF(C133&lt;&gt;"",
IF(INDIRECT("数出表_Excel!"&amp;IFERROR(MID(クライアント抽出!V63,FIND(",",クライアント抽出!V63)+1,1),"")&amp;A133-1&amp;"")&lt;&gt;"",
INDIRECT("数出表_Excel!"&amp;IFERROR(MID(クライアント抽出!V63,FIND(",",クライアント抽出!V63)+1,1),"")&amp;A133-1&amp;""),0),"")</f>
        <v/>
      </c>
      <c r="I133" s="200" t="str" cm="1">
        <f t="array" aca="1" ref="I133" ca="1">IF(C133&lt;&gt;"",
IF(INDIRECT("数出表_Excel!"&amp;IFERROR(MID(クライアント抽出!V63,FIND(",",クライアント抽出!V63)+1,1),"")&amp;A133&amp;"")&lt;&gt;"",
INDIRECT("数出表_Excel!"&amp;IFERROR(MID(クライアント抽出!V63,FIND(",",クライアント抽出!V63)+1,1),"")&amp;A133&amp;""),0),"")</f>
        <v/>
      </c>
      <c r="J133" s="200" t="str">
        <f ca="1">IF(C133&lt;&gt;"",
VLOOKUP(
IF(COUNTIF(D133,"*学食*"),"キャラ弁（学食）",
IF(COUNTIF(D133,"*赤*"),"赤",
IF(COUNTIF(D133,"*キャラ弁当*"),"キャラ弁当",D133))),注文弁当の抽出!$E$1:$F$15,2,FALSE),"")</f>
        <v/>
      </c>
      <c r="K133" s="200" t="str">
        <f t="shared" ca="1" si="30"/>
        <v/>
      </c>
      <c r="L133" s="200" t="str">
        <f t="shared" ca="1" si="31"/>
        <v/>
      </c>
      <c r="M133" s="200" cm="1">
        <f t="array" aca="1" ref="M133" ca="1">IF(C133&lt;&gt;"",
IF(IFERROR(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0)&lt;&gt;0,
IF(IFERROR(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"")="",
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""),
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0)),0),0)</f>
        <v>0</v>
      </c>
      <c r="N133" s="200" t="e">
        <f t="array" aca="1" ref="N133" ca="1">IF(B133="博多",
IF(C133&lt;&gt;"",
IF(IFERROR(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0)&lt;&gt;0,
IF(IFERROR(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0)="",
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0),
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0)),0),""),0)</f>
        <v>#N/A</v>
      </c>
      <c r="O133" s="200" t="e">
        <f t="shared" ca="1" si="32"/>
        <v>#N/A</v>
      </c>
      <c r="P133" s="200">
        <f t="shared" ca="1" si="4"/>
        <v>0</v>
      </c>
      <c r="Q133" s="200" t="b">
        <f t="shared" ca="1" si="33"/>
        <v>0</v>
      </c>
      <c r="R133" s="51" t="str" cm="1">
        <f t="array" aca="1" ref="R133" ca="1">IFERROR(SMALL(IF(P$1:P$300&lt;&gt;0,P$1:P$300),ROW(A133)),"")</f>
        <v/>
      </c>
      <c r="S133" s="51" t="str">
        <f t="array" aca="1" ref="S133" ca="1">IF($R133&lt;&gt;"",
INDIRECT(""&amp;IF(COLUMN(C153)&lt;=26,CHAR(COLUMN(C153)+64),CHAR(INT((COLUMN(C153)-1)/26)+64)&amp;CHAR(MOD(COLUMN(C153)-1,26)+65))&amp;$R133&amp;""),"")</f>
        <v/>
      </c>
      <c r="T133" s="51" t="str" cm="1">
        <f t="array" aca="1" ref="T133" ca="1">IF(IF($R133&lt;&gt;"",
INDIRECT(""&amp;IF(COLUMN(D153)&lt;=26,CHAR(COLUMN(D153)+64),CHAR(INT((COLUMN(D153)-1)/26)+64)&amp;CHAR(MOD(COLUMN(D153)-1,26)+65))&amp;$R133&amp;""),"")=0,"",
IF($R133&lt;&gt;"",
INDIRECT(""&amp;IF(COLUMN(D153)&lt;=26,CHAR(COLUMN(D153)+64),CHAR(INT((COLUMN(D153)-1)/26)+64)&amp;CHAR(MOD(COLUMN(D153)-1,26)+65))&amp;$R133&amp;""),""))</f>
        <v/>
      </c>
      <c r="U133" s="51"/>
      <c r="V133" s="51" t="str">
        <f t="array" aca="1" ref="V133" ca="1">IF($R133&lt;&gt;"",
IF(U133="",
IF(INDIRECT("EY"&amp;$R133&amp;"")&lt;&gt;"",
INDIRECT("EY"&amp;$R133&amp;"")&amp;"箱"
&amp;INDIRECT("EZ"&amp;$R133&amp;""),""),""),"")</f>
        <v/>
      </c>
      <c r="W133" s="51" t="str">
        <f t="array" aca="1" ref="W133" ca="1">IF($R133&lt;&gt;"",
INDIRECT(""&amp;IF(COLUMN(H153)&lt;=26,CHAR(COLUMN(H153)+64),CHAR(INT((COLUMN(H153)-1)/26)+64)&amp;CHAR(MOD(COLUMN(H153)-1,26)+65))&amp;$R133&amp;""),"")</f>
        <v/>
      </c>
      <c r="X133" s="51" t="str">
        <f t="array" aca="1" ref="X133" ca="1">IF($R133&lt;&gt;"",
INDIRECT(""&amp;IF(COLUMN(I153)&lt;=26,CHAR(COLUMN(I153)+64),CHAR(INT((COLUMN(I153)-1)/26)+64)&amp;CHAR(MOD(COLUMN(I153)-1,26)+65))&amp;$R133&amp;""),"")</f>
        <v/>
      </c>
      <c r="Y133" s="51" t="str">
        <f t="array" aca="1" ref="Y133" ca="1">IF($R133&lt;&gt;"",
INDIRECT(""&amp;IF(COLUMN(J153)&lt;=26,CHAR(COLUMN(J153)+64),CHAR(INT((COLUMN(J153)-1)/26)+64)&amp;CHAR(MOD(COLUMN(J153)-1,26)+65))&amp;$R133&amp;""),"")</f>
        <v/>
      </c>
      <c r="Z133" s="51" t="str">
        <f t="array" aca="1" ref="Z133" ca="1">IF($R133&lt;&gt;"",
INDIRECT(""&amp;IF(COLUMN(K153)&lt;=26,CHAR(COLUMN(K153)+64),CHAR(INT((COLUMN(K153)-1)/26)+64)&amp;CHAR(MOD(COLUMN(K153)-1,26)+65))&amp;$R133&amp;""),"")</f>
        <v/>
      </c>
      <c r="AA133" s="51" t="str">
        <f t="array" aca="1" ref="AA133" ca="1">IF($R133&lt;&gt;"",
INDIRECT(""&amp;IF(COLUMN(L153)&lt;=26,CHAR(COLUMN(L153)+64),CHAR(INT((COLUMN(L153)-1)/26)+64)&amp;CHAR(MOD(COLUMN(L153)-1,26)+65))&amp;$R133&amp;""),"")</f>
        <v/>
      </c>
      <c r="AB133" s="51" t="str">
        <f t="array" aca="1" ref="AB133" ca="1">IF($R133&lt;&gt;"",
INDIRECT(""&amp;IF(COLUMN(O153)&lt;=26,CHAR(COLUMN(O153)+64),CHAR(INT((COLUMN(O153)-1)/26)+64)&amp;CHAR(MOD(COLUMN(O153)-1,26)+65))&amp;$R133&amp;""),"")</f>
        <v/>
      </c>
    </row>
    <row r="134" spans="1:28" ht="22.2" customHeight="1">
      <c r="A134" s="199">
        <f t="shared" si="29"/>
        <v>133</v>
      </c>
      <c r="B134" s="200" t="e" cm="1">
        <f t="array" aca="1" ref="B134" ca="1">IF(AND(LEFT(C134,2)="博多",
LEFT(INDIRECT("数出表_Excel!A"&amp;MATCH(C134,数出表_Excel!$A:$A,0)-1),2)
=LEFT(INDIRECT("数出表_Excel!A"&amp;MATCH(C134,数出表_Excel!$A:$A,0)+1),2)),"博多",
IF(AND(LEFT(C134,3)="奈良屋",
LEFT(INDIRECT("数出表_Excel!A"&amp;MATCH(C134,数出表_Excel!$A:$A,0)-1),2)
=LEFT(INDIRECT("数出表_Excel!A"&amp;MATCH(C134,数出表_Excel!$A:$A,0)+1),2)),"奈良屋",""))</f>
        <v>#N/A</v>
      </c>
      <c r="C134" s="200" t="str" cm="1">
        <f t="array" aca="1" ref="C134" ca="1">IF(IF(クライアント抽出!A64="",0,LEN(クライアント抽出!V64)-LEN(SUBSTITUTE(クライアント抽出!V64,",","")))&gt;=2,INDIRECT("数出表_Excel!A"&amp;A134&amp;""),"")</f>
        <v/>
      </c>
      <c r="D134" s="200" t="str" cm="1">
        <f t="array" aca="1" ref="D134" ca="1">IF(C134&lt;&gt;"",INDIRECT("クライアント抽出!"&amp;E134&amp;MATCH(C134,クライアント抽出!A:A,0)&amp;""),"")</f>
        <v/>
      </c>
      <c r="E134" s="20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201" t="str" cm="1">
        <f t="array" aca="1" ref="F134" ca="1">IF(D134&lt;&gt;"",
IF(COUNTIF(C134,"*雙葉*"),
IF(ROUND(
IF(O134&lt;&gt;"",(H134-O134),H134)
/IF(COUNTIF('盛付札（関数）'!D134,"*キャラ*"),
VLOOKUP("*キャラ*",#REF!,7,FALSE),
IF(COUNTIF('盛付札（関数）'!D134,"*赤*"),
VLOOKUP("*赤*",#REF!,7,FALSE),
VLOOKUP('盛付札（関数）'!D134,#REF!,7,FALSE))),0)&lt;=0,1,
ROUND(
IF(O134&lt;&gt;"",(H134-O134),H134)
/IF(COUNTIF('盛付札（関数）'!D134,"*キャラ*"),
VLOOKUP("*キャラ*",#REF!,7,FALSE),
IF(COUNTIF('盛付札（関数）'!D134,"*赤*"),
VLOOKUP("*赤*",#REF!,7,FALSE),
VLOOKUP('盛付札（関数）'!D134,#REF!,7,FALSE))),0)),
IF(MATCH(TRUE,
ISNUMBER(--INDIRECT("数出表_Excel!B"&amp;MATCH(C134,数出表_Excel!$A:$A,0)-1&amp;":U"&amp;MATCH(C134,数出表_Excel!$A:$A,0)-1&amp;"")),0)&gt;10,
IF(D134&lt;&gt;"",
IF(IF(COUNTIF('盛付札（関数）'!D134,"*キャラ*"),
VLOOKUP("*キャラ*",#REF!,7,FALSE),
IF(COUNTIF('盛付札（関数）'!D134,"*赤*"),
VLOOKUP("*赤*",#REF!,7,FALSE),
VLOOKUP('盛付札（関数）'!D134,#REF!,7,FALSE)))=0,"",
IF(ROUND(
IF(O134&lt;&gt;"",(H134-O134),H134)
/IF(COUNTIF('盛付札（関数）'!D134,"*キャラ*"),
VLOOKUP("*キャラ*",#REF!,7,FALSE),
IF(COUNTIF('盛付札（関数）'!D134,"*赤*"),
VLOOKUP("*赤*",#REF!,7,FALSE),
VLOOKUP('盛付札（関数）'!D134,#REF!,7,FALSE))),0)&lt;=0,1,
ROUND(
IF(O134&lt;&gt;"",(H134-O134),H134)
/IF(COUNTIF('盛付札（関数）'!D134,"*キャラ*"),
VLOOKUP("*キャラ*",#REF!,7,FALSE),
IF(COUNTIF('盛付札（関数）'!D134,"*赤*"),
VLOOKUP("*赤*",#REF!,7,FALSE),
VLOOKUP('盛付札（関数）'!D134,#REF!,7,FALSE))),0))),""),"")),"")</f>
        <v/>
      </c>
      <c r="G134" s="201" t="str">
        <f ca="1">IF(F134&lt;&gt;"",IF(VALUE(IF(O134&lt;&gt;"",H134-O134,H134))&gt;VALUE(IF(COUNTIF('盛付札（関数）'!D134,"*キャラ*"),
VLOOKUP("*キャラ*",#REF!,7,FALSE),
IF(COUNTIF('盛付札（関数）'!D134,"*赤*"),
VLOOKUP("*赤*",#REF!,7,FALSE),
VLOOKUP('盛付札（関数）'!D134,#REF!,7,FALSE)))*F134),
"+"&amp;IF(O134&lt;&gt;"",H134-O134,H134)-IF(COUNTIF('盛付札（関数）'!D134,"*キャラ*"),
VLOOKUP("*キャラ*",#REF!,7,FALSE),
IF(COUNTIF('盛付札（関数）'!D134,"*赤*"),
VLOOKUP("*赤*",#REF!,7,FALSE),
VLOOKUP('盛付札（関数）'!D134,#REF!,7,FALSE)))*F134,
IF(O134&lt;&gt;"",H134-O134,H134)-IF(COUNTIF('盛付札（関数）'!D134,"*キャラ*"),
VLOOKUP("*キャラ*",#REF!,7,FALSE),
IF(COUNTIF('盛付札（関数）'!D134,"*赤*"),
VLOOKUP("*赤*",#REF!,7,FALSE),
VLOOKUP('盛付札（関数）'!D134,#REF!,7,FALSE)))*F134),"")</f>
        <v/>
      </c>
      <c r="H134" s="202" t="str" cm="1">
        <f t="array" aca="1" ref="H134" ca="1">IF(C134&lt;&gt;"",
IF(INDIRECT("数出表_Excel!"&amp;IFERROR(MID(クライアント抽出!V64,FIND(",",クライアント抽出!V64)+1,1),"")&amp;A134-1&amp;"")&lt;&gt;"",
INDIRECT("数出表_Excel!"&amp;IFERROR(MID(クライアント抽出!V64,FIND(",",クライアント抽出!V64)+1,1),"")&amp;A134-1&amp;""),0),"")</f>
        <v/>
      </c>
      <c r="I134" s="200" t="str" cm="1">
        <f t="array" aca="1" ref="I134" ca="1">IF(C134&lt;&gt;"",
IF(INDIRECT("数出表_Excel!"&amp;IFERROR(MID(クライアント抽出!V64,FIND(",",クライアント抽出!V64)+1,1),"")&amp;A134&amp;"")&lt;&gt;"",
INDIRECT("数出表_Excel!"&amp;IFERROR(MID(クライアント抽出!V64,FIND(",",クライアント抽出!V64)+1,1),"")&amp;A134&amp;""),0),"")</f>
        <v/>
      </c>
      <c r="J134" s="200" t="str">
        <f ca="1">IF(C134&lt;&gt;"",
VLOOKUP(
IF(COUNTIF(D134,"*学食*"),"キャラ弁（学食）",
IF(COUNTIF(D134,"*赤*"),"赤",
IF(COUNTIF(D134,"*キャラ弁当*"),"キャラ弁当",D134))),注文弁当の抽出!$E$1:$F$15,2,FALSE),"")</f>
        <v/>
      </c>
      <c r="K134" s="200" t="str">
        <f t="shared" ca="1" si="30"/>
        <v/>
      </c>
      <c r="L134" s="200" t="str">
        <f t="shared" ca="1" si="31"/>
        <v/>
      </c>
      <c r="M134" s="200" cm="1">
        <f t="array" aca="1" ref="M134" ca="1">IF(C134&lt;&gt;"",
IF(IFERROR(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0)&lt;&gt;0,
IF(IFERROR(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"")="",
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""),
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0)),0),0)</f>
        <v>0</v>
      </c>
      <c r="N134" s="200" t="e">
        <f t="array" aca="1" ref="N134" ca="1">IF(B134="博多",
IF(C134&lt;&gt;"",
IF(IFERROR(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0)&lt;&gt;0,
IF(IFERROR(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0)="",
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0),
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0)),0),""),0)</f>
        <v>#N/A</v>
      </c>
      <c r="O134" s="200" t="e">
        <f t="shared" ca="1" si="32"/>
        <v>#N/A</v>
      </c>
      <c r="P134" s="200">
        <f t="shared" ca="1" si="4"/>
        <v>0</v>
      </c>
      <c r="Q134" s="200" t="b">
        <f t="shared" ca="1" si="33"/>
        <v>0</v>
      </c>
      <c r="R134" s="51" t="str" cm="1">
        <f t="array" aca="1" ref="R134" ca="1">IFERROR(SMALL(IF(P$1:P$300&lt;&gt;0,P$1:P$300),ROW(A134)),"")</f>
        <v/>
      </c>
      <c r="S134" s="51" t="str">
        <f t="array" aca="1" ref="S134" ca="1">IF($R134&lt;&gt;"",
INDIRECT(""&amp;IF(COLUMN(C154)&lt;=26,CHAR(COLUMN(C154)+64),CHAR(INT((COLUMN(C154)-1)/26)+64)&amp;CHAR(MOD(COLUMN(C154)-1,26)+65))&amp;$R134&amp;""),"")</f>
        <v/>
      </c>
      <c r="T134" s="51" t="str" cm="1">
        <f t="array" aca="1" ref="T134" ca="1">IF(IF($R134&lt;&gt;"",
INDIRECT(""&amp;IF(COLUMN(D154)&lt;=26,CHAR(COLUMN(D154)+64),CHAR(INT((COLUMN(D154)-1)/26)+64)&amp;CHAR(MOD(COLUMN(D154)-1,26)+65))&amp;$R134&amp;""),"")=0,"",
IF($R134&lt;&gt;"",
INDIRECT(""&amp;IF(COLUMN(D154)&lt;=26,CHAR(COLUMN(D154)+64),CHAR(INT((COLUMN(D154)-1)/26)+64)&amp;CHAR(MOD(COLUMN(D154)-1,26)+65))&amp;$R134&amp;""),""))</f>
        <v/>
      </c>
      <c r="U134" s="51"/>
      <c r="V134" s="51" t="str">
        <f t="array" aca="1" ref="V134" ca="1">IF($R134&lt;&gt;"",
IF(U134="",
IF(INDIRECT("EY"&amp;$R134&amp;"")&lt;&gt;"",
INDIRECT("EY"&amp;$R134&amp;"")&amp;"箱"
&amp;INDIRECT("EZ"&amp;$R134&amp;""),""),""),"")</f>
        <v/>
      </c>
      <c r="W134" s="51" t="str">
        <f t="array" aca="1" ref="W134" ca="1">IF($R134&lt;&gt;"",
INDIRECT(""&amp;IF(COLUMN(H154)&lt;=26,CHAR(COLUMN(H154)+64),CHAR(INT((COLUMN(H154)-1)/26)+64)&amp;CHAR(MOD(COLUMN(H154)-1,26)+65))&amp;$R134&amp;""),"")</f>
        <v/>
      </c>
      <c r="X134" s="51" t="str">
        <f t="array" aca="1" ref="X134" ca="1">IF($R134&lt;&gt;"",
INDIRECT(""&amp;IF(COLUMN(I154)&lt;=26,CHAR(COLUMN(I154)+64),CHAR(INT((COLUMN(I154)-1)/26)+64)&amp;CHAR(MOD(COLUMN(I154)-1,26)+65))&amp;$R134&amp;""),"")</f>
        <v/>
      </c>
      <c r="Y134" s="51" t="str">
        <f t="array" aca="1" ref="Y134" ca="1">IF($R134&lt;&gt;"",
INDIRECT(""&amp;IF(COLUMN(J154)&lt;=26,CHAR(COLUMN(J154)+64),CHAR(INT((COLUMN(J154)-1)/26)+64)&amp;CHAR(MOD(COLUMN(J154)-1,26)+65))&amp;$R134&amp;""),"")</f>
        <v/>
      </c>
      <c r="Z134" s="51" t="str">
        <f t="array" aca="1" ref="Z134" ca="1">IF($R134&lt;&gt;"",
INDIRECT(""&amp;IF(COLUMN(K154)&lt;=26,CHAR(COLUMN(K154)+64),CHAR(INT((COLUMN(K154)-1)/26)+64)&amp;CHAR(MOD(COLUMN(K154)-1,26)+65))&amp;$R134&amp;""),"")</f>
        <v/>
      </c>
      <c r="AA134" s="51" t="str">
        <f t="array" aca="1" ref="AA134" ca="1">IF($R134&lt;&gt;"",
INDIRECT(""&amp;IF(COLUMN(L154)&lt;=26,CHAR(COLUMN(L154)+64),CHAR(INT((COLUMN(L154)-1)/26)+64)&amp;CHAR(MOD(COLUMN(L154)-1,26)+65))&amp;$R134&amp;""),"")</f>
        <v/>
      </c>
      <c r="AB134" s="51" t="str">
        <f t="array" aca="1" ref="AB134" ca="1">IF($R134&lt;&gt;"",
INDIRECT(""&amp;IF(COLUMN(O154)&lt;=26,CHAR(COLUMN(O154)+64),CHAR(INT((COLUMN(O154)-1)/26)+64)&amp;CHAR(MOD(COLUMN(O154)-1,26)+65))&amp;$R134&amp;""),"")</f>
        <v/>
      </c>
    </row>
    <row r="135" spans="1:28" ht="22.2" customHeight="1">
      <c r="A135" s="199">
        <f t="shared" si="29"/>
        <v>135</v>
      </c>
      <c r="B135" s="200" t="e" cm="1">
        <f t="array" aca="1" ref="B135" ca="1">IF(AND(LEFT(C135,2)="博多",
LEFT(INDIRECT("数出表_Excel!A"&amp;MATCH(C135,数出表_Excel!$A:$A,0)-1),2)
=LEFT(INDIRECT("数出表_Excel!A"&amp;MATCH(C135,数出表_Excel!$A:$A,0)+1),2)),"博多",
IF(AND(LEFT(C135,3)="奈良屋",
LEFT(INDIRECT("数出表_Excel!A"&amp;MATCH(C135,数出表_Excel!$A:$A,0)-1),2)
=LEFT(INDIRECT("数出表_Excel!A"&amp;MATCH(C135,数出表_Excel!$A:$A,0)+1),2)),"奈良屋",""))</f>
        <v>#N/A</v>
      </c>
      <c r="C135" s="200" t="str" cm="1">
        <f t="array" aca="1" ref="C135" ca="1">IF(IF(クライアント抽出!A65="",0,LEN(クライアント抽出!V65)-LEN(SUBSTITUTE(クライアント抽出!V65,",","")))&gt;=2,INDIRECT("数出表_Excel!A"&amp;A135&amp;""),"")</f>
        <v/>
      </c>
      <c r="D135" s="200" t="str" cm="1">
        <f t="array" aca="1" ref="D135" ca="1">IF(C135&lt;&gt;"",INDIRECT("クライアント抽出!"&amp;E135&amp;MATCH(C135,クライアント抽出!A:A,0)&amp;""),"")</f>
        <v/>
      </c>
      <c r="E135" s="20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201" t="str" cm="1">
        <f t="array" aca="1" ref="F135" ca="1">IF(D135&lt;&gt;"",
IF(COUNTIF(C135,"*雙葉*"),
IF(ROUND(
IF(O135&lt;&gt;"",(H135-O135),H135)
/IF(COUNTIF('盛付札（関数）'!D135,"*キャラ*"),
VLOOKUP("*キャラ*",#REF!,7,FALSE),
IF(COUNTIF('盛付札（関数）'!D135,"*赤*"),
VLOOKUP("*赤*",#REF!,7,FALSE),
VLOOKUP('盛付札（関数）'!D135,#REF!,7,FALSE))),0)&lt;=0,1,
ROUND(
IF(O135&lt;&gt;"",(H135-O135),H135)
/IF(COUNTIF('盛付札（関数）'!D135,"*キャラ*"),
VLOOKUP("*キャラ*",#REF!,7,FALSE),
IF(COUNTIF('盛付札（関数）'!D135,"*赤*"),
VLOOKUP("*赤*",#REF!,7,FALSE),
VLOOKUP('盛付札（関数）'!D135,#REF!,7,FALSE))),0)),
IF(MATCH(TRUE,
ISNUMBER(--INDIRECT("数出表_Excel!B"&amp;MATCH(C135,数出表_Excel!$A:$A,0)-1&amp;":U"&amp;MATCH(C135,数出表_Excel!$A:$A,0)-1&amp;"")),0)&gt;10,
IF(D135&lt;&gt;"",
IF(IF(COUNTIF('盛付札（関数）'!D135,"*キャラ*"),
VLOOKUP("*キャラ*",#REF!,7,FALSE),
IF(COUNTIF('盛付札（関数）'!D135,"*赤*"),
VLOOKUP("*赤*",#REF!,7,FALSE),
VLOOKUP('盛付札（関数）'!D135,#REF!,7,FALSE)))=0,"",
IF(ROUND(
IF(O135&lt;&gt;"",(H135-O135),H135)
/IF(COUNTIF('盛付札（関数）'!D135,"*キャラ*"),
VLOOKUP("*キャラ*",#REF!,7,FALSE),
IF(COUNTIF('盛付札（関数）'!D135,"*赤*"),
VLOOKUP("*赤*",#REF!,7,FALSE),
VLOOKUP('盛付札（関数）'!D135,#REF!,7,FALSE))),0)&lt;=0,1,
ROUND(
IF(O135&lt;&gt;"",(H135-O135),H135)
/IF(COUNTIF('盛付札（関数）'!D135,"*キャラ*"),
VLOOKUP("*キャラ*",#REF!,7,FALSE),
IF(COUNTIF('盛付札（関数）'!D135,"*赤*"),
VLOOKUP("*赤*",#REF!,7,FALSE),
VLOOKUP('盛付札（関数）'!D135,#REF!,7,FALSE))),0))),""),"")),"")</f>
        <v/>
      </c>
      <c r="G135" s="201" t="str">
        <f ca="1">IF(F135&lt;&gt;"",IF(VALUE(IF(O135&lt;&gt;"",H135-O135,H135))&gt;VALUE(IF(COUNTIF('盛付札（関数）'!D135,"*キャラ*"),
VLOOKUP("*キャラ*",#REF!,7,FALSE),
IF(COUNTIF('盛付札（関数）'!D135,"*赤*"),
VLOOKUP("*赤*",#REF!,7,FALSE),
VLOOKUP('盛付札（関数）'!D135,#REF!,7,FALSE)))*F135),
"+"&amp;IF(O135&lt;&gt;"",H135-O135,H135)-IF(COUNTIF('盛付札（関数）'!D135,"*キャラ*"),
VLOOKUP("*キャラ*",#REF!,7,FALSE),
IF(COUNTIF('盛付札（関数）'!D135,"*赤*"),
VLOOKUP("*赤*",#REF!,7,FALSE),
VLOOKUP('盛付札（関数）'!D135,#REF!,7,FALSE)))*F135,
IF(O135&lt;&gt;"",H135-O135,H135)-IF(COUNTIF('盛付札（関数）'!D135,"*キャラ*"),
VLOOKUP("*キャラ*",#REF!,7,FALSE),
IF(COUNTIF('盛付札（関数）'!D135,"*赤*"),
VLOOKUP("*赤*",#REF!,7,FALSE),
VLOOKUP('盛付札（関数）'!D135,#REF!,7,FALSE)))*F135),"")</f>
        <v/>
      </c>
      <c r="H135" s="202" t="str" cm="1">
        <f t="array" aca="1" ref="H135" ca="1">IF(C135&lt;&gt;"",
IF(INDIRECT("数出表_Excel!"&amp;IFERROR(MID(クライアント抽出!V65,FIND(",",クライアント抽出!V65)+1,1),"")&amp;A135-1&amp;"")&lt;&gt;"",
INDIRECT("数出表_Excel!"&amp;IFERROR(MID(クライアント抽出!V65,FIND(",",クライアント抽出!V65)+1,1),"")&amp;A135-1&amp;""),0),"")</f>
        <v/>
      </c>
      <c r="I135" s="200" t="str" cm="1">
        <f t="array" aca="1" ref="I135" ca="1">IF(C135&lt;&gt;"",
IF(INDIRECT("数出表_Excel!"&amp;IFERROR(MID(クライアント抽出!V65,FIND(",",クライアント抽出!V65)+1,1),"")&amp;A135&amp;"")&lt;&gt;"",
INDIRECT("数出表_Excel!"&amp;IFERROR(MID(クライアント抽出!V65,FIND(",",クライアント抽出!V65)+1,1),"")&amp;A135&amp;""),0),"")</f>
        <v/>
      </c>
      <c r="J135" s="200" t="str">
        <f ca="1">IF(C135&lt;&gt;"",
VLOOKUP(
IF(COUNTIF(D135,"*学食*"),"キャラ弁（学食）",
IF(COUNTIF(D135,"*赤*"),"赤",
IF(COUNTIF(D135,"*キャラ弁当*"),"キャラ弁当",D135))),注文弁当の抽出!$E$1:$F$15,2,FALSE),"")</f>
        <v/>
      </c>
      <c r="K135" s="200" t="str">
        <f t="shared" ca="1" si="30"/>
        <v/>
      </c>
      <c r="L135" s="200" t="str">
        <f t="shared" ca="1" si="31"/>
        <v/>
      </c>
      <c r="M135" s="200" cm="1">
        <f t="array" aca="1" ref="M135" ca="1">IF(C135&lt;&gt;"",
IF(IFERROR(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0)&lt;&gt;0,
IF(IFERROR(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"")="",
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""),
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0)),0),0)</f>
        <v>0</v>
      </c>
      <c r="N135" s="200" t="e">
        <f t="array" aca="1" ref="N135" ca="1">IF(B135="博多",
IF(C135&lt;&gt;"",
IF(IFERROR(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0)&lt;&gt;0,
IF(IFERROR(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0)="",
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0),
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0)),0),""),0)</f>
        <v>#N/A</v>
      </c>
      <c r="O135" s="200" t="e">
        <f t="shared" ca="1" si="32"/>
        <v>#N/A</v>
      </c>
      <c r="P135" s="200">
        <f t="shared" ca="1" si="4"/>
        <v>0</v>
      </c>
      <c r="Q135" s="200" t="b">
        <f t="shared" ca="1" si="33"/>
        <v>0</v>
      </c>
      <c r="R135" s="51" t="str" cm="1">
        <f t="array" aca="1" ref="R135" ca="1">IFERROR(SMALL(IF(P$1:P$300&lt;&gt;0,P$1:P$300),ROW(A135)),"")</f>
        <v/>
      </c>
      <c r="S135" s="51" t="str">
        <f t="array" aca="1" ref="S135" ca="1">IF($R135&lt;&gt;"",
INDIRECT(""&amp;IF(COLUMN(C155)&lt;=26,CHAR(COLUMN(C155)+64),CHAR(INT((COLUMN(C155)-1)/26)+64)&amp;CHAR(MOD(COLUMN(C155)-1,26)+65))&amp;$R135&amp;""),"")</f>
        <v/>
      </c>
      <c r="T135" s="51" t="str" cm="1">
        <f t="array" aca="1" ref="T135" ca="1">IF(IF($R135&lt;&gt;"",
INDIRECT(""&amp;IF(COLUMN(D155)&lt;=26,CHAR(COLUMN(D155)+64),CHAR(INT((COLUMN(D155)-1)/26)+64)&amp;CHAR(MOD(COLUMN(D155)-1,26)+65))&amp;$R135&amp;""),"")=0,"",
IF($R135&lt;&gt;"",
INDIRECT(""&amp;IF(COLUMN(D155)&lt;=26,CHAR(COLUMN(D155)+64),CHAR(INT((COLUMN(D155)-1)/26)+64)&amp;CHAR(MOD(COLUMN(D155)-1,26)+65))&amp;$R135&amp;""),""))</f>
        <v/>
      </c>
      <c r="U135" s="51"/>
      <c r="V135" s="51" t="str">
        <f t="array" aca="1" ref="V135" ca="1">IF($R135&lt;&gt;"",
IF(U135="",
IF(INDIRECT("EY"&amp;$R135&amp;"")&lt;&gt;"",
INDIRECT("EY"&amp;$R135&amp;"")&amp;"箱"
&amp;INDIRECT("EZ"&amp;$R135&amp;""),""),""),"")</f>
        <v/>
      </c>
      <c r="W135" s="51" t="str">
        <f t="array" aca="1" ref="W135" ca="1">IF($R135&lt;&gt;"",
INDIRECT(""&amp;IF(COLUMN(H155)&lt;=26,CHAR(COLUMN(H155)+64),CHAR(INT((COLUMN(H155)-1)/26)+64)&amp;CHAR(MOD(COLUMN(H155)-1,26)+65))&amp;$R135&amp;""),"")</f>
        <v/>
      </c>
      <c r="X135" s="51" t="str">
        <f t="array" aca="1" ref="X135" ca="1">IF($R135&lt;&gt;"",
INDIRECT(""&amp;IF(COLUMN(I155)&lt;=26,CHAR(COLUMN(I155)+64),CHAR(INT((COLUMN(I155)-1)/26)+64)&amp;CHAR(MOD(COLUMN(I155)-1,26)+65))&amp;$R135&amp;""),"")</f>
        <v/>
      </c>
      <c r="Y135" s="51" t="str">
        <f t="array" aca="1" ref="Y135" ca="1">IF($R135&lt;&gt;"",
INDIRECT(""&amp;IF(COLUMN(J155)&lt;=26,CHAR(COLUMN(J155)+64),CHAR(INT((COLUMN(J155)-1)/26)+64)&amp;CHAR(MOD(COLUMN(J155)-1,26)+65))&amp;$R135&amp;""),"")</f>
        <v/>
      </c>
      <c r="Z135" s="51" t="str">
        <f t="array" aca="1" ref="Z135" ca="1">IF($R135&lt;&gt;"",
INDIRECT(""&amp;IF(COLUMN(K155)&lt;=26,CHAR(COLUMN(K155)+64),CHAR(INT((COLUMN(K155)-1)/26)+64)&amp;CHAR(MOD(COLUMN(K155)-1,26)+65))&amp;$R135&amp;""),"")</f>
        <v/>
      </c>
      <c r="AA135" s="51" t="str">
        <f t="array" aca="1" ref="AA135" ca="1">IF($R135&lt;&gt;"",
INDIRECT(""&amp;IF(COLUMN(L155)&lt;=26,CHAR(COLUMN(L155)+64),CHAR(INT((COLUMN(L155)-1)/26)+64)&amp;CHAR(MOD(COLUMN(L155)-1,26)+65))&amp;$R135&amp;""),"")</f>
        <v/>
      </c>
      <c r="AB135" s="51" t="str">
        <f t="array" aca="1" ref="AB135" ca="1">IF($R135&lt;&gt;"",
INDIRECT(""&amp;IF(COLUMN(O155)&lt;=26,CHAR(COLUMN(O155)+64),CHAR(INT((COLUMN(O155)-1)/26)+64)&amp;CHAR(MOD(COLUMN(O155)-1,26)+65))&amp;$R135&amp;""),"")</f>
        <v/>
      </c>
    </row>
    <row r="136" spans="1:28" ht="22.2" customHeight="1">
      <c r="A136" s="199">
        <f t="shared" si="29"/>
        <v>137</v>
      </c>
      <c r="B136" s="200" t="e" cm="1">
        <f t="array" aca="1" ref="B136" ca="1">IF(AND(LEFT(C136,2)="博多",
LEFT(INDIRECT("数出表_Excel!A"&amp;MATCH(C136,数出表_Excel!$A:$A,0)-1),2)
=LEFT(INDIRECT("数出表_Excel!A"&amp;MATCH(C136,数出表_Excel!$A:$A,0)+1),2)),"博多",
IF(AND(LEFT(C136,3)="奈良屋",
LEFT(INDIRECT("数出表_Excel!A"&amp;MATCH(C136,数出表_Excel!$A:$A,0)-1),2)
=LEFT(INDIRECT("数出表_Excel!A"&amp;MATCH(C136,数出表_Excel!$A:$A,0)+1),2)),"奈良屋",""))</f>
        <v>#N/A</v>
      </c>
      <c r="C136" s="200" t="str" cm="1">
        <f t="array" aca="1" ref="C136" ca="1">IF(IF(クライアント抽出!A66="",0,LEN(クライアント抽出!V66)-LEN(SUBSTITUTE(クライアント抽出!V66,",","")))&gt;=2,INDIRECT("数出表_Excel!A"&amp;A136&amp;""),"")</f>
        <v/>
      </c>
      <c r="D136" s="200" t="str" cm="1">
        <f t="array" aca="1" ref="D136" ca="1">IF(C136&lt;&gt;"",INDIRECT("クライアント抽出!"&amp;E136&amp;MATCH(C136,クライアント抽出!A:A,0)&amp;""),"")</f>
        <v/>
      </c>
      <c r="E136" s="20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201" t="str" cm="1">
        <f t="array" aca="1" ref="F136" ca="1">IF(D136&lt;&gt;"",
IF(COUNTIF(C136,"*雙葉*"),
IF(ROUND(
IF(O136&lt;&gt;"",(H136-O136),H136)
/IF(COUNTIF('盛付札（関数）'!D136,"*キャラ*"),
VLOOKUP("*キャラ*",#REF!,7,FALSE),
IF(COUNTIF('盛付札（関数）'!D136,"*赤*"),
VLOOKUP("*赤*",#REF!,7,FALSE),
VLOOKUP('盛付札（関数）'!D136,#REF!,7,FALSE))),0)&lt;=0,1,
ROUND(
IF(O136&lt;&gt;"",(H136-O136),H136)
/IF(COUNTIF('盛付札（関数）'!D136,"*キャラ*"),
VLOOKUP("*キャラ*",#REF!,7,FALSE),
IF(COUNTIF('盛付札（関数）'!D136,"*赤*"),
VLOOKUP("*赤*",#REF!,7,FALSE),
VLOOKUP('盛付札（関数）'!D136,#REF!,7,FALSE))),0)),
IF(MATCH(TRUE,
ISNUMBER(--INDIRECT("数出表_Excel!B"&amp;MATCH(C136,数出表_Excel!$A:$A,0)-1&amp;":U"&amp;MATCH(C136,数出表_Excel!$A:$A,0)-1&amp;"")),0)&gt;10,
IF(D136&lt;&gt;"",
IF(IF(COUNTIF('盛付札（関数）'!D136,"*キャラ*"),
VLOOKUP("*キャラ*",#REF!,7,FALSE),
IF(COUNTIF('盛付札（関数）'!D136,"*赤*"),
VLOOKUP("*赤*",#REF!,7,FALSE),
VLOOKUP('盛付札（関数）'!D136,#REF!,7,FALSE)))=0,"",
IF(ROUND(
IF(O136&lt;&gt;"",(H136-O136),H136)
/IF(COUNTIF('盛付札（関数）'!D136,"*キャラ*"),
VLOOKUP("*キャラ*",#REF!,7,FALSE),
IF(COUNTIF('盛付札（関数）'!D136,"*赤*"),
VLOOKUP("*赤*",#REF!,7,FALSE),
VLOOKUP('盛付札（関数）'!D136,#REF!,7,FALSE))),0)&lt;=0,1,
ROUND(
IF(O136&lt;&gt;"",(H136-O136),H136)
/IF(COUNTIF('盛付札（関数）'!D136,"*キャラ*"),
VLOOKUP("*キャラ*",#REF!,7,FALSE),
IF(COUNTIF('盛付札（関数）'!D136,"*赤*"),
VLOOKUP("*赤*",#REF!,7,FALSE),
VLOOKUP('盛付札（関数）'!D136,#REF!,7,FALSE))),0))),""),"")),"")</f>
        <v/>
      </c>
      <c r="G136" s="201" t="str">
        <f ca="1">IF(F136&lt;&gt;"",IF(VALUE(IF(O136&lt;&gt;"",H136-O136,H136))&gt;VALUE(IF(COUNTIF('盛付札（関数）'!D136,"*キャラ*"),
VLOOKUP("*キャラ*",#REF!,7,FALSE),
IF(COUNTIF('盛付札（関数）'!D136,"*赤*"),
VLOOKUP("*赤*",#REF!,7,FALSE),
VLOOKUP('盛付札（関数）'!D136,#REF!,7,FALSE)))*F136),
"+"&amp;IF(O136&lt;&gt;"",H136-O136,H136)-IF(COUNTIF('盛付札（関数）'!D136,"*キャラ*"),
VLOOKUP("*キャラ*",#REF!,7,FALSE),
IF(COUNTIF('盛付札（関数）'!D136,"*赤*"),
VLOOKUP("*赤*",#REF!,7,FALSE),
VLOOKUP('盛付札（関数）'!D136,#REF!,7,FALSE)))*F136,
IF(O136&lt;&gt;"",H136-O136,H136)-IF(COUNTIF('盛付札（関数）'!D136,"*キャラ*"),
VLOOKUP("*キャラ*",#REF!,7,FALSE),
IF(COUNTIF('盛付札（関数）'!D136,"*赤*"),
VLOOKUP("*赤*",#REF!,7,FALSE),
VLOOKUP('盛付札（関数）'!D136,#REF!,7,FALSE)))*F136),"")</f>
        <v/>
      </c>
      <c r="H136" s="202" t="str" cm="1">
        <f t="array" aca="1" ref="H136" ca="1">IF(C136&lt;&gt;"",
IF(INDIRECT("数出表_Excel!"&amp;IFERROR(MID(クライアント抽出!V66,FIND(",",クライアント抽出!V66)+1,1),"")&amp;A136-1&amp;"")&lt;&gt;"",
INDIRECT("数出表_Excel!"&amp;IFERROR(MID(クライアント抽出!V66,FIND(",",クライアント抽出!V66)+1,1),"")&amp;A136-1&amp;""),0),"")</f>
        <v/>
      </c>
      <c r="I136" s="200" t="str" cm="1">
        <f t="array" aca="1" ref="I136" ca="1">IF(C136&lt;&gt;"",
IF(INDIRECT("数出表_Excel!"&amp;IFERROR(MID(クライアント抽出!V66,FIND(",",クライアント抽出!V66)+1,1),"")&amp;A136&amp;"")&lt;&gt;"",
INDIRECT("数出表_Excel!"&amp;IFERROR(MID(クライアント抽出!V66,FIND(",",クライアント抽出!V66)+1,1),"")&amp;A136&amp;""),0),"")</f>
        <v/>
      </c>
      <c r="J136" s="200" t="str">
        <f ca="1">IF(C136&lt;&gt;"",
VLOOKUP(
IF(COUNTIF(D136,"*学食*"),"キャラ弁（学食）",
IF(COUNTIF(D136,"*赤*"),"赤",
IF(COUNTIF(D136,"*キャラ弁当*"),"キャラ弁当",D136))),注文弁当の抽出!$E$1:$F$15,2,FALSE),"")</f>
        <v/>
      </c>
      <c r="K136" s="200" t="str">
        <f t="shared" ca="1" si="30"/>
        <v/>
      </c>
      <c r="L136" s="200" t="str">
        <f t="shared" ca="1" si="31"/>
        <v/>
      </c>
      <c r="M136" s="200" cm="1">
        <f t="array" aca="1" ref="M136" ca="1">IF(C136&lt;&gt;"",
IF(IFERROR(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0)&lt;&gt;0,
IF(IFERROR(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"")="",
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""),
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0)),0),0)</f>
        <v>0</v>
      </c>
      <c r="N136" s="200" t="e">
        <f t="array" aca="1" ref="N136" ca="1">IF(B136="博多",
IF(C136&lt;&gt;"",
IF(IFERROR(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0)&lt;&gt;0,
IF(IFERROR(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0)="",
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0),
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0)),0),""),0)</f>
        <v>#N/A</v>
      </c>
      <c r="O136" s="200" t="e">
        <f t="shared" ca="1" si="32"/>
        <v>#N/A</v>
      </c>
      <c r="P136" s="200">
        <f t="shared" ca="1" si="4"/>
        <v>0</v>
      </c>
      <c r="Q136" s="200" t="b">
        <f t="shared" ca="1" si="33"/>
        <v>0</v>
      </c>
      <c r="R136" s="51" t="str" cm="1">
        <f t="array" aca="1" ref="R136" ca="1">IFERROR(SMALL(IF(P$1:P$300&lt;&gt;0,P$1:P$300),ROW(A136)),"")</f>
        <v/>
      </c>
      <c r="S136" s="51" t="str">
        <f t="array" aca="1" ref="S136" ca="1">IF($R136&lt;&gt;"",
INDIRECT(""&amp;IF(COLUMN(C156)&lt;=26,CHAR(COLUMN(C156)+64),CHAR(INT((COLUMN(C156)-1)/26)+64)&amp;CHAR(MOD(COLUMN(C156)-1,26)+65))&amp;$R136&amp;""),"")</f>
        <v/>
      </c>
      <c r="T136" s="51" t="str" cm="1">
        <f t="array" aca="1" ref="T136" ca="1">IF(IF($R136&lt;&gt;"",
INDIRECT(""&amp;IF(COLUMN(D156)&lt;=26,CHAR(COLUMN(D156)+64),CHAR(INT((COLUMN(D156)-1)/26)+64)&amp;CHAR(MOD(COLUMN(D156)-1,26)+65))&amp;$R136&amp;""),"")=0,"",
IF($R136&lt;&gt;"",
INDIRECT(""&amp;IF(COLUMN(D156)&lt;=26,CHAR(COLUMN(D156)+64),CHAR(INT((COLUMN(D156)-1)/26)+64)&amp;CHAR(MOD(COLUMN(D156)-1,26)+65))&amp;$R136&amp;""),""))</f>
        <v/>
      </c>
      <c r="U136" s="51"/>
      <c r="V136" s="51" t="str">
        <f t="array" aca="1" ref="V136" ca="1">IF($R136&lt;&gt;"",
IF(U136="",
IF(INDIRECT("EY"&amp;$R136&amp;"")&lt;&gt;"",
INDIRECT("EY"&amp;$R136&amp;"")&amp;"箱"
&amp;INDIRECT("EZ"&amp;$R136&amp;""),""),""),"")</f>
        <v/>
      </c>
      <c r="W136" s="51" t="str">
        <f t="array" aca="1" ref="W136" ca="1">IF($R136&lt;&gt;"",
INDIRECT(""&amp;IF(COLUMN(H156)&lt;=26,CHAR(COLUMN(H156)+64),CHAR(INT((COLUMN(H156)-1)/26)+64)&amp;CHAR(MOD(COLUMN(H156)-1,26)+65))&amp;$R136&amp;""),"")</f>
        <v/>
      </c>
      <c r="X136" s="51" t="str">
        <f t="array" aca="1" ref="X136" ca="1">IF($R136&lt;&gt;"",
INDIRECT(""&amp;IF(COLUMN(I156)&lt;=26,CHAR(COLUMN(I156)+64),CHAR(INT((COLUMN(I156)-1)/26)+64)&amp;CHAR(MOD(COLUMN(I156)-1,26)+65))&amp;$R136&amp;""),"")</f>
        <v/>
      </c>
      <c r="Y136" s="51" t="str">
        <f t="array" aca="1" ref="Y136" ca="1">IF($R136&lt;&gt;"",
INDIRECT(""&amp;IF(COLUMN(J156)&lt;=26,CHAR(COLUMN(J156)+64),CHAR(INT((COLUMN(J156)-1)/26)+64)&amp;CHAR(MOD(COLUMN(J156)-1,26)+65))&amp;$R136&amp;""),"")</f>
        <v/>
      </c>
      <c r="Z136" s="51" t="str">
        <f t="array" aca="1" ref="Z136" ca="1">IF($R136&lt;&gt;"",
INDIRECT(""&amp;IF(COLUMN(K156)&lt;=26,CHAR(COLUMN(K156)+64),CHAR(INT((COLUMN(K156)-1)/26)+64)&amp;CHAR(MOD(COLUMN(K156)-1,26)+65))&amp;$R136&amp;""),"")</f>
        <v/>
      </c>
      <c r="AA136" s="51" t="str">
        <f t="array" aca="1" ref="AA136" ca="1">IF($R136&lt;&gt;"",
INDIRECT(""&amp;IF(COLUMN(L156)&lt;=26,CHAR(COLUMN(L156)+64),CHAR(INT((COLUMN(L156)-1)/26)+64)&amp;CHAR(MOD(COLUMN(L156)-1,26)+65))&amp;$R136&amp;""),"")</f>
        <v/>
      </c>
      <c r="AB136" s="51" t="str">
        <f t="array" aca="1" ref="AB136" ca="1">IF($R136&lt;&gt;"",
INDIRECT(""&amp;IF(COLUMN(O156)&lt;=26,CHAR(COLUMN(O156)+64),CHAR(INT((COLUMN(O156)-1)/26)+64)&amp;CHAR(MOD(COLUMN(O156)-1,26)+65))&amp;$R136&amp;""),"")</f>
        <v/>
      </c>
    </row>
    <row r="137" spans="1:28" ht="22.2" customHeight="1">
      <c r="A137" s="199">
        <f t="shared" si="29"/>
        <v>139</v>
      </c>
      <c r="B137" s="200" t="e" cm="1">
        <f t="array" aca="1" ref="B137" ca="1">IF(AND(LEFT(C137,2)="博多",
LEFT(INDIRECT("数出表_Excel!A"&amp;MATCH(C137,数出表_Excel!$A:$A,0)-1),2)
=LEFT(INDIRECT("数出表_Excel!A"&amp;MATCH(C137,数出表_Excel!$A:$A,0)+1),2)),"博多",
IF(AND(LEFT(C137,3)="奈良屋",
LEFT(INDIRECT("数出表_Excel!A"&amp;MATCH(C137,数出表_Excel!$A:$A,0)-1),2)
=LEFT(INDIRECT("数出表_Excel!A"&amp;MATCH(C137,数出表_Excel!$A:$A,0)+1),2)),"奈良屋",""))</f>
        <v>#N/A</v>
      </c>
      <c r="C137" s="200" t="str" cm="1">
        <f t="array" aca="1" ref="C137" ca="1">IF(IF(クライアント抽出!A67="",0,LEN(クライアント抽出!V67)-LEN(SUBSTITUTE(クライアント抽出!V67,",","")))&gt;=2,INDIRECT("数出表_Excel!A"&amp;A137&amp;""),"")</f>
        <v/>
      </c>
      <c r="D137" s="200" t="str" cm="1">
        <f t="array" aca="1" ref="D137" ca="1">IF(C137&lt;&gt;"",INDIRECT("クライアント抽出!"&amp;E137&amp;MATCH(C137,クライアント抽出!A:A,0)&amp;""),"")</f>
        <v/>
      </c>
      <c r="E137" s="20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201" t="str" cm="1">
        <f t="array" aca="1" ref="F137" ca="1">IF(D137&lt;&gt;"",
IF(COUNTIF(C137,"*雙葉*"),
IF(ROUND(
IF(O137&lt;&gt;"",(H137-O137),H137)
/IF(COUNTIF('盛付札（関数）'!D137,"*キャラ*"),
VLOOKUP("*キャラ*",#REF!,7,FALSE),
IF(COUNTIF('盛付札（関数）'!D137,"*赤*"),
VLOOKUP("*赤*",#REF!,7,FALSE),
VLOOKUP('盛付札（関数）'!D137,#REF!,7,FALSE))),0)&lt;=0,1,
ROUND(
IF(O137&lt;&gt;"",(H137-O137),H137)
/IF(COUNTIF('盛付札（関数）'!D137,"*キャラ*"),
VLOOKUP("*キャラ*",#REF!,7,FALSE),
IF(COUNTIF('盛付札（関数）'!D137,"*赤*"),
VLOOKUP("*赤*",#REF!,7,FALSE),
VLOOKUP('盛付札（関数）'!D137,#REF!,7,FALSE))),0)),
IF(MATCH(TRUE,
ISNUMBER(--INDIRECT("数出表_Excel!B"&amp;MATCH(C137,数出表_Excel!$A:$A,0)-1&amp;":U"&amp;MATCH(C137,数出表_Excel!$A:$A,0)-1&amp;"")),0)&gt;10,
IF(D137&lt;&gt;"",
IF(IF(COUNTIF('盛付札（関数）'!D137,"*キャラ*"),
VLOOKUP("*キャラ*",#REF!,7,FALSE),
IF(COUNTIF('盛付札（関数）'!D137,"*赤*"),
VLOOKUP("*赤*",#REF!,7,FALSE),
VLOOKUP('盛付札（関数）'!D137,#REF!,7,FALSE)))=0,"",
IF(ROUND(
IF(O137&lt;&gt;"",(H137-O137),H137)
/IF(COUNTIF('盛付札（関数）'!D137,"*キャラ*"),
VLOOKUP("*キャラ*",#REF!,7,FALSE),
IF(COUNTIF('盛付札（関数）'!D137,"*赤*"),
VLOOKUP("*赤*",#REF!,7,FALSE),
VLOOKUP('盛付札（関数）'!D137,#REF!,7,FALSE))),0)&lt;=0,1,
ROUND(
IF(O137&lt;&gt;"",(H137-O137),H137)
/IF(COUNTIF('盛付札（関数）'!D137,"*キャラ*"),
VLOOKUP("*キャラ*",#REF!,7,FALSE),
IF(COUNTIF('盛付札（関数）'!D137,"*赤*"),
VLOOKUP("*赤*",#REF!,7,FALSE),
VLOOKUP('盛付札（関数）'!D137,#REF!,7,FALSE))),0))),""),"")),"")</f>
        <v/>
      </c>
      <c r="G137" s="201" t="str">
        <f ca="1">IF(F137&lt;&gt;"",IF(VALUE(IF(O137&lt;&gt;"",H137-O137,H137))&gt;VALUE(IF(COUNTIF('盛付札（関数）'!D137,"*キャラ*"),
VLOOKUP("*キャラ*",#REF!,7,FALSE),
IF(COUNTIF('盛付札（関数）'!D137,"*赤*"),
VLOOKUP("*赤*",#REF!,7,FALSE),
VLOOKUP('盛付札（関数）'!D137,#REF!,7,FALSE)))*F137),
"+"&amp;IF(O137&lt;&gt;"",H137-O137,H137)-IF(COUNTIF('盛付札（関数）'!D137,"*キャラ*"),
VLOOKUP("*キャラ*",#REF!,7,FALSE),
IF(COUNTIF('盛付札（関数）'!D137,"*赤*"),
VLOOKUP("*赤*",#REF!,7,FALSE),
VLOOKUP('盛付札（関数）'!D137,#REF!,7,FALSE)))*F137,
IF(O137&lt;&gt;"",H137-O137,H137)-IF(COUNTIF('盛付札（関数）'!D137,"*キャラ*"),
VLOOKUP("*キャラ*",#REF!,7,FALSE),
IF(COUNTIF('盛付札（関数）'!D137,"*赤*"),
VLOOKUP("*赤*",#REF!,7,FALSE),
VLOOKUP('盛付札（関数）'!D137,#REF!,7,FALSE)))*F137),"")</f>
        <v/>
      </c>
      <c r="H137" s="202" t="str" cm="1">
        <f t="array" aca="1" ref="H137" ca="1">IF(C137&lt;&gt;"",
IF(INDIRECT("数出表_Excel!"&amp;IFERROR(MID(クライアント抽出!V67,FIND(",",クライアント抽出!V67)+1,1),"")&amp;A137-1&amp;"")&lt;&gt;"",
INDIRECT("数出表_Excel!"&amp;IFERROR(MID(クライアント抽出!V67,FIND(",",クライアント抽出!V67)+1,1),"")&amp;A137-1&amp;""),0),"")</f>
        <v/>
      </c>
      <c r="I137" s="200" t="str" cm="1">
        <f t="array" aca="1" ref="I137" ca="1">IF(C137&lt;&gt;"",
IF(INDIRECT("数出表_Excel!"&amp;IFERROR(MID(クライアント抽出!V67,FIND(",",クライアント抽出!V67)+1,1),"")&amp;A137&amp;"")&lt;&gt;"",
INDIRECT("数出表_Excel!"&amp;IFERROR(MID(クライアント抽出!V67,FIND(",",クライアント抽出!V67)+1,1),"")&amp;A137&amp;""),0),"")</f>
        <v/>
      </c>
      <c r="J137" s="200" t="str">
        <f ca="1">IF(C137&lt;&gt;"",
VLOOKUP(
IF(COUNTIF(D137,"*学食*"),"キャラ弁（学食）",
IF(COUNTIF(D137,"*赤*"),"赤",
IF(COUNTIF(D137,"*キャラ弁当*"),"キャラ弁当",D137))),注文弁当の抽出!$E$1:$F$15,2,FALSE),"")</f>
        <v/>
      </c>
      <c r="K137" s="200" t="str">
        <f t="shared" ca="1" si="30"/>
        <v/>
      </c>
      <c r="L137" s="200" t="str">
        <f t="shared" ca="1" si="31"/>
        <v/>
      </c>
      <c r="M137" s="200" cm="1">
        <f t="array" aca="1" ref="M137" ca="1">IF(C137&lt;&gt;"",
IF(IFERROR(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0)&lt;&gt;0,
IF(IFERROR(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"")="",
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""),
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0)),0),0)</f>
        <v>0</v>
      </c>
      <c r="N137" s="200" t="e">
        <f t="array" aca="1" ref="N137" ca="1">IF(B137="博多",
IF(C137&lt;&gt;"",
IF(IFERROR(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0)&lt;&gt;0,
IF(IFERROR(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0)="",
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0),
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0)),0),""),0)</f>
        <v>#N/A</v>
      </c>
      <c r="O137" s="200" t="e">
        <f t="shared" ca="1" si="32"/>
        <v>#N/A</v>
      </c>
      <c r="P137" s="200">
        <f t="shared" ca="1" si="4"/>
        <v>0</v>
      </c>
      <c r="Q137" s="200" t="b">
        <f t="shared" ca="1" si="33"/>
        <v>0</v>
      </c>
      <c r="R137" s="51" t="str" cm="1">
        <f t="array" aca="1" ref="R137" ca="1">IFERROR(SMALL(IF(P$1:P$300&lt;&gt;0,P$1:P$300),ROW(A137)),"")</f>
        <v/>
      </c>
      <c r="S137" s="51" t="str">
        <f t="array" aca="1" ref="S137" ca="1">IF($R137&lt;&gt;"",
INDIRECT(""&amp;IF(COLUMN(C157)&lt;=26,CHAR(COLUMN(C157)+64),CHAR(INT((COLUMN(C157)-1)/26)+64)&amp;CHAR(MOD(COLUMN(C157)-1,26)+65))&amp;$R137&amp;""),"")</f>
        <v/>
      </c>
      <c r="T137" s="51" t="str" cm="1">
        <f t="array" aca="1" ref="T137" ca="1">IF(IF($R137&lt;&gt;"",
INDIRECT(""&amp;IF(COLUMN(D157)&lt;=26,CHAR(COLUMN(D157)+64),CHAR(INT((COLUMN(D157)-1)/26)+64)&amp;CHAR(MOD(COLUMN(D157)-1,26)+65))&amp;$R137&amp;""),"")=0,"",
IF($R137&lt;&gt;"",
INDIRECT(""&amp;IF(COLUMN(D157)&lt;=26,CHAR(COLUMN(D157)+64),CHAR(INT((COLUMN(D157)-1)/26)+64)&amp;CHAR(MOD(COLUMN(D157)-1,26)+65))&amp;$R137&amp;""),""))</f>
        <v/>
      </c>
      <c r="U137" s="51"/>
      <c r="V137" s="51" t="str">
        <f t="array" aca="1" ref="V137" ca="1">IF($R137&lt;&gt;"",
IF(U137="",
IF(INDIRECT("EY"&amp;$R137&amp;"")&lt;&gt;"",
INDIRECT("EY"&amp;$R137&amp;"")&amp;"箱"
&amp;INDIRECT("EZ"&amp;$R137&amp;""),""),""),"")</f>
        <v/>
      </c>
      <c r="W137" s="51" t="str">
        <f t="array" aca="1" ref="W137" ca="1">IF($R137&lt;&gt;"",
INDIRECT(""&amp;IF(COLUMN(H157)&lt;=26,CHAR(COLUMN(H157)+64),CHAR(INT((COLUMN(H157)-1)/26)+64)&amp;CHAR(MOD(COLUMN(H157)-1,26)+65))&amp;$R137&amp;""),"")</f>
        <v/>
      </c>
      <c r="X137" s="51" t="str">
        <f t="array" aca="1" ref="X137" ca="1">IF($R137&lt;&gt;"",
INDIRECT(""&amp;IF(COLUMN(I157)&lt;=26,CHAR(COLUMN(I157)+64),CHAR(INT((COLUMN(I157)-1)/26)+64)&amp;CHAR(MOD(COLUMN(I157)-1,26)+65))&amp;$R137&amp;""),"")</f>
        <v/>
      </c>
      <c r="Y137" s="51" t="str">
        <f t="array" aca="1" ref="Y137" ca="1">IF($R137&lt;&gt;"",
INDIRECT(""&amp;IF(COLUMN(J157)&lt;=26,CHAR(COLUMN(J157)+64),CHAR(INT((COLUMN(J157)-1)/26)+64)&amp;CHAR(MOD(COLUMN(J157)-1,26)+65))&amp;$R137&amp;""),"")</f>
        <v/>
      </c>
      <c r="Z137" s="51" t="str">
        <f t="array" aca="1" ref="Z137" ca="1">IF($R137&lt;&gt;"",
INDIRECT(""&amp;IF(COLUMN(K157)&lt;=26,CHAR(COLUMN(K157)+64),CHAR(INT((COLUMN(K157)-1)/26)+64)&amp;CHAR(MOD(COLUMN(K157)-1,26)+65))&amp;$R137&amp;""),"")</f>
        <v/>
      </c>
      <c r="AA137" s="51" t="str">
        <f t="array" aca="1" ref="AA137" ca="1">IF($R137&lt;&gt;"",
INDIRECT(""&amp;IF(COLUMN(L157)&lt;=26,CHAR(COLUMN(L157)+64),CHAR(INT((COLUMN(L157)-1)/26)+64)&amp;CHAR(MOD(COLUMN(L157)-1,26)+65))&amp;$R137&amp;""),"")</f>
        <v/>
      </c>
      <c r="AB137" s="51" t="str">
        <f t="array" aca="1" ref="AB137" ca="1">IF($R137&lt;&gt;"",
INDIRECT(""&amp;IF(COLUMN(O157)&lt;=26,CHAR(COLUMN(O157)+64),CHAR(INT((COLUMN(O157)-1)/26)+64)&amp;CHAR(MOD(COLUMN(O157)-1,26)+65))&amp;$R137&amp;""),"")</f>
        <v/>
      </c>
    </row>
    <row r="138" spans="1:28" ht="22.2" customHeight="1">
      <c r="A138" s="199">
        <f t="shared" si="29"/>
        <v>141</v>
      </c>
      <c r="B138" s="200" t="e" cm="1">
        <f t="array" aca="1" ref="B138" ca="1">IF(AND(LEFT(C138,2)="博多",
LEFT(INDIRECT("数出表_Excel!A"&amp;MATCH(C138,数出表_Excel!$A:$A,0)-1),2)
=LEFT(INDIRECT("数出表_Excel!A"&amp;MATCH(C138,数出表_Excel!$A:$A,0)+1),2)),"博多",
IF(AND(LEFT(C138,3)="奈良屋",
LEFT(INDIRECT("数出表_Excel!A"&amp;MATCH(C138,数出表_Excel!$A:$A,0)-1),2)
=LEFT(INDIRECT("数出表_Excel!A"&amp;MATCH(C138,数出表_Excel!$A:$A,0)+1),2)),"奈良屋",""))</f>
        <v>#N/A</v>
      </c>
      <c r="C138" s="200" t="str" cm="1">
        <f t="array" aca="1" ref="C138" ca="1">IF(IF(クライアント抽出!A68="",0,LEN(クライアント抽出!V68)-LEN(SUBSTITUTE(クライアント抽出!V68,",","")))&gt;=2,INDIRECT("数出表_Excel!A"&amp;A138&amp;""),"")</f>
        <v/>
      </c>
      <c r="D138" s="200" t="str" cm="1">
        <f t="array" aca="1" ref="D138" ca="1">IF(C138&lt;&gt;"",INDIRECT("クライアント抽出!"&amp;E138&amp;MATCH(C138,クライアント抽出!A:A,0)&amp;""),"")</f>
        <v/>
      </c>
      <c r="E138" s="20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201" t="str" cm="1">
        <f t="array" aca="1" ref="F138" ca="1">IF(D138&lt;&gt;"",
IF(COUNTIF(C138,"*雙葉*"),
IF(ROUND(
IF(O138&lt;&gt;"",(H138-O138),H138)
/IF(COUNTIF('盛付札（関数）'!D138,"*キャラ*"),
VLOOKUP("*キャラ*",#REF!,7,FALSE),
IF(COUNTIF('盛付札（関数）'!D138,"*赤*"),
VLOOKUP("*赤*",#REF!,7,FALSE),
VLOOKUP('盛付札（関数）'!D138,#REF!,7,FALSE))),0)&lt;=0,1,
ROUND(
IF(O138&lt;&gt;"",(H138-O138),H138)
/IF(COUNTIF('盛付札（関数）'!D138,"*キャラ*"),
VLOOKUP("*キャラ*",#REF!,7,FALSE),
IF(COUNTIF('盛付札（関数）'!D138,"*赤*"),
VLOOKUP("*赤*",#REF!,7,FALSE),
VLOOKUP('盛付札（関数）'!D138,#REF!,7,FALSE))),0)),
IF(MATCH(TRUE,
ISNUMBER(--INDIRECT("数出表_Excel!B"&amp;MATCH(C138,数出表_Excel!$A:$A,0)-1&amp;":U"&amp;MATCH(C138,数出表_Excel!$A:$A,0)-1&amp;"")),0)&gt;10,
IF(D138&lt;&gt;"",
IF(IF(COUNTIF('盛付札（関数）'!D138,"*キャラ*"),
VLOOKUP("*キャラ*",#REF!,7,FALSE),
IF(COUNTIF('盛付札（関数）'!D138,"*赤*"),
VLOOKUP("*赤*",#REF!,7,FALSE),
VLOOKUP('盛付札（関数）'!D138,#REF!,7,FALSE)))=0,"",
IF(ROUND(
IF(O138&lt;&gt;"",(H138-O138),H138)
/IF(COUNTIF('盛付札（関数）'!D138,"*キャラ*"),
VLOOKUP("*キャラ*",#REF!,7,FALSE),
IF(COUNTIF('盛付札（関数）'!D138,"*赤*"),
VLOOKUP("*赤*",#REF!,7,FALSE),
VLOOKUP('盛付札（関数）'!D138,#REF!,7,FALSE))),0)&lt;=0,1,
ROUND(
IF(O138&lt;&gt;"",(H138-O138),H138)
/IF(COUNTIF('盛付札（関数）'!D138,"*キャラ*"),
VLOOKUP("*キャラ*",#REF!,7,FALSE),
IF(COUNTIF('盛付札（関数）'!D138,"*赤*"),
VLOOKUP("*赤*",#REF!,7,FALSE),
VLOOKUP('盛付札（関数）'!D138,#REF!,7,FALSE))),0))),""),"")),"")</f>
        <v/>
      </c>
      <c r="G138" s="201" t="str">
        <f ca="1">IF(F138&lt;&gt;"",IF(VALUE(IF(O138&lt;&gt;"",H138-O138,H138))&gt;VALUE(IF(COUNTIF('盛付札（関数）'!D138,"*キャラ*"),
VLOOKUP("*キャラ*",#REF!,7,FALSE),
IF(COUNTIF('盛付札（関数）'!D138,"*赤*"),
VLOOKUP("*赤*",#REF!,7,FALSE),
VLOOKUP('盛付札（関数）'!D138,#REF!,7,FALSE)))*F138),
"+"&amp;IF(O138&lt;&gt;"",H138-O138,H138)-IF(COUNTIF('盛付札（関数）'!D138,"*キャラ*"),
VLOOKUP("*キャラ*",#REF!,7,FALSE),
IF(COUNTIF('盛付札（関数）'!D138,"*赤*"),
VLOOKUP("*赤*",#REF!,7,FALSE),
VLOOKUP('盛付札（関数）'!D138,#REF!,7,FALSE)))*F138,
IF(O138&lt;&gt;"",H138-O138,H138)-IF(COUNTIF('盛付札（関数）'!D138,"*キャラ*"),
VLOOKUP("*キャラ*",#REF!,7,FALSE),
IF(COUNTIF('盛付札（関数）'!D138,"*赤*"),
VLOOKUP("*赤*",#REF!,7,FALSE),
VLOOKUP('盛付札（関数）'!D138,#REF!,7,FALSE)))*F138),"")</f>
        <v/>
      </c>
      <c r="H138" s="202" t="str" cm="1">
        <f t="array" aca="1" ref="H138" ca="1">IF(C138&lt;&gt;"",
IF(INDIRECT("数出表_Excel!"&amp;IFERROR(MID(クライアント抽出!V68,FIND(",",クライアント抽出!V68)+1,1),"")&amp;A138-1&amp;"")&lt;&gt;"",
INDIRECT("数出表_Excel!"&amp;IFERROR(MID(クライアント抽出!V68,FIND(",",クライアント抽出!V68)+1,1),"")&amp;A138-1&amp;""),0),"")</f>
        <v/>
      </c>
      <c r="I138" s="200" t="str" cm="1">
        <f t="array" aca="1" ref="I138" ca="1">IF(C138&lt;&gt;"",
IF(INDIRECT("数出表_Excel!"&amp;IFERROR(MID(クライアント抽出!V68,FIND(",",クライアント抽出!V68)+1,1),"")&amp;A138&amp;"")&lt;&gt;"",
INDIRECT("数出表_Excel!"&amp;IFERROR(MID(クライアント抽出!V68,FIND(",",クライアント抽出!V68)+1,1),"")&amp;A138&amp;""),0),"")</f>
        <v/>
      </c>
      <c r="J138" s="200" t="str">
        <f ca="1">IF(C138&lt;&gt;"",
VLOOKUP(
IF(COUNTIF(D138,"*学食*"),"キャラ弁（学食）",
IF(COUNTIF(D138,"*赤*"),"赤",
IF(COUNTIF(D138,"*キャラ弁当*"),"キャラ弁当",D138))),注文弁当の抽出!$E$1:$F$15,2,FALSE),"")</f>
        <v/>
      </c>
      <c r="K138" s="200" t="str">
        <f t="shared" ca="1" si="30"/>
        <v/>
      </c>
      <c r="L138" s="200" t="str">
        <f t="shared" ca="1" si="31"/>
        <v/>
      </c>
      <c r="M138" s="200" cm="1">
        <f t="array" aca="1" ref="M138" ca="1">IF(C138&lt;&gt;"",
IF(IFERROR(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0)&lt;&gt;0,
IF(IFERROR(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"")="",
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""),
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0)),0),0)</f>
        <v>0</v>
      </c>
      <c r="N138" s="200" t="e">
        <f t="array" aca="1" ref="N138" ca="1">IF(B138="博多",
IF(C138&lt;&gt;"",
IF(IFERROR(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0)&lt;&gt;0,
IF(IFERROR(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0)="",
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0),
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0)),0),""),0)</f>
        <v>#N/A</v>
      </c>
      <c r="O138" s="200" t="e">
        <f t="shared" ca="1" si="32"/>
        <v>#N/A</v>
      </c>
      <c r="P138" s="200">
        <f t="shared" ca="1" si="4"/>
        <v>0</v>
      </c>
      <c r="Q138" s="200" t="b">
        <f t="shared" ca="1" si="33"/>
        <v>0</v>
      </c>
      <c r="R138" s="51" t="str" cm="1">
        <f t="array" aca="1" ref="R138" ca="1">IFERROR(SMALL(IF(P$1:P$300&lt;&gt;0,P$1:P$300),ROW(A138)),"")</f>
        <v/>
      </c>
      <c r="S138" s="51" t="str">
        <f t="array" aca="1" ref="S138" ca="1">IF($R138&lt;&gt;"",
INDIRECT(""&amp;IF(COLUMN(C158)&lt;=26,CHAR(COLUMN(C158)+64),CHAR(INT((COLUMN(C158)-1)/26)+64)&amp;CHAR(MOD(COLUMN(C158)-1,26)+65))&amp;$R138&amp;""),"")</f>
        <v/>
      </c>
      <c r="T138" s="51" t="str" cm="1">
        <f t="array" aca="1" ref="T138" ca="1">IF(IF($R138&lt;&gt;"",
INDIRECT(""&amp;IF(COLUMN(D158)&lt;=26,CHAR(COLUMN(D158)+64),CHAR(INT((COLUMN(D158)-1)/26)+64)&amp;CHAR(MOD(COLUMN(D158)-1,26)+65))&amp;$R138&amp;""),"")=0,"",
IF($R138&lt;&gt;"",
INDIRECT(""&amp;IF(COLUMN(D158)&lt;=26,CHAR(COLUMN(D158)+64),CHAR(INT((COLUMN(D158)-1)/26)+64)&amp;CHAR(MOD(COLUMN(D158)-1,26)+65))&amp;$R138&amp;""),""))</f>
        <v/>
      </c>
      <c r="U138" s="51"/>
      <c r="V138" s="51" t="str">
        <f t="array" aca="1" ref="V138" ca="1">IF($R138&lt;&gt;"",
IF(U138="",
IF(INDIRECT("EY"&amp;$R138&amp;"")&lt;&gt;"",
INDIRECT("EY"&amp;$R138&amp;"")&amp;"箱"
&amp;INDIRECT("EZ"&amp;$R138&amp;""),""),""),"")</f>
        <v/>
      </c>
      <c r="W138" s="51" t="str">
        <f t="array" aca="1" ref="W138" ca="1">IF($R138&lt;&gt;"",
INDIRECT(""&amp;IF(COLUMN(H158)&lt;=26,CHAR(COLUMN(H158)+64),CHAR(INT((COLUMN(H158)-1)/26)+64)&amp;CHAR(MOD(COLUMN(H158)-1,26)+65))&amp;$R138&amp;""),"")</f>
        <v/>
      </c>
      <c r="X138" s="51" t="str">
        <f t="array" aca="1" ref="X138" ca="1">IF($R138&lt;&gt;"",
INDIRECT(""&amp;IF(COLUMN(I158)&lt;=26,CHAR(COLUMN(I158)+64),CHAR(INT((COLUMN(I158)-1)/26)+64)&amp;CHAR(MOD(COLUMN(I158)-1,26)+65))&amp;$R138&amp;""),"")</f>
        <v/>
      </c>
      <c r="Y138" s="51" t="str">
        <f t="array" aca="1" ref="Y138" ca="1">IF($R138&lt;&gt;"",
INDIRECT(""&amp;IF(COLUMN(J158)&lt;=26,CHAR(COLUMN(J158)+64),CHAR(INT((COLUMN(J158)-1)/26)+64)&amp;CHAR(MOD(COLUMN(J158)-1,26)+65))&amp;$R138&amp;""),"")</f>
        <v/>
      </c>
      <c r="Z138" s="51" t="str">
        <f t="array" aca="1" ref="Z138" ca="1">IF($R138&lt;&gt;"",
INDIRECT(""&amp;IF(COLUMN(K158)&lt;=26,CHAR(COLUMN(K158)+64),CHAR(INT((COLUMN(K158)-1)/26)+64)&amp;CHAR(MOD(COLUMN(K158)-1,26)+65))&amp;$R138&amp;""),"")</f>
        <v/>
      </c>
      <c r="AA138" s="51" t="str">
        <f t="array" aca="1" ref="AA138" ca="1">IF($R138&lt;&gt;"",
INDIRECT(""&amp;IF(COLUMN(L158)&lt;=26,CHAR(COLUMN(L158)+64),CHAR(INT((COLUMN(L158)-1)/26)+64)&amp;CHAR(MOD(COLUMN(L158)-1,26)+65))&amp;$R138&amp;""),"")</f>
        <v/>
      </c>
      <c r="AB138" s="51" t="str">
        <f t="array" aca="1" ref="AB138" ca="1">IF($R138&lt;&gt;"",
INDIRECT(""&amp;IF(COLUMN(O158)&lt;=26,CHAR(COLUMN(O158)+64),CHAR(INT((COLUMN(O158)-1)/26)+64)&amp;CHAR(MOD(COLUMN(O158)-1,26)+65))&amp;$R138&amp;""),"")</f>
        <v/>
      </c>
    </row>
    <row r="139" spans="1:28" ht="22.2" customHeight="1">
      <c r="A139" s="199">
        <f t="shared" si="29"/>
        <v>143</v>
      </c>
      <c r="B139" s="200" t="e" cm="1">
        <f t="array" aca="1" ref="B139" ca="1">IF(AND(LEFT(C139,2)="博多",
LEFT(INDIRECT("数出表_Excel!A"&amp;MATCH(C139,数出表_Excel!$A:$A,0)-1),2)
=LEFT(INDIRECT("数出表_Excel!A"&amp;MATCH(C139,数出表_Excel!$A:$A,0)+1),2)),"博多",
IF(AND(LEFT(C139,3)="奈良屋",
LEFT(INDIRECT("数出表_Excel!A"&amp;MATCH(C139,数出表_Excel!$A:$A,0)-1),2)
=LEFT(INDIRECT("数出表_Excel!A"&amp;MATCH(C139,数出表_Excel!$A:$A,0)+1),2)),"奈良屋",""))</f>
        <v>#N/A</v>
      </c>
      <c r="C139" s="200" t="str" cm="1">
        <f t="array" aca="1" ref="C139" ca="1">IF(IF(クライアント抽出!A69="",0,LEN(クライアント抽出!V69)-LEN(SUBSTITUTE(クライアント抽出!V69,",","")))&gt;=2,INDIRECT("数出表_Excel!A"&amp;A139&amp;""),"")</f>
        <v/>
      </c>
      <c r="D139" s="200" t="str" cm="1">
        <f t="array" aca="1" ref="D139" ca="1">IF(C139&lt;&gt;"",INDIRECT("クライアント抽出!"&amp;E139&amp;MATCH(C139,クライアント抽出!A:A,0)&amp;""),"")</f>
        <v/>
      </c>
      <c r="E139" s="20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201" t="str" cm="1">
        <f t="array" aca="1" ref="F139" ca="1">IF(D139&lt;&gt;"",
IF(COUNTIF(C139,"*雙葉*"),
IF(ROUND(
IF(O139&lt;&gt;"",(H139-O139),H139)
/IF(COUNTIF('盛付札（関数）'!D139,"*キャラ*"),
VLOOKUP("*キャラ*",#REF!,7,FALSE),
IF(COUNTIF('盛付札（関数）'!D139,"*赤*"),
VLOOKUP("*赤*",#REF!,7,FALSE),
VLOOKUP('盛付札（関数）'!D139,#REF!,7,FALSE))),0)&lt;=0,1,
ROUND(
IF(O139&lt;&gt;"",(H139-O139),H139)
/IF(COUNTIF('盛付札（関数）'!D139,"*キャラ*"),
VLOOKUP("*キャラ*",#REF!,7,FALSE),
IF(COUNTIF('盛付札（関数）'!D139,"*赤*"),
VLOOKUP("*赤*",#REF!,7,FALSE),
VLOOKUP('盛付札（関数）'!D139,#REF!,7,FALSE))),0)),
IF(MATCH(TRUE,
ISNUMBER(--INDIRECT("数出表_Excel!B"&amp;MATCH(C139,数出表_Excel!$A:$A,0)-1&amp;":U"&amp;MATCH(C139,数出表_Excel!$A:$A,0)-1&amp;"")),0)&gt;10,
IF(D139&lt;&gt;"",
IF(IF(COUNTIF('盛付札（関数）'!D139,"*キャラ*"),
VLOOKUP("*キャラ*",#REF!,7,FALSE),
IF(COUNTIF('盛付札（関数）'!D139,"*赤*"),
VLOOKUP("*赤*",#REF!,7,FALSE),
VLOOKUP('盛付札（関数）'!D139,#REF!,7,FALSE)))=0,"",
IF(ROUND(
IF(O139&lt;&gt;"",(H139-O139),H139)
/IF(COUNTIF('盛付札（関数）'!D139,"*キャラ*"),
VLOOKUP("*キャラ*",#REF!,7,FALSE),
IF(COUNTIF('盛付札（関数）'!D139,"*赤*"),
VLOOKUP("*赤*",#REF!,7,FALSE),
VLOOKUP('盛付札（関数）'!D139,#REF!,7,FALSE))),0)&lt;=0,1,
ROUND(
IF(O139&lt;&gt;"",(H139-O139),H139)
/IF(COUNTIF('盛付札（関数）'!D139,"*キャラ*"),
VLOOKUP("*キャラ*",#REF!,7,FALSE),
IF(COUNTIF('盛付札（関数）'!D139,"*赤*"),
VLOOKUP("*赤*",#REF!,7,FALSE),
VLOOKUP('盛付札（関数）'!D139,#REF!,7,FALSE))),0))),""),"")),"")</f>
        <v/>
      </c>
      <c r="G139" s="201" t="str">
        <f ca="1">IF(F139&lt;&gt;"",IF(VALUE(IF(O139&lt;&gt;"",H139-O139,H139))&gt;VALUE(IF(COUNTIF('盛付札（関数）'!D139,"*キャラ*"),
VLOOKUP("*キャラ*",#REF!,7,FALSE),
IF(COUNTIF('盛付札（関数）'!D139,"*赤*"),
VLOOKUP("*赤*",#REF!,7,FALSE),
VLOOKUP('盛付札（関数）'!D139,#REF!,7,FALSE)))*F139),
"+"&amp;IF(O139&lt;&gt;"",H139-O139,H139)-IF(COUNTIF('盛付札（関数）'!D139,"*キャラ*"),
VLOOKUP("*キャラ*",#REF!,7,FALSE),
IF(COUNTIF('盛付札（関数）'!D139,"*赤*"),
VLOOKUP("*赤*",#REF!,7,FALSE),
VLOOKUP('盛付札（関数）'!D139,#REF!,7,FALSE)))*F139,
IF(O139&lt;&gt;"",H139-O139,H139)-IF(COUNTIF('盛付札（関数）'!D139,"*キャラ*"),
VLOOKUP("*キャラ*",#REF!,7,FALSE),
IF(COUNTIF('盛付札（関数）'!D139,"*赤*"),
VLOOKUP("*赤*",#REF!,7,FALSE),
VLOOKUP('盛付札（関数）'!D139,#REF!,7,FALSE)))*F139),"")</f>
        <v/>
      </c>
      <c r="H139" s="202" t="str" cm="1">
        <f t="array" aca="1" ref="H139" ca="1">IF(C139&lt;&gt;"",
IF(INDIRECT("数出表_Excel!"&amp;IFERROR(MID(クライアント抽出!V69,FIND(",",クライアント抽出!V69)+1,1),"")&amp;A139-1&amp;"")&lt;&gt;"",
INDIRECT("数出表_Excel!"&amp;IFERROR(MID(クライアント抽出!V69,FIND(",",クライアント抽出!V69)+1,1),"")&amp;A139-1&amp;""),0),"")</f>
        <v/>
      </c>
      <c r="I139" s="200" t="str" cm="1">
        <f t="array" aca="1" ref="I139" ca="1">IF(C139&lt;&gt;"",
IF(INDIRECT("数出表_Excel!"&amp;IFERROR(MID(クライアント抽出!V69,FIND(",",クライアント抽出!V69)+1,1),"")&amp;A139&amp;"")&lt;&gt;"",
INDIRECT("数出表_Excel!"&amp;IFERROR(MID(クライアント抽出!V69,FIND(",",クライアント抽出!V69)+1,1),"")&amp;A139&amp;""),0),"")</f>
        <v/>
      </c>
      <c r="J139" s="200" t="str">
        <f ca="1">IF(C139&lt;&gt;"",
VLOOKUP(
IF(COUNTIF(D139,"*学食*"),"キャラ弁（学食）",
IF(COUNTIF(D139,"*赤*"),"赤",
IF(COUNTIF(D139,"*キャラ弁当*"),"キャラ弁当",D139))),注文弁当の抽出!$E$1:$F$15,2,FALSE),"")</f>
        <v/>
      </c>
      <c r="K139" s="200" t="str">
        <f t="shared" ca="1" si="30"/>
        <v/>
      </c>
      <c r="L139" s="200" t="str">
        <f t="shared" ca="1" si="31"/>
        <v/>
      </c>
      <c r="M139" s="200" cm="1">
        <f t="array" aca="1" ref="M139" ca="1">IF(C139&lt;&gt;"",
IF(IFERROR(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0)&lt;&gt;0,
IF(IFERROR(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"")="",
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""),
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0)),0),0)</f>
        <v>0</v>
      </c>
      <c r="N139" s="200" t="e">
        <f t="array" aca="1" ref="N139" ca="1">IF(B139="博多",
IF(C139&lt;&gt;"",
IF(IFERROR(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0)&lt;&gt;0,
IF(IFERROR(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0)="",
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0),
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0)),0),""),0)</f>
        <v>#N/A</v>
      </c>
      <c r="O139" s="200" t="e">
        <f t="shared" ca="1" si="32"/>
        <v>#N/A</v>
      </c>
      <c r="P139" s="200">
        <f t="shared" ca="1" si="4"/>
        <v>0</v>
      </c>
      <c r="Q139" s="200" t="b">
        <f t="shared" ca="1" si="33"/>
        <v>0</v>
      </c>
      <c r="R139" s="51" t="str" cm="1">
        <f t="array" aca="1" ref="R139" ca="1">IFERROR(SMALL(IF(P$1:P$300&lt;&gt;0,P$1:P$300),ROW(A139)),"")</f>
        <v/>
      </c>
      <c r="S139" s="51" t="str">
        <f t="array" aca="1" ref="S139" ca="1">IF($R139&lt;&gt;"",
INDIRECT(""&amp;IF(COLUMN(C159)&lt;=26,CHAR(COLUMN(C159)+64),CHAR(INT((COLUMN(C159)-1)/26)+64)&amp;CHAR(MOD(COLUMN(C159)-1,26)+65))&amp;$R139&amp;""),"")</f>
        <v/>
      </c>
      <c r="T139" s="51" t="str" cm="1">
        <f t="array" aca="1" ref="T139" ca="1">IF(IF($R139&lt;&gt;"",
INDIRECT(""&amp;IF(COLUMN(D159)&lt;=26,CHAR(COLUMN(D159)+64),CHAR(INT((COLUMN(D159)-1)/26)+64)&amp;CHAR(MOD(COLUMN(D159)-1,26)+65))&amp;$R139&amp;""),"")=0,"",
IF($R139&lt;&gt;"",
INDIRECT(""&amp;IF(COLUMN(D159)&lt;=26,CHAR(COLUMN(D159)+64),CHAR(INT((COLUMN(D159)-1)/26)+64)&amp;CHAR(MOD(COLUMN(D159)-1,26)+65))&amp;$R139&amp;""),""))</f>
        <v/>
      </c>
      <c r="U139" s="51"/>
      <c r="V139" s="51" t="str">
        <f t="array" aca="1" ref="V139" ca="1">IF($R139&lt;&gt;"",
IF(U139="",
IF(INDIRECT("EY"&amp;$R139&amp;"")&lt;&gt;"",
INDIRECT("EY"&amp;$R139&amp;"")&amp;"箱"
&amp;INDIRECT("EZ"&amp;$R139&amp;""),""),""),"")</f>
        <v/>
      </c>
      <c r="W139" s="51" t="str">
        <f t="array" aca="1" ref="W139" ca="1">IF($R139&lt;&gt;"",
INDIRECT(""&amp;IF(COLUMN(H159)&lt;=26,CHAR(COLUMN(H159)+64),CHAR(INT((COLUMN(H159)-1)/26)+64)&amp;CHAR(MOD(COLUMN(H159)-1,26)+65))&amp;$R139&amp;""),"")</f>
        <v/>
      </c>
      <c r="X139" s="51" t="str">
        <f t="array" aca="1" ref="X139" ca="1">IF($R139&lt;&gt;"",
INDIRECT(""&amp;IF(COLUMN(I159)&lt;=26,CHAR(COLUMN(I159)+64),CHAR(INT((COLUMN(I159)-1)/26)+64)&amp;CHAR(MOD(COLUMN(I159)-1,26)+65))&amp;$R139&amp;""),"")</f>
        <v/>
      </c>
      <c r="Y139" s="51" t="str">
        <f t="array" aca="1" ref="Y139" ca="1">IF($R139&lt;&gt;"",
INDIRECT(""&amp;IF(COLUMN(J159)&lt;=26,CHAR(COLUMN(J159)+64),CHAR(INT((COLUMN(J159)-1)/26)+64)&amp;CHAR(MOD(COLUMN(J159)-1,26)+65))&amp;$R139&amp;""),"")</f>
        <v/>
      </c>
      <c r="Z139" s="51" t="str">
        <f t="array" aca="1" ref="Z139" ca="1">IF($R139&lt;&gt;"",
INDIRECT(""&amp;IF(COLUMN(K159)&lt;=26,CHAR(COLUMN(K159)+64),CHAR(INT((COLUMN(K159)-1)/26)+64)&amp;CHAR(MOD(COLUMN(K159)-1,26)+65))&amp;$R139&amp;""),"")</f>
        <v/>
      </c>
      <c r="AA139" s="51" t="str">
        <f t="array" aca="1" ref="AA139" ca="1">IF($R139&lt;&gt;"",
INDIRECT(""&amp;IF(COLUMN(L159)&lt;=26,CHAR(COLUMN(L159)+64),CHAR(INT((COLUMN(L159)-1)/26)+64)&amp;CHAR(MOD(COLUMN(L159)-1,26)+65))&amp;$R139&amp;""),"")</f>
        <v/>
      </c>
      <c r="AB139" s="51" t="str">
        <f t="array" aca="1" ref="AB139" ca="1">IF($R139&lt;&gt;"",
INDIRECT(""&amp;IF(COLUMN(O159)&lt;=26,CHAR(COLUMN(O159)+64),CHAR(INT((COLUMN(O159)-1)/26)+64)&amp;CHAR(MOD(COLUMN(O159)-1,26)+65))&amp;$R139&amp;""),"")</f>
        <v/>
      </c>
    </row>
    <row r="140" spans="1:28" ht="22.2" customHeight="1">
      <c r="A140" s="199">
        <f t="shared" si="29"/>
        <v>145</v>
      </c>
      <c r="B140" s="200" t="e" cm="1">
        <f t="array" aca="1" ref="B140" ca="1">IF(AND(LEFT(C140,2)="博多",
LEFT(INDIRECT("数出表_Excel!A"&amp;MATCH(C140,数出表_Excel!$A:$A,0)-1),2)
=LEFT(INDIRECT("数出表_Excel!A"&amp;MATCH(C140,数出表_Excel!$A:$A,0)+1),2)),"博多",
IF(AND(LEFT(C140,3)="奈良屋",
LEFT(INDIRECT("数出表_Excel!A"&amp;MATCH(C140,数出表_Excel!$A:$A,0)-1),2)
=LEFT(INDIRECT("数出表_Excel!A"&amp;MATCH(C140,数出表_Excel!$A:$A,0)+1),2)),"奈良屋",""))</f>
        <v>#N/A</v>
      </c>
      <c r="C140" s="200" t="str" cm="1">
        <f t="array" aca="1" ref="C140" ca="1">IF(IF(クライアント抽出!A70="",0,LEN(クライアント抽出!V70)-LEN(SUBSTITUTE(クライアント抽出!V70,",","")))&gt;=2,INDIRECT("数出表_Excel!A"&amp;A140&amp;""),"")</f>
        <v/>
      </c>
      <c r="D140" s="200" t="str" cm="1">
        <f t="array" aca="1" ref="D140" ca="1">IF(C140&lt;&gt;"",INDIRECT("クライアント抽出!"&amp;E140&amp;MATCH(C140,クライアント抽出!A:A,0)&amp;""),"")</f>
        <v/>
      </c>
      <c r="E140" s="200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201" t="str" cm="1">
        <f t="array" aca="1" ref="F140" ca="1">IF(D140&lt;&gt;"",
IF(COUNTIF(C140,"*雙葉*"),
IF(ROUND(
IF(O140&lt;&gt;"",(H140-O140),H140)
/IF(COUNTIF('盛付札（関数）'!D140,"*キャラ*"),
VLOOKUP("*キャラ*",#REF!,7,FALSE),
IF(COUNTIF('盛付札（関数）'!D140,"*赤*"),
VLOOKUP("*赤*",#REF!,7,FALSE),
VLOOKUP('盛付札（関数）'!D140,#REF!,7,FALSE))),0)&lt;=0,1,
ROUND(
IF(O140&lt;&gt;"",(H140-O140),H140)
/IF(COUNTIF('盛付札（関数）'!D140,"*キャラ*"),
VLOOKUP("*キャラ*",#REF!,7,FALSE),
IF(COUNTIF('盛付札（関数）'!D140,"*赤*"),
VLOOKUP("*赤*",#REF!,7,FALSE),
VLOOKUP('盛付札（関数）'!D140,#REF!,7,FALSE))),0)),
IF(MATCH(TRUE,
ISNUMBER(--INDIRECT("数出表_Excel!B"&amp;MATCH(C140,数出表_Excel!$A:$A,0)-1&amp;":U"&amp;MATCH(C140,数出表_Excel!$A:$A,0)-1&amp;"")),0)&gt;10,
IF(D140&lt;&gt;"",
IF(IF(COUNTIF('盛付札（関数）'!D140,"*キャラ*"),
VLOOKUP("*キャラ*",#REF!,7,FALSE),
IF(COUNTIF('盛付札（関数）'!D140,"*赤*"),
VLOOKUP("*赤*",#REF!,7,FALSE),
VLOOKUP('盛付札（関数）'!D140,#REF!,7,FALSE)))=0,"",
IF(ROUND(
IF(O140&lt;&gt;"",(H140-O140),H140)
/IF(COUNTIF('盛付札（関数）'!D140,"*キャラ*"),
VLOOKUP("*キャラ*",#REF!,7,FALSE),
IF(COUNTIF('盛付札（関数）'!D140,"*赤*"),
VLOOKUP("*赤*",#REF!,7,FALSE),
VLOOKUP('盛付札（関数）'!D140,#REF!,7,FALSE))),0)&lt;=0,1,
ROUND(
IF(O140&lt;&gt;"",(H140-O140),H140)
/IF(COUNTIF('盛付札（関数）'!D140,"*キャラ*"),
VLOOKUP("*キャラ*",#REF!,7,FALSE),
IF(COUNTIF('盛付札（関数）'!D140,"*赤*"),
VLOOKUP("*赤*",#REF!,7,FALSE),
VLOOKUP('盛付札（関数）'!D140,#REF!,7,FALSE))),0))),""),"")),"")</f>
        <v/>
      </c>
      <c r="G140" s="201" t="str">
        <f ca="1">IF(F140&lt;&gt;"",IF(VALUE(IF(O140&lt;&gt;"",H140-O140,H140))&gt;VALUE(IF(COUNTIF('盛付札（関数）'!D140,"*キャラ*"),
VLOOKUP("*キャラ*",#REF!,7,FALSE),
IF(COUNTIF('盛付札（関数）'!D140,"*赤*"),
VLOOKUP("*赤*",#REF!,7,FALSE),
VLOOKUP('盛付札（関数）'!D140,#REF!,7,FALSE)))*F140),
"+"&amp;IF(O140&lt;&gt;"",H140-O140,H140)-IF(COUNTIF('盛付札（関数）'!D140,"*キャラ*"),
VLOOKUP("*キャラ*",#REF!,7,FALSE),
IF(COUNTIF('盛付札（関数）'!D140,"*赤*"),
VLOOKUP("*赤*",#REF!,7,FALSE),
VLOOKUP('盛付札（関数）'!D140,#REF!,7,FALSE)))*F140,
IF(O140&lt;&gt;"",H140-O140,H140)-IF(COUNTIF('盛付札（関数）'!D140,"*キャラ*"),
VLOOKUP("*キャラ*",#REF!,7,FALSE),
IF(COUNTIF('盛付札（関数）'!D140,"*赤*"),
VLOOKUP("*赤*",#REF!,7,FALSE),
VLOOKUP('盛付札（関数）'!D140,#REF!,7,FALSE)))*F140),"")</f>
        <v/>
      </c>
      <c r="H140" s="202" t="str" cm="1">
        <f t="array" aca="1" ref="H140" ca="1">IF(C140&lt;&gt;"",
IF(INDIRECT("数出表_Excel!"&amp;IFERROR(MID(クライアント抽出!V70,FIND(",",クライアント抽出!V70)+1,1),"")&amp;A140-1&amp;"")&lt;&gt;"",
INDIRECT("数出表_Excel!"&amp;IFERROR(MID(クライアント抽出!V70,FIND(",",クライアント抽出!V70)+1,1),"")&amp;A140-1&amp;""),0),"")</f>
        <v/>
      </c>
      <c r="I140" s="200" t="str" cm="1">
        <f t="array" aca="1" ref="I140" ca="1">IF(C140&lt;&gt;"",
IF(INDIRECT("数出表_Excel!"&amp;IFERROR(MID(クライアント抽出!V70,FIND(",",クライアント抽出!V70)+1,1),"")&amp;A140&amp;"")&lt;&gt;"",
INDIRECT("数出表_Excel!"&amp;IFERROR(MID(クライアント抽出!V70,FIND(",",クライアント抽出!V70)+1,1),"")&amp;A140&amp;""),0),"")</f>
        <v/>
      </c>
      <c r="J140" s="200" t="str">
        <f ca="1">IF(C140&lt;&gt;"",
VLOOKUP(
IF(COUNTIF(D140,"*学食*"),"キャラ弁（学食）",
IF(COUNTIF(D140,"*赤*"),"赤",
IF(COUNTIF(D140,"*キャラ弁当*"),"キャラ弁当",D140))),注文弁当の抽出!$E$1:$F$15,2,FALSE),"")</f>
        <v/>
      </c>
      <c r="K140" s="200" t="str">
        <f t="shared" ca="1" si="30"/>
        <v/>
      </c>
      <c r="L140" s="200" t="str">
        <f ca="1">IFERROR(MOD(H140,J140),"")</f>
        <v/>
      </c>
      <c r="M140" s="200" cm="1">
        <f t="array" aca="1" ref="M140" ca="1">IF(C140&lt;&gt;"",
IF(IFERROR(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0)&lt;&gt;0,
IF(IFERROR(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"")="",
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""),
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0)),0),0)</f>
        <v>0</v>
      </c>
      <c r="N140" s="200" t="e">
        <f t="array" aca="1" ref="N140" ca="1">IF(B140="博多",
IF(C140&lt;&gt;"",
IF(IFERROR(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0)&lt;&gt;0,
IF(IFERROR(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0)="",
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0),
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0)),0),""),0)</f>
        <v>#N/A</v>
      </c>
      <c r="O140" s="200" t="e">
        <f t="shared" ca="1" si="32"/>
        <v>#N/A</v>
      </c>
      <c r="P140" s="200">
        <f t="shared" ca="1" si="4"/>
        <v>0</v>
      </c>
      <c r="Q140" s="200" t="b">
        <f t="shared" ca="1" si="33"/>
        <v>0</v>
      </c>
      <c r="R140" s="51" t="str" cm="1">
        <f t="array" aca="1" ref="R140" ca="1">IFERROR(SMALL(IF(P$1:P$300&lt;&gt;0,P$1:P$300),ROW(A140)),"")</f>
        <v/>
      </c>
      <c r="S140" s="51" t="str">
        <f t="array" aca="1" ref="S140" ca="1">IF($R140&lt;&gt;"",
INDIRECT(""&amp;IF(COLUMN(C160)&lt;=26,CHAR(COLUMN(C160)+64),CHAR(INT((COLUMN(C160)-1)/26)+64)&amp;CHAR(MOD(COLUMN(C160)-1,26)+65))&amp;$R140&amp;""),"")</f>
        <v/>
      </c>
      <c r="T140" s="51" t="str" cm="1">
        <f t="array" aca="1" ref="T140" ca="1">IF(IF($R140&lt;&gt;"",
INDIRECT(""&amp;IF(COLUMN(D160)&lt;=26,CHAR(COLUMN(D160)+64),CHAR(INT((COLUMN(D160)-1)/26)+64)&amp;CHAR(MOD(COLUMN(D160)-1,26)+65))&amp;$R140&amp;""),"")=0,"",
IF($R140&lt;&gt;"",
INDIRECT(""&amp;IF(COLUMN(D160)&lt;=26,CHAR(COLUMN(D160)+64),CHAR(INT((COLUMN(D160)-1)/26)+64)&amp;CHAR(MOD(COLUMN(D160)-1,26)+65))&amp;$R140&amp;""),""))</f>
        <v/>
      </c>
      <c r="U140" s="51"/>
      <c r="V140" s="51" t="str">
        <f t="array" aca="1" ref="V140" ca="1">IF($R140&lt;&gt;"",
IF(U140="",
IF(INDIRECT("EY"&amp;$R140&amp;"")&lt;&gt;"",
INDIRECT("EY"&amp;$R140&amp;"")&amp;"箱"
&amp;INDIRECT("EZ"&amp;$R140&amp;""),""),""),"")</f>
        <v/>
      </c>
      <c r="W140" s="51" t="str">
        <f t="array" aca="1" ref="W140" ca="1">IF($R140&lt;&gt;"",
INDIRECT(""&amp;IF(COLUMN(H160)&lt;=26,CHAR(COLUMN(H160)+64),CHAR(INT((COLUMN(H160)-1)/26)+64)&amp;CHAR(MOD(COLUMN(H160)-1,26)+65))&amp;$R140&amp;""),"")</f>
        <v/>
      </c>
      <c r="X140" s="51" t="str">
        <f t="array" aca="1" ref="X140" ca="1">IF($R140&lt;&gt;"",
INDIRECT(""&amp;IF(COLUMN(I160)&lt;=26,CHAR(COLUMN(I160)+64),CHAR(INT((COLUMN(I160)-1)/26)+64)&amp;CHAR(MOD(COLUMN(I160)-1,26)+65))&amp;$R140&amp;""),"")</f>
        <v/>
      </c>
      <c r="Y140" s="51" t="str">
        <f t="array" aca="1" ref="Y140" ca="1">IF($R140&lt;&gt;"",
INDIRECT(""&amp;IF(COLUMN(J160)&lt;=26,CHAR(COLUMN(J160)+64),CHAR(INT((COLUMN(J160)-1)/26)+64)&amp;CHAR(MOD(COLUMN(J160)-1,26)+65))&amp;$R140&amp;""),"")</f>
        <v/>
      </c>
      <c r="Z140" s="51" t="str">
        <f t="array" aca="1" ref="Z140" ca="1">IF($R140&lt;&gt;"",
INDIRECT(""&amp;IF(COLUMN(K160)&lt;=26,CHAR(COLUMN(K160)+64),CHAR(INT((COLUMN(K160)-1)/26)+64)&amp;CHAR(MOD(COLUMN(K160)-1,26)+65))&amp;$R140&amp;""),"")</f>
        <v/>
      </c>
      <c r="AA140" s="51" t="str">
        <f t="array" aca="1" ref="AA140" ca="1">IF($R140&lt;&gt;"",
INDIRECT(""&amp;IF(COLUMN(L160)&lt;=26,CHAR(COLUMN(L160)+64),CHAR(INT((COLUMN(L160)-1)/26)+64)&amp;CHAR(MOD(COLUMN(L160)-1,26)+65))&amp;$R140&amp;""),"")</f>
        <v/>
      </c>
      <c r="AB140" s="51" t="str">
        <f t="array" aca="1" ref="AB140" ca="1">IF($R140&lt;&gt;"",
INDIRECT(""&amp;IF(COLUMN(O160)&lt;=26,CHAR(COLUMN(O160)+64),CHAR(INT((COLUMN(O160)-1)/26)+64)&amp;CHAR(MOD(COLUMN(O160)-1,26)+65))&amp;$R140&amp;""),"")</f>
        <v/>
      </c>
    </row>
    <row r="141" spans="1:28" ht="22.2" customHeight="1">
      <c r="A141" s="203">
        <v>7</v>
      </c>
      <c r="B141" s="203" t="e" cm="1">
        <f t="array" aca="1" ref="B141" ca="1">IF(AND(LEFT(C141,2)="博多",
LEFT(INDIRECT("数出表_Excel!A"&amp;MATCH(C141,数出表_Excel!$A:$A,0)-1),2)
=LEFT(INDIRECT("数出表_Excel!A"&amp;MATCH(C141,数出表_Excel!$A:$A,0)+1),2)),"博多",
IF(AND(LEFT(C141,3)="奈良屋",
LEFT(INDIRECT("数出表_Excel!A"&amp;MATCH(C141,数出表_Excel!$A:$A,0)-1),2)
=LEFT(INDIRECT("数出表_Excel!A"&amp;MATCH(C141,数出表_Excel!$A:$A,0)+1),2)),"奈良屋",""))</f>
        <v>#N/A</v>
      </c>
      <c r="C141" s="203" t="str" cm="1">
        <f t="array" aca="1" ref="C141" ca="1">IF(IF(クライアント抽出!A1="",0,LEN(クライアント抽出!V1)-LEN(SUBSTITUTE(クライアント抽出!V1,",","")))&gt;=3,INDIRECT("数出表_Excel!A"&amp;A141&amp;""),"")</f>
        <v/>
      </c>
      <c r="D141" s="203" t="str" cm="1">
        <f t="array" aca="1" ref="D141" ca="1">IF(C141&lt;&gt;"",INDIRECT("クライアント抽出!"&amp;E141&amp;MATCH(C141,クライアント抽出!A:A,0)&amp;""),"")</f>
        <v/>
      </c>
      <c r="E141" s="203" t="str">
        <f ca="1">IF(H141&lt;&gt;0,
IFERROR(
SUBSTITUTE(ADDRESS(1,
MATCH(VALUE(H141),クライアント抽出!A1:G1,0)+8,4),"1",""),
""),
IFERROR(
SUBSTITUTE(ADDRESS(1,
MATCH(VALUE(I141),クライアント抽出!A1:G1,0)+8,4),"1",""),
""))</f>
        <v/>
      </c>
      <c r="F141" s="206" t="str" cm="1">
        <f t="array" aca="1" ref="F141" ca="1">IF(D141&lt;&gt;"",
IF(COUNTIF(C141,"*雙葉*"),
IF(ROUND(
IF(O141&lt;&gt;"",(H141-O141),H141)
/IF(COUNTIF('盛付札（関数）'!D141,"*キャラ*"),
VLOOKUP("*キャラ*",#REF!,7,FALSE),
IF(COUNTIF('盛付札（関数）'!D141,"*赤*"),
VLOOKUP("*赤*",#REF!,7,FALSE),
VLOOKUP('盛付札（関数）'!D141,#REF!,7,FALSE))),0)&lt;=0,1,
ROUND(
IF(O141&lt;&gt;"",(H141-O141),H141)
/IF(COUNTIF('盛付札（関数）'!D141,"*キャラ*"),
VLOOKUP("*キャラ*",#REF!,7,FALSE),
IF(COUNTIF('盛付札（関数）'!D141,"*赤*"),
VLOOKUP("*赤*",#REF!,7,FALSE),
VLOOKUP('盛付札（関数）'!D141,#REF!,7,FALSE))),0)),
IF(MATCH(TRUE,
ISNUMBER(--INDIRECT("数出表_Excel!B"&amp;MATCH(C141,数出表_Excel!$A:$A,0)-1&amp;":U"&amp;MATCH(C141,数出表_Excel!$A:$A,0)-1&amp;"")),0)&gt;10,
IF(D141&lt;&gt;"",
IF(IF(COUNTIF('盛付札（関数）'!D141,"*キャラ*"),
VLOOKUP("*キャラ*",#REF!,7,FALSE),
IF(COUNTIF('盛付札（関数）'!D141,"*赤*"),
VLOOKUP("*赤*",#REF!,7,FALSE),
VLOOKUP('盛付札（関数）'!D141,#REF!,7,FALSE)))=0,"",
IF(ROUND(
IF(O141&lt;&gt;"",(H141-O141),H141)
/IF(COUNTIF('盛付札（関数）'!D141,"*キャラ*"),
VLOOKUP("*キャラ*",#REF!,7,FALSE),
IF(COUNTIF('盛付札（関数）'!D141,"*赤*"),
VLOOKUP("*赤*",#REF!,7,FALSE),
VLOOKUP('盛付札（関数）'!D141,#REF!,7,FALSE))),0)&lt;=0,1,
ROUND(
IF(O141&lt;&gt;"",(H141-O141),H141)
/IF(COUNTIF('盛付札（関数）'!D141,"*キャラ*"),
VLOOKUP("*キャラ*",#REF!,7,FALSE),
IF(COUNTIF('盛付札（関数）'!D141,"*赤*"),
VLOOKUP("*赤*",#REF!,7,FALSE),
VLOOKUP('盛付札（関数）'!D141,#REF!,7,FALSE))),0))),""),"")),"")</f>
        <v/>
      </c>
      <c r="G141" s="206" t="str">
        <f ca="1">IF(F141&lt;&gt;"",IF(VALUE(IF(O141&lt;&gt;"",H141-O141,H141))&gt;VALUE(IF(COUNTIF('盛付札（関数）'!D141,"*キャラ*"),
VLOOKUP("*キャラ*",#REF!,7,FALSE),
IF(COUNTIF('盛付札（関数）'!D141,"*赤*"),
VLOOKUP("*赤*",#REF!,7,FALSE),
VLOOKUP('盛付札（関数）'!D141,#REF!,7,FALSE)))*F141),
"+"&amp;IF(O141&lt;&gt;"",H141-O141,H141)-IF(COUNTIF('盛付札（関数）'!D141,"*キャラ*"),
VLOOKUP("*キャラ*",#REF!,7,FALSE),
IF(COUNTIF('盛付札（関数）'!D141,"*赤*"),
VLOOKUP("*赤*",#REF!,7,FALSE),
VLOOKUP('盛付札（関数）'!D141,#REF!,7,FALSE)))*F141,
IF(O141&lt;&gt;"",H141-O141,H141)-IF(COUNTIF('盛付札（関数）'!D141,"*キャラ*"),
VLOOKUP("*キャラ*",#REF!,7,FALSE),
IF(COUNTIF('盛付札（関数）'!D141,"*赤*"),
VLOOKUP("*赤*",#REF!,7,FALSE),
VLOOKUP('盛付札（関数）'!D141,#REF!,7,FALSE)))*F141),"")</f>
        <v/>
      </c>
      <c r="H141" s="205" t="str" cm="1">
        <f t="array" aca="1" ref="H141" ca="1">IF(C141&lt;&gt;"",
IF(INDIRECT("数出表_Excel!"&amp;RIGHT(SUBSTITUTE(クライアント抽出!V1,",",""),1)&amp;A141-1&amp;"")&lt;&gt;"",
INDIRECT("数出表_Excel!"&amp;RIGHT(SUBSTITUTE(クライアント抽出!V1,",",""),1)&amp;A141-1&amp;""),0),"")</f>
        <v/>
      </c>
      <c r="I141" s="203" t="str" cm="1">
        <f t="array" aca="1" ref="I141" ca="1">IF(C141&lt;&gt;"",
IF(INDIRECT("数出表_Excel!"&amp;RIGHT(SUBSTITUTE(クライアント抽出!V1,",",""),1)&amp;A141&amp;"")&lt;&gt;"",
INDIRECT("数出表_Excel!"&amp;RIGHT(SUBSTITUTE(クライアント抽出!V1,",",""),1)&amp;A141&amp;""),0),"")</f>
        <v/>
      </c>
      <c r="J141" s="203" t="str">
        <f ca="1">IF(C141&lt;&gt;"",
VLOOKUP(
IF(COUNTIF(D141,"*学食*"),"キャラ弁（学食）",
IF(COUNTIF(D141,"*赤*"),"赤",
IF(COUNTIF(D141,"*キャラ弁当*"),"キャラ弁当",D141))),注文弁当の抽出!$E$1:$F$15,2,FALSE),"")</f>
        <v/>
      </c>
      <c r="K141" s="203" t="str">
        <f t="shared" ref="K141" ca="1" si="34">IF(C141&lt;&gt;"",
IFERROR(INT(H141/J141),""),"")</f>
        <v/>
      </c>
      <c r="L141" s="203" t="str">
        <f ca="1">IFERROR(MOD(H141,J141),"")</f>
        <v/>
      </c>
      <c r="M141" s="203" cm="1">
        <f t="array" aca="1" ref="M141" ca="1">IF(C141&lt;&gt;"",
IF(IFERROR(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0)&lt;&gt;0,
IF(IFERROR(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"")="",
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""),
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0)),0),0)</f>
        <v>0</v>
      </c>
      <c r="N141" s="203" t="e">
        <f t="array" aca="1" ref="N141" ca="1">IF(B141="博多",
IF(C141&lt;&gt;"",
IF(IFERROR(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0)&lt;&gt;0,
IF(IFERROR(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0)="",
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0),
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0)),0),""),0)</f>
        <v>#N/A</v>
      </c>
      <c r="O141" s="203" t="e">
        <f t="shared" ref="O141" ca="1" si="35">M141+N141</f>
        <v>#N/A</v>
      </c>
      <c r="P141" s="203">
        <f t="shared" ca="1" si="4"/>
        <v>0</v>
      </c>
      <c r="Q141" s="203" t="b">
        <f t="shared" ref="Q141" ca="1" si="36">IF(C141&lt;&gt;"",TRUE,FALSE)</f>
        <v>0</v>
      </c>
      <c r="R141" s="51" t="str" cm="1">
        <f t="array" aca="1" ref="R141" ca="1">IFERROR(SMALL(IF(P$1:P$300&lt;&gt;0,P$1:P$300),ROW(A141)),"")</f>
        <v/>
      </c>
      <c r="S141" s="51" t="str">
        <f t="array" aca="1" ref="S141" ca="1">IF($R141&lt;&gt;"",
INDIRECT(""&amp;IF(COLUMN(C161)&lt;=26,CHAR(COLUMN(C161)+64),CHAR(INT((COLUMN(C161)-1)/26)+64)&amp;CHAR(MOD(COLUMN(C161)-1,26)+65))&amp;$R141&amp;""),"")</f>
        <v/>
      </c>
      <c r="T141" s="51" t="str" cm="1">
        <f t="array" aca="1" ref="T141" ca="1">IF(IF($R141&lt;&gt;"",
INDIRECT(""&amp;IF(COLUMN(D161)&lt;=26,CHAR(COLUMN(D161)+64),CHAR(INT((COLUMN(D161)-1)/26)+64)&amp;CHAR(MOD(COLUMN(D161)-1,26)+65))&amp;$R141&amp;""),"")=0,"",
IF($R141&lt;&gt;"",
INDIRECT(""&amp;IF(COLUMN(D161)&lt;=26,CHAR(COLUMN(D161)+64),CHAR(INT((COLUMN(D161)-1)/26)+64)&amp;CHAR(MOD(COLUMN(D161)-1,26)+65))&amp;$R141&amp;""),""))</f>
        <v/>
      </c>
      <c r="U141" s="51"/>
      <c r="V141" s="51" t="str">
        <f t="array" aca="1" ref="V141" ca="1">IF($R141&lt;&gt;"",
IF(U141="",
IF(INDIRECT("EY"&amp;$R141&amp;"")&lt;&gt;"",
INDIRECT("EY"&amp;$R141&amp;"")&amp;"箱"
&amp;INDIRECT("EZ"&amp;$R141&amp;""),""),""),"")</f>
        <v/>
      </c>
      <c r="W141" s="51" t="str">
        <f t="array" aca="1" ref="W141" ca="1">IF($R141&lt;&gt;"",
INDIRECT(""&amp;IF(COLUMN(H161)&lt;=26,CHAR(COLUMN(H161)+64),CHAR(INT((COLUMN(H161)-1)/26)+64)&amp;CHAR(MOD(COLUMN(H161)-1,26)+65))&amp;$R141&amp;""),"")</f>
        <v/>
      </c>
      <c r="X141" s="51" t="str">
        <f t="array" aca="1" ref="X141" ca="1">IF($R141&lt;&gt;"",
INDIRECT(""&amp;IF(COLUMN(I161)&lt;=26,CHAR(COLUMN(I161)+64),CHAR(INT((COLUMN(I161)-1)/26)+64)&amp;CHAR(MOD(COLUMN(I161)-1,26)+65))&amp;$R141&amp;""),"")</f>
        <v/>
      </c>
      <c r="Y141" s="51" t="str">
        <f t="array" aca="1" ref="Y141" ca="1">IF($R141&lt;&gt;"",
INDIRECT(""&amp;IF(COLUMN(J161)&lt;=26,CHAR(COLUMN(J161)+64),CHAR(INT((COLUMN(J161)-1)/26)+64)&amp;CHAR(MOD(COLUMN(J161)-1,26)+65))&amp;$R141&amp;""),"")</f>
        <v/>
      </c>
      <c r="Z141" s="51" t="str">
        <f t="array" aca="1" ref="Z141" ca="1">IF($R141&lt;&gt;"",
INDIRECT(""&amp;IF(COLUMN(K161)&lt;=26,CHAR(COLUMN(K161)+64),CHAR(INT((COLUMN(K161)-1)/26)+64)&amp;CHAR(MOD(COLUMN(K161)-1,26)+65))&amp;$R141&amp;""),"")</f>
        <v/>
      </c>
      <c r="AA141" s="51" t="str">
        <f t="array" aca="1" ref="AA141" ca="1">IF($R141&lt;&gt;"",
INDIRECT(""&amp;IF(COLUMN(L161)&lt;=26,CHAR(COLUMN(L161)+64),CHAR(INT((COLUMN(L161)-1)/26)+64)&amp;CHAR(MOD(COLUMN(L161)-1,26)+65))&amp;$R141&amp;""),"")</f>
        <v/>
      </c>
      <c r="AB141" s="51" t="str">
        <f t="array" aca="1" ref="AB141" ca="1">IF($R141&lt;&gt;"",
INDIRECT(""&amp;IF(COLUMN(O161)&lt;=26,CHAR(COLUMN(O161)+64),CHAR(INT((COLUMN(O161)-1)/26)+64)&amp;CHAR(MOD(COLUMN(O161)-1,26)+65))&amp;$R141&amp;""),"")</f>
        <v/>
      </c>
    </row>
    <row r="142" spans="1:28" ht="22.2" customHeight="1">
      <c r="A142" s="204">
        <f>A141+2</f>
        <v>9</v>
      </c>
      <c r="B142" s="203" t="e" cm="1">
        <f t="array" aca="1" ref="B142" ca="1">IF(AND(LEFT(C142,2)="博多",
LEFT(INDIRECT("数出表_Excel!A"&amp;MATCH(C142,数出表_Excel!$A:$A,0)-1),2)
=LEFT(INDIRECT("数出表_Excel!A"&amp;MATCH(C142,数出表_Excel!$A:$A,0)+1),2)),"博多",
IF(AND(LEFT(C142,3)="奈良屋",
LEFT(INDIRECT("数出表_Excel!A"&amp;MATCH(C142,数出表_Excel!$A:$A,0)-1),2)
=LEFT(INDIRECT("数出表_Excel!A"&amp;MATCH(C142,数出表_Excel!$A:$A,0)+1),2)),"奈良屋",""))</f>
        <v>#N/A</v>
      </c>
      <c r="C142" s="203" t="str" cm="1">
        <f t="array" aca="1" ref="C142" ca="1">IF(IF(クライアント抽出!A2="",0,LEN(クライアント抽出!V2)-LEN(SUBSTITUTE(クライアント抽出!V2,",","")))&gt;=3,INDIRECT("数出表_Excel!A"&amp;A142&amp;""),"")</f>
        <v/>
      </c>
      <c r="D142" s="203" t="str" cm="1">
        <f t="array" aca="1" ref="D142" ca="1">IF(C142&lt;&gt;"",INDIRECT("クライアント抽出!"&amp;E142&amp;MATCH(C142,クライアント抽出!A:A,0)&amp;""),"")</f>
        <v/>
      </c>
      <c r="E142" s="203" t="str">
        <f ca="1">IF(H142&lt;&gt;0,
IFERROR(
SUBSTITUTE(ADDRESS(1,
MATCH(VALUE(H142),クライアント抽出!A2:G2,0)+8,4),"1",""),
""),
IFERROR(
SUBSTITUTE(ADDRESS(1,
MATCH(VALUE(I142),クライアント抽出!A2:G2,0)+8,4),"1",""),
""))</f>
        <v/>
      </c>
      <c r="F142" s="206" t="str" cm="1">
        <f t="array" aca="1" ref="F142" ca="1">IF(D142&lt;&gt;"",
IF(COUNTIF(C142,"*雙葉*"),
IF(ROUND(
IF(O142&lt;&gt;"",(H142-O142),H142)
/IF(COUNTIF('盛付札（関数）'!D142,"*キャラ*"),
VLOOKUP("*キャラ*",#REF!,7,FALSE),
IF(COUNTIF('盛付札（関数）'!D142,"*赤*"),
VLOOKUP("*赤*",#REF!,7,FALSE),
VLOOKUP('盛付札（関数）'!D142,#REF!,7,FALSE))),0)&lt;=0,1,
ROUND(
IF(O142&lt;&gt;"",(H142-O142),H142)
/IF(COUNTIF('盛付札（関数）'!D142,"*キャラ*"),
VLOOKUP("*キャラ*",#REF!,7,FALSE),
IF(COUNTIF('盛付札（関数）'!D142,"*赤*"),
VLOOKUP("*赤*",#REF!,7,FALSE),
VLOOKUP('盛付札（関数）'!D142,#REF!,7,FALSE))),0)),
IF(MATCH(TRUE,
ISNUMBER(--INDIRECT("数出表_Excel!B"&amp;MATCH(C142,数出表_Excel!$A:$A,0)-1&amp;":U"&amp;MATCH(C142,数出表_Excel!$A:$A,0)-1&amp;"")),0)&gt;10,
IF(D142&lt;&gt;"",
IF(IF(COUNTIF('盛付札（関数）'!D142,"*キャラ*"),
VLOOKUP("*キャラ*",#REF!,7,FALSE),
IF(COUNTIF('盛付札（関数）'!D142,"*赤*"),
VLOOKUP("*赤*",#REF!,7,FALSE),
VLOOKUP('盛付札（関数）'!D142,#REF!,7,FALSE)))=0,"",
IF(ROUND(
IF(O142&lt;&gt;"",(H142-O142),H142)
/IF(COUNTIF('盛付札（関数）'!D142,"*キャラ*"),
VLOOKUP("*キャラ*",#REF!,7,FALSE),
IF(COUNTIF('盛付札（関数）'!D142,"*赤*"),
VLOOKUP("*赤*",#REF!,7,FALSE),
VLOOKUP('盛付札（関数）'!D142,#REF!,7,FALSE))),0)&lt;=0,1,
ROUND(
IF(O142&lt;&gt;"",(H142-O142),H142)
/IF(COUNTIF('盛付札（関数）'!D142,"*キャラ*"),
VLOOKUP("*キャラ*",#REF!,7,FALSE),
IF(COUNTIF('盛付札（関数）'!D142,"*赤*"),
VLOOKUP("*赤*",#REF!,7,FALSE),
VLOOKUP('盛付札（関数）'!D142,#REF!,7,FALSE))),0))),""),"")),"")</f>
        <v/>
      </c>
      <c r="G142" s="206" t="str">
        <f ca="1">IF(F142&lt;&gt;"",IF(VALUE(IF(O142&lt;&gt;"",H142-O142,H142))&gt;VALUE(IF(COUNTIF('盛付札（関数）'!D142,"*キャラ*"),
VLOOKUP("*キャラ*",#REF!,7,FALSE),
IF(COUNTIF('盛付札（関数）'!D142,"*赤*"),
VLOOKUP("*赤*",#REF!,7,FALSE),
VLOOKUP('盛付札（関数）'!D142,#REF!,7,FALSE)))*F142),
"+"&amp;IF(O142&lt;&gt;"",H142-O142,H142)-IF(COUNTIF('盛付札（関数）'!D142,"*キャラ*"),
VLOOKUP("*キャラ*",#REF!,7,FALSE),
IF(COUNTIF('盛付札（関数）'!D142,"*赤*"),
VLOOKUP("*赤*",#REF!,7,FALSE),
VLOOKUP('盛付札（関数）'!D142,#REF!,7,FALSE)))*F142,
IF(O142&lt;&gt;"",H142-O142,H142)-IF(COUNTIF('盛付札（関数）'!D142,"*キャラ*"),
VLOOKUP("*キャラ*",#REF!,7,FALSE),
IF(COUNTIF('盛付札（関数）'!D142,"*赤*"),
VLOOKUP("*赤*",#REF!,7,FALSE),
VLOOKUP('盛付札（関数）'!D142,#REF!,7,FALSE)))*F142),"")</f>
        <v/>
      </c>
      <c r="H142" s="205" t="str" cm="1">
        <f t="array" aca="1" ref="H142" ca="1">IF(C142&lt;&gt;"",
IF(INDIRECT("数出表_Excel!"&amp;RIGHT(SUBSTITUTE(クライアント抽出!V2,",",""),1)&amp;A142-1&amp;"")&lt;&gt;"",
INDIRECT("数出表_Excel!"&amp;RIGHT(SUBSTITUTE(クライアント抽出!V2,",",""),1)&amp;A142-1&amp;""),0),"")</f>
        <v/>
      </c>
      <c r="I142" s="203" t="str" cm="1">
        <f t="array" aca="1" ref="I142" ca="1">IF(C142&lt;&gt;"",
IF(INDIRECT("数出表_Excel!"&amp;RIGHT(SUBSTITUTE(クライアント抽出!V2,",",""),1)&amp;A142&amp;"")&lt;&gt;"",
INDIRECT("数出表_Excel!"&amp;RIGHT(SUBSTITUTE(クライアント抽出!V2,",",""),1)&amp;A142&amp;""),0),"")</f>
        <v/>
      </c>
      <c r="J142" s="203" t="str">
        <f ca="1">IF(C142&lt;&gt;"",
VLOOKUP(
IF(COUNTIF(D142,"*学食*"),"キャラ弁（学食）",
IF(COUNTIF(D142,"*赤*"),"赤",
IF(COUNTIF(D142,"*キャラ弁当*"),"キャラ弁当",D142))),注文弁当の抽出!$E$1:$F$15,2,FALSE),"")</f>
        <v/>
      </c>
      <c r="K142" s="203" t="str">
        <f t="shared" ref="K142" ca="1" si="37">IF(C142&lt;&gt;"",
IFERROR(INT(H142/J142),""),"")</f>
        <v/>
      </c>
      <c r="L142" s="203" t="str">
        <f ca="1">IFERROR(MOD(H142,J142),"")</f>
        <v/>
      </c>
      <c r="M142" s="203" cm="1">
        <f t="array" aca="1" ref="M142" ca="1">IF(C142&lt;&gt;"",
IF(IFERROR(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0)&lt;&gt;0,
IF(IFERROR(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"")="",
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""),
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0)),0),0)</f>
        <v>0</v>
      </c>
      <c r="N142" s="203" t="e">
        <f t="array" aca="1" ref="N142" ca="1">IF(B142="博多",
IF(C142&lt;&gt;"",
IF(IFERROR(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0)&lt;&gt;0,
IF(IFERROR(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0)="",
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0),
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0)),0),""),0)</f>
        <v>#N/A</v>
      </c>
      <c r="O142" s="203" t="e">
        <f t="shared" ref="O142" ca="1" si="38">M142+N142</f>
        <v>#N/A</v>
      </c>
      <c r="P142" s="203">
        <f t="shared" ca="1" si="4"/>
        <v>0</v>
      </c>
      <c r="Q142" s="203" t="b">
        <f t="shared" ref="Q142" ca="1" si="39">IF(C142&lt;&gt;"",TRUE,FALSE)</f>
        <v>0</v>
      </c>
      <c r="R142" s="51" t="str" cm="1">
        <f t="array" aca="1" ref="R142" ca="1">IFERROR(SMALL(IF(P$1:P$300&lt;&gt;0,P$1:P$300),ROW(A142)),"")</f>
        <v/>
      </c>
      <c r="S142" s="51" t="str">
        <f t="array" aca="1" ref="S142" ca="1">IF($R142&lt;&gt;"",
INDIRECT(""&amp;IF(COLUMN(C162)&lt;=26,CHAR(COLUMN(C162)+64),CHAR(INT((COLUMN(C162)-1)/26)+64)&amp;CHAR(MOD(COLUMN(C162)-1,26)+65))&amp;$R142&amp;""),"")</f>
        <v/>
      </c>
      <c r="T142" s="51" t="str" cm="1">
        <f t="array" aca="1" ref="T142" ca="1">IF(IF($R142&lt;&gt;"",
INDIRECT(""&amp;IF(COLUMN(D162)&lt;=26,CHAR(COLUMN(D162)+64),CHAR(INT((COLUMN(D162)-1)/26)+64)&amp;CHAR(MOD(COLUMN(D162)-1,26)+65))&amp;$R142&amp;""),"")=0,"",
IF($R142&lt;&gt;"",
INDIRECT(""&amp;IF(COLUMN(D162)&lt;=26,CHAR(COLUMN(D162)+64),CHAR(INT((COLUMN(D162)-1)/26)+64)&amp;CHAR(MOD(COLUMN(D162)-1,26)+65))&amp;$R142&amp;""),""))</f>
        <v/>
      </c>
      <c r="U142" s="51"/>
      <c r="V142" s="51" t="str">
        <f t="array" aca="1" ref="V142" ca="1">IF($R142&lt;&gt;"",
IF(U142="",
IF(INDIRECT("EY"&amp;$R142&amp;"")&lt;&gt;"",
INDIRECT("EY"&amp;$R142&amp;"")&amp;"箱"
&amp;INDIRECT("EZ"&amp;$R142&amp;""),""),""),"")</f>
        <v/>
      </c>
      <c r="W142" s="51" t="str">
        <f t="array" aca="1" ref="W142" ca="1">IF($R142&lt;&gt;"",
INDIRECT(""&amp;IF(COLUMN(H162)&lt;=26,CHAR(COLUMN(H162)+64),CHAR(INT((COLUMN(H162)-1)/26)+64)&amp;CHAR(MOD(COLUMN(H162)-1,26)+65))&amp;$R142&amp;""),"")</f>
        <v/>
      </c>
      <c r="X142" s="51" t="str">
        <f t="array" aca="1" ref="X142" ca="1">IF($R142&lt;&gt;"",
INDIRECT(""&amp;IF(COLUMN(I162)&lt;=26,CHAR(COLUMN(I162)+64),CHAR(INT((COLUMN(I162)-1)/26)+64)&amp;CHAR(MOD(COLUMN(I162)-1,26)+65))&amp;$R142&amp;""),"")</f>
        <v/>
      </c>
      <c r="Y142" s="51" t="str">
        <f t="array" aca="1" ref="Y142" ca="1">IF($R142&lt;&gt;"",
INDIRECT(""&amp;IF(COLUMN(J162)&lt;=26,CHAR(COLUMN(J162)+64),CHAR(INT((COLUMN(J162)-1)/26)+64)&amp;CHAR(MOD(COLUMN(J162)-1,26)+65))&amp;$R142&amp;""),"")</f>
        <v/>
      </c>
      <c r="Z142" s="51" t="str">
        <f t="array" aca="1" ref="Z142" ca="1">IF($R142&lt;&gt;"",
INDIRECT(""&amp;IF(COLUMN(K162)&lt;=26,CHAR(COLUMN(K162)+64),CHAR(INT((COLUMN(K162)-1)/26)+64)&amp;CHAR(MOD(COLUMN(K162)-1,26)+65))&amp;$R142&amp;""),"")</f>
        <v/>
      </c>
      <c r="AA142" s="51" t="str">
        <f t="array" aca="1" ref="AA142" ca="1">IF($R142&lt;&gt;"",
INDIRECT(""&amp;IF(COLUMN(L162)&lt;=26,CHAR(COLUMN(L162)+64),CHAR(INT((COLUMN(L162)-1)/26)+64)&amp;CHAR(MOD(COLUMN(L162)-1,26)+65))&amp;$R142&amp;""),"")</f>
        <v/>
      </c>
      <c r="AB142" s="51" t="str">
        <f t="array" aca="1" ref="AB142" ca="1">IF($R142&lt;&gt;"",
INDIRECT(""&amp;IF(COLUMN(O162)&lt;=26,CHAR(COLUMN(O162)+64),CHAR(INT((COLUMN(O162)-1)/26)+64)&amp;CHAR(MOD(COLUMN(O162)-1,26)+65))&amp;$R142&amp;""),"")</f>
        <v/>
      </c>
    </row>
    <row r="143" spans="1:28" ht="22.2" customHeight="1">
      <c r="A143" s="204">
        <f t="shared" ref="A143:A180" si="40">A142+2</f>
        <v>11</v>
      </c>
      <c r="B143" s="203" t="e" cm="1">
        <f t="array" aca="1" ref="B143" ca="1">IF(AND(LEFT(C143,2)="博多",
LEFT(INDIRECT("数出表_Excel!A"&amp;MATCH(C143,数出表_Excel!$A:$A,0)-1),2)
=LEFT(INDIRECT("数出表_Excel!A"&amp;MATCH(C143,数出表_Excel!$A:$A,0)+1),2)),"博多",
IF(AND(LEFT(C143,3)="奈良屋",
LEFT(INDIRECT("数出表_Excel!A"&amp;MATCH(C143,数出表_Excel!$A:$A,0)-1),2)
=LEFT(INDIRECT("数出表_Excel!A"&amp;MATCH(C143,数出表_Excel!$A:$A,0)+1),2)),"奈良屋",""))</f>
        <v>#N/A</v>
      </c>
      <c r="C143" s="203" t="str" cm="1">
        <f t="array" aca="1" ref="C143" ca="1">IF(IF(クライアント抽出!A3="",0,LEN(クライアント抽出!V3)-LEN(SUBSTITUTE(クライアント抽出!V3,",","")))&gt;=3,INDIRECT("数出表_Excel!A"&amp;A143&amp;""),"")</f>
        <v/>
      </c>
      <c r="D143" s="203" t="str" cm="1">
        <f t="array" aca="1" ref="D143" ca="1">IF(C143&lt;&gt;"",INDIRECT("クライアント抽出!"&amp;E143&amp;MATCH(C143,クライアント抽出!A:A,0)&amp;""),"")</f>
        <v/>
      </c>
      <c r="E143" s="203" t="str">
        <f ca="1">IF(H143&lt;&gt;0,
IFERROR(
SUBSTITUTE(ADDRESS(1,
MATCH(VALUE(H143),クライアント抽出!A3:G3,0)+8,4),"1",""),
""),
IFERROR(
SUBSTITUTE(ADDRESS(1,
MATCH(VALUE(I143),クライアント抽出!A3:G3,0)+8,4),"1",""),
""))</f>
        <v/>
      </c>
      <c r="F143" s="206" t="str" cm="1">
        <f t="array" aca="1" ref="F143" ca="1">IF(D143&lt;&gt;"",
IF(COUNTIF(C143,"*雙葉*"),
IF(ROUND(
IF(O143&lt;&gt;"",(H143-O143),H143)
/IF(COUNTIF('盛付札（関数）'!D143,"*キャラ*"),
VLOOKUP("*キャラ*",#REF!,7,FALSE),
IF(COUNTIF('盛付札（関数）'!D143,"*赤*"),
VLOOKUP("*赤*",#REF!,7,FALSE),
VLOOKUP('盛付札（関数）'!D143,#REF!,7,FALSE))),0)&lt;=0,1,
ROUND(
IF(O143&lt;&gt;"",(H143-O143),H143)
/IF(COUNTIF('盛付札（関数）'!D143,"*キャラ*"),
VLOOKUP("*キャラ*",#REF!,7,FALSE),
IF(COUNTIF('盛付札（関数）'!D143,"*赤*"),
VLOOKUP("*赤*",#REF!,7,FALSE),
VLOOKUP('盛付札（関数）'!D143,#REF!,7,FALSE))),0)),
IF(MATCH(TRUE,
ISNUMBER(--INDIRECT("数出表_Excel!B"&amp;MATCH(C143,数出表_Excel!$A:$A,0)-1&amp;":U"&amp;MATCH(C143,数出表_Excel!$A:$A,0)-1&amp;"")),0)&gt;10,
IF(D143&lt;&gt;"",
IF(IF(COUNTIF('盛付札（関数）'!D143,"*キャラ*"),
VLOOKUP("*キャラ*",#REF!,7,FALSE),
IF(COUNTIF('盛付札（関数）'!D143,"*赤*"),
VLOOKUP("*赤*",#REF!,7,FALSE),
VLOOKUP('盛付札（関数）'!D143,#REF!,7,FALSE)))=0,"",
IF(ROUND(
IF(O143&lt;&gt;"",(H143-O143),H143)
/IF(COUNTIF('盛付札（関数）'!D143,"*キャラ*"),
VLOOKUP("*キャラ*",#REF!,7,FALSE),
IF(COUNTIF('盛付札（関数）'!D143,"*赤*"),
VLOOKUP("*赤*",#REF!,7,FALSE),
VLOOKUP('盛付札（関数）'!D143,#REF!,7,FALSE))),0)&lt;=0,1,
ROUND(
IF(O143&lt;&gt;"",(H143-O143),H143)
/IF(COUNTIF('盛付札（関数）'!D143,"*キャラ*"),
VLOOKUP("*キャラ*",#REF!,7,FALSE),
IF(COUNTIF('盛付札（関数）'!D143,"*赤*"),
VLOOKUP("*赤*",#REF!,7,FALSE),
VLOOKUP('盛付札（関数）'!D143,#REF!,7,FALSE))),0))),""),"")),"")</f>
        <v/>
      </c>
      <c r="G143" s="206" t="str">
        <f ca="1">IF(F143&lt;&gt;"",IF(VALUE(IF(O143&lt;&gt;"",H143-O143,H143))&gt;VALUE(IF(COUNTIF('盛付札（関数）'!D143,"*キャラ*"),
VLOOKUP("*キャラ*",#REF!,7,FALSE),
IF(COUNTIF('盛付札（関数）'!D143,"*赤*"),
VLOOKUP("*赤*",#REF!,7,FALSE),
VLOOKUP('盛付札（関数）'!D143,#REF!,7,FALSE)))*F143),
"+"&amp;IF(O143&lt;&gt;"",H143-O143,H143)-IF(COUNTIF('盛付札（関数）'!D143,"*キャラ*"),
VLOOKUP("*キャラ*",#REF!,7,FALSE),
IF(COUNTIF('盛付札（関数）'!D143,"*赤*"),
VLOOKUP("*赤*",#REF!,7,FALSE),
VLOOKUP('盛付札（関数）'!D143,#REF!,7,FALSE)))*F143,
IF(O143&lt;&gt;"",H143-O143,H143)-IF(COUNTIF('盛付札（関数）'!D143,"*キャラ*"),
VLOOKUP("*キャラ*",#REF!,7,FALSE),
IF(COUNTIF('盛付札（関数）'!D143,"*赤*"),
VLOOKUP("*赤*",#REF!,7,FALSE),
VLOOKUP('盛付札（関数）'!D143,#REF!,7,FALSE)))*F143),"")</f>
        <v/>
      </c>
      <c r="H143" s="205" t="str" cm="1">
        <f t="array" aca="1" ref="H143" ca="1">IF(C143&lt;&gt;"",
IF(INDIRECT("数出表_Excel!"&amp;RIGHT(SUBSTITUTE(クライアント抽出!V3,",",""),1)&amp;A143-1&amp;"")&lt;&gt;"",
INDIRECT("数出表_Excel!"&amp;RIGHT(SUBSTITUTE(クライアント抽出!V3,",",""),1)&amp;A143-1&amp;""),0),"")</f>
        <v/>
      </c>
      <c r="I143" s="203" t="str" cm="1">
        <f t="array" aca="1" ref="I143" ca="1">IF(C143&lt;&gt;"",
IF(INDIRECT("数出表_Excel!"&amp;RIGHT(SUBSTITUTE(クライアント抽出!V3,",",""),1)&amp;A143&amp;"")&lt;&gt;"",
INDIRECT("数出表_Excel!"&amp;RIGHT(SUBSTITUTE(クライアント抽出!V3,",",""),1)&amp;A143&amp;""),0),"")</f>
        <v/>
      </c>
      <c r="J143" s="203" t="str">
        <f ca="1">IF(C143&lt;&gt;"",
VLOOKUP(
IF(COUNTIF(D143,"*学食*"),"キャラ弁（学食）",
IF(COUNTIF(D143,"*赤*"),"赤",
IF(COUNTIF(D143,"*キャラ弁当*"),"キャラ弁当",D143))),注文弁当の抽出!$E$1:$F$15,2,FALSE),"")</f>
        <v/>
      </c>
      <c r="K143" s="203" t="str">
        <f t="shared" ref="K143:K180" ca="1" si="41">IF(C143&lt;&gt;"",
IFERROR(INT(H143/J143),""),"")</f>
        <v/>
      </c>
      <c r="L143" s="203" t="str">
        <f t="shared" ref="L143:L180" ca="1" si="42">IFERROR(MOD(H143,J143),"")</f>
        <v/>
      </c>
      <c r="M143" s="203" cm="1">
        <f t="array" aca="1" ref="M143" ca="1">IF(C143&lt;&gt;"",
IF(IFERROR(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0)&lt;&gt;0,
IF(IFERROR(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"")="",
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""),
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0)),0),0)</f>
        <v>0</v>
      </c>
      <c r="N143" s="203" t="e">
        <f t="array" aca="1" ref="N143" ca="1">IF(B143="博多",
IF(C143&lt;&gt;"",
IF(IFERROR(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0)&lt;&gt;0,
IF(IFERROR(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0)="",
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0),
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0)),0),""),0)</f>
        <v>#N/A</v>
      </c>
      <c r="O143" s="203" t="e">
        <f t="shared" ref="O143:O180" ca="1" si="43">M143+N143</f>
        <v>#N/A</v>
      </c>
      <c r="P143" s="203">
        <f t="shared" ca="1" si="4"/>
        <v>0</v>
      </c>
      <c r="Q143" s="203" t="b">
        <f t="shared" ref="Q143:Q180" ca="1" si="44">IF(C143&lt;&gt;"",TRUE,FALSE)</f>
        <v>0</v>
      </c>
      <c r="R143" s="51" t="str" cm="1">
        <f t="array" aca="1" ref="R143" ca="1">IFERROR(SMALL(IF(P$1:P$300&lt;&gt;0,P$1:P$300),ROW(A143)),"")</f>
        <v/>
      </c>
      <c r="S143" s="51" t="str">
        <f t="array" aca="1" ref="S143" ca="1">IF($R143&lt;&gt;"",
INDIRECT(""&amp;IF(COLUMN(C163)&lt;=26,CHAR(COLUMN(C163)+64),CHAR(INT((COLUMN(C163)-1)/26)+64)&amp;CHAR(MOD(COLUMN(C163)-1,26)+65))&amp;$R143&amp;""),"")</f>
        <v/>
      </c>
      <c r="T143" s="51" t="str" cm="1">
        <f t="array" aca="1" ref="T143" ca="1">IF(IF($R143&lt;&gt;"",
INDIRECT(""&amp;IF(COLUMN(D163)&lt;=26,CHAR(COLUMN(D163)+64),CHAR(INT((COLUMN(D163)-1)/26)+64)&amp;CHAR(MOD(COLUMN(D163)-1,26)+65))&amp;$R143&amp;""),"")=0,"",
IF($R143&lt;&gt;"",
INDIRECT(""&amp;IF(COLUMN(D163)&lt;=26,CHAR(COLUMN(D163)+64),CHAR(INT((COLUMN(D163)-1)/26)+64)&amp;CHAR(MOD(COLUMN(D163)-1,26)+65))&amp;$R143&amp;""),""))</f>
        <v/>
      </c>
      <c r="U143" s="51"/>
      <c r="V143" s="51" t="str">
        <f t="array" aca="1" ref="V143" ca="1">IF($R143&lt;&gt;"",
IF(U143="",
IF(INDIRECT("EY"&amp;$R143&amp;"")&lt;&gt;"",
INDIRECT("EY"&amp;$R143&amp;"")&amp;"箱"
&amp;INDIRECT("EZ"&amp;$R143&amp;""),""),""),"")</f>
        <v/>
      </c>
      <c r="W143" s="51" t="str">
        <f t="array" aca="1" ref="W143" ca="1">IF($R143&lt;&gt;"",
INDIRECT(""&amp;IF(COLUMN(H163)&lt;=26,CHAR(COLUMN(H163)+64),CHAR(INT((COLUMN(H163)-1)/26)+64)&amp;CHAR(MOD(COLUMN(H163)-1,26)+65))&amp;$R143&amp;""),"")</f>
        <v/>
      </c>
      <c r="X143" s="51" t="str">
        <f t="array" aca="1" ref="X143" ca="1">IF($R143&lt;&gt;"",
INDIRECT(""&amp;IF(COLUMN(I163)&lt;=26,CHAR(COLUMN(I163)+64),CHAR(INT((COLUMN(I163)-1)/26)+64)&amp;CHAR(MOD(COLUMN(I163)-1,26)+65))&amp;$R143&amp;""),"")</f>
        <v/>
      </c>
      <c r="Y143" s="51" t="str">
        <f t="array" aca="1" ref="Y143" ca="1">IF($R143&lt;&gt;"",
INDIRECT(""&amp;IF(COLUMN(J163)&lt;=26,CHAR(COLUMN(J163)+64),CHAR(INT((COLUMN(J163)-1)/26)+64)&amp;CHAR(MOD(COLUMN(J163)-1,26)+65))&amp;$R143&amp;""),"")</f>
        <v/>
      </c>
      <c r="Z143" s="51" t="str">
        <f t="array" aca="1" ref="Z143" ca="1">IF($R143&lt;&gt;"",
INDIRECT(""&amp;IF(COLUMN(K163)&lt;=26,CHAR(COLUMN(K163)+64),CHAR(INT((COLUMN(K163)-1)/26)+64)&amp;CHAR(MOD(COLUMN(K163)-1,26)+65))&amp;$R143&amp;""),"")</f>
        <v/>
      </c>
      <c r="AA143" s="51" t="str">
        <f t="array" aca="1" ref="AA143" ca="1">IF($R143&lt;&gt;"",
INDIRECT(""&amp;IF(COLUMN(L163)&lt;=26,CHAR(COLUMN(L163)+64),CHAR(INT((COLUMN(L163)-1)/26)+64)&amp;CHAR(MOD(COLUMN(L163)-1,26)+65))&amp;$R143&amp;""),"")</f>
        <v/>
      </c>
      <c r="AB143" s="51" t="str">
        <f t="array" aca="1" ref="AB143" ca="1">IF($R143&lt;&gt;"",
INDIRECT(""&amp;IF(COLUMN(O163)&lt;=26,CHAR(COLUMN(O163)+64),CHAR(INT((COLUMN(O163)-1)/26)+64)&amp;CHAR(MOD(COLUMN(O163)-1,26)+65))&amp;$R143&amp;""),"")</f>
        <v/>
      </c>
    </row>
    <row r="144" spans="1:28" ht="22.2" customHeight="1">
      <c r="A144" s="204">
        <f t="shared" si="40"/>
        <v>13</v>
      </c>
      <c r="B144" s="203" t="e" cm="1">
        <f t="array" aca="1" ref="B144" ca="1">IF(AND(LEFT(C144,2)="博多",
LEFT(INDIRECT("数出表_Excel!A"&amp;MATCH(C144,数出表_Excel!$A:$A,0)-1),2)
=LEFT(INDIRECT("数出表_Excel!A"&amp;MATCH(C144,数出表_Excel!$A:$A,0)+1),2)),"博多",
IF(AND(LEFT(C144,3)="奈良屋",
LEFT(INDIRECT("数出表_Excel!A"&amp;MATCH(C144,数出表_Excel!$A:$A,0)-1),2)
=LEFT(INDIRECT("数出表_Excel!A"&amp;MATCH(C144,数出表_Excel!$A:$A,0)+1),2)),"奈良屋",""))</f>
        <v>#N/A</v>
      </c>
      <c r="C144" s="203" t="str" cm="1">
        <f t="array" aca="1" ref="C144" ca="1">IF(IF(クライアント抽出!A4="",0,LEN(クライアント抽出!V4)-LEN(SUBSTITUTE(クライアント抽出!V4,",","")))&gt;=3,INDIRECT("数出表_Excel!A"&amp;A144&amp;""),"")</f>
        <v/>
      </c>
      <c r="D144" s="203" t="str" cm="1">
        <f t="array" aca="1" ref="D144" ca="1">IF(C144&lt;&gt;"",INDIRECT("クライアント抽出!"&amp;E144&amp;MATCH(C144,クライアント抽出!A:A,0)&amp;""),"")</f>
        <v/>
      </c>
      <c r="E144" s="203" t="str">
        <f ca="1">IF(H144&lt;&gt;0,
IFERROR(
SUBSTITUTE(ADDRESS(1,
MATCH(VALUE(H144),クライアント抽出!A4:G4,0)+8,4),"1",""),
""),
IFERROR(
SUBSTITUTE(ADDRESS(1,
MATCH(VALUE(I144),クライアント抽出!A4:G4,0)+8,4),"1",""),
""))</f>
        <v/>
      </c>
      <c r="F144" s="206" t="str" cm="1">
        <f t="array" aca="1" ref="F144" ca="1">IF(D144&lt;&gt;"",
IF(COUNTIF(C144,"*雙葉*"),
IF(ROUND(
IF(O144&lt;&gt;"",(H144-O144),H144)
/IF(COUNTIF('盛付札（関数）'!D144,"*キャラ*"),
VLOOKUP("*キャラ*",#REF!,7,FALSE),
IF(COUNTIF('盛付札（関数）'!D144,"*赤*"),
VLOOKUP("*赤*",#REF!,7,FALSE),
VLOOKUP('盛付札（関数）'!D144,#REF!,7,FALSE))),0)&lt;=0,1,
ROUND(
IF(O144&lt;&gt;"",(H144-O144),H144)
/IF(COUNTIF('盛付札（関数）'!D144,"*キャラ*"),
VLOOKUP("*キャラ*",#REF!,7,FALSE),
IF(COUNTIF('盛付札（関数）'!D144,"*赤*"),
VLOOKUP("*赤*",#REF!,7,FALSE),
VLOOKUP('盛付札（関数）'!D144,#REF!,7,FALSE))),0)),
IF(MATCH(TRUE,
ISNUMBER(--INDIRECT("数出表_Excel!B"&amp;MATCH(C144,数出表_Excel!$A:$A,0)-1&amp;":U"&amp;MATCH(C144,数出表_Excel!$A:$A,0)-1&amp;"")),0)&gt;10,
IF(D144&lt;&gt;"",
IF(IF(COUNTIF('盛付札（関数）'!D144,"*キャラ*"),
VLOOKUP("*キャラ*",#REF!,7,FALSE),
IF(COUNTIF('盛付札（関数）'!D144,"*赤*"),
VLOOKUP("*赤*",#REF!,7,FALSE),
VLOOKUP('盛付札（関数）'!D144,#REF!,7,FALSE)))=0,"",
IF(ROUND(
IF(O144&lt;&gt;"",(H144-O144),H144)
/IF(COUNTIF('盛付札（関数）'!D144,"*キャラ*"),
VLOOKUP("*キャラ*",#REF!,7,FALSE),
IF(COUNTIF('盛付札（関数）'!D144,"*赤*"),
VLOOKUP("*赤*",#REF!,7,FALSE),
VLOOKUP('盛付札（関数）'!D144,#REF!,7,FALSE))),0)&lt;=0,1,
ROUND(
IF(O144&lt;&gt;"",(H144-O144),H144)
/IF(COUNTIF('盛付札（関数）'!D144,"*キャラ*"),
VLOOKUP("*キャラ*",#REF!,7,FALSE),
IF(COUNTIF('盛付札（関数）'!D144,"*赤*"),
VLOOKUP("*赤*",#REF!,7,FALSE),
VLOOKUP('盛付札（関数）'!D144,#REF!,7,FALSE))),0))),""),"")),"")</f>
        <v/>
      </c>
      <c r="G144" s="206" t="str">
        <f ca="1">IF(F144&lt;&gt;"",IF(VALUE(IF(O144&lt;&gt;"",H144-O144,H144))&gt;VALUE(IF(COUNTIF('盛付札（関数）'!D144,"*キャラ*"),
VLOOKUP("*キャラ*",#REF!,7,FALSE),
IF(COUNTIF('盛付札（関数）'!D144,"*赤*"),
VLOOKUP("*赤*",#REF!,7,FALSE),
VLOOKUP('盛付札（関数）'!D144,#REF!,7,FALSE)))*F144),
"+"&amp;IF(O144&lt;&gt;"",H144-O144,H144)-IF(COUNTIF('盛付札（関数）'!D144,"*キャラ*"),
VLOOKUP("*キャラ*",#REF!,7,FALSE),
IF(COUNTIF('盛付札（関数）'!D144,"*赤*"),
VLOOKUP("*赤*",#REF!,7,FALSE),
VLOOKUP('盛付札（関数）'!D144,#REF!,7,FALSE)))*F144,
IF(O144&lt;&gt;"",H144-O144,H144)-IF(COUNTIF('盛付札（関数）'!D144,"*キャラ*"),
VLOOKUP("*キャラ*",#REF!,7,FALSE),
IF(COUNTIF('盛付札（関数）'!D144,"*赤*"),
VLOOKUP("*赤*",#REF!,7,FALSE),
VLOOKUP('盛付札（関数）'!D144,#REF!,7,FALSE)))*F144),"")</f>
        <v/>
      </c>
      <c r="H144" s="205" t="str" cm="1">
        <f t="array" aca="1" ref="H144" ca="1">IF(C144&lt;&gt;"",
IF(INDIRECT("数出表_Excel!"&amp;RIGHT(SUBSTITUTE(クライアント抽出!V4,",",""),1)&amp;A144-1&amp;"")&lt;&gt;"",
INDIRECT("数出表_Excel!"&amp;RIGHT(SUBSTITUTE(クライアント抽出!V4,",",""),1)&amp;A144-1&amp;""),0),"")</f>
        <v/>
      </c>
      <c r="I144" s="203" t="str" cm="1">
        <f t="array" aca="1" ref="I144" ca="1">IF(C144&lt;&gt;"",
IF(INDIRECT("数出表_Excel!"&amp;RIGHT(SUBSTITUTE(クライアント抽出!V4,",",""),1)&amp;A144&amp;"")&lt;&gt;"",
INDIRECT("数出表_Excel!"&amp;RIGHT(SUBSTITUTE(クライアント抽出!V4,",",""),1)&amp;A144&amp;""),0),"")</f>
        <v/>
      </c>
      <c r="J144" s="203" t="str">
        <f ca="1">IF(C144&lt;&gt;"",
VLOOKUP(
IF(COUNTIF(D144,"*学食*"),"キャラ弁（学食）",
IF(COUNTIF(D144,"*赤*"),"赤",
IF(COUNTIF(D144,"*キャラ弁当*"),"キャラ弁当",D144))),注文弁当の抽出!$E$1:$F$15,2,FALSE),"")</f>
        <v/>
      </c>
      <c r="K144" s="203" t="str">
        <f t="shared" ca="1" si="41"/>
        <v/>
      </c>
      <c r="L144" s="203" t="str">
        <f t="shared" ca="1" si="42"/>
        <v/>
      </c>
      <c r="M144" s="203" cm="1">
        <f t="array" aca="1" ref="M144" ca="1">IF(C144&lt;&gt;"",
IF(IFERROR(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0)&lt;&gt;0,
IF(IFERROR(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"")="",
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""),
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0)),0),0)</f>
        <v>0</v>
      </c>
      <c r="N144" s="203" t="e">
        <f t="array" aca="1" ref="N144" ca="1">IF(B144="博多",
IF(C144&lt;&gt;"",
IF(IFERROR(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0)&lt;&gt;0,
IF(IFERROR(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0)="",
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0),
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0)),0),""),0)</f>
        <v>#N/A</v>
      </c>
      <c r="O144" s="203" t="e">
        <f t="shared" ca="1" si="43"/>
        <v>#N/A</v>
      </c>
      <c r="P144" s="203">
        <f t="shared" ca="1" si="4"/>
        <v>0</v>
      </c>
      <c r="Q144" s="203" t="b">
        <f t="shared" ca="1" si="44"/>
        <v>0</v>
      </c>
      <c r="R144" s="51" t="str" cm="1">
        <f t="array" aca="1" ref="R144" ca="1">IFERROR(SMALL(IF(P$1:P$300&lt;&gt;0,P$1:P$300),ROW(A144)),"")</f>
        <v/>
      </c>
      <c r="S144" s="51" t="str">
        <f t="array" aca="1" ref="S144" ca="1">IF($R144&lt;&gt;"",
INDIRECT(""&amp;IF(COLUMN(C164)&lt;=26,CHAR(COLUMN(C164)+64),CHAR(INT((COLUMN(C164)-1)/26)+64)&amp;CHAR(MOD(COLUMN(C164)-1,26)+65))&amp;$R144&amp;""),"")</f>
        <v/>
      </c>
      <c r="T144" s="51" t="str" cm="1">
        <f t="array" aca="1" ref="T144" ca="1">IF(IF($R144&lt;&gt;"",
INDIRECT(""&amp;IF(COLUMN(D164)&lt;=26,CHAR(COLUMN(D164)+64),CHAR(INT((COLUMN(D164)-1)/26)+64)&amp;CHAR(MOD(COLUMN(D164)-1,26)+65))&amp;$R144&amp;""),"")=0,"",
IF($R144&lt;&gt;"",
INDIRECT(""&amp;IF(COLUMN(D164)&lt;=26,CHAR(COLUMN(D164)+64),CHAR(INT((COLUMN(D164)-1)/26)+64)&amp;CHAR(MOD(COLUMN(D164)-1,26)+65))&amp;$R144&amp;""),""))</f>
        <v/>
      </c>
      <c r="U144" s="51"/>
      <c r="V144" s="51" t="str">
        <f t="array" aca="1" ref="V144" ca="1">IF($R144&lt;&gt;"",
IF(U144="",
IF(INDIRECT("EY"&amp;$R144&amp;"")&lt;&gt;"",
INDIRECT("EY"&amp;$R144&amp;"")&amp;"箱"
&amp;INDIRECT("EZ"&amp;$R144&amp;""),""),""),"")</f>
        <v/>
      </c>
      <c r="W144" s="51" t="str">
        <f t="array" aca="1" ref="W144" ca="1">IF($R144&lt;&gt;"",
INDIRECT(""&amp;IF(COLUMN(H164)&lt;=26,CHAR(COLUMN(H164)+64),CHAR(INT((COLUMN(H164)-1)/26)+64)&amp;CHAR(MOD(COLUMN(H164)-1,26)+65))&amp;$R144&amp;""),"")</f>
        <v/>
      </c>
      <c r="X144" s="51" t="str">
        <f t="array" aca="1" ref="X144" ca="1">IF($R144&lt;&gt;"",
INDIRECT(""&amp;IF(COLUMN(I164)&lt;=26,CHAR(COLUMN(I164)+64),CHAR(INT((COLUMN(I164)-1)/26)+64)&amp;CHAR(MOD(COLUMN(I164)-1,26)+65))&amp;$R144&amp;""),"")</f>
        <v/>
      </c>
      <c r="Y144" s="51" t="str">
        <f t="array" aca="1" ref="Y144" ca="1">IF($R144&lt;&gt;"",
INDIRECT(""&amp;IF(COLUMN(J164)&lt;=26,CHAR(COLUMN(J164)+64),CHAR(INT((COLUMN(J164)-1)/26)+64)&amp;CHAR(MOD(COLUMN(J164)-1,26)+65))&amp;$R144&amp;""),"")</f>
        <v/>
      </c>
      <c r="Z144" s="51" t="str">
        <f t="array" aca="1" ref="Z144" ca="1">IF($R144&lt;&gt;"",
INDIRECT(""&amp;IF(COLUMN(K164)&lt;=26,CHAR(COLUMN(K164)+64),CHAR(INT((COLUMN(K164)-1)/26)+64)&amp;CHAR(MOD(COLUMN(K164)-1,26)+65))&amp;$R144&amp;""),"")</f>
        <v/>
      </c>
      <c r="AA144" s="51" t="str">
        <f t="array" aca="1" ref="AA144" ca="1">IF($R144&lt;&gt;"",
INDIRECT(""&amp;IF(COLUMN(L164)&lt;=26,CHAR(COLUMN(L164)+64),CHAR(INT((COLUMN(L164)-1)/26)+64)&amp;CHAR(MOD(COLUMN(L164)-1,26)+65))&amp;$R144&amp;""),"")</f>
        <v/>
      </c>
      <c r="AB144" s="51" t="str">
        <f t="array" aca="1" ref="AB144" ca="1">IF($R144&lt;&gt;"",
INDIRECT(""&amp;IF(COLUMN(O164)&lt;=26,CHAR(COLUMN(O164)+64),CHAR(INT((COLUMN(O164)-1)/26)+64)&amp;CHAR(MOD(COLUMN(O164)-1,26)+65))&amp;$R144&amp;""),"")</f>
        <v/>
      </c>
    </row>
    <row r="145" spans="1:28" ht="22.2" customHeight="1">
      <c r="A145" s="204">
        <f t="shared" si="40"/>
        <v>15</v>
      </c>
      <c r="B145" s="203" t="e" cm="1">
        <f t="array" aca="1" ref="B145" ca="1">IF(AND(LEFT(C145,2)="博多",
LEFT(INDIRECT("数出表_Excel!A"&amp;MATCH(C145,数出表_Excel!$A:$A,0)-1),2)
=LEFT(INDIRECT("数出表_Excel!A"&amp;MATCH(C145,数出表_Excel!$A:$A,0)+1),2)),"博多",
IF(AND(LEFT(C145,3)="奈良屋",
LEFT(INDIRECT("数出表_Excel!A"&amp;MATCH(C145,数出表_Excel!$A:$A,0)-1),2)
=LEFT(INDIRECT("数出表_Excel!A"&amp;MATCH(C145,数出表_Excel!$A:$A,0)+1),2)),"奈良屋",""))</f>
        <v>#N/A</v>
      </c>
      <c r="C145" s="203" t="str" cm="1">
        <f t="array" aca="1" ref="C145" ca="1">IF(IF(クライアント抽出!A5="",0,LEN(クライアント抽出!V5)-LEN(SUBSTITUTE(クライアント抽出!V5,",","")))&gt;=3,INDIRECT("数出表_Excel!A"&amp;A145&amp;""),"")</f>
        <v/>
      </c>
      <c r="D145" s="203" t="str" cm="1">
        <f t="array" aca="1" ref="D145" ca="1">IF(C145&lt;&gt;"",INDIRECT("クライアント抽出!"&amp;E145&amp;MATCH(C145,クライアント抽出!A:A,0)&amp;""),"")</f>
        <v/>
      </c>
      <c r="E145" s="203" t="str">
        <f ca="1">IF(H145&lt;&gt;0,
IFERROR(
SUBSTITUTE(ADDRESS(1,
MATCH(VALUE(H145),クライアント抽出!A5:G5,0)+8,4),"1",""),
""),
IFERROR(
SUBSTITUTE(ADDRESS(1,
MATCH(VALUE(I145),クライアント抽出!A5:G5,0)+8,4),"1",""),
""))</f>
        <v/>
      </c>
      <c r="F145" s="206" t="str" cm="1">
        <f t="array" aca="1" ref="F145" ca="1">IF(D145&lt;&gt;"",
IF(COUNTIF(C145,"*雙葉*"),
IF(ROUND(
IF(O145&lt;&gt;"",(H145-O145),H145)
/IF(COUNTIF('盛付札（関数）'!D145,"*キャラ*"),
VLOOKUP("*キャラ*",#REF!,7,FALSE),
IF(COUNTIF('盛付札（関数）'!D145,"*赤*"),
VLOOKUP("*赤*",#REF!,7,FALSE),
VLOOKUP('盛付札（関数）'!D145,#REF!,7,FALSE))),0)&lt;=0,1,
ROUND(
IF(O145&lt;&gt;"",(H145-O145),H145)
/IF(COUNTIF('盛付札（関数）'!D145,"*キャラ*"),
VLOOKUP("*キャラ*",#REF!,7,FALSE),
IF(COUNTIF('盛付札（関数）'!D145,"*赤*"),
VLOOKUP("*赤*",#REF!,7,FALSE),
VLOOKUP('盛付札（関数）'!D145,#REF!,7,FALSE))),0)),
IF(MATCH(TRUE,
ISNUMBER(--INDIRECT("数出表_Excel!B"&amp;MATCH(C145,数出表_Excel!$A:$A,0)-1&amp;":U"&amp;MATCH(C145,数出表_Excel!$A:$A,0)-1&amp;"")),0)&gt;10,
IF(D145&lt;&gt;"",
IF(IF(COUNTIF('盛付札（関数）'!D145,"*キャラ*"),
VLOOKUP("*キャラ*",#REF!,7,FALSE),
IF(COUNTIF('盛付札（関数）'!D145,"*赤*"),
VLOOKUP("*赤*",#REF!,7,FALSE),
VLOOKUP('盛付札（関数）'!D145,#REF!,7,FALSE)))=0,"",
IF(ROUND(
IF(O145&lt;&gt;"",(H145-O145),H145)
/IF(COUNTIF('盛付札（関数）'!D145,"*キャラ*"),
VLOOKUP("*キャラ*",#REF!,7,FALSE),
IF(COUNTIF('盛付札（関数）'!D145,"*赤*"),
VLOOKUP("*赤*",#REF!,7,FALSE),
VLOOKUP('盛付札（関数）'!D145,#REF!,7,FALSE))),0)&lt;=0,1,
ROUND(
IF(O145&lt;&gt;"",(H145-O145),H145)
/IF(COUNTIF('盛付札（関数）'!D145,"*キャラ*"),
VLOOKUP("*キャラ*",#REF!,7,FALSE),
IF(COUNTIF('盛付札（関数）'!D145,"*赤*"),
VLOOKUP("*赤*",#REF!,7,FALSE),
VLOOKUP('盛付札（関数）'!D145,#REF!,7,FALSE))),0))),""),"")),"")</f>
        <v/>
      </c>
      <c r="G145" s="206" t="str">
        <f ca="1">IF(F145&lt;&gt;"",IF(VALUE(IF(O145&lt;&gt;"",H145-O145,H145))&gt;VALUE(IF(COUNTIF('盛付札（関数）'!D145,"*キャラ*"),
VLOOKUP("*キャラ*",#REF!,7,FALSE),
IF(COUNTIF('盛付札（関数）'!D145,"*赤*"),
VLOOKUP("*赤*",#REF!,7,FALSE),
VLOOKUP('盛付札（関数）'!D145,#REF!,7,FALSE)))*F145),
"+"&amp;IF(O145&lt;&gt;"",H145-O145,H145)-IF(COUNTIF('盛付札（関数）'!D145,"*キャラ*"),
VLOOKUP("*キャラ*",#REF!,7,FALSE),
IF(COUNTIF('盛付札（関数）'!D145,"*赤*"),
VLOOKUP("*赤*",#REF!,7,FALSE),
VLOOKUP('盛付札（関数）'!D145,#REF!,7,FALSE)))*F145,
IF(O145&lt;&gt;"",H145-O145,H145)-IF(COUNTIF('盛付札（関数）'!D145,"*キャラ*"),
VLOOKUP("*キャラ*",#REF!,7,FALSE),
IF(COUNTIF('盛付札（関数）'!D145,"*赤*"),
VLOOKUP("*赤*",#REF!,7,FALSE),
VLOOKUP('盛付札（関数）'!D145,#REF!,7,FALSE)))*F145),"")</f>
        <v/>
      </c>
      <c r="H145" s="205" t="str" cm="1">
        <f t="array" aca="1" ref="H145" ca="1">IF(C145&lt;&gt;"",
IF(INDIRECT("数出表_Excel!"&amp;RIGHT(SUBSTITUTE(クライアント抽出!V5,",",""),1)&amp;A145-1&amp;"")&lt;&gt;"",
INDIRECT("数出表_Excel!"&amp;RIGHT(SUBSTITUTE(クライアント抽出!V5,",",""),1)&amp;A145-1&amp;""),0),"")</f>
        <v/>
      </c>
      <c r="I145" s="203" t="str" cm="1">
        <f t="array" aca="1" ref="I145" ca="1">IF(C145&lt;&gt;"",
IF(INDIRECT("数出表_Excel!"&amp;RIGHT(SUBSTITUTE(クライアント抽出!V5,",",""),1)&amp;A145&amp;"")&lt;&gt;"",
INDIRECT("数出表_Excel!"&amp;RIGHT(SUBSTITUTE(クライアント抽出!V5,",",""),1)&amp;A145&amp;""),0),"")</f>
        <v/>
      </c>
      <c r="J145" s="203" t="str">
        <f ca="1">IF(C145&lt;&gt;"",
VLOOKUP(
IF(COUNTIF(D145,"*学食*"),"キャラ弁（学食）",
IF(COUNTIF(D145,"*赤*"),"赤",
IF(COUNTIF(D145,"*キャラ弁当*"),"キャラ弁当",D145))),注文弁当の抽出!$E$1:$F$15,2,FALSE),"")</f>
        <v/>
      </c>
      <c r="K145" s="203" t="str">
        <f t="shared" ca="1" si="41"/>
        <v/>
      </c>
      <c r="L145" s="203" t="str">
        <f t="shared" ca="1" si="42"/>
        <v/>
      </c>
      <c r="M145" s="203" cm="1">
        <f t="array" aca="1" ref="M145" ca="1">IF(C145&lt;&gt;"",
IF(IFERROR(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0)&lt;&gt;0,
IF(IFERROR(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"")="",
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""),
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0)),0),0)</f>
        <v>0</v>
      </c>
      <c r="N145" s="203" t="e">
        <f t="array" aca="1" ref="N145" ca="1">IF(B145="博多",
IF(C145&lt;&gt;"",
IF(IFERROR(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0)&lt;&gt;0,
IF(IFERROR(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0)="",
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0),
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0)),0),""),0)</f>
        <v>#N/A</v>
      </c>
      <c r="O145" s="203" t="e">
        <f t="shared" ca="1" si="43"/>
        <v>#N/A</v>
      </c>
      <c r="P145" s="203">
        <f t="shared" ca="1" si="4"/>
        <v>0</v>
      </c>
      <c r="Q145" s="203" t="b">
        <f t="shared" ca="1" si="44"/>
        <v>0</v>
      </c>
      <c r="R145" s="51" t="str" cm="1">
        <f t="array" aca="1" ref="R145" ca="1">IFERROR(SMALL(IF(P$1:P$300&lt;&gt;0,P$1:P$300),ROW(A145)),"")</f>
        <v/>
      </c>
      <c r="S145" s="51" t="str">
        <f t="array" aca="1" ref="S145" ca="1">IF($R145&lt;&gt;"",
INDIRECT(""&amp;IF(COLUMN(C165)&lt;=26,CHAR(COLUMN(C165)+64),CHAR(INT((COLUMN(C165)-1)/26)+64)&amp;CHAR(MOD(COLUMN(C165)-1,26)+65))&amp;$R145&amp;""),"")</f>
        <v/>
      </c>
      <c r="T145" s="51" t="str" cm="1">
        <f t="array" aca="1" ref="T145" ca="1">IF(IF($R145&lt;&gt;"",
INDIRECT(""&amp;IF(COLUMN(D165)&lt;=26,CHAR(COLUMN(D165)+64),CHAR(INT((COLUMN(D165)-1)/26)+64)&amp;CHAR(MOD(COLUMN(D165)-1,26)+65))&amp;$R145&amp;""),"")=0,"",
IF($R145&lt;&gt;"",
INDIRECT(""&amp;IF(COLUMN(D165)&lt;=26,CHAR(COLUMN(D165)+64),CHAR(INT((COLUMN(D165)-1)/26)+64)&amp;CHAR(MOD(COLUMN(D165)-1,26)+65))&amp;$R145&amp;""),""))</f>
        <v/>
      </c>
      <c r="U145" s="51"/>
      <c r="V145" s="51" t="str">
        <f t="array" aca="1" ref="V145" ca="1">IF($R145&lt;&gt;"",
IF(U145="",
IF(INDIRECT("EY"&amp;$R145&amp;"")&lt;&gt;"",
INDIRECT("EY"&amp;$R145&amp;"")&amp;"箱"
&amp;INDIRECT("EZ"&amp;$R145&amp;""),""),""),"")</f>
        <v/>
      </c>
      <c r="W145" s="51" t="str">
        <f t="array" aca="1" ref="W145" ca="1">IF($R145&lt;&gt;"",
INDIRECT(""&amp;IF(COLUMN(H165)&lt;=26,CHAR(COLUMN(H165)+64),CHAR(INT((COLUMN(H165)-1)/26)+64)&amp;CHAR(MOD(COLUMN(H165)-1,26)+65))&amp;$R145&amp;""),"")</f>
        <v/>
      </c>
      <c r="X145" s="51" t="str">
        <f t="array" aca="1" ref="X145" ca="1">IF($R145&lt;&gt;"",
INDIRECT(""&amp;IF(COLUMN(I165)&lt;=26,CHAR(COLUMN(I165)+64),CHAR(INT((COLUMN(I165)-1)/26)+64)&amp;CHAR(MOD(COLUMN(I165)-1,26)+65))&amp;$R145&amp;""),"")</f>
        <v/>
      </c>
      <c r="Y145" s="51" t="str">
        <f t="array" aca="1" ref="Y145" ca="1">IF($R145&lt;&gt;"",
INDIRECT(""&amp;IF(COLUMN(J165)&lt;=26,CHAR(COLUMN(J165)+64),CHAR(INT((COLUMN(J165)-1)/26)+64)&amp;CHAR(MOD(COLUMN(J165)-1,26)+65))&amp;$R145&amp;""),"")</f>
        <v/>
      </c>
      <c r="Z145" s="51" t="str">
        <f t="array" aca="1" ref="Z145" ca="1">IF($R145&lt;&gt;"",
INDIRECT(""&amp;IF(COLUMN(K165)&lt;=26,CHAR(COLUMN(K165)+64),CHAR(INT((COLUMN(K165)-1)/26)+64)&amp;CHAR(MOD(COLUMN(K165)-1,26)+65))&amp;$R145&amp;""),"")</f>
        <v/>
      </c>
      <c r="AA145" s="51" t="str">
        <f t="array" aca="1" ref="AA145" ca="1">IF($R145&lt;&gt;"",
INDIRECT(""&amp;IF(COLUMN(L165)&lt;=26,CHAR(COLUMN(L165)+64),CHAR(INT((COLUMN(L165)-1)/26)+64)&amp;CHAR(MOD(COLUMN(L165)-1,26)+65))&amp;$R145&amp;""),"")</f>
        <v/>
      </c>
      <c r="AB145" s="51" t="str">
        <f t="array" aca="1" ref="AB145" ca="1">IF($R145&lt;&gt;"",
INDIRECT(""&amp;IF(COLUMN(O165)&lt;=26,CHAR(COLUMN(O165)+64),CHAR(INT((COLUMN(O165)-1)/26)+64)&amp;CHAR(MOD(COLUMN(O165)-1,26)+65))&amp;$R145&amp;""),"")</f>
        <v/>
      </c>
    </row>
    <row r="146" spans="1:28" ht="22.2" customHeight="1">
      <c r="A146" s="204">
        <f t="shared" si="40"/>
        <v>17</v>
      </c>
      <c r="B146" s="203" t="e" cm="1">
        <f t="array" aca="1" ref="B146" ca="1">IF(AND(LEFT(C146,2)="博多",
LEFT(INDIRECT("数出表_Excel!A"&amp;MATCH(C146,数出表_Excel!$A:$A,0)-1),2)
=LEFT(INDIRECT("数出表_Excel!A"&amp;MATCH(C146,数出表_Excel!$A:$A,0)+1),2)),"博多",
IF(AND(LEFT(C146,3)="奈良屋",
LEFT(INDIRECT("数出表_Excel!A"&amp;MATCH(C146,数出表_Excel!$A:$A,0)-1),2)
=LEFT(INDIRECT("数出表_Excel!A"&amp;MATCH(C146,数出表_Excel!$A:$A,0)+1),2)),"奈良屋",""))</f>
        <v>#N/A</v>
      </c>
      <c r="C146" s="203" t="str" cm="1">
        <f t="array" aca="1" ref="C146" ca="1">IF(IF(クライアント抽出!A6="",0,LEN(クライアント抽出!V6)-LEN(SUBSTITUTE(クライアント抽出!V6,",","")))&gt;=3,INDIRECT("数出表_Excel!A"&amp;A146&amp;""),"")</f>
        <v/>
      </c>
      <c r="D146" s="203" t="str" cm="1">
        <f t="array" aca="1" ref="D146" ca="1">IF(C146&lt;&gt;"",INDIRECT("クライアント抽出!"&amp;E146&amp;MATCH(C146,クライアント抽出!A:A,0)&amp;""),"")</f>
        <v/>
      </c>
      <c r="E146" s="203" t="str">
        <f ca="1">IF(H146&lt;&gt;0,
IFERROR(
SUBSTITUTE(ADDRESS(1,
MATCH(VALUE(H146),クライアント抽出!A6:G6,0)+8,4),"1",""),
""),
IFERROR(
SUBSTITUTE(ADDRESS(1,
MATCH(VALUE(I146),クライアント抽出!A6:G6,0)+8,4),"1",""),
""))</f>
        <v/>
      </c>
      <c r="F146" s="206" t="str" cm="1">
        <f t="array" aca="1" ref="F146" ca="1">IF(D146&lt;&gt;"",
IF(COUNTIF(C146,"*雙葉*"),
IF(ROUND(
IF(O146&lt;&gt;"",(H146-O146),H146)
/IF(COUNTIF('盛付札（関数）'!D146,"*キャラ*"),
VLOOKUP("*キャラ*",#REF!,7,FALSE),
IF(COUNTIF('盛付札（関数）'!D146,"*赤*"),
VLOOKUP("*赤*",#REF!,7,FALSE),
VLOOKUP('盛付札（関数）'!D146,#REF!,7,FALSE))),0)&lt;=0,1,
ROUND(
IF(O146&lt;&gt;"",(H146-O146),H146)
/IF(COUNTIF('盛付札（関数）'!D146,"*キャラ*"),
VLOOKUP("*キャラ*",#REF!,7,FALSE),
IF(COUNTIF('盛付札（関数）'!D146,"*赤*"),
VLOOKUP("*赤*",#REF!,7,FALSE),
VLOOKUP('盛付札（関数）'!D146,#REF!,7,FALSE))),0)),
IF(MATCH(TRUE,
ISNUMBER(--INDIRECT("数出表_Excel!B"&amp;MATCH(C146,数出表_Excel!$A:$A,0)-1&amp;":U"&amp;MATCH(C146,数出表_Excel!$A:$A,0)-1&amp;"")),0)&gt;10,
IF(D146&lt;&gt;"",
IF(IF(COUNTIF('盛付札（関数）'!D146,"*キャラ*"),
VLOOKUP("*キャラ*",#REF!,7,FALSE),
IF(COUNTIF('盛付札（関数）'!D146,"*赤*"),
VLOOKUP("*赤*",#REF!,7,FALSE),
VLOOKUP('盛付札（関数）'!D146,#REF!,7,FALSE)))=0,"",
IF(ROUND(
IF(O146&lt;&gt;"",(H146-O146),H146)
/IF(COUNTIF('盛付札（関数）'!D146,"*キャラ*"),
VLOOKUP("*キャラ*",#REF!,7,FALSE),
IF(COUNTIF('盛付札（関数）'!D146,"*赤*"),
VLOOKUP("*赤*",#REF!,7,FALSE),
VLOOKUP('盛付札（関数）'!D146,#REF!,7,FALSE))),0)&lt;=0,1,
ROUND(
IF(O146&lt;&gt;"",(H146-O146),H146)
/IF(COUNTIF('盛付札（関数）'!D146,"*キャラ*"),
VLOOKUP("*キャラ*",#REF!,7,FALSE),
IF(COUNTIF('盛付札（関数）'!D146,"*赤*"),
VLOOKUP("*赤*",#REF!,7,FALSE),
VLOOKUP('盛付札（関数）'!D146,#REF!,7,FALSE))),0))),""),"")),"")</f>
        <v/>
      </c>
      <c r="G146" s="206" t="str">
        <f ca="1">IF(F146&lt;&gt;"",IF(VALUE(IF(O146&lt;&gt;"",H146-O146,H146))&gt;VALUE(IF(COUNTIF('盛付札（関数）'!D146,"*キャラ*"),
VLOOKUP("*キャラ*",#REF!,7,FALSE),
IF(COUNTIF('盛付札（関数）'!D146,"*赤*"),
VLOOKUP("*赤*",#REF!,7,FALSE),
VLOOKUP('盛付札（関数）'!D146,#REF!,7,FALSE)))*F146),
"+"&amp;IF(O146&lt;&gt;"",H146-O146,H146)-IF(COUNTIF('盛付札（関数）'!D146,"*キャラ*"),
VLOOKUP("*キャラ*",#REF!,7,FALSE),
IF(COUNTIF('盛付札（関数）'!D146,"*赤*"),
VLOOKUP("*赤*",#REF!,7,FALSE),
VLOOKUP('盛付札（関数）'!D146,#REF!,7,FALSE)))*F146,
IF(O146&lt;&gt;"",H146-O146,H146)-IF(COUNTIF('盛付札（関数）'!D146,"*キャラ*"),
VLOOKUP("*キャラ*",#REF!,7,FALSE),
IF(COUNTIF('盛付札（関数）'!D146,"*赤*"),
VLOOKUP("*赤*",#REF!,7,FALSE),
VLOOKUP('盛付札（関数）'!D146,#REF!,7,FALSE)))*F146),"")</f>
        <v/>
      </c>
      <c r="H146" s="205" t="str" cm="1">
        <f t="array" aca="1" ref="H146" ca="1">IF(C146&lt;&gt;"",
IF(INDIRECT("数出表_Excel!"&amp;RIGHT(SUBSTITUTE(クライアント抽出!V6,",",""),1)&amp;A146-1&amp;"")&lt;&gt;"",
INDIRECT("数出表_Excel!"&amp;RIGHT(SUBSTITUTE(クライアント抽出!V6,",",""),1)&amp;A146-1&amp;""),0),"")</f>
        <v/>
      </c>
      <c r="I146" s="203" t="str" cm="1">
        <f t="array" aca="1" ref="I146" ca="1">IF(C146&lt;&gt;"",
IF(INDIRECT("数出表_Excel!"&amp;RIGHT(SUBSTITUTE(クライアント抽出!V6,",",""),1)&amp;A146&amp;"")&lt;&gt;"",
INDIRECT("数出表_Excel!"&amp;RIGHT(SUBSTITUTE(クライアント抽出!V6,",",""),1)&amp;A146&amp;""),0),"")</f>
        <v/>
      </c>
      <c r="J146" s="203" t="str">
        <f ca="1">IF(C146&lt;&gt;"",
VLOOKUP(
IF(COUNTIF(D146,"*学食*"),"キャラ弁（学食）",
IF(COUNTIF(D146,"*赤*"),"赤",
IF(COUNTIF(D146,"*キャラ弁当*"),"キャラ弁当",D146))),注文弁当の抽出!$E$1:$F$15,2,FALSE),"")</f>
        <v/>
      </c>
      <c r="K146" s="203" t="str">
        <f t="shared" ca="1" si="41"/>
        <v/>
      </c>
      <c r="L146" s="203" t="str">
        <f t="shared" ca="1" si="42"/>
        <v/>
      </c>
      <c r="M146" s="203" cm="1">
        <f t="array" aca="1" ref="M146" ca="1">IF(C146&lt;&gt;"",
IF(IFERROR(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0)&lt;&gt;0,
IF(IFERROR(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"")="",
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""),
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0)),0),0)</f>
        <v>0</v>
      </c>
      <c r="N146" s="203" t="e">
        <f t="array" aca="1" ref="N146" ca="1">IF(B146="博多",
IF(C146&lt;&gt;"",
IF(IFERROR(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0)&lt;&gt;0,
IF(IFERROR(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0)="",
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0),
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0)),0),""),0)</f>
        <v>#N/A</v>
      </c>
      <c r="O146" s="203" t="e">
        <f t="shared" ca="1" si="43"/>
        <v>#N/A</v>
      </c>
      <c r="P146" s="203">
        <f t="shared" ca="1" si="4"/>
        <v>0</v>
      </c>
      <c r="Q146" s="203" t="b">
        <f t="shared" ca="1" si="44"/>
        <v>0</v>
      </c>
      <c r="R146" s="51" t="str" cm="1">
        <f t="array" aca="1" ref="R146" ca="1">IFERROR(SMALL(IF(P$1:P$300&lt;&gt;0,P$1:P$300),ROW(A146)),"")</f>
        <v/>
      </c>
      <c r="S146" s="51" t="str">
        <f t="array" aca="1" ref="S146" ca="1">IF($R146&lt;&gt;"",
INDIRECT(""&amp;IF(COLUMN(C166)&lt;=26,CHAR(COLUMN(C166)+64),CHAR(INT((COLUMN(C166)-1)/26)+64)&amp;CHAR(MOD(COLUMN(C166)-1,26)+65))&amp;$R146&amp;""),"")</f>
        <v/>
      </c>
      <c r="T146" s="51" t="str" cm="1">
        <f t="array" aca="1" ref="T146" ca="1">IF(IF($R146&lt;&gt;"",
INDIRECT(""&amp;IF(COLUMN(D166)&lt;=26,CHAR(COLUMN(D166)+64),CHAR(INT((COLUMN(D166)-1)/26)+64)&amp;CHAR(MOD(COLUMN(D166)-1,26)+65))&amp;$R146&amp;""),"")=0,"",
IF($R146&lt;&gt;"",
INDIRECT(""&amp;IF(COLUMN(D166)&lt;=26,CHAR(COLUMN(D166)+64),CHAR(INT((COLUMN(D166)-1)/26)+64)&amp;CHAR(MOD(COLUMN(D166)-1,26)+65))&amp;$R146&amp;""),""))</f>
        <v/>
      </c>
      <c r="U146" s="51"/>
      <c r="V146" s="51" t="str">
        <f t="array" aca="1" ref="V146" ca="1">IF($R146&lt;&gt;"",
IF(U146="",
IF(INDIRECT("EY"&amp;$R146&amp;"")&lt;&gt;"",
INDIRECT("EY"&amp;$R146&amp;"")&amp;"箱"
&amp;INDIRECT("EZ"&amp;$R146&amp;""),""),""),"")</f>
        <v/>
      </c>
      <c r="W146" s="51" t="str">
        <f t="array" aca="1" ref="W146" ca="1">IF($R146&lt;&gt;"",
INDIRECT(""&amp;IF(COLUMN(H166)&lt;=26,CHAR(COLUMN(H166)+64),CHAR(INT((COLUMN(H166)-1)/26)+64)&amp;CHAR(MOD(COLUMN(H166)-1,26)+65))&amp;$R146&amp;""),"")</f>
        <v/>
      </c>
      <c r="X146" s="51" t="str">
        <f t="array" aca="1" ref="X146" ca="1">IF($R146&lt;&gt;"",
INDIRECT(""&amp;IF(COLUMN(I166)&lt;=26,CHAR(COLUMN(I166)+64),CHAR(INT((COLUMN(I166)-1)/26)+64)&amp;CHAR(MOD(COLUMN(I166)-1,26)+65))&amp;$R146&amp;""),"")</f>
        <v/>
      </c>
      <c r="Y146" s="51" t="str">
        <f t="array" aca="1" ref="Y146" ca="1">IF($R146&lt;&gt;"",
INDIRECT(""&amp;IF(COLUMN(J166)&lt;=26,CHAR(COLUMN(J166)+64),CHAR(INT((COLUMN(J166)-1)/26)+64)&amp;CHAR(MOD(COLUMN(J166)-1,26)+65))&amp;$R146&amp;""),"")</f>
        <v/>
      </c>
      <c r="Z146" s="51" t="str">
        <f t="array" aca="1" ref="Z146" ca="1">IF($R146&lt;&gt;"",
INDIRECT(""&amp;IF(COLUMN(K166)&lt;=26,CHAR(COLUMN(K166)+64),CHAR(INT((COLUMN(K166)-1)/26)+64)&amp;CHAR(MOD(COLUMN(K166)-1,26)+65))&amp;$R146&amp;""),"")</f>
        <v/>
      </c>
      <c r="AA146" s="51" t="str">
        <f t="array" aca="1" ref="AA146" ca="1">IF($R146&lt;&gt;"",
INDIRECT(""&amp;IF(COLUMN(L166)&lt;=26,CHAR(COLUMN(L166)+64),CHAR(INT((COLUMN(L166)-1)/26)+64)&amp;CHAR(MOD(COLUMN(L166)-1,26)+65))&amp;$R146&amp;""),"")</f>
        <v/>
      </c>
      <c r="AB146" s="51" t="str">
        <f t="array" aca="1" ref="AB146" ca="1">IF($R146&lt;&gt;"",
INDIRECT(""&amp;IF(COLUMN(O166)&lt;=26,CHAR(COLUMN(O166)+64),CHAR(INT((COLUMN(O166)-1)/26)+64)&amp;CHAR(MOD(COLUMN(O166)-1,26)+65))&amp;$R146&amp;""),"")</f>
        <v/>
      </c>
    </row>
    <row r="147" spans="1:28" ht="22.2" customHeight="1">
      <c r="A147" s="204">
        <f t="shared" si="40"/>
        <v>19</v>
      </c>
      <c r="B147" s="203" t="e" cm="1">
        <f t="array" aca="1" ref="B147" ca="1">IF(AND(LEFT(C147,2)="博多",
LEFT(INDIRECT("数出表_Excel!A"&amp;MATCH(C147,数出表_Excel!$A:$A,0)-1),2)
=LEFT(INDIRECT("数出表_Excel!A"&amp;MATCH(C147,数出表_Excel!$A:$A,0)+1),2)),"博多",
IF(AND(LEFT(C147,3)="奈良屋",
LEFT(INDIRECT("数出表_Excel!A"&amp;MATCH(C147,数出表_Excel!$A:$A,0)-1),2)
=LEFT(INDIRECT("数出表_Excel!A"&amp;MATCH(C147,数出表_Excel!$A:$A,0)+1),2)),"奈良屋",""))</f>
        <v>#N/A</v>
      </c>
      <c r="C147" s="203" t="str" cm="1">
        <f t="array" aca="1" ref="C147" ca="1">IF(IF(クライアント抽出!A7="",0,LEN(クライアント抽出!V7)-LEN(SUBSTITUTE(クライアント抽出!V7,",","")))&gt;=3,INDIRECT("数出表_Excel!A"&amp;A147&amp;""),"")</f>
        <v/>
      </c>
      <c r="D147" s="203" t="str" cm="1">
        <f t="array" aca="1" ref="D147" ca="1">IF(C147&lt;&gt;"",INDIRECT("クライアント抽出!"&amp;E147&amp;MATCH(C147,クライアント抽出!A:A,0)&amp;""),"")</f>
        <v/>
      </c>
      <c r="E147" s="203" t="str">
        <f ca="1">IF(H147&lt;&gt;0,
IFERROR(
SUBSTITUTE(ADDRESS(1,
MATCH(VALUE(H147),クライアント抽出!A7:G7,0)+8,4),"1",""),
""),
IFERROR(
SUBSTITUTE(ADDRESS(1,
MATCH(VALUE(I147),クライアント抽出!A7:G7,0)+8,4),"1",""),
""))</f>
        <v/>
      </c>
      <c r="F147" s="206" t="str" cm="1">
        <f t="array" aca="1" ref="F147" ca="1">IF(D147&lt;&gt;"",
IF(COUNTIF(C147,"*雙葉*"),
IF(ROUND(
IF(O147&lt;&gt;"",(H147-O147),H147)
/IF(COUNTIF('盛付札（関数）'!D147,"*キャラ*"),
VLOOKUP("*キャラ*",#REF!,7,FALSE),
IF(COUNTIF('盛付札（関数）'!D147,"*赤*"),
VLOOKUP("*赤*",#REF!,7,FALSE),
VLOOKUP('盛付札（関数）'!D147,#REF!,7,FALSE))),0)&lt;=0,1,
ROUND(
IF(O147&lt;&gt;"",(H147-O147),H147)
/IF(COUNTIF('盛付札（関数）'!D147,"*キャラ*"),
VLOOKUP("*キャラ*",#REF!,7,FALSE),
IF(COUNTIF('盛付札（関数）'!D147,"*赤*"),
VLOOKUP("*赤*",#REF!,7,FALSE),
VLOOKUP('盛付札（関数）'!D147,#REF!,7,FALSE))),0)),
IF(MATCH(TRUE,
ISNUMBER(--INDIRECT("数出表_Excel!B"&amp;MATCH(C147,数出表_Excel!$A:$A,0)-1&amp;":U"&amp;MATCH(C147,数出表_Excel!$A:$A,0)-1&amp;"")),0)&gt;10,
IF(D147&lt;&gt;"",
IF(IF(COUNTIF('盛付札（関数）'!D147,"*キャラ*"),
VLOOKUP("*キャラ*",#REF!,7,FALSE),
IF(COUNTIF('盛付札（関数）'!D147,"*赤*"),
VLOOKUP("*赤*",#REF!,7,FALSE),
VLOOKUP('盛付札（関数）'!D147,#REF!,7,FALSE)))=0,"",
IF(ROUND(
IF(O147&lt;&gt;"",(H147-O147),H147)
/IF(COUNTIF('盛付札（関数）'!D147,"*キャラ*"),
VLOOKUP("*キャラ*",#REF!,7,FALSE),
IF(COUNTIF('盛付札（関数）'!D147,"*赤*"),
VLOOKUP("*赤*",#REF!,7,FALSE),
VLOOKUP('盛付札（関数）'!D147,#REF!,7,FALSE))),0)&lt;=0,1,
ROUND(
IF(O147&lt;&gt;"",(H147-O147),H147)
/IF(COUNTIF('盛付札（関数）'!D147,"*キャラ*"),
VLOOKUP("*キャラ*",#REF!,7,FALSE),
IF(COUNTIF('盛付札（関数）'!D147,"*赤*"),
VLOOKUP("*赤*",#REF!,7,FALSE),
VLOOKUP('盛付札（関数）'!D147,#REF!,7,FALSE))),0))),""),"")),"")</f>
        <v/>
      </c>
      <c r="G147" s="206" t="str">
        <f ca="1">IF(F147&lt;&gt;"",IF(VALUE(IF(O147&lt;&gt;"",H147-O147,H147))&gt;VALUE(IF(COUNTIF('盛付札（関数）'!D147,"*キャラ*"),
VLOOKUP("*キャラ*",#REF!,7,FALSE),
IF(COUNTIF('盛付札（関数）'!D147,"*赤*"),
VLOOKUP("*赤*",#REF!,7,FALSE),
VLOOKUP('盛付札（関数）'!D147,#REF!,7,FALSE)))*F147),
"+"&amp;IF(O147&lt;&gt;"",H147-O147,H147)-IF(COUNTIF('盛付札（関数）'!D147,"*キャラ*"),
VLOOKUP("*キャラ*",#REF!,7,FALSE),
IF(COUNTIF('盛付札（関数）'!D147,"*赤*"),
VLOOKUP("*赤*",#REF!,7,FALSE),
VLOOKUP('盛付札（関数）'!D147,#REF!,7,FALSE)))*F147,
IF(O147&lt;&gt;"",H147-O147,H147)-IF(COUNTIF('盛付札（関数）'!D147,"*キャラ*"),
VLOOKUP("*キャラ*",#REF!,7,FALSE),
IF(COUNTIF('盛付札（関数）'!D147,"*赤*"),
VLOOKUP("*赤*",#REF!,7,FALSE),
VLOOKUP('盛付札（関数）'!D147,#REF!,7,FALSE)))*F147),"")</f>
        <v/>
      </c>
      <c r="H147" s="205" t="str" cm="1">
        <f t="array" aca="1" ref="H147" ca="1">IF(C147&lt;&gt;"",
IF(INDIRECT("数出表_Excel!"&amp;RIGHT(SUBSTITUTE(クライアント抽出!V7,",",""),1)&amp;A147-1&amp;"")&lt;&gt;"",
INDIRECT("数出表_Excel!"&amp;RIGHT(SUBSTITUTE(クライアント抽出!V7,",",""),1)&amp;A147-1&amp;""),0),"")</f>
        <v/>
      </c>
      <c r="I147" s="203" t="str" cm="1">
        <f t="array" aca="1" ref="I147" ca="1">IF(C147&lt;&gt;"",
IF(INDIRECT("数出表_Excel!"&amp;RIGHT(SUBSTITUTE(クライアント抽出!V7,",",""),1)&amp;A147&amp;"")&lt;&gt;"",
INDIRECT("数出表_Excel!"&amp;RIGHT(SUBSTITUTE(クライアント抽出!V7,",",""),1)&amp;A147&amp;""),0),"")</f>
        <v/>
      </c>
      <c r="J147" s="203" t="str">
        <f ca="1">IF(C147&lt;&gt;"",
VLOOKUP(
IF(COUNTIF(D147,"*学食*"),"キャラ弁（学食）",
IF(COUNTIF(D147,"*赤*"),"赤",
IF(COUNTIF(D147,"*キャラ弁当*"),"キャラ弁当",D147))),注文弁当の抽出!$E$1:$F$15,2,FALSE),"")</f>
        <v/>
      </c>
      <c r="K147" s="203" t="str">
        <f t="shared" ca="1" si="41"/>
        <v/>
      </c>
      <c r="L147" s="203" t="str">
        <f t="shared" ca="1" si="42"/>
        <v/>
      </c>
      <c r="M147" s="203" cm="1">
        <f t="array" aca="1" ref="M147" ca="1">IF(C147&lt;&gt;"",
IF(IFERROR(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0)&lt;&gt;0,
IF(IFERROR(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"")="",
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""),
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0)),0),0)</f>
        <v>0</v>
      </c>
      <c r="N147" s="203" t="e">
        <f t="array" aca="1" ref="N147" ca="1">IF(B147="博多",
IF(C147&lt;&gt;"",
IF(IFERROR(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0)&lt;&gt;0,
IF(IFERROR(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0)="",
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0),
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0)),0),""),0)</f>
        <v>#N/A</v>
      </c>
      <c r="O147" s="203" t="e">
        <f t="shared" ca="1" si="43"/>
        <v>#N/A</v>
      </c>
      <c r="P147" s="203">
        <f t="shared" ca="1" si="4"/>
        <v>0</v>
      </c>
      <c r="Q147" s="203" t="b">
        <f t="shared" ca="1" si="44"/>
        <v>0</v>
      </c>
      <c r="R147" s="51" t="str" cm="1">
        <f t="array" aca="1" ref="R147" ca="1">IFERROR(SMALL(IF(P$1:P$300&lt;&gt;0,P$1:P$300),ROW(A147)),"")</f>
        <v/>
      </c>
      <c r="S147" s="51" t="str">
        <f t="array" aca="1" ref="S147" ca="1">IF($R147&lt;&gt;"",
INDIRECT(""&amp;IF(COLUMN(C167)&lt;=26,CHAR(COLUMN(C167)+64),CHAR(INT((COLUMN(C167)-1)/26)+64)&amp;CHAR(MOD(COLUMN(C167)-1,26)+65))&amp;$R147&amp;""),"")</f>
        <v/>
      </c>
      <c r="T147" s="51" t="str" cm="1">
        <f t="array" aca="1" ref="T147" ca="1">IF(IF($R147&lt;&gt;"",
INDIRECT(""&amp;IF(COLUMN(D167)&lt;=26,CHAR(COLUMN(D167)+64),CHAR(INT((COLUMN(D167)-1)/26)+64)&amp;CHAR(MOD(COLUMN(D167)-1,26)+65))&amp;$R147&amp;""),"")=0,"",
IF($R147&lt;&gt;"",
INDIRECT(""&amp;IF(COLUMN(D167)&lt;=26,CHAR(COLUMN(D167)+64),CHAR(INT((COLUMN(D167)-1)/26)+64)&amp;CHAR(MOD(COLUMN(D167)-1,26)+65))&amp;$R147&amp;""),""))</f>
        <v/>
      </c>
      <c r="U147" s="51"/>
      <c r="V147" s="51" t="str">
        <f t="array" aca="1" ref="V147" ca="1">IF($R147&lt;&gt;"",
IF(U147="",
IF(INDIRECT("EY"&amp;$R147&amp;"")&lt;&gt;"",
INDIRECT("EY"&amp;$R147&amp;"")&amp;"箱"
&amp;INDIRECT("EZ"&amp;$R147&amp;""),""),""),"")</f>
        <v/>
      </c>
      <c r="W147" s="51" t="str">
        <f t="array" aca="1" ref="W147" ca="1">IF($R147&lt;&gt;"",
INDIRECT(""&amp;IF(COLUMN(H167)&lt;=26,CHAR(COLUMN(H167)+64),CHAR(INT((COLUMN(H167)-1)/26)+64)&amp;CHAR(MOD(COLUMN(H167)-1,26)+65))&amp;$R147&amp;""),"")</f>
        <v/>
      </c>
      <c r="X147" s="51" t="str">
        <f t="array" aca="1" ref="X147" ca="1">IF($R147&lt;&gt;"",
INDIRECT(""&amp;IF(COLUMN(I167)&lt;=26,CHAR(COLUMN(I167)+64),CHAR(INT((COLUMN(I167)-1)/26)+64)&amp;CHAR(MOD(COLUMN(I167)-1,26)+65))&amp;$R147&amp;""),"")</f>
        <v/>
      </c>
      <c r="Y147" s="51" t="str">
        <f t="array" aca="1" ref="Y147" ca="1">IF($R147&lt;&gt;"",
INDIRECT(""&amp;IF(COLUMN(J167)&lt;=26,CHAR(COLUMN(J167)+64),CHAR(INT((COLUMN(J167)-1)/26)+64)&amp;CHAR(MOD(COLUMN(J167)-1,26)+65))&amp;$R147&amp;""),"")</f>
        <v/>
      </c>
      <c r="Z147" s="51" t="str">
        <f t="array" aca="1" ref="Z147" ca="1">IF($R147&lt;&gt;"",
INDIRECT(""&amp;IF(COLUMN(K167)&lt;=26,CHAR(COLUMN(K167)+64),CHAR(INT((COLUMN(K167)-1)/26)+64)&amp;CHAR(MOD(COLUMN(K167)-1,26)+65))&amp;$R147&amp;""),"")</f>
        <v/>
      </c>
      <c r="AA147" s="51" t="str">
        <f t="array" aca="1" ref="AA147" ca="1">IF($R147&lt;&gt;"",
INDIRECT(""&amp;IF(COLUMN(L167)&lt;=26,CHAR(COLUMN(L167)+64),CHAR(INT((COLUMN(L167)-1)/26)+64)&amp;CHAR(MOD(COLUMN(L167)-1,26)+65))&amp;$R147&amp;""),"")</f>
        <v/>
      </c>
      <c r="AB147" s="51" t="str">
        <f t="array" aca="1" ref="AB147" ca="1">IF($R147&lt;&gt;"",
INDIRECT(""&amp;IF(COLUMN(O167)&lt;=26,CHAR(COLUMN(O167)+64),CHAR(INT((COLUMN(O167)-1)/26)+64)&amp;CHAR(MOD(COLUMN(O167)-1,26)+65))&amp;$R147&amp;""),"")</f>
        <v/>
      </c>
    </row>
    <row r="148" spans="1:28" ht="22.2" customHeight="1">
      <c r="A148" s="204">
        <f t="shared" si="40"/>
        <v>21</v>
      </c>
      <c r="B148" s="203" t="e" cm="1">
        <f t="array" aca="1" ref="B148" ca="1">IF(AND(LEFT(C148,2)="博多",
LEFT(INDIRECT("数出表_Excel!A"&amp;MATCH(C148,数出表_Excel!$A:$A,0)-1),2)
=LEFT(INDIRECT("数出表_Excel!A"&amp;MATCH(C148,数出表_Excel!$A:$A,0)+1),2)),"博多",
IF(AND(LEFT(C148,3)="奈良屋",
LEFT(INDIRECT("数出表_Excel!A"&amp;MATCH(C148,数出表_Excel!$A:$A,0)-1),2)
=LEFT(INDIRECT("数出表_Excel!A"&amp;MATCH(C148,数出表_Excel!$A:$A,0)+1),2)),"奈良屋",""))</f>
        <v>#N/A</v>
      </c>
      <c r="C148" s="203" t="str" cm="1">
        <f t="array" aca="1" ref="C148" ca="1">IF(IF(クライアント抽出!A8="",0,LEN(クライアント抽出!V8)-LEN(SUBSTITUTE(クライアント抽出!V8,",","")))&gt;=3,INDIRECT("数出表_Excel!A"&amp;A148&amp;""),"")</f>
        <v/>
      </c>
      <c r="D148" s="203" t="str" cm="1">
        <f t="array" aca="1" ref="D148" ca="1">IF(C148&lt;&gt;"",INDIRECT("クライアント抽出!"&amp;E148&amp;MATCH(C148,クライアント抽出!A:A,0)&amp;""),"")</f>
        <v/>
      </c>
      <c r="E148" s="203" t="str">
        <f ca="1">IF(H148&lt;&gt;0,
IFERROR(
SUBSTITUTE(ADDRESS(1,
MATCH(VALUE(H148),クライアント抽出!A8:G8,0)+8,4),"1",""),
""),
IFERROR(
SUBSTITUTE(ADDRESS(1,
MATCH(VALUE(I148),クライアント抽出!A8:G8,0)+8,4),"1",""),
""))</f>
        <v/>
      </c>
      <c r="F148" s="206" t="str" cm="1">
        <f t="array" aca="1" ref="F148" ca="1">IF(D148&lt;&gt;"",
IF(COUNTIF(C148,"*雙葉*"),
IF(ROUND(
IF(O148&lt;&gt;"",(H148-O148),H148)
/IF(COUNTIF('盛付札（関数）'!D148,"*キャラ*"),
VLOOKUP("*キャラ*",#REF!,7,FALSE),
IF(COUNTIF('盛付札（関数）'!D148,"*赤*"),
VLOOKUP("*赤*",#REF!,7,FALSE),
VLOOKUP('盛付札（関数）'!D148,#REF!,7,FALSE))),0)&lt;=0,1,
ROUND(
IF(O148&lt;&gt;"",(H148-O148),H148)
/IF(COUNTIF('盛付札（関数）'!D148,"*キャラ*"),
VLOOKUP("*キャラ*",#REF!,7,FALSE),
IF(COUNTIF('盛付札（関数）'!D148,"*赤*"),
VLOOKUP("*赤*",#REF!,7,FALSE),
VLOOKUP('盛付札（関数）'!D148,#REF!,7,FALSE))),0)),
IF(MATCH(TRUE,
ISNUMBER(--INDIRECT("数出表_Excel!B"&amp;MATCH(C148,数出表_Excel!$A:$A,0)-1&amp;":U"&amp;MATCH(C148,数出表_Excel!$A:$A,0)-1&amp;"")),0)&gt;10,
IF(D148&lt;&gt;"",
IF(IF(COUNTIF('盛付札（関数）'!D148,"*キャラ*"),
VLOOKUP("*キャラ*",#REF!,7,FALSE),
IF(COUNTIF('盛付札（関数）'!D148,"*赤*"),
VLOOKUP("*赤*",#REF!,7,FALSE),
VLOOKUP('盛付札（関数）'!D148,#REF!,7,FALSE)))=0,"",
IF(ROUND(
IF(O148&lt;&gt;"",(H148-O148),H148)
/IF(COUNTIF('盛付札（関数）'!D148,"*キャラ*"),
VLOOKUP("*キャラ*",#REF!,7,FALSE),
IF(COUNTIF('盛付札（関数）'!D148,"*赤*"),
VLOOKUP("*赤*",#REF!,7,FALSE),
VLOOKUP('盛付札（関数）'!D148,#REF!,7,FALSE))),0)&lt;=0,1,
ROUND(
IF(O148&lt;&gt;"",(H148-O148),H148)
/IF(COUNTIF('盛付札（関数）'!D148,"*キャラ*"),
VLOOKUP("*キャラ*",#REF!,7,FALSE),
IF(COUNTIF('盛付札（関数）'!D148,"*赤*"),
VLOOKUP("*赤*",#REF!,7,FALSE),
VLOOKUP('盛付札（関数）'!D148,#REF!,7,FALSE))),0))),""),"")),"")</f>
        <v/>
      </c>
      <c r="G148" s="206" t="str">
        <f ca="1">IF(F148&lt;&gt;"",IF(VALUE(IF(O148&lt;&gt;"",H148-O148,H148))&gt;VALUE(IF(COUNTIF('盛付札（関数）'!D148,"*キャラ*"),
VLOOKUP("*キャラ*",#REF!,7,FALSE),
IF(COUNTIF('盛付札（関数）'!D148,"*赤*"),
VLOOKUP("*赤*",#REF!,7,FALSE),
VLOOKUP('盛付札（関数）'!D148,#REF!,7,FALSE)))*F148),
"+"&amp;IF(O148&lt;&gt;"",H148-O148,H148)-IF(COUNTIF('盛付札（関数）'!D148,"*キャラ*"),
VLOOKUP("*キャラ*",#REF!,7,FALSE),
IF(COUNTIF('盛付札（関数）'!D148,"*赤*"),
VLOOKUP("*赤*",#REF!,7,FALSE),
VLOOKUP('盛付札（関数）'!D148,#REF!,7,FALSE)))*F148,
IF(O148&lt;&gt;"",H148-O148,H148)-IF(COUNTIF('盛付札（関数）'!D148,"*キャラ*"),
VLOOKUP("*キャラ*",#REF!,7,FALSE),
IF(COUNTIF('盛付札（関数）'!D148,"*赤*"),
VLOOKUP("*赤*",#REF!,7,FALSE),
VLOOKUP('盛付札（関数）'!D148,#REF!,7,FALSE)))*F148),"")</f>
        <v/>
      </c>
      <c r="H148" s="205" t="str" cm="1">
        <f t="array" aca="1" ref="H148" ca="1">IF(C148&lt;&gt;"",
IF(INDIRECT("数出表_Excel!"&amp;RIGHT(SUBSTITUTE(クライアント抽出!V8,",",""),1)&amp;A148-1&amp;"")&lt;&gt;"",
INDIRECT("数出表_Excel!"&amp;RIGHT(SUBSTITUTE(クライアント抽出!V8,",",""),1)&amp;A148-1&amp;""),0),"")</f>
        <v/>
      </c>
      <c r="I148" s="203" t="str" cm="1">
        <f t="array" aca="1" ref="I148" ca="1">IF(C148&lt;&gt;"",
IF(INDIRECT("数出表_Excel!"&amp;RIGHT(SUBSTITUTE(クライアント抽出!V8,",",""),1)&amp;A148&amp;"")&lt;&gt;"",
INDIRECT("数出表_Excel!"&amp;RIGHT(SUBSTITUTE(クライアント抽出!V8,",",""),1)&amp;A148&amp;""),0),"")</f>
        <v/>
      </c>
      <c r="J148" s="203" t="str">
        <f ca="1">IF(C148&lt;&gt;"",
VLOOKUP(
IF(COUNTIF(D148,"*学食*"),"キャラ弁（学食）",
IF(COUNTIF(D148,"*赤*"),"赤",
IF(COUNTIF(D148,"*キャラ弁当*"),"キャラ弁当",D148))),注文弁当の抽出!$E$1:$F$15,2,FALSE),"")</f>
        <v/>
      </c>
      <c r="K148" s="203" t="str">
        <f t="shared" ca="1" si="41"/>
        <v/>
      </c>
      <c r="L148" s="203" t="str">
        <f t="shared" ca="1" si="42"/>
        <v/>
      </c>
      <c r="M148" s="203" cm="1">
        <f t="array" aca="1" ref="M148" ca="1">IF(C148&lt;&gt;"",
IF(IFERROR(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0)&lt;&gt;0,
IF(IFERROR(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"")="",
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""),
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0)),0),0)</f>
        <v>0</v>
      </c>
      <c r="N148" s="203" t="e">
        <f t="array" aca="1" ref="N148" ca="1">IF(B148="博多",
IF(C148&lt;&gt;"",
IF(IFERROR(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0)&lt;&gt;0,
IF(IFERROR(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0)="",
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0),
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0)),0),""),0)</f>
        <v>#N/A</v>
      </c>
      <c r="O148" s="203" t="e">
        <f t="shared" ca="1" si="43"/>
        <v>#N/A</v>
      </c>
      <c r="P148" s="203">
        <f t="shared" ca="1" si="4"/>
        <v>0</v>
      </c>
      <c r="Q148" s="203" t="b">
        <f t="shared" ca="1" si="44"/>
        <v>0</v>
      </c>
      <c r="R148" s="51" t="str" cm="1">
        <f t="array" aca="1" ref="R148" ca="1">IFERROR(SMALL(IF(P$1:P$300&lt;&gt;0,P$1:P$300),ROW(A148)),"")</f>
        <v/>
      </c>
      <c r="S148" s="51" t="str">
        <f t="array" aca="1" ref="S148" ca="1">IF($R148&lt;&gt;"",
INDIRECT(""&amp;IF(COLUMN(C168)&lt;=26,CHAR(COLUMN(C168)+64),CHAR(INT((COLUMN(C168)-1)/26)+64)&amp;CHAR(MOD(COLUMN(C168)-1,26)+65))&amp;$R148&amp;""),"")</f>
        <v/>
      </c>
      <c r="T148" s="51" t="str" cm="1">
        <f t="array" aca="1" ref="T148" ca="1">IF(IF($R148&lt;&gt;"",
INDIRECT(""&amp;IF(COLUMN(D168)&lt;=26,CHAR(COLUMN(D168)+64),CHAR(INT((COLUMN(D168)-1)/26)+64)&amp;CHAR(MOD(COLUMN(D168)-1,26)+65))&amp;$R148&amp;""),"")=0,"",
IF($R148&lt;&gt;"",
INDIRECT(""&amp;IF(COLUMN(D168)&lt;=26,CHAR(COLUMN(D168)+64),CHAR(INT((COLUMN(D168)-1)/26)+64)&amp;CHAR(MOD(COLUMN(D168)-1,26)+65))&amp;$R148&amp;""),""))</f>
        <v/>
      </c>
      <c r="U148" s="51"/>
      <c r="V148" s="51" t="str">
        <f t="array" aca="1" ref="V148" ca="1">IF($R148&lt;&gt;"",
IF(U148="",
IF(INDIRECT("EY"&amp;$R148&amp;"")&lt;&gt;"",
INDIRECT("EY"&amp;$R148&amp;"")&amp;"箱"
&amp;INDIRECT("EZ"&amp;$R148&amp;""),""),""),"")</f>
        <v/>
      </c>
      <c r="W148" s="51" t="str">
        <f t="array" aca="1" ref="W148" ca="1">IF($R148&lt;&gt;"",
INDIRECT(""&amp;IF(COLUMN(H168)&lt;=26,CHAR(COLUMN(H168)+64),CHAR(INT((COLUMN(H168)-1)/26)+64)&amp;CHAR(MOD(COLUMN(H168)-1,26)+65))&amp;$R148&amp;""),"")</f>
        <v/>
      </c>
      <c r="X148" s="51" t="str">
        <f t="array" aca="1" ref="X148" ca="1">IF($R148&lt;&gt;"",
INDIRECT(""&amp;IF(COLUMN(I168)&lt;=26,CHAR(COLUMN(I168)+64),CHAR(INT((COLUMN(I168)-1)/26)+64)&amp;CHAR(MOD(COLUMN(I168)-1,26)+65))&amp;$R148&amp;""),"")</f>
        <v/>
      </c>
      <c r="Y148" s="51" t="str">
        <f t="array" aca="1" ref="Y148" ca="1">IF($R148&lt;&gt;"",
INDIRECT(""&amp;IF(COLUMN(J168)&lt;=26,CHAR(COLUMN(J168)+64),CHAR(INT((COLUMN(J168)-1)/26)+64)&amp;CHAR(MOD(COLUMN(J168)-1,26)+65))&amp;$R148&amp;""),"")</f>
        <v/>
      </c>
      <c r="Z148" s="51" t="str">
        <f t="array" aca="1" ref="Z148" ca="1">IF($R148&lt;&gt;"",
INDIRECT(""&amp;IF(COLUMN(K168)&lt;=26,CHAR(COLUMN(K168)+64),CHAR(INT((COLUMN(K168)-1)/26)+64)&amp;CHAR(MOD(COLUMN(K168)-1,26)+65))&amp;$R148&amp;""),"")</f>
        <v/>
      </c>
      <c r="AA148" s="51" t="str">
        <f t="array" aca="1" ref="AA148" ca="1">IF($R148&lt;&gt;"",
INDIRECT(""&amp;IF(COLUMN(L168)&lt;=26,CHAR(COLUMN(L168)+64),CHAR(INT((COLUMN(L168)-1)/26)+64)&amp;CHAR(MOD(COLUMN(L168)-1,26)+65))&amp;$R148&amp;""),"")</f>
        <v/>
      </c>
      <c r="AB148" s="51" t="str">
        <f t="array" aca="1" ref="AB148" ca="1">IF($R148&lt;&gt;"",
INDIRECT(""&amp;IF(COLUMN(O168)&lt;=26,CHAR(COLUMN(O168)+64),CHAR(INT((COLUMN(O168)-1)/26)+64)&amp;CHAR(MOD(COLUMN(O168)-1,26)+65))&amp;$R148&amp;""),"")</f>
        <v/>
      </c>
    </row>
    <row r="149" spans="1:28" ht="22.2" customHeight="1">
      <c r="A149" s="204">
        <f t="shared" si="40"/>
        <v>23</v>
      </c>
      <c r="B149" s="203" t="e" cm="1">
        <f t="array" aca="1" ref="B149" ca="1">IF(AND(LEFT(C149,2)="博多",
LEFT(INDIRECT("数出表_Excel!A"&amp;MATCH(C149,数出表_Excel!$A:$A,0)-1),2)
=LEFT(INDIRECT("数出表_Excel!A"&amp;MATCH(C149,数出表_Excel!$A:$A,0)+1),2)),"博多",
IF(AND(LEFT(C149,3)="奈良屋",
LEFT(INDIRECT("数出表_Excel!A"&amp;MATCH(C149,数出表_Excel!$A:$A,0)-1),2)
=LEFT(INDIRECT("数出表_Excel!A"&amp;MATCH(C149,数出表_Excel!$A:$A,0)+1),2)),"奈良屋",""))</f>
        <v>#N/A</v>
      </c>
      <c r="C149" s="203" t="str" cm="1">
        <f t="array" aca="1" ref="C149" ca="1">IF(IF(クライアント抽出!A9="",0,LEN(クライアント抽出!V9)-LEN(SUBSTITUTE(クライアント抽出!V9,",","")))&gt;=3,INDIRECT("数出表_Excel!A"&amp;A149&amp;""),"")</f>
        <v/>
      </c>
      <c r="D149" s="203" t="str" cm="1">
        <f t="array" aca="1" ref="D149" ca="1">IF(C149&lt;&gt;"",INDIRECT("クライアント抽出!"&amp;E149&amp;MATCH(C149,クライアント抽出!A:A,0)&amp;""),"")</f>
        <v/>
      </c>
      <c r="E149" s="203" t="str">
        <f ca="1">IF(H149&lt;&gt;0,
IFERROR(
SUBSTITUTE(ADDRESS(1,
MATCH(VALUE(H149),クライアント抽出!A9:G9,0)+8,4),"1",""),
""),
IFERROR(
SUBSTITUTE(ADDRESS(1,
MATCH(VALUE(I149),クライアント抽出!A9:G9,0)+8,4),"1",""),
""))</f>
        <v/>
      </c>
      <c r="F149" s="206" t="str" cm="1">
        <f t="array" aca="1" ref="F149" ca="1">IF(D149&lt;&gt;"",
IF(COUNTIF(C149,"*雙葉*"),
IF(ROUND(
IF(O149&lt;&gt;"",(H149-O149),H149)
/IF(COUNTIF('盛付札（関数）'!D149,"*キャラ*"),
VLOOKUP("*キャラ*",#REF!,7,FALSE),
IF(COUNTIF('盛付札（関数）'!D149,"*赤*"),
VLOOKUP("*赤*",#REF!,7,FALSE),
VLOOKUP('盛付札（関数）'!D149,#REF!,7,FALSE))),0)&lt;=0,1,
ROUND(
IF(O149&lt;&gt;"",(H149-O149),H149)
/IF(COUNTIF('盛付札（関数）'!D149,"*キャラ*"),
VLOOKUP("*キャラ*",#REF!,7,FALSE),
IF(COUNTIF('盛付札（関数）'!D149,"*赤*"),
VLOOKUP("*赤*",#REF!,7,FALSE),
VLOOKUP('盛付札（関数）'!D149,#REF!,7,FALSE))),0)),
IF(MATCH(TRUE,
ISNUMBER(--INDIRECT("数出表_Excel!B"&amp;MATCH(C149,数出表_Excel!$A:$A,0)-1&amp;":U"&amp;MATCH(C149,数出表_Excel!$A:$A,0)-1&amp;"")),0)&gt;10,
IF(D149&lt;&gt;"",
IF(IF(COUNTIF('盛付札（関数）'!D149,"*キャラ*"),
VLOOKUP("*キャラ*",#REF!,7,FALSE),
IF(COUNTIF('盛付札（関数）'!D149,"*赤*"),
VLOOKUP("*赤*",#REF!,7,FALSE),
VLOOKUP('盛付札（関数）'!D149,#REF!,7,FALSE)))=0,"",
IF(ROUND(
IF(O149&lt;&gt;"",(H149-O149),H149)
/IF(COUNTIF('盛付札（関数）'!D149,"*キャラ*"),
VLOOKUP("*キャラ*",#REF!,7,FALSE),
IF(COUNTIF('盛付札（関数）'!D149,"*赤*"),
VLOOKUP("*赤*",#REF!,7,FALSE),
VLOOKUP('盛付札（関数）'!D149,#REF!,7,FALSE))),0)&lt;=0,1,
ROUND(
IF(O149&lt;&gt;"",(H149-O149),H149)
/IF(COUNTIF('盛付札（関数）'!D149,"*キャラ*"),
VLOOKUP("*キャラ*",#REF!,7,FALSE),
IF(COUNTIF('盛付札（関数）'!D149,"*赤*"),
VLOOKUP("*赤*",#REF!,7,FALSE),
VLOOKUP('盛付札（関数）'!D149,#REF!,7,FALSE))),0))),""),"")),"")</f>
        <v/>
      </c>
      <c r="G149" s="206" t="str">
        <f ca="1">IF(F149&lt;&gt;"",IF(VALUE(IF(O149&lt;&gt;"",H149-O149,H149))&gt;VALUE(IF(COUNTIF('盛付札（関数）'!D149,"*キャラ*"),
VLOOKUP("*キャラ*",#REF!,7,FALSE),
IF(COUNTIF('盛付札（関数）'!D149,"*赤*"),
VLOOKUP("*赤*",#REF!,7,FALSE),
VLOOKUP('盛付札（関数）'!D149,#REF!,7,FALSE)))*F149),
"+"&amp;IF(O149&lt;&gt;"",H149-O149,H149)-IF(COUNTIF('盛付札（関数）'!D149,"*キャラ*"),
VLOOKUP("*キャラ*",#REF!,7,FALSE),
IF(COUNTIF('盛付札（関数）'!D149,"*赤*"),
VLOOKUP("*赤*",#REF!,7,FALSE),
VLOOKUP('盛付札（関数）'!D149,#REF!,7,FALSE)))*F149,
IF(O149&lt;&gt;"",H149-O149,H149)-IF(COUNTIF('盛付札（関数）'!D149,"*キャラ*"),
VLOOKUP("*キャラ*",#REF!,7,FALSE),
IF(COUNTIF('盛付札（関数）'!D149,"*赤*"),
VLOOKUP("*赤*",#REF!,7,FALSE),
VLOOKUP('盛付札（関数）'!D149,#REF!,7,FALSE)))*F149),"")</f>
        <v/>
      </c>
      <c r="H149" s="205" t="str" cm="1">
        <f t="array" aca="1" ref="H149" ca="1">IF(C149&lt;&gt;"",
IF(INDIRECT("数出表_Excel!"&amp;RIGHT(SUBSTITUTE(クライアント抽出!V9,",",""),1)&amp;A149-1&amp;"")&lt;&gt;"",
INDIRECT("数出表_Excel!"&amp;RIGHT(SUBSTITUTE(クライアント抽出!V9,",",""),1)&amp;A149-1&amp;""),0),"")</f>
        <v/>
      </c>
      <c r="I149" s="203" t="str" cm="1">
        <f t="array" aca="1" ref="I149" ca="1">IF(C149&lt;&gt;"",
IF(INDIRECT("数出表_Excel!"&amp;RIGHT(SUBSTITUTE(クライアント抽出!V9,",",""),1)&amp;A149&amp;"")&lt;&gt;"",
INDIRECT("数出表_Excel!"&amp;RIGHT(SUBSTITUTE(クライアント抽出!V9,",",""),1)&amp;A149&amp;""),0),"")</f>
        <v/>
      </c>
      <c r="J149" s="203" t="str">
        <f ca="1">IF(C149&lt;&gt;"",
VLOOKUP(
IF(COUNTIF(D149,"*学食*"),"キャラ弁（学食）",
IF(COUNTIF(D149,"*赤*"),"赤",
IF(COUNTIF(D149,"*キャラ弁当*"),"キャラ弁当",D149))),注文弁当の抽出!$E$1:$F$15,2,FALSE),"")</f>
        <v/>
      </c>
      <c r="K149" s="203" t="str">
        <f t="shared" ca="1" si="41"/>
        <v/>
      </c>
      <c r="L149" s="203" t="str">
        <f t="shared" ca="1" si="42"/>
        <v/>
      </c>
      <c r="M149" s="203" cm="1">
        <f t="array" aca="1" ref="M149" ca="1">IF(C149&lt;&gt;"",
IF(IFERROR(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0)&lt;&gt;0,
IF(IFERROR(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"")="",
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""),
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0)),0),0)</f>
        <v>0</v>
      </c>
      <c r="N149" s="203" t="e">
        <f t="array" aca="1" ref="N149" ca="1">IF(B149="博多",
IF(C149&lt;&gt;"",
IF(IFERROR(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0)&lt;&gt;0,
IF(IFERROR(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0)="",
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0),
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0)),0),""),0)</f>
        <v>#N/A</v>
      </c>
      <c r="O149" s="203" t="e">
        <f t="shared" ca="1" si="43"/>
        <v>#N/A</v>
      </c>
      <c r="P149" s="203">
        <f t="shared" ca="1" si="4"/>
        <v>0</v>
      </c>
      <c r="Q149" s="203" t="b">
        <f t="shared" ca="1" si="44"/>
        <v>0</v>
      </c>
      <c r="R149" s="51" t="str" cm="1">
        <f t="array" aca="1" ref="R149" ca="1">IFERROR(SMALL(IF(P$1:P$300&lt;&gt;0,P$1:P$300),ROW(A149)),"")</f>
        <v/>
      </c>
      <c r="S149" s="51" t="str">
        <f t="array" aca="1" ref="S149" ca="1">IF($R149&lt;&gt;"",
INDIRECT(""&amp;IF(COLUMN(C169)&lt;=26,CHAR(COLUMN(C169)+64),CHAR(INT((COLUMN(C169)-1)/26)+64)&amp;CHAR(MOD(COLUMN(C169)-1,26)+65))&amp;$R149&amp;""),"")</f>
        <v/>
      </c>
      <c r="T149" s="51" t="str" cm="1">
        <f t="array" aca="1" ref="T149" ca="1">IF(IF($R149&lt;&gt;"",
INDIRECT(""&amp;IF(COLUMN(D169)&lt;=26,CHAR(COLUMN(D169)+64),CHAR(INT((COLUMN(D169)-1)/26)+64)&amp;CHAR(MOD(COLUMN(D169)-1,26)+65))&amp;$R149&amp;""),"")=0,"",
IF($R149&lt;&gt;"",
INDIRECT(""&amp;IF(COLUMN(D169)&lt;=26,CHAR(COLUMN(D169)+64),CHAR(INT((COLUMN(D169)-1)/26)+64)&amp;CHAR(MOD(COLUMN(D169)-1,26)+65))&amp;$R149&amp;""),""))</f>
        <v/>
      </c>
      <c r="U149" s="51"/>
      <c r="V149" s="51" t="str">
        <f t="array" aca="1" ref="V149" ca="1">IF($R149&lt;&gt;"",
IF(U149="",
IF(INDIRECT("EY"&amp;$R149&amp;"")&lt;&gt;"",
INDIRECT("EY"&amp;$R149&amp;"")&amp;"箱"
&amp;INDIRECT("EZ"&amp;$R149&amp;""),""),""),"")</f>
        <v/>
      </c>
      <c r="W149" s="51" t="str">
        <f t="array" aca="1" ref="W149" ca="1">IF($R149&lt;&gt;"",
INDIRECT(""&amp;IF(COLUMN(H169)&lt;=26,CHAR(COLUMN(H169)+64),CHAR(INT((COLUMN(H169)-1)/26)+64)&amp;CHAR(MOD(COLUMN(H169)-1,26)+65))&amp;$R149&amp;""),"")</f>
        <v/>
      </c>
      <c r="X149" s="51" t="str">
        <f t="array" aca="1" ref="X149" ca="1">IF($R149&lt;&gt;"",
INDIRECT(""&amp;IF(COLUMN(I169)&lt;=26,CHAR(COLUMN(I169)+64),CHAR(INT((COLUMN(I169)-1)/26)+64)&amp;CHAR(MOD(COLUMN(I169)-1,26)+65))&amp;$R149&amp;""),"")</f>
        <v/>
      </c>
      <c r="Y149" s="51" t="str">
        <f t="array" aca="1" ref="Y149" ca="1">IF($R149&lt;&gt;"",
INDIRECT(""&amp;IF(COLUMN(J169)&lt;=26,CHAR(COLUMN(J169)+64),CHAR(INT((COLUMN(J169)-1)/26)+64)&amp;CHAR(MOD(COLUMN(J169)-1,26)+65))&amp;$R149&amp;""),"")</f>
        <v/>
      </c>
      <c r="Z149" s="51" t="str">
        <f t="array" aca="1" ref="Z149" ca="1">IF($R149&lt;&gt;"",
INDIRECT(""&amp;IF(COLUMN(K169)&lt;=26,CHAR(COLUMN(K169)+64),CHAR(INT((COLUMN(K169)-1)/26)+64)&amp;CHAR(MOD(COLUMN(K169)-1,26)+65))&amp;$R149&amp;""),"")</f>
        <v/>
      </c>
      <c r="AA149" s="51" t="str">
        <f t="array" aca="1" ref="AA149" ca="1">IF($R149&lt;&gt;"",
INDIRECT(""&amp;IF(COLUMN(L169)&lt;=26,CHAR(COLUMN(L169)+64),CHAR(INT((COLUMN(L169)-1)/26)+64)&amp;CHAR(MOD(COLUMN(L169)-1,26)+65))&amp;$R149&amp;""),"")</f>
        <v/>
      </c>
      <c r="AB149" s="51" t="str">
        <f t="array" aca="1" ref="AB149" ca="1">IF($R149&lt;&gt;"",
INDIRECT(""&amp;IF(COLUMN(O169)&lt;=26,CHAR(COLUMN(O169)+64),CHAR(INT((COLUMN(O169)-1)/26)+64)&amp;CHAR(MOD(COLUMN(O169)-1,26)+65))&amp;$R149&amp;""),"")</f>
        <v/>
      </c>
    </row>
    <row r="150" spans="1:28" ht="22.2" customHeight="1">
      <c r="A150" s="204">
        <f t="shared" si="40"/>
        <v>25</v>
      </c>
      <c r="B150" s="203" t="e" cm="1">
        <f t="array" aca="1" ref="B150" ca="1">IF(AND(LEFT(C150,2)="博多",
LEFT(INDIRECT("数出表_Excel!A"&amp;MATCH(C150,数出表_Excel!$A:$A,0)-1),2)
=LEFT(INDIRECT("数出表_Excel!A"&amp;MATCH(C150,数出表_Excel!$A:$A,0)+1),2)),"博多",
IF(AND(LEFT(C150,3)="奈良屋",
LEFT(INDIRECT("数出表_Excel!A"&amp;MATCH(C150,数出表_Excel!$A:$A,0)-1),2)
=LEFT(INDIRECT("数出表_Excel!A"&amp;MATCH(C150,数出表_Excel!$A:$A,0)+1),2)),"奈良屋",""))</f>
        <v>#N/A</v>
      </c>
      <c r="C150" s="203" t="str" cm="1">
        <f t="array" aca="1" ref="C150" ca="1">IF(IF(クライアント抽出!A10="",0,LEN(クライアント抽出!V10)-LEN(SUBSTITUTE(クライアント抽出!V10,",","")))&gt;=3,INDIRECT("数出表_Excel!A"&amp;A150&amp;""),"")</f>
        <v/>
      </c>
      <c r="D150" s="203" t="str" cm="1">
        <f t="array" aca="1" ref="D150" ca="1">IF(C150&lt;&gt;"",INDIRECT("クライアント抽出!"&amp;E150&amp;MATCH(C150,クライアント抽出!A:A,0)&amp;""),"")</f>
        <v/>
      </c>
      <c r="E150" s="203" t="str">
        <f ca="1">IF(H150&lt;&gt;0,
IFERROR(
SUBSTITUTE(ADDRESS(1,
MATCH(VALUE(H150),クライアント抽出!A10:G10,0)+8,4),"1",""),
""),
IFERROR(
SUBSTITUTE(ADDRESS(1,
MATCH(VALUE(I150),クライアント抽出!A10:G10,0)+8,4),"1",""),
""))</f>
        <v/>
      </c>
      <c r="F150" s="206" t="str" cm="1">
        <f t="array" aca="1" ref="F150" ca="1">IF(D150&lt;&gt;"",
IF(COUNTIF(C150,"*雙葉*"),
IF(ROUND(
IF(O150&lt;&gt;"",(H150-O150),H150)
/IF(COUNTIF('盛付札（関数）'!D150,"*キャラ*"),
VLOOKUP("*キャラ*",#REF!,7,FALSE),
IF(COUNTIF('盛付札（関数）'!D150,"*赤*"),
VLOOKUP("*赤*",#REF!,7,FALSE),
VLOOKUP('盛付札（関数）'!D150,#REF!,7,FALSE))),0)&lt;=0,1,
ROUND(
IF(O150&lt;&gt;"",(H150-O150),H150)
/IF(COUNTIF('盛付札（関数）'!D150,"*キャラ*"),
VLOOKUP("*キャラ*",#REF!,7,FALSE),
IF(COUNTIF('盛付札（関数）'!D150,"*赤*"),
VLOOKUP("*赤*",#REF!,7,FALSE),
VLOOKUP('盛付札（関数）'!D150,#REF!,7,FALSE))),0)),
IF(MATCH(TRUE,
ISNUMBER(--INDIRECT("数出表_Excel!B"&amp;MATCH(C150,数出表_Excel!$A:$A,0)-1&amp;":U"&amp;MATCH(C150,数出表_Excel!$A:$A,0)-1&amp;"")),0)&gt;10,
IF(D150&lt;&gt;"",
IF(IF(COUNTIF('盛付札（関数）'!D150,"*キャラ*"),
VLOOKUP("*キャラ*",#REF!,7,FALSE),
IF(COUNTIF('盛付札（関数）'!D150,"*赤*"),
VLOOKUP("*赤*",#REF!,7,FALSE),
VLOOKUP('盛付札（関数）'!D150,#REF!,7,FALSE)))=0,"",
IF(ROUND(
IF(O150&lt;&gt;"",(H150-O150),H150)
/IF(COUNTIF('盛付札（関数）'!D150,"*キャラ*"),
VLOOKUP("*キャラ*",#REF!,7,FALSE),
IF(COUNTIF('盛付札（関数）'!D150,"*赤*"),
VLOOKUP("*赤*",#REF!,7,FALSE),
VLOOKUP('盛付札（関数）'!D150,#REF!,7,FALSE))),0)&lt;=0,1,
ROUND(
IF(O150&lt;&gt;"",(H150-O150),H150)
/IF(COUNTIF('盛付札（関数）'!D150,"*キャラ*"),
VLOOKUP("*キャラ*",#REF!,7,FALSE),
IF(COUNTIF('盛付札（関数）'!D150,"*赤*"),
VLOOKUP("*赤*",#REF!,7,FALSE),
VLOOKUP('盛付札（関数）'!D150,#REF!,7,FALSE))),0))),""),"")),"")</f>
        <v/>
      </c>
      <c r="G150" s="206" t="str">
        <f ca="1">IF(F150&lt;&gt;"",IF(VALUE(IF(O150&lt;&gt;"",H150-O150,H150))&gt;VALUE(IF(COUNTIF('盛付札（関数）'!D150,"*キャラ*"),
VLOOKUP("*キャラ*",#REF!,7,FALSE),
IF(COUNTIF('盛付札（関数）'!D150,"*赤*"),
VLOOKUP("*赤*",#REF!,7,FALSE),
VLOOKUP('盛付札（関数）'!D150,#REF!,7,FALSE)))*F150),
"+"&amp;IF(O150&lt;&gt;"",H150-O150,H150)-IF(COUNTIF('盛付札（関数）'!D150,"*キャラ*"),
VLOOKUP("*キャラ*",#REF!,7,FALSE),
IF(COUNTIF('盛付札（関数）'!D150,"*赤*"),
VLOOKUP("*赤*",#REF!,7,FALSE),
VLOOKUP('盛付札（関数）'!D150,#REF!,7,FALSE)))*F150,
IF(O150&lt;&gt;"",H150-O150,H150)-IF(COUNTIF('盛付札（関数）'!D150,"*キャラ*"),
VLOOKUP("*キャラ*",#REF!,7,FALSE),
IF(COUNTIF('盛付札（関数）'!D150,"*赤*"),
VLOOKUP("*赤*",#REF!,7,FALSE),
VLOOKUP('盛付札（関数）'!D150,#REF!,7,FALSE)))*F150),"")</f>
        <v/>
      </c>
      <c r="H150" s="205" t="str" cm="1">
        <f t="array" aca="1" ref="H150" ca="1">IF(C150&lt;&gt;"",
IF(INDIRECT("数出表_Excel!"&amp;RIGHT(SUBSTITUTE(クライアント抽出!V10,",",""),1)&amp;A150-1&amp;"")&lt;&gt;"",
INDIRECT("数出表_Excel!"&amp;RIGHT(SUBSTITUTE(クライアント抽出!V10,",",""),1)&amp;A150-1&amp;""),0),"")</f>
        <v/>
      </c>
      <c r="I150" s="203" t="str" cm="1">
        <f t="array" aca="1" ref="I150" ca="1">IF(C150&lt;&gt;"",
IF(INDIRECT("数出表_Excel!"&amp;RIGHT(SUBSTITUTE(クライアント抽出!V10,",",""),1)&amp;A150&amp;"")&lt;&gt;"",
INDIRECT("数出表_Excel!"&amp;RIGHT(SUBSTITUTE(クライアント抽出!V10,",",""),1)&amp;A150&amp;""),0),"")</f>
        <v/>
      </c>
      <c r="J150" s="203" t="str">
        <f ca="1">IF(C150&lt;&gt;"",
VLOOKUP(
IF(COUNTIF(D150,"*学食*"),"キャラ弁（学食）",
IF(COUNTIF(D150,"*赤*"),"赤",
IF(COUNTIF(D150,"*キャラ弁当*"),"キャラ弁当",D150))),注文弁当の抽出!$E$1:$F$15,2,FALSE),"")</f>
        <v/>
      </c>
      <c r="K150" s="203" t="str">
        <f t="shared" ca="1" si="41"/>
        <v/>
      </c>
      <c r="L150" s="203" t="str">
        <f t="shared" ca="1" si="42"/>
        <v/>
      </c>
      <c r="M150" s="203" cm="1">
        <f t="array" aca="1" ref="M150" ca="1">IF(C150&lt;&gt;"",
IF(IFERROR(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0)&lt;&gt;0,
IF(IFERROR(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"")="",
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""),
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0)),0),0)</f>
        <v>0</v>
      </c>
      <c r="N150" s="203" t="e">
        <f t="array" aca="1" ref="N150" ca="1">IF(B150="博多",
IF(C150&lt;&gt;"",
IF(IFERROR(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0)&lt;&gt;0,
IF(IFERROR(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0)="",
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0),
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0)),0),""),0)</f>
        <v>#N/A</v>
      </c>
      <c r="O150" s="203" t="e">
        <f t="shared" ca="1" si="43"/>
        <v>#N/A</v>
      </c>
      <c r="P150" s="203">
        <f t="shared" ca="1" si="4"/>
        <v>0</v>
      </c>
      <c r="Q150" s="203" t="b">
        <f t="shared" ca="1" si="44"/>
        <v>0</v>
      </c>
      <c r="R150" s="51" t="str" cm="1">
        <f t="array" aca="1" ref="R150" ca="1">IFERROR(SMALL(IF(P$1:P$300&lt;&gt;0,P$1:P$300),ROW(A150)),"")</f>
        <v/>
      </c>
      <c r="S150" s="51" t="str">
        <f t="array" aca="1" ref="S150" ca="1">IF($R150&lt;&gt;"",
INDIRECT(""&amp;IF(COLUMN(C170)&lt;=26,CHAR(COLUMN(C170)+64),CHAR(INT((COLUMN(C170)-1)/26)+64)&amp;CHAR(MOD(COLUMN(C170)-1,26)+65))&amp;$R150&amp;""),"")</f>
        <v/>
      </c>
      <c r="T150" s="51" t="str" cm="1">
        <f t="array" aca="1" ref="T150" ca="1">IF(IF($R150&lt;&gt;"",
INDIRECT(""&amp;IF(COLUMN(D170)&lt;=26,CHAR(COLUMN(D170)+64),CHAR(INT((COLUMN(D170)-1)/26)+64)&amp;CHAR(MOD(COLUMN(D170)-1,26)+65))&amp;$R150&amp;""),"")=0,"",
IF($R150&lt;&gt;"",
INDIRECT(""&amp;IF(COLUMN(D170)&lt;=26,CHAR(COLUMN(D170)+64),CHAR(INT((COLUMN(D170)-1)/26)+64)&amp;CHAR(MOD(COLUMN(D170)-1,26)+65))&amp;$R150&amp;""),""))</f>
        <v/>
      </c>
      <c r="U150" s="51"/>
      <c r="V150" s="51" t="str">
        <f t="array" aca="1" ref="V150" ca="1">IF($R150&lt;&gt;"",
IF(U150="",
IF(INDIRECT("EY"&amp;$R150&amp;"")&lt;&gt;"",
INDIRECT("EY"&amp;$R150&amp;"")&amp;"箱"
&amp;INDIRECT("EZ"&amp;$R150&amp;""),""),""),"")</f>
        <v/>
      </c>
      <c r="W150" s="51" t="str">
        <f t="array" aca="1" ref="W150" ca="1">IF($R150&lt;&gt;"",
INDIRECT(""&amp;IF(COLUMN(H170)&lt;=26,CHAR(COLUMN(H170)+64),CHAR(INT((COLUMN(H170)-1)/26)+64)&amp;CHAR(MOD(COLUMN(H170)-1,26)+65))&amp;$R150&amp;""),"")</f>
        <v/>
      </c>
      <c r="X150" s="51" t="str">
        <f t="array" aca="1" ref="X150" ca="1">IF($R150&lt;&gt;"",
INDIRECT(""&amp;IF(COLUMN(I170)&lt;=26,CHAR(COLUMN(I170)+64),CHAR(INT((COLUMN(I170)-1)/26)+64)&amp;CHAR(MOD(COLUMN(I170)-1,26)+65))&amp;$R150&amp;""),"")</f>
        <v/>
      </c>
      <c r="Y150" s="51" t="str">
        <f t="array" aca="1" ref="Y150" ca="1">IF($R150&lt;&gt;"",
INDIRECT(""&amp;IF(COLUMN(J170)&lt;=26,CHAR(COLUMN(J170)+64),CHAR(INT((COLUMN(J170)-1)/26)+64)&amp;CHAR(MOD(COLUMN(J170)-1,26)+65))&amp;$R150&amp;""),"")</f>
        <v/>
      </c>
      <c r="Z150" s="51" t="str">
        <f t="array" aca="1" ref="Z150" ca="1">IF($R150&lt;&gt;"",
INDIRECT(""&amp;IF(COLUMN(K170)&lt;=26,CHAR(COLUMN(K170)+64),CHAR(INT((COLUMN(K170)-1)/26)+64)&amp;CHAR(MOD(COLUMN(K170)-1,26)+65))&amp;$R150&amp;""),"")</f>
        <v/>
      </c>
      <c r="AA150" s="51" t="str">
        <f t="array" aca="1" ref="AA150" ca="1">IF($R150&lt;&gt;"",
INDIRECT(""&amp;IF(COLUMN(L170)&lt;=26,CHAR(COLUMN(L170)+64),CHAR(INT((COLUMN(L170)-1)/26)+64)&amp;CHAR(MOD(COLUMN(L170)-1,26)+65))&amp;$R150&amp;""),"")</f>
        <v/>
      </c>
      <c r="AB150" s="51" t="str">
        <f t="array" aca="1" ref="AB150" ca="1">IF($R150&lt;&gt;"",
INDIRECT(""&amp;IF(COLUMN(O170)&lt;=26,CHAR(COLUMN(O170)+64),CHAR(INT((COLUMN(O170)-1)/26)+64)&amp;CHAR(MOD(COLUMN(O170)-1,26)+65))&amp;$R150&amp;""),"")</f>
        <v/>
      </c>
    </row>
    <row r="151" spans="1:28" ht="22.2" customHeight="1">
      <c r="A151" s="204">
        <f t="shared" si="40"/>
        <v>27</v>
      </c>
      <c r="B151" s="203" t="e" cm="1">
        <f t="array" aca="1" ref="B151" ca="1">IF(AND(LEFT(C151,2)="博多",
LEFT(INDIRECT("数出表_Excel!A"&amp;MATCH(C151,数出表_Excel!$A:$A,0)-1),2)
=LEFT(INDIRECT("数出表_Excel!A"&amp;MATCH(C151,数出表_Excel!$A:$A,0)+1),2)),"博多",
IF(AND(LEFT(C151,3)="奈良屋",
LEFT(INDIRECT("数出表_Excel!A"&amp;MATCH(C151,数出表_Excel!$A:$A,0)-1),2)
=LEFT(INDIRECT("数出表_Excel!A"&amp;MATCH(C151,数出表_Excel!$A:$A,0)+1),2)),"奈良屋",""))</f>
        <v>#N/A</v>
      </c>
      <c r="C151" s="203" t="str" cm="1">
        <f t="array" aca="1" ref="C151" ca="1">IF(IF(クライアント抽出!A11="",0,LEN(クライアント抽出!V11)-LEN(SUBSTITUTE(クライアント抽出!V11,",","")))&gt;=3,INDIRECT("数出表_Excel!A"&amp;A151&amp;""),"")</f>
        <v/>
      </c>
      <c r="D151" s="203" t="str" cm="1">
        <f t="array" aca="1" ref="D151" ca="1">IF(C151&lt;&gt;"",INDIRECT("クライアント抽出!"&amp;E151&amp;MATCH(C151,クライアント抽出!A:A,0)&amp;""),"")</f>
        <v/>
      </c>
      <c r="E151" s="203" t="str">
        <f ca="1">IF(H151&lt;&gt;0,
IFERROR(
SUBSTITUTE(ADDRESS(1,
MATCH(VALUE(H151),クライアント抽出!A11:G11,0)+8,4),"1",""),
""),
IFERROR(
SUBSTITUTE(ADDRESS(1,
MATCH(VALUE(I151),クライアント抽出!A11:G11,0)+8,4),"1",""),
""))</f>
        <v/>
      </c>
      <c r="F151" s="206" t="str" cm="1">
        <f t="array" aca="1" ref="F151" ca="1">IF(D151&lt;&gt;"",
IF(COUNTIF(C151,"*雙葉*"),
IF(ROUND(
IF(O151&lt;&gt;"",(H151-O151),H151)
/IF(COUNTIF('盛付札（関数）'!D151,"*キャラ*"),
VLOOKUP("*キャラ*",#REF!,7,FALSE),
IF(COUNTIF('盛付札（関数）'!D151,"*赤*"),
VLOOKUP("*赤*",#REF!,7,FALSE),
VLOOKUP('盛付札（関数）'!D151,#REF!,7,FALSE))),0)&lt;=0,1,
ROUND(
IF(O151&lt;&gt;"",(H151-O151),H151)
/IF(COUNTIF('盛付札（関数）'!D151,"*キャラ*"),
VLOOKUP("*キャラ*",#REF!,7,FALSE),
IF(COUNTIF('盛付札（関数）'!D151,"*赤*"),
VLOOKUP("*赤*",#REF!,7,FALSE),
VLOOKUP('盛付札（関数）'!D151,#REF!,7,FALSE))),0)),
IF(MATCH(TRUE,
ISNUMBER(--INDIRECT("数出表_Excel!B"&amp;MATCH(C151,数出表_Excel!$A:$A,0)-1&amp;":U"&amp;MATCH(C151,数出表_Excel!$A:$A,0)-1&amp;"")),0)&gt;10,
IF(D151&lt;&gt;"",
IF(IF(COUNTIF('盛付札（関数）'!D151,"*キャラ*"),
VLOOKUP("*キャラ*",#REF!,7,FALSE),
IF(COUNTIF('盛付札（関数）'!D151,"*赤*"),
VLOOKUP("*赤*",#REF!,7,FALSE),
VLOOKUP('盛付札（関数）'!D151,#REF!,7,FALSE)))=0,"",
IF(ROUND(
IF(O151&lt;&gt;"",(H151-O151),H151)
/IF(COUNTIF('盛付札（関数）'!D151,"*キャラ*"),
VLOOKUP("*キャラ*",#REF!,7,FALSE),
IF(COUNTIF('盛付札（関数）'!D151,"*赤*"),
VLOOKUP("*赤*",#REF!,7,FALSE),
VLOOKUP('盛付札（関数）'!D151,#REF!,7,FALSE))),0)&lt;=0,1,
ROUND(
IF(O151&lt;&gt;"",(H151-O151),H151)
/IF(COUNTIF('盛付札（関数）'!D151,"*キャラ*"),
VLOOKUP("*キャラ*",#REF!,7,FALSE),
IF(COUNTIF('盛付札（関数）'!D151,"*赤*"),
VLOOKUP("*赤*",#REF!,7,FALSE),
VLOOKUP('盛付札（関数）'!D151,#REF!,7,FALSE))),0))),""),"")),"")</f>
        <v/>
      </c>
      <c r="G151" s="206" t="str">
        <f ca="1">IF(F151&lt;&gt;"",IF(VALUE(IF(O151&lt;&gt;"",H151-O151,H151))&gt;VALUE(IF(COUNTIF('盛付札（関数）'!D151,"*キャラ*"),
VLOOKUP("*キャラ*",#REF!,7,FALSE),
IF(COUNTIF('盛付札（関数）'!D151,"*赤*"),
VLOOKUP("*赤*",#REF!,7,FALSE),
VLOOKUP('盛付札（関数）'!D151,#REF!,7,FALSE)))*F151),
"+"&amp;IF(O151&lt;&gt;"",H151-O151,H151)-IF(COUNTIF('盛付札（関数）'!D151,"*キャラ*"),
VLOOKUP("*キャラ*",#REF!,7,FALSE),
IF(COUNTIF('盛付札（関数）'!D151,"*赤*"),
VLOOKUP("*赤*",#REF!,7,FALSE),
VLOOKUP('盛付札（関数）'!D151,#REF!,7,FALSE)))*F151,
IF(O151&lt;&gt;"",H151-O151,H151)-IF(COUNTIF('盛付札（関数）'!D151,"*キャラ*"),
VLOOKUP("*キャラ*",#REF!,7,FALSE),
IF(COUNTIF('盛付札（関数）'!D151,"*赤*"),
VLOOKUP("*赤*",#REF!,7,FALSE),
VLOOKUP('盛付札（関数）'!D151,#REF!,7,FALSE)))*F151),"")</f>
        <v/>
      </c>
      <c r="H151" s="205" t="str" cm="1">
        <f t="array" aca="1" ref="H151" ca="1">IF(C151&lt;&gt;"",
IF(INDIRECT("数出表_Excel!"&amp;RIGHT(SUBSTITUTE(クライアント抽出!V11,",",""),1)&amp;A151-1&amp;"")&lt;&gt;"",
INDIRECT("数出表_Excel!"&amp;RIGHT(SUBSTITUTE(クライアント抽出!V11,",",""),1)&amp;A151-1&amp;""),0),"")</f>
        <v/>
      </c>
      <c r="I151" s="203" t="str" cm="1">
        <f t="array" aca="1" ref="I151" ca="1">IF(C151&lt;&gt;"",
IF(INDIRECT("数出表_Excel!"&amp;RIGHT(SUBSTITUTE(クライアント抽出!V11,",",""),1)&amp;A151&amp;"")&lt;&gt;"",
INDIRECT("数出表_Excel!"&amp;RIGHT(SUBSTITUTE(クライアント抽出!V11,",",""),1)&amp;A151&amp;""),0),"")</f>
        <v/>
      </c>
      <c r="J151" s="203" t="str">
        <f ca="1">IF(C151&lt;&gt;"",
VLOOKUP(
IF(COUNTIF(D151,"*学食*"),"キャラ弁（学食）",
IF(COUNTIF(D151,"*赤*"),"赤",
IF(COUNTIF(D151,"*キャラ弁当*"),"キャラ弁当",D151))),注文弁当の抽出!$E$1:$F$15,2,FALSE),"")</f>
        <v/>
      </c>
      <c r="K151" s="203" t="str">
        <f t="shared" ca="1" si="41"/>
        <v/>
      </c>
      <c r="L151" s="203" t="str">
        <f t="shared" ca="1" si="42"/>
        <v/>
      </c>
      <c r="M151" s="203" cm="1">
        <f t="array" aca="1" ref="M151" ca="1">IF(C151&lt;&gt;"",
IF(IFERROR(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0)&lt;&gt;0,
IF(IFERROR(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"")="",
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""),
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0)),0),0)</f>
        <v>0</v>
      </c>
      <c r="N151" s="203" t="e">
        <f t="array" aca="1" ref="N151" ca="1">IF(B151="博多",
IF(C151&lt;&gt;"",
IF(IFERROR(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0)&lt;&gt;0,
IF(IFERROR(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0)="",
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0),
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0)),0),""),0)</f>
        <v>#N/A</v>
      </c>
      <c r="O151" s="203" t="e">
        <f t="shared" ca="1" si="43"/>
        <v>#N/A</v>
      </c>
      <c r="P151" s="203">
        <f t="shared" ca="1" si="4"/>
        <v>0</v>
      </c>
      <c r="Q151" s="203" t="b">
        <f t="shared" ca="1" si="44"/>
        <v>0</v>
      </c>
      <c r="R151" s="51" t="str" cm="1">
        <f t="array" aca="1" ref="R151" ca="1">IFERROR(SMALL(IF(P$1:P$300&lt;&gt;0,P$1:P$300),ROW(A151)),"")</f>
        <v/>
      </c>
      <c r="S151" s="51" t="str">
        <f t="array" aca="1" ref="S151" ca="1">IF($R151&lt;&gt;"",
INDIRECT(""&amp;IF(COLUMN(C171)&lt;=26,CHAR(COLUMN(C171)+64),CHAR(INT((COLUMN(C171)-1)/26)+64)&amp;CHAR(MOD(COLUMN(C171)-1,26)+65))&amp;$R151&amp;""),"")</f>
        <v/>
      </c>
      <c r="T151" s="51" t="str" cm="1">
        <f t="array" aca="1" ref="T151" ca="1">IF(IF($R151&lt;&gt;"",
INDIRECT(""&amp;IF(COLUMN(D171)&lt;=26,CHAR(COLUMN(D171)+64),CHAR(INT((COLUMN(D171)-1)/26)+64)&amp;CHAR(MOD(COLUMN(D171)-1,26)+65))&amp;$R151&amp;""),"")=0,"",
IF($R151&lt;&gt;"",
INDIRECT(""&amp;IF(COLUMN(D171)&lt;=26,CHAR(COLUMN(D171)+64),CHAR(INT((COLUMN(D171)-1)/26)+64)&amp;CHAR(MOD(COLUMN(D171)-1,26)+65))&amp;$R151&amp;""),""))</f>
        <v/>
      </c>
      <c r="U151" s="51"/>
      <c r="V151" s="51" t="str">
        <f t="array" aca="1" ref="V151" ca="1">IF($R151&lt;&gt;"",
IF(U151="",
IF(INDIRECT("EY"&amp;$R151&amp;"")&lt;&gt;"",
INDIRECT("EY"&amp;$R151&amp;"")&amp;"箱"
&amp;INDIRECT("EZ"&amp;$R151&amp;""),""),""),"")</f>
        <v/>
      </c>
      <c r="W151" s="51" t="str">
        <f t="array" aca="1" ref="W151" ca="1">IF($R151&lt;&gt;"",
INDIRECT(""&amp;IF(COLUMN(H171)&lt;=26,CHAR(COLUMN(H171)+64),CHAR(INT((COLUMN(H171)-1)/26)+64)&amp;CHAR(MOD(COLUMN(H171)-1,26)+65))&amp;$R151&amp;""),"")</f>
        <v/>
      </c>
      <c r="X151" s="51" t="str">
        <f t="array" aca="1" ref="X151" ca="1">IF($R151&lt;&gt;"",
INDIRECT(""&amp;IF(COLUMN(I171)&lt;=26,CHAR(COLUMN(I171)+64),CHAR(INT((COLUMN(I171)-1)/26)+64)&amp;CHAR(MOD(COLUMN(I171)-1,26)+65))&amp;$R151&amp;""),"")</f>
        <v/>
      </c>
      <c r="Y151" s="51" t="str">
        <f t="array" aca="1" ref="Y151" ca="1">IF($R151&lt;&gt;"",
INDIRECT(""&amp;IF(COLUMN(J171)&lt;=26,CHAR(COLUMN(J171)+64),CHAR(INT((COLUMN(J171)-1)/26)+64)&amp;CHAR(MOD(COLUMN(J171)-1,26)+65))&amp;$R151&amp;""),"")</f>
        <v/>
      </c>
      <c r="Z151" s="51" t="str">
        <f t="array" aca="1" ref="Z151" ca="1">IF($R151&lt;&gt;"",
INDIRECT(""&amp;IF(COLUMN(K171)&lt;=26,CHAR(COLUMN(K171)+64),CHAR(INT((COLUMN(K171)-1)/26)+64)&amp;CHAR(MOD(COLUMN(K171)-1,26)+65))&amp;$R151&amp;""),"")</f>
        <v/>
      </c>
      <c r="AA151" s="51" t="str">
        <f t="array" aca="1" ref="AA151" ca="1">IF($R151&lt;&gt;"",
INDIRECT(""&amp;IF(COLUMN(L171)&lt;=26,CHAR(COLUMN(L171)+64),CHAR(INT((COLUMN(L171)-1)/26)+64)&amp;CHAR(MOD(COLUMN(L171)-1,26)+65))&amp;$R151&amp;""),"")</f>
        <v/>
      </c>
      <c r="AB151" s="51" t="str">
        <f t="array" aca="1" ref="AB151" ca="1">IF($R151&lt;&gt;"",
INDIRECT(""&amp;IF(COLUMN(O171)&lt;=26,CHAR(COLUMN(O171)+64),CHAR(INT((COLUMN(O171)-1)/26)+64)&amp;CHAR(MOD(COLUMN(O171)-1,26)+65))&amp;$R151&amp;""),"")</f>
        <v/>
      </c>
    </row>
    <row r="152" spans="1:28" ht="22.2" customHeight="1">
      <c r="A152" s="204">
        <f t="shared" si="40"/>
        <v>29</v>
      </c>
      <c r="B152" s="203" t="e" cm="1">
        <f t="array" aca="1" ref="B152" ca="1">IF(AND(LEFT(C152,2)="博多",
LEFT(INDIRECT("数出表_Excel!A"&amp;MATCH(C152,数出表_Excel!$A:$A,0)-1),2)
=LEFT(INDIRECT("数出表_Excel!A"&amp;MATCH(C152,数出表_Excel!$A:$A,0)+1),2)),"博多",
IF(AND(LEFT(C152,3)="奈良屋",
LEFT(INDIRECT("数出表_Excel!A"&amp;MATCH(C152,数出表_Excel!$A:$A,0)-1),2)
=LEFT(INDIRECT("数出表_Excel!A"&amp;MATCH(C152,数出表_Excel!$A:$A,0)+1),2)),"奈良屋",""))</f>
        <v>#N/A</v>
      </c>
      <c r="C152" s="203" t="str" cm="1">
        <f t="array" aca="1" ref="C152" ca="1">IF(IF(クライアント抽出!A12="",0,LEN(クライアント抽出!V12)-LEN(SUBSTITUTE(クライアント抽出!V12,",","")))&gt;=3,INDIRECT("数出表_Excel!A"&amp;A152&amp;""),"")</f>
        <v/>
      </c>
      <c r="D152" s="203" t="str" cm="1">
        <f t="array" aca="1" ref="D152" ca="1">IF(C152&lt;&gt;"",INDIRECT("クライアント抽出!"&amp;E152&amp;MATCH(C152,クライアント抽出!A:A,0)&amp;""),"")</f>
        <v/>
      </c>
      <c r="E152" s="203" t="str">
        <f ca="1">IF(H152&lt;&gt;0,
IFERROR(
SUBSTITUTE(ADDRESS(1,
MATCH(VALUE(H152),クライアント抽出!A12:G12,0)+8,4),"1",""),
""),
IFERROR(
SUBSTITUTE(ADDRESS(1,
MATCH(VALUE(I152),クライアント抽出!A12:G12,0)+8,4),"1",""),
""))</f>
        <v/>
      </c>
      <c r="F152" s="206" t="str" cm="1">
        <f t="array" aca="1" ref="F152" ca="1">IF(D152&lt;&gt;"",
IF(COUNTIF(C152,"*雙葉*"),
IF(ROUND(
IF(O152&lt;&gt;"",(H152-O152),H152)
/IF(COUNTIF('盛付札（関数）'!D152,"*キャラ*"),
VLOOKUP("*キャラ*",#REF!,7,FALSE),
IF(COUNTIF('盛付札（関数）'!D152,"*赤*"),
VLOOKUP("*赤*",#REF!,7,FALSE),
VLOOKUP('盛付札（関数）'!D152,#REF!,7,FALSE))),0)&lt;=0,1,
ROUND(
IF(O152&lt;&gt;"",(H152-O152),H152)
/IF(COUNTIF('盛付札（関数）'!D152,"*キャラ*"),
VLOOKUP("*キャラ*",#REF!,7,FALSE),
IF(COUNTIF('盛付札（関数）'!D152,"*赤*"),
VLOOKUP("*赤*",#REF!,7,FALSE),
VLOOKUP('盛付札（関数）'!D152,#REF!,7,FALSE))),0)),
IF(MATCH(TRUE,
ISNUMBER(--INDIRECT("数出表_Excel!B"&amp;MATCH(C152,数出表_Excel!$A:$A,0)-1&amp;":U"&amp;MATCH(C152,数出表_Excel!$A:$A,0)-1&amp;"")),0)&gt;10,
IF(D152&lt;&gt;"",
IF(IF(COUNTIF('盛付札（関数）'!D152,"*キャラ*"),
VLOOKUP("*キャラ*",#REF!,7,FALSE),
IF(COUNTIF('盛付札（関数）'!D152,"*赤*"),
VLOOKUP("*赤*",#REF!,7,FALSE),
VLOOKUP('盛付札（関数）'!D152,#REF!,7,FALSE)))=0,"",
IF(ROUND(
IF(O152&lt;&gt;"",(H152-O152),H152)
/IF(COUNTIF('盛付札（関数）'!D152,"*キャラ*"),
VLOOKUP("*キャラ*",#REF!,7,FALSE),
IF(COUNTIF('盛付札（関数）'!D152,"*赤*"),
VLOOKUP("*赤*",#REF!,7,FALSE),
VLOOKUP('盛付札（関数）'!D152,#REF!,7,FALSE))),0)&lt;=0,1,
ROUND(
IF(O152&lt;&gt;"",(H152-O152),H152)
/IF(COUNTIF('盛付札（関数）'!D152,"*キャラ*"),
VLOOKUP("*キャラ*",#REF!,7,FALSE),
IF(COUNTIF('盛付札（関数）'!D152,"*赤*"),
VLOOKUP("*赤*",#REF!,7,FALSE),
VLOOKUP('盛付札（関数）'!D152,#REF!,7,FALSE))),0))),""),"")),"")</f>
        <v/>
      </c>
      <c r="G152" s="206" t="str">
        <f ca="1">IF(F152&lt;&gt;"",IF(VALUE(IF(O152&lt;&gt;"",H152-O152,H152))&gt;VALUE(IF(COUNTIF('盛付札（関数）'!D152,"*キャラ*"),
VLOOKUP("*キャラ*",#REF!,7,FALSE),
IF(COUNTIF('盛付札（関数）'!D152,"*赤*"),
VLOOKUP("*赤*",#REF!,7,FALSE),
VLOOKUP('盛付札（関数）'!D152,#REF!,7,FALSE)))*F152),
"+"&amp;IF(O152&lt;&gt;"",H152-O152,H152)-IF(COUNTIF('盛付札（関数）'!D152,"*キャラ*"),
VLOOKUP("*キャラ*",#REF!,7,FALSE),
IF(COUNTIF('盛付札（関数）'!D152,"*赤*"),
VLOOKUP("*赤*",#REF!,7,FALSE),
VLOOKUP('盛付札（関数）'!D152,#REF!,7,FALSE)))*F152,
IF(O152&lt;&gt;"",H152-O152,H152)-IF(COUNTIF('盛付札（関数）'!D152,"*キャラ*"),
VLOOKUP("*キャラ*",#REF!,7,FALSE),
IF(COUNTIF('盛付札（関数）'!D152,"*赤*"),
VLOOKUP("*赤*",#REF!,7,FALSE),
VLOOKUP('盛付札（関数）'!D152,#REF!,7,FALSE)))*F152),"")</f>
        <v/>
      </c>
      <c r="H152" s="205" t="str" cm="1">
        <f t="array" aca="1" ref="H152" ca="1">IF(C152&lt;&gt;"",
IF(INDIRECT("数出表_Excel!"&amp;RIGHT(SUBSTITUTE(クライアント抽出!V12,",",""),1)&amp;A152-1&amp;"")&lt;&gt;"",
INDIRECT("数出表_Excel!"&amp;RIGHT(SUBSTITUTE(クライアント抽出!V12,",",""),1)&amp;A152-1&amp;""),0),"")</f>
        <v/>
      </c>
      <c r="I152" s="203" t="str" cm="1">
        <f t="array" aca="1" ref="I152" ca="1">IF(C152&lt;&gt;"",
IF(INDIRECT("数出表_Excel!"&amp;RIGHT(SUBSTITUTE(クライアント抽出!V12,",",""),1)&amp;A152&amp;"")&lt;&gt;"",
INDIRECT("数出表_Excel!"&amp;RIGHT(SUBSTITUTE(クライアント抽出!V12,",",""),1)&amp;A152&amp;""),0),"")</f>
        <v/>
      </c>
      <c r="J152" s="203" t="str">
        <f ca="1">IF(C152&lt;&gt;"",
VLOOKUP(
IF(COUNTIF(D152,"*学食*"),"キャラ弁（学食）",
IF(COUNTIF(D152,"*赤*"),"赤",
IF(COUNTIF(D152,"*キャラ弁当*"),"キャラ弁当",D152))),注文弁当の抽出!$E$1:$F$15,2,FALSE),"")</f>
        <v/>
      </c>
      <c r="K152" s="203" t="str">
        <f t="shared" ca="1" si="41"/>
        <v/>
      </c>
      <c r="L152" s="203" t="str">
        <f t="shared" ca="1" si="42"/>
        <v/>
      </c>
      <c r="M152" s="203" cm="1">
        <f t="array" aca="1" ref="M152" ca="1">IF(C152&lt;&gt;"",
IF(IFERROR(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0)&lt;&gt;0,
IF(IFERROR(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"")="",
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""),
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0)),0),0)</f>
        <v>0</v>
      </c>
      <c r="N152" s="203" t="e">
        <f t="array" aca="1" ref="N152" ca="1">IF(B152="博多",
IF(C152&lt;&gt;"",
IF(IFERROR(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0)&lt;&gt;0,
IF(IFERROR(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0)="",
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0),
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0)),0),""),0)</f>
        <v>#N/A</v>
      </c>
      <c r="O152" s="203" t="e">
        <f t="shared" ca="1" si="43"/>
        <v>#N/A</v>
      </c>
      <c r="P152" s="203">
        <f t="shared" ca="1" si="4"/>
        <v>0</v>
      </c>
      <c r="Q152" s="203" t="b">
        <f t="shared" ca="1" si="44"/>
        <v>0</v>
      </c>
      <c r="R152" s="51" t="str" cm="1">
        <f t="array" aca="1" ref="R152" ca="1">IFERROR(SMALL(IF(P$1:P$300&lt;&gt;0,P$1:P$300),ROW(A152)),"")</f>
        <v/>
      </c>
      <c r="S152" s="51" t="str">
        <f t="array" aca="1" ref="S152" ca="1">IF($R152&lt;&gt;"",
INDIRECT(""&amp;IF(COLUMN(C172)&lt;=26,CHAR(COLUMN(C172)+64),CHAR(INT((COLUMN(C172)-1)/26)+64)&amp;CHAR(MOD(COLUMN(C172)-1,26)+65))&amp;$R152&amp;""),"")</f>
        <v/>
      </c>
      <c r="T152" s="51" t="str" cm="1">
        <f t="array" aca="1" ref="T152" ca="1">IF(IF($R152&lt;&gt;"",
INDIRECT(""&amp;IF(COLUMN(D172)&lt;=26,CHAR(COLUMN(D172)+64),CHAR(INT((COLUMN(D172)-1)/26)+64)&amp;CHAR(MOD(COLUMN(D172)-1,26)+65))&amp;$R152&amp;""),"")=0,"",
IF($R152&lt;&gt;"",
INDIRECT(""&amp;IF(COLUMN(D172)&lt;=26,CHAR(COLUMN(D172)+64),CHAR(INT((COLUMN(D172)-1)/26)+64)&amp;CHAR(MOD(COLUMN(D172)-1,26)+65))&amp;$R152&amp;""),""))</f>
        <v/>
      </c>
      <c r="U152" s="51"/>
      <c r="V152" s="51" t="str">
        <f t="array" aca="1" ref="V152" ca="1">IF($R152&lt;&gt;"",
IF(U152="",
IF(INDIRECT("EY"&amp;$R152&amp;"")&lt;&gt;"",
INDIRECT("EY"&amp;$R152&amp;"")&amp;"箱"
&amp;INDIRECT("EZ"&amp;$R152&amp;""),""),""),"")</f>
        <v/>
      </c>
      <c r="W152" s="51" t="str">
        <f t="array" aca="1" ref="W152" ca="1">IF($R152&lt;&gt;"",
INDIRECT(""&amp;IF(COLUMN(H172)&lt;=26,CHAR(COLUMN(H172)+64),CHAR(INT((COLUMN(H172)-1)/26)+64)&amp;CHAR(MOD(COLUMN(H172)-1,26)+65))&amp;$R152&amp;""),"")</f>
        <v/>
      </c>
      <c r="X152" s="51" t="str">
        <f t="array" aca="1" ref="X152" ca="1">IF($R152&lt;&gt;"",
INDIRECT(""&amp;IF(COLUMN(I172)&lt;=26,CHAR(COLUMN(I172)+64),CHAR(INT((COLUMN(I172)-1)/26)+64)&amp;CHAR(MOD(COLUMN(I172)-1,26)+65))&amp;$R152&amp;""),"")</f>
        <v/>
      </c>
      <c r="Y152" s="51" t="str">
        <f t="array" aca="1" ref="Y152" ca="1">IF($R152&lt;&gt;"",
INDIRECT(""&amp;IF(COLUMN(J172)&lt;=26,CHAR(COLUMN(J172)+64),CHAR(INT((COLUMN(J172)-1)/26)+64)&amp;CHAR(MOD(COLUMN(J172)-1,26)+65))&amp;$R152&amp;""),"")</f>
        <v/>
      </c>
      <c r="Z152" s="51" t="str">
        <f t="array" aca="1" ref="Z152" ca="1">IF($R152&lt;&gt;"",
INDIRECT(""&amp;IF(COLUMN(K172)&lt;=26,CHAR(COLUMN(K172)+64),CHAR(INT((COLUMN(K172)-1)/26)+64)&amp;CHAR(MOD(COLUMN(K172)-1,26)+65))&amp;$R152&amp;""),"")</f>
        <v/>
      </c>
      <c r="AA152" s="51" t="str">
        <f t="array" aca="1" ref="AA152" ca="1">IF($R152&lt;&gt;"",
INDIRECT(""&amp;IF(COLUMN(L172)&lt;=26,CHAR(COLUMN(L172)+64),CHAR(INT((COLUMN(L172)-1)/26)+64)&amp;CHAR(MOD(COLUMN(L172)-1,26)+65))&amp;$R152&amp;""),"")</f>
        <v/>
      </c>
      <c r="AB152" s="51" t="str">
        <f t="array" aca="1" ref="AB152" ca="1">IF($R152&lt;&gt;"",
INDIRECT(""&amp;IF(COLUMN(O172)&lt;=26,CHAR(COLUMN(O172)+64),CHAR(INT((COLUMN(O172)-1)/26)+64)&amp;CHAR(MOD(COLUMN(O172)-1,26)+65))&amp;$R152&amp;""),"")</f>
        <v/>
      </c>
    </row>
    <row r="153" spans="1:28" ht="22.2" customHeight="1">
      <c r="A153" s="204">
        <f t="shared" si="40"/>
        <v>31</v>
      </c>
      <c r="B153" s="203" t="e" cm="1">
        <f t="array" aca="1" ref="B153" ca="1">IF(AND(LEFT(C153,2)="博多",
LEFT(INDIRECT("数出表_Excel!A"&amp;MATCH(C153,数出表_Excel!$A:$A,0)-1),2)
=LEFT(INDIRECT("数出表_Excel!A"&amp;MATCH(C153,数出表_Excel!$A:$A,0)+1),2)),"博多",
IF(AND(LEFT(C153,3)="奈良屋",
LEFT(INDIRECT("数出表_Excel!A"&amp;MATCH(C153,数出表_Excel!$A:$A,0)-1),2)
=LEFT(INDIRECT("数出表_Excel!A"&amp;MATCH(C153,数出表_Excel!$A:$A,0)+1),2)),"奈良屋",""))</f>
        <v>#N/A</v>
      </c>
      <c r="C153" s="203" t="str" cm="1">
        <f t="array" aca="1" ref="C153" ca="1">IF(IF(クライアント抽出!A13="",0,LEN(クライアント抽出!V13)-LEN(SUBSTITUTE(クライアント抽出!V13,",","")))&gt;=3,INDIRECT("数出表_Excel!A"&amp;A153&amp;""),"")</f>
        <v/>
      </c>
      <c r="D153" s="203" t="str" cm="1">
        <f t="array" aca="1" ref="D153" ca="1">IF(C153&lt;&gt;"",INDIRECT("クライアント抽出!"&amp;E153&amp;MATCH(C153,クライアント抽出!A:A,0)&amp;""),"")</f>
        <v/>
      </c>
      <c r="E153" s="203" t="str">
        <f ca="1">IF(H153&lt;&gt;0,
IFERROR(
SUBSTITUTE(ADDRESS(1,
MATCH(VALUE(H153),クライアント抽出!A13:G13,0)+8,4),"1",""),
""),
IFERROR(
SUBSTITUTE(ADDRESS(1,
MATCH(VALUE(I153),クライアント抽出!A13:G13,0)+8,4),"1",""),
""))</f>
        <v/>
      </c>
      <c r="F153" s="206" t="str" cm="1">
        <f t="array" aca="1" ref="F153" ca="1">IF(D153&lt;&gt;"",
IF(COUNTIF(C153,"*雙葉*"),
IF(ROUND(
IF(O153&lt;&gt;"",(H153-O153),H153)
/IF(COUNTIF('盛付札（関数）'!D153,"*キャラ*"),
VLOOKUP("*キャラ*",#REF!,7,FALSE),
IF(COUNTIF('盛付札（関数）'!D153,"*赤*"),
VLOOKUP("*赤*",#REF!,7,FALSE),
VLOOKUP('盛付札（関数）'!D153,#REF!,7,FALSE))),0)&lt;=0,1,
ROUND(
IF(O153&lt;&gt;"",(H153-O153),H153)
/IF(COUNTIF('盛付札（関数）'!D153,"*キャラ*"),
VLOOKUP("*キャラ*",#REF!,7,FALSE),
IF(COUNTIF('盛付札（関数）'!D153,"*赤*"),
VLOOKUP("*赤*",#REF!,7,FALSE),
VLOOKUP('盛付札（関数）'!D153,#REF!,7,FALSE))),0)),
IF(MATCH(TRUE,
ISNUMBER(--INDIRECT("数出表_Excel!B"&amp;MATCH(C153,数出表_Excel!$A:$A,0)-1&amp;":U"&amp;MATCH(C153,数出表_Excel!$A:$A,0)-1&amp;"")),0)&gt;10,
IF(D153&lt;&gt;"",
IF(IF(COUNTIF('盛付札（関数）'!D153,"*キャラ*"),
VLOOKUP("*キャラ*",#REF!,7,FALSE),
IF(COUNTIF('盛付札（関数）'!D153,"*赤*"),
VLOOKUP("*赤*",#REF!,7,FALSE),
VLOOKUP('盛付札（関数）'!D153,#REF!,7,FALSE)))=0,"",
IF(ROUND(
IF(O153&lt;&gt;"",(H153-O153),H153)
/IF(COUNTIF('盛付札（関数）'!D153,"*キャラ*"),
VLOOKUP("*キャラ*",#REF!,7,FALSE),
IF(COUNTIF('盛付札（関数）'!D153,"*赤*"),
VLOOKUP("*赤*",#REF!,7,FALSE),
VLOOKUP('盛付札（関数）'!D153,#REF!,7,FALSE))),0)&lt;=0,1,
ROUND(
IF(O153&lt;&gt;"",(H153-O153),H153)
/IF(COUNTIF('盛付札（関数）'!D153,"*キャラ*"),
VLOOKUP("*キャラ*",#REF!,7,FALSE),
IF(COUNTIF('盛付札（関数）'!D153,"*赤*"),
VLOOKUP("*赤*",#REF!,7,FALSE),
VLOOKUP('盛付札（関数）'!D153,#REF!,7,FALSE))),0))),""),"")),"")</f>
        <v/>
      </c>
      <c r="G153" s="206" t="str">
        <f ca="1">IF(F153&lt;&gt;"",IF(VALUE(IF(O153&lt;&gt;"",H153-O153,H153))&gt;VALUE(IF(COUNTIF('盛付札（関数）'!D153,"*キャラ*"),
VLOOKUP("*キャラ*",#REF!,7,FALSE),
IF(COUNTIF('盛付札（関数）'!D153,"*赤*"),
VLOOKUP("*赤*",#REF!,7,FALSE),
VLOOKUP('盛付札（関数）'!D153,#REF!,7,FALSE)))*F153),
"+"&amp;IF(O153&lt;&gt;"",H153-O153,H153)-IF(COUNTIF('盛付札（関数）'!D153,"*キャラ*"),
VLOOKUP("*キャラ*",#REF!,7,FALSE),
IF(COUNTIF('盛付札（関数）'!D153,"*赤*"),
VLOOKUP("*赤*",#REF!,7,FALSE),
VLOOKUP('盛付札（関数）'!D153,#REF!,7,FALSE)))*F153,
IF(O153&lt;&gt;"",H153-O153,H153)-IF(COUNTIF('盛付札（関数）'!D153,"*キャラ*"),
VLOOKUP("*キャラ*",#REF!,7,FALSE),
IF(COUNTIF('盛付札（関数）'!D153,"*赤*"),
VLOOKUP("*赤*",#REF!,7,FALSE),
VLOOKUP('盛付札（関数）'!D153,#REF!,7,FALSE)))*F153),"")</f>
        <v/>
      </c>
      <c r="H153" s="205" t="str" cm="1">
        <f t="array" aca="1" ref="H153" ca="1">IF(C153&lt;&gt;"",
IF(INDIRECT("数出表_Excel!"&amp;RIGHT(SUBSTITUTE(クライアント抽出!V13,",",""),1)&amp;A153-1&amp;"")&lt;&gt;"",
INDIRECT("数出表_Excel!"&amp;RIGHT(SUBSTITUTE(クライアント抽出!V13,",",""),1)&amp;A153-1&amp;""),0),"")</f>
        <v/>
      </c>
      <c r="I153" s="203" t="str" cm="1">
        <f t="array" aca="1" ref="I153" ca="1">IF(C153&lt;&gt;"",
IF(INDIRECT("数出表_Excel!"&amp;RIGHT(SUBSTITUTE(クライアント抽出!V13,",",""),1)&amp;A153&amp;"")&lt;&gt;"",
INDIRECT("数出表_Excel!"&amp;RIGHT(SUBSTITUTE(クライアント抽出!V13,",",""),1)&amp;A153&amp;""),0),"")</f>
        <v/>
      </c>
      <c r="J153" s="203" t="str">
        <f ca="1">IF(C153&lt;&gt;"",
VLOOKUP(
IF(COUNTIF(D153,"*学食*"),"キャラ弁（学食）",
IF(COUNTIF(D153,"*赤*"),"赤",
IF(COUNTIF(D153,"*キャラ弁当*"),"キャラ弁当",D153))),注文弁当の抽出!$E$1:$F$15,2,FALSE),"")</f>
        <v/>
      </c>
      <c r="K153" s="203" t="str">
        <f t="shared" ca="1" si="41"/>
        <v/>
      </c>
      <c r="L153" s="203" t="str">
        <f t="shared" ca="1" si="42"/>
        <v/>
      </c>
      <c r="M153" s="203" cm="1">
        <f t="array" aca="1" ref="M153" ca="1">IF(C153&lt;&gt;"",
IF(IFERROR(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0)&lt;&gt;0,
IF(IFERROR(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"")="",
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""),
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0)),0),0)</f>
        <v>0</v>
      </c>
      <c r="N153" s="203" t="e">
        <f t="array" aca="1" ref="N153" ca="1">IF(B153="博多",
IF(C153&lt;&gt;"",
IF(IFERROR(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0)&lt;&gt;0,
IF(IFERROR(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0)="",
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0),
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0)),0),""),0)</f>
        <v>#N/A</v>
      </c>
      <c r="O153" s="203" t="e">
        <f t="shared" ca="1" si="43"/>
        <v>#N/A</v>
      </c>
      <c r="P153" s="203">
        <f t="shared" ca="1" si="4"/>
        <v>0</v>
      </c>
      <c r="Q153" s="203" t="b">
        <f t="shared" ca="1" si="44"/>
        <v>0</v>
      </c>
      <c r="R153" s="51" t="str" cm="1">
        <f t="array" aca="1" ref="R153" ca="1">IFERROR(SMALL(IF(P$1:P$300&lt;&gt;0,P$1:P$300),ROW(A153)),"")</f>
        <v/>
      </c>
      <c r="S153" s="51" t="str">
        <f t="array" aca="1" ref="S153" ca="1">IF($R153&lt;&gt;"",
INDIRECT(""&amp;IF(COLUMN(C173)&lt;=26,CHAR(COLUMN(C173)+64),CHAR(INT((COLUMN(C173)-1)/26)+64)&amp;CHAR(MOD(COLUMN(C173)-1,26)+65))&amp;$R153&amp;""),"")</f>
        <v/>
      </c>
      <c r="T153" s="51" t="str" cm="1">
        <f t="array" aca="1" ref="T153" ca="1">IF(IF($R153&lt;&gt;"",
INDIRECT(""&amp;IF(COLUMN(D173)&lt;=26,CHAR(COLUMN(D173)+64),CHAR(INT((COLUMN(D173)-1)/26)+64)&amp;CHAR(MOD(COLUMN(D173)-1,26)+65))&amp;$R153&amp;""),"")=0,"",
IF($R153&lt;&gt;"",
INDIRECT(""&amp;IF(COLUMN(D173)&lt;=26,CHAR(COLUMN(D173)+64),CHAR(INT((COLUMN(D173)-1)/26)+64)&amp;CHAR(MOD(COLUMN(D173)-1,26)+65))&amp;$R153&amp;""),""))</f>
        <v/>
      </c>
      <c r="U153" s="51"/>
      <c r="V153" s="51" t="str">
        <f t="array" aca="1" ref="V153" ca="1">IF($R153&lt;&gt;"",
IF(U153="",
IF(INDIRECT("EY"&amp;$R153&amp;"")&lt;&gt;"",
INDIRECT("EY"&amp;$R153&amp;"")&amp;"箱"
&amp;INDIRECT("EZ"&amp;$R153&amp;""),""),""),"")</f>
        <v/>
      </c>
      <c r="W153" s="51" t="str">
        <f t="array" aca="1" ref="W153" ca="1">IF($R153&lt;&gt;"",
INDIRECT(""&amp;IF(COLUMN(H173)&lt;=26,CHAR(COLUMN(H173)+64),CHAR(INT((COLUMN(H173)-1)/26)+64)&amp;CHAR(MOD(COLUMN(H173)-1,26)+65))&amp;$R153&amp;""),"")</f>
        <v/>
      </c>
      <c r="X153" s="51" t="str">
        <f t="array" aca="1" ref="X153" ca="1">IF($R153&lt;&gt;"",
INDIRECT(""&amp;IF(COLUMN(I173)&lt;=26,CHAR(COLUMN(I173)+64),CHAR(INT((COLUMN(I173)-1)/26)+64)&amp;CHAR(MOD(COLUMN(I173)-1,26)+65))&amp;$R153&amp;""),"")</f>
        <v/>
      </c>
      <c r="Y153" s="51" t="str">
        <f t="array" aca="1" ref="Y153" ca="1">IF($R153&lt;&gt;"",
INDIRECT(""&amp;IF(COLUMN(J173)&lt;=26,CHAR(COLUMN(J173)+64),CHAR(INT((COLUMN(J173)-1)/26)+64)&amp;CHAR(MOD(COLUMN(J173)-1,26)+65))&amp;$R153&amp;""),"")</f>
        <v/>
      </c>
      <c r="Z153" s="51" t="str">
        <f t="array" aca="1" ref="Z153" ca="1">IF($R153&lt;&gt;"",
INDIRECT(""&amp;IF(COLUMN(K173)&lt;=26,CHAR(COLUMN(K173)+64),CHAR(INT((COLUMN(K173)-1)/26)+64)&amp;CHAR(MOD(COLUMN(K173)-1,26)+65))&amp;$R153&amp;""),"")</f>
        <v/>
      </c>
      <c r="AA153" s="51" t="str">
        <f t="array" aca="1" ref="AA153" ca="1">IF($R153&lt;&gt;"",
INDIRECT(""&amp;IF(COLUMN(L173)&lt;=26,CHAR(COLUMN(L173)+64),CHAR(INT((COLUMN(L173)-1)/26)+64)&amp;CHAR(MOD(COLUMN(L173)-1,26)+65))&amp;$R153&amp;""),"")</f>
        <v/>
      </c>
      <c r="AB153" s="51" t="str">
        <f t="array" aca="1" ref="AB153" ca="1">IF($R153&lt;&gt;"",
INDIRECT(""&amp;IF(COLUMN(O173)&lt;=26,CHAR(COLUMN(O173)+64),CHAR(INT((COLUMN(O173)-1)/26)+64)&amp;CHAR(MOD(COLUMN(O173)-1,26)+65))&amp;$R153&amp;""),"")</f>
        <v/>
      </c>
    </row>
    <row r="154" spans="1:28" ht="22.2" customHeight="1">
      <c r="A154" s="204">
        <f t="shared" si="40"/>
        <v>33</v>
      </c>
      <c r="B154" s="203" t="e" cm="1">
        <f t="array" aca="1" ref="B154" ca="1">IF(AND(LEFT(C154,2)="博多",
LEFT(INDIRECT("数出表_Excel!A"&amp;MATCH(C154,数出表_Excel!$A:$A,0)-1),2)
=LEFT(INDIRECT("数出表_Excel!A"&amp;MATCH(C154,数出表_Excel!$A:$A,0)+1),2)),"博多",
IF(AND(LEFT(C154,3)="奈良屋",
LEFT(INDIRECT("数出表_Excel!A"&amp;MATCH(C154,数出表_Excel!$A:$A,0)-1),2)
=LEFT(INDIRECT("数出表_Excel!A"&amp;MATCH(C154,数出表_Excel!$A:$A,0)+1),2)),"奈良屋",""))</f>
        <v>#N/A</v>
      </c>
      <c r="C154" s="203" t="str" cm="1">
        <f t="array" aca="1" ref="C154" ca="1">IF(IF(クライアント抽出!A14="",0,LEN(クライアント抽出!V14)-LEN(SUBSTITUTE(クライアント抽出!V14,",","")))&gt;=3,INDIRECT("数出表_Excel!A"&amp;A154&amp;""),"")</f>
        <v/>
      </c>
      <c r="D154" s="203" t="str" cm="1">
        <f t="array" aca="1" ref="D154" ca="1">IF(C154&lt;&gt;"",INDIRECT("クライアント抽出!"&amp;E154&amp;MATCH(C154,クライアント抽出!A:A,0)&amp;""),"")</f>
        <v/>
      </c>
      <c r="E154" s="203" t="str">
        <f ca="1">IF(H154&lt;&gt;0,
IFERROR(
SUBSTITUTE(ADDRESS(1,
MATCH(VALUE(H154),クライアント抽出!A14:G14,0)+8,4),"1",""),
""),
IFERROR(
SUBSTITUTE(ADDRESS(1,
MATCH(VALUE(I154),クライアント抽出!A14:G14,0)+8,4),"1",""),
""))</f>
        <v/>
      </c>
      <c r="F154" s="206" t="str" cm="1">
        <f t="array" aca="1" ref="F154" ca="1">IF(D154&lt;&gt;"",
IF(COUNTIF(C154,"*雙葉*"),
IF(ROUND(
IF(O154&lt;&gt;"",(H154-O154),H154)
/IF(COUNTIF('盛付札（関数）'!D154,"*キャラ*"),
VLOOKUP("*キャラ*",#REF!,7,FALSE),
IF(COUNTIF('盛付札（関数）'!D154,"*赤*"),
VLOOKUP("*赤*",#REF!,7,FALSE),
VLOOKUP('盛付札（関数）'!D154,#REF!,7,FALSE))),0)&lt;=0,1,
ROUND(
IF(O154&lt;&gt;"",(H154-O154),H154)
/IF(COUNTIF('盛付札（関数）'!D154,"*キャラ*"),
VLOOKUP("*キャラ*",#REF!,7,FALSE),
IF(COUNTIF('盛付札（関数）'!D154,"*赤*"),
VLOOKUP("*赤*",#REF!,7,FALSE),
VLOOKUP('盛付札（関数）'!D154,#REF!,7,FALSE))),0)),
IF(MATCH(TRUE,
ISNUMBER(--INDIRECT("数出表_Excel!B"&amp;MATCH(C154,数出表_Excel!$A:$A,0)-1&amp;":U"&amp;MATCH(C154,数出表_Excel!$A:$A,0)-1&amp;"")),0)&gt;10,
IF(D154&lt;&gt;"",
IF(IF(COUNTIF('盛付札（関数）'!D154,"*キャラ*"),
VLOOKUP("*キャラ*",#REF!,7,FALSE),
IF(COUNTIF('盛付札（関数）'!D154,"*赤*"),
VLOOKUP("*赤*",#REF!,7,FALSE),
VLOOKUP('盛付札（関数）'!D154,#REF!,7,FALSE)))=0,"",
IF(ROUND(
IF(O154&lt;&gt;"",(H154-O154),H154)
/IF(COUNTIF('盛付札（関数）'!D154,"*キャラ*"),
VLOOKUP("*キャラ*",#REF!,7,FALSE),
IF(COUNTIF('盛付札（関数）'!D154,"*赤*"),
VLOOKUP("*赤*",#REF!,7,FALSE),
VLOOKUP('盛付札（関数）'!D154,#REF!,7,FALSE))),0)&lt;=0,1,
ROUND(
IF(O154&lt;&gt;"",(H154-O154),H154)
/IF(COUNTIF('盛付札（関数）'!D154,"*キャラ*"),
VLOOKUP("*キャラ*",#REF!,7,FALSE),
IF(COUNTIF('盛付札（関数）'!D154,"*赤*"),
VLOOKUP("*赤*",#REF!,7,FALSE),
VLOOKUP('盛付札（関数）'!D154,#REF!,7,FALSE))),0))),""),"")),"")</f>
        <v/>
      </c>
      <c r="G154" s="206" t="str">
        <f ca="1">IF(F154&lt;&gt;"",IF(VALUE(IF(O154&lt;&gt;"",H154-O154,H154))&gt;VALUE(IF(COUNTIF('盛付札（関数）'!D154,"*キャラ*"),
VLOOKUP("*キャラ*",#REF!,7,FALSE),
IF(COUNTIF('盛付札（関数）'!D154,"*赤*"),
VLOOKUP("*赤*",#REF!,7,FALSE),
VLOOKUP('盛付札（関数）'!D154,#REF!,7,FALSE)))*F154),
"+"&amp;IF(O154&lt;&gt;"",H154-O154,H154)-IF(COUNTIF('盛付札（関数）'!D154,"*キャラ*"),
VLOOKUP("*キャラ*",#REF!,7,FALSE),
IF(COUNTIF('盛付札（関数）'!D154,"*赤*"),
VLOOKUP("*赤*",#REF!,7,FALSE),
VLOOKUP('盛付札（関数）'!D154,#REF!,7,FALSE)))*F154,
IF(O154&lt;&gt;"",H154-O154,H154)-IF(COUNTIF('盛付札（関数）'!D154,"*キャラ*"),
VLOOKUP("*キャラ*",#REF!,7,FALSE),
IF(COUNTIF('盛付札（関数）'!D154,"*赤*"),
VLOOKUP("*赤*",#REF!,7,FALSE),
VLOOKUP('盛付札（関数）'!D154,#REF!,7,FALSE)))*F154),"")</f>
        <v/>
      </c>
      <c r="H154" s="205" t="str" cm="1">
        <f t="array" aca="1" ref="H154" ca="1">IF(C154&lt;&gt;"",
IF(INDIRECT("数出表_Excel!"&amp;RIGHT(SUBSTITUTE(クライアント抽出!V14,",",""),1)&amp;A154-1&amp;"")&lt;&gt;"",
INDIRECT("数出表_Excel!"&amp;RIGHT(SUBSTITUTE(クライアント抽出!V14,",",""),1)&amp;A154-1&amp;""),0),"")</f>
        <v/>
      </c>
      <c r="I154" s="203" t="str" cm="1">
        <f t="array" aca="1" ref="I154" ca="1">IF(C154&lt;&gt;"",
IF(INDIRECT("数出表_Excel!"&amp;RIGHT(SUBSTITUTE(クライアント抽出!V14,",",""),1)&amp;A154&amp;"")&lt;&gt;"",
INDIRECT("数出表_Excel!"&amp;RIGHT(SUBSTITUTE(クライアント抽出!V14,",",""),1)&amp;A154&amp;""),0),"")</f>
        <v/>
      </c>
      <c r="J154" s="203" t="str">
        <f ca="1">IF(C154&lt;&gt;"",
VLOOKUP(
IF(COUNTIF(D154,"*学食*"),"キャラ弁（学食）",
IF(COUNTIF(D154,"*赤*"),"赤",
IF(COUNTIF(D154,"*キャラ弁当*"),"キャラ弁当",D154))),注文弁当の抽出!$E$1:$F$15,2,FALSE),"")</f>
        <v/>
      </c>
      <c r="K154" s="203" t="str">
        <f t="shared" ca="1" si="41"/>
        <v/>
      </c>
      <c r="L154" s="203" t="str">
        <f t="shared" ca="1" si="42"/>
        <v/>
      </c>
      <c r="M154" s="203" cm="1">
        <f t="array" aca="1" ref="M154" ca="1">IF(C154&lt;&gt;"",
IF(IFERROR(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0)&lt;&gt;0,
IF(IFERROR(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"")="",
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""),
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0)),0),0)</f>
        <v>0</v>
      </c>
      <c r="N154" s="203" t="e">
        <f t="array" aca="1" ref="N154" ca="1">IF(B154="博多",
IF(C154&lt;&gt;"",
IF(IFERROR(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0)&lt;&gt;0,
IF(IFERROR(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0)="",
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0),
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0)),0),""),0)</f>
        <v>#N/A</v>
      </c>
      <c r="O154" s="203" t="e">
        <f t="shared" ca="1" si="43"/>
        <v>#N/A</v>
      </c>
      <c r="P154" s="203">
        <f t="shared" ca="1" si="4"/>
        <v>0</v>
      </c>
      <c r="Q154" s="203" t="b">
        <f t="shared" ca="1" si="44"/>
        <v>0</v>
      </c>
      <c r="R154" s="51" t="str" cm="1">
        <f t="array" aca="1" ref="R154" ca="1">IFERROR(SMALL(IF(P$1:P$300&lt;&gt;0,P$1:P$300),ROW(A154)),"")</f>
        <v/>
      </c>
      <c r="S154" s="51" t="str">
        <f t="array" aca="1" ref="S154" ca="1">IF($R154&lt;&gt;"",
INDIRECT(""&amp;IF(COLUMN(C174)&lt;=26,CHAR(COLUMN(C174)+64),CHAR(INT((COLUMN(C174)-1)/26)+64)&amp;CHAR(MOD(COLUMN(C174)-1,26)+65))&amp;$R154&amp;""),"")</f>
        <v/>
      </c>
      <c r="T154" s="51" t="str" cm="1">
        <f t="array" aca="1" ref="T154" ca="1">IF(IF($R154&lt;&gt;"",
INDIRECT(""&amp;IF(COLUMN(D174)&lt;=26,CHAR(COLUMN(D174)+64),CHAR(INT((COLUMN(D174)-1)/26)+64)&amp;CHAR(MOD(COLUMN(D174)-1,26)+65))&amp;$R154&amp;""),"")=0,"",
IF($R154&lt;&gt;"",
INDIRECT(""&amp;IF(COLUMN(D174)&lt;=26,CHAR(COLUMN(D174)+64),CHAR(INT((COLUMN(D174)-1)/26)+64)&amp;CHAR(MOD(COLUMN(D174)-1,26)+65))&amp;$R154&amp;""),""))</f>
        <v/>
      </c>
      <c r="U154" s="51"/>
      <c r="V154" s="51" t="str">
        <f t="array" aca="1" ref="V154" ca="1">IF($R154&lt;&gt;"",
IF(U154="",
IF(INDIRECT("EY"&amp;$R154&amp;"")&lt;&gt;"",
INDIRECT("EY"&amp;$R154&amp;"")&amp;"箱"
&amp;INDIRECT("EZ"&amp;$R154&amp;""),""),""),"")</f>
        <v/>
      </c>
      <c r="W154" s="51" t="str">
        <f t="array" aca="1" ref="W154" ca="1">IF($R154&lt;&gt;"",
INDIRECT(""&amp;IF(COLUMN(H174)&lt;=26,CHAR(COLUMN(H174)+64),CHAR(INT((COLUMN(H174)-1)/26)+64)&amp;CHAR(MOD(COLUMN(H174)-1,26)+65))&amp;$R154&amp;""),"")</f>
        <v/>
      </c>
      <c r="X154" s="51" t="str">
        <f t="array" aca="1" ref="X154" ca="1">IF($R154&lt;&gt;"",
INDIRECT(""&amp;IF(COLUMN(I174)&lt;=26,CHAR(COLUMN(I174)+64),CHAR(INT((COLUMN(I174)-1)/26)+64)&amp;CHAR(MOD(COLUMN(I174)-1,26)+65))&amp;$R154&amp;""),"")</f>
        <v/>
      </c>
      <c r="Y154" s="51" t="str">
        <f t="array" aca="1" ref="Y154" ca="1">IF($R154&lt;&gt;"",
INDIRECT(""&amp;IF(COLUMN(J174)&lt;=26,CHAR(COLUMN(J174)+64),CHAR(INT((COLUMN(J174)-1)/26)+64)&amp;CHAR(MOD(COLUMN(J174)-1,26)+65))&amp;$R154&amp;""),"")</f>
        <v/>
      </c>
      <c r="Z154" s="51" t="str">
        <f t="array" aca="1" ref="Z154" ca="1">IF($R154&lt;&gt;"",
INDIRECT(""&amp;IF(COLUMN(K174)&lt;=26,CHAR(COLUMN(K174)+64),CHAR(INT((COLUMN(K174)-1)/26)+64)&amp;CHAR(MOD(COLUMN(K174)-1,26)+65))&amp;$R154&amp;""),"")</f>
        <v/>
      </c>
      <c r="AA154" s="51" t="str">
        <f t="array" aca="1" ref="AA154" ca="1">IF($R154&lt;&gt;"",
INDIRECT(""&amp;IF(COLUMN(L174)&lt;=26,CHAR(COLUMN(L174)+64),CHAR(INT((COLUMN(L174)-1)/26)+64)&amp;CHAR(MOD(COLUMN(L174)-1,26)+65))&amp;$R154&amp;""),"")</f>
        <v/>
      </c>
      <c r="AB154" s="51" t="str">
        <f t="array" aca="1" ref="AB154" ca="1">IF($R154&lt;&gt;"",
INDIRECT(""&amp;IF(COLUMN(O174)&lt;=26,CHAR(COLUMN(O174)+64),CHAR(INT((COLUMN(O174)-1)/26)+64)&amp;CHAR(MOD(COLUMN(O174)-1,26)+65))&amp;$R154&amp;""),"")</f>
        <v/>
      </c>
    </row>
    <row r="155" spans="1:28" ht="22.2" customHeight="1">
      <c r="A155" s="204">
        <f t="shared" si="40"/>
        <v>35</v>
      </c>
      <c r="B155" s="203" t="e" cm="1">
        <f t="array" aca="1" ref="B155" ca="1">IF(AND(LEFT(C155,2)="博多",
LEFT(INDIRECT("数出表_Excel!A"&amp;MATCH(C155,数出表_Excel!$A:$A,0)-1),2)
=LEFT(INDIRECT("数出表_Excel!A"&amp;MATCH(C155,数出表_Excel!$A:$A,0)+1),2)),"博多",
IF(AND(LEFT(C155,3)="奈良屋",
LEFT(INDIRECT("数出表_Excel!A"&amp;MATCH(C155,数出表_Excel!$A:$A,0)-1),2)
=LEFT(INDIRECT("数出表_Excel!A"&amp;MATCH(C155,数出表_Excel!$A:$A,0)+1),2)),"奈良屋",""))</f>
        <v>#N/A</v>
      </c>
      <c r="C155" s="203" t="str" cm="1">
        <f t="array" aca="1" ref="C155" ca="1">IF(IF(クライアント抽出!A15="",0,LEN(クライアント抽出!V15)-LEN(SUBSTITUTE(クライアント抽出!V15,",","")))&gt;=3,INDIRECT("数出表_Excel!A"&amp;A155&amp;""),"")</f>
        <v/>
      </c>
      <c r="D155" s="203" t="str" cm="1">
        <f t="array" aca="1" ref="D155" ca="1">IF(C155&lt;&gt;"",INDIRECT("クライアント抽出!"&amp;E155&amp;MATCH(C155,クライアント抽出!A:A,0)&amp;""),"")</f>
        <v/>
      </c>
      <c r="E155" s="203" t="str">
        <f ca="1">IF(H155&lt;&gt;0,
IFERROR(
SUBSTITUTE(ADDRESS(1,
MATCH(VALUE(H155),クライアント抽出!A15:G15,0)+8,4),"1",""),
""),
IFERROR(
SUBSTITUTE(ADDRESS(1,
MATCH(VALUE(I155),クライアント抽出!A15:G15,0)+8,4),"1",""),
""))</f>
        <v/>
      </c>
      <c r="F155" s="206" t="str" cm="1">
        <f t="array" aca="1" ref="F155" ca="1">IF(D155&lt;&gt;"",
IF(COUNTIF(C155,"*雙葉*"),
IF(ROUND(
IF(O155&lt;&gt;"",(H155-O155),H155)
/IF(COUNTIF('盛付札（関数）'!D155,"*キャラ*"),
VLOOKUP("*キャラ*",#REF!,7,FALSE),
IF(COUNTIF('盛付札（関数）'!D155,"*赤*"),
VLOOKUP("*赤*",#REF!,7,FALSE),
VLOOKUP('盛付札（関数）'!D155,#REF!,7,FALSE))),0)&lt;=0,1,
ROUND(
IF(O155&lt;&gt;"",(H155-O155),H155)
/IF(COUNTIF('盛付札（関数）'!D155,"*キャラ*"),
VLOOKUP("*キャラ*",#REF!,7,FALSE),
IF(COUNTIF('盛付札（関数）'!D155,"*赤*"),
VLOOKUP("*赤*",#REF!,7,FALSE),
VLOOKUP('盛付札（関数）'!D155,#REF!,7,FALSE))),0)),
IF(MATCH(TRUE,
ISNUMBER(--INDIRECT("数出表_Excel!B"&amp;MATCH(C155,数出表_Excel!$A:$A,0)-1&amp;":U"&amp;MATCH(C155,数出表_Excel!$A:$A,0)-1&amp;"")),0)&gt;10,
IF(D155&lt;&gt;"",
IF(IF(COUNTIF('盛付札（関数）'!D155,"*キャラ*"),
VLOOKUP("*キャラ*",#REF!,7,FALSE),
IF(COUNTIF('盛付札（関数）'!D155,"*赤*"),
VLOOKUP("*赤*",#REF!,7,FALSE),
VLOOKUP('盛付札（関数）'!D155,#REF!,7,FALSE)))=0,"",
IF(ROUND(
IF(O155&lt;&gt;"",(H155-O155),H155)
/IF(COUNTIF('盛付札（関数）'!D155,"*キャラ*"),
VLOOKUP("*キャラ*",#REF!,7,FALSE),
IF(COUNTIF('盛付札（関数）'!D155,"*赤*"),
VLOOKUP("*赤*",#REF!,7,FALSE),
VLOOKUP('盛付札（関数）'!D155,#REF!,7,FALSE))),0)&lt;=0,1,
ROUND(
IF(O155&lt;&gt;"",(H155-O155),H155)
/IF(COUNTIF('盛付札（関数）'!D155,"*キャラ*"),
VLOOKUP("*キャラ*",#REF!,7,FALSE),
IF(COUNTIF('盛付札（関数）'!D155,"*赤*"),
VLOOKUP("*赤*",#REF!,7,FALSE),
VLOOKUP('盛付札（関数）'!D155,#REF!,7,FALSE))),0))),""),"")),"")</f>
        <v/>
      </c>
      <c r="G155" s="206" t="str">
        <f ca="1">IF(F155&lt;&gt;"",IF(VALUE(IF(O155&lt;&gt;"",H155-O155,H155))&gt;VALUE(IF(COUNTIF('盛付札（関数）'!D155,"*キャラ*"),
VLOOKUP("*キャラ*",#REF!,7,FALSE),
IF(COUNTIF('盛付札（関数）'!D155,"*赤*"),
VLOOKUP("*赤*",#REF!,7,FALSE),
VLOOKUP('盛付札（関数）'!D155,#REF!,7,FALSE)))*F155),
"+"&amp;IF(O155&lt;&gt;"",H155-O155,H155)-IF(COUNTIF('盛付札（関数）'!D155,"*キャラ*"),
VLOOKUP("*キャラ*",#REF!,7,FALSE),
IF(COUNTIF('盛付札（関数）'!D155,"*赤*"),
VLOOKUP("*赤*",#REF!,7,FALSE),
VLOOKUP('盛付札（関数）'!D155,#REF!,7,FALSE)))*F155,
IF(O155&lt;&gt;"",H155-O155,H155)-IF(COUNTIF('盛付札（関数）'!D155,"*キャラ*"),
VLOOKUP("*キャラ*",#REF!,7,FALSE),
IF(COUNTIF('盛付札（関数）'!D155,"*赤*"),
VLOOKUP("*赤*",#REF!,7,FALSE),
VLOOKUP('盛付札（関数）'!D155,#REF!,7,FALSE)))*F155),"")</f>
        <v/>
      </c>
      <c r="H155" s="205" t="str" cm="1">
        <f t="array" aca="1" ref="H155" ca="1">IF(C155&lt;&gt;"",
IF(INDIRECT("数出表_Excel!"&amp;RIGHT(SUBSTITUTE(クライアント抽出!V15,",",""),1)&amp;A155-1&amp;"")&lt;&gt;"",
INDIRECT("数出表_Excel!"&amp;RIGHT(SUBSTITUTE(クライアント抽出!V15,",",""),1)&amp;A155-1&amp;""),0),"")</f>
        <v/>
      </c>
      <c r="I155" s="203" t="str" cm="1">
        <f t="array" aca="1" ref="I155" ca="1">IF(C155&lt;&gt;"",
IF(INDIRECT("数出表_Excel!"&amp;RIGHT(SUBSTITUTE(クライアント抽出!V15,",",""),1)&amp;A155&amp;"")&lt;&gt;"",
INDIRECT("数出表_Excel!"&amp;RIGHT(SUBSTITUTE(クライアント抽出!V15,",",""),1)&amp;A155&amp;""),0),"")</f>
        <v/>
      </c>
      <c r="J155" s="203" t="str">
        <f ca="1">IF(C155&lt;&gt;"",
VLOOKUP(
IF(COUNTIF(D155,"*学食*"),"キャラ弁（学食）",
IF(COUNTIF(D155,"*赤*"),"赤",
IF(COUNTIF(D155,"*キャラ弁当*"),"キャラ弁当",D155))),注文弁当の抽出!$E$1:$F$15,2,FALSE),"")</f>
        <v/>
      </c>
      <c r="K155" s="203" t="str">
        <f t="shared" ca="1" si="41"/>
        <v/>
      </c>
      <c r="L155" s="203" t="str">
        <f t="shared" ca="1" si="42"/>
        <v/>
      </c>
      <c r="M155" s="203" cm="1">
        <f t="array" aca="1" ref="M155" ca="1">IF(C155&lt;&gt;"",
IF(IFERROR(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0)&lt;&gt;0,
IF(IFERROR(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"")="",
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""),
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0)),0),0)</f>
        <v>0</v>
      </c>
      <c r="N155" s="203" t="e">
        <f t="array" aca="1" ref="N155" ca="1">IF(B155="博多",
IF(C155&lt;&gt;"",
IF(IFERROR(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0)&lt;&gt;0,
IF(IFERROR(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0)="",
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0),
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0)),0),""),0)</f>
        <v>#N/A</v>
      </c>
      <c r="O155" s="203" t="e">
        <f t="shared" ca="1" si="43"/>
        <v>#N/A</v>
      </c>
      <c r="P155" s="203">
        <f t="shared" ca="1" si="4"/>
        <v>0</v>
      </c>
      <c r="Q155" s="203" t="b">
        <f t="shared" ca="1" si="44"/>
        <v>0</v>
      </c>
      <c r="R155" s="51" t="str" cm="1">
        <f t="array" aca="1" ref="R155" ca="1">IFERROR(SMALL(IF(P$1:P$300&lt;&gt;0,P$1:P$300),ROW(A155)),"")</f>
        <v/>
      </c>
      <c r="S155" s="51" t="str">
        <f t="array" aca="1" ref="S155" ca="1">IF($R155&lt;&gt;"",
INDIRECT(""&amp;IF(COLUMN(C175)&lt;=26,CHAR(COLUMN(C175)+64),CHAR(INT((COLUMN(C175)-1)/26)+64)&amp;CHAR(MOD(COLUMN(C175)-1,26)+65))&amp;$R155&amp;""),"")</f>
        <v/>
      </c>
      <c r="T155" s="51" t="str" cm="1">
        <f t="array" aca="1" ref="T155" ca="1">IF(IF($R155&lt;&gt;"",
INDIRECT(""&amp;IF(COLUMN(D175)&lt;=26,CHAR(COLUMN(D175)+64),CHAR(INT((COLUMN(D175)-1)/26)+64)&amp;CHAR(MOD(COLUMN(D175)-1,26)+65))&amp;$R155&amp;""),"")=0,"",
IF($R155&lt;&gt;"",
INDIRECT(""&amp;IF(COLUMN(D175)&lt;=26,CHAR(COLUMN(D175)+64),CHAR(INT((COLUMN(D175)-1)/26)+64)&amp;CHAR(MOD(COLUMN(D175)-1,26)+65))&amp;$R155&amp;""),""))</f>
        <v/>
      </c>
      <c r="U155" s="51"/>
      <c r="V155" s="51" t="str">
        <f t="array" aca="1" ref="V155" ca="1">IF($R155&lt;&gt;"",
IF(U155="",
IF(INDIRECT("EY"&amp;$R155&amp;"")&lt;&gt;"",
INDIRECT("EY"&amp;$R155&amp;"")&amp;"箱"
&amp;INDIRECT("EZ"&amp;$R155&amp;""),""),""),"")</f>
        <v/>
      </c>
      <c r="W155" s="51" t="str">
        <f t="array" aca="1" ref="W155" ca="1">IF($R155&lt;&gt;"",
INDIRECT(""&amp;IF(COLUMN(H175)&lt;=26,CHAR(COLUMN(H175)+64),CHAR(INT((COLUMN(H175)-1)/26)+64)&amp;CHAR(MOD(COLUMN(H175)-1,26)+65))&amp;$R155&amp;""),"")</f>
        <v/>
      </c>
      <c r="X155" s="51" t="str">
        <f t="array" aca="1" ref="X155" ca="1">IF($R155&lt;&gt;"",
INDIRECT(""&amp;IF(COLUMN(I175)&lt;=26,CHAR(COLUMN(I175)+64),CHAR(INT((COLUMN(I175)-1)/26)+64)&amp;CHAR(MOD(COLUMN(I175)-1,26)+65))&amp;$R155&amp;""),"")</f>
        <v/>
      </c>
      <c r="Y155" s="51" t="str">
        <f t="array" aca="1" ref="Y155" ca="1">IF($R155&lt;&gt;"",
INDIRECT(""&amp;IF(COLUMN(J175)&lt;=26,CHAR(COLUMN(J175)+64),CHAR(INT((COLUMN(J175)-1)/26)+64)&amp;CHAR(MOD(COLUMN(J175)-1,26)+65))&amp;$R155&amp;""),"")</f>
        <v/>
      </c>
      <c r="Z155" s="51" t="str">
        <f t="array" aca="1" ref="Z155" ca="1">IF($R155&lt;&gt;"",
INDIRECT(""&amp;IF(COLUMN(K175)&lt;=26,CHAR(COLUMN(K175)+64),CHAR(INT((COLUMN(K175)-1)/26)+64)&amp;CHAR(MOD(COLUMN(K175)-1,26)+65))&amp;$R155&amp;""),"")</f>
        <v/>
      </c>
      <c r="AA155" s="51" t="str">
        <f t="array" aca="1" ref="AA155" ca="1">IF($R155&lt;&gt;"",
INDIRECT(""&amp;IF(COLUMN(L175)&lt;=26,CHAR(COLUMN(L175)+64),CHAR(INT((COLUMN(L175)-1)/26)+64)&amp;CHAR(MOD(COLUMN(L175)-1,26)+65))&amp;$R155&amp;""),"")</f>
        <v/>
      </c>
      <c r="AB155" s="51" t="str">
        <f t="array" aca="1" ref="AB155" ca="1">IF($R155&lt;&gt;"",
INDIRECT(""&amp;IF(COLUMN(O175)&lt;=26,CHAR(COLUMN(O175)+64),CHAR(INT((COLUMN(O175)-1)/26)+64)&amp;CHAR(MOD(COLUMN(O175)-1,26)+65))&amp;$R155&amp;""),"")</f>
        <v/>
      </c>
    </row>
    <row r="156" spans="1:28" ht="22.2" customHeight="1">
      <c r="A156" s="204">
        <f t="shared" si="40"/>
        <v>37</v>
      </c>
      <c r="B156" s="203" t="e" cm="1">
        <f t="array" aca="1" ref="B156" ca="1">IF(AND(LEFT(C156,2)="博多",
LEFT(INDIRECT("数出表_Excel!A"&amp;MATCH(C156,数出表_Excel!$A:$A,0)-1),2)
=LEFT(INDIRECT("数出表_Excel!A"&amp;MATCH(C156,数出表_Excel!$A:$A,0)+1),2)),"博多",
IF(AND(LEFT(C156,3)="奈良屋",
LEFT(INDIRECT("数出表_Excel!A"&amp;MATCH(C156,数出表_Excel!$A:$A,0)-1),2)
=LEFT(INDIRECT("数出表_Excel!A"&amp;MATCH(C156,数出表_Excel!$A:$A,0)+1),2)),"奈良屋",""))</f>
        <v>#N/A</v>
      </c>
      <c r="C156" s="203" t="str" cm="1">
        <f t="array" aca="1" ref="C156" ca="1">IF(IF(クライアント抽出!A16="",0,LEN(クライアント抽出!V16)-LEN(SUBSTITUTE(クライアント抽出!V16,",","")))&gt;=3,INDIRECT("数出表_Excel!A"&amp;A156&amp;""),"")</f>
        <v/>
      </c>
      <c r="D156" s="203" t="str" cm="1">
        <f t="array" aca="1" ref="D156" ca="1">IF(C156&lt;&gt;"",INDIRECT("クライアント抽出!"&amp;E156&amp;MATCH(C156,クライアント抽出!A:A,0)&amp;""),"")</f>
        <v/>
      </c>
      <c r="E156" s="203" t="str">
        <f ca="1">IF(H156&lt;&gt;0,
IFERROR(
SUBSTITUTE(ADDRESS(1,
MATCH(VALUE(H156),クライアント抽出!A16:G16,0)+8,4),"1",""),
""),
IFERROR(
SUBSTITUTE(ADDRESS(1,
MATCH(VALUE(I156),クライアント抽出!A16:G16,0)+8,4),"1",""),
""))</f>
        <v/>
      </c>
      <c r="F156" s="206" t="str" cm="1">
        <f t="array" aca="1" ref="F156" ca="1">IF(D156&lt;&gt;"",
IF(COUNTIF(C156,"*雙葉*"),
IF(ROUND(
IF(O156&lt;&gt;"",(H156-O156),H156)
/IF(COUNTIF('盛付札（関数）'!D156,"*キャラ*"),
VLOOKUP("*キャラ*",#REF!,7,FALSE),
IF(COUNTIF('盛付札（関数）'!D156,"*赤*"),
VLOOKUP("*赤*",#REF!,7,FALSE),
VLOOKUP('盛付札（関数）'!D156,#REF!,7,FALSE))),0)&lt;=0,1,
ROUND(
IF(O156&lt;&gt;"",(H156-O156),H156)
/IF(COUNTIF('盛付札（関数）'!D156,"*キャラ*"),
VLOOKUP("*キャラ*",#REF!,7,FALSE),
IF(COUNTIF('盛付札（関数）'!D156,"*赤*"),
VLOOKUP("*赤*",#REF!,7,FALSE),
VLOOKUP('盛付札（関数）'!D156,#REF!,7,FALSE))),0)),
IF(MATCH(TRUE,
ISNUMBER(--INDIRECT("数出表_Excel!B"&amp;MATCH(C156,数出表_Excel!$A:$A,0)-1&amp;":U"&amp;MATCH(C156,数出表_Excel!$A:$A,0)-1&amp;"")),0)&gt;10,
IF(D156&lt;&gt;"",
IF(IF(COUNTIF('盛付札（関数）'!D156,"*キャラ*"),
VLOOKUP("*キャラ*",#REF!,7,FALSE),
IF(COUNTIF('盛付札（関数）'!D156,"*赤*"),
VLOOKUP("*赤*",#REF!,7,FALSE),
VLOOKUP('盛付札（関数）'!D156,#REF!,7,FALSE)))=0,"",
IF(ROUND(
IF(O156&lt;&gt;"",(H156-O156),H156)
/IF(COUNTIF('盛付札（関数）'!D156,"*キャラ*"),
VLOOKUP("*キャラ*",#REF!,7,FALSE),
IF(COUNTIF('盛付札（関数）'!D156,"*赤*"),
VLOOKUP("*赤*",#REF!,7,FALSE),
VLOOKUP('盛付札（関数）'!D156,#REF!,7,FALSE))),0)&lt;=0,1,
ROUND(
IF(O156&lt;&gt;"",(H156-O156),H156)
/IF(COUNTIF('盛付札（関数）'!D156,"*キャラ*"),
VLOOKUP("*キャラ*",#REF!,7,FALSE),
IF(COUNTIF('盛付札（関数）'!D156,"*赤*"),
VLOOKUP("*赤*",#REF!,7,FALSE),
VLOOKUP('盛付札（関数）'!D156,#REF!,7,FALSE))),0))),""),"")),"")</f>
        <v/>
      </c>
      <c r="G156" s="206" t="str">
        <f ca="1">IF(F156&lt;&gt;"",IF(VALUE(IF(O156&lt;&gt;"",H156-O156,H156))&gt;VALUE(IF(COUNTIF('盛付札（関数）'!D156,"*キャラ*"),
VLOOKUP("*キャラ*",#REF!,7,FALSE),
IF(COUNTIF('盛付札（関数）'!D156,"*赤*"),
VLOOKUP("*赤*",#REF!,7,FALSE),
VLOOKUP('盛付札（関数）'!D156,#REF!,7,FALSE)))*F156),
"+"&amp;IF(O156&lt;&gt;"",H156-O156,H156)-IF(COUNTIF('盛付札（関数）'!D156,"*キャラ*"),
VLOOKUP("*キャラ*",#REF!,7,FALSE),
IF(COUNTIF('盛付札（関数）'!D156,"*赤*"),
VLOOKUP("*赤*",#REF!,7,FALSE),
VLOOKUP('盛付札（関数）'!D156,#REF!,7,FALSE)))*F156,
IF(O156&lt;&gt;"",H156-O156,H156)-IF(COUNTIF('盛付札（関数）'!D156,"*キャラ*"),
VLOOKUP("*キャラ*",#REF!,7,FALSE),
IF(COUNTIF('盛付札（関数）'!D156,"*赤*"),
VLOOKUP("*赤*",#REF!,7,FALSE),
VLOOKUP('盛付札（関数）'!D156,#REF!,7,FALSE)))*F156),"")</f>
        <v/>
      </c>
      <c r="H156" s="205" t="str" cm="1">
        <f t="array" aca="1" ref="H156" ca="1">IF(C156&lt;&gt;"",
IF(INDIRECT("数出表_Excel!"&amp;RIGHT(SUBSTITUTE(クライアント抽出!V16,",",""),1)&amp;A156-1&amp;"")&lt;&gt;"",
INDIRECT("数出表_Excel!"&amp;RIGHT(SUBSTITUTE(クライアント抽出!V16,",",""),1)&amp;A156-1&amp;""),0),"")</f>
        <v/>
      </c>
      <c r="I156" s="203" t="str" cm="1">
        <f t="array" aca="1" ref="I156" ca="1">IF(C156&lt;&gt;"",
IF(INDIRECT("数出表_Excel!"&amp;RIGHT(SUBSTITUTE(クライアント抽出!V16,",",""),1)&amp;A156&amp;"")&lt;&gt;"",
INDIRECT("数出表_Excel!"&amp;RIGHT(SUBSTITUTE(クライアント抽出!V16,",",""),1)&amp;A156&amp;""),0),"")</f>
        <v/>
      </c>
      <c r="J156" s="203" t="str">
        <f ca="1">IF(C156&lt;&gt;"",
VLOOKUP(
IF(COUNTIF(D156,"*学食*"),"キャラ弁（学食）",
IF(COUNTIF(D156,"*赤*"),"赤",
IF(COUNTIF(D156,"*キャラ弁当*"),"キャラ弁当",D156))),注文弁当の抽出!$E$1:$F$15,2,FALSE),"")</f>
        <v/>
      </c>
      <c r="K156" s="203" t="str">
        <f t="shared" ca="1" si="41"/>
        <v/>
      </c>
      <c r="L156" s="203" t="str">
        <f t="shared" ca="1" si="42"/>
        <v/>
      </c>
      <c r="M156" s="203" cm="1">
        <f t="array" aca="1" ref="M156" ca="1">IF(C156&lt;&gt;"",
IF(IFERROR(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0)&lt;&gt;0,
IF(IFERROR(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"")="",
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""),
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0)),0),0)</f>
        <v>0</v>
      </c>
      <c r="N156" s="203" t="e">
        <f t="array" aca="1" ref="N156" ca="1">IF(B156="博多",
IF(C156&lt;&gt;"",
IF(IFERROR(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0)&lt;&gt;0,
IF(IFERROR(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0)="",
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0),
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0)),0),""),0)</f>
        <v>#N/A</v>
      </c>
      <c r="O156" s="203" t="e">
        <f t="shared" ca="1" si="43"/>
        <v>#N/A</v>
      </c>
      <c r="P156" s="203">
        <f t="shared" ca="1" si="4"/>
        <v>0</v>
      </c>
      <c r="Q156" s="203" t="b">
        <f t="shared" ca="1" si="44"/>
        <v>0</v>
      </c>
      <c r="R156" s="51" t="str" cm="1">
        <f t="array" aca="1" ref="R156" ca="1">IFERROR(SMALL(IF(P$1:P$300&lt;&gt;0,P$1:P$300),ROW(A156)),"")</f>
        <v/>
      </c>
      <c r="S156" s="51" t="str">
        <f t="array" aca="1" ref="S156" ca="1">IF($R156&lt;&gt;"",
INDIRECT(""&amp;IF(COLUMN(C176)&lt;=26,CHAR(COLUMN(C176)+64),CHAR(INT((COLUMN(C176)-1)/26)+64)&amp;CHAR(MOD(COLUMN(C176)-1,26)+65))&amp;$R156&amp;""),"")</f>
        <v/>
      </c>
      <c r="T156" s="51" t="str" cm="1">
        <f t="array" aca="1" ref="T156" ca="1">IF(IF($R156&lt;&gt;"",
INDIRECT(""&amp;IF(COLUMN(D176)&lt;=26,CHAR(COLUMN(D176)+64),CHAR(INT((COLUMN(D176)-1)/26)+64)&amp;CHAR(MOD(COLUMN(D176)-1,26)+65))&amp;$R156&amp;""),"")=0,"",
IF($R156&lt;&gt;"",
INDIRECT(""&amp;IF(COLUMN(D176)&lt;=26,CHAR(COLUMN(D176)+64),CHAR(INT((COLUMN(D176)-1)/26)+64)&amp;CHAR(MOD(COLUMN(D176)-1,26)+65))&amp;$R156&amp;""),""))</f>
        <v/>
      </c>
      <c r="U156" s="51"/>
      <c r="V156" s="51" t="str">
        <f t="array" aca="1" ref="V156" ca="1">IF($R156&lt;&gt;"",
IF(U156="",
IF(INDIRECT("EY"&amp;$R156&amp;"")&lt;&gt;"",
INDIRECT("EY"&amp;$R156&amp;"")&amp;"箱"
&amp;INDIRECT("EZ"&amp;$R156&amp;""),""),""),"")</f>
        <v/>
      </c>
      <c r="W156" s="51" t="str">
        <f t="array" aca="1" ref="W156" ca="1">IF($R156&lt;&gt;"",
INDIRECT(""&amp;IF(COLUMN(H176)&lt;=26,CHAR(COLUMN(H176)+64),CHAR(INT((COLUMN(H176)-1)/26)+64)&amp;CHAR(MOD(COLUMN(H176)-1,26)+65))&amp;$R156&amp;""),"")</f>
        <v/>
      </c>
      <c r="X156" s="51" t="str">
        <f t="array" aca="1" ref="X156" ca="1">IF($R156&lt;&gt;"",
INDIRECT(""&amp;IF(COLUMN(I176)&lt;=26,CHAR(COLUMN(I176)+64),CHAR(INT((COLUMN(I176)-1)/26)+64)&amp;CHAR(MOD(COLUMN(I176)-1,26)+65))&amp;$R156&amp;""),"")</f>
        <v/>
      </c>
      <c r="Y156" s="51" t="str">
        <f t="array" aca="1" ref="Y156" ca="1">IF($R156&lt;&gt;"",
INDIRECT(""&amp;IF(COLUMN(J176)&lt;=26,CHAR(COLUMN(J176)+64),CHAR(INT((COLUMN(J176)-1)/26)+64)&amp;CHAR(MOD(COLUMN(J176)-1,26)+65))&amp;$R156&amp;""),"")</f>
        <v/>
      </c>
      <c r="Z156" s="51" t="str">
        <f t="array" aca="1" ref="Z156" ca="1">IF($R156&lt;&gt;"",
INDIRECT(""&amp;IF(COLUMN(K176)&lt;=26,CHAR(COLUMN(K176)+64),CHAR(INT((COLUMN(K176)-1)/26)+64)&amp;CHAR(MOD(COLUMN(K176)-1,26)+65))&amp;$R156&amp;""),"")</f>
        <v/>
      </c>
      <c r="AA156" s="51" t="str">
        <f t="array" aca="1" ref="AA156" ca="1">IF($R156&lt;&gt;"",
INDIRECT(""&amp;IF(COLUMN(L176)&lt;=26,CHAR(COLUMN(L176)+64),CHAR(INT((COLUMN(L176)-1)/26)+64)&amp;CHAR(MOD(COLUMN(L176)-1,26)+65))&amp;$R156&amp;""),"")</f>
        <v/>
      </c>
      <c r="AB156" s="51" t="str">
        <f t="array" aca="1" ref="AB156" ca="1">IF($R156&lt;&gt;"",
INDIRECT(""&amp;IF(COLUMN(O176)&lt;=26,CHAR(COLUMN(O176)+64),CHAR(INT((COLUMN(O176)-1)/26)+64)&amp;CHAR(MOD(COLUMN(O176)-1,26)+65))&amp;$R156&amp;""),"")</f>
        <v/>
      </c>
    </row>
    <row r="157" spans="1:28" ht="22.2" customHeight="1">
      <c r="A157" s="204">
        <f t="shared" si="40"/>
        <v>39</v>
      </c>
      <c r="B157" s="203" t="e" cm="1">
        <f t="array" aca="1" ref="B157" ca="1">IF(AND(LEFT(C157,2)="博多",
LEFT(INDIRECT("数出表_Excel!A"&amp;MATCH(C157,数出表_Excel!$A:$A,0)-1),2)
=LEFT(INDIRECT("数出表_Excel!A"&amp;MATCH(C157,数出表_Excel!$A:$A,0)+1),2)),"博多",
IF(AND(LEFT(C157,3)="奈良屋",
LEFT(INDIRECT("数出表_Excel!A"&amp;MATCH(C157,数出表_Excel!$A:$A,0)-1),2)
=LEFT(INDIRECT("数出表_Excel!A"&amp;MATCH(C157,数出表_Excel!$A:$A,0)+1),2)),"奈良屋",""))</f>
        <v>#N/A</v>
      </c>
      <c r="C157" s="203" t="str" cm="1">
        <f t="array" aca="1" ref="C157" ca="1">IF(IF(クライアント抽出!A17="",0,LEN(クライアント抽出!V17)-LEN(SUBSTITUTE(クライアント抽出!V17,",","")))&gt;=3,INDIRECT("数出表_Excel!A"&amp;A157&amp;""),"")</f>
        <v/>
      </c>
      <c r="D157" s="203" t="str" cm="1">
        <f t="array" aca="1" ref="D157" ca="1">IF(C157&lt;&gt;"",INDIRECT("クライアント抽出!"&amp;E157&amp;MATCH(C157,クライアント抽出!A:A,0)&amp;""),"")</f>
        <v/>
      </c>
      <c r="E157" s="203" t="str">
        <f ca="1">IF(H157&lt;&gt;0,
IFERROR(
SUBSTITUTE(ADDRESS(1,
MATCH(VALUE(H157),クライアント抽出!A17:G17,0)+8,4),"1",""),
""),
IFERROR(
SUBSTITUTE(ADDRESS(1,
MATCH(VALUE(I157),クライアント抽出!A17:G17,0)+8,4),"1",""),
""))</f>
        <v/>
      </c>
      <c r="F157" s="206" t="str" cm="1">
        <f t="array" aca="1" ref="F157" ca="1">IF(D157&lt;&gt;"",
IF(COUNTIF(C157,"*雙葉*"),
IF(ROUND(
IF(O157&lt;&gt;"",(H157-O157),H157)
/IF(COUNTIF('盛付札（関数）'!D157,"*キャラ*"),
VLOOKUP("*キャラ*",#REF!,7,FALSE),
IF(COUNTIF('盛付札（関数）'!D157,"*赤*"),
VLOOKUP("*赤*",#REF!,7,FALSE),
VLOOKUP('盛付札（関数）'!D157,#REF!,7,FALSE))),0)&lt;=0,1,
ROUND(
IF(O157&lt;&gt;"",(H157-O157),H157)
/IF(COUNTIF('盛付札（関数）'!D157,"*キャラ*"),
VLOOKUP("*キャラ*",#REF!,7,FALSE),
IF(COUNTIF('盛付札（関数）'!D157,"*赤*"),
VLOOKUP("*赤*",#REF!,7,FALSE),
VLOOKUP('盛付札（関数）'!D157,#REF!,7,FALSE))),0)),
IF(MATCH(TRUE,
ISNUMBER(--INDIRECT("数出表_Excel!B"&amp;MATCH(C157,数出表_Excel!$A:$A,0)-1&amp;":U"&amp;MATCH(C157,数出表_Excel!$A:$A,0)-1&amp;"")),0)&gt;10,
IF(D157&lt;&gt;"",
IF(IF(COUNTIF('盛付札（関数）'!D157,"*キャラ*"),
VLOOKUP("*キャラ*",#REF!,7,FALSE),
IF(COUNTIF('盛付札（関数）'!D157,"*赤*"),
VLOOKUP("*赤*",#REF!,7,FALSE),
VLOOKUP('盛付札（関数）'!D157,#REF!,7,FALSE)))=0,"",
IF(ROUND(
IF(O157&lt;&gt;"",(H157-O157),H157)
/IF(COUNTIF('盛付札（関数）'!D157,"*キャラ*"),
VLOOKUP("*キャラ*",#REF!,7,FALSE),
IF(COUNTIF('盛付札（関数）'!D157,"*赤*"),
VLOOKUP("*赤*",#REF!,7,FALSE),
VLOOKUP('盛付札（関数）'!D157,#REF!,7,FALSE))),0)&lt;=0,1,
ROUND(
IF(O157&lt;&gt;"",(H157-O157),H157)
/IF(COUNTIF('盛付札（関数）'!D157,"*キャラ*"),
VLOOKUP("*キャラ*",#REF!,7,FALSE),
IF(COUNTIF('盛付札（関数）'!D157,"*赤*"),
VLOOKUP("*赤*",#REF!,7,FALSE),
VLOOKUP('盛付札（関数）'!D157,#REF!,7,FALSE))),0))),""),"")),"")</f>
        <v/>
      </c>
      <c r="G157" s="206" t="str">
        <f ca="1">IF(F157&lt;&gt;"",IF(VALUE(IF(O157&lt;&gt;"",H157-O157,H157))&gt;VALUE(IF(COUNTIF('盛付札（関数）'!D157,"*キャラ*"),
VLOOKUP("*キャラ*",#REF!,7,FALSE),
IF(COUNTIF('盛付札（関数）'!D157,"*赤*"),
VLOOKUP("*赤*",#REF!,7,FALSE),
VLOOKUP('盛付札（関数）'!D157,#REF!,7,FALSE)))*F157),
"+"&amp;IF(O157&lt;&gt;"",H157-O157,H157)-IF(COUNTIF('盛付札（関数）'!D157,"*キャラ*"),
VLOOKUP("*キャラ*",#REF!,7,FALSE),
IF(COUNTIF('盛付札（関数）'!D157,"*赤*"),
VLOOKUP("*赤*",#REF!,7,FALSE),
VLOOKUP('盛付札（関数）'!D157,#REF!,7,FALSE)))*F157,
IF(O157&lt;&gt;"",H157-O157,H157)-IF(COUNTIF('盛付札（関数）'!D157,"*キャラ*"),
VLOOKUP("*キャラ*",#REF!,7,FALSE),
IF(COUNTIF('盛付札（関数）'!D157,"*赤*"),
VLOOKUP("*赤*",#REF!,7,FALSE),
VLOOKUP('盛付札（関数）'!D157,#REF!,7,FALSE)))*F157),"")</f>
        <v/>
      </c>
      <c r="H157" s="205" t="str" cm="1">
        <f t="array" aca="1" ref="H157" ca="1">IF(C157&lt;&gt;"",
IF(INDIRECT("数出表_Excel!"&amp;RIGHT(SUBSTITUTE(クライアント抽出!V17,",",""),1)&amp;A157-1&amp;"")&lt;&gt;"",
INDIRECT("数出表_Excel!"&amp;RIGHT(SUBSTITUTE(クライアント抽出!V17,",",""),1)&amp;A157-1&amp;""),0),"")</f>
        <v/>
      </c>
      <c r="I157" s="203" t="str" cm="1">
        <f t="array" aca="1" ref="I157" ca="1">IF(C157&lt;&gt;"",
IF(INDIRECT("数出表_Excel!"&amp;RIGHT(SUBSTITUTE(クライアント抽出!V17,",",""),1)&amp;A157&amp;"")&lt;&gt;"",
INDIRECT("数出表_Excel!"&amp;RIGHT(SUBSTITUTE(クライアント抽出!V17,",",""),1)&amp;A157&amp;""),0),"")</f>
        <v/>
      </c>
      <c r="J157" s="203" t="str">
        <f ca="1">IF(C157&lt;&gt;"",
VLOOKUP(
IF(COUNTIF(D157,"*学食*"),"キャラ弁（学食）",
IF(COUNTIF(D157,"*赤*"),"赤",
IF(COUNTIF(D157,"*キャラ弁当*"),"キャラ弁当",D157))),注文弁当の抽出!$E$1:$F$15,2,FALSE),"")</f>
        <v/>
      </c>
      <c r="K157" s="203" t="str">
        <f t="shared" ca="1" si="41"/>
        <v/>
      </c>
      <c r="L157" s="203" t="str">
        <f t="shared" ca="1" si="42"/>
        <v/>
      </c>
      <c r="M157" s="203" cm="1">
        <f t="array" aca="1" ref="M157" ca="1">IF(C157&lt;&gt;"",
IF(IFERROR(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0)&lt;&gt;0,
IF(IFERROR(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"")="",
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""),
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0)),0),0)</f>
        <v>0</v>
      </c>
      <c r="N157" s="203" t="e">
        <f t="array" aca="1" ref="N157" ca="1">IF(B157="博多",
IF(C157&lt;&gt;"",
IF(IFERROR(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0)&lt;&gt;0,
IF(IFERROR(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0)="",
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0),
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0)),0),""),0)</f>
        <v>#N/A</v>
      </c>
      <c r="O157" s="203" t="e">
        <f t="shared" ca="1" si="43"/>
        <v>#N/A</v>
      </c>
      <c r="P157" s="203">
        <f t="shared" ca="1" si="4"/>
        <v>0</v>
      </c>
      <c r="Q157" s="203" t="b">
        <f t="shared" ca="1" si="44"/>
        <v>0</v>
      </c>
      <c r="R157" s="51" t="str" cm="1">
        <f t="array" aca="1" ref="R157" ca="1">IFERROR(SMALL(IF(P$1:P$300&lt;&gt;0,P$1:P$300),ROW(A157)),"")</f>
        <v/>
      </c>
      <c r="S157" s="51" t="str">
        <f t="array" aca="1" ref="S157" ca="1">IF($R157&lt;&gt;"",
INDIRECT(""&amp;IF(COLUMN(C177)&lt;=26,CHAR(COLUMN(C177)+64),CHAR(INT((COLUMN(C177)-1)/26)+64)&amp;CHAR(MOD(COLUMN(C177)-1,26)+65))&amp;$R157&amp;""),"")</f>
        <v/>
      </c>
      <c r="T157" s="51" t="str" cm="1">
        <f t="array" aca="1" ref="T157" ca="1">IF(IF($R157&lt;&gt;"",
INDIRECT(""&amp;IF(COLUMN(D177)&lt;=26,CHAR(COLUMN(D177)+64),CHAR(INT((COLUMN(D177)-1)/26)+64)&amp;CHAR(MOD(COLUMN(D177)-1,26)+65))&amp;$R157&amp;""),"")=0,"",
IF($R157&lt;&gt;"",
INDIRECT(""&amp;IF(COLUMN(D177)&lt;=26,CHAR(COLUMN(D177)+64),CHAR(INT((COLUMN(D177)-1)/26)+64)&amp;CHAR(MOD(COLUMN(D177)-1,26)+65))&amp;$R157&amp;""),""))</f>
        <v/>
      </c>
      <c r="U157" s="51"/>
      <c r="V157" s="51" t="str">
        <f t="array" aca="1" ref="V157" ca="1">IF($R157&lt;&gt;"",
IF(U157="",
IF(INDIRECT("EY"&amp;$R157&amp;"")&lt;&gt;"",
INDIRECT("EY"&amp;$R157&amp;"")&amp;"箱"
&amp;INDIRECT("EZ"&amp;$R157&amp;""),""),""),"")</f>
        <v/>
      </c>
      <c r="W157" s="51" t="str">
        <f t="array" aca="1" ref="W157" ca="1">IF($R157&lt;&gt;"",
INDIRECT(""&amp;IF(COLUMN(H177)&lt;=26,CHAR(COLUMN(H177)+64),CHAR(INT((COLUMN(H177)-1)/26)+64)&amp;CHAR(MOD(COLUMN(H177)-1,26)+65))&amp;$R157&amp;""),"")</f>
        <v/>
      </c>
      <c r="X157" s="51" t="str">
        <f t="array" aca="1" ref="X157" ca="1">IF($R157&lt;&gt;"",
INDIRECT(""&amp;IF(COLUMN(I177)&lt;=26,CHAR(COLUMN(I177)+64),CHAR(INT((COLUMN(I177)-1)/26)+64)&amp;CHAR(MOD(COLUMN(I177)-1,26)+65))&amp;$R157&amp;""),"")</f>
        <v/>
      </c>
      <c r="Y157" s="51" t="str">
        <f t="array" aca="1" ref="Y157" ca="1">IF($R157&lt;&gt;"",
INDIRECT(""&amp;IF(COLUMN(J177)&lt;=26,CHAR(COLUMN(J177)+64),CHAR(INT((COLUMN(J177)-1)/26)+64)&amp;CHAR(MOD(COLUMN(J177)-1,26)+65))&amp;$R157&amp;""),"")</f>
        <v/>
      </c>
      <c r="Z157" s="51" t="str">
        <f t="array" aca="1" ref="Z157" ca="1">IF($R157&lt;&gt;"",
INDIRECT(""&amp;IF(COLUMN(K177)&lt;=26,CHAR(COLUMN(K177)+64),CHAR(INT((COLUMN(K177)-1)/26)+64)&amp;CHAR(MOD(COLUMN(K177)-1,26)+65))&amp;$R157&amp;""),"")</f>
        <v/>
      </c>
      <c r="AA157" s="51" t="str">
        <f t="array" aca="1" ref="AA157" ca="1">IF($R157&lt;&gt;"",
INDIRECT(""&amp;IF(COLUMN(L177)&lt;=26,CHAR(COLUMN(L177)+64),CHAR(INT((COLUMN(L177)-1)/26)+64)&amp;CHAR(MOD(COLUMN(L177)-1,26)+65))&amp;$R157&amp;""),"")</f>
        <v/>
      </c>
      <c r="AB157" s="51" t="str">
        <f t="array" aca="1" ref="AB157" ca="1">IF($R157&lt;&gt;"",
INDIRECT(""&amp;IF(COLUMN(O177)&lt;=26,CHAR(COLUMN(O177)+64),CHAR(INT((COLUMN(O177)-1)/26)+64)&amp;CHAR(MOD(COLUMN(O177)-1,26)+65))&amp;$R157&amp;""),"")</f>
        <v/>
      </c>
    </row>
    <row r="158" spans="1:28" ht="22.2" customHeight="1">
      <c r="A158" s="204">
        <f t="shared" si="40"/>
        <v>41</v>
      </c>
      <c r="B158" s="203" t="e" cm="1">
        <f t="array" aca="1" ref="B158" ca="1">IF(AND(LEFT(C158,2)="博多",
LEFT(INDIRECT("数出表_Excel!A"&amp;MATCH(C158,数出表_Excel!$A:$A,0)-1),2)
=LEFT(INDIRECT("数出表_Excel!A"&amp;MATCH(C158,数出表_Excel!$A:$A,0)+1),2)),"博多",
IF(AND(LEFT(C158,3)="奈良屋",
LEFT(INDIRECT("数出表_Excel!A"&amp;MATCH(C158,数出表_Excel!$A:$A,0)-1),2)
=LEFT(INDIRECT("数出表_Excel!A"&amp;MATCH(C158,数出表_Excel!$A:$A,0)+1),2)),"奈良屋",""))</f>
        <v>#N/A</v>
      </c>
      <c r="C158" s="203" t="str" cm="1">
        <f t="array" aca="1" ref="C158" ca="1">IF(IF(クライアント抽出!A18="",0,LEN(クライアント抽出!V18)-LEN(SUBSTITUTE(クライアント抽出!V18,",","")))&gt;=3,INDIRECT("数出表_Excel!A"&amp;A158&amp;""),"")</f>
        <v/>
      </c>
      <c r="D158" s="203" t="str" cm="1">
        <f t="array" aca="1" ref="D158" ca="1">IF(C158&lt;&gt;"",INDIRECT("クライアント抽出!"&amp;E158&amp;MATCH(C158,クライアント抽出!A:A,0)&amp;""),"")</f>
        <v/>
      </c>
      <c r="E158" s="203" t="str">
        <f ca="1">IF(H158&lt;&gt;0,
IFERROR(
SUBSTITUTE(ADDRESS(1,
MATCH(VALUE(H158),クライアント抽出!A18:G18,0)+8,4),"1",""),
""),
IFERROR(
SUBSTITUTE(ADDRESS(1,
MATCH(VALUE(I158),クライアント抽出!A18:G18,0)+8,4),"1",""),
""))</f>
        <v/>
      </c>
      <c r="F158" s="206" t="str" cm="1">
        <f t="array" aca="1" ref="F158" ca="1">IF(D158&lt;&gt;"",
IF(COUNTIF(C158,"*雙葉*"),
IF(ROUND(
IF(O158&lt;&gt;"",(H158-O158),H158)
/IF(COUNTIF('盛付札（関数）'!D158,"*キャラ*"),
VLOOKUP("*キャラ*",#REF!,7,FALSE),
IF(COUNTIF('盛付札（関数）'!D158,"*赤*"),
VLOOKUP("*赤*",#REF!,7,FALSE),
VLOOKUP('盛付札（関数）'!D158,#REF!,7,FALSE))),0)&lt;=0,1,
ROUND(
IF(O158&lt;&gt;"",(H158-O158),H158)
/IF(COUNTIF('盛付札（関数）'!D158,"*キャラ*"),
VLOOKUP("*キャラ*",#REF!,7,FALSE),
IF(COUNTIF('盛付札（関数）'!D158,"*赤*"),
VLOOKUP("*赤*",#REF!,7,FALSE),
VLOOKUP('盛付札（関数）'!D158,#REF!,7,FALSE))),0)),
IF(MATCH(TRUE,
ISNUMBER(--INDIRECT("数出表_Excel!B"&amp;MATCH(C158,数出表_Excel!$A:$A,0)-1&amp;":U"&amp;MATCH(C158,数出表_Excel!$A:$A,0)-1&amp;"")),0)&gt;10,
IF(D158&lt;&gt;"",
IF(IF(COUNTIF('盛付札（関数）'!D158,"*キャラ*"),
VLOOKUP("*キャラ*",#REF!,7,FALSE),
IF(COUNTIF('盛付札（関数）'!D158,"*赤*"),
VLOOKUP("*赤*",#REF!,7,FALSE),
VLOOKUP('盛付札（関数）'!D158,#REF!,7,FALSE)))=0,"",
IF(ROUND(
IF(O158&lt;&gt;"",(H158-O158),H158)
/IF(COUNTIF('盛付札（関数）'!D158,"*キャラ*"),
VLOOKUP("*キャラ*",#REF!,7,FALSE),
IF(COUNTIF('盛付札（関数）'!D158,"*赤*"),
VLOOKUP("*赤*",#REF!,7,FALSE),
VLOOKUP('盛付札（関数）'!D158,#REF!,7,FALSE))),0)&lt;=0,1,
ROUND(
IF(O158&lt;&gt;"",(H158-O158),H158)
/IF(COUNTIF('盛付札（関数）'!D158,"*キャラ*"),
VLOOKUP("*キャラ*",#REF!,7,FALSE),
IF(COUNTIF('盛付札（関数）'!D158,"*赤*"),
VLOOKUP("*赤*",#REF!,7,FALSE),
VLOOKUP('盛付札（関数）'!D158,#REF!,7,FALSE))),0))),""),"")),"")</f>
        <v/>
      </c>
      <c r="G158" s="206" t="str">
        <f ca="1">IF(F158&lt;&gt;"",IF(VALUE(IF(O158&lt;&gt;"",H158-O158,H158))&gt;VALUE(IF(COUNTIF('盛付札（関数）'!D158,"*キャラ*"),
VLOOKUP("*キャラ*",#REF!,7,FALSE),
IF(COUNTIF('盛付札（関数）'!D158,"*赤*"),
VLOOKUP("*赤*",#REF!,7,FALSE),
VLOOKUP('盛付札（関数）'!D158,#REF!,7,FALSE)))*F158),
"+"&amp;IF(O158&lt;&gt;"",H158-O158,H158)-IF(COUNTIF('盛付札（関数）'!D158,"*キャラ*"),
VLOOKUP("*キャラ*",#REF!,7,FALSE),
IF(COUNTIF('盛付札（関数）'!D158,"*赤*"),
VLOOKUP("*赤*",#REF!,7,FALSE),
VLOOKUP('盛付札（関数）'!D158,#REF!,7,FALSE)))*F158,
IF(O158&lt;&gt;"",H158-O158,H158)-IF(COUNTIF('盛付札（関数）'!D158,"*キャラ*"),
VLOOKUP("*キャラ*",#REF!,7,FALSE),
IF(COUNTIF('盛付札（関数）'!D158,"*赤*"),
VLOOKUP("*赤*",#REF!,7,FALSE),
VLOOKUP('盛付札（関数）'!D158,#REF!,7,FALSE)))*F158),"")</f>
        <v/>
      </c>
      <c r="H158" s="205" t="str" cm="1">
        <f t="array" aca="1" ref="H158" ca="1">IF(C158&lt;&gt;"",
IF(INDIRECT("数出表_Excel!"&amp;RIGHT(SUBSTITUTE(クライアント抽出!V18,",",""),1)&amp;A158-1&amp;"")&lt;&gt;"",
INDIRECT("数出表_Excel!"&amp;RIGHT(SUBSTITUTE(クライアント抽出!V18,",",""),1)&amp;A158-1&amp;""),0),"")</f>
        <v/>
      </c>
      <c r="I158" s="203" t="str" cm="1">
        <f t="array" aca="1" ref="I158" ca="1">IF(C158&lt;&gt;"",
IF(INDIRECT("数出表_Excel!"&amp;RIGHT(SUBSTITUTE(クライアント抽出!V18,",",""),1)&amp;A158&amp;"")&lt;&gt;"",
INDIRECT("数出表_Excel!"&amp;RIGHT(SUBSTITUTE(クライアント抽出!V18,",",""),1)&amp;A158&amp;""),0),"")</f>
        <v/>
      </c>
      <c r="J158" s="203" t="str">
        <f ca="1">IF(C158&lt;&gt;"",
VLOOKUP(
IF(COUNTIF(D158,"*学食*"),"キャラ弁（学食）",
IF(COUNTIF(D158,"*赤*"),"赤",
IF(COUNTIF(D158,"*キャラ弁当*"),"キャラ弁当",D158))),注文弁当の抽出!$E$1:$F$15,2,FALSE),"")</f>
        <v/>
      </c>
      <c r="K158" s="203" t="str">
        <f t="shared" ca="1" si="41"/>
        <v/>
      </c>
      <c r="L158" s="203" t="str">
        <f t="shared" ca="1" si="42"/>
        <v/>
      </c>
      <c r="M158" s="203" cm="1">
        <f t="array" aca="1" ref="M158" ca="1">IF(C158&lt;&gt;"",
IF(IFERROR(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0)&lt;&gt;0,
IF(IFERROR(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"")="",
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""),
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0)),0),0)</f>
        <v>0</v>
      </c>
      <c r="N158" s="203" t="e">
        <f t="array" aca="1" ref="N158" ca="1">IF(B158="博多",
IF(C158&lt;&gt;"",
IF(IFERROR(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0)&lt;&gt;0,
IF(IFERROR(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0)="",
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0),
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0)),0),""),0)</f>
        <v>#N/A</v>
      </c>
      <c r="O158" s="203" t="e">
        <f t="shared" ca="1" si="43"/>
        <v>#N/A</v>
      </c>
      <c r="P158" s="203">
        <f t="shared" ca="1" si="4"/>
        <v>0</v>
      </c>
      <c r="Q158" s="203" t="b">
        <f t="shared" ca="1" si="44"/>
        <v>0</v>
      </c>
      <c r="R158" s="51" t="str" cm="1">
        <f t="array" aca="1" ref="R158" ca="1">IFERROR(SMALL(IF(P$1:P$300&lt;&gt;0,P$1:P$300),ROW(A158)),"")</f>
        <v/>
      </c>
      <c r="S158" s="51" t="str">
        <f t="array" aca="1" ref="S158" ca="1">IF($R158&lt;&gt;"",
INDIRECT(""&amp;IF(COLUMN(C178)&lt;=26,CHAR(COLUMN(C178)+64),CHAR(INT((COLUMN(C178)-1)/26)+64)&amp;CHAR(MOD(COLUMN(C178)-1,26)+65))&amp;$R158&amp;""),"")</f>
        <v/>
      </c>
      <c r="T158" s="51" t="str" cm="1">
        <f t="array" aca="1" ref="T158" ca="1">IF(IF($R158&lt;&gt;"",
INDIRECT(""&amp;IF(COLUMN(D178)&lt;=26,CHAR(COLUMN(D178)+64),CHAR(INT((COLUMN(D178)-1)/26)+64)&amp;CHAR(MOD(COLUMN(D178)-1,26)+65))&amp;$R158&amp;""),"")=0,"",
IF($R158&lt;&gt;"",
INDIRECT(""&amp;IF(COLUMN(D178)&lt;=26,CHAR(COLUMN(D178)+64),CHAR(INT((COLUMN(D178)-1)/26)+64)&amp;CHAR(MOD(COLUMN(D178)-1,26)+65))&amp;$R158&amp;""),""))</f>
        <v/>
      </c>
      <c r="U158" s="51"/>
      <c r="V158" s="51" t="str">
        <f t="array" aca="1" ref="V158" ca="1">IF($R158&lt;&gt;"",
IF(U158="",
IF(INDIRECT("EY"&amp;$R158&amp;"")&lt;&gt;"",
INDIRECT("EY"&amp;$R158&amp;"")&amp;"箱"
&amp;INDIRECT("EZ"&amp;$R158&amp;""),""),""),"")</f>
        <v/>
      </c>
      <c r="W158" s="51" t="str">
        <f t="array" aca="1" ref="W158" ca="1">IF($R158&lt;&gt;"",
INDIRECT(""&amp;IF(COLUMN(H178)&lt;=26,CHAR(COLUMN(H178)+64),CHAR(INT((COLUMN(H178)-1)/26)+64)&amp;CHAR(MOD(COLUMN(H178)-1,26)+65))&amp;$R158&amp;""),"")</f>
        <v/>
      </c>
      <c r="X158" s="51" t="str">
        <f t="array" aca="1" ref="X158" ca="1">IF($R158&lt;&gt;"",
INDIRECT(""&amp;IF(COLUMN(I178)&lt;=26,CHAR(COLUMN(I178)+64),CHAR(INT((COLUMN(I178)-1)/26)+64)&amp;CHAR(MOD(COLUMN(I178)-1,26)+65))&amp;$R158&amp;""),"")</f>
        <v/>
      </c>
      <c r="Y158" s="51" t="str">
        <f t="array" aca="1" ref="Y158" ca="1">IF($R158&lt;&gt;"",
INDIRECT(""&amp;IF(COLUMN(J178)&lt;=26,CHAR(COLUMN(J178)+64),CHAR(INT((COLUMN(J178)-1)/26)+64)&amp;CHAR(MOD(COLUMN(J178)-1,26)+65))&amp;$R158&amp;""),"")</f>
        <v/>
      </c>
      <c r="Z158" s="51" t="str">
        <f t="array" aca="1" ref="Z158" ca="1">IF($R158&lt;&gt;"",
INDIRECT(""&amp;IF(COLUMN(K178)&lt;=26,CHAR(COLUMN(K178)+64),CHAR(INT((COLUMN(K178)-1)/26)+64)&amp;CHAR(MOD(COLUMN(K178)-1,26)+65))&amp;$R158&amp;""),"")</f>
        <v/>
      </c>
      <c r="AA158" s="51" t="str">
        <f t="array" aca="1" ref="AA158" ca="1">IF($R158&lt;&gt;"",
INDIRECT(""&amp;IF(COLUMN(L178)&lt;=26,CHAR(COLUMN(L178)+64),CHAR(INT((COLUMN(L178)-1)/26)+64)&amp;CHAR(MOD(COLUMN(L178)-1,26)+65))&amp;$R158&amp;""),"")</f>
        <v/>
      </c>
      <c r="AB158" s="51" t="str">
        <f t="array" aca="1" ref="AB158" ca="1">IF($R158&lt;&gt;"",
INDIRECT(""&amp;IF(COLUMN(O178)&lt;=26,CHAR(COLUMN(O178)+64),CHAR(INT((COLUMN(O178)-1)/26)+64)&amp;CHAR(MOD(COLUMN(O178)-1,26)+65))&amp;$R158&amp;""),"")</f>
        <v/>
      </c>
    </row>
    <row r="159" spans="1:28" ht="22.2" customHeight="1">
      <c r="A159" s="204">
        <f t="shared" si="40"/>
        <v>43</v>
      </c>
      <c r="B159" s="203" t="e" cm="1">
        <f t="array" aca="1" ref="B159" ca="1">IF(AND(LEFT(C159,2)="博多",
LEFT(INDIRECT("数出表_Excel!A"&amp;MATCH(C159,数出表_Excel!$A:$A,0)-1),2)
=LEFT(INDIRECT("数出表_Excel!A"&amp;MATCH(C159,数出表_Excel!$A:$A,0)+1),2)),"博多",
IF(AND(LEFT(C159,3)="奈良屋",
LEFT(INDIRECT("数出表_Excel!A"&amp;MATCH(C159,数出表_Excel!$A:$A,0)-1),2)
=LEFT(INDIRECT("数出表_Excel!A"&amp;MATCH(C159,数出表_Excel!$A:$A,0)+1),2)),"奈良屋",""))</f>
        <v>#N/A</v>
      </c>
      <c r="C159" s="203" t="str" cm="1">
        <f t="array" aca="1" ref="C159" ca="1">IF(IF(クライアント抽出!A19="",0,LEN(クライアント抽出!V19)-LEN(SUBSTITUTE(クライアント抽出!V19,",","")))&gt;=3,INDIRECT("数出表_Excel!A"&amp;A159&amp;""),"")</f>
        <v/>
      </c>
      <c r="D159" s="203" t="str" cm="1">
        <f t="array" aca="1" ref="D159" ca="1">IF(C159&lt;&gt;"",INDIRECT("クライアント抽出!"&amp;E159&amp;MATCH(C159,クライアント抽出!A:A,0)&amp;""),"")</f>
        <v/>
      </c>
      <c r="E159" s="203" t="str">
        <f ca="1">IF(H159&lt;&gt;0,
IFERROR(
SUBSTITUTE(ADDRESS(1,
MATCH(VALUE(H159),クライアント抽出!A19:G19,0)+8,4),"1",""),
""),
IFERROR(
SUBSTITUTE(ADDRESS(1,
MATCH(VALUE(I159),クライアント抽出!A19:G19,0)+8,4),"1",""),
""))</f>
        <v/>
      </c>
      <c r="F159" s="206" t="str" cm="1">
        <f t="array" aca="1" ref="F159" ca="1">IF(D159&lt;&gt;"",
IF(COUNTIF(C159,"*雙葉*"),
IF(ROUND(
IF(O159&lt;&gt;"",(H159-O159),H159)
/IF(COUNTIF('盛付札（関数）'!D159,"*キャラ*"),
VLOOKUP("*キャラ*",#REF!,7,FALSE),
IF(COUNTIF('盛付札（関数）'!D159,"*赤*"),
VLOOKUP("*赤*",#REF!,7,FALSE),
VLOOKUP('盛付札（関数）'!D159,#REF!,7,FALSE))),0)&lt;=0,1,
ROUND(
IF(O159&lt;&gt;"",(H159-O159),H159)
/IF(COUNTIF('盛付札（関数）'!D159,"*キャラ*"),
VLOOKUP("*キャラ*",#REF!,7,FALSE),
IF(COUNTIF('盛付札（関数）'!D159,"*赤*"),
VLOOKUP("*赤*",#REF!,7,FALSE),
VLOOKUP('盛付札（関数）'!D159,#REF!,7,FALSE))),0)),
IF(MATCH(TRUE,
ISNUMBER(--INDIRECT("数出表_Excel!B"&amp;MATCH(C159,数出表_Excel!$A:$A,0)-1&amp;":U"&amp;MATCH(C159,数出表_Excel!$A:$A,0)-1&amp;"")),0)&gt;10,
IF(D159&lt;&gt;"",
IF(IF(COUNTIF('盛付札（関数）'!D159,"*キャラ*"),
VLOOKUP("*キャラ*",#REF!,7,FALSE),
IF(COUNTIF('盛付札（関数）'!D159,"*赤*"),
VLOOKUP("*赤*",#REF!,7,FALSE),
VLOOKUP('盛付札（関数）'!D159,#REF!,7,FALSE)))=0,"",
IF(ROUND(
IF(O159&lt;&gt;"",(H159-O159),H159)
/IF(COUNTIF('盛付札（関数）'!D159,"*キャラ*"),
VLOOKUP("*キャラ*",#REF!,7,FALSE),
IF(COUNTIF('盛付札（関数）'!D159,"*赤*"),
VLOOKUP("*赤*",#REF!,7,FALSE),
VLOOKUP('盛付札（関数）'!D159,#REF!,7,FALSE))),0)&lt;=0,1,
ROUND(
IF(O159&lt;&gt;"",(H159-O159),H159)
/IF(COUNTIF('盛付札（関数）'!D159,"*キャラ*"),
VLOOKUP("*キャラ*",#REF!,7,FALSE),
IF(COUNTIF('盛付札（関数）'!D159,"*赤*"),
VLOOKUP("*赤*",#REF!,7,FALSE),
VLOOKUP('盛付札（関数）'!D159,#REF!,7,FALSE))),0))),""),"")),"")</f>
        <v/>
      </c>
      <c r="G159" s="206" t="str">
        <f ca="1">IF(F159&lt;&gt;"",IF(VALUE(IF(O159&lt;&gt;"",H159-O159,H159))&gt;VALUE(IF(COUNTIF('盛付札（関数）'!D159,"*キャラ*"),
VLOOKUP("*キャラ*",#REF!,7,FALSE),
IF(COUNTIF('盛付札（関数）'!D159,"*赤*"),
VLOOKUP("*赤*",#REF!,7,FALSE),
VLOOKUP('盛付札（関数）'!D159,#REF!,7,FALSE)))*F159),
"+"&amp;IF(O159&lt;&gt;"",H159-O159,H159)-IF(COUNTIF('盛付札（関数）'!D159,"*キャラ*"),
VLOOKUP("*キャラ*",#REF!,7,FALSE),
IF(COUNTIF('盛付札（関数）'!D159,"*赤*"),
VLOOKUP("*赤*",#REF!,7,FALSE),
VLOOKUP('盛付札（関数）'!D159,#REF!,7,FALSE)))*F159,
IF(O159&lt;&gt;"",H159-O159,H159)-IF(COUNTIF('盛付札（関数）'!D159,"*キャラ*"),
VLOOKUP("*キャラ*",#REF!,7,FALSE),
IF(COUNTIF('盛付札（関数）'!D159,"*赤*"),
VLOOKUP("*赤*",#REF!,7,FALSE),
VLOOKUP('盛付札（関数）'!D159,#REF!,7,FALSE)))*F159),"")</f>
        <v/>
      </c>
      <c r="H159" s="205" t="str" cm="1">
        <f t="array" aca="1" ref="H159" ca="1">IF(C159&lt;&gt;"",
IF(INDIRECT("数出表_Excel!"&amp;RIGHT(SUBSTITUTE(クライアント抽出!V19,",",""),1)&amp;A159-1&amp;"")&lt;&gt;"",
INDIRECT("数出表_Excel!"&amp;RIGHT(SUBSTITUTE(クライアント抽出!V19,",",""),1)&amp;A159-1&amp;""),0),"")</f>
        <v/>
      </c>
      <c r="I159" s="203" t="str" cm="1">
        <f t="array" aca="1" ref="I159" ca="1">IF(C159&lt;&gt;"",
IF(INDIRECT("数出表_Excel!"&amp;RIGHT(SUBSTITUTE(クライアント抽出!V19,",",""),1)&amp;A159&amp;"")&lt;&gt;"",
INDIRECT("数出表_Excel!"&amp;RIGHT(SUBSTITUTE(クライアント抽出!V19,",",""),1)&amp;A159&amp;""),0),"")</f>
        <v/>
      </c>
      <c r="J159" s="203" t="str">
        <f ca="1">IF(C159&lt;&gt;"",
VLOOKUP(
IF(COUNTIF(D159,"*学食*"),"キャラ弁（学食）",
IF(COUNTIF(D159,"*赤*"),"赤",
IF(COUNTIF(D159,"*キャラ弁当*"),"キャラ弁当",D159))),注文弁当の抽出!$E$1:$F$15,2,FALSE),"")</f>
        <v/>
      </c>
      <c r="K159" s="203" t="str">
        <f t="shared" ca="1" si="41"/>
        <v/>
      </c>
      <c r="L159" s="203" t="str">
        <f t="shared" ca="1" si="42"/>
        <v/>
      </c>
      <c r="M159" s="203" cm="1">
        <f t="array" aca="1" ref="M159" ca="1">IF(C159&lt;&gt;"",
IF(IFERROR(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0)&lt;&gt;0,
IF(IFERROR(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"")="",
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""),
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0)),0),0)</f>
        <v>0</v>
      </c>
      <c r="N159" s="203" t="e">
        <f t="array" aca="1" ref="N159" ca="1">IF(B159="博多",
IF(C159&lt;&gt;"",
IF(IFERROR(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0)&lt;&gt;0,
IF(IFERROR(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0)="",
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0),
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0)),0),""),0)</f>
        <v>#N/A</v>
      </c>
      <c r="O159" s="203" t="e">
        <f t="shared" ca="1" si="43"/>
        <v>#N/A</v>
      </c>
      <c r="P159" s="203">
        <f t="shared" ca="1" si="4"/>
        <v>0</v>
      </c>
      <c r="Q159" s="203" t="b">
        <f t="shared" ca="1" si="44"/>
        <v>0</v>
      </c>
      <c r="R159" s="51" t="str" cm="1">
        <f t="array" aca="1" ref="R159" ca="1">IFERROR(SMALL(IF(P$1:P$300&lt;&gt;0,P$1:P$300),ROW(A159)),"")</f>
        <v/>
      </c>
      <c r="S159" s="51" t="str">
        <f t="array" aca="1" ref="S159" ca="1">IF($R159&lt;&gt;"",
INDIRECT(""&amp;IF(COLUMN(C179)&lt;=26,CHAR(COLUMN(C179)+64),CHAR(INT((COLUMN(C179)-1)/26)+64)&amp;CHAR(MOD(COLUMN(C179)-1,26)+65))&amp;$R159&amp;""),"")</f>
        <v/>
      </c>
      <c r="T159" s="51" t="str" cm="1">
        <f t="array" aca="1" ref="T159" ca="1">IF(IF($R159&lt;&gt;"",
INDIRECT(""&amp;IF(COLUMN(D179)&lt;=26,CHAR(COLUMN(D179)+64),CHAR(INT((COLUMN(D179)-1)/26)+64)&amp;CHAR(MOD(COLUMN(D179)-1,26)+65))&amp;$R159&amp;""),"")=0,"",
IF($R159&lt;&gt;"",
INDIRECT(""&amp;IF(COLUMN(D179)&lt;=26,CHAR(COLUMN(D179)+64),CHAR(INT((COLUMN(D179)-1)/26)+64)&amp;CHAR(MOD(COLUMN(D179)-1,26)+65))&amp;$R159&amp;""),""))</f>
        <v/>
      </c>
      <c r="U159" s="51"/>
      <c r="V159" s="51" t="str">
        <f t="array" aca="1" ref="V159" ca="1">IF($R159&lt;&gt;"",
IF(U159="",
IF(INDIRECT("EY"&amp;$R159&amp;"")&lt;&gt;"",
INDIRECT("EY"&amp;$R159&amp;"")&amp;"箱"
&amp;INDIRECT("EZ"&amp;$R159&amp;""),""),""),"")</f>
        <v/>
      </c>
      <c r="W159" s="51" t="str">
        <f t="array" aca="1" ref="W159" ca="1">IF($R159&lt;&gt;"",
INDIRECT(""&amp;IF(COLUMN(H179)&lt;=26,CHAR(COLUMN(H179)+64),CHAR(INT((COLUMN(H179)-1)/26)+64)&amp;CHAR(MOD(COLUMN(H179)-1,26)+65))&amp;$R159&amp;""),"")</f>
        <v/>
      </c>
      <c r="X159" s="51" t="str">
        <f t="array" aca="1" ref="X159" ca="1">IF($R159&lt;&gt;"",
INDIRECT(""&amp;IF(COLUMN(I179)&lt;=26,CHAR(COLUMN(I179)+64),CHAR(INT((COLUMN(I179)-1)/26)+64)&amp;CHAR(MOD(COLUMN(I179)-1,26)+65))&amp;$R159&amp;""),"")</f>
        <v/>
      </c>
      <c r="Y159" s="51" t="str">
        <f t="array" aca="1" ref="Y159" ca="1">IF($R159&lt;&gt;"",
INDIRECT(""&amp;IF(COLUMN(J179)&lt;=26,CHAR(COLUMN(J179)+64),CHAR(INT((COLUMN(J179)-1)/26)+64)&amp;CHAR(MOD(COLUMN(J179)-1,26)+65))&amp;$R159&amp;""),"")</f>
        <v/>
      </c>
      <c r="Z159" s="51" t="str">
        <f t="array" aca="1" ref="Z159" ca="1">IF($R159&lt;&gt;"",
INDIRECT(""&amp;IF(COLUMN(K179)&lt;=26,CHAR(COLUMN(K179)+64),CHAR(INT((COLUMN(K179)-1)/26)+64)&amp;CHAR(MOD(COLUMN(K179)-1,26)+65))&amp;$R159&amp;""),"")</f>
        <v/>
      </c>
      <c r="AA159" s="51" t="str">
        <f t="array" aca="1" ref="AA159" ca="1">IF($R159&lt;&gt;"",
INDIRECT(""&amp;IF(COLUMN(L179)&lt;=26,CHAR(COLUMN(L179)+64),CHAR(INT((COLUMN(L179)-1)/26)+64)&amp;CHAR(MOD(COLUMN(L179)-1,26)+65))&amp;$R159&amp;""),"")</f>
        <v/>
      </c>
      <c r="AB159" s="51" t="str">
        <f t="array" aca="1" ref="AB159" ca="1">IF($R159&lt;&gt;"",
INDIRECT(""&amp;IF(COLUMN(O179)&lt;=26,CHAR(COLUMN(O179)+64),CHAR(INT((COLUMN(O179)-1)/26)+64)&amp;CHAR(MOD(COLUMN(O179)-1,26)+65))&amp;$R159&amp;""),"")</f>
        <v/>
      </c>
    </row>
    <row r="160" spans="1:28" ht="22.2" customHeight="1">
      <c r="A160" s="204">
        <f t="shared" si="40"/>
        <v>45</v>
      </c>
      <c r="B160" s="203" t="e" cm="1">
        <f t="array" aca="1" ref="B160" ca="1">IF(AND(LEFT(C160,2)="博多",
LEFT(INDIRECT("数出表_Excel!A"&amp;MATCH(C160,数出表_Excel!$A:$A,0)-1),2)
=LEFT(INDIRECT("数出表_Excel!A"&amp;MATCH(C160,数出表_Excel!$A:$A,0)+1),2)),"博多",
IF(AND(LEFT(C160,3)="奈良屋",
LEFT(INDIRECT("数出表_Excel!A"&amp;MATCH(C160,数出表_Excel!$A:$A,0)-1),2)
=LEFT(INDIRECT("数出表_Excel!A"&amp;MATCH(C160,数出表_Excel!$A:$A,0)+1),2)),"奈良屋",""))</f>
        <v>#N/A</v>
      </c>
      <c r="C160" s="203" t="str" cm="1">
        <f t="array" aca="1" ref="C160" ca="1">IF(IF(クライアント抽出!A20="",0,LEN(クライアント抽出!V20)-LEN(SUBSTITUTE(クライアント抽出!V20,",","")))&gt;=3,INDIRECT("数出表_Excel!A"&amp;A160&amp;""),"")</f>
        <v/>
      </c>
      <c r="D160" s="203" t="str" cm="1">
        <f t="array" aca="1" ref="D160" ca="1">IF(C160&lt;&gt;"",INDIRECT("クライアント抽出!"&amp;E160&amp;MATCH(C160,クライアント抽出!A:A,0)&amp;""),"")</f>
        <v/>
      </c>
      <c r="E160" s="203" t="str">
        <f ca="1">IF(H160&lt;&gt;0,
IFERROR(
SUBSTITUTE(ADDRESS(1,
MATCH(VALUE(H160),クライアント抽出!A20:G20,0)+8,4),"1",""),
""),
IFERROR(
SUBSTITUTE(ADDRESS(1,
MATCH(VALUE(I160),クライアント抽出!A20:G20,0)+8,4),"1",""),
""))</f>
        <v/>
      </c>
      <c r="F160" s="206" t="str" cm="1">
        <f t="array" aca="1" ref="F160" ca="1">IF(D160&lt;&gt;"",
IF(COUNTIF(C160,"*雙葉*"),
IF(ROUND(
IF(O160&lt;&gt;"",(H160-O160),H160)
/IF(COUNTIF('盛付札（関数）'!D160,"*キャラ*"),
VLOOKUP("*キャラ*",#REF!,7,FALSE),
IF(COUNTIF('盛付札（関数）'!D160,"*赤*"),
VLOOKUP("*赤*",#REF!,7,FALSE),
VLOOKUP('盛付札（関数）'!D160,#REF!,7,FALSE))),0)&lt;=0,1,
ROUND(
IF(O160&lt;&gt;"",(H160-O160),H160)
/IF(COUNTIF('盛付札（関数）'!D160,"*キャラ*"),
VLOOKUP("*キャラ*",#REF!,7,FALSE),
IF(COUNTIF('盛付札（関数）'!D160,"*赤*"),
VLOOKUP("*赤*",#REF!,7,FALSE),
VLOOKUP('盛付札（関数）'!D160,#REF!,7,FALSE))),0)),
IF(MATCH(TRUE,
ISNUMBER(--INDIRECT("数出表_Excel!B"&amp;MATCH(C160,数出表_Excel!$A:$A,0)-1&amp;":U"&amp;MATCH(C160,数出表_Excel!$A:$A,0)-1&amp;"")),0)&gt;10,
IF(D160&lt;&gt;"",
IF(IF(COUNTIF('盛付札（関数）'!D160,"*キャラ*"),
VLOOKUP("*キャラ*",#REF!,7,FALSE),
IF(COUNTIF('盛付札（関数）'!D160,"*赤*"),
VLOOKUP("*赤*",#REF!,7,FALSE),
VLOOKUP('盛付札（関数）'!D160,#REF!,7,FALSE)))=0,"",
IF(ROUND(
IF(O160&lt;&gt;"",(H160-O160),H160)
/IF(COUNTIF('盛付札（関数）'!D160,"*キャラ*"),
VLOOKUP("*キャラ*",#REF!,7,FALSE),
IF(COUNTIF('盛付札（関数）'!D160,"*赤*"),
VLOOKUP("*赤*",#REF!,7,FALSE),
VLOOKUP('盛付札（関数）'!D160,#REF!,7,FALSE))),0)&lt;=0,1,
ROUND(
IF(O160&lt;&gt;"",(H160-O160),H160)
/IF(COUNTIF('盛付札（関数）'!D160,"*キャラ*"),
VLOOKUP("*キャラ*",#REF!,7,FALSE),
IF(COUNTIF('盛付札（関数）'!D160,"*赤*"),
VLOOKUP("*赤*",#REF!,7,FALSE),
VLOOKUP('盛付札（関数）'!D160,#REF!,7,FALSE))),0))),""),"")),"")</f>
        <v/>
      </c>
      <c r="G160" s="206" t="str">
        <f ca="1">IF(F160&lt;&gt;"",IF(VALUE(IF(O160&lt;&gt;"",H160-O160,H160))&gt;VALUE(IF(COUNTIF('盛付札（関数）'!D160,"*キャラ*"),
VLOOKUP("*キャラ*",#REF!,7,FALSE),
IF(COUNTIF('盛付札（関数）'!D160,"*赤*"),
VLOOKUP("*赤*",#REF!,7,FALSE),
VLOOKUP('盛付札（関数）'!D160,#REF!,7,FALSE)))*F160),
"+"&amp;IF(O160&lt;&gt;"",H160-O160,H160)-IF(COUNTIF('盛付札（関数）'!D160,"*キャラ*"),
VLOOKUP("*キャラ*",#REF!,7,FALSE),
IF(COUNTIF('盛付札（関数）'!D160,"*赤*"),
VLOOKUP("*赤*",#REF!,7,FALSE),
VLOOKUP('盛付札（関数）'!D160,#REF!,7,FALSE)))*F160,
IF(O160&lt;&gt;"",H160-O160,H160)-IF(COUNTIF('盛付札（関数）'!D160,"*キャラ*"),
VLOOKUP("*キャラ*",#REF!,7,FALSE),
IF(COUNTIF('盛付札（関数）'!D160,"*赤*"),
VLOOKUP("*赤*",#REF!,7,FALSE),
VLOOKUP('盛付札（関数）'!D160,#REF!,7,FALSE)))*F160),"")</f>
        <v/>
      </c>
      <c r="H160" s="205" t="str" cm="1">
        <f t="array" aca="1" ref="H160" ca="1">IF(C160&lt;&gt;"",
IF(INDIRECT("数出表_Excel!"&amp;RIGHT(SUBSTITUTE(クライアント抽出!V20,",",""),1)&amp;A160-1&amp;"")&lt;&gt;"",
INDIRECT("数出表_Excel!"&amp;RIGHT(SUBSTITUTE(クライアント抽出!V20,",",""),1)&amp;A160-1&amp;""),0),"")</f>
        <v/>
      </c>
      <c r="I160" s="203" t="str" cm="1">
        <f t="array" aca="1" ref="I160" ca="1">IF(C160&lt;&gt;"",
IF(INDIRECT("数出表_Excel!"&amp;RIGHT(SUBSTITUTE(クライアント抽出!V20,",",""),1)&amp;A160&amp;"")&lt;&gt;"",
INDIRECT("数出表_Excel!"&amp;RIGHT(SUBSTITUTE(クライアント抽出!V20,",",""),1)&amp;A160&amp;""),0),"")</f>
        <v/>
      </c>
      <c r="J160" s="203" t="str">
        <f ca="1">IF(C160&lt;&gt;"",
VLOOKUP(
IF(COUNTIF(D160,"*学食*"),"キャラ弁（学食）",
IF(COUNTIF(D160,"*赤*"),"赤",
IF(COUNTIF(D160,"*キャラ弁当*"),"キャラ弁当",D160))),注文弁当の抽出!$E$1:$F$15,2,FALSE),"")</f>
        <v/>
      </c>
      <c r="K160" s="203" t="str">
        <f t="shared" ca="1" si="41"/>
        <v/>
      </c>
      <c r="L160" s="203" t="str">
        <f t="shared" ca="1" si="42"/>
        <v/>
      </c>
      <c r="M160" s="203" cm="1">
        <f t="array" aca="1" ref="M160" ca="1">IF(C160&lt;&gt;"",
IF(IFERROR(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0)&lt;&gt;0,
IF(IFERROR(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"")="",
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""),
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0)),0),0)</f>
        <v>0</v>
      </c>
      <c r="N160" s="203" t="e">
        <f t="array" aca="1" ref="N160" ca="1">IF(B160="博多",
IF(C160&lt;&gt;"",
IF(IFERROR(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0)&lt;&gt;0,
IF(IFERROR(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0)="",
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0),
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0)),0),""),0)</f>
        <v>#N/A</v>
      </c>
      <c r="O160" s="203" t="e">
        <f t="shared" ca="1" si="43"/>
        <v>#N/A</v>
      </c>
      <c r="P160" s="203">
        <f t="shared" ca="1" si="4"/>
        <v>0</v>
      </c>
      <c r="Q160" s="203" t="b">
        <f t="shared" ca="1" si="44"/>
        <v>0</v>
      </c>
      <c r="R160" s="51" t="str" cm="1">
        <f t="array" aca="1" ref="R160" ca="1">IFERROR(SMALL(IF(P$1:P$300&lt;&gt;0,P$1:P$300),ROW(A160)),"")</f>
        <v/>
      </c>
      <c r="S160" s="51" t="str">
        <f t="array" aca="1" ref="S160" ca="1">IF($R160&lt;&gt;"",
INDIRECT(""&amp;IF(COLUMN(C180)&lt;=26,CHAR(COLUMN(C180)+64),CHAR(INT((COLUMN(C180)-1)/26)+64)&amp;CHAR(MOD(COLUMN(C180)-1,26)+65))&amp;$R160&amp;""),"")</f>
        <v/>
      </c>
      <c r="T160" s="51" t="str" cm="1">
        <f t="array" aca="1" ref="T160" ca="1">IF(IF($R160&lt;&gt;"",
INDIRECT(""&amp;IF(COLUMN(D180)&lt;=26,CHAR(COLUMN(D180)+64),CHAR(INT((COLUMN(D180)-1)/26)+64)&amp;CHAR(MOD(COLUMN(D180)-1,26)+65))&amp;$R160&amp;""),"")=0,"",
IF($R160&lt;&gt;"",
INDIRECT(""&amp;IF(COLUMN(D180)&lt;=26,CHAR(COLUMN(D180)+64),CHAR(INT((COLUMN(D180)-1)/26)+64)&amp;CHAR(MOD(COLUMN(D180)-1,26)+65))&amp;$R160&amp;""),""))</f>
        <v/>
      </c>
      <c r="U160" s="51"/>
      <c r="V160" s="51" t="str">
        <f t="array" aca="1" ref="V160" ca="1">IF($R160&lt;&gt;"",
IF(U160="",
IF(INDIRECT("EY"&amp;$R160&amp;"")&lt;&gt;"",
INDIRECT("EY"&amp;$R160&amp;"")&amp;"箱"
&amp;INDIRECT("EZ"&amp;$R160&amp;""),""),""),"")</f>
        <v/>
      </c>
      <c r="W160" s="51" t="str">
        <f t="array" aca="1" ref="W160" ca="1">IF($R160&lt;&gt;"",
INDIRECT(""&amp;IF(COLUMN(H180)&lt;=26,CHAR(COLUMN(H180)+64),CHAR(INT((COLUMN(H180)-1)/26)+64)&amp;CHAR(MOD(COLUMN(H180)-1,26)+65))&amp;$R160&amp;""),"")</f>
        <v/>
      </c>
      <c r="X160" s="51" t="str">
        <f t="array" aca="1" ref="X160" ca="1">IF($R160&lt;&gt;"",
INDIRECT(""&amp;IF(COLUMN(I180)&lt;=26,CHAR(COLUMN(I180)+64),CHAR(INT((COLUMN(I180)-1)/26)+64)&amp;CHAR(MOD(COLUMN(I180)-1,26)+65))&amp;$R160&amp;""),"")</f>
        <v/>
      </c>
      <c r="Y160" s="51" t="str">
        <f t="array" aca="1" ref="Y160" ca="1">IF($R160&lt;&gt;"",
INDIRECT(""&amp;IF(COLUMN(J180)&lt;=26,CHAR(COLUMN(J180)+64),CHAR(INT((COLUMN(J180)-1)/26)+64)&amp;CHAR(MOD(COLUMN(J180)-1,26)+65))&amp;$R160&amp;""),"")</f>
        <v/>
      </c>
      <c r="Z160" s="51" t="str">
        <f t="array" aca="1" ref="Z160" ca="1">IF($R160&lt;&gt;"",
INDIRECT(""&amp;IF(COLUMN(K180)&lt;=26,CHAR(COLUMN(K180)+64),CHAR(INT((COLUMN(K180)-1)/26)+64)&amp;CHAR(MOD(COLUMN(K180)-1,26)+65))&amp;$R160&amp;""),"")</f>
        <v/>
      </c>
      <c r="AA160" s="51" t="str">
        <f t="array" aca="1" ref="AA160" ca="1">IF($R160&lt;&gt;"",
INDIRECT(""&amp;IF(COLUMN(L180)&lt;=26,CHAR(COLUMN(L180)+64),CHAR(INT((COLUMN(L180)-1)/26)+64)&amp;CHAR(MOD(COLUMN(L180)-1,26)+65))&amp;$R160&amp;""),"")</f>
        <v/>
      </c>
      <c r="AB160" s="51" t="str">
        <f t="array" aca="1" ref="AB160" ca="1">IF($R160&lt;&gt;"",
INDIRECT(""&amp;IF(COLUMN(O180)&lt;=26,CHAR(COLUMN(O180)+64),CHAR(INT((COLUMN(O180)-1)/26)+64)&amp;CHAR(MOD(COLUMN(O180)-1,26)+65))&amp;$R160&amp;""),"")</f>
        <v/>
      </c>
    </row>
    <row r="161" spans="1:28" ht="22.2" customHeight="1">
      <c r="A161" s="204">
        <f t="shared" si="40"/>
        <v>47</v>
      </c>
      <c r="B161" s="203" t="e" cm="1">
        <f t="array" aca="1" ref="B161" ca="1">IF(AND(LEFT(C161,2)="博多",
LEFT(INDIRECT("数出表_Excel!A"&amp;MATCH(C161,数出表_Excel!$A:$A,0)-1),2)
=LEFT(INDIRECT("数出表_Excel!A"&amp;MATCH(C161,数出表_Excel!$A:$A,0)+1),2)),"博多",
IF(AND(LEFT(C161,3)="奈良屋",
LEFT(INDIRECT("数出表_Excel!A"&amp;MATCH(C161,数出表_Excel!$A:$A,0)-1),2)
=LEFT(INDIRECT("数出表_Excel!A"&amp;MATCH(C161,数出表_Excel!$A:$A,0)+1),2)),"奈良屋",""))</f>
        <v>#N/A</v>
      </c>
      <c r="C161" s="203" t="str" cm="1">
        <f t="array" aca="1" ref="C161" ca="1">IF(IF(クライアント抽出!A21="",0,LEN(クライアント抽出!V21)-LEN(SUBSTITUTE(クライアント抽出!V21,",","")))&gt;=3,INDIRECT("数出表_Excel!A"&amp;A161&amp;""),"")</f>
        <v/>
      </c>
      <c r="D161" s="203" t="str" cm="1">
        <f t="array" aca="1" ref="D161" ca="1">IF(C161&lt;&gt;"",INDIRECT("クライアント抽出!"&amp;E161&amp;MATCH(C161,クライアント抽出!A:A,0)&amp;""),"")</f>
        <v/>
      </c>
      <c r="E161" s="203" t="str">
        <f ca="1">IF(H161&lt;&gt;0,
IFERROR(
SUBSTITUTE(ADDRESS(1,
MATCH(VALUE(H161),クライアント抽出!A21:G21,0)+8,4),"1",""),
""),
IFERROR(
SUBSTITUTE(ADDRESS(1,
MATCH(VALUE(I161),クライアント抽出!A21:G21,0)+8,4),"1",""),
""))</f>
        <v/>
      </c>
      <c r="F161" s="206" t="str" cm="1">
        <f t="array" aca="1" ref="F161" ca="1">IF(D161&lt;&gt;"",
IF(COUNTIF(C161,"*雙葉*"),
IF(ROUND(
IF(O161&lt;&gt;"",(H161-O161),H161)
/IF(COUNTIF('盛付札（関数）'!D161,"*キャラ*"),
VLOOKUP("*キャラ*",#REF!,7,FALSE),
IF(COUNTIF('盛付札（関数）'!D161,"*赤*"),
VLOOKUP("*赤*",#REF!,7,FALSE),
VLOOKUP('盛付札（関数）'!D161,#REF!,7,FALSE))),0)&lt;=0,1,
ROUND(
IF(O161&lt;&gt;"",(H161-O161),H161)
/IF(COUNTIF('盛付札（関数）'!D161,"*キャラ*"),
VLOOKUP("*キャラ*",#REF!,7,FALSE),
IF(COUNTIF('盛付札（関数）'!D161,"*赤*"),
VLOOKUP("*赤*",#REF!,7,FALSE),
VLOOKUP('盛付札（関数）'!D161,#REF!,7,FALSE))),0)),
IF(MATCH(TRUE,
ISNUMBER(--INDIRECT("数出表_Excel!B"&amp;MATCH(C161,数出表_Excel!$A:$A,0)-1&amp;":U"&amp;MATCH(C161,数出表_Excel!$A:$A,0)-1&amp;"")),0)&gt;10,
IF(D161&lt;&gt;"",
IF(IF(COUNTIF('盛付札（関数）'!D161,"*キャラ*"),
VLOOKUP("*キャラ*",#REF!,7,FALSE),
IF(COUNTIF('盛付札（関数）'!D161,"*赤*"),
VLOOKUP("*赤*",#REF!,7,FALSE),
VLOOKUP('盛付札（関数）'!D161,#REF!,7,FALSE)))=0,"",
IF(ROUND(
IF(O161&lt;&gt;"",(H161-O161),H161)
/IF(COUNTIF('盛付札（関数）'!D161,"*キャラ*"),
VLOOKUP("*キャラ*",#REF!,7,FALSE),
IF(COUNTIF('盛付札（関数）'!D161,"*赤*"),
VLOOKUP("*赤*",#REF!,7,FALSE),
VLOOKUP('盛付札（関数）'!D161,#REF!,7,FALSE))),0)&lt;=0,1,
ROUND(
IF(O161&lt;&gt;"",(H161-O161),H161)
/IF(COUNTIF('盛付札（関数）'!D161,"*キャラ*"),
VLOOKUP("*キャラ*",#REF!,7,FALSE),
IF(COUNTIF('盛付札（関数）'!D161,"*赤*"),
VLOOKUP("*赤*",#REF!,7,FALSE),
VLOOKUP('盛付札（関数）'!D161,#REF!,7,FALSE))),0))),""),"")),"")</f>
        <v/>
      </c>
      <c r="G161" s="206" t="str">
        <f ca="1">IF(F161&lt;&gt;"",IF(VALUE(IF(O161&lt;&gt;"",H161-O161,H161))&gt;VALUE(IF(COUNTIF('盛付札（関数）'!D161,"*キャラ*"),
VLOOKUP("*キャラ*",#REF!,7,FALSE),
IF(COUNTIF('盛付札（関数）'!D161,"*赤*"),
VLOOKUP("*赤*",#REF!,7,FALSE),
VLOOKUP('盛付札（関数）'!D161,#REF!,7,FALSE)))*F161),
"+"&amp;IF(O161&lt;&gt;"",H161-O161,H161)-IF(COUNTIF('盛付札（関数）'!D161,"*キャラ*"),
VLOOKUP("*キャラ*",#REF!,7,FALSE),
IF(COUNTIF('盛付札（関数）'!D161,"*赤*"),
VLOOKUP("*赤*",#REF!,7,FALSE),
VLOOKUP('盛付札（関数）'!D161,#REF!,7,FALSE)))*F161,
IF(O161&lt;&gt;"",H161-O161,H161)-IF(COUNTIF('盛付札（関数）'!D161,"*キャラ*"),
VLOOKUP("*キャラ*",#REF!,7,FALSE),
IF(COUNTIF('盛付札（関数）'!D161,"*赤*"),
VLOOKUP("*赤*",#REF!,7,FALSE),
VLOOKUP('盛付札（関数）'!D161,#REF!,7,FALSE)))*F161),"")</f>
        <v/>
      </c>
      <c r="H161" s="205" t="str" cm="1">
        <f t="array" aca="1" ref="H161" ca="1">IF(C161&lt;&gt;"",
IF(INDIRECT("数出表_Excel!"&amp;RIGHT(SUBSTITUTE(クライアント抽出!V21,",",""),1)&amp;A161-1&amp;"")&lt;&gt;"",
INDIRECT("数出表_Excel!"&amp;RIGHT(SUBSTITUTE(クライアント抽出!V21,",",""),1)&amp;A161-1&amp;""),0),"")</f>
        <v/>
      </c>
      <c r="I161" s="203" t="str" cm="1">
        <f t="array" aca="1" ref="I161" ca="1">IF(C161&lt;&gt;"",
IF(INDIRECT("数出表_Excel!"&amp;RIGHT(SUBSTITUTE(クライアント抽出!V21,",",""),1)&amp;A161&amp;"")&lt;&gt;"",
INDIRECT("数出表_Excel!"&amp;RIGHT(SUBSTITUTE(クライアント抽出!V21,",",""),1)&amp;A161&amp;""),0),"")</f>
        <v/>
      </c>
      <c r="J161" s="203" t="str">
        <f ca="1">IF(C161&lt;&gt;"",
VLOOKUP(
IF(COUNTIF(D161,"*学食*"),"キャラ弁（学食）",
IF(COUNTIF(D161,"*赤*"),"赤",
IF(COUNTIF(D161,"*キャラ弁当*"),"キャラ弁当",D161))),注文弁当の抽出!$E$1:$F$15,2,FALSE),"")</f>
        <v/>
      </c>
      <c r="K161" s="203" t="str">
        <f t="shared" ca="1" si="41"/>
        <v/>
      </c>
      <c r="L161" s="203" t="str">
        <f t="shared" ca="1" si="42"/>
        <v/>
      </c>
      <c r="M161" s="203" cm="1">
        <f t="array" aca="1" ref="M161" ca="1">IF(C161&lt;&gt;"",
IF(IFERROR(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0)&lt;&gt;0,
IF(IFERROR(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"")="",
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""),
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0)),0),0)</f>
        <v>0</v>
      </c>
      <c r="N161" s="203" t="e">
        <f t="array" aca="1" ref="N161" ca="1">IF(B161="博多",
IF(C161&lt;&gt;"",
IF(IFERROR(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0)&lt;&gt;0,
IF(IFERROR(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0)="",
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0),
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0)),0),""),0)</f>
        <v>#N/A</v>
      </c>
      <c r="O161" s="203" t="e">
        <f t="shared" ca="1" si="43"/>
        <v>#N/A</v>
      </c>
      <c r="P161" s="203">
        <f t="shared" ca="1" si="4"/>
        <v>0</v>
      </c>
      <c r="Q161" s="203" t="b">
        <f t="shared" ca="1" si="44"/>
        <v>0</v>
      </c>
      <c r="R161" s="51" t="str" cm="1">
        <f t="array" aca="1" ref="R161" ca="1">IFERROR(SMALL(IF(P$1:P$300&lt;&gt;0,P$1:P$300),ROW(A161)),"")</f>
        <v/>
      </c>
      <c r="S161" s="51" t="str">
        <f t="array" aca="1" ref="S161" ca="1">IF($R161&lt;&gt;"",
INDIRECT(""&amp;IF(COLUMN(C181)&lt;=26,CHAR(COLUMN(C181)+64),CHAR(INT((COLUMN(C181)-1)/26)+64)&amp;CHAR(MOD(COLUMN(C181)-1,26)+65))&amp;$R161&amp;""),"")</f>
        <v/>
      </c>
      <c r="T161" s="51" t="str" cm="1">
        <f t="array" aca="1" ref="T161" ca="1">IF(IF($R161&lt;&gt;"",
INDIRECT(""&amp;IF(COLUMN(D181)&lt;=26,CHAR(COLUMN(D181)+64),CHAR(INT((COLUMN(D181)-1)/26)+64)&amp;CHAR(MOD(COLUMN(D181)-1,26)+65))&amp;$R161&amp;""),"")=0,"",
IF($R161&lt;&gt;"",
INDIRECT(""&amp;IF(COLUMN(D181)&lt;=26,CHAR(COLUMN(D181)+64),CHAR(INT((COLUMN(D181)-1)/26)+64)&amp;CHAR(MOD(COLUMN(D181)-1,26)+65))&amp;$R161&amp;""),""))</f>
        <v/>
      </c>
      <c r="U161" s="51"/>
      <c r="V161" s="51" t="str">
        <f t="array" aca="1" ref="V161" ca="1">IF($R161&lt;&gt;"",
IF(U161="",
IF(INDIRECT("EY"&amp;$R161&amp;"")&lt;&gt;"",
INDIRECT("EY"&amp;$R161&amp;"")&amp;"箱"
&amp;INDIRECT("EZ"&amp;$R161&amp;""),""),""),"")</f>
        <v/>
      </c>
      <c r="W161" s="51" t="str">
        <f t="array" aca="1" ref="W161" ca="1">IF($R161&lt;&gt;"",
INDIRECT(""&amp;IF(COLUMN(H181)&lt;=26,CHAR(COLUMN(H181)+64),CHAR(INT((COLUMN(H181)-1)/26)+64)&amp;CHAR(MOD(COLUMN(H181)-1,26)+65))&amp;$R161&amp;""),"")</f>
        <v/>
      </c>
      <c r="X161" s="51" t="str">
        <f t="array" aca="1" ref="X161" ca="1">IF($R161&lt;&gt;"",
INDIRECT(""&amp;IF(COLUMN(I181)&lt;=26,CHAR(COLUMN(I181)+64),CHAR(INT((COLUMN(I181)-1)/26)+64)&amp;CHAR(MOD(COLUMN(I181)-1,26)+65))&amp;$R161&amp;""),"")</f>
        <v/>
      </c>
      <c r="Y161" s="51" t="str">
        <f t="array" aca="1" ref="Y161" ca="1">IF($R161&lt;&gt;"",
INDIRECT(""&amp;IF(COLUMN(J181)&lt;=26,CHAR(COLUMN(J181)+64),CHAR(INT((COLUMN(J181)-1)/26)+64)&amp;CHAR(MOD(COLUMN(J181)-1,26)+65))&amp;$R161&amp;""),"")</f>
        <v/>
      </c>
      <c r="Z161" s="51" t="str">
        <f t="array" aca="1" ref="Z161" ca="1">IF($R161&lt;&gt;"",
INDIRECT(""&amp;IF(COLUMN(K181)&lt;=26,CHAR(COLUMN(K181)+64),CHAR(INT((COLUMN(K181)-1)/26)+64)&amp;CHAR(MOD(COLUMN(K181)-1,26)+65))&amp;$R161&amp;""),"")</f>
        <v/>
      </c>
      <c r="AA161" s="51" t="str">
        <f t="array" aca="1" ref="AA161" ca="1">IF($R161&lt;&gt;"",
INDIRECT(""&amp;IF(COLUMN(L181)&lt;=26,CHAR(COLUMN(L181)+64),CHAR(INT((COLUMN(L181)-1)/26)+64)&amp;CHAR(MOD(COLUMN(L181)-1,26)+65))&amp;$R161&amp;""),"")</f>
        <v/>
      </c>
      <c r="AB161" s="51" t="str">
        <f t="array" aca="1" ref="AB161" ca="1">IF($R161&lt;&gt;"",
INDIRECT(""&amp;IF(COLUMN(O181)&lt;=26,CHAR(COLUMN(O181)+64),CHAR(INT((COLUMN(O181)-1)/26)+64)&amp;CHAR(MOD(COLUMN(O181)-1,26)+65))&amp;$R161&amp;""),"")</f>
        <v/>
      </c>
    </row>
    <row r="162" spans="1:28" ht="22.2" customHeight="1">
      <c r="A162" s="204">
        <f t="shared" si="40"/>
        <v>49</v>
      </c>
      <c r="B162" s="203" t="e" cm="1">
        <f t="array" aca="1" ref="B162" ca="1">IF(AND(LEFT(C162,2)="博多",
LEFT(INDIRECT("数出表_Excel!A"&amp;MATCH(C162,数出表_Excel!$A:$A,0)-1),2)
=LEFT(INDIRECT("数出表_Excel!A"&amp;MATCH(C162,数出表_Excel!$A:$A,0)+1),2)),"博多",
IF(AND(LEFT(C162,3)="奈良屋",
LEFT(INDIRECT("数出表_Excel!A"&amp;MATCH(C162,数出表_Excel!$A:$A,0)-1),2)
=LEFT(INDIRECT("数出表_Excel!A"&amp;MATCH(C162,数出表_Excel!$A:$A,0)+1),2)),"奈良屋",""))</f>
        <v>#N/A</v>
      </c>
      <c r="C162" s="203" t="str" cm="1">
        <f t="array" aca="1" ref="C162" ca="1">IF(IF(クライアント抽出!A22="",0,LEN(クライアント抽出!V22)-LEN(SUBSTITUTE(クライアント抽出!V22,",","")))&gt;=3,INDIRECT("数出表_Excel!A"&amp;A162&amp;""),"")</f>
        <v/>
      </c>
      <c r="D162" s="203" t="str" cm="1">
        <f t="array" aca="1" ref="D162" ca="1">IF(C162&lt;&gt;"",INDIRECT("クライアント抽出!"&amp;E162&amp;MATCH(C162,クライアント抽出!A:A,0)&amp;""),"")</f>
        <v/>
      </c>
      <c r="E162" s="203" t="str">
        <f ca="1">IF(H162&lt;&gt;0,
IFERROR(
SUBSTITUTE(ADDRESS(1,
MATCH(VALUE(H162),クライアント抽出!A22:G22,0)+8,4),"1",""),
""),
IFERROR(
SUBSTITUTE(ADDRESS(1,
MATCH(VALUE(I162),クライアント抽出!A22:G22,0)+8,4),"1",""),
""))</f>
        <v/>
      </c>
      <c r="F162" s="206" t="str" cm="1">
        <f t="array" aca="1" ref="F162" ca="1">IF(D162&lt;&gt;"",
IF(COUNTIF(C162,"*雙葉*"),
IF(ROUND(
IF(O162&lt;&gt;"",(H162-O162),H162)
/IF(COUNTIF('盛付札（関数）'!D162,"*キャラ*"),
VLOOKUP("*キャラ*",#REF!,7,FALSE),
IF(COUNTIF('盛付札（関数）'!D162,"*赤*"),
VLOOKUP("*赤*",#REF!,7,FALSE),
VLOOKUP('盛付札（関数）'!D162,#REF!,7,FALSE))),0)&lt;=0,1,
ROUND(
IF(O162&lt;&gt;"",(H162-O162),H162)
/IF(COUNTIF('盛付札（関数）'!D162,"*キャラ*"),
VLOOKUP("*キャラ*",#REF!,7,FALSE),
IF(COUNTIF('盛付札（関数）'!D162,"*赤*"),
VLOOKUP("*赤*",#REF!,7,FALSE),
VLOOKUP('盛付札（関数）'!D162,#REF!,7,FALSE))),0)),
IF(MATCH(TRUE,
ISNUMBER(--INDIRECT("数出表_Excel!B"&amp;MATCH(C162,数出表_Excel!$A:$A,0)-1&amp;":U"&amp;MATCH(C162,数出表_Excel!$A:$A,0)-1&amp;"")),0)&gt;10,
IF(D162&lt;&gt;"",
IF(IF(COUNTIF('盛付札（関数）'!D162,"*キャラ*"),
VLOOKUP("*キャラ*",#REF!,7,FALSE),
IF(COUNTIF('盛付札（関数）'!D162,"*赤*"),
VLOOKUP("*赤*",#REF!,7,FALSE),
VLOOKUP('盛付札（関数）'!D162,#REF!,7,FALSE)))=0,"",
IF(ROUND(
IF(O162&lt;&gt;"",(H162-O162),H162)
/IF(COUNTIF('盛付札（関数）'!D162,"*キャラ*"),
VLOOKUP("*キャラ*",#REF!,7,FALSE),
IF(COUNTIF('盛付札（関数）'!D162,"*赤*"),
VLOOKUP("*赤*",#REF!,7,FALSE),
VLOOKUP('盛付札（関数）'!D162,#REF!,7,FALSE))),0)&lt;=0,1,
ROUND(
IF(O162&lt;&gt;"",(H162-O162),H162)
/IF(COUNTIF('盛付札（関数）'!D162,"*キャラ*"),
VLOOKUP("*キャラ*",#REF!,7,FALSE),
IF(COUNTIF('盛付札（関数）'!D162,"*赤*"),
VLOOKUP("*赤*",#REF!,7,FALSE),
VLOOKUP('盛付札（関数）'!D162,#REF!,7,FALSE))),0))),""),"")),"")</f>
        <v/>
      </c>
      <c r="G162" s="206" t="str">
        <f ca="1">IF(F162&lt;&gt;"",IF(VALUE(IF(O162&lt;&gt;"",H162-O162,H162))&gt;VALUE(IF(COUNTIF('盛付札（関数）'!D162,"*キャラ*"),
VLOOKUP("*キャラ*",#REF!,7,FALSE),
IF(COUNTIF('盛付札（関数）'!D162,"*赤*"),
VLOOKUP("*赤*",#REF!,7,FALSE),
VLOOKUP('盛付札（関数）'!D162,#REF!,7,FALSE)))*F162),
"+"&amp;IF(O162&lt;&gt;"",H162-O162,H162)-IF(COUNTIF('盛付札（関数）'!D162,"*キャラ*"),
VLOOKUP("*キャラ*",#REF!,7,FALSE),
IF(COUNTIF('盛付札（関数）'!D162,"*赤*"),
VLOOKUP("*赤*",#REF!,7,FALSE),
VLOOKUP('盛付札（関数）'!D162,#REF!,7,FALSE)))*F162,
IF(O162&lt;&gt;"",H162-O162,H162)-IF(COUNTIF('盛付札（関数）'!D162,"*キャラ*"),
VLOOKUP("*キャラ*",#REF!,7,FALSE),
IF(COUNTIF('盛付札（関数）'!D162,"*赤*"),
VLOOKUP("*赤*",#REF!,7,FALSE),
VLOOKUP('盛付札（関数）'!D162,#REF!,7,FALSE)))*F162),"")</f>
        <v/>
      </c>
      <c r="H162" s="205" t="str" cm="1">
        <f t="array" aca="1" ref="H162" ca="1">IF(C162&lt;&gt;"",
IF(INDIRECT("数出表_Excel!"&amp;RIGHT(SUBSTITUTE(クライアント抽出!V22,",",""),1)&amp;A162-1&amp;"")&lt;&gt;"",
INDIRECT("数出表_Excel!"&amp;RIGHT(SUBSTITUTE(クライアント抽出!V22,",",""),1)&amp;A162-1&amp;""),0),"")</f>
        <v/>
      </c>
      <c r="I162" s="203" t="str" cm="1">
        <f t="array" aca="1" ref="I162" ca="1">IF(C162&lt;&gt;"",
IF(INDIRECT("数出表_Excel!"&amp;RIGHT(SUBSTITUTE(クライアント抽出!V22,",",""),1)&amp;A162&amp;"")&lt;&gt;"",
INDIRECT("数出表_Excel!"&amp;RIGHT(SUBSTITUTE(クライアント抽出!V22,",",""),1)&amp;A162&amp;""),0),"")</f>
        <v/>
      </c>
      <c r="J162" s="203" t="str">
        <f ca="1">IF(C162&lt;&gt;"",
VLOOKUP(
IF(COUNTIF(D162,"*学食*"),"キャラ弁（学食）",
IF(COUNTIF(D162,"*赤*"),"赤",
IF(COUNTIF(D162,"*キャラ弁当*"),"キャラ弁当",D162))),注文弁当の抽出!$E$1:$F$15,2,FALSE),"")</f>
        <v/>
      </c>
      <c r="K162" s="203" t="str">
        <f t="shared" ca="1" si="41"/>
        <v/>
      </c>
      <c r="L162" s="203" t="str">
        <f t="shared" ca="1" si="42"/>
        <v/>
      </c>
      <c r="M162" s="203" cm="1">
        <f t="array" aca="1" ref="M162" ca="1">IF(C162&lt;&gt;"",
IF(IFERROR(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0)&lt;&gt;0,
IF(IFERROR(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"")="",
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""),
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0)),0),0)</f>
        <v>0</v>
      </c>
      <c r="N162" s="203" t="e">
        <f t="array" aca="1" ref="N162" ca="1">IF(B162="博多",
IF(C162&lt;&gt;"",
IF(IFERROR(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0)&lt;&gt;0,
IF(IFERROR(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0)="",
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0),
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0)),0),""),0)</f>
        <v>#N/A</v>
      </c>
      <c r="O162" s="203" t="e">
        <f t="shared" ca="1" si="43"/>
        <v>#N/A</v>
      </c>
      <c r="P162" s="203">
        <f t="shared" ca="1" si="4"/>
        <v>0</v>
      </c>
      <c r="Q162" s="203" t="b">
        <f t="shared" ca="1" si="44"/>
        <v>0</v>
      </c>
      <c r="R162" s="51" t="str" cm="1">
        <f t="array" aca="1" ref="R162" ca="1">IFERROR(SMALL(IF(P$1:P$300&lt;&gt;0,P$1:P$300),ROW(A162)),"")</f>
        <v/>
      </c>
      <c r="S162" s="51" t="str">
        <f t="array" aca="1" ref="S162" ca="1">IF($R162&lt;&gt;"",
INDIRECT(""&amp;IF(COLUMN(C182)&lt;=26,CHAR(COLUMN(C182)+64),CHAR(INT((COLUMN(C182)-1)/26)+64)&amp;CHAR(MOD(COLUMN(C182)-1,26)+65))&amp;$R162&amp;""),"")</f>
        <v/>
      </c>
      <c r="T162" s="51" t="str" cm="1">
        <f t="array" aca="1" ref="T162" ca="1">IF(IF($R162&lt;&gt;"",
INDIRECT(""&amp;IF(COLUMN(D182)&lt;=26,CHAR(COLUMN(D182)+64),CHAR(INT((COLUMN(D182)-1)/26)+64)&amp;CHAR(MOD(COLUMN(D182)-1,26)+65))&amp;$R162&amp;""),"")=0,"",
IF($R162&lt;&gt;"",
INDIRECT(""&amp;IF(COLUMN(D182)&lt;=26,CHAR(COLUMN(D182)+64),CHAR(INT((COLUMN(D182)-1)/26)+64)&amp;CHAR(MOD(COLUMN(D182)-1,26)+65))&amp;$R162&amp;""),""))</f>
        <v/>
      </c>
      <c r="U162" s="51"/>
      <c r="V162" s="51" t="str">
        <f t="array" aca="1" ref="V162" ca="1">IF($R162&lt;&gt;"",
IF(U162="",
IF(INDIRECT("EY"&amp;$R162&amp;"")&lt;&gt;"",
INDIRECT("EY"&amp;$R162&amp;"")&amp;"箱"
&amp;INDIRECT("EZ"&amp;$R162&amp;""),""),""),"")</f>
        <v/>
      </c>
      <c r="W162" s="51" t="str">
        <f t="array" aca="1" ref="W162" ca="1">IF($R162&lt;&gt;"",
INDIRECT(""&amp;IF(COLUMN(H182)&lt;=26,CHAR(COLUMN(H182)+64),CHAR(INT((COLUMN(H182)-1)/26)+64)&amp;CHAR(MOD(COLUMN(H182)-1,26)+65))&amp;$R162&amp;""),"")</f>
        <v/>
      </c>
      <c r="X162" s="51" t="str">
        <f t="array" aca="1" ref="X162" ca="1">IF($R162&lt;&gt;"",
INDIRECT(""&amp;IF(COLUMN(I182)&lt;=26,CHAR(COLUMN(I182)+64),CHAR(INT((COLUMN(I182)-1)/26)+64)&amp;CHAR(MOD(COLUMN(I182)-1,26)+65))&amp;$R162&amp;""),"")</f>
        <v/>
      </c>
      <c r="Y162" s="51" t="str">
        <f t="array" aca="1" ref="Y162" ca="1">IF($R162&lt;&gt;"",
INDIRECT(""&amp;IF(COLUMN(J182)&lt;=26,CHAR(COLUMN(J182)+64),CHAR(INT((COLUMN(J182)-1)/26)+64)&amp;CHAR(MOD(COLUMN(J182)-1,26)+65))&amp;$R162&amp;""),"")</f>
        <v/>
      </c>
      <c r="Z162" s="51" t="str">
        <f t="array" aca="1" ref="Z162" ca="1">IF($R162&lt;&gt;"",
INDIRECT(""&amp;IF(COLUMN(K182)&lt;=26,CHAR(COLUMN(K182)+64),CHAR(INT((COLUMN(K182)-1)/26)+64)&amp;CHAR(MOD(COLUMN(K182)-1,26)+65))&amp;$R162&amp;""),"")</f>
        <v/>
      </c>
      <c r="AA162" s="51" t="str">
        <f t="array" aca="1" ref="AA162" ca="1">IF($R162&lt;&gt;"",
INDIRECT(""&amp;IF(COLUMN(L182)&lt;=26,CHAR(COLUMN(L182)+64),CHAR(INT((COLUMN(L182)-1)/26)+64)&amp;CHAR(MOD(COLUMN(L182)-1,26)+65))&amp;$R162&amp;""),"")</f>
        <v/>
      </c>
      <c r="AB162" s="51" t="str">
        <f t="array" aca="1" ref="AB162" ca="1">IF($R162&lt;&gt;"",
INDIRECT(""&amp;IF(COLUMN(O182)&lt;=26,CHAR(COLUMN(O182)+64),CHAR(INT((COLUMN(O182)-1)/26)+64)&amp;CHAR(MOD(COLUMN(O182)-1,26)+65))&amp;$R162&amp;""),"")</f>
        <v/>
      </c>
    </row>
    <row r="163" spans="1:28" ht="22.2" customHeight="1">
      <c r="A163" s="204">
        <f t="shared" si="40"/>
        <v>51</v>
      </c>
      <c r="B163" s="203" t="e" cm="1">
        <f t="array" aca="1" ref="B163" ca="1">IF(AND(LEFT(C163,2)="博多",
LEFT(INDIRECT("数出表_Excel!A"&amp;MATCH(C163,数出表_Excel!$A:$A,0)-1),2)
=LEFT(INDIRECT("数出表_Excel!A"&amp;MATCH(C163,数出表_Excel!$A:$A,0)+1),2)),"博多",
IF(AND(LEFT(C163,3)="奈良屋",
LEFT(INDIRECT("数出表_Excel!A"&amp;MATCH(C163,数出表_Excel!$A:$A,0)-1),2)
=LEFT(INDIRECT("数出表_Excel!A"&amp;MATCH(C163,数出表_Excel!$A:$A,0)+1),2)),"奈良屋",""))</f>
        <v>#N/A</v>
      </c>
      <c r="C163" s="203" t="str" cm="1">
        <f t="array" aca="1" ref="C163" ca="1">IF(IF(クライアント抽出!A23="",0,LEN(クライアント抽出!V23)-LEN(SUBSTITUTE(クライアント抽出!V23,",","")))&gt;=3,INDIRECT("数出表_Excel!A"&amp;A163&amp;""),"")</f>
        <v/>
      </c>
      <c r="D163" s="203" t="str" cm="1">
        <f t="array" aca="1" ref="D163" ca="1">IF(C163&lt;&gt;"",INDIRECT("クライアント抽出!"&amp;E163&amp;MATCH(C163,クライアント抽出!A:A,0)&amp;""),"")</f>
        <v/>
      </c>
      <c r="E163" s="203" t="str">
        <f ca="1">IF(H163&lt;&gt;0,
IFERROR(
SUBSTITUTE(ADDRESS(1,
MATCH(VALUE(H163),クライアント抽出!A23:G23,0)+8,4),"1",""),
""),
IFERROR(
SUBSTITUTE(ADDRESS(1,
MATCH(VALUE(I163),クライアント抽出!A23:G23,0)+8,4),"1",""),
""))</f>
        <v/>
      </c>
      <c r="F163" s="206" t="str" cm="1">
        <f t="array" aca="1" ref="F163" ca="1">IF(D163&lt;&gt;"",
IF(COUNTIF(C163,"*雙葉*"),
IF(ROUND(
IF(O163&lt;&gt;"",(H163-O163),H163)
/IF(COUNTIF('盛付札（関数）'!D163,"*キャラ*"),
VLOOKUP("*キャラ*",#REF!,7,FALSE),
IF(COUNTIF('盛付札（関数）'!D163,"*赤*"),
VLOOKUP("*赤*",#REF!,7,FALSE),
VLOOKUP('盛付札（関数）'!D163,#REF!,7,FALSE))),0)&lt;=0,1,
ROUND(
IF(O163&lt;&gt;"",(H163-O163),H163)
/IF(COUNTIF('盛付札（関数）'!D163,"*キャラ*"),
VLOOKUP("*キャラ*",#REF!,7,FALSE),
IF(COUNTIF('盛付札（関数）'!D163,"*赤*"),
VLOOKUP("*赤*",#REF!,7,FALSE),
VLOOKUP('盛付札（関数）'!D163,#REF!,7,FALSE))),0)),
IF(MATCH(TRUE,
ISNUMBER(--INDIRECT("数出表_Excel!B"&amp;MATCH(C163,数出表_Excel!$A:$A,0)-1&amp;":U"&amp;MATCH(C163,数出表_Excel!$A:$A,0)-1&amp;"")),0)&gt;10,
IF(D163&lt;&gt;"",
IF(IF(COUNTIF('盛付札（関数）'!D163,"*キャラ*"),
VLOOKUP("*キャラ*",#REF!,7,FALSE),
IF(COUNTIF('盛付札（関数）'!D163,"*赤*"),
VLOOKUP("*赤*",#REF!,7,FALSE),
VLOOKUP('盛付札（関数）'!D163,#REF!,7,FALSE)))=0,"",
IF(ROUND(
IF(O163&lt;&gt;"",(H163-O163),H163)
/IF(COUNTIF('盛付札（関数）'!D163,"*キャラ*"),
VLOOKUP("*キャラ*",#REF!,7,FALSE),
IF(COUNTIF('盛付札（関数）'!D163,"*赤*"),
VLOOKUP("*赤*",#REF!,7,FALSE),
VLOOKUP('盛付札（関数）'!D163,#REF!,7,FALSE))),0)&lt;=0,1,
ROUND(
IF(O163&lt;&gt;"",(H163-O163),H163)
/IF(COUNTIF('盛付札（関数）'!D163,"*キャラ*"),
VLOOKUP("*キャラ*",#REF!,7,FALSE),
IF(COUNTIF('盛付札（関数）'!D163,"*赤*"),
VLOOKUP("*赤*",#REF!,7,FALSE),
VLOOKUP('盛付札（関数）'!D163,#REF!,7,FALSE))),0))),""),"")),"")</f>
        <v/>
      </c>
      <c r="G163" s="206" t="str">
        <f ca="1">IF(F163&lt;&gt;"",IF(VALUE(IF(O163&lt;&gt;"",H163-O163,H163))&gt;VALUE(IF(COUNTIF('盛付札（関数）'!D163,"*キャラ*"),
VLOOKUP("*キャラ*",#REF!,7,FALSE),
IF(COUNTIF('盛付札（関数）'!D163,"*赤*"),
VLOOKUP("*赤*",#REF!,7,FALSE),
VLOOKUP('盛付札（関数）'!D163,#REF!,7,FALSE)))*F163),
"+"&amp;IF(O163&lt;&gt;"",H163-O163,H163)-IF(COUNTIF('盛付札（関数）'!D163,"*キャラ*"),
VLOOKUP("*キャラ*",#REF!,7,FALSE),
IF(COUNTIF('盛付札（関数）'!D163,"*赤*"),
VLOOKUP("*赤*",#REF!,7,FALSE),
VLOOKUP('盛付札（関数）'!D163,#REF!,7,FALSE)))*F163,
IF(O163&lt;&gt;"",H163-O163,H163)-IF(COUNTIF('盛付札（関数）'!D163,"*キャラ*"),
VLOOKUP("*キャラ*",#REF!,7,FALSE),
IF(COUNTIF('盛付札（関数）'!D163,"*赤*"),
VLOOKUP("*赤*",#REF!,7,FALSE),
VLOOKUP('盛付札（関数）'!D163,#REF!,7,FALSE)))*F163),"")</f>
        <v/>
      </c>
      <c r="H163" s="205" t="str" cm="1">
        <f t="array" aca="1" ref="H163" ca="1">IF(C163&lt;&gt;"",
IF(INDIRECT("数出表_Excel!"&amp;RIGHT(SUBSTITUTE(クライアント抽出!V23,",",""),1)&amp;A163-1&amp;"")&lt;&gt;"",
INDIRECT("数出表_Excel!"&amp;RIGHT(SUBSTITUTE(クライアント抽出!V23,",",""),1)&amp;A163-1&amp;""),0),"")</f>
        <v/>
      </c>
      <c r="I163" s="203" t="str" cm="1">
        <f t="array" aca="1" ref="I163" ca="1">IF(C163&lt;&gt;"",
IF(INDIRECT("数出表_Excel!"&amp;RIGHT(SUBSTITUTE(クライアント抽出!V23,",",""),1)&amp;A163&amp;"")&lt;&gt;"",
INDIRECT("数出表_Excel!"&amp;RIGHT(SUBSTITUTE(クライアント抽出!V23,",",""),1)&amp;A163&amp;""),0),"")</f>
        <v/>
      </c>
      <c r="J163" s="203" t="str">
        <f ca="1">IF(C163&lt;&gt;"",
VLOOKUP(
IF(COUNTIF(D163,"*学食*"),"キャラ弁（学食）",
IF(COUNTIF(D163,"*赤*"),"赤",
IF(COUNTIF(D163,"*キャラ弁当*"),"キャラ弁当",D163))),注文弁当の抽出!$E$1:$F$15,2,FALSE),"")</f>
        <v/>
      </c>
      <c r="K163" s="203" t="str">
        <f t="shared" ca="1" si="41"/>
        <v/>
      </c>
      <c r="L163" s="203" t="str">
        <f t="shared" ca="1" si="42"/>
        <v/>
      </c>
      <c r="M163" s="203" cm="1">
        <f t="array" aca="1" ref="M163" ca="1">IF(C163&lt;&gt;"",
IF(IFERROR(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0)&lt;&gt;0,
IF(IFERROR(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"")="",
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""),
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0)),0),0)</f>
        <v>0</v>
      </c>
      <c r="N163" s="203" t="e">
        <f t="array" aca="1" ref="N163" ca="1">IF(B163="博多",
IF(C163&lt;&gt;"",
IF(IFERROR(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0)&lt;&gt;0,
IF(IFERROR(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0)="",
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0),
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0)),0),""),0)</f>
        <v>#N/A</v>
      </c>
      <c r="O163" s="203" t="e">
        <f t="shared" ca="1" si="43"/>
        <v>#N/A</v>
      </c>
      <c r="P163" s="203">
        <f t="shared" ca="1" si="4"/>
        <v>0</v>
      </c>
      <c r="Q163" s="203" t="b">
        <f t="shared" ca="1" si="44"/>
        <v>0</v>
      </c>
      <c r="R163" s="51" t="str" cm="1">
        <f t="array" aca="1" ref="R163" ca="1">IFERROR(SMALL(IF(P$1:P$300&lt;&gt;0,P$1:P$300),ROW(A163)),"")</f>
        <v/>
      </c>
      <c r="S163" s="51" t="str">
        <f t="array" aca="1" ref="S163" ca="1">IF($R163&lt;&gt;"",
INDIRECT(""&amp;IF(COLUMN(C183)&lt;=26,CHAR(COLUMN(C183)+64),CHAR(INT((COLUMN(C183)-1)/26)+64)&amp;CHAR(MOD(COLUMN(C183)-1,26)+65))&amp;$R163&amp;""),"")</f>
        <v/>
      </c>
      <c r="T163" s="51" t="str" cm="1">
        <f t="array" aca="1" ref="T163" ca="1">IF(IF($R163&lt;&gt;"",
INDIRECT(""&amp;IF(COLUMN(D183)&lt;=26,CHAR(COLUMN(D183)+64),CHAR(INT((COLUMN(D183)-1)/26)+64)&amp;CHAR(MOD(COLUMN(D183)-1,26)+65))&amp;$R163&amp;""),"")=0,"",
IF($R163&lt;&gt;"",
INDIRECT(""&amp;IF(COLUMN(D183)&lt;=26,CHAR(COLUMN(D183)+64),CHAR(INT((COLUMN(D183)-1)/26)+64)&amp;CHAR(MOD(COLUMN(D183)-1,26)+65))&amp;$R163&amp;""),""))</f>
        <v/>
      </c>
      <c r="U163" s="51"/>
      <c r="V163" s="51" t="str">
        <f t="array" aca="1" ref="V163" ca="1">IF($R163&lt;&gt;"",
IF(U163="",
IF(INDIRECT("EY"&amp;$R163&amp;"")&lt;&gt;"",
INDIRECT("EY"&amp;$R163&amp;"")&amp;"箱"
&amp;INDIRECT("EZ"&amp;$R163&amp;""),""),""),"")</f>
        <v/>
      </c>
      <c r="W163" s="51" t="str">
        <f t="array" aca="1" ref="W163" ca="1">IF($R163&lt;&gt;"",
INDIRECT(""&amp;IF(COLUMN(H183)&lt;=26,CHAR(COLUMN(H183)+64),CHAR(INT((COLUMN(H183)-1)/26)+64)&amp;CHAR(MOD(COLUMN(H183)-1,26)+65))&amp;$R163&amp;""),"")</f>
        <v/>
      </c>
      <c r="X163" s="51" t="str">
        <f t="array" aca="1" ref="X163" ca="1">IF($R163&lt;&gt;"",
INDIRECT(""&amp;IF(COLUMN(I183)&lt;=26,CHAR(COLUMN(I183)+64),CHAR(INT((COLUMN(I183)-1)/26)+64)&amp;CHAR(MOD(COLUMN(I183)-1,26)+65))&amp;$R163&amp;""),"")</f>
        <v/>
      </c>
      <c r="Y163" s="51" t="str">
        <f t="array" aca="1" ref="Y163" ca="1">IF($R163&lt;&gt;"",
INDIRECT(""&amp;IF(COLUMN(J183)&lt;=26,CHAR(COLUMN(J183)+64),CHAR(INT((COLUMN(J183)-1)/26)+64)&amp;CHAR(MOD(COLUMN(J183)-1,26)+65))&amp;$R163&amp;""),"")</f>
        <v/>
      </c>
      <c r="Z163" s="51" t="str">
        <f t="array" aca="1" ref="Z163" ca="1">IF($R163&lt;&gt;"",
INDIRECT(""&amp;IF(COLUMN(K183)&lt;=26,CHAR(COLUMN(K183)+64),CHAR(INT((COLUMN(K183)-1)/26)+64)&amp;CHAR(MOD(COLUMN(K183)-1,26)+65))&amp;$R163&amp;""),"")</f>
        <v/>
      </c>
      <c r="AA163" s="51" t="str">
        <f t="array" aca="1" ref="AA163" ca="1">IF($R163&lt;&gt;"",
INDIRECT(""&amp;IF(COLUMN(L183)&lt;=26,CHAR(COLUMN(L183)+64),CHAR(INT((COLUMN(L183)-1)/26)+64)&amp;CHAR(MOD(COLUMN(L183)-1,26)+65))&amp;$R163&amp;""),"")</f>
        <v/>
      </c>
      <c r="AB163" s="51" t="str">
        <f t="array" aca="1" ref="AB163" ca="1">IF($R163&lt;&gt;"",
INDIRECT(""&amp;IF(COLUMN(O183)&lt;=26,CHAR(COLUMN(O183)+64),CHAR(INT((COLUMN(O183)-1)/26)+64)&amp;CHAR(MOD(COLUMN(O183)-1,26)+65))&amp;$R163&amp;""),"")</f>
        <v/>
      </c>
    </row>
    <row r="164" spans="1:28" ht="22.2" customHeight="1">
      <c r="A164" s="204">
        <f t="shared" si="40"/>
        <v>53</v>
      </c>
      <c r="B164" s="203" t="e" cm="1">
        <f t="array" aca="1" ref="B164" ca="1">IF(AND(LEFT(C164,2)="博多",
LEFT(INDIRECT("数出表_Excel!A"&amp;MATCH(C164,数出表_Excel!$A:$A,0)-1),2)
=LEFT(INDIRECT("数出表_Excel!A"&amp;MATCH(C164,数出表_Excel!$A:$A,0)+1),2)),"博多",
IF(AND(LEFT(C164,3)="奈良屋",
LEFT(INDIRECT("数出表_Excel!A"&amp;MATCH(C164,数出表_Excel!$A:$A,0)-1),2)
=LEFT(INDIRECT("数出表_Excel!A"&amp;MATCH(C164,数出表_Excel!$A:$A,0)+1),2)),"奈良屋",""))</f>
        <v>#N/A</v>
      </c>
      <c r="C164" s="203" t="str" cm="1">
        <f t="array" aca="1" ref="C164" ca="1">IF(IF(クライアント抽出!A24="",0,LEN(クライアント抽出!V24)-LEN(SUBSTITUTE(クライアント抽出!V24,",","")))&gt;=3,INDIRECT("数出表_Excel!A"&amp;A164&amp;""),"")</f>
        <v/>
      </c>
      <c r="D164" s="203" t="str" cm="1">
        <f t="array" aca="1" ref="D164" ca="1">IF(C164&lt;&gt;"",INDIRECT("クライアント抽出!"&amp;E164&amp;MATCH(C164,クライアント抽出!A:A,0)&amp;""),"")</f>
        <v/>
      </c>
      <c r="E164" s="203" t="str">
        <f ca="1">IF(H164&lt;&gt;0,
IFERROR(
SUBSTITUTE(ADDRESS(1,
MATCH(VALUE(H164),クライアント抽出!A24:G24,0)+8,4),"1",""),
""),
IFERROR(
SUBSTITUTE(ADDRESS(1,
MATCH(VALUE(I164),クライアント抽出!A24:G24,0)+8,4),"1",""),
""))</f>
        <v/>
      </c>
      <c r="F164" s="206" t="str" cm="1">
        <f t="array" aca="1" ref="F164" ca="1">IF(D164&lt;&gt;"",
IF(COUNTIF(C164,"*雙葉*"),
IF(ROUND(
IF(O164&lt;&gt;"",(H164-O164),H164)
/IF(COUNTIF('盛付札（関数）'!D164,"*キャラ*"),
VLOOKUP("*キャラ*",#REF!,7,FALSE),
IF(COUNTIF('盛付札（関数）'!D164,"*赤*"),
VLOOKUP("*赤*",#REF!,7,FALSE),
VLOOKUP('盛付札（関数）'!D164,#REF!,7,FALSE))),0)&lt;=0,1,
ROUND(
IF(O164&lt;&gt;"",(H164-O164),H164)
/IF(COUNTIF('盛付札（関数）'!D164,"*キャラ*"),
VLOOKUP("*キャラ*",#REF!,7,FALSE),
IF(COUNTIF('盛付札（関数）'!D164,"*赤*"),
VLOOKUP("*赤*",#REF!,7,FALSE),
VLOOKUP('盛付札（関数）'!D164,#REF!,7,FALSE))),0)),
IF(MATCH(TRUE,
ISNUMBER(--INDIRECT("数出表_Excel!B"&amp;MATCH(C164,数出表_Excel!$A:$A,0)-1&amp;":U"&amp;MATCH(C164,数出表_Excel!$A:$A,0)-1&amp;"")),0)&gt;10,
IF(D164&lt;&gt;"",
IF(IF(COUNTIF('盛付札（関数）'!D164,"*キャラ*"),
VLOOKUP("*キャラ*",#REF!,7,FALSE),
IF(COUNTIF('盛付札（関数）'!D164,"*赤*"),
VLOOKUP("*赤*",#REF!,7,FALSE),
VLOOKUP('盛付札（関数）'!D164,#REF!,7,FALSE)))=0,"",
IF(ROUND(
IF(O164&lt;&gt;"",(H164-O164),H164)
/IF(COUNTIF('盛付札（関数）'!D164,"*キャラ*"),
VLOOKUP("*キャラ*",#REF!,7,FALSE),
IF(COUNTIF('盛付札（関数）'!D164,"*赤*"),
VLOOKUP("*赤*",#REF!,7,FALSE),
VLOOKUP('盛付札（関数）'!D164,#REF!,7,FALSE))),0)&lt;=0,1,
ROUND(
IF(O164&lt;&gt;"",(H164-O164),H164)
/IF(COUNTIF('盛付札（関数）'!D164,"*キャラ*"),
VLOOKUP("*キャラ*",#REF!,7,FALSE),
IF(COUNTIF('盛付札（関数）'!D164,"*赤*"),
VLOOKUP("*赤*",#REF!,7,FALSE),
VLOOKUP('盛付札（関数）'!D164,#REF!,7,FALSE))),0))),""),"")),"")</f>
        <v/>
      </c>
      <c r="G164" s="206" t="str">
        <f ca="1">IF(F164&lt;&gt;"",IF(VALUE(IF(O164&lt;&gt;"",H164-O164,H164))&gt;VALUE(IF(COUNTIF('盛付札（関数）'!D164,"*キャラ*"),
VLOOKUP("*キャラ*",#REF!,7,FALSE),
IF(COUNTIF('盛付札（関数）'!D164,"*赤*"),
VLOOKUP("*赤*",#REF!,7,FALSE),
VLOOKUP('盛付札（関数）'!D164,#REF!,7,FALSE)))*F164),
"+"&amp;IF(O164&lt;&gt;"",H164-O164,H164)-IF(COUNTIF('盛付札（関数）'!D164,"*キャラ*"),
VLOOKUP("*キャラ*",#REF!,7,FALSE),
IF(COUNTIF('盛付札（関数）'!D164,"*赤*"),
VLOOKUP("*赤*",#REF!,7,FALSE),
VLOOKUP('盛付札（関数）'!D164,#REF!,7,FALSE)))*F164,
IF(O164&lt;&gt;"",H164-O164,H164)-IF(COUNTIF('盛付札（関数）'!D164,"*キャラ*"),
VLOOKUP("*キャラ*",#REF!,7,FALSE),
IF(COUNTIF('盛付札（関数）'!D164,"*赤*"),
VLOOKUP("*赤*",#REF!,7,FALSE),
VLOOKUP('盛付札（関数）'!D164,#REF!,7,FALSE)))*F164),"")</f>
        <v/>
      </c>
      <c r="H164" s="205" t="str" cm="1">
        <f t="array" aca="1" ref="H164" ca="1">IF(C164&lt;&gt;"",
IF(INDIRECT("数出表_Excel!"&amp;RIGHT(SUBSTITUTE(クライアント抽出!V24,",",""),1)&amp;A164-1&amp;"")&lt;&gt;"",
INDIRECT("数出表_Excel!"&amp;RIGHT(SUBSTITUTE(クライアント抽出!V24,",",""),1)&amp;A164-1&amp;""),0),"")</f>
        <v/>
      </c>
      <c r="I164" s="203" t="str" cm="1">
        <f t="array" aca="1" ref="I164" ca="1">IF(C164&lt;&gt;"",
IF(INDIRECT("数出表_Excel!"&amp;RIGHT(SUBSTITUTE(クライアント抽出!V24,",",""),1)&amp;A164&amp;"")&lt;&gt;"",
INDIRECT("数出表_Excel!"&amp;RIGHT(SUBSTITUTE(クライアント抽出!V24,",",""),1)&amp;A164&amp;""),0),"")</f>
        <v/>
      </c>
      <c r="J164" s="203" t="str">
        <f ca="1">IF(C164&lt;&gt;"",
VLOOKUP(
IF(COUNTIF(D164,"*学食*"),"キャラ弁（学食）",
IF(COUNTIF(D164,"*赤*"),"赤",
IF(COUNTIF(D164,"*キャラ弁当*"),"キャラ弁当",D164))),注文弁当の抽出!$E$1:$F$15,2,FALSE),"")</f>
        <v/>
      </c>
      <c r="K164" s="203" t="str">
        <f t="shared" ca="1" si="41"/>
        <v/>
      </c>
      <c r="L164" s="203" t="str">
        <f t="shared" ca="1" si="42"/>
        <v/>
      </c>
      <c r="M164" s="203" cm="1">
        <f t="array" aca="1" ref="M164" ca="1">IF(C164&lt;&gt;"",
IF(IFERROR(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0)&lt;&gt;0,
IF(IFERROR(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"")="",
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""),
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0)),0),0)</f>
        <v>0</v>
      </c>
      <c r="N164" s="203" t="e">
        <f t="array" aca="1" ref="N164" ca="1">IF(B164="博多",
IF(C164&lt;&gt;"",
IF(IFERROR(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0)&lt;&gt;0,
IF(IFERROR(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0)="",
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0),
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0)),0),""),0)</f>
        <v>#N/A</v>
      </c>
      <c r="O164" s="203" t="e">
        <f t="shared" ca="1" si="43"/>
        <v>#N/A</v>
      </c>
      <c r="P164" s="203">
        <f t="shared" ca="1" si="4"/>
        <v>0</v>
      </c>
      <c r="Q164" s="203" t="b">
        <f t="shared" ca="1" si="44"/>
        <v>0</v>
      </c>
      <c r="R164" s="51" t="str" cm="1">
        <f t="array" aca="1" ref="R164" ca="1">IFERROR(SMALL(IF(P$1:P$300&lt;&gt;0,P$1:P$300),ROW(A164)),"")</f>
        <v/>
      </c>
      <c r="S164" s="51" t="str">
        <f t="array" aca="1" ref="S164" ca="1">IF($R164&lt;&gt;"",
INDIRECT(""&amp;IF(COLUMN(C184)&lt;=26,CHAR(COLUMN(C184)+64),CHAR(INT((COLUMN(C184)-1)/26)+64)&amp;CHAR(MOD(COLUMN(C184)-1,26)+65))&amp;$R164&amp;""),"")</f>
        <v/>
      </c>
      <c r="T164" s="51" t="str" cm="1">
        <f t="array" aca="1" ref="T164" ca="1">IF(IF($R164&lt;&gt;"",
INDIRECT(""&amp;IF(COLUMN(D184)&lt;=26,CHAR(COLUMN(D184)+64),CHAR(INT((COLUMN(D184)-1)/26)+64)&amp;CHAR(MOD(COLUMN(D184)-1,26)+65))&amp;$R164&amp;""),"")=0,"",
IF($R164&lt;&gt;"",
INDIRECT(""&amp;IF(COLUMN(D184)&lt;=26,CHAR(COLUMN(D184)+64),CHAR(INT((COLUMN(D184)-1)/26)+64)&amp;CHAR(MOD(COLUMN(D184)-1,26)+65))&amp;$R164&amp;""),""))</f>
        <v/>
      </c>
      <c r="U164" s="51"/>
      <c r="V164" s="51" t="str">
        <f t="array" aca="1" ref="V164" ca="1">IF($R164&lt;&gt;"",
IF(U164="",
IF(INDIRECT("EY"&amp;$R164&amp;"")&lt;&gt;"",
INDIRECT("EY"&amp;$R164&amp;"")&amp;"箱"
&amp;INDIRECT("EZ"&amp;$R164&amp;""),""),""),"")</f>
        <v/>
      </c>
      <c r="W164" s="51" t="str">
        <f t="array" aca="1" ref="W164" ca="1">IF($R164&lt;&gt;"",
INDIRECT(""&amp;IF(COLUMN(H184)&lt;=26,CHAR(COLUMN(H184)+64),CHAR(INT((COLUMN(H184)-1)/26)+64)&amp;CHAR(MOD(COLUMN(H184)-1,26)+65))&amp;$R164&amp;""),"")</f>
        <v/>
      </c>
      <c r="X164" s="51" t="str">
        <f t="array" aca="1" ref="X164" ca="1">IF($R164&lt;&gt;"",
INDIRECT(""&amp;IF(COLUMN(I184)&lt;=26,CHAR(COLUMN(I184)+64),CHAR(INT((COLUMN(I184)-1)/26)+64)&amp;CHAR(MOD(COLUMN(I184)-1,26)+65))&amp;$R164&amp;""),"")</f>
        <v/>
      </c>
      <c r="Y164" s="51" t="str">
        <f t="array" aca="1" ref="Y164" ca="1">IF($R164&lt;&gt;"",
INDIRECT(""&amp;IF(COLUMN(J184)&lt;=26,CHAR(COLUMN(J184)+64),CHAR(INT((COLUMN(J184)-1)/26)+64)&amp;CHAR(MOD(COLUMN(J184)-1,26)+65))&amp;$R164&amp;""),"")</f>
        <v/>
      </c>
      <c r="Z164" s="51" t="str">
        <f t="array" aca="1" ref="Z164" ca="1">IF($R164&lt;&gt;"",
INDIRECT(""&amp;IF(COLUMN(K184)&lt;=26,CHAR(COLUMN(K184)+64),CHAR(INT((COLUMN(K184)-1)/26)+64)&amp;CHAR(MOD(COLUMN(K184)-1,26)+65))&amp;$R164&amp;""),"")</f>
        <v/>
      </c>
      <c r="AA164" s="51" t="str">
        <f t="array" aca="1" ref="AA164" ca="1">IF($R164&lt;&gt;"",
INDIRECT(""&amp;IF(COLUMN(L184)&lt;=26,CHAR(COLUMN(L184)+64),CHAR(INT((COLUMN(L184)-1)/26)+64)&amp;CHAR(MOD(COLUMN(L184)-1,26)+65))&amp;$R164&amp;""),"")</f>
        <v/>
      </c>
      <c r="AB164" s="51" t="str">
        <f t="array" aca="1" ref="AB164" ca="1">IF($R164&lt;&gt;"",
INDIRECT(""&amp;IF(COLUMN(O184)&lt;=26,CHAR(COLUMN(O184)+64),CHAR(INT((COLUMN(O184)-1)/26)+64)&amp;CHAR(MOD(COLUMN(O184)-1,26)+65))&amp;$R164&amp;""),"")</f>
        <v/>
      </c>
    </row>
    <row r="165" spans="1:28" ht="22.2" customHeight="1">
      <c r="A165" s="204">
        <f t="shared" si="40"/>
        <v>55</v>
      </c>
      <c r="B165" s="203" t="e" cm="1">
        <f t="array" aca="1" ref="B165" ca="1">IF(AND(LEFT(C165,2)="博多",
LEFT(INDIRECT("数出表_Excel!A"&amp;MATCH(C165,数出表_Excel!$A:$A,0)-1),2)
=LEFT(INDIRECT("数出表_Excel!A"&amp;MATCH(C165,数出表_Excel!$A:$A,0)+1),2)),"博多",
IF(AND(LEFT(C165,3)="奈良屋",
LEFT(INDIRECT("数出表_Excel!A"&amp;MATCH(C165,数出表_Excel!$A:$A,0)-1),2)
=LEFT(INDIRECT("数出表_Excel!A"&amp;MATCH(C165,数出表_Excel!$A:$A,0)+1),2)),"奈良屋",""))</f>
        <v>#N/A</v>
      </c>
      <c r="C165" s="203" t="str" cm="1">
        <f t="array" aca="1" ref="C165" ca="1">IF(IF(クライアント抽出!A25="",0,LEN(クライアント抽出!V25)-LEN(SUBSTITUTE(クライアント抽出!V25,",","")))&gt;=3,INDIRECT("数出表_Excel!A"&amp;A165&amp;""),"")</f>
        <v/>
      </c>
      <c r="D165" s="203" t="str" cm="1">
        <f t="array" aca="1" ref="D165" ca="1">IF(C165&lt;&gt;"",INDIRECT("クライアント抽出!"&amp;E165&amp;MATCH(C165,クライアント抽出!A:A,0)&amp;""),"")</f>
        <v/>
      </c>
      <c r="E165" s="203" t="str">
        <f ca="1">IF(H165&lt;&gt;0,
IFERROR(
SUBSTITUTE(ADDRESS(1,
MATCH(VALUE(H165),クライアント抽出!A25:G25,0)+8,4),"1",""),
""),
IFERROR(
SUBSTITUTE(ADDRESS(1,
MATCH(VALUE(I165),クライアント抽出!A25:G25,0)+8,4),"1",""),
""))</f>
        <v/>
      </c>
      <c r="F165" s="206" t="str" cm="1">
        <f t="array" aca="1" ref="F165" ca="1">IF(D165&lt;&gt;"",
IF(COUNTIF(C165,"*雙葉*"),
IF(ROUND(
IF(O165&lt;&gt;"",(H165-O165),H165)
/IF(COUNTIF('盛付札（関数）'!D165,"*キャラ*"),
VLOOKUP("*キャラ*",#REF!,7,FALSE),
IF(COUNTIF('盛付札（関数）'!D165,"*赤*"),
VLOOKUP("*赤*",#REF!,7,FALSE),
VLOOKUP('盛付札（関数）'!D165,#REF!,7,FALSE))),0)&lt;=0,1,
ROUND(
IF(O165&lt;&gt;"",(H165-O165),H165)
/IF(COUNTIF('盛付札（関数）'!D165,"*キャラ*"),
VLOOKUP("*キャラ*",#REF!,7,FALSE),
IF(COUNTIF('盛付札（関数）'!D165,"*赤*"),
VLOOKUP("*赤*",#REF!,7,FALSE),
VLOOKUP('盛付札（関数）'!D165,#REF!,7,FALSE))),0)),
IF(MATCH(TRUE,
ISNUMBER(--INDIRECT("数出表_Excel!B"&amp;MATCH(C165,数出表_Excel!$A:$A,0)-1&amp;":U"&amp;MATCH(C165,数出表_Excel!$A:$A,0)-1&amp;"")),0)&gt;10,
IF(D165&lt;&gt;"",
IF(IF(COUNTIF('盛付札（関数）'!D165,"*キャラ*"),
VLOOKUP("*キャラ*",#REF!,7,FALSE),
IF(COUNTIF('盛付札（関数）'!D165,"*赤*"),
VLOOKUP("*赤*",#REF!,7,FALSE),
VLOOKUP('盛付札（関数）'!D165,#REF!,7,FALSE)))=0,"",
IF(ROUND(
IF(O165&lt;&gt;"",(H165-O165),H165)
/IF(COUNTIF('盛付札（関数）'!D165,"*キャラ*"),
VLOOKUP("*キャラ*",#REF!,7,FALSE),
IF(COUNTIF('盛付札（関数）'!D165,"*赤*"),
VLOOKUP("*赤*",#REF!,7,FALSE),
VLOOKUP('盛付札（関数）'!D165,#REF!,7,FALSE))),0)&lt;=0,1,
ROUND(
IF(O165&lt;&gt;"",(H165-O165),H165)
/IF(COUNTIF('盛付札（関数）'!D165,"*キャラ*"),
VLOOKUP("*キャラ*",#REF!,7,FALSE),
IF(COUNTIF('盛付札（関数）'!D165,"*赤*"),
VLOOKUP("*赤*",#REF!,7,FALSE),
VLOOKUP('盛付札（関数）'!D165,#REF!,7,FALSE))),0))),""),"")),"")</f>
        <v/>
      </c>
      <c r="G165" s="206" t="str">
        <f ca="1">IF(F165&lt;&gt;"",IF(VALUE(IF(O165&lt;&gt;"",H165-O165,H165))&gt;VALUE(IF(COUNTIF('盛付札（関数）'!D165,"*キャラ*"),
VLOOKUP("*キャラ*",#REF!,7,FALSE),
IF(COUNTIF('盛付札（関数）'!D165,"*赤*"),
VLOOKUP("*赤*",#REF!,7,FALSE),
VLOOKUP('盛付札（関数）'!D165,#REF!,7,FALSE)))*F165),
"+"&amp;IF(O165&lt;&gt;"",H165-O165,H165)-IF(COUNTIF('盛付札（関数）'!D165,"*キャラ*"),
VLOOKUP("*キャラ*",#REF!,7,FALSE),
IF(COUNTIF('盛付札（関数）'!D165,"*赤*"),
VLOOKUP("*赤*",#REF!,7,FALSE),
VLOOKUP('盛付札（関数）'!D165,#REF!,7,FALSE)))*F165,
IF(O165&lt;&gt;"",H165-O165,H165)-IF(COUNTIF('盛付札（関数）'!D165,"*キャラ*"),
VLOOKUP("*キャラ*",#REF!,7,FALSE),
IF(COUNTIF('盛付札（関数）'!D165,"*赤*"),
VLOOKUP("*赤*",#REF!,7,FALSE),
VLOOKUP('盛付札（関数）'!D165,#REF!,7,FALSE)))*F165),"")</f>
        <v/>
      </c>
      <c r="H165" s="205" t="str" cm="1">
        <f t="array" aca="1" ref="H165" ca="1">IF(C165&lt;&gt;"",
IF(INDIRECT("数出表_Excel!"&amp;RIGHT(SUBSTITUTE(クライアント抽出!V25,",",""),1)&amp;A165-1&amp;"")&lt;&gt;"",
INDIRECT("数出表_Excel!"&amp;RIGHT(SUBSTITUTE(クライアント抽出!V25,",",""),1)&amp;A165-1&amp;""),0),"")</f>
        <v/>
      </c>
      <c r="I165" s="203" t="str" cm="1">
        <f t="array" aca="1" ref="I165" ca="1">IF(C165&lt;&gt;"",
IF(INDIRECT("数出表_Excel!"&amp;RIGHT(SUBSTITUTE(クライアント抽出!V25,",",""),1)&amp;A165&amp;"")&lt;&gt;"",
INDIRECT("数出表_Excel!"&amp;RIGHT(SUBSTITUTE(クライアント抽出!V25,",",""),1)&amp;A165&amp;""),0),"")</f>
        <v/>
      </c>
      <c r="J165" s="203" t="str">
        <f ca="1">IF(C165&lt;&gt;"",
VLOOKUP(
IF(COUNTIF(D165,"*学食*"),"キャラ弁（学食）",
IF(COUNTIF(D165,"*赤*"),"赤",
IF(COUNTIF(D165,"*キャラ弁当*"),"キャラ弁当",D165))),注文弁当の抽出!$E$1:$F$15,2,FALSE),"")</f>
        <v/>
      </c>
      <c r="K165" s="203" t="str">
        <f t="shared" ca="1" si="41"/>
        <v/>
      </c>
      <c r="L165" s="203" t="str">
        <f t="shared" ca="1" si="42"/>
        <v/>
      </c>
      <c r="M165" s="203" cm="1">
        <f t="array" aca="1" ref="M165" ca="1">IF(C165&lt;&gt;"",
IF(IFERROR(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0)&lt;&gt;0,
IF(IFERROR(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"")="",
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""),
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0)),0),0)</f>
        <v>0</v>
      </c>
      <c r="N165" s="203" t="e">
        <f t="array" aca="1" ref="N165" ca="1">IF(B165="博多",
IF(C165&lt;&gt;"",
IF(IFERROR(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0)&lt;&gt;0,
IF(IFERROR(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0)="",
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0),
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0)),0),""),0)</f>
        <v>#N/A</v>
      </c>
      <c r="O165" s="203" t="e">
        <f t="shared" ca="1" si="43"/>
        <v>#N/A</v>
      </c>
      <c r="P165" s="203">
        <f t="shared" ca="1" si="4"/>
        <v>0</v>
      </c>
      <c r="Q165" s="203" t="b">
        <f t="shared" ca="1" si="44"/>
        <v>0</v>
      </c>
      <c r="R165" s="51" t="str" cm="1">
        <f t="array" aca="1" ref="R165" ca="1">IFERROR(SMALL(IF(P$1:P$300&lt;&gt;0,P$1:P$300),ROW(A165)),"")</f>
        <v/>
      </c>
      <c r="S165" s="51" t="str">
        <f t="array" aca="1" ref="S165" ca="1">IF($R165&lt;&gt;"",
INDIRECT(""&amp;IF(COLUMN(C185)&lt;=26,CHAR(COLUMN(C185)+64),CHAR(INT((COLUMN(C185)-1)/26)+64)&amp;CHAR(MOD(COLUMN(C185)-1,26)+65))&amp;$R165&amp;""),"")</f>
        <v/>
      </c>
      <c r="T165" s="51" t="str" cm="1">
        <f t="array" aca="1" ref="T165" ca="1">IF(IF($R165&lt;&gt;"",
INDIRECT(""&amp;IF(COLUMN(D185)&lt;=26,CHAR(COLUMN(D185)+64),CHAR(INT((COLUMN(D185)-1)/26)+64)&amp;CHAR(MOD(COLUMN(D185)-1,26)+65))&amp;$R165&amp;""),"")=0,"",
IF($R165&lt;&gt;"",
INDIRECT(""&amp;IF(COLUMN(D185)&lt;=26,CHAR(COLUMN(D185)+64),CHAR(INT((COLUMN(D185)-1)/26)+64)&amp;CHAR(MOD(COLUMN(D185)-1,26)+65))&amp;$R165&amp;""),""))</f>
        <v/>
      </c>
      <c r="U165" s="51"/>
      <c r="V165" s="51" t="str">
        <f t="array" aca="1" ref="V165" ca="1">IF($R165&lt;&gt;"",
IF(U165="",
IF(INDIRECT("EY"&amp;$R165&amp;"")&lt;&gt;"",
INDIRECT("EY"&amp;$R165&amp;"")&amp;"箱"
&amp;INDIRECT("EZ"&amp;$R165&amp;""),""),""),"")</f>
        <v/>
      </c>
      <c r="W165" s="51" t="str">
        <f t="array" aca="1" ref="W165" ca="1">IF($R165&lt;&gt;"",
INDIRECT(""&amp;IF(COLUMN(H185)&lt;=26,CHAR(COLUMN(H185)+64),CHAR(INT((COLUMN(H185)-1)/26)+64)&amp;CHAR(MOD(COLUMN(H185)-1,26)+65))&amp;$R165&amp;""),"")</f>
        <v/>
      </c>
      <c r="X165" s="51" t="str">
        <f t="array" aca="1" ref="X165" ca="1">IF($R165&lt;&gt;"",
INDIRECT(""&amp;IF(COLUMN(I185)&lt;=26,CHAR(COLUMN(I185)+64),CHAR(INT((COLUMN(I185)-1)/26)+64)&amp;CHAR(MOD(COLUMN(I185)-1,26)+65))&amp;$R165&amp;""),"")</f>
        <v/>
      </c>
      <c r="Y165" s="51" t="str">
        <f t="array" aca="1" ref="Y165" ca="1">IF($R165&lt;&gt;"",
INDIRECT(""&amp;IF(COLUMN(J185)&lt;=26,CHAR(COLUMN(J185)+64),CHAR(INT((COLUMN(J185)-1)/26)+64)&amp;CHAR(MOD(COLUMN(J185)-1,26)+65))&amp;$R165&amp;""),"")</f>
        <v/>
      </c>
      <c r="Z165" s="51" t="str">
        <f t="array" aca="1" ref="Z165" ca="1">IF($R165&lt;&gt;"",
INDIRECT(""&amp;IF(COLUMN(K185)&lt;=26,CHAR(COLUMN(K185)+64),CHAR(INT((COLUMN(K185)-1)/26)+64)&amp;CHAR(MOD(COLUMN(K185)-1,26)+65))&amp;$R165&amp;""),"")</f>
        <v/>
      </c>
      <c r="AA165" s="51" t="str">
        <f t="array" aca="1" ref="AA165" ca="1">IF($R165&lt;&gt;"",
INDIRECT(""&amp;IF(COLUMN(L185)&lt;=26,CHAR(COLUMN(L185)+64),CHAR(INT((COLUMN(L185)-1)/26)+64)&amp;CHAR(MOD(COLUMN(L185)-1,26)+65))&amp;$R165&amp;""),"")</f>
        <v/>
      </c>
      <c r="AB165" s="51" t="str">
        <f t="array" aca="1" ref="AB165" ca="1">IF($R165&lt;&gt;"",
INDIRECT(""&amp;IF(COLUMN(O185)&lt;=26,CHAR(COLUMN(O185)+64),CHAR(INT((COLUMN(O185)-1)/26)+64)&amp;CHAR(MOD(COLUMN(O185)-1,26)+65))&amp;$R165&amp;""),"")</f>
        <v/>
      </c>
    </row>
    <row r="166" spans="1:28" ht="22.2" customHeight="1">
      <c r="A166" s="204">
        <f t="shared" si="40"/>
        <v>57</v>
      </c>
      <c r="B166" s="203" t="e" cm="1">
        <f t="array" aca="1" ref="B166" ca="1">IF(AND(LEFT(C166,2)="博多",
LEFT(INDIRECT("数出表_Excel!A"&amp;MATCH(C166,数出表_Excel!$A:$A,0)-1),2)
=LEFT(INDIRECT("数出表_Excel!A"&amp;MATCH(C166,数出表_Excel!$A:$A,0)+1),2)),"博多",
IF(AND(LEFT(C166,3)="奈良屋",
LEFT(INDIRECT("数出表_Excel!A"&amp;MATCH(C166,数出表_Excel!$A:$A,0)-1),2)
=LEFT(INDIRECT("数出表_Excel!A"&amp;MATCH(C166,数出表_Excel!$A:$A,0)+1),2)),"奈良屋",""))</f>
        <v>#N/A</v>
      </c>
      <c r="C166" s="203" t="str" cm="1">
        <f t="array" aca="1" ref="C166" ca="1">IF(IF(クライアント抽出!A26="",0,LEN(クライアント抽出!V26)-LEN(SUBSTITUTE(クライアント抽出!V26,",","")))&gt;=3,INDIRECT("数出表_Excel!A"&amp;A166&amp;""),"")</f>
        <v/>
      </c>
      <c r="D166" s="203" t="str" cm="1">
        <f t="array" aca="1" ref="D166" ca="1">IF(C166&lt;&gt;"",INDIRECT("クライアント抽出!"&amp;E166&amp;MATCH(C166,クライアント抽出!A:A,0)&amp;""),"")</f>
        <v/>
      </c>
      <c r="E166" s="203" t="str">
        <f ca="1">IF(H166&lt;&gt;0,
IFERROR(
SUBSTITUTE(ADDRESS(1,
MATCH(VALUE(H166),クライアント抽出!A26:G26,0)+8,4),"1",""),
""),
IFERROR(
SUBSTITUTE(ADDRESS(1,
MATCH(VALUE(I166),クライアント抽出!A26:G26,0)+8,4),"1",""),
""))</f>
        <v/>
      </c>
      <c r="F166" s="206" t="str" cm="1">
        <f t="array" aca="1" ref="F166" ca="1">IF(D166&lt;&gt;"",
IF(COUNTIF(C166,"*雙葉*"),
IF(ROUND(
IF(O166&lt;&gt;"",(H166-O166),H166)
/IF(COUNTIF('盛付札（関数）'!D166,"*キャラ*"),
VLOOKUP("*キャラ*",#REF!,7,FALSE),
IF(COUNTIF('盛付札（関数）'!D166,"*赤*"),
VLOOKUP("*赤*",#REF!,7,FALSE),
VLOOKUP('盛付札（関数）'!D166,#REF!,7,FALSE))),0)&lt;=0,1,
ROUND(
IF(O166&lt;&gt;"",(H166-O166),H166)
/IF(COUNTIF('盛付札（関数）'!D166,"*キャラ*"),
VLOOKUP("*キャラ*",#REF!,7,FALSE),
IF(COUNTIF('盛付札（関数）'!D166,"*赤*"),
VLOOKUP("*赤*",#REF!,7,FALSE),
VLOOKUP('盛付札（関数）'!D166,#REF!,7,FALSE))),0)),
IF(MATCH(TRUE,
ISNUMBER(--INDIRECT("数出表_Excel!B"&amp;MATCH(C166,数出表_Excel!$A:$A,0)-1&amp;":U"&amp;MATCH(C166,数出表_Excel!$A:$A,0)-1&amp;"")),0)&gt;10,
IF(D166&lt;&gt;"",
IF(IF(COUNTIF('盛付札（関数）'!D166,"*キャラ*"),
VLOOKUP("*キャラ*",#REF!,7,FALSE),
IF(COUNTIF('盛付札（関数）'!D166,"*赤*"),
VLOOKUP("*赤*",#REF!,7,FALSE),
VLOOKUP('盛付札（関数）'!D166,#REF!,7,FALSE)))=0,"",
IF(ROUND(
IF(O166&lt;&gt;"",(H166-O166),H166)
/IF(COUNTIF('盛付札（関数）'!D166,"*キャラ*"),
VLOOKUP("*キャラ*",#REF!,7,FALSE),
IF(COUNTIF('盛付札（関数）'!D166,"*赤*"),
VLOOKUP("*赤*",#REF!,7,FALSE),
VLOOKUP('盛付札（関数）'!D166,#REF!,7,FALSE))),0)&lt;=0,1,
ROUND(
IF(O166&lt;&gt;"",(H166-O166),H166)
/IF(COUNTIF('盛付札（関数）'!D166,"*キャラ*"),
VLOOKUP("*キャラ*",#REF!,7,FALSE),
IF(COUNTIF('盛付札（関数）'!D166,"*赤*"),
VLOOKUP("*赤*",#REF!,7,FALSE),
VLOOKUP('盛付札（関数）'!D166,#REF!,7,FALSE))),0))),""),"")),"")</f>
        <v/>
      </c>
      <c r="G166" s="206" t="str">
        <f ca="1">IF(F166&lt;&gt;"",IF(VALUE(IF(O166&lt;&gt;"",H166-O166,H166))&gt;VALUE(IF(COUNTIF('盛付札（関数）'!D166,"*キャラ*"),
VLOOKUP("*キャラ*",#REF!,7,FALSE),
IF(COUNTIF('盛付札（関数）'!D166,"*赤*"),
VLOOKUP("*赤*",#REF!,7,FALSE),
VLOOKUP('盛付札（関数）'!D166,#REF!,7,FALSE)))*F166),
"+"&amp;IF(O166&lt;&gt;"",H166-O166,H166)-IF(COUNTIF('盛付札（関数）'!D166,"*キャラ*"),
VLOOKUP("*キャラ*",#REF!,7,FALSE),
IF(COUNTIF('盛付札（関数）'!D166,"*赤*"),
VLOOKUP("*赤*",#REF!,7,FALSE),
VLOOKUP('盛付札（関数）'!D166,#REF!,7,FALSE)))*F166,
IF(O166&lt;&gt;"",H166-O166,H166)-IF(COUNTIF('盛付札（関数）'!D166,"*キャラ*"),
VLOOKUP("*キャラ*",#REF!,7,FALSE),
IF(COUNTIF('盛付札（関数）'!D166,"*赤*"),
VLOOKUP("*赤*",#REF!,7,FALSE),
VLOOKUP('盛付札（関数）'!D166,#REF!,7,FALSE)))*F166),"")</f>
        <v/>
      </c>
      <c r="H166" s="205" t="str" cm="1">
        <f t="array" aca="1" ref="H166" ca="1">IF(C166&lt;&gt;"",
IF(INDIRECT("数出表_Excel!"&amp;RIGHT(SUBSTITUTE(クライアント抽出!V26,",",""),1)&amp;A166-1&amp;"")&lt;&gt;"",
INDIRECT("数出表_Excel!"&amp;RIGHT(SUBSTITUTE(クライアント抽出!V26,",",""),1)&amp;A166-1&amp;""),0),"")</f>
        <v/>
      </c>
      <c r="I166" s="203" t="str" cm="1">
        <f t="array" aca="1" ref="I166" ca="1">IF(C166&lt;&gt;"",
IF(INDIRECT("数出表_Excel!"&amp;RIGHT(SUBSTITUTE(クライアント抽出!V26,",",""),1)&amp;A166&amp;"")&lt;&gt;"",
INDIRECT("数出表_Excel!"&amp;RIGHT(SUBSTITUTE(クライアント抽出!V26,",",""),1)&amp;A166&amp;""),0),"")</f>
        <v/>
      </c>
      <c r="J166" s="203" t="str">
        <f ca="1">IF(C166&lt;&gt;"",
VLOOKUP(
IF(COUNTIF(D166,"*学食*"),"キャラ弁（学食）",
IF(COUNTIF(D166,"*赤*"),"赤",
IF(COUNTIF(D166,"*キャラ弁当*"),"キャラ弁当",D166))),注文弁当の抽出!$E$1:$F$15,2,FALSE),"")</f>
        <v/>
      </c>
      <c r="K166" s="203" t="str">
        <f t="shared" ca="1" si="41"/>
        <v/>
      </c>
      <c r="L166" s="203" t="str">
        <f t="shared" ca="1" si="42"/>
        <v/>
      </c>
      <c r="M166" s="203" cm="1">
        <f t="array" aca="1" ref="M166" ca="1">IF(C166&lt;&gt;"",
IF(IFERROR(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0)&lt;&gt;0,
IF(IFERROR(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"")="",
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""),
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0)),0),0)</f>
        <v>0</v>
      </c>
      <c r="N166" s="203" t="e">
        <f t="array" aca="1" ref="N166" ca="1">IF(B166="博多",
IF(C166&lt;&gt;"",
IF(IFERROR(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0)&lt;&gt;0,
IF(IFERROR(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0)="",
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0),
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0)),0),""),0)</f>
        <v>#N/A</v>
      </c>
      <c r="O166" s="203" t="e">
        <f t="shared" ca="1" si="43"/>
        <v>#N/A</v>
      </c>
      <c r="P166" s="203">
        <f t="shared" ca="1" si="4"/>
        <v>0</v>
      </c>
      <c r="Q166" s="203" t="b">
        <f t="shared" ca="1" si="44"/>
        <v>0</v>
      </c>
      <c r="R166" s="51" t="str" cm="1">
        <f t="array" aca="1" ref="R166" ca="1">IFERROR(SMALL(IF(P$1:P$300&lt;&gt;0,P$1:P$300),ROW(A166)),"")</f>
        <v/>
      </c>
      <c r="S166" s="51" t="str">
        <f t="array" aca="1" ref="S166" ca="1">IF($R166&lt;&gt;"",
INDIRECT(""&amp;IF(COLUMN(C186)&lt;=26,CHAR(COLUMN(C186)+64),CHAR(INT((COLUMN(C186)-1)/26)+64)&amp;CHAR(MOD(COLUMN(C186)-1,26)+65))&amp;$R166&amp;""),"")</f>
        <v/>
      </c>
      <c r="T166" s="51" t="str" cm="1">
        <f t="array" aca="1" ref="T166" ca="1">IF(IF($R166&lt;&gt;"",
INDIRECT(""&amp;IF(COLUMN(D186)&lt;=26,CHAR(COLUMN(D186)+64),CHAR(INT((COLUMN(D186)-1)/26)+64)&amp;CHAR(MOD(COLUMN(D186)-1,26)+65))&amp;$R166&amp;""),"")=0,"",
IF($R166&lt;&gt;"",
INDIRECT(""&amp;IF(COLUMN(D186)&lt;=26,CHAR(COLUMN(D186)+64),CHAR(INT((COLUMN(D186)-1)/26)+64)&amp;CHAR(MOD(COLUMN(D186)-1,26)+65))&amp;$R166&amp;""),""))</f>
        <v/>
      </c>
      <c r="U166" s="51"/>
      <c r="V166" s="51" t="str">
        <f t="array" aca="1" ref="V166" ca="1">IF($R166&lt;&gt;"",
IF(U166="",
IF(INDIRECT("EY"&amp;$R166&amp;"")&lt;&gt;"",
INDIRECT("EY"&amp;$R166&amp;"")&amp;"箱"
&amp;INDIRECT("EZ"&amp;$R166&amp;""),""),""),"")</f>
        <v/>
      </c>
      <c r="W166" s="51" t="str">
        <f t="array" aca="1" ref="W166" ca="1">IF($R166&lt;&gt;"",
INDIRECT(""&amp;IF(COLUMN(H186)&lt;=26,CHAR(COLUMN(H186)+64),CHAR(INT((COLUMN(H186)-1)/26)+64)&amp;CHAR(MOD(COLUMN(H186)-1,26)+65))&amp;$R166&amp;""),"")</f>
        <v/>
      </c>
      <c r="X166" s="51" t="str">
        <f t="array" aca="1" ref="X166" ca="1">IF($R166&lt;&gt;"",
INDIRECT(""&amp;IF(COLUMN(I186)&lt;=26,CHAR(COLUMN(I186)+64),CHAR(INT((COLUMN(I186)-1)/26)+64)&amp;CHAR(MOD(COLUMN(I186)-1,26)+65))&amp;$R166&amp;""),"")</f>
        <v/>
      </c>
      <c r="Y166" s="51" t="str">
        <f t="array" aca="1" ref="Y166" ca="1">IF($R166&lt;&gt;"",
INDIRECT(""&amp;IF(COLUMN(J186)&lt;=26,CHAR(COLUMN(J186)+64),CHAR(INT((COLUMN(J186)-1)/26)+64)&amp;CHAR(MOD(COLUMN(J186)-1,26)+65))&amp;$R166&amp;""),"")</f>
        <v/>
      </c>
      <c r="Z166" s="51" t="str">
        <f t="array" aca="1" ref="Z166" ca="1">IF($R166&lt;&gt;"",
INDIRECT(""&amp;IF(COLUMN(K186)&lt;=26,CHAR(COLUMN(K186)+64),CHAR(INT((COLUMN(K186)-1)/26)+64)&amp;CHAR(MOD(COLUMN(K186)-1,26)+65))&amp;$R166&amp;""),"")</f>
        <v/>
      </c>
      <c r="AA166" s="51" t="str">
        <f t="array" aca="1" ref="AA166" ca="1">IF($R166&lt;&gt;"",
INDIRECT(""&amp;IF(COLUMN(L186)&lt;=26,CHAR(COLUMN(L186)+64),CHAR(INT((COLUMN(L186)-1)/26)+64)&amp;CHAR(MOD(COLUMN(L186)-1,26)+65))&amp;$R166&amp;""),"")</f>
        <v/>
      </c>
      <c r="AB166" s="51" t="str">
        <f t="array" aca="1" ref="AB166" ca="1">IF($R166&lt;&gt;"",
INDIRECT(""&amp;IF(COLUMN(O186)&lt;=26,CHAR(COLUMN(O186)+64),CHAR(INT((COLUMN(O186)-1)/26)+64)&amp;CHAR(MOD(COLUMN(O186)-1,26)+65))&amp;$R166&amp;""),"")</f>
        <v/>
      </c>
    </row>
    <row r="167" spans="1:28" ht="22.2" customHeight="1">
      <c r="A167" s="204">
        <f t="shared" si="40"/>
        <v>59</v>
      </c>
      <c r="B167" s="203" t="e" cm="1">
        <f t="array" aca="1" ref="B167" ca="1">IF(AND(LEFT(C167,2)="博多",
LEFT(INDIRECT("数出表_Excel!A"&amp;MATCH(C167,数出表_Excel!$A:$A,0)-1),2)
=LEFT(INDIRECT("数出表_Excel!A"&amp;MATCH(C167,数出表_Excel!$A:$A,0)+1),2)),"博多",
IF(AND(LEFT(C167,3)="奈良屋",
LEFT(INDIRECT("数出表_Excel!A"&amp;MATCH(C167,数出表_Excel!$A:$A,0)-1),2)
=LEFT(INDIRECT("数出表_Excel!A"&amp;MATCH(C167,数出表_Excel!$A:$A,0)+1),2)),"奈良屋",""))</f>
        <v>#N/A</v>
      </c>
      <c r="C167" s="203" t="str" cm="1">
        <f t="array" aca="1" ref="C167" ca="1">IF(IF(クライアント抽出!A27="",0,LEN(クライアント抽出!V27)-LEN(SUBSTITUTE(クライアント抽出!V27,",","")))&gt;=3,INDIRECT("数出表_Excel!A"&amp;A167&amp;""),"")</f>
        <v/>
      </c>
      <c r="D167" s="203" t="str" cm="1">
        <f t="array" aca="1" ref="D167" ca="1">IF(C167&lt;&gt;"",INDIRECT("クライアント抽出!"&amp;E167&amp;MATCH(C167,クライアント抽出!A:A,0)&amp;""),"")</f>
        <v/>
      </c>
      <c r="E167" s="203" t="str">
        <f ca="1">IF(H167&lt;&gt;0,
IFERROR(
SUBSTITUTE(ADDRESS(1,
MATCH(VALUE(H167),クライアント抽出!A27:G27,0)+8,4),"1",""),
""),
IFERROR(
SUBSTITUTE(ADDRESS(1,
MATCH(VALUE(I167),クライアント抽出!A27:G27,0)+8,4),"1",""),
""))</f>
        <v/>
      </c>
      <c r="F167" s="206" t="str" cm="1">
        <f t="array" aca="1" ref="F167" ca="1">IF(D167&lt;&gt;"",
IF(COUNTIF(C167,"*雙葉*"),
IF(ROUND(
IF(O167&lt;&gt;"",(H167-O167),H167)
/IF(COUNTIF('盛付札（関数）'!D167,"*キャラ*"),
VLOOKUP("*キャラ*",#REF!,7,FALSE),
IF(COUNTIF('盛付札（関数）'!D167,"*赤*"),
VLOOKUP("*赤*",#REF!,7,FALSE),
VLOOKUP('盛付札（関数）'!D167,#REF!,7,FALSE))),0)&lt;=0,1,
ROUND(
IF(O167&lt;&gt;"",(H167-O167),H167)
/IF(COUNTIF('盛付札（関数）'!D167,"*キャラ*"),
VLOOKUP("*キャラ*",#REF!,7,FALSE),
IF(COUNTIF('盛付札（関数）'!D167,"*赤*"),
VLOOKUP("*赤*",#REF!,7,FALSE),
VLOOKUP('盛付札（関数）'!D167,#REF!,7,FALSE))),0)),
IF(MATCH(TRUE,
ISNUMBER(--INDIRECT("数出表_Excel!B"&amp;MATCH(C167,数出表_Excel!$A:$A,0)-1&amp;":U"&amp;MATCH(C167,数出表_Excel!$A:$A,0)-1&amp;"")),0)&gt;10,
IF(D167&lt;&gt;"",
IF(IF(COUNTIF('盛付札（関数）'!D167,"*キャラ*"),
VLOOKUP("*キャラ*",#REF!,7,FALSE),
IF(COUNTIF('盛付札（関数）'!D167,"*赤*"),
VLOOKUP("*赤*",#REF!,7,FALSE),
VLOOKUP('盛付札（関数）'!D167,#REF!,7,FALSE)))=0,"",
IF(ROUND(
IF(O167&lt;&gt;"",(H167-O167),H167)
/IF(COUNTIF('盛付札（関数）'!D167,"*キャラ*"),
VLOOKUP("*キャラ*",#REF!,7,FALSE),
IF(COUNTIF('盛付札（関数）'!D167,"*赤*"),
VLOOKUP("*赤*",#REF!,7,FALSE),
VLOOKUP('盛付札（関数）'!D167,#REF!,7,FALSE))),0)&lt;=0,1,
ROUND(
IF(O167&lt;&gt;"",(H167-O167),H167)
/IF(COUNTIF('盛付札（関数）'!D167,"*キャラ*"),
VLOOKUP("*キャラ*",#REF!,7,FALSE),
IF(COUNTIF('盛付札（関数）'!D167,"*赤*"),
VLOOKUP("*赤*",#REF!,7,FALSE),
VLOOKUP('盛付札（関数）'!D167,#REF!,7,FALSE))),0))),""),"")),"")</f>
        <v/>
      </c>
      <c r="G167" s="206" t="str">
        <f ca="1">IF(F167&lt;&gt;"",IF(VALUE(IF(O167&lt;&gt;"",H167-O167,H167))&gt;VALUE(IF(COUNTIF('盛付札（関数）'!D167,"*キャラ*"),
VLOOKUP("*キャラ*",#REF!,7,FALSE),
IF(COUNTIF('盛付札（関数）'!D167,"*赤*"),
VLOOKUP("*赤*",#REF!,7,FALSE),
VLOOKUP('盛付札（関数）'!D167,#REF!,7,FALSE)))*F167),
"+"&amp;IF(O167&lt;&gt;"",H167-O167,H167)-IF(COUNTIF('盛付札（関数）'!D167,"*キャラ*"),
VLOOKUP("*キャラ*",#REF!,7,FALSE),
IF(COUNTIF('盛付札（関数）'!D167,"*赤*"),
VLOOKUP("*赤*",#REF!,7,FALSE),
VLOOKUP('盛付札（関数）'!D167,#REF!,7,FALSE)))*F167,
IF(O167&lt;&gt;"",H167-O167,H167)-IF(COUNTIF('盛付札（関数）'!D167,"*キャラ*"),
VLOOKUP("*キャラ*",#REF!,7,FALSE),
IF(COUNTIF('盛付札（関数）'!D167,"*赤*"),
VLOOKUP("*赤*",#REF!,7,FALSE),
VLOOKUP('盛付札（関数）'!D167,#REF!,7,FALSE)))*F167),"")</f>
        <v/>
      </c>
      <c r="H167" s="205" t="str" cm="1">
        <f t="array" aca="1" ref="H167" ca="1">IF(C167&lt;&gt;"",
IF(INDIRECT("数出表_Excel!"&amp;RIGHT(SUBSTITUTE(クライアント抽出!V27,",",""),1)&amp;A167-1&amp;"")&lt;&gt;"",
INDIRECT("数出表_Excel!"&amp;RIGHT(SUBSTITUTE(クライアント抽出!V27,",",""),1)&amp;A167-1&amp;""),0),"")</f>
        <v/>
      </c>
      <c r="I167" s="203" t="str" cm="1">
        <f t="array" aca="1" ref="I167" ca="1">IF(C167&lt;&gt;"",
IF(INDIRECT("数出表_Excel!"&amp;RIGHT(SUBSTITUTE(クライアント抽出!V27,",",""),1)&amp;A167&amp;"")&lt;&gt;"",
INDIRECT("数出表_Excel!"&amp;RIGHT(SUBSTITUTE(クライアント抽出!V27,",",""),1)&amp;A167&amp;""),0),"")</f>
        <v/>
      </c>
      <c r="J167" s="203" t="str">
        <f ca="1">IF(C167&lt;&gt;"",
VLOOKUP(
IF(COUNTIF(D167,"*学食*"),"キャラ弁（学食）",
IF(COUNTIF(D167,"*赤*"),"赤",
IF(COUNTIF(D167,"*キャラ弁当*"),"キャラ弁当",D167))),注文弁当の抽出!$E$1:$F$15,2,FALSE),"")</f>
        <v/>
      </c>
      <c r="K167" s="203" t="str">
        <f t="shared" ca="1" si="41"/>
        <v/>
      </c>
      <c r="L167" s="203" t="str">
        <f t="shared" ca="1" si="42"/>
        <v/>
      </c>
      <c r="M167" s="203" cm="1">
        <f t="array" aca="1" ref="M167" ca="1">IF(C167&lt;&gt;"",
IF(IFERROR(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0)&lt;&gt;0,
IF(IFERROR(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"")="",
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""),
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0)),0),0)</f>
        <v>0</v>
      </c>
      <c r="N167" s="203" t="e">
        <f t="array" aca="1" ref="N167" ca="1">IF(B167="博多",
IF(C167&lt;&gt;"",
IF(IFERROR(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0)&lt;&gt;0,
IF(IFERROR(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0)="",
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0),
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0)),0),""),0)</f>
        <v>#N/A</v>
      </c>
      <c r="O167" s="203" t="e">
        <f t="shared" ca="1" si="43"/>
        <v>#N/A</v>
      </c>
      <c r="P167" s="203">
        <f t="shared" ca="1" si="4"/>
        <v>0</v>
      </c>
      <c r="Q167" s="203" t="b">
        <f t="shared" ca="1" si="44"/>
        <v>0</v>
      </c>
      <c r="R167" s="51" t="str" cm="1">
        <f t="array" aca="1" ref="R167" ca="1">IFERROR(SMALL(IF(P$1:P$300&lt;&gt;0,P$1:P$300),ROW(A167)),"")</f>
        <v/>
      </c>
      <c r="S167" s="51" t="str">
        <f t="array" aca="1" ref="S167" ca="1">IF($R167&lt;&gt;"",
INDIRECT(""&amp;IF(COLUMN(C187)&lt;=26,CHAR(COLUMN(C187)+64),CHAR(INT((COLUMN(C187)-1)/26)+64)&amp;CHAR(MOD(COLUMN(C187)-1,26)+65))&amp;$R167&amp;""),"")</f>
        <v/>
      </c>
      <c r="T167" s="51" t="str" cm="1">
        <f t="array" aca="1" ref="T167" ca="1">IF(IF($R167&lt;&gt;"",
INDIRECT(""&amp;IF(COLUMN(D187)&lt;=26,CHAR(COLUMN(D187)+64),CHAR(INT((COLUMN(D187)-1)/26)+64)&amp;CHAR(MOD(COLUMN(D187)-1,26)+65))&amp;$R167&amp;""),"")=0,"",
IF($R167&lt;&gt;"",
INDIRECT(""&amp;IF(COLUMN(D187)&lt;=26,CHAR(COLUMN(D187)+64),CHAR(INT((COLUMN(D187)-1)/26)+64)&amp;CHAR(MOD(COLUMN(D187)-1,26)+65))&amp;$R167&amp;""),""))</f>
        <v/>
      </c>
      <c r="U167" s="51"/>
      <c r="V167" s="51" t="str">
        <f t="array" aca="1" ref="V167" ca="1">IF($R167&lt;&gt;"",
IF(U167="",
IF(INDIRECT("EY"&amp;$R167&amp;"")&lt;&gt;"",
INDIRECT("EY"&amp;$R167&amp;"")&amp;"箱"
&amp;INDIRECT("EZ"&amp;$R167&amp;""),""),""),"")</f>
        <v/>
      </c>
      <c r="W167" s="51" t="str">
        <f t="array" aca="1" ref="W167" ca="1">IF($R167&lt;&gt;"",
INDIRECT(""&amp;IF(COLUMN(H187)&lt;=26,CHAR(COLUMN(H187)+64),CHAR(INT((COLUMN(H187)-1)/26)+64)&amp;CHAR(MOD(COLUMN(H187)-1,26)+65))&amp;$R167&amp;""),"")</f>
        <v/>
      </c>
      <c r="X167" s="51" t="str">
        <f t="array" aca="1" ref="X167" ca="1">IF($R167&lt;&gt;"",
INDIRECT(""&amp;IF(COLUMN(I187)&lt;=26,CHAR(COLUMN(I187)+64),CHAR(INT((COLUMN(I187)-1)/26)+64)&amp;CHAR(MOD(COLUMN(I187)-1,26)+65))&amp;$R167&amp;""),"")</f>
        <v/>
      </c>
      <c r="Y167" s="51" t="str">
        <f t="array" aca="1" ref="Y167" ca="1">IF($R167&lt;&gt;"",
INDIRECT(""&amp;IF(COLUMN(J187)&lt;=26,CHAR(COLUMN(J187)+64),CHAR(INT((COLUMN(J187)-1)/26)+64)&amp;CHAR(MOD(COLUMN(J187)-1,26)+65))&amp;$R167&amp;""),"")</f>
        <v/>
      </c>
      <c r="Z167" s="51" t="str">
        <f t="array" aca="1" ref="Z167" ca="1">IF($R167&lt;&gt;"",
INDIRECT(""&amp;IF(COLUMN(K187)&lt;=26,CHAR(COLUMN(K187)+64),CHAR(INT((COLUMN(K187)-1)/26)+64)&amp;CHAR(MOD(COLUMN(K187)-1,26)+65))&amp;$R167&amp;""),"")</f>
        <v/>
      </c>
      <c r="AA167" s="51" t="str">
        <f t="array" aca="1" ref="AA167" ca="1">IF($R167&lt;&gt;"",
INDIRECT(""&amp;IF(COLUMN(L187)&lt;=26,CHAR(COLUMN(L187)+64),CHAR(INT((COLUMN(L187)-1)/26)+64)&amp;CHAR(MOD(COLUMN(L187)-1,26)+65))&amp;$R167&amp;""),"")</f>
        <v/>
      </c>
      <c r="AB167" s="51" t="str">
        <f t="array" aca="1" ref="AB167" ca="1">IF($R167&lt;&gt;"",
INDIRECT(""&amp;IF(COLUMN(O187)&lt;=26,CHAR(COLUMN(O187)+64),CHAR(INT((COLUMN(O187)-1)/26)+64)&amp;CHAR(MOD(COLUMN(O187)-1,26)+65))&amp;$R167&amp;""),"")</f>
        <v/>
      </c>
    </row>
    <row r="168" spans="1:28" ht="22.2" customHeight="1">
      <c r="A168" s="204">
        <f t="shared" si="40"/>
        <v>61</v>
      </c>
      <c r="B168" s="203" t="e" cm="1">
        <f t="array" aca="1" ref="B168" ca="1">IF(AND(LEFT(C168,2)="博多",
LEFT(INDIRECT("数出表_Excel!A"&amp;MATCH(C168,数出表_Excel!$A:$A,0)-1),2)
=LEFT(INDIRECT("数出表_Excel!A"&amp;MATCH(C168,数出表_Excel!$A:$A,0)+1),2)),"博多",
IF(AND(LEFT(C168,3)="奈良屋",
LEFT(INDIRECT("数出表_Excel!A"&amp;MATCH(C168,数出表_Excel!$A:$A,0)-1),2)
=LEFT(INDIRECT("数出表_Excel!A"&amp;MATCH(C168,数出表_Excel!$A:$A,0)+1),2)),"奈良屋",""))</f>
        <v>#N/A</v>
      </c>
      <c r="C168" s="203" t="str" cm="1">
        <f t="array" aca="1" ref="C168" ca="1">IF(IF(クライアント抽出!A28="",0,LEN(クライアント抽出!V28)-LEN(SUBSTITUTE(クライアント抽出!V28,",","")))&gt;=3,INDIRECT("数出表_Excel!A"&amp;A168&amp;""),"")</f>
        <v/>
      </c>
      <c r="D168" s="203" t="str" cm="1">
        <f t="array" aca="1" ref="D168" ca="1">IF(C168&lt;&gt;"",INDIRECT("クライアント抽出!"&amp;E168&amp;MATCH(C168,クライアント抽出!A:A,0)&amp;""),"")</f>
        <v/>
      </c>
      <c r="E168" s="203" t="str">
        <f ca="1">IF(H168&lt;&gt;0,
IFERROR(
SUBSTITUTE(ADDRESS(1,
MATCH(VALUE(H168),クライアント抽出!A28:G28,0)+8,4),"1",""),
""),
IFERROR(
SUBSTITUTE(ADDRESS(1,
MATCH(VALUE(I168),クライアント抽出!A28:G28,0)+8,4),"1",""),
""))</f>
        <v/>
      </c>
      <c r="F168" s="206" t="str" cm="1">
        <f t="array" aca="1" ref="F168" ca="1">IF(D168&lt;&gt;"",
IF(COUNTIF(C168,"*雙葉*"),
IF(ROUND(
IF(O168&lt;&gt;"",(H168-O168),H168)
/IF(COUNTIF('盛付札（関数）'!D168,"*キャラ*"),
VLOOKUP("*キャラ*",#REF!,7,FALSE),
IF(COUNTIF('盛付札（関数）'!D168,"*赤*"),
VLOOKUP("*赤*",#REF!,7,FALSE),
VLOOKUP('盛付札（関数）'!D168,#REF!,7,FALSE))),0)&lt;=0,1,
ROUND(
IF(O168&lt;&gt;"",(H168-O168),H168)
/IF(COUNTIF('盛付札（関数）'!D168,"*キャラ*"),
VLOOKUP("*キャラ*",#REF!,7,FALSE),
IF(COUNTIF('盛付札（関数）'!D168,"*赤*"),
VLOOKUP("*赤*",#REF!,7,FALSE),
VLOOKUP('盛付札（関数）'!D168,#REF!,7,FALSE))),0)),
IF(MATCH(TRUE,
ISNUMBER(--INDIRECT("数出表_Excel!B"&amp;MATCH(C168,数出表_Excel!$A:$A,0)-1&amp;":U"&amp;MATCH(C168,数出表_Excel!$A:$A,0)-1&amp;"")),0)&gt;10,
IF(D168&lt;&gt;"",
IF(IF(COUNTIF('盛付札（関数）'!D168,"*キャラ*"),
VLOOKUP("*キャラ*",#REF!,7,FALSE),
IF(COUNTIF('盛付札（関数）'!D168,"*赤*"),
VLOOKUP("*赤*",#REF!,7,FALSE),
VLOOKUP('盛付札（関数）'!D168,#REF!,7,FALSE)))=0,"",
IF(ROUND(
IF(O168&lt;&gt;"",(H168-O168),H168)
/IF(COUNTIF('盛付札（関数）'!D168,"*キャラ*"),
VLOOKUP("*キャラ*",#REF!,7,FALSE),
IF(COUNTIF('盛付札（関数）'!D168,"*赤*"),
VLOOKUP("*赤*",#REF!,7,FALSE),
VLOOKUP('盛付札（関数）'!D168,#REF!,7,FALSE))),0)&lt;=0,1,
ROUND(
IF(O168&lt;&gt;"",(H168-O168),H168)
/IF(COUNTIF('盛付札（関数）'!D168,"*キャラ*"),
VLOOKUP("*キャラ*",#REF!,7,FALSE),
IF(COUNTIF('盛付札（関数）'!D168,"*赤*"),
VLOOKUP("*赤*",#REF!,7,FALSE),
VLOOKUP('盛付札（関数）'!D168,#REF!,7,FALSE))),0))),""),"")),"")</f>
        <v/>
      </c>
      <c r="G168" s="206" t="str">
        <f ca="1">IF(F168&lt;&gt;"",IF(VALUE(IF(O168&lt;&gt;"",H168-O168,H168))&gt;VALUE(IF(COUNTIF('盛付札（関数）'!D168,"*キャラ*"),
VLOOKUP("*キャラ*",#REF!,7,FALSE),
IF(COUNTIF('盛付札（関数）'!D168,"*赤*"),
VLOOKUP("*赤*",#REF!,7,FALSE),
VLOOKUP('盛付札（関数）'!D168,#REF!,7,FALSE)))*F168),
"+"&amp;IF(O168&lt;&gt;"",H168-O168,H168)-IF(COUNTIF('盛付札（関数）'!D168,"*キャラ*"),
VLOOKUP("*キャラ*",#REF!,7,FALSE),
IF(COUNTIF('盛付札（関数）'!D168,"*赤*"),
VLOOKUP("*赤*",#REF!,7,FALSE),
VLOOKUP('盛付札（関数）'!D168,#REF!,7,FALSE)))*F168,
IF(O168&lt;&gt;"",H168-O168,H168)-IF(COUNTIF('盛付札（関数）'!D168,"*キャラ*"),
VLOOKUP("*キャラ*",#REF!,7,FALSE),
IF(COUNTIF('盛付札（関数）'!D168,"*赤*"),
VLOOKUP("*赤*",#REF!,7,FALSE),
VLOOKUP('盛付札（関数）'!D168,#REF!,7,FALSE)))*F168),"")</f>
        <v/>
      </c>
      <c r="H168" s="205" t="str" cm="1">
        <f t="array" aca="1" ref="H168" ca="1">IF(C168&lt;&gt;"",
IF(INDIRECT("数出表_Excel!"&amp;RIGHT(SUBSTITUTE(クライアント抽出!V28,",",""),1)&amp;A168-1&amp;"")&lt;&gt;"",
INDIRECT("数出表_Excel!"&amp;RIGHT(SUBSTITUTE(クライアント抽出!V28,",",""),1)&amp;A168-1&amp;""),0),"")</f>
        <v/>
      </c>
      <c r="I168" s="203" t="str" cm="1">
        <f t="array" aca="1" ref="I168" ca="1">IF(C168&lt;&gt;"",
IF(INDIRECT("数出表_Excel!"&amp;RIGHT(SUBSTITUTE(クライアント抽出!V28,",",""),1)&amp;A168&amp;"")&lt;&gt;"",
INDIRECT("数出表_Excel!"&amp;RIGHT(SUBSTITUTE(クライアント抽出!V28,",",""),1)&amp;A168&amp;""),0),"")</f>
        <v/>
      </c>
      <c r="J168" s="203" t="str">
        <f ca="1">IF(C168&lt;&gt;"",
VLOOKUP(
IF(COUNTIF(D168,"*学食*"),"キャラ弁（学食）",
IF(COUNTIF(D168,"*赤*"),"赤",
IF(COUNTIF(D168,"*キャラ弁当*"),"キャラ弁当",D168))),注文弁当の抽出!$E$1:$F$15,2,FALSE),"")</f>
        <v/>
      </c>
      <c r="K168" s="203" t="str">
        <f t="shared" ca="1" si="41"/>
        <v/>
      </c>
      <c r="L168" s="203" t="str">
        <f t="shared" ca="1" si="42"/>
        <v/>
      </c>
      <c r="M168" s="203" cm="1">
        <f t="array" aca="1" ref="M168" ca="1">IF(C168&lt;&gt;"",
IF(IFERROR(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0)&lt;&gt;0,
IF(IFERROR(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"")="",
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""),
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0)),0),0)</f>
        <v>0</v>
      </c>
      <c r="N168" s="203" t="e">
        <f t="array" aca="1" ref="N168" ca="1">IF(B168="博多",
IF(C168&lt;&gt;"",
IF(IFERROR(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0)&lt;&gt;0,
IF(IFERROR(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0)="",
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0),
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0)),0),""),0)</f>
        <v>#N/A</v>
      </c>
      <c r="O168" s="203" t="e">
        <f t="shared" ca="1" si="43"/>
        <v>#N/A</v>
      </c>
      <c r="P168" s="203">
        <f t="shared" ca="1" si="4"/>
        <v>0</v>
      </c>
      <c r="Q168" s="203" t="b">
        <f t="shared" ca="1" si="44"/>
        <v>0</v>
      </c>
      <c r="R168" s="51" t="str" cm="1">
        <f t="array" aca="1" ref="R168" ca="1">IFERROR(SMALL(IF(P$1:P$300&lt;&gt;0,P$1:P$300),ROW(A168)),"")</f>
        <v/>
      </c>
      <c r="S168" s="51" t="str">
        <f t="array" aca="1" ref="S168" ca="1">IF($R168&lt;&gt;"",
INDIRECT(""&amp;IF(COLUMN(C188)&lt;=26,CHAR(COLUMN(C188)+64),CHAR(INT((COLUMN(C188)-1)/26)+64)&amp;CHAR(MOD(COLUMN(C188)-1,26)+65))&amp;$R168&amp;""),"")</f>
        <v/>
      </c>
      <c r="T168" s="51" t="str" cm="1">
        <f t="array" aca="1" ref="T168" ca="1">IF(IF($R168&lt;&gt;"",
INDIRECT(""&amp;IF(COLUMN(D188)&lt;=26,CHAR(COLUMN(D188)+64),CHAR(INT((COLUMN(D188)-1)/26)+64)&amp;CHAR(MOD(COLUMN(D188)-1,26)+65))&amp;$R168&amp;""),"")=0,"",
IF($R168&lt;&gt;"",
INDIRECT(""&amp;IF(COLUMN(D188)&lt;=26,CHAR(COLUMN(D188)+64),CHAR(INT((COLUMN(D188)-1)/26)+64)&amp;CHAR(MOD(COLUMN(D188)-1,26)+65))&amp;$R168&amp;""),""))</f>
        <v/>
      </c>
      <c r="U168" s="51"/>
      <c r="V168" s="51" t="str">
        <f t="array" aca="1" ref="V168" ca="1">IF($R168&lt;&gt;"",
IF(U168="",
IF(INDIRECT("EY"&amp;$R168&amp;"")&lt;&gt;"",
INDIRECT("EY"&amp;$R168&amp;"")&amp;"箱"
&amp;INDIRECT("EZ"&amp;$R168&amp;""),""),""),"")</f>
        <v/>
      </c>
      <c r="W168" s="51" t="str">
        <f t="array" aca="1" ref="W168" ca="1">IF($R168&lt;&gt;"",
INDIRECT(""&amp;IF(COLUMN(H188)&lt;=26,CHAR(COLUMN(H188)+64),CHAR(INT((COLUMN(H188)-1)/26)+64)&amp;CHAR(MOD(COLUMN(H188)-1,26)+65))&amp;$R168&amp;""),"")</f>
        <v/>
      </c>
      <c r="X168" s="51" t="str">
        <f t="array" aca="1" ref="X168" ca="1">IF($R168&lt;&gt;"",
INDIRECT(""&amp;IF(COLUMN(I188)&lt;=26,CHAR(COLUMN(I188)+64),CHAR(INT((COLUMN(I188)-1)/26)+64)&amp;CHAR(MOD(COLUMN(I188)-1,26)+65))&amp;$R168&amp;""),"")</f>
        <v/>
      </c>
      <c r="Y168" s="51" t="str">
        <f t="array" aca="1" ref="Y168" ca="1">IF($R168&lt;&gt;"",
INDIRECT(""&amp;IF(COLUMN(J188)&lt;=26,CHAR(COLUMN(J188)+64),CHAR(INT((COLUMN(J188)-1)/26)+64)&amp;CHAR(MOD(COLUMN(J188)-1,26)+65))&amp;$R168&amp;""),"")</f>
        <v/>
      </c>
      <c r="Z168" s="51" t="str">
        <f t="array" aca="1" ref="Z168" ca="1">IF($R168&lt;&gt;"",
INDIRECT(""&amp;IF(COLUMN(K188)&lt;=26,CHAR(COLUMN(K188)+64),CHAR(INT((COLUMN(K188)-1)/26)+64)&amp;CHAR(MOD(COLUMN(K188)-1,26)+65))&amp;$R168&amp;""),"")</f>
        <v/>
      </c>
      <c r="AA168" s="51" t="str">
        <f t="array" aca="1" ref="AA168" ca="1">IF($R168&lt;&gt;"",
INDIRECT(""&amp;IF(COLUMN(L188)&lt;=26,CHAR(COLUMN(L188)+64),CHAR(INT((COLUMN(L188)-1)/26)+64)&amp;CHAR(MOD(COLUMN(L188)-1,26)+65))&amp;$R168&amp;""),"")</f>
        <v/>
      </c>
      <c r="AB168" s="51" t="str">
        <f t="array" aca="1" ref="AB168" ca="1">IF($R168&lt;&gt;"",
INDIRECT(""&amp;IF(COLUMN(O188)&lt;=26,CHAR(COLUMN(O188)+64),CHAR(INT((COLUMN(O188)-1)/26)+64)&amp;CHAR(MOD(COLUMN(O188)-1,26)+65))&amp;$R168&amp;""),"")</f>
        <v/>
      </c>
    </row>
    <row r="169" spans="1:28" ht="22.2" customHeight="1">
      <c r="A169" s="204">
        <f t="shared" si="40"/>
        <v>63</v>
      </c>
      <c r="B169" s="203" t="e" cm="1">
        <f t="array" aca="1" ref="B169" ca="1">IF(AND(LEFT(C169,2)="博多",
LEFT(INDIRECT("数出表_Excel!A"&amp;MATCH(C169,数出表_Excel!$A:$A,0)-1),2)
=LEFT(INDIRECT("数出表_Excel!A"&amp;MATCH(C169,数出表_Excel!$A:$A,0)+1),2)),"博多",
IF(AND(LEFT(C169,3)="奈良屋",
LEFT(INDIRECT("数出表_Excel!A"&amp;MATCH(C169,数出表_Excel!$A:$A,0)-1),2)
=LEFT(INDIRECT("数出表_Excel!A"&amp;MATCH(C169,数出表_Excel!$A:$A,0)+1),2)),"奈良屋",""))</f>
        <v>#N/A</v>
      </c>
      <c r="C169" s="203" t="str" cm="1">
        <f t="array" aca="1" ref="C169" ca="1">IF(IF(クライアント抽出!A29="",0,LEN(クライアント抽出!V29)-LEN(SUBSTITUTE(クライアント抽出!V29,",","")))&gt;=3,INDIRECT("数出表_Excel!A"&amp;A169&amp;""),"")</f>
        <v/>
      </c>
      <c r="D169" s="203" t="str" cm="1">
        <f t="array" aca="1" ref="D169" ca="1">IF(C169&lt;&gt;"",INDIRECT("クライアント抽出!"&amp;E169&amp;MATCH(C169,クライアント抽出!A:A,0)&amp;""),"")</f>
        <v/>
      </c>
      <c r="E169" s="203" t="str">
        <f ca="1">IF(H169&lt;&gt;0,
IFERROR(
SUBSTITUTE(ADDRESS(1,
MATCH(VALUE(H169),クライアント抽出!A29:G29,0)+8,4),"1",""),
""),
IFERROR(
SUBSTITUTE(ADDRESS(1,
MATCH(VALUE(I169),クライアント抽出!A29:G29,0)+8,4),"1",""),
""))</f>
        <v/>
      </c>
      <c r="F169" s="206" t="str" cm="1">
        <f t="array" aca="1" ref="F169" ca="1">IF(D169&lt;&gt;"",
IF(COUNTIF(C169,"*雙葉*"),
IF(ROUND(
IF(O169&lt;&gt;"",(H169-O169),H169)
/IF(COUNTIF('盛付札（関数）'!D169,"*キャラ*"),
VLOOKUP("*キャラ*",#REF!,7,FALSE),
IF(COUNTIF('盛付札（関数）'!D169,"*赤*"),
VLOOKUP("*赤*",#REF!,7,FALSE),
VLOOKUP('盛付札（関数）'!D169,#REF!,7,FALSE))),0)&lt;=0,1,
ROUND(
IF(O169&lt;&gt;"",(H169-O169),H169)
/IF(COUNTIF('盛付札（関数）'!D169,"*キャラ*"),
VLOOKUP("*キャラ*",#REF!,7,FALSE),
IF(COUNTIF('盛付札（関数）'!D169,"*赤*"),
VLOOKUP("*赤*",#REF!,7,FALSE),
VLOOKUP('盛付札（関数）'!D169,#REF!,7,FALSE))),0)),
IF(MATCH(TRUE,
ISNUMBER(--INDIRECT("数出表_Excel!B"&amp;MATCH(C169,数出表_Excel!$A:$A,0)-1&amp;":U"&amp;MATCH(C169,数出表_Excel!$A:$A,0)-1&amp;"")),0)&gt;10,
IF(D169&lt;&gt;"",
IF(IF(COUNTIF('盛付札（関数）'!D169,"*キャラ*"),
VLOOKUP("*キャラ*",#REF!,7,FALSE),
IF(COUNTIF('盛付札（関数）'!D169,"*赤*"),
VLOOKUP("*赤*",#REF!,7,FALSE),
VLOOKUP('盛付札（関数）'!D169,#REF!,7,FALSE)))=0,"",
IF(ROUND(
IF(O169&lt;&gt;"",(H169-O169),H169)
/IF(COUNTIF('盛付札（関数）'!D169,"*キャラ*"),
VLOOKUP("*キャラ*",#REF!,7,FALSE),
IF(COUNTIF('盛付札（関数）'!D169,"*赤*"),
VLOOKUP("*赤*",#REF!,7,FALSE),
VLOOKUP('盛付札（関数）'!D169,#REF!,7,FALSE))),0)&lt;=0,1,
ROUND(
IF(O169&lt;&gt;"",(H169-O169),H169)
/IF(COUNTIF('盛付札（関数）'!D169,"*キャラ*"),
VLOOKUP("*キャラ*",#REF!,7,FALSE),
IF(COUNTIF('盛付札（関数）'!D169,"*赤*"),
VLOOKUP("*赤*",#REF!,7,FALSE),
VLOOKUP('盛付札（関数）'!D169,#REF!,7,FALSE))),0))),""),"")),"")</f>
        <v/>
      </c>
      <c r="G169" s="206" t="str">
        <f ca="1">IF(F169&lt;&gt;"",IF(VALUE(IF(O169&lt;&gt;"",H169-O169,H169))&gt;VALUE(IF(COUNTIF('盛付札（関数）'!D169,"*キャラ*"),
VLOOKUP("*キャラ*",#REF!,7,FALSE),
IF(COUNTIF('盛付札（関数）'!D169,"*赤*"),
VLOOKUP("*赤*",#REF!,7,FALSE),
VLOOKUP('盛付札（関数）'!D169,#REF!,7,FALSE)))*F169),
"+"&amp;IF(O169&lt;&gt;"",H169-O169,H169)-IF(COUNTIF('盛付札（関数）'!D169,"*キャラ*"),
VLOOKUP("*キャラ*",#REF!,7,FALSE),
IF(COUNTIF('盛付札（関数）'!D169,"*赤*"),
VLOOKUP("*赤*",#REF!,7,FALSE),
VLOOKUP('盛付札（関数）'!D169,#REF!,7,FALSE)))*F169,
IF(O169&lt;&gt;"",H169-O169,H169)-IF(COUNTIF('盛付札（関数）'!D169,"*キャラ*"),
VLOOKUP("*キャラ*",#REF!,7,FALSE),
IF(COUNTIF('盛付札（関数）'!D169,"*赤*"),
VLOOKUP("*赤*",#REF!,7,FALSE),
VLOOKUP('盛付札（関数）'!D169,#REF!,7,FALSE)))*F169),"")</f>
        <v/>
      </c>
      <c r="H169" s="205" t="str" cm="1">
        <f t="array" aca="1" ref="H169" ca="1">IF(C169&lt;&gt;"",
IF(INDIRECT("数出表_Excel!"&amp;RIGHT(SUBSTITUTE(クライアント抽出!V29,",",""),1)&amp;A169-1&amp;"")&lt;&gt;"",
INDIRECT("数出表_Excel!"&amp;RIGHT(SUBSTITUTE(クライアント抽出!V29,",",""),1)&amp;A169-1&amp;""),0),"")</f>
        <v/>
      </c>
      <c r="I169" s="203" t="str" cm="1">
        <f t="array" aca="1" ref="I169" ca="1">IF(C169&lt;&gt;"",
IF(INDIRECT("数出表_Excel!"&amp;RIGHT(SUBSTITUTE(クライアント抽出!V29,",",""),1)&amp;A169&amp;"")&lt;&gt;"",
INDIRECT("数出表_Excel!"&amp;RIGHT(SUBSTITUTE(クライアント抽出!V29,",",""),1)&amp;A169&amp;""),0),"")</f>
        <v/>
      </c>
      <c r="J169" s="203" t="str">
        <f ca="1">IF(C169&lt;&gt;"",
VLOOKUP(
IF(COUNTIF(D169,"*学食*"),"キャラ弁（学食）",
IF(COUNTIF(D169,"*赤*"),"赤",
IF(COUNTIF(D169,"*キャラ弁当*"),"キャラ弁当",D169))),注文弁当の抽出!$E$1:$F$15,2,FALSE),"")</f>
        <v/>
      </c>
      <c r="K169" s="203" t="str">
        <f t="shared" ca="1" si="41"/>
        <v/>
      </c>
      <c r="L169" s="203" t="str">
        <f t="shared" ca="1" si="42"/>
        <v/>
      </c>
      <c r="M169" s="203" cm="1">
        <f t="array" aca="1" ref="M169" ca="1">IF(C169&lt;&gt;"",
IF(IFERROR(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0)&lt;&gt;0,
IF(IFERROR(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"")="",
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""),
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0)),0),0)</f>
        <v>0</v>
      </c>
      <c r="N169" s="203" t="e">
        <f t="array" aca="1" ref="N169" ca="1">IF(B169="博多",
IF(C169&lt;&gt;"",
IF(IFERROR(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0)&lt;&gt;0,
IF(IFERROR(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0)="",
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0),
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0)),0),""),0)</f>
        <v>#N/A</v>
      </c>
      <c r="O169" s="203" t="e">
        <f t="shared" ca="1" si="43"/>
        <v>#N/A</v>
      </c>
      <c r="P169" s="203">
        <f t="shared" ca="1" si="4"/>
        <v>0</v>
      </c>
      <c r="Q169" s="203" t="b">
        <f t="shared" ca="1" si="44"/>
        <v>0</v>
      </c>
      <c r="R169" s="51" t="str" cm="1">
        <f t="array" aca="1" ref="R169" ca="1">IFERROR(SMALL(IF(P$1:P$300&lt;&gt;0,P$1:P$300),ROW(A169)),"")</f>
        <v/>
      </c>
      <c r="S169" s="51" t="str">
        <f t="array" aca="1" ref="S169" ca="1">IF($R169&lt;&gt;"",
INDIRECT(""&amp;IF(COLUMN(C189)&lt;=26,CHAR(COLUMN(C189)+64),CHAR(INT((COLUMN(C189)-1)/26)+64)&amp;CHAR(MOD(COLUMN(C189)-1,26)+65))&amp;$R169&amp;""),"")</f>
        <v/>
      </c>
      <c r="T169" s="51" t="str" cm="1">
        <f t="array" aca="1" ref="T169" ca="1">IF(IF($R169&lt;&gt;"",
INDIRECT(""&amp;IF(COLUMN(D189)&lt;=26,CHAR(COLUMN(D189)+64),CHAR(INT((COLUMN(D189)-1)/26)+64)&amp;CHAR(MOD(COLUMN(D189)-1,26)+65))&amp;$R169&amp;""),"")=0,"",
IF($R169&lt;&gt;"",
INDIRECT(""&amp;IF(COLUMN(D189)&lt;=26,CHAR(COLUMN(D189)+64),CHAR(INT((COLUMN(D189)-1)/26)+64)&amp;CHAR(MOD(COLUMN(D189)-1,26)+65))&amp;$R169&amp;""),""))</f>
        <v/>
      </c>
      <c r="U169" s="51"/>
      <c r="V169" s="51" t="str">
        <f t="array" aca="1" ref="V169" ca="1">IF($R169&lt;&gt;"",
IF(U169="",
IF(INDIRECT("EY"&amp;$R169&amp;"")&lt;&gt;"",
INDIRECT("EY"&amp;$R169&amp;"")&amp;"箱"
&amp;INDIRECT("EZ"&amp;$R169&amp;""),""),""),"")</f>
        <v/>
      </c>
      <c r="W169" s="51" t="str">
        <f t="array" aca="1" ref="W169" ca="1">IF($R169&lt;&gt;"",
INDIRECT(""&amp;IF(COLUMN(H189)&lt;=26,CHAR(COLUMN(H189)+64),CHAR(INT((COLUMN(H189)-1)/26)+64)&amp;CHAR(MOD(COLUMN(H189)-1,26)+65))&amp;$R169&amp;""),"")</f>
        <v/>
      </c>
      <c r="X169" s="51" t="str">
        <f t="array" aca="1" ref="X169" ca="1">IF($R169&lt;&gt;"",
INDIRECT(""&amp;IF(COLUMN(I189)&lt;=26,CHAR(COLUMN(I189)+64),CHAR(INT((COLUMN(I189)-1)/26)+64)&amp;CHAR(MOD(COLUMN(I189)-1,26)+65))&amp;$R169&amp;""),"")</f>
        <v/>
      </c>
      <c r="Y169" s="51" t="str">
        <f t="array" aca="1" ref="Y169" ca="1">IF($R169&lt;&gt;"",
INDIRECT(""&amp;IF(COLUMN(J189)&lt;=26,CHAR(COLUMN(J189)+64),CHAR(INT((COLUMN(J189)-1)/26)+64)&amp;CHAR(MOD(COLUMN(J189)-1,26)+65))&amp;$R169&amp;""),"")</f>
        <v/>
      </c>
      <c r="Z169" s="51" t="str">
        <f t="array" aca="1" ref="Z169" ca="1">IF($R169&lt;&gt;"",
INDIRECT(""&amp;IF(COLUMN(K189)&lt;=26,CHAR(COLUMN(K189)+64),CHAR(INT((COLUMN(K189)-1)/26)+64)&amp;CHAR(MOD(COLUMN(K189)-1,26)+65))&amp;$R169&amp;""),"")</f>
        <v/>
      </c>
      <c r="AA169" s="51" t="str">
        <f t="array" aca="1" ref="AA169" ca="1">IF($R169&lt;&gt;"",
INDIRECT(""&amp;IF(COLUMN(L189)&lt;=26,CHAR(COLUMN(L189)+64),CHAR(INT((COLUMN(L189)-1)/26)+64)&amp;CHAR(MOD(COLUMN(L189)-1,26)+65))&amp;$R169&amp;""),"")</f>
        <v/>
      </c>
      <c r="AB169" s="51" t="str">
        <f t="array" aca="1" ref="AB169" ca="1">IF($R169&lt;&gt;"",
INDIRECT(""&amp;IF(COLUMN(O189)&lt;=26,CHAR(COLUMN(O189)+64),CHAR(INT((COLUMN(O189)-1)/26)+64)&amp;CHAR(MOD(COLUMN(O189)-1,26)+65))&amp;$R169&amp;""),"")</f>
        <v/>
      </c>
    </row>
    <row r="170" spans="1:28" ht="22.2" customHeight="1">
      <c r="A170" s="204">
        <f t="shared" si="40"/>
        <v>65</v>
      </c>
      <c r="B170" s="203" t="e" cm="1">
        <f t="array" aca="1" ref="B170" ca="1">IF(AND(LEFT(C170,2)="博多",
LEFT(INDIRECT("数出表_Excel!A"&amp;MATCH(C170,数出表_Excel!$A:$A,0)-1),2)
=LEFT(INDIRECT("数出表_Excel!A"&amp;MATCH(C170,数出表_Excel!$A:$A,0)+1),2)),"博多",
IF(AND(LEFT(C170,3)="奈良屋",
LEFT(INDIRECT("数出表_Excel!A"&amp;MATCH(C170,数出表_Excel!$A:$A,0)-1),2)
=LEFT(INDIRECT("数出表_Excel!A"&amp;MATCH(C170,数出表_Excel!$A:$A,0)+1),2)),"奈良屋",""))</f>
        <v>#N/A</v>
      </c>
      <c r="C170" s="203" t="str" cm="1">
        <f t="array" aca="1" ref="C170" ca="1">IF(IF(クライアント抽出!A30="",0,LEN(クライアント抽出!V30)-LEN(SUBSTITUTE(クライアント抽出!V30,",","")))&gt;=3,INDIRECT("数出表_Excel!A"&amp;A170&amp;""),"")</f>
        <v/>
      </c>
      <c r="D170" s="203" t="str" cm="1">
        <f t="array" aca="1" ref="D170" ca="1">IF(C170&lt;&gt;"",INDIRECT("クライアント抽出!"&amp;E170&amp;MATCH(C170,クライアント抽出!A:A,0)&amp;""),"")</f>
        <v/>
      </c>
      <c r="E170" s="203" t="str">
        <f ca="1">IF(H170&lt;&gt;0,
IFERROR(
SUBSTITUTE(ADDRESS(1,
MATCH(VALUE(H170),クライアント抽出!A30:G30,0)+8,4),"1",""),
""),
IFERROR(
SUBSTITUTE(ADDRESS(1,
MATCH(VALUE(I170),クライアント抽出!A30:G30,0)+8,4),"1",""),
""))</f>
        <v/>
      </c>
      <c r="F170" s="206" t="str" cm="1">
        <f t="array" aca="1" ref="F170" ca="1">IF(D170&lt;&gt;"",
IF(COUNTIF(C170,"*雙葉*"),
IF(ROUND(
IF(O170&lt;&gt;"",(H170-O170),H170)
/IF(COUNTIF('盛付札（関数）'!D170,"*キャラ*"),
VLOOKUP("*キャラ*",#REF!,7,FALSE),
IF(COUNTIF('盛付札（関数）'!D170,"*赤*"),
VLOOKUP("*赤*",#REF!,7,FALSE),
VLOOKUP('盛付札（関数）'!D170,#REF!,7,FALSE))),0)&lt;=0,1,
ROUND(
IF(O170&lt;&gt;"",(H170-O170),H170)
/IF(COUNTIF('盛付札（関数）'!D170,"*キャラ*"),
VLOOKUP("*キャラ*",#REF!,7,FALSE),
IF(COUNTIF('盛付札（関数）'!D170,"*赤*"),
VLOOKUP("*赤*",#REF!,7,FALSE),
VLOOKUP('盛付札（関数）'!D170,#REF!,7,FALSE))),0)),
IF(MATCH(TRUE,
ISNUMBER(--INDIRECT("数出表_Excel!B"&amp;MATCH(C170,数出表_Excel!$A:$A,0)-1&amp;":U"&amp;MATCH(C170,数出表_Excel!$A:$A,0)-1&amp;"")),0)&gt;10,
IF(D170&lt;&gt;"",
IF(IF(COUNTIF('盛付札（関数）'!D170,"*キャラ*"),
VLOOKUP("*キャラ*",#REF!,7,FALSE),
IF(COUNTIF('盛付札（関数）'!D170,"*赤*"),
VLOOKUP("*赤*",#REF!,7,FALSE),
VLOOKUP('盛付札（関数）'!D170,#REF!,7,FALSE)))=0,"",
IF(ROUND(
IF(O170&lt;&gt;"",(H170-O170),H170)
/IF(COUNTIF('盛付札（関数）'!D170,"*キャラ*"),
VLOOKUP("*キャラ*",#REF!,7,FALSE),
IF(COUNTIF('盛付札（関数）'!D170,"*赤*"),
VLOOKUP("*赤*",#REF!,7,FALSE),
VLOOKUP('盛付札（関数）'!D170,#REF!,7,FALSE))),0)&lt;=0,1,
ROUND(
IF(O170&lt;&gt;"",(H170-O170),H170)
/IF(COUNTIF('盛付札（関数）'!D170,"*キャラ*"),
VLOOKUP("*キャラ*",#REF!,7,FALSE),
IF(COUNTIF('盛付札（関数）'!D170,"*赤*"),
VLOOKUP("*赤*",#REF!,7,FALSE),
VLOOKUP('盛付札（関数）'!D170,#REF!,7,FALSE))),0))),""),"")),"")</f>
        <v/>
      </c>
      <c r="G170" s="206" t="str">
        <f ca="1">IF(F170&lt;&gt;"",IF(VALUE(IF(O170&lt;&gt;"",H170-O170,H170))&gt;VALUE(IF(COUNTIF('盛付札（関数）'!D170,"*キャラ*"),
VLOOKUP("*キャラ*",#REF!,7,FALSE),
IF(COUNTIF('盛付札（関数）'!D170,"*赤*"),
VLOOKUP("*赤*",#REF!,7,FALSE),
VLOOKUP('盛付札（関数）'!D170,#REF!,7,FALSE)))*F170),
"+"&amp;IF(O170&lt;&gt;"",H170-O170,H170)-IF(COUNTIF('盛付札（関数）'!D170,"*キャラ*"),
VLOOKUP("*キャラ*",#REF!,7,FALSE),
IF(COUNTIF('盛付札（関数）'!D170,"*赤*"),
VLOOKUP("*赤*",#REF!,7,FALSE),
VLOOKUP('盛付札（関数）'!D170,#REF!,7,FALSE)))*F170,
IF(O170&lt;&gt;"",H170-O170,H170)-IF(COUNTIF('盛付札（関数）'!D170,"*キャラ*"),
VLOOKUP("*キャラ*",#REF!,7,FALSE),
IF(COUNTIF('盛付札（関数）'!D170,"*赤*"),
VLOOKUP("*赤*",#REF!,7,FALSE),
VLOOKUP('盛付札（関数）'!D170,#REF!,7,FALSE)))*F170),"")</f>
        <v/>
      </c>
      <c r="H170" s="205" t="str" cm="1">
        <f t="array" aca="1" ref="H170" ca="1">IF(C170&lt;&gt;"",
IF(INDIRECT("数出表_Excel!"&amp;RIGHT(SUBSTITUTE(クライアント抽出!V30,",",""),1)&amp;A170-1&amp;"")&lt;&gt;"",
INDIRECT("数出表_Excel!"&amp;RIGHT(SUBSTITUTE(クライアント抽出!V30,",",""),1)&amp;A170-1&amp;""),0),"")</f>
        <v/>
      </c>
      <c r="I170" s="203" t="str" cm="1">
        <f t="array" aca="1" ref="I170" ca="1">IF(C170&lt;&gt;"",
IF(INDIRECT("数出表_Excel!"&amp;RIGHT(SUBSTITUTE(クライアント抽出!V30,",",""),1)&amp;A170&amp;"")&lt;&gt;"",
INDIRECT("数出表_Excel!"&amp;RIGHT(SUBSTITUTE(クライアント抽出!V30,",",""),1)&amp;A170&amp;""),0),"")</f>
        <v/>
      </c>
      <c r="J170" s="203" t="str">
        <f ca="1">IF(C170&lt;&gt;"",
VLOOKUP(
IF(COUNTIF(D170,"*学食*"),"キャラ弁（学食）",
IF(COUNTIF(D170,"*赤*"),"赤",
IF(COUNTIF(D170,"*キャラ弁当*"),"キャラ弁当",D170))),注文弁当の抽出!$E$1:$F$15,2,FALSE),"")</f>
        <v/>
      </c>
      <c r="K170" s="203" t="str">
        <f t="shared" ca="1" si="41"/>
        <v/>
      </c>
      <c r="L170" s="203" t="str">
        <f t="shared" ca="1" si="42"/>
        <v/>
      </c>
      <c r="M170" s="203" cm="1">
        <f t="array" aca="1" ref="M170" ca="1">IF(C170&lt;&gt;"",
IF(IFERROR(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0)&lt;&gt;0,
IF(IFERROR(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"")="",
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""),
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0)),0),0)</f>
        <v>0</v>
      </c>
      <c r="N170" s="203" t="e">
        <f t="array" aca="1" ref="N170" ca="1">IF(B170="博多",
IF(C170&lt;&gt;"",
IF(IFERROR(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0)&lt;&gt;0,
IF(IFERROR(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0)="",
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0),
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0)),0),""),0)</f>
        <v>#N/A</v>
      </c>
      <c r="O170" s="203" t="e">
        <f t="shared" ca="1" si="43"/>
        <v>#N/A</v>
      </c>
      <c r="P170" s="203">
        <f t="shared" ca="1" si="4"/>
        <v>0</v>
      </c>
      <c r="Q170" s="203" t="b">
        <f t="shared" ca="1" si="44"/>
        <v>0</v>
      </c>
      <c r="R170" s="51" t="str" cm="1">
        <f t="array" aca="1" ref="R170" ca="1">IFERROR(SMALL(IF(P$1:P$300&lt;&gt;0,P$1:P$300),ROW(A170)),"")</f>
        <v/>
      </c>
      <c r="S170" s="51" t="str">
        <f t="array" aca="1" ref="S170" ca="1">IF($R170&lt;&gt;"",
INDIRECT(""&amp;IF(COLUMN(C190)&lt;=26,CHAR(COLUMN(C190)+64),CHAR(INT((COLUMN(C190)-1)/26)+64)&amp;CHAR(MOD(COLUMN(C190)-1,26)+65))&amp;$R170&amp;""),"")</f>
        <v/>
      </c>
      <c r="T170" s="51" t="str" cm="1">
        <f t="array" aca="1" ref="T170" ca="1">IF(IF($R170&lt;&gt;"",
INDIRECT(""&amp;IF(COLUMN(D190)&lt;=26,CHAR(COLUMN(D190)+64),CHAR(INT((COLUMN(D190)-1)/26)+64)&amp;CHAR(MOD(COLUMN(D190)-1,26)+65))&amp;$R170&amp;""),"")=0,"",
IF($R170&lt;&gt;"",
INDIRECT(""&amp;IF(COLUMN(D190)&lt;=26,CHAR(COLUMN(D190)+64),CHAR(INT((COLUMN(D190)-1)/26)+64)&amp;CHAR(MOD(COLUMN(D190)-1,26)+65))&amp;$R170&amp;""),""))</f>
        <v/>
      </c>
      <c r="U170" s="51"/>
      <c r="V170" s="51" t="str">
        <f t="array" aca="1" ref="V170" ca="1">IF($R170&lt;&gt;"",
IF(U170="",
IF(INDIRECT("EY"&amp;$R170&amp;"")&lt;&gt;"",
INDIRECT("EY"&amp;$R170&amp;"")&amp;"箱"
&amp;INDIRECT("EZ"&amp;$R170&amp;""),""),""),"")</f>
        <v/>
      </c>
      <c r="W170" s="51" t="str">
        <f t="array" aca="1" ref="W170" ca="1">IF($R170&lt;&gt;"",
INDIRECT(""&amp;IF(COLUMN(H190)&lt;=26,CHAR(COLUMN(H190)+64),CHAR(INT((COLUMN(H190)-1)/26)+64)&amp;CHAR(MOD(COLUMN(H190)-1,26)+65))&amp;$R170&amp;""),"")</f>
        <v/>
      </c>
      <c r="X170" s="51" t="str">
        <f t="array" aca="1" ref="X170" ca="1">IF($R170&lt;&gt;"",
INDIRECT(""&amp;IF(COLUMN(I190)&lt;=26,CHAR(COLUMN(I190)+64),CHAR(INT((COLUMN(I190)-1)/26)+64)&amp;CHAR(MOD(COLUMN(I190)-1,26)+65))&amp;$R170&amp;""),"")</f>
        <v/>
      </c>
      <c r="Y170" s="51" t="str">
        <f t="array" aca="1" ref="Y170" ca="1">IF($R170&lt;&gt;"",
INDIRECT(""&amp;IF(COLUMN(J190)&lt;=26,CHAR(COLUMN(J190)+64),CHAR(INT((COLUMN(J190)-1)/26)+64)&amp;CHAR(MOD(COLUMN(J190)-1,26)+65))&amp;$R170&amp;""),"")</f>
        <v/>
      </c>
      <c r="Z170" s="51" t="str">
        <f t="array" aca="1" ref="Z170" ca="1">IF($R170&lt;&gt;"",
INDIRECT(""&amp;IF(COLUMN(K190)&lt;=26,CHAR(COLUMN(K190)+64),CHAR(INT((COLUMN(K190)-1)/26)+64)&amp;CHAR(MOD(COLUMN(K190)-1,26)+65))&amp;$R170&amp;""),"")</f>
        <v/>
      </c>
      <c r="AA170" s="51" t="str">
        <f t="array" aca="1" ref="AA170" ca="1">IF($R170&lt;&gt;"",
INDIRECT(""&amp;IF(COLUMN(L190)&lt;=26,CHAR(COLUMN(L190)+64),CHAR(INT((COLUMN(L190)-1)/26)+64)&amp;CHAR(MOD(COLUMN(L190)-1,26)+65))&amp;$R170&amp;""),"")</f>
        <v/>
      </c>
      <c r="AB170" s="51" t="str">
        <f t="array" aca="1" ref="AB170" ca="1">IF($R170&lt;&gt;"",
INDIRECT(""&amp;IF(COLUMN(O190)&lt;=26,CHAR(COLUMN(O190)+64),CHAR(INT((COLUMN(O190)-1)/26)+64)&amp;CHAR(MOD(COLUMN(O190)-1,26)+65))&amp;$R170&amp;""),"")</f>
        <v/>
      </c>
    </row>
    <row r="171" spans="1:28" ht="22.2" customHeight="1">
      <c r="A171" s="204">
        <f t="shared" si="40"/>
        <v>67</v>
      </c>
      <c r="B171" s="203" t="e" cm="1">
        <f t="array" aca="1" ref="B171" ca="1">IF(AND(LEFT(C171,2)="博多",
LEFT(INDIRECT("数出表_Excel!A"&amp;MATCH(C171,数出表_Excel!$A:$A,0)-1),2)
=LEFT(INDIRECT("数出表_Excel!A"&amp;MATCH(C171,数出表_Excel!$A:$A,0)+1),2)),"博多",
IF(AND(LEFT(C171,3)="奈良屋",
LEFT(INDIRECT("数出表_Excel!A"&amp;MATCH(C171,数出表_Excel!$A:$A,0)-1),2)
=LEFT(INDIRECT("数出表_Excel!A"&amp;MATCH(C171,数出表_Excel!$A:$A,0)+1),2)),"奈良屋",""))</f>
        <v>#N/A</v>
      </c>
      <c r="C171" s="203" t="str" cm="1">
        <f t="array" aca="1" ref="C171" ca="1">IF(IF(クライアント抽出!A31="",0,LEN(クライアント抽出!V31)-LEN(SUBSTITUTE(クライアント抽出!V31,",","")))&gt;=3,INDIRECT("数出表_Excel!A"&amp;A171&amp;""),"")</f>
        <v/>
      </c>
      <c r="D171" s="203" t="str" cm="1">
        <f t="array" aca="1" ref="D171" ca="1">IF(C171&lt;&gt;"",INDIRECT("クライアント抽出!"&amp;E171&amp;MATCH(C171,クライアント抽出!A:A,0)&amp;""),"")</f>
        <v/>
      </c>
      <c r="E171" s="203" t="str">
        <f ca="1">IF(H171&lt;&gt;0,
IFERROR(
SUBSTITUTE(ADDRESS(1,
MATCH(VALUE(H171),クライアント抽出!A31:G31,0)+8,4),"1",""),
""),
IFERROR(
SUBSTITUTE(ADDRESS(1,
MATCH(VALUE(I171),クライアント抽出!A31:G31,0)+8,4),"1",""),
""))</f>
        <v/>
      </c>
      <c r="F171" s="206" t="str" cm="1">
        <f t="array" aca="1" ref="F171" ca="1">IF(D171&lt;&gt;"",
IF(COUNTIF(C171,"*雙葉*"),
IF(ROUND(
IF(O171&lt;&gt;"",(H171-O171),H171)
/IF(COUNTIF('盛付札（関数）'!D171,"*キャラ*"),
VLOOKUP("*キャラ*",#REF!,7,FALSE),
IF(COUNTIF('盛付札（関数）'!D171,"*赤*"),
VLOOKUP("*赤*",#REF!,7,FALSE),
VLOOKUP('盛付札（関数）'!D171,#REF!,7,FALSE))),0)&lt;=0,1,
ROUND(
IF(O171&lt;&gt;"",(H171-O171),H171)
/IF(COUNTIF('盛付札（関数）'!D171,"*キャラ*"),
VLOOKUP("*キャラ*",#REF!,7,FALSE),
IF(COUNTIF('盛付札（関数）'!D171,"*赤*"),
VLOOKUP("*赤*",#REF!,7,FALSE),
VLOOKUP('盛付札（関数）'!D171,#REF!,7,FALSE))),0)),
IF(MATCH(TRUE,
ISNUMBER(--INDIRECT("数出表_Excel!B"&amp;MATCH(C171,数出表_Excel!$A:$A,0)-1&amp;":U"&amp;MATCH(C171,数出表_Excel!$A:$A,0)-1&amp;"")),0)&gt;10,
IF(D171&lt;&gt;"",
IF(IF(COUNTIF('盛付札（関数）'!D171,"*キャラ*"),
VLOOKUP("*キャラ*",#REF!,7,FALSE),
IF(COUNTIF('盛付札（関数）'!D171,"*赤*"),
VLOOKUP("*赤*",#REF!,7,FALSE),
VLOOKUP('盛付札（関数）'!D171,#REF!,7,FALSE)))=0,"",
IF(ROUND(
IF(O171&lt;&gt;"",(H171-O171),H171)
/IF(COUNTIF('盛付札（関数）'!D171,"*キャラ*"),
VLOOKUP("*キャラ*",#REF!,7,FALSE),
IF(COUNTIF('盛付札（関数）'!D171,"*赤*"),
VLOOKUP("*赤*",#REF!,7,FALSE),
VLOOKUP('盛付札（関数）'!D171,#REF!,7,FALSE))),0)&lt;=0,1,
ROUND(
IF(O171&lt;&gt;"",(H171-O171),H171)
/IF(COUNTIF('盛付札（関数）'!D171,"*キャラ*"),
VLOOKUP("*キャラ*",#REF!,7,FALSE),
IF(COUNTIF('盛付札（関数）'!D171,"*赤*"),
VLOOKUP("*赤*",#REF!,7,FALSE),
VLOOKUP('盛付札（関数）'!D171,#REF!,7,FALSE))),0))),""),"")),"")</f>
        <v/>
      </c>
      <c r="G171" s="206" t="str">
        <f ca="1">IF(F171&lt;&gt;"",IF(VALUE(IF(O171&lt;&gt;"",H171-O171,H171))&gt;VALUE(IF(COUNTIF('盛付札（関数）'!D171,"*キャラ*"),
VLOOKUP("*キャラ*",#REF!,7,FALSE),
IF(COUNTIF('盛付札（関数）'!D171,"*赤*"),
VLOOKUP("*赤*",#REF!,7,FALSE),
VLOOKUP('盛付札（関数）'!D171,#REF!,7,FALSE)))*F171),
"+"&amp;IF(O171&lt;&gt;"",H171-O171,H171)-IF(COUNTIF('盛付札（関数）'!D171,"*キャラ*"),
VLOOKUP("*キャラ*",#REF!,7,FALSE),
IF(COUNTIF('盛付札（関数）'!D171,"*赤*"),
VLOOKUP("*赤*",#REF!,7,FALSE),
VLOOKUP('盛付札（関数）'!D171,#REF!,7,FALSE)))*F171,
IF(O171&lt;&gt;"",H171-O171,H171)-IF(COUNTIF('盛付札（関数）'!D171,"*キャラ*"),
VLOOKUP("*キャラ*",#REF!,7,FALSE),
IF(COUNTIF('盛付札（関数）'!D171,"*赤*"),
VLOOKUP("*赤*",#REF!,7,FALSE),
VLOOKUP('盛付札（関数）'!D171,#REF!,7,FALSE)))*F171),"")</f>
        <v/>
      </c>
      <c r="H171" s="205" t="str" cm="1">
        <f t="array" aca="1" ref="H171" ca="1">IF(C171&lt;&gt;"",
IF(INDIRECT("数出表_Excel!"&amp;RIGHT(SUBSTITUTE(クライアント抽出!V31,",",""),1)&amp;A171-1&amp;"")&lt;&gt;"",
INDIRECT("数出表_Excel!"&amp;RIGHT(SUBSTITUTE(クライアント抽出!V31,",",""),1)&amp;A171-1&amp;""),0),"")</f>
        <v/>
      </c>
      <c r="I171" s="203" t="str" cm="1">
        <f t="array" aca="1" ref="I171" ca="1">IF(C171&lt;&gt;"",
IF(INDIRECT("数出表_Excel!"&amp;RIGHT(SUBSTITUTE(クライアント抽出!V31,",",""),1)&amp;A171&amp;"")&lt;&gt;"",
INDIRECT("数出表_Excel!"&amp;RIGHT(SUBSTITUTE(クライアント抽出!V31,",",""),1)&amp;A171&amp;""),0),"")</f>
        <v/>
      </c>
      <c r="J171" s="203" t="str">
        <f ca="1">IF(C171&lt;&gt;"",
VLOOKUP(
IF(COUNTIF(D171,"*学食*"),"キャラ弁（学食）",
IF(COUNTIF(D171,"*赤*"),"赤",
IF(COUNTIF(D171,"*キャラ弁当*"),"キャラ弁当",D171))),注文弁当の抽出!$E$1:$F$15,2,FALSE),"")</f>
        <v/>
      </c>
      <c r="K171" s="203" t="str">
        <f t="shared" ca="1" si="41"/>
        <v/>
      </c>
      <c r="L171" s="203" t="str">
        <f t="shared" ca="1" si="42"/>
        <v/>
      </c>
      <c r="M171" s="203" cm="1">
        <f t="array" aca="1" ref="M171" ca="1">IF(C171&lt;&gt;"",
IF(IFERROR(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0)&lt;&gt;0,
IF(IFERROR(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"")="",
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""),
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0)),0),0)</f>
        <v>0</v>
      </c>
      <c r="N171" s="203" t="e">
        <f t="array" aca="1" ref="N171" ca="1">IF(B171="博多",
IF(C171&lt;&gt;"",
IF(IFERROR(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0)&lt;&gt;0,
IF(IFERROR(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0)="",
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0),
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0)),0),""),0)</f>
        <v>#N/A</v>
      </c>
      <c r="O171" s="203" t="e">
        <f t="shared" ca="1" si="43"/>
        <v>#N/A</v>
      </c>
      <c r="P171" s="203">
        <f t="shared" ca="1" si="4"/>
        <v>0</v>
      </c>
      <c r="Q171" s="203" t="b">
        <f t="shared" ca="1" si="44"/>
        <v>0</v>
      </c>
      <c r="R171" s="51" t="str" cm="1">
        <f t="array" aca="1" ref="R171" ca="1">IFERROR(SMALL(IF(P$1:P$300&lt;&gt;0,P$1:P$300),ROW(A171)),"")</f>
        <v/>
      </c>
      <c r="S171" s="51" t="str">
        <f t="array" aca="1" ref="S171" ca="1">IF($R171&lt;&gt;"",
INDIRECT(""&amp;IF(COLUMN(C191)&lt;=26,CHAR(COLUMN(C191)+64),CHAR(INT((COLUMN(C191)-1)/26)+64)&amp;CHAR(MOD(COLUMN(C191)-1,26)+65))&amp;$R171&amp;""),"")</f>
        <v/>
      </c>
      <c r="T171" s="51" t="str" cm="1">
        <f t="array" aca="1" ref="T171" ca="1">IF(IF($R171&lt;&gt;"",
INDIRECT(""&amp;IF(COLUMN(D191)&lt;=26,CHAR(COLUMN(D191)+64),CHAR(INT((COLUMN(D191)-1)/26)+64)&amp;CHAR(MOD(COLUMN(D191)-1,26)+65))&amp;$R171&amp;""),"")=0,"",
IF($R171&lt;&gt;"",
INDIRECT(""&amp;IF(COLUMN(D191)&lt;=26,CHAR(COLUMN(D191)+64),CHAR(INT((COLUMN(D191)-1)/26)+64)&amp;CHAR(MOD(COLUMN(D191)-1,26)+65))&amp;$R171&amp;""),""))</f>
        <v/>
      </c>
      <c r="U171" s="51"/>
      <c r="V171" s="51" t="str">
        <f t="array" aca="1" ref="V171" ca="1">IF($R171&lt;&gt;"",
IF(U171="",
IF(INDIRECT("EY"&amp;$R171&amp;"")&lt;&gt;"",
INDIRECT("EY"&amp;$R171&amp;"")&amp;"箱"
&amp;INDIRECT("EZ"&amp;$R171&amp;""),""),""),"")</f>
        <v/>
      </c>
      <c r="W171" s="51" t="str">
        <f t="array" aca="1" ref="W171" ca="1">IF($R171&lt;&gt;"",
INDIRECT(""&amp;IF(COLUMN(H191)&lt;=26,CHAR(COLUMN(H191)+64),CHAR(INT((COLUMN(H191)-1)/26)+64)&amp;CHAR(MOD(COLUMN(H191)-1,26)+65))&amp;$R171&amp;""),"")</f>
        <v/>
      </c>
      <c r="X171" s="51" t="str">
        <f t="array" aca="1" ref="X171" ca="1">IF($R171&lt;&gt;"",
INDIRECT(""&amp;IF(COLUMN(I191)&lt;=26,CHAR(COLUMN(I191)+64),CHAR(INT((COLUMN(I191)-1)/26)+64)&amp;CHAR(MOD(COLUMN(I191)-1,26)+65))&amp;$R171&amp;""),"")</f>
        <v/>
      </c>
      <c r="Y171" s="51" t="str">
        <f t="array" aca="1" ref="Y171" ca="1">IF($R171&lt;&gt;"",
INDIRECT(""&amp;IF(COLUMN(J191)&lt;=26,CHAR(COLUMN(J191)+64),CHAR(INT((COLUMN(J191)-1)/26)+64)&amp;CHAR(MOD(COLUMN(J191)-1,26)+65))&amp;$R171&amp;""),"")</f>
        <v/>
      </c>
      <c r="Z171" s="51" t="str">
        <f t="array" aca="1" ref="Z171" ca="1">IF($R171&lt;&gt;"",
INDIRECT(""&amp;IF(COLUMN(K191)&lt;=26,CHAR(COLUMN(K191)+64),CHAR(INT((COLUMN(K191)-1)/26)+64)&amp;CHAR(MOD(COLUMN(K191)-1,26)+65))&amp;$R171&amp;""),"")</f>
        <v/>
      </c>
      <c r="AA171" s="51" t="str">
        <f t="array" aca="1" ref="AA171" ca="1">IF($R171&lt;&gt;"",
INDIRECT(""&amp;IF(COLUMN(L191)&lt;=26,CHAR(COLUMN(L191)+64),CHAR(INT((COLUMN(L191)-1)/26)+64)&amp;CHAR(MOD(COLUMN(L191)-1,26)+65))&amp;$R171&amp;""),"")</f>
        <v/>
      </c>
      <c r="AB171" s="51" t="str">
        <f t="array" aca="1" ref="AB171" ca="1">IF($R171&lt;&gt;"",
INDIRECT(""&amp;IF(COLUMN(O191)&lt;=26,CHAR(COLUMN(O191)+64),CHAR(INT((COLUMN(O191)-1)/26)+64)&amp;CHAR(MOD(COLUMN(O191)-1,26)+65))&amp;$R171&amp;""),"")</f>
        <v/>
      </c>
    </row>
    <row r="172" spans="1:28" ht="22.2" customHeight="1">
      <c r="A172" s="204">
        <f t="shared" si="40"/>
        <v>69</v>
      </c>
      <c r="B172" s="203" t="e" cm="1">
        <f t="array" aca="1" ref="B172" ca="1">IF(AND(LEFT(C172,2)="博多",
LEFT(INDIRECT("数出表_Excel!A"&amp;MATCH(C172,数出表_Excel!$A:$A,0)-1),2)
=LEFT(INDIRECT("数出表_Excel!A"&amp;MATCH(C172,数出表_Excel!$A:$A,0)+1),2)),"博多",
IF(AND(LEFT(C172,3)="奈良屋",
LEFT(INDIRECT("数出表_Excel!A"&amp;MATCH(C172,数出表_Excel!$A:$A,0)-1),2)
=LEFT(INDIRECT("数出表_Excel!A"&amp;MATCH(C172,数出表_Excel!$A:$A,0)+1),2)),"奈良屋",""))</f>
        <v>#N/A</v>
      </c>
      <c r="C172" s="203" t="str" cm="1">
        <f t="array" aca="1" ref="C172" ca="1">IF(IF(クライアント抽出!A32="",0,LEN(クライアント抽出!V32)-LEN(SUBSTITUTE(クライアント抽出!V32,",","")))&gt;=3,INDIRECT("数出表_Excel!A"&amp;A172&amp;""),"")</f>
        <v/>
      </c>
      <c r="D172" s="203" t="str" cm="1">
        <f t="array" aca="1" ref="D172" ca="1">IF(C172&lt;&gt;"",INDIRECT("クライアント抽出!"&amp;E172&amp;MATCH(C172,クライアント抽出!A:A,0)&amp;""),"")</f>
        <v/>
      </c>
      <c r="E172" s="203" t="str">
        <f ca="1">IF(H172&lt;&gt;0,
IFERROR(
SUBSTITUTE(ADDRESS(1,
MATCH(VALUE(H172),クライアント抽出!A32:G32,0)+8,4),"1",""),
""),
IFERROR(
SUBSTITUTE(ADDRESS(1,
MATCH(VALUE(I172),クライアント抽出!A32:G32,0)+8,4),"1",""),
""))</f>
        <v/>
      </c>
      <c r="F172" s="206" t="str" cm="1">
        <f t="array" aca="1" ref="F172" ca="1">IF(D172&lt;&gt;"",
IF(COUNTIF(C172,"*雙葉*"),
IF(ROUND(
IF(O172&lt;&gt;"",(H172-O172),H172)
/IF(COUNTIF('盛付札（関数）'!D172,"*キャラ*"),
VLOOKUP("*キャラ*",#REF!,7,FALSE),
IF(COUNTIF('盛付札（関数）'!D172,"*赤*"),
VLOOKUP("*赤*",#REF!,7,FALSE),
VLOOKUP('盛付札（関数）'!D172,#REF!,7,FALSE))),0)&lt;=0,1,
ROUND(
IF(O172&lt;&gt;"",(H172-O172),H172)
/IF(COUNTIF('盛付札（関数）'!D172,"*キャラ*"),
VLOOKUP("*キャラ*",#REF!,7,FALSE),
IF(COUNTIF('盛付札（関数）'!D172,"*赤*"),
VLOOKUP("*赤*",#REF!,7,FALSE),
VLOOKUP('盛付札（関数）'!D172,#REF!,7,FALSE))),0)),
IF(MATCH(TRUE,
ISNUMBER(--INDIRECT("数出表_Excel!B"&amp;MATCH(C172,数出表_Excel!$A:$A,0)-1&amp;":U"&amp;MATCH(C172,数出表_Excel!$A:$A,0)-1&amp;"")),0)&gt;10,
IF(D172&lt;&gt;"",
IF(IF(COUNTIF('盛付札（関数）'!D172,"*キャラ*"),
VLOOKUP("*キャラ*",#REF!,7,FALSE),
IF(COUNTIF('盛付札（関数）'!D172,"*赤*"),
VLOOKUP("*赤*",#REF!,7,FALSE),
VLOOKUP('盛付札（関数）'!D172,#REF!,7,FALSE)))=0,"",
IF(ROUND(
IF(O172&lt;&gt;"",(H172-O172),H172)
/IF(COUNTIF('盛付札（関数）'!D172,"*キャラ*"),
VLOOKUP("*キャラ*",#REF!,7,FALSE),
IF(COUNTIF('盛付札（関数）'!D172,"*赤*"),
VLOOKUP("*赤*",#REF!,7,FALSE),
VLOOKUP('盛付札（関数）'!D172,#REF!,7,FALSE))),0)&lt;=0,1,
ROUND(
IF(O172&lt;&gt;"",(H172-O172),H172)
/IF(COUNTIF('盛付札（関数）'!D172,"*キャラ*"),
VLOOKUP("*キャラ*",#REF!,7,FALSE),
IF(COUNTIF('盛付札（関数）'!D172,"*赤*"),
VLOOKUP("*赤*",#REF!,7,FALSE),
VLOOKUP('盛付札（関数）'!D172,#REF!,7,FALSE))),0))),""),"")),"")</f>
        <v/>
      </c>
      <c r="G172" s="206" t="str">
        <f ca="1">IF(F172&lt;&gt;"",IF(VALUE(IF(O172&lt;&gt;"",H172-O172,H172))&gt;VALUE(IF(COUNTIF('盛付札（関数）'!D172,"*キャラ*"),
VLOOKUP("*キャラ*",#REF!,7,FALSE),
IF(COUNTIF('盛付札（関数）'!D172,"*赤*"),
VLOOKUP("*赤*",#REF!,7,FALSE),
VLOOKUP('盛付札（関数）'!D172,#REF!,7,FALSE)))*F172),
"+"&amp;IF(O172&lt;&gt;"",H172-O172,H172)-IF(COUNTIF('盛付札（関数）'!D172,"*キャラ*"),
VLOOKUP("*キャラ*",#REF!,7,FALSE),
IF(COUNTIF('盛付札（関数）'!D172,"*赤*"),
VLOOKUP("*赤*",#REF!,7,FALSE),
VLOOKUP('盛付札（関数）'!D172,#REF!,7,FALSE)))*F172,
IF(O172&lt;&gt;"",H172-O172,H172)-IF(COUNTIF('盛付札（関数）'!D172,"*キャラ*"),
VLOOKUP("*キャラ*",#REF!,7,FALSE),
IF(COUNTIF('盛付札（関数）'!D172,"*赤*"),
VLOOKUP("*赤*",#REF!,7,FALSE),
VLOOKUP('盛付札（関数）'!D172,#REF!,7,FALSE)))*F172),"")</f>
        <v/>
      </c>
      <c r="H172" s="205" t="str" cm="1">
        <f t="array" aca="1" ref="H172" ca="1">IF(C172&lt;&gt;"",
IF(INDIRECT("数出表_Excel!"&amp;RIGHT(SUBSTITUTE(クライアント抽出!V32,",",""),1)&amp;A172-1&amp;"")&lt;&gt;"",
INDIRECT("数出表_Excel!"&amp;RIGHT(SUBSTITUTE(クライアント抽出!V32,",",""),1)&amp;A172-1&amp;""),0),"")</f>
        <v/>
      </c>
      <c r="I172" s="203" t="str" cm="1">
        <f t="array" aca="1" ref="I172" ca="1">IF(C172&lt;&gt;"",
IF(INDIRECT("数出表_Excel!"&amp;RIGHT(SUBSTITUTE(クライアント抽出!V32,",",""),1)&amp;A172&amp;"")&lt;&gt;"",
INDIRECT("数出表_Excel!"&amp;RIGHT(SUBSTITUTE(クライアント抽出!V32,",",""),1)&amp;A172&amp;""),0),"")</f>
        <v/>
      </c>
      <c r="J172" s="203" t="str">
        <f ca="1">IF(C172&lt;&gt;"",
VLOOKUP(
IF(COUNTIF(D172,"*学食*"),"キャラ弁（学食）",
IF(COUNTIF(D172,"*赤*"),"赤",
IF(COUNTIF(D172,"*キャラ弁当*"),"キャラ弁当",D172))),注文弁当の抽出!$E$1:$F$15,2,FALSE),"")</f>
        <v/>
      </c>
      <c r="K172" s="203" t="str">
        <f t="shared" ca="1" si="41"/>
        <v/>
      </c>
      <c r="L172" s="203" t="str">
        <f t="shared" ca="1" si="42"/>
        <v/>
      </c>
      <c r="M172" s="203" cm="1">
        <f t="array" aca="1" ref="M172" ca="1">IF(C172&lt;&gt;"",
IF(IFERROR(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0)&lt;&gt;0,
IF(IFERROR(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"")="",
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""),
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0)),0),0)</f>
        <v>0</v>
      </c>
      <c r="N172" s="203" t="e">
        <f t="array" aca="1" ref="N172" ca="1">IF(B172="博多",
IF(C172&lt;&gt;"",
IF(IFERROR(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0)&lt;&gt;0,
IF(IFERROR(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0)="",
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0),
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0)),0),""),0)</f>
        <v>#N/A</v>
      </c>
      <c r="O172" s="203" t="e">
        <f t="shared" ca="1" si="43"/>
        <v>#N/A</v>
      </c>
      <c r="P172" s="203">
        <f t="shared" ca="1" si="4"/>
        <v>0</v>
      </c>
      <c r="Q172" s="203" t="b">
        <f t="shared" ca="1" si="44"/>
        <v>0</v>
      </c>
      <c r="R172" s="51" t="str" cm="1">
        <f t="array" aca="1" ref="R172" ca="1">IFERROR(SMALL(IF(P$1:P$300&lt;&gt;0,P$1:P$300),ROW(A172)),"")</f>
        <v/>
      </c>
      <c r="S172" s="51" t="str">
        <f t="array" aca="1" ref="S172" ca="1">IF($R172&lt;&gt;"",
INDIRECT(""&amp;IF(COLUMN(C192)&lt;=26,CHAR(COLUMN(C192)+64),CHAR(INT((COLUMN(C192)-1)/26)+64)&amp;CHAR(MOD(COLUMN(C192)-1,26)+65))&amp;$R172&amp;""),"")</f>
        <v/>
      </c>
      <c r="T172" s="51" t="str" cm="1">
        <f t="array" aca="1" ref="T172" ca="1">IF(IF($R172&lt;&gt;"",
INDIRECT(""&amp;IF(COLUMN(D192)&lt;=26,CHAR(COLUMN(D192)+64),CHAR(INT((COLUMN(D192)-1)/26)+64)&amp;CHAR(MOD(COLUMN(D192)-1,26)+65))&amp;$R172&amp;""),"")=0,"",
IF($R172&lt;&gt;"",
INDIRECT(""&amp;IF(COLUMN(D192)&lt;=26,CHAR(COLUMN(D192)+64),CHAR(INT((COLUMN(D192)-1)/26)+64)&amp;CHAR(MOD(COLUMN(D192)-1,26)+65))&amp;$R172&amp;""),""))</f>
        <v/>
      </c>
      <c r="U172" s="51"/>
      <c r="V172" s="51" t="str">
        <f t="array" aca="1" ref="V172" ca="1">IF($R172&lt;&gt;"",
IF(U172="",
IF(INDIRECT("EY"&amp;$R172&amp;"")&lt;&gt;"",
INDIRECT("EY"&amp;$R172&amp;"")&amp;"箱"
&amp;INDIRECT("EZ"&amp;$R172&amp;""),""),""),"")</f>
        <v/>
      </c>
      <c r="W172" s="51" t="str">
        <f t="array" aca="1" ref="W172" ca="1">IF($R172&lt;&gt;"",
INDIRECT(""&amp;IF(COLUMN(H192)&lt;=26,CHAR(COLUMN(H192)+64),CHAR(INT((COLUMN(H192)-1)/26)+64)&amp;CHAR(MOD(COLUMN(H192)-1,26)+65))&amp;$R172&amp;""),"")</f>
        <v/>
      </c>
      <c r="X172" s="51" t="str">
        <f t="array" aca="1" ref="X172" ca="1">IF($R172&lt;&gt;"",
INDIRECT(""&amp;IF(COLUMN(I192)&lt;=26,CHAR(COLUMN(I192)+64),CHAR(INT((COLUMN(I192)-1)/26)+64)&amp;CHAR(MOD(COLUMN(I192)-1,26)+65))&amp;$R172&amp;""),"")</f>
        <v/>
      </c>
      <c r="Y172" s="51" t="str">
        <f t="array" aca="1" ref="Y172" ca="1">IF($R172&lt;&gt;"",
INDIRECT(""&amp;IF(COLUMN(J192)&lt;=26,CHAR(COLUMN(J192)+64),CHAR(INT((COLUMN(J192)-1)/26)+64)&amp;CHAR(MOD(COLUMN(J192)-1,26)+65))&amp;$R172&amp;""),"")</f>
        <v/>
      </c>
      <c r="Z172" s="51" t="str">
        <f t="array" aca="1" ref="Z172" ca="1">IF($R172&lt;&gt;"",
INDIRECT(""&amp;IF(COLUMN(K192)&lt;=26,CHAR(COLUMN(K192)+64),CHAR(INT((COLUMN(K192)-1)/26)+64)&amp;CHAR(MOD(COLUMN(K192)-1,26)+65))&amp;$R172&amp;""),"")</f>
        <v/>
      </c>
      <c r="AA172" s="51" t="str">
        <f t="array" aca="1" ref="AA172" ca="1">IF($R172&lt;&gt;"",
INDIRECT(""&amp;IF(COLUMN(L192)&lt;=26,CHAR(COLUMN(L192)+64),CHAR(INT((COLUMN(L192)-1)/26)+64)&amp;CHAR(MOD(COLUMN(L192)-1,26)+65))&amp;$R172&amp;""),"")</f>
        <v/>
      </c>
      <c r="AB172" s="51" t="str">
        <f t="array" aca="1" ref="AB172" ca="1">IF($R172&lt;&gt;"",
INDIRECT(""&amp;IF(COLUMN(O192)&lt;=26,CHAR(COLUMN(O192)+64),CHAR(INT((COLUMN(O192)-1)/26)+64)&amp;CHAR(MOD(COLUMN(O192)-1,26)+65))&amp;$R172&amp;""),"")</f>
        <v/>
      </c>
    </row>
    <row r="173" spans="1:28" ht="22.2" customHeight="1">
      <c r="A173" s="204">
        <f t="shared" si="40"/>
        <v>71</v>
      </c>
      <c r="B173" s="203" t="e" cm="1">
        <f t="array" aca="1" ref="B173" ca="1">IF(AND(LEFT(C173,2)="博多",
LEFT(INDIRECT("数出表_Excel!A"&amp;MATCH(C173,数出表_Excel!$A:$A,0)-1),2)
=LEFT(INDIRECT("数出表_Excel!A"&amp;MATCH(C173,数出表_Excel!$A:$A,0)+1),2)),"博多",
IF(AND(LEFT(C173,3)="奈良屋",
LEFT(INDIRECT("数出表_Excel!A"&amp;MATCH(C173,数出表_Excel!$A:$A,0)-1),2)
=LEFT(INDIRECT("数出表_Excel!A"&amp;MATCH(C173,数出表_Excel!$A:$A,0)+1),2)),"奈良屋",""))</f>
        <v>#N/A</v>
      </c>
      <c r="C173" s="203" t="str" cm="1">
        <f t="array" aca="1" ref="C173" ca="1">IF(IF(クライアント抽出!A33="",0,LEN(クライアント抽出!V33)-LEN(SUBSTITUTE(クライアント抽出!V33,",","")))&gt;=3,INDIRECT("数出表_Excel!A"&amp;A173&amp;""),"")</f>
        <v/>
      </c>
      <c r="D173" s="203" t="str" cm="1">
        <f t="array" aca="1" ref="D173" ca="1">IF(C173&lt;&gt;"",INDIRECT("クライアント抽出!"&amp;E173&amp;MATCH(C173,クライアント抽出!A:A,0)&amp;""),"")</f>
        <v/>
      </c>
      <c r="E173" s="203" t="str">
        <f ca="1">IF(H173&lt;&gt;0,
IFERROR(
SUBSTITUTE(ADDRESS(1,
MATCH(VALUE(H173),クライアント抽出!A33:G33,0)+8,4),"1",""),
""),
IFERROR(
SUBSTITUTE(ADDRESS(1,
MATCH(VALUE(I173),クライアント抽出!A33:G33,0)+8,4),"1",""),
""))</f>
        <v/>
      </c>
      <c r="F173" s="206" t="str" cm="1">
        <f t="array" aca="1" ref="F173" ca="1">IF(D173&lt;&gt;"",
IF(COUNTIF(C173,"*雙葉*"),
IF(ROUND(
IF(O173&lt;&gt;"",(H173-O173),H173)
/IF(COUNTIF('盛付札（関数）'!D173,"*キャラ*"),
VLOOKUP("*キャラ*",#REF!,7,FALSE),
IF(COUNTIF('盛付札（関数）'!D173,"*赤*"),
VLOOKUP("*赤*",#REF!,7,FALSE),
VLOOKUP('盛付札（関数）'!D173,#REF!,7,FALSE))),0)&lt;=0,1,
ROUND(
IF(O173&lt;&gt;"",(H173-O173),H173)
/IF(COUNTIF('盛付札（関数）'!D173,"*キャラ*"),
VLOOKUP("*キャラ*",#REF!,7,FALSE),
IF(COUNTIF('盛付札（関数）'!D173,"*赤*"),
VLOOKUP("*赤*",#REF!,7,FALSE),
VLOOKUP('盛付札（関数）'!D173,#REF!,7,FALSE))),0)),
IF(MATCH(TRUE,
ISNUMBER(--INDIRECT("数出表_Excel!B"&amp;MATCH(C173,数出表_Excel!$A:$A,0)-1&amp;":U"&amp;MATCH(C173,数出表_Excel!$A:$A,0)-1&amp;"")),0)&gt;10,
IF(D173&lt;&gt;"",
IF(IF(COUNTIF('盛付札（関数）'!D173,"*キャラ*"),
VLOOKUP("*キャラ*",#REF!,7,FALSE),
IF(COUNTIF('盛付札（関数）'!D173,"*赤*"),
VLOOKUP("*赤*",#REF!,7,FALSE),
VLOOKUP('盛付札（関数）'!D173,#REF!,7,FALSE)))=0,"",
IF(ROUND(
IF(O173&lt;&gt;"",(H173-O173),H173)
/IF(COUNTIF('盛付札（関数）'!D173,"*キャラ*"),
VLOOKUP("*キャラ*",#REF!,7,FALSE),
IF(COUNTIF('盛付札（関数）'!D173,"*赤*"),
VLOOKUP("*赤*",#REF!,7,FALSE),
VLOOKUP('盛付札（関数）'!D173,#REF!,7,FALSE))),0)&lt;=0,1,
ROUND(
IF(O173&lt;&gt;"",(H173-O173),H173)
/IF(COUNTIF('盛付札（関数）'!D173,"*キャラ*"),
VLOOKUP("*キャラ*",#REF!,7,FALSE),
IF(COUNTIF('盛付札（関数）'!D173,"*赤*"),
VLOOKUP("*赤*",#REF!,7,FALSE),
VLOOKUP('盛付札（関数）'!D173,#REF!,7,FALSE))),0))),""),"")),"")</f>
        <v/>
      </c>
      <c r="G173" s="206" t="str">
        <f ca="1">IF(F173&lt;&gt;"",IF(VALUE(IF(O173&lt;&gt;"",H173-O173,H173))&gt;VALUE(IF(COUNTIF('盛付札（関数）'!D173,"*キャラ*"),
VLOOKUP("*キャラ*",#REF!,7,FALSE),
IF(COUNTIF('盛付札（関数）'!D173,"*赤*"),
VLOOKUP("*赤*",#REF!,7,FALSE),
VLOOKUP('盛付札（関数）'!D173,#REF!,7,FALSE)))*F173),
"+"&amp;IF(O173&lt;&gt;"",H173-O173,H173)-IF(COUNTIF('盛付札（関数）'!D173,"*キャラ*"),
VLOOKUP("*キャラ*",#REF!,7,FALSE),
IF(COUNTIF('盛付札（関数）'!D173,"*赤*"),
VLOOKUP("*赤*",#REF!,7,FALSE),
VLOOKUP('盛付札（関数）'!D173,#REF!,7,FALSE)))*F173,
IF(O173&lt;&gt;"",H173-O173,H173)-IF(COUNTIF('盛付札（関数）'!D173,"*キャラ*"),
VLOOKUP("*キャラ*",#REF!,7,FALSE),
IF(COUNTIF('盛付札（関数）'!D173,"*赤*"),
VLOOKUP("*赤*",#REF!,7,FALSE),
VLOOKUP('盛付札（関数）'!D173,#REF!,7,FALSE)))*F173),"")</f>
        <v/>
      </c>
      <c r="H173" s="205" t="str" cm="1">
        <f t="array" aca="1" ref="H173" ca="1">IF(C173&lt;&gt;"",
IF(INDIRECT("数出表_Excel!"&amp;RIGHT(SUBSTITUTE(クライアント抽出!V33,",",""),1)&amp;A173-1&amp;"")&lt;&gt;"",
INDIRECT("数出表_Excel!"&amp;RIGHT(SUBSTITUTE(クライアント抽出!V33,",",""),1)&amp;A173-1&amp;""),0),"")</f>
        <v/>
      </c>
      <c r="I173" s="203" t="str" cm="1">
        <f t="array" aca="1" ref="I173" ca="1">IF(C173&lt;&gt;"",
IF(INDIRECT("数出表_Excel!"&amp;RIGHT(SUBSTITUTE(クライアント抽出!V33,",",""),1)&amp;A173&amp;"")&lt;&gt;"",
INDIRECT("数出表_Excel!"&amp;RIGHT(SUBSTITUTE(クライアント抽出!V33,",",""),1)&amp;A173&amp;""),0),"")</f>
        <v/>
      </c>
      <c r="J173" s="203" t="str">
        <f ca="1">IF(C173&lt;&gt;"",
VLOOKUP(
IF(COUNTIF(D173,"*学食*"),"キャラ弁（学食）",
IF(COUNTIF(D173,"*赤*"),"赤",
IF(COUNTIF(D173,"*キャラ弁当*"),"キャラ弁当",D173))),注文弁当の抽出!$E$1:$F$15,2,FALSE),"")</f>
        <v/>
      </c>
      <c r="K173" s="203" t="str">
        <f t="shared" ca="1" si="41"/>
        <v/>
      </c>
      <c r="L173" s="203" t="str">
        <f t="shared" ca="1" si="42"/>
        <v/>
      </c>
      <c r="M173" s="203" cm="1">
        <f t="array" aca="1" ref="M173" ca="1">IF(C173&lt;&gt;"",
IF(IFERROR(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0)&lt;&gt;0,
IF(IFERROR(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"")="",
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""),
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0)),0),0)</f>
        <v>0</v>
      </c>
      <c r="N173" s="203" t="e">
        <f t="array" aca="1" ref="N173" ca="1">IF(B173="博多",
IF(C173&lt;&gt;"",
IF(IFERROR(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0)&lt;&gt;0,
IF(IFERROR(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0)="",
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0),
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0)),0),""),0)</f>
        <v>#N/A</v>
      </c>
      <c r="O173" s="203" t="e">
        <f t="shared" ca="1" si="43"/>
        <v>#N/A</v>
      </c>
      <c r="P173" s="203">
        <f t="shared" ca="1" si="4"/>
        <v>0</v>
      </c>
      <c r="Q173" s="203" t="b">
        <f t="shared" ca="1" si="44"/>
        <v>0</v>
      </c>
      <c r="R173" s="51" t="str" cm="1">
        <f t="array" aca="1" ref="R173" ca="1">IFERROR(SMALL(IF(P$1:P$300&lt;&gt;0,P$1:P$300),ROW(A173)),"")</f>
        <v/>
      </c>
      <c r="S173" s="51" t="str">
        <f t="array" aca="1" ref="S173" ca="1">IF($R173&lt;&gt;"",
INDIRECT(""&amp;IF(COLUMN(C193)&lt;=26,CHAR(COLUMN(C193)+64),CHAR(INT((COLUMN(C193)-1)/26)+64)&amp;CHAR(MOD(COLUMN(C193)-1,26)+65))&amp;$R173&amp;""),"")</f>
        <v/>
      </c>
      <c r="T173" s="51" t="str" cm="1">
        <f t="array" aca="1" ref="T173" ca="1">IF(IF($R173&lt;&gt;"",
INDIRECT(""&amp;IF(COLUMN(D193)&lt;=26,CHAR(COLUMN(D193)+64),CHAR(INT((COLUMN(D193)-1)/26)+64)&amp;CHAR(MOD(COLUMN(D193)-1,26)+65))&amp;$R173&amp;""),"")=0,"",
IF($R173&lt;&gt;"",
INDIRECT(""&amp;IF(COLUMN(D193)&lt;=26,CHAR(COLUMN(D193)+64),CHAR(INT((COLUMN(D193)-1)/26)+64)&amp;CHAR(MOD(COLUMN(D193)-1,26)+65))&amp;$R173&amp;""),""))</f>
        <v/>
      </c>
      <c r="U173" s="51"/>
      <c r="V173" s="51" t="str">
        <f t="array" aca="1" ref="V173" ca="1">IF($R173&lt;&gt;"",
IF(U173="",
IF(INDIRECT("EY"&amp;$R173&amp;"")&lt;&gt;"",
INDIRECT("EY"&amp;$R173&amp;"")&amp;"箱"
&amp;INDIRECT("EZ"&amp;$R173&amp;""),""),""),"")</f>
        <v/>
      </c>
      <c r="W173" s="51" t="str">
        <f t="array" aca="1" ref="W173" ca="1">IF($R173&lt;&gt;"",
INDIRECT(""&amp;IF(COLUMN(H193)&lt;=26,CHAR(COLUMN(H193)+64),CHAR(INT((COLUMN(H193)-1)/26)+64)&amp;CHAR(MOD(COLUMN(H193)-1,26)+65))&amp;$R173&amp;""),"")</f>
        <v/>
      </c>
      <c r="X173" s="51" t="str">
        <f t="array" aca="1" ref="X173" ca="1">IF($R173&lt;&gt;"",
INDIRECT(""&amp;IF(COLUMN(I193)&lt;=26,CHAR(COLUMN(I193)+64),CHAR(INT((COLUMN(I193)-1)/26)+64)&amp;CHAR(MOD(COLUMN(I193)-1,26)+65))&amp;$R173&amp;""),"")</f>
        <v/>
      </c>
      <c r="Y173" s="51" t="str">
        <f t="array" aca="1" ref="Y173" ca="1">IF($R173&lt;&gt;"",
INDIRECT(""&amp;IF(COLUMN(J193)&lt;=26,CHAR(COLUMN(J193)+64),CHAR(INT((COLUMN(J193)-1)/26)+64)&amp;CHAR(MOD(COLUMN(J193)-1,26)+65))&amp;$R173&amp;""),"")</f>
        <v/>
      </c>
      <c r="Z173" s="51" t="str">
        <f t="array" aca="1" ref="Z173" ca="1">IF($R173&lt;&gt;"",
INDIRECT(""&amp;IF(COLUMN(K193)&lt;=26,CHAR(COLUMN(K193)+64),CHAR(INT((COLUMN(K193)-1)/26)+64)&amp;CHAR(MOD(COLUMN(K193)-1,26)+65))&amp;$R173&amp;""),"")</f>
        <v/>
      </c>
      <c r="AA173" s="51" t="str">
        <f t="array" aca="1" ref="AA173" ca="1">IF($R173&lt;&gt;"",
INDIRECT(""&amp;IF(COLUMN(L193)&lt;=26,CHAR(COLUMN(L193)+64),CHAR(INT((COLUMN(L193)-1)/26)+64)&amp;CHAR(MOD(COLUMN(L193)-1,26)+65))&amp;$R173&amp;""),"")</f>
        <v/>
      </c>
      <c r="AB173" s="51" t="str">
        <f t="array" aca="1" ref="AB173" ca="1">IF($R173&lt;&gt;"",
INDIRECT(""&amp;IF(COLUMN(O193)&lt;=26,CHAR(COLUMN(O193)+64),CHAR(INT((COLUMN(O193)-1)/26)+64)&amp;CHAR(MOD(COLUMN(O193)-1,26)+65))&amp;$R173&amp;""),"")</f>
        <v/>
      </c>
    </row>
    <row r="174" spans="1:28" ht="22.2" customHeight="1">
      <c r="A174" s="204">
        <f t="shared" si="40"/>
        <v>73</v>
      </c>
      <c r="B174" s="203" t="e" cm="1">
        <f t="array" aca="1" ref="B174" ca="1">IF(AND(LEFT(C174,2)="博多",
LEFT(INDIRECT("数出表_Excel!A"&amp;MATCH(C174,数出表_Excel!$A:$A,0)-1),2)
=LEFT(INDIRECT("数出表_Excel!A"&amp;MATCH(C174,数出表_Excel!$A:$A,0)+1),2)),"博多",
IF(AND(LEFT(C174,3)="奈良屋",
LEFT(INDIRECT("数出表_Excel!A"&amp;MATCH(C174,数出表_Excel!$A:$A,0)-1),2)
=LEFT(INDIRECT("数出表_Excel!A"&amp;MATCH(C174,数出表_Excel!$A:$A,0)+1),2)),"奈良屋",""))</f>
        <v>#N/A</v>
      </c>
      <c r="C174" s="203" t="str" cm="1">
        <f t="array" aca="1" ref="C174" ca="1">IF(IF(クライアント抽出!A34="",0,LEN(クライアント抽出!V34)-LEN(SUBSTITUTE(クライアント抽出!V34,",","")))&gt;=3,INDIRECT("数出表_Excel!A"&amp;A174&amp;""),"")</f>
        <v/>
      </c>
      <c r="D174" s="203" t="str" cm="1">
        <f t="array" aca="1" ref="D174" ca="1">IF(C174&lt;&gt;"",INDIRECT("クライアント抽出!"&amp;E174&amp;MATCH(C174,クライアント抽出!A:A,0)&amp;""),"")</f>
        <v/>
      </c>
      <c r="E174" s="203" t="str">
        <f ca="1">IF(H174&lt;&gt;0,
IFERROR(
SUBSTITUTE(ADDRESS(1,
MATCH(VALUE(H174),クライアント抽出!A34:G34,0)+8,4),"1",""),
""),
IFERROR(
SUBSTITUTE(ADDRESS(1,
MATCH(VALUE(I174),クライアント抽出!A34:G34,0)+8,4),"1",""),
""))</f>
        <v/>
      </c>
      <c r="F174" s="206" t="str" cm="1">
        <f t="array" aca="1" ref="F174" ca="1">IF(D174&lt;&gt;"",
IF(COUNTIF(C174,"*雙葉*"),
IF(ROUND(
IF(O174&lt;&gt;"",(H174-O174),H174)
/IF(COUNTIF('盛付札（関数）'!D174,"*キャラ*"),
VLOOKUP("*キャラ*",#REF!,7,FALSE),
IF(COUNTIF('盛付札（関数）'!D174,"*赤*"),
VLOOKUP("*赤*",#REF!,7,FALSE),
VLOOKUP('盛付札（関数）'!D174,#REF!,7,FALSE))),0)&lt;=0,1,
ROUND(
IF(O174&lt;&gt;"",(H174-O174),H174)
/IF(COUNTIF('盛付札（関数）'!D174,"*キャラ*"),
VLOOKUP("*キャラ*",#REF!,7,FALSE),
IF(COUNTIF('盛付札（関数）'!D174,"*赤*"),
VLOOKUP("*赤*",#REF!,7,FALSE),
VLOOKUP('盛付札（関数）'!D174,#REF!,7,FALSE))),0)),
IF(MATCH(TRUE,
ISNUMBER(--INDIRECT("数出表_Excel!B"&amp;MATCH(C174,数出表_Excel!$A:$A,0)-1&amp;":U"&amp;MATCH(C174,数出表_Excel!$A:$A,0)-1&amp;"")),0)&gt;10,
IF(D174&lt;&gt;"",
IF(IF(COUNTIF('盛付札（関数）'!D174,"*キャラ*"),
VLOOKUP("*キャラ*",#REF!,7,FALSE),
IF(COUNTIF('盛付札（関数）'!D174,"*赤*"),
VLOOKUP("*赤*",#REF!,7,FALSE),
VLOOKUP('盛付札（関数）'!D174,#REF!,7,FALSE)))=0,"",
IF(ROUND(
IF(O174&lt;&gt;"",(H174-O174),H174)
/IF(COUNTIF('盛付札（関数）'!D174,"*キャラ*"),
VLOOKUP("*キャラ*",#REF!,7,FALSE),
IF(COUNTIF('盛付札（関数）'!D174,"*赤*"),
VLOOKUP("*赤*",#REF!,7,FALSE),
VLOOKUP('盛付札（関数）'!D174,#REF!,7,FALSE))),0)&lt;=0,1,
ROUND(
IF(O174&lt;&gt;"",(H174-O174),H174)
/IF(COUNTIF('盛付札（関数）'!D174,"*キャラ*"),
VLOOKUP("*キャラ*",#REF!,7,FALSE),
IF(COUNTIF('盛付札（関数）'!D174,"*赤*"),
VLOOKUP("*赤*",#REF!,7,FALSE),
VLOOKUP('盛付札（関数）'!D174,#REF!,7,FALSE))),0))),""),"")),"")</f>
        <v/>
      </c>
      <c r="G174" s="206" t="str">
        <f ca="1">IF(F174&lt;&gt;"",IF(VALUE(IF(O174&lt;&gt;"",H174-O174,H174))&gt;VALUE(IF(COUNTIF('盛付札（関数）'!D174,"*キャラ*"),
VLOOKUP("*キャラ*",#REF!,7,FALSE),
IF(COUNTIF('盛付札（関数）'!D174,"*赤*"),
VLOOKUP("*赤*",#REF!,7,FALSE),
VLOOKUP('盛付札（関数）'!D174,#REF!,7,FALSE)))*F174),
"+"&amp;IF(O174&lt;&gt;"",H174-O174,H174)-IF(COUNTIF('盛付札（関数）'!D174,"*キャラ*"),
VLOOKUP("*キャラ*",#REF!,7,FALSE),
IF(COUNTIF('盛付札（関数）'!D174,"*赤*"),
VLOOKUP("*赤*",#REF!,7,FALSE),
VLOOKUP('盛付札（関数）'!D174,#REF!,7,FALSE)))*F174,
IF(O174&lt;&gt;"",H174-O174,H174)-IF(COUNTIF('盛付札（関数）'!D174,"*キャラ*"),
VLOOKUP("*キャラ*",#REF!,7,FALSE),
IF(COUNTIF('盛付札（関数）'!D174,"*赤*"),
VLOOKUP("*赤*",#REF!,7,FALSE),
VLOOKUP('盛付札（関数）'!D174,#REF!,7,FALSE)))*F174),"")</f>
        <v/>
      </c>
      <c r="H174" s="205" t="str" cm="1">
        <f t="array" aca="1" ref="H174" ca="1">IF(C174&lt;&gt;"",
IF(INDIRECT("数出表_Excel!"&amp;RIGHT(SUBSTITUTE(クライアント抽出!V34,",",""),1)&amp;A174-1&amp;"")&lt;&gt;"",
INDIRECT("数出表_Excel!"&amp;RIGHT(SUBSTITUTE(クライアント抽出!V34,",",""),1)&amp;A174-1&amp;""),0),"")</f>
        <v/>
      </c>
      <c r="I174" s="203" t="str" cm="1">
        <f t="array" aca="1" ref="I174" ca="1">IF(C174&lt;&gt;"",
IF(INDIRECT("数出表_Excel!"&amp;RIGHT(SUBSTITUTE(クライアント抽出!V34,",",""),1)&amp;A174&amp;"")&lt;&gt;"",
INDIRECT("数出表_Excel!"&amp;RIGHT(SUBSTITUTE(クライアント抽出!V34,",",""),1)&amp;A174&amp;""),0),"")</f>
        <v/>
      </c>
      <c r="J174" s="203" t="str">
        <f ca="1">IF(C174&lt;&gt;"",
VLOOKUP(
IF(COUNTIF(D174,"*学食*"),"キャラ弁（学食）",
IF(COUNTIF(D174,"*赤*"),"赤",
IF(COUNTIF(D174,"*キャラ弁当*"),"キャラ弁当",D174))),注文弁当の抽出!$E$1:$F$15,2,FALSE),"")</f>
        <v/>
      </c>
      <c r="K174" s="203" t="str">
        <f t="shared" ca="1" si="41"/>
        <v/>
      </c>
      <c r="L174" s="203" t="str">
        <f t="shared" ca="1" si="42"/>
        <v/>
      </c>
      <c r="M174" s="203" cm="1">
        <f t="array" aca="1" ref="M174" ca="1">IF(C174&lt;&gt;"",
IF(IFERROR(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0)&lt;&gt;0,
IF(IFERROR(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"")="",
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""),
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0)),0),0)</f>
        <v>0</v>
      </c>
      <c r="N174" s="203" t="e">
        <f t="array" aca="1" ref="N174" ca="1">IF(B174="博多",
IF(C174&lt;&gt;"",
IF(IFERROR(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0)&lt;&gt;0,
IF(IFERROR(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0)="",
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0),
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0)),0),""),0)</f>
        <v>#N/A</v>
      </c>
      <c r="O174" s="203" t="e">
        <f t="shared" ca="1" si="43"/>
        <v>#N/A</v>
      </c>
      <c r="P174" s="203">
        <f t="shared" ca="1" si="4"/>
        <v>0</v>
      </c>
      <c r="Q174" s="203" t="b">
        <f t="shared" ca="1" si="44"/>
        <v>0</v>
      </c>
      <c r="R174" s="51" t="str" cm="1">
        <f t="array" aca="1" ref="R174" ca="1">IFERROR(SMALL(IF(P$1:P$300&lt;&gt;0,P$1:P$300),ROW(A174)),"")</f>
        <v/>
      </c>
      <c r="S174" s="51" t="str">
        <f t="array" aca="1" ref="S174" ca="1">IF($R174&lt;&gt;"",
INDIRECT(""&amp;IF(COLUMN(C194)&lt;=26,CHAR(COLUMN(C194)+64),CHAR(INT((COLUMN(C194)-1)/26)+64)&amp;CHAR(MOD(COLUMN(C194)-1,26)+65))&amp;$R174&amp;""),"")</f>
        <v/>
      </c>
      <c r="T174" s="51" t="str" cm="1">
        <f t="array" aca="1" ref="T174" ca="1">IF(IF($R174&lt;&gt;"",
INDIRECT(""&amp;IF(COLUMN(D194)&lt;=26,CHAR(COLUMN(D194)+64),CHAR(INT((COLUMN(D194)-1)/26)+64)&amp;CHAR(MOD(COLUMN(D194)-1,26)+65))&amp;$R174&amp;""),"")=0,"",
IF($R174&lt;&gt;"",
INDIRECT(""&amp;IF(COLUMN(D194)&lt;=26,CHAR(COLUMN(D194)+64),CHAR(INT((COLUMN(D194)-1)/26)+64)&amp;CHAR(MOD(COLUMN(D194)-1,26)+65))&amp;$R174&amp;""),""))</f>
        <v/>
      </c>
      <c r="U174" s="51"/>
      <c r="V174" s="51" t="str">
        <f t="array" aca="1" ref="V174" ca="1">IF($R174&lt;&gt;"",
IF(U174="",
IF(INDIRECT("EY"&amp;$R174&amp;"")&lt;&gt;"",
INDIRECT("EY"&amp;$R174&amp;"")&amp;"箱"
&amp;INDIRECT("EZ"&amp;$R174&amp;""),""),""),"")</f>
        <v/>
      </c>
      <c r="W174" s="51" t="str">
        <f t="array" aca="1" ref="W174" ca="1">IF($R174&lt;&gt;"",
INDIRECT(""&amp;IF(COLUMN(H194)&lt;=26,CHAR(COLUMN(H194)+64),CHAR(INT((COLUMN(H194)-1)/26)+64)&amp;CHAR(MOD(COLUMN(H194)-1,26)+65))&amp;$R174&amp;""),"")</f>
        <v/>
      </c>
      <c r="X174" s="51" t="str">
        <f t="array" aca="1" ref="X174" ca="1">IF($R174&lt;&gt;"",
INDIRECT(""&amp;IF(COLUMN(I194)&lt;=26,CHAR(COLUMN(I194)+64),CHAR(INT((COLUMN(I194)-1)/26)+64)&amp;CHAR(MOD(COLUMN(I194)-1,26)+65))&amp;$R174&amp;""),"")</f>
        <v/>
      </c>
      <c r="Y174" s="51" t="str">
        <f t="array" aca="1" ref="Y174" ca="1">IF($R174&lt;&gt;"",
INDIRECT(""&amp;IF(COLUMN(J194)&lt;=26,CHAR(COLUMN(J194)+64),CHAR(INT((COLUMN(J194)-1)/26)+64)&amp;CHAR(MOD(COLUMN(J194)-1,26)+65))&amp;$R174&amp;""),"")</f>
        <v/>
      </c>
      <c r="Z174" s="51" t="str">
        <f t="array" aca="1" ref="Z174" ca="1">IF($R174&lt;&gt;"",
INDIRECT(""&amp;IF(COLUMN(K194)&lt;=26,CHAR(COLUMN(K194)+64),CHAR(INT((COLUMN(K194)-1)/26)+64)&amp;CHAR(MOD(COLUMN(K194)-1,26)+65))&amp;$R174&amp;""),"")</f>
        <v/>
      </c>
      <c r="AA174" s="51" t="str">
        <f t="array" aca="1" ref="AA174" ca="1">IF($R174&lt;&gt;"",
INDIRECT(""&amp;IF(COLUMN(L194)&lt;=26,CHAR(COLUMN(L194)+64),CHAR(INT((COLUMN(L194)-1)/26)+64)&amp;CHAR(MOD(COLUMN(L194)-1,26)+65))&amp;$R174&amp;""),"")</f>
        <v/>
      </c>
      <c r="AB174" s="51" t="str">
        <f t="array" aca="1" ref="AB174" ca="1">IF($R174&lt;&gt;"",
INDIRECT(""&amp;IF(COLUMN(O194)&lt;=26,CHAR(COLUMN(O194)+64),CHAR(INT((COLUMN(O194)-1)/26)+64)&amp;CHAR(MOD(COLUMN(O194)-1,26)+65))&amp;$R174&amp;""),"")</f>
        <v/>
      </c>
    </row>
    <row r="175" spans="1:28" ht="22.2" customHeight="1">
      <c r="A175" s="204">
        <f t="shared" si="40"/>
        <v>75</v>
      </c>
      <c r="B175" s="203" t="e" cm="1">
        <f t="array" aca="1" ref="B175" ca="1">IF(AND(LEFT(C175,2)="博多",
LEFT(INDIRECT("数出表_Excel!A"&amp;MATCH(C175,数出表_Excel!$A:$A,0)-1),2)
=LEFT(INDIRECT("数出表_Excel!A"&amp;MATCH(C175,数出表_Excel!$A:$A,0)+1),2)),"博多",
IF(AND(LEFT(C175,3)="奈良屋",
LEFT(INDIRECT("数出表_Excel!A"&amp;MATCH(C175,数出表_Excel!$A:$A,0)-1),2)
=LEFT(INDIRECT("数出表_Excel!A"&amp;MATCH(C175,数出表_Excel!$A:$A,0)+1),2)),"奈良屋",""))</f>
        <v>#N/A</v>
      </c>
      <c r="C175" s="203" t="str" cm="1">
        <f t="array" aca="1" ref="C175" ca="1">IF(IF(クライアント抽出!A35="",0,LEN(クライアント抽出!V35)-LEN(SUBSTITUTE(クライアント抽出!V35,",","")))&gt;=3,INDIRECT("数出表_Excel!A"&amp;A175&amp;""),"")</f>
        <v/>
      </c>
      <c r="D175" s="203" t="str" cm="1">
        <f t="array" aca="1" ref="D175" ca="1">IF(C175&lt;&gt;"",INDIRECT("クライアント抽出!"&amp;E175&amp;MATCH(C175,クライアント抽出!A:A,0)&amp;""),"")</f>
        <v/>
      </c>
      <c r="E175" s="203" t="str">
        <f ca="1">IF(H175&lt;&gt;0,
IFERROR(
SUBSTITUTE(ADDRESS(1,
MATCH(VALUE(H175),クライアント抽出!A35:G35,0)+8,4),"1",""),
""),
IFERROR(
SUBSTITUTE(ADDRESS(1,
MATCH(VALUE(I175),クライアント抽出!A35:G35,0)+8,4),"1",""),
""))</f>
        <v/>
      </c>
      <c r="F175" s="206" t="str" cm="1">
        <f t="array" aca="1" ref="F175" ca="1">IF(D175&lt;&gt;"",
IF(COUNTIF(C175,"*雙葉*"),
IF(ROUND(
IF(O175&lt;&gt;"",(H175-O175),H175)
/IF(COUNTIF('盛付札（関数）'!D175,"*キャラ*"),
VLOOKUP("*キャラ*",#REF!,7,FALSE),
IF(COUNTIF('盛付札（関数）'!D175,"*赤*"),
VLOOKUP("*赤*",#REF!,7,FALSE),
VLOOKUP('盛付札（関数）'!D175,#REF!,7,FALSE))),0)&lt;=0,1,
ROUND(
IF(O175&lt;&gt;"",(H175-O175),H175)
/IF(COUNTIF('盛付札（関数）'!D175,"*キャラ*"),
VLOOKUP("*キャラ*",#REF!,7,FALSE),
IF(COUNTIF('盛付札（関数）'!D175,"*赤*"),
VLOOKUP("*赤*",#REF!,7,FALSE),
VLOOKUP('盛付札（関数）'!D175,#REF!,7,FALSE))),0)),
IF(MATCH(TRUE,
ISNUMBER(--INDIRECT("数出表_Excel!B"&amp;MATCH(C175,数出表_Excel!$A:$A,0)-1&amp;":U"&amp;MATCH(C175,数出表_Excel!$A:$A,0)-1&amp;"")),0)&gt;10,
IF(D175&lt;&gt;"",
IF(IF(COUNTIF('盛付札（関数）'!D175,"*キャラ*"),
VLOOKUP("*キャラ*",#REF!,7,FALSE),
IF(COUNTIF('盛付札（関数）'!D175,"*赤*"),
VLOOKUP("*赤*",#REF!,7,FALSE),
VLOOKUP('盛付札（関数）'!D175,#REF!,7,FALSE)))=0,"",
IF(ROUND(
IF(O175&lt;&gt;"",(H175-O175),H175)
/IF(COUNTIF('盛付札（関数）'!D175,"*キャラ*"),
VLOOKUP("*キャラ*",#REF!,7,FALSE),
IF(COUNTIF('盛付札（関数）'!D175,"*赤*"),
VLOOKUP("*赤*",#REF!,7,FALSE),
VLOOKUP('盛付札（関数）'!D175,#REF!,7,FALSE))),0)&lt;=0,1,
ROUND(
IF(O175&lt;&gt;"",(H175-O175),H175)
/IF(COUNTIF('盛付札（関数）'!D175,"*キャラ*"),
VLOOKUP("*キャラ*",#REF!,7,FALSE),
IF(COUNTIF('盛付札（関数）'!D175,"*赤*"),
VLOOKUP("*赤*",#REF!,7,FALSE),
VLOOKUP('盛付札（関数）'!D175,#REF!,7,FALSE))),0))),""),"")),"")</f>
        <v/>
      </c>
      <c r="G175" s="206" t="str">
        <f ca="1">IF(F175&lt;&gt;"",IF(VALUE(IF(O175&lt;&gt;"",H175-O175,H175))&gt;VALUE(IF(COUNTIF('盛付札（関数）'!D175,"*キャラ*"),
VLOOKUP("*キャラ*",#REF!,7,FALSE),
IF(COUNTIF('盛付札（関数）'!D175,"*赤*"),
VLOOKUP("*赤*",#REF!,7,FALSE),
VLOOKUP('盛付札（関数）'!D175,#REF!,7,FALSE)))*F175),
"+"&amp;IF(O175&lt;&gt;"",H175-O175,H175)-IF(COUNTIF('盛付札（関数）'!D175,"*キャラ*"),
VLOOKUP("*キャラ*",#REF!,7,FALSE),
IF(COUNTIF('盛付札（関数）'!D175,"*赤*"),
VLOOKUP("*赤*",#REF!,7,FALSE),
VLOOKUP('盛付札（関数）'!D175,#REF!,7,FALSE)))*F175,
IF(O175&lt;&gt;"",H175-O175,H175)-IF(COUNTIF('盛付札（関数）'!D175,"*キャラ*"),
VLOOKUP("*キャラ*",#REF!,7,FALSE),
IF(COUNTIF('盛付札（関数）'!D175,"*赤*"),
VLOOKUP("*赤*",#REF!,7,FALSE),
VLOOKUP('盛付札（関数）'!D175,#REF!,7,FALSE)))*F175),"")</f>
        <v/>
      </c>
      <c r="H175" s="205" t="str" cm="1">
        <f t="array" aca="1" ref="H175" ca="1">IF(C175&lt;&gt;"",
IF(INDIRECT("数出表_Excel!"&amp;RIGHT(SUBSTITUTE(クライアント抽出!V35,",",""),1)&amp;A175-1&amp;"")&lt;&gt;"",
INDIRECT("数出表_Excel!"&amp;RIGHT(SUBSTITUTE(クライアント抽出!V35,",",""),1)&amp;A175-1&amp;""),0),"")</f>
        <v/>
      </c>
      <c r="I175" s="203" t="str" cm="1">
        <f t="array" aca="1" ref="I175" ca="1">IF(C175&lt;&gt;"",
IF(INDIRECT("数出表_Excel!"&amp;RIGHT(SUBSTITUTE(クライアント抽出!V35,",",""),1)&amp;A175&amp;"")&lt;&gt;"",
INDIRECT("数出表_Excel!"&amp;RIGHT(SUBSTITUTE(クライアント抽出!V35,",",""),1)&amp;A175&amp;""),0),"")</f>
        <v/>
      </c>
      <c r="J175" s="203" t="str">
        <f ca="1">IF(C175&lt;&gt;"",
VLOOKUP(
IF(COUNTIF(D175,"*学食*"),"キャラ弁（学食）",
IF(COUNTIF(D175,"*赤*"),"赤",
IF(COUNTIF(D175,"*キャラ弁当*"),"キャラ弁当",D175))),注文弁当の抽出!$E$1:$F$15,2,FALSE),"")</f>
        <v/>
      </c>
      <c r="K175" s="203" t="str">
        <f t="shared" ca="1" si="41"/>
        <v/>
      </c>
      <c r="L175" s="203" t="str">
        <f ca="1">IFERROR(MOD(H175,J175),"")</f>
        <v/>
      </c>
      <c r="M175" s="203" cm="1">
        <f t="array" aca="1" ref="M175" ca="1">IF(C175&lt;&gt;"",
IF(IFERROR(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0)&lt;&gt;0,
IF(IFERROR(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"")="",
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""),
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0)),0),0)</f>
        <v>0</v>
      </c>
      <c r="N175" s="203" t="e">
        <f t="array" aca="1" ref="N175" ca="1">IF(B175="博多",
IF(C175&lt;&gt;"",
IF(IFERROR(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0)&lt;&gt;0,
IF(IFERROR(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0)="",
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0),
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0)),0),""),0)</f>
        <v>#N/A</v>
      </c>
      <c r="O175" s="203" t="e">
        <f t="shared" ca="1" si="43"/>
        <v>#N/A</v>
      </c>
      <c r="P175" s="203">
        <f t="shared" ca="1" si="4"/>
        <v>0</v>
      </c>
      <c r="Q175" s="203" t="b">
        <f t="shared" ca="1" si="44"/>
        <v>0</v>
      </c>
      <c r="R175" s="51" t="str" cm="1">
        <f t="array" aca="1" ref="R175" ca="1">IFERROR(SMALL(IF(P$1:P$300&lt;&gt;0,P$1:P$300),ROW(A175)),"")</f>
        <v/>
      </c>
      <c r="S175" s="51" t="str">
        <f t="array" aca="1" ref="S175" ca="1">IF($R175&lt;&gt;"",
INDIRECT(""&amp;IF(COLUMN(C195)&lt;=26,CHAR(COLUMN(C195)+64),CHAR(INT((COLUMN(C195)-1)/26)+64)&amp;CHAR(MOD(COLUMN(C195)-1,26)+65))&amp;$R175&amp;""),"")</f>
        <v/>
      </c>
      <c r="T175" s="51" t="str" cm="1">
        <f t="array" aca="1" ref="T175" ca="1">IF(IF($R175&lt;&gt;"",
INDIRECT(""&amp;IF(COLUMN(D195)&lt;=26,CHAR(COLUMN(D195)+64),CHAR(INT((COLUMN(D195)-1)/26)+64)&amp;CHAR(MOD(COLUMN(D195)-1,26)+65))&amp;$R175&amp;""),"")=0,"",
IF($R175&lt;&gt;"",
INDIRECT(""&amp;IF(COLUMN(D195)&lt;=26,CHAR(COLUMN(D195)+64),CHAR(INT((COLUMN(D195)-1)/26)+64)&amp;CHAR(MOD(COLUMN(D195)-1,26)+65))&amp;$R175&amp;""),""))</f>
        <v/>
      </c>
      <c r="U175" s="51"/>
      <c r="V175" s="51" t="str">
        <f t="array" aca="1" ref="V175" ca="1">IF($R175&lt;&gt;"",
IF(U175="",
IF(INDIRECT("EY"&amp;$R175&amp;"")&lt;&gt;"",
INDIRECT("EY"&amp;$R175&amp;"")&amp;"箱"
&amp;INDIRECT("EZ"&amp;$R175&amp;""),""),""),"")</f>
        <v/>
      </c>
      <c r="W175" s="51" t="str">
        <f t="array" aca="1" ref="W175" ca="1">IF($R175&lt;&gt;"",
INDIRECT(""&amp;IF(COLUMN(H195)&lt;=26,CHAR(COLUMN(H195)+64),CHAR(INT((COLUMN(H195)-1)/26)+64)&amp;CHAR(MOD(COLUMN(H195)-1,26)+65))&amp;$R175&amp;""),"")</f>
        <v/>
      </c>
      <c r="X175" s="51" t="str">
        <f t="array" aca="1" ref="X175" ca="1">IF($R175&lt;&gt;"",
INDIRECT(""&amp;IF(COLUMN(I195)&lt;=26,CHAR(COLUMN(I195)+64),CHAR(INT((COLUMN(I195)-1)/26)+64)&amp;CHAR(MOD(COLUMN(I195)-1,26)+65))&amp;$R175&amp;""),"")</f>
        <v/>
      </c>
      <c r="Y175" s="51" t="str">
        <f t="array" aca="1" ref="Y175" ca="1">IF($R175&lt;&gt;"",
INDIRECT(""&amp;IF(COLUMN(J195)&lt;=26,CHAR(COLUMN(J195)+64),CHAR(INT((COLUMN(J195)-1)/26)+64)&amp;CHAR(MOD(COLUMN(J195)-1,26)+65))&amp;$R175&amp;""),"")</f>
        <v/>
      </c>
      <c r="Z175" s="51" t="str">
        <f t="array" aca="1" ref="Z175" ca="1">IF($R175&lt;&gt;"",
INDIRECT(""&amp;IF(COLUMN(K195)&lt;=26,CHAR(COLUMN(K195)+64),CHAR(INT((COLUMN(K195)-1)/26)+64)&amp;CHAR(MOD(COLUMN(K195)-1,26)+65))&amp;$R175&amp;""),"")</f>
        <v/>
      </c>
      <c r="AA175" s="51" t="str">
        <f t="array" aca="1" ref="AA175" ca="1">IF($R175&lt;&gt;"",
INDIRECT(""&amp;IF(COLUMN(L195)&lt;=26,CHAR(COLUMN(L195)+64),CHAR(INT((COLUMN(L195)-1)/26)+64)&amp;CHAR(MOD(COLUMN(L195)-1,26)+65))&amp;$R175&amp;""),"")</f>
        <v/>
      </c>
      <c r="AB175" s="51" t="str">
        <f t="array" aca="1" ref="AB175" ca="1">IF($R175&lt;&gt;"",
INDIRECT(""&amp;IF(COLUMN(O195)&lt;=26,CHAR(COLUMN(O195)+64),CHAR(INT((COLUMN(O195)-1)/26)+64)&amp;CHAR(MOD(COLUMN(O195)-1,26)+65))&amp;$R175&amp;""),"")</f>
        <v/>
      </c>
    </row>
    <row r="176" spans="1:28" ht="22.2" customHeight="1">
      <c r="A176" s="204">
        <f t="shared" si="40"/>
        <v>77</v>
      </c>
      <c r="B176" s="203" t="e" cm="1">
        <f t="array" aca="1" ref="B176" ca="1">IF(AND(LEFT(C176,2)="博多",
LEFT(INDIRECT("数出表_Excel!A"&amp;MATCH(C176,数出表_Excel!$A:$A,0)-1),2)
=LEFT(INDIRECT("数出表_Excel!A"&amp;MATCH(C176,数出表_Excel!$A:$A,0)+1),2)),"博多",
IF(AND(LEFT(C176,3)="奈良屋",
LEFT(INDIRECT("数出表_Excel!A"&amp;MATCH(C176,数出表_Excel!$A:$A,0)-1),2)
=LEFT(INDIRECT("数出表_Excel!A"&amp;MATCH(C176,数出表_Excel!$A:$A,0)+1),2)),"奈良屋",""))</f>
        <v>#N/A</v>
      </c>
      <c r="C176" s="203" t="str" cm="1">
        <f t="array" aca="1" ref="C176" ca="1">IF(IF(クライアント抽出!A36="",0,LEN(クライアント抽出!V36)-LEN(SUBSTITUTE(クライアント抽出!V36,",","")))&gt;=3,INDIRECT("数出表_Excel!A"&amp;A176&amp;""),"")</f>
        <v/>
      </c>
      <c r="D176" s="203" t="str" cm="1">
        <f t="array" aca="1" ref="D176" ca="1">IF(C176&lt;&gt;"",INDIRECT("クライアント抽出!"&amp;E176&amp;MATCH(C176,クライアント抽出!A:A,0)&amp;""),"")</f>
        <v/>
      </c>
      <c r="E176" s="203" t="str">
        <f ca="1">IF(H176&lt;&gt;0,
IFERROR(
SUBSTITUTE(ADDRESS(1,
MATCH(VALUE(H176),クライアント抽出!A36:G36,0)+8,4),"1",""),
""),
IFERROR(
SUBSTITUTE(ADDRESS(1,
MATCH(VALUE(I176),クライアント抽出!A36:G36,0)+8,4),"1",""),
""))</f>
        <v/>
      </c>
      <c r="F176" s="206" t="str" cm="1">
        <f t="array" aca="1" ref="F176" ca="1">IF(D176&lt;&gt;"",
IF(COUNTIF(C176,"*雙葉*"),
IF(ROUND(
IF(O176&lt;&gt;"",(H176-O176),H176)
/IF(COUNTIF('盛付札（関数）'!D176,"*キャラ*"),
VLOOKUP("*キャラ*",#REF!,7,FALSE),
IF(COUNTIF('盛付札（関数）'!D176,"*赤*"),
VLOOKUP("*赤*",#REF!,7,FALSE),
VLOOKUP('盛付札（関数）'!D176,#REF!,7,FALSE))),0)&lt;=0,1,
ROUND(
IF(O176&lt;&gt;"",(H176-O176),H176)
/IF(COUNTIF('盛付札（関数）'!D176,"*キャラ*"),
VLOOKUP("*キャラ*",#REF!,7,FALSE),
IF(COUNTIF('盛付札（関数）'!D176,"*赤*"),
VLOOKUP("*赤*",#REF!,7,FALSE),
VLOOKUP('盛付札（関数）'!D176,#REF!,7,FALSE))),0)),
IF(MATCH(TRUE,
ISNUMBER(--INDIRECT("数出表_Excel!B"&amp;MATCH(C176,数出表_Excel!$A:$A,0)-1&amp;":U"&amp;MATCH(C176,数出表_Excel!$A:$A,0)-1&amp;"")),0)&gt;10,
IF(D176&lt;&gt;"",
IF(IF(COUNTIF('盛付札（関数）'!D176,"*キャラ*"),
VLOOKUP("*キャラ*",#REF!,7,FALSE),
IF(COUNTIF('盛付札（関数）'!D176,"*赤*"),
VLOOKUP("*赤*",#REF!,7,FALSE),
VLOOKUP('盛付札（関数）'!D176,#REF!,7,FALSE)))=0,"",
IF(ROUND(
IF(O176&lt;&gt;"",(H176-O176),H176)
/IF(COUNTIF('盛付札（関数）'!D176,"*キャラ*"),
VLOOKUP("*キャラ*",#REF!,7,FALSE),
IF(COUNTIF('盛付札（関数）'!D176,"*赤*"),
VLOOKUP("*赤*",#REF!,7,FALSE),
VLOOKUP('盛付札（関数）'!D176,#REF!,7,FALSE))),0)&lt;=0,1,
ROUND(
IF(O176&lt;&gt;"",(H176-O176),H176)
/IF(COUNTIF('盛付札（関数）'!D176,"*キャラ*"),
VLOOKUP("*キャラ*",#REF!,7,FALSE),
IF(COUNTIF('盛付札（関数）'!D176,"*赤*"),
VLOOKUP("*赤*",#REF!,7,FALSE),
VLOOKUP('盛付札（関数）'!D176,#REF!,7,FALSE))),0))),""),"")),"")</f>
        <v/>
      </c>
      <c r="G176" s="206" t="str">
        <f ca="1">IF(F176&lt;&gt;"",IF(VALUE(IF(O176&lt;&gt;"",H176-O176,H176))&gt;VALUE(IF(COUNTIF('盛付札（関数）'!D176,"*キャラ*"),
VLOOKUP("*キャラ*",#REF!,7,FALSE),
IF(COUNTIF('盛付札（関数）'!D176,"*赤*"),
VLOOKUP("*赤*",#REF!,7,FALSE),
VLOOKUP('盛付札（関数）'!D176,#REF!,7,FALSE)))*F176),
"+"&amp;IF(O176&lt;&gt;"",H176-O176,H176)-IF(COUNTIF('盛付札（関数）'!D176,"*キャラ*"),
VLOOKUP("*キャラ*",#REF!,7,FALSE),
IF(COUNTIF('盛付札（関数）'!D176,"*赤*"),
VLOOKUP("*赤*",#REF!,7,FALSE),
VLOOKUP('盛付札（関数）'!D176,#REF!,7,FALSE)))*F176,
IF(O176&lt;&gt;"",H176-O176,H176)-IF(COUNTIF('盛付札（関数）'!D176,"*キャラ*"),
VLOOKUP("*キャラ*",#REF!,7,FALSE),
IF(COUNTIF('盛付札（関数）'!D176,"*赤*"),
VLOOKUP("*赤*",#REF!,7,FALSE),
VLOOKUP('盛付札（関数）'!D176,#REF!,7,FALSE)))*F176),"")</f>
        <v/>
      </c>
      <c r="H176" s="205" t="str" cm="1">
        <f t="array" aca="1" ref="H176" ca="1">IF(C176&lt;&gt;"",
IF(INDIRECT("数出表_Excel!"&amp;RIGHT(SUBSTITUTE(クライアント抽出!V36,",",""),1)&amp;A176-1&amp;"")&lt;&gt;"",
INDIRECT("数出表_Excel!"&amp;RIGHT(SUBSTITUTE(クライアント抽出!V36,",",""),1)&amp;A176-1&amp;""),0),"")</f>
        <v/>
      </c>
      <c r="I176" s="203" t="str" cm="1">
        <f t="array" aca="1" ref="I176" ca="1">IF(C176&lt;&gt;"",
IF(INDIRECT("数出表_Excel!"&amp;RIGHT(SUBSTITUTE(クライアント抽出!V36,",",""),1)&amp;A176&amp;"")&lt;&gt;"",
INDIRECT("数出表_Excel!"&amp;RIGHT(SUBSTITUTE(クライアント抽出!V36,",",""),1)&amp;A176&amp;""),0),"")</f>
        <v/>
      </c>
      <c r="J176" s="203" t="str">
        <f ca="1">IF(C176&lt;&gt;"",
VLOOKUP(
IF(COUNTIF(D176,"*学食*"),"キャラ弁（学食）",
IF(COUNTIF(D176,"*赤*"),"赤",
IF(COUNTIF(D176,"*キャラ弁当*"),"キャラ弁当",D176))),注文弁当の抽出!$E$1:$F$15,2,FALSE),"")</f>
        <v/>
      </c>
      <c r="K176" s="203" t="str">
        <f t="shared" ca="1" si="41"/>
        <v/>
      </c>
      <c r="L176" s="203" t="str">
        <f t="shared" ca="1" si="42"/>
        <v/>
      </c>
      <c r="M176" s="203" cm="1">
        <f t="array" aca="1" ref="M176" ca="1">IF(C176&lt;&gt;"",
IF(IFERROR(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0)&lt;&gt;0,
IF(IFERROR(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"")="",
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""),
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0)),0),0)</f>
        <v>0</v>
      </c>
      <c r="N176" s="203" t="e">
        <f t="array" aca="1" ref="N176" ca="1">IF(B176="博多",
IF(C176&lt;&gt;"",
IF(IFERROR(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0)&lt;&gt;0,
IF(IFERROR(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0)="",
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0),
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0)),0),""),0)</f>
        <v>#N/A</v>
      </c>
      <c r="O176" s="203" t="e">
        <f t="shared" ca="1" si="43"/>
        <v>#N/A</v>
      </c>
      <c r="P176" s="203">
        <f t="shared" ca="1" si="4"/>
        <v>0</v>
      </c>
      <c r="Q176" s="203" t="b">
        <f t="shared" ca="1" si="44"/>
        <v>0</v>
      </c>
      <c r="R176" s="51" t="str" cm="1">
        <f t="array" aca="1" ref="R176" ca="1">IFERROR(SMALL(IF(P$1:P$300&lt;&gt;0,P$1:P$300),ROW(A176)),"")</f>
        <v/>
      </c>
      <c r="S176" s="51" t="str">
        <f t="array" aca="1" ref="S176" ca="1">IF($R176&lt;&gt;"",
INDIRECT(""&amp;IF(COLUMN(C196)&lt;=26,CHAR(COLUMN(C196)+64),CHAR(INT((COLUMN(C196)-1)/26)+64)&amp;CHAR(MOD(COLUMN(C196)-1,26)+65))&amp;$R176&amp;""),"")</f>
        <v/>
      </c>
      <c r="T176" s="51" t="str" cm="1">
        <f t="array" aca="1" ref="T176" ca="1">IF(IF($R176&lt;&gt;"",
INDIRECT(""&amp;IF(COLUMN(D196)&lt;=26,CHAR(COLUMN(D196)+64),CHAR(INT((COLUMN(D196)-1)/26)+64)&amp;CHAR(MOD(COLUMN(D196)-1,26)+65))&amp;$R176&amp;""),"")=0,"",
IF($R176&lt;&gt;"",
INDIRECT(""&amp;IF(COLUMN(D196)&lt;=26,CHAR(COLUMN(D196)+64),CHAR(INT((COLUMN(D196)-1)/26)+64)&amp;CHAR(MOD(COLUMN(D196)-1,26)+65))&amp;$R176&amp;""),""))</f>
        <v/>
      </c>
      <c r="U176" s="51"/>
      <c r="V176" s="51" t="str">
        <f t="array" aca="1" ref="V176" ca="1">IF($R176&lt;&gt;"",
IF(U176="",
IF(INDIRECT("EY"&amp;$R176&amp;"")&lt;&gt;"",
INDIRECT("EY"&amp;$R176&amp;"")&amp;"箱"
&amp;INDIRECT("EZ"&amp;$R176&amp;""),""),""),"")</f>
        <v/>
      </c>
      <c r="W176" s="51" t="str">
        <f t="array" aca="1" ref="W176" ca="1">IF($R176&lt;&gt;"",
INDIRECT(""&amp;IF(COLUMN(H196)&lt;=26,CHAR(COLUMN(H196)+64),CHAR(INT((COLUMN(H196)-1)/26)+64)&amp;CHAR(MOD(COLUMN(H196)-1,26)+65))&amp;$R176&amp;""),"")</f>
        <v/>
      </c>
      <c r="X176" s="51" t="str">
        <f t="array" aca="1" ref="X176" ca="1">IF($R176&lt;&gt;"",
INDIRECT(""&amp;IF(COLUMN(I196)&lt;=26,CHAR(COLUMN(I196)+64),CHAR(INT((COLUMN(I196)-1)/26)+64)&amp;CHAR(MOD(COLUMN(I196)-1,26)+65))&amp;$R176&amp;""),"")</f>
        <v/>
      </c>
      <c r="Y176" s="51" t="str">
        <f t="array" aca="1" ref="Y176" ca="1">IF($R176&lt;&gt;"",
INDIRECT(""&amp;IF(COLUMN(J196)&lt;=26,CHAR(COLUMN(J196)+64),CHAR(INT((COLUMN(J196)-1)/26)+64)&amp;CHAR(MOD(COLUMN(J196)-1,26)+65))&amp;$R176&amp;""),"")</f>
        <v/>
      </c>
      <c r="Z176" s="51" t="str">
        <f t="array" aca="1" ref="Z176" ca="1">IF($R176&lt;&gt;"",
INDIRECT(""&amp;IF(COLUMN(K196)&lt;=26,CHAR(COLUMN(K196)+64),CHAR(INT((COLUMN(K196)-1)/26)+64)&amp;CHAR(MOD(COLUMN(K196)-1,26)+65))&amp;$R176&amp;""),"")</f>
        <v/>
      </c>
      <c r="AA176" s="51" t="str">
        <f t="array" aca="1" ref="AA176" ca="1">IF($R176&lt;&gt;"",
INDIRECT(""&amp;IF(COLUMN(L196)&lt;=26,CHAR(COLUMN(L196)+64),CHAR(INT((COLUMN(L196)-1)/26)+64)&amp;CHAR(MOD(COLUMN(L196)-1,26)+65))&amp;$R176&amp;""),"")</f>
        <v/>
      </c>
      <c r="AB176" s="51" t="str">
        <f t="array" aca="1" ref="AB176" ca="1">IF($R176&lt;&gt;"",
INDIRECT(""&amp;IF(COLUMN(O196)&lt;=26,CHAR(COLUMN(O196)+64),CHAR(INT((COLUMN(O196)-1)/26)+64)&amp;CHAR(MOD(COLUMN(O196)-1,26)+65))&amp;$R176&amp;""),"")</f>
        <v/>
      </c>
    </row>
    <row r="177" spans="1:28" ht="22.2" customHeight="1">
      <c r="A177" s="204">
        <f t="shared" si="40"/>
        <v>79</v>
      </c>
      <c r="B177" s="203" t="e" cm="1">
        <f t="array" aca="1" ref="B177" ca="1">IF(AND(LEFT(C177,2)="博多",
LEFT(INDIRECT("数出表_Excel!A"&amp;MATCH(C177,数出表_Excel!$A:$A,0)-1),2)
=LEFT(INDIRECT("数出表_Excel!A"&amp;MATCH(C177,数出表_Excel!$A:$A,0)+1),2)),"博多",
IF(AND(LEFT(C177,3)="奈良屋",
LEFT(INDIRECT("数出表_Excel!A"&amp;MATCH(C177,数出表_Excel!$A:$A,0)-1),2)
=LEFT(INDIRECT("数出表_Excel!A"&amp;MATCH(C177,数出表_Excel!$A:$A,0)+1),2)),"奈良屋",""))</f>
        <v>#N/A</v>
      </c>
      <c r="C177" s="203" t="str" cm="1">
        <f t="array" aca="1" ref="C177" ca="1">IF(IF(クライアント抽出!A37="",0,LEN(クライアント抽出!V37)-LEN(SUBSTITUTE(クライアント抽出!V37,",","")))&gt;=3,INDIRECT("数出表_Excel!A"&amp;A177&amp;""),"")</f>
        <v/>
      </c>
      <c r="D177" s="203" t="str" cm="1">
        <f t="array" aca="1" ref="D177" ca="1">IF(C177&lt;&gt;"",INDIRECT("クライアント抽出!"&amp;E177&amp;MATCH(C177,クライアント抽出!A:A,0)&amp;""),"")</f>
        <v/>
      </c>
      <c r="E177" s="203" t="str">
        <f ca="1">IF(H177&lt;&gt;0,
IFERROR(
SUBSTITUTE(ADDRESS(1,
MATCH(VALUE(H177),クライアント抽出!A37:G37,0)+8,4),"1",""),
""),
IFERROR(
SUBSTITUTE(ADDRESS(1,
MATCH(VALUE(I177),クライアント抽出!A37:G37,0)+8,4),"1",""),
""))</f>
        <v/>
      </c>
      <c r="F177" s="206" t="str" cm="1">
        <f t="array" aca="1" ref="F177" ca="1">IF(D177&lt;&gt;"",
IF(COUNTIF(C177,"*雙葉*"),
IF(ROUND(
IF(O177&lt;&gt;"",(H177-O177),H177)
/IF(COUNTIF('盛付札（関数）'!D177,"*キャラ*"),
VLOOKUP("*キャラ*",#REF!,7,FALSE),
IF(COUNTIF('盛付札（関数）'!D177,"*赤*"),
VLOOKUP("*赤*",#REF!,7,FALSE),
VLOOKUP('盛付札（関数）'!D177,#REF!,7,FALSE))),0)&lt;=0,1,
ROUND(
IF(O177&lt;&gt;"",(H177-O177),H177)
/IF(COUNTIF('盛付札（関数）'!D177,"*キャラ*"),
VLOOKUP("*キャラ*",#REF!,7,FALSE),
IF(COUNTIF('盛付札（関数）'!D177,"*赤*"),
VLOOKUP("*赤*",#REF!,7,FALSE),
VLOOKUP('盛付札（関数）'!D177,#REF!,7,FALSE))),0)),
IF(MATCH(TRUE,
ISNUMBER(--INDIRECT("数出表_Excel!B"&amp;MATCH(C177,数出表_Excel!$A:$A,0)-1&amp;":U"&amp;MATCH(C177,数出表_Excel!$A:$A,0)-1&amp;"")),0)&gt;10,
IF(D177&lt;&gt;"",
IF(IF(COUNTIF('盛付札（関数）'!D177,"*キャラ*"),
VLOOKUP("*キャラ*",#REF!,7,FALSE),
IF(COUNTIF('盛付札（関数）'!D177,"*赤*"),
VLOOKUP("*赤*",#REF!,7,FALSE),
VLOOKUP('盛付札（関数）'!D177,#REF!,7,FALSE)))=0,"",
IF(ROUND(
IF(O177&lt;&gt;"",(H177-O177),H177)
/IF(COUNTIF('盛付札（関数）'!D177,"*キャラ*"),
VLOOKUP("*キャラ*",#REF!,7,FALSE),
IF(COUNTIF('盛付札（関数）'!D177,"*赤*"),
VLOOKUP("*赤*",#REF!,7,FALSE),
VLOOKUP('盛付札（関数）'!D177,#REF!,7,FALSE))),0)&lt;=0,1,
ROUND(
IF(O177&lt;&gt;"",(H177-O177),H177)
/IF(COUNTIF('盛付札（関数）'!D177,"*キャラ*"),
VLOOKUP("*キャラ*",#REF!,7,FALSE),
IF(COUNTIF('盛付札（関数）'!D177,"*赤*"),
VLOOKUP("*赤*",#REF!,7,FALSE),
VLOOKUP('盛付札（関数）'!D177,#REF!,7,FALSE))),0))),""),"")),"")</f>
        <v/>
      </c>
      <c r="G177" s="206" t="str">
        <f ca="1">IF(F177&lt;&gt;"",IF(VALUE(IF(O177&lt;&gt;"",H177-O177,H177))&gt;VALUE(IF(COUNTIF('盛付札（関数）'!D177,"*キャラ*"),
VLOOKUP("*キャラ*",#REF!,7,FALSE),
IF(COUNTIF('盛付札（関数）'!D177,"*赤*"),
VLOOKUP("*赤*",#REF!,7,FALSE),
VLOOKUP('盛付札（関数）'!D177,#REF!,7,FALSE)))*F177),
"+"&amp;IF(O177&lt;&gt;"",H177-O177,H177)-IF(COUNTIF('盛付札（関数）'!D177,"*キャラ*"),
VLOOKUP("*キャラ*",#REF!,7,FALSE),
IF(COUNTIF('盛付札（関数）'!D177,"*赤*"),
VLOOKUP("*赤*",#REF!,7,FALSE),
VLOOKUP('盛付札（関数）'!D177,#REF!,7,FALSE)))*F177,
IF(O177&lt;&gt;"",H177-O177,H177)-IF(COUNTIF('盛付札（関数）'!D177,"*キャラ*"),
VLOOKUP("*キャラ*",#REF!,7,FALSE),
IF(COUNTIF('盛付札（関数）'!D177,"*赤*"),
VLOOKUP("*赤*",#REF!,7,FALSE),
VLOOKUP('盛付札（関数）'!D177,#REF!,7,FALSE)))*F177),"")</f>
        <v/>
      </c>
      <c r="H177" s="205" t="str" cm="1">
        <f t="array" aca="1" ref="H177" ca="1">IF(C177&lt;&gt;"",
IF(INDIRECT("数出表_Excel!"&amp;RIGHT(SUBSTITUTE(クライアント抽出!V37,",",""),1)&amp;A177-1&amp;"")&lt;&gt;"",
INDIRECT("数出表_Excel!"&amp;RIGHT(SUBSTITUTE(クライアント抽出!V37,",",""),1)&amp;A177-1&amp;""),0),"")</f>
        <v/>
      </c>
      <c r="I177" s="203" t="str" cm="1">
        <f t="array" aca="1" ref="I177" ca="1">IF(C177&lt;&gt;"",
IF(INDIRECT("数出表_Excel!"&amp;RIGHT(SUBSTITUTE(クライアント抽出!V37,",",""),1)&amp;A177&amp;"")&lt;&gt;"",
INDIRECT("数出表_Excel!"&amp;RIGHT(SUBSTITUTE(クライアント抽出!V37,",",""),1)&amp;A177&amp;""),0),"")</f>
        <v/>
      </c>
      <c r="J177" s="203" t="str">
        <f ca="1">IF(C177&lt;&gt;"",
VLOOKUP(
IF(COUNTIF(D177,"*学食*"),"キャラ弁（学食）",
IF(COUNTIF(D177,"*赤*"),"赤",
IF(COUNTIF(D177,"*キャラ弁当*"),"キャラ弁当",D177))),注文弁当の抽出!$E$1:$F$15,2,FALSE),"")</f>
        <v/>
      </c>
      <c r="K177" s="203" t="str">
        <f t="shared" ca="1" si="41"/>
        <v/>
      </c>
      <c r="L177" s="203" t="str">
        <f t="shared" ca="1" si="42"/>
        <v/>
      </c>
      <c r="M177" s="203" cm="1">
        <f t="array" aca="1" ref="M177" ca="1">IF(C177&lt;&gt;"",
IF(IFERROR(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0)&lt;&gt;0,
IF(IFERROR(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"")="",
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""),
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0)),0),0)</f>
        <v>0</v>
      </c>
      <c r="N177" s="203" t="e">
        <f t="array" aca="1" ref="N177" ca="1">IF(B177="博多",
IF(C177&lt;&gt;"",
IF(IFERROR(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0)&lt;&gt;0,
IF(IFERROR(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0)="",
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0),
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0)),0),""),0)</f>
        <v>#N/A</v>
      </c>
      <c r="O177" s="203" t="e">
        <f t="shared" ca="1" si="43"/>
        <v>#N/A</v>
      </c>
      <c r="P177" s="203">
        <f t="shared" ca="1" si="4"/>
        <v>0</v>
      </c>
      <c r="Q177" s="203" t="b">
        <f t="shared" ca="1" si="44"/>
        <v>0</v>
      </c>
      <c r="R177" s="51" t="str" cm="1">
        <f t="array" aca="1" ref="R177" ca="1">IFERROR(SMALL(IF(P$1:P$300&lt;&gt;0,P$1:P$300),ROW(A177)),"")</f>
        <v/>
      </c>
      <c r="S177" s="51" t="str">
        <f t="array" aca="1" ref="S177" ca="1">IF($R177&lt;&gt;"",
INDIRECT(""&amp;IF(COLUMN(C197)&lt;=26,CHAR(COLUMN(C197)+64),CHAR(INT((COLUMN(C197)-1)/26)+64)&amp;CHAR(MOD(COLUMN(C197)-1,26)+65))&amp;$R177&amp;""),"")</f>
        <v/>
      </c>
      <c r="T177" s="51" t="str" cm="1">
        <f t="array" aca="1" ref="T177" ca="1">IF(IF($R177&lt;&gt;"",
INDIRECT(""&amp;IF(COLUMN(D197)&lt;=26,CHAR(COLUMN(D197)+64),CHAR(INT((COLUMN(D197)-1)/26)+64)&amp;CHAR(MOD(COLUMN(D197)-1,26)+65))&amp;$R177&amp;""),"")=0,"",
IF($R177&lt;&gt;"",
INDIRECT(""&amp;IF(COLUMN(D197)&lt;=26,CHAR(COLUMN(D197)+64),CHAR(INT((COLUMN(D197)-1)/26)+64)&amp;CHAR(MOD(COLUMN(D197)-1,26)+65))&amp;$R177&amp;""),""))</f>
        <v/>
      </c>
      <c r="U177" s="51"/>
      <c r="V177" s="51" t="str">
        <f t="array" aca="1" ref="V177" ca="1">IF($R177&lt;&gt;"",
IF(U177="",
IF(INDIRECT("EY"&amp;$R177&amp;"")&lt;&gt;"",
INDIRECT("EY"&amp;$R177&amp;"")&amp;"箱"
&amp;INDIRECT("EZ"&amp;$R177&amp;""),""),""),"")</f>
        <v/>
      </c>
      <c r="W177" s="51" t="str">
        <f t="array" aca="1" ref="W177" ca="1">IF($R177&lt;&gt;"",
INDIRECT(""&amp;IF(COLUMN(H197)&lt;=26,CHAR(COLUMN(H197)+64),CHAR(INT((COLUMN(H197)-1)/26)+64)&amp;CHAR(MOD(COLUMN(H197)-1,26)+65))&amp;$R177&amp;""),"")</f>
        <v/>
      </c>
      <c r="X177" s="51" t="str">
        <f t="array" aca="1" ref="X177" ca="1">IF($R177&lt;&gt;"",
INDIRECT(""&amp;IF(COLUMN(I197)&lt;=26,CHAR(COLUMN(I197)+64),CHAR(INT((COLUMN(I197)-1)/26)+64)&amp;CHAR(MOD(COLUMN(I197)-1,26)+65))&amp;$R177&amp;""),"")</f>
        <v/>
      </c>
      <c r="Y177" s="51" t="str">
        <f t="array" aca="1" ref="Y177" ca="1">IF($R177&lt;&gt;"",
INDIRECT(""&amp;IF(COLUMN(J197)&lt;=26,CHAR(COLUMN(J197)+64),CHAR(INT((COLUMN(J197)-1)/26)+64)&amp;CHAR(MOD(COLUMN(J197)-1,26)+65))&amp;$R177&amp;""),"")</f>
        <v/>
      </c>
      <c r="Z177" s="51" t="str">
        <f t="array" aca="1" ref="Z177" ca="1">IF($R177&lt;&gt;"",
INDIRECT(""&amp;IF(COLUMN(K197)&lt;=26,CHAR(COLUMN(K197)+64),CHAR(INT((COLUMN(K197)-1)/26)+64)&amp;CHAR(MOD(COLUMN(K197)-1,26)+65))&amp;$R177&amp;""),"")</f>
        <v/>
      </c>
      <c r="AA177" s="51" t="str">
        <f t="array" aca="1" ref="AA177" ca="1">IF($R177&lt;&gt;"",
INDIRECT(""&amp;IF(COLUMN(L197)&lt;=26,CHAR(COLUMN(L197)+64),CHAR(INT((COLUMN(L197)-1)/26)+64)&amp;CHAR(MOD(COLUMN(L197)-1,26)+65))&amp;$R177&amp;""),"")</f>
        <v/>
      </c>
      <c r="AB177" s="51" t="str">
        <f t="array" aca="1" ref="AB177" ca="1">IF($R177&lt;&gt;"",
INDIRECT(""&amp;IF(COLUMN(O197)&lt;=26,CHAR(COLUMN(O197)+64),CHAR(INT((COLUMN(O197)-1)/26)+64)&amp;CHAR(MOD(COLUMN(O197)-1,26)+65))&amp;$R177&amp;""),"")</f>
        <v/>
      </c>
    </row>
    <row r="178" spans="1:28" ht="22.2" customHeight="1">
      <c r="A178" s="204">
        <f t="shared" si="40"/>
        <v>81</v>
      </c>
      <c r="B178" s="203" t="e" cm="1">
        <f t="array" aca="1" ref="B178" ca="1">IF(AND(LEFT(C178,2)="博多",
LEFT(INDIRECT("数出表_Excel!A"&amp;MATCH(C178,数出表_Excel!$A:$A,0)-1),2)
=LEFT(INDIRECT("数出表_Excel!A"&amp;MATCH(C178,数出表_Excel!$A:$A,0)+1),2)),"博多",
IF(AND(LEFT(C178,3)="奈良屋",
LEFT(INDIRECT("数出表_Excel!A"&amp;MATCH(C178,数出表_Excel!$A:$A,0)-1),2)
=LEFT(INDIRECT("数出表_Excel!A"&amp;MATCH(C178,数出表_Excel!$A:$A,0)+1),2)),"奈良屋",""))</f>
        <v>#N/A</v>
      </c>
      <c r="C178" s="203" t="str" cm="1">
        <f t="array" aca="1" ref="C178" ca="1">IF(IF(クライアント抽出!A38="",0,LEN(クライアント抽出!V38)-LEN(SUBSTITUTE(クライアント抽出!V38,",","")))&gt;=3,INDIRECT("数出表_Excel!A"&amp;A178&amp;""),"")</f>
        <v/>
      </c>
      <c r="D178" s="203" t="str" cm="1">
        <f t="array" aca="1" ref="D178" ca="1">IF(C178&lt;&gt;"",INDIRECT("クライアント抽出!"&amp;E178&amp;MATCH(C178,クライアント抽出!A:A,0)&amp;""),"")</f>
        <v/>
      </c>
      <c r="E178" s="203" t="str">
        <f ca="1">IF(H178&lt;&gt;0,
IFERROR(
SUBSTITUTE(ADDRESS(1,
MATCH(VALUE(H178),クライアント抽出!A38:G38,0)+8,4),"1",""),
""),
IFERROR(
SUBSTITUTE(ADDRESS(1,
MATCH(VALUE(I178),クライアント抽出!A38:G38,0)+8,4),"1",""),
""))</f>
        <v/>
      </c>
      <c r="F178" s="206" t="str" cm="1">
        <f t="array" aca="1" ref="F178" ca="1">IF(D178&lt;&gt;"",
IF(COUNTIF(C178,"*雙葉*"),
IF(ROUND(
IF(O178&lt;&gt;"",(H178-O178),H178)
/IF(COUNTIF('盛付札（関数）'!D178,"*キャラ*"),
VLOOKUP("*キャラ*",#REF!,7,FALSE),
IF(COUNTIF('盛付札（関数）'!D178,"*赤*"),
VLOOKUP("*赤*",#REF!,7,FALSE),
VLOOKUP('盛付札（関数）'!D178,#REF!,7,FALSE))),0)&lt;=0,1,
ROUND(
IF(O178&lt;&gt;"",(H178-O178),H178)
/IF(COUNTIF('盛付札（関数）'!D178,"*キャラ*"),
VLOOKUP("*キャラ*",#REF!,7,FALSE),
IF(COUNTIF('盛付札（関数）'!D178,"*赤*"),
VLOOKUP("*赤*",#REF!,7,FALSE),
VLOOKUP('盛付札（関数）'!D178,#REF!,7,FALSE))),0)),
IF(MATCH(TRUE,
ISNUMBER(--INDIRECT("数出表_Excel!B"&amp;MATCH(C178,数出表_Excel!$A:$A,0)-1&amp;":U"&amp;MATCH(C178,数出表_Excel!$A:$A,0)-1&amp;"")),0)&gt;10,
IF(D178&lt;&gt;"",
IF(IF(COUNTIF('盛付札（関数）'!D178,"*キャラ*"),
VLOOKUP("*キャラ*",#REF!,7,FALSE),
IF(COUNTIF('盛付札（関数）'!D178,"*赤*"),
VLOOKUP("*赤*",#REF!,7,FALSE),
VLOOKUP('盛付札（関数）'!D178,#REF!,7,FALSE)))=0,"",
IF(ROUND(
IF(O178&lt;&gt;"",(H178-O178),H178)
/IF(COUNTIF('盛付札（関数）'!D178,"*キャラ*"),
VLOOKUP("*キャラ*",#REF!,7,FALSE),
IF(COUNTIF('盛付札（関数）'!D178,"*赤*"),
VLOOKUP("*赤*",#REF!,7,FALSE),
VLOOKUP('盛付札（関数）'!D178,#REF!,7,FALSE))),0)&lt;=0,1,
ROUND(
IF(O178&lt;&gt;"",(H178-O178),H178)
/IF(COUNTIF('盛付札（関数）'!D178,"*キャラ*"),
VLOOKUP("*キャラ*",#REF!,7,FALSE),
IF(COUNTIF('盛付札（関数）'!D178,"*赤*"),
VLOOKUP("*赤*",#REF!,7,FALSE),
VLOOKUP('盛付札（関数）'!D178,#REF!,7,FALSE))),0))),""),"")),"")</f>
        <v/>
      </c>
      <c r="G178" s="206" t="str">
        <f ca="1">IF(F178&lt;&gt;"",IF(VALUE(IF(O178&lt;&gt;"",H178-O178,H178))&gt;VALUE(IF(COUNTIF('盛付札（関数）'!D178,"*キャラ*"),
VLOOKUP("*キャラ*",#REF!,7,FALSE),
IF(COUNTIF('盛付札（関数）'!D178,"*赤*"),
VLOOKUP("*赤*",#REF!,7,FALSE),
VLOOKUP('盛付札（関数）'!D178,#REF!,7,FALSE)))*F178),
"+"&amp;IF(O178&lt;&gt;"",H178-O178,H178)-IF(COUNTIF('盛付札（関数）'!D178,"*キャラ*"),
VLOOKUP("*キャラ*",#REF!,7,FALSE),
IF(COUNTIF('盛付札（関数）'!D178,"*赤*"),
VLOOKUP("*赤*",#REF!,7,FALSE),
VLOOKUP('盛付札（関数）'!D178,#REF!,7,FALSE)))*F178,
IF(O178&lt;&gt;"",H178-O178,H178)-IF(COUNTIF('盛付札（関数）'!D178,"*キャラ*"),
VLOOKUP("*キャラ*",#REF!,7,FALSE),
IF(COUNTIF('盛付札（関数）'!D178,"*赤*"),
VLOOKUP("*赤*",#REF!,7,FALSE),
VLOOKUP('盛付札（関数）'!D178,#REF!,7,FALSE)))*F178),"")</f>
        <v/>
      </c>
      <c r="H178" s="205" t="str" cm="1">
        <f t="array" aca="1" ref="H178" ca="1">IF(C178&lt;&gt;"",
IF(INDIRECT("数出表_Excel!"&amp;RIGHT(SUBSTITUTE(クライアント抽出!V38,",",""),1)&amp;A178-1&amp;"")&lt;&gt;"",
INDIRECT("数出表_Excel!"&amp;RIGHT(SUBSTITUTE(クライアント抽出!V38,",",""),1)&amp;A178-1&amp;""),0),"")</f>
        <v/>
      </c>
      <c r="I178" s="203" t="str" cm="1">
        <f t="array" aca="1" ref="I178" ca="1">IF(C178&lt;&gt;"",
IF(INDIRECT("数出表_Excel!"&amp;RIGHT(SUBSTITUTE(クライアント抽出!V38,",",""),1)&amp;A178&amp;"")&lt;&gt;"",
INDIRECT("数出表_Excel!"&amp;RIGHT(SUBSTITUTE(クライアント抽出!V38,",",""),1)&amp;A178&amp;""),0),"")</f>
        <v/>
      </c>
      <c r="J178" s="203" t="str">
        <f ca="1">IF(C178&lt;&gt;"",
VLOOKUP(
IF(COUNTIF(D178,"*学食*"),"キャラ弁（学食）",
IF(COUNTIF(D178,"*赤*"),"赤",
IF(COUNTIF(D178,"*キャラ弁当*"),"キャラ弁当",D178))),注文弁当の抽出!$E$1:$F$15,2,FALSE),"")</f>
        <v/>
      </c>
      <c r="K178" s="203" t="str">
        <f t="shared" ca="1" si="41"/>
        <v/>
      </c>
      <c r="L178" s="203" t="str">
        <f t="shared" ca="1" si="42"/>
        <v/>
      </c>
      <c r="M178" s="203" cm="1">
        <f t="array" aca="1" ref="M178" ca="1">IF(C178&lt;&gt;"",
IF(IFERROR(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0)&lt;&gt;0,
IF(IFERROR(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"")="",
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""),
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0)),0),0)</f>
        <v>0</v>
      </c>
      <c r="N178" s="203" t="e">
        <f t="array" aca="1" ref="N178" ca="1">IF(B178="博多",
IF(C178&lt;&gt;"",
IF(IFERROR(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0)&lt;&gt;0,
IF(IFERROR(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0)="",
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0),
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0)),0),""),0)</f>
        <v>#N/A</v>
      </c>
      <c r="O178" s="203" t="e">
        <f t="shared" ca="1" si="43"/>
        <v>#N/A</v>
      </c>
      <c r="P178" s="203">
        <f t="shared" ca="1" si="4"/>
        <v>0</v>
      </c>
      <c r="Q178" s="203" t="b">
        <f t="shared" ca="1" si="44"/>
        <v>0</v>
      </c>
      <c r="R178" s="51" t="str" cm="1">
        <f t="array" aca="1" ref="R178" ca="1">IFERROR(SMALL(IF(P$1:P$300&lt;&gt;0,P$1:P$300),ROW(A178)),"")</f>
        <v/>
      </c>
      <c r="S178" s="51" t="str">
        <f t="array" aca="1" ref="S178" ca="1">IF($R178&lt;&gt;"",
INDIRECT(""&amp;IF(COLUMN(C198)&lt;=26,CHAR(COLUMN(C198)+64),CHAR(INT((COLUMN(C198)-1)/26)+64)&amp;CHAR(MOD(COLUMN(C198)-1,26)+65))&amp;$R178&amp;""),"")</f>
        <v/>
      </c>
      <c r="T178" s="51" t="str" cm="1">
        <f t="array" aca="1" ref="T178" ca="1">IF(IF($R178&lt;&gt;"",
INDIRECT(""&amp;IF(COLUMN(D198)&lt;=26,CHAR(COLUMN(D198)+64),CHAR(INT((COLUMN(D198)-1)/26)+64)&amp;CHAR(MOD(COLUMN(D198)-1,26)+65))&amp;$R178&amp;""),"")=0,"",
IF($R178&lt;&gt;"",
INDIRECT(""&amp;IF(COLUMN(D198)&lt;=26,CHAR(COLUMN(D198)+64),CHAR(INT((COLUMN(D198)-1)/26)+64)&amp;CHAR(MOD(COLUMN(D198)-1,26)+65))&amp;$R178&amp;""),""))</f>
        <v/>
      </c>
      <c r="U178" s="51"/>
      <c r="V178" s="51" t="str">
        <f t="array" aca="1" ref="V178" ca="1">IF($R178&lt;&gt;"",
IF(U178="",
IF(INDIRECT("EY"&amp;$R178&amp;"")&lt;&gt;"",
INDIRECT("EY"&amp;$R178&amp;"")&amp;"箱"
&amp;INDIRECT("EZ"&amp;$R178&amp;""),""),""),"")</f>
        <v/>
      </c>
      <c r="W178" s="51" t="str">
        <f t="array" aca="1" ref="W178" ca="1">IF($R178&lt;&gt;"",
INDIRECT(""&amp;IF(COLUMN(H198)&lt;=26,CHAR(COLUMN(H198)+64),CHAR(INT((COLUMN(H198)-1)/26)+64)&amp;CHAR(MOD(COLUMN(H198)-1,26)+65))&amp;$R178&amp;""),"")</f>
        <v/>
      </c>
      <c r="X178" s="51" t="str">
        <f t="array" aca="1" ref="X178" ca="1">IF($R178&lt;&gt;"",
INDIRECT(""&amp;IF(COLUMN(I198)&lt;=26,CHAR(COLUMN(I198)+64),CHAR(INT((COLUMN(I198)-1)/26)+64)&amp;CHAR(MOD(COLUMN(I198)-1,26)+65))&amp;$R178&amp;""),"")</f>
        <v/>
      </c>
      <c r="Y178" s="51" t="str">
        <f t="array" aca="1" ref="Y178" ca="1">IF($R178&lt;&gt;"",
INDIRECT(""&amp;IF(COLUMN(J198)&lt;=26,CHAR(COLUMN(J198)+64),CHAR(INT((COLUMN(J198)-1)/26)+64)&amp;CHAR(MOD(COLUMN(J198)-1,26)+65))&amp;$R178&amp;""),"")</f>
        <v/>
      </c>
      <c r="Z178" s="51" t="str">
        <f t="array" aca="1" ref="Z178" ca="1">IF($R178&lt;&gt;"",
INDIRECT(""&amp;IF(COLUMN(K198)&lt;=26,CHAR(COLUMN(K198)+64),CHAR(INT((COLUMN(K198)-1)/26)+64)&amp;CHAR(MOD(COLUMN(K198)-1,26)+65))&amp;$R178&amp;""),"")</f>
        <v/>
      </c>
      <c r="AA178" s="51" t="str">
        <f t="array" aca="1" ref="AA178" ca="1">IF($R178&lt;&gt;"",
INDIRECT(""&amp;IF(COLUMN(L198)&lt;=26,CHAR(COLUMN(L198)+64),CHAR(INT((COLUMN(L198)-1)/26)+64)&amp;CHAR(MOD(COLUMN(L198)-1,26)+65))&amp;$R178&amp;""),"")</f>
        <v/>
      </c>
      <c r="AB178" s="51" t="str">
        <f t="array" aca="1" ref="AB178" ca="1">IF($R178&lt;&gt;"",
INDIRECT(""&amp;IF(COLUMN(O198)&lt;=26,CHAR(COLUMN(O198)+64),CHAR(INT((COLUMN(O198)-1)/26)+64)&amp;CHAR(MOD(COLUMN(O198)-1,26)+65))&amp;$R178&amp;""),"")</f>
        <v/>
      </c>
    </row>
    <row r="179" spans="1:28" ht="22.2" customHeight="1">
      <c r="A179" s="204">
        <f t="shared" si="40"/>
        <v>83</v>
      </c>
      <c r="B179" s="203" t="e" cm="1">
        <f t="array" aca="1" ref="B179" ca="1">IF(AND(LEFT(C179,2)="博多",
LEFT(INDIRECT("数出表_Excel!A"&amp;MATCH(C179,数出表_Excel!$A:$A,0)-1),2)
=LEFT(INDIRECT("数出表_Excel!A"&amp;MATCH(C179,数出表_Excel!$A:$A,0)+1),2)),"博多",
IF(AND(LEFT(C179,3)="奈良屋",
LEFT(INDIRECT("数出表_Excel!A"&amp;MATCH(C179,数出表_Excel!$A:$A,0)-1),2)
=LEFT(INDIRECT("数出表_Excel!A"&amp;MATCH(C179,数出表_Excel!$A:$A,0)+1),2)),"奈良屋",""))</f>
        <v>#N/A</v>
      </c>
      <c r="C179" s="203" t="str" cm="1">
        <f t="array" aca="1" ref="C179" ca="1">IF(IF(クライアント抽出!A39="",0,LEN(クライアント抽出!V39)-LEN(SUBSTITUTE(クライアント抽出!V39,",","")))&gt;=3,INDIRECT("数出表_Excel!A"&amp;A179&amp;""),"")</f>
        <v/>
      </c>
      <c r="D179" s="203" t="str" cm="1">
        <f t="array" aca="1" ref="D179" ca="1">IF(C179&lt;&gt;"",INDIRECT("クライアント抽出!"&amp;E179&amp;MATCH(C179,クライアント抽出!A:A,0)&amp;""),"")</f>
        <v/>
      </c>
      <c r="E179" s="203" t="str">
        <f ca="1">IF(H179&lt;&gt;0,
IFERROR(
SUBSTITUTE(ADDRESS(1,
MATCH(VALUE(H179),クライアント抽出!A39:G39,0)+8,4),"1",""),
""),
IFERROR(
SUBSTITUTE(ADDRESS(1,
MATCH(VALUE(I179),クライアント抽出!A39:G39,0)+8,4),"1",""),
""))</f>
        <v/>
      </c>
      <c r="F179" s="206" t="str" cm="1">
        <f t="array" aca="1" ref="F179" ca="1">IF(D179&lt;&gt;"",
IF(COUNTIF(C179,"*雙葉*"),
IF(ROUND(
IF(O179&lt;&gt;"",(H179-O179),H179)
/IF(COUNTIF('盛付札（関数）'!D179,"*キャラ*"),
VLOOKUP("*キャラ*",#REF!,7,FALSE),
IF(COUNTIF('盛付札（関数）'!D179,"*赤*"),
VLOOKUP("*赤*",#REF!,7,FALSE),
VLOOKUP('盛付札（関数）'!D179,#REF!,7,FALSE))),0)&lt;=0,1,
ROUND(
IF(O179&lt;&gt;"",(H179-O179),H179)
/IF(COUNTIF('盛付札（関数）'!D179,"*キャラ*"),
VLOOKUP("*キャラ*",#REF!,7,FALSE),
IF(COUNTIF('盛付札（関数）'!D179,"*赤*"),
VLOOKUP("*赤*",#REF!,7,FALSE),
VLOOKUP('盛付札（関数）'!D179,#REF!,7,FALSE))),0)),
IF(MATCH(TRUE,
ISNUMBER(--INDIRECT("数出表_Excel!B"&amp;MATCH(C179,数出表_Excel!$A:$A,0)-1&amp;":U"&amp;MATCH(C179,数出表_Excel!$A:$A,0)-1&amp;"")),0)&gt;10,
IF(D179&lt;&gt;"",
IF(IF(COUNTIF('盛付札（関数）'!D179,"*キャラ*"),
VLOOKUP("*キャラ*",#REF!,7,FALSE),
IF(COUNTIF('盛付札（関数）'!D179,"*赤*"),
VLOOKUP("*赤*",#REF!,7,FALSE),
VLOOKUP('盛付札（関数）'!D179,#REF!,7,FALSE)))=0,"",
IF(ROUND(
IF(O179&lt;&gt;"",(H179-O179),H179)
/IF(COUNTIF('盛付札（関数）'!D179,"*キャラ*"),
VLOOKUP("*キャラ*",#REF!,7,FALSE),
IF(COUNTIF('盛付札（関数）'!D179,"*赤*"),
VLOOKUP("*赤*",#REF!,7,FALSE),
VLOOKUP('盛付札（関数）'!D179,#REF!,7,FALSE))),0)&lt;=0,1,
ROUND(
IF(O179&lt;&gt;"",(H179-O179),H179)
/IF(COUNTIF('盛付札（関数）'!D179,"*キャラ*"),
VLOOKUP("*キャラ*",#REF!,7,FALSE),
IF(COUNTIF('盛付札（関数）'!D179,"*赤*"),
VLOOKUP("*赤*",#REF!,7,FALSE),
VLOOKUP('盛付札（関数）'!D179,#REF!,7,FALSE))),0))),""),"")),"")</f>
        <v/>
      </c>
      <c r="G179" s="206" t="str">
        <f ca="1">IF(F179&lt;&gt;"",IF(VALUE(IF(O179&lt;&gt;"",H179-O179,H179))&gt;VALUE(IF(COUNTIF('盛付札（関数）'!D179,"*キャラ*"),
VLOOKUP("*キャラ*",#REF!,7,FALSE),
IF(COUNTIF('盛付札（関数）'!D179,"*赤*"),
VLOOKUP("*赤*",#REF!,7,FALSE),
VLOOKUP('盛付札（関数）'!D179,#REF!,7,FALSE)))*F179),
"+"&amp;IF(O179&lt;&gt;"",H179-O179,H179)-IF(COUNTIF('盛付札（関数）'!D179,"*キャラ*"),
VLOOKUP("*キャラ*",#REF!,7,FALSE),
IF(COUNTIF('盛付札（関数）'!D179,"*赤*"),
VLOOKUP("*赤*",#REF!,7,FALSE),
VLOOKUP('盛付札（関数）'!D179,#REF!,7,FALSE)))*F179,
IF(O179&lt;&gt;"",H179-O179,H179)-IF(COUNTIF('盛付札（関数）'!D179,"*キャラ*"),
VLOOKUP("*キャラ*",#REF!,7,FALSE),
IF(COUNTIF('盛付札（関数）'!D179,"*赤*"),
VLOOKUP("*赤*",#REF!,7,FALSE),
VLOOKUP('盛付札（関数）'!D179,#REF!,7,FALSE)))*F179),"")</f>
        <v/>
      </c>
      <c r="H179" s="205" t="str" cm="1">
        <f t="array" aca="1" ref="H179" ca="1">IF(C179&lt;&gt;"",
IF(INDIRECT("数出表_Excel!"&amp;RIGHT(SUBSTITUTE(クライアント抽出!V39,",",""),1)&amp;A179-1&amp;"")&lt;&gt;"",
INDIRECT("数出表_Excel!"&amp;RIGHT(SUBSTITUTE(クライアント抽出!V39,",",""),1)&amp;A179-1&amp;""),0),"")</f>
        <v/>
      </c>
      <c r="I179" s="203" t="str" cm="1">
        <f t="array" aca="1" ref="I179" ca="1">IF(C179&lt;&gt;"",
IF(INDIRECT("数出表_Excel!"&amp;RIGHT(SUBSTITUTE(クライアント抽出!V39,",",""),1)&amp;A179&amp;"")&lt;&gt;"",
INDIRECT("数出表_Excel!"&amp;RIGHT(SUBSTITUTE(クライアント抽出!V39,",",""),1)&amp;A179&amp;""),0),"")</f>
        <v/>
      </c>
      <c r="J179" s="203" t="str">
        <f ca="1">IF(C179&lt;&gt;"",
VLOOKUP(
IF(COUNTIF(D179,"*学食*"),"キャラ弁（学食）",
IF(COUNTIF(D179,"*赤*"),"赤",
IF(COUNTIF(D179,"*キャラ弁当*"),"キャラ弁当",D179))),注文弁当の抽出!$E$1:$F$15,2,FALSE),"")</f>
        <v/>
      </c>
      <c r="K179" s="203" t="str">
        <f t="shared" ca="1" si="41"/>
        <v/>
      </c>
      <c r="L179" s="203" t="str">
        <f t="shared" ca="1" si="42"/>
        <v/>
      </c>
      <c r="M179" s="203" cm="1">
        <f t="array" aca="1" ref="M179" ca="1">IF(C179&lt;&gt;"",
IF(IFERROR(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0)&lt;&gt;0,
IF(IFERROR(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"")="",
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""),
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0)),0),0)</f>
        <v>0</v>
      </c>
      <c r="N179" s="203" t="e">
        <f t="array" aca="1" ref="N179" ca="1">IF(B179="博多",
IF(C179&lt;&gt;"",
IF(IFERROR(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0)&lt;&gt;0,
IF(IFERROR(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0)="",
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0),
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0)),0),""),0)</f>
        <v>#N/A</v>
      </c>
      <c r="O179" s="203" t="e">
        <f t="shared" ca="1" si="43"/>
        <v>#N/A</v>
      </c>
      <c r="P179" s="203">
        <f t="shared" ca="1" si="4"/>
        <v>0</v>
      </c>
      <c r="Q179" s="203" t="b">
        <f t="shared" ca="1" si="44"/>
        <v>0</v>
      </c>
      <c r="R179" s="51" t="str" cm="1">
        <f t="array" aca="1" ref="R179" ca="1">IFERROR(SMALL(IF(P$1:P$300&lt;&gt;0,P$1:P$300),ROW(A179)),"")</f>
        <v/>
      </c>
      <c r="S179" s="51" t="str">
        <f t="array" aca="1" ref="S179" ca="1">IF($R179&lt;&gt;"",
INDIRECT(""&amp;IF(COLUMN(C199)&lt;=26,CHAR(COLUMN(C199)+64),CHAR(INT((COLUMN(C199)-1)/26)+64)&amp;CHAR(MOD(COLUMN(C199)-1,26)+65))&amp;$R179&amp;""),"")</f>
        <v/>
      </c>
      <c r="T179" s="51" t="str" cm="1">
        <f t="array" aca="1" ref="T179" ca="1">IF(IF($R179&lt;&gt;"",
INDIRECT(""&amp;IF(COLUMN(D199)&lt;=26,CHAR(COLUMN(D199)+64),CHAR(INT((COLUMN(D199)-1)/26)+64)&amp;CHAR(MOD(COLUMN(D199)-1,26)+65))&amp;$R179&amp;""),"")=0,"",
IF($R179&lt;&gt;"",
INDIRECT(""&amp;IF(COLUMN(D199)&lt;=26,CHAR(COLUMN(D199)+64),CHAR(INT((COLUMN(D199)-1)/26)+64)&amp;CHAR(MOD(COLUMN(D199)-1,26)+65))&amp;$R179&amp;""),""))</f>
        <v/>
      </c>
      <c r="U179" s="51"/>
      <c r="V179" s="51" t="str">
        <f t="array" aca="1" ref="V179" ca="1">IF($R179&lt;&gt;"",
IF(U179="",
IF(INDIRECT("EY"&amp;$R179&amp;"")&lt;&gt;"",
INDIRECT("EY"&amp;$R179&amp;"")&amp;"箱"
&amp;INDIRECT("EZ"&amp;$R179&amp;""),""),""),"")</f>
        <v/>
      </c>
      <c r="W179" s="51" t="str">
        <f t="array" aca="1" ref="W179" ca="1">IF($R179&lt;&gt;"",
INDIRECT(""&amp;IF(COLUMN(H199)&lt;=26,CHAR(COLUMN(H199)+64),CHAR(INT((COLUMN(H199)-1)/26)+64)&amp;CHAR(MOD(COLUMN(H199)-1,26)+65))&amp;$R179&amp;""),"")</f>
        <v/>
      </c>
      <c r="X179" s="51" t="str">
        <f t="array" aca="1" ref="X179" ca="1">IF($R179&lt;&gt;"",
INDIRECT(""&amp;IF(COLUMN(I199)&lt;=26,CHAR(COLUMN(I199)+64),CHAR(INT((COLUMN(I199)-1)/26)+64)&amp;CHAR(MOD(COLUMN(I199)-1,26)+65))&amp;$R179&amp;""),"")</f>
        <v/>
      </c>
      <c r="Y179" s="51" t="str">
        <f t="array" aca="1" ref="Y179" ca="1">IF($R179&lt;&gt;"",
INDIRECT(""&amp;IF(COLUMN(J199)&lt;=26,CHAR(COLUMN(J199)+64),CHAR(INT((COLUMN(J199)-1)/26)+64)&amp;CHAR(MOD(COLUMN(J199)-1,26)+65))&amp;$R179&amp;""),"")</f>
        <v/>
      </c>
      <c r="Z179" s="51" t="str">
        <f t="array" aca="1" ref="Z179" ca="1">IF($R179&lt;&gt;"",
INDIRECT(""&amp;IF(COLUMN(K199)&lt;=26,CHAR(COLUMN(K199)+64),CHAR(INT((COLUMN(K199)-1)/26)+64)&amp;CHAR(MOD(COLUMN(K199)-1,26)+65))&amp;$R179&amp;""),"")</f>
        <v/>
      </c>
      <c r="AA179" s="51" t="str">
        <f t="array" aca="1" ref="AA179" ca="1">IF($R179&lt;&gt;"",
INDIRECT(""&amp;IF(COLUMN(L199)&lt;=26,CHAR(COLUMN(L199)+64),CHAR(INT((COLUMN(L199)-1)/26)+64)&amp;CHAR(MOD(COLUMN(L199)-1,26)+65))&amp;$R179&amp;""),"")</f>
        <v/>
      </c>
      <c r="AB179" s="51" t="str">
        <f t="array" aca="1" ref="AB179" ca="1">IF($R179&lt;&gt;"",
INDIRECT(""&amp;IF(COLUMN(O199)&lt;=26,CHAR(COLUMN(O199)+64),CHAR(INT((COLUMN(O199)-1)/26)+64)&amp;CHAR(MOD(COLUMN(O199)-1,26)+65))&amp;$R179&amp;""),"")</f>
        <v/>
      </c>
    </row>
    <row r="180" spans="1:28" ht="22.2" customHeight="1">
      <c r="A180" s="204">
        <f t="shared" si="40"/>
        <v>85</v>
      </c>
      <c r="B180" s="203" t="e" cm="1">
        <f t="array" aca="1" ref="B180" ca="1">IF(AND(LEFT(C180,2)="博多",
LEFT(INDIRECT("数出表_Excel!A"&amp;MATCH(C180,数出表_Excel!$A:$A,0)-1),2)
=LEFT(INDIRECT("数出表_Excel!A"&amp;MATCH(C180,数出表_Excel!$A:$A,0)+1),2)),"博多",
IF(AND(LEFT(C180,3)="奈良屋",
LEFT(INDIRECT("数出表_Excel!A"&amp;MATCH(C180,数出表_Excel!$A:$A,0)-1),2)
=LEFT(INDIRECT("数出表_Excel!A"&amp;MATCH(C180,数出表_Excel!$A:$A,0)+1),2)),"奈良屋",""))</f>
        <v>#N/A</v>
      </c>
      <c r="C180" s="203" t="str" cm="1">
        <f t="array" aca="1" ref="C180" ca="1">IF(IF(クライアント抽出!A40="",0,LEN(クライアント抽出!V40)-LEN(SUBSTITUTE(クライアント抽出!V40,",","")))&gt;=3,INDIRECT("数出表_Excel!A"&amp;A180&amp;""),"")</f>
        <v/>
      </c>
      <c r="D180" s="203" t="str" cm="1">
        <f t="array" aca="1" ref="D180" ca="1">IF(C180&lt;&gt;"",INDIRECT("クライアント抽出!"&amp;E180&amp;MATCH(C180,クライアント抽出!A:A,0)&amp;""),"")</f>
        <v/>
      </c>
      <c r="E180" s="203" t="str">
        <f ca="1">IF(H180&lt;&gt;0,
IFERROR(
SUBSTITUTE(ADDRESS(1,
MATCH(VALUE(H180),クライアント抽出!A40:G40,0)+8,4),"1",""),
""),
IFERROR(
SUBSTITUTE(ADDRESS(1,
MATCH(VALUE(I180),クライアント抽出!A40:G40,0)+8,4),"1",""),
""))</f>
        <v/>
      </c>
      <c r="F180" s="206" t="str" cm="1">
        <f t="array" aca="1" ref="F180" ca="1">IF(D180&lt;&gt;"",
IF(COUNTIF(C180,"*雙葉*"),
IF(ROUND(
IF(O180&lt;&gt;"",(H180-O180),H180)
/IF(COUNTIF('盛付札（関数）'!D180,"*キャラ*"),
VLOOKUP("*キャラ*",#REF!,7,FALSE),
IF(COUNTIF('盛付札（関数）'!D180,"*赤*"),
VLOOKUP("*赤*",#REF!,7,FALSE),
VLOOKUP('盛付札（関数）'!D180,#REF!,7,FALSE))),0)&lt;=0,1,
ROUND(
IF(O180&lt;&gt;"",(H180-O180),H180)
/IF(COUNTIF('盛付札（関数）'!D180,"*キャラ*"),
VLOOKUP("*キャラ*",#REF!,7,FALSE),
IF(COUNTIF('盛付札（関数）'!D180,"*赤*"),
VLOOKUP("*赤*",#REF!,7,FALSE),
VLOOKUP('盛付札（関数）'!D180,#REF!,7,FALSE))),0)),
IF(MATCH(TRUE,
ISNUMBER(--INDIRECT("数出表_Excel!B"&amp;MATCH(C180,数出表_Excel!$A:$A,0)-1&amp;":U"&amp;MATCH(C180,数出表_Excel!$A:$A,0)-1&amp;"")),0)&gt;10,
IF(D180&lt;&gt;"",
IF(IF(COUNTIF('盛付札（関数）'!D180,"*キャラ*"),
VLOOKUP("*キャラ*",#REF!,7,FALSE),
IF(COUNTIF('盛付札（関数）'!D180,"*赤*"),
VLOOKUP("*赤*",#REF!,7,FALSE),
VLOOKUP('盛付札（関数）'!D180,#REF!,7,FALSE)))=0,"",
IF(ROUND(
IF(O180&lt;&gt;"",(H180-O180),H180)
/IF(COUNTIF('盛付札（関数）'!D180,"*キャラ*"),
VLOOKUP("*キャラ*",#REF!,7,FALSE),
IF(COUNTIF('盛付札（関数）'!D180,"*赤*"),
VLOOKUP("*赤*",#REF!,7,FALSE),
VLOOKUP('盛付札（関数）'!D180,#REF!,7,FALSE))),0)&lt;=0,1,
ROUND(
IF(O180&lt;&gt;"",(H180-O180),H180)
/IF(COUNTIF('盛付札（関数）'!D180,"*キャラ*"),
VLOOKUP("*キャラ*",#REF!,7,FALSE),
IF(COUNTIF('盛付札（関数）'!D180,"*赤*"),
VLOOKUP("*赤*",#REF!,7,FALSE),
VLOOKUP('盛付札（関数）'!D180,#REF!,7,FALSE))),0))),""),"")),"")</f>
        <v/>
      </c>
      <c r="G180" s="206" t="str">
        <f ca="1">IF(F180&lt;&gt;"",IF(VALUE(IF(O180&lt;&gt;"",H180-O180,H180))&gt;VALUE(IF(COUNTIF('盛付札（関数）'!D180,"*キャラ*"),
VLOOKUP("*キャラ*",#REF!,7,FALSE),
IF(COUNTIF('盛付札（関数）'!D180,"*赤*"),
VLOOKUP("*赤*",#REF!,7,FALSE),
VLOOKUP('盛付札（関数）'!D180,#REF!,7,FALSE)))*F180),
"+"&amp;IF(O180&lt;&gt;"",H180-O180,H180)-IF(COUNTIF('盛付札（関数）'!D180,"*キャラ*"),
VLOOKUP("*キャラ*",#REF!,7,FALSE),
IF(COUNTIF('盛付札（関数）'!D180,"*赤*"),
VLOOKUP("*赤*",#REF!,7,FALSE),
VLOOKUP('盛付札（関数）'!D180,#REF!,7,FALSE)))*F180,
IF(O180&lt;&gt;"",H180-O180,H180)-IF(COUNTIF('盛付札（関数）'!D180,"*キャラ*"),
VLOOKUP("*キャラ*",#REF!,7,FALSE),
IF(COUNTIF('盛付札（関数）'!D180,"*赤*"),
VLOOKUP("*赤*",#REF!,7,FALSE),
VLOOKUP('盛付札（関数）'!D180,#REF!,7,FALSE)))*F180),"")</f>
        <v/>
      </c>
      <c r="H180" s="205" t="str" cm="1">
        <f t="array" aca="1" ref="H180" ca="1">IF(C180&lt;&gt;"",
IF(INDIRECT("数出表_Excel!"&amp;RIGHT(SUBSTITUTE(クライアント抽出!V40,",",""),1)&amp;A180-1&amp;"")&lt;&gt;"",
INDIRECT("数出表_Excel!"&amp;RIGHT(SUBSTITUTE(クライアント抽出!V40,",",""),1)&amp;A180-1&amp;""),0),"")</f>
        <v/>
      </c>
      <c r="I180" s="203" t="str" cm="1">
        <f t="array" aca="1" ref="I180" ca="1">IF(C180&lt;&gt;"",
IF(INDIRECT("数出表_Excel!"&amp;RIGHT(SUBSTITUTE(クライアント抽出!V40,",",""),1)&amp;A180&amp;"")&lt;&gt;"",
INDIRECT("数出表_Excel!"&amp;RIGHT(SUBSTITUTE(クライアント抽出!V40,",",""),1)&amp;A180&amp;""),0),"")</f>
        <v/>
      </c>
      <c r="J180" s="203" t="str">
        <f ca="1">IF(C180&lt;&gt;"",
VLOOKUP(
IF(COUNTIF(D180,"*学食*"),"キャラ弁（学食）",
IF(COUNTIF(D180,"*赤*"),"赤",
IF(COUNTIF(D180,"*キャラ弁当*"),"キャラ弁当",D180))),注文弁当の抽出!$E$1:$F$15,2,FALSE),"")</f>
        <v/>
      </c>
      <c r="K180" s="203" t="str">
        <f t="shared" ca="1" si="41"/>
        <v/>
      </c>
      <c r="L180" s="203" t="str">
        <f t="shared" ca="1" si="42"/>
        <v/>
      </c>
      <c r="M180" s="203" cm="1">
        <f t="array" aca="1" ref="M180" ca="1">IF(C180&lt;&gt;"",
IF(IFERROR(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0)&lt;&gt;0,
IF(IFERROR(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"")="",
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""),
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0)),0),0)</f>
        <v>0</v>
      </c>
      <c r="N180" s="203" t="e">
        <f t="array" aca="1" ref="N180" ca="1">IF(B180="博多",
IF(C180&lt;&gt;"",
IF(IFERROR(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0)&lt;&gt;0,
IF(IFERROR(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0)="",
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0),
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0)),0),""),0)</f>
        <v>#N/A</v>
      </c>
      <c r="O180" s="203" t="e">
        <f t="shared" ca="1" si="43"/>
        <v>#N/A</v>
      </c>
      <c r="P180" s="203">
        <f t="shared" ca="1" si="4"/>
        <v>0</v>
      </c>
      <c r="Q180" s="203" t="b">
        <f t="shared" ca="1" si="44"/>
        <v>0</v>
      </c>
      <c r="R180" s="51" t="str" cm="1">
        <f t="array" aca="1" ref="R180" ca="1">IFERROR(SMALL(IF(P$1:P$300&lt;&gt;0,P$1:P$300),ROW(A180)),"")</f>
        <v/>
      </c>
      <c r="S180" s="51" t="str">
        <f t="array" aca="1" ref="S180" ca="1">IF($R180&lt;&gt;"",
INDIRECT(""&amp;IF(COLUMN(C200)&lt;=26,CHAR(COLUMN(C200)+64),CHAR(INT((COLUMN(C200)-1)/26)+64)&amp;CHAR(MOD(COLUMN(C200)-1,26)+65))&amp;$R180&amp;""),"")</f>
        <v/>
      </c>
      <c r="T180" s="51" t="str" cm="1">
        <f t="array" aca="1" ref="T180" ca="1">IF(IF($R180&lt;&gt;"",
INDIRECT(""&amp;IF(COLUMN(D200)&lt;=26,CHAR(COLUMN(D200)+64),CHAR(INT((COLUMN(D200)-1)/26)+64)&amp;CHAR(MOD(COLUMN(D200)-1,26)+65))&amp;$R180&amp;""),"")=0,"",
IF($R180&lt;&gt;"",
INDIRECT(""&amp;IF(COLUMN(D200)&lt;=26,CHAR(COLUMN(D200)+64),CHAR(INT((COLUMN(D200)-1)/26)+64)&amp;CHAR(MOD(COLUMN(D200)-1,26)+65))&amp;$R180&amp;""),""))</f>
        <v/>
      </c>
      <c r="U180" s="51"/>
      <c r="V180" s="51" t="str">
        <f t="array" aca="1" ref="V180" ca="1">IF($R180&lt;&gt;"",
IF(U180="",
IF(INDIRECT("EY"&amp;$R180&amp;"")&lt;&gt;"",
INDIRECT("EY"&amp;$R180&amp;"")&amp;"箱"
&amp;INDIRECT("EZ"&amp;$R180&amp;""),""),""),"")</f>
        <v/>
      </c>
      <c r="W180" s="51" t="str">
        <f t="array" aca="1" ref="W180" ca="1">IF($R180&lt;&gt;"",
INDIRECT(""&amp;IF(COLUMN(H200)&lt;=26,CHAR(COLUMN(H200)+64),CHAR(INT((COLUMN(H200)-1)/26)+64)&amp;CHAR(MOD(COLUMN(H200)-1,26)+65))&amp;$R180&amp;""),"")</f>
        <v/>
      </c>
      <c r="X180" s="51" t="str">
        <f t="array" aca="1" ref="X180" ca="1">IF($R180&lt;&gt;"",
INDIRECT(""&amp;IF(COLUMN(I200)&lt;=26,CHAR(COLUMN(I200)+64),CHAR(INT((COLUMN(I200)-1)/26)+64)&amp;CHAR(MOD(COLUMN(I200)-1,26)+65))&amp;$R180&amp;""),"")</f>
        <v/>
      </c>
      <c r="Y180" s="51" t="str">
        <f t="array" aca="1" ref="Y180" ca="1">IF($R180&lt;&gt;"",
INDIRECT(""&amp;IF(COLUMN(J200)&lt;=26,CHAR(COLUMN(J200)+64),CHAR(INT((COLUMN(J200)-1)/26)+64)&amp;CHAR(MOD(COLUMN(J200)-1,26)+65))&amp;$R180&amp;""),"")</f>
        <v/>
      </c>
      <c r="Z180" s="51" t="str">
        <f t="array" aca="1" ref="Z180" ca="1">IF($R180&lt;&gt;"",
INDIRECT(""&amp;IF(COLUMN(K200)&lt;=26,CHAR(COLUMN(K200)+64),CHAR(INT((COLUMN(K200)-1)/26)+64)&amp;CHAR(MOD(COLUMN(K200)-1,26)+65))&amp;$R180&amp;""),"")</f>
        <v/>
      </c>
      <c r="AA180" s="51" t="str">
        <f t="array" aca="1" ref="AA180" ca="1">IF($R180&lt;&gt;"",
INDIRECT(""&amp;IF(COLUMN(L200)&lt;=26,CHAR(COLUMN(L200)+64),CHAR(INT((COLUMN(L200)-1)/26)+64)&amp;CHAR(MOD(COLUMN(L200)-1,26)+65))&amp;$R180&amp;""),"")</f>
        <v/>
      </c>
      <c r="AB180" s="51" t="str">
        <f t="array" aca="1" ref="AB180" ca="1">IF($R180&lt;&gt;"",
INDIRECT(""&amp;IF(COLUMN(O200)&lt;=26,CHAR(COLUMN(O200)+64),CHAR(INT((COLUMN(O200)-1)/26)+64)&amp;CHAR(MOD(COLUMN(O200)-1,26)+65))&amp;$R180&amp;""),"")</f>
        <v/>
      </c>
    </row>
    <row r="181" spans="1:28" ht="22.2" customHeight="1">
      <c r="A181" s="204">
        <f t="shared" ref="A181:A182" si="45">A180+2</f>
        <v>87</v>
      </c>
      <c r="B181" s="203" t="e" cm="1">
        <f t="array" aca="1" ref="B181" ca="1">IF(AND(LEFT(C181,2)="博多",
LEFT(INDIRECT("数出表_Excel!A"&amp;MATCH(C181,数出表_Excel!$A:$A,0)-1),2)
=LEFT(INDIRECT("数出表_Excel!A"&amp;MATCH(C181,数出表_Excel!$A:$A,0)+1),2)),"博多",
IF(AND(LEFT(C181,3)="奈良屋",
LEFT(INDIRECT("数出表_Excel!A"&amp;MATCH(C181,数出表_Excel!$A:$A,0)-1),2)
=LEFT(INDIRECT("数出表_Excel!A"&amp;MATCH(C181,数出表_Excel!$A:$A,0)+1),2)),"奈良屋",""))</f>
        <v>#N/A</v>
      </c>
      <c r="C181" s="203" t="str" cm="1">
        <f t="array" aca="1" ref="C181" ca="1">IF(IF(クライアント抽出!A41="",0,LEN(クライアント抽出!V41)-LEN(SUBSTITUTE(クライアント抽出!V41,",","")))&gt;=3,INDIRECT("数出表_Excel!A"&amp;A181&amp;""),"")</f>
        <v/>
      </c>
      <c r="D181" s="203" t="str" cm="1">
        <f t="array" aca="1" ref="D181" ca="1">IF(C181&lt;&gt;"",INDIRECT("クライアント抽出!"&amp;E181&amp;MATCH(C181,クライアント抽出!A:A,0)&amp;""),"")</f>
        <v/>
      </c>
      <c r="E181" s="203" t="str">
        <f ca="1">IF(H181&lt;&gt;0,
IFERROR(
SUBSTITUTE(ADDRESS(1,
MATCH(VALUE(H181),クライアント抽出!A41:G41,0)+8,4),"1",""),
""),
IFERROR(
SUBSTITUTE(ADDRESS(1,
MATCH(VALUE(I181),クライアント抽出!A41:G41,0)+8,4),"1",""),
""))</f>
        <v/>
      </c>
      <c r="F181" s="206" t="str" cm="1">
        <f t="array" aca="1" ref="F181" ca="1">IF(D181&lt;&gt;"",
IF(COUNTIF(C181,"*雙葉*"),
IF(ROUND(
IF(O181&lt;&gt;"",(H181-O181),H181)
/IF(COUNTIF('盛付札（関数）'!D181,"*キャラ*"),
VLOOKUP("*キャラ*",#REF!,7,FALSE),
IF(COUNTIF('盛付札（関数）'!D181,"*赤*"),
VLOOKUP("*赤*",#REF!,7,FALSE),
VLOOKUP('盛付札（関数）'!D181,#REF!,7,FALSE))),0)&lt;=0,1,
ROUND(
IF(O181&lt;&gt;"",(H181-O181),H181)
/IF(COUNTIF('盛付札（関数）'!D181,"*キャラ*"),
VLOOKUP("*キャラ*",#REF!,7,FALSE),
IF(COUNTIF('盛付札（関数）'!D181,"*赤*"),
VLOOKUP("*赤*",#REF!,7,FALSE),
VLOOKUP('盛付札（関数）'!D181,#REF!,7,FALSE))),0)),
IF(MATCH(TRUE,
ISNUMBER(--INDIRECT("数出表_Excel!B"&amp;MATCH(C181,数出表_Excel!$A:$A,0)-1&amp;":U"&amp;MATCH(C181,数出表_Excel!$A:$A,0)-1&amp;"")),0)&gt;10,
IF(D181&lt;&gt;"",
IF(IF(COUNTIF('盛付札（関数）'!D181,"*キャラ*"),
VLOOKUP("*キャラ*",#REF!,7,FALSE),
IF(COUNTIF('盛付札（関数）'!D181,"*赤*"),
VLOOKUP("*赤*",#REF!,7,FALSE),
VLOOKUP('盛付札（関数）'!D181,#REF!,7,FALSE)))=0,"",
IF(ROUND(
IF(O181&lt;&gt;"",(H181-O181),H181)
/IF(COUNTIF('盛付札（関数）'!D181,"*キャラ*"),
VLOOKUP("*キャラ*",#REF!,7,FALSE),
IF(COUNTIF('盛付札（関数）'!D181,"*赤*"),
VLOOKUP("*赤*",#REF!,7,FALSE),
VLOOKUP('盛付札（関数）'!D181,#REF!,7,FALSE))),0)&lt;=0,1,
ROUND(
IF(O181&lt;&gt;"",(H181-O181),H181)
/IF(COUNTIF('盛付札（関数）'!D181,"*キャラ*"),
VLOOKUP("*キャラ*",#REF!,7,FALSE),
IF(COUNTIF('盛付札（関数）'!D181,"*赤*"),
VLOOKUP("*赤*",#REF!,7,FALSE),
VLOOKUP('盛付札（関数）'!D181,#REF!,7,FALSE))),0))),""),"")),"")</f>
        <v/>
      </c>
      <c r="G181" s="206" t="str">
        <f ca="1">IF(F181&lt;&gt;"",IF(VALUE(IF(O181&lt;&gt;"",H181-O181,H181))&gt;VALUE(IF(COUNTIF('盛付札（関数）'!D181,"*キャラ*"),
VLOOKUP("*キャラ*",#REF!,7,FALSE),
IF(COUNTIF('盛付札（関数）'!D181,"*赤*"),
VLOOKUP("*赤*",#REF!,7,FALSE),
VLOOKUP('盛付札（関数）'!D181,#REF!,7,FALSE)))*F181),
"+"&amp;IF(O181&lt;&gt;"",H181-O181,H181)-IF(COUNTIF('盛付札（関数）'!D181,"*キャラ*"),
VLOOKUP("*キャラ*",#REF!,7,FALSE),
IF(COUNTIF('盛付札（関数）'!D181,"*赤*"),
VLOOKUP("*赤*",#REF!,7,FALSE),
VLOOKUP('盛付札（関数）'!D181,#REF!,7,FALSE)))*F181,
IF(O181&lt;&gt;"",H181-O181,H181)-IF(COUNTIF('盛付札（関数）'!D181,"*キャラ*"),
VLOOKUP("*キャラ*",#REF!,7,FALSE),
IF(COUNTIF('盛付札（関数）'!D181,"*赤*"),
VLOOKUP("*赤*",#REF!,7,FALSE),
VLOOKUP('盛付札（関数）'!D181,#REF!,7,FALSE)))*F181),"")</f>
        <v/>
      </c>
      <c r="H181" s="205" t="str" cm="1">
        <f t="array" aca="1" ref="H181" ca="1">IF(C181&lt;&gt;"",
IF(INDIRECT("数出表_Excel!"&amp;RIGHT(SUBSTITUTE(クライアント抽出!V41,",",""),1)&amp;A181-1&amp;"")&lt;&gt;"",
INDIRECT("数出表_Excel!"&amp;RIGHT(SUBSTITUTE(クライアント抽出!V41,",",""),1)&amp;A181-1&amp;""),0),"")</f>
        <v/>
      </c>
      <c r="I181" s="203" t="str" cm="1">
        <f t="array" aca="1" ref="I181" ca="1">IF(C181&lt;&gt;"",
IF(INDIRECT("数出表_Excel!"&amp;RIGHT(SUBSTITUTE(クライアント抽出!V41,",",""),1)&amp;A181&amp;"")&lt;&gt;"",
INDIRECT("数出表_Excel!"&amp;RIGHT(SUBSTITUTE(クライアント抽出!V41,",",""),1)&amp;A181&amp;""),0),"")</f>
        <v/>
      </c>
      <c r="J181" s="203" t="str">
        <f ca="1">IF(C181&lt;&gt;"",
VLOOKUP(
IF(COUNTIF(D181,"*学食*"),"キャラ弁（学食）",
IF(COUNTIF(D181,"*赤*"),"赤",
IF(COUNTIF(D181,"*キャラ弁当*"),"キャラ弁当",D181))),注文弁当の抽出!$E$1:$F$15,2,FALSE),"")</f>
        <v/>
      </c>
      <c r="K181" s="203" t="str">
        <f t="shared" ref="K181:K182" ca="1" si="46">IF(C181&lt;&gt;"",
IFERROR(INT(H181/J181),""),"")</f>
        <v/>
      </c>
      <c r="L181" s="203" t="str">
        <f t="shared" ref="L181:L182" ca="1" si="47">IFERROR(MOD(H181,J181),"")</f>
        <v/>
      </c>
      <c r="M181" s="203" cm="1">
        <f t="array" aca="1" ref="M181" ca="1">IF(C181&lt;&gt;"",
IF(IFERROR(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0)&lt;&gt;0,
IF(IFERROR(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"")="",
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""),
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0)),0),0)</f>
        <v>0</v>
      </c>
      <c r="N181" s="203" t="e">
        <f t="array" aca="1" ref="N181" ca="1">IF(B181="博多",
IF(C181&lt;&gt;"",
IF(IFERROR(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0)&lt;&gt;0,
IF(IFERROR(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0)="",
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0),
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0)),0),""),0)</f>
        <v>#N/A</v>
      </c>
      <c r="O181" s="203" t="e">
        <f t="shared" ref="O181:O182" ca="1" si="48">M181+N181</f>
        <v>#N/A</v>
      </c>
      <c r="P181" s="203">
        <f t="shared" ca="1" si="4"/>
        <v>0</v>
      </c>
      <c r="Q181" s="203" t="b">
        <f t="shared" ref="Q181:Q182" ca="1" si="49">IF(C181&lt;&gt;"",TRUE,FALSE)</f>
        <v>0</v>
      </c>
      <c r="R181" s="51" t="str" cm="1">
        <f t="array" aca="1" ref="R181" ca="1">IFERROR(SMALL(IF(P$1:P$300&lt;&gt;0,P$1:P$300),ROW(A181)),"")</f>
        <v/>
      </c>
      <c r="S181" s="51" t="str">
        <f t="array" aca="1" ref="S181" ca="1">IF($R181&lt;&gt;"",
INDIRECT(""&amp;IF(COLUMN(C201)&lt;=26,CHAR(COLUMN(C201)+64),CHAR(INT((COLUMN(C201)-1)/26)+64)&amp;CHAR(MOD(COLUMN(C201)-1,26)+65))&amp;$R181&amp;""),"")</f>
        <v/>
      </c>
      <c r="T181" s="51" t="str" cm="1">
        <f t="array" aca="1" ref="T181" ca="1">IF(IF($R181&lt;&gt;"",
INDIRECT(""&amp;IF(COLUMN(D201)&lt;=26,CHAR(COLUMN(D201)+64),CHAR(INT((COLUMN(D201)-1)/26)+64)&amp;CHAR(MOD(COLUMN(D201)-1,26)+65))&amp;$R181&amp;""),"")=0,"",
IF($R181&lt;&gt;"",
INDIRECT(""&amp;IF(COLUMN(D201)&lt;=26,CHAR(COLUMN(D201)+64),CHAR(INT((COLUMN(D201)-1)/26)+64)&amp;CHAR(MOD(COLUMN(D201)-1,26)+65))&amp;$R181&amp;""),""))</f>
        <v/>
      </c>
      <c r="U181" s="51"/>
      <c r="V181" s="51" t="str">
        <f t="array" aca="1" ref="V181" ca="1">IF($R181&lt;&gt;"",
IF(U181="",
IF(INDIRECT("EY"&amp;$R181&amp;"")&lt;&gt;"",
INDIRECT("EY"&amp;$R181&amp;"")&amp;"箱"
&amp;INDIRECT("EZ"&amp;$R181&amp;""),""),""),"")</f>
        <v/>
      </c>
      <c r="W181" s="51" t="str">
        <f t="array" aca="1" ref="W181" ca="1">IF($R181&lt;&gt;"",
INDIRECT(""&amp;IF(COLUMN(H201)&lt;=26,CHAR(COLUMN(H201)+64),CHAR(INT((COLUMN(H201)-1)/26)+64)&amp;CHAR(MOD(COLUMN(H201)-1,26)+65))&amp;$R181&amp;""),"")</f>
        <v/>
      </c>
      <c r="X181" s="51" t="str">
        <f t="array" aca="1" ref="X181" ca="1">IF($R181&lt;&gt;"",
INDIRECT(""&amp;IF(COLUMN(I201)&lt;=26,CHAR(COLUMN(I201)+64),CHAR(INT((COLUMN(I201)-1)/26)+64)&amp;CHAR(MOD(COLUMN(I201)-1,26)+65))&amp;$R181&amp;""),"")</f>
        <v/>
      </c>
      <c r="Y181" s="51" t="str">
        <f t="array" aca="1" ref="Y181" ca="1">IF($R181&lt;&gt;"",
INDIRECT(""&amp;IF(COLUMN(J201)&lt;=26,CHAR(COLUMN(J201)+64),CHAR(INT((COLUMN(J201)-1)/26)+64)&amp;CHAR(MOD(COLUMN(J201)-1,26)+65))&amp;$R181&amp;""),"")</f>
        <v/>
      </c>
      <c r="Z181" s="51" t="str">
        <f t="array" aca="1" ref="Z181" ca="1">IF($R181&lt;&gt;"",
INDIRECT(""&amp;IF(COLUMN(K201)&lt;=26,CHAR(COLUMN(K201)+64),CHAR(INT((COLUMN(K201)-1)/26)+64)&amp;CHAR(MOD(COLUMN(K201)-1,26)+65))&amp;$R181&amp;""),"")</f>
        <v/>
      </c>
      <c r="AA181" s="51" t="str">
        <f t="array" aca="1" ref="AA181" ca="1">IF($R181&lt;&gt;"",
INDIRECT(""&amp;IF(COLUMN(L201)&lt;=26,CHAR(COLUMN(L201)+64),CHAR(INT((COLUMN(L201)-1)/26)+64)&amp;CHAR(MOD(COLUMN(L201)-1,26)+65))&amp;$R181&amp;""),"")</f>
        <v/>
      </c>
      <c r="AB181" s="51" t="str">
        <f t="array" aca="1" ref="AB181" ca="1">IF($R181&lt;&gt;"",
INDIRECT(""&amp;IF(COLUMN(O201)&lt;=26,CHAR(COLUMN(O201)+64),CHAR(INT((COLUMN(O201)-1)/26)+64)&amp;CHAR(MOD(COLUMN(O201)-1,26)+65))&amp;$R181&amp;""),"")</f>
        <v/>
      </c>
    </row>
    <row r="182" spans="1:28" ht="22.2" customHeight="1">
      <c r="A182" s="204">
        <f t="shared" si="45"/>
        <v>89</v>
      </c>
      <c r="B182" s="203" t="e" cm="1">
        <f t="array" aca="1" ref="B182" ca="1">IF(AND(LEFT(C182,2)="博多",
LEFT(INDIRECT("数出表_Excel!A"&amp;MATCH(C182,数出表_Excel!$A:$A,0)-1),2)
=LEFT(INDIRECT("数出表_Excel!A"&amp;MATCH(C182,数出表_Excel!$A:$A,0)+1),2)),"博多",
IF(AND(LEFT(C182,3)="奈良屋",
LEFT(INDIRECT("数出表_Excel!A"&amp;MATCH(C182,数出表_Excel!$A:$A,0)-1),2)
=LEFT(INDIRECT("数出表_Excel!A"&amp;MATCH(C182,数出表_Excel!$A:$A,0)+1),2)),"奈良屋",""))</f>
        <v>#N/A</v>
      </c>
      <c r="C182" s="203" t="str" cm="1">
        <f t="array" aca="1" ref="C182" ca="1">IF(IF(クライアント抽出!A42="",0,LEN(クライアント抽出!V42)-LEN(SUBSTITUTE(クライアント抽出!V42,",","")))&gt;=3,INDIRECT("数出表_Excel!A"&amp;A182&amp;""),"")</f>
        <v/>
      </c>
      <c r="D182" s="203" t="str" cm="1">
        <f t="array" aca="1" ref="D182" ca="1">IF(C182&lt;&gt;"",INDIRECT("クライアント抽出!"&amp;E182&amp;MATCH(C182,クライアント抽出!A:A,0)&amp;""),"")</f>
        <v/>
      </c>
      <c r="E182" s="203" t="str">
        <f ca="1">IF(H182&lt;&gt;0,
IFERROR(
SUBSTITUTE(ADDRESS(1,
MATCH(VALUE(H182),クライアント抽出!A42:G42,0)+8,4),"1",""),
""),
IFERROR(
SUBSTITUTE(ADDRESS(1,
MATCH(VALUE(I182),クライアント抽出!A42:G42,0)+8,4),"1",""),
""))</f>
        <v/>
      </c>
      <c r="F182" s="206" t="str" cm="1">
        <f t="array" aca="1" ref="F182" ca="1">IF(D182&lt;&gt;"",
IF(COUNTIF(C182,"*雙葉*"),
IF(ROUND(
IF(O182&lt;&gt;"",(H182-O182),H182)
/IF(COUNTIF('盛付札（関数）'!D182,"*キャラ*"),
VLOOKUP("*キャラ*",#REF!,7,FALSE),
IF(COUNTIF('盛付札（関数）'!D182,"*赤*"),
VLOOKUP("*赤*",#REF!,7,FALSE),
VLOOKUP('盛付札（関数）'!D182,#REF!,7,FALSE))),0)&lt;=0,1,
ROUND(
IF(O182&lt;&gt;"",(H182-O182),H182)
/IF(COUNTIF('盛付札（関数）'!D182,"*キャラ*"),
VLOOKUP("*キャラ*",#REF!,7,FALSE),
IF(COUNTIF('盛付札（関数）'!D182,"*赤*"),
VLOOKUP("*赤*",#REF!,7,FALSE),
VLOOKUP('盛付札（関数）'!D182,#REF!,7,FALSE))),0)),
IF(MATCH(TRUE,
ISNUMBER(--INDIRECT("数出表_Excel!B"&amp;MATCH(C182,数出表_Excel!$A:$A,0)-1&amp;":U"&amp;MATCH(C182,数出表_Excel!$A:$A,0)-1&amp;"")),0)&gt;10,
IF(D182&lt;&gt;"",
IF(IF(COUNTIF('盛付札（関数）'!D182,"*キャラ*"),
VLOOKUP("*キャラ*",#REF!,7,FALSE),
IF(COUNTIF('盛付札（関数）'!D182,"*赤*"),
VLOOKUP("*赤*",#REF!,7,FALSE),
VLOOKUP('盛付札（関数）'!D182,#REF!,7,FALSE)))=0,"",
IF(ROUND(
IF(O182&lt;&gt;"",(H182-O182),H182)
/IF(COUNTIF('盛付札（関数）'!D182,"*キャラ*"),
VLOOKUP("*キャラ*",#REF!,7,FALSE),
IF(COUNTIF('盛付札（関数）'!D182,"*赤*"),
VLOOKUP("*赤*",#REF!,7,FALSE),
VLOOKUP('盛付札（関数）'!D182,#REF!,7,FALSE))),0)&lt;=0,1,
ROUND(
IF(O182&lt;&gt;"",(H182-O182),H182)
/IF(COUNTIF('盛付札（関数）'!D182,"*キャラ*"),
VLOOKUP("*キャラ*",#REF!,7,FALSE),
IF(COUNTIF('盛付札（関数）'!D182,"*赤*"),
VLOOKUP("*赤*",#REF!,7,FALSE),
VLOOKUP('盛付札（関数）'!D182,#REF!,7,FALSE))),0))),""),"")),"")</f>
        <v/>
      </c>
      <c r="G182" s="206" t="str">
        <f ca="1">IF(F182&lt;&gt;"",IF(VALUE(IF(O182&lt;&gt;"",H182-O182,H182))&gt;VALUE(IF(COUNTIF('盛付札（関数）'!D182,"*キャラ*"),
VLOOKUP("*キャラ*",#REF!,7,FALSE),
IF(COUNTIF('盛付札（関数）'!D182,"*赤*"),
VLOOKUP("*赤*",#REF!,7,FALSE),
VLOOKUP('盛付札（関数）'!D182,#REF!,7,FALSE)))*F182),
"+"&amp;IF(O182&lt;&gt;"",H182-O182,H182)-IF(COUNTIF('盛付札（関数）'!D182,"*キャラ*"),
VLOOKUP("*キャラ*",#REF!,7,FALSE),
IF(COUNTIF('盛付札（関数）'!D182,"*赤*"),
VLOOKUP("*赤*",#REF!,7,FALSE),
VLOOKUP('盛付札（関数）'!D182,#REF!,7,FALSE)))*F182,
IF(O182&lt;&gt;"",H182-O182,H182)-IF(COUNTIF('盛付札（関数）'!D182,"*キャラ*"),
VLOOKUP("*キャラ*",#REF!,7,FALSE),
IF(COUNTIF('盛付札（関数）'!D182,"*赤*"),
VLOOKUP("*赤*",#REF!,7,FALSE),
VLOOKUP('盛付札（関数）'!D182,#REF!,7,FALSE)))*F182),"")</f>
        <v/>
      </c>
      <c r="H182" s="205" t="str" cm="1">
        <f t="array" aca="1" ref="H182" ca="1">IF(C182&lt;&gt;"",
IF(INDIRECT("数出表_Excel!"&amp;RIGHT(SUBSTITUTE(クライアント抽出!V42,",",""),1)&amp;A182-1&amp;"")&lt;&gt;"",
INDIRECT("数出表_Excel!"&amp;RIGHT(SUBSTITUTE(クライアント抽出!V42,",",""),1)&amp;A182-1&amp;""),0),"")</f>
        <v/>
      </c>
      <c r="I182" s="203" t="str" cm="1">
        <f t="array" aca="1" ref="I182" ca="1">IF(C182&lt;&gt;"",
IF(INDIRECT("数出表_Excel!"&amp;RIGHT(SUBSTITUTE(クライアント抽出!V42,",",""),1)&amp;A182&amp;"")&lt;&gt;"",
INDIRECT("数出表_Excel!"&amp;RIGHT(SUBSTITUTE(クライアント抽出!V42,",",""),1)&amp;A182&amp;""),0),"")</f>
        <v/>
      </c>
      <c r="J182" s="203" t="str">
        <f ca="1">IF(C182&lt;&gt;"",
VLOOKUP(
IF(COUNTIF(D182,"*学食*"),"キャラ弁（学食）",
IF(COUNTIF(D182,"*赤*"),"赤",
IF(COUNTIF(D182,"*キャラ弁当*"),"キャラ弁当",D182))),注文弁当の抽出!$E$1:$F$15,2,FALSE),"")</f>
        <v/>
      </c>
      <c r="K182" s="203" t="str">
        <f t="shared" ca="1" si="46"/>
        <v/>
      </c>
      <c r="L182" s="203" t="str">
        <f t="shared" ca="1" si="47"/>
        <v/>
      </c>
      <c r="M182" s="203" cm="1">
        <f t="array" aca="1" ref="M182" ca="1">IF(C182&lt;&gt;"",
IF(IFERROR(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0)&lt;&gt;0,
IF(IFERROR(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"")="",
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""),
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0)),0),0)</f>
        <v>0</v>
      </c>
      <c r="N182" s="203" t="e">
        <f t="array" aca="1" ref="N182" ca="1">IF(B182="博多",
IF(C182&lt;&gt;"",
IF(IFERROR(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0)&lt;&gt;0,
IF(IFERROR(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0)="",
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0),
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0)),0),""),0)</f>
        <v>#N/A</v>
      </c>
      <c r="O182" s="203" t="e">
        <f t="shared" ca="1" si="48"/>
        <v>#N/A</v>
      </c>
      <c r="P182" s="203">
        <f t="shared" ca="1" si="4"/>
        <v>0</v>
      </c>
      <c r="Q182" s="203" t="b">
        <f t="shared" ca="1" si="49"/>
        <v>0</v>
      </c>
      <c r="R182" s="51" t="str" cm="1">
        <f t="array" aca="1" ref="R182" ca="1">IFERROR(SMALL(IF(P$1:P$300&lt;&gt;0,P$1:P$300),ROW(A182)),"")</f>
        <v/>
      </c>
      <c r="S182" s="51" t="str">
        <f t="array" aca="1" ref="S182" ca="1">IF($R182&lt;&gt;"",
INDIRECT(""&amp;IF(COLUMN(C202)&lt;=26,CHAR(COLUMN(C202)+64),CHAR(INT((COLUMN(C202)-1)/26)+64)&amp;CHAR(MOD(COLUMN(C202)-1,26)+65))&amp;$R182&amp;""),"")</f>
        <v/>
      </c>
      <c r="T182" s="51" t="str" cm="1">
        <f t="array" aca="1" ref="T182" ca="1">IF(IF($R182&lt;&gt;"",
INDIRECT(""&amp;IF(COLUMN(D202)&lt;=26,CHAR(COLUMN(D202)+64),CHAR(INT((COLUMN(D202)-1)/26)+64)&amp;CHAR(MOD(COLUMN(D202)-1,26)+65))&amp;$R182&amp;""),"")=0,"",
IF($R182&lt;&gt;"",
INDIRECT(""&amp;IF(COLUMN(D202)&lt;=26,CHAR(COLUMN(D202)+64),CHAR(INT((COLUMN(D202)-1)/26)+64)&amp;CHAR(MOD(COLUMN(D202)-1,26)+65))&amp;$R182&amp;""),""))</f>
        <v/>
      </c>
      <c r="U182" s="51"/>
      <c r="V182" s="51" t="str">
        <f t="array" aca="1" ref="V182" ca="1">IF($R182&lt;&gt;"",
IF(U182="",
IF(INDIRECT("EY"&amp;$R182&amp;"")&lt;&gt;"",
INDIRECT("EY"&amp;$R182&amp;"")&amp;"箱"
&amp;INDIRECT("EZ"&amp;$R182&amp;""),""),""),"")</f>
        <v/>
      </c>
      <c r="W182" s="51" t="str">
        <f t="array" aca="1" ref="W182" ca="1">IF($R182&lt;&gt;"",
INDIRECT(""&amp;IF(COLUMN(H202)&lt;=26,CHAR(COLUMN(H202)+64),CHAR(INT((COLUMN(H202)-1)/26)+64)&amp;CHAR(MOD(COLUMN(H202)-1,26)+65))&amp;$R182&amp;""),"")</f>
        <v/>
      </c>
      <c r="X182" s="51" t="str">
        <f t="array" aca="1" ref="X182" ca="1">IF($R182&lt;&gt;"",
INDIRECT(""&amp;IF(COLUMN(I202)&lt;=26,CHAR(COLUMN(I202)+64),CHAR(INT((COLUMN(I202)-1)/26)+64)&amp;CHAR(MOD(COLUMN(I202)-1,26)+65))&amp;$R182&amp;""),"")</f>
        <v/>
      </c>
      <c r="Y182" s="51" t="str">
        <f t="array" aca="1" ref="Y182" ca="1">IF($R182&lt;&gt;"",
INDIRECT(""&amp;IF(COLUMN(J202)&lt;=26,CHAR(COLUMN(J202)+64),CHAR(INT((COLUMN(J202)-1)/26)+64)&amp;CHAR(MOD(COLUMN(J202)-1,26)+65))&amp;$R182&amp;""),"")</f>
        <v/>
      </c>
      <c r="Z182" s="51" t="str">
        <f t="array" aca="1" ref="Z182" ca="1">IF($R182&lt;&gt;"",
INDIRECT(""&amp;IF(COLUMN(K202)&lt;=26,CHAR(COLUMN(K202)+64),CHAR(INT((COLUMN(K202)-1)/26)+64)&amp;CHAR(MOD(COLUMN(K202)-1,26)+65))&amp;$R182&amp;""),"")</f>
        <v/>
      </c>
      <c r="AA182" s="51" t="str">
        <f t="array" aca="1" ref="AA182" ca="1">IF($R182&lt;&gt;"",
INDIRECT(""&amp;IF(COLUMN(L202)&lt;=26,CHAR(COLUMN(L202)+64),CHAR(INT((COLUMN(L202)-1)/26)+64)&amp;CHAR(MOD(COLUMN(L202)-1,26)+65))&amp;$R182&amp;""),"")</f>
        <v/>
      </c>
      <c r="AB182" s="51" t="str">
        <f t="array" aca="1" ref="AB182" ca="1">IF($R182&lt;&gt;"",
INDIRECT(""&amp;IF(COLUMN(O202)&lt;=26,CHAR(COLUMN(O202)+64),CHAR(INT((COLUMN(O202)-1)/26)+64)&amp;CHAR(MOD(COLUMN(O202)-1,26)+65))&amp;$R182&amp;""),"")</f>
        <v/>
      </c>
    </row>
    <row r="183" spans="1:28" ht="22.2" customHeight="1">
      <c r="A183" s="204">
        <f t="shared" ref="A183:A188" si="50">A182+2</f>
        <v>91</v>
      </c>
      <c r="B183" s="203" t="e" cm="1">
        <f t="array" aca="1" ref="B183" ca="1">IF(AND(LEFT(C183,2)="博多",
LEFT(INDIRECT("数出表_Excel!A"&amp;MATCH(C183,数出表_Excel!$A:$A,0)-1),2)
=LEFT(INDIRECT("数出表_Excel!A"&amp;MATCH(C183,数出表_Excel!$A:$A,0)+1),2)),"博多",
IF(AND(LEFT(C183,3)="奈良屋",
LEFT(INDIRECT("数出表_Excel!A"&amp;MATCH(C183,数出表_Excel!$A:$A,0)-1),2)
=LEFT(INDIRECT("数出表_Excel!A"&amp;MATCH(C183,数出表_Excel!$A:$A,0)+1),2)),"奈良屋",""))</f>
        <v>#N/A</v>
      </c>
      <c r="C183" s="203" t="str" cm="1">
        <f t="array" aca="1" ref="C183" ca="1">IF(IF(クライアント抽出!A43="",0,LEN(クライアント抽出!V43)-LEN(SUBSTITUTE(クライアント抽出!V43,",","")))&gt;=3,INDIRECT("数出表_Excel!A"&amp;A183&amp;""),"")</f>
        <v/>
      </c>
      <c r="D183" s="203" t="str" cm="1">
        <f t="array" aca="1" ref="D183" ca="1">IF(C183&lt;&gt;"",INDIRECT("クライアント抽出!"&amp;E183&amp;MATCH(C183,クライアント抽出!A:A,0)&amp;""),"")</f>
        <v/>
      </c>
      <c r="E183" s="203" t="str">
        <f ca="1">IF(H183&lt;&gt;0,
IFERROR(
SUBSTITUTE(ADDRESS(1,
MATCH(VALUE(H183),クライアント抽出!A43:G43,0)+8,4),"1",""),
""),
IFERROR(
SUBSTITUTE(ADDRESS(1,
MATCH(VALUE(I183),クライアント抽出!A43:G43,0)+8,4),"1",""),
""))</f>
        <v/>
      </c>
      <c r="F183" s="206" t="str" cm="1">
        <f t="array" aca="1" ref="F183" ca="1">IF(D183&lt;&gt;"",
IF(COUNTIF(C183,"*雙葉*"),
IF(ROUND(
IF(O183&lt;&gt;"",(H183-O183),H183)
/IF(COUNTIF('盛付札（関数）'!D183,"*キャラ*"),
VLOOKUP("*キャラ*",#REF!,7,FALSE),
IF(COUNTIF('盛付札（関数）'!D183,"*赤*"),
VLOOKUP("*赤*",#REF!,7,FALSE),
VLOOKUP('盛付札（関数）'!D183,#REF!,7,FALSE))),0)&lt;=0,1,
ROUND(
IF(O183&lt;&gt;"",(H183-O183),H183)
/IF(COUNTIF('盛付札（関数）'!D183,"*キャラ*"),
VLOOKUP("*キャラ*",#REF!,7,FALSE),
IF(COUNTIF('盛付札（関数）'!D183,"*赤*"),
VLOOKUP("*赤*",#REF!,7,FALSE),
VLOOKUP('盛付札（関数）'!D183,#REF!,7,FALSE))),0)),
IF(MATCH(TRUE,
ISNUMBER(--INDIRECT("数出表_Excel!B"&amp;MATCH(C183,数出表_Excel!$A:$A,0)-1&amp;":U"&amp;MATCH(C183,数出表_Excel!$A:$A,0)-1&amp;"")),0)&gt;10,
IF(D183&lt;&gt;"",
IF(IF(COUNTIF('盛付札（関数）'!D183,"*キャラ*"),
VLOOKUP("*キャラ*",#REF!,7,FALSE),
IF(COUNTIF('盛付札（関数）'!D183,"*赤*"),
VLOOKUP("*赤*",#REF!,7,FALSE),
VLOOKUP('盛付札（関数）'!D183,#REF!,7,FALSE)))=0,"",
IF(ROUND(
IF(O183&lt;&gt;"",(H183-O183),H183)
/IF(COUNTIF('盛付札（関数）'!D183,"*キャラ*"),
VLOOKUP("*キャラ*",#REF!,7,FALSE),
IF(COUNTIF('盛付札（関数）'!D183,"*赤*"),
VLOOKUP("*赤*",#REF!,7,FALSE),
VLOOKUP('盛付札（関数）'!D183,#REF!,7,FALSE))),0)&lt;=0,1,
ROUND(
IF(O183&lt;&gt;"",(H183-O183),H183)
/IF(COUNTIF('盛付札（関数）'!D183,"*キャラ*"),
VLOOKUP("*キャラ*",#REF!,7,FALSE),
IF(COUNTIF('盛付札（関数）'!D183,"*赤*"),
VLOOKUP("*赤*",#REF!,7,FALSE),
VLOOKUP('盛付札（関数）'!D183,#REF!,7,FALSE))),0))),""),"")),"")</f>
        <v/>
      </c>
      <c r="G183" s="206" t="str">
        <f ca="1">IF(F183&lt;&gt;"",IF(VALUE(IF(O183&lt;&gt;"",H183-O183,H183))&gt;VALUE(IF(COUNTIF('盛付札（関数）'!D183,"*キャラ*"),
VLOOKUP("*キャラ*",#REF!,7,FALSE),
IF(COUNTIF('盛付札（関数）'!D183,"*赤*"),
VLOOKUP("*赤*",#REF!,7,FALSE),
VLOOKUP('盛付札（関数）'!D183,#REF!,7,FALSE)))*F183),
"+"&amp;IF(O183&lt;&gt;"",H183-O183,H183)-IF(COUNTIF('盛付札（関数）'!D183,"*キャラ*"),
VLOOKUP("*キャラ*",#REF!,7,FALSE),
IF(COUNTIF('盛付札（関数）'!D183,"*赤*"),
VLOOKUP("*赤*",#REF!,7,FALSE),
VLOOKUP('盛付札（関数）'!D183,#REF!,7,FALSE)))*F183,
IF(O183&lt;&gt;"",H183-O183,H183)-IF(COUNTIF('盛付札（関数）'!D183,"*キャラ*"),
VLOOKUP("*キャラ*",#REF!,7,FALSE),
IF(COUNTIF('盛付札（関数）'!D183,"*赤*"),
VLOOKUP("*赤*",#REF!,7,FALSE),
VLOOKUP('盛付札（関数）'!D183,#REF!,7,FALSE)))*F183),"")</f>
        <v/>
      </c>
      <c r="H183" s="205" t="str" cm="1">
        <f t="array" aca="1" ref="H183" ca="1">IF(C183&lt;&gt;"",
IF(INDIRECT("数出表_Excel!"&amp;RIGHT(SUBSTITUTE(クライアント抽出!V43,",",""),1)&amp;A183-1&amp;"")&lt;&gt;"",
INDIRECT("数出表_Excel!"&amp;RIGHT(SUBSTITUTE(クライアント抽出!V43,",",""),1)&amp;A183-1&amp;""),0),"")</f>
        <v/>
      </c>
      <c r="I183" s="203" t="str" cm="1">
        <f t="array" aca="1" ref="I183" ca="1">IF(C183&lt;&gt;"",
IF(INDIRECT("数出表_Excel!"&amp;RIGHT(SUBSTITUTE(クライアント抽出!V43,",",""),1)&amp;A183&amp;"")&lt;&gt;"",
INDIRECT("数出表_Excel!"&amp;RIGHT(SUBSTITUTE(クライアント抽出!V43,",",""),1)&amp;A183&amp;""),0),"")</f>
        <v/>
      </c>
      <c r="J183" s="203" t="str">
        <f ca="1">IF(C183&lt;&gt;"",
VLOOKUP(
IF(COUNTIF(D183,"*学食*"),"キャラ弁（学食）",
IF(COUNTIF(D183,"*赤*"),"赤",
IF(COUNTIF(D183,"*キャラ弁当*"),"キャラ弁当",D183))),注文弁当の抽出!$E$1:$F$15,2,FALSE),"")</f>
        <v/>
      </c>
      <c r="K183" s="203" t="str">
        <f t="shared" ref="K183:K188" ca="1" si="51">IF(C183&lt;&gt;"",
IFERROR(INT(H183/J183),""),"")</f>
        <v/>
      </c>
      <c r="L183" s="203" t="str">
        <f t="shared" ref="L183:L188" ca="1" si="52">IFERROR(MOD(H183,J183),"")</f>
        <v/>
      </c>
      <c r="M183" s="203" cm="1">
        <f t="array" aca="1" ref="M183" ca="1">IF(C183&lt;&gt;"",
IF(IFERROR(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0)&lt;&gt;0,
IF(IFERROR(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"")="",
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""),
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0)),0),0)</f>
        <v>0</v>
      </c>
      <c r="N183" s="203" t="e">
        <f t="array" aca="1" ref="N183" ca="1">IF(B183="博多",
IF(C183&lt;&gt;"",
IF(IFERROR(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0)&lt;&gt;0,
IF(IFERROR(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0)="",
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0),
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0)),0),""),0)</f>
        <v>#N/A</v>
      </c>
      <c r="O183" s="203" t="e">
        <f t="shared" ref="O183:O188" ca="1" si="53">M183+N183</f>
        <v>#N/A</v>
      </c>
      <c r="P183" s="203">
        <f t="shared" ca="1" si="4"/>
        <v>0</v>
      </c>
      <c r="Q183" s="203" t="b">
        <f t="shared" ref="Q183:Q188" ca="1" si="54">IF(C183&lt;&gt;"",TRUE,FALSE)</f>
        <v>0</v>
      </c>
      <c r="R183" s="51" t="str" cm="1">
        <f t="array" aca="1" ref="R183" ca="1">IFERROR(SMALL(IF(P$1:P$300&lt;&gt;0,P$1:P$300),ROW(A183)),"")</f>
        <v/>
      </c>
      <c r="S183" s="51" t="str">
        <f t="array" aca="1" ref="S183" ca="1">IF($R183&lt;&gt;"",
INDIRECT(""&amp;IF(COLUMN(C203)&lt;=26,CHAR(COLUMN(C203)+64),CHAR(INT((COLUMN(C203)-1)/26)+64)&amp;CHAR(MOD(COLUMN(C203)-1,26)+65))&amp;$R183&amp;""),"")</f>
        <v/>
      </c>
      <c r="T183" s="51" t="str" cm="1">
        <f t="array" aca="1" ref="T183" ca="1">IF(IF($R183&lt;&gt;"",
INDIRECT(""&amp;IF(COLUMN(D203)&lt;=26,CHAR(COLUMN(D203)+64),CHAR(INT((COLUMN(D203)-1)/26)+64)&amp;CHAR(MOD(COLUMN(D203)-1,26)+65))&amp;$R183&amp;""),"")=0,"",
IF($R183&lt;&gt;"",
INDIRECT(""&amp;IF(COLUMN(D203)&lt;=26,CHAR(COLUMN(D203)+64),CHAR(INT((COLUMN(D203)-1)/26)+64)&amp;CHAR(MOD(COLUMN(D203)-1,26)+65))&amp;$R183&amp;""),""))</f>
        <v/>
      </c>
      <c r="U183" s="51"/>
      <c r="V183" s="51" t="str">
        <f t="array" aca="1" ref="V183" ca="1">IF($R183&lt;&gt;"",
IF(U183="",
IF(INDIRECT("EY"&amp;$R183&amp;"")&lt;&gt;"",
INDIRECT("EY"&amp;$R183&amp;"")&amp;"箱"
&amp;INDIRECT("EZ"&amp;$R183&amp;""),""),""),"")</f>
        <v/>
      </c>
      <c r="W183" s="51" t="str">
        <f t="array" aca="1" ref="W183" ca="1">IF($R183&lt;&gt;"",
INDIRECT(""&amp;IF(COLUMN(H203)&lt;=26,CHAR(COLUMN(H203)+64),CHAR(INT((COLUMN(H203)-1)/26)+64)&amp;CHAR(MOD(COLUMN(H203)-1,26)+65))&amp;$R183&amp;""),"")</f>
        <v/>
      </c>
      <c r="X183" s="51" t="str">
        <f t="array" aca="1" ref="X183" ca="1">IF($R183&lt;&gt;"",
INDIRECT(""&amp;IF(COLUMN(I203)&lt;=26,CHAR(COLUMN(I203)+64),CHAR(INT((COLUMN(I203)-1)/26)+64)&amp;CHAR(MOD(COLUMN(I203)-1,26)+65))&amp;$R183&amp;""),"")</f>
        <v/>
      </c>
      <c r="Y183" s="51" t="str">
        <f t="array" aca="1" ref="Y183" ca="1">IF($R183&lt;&gt;"",
INDIRECT(""&amp;IF(COLUMN(J203)&lt;=26,CHAR(COLUMN(J203)+64),CHAR(INT((COLUMN(J203)-1)/26)+64)&amp;CHAR(MOD(COLUMN(J203)-1,26)+65))&amp;$R183&amp;""),"")</f>
        <v/>
      </c>
      <c r="Z183" s="51" t="str">
        <f t="array" aca="1" ref="Z183" ca="1">IF($R183&lt;&gt;"",
INDIRECT(""&amp;IF(COLUMN(K203)&lt;=26,CHAR(COLUMN(K203)+64),CHAR(INT((COLUMN(K203)-1)/26)+64)&amp;CHAR(MOD(COLUMN(K203)-1,26)+65))&amp;$R183&amp;""),"")</f>
        <v/>
      </c>
      <c r="AA183" s="51" t="str">
        <f t="array" aca="1" ref="AA183" ca="1">IF($R183&lt;&gt;"",
INDIRECT(""&amp;IF(COLUMN(L203)&lt;=26,CHAR(COLUMN(L203)+64),CHAR(INT((COLUMN(L203)-1)/26)+64)&amp;CHAR(MOD(COLUMN(L203)-1,26)+65))&amp;$R183&amp;""),"")</f>
        <v/>
      </c>
      <c r="AB183" s="51" t="str">
        <f t="array" aca="1" ref="AB183" ca="1">IF($R183&lt;&gt;"",
INDIRECT(""&amp;IF(COLUMN(O203)&lt;=26,CHAR(COLUMN(O203)+64),CHAR(INT((COLUMN(O203)-1)/26)+64)&amp;CHAR(MOD(COLUMN(O203)-1,26)+65))&amp;$R183&amp;""),"")</f>
        <v/>
      </c>
    </row>
    <row r="184" spans="1:28" ht="22.2" customHeight="1">
      <c r="A184" s="204">
        <f t="shared" si="50"/>
        <v>93</v>
      </c>
      <c r="B184" s="203" t="e" cm="1">
        <f t="array" aca="1" ref="B184" ca="1">IF(AND(LEFT(C184,2)="博多",
LEFT(INDIRECT("数出表_Excel!A"&amp;MATCH(C184,数出表_Excel!$A:$A,0)-1),2)
=LEFT(INDIRECT("数出表_Excel!A"&amp;MATCH(C184,数出表_Excel!$A:$A,0)+1),2)),"博多",
IF(AND(LEFT(C184,3)="奈良屋",
LEFT(INDIRECT("数出表_Excel!A"&amp;MATCH(C184,数出表_Excel!$A:$A,0)-1),2)
=LEFT(INDIRECT("数出表_Excel!A"&amp;MATCH(C184,数出表_Excel!$A:$A,0)+1),2)),"奈良屋",""))</f>
        <v>#N/A</v>
      </c>
      <c r="C184" s="203" t="str" cm="1">
        <f t="array" aca="1" ref="C184" ca="1">IF(IF(クライアント抽出!A44="",0,LEN(クライアント抽出!V44)-LEN(SUBSTITUTE(クライアント抽出!V44,",","")))&gt;=3,INDIRECT("数出表_Excel!A"&amp;A184&amp;""),"")</f>
        <v/>
      </c>
      <c r="D184" s="203" t="str" cm="1">
        <f t="array" aca="1" ref="D184" ca="1">IF(C184&lt;&gt;"",INDIRECT("クライアント抽出!"&amp;E184&amp;MATCH(C184,クライアント抽出!A:A,0)&amp;""),"")</f>
        <v/>
      </c>
      <c r="E184" s="203" t="str">
        <f ca="1">IF(H184&lt;&gt;0,
IFERROR(
SUBSTITUTE(ADDRESS(1,
MATCH(VALUE(H184),クライアント抽出!A44:G44,0)+8,4),"1",""),
""),
IFERROR(
SUBSTITUTE(ADDRESS(1,
MATCH(VALUE(I184),クライアント抽出!A44:G44,0)+8,4),"1",""),
""))</f>
        <v/>
      </c>
      <c r="F184" s="206" t="str" cm="1">
        <f t="array" aca="1" ref="F184" ca="1">IF(D184&lt;&gt;"",
IF(COUNTIF(C184,"*雙葉*"),
IF(ROUND(
IF(O184&lt;&gt;"",(H184-O184),H184)
/IF(COUNTIF('盛付札（関数）'!D184,"*キャラ*"),
VLOOKUP("*キャラ*",#REF!,7,FALSE),
IF(COUNTIF('盛付札（関数）'!D184,"*赤*"),
VLOOKUP("*赤*",#REF!,7,FALSE),
VLOOKUP('盛付札（関数）'!D184,#REF!,7,FALSE))),0)&lt;=0,1,
ROUND(
IF(O184&lt;&gt;"",(H184-O184),H184)
/IF(COUNTIF('盛付札（関数）'!D184,"*キャラ*"),
VLOOKUP("*キャラ*",#REF!,7,FALSE),
IF(COUNTIF('盛付札（関数）'!D184,"*赤*"),
VLOOKUP("*赤*",#REF!,7,FALSE),
VLOOKUP('盛付札（関数）'!D184,#REF!,7,FALSE))),0)),
IF(MATCH(TRUE,
ISNUMBER(--INDIRECT("数出表_Excel!B"&amp;MATCH(C184,数出表_Excel!$A:$A,0)-1&amp;":U"&amp;MATCH(C184,数出表_Excel!$A:$A,0)-1&amp;"")),0)&gt;10,
IF(D184&lt;&gt;"",
IF(IF(COUNTIF('盛付札（関数）'!D184,"*キャラ*"),
VLOOKUP("*キャラ*",#REF!,7,FALSE),
IF(COUNTIF('盛付札（関数）'!D184,"*赤*"),
VLOOKUP("*赤*",#REF!,7,FALSE),
VLOOKUP('盛付札（関数）'!D184,#REF!,7,FALSE)))=0,"",
IF(ROUND(
IF(O184&lt;&gt;"",(H184-O184),H184)
/IF(COUNTIF('盛付札（関数）'!D184,"*キャラ*"),
VLOOKUP("*キャラ*",#REF!,7,FALSE),
IF(COUNTIF('盛付札（関数）'!D184,"*赤*"),
VLOOKUP("*赤*",#REF!,7,FALSE),
VLOOKUP('盛付札（関数）'!D184,#REF!,7,FALSE))),0)&lt;=0,1,
ROUND(
IF(O184&lt;&gt;"",(H184-O184),H184)
/IF(COUNTIF('盛付札（関数）'!D184,"*キャラ*"),
VLOOKUP("*キャラ*",#REF!,7,FALSE),
IF(COUNTIF('盛付札（関数）'!D184,"*赤*"),
VLOOKUP("*赤*",#REF!,7,FALSE),
VLOOKUP('盛付札（関数）'!D184,#REF!,7,FALSE))),0))),""),"")),"")</f>
        <v/>
      </c>
      <c r="G184" s="206" t="str">
        <f ca="1">IF(F184&lt;&gt;"",IF(VALUE(IF(O184&lt;&gt;"",H184-O184,H184))&gt;VALUE(IF(COUNTIF('盛付札（関数）'!D184,"*キャラ*"),
VLOOKUP("*キャラ*",#REF!,7,FALSE),
IF(COUNTIF('盛付札（関数）'!D184,"*赤*"),
VLOOKUP("*赤*",#REF!,7,FALSE),
VLOOKUP('盛付札（関数）'!D184,#REF!,7,FALSE)))*F184),
"+"&amp;IF(O184&lt;&gt;"",H184-O184,H184)-IF(COUNTIF('盛付札（関数）'!D184,"*キャラ*"),
VLOOKUP("*キャラ*",#REF!,7,FALSE),
IF(COUNTIF('盛付札（関数）'!D184,"*赤*"),
VLOOKUP("*赤*",#REF!,7,FALSE),
VLOOKUP('盛付札（関数）'!D184,#REF!,7,FALSE)))*F184,
IF(O184&lt;&gt;"",H184-O184,H184)-IF(COUNTIF('盛付札（関数）'!D184,"*キャラ*"),
VLOOKUP("*キャラ*",#REF!,7,FALSE),
IF(COUNTIF('盛付札（関数）'!D184,"*赤*"),
VLOOKUP("*赤*",#REF!,7,FALSE),
VLOOKUP('盛付札（関数）'!D184,#REF!,7,FALSE)))*F184),"")</f>
        <v/>
      </c>
      <c r="H184" s="205" t="str" cm="1">
        <f t="array" aca="1" ref="H184" ca="1">IF(C184&lt;&gt;"",
IF(INDIRECT("数出表_Excel!"&amp;RIGHT(SUBSTITUTE(クライアント抽出!V44,",",""),1)&amp;A184-1&amp;"")&lt;&gt;"",
INDIRECT("数出表_Excel!"&amp;RIGHT(SUBSTITUTE(クライアント抽出!V44,",",""),1)&amp;A184-1&amp;""),0),"")</f>
        <v/>
      </c>
      <c r="I184" s="203" t="str" cm="1">
        <f t="array" aca="1" ref="I184" ca="1">IF(C184&lt;&gt;"",
IF(INDIRECT("数出表_Excel!"&amp;RIGHT(SUBSTITUTE(クライアント抽出!V44,",",""),1)&amp;A184&amp;"")&lt;&gt;"",
INDIRECT("数出表_Excel!"&amp;RIGHT(SUBSTITUTE(クライアント抽出!V44,",",""),1)&amp;A184&amp;""),0),"")</f>
        <v/>
      </c>
      <c r="J184" s="203" t="str">
        <f ca="1">IF(C184&lt;&gt;"",
VLOOKUP(
IF(COUNTIF(D184,"*学食*"),"キャラ弁（学食）",
IF(COUNTIF(D184,"*赤*"),"赤",
IF(COUNTIF(D184,"*キャラ弁当*"),"キャラ弁当",D184))),注文弁当の抽出!$E$1:$F$15,2,FALSE),"")</f>
        <v/>
      </c>
      <c r="K184" s="203" t="str">
        <f t="shared" ca="1" si="51"/>
        <v/>
      </c>
      <c r="L184" s="203" t="str">
        <f t="shared" ca="1" si="52"/>
        <v/>
      </c>
      <c r="M184" s="203" cm="1">
        <f t="array" aca="1" ref="M184" ca="1">IF(C184&lt;&gt;"",
IF(IFERROR(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0)&lt;&gt;0,
IF(IFERROR(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"")="",
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""),
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0)),0),0)</f>
        <v>0</v>
      </c>
      <c r="N184" s="203" t="e">
        <f t="array" aca="1" ref="N184" ca="1">IF(B184="博多",
IF(C184&lt;&gt;"",
IF(IFERROR(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0)&lt;&gt;0,
IF(IFERROR(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0)="",
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0),
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0)),0),""),0)</f>
        <v>#N/A</v>
      </c>
      <c r="O184" s="203" t="e">
        <f t="shared" ca="1" si="53"/>
        <v>#N/A</v>
      </c>
      <c r="P184" s="203">
        <f t="shared" ca="1" si="4"/>
        <v>0</v>
      </c>
      <c r="Q184" s="203" t="b">
        <f t="shared" ca="1" si="54"/>
        <v>0</v>
      </c>
      <c r="R184" s="51" t="str" cm="1">
        <f t="array" aca="1" ref="R184" ca="1">IFERROR(SMALL(IF(P$1:P$300&lt;&gt;0,P$1:P$300),ROW(A184)),"")</f>
        <v/>
      </c>
      <c r="S184" s="51" t="str">
        <f t="array" aca="1" ref="S184" ca="1">IF($R184&lt;&gt;"",
INDIRECT(""&amp;IF(COLUMN(C204)&lt;=26,CHAR(COLUMN(C204)+64),CHAR(INT((COLUMN(C204)-1)/26)+64)&amp;CHAR(MOD(COLUMN(C204)-1,26)+65))&amp;$R184&amp;""),"")</f>
        <v/>
      </c>
      <c r="T184" s="51" t="str" cm="1">
        <f t="array" aca="1" ref="T184" ca="1">IF(IF($R184&lt;&gt;"",
INDIRECT(""&amp;IF(COLUMN(D204)&lt;=26,CHAR(COLUMN(D204)+64),CHAR(INT((COLUMN(D204)-1)/26)+64)&amp;CHAR(MOD(COLUMN(D204)-1,26)+65))&amp;$R184&amp;""),"")=0,"",
IF($R184&lt;&gt;"",
INDIRECT(""&amp;IF(COLUMN(D204)&lt;=26,CHAR(COLUMN(D204)+64),CHAR(INT((COLUMN(D204)-1)/26)+64)&amp;CHAR(MOD(COLUMN(D204)-1,26)+65))&amp;$R184&amp;""),""))</f>
        <v/>
      </c>
      <c r="U184" s="51"/>
      <c r="V184" s="51" t="str">
        <f t="array" aca="1" ref="V184" ca="1">IF($R184&lt;&gt;"",
IF(U184="",
IF(INDIRECT("EY"&amp;$R184&amp;"")&lt;&gt;"",
INDIRECT("EY"&amp;$R184&amp;"")&amp;"箱"
&amp;INDIRECT("EZ"&amp;$R184&amp;""),""),""),"")</f>
        <v/>
      </c>
      <c r="W184" s="51" t="str">
        <f t="array" aca="1" ref="W184" ca="1">IF($R184&lt;&gt;"",
INDIRECT(""&amp;IF(COLUMN(H204)&lt;=26,CHAR(COLUMN(H204)+64),CHAR(INT((COLUMN(H204)-1)/26)+64)&amp;CHAR(MOD(COLUMN(H204)-1,26)+65))&amp;$R184&amp;""),"")</f>
        <v/>
      </c>
      <c r="X184" s="51" t="str">
        <f t="array" aca="1" ref="X184" ca="1">IF($R184&lt;&gt;"",
INDIRECT(""&amp;IF(COLUMN(I204)&lt;=26,CHAR(COLUMN(I204)+64),CHAR(INT((COLUMN(I204)-1)/26)+64)&amp;CHAR(MOD(COLUMN(I204)-1,26)+65))&amp;$R184&amp;""),"")</f>
        <v/>
      </c>
      <c r="Y184" s="51" t="str">
        <f t="array" aca="1" ref="Y184" ca="1">IF($R184&lt;&gt;"",
INDIRECT(""&amp;IF(COLUMN(J204)&lt;=26,CHAR(COLUMN(J204)+64),CHAR(INT((COLUMN(J204)-1)/26)+64)&amp;CHAR(MOD(COLUMN(J204)-1,26)+65))&amp;$R184&amp;""),"")</f>
        <v/>
      </c>
      <c r="Z184" s="51" t="str">
        <f t="array" aca="1" ref="Z184" ca="1">IF($R184&lt;&gt;"",
INDIRECT(""&amp;IF(COLUMN(K204)&lt;=26,CHAR(COLUMN(K204)+64),CHAR(INT((COLUMN(K204)-1)/26)+64)&amp;CHAR(MOD(COLUMN(K204)-1,26)+65))&amp;$R184&amp;""),"")</f>
        <v/>
      </c>
      <c r="AA184" s="51" t="str">
        <f t="array" aca="1" ref="AA184" ca="1">IF($R184&lt;&gt;"",
INDIRECT(""&amp;IF(COLUMN(L204)&lt;=26,CHAR(COLUMN(L204)+64),CHAR(INT((COLUMN(L204)-1)/26)+64)&amp;CHAR(MOD(COLUMN(L204)-1,26)+65))&amp;$R184&amp;""),"")</f>
        <v/>
      </c>
      <c r="AB184" s="51" t="str">
        <f t="array" aca="1" ref="AB184" ca="1">IF($R184&lt;&gt;"",
INDIRECT(""&amp;IF(COLUMN(O204)&lt;=26,CHAR(COLUMN(O204)+64),CHAR(INT((COLUMN(O204)-1)/26)+64)&amp;CHAR(MOD(COLUMN(O204)-1,26)+65))&amp;$R184&amp;""),"")</f>
        <v/>
      </c>
    </row>
    <row r="185" spans="1:28" ht="22.2" customHeight="1">
      <c r="A185" s="204">
        <f t="shared" si="50"/>
        <v>95</v>
      </c>
      <c r="B185" s="203" t="e" cm="1">
        <f t="array" aca="1" ref="B185" ca="1">IF(AND(LEFT(C185,2)="博多",
LEFT(INDIRECT("数出表_Excel!A"&amp;MATCH(C185,数出表_Excel!$A:$A,0)-1),2)
=LEFT(INDIRECT("数出表_Excel!A"&amp;MATCH(C185,数出表_Excel!$A:$A,0)+1),2)),"博多",
IF(AND(LEFT(C185,3)="奈良屋",
LEFT(INDIRECT("数出表_Excel!A"&amp;MATCH(C185,数出表_Excel!$A:$A,0)-1),2)
=LEFT(INDIRECT("数出表_Excel!A"&amp;MATCH(C185,数出表_Excel!$A:$A,0)+1),2)),"奈良屋",""))</f>
        <v>#N/A</v>
      </c>
      <c r="C185" s="203" t="str" cm="1">
        <f t="array" aca="1" ref="C185" ca="1">IF(IF(クライアント抽出!A45="",0,LEN(クライアント抽出!V45)-LEN(SUBSTITUTE(クライアント抽出!V45,",","")))&gt;=3,INDIRECT("数出表_Excel!A"&amp;A185&amp;""),"")</f>
        <v/>
      </c>
      <c r="D185" s="203" t="str" cm="1">
        <f t="array" aca="1" ref="D185" ca="1">IF(C185&lt;&gt;"",INDIRECT("クライアント抽出!"&amp;E185&amp;MATCH(C185,クライアント抽出!A:A,0)&amp;""),"")</f>
        <v/>
      </c>
      <c r="E185" s="203" t="str">
        <f ca="1">IF(H185&lt;&gt;0,
IFERROR(
SUBSTITUTE(ADDRESS(1,
MATCH(VALUE(H185),クライアント抽出!A45:G45,0)+8,4),"1",""),
""),
IFERROR(
SUBSTITUTE(ADDRESS(1,
MATCH(VALUE(I185),クライアント抽出!A45:G45,0)+8,4),"1",""),
""))</f>
        <v/>
      </c>
      <c r="F185" s="206" t="str" cm="1">
        <f t="array" aca="1" ref="F185" ca="1">IF(D185&lt;&gt;"",
IF(COUNTIF(C185,"*雙葉*"),
IF(ROUND(
IF(O185&lt;&gt;"",(H185-O185),H185)
/IF(COUNTIF('盛付札（関数）'!D185,"*キャラ*"),
VLOOKUP("*キャラ*",#REF!,7,FALSE),
IF(COUNTIF('盛付札（関数）'!D185,"*赤*"),
VLOOKUP("*赤*",#REF!,7,FALSE),
VLOOKUP('盛付札（関数）'!D185,#REF!,7,FALSE))),0)&lt;=0,1,
ROUND(
IF(O185&lt;&gt;"",(H185-O185),H185)
/IF(COUNTIF('盛付札（関数）'!D185,"*キャラ*"),
VLOOKUP("*キャラ*",#REF!,7,FALSE),
IF(COUNTIF('盛付札（関数）'!D185,"*赤*"),
VLOOKUP("*赤*",#REF!,7,FALSE),
VLOOKUP('盛付札（関数）'!D185,#REF!,7,FALSE))),0)),
IF(MATCH(TRUE,
ISNUMBER(--INDIRECT("数出表_Excel!B"&amp;MATCH(C185,数出表_Excel!$A:$A,0)-1&amp;":U"&amp;MATCH(C185,数出表_Excel!$A:$A,0)-1&amp;"")),0)&gt;10,
IF(D185&lt;&gt;"",
IF(IF(COUNTIF('盛付札（関数）'!D185,"*キャラ*"),
VLOOKUP("*キャラ*",#REF!,7,FALSE),
IF(COUNTIF('盛付札（関数）'!D185,"*赤*"),
VLOOKUP("*赤*",#REF!,7,FALSE),
VLOOKUP('盛付札（関数）'!D185,#REF!,7,FALSE)))=0,"",
IF(ROUND(
IF(O185&lt;&gt;"",(H185-O185),H185)
/IF(COUNTIF('盛付札（関数）'!D185,"*キャラ*"),
VLOOKUP("*キャラ*",#REF!,7,FALSE),
IF(COUNTIF('盛付札（関数）'!D185,"*赤*"),
VLOOKUP("*赤*",#REF!,7,FALSE),
VLOOKUP('盛付札（関数）'!D185,#REF!,7,FALSE))),0)&lt;=0,1,
ROUND(
IF(O185&lt;&gt;"",(H185-O185),H185)
/IF(COUNTIF('盛付札（関数）'!D185,"*キャラ*"),
VLOOKUP("*キャラ*",#REF!,7,FALSE),
IF(COUNTIF('盛付札（関数）'!D185,"*赤*"),
VLOOKUP("*赤*",#REF!,7,FALSE),
VLOOKUP('盛付札（関数）'!D185,#REF!,7,FALSE))),0))),""),"")),"")</f>
        <v/>
      </c>
      <c r="G185" s="206" t="str">
        <f ca="1">IF(F185&lt;&gt;"",IF(VALUE(IF(O185&lt;&gt;"",H185-O185,H185))&gt;VALUE(IF(COUNTIF('盛付札（関数）'!D185,"*キャラ*"),
VLOOKUP("*キャラ*",#REF!,7,FALSE),
IF(COUNTIF('盛付札（関数）'!D185,"*赤*"),
VLOOKUP("*赤*",#REF!,7,FALSE),
VLOOKUP('盛付札（関数）'!D185,#REF!,7,FALSE)))*F185),
"+"&amp;IF(O185&lt;&gt;"",H185-O185,H185)-IF(COUNTIF('盛付札（関数）'!D185,"*キャラ*"),
VLOOKUP("*キャラ*",#REF!,7,FALSE),
IF(COUNTIF('盛付札（関数）'!D185,"*赤*"),
VLOOKUP("*赤*",#REF!,7,FALSE),
VLOOKUP('盛付札（関数）'!D185,#REF!,7,FALSE)))*F185,
IF(O185&lt;&gt;"",H185-O185,H185)-IF(COUNTIF('盛付札（関数）'!D185,"*キャラ*"),
VLOOKUP("*キャラ*",#REF!,7,FALSE),
IF(COUNTIF('盛付札（関数）'!D185,"*赤*"),
VLOOKUP("*赤*",#REF!,7,FALSE),
VLOOKUP('盛付札（関数）'!D185,#REF!,7,FALSE)))*F185),"")</f>
        <v/>
      </c>
      <c r="H185" s="205" t="str" cm="1">
        <f t="array" aca="1" ref="H185" ca="1">IF(C185&lt;&gt;"",
IF(INDIRECT("数出表_Excel!"&amp;RIGHT(SUBSTITUTE(クライアント抽出!V45,",",""),1)&amp;A185-1&amp;"")&lt;&gt;"",
INDIRECT("数出表_Excel!"&amp;RIGHT(SUBSTITUTE(クライアント抽出!V45,",",""),1)&amp;A185-1&amp;""),0),"")</f>
        <v/>
      </c>
      <c r="I185" s="203" t="str" cm="1">
        <f t="array" aca="1" ref="I185" ca="1">IF(C185&lt;&gt;"",
IF(INDIRECT("数出表_Excel!"&amp;RIGHT(SUBSTITUTE(クライアント抽出!V45,",",""),1)&amp;A185&amp;"")&lt;&gt;"",
INDIRECT("数出表_Excel!"&amp;RIGHT(SUBSTITUTE(クライアント抽出!V45,",",""),1)&amp;A185&amp;""),0),"")</f>
        <v/>
      </c>
      <c r="J185" s="203" t="str">
        <f ca="1">IF(C185&lt;&gt;"",
VLOOKUP(
IF(COUNTIF(D185,"*学食*"),"キャラ弁（学食）",
IF(COUNTIF(D185,"*赤*"),"赤",
IF(COUNTIF(D185,"*キャラ弁当*"),"キャラ弁当",D185))),注文弁当の抽出!$E$1:$F$15,2,FALSE),"")</f>
        <v/>
      </c>
      <c r="K185" s="203" t="str">
        <f t="shared" ca="1" si="51"/>
        <v/>
      </c>
      <c r="L185" s="203" t="str">
        <f t="shared" ca="1" si="52"/>
        <v/>
      </c>
      <c r="M185" s="203" cm="1">
        <f t="array" aca="1" ref="M185" ca="1">IF(C185&lt;&gt;"",
IF(IFERROR(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0)&lt;&gt;0,
IF(IFERROR(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"")="",
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""),
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0)),0),0)</f>
        <v>0</v>
      </c>
      <c r="N185" s="203" t="e">
        <f t="array" aca="1" ref="N185" ca="1">IF(B185="博多",
IF(C185&lt;&gt;"",
IF(IFERROR(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0)&lt;&gt;0,
IF(IFERROR(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0)="",
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0),
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0)),0),""),0)</f>
        <v>#N/A</v>
      </c>
      <c r="O185" s="203" t="e">
        <f t="shared" ca="1" si="53"/>
        <v>#N/A</v>
      </c>
      <c r="P185" s="203">
        <f t="shared" ca="1" si="4"/>
        <v>0</v>
      </c>
      <c r="Q185" s="203" t="b">
        <f t="shared" ca="1" si="54"/>
        <v>0</v>
      </c>
      <c r="R185" s="51" t="str" cm="1">
        <f t="array" aca="1" ref="R185" ca="1">IFERROR(SMALL(IF(P$1:P$300&lt;&gt;0,P$1:P$300),ROW(A185)),"")</f>
        <v/>
      </c>
      <c r="S185" s="51" t="str">
        <f t="array" aca="1" ref="S185" ca="1">IF($R185&lt;&gt;"",
INDIRECT(""&amp;IF(COLUMN(C205)&lt;=26,CHAR(COLUMN(C205)+64),CHAR(INT((COLUMN(C205)-1)/26)+64)&amp;CHAR(MOD(COLUMN(C205)-1,26)+65))&amp;$R185&amp;""),"")</f>
        <v/>
      </c>
      <c r="T185" s="51" t="str" cm="1">
        <f t="array" aca="1" ref="T185" ca="1">IF(IF($R185&lt;&gt;"",
INDIRECT(""&amp;IF(COLUMN(D205)&lt;=26,CHAR(COLUMN(D205)+64),CHAR(INT((COLUMN(D205)-1)/26)+64)&amp;CHAR(MOD(COLUMN(D205)-1,26)+65))&amp;$R185&amp;""),"")=0,"",
IF($R185&lt;&gt;"",
INDIRECT(""&amp;IF(COLUMN(D205)&lt;=26,CHAR(COLUMN(D205)+64),CHAR(INT((COLUMN(D205)-1)/26)+64)&amp;CHAR(MOD(COLUMN(D205)-1,26)+65))&amp;$R185&amp;""),""))</f>
        <v/>
      </c>
      <c r="U185" s="51"/>
      <c r="V185" s="51" t="str">
        <f t="array" aca="1" ref="V185" ca="1">IF($R185&lt;&gt;"",
IF(U185="",
IF(INDIRECT("EY"&amp;$R185&amp;"")&lt;&gt;"",
INDIRECT("EY"&amp;$R185&amp;"")&amp;"箱"
&amp;INDIRECT("EZ"&amp;$R185&amp;""),""),""),"")</f>
        <v/>
      </c>
      <c r="W185" s="51" t="str">
        <f t="array" aca="1" ref="W185" ca="1">IF($R185&lt;&gt;"",
INDIRECT(""&amp;IF(COLUMN(H205)&lt;=26,CHAR(COLUMN(H205)+64),CHAR(INT((COLUMN(H205)-1)/26)+64)&amp;CHAR(MOD(COLUMN(H205)-1,26)+65))&amp;$R185&amp;""),"")</f>
        <v/>
      </c>
      <c r="X185" s="51" t="str">
        <f t="array" aca="1" ref="X185" ca="1">IF($R185&lt;&gt;"",
INDIRECT(""&amp;IF(COLUMN(I205)&lt;=26,CHAR(COLUMN(I205)+64),CHAR(INT((COLUMN(I205)-1)/26)+64)&amp;CHAR(MOD(COLUMN(I205)-1,26)+65))&amp;$R185&amp;""),"")</f>
        <v/>
      </c>
      <c r="Y185" s="51" t="str">
        <f t="array" aca="1" ref="Y185" ca="1">IF($R185&lt;&gt;"",
INDIRECT(""&amp;IF(COLUMN(J205)&lt;=26,CHAR(COLUMN(J205)+64),CHAR(INT((COLUMN(J205)-1)/26)+64)&amp;CHAR(MOD(COLUMN(J205)-1,26)+65))&amp;$R185&amp;""),"")</f>
        <v/>
      </c>
      <c r="Z185" s="51" t="str">
        <f t="array" aca="1" ref="Z185" ca="1">IF($R185&lt;&gt;"",
INDIRECT(""&amp;IF(COLUMN(K205)&lt;=26,CHAR(COLUMN(K205)+64),CHAR(INT((COLUMN(K205)-1)/26)+64)&amp;CHAR(MOD(COLUMN(K205)-1,26)+65))&amp;$R185&amp;""),"")</f>
        <v/>
      </c>
      <c r="AA185" s="51" t="str">
        <f t="array" aca="1" ref="AA185" ca="1">IF($R185&lt;&gt;"",
INDIRECT(""&amp;IF(COLUMN(L205)&lt;=26,CHAR(COLUMN(L205)+64),CHAR(INT((COLUMN(L205)-1)/26)+64)&amp;CHAR(MOD(COLUMN(L205)-1,26)+65))&amp;$R185&amp;""),"")</f>
        <v/>
      </c>
      <c r="AB185" s="51" t="str">
        <f t="array" aca="1" ref="AB185" ca="1">IF($R185&lt;&gt;"",
INDIRECT(""&amp;IF(COLUMN(O205)&lt;=26,CHAR(COLUMN(O205)+64),CHAR(INT((COLUMN(O205)-1)/26)+64)&amp;CHAR(MOD(COLUMN(O205)-1,26)+65))&amp;$R185&amp;""),"")</f>
        <v/>
      </c>
    </row>
    <row r="186" spans="1:28" ht="22.2" customHeight="1">
      <c r="A186" s="204">
        <f t="shared" si="50"/>
        <v>97</v>
      </c>
      <c r="B186" s="203" t="e" cm="1">
        <f t="array" aca="1" ref="B186" ca="1">IF(AND(LEFT(C186,2)="博多",
LEFT(INDIRECT("数出表_Excel!A"&amp;MATCH(C186,数出表_Excel!$A:$A,0)-1),2)
=LEFT(INDIRECT("数出表_Excel!A"&amp;MATCH(C186,数出表_Excel!$A:$A,0)+1),2)),"博多",
IF(AND(LEFT(C186,3)="奈良屋",
LEFT(INDIRECT("数出表_Excel!A"&amp;MATCH(C186,数出表_Excel!$A:$A,0)-1),2)
=LEFT(INDIRECT("数出表_Excel!A"&amp;MATCH(C186,数出表_Excel!$A:$A,0)+1),2)),"奈良屋",""))</f>
        <v>#N/A</v>
      </c>
      <c r="C186" s="203" t="str" cm="1">
        <f t="array" aca="1" ref="C186" ca="1">IF(IF(クライアント抽出!A46="",0,LEN(クライアント抽出!V46)-LEN(SUBSTITUTE(クライアント抽出!V46,",","")))&gt;=3,INDIRECT("数出表_Excel!A"&amp;A186&amp;""),"")</f>
        <v/>
      </c>
      <c r="D186" s="203" t="str" cm="1">
        <f t="array" aca="1" ref="D186" ca="1">IF(C186&lt;&gt;"",INDIRECT("クライアント抽出!"&amp;E186&amp;MATCH(C186,クライアント抽出!A:A,0)&amp;""),"")</f>
        <v/>
      </c>
      <c r="E186" s="203" t="str">
        <f ca="1">IF(H186&lt;&gt;0,
IFERROR(
SUBSTITUTE(ADDRESS(1,
MATCH(VALUE(H186),クライアント抽出!A46:G46,0)+8,4),"1",""),
""),
IFERROR(
SUBSTITUTE(ADDRESS(1,
MATCH(VALUE(I186),クライアント抽出!A46:G46,0)+8,4),"1",""),
""))</f>
        <v/>
      </c>
      <c r="F186" s="206" t="str" cm="1">
        <f t="array" aca="1" ref="F186" ca="1">IF(D186&lt;&gt;"",
IF(COUNTIF(C186,"*雙葉*"),
IF(ROUND(
IF(O186&lt;&gt;"",(H186-O186),H186)
/IF(COUNTIF('盛付札（関数）'!D186,"*キャラ*"),
VLOOKUP("*キャラ*",#REF!,7,FALSE),
IF(COUNTIF('盛付札（関数）'!D186,"*赤*"),
VLOOKUP("*赤*",#REF!,7,FALSE),
VLOOKUP('盛付札（関数）'!D186,#REF!,7,FALSE))),0)&lt;=0,1,
ROUND(
IF(O186&lt;&gt;"",(H186-O186),H186)
/IF(COUNTIF('盛付札（関数）'!D186,"*キャラ*"),
VLOOKUP("*キャラ*",#REF!,7,FALSE),
IF(COUNTIF('盛付札（関数）'!D186,"*赤*"),
VLOOKUP("*赤*",#REF!,7,FALSE),
VLOOKUP('盛付札（関数）'!D186,#REF!,7,FALSE))),0)),
IF(MATCH(TRUE,
ISNUMBER(--INDIRECT("数出表_Excel!B"&amp;MATCH(C186,数出表_Excel!$A:$A,0)-1&amp;":U"&amp;MATCH(C186,数出表_Excel!$A:$A,0)-1&amp;"")),0)&gt;10,
IF(D186&lt;&gt;"",
IF(IF(COUNTIF('盛付札（関数）'!D186,"*キャラ*"),
VLOOKUP("*キャラ*",#REF!,7,FALSE),
IF(COUNTIF('盛付札（関数）'!D186,"*赤*"),
VLOOKUP("*赤*",#REF!,7,FALSE),
VLOOKUP('盛付札（関数）'!D186,#REF!,7,FALSE)))=0,"",
IF(ROUND(
IF(O186&lt;&gt;"",(H186-O186),H186)
/IF(COUNTIF('盛付札（関数）'!D186,"*キャラ*"),
VLOOKUP("*キャラ*",#REF!,7,FALSE),
IF(COUNTIF('盛付札（関数）'!D186,"*赤*"),
VLOOKUP("*赤*",#REF!,7,FALSE),
VLOOKUP('盛付札（関数）'!D186,#REF!,7,FALSE))),0)&lt;=0,1,
ROUND(
IF(O186&lt;&gt;"",(H186-O186),H186)
/IF(COUNTIF('盛付札（関数）'!D186,"*キャラ*"),
VLOOKUP("*キャラ*",#REF!,7,FALSE),
IF(COUNTIF('盛付札（関数）'!D186,"*赤*"),
VLOOKUP("*赤*",#REF!,7,FALSE),
VLOOKUP('盛付札（関数）'!D186,#REF!,7,FALSE))),0))),""),"")),"")</f>
        <v/>
      </c>
      <c r="G186" s="206" t="str">
        <f ca="1">IF(F186&lt;&gt;"",IF(VALUE(IF(O186&lt;&gt;"",H186-O186,H186))&gt;VALUE(IF(COUNTIF('盛付札（関数）'!D186,"*キャラ*"),
VLOOKUP("*キャラ*",#REF!,7,FALSE),
IF(COUNTIF('盛付札（関数）'!D186,"*赤*"),
VLOOKUP("*赤*",#REF!,7,FALSE),
VLOOKUP('盛付札（関数）'!D186,#REF!,7,FALSE)))*F186),
"+"&amp;IF(O186&lt;&gt;"",H186-O186,H186)-IF(COUNTIF('盛付札（関数）'!D186,"*キャラ*"),
VLOOKUP("*キャラ*",#REF!,7,FALSE),
IF(COUNTIF('盛付札（関数）'!D186,"*赤*"),
VLOOKUP("*赤*",#REF!,7,FALSE),
VLOOKUP('盛付札（関数）'!D186,#REF!,7,FALSE)))*F186,
IF(O186&lt;&gt;"",H186-O186,H186)-IF(COUNTIF('盛付札（関数）'!D186,"*キャラ*"),
VLOOKUP("*キャラ*",#REF!,7,FALSE),
IF(COUNTIF('盛付札（関数）'!D186,"*赤*"),
VLOOKUP("*赤*",#REF!,7,FALSE),
VLOOKUP('盛付札（関数）'!D186,#REF!,7,FALSE)))*F186),"")</f>
        <v/>
      </c>
      <c r="H186" s="205" t="str" cm="1">
        <f t="array" aca="1" ref="H186" ca="1">IF(C186&lt;&gt;"",
IF(INDIRECT("数出表_Excel!"&amp;RIGHT(SUBSTITUTE(クライアント抽出!V46,",",""),1)&amp;A186-1&amp;"")&lt;&gt;"",
INDIRECT("数出表_Excel!"&amp;RIGHT(SUBSTITUTE(クライアント抽出!V46,",",""),1)&amp;A186-1&amp;""),0),"")</f>
        <v/>
      </c>
      <c r="I186" s="203" t="str" cm="1">
        <f t="array" aca="1" ref="I186" ca="1">IF(C186&lt;&gt;"",
IF(INDIRECT("数出表_Excel!"&amp;RIGHT(SUBSTITUTE(クライアント抽出!V46,",",""),1)&amp;A186&amp;"")&lt;&gt;"",
INDIRECT("数出表_Excel!"&amp;RIGHT(SUBSTITUTE(クライアント抽出!V46,",",""),1)&amp;A186&amp;""),0),"")</f>
        <v/>
      </c>
      <c r="J186" s="203" t="str">
        <f ca="1">IF(C186&lt;&gt;"",
VLOOKUP(
IF(COUNTIF(D186,"*学食*"),"キャラ弁（学食）",
IF(COUNTIF(D186,"*赤*"),"赤",
IF(COUNTIF(D186,"*キャラ弁当*"),"キャラ弁当",D186))),注文弁当の抽出!$E$1:$F$15,2,FALSE),"")</f>
        <v/>
      </c>
      <c r="K186" s="203" t="str">
        <f t="shared" ca="1" si="51"/>
        <v/>
      </c>
      <c r="L186" s="203" t="str">
        <f t="shared" ca="1" si="52"/>
        <v/>
      </c>
      <c r="M186" s="203" cm="1">
        <f t="array" aca="1" ref="M186" ca="1">IF(C186&lt;&gt;"",
IF(IFERROR(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0)&lt;&gt;0,
IF(IFERROR(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"")="",
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""),
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0)),0),0)</f>
        <v>0</v>
      </c>
      <c r="N186" s="203" t="e">
        <f t="array" aca="1" ref="N186" ca="1">IF(B186="博多",
IF(C186&lt;&gt;"",
IF(IFERROR(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0)&lt;&gt;0,
IF(IFERROR(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0)="",
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0),
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0)),0),""),0)</f>
        <v>#N/A</v>
      </c>
      <c r="O186" s="203" t="e">
        <f t="shared" ca="1" si="53"/>
        <v>#N/A</v>
      </c>
      <c r="P186" s="203">
        <f t="shared" ca="1" si="4"/>
        <v>0</v>
      </c>
      <c r="Q186" s="203" t="b">
        <f t="shared" ca="1" si="54"/>
        <v>0</v>
      </c>
      <c r="R186" s="51" t="str" cm="1">
        <f t="array" aca="1" ref="R186" ca="1">IFERROR(SMALL(IF(P$1:P$300&lt;&gt;0,P$1:P$300),ROW(A186)),"")</f>
        <v/>
      </c>
      <c r="S186" s="51" t="str">
        <f t="array" aca="1" ref="S186" ca="1">IF($R186&lt;&gt;"",
INDIRECT(""&amp;IF(COLUMN(C206)&lt;=26,CHAR(COLUMN(C206)+64),CHAR(INT((COLUMN(C206)-1)/26)+64)&amp;CHAR(MOD(COLUMN(C206)-1,26)+65))&amp;$R186&amp;""),"")</f>
        <v/>
      </c>
      <c r="T186" s="51" t="str" cm="1">
        <f t="array" aca="1" ref="T186" ca="1">IF(IF($R186&lt;&gt;"",
INDIRECT(""&amp;IF(COLUMN(D206)&lt;=26,CHAR(COLUMN(D206)+64),CHAR(INT((COLUMN(D206)-1)/26)+64)&amp;CHAR(MOD(COLUMN(D206)-1,26)+65))&amp;$R186&amp;""),"")=0,"",
IF($R186&lt;&gt;"",
INDIRECT(""&amp;IF(COLUMN(D206)&lt;=26,CHAR(COLUMN(D206)+64),CHAR(INT((COLUMN(D206)-1)/26)+64)&amp;CHAR(MOD(COLUMN(D206)-1,26)+65))&amp;$R186&amp;""),""))</f>
        <v/>
      </c>
      <c r="U186" s="51"/>
      <c r="V186" s="51" t="str">
        <f t="array" aca="1" ref="V186" ca="1">IF($R186&lt;&gt;"",
IF(U186="",
IF(INDIRECT("EY"&amp;$R186&amp;"")&lt;&gt;"",
INDIRECT("EY"&amp;$R186&amp;"")&amp;"箱"
&amp;INDIRECT("EZ"&amp;$R186&amp;""),""),""),"")</f>
        <v/>
      </c>
      <c r="W186" s="51" t="str">
        <f t="array" aca="1" ref="W186" ca="1">IF($R186&lt;&gt;"",
INDIRECT(""&amp;IF(COLUMN(H206)&lt;=26,CHAR(COLUMN(H206)+64),CHAR(INT((COLUMN(H206)-1)/26)+64)&amp;CHAR(MOD(COLUMN(H206)-1,26)+65))&amp;$R186&amp;""),"")</f>
        <v/>
      </c>
      <c r="X186" s="51" t="str">
        <f t="array" aca="1" ref="X186" ca="1">IF($R186&lt;&gt;"",
INDIRECT(""&amp;IF(COLUMN(I206)&lt;=26,CHAR(COLUMN(I206)+64),CHAR(INT((COLUMN(I206)-1)/26)+64)&amp;CHAR(MOD(COLUMN(I206)-1,26)+65))&amp;$R186&amp;""),"")</f>
        <v/>
      </c>
      <c r="Y186" s="51" t="str">
        <f t="array" aca="1" ref="Y186" ca="1">IF($R186&lt;&gt;"",
INDIRECT(""&amp;IF(COLUMN(J206)&lt;=26,CHAR(COLUMN(J206)+64),CHAR(INT((COLUMN(J206)-1)/26)+64)&amp;CHAR(MOD(COLUMN(J206)-1,26)+65))&amp;$R186&amp;""),"")</f>
        <v/>
      </c>
      <c r="Z186" s="51" t="str">
        <f t="array" aca="1" ref="Z186" ca="1">IF($R186&lt;&gt;"",
INDIRECT(""&amp;IF(COLUMN(K206)&lt;=26,CHAR(COLUMN(K206)+64),CHAR(INT((COLUMN(K206)-1)/26)+64)&amp;CHAR(MOD(COLUMN(K206)-1,26)+65))&amp;$R186&amp;""),"")</f>
        <v/>
      </c>
      <c r="AA186" s="51" t="str">
        <f t="array" aca="1" ref="AA186" ca="1">IF($R186&lt;&gt;"",
INDIRECT(""&amp;IF(COLUMN(L206)&lt;=26,CHAR(COLUMN(L206)+64),CHAR(INT((COLUMN(L206)-1)/26)+64)&amp;CHAR(MOD(COLUMN(L206)-1,26)+65))&amp;$R186&amp;""),"")</f>
        <v/>
      </c>
      <c r="AB186" s="51" t="str">
        <f t="array" aca="1" ref="AB186" ca="1">IF($R186&lt;&gt;"",
INDIRECT(""&amp;IF(COLUMN(O206)&lt;=26,CHAR(COLUMN(O206)+64),CHAR(INT((COLUMN(O206)-1)/26)+64)&amp;CHAR(MOD(COLUMN(O206)-1,26)+65))&amp;$R186&amp;""),"")</f>
        <v/>
      </c>
    </row>
    <row r="187" spans="1:28" ht="22.2" customHeight="1">
      <c r="A187" s="204">
        <f t="shared" si="50"/>
        <v>99</v>
      </c>
      <c r="B187" s="203" t="e" cm="1">
        <f t="array" aca="1" ref="B187" ca="1">IF(AND(LEFT(C187,2)="博多",
LEFT(INDIRECT("数出表_Excel!A"&amp;MATCH(C187,数出表_Excel!$A:$A,0)-1),2)
=LEFT(INDIRECT("数出表_Excel!A"&amp;MATCH(C187,数出表_Excel!$A:$A,0)+1),2)),"博多",
IF(AND(LEFT(C187,3)="奈良屋",
LEFT(INDIRECT("数出表_Excel!A"&amp;MATCH(C187,数出表_Excel!$A:$A,0)-1),2)
=LEFT(INDIRECT("数出表_Excel!A"&amp;MATCH(C187,数出表_Excel!$A:$A,0)+1),2)),"奈良屋",""))</f>
        <v>#N/A</v>
      </c>
      <c r="C187" s="203" t="str" cm="1">
        <f t="array" aca="1" ref="C187" ca="1">IF(IF(クライアント抽出!A47="",0,LEN(クライアント抽出!V47)-LEN(SUBSTITUTE(クライアント抽出!V47,",","")))&gt;=3,INDIRECT("数出表_Excel!A"&amp;A187&amp;""),"")</f>
        <v/>
      </c>
      <c r="D187" s="203" t="str" cm="1">
        <f t="array" aca="1" ref="D187" ca="1">IF(C187&lt;&gt;"",INDIRECT("クライアント抽出!"&amp;E187&amp;MATCH(C187,クライアント抽出!A:A,0)&amp;""),"")</f>
        <v/>
      </c>
      <c r="E187" s="203" t="str">
        <f ca="1">IF(H187&lt;&gt;0,
IFERROR(
SUBSTITUTE(ADDRESS(1,
MATCH(VALUE(H187),クライアント抽出!A47:G47,0)+8,4),"1",""),
""),
IFERROR(
SUBSTITUTE(ADDRESS(1,
MATCH(VALUE(I187),クライアント抽出!A47:G47,0)+8,4),"1",""),
""))</f>
        <v/>
      </c>
      <c r="F187" s="206" t="str" cm="1">
        <f t="array" aca="1" ref="F187" ca="1">IF(D187&lt;&gt;"",
IF(COUNTIF(C187,"*雙葉*"),
IF(ROUND(
IF(O187&lt;&gt;"",(H187-O187),H187)
/IF(COUNTIF('盛付札（関数）'!D187,"*キャラ*"),
VLOOKUP("*キャラ*",#REF!,7,FALSE),
IF(COUNTIF('盛付札（関数）'!D187,"*赤*"),
VLOOKUP("*赤*",#REF!,7,FALSE),
VLOOKUP('盛付札（関数）'!D187,#REF!,7,FALSE))),0)&lt;=0,1,
ROUND(
IF(O187&lt;&gt;"",(H187-O187),H187)
/IF(COUNTIF('盛付札（関数）'!D187,"*キャラ*"),
VLOOKUP("*キャラ*",#REF!,7,FALSE),
IF(COUNTIF('盛付札（関数）'!D187,"*赤*"),
VLOOKUP("*赤*",#REF!,7,FALSE),
VLOOKUP('盛付札（関数）'!D187,#REF!,7,FALSE))),0)),
IF(MATCH(TRUE,
ISNUMBER(--INDIRECT("数出表_Excel!B"&amp;MATCH(C187,数出表_Excel!$A:$A,0)-1&amp;":U"&amp;MATCH(C187,数出表_Excel!$A:$A,0)-1&amp;"")),0)&gt;10,
IF(D187&lt;&gt;"",
IF(IF(COUNTIF('盛付札（関数）'!D187,"*キャラ*"),
VLOOKUP("*キャラ*",#REF!,7,FALSE),
IF(COUNTIF('盛付札（関数）'!D187,"*赤*"),
VLOOKUP("*赤*",#REF!,7,FALSE),
VLOOKUP('盛付札（関数）'!D187,#REF!,7,FALSE)))=0,"",
IF(ROUND(
IF(O187&lt;&gt;"",(H187-O187),H187)
/IF(COUNTIF('盛付札（関数）'!D187,"*キャラ*"),
VLOOKUP("*キャラ*",#REF!,7,FALSE),
IF(COUNTIF('盛付札（関数）'!D187,"*赤*"),
VLOOKUP("*赤*",#REF!,7,FALSE),
VLOOKUP('盛付札（関数）'!D187,#REF!,7,FALSE))),0)&lt;=0,1,
ROUND(
IF(O187&lt;&gt;"",(H187-O187),H187)
/IF(COUNTIF('盛付札（関数）'!D187,"*キャラ*"),
VLOOKUP("*キャラ*",#REF!,7,FALSE),
IF(COUNTIF('盛付札（関数）'!D187,"*赤*"),
VLOOKUP("*赤*",#REF!,7,FALSE),
VLOOKUP('盛付札（関数）'!D187,#REF!,7,FALSE))),0))),""),"")),"")</f>
        <v/>
      </c>
      <c r="G187" s="206" t="str">
        <f ca="1">IF(F187&lt;&gt;"",IF(VALUE(IF(O187&lt;&gt;"",H187-O187,H187))&gt;VALUE(IF(COUNTIF('盛付札（関数）'!D187,"*キャラ*"),
VLOOKUP("*キャラ*",#REF!,7,FALSE),
IF(COUNTIF('盛付札（関数）'!D187,"*赤*"),
VLOOKUP("*赤*",#REF!,7,FALSE),
VLOOKUP('盛付札（関数）'!D187,#REF!,7,FALSE)))*F187),
"+"&amp;IF(O187&lt;&gt;"",H187-O187,H187)-IF(COUNTIF('盛付札（関数）'!D187,"*キャラ*"),
VLOOKUP("*キャラ*",#REF!,7,FALSE),
IF(COUNTIF('盛付札（関数）'!D187,"*赤*"),
VLOOKUP("*赤*",#REF!,7,FALSE),
VLOOKUP('盛付札（関数）'!D187,#REF!,7,FALSE)))*F187,
IF(O187&lt;&gt;"",H187-O187,H187)-IF(COUNTIF('盛付札（関数）'!D187,"*キャラ*"),
VLOOKUP("*キャラ*",#REF!,7,FALSE),
IF(COUNTIF('盛付札（関数）'!D187,"*赤*"),
VLOOKUP("*赤*",#REF!,7,FALSE),
VLOOKUP('盛付札（関数）'!D187,#REF!,7,FALSE)))*F187),"")</f>
        <v/>
      </c>
      <c r="H187" s="205" t="str" cm="1">
        <f t="array" aca="1" ref="H187" ca="1">IF(C187&lt;&gt;"",
IF(INDIRECT("数出表_Excel!"&amp;RIGHT(SUBSTITUTE(クライアント抽出!V47,",",""),1)&amp;A187-1&amp;"")&lt;&gt;"",
INDIRECT("数出表_Excel!"&amp;RIGHT(SUBSTITUTE(クライアント抽出!V47,",",""),1)&amp;A187-1&amp;""),0),"")</f>
        <v/>
      </c>
      <c r="I187" s="203" t="str" cm="1">
        <f t="array" aca="1" ref="I187" ca="1">IF(C187&lt;&gt;"",
IF(INDIRECT("数出表_Excel!"&amp;RIGHT(SUBSTITUTE(クライアント抽出!V47,",",""),1)&amp;A187&amp;"")&lt;&gt;"",
INDIRECT("数出表_Excel!"&amp;RIGHT(SUBSTITUTE(クライアント抽出!V47,",",""),1)&amp;A187&amp;""),0),"")</f>
        <v/>
      </c>
      <c r="J187" s="203" t="str">
        <f ca="1">IF(C187&lt;&gt;"",
VLOOKUP(
IF(COUNTIF(D187,"*学食*"),"キャラ弁（学食）",
IF(COUNTIF(D187,"*赤*"),"赤",
IF(COUNTIF(D187,"*キャラ弁当*"),"キャラ弁当",D187))),注文弁当の抽出!$E$1:$F$15,2,FALSE),"")</f>
        <v/>
      </c>
      <c r="K187" s="203" t="str">
        <f t="shared" ca="1" si="51"/>
        <v/>
      </c>
      <c r="L187" s="203" t="str">
        <f t="shared" ca="1" si="52"/>
        <v/>
      </c>
      <c r="M187" s="203" cm="1">
        <f t="array" aca="1" ref="M187" ca="1">IF(C187&lt;&gt;"",
IF(IFERROR(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0)&lt;&gt;0,
IF(IFERROR(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"")="",
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""),
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0)),0),0)</f>
        <v>0</v>
      </c>
      <c r="N187" s="203" t="e">
        <f t="array" aca="1" ref="N187" ca="1">IF(B187="博多",
IF(C187&lt;&gt;"",
IF(IFERROR(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0)&lt;&gt;0,
IF(IFERROR(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0)="",
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0),
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0)),0),""),0)</f>
        <v>#N/A</v>
      </c>
      <c r="O187" s="203" t="e">
        <f t="shared" ca="1" si="53"/>
        <v>#N/A</v>
      </c>
      <c r="P187" s="203">
        <f t="shared" ca="1" si="4"/>
        <v>0</v>
      </c>
      <c r="Q187" s="203" t="b">
        <f t="shared" ca="1" si="54"/>
        <v>0</v>
      </c>
      <c r="R187" s="51" t="str" cm="1">
        <f t="array" aca="1" ref="R187" ca="1">IFERROR(SMALL(IF(P$1:P$300&lt;&gt;0,P$1:P$300),ROW(A187)),"")</f>
        <v/>
      </c>
      <c r="S187" s="51" t="str">
        <f t="array" aca="1" ref="S187" ca="1">IF($R187&lt;&gt;"",
INDIRECT(""&amp;IF(COLUMN(C207)&lt;=26,CHAR(COLUMN(C207)+64),CHAR(INT((COLUMN(C207)-1)/26)+64)&amp;CHAR(MOD(COLUMN(C207)-1,26)+65))&amp;$R187&amp;""),"")</f>
        <v/>
      </c>
      <c r="T187" s="51" t="str" cm="1">
        <f t="array" aca="1" ref="T187" ca="1">IF(IF($R187&lt;&gt;"",
INDIRECT(""&amp;IF(COLUMN(D207)&lt;=26,CHAR(COLUMN(D207)+64),CHAR(INT((COLUMN(D207)-1)/26)+64)&amp;CHAR(MOD(COLUMN(D207)-1,26)+65))&amp;$R187&amp;""),"")=0,"",
IF($R187&lt;&gt;"",
INDIRECT(""&amp;IF(COLUMN(D207)&lt;=26,CHAR(COLUMN(D207)+64),CHAR(INT((COLUMN(D207)-1)/26)+64)&amp;CHAR(MOD(COLUMN(D207)-1,26)+65))&amp;$R187&amp;""),""))</f>
        <v/>
      </c>
      <c r="U187" s="51"/>
      <c r="V187" s="51" t="str">
        <f t="array" aca="1" ref="V187" ca="1">IF($R187&lt;&gt;"",
IF(U187="",
IF(INDIRECT("EY"&amp;$R187&amp;"")&lt;&gt;"",
INDIRECT("EY"&amp;$R187&amp;"")&amp;"箱"
&amp;INDIRECT("EZ"&amp;$R187&amp;""),""),""),"")</f>
        <v/>
      </c>
      <c r="W187" s="51" t="str">
        <f t="array" aca="1" ref="W187" ca="1">IF($R187&lt;&gt;"",
INDIRECT(""&amp;IF(COLUMN(H207)&lt;=26,CHAR(COLUMN(H207)+64),CHAR(INT((COLUMN(H207)-1)/26)+64)&amp;CHAR(MOD(COLUMN(H207)-1,26)+65))&amp;$R187&amp;""),"")</f>
        <v/>
      </c>
      <c r="X187" s="51" t="str">
        <f t="array" aca="1" ref="X187" ca="1">IF($R187&lt;&gt;"",
INDIRECT(""&amp;IF(COLUMN(I207)&lt;=26,CHAR(COLUMN(I207)+64),CHAR(INT((COLUMN(I207)-1)/26)+64)&amp;CHAR(MOD(COLUMN(I207)-1,26)+65))&amp;$R187&amp;""),"")</f>
        <v/>
      </c>
      <c r="Y187" s="51" t="str">
        <f t="array" aca="1" ref="Y187" ca="1">IF($R187&lt;&gt;"",
INDIRECT(""&amp;IF(COLUMN(J207)&lt;=26,CHAR(COLUMN(J207)+64),CHAR(INT((COLUMN(J207)-1)/26)+64)&amp;CHAR(MOD(COLUMN(J207)-1,26)+65))&amp;$R187&amp;""),"")</f>
        <v/>
      </c>
      <c r="Z187" s="51" t="str">
        <f t="array" aca="1" ref="Z187" ca="1">IF($R187&lt;&gt;"",
INDIRECT(""&amp;IF(COLUMN(K207)&lt;=26,CHAR(COLUMN(K207)+64),CHAR(INT((COLUMN(K207)-1)/26)+64)&amp;CHAR(MOD(COLUMN(K207)-1,26)+65))&amp;$R187&amp;""),"")</f>
        <v/>
      </c>
      <c r="AA187" s="51" t="str">
        <f t="array" aca="1" ref="AA187" ca="1">IF($R187&lt;&gt;"",
INDIRECT(""&amp;IF(COLUMN(L207)&lt;=26,CHAR(COLUMN(L207)+64),CHAR(INT((COLUMN(L207)-1)/26)+64)&amp;CHAR(MOD(COLUMN(L207)-1,26)+65))&amp;$R187&amp;""),"")</f>
        <v/>
      </c>
      <c r="AB187" s="51" t="str">
        <f t="array" aca="1" ref="AB187" ca="1">IF($R187&lt;&gt;"",
INDIRECT(""&amp;IF(COLUMN(O207)&lt;=26,CHAR(COLUMN(O207)+64),CHAR(INT((COLUMN(O207)-1)/26)+64)&amp;CHAR(MOD(COLUMN(O207)-1,26)+65))&amp;$R187&amp;""),"")</f>
        <v/>
      </c>
    </row>
    <row r="188" spans="1:28" ht="22.2" customHeight="1">
      <c r="A188" s="204">
        <f t="shared" si="50"/>
        <v>101</v>
      </c>
      <c r="B188" s="203" t="e" cm="1">
        <f t="array" aca="1" ref="B188" ca="1">IF(AND(LEFT(C188,2)="博多",
LEFT(INDIRECT("数出表_Excel!A"&amp;MATCH(C188,数出表_Excel!$A:$A,0)-1),2)
=LEFT(INDIRECT("数出表_Excel!A"&amp;MATCH(C188,数出表_Excel!$A:$A,0)+1),2)),"博多",
IF(AND(LEFT(C188,3)="奈良屋",
LEFT(INDIRECT("数出表_Excel!A"&amp;MATCH(C188,数出表_Excel!$A:$A,0)-1),2)
=LEFT(INDIRECT("数出表_Excel!A"&amp;MATCH(C188,数出表_Excel!$A:$A,0)+1),2)),"奈良屋",""))</f>
        <v>#N/A</v>
      </c>
      <c r="C188" s="203" t="str" cm="1">
        <f t="array" aca="1" ref="C188" ca="1">IF(IF(クライアント抽出!A48="",0,LEN(クライアント抽出!V48)-LEN(SUBSTITUTE(クライアント抽出!V48,",","")))&gt;=3,INDIRECT("数出表_Excel!A"&amp;A188&amp;""),"")</f>
        <v/>
      </c>
      <c r="D188" s="203" t="str" cm="1">
        <f t="array" aca="1" ref="D188" ca="1">IF(C188&lt;&gt;"",INDIRECT("クライアント抽出!"&amp;E188&amp;MATCH(C188,クライアント抽出!A:A,0)&amp;""),"")</f>
        <v/>
      </c>
      <c r="E188" s="203" t="str">
        <f ca="1">IF(H188&lt;&gt;0,
IFERROR(
SUBSTITUTE(ADDRESS(1,
MATCH(VALUE(H188),クライアント抽出!A48:G48,0)+8,4),"1",""),
""),
IFERROR(
SUBSTITUTE(ADDRESS(1,
MATCH(VALUE(I188),クライアント抽出!A48:G48,0)+8,4),"1",""),
""))</f>
        <v/>
      </c>
      <c r="F188" s="206" t="str" cm="1">
        <f t="array" aca="1" ref="F188" ca="1">IF(D188&lt;&gt;"",
IF(COUNTIF(C188,"*雙葉*"),
IF(ROUND(
IF(O188&lt;&gt;"",(H188-O188),H188)
/IF(COUNTIF('盛付札（関数）'!D188,"*キャラ*"),
VLOOKUP("*キャラ*",#REF!,7,FALSE),
IF(COUNTIF('盛付札（関数）'!D188,"*赤*"),
VLOOKUP("*赤*",#REF!,7,FALSE),
VLOOKUP('盛付札（関数）'!D188,#REF!,7,FALSE))),0)&lt;=0,1,
ROUND(
IF(O188&lt;&gt;"",(H188-O188),H188)
/IF(COUNTIF('盛付札（関数）'!D188,"*キャラ*"),
VLOOKUP("*キャラ*",#REF!,7,FALSE),
IF(COUNTIF('盛付札（関数）'!D188,"*赤*"),
VLOOKUP("*赤*",#REF!,7,FALSE),
VLOOKUP('盛付札（関数）'!D188,#REF!,7,FALSE))),0)),
IF(MATCH(TRUE,
ISNUMBER(--INDIRECT("数出表_Excel!B"&amp;MATCH(C188,数出表_Excel!$A:$A,0)-1&amp;":U"&amp;MATCH(C188,数出表_Excel!$A:$A,0)-1&amp;"")),0)&gt;10,
IF(D188&lt;&gt;"",
IF(IF(COUNTIF('盛付札（関数）'!D188,"*キャラ*"),
VLOOKUP("*キャラ*",#REF!,7,FALSE),
IF(COUNTIF('盛付札（関数）'!D188,"*赤*"),
VLOOKUP("*赤*",#REF!,7,FALSE),
VLOOKUP('盛付札（関数）'!D188,#REF!,7,FALSE)))=0,"",
IF(ROUND(
IF(O188&lt;&gt;"",(H188-O188),H188)
/IF(COUNTIF('盛付札（関数）'!D188,"*キャラ*"),
VLOOKUP("*キャラ*",#REF!,7,FALSE),
IF(COUNTIF('盛付札（関数）'!D188,"*赤*"),
VLOOKUP("*赤*",#REF!,7,FALSE),
VLOOKUP('盛付札（関数）'!D188,#REF!,7,FALSE))),0)&lt;=0,1,
ROUND(
IF(O188&lt;&gt;"",(H188-O188),H188)
/IF(COUNTIF('盛付札（関数）'!D188,"*キャラ*"),
VLOOKUP("*キャラ*",#REF!,7,FALSE),
IF(COUNTIF('盛付札（関数）'!D188,"*赤*"),
VLOOKUP("*赤*",#REF!,7,FALSE),
VLOOKUP('盛付札（関数）'!D188,#REF!,7,FALSE))),0))),""),"")),"")</f>
        <v/>
      </c>
      <c r="G188" s="206" t="str">
        <f ca="1">IF(F188&lt;&gt;"",IF(VALUE(IF(O188&lt;&gt;"",H188-O188,H188))&gt;VALUE(IF(COUNTIF('盛付札（関数）'!D188,"*キャラ*"),
VLOOKUP("*キャラ*",#REF!,7,FALSE),
IF(COUNTIF('盛付札（関数）'!D188,"*赤*"),
VLOOKUP("*赤*",#REF!,7,FALSE),
VLOOKUP('盛付札（関数）'!D188,#REF!,7,FALSE)))*F188),
"+"&amp;IF(O188&lt;&gt;"",H188-O188,H188)-IF(COUNTIF('盛付札（関数）'!D188,"*キャラ*"),
VLOOKUP("*キャラ*",#REF!,7,FALSE),
IF(COUNTIF('盛付札（関数）'!D188,"*赤*"),
VLOOKUP("*赤*",#REF!,7,FALSE),
VLOOKUP('盛付札（関数）'!D188,#REF!,7,FALSE)))*F188,
IF(O188&lt;&gt;"",H188-O188,H188)-IF(COUNTIF('盛付札（関数）'!D188,"*キャラ*"),
VLOOKUP("*キャラ*",#REF!,7,FALSE),
IF(COUNTIF('盛付札（関数）'!D188,"*赤*"),
VLOOKUP("*赤*",#REF!,7,FALSE),
VLOOKUP('盛付札（関数）'!D188,#REF!,7,FALSE)))*F188),"")</f>
        <v/>
      </c>
      <c r="H188" s="205" t="str" cm="1">
        <f t="array" aca="1" ref="H188" ca="1">IF(C188&lt;&gt;"",
IF(INDIRECT("数出表_Excel!"&amp;RIGHT(SUBSTITUTE(クライアント抽出!V48,",",""),1)&amp;A188-1&amp;"")&lt;&gt;"",
INDIRECT("数出表_Excel!"&amp;RIGHT(SUBSTITUTE(クライアント抽出!V48,",",""),1)&amp;A188-1&amp;""),0),"")</f>
        <v/>
      </c>
      <c r="I188" s="203" t="str" cm="1">
        <f t="array" aca="1" ref="I188" ca="1">IF(C188&lt;&gt;"",
IF(INDIRECT("数出表_Excel!"&amp;RIGHT(SUBSTITUTE(クライアント抽出!V48,",",""),1)&amp;A188&amp;"")&lt;&gt;"",
INDIRECT("数出表_Excel!"&amp;RIGHT(SUBSTITUTE(クライアント抽出!V48,",",""),1)&amp;A188&amp;""),0),"")</f>
        <v/>
      </c>
      <c r="J188" s="203" t="str">
        <f ca="1">IF(C188&lt;&gt;"",
VLOOKUP(
IF(COUNTIF(D188,"*学食*"),"キャラ弁（学食）",
IF(COUNTIF(D188,"*赤*"),"赤",
IF(COUNTIF(D188,"*キャラ弁当*"),"キャラ弁当",D188))),注文弁当の抽出!$E$1:$F$15,2,FALSE),"")</f>
        <v/>
      </c>
      <c r="K188" s="203" t="str">
        <f t="shared" ca="1" si="51"/>
        <v/>
      </c>
      <c r="L188" s="203" t="str">
        <f t="shared" ca="1" si="52"/>
        <v/>
      </c>
      <c r="M188" s="203" cm="1">
        <f t="array" aca="1" ref="M188" ca="1">IF(C188&lt;&gt;"",
IF(IFERROR(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0)&lt;&gt;0,
IF(IFERROR(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"")="",
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""),
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0)),0),0)</f>
        <v>0</v>
      </c>
      <c r="N188" s="203" t="e">
        <f t="array" aca="1" ref="N188" ca="1">IF(B188="博多",
IF(C188&lt;&gt;"",
IF(IFERROR(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0)&lt;&gt;0,
IF(IFERROR(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0)="",
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0),
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0)),0),""),0)</f>
        <v>#N/A</v>
      </c>
      <c r="O188" s="203" t="e">
        <f t="shared" ca="1" si="53"/>
        <v>#N/A</v>
      </c>
      <c r="P188" s="203">
        <f t="shared" ca="1" si="4"/>
        <v>0</v>
      </c>
      <c r="Q188" s="203" t="b">
        <f t="shared" ca="1" si="54"/>
        <v>0</v>
      </c>
      <c r="R188" s="51" t="str" cm="1">
        <f t="array" aca="1" ref="R188" ca="1">IFERROR(SMALL(IF(P$1:P$300&lt;&gt;0,P$1:P$300),ROW(A188)),"")</f>
        <v/>
      </c>
      <c r="S188" s="51" t="str">
        <f t="array" aca="1" ref="S188" ca="1">IF($R188&lt;&gt;"",
INDIRECT(""&amp;IF(COLUMN(C208)&lt;=26,CHAR(COLUMN(C208)+64),CHAR(INT((COLUMN(C208)-1)/26)+64)&amp;CHAR(MOD(COLUMN(C208)-1,26)+65))&amp;$R188&amp;""),"")</f>
        <v/>
      </c>
      <c r="T188" s="51" t="str" cm="1">
        <f t="array" aca="1" ref="T188" ca="1">IF(IF($R188&lt;&gt;"",
INDIRECT(""&amp;IF(COLUMN(D208)&lt;=26,CHAR(COLUMN(D208)+64),CHAR(INT((COLUMN(D208)-1)/26)+64)&amp;CHAR(MOD(COLUMN(D208)-1,26)+65))&amp;$R188&amp;""),"")=0,"",
IF($R188&lt;&gt;"",
INDIRECT(""&amp;IF(COLUMN(D208)&lt;=26,CHAR(COLUMN(D208)+64),CHAR(INT((COLUMN(D208)-1)/26)+64)&amp;CHAR(MOD(COLUMN(D208)-1,26)+65))&amp;$R188&amp;""),""))</f>
        <v/>
      </c>
      <c r="U188" s="51"/>
      <c r="V188" s="51" t="str">
        <f t="array" aca="1" ref="V188" ca="1">IF($R188&lt;&gt;"",
IF(U188="",
IF(INDIRECT("EY"&amp;$R188&amp;"")&lt;&gt;"",
INDIRECT("EY"&amp;$R188&amp;"")&amp;"箱"
&amp;INDIRECT("EZ"&amp;$R188&amp;""),""),""),"")</f>
        <v/>
      </c>
      <c r="W188" s="51" t="str">
        <f t="array" aca="1" ref="W188" ca="1">IF($R188&lt;&gt;"",
INDIRECT(""&amp;IF(COLUMN(H208)&lt;=26,CHAR(COLUMN(H208)+64),CHAR(INT((COLUMN(H208)-1)/26)+64)&amp;CHAR(MOD(COLUMN(H208)-1,26)+65))&amp;$R188&amp;""),"")</f>
        <v/>
      </c>
      <c r="X188" s="51" t="str">
        <f t="array" aca="1" ref="X188" ca="1">IF($R188&lt;&gt;"",
INDIRECT(""&amp;IF(COLUMN(I208)&lt;=26,CHAR(COLUMN(I208)+64),CHAR(INT((COLUMN(I208)-1)/26)+64)&amp;CHAR(MOD(COLUMN(I208)-1,26)+65))&amp;$R188&amp;""),"")</f>
        <v/>
      </c>
      <c r="Y188" s="51" t="str">
        <f t="array" aca="1" ref="Y188" ca="1">IF($R188&lt;&gt;"",
INDIRECT(""&amp;IF(COLUMN(J208)&lt;=26,CHAR(COLUMN(J208)+64),CHAR(INT((COLUMN(J208)-1)/26)+64)&amp;CHAR(MOD(COLUMN(J208)-1,26)+65))&amp;$R188&amp;""),"")</f>
        <v/>
      </c>
      <c r="Z188" s="51" t="str">
        <f t="array" aca="1" ref="Z188" ca="1">IF($R188&lt;&gt;"",
INDIRECT(""&amp;IF(COLUMN(K208)&lt;=26,CHAR(COLUMN(K208)+64),CHAR(INT((COLUMN(K208)-1)/26)+64)&amp;CHAR(MOD(COLUMN(K208)-1,26)+65))&amp;$R188&amp;""),"")</f>
        <v/>
      </c>
      <c r="AA188" s="51" t="str">
        <f t="array" aca="1" ref="AA188" ca="1">IF($R188&lt;&gt;"",
INDIRECT(""&amp;IF(COLUMN(L208)&lt;=26,CHAR(COLUMN(L208)+64),CHAR(INT((COLUMN(L208)-1)/26)+64)&amp;CHAR(MOD(COLUMN(L208)-1,26)+65))&amp;$R188&amp;""),"")</f>
        <v/>
      </c>
      <c r="AB188" s="51" t="str">
        <f t="array" aca="1" ref="AB188" ca="1">IF($R188&lt;&gt;"",
INDIRECT(""&amp;IF(COLUMN(O208)&lt;=26,CHAR(COLUMN(O208)+64),CHAR(INT((COLUMN(O208)-1)/26)+64)&amp;CHAR(MOD(COLUMN(O208)-1,26)+65))&amp;$R188&amp;""),"")</f>
        <v/>
      </c>
    </row>
    <row r="189" spans="1:28" ht="22.2" customHeight="1">
      <c r="A189" s="204">
        <f t="shared" ref="A189:A210" si="55">A188+2</f>
        <v>103</v>
      </c>
      <c r="B189" s="203" t="e" cm="1">
        <f t="array" aca="1" ref="B189" ca="1">IF(AND(LEFT(C189,2)="博多",
LEFT(INDIRECT("数出表_Excel!A"&amp;MATCH(C189,数出表_Excel!$A:$A,0)-1),2)
=LEFT(INDIRECT("数出表_Excel!A"&amp;MATCH(C189,数出表_Excel!$A:$A,0)+1),2)),"博多",
IF(AND(LEFT(C189,3)="奈良屋",
LEFT(INDIRECT("数出表_Excel!A"&amp;MATCH(C189,数出表_Excel!$A:$A,0)-1),2)
=LEFT(INDIRECT("数出表_Excel!A"&amp;MATCH(C189,数出表_Excel!$A:$A,0)+1),2)),"奈良屋",""))</f>
        <v>#N/A</v>
      </c>
      <c r="C189" s="203" t="str" cm="1">
        <f t="array" aca="1" ref="C189" ca="1">IF(IF(クライアント抽出!A49="",0,LEN(クライアント抽出!V49)-LEN(SUBSTITUTE(クライアント抽出!V49,",","")))&gt;=3,INDIRECT("数出表_Excel!A"&amp;A189&amp;""),"")</f>
        <v/>
      </c>
      <c r="D189" s="203" t="str" cm="1">
        <f t="array" aca="1" ref="D189" ca="1">IF(C189&lt;&gt;"",INDIRECT("クライアント抽出!"&amp;E189&amp;MATCH(C189,クライアント抽出!A:A,0)&amp;""),"")</f>
        <v/>
      </c>
      <c r="E189" s="203" t="str">
        <f ca="1">IF(H189&lt;&gt;0,
IFERROR(
SUBSTITUTE(ADDRESS(1,
MATCH(VALUE(H189),クライアント抽出!A49:G49,0)+8,4),"1",""),
""),
IFERROR(
SUBSTITUTE(ADDRESS(1,
MATCH(VALUE(I189),クライアント抽出!A49:G49,0)+8,4),"1",""),
""))</f>
        <v/>
      </c>
      <c r="F189" s="206" t="str" cm="1">
        <f t="array" aca="1" ref="F189" ca="1">IF(D189&lt;&gt;"",
IF(COUNTIF(C189,"*雙葉*"),
IF(ROUND(
IF(O189&lt;&gt;"",(H189-O189),H189)
/IF(COUNTIF('盛付札（関数）'!D189,"*キャラ*"),
VLOOKUP("*キャラ*",#REF!,7,FALSE),
IF(COUNTIF('盛付札（関数）'!D189,"*赤*"),
VLOOKUP("*赤*",#REF!,7,FALSE),
VLOOKUP('盛付札（関数）'!D189,#REF!,7,FALSE))),0)&lt;=0,1,
ROUND(
IF(O189&lt;&gt;"",(H189-O189),H189)
/IF(COUNTIF('盛付札（関数）'!D189,"*キャラ*"),
VLOOKUP("*キャラ*",#REF!,7,FALSE),
IF(COUNTIF('盛付札（関数）'!D189,"*赤*"),
VLOOKUP("*赤*",#REF!,7,FALSE),
VLOOKUP('盛付札（関数）'!D189,#REF!,7,FALSE))),0)),
IF(MATCH(TRUE,
ISNUMBER(--INDIRECT("数出表_Excel!B"&amp;MATCH(C189,数出表_Excel!$A:$A,0)-1&amp;":U"&amp;MATCH(C189,数出表_Excel!$A:$A,0)-1&amp;"")),0)&gt;10,
IF(D189&lt;&gt;"",
IF(IF(COUNTIF('盛付札（関数）'!D189,"*キャラ*"),
VLOOKUP("*キャラ*",#REF!,7,FALSE),
IF(COUNTIF('盛付札（関数）'!D189,"*赤*"),
VLOOKUP("*赤*",#REF!,7,FALSE),
VLOOKUP('盛付札（関数）'!D189,#REF!,7,FALSE)))=0,"",
IF(ROUND(
IF(O189&lt;&gt;"",(H189-O189),H189)
/IF(COUNTIF('盛付札（関数）'!D189,"*キャラ*"),
VLOOKUP("*キャラ*",#REF!,7,FALSE),
IF(COUNTIF('盛付札（関数）'!D189,"*赤*"),
VLOOKUP("*赤*",#REF!,7,FALSE),
VLOOKUP('盛付札（関数）'!D189,#REF!,7,FALSE))),0)&lt;=0,1,
ROUND(
IF(O189&lt;&gt;"",(H189-O189),H189)
/IF(COUNTIF('盛付札（関数）'!D189,"*キャラ*"),
VLOOKUP("*キャラ*",#REF!,7,FALSE),
IF(COUNTIF('盛付札（関数）'!D189,"*赤*"),
VLOOKUP("*赤*",#REF!,7,FALSE),
VLOOKUP('盛付札（関数）'!D189,#REF!,7,FALSE))),0))),""),"")),"")</f>
        <v/>
      </c>
      <c r="G189" s="206" t="str">
        <f ca="1">IF(F189&lt;&gt;"",IF(VALUE(IF(O189&lt;&gt;"",H189-O189,H189))&gt;VALUE(IF(COUNTIF('盛付札（関数）'!D189,"*キャラ*"),
VLOOKUP("*キャラ*",#REF!,7,FALSE),
IF(COUNTIF('盛付札（関数）'!D189,"*赤*"),
VLOOKUP("*赤*",#REF!,7,FALSE),
VLOOKUP('盛付札（関数）'!D189,#REF!,7,FALSE)))*F189),
"+"&amp;IF(O189&lt;&gt;"",H189-O189,H189)-IF(COUNTIF('盛付札（関数）'!D189,"*キャラ*"),
VLOOKUP("*キャラ*",#REF!,7,FALSE),
IF(COUNTIF('盛付札（関数）'!D189,"*赤*"),
VLOOKUP("*赤*",#REF!,7,FALSE),
VLOOKUP('盛付札（関数）'!D189,#REF!,7,FALSE)))*F189,
IF(O189&lt;&gt;"",H189-O189,H189)-IF(COUNTIF('盛付札（関数）'!D189,"*キャラ*"),
VLOOKUP("*キャラ*",#REF!,7,FALSE),
IF(COUNTIF('盛付札（関数）'!D189,"*赤*"),
VLOOKUP("*赤*",#REF!,7,FALSE),
VLOOKUP('盛付札（関数）'!D189,#REF!,7,FALSE)))*F189),"")</f>
        <v/>
      </c>
      <c r="H189" s="205" t="str" cm="1">
        <f t="array" aca="1" ref="H189" ca="1">IF(C189&lt;&gt;"",
IF(INDIRECT("数出表_Excel!"&amp;RIGHT(SUBSTITUTE(クライアント抽出!V49,",",""),1)&amp;A189-1&amp;"")&lt;&gt;"",
INDIRECT("数出表_Excel!"&amp;RIGHT(SUBSTITUTE(クライアント抽出!V49,",",""),1)&amp;A189-1&amp;""),0),"")</f>
        <v/>
      </c>
      <c r="I189" s="203" t="str" cm="1">
        <f t="array" aca="1" ref="I189" ca="1">IF(C189&lt;&gt;"",
IF(INDIRECT("数出表_Excel!"&amp;RIGHT(SUBSTITUTE(クライアント抽出!V49,",",""),1)&amp;A189&amp;"")&lt;&gt;"",
INDIRECT("数出表_Excel!"&amp;RIGHT(SUBSTITUTE(クライアント抽出!V49,",",""),1)&amp;A189&amp;""),0),"")</f>
        <v/>
      </c>
      <c r="J189" s="203" t="str">
        <f ca="1">IF(C189&lt;&gt;"",
VLOOKUP(
IF(COUNTIF(D189,"*学食*"),"キャラ弁（学食）",
IF(COUNTIF(D189,"*赤*"),"赤",
IF(COUNTIF(D189,"*キャラ弁当*"),"キャラ弁当",D189))),注文弁当の抽出!$E$1:$F$15,2,FALSE),"")</f>
        <v/>
      </c>
      <c r="K189" s="203" t="str">
        <f t="shared" ref="K189:K210" ca="1" si="56">IF(C189&lt;&gt;"",
IFERROR(INT(H189/J189),""),"")</f>
        <v/>
      </c>
      <c r="L189" s="203" t="str">
        <f t="shared" ref="L189:L210" ca="1" si="57">IFERROR(MOD(H189,J189),"")</f>
        <v/>
      </c>
      <c r="M189" s="203" cm="1">
        <f t="array" aca="1" ref="M189" ca="1">IF(C189&lt;&gt;"",
IF(IFERROR(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0)&lt;&gt;0,
IF(IFERROR(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"")="",
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""),
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0)),0),0)</f>
        <v>0</v>
      </c>
      <c r="N189" s="203" t="e">
        <f t="array" aca="1" ref="N189" ca="1">IF(B189="博多",
IF(C189&lt;&gt;"",
IF(IFERROR(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0)&lt;&gt;0,
IF(IFERROR(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0)="",
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0),
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0)),0),""),0)</f>
        <v>#N/A</v>
      </c>
      <c r="O189" s="203" t="e">
        <f t="shared" ref="O189:O210" ca="1" si="58">M189+N189</f>
        <v>#N/A</v>
      </c>
      <c r="P189" s="203">
        <f t="shared" ca="1" si="4"/>
        <v>0</v>
      </c>
      <c r="Q189" s="203" t="b">
        <f t="shared" ref="Q189:Q210" ca="1" si="59">IF(C189&lt;&gt;"",TRUE,FALSE)</f>
        <v>0</v>
      </c>
      <c r="R189" s="51" t="str" cm="1">
        <f t="array" aca="1" ref="R189" ca="1">IFERROR(SMALL(IF(P$1:P$300&lt;&gt;0,P$1:P$300),ROW(A189)),"")</f>
        <v/>
      </c>
      <c r="S189" s="51" t="str">
        <f t="array" aca="1" ref="S189" ca="1">IF($R189&lt;&gt;"",
INDIRECT(""&amp;IF(COLUMN(C209)&lt;=26,CHAR(COLUMN(C209)+64),CHAR(INT((COLUMN(C209)-1)/26)+64)&amp;CHAR(MOD(COLUMN(C209)-1,26)+65))&amp;$R189&amp;""),"")</f>
        <v/>
      </c>
      <c r="T189" s="51" t="str" cm="1">
        <f t="array" aca="1" ref="T189" ca="1">IF(IF($R189&lt;&gt;"",
INDIRECT(""&amp;IF(COLUMN(D209)&lt;=26,CHAR(COLUMN(D209)+64),CHAR(INT((COLUMN(D209)-1)/26)+64)&amp;CHAR(MOD(COLUMN(D209)-1,26)+65))&amp;$R189&amp;""),"")=0,"",
IF($R189&lt;&gt;"",
INDIRECT(""&amp;IF(COLUMN(D209)&lt;=26,CHAR(COLUMN(D209)+64),CHAR(INT((COLUMN(D209)-1)/26)+64)&amp;CHAR(MOD(COLUMN(D209)-1,26)+65))&amp;$R189&amp;""),""))</f>
        <v/>
      </c>
      <c r="U189" s="51"/>
      <c r="V189" s="51" t="str">
        <f t="array" aca="1" ref="V189" ca="1">IF($R189&lt;&gt;"",
IF(U189="",
IF(INDIRECT("EY"&amp;$R189&amp;"")&lt;&gt;"",
INDIRECT("EY"&amp;$R189&amp;"")&amp;"箱"
&amp;INDIRECT("EZ"&amp;$R189&amp;""),""),""),"")</f>
        <v/>
      </c>
      <c r="W189" s="51" t="str">
        <f t="array" aca="1" ref="W189" ca="1">IF($R189&lt;&gt;"",
INDIRECT(""&amp;IF(COLUMN(H209)&lt;=26,CHAR(COLUMN(H209)+64),CHAR(INT((COLUMN(H209)-1)/26)+64)&amp;CHAR(MOD(COLUMN(H209)-1,26)+65))&amp;$R189&amp;""),"")</f>
        <v/>
      </c>
      <c r="X189" s="51" t="str">
        <f t="array" aca="1" ref="X189" ca="1">IF($R189&lt;&gt;"",
INDIRECT(""&amp;IF(COLUMN(I209)&lt;=26,CHAR(COLUMN(I209)+64),CHAR(INT((COLUMN(I209)-1)/26)+64)&amp;CHAR(MOD(COLUMN(I209)-1,26)+65))&amp;$R189&amp;""),"")</f>
        <v/>
      </c>
      <c r="Y189" s="51" t="str">
        <f t="array" aca="1" ref="Y189" ca="1">IF($R189&lt;&gt;"",
INDIRECT(""&amp;IF(COLUMN(J209)&lt;=26,CHAR(COLUMN(J209)+64),CHAR(INT((COLUMN(J209)-1)/26)+64)&amp;CHAR(MOD(COLUMN(J209)-1,26)+65))&amp;$R189&amp;""),"")</f>
        <v/>
      </c>
      <c r="Z189" s="51" t="str">
        <f t="array" aca="1" ref="Z189" ca="1">IF($R189&lt;&gt;"",
INDIRECT(""&amp;IF(COLUMN(K209)&lt;=26,CHAR(COLUMN(K209)+64),CHAR(INT((COLUMN(K209)-1)/26)+64)&amp;CHAR(MOD(COLUMN(K209)-1,26)+65))&amp;$R189&amp;""),"")</f>
        <v/>
      </c>
      <c r="AA189" s="51" t="str">
        <f t="array" aca="1" ref="AA189" ca="1">IF($R189&lt;&gt;"",
INDIRECT(""&amp;IF(COLUMN(L209)&lt;=26,CHAR(COLUMN(L209)+64),CHAR(INT((COLUMN(L209)-1)/26)+64)&amp;CHAR(MOD(COLUMN(L209)-1,26)+65))&amp;$R189&amp;""),"")</f>
        <v/>
      </c>
      <c r="AB189" s="51" t="str">
        <f t="array" aca="1" ref="AB189" ca="1">IF($R189&lt;&gt;"",
INDIRECT(""&amp;IF(COLUMN(O209)&lt;=26,CHAR(COLUMN(O209)+64),CHAR(INT((COLUMN(O209)-1)/26)+64)&amp;CHAR(MOD(COLUMN(O209)-1,26)+65))&amp;$R189&amp;""),"")</f>
        <v/>
      </c>
    </row>
    <row r="190" spans="1:28" ht="22.2" customHeight="1">
      <c r="A190" s="204">
        <f t="shared" si="55"/>
        <v>105</v>
      </c>
      <c r="B190" s="203" t="e" cm="1">
        <f t="array" aca="1" ref="B190" ca="1">IF(AND(LEFT(C190,2)="博多",
LEFT(INDIRECT("数出表_Excel!A"&amp;MATCH(C190,数出表_Excel!$A:$A,0)-1),2)
=LEFT(INDIRECT("数出表_Excel!A"&amp;MATCH(C190,数出表_Excel!$A:$A,0)+1),2)),"博多",
IF(AND(LEFT(C190,3)="奈良屋",
LEFT(INDIRECT("数出表_Excel!A"&amp;MATCH(C190,数出表_Excel!$A:$A,0)-1),2)
=LEFT(INDIRECT("数出表_Excel!A"&amp;MATCH(C190,数出表_Excel!$A:$A,0)+1),2)),"奈良屋",""))</f>
        <v>#N/A</v>
      </c>
      <c r="C190" s="203" t="str" cm="1">
        <f t="array" aca="1" ref="C190" ca="1">IF(IF(クライアント抽出!A50="",0,LEN(クライアント抽出!V50)-LEN(SUBSTITUTE(クライアント抽出!V50,",","")))&gt;=3,INDIRECT("数出表_Excel!A"&amp;A190&amp;""),"")</f>
        <v/>
      </c>
      <c r="D190" s="203" t="str" cm="1">
        <f t="array" aca="1" ref="D190" ca="1">IF(C190&lt;&gt;"",INDIRECT("クライアント抽出!"&amp;E190&amp;MATCH(C190,クライアント抽出!A:A,0)&amp;""),"")</f>
        <v/>
      </c>
      <c r="E190" s="203" t="str">
        <f ca="1">IF(H190&lt;&gt;0,
IFERROR(
SUBSTITUTE(ADDRESS(1,
MATCH(VALUE(H190),クライアント抽出!A50:G50,0)+8,4),"1",""),
""),
IFERROR(
SUBSTITUTE(ADDRESS(1,
MATCH(VALUE(I190),クライアント抽出!A50:G50,0)+8,4),"1",""),
""))</f>
        <v/>
      </c>
      <c r="F190" s="206" t="str" cm="1">
        <f t="array" aca="1" ref="F190" ca="1">IF(D190&lt;&gt;"",
IF(COUNTIF(C190,"*雙葉*"),
IF(ROUND(
IF(O190&lt;&gt;"",(H190-O190),H190)
/IF(COUNTIF('盛付札（関数）'!D190,"*キャラ*"),
VLOOKUP("*キャラ*",#REF!,7,FALSE),
IF(COUNTIF('盛付札（関数）'!D190,"*赤*"),
VLOOKUP("*赤*",#REF!,7,FALSE),
VLOOKUP('盛付札（関数）'!D190,#REF!,7,FALSE))),0)&lt;=0,1,
ROUND(
IF(O190&lt;&gt;"",(H190-O190),H190)
/IF(COUNTIF('盛付札（関数）'!D190,"*キャラ*"),
VLOOKUP("*キャラ*",#REF!,7,FALSE),
IF(COUNTIF('盛付札（関数）'!D190,"*赤*"),
VLOOKUP("*赤*",#REF!,7,FALSE),
VLOOKUP('盛付札（関数）'!D190,#REF!,7,FALSE))),0)),
IF(MATCH(TRUE,
ISNUMBER(--INDIRECT("数出表_Excel!B"&amp;MATCH(C190,数出表_Excel!$A:$A,0)-1&amp;":U"&amp;MATCH(C190,数出表_Excel!$A:$A,0)-1&amp;"")),0)&gt;10,
IF(D190&lt;&gt;"",
IF(IF(COUNTIF('盛付札（関数）'!D190,"*キャラ*"),
VLOOKUP("*キャラ*",#REF!,7,FALSE),
IF(COUNTIF('盛付札（関数）'!D190,"*赤*"),
VLOOKUP("*赤*",#REF!,7,FALSE),
VLOOKUP('盛付札（関数）'!D190,#REF!,7,FALSE)))=0,"",
IF(ROUND(
IF(O190&lt;&gt;"",(H190-O190),H190)
/IF(COUNTIF('盛付札（関数）'!D190,"*キャラ*"),
VLOOKUP("*キャラ*",#REF!,7,FALSE),
IF(COUNTIF('盛付札（関数）'!D190,"*赤*"),
VLOOKUP("*赤*",#REF!,7,FALSE),
VLOOKUP('盛付札（関数）'!D190,#REF!,7,FALSE))),0)&lt;=0,1,
ROUND(
IF(O190&lt;&gt;"",(H190-O190),H190)
/IF(COUNTIF('盛付札（関数）'!D190,"*キャラ*"),
VLOOKUP("*キャラ*",#REF!,7,FALSE),
IF(COUNTIF('盛付札（関数）'!D190,"*赤*"),
VLOOKUP("*赤*",#REF!,7,FALSE),
VLOOKUP('盛付札（関数）'!D190,#REF!,7,FALSE))),0))),""),"")),"")</f>
        <v/>
      </c>
      <c r="G190" s="206" t="str">
        <f ca="1">IF(F190&lt;&gt;"",IF(VALUE(IF(O190&lt;&gt;"",H190-O190,H190))&gt;VALUE(IF(COUNTIF('盛付札（関数）'!D190,"*キャラ*"),
VLOOKUP("*キャラ*",#REF!,7,FALSE),
IF(COUNTIF('盛付札（関数）'!D190,"*赤*"),
VLOOKUP("*赤*",#REF!,7,FALSE),
VLOOKUP('盛付札（関数）'!D190,#REF!,7,FALSE)))*F190),
"+"&amp;IF(O190&lt;&gt;"",H190-O190,H190)-IF(COUNTIF('盛付札（関数）'!D190,"*キャラ*"),
VLOOKUP("*キャラ*",#REF!,7,FALSE),
IF(COUNTIF('盛付札（関数）'!D190,"*赤*"),
VLOOKUP("*赤*",#REF!,7,FALSE),
VLOOKUP('盛付札（関数）'!D190,#REF!,7,FALSE)))*F190,
IF(O190&lt;&gt;"",H190-O190,H190)-IF(COUNTIF('盛付札（関数）'!D190,"*キャラ*"),
VLOOKUP("*キャラ*",#REF!,7,FALSE),
IF(COUNTIF('盛付札（関数）'!D190,"*赤*"),
VLOOKUP("*赤*",#REF!,7,FALSE),
VLOOKUP('盛付札（関数）'!D190,#REF!,7,FALSE)))*F190),"")</f>
        <v/>
      </c>
      <c r="H190" s="205" t="str" cm="1">
        <f t="array" aca="1" ref="H190" ca="1">IF(C190&lt;&gt;"",
IF(INDIRECT("数出表_Excel!"&amp;RIGHT(SUBSTITUTE(クライアント抽出!V50,",",""),1)&amp;A190-1&amp;"")&lt;&gt;"",
INDIRECT("数出表_Excel!"&amp;RIGHT(SUBSTITUTE(クライアント抽出!V50,",",""),1)&amp;A190-1&amp;""),0),"")</f>
        <v/>
      </c>
      <c r="I190" s="203" t="str" cm="1">
        <f t="array" aca="1" ref="I190" ca="1">IF(C190&lt;&gt;"",
IF(INDIRECT("数出表_Excel!"&amp;RIGHT(SUBSTITUTE(クライアント抽出!V50,",",""),1)&amp;A190&amp;"")&lt;&gt;"",
INDIRECT("数出表_Excel!"&amp;RIGHT(SUBSTITUTE(クライアント抽出!V50,",",""),1)&amp;A190&amp;""),0),"")</f>
        <v/>
      </c>
      <c r="J190" s="203" t="str">
        <f ca="1">IF(C190&lt;&gt;"",
VLOOKUP(
IF(COUNTIF(D190,"*学食*"),"キャラ弁（学食）",
IF(COUNTIF(D190,"*赤*"),"赤",
IF(COUNTIF(D190,"*キャラ弁当*"),"キャラ弁当",D190))),注文弁当の抽出!$E$1:$F$15,2,FALSE),"")</f>
        <v/>
      </c>
      <c r="K190" s="203" t="str">
        <f t="shared" ca="1" si="56"/>
        <v/>
      </c>
      <c r="L190" s="203" t="str">
        <f t="shared" ca="1" si="57"/>
        <v/>
      </c>
      <c r="M190" s="203" cm="1">
        <f t="array" aca="1" ref="M190" ca="1">IF(C190&lt;&gt;"",
IF(IFERROR(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0)&lt;&gt;0,
IF(IFERROR(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"")="",
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""),
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0)),0),0)</f>
        <v>0</v>
      </c>
      <c r="N190" s="203" t="e">
        <f t="array" aca="1" ref="N190" ca="1">IF(B190="博多",
IF(C190&lt;&gt;"",
IF(IFERROR(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0)&lt;&gt;0,
IF(IFERROR(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0)="",
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0),
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0)),0),""),0)</f>
        <v>#N/A</v>
      </c>
      <c r="O190" s="203" t="e">
        <f t="shared" ca="1" si="58"/>
        <v>#N/A</v>
      </c>
      <c r="P190" s="203">
        <f t="shared" ca="1" si="4"/>
        <v>0</v>
      </c>
      <c r="Q190" s="203" t="b">
        <f t="shared" ca="1" si="59"/>
        <v>0</v>
      </c>
      <c r="R190" s="51" t="str" cm="1">
        <f t="array" aca="1" ref="R190" ca="1">IFERROR(SMALL(IF(P$1:P$300&lt;&gt;0,P$1:P$300),ROW(A190)),"")</f>
        <v/>
      </c>
      <c r="S190" s="51" t="str">
        <f t="array" aca="1" ref="S190" ca="1">IF($R190&lt;&gt;"",
INDIRECT(""&amp;IF(COLUMN(C210)&lt;=26,CHAR(COLUMN(C210)+64),CHAR(INT((COLUMN(C210)-1)/26)+64)&amp;CHAR(MOD(COLUMN(C210)-1,26)+65))&amp;$R190&amp;""),"")</f>
        <v/>
      </c>
      <c r="T190" s="51" t="str" cm="1">
        <f t="array" aca="1" ref="T190" ca="1">IF(IF($R190&lt;&gt;"",
INDIRECT(""&amp;IF(COLUMN(D210)&lt;=26,CHAR(COLUMN(D210)+64),CHAR(INT((COLUMN(D210)-1)/26)+64)&amp;CHAR(MOD(COLUMN(D210)-1,26)+65))&amp;$R190&amp;""),"")=0,"",
IF($R190&lt;&gt;"",
INDIRECT(""&amp;IF(COLUMN(D210)&lt;=26,CHAR(COLUMN(D210)+64),CHAR(INT((COLUMN(D210)-1)/26)+64)&amp;CHAR(MOD(COLUMN(D210)-1,26)+65))&amp;$R190&amp;""),""))</f>
        <v/>
      </c>
      <c r="U190" s="51"/>
      <c r="V190" s="51" t="str">
        <f t="array" aca="1" ref="V190" ca="1">IF($R190&lt;&gt;"",
IF(U190="",
IF(INDIRECT("EY"&amp;$R190&amp;"")&lt;&gt;"",
INDIRECT("EY"&amp;$R190&amp;"")&amp;"箱"
&amp;INDIRECT("EZ"&amp;$R190&amp;""),""),""),"")</f>
        <v/>
      </c>
      <c r="W190" s="51" t="str">
        <f t="array" aca="1" ref="W190" ca="1">IF($R190&lt;&gt;"",
INDIRECT(""&amp;IF(COLUMN(H210)&lt;=26,CHAR(COLUMN(H210)+64),CHAR(INT((COLUMN(H210)-1)/26)+64)&amp;CHAR(MOD(COLUMN(H210)-1,26)+65))&amp;$R190&amp;""),"")</f>
        <v/>
      </c>
      <c r="X190" s="51" t="str">
        <f t="array" aca="1" ref="X190" ca="1">IF($R190&lt;&gt;"",
INDIRECT(""&amp;IF(COLUMN(I210)&lt;=26,CHAR(COLUMN(I210)+64),CHAR(INT((COLUMN(I210)-1)/26)+64)&amp;CHAR(MOD(COLUMN(I210)-1,26)+65))&amp;$R190&amp;""),"")</f>
        <v/>
      </c>
      <c r="Y190" s="51" t="str">
        <f t="array" aca="1" ref="Y190" ca="1">IF($R190&lt;&gt;"",
INDIRECT(""&amp;IF(COLUMN(J210)&lt;=26,CHAR(COLUMN(J210)+64),CHAR(INT((COLUMN(J210)-1)/26)+64)&amp;CHAR(MOD(COLUMN(J210)-1,26)+65))&amp;$R190&amp;""),"")</f>
        <v/>
      </c>
      <c r="Z190" s="51" t="str">
        <f t="array" aca="1" ref="Z190" ca="1">IF($R190&lt;&gt;"",
INDIRECT(""&amp;IF(COLUMN(K210)&lt;=26,CHAR(COLUMN(K210)+64),CHAR(INT((COLUMN(K210)-1)/26)+64)&amp;CHAR(MOD(COLUMN(K210)-1,26)+65))&amp;$R190&amp;""),"")</f>
        <v/>
      </c>
      <c r="AA190" s="51" t="str">
        <f t="array" aca="1" ref="AA190" ca="1">IF($R190&lt;&gt;"",
INDIRECT(""&amp;IF(COLUMN(L210)&lt;=26,CHAR(COLUMN(L210)+64),CHAR(INT((COLUMN(L210)-1)/26)+64)&amp;CHAR(MOD(COLUMN(L210)-1,26)+65))&amp;$R190&amp;""),"")</f>
        <v/>
      </c>
      <c r="AB190" s="51" t="str">
        <f t="array" aca="1" ref="AB190" ca="1">IF($R190&lt;&gt;"",
INDIRECT(""&amp;IF(COLUMN(O210)&lt;=26,CHAR(COLUMN(O210)+64),CHAR(INT((COLUMN(O210)-1)/26)+64)&amp;CHAR(MOD(COLUMN(O210)-1,26)+65))&amp;$R190&amp;""),"")</f>
        <v/>
      </c>
    </row>
    <row r="191" spans="1:28" ht="22.2" customHeight="1">
      <c r="A191" s="204">
        <f t="shared" si="55"/>
        <v>107</v>
      </c>
      <c r="B191" s="203" t="e" cm="1">
        <f t="array" aca="1" ref="B191" ca="1">IF(AND(LEFT(C191,2)="博多",
LEFT(INDIRECT("数出表_Excel!A"&amp;MATCH(C191,数出表_Excel!$A:$A,0)-1),2)
=LEFT(INDIRECT("数出表_Excel!A"&amp;MATCH(C191,数出表_Excel!$A:$A,0)+1),2)),"博多",
IF(AND(LEFT(C191,3)="奈良屋",
LEFT(INDIRECT("数出表_Excel!A"&amp;MATCH(C191,数出表_Excel!$A:$A,0)-1),2)
=LEFT(INDIRECT("数出表_Excel!A"&amp;MATCH(C191,数出表_Excel!$A:$A,0)+1),2)),"奈良屋",""))</f>
        <v>#N/A</v>
      </c>
      <c r="C191" s="203" t="str" cm="1">
        <f t="array" aca="1" ref="C191" ca="1">IF(IF(クライアント抽出!A51="",0,LEN(クライアント抽出!V51)-LEN(SUBSTITUTE(クライアント抽出!V51,",","")))&gt;=3,INDIRECT("数出表_Excel!A"&amp;A191&amp;""),"")</f>
        <v/>
      </c>
      <c r="D191" s="203" t="str" cm="1">
        <f t="array" aca="1" ref="D191" ca="1">IF(C191&lt;&gt;"",INDIRECT("クライアント抽出!"&amp;E191&amp;MATCH(C191,クライアント抽出!A:A,0)&amp;""),"")</f>
        <v/>
      </c>
      <c r="E191" s="203" t="str">
        <f ca="1">IF(H191&lt;&gt;0,
IFERROR(
SUBSTITUTE(ADDRESS(1,
MATCH(VALUE(H191),クライアント抽出!A51:G51,0)+8,4),"1",""),
""),
IFERROR(
SUBSTITUTE(ADDRESS(1,
MATCH(VALUE(I191),クライアント抽出!A51:G51,0)+8,4),"1",""),
""))</f>
        <v/>
      </c>
      <c r="F191" s="206" t="str" cm="1">
        <f t="array" aca="1" ref="F191" ca="1">IF(D191&lt;&gt;"",
IF(COUNTIF(C191,"*雙葉*"),
IF(ROUND(
IF(O191&lt;&gt;"",(H191-O191),H191)
/IF(COUNTIF('盛付札（関数）'!D191,"*キャラ*"),
VLOOKUP("*キャラ*",#REF!,7,FALSE),
IF(COUNTIF('盛付札（関数）'!D191,"*赤*"),
VLOOKUP("*赤*",#REF!,7,FALSE),
VLOOKUP('盛付札（関数）'!D191,#REF!,7,FALSE))),0)&lt;=0,1,
ROUND(
IF(O191&lt;&gt;"",(H191-O191),H191)
/IF(COUNTIF('盛付札（関数）'!D191,"*キャラ*"),
VLOOKUP("*キャラ*",#REF!,7,FALSE),
IF(COUNTIF('盛付札（関数）'!D191,"*赤*"),
VLOOKUP("*赤*",#REF!,7,FALSE),
VLOOKUP('盛付札（関数）'!D191,#REF!,7,FALSE))),0)),
IF(MATCH(TRUE,
ISNUMBER(--INDIRECT("数出表_Excel!B"&amp;MATCH(C191,数出表_Excel!$A:$A,0)-1&amp;":U"&amp;MATCH(C191,数出表_Excel!$A:$A,0)-1&amp;"")),0)&gt;10,
IF(D191&lt;&gt;"",
IF(IF(COUNTIF('盛付札（関数）'!D191,"*キャラ*"),
VLOOKUP("*キャラ*",#REF!,7,FALSE),
IF(COUNTIF('盛付札（関数）'!D191,"*赤*"),
VLOOKUP("*赤*",#REF!,7,FALSE),
VLOOKUP('盛付札（関数）'!D191,#REF!,7,FALSE)))=0,"",
IF(ROUND(
IF(O191&lt;&gt;"",(H191-O191),H191)
/IF(COUNTIF('盛付札（関数）'!D191,"*キャラ*"),
VLOOKUP("*キャラ*",#REF!,7,FALSE),
IF(COUNTIF('盛付札（関数）'!D191,"*赤*"),
VLOOKUP("*赤*",#REF!,7,FALSE),
VLOOKUP('盛付札（関数）'!D191,#REF!,7,FALSE))),0)&lt;=0,1,
ROUND(
IF(O191&lt;&gt;"",(H191-O191),H191)
/IF(COUNTIF('盛付札（関数）'!D191,"*キャラ*"),
VLOOKUP("*キャラ*",#REF!,7,FALSE),
IF(COUNTIF('盛付札（関数）'!D191,"*赤*"),
VLOOKUP("*赤*",#REF!,7,FALSE),
VLOOKUP('盛付札（関数）'!D191,#REF!,7,FALSE))),0))),""),"")),"")</f>
        <v/>
      </c>
      <c r="G191" s="206" t="str">
        <f ca="1">IF(F191&lt;&gt;"",IF(VALUE(IF(O191&lt;&gt;"",H191-O191,H191))&gt;VALUE(IF(COUNTIF('盛付札（関数）'!D191,"*キャラ*"),
VLOOKUP("*キャラ*",#REF!,7,FALSE),
IF(COUNTIF('盛付札（関数）'!D191,"*赤*"),
VLOOKUP("*赤*",#REF!,7,FALSE),
VLOOKUP('盛付札（関数）'!D191,#REF!,7,FALSE)))*F191),
"+"&amp;IF(O191&lt;&gt;"",H191-O191,H191)-IF(COUNTIF('盛付札（関数）'!D191,"*キャラ*"),
VLOOKUP("*キャラ*",#REF!,7,FALSE),
IF(COUNTIF('盛付札（関数）'!D191,"*赤*"),
VLOOKUP("*赤*",#REF!,7,FALSE),
VLOOKUP('盛付札（関数）'!D191,#REF!,7,FALSE)))*F191,
IF(O191&lt;&gt;"",H191-O191,H191)-IF(COUNTIF('盛付札（関数）'!D191,"*キャラ*"),
VLOOKUP("*キャラ*",#REF!,7,FALSE),
IF(COUNTIF('盛付札（関数）'!D191,"*赤*"),
VLOOKUP("*赤*",#REF!,7,FALSE),
VLOOKUP('盛付札（関数）'!D191,#REF!,7,FALSE)))*F191),"")</f>
        <v/>
      </c>
      <c r="H191" s="205" t="str" cm="1">
        <f t="array" aca="1" ref="H191" ca="1">IF(C191&lt;&gt;"",
IF(INDIRECT("数出表_Excel!"&amp;RIGHT(SUBSTITUTE(クライアント抽出!V51,",",""),1)&amp;A191-1&amp;"")&lt;&gt;"",
INDIRECT("数出表_Excel!"&amp;RIGHT(SUBSTITUTE(クライアント抽出!V51,",",""),1)&amp;A191-1&amp;""),0),"")</f>
        <v/>
      </c>
      <c r="I191" s="203" t="str" cm="1">
        <f t="array" aca="1" ref="I191" ca="1">IF(C191&lt;&gt;"",
IF(INDIRECT("数出表_Excel!"&amp;RIGHT(SUBSTITUTE(クライアント抽出!V51,",",""),1)&amp;A191&amp;"")&lt;&gt;"",
INDIRECT("数出表_Excel!"&amp;RIGHT(SUBSTITUTE(クライアント抽出!V51,",",""),1)&amp;A191&amp;""),0),"")</f>
        <v/>
      </c>
      <c r="J191" s="203" t="str">
        <f ca="1">IF(C191&lt;&gt;"",
VLOOKUP(
IF(COUNTIF(D191,"*学食*"),"キャラ弁（学食）",
IF(COUNTIF(D191,"*赤*"),"赤",
IF(COUNTIF(D191,"*キャラ弁当*"),"キャラ弁当",D191))),注文弁当の抽出!$E$1:$F$15,2,FALSE),"")</f>
        <v/>
      </c>
      <c r="K191" s="203" t="str">
        <f t="shared" ca="1" si="56"/>
        <v/>
      </c>
      <c r="L191" s="203" t="str">
        <f t="shared" ca="1" si="57"/>
        <v/>
      </c>
      <c r="M191" s="203" cm="1">
        <f t="array" aca="1" ref="M191" ca="1">IF(C191&lt;&gt;"",
IF(IFERROR(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0)&lt;&gt;0,
IF(IFERROR(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"")="",
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""),
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0)),0),0)</f>
        <v>0</v>
      </c>
      <c r="N191" s="203" t="e">
        <f t="array" aca="1" ref="N191" ca="1">IF(B191="博多",
IF(C191&lt;&gt;"",
IF(IFERROR(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0)&lt;&gt;0,
IF(IFERROR(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0)="",
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0),
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0)),0),""),0)</f>
        <v>#N/A</v>
      </c>
      <c r="O191" s="203" t="e">
        <f t="shared" ca="1" si="58"/>
        <v>#N/A</v>
      </c>
      <c r="P191" s="203">
        <f t="shared" ca="1" si="4"/>
        <v>0</v>
      </c>
      <c r="Q191" s="203" t="b">
        <f t="shared" ca="1" si="59"/>
        <v>0</v>
      </c>
      <c r="R191" s="51" t="str" cm="1">
        <f t="array" aca="1" ref="R191" ca="1">IFERROR(SMALL(IF(P$1:P$300&lt;&gt;0,P$1:P$300),ROW(A191)),"")</f>
        <v/>
      </c>
      <c r="S191" s="51" t="str">
        <f t="array" aca="1" ref="S191" ca="1">IF($R191&lt;&gt;"",
INDIRECT(""&amp;IF(COLUMN(C211)&lt;=26,CHAR(COLUMN(C211)+64),CHAR(INT((COLUMN(C211)-1)/26)+64)&amp;CHAR(MOD(COLUMN(C211)-1,26)+65))&amp;$R191&amp;""),"")</f>
        <v/>
      </c>
      <c r="T191" s="51" t="str" cm="1">
        <f t="array" aca="1" ref="T191" ca="1">IF(IF($R191&lt;&gt;"",
INDIRECT(""&amp;IF(COLUMN(D211)&lt;=26,CHAR(COLUMN(D211)+64),CHAR(INT((COLUMN(D211)-1)/26)+64)&amp;CHAR(MOD(COLUMN(D211)-1,26)+65))&amp;$R191&amp;""),"")=0,"",
IF($R191&lt;&gt;"",
INDIRECT(""&amp;IF(COLUMN(D211)&lt;=26,CHAR(COLUMN(D211)+64),CHAR(INT((COLUMN(D211)-1)/26)+64)&amp;CHAR(MOD(COLUMN(D211)-1,26)+65))&amp;$R191&amp;""),""))</f>
        <v/>
      </c>
      <c r="U191" s="51"/>
      <c r="V191" s="51" t="str">
        <f t="array" aca="1" ref="V191" ca="1">IF($R191&lt;&gt;"",
IF(U191="",
IF(INDIRECT("EY"&amp;$R191&amp;"")&lt;&gt;"",
INDIRECT("EY"&amp;$R191&amp;"")&amp;"箱"
&amp;INDIRECT("EZ"&amp;$R191&amp;""),""),""),"")</f>
        <v/>
      </c>
      <c r="W191" s="51" t="str">
        <f t="array" aca="1" ref="W191" ca="1">IF($R191&lt;&gt;"",
INDIRECT(""&amp;IF(COLUMN(H211)&lt;=26,CHAR(COLUMN(H211)+64),CHAR(INT((COLUMN(H211)-1)/26)+64)&amp;CHAR(MOD(COLUMN(H211)-1,26)+65))&amp;$R191&amp;""),"")</f>
        <v/>
      </c>
      <c r="X191" s="51" t="str">
        <f t="array" aca="1" ref="X191" ca="1">IF($R191&lt;&gt;"",
INDIRECT(""&amp;IF(COLUMN(I211)&lt;=26,CHAR(COLUMN(I211)+64),CHAR(INT((COLUMN(I211)-1)/26)+64)&amp;CHAR(MOD(COLUMN(I211)-1,26)+65))&amp;$R191&amp;""),"")</f>
        <v/>
      </c>
      <c r="Y191" s="51" t="str">
        <f t="array" aca="1" ref="Y191" ca="1">IF($R191&lt;&gt;"",
INDIRECT(""&amp;IF(COLUMN(J211)&lt;=26,CHAR(COLUMN(J211)+64),CHAR(INT((COLUMN(J211)-1)/26)+64)&amp;CHAR(MOD(COLUMN(J211)-1,26)+65))&amp;$R191&amp;""),"")</f>
        <v/>
      </c>
      <c r="Z191" s="51" t="str">
        <f t="array" aca="1" ref="Z191" ca="1">IF($R191&lt;&gt;"",
INDIRECT(""&amp;IF(COLUMN(K211)&lt;=26,CHAR(COLUMN(K211)+64),CHAR(INT((COLUMN(K211)-1)/26)+64)&amp;CHAR(MOD(COLUMN(K211)-1,26)+65))&amp;$R191&amp;""),"")</f>
        <v/>
      </c>
      <c r="AA191" s="51" t="str">
        <f t="array" aca="1" ref="AA191" ca="1">IF($R191&lt;&gt;"",
INDIRECT(""&amp;IF(COLUMN(L211)&lt;=26,CHAR(COLUMN(L211)+64),CHAR(INT((COLUMN(L211)-1)/26)+64)&amp;CHAR(MOD(COLUMN(L211)-1,26)+65))&amp;$R191&amp;""),"")</f>
        <v/>
      </c>
      <c r="AB191" s="51" t="str">
        <f t="array" aca="1" ref="AB191" ca="1">IF($R191&lt;&gt;"",
INDIRECT(""&amp;IF(COLUMN(O211)&lt;=26,CHAR(COLUMN(O211)+64),CHAR(INT((COLUMN(O211)-1)/26)+64)&amp;CHAR(MOD(COLUMN(O211)-1,26)+65))&amp;$R191&amp;""),"")</f>
        <v/>
      </c>
    </row>
    <row r="192" spans="1:28" ht="22.2" customHeight="1">
      <c r="A192" s="204">
        <f t="shared" si="55"/>
        <v>109</v>
      </c>
      <c r="B192" s="203" t="e" cm="1">
        <f t="array" aca="1" ref="B192" ca="1">IF(AND(LEFT(C192,2)="博多",
LEFT(INDIRECT("数出表_Excel!A"&amp;MATCH(C192,数出表_Excel!$A:$A,0)-1),2)
=LEFT(INDIRECT("数出表_Excel!A"&amp;MATCH(C192,数出表_Excel!$A:$A,0)+1),2)),"博多",
IF(AND(LEFT(C192,3)="奈良屋",
LEFT(INDIRECT("数出表_Excel!A"&amp;MATCH(C192,数出表_Excel!$A:$A,0)-1),2)
=LEFT(INDIRECT("数出表_Excel!A"&amp;MATCH(C192,数出表_Excel!$A:$A,0)+1),2)),"奈良屋",""))</f>
        <v>#N/A</v>
      </c>
      <c r="C192" s="203" t="str" cm="1">
        <f t="array" aca="1" ref="C192" ca="1">IF(IF(クライアント抽出!A52="",0,LEN(クライアント抽出!V52)-LEN(SUBSTITUTE(クライアント抽出!V52,",","")))&gt;=3,INDIRECT("数出表_Excel!A"&amp;A192&amp;""),"")</f>
        <v/>
      </c>
      <c r="D192" s="203" t="str" cm="1">
        <f t="array" aca="1" ref="D192" ca="1">IF(C192&lt;&gt;"",INDIRECT("クライアント抽出!"&amp;E192&amp;MATCH(C192,クライアント抽出!A:A,0)&amp;""),"")</f>
        <v/>
      </c>
      <c r="E192" s="203" t="str">
        <f ca="1">IF(H192&lt;&gt;0,
IFERROR(
SUBSTITUTE(ADDRESS(1,
MATCH(VALUE(H192),クライアント抽出!A52:G52,0)+8,4),"1",""),
""),
IFERROR(
SUBSTITUTE(ADDRESS(1,
MATCH(VALUE(I192),クライアント抽出!A52:G52,0)+8,4),"1",""),
""))</f>
        <v/>
      </c>
      <c r="F192" s="206" t="str" cm="1">
        <f t="array" aca="1" ref="F192" ca="1">IF(D192&lt;&gt;"",
IF(COUNTIF(C192,"*雙葉*"),
IF(ROUND(
IF(O192&lt;&gt;"",(H192-O192),H192)
/IF(COUNTIF('盛付札（関数）'!D192,"*キャラ*"),
VLOOKUP("*キャラ*",#REF!,7,FALSE),
IF(COUNTIF('盛付札（関数）'!D192,"*赤*"),
VLOOKUP("*赤*",#REF!,7,FALSE),
VLOOKUP('盛付札（関数）'!D192,#REF!,7,FALSE))),0)&lt;=0,1,
ROUND(
IF(O192&lt;&gt;"",(H192-O192),H192)
/IF(COUNTIF('盛付札（関数）'!D192,"*キャラ*"),
VLOOKUP("*キャラ*",#REF!,7,FALSE),
IF(COUNTIF('盛付札（関数）'!D192,"*赤*"),
VLOOKUP("*赤*",#REF!,7,FALSE),
VLOOKUP('盛付札（関数）'!D192,#REF!,7,FALSE))),0)),
IF(MATCH(TRUE,
ISNUMBER(--INDIRECT("数出表_Excel!B"&amp;MATCH(C192,数出表_Excel!$A:$A,0)-1&amp;":U"&amp;MATCH(C192,数出表_Excel!$A:$A,0)-1&amp;"")),0)&gt;10,
IF(D192&lt;&gt;"",
IF(IF(COUNTIF('盛付札（関数）'!D192,"*キャラ*"),
VLOOKUP("*キャラ*",#REF!,7,FALSE),
IF(COUNTIF('盛付札（関数）'!D192,"*赤*"),
VLOOKUP("*赤*",#REF!,7,FALSE),
VLOOKUP('盛付札（関数）'!D192,#REF!,7,FALSE)))=0,"",
IF(ROUND(
IF(O192&lt;&gt;"",(H192-O192),H192)
/IF(COUNTIF('盛付札（関数）'!D192,"*キャラ*"),
VLOOKUP("*キャラ*",#REF!,7,FALSE),
IF(COUNTIF('盛付札（関数）'!D192,"*赤*"),
VLOOKUP("*赤*",#REF!,7,FALSE),
VLOOKUP('盛付札（関数）'!D192,#REF!,7,FALSE))),0)&lt;=0,1,
ROUND(
IF(O192&lt;&gt;"",(H192-O192),H192)
/IF(COUNTIF('盛付札（関数）'!D192,"*キャラ*"),
VLOOKUP("*キャラ*",#REF!,7,FALSE),
IF(COUNTIF('盛付札（関数）'!D192,"*赤*"),
VLOOKUP("*赤*",#REF!,7,FALSE),
VLOOKUP('盛付札（関数）'!D192,#REF!,7,FALSE))),0))),""),"")),"")</f>
        <v/>
      </c>
      <c r="G192" s="206" t="str">
        <f ca="1">IF(F192&lt;&gt;"",IF(VALUE(IF(O192&lt;&gt;"",H192-O192,H192))&gt;VALUE(IF(COUNTIF('盛付札（関数）'!D192,"*キャラ*"),
VLOOKUP("*キャラ*",#REF!,7,FALSE),
IF(COUNTIF('盛付札（関数）'!D192,"*赤*"),
VLOOKUP("*赤*",#REF!,7,FALSE),
VLOOKUP('盛付札（関数）'!D192,#REF!,7,FALSE)))*F192),
"+"&amp;IF(O192&lt;&gt;"",H192-O192,H192)-IF(COUNTIF('盛付札（関数）'!D192,"*キャラ*"),
VLOOKUP("*キャラ*",#REF!,7,FALSE),
IF(COUNTIF('盛付札（関数）'!D192,"*赤*"),
VLOOKUP("*赤*",#REF!,7,FALSE),
VLOOKUP('盛付札（関数）'!D192,#REF!,7,FALSE)))*F192,
IF(O192&lt;&gt;"",H192-O192,H192)-IF(COUNTIF('盛付札（関数）'!D192,"*キャラ*"),
VLOOKUP("*キャラ*",#REF!,7,FALSE),
IF(COUNTIF('盛付札（関数）'!D192,"*赤*"),
VLOOKUP("*赤*",#REF!,7,FALSE),
VLOOKUP('盛付札（関数）'!D192,#REF!,7,FALSE)))*F192),"")</f>
        <v/>
      </c>
      <c r="H192" s="205" t="str" cm="1">
        <f t="array" aca="1" ref="H192" ca="1">IF(C192&lt;&gt;"",
IF(INDIRECT("数出表_Excel!"&amp;RIGHT(SUBSTITUTE(クライアント抽出!V52,",",""),1)&amp;A192-1&amp;"")&lt;&gt;"",
INDIRECT("数出表_Excel!"&amp;RIGHT(SUBSTITUTE(クライアント抽出!V52,",",""),1)&amp;A192-1&amp;""),0),"")</f>
        <v/>
      </c>
      <c r="I192" s="203" t="str" cm="1">
        <f t="array" aca="1" ref="I192" ca="1">IF(C192&lt;&gt;"",
IF(INDIRECT("数出表_Excel!"&amp;RIGHT(SUBSTITUTE(クライアント抽出!V52,",",""),1)&amp;A192&amp;"")&lt;&gt;"",
INDIRECT("数出表_Excel!"&amp;RIGHT(SUBSTITUTE(クライアント抽出!V52,",",""),1)&amp;A192&amp;""),0),"")</f>
        <v/>
      </c>
      <c r="J192" s="203" t="str">
        <f ca="1">IF(C192&lt;&gt;"",
VLOOKUP(
IF(COUNTIF(D192,"*学食*"),"キャラ弁（学食）",
IF(COUNTIF(D192,"*赤*"),"赤",
IF(COUNTIF(D192,"*キャラ弁当*"),"キャラ弁当",D192))),注文弁当の抽出!$E$1:$F$15,2,FALSE),"")</f>
        <v/>
      </c>
      <c r="K192" s="203" t="str">
        <f t="shared" ca="1" si="56"/>
        <v/>
      </c>
      <c r="L192" s="203" t="str">
        <f t="shared" ca="1" si="57"/>
        <v/>
      </c>
      <c r="M192" s="203" cm="1">
        <f t="array" aca="1" ref="M192" ca="1">IF(C192&lt;&gt;"",
IF(IFERROR(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0)&lt;&gt;0,
IF(IFERROR(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"")="",
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""),
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0)),0),0)</f>
        <v>0</v>
      </c>
      <c r="N192" s="203" t="e">
        <f t="array" aca="1" ref="N192" ca="1">IF(B192="博多",
IF(C192&lt;&gt;"",
IF(IFERROR(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0)&lt;&gt;0,
IF(IFERROR(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0)="",
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0),
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0)),0),""),0)</f>
        <v>#N/A</v>
      </c>
      <c r="O192" s="203" t="e">
        <f t="shared" ca="1" si="58"/>
        <v>#N/A</v>
      </c>
      <c r="P192" s="203">
        <f t="shared" ca="1" si="4"/>
        <v>0</v>
      </c>
      <c r="Q192" s="203" t="b">
        <f t="shared" ca="1" si="59"/>
        <v>0</v>
      </c>
      <c r="R192" s="51" t="str" cm="1">
        <f t="array" aca="1" ref="R192" ca="1">IFERROR(SMALL(IF(P$1:P$300&lt;&gt;0,P$1:P$300),ROW(A192)),"")</f>
        <v/>
      </c>
      <c r="S192" s="51" t="str">
        <f t="array" aca="1" ref="S192" ca="1">IF($R192&lt;&gt;"",
INDIRECT(""&amp;IF(COLUMN(C212)&lt;=26,CHAR(COLUMN(C212)+64),CHAR(INT((COLUMN(C212)-1)/26)+64)&amp;CHAR(MOD(COLUMN(C212)-1,26)+65))&amp;$R192&amp;""),"")</f>
        <v/>
      </c>
      <c r="T192" s="51" t="str" cm="1">
        <f t="array" aca="1" ref="T192" ca="1">IF(IF($R192&lt;&gt;"",
INDIRECT(""&amp;IF(COLUMN(D212)&lt;=26,CHAR(COLUMN(D212)+64),CHAR(INT((COLUMN(D212)-1)/26)+64)&amp;CHAR(MOD(COLUMN(D212)-1,26)+65))&amp;$R192&amp;""),"")=0,"",
IF($R192&lt;&gt;"",
INDIRECT(""&amp;IF(COLUMN(D212)&lt;=26,CHAR(COLUMN(D212)+64),CHAR(INT((COLUMN(D212)-1)/26)+64)&amp;CHAR(MOD(COLUMN(D212)-1,26)+65))&amp;$R192&amp;""),""))</f>
        <v/>
      </c>
      <c r="U192" s="51"/>
      <c r="V192" s="51" t="str">
        <f t="array" aca="1" ref="V192" ca="1">IF($R192&lt;&gt;"",
IF(U192="",
IF(INDIRECT("EY"&amp;$R192&amp;"")&lt;&gt;"",
INDIRECT("EY"&amp;$R192&amp;"")&amp;"箱"
&amp;INDIRECT("EZ"&amp;$R192&amp;""),""),""),"")</f>
        <v/>
      </c>
      <c r="W192" s="51" t="str">
        <f t="array" aca="1" ref="W192" ca="1">IF($R192&lt;&gt;"",
INDIRECT(""&amp;IF(COLUMN(H212)&lt;=26,CHAR(COLUMN(H212)+64),CHAR(INT((COLUMN(H212)-1)/26)+64)&amp;CHAR(MOD(COLUMN(H212)-1,26)+65))&amp;$R192&amp;""),"")</f>
        <v/>
      </c>
      <c r="X192" s="51" t="str">
        <f t="array" aca="1" ref="X192" ca="1">IF($R192&lt;&gt;"",
INDIRECT(""&amp;IF(COLUMN(I212)&lt;=26,CHAR(COLUMN(I212)+64),CHAR(INT((COLUMN(I212)-1)/26)+64)&amp;CHAR(MOD(COLUMN(I212)-1,26)+65))&amp;$R192&amp;""),"")</f>
        <v/>
      </c>
      <c r="Y192" s="51" t="str">
        <f t="array" aca="1" ref="Y192" ca="1">IF($R192&lt;&gt;"",
INDIRECT(""&amp;IF(COLUMN(J212)&lt;=26,CHAR(COLUMN(J212)+64),CHAR(INT((COLUMN(J212)-1)/26)+64)&amp;CHAR(MOD(COLUMN(J212)-1,26)+65))&amp;$R192&amp;""),"")</f>
        <v/>
      </c>
      <c r="Z192" s="51" t="str">
        <f t="array" aca="1" ref="Z192" ca="1">IF($R192&lt;&gt;"",
INDIRECT(""&amp;IF(COLUMN(K212)&lt;=26,CHAR(COLUMN(K212)+64),CHAR(INT((COLUMN(K212)-1)/26)+64)&amp;CHAR(MOD(COLUMN(K212)-1,26)+65))&amp;$R192&amp;""),"")</f>
        <v/>
      </c>
      <c r="AA192" s="51" t="str">
        <f t="array" aca="1" ref="AA192" ca="1">IF($R192&lt;&gt;"",
INDIRECT(""&amp;IF(COLUMN(L212)&lt;=26,CHAR(COLUMN(L212)+64),CHAR(INT((COLUMN(L212)-1)/26)+64)&amp;CHAR(MOD(COLUMN(L212)-1,26)+65))&amp;$R192&amp;""),"")</f>
        <v/>
      </c>
      <c r="AB192" s="51" t="str">
        <f t="array" aca="1" ref="AB192" ca="1">IF($R192&lt;&gt;"",
INDIRECT(""&amp;IF(COLUMN(O212)&lt;=26,CHAR(COLUMN(O212)+64),CHAR(INT((COLUMN(O212)-1)/26)+64)&amp;CHAR(MOD(COLUMN(O212)-1,26)+65))&amp;$R192&amp;""),"")</f>
        <v/>
      </c>
    </row>
    <row r="193" spans="1:28" ht="22.2" customHeight="1">
      <c r="A193" s="204">
        <f t="shared" si="55"/>
        <v>111</v>
      </c>
      <c r="B193" s="203" t="e" cm="1">
        <f t="array" aca="1" ref="B193" ca="1">IF(AND(LEFT(C193,2)="博多",
LEFT(INDIRECT("数出表_Excel!A"&amp;MATCH(C193,数出表_Excel!$A:$A,0)-1),2)
=LEFT(INDIRECT("数出表_Excel!A"&amp;MATCH(C193,数出表_Excel!$A:$A,0)+1),2)),"博多",
IF(AND(LEFT(C193,3)="奈良屋",
LEFT(INDIRECT("数出表_Excel!A"&amp;MATCH(C193,数出表_Excel!$A:$A,0)-1),2)
=LEFT(INDIRECT("数出表_Excel!A"&amp;MATCH(C193,数出表_Excel!$A:$A,0)+1),2)),"奈良屋",""))</f>
        <v>#N/A</v>
      </c>
      <c r="C193" s="203" t="str" cm="1">
        <f t="array" aca="1" ref="C193" ca="1">IF(IF(クライアント抽出!A53="",0,LEN(クライアント抽出!V53)-LEN(SUBSTITUTE(クライアント抽出!V53,",","")))&gt;=3,INDIRECT("数出表_Excel!A"&amp;A193&amp;""),"")</f>
        <v/>
      </c>
      <c r="D193" s="203" t="str" cm="1">
        <f t="array" aca="1" ref="D193" ca="1">IF(C193&lt;&gt;"",INDIRECT("クライアント抽出!"&amp;E193&amp;MATCH(C193,クライアント抽出!A:A,0)&amp;""),"")</f>
        <v/>
      </c>
      <c r="E193" s="203" t="str">
        <f ca="1">IF(H193&lt;&gt;0,
IFERROR(
SUBSTITUTE(ADDRESS(1,
MATCH(VALUE(H193),クライアント抽出!A53:G53,0)+8,4),"1",""),
""),
IFERROR(
SUBSTITUTE(ADDRESS(1,
MATCH(VALUE(I193),クライアント抽出!A53:G53,0)+8,4),"1",""),
""))</f>
        <v/>
      </c>
      <c r="F193" s="206" t="str" cm="1">
        <f t="array" aca="1" ref="F193" ca="1">IF(D193&lt;&gt;"",
IF(COUNTIF(C193,"*雙葉*"),
IF(ROUND(
IF(O193&lt;&gt;"",(H193-O193),H193)
/IF(COUNTIF('盛付札（関数）'!D193,"*キャラ*"),
VLOOKUP("*キャラ*",#REF!,7,FALSE),
IF(COUNTIF('盛付札（関数）'!D193,"*赤*"),
VLOOKUP("*赤*",#REF!,7,FALSE),
VLOOKUP('盛付札（関数）'!D193,#REF!,7,FALSE))),0)&lt;=0,1,
ROUND(
IF(O193&lt;&gt;"",(H193-O193),H193)
/IF(COUNTIF('盛付札（関数）'!D193,"*キャラ*"),
VLOOKUP("*キャラ*",#REF!,7,FALSE),
IF(COUNTIF('盛付札（関数）'!D193,"*赤*"),
VLOOKUP("*赤*",#REF!,7,FALSE),
VLOOKUP('盛付札（関数）'!D193,#REF!,7,FALSE))),0)),
IF(MATCH(TRUE,
ISNUMBER(--INDIRECT("数出表_Excel!B"&amp;MATCH(C193,数出表_Excel!$A:$A,0)-1&amp;":U"&amp;MATCH(C193,数出表_Excel!$A:$A,0)-1&amp;"")),0)&gt;10,
IF(D193&lt;&gt;"",
IF(IF(COUNTIF('盛付札（関数）'!D193,"*キャラ*"),
VLOOKUP("*キャラ*",#REF!,7,FALSE),
IF(COUNTIF('盛付札（関数）'!D193,"*赤*"),
VLOOKUP("*赤*",#REF!,7,FALSE),
VLOOKUP('盛付札（関数）'!D193,#REF!,7,FALSE)))=0,"",
IF(ROUND(
IF(O193&lt;&gt;"",(H193-O193),H193)
/IF(COUNTIF('盛付札（関数）'!D193,"*キャラ*"),
VLOOKUP("*キャラ*",#REF!,7,FALSE),
IF(COUNTIF('盛付札（関数）'!D193,"*赤*"),
VLOOKUP("*赤*",#REF!,7,FALSE),
VLOOKUP('盛付札（関数）'!D193,#REF!,7,FALSE))),0)&lt;=0,1,
ROUND(
IF(O193&lt;&gt;"",(H193-O193),H193)
/IF(COUNTIF('盛付札（関数）'!D193,"*キャラ*"),
VLOOKUP("*キャラ*",#REF!,7,FALSE),
IF(COUNTIF('盛付札（関数）'!D193,"*赤*"),
VLOOKUP("*赤*",#REF!,7,FALSE),
VLOOKUP('盛付札（関数）'!D193,#REF!,7,FALSE))),0))),""),"")),"")</f>
        <v/>
      </c>
      <c r="G193" s="206" t="str">
        <f ca="1">IF(F193&lt;&gt;"",IF(VALUE(IF(O193&lt;&gt;"",H193-O193,H193))&gt;VALUE(IF(COUNTIF('盛付札（関数）'!D193,"*キャラ*"),
VLOOKUP("*キャラ*",#REF!,7,FALSE),
IF(COUNTIF('盛付札（関数）'!D193,"*赤*"),
VLOOKUP("*赤*",#REF!,7,FALSE),
VLOOKUP('盛付札（関数）'!D193,#REF!,7,FALSE)))*F193),
"+"&amp;IF(O193&lt;&gt;"",H193-O193,H193)-IF(COUNTIF('盛付札（関数）'!D193,"*キャラ*"),
VLOOKUP("*キャラ*",#REF!,7,FALSE),
IF(COUNTIF('盛付札（関数）'!D193,"*赤*"),
VLOOKUP("*赤*",#REF!,7,FALSE),
VLOOKUP('盛付札（関数）'!D193,#REF!,7,FALSE)))*F193,
IF(O193&lt;&gt;"",H193-O193,H193)-IF(COUNTIF('盛付札（関数）'!D193,"*キャラ*"),
VLOOKUP("*キャラ*",#REF!,7,FALSE),
IF(COUNTIF('盛付札（関数）'!D193,"*赤*"),
VLOOKUP("*赤*",#REF!,7,FALSE),
VLOOKUP('盛付札（関数）'!D193,#REF!,7,FALSE)))*F193),"")</f>
        <v/>
      </c>
      <c r="H193" s="205" t="str" cm="1">
        <f t="array" aca="1" ref="H193" ca="1">IF(C193&lt;&gt;"",
IF(INDIRECT("数出表_Excel!"&amp;RIGHT(SUBSTITUTE(クライアント抽出!V53,",",""),1)&amp;A193-1&amp;"")&lt;&gt;"",
INDIRECT("数出表_Excel!"&amp;RIGHT(SUBSTITUTE(クライアント抽出!V53,",",""),1)&amp;A193-1&amp;""),0),"")</f>
        <v/>
      </c>
      <c r="I193" s="203" t="str" cm="1">
        <f t="array" aca="1" ref="I193" ca="1">IF(C193&lt;&gt;"",
IF(INDIRECT("数出表_Excel!"&amp;RIGHT(SUBSTITUTE(クライアント抽出!V53,",",""),1)&amp;A193&amp;"")&lt;&gt;"",
INDIRECT("数出表_Excel!"&amp;RIGHT(SUBSTITUTE(クライアント抽出!V53,",",""),1)&amp;A193&amp;""),0),"")</f>
        <v/>
      </c>
      <c r="J193" s="203" t="str">
        <f ca="1">IF(C193&lt;&gt;"",
VLOOKUP(
IF(COUNTIF(D193,"*学食*"),"キャラ弁（学食）",
IF(COUNTIF(D193,"*赤*"),"赤",
IF(COUNTIF(D193,"*キャラ弁当*"),"キャラ弁当",D193))),注文弁当の抽出!$E$1:$F$15,2,FALSE),"")</f>
        <v/>
      </c>
      <c r="K193" s="203" t="str">
        <f t="shared" ca="1" si="56"/>
        <v/>
      </c>
      <c r="L193" s="203" t="str">
        <f t="shared" ca="1" si="57"/>
        <v/>
      </c>
      <c r="M193" s="203" cm="1">
        <f t="array" aca="1" ref="M193" ca="1">IF(C193&lt;&gt;"",
IF(IFERROR(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0)&lt;&gt;0,
IF(IFERROR(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"")="",
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""),
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0)),0),0)</f>
        <v>0</v>
      </c>
      <c r="N193" s="203" t="e">
        <f t="array" aca="1" ref="N193" ca="1">IF(B193="博多",
IF(C193&lt;&gt;"",
IF(IFERROR(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0)&lt;&gt;0,
IF(IFERROR(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0)="",
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0),
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0)),0),""),0)</f>
        <v>#N/A</v>
      </c>
      <c r="O193" s="203" t="e">
        <f t="shared" ca="1" si="58"/>
        <v>#N/A</v>
      </c>
      <c r="P193" s="203">
        <f t="shared" ca="1" si="4"/>
        <v>0</v>
      </c>
      <c r="Q193" s="203" t="b">
        <f t="shared" ca="1" si="59"/>
        <v>0</v>
      </c>
      <c r="R193" s="51" t="str" cm="1">
        <f t="array" aca="1" ref="R193" ca="1">IFERROR(SMALL(IF(P$1:P$300&lt;&gt;0,P$1:P$300),ROW(A193)),"")</f>
        <v/>
      </c>
      <c r="S193" s="51" t="str">
        <f t="array" aca="1" ref="S193" ca="1">IF($R193&lt;&gt;"",
INDIRECT(""&amp;IF(COLUMN(C213)&lt;=26,CHAR(COLUMN(C213)+64),CHAR(INT((COLUMN(C213)-1)/26)+64)&amp;CHAR(MOD(COLUMN(C213)-1,26)+65))&amp;$R193&amp;""),"")</f>
        <v/>
      </c>
      <c r="T193" s="51" t="str" cm="1">
        <f t="array" aca="1" ref="T193" ca="1">IF(IF($R193&lt;&gt;"",
INDIRECT(""&amp;IF(COLUMN(D213)&lt;=26,CHAR(COLUMN(D213)+64),CHAR(INT((COLUMN(D213)-1)/26)+64)&amp;CHAR(MOD(COLUMN(D213)-1,26)+65))&amp;$R193&amp;""),"")=0,"",
IF($R193&lt;&gt;"",
INDIRECT(""&amp;IF(COLUMN(D213)&lt;=26,CHAR(COLUMN(D213)+64),CHAR(INT((COLUMN(D213)-1)/26)+64)&amp;CHAR(MOD(COLUMN(D213)-1,26)+65))&amp;$R193&amp;""),""))</f>
        <v/>
      </c>
      <c r="U193" s="51"/>
      <c r="V193" s="51" t="str">
        <f t="array" aca="1" ref="V193" ca="1">IF($R193&lt;&gt;"",
IF(U193="",
IF(INDIRECT("EY"&amp;$R193&amp;"")&lt;&gt;"",
INDIRECT("EY"&amp;$R193&amp;"")&amp;"箱"
&amp;INDIRECT("EZ"&amp;$R193&amp;""),""),""),"")</f>
        <v/>
      </c>
      <c r="W193" s="51" t="str">
        <f t="array" aca="1" ref="W193" ca="1">IF($R193&lt;&gt;"",
INDIRECT(""&amp;IF(COLUMN(H213)&lt;=26,CHAR(COLUMN(H213)+64),CHAR(INT((COLUMN(H213)-1)/26)+64)&amp;CHAR(MOD(COLUMN(H213)-1,26)+65))&amp;$R193&amp;""),"")</f>
        <v/>
      </c>
      <c r="X193" s="51" t="str">
        <f t="array" aca="1" ref="X193" ca="1">IF($R193&lt;&gt;"",
INDIRECT(""&amp;IF(COLUMN(I213)&lt;=26,CHAR(COLUMN(I213)+64),CHAR(INT((COLUMN(I213)-1)/26)+64)&amp;CHAR(MOD(COLUMN(I213)-1,26)+65))&amp;$R193&amp;""),"")</f>
        <v/>
      </c>
      <c r="Y193" s="51" t="str">
        <f t="array" aca="1" ref="Y193" ca="1">IF($R193&lt;&gt;"",
INDIRECT(""&amp;IF(COLUMN(J213)&lt;=26,CHAR(COLUMN(J213)+64),CHAR(INT((COLUMN(J213)-1)/26)+64)&amp;CHAR(MOD(COLUMN(J213)-1,26)+65))&amp;$R193&amp;""),"")</f>
        <v/>
      </c>
      <c r="Z193" s="51" t="str">
        <f t="array" aca="1" ref="Z193" ca="1">IF($R193&lt;&gt;"",
INDIRECT(""&amp;IF(COLUMN(K213)&lt;=26,CHAR(COLUMN(K213)+64),CHAR(INT((COLUMN(K213)-1)/26)+64)&amp;CHAR(MOD(COLUMN(K213)-1,26)+65))&amp;$R193&amp;""),"")</f>
        <v/>
      </c>
      <c r="AA193" s="51" t="str">
        <f t="array" aca="1" ref="AA193" ca="1">IF($R193&lt;&gt;"",
INDIRECT(""&amp;IF(COLUMN(L213)&lt;=26,CHAR(COLUMN(L213)+64),CHAR(INT((COLUMN(L213)-1)/26)+64)&amp;CHAR(MOD(COLUMN(L213)-1,26)+65))&amp;$R193&amp;""),"")</f>
        <v/>
      </c>
      <c r="AB193" s="51" t="str">
        <f t="array" aca="1" ref="AB193" ca="1">IF($R193&lt;&gt;"",
INDIRECT(""&amp;IF(COLUMN(O213)&lt;=26,CHAR(COLUMN(O213)+64),CHAR(INT((COLUMN(O213)-1)/26)+64)&amp;CHAR(MOD(COLUMN(O213)-1,26)+65))&amp;$R193&amp;""),"")</f>
        <v/>
      </c>
    </row>
    <row r="194" spans="1:28" ht="22.2" customHeight="1">
      <c r="A194" s="204">
        <f t="shared" si="55"/>
        <v>113</v>
      </c>
      <c r="B194" s="203" t="e" cm="1">
        <f t="array" aca="1" ref="B194" ca="1">IF(AND(LEFT(C194,2)="博多",
LEFT(INDIRECT("数出表_Excel!A"&amp;MATCH(C194,数出表_Excel!$A:$A,0)-1),2)
=LEFT(INDIRECT("数出表_Excel!A"&amp;MATCH(C194,数出表_Excel!$A:$A,0)+1),2)),"博多",
IF(AND(LEFT(C194,3)="奈良屋",
LEFT(INDIRECT("数出表_Excel!A"&amp;MATCH(C194,数出表_Excel!$A:$A,0)-1),2)
=LEFT(INDIRECT("数出表_Excel!A"&amp;MATCH(C194,数出表_Excel!$A:$A,0)+1),2)),"奈良屋",""))</f>
        <v>#N/A</v>
      </c>
      <c r="C194" s="203" t="str" cm="1">
        <f t="array" aca="1" ref="C194" ca="1">IF(IF(クライアント抽出!A54="",0,LEN(クライアント抽出!V54)-LEN(SUBSTITUTE(クライアント抽出!V54,",","")))&gt;=3,INDIRECT("数出表_Excel!A"&amp;A194&amp;""),"")</f>
        <v/>
      </c>
      <c r="D194" s="203" t="str" cm="1">
        <f t="array" aca="1" ref="D194" ca="1">IF(C194&lt;&gt;"",INDIRECT("クライアント抽出!"&amp;E194&amp;MATCH(C194,クライアント抽出!A:A,0)&amp;""),"")</f>
        <v/>
      </c>
      <c r="E194" s="203" t="str">
        <f ca="1">IF(H194&lt;&gt;0,
IFERROR(
SUBSTITUTE(ADDRESS(1,
MATCH(VALUE(H194),クライアント抽出!A54:G54,0)+8,4),"1",""),
""),
IFERROR(
SUBSTITUTE(ADDRESS(1,
MATCH(VALUE(I194),クライアント抽出!A54:G54,0)+8,4),"1",""),
""))</f>
        <v/>
      </c>
      <c r="F194" s="206" t="str" cm="1">
        <f t="array" aca="1" ref="F194" ca="1">IF(D194&lt;&gt;"",
IF(COUNTIF(C194,"*雙葉*"),
IF(ROUND(
IF(O194&lt;&gt;"",(H194-O194),H194)
/IF(COUNTIF('盛付札（関数）'!D194,"*キャラ*"),
VLOOKUP("*キャラ*",#REF!,7,FALSE),
IF(COUNTIF('盛付札（関数）'!D194,"*赤*"),
VLOOKUP("*赤*",#REF!,7,FALSE),
VLOOKUP('盛付札（関数）'!D194,#REF!,7,FALSE))),0)&lt;=0,1,
ROUND(
IF(O194&lt;&gt;"",(H194-O194),H194)
/IF(COUNTIF('盛付札（関数）'!D194,"*キャラ*"),
VLOOKUP("*キャラ*",#REF!,7,FALSE),
IF(COUNTIF('盛付札（関数）'!D194,"*赤*"),
VLOOKUP("*赤*",#REF!,7,FALSE),
VLOOKUP('盛付札（関数）'!D194,#REF!,7,FALSE))),0)),
IF(MATCH(TRUE,
ISNUMBER(--INDIRECT("数出表_Excel!B"&amp;MATCH(C194,数出表_Excel!$A:$A,0)-1&amp;":U"&amp;MATCH(C194,数出表_Excel!$A:$A,0)-1&amp;"")),0)&gt;10,
IF(D194&lt;&gt;"",
IF(IF(COUNTIF('盛付札（関数）'!D194,"*キャラ*"),
VLOOKUP("*キャラ*",#REF!,7,FALSE),
IF(COUNTIF('盛付札（関数）'!D194,"*赤*"),
VLOOKUP("*赤*",#REF!,7,FALSE),
VLOOKUP('盛付札（関数）'!D194,#REF!,7,FALSE)))=0,"",
IF(ROUND(
IF(O194&lt;&gt;"",(H194-O194),H194)
/IF(COUNTIF('盛付札（関数）'!D194,"*キャラ*"),
VLOOKUP("*キャラ*",#REF!,7,FALSE),
IF(COUNTIF('盛付札（関数）'!D194,"*赤*"),
VLOOKUP("*赤*",#REF!,7,FALSE),
VLOOKUP('盛付札（関数）'!D194,#REF!,7,FALSE))),0)&lt;=0,1,
ROUND(
IF(O194&lt;&gt;"",(H194-O194),H194)
/IF(COUNTIF('盛付札（関数）'!D194,"*キャラ*"),
VLOOKUP("*キャラ*",#REF!,7,FALSE),
IF(COUNTIF('盛付札（関数）'!D194,"*赤*"),
VLOOKUP("*赤*",#REF!,7,FALSE),
VLOOKUP('盛付札（関数）'!D194,#REF!,7,FALSE))),0))),""),"")),"")</f>
        <v/>
      </c>
      <c r="G194" s="206" t="str">
        <f ca="1">IF(F194&lt;&gt;"",IF(VALUE(IF(O194&lt;&gt;"",H194-O194,H194))&gt;VALUE(IF(COUNTIF('盛付札（関数）'!D194,"*キャラ*"),
VLOOKUP("*キャラ*",#REF!,7,FALSE),
IF(COUNTIF('盛付札（関数）'!D194,"*赤*"),
VLOOKUP("*赤*",#REF!,7,FALSE),
VLOOKUP('盛付札（関数）'!D194,#REF!,7,FALSE)))*F194),
"+"&amp;IF(O194&lt;&gt;"",H194-O194,H194)-IF(COUNTIF('盛付札（関数）'!D194,"*キャラ*"),
VLOOKUP("*キャラ*",#REF!,7,FALSE),
IF(COUNTIF('盛付札（関数）'!D194,"*赤*"),
VLOOKUP("*赤*",#REF!,7,FALSE),
VLOOKUP('盛付札（関数）'!D194,#REF!,7,FALSE)))*F194,
IF(O194&lt;&gt;"",H194-O194,H194)-IF(COUNTIF('盛付札（関数）'!D194,"*キャラ*"),
VLOOKUP("*キャラ*",#REF!,7,FALSE),
IF(COUNTIF('盛付札（関数）'!D194,"*赤*"),
VLOOKUP("*赤*",#REF!,7,FALSE),
VLOOKUP('盛付札（関数）'!D194,#REF!,7,FALSE)))*F194),"")</f>
        <v/>
      </c>
      <c r="H194" s="205" t="str" cm="1">
        <f t="array" aca="1" ref="H194" ca="1">IF(C194&lt;&gt;"",
IF(INDIRECT("数出表_Excel!"&amp;RIGHT(SUBSTITUTE(クライアント抽出!V54,",",""),1)&amp;A194-1&amp;"")&lt;&gt;"",
INDIRECT("数出表_Excel!"&amp;RIGHT(SUBSTITUTE(クライアント抽出!V54,",",""),1)&amp;A194-1&amp;""),0),"")</f>
        <v/>
      </c>
      <c r="I194" s="203" t="str" cm="1">
        <f t="array" aca="1" ref="I194" ca="1">IF(C194&lt;&gt;"",
IF(INDIRECT("数出表_Excel!"&amp;RIGHT(SUBSTITUTE(クライアント抽出!V54,",",""),1)&amp;A194&amp;"")&lt;&gt;"",
INDIRECT("数出表_Excel!"&amp;RIGHT(SUBSTITUTE(クライアント抽出!V54,",",""),1)&amp;A194&amp;""),0),"")</f>
        <v/>
      </c>
      <c r="J194" s="203" t="str">
        <f ca="1">IF(C194&lt;&gt;"",
VLOOKUP(
IF(COUNTIF(D194,"*学食*"),"キャラ弁（学食）",
IF(COUNTIF(D194,"*赤*"),"赤",
IF(COUNTIF(D194,"*キャラ弁当*"),"キャラ弁当",D194))),注文弁当の抽出!$E$1:$F$15,2,FALSE),"")</f>
        <v/>
      </c>
      <c r="K194" s="203" t="str">
        <f t="shared" ca="1" si="56"/>
        <v/>
      </c>
      <c r="L194" s="203" t="str">
        <f t="shared" ca="1" si="57"/>
        <v/>
      </c>
      <c r="M194" s="203" cm="1">
        <f t="array" aca="1" ref="M194" ca="1">IF(C194&lt;&gt;"",
IF(IFERROR(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0)&lt;&gt;0,
IF(IFERROR(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"")="",
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""),
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0)),0),0)</f>
        <v>0</v>
      </c>
      <c r="N194" s="203" t="e">
        <f t="array" aca="1" ref="N194" ca="1">IF(B194="博多",
IF(C194&lt;&gt;"",
IF(IFERROR(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0)&lt;&gt;0,
IF(IFERROR(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0)="",
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0),
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0)),0),""),0)</f>
        <v>#N/A</v>
      </c>
      <c r="O194" s="203" t="e">
        <f t="shared" ca="1" si="58"/>
        <v>#N/A</v>
      </c>
      <c r="P194" s="203">
        <f t="shared" ca="1" si="4"/>
        <v>0</v>
      </c>
      <c r="Q194" s="203" t="b">
        <f t="shared" ca="1" si="59"/>
        <v>0</v>
      </c>
      <c r="R194" s="51" t="str" cm="1">
        <f t="array" aca="1" ref="R194" ca="1">IFERROR(SMALL(IF(P$1:P$300&lt;&gt;0,P$1:P$300),ROW(A194)),"")</f>
        <v/>
      </c>
      <c r="S194" s="51" t="str">
        <f t="array" aca="1" ref="S194" ca="1">IF($R194&lt;&gt;"",
INDIRECT(""&amp;IF(COLUMN(C214)&lt;=26,CHAR(COLUMN(C214)+64),CHAR(INT((COLUMN(C214)-1)/26)+64)&amp;CHAR(MOD(COLUMN(C214)-1,26)+65))&amp;$R194&amp;""),"")</f>
        <v/>
      </c>
      <c r="T194" s="51" t="str" cm="1">
        <f t="array" aca="1" ref="T194" ca="1">IF(IF($R194&lt;&gt;"",
INDIRECT(""&amp;IF(COLUMN(D214)&lt;=26,CHAR(COLUMN(D214)+64),CHAR(INT((COLUMN(D214)-1)/26)+64)&amp;CHAR(MOD(COLUMN(D214)-1,26)+65))&amp;$R194&amp;""),"")=0,"",
IF($R194&lt;&gt;"",
INDIRECT(""&amp;IF(COLUMN(D214)&lt;=26,CHAR(COLUMN(D214)+64),CHAR(INT((COLUMN(D214)-1)/26)+64)&amp;CHAR(MOD(COLUMN(D214)-1,26)+65))&amp;$R194&amp;""),""))</f>
        <v/>
      </c>
      <c r="U194" s="51"/>
      <c r="V194" s="51" t="str">
        <f t="array" aca="1" ref="V194" ca="1">IF($R194&lt;&gt;"",
IF(U194="",
IF(INDIRECT("EY"&amp;$R194&amp;"")&lt;&gt;"",
INDIRECT("EY"&amp;$R194&amp;"")&amp;"箱"
&amp;INDIRECT("EZ"&amp;$R194&amp;""),""),""),"")</f>
        <v/>
      </c>
      <c r="W194" s="51" t="str">
        <f t="array" aca="1" ref="W194" ca="1">IF($R194&lt;&gt;"",
INDIRECT(""&amp;IF(COLUMN(H214)&lt;=26,CHAR(COLUMN(H214)+64),CHAR(INT((COLUMN(H214)-1)/26)+64)&amp;CHAR(MOD(COLUMN(H214)-1,26)+65))&amp;$R194&amp;""),"")</f>
        <v/>
      </c>
      <c r="X194" s="51" t="str">
        <f t="array" aca="1" ref="X194" ca="1">IF($R194&lt;&gt;"",
INDIRECT(""&amp;IF(COLUMN(I214)&lt;=26,CHAR(COLUMN(I214)+64),CHAR(INT((COLUMN(I214)-1)/26)+64)&amp;CHAR(MOD(COLUMN(I214)-1,26)+65))&amp;$R194&amp;""),"")</f>
        <v/>
      </c>
      <c r="Y194" s="51" t="str">
        <f t="array" aca="1" ref="Y194" ca="1">IF($R194&lt;&gt;"",
INDIRECT(""&amp;IF(COLUMN(J214)&lt;=26,CHAR(COLUMN(J214)+64),CHAR(INT((COLUMN(J214)-1)/26)+64)&amp;CHAR(MOD(COLUMN(J214)-1,26)+65))&amp;$R194&amp;""),"")</f>
        <v/>
      </c>
      <c r="Z194" s="51" t="str">
        <f t="array" aca="1" ref="Z194" ca="1">IF($R194&lt;&gt;"",
INDIRECT(""&amp;IF(COLUMN(K214)&lt;=26,CHAR(COLUMN(K214)+64),CHAR(INT((COLUMN(K214)-1)/26)+64)&amp;CHAR(MOD(COLUMN(K214)-1,26)+65))&amp;$R194&amp;""),"")</f>
        <v/>
      </c>
      <c r="AA194" s="51" t="str">
        <f t="array" aca="1" ref="AA194" ca="1">IF($R194&lt;&gt;"",
INDIRECT(""&amp;IF(COLUMN(L214)&lt;=26,CHAR(COLUMN(L214)+64),CHAR(INT((COLUMN(L214)-1)/26)+64)&amp;CHAR(MOD(COLUMN(L214)-1,26)+65))&amp;$R194&amp;""),"")</f>
        <v/>
      </c>
      <c r="AB194" s="51" t="str">
        <f t="array" aca="1" ref="AB194" ca="1">IF($R194&lt;&gt;"",
INDIRECT(""&amp;IF(COLUMN(O214)&lt;=26,CHAR(COLUMN(O214)+64),CHAR(INT((COLUMN(O214)-1)/26)+64)&amp;CHAR(MOD(COLUMN(O214)-1,26)+65))&amp;$R194&amp;""),"")</f>
        <v/>
      </c>
    </row>
    <row r="195" spans="1:28" ht="22.2" customHeight="1">
      <c r="A195" s="204">
        <f t="shared" si="55"/>
        <v>115</v>
      </c>
      <c r="B195" s="203" t="e" cm="1">
        <f t="array" aca="1" ref="B195" ca="1">IF(AND(LEFT(C195,2)="博多",
LEFT(INDIRECT("数出表_Excel!A"&amp;MATCH(C195,数出表_Excel!$A:$A,0)-1),2)
=LEFT(INDIRECT("数出表_Excel!A"&amp;MATCH(C195,数出表_Excel!$A:$A,0)+1),2)),"博多",
IF(AND(LEFT(C195,3)="奈良屋",
LEFT(INDIRECT("数出表_Excel!A"&amp;MATCH(C195,数出表_Excel!$A:$A,0)-1),2)
=LEFT(INDIRECT("数出表_Excel!A"&amp;MATCH(C195,数出表_Excel!$A:$A,0)+1),2)),"奈良屋",""))</f>
        <v>#N/A</v>
      </c>
      <c r="C195" s="203" t="str" cm="1">
        <f t="array" aca="1" ref="C195" ca="1">IF(IF(クライアント抽出!A55="",0,LEN(クライアント抽出!V55)-LEN(SUBSTITUTE(クライアント抽出!V55,",","")))&gt;=3,INDIRECT("数出表_Excel!A"&amp;A195&amp;""),"")</f>
        <v/>
      </c>
      <c r="D195" s="203" t="str" cm="1">
        <f t="array" aca="1" ref="D195" ca="1">IF(C195&lt;&gt;"",INDIRECT("クライアント抽出!"&amp;E195&amp;MATCH(C195,クライアント抽出!A:A,0)&amp;""),"")</f>
        <v/>
      </c>
      <c r="E195" s="203" t="str">
        <f ca="1">IF(H195&lt;&gt;0,
IFERROR(
SUBSTITUTE(ADDRESS(1,
MATCH(VALUE(H195),クライアント抽出!A55:G55,0)+8,4),"1",""),
""),
IFERROR(
SUBSTITUTE(ADDRESS(1,
MATCH(VALUE(I195),クライアント抽出!A55:G55,0)+8,4),"1",""),
""))</f>
        <v/>
      </c>
      <c r="F195" s="206" t="str" cm="1">
        <f t="array" aca="1" ref="F195" ca="1">IF(D195&lt;&gt;"",
IF(COUNTIF(C195,"*雙葉*"),
IF(ROUND(
IF(O195&lt;&gt;"",(H195-O195),H195)
/IF(COUNTIF('盛付札（関数）'!D195,"*キャラ*"),
VLOOKUP("*キャラ*",#REF!,7,FALSE),
IF(COUNTIF('盛付札（関数）'!D195,"*赤*"),
VLOOKUP("*赤*",#REF!,7,FALSE),
VLOOKUP('盛付札（関数）'!D195,#REF!,7,FALSE))),0)&lt;=0,1,
ROUND(
IF(O195&lt;&gt;"",(H195-O195),H195)
/IF(COUNTIF('盛付札（関数）'!D195,"*キャラ*"),
VLOOKUP("*キャラ*",#REF!,7,FALSE),
IF(COUNTIF('盛付札（関数）'!D195,"*赤*"),
VLOOKUP("*赤*",#REF!,7,FALSE),
VLOOKUP('盛付札（関数）'!D195,#REF!,7,FALSE))),0)),
IF(MATCH(TRUE,
ISNUMBER(--INDIRECT("数出表_Excel!B"&amp;MATCH(C195,数出表_Excel!$A:$A,0)-1&amp;":U"&amp;MATCH(C195,数出表_Excel!$A:$A,0)-1&amp;"")),0)&gt;10,
IF(D195&lt;&gt;"",
IF(IF(COUNTIF('盛付札（関数）'!D195,"*キャラ*"),
VLOOKUP("*キャラ*",#REF!,7,FALSE),
IF(COUNTIF('盛付札（関数）'!D195,"*赤*"),
VLOOKUP("*赤*",#REF!,7,FALSE),
VLOOKUP('盛付札（関数）'!D195,#REF!,7,FALSE)))=0,"",
IF(ROUND(
IF(O195&lt;&gt;"",(H195-O195),H195)
/IF(COUNTIF('盛付札（関数）'!D195,"*キャラ*"),
VLOOKUP("*キャラ*",#REF!,7,FALSE),
IF(COUNTIF('盛付札（関数）'!D195,"*赤*"),
VLOOKUP("*赤*",#REF!,7,FALSE),
VLOOKUP('盛付札（関数）'!D195,#REF!,7,FALSE))),0)&lt;=0,1,
ROUND(
IF(O195&lt;&gt;"",(H195-O195),H195)
/IF(COUNTIF('盛付札（関数）'!D195,"*キャラ*"),
VLOOKUP("*キャラ*",#REF!,7,FALSE),
IF(COUNTIF('盛付札（関数）'!D195,"*赤*"),
VLOOKUP("*赤*",#REF!,7,FALSE),
VLOOKUP('盛付札（関数）'!D195,#REF!,7,FALSE))),0))),""),"")),"")</f>
        <v/>
      </c>
      <c r="G195" s="206" t="str">
        <f ca="1">IF(F195&lt;&gt;"",IF(VALUE(IF(O195&lt;&gt;"",H195-O195,H195))&gt;VALUE(IF(COUNTIF('盛付札（関数）'!D195,"*キャラ*"),
VLOOKUP("*キャラ*",#REF!,7,FALSE),
IF(COUNTIF('盛付札（関数）'!D195,"*赤*"),
VLOOKUP("*赤*",#REF!,7,FALSE),
VLOOKUP('盛付札（関数）'!D195,#REF!,7,FALSE)))*F195),
"+"&amp;IF(O195&lt;&gt;"",H195-O195,H195)-IF(COUNTIF('盛付札（関数）'!D195,"*キャラ*"),
VLOOKUP("*キャラ*",#REF!,7,FALSE),
IF(COUNTIF('盛付札（関数）'!D195,"*赤*"),
VLOOKUP("*赤*",#REF!,7,FALSE),
VLOOKUP('盛付札（関数）'!D195,#REF!,7,FALSE)))*F195,
IF(O195&lt;&gt;"",H195-O195,H195)-IF(COUNTIF('盛付札（関数）'!D195,"*キャラ*"),
VLOOKUP("*キャラ*",#REF!,7,FALSE),
IF(COUNTIF('盛付札（関数）'!D195,"*赤*"),
VLOOKUP("*赤*",#REF!,7,FALSE),
VLOOKUP('盛付札（関数）'!D195,#REF!,7,FALSE)))*F195),"")</f>
        <v/>
      </c>
      <c r="H195" s="205" t="str" cm="1">
        <f t="array" aca="1" ref="H195" ca="1">IF(C195&lt;&gt;"",
IF(INDIRECT("数出表_Excel!"&amp;RIGHT(SUBSTITUTE(クライアント抽出!V55,",",""),1)&amp;A195-1&amp;"")&lt;&gt;"",
INDIRECT("数出表_Excel!"&amp;RIGHT(SUBSTITUTE(クライアント抽出!V55,",",""),1)&amp;A195-1&amp;""),0),"")</f>
        <v/>
      </c>
      <c r="I195" s="203" t="str" cm="1">
        <f t="array" aca="1" ref="I195" ca="1">IF(C195&lt;&gt;"",
IF(INDIRECT("数出表_Excel!"&amp;RIGHT(SUBSTITUTE(クライアント抽出!V55,",",""),1)&amp;A195&amp;"")&lt;&gt;"",
INDIRECT("数出表_Excel!"&amp;RIGHT(SUBSTITUTE(クライアント抽出!V55,",",""),1)&amp;A195&amp;""),0),"")</f>
        <v/>
      </c>
      <c r="J195" s="203" t="str">
        <f ca="1">IF(C195&lt;&gt;"",
VLOOKUP(
IF(COUNTIF(D195,"*学食*"),"キャラ弁（学食）",
IF(COUNTIF(D195,"*赤*"),"赤",
IF(COUNTIF(D195,"*キャラ弁当*"),"キャラ弁当",D195))),注文弁当の抽出!$E$1:$F$15,2,FALSE),"")</f>
        <v/>
      </c>
      <c r="K195" s="203" t="str">
        <f t="shared" ca="1" si="56"/>
        <v/>
      </c>
      <c r="L195" s="203" t="str">
        <f t="shared" ca="1" si="57"/>
        <v/>
      </c>
      <c r="M195" s="203" cm="1">
        <f t="array" aca="1" ref="M195" ca="1">IF(C195&lt;&gt;"",
IF(IFERROR(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0)&lt;&gt;0,
IF(IFERROR(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"")="",
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""),
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0)),0),0)</f>
        <v>0</v>
      </c>
      <c r="N195" s="203" t="e">
        <f t="array" aca="1" ref="N195" ca="1">IF(B195="博多",
IF(C195&lt;&gt;"",
IF(IFERROR(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0)&lt;&gt;0,
IF(IFERROR(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0)="",
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0),
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0)),0),""),0)</f>
        <v>#N/A</v>
      </c>
      <c r="O195" s="203" t="e">
        <f t="shared" ca="1" si="58"/>
        <v>#N/A</v>
      </c>
      <c r="P195" s="203">
        <f t="shared" ca="1" si="4"/>
        <v>0</v>
      </c>
      <c r="Q195" s="203" t="b">
        <f t="shared" ca="1" si="59"/>
        <v>0</v>
      </c>
      <c r="R195" s="51" t="str" cm="1">
        <f t="array" aca="1" ref="R195" ca="1">IFERROR(SMALL(IF(P$1:P$300&lt;&gt;0,P$1:P$300),ROW(A195)),"")</f>
        <v/>
      </c>
      <c r="S195" s="51" t="str">
        <f t="array" aca="1" ref="S195" ca="1">IF($R195&lt;&gt;"",
INDIRECT(""&amp;IF(COLUMN(C215)&lt;=26,CHAR(COLUMN(C215)+64),CHAR(INT((COLUMN(C215)-1)/26)+64)&amp;CHAR(MOD(COLUMN(C215)-1,26)+65))&amp;$R195&amp;""),"")</f>
        <v/>
      </c>
      <c r="T195" s="51" t="str" cm="1">
        <f t="array" aca="1" ref="T195" ca="1">IF(IF($R195&lt;&gt;"",
INDIRECT(""&amp;IF(COLUMN(D215)&lt;=26,CHAR(COLUMN(D215)+64),CHAR(INT((COLUMN(D215)-1)/26)+64)&amp;CHAR(MOD(COLUMN(D215)-1,26)+65))&amp;$R195&amp;""),"")=0,"",
IF($R195&lt;&gt;"",
INDIRECT(""&amp;IF(COLUMN(D215)&lt;=26,CHAR(COLUMN(D215)+64),CHAR(INT((COLUMN(D215)-1)/26)+64)&amp;CHAR(MOD(COLUMN(D215)-1,26)+65))&amp;$R195&amp;""),""))</f>
        <v/>
      </c>
      <c r="U195" s="51"/>
      <c r="V195" s="51" t="str">
        <f t="array" aca="1" ref="V195" ca="1">IF($R195&lt;&gt;"",
IF(U195="",
IF(INDIRECT("EY"&amp;$R195&amp;"")&lt;&gt;"",
INDIRECT("EY"&amp;$R195&amp;"")&amp;"箱"
&amp;INDIRECT("EZ"&amp;$R195&amp;""),""),""),"")</f>
        <v/>
      </c>
      <c r="W195" s="51" t="str">
        <f t="array" aca="1" ref="W195" ca="1">IF($R195&lt;&gt;"",
INDIRECT(""&amp;IF(COLUMN(H215)&lt;=26,CHAR(COLUMN(H215)+64),CHAR(INT((COLUMN(H215)-1)/26)+64)&amp;CHAR(MOD(COLUMN(H215)-1,26)+65))&amp;$R195&amp;""),"")</f>
        <v/>
      </c>
      <c r="X195" s="51" t="str">
        <f t="array" aca="1" ref="X195" ca="1">IF($R195&lt;&gt;"",
INDIRECT(""&amp;IF(COLUMN(I215)&lt;=26,CHAR(COLUMN(I215)+64),CHAR(INT((COLUMN(I215)-1)/26)+64)&amp;CHAR(MOD(COLUMN(I215)-1,26)+65))&amp;$R195&amp;""),"")</f>
        <v/>
      </c>
      <c r="Y195" s="51" t="str">
        <f t="array" aca="1" ref="Y195" ca="1">IF($R195&lt;&gt;"",
INDIRECT(""&amp;IF(COLUMN(J215)&lt;=26,CHAR(COLUMN(J215)+64),CHAR(INT((COLUMN(J215)-1)/26)+64)&amp;CHAR(MOD(COLUMN(J215)-1,26)+65))&amp;$R195&amp;""),"")</f>
        <v/>
      </c>
      <c r="Z195" s="51" t="str">
        <f t="array" aca="1" ref="Z195" ca="1">IF($R195&lt;&gt;"",
INDIRECT(""&amp;IF(COLUMN(K215)&lt;=26,CHAR(COLUMN(K215)+64),CHAR(INT((COLUMN(K215)-1)/26)+64)&amp;CHAR(MOD(COLUMN(K215)-1,26)+65))&amp;$R195&amp;""),"")</f>
        <v/>
      </c>
      <c r="AA195" s="51" t="str">
        <f t="array" aca="1" ref="AA195" ca="1">IF($R195&lt;&gt;"",
INDIRECT(""&amp;IF(COLUMN(L215)&lt;=26,CHAR(COLUMN(L215)+64),CHAR(INT((COLUMN(L215)-1)/26)+64)&amp;CHAR(MOD(COLUMN(L215)-1,26)+65))&amp;$R195&amp;""),"")</f>
        <v/>
      </c>
      <c r="AB195" s="51" t="str">
        <f t="array" aca="1" ref="AB195" ca="1">IF($R195&lt;&gt;"",
INDIRECT(""&amp;IF(COLUMN(O215)&lt;=26,CHAR(COLUMN(O215)+64),CHAR(INT((COLUMN(O215)-1)/26)+64)&amp;CHAR(MOD(COLUMN(O215)-1,26)+65))&amp;$R195&amp;""),"")</f>
        <v/>
      </c>
    </row>
    <row r="196" spans="1:28" ht="22.2" customHeight="1">
      <c r="A196" s="204">
        <f t="shared" si="55"/>
        <v>117</v>
      </c>
      <c r="B196" s="203" t="e" cm="1">
        <f t="array" aca="1" ref="B196" ca="1">IF(AND(LEFT(C196,2)="博多",
LEFT(INDIRECT("数出表_Excel!A"&amp;MATCH(C196,数出表_Excel!$A:$A,0)-1),2)
=LEFT(INDIRECT("数出表_Excel!A"&amp;MATCH(C196,数出表_Excel!$A:$A,0)+1),2)),"博多",
IF(AND(LEFT(C196,3)="奈良屋",
LEFT(INDIRECT("数出表_Excel!A"&amp;MATCH(C196,数出表_Excel!$A:$A,0)-1),2)
=LEFT(INDIRECT("数出表_Excel!A"&amp;MATCH(C196,数出表_Excel!$A:$A,0)+1),2)),"奈良屋",""))</f>
        <v>#N/A</v>
      </c>
      <c r="C196" s="203" t="str" cm="1">
        <f t="array" aca="1" ref="C196" ca="1">IF(IF(クライアント抽出!A56="",0,LEN(クライアント抽出!V56)-LEN(SUBSTITUTE(クライアント抽出!V56,",","")))&gt;=3,INDIRECT("数出表_Excel!A"&amp;A196&amp;""),"")</f>
        <v/>
      </c>
      <c r="D196" s="203" t="str" cm="1">
        <f t="array" aca="1" ref="D196" ca="1">IF(C196&lt;&gt;"",INDIRECT("クライアント抽出!"&amp;E196&amp;MATCH(C196,クライアント抽出!A:A,0)&amp;""),"")</f>
        <v/>
      </c>
      <c r="E196" s="203" t="str">
        <f ca="1">IF(H196&lt;&gt;0,
IFERROR(
SUBSTITUTE(ADDRESS(1,
MATCH(VALUE(H196),クライアント抽出!A56:G56,0)+8,4),"1",""),
""),
IFERROR(
SUBSTITUTE(ADDRESS(1,
MATCH(VALUE(I196),クライアント抽出!A56:G56,0)+8,4),"1",""),
""))</f>
        <v/>
      </c>
      <c r="F196" s="206" t="str" cm="1">
        <f t="array" aca="1" ref="F196" ca="1">IF(D196&lt;&gt;"",
IF(COUNTIF(C196,"*雙葉*"),
IF(ROUND(
IF(O196&lt;&gt;"",(H196-O196),H196)
/IF(COUNTIF('盛付札（関数）'!D196,"*キャラ*"),
VLOOKUP("*キャラ*",#REF!,7,FALSE),
IF(COUNTIF('盛付札（関数）'!D196,"*赤*"),
VLOOKUP("*赤*",#REF!,7,FALSE),
VLOOKUP('盛付札（関数）'!D196,#REF!,7,FALSE))),0)&lt;=0,1,
ROUND(
IF(O196&lt;&gt;"",(H196-O196),H196)
/IF(COUNTIF('盛付札（関数）'!D196,"*キャラ*"),
VLOOKUP("*キャラ*",#REF!,7,FALSE),
IF(COUNTIF('盛付札（関数）'!D196,"*赤*"),
VLOOKUP("*赤*",#REF!,7,FALSE),
VLOOKUP('盛付札（関数）'!D196,#REF!,7,FALSE))),0)),
IF(MATCH(TRUE,
ISNUMBER(--INDIRECT("数出表_Excel!B"&amp;MATCH(C196,数出表_Excel!$A:$A,0)-1&amp;":U"&amp;MATCH(C196,数出表_Excel!$A:$A,0)-1&amp;"")),0)&gt;10,
IF(D196&lt;&gt;"",
IF(IF(COUNTIF('盛付札（関数）'!D196,"*キャラ*"),
VLOOKUP("*キャラ*",#REF!,7,FALSE),
IF(COUNTIF('盛付札（関数）'!D196,"*赤*"),
VLOOKUP("*赤*",#REF!,7,FALSE),
VLOOKUP('盛付札（関数）'!D196,#REF!,7,FALSE)))=0,"",
IF(ROUND(
IF(O196&lt;&gt;"",(H196-O196),H196)
/IF(COUNTIF('盛付札（関数）'!D196,"*キャラ*"),
VLOOKUP("*キャラ*",#REF!,7,FALSE),
IF(COUNTIF('盛付札（関数）'!D196,"*赤*"),
VLOOKUP("*赤*",#REF!,7,FALSE),
VLOOKUP('盛付札（関数）'!D196,#REF!,7,FALSE))),0)&lt;=0,1,
ROUND(
IF(O196&lt;&gt;"",(H196-O196),H196)
/IF(COUNTIF('盛付札（関数）'!D196,"*キャラ*"),
VLOOKUP("*キャラ*",#REF!,7,FALSE),
IF(COUNTIF('盛付札（関数）'!D196,"*赤*"),
VLOOKUP("*赤*",#REF!,7,FALSE),
VLOOKUP('盛付札（関数）'!D196,#REF!,7,FALSE))),0))),""),"")),"")</f>
        <v/>
      </c>
      <c r="G196" s="206" t="str">
        <f ca="1">IF(F196&lt;&gt;"",IF(VALUE(IF(O196&lt;&gt;"",H196-O196,H196))&gt;VALUE(IF(COUNTIF('盛付札（関数）'!D196,"*キャラ*"),
VLOOKUP("*キャラ*",#REF!,7,FALSE),
IF(COUNTIF('盛付札（関数）'!D196,"*赤*"),
VLOOKUP("*赤*",#REF!,7,FALSE),
VLOOKUP('盛付札（関数）'!D196,#REF!,7,FALSE)))*F196),
"+"&amp;IF(O196&lt;&gt;"",H196-O196,H196)-IF(COUNTIF('盛付札（関数）'!D196,"*キャラ*"),
VLOOKUP("*キャラ*",#REF!,7,FALSE),
IF(COUNTIF('盛付札（関数）'!D196,"*赤*"),
VLOOKUP("*赤*",#REF!,7,FALSE),
VLOOKUP('盛付札（関数）'!D196,#REF!,7,FALSE)))*F196,
IF(O196&lt;&gt;"",H196-O196,H196)-IF(COUNTIF('盛付札（関数）'!D196,"*キャラ*"),
VLOOKUP("*キャラ*",#REF!,7,FALSE),
IF(COUNTIF('盛付札（関数）'!D196,"*赤*"),
VLOOKUP("*赤*",#REF!,7,FALSE),
VLOOKUP('盛付札（関数）'!D196,#REF!,7,FALSE)))*F196),"")</f>
        <v/>
      </c>
      <c r="H196" s="205" t="str" cm="1">
        <f t="array" aca="1" ref="H196" ca="1">IF(C196&lt;&gt;"",
IF(INDIRECT("数出表_Excel!"&amp;RIGHT(SUBSTITUTE(クライアント抽出!V56,",",""),1)&amp;A196-1&amp;"")&lt;&gt;"",
INDIRECT("数出表_Excel!"&amp;RIGHT(SUBSTITUTE(クライアント抽出!V56,",",""),1)&amp;A196-1&amp;""),0),"")</f>
        <v/>
      </c>
      <c r="I196" s="203" t="str" cm="1">
        <f t="array" aca="1" ref="I196" ca="1">IF(C196&lt;&gt;"",
IF(INDIRECT("数出表_Excel!"&amp;RIGHT(SUBSTITUTE(クライアント抽出!V56,",",""),1)&amp;A196&amp;"")&lt;&gt;"",
INDIRECT("数出表_Excel!"&amp;RIGHT(SUBSTITUTE(クライアント抽出!V56,",",""),1)&amp;A196&amp;""),0),"")</f>
        <v/>
      </c>
      <c r="J196" s="203" t="str">
        <f ca="1">IF(C196&lt;&gt;"",
VLOOKUP(
IF(COUNTIF(D196,"*学食*"),"キャラ弁（学食）",
IF(COUNTIF(D196,"*赤*"),"赤",
IF(COUNTIF(D196,"*キャラ弁当*"),"キャラ弁当",D196))),注文弁当の抽出!$E$1:$F$15,2,FALSE),"")</f>
        <v/>
      </c>
      <c r="K196" s="203" t="str">
        <f t="shared" ca="1" si="56"/>
        <v/>
      </c>
      <c r="L196" s="203" t="str">
        <f t="shared" ca="1" si="57"/>
        <v/>
      </c>
      <c r="M196" s="203" cm="1">
        <f t="array" aca="1" ref="M196" ca="1">IF(C196&lt;&gt;"",
IF(IFERROR(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0)&lt;&gt;0,
IF(IFERROR(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"")="",
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""),
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0)),0),0)</f>
        <v>0</v>
      </c>
      <c r="N196" s="203" t="e">
        <f t="array" aca="1" ref="N196" ca="1">IF(B196="博多",
IF(C196&lt;&gt;"",
IF(IFERROR(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0)&lt;&gt;0,
IF(IFERROR(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0)="",
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0),
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0)),0),""),0)</f>
        <v>#N/A</v>
      </c>
      <c r="O196" s="203" t="e">
        <f t="shared" ca="1" si="58"/>
        <v>#N/A</v>
      </c>
      <c r="P196" s="203">
        <f t="shared" ca="1" si="4"/>
        <v>0</v>
      </c>
      <c r="Q196" s="203" t="b">
        <f t="shared" ca="1" si="59"/>
        <v>0</v>
      </c>
      <c r="R196" s="51" t="str" cm="1">
        <f t="array" aca="1" ref="R196" ca="1">IFERROR(SMALL(IF(P$1:P$300&lt;&gt;0,P$1:P$300),ROW(A196)),"")</f>
        <v/>
      </c>
      <c r="S196" s="51" t="str">
        <f t="array" aca="1" ref="S196" ca="1">IF($R196&lt;&gt;"",
INDIRECT(""&amp;IF(COLUMN(C216)&lt;=26,CHAR(COLUMN(C216)+64),CHAR(INT((COLUMN(C216)-1)/26)+64)&amp;CHAR(MOD(COLUMN(C216)-1,26)+65))&amp;$R196&amp;""),"")</f>
        <v/>
      </c>
      <c r="T196" s="51" t="str" cm="1">
        <f t="array" aca="1" ref="T196" ca="1">IF(IF($R196&lt;&gt;"",
INDIRECT(""&amp;IF(COLUMN(D216)&lt;=26,CHAR(COLUMN(D216)+64),CHAR(INT((COLUMN(D216)-1)/26)+64)&amp;CHAR(MOD(COLUMN(D216)-1,26)+65))&amp;$R196&amp;""),"")=0,"",
IF($R196&lt;&gt;"",
INDIRECT(""&amp;IF(COLUMN(D216)&lt;=26,CHAR(COLUMN(D216)+64),CHAR(INT((COLUMN(D216)-1)/26)+64)&amp;CHAR(MOD(COLUMN(D216)-1,26)+65))&amp;$R196&amp;""),""))</f>
        <v/>
      </c>
      <c r="U196" s="51"/>
      <c r="V196" s="51" t="str">
        <f t="array" aca="1" ref="V196" ca="1">IF($R196&lt;&gt;"",
IF(U196="",
IF(INDIRECT("EY"&amp;$R196&amp;"")&lt;&gt;"",
INDIRECT("EY"&amp;$R196&amp;"")&amp;"箱"
&amp;INDIRECT("EZ"&amp;$R196&amp;""),""),""),"")</f>
        <v/>
      </c>
      <c r="W196" s="51" t="str">
        <f t="array" aca="1" ref="W196" ca="1">IF($R196&lt;&gt;"",
INDIRECT(""&amp;IF(COLUMN(H216)&lt;=26,CHAR(COLUMN(H216)+64),CHAR(INT((COLUMN(H216)-1)/26)+64)&amp;CHAR(MOD(COLUMN(H216)-1,26)+65))&amp;$R196&amp;""),"")</f>
        <v/>
      </c>
      <c r="X196" s="51" t="str">
        <f t="array" aca="1" ref="X196" ca="1">IF($R196&lt;&gt;"",
INDIRECT(""&amp;IF(COLUMN(I216)&lt;=26,CHAR(COLUMN(I216)+64),CHAR(INT((COLUMN(I216)-1)/26)+64)&amp;CHAR(MOD(COLUMN(I216)-1,26)+65))&amp;$R196&amp;""),"")</f>
        <v/>
      </c>
      <c r="Y196" s="51" t="str">
        <f t="array" aca="1" ref="Y196" ca="1">IF($R196&lt;&gt;"",
INDIRECT(""&amp;IF(COLUMN(J216)&lt;=26,CHAR(COLUMN(J216)+64),CHAR(INT((COLUMN(J216)-1)/26)+64)&amp;CHAR(MOD(COLUMN(J216)-1,26)+65))&amp;$R196&amp;""),"")</f>
        <v/>
      </c>
      <c r="Z196" s="51" t="str">
        <f t="array" aca="1" ref="Z196" ca="1">IF($R196&lt;&gt;"",
INDIRECT(""&amp;IF(COLUMN(K216)&lt;=26,CHAR(COLUMN(K216)+64),CHAR(INT((COLUMN(K216)-1)/26)+64)&amp;CHAR(MOD(COLUMN(K216)-1,26)+65))&amp;$R196&amp;""),"")</f>
        <v/>
      </c>
      <c r="AA196" s="51" t="str">
        <f t="array" aca="1" ref="AA196" ca="1">IF($R196&lt;&gt;"",
INDIRECT(""&amp;IF(COLUMN(L216)&lt;=26,CHAR(COLUMN(L216)+64),CHAR(INT((COLUMN(L216)-1)/26)+64)&amp;CHAR(MOD(COLUMN(L216)-1,26)+65))&amp;$R196&amp;""),"")</f>
        <v/>
      </c>
      <c r="AB196" s="51" t="str">
        <f t="array" aca="1" ref="AB196" ca="1">IF($R196&lt;&gt;"",
INDIRECT(""&amp;IF(COLUMN(O216)&lt;=26,CHAR(COLUMN(O216)+64),CHAR(INT((COLUMN(O216)-1)/26)+64)&amp;CHAR(MOD(COLUMN(O216)-1,26)+65))&amp;$R196&amp;""),"")</f>
        <v/>
      </c>
    </row>
    <row r="197" spans="1:28" ht="22.2" customHeight="1">
      <c r="A197" s="204">
        <f t="shared" si="55"/>
        <v>119</v>
      </c>
      <c r="B197" s="203" t="e" cm="1">
        <f t="array" aca="1" ref="B197" ca="1">IF(AND(LEFT(C197,2)="博多",
LEFT(INDIRECT("数出表_Excel!A"&amp;MATCH(C197,数出表_Excel!$A:$A,0)-1),2)
=LEFT(INDIRECT("数出表_Excel!A"&amp;MATCH(C197,数出表_Excel!$A:$A,0)+1),2)),"博多",
IF(AND(LEFT(C197,3)="奈良屋",
LEFT(INDIRECT("数出表_Excel!A"&amp;MATCH(C197,数出表_Excel!$A:$A,0)-1),2)
=LEFT(INDIRECT("数出表_Excel!A"&amp;MATCH(C197,数出表_Excel!$A:$A,0)+1),2)),"奈良屋",""))</f>
        <v>#N/A</v>
      </c>
      <c r="C197" s="203" t="str" cm="1">
        <f t="array" aca="1" ref="C197" ca="1">IF(IF(クライアント抽出!A57="",0,LEN(クライアント抽出!V57)-LEN(SUBSTITUTE(クライアント抽出!V57,",","")))&gt;=3,INDIRECT("数出表_Excel!A"&amp;A197&amp;""),"")</f>
        <v/>
      </c>
      <c r="D197" s="203" t="str" cm="1">
        <f t="array" aca="1" ref="D197" ca="1">IF(C197&lt;&gt;"",INDIRECT("クライアント抽出!"&amp;E197&amp;MATCH(C197,クライアント抽出!A:A,0)&amp;""),"")</f>
        <v/>
      </c>
      <c r="E197" s="203" t="str">
        <f ca="1">IF(H197&lt;&gt;0,
IFERROR(
SUBSTITUTE(ADDRESS(1,
MATCH(VALUE(H197),クライアント抽出!A57:G57,0)+8,4),"1",""),
""),
IFERROR(
SUBSTITUTE(ADDRESS(1,
MATCH(VALUE(I197),クライアント抽出!A57:G57,0)+8,4),"1",""),
""))</f>
        <v/>
      </c>
      <c r="F197" s="206" t="str" cm="1">
        <f t="array" aca="1" ref="F197" ca="1">IF(D197&lt;&gt;"",
IF(COUNTIF(C197,"*雙葉*"),
IF(ROUND(
IF(O197&lt;&gt;"",(H197-O197),H197)
/IF(COUNTIF('盛付札（関数）'!D197,"*キャラ*"),
VLOOKUP("*キャラ*",#REF!,7,FALSE),
IF(COUNTIF('盛付札（関数）'!D197,"*赤*"),
VLOOKUP("*赤*",#REF!,7,FALSE),
VLOOKUP('盛付札（関数）'!D197,#REF!,7,FALSE))),0)&lt;=0,1,
ROUND(
IF(O197&lt;&gt;"",(H197-O197),H197)
/IF(COUNTIF('盛付札（関数）'!D197,"*キャラ*"),
VLOOKUP("*キャラ*",#REF!,7,FALSE),
IF(COUNTIF('盛付札（関数）'!D197,"*赤*"),
VLOOKUP("*赤*",#REF!,7,FALSE),
VLOOKUP('盛付札（関数）'!D197,#REF!,7,FALSE))),0)),
IF(MATCH(TRUE,
ISNUMBER(--INDIRECT("数出表_Excel!B"&amp;MATCH(C197,数出表_Excel!$A:$A,0)-1&amp;":U"&amp;MATCH(C197,数出表_Excel!$A:$A,0)-1&amp;"")),0)&gt;10,
IF(D197&lt;&gt;"",
IF(IF(COUNTIF('盛付札（関数）'!D197,"*キャラ*"),
VLOOKUP("*キャラ*",#REF!,7,FALSE),
IF(COUNTIF('盛付札（関数）'!D197,"*赤*"),
VLOOKUP("*赤*",#REF!,7,FALSE),
VLOOKUP('盛付札（関数）'!D197,#REF!,7,FALSE)))=0,"",
IF(ROUND(
IF(O197&lt;&gt;"",(H197-O197),H197)
/IF(COUNTIF('盛付札（関数）'!D197,"*キャラ*"),
VLOOKUP("*キャラ*",#REF!,7,FALSE),
IF(COUNTIF('盛付札（関数）'!D197,"*赤*"),
VLOOKUP("*赤*",#REF!,7,FALSE),
VLOOKUP('盛付札（関数）'!D197,#REF!,7,FALSE))),0)&lt;=0,1,
ROUND(
IF(O197&lt;&gt;"",(H197-O197),H197)
/IF(COUNTIF('盛付札（関数）'!D197,"*キャラ*"),
VLOOKUP("*キャラ*",#REF!,7,FALSE),
IF(COUNTIF('盛付札（関数）'!D197,"*赤*"),
VLOOKUP("*赤*",#REF!,7,FALSE),
VLOOKUP('盛付札（関数）'!D197,#REF!,7,FALSE))),0))),""),"")),"")</f>
        <v/>
      </c>
      <c r="G197" s="206" t="str">
        <f ca="1">IF(F197&lt;&gt;"",IF(VALUE(IF(O197&lt;&gt;"",H197-O197,H197))&gt;VALUE(IF(COUNTIF('盛付札（関数）'!D197,"*キャラ*"),
VLOOKUP("*キャラ*",#REF!,7,FALSE),
IF(COUNTIF('盛付札（関数）'!D197,"*赤*"),
VLOOKUP("*赤*",#REF!,7,FALSE),
VLOOKUP('盛付札（関数）'!D197,#REF!,7,FALSE)))*F197),
"+"&amp;IF(O197&lt;&gt;"",H197-O197,H197)-IF(COUNTIF('盛付札（関数）'!D197,"*キャラ*"),
VLOOKUP("*キャラ*",#REF!,7,FALSE),
IF(COUNTIF('盛付札（関数）'!D197,"*赤*"),
VLOOKUP("*赤*",#REF!,7,FALSE),
VLOOKUP('盛付札（関数）'!D197,#REF!,7,FALSE)))*F197,
IF(O197&lt;&gt;"",H197-O197,H197)-IF(COUNTIF('盛付札（関数）'!D197,"*キャラ*"),
VLOOKUP("*キャラ*",#REF!,7,FALSE),
IF(COUNTIF('盛付札（関数）'!D197,"*赤*"),
VLOOKUP("*赤*",#REF!,7,FALSE),
VLOOKUP('盛付札（関数）'!D197,#REF!,7,FALSE)))*F197),"")</f>
        <v/>
      </c>
      <c r="H197" s="205" t="str" cm="1">
        <f t="array" aca="1" ref="H197" ca="1">IF(C197&lt;&gt;"",
IF(INDIRECT("数出表_Excel!"&amp;RIGHT(SUBSTITUTE(クライアント抽出!V57,",",""),1)&amp;A197-1&amp;"")&lt;&gt;"",
INDIRECT("数出表_Excel!"&amp;RIGHT(SUBSTITUTE(クライアント抽出!V57,",",""),1)&amp;A197-1&amp;""),0),"")</f>
        <v/>
      </c>
      <c r="I197" s="203" t="str" cm="1">
        <f t="array" aca="1" ref="I197" ca="1">IF(C197&lt;&gt;"",
IF(INDIRECT("数出表_Excel!"&amp;RIGHT(SUBSTITUTE(クライアント抽出!V57,",",""),1)&amp;A197&amp;"")&lt;&gt;"",
INDIRECT("数出表_Excel!"&amp;RIGHT(SUBSTITUTE(クライアント抽出!V57,",",""),1)&amp;A197&amp;""),0),"")</f>
        <v/>
      </c>
      <c r="J197" s="203" t="str">
        <f ca="1">IF(C197&lt;&gt;"",
VLOOKUP(
IF(COUNTIF(D197,"*学食*"),"キャラ弁（学食）",
IF(COUNTIF(D197,"*赤*"),"赤",
IF(COUNTIF(D197,"*キャラ弁当*"),"キャラ弁当",D197))),注文弁当の抽出!$E$1:$F$15,2,FALSE),"")</f>
        <v/>
      </c>
      <c r="K197" s="203" t="str">
        <f t="shared" ca="1" si="56"/>
        <v/>
      </c>
      <c r="L197" s="203" t="str">
        <f t="shared" ca="1" si="57"/>
        <v/>
      </c>
      <c r="M197" s="203" cm="1">
        <f t="array" aca="1" ref="M197" ca="1">IF(C197&lt;&gt;"",
IF(IFERROR(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0)&lt;&gt;0,
IF(IFERROR(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"")="",
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""),
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0)),0),0)</f>
        <v>0</v>
      </c>
      <c r="N197" s="203" t="e">
        <f t="array" aca="1" ref="N197" ca="1">IF(B197="博多",
IF(C197&lt;&gt;"",
IF(IFERROR(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0)&lt;&gt;0,
IF(IFERROR(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0)="",
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0),
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0)),0),""),0)</f>
        <v>#N/A</v>
      </c>
      <c r="O197" s="203" t="e">
        <f t="shared" ca="1" si="58"/>
        <v>#N/A</v>
      </c>
      <c r="P197" s="203">
        <f t="shared" ca="1" si="4"/>
        <v>0</v>
      </c>
      <c r="Q197" s="203" t="b">
        <f t="shared" ca="1" si="59"/>
        <v>0</v>
      </c>
      <c r="R197" s="51" t="str" cm="1">
        <f t="array" aca="1" ref="R197" ca="1">IFERROR(SMALL(IF(P$1:P$300&lt;&gt;0,P$1:P$300),ROW(A197)),"")</f>
        <v/>
      </c>
      <c r="S197" s="51" t="str">
        <f t="array" aca="1" ref="S197" ca="1">IF($R197&lt;&gt;"",
INDIRECT(""&amp;IF(COLUMN(C217)&lt;=26,CHAR(COLUMN(C217)+64),CHAR(INT((COLUMN(C217)-1)/26)+64)&amp;CHAR(MOD(COLUMN(C217)-1,26)+65))&amp;$R197&amp;""),"")</f>
        <v/>
      </c>
      <c r="T197" s="51" t="str" cm="1">
        <f t="array" aca="1" ref="T197" ca="1">IF(IF($R197&lt;&gt;"",
INDIRECT(""&amp;IF(COLUMN(D217)&lt;=26,CHAR(COLUMN(D217)+64),CHAR(INT((COLUMN(D217)-1)/26)+64)&amp;CHAR(MOD(COLUMN(D217)-1,26)+65))&amp;$R197&amp;""),"")=0,"",
IF($R197&lt;&gt;"",
INDIRECT(""&amp;IF(COLUMN(D217)&lt;=26,CHAR(COLUMN(D217)+64),CHAR(INT((COLUMN(D217)-1)/26)+64)&amp;CHAR(MOD(COLUMN(D217)-1,26)+65))&amp;$R197&amp;""),""))</f>
        <v/>
      </c>
      <c r="U197" s="51"/>
      <c r="V197" s="51" t="str">
        <f t="array" aca="1" ref="V197" ca="1">IF($R197&lt;&gt;"",
IF(U197="",
IF(INDIRECT("EY"&amp;$R197&amp;"")&lt;&gt;"",
INDIRECT("EY"&amp;$R197&amp;"")&amp;"箱"
&amp;INDIRECT("EZ"&amp;$R197&amp;""),""),""),"")</f>
        <v/>
      </c>
      <c r="W197" s="51" t="str">
        <f t="array" aca="1" ref="W197" ca="1">IF($R197&lt;&gt;"",
INDIRECT(""&amp;IF(COLUMN(H217)&lt;=26,CHAR(COLUMN(H217)+64),CHAR(INT((COLUMN(H217)-1)/26)+64)&amp;CHAR(MOD(COLUMN(H217)-1,26)+65))&amp;$R197&amp;""),"")</f>
        <v/>
      </c>
      <c r="X197" s="51" t="str">
        <f t="array" aca="1" ref="X197" ca="1">IF($R197&lt;&gt;"",
INDIRECT(""&amp;IF(COLUMN(I217)&lt;=26,CHAR(COLUMN(I217)+64),CHAR(INT((COLUMN(I217)-1)/26)+64)&amp;CHAR(MOD(COLUMN(I217)-1,26)+65))&amp;$R197&amp;""),"")</f>
        <v/>
      </c>
      <c r="Y197" s="51" t="str">
        <f t="array" aca="1" ref="Y197" ca="1">IF($R197&lt;&gt;"",
INDIRECT(""&amp;IF(COLUMN(J217)&lt;=26,CHAR(COLUMN(J217)+64),CHAR(INT((COLUMN(J217)-1)/26)+64)&amp;CHAR(MOD(COLUMN(J217)-1,26)+65))&amp;$R197&amp;""),"")</f>
        <v/>
      </c>
      <c r="Z197" s="51" t="str">
        <f t="array" aca="1" ref="Z197" ca="1">IF($R197&lt;&gt;"",
INDIRECT(""&amp;IF(COLUMN(K217)&lt;=26,CHAR(COLUMN(K217)+64),CHAR(INT((COLUMN(K217)-1)/26)+64)&amp;CHAR(MOD(COLUMN(K217)-1,26)+65))&amp;$R197&amp;""),"")</f>
        <v/>
      </c>
      <c r="AA197" s="51" t="str">
        <f t="array" aca="1" ref="AA197" ca="1">IF($R197&lt;&gt;"",
INDIRECT(""&amp;IF(COLUMN(L217)&lt;=26,CHAR(COLUMN(L217)+64),CHAR(INT((COLUMN(L217)-1)/26)+64)&amp;CHAR(MOD(COLUMN(L217)-1,26)+65))&amp;$R197&amp;""),"")</f>
        <v/>
      </c>
      <c r="AB197" s="51" t="str">
        <f t="array" aca="1" ref="AB197" ca="1">IF($R197&lt;&gt;"",
INDIRECT(""&amp;IF(COLUMN(O217)&lt;=26,CHAR(COLUMN(O217)+64),CHAR(INT((COLUMN(O217)-1)/26)+64)&amp;CHAR(MOD(COLUMN(O217)-1,26)+65))&amp;$R197&amp;""),"")</f>
        <v/>
      </c>
    </row>
    <row r="198" spans="1:28" ht="22.2" customHeight="1">
      <c r="A198" s="204">
        <f t="shared" si="55"/>
        <v>121</v>
      </c>
      <c r="B198" s="203" t="e" cm="1">
        <f t="array" aca="1" ref="B198" ca="1">IF(AND(LEFT(C198,2)="博多",
LEFT(INDIRECT("数出表_Excel!A"&amp;MATCH(C198,数出表_Excel!$A:$A,0)-1),2)
=LEFT(INDIRECT("数出表_Excel!A"&amp;MATCH(C198,数出表_Excel!$A:$A,0)+1),2)),"博多",
IF(AND(LEFT(C198,3)="奈良屋",
LEFT(INDIRECT("数出表_Excel!A"&amp;MATCH(C198,数出表_Excel!$A:$A,0)-1),2)
=LEFT(INDIRECT("数出表_Excel!A"&amp;MATCH(C198,数出表_Excel!$A:$A,0)+1),2)),"奈良屋",""))</f>
        <v>#N/A</v>
      </c>
      <c r="C198" s="203" t="str" cm="1">
        <f t="array" aca="1" ref="C198" ca="1">IF(IF(クライアント抽出!A58="",0,LEN(クライアント抽出!V58)-LEN(SUBSTITUTE(クライアント抽出!V58,",","")))&gt;=3,INDIRECT("数出表_Excel!A"&amp;A198&amp;""),"")</f>
        <v/>
      </c>
      <c r="D198" s="203" t="str" cm="1">
        <f t="array" aca="1" ref="D198" ca="1">IF(C198&lt;&gt;"",INDIRECT("クライアント抽出!"&amp;E198&amp;MATCH(C198,クライアント抽出!A:A,0)&amp;""),"")</f>
        <v/>
      </c>
      <c r="E198" s="203" t="str">
        <f ca="1">IF(H198&lt;&gt;0,
IFERROR(
SUBSTITUTE(ADDRESS(1,
MATCH(VALUE(H198),クライアント抽出!A58:G58,0)+8,4),"1",""),
""),
IFERROR(
SUBSTITUTE(ADDRESS(1,
MATCH(VALUE(I198),クライアント抽出!A58:G58,0)+8,4),"1",""),
""))</f>
        <v/>
      </c>
      <c r="F198" s="206" t="str" cm="1">
        <f t="array" aca="1" ref="F198" ca="1">IF(D198&lt;&gt;"",
IF(COUNTIF(C198,"*雙葉*"),
IF(ROUND(
IF(O198&lt;&gt;"",(H198-O198),H198)
/IF(COUNTIF('盛付札（関数）'!D198,"*キャラ*"),
VLOOKUP("*キャラ*",#REF!,7,FALSE),
IF(COUNTIF('盛付札（関数）'!D198,"*赤*"),
VLOOKUP("*赤*",#REF!,7,FALSE),
VLOOKUP('盛付札（関数）'!D198,#REF!,7,FALSE))),0)&lt;=0,1,
ROUND(
IF(O198&lt;&gt;"",(H198-O198),H198)
/IF(COUNTIF('盛付札（関数）'!D198,"*キャラ*"),
VLOOKUP("*キャラ*",#REF!,7,FALSE),
IF(COUNTIF('盛付札（関数）'!D198,"*赤*"),
VLOOKUP("*赤*",#REF!,7,FALSE),
VLOOKUP('盛付札（関数）'!D198,#REF!,7,FALSE))),0)),
IF(MATCH(TRUE,
ISNUMBER(--INDIRECT("数出表_Excel!B"&amp;MATCH(C198,数出表_Excel!$A:$A,0)-1&amp;":U"&amp;MATCH(C198,数出表_Excel!$A:$A,0)-1&amp;"")),0)&gt;10,
IF(D198&lt;&gt;"",
IF(IF(COUNTIF('盛付札（関数）'!D198,"*キャラ*"),
VLOOKUP("*キャラ*",#REF!,7,FALSE),
IF(COUNTIF('盛付札（関数）'!D198,"*赤*"),
VLOOKUP("*赤*",#REF!,7,FALSE),
VLOOKUP('盛付札（関数）'!D198,#REF!,7,FALSE)))=0,"",
IF(ROUND(
IF(O198&lt;&gt;"",(H198-O198),H198)
/IF(COUNTIF('盛付札（関数）'!D198,"*キャラ*"),
VLOOKUP("*キャラ*",#REF!,7,FALSE),
IF(COUNTIF('盛付札（関数）'!D198,"*赤*"),
VLOOKUP("*赤*",#REF!,7,FALSE),
VLOOKUP('盛付札（関数）'!D198,#REF!,7,FALSE))),0)&lt;=0,1,
ROUND(
IF(O198&lt;&gt;"",(H198-O198),H198)
/IF(COUNTIF('盛付札（関数）'!D198,"*キャラ*"),
VLOOKUP("*キャラ*",#REF!,7,FALSE),
IF(COUNTIF('盛付札（関数）'!D198,"*赤*"),
VLOOKUP("*赤*",#REF!,7,FALSE),
VLOOKUP('盛付札（関数）'!D198,#REF!,7,FALSE))),0))),""),"")),"")</f>
        <v/>
      </c>
      <c r="G198" s="206" t="str">
        <f ca="1">IF(F198&lt;&gt;"",IF(VALUE(IF(O198&lt;&gt;"",H198-O198,H198))&gt;VALUE(IF(COUNTIF('盛付札（関数）'!D198,"*キャラ*"),
VLOOKUP("*キャラ*",#REF!,7,FALSE),
IF(COUNTIF('盛付札（関数）'!D198,"*赤*"),
VLOOKUP("*赤*",#REF!,7,FALSE),
VLOOKUP('盛付札（関数）'!D198,#REF!,7,FALSE)))*F198),
"+"&amp;IF(O198&lt;&gt;"",H198-O198,H198)-IF(COUNTIF('盛付札（関数）'!D198,"*キャラ*"),
VLOOKUP("*キャラ*",#REF!,7,FALSE),
IF(COUNTIF('盛付札（関数）'!D198,"*赤*"),
VLOOKUP("*赤*",#REF!,7,FALSE),
VLOOKUP('盛付札（関数）'!D198,#REF!,7,FALSE)))*F198,
IF(O198&lt;&gt;"",H198-O198,H198)-IF(COUNTIF('盛付札（関数）'!D198,"*キャラ*"),
VLOOKUP("*キャラ*",#REF!,7,FALSE),
IF(COUNTIF('盛付札（関数）'!D198,"*赤*"),
VLOOKUP("*赤*",#REF!,7,FALSE),
VLOOKUP('盛付札（関数）'!D198,#REF!,7,FALSE)))*F198),"")</f>
        <v/>
      </c>
      <c r="H198" s="205" t="str" cm="1">
        <f t="array" aca="1" ref="H198" ca="1">IF(C198&lt;&gt;"",
IF(INDIRECT("数出表_Excel!"&amp;RIGHT(SUBSTITUTE(クライアント抽出!V58,",",""),1)&amp;A198-1&amp;"")&lt;&gt;"",
INDIRECT("数出表_Excel!"&amp;RIGHT(SUBSTITUTE(クライアント抽出!V58,",",""),1)&amp;A198-1&amp;""),0),"")</f>
        <v/>
      </c>
      <c r="I198" s="203" t="str" cm="1">
        <f t="array" aca="1" ref="I198" ca="1">IF(C198&lt;&gt;"",
IF(INDIRECT("数出表_Excel!"&amp;RIGHT(SUBSTITUTE(クライアント抽出!V58,",",""),1)&amp;A198&amp;"")&lt;&gt;"",
INDIRECT("数出表_Excel!"&amp;RIGHT(SUBSTITUTE(クライアント抽出!V58,",",""),1)&amp;A198&amp;""),0),"")</f>
        <v/>
      </c>
      <c r="J198" s="203" t="str">
        <f ca="1">IF(C198&lt;&gt;"",
VLOOKUP(
IF(COUNTIF(D198,"*学食*"),"キャラ弁（学食）",
IF(COUNTIF(D198,"*赤*"),"赤",
IF(COUNTIF(D198,"*キャラ弁当*"),"キャラ弁当",D198))),注文弁当の抽出!$E$1:$F$15,2,FALSE),"")</f>
        <v/>
      </c>
      <c r="K198" s="203" t="str">
        <f t="shared" ca="1" si="56"/>
        <v/>
      </c>
      <c r="L198" s="203" t="str">
        <f t="shared" ca="1" si="57"/>
        <v/>
      </c>
      <c r="M198" s="203" cm="1">
        <f t="array" aca="1" ref="M198" ca="1">IF(C198&lt;&gt;"",
IF(IFERROR(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0)&lt;&gt;0,
IF(IFERROR(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"")="",
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""),
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0)),0),0)</f>
        <v>0</v>
      </c>
      <c r="N198" s="203" t="e">
        <f t="array" aca="1" ref="N198" ca="1">IF(B198="博多",
IF(C198&lt;&gt;"",
IF(IFERROR(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0)&lt;&gt;0,
IF(IFERROR(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0)="",
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0),
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0)),0),""),0)</f>
        <v>#N/A</v>
      </c>
      <c r="O198" s="203" t="e">
        <f t="shared" ca="1" si="58"/>
        <v>#N/A</v>
      </c>
      <c r="P198" s="203">
        <f t="shared" ca="1" si="4"/>
        <v>0</v>
      </c>
      <c r="Q198" s="203" t="b">
        <f t="shared" ca="1" si="59"/>
        <v>0</v>
      </c>
      <c r="R198" s="51" t="str" cm="1">
        <f t="array" aca="1" ref="R198" ca="1">IFERROR(SMALL(IF(P$1:P$300&lt;&gt;0,P$1:P$300),ROW(A198)),"")</f>
        <v/>
      </c>
      <c r="S198" s="51" t="str">
        <f t="array" aca="1" ref="S198" ca="1">IF($R198&lt;&gt;"",
INDIRECT(""&amp;IF(COLUMN(C218)&lt;=26,CHAR(COLUMN(C218)+64),CHAR(INT((COLUMN(C218)-1)/26)+64)&amp;CHAR(MOD(COLUMN(C218)-1,26)+65))&amp;$R198&amp;""),"")</f>
        <v/>
      </c>
      <c r="T198" s="51" t="str" cm="1">
        <f t="array" aca="1" ref="T198" ca="1">IF(IF($R198&lt;&gt;"",
INDIRECT(""&amp;IF(COLUMN(D218)&lt;=26,CHAR(COLUMN(D218)+64),CHAR(INT((COLUMN(D218)-1)/26)+64)&amp;CHAR(MOD(COLUMN(D218)-1,26)+65))&amp;$R198&amp;""),"")=0,"",
IF($R198&lt;&gt;"",
INDIRECT(""&amp;IF(COLUMN(D218)&lt;=26,CHAR(COLUMN(D218)+64),CHAR(INT((COLUMN(D218)-1)/26)+64)&amp;CHAR(MOD(COLUMN(D218)-1,26)+65))&amp;$R198&amp;""),""))</f>
        <v/>
      </c>
      <c r="U198" s="51"/>
      <c r="V198" s="51" t="str">
        <f t="array" aca="1" ref="V198" ca="1">IF($R198&lt;&gt;"",
IF(U198="",
IF(INDIRECT("EY"&amp;$R198&amp;"")&lt;&gt;"",
INDIRECT("EY"&amp;$R198&amp;"")&amp;"箱"
&amp;INDIRECT("EZ"&amp;$R198&amp;""),""),""),"")</f>
        <v/>
      </c>
      <c r="W198" s="51" t="str">
        <f t="array" aca="1" ref="W198" ca="1">IF($R198&lt;&gt;"",
INDIRECT(""&amp;IF(COLUMN(H218)&lt;=26,CHAR(COLUMN(H218)+64),CHAR(INT((COLUMN(H218)-1)/26)+64)&amp;CHAR(MOD(COLUMN(H218)-1,26)+65))&amp;$R198&amp;""),"")</f>
        <v/>
      </c>
      <c r="X198" s="51" t="str">
        <f t="array" aca="1" ref="X198" ca="1">IF($R198&lt;&gt;"",
INDIRECT(""&amp;IF(COLUMN(I218)&lt;=26,CHAR(COLUMN(I218)+64),CHAR(INT((COLUMN(I218)-1)/26)+64)&amp;CHAR(MOD(COLUMN(I218)-1,26)+65))&amp;$R198&amp;""),"")</f>
        <v/>
      </c>
      <c r="Y198" s="51" t="str">
        <f t="array" aca="1" ref="Y198" ca="1">IF($R198&lt;&gt;"",
INDIRECT(""&amp;IF(COLUMN(J218)&lt;=26,CHAR(COLUMN(J218)+64),CHAR(INT((COLUMN(J218)-1)/26)+64)&amp;CHAR(MOD(COLUMN(J218)-1,26)+65))&amp;$R198&amp;""),"")</f>
        <v/>
      </c>
      <c r="Z198" s="51" t="str">
        <f t="array" aca="1" ref="Z198" ca="1">IF($R198&lt;&gt;"",
INDIRECT(""&amp;IF(COLUMN(K218)&lt;=26,CHAR(COLUMN(K218)+64),CHAR(INT((COLUMN(K218)-1)/26)+64)&amp;CHAR(MOD(COLUMN(K218)-1,26)+65))&amp;$R198&amp;""),"")</f>
        <v/>
      </c>
      <c r="AA198" s="51" t="str">
        <f t="array" aca="1" ref="AA198" ca="1">IF($R198&lt;&gt;"",
INDIRECT(""&amp;IF(COLUMN(L218)&lt;=26,CHAR(COLUMN(L218)+64),CHAR(INT((COLUMN(L218)-1)/26)+64)&amp;CHAR(MOD(COLUMN(L218)-1,26)+65))&amp;$R198&amp;""),"")</f>
        <v/>
      </c>
      <c r="AB198" s="51" t="str">
        <f t="array" aca="1" ref="AB198" ca="1">IF($R198&lt;&gt;"",
INDIRECT(""&amp;IF(COLUMN(O218)&lt;=26,CHAR(COLUMN(O218)+64),CHAR(INT((COLUMN(O218)-1)/26)+64)&amp;CHAR(MOD(COLUMN(O218)-1,26)+65))&amp;$R198&amp;""),"")</f>
        <v/>
      </c>
    </row>
    <row r="199" spans="1:28" ht="22.2" customHeight="1">
      <c r="A199" s="204">
        <f t="shared" si="55"/>
        <v>123</v>
      </c>
      <c r="B199" s="203" t="e" cm="1">
        <f t="array" aca="1" ref="B199" ca="1">IF(AND(LEFT(C199,2)="博多",
LEFT(INDIRECT("数出表_Excel!A"&amp;MATCH(C199,数出表_Excel!$A:$A,0)-1),2)
=LEFT(INDIRECT("数出表_Excel!A"&amp;MATCH(C199,数出表_Excel!$A:$A,0)+1),2)),"博多",
IF(AND(LEFT(C199,3)="奈良屋",
LEFT(INDIRECT("数出表_Excel!A"&amp;MATCH(C199,数出表_Excel!$A:$A,0)-1),2)
=LEFT(INDIRECT("数出表_Excel!A"&amp;MATCH(C199,数出表_Excel!$A:$A,0)+1),2)),"奈良屋",""))</f>
        <v>#N/A</v>
      </c>
      <c r="C199" s="203" t="str" cm="1">
        <f t="array" aca="1" ref="C199" ca="1">IF(IF(クライアント抽出!A59="",0,LEN(クライアント抽出!V59)-LEN(SUBSTITUTE(クライアント抽出!V59,",","")))&gt;=3,INDIRECT("数出表_Excel!A"&amp;A199&amp;""),"")</f>
        <v/>
      </c>
      <c r="D199" s="203" t="str" cm="1">
        <f t="array" aca="1" ref="D199" ca="1">IF(C199&lt;&gt;"",INDIRECT("クライアント抽出!"&amp;E199&amp;MATCH(C199,クライアント抽出!A:A,0)&amp;""),"")</f>
        <v/>
      </c>
      <c r="E199" s="203" t="str">
        <f ca="1">IF(H199&lt;&gt;0,
IFERROR(
SUBSTITUTE(ADDRESS(1,
MATCH(VALUE(H199),クライアント抽出!A59:G59,0)+8,4),"1",""),
""),
IFERROR(
SUBSTITUTE(ADDRESS(1,
MATCH(VALUE(I199),クライアント抽出!A59:G59,0)+8,4),"1",""),
""))</f>
        <v/>
      </c>
      <c r="F199" s="206" t="str" cm="1">
        <f t="array" aca="1" ref="F199" ca="1">IF(D199&lt;&gt;"",
IF(COUNTIF(C199,"*雙葉*"),
IF(ROUND(
IF(O199&lt;&gt;"",(H199-O199),H199)
/IF(COUNTIF('盛付札（関数）'!D199,"*キャラ*"),
VLOOKUP("*キャラ*",#REF!,7,FALSE),
IF(COUNTIF('盛付札（関数）'!D199,"*赤*"),
VLOOKUP("*赤*",#REF!,7,FALSE),
VLOOKUP('盛付札（関数）'!D199,#REF!,7,FALSE))),0)&lt;=0,1,
ROUND(
IF(O199&lt;&gt;"",(H199-O199),H199)
/IF(COUNTIF('盛付札（関数）'!D199,"*キャラ*"),
VLOOKUP("*キャラ*",#REF!,7,FALSE),
IF(COUNTIF('盛付札（関数）'!D199,"*赤*"),
VLOOKUP("*赤*",#REF!,7,FALSE),
VLOOKUP('盛付札（関数）'!D199,#REF!,7,FALSE))),0)),
IF(MATCH(TRUE,
ISNUMBER(--INDIRECT("数出表_Excel!B"&amp;MATCH(C199,数出表_Excel!$A:$A,0)-1&amp;":U"&amp;MATCH(C199,数出表_Excel!$A:$A,0)-1&amp;"")),0)&gt;10,
IF(D199&lt;&gt;"",
IF(IF(COUNTIF('盛付札（関数）'!D199,"*キャラ*"),
VLOOKUP("*キャラ*",#REF!,7,FALSE),
IF(COUNTIF('盛付札（関数）'!D199,"*赤*"),
VLOOKUP("*赤*",#REF!,7,FALSE),
VLOOKUP('盛付札（関数）'!D199,#REF!,7,FALSE)))=0,"",
IF(ROUND(
IF(O199&lt;&gt;"",(H199-O199),H199)
/IF(COUNTIF('盛付札（関数）'!D199,"*キャラ*"),
VLOOKUP("*キャラ*",#REF!,7,FALSE),
IF(COUNTIF('盛付札（関数）'!D199,"*赤*"),
VLOOKUP("*赤*",#REF!,7,FALSE),
VLOOKUP('盛付札（関数）'!D199,#REF!,7,FALSE))),0)&lt;=0,1,
ROUND(
IF(O199&lt;&gt;"",(H199-O199),H199)
/IF(COUNTIF('盛付札（関数）'!D199,"*キャラ*"),
VLOOKUP("*キャラ*",#REF!,7,FALSE),
IF(COUNTIF('盛付札（関数）'!D199,"*赤*"),
VLOOKUP("*赤*",#REF!,7,FALSE),
VLOOKUP('盛付札（関数）'!D199,#REF!,7,FALSE))),0))),""),"")),"")</f>
        <v/>
      </c>
      <c r="G199" s="206" t="str">
        <f ca="1">IF(F199&lt;&gt;"",IF(VALUE(IF(O199&lt;&gt;"",H199-O199,H199))&gt;VALUE(IF(COUNTIF('盛付札（関数）'!D199,"*キャラ*"),
VLOOKUP("*キャラ*",#REF!,7,FALSE),
IF(COUNTIF('盛付札（関数）'!D199,"*赤*"),
VLOOKUP("*赤*",#REF!,7,FALSE),
VLOOKUP('盛付札（関数）'!D199,#REF!,7,FALSE)))*F199),
"+"&amp;IF(O199&lt;&gt;"",H199-O199,H199)-IF(COUNTIF('盛付札（関数）'!D199,"*キャラ*"),
VLOOKUP("*キャラ*",#REF!,7,FALSE),
IF(COUNTIF('盛付札（関数）'!D199,"*赤*"),
VLOOKUP("*赤*",#REF!,7,FALSE),
VLOOKUP('盛付札（関数）'!D199,#REF!,7,FALSE)))*F199,
IF(O199&lt;&gt;"",H199-O199,H199)-IF(COUNTIF('盛付札（関数）'!D199,"*キャラ*"),
VLOOKUP("*キャラ*",#REF!,7,FALSE),
IF(COUNTIF('盛付札（関数）'!D199,"*赤*"),
VLOOKUP("*赤*",#REF!,7,FALSE),
VLOOKUP('盛付札（関数）'!D199,#REF!,7,FALSE)))*F199),"")</f>
        <v/>
      </c>
      <c r="H199" s="205" t="str" cm="1">
        <f t="array" aca="1" ref="H199" ca="1">IF(C199&lt;&gt;"",
IF(INDIRECT("数出表_Excel!"&amp;RIGHT(SUBSTITUTE(クライアント抽出!V59,",",""),1)&amp;A199-1&amp;"")&lt;&gt;"",
INDIRECT("数出表_Excel!"&amp;RIGHT(SUBSTITUTE(クライアント抽出!V59,",",""),1)&amp;A199-1&amp;""),0),"")</f>
        <v/>
      </c>
      <c r="I199" s="203" t="str" cm="1">
        <f t="array" aca="1" ref="I199" ca="1">IF(C199&lt;&gt;"",
IF(INDIRECT("数出表_Excel!"&amp;RIGHT(SUBSTITUTE(クライアント抽出!V59,",",""),1)&amp;A199&amp;"")&lt;&gt;"",
INDIRECT("数出表_Excel!"&amp;RIGHT(SUBSTITUTE(クライアント抽出!V59,",",""),1)&amp;A199&amp;""),0),"")</f>
        <v/>
      </c>
      <c r="J199" s="203" t="str">
        <f ca="1">IF(C199&lt;&gt;"",
VLOOKUP(
IF(COUNTIF(D199,"*学食*"),"キャラ弁（学食）",
IF(COUNTIF(D199,"*赤*"),"赤",
IF(COUNTIF(D199,"*キャラ弁当*"),"キャラ弁当",D199))),注文弁当の抽出!$E$1:$F$15,2,FALSE),"")</f>
        <v/>
      </c>
      <c r="K199" s="203" t="str">
        <f t="shared" ca="1" si="56"/>
        <v/>
      </c>
      <c r="L199" s="203" t="str">
        <f t="shared" ca="1" si="57"/>
        <v/>
      </c>
      <c r="M199" s="203" cm="1">
        <f t="array" aca="1" ref="M199" ca="1">IF(C199&lt;&gt;"",
IF(IFERROR(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0)&lt;&gt;0,
IF(IFERROR(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"")="",
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""),
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0)),0),0)</f>
        <v>0</v>
      </c>
      <c r="N199" s="203" t="e">
        <f t="array" aca="1" ref="N199" ca="1">IF(B199="博多",
IF(C199&lt;&gt;"",
IF(IFERROR(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0)&lt;&gt;0,
IF(IFERROR(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0)="",
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0),
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0)),0),""),0)</f>
        <v>#N/A</v>
      </c>
      <c r="O199" s="203" t="e">
        <f t="shared" ca="1" si="58"/>
        <v>#N/A</v>
      </c>
      <c r="P199" s="203">
        <f t="shared" ca="1" si="4"/>
        <v>0</v>
      </c>
      <c r="Q199" s="203" t="b">
        <f t="shared" ca="1" si="59"/>
        <v>0</v>
      </c>
      <c r="R199" s="51" t="str" cm="1">
        <f t="array" aca="1" ref="R199" ca="1">IFERROR(SMALL(IF(P$1:P$300&lt;&gt;0,P$1:P$300),ROW(A199)),"")</f>
        <v/>
      </c>
      <c r="S199" s="51" t="str">
        <f t="array" aca="1" ref="S199" ca="1">IF($R199&lt;&gt;"",
INDIRECT(""&amp;IF(COLUMN(C219)&lt;=26,CHAR(COLUMN(C219)+64),CHAR(INT((COLUMN(C219)-1)/26)+64)&amp;CHAR(MOD(COLUMN(C219)-1,26)+65))&amp;$R199&amp;""),"")</f>
        <v/>
      </c>
      <c r="T199" s="51" t="str" cm="1">
        <f t="array" aca="1" ref="T199" ca="1">IF(IF($R199&lt;&gt;"",
INDIRECT(""&amp;IF(COLUMN(D219)&lt;=26,CHAR(COLUMN(D219)+64),CHAR(INT((COLUMN(D219)-1)/26)+64)&amp;CHAR(MOD(COLUMN(D219)-1,26)+65))&amp;$R199&amp;""),"")=0,"",
IF($R199&lt;&gt;"",
INDIRECT(""&amp;IF(COLUMN(D219)&lt;=26,CHAR(COLUMN(D219)+64),CHAR(INT((COLUMN(D219)-1)/26)+64)&amp;CHAR(MOD(COLUMN(D219)-1,26)+65))&amp;$R199&amp;""),""))</f>
        <v/>
      </c>
      <c r="U199" s="51"/>
      <c r="V199" s="51" t="str">
        <f t="array" aca="1" ref="V199" ca="1">IF($R199&lt;&gt;"",
IF(U199="",
IF(INDIRECT("EY"&amp;$R199&amp;"")&lt;&gt;"",
INDIRECT("EY"&amp;$R199&amp;"")&amp;"箱"
&amp;INDIRECT("EZ"&amp;$R199&amp;""),""),""),"")</f>
        <v/>
      </c>
      <c r="W199" s="51" t="str">
        <f t="array" aca="1" ref="W199" ca="1">IF($R199&lt;&gt;"",
INDIRECT(""&amp;IF(COLUMN(H219)&lt;=26,CHAR(COLUMN(H219)+64),CHAR(INT((COLUMN(H219)-1)/26)+64)&amp;CHAR(MOD(COLUMN(H219)-1,26)+65))&amp;$R199&amp;""),"")</f>
        <v/>
      </c>
      <c r="X199" s="51" t="str">
        <f t="array" aca="1" ref="X199" ca="1">IF($R199&lt;&gt;"",
INDIRECT(""&amp;IF(COLUMN(I219)&lt;=26,CHAR(COLUMN(I219)+64),CHAR(INT((COLUMN(I219)-1)/26)+64)&amp;CHAR(MOD(COLUMN(I219)-1,26)+65))&amp;$R199&amp;""),"")</f>
        <v/>
      </c>
      <c r="Y199" s="51" t="str">
        <f t="array" aca="1" ref="Y199" ca="1">IF($R199&lt;&gt;"",
INDIRECT(""&amp;IF(COLUMN(J219)&lt;=26,CHAR(COLUMN(J219)+64),CHAR(INT((COLUMN(J219)-1)/26)+64)&amp;CHAR(MOD(COLUMN(J219)-1,26)+65))&amp;$R199&amp;""),"")</f>
        <v/>
      </c>
      <c r="Z199" s="51" t="str">
        <f t="array" aca="1" ref="Z199" ca="1">IF($R199&lt;&gt;"",
INDIRECT(""&amp;IF(COLUMN(K219)&lt;=26,CHAR(COLUMN(K219)+64),CHAR(INT((COLUMN(K219)-1)/26)+64)&amp;CHAR(MOD(COLUMN(K219)-1,26)+65))&amp;$R199&amp;""),"")</f>
        <v/>
      </c>
      <c r="AA199" s="51" t="str">
        <f t="array" aca="1" ref="AA199" ca="1">IF($R199&lt;&gt;"",
INDIRECT(""&amp;IF(COLUMN(L219)&lt;=26,CHAR(COLUMN(L219)+64),CHAR(INT((COLUMN(L219)-1)/26)+64)&amp;CHAR(MOD(COLUMN(L219)-1,26)+65))&amp;$R199&amp;""),"")</f>
        <v/>
      </c>
      <c r="AB199" s="51" t="str">
        <f t="array" aca="1" ref="AB199" ca="1">IF($R199&lt;&gt;"",
INDIRECT(""&amp;IF(COLUMN(O219)&lt;=26,CHAR(COLUMN(O219)+64),CHAR(INT((COLUMN(O219)-1)/26)+64)&amp;CHAR(MOD(COLUMN(O219)-1,26)+65))&amp;$R199&amp;""),"")</f>
        <v/>
      </c>
    </row>
    <row r="200" spans="1:28" ht="22.2" customHeight="1">
      <c r="A200" s="204">
        <f t="shared" si="55"/>
        <v>125</v>
      </c>
      <c r="B200" s="203" t="e" cm="1">
        <f t="array" aca="1" ref="B200" ca="1">IF(AND(LEFT(C200,2)="博多",
LEFT(INDIRECT("数出表_Excel!A"&amp;MATCH(C200,数出表_Excel!$A:$A,0)-1),2)
=LEFT(INDIRECT("数出表_Excel!A"&amp;MATCH(C200,数出表_Excel!$A:$A,0)+1),2)),"博多",
IF(AND(LEFT(C200,3)="奈良屋",
LEFT(INDIRECT("数出表_Excel!A"&amp;MATCH(C200,数出表_Excel!$A:$A,0)-1),2)
=LEFT(INDIRECT("数出表_Excel!A"&amp;MATCH(C200,数出表_Excel!$A:$A,0)+1),2)),"奈良屋",""))</f>
        <v>#N/A</v>
      </c>
      <c r="C200" s="203" t="str" cm="1">
        <f t="array" aca="1" ref="C200" ca="1">IF(IF(クライアント抽出!A60="",0,LEN(クライアント抽出!V60)-LEN(SUBSTITUTE(クライアント抽出!V60,",","")))&gt;=3,INDIRECT("数出表_Excel!A"&amp;A200&amp;""),"")</f>
        <v/>
      </c>
      <c r="D200" s="203" t="str" cm="1">
        <f t="array" aca="1" ref="D200" ca="1">IF(C200&lt;&gt;"",INDIRECT("クライアント抽出!"&amp;E200&amp;MATCH(C200,クライアント抽出!A:A,0)&amp;""),"")</f>
        <v/>
      </c>
      <c r="E200" s="203" t="str">
        <f ca="1">IF(H200&lt;&gt;0,
IFERROR(
SUBSTITUTE(ADDRESS(1,
MATCH(VALUE(H200),クライアント抽出!A60:G60,0)+8,4),"1",""),
""),
IFERROR(
SUBSTITUTE(ADDRESS(1,
MATCH(VALUE(I200),クライアント抽出!A60:G60,0)+8,4),"1",""),
""))</f>
        <v/>
      </c>
      <c r="F200" s="206" t="str" cm="1">
        <f t="array" aca="1" ref="F200" ca="1">IF(D200&lt;&gt;"",
IF(COUNTIF(C200,"*雙葉*"),
IF(ROUND(
IF(O200&lt;&gt;"",(H200-O200),H200)
/IF(COUNTIF('盛付札（関数）'!D200,"*キャラ*"),
VLOOKUP("*キャラ*",#REF!,7,FALSE),
IF(COUNTIF('盛付札（関数）'!D200,"*赤*"),
VLOOKUP("*赤*",#REF!,7,FALSE),
VLOOKUP('盛付札（関数）'!D200,#REF!,7,FALSE))),0)&lt;=0,1,
ROUND(
IF(O200&lt;&gt;"",(H200-O200),H200)
/IF(COUNTIF('盛付札（関数）'!D200,"*キャラ*"),
VLOOKUP("*キャラ*",#REF!,7,FALSE),
IF(COUNTIF('盛付札（関数）'!D200,"*赤*"),
VLOOKUP("*赤*",#REF!,7,FALSE),
VLOOKUP('盛付札（関数）'!D200,#REF!,7,FALSE))),0)),
IF(MATCH(TRUE,
ISNUMBER(--INDIRECT("数出表_Excel!B"&amp;MATCH(C200,数出表_Excel!$A:$A,0)-1&amp;":U"&amp;MATCH(C200,数出表_Excel!$A:$A,0)-1&amp;"")),0)&gt;10,
IF(D200&lt;&gt;"",
IF(IF(COUNTIF('盛付札（関数）'!D200,"*キャラ*"),
VLOOKUP("*キャラ*",#REF!,7,FALSE),
IF(COUNTIF('盛付札（関数）'!D200,"*赤*"),
VLOOKUP("*赤*",#REF!,7,FALSE),
VLOOKUP('盛付札（関数）'!D200,#REF!,7,FALSE)))=0,"",
IF(ROUND(
IF(O200&lt;&gt;"",(H200-O200),H200)
/IF(COUNTIF('盛付札（関数）'!D200,"*キャラ*"),
VLOOKUP("*キャラ*",#REF!,7,FALSE),
IF(COUNTIF('盛付札（関数）'!D200,"*赤*"),
VLOOKUP("*赤*",#REF!,7,FALSE),
VLOOKUP('盛付札（関数）'!D200,#REF!,7,FALSE))),0)&lt;=0,1,
ROUND(
IF(O200&lt;&gt;"",(H200-O200),H200)
/IF(COUNTIF('盛付札（関数）'!D200,"*キャラ*"),
VLOOKUP("*キャラ*",#REF!,7,FALSE),
IF(COUNTIF('盛付札（関数）'!D200,"*赤*"),
VLOOKUP("*赤*",#REF!,7,FALSE),
VLOOKUP('盛付札（関数）'!D200,#REF!,7,FALSE))),0))),""),"")),"")</f>
        <v/>
      </c>
      <c r="G200" s="206" t="str">
        <f ca="1">IF(F200&lt;&gt;"",IF(VALUE(IF(O200&lt;&gt;"",H200-O200,H200))&gt;VALUE(IF(COUNTIF('盛付札（関数）'!D200,"*キャラ*"),
VLOOKUP("*キャラ*",#REF!,7,FALSE),
IF(COUNTIF('盛付札（関数）'!D200,"*赤*"),
VLOOKUP("*赤*",#REF!,7,FALSE),
VLOOKUP('盛付札（関数）'!D200,#REF!,7,FALSE)))*F200),
"+"&amp;IF(O200&lt;&gt;"",H200-O200,H200)-IF(COUNTIF('盛付札（関数）'!D200,"*キャラ*"),
VLOOKUP("*キャラ*",#REF!,7,FALSE),
IF(COUNTIF('盛付札（関数）'!D200,"*赤*"),
VLOOKUP("*赤*",#REF!,7,FALSE),
VLOOKUP('盛付札（関数）'!D200,#REF!,7,FALSE)))*F200,
IF(O200&lt;&gt;"",H200-O200,H200)-IF(COUNTIF('盛付札（関数）'!D200,"*キャラ*"),
VLOOKUP("*キャラ*",#REF!,7,FALSE),
IF(COUNTIF('盛付札（関数）'!D200,"*赤*"),
VLOOKUP("*赤*",#REF!,7,FALSE),
VLOOKUP('盛付札（関数）'!D200,#REF!,7,FALSE)))*F200),"")</f>
        <v/>
      </c>
      <c r="H200" s="205" t="str" cm="1">
        <f t="array" aca="1" ref="H200" ca="1">IF(C200&lt;&gt;"",
IF(INDIRECT("数出表_Excel!"&amp;RIGHT(SUBSTITUTE(クライアント抽出!V60,",",""),1)&amp;A200-1&amp;"")&lt;&gt;"",
INDIRECT("数出表_Excel!"&amp;RIGHT(SUBSTITUTE(クライアント抽出!V60,",",""),1)&amp;A200-1&amp;""),0),"")</f>
        <v/>
      </c>
      <c r="I200" s="203" t="str" cm="1">
        <f t="array" aca="1" ref="I200" ca="1">IF(C200&lt;&gt;"",
IF(INDIRECT("数出表_Excel!"&amp;RIGHT(SUBSTITUTE(クライアント抽出!V60,",",""),1)&amp;A200&amp;"")&lt;&gt;"",
INDIRECT("数出表_Excel!"&amp;RIGHT(SUBSTITUTE(クライアント抽出!V60,",",""),1)&amp;A200&amp;""),0),"")</f>
        <v/>
      </c>
      <c r="J200" s="203" t="str">
        <f ca="1">IF(C200&lt;&gt;"",
VLOOKUP(
IF(COUNTIF(D200,"*学食*"),"キャラ弁（学食）",
IF(COUNTIF(D200,"*赤*"),"赤",
IF(COUNTIF(D200,"*キャラ弁当*"),"キャラ弁当",D200))),注文弁当の抽出!$E$1:$F$15,2,FALSE),"")</f>
        <v/>
      </c>
      <c r="K200" s="203" t="str">
        <f t="shared" ca="1" si="56"/>
        <v/>
      </c>
      <c r="L200" s="203" t="str">
        <f t="shared" ca="1" si="57"/>
        <v/>
      </c>
      <c r="M200" s="203" cm="1">
        <f t="array" aca="1" ref="M200" ca="1">IF(C200&lt;&gt;"",
IF(IFERROR(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0)&lt;&gt;0,
IF(IFERROR(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"")="",
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""),
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0)),0),0)</f>
        <v>0</v>
      </c>
      <c r="N200" s="203" t="e">
        <f t="array" aca="1" ref="N200" ca="1">IF(B200="博多",
IF(C200&lt;&gt;"",
IF(IFERROR(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0)&lt;&gt;0,
IF(IFERROR(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0)="",
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0),
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0)),0),""),0)</f>
        <v>#N/A</v>
      </c>
      <c r="O200" s="203" t="e">
        <f t="shared" ca="1" si="58"/>
        <v>#N/A</v>
      </c>
      <c r="P200" s="203">
        <f t="shared" ca="1" si="4"/>
        <v>0</v>
      </c>
      <c r="Q200" s="203" t="b">
        <f t="shared" ca="1" si="59"/>
        <v>0</v>
      </c>
      <c r="R200" s="51" t="str" cm="1">
        <f t="array" aca="1" ref="R200" ca="1">IFERROR(SMALL(IF(P$1:P$300&lt;&gt;0,P$1:P$300),ROW(A200)),"")</f>
        <v/>
      </c>
      <c r="S200" s="51" t="str">
        <f t="array" aca="1" ref="S200" ca="1">IF($R200&lt;&gt;"",
INDIRECT(""&amp;IF(COLUMN(C220)&lt;=26,CHAR(COLUMN(C220)+64),CHAR(INT((COLUMN(C220)-1)/26)+64)&amp;CHAR(MOD(COLUMN(C220)-1,26)+65))&amp;$R200&amp;""),"")</f>
        <v/>
      </c>
      <c r="T200" s="51" t="str" cm="1">
        <f t="array" aca="1" ref="T200" ca="1">IF(IF($R200&lt;&gt;"",
INDIRECT(""&amp;IF(COLUMN(D220)&lt;=26,CHAR(COLUMN(D220)+64),CHAR(INT((COLUMN(D220)-1)/26)+64)&amp;CHAR(MOD(COLUMN(D220)-1,26)+65))&amp;$R200&amp;""),"")=0,"",
IF($R200&lt;&gt;"",
INDIRECT(""&amp;IF(COLUMN(D220)&lt;=26,CHAR(COLUMN(D220)+64),CHAR(INT((COLUMN(D220)-1)/26)+64)&amp;CHAR(MOD(COLUMN(D220)-1,26)+65))&amp;$R200&amp;""),""))</f>
        <v/>
      </c>
      <c r="U200" s="51"/>
      <c r="V200" s="51" t="str">
        <f t="array" aca="1" ref="V200" ca="1">IF($R200&lt;&gt;"",
IF(U200="",
IF(INDIRECT("EY"&amp;$R200&amp;"")&lt;&gt;"",
INDIRECT("EY"&amp;$R200&amp;"")&amp;"箱"
&amp;INDIRECT("EZ"&amp;$R200&amp;""),""),""),"")</f>
        <v/>
      </c>
      <c r="W200" s="51" t="str">
        <f t="array" aca="1" ref="W200" ca="1">IF($R200&lt;&gt;"",
INDIRECT(""&amp;IF(COLUMN(H220)&lt;=26,CHAR(COLUMN(H220)+64),CHAR(INT((COLUMN(H220)-1)/26)+64)&amp;CHAR(MOD(COLUMN(H220)-1,26)+65))&amp;$R200&amp;""),"")</f>
        <v/>
      </c>
      <c r="X200" s="51" t="str">
        <f t="array" aca="1" ref="X200" ca="1">IF($R200&lt;&gt;"",
INDIRECT(""&amp;IF(COLUMN(I220)&lt;=26,CHAR(COLUMN(I220)+64),CHAR(INT((COLUMN(I220)-1)/26)+64)&amp;CHAR(MOD(COLUMN(I220)-1,26)+65))&amp;$R200&amp;""),"")</f>
        <v/>
      </c>
      <c r="Y200" s="51" t="str">
        <f t="array" aca="1" ref="Y200" ca="1">IF($R200&lt;&gt;"",
INDIRECT(""&amp;IF(COLUMN(J220)&lt;=26,CHAR(COLUMN(J220)+64),CHAR(INT((COLUMN(J220)-1)/26)+64)&amp;CHAR(MOD(COLUMN(J220)-1,26)+65))&amp;$R200&amp;""),"")</f>
        <v/>
      </c>
      <c r="Z200" s="51" t="str">
        <f t="array" aca="1" ref="Z200" ca="1">IF($R200&lt;&gt;"",
INDIRECT(""&amp;IF(COLUMN(K220)&lt;=26,CHAR(COLUMN(K220)+64),CHAR(INT((COLUMN(K220)-1)/26)+64)&amp;CHAR(MOD(COLUMN(K220)-1,26)+65))&amp;$R200&amp;""),"")</f>
        <v/>
      </c>
      <c r="AA200" s="51" t="str">
        <f t="array" aca="1" ref="AA200" ca="1">IF($R200&lt;&gt;"",
INDIRECT(""&amp;IF(COLUMN(L220)&lt;=26,CHAR(COLUMN(L220)+64),CHAR(INT((COLUMN(L220)-1)/26)+64)&amp;CHAR(MOD(COLUMN(L220)-1,26)+65))&amp;$R200&amp;""),"")</f>
        <v/>
      </c>
      <c r="AB200" s="51" t="str">
        <f t="array" aca="1" ref="AB200" ca="1">IF($R200&lt;&gt;"",
INDIRECT(""&amp;IF(COLUMN(O220)&lt;=26,CHAR(COLUMN(O220)+64),CHAR(INT((COLUMN(O220)-1)/26)+64)&amp;CHAR(MOD(COLUMN(O220)-1,26)+65))&amp;$R200&amp;""),"")</f>
        <v/>
      </c>
    </row>
    <row r="201" spans="1:28" ht="22.2" customHeight="1">
      <c r="A201" s="204">
        <f t="shared" si="55"/>
        <v>127</v>
      </c>
      <c r="B201" s="203" t="e" cm="1">
        <f t="array" aca="1" ref="B201" ca="1">IF(AND(LEFT(C201,2)="博多",
LEFT(INDIRECT("数出表_Excel!A"&amp;MATCH(C201,数出表_Excel!$A:$A,0)-1),2)
=LEFT(INDIRECT("数出表_Excel!A"&amp;MATCH(C201,数出表_Excel!$A:$A,0)+1),2)),"博多",
IF(AND(LEFT(C201,3)="奈良屋",
LEFT(INDIRECT("数出表_Excel!A"&amp;MATCH(C201,数出表_Excel!$A:$A,0)-1),2)
=LEFT(INDIRECT("数出表_Excel!A"&amp;MATCH(C201,数出表_Excel!$A:$A,0)+1),2)),"奈良屋",""))</f>
        <v>#N/A</v>
      </c>
      <c r="C201" s="203" t="str" cm="1">
        <f t="array" aca="1" ref="C201" ca="1">IF(IF(クライアント抽出!A61="",0,LEN(クライアント抽出!V61)-LEN(SUBSTITUTE(クライアント抽出!V61,",","")))&gt;=3,INDIRECT("数出表_Excel!A"&amp;A201&amp;""),"")</f>
        <v/>
      </c>
      <c r="D201" s="203" t="str" cm="1">
        <f t="array" aca="1" ref="D201" ca="1">IF(C201&lt;&gt;"",INDIRECT("クライアント抽出!"&amp;E201&amp;MATCH(C201,クライアント抽出!A:A,0)&amp;""),"")</f>
        <v/>
      </c>
      <c r="E201" s="203" t="str">
        <f ca="1">IF(H201&lt;&gt;0,
IFERROR(
SUBSTITUTE(ADDRESS(1,
MATCH(VALUE(H201),クライアント抽出!A61:G61,0)+8,4),"1",""),
""),
IFERROR(
SUBSTITUTE(ADDRESS(1,
MATCH(VALUE(I201),クライアント抽出!A61:G61,0)+8,4),"1",""),
""))</f>
        <v/>
      </c>
      <c r="F201" s="206" t="str" cm="1">
        <f t="array" aca="1" ref="F201" ca="1">IF(D201&lt;&gt;"",
IF(COUNTIF(C201,"*雙葉*"),
IF(ROUND(
IF(O201&lt;&gt;"",(H201-O201),H201)
/IF(COUNTIF('盛付札（関数）'!D201,"*キャラ*"),
VLOOKUP("*キャラ*",#REF!,7,FALSE),
IF(COUNTIF('盛付札（関数）'!D201,"*赤*"),
VLOOKUP("*赤*",#REF!,7,FALSE),
VLOOKUP('盛付札（関数）'!D201,#REF!,7,FALSE))),0)&lt;=0,1,
ROUND(
IF(O201&lt;&gt;"",(H201-O201),H201)
/IF(COUNTIF('盛付札（関数）'!D201,"*キャラ*"),
VLOOKUP("*キャラ*",#REF!,7,FALSE),
IF(COUNTIF('盛付札（関数）'!D201,"*赤*"),
VLOOKUP("*赤*",#REF!,7,FALSE),
VLOOKUP('盛付札（関数）'!D201,#REF!,7,FALSE))),0)),
IF(MATCH(TRUE,
ISNUMBER(--INDIRECT("数出表_Excel!B"&amp;MATCH(C201,数出表_Excel!$A:$A,0)-1&amp;":U"&amp;MATCH(C201,数出表_Excel!$A:$A,0)-1&amp;"")),0)&gt;10,
IF(D201&lt;&gt;"",
IF(IF(COUNTIF('盛付札（関数）'!D201,"*キャラ*"),
VLOOKUP("*キャラ*",#REF!,7,FALSE),
IF(COUNTIF('盛付札（関数）'!D201,"*赤*"),
VLOOKUP("*赤*",#REF!,7,FALSE),
VLOOKUP('盛付札（関数）'!D201,#REF!,7,FALSE)))=0,"",
IF(ROUND(
IF(O201&lt;&gt;"",(H201-O201),H201)
/IF(COUNTIF('盛付札（関数）'!D201,"*キャラ*"),
VLOOKUP("*キャラ*",#REF!,7,FALSE),
IF(COUNTIF('盛付札（関数）'!D201,"*赤*"),
VLOOKUP("*赤*",#REF!,7,FALSE),
VLOOKUP('盛付札（関数）'!D201,#REF!,7,FALSE))),0)&lt;=0,1,
ROUND(
IF(O201&lt;&gt;"",(H201-O201),H201)
/IF(COUNTIF('盛付札（関数）'!D201,"*キャラ*"),
VLOOKUP("*キャラ*",#REF!,7,FALSE),
IF(COUNTIF('盛付札（関数）'!D201,"*赤*"),
VLOOKUP("*赤*",#REF!,7,FALSE),
VLOOKUP('盛付札（関数）'!D201,#REF!,7,FALSE))),0))),""),"")),"")</f>
        <v/>
      </c>
      <c r="G201" s="206" t="str">
        <f ca="1">IF(F201&lt;&gt;"",IF(VALUE(IF(O201&lt;&gt;"",H201-O201,H201))&gt;VALUE(IF(COUNTIF('盛付札（関数）'!D201,"*キャラ*"),
VLOOKUP("*キャラ*",#REF!,7,FALSE),
IF(COUNTIF('盛付札（関数）'!D201,"*赤*"),
VLOOKUP("*赤*",#REF!,7,FALSE),
VLOOKUP('盛付札（関数）'!D201,#REF!,7,FALSE)))*F201),
"+"&amp;IF(O201&lt;&gt;"",H201-O201,H201)-IF(COUNTIF('盛付札（関数）'!D201,"*キャラ*"),
VLOOKUP("*キャラ*",#REF!,7,FALSE),
IF(COUNTIF('盛付札（関数）'!D201,"*赤*"),
VLOOKUP("*赤*",#REF!,7,FALSE),
VLOOKUP('盛付札（関数）'!D201,#REF!,7,FALSE)))*F201,
IF(O201&lt;&gt;"",H201-O201,H201)-IF(COUNTIF('盛付札（関数）'!D201,"*キャラ*"),
VLOOKUP("*キャラ*",#REF!,7,FALSE),
IF(COUNTIF('盛付札（関数）'!D201,"*赤*"),
VLOOKUP("*赤*",#REF!,7,FALSE),
VLOOKUP('盛付札（関数）'!D201,#REF!,7,FALSE)))*F201),"")</f>
        <v/>
      </c>
      <c r="H201" s="205" t="str" cm="1">
        <f t="array" aca="1" ref="H201" ca="1">IF(C201&lt;&gt;"",
IF(INDIRECT("数出表_Excel!"&amp;RIGHT(SUBSTITUTE(クライアント抽出!V61,",",""),1)&amp;A201-1&amp;"")&lt;&gt;"",
INDIRECT("数出表_Excel!"&amp;RIGHT(SUBSTITUTE(クライアント抽出!V61,",",""),1)&amp;A201-1&amp;""),0),"")</f>
        <v/>
      </c>
      <c r="I201" s="203" t="str" cm="1">
        <f t="array" aca="1" ref="I201" ca="1">IF(C201&lt;&gt;"",
IF(INDIRECT("数出表_Excel!"&amp;RIGHT(SUBSTITUTE(クライアント抽出!V61,",",""),1)&amp;A201&amp;"")&lt;&gt;"",
INDIRECT("数出表_Excel!"&amp;RIGHT(SUBSTITUTE(クライアント抽出!V61,",",""),1)&amp;A201&amp;""),0),"")</f>
        <v/>
      </c>
      <c r="J201" s="203" t="str">
        <f ca="1">IF(C201&lt;&gt;"",
VLOOKUP(
IF(COUNTIF(D201,"*学食*"),"キャラ弁（学食）",
IF(COUNTIF(D201,"*赤*"),"赤",
IF(COUNTIF(D201,"*キャラ弁当*"),"キャラ弁当",D201))),注文弁当の抽出!$E$1:$F$15,2,FALSE),"")</f>
        <v/>
      </c>
      <c r="K201" s="203" t="str">
        <f t="shared" ca="1" si="56"/>
        <v/>
      </c>
      <c r="L201" s="203" t="str">
        <f t="shared" ca="1" si="57"/>
        <v/>
      </c>
      <c r="M201" s="203" cm="1">
        <f t="array" aca="1" ref="M201" ca="1">IF(C201&lt;&gt;"",
IF(IFERROR(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0)&lt;&gt;0,
IF(IFERROR(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"")="",
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""),
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0)),0),0)</f>
        <v>0</v>
      </c>
      <c r="N201" s="203" t="e">
        <f t="array" aca="1" ref="N201" ca="1">IF(B201="博多",
IF(C201&lt;&gt;"",
IF(IFERROR(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0)&lt;&gt;0,
IF(IFERROR(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0)="",
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0),
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0)),0),""),0)</f>
        <v>#N/A</v>
      </c>
      <c r="O201" s="203" t="e">
        <f t="shared" ca="1" si="58"/>
        <v>#N/A</v>
      </c>
      <c r="P201" s="203">
        <f t="shared" ca="1" si="4"/>
        <v>0</v>
      </c>
      <c r="Q201" s="203" t="b">
        <f t="shared" ca="1" si="59"/>
        <v>0</v>
      </c>
      <c r="R201" s="51" t="str" cm="1">
        <f t="array" aca="1" ref="R201" ca="1">IFERROR(SMALL(IF(P$1:P$300&lt;&gt;0,P$1:P$300),ROW(A201)),"")</f>
        <v/>
      </c>
      <c r="S201" s="51" t="str">
        <f t="array" aca="1" ref="S201" ca="1">IF($R201&lt;&gt;"",
INDIRECT(""&amp;IF(COLUMN(C221)&lt;=26,CHAR(COLUMN(C221)+64),CHAR(INT((COLUMN(C221)-1)/26)+64)&amp;CHAR(MOD(COLUMN(C221)-1,26)+65))&amp;$R201&amp;""),"")</f>
        <v/>
      </c>
      <c r="T201" s="51" t="str" cm="1">
        <f t="array" aca="1" ref="T201" ca="1">IF(IF($R201&lt;&gt;"",
INDIRECT(""&amp;IF(COLUMN(D221)&lt;=26,CHAR(COLUMN(D221)+64),CHAR(INT((COLUMN(D221)-1)/26)+64)&amp;CHAR(MOD(COLUMN(D221)-1,26)+65))&amp;$R201&amp;""),"")=0,"",
IF($R201&lt;&gt;"",
INDIRECT(""&amp;IF(COLUMN(D221)&lt;=26,CHAR(COLUMN(D221)+64),CHAR(INT((COLUMN(D221)-1)/26)+64)&amp;CHAR(MOD(COLUMN(D221)-1,26)+65))&amp;$R201&amp;""),""))</f>
        <v/>
      </c>
      <c r="U201" s="51"/>
      <c r="V201" s="51" t="str">
        <f t="array" aca="1" ref="V201" ca="1">IF($R201&lt;&gt;"",
IF(U201="",
IF(INDIRECT("EY"&amp;$R201&amp;"")&lt;&gt;"",
INDIRECT("EY"&amp;$R201&amp;"")&amp;"箱"
&amp;INDIRECT("EZ"&amp;$R201&amp;""),""),""),"")</f>
        <v/>
      </c>
      <c r="W201" s="51" t="str">
        <f t="array" aca="1" ref="W201" ca="1">IF($R201&lt;&gt;"",
INDIRECT(""&amp;IF(COLUMN(H221)&lt;=26,CHAR(COLUMN(H221)+64),CHAR(INT((COLUMN(H221)-1)/26)+64)&amp;CHAR(MOD(COLUMN(H221)-1,26)+65))&amp;$R201&amp;""),"")</f>
        <v/>
      </c>
      <c r="X201" s="51" t="str">
        <f t="array" aca="1" ref="X201" ca="1">IF($R201&lt;&gt;"",
INDIRECT(""&amp;IF(COLUMN(I221)&lt;=26,CHAR(COLUMN(I221)+64),CHAR(INT((COLUMN(I221)-1)/26)+64)&amp;CHAR(MOD(COLUMN(I221)-1,26)+65))&amp;$R201&amp;""),"")</f>
        <v/>
      </c>
      <c r="Y201" s="51" t="str">
        <f t="array" aca="1" ref="Y201" ca="1">IF($R201&lt;&gt;"",
INDIRECT(""&amp;IF(COLUMN(J221)&lt;=26,CHAR(COLUMN(J221)+64),CHAR(INT((COLUMN(J221)-1)/26)+64)&amp;CHAR(MOD(COLUMN(J221)-1,26)+65))&amp;$R201&amp;""),"")</f>
        <v/>
      </c>
      <c r="Z201" s="51" t="str">
        <f t="array" aca="1" ref="Z201" ca="1">IF($R201&lt;&gt;"",
INDIRECT(""&amp;IF(COLUMN(K221)&lt;=26,CHAR(COLUMN(K221)+64),CHAR(INT((COLUMN(K221)-1)/26)+64)&amp;CHAR(MOD(COLUMN(K221)-1,26)+65))&amp;$R201&amp;""),"")</f>
        <v/>
      </c>
      <c r="AA201" s="51" t="str">
        <f t="array" aca="1" ref="AA201" ca="1">IF($R201&lt;&gt;"",
INDIRECT(""&amp;IF(COLUMN(L221)&lt;=26,CHAR(COLUMN(L221)+64),CHAR(INT((COLUMN(L221)-1)/26)+64)&amp;CHAR(MOD(COLUMN(L221)-1,26)+65))&amp;$R201&amp;""),"")</f>
        <v/>
      </c>
      <c r="AB201" s="51" t="str">
        <f t="array" aca="1" ref="AB201" ca="1">IF($R201&lt;&gt;"",
INDIRECT(""&amp;IF(COLUMN(O221)&lt;=26,CHAR(COLUMN(O221)+64),CHAR(INT((COLUMN(O221)-1)/26)+64)&amp;CHAR(MOD(COLUMN(O221)-1,26)+65))&amp;$R201&amp;""),"")</f>
        <v/>
      </c>
    </row>
    <row r="202" spans="1:28" ht="22.2" customHeight="1">
      <c r="A202" s="204">
        <f t="shared" si="55"/>
        <v>129</v>
      </c>
      <c r="B202" s="203" t="e" cm="1">
        <f t="array" aca="1" ref="B202" ca="1">IF(AND(LEFT(C202,2)="博多",
LEFT(INDIRECT("数出表_Excel!A"&amp;MATCH(C202,数出表_Excel!$A:$A,0)-1),2)
=LEFT(INDIRECT("数出表_Excel!A"&amp;MATCH(C202,数出表_Excel!$A:$A,0)+1),2)),"博多",
IF(AND(LEFT(C202,3)="奈良屋",
LEFT(INDIRECT("数出表_Excel!A"&amp;MATCH(C202,数出表_Excel!$A:$A,0)-1),2)
=LEFT(INDIRECT("数出表_Excel!A"&amp;MATCH(C202,数出表_Excel!$A:$A,0)+1),2)),"奈良屋",""))</f>
        <v>#N/A</v>
      </c>
      <c r="C202" s="203" t="str" cm="1">
        <f t="array" aca="1" ref="C202" ca="1">IF(IF(クライアント抽出!A62="",0,LEN(クライアント抽出!V62)-LEN(SUBSTITUTE(クライアント抽出!V62,",","")))&gt;=3,INDIRECT("数出表_Excel!A"&amp;A202&amp;""),"")</f>
        <v/>
      </c>
      <c r="D202" s="203" t="str" cm="1">
        <f t="array" aca="1" ref="D202" ca="1">IF(C202&lt;&gt;"",INDIRECT("クライアント抽出!"&amp;E202&amp;MATCH(C202,クライアント抽出!A:A,0)&amp;""),"")</f>
        <v/>
      </c>
      <c r="E202" s="203" t="str">
        <f ca="1">IF(H202&lt;&gt;0,
IFERROR(
SUBSTITUTE(ADDRESS(1,
MATCH(VALUE(H202),クライアント抽出!A62:G62,0)+8,4),"1",""),
""),
IFERROR(
SUBSTITUTE(ADDRESS(1,
MATCH(VALUE(I202),クライアント抽出!A62:G62,0)+8,4),"1",""),
""))</f>
        <v/>
      </c>
      <c r="F202" s="206" t="str" cm="1">
        <f t="array" aca="1" ref="F202" ca="1">IF(D202&lt;&gt;"",
IF(COUNTIF(C202,"*雙葉*"),
IF(ROUND(
IF(O202&lt;&gt;"",(H202-O202),H202)
/IF(COUNTIF('盛付札（関数）'!D202,"*キャラ*"),
VLOOKUP("*キャラ*",#REF!,7,FALSE),
IF(COUNTIF('盛付札（関数）'!D202,"*赤*"),
VLOOKUP("*赤*",#REF!,7,FALSE),
VLOOKUP('盛付札（関数）'!D202,#REF!,7,FALSE))),0)&lt;=0,1,
ROUND(
IF(O202&lt;&gt;"",(H202-O202),H202)
/IF(COUNTIF('盛付札（関数）'!D202,"*キャラ*"),
VLOOKUP("*キャラ*",#REF!,7,FALSE),
IF(COUNTIF('盛付札（関数）'!D202,"*赤*"),
VLOOKUP("*赤*",#REF!,7,FALSE),
VLOOKUP('盛付札（関数）'!D202,#REF!,7,FALSE))),0)),
IF(MATCH(TRUE,
ISNUMBER(--INDIRECT("数出表_Excel!B"&amp;MATCH(C202,数出表_Excel!$A:$A,0)-1&amp;":U"&amp;MATCH(C202,数出表_Excel!$A:$A,0)-1&amp;"")),0)&gt;10,
IF(D202&lt;&gt;"",
IF(IF(COUNTIF('盛付札（関数）'!D202,"*キャラ*"),
VLOOKUP("*キャラ*",#REF!,7,FALSE),
IF(COUNTIF('盛付札（関数）'!D202,"*赤*"),
VLOOKUP("*赤*",#REF!,7,FALSE),
VLOOKUP('盛付札（関数）'!D202,#REF!,7,FALSE)))=0,"",
IF(ROUND(
IF(O202&lt;&gt;"",(H202-O202),H202)
/IF(COUNTIF('盛付札（関数）'!D202,"*キャラ*"),
VLOOKUP("*キャラ*",#REF!,7,FALSE),
IF(COUNTIF('盛付札（関数）'!D202,"*赤*"),
VLOOKUP("*赤*",#REF!,7,FALSE),
VLOOKUP('盛付札（関数）'!D202,#REF!,7,FALSE))),0)&lt;=0,1,
ROUND(
IF(O202&lt;&gt;"",(H202-O202),H202)
/IF(COUNTIF('盛付札（関数）'!D202,"*キャラ*"),
VLOOKUP("*キャラ*",#REF!,7,FALSE),
IF(COUNTIF('盛付札（関数）'!D202,"*赤*"),
VLOOKUP("*赤*",#REF!,7,FALSE),
VLOOKUP('盛付札（関数）'!D202,#REF!,7,FALSE))),0))),""),"")),"")</f>
        <v/>
      </c>
      <c r="G202" s="206" t="str">
        <f ca="1">IF(F202&lt;&gt;"",IF(VALUE(IF(O202&lt;&gt;"",H202-O202,H202))&gt;VALUE(IF(COUNTIF('盛付札（関数）'!D202,"*キャラ*"),
VLOOKUP("*キャラ*",#REF!,7,FALSE),
IF(COUNTIF('盛付札（関数）'!D202,"*赤*"),
VLOOKUP("*赤*",#REF!,7,FALSE),
VLOOKUP('盛付札（関数）'!D202,#REF!,7,FALSE)))*F202),
"+"&amp;IF(O202&lt;&gt;"",H202-O202,H202)-IF(COUNTIF('盛付札（関数）'!D202,"*キャラ*"),
VLOOKUP("*キャラ*",#REF!,7,FALSE),
IF(COUNTIF('盛付札（関数）'!D202,"*赤*"),
VLOOKUP("*赤*",#REF!,7,FALSE),
VLOOKUP('盛付札（関数）'!D202,#REF!,7,FALSE)))*F202,
IF(O202&lt;&gt;"",H202-O202,H202)-IF(COUNTIF('盛付札（関数）'!D202,"*キャラ*"),
VLOOKUP("*キャラ*",#REF!,7,FALSE),
IF(COUNTIF('盛付札（関数）'!D202,"*赤*"),
VLOOKUP("*赤*",#REF!,7,FALSE),
VLOOKUP('盛付札（関数）'!D202,#REF!,7,FALSE)))*F202),"")</f>
        <v/>
      </c>
      <c r="H202" s="205" t="str" cm="1">
        <f t="array" aca="1" ref="H202" ca="1">IF(C202&lt;&gt;"",
IF(INDIRECT("数出表_Excel!"&amp;RIGHT(SUBSTITUTE(クライアント抽出!V62,",",""),1)&amp;A202-1&amp;"")&lt;&gt;"",
INDIRECT("数出表_Excel!"&amp;RIGHT(SUBSTITUTE(クライアント抽出!V62,",",""),1)&amp;A202-1&amp;""),0),"")</f>
        <v/>
      </c>
      <c r="I202" s="203" t="str" cm="1">
        <f t="array" aca="1" ref="I202" ca="1">IF(C202&lt;&gt;"",
IF(INDIRECT("数出表_Excel!"&amp;RIGHT(SUBSTITUTE(クライアント抽出!V62,",",""),1)&amp;A202&amp;"")&lt;&gt;"",
INDIRECT("数出表_Excel!"&amp;RIGHT(SUBSTITUTE(クライアント抽出!V62,",",""),1)&amp;A202&amp;""),0),"")</f>
        <v/>
      </c>
      <c r="J202" s="203" t="str">
        <f ca="1">IF(C202&lt;&gt;"",
VLOOKUP(
IF(COUNTIF(D202,"*学食*"),"キャラ弁（学食）",
IF(COUNTIF(D202,"*赤*"),"赤",
IF(COUNTIF(D202,"*キャラ弁当*"),"キャラ弁当",D202))),注文弁当の抽出!$E$1:$F$15,2,FALSE),"")</f>
        <v/>
      </c>
      <c r="K202" s="203" t="str">
        <f t="shared" ca="1" si="56"/>
        <v/>
      </c>
      <c r="L202" s="203" t="str">
        <f t="shared" ca="1" si="57"/>
        <v/>
      </c>
      <c r="M202" s="203" cm="1">
        <f t="array" aca="1" ref="M202" ca="1">IF(C202&lt;&gt;"",
IF(IFERROR(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0)&lt;&gt;0,
IF(IFERROR(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"")="",
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""),
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0)),0),0)</f>
        <v>0</v>
      </c>
      <c r="N202" s="203" t="e">
        <f t="array" aca="1" ref="N202" ca="1">IF(B202="博多",
IF(C202&lt;&gt;"",
IF(IFERROR(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0)&lt;&gt;0,
IF(IFERROR(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0)="",
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0),
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0)),0),""),0)</f>
        <v>#N/A</v>
      </c>
      <c r="O202" s="203" t="e">
        <f t="shared" ca="1" si="58"/>
        <v>#N/A</v>
      </c>
      <c r="P202" s="203">
        <f t="shared" ca="1" si="4"/>
        <v>0</v>
      </c>
      <c r="Q202" s="203" t="b">
        <f t="shared" ca="1" si="59"/>
        <v>0</v>
      </c>
      <c r="R202" s="51" t="str" cm="1">
        <f t="array" aca="1" ref="R202" ca="1">IFERROR(SMALL(IF(P$1:P$300&lt;&gt;0,P$1:P$300),ROW(A202)),"")</f>
        <v/>
      </c>
      <c r="S202" s="51" t="str">
        <f t="array" aca="1" ref="S202" ca="1">IF($R202&lt;&gt;"",
INDIRECT(""&amp;IF(COLUMN(C222)&lt;=26,CHAR(COLUMN(C222)+64),CHAR(INT((COLUMN(C222)-1)/26)+64)&amp;CHAR(MOD(COLUMN(C222)-1,26)+65))&amp;$R202&amp;""),"")</f>
        <v/>
      </c>
      <c r="T202" s="51" t="str" cm="1">
        <f t="array" aca="1" ref="T202" ca="1">IF(IF($R202&lt;&gt;"",
INDIRECT(""&amp;IF(COLUMN(D222)&lt;=26,CHAR(COLUMN(D222)+64),CHAR(INT((COLUMN(D222)-1)/26)+64)&amp;CHAR(MOD(COLUMN(D222)-1,26)+65))&amp;$R202&amp;""),"")=0,"",
IF($R202&lt;&gt;"",
INDIRECT(""&amp;IF(COLUMN(D222)&lt;=26,CHAR(COLUMN(D222)+64),CHAR(INT((COLUMN(D222)-1)/26)+64)&amp;CHAR(MOD(COLUMN(D222)-1,26)+65))&amp;$R202&amp;""),""))</f>
        <v/>
      </c>
      <c r="U202" s="51"/>
      <c r="V202" s="51" t="str">
        <f t="array" aca="1" ref="V202" ca="1">IF($R202&lt;&gt;"",
IF(U202="",
IF(INDIRECT("EY"&amp;$R202&amp;"")&lt;&gt;"",
INDIRECT("EY"&amp;$R202&amp;"")&amp;"箱"
&amp;INDIRECT("EZ"&amp;$R202&amp;""),""),""),"")</f>
        <v/>
      </c>
      <c r="W202" s="51" t="str">
        <f t="array" aca="1" ref="W202" ca="1">IF($R202&lt;&gt;"",
INDIRECT(""&amp;IF(COLUMN(H222)&lt;=26,CHAR(COLUMN(H222)+64),CHAR(INT((COLUMN(H222)-1)/26)+64)&amp;CHAR(MOD(COLUMN(H222)-1,26)+65))&amp;$R202&amp;""),"")</f>
        <v/>
      </c>
      <c r="X202" s="51" t="str">
        <f t="array" aca="1" ref="X202" ca="1">IF($R202&lt;&gt;"",
INDIRECT(""&amp;IF(COLUMN(I222)&lt;=26,CHAR(COLUMN(I222)+64),CHAR(INT((COLUMN(I222)-1)/26)+64)&amp;CHAR(MOD(COLUMN(I222)-1,26)+65))&amp;$R202&amp;""),"")</f>
        <v/>
      </c>
      <c r="Y202" s="51" t="str">
        <f t="array" aca="1" ref="Y202" ca="1">IF($R202&lt;&gt;"",
INDIRECT(""&amp;IF(COLUMN(J222)&lt;=26,CHAR(COLUMN(J222)+64),CHAR(INT((COLUMN(J222)-1)/26)+64)&amp;CHAR(MOD(COLUMN(J222)-1,26)+65))&amp;$R202&amp;""),"")</f>
        <v/>
      </c>
      <c r="Z202" s="51" t="str">
        <f t="array" aca="1" ref="Z202" ca="1">IF($R202&lt;&gt;"",
INDIRECT(""&amp;IF(COLUMN(K222)&lt;=26,CHAR(COLUMN(K222)+64),CHAR(INT((COLUMN(K222)-1)/26)+64)&amp;CHAR(MOD(COLUMN(K222)-1,26)+65))&amp;$R202&amp;""),"")</f>
        <v/>
      </c>
      <c r="AA202" s="51" t="str">
        <f t="array" aca="1" ref="AA202" ca="1">IF($R202&lt;&gt;"",
INDIRECT(""&amp;IF(COLUMN(L222)&lt;=26,CHAR(COLUMN(L222)+64),CHAR(INT((COLUMN(L222)-1)/26)+64)&amp;CHAR(MOD(COLUMN(L222)-1,26)+65))&amp;$R202&amp;""),"")</f>
        <v/>
      </c>
      <c r="AB202" s="51" t="str">
        <f t="array" aca="1" ref="AB202" ca="1">IF($R202&lt;&gt;"",
INDIRECT(""&amp;IF(COLUMN(O222)&lt;=26,CHAR(COLUMN(O222)+64),CHAR(INT((COLUMN(O222)-1)/26)+64)&amp;CHAR(MOD(COLUMN(O222)-1,26)+65))&amp;$R202&amp;""),"")</f>
        <v/>
      </c>
    </row>
    <row r="203" spans="1:28" ht="22.2" customHeight="1">
      <c r="A203" s="204">
        <f t="shared" si="55"/>
        <v>131</v>
      </c>
      <c r="B203" s="203" t="e" cm="1">
        <f t="array" aca="1" ref="B203" ca="1">IF(AND(LEFT(C203,2)="博多",
LEFT(INDIRECT("数出表_Excel!A"&amp;MATCH(C203,数出表_Excel!$A:$A,0)-1),2)
=LEFT(INDIRECT("数出表_Excel!A"&amp;MATCH(C203,数出表_Excel!$A:$A,0)+1),2)),"博多",
IF(AND(LEFT(C203,3)="奈良屋",
LEFT(INDIRECT("数出表_Excel!A"&amp;MATCH(C203,数出表_Excel!$A:$A,0)-1),2)
=LEFT(INDIRECT("数出表_Excel!A"&amp;MATCH(C203,数出表_Excel!$A:$A,0)+1),2)),"奈良屋",""))</f>
        <v>#N/A</v>
      </c>
      <c r="C203" s="203" t="str" cm="1">
        <f t="array" aca="1" ref="C203" ca="1">IF(IF(クライアント抽出!A63="",0,LEN(クライアント抽出!V63)-LEN(SUBSTITUTE(クライアント抽出!V63,",","")))&gt;=3,INDIRECT("数出表_Excel!A"&amp;A203&amp;""),"")</f>
        <v/>
      </c>
      <c r="D203" s="203" t="str" cm="1">
        <f t="array" aca="1" ref="D203" ca="1">IF(C203&lt;&gt;"",INDIRECT("クライアント抽出!"&amp;E203&amp;MATCH(C203,クライアント抽出!A:A,0)&amp;""),"")</f>
        <v/>
      </c>
      <c r="E203" s="203" t="str">
        <f ca="1">IF(H203&lt;&gt;0,
IFERROR(
SUBSTITUTE(ADDRESS(1,
MATCH(VALUE(H203),クライアント抽出!A63:G63,0)+8,4),"1",""),
""),
IFERROR(
SUBSTITUTE(ADDRESS(1,
MATCH(VALUE(I203),クライアント抽出!A63:G63,0)+8,4),"1",""),
""))</f>
        <v/>
      </c>
      <c r="F203" s="206" t="str" cm="1">
        <f t="array" aca="1" ref="F203" ca="1">IF(D203&lt;&gt;"",
IF(COUNTIF(C203,"*雙葉*"),
IF(ROUND(
IF(O203&lt;&gt;"",(H203-O203),H203)
/IF(COUNTIF('盛付札（関数）'!D203,"*キャラ*"),
VLOOKUP("*キャラ*",#REF!,7,FALSE),
IF(COUNTIF('盛付札（関数）'!D203,"*赤*"),
VLOOKUP("*赤*",#REF!,7,FALSE),
VLOOKUP('盛付札（関数）'!D203,#REF!,7,FALSE))),0)&lt;=0,1,
ROUND(
IF(O203&lt;&gt;"",(H203-O203),H203)
/IF(COUNTIF('盛付札（関数）'!D203,"*キャラ*"),
VLOOKUP("*キャラ*",#REF!,7,FALSE),
IF(COUNTIF('盛付札（関数）'!D203,"*赤*"),
VLOOKUP("*赤*",#REF!,7,FALSE),
VLOOKUP('盛付札（関数）'!D203,#REF!,7,FALSE))),0)),
IF(MATCH(TRUE,
ISNUMBER(--INDIRECT("数出表_Excel!B"&amp;MATCH(C203,数出表_Excel!$A:$A,0)-1&amp;":U"&amp;MATCH(C203,数出表_Excel!$A:$A,0)-1&amp;"")),0)&gt;10,
IF(D203&lt;&gt;"",
IF(IF(COUNTIF('盛付札（関数）'!D203,"*キャラ*"),
VLOOKUP("*キャラ*",#REF!,7,FALSE),
IF(COUNTIF('盛付札（関数）'!D203,"*赤*"),
VLOOKUP("*赤*",#REF!,7,FALSE),
VLOOKUP('盛付札（関数）'!D203,#REF!,7,FALSE)))=0,"",
IF(ROUND(
IF(O203&lt;&gt;"",(H203-O203),H203)
/IF(COUNTIF('盛付札（関数）'!D203,"*キャラ*"),
VLOOKUP("*キャラ*",#REF!,7,FALSE),
IF(COUNTIF('盛付札（関数）'!D203,"*赤*"),
VLOOKUP("*赤*",#REF!,7,FALSE),
VLOOKUP('盛付札（関数）'!D203,#REF!,7,FALSE))),0)&lt;=0,1,
ROUND(
IF(O203&lt;&gt;"",(H203-O203),H203)
/IF(COUNTIF('盛付札（関数）'!D203,"*キャラ*"),
VLOOKUP("*キャラ*",#REF!,7,FALSE),
IF(COUNTIF('盛付札（関数）'!D203,"*赤*"),
VLOOKUP("*赤*",#REF!,7,FALSE),
VLOOKUP('盛付札（関数）'!D203,#REF!,7,FALSE))),0))),""),"")),"")</f>
        <v/>
      </c>
      <c r="G203" s="206" t="str">
        <f ca="1">IF(F203&lt;&gt;"",IF(VALUE(IF(O203&lt;&gt;"",H203-O203,H203))&gt;VALUE(IF(COUNTIF('盛付札（関数）'!D203,"*キャラ*"),
VLOOKUP("*キャラ*",#REF!,7,FALSE),
IF(COUNTIF('盛付札（関数）'!D203,"*赤*"),
VLOOKUP("*赤*",#REF!,7,FALSE),
VLOOKUP('盛付札（関数）'!D203,#REF!,7,FALSE)))*F203),
"+"&amp;IF(O203&lt;&gt;"",H203-O203,H203)-IF(COUNTIF('盛付札（関数）'!D203,"*キャラ*"),
VLOOKUP("*キャラ*",#REF!,7,FALSE),
IF(COUNTIF('盛付札（関数）'!D203,"*赤*"),
VLOOKUP("*赤*",#REF!,7,FALSE),
VLOOKUP('盛付札（関数）'!D203,#REF!,7,FALSE)))*F203,
IF(O203&lt;&gt;"",H203-O203,H203)-IF(COUNTIF('盛付札（関数）'!D203,"*キャラ*"),
VLOOKUP("*キャラ*",#REF!,7,FALSE),
IF(COUNTIF('盛付札（関数）'!D203,"*赤*"),
VLOOKUP("*赤*",#REF!,7,FALSE),
VLOOKUP('盛付札（関数）'!D203,#REF!,7,FALSE)))*F203),"")</f>
        <v/>
      </c>
      <c r="H203" s="205" t="str" cm="1">
        <f t="array" aca="1" ref="H203" ca="1">IF(C203&lt;&gt;"",
IF(INDIRECT("数出表_Excel!"&amp;RIGHT(SUBSTITUTE(クライアント抽出!V63,",",""),1)&amp;A203-1&amp;"")&lt;&gt;"",
INDIRECT("数出表_Excel!"&amp;RIGHT(SUBSTITUTE(クライアント抽出!V63,",",""),1)&amp;A203-1&amp;""),0),"")</f>
        <v/>
      </c>
      <c r="I203" s="203" t="str" cm="1">
        <f t="array" aca="1" ref="I203" ca="1">IF(C203&lt;&gt;"",
IF(INDIRECT("数出表_Excel!"&amp;RIGHT(SUBSTITUTE(クライアント抽出!V63,",",""),1)&amp;A203&amp;"")&lt;&gt;"",
INDIRECT("数出表_Excel!"&amp;RIGHT(SUBSTITUTE(クライアント抽出!V63,",",""),1)&amp;A203&amp;""),0),"")</f>
        <v/>
      </c>
      <c r="J203" s="203" t="str">
        <f ca="1">IF(C203&lt;&gt;"",
VLOOKUP(
IF(COUNTIF(D203,"*学食*"),"キャラ弁（学食）",
IF(COUNTIF(D203,"*赤*"),"赤",
IF(COUNTIF(D203,"*キャラ弁当*"),"キャラ弁当",D203))),注文弁当の抽出!$E$1:$F$15,2,FALSE),"")</f>
        <v/>
      </c>
      <c r="K203" s="203" t="str">
        <f t="shared" ca="1" si="56"/>
        <v/>
      </c>
      <c r="L203" s="203" t="str">
        <f t="shared" ca="1" si="57"/>
        <v/>
      </c>
      <c r="M203" s="203" cm="1">
        <f t="array" aca="1" ref="M203" ca="1">IF(C203&lt;&gt;"",
IF(IFERROR(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0)&lt;&gt;0,
IF(IFERROR(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"")="",
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""),
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0)),0),0)</f>
        <v>0</v>
      </c>
      <c r="N203" s="203" t="e">
        <f t="array" aca="1" ref="N203" ca="1">IF(B203="博多",
IF(C203&lt;&gt;"",
IF(IFERROR(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0)&lt;&gt;0,
IF(IFERROR(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0)="",
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0),
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0)),0),""),0)</f>
        <v>#N/A</v>
      </c>
      <c r="O203" s="203" t="e">
        <f t="shared" ca="1" si="58"/>
        <v>#N/A</v>
      </c>
      <c r="P203" s="203">
        <f t="shared" ca="1" si="4"/>
        <v>0</v>
      </c>
      <c r="Q203" s="203" t="b">
        <f t="shared" ca="1" si="59"/>
        <v>0</v>
      </c>
      <c r="R203" s="51" t="str" cm="1">
        <f t="array" aca="1" ref="R203" ca="1">IFERROR(SMALL(IF(P$1:P$300&lt;&gt;0,P$1:P$300),ROW(A203)),"")</f>
        <v/>
      </c>
      <c r="S203" s="51" t="str">
        <f t="array" aca="1" ref="S203" ca="1">IF($R203&lt;&gt;"",
INDIRECT(""&amp;IF(COLUMN(C223)&lt;=26,CHAR(COLUMN(C223)+64),CHAR(INT((COLUMN(C223)-1)/26)+64)&amp;CHAR(MOD(COLUMN(C223)-1,26)+65))&amp;$R203&amp;""),"")</f>
        <v/>
      </c>
      <c r="T203" s="51" t="str" cm="1">
        <f t="array" aca="1" ref="T203" ca="1">IF(IF($R203&lt;&gt;"",
INDIRECT(""&amp;IF(COLUMN(D223)&lt;=26,CHAR(COLUMN(D223)+64),CHAR(INT((COLUMN(D223)-1)/26)+64)&amp;CHAR(MOD(COLUMN(D223)-1,26)+65))&amp;$R203&amp;""),"")=0,"",
IF($R203&lt;&gt;"",
INDIRECT(""&amp;IF(COLUMN(D223)&lt;=26,CHAR(COLUMN(D223)+64),CHAR(INT((COLUMN(D223)-1)/26)+64)&amp;CHAR(MOD(COLUMN(D223)-1,26)+65))&amp;$R203&amp;""),""))</f>
        <v/>
      </c>
      <c r="U203" s="51"/>
      <c r="V203" s="51" t="str">
        <f t="array" aca="1" ref="V203" ca="1">IF($R203&lt;&gt;"",
IF(U203="",
IF(INDIRECT("EY"&amp;$R203&amp;"")&lt;&gt;"",
INDIRECT("EY"&amp;$R203&amp;"")&amp;"箱"
&amp;INDIRECT("EZ"&amp;$R203&amp;""),""),""),"")</f>
        <v/>
      </c>
      <c r="W203" s="51" t="str">
        <f t="array" aca="1" ref="W203" ca="1">IF($R203&lt;&gt;"",
INDIRECT(""&amp;IF(COLUMN(H223)&lt;=26,CHAR(COLUMN(H223)+64),CHAR(INT((COLUMN(H223)-1)/26)+64)&amp;CHAR(MOD(COLUMN(H223)-1,26)+65))&amp;$R203&amp;""),"")</f>
        <v/>
      </c>
      <c r="X203" s="51" t="str">
        <f t="array" aca="1" ref="X203" ca="1">IF($R203&lt;&gt;"",
INDIRECT(""&amp;IF(COLUMN(I223)&lt;=26,CHAR(COLUMN(I223)+64),CHAR(INT((COLUMN(I223)-1)/26)+64)&amp;CHAR(MOD(COLUMN(I223)-1,26)+65))&amp;$R203&amp;""),"")</f>
        <v/>
      </c>
      <c r="Y203" s="51" t="str">
        <f t="array" aca="1" ref="Y203" ca="1">IF($R203&lt;&gt;"",
INDIRECT(""&amp;IF(COLUMN(J223)&lt;=26,CHAR(COLUMN(J223)+64),CHAR(INT((COLUMN(J223)-1)/26)+64)&amp;CHAR(MOD(COLUMN(J223)-1,26)+65))&amp;$R203&amp;""),"")</f>
        <v/>
      </c>
      <c r="Z203" s="51" t="str">
        <f t="array" aca="1" ref="Z203" ca="1">IF($R203&lt;&gt;"",
INDIRECT(""&amp;IF(COLUMN(K223)&lt;=26,CHAR(COLUMN(K223)+64),CHAR(INT((COLUMN(K223)-1)/26)+64)&amp;CHAR(MOD(COLUMN(K223)-1,26)+65))&amp;$R203&amp;""),"")</f>
        <v/>
      </c>
      <c r="AA203" s="51" t="str">
        <f t="array" aca="1" ref="AA203" ca="1">IF($R203&lt;&gt;"",
INDIRECT(""&amp;IF(COLUMN(L223)&lt;=26,CHAR(COLUMN(L223)+64),CHAR(INT((COLUMN(L223)-1)/26)+64)&amp;CHAR(MOD(COLUMN(L223)-1,26)+65))&amp;$R203&amp;""),"")</f>
        <v/>
      </c>
      <c r="AB203" s="51" t="str">
        <f t="array" aca="1" ref="AB203" ca="1">IF($R203&lt;&gt;"",
INDIRECT(""&amp;IF(COLUMN(O223)&lt;=26,CHAR(COLUMN(O223)+64),CHAR(INT((COLUMN(O223)-1)/26)+64)&amp;CHAR(MOD(COLUMN(O223)-1,26)+65))&amp;$R203&amp;""),"")</f>
        <v/>
      </c>
    </row>
    <row r="204" spans="1:28" ht="22.2" customHeight="1">
      <c r="A204" s="204">
        <f t="shared" si="55"/>
        <v>133</v>
      </c>
      <c r="B204" s="203" t="e" cm="1">
        <f t="array" aca="1" ref="B204" ca="1">IF(AND(LEFT(C204,2)="博多",
LEFT(INDIRECT("数出表_Excel!A"&amp;MATCH(C204,数出表_Excel!$A:$A,0)-1),2)
=LEFT(INDIRECT("数出表_Excel!A"&amp;MATCH(C204,数出表_Excel!$A:$A,0)+1),2)),"博多",
IF(AND(LEFT(C204,3)="奈良屋",
LEFT(INDIRECT("数出表_Excel!A"&amp;MATCH(C204,数出表_Excel!$A:$A,0)-1),2)
=LEFT(INDIRECT("数出表_Excel!A"&amp;MATCH(C204,数出表_Excel!$A:$A,0)+1),2)),"奈良屋",""))</f>
        <v>#N/A</v>
      </c>
      <c r="C204" s="203" t="str" cm="1">
        <f t="array" aca="1" ref="C204" ca="1">IF(IF(クライアント抽出!A64="",0,LEN(クライアント抽出!V64)-LEN(SUBSTITUTE(クライアント抽出!V64,",","")))&gt;=3,INDIRECT("数出表_Excel!A"&amp;A204&amp;""),"")</f>
        <v/>
      </c>
      <c r="D204" s="203" t="str" cm="1">
        <f t="array" aca="1" ref="D204" ca="1">IF(C204&lt;&gt;"",INDIRECT("クライアント抽出!"&amp;E204&amp;MATCH(C204,クライアント抽出!A:A,0)&amp;""),"")</f>
        <v/>
      </c>
      <c r="E204" s="203" t="str">
        <f ca="1">IF(H204&lt;&gt;0,
IFERROR(
SUBSTITUTE(ADDRESS(1,
MATCH(VALUE(H204),クライアント抽出!A64:G64,0)+8,4),"1",""),
""),
IFERROR(
SUBSTITUTE(ADDRESS(1,
MATCH(VALUE(I204),クライアント抽出!A64:G64,0)+8,4),"1",""),
""))</f>
        <v/>
      </c>
      <c r="F204" s="206" t="str" cm="1">
        <f t="array" aca="1" ref="F204" ca="1">IF(D204&lt;&gt;"",
IF(COUNTIF(C204,"*雙葉*"),
IF(ROUND(
IF(O204&lt;&gt;"",(H204-O204),H204)
/IF(COUNTIF('盛付札（関数）'!D204,"*キャラ*"),
VLOOKUP("*キャラ*",#REF!,7,FALSE),
IF(COUNTIF('盛付札（関数）'!D204,"*赤*"),
VLOOKUP("*赤*",#REF!,7,FALSE),
VLOOKUP('盛付札（関数）'!D204,#REF!,7,FALSE))),0)&lt;=0,1,
ROUND(
IF(O204&lt;&gt;"",(H204-O204),H204)
/IF(COUNTIF('盛付札（関数）'!D204,"*キャラ*"),
VLOOKUP("*キャラ*",#REF!,7,FALSE),
IF(COUNTIF('盛付札（関数）'!D204,"*赤*"),
VLOOKUP("*赤*",#REF!,7,FALSE),
VLOOKUP('盛付札（関数）'!D204,#REF!,7,FALSE))),0)),
IF(MATCH(TRUE,
ISNUMBER(--INDIRECT("数出表_Excel!B"&amp;MATCH(C204,数出表_Excel!$A:$A,0)-1&amp;":U"&amp;MATCH(C204,数出表_Excel!$A:$A,0)-1&amp;"")),0)&gt;10,
IF(D204&lt;&gt;"",
IF(IF(COUNTIF('盛付札（関数）'!D204,"*キャラ*"),
VLOOKUP("*キャラ*",#REF!,7,FALSE),
IF(COUNTIF('盛付札（関数）'!D204,"*赤*"),
VLOOKUP("*赤*",#REF!,7,FALSE),
VLOOKUP('盛付札（関数）'!D204,#REF!,7,FALSE)))=0,"",
IF(ROUND(
IF(O204&lt;&gt;"",(H204-O204),H204)
/IF(COUNTIF('盛付札（関数）'!D204,"*キャラ*"),
VLOOKUP("*キャラ*",#REF!,7,FALSE),
IF(COUNTIF('盛付札（関数）'!D204,"*赤*"),
VLOOKUP("*赤*",#REF!,7,FALSE),
VLOOKUP('盛付札（関数）'!D204,#REF!,7,FALSE))),0)&lt;=0,1,
ROUND(
IF(O204&lt;&gt;"",(H204-O204),H204)
/IF(COUNTIF('盛付札（関数）'!D204,"*キャラ*"),
VLOOKUP("*キャラ*",#REF!,7,FALSE),
IF(COUNTIF('盛付札（関数）'!D204,"*赤*"),
VLOOKUP("*赤*",#REF!,7,FALSE),
VLOOKUP('盛付札（関数）'!D204,#REF!,7,FALSE))),0))),""),"")),"")</f>
        <v/>
      </c>
      <c r="G204" s="206" t="str">
        <f ca="1">IF(F204&lt;&gt;"",IF(VALUE(IF(O204&lt;&gt;"",H204-O204,H204))&gt;VALUE(IF(COUNTIF('盛付札（関数）'!D204,"*キャラ*"),
VLOOKUP("*キャラ*",#REF!,7,FALSE),
IF(COUNTIF('盛付札（関数）'!D204,"*赤*"),
VLOOKUP("*赤*",#REF!,7,FALSE),
VLOOKUP('盛付札（関数）'!D204,#REF!,7,FALSE)))*F204),
"+"&amp;IF(O204&lt;&gt;"",H204-O204,H204)-IF(COUNTIF('盛付札（関数）'!D204,"*キャラ*"),
VLOOKUP("*キャラ*",#REF!,7,FALSE),
IF(COUNTIF('盛付札（関数）'!D204,"*赤*"),
VLOOKUP("*赤*",#REF!,7,FALSE),
VLOOKUP('盛付札（関数）'!D204,#REF!,7,FALSE)))*F204,
IF(O204&lt;&gt;"",H204-O204,H204)-IF(COUNTIF('盛付札（関数）'!D204,"*キャラ*"),
VLOOKUP("*キャラ*",#REF!,7,FALSE),
IF(COUNTIF('盛付札（関数）'!D204,"*赤*"),
VLOOKUP("*赤*",#REF!,7,FALSE),
VLOOKUP('盛付札（関数）'!D204,#REF!,7,FALSE)))*F204),"")</f>
        <v/>
      </c>
      <c r="H204" s="205" t="str" cm="1">
        <f t="array" aca="1" ref="H204" ca="1">IF(C204&lt;&gt;"",
IF(INDIRECT("数出表_Excel!"&amp;RIGHT(SUBSTITUTE(クライアント抽出!V64,",",""),1)&amp;A204-1&amp;"")&lt;&gt;"",
INDIRECT("数出表_Excel!"&amp;RIGHT(SUBSTITUTE(クライアント抽出!V64,",",""),1)&amp;A204-1&amp;""),0),"")</f>
        <v/>
      </c>
      <c r="I204" s="203" t="str" cm="1">
        <f t="array" aca="1" ref="I204" ca="1">IF(C204&lt;&gt;"",
IF(INDIRECT("数出表_Excel!"&amp;RIGHT(SUBSTITUTE(クライアント抽出!V64,",",""),1)&amp;A204&amp;"")&lt;&gt;"",
INDIRECT("数出表_Excel!"&amp;RIGHT(SUBSTITUTE(クライアント抽出!V64,",",""),1)&amp;A204&amp;""),0),"")</f>
        <v/>
      </c>
      <c r="J204" s="203" t="str">
        <f ca="1">IF(C204&lt;&gt;"",
VLOOKUP(
IF(COUNTIF(D204,"*学食*"),"キャラ弁（学食）",
IF(COUNTIF(D204,"*赤*"),"赤",
IF(COUNTIF(D204,"*キャラ弁当*"),"キャラ弁当",D204))),注文弁当の抽出!$E$1:$F$15,2,FALSE),"")</f>
        <v/>
      </c>
      <c r="K204" s="203" t="str">
        <f t="shared" ca="1" si="56"/>
        <v/>
      </c>
      <c r="L204" s="203" t="str">
        <f t="shared" ca="1" si="57"/>
        <v/>
      </c>
      <c r="M204" s="203" cm="1">
        <f t="array" aca="1" ref="M204" ca="1">IF(C204&lt;&gt;"",
IF(IFERROR(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0)&lt;&gt;0,
IF(IFERROR(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"")="",
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""),
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0)),0),0)</f>
        <v>0</v>
      </c>
      <c r="N204" s="203" t="e">
        <f t="array" aca="1" ref="N204" ca="1">IF(B204="博多",
IF(C204&lt;&gt;"",
IF(IFERROR(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0)&lt;&gt;0,
IF(IFERROR(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0)="",
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0),
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0)),0),""),0)</f>
        <v>#N/A</v>
      </c>
      <c r="O204" s="203" t="e">
        <f t="shared" ca="1" si="58"/>
        <v>#N/A</v>
      </c>
      <c r="P204" s="203">
        <f t="shared" ca="1" si="4"/>
        <v>0</v>
      </c>
      <c r="Q204" s="203" t="b">
        <f t="shared" ca="1" si="59"/>
        <v>0</v>
      </c>
      <c r="R204" s="51" t="str" cm="1">
        <f t="array" aca="1" ref="R204" ca="1">IFERROR(SMALL(IF(P$1:P$300&lt;&gt;0,P$1:P$300),ROW(A204)),"")</f>
        <v/>
      </c>
      <c r="S204" s="51" t="str">
        <f t="array" aca="1" ref="S204" ca="1">IF($R204&lt;&gt;"",
INDIRECT(""&amp;IF(COLUMN(C224)&lt;=26,CHAR(COLUMN(C224)+64),CHAR(INT((COLUMN(C224)-1)/26)+64)&amp;CHAR(MOD(COLUMN(C224)-1,26)+65))&amp;$R204&amp;""),"")</f>
        <v/>
      </c>
      <c r="T204" s="51" t="str" cm="1">
        <f t="array" aca="1" ref="T204" ca="1">IF(IF($R204&lt;&gt;"",
INDIRECT(""&amp;IF(COLUMN(D224)&lt;=26,CHAR(COLUMN(D224)+64),CHAR(INT((COLUMN(D224)-1)/26)+64)&amp;CHAR(MOD(COLUMN(D224)-1,26)+65))&amp;$R204&amp;""),"")=0,"",
IF($R204&lt;&gt;"",
INDIRECT(""&amp;IF(COLUMN(D224)&lt;=26,CHAR(COLUMN(D224)+64),CHAR(INT((COLUMN(D224)-1)/26)+64)&amp;CHAR(MOD(COLUMN(D224)-1,26)+65))&amp;$R204&amp;""),""))</f>
        <v/>
      </c>
      <c r="U204" s="51"/>
      <c r="V204" s="51" t="str">
        <f t="array" aca="1" ref="V204" ca="1">IF($R204&lt;&gt;"",
IF(U204="",
IF(INDIRECT("EY"&amp;$R204&amp;"")&lt;&gt;"",
INDIRECT("EY"&amp;$R204&amp;"")&amp;"箱"
&amp;INDIRECT("EZ"&amp;$R204&amp;""),""),""),"")</f>
        <v/>
      </c>
      <c r="W204" s="51" t="str">
        <f t="array" aca="1" ref="W204" ca="1">IF($R204&lt;&gt;"",
INDIRECT(""&amp;IF(COLUMN(H224)&lt;=26,CHAR(COLUMN(H224)+64),CHAR(INT((COLUMN(H224)-1)/26)+64)&amp;CHAR(MOD(COLUMN(H224)-1,26)+65))&amp;$R204&amp;""),"")</f>
        <v/>
      </c>
      <c r="X204" s="51" t="str">
        <f t="array" aca="1" ref="X204" ca="1">IF($R204&lt;&gt;"",
INDIRECT(""&amp;IF(COLUMN(I224)&lt;=26,CHAR(COLUMN(I224)+64),CHAR(INT((COLUMN(I224)-1)/26)+64)&amp;CHAR(MOD(COLUMN(I224)-1,26)+65))&amp;$R204&amp;""),"")</f>
        <v/>
      </c>
      <c r="Y204" s="51" t="str">
        <f t="array" aca="1" ref="Y204" ca="1">IF($R204&lt;&gt;"",
INDIRECT(""&amp;IF(COLUMN(J224)&lt;=26,CHAR(COLUMN(J224)+64),CHAR(INT((COLUMN(J224)-1)/26)+64)&amp;CHAR(MOD(COLUMN(J224)-1,26)+65))&amp;$R204&amp;""),"")</f>
        <v/>
      </c>
      <c r="Z204" s="51" t="str">
        <f t="array" aca="1" ref="Z204" ca="1">IF($R204&lt;&gt;"",
INDIRECT(""&amp;IF(COLUMN(K224)&lt;=26,CHAR(COLUMN(K224)+64),CHAR(INT((COLUMN(K224)-1)/26)+64)&amp;CHAR(MOD(COLUMN(K224)-1,26)+65))&amp;$R204&amp;""),"")</f>
        <v/>
      </c>
      <c r="AA204" s="51" t="str">
        <f t="array" aca="1" ref="AA204" ca="1">IF($R204&lt;&gt;"",
INDIRECT(""&amp;IF(COLUMN(L224)&lt;=26,CHAR(COLUMN(L224)+64),CHAR(INT((COLUMN(L224)-1)/26)+64)&amp;CHAR(MOD(COLUMN(L224)-1,26)+65))&amp;$R204&amp;""),"")</f>
        <v/>
      </c>
      <c r="AB204" s="51" t="str">
        <f t="array" aca="1" ref="AB204" ca="1">IF($R204&lt;&gt;"",
INDIRECT(""&amp;IF(COLUMN(O224)&lt;=26,CHAR(COLUMN(O224)+64),CHAR(INT((COLUMN(O224)-1)/26)+64)&amp;CHAR(MOD(COLUMN(O224)-1,26)+65))&amp;$R204&amp;""),"")</f>
        <v/>
      </c>
    </row>
    <row r="205" spans="1:28" ht="22.2" customHeight="1">
      <c r="A205" s="204">
        <f t="shared" si="55"/>
        <v>135</v>
      </c>
      <c r="B205" s="203" t="e" cm="1">
        <f t="array" aca="1" ref="B205" ca="1">IF(AND(LEFT(C205,2)="博多",
LEFT(INDIRECT("数出表_Excel!A"&amp;MATCH(C205,数出表_Excel!$A:$A,0)-1),2)
=LEFT(INDIRECT("数出表_Excel!A"&amp;MATCH(C205,数出表_Excel!$A:$A,0)+1),2)),"博多",
IF(AND(LEFT(C205,3)="奈良屋",
LEFT(INDIRECT("数出表_Excel!A"&amp;MATCH(C205,数出表_Excel!$A:$A,0)-1),2)
=LEFT(INDIRECT("数出表_Excel!A"&amp;MATCH(C205,数出表_Excel!$A:$A,0)+1),2)),"奈良屋",""))</f>
        <v>#N/A</v>
      </c>
      <c r="C205" s="203" t="str" cm="1">
        <f t="array" aca="1" ref="C205" ca="1">IF(IF(クライアント抽出!A65="",0,LEN(クライアント抽出!V65)-LEN(SUBSTITUTE(クライアント抽出!V65,",","")))&gt;=3,INDIRECT("数出表_Excel!A"&amp;A205&amp;""),"")</f>
        <v/>
      </c>
      <c r="D205" s="203" t="str" cm="1">
        <f t="array" aca="1" ref="D205" ca="1">IF(C205&lt;&gt;"",INDIRECT("クライアント抽出!"&amp;E205&amp;MATCH(C205,クライアント抽出!A:A,0)&amp;""),"")</f>
        <v/>
      </c>
      <c r="E205" s="203" t="str">
        <f ca="1">IF(H205&lt;&gt;0,
IFERROR(
SUBSTITUTE(ADDRESS(1,
MATCH(VALUE(H205),クライアント抽出!A65:G65,0)+8,4),"1",""),
""),
IFERROR(
SUBSTITUTE(ADDRESS(1,
MATCH(VALUE(I205),クライアント抽出!A65:G65,0)+8,4),"1",""),
""))</f>
        <v/>
      </c>
      <c r="F205" s="206" t="str" cm="1">
        <f t="array" aca="1" ref="F205" ca="1">IF(D205&lt;&gt;"",
IF(COUNTIF(C205,"*雙葉*"),
IF(ROUND(
IF(O205&lt;&gt;"",(H205-O205),H205)
/IF(COUNTIF('盛付札（関数）'!D205,"*キャラ*"),
VLOOKUP("*キャラ*",#REF!,7,FALSE),
IF(COUNTIF('盛付札（関数）'!D205,"*赤*"),
VLOOKUP("*赤*",#REF!,7,FALSE),
VLOOKUP('盛付札（関数）'!D205,#REF!,7,FALSE))),0)&lt;=0,1,
ROUND(
IF(O205&lt;&gt;"",(H205-O205),H205)
/IF(COUNTIF('盛付札（関数）'!D205,"*キャラ*"),
VLOOKUP("*キャラ*",#REF!,7,FALSE),
IF(COUNTIF('盛付札（関数）'!D205,"*赤*"),
VLOOKUP("*赤*",#REF!,7,FALSE),
VLOOKUP('盛付札（関数）'!D205,#REF!,7,FALSE))),0)),
IF(MATCH(TRUE,
ISNUMBER(--INDIRECT("数出表_Excel!B"&amp;MATCH(C205,数出表_Excel!$A:$A,0)-1&amp;":U"&amp;MATCH(C205,数出表_Excel!$A:$A,0)-1&amp;"")),0)&gt;10,
IF(D205&lt;&gt;"",
IF(IF(COUNTIF('盛付札（関数）'!D205,"*キャラ*"),
VLOOKUP("*キャラ*",#REF!,7,FALSE),
IF(COUNTIF('盛付札（関数）'!D205,"*赤*"),
VLOOKUP("*赤*",#REF!,7,FALSE),
VLOOKUP('盛付札（関数）'!D205,#REF!,7,FALSE)))=0,"",
IF(ROUND(
IF(O205&lt;&gt;"",(H205-O205),H205)
/IF(COUNTIF('盛付札（関数）'!D205,"*キャラ*"),
VLOOKUP("*キャラ*",#REF!,7,FALSE),
IF(COUNTIF('盛付札（関数）'!D205,"*赤*"),
VLOOKUP("*赤*",#REF!,7,FALSE),
VLOOKUP('盛付札（関数）'!D205,#REF!,7,FALSE))),0)&lt;=0,1,
ROUND(
IF(O205&lt;&gt;"",(H205-O205),H205)
/IF(COUNTIF('盛付札（関数）'!D205,"*キャラ*"),
VLOOKUP("*キャラ*",#REF!,7,FALSE),
IF(COUNTIF('盛付札（関数）'!D205,"*赤*"),
VLOOKUP("*赤*",#REF!,7,FALSE),
VLOOKUP('盛付札（関数）'!D205,#REF!,7,FALSE))),0))),""),"")),"")</f>
        <v/>
      </c>
      <c r="G205" s="206" t="str">
        <f ca="1">IF(F205&lt;&gt;"",IF(VALUE(IF(O205&lt;&gt;"",H205-O205,H205))&gt;VALUE(IF(COUNTIF('盛付札（関数）'!D205,"*キャラ*"),
VLOOKUP("*キャラ*",#REF!,7,FALSE),
IF(COUNTIF('盛付札（関数）'!D205,"*赤*"),
VLOOKUP("*赤*",#REF!,7,FALSE),
VLOOKUP('盛付札（関数）'!D205,#REF!,7,FALSE)))*F205),
"+"&amp;IF(O205&lt;&gt;"",H205-O205,H205)-IF(COUNTIF('盛付札（関数）'!D205,"*キャラ*"),
VLOOKUP("*キャラ*",#REF!,7,FALSE),
IF(COUNTIF('盛付札（関数）'!D205,"*赤*"),
VLOOKUP("*赤*",#REF!,7,FALSE),
VLOOKUP('盛付札（関数）'!D205,#REF!,7,FALSE)))*F205,
IF(O205&lt;&gt;"",H205-O205,H205)-IF(COUNTIF('盛付札（関数）'!D205,"*キャラ*"),
VLOOKUP("*キャラ*",#REF!,7,FALSE),
IF(COUNTIF('盛付札（関数）'!D205,"*赤*"),
VLOOKUP("*赤*",#REF!,7,FALSE),
VLOOKUP('盛付札（関数）'!D205,#REF!,7,FALSE)))*F205),"")</f>
        <v/>
      </c>
      <c r="H205" s="205" t="str" cm="1">
        <f t="array" aca="1" ref="H205" ca="1">IF(C205&lt;&gt;"",
IF(INDIRECT("数出表_Excel!"&amp;RIGHT(SUBSTITUTE(クライアント抽出!V65,",",""),1)&amp;A205-1&amp;"")&lt;&gt;"",
INDIRECT("数出表_Excel!"&amp;RIGHT(SUBSTITUTE(クライアント抽出!V65,",",""),1)&amp;A205-1&amp;""),0),"")</f>
        <v/>
      </c>
      <c r="I205" s="203" t="str" cm="1">
        <f t="array" aca="1" ref="I205" ca="1">IF(C205&lt;&gt;"",
IF(INDIRECT("数出表_Excel!"&amp;RIGHT(SUBSTITUTE(クライアント抽出!V65,",",""),1)&amp;A205&amp;"")&lt;&gt;"",
INDIRECT("数出表_Excel!"&amp;RIGHT(SUBSTITUTE(クライアント抽出!V65,",",""),1)&amp;A205&amp;""),0),"")</f>
        <v/>
      </c>
      <c r="J205" s="203" t="str">
        <f ca="1">IF(C205&lt;&gt;"",
VLOOKUP(
IF(COUNTIF(D205,"*学食*"),"キャラ弁（学食）",
IF(COUNTIF(D205,"*赤*"),"赤",
IF(COUNTIF(D205,"*キャラ弁当*"),"キャラ弁当",D205))),注文弁当の抽出!$E$1:$F$15,2,FALSE),"")</f>
        <v/>
      </c>
      <c r="K205" s="203" t="str">
        <f t="shared" ca="1" si="56"/>
        <v/>
      </c>
      <c r="L205" s="203" t="str">
        <f t="shared" ca="1" si="57"/>
        <v/>
      </c>
      <c r="M205" s="203" cm="1">
        <f t="array" aca="1" ref="M205" ca="1">IF(C205&lt;&gt;"",
IF(IFERROR(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0)&lt;&gt;0,
IF(IFERROR(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"")="",
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""),
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0)),0),0)</f>
        <v>0</v>
      </c>
      <c r="N205" s="203" t="e">
        <f t="array" aca="1" ref="N205" ca="1">IF(B205="博多",
IF(C205&lt;&gt;"",
IF(IFERROR(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0)&lt;&gt;0,
IF(IFERROR(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0)="",
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0),
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0)),0),""),0)</f>
        <v>#N/A</v>
      </c>
      <c r="O205" s="203" t="e">
        <f t="shared" ca="1" si="58"/>
        <v>#N/A</v>
      </c>
      <c r="P205" s="203">
        <f t="shared" ca="1" si="4"/>
        <v>0</v>
      </c>
      <c r="Q205" s="203" t="b">
        <f t="shared" ca="1" si="59"/>
        <v>0</v>
      </c>
      <c r="R205" s="51" t="str" cm="1">
        <f t="array" aca="1" ref="R205" ca="1">IFERROR(SMALL(IF(P$1:P$300&lt;&gt;0,P$1:P$300),ROW(A205)),"")</f>
        <v/>
      </c>
      <c r="S205" s="51" t="str">
        <f t="array" aca="1" ref="S205" ca="1">IF($R205&lt;&gt;"",
INDIRECT(""&amp;IF(COLUMN(C225)&lt;=26,CHAR(COLUMN(C225)+64),CHAR(INT((COLUMN(C225)-1)/26)+64)&amp;CHAR(MOD(COLUMN(C225)-1,26)+65))&amp;$R205&amp;""),"")</f>
        <v/>
      </c>
      <c r="T205" s="51" t="str" cm="1">
        <f t="array" aca="1" ref="T205" ca="1">IF(IF($R205&lt;&gt;"",
INDIRECT(""&amp;IF(COLUMN(D225)&lt;=26,CHAR(COLUMN(D225)+64),CHAR(INT((COLUMN(D225)-1)/26)+64)&amp;CHAR(MOD(COLUMN(D225)-1,26)+65))&amp;$R205&amp;""),"")=0,"",
IF($R205&lt;&gt;"",
INDIRECT(""&amp;IF(COLUMN(D225)&lt;=26,CHAR(COLUMN(D225)+64),CHAR(INT((COLUMN(D225)-1)/26)+64)&amp;CHAR(MOD(COLUMN(D225)-1,26)+65))&amp;$R205&amp;""),""))</f>
        <v/>
      </c>
      <c r="U205" s="51"/>
      <c r="V205" s="51" t="str">
        <f t="array" aca="1" ref="V205" ca="1">IF($R205&lt;&gt;"",
IF(U205="",
IF(INDIRECT("EY"&amp;$R205&amp;"")&lt;&gt;"",
INDIRECT("EY"&amp;$R205&amp;"")&amp;"箱"
&amp;INDIRECT("EZ"&amp;$R205&amp;""),""),""),"")</f>
        <v/>
      </c>
      <c r="W205" s="51" t="str">
        <f t="array" aca="1" ref="W205" ca="1">IF($R205&lt;&gt;"",
INDIRECT(""&amp;IF(COLUMN(H225)&lt;=26,CHAR(COLUMN(H225)+64),CHAR(INT((COLUMN(H225)-1)/26)+64)&amp;CHAR(MOD(COLUMN(H225)-1,26)+65))&amp;$R205&amp;""),"")</f>
        <v/>
      </c>
      <c r="X205" s="51" t="str">
        <f t="array" aca="1" ref="X205" ca="1">IF($R205&lt;&gt;"",
INDIRECT(""&amp;IF(COLUMN(I225)&lt;=26,CHAR(COLUMN(I225)+64),CHAR(INT((COLUMN(I225)-1)/26)+64)&amp;CHAR(MOD(COLUMN(I225)-1,26)+65))&amp;$R205&amp;""),"")</f>
        <v/>
      </c>
      <c r="Y205" s="51" t="str">
        <f t="array" aca="1" ref="Y205" ca="1">IF($R205&lt;&gt;"",
INDIRECT(""&amp;IF(COLUMN(J225)&lt;=26,CHAR(COLUMN(J225)+64),CHAR(INT((COLUMN(J225)-1)/26)+64)&amp;CHAR(MOD(COLUMN(J225)-1,26)+65))&amp;$R205&amp;""),"")</f>
        <v/>
      </c>
      <c r="Z205" s="51" t="str">
        <f t="array" aca="1" ref="Z205" ca="1">IF($R205&lt;&gt;"",
INDIRECT(""&amp;IF(COLUMN(K225)&lt;=26,CHAR(COLUMN(K225)+64),CHAR(INT((COLUMN(K225)-1)/26)+64)&amp;CHAR(MOD(COLUMN(K225)-1,26)+65))&amp;$R205&amp;""),"")</f>
        <v/>
      </c>
      <c r="AA205" s="51" t="str">
        <f t="array" aca="1" ref="AA205" ca="1">IF($R205&lt;&gt;"",
INDIRECT(""&amp;IF(COLUMN(L225)&lt;=26,CHAR(COLUMN(L225)+64),CHAR(INT((COLUMN(L225)-1)/26)+64)&amp;CHAR(MOD(COLUMN(L225)-1,26)+65))&amp;$R205&amp;""),"")</f>
        <v/>
      </c>
      <c r="AB205" s="51" t="str">
        <f t="array" aca="1" ref="AB205" ca="1">IF($R205&lt;&gt;"",
INDIRECT(""&amp;IF(COLUMN(O225)&lt;=26,CHAR(COLUMN(O225)+64),CHAR(INT((COLUMN(O225)-1)/26)+64)&amp;CHAR(MOD(COLUMN(O225)-1,26)+65))&amp;$R205&amp;""),"")</f>
        <v/>
      </c>
    </row>
    <row r="206" spans="1:28" ht="22.2" customHeight="1">
      <c r="A206" s="204">
        <f t="shared" si="55"/>
        <v>137</v>
      </c>
      <c r="B206" s="203" t="e" cm="1">
        <f t="array" aca="1" ref="B206" ca="1">IF(AND(LEFT(C206,2)="博多",
LEFT(INDIRECT("数出表_Excel!A"&amp;MATCH(C206,数出表_Excel!$A:$A,0)-1),2)
=LEFT(INDIRECT("数出表_Excel!A"&amp;MATCH(C206,数出表_Excel!$A:$A,0)+1),2)),"博多",
IF(AND(LEFT(C206,3)="奈良屋",
LEFT(INDIRECT("数出表_Excel!A"&amp;MATCH(C206,数出表_Excel!$A:$A,0)-1),2)
=LEFT(INDIRECT("数出表_Excel!A"&amp;MATCH(C206,数出表_Excel!$A:$A,0)+1),2)),"奈良屋",""))</f>
        <v>#N/A</v>
      </c>
      <c r="C206" s="203" t="str" cm="1">
        <f t="array" aca="1" ref="C206" ca="1">IF(IF(クライアント抽出!A66="",0,LEN(クライアント抽出!V66)-LEN(SUBSTITUTE(クライアント抽出!V66,",","")))&gt;=3,INDIRECT("数出表_Excel!A"&amp;A206&amp;""),"")</f>
        <v/>
      </c>
      <c r="D206" s="203" t="str" cm="1">
        <f t="array" aca="1" ref="D206" ca="1">IF(C206&lt;&gt;"",INDIRECT("クライアント抽出!"&amp;E206&amp;MATCH(C206,クライアント抽出!A:A,0)&amp;""),"")</f>
        <v/>
      </c>
      <c r="E206" s="203" t="str">
        <f ca="1">IF(H206&lt;&gt;0,
IFERROR(
SUBSTITUTE(ADDRESS(1,
MATCH(VALUE(H206),クライアント抽出!A66:G66,0)+8,4),"1",""),
""),
IFERROR(
SUBSTITUTE(ADDRESS(1,
MATCH(VALUE(I206),クライアント抽出!A66:G66,0)+8,4),"1",""),
""))</f>
        <v/>
      </c>
      <c r="F206" s="206" t="str" cm="1">
        <f t="array" aca="1" ref="F206" ca="1">IF(D206&lt;&gt;"",
IF(COUNTIF(C206,"*雙葉*"),
IF(ROUND(
IF(O206&lt;&gt;"",(H206-O206),H206)
/IF(COUNTIF('盛付札（関数）'!D206,"*キャラ*"),
VLOOKUP("*キャラ*",#REF!,7,FALSE),
IF(COUNTIF('盛付札（関数）'!D206,"*赤*"),
VLOOKUP("*赤*",#REF!,7,FALSE),
VLOOKUP('盛付札（関数）'!D206,#REF!,7,FALSE))),0)&lt;=0,1,
ROUND(
IF(O206&lt;&gt;"",(H206-O206),H206)
/IF(COUNTIF('盛付札（関数）'!D206,"*キャラ*"),
VLOOKUP("*キャラ*",#REF!,7,FALSE),
IF(COUNTIF('盛付札（関数）'!D206,"*赤*"),
VLOOKUP("*赤*",#REF!,7,FALSE),
VLOOKUP('盛付札（関数）'!D206,#REF!,7,FALSE))),0)),
IF(MATCH(TRUE,
ISNUMBER(--INDIRECT("数出表_Excel!B"&amp;MATCH(C206,数出表_Excel!$A:$A,0)-1&amp;":U"&amp;MATCH(C206,数出表_Excel!$A:$A,0)-1&amp;"")),0)&gt;10,
IF(D206&lt;&gt;"",
IF(IF(COUNTIF('盛付札（関数）'!D206,"*キャラ*"),
VLOOKUP("*キャラ*",#REF!,7,FALSE),
IF(COUNTIF('盛付札（関数）'!D206,"*赤*"),
VLOOKUP("*赤*",#REF!,7,FALSE),
VLOOKUP('盛付札（関数）'!D206,#REF!,7,FALSE)))=0,"",
IF(ROUND(
IF(O206&lt;&gt;"",(H206-O206),H206)
/IF(COUNTIF('盛付札（関数）'!D206,"*キャラ*"),
VLOOKUP("*キャラ*",#REF!,7,FALSE),
IF(COUNTIF('盛付札（関数）'!D206,"*赤*"),
VLOOKUP("*赤*",#REF!,7,FALSE),
VLOOKUP('盛付札（関数）'!D206,#REF!,7,FALSE))),0)&lt;=0,1,
ROUND(
IF(O206&lt;&gt;"",(H206-O206),H206)
/IF(COUNTIF('盛付札（関数）'!D206,"*キャラ*"),
VLOOKUP("*キャラ*",#REF!,7,FALSE),
IF(COUNTIF('盛付札（関数）'!D206,"*赤*"),
VLOOKUP("*赤*",#REF!,7,FALSE),
VLOOKUP('盛付札（関数）'!D206,#REF!,7,FALSE))),0))),""),"")),"")</f>
        <v/>
      </c>
      <c r="G206" s="206" t="str">
        <f ca="1">IF(F206&lt;&gt;"",IF(VALUE(IF(O206&lt;&gt;"",H206-O206,H206))&gt;VALUE(IF(COUNTIF('盛付札（関数）'!D206,"*キャラ*"),
VLOOKUP("*キャラ*",#REF!,7,FALSE),
IF(COUNTIF('盛付札（関数）'!D206,"*赤*"),
VLOOKUP("*赤*",#REF!,7,FALSE),
VLOOKUP('盛付札（関数）'!D206,#REF!,7,FALSE)))*F206),
"+"&amp;IF(O206&lt;&gt;"",H206-O206,H206)-IF(COUNTIF('盛付札（関数）'!D206,"*キャラ*"),
VLOOKUP("*キャラ*",#REF!,7,FALSE),
IF(COUNTIF('盛付札（関数）'!D206,"*赤*"),
VLOOKUP("*赤*",#REF!,7,FALSE),
VLOOKUP('盛付札（関数）'!D206,#REF!,7,FALSE)))*F206,
IF(O206&lt;&gt;"",H206-O206,H206)-IF(COUNTIF('盛付札（関数）'!D206,"*キャラ*"),
VLOOKUP("*キャラ*",#REF!,7,FALSE),
IF(COUNTIF('盛付札（関数）'!D206,"*赤*"),
VLOOKUP("*赤*",#REF!,7,FALSE),
VLOOKUP('盛付札（関数）'!D206,#REF!,7,FALSE)))*F206),"")</f>
        <v/>
      </c>
      <c r="H206" s="205" t="str" cm="1">
        <f t="array" aca="1" ref="H206" ca="1">IF(C206&lt;&gt;"",
IF(INDIRECT("数出表_Excel!"&amp;RIGHT(SUBSTITUTE(クライアント抽出!V66,",",""),1)&amp;A206-1&amp;"")&lt;&gt;"",
INDIRECT("数出表_Excel!"&amp;RIGHT(SUBSTITUTE(クライアント抽出!V66,",",""),1)&amp;A206-1&amp;""),0),"")</f>
        <v/>
      </c>
      <c r="I206" s="203" t="str" cm="1">
        <f t="array" aca="1" ref="I206" ca="1">IF(C206&lt;&gt;"",
IF(INDIRECT("数出表_Excel!"&amp;RIGHT(SUBSTITUTE(クライアント抽出!V66,",",""),1)&amp;A206&amp;"")&lt;&gt;"",
INDIRECT("数出表_Excel!"&amp;RIGHT(SUBSTITUTE(クライアント抽出!V66,",",""),1)&amp;A206&amp;""),0),"")</f>
        <v/>
      </c>
      <c r="J206" s="203" t="str">
        <f ca="1">IF(C206&lt;&gt;"",
VLOOKUP(
IF(COUNTIF(D206,"*学食*"),"キャラ弁（学食）",
IF(COUNTIF(D206,"*赤*"),"赤",
IF(COUNTIF(D206,"*キャラ弁当*"),"キャラ弁当",D206))),注文弁当の抽出!$E$1:$F$15,2,FALSE),"")</f>
        <v/>
      </c>
      <c r="K206" s="203" t="str">
        <f t="shared" ca="1" si="56"/>
        <v/>
      </c>
      <c r="L206" s="203" t="str">
        <f t="shared" ca="1" si="57"/>
        <v/>
      </c>
      <c r="M206" s="203" cm="1">
        <f t="array" aca="1" ref="M206" ca="1">IF(C206&lt;&gt;"",
IF(IFERROR(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0)&lt;&gt;0,
IF(IFERROR(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"")="",
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""),
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0)),0),0)</f>
        <v>0</v>
      </c>
      <c r="N206" s="203" t="e">
        <f t="array" aca="1" ref="N206" ca="1">IF(B206="博多",
IF(C206&lt;&gt;"",
IF(IFERROR(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0)&lt;&gt;0,
IF(IFERROR(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0)="",
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0),
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0)),0),""),0)</f>
        <v>#N/A</v>
      </c>
      <c r="O206" s="203" t="e">
        <f t="shared" ca="1" si="58"/>
        <v>#N/A</v>
      </c>
      <c r="P206" s="203">
        <f t="shared" ca="1" si="4"/>
        <v>0</v>
      </c>
      <c r="Q206" s="203" t="b">
        <f t="shared" ca="1" si="59"/>
        <v>0</v>
      </c>
      <c r="R206" s="51" t="str" cm="1">
        <f t="array" aca="1" ref="R206" ca="1">IFERROR(SMALL(IF(P$1:P$300&lt;&gt;0,P$1:P$300),ROW(A206)),"")</f>
        <v/>
      </c>
      <c r="S206" s="51" t="str">
        <f t="array" aca="1" ref="S206" ca="1">IF($R206&lt;&gt;"",
INDIRECT(""&amp;IF(COLUMN(C226)&lt;=26,CHAR(COLUMN(C226)+64),CHAR(INT((COLUMN(C226)-1)/26)+64)&amp;CHAR(MOD(COLUMN(C226)-1,26)+65))&amp;$R206&amp;""),"")</f>
        <v/>
      </c>
      <c r="T206" s="51" t="str" cm="1">
        <f t="array" aca="1" ref="T206" ca="1">IF(IF($R206&lt;&gt;"",
INDIRECT(""&amp;IF(COLUMN(D226)&lt;=26,CHAR(COLUMN(D226)+64),CHAR(INT((COLUMN(D226)-1)/26)+64)&amp;CHAR(MOD(COLUMN(D226)-1,26)+65))&amp;$R206&amp;""),"")=0,"",
IF($R206&lt;&gt;"",
INDIRECT(""&amp;IF(COLUMN(D226)&lt;=26,CHAR(COLUMN(D226)+64),CHAR(INT((COLUMN(D226)-1)/26)+64)&amp;CHAR(MOD(COLUMN(D226)-1,26)+65))&amp;$R206&amp;""),""))</f>
        <v/>
      </c>
      <c r="U206" s="51"/>
      <c r="V206" s="51" t="str">
        <f t="array" aca="1" ref="V206" ca="1">IF($R206&lt;&gt;"",
IF(U206="",
IF(INDIRECT("EY"&amp;$R206&amp;"")&lt;&gt;"",
INDIRECT("EY"&amp;$R206&amp;"")&amp;"箱"
&amp;INDIRECT("EZ"&amp;$R206&amp;""),""),""),"")</f>
        <v/>
      </c>
      <c r="W206" s="51" t="str">
        <f t="array" aca="1" ref="W206" ca="1">IF($R206&lt;&gt;"",
INDIRECT(""&amp;IF(COLUMN(H226)&lt;=26,CHAR(COLUMN(H226)+64),CHAR(INT((COLUMN(H226)-1)/26)+64)&amp;CHAR(MOD(COLUMN(H226)-1,26)+65))&amp;$R206&amp;""),"")</f>
        <v/>
      </c>
      <c r="X206" s="51" t="str">
        <f t="array" aca="1" ref="X206" ca="1">IF($R206&lt;&gt;"",
INDIRECT(""&amp;IF(COLUMN(I226)&lt;=26,CHAR(COLUMN(I226)+64),CHAR(INT((COLUMN(I226)-1)/26)+64)&amp;CHAR(MOD(COLUMN(I226)-1,26)+65))&amp;$R206&amp;""),"")</f>
        <v/>
      </c>
      <c r="Y206" s="51" t="str">
        <f t="array" aca="1" ref="Y206" ca="1">IF($R206&lt;&gt;"",
INDIRECT(""&amp;IF(COLUMN(J226)&lt;=26,CHAR(COLUMN(J226)+64),CHAR(INT((COLUMN(J226)-1)/26)+64)&amp;CHAR(MOD(COLUMN(J226)-1,26)+65))&amp;$R206&amp;""),"")</f>
        <v/>
      </c>
      <c r="Z206" s="51" t="str">
        <f t="array" aca="1" ref="Z206" ca="1">IF($R206&lt;&gt;"",
INDIRECT(""&amp;IF(COLUMN(K226)&lt;=26,CHAR(COLUMN(K226)+64),CHAR(INT((COLUMN(K226)-1)/26)+64)&amp;CHAR(MOD(COLUMN(K226)-1,26)+65))&amp;$R206&amp;""),"")</f>
        <v/>
      </c>
      <c r="AA206" s="51" t="str">
        <f t="array" aca="1" ref="AA206" ca="1">IF($R206&lt;&gt;"",
INDIRECT(""&amp;IF(COLUMN(L226)&lt;=26,CHAR(COLUMN(L226)+64),CHAR(INT((COLUMN(L226)-1)/26)+64)&amp;CHAR(MOD(COLUMN(L226)-1,26)+65))&amp;$R206&amp;""),"")</f>
        <v/>
      </c>
      <c r="AB206" s="51" t="str">
        <f t="array" aca="1" ref="AB206" ca="1">IF($R206&lt;&gt;"",
INDIRECT(""&amp;IF(COLUMN(O226)&lt;=26,CHAR(COLUMN(O226)+64),CHAR(INT((COLUMN(O226)-1)/26)+64)&amp;CHAR(MOD(COLUMN(O226)-1,26)+65))&amp;$R206&amp;""),"")</f>
        <v/>
      </c>
    </row>
    <row r="207" spans="1:28" ht="22.2" customHeight="1">
      <c r="A207" s="204">
        <f t="shared" si="55"/>
        <v>139</v>
      </c>
      <c r="B207" s="203" t="e" cm="1">
        <f t="array" aca="1" ref="B207" ca="1">IF(AND(LEFT(C207,2)="博多",
LEFT(INDIRECT("数出表_Excel!A"&amp;MATCH(C207,数出表_Excel!$A:$A,0)-1),2)
=LEFT(INDIRECT("数出表_Excel!A"&amp;MATCH(C207,数出表_Excel!$A:$A,0)+1),2)),"博多",
IF(AND(LEFT(C207,3)="奈良屋",
LEFT(INDIRECT("数出表_Excel!A"&amp;MATCH(C207,数出表_Excel!$A:$A,0)-1),2)
=LEFT(INDIRECT("数出表_Excel!A"&amp;MATCH(C207,数出表_Excel!$A:$A,0)+1),2)),"奈良屋",""))</f>
        <v>#N/A</v>
      </c>
      <c r="C207" s="203" t="str" cm="1">
        <f t="array" aca="1" ref="C207" ca="1">IF(IF(クライアント抽出!A67="",0,LEN(クライアント抽出!V67)-LEN(SUBSTITUTE(クライアント抽出!V67,",","")))&gt;=3,INDIRECT("数出表_Excel!A"&amp;A207&amp;""),"")</f>
        <v/>
      </c>
      <c r="D207" s="203" t="str" cm="1">
        <f t="array" aca="1" ref="D207" ca="1">IF(C207&lt;&gt;"",INDIRECT("クライアント抽出!"&amp;E207&amp;MATCH(C207,クライアント抽出!A:A,0)&amp;""),"")</f>
        <v/>
      </c>
      <c r="E207" s="203" t="str">
        <f ca="1">IF(H207&lt;&gt;0,
IFERROR(
SUBSTITUTE(ADDRESS(1,
MATCH(VALUE(H207),クライアント抽出!A67:G67,0)+8,4),"1",""),
""),
IFERROR(
SUBSTITUTE(ADDRESS(1,
MATCH(VALUE(I207),クライアント抽出!A67:G67,0)+8,4),"1",""),
""))</f>
        <v/>
      </c>
      <c r="F207" s="206" t="str" cm="1">
        <f t="array" aca="1" ref="F207" ca="1">IF(D207&lt;&gt;"",
IF(COUNTIF(C207,"*雙葉*"),
IF(ROUND(
IF(O207&lt;&gt;"",(H207-O207),H207)
/IF(COUNTIF('盛付札（関数）'!D207,"*キャラ*"),
VLOOKUP("*キャラ*",#REF!,7,FALSE),
IF(COUNTIF('盛付札（関数）'!D207,"*赤*"),
VLOOKUP("*赤*",#REF!,7,FALSE),
VLOOKUP('盛付札（関数）'!D207,#REF!,7,FALSE))),0)&lt;=0,1,
ROUND(
IF(O207&lt;&gt;"",(H207-O207),H207)
/IF(COUNTIF('盛付札（関数）'!D207,"*キャラ*"),
VLOOKUP("*キャラ*",#REF!,7,FALSE),
IF(COUNTIF('盛付札（関数）'!D207,"*赤*"),
VLOOKUP("*赤*",#REF!,7,FALSE),
VLOOKUP('盛付札（関数）'!D207,#REF!,7,FALSE))),0)),
IF(MATCH(TRUE,
ISNUMBER(--INDIRECT("数出表_Excel!B"&amp;MATCH(C207,数出表_Excel!$A:$A,0)-1&amp;":U"&amp;MATCH(C207,数出表_Excel!$A:$A,0)-1&amp;"")),0)&gt;10,
IF(D207&lt;&gt;"",
IF(IF(COUNTIF('盛付札（関数）'!D207,"*キャラ*"),
VLOOKUP("*キャラ*",#REF!,7,FALSE),
IF(COUNTIF('盛付札（関数）'!D207,"*赤*"),
VLOOKUP("*赤*",#REF!,7,FALSE),
VLOOKUP('盛付札（関数）'!D207,#REF!,7,FALSE)))=0,"",
IF(ROUND(
IF(O207&lt;&gt;"",(H207-O207),H207)
/IF(COUNTIF('盛付札（関数）'!D207,"*キャラ*"),
VLOOKUP("*キャラ*",#REF!,7,FALSE),
IF(COUNTIF('盛付札（関数）'!D207,"*赤*"),
VLOOKUP("*赤*",#REF!,7,FALSE),
VLOOKUP('盛付札（関数）'!D207,#REF!,7,FALSE))),0)&lt;=0,1,
ROUND(
IF(O207&lt;&gt;"",(H207-O207),H207)
/IF(COUNTIF('盛付札（関数）'!D207,"*キャラ*"),
VLOOKUP("*キャラ*",#REF!,7,FALSE),
IF(COUNTIF('盛付札（関数）'!D207,"*赤*"),
VLOOKUP("*赤*",#REF!,7,FALSE),
VLOOKUP('盛付札（関数）'!D207,#REF!,7,FALSE))),0))),""),"")),"")</f>
        <v/>
      </c>
      <c r="G207" s="206" t="str">
        <f ca="1">IF(F207&lt;&gt;"",IF(VALUE(IF(O207&lt;&gt;"",H207-O207,H207))&gt;VALUE(IF(COUNTIF('盛付札（関数）'!D207,"*キャラ*"),
VLOOKUP("*キャラ*",#REF!,7,FALSE),
IF(COUNTIF('盛付札（関数）'!D207,"*赤*"),
VLOOKUP("*赤*",#REF!,7,FALSE),
VLOOKUP('盛付札（関数）'!D207,#REF!,7,FALSE)))*F207),
"+"&amp;IF(O207&lt;&gt;"",H207-O207,H207)-IF(COUNTIF('盛付札（関数）'!D207,"*キャラ*"),
VLOOKUP("*キャラ*",#REF!,7,FALSE),
IF(COUNTIF('盛付札（関数）'!D207,"*赤*"),
VLOOKUP("*赤*",#REF!,7,FALSE),
VLOOKUP('盛付札（関数）'!D207,#REF!,7,FALSE)))*F207,
IF(O207&lt;&gt;"",H207-O207,H207)-IF(COUNTIF('盛付札（関数）'!D207,"*キャラ*"),
VLOOKUP("*キャラ*",#REF!,7,FALSE),
IF(COUNTIF('盛付札（関数）'!D207,"*赤*"),
VLOOKUP("*赤*",#REF!,7,FALSE),
VLOOKUP('盛付札（関数）'!D207,#REF!,7,FALSE)))*F207),"")</f>
        <v/>
      </c>
      <c r="H207" s="205" t="str" cm="1">
        <f t="array" aca="1" ref="H207" ca="1">IF(C207&lt;&gt;"",
IF(INDIRECT("数出表_Excel!"&amp;RIGHT(SUBSTITUTE(クライアント抽出!V67,",",""),1)&amp;A207-1&amp;"")&lt;&gt;"",
INDIRECT("数出表_Excel!"&amp;RIGHT(SUBSTITUTE(クライアント抽出!V67,",",""),1)&amp;A207-1&amp;""),0),"")</f>
        <v/>
      </c>
      <c r="I207" s="203" t="str" cm="1">
        <f t="array" aca="1" ref="I207" ca="1">IF(C207&lt;&gt;"",
IF(INDIRECT("数出表_Excel!"&amp;RIGHT(SUBSTITUTE(クライアント抽出!V67,",",""),1)&amp;A207&amp;"")&lt;&gt;"",
INDIRECT("数出表_Excel!"&amp;RIGHT(SUBSTITUTE(クライアント抽出!V67,",",""),1)&amp;A207&amp;""),0),"")</f>
        <v/>
      </c>
      <c r="J207" s="203" t="str">
        <f ca="1">IF(C207&lt;&gt;"",
VLOOKUP(
IF(COUNTIF(D207,"*学食*"),"キャラ弁（学食）",
IF(COUNTIF(D207,"*赤*"),"赤",
IF(COUNTIF(D207,"*キャラ弁当*"),"キャラ弁当",D207))),注文弁当の抽出!$E$1:$F$15,2,FALSE),"")</f>
        <v/>
      </c>
      <c r="K207" s="203" t="str">
        <f t="shared" ca="1" si="56"/>
        <v/>
      </c>
      <c r="L207" s="203" t="str">
        <f t="shared" ca="1" si="57"/>
        <v/>
      </c>
      <c r="M207" s="203" cm="1">
        <f t="array" aca="1" ref="M207" ca="1">IF(C207&lt;&gt;"",
IF(IFERROR(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0)&lt;&gt;0,
IF(IFERROR(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"")="",
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""),
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0)),0),0)</f>
        <v>0</v>
      </c>
      <c r="N207" s="203" t="e">
        <f t="array" aca="1" ref="N207" ca="1">IF(B207="博多",
IF(C207&lt;&gt;"",
IF(IFERROR(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0)&lt;&gt;0,
IF(IFERROR(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0)="",
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0),
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0)),0),""),0)</f>
        <v>#N/A</v>
      </c>
      <c r="O207" s="203" t="e">
        <f t="shared" ca="1" si="58"/>
        <v>#N/A</v>
      </c>
      <c r="P207" s="203">
        <f t="shared" ca="1" si="4"/>
        <v>0</v>
      </c>
      <c r="Q207" s="203" t="b">
        <f t="shared" ca="1" si="59"/>
        <v>0</v>
      </c>
      <c r="R207" s="51" t="str" cm="1">
        <f t="array" aca="1" ref="R207" ca="1">IFERROR(SMALL(IF(P$1:P$300&lt;&gt;0,P$1:P$300),ROW(A207)),"")</f>
        <v/>
      </c>
      <c r="S207" s="51" t="str">
        <f t="array" aca="1" ref="S207" ca="1">IF($R207&lt;&gt;"",
INDIRECT(""&amp;IF(COLUMN(C227)&lt;=26,CHAR(COLUMN(C227)+64),CHAR(INT((COLUMN(C227)-1)/26)+64)&amp;CHAR(MOD(COLUMN(C227)-1,26)+65))&amp;$R207&amp;""),"")</f>
        <v/>
      </c>
      <c r="T207" s="51" t="str" cm="1">
        <f t="array" aca="1" ref="T207" ca="1">IF(IF($R207&lt;&gt;"",
INDIRECT(""&amp;IF(COLUMN(D227)&lt;=26,CHAR(COLUMN(D227)+64),CHAR(INT((COLUMN(D227)-1)/26)+64)&amp;CHAR(MOD(COLUMN(D227)-1,26)+65))&amp;$R207&amp;""),"")=0,"",
IF($R207&lt;&gt;"",
INDIRECT(""&amp;IF(COLUMN(D227)&lt;=26,CHAR(COLUMN(D227)+64),CHAR(INT((COLUMN(D227)-1)/26)+64)&amp;CHAR(MOD(COLUMN(D227)-1,26)+65))&amp;$R207&amp;""),""))</f>
        <v/>
      </c>
      <c r="U207" s="51"/>
      <c r="V207" s="51" t="str">
        <f t="array" aca="1" ref="V207" ca="1">IF($R207&lt;&gt;"",
IF(U207="",
IF(INDIRECT("EY"&amp;$R207&amp;"")&lt;&gt;"",
INDIRECT("EY"&amp;$R207&amp;"")&amp;"箱"
&amp;INDIRECT("EZ"&amp;$R207&amp;""),""),""),"")</f>
        <v/>
      </c>
      <c r="W207" s="51" t="str">
        <f t="array" aca="1" ref="W207" ca="1">IF($R207&lt;&gt;"",
INDIRECT(""&amp;IF(COLUMN(H227)&lt;=26,CHAR(COLUMN(H227)+64),CHAR(INT((COLUMN(H227)-1)/26)+64)&amp;CHAR(MOD(COLUMN(H227)-1,26)+65))&amp;$R207&amp;""),"")</f>
        <v/>
      </c>
      <c r="X207" s="51" t="str">
        <f t="array" aca="1" ref="X207" ca="1">IF($R207&lt;&gt;"",
INDIRECT(""&amp;IF(COLUMN(I227)&lt;=26,CHAR(COLUMN(I227)+64),CHAR(INT((COLUMN(I227)-1)/26)+64)&amp;CHAR(MOD(COLUMN(I227)-1,26)+65))&amp;$R207&amp;""),"")</f>
        <v/>
      </c>
      <c r="Y207" s="51" t="str">
        <f t="array" aca="1" ref="Y207" ca="1">IF($R207&lt;&gt;"",
INDIRECT(""&amp;IF(COLUMN(J227)&lt;=26,CHAR(COLUMN(J227)+64),CHAR(INT((COLUMN(J227)-1)/26)+64)&amp;CHAR(MOD(COLUMN(J227)-1,26)+65))&amp;$R207&amp;""),"")</f>
        <v/>
      </c>
      <c r="Z207" s="51" t="str">
        <f t="array" aca="1" ref="Z207" ca="1">IF($R207&lt;&gt;"",
INDIRECT(""&amp;IF(COLUMN(K227)&lt;=26,CHAR(COLUMN(K227)+64),CHAR(INT((COLUMN(K227)-1)/26)+64)&amp;CHAR(MOD(COLUMN(K227)-1,26)+65))&amp;$R207&amp;""),"")</f>
        <v/>
      </c>
      <c r="AA207" s="51" t="str">
        <f t="array" aca="1" ref="AA207" ca="1">IF($R207&lt;&gt;"",
INDIRECT(""&amp;IF(COLUMN(L227)&lt;=26,CHAR(COLUMN(L227)+64),CHAR(INT((COLUMN(L227)-1)/26)+64)&amp;CHAR(MOD(COLUMN(L227)-1,26)+65))&amp;$R207&amp;""),"")</f>
        <v/>
      </c>
      <c r="AB207" s="51" t="str">
        <f t="array" aca="1" ref="AB207" ca="1">IF($R207&lt;&gt;"",
INDIRECT(""&amp;IF(COLUMN(O227)&lt;=26,CHAR(COLUMN(O227)+64),CHAR(INT((COLUMN(O227)-1)/26)+64)&amp;CHAR(MOD(COLUMN(O227)-1,26)+65))&amp;$R207&amp;""),"")</f>
        <v/>
      </c>
    </row>
    <row r="208" spans="1:28" ht="22.2" customHeight="1">
      <c r="A208" s="204">
        <f t="shared" si="55"/>
        <v>141</v>
      </c>
      <c r="B208" s="203" t="e" cm="1">
        <f t="array" aca="1" ref="B208" ca="1">IF(AND(LEFT(C208,2)="博多",
LEFT(INDIRECT("数出表_Excel!A"&amp;MATCH(C208,数出表_Excel!$A:$A,0)-1),2)
=LEFT(INDIRECT("数出表_Excel!A"&amp;MATCH(C208,数出表_Excel!$A:$A,0)+1),2)),"博多",
IF(AND(LEFT(C208,3)="奈良屋",
LEFT(INDIRECT("数出表_Excel!A"&amp;MATCH(C208,数出表_Excel!$A:$A,0)-1),2)
=LEFT(INDIRECT("数出表_Excel!A"&amp;MATCH(C208,数出表_Excel!$A:$A,0)+1),2)),"奈良屋",""))</f>
        <v>#N/A</v>
      </c>
      <c r="C208" s="203" t="str" cm="1">
        <f t="array" aca="1" ref="C208" ca="1">IF(IF(クライアント抽出!A68="",0,LEN(クライアント抽出!V68)-LEN(SUBSTITUTE(クライアント抽出!V68,",","")))&gt;=3,INDIRECT("数出表_Excel!A"&amp;A208&amp;""),"")</f>
        <v/>
      </c>
      <c r="D208" s="203" t="str" cm="1">
        <f t="array" aca="1" ref="D208" ca="1">IF(C208&lt;&gt;"",INDIRECT("クライアント抽出!"&amp;E208&amp;MATCH(C208,クライアント抽出!A:A,0)&amp;""),"")</f>
        <v/>
      </c>
      <c r="E208" s="203" t="str">
        <f ca="1">IF(H208&lt;&gt;0,
IFERROR(
SUBSTITUTE(ADDRESS(1,
MATCH(VALUE(H208),クライアント抽出!A68:G68,0)+8,4),"1",""),
""),
IFERROR(
SUBSTITUTE(ADDRESS(1,
MATCH(VALUE(I208),クライアント抽出!A68:G68,0)+8,4),"1",""),
""))</f>
        <v/>
      </c>
      <c r="F208" s="206" t="str" cm="1">
        <f t="array" aca="1" ref="F208" ca="1">IF(D208&lt;&gt;"",
IF(COUNTIF(C208,"*雙葉*"),
IF(ROUND(
IF(O208&lt;&gt;"",(H208-O208),H208)
/IF(COUNTIF('盛付札（関数）'!D208,"*キャラ*"),
VLOOKUP("*キャラ*",#REF!,7,FALSE),
IF(COUNTIF('盛付札（関数）'!D208,"*赤*"),
VLOOKUP("*赤*",#REF!,7,FALSE),
VLOOKUP('盛付札（関数）'!D208,#REF!,7,FALSE))),0)&lt;=0,1,
ROUND(
IF(O208&lt;&gt;"",(H208-O208),H208)
/IF(COUNTIF('盛付札（関数）'!D208,"*キャラ*"),
VLOOKUP("*キャラ*",#REF!,7,FALSE),
IF(COUNTIF('盛付札（関数）'!D208,"*赤*"),
VLOOKUP("*赤*",#REF!,7,FALSE),
VLOOKUP('盛付札（関数）'!D208,#REF!,7,FALSE))),0)),
IF(MATCH(TRUE,
ISNUMBER(--INDIRECT("数出表_Excel!B"&amp;MATCH(C208,数出表_Excel!$A:$A,0)-1&amp;":U"&amp;MATCH(C208,数出表_Excel!$A:$A,0)-1&amp;"")),0)&gt;10,
IF(D208&lt;&gt;"",
IF(IF(COUNTIF('盛付札（関数）'!D208,"*キャラ*"),
VLOOKUP("*キャラ*",#REF!,7,FALSE),
IF(COUNTIF('盛付札（関数）'!D208,"*赤*"),
VLOOKUP("*赤*",#REF!,7,FALSE),
VLOOKUP('盛付札（関数）'!D208,#REF!,7,FALSE)))=0,"",
IF(ROUND(
IF(O208&lt;&gt;"",(H208-O208),H208)
/IF(COUNTIF('盛付札（関数）'!D208,"*キャラ*"),
VLOOKUP("*キャラ*",#REF!,7,FALSE),
IF(COUNTIF('盛付札（関数）'!D208,"*赤*"),
VLOOKUP("*赤*",#REF!,7,FALSE),
VLOOKUP('盛付札（関数）'!D208,#REF!,7,FALSE))),0)&lt;=0,1,
ROUND(
IF(O208&lt;&gt;"",(H208-O208),H208)
/IF(COUNTIF('盛付札（関数）'!D208,"*キャラ*"),
VLOOKUP("*キャラ*",#REF!,7,FALSE),
IF(COUNTIF('盛付札（関数）'!D208,"*赤*"),
VLOOKUP("*赤*",#REF!,7,FALSE),
VLOOKUP('盛付札（関数）'!D208,#REF!,7,FALSE))),0))),""),"")),"")</f>
        <v/>
      </c>
      <c r="G208" s="206" t="str">
        <f ca="1">IF(F208&lt;&gt;"",IF(VALUE(IF(O208&lt;&gt;"",H208-O208,H208))&gt;VALUE(IF(COUNTIF('盛付札（関数）'!D208,"*キャラ*"),
VLOOKUP("*キャラ*",#REF!,7,FALSE),
IF(COUNTIF('盛付札（関数）'!D208,"*赤*"),
VLOOKUP("*赤*",#REF!,7,FALSE),
VLOOKUP('盛付札（関数）'!D208,#REF!,7,FALSE)))*F208),
"+"&amp;IF(O208&lt;&gt;"",H208-O208,H208)-IF(COUNTIF('盛付札（関数）'!D208,"*キャラ*"),
VLOOKUP("*キャラ*",#REF!,7,FALSE),
IF(COUNTIF('盛付札（関数）'!D208,"*赤*"),
VLOOKUP("*赤*",#REF!,7,FALSE),
VLOOKUP('盛付札（関数）'!D208,#REF!,7,FALSE)))*F208,
IF(O208&lt;&gt;"",H208-O208,H208)-IF(COUNTIF('盛付札（関数）'!D208,"*キャラ*"),
VLOOKUP("*キャラ*",#REF!,7,FALSE),
IF(COUNTIF('盛付札（関数）'!D208,"*赤*"),
VLOOKUP("*赤*",#REF!,7,FALSE),
VLOOKUP('盛付札（関数）'!D208,#REF!,7,FALSE)))*F208),"")</f>
        <v/>
      </c>
      <c r="H208" s="205" t="str" cm="1">
        <f t="array" aca="1" ref="H208" ca="1">IF(C208&lt;&gt;"",
IF(INDIRECT("数出表_Excel!"&amp;RIGHT(SUBSTITUTE(クライアント抽出!V68,",",""),1)&amp;A208-1&amp;"")&lt;&gt;"",
INDIRECT("数出表_Excel!"&amp;RIGHT(SUBSTITUTE(クライアント抽出!V68,",",""),1)&amp;A208-1&amp;""),0),"")</f>
        <v/>
      </c>
      <c r="I208" s="203" t="str" cm="1">
        <f t="array" aca="1" ref="I208" ca="1">IF(C208&lt;&gt;"",
IF(INDIRECT("数出表_Excel!"&amp;RIGHT(SUBSTITUTE(クライアント抽出!V68,",",""),1)&amp;A208&amp;"")&lt;&gt;"",
INDIRECT("数出表_Excel!"&amp;RIGHT(SUBSTITUTE(クライアント抽出!V68,",",""),1)&amp;A208&amp;""),0),"")</f>
        <v/>
      </c>
      <c r="J208" s="203" t="str">
        <f ca="1">IF(C208&lt;&gt;"",
VLOOKUP(
IF(COUNTIF(D208,"*学食*"),"キャラ弁（学食）",
IF(COUNTIF(D208,"*赤*"),"赤",
IF(COUNTIF(D208,"*キャラ弁当*"),"キャラ弁当",D208))),注文弁当の抽出!$E$1:$F$15,2,FALSE),"")</f>
        <v/>
      </c>
      <c r="K208" s="203" t="str">
        <f t="shared" ca="1" si="56"/>
        <v/>
      </c>
      <c r="L208" s="203" t="str">
        <f t="shared" ca="1" si="57"/>
        <v/>
      </c>
      <c r="M208" s="203" cm="1">
        <f t="array" aca="1" ref="M208" ca="1">IF(C208&lt;&gt;"",
IF(IFERROR(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0)&lt;&gt;0,
IF(IFERROR(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"")="",
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""),
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0)),0),0)</f>
        <v>0</v>
      </c>
      <c r="N208" s="203" t="e">
        <f t="array" aca="1" ref="N208" ca="1">IF(B208="博多",
IF(C208&lt;&gt;"",
IF(IFERROR(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0)&lt;&gt;0,
IF(IFERROR(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0)="",
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0),
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0)),0),""),0)</f>
        <v>#N/A</v>
      </c>
      <c r="O208" s="203" t="e">
        <f t="shared" ca="1" si="58"/>
        <v>#N/A</v>
      </c>
      <c r="P208" s="203">
        <f t="shared" ca="1" si="4"/>
        <v>0</v>
      </c>
      <c r="Q208" s="203" t="b">
        <f t="shared" ca="1" si="59"/>
        <v>0</v>
      </c>
      <c r="R208" s="51" t="str" cm="1">
        <f t="array" aca="1" ref="R208" ca="1">IFERROR(SMALL(IF(P$1:P$300&lt;&gt;0,P$1:P$300),ROW(A208)),"")</f>
        <v/>
      </c>
      <c r="S208" s="51" t="str">
        <f t="array" aca="1" ref="S208" ca="1">IF($R208&lt;&gt;"",
INDIRECT(""&amp;IF(COLUMN(C228)&lt;=26,CHAR(COLUMN(C228)+64),CHAR(INT((COLUMN(C228)-1)/26)+64)&amp;CHAR(MOD(COLUMN(C228)-1,26)+65))&amp;$R208&amp;""),"")</f>
        <v/>
      </c>
      <c r="T208" s="51" t="str" cm="1">
        <f t="array" aca="1" ref="T208" ca="1">IF(IF($R208&lt;&gt;"",
INDIRECT(""&amp;IF(COLUMN(D228)&lt;=26,CHAR(COLUMN(D228)+64),CHAR(INT((COLUMN(D228)-1)/26)+64)&amp;CHAR(MOD(COLUMN(D228)-1,26)+65))&amp;$R208&amp;""),"")=0,"",
IF($R208&lt;&gt;"",
INDIRECT(""&amp;IF(COLUMN(D228)&lt;=26,CHAR(COLUMN(D228)+64),CHAR(INT((COLUMN(D228)-1)/26)+64)&amp;CHAR(MOD(COLUMN(D228)-1,26)+65))&amp;$R208&amp;""),""))</f>
        <v/>
      </c>
      <c r="U208" s="51"/>
      <c r="V208" s="51" t="str">
        <f t="array" aca="1" ref="V208" ca="1">IF($R208&lt;&gt;"",
IF(U208="",
IF(INDIRECT("EY"&amp;$R208&amp;"")&lt;&gt;"",
INDIRECT("EY"&amp;$R208&amp;"")&amp;"箱"
&amp;INDIRECT("EZ"&amp;$R208&amp;""),""),""),"")</f>
        <v/>
      </c>
      <c r="W208" s="51" t="str">
        <f t="array" aca="1" ref="W208" ca="1">IF($R208&lt;&gt;"",
INDIRECT(""&amp;IF(COLUMN(H228)&lt;=26,CHAR(COLUMN(H228)+64),CHAR(INT((COLUMN(H228)-1)/26)+64)&amp;CHAR(MOD(COLUMN(H228)-1,26)+65))&amp;$R208&amp;""),"")</f>
        <v/>
      </c>
      <c r="X208" s="51" t="str">
        <f t="array" aca="1" ref="X208" ca="1">IF($R208&lt;&gt;"",
INDIRECT(""&amp;IF(COLUMN(I228)&lt;=26,CHAR(COLUMN(I228)+64),CHAR(INT((COLUMN(I228)-1)/26)+64)&amp;CHAR(MOD(COLUMN(I228)-1,26)+65))&amp;$R208&amp;""),"")</f>
        <v/>
      </c>
      <c r="Y208" s="51" t="str">
        <f t="array" aca="1" ref="Y208" ca="1">IF($R208&lt;&gt;"",
INDIRECT(""&amp;IF(COLUMN(J228)&lt;=26,CHAR(COLUMN(J228)+64),CHAR(INT((COLUMN(J228)-1)/26)+64)&amp;CHAR(MOD(COLUMN(J228)-1,26)+65))&amp;$R208&amp;""),"")</f>
        <v/>
      </c>
      <c r="Z208" s="51" t="str">
        <f t="array" aca="1" ref="Z208" ca="1">IF($R208&lt;&gt;"",
INDIRECT(""&amp;IF(COLUMN(K228)&lt;=26,CHAR(COLUMN(K228)+64),CHAR(INT((COLUMN(K228)-1)/26)+64)&amp;CHAR(MOD(COLUMN(K228)-1,26)+65))&amp;$R208&amp;""),"")</f>
        <v/>
      </c>
      <c r="AA208" s="51" t="str">
        <f t="array" aca="1" ref="AA208" ca="1">IF($R208&lt;&gt;"",
INDIRECT(""&amp;IF(COLUMN(L228)&lt;=26,CHAR(COLUMN(L228)+64),CHAR(INT((COLUMN(L228)-1)/26)+64)&amp;CHAR(MOD(COLUMN(L228)-1,26)+65))&amp;$R208&amp;""),"")</f>
        <v/>
      </c>
      <c r="AB208" s="51" t="str">
        <f t="array" aca="1" ref="AB208" ca="1">IF($R208&lt;&gt;"",
INDIRECT(""&amp;IF(COLUMN(O228)&lt;=26,CHAR(COLUMN(O228)+64),CHAR(INT((COLUMN(O228)-1)/26)+64)&amp;CHAR(MOD(COLUMN(O228)-1,26)+65))&amp;$R208&amp;""),"")</f>
        <v/>
      </c>
    </row>
    <row r="209" spans="1:28" ht="22.2" customHeight="1">
      <c r="A209" s="204">
        <f t="shared" si="55"/>
        <v>143</v>
      </c>
      <c r="B209" s="203" t="e" cm="1">
        <f t="array" aca="1" ref="B209" ca="1">IF(AND(LEFT(C209,2)="博多",
LEFT(INDIRECT("数出表_Excel!A"&amp;MATCH(C209,数出表_Excel!$A:$A,0)-1),2)
=LEFT(INDIRECT("数出表_Excel!A"&amp;MATCH(C209,数出表_Excel!$A:$A,0)+1),2)),"博多",
IF(AND(LEFT(C209,3)="奈良屋",
LEFT(INDIRECT("数出表_Excel!A"&amp;MATCH(C209,数出表_Excel!$A:$A,0)-1),2)
=LEFT(INDIRECT("数出表_Excel!A"&amp;MATCH(C209,数出表_Excel!$A:$A,0)+1),2)),"奈良屋",""))</f>
        <v>#N/A</v>
      </c>
      <c r="C209" s="203" t="str" cm="1">
        <f t="array" aca="1" ref="C209" ca="1">IF(IF(クライアント抽出!A69="",0,LEN(クライアント抽出!V69)-LEN(SUBSTITUTE(クライアント抽出!V69,",","")))&gt;=3,INDIRECT("数出表_Excel!A"&amp;A209&amp;""),"")</f>
        <v/>
      </c>
      <c r="D209" s="203" t="str" cm="1">
        <f t="array" aca="1" ref="D209" ca="1">IF(C209&lt;&gt;"",INDIRECT("クライアント抽出!"&amp;E209&amp;MATCH(C209,クライアント抽出!A:A,0)&amp;""),"")</f>
        <v/>
      </c>
      <c r="E209" s="203" t="str">
        <f ca="1">IF(H209&lt;&gt;0,
IFERROR(
SUBSTITUTE(ADDRESS(1,
MATCH(VALUE(H209),クライアント抽出!A69:G69,0)+8,4),"1",""),
""),
IFERROR(
SUBSTITUTE(ADDRESS(1,
MATCH(VALUE(I209),クライアント抽出!A69:G69,0)+8,4),"1",""),
""))</f>
        <v/>
      </c>
      <c r="F209" s="206" t="str" cm="1">
        <f t="array" aca="1" ref="F209" ca="1">IF(D209&lt;&gt;"",
IF(COUNTIF(C209,"*雙葉*"),
IF(ROUND(
IF(O209&lt;&gt;"",(H209-O209),H209)
/IF(COUNTIF('盛付札（関数）'!D209,"*キャラ*"),
VLOOKUP("*キャラ*",#REF!,7,FALSE),
IF(COUNTIF('盛付札（関数）'!D209,"*赤*"),
VLOOKUP("*赤*",#REF!,7,FALSE),
VLOOKUP('盛付札（関数）'!D209,#REF!,7,FALSE))),0)&lt;=0,1,
ROUND(
IF(O209&lt;&gt;"",(H209-O209),H209)
/IF(COUNTIF('盛付札（関数）'!D209,"*キャラ*"),
VLOOKUP("*キャラ*",#REF!,7,FALSE),
IF(COUNTIF('盛付札（関数）'!D209,"*赤*"),
VLOOKUP("*赤*",#REF!,7,FALSE),
VLOOKUP('盛付札（関数）'!D209,#REF!,7,FALSE))),0)),
IF(MATCH(TRUE,
ISNUMBER(--INDIRECT("数出表_Excel!B"&amp;MATCH(C209,数出表_Excel!$A:$A,0)-1&amp;":U"&amp;MATCH(C209,数出表_Excel!$A:$A,0)-1&amp;"")),0)&gt;10,
IF(D209&lt;&gt;"",
IF(IF(COUNTIF('盛付札（関数）'!D209,"*キャラ*"),
VLOOKUP("*キャラ*",#REF!,7,FALSE),
IF(COUNTIF('盛付札（関数）'!D209,"*赤*"),
VLOOKUP("*赤*",#REF!,7,FALSE),
VLOOKUP('盛付札（関数）'!D209,#REF!,7,FALSE)))=0,"",
IF(ROUND(
IF(O209&lt;&gt;"",(H209-O209),H209)
/IF(COUNTIF('盛付札（関数）'!D209,"*キャラ*"),
VLOOKUP("*キャラ*",#REF!,7,FALSE),
IF(COUNTIF('盛付札（関数）'!D209,"*赤*"),
VLOOKUP("*赤*",#REF!,7,FALSE),
VLOOKUP('盛付札（関数）'!D209,#REF!,7,FALSE))),0)&lt;=0,1,
ROUND(
IF(O209&lt;&gt;"",(H209-O209),H209)
/IF(COUNTIF('盛付札（関数）'!D209,"*キャラ*"),
VLOOKUP("*キャラ*",#REF!,7,FALSE),
IF(COUNTIF('盛付札（関数）'!D209,"*赤*"),
VLOOKUP("*赤*",#REF!,7,FALSE),
VLOOKUP('盛付札（関数）'!D209,#REF!,7,FALSE))),0))),""),"")),"")</f>
        <v/>
      </c>
      <c r="G209" s="206" t="str">
        <f ca="1">IF(F209&lt;&gt;"",IF(VALUE(IF(O209&lt;&gt;"",H209-O209,H209))&gt;VALUE(IF(COUNTIF('盛付札（関数）'!D209,"*キャラ*"),
VLOOKUP("*キャラ*",#REF!,7,FALSE),
IF(COUNTIF('盛付札（関数）'!D209,"*赤*"),
VLOOKUP("*赤*",#REF!,7,FALSE),
VLOOKUP('盛付札（関数）'!D209,#REF!,7,FALSE)))*F209),
"+"&amp;IF(O209&lt;&gt;"",H209-O209,H209)-IF(COUNTIF('盛付札（関数）'!D209,"*キャラ*"),
VLOOKUP("*キャラ*",#REF!,7,FALSE),
IF(COUNTIF('盛付札（関数）'!D209,"*赤*"),
VLOOKUP("*赤*",#REF!,7,FALSE),
VLOOKUP('盛付札（関数）'!D209,#REF!,7,FALSE)))*F209,
IF(O209&lt;&gt;"",H209-O209,H209)-IF(COUNTIF('盛付札（関数）'!D209,"*キャラ*"),
VLOOKUP("*キャラ*",#REF!,7,FALSE),
IF(COUNTIF('盛付札（関数）'!D209,"*赤*"),
VLOOKUP("*赤*",#REF!,7,FALSE),
VLOOKUP('盛付札（関数）'!D209,#REF!,7,FALSE)))*F209),"")</f>
        <v/>
      </c>
      <c r="H209" s="205" t="str" cm="1">
        <f t="array" aca="1" ref="H209" ca="1">IF(C209&lt;&gt;"",
IF(INDIRECT("数出表_Excel!"&amp;RIGHT(SUBSTITUTE(クライアント抽出!V69,",",""),1)&amp;A209-1&amp;"")&lt;&gt;"",
INDIRECT("数出表_Excel!"&amp;RIGHT(SUBSTITUTE(クライアント抽出!V69,",",""),1)&amp;A209-1&amp;""),0),"")</f>
        <v/>
      </c>
      <c r="I209" s="203" t="str" cm="1">
        <f t="array" aca="1" ref="I209" ca="1">IF(C209&lt;&gt;"",
IF(INDIRECT("数出表_Excel!"&amp;RIGHT(SUBSTITUTE(クライアント抽出!V69,",",""),1)&amp;A209&amp;"")&lt;&gt;"",
INDIRECT("数出表_Excel!"&amp;RIGHT(SUBSTITUTE(クライアント抽出!V69,",",""),1)&amp;A209&amp;""),0),"")</f>
        <v/>
      </c>
      <c r="J209" s="203" t="str">
        <f ca="1">IF(C209&lt;&gt;"",
VLOOKUP(
IF(COUNTIF(D209,"*学食*"),"キャラ弁（学食）",
IF(COUNTIF(D209,"*赤*"),"赤",
IF(COUNTIF(D209,"*キャラ弁当*"),"キャラ弁当",D209))),注文弁当の抽出!$E$1:$F$15,2,FALSE),"")</f>
        <v/>
      </c>
      <c r="K209" s="203" t="str">
        <f t="shared" ca="1" si="56"/>
        <v/>
      </c>
      <c r="L209" s="203" t="str">
        <f t="shared" ca="1" si="57"/>
        <v/>
      </c>
      <c r="M209" s="203" cm="1">
        <f t="array" aca="1" ref="M209" ca="1">IF(C209&lt;&gt;"",
IF(IFERROR(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0)&lt;&gt;0,
IF(IFERROR(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"")="",
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""),
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0)),0),0)</f>
        <v>0</v>
      </c>
      <c r="N209" s="203" t="e">
        <f t="array" aca="1" ref="N209" ca="1">IF(B209="博多",
IF(C209&lt;&gt;"",
IF(IFERROR(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0)&lt;&gt;0,
IF(IFERROR(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0)="",
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0),
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0)),0),""),0)</f>
        <v>#N/A</v>
      </c>
      <c r="O209" s="203" t="e">
        <f t="shared" ca="1" si="58"/>
        <v>#N/A</v>
      </c>
      <c r="P209" s="203">
        <f t="shared" ca="1" si="4"/>
        <v>0</v>
      </c>
      <c r="Q209" s="203" t="b">
        <f t="shared" ca="1" si="59"/>
        <v>0</v>
      </c>
      <c r="R209" s="51" t="str" cm="1">
        <f t="array" aca="1" ref="R209" ca="1">IFERROR(SMALL(IF(P$1:P$300&lt;&gt;0,P$1:P$300),ROW(A209)),"")</f>
        <v/>
      </c>
      <c r="S209" s="51" t="str">
        <f t="array" aca="1" ref="S209" ca="1">IF($R209&lt;&gt;"",
INDIRECT(""&amp;IF(COLUMN(C229)&lt;=26,CHAR(COLUMN(C229)+64),CHAR(INT((COLUMN(C229)-1)/26)+64)&amp;CHAR(MOD(COLUMN(C229)-1,26)+65))&amp;$R209&amp;""),"")</f>
        <v/>
      </c>
      <c r="T209" s="51" t="str" cm="1">
        <f t="array" aca="1" ref="T209" ca="1">IF(IF($R209&lt;&gt;"",
INDIRECT(""&amp;IF(COLUMN(D229)&lt;=26,CHAR(COLUMN(D229)+64),CHAR(INT((COLUMN(D229)-1)/26)+64)&amp;CHAR(MOD(COLUMN(D229)-1,26)+65))&amp;$R209&amp;""),"")=0,"",
IF($R209&lt;&gt;"",
INDIRECT(""&amp;IF(COLUMN(D229)&lt;=26,CHAR(COLUMN(D229)+64),CHAR(INT((COLUMN(D229)-1)/26)+64)&amp;CHAR(MOD(COLUMN(D229)-1,26)+65))&amp;$R209&amp;""),""))</f>
        <v/>
      </c>
      <c r="U209" s="51"/>
      <c r="V209" s="51" t="str">
        <f t="array" aca="1" ref="V209" ca="1">IF($R209&lt;&gt;"",
IF(U209="",
IF(INDIRECT("EY"&amp;$R209&amp;"")&lt;&gt;"",
INDIRECT("EY"&amp;$R209&amp;"")&amp;"箱"
&amp;INDIRECT("EZ"&amp;$R209&amp;""),""),""),"")</f>
        <v/>
      </c>
      <c r="W209" s="51" t="str">
        <f t="array" aca="1" ref="W209" ca="1">IF($R209&lt;&gt;"",
INDIRECT(""&amp;IF(COLUMN(H229)&lt;=26,CHAR(COLUMN(H229)+64),CHAR(INT((COLUMN(H229)-1)/26)+64)&amp;CHAR(MOD(COLUMN(H229)-1,26)+65))&amp;$R209&amp;""),"")</f>
        <v/>
      </c>
      <c r="X209" s="51" t="str">
        <f t="array" aca="1" ref="X209" ca="1">IF($R209&lt;&gt;"",
INDIRECT(""&amp;IF(COLUMN(I229)&lt;=26,CHAR(COLUMN(I229)+64),CHAR(INT((COLUMN(I229)-1)/26)+64)&amp;CHAR(MOD(COLUMN(I229)-1,26)+65))&amp;$R209&amp;""),"")</f>
        <v/>
      </c>
      <c r="Y209" s="51" t="str">
        <f t="array" aca="1" ref="Y209" ca="1">IF($R209&lt;&gt;"",
INDIRECT(""&amp;IF(COLUMN(J229)&lt;=26,CHAR(COLUMN(J229)+64),CHAR(INT((COLUMN(J229)-1)/26)+64)&amp;CHAR(MOD(COLUMN(J229)-1,26)+65))&amp;$R209&amp;""),"")</f>
        <v/>
      </c>
      <c r="Z209" s="51" t="str">
        <f t="array" aca="1" ref="Z209" ca="1">IF($R209&lt;&gt;"",
INDIRECT(""&amp;IF(COLUMN(K229)&lt;=26,CHAR(COLUMN(K229)+64),CHAR(INT((COLUMN(K229)-1)/26)+64)&amp;CHAR(MOD(COLUMN(K229)-1,26)+65))&amp;$R209&amp;""),"")</f>
        <v/>
      </c>
      <c r="AA209" s="51" t="str">
        <f t="array" aca="1" ref="AA209" ca="1">IF($R209&lt;&gt;"",
INDIRECT(""&amp;IF(COLUMN(L229)&lt;=26,CHAR(COLUMN(L229)+64),CHAR(INT((COLUMN(L229)-1)/26)+64)&amp;CHAR(MOD(COLUMN(L229)-1,26)+65))&amp;$R209&amp;""),"")</f>
        <v/>
      </c>
      <c r="AB209" s="51" t="str">
        <f t="array" aca="1" ref="AB209" ca="1">IF($R209&lt;&gt;"",
INDIRECT(""&amp;IF(COLUMN(O229)&lt;=26,CHAR(COLUMN(O229)+64),CHAR(INT((COLUMN(O229)-1)/26)+64)&amp;CHAR(MOD(COLUMN(O229)-1,26)+65))&amp;$R209&amp;""),"")</f>
        <v/>
      </c>
    </row>
    <row r="210" spans="1:28" ht="22.2" customHeight="1">
      <c r="A210" s="204">
        <f t="shared" si="55"/>
        <v>145</v>
      </c>
      <c r="B210" s="203" t="e" cm="1">
        <f t="array" aca="1" ref="B210" ca="1">IF(AND(LEFT(C210,2)="博多",
LEFT(INDIRECT("数出表_Excel!A"&amp;MATCH(C210,数出表_Excel!$A:$A,0)-1),2)
=LEFT(INDIRECT("数出表_Excel!A"&amp;MATCH(C210,数出表_Excel!$A:$A,0)+1),2)),"博多",
IF(AND(LEFT(C210,3)="奈良屋",
LEFT(INDIRECT("数出表_Excel!A"&amp;MATCH(C210,数出表_Excel!$A:$A,0)-1),2)
=LEFT(INDIRECT("数出表_Excel!A"&amp;MATCH(C210,数出表_Excel!$A:$A,0)+1),2)),"奈良屋",""))</f>
        <v>#N/A</v>
      </c>
      <c r="C210" s="203" t="str" cm="1">
        <f t="array" aca="1" ref="C210" ca="1">IF(IF(クライアント抽出!A70="",0,LEN(クライアント抽出!V70)-LEN(SUBSTITUTE(クライアント抽出!V70,",","")))&gt;=3,INDIRECT("数出表_Excel!A"&amp;A210&amp;""),"")</f>
        <v/>
      </c>
      <c r="D210" s="203" t="str" cm="1">
        <f t="array" aca="1" ref="D210" ca="1">IF(C210&lt;&gt;"",INDIRECT("クライアント抽出!"&amp;E210&amp;MATCH(C210,クライアント抽出!A:A,0)&amp;""),"")</f>
        <v/>
      </c>
      <c r="E210" s="203" t="str">
        <f ca="1">IF(H210&lt;&gt;0,
IFERROR(
SUBSTITUTE(ADDRESS(1,
MATCH(VALUE(H210),クライアント抽出!A70:G70,0)+8,4),"1",""),
""),
IFERROR(
SUBSTITUTE(ADDRESS(1,
MATCH(VALUE(I210),クライアント抽出!A70:G70,0)+8,4),"1",""),
""))</f>
        <v/>
      </c>
      <c r="F210" s="206" t="str" cm="1">
        <f t="array" aca="1" ref="F210" ca="1">IF(D210&lt;&gt;"",
IF(COUNTIF(C210,"*雙葉*"),
IF(ROUND(
IF(O210&lt;&gt;"",(H210-O210),H210)
/IF(COUNTIF('盛付札（関数）'!D210,"*キャラ*"),
VLOOKUP("*キャラ*",#REF!,7,FALSE),
IF(COUNTIF('盛付札（関数）'!D210,"*赤*"),
VLOOKUP("*赤*",#REF!,7,FALSE),
VLOOKUP('盛付札（関数）'!D210,#REF!,7,FALSE))),0)&lt;=0,1,
ROUND(
IF(O210&lt;&gt;"",(H210-O210),H210)
/IF(COUNTIF('盛付札（関数）'!D210,"*キャラ*"),
VLOOKUP("*キャラ*",#REF!,7,FALSE),
IF(COUNTIF('盛付札（関数）'!D210,"*赤*"),
VLOOKUP("*赤*",#REF!,7,FALSE),
VLOOKUP('盛付札（関数）'!D210,#REF!,7,FALSE))),0)),
IF(MATCH(TRUE,
ISNUMBER(--INDIRECT("数出表_Excel!B"&amp;MATCH(C210,数出表_Excel!$A:$A,0)-1&amp;":U"&amp;MATCH(C210,数出表_Excel!$A:$A,0)-1&amp;"")),0)&gt;10,
IF(D210&lt;&gt;"",
IF(IF(COUNTIF('盛付札（関数）'!D210,"*キャラ*"),
VLOOKUP("*キャラ*",#REF!,7,FALSE),
IF(COUNTIF('盛付札（関数）'!D210,"*赤*"),
VLOOKUP("*赤*",#REF!,7,FALSE),
VLOOKUP('盛付札（関数）'!D210,#REF!,7,FALSE)))=0,"",
IF(ROUND(
IF(O210&lt;&gt;"",(H210-O210),H210)
/IF(COUNTIF('盛付札（関数）'!D210,"*キャラ*"),
VLOOKUP("*キャラ*",#REF!,7,FALSE),
IF(COUNTIF('盛付札（関数）'!D210,"*赤*"),
VLOOKUP("*赤*",#REF!,7,FALSE),
VLOOKUP('盛付札（関数）'!D210,#REF!,7,FALSE))),0)&lt;=0,1,
ROUND(
IF(O210&lt;&gt;"",(H210-O210),H210)
/IF(COUNTIF('盛付札（関数）'!D210,"*キャラ*"),
VLOOKUP("*キャラ*",#REF!,7,FALSE),
IF(COUNTIF('盛付札（関数）'!D210,"*赤*"),
VLOOKUP("*赤*",#REF!,7,FALSE),
VLOOKUP('盛付札（関数）'!D210,#REF!,7,FALSE))),0))),""),"")),"")</f>
        <v/>
      </c>
      <c r="G210" s="206" t="str">
        <f ca="1">IF(F210&lt;&gt;"",IF(VALUE(IF(O210&lt;&gt;"",H210-O210,H210))&gt;VALUE(IF(COUNTIF('盛付札（関数）'!D210,"*キャラ*"),
VLOOKUP("*キャラ*",#REF!,7,FALSE),
IF(COUNTIF('盛付札（関数）'!D210,"*赤*"),
VLOOKUP("*赤*",#REF!,7,FALSE),
VLOOKUP('盛付札（関数）'!D210,#REF!,7,FALSE)))*F210),
"+"&amp;IF(O210&lt;&gt;"",H210-O210,H210)-IF(COUNTIF('盛付札（関数）'!D210,"*キャラ*"),
VLOOKUP("*キャラ*",#REF!,7,FALSE),
IF(COUNTIF('盛付札（関数）'!D210,"*赤*"),
VLOOKUP("*赤*",#REF!,7,FALSE),
VLOOKUP('盛付札（関数）'!D210,#REF!,7,FALSE)))*F210,
IF(O210&lt;&gt;"",H210-O210,H210)-IF(COUNTIF('盛付札（関数）'!D210,"*キャラ*"),
VLOOKUP("*キャラ*",#REF!,7,FALSE),
IF(COUNTIF('盛付札（関数）'!D210,"*赤*"),
VLOOKUP("*赤*",#REF!,7,FALSE),
VLOOKUP('盛付札（関数）'!D210,#REF!,7,FALSE)))*F210),"")</f>
        <v/>
      </c>
      <c r="H210" s="205" t="str" cm="1">
        <f t="array" aca="1" ref="H210" ca="1">IF(C210&lt;&gt;"",
IF(INDIRECT("数出表_Excel!"&amp;RIGHT(SUBSTITUTE(クライアント抽出!V70,",",""),1)&amp;A210-1&amp;"")&lt;&gt;"",
INDIRECT("数出表_Excel!"&amp;RIGHT(SUBSTITUTE(クライアント抽出!V70,",",""),1)&amp;A210-1&amp;""),0),"")</f>
        <v/>
      </c>
      <c r="I210" s="203" t="str" cm="1">
        <f t="array" aca="1" ref="I210" ca="1">IF(C210&lt;&gt;"",
IF(INDIRECT("数出表_Excel!"&amp;RIGHT(SUBSTITUTE(クライアント抽出!V70,",",""),1)&amp;A210&amp;"")&lt;&gt;"",
INDIRECT("数出表_Excel!"&amp;RIGHT(SUBSTITUTE(クライアント抽出!V70,",",""),1)&amp;A210&amp;""),0),"")</f>
        <v/>
      </c>
      <c r="J210" s="203" t="str">
        <f ca="1">IF(C210&lt;&gt;"",
VLOOKUP(
IF(COUNTIF(D210,"*学食*"),"キャラ弁（学食）",
IF(COUNTIF(D210,"*赤*"),"赤",
IF(COUNTIF(D210,"*キャラ弁当*"),"キャラ弁当",D210))),注文弁当の抽出!$E$1:$F$15,2,FALSE),"")</f>
        <v/>
      </c>
      <c r="K210" s="203" t="str">
        <f t="shared" ca="1" si="56"/>
        <v/>
      </c>
      <c r="L210" s="203" t="str">
        <f t="shared" ca="1" si="57"/>
        <v/>
      </c>
      <c r="M210" s="203" cm="1">
        <f t="array" aca="1" ref="M210" ca="1">IF(C210&lt;&gt;"",
IF(IFERROR(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0)&lt;&gt;0,
IF(IFERROR(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"")="",
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""),
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0)),0),0)</f>
        <v>0</v>
      </c>
      <c r="N210" s="203" t="e">
        <f t="array" aca="1" ref="N210" ca="1">IF(B210="博多",
IF(C210&lt;&gt;"",
IF(IFERROR(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0)&lt;&gt;0,
IF(IFERROR(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0)="",
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0),
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0)),0),""),0)</f>
        <v>#N/A</v>
      </c>
      <c r="O210" s="203" t="e">
        <f t="shared" ca="1" si="58"/>
        <v>#N/A</v>
      </c>
      <c r="P210" s="203">
        <f t="shared" ca="1" si="4"/>
        <v>0</v>
      </c>
      <c r="Q210" s="203" t="b">
        <f t="shared" ca="1" si="59"/>
        <v>0</v>
      </c>
      <c r="R210" s="51" t="str" cm="1">
        <f t="array" aca="1" ref="R210" ca="1">IFERROR(SMALL(IF(P$1:P$300&lt;&gt;0,P$1:P$300),ROW(A210)),"")</f>
        <v/>
      </c>
      <c r="S210" s="51" t="str">
        <f t="array" aca="1" ref="S210" ca="1">IF($R210&lt;&gt;"",
INDIRECT(""&amp;IF(COLUMN(C230)&lt;=26,CHAR(COLUMN(C230)+64),CHAR(INT((COLUMN(C230)-1)/26)+64)&amp;CHAR(MOD(COLUMN(C230)-1,26)+65))&amp;$R210&amp;""),"")</f>
        <v/>
      </c>
      <c r="T210" s="51" t="str" cm="1">
        <f t="array" aca="1" ref="T210" ca="1">IF(IF($R210&lt;&gt;"",
INDIRECT(""&amp;IF(COLUMN(D230)&lt;=26,CHAR(COLUMN(D230)+64),CHAR(INT((COLUMN(D230)-1)/26)+64)&amp;CHAR(MOD(COLUMN(D230)-1,26)+65))&amp;$R210&amp;""),"")=0,"",
IF($R210&lt;&gt;"",
INDIRECT(""&amp;IF(COLUMN(D230)&lt;=26,CHAR(COLUMN(D230)+64),CHAR(INT((COLUMN(D230)-1)/26)+64)&amp;CHAR(MOD(COLUMN(D230)-1,26)+65))&amp;$R210&amp;""),""))</f>
        <v/>
      </c>
      <c r="U210" s="51"/>
      <c r="V210" s="51" t="str">
        <f t="array" aca="1" ref="V210" ca="1">IF($R210&lt;&gt;"",
IF(U210="",
IF(INDIRECT("EY"&amp;$R210&amp;"")&lt;&gt;"",
INDIRECT("EY"&amp;$R210&amp;"")&amp;"箱"
&amp;INDIRECT("EZ"&amp;$R210&amp;""),""),""),"")</f>
        <v/>
      </c>
      <c r="W210" s="51" t="str">
        <f t="array" aca="1" ref="W210" ca="1">IF($R210&lt;&gt;"",
INDIRECT(""&amp;IF(COLUMN(H230)&lt;=26,CHAR(COLUMN(H230)+64),CHAR(INT((COLUMN(H230)-1)/26)+64)&amp;CHAR(MOD(COLUMN(H230)-1,26)+65))&amp;$R210&amp;""),"")</f>
        <v/>
      </c>
      <c r="X210" s="51" t="str">
        <f t="array" aca="1" ref="X210" ca="1">IF($R210&lt;&gt;"",
INDIRECT(""&amp;IF(COLUMN(I230)&lt;=26,CHAR(COLUMN(I230)+64),CHAR(INT((COLUMN(I230)-1)/26)+64)&amp;CHAR(MOD(COLUMN(I230)-1,26)+65))&amp;$R210&amp;""),"")</f>
        <v/>
      </c>
      <c r="Y210" s="51" t="str">
        <f t="array" aca="1" ref="Y210" ca="1">IF($R210&lt;&gt;"",
INDIRECT(""&amp;IF(COLUMN(J230)&lt;=26,CHAR(COLUMN(J230)+64),CHAR(INT((COLUMN(J230)-1)/26)+64)&amp;CHAR(MOD(COLUMN(J230)-1,26)+65))&amp;$R210&amp;""),"")</f>
        <v/>
      </c>
      <c r="Z210" s="51" t="str">
        <f t="array" aca="1" ref="Z210" ca="1">IF($R210&lt;&gt;"",
INDIRECT(""&amp;IF(COLUMN(K230)&lt;=26,CHAR(COLUMN(K230)+64),CHAR(INT((COLUMN(K230)-1)/26)+64)&amp;CHAR(MOD(COLUMN(K230)-1,26)+65))&amp;$R210&amp;""),"")</f>
        <v/>
      </c>
      <c r="AA210" s="51" t="str">
        <f t="array" aca="1" ref="AA210" ca="1">IF($R210&lt;&gt;"",
INDIRECT(""&amp;IF(COLUMN(L230)&lt;=26,CHAR(COLUMN(L230)+64),CHAR(INT((COLUMN(L230)-1)/26)+64)&amp;CHAR(MOD(COLUMN(L230)-1,26)+65))&amp;$R210&amp;""),"")</f>
        <v/>
      </c>
      <c r="AB210" s="51" t="str">
        <f t="array" aca="1" ref="AB210" ca="1">IF($R210&lt;&gt;"",
INDIRECT(""&amp;IF(COLUMN(O230)&lt;=26,CHAR(COLUMN(O230)+64),CHAR(INT((COLUMN(O230)-1)/26)+64)&amp;CHAR(MOD(COLUMN(O230)-1,26)+65))&amp;$R210&amp;""),"")</f>
        <v/>
      </c>
    </row>
    <row r="211" spans="1:28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K211" s="56"/>
      <c r="L211" s="56"/>
      <c r="M211" s="56"/>
      <c r="N211" s="56"/>
      <c r="O211" s="56"/>
      <c r="P211" s="56">
        <f>ROW()</f>
        <v>211</v>
      </c>
      <c r="Q211" s="56" t="b">
        <v>1</v>
      </c>
      <c r="R211" s="51" t="str" cm="1">
        <f t="array" aca="1" ref="R211" ca="1">IFERROR(SMALL(IF(P$1:P$300&lt;&gt;0,P$1:P$300),ROW(A211)),"")</f>
        <v/>
      </c>
      <c r="S211" s="51" t="str">
        <f t="array" aca="1" ref="S211" ca="1">IF($R211&lt;&gt;"",
INDIRECT(""&amp;IF(COLUMN(C231)&lt;=26,CHAR(COLUMN(C231)+64),CHAR(INT((COLUMN(C231)-1)/26)+64)&amp;CHAR(MOD(COLUMN(C231)-1,26)+65))&amp;$R211&amp;""),"")</f>
        <v/>
      </c>
      <c r="T211" s="51" t="str">
        <f t="array" aca="1" ref="T211" ca="1">IF($R211&lt;&gt;"",
INDIRECT(""&amp;IF(COLUMN(D231)&lt;=26,CHAR(COLUMN(D231)+64),CHAR(INT((COLUMN(D231)-1)/26)+64)&amp;CHAR(MOD(COLUMN(D231)-1,26)+65))&amp;$R211&amp;""),"")</f>
        <v/>
      </c>
      <c r="U211" s="51"/>
      <c r="V211" s="51" t="str">
        <f t="array" aca="1" ref="V211" ca="1">IF($R211&lt;&gt;"",
IF(U211="",
IF(INDIRECT("EY"&amp;$R211&amp;"")&lt;&gt;"",
INDIRECT("EY"&amp;$R211&amp;"")&amp;"箱"
&amp;INDIRECT("EZ"&amp;$R211&amp;""),""),""),"")</f>
        <v/>
      </c>
      <c r="W211" s="51" t="str">
        <f t="array" aca="1" ref="W211" ca="1">IF($R211&lt;&gt;"",
INDIRECT(""&amp;IF(COLUMN(H231)&lt;=26,CHAR(COLUMN(H231)+64),CHAR(INT((COLUMN(H231)-1)/26)+64)&amp;CHAR(MOD(COLUMN(H231)-1,26)+65))&amp;$R211&amp;""),"")</f>
        <v/>
      </c>
      <c r="X211" s="51" t="str">
        <f t="array" aca="1" ref="X211" ca="1">IF($R211&lt;&gt;"",
INDIRECT(""&amp;IF(COLUMN(I231)&lt;=26,CHAR(COLUMN(I231)+64),CHAR(INT((COLUMN(I231)-1)/26)+64)&amp;CHAR(MOD(COLUMN(I231)-1,26)+65))&amp;$R211&amp;""),"")</f>
        <v/>
      </c>
      <c r="Y211" s="51" t="str">
        <f t="array" aca="1" ref="Y211" ca="1">IF($R211&lt;&gt;"",
INDIRECT(""&amp;IF(COLUMN(J231)&lt;=26,CHAR(COLUMN(J231)+64),CHAR(INT((COLUMN(J231)-1)/26)+64)&amp;CHAR(MOD(COLUMN(J231)-1,26)+65))&amp;$R211&amp;""),"")</f>
        <v/>
      </c>
      <c r="Z211" s="51" t="str">
        <f t="array" aca="1" ref="Z211" ca="1">IF($R211&lt;&gt;"",
INDIRECT(""&amp;IF(COLUMN(K231)&lt;=26,CHAR(COLUMN(K231)+64),CHAR(INT((COLUMN(K231)-1)/26)+64)&amp;CHAR(MOD(COLUMN(K231)-1,26)+65))&amp;$R211&amp;""),"")</f>
        <v/>
      </c>
      <c r="AA211" s="51" t="str">
        <f t="array" aca="1" ref="AA211" ca="1">IF($R211&lt;&gt;"",
INDIRECT(""&amp;IF(COLUMN(L231)&lt;=26,CHAR(COLUMN(L231)+64),CHAR(INT((COLUMN(L231)-1)/26)+64)&amp;CHAR(MOD(COLUMN(L231)-1,26)+65))&amp;$R211&amp;""),"")</f>
        <v/>
      </c>
      <c r="AB211" s="51" t="str">
        <f t="array" aca="1" ref="AB211" ca="1">IF($R211&lt;&gt;"",
INDIRECT(""&amp;IF(COLUMN(O231)&lt;=26,CHAR(COLUMN(O231)+64),CHAR(INT((COLUMN(O231)-1)/26)+64)&amp;CHAR(MOD(COLUMN(O231)-1,26)+65))&amp;$R211&amp;""),"")</f>
        <v/>
      </c>
    </row>
    <row r="212" spans="1:28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K212" s="56"/>
      <c r="L212" s="56"/>
      <c r="M212" s="56"/>
      <c r="N212" s="56"/>
      <c r="O212" s="56"/>
      <c r="P212" s="56">
        <f>ROW()</f>
        <v>212</v>
      </c>
      <c r="Q212" s="56" t="b">
        <v>1</v>
      </c>
      <c r="R212" s="51" t="str" cm="1">
        <f t="array" aca="1" ref="R212" ca="1">IFERROR(SMALL(IF(P$1:P$300&lt;&gt;0,P$1:P$300),ROW(A212)),"")</f>
        <v/>
      </c>
      <c r="S212" s="51" t="str">
        <f t="array" aca="1" ref="S212" ca="1">IF($R212&lt;&gt;"",
INDIRECT(""&amp;IF(COLUMN(C232)&lt;=26,CHAR(COLUMN(C232)+64),CHAR(INT((COLUMN(C232)-1)/26)+64)&amp;CHAR(MOD(COLUMN(C232)-1,26)+65))&amp;$R212&amp;""),"")</f>
        <v/>
      </c>
      <c r="T212" s="51" t="str">
        <f t="array" aca="1" ref="T212" ca="1">IF($R212&lt;&gt;"",
INDIRECT(""&amp;IF(COLUMN(D232)&lt;=26,CHAR(COLUMN(D232)+64),CHAR(INT((COLUMN(D232)-1)/26)+64)&amp;CHAR(MOD(COLUMN(D232)-1,26)+65))&amp;$R212&amp;""),"")</f>
        <v/>
      </c>
      <c r="U212" s="51"/>
      <c r="V212" s="51" t="str">
        <f t="array" aca="1" ref="V212" ca="1">IF($R212&lt;&gt;"",
IF(U212="",
IF(INDIRECT("EY"&amp;$R212&amp;"")&lt;&gt;"",
INDIRECT("EY"&amp;$R212&amp;"")&amp;"箱"
&amp;INDIRECT("EZ"&amp;$R212&amp;""),""),""),"")</f>
        <v/>
      </c>
      <c r="W212" s="51" t="str">
        <f t="array" aca="1" ref="W212" ca="1">IF($R212&lt;&gt;"",
INDIRECT(""&amp;IF(COLUMN(H232)&lt;=26,CHAR(COLUMN(H232)+64),CHAR(INT((COLUMN(H232)-1)/26)+64)&amp;CHAR(MOD(COLUMN(H232)-1,26)+65))&amp;$R212&amp;""),"")</f>
        <v/>
      </c>
      <c r="X212" s="51" t="str">
        <f t="array" aca="1" ref="X212" ca="1">IF($R212&lt;&gt;"",
INDIRECT(""&amp;IF(COLUMN(I232)&lt;=26,CHAR(COLUMN(I232)+64),CHAR(INT((COLUMN(I232)-1)/26)+64)&amp;CHAR(MOD(COLUMN(I232)-1,26)+65))&amp;$R212&amp;""),"")</f>
        <v/>
      </c>
      <c r="Y212" s="51" t="str">
        <f t="array" aca="1" ref="Y212" ca="1">IF($R212&lt;&gt;"",
INDIRECT(""&amp;IF(COLUMN(J232)&lt;=26,CHAR(COLUMN(J232)+64),CHAR(INT((COLUMN(J232)-1)/26)+64)&amp;CHAR(MOD(COLUMN(J232)-1,26)+65))&amp;$R212&amp;""),"")</f>
        <v/>
      </c>
      <c r="Z212" s="51" t="str">
        <f t="array" aca="1" ref="Z212" ca="1">IF($R212&lt;&gt;"",
INDIRECT(""&amp;IF(COLUMN(K232)&lt;=26,CHAR(COLUMN(K232)+64),CHAR(INT((COLUMN(K232)-1)/26)+64)&amp;CHAR(MOD(COLUMN(K232)-1,26)+65))&amp;$R212&amp;""),"")</f>
        <v/>
      </c>
      <c r="AA212" s="51" t="str">
        <f t="array" aca="1" ref="AA212" ca="1">IF($R212&lt;&gt;"",
INDIRECT(""&amp;IF(COLUMN(L232)&lt;=26,CHAR(COLUMN(L232)+64),CHAR(INT((COLUMN(L232)-1)/26)+64)&amp;CHAR(MOD(COLUMN(L232)-1,26)+65))&amp;$R212&amp;""),"")</f>
        <v/>
      </c>
      <c r="AB212" s="51" t="str">
        <f t="array" aca="1" ref="AB212" ca="1">IF($R212&lt;&gt;"",
INDIRECT(""&amp;IF(COLUMN(O232)&lt;=26,CHAR(COLUMN(O232)+64),CHAR(INT((COLUMN(O232)-1)/26)+64)&amp;CHAR(MOD(COLUMN(O232)-1,26)+65))&amp;$R212&amp;""),"")</f>
        <v/>
      </c>
    </row>
    <row r="213" spans="1:28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K213" s="56"/>
      <c r="L213" s="56"/>
      <c r="M213" s="56"/>
      <c r="N213" s="56"/>
      <c r="O213" s="56"/>
      <c r="P213" s="56">
        <f>ROW()</f>
        <v>213</v>
      </c>
      <c r="Q213" s="56" t="b">
        <v>1</v>
      </c>
      <c r="R213" s="51" t="str" cm="1">
        <f t="array" aca="1" ref="R213" ca="1">IFERROR(SMALL(IF(P$1:P$300&lt;&gt;0,P$1:P$300),ROW(A213)),"")</f>
        <v/>
      </c>
      <c r="S213" s="51" t="str">
        <f t="array" aca="1" ref="S213" ca="1">IF($R213&lt;&gt;"",
INDIRECT(""&amp;IF(COLUMN(C233)&lt;=26,CHAR(COLUMN(C233)+64),CHAR(INT((COLUMN(C233)-1)/26)+64)&amp;CHAR(MOD(COLUMN(C233)-1,26)+65))&amp;$R213&amp;""),"")</f>
        <v/>
      </c>
      <c r="T213" s="51" t="str">
        <f t="array" aca="1" ref="T213" ca="1">IF($R213&lt;&gt;"",
INDIRECT(""&amp;IF(COLUMN(D233)&lt;=26,CHAR(COLUMN(D233)+64),CHAR(INT((COLUMN(D233)-1)/26)+64)&amp;CHAR(MOD(COLUMN(D233)-1,26)+65))&amp;$R213&amp;""),"")</f>
        <v/>
      </c>
      <c r="U213" s="51"/>
      <c r="V213" s="51" t="str">
        <f t="array" aca="1" ref="V213" ca="1">IF($R213&lt;&gt;"",
IF(U213="",
IF(INDIRECT("EY"&amp;$R213&amp;"")&lt;&gt;"",
INDIRECT("EY"&amp;$R213&amp;"")&amp;"箱"
&amp;INDIRECT("EZ"&amp;$R213&amp;""),""),""),"")</f>
        <v/>
      </c>
      <c r="W213" s="51" t="str">
        <f t="array" aca="1" ref="W213" ca="1">IF($R213&lt;&gt;"",
INDIRECT(""&amp;IF(COLUMN(H233)&lt;=26,CHAR(COLUMN(H233)+64),CHAR(INT((COLUMN(H233)-1)/26)+64)&amp;CHAR(MOD(COLUMN(H233)-1,26)+65))&amp;$R213&amp;""),"")</f>
        <v/>
      </c>
      <c r="X213" s="51" t="str">
        <f t="array" aca="1" ref="X213" ca="1">IF($R213&lt;&gt;"",
INDIRECT(""&amp;IF(COLUMN(I233)&lt;=26,CHAR(COLUMN(I233)+64),CHAR(INT((COLUMN(I233)-1)/26)+64)&amp;CHAR(MOD(COLUMN(I233)-1,26)+65))&amp;$R213&amp;""),"")</f>
        <v/>
      </c>
      <c r="Y213" s="51" t="str">
        <f t="array" aca="1" ref="Y213" ca="1">IF($R213&lt;&gt;"",
INDIRECT(""&amp;IF(COLUMN(J233)&lt;=26,CHAR(COLUMN(J233)+64),CHAR(INT((COLUMN(J233)-1)/26)+64)&amp;CHAR(MOD(COLUMN(J233)-1,26)+65))&amp;$R213&amp;""),"")</f>
        <v/>
      </c>
      <c r="Z213" s="51" t="str">
        <f t="array" aca="1" ref="Z213" ca="1">IF($R213&lt;&gt;"",
INDIRECT(""&amp;IF(COLUMN(K233)&lt;=26,CHAR(COLUMN(K233)+64),CHAR(INT((COLUMN(K233)-1)/26)+64)&amp;CHAR(MOD(COLUMN(K233)-1,26)+65))&amp;$R213&amp;""),"")</f>
        <v/>
      </c>
      <c r="AA213" s="51" t="str">
        <f t="array" aca="1" ref="AA213" ca="1">IF($R213&lt;&gt;"",
INDIRECT(""&amp;IF(COLUMN(L233)&lt;=26,CHAR(COLUMN(L233)+64),CHAR(INT((COLUMN(L233)-1)/26)+64)&amp;CHAR(MOD(COLUMN(L233)-1,26)+65))&amp;$R213&amp;""),"")</f>
        <v/>
      </c>
      <c r="AB213" s="51" t="str">
        <f t="array" aca="1" ref="AB213" ca="1">IF($R213&lt;&gt;"",
INDIRECT(""&amp;IF(COLUMN(O233)&lt;=26,CHAR(COLUMN(O233)+64),CHAR(INT((COLUMN(O233)-1)/26)+64)&amp;CHAR(MOD(COLUMN(O233)-1,26)+65))&amp;$R213&amp;""),"")</f>
        <v/>
      </c>
    </row>
    <row r="214" spans="1:28">
      <c r="B214" s="56"/>
      <c r="C214" s="57" t="str">
        <f>社食等の札!A6</f>
        <v>先生用</v>
      </c>
      <c r="D214" s="57"/>
      <c r="E214" s="57"/>
      <c r="F214" s="56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K214" s="56">
        <f>社食等の札!H6</f>
        <v>30</v>
      </c>
      <c r="L214" s="56"/>
      <c r="M214" s="56"/>
      <c r="N214" s="56"/>
      <c r="O214" s="56"/>
      <c r="P214" s="56">
        <f>ROW()</f>
        <v>214</v>
      </c>
      <c r="Q214" s="56" t="b">
        <v>1</v>
      </c>
      <c r="R214" s="51" t="str" cm="1">
        <f t="array" aca="1" ref="R214" ca="1">IFERROR(SMALL(IF(P$1:P$300&lt;&gt;0,P$1:P$300),ROW(A214)),"")</f>
        <v/>
      </c>
      <c r="S214" s="51" t="str">
        <f t="array" aca="1" ref="S214" ca="1">IF($R214&lt;&gt;"",
INDIRECT(""&amp;IF(COLUMN(C234)&lt;=26,CHAR(COLUMN(C234)+64),CHAR(INT((COLUMN(C234)-1)/26)+64)&amp;CHAR(MOD(COLUMN(C234)-1,26)+65))&amp;$R214&amp;""),"")</f>
        <v/>
      </c>
      <c r="T214" s="51" t="str">
        <f t="array" aca="1" ref="T214" ca="1">IF($R214&lt;&gt;"",
INDIRECT(""&amp;IF(COLUMN(D234)&lt;=26,CHAR(COLUMN(D234)+64),CHAR(INT((COLUMN(D234)-1)/26)+64)&amp;CHAR(MOD(COLUMN(D234)-1,26)+65))&amp;$R214&amp;""),"")</f>
        <v/>
      </c>
      <c r="U214" s="51"/>
      <c r="V214" s="51" t="str">
        <f t="array" aca="1" ref="V214" ca="1">IF($R214&lt;&gt;"",
IF(U214="",
IF(INDIRECT("EY"&amp;$R214&amp;"")&lt;&gt;"",
INDIRECT("EY"&amp;$R214&amp;"")&amp;"箱"
&amp;INDIRECT("EZ"&amp;$R214&amp;""),""),""),"")</f>
        <v/>
      </c>
      <c r="W214" s="51" t="str">
        <f t="array" aca="1" ref="W214" ca="1">IF($R214&lt;&gt;"",
INDIRECT(""&amp;IF(COLUMN(H234)&lt;=26,CHAR(COLUMN(H234)+64),CHAR(INT((COLUMN(H234)-1)/26)+64)&amp;CHAR(MOD(COLUMN(H234)-1,26)+65))&amp;$R214&amp;""),"")</f>
        <v/>
      </c>
      <c r="X214" s="51" t="str">
        <f t="array" aca="1" ref="X214" ca="1">IF($R214&lt;&gt;"",
INDIRECT(""&amp;IF(COLUMN(I234)&lt;=26,CHAR(COLUMN(I234)+64),CHAR(INT((COLUMN(I234)-1)/26)+64)&amp;CHAR(MOD(COLUMN(I234)-1,26)+65))&amp;$R214&amp;""),"")</f>
        <v/>
      </c>
      <c r="Y214" s="51" t="str">
        <f t="array" aca="1" ref="Y214" ca="1">IF($R214&lt;&gt;"",
INDIRECT(""&amp;IF(COLUMN(J234)&lt;=26,CHAR(COLUMN(J234)+64),CHAR(INT((COLUMN(J234)-1)/26)+64)&amp;CHAR(MOD(COLUMN(J234)-1,26)+65))&amp;$R214&amp;""),"")</f>
        <v/>
      </c>
      <c r="Z214" s="51" t="str">
        <f t="array" aca="1" ref="Z214" ca="1">IF($R214&lt;&gt;"",
INDIRECT(""&amp;IF(COLUMN(K234)&lt;=26,CHAR(COLUMN(K234)+64),CHAR(INT((COLUMN(K234)-1)/26)+64)&amp;CHAR(MOD(COLUMN(K234)-1,26)+65))&amp;$R214&amp;""),"")</f>
        <v/>
      </c>
      <c r="AA214" s="51" t="str">
        <f t="array" aca="1" ref="AA214" ca="1">IF($R214&lt;&gt;"",
INDIRECT(""&amp;IF(COLUMN(L234)&lt;=26,CHAR(COLUMN(L234)+64),CHAR(INT((COLUMN(L234)-1)/26)+64)&amp;CHAR(MOD(COLUMN(L234)-1,26)+65))&amp;$R214&amp;""),"")</f>
        <v/>
      </c>
      <c r="AB214" s="51" t="str">
        <f t="array" aca="1" ref="AB214" ca="1">IF($R214&lt;&gt;"",
INDIRECT(""&amp;IF(COLUMN(O234)&lt;=26,CHAR(COLUMN(O234)+64),CHAR(INT((COLUMN(O234)-1)/26)+64)&amp;CHAR(MOD(COLUMN(O234)-1,26)+65))&amp;$R214&amp;""),"")</f>
        <v/>
      </c>
    </row>
    <row r="215" spans="1:28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60" t="e">
        <f ca="1">IF(C215&lt;&gt;"",
IF(IF(COUNTIF(C215,"*キャラ*"),
VLOOKUP("*キャラ*",#REF!,7,FALSE),
IF(COUNTIF(C215,"*赤*"),
VLOOKUP("*赤*",#REF!,7,FALSE),
VLOOKUP(C215,#REF!,7,FALSE)))=0,"",
IF(H215&lt;&gt;"",
IF(ROUND(
H215/IF(COUNTIF(C215,"*キャラ*"),
VLOOKUP("*キャラ*",#REF!,7,FALSE),
IF(COUNTIF(C215,"*赤*"),
VLOOKUP("*赤*",#REF!,7,FALSE),
VLOOKUP(C215,#REF!,7,FALSE))),0)&lt;=0,1,
ROUND(
H215/IF(COUNTIF(C215,"*キャラ*"),
VLOOKUP("*キャラ*",#REF!,7,FALSE),
IF(COUNTIF(C215,"*赤*"),
VLOOKUP("*赤*",#REF!,7,FALSE),
VLOOKUP(C215,#REF!,7,FALSE))),0)),"")),"")</f>
        <v>#REF!</v>
      </c>
      <c r="G215" s="61" t="e">
        <f ca="1">IF(F215&lt;&gt;"",IF(VALUE(H215)&gt;VALUE(IF(COUNTIF(C215,"*キャラ*"),
VLOOKUP("*キャラ*",#REF!,7,FALSE),
IF(COUNTIF(C215,"*赤*"),
VLOOKUP("*赤*",#REF!,7,FALSE),
VLOOKUP(C215,#REF!,7,FALSE)))*F215),
"+"&amp;H215-IF(COUNTIF(C215,"*キャラ*"),
VLOOKUP("*キャラ*",#REF!,7,FALSE),
IF(COUNTIF(C215,"*赤*"),
VLOOKUP("*赤*",#REF!,7,FALSE),
VLOOKUP(C215,#REF!,7,FALSE)))*F215,
H215-IF(COUNTIF(C215,"*キャラ*"),
VLOOKUP("*キャラ*",#REF!,7,FALSE),
IF(COUNTIF(C215,"*赤*"),
VLOOKUP("*赤*",#REF!,7,FALSE),
VLOOKUP(C215,#REF!,7,FALSE)))*F215),"")</f>
        <v>#REF!</v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K215" s="59" t="str">
        <f t="shared" ref="K215:K246" ca="1" si="60">IF(H215&lt;&gt;"",
IFERROR(INT(H215/J215),""),"")</f>
        <v/>
      </c>
      <c r="L215" s="59" t="str">
        <f t="shared" ref="L215:L246" ca="1" si="61">IFERROR(MOD(H215,K215),"")</f>
        <v/>
      </c>
      <c r="M215" s="59"/>
      <c r="N215" s="59"/>
      <c r="O215" s="59"/>
      <c r="P215" s="59" t="str">
        <f t="shared" ref="P215:P258" ca="1" si="62">IF(Q215&lt;&gt;"",ROW(),"")</f>
        <v/>
      </c>
      <c r="Q215" s="59" t="str">
        <f t="shared" ref="Q215:Q246" ca="1" si="63">IF(H215&lt;&gt;"","TRUE","")</f>
        <v/>
      </c>
      <c r="R215" s="51" t="str" cm="1">
        <f t="array" aca="1" ref="R215" ca="1">IFERROR(SMALL(IF(P$1:P$300&lt;&gt;0,P$1:P$300),ROW(A215)),"")</f>
        <v/>
      </c>
      <c r="S215" s="51" t="str">
        <f t="array" aca="1" ref="S215" ca="1">IF($R215&lt;&gt;"",
INDIRECT(""&amp;IF(COLUMN(C235)&lt;=26,CHAR(COLUMN(C235)+64),CHAR(INT((COLUMN(C235)-1)/26)+64)&amp;CHAR(MOD(COLUMN(C235)-1,26)+65))&amp;$R215&amp;""),"")</f>
        <v/>
      </c>
      <c r="T215" s="51" t="str">
        <f t="array" aca="1" ref="T215" ca="1">IF($R215&lt;&gt;"",
INDIRECT(""&amp;IF(COLUMN(D235)&lt;=26,CHAR(COLUMN(D235)+64),CHAR(INT((COLUMN(D235)-1)/26)+64)&amp;CHAR(MOD(COLUMN(D235)-1,26)+65))&amp;$R215&amp;""),"")</f>
        <v/>
      </c>
      <c r="U215" s="51"/>
      <c r="V215" s="51" t="str">
        <f t="array" aca="1" ref="V215" ca="1">IF($R215&lt;&gt;"",
IF(U215="",
IF(INDIRECT("EY"&amp;$R215&amp;"")&lt;&gt;"",
INDIRECT("EY"&amp;$R215&amp;"")&amp;"箱"
&amp;INDIRECT("EZ"&amp;$R215&amp;""),""),""),"")</f>
        <v/>
      </c>
      <c r="W215" s="51" t="str">
        <f t="array" aca="1" ref="W215" ca="1">IF($R215&lt;&gt;"",
INDIRECT(""&amp;IF(COLUMN(H235)&lt;=26,CHAR(COLUMN(H235)+64),CHAR(INT((COLUMN(H235)-1)/26)+64)&amp;CHAR(MOD(COLUMN(H235)-1,26)+65))&amp;$R215&amp;""),"")</f>
        <v/>
      </c>
      <c r="X215" s="51" t="str">
        <f t="array" aca="1" ref="X215" ca="1">IF($R215&lt;&gt;"",
INDIRECT(""&amp;IF(COLUMN(I235)&lt;=26,CHAR(COLUMN(I235)+64),CHAR(INT((COLUMN(I235)-1)/26)+64)&amp;CHAR(MOD(COLUMN(I235)-1,26)+65))&amp;$R215&amp;""),"")</f>
        <v/>
      </c>
      <c r="Y215" s="51" t="str">
        <f t="array" aca="1" ref="Y215" ca="1">IF($R215&lt;&gt;"",
INDIRECT(""&amp;IF(COLUMN(J235)&lt;=26,CHAR(COLUMN(J235)+64),CHAR(INT((COLUMN(J235)-1)/26)+64)&amp;CHAR(MOD(COLUMN(J235)-1,26)+65))&amp;$R215&amp;""),"")</f>
        <v/>
      </c>
      <c r="Z215" s="51" t="str">
        <f t="array" aca="1" ref="Z215" ca="1">IF($R215&lt;&gt;"",
INDIRECT(""&amp;IF(COLUMN(K235)&lt;=26,CHAR(COLUMN(K235)+64),CHAR(INT((COLUMN(K235)-1)/26)+64)&amp;CHAR(MOD(COLUMN(K235)-1,26)+65))&amp;$R215&amp;""),"")</f>
        <v/>
      </c>
      <c r="AA215" s="51" t="str">
        <f t="array" aca="1" ref="AA215" ca="1">IF($R215&lt;&gt;"",
INDIRECT(""&amp;IF(COLUMN(L235)&lt;=26,CHAR(COLUMN(L235)+64),CHAR(INT((COLUMN(L235)-1)/26)+64)&amp;CHAR(MOD(COLUMN(L235)-1,26)+65))&amp;$R215&amp;""),"")</f>
        <v/>
      </c>
      <c r="AB215" s="51" t="str">
        <f t="array" aca="1" ref="AB215" ca="1">IF($R215&lt;&gt;"",
INDIRECT(""&amp;IF(COLUMN(O235)&lt;=26,CHAR(COLUMN(O235)+64),CHAR(INT((COLUMN(O235)-1)/26)+64)&amp;CHAR(MOD(COLUMN(O235)-1,26)+65))&amp;$R215&amp;""),"")</f>
        <v/>
      </c>
    </row>
    <row r="216" spans="1:28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60" t="str">
        <f ca="1">IF(C216&lt;&gt;"",
IF(IF(COUNTIF(C216,"*キャラ*"),
VLOOKUP("*キャラ*",#REF!,7,FALSE),
IF(COUNTIF(C216,"*赤*"),
VLOOKUP("*赤*",#REF!,7,FALSE),
VLOOKUP(C216,#REF!,7,FALSE)))=0,"",
IF(H216&lt;&gt;"",
IF(ROUND(
H216/IF(COUNTIF(C216,"*キャラ*"),
VLOOKUP("*キャラ*",#REF!,7,FALSE),
IF(COUNTIF(C216,"*赤*"),
VLOOKUP("*赤*",#REF!,7,FALSE),
VLOOKUP(C216,#REF!,7,FALSE))),0)&lt;=0,1,
ROUND(
H216/IF(COUNTIF(C216,"*キャラ*"),
VLOOKUP("*キャラ*",#REF!,7,FALSE),
IF(COUNTIF(C216,"*赤*"),
VLOOKUP("*赤*",#REF!,7,FALSE),
VLOOKUP(C216,#REF!,7,FALSE))),0)),"")),"")</f>
        <v/>
      </c>
      <c r="G216" s="61" t="str">
        <f ca="1">IF(F216&lt;&gt;"",IF(VALUE(H216)&gt;VALUE(IF(COUNTIF(C216,"*キャラ*"),
VLOOKUP("*キャラ*",#REF!,7,FALSE),
IF(COUNTIF(C216,"*赤*"),
VLOOKUP("*赤*",#REF!,7,FALSE),
VLOOKUP(C216,#REF!,7,FALSE)))*F216),
"+"&amp;H216-IF(COUNTIF(C216,"*キャラ*"),
VLOOKUP("*キャラ*",#REF!,7,FALSE),
IF(COUNTIF(C216,"*赤*"),
VLOOKUP("*赤*",#REF!,7,FALSE),
VLOOKUP(C216,#REF!,7,FALSE)))*F216,
H216-IF(COUNTIF(C216,"*キャラ*"),
VLOOKUP("*キャラ*",#REF!,7,FALSE),
IF(COUNTIF(C216,"*赤*"),
VLOOKUP("*赤*",#REF!,7,FALSE),
VLOOKUP(C216,#REF!,7,FALSE)))*F216),"")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K216" s="59" t="str">
        <f t="shared" ca="1" si="60"/>
        <v/>
      </c>
      <c r="L216" s="59" t="str">
        <f t="shared" ca="1" si="61"/>
        <v/>
      </c>
      <c r="M216" s="59"/>
      <c r="N216" s="59"/>
      <c r="O216" s="59"/>
      <c r="P216" s="59" t="str">
        <f t="shared" ca="1" si="62"/>
        <v/>
      </c>
      <c r="Q216" s="59" t="str">
        <f t="shared" ca="1" si="63"/>
        <v/>
      </c>
      <c r="R216" s="51" t="str" cm="1">
        <f t="array" aca="1" ref="R216" ca="1">IFERROR(SMALL(IF(P$1:P$300&lt;&gt;0,P$1:P$300),ROW(A216)),"")</f>
        <v/>
      </c>
      <c r="S216" s="51" t="str">
        <f t="array" aca="1" ref="S216" ca="1">IF($R216&lt;&gt;"",
INDIRECT(""&amp;IF(COLUMN(C236)&lt;=26,CHAR(COLUMN(C236)+64),CHAR(INT((COLUMN(C236)-1)/26)+64)&amp;CHAR(MOD(COLUMN(C236)-1,26)+65))&amp;$R216&amp;""),"")</f>
        <v/>
      </c>
      <c r="T216" s="51" t="str">
        <f t="array" aca="1" ref="T216" ca="1">IF($R216&lt;&gt;"",
INDIRECT(""&amp;IF(COLUMN(D236)&lt;=26,CHAR(COLUMN(D236)+64),CHAR(INT((COLUMN(D236)-1)/26)+64)&amp;CHAR(MOD(COLUMN(D236)-1,26)+65))&amp;$R216&amp;""),"")</f>
        <v/>
      </c>
      <c r="U216" s="51"/>
      <c r="V216" s="51" t="str">
        <f t="array" aca="1" ref="V216" ca="1">IF($R216&lt;&gt;"",
IF(U216="",
IF(INDIRECT("EY"&amp;$R216&amp;"")&lt;&gt;"",
INDIRECT("EY"&amp;$R216&amp;"")&amp;"箱"
&amp;INDIRECT("EZ"&amp;$R216&amp;""),""),""),"")</f>
        <v/>
      </c>
      <c r="W216" s="51" t="str">
        <f t="array" aca="1" ref="W216" ca="1">IF($R216&lt;&gt;"",
INDIRECT(""&amp;IF(COLUMN(H236)&lt;=26,CHAR(COLUMN(H236)+64),CHAR(INT((COLUMN(H236)-1)/26)+64)&amp;CHAR(MOD(COLUMN(H236)-1,26)+65))&amp;$R216&amp;""),"")</f>
        <v/>
      </c>
      <c r="X216" s="51" t="str">
        <f t="array" aca="1" ref="X216" ca="1">IF($R216&lt;&gt;"",
INDIRECT(""&amp;IF(COLUMN(I236)&lt;=26,CHAR(COLUMN(I236)+64),CHAR(INT((COLUMN(I236)-1)/26)+64)&amp;CHAR(MOD(COLUMN(I236)-1,26)+65))&amp;$R216&amp;""),"")</f>
        <v/>
      </c>
      <c r="Y216" s="51" t="str">
        <f t="array" aca="1" ref="Y216" ca="1">IF($R216&lt;&gt;"",
INDIRECT(""&amp;IF(COLUMN(J236)&lt;=26,CHAR(COLUMN(J236)+64),CHAR(INT((COLUMN(J236)-1)/26)+64)&amp;CHAR(MOD(COLUMN(J236)-1,26)+65))&amp;$R216&amp;""),"")</f>
        <v/>
      </c>
      <c r="Z216" s="51" t="str">
        <f t="array" aca="1" ref="Z216" ca="1">IF($R216&lt;&gt;"",
INDIRECT(""&amp;IF(COLUMN(K236)&lt;=26,CHAR(COLUMN(K236)+64),CHAR(INT((COLUMN(K236)-1)/26)+64)&amp;CHAR(MOD(COLUMN(K236)-1,26)+65))&amp;$R216&amp;""),"")</f>
        <v/>
      </c>
      <c r="AA216" s="51" t="str">
        <f t="array" aca="1" ref="AA216" ca="1">IF($R216&lt;&gt;"",
INDIRECT(""&amp;IF(COLUMN(L236)&lt;=26,CHAR(COLUMN(L236)+64),CHAR(INT((COLUMN(L236)-1)/26)+64)&amp;CHAR(MOD(COLUMN(L236)-1,26)+65))&amp;$R216&amp;""),"")</f>
        <v/>
      </c>
      <c r="AB216" s="51" t="str">
        <f t="array" aca="1" ref="AB216" ca="1">IF($R216&lt;&gt;"",
INDIRECT(""&amp;IF(COLUMN(O236)&lt;=26,CHAR(COLUMN(O236)+64),CHAR(INT((COLUMN(O236)-1)/26)+64)&amp;CHAR(MOD(COLUMN(O236)-1,26)+65))&amp;$R216&amp;""),"")</f>
        <v/>
      </c>
    </row>
    <row r="217" spans="1:28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60" t="str">
        <f ca="1">IF(C217&lt;&gt;"",
IF(IF(COUNTIF(C217,"*キャラ*"),
VLOOKUP("*キャラ*",#REF!,7,FALSE),
IF(COUNTIF(C217,"*赤*"),
VLOOKUP("*赤*",#REF!,7,FALSE),
VLOOKUP(C217,#REF!,7,FALSE)))=0,"",
IF(H217&lt;&gt;"",
IF(ROUND(
H217/IF(COUNTIF(C217,"*キャラ*"),
VLOOKUP("*キャラ*",#REF!,7,FALSE),
IF(COUNTIF(C217,"*赤*"),
VLOOKUP("*赤*",#REF!,7,FALSE),
VLOOKUP(C217,#REF!,7,FALSE))),0)&lt;=0,1,
ROUND(
H217/IF(COUNTIF(C217,"*キャラ*"),
VLOOKUP("*キャラ*",#REF!,7,FALSE),
IF(COUNTIF(C217,"*赤*"),
VLOOKUP("*赤*",#REF!,7,FALSE),
VLOOKUP(C217,#REF!,7,FALSE))),0)),"")),"")</f>
        <v/>
      </c>
      <c r="G217" s="61" t="str">
        <f ca="1">IF(F217&lt;&gt;"",IF(VALUE(H217)&gt;VALUE(IF(COUNTIF(C217,"*キャラ*"),
VLOOKUP("*キャラ*",#REF!,7,FALSE),
IF(COUNTIF(C217,"*赤*"),
VLOOKUP("*赤*",#REF!,7,FALSE),
VLOOKUP(C217,#REF!,7,FALSE)))*F217),
"+"&amp;H217-IF(COUNTIF(C217,"*キャラ*"),
VLOOKUP("*キャラ*",#REF!,7,FALSE),
IF(COUNTIF(C217,"*赤*"),
VLOOKUP("*赤*",#REF!,7,FALSE),
VLOOKUP(C217,#REF!,7,FALSE)))*F217,
H217-IF(COUNTIF(C217,"*キャラ*"),
VLOOKUP("*キャラ*",#REF!,7,FALSE),
IF(COUNTIF(C217,"*赤*"),
VLOOKUP("*赤*",#REF!,7,FALSE),
VLOOKUP(C217,#REF!,7,FALSE)))*F217),"")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K217" s="59" t="str">
        <f t="shared" ca="1" si="60"/>
        <v/>
      </c>
      <c r="L217" s="59" t="str">
        <f t="shared" ca="1" si="61"/>
        <v/>
      </c>
      <c r="M217" s="59"/>
      <c r="N217" s="59"/>
      <c r="O217" s="59"/>
      <c r="P217" s="59" t="str">
        <f t="shared" ca="1" si="62"/>
        <v/>
      </c>
      <c r="Q217" s="59" t="str">
        <f t="shared" ca="1" si="63"/>
        <v/>
      </c>
      <c r="R217" s="51" t="str" cm="1">
        <f t="array" aca="1" ref="R217" ca="1">IFERROR(SMALL(IF(P$1:P$300&lt;&gt;0,P$1:P$300),ROW(A217)),"")</f>
        <v/>
      </c>
      <c r="S217" s="51" t="str">
        <f t="array" aca="1" ref="S217" ca="1">IF($R217&lt;&gt;"",
INDIRECT(""&amp;IF(COLUMN(C237)&lt;=26,CHAR(COLUMN(C237)+64),CHAR(INT((COLUMN(C237)-1)/26)+64)&amp;CHAR(MOD(COLUMN(C237)-1,26)+65))&amp;$R217&amp;""),"")</f>
        <v/>
      </c>
      <c r="T217" s="51" t="str">
        <f t="array" aca="1" ref="T217" ca="1">IF($R217&lt;&gt;"",
INDIRECT(""&amp;IF(COLUMN(D237)&lt;=26,CHAR(COLUMN(D237)+64),CHAR(INT((COLUMN(D237)-1)/26)+64)&amp;CHAR(MOD(COLUMN(D237)-1,26)+65))&amp;$R217&amp;""),"")</f>
        <v/>
      </c>
      <c r="U217" s="51"/>
      <c r="V217" s="51" t="str">
        <f t="array" aca="1" ref="V217" ca="1">IF($R217&lt;&gt;"",
IF(U217="",
IF(INDIRECT("EY"&amp;$R217&amp;"")&lt;&gt;"",
INDIRECT("EY"&amp;$R217&amp;"")&amp;"箱"
&amp;INDIRECT("EZ"&amp;$R217&amp;""),""),""),"")</f>
        <v/>
      </c>
      <c r="W217" s="51" t="str">
        <f t="array" aca="1" ref="W217" ca="1">IF($R217&lt;&gt;"",
INDIRECT(""&amp;IF(COLUMN(H237)&lt;=26,CHAR(COLUMN(H237)+64),CHAR(INT((COLUMN(H237)-1)/26)+64)&amp;CHAR(MOD(COLUMN(H237)-1,26)+65))&amp;$R217&amp;""),"")</f>
        <v/>
      </c>
      <c r="X217" s="51" t="str">
        <f t="array" aca="1" ref="X217" ca="1">IF($R217&lt;&gt;"",
INDIRECT(""&amp;IF(COLUMN(I237)&lt;=26,CHAR(COLUMN(I237)+64),CHAR(INT((COLUMN(I237)-1)/26)+64)&amp;CHAR(MOD(COLUMN(I237)-1,26)+65))&amp;$R217&amp;""),"")</f>
        <v/>
      </c>
      <c r="Y217" s="51" t="str">
        <f t="array" aca="1" ref="Y217" ca="1">IF($R217&lt;&gt;"",
INDIRECT(""&amp;IF(COLUMN(J237)&lt;=26,CHAR(COLUMN(J237)+64),CHAR(INT((COLUMN(J237)-1)/26)+64)&amp;CHAR(MOD(COLUMN(J237)-1,26)+65))&amp;$R217&amp;""),"")</f>
        <v/>
      </c>
      <c r="Z217" s="51" t="str">
        <f t="array" aca="1" ref="Z217" ca="1">IF($R217&lt;&gt;"",
INDIRECT(""&amp;IF(COLUMN(K237)&lt;=26,CHAR(COLUMN(K237)+64),CHAR(INT((COLUMN(K237)-1)/26)+64)&amp;CHAR(MOD(COLUMN(K237)-1,26)+65))&amp;$R217&amp;""),"")</f>
        <v/>
      </c>
      <c r="AA217" s="51" t="str">
        <f t="array" aca="1" ref="AA217" ca="1">IF($R217&lt;&gt;"",
INDIRECT(""&amp;IF(COLUMN(L237)&lt;=26,CHAR(COLUMN(L237)+64),CHAR(INT((COLUMN(L237)-1)/26)+64)&amp;CHAR(MOD(COLUMN(L237)-1,26)+65))&amp;$R217&amp;""),"")</f>
        <v/>
      </c>
      <c r="AB217" s="51" t="str">
        <f t="array" aca="1" ref="AB217" ca="1">IF($R217&lt;&gt;"",
INDIRECT(""&amp;IF(COLUMN(O237)&lt;=26,CHAR(COLUMN(O237)+64),CHAR(INT((COLUMN(O237)-1)/26)+64)&amp;CHAR(MOD(COLUMN(O237)-1,26)+65))&amp;$R217&amp;""),"")</f>
        <v/>
      </c>
    </row>
    <row r="218" spans="1:28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60" t="str">
        <f ca="1">IF(C218&lt;&gt;"",
IF(IF(COUNTIF(C218,"*キャラ*"),
VLOOKUP("*キャラ*",#REF!,7,FALSE),
IF(COUNTIF(C218,"*赤*"),
VLOOKUP("*赤*",#REF!,7,FALSE),
VLOOKUP(C218,#REF!,7,FALSE)))=0,"",
IF(H218&lt;&gt;"",
IF(ROUND(
H218/IF(COUNTIF(C218,"*キャラ*"),
VLOOKUP("*キャラ*",#REF!,7,FALSE),
IF(COUNTIF(C218,"*赤*"),
VLOOKUP("*赤*",#REF!,7,FALSE),
VLOOKUP(C218,#REF!,7,FALSE))),0)&lt;=0,1,
ROUND(
H218/IF(COUNTIF(C218,"*キャラ*"),
VLOOKUP("*キャラ*",#REF!,7,FALSE),
IF(COUNTIF(C218,"*赤*"),
VLOOKUP("*赤*",#REF!,7,FALSE),
VLOOKUP(C218,#REF!,7,FALSE))),0)),"")),"")</f>
        <v/>
      </c>
      <c r="G218" s="61" t="str">
        <f ca="1">IF(F218&lt;&gt;"",IF(VALUE(H218)&gt;VALUE(IF(COUNTIF(C218,"*キャラ*"),
VLOOKUP("*キャラ*",#REF!,7,FALSE),
IF(COUNTIF(C218,"*赤*"),
VLOOKUP("*赤*",#REF!,7,FALSE),
VLOOKUP(C218,#REF!,7,FALSE)))*F218),
"+"&amp;H218-IF(COUNTIF(C218,"*キャラ*"),
VLOOKUP("*キャラ*",#REF!,7,FALSE),
IF(COUNTIF(C218,"*赤*"),
VLOOKUP("*赤*",#REF!,7,FALSE),
VLOOKUP(C218,#REF!,7,FALSE)))*F218,
H218-IF(COUNTIF(C218,"*キャラ*"),
VLOOKUP("*キャラ*",#REF!,7,FALSE),
IF(COUNTIF(C218,"*赤*"),
VLOOKUP("*赤*",#REF!,7,FALSE),
VLOOKUP(C218,#REF!,7,FALSE)))*F218),"")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K218" s="59" t="str">
        <f t="shared" ca="1" si="60"/>
        <v/>
      </c>
      <c r="L218" s="59" t="str">
        <f t="shared" ca="1" si="61"/>
        <v/>
      </c>
      <c r="M218" s="59"/>
      <c r="N218" s="59"/>
      <c r="O218" s="59"/>
      <c r="P218" s="59" t="str">
        <f t="shared" ca="1" si="62"/>
        <v/>
      </c>
      <c r="Q218" s="59" t="str">
        <f t="shared" ca="1" si="63"/>
        <v/>
      </c>
      <c r="R218" s="51" t="str" cm="1">
        <f t="array" aca="1" ref="R218" ca="1">IFERROR(SMALL(IF(P$1:P$300&lt;&gt;0,P$1:P$300),ROW(A218)),"")</f>
        <v/>
      </c>
      <c r="S218" s="51" t="str">
        <f t="array" aca="1" ref="S218" ca="1">IF($R218&lt;&gt;"",
INDIRECT(""&amp;IF(COLUMN(C238)&lt;=26,CHAR(COLUMN(C238)+64),CHAR(INT((COLUMN(C238)-1)/26)+64)&amp;CHAR(MOD(COLUMN(C238)-1,26)+65))&amp;$R218&amp;""),"")</f>
        <v/>
      </c>
      <c r="T218" s="51" t="str">
        <f t="array" aca="1" ref="T218" ca="1">IF($R218&lt;&gt;"",
INDIRECT(""&amp;IF(COLUMN(D238)&lt;=26,CHAR(COLUMN(D238)+64),CHAR(INT((COLUMN(D238)-1)/26)+64)&amp;CHAR(MOD(COLUMN(D238)-1,26)+65))&amp;$R218&amp;""),"")</f>
        <v/>
      </c>
      <c r="U218" s="51"/>
      <c r="V218" s="51" t="str">
        <f t="array" aca="1" ref="V218" ca="1">IF($R218&lt;&gt;"",
IF(U218="",
IF(INDIRECT("EY"&amp;$R218&amp;"")&lt;&gt;"",
INDIRECT("EY"&amp;$R218&amp;"")&amp;"箱"
&amp;INDIRECT("EZ"&amp;$R218&amp;""),""),""),"")</f>
        <v/>
      </c>
      <c r="W218" s="51" t="str">
        <f t="array" aca="1" ref="W218" ca="1">IF($R218&lt;&gt;"",
INDIRECT(""&amp;IF(COLUMN(H238)&lt;=26,CHAR(COLUMN(H238)+64),CHAR(INT((COLUMN(H238)-1)/26)+64)&amp;CHAR(MOD(COLUMN(H238)-1,26)+65))&amp;$R218&amp;""),"")</f>
        <v/>
      </c>
      <c r="X218" s="51" t="str">
        <f t="array" aca="1" ref="X218" ca="1">IF($R218&lt;&gt;"",
INDIRECT(""&amp;IF(COLUMN(I238)&lt;=26,CHAR(COLUMN(I238)+64),CHAR(INT((COLUMN(I238)-1)/26)+64)&amp;CHAR(MOD(COLUMN(I238)-1,26)+65))&amp;$R218&amp;""),"")</f>
        <v/>
      </c>
      <c r="Y218" s="51" t="str">
        <f t="array" aca="1" ref="Y218" ca="1">IF($R218&lt;&gt;"",
INDIRECT(""&amp;IF(COLUMN(J238)&lt;=26,CHAR(COLUMN(J238)+64),CHAR(INT((COLUMN(J238)-1)/26)+64)&amp;CHAR(MOD(COLUMN(J238)-1,26)+65))&amp;$R218&amp;""),"")</f>
        <v/>
      </c>
      <c r="Z218" s="51" t="str">
        <f t="array" aca="1" ref="Z218" ca="1">IF($R218&lt;&gt;"",
INDIRECT(""&amp;IF(COLUMN(K238)&lt;=26,CHAR(COLUMN(K238)+64),CHAR(INT((COLUMN(K238)-1)/26)+64)&amp;CHAR(MOD(COLUMN(K238)-1,26)+65))&amp;$R218&amp;""),"")</f>
        <v/>
      </c>
      <c r="AA218" s="51" t="str">
        <f t="array" aca="1" ref="AA218" ca="1">IF($R218&lt;&gt;"",
INDIRECT(""&amp;IF(COLUMN(L238)&lt;=26,CHAR(COLUMN(L238)+64),CHAR(INT((COLUMN(L238)-1)/26)+64)&amp;CHAR(MOD(COLUMN(L238)-1,26)+65))&amp;$R218&amp;""),"")</f>
        <v/>
      </c>
      <c r="AB218" s="51" t="str">
        <f t="array" aca="1" ref="AB218" ca="1">IF($R218&lt;&gt;"",
INDIRECT(""&amp;IF(COLUMN(O238)&lt;=26,CHAR(COLUMN(O238)+64),CHAR(INT((COLUMN(O238)-1)/26)+64)&amp;CHAR(MOD(COLUMN(O238)-1,26)+65))&amp;$R218&amp;""),"")</f>
        <v/>
      </c>
    </row>
    <row r="219" spans="1:28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60" t="e">
        <f ca="1">IF(C219&lt;&gt;"",
IF(IF(COUNTIF(C219,"*キャラ*"),
VLOOKUP("*キャラ*",#REF!,7,FALSE),
IF(COUNTIF(C219,"*赤*"),
VLOOKUP("*赤*",#REF!,7,FALSE),
VLOOKUP(C219,#REF!,7,FALSE)))=0,"",
IF(H219&lt;&gt;"",
IF(ROUND(
H219/IF(COUNTIF(C219,"*キャラ*"),
VLOOKUP("*キャラ*",#REF!,7,FALSE),
IF(COUNTIF(C219,"*赤*"),
VLOOKUP("*赤*",#REF!,7,FALSE),
VLOOKUP(C219,#REF!,7,FALSE))),0)&lt;=0,1,
ROUND(
H219/IF(COUNTIF(C219,"*キャラ*"),
VLOOKUP("*キャラ*",#REF!,7,FALSE),
IF(COUNTIF(C219,"*赤*"),
VLOOKUP("*赤*",#REF!,7,FALSE),
VLOOKUP(C219,#REF!,7,FALSE))),0)),"")),"")</f>
        <v>#REF!</v>
      </c>
      <c r="G219" s="61" t="e">
        <f ca="1">IF(F219&lt;&gt;"",IF(VALUE(H219)&gt;VALUE(IF(COUNTIF(C219,"*キャラ*"),
VLOOKUP("*キャラ*",#REF!,7,FALSE),
IF(COUNTIF(C219,"*赤*"),
VLOOKUP("*赤*",#REF!,7,FALSE),
VLOOKUP(C219,#REF!,7,FALSE)))*F219),
"+"&amp;H219-IF(COUNTIF(C219,"*キャラ*"),
VLOOKUP("*キャラ*",#REF!,7,FALSE),
IF(COUNTIF(C219,"*赤*"),
VLOOKUP("*赤*",#REF!,7,FALSE),
VLOOKUP(C219,#REF!,7,FALSE)))*F219,
H219-IF(COUNTIF(C219,"*キャラ*"),
VLOOKUP("*キャラ*",#REF!,7,FALSE),
IF(COUNTIF(C219,"*赤*"),
VLOOKUP("*赤*",#REF!,7,FALSE),
VLOOKUP(C219,#REF!,7,FALSE)))*F219),"")</f>
        <v>#REF!</v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K219" s="59" t="str">
        <f t="shared" ca="1" si="60"/>
        <v/>
      </c>
      <c r="L219" s="59" t="str">
        <f t="shared" ca="1" si="61"/>
        <v/>
      </c>
      <c r="M219" s="59"/>
      <c r="N219" s="59"/>
      <c r="O219" s="59"/>
      <c r="P219" s="59" t="str">
        <f t="shared" ca="1" si="62"/>
        <v/>
      </c>
      <c r="Q219" s="59" t="str">
        <f t="shared" ca="1" si="63"/>
        <v/>
      </c>
      <c r="R219" s="51" t="str" cm="1">
        <f t="array" aca="1" ref="R219" ca="1">IFERROR(SMALL(IF(P$1:P$300&lt;&gt;0,P$1:P$300),ROW(A219)),"")</f>
        <v/>
      </c>
      <c r="S219" s="51" t="str">
        <f t="array" aca="1" ref="S219" ca="1">IF($R219&lt;&gt;"",
INDIRECT(""&amp;IF(COLUMN(C239)&lt;=26,CHAR(COLUMN(C239)+64),CHAR(INT((COLUMN(C239)-1)/26)+64)&amp;CHAR(MOD(COLUMN(C239)-1,26)+65))&amp;$R219&amp;""),"")</f>
        <v/>
      </c>
      <c r="T219" s="51" t="str">
        <f t="array" aca="1" ref="T219" ca="1">IF($R219&lt;&gt;"",
INDIRECT(""&amp;IF(COLUMN(D239)&lt;=26,CHAR(COLUMN(D239)+64),CHAR(INT((COLUMN(D239)-1)/26)+64)&amp;CHAR(MOD(COLUMN(D239)-1,26)+65))&amp;$R219&amp;""),"")</f>
        <v/>
      </c>
      <c r="U219" s="51"/>
      <c r="V219" s="51" t="str">
        <f t="array" aca="1" ref="V219" ca="1">IF($R219&lt;&gt;"",
IF(U219="",
IF(INDIRECT("EY"&amp;$R219&amp;"")&lt;&gt;"",
INDIRECT("EY"&amp;$R219&amp;"")&amp;"箱"
&amp;INDIRECT("EZ"&amp;$R219&amp;""),""),""),"")</f>
        <v/>
      </c>
      <c r="W219" s="51" t="str">
        <f t="array" aca="1" ref="W219" ca="1">IF($R219&lt;&gt;"",
INDIRECT(""&amp;IF(COLUMN(H239)&lt;=26,CHAR(COLUMN(H239)+64),CHAR(INT((COLUMN(H239)-1)/26)+64)&amp;CHAR(MOD(COLUMN(H239)-1,26)+65))&amp;$R219&amp;""),"")</f>
        <v/>
      </c>
      <c r="X219" s="51" t="str">
        <f t="array" aca="1" ref="X219" ca="1">IF($R219&lt;&gt;"",
INDIRECT(""&amp;IF(COLUMN(I239)&lt;=26,CHAR(COLUMN(I239)+64),CHAR(INT((COLUMN(I239)-1)/26)+64)&amp;CHAR(MOD(COLUMN(I239)-1,26)+65))&amp;$R219&amp;""),"")</f>
        <v/>
      </c>
      <c r="Y219" s="51" t="str">
        <f t="array" aca="1" ref="Y219" ca="1">IF($R219&lt;&gt;"",
INDIRECT(""&amp;IF(COLUMN(J239)&lt;=26,CHAR(COLUMN(J239)+64),CHAR(INT((COLUMN(J239)-1)/26)+64)&amp;CHAR(MOD(COLUMN(J239)-1,26)+65))&amp;$R219&amp;""),"")</f>
        <v/>
      </c>
      <c r="Z219" s="51" t="str">
        <f t="array" aca="1" ref="Z219" ca="1">IF($R219&lt;&gt;"",
INDIRECT(""&amp;IF(COLUMN(K239)&lt;=26,CHAR(COLUMN(K239)+64),CHAR(INT((COLUMN(K239)-1)/26)+64)&amp;CHAR(MOD(COLUMN(K239)-1,26)+65))&amp;$R219&amp;""),"")</f>
        <v/>
      </c>
      <c r="AA219" s="51" t="str">
        <f t="array" aca="1" ref="AA219" ca="1">IF($R219&lt;&gt;"",
INDIRECT(""&amp;IF(COLUMN(L239)&lt;=26,CHAR(COLUMN(L239)+64),CHAR(INT((COLUMN(L239)-1)/26)+64)&amp;CHAR(MOD(COLUMN(L239)-1,26)+65))&amp;$R219&amp;""),"")</f>
        <v/>
      </c>
      <c r="AB219" s="51" t="str">
        <f t="array" aca="1" ref="AB219" ca="1">IF($R219&lt;&gt;"",
INDIRECT(""&amp;IF(COLUMN(O239)&lt;=26,CHAR(COLUMN(O239)+64),CHAR(INT((COLUMN(O239)-1)/26)+64)&amp;CHAR(MOD(COLUMN(O239)-1,26)+65))&amp;$R219&amp;""),"")</f>
        <v/>
      </c>
    </row>
    <row r="220" spans="1:28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60" t="str">
        <f ca="1">IF(C220&lt;&gt;"",
IF(IF(COUNTIF(C220,"*キャラ*"),
VLOOKUP("*キャラ*",#REF!,7,FALSE),
IF(COUNTIF(C220,"*赤*"),
VLOOKUP("*赤*",#REF!,7,FALSE),
VLOOKUP(C220,#REF!,7,FALSE)))=0,"",
IF(H220&lt;&gt;"",
IF(ROUND(
H220/IF(COUNTIF(C220,"*キャラ*"),
VLOOKUP("*キャラ*",#REF!,7,FALSE),
IF(COUNTIF(C220,"*赤*"),
VLOOKUP("*赤*",#REF!,7,FALSE),
VLOOKUP(C220,#REF!,7,FALSE))),0)&lt;=0,1,
ROUND(
H220/IF(COUNTIF(C220,"*キャラ*"),
VLOOKUP("*キャラ*",#REF!,7,FALSE),
IF(COUNTIF(C220,"*赤*"),
VLOOKUP("*赤*",#REF!,7,FALSE),
VLOOKUP(C220,#REF!,7,FALSE))),0)),"")),"")</f>
        <v/>
      </c>
      <c r="G220" s="61" t="str">
        <f ca="1">IF(F220&lt;&gt;"",IF(VALUE(H220)&gt;VALUE(IF(COUNTIF(C220,"*キャラ*"),
VLOOKUP("*キャラ*",#REF!,7,FALSE),
IF(COUNTIF(C220,"*赤*"),
VLOOKUP("*赤*",#REF!,7,FALSE),
VLOOKUP(C220,#REF!,7,FALSE)))*F220),
"+"&amp;H220-IF(COUNTIF(C220,"*キャラ*"),
VLOOKUP("*キャラ*",#REF!,7,FALSE),
IF(COUNTIF(C220,"*赤*"),
VLOOKUP("*赤*",#REF!,7,FALSE),
VLOOKUP(C220,#REF!,7,FALSE)))*F220,
H220-IF(COUNTIF(C220,"*キャラ*"),
VLOOKUP("*キャラ*",#REF!,7,FALSE),
IF(COUNTIF(C220,"*赤*"),
VLOOKUP("*赤*",#REF!,7,FALSE),
VLOOKUP(C220,#REF!,7,FALSE)))*F220),"")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K220" s="59" t="str">
        <f t="shared" ca="1" si="60"/>
        <v/>
      </c>
      <c r="L220" s="59" t="str">
        <f t="shared" ca="1" si="61"/>
        <v/>
      </c>
      <c r="M220" s="59"/>
      <c r="N220" s="59"/>
      <c r="O220" s="59"/>
      <c r="P220" s="59" t="str">
        <f t="shared" ca="1" si="62"/>
        <v/>
      </c>
      <c r="Q220" s="59" t="str">
        <f t="shared" ca="1" si="63"/>
        <v/>
      </c>
      <c r="R220" s="51" t="str" cm="1">
        <f t="array" aca="1" ref="R220" ca="1">IFERROR(SMALL(IF(P$1:P$300&lt;&gt;0,P$1:P$300),ROW(A220)),"")</f>
        <v/>
      </c>
      <c r="S220" s="51" t="str">
        <f t="array" aca="1" ref="S220" ca="1">IF($R220&lt;&gt;"",
INDIRECT(""&amp;IF(COLUMN(C240)&lt;=26,CHAR(COLUMN(C240)+64),CHAR(INT((COLUMN(C240)-1)/26)+64)&amp;CHAR(MOD(COLUMN(C240)-1,26)+65))&amp;$R220&amp;""),"")</f>
        <v/>
      </c>
      <c r="T220" s="51" t="str">
        <f t="array" aca="1" ref="T220" ca="1">IF($R220&lt;&gt;"",
INDIRECT(""&amp;IF(COLUMN(D240)&lt;=26,CHAR(COLUMN(D240)+64),CHAR(INT((COLUMN(D240)-1)/26)+64)&amp;CHAR(MOD(COLUMN(D240)-1,26)+65))&amp;$R220&amp;""),"")</f>
        <v/>
      </c>
      <c r="U220" s="51"/>
      <c r="V220" s="51" t="str">
        <f t="array" aca="1" ref="V220" ca="1">IF($R220&lt;&gt;"",
IF(U220="",
IF(INDIRECT("EY"&amp;$R220&amp;"")&lt;&gt;"",
INDIRECT("EY"&amp;$R220&amp;"")&amp;"箱"
&amp;INDIRECT("EZ"&amp;$R220&amp;""),""),""),"")</f>
        <v/>
      </c>
      <c r="W220" s="51" t="str">
        <f t="array" aca="1" ref="W220" ca="1">IF($R220&lt;&gt;"",
INDIRECT(""&amp;IF(COLUMN(H240)&lt;=26,CHAR(COLUMN(H240)+64),CHAR(INT((COLUMN(H240)-1)/26)+64)&amp;CHAR(MOD(COLUMN(H240)-1,26)+65))&amp;$R220&amp;""),"")</f>
        <v/>
      </c>
      <c r="X220" s="51" t="str">
        <f t="array" aca="1" ref="X220" ca="1">IF($R220&lt;&gt;"",
INDIRECT(""&amp;IF(COLUMN(I240)&lt;=26,CHAR(COLUMN(I240)+64),CHAR(INT((COLUMN(I240)-1)/26)+64)&amp;CHAR(MOD(COLUMN(I240)-1,26)+65))&amp;$R220&amp;""),"")</f>
        <v/>
      </c>
      <c r="Y220" s="51" t="str">
        <f t="array" aca="1" ref="Y220" ca="1">IF($R220&lt;&gt;"",
INDIRECT(""&amp;IF(COLUMN(J240)&lt;=26,CHAR(COLUMN(J240)+64),CHAR(INT((COLUMN(J240)-1)/26)+64)&amp;CHAR(MOD(COLUMN(J240)-1,26)+65))&amp;$R220&amp;""),"")</f>
        <v/>
      </c>
      <c r="Z220" s="51" t="str">
        <f t="array" aca="1" ref="Z220" ca="1">IF($R220&lt;&gt;"",
INDIRECT(""&amp;IF(COLUMN(K240)&lt;=26,CHAR(COLUMN(K240)+64),CHAR(INT((COLUMN(K240)-1)/26)+64)&amp;CHAR(MOD(COLUMN(K240)-1,26)+65))&amp;$R220&amp;""),"")</f>
        <v/>
      </c>
      <c r="AA220" s="51" t="str">
        <f t="array" aca="1" ref="AA220" ca="1">IF($R220&lt;&gt;"",
INDIRECT(""&amp;IF(COLUMN(L240)&lt;=26,CHAR(COLUMN(L240)+64),CHAR(INT((COLUMN(L240)-1)/26)+64)&amp;CHAR(MOD(COLUMN(L240)-1,26)+65))&amp;$R220&amp;""),"")</f>
        <v/>
      </c>
      <c r="AB220" s="51" t="str">
        <f t="array" aca="1" ref="AB220" ca="1">IF($R220&lt;&gt;"",
INDIRECT(""&amp;IF(COLUMN(O240)&lt;=26,CHAR(COLUMN(O240)+64),CHAR(INT((COLUMN(O240)-1)/26)+64)&amp;CHAR(MOD(COLUMN(O240)-1,26)+65))&amp;$R220&amp;""),"")</f>
        <v/>
      </c>
    </row>
    <row r="221" spans="1:28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60" t="str">
        <f ca="1">IF(C221&lt;&gt;"",
IF(IF(COUNTIF(C221,"*キャラ*"),
VLOOKUP("*キャラ*",#REF!,7,FALSE),
IF(COUNTIF(C221,"*赤*"),
VLOOKUP("*赤*",#REF!,7,FALSE),
VLOOKUP(C221,#REF!,7,FALSE)))=0,"",
IF(H221&lt;&gt;"",
IF(ROUND(
H221/IF(COUNTIF(C221,"*キャラ*"),
VLOOKUP("*キャラ*",#REF!,7,FALSE),
IF(COUNTIF(C221,"*赤*"),
VLOOKUP("*赤*",#REF!,7,FALSE),
VLOOKUP(C221,#REF!,7,FALSE))),0)&lt;=0,1,
ROUND(
H221/IF(COUNTIF(C221,"*キャラ*"),
VLOOKUP("*キャラ*",#REF!,7,FALSE),
IF(COUNTIF(C221,"*赤*"),
VLOOKUP("*赤*",#REF!,7,FALSE),
VLOOKUP(C221,#REF!,7,FALSE))),0)),"")),"")</f>
        <v/>
      </c>
      <c r="G221" s="61" t="str">
        <f ca="1">IF(F221&lt;&gt;"",IF(VALUE(H221)&gt;VALUE(IF(COUNTIF(C221,"*キャラ*"),
VLOOKUP("*キャラ*",#REF!,7,FALSE),
IF(COUNTIF(C221,"*赤*"),
VLOOKUP("*赤*",#REF!,7,FALSE),
VLOOKUP(C221,#REF!,7,FALSE)))*F221),
"+"&amp;H221-IF(COUNTIF(C221,"*キャラ*"),
VLOOKUP("*キャラ*",#REF!,7,FALSE),
IF(COUNTIF(C221,"*赤*"),
VLOOKUP("*赤*",#REF!,7,FALSE),
VLOOKUP(C221,#REF!,7,FALSE)))*F221,
H221-IF(COUNTIF(C221,"*キャラ*"),
VLOOKUP("*キャラ*",#REF!,7,FALSE),
IF(COUNTIF(C221,"*赤*"),
VLOOKUP("*赤*",#REF!,7,FALSE),
VLOOKUP(C221,#REF!,7,FALSE)))*F221),"")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K221" s="59" t="str">
        <f t="shared" ca="1" si="60"/>
        <v/>
      </c>
      <c r="L221" s="59" t="str">
        <f t="shared" ca="1" si="61"/>
        <v/>
      </c>
      <c r="M221" s="59"/>
      <c r="N221" s="59"/>
      <c r="O221" s="59"/>
      <c r="P221" s="59" t="str">
        <f t="shared" ca="1" si="62"/>
        <v/>
      </c>
      <c r="Q221" s="59" t="str">
        <f t="shared" ca="1" si="63"/>
        <v/>
      </c>
      <c r="R221" s="51" t="str" cm="1">
        <f t="array" aca="1" ref="R221" ca="1">IFERROR(SMALL(IF(P$1:P$300&lt;&gt;0,P$1:P$300),ROW(A221)),"")</f>
        <v/>
      </c>
      <c r="S221" s="51" t="str">
        <f t="array" aca="1" ref="S221" ca="1">IF($R221&lt;&gt;"",
INDIRECT(""&amp;IF(COLUMN(C241)&lt;=26,CHAR(COLUMN(C241)+64),CHAR(INT((COLUMN(C241)-1)/26)+64)&amp;CHAR(MOD(COLUMN(C241)-1,26)+65))&amp;$R221&amp;""),"")</f>
        <v/>
      </c>
      <c r="T221" s="51" t="str">
        <f t="array" aca="1" ref="T221" ca="1">IF($R221&lt;&gt;"",
INDIRECT(""&amp;IF(COLUMN(D241)&lt;=26,CHAR(COLUMN(D241)+64),CHAR(INT((COLUMN(D241)-1)/26)+64)&amp;CHAR(MOD(COLUMN(D241)-1,26)+65))&amp;$R221&amp;""),"")</f>
        <v/>
      </c>
      <c r="U221" s="51"/>
      <c r="V221" s="51" t="str">
        <f t="array" aca="1" ref="V221" ca="1">IF($R221&lt;&gt;"",
IF(U221="",
IF(INDIRECT("EY"&amp;$R221&amp;"")&lt;&gt;"",
INDIRECT("EY"&amp;$R221&amp;"")&amp;"箱"
&amp;INDIRECT("EZ"&amp;$R221&amp;""),""),""),"")</f>
        <v/>
      </c>
      <c r="W221" s="51" t="str">
        <f t="array" aca="1" ref="W221" ca="1">IF($R221&lt;&gt;"",
INDIRECT(""&amp;IF(COLUMN(H241)&lt;=26,CHAR(COLUMN(H241)+64),CHAR(INT((COLUMN(H241)-1)/26)+64)&amp;CHAR(MOD(COLUMN(H241)-1,26)+65))&amp;$R221&amp;""),"")</f>
        <v/>
      </c>
      <c r="X221" s="51" t="str">
        <f t="array" aca="1" ref="X221" ca="1">IF($R221&lt;&gt;"",
INDIRECT(""&amp;IF(COLUMN(I241)&lt;=26,CHAR(COLUMN(I241)+64),CHAR(INT((COLUMN(I241)-1)/26)+64)&amp;CHAR(MOD(COLUMN(I241)-1,26)+65))&amp;$R221&amp;""),"")</f>
        <v/>
      </c>
      <c r="Y221" s="51" t="str">
        <f t="array" aca="1" ref="Y221" ca="1">IF($R221&lt;&gt;"",
INDIRECT(""&amp;IF(COLUMN(J241)&lt;=26,CHAR(COLUMN(J241)+64),CHAR(INT((COLUMN(J241)-1)/26)+64)&amp;CHAR(MOD(COLUMN(J241)-1,26)+65))&amp;$R221&amp;""),"")</f>
        <v/>
      </c>
      <c r="Z221" s="51" t="str">
        <f t="array" aca="1" ref="Z221" ca="1">IF($R221&lt;&gt;"",
INDIRECT(""&amp;IF(COLUMN(K241)&lt;=26,CHAR(COLUMN(K241)+64),CHAR(INT((COLUMN(K241)-1)/26)+64)&amp;CHAR(MOD(COLUMN(K241)-1,26)+65))&amp;$R221&amp;""),"")</f>
        <v/>
      </c>
      <c r="AA221" s="51" t="str">
        <f t="array" aca="1" ref="AA221" ca="1">IF($R221&lt;&gt;"",
INDIRECT(""&amp;IF(COLUMN(L241)&lt;=26,CHAR(COLUMN(L241)+64),CHAR(INT((COLUMN(L241)-1)/26)+64)&amp;CHAR(MOD(COLUMN(L241)-1,26)+65))&amp;$R221&amp;""),"")</f>
        <v/>
      </c>
      <c r="AB221" s="51" t="str">
        <f t="array" aca="1" ref="AB221" ca="1">IF($R221&lt;&gt;"",
INDIRECT(""&amp;IF(COLUMN(O241)&lt;=26,CHAR(COLUMN(O241)+64),CHAR(INT((COLUMN(O241)-1)/26)+64)&amp;CHAR(MOD(COLUMN(O241)-1,26)+65))&amp;$R221&amp;""),"")</f>
        <v/>
      </c>
    </row>
    <row r="222" spans="1:28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60" t="str">
        <f ca="1">IF(C222&lt;&gt;"",
IF(IF(COUNTIF(C222,"*キャラ*"),
VLOOKUP("*キャラ*",#REF!,7,FALSE),
IF(COUNTIF(C222,"*赤*"),
VLOOKUP("*赤*",#REF!,7,FALSE),
VLOOKUP(C222,#REF!,7,FALSE)))=0,"",
IF(H222&lt;&gt;"",
IF(ROUND(
H222/IF(COUNTIF(C222,"*キャラ*"),
VLOOKUP("*キャラ*",#REF!,7,FALSE),
IF(COUNTIF(C222,"*赤*"),
VLOOKUP("*赤*",#REF!,7,FALSE),
VLOOKUP(C222,#REF!,7,FALSE))),0)&lt;=0,1,
ROUND(
H222/IF(COUNTIF(C222,"*キャラ*"),
VLOOKUP("*キャラ*",#REF!,7,FALSE),
IF(COUNTIF(C222,"*赤*"),
VLOOKUP("*赤*",#REF!,7,FALSE),
VLOOKUP(C222,#REF!,7,FALSE))),0)),"")),"")</f>
        <v/>
      </c>
      <c r="G222" s="61" t="str">
        <f ca="1">IF(F222&lt;&gt;"",IF(VALUE(H222)&gt;VALUE(IF(COUNTIF(C222,"*キャラ*"),
VLOOKUP("*キャラ*",#REF!,7,FALSE),
IF(COUNTIF(C222,"*赤*"),
VLOOKUP("*赤*",#REF!,7,FALSE),
VLOOKUP(C222,#REF!,7,FALSE)))*F222),
"+"&amp;H222-IF(COUNTIF(C222,"*キャラ*"),
VLOOKUP("*キャラ*",#REF!,7,FALSE),
IF(COUNTIF(C222,"*赤*"),
VLOOKUP("*赤*",#REF!,7,FALSE),
VLOOKUP(C222,#REF!,7,FALSE)))*F222,
H222-IF(COUNTIF(C222,"*キャラ*"),
VLOOKUP("*キャラ*",#REF!,7,FALSE),
IF(COUNTIF(C222,"*赤*"),
VLOOKUP("*赤*",#REF!,7,FALSE),
VLOOKUP(C222,#REF!,7,FALSE)))*F222),"")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K222" s="59" t="str">
        <f t="shared" ca="1" si="60"/>
        <v/>
      </c>
      <c r="L222" s="59" t="str">
        <f t="shared" ca="1" si="61"/>
        <v/>
      </c>
      <c r="M222" s="59"/>
      <c r="N222" s="59"/>
      <c r="O222" s="59"/>
      <c r="P222" s="59" t="str">
        <f t="shared" ca="1" si="62"/>
        <v/>
      </c>
      <c r="Q222" s="59" t="str">
        <f t="shared" ca="1" si="63"/>
        <v/>
      </c>
      <c r="R222" s="51" t="str" cm="1">
        <f t="array" aca="1" ref="R222" ca="1">IFERROR(SMALL(IF(P$1:P$300&lt;&gt;0,P$1:P$300),ROW(A222)),"")</f>
        <v/>
      </c>
      <c r="S222" s="51" t="str">
        <f t="array" aca="1" ref="S222" ca="1">IF($R222&lt;&gt;"",
INDIRECT(""&amp;IF(COLUMN(C242)&lt;=26,CHAR(COLUMN(C242)+64),CHAR(INT((COLUMN(C242)-1)/26)+64)&amp;CHAR(MOD(COLUMN(C242)-1,26)+65))&amp;$R222&amp;""),"")</f>
        <v/>
      </c>
      <c r="T222" s="51" t="str">
        <f t="array" aca="1" ref="T222" ca="1">IF($R222&lt;&gt;"",
INDIRECT(""&amp;IF(COLUMN(D242)&lt;=26,CHAR(COLUMN(D242)+64),CHAR(INT((COLUMN(D242)-1)/26)+64)&amp;CHAR(MOD(COLUMN(D242)-1,26)+65))&amp;$R222&amp;""),"")</f>
        <v/>
      </c>
      <c r="U222" s="51"/>
      <c r="V222" s="51" t="str">
        <f t="array" aca="1" ref="V222" ca="1">IF($R222&lt;&gt;"",
IF(U222="",
IF(INDIRECT("EY"&amp;$R222&amp;"")&lt;&gt;"",
INDIRECT("EY"&amp;$R222&amp;"")&amp;"箱"
&amp;INDIRECT("EZ"&amp;$R222&amp;""),""),""),"")</f>
        <v/>
      </c>
      <c r="W222" s="51" t="str">
        <f t="array" aca="1" ref="W222" ca="1">IF($R222&lt;&gt;"",
INDIRECT(""&amp;IF(COLUMN(H242)&lt;=26,CHAR(COLUMN(H242)+64),CHAR(INT((COLUMN(H242)-1)/26)+64)&amp;CHAR(MOD(COLUMN(H242)-1,26)+65))&amp;$R222&amp;""),"")</f>
        <v/>
      </c>
      <c r="X222" s="51" t="str">
        <f t="array" aca="1" ref="X222" ca="1">IF($R222&lt;&gt;"",
INDIRECT(""&amp;IF(COLUMN(I242)&lt;=26,CHAR(COLUMN(I242)+64),CHAR(INT((COLUMN(I242)-1)/26)+64)&amp;CHAR(MOD(COLUMN(I242)-1,26)+65))&amp;$R222&amp;""),"")</f>
        <v/>
      </c>
      <c r="Y222" s="51" t="str">
        <f t="array" aca="1" ref="Y222" ca="1">IF($R222&lt;&gt;"",
INDIRECT(""&amp;IF(COLUMN(J242)&lt;=26,CHAR(COLUMN(J242)+64),CHAR(INT((COLUMN(J242)-1)/26)+64)&amp;CHAR(MOD(COLUMN(J242)-1,26)+65))&amp;$R222&amp;""),"")</f>
        <v/>
      </c>
      <c r="Z222" s="51" t="str">
        <f t="array" aca="1" ref="Z222" ca="1">IF($R222&lt;&gt;"",
INDIRECT(""&amp;IF(COLUMN(K242)&lt;=26,CHAR(COLUMN(K242)+64),CHAR(INT((COLUMN(K242)-1)/26)+64)&amp;CHAR(MOD(COLUMN(K242)-1,26)+65))&amp;$R222&amp;""),"")</f>
        <v/>
      </c>
      <c r="AA222" s="51" t="str">
        <f t="array" aca="1" ref="AA222" ca="1">IF($R222&lt;&gt;"",
INDIRECT(""&amp;IF(COLUMN(L242)&lt;=26,CHAR(COLUMN(L242)+64),CHAR(INT((COLUMN(L242)-1)/26)+64)&amp;CHAR(MOD(COLUMN(L242)-1,26)+65))&amp;$R222&amp;""),"")</f>
        <v/>
      </c>
      <c r="AB222" s="51" t="str">
        <f t="array" aca="1" ref="AB222" ca="1">IF($R222&lt;&gt;"",
INDIRECT(""&amp;IF(COLUMN(O242)&lt;=26,CHAR(COLUMN(O242)+64),CHAR(INT((COLUMN(O242)-1)/26)+64)&amp;CHAR(MOD(COLUMN(O242)-1,26)+65))&amp;$R222&amp;""),"")</f>
        <v/>
      </c>
    </row>
    <row r="223" spans="1:28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60" t="e">
        <f ca="1">IF(C223&lt;&gt;"",
IF(IF(COUNTIF(C223,"*キャラ*"),
VLOOKUP("*キャラ*",#REF!,7,FALSE),
IF(COUNTIF(C223,"*赤*"),
VLOOKUP("*赤*",#REF!,7,FALSE),
VLOOKUP(C223,#REF!,7,FALSE)))=0,"",
IF(H223&lt;&gt;"",
IF(ROUND(
H223/IF(COUNTIF(C223,"*キャラ*"),
VLOOKUP("*キャラ*",#REF!,7,FALSE),
IF(COUNTIF(C223,"*赤*"),
VLOOKUP("*赤*",#REF!,7,FALSE),
VLOOKUP(C223,#REF!,7,FALSE))),0)&lt;=0,1,
ROUND(
H223/IF(COUNTIF(C223,"*キャラ*"),
VLOOKUP("*キャラ*",#REF!,7,FALSE),
IF(COUNTIF(C223,"*赤*"),
VLOOKUP("*赤*",#REF!,7,FALSE),
VLOOKUP(C223,#REF!,7,FALSE))),0)),"")),"")</f>
        <v>#REF!</v>
      </c>
      <c r="G223" s="61" t="e">
        <f ca="1">IF(F223&lt;&gt;"",IF(VALUE(H223)&gt;VALUE(IF(COUNTIF(C223,"*キャラ*"),
VLOOKUP("*キャラ*",#REF!,7,FALSE),
IF(COUNTIF(C223,"*赤*"),
VLOOKUP("*赤*",#REF!,7,FALSE),
VLOOKUP(C223,#REF!,7,FALSE)))*F223),
"+"&amp;H223-IF(COUNTIF(C223,"*キャラ*"),
VLOOKUP("*キャラ*",#REF!,7,FALSE),
IF(COUNTIF(C223,"*赤*"),
VLOOKUP("*赤*",#REF!,7,FALSE),
VLOOKUP(C223,#REF!,7,FALSE)))*F223,
H223-IF(COUNTIF(C223,"*キャラ*"),
VLOOKUP("*キャラ*",#REF!,7,FALSE),
IF(COUNTIF(C223,"*赤*"),
VLOOKUP("*赤*",#REF!,7,FALSE),
VLOOKUP(C223,#REF!,7,FALSE)))*F223),"")</f>
        <v>#REF!</v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K223" s="59" t="str">
        <f t="shared" ca="1" si="60"/>
        <v/>
      </c>
      <c r="L223" s="59" t="str">
        <f t="shared" ca="1" si="61"/>
        <v/>
      </c>
      <c r="M223" s="59"/>
      <c r="N223" s="59"/>
      <c r="O223" s="59"/>
      <c r="P223" s="59" t="str">
        <f t="shared" ca="1" si="62"/>
        <v/>
      </c>
      <c r="Q223" s="59" t="str">
        <f t="shared" ca="1" si="63"/>
        <v/>
      </c>
      <c r="R223" s="51" t="str" cm="1">
        <f t="array" aca="1" ref="R223" ca="1">IFERROR(SMALL(IF(P$1:P$300&lt;&gt;0,P$1:P$300),ROW(A223)),"")</f>
        <v/>
      </c>
      <c r="S223" s="51" t="str">
        <f t="array" aca="1" ref="S223" ca="1">IF($R223&lt;&gt;"",
INDIRECT(""&amp;IF(COLUMN(C243)&lt;=26,CHAR(COLUMN(C243)+64),CHAR(INT((COLUMN(C243)-1)/26)+64)&amp;CHAR(MOD(COLUMN(C243)-1,26)+65))&amp;$R223&amp;""),"")</f>
        <v/>
      </c>
      <c r="T223" s="51" t="str">
        <f t="array" aca="1" ref="T223" ca="1">IF($R223&lt;&gt;"",
INDIRECT(""&amp;IF(COLUMN(D243)&lt;=26,CHAR(COLUMN(D243)+64),CHAR(INT((COLUMN(D243)-1)/26)+64)&amp;CHAR(MOD(COLUMN(D243)-1,26)+65))&amp;$R223&amp;""),"")</f>
        <v/>
      </c>
      <c r="U223" s="51"/>
      <c r="V223" s="51" t="str">
        <f t="array" aca="1" ref="V223" ca="1">IF($R223&lt;&gt;"",
IF(U223="",
IF(INDIRECT("EY"&amp;$R223&amp;"")&lt;&gt;"",
INDIRECT("EY"&amp;$R223&amp;"")&amp;"箱"
&amp;INDIRECT("EZ"&amp;$R223&amp;""),""),""),"")</f>
        <v/>
      </c>
      <c r="W223" s="51" t="str">
        <f t="array" aca="1" ref="W223" ca="1">IF($R223&lt;&gt;"",
INDIRECT(""&amp;IF(COLUMN(H243)&lt;=26,CHAR(COLUMN(H243)+64),CHAR(INT((COLUMN(H243)-1)/26)+64)&amp;CHAR(MOD(COLUMN(H243)-1,26)+65))&amp;$R223&amp;""),"")</f>
        <v/>
      </c>
      <c r="X223" s="51" t="str">
        <f t="array" aca="1" ref="X223" ca="1">IF($R223&lt;&gt;"",
INDIRECT(""&amp;IF(COLUMN(I243)&lt;=26,CHAR(COLUMN(I243)+64),CHAR(INT((COLUMN(I243)-1)/26)+64)&amp;CHAR(MOD(COLUMN(I243)-1,26)+65))&amp;$R223&amp;""),"")</f>
        <v/>
      </c>
      <c r="Y223" s="51" t="str">
        <f t="array" aca="1" ref="Y223" ca="1">IF($R223&lt;&gt;"",
INDIRECT(""&amp;IF(COLUMN(J243)&lt;=26,CHAR(COLUMN(J243)+64),CHAR(INT((COLUMN(J243)-1)/26)+64)&amp;CHAR(MOD(COLUMN(J243)-1,26)+65))&amp;$R223&amp;""),"")</f>
        <v/>
      </c>
      <c r="Z223" s="51" t="str">
        <f t="array" aca="1" ref="Z223" ca="1">IF($R223&lt;&gt;"",
INDIRECT(""&amp;IF(COLUMN(K243)&lt;=26,CHAR(COLUMN(K243)+64),CHAR(INT((COLUMN(K243)-1)/26)+64)&amp;CHAR(MOD(COLUMN(K243)-1,26)+65))&amp;$R223&amp;""),"")</f>
        <v/>
      </c>
      <c r="AA223" s="51" t="str">
        <f t="array" aca="1" ref="AA223" ca="1">IF($R223&lt;&gt;"",
INDIRECT(""&amp;IF(COLUMN(L243)&lt;=26,CHAR(COLUMN(L243)+64),CHAR(INT((COLUMN(L243)-1)/26)+64)&amp;CHAR(MOD(COLUMN(L243)-1,26)+65))&amp;$R223&amp;""),"")</f>
        <v/>
      </c>
      <c r="AB223" s="51" t="str">
        <f t="array" aca="1" ref="AB223" ca="1">IF($R223&lt;&gt;"",
INDIRECT(""&amp;IF(COLUMN(O243)&lt;=26,CHAR(COLUMN(O243)+64),CHAR(INT((COLUMN(O243)-1)/26)+64)&amp;CHAR(MOD(COLUMN(O243)-1,26)+65))&amp;$R223&amp;""),"")</f>
        <v/>
      </c>
    </row>
    <row r="224" spans="1:28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60" t="str">
        <f ca="1">IF(C224&lt;&gt;"",
IF(IF(COUNTIF(C224,"*キャラ*"),
VLOOKUP("*キャラ*",#REF!,7,FALSE),
IF(COUNTIF(C224,"*赤*"),
VLOOKUP("*赤*",#REF!,7,FALSE),
VLOOKUP(C224,#REF!,7,FALSE)))=0,"",
IF(H224&lt;&gt;"",
IF(ROUND(
H224/IF(COUNTIF(C224,"*キャラ*"),
VLOOKUP("*キャラ*",#REF!,7,FALSE),
IF(COUNTIF(C224,"*赤*"),
VLOOKUP("*赤*",#REF!,7,FALSE),
VLOOKUP(C224,#REF!,7,FALSE))),0)&lt;=0,1,
ROUND(
H224/IF(COUNTIF(C224,"*キャラ*"),
VLOOKUP("*キャラ*",#REF!,7,FALSE),
IF(COUNTIF(C224,"*赤*"),
VLOOKUP("*赤*",#REF!,7,FALSE),
VLOOKUP(C224,#REF!,7,FALSE))),0)),"")),"")</f>
        <v/>
      </c>
      <c r="G224" s="61" t="str">
        <f ca="1">IF(F224&lt;&gt;"",IF(VALUE(H224)&gt;VALUE(IF(COUNTIF(C224,"*キャラ*"),
VLOOKUP("*キャラ*",#REF!,7,FALSE),
IF(COUNTIF(C224,"*赤*"),
VLOOKUP("*赤*",#REF!,7,FALSE),
VLOOKUP(C224,#REF!,7,FALSE)))*F224),
"+"&amp;H224-IF(COUNTIF(C224,"*キャラ*"),
VLOOKUP("*キャラ*",#REF!,7,FALSE),
IF(COUNTIF(C224,"*赤*"),
VLOOKUP("*赤*",#REF!,7,FALSE),
VLOOKUP(C224,#REF!,7,FALSE)))*F224,
H224-IF(COUNTIF(C224,"*キャラ*"),
VLOOKUP("*キャラ*",#REF!,7,FALSE),
IF(COUNTIF(C224,"*赤*"),
VLOOKUP("*赤*",#REF!,7,FALSE),
VLOOKUP(C224,#REF!,7,FALSE)))*F224),"")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K224" s="59" t="str">
        <f t="shared" ca="1" si="60"/>
        <v/>
      </c>
      <c r="L224" s="59" t="str">
        <f t="shared" ca="1" si="61"/>
        <v/>
      </c>
      <c r="M224" s="59"/>
      <c r="N224" s="59"/>
      <c r="O224" s="59"/>
      <c r="P224" s="59" t="str">
        <f t="shared" ca="1" si="62"/>
        <v/>
      </c>
      <c r="Q224" s="59" t="str">
        <f t="shared" ca="1" si="63"/>
        <v/>
      </c>
      <c r="R224" s="51" t="str" cm="1">
        <f t="array" aca="1" ref="R224" ca="1">IFERROR(SMALL(IF(P$1:P$300&lt;&gt;0,P$1:P$300),ROW(A224)),"")</f>
        <v/>
      </c>
      <c r="S224" s="51" t="str">
        <f t="array" aca="1" ref="S224" ca="1">IF($R224&lt;&gt;"",
INDIRECT(""&amp;IF(COLUMN(C244)&lt;=26,CHAR(COLUMN(C244)+64),CHAR(INT((COLUMN(C244)-1)/26)+64)&amp;CHAR(MOD(COLUMN(C244)-1,26)+65))&amp;$R224&amp;""),"")</f>
        <v/>
      </c>
      <c r="T224" s="51" t="str">
        <f t="array" aca="1" ref="T224" ca="1">IF($R224&lt;&gt;"",
INDIRECT(""&amp;IF(COLUMN(D244)&lt;=26,CHAR(COLUMN(D244)+64),CHAR(INT((COLUMN(D244)-1)/26)+64)&amp;CHAR(MOD(COLUMN(D244)-1,26)+65))&amp;$R224&amp;""),"")</f>
        <v/>
      </c>
      <c r="U224" s="51"/>
      <c r="V224" s="51" t="str">
        <f t="array" aca="1" ref="V224" ca="1">IF($R224&lt;&gt;"",
IF(U224="",
IF(INDIRECT("EY"&amp;$R224&amp;"")&lt;&gt;"",
INDIRECT("EY"&amp;$R224&amp;"")&amp;"箱"
&amp;INDIRECT("EZ"&amp;$R224&amp;""),""),""),"")</f>
        <v/>
      </c>
      <c r="W224" s="51" t="str">
        <f t="array" aca="1" ref="W224" ca="1">IF($R224&lt;&gt;"",
INDIRECT(""&amp;IF(COLUMN(H244)&lt;=26,CHAR(COLUMN(H244)+64),CHAR(INT((COLUMN(H244)-1)/26)+64)&amp;CHAR(MOD(COLUMN(H244)-1,26)+65))&amp;$R224&amp;""),"")</f>
        <v/>
      </c>
      <c r="X224" s="51" t="str">
        <f t="array" aca="1" ref="X224" ca="1">IF($R224&lt;&gt;"",
INDIRECT(""&amp;IF(COLUMN(I244)&lt;=26,CHAR(COLUMN(I244)+64),CHAR(INT((COLUMN(I244)-1)/26)+64)&amp;CHAR(MOD(COLUMN(I244)-1,26)+65))&amp;$R224&amp;""),"")</f>
        <v/>
      </c>
      <c r="Y224" s="51" t="str">
        <f t="array" aca="1" ref="Y224" ca="1">IF($R224&lt;&gt;"",
INDIRECT(""&amp;IF(COLUMN(J244)&lt;=26,CHAR(COLUMN(J244)+64),CHAR(INT((COLUMN(J244)-1)/26)+64)&amp;CHAR(MOD(COLUMN(J244)-1,26)+65))&amp;$R224&amp;""),"")</f>
        <v/>
      </c>
      <c r="Z224" s="51" t="str">
        <f t="array" aca="1" ref="Z224" ca="1">IF($R224&lt;&gt;"",
INDIRECT(""&amp;IF(COLUMN(K244)&lt;=26,CHAR(COLUMN(K244)+64),CHAR(INT((COLUMN(K244)-1)/26)+64)&amp;CHAR(MOD(COLUMN(K244)-1,26)+65))&amp;$R224&amp;""),"")</f>
        <v/>
      </c>
      <c r="AA224" s="51" t="str">
        <f t="array" aca="1" ref="AA224" ca="1">IF($R224&lt;&gt;"",
INDIRECT(""&amp;IF(COLUMN(L244)&lt;=26,CHAR(COLUMN(L244)+64),CHAR(INT((COLUMN(L244)-1)/26)+64)&amp;CHAR(MOD(COLUMN(L244)-1,26)+65))&amp;$R224&amp;""),"")</f>
        <v/>
      </c>
      <c r="AB224" s="51" t="str">
        <f t="array" aca="1" ref="AB224" ca="1">IF($R224&lt;&gt;"",
INDIRECT(""&amp;IF(COLUMN(O244)&lt;=26,CHAR(COLUMN(O244)+64),CHAR(INT((COLUMN(O244)-1)/26)+64)&amp;CHAR(MOD(COLUMN(O244)-1,26)+65))&amp;$R224&amp;""),"")</f>
        <v/>
      </c>
    </row>
    <row r="225" spans="2:28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60" t="str">
        <f ca="1">IF(C225&lt;&gt;"",
IF(IF(COUNTIF(C225,"*キャラ*"),
VLOOKUP("*キャラ*",#REF!,7,FALSE),
IF(COUNTIF(C225,"*赤*"),
VLOOKUP("*赤*",#REF!,7,FALSE),
VLOOKUP(C225,#REF!,7,FALSE)))=0,"",
IF(H225&lt;&gt;"",
IF(ROUND(
H225/IF(COUNTIF(C225,"*キャラ*"),
VLOOKUP("*キャラ*",#REF!,7,FALSE),
IF(COUNTIF(C225,"*赤*"),
VLOOKUP("*赤*",#REF!,7,FALSE),
VLOOKUP(C225,#REF!,7,FALSE))),0)&lt;=0,1,
ROUND(
H225/IF(COUNTIF(C225,"*キャラ*"),
VLOOKUP("*キャラ*",#REF!,7,FALSE),
IF(COUNTIF(C225,"*赤*"),
VLOOKUP("*赤*",#REF!,7,FALSE),
VLOOKUP(C225,#REF!,7,FALSE))),0)),"")),"")</f>
        <v/>
      </c>
      <c r="G225" s="61" t="str">
        <f ca="1">IF(F225&lt;&gt;"",IF(VALUE(H225)&gt;VALUE(IF(COUNTIF(C225,"*キャラ*"),
VLOOKUP("*キャラ*",#REF!,7,FALSE),
IF(COUNTIF(C225,"*赤*"),
VLOOKUP("*赤*",#REF!,7,FALSE),
VLOOKUP(C225,#REF!,7,FALSE)))*F225),
"+"&amp;H225-IF(COUNTIF(C225,"*キャラ*"),
VLOOKUP("*キャラ*",#REF!,7,FALSE),
IF(COUNTIF(C225,"*赤*"),
VLOOKUP("*赤*",#REF!,7,FALSE),
VLOOKUP(C225,#REF!,7,FALSE)))*F225,
H225-IF(COUNTIF(C225,"*キャラ*"),
VLOOKUP("*キャラ*",#REF!,7,FALSE),
IF(COUNTIF(C225,"*赤*"),
VLOOKUP("*赤*",#REF!,7,FALSE),
VLOOKUP(C225,#REF!,7,FALSE)))*F225),"")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K225" s="59" t="str">
        <f t="shared" ca="1" si="60"/>
        <v/>
      </c>
      <c r="L225" s="59" t="str">
        <f t="shared" ca="1" si="61"/>
        <v/>
      </c>
      <c r="M225" s="59"/>
      <c r="N225" s="59"/>
      <c r="O225" s="59"/>
      <c r="P225" s="59" t="str">
        <f t="shared" ca="1" si="62"/>
        <v/>
      </c>
      <c r="Q225" s="59" t="str">
        <f t="shared" ca="1" si="63"/>
        <v/>
      </c>
      <c r="R225" s="51" t="str" cm="1">
        <f t="array" aca="1" ref="R225" ca="1">IFERROR(SMALL(IF(P$1:P$300&lt;&gt;0,P$1:P$300),ROW(A225)),"")</f>
        <v/>
      </c>
      <c r="S225" s="51" t="str">
        <f t="array" aca="1" ref="S225" ca="1">IF($R225&lt;&gt;"",
INDIRECT(""&amp;IF(COLUMN(C245)&lt;=26,CHAR(COLUMN(C245)+64),CHAR(INT((COLUMN(C245)-1)/26)+64)&amp;CHAR(MOD(COLUMN(C245)-1,26)+65))&amp;$R225&amp;""),"")</f>
        <v/>
      </c>
      <c r="T225" s="51" t="str">
        <f t="array" aca="1" ref="T225" ca="1">IF($R225&lt;&gt;"",
INDIRECT(""&amp;IF(COLUMN(D245)&lt;=26,CHAR(COLUMN(D245)+64),CHAR(INT((COLUMN(D245)-1)/26)+64)&amp;CHAR(MOD(COLUMN(D245)-1,26)+65))&amp;$R225&amp;""),"")</f>
        <v/>
      </c>
      <c r="U225" s="51"/>
      <c r="V225" s="51" t="str">
        <f t="array" aca="1" ref="V225" ca="1">IF($R225&lt;&gt;"",
IF(U225="",
IF(INDIRECT("EY"&amp;$R225&amp;"")&lt;&gt;"",
INDIRECT("EY"&amp;$R225&amp;"")&amp;"箱"
&amp;INDIRECT("EZ"&amp;$R225&amp;""),""),""),"")</f>
        <v/>
      </c>
      <c r="W225" s="51" t="str">
        <f t="array" aca="1" ref="W225" ca="1">IF($R225&lt;&gt;"",
INDIRECT(""&amp;IF(COLUMN(H245)&lt;=26,CHAR(COLUMN(H245)+64),CHAR(INT((COLUMN(H245)-1)/26)+64)&amp;CHAR(MOD(COLUMN(H245)-1,26)+65))&amp;$R225&amp;""),"")</f>
        <v/>
      </c>
      <c r="X225" s="51" t="str">
        <f t="array" aca="1" ref="X225" ca="1">IF($R225&lt;&gt;"",
INDIRECT(""&amp;IF(COLUMN(I245)&lt;=26,CHAR(COLUMN(I245)+64),CHAR(INT((COLUMN(I245)-1)/26)+64)&amp;CHAR(MOD(COLUMN(I245)-1,26)+65))&amp;$R225&amp;""),"")</f>
        <v/>
      </c>
      <c r="Y225" s="51" t="str">
        <f t="array" aca="1" ref="Y225" ca="1">IF($R225&lt;&gt;"",
INDIRECT(""&amp;IF(COLUMN(J245)&lt;=26,CHAR(COLUMN(J245)+64),CHAR(INT((COLUMN(J245)-1)/26)+64)&amp;CHAR(MOD(COLUMN(J245)-1,26)+65))&amp;$R225&amp;""),"")</f>
        <v/>
      </c>
      <c r="Z225" s="51" t="str">
        <f t="array" aca="1" ref="Z225" ca="1">IF($R225&lt;&gt;"",
INDIRECT(""&amp;IF(COLUMN(K245)&lt;=26,CHAR(COLUMN(K245)+64),CHAR(INT((COLUMN(K245)-1)/26)+64)&amp;CHAR(MOD(COLUMN(K245)-1,26)+65))&amp;$R225&amp;""),"")</f>
        <v/>
      </c>
      <c r="AA225" s="51" t="str">
        <f t="array" aca="1" ref="AA225" ca="1">IF($R225&lt;&gt;"",
INDIRECT(""&amp;IF(COLUMN(L245)&lt;=26,CHAR(COLUMN(L245)+64),CHAR(INT((COLUMN(L245)-1)/26)+64)&amp;CHAR(MOD(COLUMN(L245)-1,26)+65))&amp;$R225&amp;""),"")</f>
        <v/>
      </c>
      <c r="AB225" s="51" t="str">
        <f t="array" aca="1" ref="AB225" ca="1">IF($R225&lt;&gt;"",
INDIRECT(""&amp;IF(COLUMN(O245)&lt;=26,CHAR(COLUMN(O245)+64),CHAR(INT((COLUMN(O245)-1)/26)+64)&amp;CHAR(MOD(COLUMN(O245)-1,26)+65))&amp;$R225&amp;""),"")</f>
        <v/>
      </c>
    </row>
    <row r="226" spans="2:28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60" t="str">
        <f ca="1">IF(C226&lt;&gt;"",
IF(IF(COUNTIF(C226,"*キャラ*"),
VLOOKUP("*キャラ*",#REF!,7,FALSE),
IF(COUNTIF(C226,"*赤*"),
VLOOKUP("*赤*",#REF!,7,FALSE),
VLOOKUP(C226,#REF!,7,FALSE)))=0,"",
IF(H226&lt;&gt;"",
IF(ROUND(
H226/IF(COUNTIF(C226,"*キャラ*"),
VLOOKUP("*キャラ*",#REF!,7,FALSE),
IF(COUNTIF(C226,"*赤*"),
VLOOKUP("*赤*",#REF!,7,FALSE),
VLOOKUP(C226,#REF!,7,FALSE))),0)&lt;=0,1,
ROUND(
H226/IF(COUNTIF(C226,"*キャラ*"),
VLOOKUP("*キャラ*",#REF!,7,FALSE),
IF(COUNTIF(C226,"*赤*"),
VLOOKUP("*赤*",#REF!,7,FALSE),
VLOOKUP(C226,#REF!,7,FALSE))),0)),"")),"")</f>
        <v/>
      </c>
      <c r="G226" s="61" t="str">
        <f ca="1">IF(F226&lt;&gt;"",IF(VALUE(H226)&gt;VALUE(IF(COUNTIF(C226,"*キャラ*"),
VLOOKUP("*キャラ*",#REF!,7,FALSE),
IF(COUNTIF(C226,"*赤*"),
VLOOKUP("*赤*",#REF!,7,FALSE),
VLOOKUP(C226,#REF!,7,FALSE)))*F226),
"+"&amp;H226-IF(COUNTIF(C226,"*キャラ*"),
VLOOKUP("*キャラ*",#REF!,7,FALSE),
IF(COUNTIF(C226,"*赤*"),
VLOOKUP("*赤*",#REF!,7,FALSE),
VLOOKUP(C226,#REF!,7,FALSE)))*F226,
H226-IF(COUNTIF(C226,"*キャラ*"),
VLOOKUP("*キャラ*",#REF!,7,FALSE),
IF(COUNTIF(C226,"*赤*"),
VLOOKUP("*赤*",#REF!,7,FALSE),
VLOOKUP(C226,#REF!,7,FALSE)))*F226),"")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K226" s="59" t="str">
        <f t="shared" ca="1" si="60"/>
        <v/>
      </c>
      <c r="L226" s="59" t="str">
        <f t="shared" ca="1" si="61"/>
        <v/>
      </c>
      <c r="M226" s="59"/>
      <c r="N226" s="59"/>
      <c r="O226" s="59"/>
      <c r="P226" s="59" t="str">
        <f t="shared" ca="1" si="62"/>
        <v/>
      </c>
      <c r="Q226" s="59" t="str">
        <f t="shared" ca="1" si="63"/>
        <v/>
      </c>
      <c r="R226" s="51" t="str" cm="1">
        <f t="array" aca="1" ref="R226" ca="1">IFERROR(SMALL(IF(P$1:P$300&lt;&gt;0,P$1:P$300),ROW(A226)),"")</f>
        <v/>
      </c>
      <c r="S226" s="51" t="str">
        <f t="array" aca="1" ref="S226" ca="1">IF($R226&lt;&gt;"",
INDIRECT(""&amp;IF(COLUMN(C246)&lt;=26,CHAR(COLUMN(C246)+64),CHAR(INT((COLUMN(C246)-1)/26)+64)&amp;CHAR(MOD(COLUMN(C246)-1,26)+65))&amp;$R226&amp;""),"")</f>
        <v/>
      </c>
      <c r="T226" s="51" t="str">
        <f t="array" aca="1" ref="T226" ca="1">IF($R226&lt;&gt;"",
INDIRECT(""&amp;IF(COLUMN(D246)&lt;=26,CHAR(COLUMN(D246)+64),CHAR(INT((COLUMN(D246)-1)/26)+64)&amp;CHAR(MOD(COLUMN(D246)-1,26)+65))&amp;$R226&amp;""),"")</f>
        <v/>
      </c>
      <c r="U226" s="51"/>
      <c r="V226" s="51" t="str">
        <f t="array" aca="1" ref="V226" ca="1">IF($R226&lt;&gt;"",
IF(U226="",
IF(INDIRECT("EY"&amp;$R226&amp;"")&lt;&gt;"",
INDIRECT("EY"&amp;$R226&amp;"")&amp;"箱"
&amp;INDIRECT("EZ"&amp;$R226&amp;""),""),""),"")</f>
        <v/>
      </c>
      <c r="W226" s="51" t="str">
        <f t="array" aca="1" ref="W226" ca="1">IF($R226&lt;&gt;"",
INDIRECT(""&amp;IF(COLUMN(H246)&lt;=26,CHAR(COLUMN(H246)+64),CHAR(INT((COLUMN(H246)-1)/26)+64)&amp;CHAR(MOD(COLUMN(H246)-1,26)+65))&amp;$R226&amp;""),"")</f>
        <v/>
      </c>
      <c r="X226" s="51" t="str">
        <f t="array" aca="1" ref="X226" ca="1">IF($R226&lt;&gt;"",
INDIRECT(""&amp;IF(COLUMN(I246)&lt;=26,CHAR(COLUMN(I246)+64),CHAR(INT((COLUMN(I246)-1)/26)+64)&amp;CHAR(MOD(COLUMN(I246)-1,26)+65))&amp;$R226&amp;""),"")</f>
        <v/>
      </c>
      <c r="Y226" s="51" t="str">
        <f t="array" aca="1" ref="Y226" ca="1">IF($R226&lt;&gt;"",
INDIRECT(""&amp;IF(COLUMN(J246)&lt;=26,CHAR(COLUMN(J246)+64),CHAR(INT((COLUMN(J246)-1)/26)+64)&amp;CHAR(MOD(COLUMN(J246)-1,26)+65))&amp;$R226&amp;""),"")</f>
        <v/>
      </c>
      <c r="Z226" s="51" t="str">
        <f t="array" aca="1" ref="Z226" ca="1">IF($R226&lt;&gt;"",
INDIRECT(""&amp;IF(COLUMN(K246)&lt;=26,CHAR(COLUMN(K246)+64),CHAR(INT((COLUMN(K246)-1)/26)+64)&amp;CHAR(MOD(COLUMN(K246)-1,26)+65))&amp;$R226&amp;""),"")</f>
        <v/>
      </c>
      <c r="AA226" s="51" t="str">
        <f t="array" aca="1" ref="AA226" ca="1">IF($R226&lt;&gt;"",
INDIRECT(""&amp;IF(COLUMN(L246)&lt;=26,CHAR(COLUMN(L246)+64),CHAR(INT((COLUMN(L246)-1)/26)+64)&amp;CHAR(MOD(COLUMN(L246)-1,26)+65))&amp;$R226&amp;""),"")</f>
        <v/>
      </c>
      <c r="AB226" s="51" t="str">
        <f t="array" aca="1" ref="AB226" ca="1">IF($R226&lt;&gt;"",
INDIRECT(""&amp;IF(COLUMN(O246)&lt;=26,CHAR(COLUMN(O246)+64),CHAR(INT((COLUMN(O246)-1)/26)+64)&amp;CHAR(MOD(COLUMN(O246)-1,26)+65))&amp;$R226&amp;""),"")</f>
        <v/>
      </c>
    </row>
    <row r="227" spans="2:28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60" t="e">
        <f ca="1">IF(C227&lt;&gt;"",
IF(IF(COUNTIF(C227,"*キャラ*"),
VLOOKUP("*キャラ*",#REF!,7,FALSE),
IF(COUNTIF(C227,"*赤*"),
VLOOKUP("*赤*",#REF!,7,FALSE),
VLOOKUP(C227,#REF!,7,FALSE)))=0,"",
IF(H227&lt;&gt;"",
IF(ROUND(
H227/IF(COUNTIF(C227,"*キャラ*"),
VLOOKUP("*キャラ*",#REF!,7,FALSE),
IF(COUNTIF(C227,"*赤*"),
VLOOKUP("*赤*",#REF!,7,FALSE),
VLOOKUP(C227,#REF!,7,FALSE))),0)&lt;=0,1,
ROUND(
H227/IF(COUNTIF(C227,"*キャラ*"),
VLOOKUP("*キャラ*",#REF!,7,FALSE),
IF(COUNTIF(C227,"*赤*"),
VLOOKUP("*赤*",#REF!,7,FALSE),
VLOOKUP(C227,#REF!,7,FALSE))),0)),"")),"")</f>
        <v>#REF!</v>
      </c>
      <c r="G227" s="61" t="e">
        <f ca="1">IF(F227&lt;&gt;"",IF(VALUE(H227)&gt;VALUE(IF(COUNTIF(C227,"*キャラ*"),
VLOOKUP("*キャラ*",#REF!,7,FALSE),
IF(COUNTIF(C227,"*赤*"),
VLOOKUP("*赤*",#REF!,7,FALSE),
VLOOKUP(C227,#REF!,7,FALSE)))*F227),
"+"&amp;H227-IF(COUNTIF(C227,"*キャラ*"),
VLOOKUP("*キャラ*",#REF!,7,FALSE),
IF(COUNTIF(C227,"*赤*"),
VLOOKUP("*赤*",#REF!,7,FALSE),
VLOOKUP(C227,#REF!,7,FALSE)))*F227,
H227-IF(COUNTIF(C227,"*キャラ*"),
VLOOKUP("*キャラ*",#REF!,7,FALSE),
IF(COUNTIF(C227,"*赤*"),
VLOOKUP("*赤*",#REF!,7,FALSE),
VLOOKUP(C227,#REF!,7,FALSE)))*F227),"")</f>
        <v>#REF!</v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K227" s="59" t="str">
        <f t="shared" ca="1" si="60"/>
        <v/>
      </c>
      <c r="L227" s="59" t="str">
        <f t="shared" ca="1" si="61"/>
        <v/>
      </c>
      <c r="M227" s="59"/>
      <c r="N227" s="59"/>
      <c r="O227" s="59"/>
      <c r="P227" s="59" t="str">
        <f t="shared" ca="1" si="62"/>
        <v/>
      </c>
      <c r="Q227" s="59" t="str">
        <f t="shared" ca="1" si="63"/>
        <v/>
      </c>
      <c r="R227" s="51" t="str" cm="1">
        <f t="array" aca="1" ref="R227" ca="1">IFERROR(SMALL(IF(P$1:P$300&lt;&gt;0,P$1:P$300),ROW(A227)),"")</f>
        <v/>
      </c>
      <c r="S227" s="51" t="str">
        <f t="array" aca="1" ref="S227" ca="1">IF($R227&lt;&gt;"",
INDIRECT(""&amp;IF(COLUMN(C247)&lt;=26,CHAR(COLUMN(C247)+64),CHAR(INT((COLUMN(C247)-1)/26)+64)&amp;CHAR(MOD(COLUMN(C247)-1,26)+65))&amp;$R227&amp;""),"")</f>
        <v/>
      </c>
      <c r="T227" s="51" t="str">
        <f t="array" aca="1" ref="T227" ca="1">IF($R227&lt;&gt;"",
INDIRECT(""&amp;IF(COLUMN(D247)&lt;=26,CHAR(COLUMN(D247)+64),CHAR(INT((COLUMN(D247)-1)/26)+64)&amp;CHAR(MOD(COLUMN(D247)-1,26)+65))&amp;$R227&amp;""),"")</f>
        <v/>
      </c>
      <c r="U227" s="51"/>
      <c r="V227" s="51" t="str">
        <f t="array" aca="1" ref="V227" ca="1">IF($R227&lt;&gt;"",
IF(U227="",
IF(INDIRECT("EY"&amp;$R227&amp;"")&lt;&gt;"",
INDIRECT("EY"&amp;$R227&amp;"")&amp;"箱"
&amp;INDIRECT("EZ"&amp;$R227&amp;""),""),""),"")</f>
        <v/>
      </c>
      <c r="W227" s="51" t="str">
        <f t="array" aca="1" ref="W227" ca="1">IF($R227&lt;&gt;"",
INDIRECT(""&amp;IF(COLUMN(H247)&lt;=26,CHAR(COLUMN(H247)+64),CHAR(INT((COLUMN(H247)-1)/26)+64)&amp;CHAR(MOD(COLUMN(H247)-1,26)+65))&amp;$R227&amp;""),"")</f>
        <v/>
      </c>
      <c r="X227" s="51" t="str">
        <f t="array" aca="1" ref="X227" ca="1">IF($R227&lt;&gt;"",
INDIRECT(""&amp;IF(COLUMN(I247)&lt;=26,CHAR(COLUMN(I247)+64),CHAR(INT((COLUMN(I247)-1)/26)+64)&amp;CHAR(MOD(COLUMN(I247)-1,26)+65))&amp;$R227&amp;""),"")</f>
        <v/>
      </c>
      <c r="Y227" s="51" t="str">
        <f t="array" aca="1" ref="Y227" ca="1">IF($R227&lt;&gt;"",
INDIRECT(""&amp;IF(COLUMN(J247)&lt;=26,CHAR(COLUMN(J247)+64),CHAR(INT((COLUMN(J247)-1)/26)+64)&amp;CHAR(MOD(COLUMN(J247)-1,26)+65))&amp;$R227&amp;""),"")</f>
        <v/>
      </c>
      <c r="Z227" s="51" t="str">
        <f t="array" aca="1" ref="Z227" ca="1">IF($R227&lt;&gt;"",
INDIRECT(""&amp;IF(COLUMN(K247)&lt;=26,CHAR(COLUMN(K247)+64),CHAR(INT((COLUMN(K247)-1)/26)+64)&amp;CHAR(MOD(COLUMN(K247)-1,26)+65))&amp;$R227&amp;""),"")</f>
        <v/>
      </c>
      <c r="AA227" s="51" t="str">
        <f t="array" aca="1" ref="AA227" ca="1">IF($R227&lt;&gt;"",
INDIRECT(""&amp;IF(COLUMN(L247)&lt;=26,CHAR(COLUMN(L247)+64),CHAR(INT((COLUMN(L247)-1)/26)+64)&amp;CHAR(MOD(COLUMN(L247)-1,26)+65))&amp;$R227&amp;""),"")</f>
        <v/>
      </c>
      <c r="AB227" s="51" t="str">
        <f t="array" aca="1" ref="AB227" ca="1">IF($R227&lt;&gt;"",
INDIRECT(""&amp;IF(COLUMN(O247)&lt;=26,CHAR(COLUMN(O247)+64),CHAR(INT((COLUMN(O247)-1)/26)+64)&amp;CHAR(MOD(COLUMN(O247)-1,26)+65))&amp;$R227&amp;""),"")</f>
        <v/>
      </c>
    </row>
    <row r="228" spans="2:28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60" t="str">
        <f ca="1">IF(C228&lt;&gt;"",
IF(IF(COUNTIF(C228,"*キャラ*"),
VLOOKUP("*キャラ*",#REF!,7,FALSE),
IF(COUNTIF(C228,"*赤*"),
VLOOKUP("*赤*",#REF!,7,FALSE),
VLOOKUP(C228,#REF!,7,FALSE)))=0,"",
IF(H228&lt;&gt;"",
IF(ROUND(
H228/IF(COUNTIF(C228,"*キャラ*"),
VLOOKUP("*キャラ*",#REF!,7,FALSE),
IF(COUNTIF(C228,"*赤*"),
VLOOKUP("*赤*",#REF!,7,FALSE),
VLOOKUP(C228,#REF!,7,FALSE))),0)&lt;=0,1,
ROUND(
H228/IF(COUNTIF(C228,"*キャラ*"),
VLOOKUP("*キャラ*",#REF!,7,FALSE),
IF(COUNTIF(C228,"*赤*"),
VLOOKUP("*赤*",#REF!,7,FALSE),
VLOOKUP(C228,#REF!,7,FALSE))),0)),"")),"")</f>
        <v/>
      </c>
      <c r="G228" s="61" t="str">
        <f ca="1">IF(F228&lt;&gt;"",IF(VALUE(H228)&gt;VALUE(IF(COUNTIF(C228,"*キャラ*"),
VLOOKUP("*キャラ*",#REF!,7,FALSE),
IF(COUNTIF(C228,"*赤*"),
VLOOKUP("*赤*",#REF!,7,FALSE),
VLOOKUP(C228,#REF!,7,FALSE)))*F228),
"+"&amp;H228-IF(COUNTIF(C228,"*キャラ*"),
VLOOKUP("*キャラ*",#REF!,7,FALSE),
IF(COUNTIF(C228,"*赤*"),
VLOOKUP("*赤*",#REF!,7,FALSE),
VLOOKUP(C228,#REF!,7,FALSE)))*F228,
H228-IF(COUNTIF(C228,"*キャラ*"),
VLOOKUP("*キャラ*",#REF!,7,FALSE),
IF(COUNTIF(C228,"*赤*"),
VLOOKUP("*赤*",#REF!,7,FALSE),
VLOOKUP(C228,#REF!,7,FALSE)))*F228),"")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K228" s="59" t="str">
        <f t="shared" ca="1" si="60"/>
        <v/>
      </c>
      <c r="L228" s="59" t="str">
        <f t="shared" ca="1" si="61"/>
        <v/>
      </c>
      <c r="M228" s="59"/>
      <c r="N228" s="59"/>
      <c r="O228" s="59"/>
      <c r="P228" s="59" t="str">
        <f t="shared" ca="1" si="62"/>
        <v/>
      </c>
      <c r="Q228" s="59" t="str">
        <f t="shared" ca="1" si="63"/>
        <v/>
      </c>
      <c r="R228" s="51" t="str" cm="1">
        <f t="array" aca="1" ref="R228" ca="1">IFERROR(SMALL(IF(P$1:P$300&lt;&gt;0,P$1:P$300),ROW(A228)),"")</f>
        <v/>
      </c>
      <c r="S228" s="51" t="str">
        <f t="array" aca="1" ref="S228" ca="1">IF($R228&lt;&gt;"",
INDIRECT(""&amp;IF(COLUMN(C248)&lt;=26,CHAR(COLUMN(C248)+64),CHAR(INT((COLUMN(C248)-1)/26)+64)&amp;CHAR(MOD(COLUMN(C248)-1,26)+65))&amp;$R228&amp;""),"")</f>
        <v/>
      </c>
      <c r="T228" s="51" t="str">
        <f t="array" aca="1" ref="T228" ca="1">IF($R228&lt;&gt;"",
INDIRECT(""&amp;IF(COLUMN(D248)&lt;=26,CHAR(COLUMN(D248)+64),CHAR(INT((COLUMN(D248)-1)/26)+64)&amp;CHAR(MOD(COLUMN(D248)-1,26)+65))&amp;$R228&amp;""),"")</f>
        <v/>
      </c>
      <c r="U228" s="51"/>
      <c r="V228" s="51" t="str">
        <f t="array" aca="1" ref="V228" ca="1">IF($R228&lt;&gt;"",
IF(U228="",
IF(INDIRECT("EY"&amp;$R228&amp;"")&lt;&gt;"",
INDIRECT("EY"&amp;$R228&amp;"")&amp;"箱"
&amp;INDIRECT("EZ"&amp;$R228&amp;""),""),""),"")</f>
        <v/>
      </c>
      <c r="W228" s="51" t="str">
        <f t="array" aca="1" ref="W228" ca="1">IF($R228&lt;&gt;"",
INDIRECT(""&amp;IF(COLUMN(H248)&lt;=26,CHAR(COLUMN(H248)+64),CHAR(INT((COLUMN(H248)-1)/26)+64)&amp;CHAR(MOD(COLUMN(H248)-1,26)+65))&amp;$R228&amp;""),"")</f>
        <v/>
      </c>
      <c r="X228" s="51" t="str">
        <f t="array" aca="1" ref="X228" ca="1">IF($R228&lt;&gt;"",
INDIRECT(""&amp;IF(COLUMN(I248)&lt;=26,CHAR(COLUMN(I248)+64),CHAR(INT((COLUMN(I248)-1)/26)+64)&amp;CHAR(MOD(COLUMN(I248)-1,26)+65))&amp;$R228&amp;""),"")</f>
        <v/>
      </c>
      <c r="Y228" s="51" t="str">
        <f t="array" aca="1" ref="Y228" ca="1">IF($R228&lt;&gt;"",
INDIRECT(""&amp;IF(COLUMN(J248)&lt;=26,CHAR(COLUMN(J248)+64),CHAR(INT((COLUMN(J248)-1)/26)+64)&amp;CHAR(MOD(COLUMN(J248)-1,26)+65))&amp;$R228&amp;""),"")</f>
        <v/>
      </c>
      <c r="Z228" s="51" t="str">
        <f t="array" aca="1" ref="Z228" ca="1">IF($R228&lt;&gt;"",
INDIRECT(""&amp;IF(COLUMN(K248)&lt;=26,CHAR(COLUMN(K248)+64),CHAR(INT((COLUMN(K248)-1)/26)+64)&amp;CHAR(MOD(COLUMN(K248)-1,26)+65))&amp;$R228&amp;""),"")</f>
        <v/>
      </c>
      <c r="AA228" s="51" t="str">
        <f t="array" aca="1" ref="AA228" ca="1">IF($R228&lt;&gt;"",
INDIRECT(""&amp;IF(COLUMN(L248)&lt;=26,CHAR(COLUMN(L248)+64),CHAR(INT((COLUMN(L248)-1)/26)+64)&amp;CHAR(MOD(COLUMN(L248)-1,26)+65))&amp;$R228&amp;""),"")</f>
        <v/>
      </c>
      <c r="AB228" s="51" t="str">
        <f t="array" aca="1" ref="AB228" ca="1">IF($R228&lt;&gt;"",
INDIRECT(""&amp;IF(COLUMN(O248)&lt;=26,CHAR(COLUMN(O248)+64),CHAR(INT((COLUMN(O248)-1)/26)+64)&amp;CHAR(MOD(COLUMN(O248)-1,26)+65))&amp;$R228&amp;""),"")</f>
        <v/>
      </c>
    </row>
    <row r="229" spans="2:28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60" t="str">
        <f ca="1">IF(C229&lt;&gt;"",
IF(IF(COUNTIF(C229,"*キャラ*"),
VLOOKUP("*キャラ*",#REF!,7,FALSE),
IF(COUNTIF(C229,"*赤*"),
VLOOKUP("*赤*",#REF!,7,FALSE),
VLOOKUP(C229,#REF!,7,FALSE)))=0,"",
IF(H229&lt;&gt;"",
IF(ROUND(
H229/IF(COUNTIF(C229,"*キャラ*"),
VLOOKUP("*キャラ*",#REF!,7,FALSE),
IF(COUNTIF(C229,"*赤*"),
VLOOKUP("*赤*",#REF!,7,FALSE),
VLOOKUP(C229,#REF!,7,FALSE))),0)&lt;=0,1,
ROUND(
H229/IF(COUNTIF(C229,"*キャラ*"),
VLOOKUP("*キャラ*",#REF!,7,FALSE),
IF(COUNTIF(C229,"*赤*"),
VLOOKUP("*赤*",#REF!,7,FALSE),
VLOOKUP(C229,#REF!,7,FALSE))),0)),"")),"")</f>
        <v/>
      </c>
      <c r="G229" s="61" t="str">
        <f ca="1">IF(F229&lt;&gt;"",IF(VALUE(H229)&gt;VALUE(IF(COUNTIF(C229,"*キャラ*"),
VLOOKUP("*キャラ*",#REF!,7,FALSE),
IF(COUNTIF(C229,"*赤*"),
VLOOKUP("*赤*",#REF!,7,FALSE),
VLOOKUP(C229,#REF!,7,FALSE)))*F229),
"+"&amp;H229-IF(COUNTIF(C229,"*キャラ*"),
VLOOKUP("*キャラ*",#REF!,7,FALSE),
IF(COUNTIF(C229,"*赤*"),
VLOOKUP("*赤*",#REF!,7,FALSE),
VLOOKUP(C229,#REF!,7,FALSE)))*F229,
H229-IF(COUNTIF(C229,"*キャラ*"),
VLOOKUP("*キャラ*",#REF!,7,FALSE),
IF(COUNTIF(C229,"*赤*"),
VLOOKUP("*赤*",#REF!,7,FALSE),
VLOOKUP(C229,#REF!,7,FALSE)))*F229),"")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K229" s="59" t="str">
        <f t="shared" ca="1" si="60"/>
        <v/>
      </c>
      <c r="L229" s="59" t="str">
        <f t="shared" ca="1" si="61"/>
        <v/>
      </c>
      <c r="M229" s="59"/>
      <c r="N229" s="59"/>
      <c r="O229" s="59"/>
      <c r="P229" s="59" t="str">
        <f t="shared" ca="1" si="62"/>
        <v/>
      </c>
      <c r="Q229" s="59" t="str">
        <f t="shared" ca="1" si="63"/>
        <v/>
      </c>
      <c r="R229" s="51" t="str" cm="1">
        <f t="array" aca="1" ref="R229" ca="1">IFERROR(SMALL(IF(P$1:P$300&lt;&gt;0,P$1:P$300),ROW(A229)),"")</f>
        <v/>
      </c>
      <c r="S229" s="51" t="str">
        <f t="array" aca="1" ref="S229" ca="1">IF($R229&lt;&gt;"",
INDIRECT(""&amp;IF(COLUMN(C249)&lt;=26,CHAR(COLUMN(C249)+64),CHAR(INT((COLUMN(C249)-1)/26)+64)&amp;CHAR(MOD(COLUMN(C249)-1,26)+65))&amp;$R229&amp;""),"")</f>
        <v/>
      </c>
      <c r="T229" s="51" t="str">
        <f t="array" aca="1" ref="T229" ca="1">IF($R229&lt;&gt;"",
INDIRECT(""&amp;IF(COLUMN(D249)&lt;=26,CHAR(COLUMN(D249)+64),CHAR(INT((COLUMN(D249)-1)/26)+64)&amp;CHAR(MOD(COLUMN(D249)-1,26)+65))&amp;$R229&amp;""),"")</f>
        <v/>
      </c>
      <c r="U229" s="51"/>
      <c r="V229" s="51" t="str">
        <f t="array" aca="1" ref="V229" ca="1">IF($R229&lt;&gt;"",
IF(U229="",
IF(INDIRECT("EY"&amp;$R229&amp;"")&lt;&gt;"",
INDIRECT("EY"&amp;$R229&amp;"")&amp;"箱"
&amp;INDIRECT("EZ"&amp;$R229&amp;""),""),""),"")</f>
        <v/>
      </c>
      <c r="W229" s="51" t="str">
        <f t="array" aca="1" ref="W229" ca="1">IF($R229&lt;&gt;"",
INDIRECT(""&amp;IF(COLUMN(H249)&lt;=26,CHAR(COLUMN(H249)+64),CHAR(INT((COLUMN(H249)-1)/26)+64)&amp;CHAR(MOD(COLUMN(H249)-1,26)+65))&amp;$R229&amp;""),"")</f>
        <v/>
      </c>
      <c r="X229" s="51" t="str">
        <f t="array" aca="1" ref="X229" ca="1">IF($R229&lt;&gt;"",
INDIRECT(""&amp;IF(COLUMN(I249)&lt;=26,CHAR(COLUMN(I249)+64),CHAR(INT((COLUMN(I249)-1)/26)+64)&amp;CHAR(MOD(COLUMN(I249)-1,26)+65))&amp;$R229&amp;""),"")</f>
        <v/>
      </c>
      <c r="Y229" s="51" t="str">
        <f t="array" aca="1" ref="Y229" ca="1">IF($R229&lt;&gt;"",
INDIRECT(""&amp;IF(COLUMN(J249)&lt;=26,CHAR(COLUMN(J249)+64),CHAR(INT((COLUMN(J249)-1)/26)+64)&amp;CHAR(MOD(COLUMN(J249)-1,26)+65))&amp;$R229&amp;""),"")</f>
        <v/>
      </c>
      <c r="Z229" s="51" t="str">
        <f t="array" aca="1" ref="Z229" ca="1">IF($R229&lt;&gt;"",
INDIRECT(""&amp;IF(COLUMN(K249)&lt;=26,CHAR(COLUMN(K249)+64),CHAR(INT((COLUMN(K249)-1)/26)+64)&amp;CHAR(MOD(COLUMN(K249)-1,26)+65))&amp;$R229&amp;""),"")</f>
        <v/>
      </c>
      <c r="AA229" s="51" t="str">
        <f t="array" aca="1" ref="AA229" ca="1">IF($R229&lt;&gt;"",
INDIRECT(""&amp;IF(COLUMN(L249)&lt;=26,CHAR(COLUMN(L249)+64),CHAR(INT((COLUMN(L249)-1)/26)+64)&amp;CHAR(MOD(COLUMN(L249)-1,26)+65))&amp;$R229&amp;""),"")</f>
        <v/>
      </c>
      <c r="AB229" s="51" t="str">
        <f t="array" aca="1" ref="AB229" ca="1">IF($R229&lt;&gt;"",
INDIRECT(""&amp;IF(COLUMN(O249)&lt;=26,CHAR(COLUMN(O249)+64),CHAR(INT((COLUMN(O249)-1)/26)+64)&amp;CHAR(MOD(COLUMN(O249)-1,26)+65))&amp;$R229&amp;""),"")</f>
        <v/>
      </c>
    </row>
    <row r="230" spans="2:28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60" t="str">
        <f ca="1">IF(C230&lt;&gt;"",
IF(IF(COUNTIF(C230,"*キャラ*"),
VLOOKUP("*キャラ*",#REF!,7,FALSE),
IF(COUNTIF(C230,"*赤*"),
VLOOKUP("*赤*",#REF!,7,FALSE),
VLOOKUP(C230,#REF!,7,FALSE)))=0,"",
IF(H230&lt;&gt;"",
IF(ROUND(
H230/IF(COUNTIF(C230,"*キャラ*"),
VLOOKUP("*キャラ*",#REF!,7,FALSE),
IF(COUNTIF(C230,"*赤*"),
VLOOKUP("*赤*",#REF!,7,FALSE),
VLOOKUP(C230,#REF!,7,FALSE))),0)&lt;=0,1,
ROUND(
H230/IF(COUNTIF(C230,"*キャラ*"),
VLOOKUP("*キャラ*",#REF!,7,FALSE),
IF(COUNTIF(C230,"*赤*"),
VLOOKUP("*赤*",#REF!,7,FALSE),
VLOOKUP(C230,#REF!,7,FALSE))),0)),"")),"")</f>
        <v/>
      </c>
      <c r="G230" s="61" t="str">
        <f ca="1">IF(F230&lt;&gt;"",IF(VALUE(H230)&gt;VALUE(IF(COUNTIF(C230,"*キャラ*"),
VLOOKUP("*キャラ*",#REF!,7,FALSE),
IF(COUNTIF(C230,"*赤*"),
VLOOKUP("*赤*",#REF!,7,FALSE),
VLOOKUP(C230,#REF!,7,FALSE)))*F230),
"+"&amp;H230-IF(COUNTIF(C230,"*キャラ*"),
VLOOKUP("*キャラ*",#REF!,7,FALSE),
IF(COUNTIF(C230,"*赤*"),
VLOOKUP("*赤*",#REF!,7,FALSE),
VLOOKUP(C230,#REF!,7,FALSE)))*F230,
H230-IF(COUNTIF(C230,"*キャラ*"),
VLOOKUP("*キャラ*",#REF!,7,FALSE),
IF(COUNTIF(C230,"*赤*"),
VLOOKUP("*赤*",#REF!,7,FALSE),
VLOOKUP(C230,#REF!,7,FALSE)))*F230),"")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K230" s="59" t="str">
        <f t="shared" ca="1" si="60"/>
        <v/>
      </c>
      <c r="L230" s="59" t="str">
        <f t="shared" ca="1" si="61"/>
        <v/>
      </c>
      <c r="M230" s="59"/>
      <c r="N230" s="59"/>
      <c r="O230" s="59"/>
      <c r="P230" s="59" t="str">
        <f t="shared" ca="1" si="62"/>
        <v/>
      </c>
      <c r="Q230" s="59" t="str">
        <f t="shared" ca="1" si="63"/>
        <v/>
      </c>
      <c r="R230" s="51" t="str" cm="1">
        <f t="array" aca="1" ref="R230" ca="1">IFERROR(SMALL(IF(P$1:P$300&lt;&gt;0,P$1:P$300),ROW(A230)),"")</f>
        <v/>
      </c>
      <c r="S230" s="51" t="str">
        <f t="array" aca="1" ref="S230" ca="1">IF($R230&lt;&gt;"",
INDIRECT(""&amp;IF(COLUMN(C250)&lt;=26,CHAR(COLUMN(C250)+64),CHAR(INT((COLUMN(C250)-1)/26)+64)&amp;CHAR(MOD(COLUMN(C250)-1,26)+65))&amp;$R230&amp;""),"")</f>
        <v/>
      </c>
      <c r="T230" s="51" t="str">
        <f t="array" aca="1" ref="T230" ca="1">IF($R230&lt;&gt;"",
INDIRECT(""&amp;IF(COLUMN(D250)&lt;=26,CHAR(COLUMN(D250)+64),CHAR(INT((COLUMN(D250)-1)/26)+64)&amp;CHAR(MOD(COLUMN(D250)-1,26)+65))&amp;$R230&amp;""),"")</f>
        <v/>
      </c>
      <c r="U230" s="51"/>
      <c r="V230" s="51" t="str">
        <f t="array" aca="1" ref="V230" ca="1">IF($R230&lt;&gt;"",
IF(U230="",
IF(INDIRECT("EY"&amp;$R230&amp;"")&lt;&gt;"",
INDIRECT("EY"&amp;$R230&amp;"")&amp;"箱"
&amp;INDIRECT("EZ"&amp;$R230&amp;""),""),""),"")</f>
        <v/>
      </c>
      <c r="W230" s="51" t="str">
        <f t="array" aca="1" ref="W230" ca="1">IF($R230&lt;&gt;"",
INDIRECT(""&amp;IF(COLUMN(H250)&lt;=26,CHAR(COLUMN(H250)+64),CHAR(INT((COLUMN(H250)-1)/26)+64)&amp;CHAR(MOD(COLUMN(H250)-1,26)+65))&amp;$R230&amp;""),"")</f>
        <v/>
      </c>
      <c r="X230" s="51" t="str">
        <f t="array" aca="1" ref="X230" ca="1">IF($R230&lt;&gt;"",
INDIRECT(""&amp;IF(COLUMN(I250)&lt;=26,CHAR(COLUMN(I250)+64),CHAR(INT((COLUMN(I250)-1)/26)+64)&amp;CHAR(MOD(COLUMN(I250)-1,26)+65))&amp;$R230&amp;""),"")</f>
        <v/>
      </c>
      <c r="Y230" s="51" t="str">
        <f t="array" aca="1" ref="Y230" ca="1">IF($R230&lt;&gt;"",
INDIRECT(""&amp;IF(COLUMN(J250)&lt;=26,CHAR(COLUMN(J250)+64),CHAR(INT((COLUMN(J250)-1)/26)+64)&amp;CHAR(MOD(COLUMN(J250)-1,26)+65))&amp;$R230&amp;""),"")</f>
        <v/>
      </c>
      <c r="Z230" s="51" t="str">
        <f t="array" aca="1" ref="Z230" ca="1">IF($R230&lt;&gt;"",
INDIRECT(""&amp;IF(COLUMN(K250)&lt;=26,CHAR(COLUMN(K250)+64),CHAR(INT((COLUMN(K250)-1)/26)+64)&amp;CHAR(MOD(COLUMN(K250)-1,26)+65))&amp;$R230&amp;""),"")</f>
        <v/>
      </c>
      <c r="AA230" s="51" t="str">
        <f t="array" aca="1" ref="AA230" ca="1">IF($R230&lt;&gt;"",
INDIRECT(""&amp;IF(COLUMN(L250)&lt;=26,CHAR(COLUMN(L250)+64),CHAR(INT((COLUMN(L250)-1)/26)+64)&amp;CHAR(MOD(COLUMN(L250)-1,26)+65))&amp;$R230&amp;""),"")</f>
        <v/>
      </c>
      <c r="AB230" s="51" t="str">
        <f t="array" aca="1" ref="AB230" ca="1">IF($R230&lt;&gt;"",
INDIRECT(""&amp;IF(COLUMN(O250)&lt;=26,CHAR(COLUMN(O250)+64),CHAR(INT((COLUMN(O250)-1)/26)+64)&amp;CHAR(MOD(COLUMN(O250)-1,26)+65))&amp;$R230&amp;""),"")</f>
        <v/>
      </c>
    </row>
    <row r="231" spans="2:28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60" t="e">
        <f ca="1">IF(C231&lt;&gt;"",
IF(IF(COUNTIF(C231,"*キャラ*"),
VLOOKUP("*キャラ*",#REF!,7,FALSE),
IF(COUNTIF(C231,"*赤*"),
VLOOKUP("*赤*",#REF!,7,FALSE),
VLOOKUP(C231,#REF!,7,FALSE)))=0,"",
IF(H231&lt;&gt;"",
IF(ROUND(
H231/IF(COUNTIF(C231,"*キャラ*"),
VLOOKUP("*キャラ*",#REF!,7,FALSE),
IF(COUNTIF(C231,"*赤*"),
VLOOKUP("*赤*",#REF!,7,FALSE),
VLOOKUP(C231,#REF!,7,FALSE))),0)&lt;=0,1,
ROUND(
H231/IF(COUNTIF(C231,"*キャラ*"),
VLOOKUP("*キャラ*",#REF!,7,FALSE),
IF(COUNTIF(C231,"*赤*"),
VLOOKUP("*赤*",#REF!,7,FALSE),
VLOOKUP(C231,#REF!,7,FALSE))),0)),"")),"")</f>
        <v>#REF!</v>
      </c>
      <c r="G231" s="61" t="e">
        <f ca="1">IF(F231&lt;&gt;"",IF(VALUE(H231)&gt;VALUE(IF(COUNTIF(C231,"*キャラ*"),
VLOOKUP("*キャラ*",#REF!,7,FALSE),
IF(COUNTIF(C231,"*赤*"),
VLOOKUP("*赤*",#REF!,7,FALSE),
VLOOKUP(C231,#REF!,7,FALSE)))*F231),
"+"&amp;H231-IF(COUNTIF(C231,"*キャラ*"),
VLOOKUP("*キャラ*",#REF!,7,FALSE),
IF(COUNTIF(C231,"*赤*"),
VLOOKUP("*赤*",#REF!,7,FALSE),
VLOOKUP(C231,#REF!,7,FALSE)))*F231,
H231-IF(COUNTIF(C231,"*キャラ*"),
VLOOKUP("*キャラ*",#REF!,7,FALSE),
IF(COUNTIF(C231,"*赤*"),
VLOOKUP("*赤*",#REF!,7,FALSE),
VLOOKUP(C231,#REF!,7,FALSE)))*F231),"")</f>
        <v>#REF!</v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K231" s="59" t="str">
        <f t="shared" ca="1" si="60"/>
        <v/>
      </c>
      <c r="L231" s="59" t="str">
        <f t="shared" ca="1" si="61"/>
        <v/>
      </c>
      <c r="M231" s="59"/>
      <c r="N231" s="59"/>
      <c r="O231" s="59"/>
      <c r="P231" s="59" t="str">
        <f t="shared" ca="1" si="62"/>
        <v/>
      </c>
      <c r="Q231" s="59" t="str">
        <f t="shared" ca="1" si="63"/>
        <v/>
      </c>
      <c r="R231" s="51" t="str" cm="1">
        <f t="array" aca="1" ref="R231" ca="1">IFERROR(SMALL(IF(P$1:P$300&lt;&gt;0,P$1:P$300),ROW(A231)),"")</f>
        <v/>
      </c>
      <c r="S231" s="51" t="str">
        <f t="array" aca="1" ref="S231" ca="1">IF($R231&lt;&gt;"",
INDIRECT(""&amp;IF(COLUMN(C251)&lt;=26,CHAR(COLUMN(C251)+64),CHAR(INT((COLUMN(C251)-1)/26)+64)&amp;CHAR(MOD(COLUMN(C251)-1,26)+65))&amp;$R231&amp;""),"")</f>
        <v/>
      </c>
      <c r="T231" s="51" t="str">
        <f t="array" aca="1" ref="T231" ca="1">IF($R231&lt;&gt;"",
INDIRECT(""&amp;IF(COLUMN(D251)&lt;=26,CHAR(COLUMN(D251)+64),CHAR(INT((COLUMN(D251)-1)/26)+64)&amp;CHAR(MOD(COLUMN(D251)-1,26)+65))&amp;$R231&amp;""),"")</f>
        <v/>
      </c>
      <c r="U231" s="51"/>
      <c r="V231" s="51" t="str">
        <f t="array" aca="1" ref="V231" ca="1">IF($R231&lt;&gt;"",
IF(U231="",
IF(INDIRECT("EY"&amp;$R231&amp;"")&lt;&gt;"",
INDIRECT("EY"&amp;$R231&amp;"")&amp;"箱"
&amp;INDIRECT("EZ"&amp;$R231&amp;""),""),""),"")</f>
        <v/>
      </c>
      <c r="W231" s="51" t="str">
        <f t="array" aca="1" ref="W231" ca="1">IF($R231&lt;&gt;"",
INDIRECT(""&amp;IF(COLUMN(H251)&lt;=26,CHAR(COLUMN(H251)+64),CHAR(INT((COLUMN(H251)-1)/26)+64)&amp;CHAR(MOD(COLUMN(H251)-1,26)+65))&amp;$R231&amp;""),"")</f>
        <v/>
      </c>
      <c r="X231" s="51" t="str">
        <f t="array" aca="1" ref="X231" ca="1">IF($R231&lt;&gt;"",
INDIRECT(""&amp;IF(COLUMN(I251)&lt;=26,CHAR(COLUMN(I251)+64),CHAR(INT((COLUMN(I251)-1)/26)+64)&amp;CHAR(MOD(COLUMN(I251)-1,26)+65))&amp;$R231&amp;""),"")</f>
        <v/>
      </c>
      <c r="Y231" s="51" t="str">
        <f t="array" aca="1" ref="Y231" ca="1">IF($R231&lt;&gt;"",
INDIRECT(""&amp;IF(COLUMN(J251)&lt;=26,CHAR(COLUMN(J251)+64),CHAR(INT((COLUMN(J251)-1)/26)+64)&amp;CHAR(MOD(COLUMN(J251)-1,26)+65))&amp;$R231&amp;""),"")</f>
        <v/>
      </c>
      <c r="Z231" s="51" t="str">
        <f t="array" aca="1" ref="Z231" ca="1">IF($R231&lt;&gt;"",
INDIRECT(""&amp;IF(COLUMN(K251)&lt;=26,CHAR(COLUMN(K251)+64),CHAR(INT((COLUMN(K251)-1)/26)+64)&amp;CHAR(MOD(COLUMN(K251)-1,26)+65))&amp;$R231&amp;""),"")</f>
        <v/>
      </c>
      <c r="AA231" s="51" t="str">
        <f t="array" aca="1" ref="AA231" ca="1">IF($R231&lt;&gt;"",
INDIRECT(""&amp;IF(COLUMN(L251)&lt;=26,CHAR(COLUMN(L251)+64),CHAR(INT((COLUMN(L251)-1)/26)+64)&amp;CHAR(MOD(COLUMN(L251)-1,26)+65))&amp;$R231&amp;""),"")</f>
        <v/>
      </c>
      <c r="AB231" s="51" t="str">
        <f t="array" aca="1" ref="AB231" ca="1">IF($R231&lt;&gt;"",
INDIRECT(""&amp;IF(COLUMN(O251)&lt;=26,CHAR(COLUMN(O251)+64),CHAR(INT((COLUMN(O251)-1)/26)+64)&amp;CHAR(MOD(COLUMN(O251)-1,26)+65))&amp;$R231&amp;""),"")</f>
        <v/>
      </c>
    </row>
    <row r="232" spans="2:28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60" t="str">
        <f ca="1">IF(C232&lt;&gt;"",
IF(IF(COUNTIF(C232,"*キャラ*"),
VLOOKUP("*キャラ*",#REF!,7,FALSE),
IF(COUNTIF(C232,"*赤*"),
VLOOKUP("*赤*",#REF!,7,FALSE),
VLOOKUP(C232,#REF!,7,FALSE)))=0,"",
IF(H232&lt;&gt;"",
IF(ROUND(
H232/IF(COUNTIF(C232,"*キャラ*"),
VLOOKUP("*キャラ*",#REF!,7,FALSE),
IF(COUNTIF(C232,"*赤*"),
VLOOKUP("*赤*",#REF!,7,FALSE),
VLOOKUP(C232,#REF!,7,FALSE))),0)&lt;=0,1,
ROUND(
H232/IF(COUNTIF(C232,"*キャラ*"),
VLOOKUP("*キャラ*",#REF!,7,FALSE),
IF(COUNTIF(C232,"*赤*"),
VLOOKUP("*赤*",#REF!,7,FALSE),
VLOOKUP(C232,#REF!,7,FALSE))),0)),"")),"")</f>
        <v/>
      </c>
      <c r="G232" s="61" t="str">
        <f ca="1">IF(F232&lt;&gt;"",IF(VALUE(H232)&gt;VALUE(IF(COUNTIF(C232,"*キャラ*"),
VLOOKUP("*キャラ*",#REF!,7,FALSE),
IF(COUNTIF(C232,"*赤*"),
VLOOKUP("*赤*",#REF!,7,FALSE),
VLOOKUP(C232,#REF!,7,FALSE)))*F232),
"+"&amp;H232-IF(COUNTIF(C232,"*キャラ*"),
VLOOKUP("*キャラ*",#REF!,7,FALSE),
IF(COUNTIF(C232,"*赤*"),
VLOOKUP("*赤*",#REF!,7,FALSE),
VLOOKUP(C232,#REF!,7,FALSE)))*F232,
H232-IF(COUNTIF(C232,"*キャラ*"),
VLOOKUP("*キャラ*",#REF!,7,FALSE),
IF(COUNTIF(C232,"*赤*"),
VLOOKUP("*赤*",#REF!,7,FALSE),
VLOOKUP(C232,#REF!,7,FALSE)))*F232),"")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K232" s="59" t="str">
        <f t="shared" ca="1" si="60"/>
        <v/>
      </c>
      <c r="L232" s="59" t="str">
        <f t="shared" ca="1" si="61"/>
        <v/>
      </c>
      <c r="M232" s="59"/>
      <c r="N232" s="59"/>
      <c r="O232" s="59"/>
      <c r="P232" s="59" t="str">
        <f t="shared" ca="1" si="62"/>
        <v/>
      </c>
      <c r="Q232" s="59" t="str">
        <f t="shared" ca="1" si="63"/>
        <v/>
      </c>
      <c r="R232" s="51" t="str" cm="1">
        <f t="array" aca="1" ref="R232" ca="1">IFERROR(SMALL(IF(P$1:P$300&lt;&gt;0,P$1:P$300),ROW(A232)),"")</f>
        <v/>
      </c>
      <c r="S232" s="51" t="str">
        <f t="array" aca="1" ref="S232" ca="1">IF($R232&lt;&gt;"",
INDIRECT(""&amp;IF(COLUMN(C252)&lt;=26,CHAR(COLUMN(C252)+64),CHAR(INT((COLUMN(C252)-1)/26)+64)&amp;CHAR(MOD(COLUMN(C252)-1,26)+65))&amp;$R232&amp;""),"")</f>
        <v/>
      </c>
      <c r="T232" s="51" t="str">
        <f t="array" aca="1" ref="T232" ca="1">IF($R232&lt;&gt;"",
INDIRECT(""&amp;IF(COLUMN(D252)&lt;=26,CHAR(COLUMN(D252)+64),CHAR(INT((COLUMN(D252)-1)/26)+64)&amp;CHAR(MOD(COLUMN(D252)-1,26)+65))&amp;$R232&amp;""),"")</f>
        <v/>
      </c>
      <c r="U232" s="51"/>
      <c r="V232" s="51" t="str">
        <f t="array" aca="1" ref="V232" ca="1">IF($R232&lt;&gt;"",
IF(U232="",
IF(INDIRECT("EY"&amp;$R232&amp;"")&lt;&gt;"",
INDIRECT("EY"&amp;$R232&amp;"")&amp;"箱"
&amp;INDIRECT("EZ"&amp;$R232&amp;""),""),""),"")</f>
        <v/>
      </c>
      <c r="W232" s="51" t="str">
        <f t="array" aca="1" ref="W232" ca="1">IF($R232&lt;&gt;"",
INDIRECT(""&amp;IF(COLUMN(H252)&lt;=26,CHAR(COLUMN(H252)+64),CHAR(INT((COLUMN(H252)-1)/26)+64)&amp;CHAR(MOD(COLUMN(H252)-1,26)+65))&amp;$R232&amp;""),"")</f>
        <v/>
      </c>
      <c r="X232" s="51" t="str">
        <f t="array" aca="1" ref="X232" ca="1">IF($R232&lt;&gt;"",
INDIRECT(""&amp;IF(COLUMN(I252)&lt;=26,CHAR(COLUMN(I252)+64),CHAR(INT((COLUMN(I252)-1)/26)+64)&amp;CHAR(MOD(COLUMN(I252)-1,26)+65))&amp;$R232&amp;""),"")</f>
        <v/>
      </c>
      <c r="Y232" s="51" t="str">
        <f t="array" aca="1" ref="Y232" ca="1">IF($R232&lt;&gt;"",
INDIRECT(""&amp;IF(COLUMN(J252)&lt;=26,CHAR(COLUMN(J252)+64),CHAR(INT((COLUMN(J252)-1)/26)+64)&amp;CHAR(MOD(COLUMN(J252)-1,26)+65))&amp;$R232&amp;""),"")</f>
        <v/>
      </c>
      <c r="Z232" s="51" t="str">
        <f t="array" aca="1" ref="Z232" ca="1">IF($R232&lt;&gt;"",
INDIRECT(""&amp;IF(COLUMN(K252)&lt;=26,CHAR(COLUMN(K252)+64),CHAR(INT((COLUMN(K252)-1)/26)+64)&amp;CHAR(MOD(COLUMN(K252)-1,26)+65))&amp;$R232&amp;""),"")</f>
        <v/>
      </c>
      <c r="AA232" s="51" t="str">
        <f t="array" aca="1" ref="AA232" ca="1">IF($R232&lt;&gt;"",
INDIRECT(""&amp;IF(COLUMN(L252)&lt;=26,CHAR(COLUMN(L252)+64),CHAR(INT((COLUMN(L252)-1)/26)+64)&amp;CHAR(MOD(COLUMN(L252)-1,26)+65))&amp;$R232&amp;""),"")</f>
        <v/>
      </c>
      <c r="AB232" s="51" t="str">
        <f t="array" aca="1" ref="AB232" ca="1">IF($R232&lt;&gt;"",
INDIRECT(""&amp;IF(COLUMN(O252)&lt;=26,CHAR(COLUMN(O252)+64),CHAR(INT((COLUMN(O252)-1)/26)+64)&amp;CHAR(MOD(COLUMN(O252)-1,26)+65))&amp;$R232&amp;""),"")</f>
        <v/>
      </c>
    </row>
    <row r="233" spans="2:28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60" t="str">
        <f ca="1">IF(C233&lt;&gt;"",
IF(IF(COUNTIF(C233,"*キャラ*"),
VLOOKUP("*キャラ*",#REF!,7,FALSE),
IF(COUNTIF(C233,"*赤*"),
VLOOKUP("*赤*",#REF!,7,FALSE),
VLOOKUP(C233,#REF!,7,FALSE)))=0,"",
IF(H233&lt;&gt;"",
IF(ROUND(
H233/IF(COUNTIF(C233,"*キャラ*"),
VLOOKUP("*キャラ*",#REF!,7,FALSE),
IF(COUNTIF(C233,"*赤*"),
VLOOKUP("*赤*",#REF!,7,FALSE),
VLOOKUP(C233,#REF!,7,FALSE))),0)&lt;=0,1,
ROUND(
H233/IF(COUNTIF(C233,"*キャラ*"),
VLOOKUP("*キャラ*",#REF!,7,FALSE),
IF(COUNTIF(C233,"*赤*"),
VLOOKUP("*赤*",#REF!,7,FALSE),
VLOOKUP(C233,#REF!,7,FALSE))),0)),"")),"")</f>
        <v/>
      </c>
      <c r="G233" s="61" t="str">
        <f ca="1">IF(F233&lt;&gt;"",IF(VALUE(H233)&gt;VALUE(IF(COUNTIF(C233,"*キャラ*"),
VLOOKUP("*キャラ*",#REF!,7,FALSE),
IF(COUNTIF(C233,"*赤*"),
VLOOKUP("*赤*",#REF!,7,FALSE),
VLOOKUP(C233,#REF!,7,FALSE)))*F233),
"+"&amp;H233-IF(COUNTIF(C233,"*キャラ*"),
VLOOKUP("*キャラ*",#REF!,7,FALSE),
IF(COUNTIF(C233,"*赤*"),
VLOOKUP("*赤*",#REF!,7,FALSE),
VLOOKUP(C233,#REF!,7,FALSE)))*F233,
H233-IF(COUNTIF(C233,"*キャラ*"),
VLOOKUP("*キャラ*",#REF!,7,FALSE),
IF(COUNTIF(C233,"*赤*"),
VLOOKUP("*赤*",#REF!,7,FALSE),
VLOOKUP(C233,#REF!,7,FALSE)))*F233),"")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K233" s="59" t="str">
        <f t="shared" ca="1" si="60"/>
        <v/>
      </c>
      <c r="L233" s="59" t="str">
        <f t="shared" ca="1" si="61"/>
        <v/>
      </c>
      <c r="M233" s="59"/>
      <c r="N233" s="59"/>
      <c r="O233" s="59"/>
      <c r="P233" s="59" t="str">
        <f t="shared" ca="1" si="62"/>
        <v/>
      </c>
      <c r="Q233" s="59" t="str">
        <f t="shared" ca="1" si="63"/>
        <v/>
      </c>
      <c r="R233" s="51" t="str" cm="1">
        <f t="array" aca="1" ref="R233" ca="1">IFERROR(SMALL(IF(P$1:P$300&lt;&gt;0,P$1:P$300),ROW(A233)),"")</f>
        <v/>
      </c>
      <c r="S233" s="51" t="str">
        <f t="array" aca="1" ref="S233" ca="1">IF($R233&lt;&gt;"",
INDIRECT(""&amp;IF(COLUMN(C253)&lt;=26,CHAR(COLUMN(C253)+64),CHAR(INT((COLUMN(C253)-1)/26)+64)&amp;CHAR(MOD(COLUMN(C253)-1,26)+65))&amp;$R233&amp;""),"")</f>
        <v/>
      </c>
      <c r="T233" s="51" t="str">
        <f t="array" aca="1" ref="T233" ca="1">IF($R233&lt;&gt;"",
INDIRECT(""&amp;IF(COLUMN(D253)&lt;=26,CHAR(COLUMN(D253)+64),CHAR(INT((COLUMN(D253)-1)/26)+64)&amp;CHAR(MOD(COLUMN(D253)-1,26)+65))&amp;$R233&amp;""),"")</f>
        <v/>
      </c>
      <c r="U233" s="51"/>
      <c r="V233" s="51" t="str">
        <f t="array" aca="1" ref="V233" ca="1">IF($R233&lt;&gt;"",
IF(U233="",
IF(INDIRECT("EY"&amp;$R233&amp;"")&lt;&gt;"",
INDIRECT("EY"&amp;$R233&amp;"")&amp;"箱"
&amp;INDIRECT("EZ"&amp;$R233&amp;""),""),""),"")</f>
        <v/>
      </c>
      <c r="W233" s="51" t="str">
        <f t="array" aca="1" ref="W233" ca="1">IF($R233&lt;&gt;"",
INDIRECT(""&amp;IF(COLUMN(H253)&lt;=26,CHAR(COLUMN(H253)+64),CHAR(INT((COLUMN(H253)-1)/26)+64)&amp;CHAR(MOD(COLUMN(H253)-1,26)+65))&amp;$R233&amp;""),"")</f>
        <v/>
      </c>
      <c r="X233" s="51" t="str">
        <f t="array" aca="1" ref="X233" ca="1">IF($R233&lt;&gt;"",
INDIRECT(""&amp;IF(COLUMN(I253)&lt;=26,CHAR(COLUMN(I253)+64),CHAR(INT((COLUMN(I253)-1)/26)+64)&amp;CHAR(MOD(COLUMN(I253)-1,26)+65))&amp;$R233&amp;""),"")</f>
        <v/>
      </c>
      <c r="Y233" s="51" t="str">
        <f t="array" aca="1" ref="Y233" ca="1">IF($R233&lt;&gt;"",
INDIRECT(""&amp;IF(COLUMN(J253)&lt;=26,CHAR(COLUMN(J253)+64),CHAR(INT((COLUMN(J253)-1)/26)+64)&amp;CHAR(MOD(COLUMN(J253)-1,26)+65))&amp;$R233&amp;""),"")</f>
        <v/>
      </c>
      <c r="Z233" s="51" t="str">
        <f t="array" aca="1" ref="Z233" ca="1">IF($R233&lt;&gt;"",
INDIRECT(""&amp;IF(COLUMN(K253)&lt;=26,CHAR(COLUMN(K253)+64),CHAR(INT((COLUMN(K253)-1)/26)+64)&amp;CHAR(MOD(COLUMN(K253)-1,26)+65))&amp;$R233&amp;""),"")</f>
        <v/>
      </c>
      <c r="AA233" s="51" t="str">
        <f t="array" aca="1" ref="AA233" ca="1">IF($R233&lt;&gt;"",
INDIRECT(""&amp;IF(COLUMN(L253)&lt;=26,CHAR(COLUMN(L253)+64),CHAR(INT((COLUMN(L253)-1)/26)+64)&amp;CHAR(MOD(COLUMN(L253)-1,26)+65))&amp;$R233&amp;""),"")</f>
        <v/>
      </c>
      <c r="AB233" s="51" t="str">
        <f t="array" aca="1" ref="AB233" ca="1">IF($R233&lt;&gt;"",
INDIRECT(""&amp;IF(COLUMN(O253)&lt;=26,CHAR(COLUMN(O253)+64),CHAR(INT((COLUMN(O253)-1)/26)+64)&amp;CHAR(MOD(COLUMN(O253)-1,26)+65))&amp;$R233&amp;""),"")</f>
        <v/>
      </c>
    </row>
    <row r="234" spans="2:28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60" t="str">
        <f ca="1">IF(C234&lt;&gt;"",
IF(IF(COUNTIF(C234,"*キャラ*"),
VLOOKUP("*キャラ*",#REF!,7,FALSE),
IF(COUNTIF(C234,"*赤*"),
VLOOKUP("*赤*",#REF!,7,FALSE),
VLOOKUP(C234,#REF!,7,FALSE)))=0,"",
IF(H234&lt;&gt;"",
IF(ROUND(
H234/IF(COUNTIF(C234,"*キャラ*"),
VLOOKUP("*キャラ*",#REF!,7,FALSE),
IF(COUNTIF(C234,"*赤*"),
VLOOKUP("*赤*",#REF!,7,FALSE),
VLOOKUP(C234,#REF!,7,FALSE))),0)&lt;=0,1,
ROUND(
H234/IF(COUNTIF(C234,"*キャラ*"),
VLOOKUP("*キャラ*",#REF!,7,FALSE),
IF(COUNTIF(C234,"*赤*"),
VLOOKUP("*赤*",#REF!,7,FALSE),
VLOOKUP(C234,#REF!,7,FALSE))),0)),"")),"")</f>
        <v/>
      </c>
      <c r="G234" s="61" t="str">
        <f ca="1">IF(F234&lt;&gt;"",IF(VALUE(H234)&gt;VALUE(IF(COUNTIF(C234,"*キャラ*"),
VLOOKUP("*キャラ*",#REF!,7,FALSE),
IF(COUNTIF(C234,"*赤*"),
VLOOKUP("*赤*",#REF!,7,FALSE),
VLOOKUP(C234,#REF!,7,FALSE)))*F234),
"+"&amp;H234-IF(COUNTIF(C234,"*キャラ*"),
VLOOKUP("*キャラ*",#REF!,7,FALSE),
IF(COUNTIF(C234,"*赤*"),
VLOOKUP("*赤*",#REF!,7,FALSE),
VLOOKUP(C234,#REF!,7,FALSE)))*F234,
H234-IF(COUNTIF(C234,"*キャラ*"),
VLOOKUP("*キャラ*",#REF!,7,FALSE),
IF(COUNTIF(C234,"*赤*"),
VLOOKUP("*赤*",#REF!,7,FALSE),
VLOOKUP(C234,#REF!,7,FALSE)))*F234),"")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K234" s="59" t="str">
        <f t="shared" ca="1" si="60"/>
        <v/>
      </c>
      <c r="L234" s="59" t="str">
        <f t="shared" ca="1" si="61"/>
        <v/>
      </c>
      <c r="M234" s="59"/>
      <c r="N234" s="59"/>
      <c r="O234" s="59"/>
      <c r="P234" s="59" t="str">
        <f t="shared" ca="1" si="62"/>
        <v/>
      </c>
      <c r="Q234" s="59" t="str">
        <f t="shared" ca="1" si="63"/>
        <v/>
      </c>
      <c r="R234" s="51" t="str" cm="1">
        <f t="array" aca="1" ref="R234" ca="1">IFERROR(SMALL(IF(P$1:P$300&lt;&gt;0,P$1:P$300),ROW(A234)),"")</f>
        <v/>
      </c>
      <c r="S234" s="51" t="str">
        <f t="array" aca="1" ref="S234" ca="1">IF($R234&lt;&gt;"",
INDIRECT(""&amp;IF(COLUMN(C254)&lt;=26,CHAR(COLUMN(C254)+64),CHAR(INT((COLUMN(C254)-1)/26)+64)&amp;CHAR(MOD(COLUMN(C254)-1,26)+65))&amp;$R234&amp;""),"")</f>
        <v/>
      </c>
      <c r="T234" s="51" t="str">
        <f t="array" aca="1" ref="T234" ca="1">IF($R234&lt;&gt;"",
INDIRECT(""&amp;IF(COLUMN(D254)&lt;=26,CHAR(COLUMN(D254)+64),CHAR(INT((COLUMN(D254)-1)/26)+64)&amp;CHAR(MOD(COLUMN(D254)-1,26)+65))&amp;$R234&amp;""),"")</f>
        <v/>
      </c>
      <c r="U234" s="51"/>
      <c r="V234" s="51" t="str">
        <f t="array" aca="1" ref="V234" ca="1">IF($R234&lt;&gt;"",
IF(U234="",
IF(INDIRECT("EY"&amp;$R234&amp;"")&lt;&gt;"",
INDIRECT("EY"&amp;$R234&amp;"")&amp;"箱"
&amp;INDIRECT("EZ"&amp;$R234&amp;""),""),""),"")</f>
        <v/>
      </c>
      <c r="W234" s="51" t="str">
        <f t="array" aca="1" ref="W234" ca="1">IF($R234&lt;&gt;"",
INDIRECT(""&amp;IF(COLUMN(H254)&lt;=26,CHAR(COLUMN(H254)+64),CHAR(INT((COLUMN(H254)-1)/26)+64)&amp;CHAR(MOD(COLUMN(H254)-1,26)+65))&amp;$R234&amp;""),"")</f>
        <v/>
      </c>
      <c r="X234" s="51" t="str">
        <f t="array" aca="1" ref="X234" ca="1">IF($R234&lt;&gt;"",
INDIRECT(""&amp;IF(COLUMN(I254)&lt;=26,CHAR(COLUMN(I254)+64),CHAR(INT((COLUMN(I254)-1)/26)+64)&amp;CHAR(MOD(COLUMN(I254)-1,26)+65))&amp;$R234&amp;""),"")</f>
        <v/>
      </c>
      <c r="Y234" s="51" t="str">
        <f t="array" aca="1" ref="Y234" ca="1">IF($R234&lt;&gt;"",
INDIRECT(""&amp;IF(COLUMN(J254)&lt;=26,CHAR(COLUMN(J254)+64),CHAR(INT((COLUMN(J254)-1)/26)+64)&amp;CHAR(MOD(COLUMN(J254)-1,26)+65))&amp;$R234&amp;""),"")</f>
        <v/>
      </c>
      <c r="Z234" s="51" t="str">
        <f t="array" aca="1" ref="Z234" ca="1">IF($R234&lt;&gt;"",
INDIRECT(""&amp;IF(COLUMN(K254)&lt;=26,CHAR(COLUMN(K254)+64),CHAR(INT((COLUMN(K254)-1)/26)+64)&amp;CHAR(MOD(COLUMN(K254)-1,26)+65))&amp;$R234&amp;""),"")</f>
        <v/>
      </c>
      <c r="AA234" s="51" t="str">
        <f t="array" aca="1" ref="AA234" ca="1">IF($R234&lt;&gt;"",
INDIRECT(""&amp;IF(COLUMN(L254)&lt;=26,CHAR(COLUMN(L254)+64),CHAR(INT((COLUMN(L254)-1)/26)+64)&amp;CHAR(MOD(COLUMN(L254)-1,26)+65))&amp;$R234&amp;""),"")</f>
        <v/>
      </c>
      <c r="AB234" s="51" t="str">
        <f t="array" aca="1" ref="AB234" ca="1">IF($R234&lt;&gt;"",
INDIRECT(""&amp;IF(COLUMN(O254)&lt;=26,CHAR(COLUMN(O254)+64),CHAR(INT((COLUMN(O254)-1)/26)+64)&amp;CHAR(MOD(COLUMN(O254)-1,26)+65))&amp;$R234&amp;""),"")</f>
        <v/>
      </c>
    </row>
    <row r="235" spans="2:28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60" t="e">
        <f ca="1">IF(C235&lt;&gt;"",
IF(IF(COUNTIF(C235,"*キャラ*"),
VLOOKUP("*キャラ*",#REF!,7,FALSE),
IF(COUNTIF(C235,"*赤*"),
VLOOKUP("*赤*",#REF!,7,FALSE),
VLOOKUP(C235,#REF!,7,FALSE)))=0,"",
IF(H235&lt;&gt;"",
IF(ROUND(
H235/IF(COUNTIF(C235,"*キャラ*"),
VLOOKUP("*キャラ*",#REF!,7,FALSE),
IF(COUNTIF(C235,"*赤*"),
VLOOKUP("*赤*",#REF!,7,FALSE),
VLOOKUP(C235,#REF!,7,FALSE))),0)&lt;=0,1,
ROUND(
H235/IF(COUNTIF(C235,"*キャラ*"),
VLOOKUP("*キャラ*",#REF!,7,FALSE),
IF(COUNTIF(C235,"*赤*"),
VLOOKUP("*赤*",#REF!,7,FALSE),
VLOOKUP(C235,#REF!,7,FALSE))),0)),"")),"")</f>
        <v>#REF!</v>
      </c>
      <c r="G235" s="61" t="e">
        <f ca="1">IF(F235&lt;&gt;"",IF(VALUE(H235)&gt;VALUE(IF(COUNTIF(C235,"*キャラ*"),
VLOOKUP("*キャラ*",#REF!,7,FALSE),
IF(COUNTIF(C235,"*赤*"),
VLOOKUP("*赤*",#REF!,7,FALSE),
VLOOKUP(C235,#REF!,7,FALSE)))*F235),
"+"&amp;H235-IF(COUNTIF(C235,"*キャラ*"),
VLOOKUP("*キャラ*",#REF!,7,FALSE),
IF(COUNTIF(C235,"*赤*"),
VLOOKUP("*赤*",#REF!,7,FALSE),
VLOOKUP(C235,#REF!,7,FALSE)))*F235,
H235-IF(COUNTIF(C235,"*キャラ*"),
VLOOKUP("*キャラ*",#REF!,7,FALSE),
IF(COUNTIF(C235,"*赤*"),
VLOOKUP("*赤*",#REF!,7,FALSE),
VLOOKUP(C235,#REF!,7,FALSE)))*F235),"")</f>
        <v>#REF!</v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K235" s="59" t="str">
        <f t="shared" ca="1" si="60"/>
        <v/>
      </c>
      <c r="L235" s="59" t="str">
        <f t="shared" ca="1" si="61"/>
        <v/>
      </c>
      <c r="M235" s="59"/>
      <c r="N235" s="59"/>
      <c r="O235" s="59"/>
      <c r="P235" s="59" t="str">
        <f t="shared" ca="1" si="62"/>
        <v/>
      </c>
      <c r="Q235" s="59" t="str">
        <f t="shared" ca="1" si="63"/>
        <v/>
      </c>
      <c r="R235" s="51" t="str" cm="1">
        <f t="array" aca="1" ref="R235" ca="1">IFERROR(SMALL(IF(P$1:P$300&lt;&gt;0,P$1:P$300),ROW(A235)),"")</f>
        <v/>
      </c>
      <c r="S235" s="51" t="str">
        <f t="array" aca="1" ref="S235" ca="1">IF($R235&lt;&gt;"",
INDIRECT(""&amp;IF(COLUMN(C255)&lt;=26,CHAR(COLUMN(C255)+64),CHAR(INT((COLUMN(C255)-1)/26)+64)&amp;CHAR(MOD(COLUMN(C255)-1,26)+65))&amp;$R235&amp;""),"")</f>
        <v/>
      </c>
      <c r="T235" s="51" t="str">
        <f t="array" aca="1" ref="T235" ca="1">IF($R235&lt;&gt;"",
INDIRECT(""&amp;IF(COLUMN(D255)&lt;=26,CHAR(COLUMN(D255)+64),CHAR(INT((COLUMN(D255)-1)/26)+64)&amp;CHAR(MOD(COLUMN(D255)-1,26)+65))&amp;$R235&amp;""),"")</f>
        <v/>
      </c>
      <c r="U235" s="51"/>
      <c r="V235" s="51" t="str">
        <f t="array" aca="1" ref="V235" ca="1">IF($R235&lt;&gt;"",
IF(U235="",
IF(INDIRECT("EY"&amp;$R235&amp;"")&lt;&gt;"",
INDIRECT("EY"&amp;$R235&amp;"")&amp;"箱"
&amp;INDIRECT("EZ"&amp;$R235&amp;""),""),""),"")</f>
        <v/>
      </c>
      <c r="W235" s="51" t="str">
        <f t="array" aca="1" ref="W235" ca="1">IF($R235&lt;&gt;"",
INDIRECT(""&amp;IF(COLUMN(H255)&lt;=26,CHAR(COLUMN(H255)+64),CHAR(INT((COLUMN(H255)-1)/26)+64)&amp;CHAR(MOD(COLUMN(H255)-1,26)+65))&amp;$R235&amp;""),"")</f>
        <v/>
      </c>
      <c r="X235" s="51" t="str">
        <f t="array" aca="1" ref="X235" ca="1">IF($R235&lt;&gt;"",
INDIRECT(""&amp;IF(COLUMN(I255)&lt;=26,CHAR(COLUMN(I255)+64),CHAR(INT((COLUMN(I255)-1)/26)+64)&amp;CHAR(MOD(COLUMN(I255)-1,26)+65))&amp;$R235&amp;""),"")</f>
        <v/>
      </c>
      <c r="Y235" s="51" t="str">
        <f t="array" aca="1" ref="Y235" ca="1">IF($R235&lt;&gt;"",
INDIRECT(""&amp;IF(COLUMN(J255)&lt;=26,CHAR(COLUMN(J255)+64),CHAR(INT((COLUMN(J255)-1)/26)+64)&amp;CHAR(MOD(COLUMN(J255)-1,26)+65))&amp;$R235&amp;""),"")</f>
        <v/>
      </c>
      <c r="Z235" s="51" t="str">
        <f t="array" aca="1" ref="Z235" ca="1">IF($R235&lt;&gt;"",
INDIRECT(""&amp;IF(COLUMN(K255)&lt;=26,CHAR(COLUMN(K255)+64),CHAR(INT((COLUMN(K255)-1)/26)+64)&amp;CHAR(MOD(COLUMN(K255)-1,26)+65))&amp;$R235&amp;""),"")</f>
        <v/>
      </c>
      <c r="AA235" s="51" t="str">
        <f t="array" aca="1" ref="AA235" ca="1">IF($R235&lt;&gt;"",
INDIRECT(""&amp;IF(COLUMN(L255)&lt;=26,CHAR(COLUMN(L255)+64),CHAR(INT((COLUMN(L255)-1)/26)+64)&amp;CHAR(MOD(COLUMN(L255)-1,26)+65))&amp;$R235&amp;""),"")</f>
        <v/>
      </c>
      <c r="AB235" s="51" t="str">
        <f t="array" aca="1" ref="AB235" ca="1">IF($R235&lt;&gt;"",
INDIRECT(""&amp;IF(COLUMN(O255)&lt;=26,CHAR(COLUMN(O255)+64),CHAR(INT((COLUMN(O255)-1)/26)+64)&amp;CHAR(MOD(COLUMN(O255)-1,26)+65))&amp;$R235&amp;""),"")</f>
        <v/>
      </c>
    </row>
    <row r="236" spans="2:28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60" t="str">
        <f ca="1">IF(C236&lt;&gt;"",
IF(IF(COUNTIF(C236,"*キャラ*"),
VLOOKUP("*キャラ*",#REF!,7,FALSE),
IF(COUNTIF(C236,"*赤*"),
VLOOKUP("*赤*",#REF!,7,FALSE),
VLOOKUP(C236,#REF!,7,FALSE)))=0,"",
IF(H236&lt;&gt;"",
IF(ROUND(
H236/IF(COUNTIF(C236,"*キャラ*"),
VLOOKUP("*キャラ*",#REF!,7,FALSE),
IF(COUNTIF(C236,"*赤*"),
VLOOKUP("*赤*",#REF!,7,FALSE),
VLOOKUP(C236,#REF!,7,FALSE))),0)&lt;=0,1,
ROUND(
H236/IF(COUNTIF(C236,"*キャラ*"),
VLOOKUP("*キャラ*",#REF!,7,FALSE),
IF(COUNTIF(C236,"*赤*"),
VLOOKUP("*赤*",#REF!,7,FALSE),
VLOOKUP(C236,#REF!,7,FALSE))),0)),"")),"")</f>
        <v/>
      </c>
      <c r="G236" s="61" t="str">
        <f ca="1">IF(F236&lt;&gt;"",IF(VALUE(H236)&gt;VALUE(IF(COUNTIF(C236,"*キャラ*"),
VLOOKUP("*キャラ*",#REF!,7,FALSE),
IF(COUNTIF(C236,"*赤*"),
VLOOKUP("*赤*",#REF!,7,FALSE),
VLOOKUP(C236,#REF!,7,FALSE)))*F236),
"+"&amp;H236-IF(COUNTIF(C236,"*キャラ*"),
VLOOKUP("*キャラ*",#REF!,7,FALSE),
IF(COUNTIF(C236,"*赤*"),
VLOOKUP("*赤*",#REF!,7,FALSE),
VLOOKUP(C236,#REF!,7,FALSE)))*F236,
H236-IF(COUNTIF(C236,"*キャラ*"),
VLOOKUP("*キャラ*",#REF!,7,FALSE),
IF(COUNTIF(C236,"*赤*"),
VLOOKUP("*赤*",#REF!,7,FALSE),
VLOOKUP(C236,#REF!,7,FALSE)))*F236),"")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K236" s="59" t="str">
        <f t="shared" ca="1" si="60"/>
        <v/>
      </c>
      <c r="L236" s="59" t="str">
        <f t="shared" ca="1" si="61"/>
        <v/>
      </c>
      <c r="M236" s="59"/>
      <c r="N236" s="59"/>
      <c r="O236" s="59"/>
      <c r="P236" s="59" t="str">
        <f t="shared" ca="1" si="62"/>
        <v/>
      </c>
      <c r="Q236" s="59" t="str">
        <f t="shared" ca="1" si="63"/>
        <v/>
      </c>
      <c r="R236" s="51" t="str" cm="1">
        <f t="array" aca="1" ref="R236" ca="1">IFERROR(SMALL(IF(P$1:P$300&lt;&gt;0,P$1:P$300),ROW(A236)),"")</f>
        <v/>
      </c>
      <c r="S236" s="51" t="str">
        <f t="array" aca="1" ref="S236" ca="1">IF($R236&lt;&gt;"",
INDIRECT(""&amp;IF(COLUMN(C256)&lt;=26,CHAR(COLUMN(C256)+64),CHAR(INT((COLUMN(C256)-1)/26)+64)&amp;CHAR(MOD(COLUMN(C256)-1,26)+65))&amp;$R236&amp;""),"")</f>
        <v/>
      </c>
      <c r="T236" s="51" t="str">
        <f t="array" aca="1" ref="T236" ca="1">IF($R236&lt;&gt;"",
INDIRECT(""&amp;IF(COLUMN(D256)&lt;=26,CHAR(COLUMN(D256)+64),CHAR(INT((COLUMN(D256)-1)/26)+64)&amp;CHAR(MOD(COLUMN(D256)-1,26)+65))&amp;$R236&amp;""),"")</f>
        <v/>
      </c>
      <c r="U236" s="51"/>
      <c r="V236" s="51" t="str">
        <f t="array" aca="1" ref="V236" ca="1">IF($R236&lt;&gt;"",
IF(U236="",
IF(INDIRECT("EY"&amp;$R236&amp;"")&lt;&gt;"",
INDIRECT("EY"&amp;$R236&amp;"")&amp;"箱"
&amp;INDIRECT("EZ"&amp;$R236&amp;""),""),""),"")</f>
        <v/>
      </c>
      <c r="W236" s="51" t="str">
        <f t="array" aca="1" ref="W236" ca="1">IF($R236&lt;&gt;"",
INDIRECT(""&amp;IF(COLUMN(H256)&lt;=26,CHAR(COLUMN(H256)+64),CHAR(INT((COLUMN(H256)-1)/26)+64)&amp;CHAR(MOD(COLUMN(H256)-1,26)+65))&amp;$R236&amp;""),"")</f>
        <v/>
      </c>
      <c r="X236" s="51" t="str">
        <f t="array" aca="1" ref="X236" ca="1">IF($R236&lt;&gt;"",
INDIRECT(""&amp;IF(COLUMN(I256)&lt;=26,CHAR(COLUMN(I256)+64),CHAR(INT((COLUMN(I256)-1)/26)+64)&amp;CHAR(MOD(COLUMN(I256)-1,26)+65))&amp;$R236&amp;""),"")</f>
        <v/>
      </c>
      <c r="Y236" s="51" t="str">
        <f t="array" aca="1" ref="Y236" ca="1">IF($R236&lt;&gt;"",
INDIRECT(""&amp;IF(COLUMN(J256)&lt;=26,CHAR(COLUMN(J256)+64),CHAR(INT((COLUMN(J256)-1)/26)+64)&amp;CHAR(MOD(COLUMN(J256)-1,26)+65))&amp;$R236&amp;""),"")</f>
        <v/>
      </c>
      <c r="Z236" s="51" t="str">
        <f t="array" aca="1" ref="Z236" ca="1">IF($R236&lt;&gt;"",
INDIRECT(""&amp;IF(COLUMN(K256)&lt;=26,CHAR(COLUMN(K256)+64),CHAR(INT((COLUMN(K256)-1)/26)+64)&amp;CHAR(MOD(COLUMN(K256)-1,26)+65))&amp;$R236&amp;""),"")</f>
        <v/>
      </c>
      <c r="AA236" s="51" t="str">
        <f t="array" aca="1" ref="AA236" ca="1">IF($R236&lt;&gt;"",
INDIRECT(""&amp;IF(COLUMN(L256)&lt;=26,CHAR(COLUMN(L256)+64),CHAR(INT((COLUMN(L256)-1)/26)+64)&amp;CHAR(MOD(COLUMN(L256)-1,26)+65))&amp;$R236&amp;""),"")</f>
        <v/>
      </c>
      <c r="AB236" s="51" t="str">
        <f t="array" aca="1" ref="AB236" ca="1">IF($R236&lt;&gt;"",
INDIRECT(""&amp;IF(COLUMN(O256)&lt;=26,CHAR(COLUMN(O256)+64),CHAR(INT((COLUMN(O256)-1)/26)+64)&amp;CHAR(MOD(COLUMN(O256)-1,26)+65))&amp;$R236&amp;""),"")</f>
        <v/>
      </c>
    </row>
    <row r="237" spans="2:28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60" t="str">
        <f ca="1">IF(C237&lt;&gt;"",
IF(IF(COUNTIF(C237,"*キャラ*"),
VLOOKUP("*キャラ*",#REF!,7,FALSE),
IF(COUNTIF(C237,"*赤*"),
VLOOKUP("*赤*",#REF!,7,FALSE),
VLOOKUP(C237,#REF!,7,FALSE)))=0,"",
IF(H237&lt;&gt;"",
IF(ROUND(
H237/IF(COUNTIF(C237,"*キャラ*"),
VLOOKUP("*キャラ*",#REF!,7,FALSE),
IF(COUNTIF(C237,"*赤*"),
VLOOKUP("*赤*",#REF!,7,FALSE),
VLOOKUP(C237,#REF!,7,FALSE))),0)&lt;=0,1,
ROUND(
H237/IF(COUNTIF(C237,"*キャラ*"),
VLOOKUP("*キャラ*",#REF!,7,FALSE),
IF(COUNTIF(C237,"*赤*"),
VLOOKUP("*赤*",#REF!,7,FALSE),
VLOOKUP(C237,#REF!,7,FALSE))),0)),"")),"")</f>
        <v/>
      </c>
      <c r="G237" s="61" t="str">
        <f ca="1">IF(F237&lt;&gt;"",IF(VALUE(H237)&gt;VALUE(IF(COUNTIF(C237,"*キャラ*"),
VLOOKUP("*キャラ*",#REF!,7,FALSE),
IF(COUNTIF(C237,"*赤*"),
VLOOKUP("*赤*",#REF!,7,FALSE),
VLOOKUP(C237,#REF!,7,FALSE)))*F237),
"+"&amp;H237-IF(COUNTIF(C237,"*キャラ*"),
VLOOKUP("*キャラ*",#REF!,7,FALSE),
IF(COUNTIF(C237,"*赤*"),
VLOOKUP("*赤*",#REF!,7,FALSE),
VLOOKUP(C237,#REF!,7,FALSE)))*F237,
H237-IF(COUNTIF(C237,"*キャラ*"),
VLOOKUP("*キャラ*",#REF!,7,FALSE),
IF(COUNTIF(C237,"*赤*"),
VLOOKUP("*赤*",#REF!,7,FALSE),
VLOOKUP(C237,#REF!,7,FALSE)))*F237),"")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K237" s="59" t="str">
        <f t="shared" ca="1" si="60"/>
        <v/>
      </c>
      <c r="L237" s="59" t="str">
        <f t="shared" ca="1" si="61"/>
        <v/>
      </c>
      <c r="M237" s="59"/>
      <c r="N237" s="59"/>
      <c r="O237" s="59"/>
      <c r="P237" s="59" t="str">
        <f t="shared" ca="1" si="62"/>
        <v/>
      </c>
      <c r="Q237" s="59" t="str">
        <f t="shared" ca="1" si="63"/>
        <v/>
      </c>
      <c r="R237" s="51" t="str" cm="1">
        <f t="array" aca="1" ref="R237" ca="1">IFERROR(SMALL(IF(P$1:P$300&lt;&gt;0,P$1:P$300),ROW(A237)),"")</f>
        <v/>
      </c>
      <c r="S237" s="51" t="str">
        <f t="array" aca="1" ref="S237" ca="1">IF($R237&lt;&gt;"",
INDIRECT(""&amp;IF(COLUMN(C257)&lt;=26,CHAR(COLUMN(C257)+64),CHAR(INT((COLUMN(C257)-1)/26)+64)&amp;CHAR(MOD(COLUMN(C257)-1,26)+65))&amp;$R237&amp;""),"")</f>
        <v/>
      </c>
      <c r="T237" s="51" t="str">
        <f t="array" aca="1" ref="T237" ca="1">IF($R237&lt;&gt;"",
INDIRECT(""&amp;IF(COLUMN(D257)&lt;=26,CHAR(COLUMN(D257)+64),CHAR(INT((COLUMN(D257)-1)/26)+64)&amp;CHAR(MOD(COLUMN(D257)-1,26)+65))&amp;$R237&amp;""),"")</f>
        <v/>
      </c>
      <c r="U237" s="51"/>
      <c r="V237" s="51" t="str">
        <f t="array" aca="1" ref="V237" ca="1">IF($R237&lt;&gt;"",
IF(U237="",
IF(INDIRECT("EY"&amp;$R237&amp;"")&lt;&gt;"",
INDIRECT("EY"&amp;$R237&amp;"")&amp;"箱"
&amp;INDIRECT("EZ"&amp;$R237&amp;""),""),""),"")</f>
        <v/>
      </c>
      <c r="W237" s="51" t="str">
        <f t="array" aca="1" ref="W237" ca="1">IF($R237&lt;&gt;"",
INDIRECT(""&amp;IF(COLUMN(H257)&lt;=26,CHAR(COLUMN(H257)+64),CHAR(INT((COLUMN(H257)-1)/26)+64)&amp;CHAR(MOD(COLUMN(H257)-1,26)+65))&amp;$R237&amp;""),"")</f>
        <v/>
      </c>
      <c r="X237" s="51" t="str">
        <f t="array" aca="1" ref="X237" ca="1">IF($R237&lt;&gt;"",
INDIRECT(""&amp;IF(COLUMN(I257)&lt;=26,CHAR(COLUMN(I257)+64),CHAR(INT((COLUMN(I257)-1)/26)+64)&amp;CHAR(MOD(COLUMN(I257)-1,26)+65))&amp;$R237&amp;""),"")</f>
        <v/>
      </c>
      <c r="Y237" s="51" t="str">
        <f t="array" aca="1" ref="Y237" ca="1">IF($R237&lt;&gt;"",
INDIRECT(""&amp;IF(COLUMN(J257)&lt;=26,CHAR(COLUMN(J257)+64),CHAR(INT((COLUMN(J257)-1)/26)+64)&amp;CHAR(MOD(COLUMN(J257)-1,26)+65))&amp;$R237&amp;""),"")</f>
        <v/>
      </c>
      <c r="Z237" s="51" t="str">
        <f t="array" aca="1" ref="Z237" ca="1">IF($R237&lt;&gt;"",
INDIRECT(""&amp;IF(COLUMN(K257)&lt;=26,CHAR(COLUMN(K257)+64),CHAR(INT((COLUMN(K257)-1)/26)+64)&amp;CHAR(MOD(COLUMN(K257)-1,26)+65))&amp;$R237&amp;""),"")</f>
        <v/>
      </c>
      <c r="AA237" s="51" t="str">
        <f t="array" aca="1" ref="AA237" ca="1">IF($R237&lt;&gt;"",
INDIRECT(""&amp;IF(COLUMN(L257)&lt;=26,CHAR(COLUMN(L257)+64),CHAR(INT((COLUMN(L257)-1)/26)+64)&amp;CHAR(MOD(COLUMN(L257)-1,26)+65))&amp;$R237&amp;""),"")</f>
        <v/>
      </c>
      <c r="AB237" s="51" t="str">
        <f t="array" aca="1" ref="AB237" ca="1">IF($R237&lt;&gt;"",
INDIRECT(""&amp;IF(COLUMN(O257)&lt;=26,CHAR(COLUMN(O257)+64),CHAR(INT((COLUMN(O257)-1)/26)+64)&amp;CHAR(MOD(COLUMN(O257)-1,26)+65))&amp;$R237&amp;""),"")</f>
        <v/>
      </c>
    </row>
    <row r="238" spans="2:28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60" t="str">
        <f ca="1">IF(C238&lt;&gt;"",
IF(IF(COUNTIF(C238,"*キャラ*"),
VLOOKUP("*キャラ*",#REF!,7,FALSE),
IF(COUNTIF(C238,"*赤*"),
VLOOKUP("*赤*",#REF!,7,FALSE),
VLOOKUP(C238,#REF!,7,FALSE)))=0,"",
IF(H238&lt;&gt;"",
IF(ROUND(
H238/IF(COUNTIF(C238,"*キャラ*"),
VLOOKUP("*キャラ*",#REF!,7,FALSE),
IF(COUNTIF(C238,"*赤*"),
VLOOKUP("*赤*",#REF!,7,FALSE),
VLOOKUP(C238,#REF!,7,FALSE))),0)&lt;=0,1,
ROUND(
H238/IF(COUNTIF(C238,"*キャラ*"),
VLOOKUP("*キャラ*",#REF!,7,FALSE),
IF(COUNTIF(C238,"*赤*"),
VLOOKUP("*赤*",#REF!,7,FALSE),
VLOOKUP(C238,#REF!,7,FALSE))),0)),"")),"")</f>
        <v/>
      </c>
      <c r="G238" s="61" t="str">
        <f ca="1">IF(F238&lt;&gt;"",IF(VALUE(H238)&gt;VALUE(IF(COUNTIF(C238,"*キャラ*"),
VLOOKUP("*キャラ*",#REF!,7,FALSE),
IF(COUNTIF(C238,"*赤*"),
VLOOKUP("*赤*",#REF!,7,FALSE),
VLOOKUP(C238,#REF!,7,FALSE)))*F238),
"+"&amp;H238-IF(COUNTIF(C238,"*キャラ*"),
VLOOKUP("*キャラ*",#REF!,7,FALSE),
IF(COUNTIF(C238,"*赤*"),
VLOOKUP("*赤*",#REF!,7,FALSE),
VLOOKUP(C238,#REF!,7,FALSE)))*F238,
H238-IF(COUNTIF(C238,"*キャラ*"),
VLOOKUP("*キャラ*",#REF!,7,FALSE),
IF(COUNTIF(C238,"*赤*"),
VLOOKUP("*赤*",#REF!,7,FALSE),
VLOOKUP(C238,#REF!,7,FALSE)))*F238),"")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K238" s="59" t="str">
        <f t="shared" ca="1" si="60"/>
        <v/>
      </c>
      <c r="L238" s="59" t="str">
        <f t="shared" ca="1" si="61"/>
        <v/>
      </c>
      <c r="M238" s="59"/>
      <c r="N238" s="59"/>
      <c r="O238" s="59"/>
      <c r="P238" s="59" t="str">
        <f t="shared" ca="1" si="62"/>
        <v/>
      </c>
      <c r="Q238" s="59" t="str">
        <f t="shared" ca="1" si="63"/>
        <v/>
      </c>
      <c r="R238" s="51" t="str" cm="1">
        <f t="array" aca="1" ref="R238" ca="1">IFERROR(SMALL(IF(P$1:P$300&lt;&gt;0,P$1:P$300),ROW(A238)),"")</f>
        <v/>
      </c>
      <c r="S238" s="51" t="str">
        <f t="array" aca="1" ref="S238" ca="1">IF($R238&lt;&gt;"",
INDIRECT(""&amp;IF(COLUMN(C258)&lt;=26,CHAR(COLUMN(C258)+64),CHAR(INT((COLUMN(C258)-1)/26)+64)&amp;CHAR(MOD(COLUMN(C258)-1,26)+65))&amp;$R238&amp;""),"")</f>
        <v/>
      </c>
      <c r="T238" s="51" t="str">
        <f t="array" aca="1" ref="T238" ca="1">IF($R238&lt;&gt;"",
INDIRECT(""&amp;IF(COLUMN(D258)&lt;=26,CHAR(COLUMN(D258)+64),CHAR(INT((COLUMN(D258)-1)/26)+64)&amp;CHAR(MOD(COLUMN(D258)-1,26)+65))&amp;$R238&amp;""),"")</f>
        <v/>
      </c>
      <c r="U238" s="51"/>
      <c r="V238" s="51" t="str">
        <f t="array" aca="1" ref="V238" ca="1">IF($R238&lt;&gt;"",
IF(U238="",
IF(INDIRECT("EY"&amp;$R238&amp;"")&lt;&gt;"",
INDIRECT("EY"&amp;$R238&amp;"")&amp;"箱"
&amp;INDIRECT("EZ"&amp;$R238&amp;""),""),""),"")</f>
        <v/>
      </c>
      <c r="W238" s="51" t="str">
        <f t="array" aca="1" ref="W238" ca="1">IF($R238&lt;&gt;"",
INDIRECT(""&amp;IF(COLUMN(H258)&lt;=26,CHAR(COLUMN(H258)+64),CHAR(INT((COLUMN(H258)-1)/26)+64)&amp;CHAR(MOD(COLUMN(H258)-1,26)+65))&amp;$R238&amp;""),"")</f>
        <v/>
      </c>
      <c r="X238" s="51" t="str">
        <f t="array" aca="1" ref="X238" ca="1">IF($R238&lt;&gt;"",
INDIRECT(""&amp;IF(COLUMN(I258)&lt;=26,CHAR(COLUMN(I258)+64),CHAR(INT((COLUMN(I258)-1)/26)+64)&amp;CHAR(MOD(COLUMN(I258)-1,26)+65))&amp;$R238&amp;""),"")</f>
        <v/>
      </c>
      <c r="Y238" s="51" t="str">
        <f t="array" aca="1" ref="Y238" ca="1">IF($R238&lt;&gt;"",
INDIRECT(""&amp;IF(COLUMN(J258)&lt;=26,CHAR(COLUMN(J258)+64),CHAR(INT((COLUMN(J258)-1)/26)+64)&amp;CHAR(MOD(COLUMN(J258)-1,26)+65))&amp;$R238&amp;""),"")</f>
        <v/>
      </c>
      <c r="Z238" s="51" t="str">
        <f t="array" aca="1" ref="Z238" ca="1">IF($R238&lt;&gt;"",
INDIRECT(""&amp;IF(COLUMN(K258)&lt;=26,CHAR(COLUMN(K258)+64),CHAR(INT((COLUMN(K258)-1)/26)+64)&amp;CHAR(MOD(COLUMN(K258)-1,26)+65))&amp;$R238&amp;""),"")</f>
        <v/>
      </c>
      <c r="AA238" s="51" t="str">
        <f t="array" aca="1" ref="AA238" ca="1">IF($R238&lt;&gt;"",
INDIRECT(""&amp;IF(COLUMN(L258)&lt;=26,CHAR(COLUMN(L258)+64),CHAR(INT((COLUMN(L258)-1)/26)+64)&amp;CHAR(MOD(COLUMN(L258)-1,26)+65))&amp;$R238&amp;""),"")</f>
        <v/>
      </c>
      <c r="AB238" s="51" t="str">
        <f t="array" aca="1" ref="AB238" ca="1">IF($R238&lt;&gt;"",
INDIRECT(""&amp;IF(COLUMN(O258)&lt;=26,CHAR(COLUMN(O258)+64),CHAR(INT((COLUMN(O258)-1)/26)+64)&amp;CHAR(MOD(COLUMN(O258)-1,26)+65))&amp;$R238&amp;""),"")</f>
        <v/>
      </c>
    </row>
    <row r="239" spans="2:28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60" t="e">
        <f ca="1">IF(C239&lt;&gt;"",
IF(IF(COUNTIF(C239,"*キャラ*"),
VLOOKUP("*キャラ*",#REF!,7,FALSE),
IF(COUNTIF(C239,"*赤*"),
VLOOKUP("*赤*",#REF!,7,FALSE),
VLOOKUP(C239,#REF!,7,FALSE)))=0,"",
IF(H239&lt;&gt;"",
IF(ROUND(
H239/IF(COUNTIF(C239,"*キャラ*"),
VLOOKUP("*キャラ*",#REF!,7,FALSE),
IF(COUNTIF(C239,"*赤*"),
VLOOKUP("*赤*",#REF!,7,FALSE),
VLOOKUP(C239,#REF!,7,FALSE))),0)&lt;=0,1,
ROUND(
H239/IF(COUNTIF(C239,"*キャラ*"),
VLOOKUP("*キャラ*",#REF!,7,FALSE),
IF(COUNTIF(C239,"*赤*"),
VLOOKUP("*赤*",#REF!,7,FALSE),
VLOOKUP(C239,#REF!,7,FALSE))),0)),"")),"")</f>
        <v>#REF!</v>
      </c>
      <c r="G239" s="61" t="e">
        <f ca="1">IF(F239&lt;&gt;"",IF(VALUE(H239)&gt;VALUE(IF(COUNTIF(C239,"*キャラ*"),
VLOOKUP("*キャラ*",#REF!,7,FALSE),
IF(COUNTIF(C239,"*赤*"),
VLOOKUP("*赤*",#REF!,7,FALSE),
VLOOKUP(C239,#REF!,7,FALSE)))*F239),
"+"&amp;H239-IF(COUNTIF(C239,"*キャラ*"),
VLOOKUP("*キャラ*",#REF!,7,FALSE),
IF(COUNTIF(C239,"*赤*"),
VLOOKUP("*赤*",#REF!,7,FALSE),
VLOOKUP(C239,#REF!,7,FALSE)))*F239,
H239-IF(COUNTIF(C239,"*キャラ*"),
VLOOKUP("*キャラ*",#REF!,7,FALSE),
IF(COUNTIF(C239,"*赤*"),
VLOOKUP("*赤*",#REF!,7,FALSE),
VLOOKUP(C239,#REF!,7,FALSE)))*F239),"")</f>
        <v>#REF!</v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K239" s="59" t="str">
        <f t="shared" ca="1" si="60"/>
        <v/>
      </c>
      <c r="L239" s="59" t="str">
        <f t="shared" ca="1" si="61"/>
        <v/>
      </c>
      <c r="M239" s="59"/>
      <c r="N239" s="59"/>
      <c r="O239" s="59"/>
      <c r="P239" s="59" t="str">
        <f t="shared" ca="1" si="62"/>
        <v/>
      </c>
      <c r="Q239" s="59" t="str">
        <f t="shared" ca="1" si="63"/>
        <v/>
      </c>
      <c r="R239" s="51" t="str" cm="1">
        <f t="array" aca="1" ref="R239" ca="1">IFERROR(SMALL(IF(P$1:P$300&lt;&gt;0,P$1:P$300),ROW(A239)),"")</f>
        <v/>
      </c>
      <c r="S239" s="51" t="str">
        <f t="array" aca="1" ref="S239" ca="1">IF($R239&lt;&gt;"",
INDIRECT(""&amp;IF(COLUMN(C259)&lt;=26,CHAR(COLUMN(C259)+64),CHAR(INT((COLUMN(C259)-1)/26)+64)&amp;CHAR(MOD(COLUMN(C259)-1,26)+65))&amp;$R239&amp;""),"")</f>
        <v/>
      </c>
      <c r="T239" s="51" t="str">
        <f t="array" aca="1" ref="T239" ca="1">IF($R239&lt;&gt;"",
INDIRECT(""&amp;IF(COLUMN(D259)&lt;=26,CHAR(COLUMN(D259)+64),CHAR(INT((COLUMN(D259)-1)/26)+64)&amp;CHAR(MOD(COLUMN(D259)-1,26)+65))&amp;$R239&amp;""),"")</f>
        <v/>
      </c>
      <c r="U239" s="51"/>
      <c r="V239" s="51" t="str">
        <f t="array" aca="1" ref="V239" ca="1">IF($R239&lt;&gt;"",
IF(U239="",
IF(INDIRECT("EY"&amp;$R239&amp;"")&lt;&gt;"",
INDIRECT("EY"&amp;$R239&amp;"")&amp;"箱"
&amp;INDIRECT("EZ"&amp;$R239&amp;""),""),""),"")</f>
        <v/>
      </c>
      <c r="W239" s="51" t="str">
        <f t="array" aca="1" ref="W239" ca="1">IF($R239&lt;&gt;"",
INDIRECT(""&amp;IF(COLUMN(H259)&lt;=26,CHAR(COLUMN(H259)+64),CHAR(INT((COLUMN(H259)-1)/26)+64)&amp;CHAR(MOD(COLUMN(H259)-1,26)+65))&amp;$R239&amp;""),"")</f>
        <v/>
      </c>
      <c r="X239" s="51" t="str">
        <f t="array" aca="1" ref="X239" ca="1">IF($R239&lt;&gt;"",
INDIRECT(""&amp;IF(COLUMN(I259)&lt;=26,CHAR(COLUMN(I259)+64),CHAR(INT((COLUMN(I259)-1)/26)+64)&amp;CHAR(MOD(COLUMN(I259)-1,26)+65))&amp;$R239&amp;""),"")</f>
        <v/>
      </c>
      <c r="Y239" s="51" t="str">
        <f t="array" aca="1" ref="Y239" ca="1">IF($R239&lt;&gt;"",
INDIRECT(""&amp;IF(COLUMN(J259)&lt;=26,CHAR(COLUMN(J259)+64),CHAR(INT((COLUMN(J259)-1)/26)+64)&amp;CHAR(MOD(COLUMN(J259)-1,26)+65))&amp;$R239&amp;""),"")</f>
        <v/>
      </c>
      <c r="Z239" s="51" t="str">
        <f t="array" aca="1" ref="Z239" ca="1">IF($R239&lt;&gt;"",
INDIRECT(""&amp;IF(COLUMN(K259)&lt;=26,CHAR(COLUMN(K259)+64),CHAR(INT((COLUMN(K259)-1)/26)+64)&amp;CHAR(MOD(COLUMN(K259)-1,26)+65))&amp;$R239&amp;""),"")</f>
        <v/>
      </c>
      <c r="AA239" s="51" t="str">
        <f t="array" aca="1" ref="AA239" ca="1">IF($R239&lt;&gt;"",
INDIRECT(""&amp;IF(COLUMN(L259)&lt;=26,CHAR(COLUMN(L259)+64),CHAR(INT((COLUMN(L259)-1)/26)+64)&amp;CHAR(MOD(COLUMN(L259)-1,26)+65))&amp;$R239&amp;""),"")</f>
        <v/>
      </c>
      <c r="AB239" s="51" t="str">
        <f t="array" aca="1" ref="AB239" ca="1">IF($R239&lt;&gt;"",
INDIRECT(""&amp;IF(COLUMN(O259)&lt;=26,CHAR(COLUMN(O259)+64),CHAR(INT((COLUMN(O259)-1)/26)+64)&amp;CHAR(MOD(COLUMN(O259)-1,26)+65))&amp;$R239&amp;""),"")</f>
        <v/>
      </c>
    </row>
    <row r="240" spans="2:28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60" t="str">
        <f ca="1">IF(C240&lt;&gt;"",
IF(IF(COUNTIF(C240,"*キャラ*"),
VLOOKUP("*キャラ*",#REF!,7,FALSE),
IF(COUNTIF(C240,"*赤*"),
VLOOKUP("*赤*",#REF!,7,FALSE),
VLOOKUP(C240,#REF!,7,FALSE)))=0,"",
IF(H240&lt;&gt;"",
IF(ROUND(
H240/IF(COUNTIF(C240,"*キャラ*"),
VLOOKUP("*キャラ*",#REF!,7,FALSE),
IF(COUNTIF(C240,"*赤*"),
VLOOKUP("*赤*",#REF!,7,FALSE),
VLOOKUP(C240,#REF!,7,FALSE))),0)&lt;=0,1,
ROUND(
H240/IF(COUNTIF(C240,"*キャラ*"),
VLOOKUP("*キャラ*",#REF!,7,FALSE),
IF(COUNTIF(C240,"*赤*"),
VLOOKUP("*赤*",#REF!,7,FALSE),
VLOOKUP(C240,#REF!,7,FALSE))),0)),"")),"")</f>
        <v/>
      </c>
      <c r="G240" s="61" t="str">
        <f ca="1">IF(F240&lt;&gt;"",IF(VALUE(H240)&gt;VALUE(IF(COUNTIF(C240,"*キャラ*"),
VLOOKUP("*キャラ*",#REF!,7,FALSE),
IF(COUNTIF(C240,"*赤*"),
VLOOKUP("*赤*",#REF!,7,FALSE),
VLOOKUP(C240,#REF!,7,FALSE)))*F240),
"+"&amp;H240-IF(COUNTIF(C240,"*キャラ*"),
VLOOKUP("*キャラ*",#REF!,7,FALSE),
IF(COUNTIF(C240,"*赤*"),
VLOOKUP("*赤*",#REF!,7,FALSE),
VLOOKUP(C240,#REF!,7,FALSE)))*F240,
H240-IF(COUNTIF(C240,"*キャラ*"),
VLOOKUP("*キャラ*",#REF!,7,FALSE),
IF(COUNTIF(C240,"*赤*"),
VLOOKUP("*赤*",#REF!,7,FALSE),
VLOOKUP(C240,#REF!,7,FALSE)))*F240),"")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K240" s="59" t="str">
        <f t="shared" ca="1" si="60"/>
        <v/>
      </c>
      <c r="L240" s="59" t="str">
        <f t="shared" ca="1" si="61"/>
        <v/>
      </c>
      <c r="M240" s="59"/>
      <c r="N240" s="59"/>
      <c r="O240" s="59"/>
      <c r="P240" s="59" t="str">
        <f t="shared" ca="1" si="62"/>
        <v/>
      </c>
      <c r="Q240" s="59" t="str">
        <f t="shared" ca="1" si="63"/>
        <v/>
      </c>
      <c r="R240" s="51" t="str" cm="1">
        <f t="array" aca="1" ref="R240" ca="1">IFERROR(SMALL(IF(P$1:P$300&lt;&gt;0,P$1:P$300),ROW(A240)),"")</f>
        <v/>
      </c>
      <c r="S240" s="51" t="str">
        <f t="array" aca="1" ref="S240" ca="1">IF($R240&lt;&gt;"",
INDIRECT(""&amp;IF(COLUMN(C260)&lt;=26,CHAR(COLUMN(C260)+64),CHAR(INT((COLUMN(C260)-1)/26)+64)&amp;CHAR(MOD(COLUMN(C260)-1,26)+65))&amp;$R240&amp;""),"")</f>
        <v/>
      </c>
      <c r="T240" s="51" t="str">
        <f t="array" aca="1" ref="T240" ca="1">IF($R240&lt;&gt;"",
INDIRECT(""&amp;IF(COLUMN(D260)&lt;=26,CHAR(COLUMN(D260)+64),CHAR(INT((COLUMN(D260)-1)/26)+64)&amp;CHAR(MOD(COLUMN(D260)-1,26)+65))&amp;$R240&amp;""),"")</f>
        <v/>
      </c>
      <c r="U240" s="51"/>
      <c r="V240" s="51" t="str">
        <f t="array" aca="1" ref="V240" ca="1">IF($R240&lt;&gt;"",
IF(U240="",
IF(INDIRECT("EY"&amp;$R240&amp;"")&lt;&gt;"",
INDIRECT("EY"&amp;$R240&amp;"")&amp;"箱"
&amp;INDIRECT("EZ"&amp;$R240&amp;""),""),""),"")</f>
        <v/>
      </c>
      <c r="W240" s="51" t="str">
        <f t="array" aca="1" ref="W240" ca="1">IF($R240&lt;&gt;"",
INDIRECT(""&amp;IF(COLUMN(H260)&lt;=26,CHAR(COLUMN(H260)+64),CHAR(INT((COLUMN(H260)-1)/26)+64)&amp;CHAR(MOD(COLUMN(H260)-1,26)+65))&amp;$R240&amp;""),"")</f>
        <v/>
      </c>
      <c r="X240" s="51" t="str">
        <f t="array" aca="1" ref="X240" ca="1">IF($R240&lt;&gt;"",
INDIRECT(""&amp;IF(COLUMN(I260)&lt;=26,CHAR(COLUMN(I260)+64),CHAR(INT((COLUMN(I260)-1)/26)+64)&amp;CHAR(MOD(COLUMN(I260)-1,26)+65))&amp;$R240&amp;""),"")</f>
        <v/>
      </c>
      <c r="Y240" s="51" t="str">
        <f t="array" aca="1" ref="Y240" ca="1">IF($R240&lt;&gt;"",
INDIRECT(""&amp;IF(COLUMN(J260)&lt;=26,CHAR(COLUMN(J260)+64),CHAR(INT((COLUMN(J260)-1)/26)+64)&amp;CHAR(MOD(COLUMN(J260)-1,26)+65))&amp;$R240&amp;""),"")</f>
        <v/>
      </c>
      <c r="Z240" s="51" t="str">
        <f t="array" aca="1" ref="Z240" ca="1">IF($R240&lt;&gt;"",
INDIRECT(""&amp;IF(COLUMN(K260)&lt;=26,CHAR(COLUMN(K260)+64),CHAR(INT((COLUMN(K260)-1)/26)+64)&amp;CHAR(MOD(COLUMN(K260)-1,26)+65))&amp;$R240&amp;""),"")</f>
        <v/>
      </c>
      <c r="AA240" s="51" t="str">
        <f t="array" aca="1" ref="AA240" ca="1">IF($R240&lt;&gt;"",
INDIRECT(""&amp;IF(COLUMN(L260)&lt;=26,CHAR(COLUMN(L260)+64),CHAR(INT((COLUMN(L260)-1)/26)+64)&amp;CHAR(MOD(COLUMN(L260)-1,26)+65))&amp;$R240&amp;""),"")</f>
        <v/>
      </c>
      <c r="AB240" s="51" t="str">
        <f t="array" aca="1" ref="AB240" ca="1">IF($R240&lt;&gt;"",
INDIRECT(""&amp;IF(COLUMN(O260)&lt;=26,CHAR(COLUMN(O260)+64),CHAR(INT((COLUMN(O260)-1)/26)+64)&amp;CHAR(MOD(COLUMN(O260)-1,26)+65))&amp;$R240&amp;""),"")</f>
        <v/>
      </c>
    </row>
    <row r="241" spans="2:28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60" t="str">
        <f ca="1">IF(C241&lt;&gt;"",
IF(IF(COUNTIF(C241,"*キャラ*"),
VLOOKUP("*キャラ*",#REF!,7,FALSE),
IF(COUNTIF(C241,"*赤*"),
VLOOKUP("*赤*",#REF!,7,FALSE),
VLOOKUP(C241,#REF!,7,FALSE)))=0,"",
IF(H241&lt;&gt;"",
IF(ROUND(
H241/IF(COUNTIF(C241,"*キャラ*"),
VLOOKUP("*キャラ*",#REF!,7,FALSE),
IF(COUNTIF(C241,"*赤*"),
VLOOKUP("*赤*",#REF!,7,FALSE),
VLOOKUP(C241,#REF!,7,FALSE))),0)&lt;=0,1,
ROUND(
H241/IF(COUNTIF(C241,"*キャラ*"),
VLOOKUP("*キャラ*",#REF!,7,FALSE),
IF(COUNTIF(C241,"*赤*"),
VLOOKUP("*赤*",#REF!,7,FALSE),
VLOOKUP(C241,#REF!,7,FALSE))),0)),"")),"")</f>
        <v/>
      </c>
      <c r="G241" s="61" t="str">
        <f ca="1">IF(F241&lt;&gt;"",IF(VALUE(H241)&gt;VALUE(IF(COUNTIF(C241,"*キャラ*"),
VLOOKUP("*キャラ*",#REF!,7,FALSE),
IF(COUNTIF(C241,"*赤*"),
VLOOKUP("*赤*",#REF!,7,FALSE),
VLOOKUP(C241,#REF!,7,FALSE)))*F241),
"+"&amp;H241-IF(COUNTIF(C241,"*キャラ*"),
VLOOKUP("*キャラ*",#REF!,7,FALSE),
IF(COUNTIF(C241,"*赤*"),
VLOOKUP("*赤*",#REF!,7,FALSE),
VLOOKUP(C241,#REF!,7,FALSE)))*F241,
H241-IF(COUNTIF(C241,"*キャラ*"),
VLOOKUP("*キャラ*",#REF!,7,FALSE),
IF(COUNTIF(C241,"*赤*"),
VLOOKUP("*赤*",#REF!,7,FALSE),
VLOOKUP(C241,#REF!,7,FALSE)))*F241),"")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K241" s="59" t="str">
        <f t="shared" ca="1" si="60"/>
        <v/>
      </c>
      <c r="L241" s="59" t="str">
        <f t="shared" ca="1" si="61"/>
        <v/>
      </c>
      <c r="M241" s="59"/>
      <c r="N241" s="59"/>
      <c r="O241" s="59"/>
      <c r="P241" s="59" t="str">
        <f t="shared" ca="1" si="62"/>
        <v/>
      </c>
      <c r="Q241" s="59" t="str">
        <f t="shared" ca="1" si="63"/>
        <v/>
      </c>
      <c r="R241" s="51" t="str" cm="1">
        <f t="array" aca="1" ref="R241" ca="1">IFERROR(SMALL(IF(P$1:P$300&lt;&gt;0,P$1:P$300),ROW(A241)),"")</f>
        <v/>
      </c>
      <c r="S241" s="51" t="str">
        <f t="array" aca="1" ref="S241" ca="1">IF($R241&lt;&gt;"",
INDIRECT(""&amp;IF(COLUMN(C261)&lt;=26,CHAR(COLUMN(C261)+64),CHAR(INT((COLUMN(C261)-1)/26)+64)&amp;CHAR(MOD(COLUMN(C261)-1,26)+65))&amp;$R241&amp;""),"")</f>
        <v/>
      </c>
      <c r="T241" s="51" t="str">
        <f t="array" aca="1" ref="T241" ca="1">IF($R241&lt;&gt;"",
INDIRECT(""&amp;IF(COLUMN(D261)&lt;=26,CHAR(COLUMN(D261)+64),CHAR(INT((COLUMN(D261)-1)/26)+64)&amp;CHAR(MOD(COLUMN(D261)-1,26)+65))&amp;$R241&amp;""),"")</f>
        <v/>
      </c>
      <c r="U241" s="51"/>
      <c r="V241" s="51" t="str">
        <f t="array" aca="1" ref="V241" ca="1">IF($R241&lt;&gt;"",
IF(U241="",
IF(INDIRECT("EY"&amp;$R241&amp;"")&lt;&gt;"",
INDIRECT("EY"&amp;$R241&amp;"")&amp;"箱"
&amp;INDIRECT("EZ"&amp;$R241&amp;""),""),""),"")</f>
        <v/>
      </c>
      <c r="W241" s="51" t="str">
        <f t="array" aca="1" ref="W241" ca="1">IF($R241&lt;&gt;"",
INDIRECT(""&amp;IF(COLUMN(H261)&lt;=26,CHAR(COLUMN(H261)+64),CHAR(INT((COLUMN(H261)-1)/26)+64)&amp;CHAR(MOD(COLUMN(H261)-1,26)+65))&amp;$R241&amp;""),"")</f>
        <v/>
      </c>
      <c r="X241" s="51" t="str">
        <f t="array" aca="1" ref="X241" ca="1">IF($R241&lt;&gt;"",
INDIRECT(""&amp;IF(COLUMN(I261)&lt;=26,CHAR(COLUMN(I261)+64),CHAR(INT((COLUMN(I261)-1)/26)+64)&amp;CHAR(MOD(COLUMN(I261)-1,26)+65))&amp;$R241&amp;""),"")</f>
        <v/>
      </c>
      <c r="Y241" s="51" t="str">
        <f t="array" aca="1" ref="Y241" ca="1">IF($R241&lt;&gt;"",
INDIRECT(""&amp;IF(COLUMN(J261)&lt;=26,CHAR(COLUMN(J261)+64),CHAR(INT((COLUMN(J261)-1)/26)+64)&amp;CHAR(MOD(COLUMN(J261)-1,26)+65))&amp;$R241&amp;""),"")</f>
        <v/>
      </c>
      <c r="Z241" s="51" t="str">
        <f t="array" aca="1" ref="Z241" ca="1">IF($R241&lt;&gt;"",
INDIRECT(""&amp;IF(COLUMN(K261)&lt;=26,CHAR(COLUMN(K261)+64),CHAR(INT((COLUMN(K261)-1)/26)+64)&amp;CHAR(MOD(COLUMN(K261)-1,26)+65))&amp;$R241&amp;""),"")</f>
        <v/>
      </c>
      <c r="AA241" s="51" t="str">
        <f t="array" aca="1" ref="AA241" ca="1">IF($R241&lt;&gt;"",
INDIRECT(""&amp;IF(COLUMN(L261)&lt;=26,CHAR(COLUMN(L261)+64),CHAR(INT((COLUMN(L261)-1)/26)+64)&amp;CHAR(MOD(COLUMN(L261)-1,26)+65))&amp;$R241&amp;""),"")</f>
        <v/>
      </c>
      <c r="AB241" s="51" t="str">
        <f t="array" aca="1" ref="AB241" ca="1">IF($R241&lt;&gt;"",
INDIRECT(""&amp;IF(COLUMN(O261)&lt;=26,CHAR(COLUMN(O261)+64),CHAR(INT((COLUMN(O261)-1)/26)+64)&amp;CHAR(MOD(COLUMN(O261)-1,26)+65))&amp;$R241&amp;""),"")</f>
        <v/>
      </c>
    </row>
    <row r="242" spans="2:28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60" t="str">
        <f ca="1">IF(C242&lt;&gt;"",
IF(IF(COUNTIF(C242,"*キャラ*"),
VLOOKUP("*キャラ*",#REF!,7,FALSE),
IF(COUNTIF(C242,"*赤*"),
VLOOKUP("*赤*",#REF!,7,FALSE),
VLOOKUP(C242,#REF!,7,FALSE)))=0,"",
IF(H242&lt;&gt;"",
IF(ROUND(
H242/IF(COUNTIF(C242,"*キャラ*"),
VLOOKUP("*キャラ*",#REF!,7,FALSE),
IF(COUNTIF(C242,"*赤*"),
VLOOKUP("*赤*",#REF!,7,FALSE),
VLOOKUP(C242,#REF!,7,FALSE))),0)&lt;=0,1,
ROUND(
H242/IF(COUNTIF(C242,"*キャラ*"),
VLOOKUP("*キャラ*",#REF!,7,FALSE),
IF(COUNTIF(C242,"*赤*"),
VLOOKUP("*赤*",#REF!,7,FALSE),
VLOOKUP(C242,#REF!,7,FALSE))),0)),"")),"")</f>
        <v/>
      </c>
      <c r="G242" s="61" t="str">
        <f ca="1">IF(F242&lt;&gt;"",IF(VALUE(H242)&gt;VALUE(IF(COUNTIF(C242,"*キャラ*"),
VLOOKUP("*キャラ*",#REF!,7,FALSE),
IF(COUNTIF(C242,"*赤*"),
VLOOKUP("*赤*",#REF!,7,FALSE),
VLOOKUP(C242,#REF!,7,FALSE)))*F242),
"+"&amp;H242-IF(COUNTIF(C242,"*キャラ*"),
VLOOKUP("*キャラ*",#REF!,7,FALSE),
IF(COUNTIF(C242,"*赤*"),
VLOOKUP("*赤*",#REF!,7,FALSE),
VLOOKUP(C242,#REF!,7,FALSE)))*F242,
H242-IF(COUNTIF(C242,"*キャラ*"),
VLOOKUP("*キャラ*",#REF!,7,FALSE),
IF(COUNTIF(C242,"*赤*"),
VLOOKUP("*赤*",#REF!,7,FALSE),
VLOOKUP(C242,#REF!,7,FALSE)))*F242),"")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K242" s="59" t="str">
        <f t="shared" ca="1" si="60"/>
        <v/>
      </c>
      <c r="L242" s="59" t="str">
        <f t="shared" ca="1" si="61"/>
        <v/>
      </c>
      <c r="M242" s="59"/>
      <c r="N242" s="59"/>
      <c r="O242" s="59"/>
      <c r="P242" s="59" t="str">
        <f t="shared" ca="1" si="62"/>
        <v/>
      </c>
      <c r="Q242" s="59" t="str">
        <f t="shared" ca="1" si="63"/>
        <v/>
      </c>
      <c r="R242" s="51" t="str" cm="1">
        <f t="array" aca="1" ref="R242" ca="1">IFERROR(SMALL(IF(P$1:P$300&lt;&gt;0,P$1:P$300),ROW(A242)),"")</f>
        <v/>
      </c>
      <c r="S242" s="51" t="str">
        <f t="array" aca="1" ref="S242" ca="1">IF($R242&lt;&gt;"",
INDIRECT(""&amp;IF(COLUMN(C262)&lt;=26,CHAR(COLUMN(C262)+64),CHAR(INT((COLUMN(C262)-1)/26)+64)&amp;CHAR(MOD(COLUMN(C262)-1,26)+65))&amp;$R242&amp;""),"")</f>
        <v/>
      </c>
      <c r="T242" s="51" t="str">
        <f t="array" aca="1" ref="T242" ca="1">IF($R242&lt;&gt;"",
INDIRECT(""&amp;IF(COLUMN(D262)&lt;=26,CHAR(COLUMN(D262)+64),CHAR(INT((COLUMN(D262)-1)/26)+64)&amp;CHAR(MOD(COLUMN(D262)-1,26)+65))&amp;$R242&amp;""),"")</f>
        <v/>
      </c>
      <c r="U242" s="51"/>
      <c r="V242" s="51" t="str">
        <f t="array" aca="1" ref="V242" ca="1">IF($R242&lt;&gt;"",
IF(U242="",
IF(INDIRECT("EY"&amp;$R242&amp;"")&lt;&gt;"",
INDIRECT("EY"&amp;$R242&amp;"")&amp;"箱"
&amp;INDIRECT("EZ"&amp;$R242&amp;""),""),""),"")</f>
        <v/>
      </c>
      <c r="W242" s="51" t="str">
        <f t="array" aca="1" ref="W242" ca="1">IF($R242&lt;&gt;"",
INDIRECT(""&amp;IF(COLUMN(H262)&lt;=26,CHAR(COLUMN(H262)+64),CHAR(INT((COLUMN(H262)-1)/26)+64)&amp;CHAR(MOD(COLUMN(H262)-1,26)+65))&amp;$R242&amp;""),"")</f>
        <v/>
      </c>
      <c r="X242" s="51" t="str">
        <f t="array" aca="1" ref="X242" ca="1">IF($R242&lt;&gt;"",
INDIRECT(""&amp;IF(COLUMN(I262)&lt;=26,CHAR(COLUMN(I262)+64),CHAR(INT((COLUMN(I262)-1)/26)+64)&amp;CHAR(MOD(COLUMN(I262)-1,26)+65))&amp;$R242&amp;""),"")</f>
        <v/>
      </c>
      <c r="Y242" s="51" t="str">
        <f t="array" aca="1" ref="Y242" ca="1">IF($R242&lt;&gt;"",
INDIRECT(""&amp;IF(COLUMN(J262)&lt;=26,CHAR(COLUMN(J262)+64),CHAR(INT((COLUMN(J262)-1)/26)+64)&amp;CHAR(MOD(COLUMN(J262)-1,26)+65))&amp;$R242&amp;""),"")</f>
        <v/>
      </c>
      <c r="Z242" s="51" t="str">
        <f t="array" aca="1" ref="Z242" ca="1">IF($R242&lt;&gt;"",
INDIRECT(""&amp;IF(COLUMN(K262)&lt;=26,CHAR(COLUMN(K262)+64),CHAR(INT((COLUMN(K262)-1)/26)+64)&amp;CHAR(MOD(COLUMN(K262)-1,26)+65))&amp;$R242&amp;""),"")</f>
        <v/>
      </c>
      <c r="AA242" s="51" t="str">
        <f t="array" aca="1" ref="AA242" ca="1">IF($R242&lt;&gt;"",
INDIRECT(""&amp;IF(COLUMN(L262)&lt;=26,CHAR(COLUMN(L262)+64),CHAR(INT((COLUMN(L262)-1)/26)+64)&amp;CHAR(MOD(COLUMN(L262)-1,26)+65))&amp;$R242&amp;""),"")</f>
        <v/>
      </c>
      <c r="AB242" s="51" t="str">
        <f t="array" aca="1" ref="AB242" ca="1">IF($R242&lt;&gt;"",
INDIRECT(""&amp;IF(COLUMN(O262)&lt;=26,CHAR(COLUMN(O262)+64),CHAR(INT((COLUMN(O262)-1)/26)+64)&amp;CHAR(MOD(COLUMN(O262)-1,26)+65))&amp;$R242&amp;""),"")</f>
        <v/>
      </c>
    </row>
    <row r="243" spans="2:28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60" t="e">
        <f ca="1">IF(C243&lt;&gt;"",
IF(IF(COUNTIF(C243,"*キャラ*"),
VLOOKUP("*キャラ*",#REF!,7,FALSE),
IF(COUNTIF(C243,"*赤*"),
VLOOKUP("*赤*",#REF!,7,FALSE),
VLOOKUP(C243,#REF!,7,FALSE)))=0,"",
IF(H243&lt;&gt;"",
IF(ROUND(
H243/IF(COUNTIF(C243,"*キャラ*"),
VLOOKUP("*キャラ*",#REF!,7,FALSE),
IF(COUNTIF(C243,"*赤*"),
VLOOKUP("*赤*",#REF!,7,FALSE),
VLOOKUP(C243,#REF!,7,FALSE))),0)&lt;=0,1,
ROUND(
H243/IF(COUNTIF(C243,"*キャラ*"),
VLOOKUP("*キャラ*",#REF!,7,FALSE),
IF(COUNTIF(C243,"*赤*"),
VLOOKUP("*赤*",#REF!,7,FALSE),
VLOOKUP(C243,#REF!,7,FALSE))),0)),"")),"")</f>
        <v>#REF!</v>
      </c>
      <c r="G243" s="61" t="e">
        <f ca="1">IF(F243&lt;&gt;"",IF(VALUE(H243)&gt;VALUE(IF(COUNTIF(C243,"*キャラ*"),
VLOOKUP("*キャラ*",#REF!,7,FALSE),
IF(COUNTIF(C243,"*赤*"),
VLOOKUP("*赤*",#REF!,7,FALSE),
VLOOKUP(C243,#REF!,7,FALSE)))*F243),
"+"&amp;H243-IF(COUNTIF(C243,"*キャラ*"),
VLOOKUP("*キャラ*",#REF!,7,FALSE),
IF(COUNTIF(C243,"*赤*"),
VLOOKUP("*赤*",#REF!,7,FALSE),
VLOOKUP(C243,#REF!,7,FALSE)))*F243,
H243-IF(COUNTIF(C243,"*キャラ*"),
VLOOKUP("*キャラ*",#REF!,7,FALSE),
IF(COUNTIF(C243,"*赤*"),
VLOOKUP("*赤*",#REF!,7,FALSE),
VLOOKUP(C243,#REF!,7,FALSE)))*F243),"")</f>
        <v>#REF!</v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K243" s="59" t="str">
        <f t="shared" ca="1" si="60"/>
        <v/>
      </c>
      <c r="L243" s="59" t="str">
        <f t="shared" ca="1" si="61"/>
        <v/>
      </c>
      <c r="M243" s="59"/>
      <c r="N243" s="59"/>
      <c r="O243" s="59"/>
      <c r="P243" s="59" t="str">
        <f t="shared" ca="1" si="62"/>
        <v/>
      </c>
      <c r="Q243" s="59" t="str">
        <f t="shared" ca="1" si="63"/>
        <v/>
      </c>
      <c r="R243" s="51" t="str" cm="1">
        <f t="array" aca="1" ref="R243" ca="1">IFERROR(SMALL(IF(P$1:P$300&lt;&gt;0,P$1:P$300),ROW(A243)),"")</f>
        <v/>
      </c>
      <c r="S243" s="51" t="str">
        <f t="array" aca="1" ref="S243" ca="1">IF($R243&lt;&gt;"",
INDIRECT(""&amp;IF(COLUMN(C263)&lt;=26,CHAR(COLUMN(C263)+64),CHAR(INT((COLUMN(C263)-1)/26)+64)&amp;CHAR(MOD(COLUMN(C263)-1,26)+65))&amp;$R243&amp;""),"")</f>
        <v/>
      </c>
      <c r="T243" s="51" t="str">
        <f t="array" aca="1" ref="T243" ca="1">IF($R243&lt;&gt;"",
INDIRECT(""&amp;IF(COLUMN(D263)&lt;=26,CHAR(COLUMN(D263)+64),CHAR(INT((COLUMN(D263)-1)/26)+64)&amp;CHAR(MOD(COLUMN(D263)-1,26)+65))&amp;$R243&amp;""),"")</f>
        <v/>
      </c>
      <c r="U243" s="51"/>
      <c r="V243" s="51" t="str">
        <f t="array" aca="1" ref="V243" ca="1">IF($R243&lt;&gt;"",
IF(U243="",
IF(INDIRECT("EY"&amp;$R243&amp;"")&lt;&gt;"",
INDIRECT("EY"&amp;$R243&amp;"")&amp;"箱"
&amp;INDIRECT("EZ"&amp;$R243&amp;""),""),""),"")</f>
        <v/>
      </c>
      <c r="W243" s="51" t="str">
        <f t="array" aca="1" ref="W243" ca="1">IF($R243&lt;&gt;"",
INDIRECT(""&amp;IF(COLUMN(H263)&lt;=26,CHAR(COLUMN(H263)+64),CHAR(INT((COLUMN(H263)-1)/26)+64)&amp;CHAR(MOD(COLUMN(H263)-1,26)+65))&amp;$R243&amp;""),"")</f>
        <v/>
      </c>
      <c r="X243" s="51" t="str">
        <f t="array" aca="1" ref="X243" ca="1">IF($R243&lt;&gt;"",
INDIRECT(""&amp;IF(COLUMN(I263)&lt;=26,CHAR(COLUMN(I263)+64),CHAR(INT((COLUMN(I263)-1)/26)+64)&amp;CHAR(MOD(COLUMN(I263)-1,26)+65))&amp;$R243&amp;""),"")</f>
        <v/>
      </c>
      <c r="Y243" s="51" t="str">
        <f t="array" aca="1" ref="Y243" ca="1">IF($R243&lt;&gt;"",
INDIRECT(""&amp;IF(COLUMN(J263)&lt;=26,CHAR(COLUMN(J263)+64),CHAR(INT((COLUMN(J263)-1)/26)+64)&amp;CHAR(MOD(COLUMN(J263)-1,26)+65))&amp;$R243&amp;""),"")</f>
        <v/>
      </c>
      <c r="Z243" s="51" t="str">
        <f t="array" aca="1" ref="Z243" ca="1">IF($R243&lt;&gt;"",
INDIRECT(""&amp;IF(COLUMN(K263)&lt;=26,CHAR(COLUMN(K263)+64),CHAR(INT((COLUMN(K263)-1)/26)+64)&amp;CHAR(MOD(COLUMN(K263)-1,26)+65))&amp;$R243&amp;""),"")</f>
        <v/>
      </c>
      <c r="AA243" s="51" t="str">
        <f t="array" aca="1" ref="AA243" ca="1">IF($R243&lt;&gt;"",
INDIRECT(""&amp;IF(COLUMN(L263)&lt;=26,CHAR(COLUMN(L263)+64),CHAR(INT((COLUMN(L263)-1)/26)+64)&amp;CHAR(MOD(COLUMN(L263)-1,26)+65))&amp;$R243&amp;""),"")</f>
        <v/>
      </c>
      <c r="AB243" s="51" t="str">
        <f t="array" aca="1" ref="AB243" ca="1">IF($R243&lt;&gt;"",
INDIRECT(""&amp;IF(COLUMN(O263)&lt;=26,CHAR(COLUMN(O263)+64),CHAR(INT((COLUMN(O263)-1)/26)+64)&amp;CHAR(MOD(COLUMN(O263)-1,26)+65))&amp;$R243&amp;""),"")</f>
        <v/>
      </c>
    </row>
    <row r="244" spans="2:28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60" t="str">
        <f ca="1">IF(C244&lt;&gt;"",
IF(IF(COUNTIF(C244,"*キャラ*"),
VLOOKUP("*キャラ*",#REF!,7,FALSE),
IF(COUNTIF(C244,"*赤*"),
VLOOKUP("*赤*",#REF!,7,FALSE),
VLOOKUP(C244,#REF!,7,FALSE)))=0,"",
IF(H244&lt;&gt;"",
IF(ROUND(
H244/IF(COUNTIF(C244,"*キャラ*"),
VLOOKUP("*キャラ*",#REF!,7,FALSE),
IF(COUNTIF(C244,"*赤*"),
VLOOKUP("*赤*",#REF!,7,FALSE),
VLOOKUP(C244,#REF!,7,FALSE))),0)&lt;=0,1,
ROUND(
H244/IF(COUNTIF(C244,"*キャラ*"),
VLOOKUP("*キャラ*",#REF!,7,FALSE),
IF(COUNTIF(C244,"*赤*"),
VLOOKUP("*赤*",#REF!,7,FALSE),
VLOOKUP(C244,#REF!,7,FALSE))),0)),"")),"")</f>
        <v/>
      </c>
      <c r="G244" s="61" t="str">
        <f ca="1">IF(F244&lt;&gt;"",IF(VALUE(H244)&gt;VALUE(IF(COUNTIF(C244,"*キャラ*"),
VLOOKUP("*キャラ*",#REF!,7,FALSE),
IF(COUNTIF(C244,"*赤*"),
VLOOKUP("*赤*",#REF!,7,FALSE),
VLOOKUP(C244,#REF!,7,FALSE)))*F244),
"+"&amp;H244-IF(COUNTIF(C244,"*キャラ*"),
VLOOKUP("*キャラ*",#REF!,7,FALSE),
IF(COUNTIF(C244,"*赤*"),
VLOOKUP("*赤*",#REF!,7,FALSE),
VLOOKUP(C244,#REF!,7,FALSE)))*F244,
H244-IF(COUNTIF(C244,"*キャラ*"),
VLOOKUP("*キャラ*",#REF!,7,FALSE),
IF(COUNTIF(C244,"*赤*"),
VLOOKUP("*赤*",#REF!,7,FALSE),
VLOOKUP(C244,#REF!,7,FALSE)))*F244),"")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K244" s="59" t="str">
        <f t="shared" ca="1" si="60"/>
        <v/>
      </c>
      <c r="L244" s="59" t="str">
        <f t="shared" ca="1" si="61"/>
        <v/>
      </c>
      <c r="M244" s="59"/>
      <c r="N244" s="59"/>
      <c r="O244" s="59"/>
      <c r="P244" s="59" t="str">
        <f t="shared" ca="1" si="62"/>
        <v/>
      </c>
      <c r="Q244" s="59" t="str">
        <f t="shared" ca="1" si="63"/>
        <v/>
      </c>
      <c r="R244" s="51" t="str" cm="1">
        <f t="array" aca="1" ref="R244" ca="1">IFERROR(SMALL(IF(P$1:P$300&lt;&gt;0,P$1:P$300),ROW(A244)),"")</f>
        <v/>
      </c>
      <c r="S244" s="51" t="str">
        <f t="array" aca="1" ref="S244" ca="1">IF($R244&lt;&gt;"",
INDIRECT(""&amp;IF(COLUMN(C264)&lt;=26,CHAR(COLUMN(C264)+64),CHAR(INT((COLUMN(C264)-1)/26)+64)&amp;CHAR(MOD(COLUMN(C264)-1,26)+65))&amp;$R244&amp;""),"")</f>
        <v/>
      </c>
      <c r="T244" s="51" t="str">
        <f t="array" aca="1" ref="T244" ca="1">IF($R244&lt;&gt;"",
INDIRECT(""&amp;IF(COLUMN(D264)&lt;=26,CHAR(COLUMN(D264)+64),CHAR(INT((COLUMN(D264)-1)/26)+64)&amp;CHAR(MOD(COLUMN(D264)-1,26)+65))&amp;$R244&amp;""),"")</f>
        <v/>
      </c>
      <c r="U244" s="51"/>
      <c r="V244" s="51" t="str">
        <f t="array" aca="1" ref="V244" ca="1">IF($R244&lt;&gt;"",
IF(U244="",
IF(INDIRECT("EY"&amp;$R244&amp;"")&lt;&gt;"",
INDIRECT("EY"&amp;$R244&amp;"")&amp;"箱"
&amp;INDIRECT("EZ"&amp;$R244&amp;""),""),""),"")</f>
        <v/>
      </c>
      <c r="W244" s="51" t="str">
        <f t="array" aca="1" ref="W244" ca="1">IF($R244&lt;&gt;"",
INDIRECT(""&amp;IF(COLUMN(H264)&lt;=26,CHAR(COLUMN(H264)+64),CHAR(INT((COLUMN(H264)-1)/26)+64)&amp;CHAR(MOD(COLUMN(H264)-1,26)+65))&amp;$R244&amp;""),"")</f>
        <v/>
      </c>
      <c r="X244" s="51" t="str">
        <f t="array" aca="1" ref="X244" ca="1">IF($R244&lt;&gt;"",
INDIRECT(""&amp;IF(COLUMN(I264)&lt;=26,CHAR(COLUMN(I264)+64),CHAR(INT((COLUMN(I264)-1)/26)+64)&amp;CHAR(MOD(COLUMN(I264)-1,26)+65))&amp;$R244&amp;""),"")</f>
        <v/>
      </c>
      <c r="Y244" s="51" t="str">
        <f t="array" aca="1" ref="Y244" ca="1">IF($R244&lt;&gt;"",
INDIRECT(""&amp;IF(COLUMN(J264)&lt;=26,CHAR(COLUMN(J264)+64),CHAR(INT((COLUMN(J264)-1)/26)+64)&amp;CHAR(MOD(COLUMN(J264)-1,26)+65))&amp;$R244&amp;""),"")</f>
        <v/>
      </c>
      <c r="Z244" s="51" t="str">
        <f t="array" aca="1" ref="Z244" ca="1">IF($R244&lt;&gt;"",
INDIRECT(""&amp;IF(COLUMN(K264)&lt;=26,CHAR(COLUMN(K264)+64),CHAR(INT((COLUMN(K264)-1)/26)+64)&amp;CHAR(MOD(COLUMN(K264)-1,26)+65))&amp;$R244&amp;""),"")</f>
        <v/>
      </c>
      <c r="AA244" s="51" t="str">
        <f t="array" aca="1" ref="AA244" ca="1">IF($R244&lt;&gt;"",
INDIRECT(""&amp;IF(COLUMN(L264)&lt;=26,CHAR(COLUMN(L264)+64),CHAR(INT((COLUMN(L264)-1)/26)+64)&amp;CHAR(MOD(COLUMN(L264)-1,26)+65))&amp;$R244&amp;""),"")</f>
        <v/>
      </c>
      <c r="AB244" s="51" t="str">
        <f t="array" aca="1" ref="AB244" ca="1">IF($R244&lt;&gt;"",
INDIRECT(""&amp;IF(COLUMN(O264)&lt;=26,CHAR(COLUMN(O264)+64),CHAR(INT((COLUMN(O264)-1)/26)+64)&amp;CHAR(MOD(COLUMN(O264)-1,26)+65))&amp;$R244&amp;""),"")</f>
        <v/>
      </c>
    </row>
    <row r="245" spans="2:28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60" t="str">
        <f ca="1">IF(C245&lt;&gt;"",
IF(IF(COUNTIF(C245,"*キャラ*"),
VLOOKUP("*キャラ*",#REF!,7,FALSE),
IF(COUNTIF(C245,"*赤*"),
VLOOKUP("*赤*",#REF!,7,FALSE),
VLOOKUP(C245,#REF!,7,FALSE)))=0,"",
IF(H245&lt;&gt;"",
IF(ROUND(
H245/IF(COUNTIF(C245,"*キャラ*"),
VLOOKUP("*キャラ*",#REF!,7,FALSE),
IF(COUNTIF(C245,"*赤*"),
VLOOKUP("*赤*",#REF!,7,FALSE),
VLOOKUP(C245,#REF!,7,FALSE))),0)&lt;=0,1,
ROUND(
H245/IF(COUNTIF(C245,"*キャラ*"),
VLOOKUP("*キャラ*",#REF!,7,FALSE),
IF(COUNTIF(C245,"*赤*"),
VLOOKUP("*赤*",#REF!,7,FALSE),
VLOOKUP(C245,#REF!,7,FALSE))),0)),"")),"")</f>
        <v/>
      </c>
      <c r="G245" s="61" t="str">
        <f ca="1">IF(F245&lt;&gt;"",IF(VALUE(H245)&gt;VALUE(IF(COUNTIF(C245,"*キャラ*"),
VLOOKUP("*キャラ*",#REF!,7,FALSE),
IF(COUNTIF(C245,"*赤*"),
VLOOKUP("*赤*",#REF!,7,FALSE),
VLOOKUP(C245,#REF!,7,FALSE)))*F245),
"+"&amp;H245-IF(COUNTIF(C245,"*キャラ*"),
VLOOKUP("*キャラ*",#REF!,7,FALSE),
IF(COUNTIF(C245,"*赤*"),
VLOOKUP("*赤*",#REF!,7,FALSE),
VLOOKUP(C245,#REF!,7,FALSE)))*F245,
H245-IF(COUNTIF(C245,"*キャラ*"),
VLOOKUP("*キャラ*",#REF!,7,FALSE),
IF(COUNTIF(C245,"*赤*"),
VLOOKUP("*赤*",#REF!,7,FALSE),
VLOOKUP(C245,#REF!,7,FALSE)))*F245),"")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K245" s="59" t="str">
        <f t="shared" ca="1" si="60"/>
        <v/>
      </c>
      <c r="L245" s="59" t="str">
        <f t="shared" ca="1" si="61"/>
        <v/>
      </c>
      <c r="M245" s="59"/>
      <c r="N245" s="59"/>
      <c r="O245" s="59"/>
      <c r="P245" s="59" t="str">
        <f t="shared" ca="1" si="62"/>
        <v/>
      </c>
      <c r="Q245" s="59" t="str">
        <f t="shared" ca="1" si="63"/>
        <v/>
      </c>
      <c r="R245" s="51" t="str" cm="1">
        <f t="array" aca="1" ref="R245" ca="1">IFERROR(SMALL(IF(P$1:P$300&lt;&gt;0,P$1:P$300),ROW(A245)),"")</f>
        <v/>
      </c>
      <c r="S245" s="51" t="str">
        <f t="array" aca="1" ref="S245" ca="1">IF($R245&lt;&gt;"",
INDIRECT(""&amp;IF(COLUMN(C265)&lt;=26,CHAR(COLUMN(C265)+64),CHAR(INT((COLUMN(C265)-1)/26)+64)&amp;CHAR(MOD(COLUMN(C265)-1,26)+65))&amp;$R245&amp;""),"")</f>
        <v/>
      </c>
      <c r="T245" s="51" t="str">
        <f t="array" aca="1" ref="T245" ca="1">IF($R245&lt;&gt;"",
INDIRECT(""&amp;IF(COLUMN(D265)&lt;=26,CHAR(COLUMN(D265)+64),CHAR(INT((COLUMN(D265)-1)/26)+64)&amp;CHAR(MOD(COLUMN(D265)-1,26)+65))&amp;$R245&amp;""),"")</f>
        <v/>
      </c>
      <c r="U245" s="51"/>
      <c r="V245" s="51" t="str">
        <f t="array" aca="1" ref="V245" ca="1">IF($R245&lt;&gt;"",
IF(U245="",
IF(INDIRECT("EY"&amp;$R245&amp;"")&lt;&gt;"",
INDIRECT("EY"&amp;$R245&amp;"")&amp;"箱"
&amp;INDIRECT("EZ"&amp;$R245&amp;""),""),""),"")</f>
        <v/>
      </c>
      <c r="W245" s="51" t="str">
        <f t="array" aca="1" ref="W245" ca="1">IF($R245&lt;&gt;"",
INDIRECT(""&amp;IF(COLUMN(H265)&lt;=26,CHAR(COLUMN(H265)+64),CHAR(INT((COLUMN(H265)-1)/26)+64)&amp;CHAR(MOD(COLUMN(H265)-1,26)+65))&amp;$R245&amp;""),"")</f>
        <v/>
      </c>
      <c r="X245" s="51" t="str">
        <f t="array" aca="1" ref="X245" ca="1">IF($R245&lt;&gt;"",
INDIRECT(""&amp;IF(COLUMN(I265)&lt;=26,CHAR(COLUMN(I265)+64),CHAR(INT((COLUMN(I265)-1)/26)+64)&amp;CHAR(MOD(COLUMN(I265)-1,26)+65))&amp;$R245&amp;""),"")</f>
        <v/>
      </c>
      <c r="Y245" s="51" t="str">
        <f t="array" aca="1" ref="Y245" ca="1">IF($R245&lt;&gt;"",
INDIRECT(""&amp;IF(COLUMN(J265)&lt;=26,CHAR(COLUMN(J265)+64),CHAR(INT((COLUMN(J265)-1)/26)+64)&amp;CHAR(MOD(COLUMN(J265)-1,26)+65))&amp;$R245&amp;""),"")</f>
        <v/>
      </c>
      <c r="Z245" s="51" t="str">
        <f t="array" aca="1" ref="Z245" ca="1">IF($R245&lt;&gt;"",
INDIRECT(""&amp;IF(COLUMN(K265)&lt;=26,CHAR(COLUMN(K265)+64),CHAR(INT((COLUMN(K265)-1)/26)+64)&amp;CHAR(MOD(COLUMN(K265)-1,26)+65))&amp;$R245&amp;""),"")</f>
        <v/>
      </c>
      <c r="AA245" s="51" t="str">
        <f t="array" aca="1" ref="AA245" ca="1">IF($R245&lt;&gt;"",
INDIRECT(""&amp;IF(COLUMN(L265)&lt;=26,CHAR(COLUMN(L265)+64),CHAR(INT((COLUMN(L265)-1)/26)+64)&amp;CHAR(MOD(COLUMN(L265)-1,26)+65))&amp;$R245&amp;""),"")</f>
        <v/>
      </c>
      <c r="AB245" s="51" t="str">
        <f t="array" aca="1" ref="AB245" ca="1">IF($R245&lt;&gt;"",
INDIRECT(""&amp;IF(COLUMN(O265)&lt;=26,CHAR(COLUMN(O265)+64),CHAR(INT((COLUMN(O265)-1)/26)+64)&amp;CHAR(MOD(COLUMN(O265)-1,26)+65))&amp;$R245&amp;""),"")</f>
        <v/>
      </c>
    </row>
    <row r="246" spans="2:28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60" t="str">
        <f ca="1">IF(C246&lt;&gt;"",
IF(IF(COUNTIF(C246,"*キャラ*"),
VLOOKUP("*キャラ*",#REF!,7,FALSE),
IF(COUNTIF(C246,"*赤*"),
VLOOKUP("*赤*",#REF!,7,FALSE),
VLOOKUP(C246,#REF!,7,FALSE)))=0,"",
IF(H246&lt;&gt;"",
IF(ROUND(
H246/IF(COUNTIF(C246,"*キャラ*"),
VLOOKUP("*キャラ*",#REF!,7,FALSE),
IF(COUNTIF(C246,"*赤*"),
VLOOKUP("*赤*",#REF!,7,FALSE),
VLOOKUP(C246,#REF!,7,FALSE))),0)&lt;=0,1,
ROUND(
H246/IF(COUNTIF(C246,"*キャラ*"),
VLOOKUP("*キャラ*",#REF!,7,FALSE),
IF(COUNTIF(C246,"*赤*"),
VLOOKUP("*赤*",#REF!,7,FALSE),
VLOOKUP(C246,#REF!,7,FALSE))),0)),"")),"")</f>
        <v/>
      </c>
      <c r="G246" s="61" t="str">
        <f ca="1">IF(F246&lt;&gt;"",IF(VALUE(H246)&gt;VALUE(IF(COUNTIF(C246,"*キャラ*"),
VLOOKUP("*キャラ*",#REF!,7,FALSE),
IF(COUNTIF(C246,"*赤*"),
VLOOKUP("*赤*",#REF!,7,FALSE),
VLOOKUP(C246,#REF!,7,FALSE)))*F246),
"+"&amp;H246-IF(COUNTIF(C246,"*キャラ*"),
VLOOKUP("*キャラ*",#REF!,7,FALSE),
IF(COUNTIF(C246,"*赤*"),
VLOOKUP("*赤*",#REF!,7,FALSE),
VLOOKUP(C246,#REF!,7,FALSE)))*F246,
H246-IF(COUNTIF(C246,"*キャラ*"),
VLOOKUP("*キャラ*",#REF!,7,FALSE),
IF(COUNTIF(C246,"*赤*"),
VLOOKUP("*赤*",#REF!,7,FALSE),
VLOOKUP(C246,#REF!,7,FALSE)))*F246),"")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K246" s="59" t="str">
        <f t="shared" ca="1" si="60"/>
        <v/>
      </c>
      <c r="L246" s="59" t="str">
        <f t="shared" ca="1" si="61"/>
        <v/>
      </c>
      <c r="M246" s="59"/>
      <c r="N246" s="59"/>
      <c r="O246" s="59"/>
      <c r="P246" s="59" t="str">
        <f t="shared" ca="1" si="62"/>
        <v/>
      </c>
      <c r="Q246" s="59" t="str">
        <f t="shared" ca="1" si="63"/>
        <v/>
      </c>
      <c r="R246" s="51" t="str" cm="1">
        <f t="array" aca="1" ref="R246" ca="1">IFERROR(SMALL(IF(P$1:P$300&lt;&gt;0,P$1:P$300),ROW(A246)),"")</f>
        <v/>
      </c>
      <c r="S246" s="51" t="str">
        <f t="array" aca="1" ref="S246" ca="1">IF($R246&lt;&gt;"",
INDIRECT(""&amp;IF(COLUMN(C266)&lt;=26,CHAR(COLUMN(C266)+64),CHAR(INT((COLUMN(C266)-1)/26)+64)&amp;CHAR(MOD(COLUMN(C266)-1,26)+65))&amp;$R246&amp;""),"")</f>
        <v/>
      </c>
      <c r="T246" s="51" t="str">
        <f t="array" aca="1" ref="T246" ca="1">IF($R246&lt;&gt;"",
INDIRECT(""&amp;IF(COLUMN(D266)&lt;=26,CHAR(COLUMN(D266)+64),CHAR(INT((COLUMN(D266)-1)/26)+64)&amp;CHAR(MOD(COLUMN(D266)-1,26)+65))&amp;$R246&amp;""),"")</f>
        <v/>
      </c>
      <c r="U246" s="51"/>
      <c r="V246" s="51" t="str">
        <f t="array" aca="1" ref="V246" ca="1">IF($R246&lt;&gt;"",
IF(U246="",
IF(INDIRECT("EY"&amp;$R246&amp;"")&lt;&gt;"",
INDIRECT("EY"&amp;$R246&amp;"")&amp;"箱"
&amp;INDIRECT("EZ"&amp;$R246&amp;""),""),""),"")</f>
        <v/>
      </c>
      <c r="W246" s="51" t="str">
        <f t="array" aca="1" ref="W246" ca="1">IF($R246&lt;&gt;"",
INDIRECT(""&amp;IF(COLUMN(H266)&lt;=26,CHAR(COLUMN(H266)+64),CHAR(INT((COLUMN(H266)-1)/26)+64)&amp;CHAR(MOD(COLUMN(H266)-1,26)+65))&amp;$R246&amp;""),"")</f>
        <v/>
      </c>
      <c r="X246" s="51" t="str">
        <f t="array" aca="1" ref="X246" ca="1">IF($R246&lt;&gt;"",
INDIRECT(""&amp;IF(COLUMN(I266)&lt;=26,CHAR(COLUMN(I266)+64),CHAR(INT((COLUMN(I266)-1)/26)+64)&amp;CHAR(MOD(COLUMN(I266)-1,26)+65))&amp;$R246&amp;""),"")</f>
        <v/>
      </c>
      <c r="Y246" s="51" t="str">
        <f t="array" aca="1" ref="Y246" ca="1">IF($R246&lt;&gt;"",
INDIRECT(""&amp;IF(COLUMN(J266)&lt;=26,CHAR(COLUMN(J266)+64),CHAR(INT((COLUMN(J266)-1)/26)+64)&amp;CHAR(MOD(COLUMN(J266)-1,26)+65))&amp;$R246&amp;""),"")</f>
        <v/>
      </c>
      <c r="Z246" s="51" t="str">
        <f t="array" aca="1" ref="Z246" ca="1">IF($R246&lt;&gt;"",
INDIRECT(""&amp;IF(COLUMN(K266)&lt;=26,CHAR(COLUMN(K266)+64),CHAR(INT((COLUMN(K266)-1)/26)+64)&amp;CHAR(MOD(COLUMN(K266)-1,26)+65))&amp;$R246&amp;""),"")</f>
        <v/>
      </c>
      <c r="AA246" s="51" t="str">
        <f t="array" aca="1" ref="AA246" ca="1">IF($R246&lt;&gt;"",
INDIRECT(""&amp;IF(COLUMN(L266)&lt;=26,CHAR(COLUMN(L266)+64),CHAR(INT((COLUMN(L266)-1)/26)+64)&amp;CHAR(MOD(COLUMN(L266)-1,26)+65))&amp;$R246&amp;""),"")</f>
        <v/>
      </c>
      <c r="AB246" s="51" t="str">
        <f t="array" aca="1" ref="AB246" ca="1">IF($R246&lt;&gt;"",
INDIRECT(""&amp;IF(COLUMN(O266)&lt;=26,CHAR(COLUMN(O266)+64),CHAR(INT((COLUMN(O266)-1)/26)+64)&amp;CHAR(MOD(COLUMN(O266)-1,26)+65))&amp;$R246&amp;""),"")</f>
        <v/>
      </c>
    </row>
    <row r="247" spans="2:28">
      <c r="B247" s="66"/>
      <c r="C247" s="67" t="str">
        <f t="array" aca="1" ref="C247" ca="1">IFERROR(INDEX(先生札!$A$1:$N$24,SMALL(IF(先生札!$B$1:$B$24&lt;&gt;"",ROW(先生札!$B$1:$B$24),""),ROW(先生札!A1)),COLUMN(先生札!A$1)),"")</f>
        <v/>
      </c>
      <c r="D247" s="67">
        <f t="array" aca="1" ref="D247" ca="1">IFERROR(INDEX(先生札!$A$1:$N$24,SMALL(IF(先生札!$B$1:$B$24&lt;&gt;"",ROW(先生札!$B$1:$B$24),""),ROW(先生札!B1)),COLUMN(先生札!B$1)),"")</f>
        <v>0</v>
      </c>
      <c r="E247" s="66"/>
      <c r="F247" s="66" t="str">
        <f>""</f>
        <v/>
      </c>
      <c r="G247" s="66" t="str">
        <f>""</f>
        <v/>
      </c>
      <c r="H247" s="66" t="str">
        <f>""</f>
        <v/>
      </c>
      <c r="I247" s="66" t="str">
        <f t="array" aca="1" ref="I247" ca="1">IFERROR(INDEX(先生札!$A$1:$N$24,SMALL(IF(先生札!$B$1:$B$24&lt;&gt;"",ROW(先生札!$B$1:$B$24),""),ROW(先生札!F1)),COLUMN(先生札!F$1)),"")</f>
        <v/>
      </c>
      <c r="J247" s="66" t="str">
        <f>""</f>
        <v/>
      </c>
      <c r="K247" s="66" t="str">
        <f>""</f>
        <v/>
      </c>
      <c r="L247" s="66" t="str">
        <f>""</f>
        <v/>
      </c>
      <c r="M247" s="66"/>
      <c r="N247" s="66"/>
      <c r="O247" s="66" t="str">
        <f>""</f>
        <v/>
      </c>
      <c r="P247" s="66" t="str">
        <f t="shared" ca="1" si="62"/>
        <v/>
      </c>
      <c r="Q247" s="66" t="str">
        <f t="shared" ref="Q247:Q254" ca="1" si="64">IF(I247&lt;&gt;"","TRUE","")</f>
        <v/>
      </c>
      <c r="R247" s="51" t="str" cm="1">
        <f t="array" aca="1" ref="R247" ca="1">IFERROR(SMALL(IF(P$1:P$300&lt;&gt;0,P$1:P$300),ROW(A247)),"")</f>
        <v/>
      </c>
      <c r="S247" s="51" t="str">
        <f t="array" aca="1" ref="S247" ca="1">IF($R247&lt;&gt;"",
INDIRECT(""&amp;IF(COLUMN(C267)&lt;=26,CHAR(COLUMN(C267)+64),CHAR(INT((COLUMN(C267)-1)/26)+64)&amp;CHAR(MOD(COLUMN(C267)-1,26)+65))&amp;$R247&amp;""),"")</f>
        <v/>
      </c>
      <c r="T247" s="51" t="str">
        <f t="array" aca="1" ref="T247" ca="1">IF($R247&lt;&gt;"",
INDIRECT(""&amp;IF(COLUMN(D267)&lt;=26,CHAR(COLUMN(D267)+64),CHAR(INT((COLUMN(D267)-1)/26)+64)&amp;CHAR(MOD(COLUMN(D267)-1,26)+65))&amp;$R247&amp;""),"")</f>
        <v/>
      </c>
      <c r="U247" s="51"/>
      <c r="V247" s="51" t="str">
        <f t="array" aca="1" ref="V247" ca="1">IF($R247&lt;&gt;"",
IF(U247="",
IF(INDIRECT("EY"&amp;$R247&amp;"")&lt;&gt;"",
INDIRECT("EY"&amp;$R247&amp;"")&amp;"箱"
&amp;INDIRECT("EZ"&amp;$R247&amp;""),""),""),"")</f>
        <v/>
      </c>
      <c r="W247" s="51" t="str">
        <f t="array" aca="1" ref="W247" ca="1">IF($R247&lt;&gt;"",
INDIRECT(""&amp;IF(COLUMN(H267)&lt;=26,CHAR(COLUMN(H267)+64),CHAR(INT((COLUMN(H267)-1)/26)+64)&amp;CHAR(MOD(COLUMN(H267)-1,26)+65))&amp;$R247&amp;""),"")</f>
        <v/>
      </c>
      <c r="X247" s="51" t="str">
        <f t="array" aca="1" ref="X247" ca="1">IF($R247&lt;&gt;"",
INDIRECT(""&amp;IF(COLUMN(I267)&lt;=26,CHAR(COLUMN(I267)+64),CHAR(INT((COLUMN(I267)-1)/26)+64)&amp;CHAR(MOD(COLUMN(I267)-1,26)+65))&amp;$R247&amp;""),"")</f>
        <v/>
      </c>
      <c r="Y247" s="51" t="str">
        <f t="array" aca="1" ref="Y247" ca="1">IF($R247&lt;&gt;"",
INDIRECT(""&amp;IF(COLUMN(J267)&lt;=26,CHAR(COLUMN(J267)+64),CHAR(INT((COLUMN(J267)-1)/26)+64)&amp;CHAR(MOD(COLUMN(J267)-1,26)+65))&amp;$R247&amp;""),"")</f>
        <v/>
      </c>
      <c r="Z247" s="51" t="str">
        <f t="array" aca="1" ref="Z247" ca="1">IF($R247&lt;&gt;"",
INDIRECT(""&amp;IF(COLUMN(K267)&lt;=26,CHAR(COLUMN(K267)+64),CHAR(INT((COLUMN(K267)-1)/26)+64)&amp;CHAR(MOD(COLUMN(K267)-1,26)+65))&amp;$R247&amp;""),"")</f>
        <v/>
      </c>
      <c r="AA247" s="51" t="str">
        <f t="array" aca="1" ref="AA247" ca="1">IF($R247&lt;&gt;"",
INDIRECT(""&amp;IF(COLUMN(L267)&lt;=26,CHAR(COLUMN(L267)+64),CHAR(INT((COLUMN(L267)-1)/26)+64)&amp;CHAR(MOD(COLUMN(L267)-1,26)+65))&amp;$R247&amp;""),"")</f>
        <v/>
      </c>
      <c r="AB247" s="51" t="str">
        <f t="array" aca="1" ref="AB247" ca="1">IF($R247&lt;&gt;"",
INDIRECT(""&amp;IF(COLUMN(O267)&lt;=26,CHAR(COLUMN(O267)+64),CHAR(INT((COLUMN(O267)-1)/26)+64)&amp;CHAR(MOD(COLUMN(O267)-1,26)+65))&amp;$R247&amp;""),"")</f>
        <v/>
      </c>
    </row>
    <row r="248" spans="2:28">
      <c r="B248" s="66"/>
      <c r="C248" s="67" t="str">
        <f t="array" aca="1" ref="C248" ca="1">IFERROR(INDEX(先生札!$A$1:$N$24,SMALL(IF(先生札!$B$1:$B$24&lt;&gt;"",ROW(先生札!$B$1:$B$24),""),ROW(先生札!A2)),COLUMN(先生札!A$1)),"")</f>
        <v/>
      </c>
      <c r="D248" s="67">
        <f t="array" aca="1" ref="D248" ca="1">IFERROR(INDEX(先生札!$A$1:$N$24,SMALL(IF(先生札!$B$1:$B$24&lt;&gt;"",ROW(先生札!$B$1:$B$24),""),ROW(先生札!B2)),COLUMN(先生札!B$1)),"")</f>
        <v>0</v>
      </c>
      <c r="E248" s="66"/>
      <c r="F248" s="66" t="str">
        <f>""</f>
        <v/>
      </c>
      <c r="G248" s="66" t="str">
        <f>""</f>
        <v/>
      </c>
      <c r="H248" s="66" t="str">
        <f>""</f>
        <v/>
      </c>
      <c r="I248" s="66" t="str">
        <f t="array" aca="1" ref="I248" ca="1">IFERROR(INDEX(先生札!$A$1:$N$24,SMALL(IF(先生札!$B$1:$B$24&lt;&gt;"",ROW(先生札!$B$1:$B$24),""),ROW(先生札!F2)),COLUMN(先生札!F$1)),"")</f>
        <v/>
      </c>
      <c r="J248" s="66" t="str">
        <f>""</f>
        <v/>
      </c>
      <c r="K248" s="66" t="str">
        <f>""</f>
        <v/>
      </c>
      <c r="L248" s="66" t="str">
        <f>""</f>
        <v/>
      </c>
      <c r="M248" s="66"/>
      <c r="N248" s="66"/>
      <c r="O248" s="66" t="str">
        <f>""</f>
        <v/>
      </c>
      <c r="P248" s="66" t="str">
        <f t="shared" ca="1" si="62"/>
        <v/>
      </c>
      <c r="Q248" s="66" t="str">
        <f t="shared" ca="1" si="64"/>
        <v/>
      </c>
      <c r="R248" s="51" t="str" cm="1">
        <f t="array" aca="1" ref="R248" ca="1">IFERROR(SMALL(IF(P$1:P$300&lt;&gt;0,P$1:P$300),ROW(A248)),"")</f>
        <v/>
      </c>
      <c r="S248" s="51" t="str">
        <f t="array" aca="1" ref="S248" ca="1">IF($R248&lt;&gt;"",
INDIRECT(""&amp;IF(COLUMN(C268)&lt;=26,CHAR(COLUMN(C268)+64),CHAR(INT((COLUMN(C268)-1)/26)+64)&amp;CHAR(MOD(COLUMN(C268)-1,26)+65))&amp;$R248&amp;""),"")</f>
        <v/>
      </c>
      <c r="T248" s="51" t="str">
        <f t="array" aca="1" ref="T248" ca="1">IF($R248&lt;&gt;"",
INDIRECT(""&amp;IF(COLUMN(D268)&lt;=26,CHAR(COLUMN(D268)+64),CHAR(INT((COLUMN(D268)-1)/26)+64)&amp;CHAR(MOD(COLUMN(D268)-1,26)+65))&amp;$R248&amp;""),"")</f>
        <v/>
      </c>
      <c r="U248" s="51"/>
      <c r="V248" s="51" t="str">
        <f t="array" aca="1" ref="V248" ca="1">IF($R248&lt;&gt;"",
IF(U248="",
IF(INDIRECT("EY"&amp;$R248&amp;"")&lt;&gt;"",
INDIRECT("EY"&amp;$R248&amp;"")&amp;"箱"
&amp;INDIRECT("EZ"&amp;$R248&amp;""),""),""),"")</f>
        <v/>
      </c>
      <c r="W248" s="51" t="str">
        <f t="array" aca="1" ref="W248" ca="1">IF($R248&lt;&gt;"",
INDIRECT(""&amp;IF(COLUMN(H268)&lt;=26,CHAR(COLUMN(H268)+64),CHAR(INT((COLUMN(H268)-1)/26)+64)&amp;CHAR(MOD(COLUMN(H268)-1,26)+65))&amp;$R248&amp;""),"")</f>
        <v/>
      </c>
      <c r="X248" s="51" t="str">
        <f t="array" aca="1" ref="X248" ca="1">IF($R248&lt;&gt;"",
INDIRECT(""&amp;IF(COLUMN(I268)&lt;=26,CHAR(COLUMN(I268)+64),CHAR(INT((COLUMN(I268)-1)/26)+64)&amp;CHAR(MOD(COLUMN(I268)-1,26)+65))&amp;$R248&amp;""),"")</f>
        <v/>
      </c>
      <c r="Y248" s="51" t="str">
        <f t="array" aca="1" ref="Y248" ca="1">IF($R248&lt;&gt;"",
INDIRECT(""&amp;IF(COLUMN(J268)&lt;=26,CHAR(COLUMN(J268)+64),CHAR(INT((COLUMN(J268)-1)/26)+64)&amp;CHAR(MOD(COLUMN(J268)-1,26)+65))&amp;$R248&amp;""),"")</f>
        <v/>
      </c>
      <c r="Z248" s="51" t="str">
        <f t="array" aca="1" ref="Z248" ca="1">IF($R248&lt;&gt;"",
INDIRECT(""&amp;IF(COLUMN(K268)&lt;=26,CHAR(COLUMN(K268)+64),CHAR(INT((COLUMN(K268)-1)/26)+64)&amp;CHAR(MOD(COLUMN(K268)-1,26)+65))&amp;$R248&amp;""),"")</f>
        <v/>
      </c>
      <c r="AA248" s="51" t="str">
        <f t="array" aca="1" ref="AA248" ca="1">IF($R248&lt;&gt;"",
INDIRECT(""&amp;IF(COLUMN(L268)&lt;=26,CHAR(COLUMN(L268)+64),CHAR(INT((COLUMN(L268)-1)/26)+64)&amp;CHAR(MOD(COLUMN(L268)-1,26)+65))&amp;$R248&amp;""),"")</f>
        <v/>
      </c>
      <c r="AB248" s="51" t="str">
        <f t="array" aca="1" ref="AB248" ca="1">IF($R248&lt;&gt;"",
INDIRECT(""&amp;IF(COLUMN(O268)&lt;=26,CHAR(COLUMN(O268)+64),CHAR(INT((COLUMN(O268)-1)/26)+64)&amp;CHAR(MOD(COLUMN(O268)-1,26)+65))&amp;$R248&amp;""),"")</f>
        <v/>
      </c>
    </row>
    <row r="249" spans="2:28">
      <c r="B249" s="66"/>
      <c r="C249" s="67" t="str">
        <f t="array" aca="1" ref="C249" ca="1">IFERROR(INDEX(先生札!$A$1:$N$24,SMALL(IF(先生札!$B$1:$B$24&lt;&gt;"",ROW(先生札!$B$1:$B$24),""),ROW(先生札!A3)),COLUMN(先生札!A$1)),"")</f>
        <v/>
      </c>
      <c r="D249" s="67">
        <f t="array" aca="1" ref="D249" ca="1">IFERROR(INDEX(先生札!$A$1:$N$24,SMALL(IF(先生札!$B$1:$B$24&lt;&gt;"",ROW(先生札!$B$1:$B$24),""),ROW(先生札!B3)),COLUMN(先生札!B$1)),"")</f>
        <v>0</v>
      </c>
      <c r="E249" s="66"/>
      <c r="F249" s="66" t="str">
        <f>""</f>
        <v/>
      </c>
      <c r="G249" s="66" t="str">
        <f>""</f>
        <v/>
      </c>
      <c r="H249" s="66" t="str">
        <f>""</f>
        <v/>
      </c>
      <c r="I249" s="66" t="str">
        <f t="array" aca="1" ref="I249" ca="1">IFERROR(INDEX(先生札!$A$1:$N$24,SMALL(IF(先生札!$B$1:$B$24&lt;&gt;"",ROW(先生札!$B$1:$B$24),""),ROW(先生札!F3)),COLUMN(先生札!F$1)),"")</f>
        <v/>
      </c>
      <c r="J249" s="66" t="str">
        <f>""</f>
        <v/>
      </c>
      <c r="K249" s="66" t="str">
        <f>""</f>
        <v/>
      </c>
      <c r="L249" s="66" t="str">
        <f>""</f>
        <v/>
      </c>
      <c r="M249" s="66"/>
      <c r="N249" s="66"/>
      <c r="O249" s="66" t="str">
        <f>""</f>
        <v/>
      </c>
      <c r="P249" s="66" t="str">
        <f t="shared" ca="1" si="62"/>
        <v/>
      </c>
      <c r="Q249" s="66" t="str">
        <f t="shared" ca="1" si="64"/>
        <v/>
      </c>
      <c r="R249" s="51" t="str" cm="1">
        <f t="array" aca="1" ref="R249" ca="1">IFERROR(SMALL(IF(P$1:P$300&lt;&gt;0,P$1:P$300),ROW(A249)),"")</f>
        <v/>
      </c>
      <c r="S249" s="51" t="str">
        <f t="array" aca="1" ref="S249" ca="1">IF($R249&lt;&gt;"",
INDIRECT(""&amp;IF(COLUMN(C269)&lt;=26,CHAR(COLUMN(C269)+64),CHAR(INT((COLUMN(C269)-1)/26)+64)&amp;CHAR(MOD(COLUMN(C269)-1,26)+65))&amp;$R249&amp;""),"")</f>
        <v/>
      </c>
      <c r="T249" s="51" t="str">
        <f t="array" aca="1" ref="T249" ca="1">IF($R249&lt;&gt;"",
INDIRECT(""&amp;IF(COLUMN(D269)&lt;=26,CHAR(COLUMN(D269)+64),CHAR(INT((COLUMN(D269)-1)/26)+64)&amp;CHAR(MOD(COLUMN(D269)-1,26)+65))&amp;$R249&amp;""),"")</f>
        <v/>
      </c>
      <c r="U249" s="51"/>
      <c r="V249" s="51" t="str">
        <f t="array" aca="1" ref="V249" ca="1">IF($R249&lt;&gt;"",
IF(U249="",
IF(INDIRECT("EY"&amp;$R249&amp;"")&lt;&gt;"",
INDIRECT("EY"&amp;$R249&amp;"")&amp;"箱"
&amp;INDIRECT("EZ"&amp;$R249&amp;""),""),""),"")</f>
        <v/>
      </c>
      <c r="W249" s="51" t="str">
        <f t="array" aca="1" ref="W249" ca="1">IF($R249&lt;&gt;"",
INDIRECT(""&amp;IF(COLUMN(H269)&lt;=26,CHAR(COLUMN(H269)+64),CHAR(INT((COLUMN(H269)-1)/26)+64)&amp;CHAR(MOD(COLUMN(H269)-1,26)+65))&amp;$R249&amp;""),"")</f>
        <v/>
      </c>
      <c r="X249" s="51" t="str">
        <f t="array" aca="1" ref="X249" ca="1">IF($R249&lt;&gt;"",
INDIRECT(""&amp;IF(COLUMN(I269)&lt;=26,CHAR(COLUMN(I269)+64),CHAR(INT((COLUMN(I269)-1)/26)+64)&amp;CHAR(MOD(COLUMN(I269)-1,26)+65))&amp;$R249&amp;""),"")</f>
        <v/>
      </c>
      <c r="Y249" s="51" t="str">
        <f t="array" aca="1" ref="Y249" ca="1">IF($R249&lt;&gt;"",
INDIRECT(""&amp;IF(COLUMN(J269)&lt;=26,CHAR(COLUMN(J269)+64),CHAR(INT((COLUMN(J269)-1)/26)+64)&amp;CHAR(MOD(COLUMN(J269)-1,26)+65))&amp;$R249&amp;""),"")</f>
        <v/>
      </c>
      <c r="Z249" s="51" t="str">
        <f t="array" aca="1" ref="Z249" ca="1">IF($R249&lt;&gt;"",
INDIRECT(""&amp;IF(COLUMN(K269)&lt;=26,CHAR(COLUMN(K269)+64),CHAR(INT((COLUMN(K269)-1)/26)+64)&amp;CHAR(MOD(COLUMN(K269)-1,26)+65))&amp;$R249&amp;""),"")</f>
        <v/>
      </c>
      <c r="AA249" s="51" t="str">
        <f t="array" aca="1" ref="AA249" ca="1">IF($R249&lt;&gt;"",
INDIRECT(""&amp;IF(COLUMN(L269)&lt;=26,CHAR(COLUMN(L269)+64),CHAR(INT((COLUMN(L269)-1)/26)+64)&amp;CHAR(MOD(COLUMN(L269)-1,26)+65))&amp;$R249&amp;""),"")</f>
        <v/>
      </c>
      <c r="AB249" s="51" t="str">
        <f t="array" aca="1" ref="AB249" ca="1">IF($R249&lt;&gt;"",
INDIRECT(""&amp;IF(COLUMN(O269)&lt;=26,CHAR(COLUMN(O269)+64),CHAR(INT((COLUMN(O269)-1)/26)+64)&amp;CHAR(MOD(COLUMN(O269)-1,26)+65))&amp;$R249&amp;""),"")</f>
        <v/>
      </c>
    </row>
    <row r="250" spans="2:28">
      <c r="B250" s="66"/>
      <c r="C250" s="67" t="str">
        <f t="array" aca="1" ref="C250" ca="1">IFERROR(INDEX(先生札!$A$1:$N$24,SMALL(IF(先生札!$B$1:$B$24&lt;&gt;"",ROW(先生札!$B$1:$B$24),""),ROW(先生札!A4)),COLUMN(先生札!A$1)),"")</f>
        <v/>
      </c>
      <c r="D250" s="67">
        <f t="array" aca="1" ref="D250" ca="1">IFERROR(INDEX(先生札!$A$1:$N$24,SMALL(IF(先生札!$B$1:$B$24&lt;&gt;"",ROW(先生札!$B$1:$B$24),""),ROW(先生札!B4)),COLUMN(先生札!B$1)),"")</f>
        <v>0</v>
      </c>
      <c r="E250" s="66"/>
      <c r="F250" s="66" t="str">
        <f>""</f>
        <v/>
      </c>
      <c r="G250" s="66" t="str">
        <f>""</f>
        <v/>
      </c>
      <c r="H250" s="66" t="str">
        <f>""</f>
        <v/>
      </c>
      <c r="I250" s="66" t="str">
        <f t="array" aca="1" ref="I250" ca="1">IFERROR(INDEX(先生札!$A$1:$N$24,SMALL(IF(先生札!$B$1:$B$24&lt;&gt;"",ROW(先生札!$B$1:$B$24),""),ROW(先生札!F4)),COLUMN(先生札!F$1)),"")</f>
        <v/>
      </c>
      <c r="J250" s="66" t="str">
        <f>""</f>
        <v/>
      </c>
      <c r="K250" s="66" t="str">
        <f>""</f>
        <v/>
      </c>
      <c r="L250" s="66" t="str">
        <f>""</f>
        <v/>
      </c>
      <c r="M250" s="66"/>
      <c r="N250" s="66"/>
      <c r="O250" s="66" t="str">
        <f>""</f>
        <v/>
      </c>
      <c r="P250" s="66" t="str">
        <f t="shared" ca="1" si="62"/>
        <v/>
      </c>
      <c r="Q250" s="66" t="str">
        <f t="shared" ca="1" si="64"/>
        <v/>
      </c>
      <c r="R250" s="51" t="str" cm="1">
        <f t="array" aca="1" ref="R250" ca="1">IFERROR(SMALL(IF(P$1:P$300&lt;&gt;0,P$1:P$300),ROW(A250)),"")</f>
        <v/>
      </c>
      <c r="S250" s="51" t="str">
        <f t="array" aca="1" ref="S250" ca="1">IF($R250&lt;&gt;"",
INDIRECT(""&amp;IF(COLUMN(C270)&lt;=26,CHAR(COLUMN(C270)+64),CHAR(INT((COLUMN(C270)-1)/26)+64)&amp;CHAR(MOD(COLUMN(C270)-1,26)+65))&amp;$R250&amp;""),"")</f>
        <v/>
      </c>
      <c r="T250" s="51" t="str">
        <f t="array" aca="1" ref="T250" ca="1">IF($R250&lt;&gt;"",
INDIRECT(""&amp;IF(COLUMN(D270)&lt;=26,CHAR(COLUMN(D270)+64),CHAR(INT((COLUMN(D270)-1)/26)+64)&amp;CHAR(MOD(COLUMN(D270)-1,26)+65))&amp;$R250&amp;""),"")</f>
        <v/>
      </c>
      <c r="U250" s="51"/>
      <c r="V250" s="51" t="str">
        <f t="array" aca="1" ref="V250" ca="1">IF($R250&lt;&gt;"",
IF(U250="",
IF(INDIRECT("EY"&amp;$R250&amp;"")&lt;&gt;"",
INDIRECT("EY"&amp;$R250&amp;"")&amp;"箱"
&amp;INDIRECT("EZ"&amp;$R250&amp;""),""),""),"")</f>
        <v/>
      </c>
      <c r="W250" s="51" t="str">
        <f t="array" aca="1" ref="W250" ca="1">IF($R250&lt;&gt;"",
INDIRECT(""&amp;IF(COLUMN(H270)&lt;=26,CHAR(COLUMN(H270)+64),CHAR(INT((COLUMN(H270)-1)/26)+64)&amp;CHAR(MOD(COLUMN(H270)-1,26)+65))&amp;$R250&amp;""),"")</f>
        <v/>
      </c>
      <c r="X250" s="51" t="str">
        <f t="array" aca="1" ref="X250" ca="1">IF($R250&lt;&gt;"",
INDIRECT(""&amp;IF(COLUMN(I270)&lt;=26,CHAR(COLUMN(I270)+64),CHAR(INT((COLUMN(I270)-1)/26)+64)&amp;CHAR(MOD(COLUMN(I270)-1,26)+65))&amp;$R250&amp;""),"")</f>
        <v/>
      </c>
      <c r="Y250" s="51" t="str">
        <f t="array" aca="1" ref="Y250" ca="1">IF($R250&lt;&gt;"",
INDIRECT(""&amp;IF(COLUMN(J270)&lt;=26,CHAR(COLUMN(J270)+64),CHAR(INT((COLUMN(J270)-1)/26)+64)&amp;CHAR(MOD(COLUMN(J270)-1,26)+65))&amp;$R250&amp;""),"")</f>
        <v/>
      </c>
      <c r="Z250" s="51" t="str">
        <f t="array" aca="1" ref="Z250" ca="1">IF($R250&lt;&gt;"",
INDIRECT(""&amp;IF(COLUMN(K270)&lt;=26,CHAR(COLUMN(K270)+64),CHAR(INT((COLUMN(K270)-1)/26)+64)&amp;CHAR(MOD(COLUMN(K270)-1,26)+65))&amp;$R250&amp;""),"")</f>
        <v/>
      </c>
      <c r="AA250" s="51" t="str">
        <f t="array" aca="1" ref="AA250" ca="1">IF($R250&lt;&gt;"",
INDIRECT(""&amp;IF(COLUMN(L270)&lt;=26,CHAR(COLUMN(L270)+64),CHAR(INT((COLUMN(L270)-1)/26)+64)&amp;CHAR(MOD(COLUMN(L270)-1,26)+65))&amp;$R250&amp;""),"")</f>
        <v/>
      </c>
      <c r="AB250" s="51" t="str">
        <f t="array" aca="1" ref="AB250" ca="1">IF($R250&lt;&gt;"",
INDIRECT(""&amp;IF(COLUMN(O270)&lt;=26,CHAR(COLUMN(O270)+64),CHAR(INT((COLUMN(O270)-1)/26)+64)&amp;CHAR(MOD(COLUMN(O270)-1,26)+65))&amp;$R250&amp;""),"")</f>
        <v/>
      </c>
    </row>
    <row r="251" spans="2:28">
      <c r="B251" s="66"/>
      <c r="C251" s="67" t="str">
        <f t="array" aca="1" ref="C251" ca="1">IFERROR(INDEX(先生札!$A$1:$N$24,SMALL(IF(先生札!$B$1:$B$24&lt;&gt;"",ROW(先生札!$B$1:$B$24),""),ROW(先生札!A5)),COLUMN(先生札!A$1)),"")</f>
        <v/>
      </c>
      <c r="D251" s="67">
        <f t="array" aca="1" ref="D251" ca="1">IFERROR(INDEX(先生札!$A$1:$N$24,SMALL(IF(先生札!$B$1:$B$24&lt;&gt;"",ROW(先生札!$B$1:$B$24),""),ROW(先生札!B5)),COLUMN(先生札!B$1)),"")</f>
        <v>0</v>
      </c>
      <c r="E251" s="66"/>
      <c r="F251" s="66" t="str">
        <f>""</f>
        <v/>
      </c>
      <c r="G251" s="66" t="str">
        <f>""</f>
        <v/>
      </c>
      <c r="H251" s="66" t="str">
        <f>""</f>
        <v/>
      </c>
      <c r="I251" s="66" t="str">
        <f t="array" aca="1" ref="I251" ca="1">IFERROR(INDEX(先生札!$A$1:$N$24,SMALL(IF(先生札!$B$1:$B$24&lt;&gt;"",ROW(先生札!$B$1:$B$24),""),ROW(先生札!F5)),COLUMN(先生札!F$1)),"")</f>
        <v/>
      </c>
      <c r="J251" s="66" t="str">
        <f>""</f>
        <v/>
      </c>
      <c r="K251" s="66" t="str">
        <f>""</f>
        <v/>
      </c>
      <c r="L251" s="66" t="str">
        <f>""</f>
        <v/>
      </c>
      <c r="M251" s="66"/>
      <c r="N251" s="66"/>
      <c r="O251" s="66" t="str">
        <f>""</f>
        <v/>
      </c>
      <c r="P251" s="66" t="str">
        <f t="shared" ca="1" si="62"/>
        <v/>
      </c>
      <c r="Q251" s="66" t="str">
        <f t="shared" ca="1" si="64"/>
        <v/>
      </c>
      <c r="R251" s="51" t="str" cm="1">
        <f t="array" aca="1" ref="R251" ca="1">IFERROR(SMALL(IF(P$1:P$300&lt;&gt;0,P$1:P$300),ROW(A251)),"")</f>
        <v/>
      </c>
      <c r="S251" s="51" t="str">
        <f t="array" aca="1" ref="S251" ca="1">IF($R251&lt;&gt;"",
INDIRECT(""&amp;IF(COLUMN(C271)&lt;=26,CHAR(COLUMN(C271)+64),CHAR(INT((COLUMN(C271)-1)/26)+64)&amp;CHAR(MOD(COLUMN(C271)-1,26)+65))&amp;$R251&amp;""),"")</f>
        <v/>
      </c>
      <c r="T251" s="51" t="str">
        <f t="array" aca="1" ref="T251" ca="1">IF($R251&lt;&gt;"",
INDIRECT(""&amp;IF(COLUMN(D271)&lt;=26,CHAR(COLUMN(D271)+64),CHAR(INT((COLUMN(D271)-1)/26)+64)&amp;CHAR(MOD(COLUMN(D271)-1,26)+65))&amp;$R251&amp;""),"")</f>
        <v/>
      </c>
      <c r="U251" s="51"/>
      <c r="V251" s="51" t="str">
        <f t="array" aca="1" ref="V251" ca="1">IF($R251&lt;&gt;"",
IF(U251="",
IF(INDIRECT("EY"&amp;$R251&amp;"")&lt;&gt;"",
INDIRECT("EY"&amp;$R251&amp;"")&amp;"箱"
&amp;INDIRECT("EZ"&amp;$R251&amp;""),""),""),"")</f>
        <v/>
      </c>
      <c r="W251" s="51" t="str">
        <f t="array" aca="1" ref="W251" ca="1">IF($R251&lt;&gt;"",
INDIRECT(""&amp;IF(COLUMN(H271)&lt;=26,CHAR(COLUMN(H271)+64),CHAR(INT((COLUMN(H271)-1)/26)+64)&amp;CHAR(MOD(COLUMN(H271)-1,26)+65))&amp;$R251&amp;""),"")</f>
        <v/>
      </c>
      <c r="X251" s="51" t="str">
        <f t="array" aca="1" ref="X251" ca="1">IF($R251&lt;&gt;"",
INDIRECT(""&amp;IF(COLUMN(I271)&lt;=26,CHAR(COLUMN(I271)+64),CHAR(INT((COLUMN(I271)-1)/26)+64)&amp;CHAR(MOD(COLUMN(I271)-1,26)+65))&amp;$R251&amp;""),"")</f>
        <v/>
      </c>
      <c r="Y251" s="51" t="str">
        <f t="array" aca="1" ref="Y251" ca="1">IF($R251&lt;&gt;"",
INDIRECT(""&amp;IF(COLUMN(J271)&lt;=26,CHAR(COLUMN(J271)+64),CHAR(INT((COLUMN(J271)-1)/26)+64)&amp;CHAR(MOD(COLUMN(J271)-1,26)+65))&amp;$R251&amp;""),"")</f>
        <v/>
      </c>
      <c r="Z251" s="51" t="str">
        <f t="array" aca="1" ref="Z251" ca="1">IF($R251&lt;&gt;"",
INDIRECT(""&amp;IF(COLUMN(K271)&lt;=26,CHAR(COLUMN(K271)+64),CHAR(INT((COLUMN(K271)-1)/26)+64)&amp;CHAR(MOD(COLUMN(K271)-1,26)+65))&amp;$R251&amp;""),"")</f>
        <v/>
      </c>
      <c r="AA251" s="51" t="str">
        <f t="array" aca="1" ref="AA251" ca="1">IF($R251&lt;&gt;"",
INDIRECT(""&amp;IF(COLUMN(L271)&lt;=26,CHAR(COLUMN(L271)+64),CHAR(INT((COLUMN(L271)-1)/26)+64)&amp;CHAR(MOD(COLUMN(L271)-1,26)+65))&amp;$R251&amp;""),"")</f>
        <v/>
      </c>
      <c r="AB251" s="51" t="str">
        <f t="array" aca="1" ref="AB251" ca="1">IF($R251&lt;&gt;"",
INDIRECT(""&amp;IF(COLUMN(O271)&lt;=26,CHAR(COLUMN(O271)+64),CHAR(INT((COLUMN(O271)-1)/26)+64)&amp;CHAR(MOD(COLUMN(O271)-1,26)+65))&amp;$R251&amp;""),"")</f>
        <v/>
      </c>
    </row>
    <row r="252" spans="2:28">
      <c r="B252" s="66"/>
      <c r="C252" s="67" t="str">
        <f t="array" aca="1" ref="C252" ca="1">IFERROR(INDEX(先生札!$A$1:$N$24,SMALL(IF(先生札!$B$1:$B$24&lt;&gt;"",ROW(先生札!$B$1:$B$24),""),ROW(先生札!A6)),COLUMN(先生札!A$1)),"")</f>
        <v/>
      </c>
      <c r="D252" s="67">
        <f t="array" aca="1" ref="D252" ca="1">IFERROR(INDEX(先生札!$A$1:$N$24,SMALL(IF(先生札!$B$1:$B$24&lt;&gt;"",ROW(先生札!$B$1:$B$24),""),ROW(先生札!B6)),COLUMN(先生札!B$1)),"")</f>
        <v>0</v>
      </c>
      <c r="E252" s="66"/>
      <c r="F252" s="66" t="str">
        <f>""</f>
        <v/>
      </c>
      <c r="G252" s="66" t="str">
        <f>""</f>
        <v/>
      </c>
      <c r="H252" s="66" t="str">
        <f>""</f>
        <v/>
      </c>
      <c r="I252" s="66" t="str">
        <f t="array" aca="1" ref="I252" ca="1">IFERROR(INDEX(先生札!$A$1:$N$24,SMALL(IF(先生札!$B$1:$B$24&lt;&gt;"",ROW(先生札!$B$1:$B$24),""),ROW(先生札!F6)),COLUMN(先生札!F$1)),"")</f>
        <v/>
      </c>
      <c r="J252" s="66" t="str">
        <f>""</f>
        <v/>
      </c>
      <c r="K252" s="66" t="str">
        <f>""</f>
        <v/>
      </c>
      <c r="L252" s="66" t="str">
        <f>""</f>
        <v/>
      </c>
      <c r="M252" s="66"/>
      <c r="N252" s="66"/>
      <c r="O252" s="66" t="str">
        <f>""</f>
        <v/>
      </c>
      <c r="P252" s="66" t="str">
        <f t="shared" ca="1" si="62"/>
        <v/>
      </c>
      <c r="Q252" s="66" t="str">
        <f t="shared" ca="1" si="64"/>
        <v/>
      </c>
      <c r="R252" s="51" t="str" cm="1">
        <f t="array" aca="1" ref="R252" ca="1">IFERROR(SMALL(IF(P$1:P$300&lt;&gt;0,P$1:P$300),ROW(A252)),"")</f>
        <v/>
      </c>
      <c r="S252" s="51" t="str">
        <f t="array" aca="1" ref="S252" ca="1">IF($R252&lt;&gt;"",
INDIRECT(""&amp;IF(COLUMN(C272)&lt;=26,CHAR(COLUMN(C272)+64),CHAR(INT((COLUMN(C272)-1)/26)+64)&amp;CHAR(MOD(COLUMN(C272)-1,26)+65))&amp;$R252&amp;""),"")</f>
        <v/>
      </c>
      <c r="T252" s="51" t="str">
        <f t="array" aca="1" ref="T252" ca="1">IF($R252&lt;&gt;"",
INDIRECT(""&amp;IF(COLUMN(D272)&lt;=26,CHAR(COLUMN(D272)+64),CHAR(INT((COLUMN(D272)-1)/26)+64)&amp;CHAR(MOD(COLUMN(D272)-1,26)+65))&amp;$R252&amp;""),"")</f>
        <v/>
      </c>
      <c r="U252" s="51"/>
      <c r="V252" s="51" t="str">
        <f t="array" aca="1" ref="V252" ca="1">IF($R252&lt;&gt;"",
IF(U252="",
IF(INDIRECT("EY"&amp;$R252&amp;"")&lt;&gt;"",
INDIRECT("EY"&amp;$R252&amp;"")&amp;"箱"
&amp;INDIRECT("EZ"&amp;$R252&amp;""),""),""),"")</f>
        <v/>
      </c>
      <c r="W252" s="51" t="str">
        <f t="array" aca="1" ref="W252" ca="1">IF($R252&lt;&gt;"",
INDIRECT(""&amp;IF(COLUMN(H272)&lt;=26,CHAR(COLUMN(H272)+64),CHAR(INT((COLUMN(H272)-1)/26)+64)&amp;CHAR(MOD(COLUMN(H272)-1,26)+65))&amp;$R252&amp;""),"")</f>
        <v/>
      </c>
      <c r="X252" s="51" t="str">
        <f t="array" aca="1" ref="X252" ca="1">IF($R252&lt;&gt;"",
INDIRECT(""&amp;IF(COLUMN(I272)&lt;=26,CHAR(COLUMN(I272)+64),CHAR(INT((COLUMN(I272)-1)/26)+64)&amp;CHAR(MOD(COLUMN(I272)-1,26)+65))&amp;$R252&amp;""),"")</f>
        <v/>
      </c>
      <c r="Y252" s="51" t="str">
        <f t="array" aca="1" ref="Y252" ca="1">IF($R252&lt;&gt;"",
INDIRECT(""&amp;IF(COLUMN(J272)&lt;=26,CHAR(COLUMN(J272)+64),CHAR(INT((COLUMN(J272)-1)/26)+64)&amp;CHAR(MOD(COLUMN(J272)-1,26)+65))&amp;$R252&amp;""),"")</f>
        <v/>
      </c>
      <c r="Z252" s="51" t="str">
        <f t="array" aca="1" ref="Z252" ca="1">IF($R252&lt;&gt;"",
INDIRECT(""&amp;IF(COLUMN(K272)&lt;=26,CHAR(COLUMN(K272)+64),CHAR(INT((COLUMN(K272)-1)/26)+64)&amp;CHAR(MOD(COLUMN(K272)-1,26)+65))&amp;$R252&amp;""),"")</f>
        <v/>
      </c>
      <c r="AA252" s="51" t="str">
        <f t="array" aca="1" ref="AA252" ca="1">IF($R252&lt;&gt;"",
INDIRECT(""&amp;IF(COLUMN(L272)&lt;=26,CHAR(COLUMN(L272)+64),CHAR(INT((COLUMN(L272)-1)/26)+64)&amp;CHAR(MOD(COLUMN(L272)-1,26)+65))&amp;$R252&amp;""),"")</f>
        <v/>
      </c>
      <c r="AB252" s="51" t="str">
        <f t="array" aca="1" ref="AB252" ca="1">IF($R252&lt;&gt;"",
INDIRECT(""&amp;IF(COLUMN(O272)&lt;=26,CHAR(COLUMN(O272)+64),CHAR(INT((COLUMN(O272)-1)/26)+64)&amp;CHAR(MOD(COLUMN(O272)-1,26)+65))&amp;$R252&amp;""),"")</f>
        <v/>
      </c>
    </row>
    <row r="253" spans="2:28">
      <c r="B253" s="66"/>
      <c r="C253" s="67" t="str">
        <f t="array" aca="1" ref="C253" ca="1">IFERROR(INDEX(先生札!$A$1:$N$24,SMALL(IF(先生札!$B$1:$B$24&lt;&gt;"",ROW(先生札!$B$1:$B$24),""),ROW(先生札!A7)),COLUMN(先生札!A$1)),"")</f>
        <v/>
      </c>
      <c r="D253" s="67">
        <f t="array" aca="1" ref="D253" ca="1">IFERROR(INDEX(先生札!$A$1:$N$24,SMALL(IF(先生札!$B$1:$B$24&lt;&gt;"",ROW(先生札!$B$1:$B$24),""),ROW(先生札!B7)),COLUMN(先生札!B$1)),"")</f>
        <v>0</v>
      </c>
      <c r="E253" s="66"/>
      <c r="F253" s="66" t="str">
        <f>""</f>
        <v/>
      </c>
      <c r="G253" s="66" t="str">
        <f>""</f>
        <v/>
      </c>
      <c r="H253" s="66" t="str">
        <f>""</f>
        <v/>
      </c>
      <c r="I253" s="66" t="str">
        <f t="array" aca="1" ref="I253" ca="1">IFERROR(INDEX(先生札!$A$1:$N$24,SMALL(IF(先生札!$B$1:$B$24&lt;&gt;"",ROW(先生札!$B$1:$B$24),""),ROW(先生札!F7)),COLUMN(先生札!F$1)),"")</f>
        <v/>
      </c>
      <c r="J253" s="66" t="str">
        <f>""</f>
        <v/>
      </c>
      <c r="K253" s="66" t="str">
        <f>""</f>
        <v/>
      </c>
      <c r="L253" s="66" t="str">
        <f>""</f>
        <v/>
      </c>
      <c r="M253" s="66"/>
      <c r="N253" s="66"/>
      <c r="O253" s="66" t="str">
        <f>""</f>
        <v/>
      </c>
      <c r="P253" s="66" t="str">
        <f t="shared" ca="1" si="62"/>
        <v/>
      </c>
      <c r="Q253" s="66" t="str">
        <f t="shared" ca="1" si="64"/>
        <v/>
      </c>
      <c r="R253" s="51" t="str" cm="1">
        <f t="array" aca="1" ref="R253" ca="1">IFERROR(SMALL(IF(P$1:P$300&lt;&gt;0,P$1:P$300),ROW(A253)),"")</f>
        <v/>
      </c>
      <c r="S253" s="51" t="str">
        <f t="array" aca="1" ref="S253" ca="1">IF($R253&lt;&gt;"",
INDIRECT(""&amp;IF(COLUMN(C273)&lt;=26,CHAR(COLUMN(C273)+64),CHAR(INT((COLUMN(C273)-1)/26)+64)&amp;CHAR(MOD(COLUMN(C273)-1,26)+65))&amp;$R253&amp;""),"")</f>
        <v/>
      </c>
      <c r="T253" s="51" t="str">
        <f t="array" aca="1" ref="T253" ca="1">IF($R253&lt;&gt;"",
INDIRECT(""&amp;IF(COLUMN(D273)&lt;=26,CHAR(COLUMN(D273)+64),CHAR(INT((COLUMN(D273)-1)/26)+64)&amp;CHAR(MOD(COLUMN(D273)-1,26)+65))&amp;$R253&amp;""),"")</f>
        <v/>
      </c>
      <c r="U253" s="51"/>
      <c r="V253" s="51" t="str">
        <f t="array" aca="1" ref="V253" ca="1">IF($R253&lt;&gt;"",
IF(U253="",
IF(INDIRECT("EY"&amp;$R253&amp;"")&lt;&gt;"",
INDIRECT("EY"&amp;$R253&amp;"")&amp;"箱"
&amp;INDIRECT("EZ"&amp;$R253&amp;""),""),""),"")</f>
        <v/>
      </c>
      <c r="W253" s="51" t="str">
        <f t="array" aca="1" ref="W253" ca="1">IF($R253&lt;&gt;"",
INDIRECT(""&amp;IF(COLUMN(H273)&lt;=26,CHAR(COLUMN(H273)+64),CHAR(INT((COLUMN(H273)-1)/26)+64)&amp;CHAR(MOD(COLUMN(H273)-1,26)+65))&amp;$R253&amp;""),"")</f>
        <v/>
      </c>
      <c r="X253" s="51" t="str">
        <f t="array" aca="1" ref="X253" ca="1">IF($R253&lt;&gt;"",
INDIRECT(""&amp;IF(COLUMN(I273)&lt;=26,CHAR(COLUMN(I273)+64),CHAR(INT((COLUMN(I273)-1)/26)+64)&amp;CHAR(MOD(COLUMN(I273)-1,26)+65))&amp;$R253&amp;""),"")</f>
        <v/>
      </c>
      <c r="Y253" s="51" t="str">
        <f t="array" aca="1" ref="Y253" ca="1">IF($R253&lt;&gt;"",
INDIRECT(""&amp;IF(COLUMN(J273)&lt;=26,CHAR(COLUMN(J273)+64),CHAR(INT((COLUMN(J273)-1)/26)+64)&amp;CHAR(MOD(COLUMN(J273)-1,26)+65))&amp;$R253&amp;""),"")</f>
        <v/>
      </c>
      <c r="Z253" s="51" t="str">
        <f t="array" aca="1" ref="Z253" ca="1">IF($R253&lt;&gt;"",
INDIRECT(""&amp;IF(COLUMN(K273)&lt;=26,CHAR(COLUMN(K273)+64),CHAR(INT((COLUMN(K273)-1)/26)+64)&amp;CHAR(MOD(COLUMN(K273)-1,26)+65))&amp;$R253&amp;""),"")</f>
        <v/>
      </c>
      <c r="AA253" s="51" t="str">
        <f t="array" aca="1" ref="AA253" ca="1">IF($R253&lt;&gt;"",
INDIRECT(""&amp;IF(COLUMN(L273)&lt;=26,CHAR(COLUMN(L273)+64),CHAR(INT((COLUMN(L273)-1)/26)+64)&amp;CHAR(MOD(COLUMN(L273)-1,26)+65))&amp;$R253&amp;""),"")</f>
        <v/>
      </c>
      <c r="AB253" s="51" t="str">
        <f t="array" aca="1" ref="AB253" ca="1">IF($R253&lt;&gt;"",
INDIRECT(""&amp;IF(COLUMN(O273)&lt;=26,CHAR(COLUMN(O273)+64),CHAR(INT((COLUMN(O273)-1)/26)+64)&amp;CHAR(MOD(COLUMN(O273)-1,26)+65))&amp;$R253&amp;""),"")</f>
        <v/>
      </c>
    </row>
    <row r="254" spans="2:28">
      <c r="B254" s="66"/>
      <c r="C254" s="67" t="str">
        <f t="array" aca="1" ref="C254" ca="1">IFERROR(INDEX(先生札!$A$1:$N$24,SMALL(IF(先生札!$B$1:$B$24&lt;&gt;"",ROW(先生札!$B$1:$B$24),""),ROW(先生札!A8)),COLUMN(先生札!A$1)),"")</f>
        <v/>
      </c>
      <c r="D254" s="67">
        <f t="array" aca="1" ref="D254" ca="1">IFERROR(INDEX(先生札!$A$1:$N$24,SMALL(IF(先生札!$B$1:$B$24&lt;&gt;"",ROW(先生札!$B$1:$B$24),""),ROW(先生札!B8)),COLUMN(先生札!B$1)),"")</f>
        <v>0</v>
      </c>
      <c r="E254" s="66"/>
      <c r="F254" s="66" t="str">
        <f>""</f>
        <v/>
      </c>
      <c r="G254" s="66" t="str">
        <f>""</f>
        <v/>
      </c>
      <c r="H254" s="66" t="str">
        <f>""</f>
        <v/>
      </c>
      <c r="I254" s="66" t="str">
        <f t="array" aca="1" ref="I254" ca="1">IFERROR(INDEX(先生札!$A$1:$N$24,SMALL(IF(先生札!$B$1:$B$24&lt;&gt;"",ROW(先生札!$B$1:$B$24),""),ROW(先生札!F8)),COLUMN(先生札!F$1)),"")</f>
        <v/>
      </c>
      <c r="J254" s="66" t="str">
        <f>""</f>
        <v/>
      </c>
      <c r="K254" s="66" t="str">
        <f>""</f>
        <v/>
      </c>
      <c r="L254" s="66" t="str">
        <f>""</f>
        <v/>
      </c>
      <c r="M254" s="66"/>
      <c r="N254" s="66"/>
      <c r="O254" s="66" t="str">
        <f>""</f>
        <v/>
      </c>
      <c r="P254" s="66" t="str">
        <f t="shared" ca="1" si="62"/>
        <v/>
      </c>
      <c r="Q254" s="66" t="str">
        <f t="shared" ca="1" si="64"/>
        <v/>
      </c>
      <c r="R254" s="51" t="str" cm="1">
        <f t="array" aca="1" ref="R254" ca="1">IFERROR(SMALL(IF(P$1:P$300&lt;&gt;0,P$1:P$300),ROW(A254)),"")</f>
        <v/>
      </c>
      <c r="S254" s="51" t="str">
        <f t="array" aca="1" ref="S254" ca="1">IF($R254&lt;&gt;"",
INDIRECT(""&amp;IF(COLUMN(C274)&lt;=26,CHAR(COLUMN(C274)+64),CHAR(INT((COLUMN(C274)-1)/26)+64)&amp;CHAR(MOD(COLUMN(C274)-1,26)+65))&amp;$R254&amp;""),"")</f>
        <v/>
      </c>
      <c r="T254" s="51" t="str">
        <f t="array" aca="1" ref="T254" ca="1">IF($R254&lt;&gt;"",
INDIRECT(""&amp;IF(COLUMN(D274)&lt;=26,CHAR(COLUMN(D274)+64),CHAR(INT((COLUMN(D274)-1)/26)+64)&amp;CHAR(MOD(COLUMN(D274)-1,26)+65))&amp;$R254&amp;""),"")</f>
        <v/>
      </c>
      <c r="U254" s="51"/>
      <c r="V254" s="51" t="str">
        <f t="array" aca="1" ref="V254" ca="1">IF($R254&lt;&gt;"",
IF(U254="",
IF(INDIRECT("EY"&amp;$R254&amp;"")&lt;&gt;"",
INDIRECT("EY"&amp;$R254&amp;"")&amp;"箱"
&amp;INDIRECT("EZ"&amp;$R254&amp;""),""),""),"")</f>
        <v/>
      </c>
      <c r="W254" s="51" t="str">
        <f t="array" aca="1" ref="W254" ca="1">IF($R254&lt;&gt;"",
INDIRECT(""&amp;IF(COLUMN(H274)&lt;=26,CHAR(COLUMN(H274)+64),CHAR(INT((COLUMN(H274)-1)/26)+64)&amp;CHAR(MOD(COLUMN(H274)-1,26)+65))&amp;$R254&amp;""),"")</f>
        <v/>
      </c>
      <c r="X254" s="51" t="str">
        <f t="array" aca="1" ref="X254" ca="1">IF($R254&lt;&gt;"",
INDIRECT(""&amp;IF(COLUMN(I274)&lt;=26,CHAR(COLUMN(I274)+64),CHAR(INT((COLUMN(I274)-1)/26)+64)&amp;CHAR(MOD(COLUMN(I274)-1,26)+65))&amp;$R254&amp;""),"")</f>
        <v/>
      </c>
      <c r="Y254" s="51" t="str">
        <f t="array" aca="1" ref="Y254" ca="1">IF($R254&lt;&gt;"",
INDIRECT(""&amp;IF(COLUMN(J274)&lt;=26,CHAR(COLUMN(J274)+64),CHAR(INT((COLUMN(J274)-1)/26)+64)&amp;CHAR(MOD(COLUMN(J274)-1,26)+65))&amp;$R254&amp;""),"")</f>
        <v/>
      </c>
      <c r="Z254" s="51" t="str">
        <f t="array" aca="1" ref="Z254" ca="1">IF($R254&lt;&gt;"",
INDIRECT(""&amp;IF(COLUMN(K274)&lt;=26,CHAR(COLUMN(K274)+64),CHAR(INT((COLUMN(K274)-1)/26)+64)&amp;CHAR(MOD(COLUMN(K274)-1,26)+65))&amp;$R254&amp;""),"")</f>
        <v/>
      </c>
      <c r="AA254" s="51" t="str">
        <f t="array" aca="1" ref="AA254" ca="1">IF($R254&lt;&gt;"",
INDIRECT(""&amp;IF(COLUMN(L274)&lt;=26,CHAR(COLUMN(L274)+64),CHAR(INT((COLUMN(L274)-1)/26)+64)&amp;CHAR(MOD(COLUMN(L274)-1,26)+65))&amp;$R254&amp;""),"")</f>
        <v/>
      </c>
      <c r="AB254" s="51" t="str">
        <f t="array" aca="1" ref="AB254" ca="1">IF($R254&lt;&gt;"",
INDIRECT(""&amp;IF(COLUMN(O274)&lt;=26,CHAR(COLUMN(O274)+64),CHAR(INT((COLUMN(O274)-1)/26)+64)&amp;CHAR(MOD(COLUMN(O274)-1,26)+65))&amp;$R254&amp;""),"")</f>
        <v/>
      </c>
    </row>
    <row r="255" spans="2:28">
      <c r="B255" s="75"/>
      <c r="C255" s="76" t="str">
        <f>社食等の札!A1</f>
        <v>社食</v>
      </c>
      <c r="D255" s="76" t="str">
        <f ca="1">社食等の札!H1</f>
        <v/>
      </c>
      <c r="E255" s="76"/>
      <c r="F255" s="76"/>
      <c r="G255" s="76"/>
      <c r="H255" s="75" t="e">
        <f ca="1">社食等の札!E1</f>
        <v>#N/A</v>
      </c>
      <c r="I255" s="75" t="str">
        <f>""</f>
        <v/>
      </c>
      <c r="J255" s="75" t="e">
        <f ca="1">社食等の札!G1</f>
        <v>#REF!</v>
      </c>
      <c r="K255" s="75"/>
      <c r="L255" s="75" t="str">
        <f ca="1">社食等の札!J1</f>
        <v/>
      </c>
      <c r="M255" s="75"/>
      <c r="N255" s="75"/>
      <c r="O255" s="75"/>
      <c r="P255" s="75">
        <f t="shared" si="62"/>
        <v>255</v>
      </c>
      <c r="Q255" s="75" t="str">
        <f>IF(C255&lt;&gt;"","TRUE","")</f>
        <v>TRUE</v>
      </c>
      <c r="R255" s="51" t="str" cm="1">
        <f t="array" aca="1" ref="R255" ca="1">IFERROR(SMALL(IF(P$1:P$300&lt;&gt;0,P$1:P$300),ROW(A255)),"")</f>
        <v/>
      </c>
      <c r="S255" s="51" t="str">
        <f t="array" aca="1" ref="S255" ca="1">IF($R255&lt;&gt;"",
INDIRECT(""&amp;IF(COLUMN(C275)&lt;=26,CHAR(COLUMN(C275)+64),CHAR(INT((COLUMN(C275)-1)/26)+64)&amp;CHAR(MOD(COLUMN(C275)-1,26)+65))&amp;$R255&amp;""),"")</f>
        <v/>
      </c>
      <c r="T255" s="51" t="str">
        <f t="array" aca="1" ref="T255" ca="1">IF($R255&lt;&gt;"",
INDIRECT(""&amp;IF(COLUMN(D275)&lt;=26,CHAR(COLUMN(D275)+64),CHAR(INT((COLUMN(D275)-1)/26)+64)&amp;CHAR(MOD(COLUMN(D275)-1,26)+65))&amp;$R255&amp;""),"")</f>
        <v/>
      </c>
      <c r="U255" s="51"/>
      <c r="V255" s="51" t="str">
        <f t="array" aca="1" ref="V255" ca="1">IF($R255&lt;&gt;"",
IF(U255="",
IF(INDIRECT("EY"&amp;$R255&amp;"")&lt;&gt;"",
INDIRECT("EY"&amp;$R255&amp;"")&amp;"箱"
&amp;INDIRECT("EZ"&amp;$R255&amp;""),""),""),"")</f>
        <v/>
      </c>
      <c r="W255" s="51" t="str">
        <f t="array" aca="1" ref="W255" ca="1">IF($R255&lt;&gt;"",
INDIRECT(""&amp;IF(COLUMN(H275)&lt;=26,CHAR(COLUMN(H275)+64),CHAR(INT((COLUMN(H275)-1)/26)+64)&amp;CHAR(MOD(COLUMN(H275)-1,26)+65))&amp;$R255&amp;""),"")</f>
        <v/>
      </c>
      <c r="X255" s="51" t="str">
        <f t="array" aca="1" ref="X255" ca="1">IF($R255&lt;&gt;"",
INDIRECT(""&amp;IF(COLUMN(I275)&lt;=26,CHAR(COLUMN(I275)+64),CHAR(INT((COLUMN(I275)-1)/26)+64)&amp;CHAR(MOD(COLUMN(I275)-1,26)+65))&amp;$R255&amp;""),"")</f>
        <v/>
      </c>
      <c r="Y255" s="51" t="str">
        <f t="array" aca="1" ref="Y255" ca="1">IF($R255&lt;&gt;"",
INDIRECT(""&amp;IF(COLUMN(J275)&lt;=26,CHAR(COLUMN(J275)+64),CHAR(INT((COLUMN(J275)-1)/26)+64)&amp;CHAR(MOD(COLUMN(J275)-1,26)+65))&amp;$R255&amp;""),"")</f>
        <v/>
      </c>
      <c r="Z255" s="51" t="str">
        <f t="array" aca="1" ref="Z255" ca="1">IF($R255&lt;&gt;"",
INDIRECT(""&amp;IF(COLUMN(K275)&lt;=26,CHAR(COLUMN(K275)+64),CHAR(INT((COLUMN(K275)-1)/26)+64)&amp;CHAR(MOD(COLUMN(K275)-1,26)+65))&amp;$R255&amp;""),"")</f>
        <v/>
      </c>
      <c r="AA255" s="51" t="str">
        <f t="array" aca="1" ref="AA255" ca="1">IF($R255&lt;&gt;"",
INDIRECT(""&amp;IF(COLUMN(L275)&lt;=26,CHAR(COLUMN(L275)+64),CHAR(INT((COLUMN(L275)-1)/26)+64)&amp;CHAR(MOD(COLUMN(L275)-1,26)+65))&amp;$R255&amp;""),"")</f>
        <v/>
      </c>
      <c r="AB255" s="51" t="str">
        <f t="array" aca="1" ref="AB255" ca="1">IF($R255&lt;&gt;"",
INDIRECT(""&amp;IF(COLUMN(O275)&lt;=26,CHAR(COLUMN(O275)+64),CHAR(INT((COLUMN(O275)-1)/26)+64)&amp;CHAR(MOD(COLUMN(O275)-1,26)+65))&amp;$R255&amp;""),"")</f>
        <v/>
      </c>
    </row>
    <row r="256" spans="2:28">
      <c r="B256" s="75"/>
      <c r="C256" s="76" t="str">
        <f>社食等の札!A2</f>
        <v>社食</v>
      </c>
      <c r="D256" s="76" t="str">
        <f ca="1">社食等の札!H2</f>
        <v/>
      </c>
      <c r="E256" s="76"/>
      <c r="F256" s="76"/>
      <c r="G256" s="76"/>
      <c r="H256" s="75" t="str">
        <f>""</f>
        <v/>
      </c>
      <c r="I256" s="75" t="e">
        <f ca="1">社食等の札!F2</f>
        <v>#N/A</v>
      </c>
      <c r="J256" s="75" t="e">
        <f ca="1">社食等の札!G2</f>
        <v>#REF!</v>
      </c>
      <c r="K256" s="75"/>
      <c r="L256" s="75" t="str">
        <f ca="1">社食等の札!J2</f>
        <v/>
      </c>
      <c r="M256" s="75"/>
      <c r="N256" s="75"/>
      <c r="O256" s="75"/>
      <c r="P256" s="75">
        <f t="shared" si="62"/>
        <v>256</v>
      </c>
      <c r="Q256" s="75" t="str">
        <f>IF(C256&lt;&gt;"","TRUE","")</f>
        <v>TRUE</v>
      </c>
      <c r="R256" s="51" t="str" cm="1">
        <f t="array" aca="1" ref="R256" ca="1">IFERROR(SMALL(IF(P$1:P$300&lt;&gt;0,P$1:P$300),ROW(A256)),"")</f>
        <v/>
      </c>
      <c r="S256" s="51" t="str">
        <f t="array" aca="1" ref="S256" ca="1">IF($R256&lt;&gt;"",
INDIRECT(""&amp;IF(COLUMN(C276)&lt;=26,CHAR(COLUMN(C276)+64),CHAR(INT((COLUMN(C276)-1)/26)+64)&amp;CHAR(MOD(COLUMN(C276)-1,26)+65))&amp;$R256&amp;""),"")</f>
        <v/>
      </c>
      <c r="T256" s="51" t="str">
        <f t="array" aca="1" ref="T256" ca="1">IF($R256&lt;&gt;"",
INDIRECT(""&amp;IF(COLUMN(D276)&lt;=26,CHAR(COLUMN(D276)+64),CHAR(INT((COLUMN(D276)-1)/26)+64)&amp;CHAR(MOD(COLUMN(D276)-1,26)+65))&amp;$R256&amp;""),"")</f>
        <v/>
      </c>
      <c r="U256" s="51"/>
      <c r="V256" s="51" t="str">
        <f t="array" aca="1" ref="V256" ca="1">IF($R256&lt;&gt;"",
IF(U256="",
IF(INDIRECT("EY"&amp;$R256&amp;"")&lt;&gt;"",
INDIRECT("EY"&amp;$R256&amp;"")&amp;"箱"
&amp;INDIRECT("EZ"&amp;$R256&amp;""),""),""),"")</f>
        <v/>
      </c>
      <c r="W256" s="51" t="str">
        <f t="array" aca="1" ref="W256" ca="1">IF($R256&lt;&gt;"",
INDIRECT(""&amp;IF(COLUMN(H276)&lt;=26,CHAR(COLUMN(H276)+64),CHAR(INT((COLUMN(H276)-1)/26)+64)&amp;CHAR(MOD(COLUMN(H276)-1,26)+65))&amp;$R256&amp;""),"")</f>
        <v/>
      </c>
      <c r="X256" s="51" t="str">
        <f t="array" aca="1" ref="X256" ca="1">IF($R256&lt;&gt;"",
INDIRECT(""&amp;IF(COLUMN(I276)&lt;=26,CHAR(COLUMN(I276)+64),CHAR(INT((COLUMN(I276)-1)/26)+64)&amp;CHAR(MOD(COLUMN(I276)-1,26)+65))&amp;$R256&amp;""),"")</f>
        <v/>
      </c>
      <c r="Y256" s="51" t="str">
        <f t="array" aca="1" ref="Y256" ca="1">IF($R256&lt;&gt;"",
INDIRECT(""&amp;IF(COLUMN(J276)&lt;=26,CHAR(COLUMN(J276)+64),CHAR(INT((COLUMN(J276)-1)/26)+64)&amp;CHAR(MOD(COLUMN(J276)-1,26)+65))&amp;$R256&amp;""),"")</f>
        <v/>
      </c>
      <c r="Z256" s="51" t="str">
        <f t="array" aca="1" ref="Z256" ca="1">IF($R256&lt;&gt;"",
INDIRECT(""&amp;IF(COLUMN(K276)&lt;=26,CHAR(COLUMN(K276)+64),CHAR(INT((COLUMN(K276)-1)/26)+64)&amp;CHAR(MOD(COLUMN(K276)-1,26)+65))&amp;$R256&amp;""),"")</f>
        <v/>
      </c>
      <c r="AA256" s="51" t="str">
        <f t="array" aca="1" ref="AA256" ca="1">IF($R256&lt;&gt;"",
INDIRECT(""&amp;IF(COLUMN(L276)&lt;=26,CHAR(COLUMN(L276)+64),CHAR(INT((COLUMN(L276)-1)/26)+64)&amp;CHAR(MOD(COLUMN(L276)-1,26)+65))&amp;$R256&amp;""),"")</f>
        <v/>
      </c>
      <c r="AB256" s="51" t="str">
        <f t="array" aca="1" ref="AB256" ca="1">IF($R256&lt;&gt;"",
INDIRECT(""&amp;IF(COLUMN(O276)&lt;=26,CHAR(COLUMN(O276)+64),CHAR(INT((COLUMN(O276)-1)/26)+64)&amp;CHAR(MOD(COLUMN(O276)-1,26)+65))&amp;$R256&amp;""),"")</f>
        <v/>
      </c>
    </row>
    <row r="257" spans="2:28">
      <c r="B257" s="75"/>
      <c r="C257" s="76" t="str">
        <f ca="1">社食等の札!A7</f>
        <v/>
      </c>
      <c r="D257" s="76" t="str">
        <f ca="1">社食等の札!H7</f>
        <v/>
      </c>
      <c r="E257" s="76"/>
      <c r="F257" s="76"/>
      <c r="G257" s="76"/>
      <c r="H257" s="75" t="str">
        <f ca="1">社食等の札!E7</f>
        <v/>
      </c>
      <c r="I257" s="75" t="str">
        <f>""</f>
        <v/>
      </c>
      <c r="J257" s="75" t="str">
        <f ca="1">社食等の札!G7</f>
        <v/>
      </c>
      <c r="K257" s="75"/>
      <c r="L257" s="75" t="str">
        <f ca="1">社食等の札!J7</f>
        <v/>
      </c>
      <c r="M257" s="75"/>
      <c r="N257" s="75"/>
      <c r="O257" s="75"/>
      <c r="P257" s="75" t="str">
        <f t="shared" ca="1" si="62"/>
        <v/>
      </c>
      <c r="Q257" s="75" t="str">
        <f ca="1">IF(C257&lt;&gt;"","TRUE","")</f>
        <v/>
      </c>
      <c r="R257" s="51" t="str" cm="1">
        <f t="array" aca="1" ref="R257" ca="1">IFERROR(SMALL(IF(P$1:P$300&lt;&gt;0,P$1:P$300),ROW(A257)),"")</f>
        <v/>
      </c>
      <c r="S257" s="51" t="str">
        <f t="array" aca="1" ref="S257" ca="1">IF($R257&lt;&gt;"",
INDIRECT(""&amp;IF(COLUMN(C277)&lt;=26,CHAR(COLUMN(C277)+64),CHAR(INT((COLUMN(C277)-1)/26)+64)&amp;CHAR(MOD(COLUMN(C277)-1,26)+65))&amp;$R257&amp;""),"")</f>
        <v/>
      </c>
      <c r="T257" s="51" t="str">
        <f t="array" aca="1" ref="T257" ca="1">IF($R257&lt;&gt;"",
INDIRECT(""&amp;IF(COLUMN(D277)&lt;=26,CHAR(COLUMN(D277)+64),CHAR(INT((COLUMN(D277)-1)/26)+64)&amp;CHAR(MOD(COLUMN(D277)-1,26)+65))&amp;$R257&amp;""),"")</f>
        <v/>
      </c>
      <c r="U257" s="51"/>
      <c r="V257" s="51" t="str">
        <f t="array" aca="1" ref="V257" ca="1">IF($R257&lt;&gt;"",
IF(U257="",
IF(INDIRECT("EY"&amp;$R257&amp;"")&lt;&gt;"",
INDIRECT("EY"&amp;$R257&amp;"")&amp;"箱"
&amp;INDIRECT("EZ"&amp;$R257&amp;""),""),""),"")</f>
        <v/>
      </c>
      <c r="W257" s="51" t="str">
        <f t="array" aca="1" ref="W257" ca="1">IF($R257&lt;&gt;"",
INDIRECT(""&amp;IF(COLUMN(H277)&lt;=26,CHAR(COLUMN(H277)+64),CHAR(INT((COLUMN(H277)-1)/26)+64)&amp;CHAR(MOD(COLUMN(H277)-1,26)+65))&amp;$R257&amp;""),"")</f>
        <v/>
      </c>
      <c r="X257" s="51" t="str">
        <f t="array" aca="1" ref="X257" ca="1">IF($R257&lt;&gt;"",
INDIRECT(""&amp;IF(COLUMN(I277)&lt;=26,CHAR(COLUMN(I277)+64),CHAR(INT((COLUMN(I277)-1)/26)+64)&amp;CHAR(MOD(COLUMN(I277)-1,26)+65))&amp;$R257&amp;""),"")</f>
        <v/>
      </c>
      <c r="Y257" s="51" t="str">
        <f t="array" aca="1" ref="Y257" ca="1">IF($R257&lt;&gt;"",
INDIRECT(""&amp;IF(COLUMN(J277)&lt;=26,CHAR(COLUMN(J277)+64),CHAR(INT((COLUMN(J277)-1)/26)+64)&amp;CHAR(MOD(COLUMN(J277)-1,26)+65))&amp;$R257&amp;""),"")</f>
        <v/>
      </c>
      <c r="Z257" s="51" t="str">
        <f t="array" aca="1" ref="Z257" ca="1">IF($R257&lt;&gt;"",
INDIRECT(""&amp;IF(COLUMN(K277)&lt;=26,CHAR(COLUMN(K277)+64),CHAR(INT((COLUMN(K277)-1)/26)+64)&amp;CHAR(MOD(COLUMN(K277)-1,26)+65))&amp;$R257&amp;""),"")</f>
        <v/>
      </c>
      <c r="AA257" s="51" t="str">
        <f t="array" aca="1" ref="AA257" ca="1">IF($R257&lt;&gt;"",
INDIRECT(""&amp;IF(COLUMN(L277)&lt;=26,CHAR(COLUMN(L277)+64),CHAR(INT((COLUMN(L277)-1)/26)+64)&amp;CHAR(MOD(COLUMN(L277)-1,26)+65))&amp;$R257&amp;""),"")</f>
        <v/>
      </c>
      <c r="AB257" s="51" t="str">
        <f t="array" aca="1" ref="AB257" ca="1">IF($R257&lt;&gt;"",
INDIRECT(""&amp;IF(COLUMN(O277)&lt;=26,CHAR(COLUMN(O277)+64),CHAR(INT((COLUMN(O277)-1)/26)+64)&amp;CHAR(MOD(COLUMN(O277)-1,26)+65))&amp;$R257&amp;""),"")</f>
        <v/>
      </c>
    </row>
    <row r="258" spans="2:28">
      <c r="B258" s="75"/>
      <c r="C258" s="76" t="str">
        <f ca="1">社食等の札!A8</f>
        <v/>
      </c>
      <c r="D258" s="76" t="str">
        <f ca="1">社食等の札!H8</f>
        <v/>
      </c>
      <c r="E258" s="76"/>
      <c r="F258" s="76"/>
      <c r="G258" s="76"/>
      <c r="H258" s="75" t="str">
        <f>""</f>
        <v/>
      </c>
      <c r="I258" s="75" t="str">
        <f ca="1">社食等の札!F8</f>
        <v/>
      </c>
      <c r="J258" s="75" t="str">
        <f ca="1">社食等の札!G8</f>
        <v/>
      </c>
      <c r="K258" s="75"/>
      <c r="L258" s="75" t="str">
        <f ca="1">社食等の札!J8</f>
        <v/>
      </c>
      <c r="M258" s="75"/>
      <c r="N258" s="75"/>
      <c r="O258" s="75"/>
      <c r="P258" s="75" t="str">
        <f t="shared" ca="1" si="62"/>
        <v/>
      </c>
      <c r="Q258" s="75" t="str">
        <f ca="1">IF(C258&lt;&gt;"","TRUE","")</f>
        <v/>
      </c>
      <c r="R258" s="51" t="str" cm="1">
        <f t="array" aca="1" ref="R258" ca="1">IFERROR(SMALL(IF(P$1:P$300&lt;&gt;0,P$1:P$300),ROW(A258)),"")</f>
        <v/>
      </c>
      <c r="S258" s="51" t="str">
        <f t="array" aca="1" ref="S258" ca="1">IF($R258&lt;&gt;"",
INDIRECT(""&amp;IF(COLUMN(C278)&lt;=26,CHAR(COLUMN(C278)+64),CHAR(INT((COLUMN(C278)-1)/26)+64)&amp;CHAR(MOD(COLUMN(C278)-1,26)+65))&amp;$R258&amp;""),"")</f>
        <v/>
      </c>
      <c r="T258" s="51" t="str">
        <f t="array" aca="1" ref="T258" ca="1">IF($R258&lt;&gt;"",
INDIRECT(""&amp;IF(COLUMN(D278)&lt;=26,CHAR(COLUMN(D278)+64),CHAR(INT((COLUMN(D278)-1)/26)+64)&amp;CHAR(MOD(COLUMN(D278)-1,26)+65))&amp;$R258&amp;""),"")</f>
        <v/>
      </c>
      <c r="U258" s="51"/>
      <c r="V258" s="51" t="str">
        <f t="array" aca="1" ref="V258" ca="1">IF($R258&lt;&gt;"",
IF(U258="",
IF(INDIRECT("EY"&amp;$R258&amp;"")&lt;&gt;"",
INDIRECT("EY"&amp;$R258&amp;"")&amp;"箱"
&amp;INDIRECT("EZ"&amp;$R258&amp;""),""),""),"")</f>
        <v/>
      </c>
      <c r="W258" s="51" t="str">
        <f t="array" aca="1" ref="W258" ca="1">IF($R258&lt;&gt;"",
INDIRECT(""&amp;IF(COLUMN(H278)&lt;=26,CHAR(COLUMN(H278)+64),CHAR(INT((COLUMN(H278)-1)/26)+64)&amp;CHAR(MOD(COLUMN(H278)-1,26)+65))&amp;$R258&amp;""),"")</f>
        <v/>
      </c>
      <c r="X258" s="51" t="str">
        <f t="array" aca="1" ref="X258" ca="1">IF($R258&lt;&gt;"",
INDIRECT(""&amp;IF(COLUMN(I278)&lt;=26,CHAR(COLUMN(I278)+64),CHAR(INT((COLUMN(I278)-1)/26)+64)&amp;CHAR(MOD(COLUMN(I278)-1,26)+65))&amp;$R258&amp;""),"")</f>
        <v/>
      </c>
      <c r="Y258" s="51" t="str">
        <f t="array" aca="1" ref="Y258" ca="1">IF($R258&lt;&gt;"",
INDIRECT(""&amp;IF(COLUMN(J278)&lt;=26,CHAR(COLUMN(J278)+64),CHAR(INT((COLUMN(J278)-1)/26)+64)&amp;CHAR(MOD(COLUMN(J278)-1,26)+65))&amp;$R258&amp;""),"")</f>
        <v/>
      </c>
      <c r="Z258" s="51" t="str">
        <f t="array" aca="1" ref="Z258" ca="1">IF($R258&lt;&gt;"",
INDIRECT(""&amp;IF(COLUMN(K278)&lt;=26,CHAR(COLUMN(K278)+64),CHAR(INT((COLUMN(K278)-1)/26)+64)&amp;CHAR(MOD(COLUMN(K278)-1,26)+65))&amp;$R258&amp;""),"")</f>
        <v/>
      </c>
      <c r="AA258" s="51" t="str">
        <f t="array" aca="1" ref="AA258" ca="1">IF($R258&lt;&gt;"",
INDIRECT(""&amp;IF(COLUMN(L278)&lt;=26,CHAR(COLUMN(L278)+64),CHAR(INT((COLUMN(L278)-1)/26)+64)&amp;CHAR(MOD(COLUMN(L278)-1,26)+65))&amp;$R258&amp;""),"")</f>
        <v/>
      </c>
      <c r="AB258" s="51" t="str">
        <f t="array" aca="1" ref="AB258" ca="1">IF($R258&lt;&gt;"",
INDIRECT(""&amp;IF(COLUMN(O278)&lt;=26,CHAR(COLUMN(O278)+64),CHAR(INT((COLUMN(O278)-1)/26)+64)&amp;CHAR(MOD(COLUMN(O278)-1,26)+65))&amp;$R258&amp;""),"")</f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R3" sqref="R3:S3"/>
    </sheetView>
  </sheetViews>
  <sheetFormatPr defaultRowHeight="22.2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9.8984375" style="41" customWidth="1"/>
    <col min="8" max="9" width="9.898437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18" t="str">
        <f t="array" aca="1" ref="C1" ca="1">SUBSTITUTE(SUBSTITUTE(SUBSTITUTE(SUBSTITUTE(SUBSTITUTE(SUBSTITUTE(SUBSTITUTE(SUBSTITUTE(SUBSTITUTE(SUBSTITUTE(SUBSTITUTE(
IF(B2="△",
INDIRECT("'盛付札（関数）'!S"&amp;A1+1),INDIRECT("'盛付札（関数）'!S"&amp;A1)),"０",""),"①",""),"②",""),"③",""),"④",""),"⑤",""),"⑥",""),"⑦",""),"⑧",""),"⑨",""),"⑩","")</f>
        <v>ニシム</v>
      </c>
      <c r="D1" s="219"/>
      <c r="E1" s="219"/>
      <c r="F1" s="219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 ca="1">IF(OR(B2="●",B2="△"),
A1+2,A1+1)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18" t="str">
        <f t="array" aca="1" ref="J1" ca="1">SUBSTITUTE(SUBSTITUTE(SUBSTITUTE(SUBSTITUTE(SUBSTITUTE(SUBSTITUTE(SUBSTITUTE(SUBSTITUTE(SUBSTITUTE(SUBSTITUTE(SUBSTITUTE(
IF(I2="△",
INDIRECT("'盛付札（関数）'!S"&amp;H1+1),INDIRECT("'盛付札（関数）'!S"&amp;H1)),"０",""),"①",""),"②",""),"③",""),"④",""),"⑤",""),"⑥",""),"⑦",""),"⑧",""),"⑨",""),"⑩","")</f>
        <v>新日本製薬</v>
      </c>
      <c r="K1" s="219"/>
      <c r="L1" s="219"/>
      <c r="M1" s="219"/>
      <c r="N1" s="42" t="str">
        <f t="array" aca="1" ref="N1" ca="1">IF(J1&lt;&gt;"",
IF(AND(INDIRECT("'盛付札（関数）'!FI"&amp;H1)&gt;=124,INDIRECT("'盛付札（関数）'!FI"&amp;H1)&lt;=144),"",
"様"),"")</f>
        <v>様</v>
      </c>
      <c r="O1" s="22"/>
      <c r="P1" s="31">
        <f ca="1">IF(OR(I42="●",I42="△"),
H41+2,H41+1)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18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19"/>
      <c r="T1" s="219"/>
      <c r="U1" s="219"/>
      <c r="V1" s="42" t="str">
        <f t="array" aca="1" ref="V1" ca="1">IF(R1&lt;&gt;"",
IF(AND(INDIRECT("'盛付札（関数）'!FI"&amp;P1)&gt;=124,INDIRECT("'盛付札（関数）'!FI"&amp;P1)&lt;=144),"",
"様"),"")</f>
        <v/>
      </c>
      <c r="W1" s="36">
        <f ca="1">IF(OR(Q2="●",Q2="△"),
P1+2,P1+1)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18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19"/>
      <c r="AA1" s="219"/>
      <c r="AB1" s="219"/>
      <c r="AC1" s="42" t="str">
        <f t="array" aca="1" ref="AC1" ca="1">IF(Y1&lt;&gt;"",
IF(AND(INDIRECT("'盛付札（関数）'!FI"&amp;W1)&gt;=124,INDIRECT("'盛付札（関数）'!FI"&amp;W1)&lt;=144),"",
"様"),"")</f>
        <v/>
      </c>
      <c r="AD1" s="22"/>
      <c r="AE1" s="31">
        <f ca="1">IF(OR(X42="●",X42="△"),
W41+2,W41+1)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18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19"/>
      <c r="AI1" s="219"/>
      <c r="AJ1" s="219"/>
      <c r="AK1" s="42" t="str">
        <f t="array" aca="1" ref="AK1" ca="1">IF(AG1&lt;&gt;"",
IF(AND(INDIRECT("'盛付札（関数）'!FI"&amp;AE1)&gt;=124,INDIRECT("'盛付札（関数）'!FI"&amp;AE1)&lt;=144),"",
"様"),"")</f>
        <v/>
      </c>
      <c r="AL1" s="36">
        <f ca="1">IF(OR(AF2="●",AF2="△"),
AE1+2,AE1+1)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18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19"/>
      <c r="AP1" s="219"/>
      <c r="AQ1" s="219"/>
      <c r="AR1" s="42" t="str">
        <f t="array" aca="1" ref="AR1" ca="1">IF(AN1&lt;&gt;"",
IF(AND(INDIRECT("'盛付札（関数）'!FI"&amp;AL1)&gt;=124,INDIRECT("'盛付札（関数）'!FI"&amp;AL1)&lt;=144),"",
"様"),"")</f>
        <v/>
      </c>
      <c r="AS1" s="22"/>
      <c r="AT1" s="31">
        <f ca="1">IF(OR(AM42="●",AM42="△"),
AL41+2,AL41+1)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18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19"/>
      <c r="AX1" s="219"/>
      <c r="AY1" s="219"/>
      <c r="AZ1" s="42" t="str">
        <f t="array" aca="1" ref="AZ1" ca="1">IF(AV1&lt;&gt;"",
IF(AND(INDIRECT("'盛付札（関数）'!FI"&amp;AT1)&gt;=124,INDIRECT("'盛付札（関数）'!FI"&amp;AT1)&lt;=144),"",
"様"),"")</f>
        <v/>
      </c>
      <c r="BA1" s="36">
        <f ca="1">IF(OR(AU2="●",AU2="△"),
AT1+2,AT1+1)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18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19"/>
      <c r="BE1" s="219"/>
      <c r="BF1" s="219"/>
      <c r="BG1" s="42" t="str">
        <f t="array" aca="1" ref="BG1" ca="1">IF(BC1&lt;&gt;"",
IF(AND(INDIRECT("'盛付札（関数）'!FI"&amp;BA1)&gt;=124,INDIRECT("'盛付札（関数）'!FI"&amp;BA1)&lt;=144),"",
"様"),"")</f>
        <v/>
      </c>
      <c r="BH1" s="22"/>
      <c r="BI1" s="31">
        <f ca="1">IF(OR(BB42="●",BB42="△"),
BA41+2,BA41+1)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18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19"/>
      <c r="BM1" s="219"/>
      <c r="BN1" s="219"/>
      <c r="BO1" s="42" t="str">
        <f t="array" aca="1" ref="BO1" ca="1">IF(BK1&lt;&gt;"",
IF(AND(INDIRECT("'盛付札（関数）'!FI"&amp;BI1)&gt;=124,INDIRECT("'盛付札（関数）'!FI"&amp;BI1)&lt;=144),"",
"様"),"")</f>
        <v/>
      </c>
      <c r="BP1" s="36">
        <f ca="1">IF(OR(BJ2="●",BJ2="△"),
BI1+2,BI1+1)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18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19"/>
      <c r="BT1" s="219"/>
      <c r="BU1" s="219"/>
      <c r="BV1" s="42" t="str">
        <f t="array" aca="1" ref="BV1" ca="1">IF(BR1&lt;&gt;"",
IF(AND(INDIRECT("'盛付札（関数）'!FI"&amp;BP1)&gt;=124,INDIRECT("'盛付札（関数）'!FI"&amp;BP1)&lt;=144),"",
"様"),"")</f>
        <v/>
      </c>
      <c r="BW1" s="22"/>
      <c r="BX1" s="31">
        <f ca="1">IF(OR(BQ42="●",BQ42="△"),
BP41+2,BP41+1)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18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19"/>
      <c r="CB1" s="219"/>
      <c r="CC1" s="219"/>
      <c r="CD1" s="42" t="str">
        <f t="array" aca="1" ref="CD1" ca="1">IF(BZ1&lt;&gt;"",
IF(AND(INDIRECT("'盛付札（関数）'!FI"&amp;BX1)&gt;=124,INDIRECT("'盛付札（関数）'!FI"&amp;BX1)&lt;=144),"",
"様"),"")</f>
        <v/>
      </c>
      <c r="CE1" s="36">
        <f ca="1">IF(OR(BY2="●",BY2="△"),
BX1+2,BX1+1)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18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19"/>
      <c r="CI1" s="219"/>
      <c r="CJ1" s="219"/>
      <c r="CK1" s="42" t="str">
        <f t="array" aca="1" ref="CK1" ca="1">IF(CG1&lt;&gt;"",
IF(AND(INDIRECT("'盛付札（関数）'!FI"&amp;CE1)&gt;=124,INDIRECT("'盛付札（関数）'!FI"&amp;CE1)&lt;=144),"",
"様"),"")</f>
        <v/>
      </c>
      <c r="CL1" s="22"/>
      <c r="CM1" s="31">
        <f ca="1">IF(OR(CF42="●",CF42="△"),
CE41+2,CE41+1)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18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19"/>
      <c r="CQ1" s="219"/>
      <c r="CR1" s="219"/>
      <c r="CS1" s="42" t="str">
        <f t="array" aca="1" ref="CS1" ca="1">IF(CO1&lt;&gt;"",
IF(AND(INDIRECT("'盛付札（関数）'!FI"&amp;CM1)&gt;=124,INDIRECT("'盛付札（関数）'!FI"&amp;CM1)&lt;=144),"",
"様"),"")</f>
        <v/>
      </c>
      <c r="CT1" s="36">
        <f ca="1">IF(OR(CN2="●",CN2="△"),
CM1+2,CM1+1)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18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19"/>
      <c r="CX1" s="219"/>
      <c r="CY1" s="219"/>
      <c r="CZ1" s="42" t="str">
        <f t="array" aca="1" ref="CZ1" ca="1">IF(CV1&lt;&gt;"",
IF(AND(INDIRECT("'盛付札（関数）'!FI"&amp;CT1)&gt;=124,INDIRECT("'盛付札（関数）'!FI"&amp;CT1)&lt;=144),"",
"様"),"")</f>
        <v/>
      </c>
      <c r="DA1" s="22"/>
      <c r="DB1" s="31"/>
      <c r="DC1" s="43"/>
      <c r="DD1" s="218"/>
      <c r="DE1" s="219"/>
      <c r="DF1" s="219"/>
      <c r="DG1" s="219"/>
      <c r="DH1" s="42"/>
      <c r="DI1" s="36"/>
      <c r="DJ1" s="43"/>
      <c r="DK1" s="218"/>
      <c r="DL1" s="219"/>
      <c r="DM1" s="219"/>
      <c r="DN1" s="219"/>
      <c r="DO1" s="42"/>
      <c r="DP1" s="22"/>
      <c r="DQ1" s="31"/>
      <c r="DR1" s="43"/>
      <c r="DS1" s="218"/>
      <c r="DT1" s="219"/>
      <c r="DU1" s="219"/>
      <c r="DV1" s="219"/>
      <c r="DW1" s="42"/>
      <c r="DX1" s="36"/>
      <c r="DY1" s="43"/>
      <c r="DZ1" s="218"/>
      <c r="EA1" s="219"/>
      <c r="EB1" s="219"/>
      <c r="EC1" s="219"/>
      <c r="ED1" s="42"/>
      <c r="EE1" s="22"/>
      <c r="EF1" s="31"/>
      <c r="EG1" s="43"/>
      <c r="EH1" s="218"/>
      <c r="EI1" s="219"/>
      <c r="EJ1" s="219"/>
      <c r="EK1" s="219"/>
      <c r="EL1" s="42"/>
      <c r="EM1" s="36"/>
      <c r="EN1" s="43"/>
      <c r="EO1" s="218"/>
      <c r="EP1" s="219"/>
      <c r="EQ1" s="219"/>
      <c r="ER1" s="219"/>
      <c r="ES1" s="42"/>
      <c r="ET1" s="22"/>
    </row>
    <row r="2" spans="1:150" s="32" customFormat="1">
      <c r="A2" s="31"/>
      <c r="B2" s="198" t="str">
        <f ca="1">IF(COUNTIF(INDIRECT("'盛付札（関数）'!S"&amp;A1+1),"*雙葉*"),"●",
IF(COUNTIF(INDIRECT("'盛付札（関数）'!S"&amp;A1+1),"*社食*"),"△","〇"))</f>
        <v>〇</v>
      </c>
      <c r="C2" s="47" t="str">
        <f t="array" aca="1" ref="C2" ca="1">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IF(B2="△",
INDIRECT("'盛付札（関数）'!T"&amp;A1+1),INDIRECT("'盛付札（関数）'!T"&amp;A1))))</f>
        <v/>
      </c>
      <c r="D2" s="41"/>
      <c r="E2" s="41"/>
      <c r="F2" s="48" t="str">
        <f t="array" aca="1" ref="F2" ca="1">IF(C1&lt;&gt;"",
IF(OR(INDIRECT("'盛付札（関数）'!R"&amp;A1)=121,INDIRECT("'盛付札（関数）'!R"&amp;A1)=122,INDIRECT("'盛付札（関数）'!R"&amp;A1)=123),"",
IF(B2="●",
SUBSTITUTE(SUBSTITUTE(SUBSTITUTE(INDIRECT("'盛付札（関数）'!U"&amp;A1),100,""),120,""),150,""),
IF(B2="△",
IF(INDIRECT("'盛付札（関数）'!U"&amp;A1+1)&lt;&gt;"",
INDIRECT("'盛付札（関数）'!U"&amp;A1+1),INDIRECT("'盛付札（関数）'!V"&amp;A1+1)),
IF(INDIRECT("'盛付札（関数）'!U"&amp;A1)&lt;&gt;"",
INDIRECT("'盛付札（関数）'!U"&amp;A1),INDIRECT("'盛付札（関数）'!V"&amp;A1))))),"")</f>
        <v/>
      </c>
      <c r="G2" s="39"/>
      <c r="H2" s="49"/>
      <c r="I2" s="33" t="str">
        <f ca="1">IF(COUNTIF(INDIRECT("'盛付札（関数）'!FJ"&amp;H1+1),"*雙葉*"),"●",
IF(COUNTIF(INDIRECT("'盛付札（関数）'!FJ"&amp;H1+1),"*社食*"),"△","〇"))</f>
        <v>〇</v>
      </c>
      <c r="J2" s="47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41"/>
      <c r="L2" s="41"/>
      <c r="M2" s="48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>0</v>
      </c>
      <c r="N2" s="39"/>
      <c r="O2" s="22"/>
      <c r="P2" s="31"/>
      <c r="Q2" s="33" t="str">
        <f ca="1">IF(COUNTIF(INDIRECT("'盛付札（関数）'!FJ"&amp;P1+1),"*雙葉*"),"●",
"〇")</f>
        <v>〇</v>
      </c>
      <c r="R2" s="47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>0</v>
      </c>
      <c r="S2" s="41"/>
      <c r="T2" s="41"/>
      <c r="U2" s="48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39"/>
      <c r="W2" s="49"/>
      <c r="X2" s="33" t="str">
        <f ca="1">IF(COUNTIF(INDIRECT("'盛付札（関数）'!FJ"&amp;W1+1),"*雙葉*"),"●",
"〇")</f>
        <v>〇</v>
      </c>
      <c r="Y2" s="47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>0</v>
      </c>
      <c r="Z2" s="41"/>
      <c r="AA2" s="41"/>
      <c r="AB2" s="48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39"/>
      <c r="AD2" s="22"/>
      <c r="AE2" s="31"/>
      <c r="AF2" s="33" t="str">
        <f ca="1">IF(COUNTIF(INDIRECT("'盛付札（関数）'!FJ"&amp;AE1+1),"*雙葉*"),"●",
"〇")</f>
        <v>〇</v>
      </c>
      <c r="AG2" s="47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>0</v>
      </c>
      <c r="AH2" s="41"/>
      <c r="AI2" s="41"/>
      <c r="AJ2" s="48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39"/>
      <c r="AL2" s="49"/>
      <c r="AM2" s="33" t="str">
        <f ca="1">IF(COUNTIF(INDIRECT("'盛付札（関数）'!FJ"&amp;AL1+1),"*雙葉*"),"●",
"〇")</f>
        <v>〇</v>
      </c>
      <c r="AN2" s="47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>0</v>
      </c>
      <c r="AO2" s="41"/>
      <c r="AP2" s="41"/>
      <c r="AQ2" s="48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39"/>
      <c r="AS2" s="22"/>
      <c r="AT2" s="31"/>
      <c r="AU2" s="33" t="str">
        <f ca="1">IF(COUNTIF(INDIRECT("'盛付札（関数）'!FJ"&amp;AT1+1),"*雙葉*"),"●",
"〇")</f>
        <v>〇</v>
      </c>
      <c r="AV2" s="47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>0</v>
      </c>
      <c r="AW2" s="41"/>
      <c r="AX2" s="41"/>
      <c r="AY2" s="48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39"/>
      <c r="BA2" s="49"/>
      <c r="BB2" s="33" t="str">
        <f ca="1">IF(COUNTIF(INDIRECT("'盛付札（関数）'!FJ"&amp;BA1+1),"*雙葉*"),"●",
"〇")</f>
        <v>〇</v>
      </c>
      <c r="BC2" s="47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>0</v>
      </c>
      <c r="BD2" s="41"/>
      <c r="BE2" s="41"/>
      <c r="BF2" s="48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39"/>
      <c r="BH2" s="22"/>
      <c r="BI2" s="31"/>
      <c r="BJ2" s="33" t="str">
        <f ca="1">IF(COUNTIF(INDIRECT("'盛付札（関数）'!FJ"&amp;BI1+1),"*雙葉*"),"●",
"〇")</f>
        <v>〇</v>
      </c>
      <c r="BK2" s="47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>0</v>
      </c>
      <c r="BL2" s="41"/>
      <c r="BM2" s="41"/>
      <c r="BN2" s="48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39"/>
      <c r="BP2" s="49"/>
      <c r="BQ2" s="33" t="str">
        <f ca="1">IF(COUNTIF(INDIRECT("'盛付札（関数）'!FJ"&amp;BP1+1),"*雙葉*"),"●",
"〇")</f>
        <v>〇</v>
      </c>
      <c r="BR2" s="47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>0</v>
      </c>
      <c r="BS2" s="41"/>
      <c r="BT2" s="41"/>
      <c r="BU2" s="48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39"/>
      <c r="BW2" s="22"/>
      <c r="BX2" s="31"/>
      <c r="BY2" s="33" t="str">
        <f ca="1">IF(COUNTIF(INDIRECT("'盛付札（関数）'!FJ"&amp;BX1+1),"*雙葉*"),"●",
"〇")</f>
        <v>〇</v>
      </c>
      <c r="BZ2" s="47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>0</v>
      </c>
      <c r="CA2" s="41"/>
      <c r="CB2" s="41"/>
      <c r="CC2" s="48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39"/>
      <c r="CE2" s="49"/>
      <c r="CF2" s="33" t="str">
        <f ca="1">IF(COUNTIF(INDIRECT("'盛付札（関数）'!FJ"&amp;CE1+1),"*雙葉*"),"●",
"〇")</f>
        <v>〇</v>
      </c>
      <c r="CG2" s="47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>0</v>
      </c>
      <c r="CH2" s="41"/>
      <c r="CI2" s="41"/>
      <c r="CJ2" s="48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39"/>
      <c r="CL2" s="22"/>
      <c r="CM2" s="31"/>
      <c r="CN2" s="33" t="str">
        <f ca="1">IF(COUNTIF(INDIRECT("'盛付札（関数）'!FJ"&amp;CM1+1),"*雙葉*"),"●",
"〇")</f>
        <v>〇</v>
      </c>
      <c r="CO2" s="47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>0</v>
      </c>
      <c r="CP2" s="41"/>
      <c r="CQ2" s="41"/>
      <c r="CR2" s="48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39"/>
      <c r="CT2" s="49"/>
      <c r="CU2" s="33" t="str">
        <f ca="1">IF(COUNTIF(INDIRECT("'盛付札（関数）'!FJ"&amp;CT1+1),"*雙葉*"),"●",
"〇")</f>
        <v>〇</v>
      </c>
      <c r="CV2" s="47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>0</v>
      </c>
      <c r="CW2" s="41"/>
      <c r="CX2" s="41"/>
      <c r="CY2" s="48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16" t="e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>#N/A</v>
      </c>
      <c r="D3" s="217"/>
      <c r="E3" s="22"/>
      <c r="F3" s="32" t="str">
        <f t="array" aca="1" ref="F3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"先生")),"")</f>
        <v>先生</v>
      </c>
      <c r="G3" s="40"/>
      <c r="H3" s="36"/>
      <c r="I3" s="34"/>
      <c r="J3" s="216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園児</v>
      </c>
      <c r="K3" s="217"/>
      <c r="L3" s="22"/>
      <c r="M3" s="32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>先生</v>
      </c>
      <c r="N3" s="40"/>
      <c r="O3" s="22"/>
      <c r="P3" s="31"/>
      <c r="Q3" s="34"/>
      <c r="R3" s="216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17"/>
      <c r="T3" s="22"/>
      <c r="U3" s="32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40"/>
      <c r="W3" s="36"/>
      <c r="X3" s="34"/>
      <c r="Y3" s="216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17"/>
      <c r="AA3" s="22"/>
      <c r="AB3" s="32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40"/>
      <c r="AD3" s="22"/>
      <c r="AE3" s="31"/>
      <c r="AF3" s="34"/>
      <c r="AG3" s="216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17"/>
      <c r="AI3" s="22"/>
      <c r="AJ3" s="32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40"/>
      <c r="AL3" s="36"/>
      <c r="AM3" s="34"/>
      <c r="AN3" s="216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17"/>
      <c r="AP3" s="22"/>
      <c r="AQ3" s="32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40"/>
      <c r="AS3" s="22"/>
      <c r="AT3" s="31"/>
      <c r="AU3" s="34"/>
      <c r="AV3" s="216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17"/>
      <c r="AX3" s="22"/>
      <c r="AY3" s="32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40"/>
      <c r="BA3" s="36"/>
      <c r="BB3" s="34"/>
      <c r="BC3" s="216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17"/>
      <c r="BE3" s="22"/>
      <c r="BF3" s="32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40"/>
      <c r="BH3" s="22"/>
      <c r="BI3" s="31"/>
      <c r="BJ3" s="34"/>
      <c r="BK3" s="216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17"/>
      <c r="BM3" s="22"/>
      <c r="BN3" s="32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40"/>
      <c r="BP3" s="36"/>
      <c r="BQ3" s="34"/>
      <c r="BR3" s="216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17"/>
      <c r="BT3" s="22"/>
      <c r="BU3" s="32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40"/>
      <c r="BW3" s="22"/>
      <c r="BX3" s="31"/>
      <c r="BY3" s="34"/>
      <c r="BZ3" s="216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17"/>
      <c r="CB3" s="22"/>
      <c r="CC3" s="32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40"/>
      <c r="CE3" s="36"/>
      <c r="CF3" s="34"/>
      <c r="CG3" s="216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17"/>
      <c r="CI3" s="22"/>
      <c r="CJ3" s="32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40"/>
      <c r="CL3" s="22"/>
      <c r="CM3" s="31"/>
      <c r="CN3" s="34"/>
      <c r="CO3" s="216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17"/>
      <c r="CQ3" s="22"/>
      <c r="CR3" s="32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40"/>
      <c r="CT3" s="36"/>
      <c r="CU3" s="34"/>
      <c r="CV3" s="216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17"/>
      <c r="CX3" s="22"/>
      <c r="CY3" s="32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40"/>
      <c r="DA3" s="22"/>
      <c r="DB3" s="31"/>
      <c r="DC3" s="34"/>
      <c r="DD3" s="216"/>
      <c r="DE3" s="217"/>
      <c r="DF3" s="22"/>
      <c r="DH3" s="40"/>
      <c r="DI3" s="36"/>
      <c r="DJ3" s="34"/>
      <c r="DK3" s="216"/>
      <c r="DL3" s="217"/>
      <c r="DM3" s="22"/>
      <c r="DO3" s="40"/>
      <c r="DP3" s="22"/>
      <c r="DQ3" s="31"/>
      <c r="DR3" s="34"/>
      <c r="DS3" s="216"/>
      <c r="DT3" s="217"/>
      <c r="DU3" s="22"/>
      <c r="DW3" s="40"/>
      <c r="DX3" s="36"/>
      <c r="DY3" s="34"/>
      <c r="DZ3" s="216"/>
      <c r="EA3" s="217"/>
      <c r="EB3" s="22"/>
      <c r="ED3" s="40"/>
      <c r="EE3" s="22"/>
      <c r="EF3" s="31"/>
      <c r="EG3" s="34"/>
      <c r="EH3" s="216"/>
      <c r="EI3" s="217"/>
      <c r="EJ3" s="22"/>
      <c r="EL3" s="40"/>
      <c r="EM3" s="36"/>
      <c r="EN3" s="34"/>
      <c r="EO3" s="216"/>
      <c r="EP3" s="217"/>
      <c r="EQ3" s="22"/>
      <c r="ES3" s="40"/>
      <c r="ET3" s="22"/>
    </row>
    <row r="4" spans="1:150" ht="15.6" customHeight="1">
      <c r="B4" s="25"/>
      <c r="C4" s="222" t="e">
        <f t="array" aca="1" ref="C4" ca="1">IF(B2="●",
INDIRECT("'盛付札（関数）'!W"&amp;A1)+INDIRECT("'盛付札（関数）'!W"&amp;A1+1),
IF(B2="△",
INDIRECT("'盛付札（関数）'!W"&amp;A1+1),INDIRECT("'盛付札（関数）'!W"&amp;A1)))</f>
        <v>#N/A</v>
      </c>
      <c r="D4" s="223"/>
      <c r="E4" s="50"/>
      <c r="F4" s="225">
        <f t="array" aca="1" ref="F4" ca="1">IF(C1&lt;&gt;"",
IF(AND(INDIRECT("'盛付札（関数）'!R"&amp;A1)&gt;=124,INDIRECT("'盛付札（関数）'!R"&amp;A1)&lt;=144),"",
IF(OR(INDIRECT("'盛付札（関数）'!R"&amp;A1)=121,INDIRECT("'盛付札（関数）'!R"&amp;A1)=122,INDIRECT("'盛付札（関数）'!R"&amp;A1)=123),"",
IF(B2="●",
IFERROR(INDIRECT("'盛付札（関数）'!X"&amp;A1)+INDIRECT("'盛付札（関数）'!X"&amp;A1+1),""),
IF(B2="△",
INDIRECT("'盛付札（関数）'!X"&amp;A1+1),INDIRECT("'盛付札（関数）'!X"&amp;A1))))),"")</f>
        <v>0</v>
      </c>
      <c r="G4" s="226"/>
      <c r="H4" s="26"/>
      <c r="I4" s="25"/>
      <c r="J4" s="222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0</v>
      </c>
      <c r="K4" s="223"/>
      <c r="L4" s="50"/>
      <c r="M4" s="225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>0</v>
      </c>
      <c r="N4" s="226"/>
      <c r="Q4" s="25"/>
      <c r="R4" s="222">
        <f t="array" aca="1" ref="R4" ca="1">IF(Q2="●",
INDIRECT("'盛付札（関数）'!FN"&amp;P1)+INDIRECT("'盛付札（関数）'!FN"&amp;P1+1),
IF(Q2="△",
INDIRECT("'盛付札（関数）'!FN"&amp;P1+1),INDIRECT("'盛付札（関数）'!FN"&amp;P1)))</f>
        <v>0</v>
      </c>
      <c r="S4" s="223"/>
      <c r="T4" s="50"/>
      <c r="U4" s="225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26"/>
      <c r="W4" s="26"/>
      <c r="X4" s="25"/>
      <c r="Y4" s="222">
        <f t="array" aca="1" ref="Y4" ca="1">IF(X2="●",
INDIRECT("'盛付札（関数）'!FN"&amp;W1)+INDIRECT("'盛付札（関数）'!FN"&amp;W1+1),
IF(X2="△",
INDIRECT("'盛付札（関数）'!FN"&amp;W1+1),INDIRECT("'盛付札（関数）'!FN"&amp;W1)))</f>
        <v>0</v>
      </c>
      <c r="Z4" s="223"/>
      <c r="AA4" s="50"/>
      <c r="AB4" s="225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26"/>
      <c r="AF4" s="25"/>
      <c r="AG4" s="222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>0</v>
      </c>
      <c r="AH4" s="223"/>
      <c r="AI4" s="50"/>
      <c r="AJ4" s="225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26"/>
      <c r="AL4" s="26"/>
      <c r="AM4" s="25"/>
      <c r="AN4" s="222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>0</v>
      </c>
      <c r="AO4" s="223"/>
      <c r="AP4" s="50"/>
      <c r="AQ4" s="225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26"/>
      <c r="AU4" s="25"/>
      <c r="AV4" s="222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>0</v>
      </c>
      <c r="AW4" s="223"/>
      <c r="AX4" s="50"/>
      <c r="AY4" s="225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26"/>
      <c r="BA4" s="26"/>
      <c r="BB4" s="25"/>
      <c r="BC4" s="222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>0</v>
      </c>
      <c r="BD4" s="223"/>
      <c r="BE4" s="50"/>
      <c r="BF4" s="225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26"/>
      <c r="BJ4" s="25"/>
      <c r="BK4" s="222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>0</v>
      </c>
      <c r="BL4" s="223"/>
      <c r="BM4" s="50"/>
      <c r="BN4" s="225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26"/>
      <c r="BP4" s="26"/>
      <c r="BQ4" s="25"/>
      <c r="BR4" s="222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>0</v>
      </c>
      <c r="BS4" s="223"/>
      <c r="BT4" s="50"/>
      <c r="BU4" s="225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26"/>
      <c r="BY4" s="25"/>
      <c r="BZ4" s="222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>0</v>
      </c>
      <c r="CA4" s="223"/>
      <c r="CB4" s="50"/>
      <c r="CC4" s="225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26"/>
      <c r="CE4" s="26"/>
      <c r="CF4" s="25"/>
      <c r="CG4" s="222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>0</v>
      </c>
      <c r="CH4" s="223"/>
      <c r="CI4" s="50"/>
      <c r="CJ4" s="225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26"/>
      <c r="CN4" s="25"/>
      <c r="CO4" s="222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>0</v>
      </c>
      <c r="CP4" s="223"/>
      <c r="CQ4" s="50"/>
      <c r="CR4" s="225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26"/>
      <c r="CT4" s="26"/>
      <c r="CU4" s="25"/>
      <c r="CV4" s="222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>0</v>
      </c>
      <c r="CW4" s="223"/>
      <c r="CX4" s="50"/>
      <c r="CY4" s="225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26"/>
      <c r="DC4" s="25"/>
      <c r="DD4" s="222"/>
      <c r="DE4" s="223"/>
      <c r="DF4" s="50"/>
      <c r="DG4" s="225"/>
      <c r="DH4" s="226"/>
      <c r="DI4" s="26"/>
      <c r="DJ4" s="25"/>
      <c r="DK4" s="222"/>
      <c r="DL4" s="223"/>
      <c r="DM4" s="50"/>
      <c r="DN4" s="225"/>
      <c r="DO4" s="226"/>
      <c r="DR4" s="25"/>
      <c r="DS4" s="222"/>
      <c r="DT4" s="223"/>
      <c r="DU4" s="50"/>
      <c r="DV4" s="225"/>
      <c r="DW4" s="226"/>
      <c r="DX4" s="26"/>
      <c r="DY4" s="25"/>
      <c r="DZ4" s="222"/>
      <c r="EA4" s="223"/>
      <c r="EB4" s="50"/>
      <c r="EC4" s="225"/>
      <c r="ED4" s="226"/>
      <c r="EG4" s="25"/>
      <c r="EH4" s="222"/>
      <c r="EI4" s="223"/>
      <c r="EJ4" s="50"/>
      <c r="EK4" s="225"/>
      <c r="EL4" s="226"/>
      <c r="EM4" s="26"/>
      <c r="EN4" s="25"/>
      <c r="EO4" s="222"/>
      <c r="EP4" s="223"/>
      <c r="EQ4" s="50"/>
      <c r="ER4" s="225"/>
      <c r="ES4" s="226"/>
    </row>
    <row r="5" spans="1:150" ht="15.6" customHeight="1">
      <c r="B5" s="27"/>
      <c r="C5" s="224"/>
      <c r="D5" s="224"/>
      <c r="E5" s="44"/>
      <c r="F5" s="224"/>
      <c r="G5" s="221"/>
      <c r="H5" s="26"/>
      <c r="I5" s="27"/>
      <c r="J5" s="224"/>
      <c r="K5" s="224"/>
      <c r="L5" s="44"/>
      <c r="M5" s="224"/>
      <c r="N5" s="221"/>
      <c r="Q5" s="27"/>
      <c r="R5" s="224"/>
      <c r="S5" s="224"/>
      <c r="T5" s="44"/>
      <c r="U5" s="224"/>
      <c r="V5" s="221"/>
      <c r="W5" s="26"/>
      <c r="X5" s="27"/>
      <c r="Y5" s="224"/>
      <c r="Z5" s="224"/>
      <c r="AA5" s="44"/>
      <c r="AB5" s="224"/>
      <c r="AC5" s="221"/>
      <c r="AF5" s="27"/>
      <c r="AG5" s="224"/>
      <c r="AH5" s="224"/>
      <c r="AI5" s="44"/>
      <c r="AJ5" s="224"/>
      <c r="AK5" s="221"/>
      <c r="AL5" s="26"/>
      <c r="AM5" s="27"/>
      <c r="AN5" s="224"/>
      <c r="AO5" s="224"/>
      <c r="AP5" s="44"/>
      <c r="AQ5" s="224"/>
      <c r="AR5" s="221"/>
      <c r="AU5" s="27"/>
      <c r="AV5" s="224"/>
      <c r="AW5" s="224"/>
      <c r="AX5" s="44"/>
      <c r="AY5" s="224"/>
      <c r="AZ5" s="221"/>
      <c r="BA5" s="26"/>
      <c r="BB5" s="27"/>
      <c r="BC5" s="224"/>
      <c r="BD5" s="224"/>
      <c r="BE5" s="44"/>
      <c r="BF5" s="224"/>
      <c r="BG5" s="221"/>
      <c r="BJ5" s="27"/>
      <c r="BK5" s="224"/>
      <c r="BL5" s="224"/>
      <c r="BM5" s="44"/>
      <c r="BN5" s="224"/>
      <c r="BO5" s="221"/>
      <c r="BP5" s="26"/>
      <c r="BQ5" s="27"/>
      <c r="BR5" s="224"/>
      <c r="BS5" s="224"/>
      <c r="BT5" s="44"/>
      <c r="BU5" s="224"/>
      <c r="BV5" s="221"/>
      <c r="BY5" s="27"/>
      <c r="BZ5" s="224"/>
      <c r="CA5" s="224"/>
      <c r="CB5" s="44"/>
      <c r="CC5" s="224"/>
      <c r="CD5" s="221"/>
      <c r="CE5" s="26"/>
      <c r="CF5" s="27"/>
      <c r="CG5" s="224"/>
      <c r="CH5" s="224"/>
      <c r="CI5" s="44"/>
      <c r="CJ5" s="224"/>
      <c r="CK5" s="221"/>
      <c r="CN5" s="27"/>
      <c r="CO5" s="224"/>
      <c r="CP5" s="224"/>
      <c r="CQ5" s="44"/>
      <c r="CR5" s="224"/>
      <c r="CS5" s="221"/>
      <c r="CT5" s="26"/>
      <c r="CU5" s="27"/>
      <c r="CV5" s="224"/>
      <c r="CW5" s="224"/>
      <c r="CX5" s="44"/>
      <c r="CY5" s="224"/>
      <c r="CZ5" s="221"/>
      <c r="DC5" s="27"/>
      <c r="DD5" s="224"/>
      <c r="DE5" s="224"/>
      <c r="DF5" s="44"/>
      <c r="DG5" s="224"/>
      <c r="DH5" s="221"/>
      <c r="DI5" s="26"/>
      <c r="DJ5" s="27"/>
      <c r="DK5" s="224"/>
      <c r="DL5" s="224"/>
      <c r="DM5" s="44"/>
      <c r="DN5" s="224"/>
      <c r="DO5" s="221"/>
      <c r="DR5" s="27"/>
      <c r="DS5" s="224"/>
      <c r="DT5" s="224"/>
      <c r="DU5" s="44"/>
      <c r="DV5" s="224"/>
      <c r="DW5" s="221"/>
      <c r="DX5" s="26"/>
      <c r="DY5" s="27"/>
      <c r="DZ5" s="224"/>
      <c r="EA5" s="224"/>
      <c r="EB5" s="44"/>
      <c r="EC5" s="224"/>
      <c r="ED5" s="221"/>
      <c r="EG5" s="27"/>
      <c r="EH5" s="224"/>
      <c r="EI5" s="224"/>
      <c r="EJ5" s="44"/>
      <c r="EK5" s="224"/>
      <c r="EL5" s="221"/>
      <c r="EM5" s="26"/>
      <c r="EN5" s="27"/>
      <c r="EO5" s="224"/>
      <c r="EP5" s="224"/>
      <c r="EQ5" s="44"/>
      <c r="ER5" s="224"/>
      <c r="ES5" s="221"/>
    </row>
    <row r="6" spans="1:150" s="32" customFormat="1">
      <c r="A6" s="31"/>
      <c r="B6" s="37" t="str">
        <f t="array" aca="1" ref="B6" ca="1">IF(C1&lt;&gt;"",
IF(OR(INDIRECT("'盛付札（関数）'!R"&amp;A1)=121,INDIRECT("'盛付札（関数）'!R"&amp;A1)=122,INDIRECT("'盛付札（関数）'!R"&amp;A1)=123),"",
"パン箱"),"")</f>
        <v>パン箱</v>
      </c>
      <c r="C6" s="35">
        <f t="array" aca="1" ref="C6" ca="1">IF(C1&lt;&gt;"",
IF(OR(INDIRECT("'盛付札（関数）'!R"&amp;A1)=121,INDIRECT("'盛付札（関数）'!R"&amp;A1)=122,INDIRECT("'盛付札（関数）'!R"&amp;A1)=123),"",
IF(B2="△",
INDIRECT("'盛付札（関数）'!Y"&amp;A1+1),INDIRECT("'盛付札（関数）'!Y"&amp;A1))),"")</f>
        <v>0</v>
      </c>
      <c r="D6" s="37" t="str">
        <f t="array" aca="1" ref="D6" ca="1">IF(C1&lt;&gt;"",
IF(OR(INDIRECT("'盛付札（関数）'!R"&amp;A1)=121,INDIRECT("'盛付札（関数）'!R"&amp;A1)=122,INDIRECT("'盛付札（関数）'!R"&amp;A1)=123),"",
"端数"),"")</f>
        <v>端数</v>
      </c>
      <c r="E6" s="35"/>
      <c r="F6" s="37" t="str">
        <f t="array" aca="1" ref="F6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"アレルギー")),"")</f>
        <v>アレルギー</v>
      </c>
      <c r="G6" s="40"/>
      <c r="H6" s="22"/>
      <c r="I6" s="37" t="str">
        <f t="array" aca="1" ref="I6" ca="1">IF(J1&lt;&gt;"",
IF(OR(INDIRECT("'盛付札（関数）'!FI"&amp;H1)=121,INDIRECT("'盛付札（関数）'!FI"&amp;H1)=122,INDIRECT("'盛付札（関数）'!FI"&amp;H1)=123),"",
"パン箱"),"")</f>
        <v>パン箱</v>
      </c>
      <c r="J6" s="35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>0</v>
      </c>
      <c r="K6" s="37" t="str">
        <f t="array" aca="1" ref="K6" ca="1">IF(J1&lt;&gt;"",
IF(OR(INDIRECT("'盛付札（関数）'!FI"&amp;H1)=121,INDIRECT("'盛付札（関数）'!FI"&amp;H1)=122,INDIRECT("'盛付札（関数）'!FI"&amp;H1)=123),"",
"端数"),"")</f>
        <v>端数</v>
      </c>
      <c r="L6" s="35"/>
      <c r="M6" s="37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>アレルギー</v>
      </c>
      <c r="N6" s="40"/>
      <c r="O6" s="22"/>
      <c r="P6" s="31"/>
      <c r="Q6" s="37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35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37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35"/>
      <c r="U6" s="37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40"/>
      <c r="W6" s="22"/>
      <c r="X6" s="37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35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37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35"/>
      <c r="AB6" s="37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40"/>
      <c r="AD6" s="22"/>
      <c r="AE6" s="31"/>
      <c r="AF6" s="37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35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37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35"/>
      <c r="AJ6" s="37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40"/>
      <c r="AL6" s="22"/>
      <c r="AM6" s="37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35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37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35"/>
      <c r="AQ6" s="37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40"/>
      <c r="AS6" s="22"/>
      <c r="AT6" s="31"/>
      <c r="AU6" s="37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35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37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35"/>
      <c r="AY6" s="37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40"/>
      <c r="BA6" s="22"/>
      <c r="BB6" s="37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35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37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35"/>
      <c r="BF6" s="37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40"/>
      <c r="BH6" s="22"/>
      <c r="BI6" s="31"/>
      <c r="BJ6" s="37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35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37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35"/>
      <c r="BN6" s="37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40"/>
      <c r="BP6" s="22"/>
      <c r="BQ6" s="37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35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37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35"/>
      <c r="BU6" s="37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40"/>
      <c r="BW6" s="22"/>
      <c r="BX6" s="31"/>
      <c r="BY6" s="37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35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37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35"/>
      <c r="CC6" s="37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40"/>
      <c r="CE6" s="22"/>
      <c r="CF6" s="37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35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37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35"/>
      <c r="CJ6" s="37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40"/>
      <c r="CL6" s="22"/>
      <c r="CM6" s="31"/>
      <c r="CN6" s="37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35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37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35"/>
      <c r="CR6" s="37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40"/>
      <c r="CT6" s="22"/>
      <c r="CU6" s="37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35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37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35"/>
      <c r="CY6" s="37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27">
        <f t="array" aca="1" ref="B7" ca="1">IF(C1&lt;&gt;"",
IF(OR(INDIRECT("'盛付札（関数）'!R"&amp;A1)=121,INDIRECT("'盛付札（関数）'!R"&amp;A1)=122,INDIRECT("'盛付札（関数）'!R"&amp;A1)=123),"",
IF(B2="△",
INDIRECT("'盛付札（関数）'!Z"&amp;A1+1),INDIRECT("'盛付札（関数）'!Z"&amp;A1))),"")</f>
        <v>0</v>
      </c>
      <c r="C7" s="221"/>
      <c r="D7" s="227">
        <f t="array" aca="1" ref="D7" ca="1">IF(C1&lt;&gt;"",
IF(OR(INDIRECT("'盛付札（関数）'!R"&amp;A1)=121,INDIRECT("'盛付札（関数）'!R"&amp;A1)=122,INDIRECT("'盛付札（関数）'!R"&amp;A1)=123),"",
IF(B2="△",
INDIRECT("'盛付札（関数）'!AA"&amp;A1+1),INDIRECT("'盛付札（関数）'!AA"&amp;A1))),"")</f>
        <v>0</v>
      </c>
      <c r="E7" s="221"/>
      <c r="F7" s="220">
        <f t="array" aca="1" ref="F7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IF(B2="●",
IFERROR(INDIRECT("'盛付札（関数）'!AB"&amp;A1)+INDIRECT("'盛付札（関数）'!AB"&amp;A1+1),0),
IF(B2="△",
INDIRECT("'盛付札（関数）'!AB"&amp;A1+1),INDIRECT("'盛付札（関数）'!AB"&amp;A1))))),"")</f>
        <v>0</v>
      </c>
      <c r="G7" s="221"/>
      <c r="I7" s="227" t="str">
        <f ca="1">IF(J4&lt;&gt;"",
IFERROR(INT(J4/J6),""),"")</f>
        <v/>
      </c>
      <c r="J7" s="221"/>
      <c r="K7" s="227" t="str">
        <f ca="1">IFERROR(MOD(J4,J6),"")</f>
        <v/>
      </c>
      <c r="L7" s="221"/>
      <c r="M7" s="220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>0</v>
      </c>
      <c r="N7" s="221"/>
      <c r="Q7" s="227" t="str">
        <f ca="1">IF(R4&lt;&gt;"",
IFERROR(INT(R4/R6),""),"")</f>
        <v/>
      </c>
      <c r="R7" s="221"/>
      <c r="S7" s="227" t="str">
        <f ca="1">IFERROR(MOD(R4,R6),"")</f>
        <v/>
      </c>
      <c r="T7" s="221"/>
      <c r="U7" s="220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21"/>
      <c r="X7" s="227" t="str">
        <f ca="1">IF(Y4&lt;&gt;"",
IFERROR(INT(Y4/Y6),""),"")</f>
        <v/>
      </c>
      <c r="Y7" s="221"/>
      <c r="Z7" s="227" t="str">
        <f ca="1">IFERROR(MOD(Y4,Y6),"")</f>
        <v/>
      </c>
      <c r="AA7" s="221"/>
      <c r="AB7" s="220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21"/>
      <c r="AF7" s="227" t="str">
        <f ca="1">IF(AG4&lt;&gt;"",
IFERROR(INT(AG4/AG6),""),"")</f>
        <v/>
      </c>
      <c r="AG7" s="221"/>
      <c r="AH7" s="227" t="str">
        <f ca="1">IFERROR(MOD(AG4,AG6),"")</f>
        <v/>
      </c>
      <c r="AI7" s="221"/>
      <c r="AJ7" s="220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21"/>
      <c r="AM7" s="227" t="str">
        <f ca="1">IF(AN4&lt;&gt;"",
IFERROR(INT(AN4/AN6),""),"")</f>
        <v/>
      </c>
      <c r="AN7" s="221"/>
      <c r="AO7" s="227" t="str">
        <f ca="1">IFERROR(MOD(AN4,AN6),"")</f>
        <v/>
      </c>
      <c r="AP7" s="221"/>
      <c r="AQ7" s="220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21"/>
      <c r="AU7" s="227" t="str">
        <f ca="1">IF(AV4&lt;&gt;"",
IFERROR(INT(AV4/AV6),""),"")</f>
        <v/>
      </c>
      <c r="AV7" s="221"/>
      <c r="AW7" s="227" t="str">
        <f ca="1">IFERROR(MOD(AV4,AV6),"")</f>
        <v/>
      </c>
      <c r="AX7" s="221"/>
      <c r="AY7" s="220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21"/>
      <c r="BB7" s="227" t="str">
        <f ca="1">IF(BC4&lt;&gt;"",
IFERROR(INT(BC4/BC6),""),"")</f>
        <v/>
      </c>
      <c r="BC7" s="221"/>
      <c r="BD7" s="227" t="str">
        <f ca="1">IFERROR(MOD(BC4,BC6),"")</f>
        <v/>
      </c>
      <c r="BE7" s="221"/>
      <c r="BF7" s="220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21"/>
      <c r="BJ7" s="227" t="str">
        <f ca="1">IF(BK4&lt;&gt;"",
IFERROR(INT(BK4/BK6),""),"")</f>
        <v/>
      </c>
      <c r="BK7" s="221"/>
      <c r="BL7" s="227" t="str">
        <f ca="1">IFERROR(MOD(BK4,BK6),"")</f>
        <v/>
      </c>
      <c r="BM7" s="221"/>
      <c r="BN7" s="220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21"/>
      <c r="BQ7" s="227" t="str">
        <f ca="1">IF(BR4&lt;&gt;"",
IFERROR(INT(BR4/BR6),""),"")</f>
        <v/>
      </c>
      <c r="BR7" s="221"/>
      <c r="BS7" s="227" t="str">
        <f ca="1">IFERROR(MOD(BR4,BR6),"")</f>
        <v/>
      </c>
      <c r="BT7" s="221"/>
      <c r="BU7" s="220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21"/>
      <c r="BY7" s="227" t="str">
        <f ca="1">IF(BZ4&lt;&gt;"",
IFERROR(INT(BZ4/BZ6),""),"")</f>
        <v/>
      </c>
      <c r="BZ7" s="221"/>
      <c r="CA7" s="227" t="str">
        <f ca="1">IFERROR(MOD(BZ4,BZ6),"")</f>
        <v/>
      </c>
      <c r="CB7" s="221"/>
      <c r="CC7" s="220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21"/>
      <c r="CF7" s="227" t="str">
        <f ca="1">IF(CG4&lt;&gt;"",
IFERROR(INT(CG4/CG6),""),"")</f>
        <v/>
      </c>
      <c r="CG7" s="221"/>
      <c r="CH7" s="227" t="str">
        <f ca="1">IFERROR(MOD(CG4,CG6),"")</f>
        <v/>
      </c>
      <c r="CI7" s="221"/>
      <c r="CJ7" s="220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21"/>
      <c r="CN7" s="227" t="str">
        <f ca="1">IF(CO4&lt;&gt;"",
IFERROR(INT(CO4/CO6),""),"")</f>
        <v/>
      </c>
      <c r="CO7" s="221"/>
      <c r="CP7" s="227" t="str">
        <f ca="1">IFERROR(MOD(CO4,CO6),"")</f>
        <v/>
      </c>
      <c r="CQ7" s="221"/>
      <c r="CR7" s="220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21"/>
      <c r="CU7" s="227" t="str">
        <f ca="1">IF(CV4&lt;&gt;"",
IFERROR(INT(CV4/CV6),""),"")</f>
        <v/>
      </c>
      <c r="CV7" s="221"/>
      <c r="CW7" s="227" t="str">
        <f ca="1">IFERROR(MOD(CV4,CV6),"")</f>
        <v/>
      </c>
      <c r="CX7" s="221"/>
      <c r="CY7" s="220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21"/>
      <c r="DC7" s="227"/>
      <c r="DD7" s="221"/>
      <c r="DE7" s="227"/>
      <c r="DF7" s="221"/>
      <c r="DG7" s="220"/>
      <c r="DH7" s="221"/>
      <c r="DJ7" s="227"/>
      <c r="DK7" s="221"/>
      <c r="DL7" s="227"/>
      <c r="DM7" s="221"/>
      <c r="DN7" s="220"/>
      <c r="DO7" s="221"/>
      <c r="DR7" s="227"/>
      <c r="DS7" s="221"/>
      <c r="DT7" s="227"/>
      <c r="DU7" s="221"/>
      <c r="DV7" s="220"/>
      <c r="DW7" s="221"/>
      <c r="DY7" s="227"/>
      <c r="DZ7" s="221"/>
      <c r="EA7" s="227"/>
      <c r="EB7" s="221"/>
      <c r="EC7" s="220"/>
      <c r="ED7" s="221"/>
      <c r="EG7" s="227"/>
      <c r="EH7" s="221"/>
      <c r="EI7" s="227"/>
      <c r="EJ7" s="221"/>
      <c r="EK7" s="220"/>
      <c r="EL7" s="221"/>
      <c r="EN7" s="227"/>
      <c r="EO7" s="221"/>
      <c r="EP7" s="227"/>
      <c r="EQ7" s="221"/>
      <c r="ER7" s="220"/>
      <c r="ES7" s="221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 ca="1">IF(OR(I2="●",I2="△"),
H1+2,H1+1)</f>
        <v>3</v>
      </c>
      <c r="B9" s="43" t="str">
        <f ca="1">IF(C9&lt;&gt;"",
MID(貼り付け用!$A$2, FIND("年",貼り付け用!$A$2)+1,2)&amp;"/"&amp;MID(貼り付け用!$A$2, FIND("月",貼り付け用!$A$2)+1,2),"")</f>
        <v/>
      </c>
      <c r="C9" s="218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/>
      </c>
      <c r="D9" s="219"/>
      <c r="E9" s="219"/>
      <c r="F9" s="219"/>
      <c r="G9" s="42" t="str">
        <f t="array" aca="1" ref="G9" ca="1">IF(C9&lt;&gt;"",
IF(AND(INDIRECT("'盛付札（関数）'!FI"&amp;A9)&gt;=124,INDIRECT("'盛付札（関数）'!FI"&amp;A9)&lt;=144),"",
"様"),"")</f>
        <v/>
      </c>
      <c r="H9" s="36">
        <f ca="1">IF(OR(B10="●",B10="△"),
A9+2,A9+1)</f>
        <v>4</v>
      </c>
      <c r="I9" s="43" t="str">
        <f ca="1">IF(J9&lt;&gt;"",
MID(貼り付け用!$A$2, FIND("年",貼り付け用!$A$2)+1,2)&amp;"/"&amp;MID(貼り付け用!$A$2, FIND("月",貼り付け用!$A$2)+1,2),"")</f>
        <v/>
      </c>
      <c r="J9" s="218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/>
      </c>
      <c r="K9" s="219"/>
      <c r="L9" s="219"/>
      <c r="M9" s="219"/>
      <c r="N9" s="42" t="str">
        <f t="array" aca="1" ref="N9" ca="1">IF(J9&lt;&gt;"",
IF(AND(INDIRECT("'盛付札（関数）'!FI"&amp;H9)&gt;=124,INDIRECT("'盛付札（関数）'!FI"&amp;H9)&lt;=144),"",
"様"),"")</f>
        <v/>
      </c>
      <c r="O9" s="22"/>
      <c r="P9" s="31">
        <f ca="1">IF(OR(X2="●",X2="△"),
W1+2,W1+1)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18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19"/>
      <c r="T9" s="219"/>
      <c r="U9" s="219"/>
      <c r="V9" s="42" t="str">
        <f t="array" aca="1" ref="V9" ca="1">IF(R9&lt;&gt;"",
IF(AND(INDIRECT("'盛付札（関数）'!FI"&amp;P9)&gt;=124,INDIRECT("'盛付札（関数）'!FI"&amp;P9)&lt;=144),"",
"様"),"")</f>
        <v/>
      </c>
      <c r="W9" s="36">
        <f ca="1">IF(OR(Q10="●",Q10="△"),
P9+2,P9+1)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18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19"/>
      <c r="AA9" s="219"/>
      <c r="AB9" s="219"/>
      <c r="AC9" s="42" t="str">
        <f t="array" aca="1" ref="AC9" ca="1">IF(Y9&lt;&gt;"",
IF(AND(INDIRECT("'盛付札（関数）'!FI"&amp;W9)&gt;=124,INDIRECT("'盛付札（関数）'!FI"&amp;W9)&lt;=144),"",
"様"),"")</f>
        <v/>
      </c>
      <c r="AD9" s="22"/>
      <c r="AE9" s="31">
        <f ca="1">IF(OR(AM2="●",AM2="△"),
AL1+2,AL1+1)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18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19"/>
      <c r="AI9" s="219"/>
      <c r="AJ9" s="219"/>
      <c r="AK9" s="42" t="str">
        <f t="array" aca="1" ref="AK9" ca="1">IF(AG9&lt;&gt;"",
IF(AND(INDIRECT("'盛付札（関数）'!FI"&amp;AE9)&gt;=124,INDIRECT("'盛付札（関数）'!FI"&amp;AE9)&lt;=144),"",
"様"),"")</f>
        <v/>
      </c>
      <c r="AL9" s="36">
        <f ca="1">IF(OR(AF10="●",AF10="△"),
AE9+2,AE9+1)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18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19"/>
      <c r="AP9" s="219"/>
      <c r="AQ9" s="219"/>
      <c r="AR9" s="42" t="str">
        <f t="array" aca="1" ref="AR9" ca="1">IF(AN9&lt;&gt;"",
IF(AND(INDIRECT("'盛付札（関数）'!FI"&amp;AL9)&gt;=124,INDIRECT("'盛付札（関数）'!FI"&amp;AL9)&lt;=144),"",
"様"),"")</f>
        <v/>
      </c>
      <c r="AS9" s="22"/>
      <c r="AT9" s="31">
        <f ca="1">IF(OR(BB2="●",BB2="△"),
BA1+2,BA1+1)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18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19"/>
      <c r="AX9" s="219"/>
      <c r="AY9" s="219"/>
      <c r="AZ9" s="42" t="str">
        <f t="array" aca="1" ref="AZ9" ca="1">IF(AV9&lt;&gt;"",
IF(AND(INDIRECT("'盛付札（関数）'!FI"&amp;AT9)&gt;=124,INDIRECT("'盛付札（関数）'!FI"&amp;AT9)&lt;=144),"",
"様"),"")</f>
        <v/>
      </c>
      <c r="BA9" s="36">
        <f ca="1">IF(OR(AU10="●",AU10="△"),
AT9+2,AT9+1)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18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19"/>
      <c r="BE9" s="219"/>
      <c r="BF9" s="219"/>
      <c r="BG9" s="42" t="str">
        <f t="array" aca="1" ref="BG9" ca="1">IF(BC9&lt;&gt;"",
IF(AND(INDIRECT("'盛付札（関数）'!FI"&amp;BA9)&gt;=124,INDIRECT("'盛付札（関数）'!FI"&amp;BA9)&lt;=144),"",
"様"),"")</f>
        <v/>
      </c>
      <c r="BH9" s="22"/>
      <c r="BI9" s="31">
        <f ca="1">IF(OR(BQ2="●",BQ2="△"),
BP1+2,BP1+1)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18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19"/>
      <c r="BM9" s="219"/>
      <c r="BN9" s="219"/>
      <c r="BO9" s="42" t="str">
        <f t="array" aca="1" ref="BO9" ca="1">IF(BK9&lt;&gt;"",
IF(AND(INDIRECT("'盛付札（関数）'!FI"&amp;BI9)&gt;=124,INDIRECT("'盛付札（関数）'!FI"&amp;BI9)&lt;=144),"",
"様"),"")</f>
        <v/>
      </c>
      <c r="BP9" s="36">
        <f ca="1">IF(OR(BJ10="●",BJ10="△"),
BI9+2,BI9+1)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18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19"/>
      <c r="BT9" s="219"/>
      <c r="BU9" s="219"/>
      <c r="BV9" s="42" t="str">
        <f t="array" aca="1" ref="BV9" ca="1">IF(BR9&lt;&gt;"",
IF(AND(INDIRECT("'盛付札（関数）'!FI"&amp;BP9)&gt;=124,INDIRECT("'盛付札（関数）'!FI"&amp;BP9)&lt;=144),"",
"様"),"")</f>
        <v/>
      </c>
      <c r="BW9" s="22"/>
      <c r="BX9" s="31">
        <f ca="1">IF(OR(CF2="●",CF2="△"),
CE1+2,CE1+1)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18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19"/>
      <c r="CB9" s="219"/>
      <c r="CC9" s="219"/>
      <c r="CD9" s="42" t="str">
        <f t="array" aca="1" ref="CD9" ca="1">IF(BZ9&lt;&gt;"",
IF(AND(INDIRECT("'盛付札（関数）'!FI"&amp;BX9)&gt;=124,INDIRECT("'盛付札（関数）'!FI"&amp;BX9)&lt;=144),"",
"様"),"")</f>
        <v/>
      </c>
      <c r="CE9" s="36">
        <f ca="1">IF(OR(BY10="●",BY10="△"),
BX9+2,BX9+1)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18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19"/>
      <c r="CI9" s="219"/>
      <c r="CJ9" s="219"/>
      <c r="CK9" s="42" t="str">
        <f t="array" aca="1" ref="CK9" ca="1">IF(CG9&lt;&gt;"",
IF(AND(INDIRECT("'盛付札（関数）'!FI"&amp;CE9)&gt;=124,INDIRECT("'盛付札（関数）'!FI"&amp;CE9)&lt;=144),"",
"様"),"")</f>
        <v/>
      </c>
      <c r="CL9" s="22"/>
      <c r="CM9" s="31">
        <f ca="1">IF(OR(CU2="●",CU2="△"),
CT1+2,CT1+1)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18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19"/>
      <c r="CQ9" s="219"/>
      <c r="CR9" s="219"/>
      <c r="CS9" s="42" t="str">
        <f t="array" aca="1" ref="CS9" ca="1">IF(CO9&lt;&gt;"",
IF(AND(INDIRECT("'盛付札（関数）'!FI"&amp;CM9)&gt;=124,INDIRECT("'盛付札（関数）'!FI"&amp;CM9)&lt;=144),"",
"様"),"")</f>
        <v/>
      </c>
      <c r="CT9" s="36">
        <f ca="1">IF(OR(CN10="●",CN10="△"),
CM9+2,CM9+1)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18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19"/>
      <c r="CX9" s="219"/>
      <c r="CY9" s="219"/>
      <c r="CZ9" s="42" t="str">
        <f t="array" aca="1" ref="CZ9" ca="1">IF(CV9&lt;&gt;"",
IF(AND(INDIRECT("'盛付札（関数）'!FI"&amp;CT9)&gt;=124,INDIRECT("'盛付札（関数）'!FI"&amp;CT9)&lt;=144),"",
"様"),"")</f>
        <v/>
      </c>
      <c r="DA9" s="22"/>
      <c r="DB9" s="31"/>
      <c r="DC9" s="43"/>
      <c r="DD9" s="218"/>
      <c r="DE9" s="219"/>
      <c r="DF9" s="219"/>
      <c r="DG9" s="219"/>
      <c r="DH9" s="42"/>
      <c r="DI9" s="36"/>
      <c r="DJ9" s="43"/>
      <c r="DK9" s="218"/>
      <c r="DL9" s="219"/>
      <c r="DM9" s="219"/>
      <c r="DN9" s="219"/>
      <c r="DO9" s="42"/>
      <c r="DP9" s="22"/>
      <c r="DQ9" s="31"/>
      <c r="DR9" s="43"/>
      <c r="DS9" s="218"/>
      <c r="DT9" s="219"/>
      <c r="DU9" s="219"/>
      <c r="DV9" s="219"/>
      <c r="DW9" s="42"/>
      <c r="DX9" s="36"/>
      <c r="DY9" s="43"/>
      <c r="DZ9" s="218"/>
      <c r="EA9" s="219"/>
      <c r="EB9" s="219"/>
      <c r="EC9" s="219"/>
      <c r="ED9" s="42"/>
      <c r="EE9" s="22"/>
      <c r="EF9" s="31"/>
      <c r="EG9" s="43"/>
      <c r="EH9" s="218"/>
      <c r="EI9" s="219"/>
      <c r="EJ9" s="219"/>
      <c r="EK9" s="219"/>
      <c r="EL9" s="42"/>
      <c r="EM9" s="36"/>
      <c r="EN9" s="43"/>
      <c r="EO9" s="218"/>
      <c r="EP9" s="219"/>
      <c r="EQ9" s="219"/>
      <c r="ER9" s="219"/>
      <c r="ES9" s="42"/>
      <c r="ET9" s="22"/>
    </row>
    <row r="10" spans="1:150" s="32" customFormat="1">
      <c r="A10" s="31"/>
      <c r="B10" s="33" t="str">
        <f ca="1">IF(COUNTIF(INDIRECT("'盛付札（関数）'!FJ"&amp;A9+1),"*雙葉*"),"●",
"〇")</f>
        <v>〇</v>
      </c>
      <c r="C10" s="47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41"/>
      <c r="E10" s="41"/>
      <c r="F10" s="48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39"/>
      <c r="H10" s="49"/>
      <c r="I10" s="33" t="str">
        <f ca="1">IF(COUNTIF(INDIRECT("'盛付札（関数）'!FJ"&amp;H9+1),"*雙葉*"),"●",
"〇")</f>
        <v>〇</v>
      </c>
      <c r="J10" s="47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41"/>
      <c r="L10" s="41"/>
      <c r="M10" s="48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39"/>
      <c r="O10" s="22"/>
      <c r="P10" s="31"/>
      <c r="Q10" s="33" t="str">
        <f ca="1">IF(COUNTIF(INDIRECT("'盛付札（関数）'!FJ"&amp;P9+1),"*雙葉*"),"●",
"〇")</f>
        <v>〇</v>
      </c>
      <c r="R10" s="47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>0</v>
      </c>
      <c r="S10" s="41"/>
      <c r="T10" s="41"/>
      <c r="U10" s="48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39"/>
      <c r="W10" s="49"/>
      <c r="X10" s="33" t="str">
        <f ca="1">IF(COUNTIF(INDIRECT("'盛付札（関数）'!FJ"&amp;W9+1),"*雙葉*"),"●",
"〇")</f>
        <v>〇</v>
      </c>
      <c r="Y10" s="47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>0</v>
      </c>
      <c r="Z10" s="41"/>
      <c r="AA10" s="41"/>
      <c r="AB10" s="48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39"/>
      <c r="AD10" s="22"/>
      <c r="AE10" s="31"/>
      <c r="AF10" s="33" t="str">
        <f ca="1">IF(COUNTIF(INDIRECT("'盛付札（関数）'!FJ"&amp;AE9+1),"*雙葉*"),"●",
"〇")</f>
        <v>〇</v>
      </c>
      <c r="AG10" s="47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>0</v>
      </c>
      <c r="AH10" s="41"/>
      <c r="AI10" s="41"/>
      <c r="AJ10" s="48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39"/>
      <c r="AL10" s="49"/>
      <c r="AM10" s="33" t="str">
        <f ca="1">IF(COUNTIF(INDIRECT("'盛付札（関数）'!FJ"&amp;AL9+1),"*雙葉*"),"●",
"〇")</f>
        <v>〇</v>
      </c>
      <c r="AN10" s="47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>0</v>
      </c>
      <c r="AO10" s="41"/>
      <c r="AP10" s="41"/>
      <c r="AQ10" s="48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39"/>
      <c r="AS10" s="22"/>
      <c r="AT10" s="31"/>
      <c r="AU10" s="33" t="str">
        <f ca="1">IF(COUNTIF(INDIRECT("'盛付札（関数）'!FJ"&amp;AT9+1),"*雙葉*"),"●",
"〇")</f>
        <v>〇</v>
      </c>
      <c r="AV10" s="47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>0</v>
      </c>
      <c r="AW10" s="41"/>
      <c r="AX10" s="41"/>
      <c r="AY10" s="48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39"/>
      <c r="BA10" s="49"/>
      <c r="BB10" s="33" t="str">
        <f ca="1">IF(COUNTIF(INDIRECT("'盛付札（関数）'!FJ"&amp;BA9+1),"*雙葉*"),"●",
"〇")</f>
        <v>〇</v>
      </c>
      <c r="BC10" s="47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>0</v>
      </c>
      <c r="BD10" s="41"/>
      <c r="BE10" s="41"/>
      <c r="BF10" s="48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39"/>
      <c r="BH10" s="22"/>
      <c r="BI10" s="31"/>
      <c r="BJ10" s="33" t="str">
        <f ca="1">IF(COUNTIF(INDIRECT("'盛付札（関数）'!FJ"&amp;BI9+1),"*雙葉*"),"●",
"〇")</f>
        <v>〇</v>
      </c>
      <c r="BK10" s="47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>0</v>
      </c>
      <c r="BL10" s="41"/>
      <c r="BM10" s="41"/>
      <c r="BN10" s="48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39"/>
      <c r="BP10" s="49"/>
      <c r="BQ10" s="33" t="str">
        <f ca="1">IF(COUNTIF(INDIRECT("'盛付札（関数）'!FJ"&amp;BP9+1),"*雙葉*"),"●",
"〇")</f>
        <v>〇</v>
      </c>
      <c r="BR10" s="47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>0</v>
      </c>
      <c r="BS10" s="41"/>
      <c r="BT10" s="41"/>
      <c r="BU10" s="48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39"/>
      <c r="BW10" s="22"/>
      <c r="BX10" s="31"/>
      <c r="BY10" s="33" t="str">
        <f ca="1">IF(COUNTIF(INDIRECT("'盛付札（関数）'!FJ"&amp;BX9+1),"*雙葉*"),"●",
"〇")</f>
        <v>〇</v>
      </c>
      <c r="BZ10" s="47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>0</v>
      </c>
      <c r="CA10" s="41"/>
      <c r="CB10" s="41"/>
      <c r="CC10" s="48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39"/>
      <c r="CE10" s="49"/>
      <c r="CF10" s="33" t="str">
        <f ca="1">IF(COUNTIF(INDIRECT("'盛付札（関数）'!FJ"&amp;CE9+1),"*雙葉*"),"●",
"〇")</f>
        <v>〇</v>
      </c>
      <c r="CG10" s="47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>0</v>
      </c>
      <c r="CH10" s="41"/>
      <c r="CI10" s="41"/>
      <c r="CJ10" s="48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39"/>
      <c r="CL10" s="22"/>
      <c r="CM10" s="31"/>
      <c r="CN10" s="33" t="str">
        <f ca="1">IF(COUNTIF(INDIRECT("'盛付札（関数）'!FJ"&amp;CM9+1),"*雙葉*"),"●",
"〇")</f>
        <v>〇</v>
      </c>
      <c r="CO10" s="47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>0</v>
      </c>
      <c r="CP10" s="41"/>
      <c r="CQ10" s="41"/>
      <c r="CR10" s="48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39"/>
      <c r="CT10" s="49"/>
      <c r="CU10" s="33" t="str">
        <f ca="1">IF(COUNTIF(INDIRECT("'盛付札（関数）'!FJ"&amp;CT9+1),"*雙葉*"),"●",
"〇")</f>
        <v>〇</v>
      </c>
      <c r="CV10" s="47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>0</v>
      </c>
      <c r="CW10" s="41"/>
      <c r="CX10" s="41"/>
      <c r="CY10" s="48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16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17"/>
      <c r="E11" s="22"/>
      <c r="F11" s="32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40"/>
      <c r="H11" s="36"/>
      <c r="I11" s="34"/>
      <c r="J11" s="216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17"/>
      <c r="L11" s="22"/>
      <c r="M11" s="32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40"/>
      <c r="O11" s="22"/>
      <c r="P11" s="31"/>
      <c r="Q11" s="34"/>
      <c r="R11" s="216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17"/>
      <c r="T11" s="22"/>
      <c r="U11" s="32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40"/>
      <c r="W11" s="36"/>
      <c r="X11" s="34"/>
      <c r="Y11" s="216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17"/>
      <c r="AA11" s="22"/>
      <c r="AB11" s="32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40"/>
      <c r="AD11" s="22"/>
      <c r="AE11" s="31"/>
      <c r="AF11" s="34"/>
      <c r="AG11" s="216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17"/>
      <c r="AI11" s="22"/>
      <c r="AJ11" s="32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40"/>
      <c r="AL11" s="36"/>
      <c r="AM11" s="34"/>
      <c r="AN11" s="216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17"/>
      <c r="AP11" s="22"/>
      <c r="AQ11" s="32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40"/>
      <c r="AS11" s="22"/>
      <c r="AT11" s="31"/>
      <c r="AU11" s="34"/>
      <c r="AV11" s="216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17"/>
      <c r="AX11" s="22"/>
      <c r="AY11" s="32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40"/>
      <c r="BA11" s="36"/>
      <c r="BB11" s="34"/>
      <c r="BC11" s="216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17"/>
      <c r="BE11" s="22"/>
      <c r="BF11" s="32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40"/>
      <c r="BH11" s="22"/>
      <c r="BI11" s="31"/>
      <c r="BJ11" s="34"/>
      <c r="BK11" s="216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17"/>
      <c r="BM11" s="22"/>
      <c r="BN11" s="32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40"/>
      <c r="BP11" s="36"/>
      <c r="BQ11" s="34"/>
      <c r="BR11" s="216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17"/>
      <c r="BT11" s="22"/>
      <c r="BU11" s="32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40"/>
      <c r="BW11" s="22"/>
      <c r="BX11" s="31"/>
      <c r="BY11" s="34"/>
      <c r="BZ11" s="216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17"/>
      <c r="CB11" s="22"/>
      <c r="CC11" s="32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40"/>
      <c r="CE11" s="36"/>
      <c r="CF11" s="34"/>
      <c r="CG11" s="216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17"/>
      <c r="CI11" s="22"/>
      <c r="CJ11" s="32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40"/>
      <c r="CL11" s="22"/>
      <c r="CM11" s="31"/>
      <c r="CN11" s="34"/>
      <c r="CO11" s="216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17"/>
      <c r="CQ11" s="22"/>
      <c r="CR11" s="32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40"/>
      <c r="CT11" s="36"/>
      <c r="CU11" s="34"/>
      <c r="CV11" s="216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17"/>
      <c r="CX11" s="22"/>
      <c r="CY11" s="32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40"/>
      <c r="DA11" s="22"/>
      <c r="DB11" s="31"/>
      <c r="DC11" s="34"/>
      <c r="DD11" s="216"/>
      <c r="DE11" s="217"/>
      <c r="DF11" s="22"/>
      <c r="DH11" s="40"/>
      <c r="DI11" s="36"/>
      <c r="DJ11" s="34"/>
      <c r="DK11" s="216"/>
      <c r="DL11" s="217"/>
      <c r="DM11" s="22"/>
      <c r="DO11" s="40"/>
      <c r="DP11" s="22"/>
      <c r="DQ11" s="31"/>
      <c r="DR11" s="34"/>
      <c r="DS11" s="216"/>
      <c r="DT11" s="217"/>
      <c r="DU11" s="22"/>
      <c r="DW11" s="40"/>
      <c r="DX11" s="36"/>
      <c r="DY11" s="34"/>
      <c r="DZ11" s="216"/>
      <c r="EA11" s="217"/>
      <c r="EB11" s="22"/>
      <c r="ED11" s="40"/>
      <c r="EE11" s="22"/>
      <c r="EF11" s="31"/>
      <c r="EG11" s="34"/>
      <c r="EH11" s="216"/>
      <c r="EI11" s="217"/>
      <c r="EJ11" s="22"/>
      <c r="EL11" s="40"/>
      <c r="EM11" s="36"/>
      <c r="EN11" s="34"/>
      <c r="EO11" s="216"/>
      <c r="EP11" s="217"/>
      <c r="EQ11" s="22"/>
      <c r="ES11" s="40"/>
      <c r="ET11" s="22"/>
    </row>
    <row r="12" spans="1:150" ht="15.6" customHeight="1">
      <c r="B12" s="25"/>
      <c r="C12" s="222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0</v>
      </c>
      <c r="D12" s="223"/>
      <c r="E12" s="50"/>
      <c r="F12" s="225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26"/>
      <c r="H12" s="26"/>
      <c r="I12" s="25"/>
      <c r="J12" s="222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0</v>
      </c>
      <c r="K12" s="223"/>
      <c r="L12" s="50"/>
      <c r="M12" s="225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26"/>
      <c r="Q12" s="25"/>
      <c r="R12" s="222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>0</v>
      </c>
      <c r="S12" s="223"/>
      <c r="T12" s="50"/>
      <c r="U12" s="225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26"/>
      <c r="W12" s="26"/>
      <c r="X12" s="25"/>
      <c r="Y12" s="222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>0</v>
      </c>
      <c r="Z12" s="223"/>
      <c r="AA12" s="50"/>
      <c r="AB12" s="225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26"/>
      <c r="AF12" s="25"/>
      <c r="AG12" s="222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>0</v>
      </c>
      <c r="AH12" s="223"/>
      <c r="AI12" s="50"/>
      <c r="AJ12" s="225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26"/>
      <c r="AL12" s="26"/>
      <c r="AM12" s="25"/>
      <c r="AN12" s="222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>0</v>
      </c>
      <c r="AO12" s="223"/>
      <c r="AP12" s="50"/>
      <c r="AQ12" s="225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26"/>
      <c r="AU12" s="25"/>
      <c r="AV12" s="222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>0</v>
      </c>
      <c r="AW12" s="223"/>
      <c r="AX12" s="50"/>
      <c r="AY12" s="225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26"/>
      <c r="BA12" s="26"/>
      <c r="BB12" s="25"/>
      <c r="BC12" s="222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>0</v>
      </c>
      <c r="BD12" s="223"/>
      <c r="BE12" s="50"/>
      <c r="BF12" s="225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26"/>
      <c r="BJ12" s="25"/>
      <c r="BK12" s="222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>0</v>
      </c>
      <c r="BL12" s="223"/>
      <c r="BM12" s="50"/>
      <c r="BN12" s="225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26"/>
      <c r="BP12" s="26"/>
      <c r="BQ12" s="25"/>
      <c r="BR12" s="222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>0</v>
      </c>
      <c r="BS12" s="223"/>
      <c r="BT12" s="50"/>
      <c r="BU12" s="225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26"/>
      <c r="BY12" s="25"/>
      <c r="BZ12" s="222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>0</v>
      </c>
      <c r="CA12" s="223"/>
      <c r="CB12" s="50"/>
      <c r="CC12" s="225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26"/>
      <c r="CE12" s="26"/>
      <c r="CF12" s="25"/>
      <c r="CG12" s="222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>0</v>
      </c>
      <c r="CH12" s="223"/>
      <c r="CI12" s="50"/>
      <c r="CJ12" s="225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26"/>
      <c r="CN12" s="25"/>
      <c r="CO12" s="222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>0</v>
      </c>
      <c r="CP12" s="223"/>
      <c r="CQ12" s="50"/>
      <c r="CR12" s="225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26"/>
      <c r="CT12" s="26"/>
      <c r="CU12" s="25"/>
      <c r="CV12" s="222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>0</v>
      </c>
      <c r="CW12" s="223"/>
      <c r="CX12" s="50"/>
      <c r="CY12" s="225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26"/>
      <c r="DC12" s="25"/>
      <c r="DD12" s="222"/>
      <c r="DE12" s="223"/>
      <c r="DF12" s="50"/>
      <c r="DG12" s="225"/>
      <c r="DH12" s="226"/>
      <c r="DI12" s="26"/>
      <c r="DJ12" s="25"/>
      <c r="DK12" s="222"/>
      <c r="DL12" s="223"/>
      <c r="DM12" s="50"/>
      <c r="DN12" s="225"/>
      <c r="DO12" s="226"/>
      <c r="DR12" s="25"/>
      <c r="DS12" s="222"/>
      <c r="DT12" s="223"/>
      <c r="DU12" s="50"/>
      <c r="DV12" s="225"/>
      <c r="DW12" s="226"/>
      <c r="DX12" s="26"/>
      <c r="DY12" s="25"/>
      <c r="DZ12" s="222"/>
      <c r="EA12" s="223"/>
      <c r="EB12" s="50"/>
      <c r="EC12" s="225"/>
      <c r="ED12" s="226"/>
      <c r="EG12" s="25"/>
      <c r="EH12" s="222"/>
      <c r="EI12" s="223"/>
      <c r="EJ12" s="50"/>
      <c r="EK12" s="225"/>
      <c r="EL12" s="226"/>
      <c r="EM12" s="26"/>
      <c r="EN12" s="25"/>
      <c r="EO12" s="222"/>
      <c r="EP12" s="223"/>
      <c r="EQ12" s="50"/>
      <c r="ER12" s="225"/>
      <c r="ES12" s="226"/>
    </row>
    <row r="13" spans="1:150" ht="15.6" customHeight="1">
      <c r="B13" s="27"/>
      <c r="C13" s="224"/>
      <c r="D13" s="224"/>
      <c r="E13" s="44"/>
      <c r="F13" s="224"/>
      <c r="G13" s="221"/>
      <c r="H13" s="26"/>
      <c r="I13" s="27"/>
      <c r="J13" s="224"/>
      <c r="K13" s="224"/>
      <c r="L13" s="44"/>
      <c r="M13" s="224"/>
      <c r="N13" s="221"/>
      <c r="Q13" s="27"/>
      <c r="R13" s="224"/>
      <c r="S13" s="224"/>
      <c r="T13" s="44"/>
      <c r="U13" s="224"/>
      <c r="V13" s="221"/>
      <c r="W13" s="26"/>
      <c r="X13" s="27"/>
      <c r="Y13" s="224"/>
      <c r="Z13" s="224"/>
      <c r="AA13" s="44"/>
      <c r="AB13" s="224"/>
      <c r="AC13" s="221"/>
      <c r="AF13" s="27"/>
      <c r="AG13" s="224"/>
      <c r="AH13" s="224"/>
      <c r="AI13" s="44"/>
      <c r="AJ13" s="224"/>
      <c r="AK13" s="221"/>
      <c r="AL13" s="26"/>
      <c r="AM13" s="27"/>
      <c r="AN13" s="224"/>
      <c r="AO13" s="224"/>
      <c r="AP13" s="44"/>
      <c r="AQ13" s="224"/>
      <c r="AR13" s="221"/>
      <c r="AU13" s="27"/>
      <c r="AV13" s="224"/>
      <c r="AW13" s="224"/>
      <c r="AX13" s="44"/>
      <c r="AY13" s="224"/>
      <c r="AZ13" s="221"/>
      <c r="BA13" s="26"/>
      <c r="BB13" s="27"/>
      <c r="BC13" s="224"/>
      <c r="BD13" s="224"/>
      <c r="BE13" s="44"/>
      <c r="BF13" s="224"/>
      <c r="BG13" s="221"/>
      <c r="BJ13" s="27"/>
      <c r="BK13" s="224"/>
      <c r="BL13" s="224"/>
      <c r="BM13" s="44"/>
      <c r="BN13" s="224"/>
      <c r="BO13" s="221"/>
      <c r="BP13" s="26"/>
      <c r="BQ13" s="27"/>
      <c r="BR13" s="224"/>
      <c r="BS13" s="224"/>
      <c r="BT13" s="44"/>
      <c r="BU13" s="224"/>
      <c r="BV13" s="221"/>
      <c r="BY13" s="27"/>
      <c r="BZ13" s="224"/>
      <c r="CA13" s="224"/>
      <c r="CB13" s="44"/>
      <c r="CC13" s="224"/>
      <c r="CD13" s="221"/>
      <c r="CE13" s="26"/>
      <c r="CF13" s="27"/>
      <c r="CG13" s="224"/>
      <c r="CH13" s="224"/>
      <c r="CI13" s="44"/>
      <c r="CJ13" s="224"/>
      <c r="CK13" s="221"/>
      <c r="CN13" s="27"/>
      <c r="CO13" s="224"/>
      <c r="CP13" s="224"/>
      <c r="CQ13" s="44"/>
      <c r="CR13" s="224"/>
      <c r="CS13" s="221"/>
      <c r="CT13" s="26"/>
      <c r="CU13" s="27"/>
      <c r="CV13" s="224"/>
      <c r="CW13" s="224"/>
      <c r="CX13" s="44"/>
      <c r="CY13" s="224"/>
      <c r="CZ13" s="221"/>
      <c r="DC13" s="27"/>
      <c r="DD13" s="224"/>
      <c r="DE13" s="224"/>
      <c r="DF13" s="44"/>
      <c r="DG13" s="224"/>
      <c r="DH13" s="221"/>
      <c r="DI13" s="26"/>
      <c r="DJ13" s="27"/>
      <c r="DK13" s="224"/>
      <c r="DL13" s="224"/>
      <c r="DM13" s="44"/>
      <c r="DN13" s="224"/>
      <c r="DO13" s="221"/>
      <c r="DR13" s="27"/>
      <c r="DS13" s="224"/>
      <c r="DT13" s="224"/>
      <c r="DU13" s="44"/>
      <c r="DV13" s="224"/>
      <c r="DW13" s="221"/>
      <c r="DX13" s="26"/>
      <c r="DY13" s="27"/>
      <c r="DZ13" s="224"/>
      <c r="EA13" s="224"/>
      <c r="EB13" s="44"/>
      <c r="EC13" s="224"/>
      <c r="ED13" s="221"/>
      <c r="EG13" s="27"/>
      <c r="EH13" s="224"/>
      <c r="EI13" s="224"/>
      <c r="EJ13" s="44"/>
      <c r="EK13" s="224"/>
      <c r="EL13" s="221"/>
      <c r="EM13" s="26"/>
      <c r="EN13" s="27"/>
      <c r="EO13" s="224"/>
      <c r="EP13" s="224"/>
      <c r="EQ13" s="44"/>
      <c r="ER13" s="224"/>
      <c r="ES13" s="221"/>
    </row>
    <row r="14" spans="1:150" s="32" customFormat="1">
      <c r="A14" s="31"/>
      <c r="B14" s="37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35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37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35"/>
      <c r="F14" s="37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40"/>
      <c r="H14" s="22"/>
      <c r="I14" s="37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35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37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35"/>
      <c r="M14" s="37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40"/>
      <c r="O14" s="22"/>
      <c r="P14" s="31"/>
      <c r="Q14" s="37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35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37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35"/>
      <c r="U14" s="37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40"/>
      <c r="W14" s="22"/>
      <c r="X14" s="37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35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37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35"/>
      <c r="AB14" s="37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40"/>
      <c r="AD14" s="22"/>
      <c r="AE14" s="31"/>
      <c r="AF14" s="37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35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37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35"/>
      <c r="AJ14" s="37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40"/>
      <c r="AL14" s="22"/>
      <c r="AM14" s="37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35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37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35"/>
      <c r="AQ14" s="37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40"/>
      <c r="AS14" s="22"/>
      <c r="AT14" s="31"/>
      <c r="AU14" s="37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35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37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35"/>
      <c r="AY14" s="37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40"/>
      <c r="BA14" s="22"/>
      <c r="BB14" s="37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35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37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35"/>
      <c r="BF14" s="37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40"/>
      <c r="BH14" s="22"/>
      <c r="BI14" s="31"/>
      <c r="BJ14" s="37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35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37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35"/>
      <c r="BN14" s="37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40"/>
      <c r="BP14" s="22"/>
      <c r="BQ14" s="37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35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37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35"/>
      <c r="BU14" s="37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40"/>
      <c r="BW14" s="22"/>
      <c r="BX14" s="31"/>
      <c r="BY14" s="37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35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37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35"/>
      <c r="CC14" s="37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40"/>
      <c r="CE14" s="22"/>
      <c r="CF14" s="37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35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37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35"/>
      <c r="CJ14" s="37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40"/>
      <c r="CL14" s="22"/>
      <c r="CM14" s="31"/>
      <c r="CN14" s="37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35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37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35"/>
      <c r="CR14" s="37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40"/>
      <c r="CT14" s="22"/>
      <c r="CU14" s="37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35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37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35"/>
      <c r="CY14" s="37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27" t="str">
        <f ca="1">IF(C12&lt;&gt;"",
IFERROR(INT(C12/C14),""),"")</f>
        <v/>
      </c>
      <c r="C15" s="221"/>
      <c r="D15" s="227" t="str">
        <f ca="1">IFERROR(MOD(C12,C14),"")</f>
        <v/>
      </c>
      <c r="E15" s="221"/>
      <c r="F15" s="220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21"/>
      <c r="I15" s="227" t="str">
        <f ca="1">IF(J12&lt;&gt;"",
IFERROR(INT(J12/J14),""),"")</f>
        <v/>
      </c>
      <c r="J15" s="221"/>
      <c r="K15" s="227" t="str">
        <f ca="1">IFERROR(MOD(J12,J14),"")</f>
        <v/>
      </c>
      <c r="L15" s="221"/>
      <c r="M15" s="220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21"/>
      <c r="Q15" s="227" t="str">
        <f ca="1">IF(R12&lt;&gt;"",
IFERROR(INT(R12/R14),""),"")</f>
        <v/>
      </c>
      <c r="R15" s="221"/>
      <c r="S15" s="227" t="str">
        <f ca="1">IFERROR(MOD(R12,R14),"")</f>
        <v/>
      </c>
      <c r="T15" s="221"/>
      <c r="U15" s="220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21"/>
      <c r="X15" s="227" t="str">
        <f ca="1">IF(Y12&lt;&gt;"",
IFERROR(INT(Y12/Y14),""),"")</f>
        <v/>
      </c>
      <c r="Y15" s="221"/>
      <c r="Z15" s="227" t="str">
        <f ca="1">IFERROR(MOD(Y12,Y14),"")</f>
        <v/>
      </c>
      <c r="AA15" s="221"/>
      <c r="AB15" s="220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21"/>
      <c r="AF15" s="227" t="str">
        <f ca="1">IF(AG12&lt;&gt;"",
IFERROR(INT(AG12/AG14),""),"")</f>
        <v/>
      </c>
      <c r="AG15" s="221"/>
      <c r="AH15" s="227" t="str">
        <f ca="1">IFERROR(MOD(AG12,AG14),"")</f>
        <v/>
      </c>
      <c r="AI15" s="221"/>
      <c r="AJ15" s="220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21"/>
      <c r="AM15" s="227" t="str">
        <f ca="1">IF(AN12&lt;&gt;"",
IFERROR(INT(AN12/AN14),""),"")</f>
        <v/>
      </c>
      <c r="AN15" s="221"/>
      <c r="AO15" s="227" t="str">
        <f ca="1">IFERROR(MOD(AN12,AN14),"")</f>
        <v/>
      </c>
      <c r="AP15" s="221"/>
      <c r="AQ15" s="220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21"/>
      <c r="AU15" s="227" t="str">
        <f ca="1">IF(AV12&lt;&gt;"",
IFERROR(INT(AV12/AV14),""),"")</f>
        <v/>
      </c>
      <c r="AV15" s="221"/>
      <c r="AW15" s="227" t="str">
        <f ca="1">IFERROR(MOD(AV12,AV14),"")</f>
        <v/>
      </c>
      <c r="AX15" s="221"/>
      <c r="AY15" s="220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21"/>
      <c r="BB15" s="227" t="str">
        <f ca="1">IF(BC12&lt;&gt;"",
IFERROR(INT(BC12/BC14),""),"")</f>
        <v/>
      </c>
      <c r="BC15" s="221"/>
      <c r="BD15" s="227" t="str">
        <f ca="1">IFERROR(MOD(BC12,BC14),"")</f>
        <v/>
      </c>
      <c r="BE15" s="221"/>
      <c r="BF15" s="220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21"/>
      <c r="BJ15" s="227" t="str">
        <f ca="1">IF(BK12&lt;&gt;"",
IFERROR(INT(BK12/BK14),""),"")</f>
        <v/>
      </c>
      <c r="BK15" s="221"/>
      <c r="BL15" s="227" t="str">
        <f ca="1">IFERROR(MOD(BK12,BK14),"")</f>
        <v/>
      </c>
      <c r="BM15" s="221"/>
      <c r="BN15" s="220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21"/>
      <c r="BQ15" s="227" t="str">
        <f ca="1">IF(BR12&lt;&gt;"",
IFERROR(INT(BR12/BR14),""),"")</f>
        <v/>
      </c>
      <c r="BR15" s="221"/>
      <c r="BS15" s="227" t="str">
        <f ca="1">IFERROR(MOD(BR12,BR14),"")</f>
        <v/>
      </c>
      <c r="BT15" s="221"/>
      <c r="BU15" s="220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21"/>
      <c r="BY15" s="227" t="str">
        <f ca="1">IF(BZ12&lt;&gt;"",
IFERROR(INT(BZ12/BZ14),""),"")</f>
        <v/>
      </c>
      <c r="BZ15" s="221"/>
      <c r="CA15" s="227" t="str">
        <f ca="1">IFERROR(MOD(BZ12,BZ14),"")</f>
        <v/>
      </c>
      <c r="CB15" s="221"/>
      <c r="CC15" s="220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21"/>
      <c r="CF15" s="227" t="str">
        <f ca="1">IF(CG12&lt;&gt;"",
IFERROR(INT(CG12/CG14),""),"")</f>
        <v/>
      </c>
      <c r="CG15" s="221"/>
      <c r="CH15" s="227" t="str">
        <f ca="1">IFERROR(MOD(CG12,CG14),"")</f>
        <v/>
      </c>
      <c r="CI15" s="221"/>
      <c r="CJ15" s="220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21"/>
      <c r="CN15" s="227" t="str">
        <f ca="1">IF(CO12&lt;&gt;"",
IFERROR(INT(CO12/CO14),""),"")</f>
        <v/>
      </c>
      <c r="CO15" s="221"/>
      <c r="CP15" s="227" t="str">
        <f ca="1">IFERROR(MOD(CO12,CO14),"")</f>
        <v/>
      </c>
      <c r="CQ15" s="221"/>
      <c r="CR15" s="220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21"/>
      <c r="CU15" s="227" t="str">
        <f ca="1">IF(CV12&lt;&gt;"",
IFERROR(INT(CV12/CV14),""),"")</f>
        <v/>
      </c>
      <c r="CV15" s="221"/>
      <c r="CW15" s="227" t="str">
        <f ca="1">IFERROR(MOD(CV12,CV14),"")</f>
        <v/>
      </c>
      <c r="CX15" s="221"/>
      <c r="CY15" s="220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21"/>
      <c r="DC15" s="227"/>
      <c r="DD15" s="221"/>
      <c r="DE15" s="227"/>
      <c r="DF15" s="221"/>
      <c r="DG15" s="220"/>
      <c r="DH15" s="221"/>
      <c r="DJ15" s="227"/>
      <c r="DK15" s="221"/>
      <c r="DL15" s="227"/>
      <c r="DM15" s="221"/>
      <c r="DN15" s="220"/>
      <c r="DO15" s="221"/>
      <c r="DR15" s="227"/>
      <c r="DS15" s="221"/>
      <c r="DT15" s="227"/>
      <c r="DU15" s="221"/>
      <c r="DV15" s="220"/>
      <c r="DW15" s="221"/>
      <c r="DY15" s="227"/>
      <c r="DZ15" s="221"/>
      <c r="EA15" s="227"/>
      <c r="EB15" s="221"/>
      <c r="EC15" s="220"/>
      <c r="ED15" s="221"/>
      <c r="EG15" s="227"/>
      <c r="EH15" s="221"/>
      <c r="EI15" s="227"/>
      <c r="EJ15" s="221"/>
      <c r="EK15" s="220"/>
      <c r="EL15" s="221"/>
      <c r="EN15" s="227"/>
      <c r="EO15" s="221"/>
      <c r="EP15" s="227"/>
      <c r="EQ15" s="221"/>
      <c r="ER15" s="220"/>
      <c r="ES15" s="221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 ca="1">IF(OR(I10="●",I10="△"),
H9+2,H9+1)</f>
        <v>5</v>
      </c>
      <c r="B17" s="43" t="str">
        <f ca="1">IF(C17&lt;&gt;"",
MID(貼り付け用!$A$2, FIND("年",貼り付け用!$A$2)+1,2)&amp;"/"&amp;MID(貼り付け用!$A$2, FIND("月",貼り付け用!$A$2)+1,2),"")</f>
        <v/>
      </c>
      <c r="C17" s="218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/>
      </c>
      <c r="D17" s="219"/>
      <c r="E17" s="219"/>
      <c r="F17" s="219"/>
      <c r="G17" s="42" t="str">
        <f t="array" aca="1" ref="G17" ca="1">IF(C17&lt;&gt;"",
IF(AND(INDIRECT("'盛付札（関数）'!FI"&amp;A17)&gt;=124,INDIRECT("'盛付札（関数）'!FI"&amp;A17)&lt;=144),"",
"様"),"")</f>
        <v/>
      </c>
      <c r="H17" s="36">
        <f ca="1">IF(OR(B18="●",B18="△"),
A17+2,A17+1)</f>
        <v>6</v>
      </c>
      <c r="I17" s="43" t="str">
        <f ca="1">IF(J17&lt;&gt;"",
MID(貼り付け用!$A$2, FIND("年",貼り付け用!$A$2)+1,2)&amp;"/"&amp;MID(貼り付け用!$A$2, FIND("月",貼り付け用!$A$2)+1,2),"")</f>
        <v/>
      </c>
      <c r="J17" s="218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/>
      </c>
      <c r="K17" s="219"/>
      <c r="L17" s="219"/>
      <c r="M17" s="219"/>
      <c r="N17" s="42" t="str">
        <f t="array" aca="1" ref="N17" ca="1">IF(J17&lt;&gt;"",
IF(AND(INDIRECT("'盛付札（関数）'!FI"&amp;H17)&gt;=124,INDIRECT("'盛付札（関数）'!FI"&amp;H17)&lt;=144),"",
"様"),"")</f>
        <v/>
      </c>
      <c r="O17" s="22"/>
      <c r="P17" s="31">
        <f ca="1">IF(OR(X10="●",X10="△"),
W9+2,W9+1)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18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19"/>
      <c r="T17" s="219"/>
      <c r="U17" s="219"/>
      <c r="V17" s="42" t="str">
        <f t="array" aca="1" ref="V17" ca="1">IF(R17&lt;&gt;"",
IF(AND(INDIRECT("'盛付札（関数）'!FI"&amp;P17)&gt;=124,INDIRECT("'盛付札（関数）'!FI"&amp;P17)&lt;=144),"",
"様"),"")</f>
        <v/>
      </c>
      <c r="W17" s="36">
        <f ca="1">IF(OR(Q18="●",Q18="△"),
P17+2,P17+1)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18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19"/>
      <c r="AA17" s="219"/>
      <c r="AB17" s="219"/>
      <c r="AC17" s="42" t="str">
        <f t="array" aca="1" ref="AC17" ca="1">IF(Y17&lt;&gt;"",
IF(AND(INDIRECT("'盛付札（関数）'!FI"&amp;W17)&gt;=124,INDIRECT("'盛付札（関数）'!FI"&amp;W17)&lt;=144),"",
"様"),"")</f>
        <v/>
      </c>
      <c r="AD17" s="22"/>
      <c r="AE17" s="31">
        <f ca="1">IF(OR(AM10="●",AM10="△"),
AL9+2,AL9+1)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18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19"/>
      <c r="AI17" s="219"/>
      <c r="AJ17" s="219"/>
      <c r="AK17" s="42" t="str">
        <f t="array" aca="1" ref="AK17" ca="1">IF(AG17&lt;&gt;"",
IF(AND(INDIRECT("'盛付札（関数）'!FI"&amp;AE17)&gt;=124,INDIRECT("'盛付札（関数）'!FI"&amp;AE17)&lt;=144),"",
"様"),"")</f>
        <v/>
      </c>
      <c r="AL17" s="36">
        <f ca="1">IF(OR(AF18="●",AF18="△"),
AE17+2,AE17+1)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18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19"/>
      <c r="AP17" s="219"/>
      <c r="AQ17" s="219"/>
      <c r="AR17" s="42" t="str">
        <f t="array" aca="1" ref="AR17" ca="1">IF(AN17&lt;&gt;"",
IF(AND(INDIRECT("'盛付札（関数）'!FI"&amp;AL17)&gt;=124,INDIRECT("'盛付札（関数）'!FI"&amp;AL17)&lt;=144),"",
"様"),"")</f>
        <v/>
      </c>
      <c r="AS17" s="22"/>
      <c r="AT17" s="31">
        <f ca="1">IF(OR(BB10="●",BB10="△"),
BA9+2,BA9+1)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18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19"/>
      <c r="AX17" s="219"/>
      <c r="AY17" s="219"/>
      <c r="AZ17" s="42" t="str">
        <f t="array" aca="1" ref="AZ17" ca="1">IF(AV17&lt;&gt;"",
IF(AND(INDIRECT("'盛付札（関数）'!FI"&amp;AT17)&gt;=124,INDIRECT("'盛付札（関数）'!FI"&amp;AT17)&lt;=144),"",
"様"),"")</f>
        <v/>
      </c>
      <c r="BA17" s="36">
        <f ca="1">IF(OR(AU18="●",AU18="△"),
AT17+2,AT17+1)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18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19"/>
      <c r="BE17" s="219"/>
      <c r="BF17" s="219"/>
      <c r="BG17" s="42" t="str">
        <f t="array" aca="1" ref="BG17" ca="1">IF(BC17&lt;&gt;"",
IF(AND(INDIRECT("'盛付札（関数）'!FI"&amp;BA17)&gt;=124,INDIRECT("'盛付札（関数）'!FI"&amp;BA17)&lt;=144),"",
"様"),"")</f>
        <v/>
      </c>
      <c r="BH17" s="22"/>
      <c r="BI17" s="31">
        <f ca="1">IF(OR(BQ10="●",BQ10="△"),
BP9+2,BP9+1)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18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19"/>
      <c r="BM17" s="219"/>
      <c r="BN17" s="219"/>
      <c r="BO17" s="42" t="str">
        <f t="array" aca="1" ref="BO17" ca="1">IF(BK17&lt;&gt;"",
IF(AND(INDIRECT("'盛付札（関数）'!FI"&amp;BI17)&gt;=124,INDIRECT("'盛付札（関数）'!FI"&amp;BI17)&lt;=144),"",
"様"),"")</f>
        <v/>
      </c>
      <c r="BP17" s="36">
        <f ca="1">IF(OR(BJ18="●",BJ18="△"),
BI17+2,BI17+1)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18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19"/>
      <c r="BT17" s="219"/>
      <c r="BU17" s="219"/>
      <c r="BV17" s="42" t="str">
        <f t="array" aca="1" ref="BV17" ca="1">IF(BR17&lt;&gt;"",
IF(AND(INDIRECT("'盛付札（関数）'!FI"&amp;BP17)&gt;=124,INDIRECT("'盛付札（関数）'!FI"&amp;BP17)&lt;=144),"",
"様"),"")</f>
        <v/>
      </c>
      <c r="BW17" s="22"/>
      <c r="BX17" s="31">
        <f ca="1">IF(OR(CF10="●",CF10="△"),
CE9+2,CE9+1)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18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19"/>
      <c r="CB17" s="219"/>
      <c r="CC17" s="219"/>
      <c r="CD17" s="42" t="str">
        <f t="array" aca="1" ref="CD17" ca="1">IF(BZ17&lt;&gt;"",
IF(AND(INDIRECT("'盛付札（関数）'!FI"&amp;BX17)&gt;=124,INDIRECT("'盛付札（関数）'!FI"&amp;BX17)&lt;=144),"",
"様"),"")</f>
        <v/>
      </c>
      <c r="CE17" s="36">
        <f ca="1">IF(OR(BY18="●",BY18="△"),
BX17+2,BX17+1)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18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19"/>
      <c r="CI17" s="219"/>
      <c r="CJ17" s="219"/>
      <c r="CK17" s="42" t="str">
        <f t="array" aca="1" ref="CK17" ca="1">IF(CG17&lt;&gt;"",
IF(AND(INDIRECT("'盛付札（関数）'!FI"&amp;CE17)&gt;=124,INDIRECT("'盛付札（関数）'!FI"&amp;CE17)&lt;=144),"",
"様"),"")</f>
        <v/>
      </c>
      <c r="CL17" s="22"/>
      <c r="CM17" s="31">
        <f ca="1">IF(OR(CU10="●",CU10="△"),
CT9+2,CT9+1)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18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19"/>
      <c r="CQ17" s="219"/>
      <c r="CR17" s="219"/>
      <c r="CS17" s="42" t="str">
        <f t="array" aca="1" ref="CS17" ca="1">IF(CO17&lt;&gt;"",
IF(AND(INDIRECT("'盛付札（関数）'!FI"&amp;CM17)&gt;=124,INDIRECT("'盛付札（関数）'!FI"&amp;CM17)&lt;=144),"",
"様"),"")</f>
        <v/>
      </c>
      <c r="CT17" s="36">
        <f ca="1">IF(OR(CN18="●",CN18="△"),
CM17+2,CM17+1)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18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19"/>
      <c r="CX17" s="219"/>
      <c r="CY17" s="219"/>
      <c r="CZ17" s="42" t="str">
        <f t="array" aca="1" ref="CZ17" ca="1">IF(CV17&lt;&gt;"",
IF(AND(INDIRECT("'盛付札（関数）'!FI"&amp;CT17)&gt;=124,INDIRECT("'盛付札（関数）'!FI"&amp;CT17)&lt;=144),"",
"様"),"")</f>
        <v/>
      </c>
      <c r="DA17" s="22"/>
      <c r="DB17" s="31"/>
      <c r="DC17" s="43"/>
      <c r="DD17" s="218"/>
      <c r="DE17" s="219"/>
      <c r="DF17" s="219"/>
      <c r="DG17" s="219"/>
      <c r="DH17" s="42"/>
      <c r="DI17" s="36"/>
      <c r="DJ17" s="43"/>
      <c r="DK17" s="218"/>
      <c r="DL17" s="219"/>
      <c r="DM17" s="219"/>
      <c r="DN17" s="219"/>
      <c r="DO17" s="42"/>
      <c r="DP17" s="22"/>
      <c r="DQ17" s="31"/>
      <c r="DR17" s="43"/>
      <c r="DS17" s="218"/>
      <c r="DT17" s="219"/>
      <c r="DU17" s="219"/>
      <c r="DV17" s="219"/>
      <c r="DW17" s="42"/>
      <c r="DX17" s="36"/>
      <c r="DY17" s="43"/>
      <c r="DZ17" s="218"/>
      <c r="EA17" s="219"/>
      <c r="EB17" s="219"/>
      <c r="EC17" s="219"/>
      <c r="ED17" s="42"/>
      <c r="EE17" s="22"/>
      <c r="EF17" s="31"/>
      <c r="EG17" s="43"/>
      <c r="EH17" s="218"/>
      <c r="EI17" s="219"/>
      <c r="EJ17" s="219"/>
      <c r="EK17" s="219"/>
      <c r="EL17" s="42"/>
      <c r="EM17" s="36"/>
      <c r="EN17" s="43"/>
      <c r="EO17" s="218"/>
      <c r="EP17" s="219"/>
      <c r="EQ17" s="219"/>
      <c r="ER17" s="219"/>
      <c r="ES17" s="42"/>
      <c r="ET17" s="22"/>
    </row>
    <row r="18" spans="1:150" s="32" customFormat="1">
      <c r="A18" s="31"/>
      <c r="B18" s="33" t="str">
        <f ca="1">IF(COUNTIF(INDIRECT("'盛付札（関数）'!FJ"&amp;A17+1),"*雙葉*"),"●",
"〇")</f>
        <v>〇</v>
      </c>
      <c r="C18" s="47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>0</v>
      </c>
      <c r="D18" s="41"/>
      <c r="E18" s="41"/>
      <c r="F18" s="48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39"/>
      <c r="H18" s="49"/>
      <c r="I18" s="33" t="str">
        <f ca="1">IF(COUNTIF(INDIRECT("'盛付札（関数）'!FJ"&amp;H17+1),"*雙葉*"),"●",
"〇")</f>
        <v>〇</v>
      </c>
      <c r="J18" s="47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>0</v>
      </c>
      <c r="K18" s="41"/>
      <c r="L18" s="41"/>
      <c r="M18" s="48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39"/>
      <c r="O18" s="22"/>
      <c r="P18" s="31"/>
      <c r="Q18" s="33" t="str">
        <f ca="1">IF(COUNTIF(INDIRECT("'盛付札（関数）'!FJ"&amp;P17+1),"*雙葉*"),"●",
"〇")</f>
        <v>〇</v>
      </c>
      <c r="R18" s="47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>0</v>
      </c>
      <c r="S18" s="41"/>
      <c r="T18" s="41"/>
      <c r="U18" s="48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39"/>
      <c r="W18" s="49"/>
      <c r="X18" s="33" t="str">
        <f ca="1">IF(COUNTIF(INDIRECT("'盛付札（関数）'!FJ"&amp;W17+1),"*雙葉*"),"●",
"〇")</f>
        <v>〇</v>
      </c>
      <c r="Y18" s="47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>0</v>
      </c>
      <c r="Z18" s="41"/>
      <c r="AA18" s="41"/>
      <c r="AB18" s="48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39"/>
      <c r="AD18" s="22"/>
      <c r="AE18" s="31"/>
      <c r="AF18" s="33" t="str">
        <f ca="1">IF(COUNTIF(INDIRECT("'盛付札（関数）'!FJ"&amp;AE17+1),"*雙葉*"),"●",
"〇")</f>
        <v>〇</v>
      </c>
      <c r="AG18" s="47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>0</v>
      </c>
      <c r="AH18" s="41"/>
      <c r="AI18" s="41"/>
      <c r="AJ18" s="48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39"/>
      <c r="AL18" s="49"/>
      <c r="AM18" s="33" t="str">
        <f ca="1">IF(COUNTIF(INDIRECT("'盛付札（関数）'!FJ"&amp;AL17+1),"*雙葉*"),"●",
"〇")</f>
        <v>〇</v>
      </c>
      <c r="AN18" s="47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>0</v>
      </c>
      <c r="AO18" s="41"/>
      <c r="AP18" s="41"/>
      <c r="AQ18" s="48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39"/>
      <c r="AS18" s="22"/>
      <c r="AT18" s="31"/>
      <c r="AU18" s="33" t="str">
        <f ca="1">IF(COUNTIF(INDIRECT("'盛付札（関数）'!FJ"&amp;AT17+1),"*雙葉*"),"●",
"〇")</f>
        <v>〇</v>
      </c>
      <c r="AV18" s="47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>0</v>
      </c>
      <c r="AW18" s="41"/>
      <c r="AX18" s="41"/>
      <c r="AY18" s="48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39"/>
      <c r="BA18" s="49"/>
      <c r="BB18" s="33" t="str">
        <f ca="1">IF(COUNTIF(INDIRECT("'盛付札（関数）'!FJ"&amp;BA17+1),"*雙葉*"),"●",
"〇")</f>
        <v>〇</v>
      </c>
      <c r="BC18" s="47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>0</v>
      </c>
      <c r="BD18" s="41"/>
      <c r="BE18" s="41"/>
      <c r="BF18" s="48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39"/>
      <c r="BH18" s="22"/>
      <c r="BI18" s="31"/>
      <c r="BJ18" s="33" t="str">
        <f ca="1">IF(COUNTIF(INDIRECT("'盛付札（関数）'!FJ"&amp;BI17+1),"*雙葉*"),"●",
"〇")</f>
        <v>〇</v>
      </c>
      <c r="BK18" s="47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>0</v>
      </c>
      <c r="BL18" s="41"/>
      <c r="BM18" s="41"/>
      <c r="BN18" s="48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39"/>
      <c r="BP18" s="49"/>
      <c r="BQ18" s="33" t="str">
        <f ca="1">IF(COUNTIF(INDIRECT("'盛付札（関数）'!FJ"&amp;BP17+1),"*雙葉*"),"●",
"〇")</f>
        <v>〇</v>
      </c>
      <c r="BR18" s="47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>0</v>
      </c>
      <c r="BS18" s="41"/>
      <c r="BT18" s="41"/>
      <c r="BU18" s="48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39"/>
      <c r="BW18" s="22"/>
      <c r="BX18" s="31"/>
      <c r="BY18" s="33" t="str">
        <f ca="1">IF(COUNTIF(INDIRECT("'盛付札（関数）'!FJ"&amp;BX17+1),"*雙葉*"),"●",
"〇")</f>
        <v>〇</v>
      </c>
      <c r="BZ18" s="47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>0</v>
      </c>
      <c r="CA18" s="41"/>
      <c r="CB18" s="41"/>
      <c r="CC18" s="48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39"/>
      <c r="CE18" s="49"/>
      <c r="CF18" s="33" t="str">
        <f ca="1">IF(COUNTIF(INDIRECT("'盛付札（関数）'!FJ"&amp;CE17+1),"*雙葉*"),"●",
"〇")</f>
        <v>〇</v>
      </c>
      <c r="CG18" s="47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>0</v>
      </c>
      <c r="CH18" s="41"/>
      <c r="CI18" s="41"/>
      <c r="CJ18" s="48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39"/>
      <c r="CL18" s="22"/>
      <c r="CM18" s="31"/>
      <c r="CN18" s="33" t="str">
        <f ca="1">IF(COUNTIF(INDIRECT("'盛付札（関数）'!FJ"&amp;CM17+1),"*雙葉*"),"●",
"〇")</f>
        <v>〇</v>
      </c>
      <c r="CO18" s="47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>0</v>
      </c>
      <c r="CP18" s="41"/>
      <c r="CQ18" s="41"/>
      <c r="CR18" s="48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39"/>
      <c r="CT18" s="49"/>
      <c r="CU18" s="33" t="str">
        <f ca="1">IF(COUNTIF(INDIRECT("'盛付札（関数）'!FJ"&amp;CT17+1),"*雙葉*"),"●",
"〇")</f>
        <v>〇</v>
      </c>
      <c r="CV18" s="47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>0</v>
      </c>
      <c r="CW18" s="41"/>
      <c r="CX18" s="41"/>
      <c r="CY18" s="48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16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17"/>
      <c r="E19" s="22"/>
      <c r="F19" s="32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40"/>
      <c r="H19" s="36"/>
      <c r="I19" s="34"/>
      <c r="J19" s="216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17"/>
      <c r="L19" s="22"/>
      <c r="M19" s="32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40"/>
      <c r="O19" s="22"/>
      <c r="P19" s="31"/>
      <c r="Q19" s="34"/>
      <c r="R19" s="216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17"/>
      <c r="T19" s="22"/>
      <c r="U19" s="32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40"/>
      <c r="W19" s="36"/>
      <c r="X19" s="34"/>
      <c r="Y19" s="216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17"/>
      <c r="AA19" s="22"/>
      <c r="AB19" s="32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40"/>
      <c r="AD19" s="22"/>
      <c r="AE19" s="31"/>
      <c r="AF19" s="34"/>
      <c r="AG19" s="216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17"/>
      <c r="AI19" s="22"/>
      <c r="AJ19" s="32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40"/>
      <c r="AL19" s="36"/>
      <c r="AM19" s="34"/>
      <c r="AN19" s="216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17"/>
      <c r="AP19" s="22"/>
      <c r="AQ19" s="32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40"/>
      <c r="AS19" s="22"/>
      <c r="AT19" s="31"/>
      <c r="AU19" s="34"/>
      <c r="AV19" s="216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17"/>
      <c r="AX19" s="22"/>
      <c r="AY19" s="32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40"/>
      <c r="BA19" s="36"/>
      <c r="BB19" s="34"/>
      <c r="BC19" s="216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17"/>
      <c r="BE19" s="22"/>
      <c r="BF19" s="32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40"/>
      <c r="BH19" s="22"/>
      <c r="BI19" s="31"/>
      <c r="BJ19" s="34"/>
      <c r="BK19" s="216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17"/>
      <c r="BM19" s="22"/>
      <c r="BN19" s="32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40"/>
      <c r="BP19" s="36"/>
      <c r="BQ19" s="34"/>
      <c r="BR19" s="216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17"/>
      <c r="BT19" s="22"/>
      <c r="BU19" s="32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40"/>
      <c r="BW19" s="22"/>
      <c r="BX19" s="31"/>
      <c r="BY19" s="34"/>
      <c r="BZ19" s="216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17"/>
      <c r="CB19" s="22"/>
      <c r="CC19" s="32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40"/>
      <c r="CE19" s="36"/>
      <c r="CF19" s="34"/>
      <c r="CG19" s="216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17"/>
      <c r="CI19" s="22"/>
      <c r="CJ19" s="32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40"/>
      <c r="CL19" s="22"/>
      <c r="CM19" s="31"/>
      <c r="CN19" s="34"/>
      <c r="CO19" s="216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17"/>
      <c r="CQ19" s="22"/>
      <c r="CR19" s="32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40"/>
      <c r="CT19" s="36"/>
      <c r="CU19" s="34"/>
      <c r="CV19" s="216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17"/>
      <c r="CX19" s="22"/>
      <c r="CY19" s="32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40"/>
      <c r="DA19" s="22"/>
      <c r="DB19" s="31"/>
      <c r="DC19" s="34"/>
      <c r="DD19" s="216"/>
      <c r="DE19" s="217"/>
      <c r="DF19" s="22"/>
      <c r="DH19" s="40"/>
      <c r="DI19" s="36"/>
      <c r="DJ19" s="34"/>
      <c r="DK19" s="216"/>
      <c r="DL19" s="217"/>
      <c r="DM19" s="22"/>
      <c r="DO19" s="40"/>
      <c r="DP19" s="22"/>
      <c r="DQ19" s="31"/>
      <c r="DR19" s="34"/>
      <c r="DS19" s="216"/>
      <c r="DT19" s="217"/>
      <c r="DU19" s="22"/>
      <c r="DW19" s="40"/>
      <c r="DX19" s="36"/>
      <c r="DY19" s="34"/>
      <c r="DZ19" s="216"/>
      <c r="EA19" s="217"/>
      <c r="EB19" s="22"/>
      <c r="ED19" s="40"/>
      <c r="EE19" s="22"/>
      <c r="EF19" s="31"/>
      <c r="EG19" s="34"/>
      <c r="EH19" s="216"/>
      <c r="EI19" s="217"/>
      <c r="EJ19" s="22"/>
      <c r="EL19" s="40"/>
      <c r="EM19" s="36"/>
      <c r="EN19" s="34"/>
      <c r="EO19" s="216"/>
      <c r="EP19" s="217"/>
      <c r="EQ19" s="22"/>
      <c r="ES19" s="40"/>
      <c r="ET19" s="22"/>
    </row>
    <row r="20" spans="1:150" ht="15.6" customHeight="1">
      <c r="B20" s="25"/>
      <c r="C20" s="222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0</v>
      </c>
      <c r="D20" s="223"/>
      <c r="E20" s="50"/>
      <c r="F20" s="225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26"/>
      <c r="H20" s="26"/>
      <c r="I20" s="25"/>
      <c r="J20" s="222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>0</v>
      </c>
      <c r="K20" s="223"/>
      <c r="L20" s="50"/>
      <c r="M20" s="225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26"/>
      <c r="Q20" s="25"/>
      <c r="R20" s="222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>0</v>
      </c>
      <c r="S20" s="223"/>
      <c r="T20" s="50"/>
      <c r="U20" s="225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26"/>
      <c r="W20" s="26"/>
      <c r="X20" s="25"/>
      <c r="Y20" s="222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>0</v>
      </c>
      <c r="Z20" s="223"/>
      <c r="AA20" s="50"/>
      <c r="AB20" s="225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26"/>
      <c r="AF20" s="25"/>
      <c r="AG20" s="222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>0</v>
      </c>
      <c r="AH20" s="223"/>
      <c r="AI20" s="50"/>
      <c r="AJ20" s="225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26"/>
      <c r="AL20" s="26"/>
      <c r="AM20" s="25"/>
      <c r="AN20" s="222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>0</v>
      </c>
      <c r="AO20" s="223"/>
      <c r="AP20" s="50"/>
      <c r="AQ20" s="225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26"/>
      <c r="AU20" s="25"/>
      <c r="AV20" s="222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>0</v>
      </c>
      <c r="AW20" s="223"/>
      <c r="AX20" s="50"/>
      <c r="AY20" s="225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26"/>
      <c r="BA20" s="26"/>
      <c r="BB20" s="25"/>
      <c r="BC20" s="222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>0</v>
      </c>
      <c r="BD20" s="223"/>
      <c r="BE20" s="50"/>
      <c r="BF20" s="225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26"/>
      <c r="BJ20" s="25"/>
      <c r="BK20" s="222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>0</v>
      </c>
      <c r="BL20" s="223"/>
      <c r="BM20" s="50"/>
      <c r="BN20" s="225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26"/>
      <c r="BP20" s="26"/>
      <c r="BQ20" s="25"/>
      <c r="BR20" s="222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>0</v>
      </c>
      <c r="BS20" s="223"/>
      <c r="BT20" s="50"/>
      <c r="BU20" s="225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26"/>
      <c r="BY20" s="25"/>
      <c r="BZ20" s="222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>0</v>
      </c>
      <c r="CA20" s="223"/>
      <c r="CB20" s="50"/>
      <c r="CC20" s="225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26"/>
      <c r="CE20" s="26"/>
      <c r="CF20" s="25"/>
      <c r="CG20" s="222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>0</v>
      </c>
      <c r="CH20" s="223"/>
      <c r="CI20" s="50"/>
      <c r="CJ20" s="225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26"/>
      <c r="CN20" s="25"/>
      <c r="CO20" s="222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>0</v>
      </c>
      <c r="CP20" s="223"/>
      <c r="CQ20" s="50"/>
      <c r="CR20" s="225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26"/>
      <c r="CT20" s="26"/>
      <c r="CU20" s="25"/>
      <c r="CV20" s="222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>0</v>
      </c>
      <c r="CW20" s="223"/>
      <c r="CX20" s="50"/>
      <c r="CY20" s="225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26"/>
      <c r="DC20" s="25"/>
      <c r="DD20" s="222"/>
      <c r="DE20" s="223"/>
      <c r="DF20" s="50"/>
      <c r="DG20" s="225"/>
      <c r="DH20" s="226"/>
      <c r="DI20" s="26"/>
      <c r="DJ20" s="25"/>
      <c r="DK20" s="222"/>
      <c r="DL20" s="223"/>
      <c r="DM20" s="50"/>
      <c r="DN20" s="225"/>
      <c r="DO20" s="226"/>
      <c r="DR20" s="25"/>
      <c r="DS20" s="222"/>
      <c r="DT20" s="223"/>
      <c r="DU20" s="50"/>
      <c r="DV20" s="225"/>
      <c r="DW20" s="226"/>
      <c r="DX20" s="26"/>
      <c r="DY20" s="25"/>
      <c r="DZ20" s="222"/>
      <c r="EA20" s="223"/>
      <c r="EB20" s="50"/>
      <c r="EC20" s="225"/>
      <c r="ED20" s="226"/>
      <c r="EG20" s="25"/>
      <c r="EH20" s="222"/>
      <c r="EI20" s="223"/>
      <c r="EJ20" s="50"/>
      <c r="EK20" s="225"/>
      <c r="EL20" s="226"/>
      <c r="EM20" s="26"/>
      <c r="EN20" s="25"/>
      <c r="EO20" s="222"/>
      <c r="EP20" s="223"/>
      <c r="EQ20" s="50"/>
      <c r="ER20" s="225"/>
      <c r="ES20" s="226"/>
    </row>
    <row r="21" spans="1:150" ht="15.6" customHeight="1">
      <c r="B21" s="27"/>
      <c r="C21" s="224"/>
      <c r="D21" s="224"/>
      <c r="E21" s="44"/>
      <c r="F21" s="224"/>
      <c r="G21" s="221"/>
      <c r="H21" s="26"/>
      <c r="I21" s="27"/>
      <c r="J21" s="224"/>
      <c r="K21" s="224"/>
      <c r="L21" s="44"/>
      <c r="M21" s="224"/>
      <c r="N21" s="221"/>
      <c r="Q21" s="27"/>
      <c r="R21" s="224"/>
      <c r="S21" s="224"/>
      <c r="T21" s="44"/>
      <c r="U21" s="224"/>
      <c r="V21" s="221"/>
      <c r="W21" s="26"/>
      <c r="X21" s="27"/>
      <c r="Y21" s="224"/>
      <c r="Z21" s="224"/>
      <c r="AA21" s="44"/>
      <c r="AB21" s="224"/>
      <c r="AC21" s="221"/>
      <c r="AF21" s="27"/>
      <c r="AG21" s="224"/>
      <c r="AH21" s="224"/>
      <c r="AI21" s="44"/>
      <c r="AJ21" s="224"/>
      <c r="AK21" s="221"/>
      <c r="AL21" s="26"/>
      <c r="AM21" s="27"/>
      <c r="AN21" s="224"/>
      <c r="AO21" s="224"/>
      <c r="AP21" s="44"/>
      <c r="AQ21" s="224"/>
      <c r="AR21" s="221"/>
      <c r="AU21" s="27"/>
      <c r="AV21" s="224"/>
      <c r="AW21" s="224"/>
      <c r="AX21" s="44"/>
      <c r="AY21" s="224"/>
      <c r="AZ21" s="221"/>
      <c r="BA21" s="26"/>
      <c r="BB21" s="27"/>
      <c r="BC21" s="224"/>
      <c r="BD21" s="224"/>
      <c r="BE21" s="44"/>
      <c r="BF21" s="224"/>
      <c r="BG21" s="221"/>
      <c r="BJ21" s="27"/>
      <c r="BK21" s="224"/>
      <c r="BL21" s="224"/>
      <c r="BM21" s="44"/>
      <c r="BN21" s="224"/>
      <c r="BO21" s="221"/>
      <c r="BP21" s="26"/>
      <c r="BQ21" s="27"/>
      <c r="BR21" s="224"/>
      <c r="BS21" s="224"/>
      <c r="BT21" s="44"/>
      <c r="BU21" s="224"/>
      <c r="BV21" s="221"/>
      <c r="BY21" s="27"/>
      <c r="BZ21" s="224"/>
      <c r="CA21" s="224"/>
      <c r="CB21" s="44"/>
      <c r="CC21" s="224"/>
      <c r="CD21" s="221"/>
      <c r="CE21" s="26"/>
      <c r="CF21" s="27"/>
      <c r="CG21" s="224"/>
      <c r="CH21" s="224"/>
      <c r="CI21" s="44"/>
      <c r="CJ21" s="224"/>
      <c r="CK21" s="221"/>
      <c r="CN21" s="27"/>
      <c r="CO21" s="224"/>
      <c r="CP21" s="224"/>
      <c r="CQ21" s="44"/>
      <c r="CR21" s="224"/>
      <c r="CS21" s="221"/>
      <c r="CT21" s="26"/>
      <c r="CU21" s="27"/>
      <c r="CV21" s="224"/>
      <c r="CW21" s="224"/>
      <c r="CX21" s="44"/>
      <c r="CY21" s="224"/>
      <c r="CZ21" s="221"/>
      <c r="DC21" s="27"/>
      <c r="DD21" s="224"/>
      <c r="DE21" s="224"/>
      <c r="DF21" s="44"/>
      <c r="DG21" s="224"/>
      <c r="DH21" s="221"/>
      <c r="DI21" s="26"/>
      <c r="DJ21" s="27"/>
      <c r="DK21" s="224"/>
      <c r="DL21" s="224"/>
      <c r="DM21" s="44"/>
      <c r="DN21" s="224"/>
      <c r="DO21" s="221"/>
      <c r="DR21" s="27"/>
      <c r="DS21" s="224"/>
      <c r="DT21" s="224"/>
      <c r="DU21" s="44"/>
      <c r="DV21" s="224"/>
      <c r="DW21" s="221"/>
      <c r="DX21" s="26"/>
      <c r="DY21" s="27"/>
      <c r="DZ21" s="224"/>
      <c r="EA21" s="224"/>
      <c r="EB21" s="44"/>
      <c r="EC21" s="224"/>
      <c r="ED21" s="221"/>
      <c r="EG21" s="27"/>
      <c r="EH21" s="224"/>
      <c r="EI21" s="224"/>
      <c r="EJ21" s="44"/>
      <c r="EK21" s="224"/>
      <c r="EL21" s="221"/>
      <c r="EM21" s="26"/>
      <c r="EN21" s="27"/>
      <c r="EO21" s="224"/>
      <c r="EP21" s="224"/>
      <c r="EQ21" s="44"/>
      <c r="ER21" s="224"/>
      <c r="ES21" s="221"/>
    </row>
    <row r="22" spans="1:150" s="32" customFormat="1">
      <c r="A22" s="31"/>
      <c r="B22" s="37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35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37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35"/>
      <c r="F22" s="37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40"/>
      <c r="H22" s="22"/>
      <c r="I22" s="37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35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37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35"/>
      <c r="M22" s="37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40"/>
      <c r="O22" s="22"/>
      <c r="P22" s="31"/>
      <c r="Q22" s="37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35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37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35"/>
      <c r="U22" s="37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40"/>
      <c r="W22" s="22"/>
      <c r="X22" s="37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35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37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35"/>
      <c r="AB22" s="37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40"/>
      <c r="AD22" s="22"/>
      <c r="AE22" s="31"/>
      <c r="AF22" s="37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35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37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35"/>
      <c r="AJ22" s="37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40"/>
      <c r="AL22" s="22"/>
      <c r="AM22" s="37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35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37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35"/>
      <c r="AQ22" s="37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40"/>
      <c r="AS22" s="22"/>
      <c r="AT22" s="31"/>
      <c r="AU22" s="37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35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37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35"/>
      <c r="AY22" s="37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40"/>
      <c r="BA22" s="22"/>
      <c r="BB22" s="37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35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37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35"/>
      <c r="BF22" s="37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40"/>
      <c r="BH22" s="22"/>
      <c r="BI22" s="31"/>
      <c r="BJ22" s="37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35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37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35"/>
      <c r="BN22" s="37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40"/>
      <c r="BP22" s="22"/>
      <c r="BQ22" s="37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35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37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35"/>
      <c r="BU22" s="37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40"/>
      <c r="BW22" s="22"/>
      <c r="BX22" s="31"/>
      <c r="BY22" s="37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35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37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35"/>
      <c r="CC22" s="37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40"/>
      <c r="CE22" s="22"/>
      <c r="CF22" s="37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35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37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35"/>
      <c r="CJ22" s="37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40"/>
      <c r="CL22" s="22"/>
      <c r="CM22" s="31"/>
      <c r="CN22" s="37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35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37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35"/>
      <c r="CR22" s="37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40"/>
      <c r="CT22" s="22"/>
      <c r="CU22" s="37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35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37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35"/>
      <c r="CY22" s="37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27" t="str">
        <f ca="1">IF(C20&lt;&gt;"",
IFERROR(INT(C20/C22),""),"")</f>
        <v/>
      </c>
      <c r="C23" s="221"/>
      <c r="D23" s="227" t="str">
        <f ca="1">IFERROR(MOD(C20,C22),"")</f>
        <v/>
      </c>
      <c r="E23" s="221"/>
      <c r="F23" s="220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21"/>
      <c r="I23" s="227" t="str">
        <f ca="1">IF(J20&lt;&gt;"",
IFERROR(INT(J20/J22),""),"")</f>
        <v/>
      </c>
      <c r="J23" s="221"/>
      <c r="K23" s="227" t="str">
        <f ca="1">IFERROR(MOD(J20,J22),"")</f>
        <v/>
      </c>
      <c r="L23" s="221"/>
      <c r="M23" s="220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21"/>
      <c r="Q23" s="227" t="str">
        <f ca="1">IF(R20&lt;&gt;"",
IFERROR(INT(R20/R22),""),"")</f>
        <v/>
      </c>
      <c r="R23" s="221"/>
      <c r="S23" s="227" t="str">
        <f ca="1">IFERROR(MOD(R20,R22),"")</f>
        <v/>
      </c>
      <c r="T23" s="221"/>
      <c r="U23" s="220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21"/>
      <c r="X23" s="227" t="str">
        <f ca="1">IF(Y20&lt;&gt;"",
IFERROR(INT(Y20/Y22),""),"")</f>
        <v/>
      </c>
      <c r="Y23" s="221"/>
      <c r="Z23" s="227" t="str">
        <f ca="1">IFERROR(MOD(Y20,Y22),"")</f>
        <v/>
      </c>
      <c r="AA23" s="221"/>
      <c r="AB23" s="220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21"/>
      <c r="AF23" s="227" t="str">
        <f ca="1">IF(AG20&lt;&gt;"",
IFERROR(INT(AG20/AG22),""),"")</f>
        <v/>
      </c>
      <c r="AG23" s="221"/>
      <c r="AH23" s="227" t="str">
        <f ca="1">IFERROR(MOD(AG20,AG22),"")</f>
        <v/>
      </c>
      <c r="AI23" s="221"/>
      <c r="AJ23" s="220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21"/>
      <c r="AM23" s="227" t="str">
        <f ca="1">IF(AN20&lt;&gt;"",
IFERROR(INT(AN20/AN22),""),"")</f>
        <v/>
      </c>
      <c r="AN23" s="221"/>
      <c r="AO23" s="227" t="str">
        <f ca="1">IFERROR(MOD(AN20,AN22),"")</f>
        <v/>
      </c>
      <c r="AP23" s="221"/>
      <c r="AQ23" s="220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21"/>
      <c r="AU23" s="227" t="str">
        <f ca="1">IF(AV20&lt;&gt;"",
IFERROR(INT(AV20/AV22),""),"")</f>
        <v/>
      </c>
      <c r="AV23" s="221"/>
      <c r="AW23" s="227" t="str">
        <f ca="1">IFERROR(MOD(AV20,AV22),"")</f>
        <v/>
      </c>
      <c r="AX23" s="221"/>
      <c r="AY23" s="220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21"/>
      <c r="BB23" s="227" t="str">
        <f ca="1">IF(BC20&lt;&gt;"",
IFERROR(INT(BC20/BC22),""),"")</f>
        <v/>
      </c>
      <c r="BC23" s="221"/>
      <c r="BD23" s="227" t="str">
        <f ca="1">IFERROR(MOD(BC20,BC22),"")</f>
        <v/>
      </c>
      <c r="BE23" s="221"/>
      <c r="BF23" s="220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21"/>
      <c r="BJ23" s="227" t="str">
        <f ca="1">IF(BK20&lt;&gt;"",
IFERROR(INT(BK20/BK22),""),"")</f>
        <v/>
      </c>
      <c r="BK23" s="221"/>
      <c r="BL23" s="227" t="str">
        <f ca="1">IFERROR(MOD(BK20,BK22),"")</f>
        <v/>
      </c>
      <c r="BM23" s="221"/>
      <c r="BN23" s="220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21"/>
      <c r="BQ23" s="227" t="str">
        <f ca="1">IF(BR20&lt;&gt;"",
IFERROR(INT(BR20/BR22),""),"")</f>
        <v/>
      </c>
      <c r="BR23" s="221"/>
      <c r="BS23" s="227" t="str">
        <f ca="1">IFERROR(MOD(BR20,BR22),"")</f>
        <v/>
      </c>
      <c r="BT23" s="221"/>
      <c r="BU23" s="220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21"/>
      <c r="BY23" s="227" t="str">
        <f ca="1">IF(BZ20&lt;&gt;"",
IFERROR(INT(BZ20/BZ22),""),"")</f>
        <v/>
      </c>
      <c r="BZ23" s="221"/>
      <c r="CA23" s="227" t="str">
        <f ca="1">IFERROR(MOD(BZ20,BZ22),"")</f>
        <v/>
      </c>
      <c r="CB23" s="221"/>
      <c r="CC23" s="220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21"/>
      <c r="CF23" s="227" t="str">
        <f ca="1">IF(CG20&lt;&gt;"",
IFERROR(INT(CG20/CG22),""),"")</f>
        <v/>
      </c>
      <c r="CG23" s="221"/>
      <c r="CH23" s="227" t="str">
        <f ca="1">IFERROR(MOD(CG20,CG22),"")</f>
        <v/>
      </c>
      <c r="CI23" s="221"/>
      <c r="CJ23" s="220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21"/>
      <c r="CN23" s="227" t="str">
        <f ca="1">IF(CO20&lt;&gt;"",
IFERROR(INT(CO20/CO22),""),"")</f>
        <v/>
      </c>
      <c r="CO23" s="221"/>
      <c r="CP23" s="227" t="str">
        <f ca="1">IFERROR(MOD(CO20,CO22),"")</f>
        <v/>
      </c>
      <c r="CQ23" s="221"/>
      <c r="CR23" s="220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21"/>
      <c r="CU23" s="227" t="str">
        <f ca="1">IF(CV20&lt;&gt;"",
IFERROR(INT(CV20/CV22),""),"")</f>
        <v/>
      </c>
      <c r="CV23" s="221"/>
      <c r="CW23" s="227" t="str">
        <f ca="1">IFERROR(MOD(CV20,CV22),"")</f>
        <v/>
      </c>
      <c r="CX23" s="221"/>
      <c r="CY23" s="220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21"/>
      <c r="DC23" s="227"/>
      <c r="DD23" s="221"/>
      <c r="DE23" s="227"/>
      <c r="DF23" s="221"/>
      <c r="DG23" s="220"/>
      <c r="DH23" s="221"/>
      <c r="DJ23" s="227"/>
      <c r="DK23" s="221"/>
      <c r="DL23" s="227"/>
      <c r="DM23" s="221"/>
      <c r="DN23" s="220"/>
      <c r="DO23" s="221"/>
      <c r="DR23" s="227"/>
      <c r="DS23" s="221"/>
      <c r="DT23" s="227"/>
      <c r="DU23" s="221"/>
      <c r="DV23" s="220"/>
      <c r="DW23" s="221"/>
      <c r="DY23" s="227"/>
      <c r="DZ23" s="221"/>
      <c r="EA23" s="227"/>
      <c r="EB23" s="221"/>
      <c r="EC23" s="220"/>
      <c r="ED23" s="221"/>
      <c r="EG23" s="227"/>
      <c r="EH23" s="221"/>
      <c r="EI23" s="227"/>
      <c r="EJ23" s="221"/>
      <c r="EK23" s="220"/>
      <c r="EL23" s="221"/>
      <c r="EN23" s="227"/>
      <c r="EO23" s="221"/>
      <c r="EP23" s="227"/>
      <c r="EQ23" s="221"/>
      <c r="ER23" s="220"/>
      <c r="ES23" s="221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 ca="1">IF(OR(I18="●",I18="△"),
H17+2,H17+1)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18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19"/>
      <c r="E25" s="219"/>
      <c r="F25" s="219"/>
      <c r="G25" s="42" t="str">
        <f t="array" aca="1" ref="G25" ca="1">IF(C25&lt;&gt;"",
IF(AND(INDIRECT("'盛付札（関数）'!FI"&amp;A25)&gt;=124,INDIRECT("'盛付札（関数）'!FI"&amp;A25)&lt;=144),"",
"様"),"")</f>
        <v/>
      </c>
      <c r="H25" s="36">
        <f ca="1">IF(OR(B26="●",B26="△"),
A25+2,A25+1)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18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19"/>
      <c r="L25" s="219"/>
      <c r="M25" s="219"/>
      <c r="N25" s="42" t="str">
        <f t="array" aca="1" ref="N25" ca="1">IF(J25&lt;&gt;"",
IF(AND(INDIRECT("'盛付札（関数）'!FI"&amp;H25)&gt;=124,INDIRECT("'盛付札（関数）'!FI"&amp;H25)&lt;=144),"",
"様"),"")</f>
        <v/>
      </c>
      <c r="O25" s="22"/>
      <c r="P25" s="31">
        <f ca="1">IF(OR(X18="●",X18="△"),
W17+2,W17+1)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18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19"/>
      <c r="T25" s="219"/>
      <c r="U25" s="219"/>
      <c r="V25" s="42" t="str">
        <f t="array" aca="1" ref="V25" ca="1">IF(R25&lt;&gt;"",
IF(AND(INDIRECT("'盛付札（関数）'!FI"&amp;P25)&gt;=124,INDIRECT("'盛付札（関数）'!FI"&amp;P25)&lt;=144),"",
"様"),"")</f>
        <v/>
      </c>
      <c r="W25" s="36">
        <f ca="1">IF(OR(Q26="●",Q26="△"),
P25+2,P25+1)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18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19"/>
      <c r="AA25" s="219"/>
      <c r="AB25" s="219"/>
      <c r="AC25" s="42" t="str">
        <f t="array" aca="1" ref="AC25" ca="1">IF(Y25&lt;&gt;"",
IF(AND(INDIRECT("'盛付札（関数）'!FI"&amp;W25)&gt;=124,INDIRECT("'盛付札（関数）'!FI"&amp;W25)&lt;=144),"",
"様"),"")</f>
        <v/>
      </c>
      <c r="AD25" s="22"/>
      <c r="AE25" s="31">
        <f ca="1">IF(OR(AM18="●",AM18="△"),
AL17+2,AL17+1)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18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19"/>
      <c r="AI25" s="219"/>
      <c r="AJ25" s="219"/>
      <c r="AK25" s="42" t="str">
        <f t="array" aca="1" ref="AK25" ca="1">IF(AG25&lt;&gt;"",
IF(AND(INDIRECT("'盛付札（関数）'!FI"&amp;AE25)&gt;=124,INDIRECT("'盛付札（関数）'!FI"&amp;AE25)&lt;=144),"",
"様"),"")</f>
        <v/>
      </c>
      <c r="AL25" s="36">
        <f ca="1">IF(OR(AF26="●",AF26="△"),
AE25+2,AE25+1)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18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19"/>
      <c r="AP25" s="219"/>
      <c r="AQ25" s="219"/>
      <c r="AR25" s="42" t="str">
        <f t="array" aca="1" ref="AR25" ca="1">IF(AN25&lt;&gt;"",
IF(AND(INDIRECT("'盛付札（関数）'!FI"&amp;AL25)&gt;=124,INDIRECT("'盛付札（関数）'!FI"&amp;AL25)&lt;=144),"",
"様"),"")</f>
        <v/>
      </c>
      <c r="AS25" s="22"/>
      <c r="AT25" s="31">
        <f ca="1">IF(OR(BB18="●",BB18="△"),
BA17+2,BA17+1)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18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19"/>
      <c r="AX25" s="219"/>
      <c r="AY25" s="219"/>
      <c r="AZ25" s="42" t="str">
        <f t="array" aca="1" ref="AZ25" ca="1">IF(AV25&lt;&gt;"",
IF(AND(INDIRECT("'盛付札（関数）'!FI"&amp;AT25)&gt;=124,INDIRECT("'盛付札（関数）'!FI"&amp;AT25)&lt;=144),"",
"様"),"")</f>
        <v/>
      </c>
      <c r="BA25" s="36">
        <f ca="1">IF(OR(AU26="●",AU26="△"),
AT25+2,AT25+1)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18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19"/>
      <c r="BE25" s="219"/>
      <c r="BF25" s="219"/>
      <c r="BG25" s="42" t="str">
        <f t="array" aca="1" ref="BG25" ca="1">IF(BC25&lt;&gt;"",
IF(AND(INDIRECT("'盛付札（関数）'!FI"&amp;BA25)&gt;=124,INDIRECT("'盛付札（関数）'!FI"&amp;BA25)&lt;=144),"",
"様"),"")</f>
        <v/>
      </c>
      <c r="BH25" s="22"/>
      <c r="BI25" s="31">
        <f ca="1">IF(OR(BQ18="●",BQ18="△"),
BP17+2,BP17+1)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18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19"/>
      <c r="BM25" s="219"/>
      <c r="BN25" s="219"/>
      <c r="BO25" s="42" t="str">
        <f t="array" aca="1" ref="BO25" ca="1">IF(BK25&lt;&gt;"",
IF(AND(INDIRECT("'盛付札（関数）'!FI"&amp;BI25)&gt;=124,INDIRECT("'盛付札（関数）'!FI"&amp;BI25)&lt;=144),"",
"様"),"")</f>
        <v/>
      </c>
      <c r="BP25" s="36">
        <f ca="1">IF(OR(BJ26="●",BJ26="△"),
BI25+2,BI25+1)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18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19"/>
      <c r="BT25" s="219"/>
      <c r="BU25" s="219"/>
      <c r="BV25" s="42" t="str">
        <f t="array" aca="1" ref="BV25" ca="1">IF(BR25&lt;&gt;"",
IF(AND(INDIRECT("'盛付札（関数）'!FI"&amp;BP25)&gt;=124,INDIRECT("'盛付札（関数）'!FI"&amp;BP25)&lt;=144),"",
"様"),"")</f>
        <v/>
      </c>
      <c r="BW25" s="22"/>
      <c r="BX25" s="31">
        <f ca="1">IF(OR(CF18="●",CF18="△"),
CE17+2,CE17+1)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18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19"/>
      <c r="CB25" s="219"/>
      <c r="CC25" s="219"/>
      <c r="CD25" s="42" t="str">
        <f t="array" aca="1" ref="CD25" ca="1">IF(BZ25&lt;&gt;"",
IF(AND(INDIRECT("'盛付札（関数）'!FI"&amp;BX25)&gt;=124,INDIRECT("'盛付札（関数）'!FI"&amp;BX25)&lt;=144),"",
"様"),"")</f>
        <v/>
      </c>
      <c r="CE25" s="36">
        <f ca="1">IF(OR(BY26="●",BY26="△"),
BX25+2,BX25+1)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18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19"/>
      <c r="CI25" s="219"/>
      <c r="CJ25" s="219"/>
      <c r="CK25" s="42" t="str">
        <f t="array" aca="1" ref="CK25" ca="1">IF(CG25&lt;&gt;"",
IF(AND(INDIRECT("'盛付札（関数）'!FI"&amp;CE25)&gt;=124,INDIRECT("'盛付札（関数）'!FI"&amp;CE25)&lt;=144),"",
"様"),"")</f>
        <v/>
      </c>
      <c r="CL25" s="22"/>
      <c r="CM25" s="31">
        <f ca="1">IF(OR(CU18="●",CU18="△"),
CT17+2,CT17+1)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18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19"/>
      <c r="CQ25" s="219"/>
      <c r="CR25" s="219"/>
      <c r="CS25" s="42" t="str">
        <f t="array" aca="1" ref="CS25" ca="1">IF(CO25&lt;&gt;"",
IF(AND(INDIRECT("'盛付札（関数）'!FI"&amp;CM25)&gt;=124,INDIRECT("'盛付札（関数）'!FI"&amp;CM25)&lt;=144),"",
"様"),"")</f>
        <v/>
      </c>
      <c r="CT25" s="36">
        <f ca="1">IF(OR(CN26="●",CN26="△"),
CM25+2,CM25+1)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18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19"/>
      <c r="CX25" s="219"/>
      <c r="CY25" s="219"/>
      <c r="CZ25" s="42" t="str">
        <f t="array" aca="1" ref="CZ25" ca="1">IF(CV25&lt;&gt;"",
IF(AND(INDIRECT("'盛付札（関数）'!FI"&amp;CT25)&gt;=124,INDIRECT("'盛付札（関数）'!FI"&amp;CT25)&lt;=144),"",
"様"),"")</f>
        <v/>
      </c>
      <c r="DA25" s="22"/>
      <c r="DB25" s="31"/>
      <c r="DC25" s="43"/>
      <c r="DD25" s="218"/>
      <c r="DE25" s="219"/>
      <c r="DF25" s="219"/>
      <c r="DG25" s="219"/>
      <c r="DH25" s="42"/>
      <c r="DI25" s="36"/>
      <c r="DJ25" s="43"/>
      <c r="DK25" s="218"/>
      <c r="DL25" s="219"/>
      <c r="DM25" s="219"/>
      <c r="DN25" s="219"/>
      <c r="DO25" s="42"/>
      <c r="DP25" s="22"/>
      <c r="DQ25" s="31"/>
      <c r="DR25" s="43"/>
      <c r="DS25" s="218"/>
      <c r="DT25" s="219"/>
      <c r="DU25" s="219"/>
      <c r="DV25" s="219"/>
      <c r="DW25" s="42"/>
      <c r="DX25" s="36"/>
      <c r="DY25" s="43"/>
      <c r="DZ25" s="218"/>
      <c r="EA25" s="219"/>
      <c r="EB25" s="219"/>
      <c r="EC25" s="219"/>
      <c r="ED25" s="42"/>
      <c r="EE25" s="22"/>
      <c r="EF25" s="31"/>
      <c r="EG25" s="43"/>
      <c r="EH25" s="218"/>
      <c r="EI25" s="219"/>
      <c r="EJ25" s="219"/>
      <c r="EK25" s="219"/>
      <c r="EL25" s="42"/>
      <c r="EM25" s="36"/>
      <c r="EN25" s="43"/>
      <c r="EO25" s="218"/>
      <c r="EP25" s="219"/>
      <c r="EQ25" s="219"/>
      <c r="ER25" s="219"/>
      <c r="ES25" s="42"/>
      <c r="ET25" s="22"/>
    </row>
    <row r="26" spans="1:150" s="32" customFormat="1">
      <c r="A26" s="31"/>
      <c r="B26" s="33" t="str">
        <f ca="1">IF(COUNTIF(INDIRECT("'盛付札（関数）'!FJ"&amp;A25+1),"*雙葉*"),"●",
"〇")</f>
        <v>〇</v>
      </c>
      <c r="C26" s="47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>0</v>
      </c>
      <c r="D26" s="41"/>
      <c r="E26" s="41"/>
      <c r="F26" s="48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39"/>
      <c r="H26" s="49"/>
      <c r="I26" s="33" t="str">
        <f ca="1">IF(COUNTIF(INDIRECT("'盛付札（関数）'!FJ"&amp;H25+1),"*雙葉*"),"●",
"〇")</f>
        <v>〇</v>
      </c>
      <c r="J26" s="47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>0</v>
      </c>
      <c r="K26" s="41"/>
      <c r="L26" s="41"/>
      <c r="M26" s="48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39"/>
      <c r="O26" s="22"/>
      <c r="P26" s="31"/>
      <c r="Q26" s="33" t="str">
        <f ca="1">IF(COUNTIF(INDIRECT("'盛付札（関数）'!FJ"&amp;P25+1),"*雙葉*"),"●",
"〇")</f>
        <v>〇</v>
      </c>
      <c r="R26" s="47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>0</v>
      </c>
      <c r="S26" s="41"/>
      <c r="T26" s="41"/>
      <c r="U26" s="48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39"/>
      <c r="W26" s="49"/>
      <c r="X26" s="33" t="str">
        <f ca="1">IF(COUNTIF(INDIRECT("'盛付札（関数）'!FJ"&amp;W25+1),"*雙葉*"),"●",
"〇")</f>
        <v>〇</v>
      </c>
      <c r="Y26" s="47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>0</v>
      </c>
      <c r="Z26" s="41"/>
      <c r="AA26" s="41"/>
      <c r="AB26" s="48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39"/>
      <c r="AD26" s="22"/>
      <c r="AE26" s="31"/>
      <c r="AF26" s="33" t="str">
        <f ca="1">IF(COUNTIF(INDIRECT("'盛付札（関数）'!FJ"&amp;AE25+1),"*雙葉*"),"●",
"〇")</f>
        <v>〇</v>
      </c>
      <c r="AG26" s="47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>0</v>
      </c>
      <c r="AH26" s="41"/>
      <c r="AI26" s="41"/>
      <c r="AJ26" s="48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39"/>
      <c r="AL26" s="49"/>
      <c r="AM26" s="33" t="str">
        <f ca="1">IF(COUNTIF(INDIRECT("'盛付札（関数）'!FJ"&amp;AL25+1),"*雙葉*"),"●",
"〇")</f>
        <v>〇</v>
      </c>
      <c r="AN26" s="47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>0</v>
      </c>
      <c r="AO26" s="41"/>
      <c r="AP26" s="41"/>
      <c r="AQ26" s="48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39"/>
      <c r="AS26" s="22"/>
      <c r="AT26" s="31"/>
      <c r="AU26" s="33" t="str">
        <f ca="1">IF(COUNTIF(INDIRECT("'盛付札（関数）'!FJ"&amp;AT25+1),"*雙葉*"),"●",
"〇")</f>
        <v>〇</v>
      </c>
      <c r="AV26" s="47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>0</v>
      </c>
      <c r="AW26" s="41"/>
      <c r="AX26" s="41"/>
      <c r="AY26" s="48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39"/>
      <c r="BA26" s="49"/>
      <c r="BB26" s="33" t="str">
        <f ca="1">IF(COUNTIF(INDIRECT("'盛付札（関数）'!FJ"&amp;BA25+1),"*雙葉*"),"●",
"〇")</f>
        <v>〇</v>
      </c>
      <c r="BC26" s="47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>0</v>
      </c>
      <c r="BD26" s="41"/>
      <c r="BE26" s="41"/>
      <c r="BF26" s="48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39"/>
      <c r="BH26" s="22"/>
      <c r="BI26" s="31"/>
      <c r="BJ26" s="33" t="str">
        <f ca="1">IF(COUNTIF(INDIRECT("'盛付札（関数）'!FJ"&amp;BI25+1),"*雙葉*"),"●",
"〇")</f>
        <v>〇</v>
      </c>
      <c r="BK26" s="47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>0</v>
      </c>
      <c r="BL26" s="41"/>
      <c r="BM26" s="41"/>
      <c r="BN26" s="48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39"/>
      <c r="BP26" s="49"/>
      <c r="BQ26" s="33" t="str">
        <f ca="1">IF(COUNTIF(INDIRECT("'盛付札（関数）'!FJ"&amp;BP25+1),"*雙葉*"),"●",
"〇")</f>
        <v>〇</v>
      </c>
      <c r="BR26" s="47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>0</v>
      </c>
      <c r="BS26" s="41"/>
      <c r="BT26" s="41"/>
      <c r="BU26" s="48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39"/>
      <c r="BW26" s="22"/>
      <c r="BX26" s="31"/>
      <c r="BY26" s="33" t="str">
        <f ca="1">IF(COUNTIF(INDIRECT("'盛付札（関数）'!FJ"&amp;BX25+1),"*雙葉*"),"●",
"〇")</f>
        <v>〇</v>
      </c>
      <c r="BZ26" s="47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>0</v>
      </c>
      <c r="CA26" s="41"/>
      <c r="CB26" s="41"/>
      <c r="CC26" s="48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39"/>
      <c r="CE26" s="49"/>
      <c r="CF26" s="33" t="str">
        <f ca="1">IF(COUNTIF(INDIRECT("'盛付札（関数）'!FJ"&amp;CE25+1),"*雙葉*"),"●",
"〇")</f>
        <v>〇</v>
      </c>
      <c r="CG26" s="47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>0</v>
      </c>
      <c r="CH26" s="41"/>
      <c r="CI26" s="41"/>
      <c r="CJ26" s="48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39"/>
      <c r="CL26" s="22"/>
      <c r="CM26" s="31"/>
      <c r="CN26" s="33" t="str">
        <f ca="1">IF(COUNTIF(INDIRECT("'盛付札（関数）'!FJ"&amp;CM25+1),"*雙葉*"),"●",
"〇")</f>
        <v>〇</v>
      </c>
      <c r="CO26" s="47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>0</v>
      </c>
      <c r="CP26" s="41"/>
      <c r="CQ26" s="41"/>
      <c r="CR26" s="48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39"/>
      <c r="CT26" s="49"/>
      <c r="CU26" s="33" t="str">
        <f ca="1">IF(COUNTIF(INDIRECT("'盛付札（関数）'!FJ"&amp;CT25+1),"*雙葉*"),"●",
"〇")</f>
        <v>〇</v>
      </c>
      <c r="CV26" s="47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>0</v>
      </c>
      <c r="CW26" s="41"/>
      <c r="CX26" s="41"/>
      <c r="CY26" s="48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16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17"/>
      <c r="E27" s="22"/>
      <c r="F27" s="32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40"/>
      <c r="H27" s="36"/>
      <c r="I27" s="34"/>
      <c r="J27" s="216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17"/>
      <c r="L27" s="22"/>
      <c r="M27" s="32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40"/>
      <c r="O27" s="22"/>
      <c r="P27" s="31"/>
      <c r="Q27" s="34"/>
      <c r="R27" s="216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17"/>
      <c r="T27" s="22"/>
      <c r="U27" s="32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40"/>
      <c r="W27" s="36"/>
      <c r="X27" s="34"/>
      <c r="Y27" s="216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17"/>
      <c r="AA27" s="22"/>
      <c r="AB27" s="32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40"/>
      <c r="AD27" s="22"/>
      <c r="AE27" s="31"/>
      <c r="AF27" s="34"/>
      <c r="AG27" s="216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17"/>
      <c r="AI27" s="22"/>
      <c r="AJ27" s="32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40"/>
      <c r="AL27" s="36"/>
      <c r="AM27" s="34"/>
      <c r="AN27" s="216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17"/>
      <c r="AP27" s="22"/>
      <c r="AQ27" s="32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40"/>
      <c r="AS27" s="22"/>
      <c r="AT27" s="31"/>
      <c r="AU27" s="34"/>
      <c r="AV27" s="216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17"/>
      <c r="AX27" s="22"/>
      <c r="AY27" s="32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40"/>
      <c r="BA27" s="36"/>
      <c r="BB27" s="34"/>
      <c r="BC27" s="216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17"/>
      <c r="BE27" s="22"/>
      <c r="BF27" s="32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40"/>
      <c r="BH27" s="22"/>
      <c r="BI27" s="31"/>
      <c r="BJ27" s="34"/>
      <c r="BK27" s="216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17"/>
      <c r="BM27" s="22"/>
      <c r="BN27" s="32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40"/>
      <c r="BP27" s="36"/>
      <c r="BQ27" s="34"/>
      <c r="BR27" s="216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17"/>
      <c r="BT27" s="22"/>
      <c r="BU27" s="32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40"/>
      <c r="BW27" s="22"/>
      <c r="BX27" s="31"/>
      <c r="BY27" s="34"/>
      <c r="BZ27" s="216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17"/>
      <c r="CB27" s="22"/>
      <c r="CC27" s="32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40"/>
      <c r="CE27" s="36"/>
      <c r="CF27" s="34"/>
      <c r="CG27" s="216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17"/>
      <c r="CI27" s="22"/>
      <c r="CJ27" s="32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40"/>
      <c r="CL27" s="22"/>
      <c r="CM27" s="31"/>
      <c r="CN27" s="34"/>
      <c r="CO27" s="216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17"/>
      <c r="CQ27" s="22"/>
      <c r="CR27" s="32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40"/>
      <c r="CT27" s="36"/>
      <c r="CU27" s="34"/>
      <c r="CV27" s="216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17"/>
      <c r="CX27" s="22"/>
      <c r="CY27" s="32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40"/>
      <c r="DA27" s="22"/>
      <c r="DB27" s="31"/>
      <c r="DC27" s="34"/>
      <c r="DD27" s="216"/>
      <c r="DE27" s="217"/>
      <c r="DF27" s="22"/>
      <c r="DH27" s="40"/>
      <c r="DI27" s="36"/>
      <c r="DJ27" s="34"/>
      <c r="DK27" s="216"/>
      <c r="DL27" s="217"/>
      <c r="DM27" s="22"/>
      <c r="DO27" s="40"/>
      <c r="DP27" s="22"/>
      <c r="DQ27" s="31"/>
      <c r="DR27" s="34"/>
      <c r="DS27" s="216"/>
      <c r="DT27" s="217"/>
      <c r="DU27" s="22"/>
      <c r="DW27" s="40"/>
      <c r="DX27" s="36"/>
      <c r="DY27" s="34"/>
      <c r="DZ27" s="216"/>
      <c r="EA27" s="217"/>
      <c r="EB27" s="22"/>
      <c r="ED27" s="40"/>
      <c r="EE27" s="22"/>
      <c r="EF27" s="31"/>
      <c r="EG27" s="34"/>
      <c r="EH27" s="216"/>
      <c r="EI27" s="217"/>
      <c r="EJ27" s="22"/>
      <c r="EL27" s="40"/>
      <c r="EM27" s="36"/>
      <c r="EN27" s="34"/>
      <c r="EO27" s="216"/>
      <c r="EP27" s="217"/>
      <c r="EQ27" s="22"/>
      <c r="ES27" s="40"/>
      <c r="ET27" s="22"/>
    </row>
    <row r="28" spans="1:150" ht="15.6" customHeight="1">
      <c r="B28" s="25"/>
      <c r="C28" s="222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>0</v>
      </c>
      <c r="D28" s="223"/>
      <c r="E28" s="50"/>
      <c r="F28" s="225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26"/>
      <c r="H28" s="26"/>
      <c r="I28" s="25"/>
      <c r="J28" s="222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>0</v>
      </c>
      <c r="K28" s="223"/>
      <c r="L28" s="50"/>
      <c r="M28" s="225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26"/>
      <c r="Q28" s="25"/>
      <c r="R28" s="222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>0</v>
      </c>
      <c r="S28" s="223"/>
      <c r="T28" s="50"/>
      <c r="U28" s="225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26"/>
      <c r="W28" s="26"/>
      <c r="X28" s="25"/>
      <c r="Y28" s="222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>0</v>
      </c>
      <c r="Z28" s="223"/>
      <c r="AA28" s="50"/>
      <c r="AB28" s="225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26"/>
      <c r="AF28" s="25"/>
      <c r="AG28" s="222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>0</v>
      </c>
      <c r="AH28" s="223"/>
      <c r="AI28" s="50"/>
      <c r="AJ28" s="225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26"/>
      <c r="AL28" s="26"/>
      <c r="AM28" s="25"/>
      <c r="AN28" s="222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>0</v>
      </c>
      <c r="AO28" s="223"/>
      <c r="AP28" s="50"/>
      <c r="AQ28" s="225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26"/>
      <c r="AU28" s="25"/>
      <c r="AV28" s="222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>0</v>
      </c>
      <c r="AW28" s="223"/>
      <c r="AX28" s="50"/>
      <c r="AY28" s="225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26"/>
      <c r="BA28" s="26"/>
      <c r="BB28" s="25"/>
      <c r="BC28" s="222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>0</v>
      </c>
      <c r="BD28" s="223"/>
      <c r="BE28" s="50"/>
      <c r="BF28" s="225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26"/>
      <c r="BJ28" s="25"/>
      <c r="BK28" s="222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>0</v>
      </c>
      <c r="BL28" s="223"/>
      <c r="BM28" s="50"/>
      <c r="BN28" s="225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26"/>
      <c r="BP28" s="26"/>
      <c r="BQ28" s="25"/>
      <c r="BR28" s="222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>0</v>
      </c>
      <c r="BS28" s="223"/>
      <c r="BT28" s="50"/>
      <c r="BU28" s="225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26"/>
      <c r="BY28" s="25"/>
      <c r="BZ28" s="222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>0</v>
      </c>
      <c r="CA28" s="223"/>
      <c r="CB28" s="50"/>
      <c r="CC28" s="225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26"/>
      <c r="CE28" s="26"/>
      <c r="CF28" s="25"/>
      <c r="CG28" s="222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>0</v>
      </c>
      <c r="CH28" s="223"/>
      <c r="CI28" s="50"/>
      <c r="CJ28" s="225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26"/>
      <c r="CN28" s="25"/>
      <c r="CO28" s="222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>0</v>
      </c>
      <c r="CP28" s="223"/>
      <c r="CQ28" s="50"/>
      <c r="CR28" s="225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26"/>
      <c r="CT28" s="26"/>
      <c r="CU28" s="25"/>
      <c r="CV28" s="222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>0</v>
      </c>
      <c r="CW28" s="223"/>
      <c r="CX28" s="50"/>
      <c r="CY28" s="225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26"/>
      <c r="DC28" s="25"/>
      <c r="DD28" s="222"/>
      <c r="DE28" s="223"/>
      <c r="DF28" s="50"/>
      <c r="DG28" s="225"/>
      <c r="DH28" s="226"/>
      <c r="DI28" s="26"/>
      <c r="DJ28" s="25"/>
      <c r="DK28" s="222"/>
      <c r="DL28" s="223"/>
      <c r="DM28" s="50"/>
      <c r="DN28" s="225"/>
      <c r="DO28" s="226"/>
      <c r="DR28" s="25"/>
      <c r="DS28" s="222"/>
      <c r="DT28" s="223"/>
      <c r="DU28" s="50"/>
      <c r="DV28" s="225"/>
      <c r="DW28" s="226"/>
      <c r="DX28" s="26"/>
      <c r="DY28" s="25"/>
      <c r="DZ28" s="222"/>
      <c r="EA28" s="223"/>
      <c r="EB28" s="50"/>
      <c r="EC28" s="225"/>
      <c r="ED28" s="226"/>
      <c r="EG28" s="25"/>
      <c r="EH28" s="222"/>
      <c r="EI28" s="223"/>
      <c r="EJ28" s="50"/>
      <c r="EK28" s="225"/>
      <c r="EL28" s="226"/>
      <c r="EM28" s="26"/>
      <c r="EN28" s="25"/>
      <c r="EO28" s="222"/>
      <c r="EP28" s="223"/>
      <c r="EQ28" s="50"/>
      <c r="ER28" s="225"/>
      <c r="ES28" s="226"/>
    </row>
    <row r="29" spans="1:150" ht="15.6" customHeight="1">
      <c r="B29" s="27"/>
      <c r="C29" s="224"/>
      <c r="D29" s="224"/>
      <c r="E29" s="44"/>
      <c r="F29" s="224"/>
      <c r="G29" s="221"/>
      <c r="H29" s="26"/>
      <c r="I29" s="27"/>
      <c r="J29" s="224"/>
      <c r="K29" s="224"/>
      <c r="L29" s="44"/>
      <c r="M29" s="224"/>
      <c r="N29" s="221"/>
      <c r="Q29" s="27"/>
      <c r="R29" s="224"/>
      <c r="S29" s="224"/>
      <c r="T29" s="44"/>
      <c r="U29" s="224"/>
      <c r="V29" s="221"/>
      <c r="W29" s="26"/>
      <c r="X29" s="27"/>
      <c r="Y29" s="224"/>
      <c r="Z29" s="224"/>
      <c r="AA29" s="44"/>
      <c r="AB29" s="224"/>
      <c r="AC29" s="221"/>
      <c r="AF29" s="27"/>
      <c r="AG29" s="224"/>
      <c r="AH29" s="224"/>
      <c r="AI29" s="44"/>
      <c r="AJ29" s="224"/>
      <c r="AK29" s="221"/>
      <c r="AL29" s="26"/>
      <c r="AM29" s="27"/>
      <c r="AN29" s="224"/>
      <c r="AO29" s="224"/>
      <c r="AP29" s="44"/>
      <c r="AQ29" s="224"/>
      <c r="AR29" s="221"/>
      <c r="AU29" s="27"/>
      <c r="AV29" s="224"/>
      <c r="AW29" s="224"/>
      <c r="AX29" s="44"/>
      <c r="AY29" s="224"/>
      <c r="AZ29" s="221"/>
      <c r="BA29" s="26"/>
      <c r="BB29" s="27"/>
      <c r="BC29" s="224"/>
      <c r="BD29" s="224"/>
      <c r="BE29" s="44"/>
      <c r="BF29" s="224"/>
      <c r="BG29" s="221"/>
      <c r="BJ29" s="27"/>
      <c r="BK29" s="224"/>
      <c r="BL29" s="224"/>
      <c r="BM29" s="44"/>
      <c r="BN29" s="224"/>
      <c r="BO29" s="221"/>
      <c r="BP29" s="26"/>
      <c r="BQ29" s="27"/>
      <c r="BR29" s="224"/>
      <c r="BS29" s="224"/>
      <c r="BT29" s="44"/>
      <c r="BU29" s="224"/>
      <c r="BV29" s="221"/>
      <c r="BY29" s="27"/>
      <c r="BZ29" s="224"/>
      <c r="CA29" s="224"/>
      <c r="CB29" s="44"/>
      <c r="CC29" s="224"/>
      <c r="CD29" s="221"/>
      <c r="CE29" s="26"/>
      <c r="CF29" s="27"/>
      <c r="CG29" s="224"/>
      <c r="CH29" s="224"/>
      <c r="CI29" s="44"/>
      <c r="CJ29" s="224"/>
      <c r="CK29" s="221"/>
      <c r="CN29" s="27"/>
      <c r="CO29" s="224"/>
      <c r="CP29" s="224"/>
      <c r="CQ29" s="44"/>
      <c r="CR29" s="224"/>
      <c r="CS29" s="221"/>
      <c r="CT29" s="26"/>
      <c r="CU29" s="27"/>
      <c r="CV29" s="224"/>
      <c r="CW29" s="224"/>
      <c r="CX29" s="44"/>
      <c r="CY29" s="224"/>
      <c r="CZ29" s="221"/>
      <c r="DC29" s="27"/>
      <c r="DD29" s="224"/>
      <c r="DE29" s="224"/>
      <c r="DF29" s="44"/>
      <c r="DG29" s="224"/>
      <c r="DH29" s="221"/>
      <c r="DI29" s="26"/>
      <c r="DJ29" s="27"/>
      <c r="DK29" s="224"/>
      <c r="DL29" s="224"/>
      <c r="DM29" s="44"/>
      <c r="DN29" s="224"/>
      <c r="DO29" s="221"/>
      <c r="DR29" s="27"/>
      <c r="DS29" s="224"/>
      <c r="DT29" s="224"/>
      <c r="DU29" s="44"/>
      <c r="DV29" s="224"/>
      <c r="DW29" s="221"/>
      <c r="DX29" s="26"/>
      <c r="DY29" s="27"/>
      <c r="DZ29" s="224"/>
      <c r="EA29" s="224"/>
      <c r="EB29" s="44"/>
      <c r="EC29" s="224"/>
      <c r="ED29" s="221"/>
      <c r="EG29" s="27"/>
      <c r="EH29" s="224"/>
      <c r="EI29" s="224"/>
      <c r="EJ29" s="44"/>
      <c r="EK29" s="224"/>
      <c r="EL29" s="221"/>
      <c r="EM29" s="26"/>
      <c r="EN29" s="27"/>
      <c r="EO29" s="224"/>
      <c r="EP29" s="224"/>
      <c r="EQ29" s="44"/>
      <c r="ER29" s="224"/>
      <c r="ES29" s="221"/>
    </row>
    <row r="30" spans="1:150" s="32" customFormat="1">
      <c r="A30" s="31"/>
      <c r="B30" s="37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35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37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35"/>
      <c r="F30" s="37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40"/>
      <c r="H30" s="22"/>
      <c r="I30" s="37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35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37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35"/>
      <c r="M30" s="37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40"/>
      <c r="O30" s="22"/>
      <c r="P30" s="31"/>
      <c r="Q30" s="37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35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37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35"/>
      <c r="U30" s="37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40"/>
      <c r="W30" s="22"/>
      <c r="X30" s="37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35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37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35"/>
      <c r="AB30" s="37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40"/>
      <c r="AD30" s="22"/>
      <c r="AE30" s="31"/>
      <c r="AF30" s="37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35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37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35"/>
      <c r="AJ30" s="37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40"/>
      <c r="AL30" s="22"/>
      <c r="AM30" s="37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35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37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35"/>
      <c r="AQ30" s="37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40"/>
      <c r="AS30" s="22"/>
      <c r="AT30" s="31"/>
      <c r="AU30" s="37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35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37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35"/>
      <c r="AY30" s="37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40"/>
      <c r="BA30" s="22"/>
      <c r="BB30" s="37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35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37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35"/>
      <c r="BF30" s="37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40"/>
      <c r="BH30" s="22"/>
      <c r="BI30" s="31"/>
      <c r="BJ30" s="37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35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37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35"/>
      <c r="BN30" s="37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40"/>
      <c r="BP30" s="22"/>
      <c r="BQ30" s="37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35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37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35"/>
      <c r="BU30" s="37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40"/>
      <c r="BW30" s="22"/>
      <c r="BX30" s="31"/>
      <c r="BY30" s="37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35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37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35"/>
      <c r="CC30" s="37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40"/>
      <c r="CE30" s="22"/>
      <c r="CF30" s="37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35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37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35"/>
      <c r="CJ30" s="37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40"/>
      <c r="CL30" s="22"/>
      <c r="CM30" s="31"/>
      <c r="CN30" s="37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35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37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35"/>
      <c r="CR30" s="37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40"/>
      <c r="CT30" s="22"/>
      <c r="CU30" s="37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35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37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35"/>
      <c r="CY30" s="37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27" t="str">
        <f ca="1">IF(C28&lt;&gt;"",
IFERROR(INT(C28/C30),""),"")</f>
        <v/>
      </c>
      <c r="C31" s="221"/>
      <c r="D31" s="227" t="str">
        <f ca="1">IFERROR(MOD(C28,C30),"")</f>
        <v/>
      </c>
      <c r="E31" s="221"/>
      <c r="F31" s="220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21"/>
      <c r="I31" s="227" t="str">
        <f ca="1">IF(J28&lt;&gt;"",
IFERROR(INT(J28/J30),""),"")</f>
        <v/>
      </c>
      <c r="J31" s="221"/>
      <c r="K31" s="227" t="str">
        <f ca="1">IFERROR(MOD(J28,J30),"")</f>
        <v/>
      </c>
      <c r="L31" s="221"/>
      <c r="M31" s="220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21"/>
      <c r="Q31" s="227" t="str">
        <f ca="1">IF(R28&lt;&gt;"",
IFERROR(INT(R28/R30),""),"")</f>
        <v/>
      </c>
      <c r="R31" s="221"/>
      <c r="S31" s="227" t="str">
        <f ca="1">IFERROR(MOD(R28,R30),"")</f>
        <v/>
      </c>
      <c r="T31" s="221"/>
      <c r="U31" s="220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21"/>
      <c r="X31" s="227" t="str">
        <f ca="1">IF(Y28&lt;&gt;"",
IFERROR(INT(Y28/Y30),""),"")</f>
        <v/>
      </c>
      <c r="Y31" s="221"/>
      <c r="Z31" s="227" t="str">
        <f ca="1">IFERROR(MOD(Y28,Y30),"")</f>
        <v/>
      </c>
      <c r="AA31" s="221"/>
      <c r="AB31" s="220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21"/>
      <c r="AF31" s="227" t="str">
        <f ca="1">IF(AG28&lt;&gt;"",
IFERROR(INT(AG28/AG30),""),"")</f>
        <v/>
      </c>
      <c r="AG31" s="221"/>
      <c r="AH31" s="227" t="str">
        <f ca="1">IFERROR(MOD(AG28,AG30),"")</f>
        <v/>
      </c>
      <c r="AI31" s="221"/>
      <c r="AJ31" s="220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21"/>
      <c r="AM31" s="227" t="str">
        <f ca="1">IF(AN28&lt;&gt;"",
IFERROR(INT(AN28/AN30),""),"")</f>
        <v/>
      </c>
      <c r="AN31" s="221"/>
      <c r="AO31" s="227" t="str">
        <f ca="1">IFERROR(MOD(AN28,AN30),"")</f>
        <v/>
      </c>
      <c r="AP31" s="221"/>
      <c r="AQ31" s="220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21"/>
      <c r="AU31" s="227" t="str">
        <f ca="1">IF(AV28&lt;&gt;"",
IFERROR(INT(AV28/AV30),""),"")</f>
        <v/>
      </c>
      <c r="AV31" s="221"/>
      <c r="AW31" s="227" t="str">
        <f ca="1">IFERROR(MOD(AV28,AV30),"")</f>
        <v/>
      </c>
      <c r="AX31" s="221"/>
      <c r="AY31" s="220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21"/>
      <c r="BB31" s="227" t="str">
        <f ca="1">IF(BC28&lt;&gt;"",
IFERROR(INT(BC28/BC30),""),"")</f>
        <v/>
      </c>
      <c r="BC31" s="221"/>
      <c r="BD31" s="227" t="str">
        <f ca="1">IFERROR(MOD(BC28,BC30),"")</f>
        <v/>
      </c>
      <c r="BE31" s="221"/>
      <c r="BF31" s="220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21"/>
      <c r="BJ31" s="227" t="str">
        <f ca="1">IF(BK28&lt;&gt;"",
IFERROR(INT(BK28/BK30),""),"")</f>
        <v/>
      </c>
      <c r="BK31" s="221"/>
      <c r="BL31" s="227" t="str">
        <f ca="1">IFERROR(MOD(BK28,BK30),"")</f>
        <v/>
      </c>
      <c r="BM31" s="221"/>
      <c r="BN31" s="220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21"/>
      <c r="BQ31" s="227" t="str">
        <f ca="1">IF(BR28&lt;&gt;"",
IFERROR(INT(BR28/BR30),""),"")</f>
        <v/>
      </c>
      <c r="BR31" s="221"/>
      <c r="BS31" s="227" t="str">
        <f ca="1">IFERROR(MOD(BR28,BR30),"")</f>
        <v/>
      </c>
      <c r="BT31" s="221"/>
      <c r="BU31" s="220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21"/>
      <c r="BY31" s="227" t="str">
        <f ca="1">IF(BZ28&lt;&gt;"",
IFERROR(INT(BZ28/BZ30),""),"")</f>
        <v/>
      </c>
      <c r="BZ31" s="221"/>
      <c r="CA31" s="227" t="str">
        <f ca="1">IFERROR(MOD(BZ28,BZ30),"")</f>
        <v/>
      </c>
      <c r="CB31" s="221"/>
      <c r="CC31" s="220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21"/>
      <c r="CF31" s="227" t="str">
        <f ca="1">IF(CG28&lt;&gt;"",
IFERROR(INT(CG28/CG30),""),"")</f>
        <v/>
      </c>
      <c r="CG31" s="221"/>
      <c r="CH31" s="227" t="str">
        <f ca="1">IFERROR(MOD(CG28,CG30),"")</f>
        <v/>
      </c>
      <c r="CI31" s="221"/>
      <c r="CJ31" s="220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21"/>
      <c r="CN31" s="227" t="str">
        <f ca="1">IF(CO28&lt;&gt;"",
IFERROR(INT(CO28/CO30),""),"")</f>
        <v/>
      </c>
      <c r="CO31" s="221"/>
      <c r="CP31" s="227" t="str">
        <f ca="1">IFERROR(MOD(CO28,CO30),"")</f>
        <v/>
      </c>
      <c r="CQ31" s="221"/>
      <c r="CR31" s="220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21"/>
      <c r="CU31" s="227" t="str">
        <f ca="1">IF(CV28&lt;&gt;"",
IFERROR(INT(CV28/CV30),""),"")</f>
        <v/>
      </c>
      <c r="CV31" s="221"/>
      <c r="CW31" s="227" t="str">
        <f ca="1">IFERROR(MOD(CV28,CV30),"")</f>
        <v/>
      </c>
      <c r="CX31" s="221"/>
      <c r="CY31" s="220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21"/>
      <c r="DC31" s="227"/>
      <c r="DD31" s="221"/>
      <c r="DE31" s="227"/>
      <c r="DF31" s="221"/>
      <c r="DG31" s="220"/>
      <c r="DH31" s="221"/>
      <c r="DJ31" s="227"/>
      <c r="DK31" s="221"/>
      <c r="DL31" s="227"/>
      <c r="DM31" s="221"/>
      <c r="DN31" s="220"/>
      <c r="DO31" s="221"/>
      <c r="DR31" s="227"/>
      <c r="DS31" s="221"/>
      <c r="DT31" s="227"/>
      <c r="DU31" s="221"/>
      <c r="DV31" s="220"/>
      <c r="DW31" s="221"/>
      <c r="DY31" s="227"/>
      <c r="DZ31" s="221"/>
      <c r="EA31" s="227"/>
      <c r="EB31" s="221"/>
      <c r="EC31" s="220"/>
      <c r="ED31" s="221"/>
      <c r="EG31" s="227"/>
      <c r="EH31" s="221"/>
      <c r="EI31" s="227"/>
      <c r="EJ31" s="221"/>
      <c r="EK31" s="220"/>
      <c r="EL31" s="221"/>
      <c r="EN31" s="227"/>
      <c r="EO31" s="221"/>
      <c r="EP31" s="227"/>
      <c r="EQ31" s="221"/>
      <c r="ER31" s="220"/>
      <c r="ES31" s="221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 ca="1">IF(OR(I26="●",I26="△"),
H25+2,H25+1)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18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19"/>
      <c r="E33" s="219"/>
      <c r="F33" s="219"/>
      <c r="G33" s="42" t="str">
        <f t="array" aca="1" ref="G33" ca="1">IF(C33&lt;&gt;"",
IF(AND(INDIRECT("'盛付札（関数）'!FI"&amp;A33)&gt;=124,INDIRECT("'盛付札（関数）'!FI"&amp;A33)&lt;=144),"",
"様"),"")</f>
        <v/>
      </c>
      <c r="H33" s="36">
        <f ca="1">IF(OR(B34="●",B34="△"),
A33+2,A33+1)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18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19"/>
      <c r="L33" s="219"/>
      <c r="M33" s="219"/>
      <c r="N33" s="42" t="str">
        <f t="array" aca="1" ref="N33" ca="1">IF(J33&lt;&gt;"",
IF(AND(INDIRECT("'盛付札（関数）'!FI"&amp;H33)&gt;=124,INDIRECT("'盛付札（関数）'!FI"&amp;H33)&lt;=144),"",
"様"),"")</f>
        <v/>
      </c>
      <c r="O33" s="22"/>
      <c r="P33" s="31">
        <f ca="1">IF(OR(X26="●",X26="△"),
W25+2,W25+1)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18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19"/>
      <c r="T33" s="219"/>
      <c r="U33" s="219"/>
      <c r="V33" s="42" t="str">
        <f t="array" aca="1" ref="V33" ca="1">IF(R33&lt;&gt;"",
IF(AND(INDIRECT("'盛付札（関数）'!FI"&amp;P33)&gt;=124,INDIRECT("'盛付札（関数）'!FI"&amp;P33)&lt;=144),"",
"様"),"")</f>
        <v/>
      </c>
      <c r="W33" s="36">
        <f ca="1">IF(OR(Q34="●",Q34="△"),
P33+2,P33+1)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18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19"/>
      <c r="AA33" s="219"/>
      <c r="AB33" s="219"/>
      <c r="AC33" s="42" t="str">
        <f t="array" aca="1" ref="AC33" ca="1">IF(Y33&lt;&gt;"",
IF(AND(INDIRECT("'盛付札（関数）'!FI"&amp;W33)&gt;=124,INDIRECT("'盛付札（関数）'!FI"&amp;W33)&lt;=144),"",
"様"),"")</f>
        <v/>
      </c>
      <c r="AD33" s="22"/>
      <c r="AE33" s="31">
        <f ca="1">IF(OR(AM26="●",AM26="△"),
AL25+2,AL25+1)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18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19"/>
      <c r="AI33" s="219"/>
      <c r="AJ33" s="219"/>
      <c r="AK33" s="42" t="str">
        <f t="array" aca="1" ref="AK33" ca="1">IF(AG33&lt;&gt;"",
IF(AND(INDIRECT("'盛付札（関数）'!FI"&amp;AE33)&gt;=124,INDIRECT("'盛付札（関数）'!FI"&amp;AE33)&lt;=144),"",
"様"),"")</f>
        <v/>
      </c>
      <c r="AL33" s="36">
        <f ca="1">IF(OR(AF34="●",AF34="△"),
AE33+2,AE33+1)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18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19"/>
      <c r="AP33" s="219"/>
      <c r="AQ33" s="219"/>
      <c r="AR33" s="42" t="str">
        <f t="array" aca="1" ref="AR33" ca="1">IF(AN33&lt;&gt;"",
IF(AND(INDIRECT("'盛付札（関数）'!FI"&amp;AL33)&gt;=124,INDIRECT("'盛付札（関数）'!FI"&amp;AL33)&lt;=144),"",
"様"),"")</f>
        <v/>
      </c>
      <c r="AS33" s="22"/>
      <c r="AT33" s="31">
        <f ca="1">IF(OR(BB26="●",BB26="△"),
BA25+2,BA25+1)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18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19"/>
      <c r="AX33" s="219"/>
      <c r="AY33" s="219"/>
      <c r="AZ33" s="42" t="str">
        <f t="array" aca="1" ref="AZ33" ca="1">IF(AV33&lt;&gt;"",
IF(AND(INDIRECT("'盛付札（関数）'!FI"&amp;AT33)&gt;=124,INDIRECT("'盛付札（関数）'!FI"&amp;AT33)&lt;=144),"",
"様"),"")</f>
        <v/>
      </c>
      <c r="BA33" s="36">
        <f ca="1">IF(OR(AU34="●",AU34="△"),
AT33+2,AT33+1)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18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19"/>
      <c r="BE33" s="219"/>
      <c r="BF33" s="219"/>
      <c r="BG33" s="42" t="str">
        <f t="array" aca="1" ref="BG33" ca="1">IF(BC33&lt;&gt;"",
IF(AND(INDIRECT("'盛付札（関数）'!FI"&amp;BA33)&gt;=124,INDIRECT("'盛付札（関数）'!FI"&amp;BA33)&lt;=144),"",
"様"),"")</f>
        <v/>
      </c>
      <c r="BH33" s="22"/>
      <c r="BI33" s="31">
        <f ca="1">IF(OR(BQ26="●",BQ26="△"),
BP25+2,BP25+1)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18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19"/>
      <c r="BM33" s="219"/>
      <c r="BN33" s="219"/>
      <c r="BO33" s="42" t="str">
        <f t="array" aca="1" ref="BO33" ca="1">IF(BK33&lt;&gt;"",
IF(AND(INDIRECT("'盛付札（関数）'!FI"&amp;BI33)&gt;=124,INDIRECT("'盛付札（関数）'!FI"&amp;BI33)&lt;=144),"",
"様"),"")</f>
        <v/>
      </c>
      <c r="BP33" s="36">
        <f ca="1">IF(OR(BJ34="●",BJ34="△"),
BI33+2,BI33+1)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18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19"/>
      <c r="BT33" s="219"/>
      <c r="BU33" s="219"/>
      <c r="BV33" s="42" t="str">
        <f t="array" aca="1" ref="BV33" ca="1">IF(BR33&lt;&gt;"",
IF(AND(INDIRECT("'盛付札（関数）'!FI"&amp;BP33)&gt;=124,INDIRECT("'盛付札（関数）'!FI"&amp;BP33)&lt;=144),"",
"様"),"")</f>
        <v/>
      </c>
      <c r="BW33" s="22"/>
      <c r="BX33" s="31">
        <f ca="1">IF(OR(CF26="●",CF26="△"),
CE25+2,CE25+1)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18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19"/>
      <c r="CB33" s="219"/>
      <c r="CC33" s="219"/>
      <c r="CD33" s="42" t="str">
        <f t="array" aca="1" ref="CD33" ca="1">IF(BZ33&lt;&gt;"",
IF(AND(INDIRECT("'盛付札（関数）'!FI"&amp;BX33)&gt;=124,INDIRECT("'盛付札（関数）'!FI"&amp;BX33)&lt;=144),"",
"様"),"")</f>
        <v/>
      </c>
      <c r="CE33" s="36">
        <f ca="1">IF(OR(BY34="●",BY34="△"),
BX33+2,BX33+1)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18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19"/>
      <c r="CI33" s="219"/>
      <c r="CJ33" s="219"/>
      <c r="CK33" s="42" t="str">
        <f t="array" aca="1" ref="CK33" ca="1">IF(CG33&lt;&gt;"",
IF(AND(INDIRECT("'盛付札（関数）'!FI"&amp;CE33)&gt;=124,INDIRECT("'盛付札（関数）'!FI"&amp;CE33)&lt;=144),"",
"様"),"")</f>
        <v/>
      </c>
      <c r="CL33" s="22"/>
      <c r="CM33" s="31">
        <f ca="1">IF(OR(CU26="●",CU26="△"),
CT25+2,CT25+1)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18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19"/>
      <c r="CQ33" s="219"/>
      <c r="CR33" s="219"/>
      <c r="CS33" s="42" t="str">
        <f t="array" aca="1" ref="CS33" ca="1">IF(CO33&lt;&gt;"",
IF(AND(INDIRECT("'盛付札（関数）'!FI"&amp;CM33)&gt;=124,INDIRECT("'盛付札（関数）'!FI"&amp;CM33)&lt;=144),"",
"様"),"")</f>
        <v/>
      </c>
      <c r="CT33" s="36">
        <f ca="1">IF(OR(CN34="●",CN34="△"),
CM33+2,CM33+1)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18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19"/>
      <c r="CX33" s="219"/>
      <c r="CY33" s="219"/>
      <c r="CZ33" s="42" t="str">
        <f t="array" aca="1" ref="CZ33" ca="1">IF(CV33&lt;&gt;"",
IF(AND(INDIRECT("'盛付札（関数）'!FI"&amp;CT33)&gt;=124,INDIRECT("'盛付札（関数）'!FI"&amp;CT33)&lt;=144),"",
"様"),"")</f>
        <v/>
      </c>
      <c r="DA33" s="22"/>
      <c r="DB33" s="31"/>
      <c r="DC33" s="43"/>
      <c r="DD33" s="218"/>
      <c r="DE33" s="219"/>
      <c r="DF33" s="219"/>
      <c r="DG33" s="219"/>
      <c r="DH33" s="42"/>
      <c r="DI33" s="36"/>
      <c r="DJ33" s="43"/>
      <c r="DK33" s="218"/>
      <c r="DL33" s="219"/>
      <c r="DM33" s="219"/>
      <c r="DN33" s="219"/>
      <c r="DO33" s="42"/>
      <c r="DP33" s="22"/>
      <c r="DQ33" s="31"/>
      <c r="DR33" s="43"/>
      <c r="DS33" s="218"/>
      <c r="DT33" s="219"/>
      <c r="DU33" s="219"/>
      <c r="DV33" s="219"/>
      <c r="DW33" s="42"/>
      <c r="DX33" s="36"/>
      <c r="DY33" s="43"/>
      <c r="DZ33" s="218"/>
      <c r="EA33" s="219"/>
      <c r="EB33" s="219"/>
      <c r="EC33" s="219"/>
      <c r="ED33" s="42"/>
      <c r="EE33" s="22"/>
      <c r="EF33" s="31"/>
      <c r="EG33" s="43"/>
      <c r="EH33" s="218"/>
      <c r="EI33" s="219"/>
      <c r="EJ33" s="219"/>
      <c r="EK33" s="219"/>
      <c r="EL33" s="42"/>
      <c r="EM33" s="36"/>
      <c r="EN33" s="43"/>
      <c r="EO33" s="218"/>
      <c r="EP33" s="219"/>
      <c r="EQ33" s="219"/>
      <c r="ER33" s="219"/>
      <c r="ES33" s="42"/>
      <c r="ET33" s="22"/>
    </row>
    <row r="34" spans="1:150" s="32" customFormat="1">
      <c r="A34" s="31"/>
      <c r="B34" s="33" t="str">
        <f ca="1">IF(COUNTIF(INDIRECT("'盛付札（関数）'!FJ"&amp;A33+1),"*雙葉*"),"●",
"〇")</f>
        <v>〇</v>
      </c>
      <c r="C34" s="47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>0</v>
      </c>
      <c r="D34" s="41"/>
      <c r="E34" s="41"/>
      <c r="F34" s="48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39"/>
      <c r="H34" s="49"/>
      <c r="I34" s="33" t="str">
        <f ca="1">IF(COUNTIF(INDIRECT("'盛付札（関数）'!FJ"&amp;H33+1),"*雙葉*"),"●",
"〇")</f>
        <v>〇</v>
      </c>
      <c r="J34" s="47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>0</v>
      </c>
      <c r="K34" s="41"/>
      <c r="L34" s="41"/>
      <c r="M34" s="48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39"/>
      <c r="O34" s="22"/>
      <c r="P34" s="31"/>
      <c r="Q34" s="33" t="str">
        <f ca="1">IF(COUNTIF(INDIRECT("'盛付札（関数）'!FJ"&amp;P33+1),"*雙葉*"),"●",
"〇")</f>
        <v>〇</v>
      </c>
      <c r="R34" s="47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>0</v>
      </c>
      <c r="S34" s="41"/>
      <c r="T34" s="41"/>
      <c r="U34" s="48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39"/>
      <c r="W34" s="49"/>
      <c r="X34" s="33" t="str">
        <f ca="1">IF(COUNTIF(INDIRECT("'盛付札（関数）'!FJ"&amp;W33+1),"*雙葉*"),"●",
"〇")</f>
        <v>〇</v>
      </c>
      <c r="Y34" s="47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>0</v>
      </c>
      <c r="Z34" s="41"/>
      <c r="AA34" s="41"/>
      <c r="AB34" s="48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39"/>
      <c r="AD34" s="22"/>
      <c r="AE34" s="31"/>
      <c r="AF34" s="33" t="str">
        <f ca="1">IF(COUNTIF(INDIRECT("'盛付札（関数）'!FJ"&amp;AE33+1),"*雙葉*"),"●",
"〇")</f>
        <v>〇</v>
      </c>
      <c r="AG34" s="47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>0</v>
      </c>
      <c r="AH34" s="41"/>
      <c r="AI34" s="41"/>
      <c r="AJ34" s="48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39"/>
      <c r="AL34" s="49"/>
      <c r="AM34" s="33" t="str">
        <f ca="1">IF(COUNTIF(INDIRECT("'盛付札（関数）'!FJ"&amp;AL33+1),"*雙葉*"),"●",
"〇")</f>
        <v>〇</v>
      </c>
      <c r="AN34" s="47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>0</v>
      </c>
      <c r="AO34" s="41"/>
      <c r="AP34" s="41"/>
      <c r="AQ34" s="48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39"/>
      <c r="AS34" s="22"/>
      <c r="AT34" s="31"/>
      <c r="AU34" s="33" t="str">
        <f ca="1">IF(COUNTIF(INDIRECT("'盛付札（関数）'!FJ"&amp;AT33+1),"*雙葉*"),"●",
"〇")</f>
        <v>〇</v>
      </c>
      <c r="AV34" s="47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>0</v>
      </c>
      <c r="AW34" s="41"/>
      <c r="AX34" s="41"/>
      <c r="AY34" s="48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39"/>
      <c r="BA34" s="49"/>
      <c r="BB34" s="33" t="str">
        <f ca="1">IF(COUNTIF(INDIRECT("'盛付札（関数）'!FJ"&amp;BA33+1),"*雙葉*"),"●",
"〇")</f>
        <v>〇</v>
      </c>
      <c r="BC34" s="47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>0</v>
      </c>
      <c r="BD34" s="41"/>
      <c r="BE34" s="41"/>
      <c r="BF34" s="48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39"/>
      <c r="BH34" s="22"/>
      <c r="BI34" s="31"/>
      <c r="BJ34" s="33" t="str">
        <f ca="1">IF(COUNTIF(INDIRECT("'盛付札（関数）'!FJ"&amp;BI33+1),"*雙葉*"),"●",
"〇")</f>
        <v>〇</v>
      </c>
      <c r="BK34" s="47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>0</v>
      </c>
      <c r="BL34" s="41"/>
      <c r="BM34" s="41"/>
      <c r="BN34" s="48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39"/>
      <c r="BP34" s="49"/>
      <c r="BQ34" s="33" t="str">
        <f ca="1">IF(COUNTIF(INDIRECT("'盛付札（関数）'!FJ"&amp;BP33+1),"*雙葉*"),"●",
"〇")</f>
        <v>〇</v>
      </c>
      <c r="BR34" s="47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>0</v>
      </c>
      <c r="BS34" s="41"/>
      <c r="BT34" s="41"/>
      <c r="BU34" s="48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39"/>
      <c r="BW34" s="22"/>
      <c r="BX34" s="31"/>
      <c r="BY34" s="33" t="str">
        <f ca="1">IF(COUNTIF(INDIRECT("'盛付札（関数）'!FJ"&amp;BX33+1),"*雙葉*"),"●",
"〇")</f>
        <v>〇</v>
      </c>
      <c r="BZ34" s="47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>0</v>
      </c>
      <c r="CA34" s="41"/>
      <c r="CB34" s="41"/>
      <c r="CC34" s="48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39"/>
      <c r="CE34" s="49"/>
      <c r="CF34" s="33" t="str">
        <f ca="1">IF(COUNTIF(INDIRECT("'盛付札（関数）'!FJ"&amp;CE33+1),"*雙葉*"),"●",
"〇")</f>
        <v>〇</v>
      </c>
      <c r="CG34" s="47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>0</v>
      </c>
      <c r="CH34" s="41"/>
      <c r="CI34" s="41"/>
      <c r="CJ34" s="48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39"/>
      <c r="CL34" s="22"/>
      <c r="CM34" s="31"/>
      <c r="CN34" s="33" t="str">
        <f ca="1">IF(COUNTIF(INDIRECT("'盛付札（関数）'!FJ"&amp;CM33+1),"*雙葉*"),"●",
"〇")</f>
        <v>〇</v>
      </c>
      <c r="CO34" s="47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>0</v>
      </c>
      <c r="CP34" s="41"/>
      <c r="CQ34" s="41"/>
      <c r="CR34" s="48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39"/>
      <c r="CT34" s="49"/>
      <c r="CU34" s="33" t="str">
        <f ca="1">IF(COUNTIF(INDIRECT("'盛付札（関数）'!FJ"&amp;CT33+1),"*雙葉*"),"●",
"〇")</f>
        <v>〇</v>
      </c>
      <c r="CV34" s="47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>0</v>
      </c>
      <c r="CW34" s="41"/>
      <c r="CX34" s="41"/>
      <c r="CY34" s="48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16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17"/>
      <c r="E35" s="22"/>
      <c r="F35" s="32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40"/>
      <c r="H35" s="36"/>
      <c r="I35" s="34"/>
      <c r="J35" s="216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17"/>
      <c r="L35" s="22"/>
      <c r="M35" s="32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40"/>
      <c r="O35" s="22"/>
      <c r="P35" s="31"/>
      <c r="Q35" s="34"/>
      <c r="R35" s="216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17"/>
      <c r="T35" s="22"/>
      <c r="U35" s="32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40"/>
      <c r="W35" s="36"/>
      <c r="X35" s="34"/>
      <c r="Y35" s="216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17"/>
      <c r="AA35" s="22"/>
      <c r="AB35" s="32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40"/>
      <c r="AD35" s="22"/>
      <c r="AE35" s="31"/>
      <c r="AF35" s="34"/>
      <c r="AG35" s="216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17"/>
      <c r="AI35" s="22"/>
      <c r="AJ35" s="32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40"/>
      <c r="AL35" s="36"/>
      <c r="AM35" s="34"/>
      <c r="AN35" s="216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17"/>
      <c r="AP35" s="22"/>
      <c r="AQ35" s="32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40"/>
      <c r="AS35" s="22"/>
      <c r="AT35" s="31"/>
      <c r="AU35" s="34"/>
      <c r="AV35" s="216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17"/>
      <c r="AX35" s="22"/>
      <c r="AY35" s="32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40"/>
      <c r="BA35" s="36"/>
      <c r="BB35" s="34"/>
      <c r="BC35" s="216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17"/>
      <c r="BE35" s="22"/>
      <c r="BF35" s="32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40"/>
      <c r="BH35" s="22"/>
      <c r="BI35" s="31"/>
      <c r="BJ35" s="34"/>
      <c r="BK35" s="216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17"/>
      <c r="BM35" s="22"/>
      <c r="BN35" s="32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40"/>
      <c r="BP35" s="36"/>
      <c r="BQ35" s="34"/>
      <c r="BR35" s="216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17"/>
      <c r="BT35" s="22"/>
      <c r="BU35" s="32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40"/>
      <c r="BW35" s="22"/>
      <c r="BX35" s="31"/>
      <c r="BY35" s="34"/>
      <c r="BZ35" s="216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17"/>
      <c r="CB35" s="22"/>
      <c r="CC35" s="32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40"/>
      <c r="CE35" s="36"/>
      <c r="CF35" s="34"/>
      <c r="CG35" s="216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17"/>
      <c r="CI35" s="22"/>
      <c r="CJ35" s="32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40"/>
      <c r="CL35" s="22"/>
      <c r="CM35" s="31"/>
      <c r="CN35" s="34"/>
      <c r="CO35" s="216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17"/>
      <c r="CQ35" s="22"/>
      <c r="CR35" s="32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40"/>
      <c r="CT35" s="36"/>
      <c r="CU35" s="34"/>
      <c r="CV35" s="216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17"/>
      <c r="CX35" s="22"/>
      <c r="CY35" s="32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40"/>
      <c r="DA35" s="22"/>
      <c r="DB35" s="31"/>
      <c r="DC35" s="34"/>
      <c r="DD35" s="216"/>
      <c r="DE35" s="217"/>
      <c r="DF35" s="22"/>
      <c r="DH35" s="40"/>
      <c r="DI35" s="36"/>
      <c r="DJ35" s="34"/>
      <c r="DK35" s="216"/>
      <c r="DL35" s="217"/>
      <c r="DM35" s="22"/>
      <c r="DO35" s="40"/>
      <c r="DP35" s="22"/>
      <c r="DQ35" s="31"/>
      <c r="DR35" s="34"/>
      <c r="DS35" s="216"/>
      <c r="DT35" s="217"/>
      <c r="DU35" s="22"/>
      <c r="DW35" s="40"/>
      <c r="DX35" s="36"/>
      <c r="DY35" s="34"/>
      <c r="DZ35" s="216"/>
      <c r="EA35" s="217"/>
      <c r="EB35" s="22"/>
      <c r="ED35" s="40"/>
      <c r="EE35" s="22"/>
      <c r="EF35" s="31"/>
      <c r="EG35" s="34"/>
      <c r="EH35" s="216"/>
      <c r="EI35" s="217"/>
      <c r="EJ35" s="22"/>
      <c r="EL35" s="40"/>
      <c r="EM35" s="36"/>
      <c r="EN35" s="34"/>
      <c r="EO35" s="216"/>
      <c r="EP35" s="217"/>
      <c r="EQ35" s="22"/>
      <c r="ES35" s="40"/>
      <c r="ET35" s="22"/>
    </row>
    <row r="36" spans="1:150" ht="15.6" customHeight="1">
      <c r="B36" s="25"/>
      <c r="C36" s="222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>0</v>
      </c>
      <c r="D36" s="223"/>
      <c r="E36" s="50"/>
      <c r="F36" s="225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26"/>
      <c r="H36" s="26"/>
      <c r="I36" s="25"/>
      <c r="J36" s="222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>0</v>
      </c>
      <c r="K36" s="223"/>
      <c r="L36" s="50"/>
      <c r="M36" s="225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26"/>
      <c r="Q36" s="25"/>
      <c r="R36" s="222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>0</v>
      </c>
      <c r="S36" s="223"/>
      <c r="T36" s="50"/>
      <c r="U36" s="225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26"/>
      <c r="W36" s="26"/>
      <c r="X36" s="25"/>
      <c r="Y36" s="222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>0</v>
      </c>
      <c r="Z36" s="223"/>
      <c r="AA36" s="50"/>
      <c r="AB36" s="225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26"/>
      <c r="AF36" s="25"/>
      <c r="AG36" s="222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>0</v>
      </c>
      <c r="AH36" s="223"/>
      <c r="AI36" s="50"/>
      <c r="AJ36" s="225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26"/>
      <c r="AL36" s="26"/>
      <c r="AM36" s="25"/>
      <c r="AN36" s="222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>0</v>
      </c>
      <c r="AO36" s="223"/>
      <c r="AP36" s="50"/>
      <c r="AQ36" s="225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26"/>
      <c r="AU36" s="25"/>
      <c r="AV36" s="222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>0</v>
      </c>
      <c r="AW36" s="223"/>
      <c r="AX36" s="50"/>
      <c r="AY36" s="225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26"/>
      <c r="BA36" s="26"/>
      <c r="BB36" s="25"/>
      <c r="BC36" s="222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>0</v>
      </c>
      <c r="BD36" s="223"/>
      <c r="BE36" s="50"/>
      <c r="BF36" s="225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26"/>
      <c r="BJ36" s="25"/>
      <c r="BK36" s="222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>0</v>
      </c>
      <c r="BL36" s="223"/>
      <c r="BM36" s="50"/>
      <c r="BN36" s="225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26"/>
      <c r="BP36" s="26"/>
      <c r="BQ36" s="25"/>
      <c r="BR36" s="222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>0</v>
      </c>
      <c r="BS36" s="223"/>
      <c r="BT36" s="50"/>
      <c r="BU36" s="225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26"/>
      <c r="BY36" s="25"/>
      <c r="BZ36" s="222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>0</v>
      </c>
      <c r="CA36" s="223"/>
      <c r="CB36" s="50"/>
      <c r="CC36" s="225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26"/>
      <c r="CE36" s="26"/>
      <c r="CF36" s="25"/>
      <c r="CG36" s="222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>0</v>
      </c>
      <c r="CH36" s="223"/>
      <c r="CI36" s="50"/>
      <c r="CJ36" s="225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26"/>
      <c r="CN36" s="25"/>
      <c r="CO36" s="222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>0</v>
      </c>
      <c r="CP36" s="223"/>
      <c r="CQ36" s="50"/>
      <c r="CR36" s="225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26"/>
      <c r="CT36" s="26"/>
      <c r="CU36" s="25"/>
      <c r="CV36" s="222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>0</v>
      </c>
      <c r="CW36" s="223"/>
      <c r="CX36" s="50"/>
      <c r="CY36" s="225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26"/>
      <c r="DC36" s="25"/>
      <c r="DD36" s="222"/>
      <c r="DE36" s="223"/>
      <c r="DF36" s="50"/>
      <c r="DG36" s="225"/>
      <c r="DH36" s="226"/>
      <c r="DI36" s="26"/>
      <c r="DJ36" s="25"/>
      <c r="DK36" s="222"/>
      <c r="DL36" s="223"/>
      <c r="DM36" s="50"/>
      <c r="DN36" s="225"/>
      <c r="DO36" s="226"/>
      <c r="DR36" s="25"/>
      <c r="DS36" s="222"/>
      <c r="DT36" s="223"/>
      <c r="DU36" s="50"/>
      <c r="DV36" s="225"/>
      <c r="DW36" s="226"/>
      <c r="DX36" s="26"/>
      <c r="DY36" s="25"/>
      <c r="DZ36" s="222"/>
      <c r="EA36" s="223"/>
      <c r="EB36" s="50"/>
      <c r="EC36" s="225"/>
      <c r="ED36" s="226"/>
      <c r="EG36" s="25"/>
      <c r="EH36" s="222"/>
      <c r="EI36" s="223"/>
      <c r="EJ36" s="50"/>
      <c r="EK36" s="225"/>
      <c r="EL36" s="226"/>
      <c r="EM36" s="26"/>
      <c r="EN36" s="25"/>
      <c r="EO36" s="222"/>
      <c r="EP36" s="223"/>
      <c r="EQ36" s="50"/>
      <c r="ER36" s="225"/>
      <c r="ES36" s="226"/>
    </row>
    <row r="37" spans="1:150" ht="15.6" customHeight="1">
      <c r="B37" s="27"/>
      <c r="C37" s="224"/>
      <c r="D37" s="224"/>
      <c r="E37" s="44"/>
      <c r="F37" s="224"/>
      <c r="G37" s="221"/>
      <c r="H37" s="26"/>
      <c r="I37" s="27"/>
      <c r="J37" s="224"/>
      <c r="K37" s="224"/>
      <c r="L37" s="44"/>
      <c r="M37" s="224"/>
      <c r="N37" s="221"/>
      <c r="Q37" s="27"/>
      <c r="R37" s="224"/>
      <c r="S37" s="224"/>
      <c r="T37" s="44"/>
      <c r="U37" s="224"/>
      <c r="V37" s="221"/>
      <c r="W37" s="26"/>
      <c r="X37" s="27"/>
      <c r="Y37" s="224"/>
      <c r="Z37" s="224"/>
      <c r="AA37" s="44"/>
      <c r="AB37" s="224"/>
      <c r="AC37" s="221"/>
      <c r="AF37" s="27"/>
      <c r="AG37" s="224"/>
      <c r="AH37" s="224"/>
      <c r="AI37" s="44"/>
      <c r="AJ37" s="224"/>
      <c r="AK37" s="221"/>
      <c r="AL37" s="26"/>
      <c r="AM37" s="27"/>
      <c r="AN37" s="224"/>
      <c r="AO37" s="224"/>
      <c r="AP37" s="44"/>
      <c r="AQ37" s="224"/>
      <c r="AR37" s="221"/>
      <c r="AU37" s="27"/>
      <c r="AV37" s="224"/>
      <c r="AW37" s="224"/>
      <c r="AX37" s="44"/>
      <c r="AY37" s="224"/>
      <c r="AZ37" s="221"/>
      <c r="BA37" s="26"/>
      <c r="BB37" s="27"/>
      <c r="BC37" s="224"/>
      <c r="BD37" s="224"/>
      <c r="BE37" s="44"/>
      <c r="BF37" s="224"/>
      <c r="BG37" s="221"/>
      <c r="BJ37" s="27"/>
      <c r="BK37" s="224"/>
      <c r="BL37" s="224"/>
      <c r="BM37" s="44"/>
      <c r="BN37" s="224"/>
      <c r="BO37" s="221"/>
      <c r="BP37" s="26"/>
      <c r="BQ37" s="27"/>
      <c r="BR37" s="224"/>
      <c r="BS37" s="224"/>
      <c r="BT37" s="44"/>
      <c r="BU37" s="224"/>
      <c r="BV37" s="221"/>
      <c r="BY37" s="27"/>
      <c r="BZ37" s="224"/>
      <c r="CA37" s="224"/>
      <c r="CB37" s="44"/>
      <c r="CC37" s="224"/>
      <c r="CD37" s="221"/>
      <c r="CE37" s="26"/>
      <c r="CF37" s="27"/>
      <c r="CG37" s="224"/>
      <c r="CH37" s="224"/>
      <c r="CI37" s="44"/>
      <c r="CJ37" s="224"/>
      <c r="CK37" s="221"/>
      <c r="CN37" s="27"/>
      <c r="CO37" s="224"/>
      <c r="CP37" s="224"/>
      <c r="CQ37" s="44"/>
      <c r="CR37" s="224"/>
      <c r="CS37" s="221"/>
      <c r="CT37" s="26"/>
      <c r="CU37" s="27"/>
      <c r="CV37" s="224"/>
      <c r="CW37" s="224"/>
      <c r="CX37" s="44"/>
      <c r="CY37" s="224"/>
      <c r="CZ37" s="221"/>
      <c r="DC37" s="27"/>
      <c r="DD37" s="224"/>
      <c r="DE37" s="224"/>
      <c r="DF37" s="44"/>
      <c r="DG37" s="224"/>
      <c r="DH37" s="221"/>
      <c r="DI37" s="26"/>
      <c r="DJ37" s="27"/>
      <c r="DK37" s="224"/>
      <c r="DL37" s="224"/>
      <c r="DM37" s="44"/>
      <c r="DN37" s="224"/>
      <c r="DO37" s="221"/>
      <c r="DR37" s="27"/>
      <c r="DS37" s="224"/>
      <c r="DT37" s="224"/>
      <c r="DU37" s="44"/>
      <c r="DV37" s="224"/>
      <c r="DW37" s="221"/>
      <c r="DX37" s="26"/>
      <c r="DY37" s="27"/>
      <c r="DZ37" s="224"/>
      <c r="EA37" s="224"/>
      <c r="EB37" s="44"/>
      <c r="EC37" s="224"/>
      <c r="ED37" s="221"/>
      <c r="EG37" s="27"/>
      <c r="EH37" s="224"/>
      <c r="EI37" s="224"/>
      <c r="EJ37" s="44"/>
      <c r="EK37" s="224"/>
      <c r="EL37" s="221"/>
      <c r="EM37" s="26"/>
      <c r="EN37" s="27"/>
      <c r="EO37" s="224"/>
      <c r="EP37" s="224"/>
      <c r="EQ37" s="44"/>
      <c r="ER37" s="224"/>
      <c r="ES37" s="221"/>
    </row>
    <row r="38" spans="1:150" s="32" customFormat="1">
      <c r="A38" s="31"/>
      <c r="B38" s="37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35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37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35"/>
      <c r="F38" s="37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40"/>
      <c r="H38" s="22"/>
      <c r="I38" s="37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35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37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35"/>
      <c r="M38" s="37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40"/>
      <c r="O38" s="22"/>
      <c r="P38" s="31"/>
      <c r="Q38" s="37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35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37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35"/>
      <c r="U38" s="37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40"/>
      <c r="W38" s="22"/>
      <c r="X38" s="37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35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37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35"/>
      <c r="AB38" s="37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40"/>
      <c r="AD38" s="22"/>
      <c r="AE38" s="31"/>
      <c r="AF38" s="37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35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37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35"/>
      <c r="AJ38" s="37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40"/>
      <c r="AL38" s="22"/>
      <c r="AM38" s="37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35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37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35"/>
      <c r="AQ38" s="37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40"/>
      <c r="AS38" s="22"/>
      <c r="AT38" s="31"/>
      <c r="AU38" s="37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35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37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35"/>
      <c r="AY38" s="37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40"/>
      <c r="BA38" s="22"/>
      <c r="BB38" s="37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35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37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35"/>
      <c r="BF38" s="37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40"/>
      <c r="BH38" s="22"/>
      <c r="BI38" s="31"/>
      <c r="BJ38" s="37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35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37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35"/>
      <c r="BN38" s="37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40"/>
      <c r="BP38" s="22"/>
      <c r="BQ38" s="37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35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37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35"/>
      <c r="BU38" s="37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40"/>
      <c r="BW38" s="22"/>
      <c r="BX38" s="31"/>
      <c r="BY38" s="37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35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37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35"/>
      <c r="CC38" s="37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40"/>
      <c r="CE38" s="22"/>
      <c r="CF38" s="37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35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37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35"/>
      <c r="CJ38" s="37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40"/>
      <c r="CL38" s="22"/>
      <c r="CM38" s="31"/>
      <c r="CN38" s="37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35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37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35"/>
      <c r="CR38" s="37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40"/>
      <c r="CT38" s="22"/>
      <c r="CU38" s="37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35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37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35"/>
      <c r="CY38" s="37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27" t="str">
        <f ca="1">IF(C36&lt;&gt;"",
IFERROR(INT(C36/C38),""),"")</f>
        <v/>
      </c>
      <c r="C39" s="221"/>
      <c r="D39" s="227" t="str">
        <f ca="1">IFERROR(MOD(C36,C38),"")</f>
        <v/>
      </c>
      <c r="E39" s="221"/>
      <c r="F39" s="220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21"/>
      <c r="I39" s="227" t="str">
        <f ca="1">IF(J36&lt;&gt;"",
IFERROR(INT(J36/J38),""),"")</f>
        <v/>
      </c>
      <c r="J39" s="221"/>
      <c r="K39" s="227" t="str">
        <f ca="1">IFERROR(MOD(J36,J38),"")</f>
        <v/>
      </c>
      <c r="L39" s="221"/>
      <c r="M39" s="220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21"/>
      <c r="Q39" s="227" t="str">
        <f ca="1">IF(R36&lt;&gt;"",
IFERROR(INT(R36/R38),""),"")</f>
        <v/>
      </c>
      <c r="R39" s="221"/>
      <c r="S39" s="227" t="str">
        <f ca="1">IFERROR(MOD(R36,R38),"")</f>
        <v/>
      </c>
      <c r="T39" s="221"/>
      <c r="U39" s="220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21"/>
      <c r="X39" s="227" t="str">
        <f ca="1">IF(Y36&lt;&gt;"",
IFERROR(INT(Y36/Y38),""),"")</f>
        <v/>
      </c>
      <c r="Y39" s="221"/>
      <c r="Z39" s="227" t="str">
        <f ca="1">IFERROR(MOD(Y36,Y38),"")</f>
        <v/>
      </c>
      <c r="AA39" s="221"/>
      <c r="AB39" s="220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21"/>
      <c r="AF39" s="227" t="str">
        <f ca="1">IF(AG36&lt;&gt;"",
IFERROR(INT(AG36/AG38),""),"")</f>
        <v/>
      </c>
      <c r="AG39" s="221"/>
      <c r="AH39" s="227" t="str">
        <f ca="1">IFERROR(MOD(AG36,AG38),"")</f>
        <v/>
      </c>
      <c r="AI39" s="221"/>
      <c r="AJ39" s="220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21"/>
      <c r="AM39" s="227" t="str">
        <f ca="1">IF(AN36&lt;&gt;"",
IFERROR(INT(AN36/AN38),""),"")</f>
        <v/>
      </c>
      <c r="AN39" s="221"/>
      <c r="AO39" s="227" t="str">
        <f ca="1">IFERROR(MOD(AN36,AN38),"")</f>
        <v/>
      </c>
      <c r="AP39" s="221"/>
      <c r="AQ39" s="220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21"/>
      <c r="AU39" s="227" t="str">
        <f ca="1">IF(AV36&lt;&gt;"",
IFERROR(INT(AV36/AV38),""),"")</f>
        <v/>
      </c>
      <c r="AV39" s="221"/>
      <c r="AW39" s="227" t="str">
        <f ca="1">IFERROR(MOD(AV36,AV38),"")</f>
        <v/>
      </c>
      <c r="AX39" s="221"/>
      <c r="AY39" s="220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21"/>
      <c r="BB39" s="227" t="str">
        <f ca="1">IF(BC36&lt;&gt;"",
IFERROR(INT(BC36/BC38),""),"")</f>
        <v/>
      </c>
      <c r="BC39" s="221"/>
      <c r="BD39" s="227" t="str">
        <f ca="1">IFERROR(MOD(BC36,BC38),"")</f>
        <v/>
      </c>
      <c r="BE39" s="221"/>
      <c r="BF39" s="220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21"/>
      <c r="BJ39" s="227" t="str">
        <f ca="1">IF(BK36&lt;&gt;"",
IFERROR(INT(BK36/BK38),""),"")</f>
        <v/>
      </c>
      <c r="BK39" s="221"/>
      <c r="BL39" s="227" t="str">
        <f ca="1">IFERROR(MOD(BK36,BK38),"")</f>
        <v/>
      </c>
      <c r="BM39" s="221"/>
      <c r="BN39" s="220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21"/>
      <c r="BQ39" s="227" t="str">
        <f ca="1">IF(BR36&lt;&gt;"",
IFERROR(INT(BR36/BR38),""),"")</f>
        <v/>
      </c>
      <c r="BR39" s="221"/>
      <c r="BS39" s="227" t="str">
        <f ca="1">IFERROR(MOD(BR36,BR38),"")</f>
        <v/>
      </c>
      <c r="BT39" s="221"/>
      <c r="BU39" s="220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21"/>
      <c r="BY39" s="227" t="str">
        <f ca="1">IF(BZ36&lt;&gt;"",
IFERROR(INT(BZ36/BZ38),""),"")</f>
        <v/>
      </c>
      <c r="BZ39" s="221"/>
      <c r="CA39" s="227" t="str">
        <f ca="1">IFERROR(MOD(BZ36,BZ38),"")</f>
        <v/>
      </c>
      <c r="CB39" s="221"/>
      <c r="CC39" s="220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21"/>
      <c r="CF39" s="227" t="str">
        <f ca="1">IF(CG36&lt;&gt;"",
IFERROR(INT(CG36/CG38),""),"")</f>
        <v/>
      </c>
      <c r="CG39" s="221"/>
      <c r="CH39" s="227" t="str">
        <f ca="1">IFERROR(MOD(CG36,CG38),"")</f>
        <v/>
      </c>
      <c r="CI39" s="221"/>
      <c r="CJ39" s="220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21"/>
      <c r="CN39" s="227" t="str">
        <f ca="1">IF(CO36&lt;&gt;"",
IFERROR(INT(CO36/CO38),""),"")</f>
        <v/>
      </c>
      <c r="CO39" s="221"/>
      <c r="CP39" s="227" t="str">
        <f ca="1">IFERROR(MOD(CO36,CO38),"")</f>
        <v/>
      </c>
      <c r="CQ39" s="221"/>
      <c r="CR39" s="220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21"/>
      <c r="CU39" s="227" t="str">
        <f ca="1">IF(CV36&lt;&gt;"",
IFERROR(INT(CV36/CV38),""),"")</f>
        <v/>
      </c>
      <c r="CV39" s="221"/>
      <c r="CW39" s="227" t="str">
        <f ca="1">IFERROR(MOD(CV36,CV38),"")</f>
        <v/>
      </c>
      <c r="CX39" s="221"/>
      <c r="CY39" s="220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21"/>
      <c r="DC39" s="227"/>
      <c r="DD39" s="221"/>
      <c r="DE39" s="227"/>
      <c r="DF39" s="221"/>
      <c r="DG39" s="220"/>
      <c r="DH39" s="221"/>
      <c r="DJ39" s="227"/>
      <c r="DK39" s="221"/>
      <c r="DL39" s="227"/>
      <c r="DM39" s="221"/>
      <c r="DN39" s="220"/>
      <c r="DO39" s="221"/>
      <c r="DR39" s="227"/>
      <c r="DS39" s="221"/>
      <c r="DT39" s="227"/>
      <c r="DU39" s="221"/>
      <c r="DV39" s="220"/>
      <c r="DW39" s="221"/>
      <c r="DY39" s="227"/>
      <c r="DZ39" s="221"/>
      <c r="EA39" s="227"/>
      <c r="EB39" s="221"/>
      <c r="EC39" s="220"/>
      <c r="ED39" s="221"/>
      <c r="EG39" s="227"/>
      <c r="EH39" s="221"/>
      <c r="EI39" s="227"/>
      <c r="EJ39" s="221"/>
      <c r="EK39" s="220"/>
      <c r="EL39" s="221"/>
      <c r="EN39" s="227"/>
      <c r="EO39" s="221"/>
      <c r="EP39" s="227"/>
      <c r="EQ39" s="221"/>
      <c r="ER39" s="220"/>
      <c r="ES39" s="221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 ca="1">IF(OR(I34="●",I34="△"),
H33+2,H33+1)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18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19"/>
      <c r="E41" s="219"/>
      <c r="F41" s="219"/>
      <c r="G41" s="42" t="str">
        <f t="array" aca="1" ref="G41" ca="1">IF(C41&lt;&gt;"",
IF(AND(INDIRECT("'盛付札（関数）'!FI"&amp;A41)&gt;=124,INDIRECT("'盛付札（関数）'!FI"&amp;A41)&lt;=144),"",
"様"),"")</f>
        <v/>
      </c>
      <c r="H41" s="36">
        <f ca="1">IF(OR(B42="●",B42="△"),
A41+2,A41+1)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18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19"/>
      <c r="L41" s="219"/>
      <c r="M41" s="219"/>
      <c r="N41" s="42" t="str">
        <f t="array" aca="1" ref="N41" ca="1">IF(J41&lt;&gt;"",
IF(AND(INDIRECT("'盛付札（関数）'!FI"&amp;H41)&gt;=124,INDIRECT("'盛付札（関数）'!FI"&amp;H41)&lt;=144),"",
"様"),"")</f>
        <v/>
      </c>
      <c r="O41" s="22"/>
      <c r="P41" s="31">
        <f ca="1">IF(OR(X34="●",X34="△"),
W33+2,W33+1)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18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19"/>
      <c r="T41" s="219"/>
      <c r="U41" s="219"/>
      <c r="V41" s="42" t="str">
        <f t="array" aca="1" ref="V41" ca="1">IF(R41&lt;&gt;"",
IF(AND(INDIRECT("'盛付札（関数）'!FI"&amp;P41)&gt;=124,INDIRECT("'盛付札（関数）'!FI"&amp;P41)&lt;=144),"",
"様"),"")</f>
        <v/>
      </c>
      <c r="W41" s="36">
        <f ca="1">IF(OR(Q42="●",Q42="△"),
P41+2,P41+1)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18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19"/>
      <c r="AA41" s="219"/>
      <c r="AB41" s="219"/>
      <c r="AC41" s="42" t="str">
        <f t="array" aca="1" ref="AC41" ca="1">IF(Y41&lt;&gt;"",
IF(AND(INDIRECT("'盛付札（関数）'!FI"&amp;W41)&gt;=124,INDIRECT("'盛付札（関数）'!FI"&amp;W41)&lt;=144),"",
"様"),"")</f>
        <v/>
      </c>
      <c r="AD41" s="22"/>
      <c r="AE41" s="31">
        <f ca="1">IF(OR(AM34="●",AM34="△"),
AL33+2,AL33+1)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18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19"/>
      <c r="AI41" s="219"/>
      <c r="AJ41" s="219"/>
      <c r="AK41" s="42" t="str">
        <f t="array" aca="1" ref="AK41" ca="1">IF(AG41&lt;&gt;"",
IF(AND(INDIRECT("'盛付札（関数）'!FI"&amp;AE41)&gt;=124,INDIRECT("'盛付札（関数）'!FI"&amp;AE41)&lt;=144),"",
"様"),"")</f>
        <v/>
      </c>
      <c r="AL41" s="36">
        <f ca="1">IF(OR(AF42="●",AF42="△"),
AE41+2,AE41+1)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18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19"/>
      <c r="AP41" s="219"/>
      <c r="AQ41" s="219"/>
      <c r="AR41" s="42" t="str">
        <f t="array" aca="1" ref="AR41" ca="1">IF(AN41&lt;&gt;"",
IF(AND(INDIRECT("'盛付札（関数）'!FI"&amp;AL41)&gt;=124,INDIRECT("'盛付札（関数）'!FI"&amp;AL41)&lt;=144),"",
"様"),"")</f>
        <v/>
      </c>
      <c r="AS41" s="22"/>
      <c r="AT41" s="31">
        <f ca="1">IF(OR(BB34="●",BB34="△"),
BA33+2,BA33+1)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18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19"/>
      <c r="AX41" s="219"/>
      <c r="AY41" s="219"/>
      <c r="AZ41" s="42" t="str">
        <f t="array" aca="1" ref="AZ41" ca="1">IF(AV41&lt;&gt;"",
IF(AND(INDIRECT("'盛付札（関数）'!FI"&amp;AT41)&gt;=124,INDIRECT("'盛付札（関数）'!FI"&amp;AT41)&lt;=144),"",
"様"),"")</f>
        <v/>
      </c>
      <c r="BA41" s="36">
        <f ca="1">IF(OR(AU42="●",AU42="△"),
AT41+2,AT41+1)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18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19"/>
      <c r="BE41" s="219"/>
      <c r="BF41" s="219"/>
      <c r="BG41" s="42" t="str">
        <f t="array" aca="1" ref="BG41" ca="1">IF(BC41&lt;&gt;"",
IF(AND(INDIRECT("'盛付札（関数）'!FI"&amp;BA41)&gt;=124,INDIRECT("'盛付札（関数）'!FI"&amp;BA41)&lt;=144),"",
"様"),"")</f>
        <v/>
      </c>
      <c r="BH41" s="22"/>
      <c r="BI41" s="31">
        <f ca="1">IF(OR(BQ34="●",BQ34="△"),
BP33+2,BP33+1)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18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19"/>
      <c r="BM41" s="219"/>
      <c r="BN41" s="219"/>
      <c r="BO41" s="42" t="str">
        <f t="array" aca="1" ref="BO41" ca="1">IF(BK41&lt;&gt;"",
IF(AND(INDIRECT("'盛付札（関数）'!FI"&amp;BI41)&gt;=124,INDIRECT("'盛付札（関数）'!FI"&amp;BI41)&lt;=144),"",
"様"),"")</f>
        <v/>
      </c>
      <c r="BP41" s="36">
        <f ca="1">IF(OR(BJ42="●",BJ42="△"),
BI41+2,BI41+1)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18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19"/>
      <c r="BT41" s="219"/>
      <c r="BU41" s="219"/>
      <c r="BV41" s="42" t="str">
        <f t="array" aca="1" ref="BV41" ca="1">IF(BR41&lt;&gt;"",
IF(AND(INDIRECT("'盛付札（関数）'!FI"&amp;BP41)&gt;=124,INDIRECT("'盛付札（関数）'!FI"&amp;BP41)&lt;=144),"",
"様"),"")</f>
        <v/>
      </c>
      <c r="BW41" s="22"/>
      <c r="BX41" s="31">
        <f ca="1">IF(OR(CF34="●",CF34="△"),
CE33+2,CE33+1)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18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19"/>
      <c r="CB41" s="219"/>
      <c r="CC41" s="219"/>
      <c r="CD41" s="42" t="str">
        <f t="array" aca="1" ref="CD41" ca="1">IF(BZ41&lt;&gt;"",
IF(AND(INDIRECT("'盛付札（関数）'!FI"&amp;BX41)&gt;=124,INDIRECT("'盛付札（関数）'!FI"&amp;BX41)&lt;=144),"",
"様"),"")</f>
        <v/>
      </c>
      <c r="CE41" s="36">
        <f ca="1">IF(OR(BY42="●",BY42="△"),
BX41+2,BX41+1)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18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19"/>
      <c r="CI41" s="219"/>
      <c r="CJ41" s="219"/>
      <c r="CK41" s="42" t="str">
        <f t="array" aca="1" ref="CK41" ca="1">IF(CG41&lt;&gt;"",
IF(AND(INDIRECT("'盛付札（関数）'!FI"&amp;CE41)&gt;=124,INDIRECT("'盛付札（関数）'!FI"&amp;CE41)&lt;=144),"",
"様"),"")</f>
        <v/>
      </c>
      <c r="CL41" s="22"/>
      <c r="CM41" s="31">
        <f ca="1">IF(OR(CU34="●",CU34="△"),
CT33+2,CT33+1)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18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19"/>
      <c r="CQ41" s="219"/>
      <c r="CR41" s="219"/>
      <c r="CS41" s="42" t="str">
        <f t="array" aca="1" ref="CS41" ca="1">IF(CO41&lt;&gt;"",
IF(AND(INDIRECT("'盛付札（関数）'!FI"&amp;CM41)&gt;=124,INDIRECT("'盛付札（関数）'!FI"&amp;CM41)&lt;=144),"",
"様"),"")</f>
        <v/>
      </c>
      <c r="CT41" s="36">
        <f ca="1">IF(OR(CN42="●",CN42="△"),
CM41+2,CM41+1)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18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19"/>
      <c r="CX41" s="219"/>
      <c r="CY41" s="219"/>
      <c r="CZ41" s="42" t="str">
        <f t="array" aca="1" ref="CZ41" ca="1">IF(CV41&lt;&gt;"",
IF(AND(INDIRECT("'盛付札（関数）'!FI"&amp;CT41)&gt;=124,INDIRECT("'盛付札（関数）'!FI"&amp;CT41)&lt;=144),"",
"様"),"")</f>
        <v/>
      </c>
      <c r="DA41" s="22"/>
      <c r="DB41" s="31"/>
      <c r="DC41" s="43"/>
      <c r="DD41" s="218"/>
      <c r="DE41" s="219"/>
      <c r="DF41" s="219"/>
      <c r="DG41" s="219"/>
      <c r="DH41" s="42"/>
      <c r="DI41" s="36"/>
      <c r="DJ41" s="43"/>
      <c r="DK41" s="218"/>
      <c r="DL41" s="219"/>
      <c r="DM41" s="219"/>
      <c r="DN41" s="219"/>
      <c r="DO41" s="42"/>
      <c r="DP41" s="22"/>
      <c r="DQ41" s="31"/>
      <c r="DR41" s="43"/>
      <c r="DS41" s="218"/>
      <c r="DT41" s="219"/>
      <c r="DU41" s="219"/>
      <c r="DV41" s="219"/>
      <c r="DW41" s="42"/>
      <c r="DX41" s="36"/>
      <c r="DY41" s="43"/>
      <c r="DZ41" s="218"/>
      <c r="EA41" s="219"/>
      <c r="EB41" s="219"/>
      <c r="EC41" s="219"/>
      <c r="ED41" s="42"/>
      <c r="EE41" s="22"/>
      <c r="EF41" s="31"/>
      <c r="EG41" s="43"/>
      <c r="EH41" s="218"/>
      <c r="EI41" s="219"/>
      <c r="EJ41" s="219"/>
      <c r="EK41" s="219"/>
      <c r="EL41" s="42"/>
      <c r="EM41" s="36"/>
      <c r="EN41" s="43"/>
      <c r="EO41" s="218"/>
      <c r="EP41" s="219"/>
      <c r="EQ41" s="219"/>
      <c r="ER41" s="219"/>
      <c r="ES41" s="42"/>
      <c r="ET41" s="22"/>
    </row>
    <row r="42" spans="1:150" s="32" customFormat="1">
      <c r="A42" s="31"/>
      <c r="B42" s="33" t="str">
        <f ca="1">IF(COUNTIF(INDIRECT("'盛付札（関数）'!FJ"&amp;A41+1),"*雙葉*"),"●",
"〇")</f>
        <v>〇</v>
      </c>
      <c r="C42" s="47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>0</v>
      </c>
      <c r="D42" s="41"/>
      <c r="E42" s="41"/>
      <c r="F42" s="48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39"/>
      <c r="H42" s="49"/>
      <c r="I42" s="33" t="str">
        <f ca="1">IF(COUNTIF(INDIRECT("'盛付札（関数）'!FJ"&amp;H41+1),"*雙葉*"),"●",
"〇")</f>
        <v>〇</v>
      </c>
      <c r="J42" s="47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>0</v>
      </c>
      <c r="K42" s="41"/>
      <c r="L42" s="41"/>
      <c r="M42" s="48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39"/>
      <c r="O42" s="22"/>
      <c r="P42" s="31"/>
      <c r="Q42" s="33" t="str">
        <f ca="1">IF(COUNTIF(INDIRECT("'盛付札（関数）'!FJ"&amp;P41+1),"*雙葉*"),"●",
"〇")</f>
        <v>〇</v>
      </c>
      <c r="R42" s="47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>0</v>
      </c>
      <c r="S42" s="41"/>
      <c r="T42" s="41"/>
      <c r="U42" s="48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39"/>
      <c r="W42" s="49"/>
      <c r="X42" s="33" t="str">
        <f ca="1">IF(COUNTIF(INDIRECT("'盛付札（関数）'!FJ"&amp;W41+1),"*雙葉*"),"●",
"〇")</f>
        <v>〇</v>
      </c>
      <c r="Y42" s="47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>0</v>
      </c>
      <c r="Z42" s="41"/>
      <c r="AA42" s="41"/>
      <c r="AB42" s="48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39"/>
      <c r="AD42" s="22"/>
      <c r="AE42" s="31"/>
      <c r="AF42" s="33" t="str">
        <f ca="1">IF(COUNTIF(INDIRECT("'盛付札（関数）'!FJ"&amp;AE41+1),"*雙葉*"),"●",
"〇")</f>
        <v>〇</v>
      </c>
      <c r="AG42" s="47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>0</v>
      </c>
      <c r="AH42" s="41"/>
      <c r="AI42" s="41"/>
      <c r="AJ42" s="48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39"/>
      <c r="AL42" s="49"/>
      <c r="AM42" s="33" t="str">
        <f ca="1">IF(COUNTIF(INDIRECT("'盛付札（関数）'!FJ"&amp;AL41+1),"*雙葉*"),"●",
"〇")</f>
        <v>〇</v>
      </c>
      <c r="AN42" s="47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>0</v>
      </c>
      <c r="AO42" s="41"/>
      <c r="AP42" s="41"/>
      <c r="AQ42" s="48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39"/>
      <c r="AS42" s="22"/>
      <c r="AT42" s="31"/>
      <c r="AU42" s="33" t="str">
        <f ca="1">IF(COUNTIF(INDIRECT("'盛付札（関数）'!FJ"&amp;AT41+1),"*雙葉*"),"●",
"〇")</f>
        <v>〇</v>
      </c>
      <c r="AV42" s="47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>0</v>
      </c>
      <c r="AW42" s="41"/>
      <c r="AX42" s="41"/>
      <c r="AY42" s="48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39"/>
      <c r="BA42" s="49"/>
      <c r="BB42" s="33" t="str">
        <f ca="1">IF(COUNTIF(INDIRECT("'盛付札（関数）'!FJ"&amp;BA41+1),"*雙葉*"),"●",
"〇")</f>
        <v>〇</v>
      </c>
      <c r="BC42" s="47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>0</v>
      </c>
      <c r="BD42" s="41"/>
      <c r="BE42" s="41"/>
      <c r="BF42" s="48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39"/>
      <c r="BH42" s="22"/>
      <c r="BI42" s="31"/>
      <c r="BJ42" s="33" t="str">
        <f ca="1">IF(COUNTIF(INDIRECT("'盛付札（関数）'!FJ"&amp;BI41+1),"*雙葉*"),"●",
"〇")</f>
        <v>〇</v>
      </c>
      <c r="BK42" s="47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>0</v>
      </c>
      <c r="BL42" s="41"/>
      <c r="BM42" s="41"/>
      <c r="BN42" s="48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39"/>
      <c r="BP42" s="49"/>
      <c r="BQ42" s="33" t="str">
        <f ca="1">IF(COUNTIF(INDIRECT("'盛付札（関数）'!FJ"&amp;BP41+1),"*雙葉*"),"●",
"〇")</f>
        <v>〇</v>
      </c>
      <c r="BR42" s="47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>0</v>
      </c>
      <c r="BS42" s="41"/>
      <c r="BT42" s="41"/>
      <c r="BU42" s="48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39"/>
      <c r="BW42" s="22"/>
      <c r="BX42" s="31"/>
      <c r="BY42" s="33" t="str">
        <f ca="1">IF(COUNTIF(INDIRECT("'盛付札（関数）'!FJ"&amp;BX41+1),"*雙葉*"),"●",
"〇")</f>
        <v>〇</v>
      </c>
      <c r="BZ42" s="47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>0</v>
      </c>
      <c r="CA42" s="41"/>
      <c r="CB42" s="41"/>
      <c r="CC42" s="48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39"/>
      <c r="CE42" s="49"/>
      <c r="CF42" s="33" t="str">
        <f ca="1">IF(COUNTIF(INDIRECT("'盛付札（関数）'!FJ"&amp;CE41+1),"*雙葉*"),"●",
"〇")</f>
        <v>〇</v>
      </c>
      <c r="CG42" s="47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>0</v>
      </c>
      <c r="CH42" s="41"/>
      <c r="CI42" s="41"/>
      <c r="CJ42" s="48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39"/>
      <c r="CL42" s="22"/>
      <c r="CM42" s="31"/>
      <c r="CN42" s="33" t="str">
        <f ca="1">IF(COUNTIF(INDIRECT("'盛付札（関数）'!FJ"&amp;CM41+1),"*雙葉*"),"●",
"〇")</f>
        <v>〇</v>
      </c>
      <c r="CO42" s="47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>0</v>
      </c>
      <c r="CP42" s="41"/>
      <c r="CQ42" s="41"/>
      <c r="CR42" s="48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39"/>
      <c r="CT42" s="49"/>
      <c r="CU42" s="33" t="str">
        <f ca="1">IF(COUNTIF(INDIRECT("'盛付札（関数）'!FJ"&amp;CT41+1),"*雙葉*"),"●",
"〇")</f>
        <v>〇</v>
      </c>
      <c r="CV42" s="47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>0</v>
      </c>
      <c r="CW42" s="41"/>
      <c r="CX42" s="41"/>
      <c r="CY42" s="48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16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17"/>
      <c r="E43" s="22"/>
      <c r="F43" s="32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40"/>
      <c r="H43" s="36"/>
      <c r="I43" s="34"/>
      <c r="J43" s="216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17"/>
      <c r="L43" s="22"/>
      <c r="M43" s="32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40"/>
      <c r="O43" s="22"/>
      <c r="P43" s="31"/>
      <c r="Q43" s="34"/>
      <c r="R43" s="216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17"/>
      <c r="T43" s="22"/>
      <c r="U43" s="32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40"/>
      <c r="W43" s="36"/>
      <c r="X43" s="34"/>
      <c r="Y43" s="216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17"/>
      <c r="AA43" s="22"/>
      <c r="AB43" s="32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40"/>
      <c r="AD43" s="22"/>
      <c r="AE43" s="31"/>
      <c r="AF43" s="34"/>
      <c r="AG43" s="216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17"/>
      <c r="AI43" s="22"/>
      <c r="AJ43" s="32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40"/>
      <c r="AL43" s="36"/>
      <c r="AM43" s="34"/>
      <c r="AN43" s="216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17"/>
      <c r="AP43" s="22"/>
      <c r="AQ43" s="32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40"/>
      <c r="AS43" s="22"/>
      <c r="AT43" s="31"/>
      <c r="AU43" s="34"/>
      <c r="AV43" s="216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17"/>
      <c r="AX43" s="22"/>
      <c r="AY43" s="32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40"/>
      <c r="BA43" s="36"/>
      <c r="BB43" s="34"/>
      <c r="BC43" s="216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17"/>
      <c r="BE43" s="22"/>
      <c r="BF43" s="32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40"/>
      <c r="BH43" s="22"/>
      <c r="BI43" s="31"/>
      <c r="BJ43" s="34"/>
      <c r="BK43" s="216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17"/>
      <c r="BM43" s="22"/>
      <c r="BN43" s="32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40"/>
      <c r="BP43" s="36"/>
      <c r="BQ43" s="34"/>
      <c r="BR43" s="216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17"/>
      <c r="BT43" s="22"/>
      <c r="BU43" s="32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40"/>
      <c r="BW43" s="22"/>
      <c r="BX43" s="31"/>
      <c r="BY43" s="34"/>
      <c r="BZ43" s="216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17"/>
      <c r="CB43" s="22"/>
      <c r="CC43" s="32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40"/>
      <c r="CE43" s="36"/>
      <c r="CF43" s="34"/>
      <c r="CG43" s="216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17"/>
      <c r="CI43" s="22"/>
      <c r="CJ43" s="32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40"/>
      <c r="CL43" s="22"/>
      <c r="CM43" s="31"/>
      <c r="CN43" s="34"/>
      <c r="CO43" s="216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17"/>
      <c r="CQ43" s="22"/>
      <c r="CR43" s="32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40"/>
      <c r="CT43" s="36"/>
      <c r="CU43" s="34"/>
      <c r="CV43" s="216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17"/>
      <c r="CX43" s="22"/>
      <c r="CY43" s="32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40"/>
      <c r="DA43" s="22"/>
      <c r="DB43" s="31"/>
      <c r="DC43" s="34"/>
      <c r="DD43" s="216"/>
      <c r="DE43" s="217"/>
      <c r="DF43" s="22"/>
      <c r="DH43" s="40"/>
      <c r="DI43" s="36"/>
      <c r="DJ43" s="34"/>
      <c r="DK43" s="216"/>
      <c r="DL43" s="217"/>
      <c r="DM43" s="22"/>
      <c r="DO43" s="40"/>
      <c r="DP43" s="22"/>
      <c r="DQ43" s="31"/>
      <c r="DR43" s="34"/>
      <c r="DS43" s="216"/>
      <c r="DT43" s="217"/>
      <c r="DU43" s="22"/>
      <c r="DW43" s="40"/>
      <c r="DX43" s="36"/>
      <c r="DY43" s="34"/>
      <c r="DZ43" s="216"/>
      <c r="EA43" s="217"/>
      <c r="EB43" s="22"/>
      <c r="ED43" s="40"/>
      <c r="EE43" s="22"/>
      <c r="EF43" s="31"/>
      <c r="EG43" s="34"/>
      <c r="EH43" s="216"/>
      <c r="EI43" s="217"/>
      <c r="EJ43" s="22"/>
      <c r="EL43" s="40"/>
      <c r="EM43" s="36"/>
      <c r="EN43" s="34"/>
      <c r="EO43" s="216"/>
      <c r="EP43" s="217"/>
      <c r="EQ43" s="22"/>
      <c r="ES43" s="40"/>
      <c r="ET43" s="22"/>
    </row>
    <row r="44" spans="1:150" ht="15.6" customHeight="1">
      <c r="B44" s="25"/>
      <c r="C44" s="222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>0</v>
      </c>
      <c r="D44" s="223"/>
      <c r="E44" s="50"/>
      <c r="F44" s="225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26"/>
      <c r="H44" s="26"/>
      <c r="I44" s="25"/>
      <c r="J44" s="222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>0</v>
      </c>
      <c r="K44" s="223"/>
      <c r="L44" s="50"/>
      <c r="M44" s="225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26"/>
      <c r="Q44" s="25"/>
      <c r="R44" s="222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>0</v>
      </c>
      <c r="S44" s="223"/>
      <c r="T44" s="50"/>
      <c r="U44" s="225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26"/>
      <c r="W44" s="26"/>
      <c r="X44" s="25"/>
      <c r="Y44" s="222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>0</v>
      </c>
      <c r="Z44" s="223"/>
      <c r="AA44" s="50"/>
      <c r="AB44" s="225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26"/>
      <c r="AF44" s="25"/>
      <c r="AG44" s="222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>0</v>
      </c>
      <c r="AH44" s="223"/>
      <c r="AI44" s="50"/>
      <c r="AJ44" s="225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26"/>
      <c r="AL44" s="26"/>
      <c r="AM44" s="25"/>
      <c r="AN44" s="222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>0</v>
      </c>
      <c r="AO44" s="223"/>
      <c r="AP44" s="50"/>
      <c r="AQ44" s="225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26"/>
      <c r="AU44" s="25"/>
      <c r="AV44" s="222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>0</v>
      </c>
      <c r="AW44" s="223"/>
      <c r="AX44" s="50"/>
      <c r="AY44" s="225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26"/>
      <c r="BA44" s="26"/>
      <c r="BB44" s="25"/>
      <c r="BC44" s="222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>0</v>
      </c>
      <c r="BD44" s="223"/>
      <c r="BE44" s="50"/>
      <c r="BF44" s="225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26"/>
      <c r="BJ44" s="25"/>
      <c r="BK44" s="222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>0</v>
      </c>
      <c r="BL44" s="223"/>
      <c r="BM44" s="50"/>
      <c r="BN44" s="225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26"/>
      <c r="BP44" s="26"/>
      <c r="BQ44" s="25"/>
      <c r="BR44" s="222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>0</v>
      </c>
      <c r="BS44" s="223"/>
      <c r="BT44" s="50"/>
      <c r="BU44" s="225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26"/>
      <c r="BY44" s="25"/>
      <c r="BZ44" s="222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>0</v>
      </c>
      <c r="CA44" s="223"/>
      <c r="CB44" s="50"/>
      <c r="CC44" s="225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26"/>
      <c r="CE44" s="26"/>
      <c r="CF44" s="25"/>
      <c r="CG44" s="222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>0</v>
      </c>
      <c r="CH44" s="223"/>
      <c r="CI44" s="50"/>
      <c r="CJ44" s="225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26"/>
      <c r="CN44" s="25"/>
      <c r="CO44" s="222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>0</v>
      </c>
      <c r="CP44" s="223"/>
      <c r="CQ44" s="50"/>
      <c r="CR44" s="225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26"/>
      <c r="CT44" s="26"/>
      <c r="CU44" s="25"/>
      <c r="CV44" s="222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>0</v>
      </c>
      <c r="CW44" s="223"/>
      <c r="CX44" s="50"/>
      <c r="CY44" s="225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26"/>
      <c r="DC44" s="25"/>
      <c r="DD44" s="222"/>
      <c r="DE44" s="223"/>
      <c r="DF44" s="50"/>
      <c r="DG44" s="225"/>
      <c r="DH44" s="226"/>
      <c r="DI44" s="26"/>
      <c r="DJ44" s="25"/>
      <c r="DK44" s="222"/>
      <c r="DL44" s="223"/>
      <c r="DM44" s="50"/>
      <c r="DN44" s="225"/>
      <c r="DO44" s="226"/>
      <c r="DR44" s="25"/>
      <c r="DS44" s="222"/>
      <c r="DT44" s="223"/>
      <c r="DU44" s="50"/>
      <c r="DV44" s="225"/>
      <c r="DW44" s="226"/>
      <c r="DX44" s="26"/>
      <c r="DY44" s="25"/>
      <c r="DZ44" s="222"/>
      <c r="EA44" s="223"/>
      <c r="EB44" s="50"/>
      <c r="EC44" s="225"/>
      <c r="ED44" s="226"/>
      <c r="EG44" s="25"/>
      <c r="EH44" s="222"/>
      <c r="EI44" s="223"/>
      <c r="EJ44" s="50"/>
      <c r="EK44" s="225"/>
      <c r="EL44" s="226"/>
      <c r="EM44" s="26"/>
      <c r="EN44" s="25"/>
      <c r="EO44" s="222"/>
      <c r="EP44" s="223"/>
      <c r="EQ44" s="50"/>
      <c r="ER44" s="225"/>
      <c r="ES44" s="226"/>
    </row>
    <row r="45" spans="1:150" ht="15.6" customHeight="1">
      <c r="B45" s="27"/>
      <c r="C45" s="224"/>
      <c r="D45" s="224"/>
      <c r="E45" s="44"/>
      <c r="F45" s="224"/>
      <c r="G45" s="221"/>
      <c r="H45" s="26"/>
      <c r="I45" s="27"/>
      <c r="J45" s="224"/>
      <c r="K45" s="224"/>
      <c r="L45" s="44"/>
      <c r="M45" s="224"/>
      <c r="N45" s="221"/>
      <c r="Q45" s="27"/>
      <c r="R45" s="224"/>
      <c r="S45" s="224"/>
      <c r="T45" s="44"/>
      <c r="U45" s="224"/>
      <c r="V45" s="221"/>
      <c r="W45" s="26"/>
      <c r="X45" s="27"/>
      <c r="Y45" s="224"/>
      <c r="Z45" s="224"/>
      <c r="AA45" s="44"/>
      <c r="AB45" s="224"/>
      <c r="AC45" s="221"/>
      <c r="AF45" s="27"/>
      <c r="AG45" s="224"/>
      <c r="AH45" s="224"/>
      <c r="AI45" s="44"/>
      <c r="AJ45" s="224"/>
      <c r="AK45" s="221"/>
      <c r="AL45" s="26"/>
      <c r="AM45" s="27"/>
      <c r="AN45" s="224"/>
      <c r="AO45" s="224"/>
      <c r="AP45" s="44"/>
      <c r="AQ45" s="224"/>
      <c r="AR45" s="221"/>
      <c r="AU45" s="27"/>
      <c r="AV45" s="224"/>
      <c r="AW45" s="224"/>
      <c r="AX45" s="44"/>
      <c r="AY45" s="224"/>
      <c r="AZ45" s="221"/>
      <c r="BA45" s="26"/>
      <c r="BB45" s="27"/>
      <c r="BC45" s="224"/>
      <c r="BD45" s="224"/>
      <c r="BE45" s="44"/>
      <c r="BF45" s="224"/>
      <c r="BG45" s="221"/>
      <c r="BJ45" s="27"/>
      <c r="BK45" s="224"/>
      <c r="BL45" s="224"/>
      <c r="BM45" s="44"/>
      <c r="BN45" s="224"/>
      <c r="BO45" s="221"/>
      <c r="BP45" s="26"/>
      <c r="BQ45" s="27"/>
      <c r="BR45" s="224"/>
      <c r="BS45" s="224"/>
      <c r="BT45" s="44"/>
      <c r="BU45" s="224"/>
      <c r="BV45" s="221"/>
      <c r="BY45" s="27"/>
      <c r="BZ45" s="224"/>
      <c r="CA45" s="224"/>
      <c r="CB45" s="44"/>
      <c r="CC45" s="224"/>
      <c r="CD45" s="221"/>
      <c r="CE45" s="26"/>
      <c r="CF45" s="27"/>
      <c r="CG45" s="224"/>
      <c r="CH45" s="224"/>
      <c r="CI45" s="44"/>
      <c r="CJ45" s="224"/>
      <c r="CK45" s="221"/>
      <c r="CN45" s="27"/>
      <c r="CO45" s="224"/>
      <c r="CP45" s="224"/>
      <c r="CQ45" s="44"/>
      <c r="CR45" s="224"/>
      <c r="CS45" s="221"/>
      <c r="CT45" s="26"/>
      <c r="CU45" s="27"/>
      <c r="CV45" s="224"/>
      <c r="CW45" s="224"/>
      <c r="CX45" s="44"/>
      <c r="CY45" s="224"/>
      <c r="CZ45" s="221"/>
      <c r="DC45" s="27"/>
      <c r="DD45" s="224"/>
      <c r="DE45" s="224"/>
      <c r="DF45" s="44"/>
      <c r="DG45" s="224"/>
      <c r="DH45" s="221"/>
      <c r="DI45" s="26"/>
      <c r="DJ45" s="27"/>
      <c r="DK45" s="224"/>
      <c r="DL45" s="224"/>
      <c r="DM45" s="44"/>
      <c r="DN45" s="224"/>
      <c r="DO45" s="221"/>
      <c r="DR45" s="27"/>
      <c r="DS45" s="224"/>
      <c r="DT45" s="224"/>
      <c r="DU45" s="44"/>
      <c r="DV45" s="224"/>
      <c r="DW45" s="221"/>
      <c r="DX45" s="26"/>
      <c r="DY45" s="27"/>
      <c r="DZ45" s="224"/>
      <c r="EA45" s="224"/>
      <c r="EB45" s="44"/>
      <c r="EC45" s="224"/>
      <c r="ED45" s="221"/>
      <c r="EG45" s="27"/>
      <c r="EH45" s="224"/>
      <c r="EI45" s="224"/>
      <c r="EJ45" s="44"/>
      <c r="EK45" s="224"/>
      <c r="EL45" s="221"/>
      <c r="EM45" s="26"/>
      <c r="EN45" s="27"/>
      <c r="EO45" s="224"/>
      <c r="EP45" s="224"/>
      <c r="EQ45" s="44"/>
      <c r="ER45" s="224"/>
      <c r="ES45" s="221"/>
    </row>
    <row r="46" spans="1:150" s="32" customFormat="1">
      <c r="A46" s="31"/>
      <c r="B46" s="37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35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37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35"/>
      <c r="F46" s="37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40"/>
      <c r="H46" s="22"/>
      <c r="I46" s="37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35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37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35"/>
      <c r="M46" s="37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40"/>
      <c r="O46" s="22"/>
      <c r="P46" s="31"/>
      <c r="Q46" s="37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35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37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35"/>
      <c r="U46" s="37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40"/>
      <c r="W46" s="22"/>
      <c r="X46" s="37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35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37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35"/>
      <c r="AB46" s="37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40"/>
      <c r="AD46" s="22"/>
      <c r="AE46" s="31"/>
      <c r="AF46" s="37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35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37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35"/>
      <c r="AJ46" s="37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40"/>
      <c r="AL46" s="22"/>
      <c r="AM46" s="37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35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37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35"/>
      <c r="AQ46" s="37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40"/>
      <c r="AS46" s="22"/>
      <c r="AT46" s="31"/>
      <c r="AU46" s="37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35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37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35"/>
      <c r="AY46" s="37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40"/>
      <c r="BA46" s="22"/>
      <c r="BB46" s="37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35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37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35"/>
      <c r="BF46" s="37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40"/>
      <c r="BH46" s="22"/>
      <c r="BI46" s="31"/>
      <c r="BJ46" s="37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35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37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35"/>
      <c r="BN46" s="37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40"/>
      <c r="BP46" s="22"/>
      <c r="BQ46" s="37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35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37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35"/>
      <c r="BU46" s="37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40"/>
      <c r="BW46" s="22"/>
      <c r="BX46" s="31"/>
      <c r="BY46" s="37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35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37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35"/>
      <c r="CC46" s="37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40"/>
      <c r="CE46" s="22"/>
      <c r="CF46" s="37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35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37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35"/>
      <c r="CJ46" s="37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40"/>
      <c r="CL46" s="22"/>
      <c r="CM46" s="31"/>
      <c r="CN46" s="37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35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37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35"/>
      <c r="CR46" s="37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40"/>
      <c r="CT46" s="22"/>
      <c r="CU46" s="37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35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37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35"/>
      <c r="CY46" s="37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27" t="str">
        <f ca="1">IF(C44&lt;&gt;"",
IFERROR(INT(C44/C46),""),"")</f>
        <v/>
      </c>
      <c r="C47" s="221"/>
      <c r="D47" s="227" t="str">
        <f ca="1">IFERROR(MOD(C44,C46),"")</f>
        <v/>
      </c>
      <c r="E47" s="221"/>
      <c r="F47" s="220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21"/>
      <c r="I47" s="227" t="str">
        <f ca="1">IF(J44&lt;&gt;"",
IFERROR(INT(J44/J46),""),"")</f>
        <v/>
      </c>
      <c r="J47" s="221"/>
      <c r="K47" s="227" t="str">
        <f ca="1">IFERROR(MOD(J44,J46),"")</f>
        <v/>
      </c>
      <c r="L47" s="221"/>
      <c r="M47" s="220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21"/>
      <c r="Q47" s="227" t="str">
        <f ca="1">IF(R44&lt;&gt;"",
IFERROR(INT(R44/R46),""),"")</f>
        <v/>
      </c>
      <c r="R47" s="221"/>
      <c r="S47" s="227" t="str">
        <f ca="1">IFERROR(MOD(R44,R46),"")</f>
        <v/>
      </c>
      <c r="T47" s="221"/>
      <c r="U47" s="220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21"/>
      <c r="X47" s="227" t="str">
        <f ca="1">IF(Y44&lt;&gt;"",
IFERROR(INT(Y44/Y46),""),"")</f>
        <v/>
      </c>
      <c r="Y47" s="221"/>
      <c r="Z47" s="227" t="str">
        <f ca="1">IFERROR(MOD(Y44,Y46),"")</f>
        <v/>
      </c>
      <c r="AA47" s="221"/>
      <c r="AB47" s="220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21"/>
      <c r="AF47" s="227" t="str">
        <f ca="1">IF(AG44&lt;&gt;"",
IFERROR(INT(AG44/AG46),""),"")</f>
        <v/>
      </c>
      <c r="AG47" s="221"/>
      <c r="AH47" s="227" t="str">
        <f ca="1">IFERROR(MOD(AG44,AG46),"")</f>
        <v/>
      </c>
      <c r="AI47" s="221"/>
      <c r="AJ47" s="220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21"/>
      <c r="AM47" s="227" t="str">
        <f ca="1">IF(AN44&lt;&gt;"",
IFERROR(INT(AN44/AN46),""),"")</f>
        <v/>
      </c>
      <c r="AN47" s="221"/>
      <c r="AO47" s="227" t="str">
        <f ca="1">IFERROR(MOD(AN44,AN46),"")</f>
        <v/>
      </c>
      <c r="AP47" s="221"/>
      <c r="AQ47" s="220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21"/>
      <c r="AU47" s="227" t="str">
        <f ca="1">IF(AV44&lt;&gt;"",
IFERROR(INT(AV44/AV46),""),"")</f>
        <v/>
      </c>
      <c r="AV47" s="221"/>
      <c r="AW47" s="227" t="str">
        <f ca="1">IFERROR(MOD(AV44,AV46),"")</f>
        <v/>
      </c>
      <c r="AX47" s="221"/>
      <c r="AY47" s="220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21"/>
      <c r="BB47" s="227" t="str">
        <f ca="1">IF(BC44&lt;&gt;"",
IFERROR(INT(BC44/BC46),""),"")</f>
        <v/>
      </c>
      <c r="BC47" s="221"/>
      <c r="BD47" s="227" t="str">
        <f ca="1">IFERROR(MOD(BC44,BC46),"")</f>
        <v/>
      </c>
      <c r="BE47" s="221"/>
      <c r="BF47" s="220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21"/>
      <c r="BJ47" s="227" t="str">
        <f ca="1">IF(BK44&lt;&gt;"",
IFERROR(INT(BK44/BK46),""),"")</f>
        <v/>
      </c>
      <c r="BK47" s="221"/>
      <c r="BL47" s="227" t="str">
        <f ca="1">IFERROR(MOD(BK44,BK46),"")</f>
        <v/>
      </c>
      <c r="BM47" s="221"/>
      <c r="BN47" s="220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21"/>
      <c r="BQ47" s="227" t="str">
        <f ca="1">IF(BR44&lt;&gt;"",
IFERROR(INT(BR44/BR46),""),"")</f>
        <v/>
      </c>
      <c r="BR47" s="221"/>
      <c r="BS47" s="227" t="str">
        <f ca="1">IFERROR(MOD(BR44,BR46),"")</f>
        <v/>
      </c>
      <c r="BT47" s="221"/>
      <c r="BU47" s="220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21"/>
      <c r="BY47" s="227" t="str">
        <f ca="1">IF(BZ44&lt;&gt;"",
IFERROR(INT(BZ44/BZ46),""),"")</f>
        <v/>
      </c>
      <c r="BZ47" s="221"/>
      <c r="CA47" s="227" t="str">
        <f ca="1">IFERROR(MOD(BZ44,BZ46),"")</f>
        <v/>
      </c>
      <c r="CB47" s="221"/>
      <c r="CC47" s="220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21"/>
      <c r="CF47" s="227" t="str">
        <f ca="1">IF(CG44&lt;&gt;"",
IFERROR(INT(CG44/CG46),""),"")</f>
        <v/>
      </c>
      <c r="CG47" s="221"/>
      <c r="CH47" s="227" t="str">
        <f ca="1">IFERROR(MOD(CG44,CG46),"")</f>
        <v/>
      </c>
      <c r="CI47" s="221"/>
      <c r="CJ47" s="220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21"/>
      <c r="CN47" s="227" t="str">
        <f ca="1">IF(CO44&lt;&gt;"",
IFERROR(INT(CO44/CO46),""),"")</f>
        <v/>
      </c>
      <c r="CO47" s="221"/>
      <c r="CP47" s="227" t="str">
        <f ca="1">IFERROR(MOD(CO44,CO46),"")</f>
        <v/>
      </c>
      <c r="CQ47" s="221"/>
      <c r="CR47" s="220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21"/>
      <c r="CU47" s="227" t="str">
        <f ca="1">IF(CV44&lt;&gt;"",
IFERROR(INT(CV44/CV46),""),"")</f>
        <v/>
      </c>
      <c r="CV47" s="221"/>
      <c r="CW47" s="227" t="str">
        <f ca="1">IFERROR(MOD(CV44,CV46),"")</f>
        <v/>
      </c>
      <c r="CX47" s="221"/>
      <c r="CY47" s="220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21"/>
      <c r="DC47" s="227"/>
      <c r="DD47" s="221"/>
      <c r="DE47" s="227"/>
      <c r="DF47" s="221"/>
      <c r="DG47" s="220"/>
      <c r="DH47" s="221"/>
      <c r="DJ47" s="227"/>
      <c r="DK47" s="221"/>
      <c r="DL47" s="227"/>
      <c r="DM47" s="221"/>
      <c r="DN47" s="220"/>
      <c r="DO47" s="221"/>
      <c r="DR47" s="227"/>
      <c r="DS47" s="221"/>
      <c r="DT47" s="227"/>
      <c r="DU47" s="221"/>
      <c r="DV47" s="220"/>
      <c r="DW47" s="221"/>
      <c r="DY47" s="227"/>
      <c r="DZ47" s="221"/>
      <c r="EA47" s="227"/>
      <c r="EB47" s="221"/>
      <c r="EC47" s="220"/>
      <c r="ED47" s="221"/>
      <c r="EG47" s="227"/>
      <c r="EH47" s="221"/>
      <c r="EI47" s="227"/>
      <c r="EJ47" s="221"/>
      <c r="EK47" s="220"/>
      <c r="EL47" s="221"/>
      <c r="EN47" s="227"/>
      <c r="EO47" s="221"/>
      <c r="EP47" s="227"/>
      <c r="EQ47" s="221"/>
      <c r="ER47" s="220"/>
      <c r="ES47" s="221"/>
    </row>
  </sheetData>
  <mergeCells count="840">
    <mergeCell ref="AG3:AH3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C35:D35"/>
    <mergeCell ref="F20:G21"/>
    <mergeCell ref="AQ7:AR7"/>
    <mergeCell ref="Y41:AB41"/>
    <mergeCell ref="AV3:AW3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BJ47:BK47"/>
    <mergeCell ref="CA7:CB7"/>
    <mergeCell ref="X15:Y15"/>
    <mergeCell ref="EH44:EI45"/>
    <mergeCell ref="EC39:ED39"/>
    <mergeCell ref="BK41:BN41"/>
    <mergeCell ref="CC7:CD7"/>
    <mergeCell ref="F23:G23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BZ35:CA35"/>
    <mergeCell ref="AY7:AZ7"/>
    <mergeCell ref="D7:E7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BN44:BO45"/>
    <mergeCell ref="J17:M17"/>
    <mergeCell ref="CV19:CW19"/>
    <mergeCell ref="DK33:DN33"/>
    <mergeCell ref="EO44:EP45"/>
    <mergeCell ref="CR44:CS45"/>
    <mergeCell ref="BS47:BT47"/>
    <mergeCell ref="Y43:Z43"/>
    <mergeCell ref="BU47:BV47"/>
    <mergeCell ref="AF39:AG39"/>
    <mergeCell ref="AV44:AW45"/>
    <mergeCell ref="BD47:BE47"/>
    <mergeCell ref="DZ41:EC41"/>
    <mergeCell ref="BJ31:BK31"/>
    <mergeCell ref="BL31:BM31"/>
    <mergeCell ref="CN47:CO47"/>
    <mergeCell ref="CP47:CQ47"/>
    <mergeCell ref="EK39:EL39"/>
    <mergeCell ref="BS39:BT39"/>
    <mergeCell ref="DD35:DE35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Q15:BR15"/>
    <mergeCell ref="BR17:BU17"/>
    <mergeCell ref="DN15:DO15"/>
    <mergeCell ref="CV36:CW37"/>
    <mergeCell ref="DK19:DL19"/>
    <mergeCell ref="AV20:AW21"/>
    <mergeCell ref="CG25:CJ25"/>
    <mergeCell ref="AY39:AZ39"/>
    <mergeCell ref="I39:J39"/>
    <mergeCell ref="K39:L3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B31:C31"/>
    <mergeCell ref="B23:C23"/>
    <mergeCell ref="C33:F33"/>
    <mergeCell ref="AF23:AG23"/>
    <mergeCell ref="BK36:BL37"/>
    <mergeCell ref="D31:E31"/>
    <mergeCell ref="CO25:CR25"/>
    <mergeCell ref="AY23:AZ23"/>
    <mergeCell ref="CA31:CB31"/>
    <mergeCell ref="R11:S11"/>
    <mergeCell ref="EG7:EH7"/>
    <mergeCell ref="EI7:EJ7"/>
    <mergeCell ref="DY7:DZ7"/>
    <mergeCell ref="EA7:EB7"/>
    <mergeCell ref="EG15:EH15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J1:M1"/>
    <mergeCell ref="BZ36:CA37"/>
    <mergeCell ref="AN25:AQ25"/>
    <mergeCell ref="R9:U9"/>
    <mergeCell ref="AJ4:AK5"/>
    <mergeCell ref="AF7:AG7"/>
    <mergeCell ref="AH7:AI7"/>
    <mergeCell ref="Q7:R7"/>
    <mergeCell ref="U15:V15"/>
    <mergeCell ref="J19:K19"/>
    <mergeCell ref="J33:M33"/>
    <mergeCell ref="Y1:AB1"/>
    <mergeCell ref="K7:L7"/>
    <mergeCell ref="AG17:AJ17"/>
    <mergeCell ref="Z15:AA15"/>
    <mergeCell ref="BR33:BU33"/>
    <mergeCell ref="BF12:BG13"/>
    <mergeCell ref="BF7:BG7"/>
    <mergeCell ref="BC11:BD11"/>
    <mergeCell ref="BU28:BV29"/>
    <mergeCell ref="Y28:Z29"/>
    <mergeCell ref="BR9:BU9"/>
    <mergeCell ref="AG9:AJ9"/>
    <mergeCell ref="BU12:BV13"/>
    <mergeCell ref="DZ1:EC1"/>
    <mergeCell ref="DC15:DD15"/>
    <mergeCell ref="EI31:EJ31"/>
    <mergeCell ref="Y27:Z27"/>
    <mergeCell ref="CA47:CB47"/>
    <mergeCell ref="CV27:CW27"/>
    <mergeCell ref="CC47:CD4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B15:AC15"/>
    <mergeCell ref="EG39:EH39"/>
    <mergeCell ref="CW47:CX47"/>
    <mergeCell ref="CW31:CX31"/>
    <mergeCell ref="AU15:AV15"/>
    <mergeCell ref="AV1:AY1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Z20:CA21"/>
    <mergeCell ref="DZ19:EA19"/>
    <mergeCell ref="AJ20:AK21"/>
    <mergeCell ref="J12:K13"/>
    <mergeCell ref="J9:M9"/>
    <mergeCell ref="EC15:ED15"/>
    <mergeCell ref="CV33:CY33"/>
    <mergeCell ref="DN28:DO29"/>
    <mergeCell ref="CJ12:CK13"/>
    <mergeCell ref="BC35:BD35"/>
    <mergeCell ref="BU15:BV15"/>
    <mergeCell ref="EP7:EQ7"/>
    <mergeCell ref="BU36:BV37"/>
    <mergeCell ref="EH20:EI21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DV39:DW39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EP15:EQ15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U47:V47"/>
    <mergeCell ref="DY47:DZ47"/>
    <mergeCell ref="AB20:AC21"/>
    <mergeCell ref="U4:V5"/>
    <mergeCell ref="AW15:AX15"/>
    <mergeCell ref="AV43:AW43"/>
    <mergeCell ref="M44:N45"/>
    <mergeCell ref="AN33:AQ33"/>
    <mergeCell ref="M28:N29"/>
    <mergeCell ref="AM23:AN23"/>
    <mergeCell ref="CY47:CZ47"/>
    <mergeCell ref="CA15:CB15"/>
    <mergeCell ref="DD20:DE21"/>
    <mergeCell ref="EK28:EL29"/>
    <mergeCell ref="R17:U17"/>
    <mergeCell ref="B47:C47"/>
    <mergeCell ref="AV33:AY33"/>
    <mergeCell ref="DG28:DH29"/>
    <mergeCell ref="AV41:AY41"/>
    <mergeCell ref="Z39:AA39"/>
    <mergeCell ref="M47:N47"/>
    <mergeCell ref="R43:S43"/>
    <mergeCell ref="EH41:EK41"/>
    <mergeCell ref="DZ20:EA21"/>
    <mergeCell ref="DK35:DL35"/>
    <mergeCell ref="Y44:Z45"/>
    <mergeCell ref="DV15:DW15"/>
    <mergeCell ref="DS19:DT19"/>
    <mergeCell ref="DN23:DO23"/>
    <mergeCell ref="DN39:DO39"/>
    <mergeCell ref="CF15:CG15"/>
    <mergeCell ref="DK43:DL43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DN20:DO21"/>
    <mergeCell ref="AB39:AC39"/>
    <mergeCell ref="BQ47:BR47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CU23:CV23"/>
    <mergeCell ref="DD33:DG33"/>
    <mergeCell ref="BS15:BT15"/>
    <mergeCell ref="F31:G31"/>
    <mergeCell ref="AN11:AO11"/>
    <mergeCell ref="DN12:DO13"/>
    <mergeCell ref="AH15:AI15"/>
    <mergeCell ref="C11:D11"/>
    <mergeCell ref="AJ15:AK15"/>
    <mergeCell ref="AY36:AZ37"/>
    <mergeCell ref="C25:F25"/>
    <mergeCell ref="AG44:AH45"/>
    <mergeCell ref="CV28:CW29"/>
    <mergeCell ref="AW31:AX31"/>
    <mergeCell ref="BY39:BZ39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BC1:BF1"/>
    <mergeCell ref="DS4:DT5"/>
    <mergeCell ref="BN4:BO5"/>
    <mergeCell ref="EO20:EP21"/>
    <mergeCell ref="BR44:BS45"/>
    <mergeCell ref="D39:E39"/>
    <mergeCell ref="R4:S5"/>
    <mergeCell ref="CR20:CS21"/>
    <mergeCell ref="F39:G39"/>
    <mergeCell ref="AB4:AC5"/>
    <mergeCell ref="J3:K3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DT7:DU7"/>
    <mergeCell ref="DV7:DW7"/>
    <mergeCell ref="CF7:CG7"/>
    <mergeCell ref="CJ4:CK5"/>
    <mergeCell ref="CP7:CQ7"/>
    <mergeCell ref="BZ28:CA29"/>
    <mergeCell ref="CR4:CS5"/>
    <mergeCell ref="DL7:DM7"/>
    <mergeCell ref="DN7:DO7"/>
    <mergeCell ref="DE31:DF31"/>
    <mergeCell ref="CR23:CS23"/>
    <mergeCell ref="CV4:CW5"/>
    <mergeCell ref="CH15:CI15"/>
    <mergeCell ref="EH12:EI13"/>
    <mergeCell ref="DZ12:EA1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BZ33:CC33"/>
    <mergeCell ref="DK1:DN1"/>
    <mergeCell ref="CN15:CO15"/>
    <mergeCell ref="AV28:AW29"/>
    <mergeCell ref="BN7:BO7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CG36:CH37"/>
    <mergeCell ref="BF44:BG45"/>
    <mergeCell ref="BN47:BO47"/>
    <mergeCell ref="CP15:CQ15"/>
    <mergeCell ref="BF47:BG47"/>
    <mergeCell ref="AY31:AZ31"/>
    <mergeCell ref="DG44:DH45"/>
    <mergeCell ref="CC36:CD37"/>
    <mergeCell ref="BU44:BV45"/>
    <mergeCell ref="BC43:BD43"/>
    <mergeCell ref="BZ43:CA43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AV36:AW37"/>
    <mergeCell ref="BN15:BO15"/>
    <mergeCell ref="DD11:DE11"/>
    <mergeCell ref="DT39:DU39"/>
    <mergeCell ref="DV28:DW29"/>
    <mergeCell ref="AG25:AJ25"/>
    <mergeCell ref="BK44:BL45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EC31:ED31"/>
    <mergeCell ref="EC12:ED13"/>
    <mergeCell ref="AN9:AQ9"/>
    <mergeCell ref="AV25:AY25"/>
    <mergeCell ref="DK9:DN9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C9:BF9"/>
    <mergeCell ref="BC28:BD29"/>
    <mergeCell ref="CW15:CX15"/>
    <mergeCell ref="CY15:CZ15"/>
    <mergeCell ref="BK11:BL11"/>
    <mergeCell ref="DS11:DT11"/>
    <mergeCell ref="DS9:DV9"/>
    <mergeCell ref="EO12:EP13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DC47:DD47"/>
    <mergeCell ref="DD44:DE45"/>
    <mergeCell ref="BB39:BC39"/>
    <mergeCell ref="BD39:BE39"/>
    <mergeCell ref="CU47:CV47"/>
    <mergeCell ref="BU39:BV39"/>
    <mergeCell ref="DK44:DL45"/>
    <mergeCell ref="EP47:EQ47"/>
    <mergeCell ref="EH19:EI19"/>
    <mergeCell ref="ER36:ES37"/>
    <mergeCell ref="EH36:EI37"/>
    <mergeCell ref="DZ44:EA45"/>
    <mergeCell ref="EO36:EP37"/>
    <mergeCell ref="DV44:DW4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CY12:CZ13"/>
    <mergeCell ref="BB7:BC7"/>
    <mergeCell ref="BD7:BE7"/>
    <mergeCell ref="CY20:CZ21"/>
    <mergeCell ref="EH28:EI29"/>
    <mergeCell ref="AH23:AI23"/>
    <mergeCell ref="AV19:AW19"/>
    <mergeCell ref="R25:U25"/>
    <mergeCell ref="EC20:ED21"/>
    <mergeCell ref="EC7:ED7"/>
    <mergeCell ref="DK28:DL29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CP39:CQ39"/>
    <mergeCell ref="BK35:BL35"/>
    <mergeCell ref="X39:Y39"/>
    <mergeCell ref="M39:N39"/>
    <mergeCell ref="EO33:ER33"/>
    <mergeCell ref="AH39:AI39"/>
    <mergeCell ref="DZ11:EA11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EA39:EB39"/>
    <mergeCell ref="M23:N23"/>
    <mergeCell ref="CC39:CD39"/>
    <mergeCell ref="DG20:DH21"/>
    <mergeCell ref="CO28:CP29"/>
    <mergeCell ref="CV11:CW11"/>
    <mergeCell ref="DE15:DF15"/>
    <mergeCell ref="DG15:DH15"/>
    <mergeCell ref="CV25:CY25"/>
    <mergeCell ref="BL39:BM39"/>
    <mergeCell ref="DD19:DE19"/>
    <mergeCell ref="BN39:BO39"/>
    <mergeCell ref="AV35:AW35"/>
    <mergeCell ref="AJ23:AK23"/>
    <mergeCell ref="AG12:AH13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K9:BN9"/>
    <mergeCell ref="DG7:DH7"/>
    <mergeCell ref="AV9:AY9"/>
    <mergeCell ref="AO7:AP7"/>
    <mergeCell ref="Y12:Z13"/>
    <mergeCell ref="AY44:AZ45"/>
    <mergeCell ref="AN43:AO43"/>
    <mergeCell ref="BY47:BZ47"/>
    <mergeCell ref="BK12:BL13"/>
    <mergeCell ref="AB44:AC45"/>
    <mergeCell ref="BC12:BD13"/>
    <mergeCell ref="AV11:AW11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F7:G7"/>
    <mergeCell ref="F36:G37"/>
    <mergeCell ref="F12:G13"/>
    <mergeCell ref="F15:G15"/>
    <mergeCell ref="J27:K27"/>
    <mergeCell ref="X7:Y7"/>
    <mergeCell ref="Z7:AA7"/>
    <mergeCell ref="C19:D19"/>
    <mergeCell ref="U36:V37"/>
    <mergeCell ref="I7:J7"/>
    <mergeCell ref="I31:J31"/>
    <mergeCell ref="J41:M4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/>
  <cols>
    <col min="1" max="1" width="26.69921875" style="139" customWidth="1"/>
    <col min="2" max="2" width="10.59765625" style="78" customWidth="1"/>
    <col min="3" max="3" width="5.09765625" style="78" customWidth="1"/>
    <col min="4" max="4" width="10.59765625" style="78" customWidth="1"/>
    <col min="5" max="5" width="5.09765625" style="78" customWidth="1"/>
    <col min="6" max="6" width="10.8984375" style="79" customWidth="1"/>
    <col min="7" max="7" width="5.09765625" style="78" customWidth="1"/>
    <col min="8" max="8" width="10.59765625" style="78" customWidth="1"/>
    <col min="9" max="9" width="5.09765625" style="78" customWidth="1"/>
    <col min="10" max="10" width="10.59765625" style="78" customWidth="1"/>
    <col min="11" max="11" width="5.09765625" style="78" customWidth="1"/>
    <col min="12" max="12" width="10.59765625" style="79" customWidth="1"/>
    <col min="13" max="13" width="5.09765625" style="78" customWidth="1"/>
    <col min="14" max="14" width="10.59765625" style="78" customWidth="1"/>
    <col min="15" max="15" width="5.09765625" style="78" customWidth="1"/>
    <col min="16" max="16" width="10.59765625" style="78" customWidth="1"/>
    <col min="17" max="17" width="5.09765625" style="78" customWidth="1"/>
    <col min="18" max="18" width="10.59765625" style="78" customWidth="1"/>
    <col min="19" max="19" width="5.09765625" style="78" customWidth="1"/>
    <col min="20" max="20" width="10.59765625" style="78" customWidth="1"/>
    <col min="21" max="21" width="5.09765625" style="78" customWidth="1"/>
    <col min="22" max="22" width="10.59765625" style="82" customWidth="1"/>
    <col min="23" max="23" width="5.09765625" style="80" customWidth="1"/>
    <col min="24" max="24" width="10.59765625" style="122" customWidth="1"/>
    <col min="25" max="25" width="5.09765625" style="78" customWidth="1"/>
    <col min="26" max="26" width="10.59765625" style="82" customWidth="1"/>
    <col min="27" max="27" width="5.09765625" style="80" customWidth="1"/>
    <col min="28" max="28" width="10.59765625" style="122" customWidth="1"/>
    <col min="29" max="29" width="5.09765625" style="78" customWidth="1"/>
    <col min="30" max="30" width="10.59765625" style="82" customWidth="1"/>
    <col min="31" max="31" width="5.09765625" style="80" customWidth="1"/>
    <col min="32" max="32" width="10.59765625" style="122" customWidth="1"/>
    <col min="33" max="33" width="5.09765625" style="78" customWidth="1"/>
    <col min="34" max="34" width="10.59765625" style="82" customWidth="1"/>
    <col min="35" max="35" width="5.09765625" style="80" customWidth="1"/>
    <col min="36" max="36" width="10.59765625" style="122" customWidth="1"/>
    <col min="37" max="37" width="5.09765625" style="78" customWidth="1"/>
    <col min="38" max="38" width="11.3984375" style="83" customWidth="1"/>
    <col min="39" max="39" width="32.796875" style="139" customWidth="1"/>
    <col min="40" max="40" width="27.69921875" style="139" customWidth="1"/>
    <col min="41" max="49" width="8.796875" style="77" customWidth="1"/>
    <col min="50" max="16384" width="8.796875" style="77"/>
  </cols>
  <sheetData>
    <row r="1" spans="1:40" s="133" customFormat="1" ht="16.2" customHeight="1">
      <c r="B1" s="167"/>
      <c r="C1" s="167"/>
      <c r="D1" s="167"/>
      <c r="E1" s="167"/>
      <c r="F1" s="168"/>
      <c r="G1" s="167"/>
      <c r="H1" s="167"/>
      <c r="I1" s="167"/>
      <c r="J1" s="167"/>
      <c r="K1" s="167"/>
      <c r="L1" s="168"/>
      <c r="M1" s="167"/>
      <c r="N1" s="167"/>
      <c r="O1" s="167"/>
      <c r="P1" s="167"/>
      <c r="Q1" s="167"/>
      <c r="R1" s="167"/>
      <c r="S1" s="167"/>
      <c r="T1" s="167"/>
      <c r="U1" s="167"/>
      <c r="V1" s="168"/>
      <c r="W1" s="169"/>
      <c r="X1" s="167"/>
      <c r="Y1" s="167"/>
      <c r="Z1" s="168"/>
      <c r="AA1" s="169"/>
      <c r="AB1" s="167"/>
      <c r="AC1" s="167"/>
      <c r="AD1" s="168"/>
      <c r="AE1" s="169"/>
      <c r="AF1" s="167"/>
      <c r="AG1" s="167"/>
      <c r="AH1" s="168"/>
      <c r="AI1" s="169"/>
      <c r="AJ1" s="167"/>
      <c r="AK1" s="170"/>
      <c r="AL1" s="171"/>
      <c r="AM1" s="172"/>
    </row>
    <row r="2" spans="1:40" s="133" customFormat="1" ht="16.2" customHeight="1">
      <c r="B2" s="167"/>
      <c r="C2" s="167"/>
      <c r="D2" s="167"/>
      <c r="E2" s="167"/>
      <c r="F2" s="168"/>
      <c r="G2" s="167"/>
      <c r="H2" s="167"/>
      <c r="I2" s="167"/>
      <c r="J2" s="167"/>
      <c r="K2" s="167"/>
      <c r="L2" s="168"/>
      <c r="M2" s="167"/>
      <c r="N2" s="167"/>
      <c r="O2" s="167"/>
      <c r="P2" s="167"/>
      <c r="Q2" s="167"/>
      <c r="R2" s="167"/>
      <c r="S2" s="167"/>
      <c r="T2" s="167"/>
      <c r="U2" s="167"/>
      <c r="V2" s="168"/>
      <c r="W2" s="169"/>
      <c r="X2" s="167"/>
      <c r="Y2" s="167"/>
      <c r="Z2" s="168"/>
      <c r="AA2" s="169"/>
      <c r="AB2" s="167"/>
      <c r="AC2" s="167"/>
      <c r="AD2" s="168"/>
      <c r="AE2" s="169"/>
      <c r="AF2" s="167"/>
      <c r="AG2" s="167"/>
      <c r="AH2" s="173"/>
      <c r="AI2" s="169"/>
      <c r="AJ2" s="167"/>
      <c r="AK2" s="167"/>
      <c r="AL2" s="174"/>
    </row>
    <row r="3" spans="1:40" s="133" customFormat="1" ht="16.2" customHeight="1">
      <c r="A3" s="134"/>
      <c r="B3" s="144"/>
      <c r="C3" s="145"/>
      <c r="D3" s="146"/>
      <c r="E3" s="147"/>
      <c r="F3" s="148"/>
      <c r="G3" s="149"/>
      <c r="H3" s="149"/>
      <c r="I3" s="149"/>
      <c r="J3" s="149"/>
      <c r="K3" s="149"/>
      <c r="L3" s="190"/>
      <c r="M3" s="149"/>
      <c r="N3" s="149"/>
      <c r="O3" s="149"/>
      <c r="P3" s="149"/>
      <c r="Q3" s="149"/>
      <c r="R3" s="149"/>
      <c r="S3" s="149"/>
      <c r="T3" s="149"/>
      <c r="U3" s="149"/>
      <c r="V3" s="151"/>
      <c r="W3" s="150"/>
      <c r="X3" s="152"/>
      <c r="Y3" s="150"/>
      <c r="Z3" s="151"/>
      <c r="AA3" s="150"/>
      <c r="AB3" s="152"/>
      <c r="AC3" s="150"/>
      <c r="AD3" s="151"/>
      <c r="AE3" s="150"/>
      <c r="AF3" s="153"/>
      <c r="AG3" s="154"/>
      <c r="AH3" s="151"/>
      <c r="AI3" s="150"/>
      <c r="AJ3" s="153"/>
      <c r="AK3" s="154"/>
      <c r="AL3" s="155"/>
      <c r="AM3" s="156"/>
      <c r="AN3" s="157"/>
    </row>
    <row r="4" spans="1:40" s="133" customFormat="1" ht="16.2" customHeight="1">
      <c r="A4" s="135"/>
      <c r="B4" s="158"/>
      <c r="C4" s="158"/>
      <c r="D4" s="158"/>
      <c r="E4" s="153"/>
      <c r="F4" s="159"/>
      <c r="G4" s="158"/>
      <c r="H4" s="158"/>
      <c r="I4" s="158"/>
      <c r="J4" s="158"/>
      <c r="K4" s="153"/>
      <c r="L4" s="159"/>
      <c r="M4" s="158"/>
      <c r="N4" s="158"/>
      <c r="O4" s="158"/>
      <c r="P4" s="158"/>
      <c r="Q4" s="158"/>
      <c r="R4" s="158"/>
      <c r="S4" s="158"/>
      <c r="T4" s="158"/>
      <c r="U4" s="153"/>
      <c r="V4" s="161"/>
      <c r="W4" s="160"/>
      <c r="X4" s="162"/>
      <c r="Y4" s="153"/>
      <c r="Z4" s="163"/>
      <c r="AA4" s="160"/>
      <c r="AB4" s="162"/>
      <c r="AC4" s="153"/>
      <c r="AD4" s="163"/>
      <c r="AE4" s="160"/>
      <c r="AF4" s="162"/>
      <c r="AG4" s="153"/>
      <c r="AH4" s="163"/>
      <c r="AI4" s="160"/>
      <c r="AJ4" s="162"/>
      <c r="AK4" s="153"/>
      <c r="AL4" s="164"/>
      <c r="AM4" s="165"/>
      <c r="AN4" s="166"/>
    </row>
    <row r="5" spans="1:40" ht="16.2" customHeight="1">
      <c r="A5" s="136"/>
      <c r="B5" s="84"/>
      <c r="C5" s="84"/>
      <c r="D5" s="84"/>
      <c r="E5" s="85"/>
      <c r="F5" s="86"/>
      <c r="G5" s="84"/>
      <c r="H5" s="84"/>
      <c r="I5" s="84"/>
      <c r="J5" s="84"/>
      <c r="K5" s="85"/>
      <c r="L5" s="86"/>
      <c r="M5" s="84"/>
      <c r="N5" s="84"/>
      <c r="O5" s="84"/>
      <c r="P5" s="84"/>
      <c r="Q5" s="84"/>
      <c r="R5" s="84"/>
      <c r="S5" s="84"/>
      <c r="T5" s="84"/>
      <c r="U5" s="85"/>
      <c r="V5" s="86"/>
      <c r="W5" s="87"/>
      <c r="X5" s="84"/>
      <c r="Y5" s="85"/>
      <c r="Z5" s="86"/>
      <c r="AA5" s="87"/>
      <c r="AB5" s="84"/>
      <c r="AC5" s="85"/>
      <c r="AD5" s="86"/>
      <c r="AE5" s="87"/>
      <c r="AF5" s="84"/>
      <c r="AG5" s="85"/>
      <c r="AH5" s="86"/>
      <c r="AI5" s="87"/>
      <c r="AJ5" s="84"/>
      <c r="AK5" s="85"/>
      <c r="AL5" s="88"/>
      <c r="AM5" s="165"/>
      <c r="AN5" s="166"/>
    </row>
    <row r="6" spans="1:40" ht="16.2" customHeight="1">
      <c r="A6" s="137"/>
      <c r="B6" s="125"/>
      <c r="C6" s="90"/>
      <c r="D6" s="125"/>
      <c r="E6" s="90"/>
      <c r="F6" s="127"/>
      <c r="G6" s="90"/>
      <c r="H6" s="125"/>
      <c r="I6" s="90"/>
      <c r="J6" s="125"/>
      <c r="K6" s="90"/>
      <c r="L6" s="127"/>
      <c r="M6" s="90"/>
      <c r="N6" s="125"/>
      <c r="O6" s="90"/>
      <c r="P6" s="125"/>
      <c r="Q6" s="90"/>
      <c r="R6" s="125"/>
      <c r="S6" s="90"/>
      <c r="T6" s="125"/>
      <c r="U6" s="90"/>
      <c r="V6" s="127"/>
      <c r="W6" s="90"/>
      <c r="X6" s="127"/>
      <c r="Y6" s="90"/>
      <c r="Z6" s="127"/>
      <c r="AA6" s="128"/>
      <c r="AB6" s="126"/>
      <c r="AC6" s="90"/>
      <c r="AD6" s="127"/>
      <c r="AE6" s="90"/>
      <c r="AF6" s="127"/>
      <c r="AG6" s="90"/>
      <c r="AH6" s="127"/>
      <c r="AI6" s="128"/>
      <c r="AJ6" s="126"/>
      <c r="AK6" s="90"/>
      <c r="AL6" s="94"/>
      <c r="AM6" s="175"/>
      <c r="AN6" s="176"/>
    </row>
    <row r="7" spans="1:40" ht="16.2" customHeight="1">
      <c r="A7" s="138"/>
      <c r="B7" s="91"/>
      <c r="C7" s="91"/>
      <c r="D7" s="91"/>
      <c r="E7" s="91"/>
      <c r="F7" s="95"/>
      <c r="G7" s="91"/>
      <c r="H7" s="91"/>
      <c r="I7" s="91"/>
      <c r="J7" s="91"/>
      <c r="K7" s="91"/>
      <c r="L7" s="95"/>
      <c r="M7" s="91"/>
      <c r="N7" s="91"/>
      <c r="O7" s="91"/>
      <c r="P7" s="91"/>
      <c r="Q7" s="91"/>
      <c r="R7" s="91"/>
      <c r="S7" s="91"/>
      <c r="T7" s="91"/>
      <c r="U7" s="91"/>
      <c r="V7" s="95"/>
      <c r="W7" s="91"/>
      <c r="X7" s="95"/>
      <c r="Y7" s="91"/>
      <c r="Z7" s="95"/>
      <c r="AA7" s="129"/>
      <c r="AB7" s="96"/>
      <c r="AC7" s="91"/>
      <c r="AD7" s="95"/>
      <c r="AE7" s="91"/>
      <c r="AF7" s="95"/>
      <c r="AG7" s="91"/>
      <c r="AH7" s="95"/>
      <c r="AI7" s="129"/>
      <c r="AJ7" s="96"/>
      <c r="AK7" s="91"/>
      <c r="AL7" s="97"/>
      <c r="AM7" s="177"/>
      <c r="AN7" s="178"/>
    </row>
    <row r="8" spans="1:40" ht="16.2" customHeight="1">
      <c r="A8" s="137"/>
      <c r="B8" s="125"/>
      <c r="C8" s="90"/>
      <c r="D8" s="125"/>
      <c r="E8" s="90"/>
      <c r="F8" s="127"/>
      <c r="G8" s="90"/>
      <c r="H8" s="125"/>
      <c r="I8" s="90"/>
      <c r="J8" s="125"/>
      <c r="K8" s="90"/>
      <c r="L8" s="127"/>
      <c r="M8" s="90"/>
      <c r="N8" s="125"/>
      <c r="O8" s="90"/>
      <c r="P8" s="125"/>
      <c r="Q8" s="90"/>
      <c r="R8" s="125"/>
      <c r="S8" s="90"/>
      <c r="T8" s="125"/>
      <c r="U8" s="90"/>
      <c r="V8" s="127"/>
      <c r="W8" s="90"/>
      <c r="X8" s="127"/>
      <c r="Y8" s="90"/>
      <c r="Z8" s="127"/>
      <c r="AA8" s="128"/>
      <c r="AB8" s="126"/>
      <c r="AC8" s="90"/>
      <c r="AD8" s="127"/>
      <c r="AE8" s="90"/>
      <c r="AF8" s="127"/>
      <c r="AG8" s="90"/>
      <c r="AH8" s="127"/>
      <c r="AI8" s="128"/>
      <c r="AJ8" s="126"/>
      <c r="AK8" s="90"/>
      <c r="AL8" s="94"/>
      <c r="AM8" s="175"/>
      <c r="AN8" s="176"/>
    </row>
    <row r="9" spans="1:40" ht="16.2" customHeight="1">
      <c r="A9" s="138"/>
      <c r="B9" s="91"/>
      <c r="C9" s="91"/>
      <c r="D9" s="91"/>
      <c r="E9" s="91"/>
      <c r="F9" s="95"/>
      <c r="G9" s="91"/>
      <c r="H9" s="91"/>
      <c r="I9" s="91"/>
      <c r="J9" s="91"/>
      <c r="K9" s="91"/>
      <c r="L9" s="95"/>
      <c r="M9" s="91"/>
      <c r="N9" s="91"/>
      <c r="O9" s="91"/>
      <c r="P9" s="91"/>
      <c r="Q9" s="91"/>
      <c r="R9" s="91"/>
      <c r="S9" s="91"/>
      <c r="T9" s="91"/>
      <c r="U9" s="91"/>
      <c r="V9" s="95"/>
      <c r="W9" s="91"/>
      <c r="X9" s="95"/>
      <c r="Y9" s="91"/>
      <c r="Z9" s="95"/>
      <c r="AA9" s="129"/>
      <c r="AB9" s="96"/>
      <c r="AC9" s="91"/>
      <c r="AD9" s="95"/>
      <c r="AE9" s="91"/>
      <c r="AF9" s="95"/>
      <c r="AG9" s="91"/>
      <c r="AH9" s="95"/>
      <c r="AI9" s="129"/>
      <c r="AJ9" s="96"/>
      <c r="AK9" s="91"/>
      <c r="AL9" s="97"/>
      <c r="AM9" s="177"/>
      <c r="AN9" s="178"/>
    </row>
    <row r="10" spans="1:40" ht="16.2" customHeight="1">
      <c r="A10" s="137"/>
      <c r="B10" s="125"/>
      <c r="C10" s="90"/>
      <c r="D10" s="125"/>
      <c r="E10" s="90"/>
      <c r="F10" s="127"/>
      <c r="G10" s="90"/>
      <c r="H10" s="125"/>
      <c r="I10" s="90"/>
      <c r="J10" s="125"/>
      <c r="K10" s="90"/>
      <c r="L10" s="127"/>
      <c r="M10" s="90"/>
      <c r="N10" s="125"/>
      <c r="O10" s="90"/>
      <c r="P10" s="125"/>
      <c r="Q10" s="90"/>
      <c r="R10" s="125"/>
      <c r="S10" s="90"/>
      <c r="T10" s="125"/>
      <c r="U10" s="90"/>
      <c r="V10" s="127"/>
      <c r="W10" s="90"/>
      <c r="X10" s="127"/>
      <c r="Y10" s="90"/>
      <c r="Z10" s="127"/>
      <c r="AA10" s="128"/>
      <c r="AB10" s="126"/>
      <c r="AC10" s="90"/>
      <c r="AD10" s="127"/>
      <c r="AE10" s="90"/>
      <c r="AF10" s="127"/>
      <c r="AG10" s="90"/>
      <c r="AH10" s="127"/>
      <c r="AI10" s="128"/>
      <c r="AJ10" s="126"/>
      <c r="AK10" s="90"/>
      <c r="AL10" s="94"/>
      <c r="AM10" s="175"/>
      <c r="AN10" s="176"/>
    </row>
    <row r="11" spans="1:40" ht="16.2" customHeight="1">
      <c r="A11" s="138"/>
      <c r="B11" s="91"/>
      <c r="C11" s="91"/>
      <c r="D11" s="91"/>
      <c r="E11" s="91"/>
      <c r="F11" s="95"/>
      <c r="G11" s="91"/>
      <c r="H11" s="91"/>
      <c r="I11" s="91"/>
      <c r="J11" s="91"/>
      <c r="K11" s="91"/>
      <c r="L11" s="95"/>
      <c r="M11" s="91"/>
      <c r="N11" s="91"/>
      <c r="O11" s="91"/>
      <c r="P11" s="91"/>
      <c r="Q11" s="91"/>
      <c r="R11" s="91"/>
      <c r="S11" s="91"/>
      <c r="T11" s="91"/>
      <c r="U11" s="91"/>
      <c r="V11" s="95"/>
      <c r="W11" s="91"/>
      <c r="X11" s="95"/>
      <c r="Y11" s="91"/>
      <c r="Z11" s="95"/>
      <c r="AA11" s="129"/>
      <c r="AB11" s="96"/>
      <c r="AC11" s="91"/>
      <c r="AD11" s="95"/>
      <c r="AE11" s="91"/>
      <c r="AF11" s="95"/>
      <c r="AG11" s="91"/>
      <c r="AH11" s="95"/>
      <c r="AI11" s="129"/>
      <c r="AJ11" s="96"/>
      <c r="AK11" s="91"/>
      <c r="AL11" s="97"/>
      <c r="AM11" s="177"/>
      <c r="AN11" s="178"/>
    </row>
    <row r="12" spans="1:40" ht="16.2" customHeight="1">
      <c r="A12" s="137"/>
      <c r="B12" s="125"/>
      <c r="C12" s="90"/>
      <c r="D12" s="125"/>
      <c r="E12" s="90"/>
      <c r="F12" s="127"/>
      <c r="G12" s="90"/>
      <c r="H12" s="125"/>
      <c r="I12" s="90"/>
      <c r="J12" s="125"/>
      <c r="K12" s="90"/>
      <c r="L12" s="127"/>
      <c r="M12" s="90"/>
      <c r="N12" s="125"/>
      <c r="O12" s="90"/>
      <c r="P12" s="125"/>
      <c r="Q12" s="90"/>
      <c r="R12" s="125"/>
      <c r="S12" s="90"/>
      <c r="T12" s="125"/>
      <c r="U12" s="90"/>
      <c r="V12" s="127"/>
      <c r="W12" s="90"/>
      <c r="X12" s="127"/>
      <c r="Y12" s="90"/>
      <c r="Z12" s="127"/>
      <c r="AA12" s="128"/>
      <c r="AB12" s="126"/>
      <c r="AC12" s="90"/>
      <c r="AD12" s="127"/>
      <c r="AE12" s="90"/>
      <c r="AF12" s="127"/>
      <c r="AG12" s="90"/>
      <c r="AH12" s="127"/>
      <c r="AI12" s="128"/>
      <c r="AJ12" s="126"/>
      <c r="AK12" s="90"/>
      <c r="AL12" s="94"/>
      <c r="AM12" s="175"/>
      <c r="AN12" s="176"/>
    </row>
    <row r="13" spans="1:40" ht="16.2" customHeight="1">
      <c r="A13" s="138"/>
      <c r="B13" s="91"/>
      <c r="C13" s="91"/>
      <c r="D13" s="91"/>
      <c r="E13" s="91"/>
      <c r="F13" s="95"/>
      <c r="G13" s="91"/>
      <c r="H13" s="91"/>
      <c r="I13" s="91"/>
      <c r="J13" s="91"/>
      <c r="K13" s="91"/>
      <c r="L13" s="95"/>
      <c r="M13" s="91"/>
      <c r="N13" s="91"/>
      <c r="O13" s="91"/>
      <c r="P13" s="91"/>
      <c r="Q13" s="91"/>
      <c r="R13" s="91"/>
      <c r="S13" s="91"/>
      <c r="T13" s="91"/>
      <c r="U13" s="91"/>
      <c r="V13" s="95"/>
      <c r="W13" s="91"/>
      <c r="X13" s="95"/>
      <c r="Y13" s="91"/>
      <c r="Z13" s="95"/>
      <c r="AA13" s="129"/>
      <c r="AB13" s="96"/>
      <c r="AC13" s="91"/>
      <c r="AD13" s="95"/>
      <c r="AE13" s="91"/>
      <c r="AF13" s="95"/>
      <c r="AG13" s="91"/>
      <c r="AH13" s="95"/>
      <c r="AI13" s="129"/>
      <c r="AJ13" s="96"/>
      <c r="AK13" s="91"/>
      <c r="AL13" s="97"/>
      <c r="AM13" s="177"/>
      <c r="AN13" s="178"/>
    </row>
    <row r="14" spans="1:40" ht="16.2" customHeight="1">
      <c r="A14" s="137"/>
      <c r="B14" s="125"/>
      <c r="C14" s="90"/>
      <c r="D14" s="125"/>
      <c r="E14" s="90"/>
      <c r="F14" s="127"/>
      <c r="G14" s="90"/>
      <c r="H14" s="125"/>
      <c r="I14" s="90"/>
      <c r="J14" s="125"/>
      <c r="K14" s="90"/>
      <c r="L14" s="127"/>
      <c r="M14" s="90"/>
      <c r="N14" s="125"/>
      <c r="O14" s="90"/>
      <c r="P14" s="125"/>
      <c r="Q14" s="90"/>
      <c r="R14" s="125"/>
      <c r="S14" s="90"/>
      <c r="T14" s="125"/>
      <c r="U14" s="90"/>
      <c r="V14" s="127"/>
      <c r="W14" s="90"/>
      <c r="X14" s="127"/>
      <c r="Y14" s="90"/>
      <c r="Z14" s="127"/>
      <c r="AA14" s="128"/>
      <c r="AB14" s="126"/>
      <c r="AC14" s="90"/>
      <c r="AD14" s="127"/>
      <c r="AE14" s="90"/>
      <c r="AF14" s="127"/>
      <c r="AG14" s="90"/>
      <c r="AH14" s="127"/>
      <c r="AI14" s="128"/>
      <c r="AJ14" s="126"/>
      <c r="AK14" s="90"/>
      <c r="AL14" s="94"/>
      <c r="AM14" s="175"/>
      <c r="AN14" s="176"/>
    </row>
    <row r="15" spans="1:40" ht="16.2" customHeight="1">
      <c r="A15" s="138"/>
      <c r="B15" s="91"/>
      <c r="C15" s="91"/>
      <c r="D15" s="91"/>
      <c r="E15" s="91"/>
      <c r="F15" s="95"/>
      <c r="G15" s="91"/>
      <c r="H15" s="91"/>
      <c r="I15" s="91"/>
      <c r="J15" s="91"/>
      <c r="K15" s="91"/>
      <c r="L15" s="95"/>
      <c r="M15" s="91"/>
      <c r="N15" s="91"/>
      <c r="O15" s="91"/>
      <c r="P15" s="91"/>
      <c r="Q15" s="91"/>
      <c r="R15" s="91"/>
      <c r="S15" s="91"/>
      <c r="T15" s="91"/>
      <c r="U15" s="91"/>
      <c r="V15" s="95"/>
      <c r="W15" s="91"/>
      <c r="X15" s="95"/>
      <c r="Y15" s="91"/>
      <c r="Z15" s="95"/>
      <c r="AA15" s="129"/>
      <c r="AB15" s="96"/>
      <c r="AC15" s="91"/>
      <c r="AD15" s="95"/>
      <c r="AE15" s="91"/>
      <c r="AF15" s="95"/>
      <c r="AG15" s="91"/>
      <c r="AH15" s="95"/>
      <c r="AI15" s="129"/>
      <c r="AJ15" s="96"/>
      <c r="AK15" s="91"/>
      <c r="AL15" s="97"/>
      <c r="AM15" s="177"/>
      <c r="AN15" s="178"/>
    </row>
    <row r="16" spans="1:40" ht="16.2" customHeight="1">
      <c r="A16" s="137"/>
      <c r="B16" s="125"/>
      <c r="C16" s="90"/>
      <c r="D16" s="125"/>
      <c r="E16" s="90"/>
      <c r="F16" s="127"/>
      <c r="G16" s="90"/>
      <c r="H16" s="125"/>
      <c r="I16" s="90"/>
      <c r="J16" s="125"/>
      <c r="K16" s="90"/>
      <c r="L16" s="127"/>
      <c r="M16" s="90"/>
      <c r="N16" s="125"/>
      <c r="O16" s="90"/>
      <c r="P16" s="125"/>
      <c r="Q16" s="90"/>
      <c r="R16" s="125"/>
      <c r="S16" s="90"/>
      <c r="T16" s="125"/>
      <c r="U16" s="90"/>
      <c r="V16" s="127"/>
      <c r="W16" s="90"/>
      <c r="X16" s="127"/>
      <c r="Y16" s="90"/>
      <c r="Z16" s="127"/>
      <c r="AA16" s="128"/>
      <c r="AB16" s="126"/>
      <c r="AC16" s="90"/>
      <c r="AD16" s="127"/>
      <c r="AE16" s="90"/>
      <c r="AF16" s="127"/>
      <c r="AG16" s="90"/>
      <c r="AH16" s="127"/>
      <c r="AI16" s="128"/>
      <c r="AJ16" s="126"/>
      <c r="AK16" s="90"/>
      <c r="AL16" s="94"/>
      <c r="AM16" s="175"/>
      <c r="AN16" s="176"/>
    </row>
    <row r="17" spans="1:40" ht="16.2" customHeight="1">
      <c r="A17" s="138"/>
      <c r="B17" s="91"/>
      <c r="C17" s="91"/>
      <c r="D17" s="91"/>
      <c r="E17" s="91"/>
      <c r="F17" s="95"/>
      <c r="G17" s="91"/>
      <c r="H17" s="91"/>
      <c r="I17" s="91"/>
      <c r="J17" s="91"/>
      <c r="K17" s="91"/>
      <c r="L17" s="95"/>
      <c r="M17" s="91"/>
      <c r="N17" s="91"/>
      <c r="O17" s="91"/>
      <c r="P17" s="91"/>
      <c r="Q17" s="91"/>
      <c r="R17" s="91"/>
      <c r="S17" s="91"/>
      <c r="T17" s="91"/>
      <c r="U17" s="91"/>
      <c r="V17" s="95"/>
      <c r="W17" s="91"/>
      <c r="X17" s="95"/>
      <c r="Y17" s="91"/>
      <c r="Z17" s="95"/>
      <c r="AA17" s="129"/>
      <c r="AB17" s="96"/>
      <c r="AC17" s="91"/>
      <c r="AD17" s="95"/>
      <c r="AE17" s="91"/>
      <c r="AF17" s="95"/>
      <c r="AG17" s="91"/>
      <c r="AH17" s="95"/>
      <c r="AI17" s="129"/>
      <c r="AJ17" s="96"/>
      <c r="AK17" s="91"/>
      <c r="AL17" s="97"/>
      <c r="AM17" s="177"/>
      <c r="AN17" s="178"/>
    </row>
    <row r="18" spans="1:40" ht="16.2" customHeight="1">
      <c r="A18" s="137"/>
      <c r="B18" s="125"/>
      <c r="C18" s="90"/>
      <c r="D18" s="125"/>
      <c r="E18" s="90"/>
      <c r="F18" s="127"/>
      <c r="G18" s="90"/>
      <c r="H18" s="125"/>
      <c r="I18" s="90"/>
      <c r="J18" s="125"/>
      <c r="K18" s="90"/>
      <c r="L18" s="127"/>
      <c r="M18" s="90"/>
      <c r="N18" s="125"/>
      <c r="O18" s="90"/>
      <c r="P18" s="125"/>
      <c r="Q18" s="90"/>
      <c r="R18" s="125"/>
      <c r="S18" s="90"/>
      <c r="T18" s="125"/>
      <c r="U18" s="90"/>
      <c r="V18" s="127"/>
      <c r="W18" s="90"/>
      <c r="X18" s="127"/>
      <c r="Y18" s="90"/>
      <c r="Z18" s="127"/>
      <c r="AA18" s="128"/>
      <c r="AB18" s="126"/>
      <c r="AC18" s="90"/>
      <c r="AD18" s="127"/>
      <c r="AE18" s="90"/>
      <c r="AF18" s="127"/>
      <c r="AG18" s="90"/>
      <c r="AH18" s="127"/>
      <c r="AI18" s="128"/>
      <c r="AJ18" s="126"/>
      <c r="AK18" s="90"/>
      <c r="AL18" s="94"/>
      <c r="AM18" s="175"/>
      <c r="AN18" s="176"/>
    </row>
    <row r="19" spans="1:40" ht="16.2" customHeight="1">
      <c r="A19" s="138"/>
      <c r="B19" s="91"/>
      <c r="C19" s="91"/>
      <c r="D19" s="91"/>
      <c r="E19" s="91"/>
      <c r="F19" s="95"/>
      <c r="G19" s="91"/>
      <c r="H19" s="91"/>
      <c r="I19" s="91"/>
      <c r="J19" s="91"/>
      <c r="K19" s="91"/>
      <c r="L19" s="95"/>
      <c r="M19" s="91"/>
      <c r="N19" s="91"/>
      <c r="O19" s="91"/>
      <c r="P19" s="91"/>
      <c r="Q19" s="91"/>
      <c r="R19" s="91"/>
      <c r="S19" s="91"/>
      <c r="T19" s="91"/>
      <c r="U19" s="91"/>
      <c r="V19" s="95"/>
      <c r="W19" s="91"/>
      <c r="X19" s="95"/>
      <c r="Y19" s="91"/>
      <c r="Z19" s="95"/>
      <c r="AA19" s="129"/>
      <c r="AB19" s="96"/>
      <c r="AC19" s="91"/>
      <c r="AD19" s="95"/>
      <c r="AE19" s="91"/>
      <c r="AF19" s="95"/>
      <c r="AG19" s="91"/>
      <c r="AH19" s="95"/>
      <c r="AI19" s="129"/>
      <c r="AJ19" s="96"/>
      <c r="AK19" s="91"/>
      <c r="AL19" s="97"/>
      <c r="AM19" s="177"/>
      <c r="AN19" s="178"/>
    </row>
    <row r="20" spans="1:40" ht="16.2" customHeight="1">
      <c r="A20" s="137"/>
      <c r="B20" s="125"/>
      <c r="C20" s="90"/>
      <c r="D20" s="125"/>
      <c r="E20" s="90"/>
      <c r="F20" s="127"/>
      <c r="G20" s="90"/>
      <c r="H20" s="125"/>
      <c r="I20" s="90"/>
      <c r="J20" s="125"/>
      <c r="K20" s="90"/>
      <c r="L20" s="127"/>
      <c r="M20" s="90"/>
      <c r="N20" s="125"/>
      <c r="O20" s="90"/>
      <c r="P20" s="125"/>
      <c r="Q20" s="90"/>
      <c r="R20" s="125"/>
      <c r="S20" s="90"/>
      <c r="T20" s="125"/>
      <c r="U20" s="90"/>
      <c r="V20" s="127"/>
      <c r="W20" s="90"/>
      <c r="X20" s="127"/>
      <c r="Y20" s="90"/>
      <c r="Z20" s="127"/>
      <c r="AA20" s="128"/>
      <c r="AB20" s="126"/>
      <c r="AC20" s="90"/>
      <c r="AD20" s="127"/>
      <c r="AE20" s="90"/>
      <c r="AF20" s="127"/>
      <c r="AG20" s="90"/>
      <c r="AH20" s="127"/>
      <c r="AI20" s="128"/>
      <c r="AJ20" s="126"/>
      <c r="AK20" s="90"/>
      <c r="AL20" s="94"/>
      <c r="AM20" s="175"/>
      <c r="AN20" s="176"/>
    </row>
    <row r="21" spans="1:40" ht="16.2" customHeight="1">
      <c r="A21" s="138"/>
      <c r="B21" s="91"/>
      <c r="C21" s="91"/>
      <c r="D21" s="91"/>
      <c r="E21" s="91"/>
      <c r="F21" s="95"/>
      <c r="G21" s="91"/>
      <c r="H21" s="91"/>
      <c r="I21" s="91"/>
      <c r="J21" s="91"/>
      <c r="K21" s="91"/>
      <c r="L21" s="95"/>
      <c r="M21" s="91"/>
      <c r="N21" s="91"/>
      <c r="O21" s="91"/>
      <c r="P21" s="91"/>
      <c r="Q21" s="91"/>
      <c r="R21" s="91"/>
      <c r="S21" s="91"/>
      <c r="T21" s="91"/>
      <c r="U21" s="91"/>
      <c r="V21" s="95"/>
      <c r="W21" s="91"/>
      <c r="X21" s="95"/>
      <c r="Y21" s="91"/>
      <c r="Z21" s="95"/>
      <c r="AA21" s="129"/>
      <c r="AB21" s="96"/>
      <c r="AC21" s="91"/>
      <c r="AD21" s="95"/>
      <c r="AE21" s="91"/>
      <c r="AF21" s="95"/>
      <c r="AG21" s="91"/>
      <c r="AH21" s="95"/>
      <c r="AI21" s="129"/>
      <c r="AJ21" s="96"/>
      <c r="AK21" s="91"/>
      <c r="AL21" s="97"/>
      <c r="AM21" s="177"/>
      <c r="AN21" s="178"/>
    </row>
    <row r="22" spans="1:40" ht="16.2" customHeight="1">
      <c r="A22" s="137"/>
      <c r="B22" s="125"/>
      <c r="C22" s="90"/>
      <c r="D22" s="125"/>
      <c r="E22" s="90"/>
      <c r="F22" s="127"/>
      <c r="G22" s="90"/>
      <c r="H22" s="125"/>
      <c r="I22" s="90"/>
      <c r="J22" s="125"/>
      <c r="K22" s="90"/>
      <c r="L22" s="127"/>
      <c r="M22" s="90"/>
      <c r="N22" s="125"/>
      <c r="O22" s="90"/>
      <c r="P22" s="125"/>
      <c r="Q22" s="90"/>
      <c r="R22" s="125"/>
      <c r="S22" s="90"/>
      <c r="T22" s="125"/>
      <c r="U22" s="90"/>
      <c r="V22" s="127"/>
      <c r="W22" s="90"/>
      <c r="X22" s="127"/>
      <c r="Y22" s="90"/>
      <c r="Z22" s="127"/>
      <c r="AA22" s="128"/>
      <c r="AB22" s="126"/>
      <c r="AC22" s="90"/>
      <c r="AD22" s="127"/>
      <c r="AE22" s="90"/>
      <c r="AF22" s="127"/>
      <c r="AG22" s="90"/>
      <c r="AH22" s="127"/>
      <c r="AI22" s="128"/>
      <c r="AJ22" s="126"/>
      <c r="AK22" s="90"/>
      <c r="AL22" s="94"/>
      <c r="AM22" s="175"/>
      <c r="AN22" s="176"/>
    </row>
    <row r="23" spans="1:40" ht="16.2" customHeight="1">
      <c r="A23" s="138"/>
      <c r="B23" s="91"/>
      <c r="C23" s="91"/>
      <c r="D23" s="91"/>
      <c r="E23" s="91"/>
      <c r="F23" s="95"/>
      <c r="G23" s="91"/>
      <c r="H23" s="91"/>
      <c r="I23" s="91"/>
      <c r="J23" s="91"/>
      <c r="K23" s="91"/>
      <c r="L23" s="95"/>
      <c r="M23" s="91"/>
      <c r="N23" s="91"/>
      <c r="O23" s="91"/>
      <c r="P23" s="91"/>
      <c r="Q23" s="91"/>
      <c r="R23" s="91"/>
      <c r="S23" s="91"/>
      <c r="T23" s="91"/>
      <c r="U23" s="91"/>
      <c r="V23" s="95"/>
      <c r="W23" s="91"/>
      <c r="X23" s="95"/>
      <c r="Y23" s="91"/>
      <c r="Z23" s="95"/>
      <c r="AA23" s="129"/>
      <c r="AB23" s="96"/>
      <c r="AC23" s="91"/>
      <c r="AD23" s="95"/>
      <c r="AE23" s="91"/>
      <c r="AF23" s="95"/>
      <c r="AG23" s="91"/>
      <c r="AH23" s="95"/>
      <c r="AI23" s="129"/>
      <c r="AJ23" s="96"/>
      <c r="AK23" s="91"/>
      <c r="AL23" s="97"/>
      <c r="AM23" s="177"/>
      <c r="AN23" s="178"/>
    </row>
    <row r="24" spans="1:40" ht="16.2" customHeight="1">
      <c r="A24" s="137"/>
      <c r="B24" s="125"/>
      <c r="C24" s="90"/>
      <c r="D24" s="125"/>
      <c r="E24" s="90"/>
      <c r="F24" s="127"/>
      <c r="G24" s="90"/>
      <c r="H24" s="125"/>
      <c r="I24" s="90"/>
      <c r="J24" s="125"/>
      <c r="K24" s="90"/>
      <c r="L24" s="127"/>
      <c r="M24" s="90"/>
      <c r="N24" s="125"/>
      <c r="O24" s="90"/>
      <c r="P24" s="125"/>
      <c r="Q24" s="90"/>
      <c r="R24" s="125"/>
      <c r="S24" s="90"/>
      <c r="T24" s="125"/>
      <c r="U24" s="90"/>
      <c r="V24" s="127"/>
      <c r="W24" s="90"/>
      <c r="X24" s="127"/>
      <c r="Y24" s="90"/>
      <c r="Z24" s="127"/>
      <c r="AA24" s="128"/>
      <c r="AB24" s="126"/>
      <c r="AC24" s="90"/>
      <c r="AD24" s="127"/>
      <c r="AE24" s="90"/>
      <c r="AF24" s="127"/>
      <c r="AG24" s="90"/>
      <c r="AH24" s="127"/>
      <c r="AI24" s="128"/>
      <c r="AJ24" s="126"/>
      <c r="AK24" s="90"/>
      <c r="AL24" s="94"/>
      <c r="AM24" s="175"/>
      <c r="AN24" s="176"/>
    </row>
    <row r="25" spans="1:40" ht="16.2" customHeight="1">
      <c r="A25" s="138"/>
      <c r="B25" s="91"/>
      <c r="C25" s="91"/>
      <c r="D25" s="91"/>
      <c r="E25" s="91"/>
      <c r="F25" s="95"/>
      <c r="G25" s="91"/>
      <c r="H25" s="91"/>
      <c r="I25" s="91"/>
      <c r="J25" s="91"/>
      <c r="K25" s="91"/>
      <c r="L25" s="95"/>
      <c r="M25" s="91"/>
      <c r="N25" s="91"/>
      <c r="O25" s="91"/>
      <c r="P25" s="91"/>
      <c r="Q25" s="91"/>
      <c r="R25" s="91"/>
      <c r="S25" s="91"/>
      <c r="T25" s="91"/>
      <c r="U25" s="91"/>
      <c r="V25" s="95"/>
      <c r="W25" s="91"/>
      <c r="X25" s="95"/>
      <c r="Y25" s="91"/>
      <c r="Z25" s="95"/>
      <c r="AA25" s="129"/>
      <c r="AB25" s="96"/>
      <c r="AC25" s="91"/>
      <c r="AD25" s="95"/>
      <c r="AE25" s="91"/>
      <c r="AF25" s="95"/>
      <c r="AG25" s="91"/>
      <c r="AH25" s="95"/>
      <c r="AI25" s="129"/>
      <c r="AJ25" s="96"/>
      <c r="AK25" s="91"/>
      <c r="AL25" s="97"/>
      <c r="AM25" s="177"/>
      <c r="AN25" s="178"/>
    </row>
    <row r="26" spans="1:40" ht="16.2" customHeight="1">
      <c r="A26" s="137"/>
      <c r="B26" s="125"/>
      <c r="C26" s="90"/>
      <c r="D26" s="125"/>
      <c r="E26" s="90"/>
      <c r="F26" s="127"/>
      <c r="G26" s="90"/>
      <c r="H26" s="125"/>
      <c r="I26" s="90"/>
      <c r="J26" s="125"/>
      <c r="K26" s="90"/>
      <c r="L26" s="127"/>
      <c r="M26" s="90"/>
      <c r="N26" s="125"/>
      <c r="O26" s="90"/>
      <c r="P26" s="125"/>
      <c r="Q26" s="90"/>
      <c r="R26" s="125"/>
      <c r="S26" s="90"/>
      <c r="T26" s="125"/>
      <c r="U26" s="90"/>
      <c r="V26" s="127"/>
      <c r="W26" s="90"/>
      <c r="X26" s="127"/>
      <c r="Y26" s="90"/>
      <c r="Z26" s="127"/>
      <c r="AA26" s="128"/>
      <c r="AB26" s="126"/>
      <c r="AC26" s="90"/>
      <c r="AD26" s="127"/>
      <c r="AE26" s="90"/>
      <c r="AF26" s="127"/>
      <c r="AG26" s="90"/>
      <c r="AH26" s="127"/>
      <c r="AI26" s="128"/>
      <c r="AJ26" s="126"/>
      <c r="AK26" s="90"/>
      <c r="AL26" s="94"/>
      <c r="AM26" s="175"/>
      <c r="AN26" s="176"/>
    </row>
    <row r="27" spans="1:40" ht="16.2" customHeight="1">
      <c r="A27" s="138"/>
      <c r="B27" s="91"/>
      <c r="C27" s="91"/>
      <c r="D27" s="91"/>
      <c r="E27" s="91"/>
      <c r="F27" s="95"/>
      <c r="G27" s="91"/>
      <c r="H27" s="91"/>
      <c r="I27" s="91"/>
      <c r="J27" s="91"/>
      <c r="K27" s="91"/>
      <c r="L27" s="95"/>
      <c r="M27" s="91"/>
      <c r="N27" s="91"/>
      <c r="O27" s="91"/>
      <c r="P27" s="91"/>
      <c r="Q27" s="91"/>
      <c r="R27" s="91"/>
      <c r="S27" s="91"/>
      <c r="T27" s="91"/>
      <c r="U27" s="91"/>
      <c r="V27" s="95"/>
      <c r="W27" s="91"/>
      <c r="X27" s="95"/>
      <c r="Y27" s="91"/>
      <c r="Z27" s="95"/>
      <c r="AA27" s="129"/>
      <c r="AB27" s="96"/>
      <c r="AC27" s="91"/>
      <c r="AD27" s="95"/>
      <c r="AE27" s="91"/>
      <c r="AF27" s="95"/>
      <c r="AG27" s="91"/>
      <c r="AH27" s="95"/>
      <c r="AI27" s="129"/>
      <c r="AJ27" s="96"/>
      <c r="AK27" s="91"/>
      <c r="AL27" s="97"/>
      <c r="AM27" s="177"/>
      <c r="AN27" s="178"/>
    </row>
    <row r="28" spans="1:40" ht="16.2" customHeight="1">
      <c r="A28" s="137"/>
      <c r="B28" s="125"/>
      <c r="C28" s="90"/>
      <c r="D28" s="125"/>
      <c r="E28" s="90"/>
      <c r="F28" s="127"/>
      <c r="G28" s="90"/>
      <c r="H28" s="125"/>
      <c r="I28" s="90"/>
      <c r="J28" s="125"/>
      <c r="K28" s="90"/>
      <c r="L28" s="127"/>
      <c r="M28" s="90"/>
      <c r="N28" s="125"/>
      <c r="O28" s="90"/>
      <c r="P28" s="125"/>
      <c r="Q28" s="90"/>
      <c r="R28" s="125"/>
      <c r="S28" s="90"/>
      <c r="T28" s="125"/>
      <c r="U28" s="90"/>
      <c r="V28" s="127"/>
      <c r="W28" s="90"/>
      <c r="X28" s="127"/>
      <c r="Y28" s="90"/>
      <c r="Z28" s="127"/>
      <c r="AA28" s="128"/>
      <c r="AB28" s="126"/>
      <c r="AC28" s="90"/>
      <c r="AD28" s="127"/>
      <c r="AE28" s="90"/>
      <c r="AF28" s="127"/>
      <c r="AG28" s="90"/>
      <c r="AH28" s="127"/>
      <c r="AI28" s="128"/>
      <c r="AJ28" s="126"/>
      <c r="AK28" s="90"/>
      <c r="AL28" s="94"/>
      <c r="AM28" s="175"/>
      <c r="AN28" s="176"/>
    </row>
    <row r="29" spans="1:40" ht="16.2" customHeight="1">
      <c r="A29" s="138"/>
      <c r="B29" s="91"/>
      <c r="C29" s="91"/>
      <c r="D29" s="91"/>
      <c r="E29" s="91"/>
      <c r="F29" s="95"/>
      <c r="G29" s="91"/>
      <c r="H29" s="91"/>
      <c r="I29" s="91"/>
      <c r="J29" s="91"/>
      <c r="K29" s="91"/>
      <c r="L29" s="95"/>
      <c r="M29" s="91"/>
      <c r="N29" s="91"/>
      <c r="O29" s="91"/>
      <c r="P29" s="91"/>
      <c r="Q29" s="91"/>
      <c r="R29" s="91"/>
      <c r="S29" s="91"/>
      <c r="T29" s="91"/>
      <c r="U29" s="91"/>
      <c r="V29" s="95"/>
      <c r="W29" s="91"/>
      <c r="X29" s="95"/>
      <c r="Y29" s="91"/>
      <c r="Z29" s="95"/>
      <c r="AA29" s="129"/>
      <c r="AB29" s="96"/>
      <c r="AC29" s="91"/>
      <c r="AD29" s="95"/>
      <c r="AE29" s="91"/>
      <c r="AF29" s="95"/>
      <c r="AG29" s="91"/>
      <c r="AH29" s="95"/>
      <c r="AI29" s="129"/>
      <c r="AJ29" s="96"/>
      <c r="AK29" s="91"/>
      <c r="AL29" s="97"/>
      <c r="AM29" s="177"/>
      <c r="AN29" s="178"/>
    </row>
    <row r="30" spans="1:40" ht="16.2" customHeight="1">
      <c r="A30" s="137"/>
      <c r="B30" s="125"/>
      <c r="C30" s="90"/>
      <c r="D30" s="125"/>
      <c r="E30" s="90"/>
      <c r="F30" s="127"/>
      <c r="G30" s="90"/>
      <c r="H30" s="125"/>
      <c r="I30" s="90"/>
      <c r="J30" s="125"/>
      <c r="K30" s="90"/>
      <c r="L30" s="127"/>
      <c r="M30" s="90"/>
      <c r="N30" s="125"/>
      <c r="O30" s="90"/>
      <c r="P30" s="125"/>
      <c r="Q30" s="90"/>
      <c r="R30" s="125"/>
      <c r="S30" s="90"/>
      <c r="T30" s="125"/>
      <c r="U30" s="90"/>
      <c r="V30" s="127"/>
      <c r="W30" s="90"/>
      <c r="X30" s="127"/>
      <c r="Y30" s="90"/>
      <c r="Z30" s="127"/>
      <c r="AA30" s="128"/>
      <c r="AB30" s="126"/>
      <c r="AC30" s="90"/>
      <c r="AD30" s="127"/>
      <c r="AE30" s="90"/>
      <c r="AF30" s="127"/>
      <c r="AG30" s="90"/>
      <c r="AH30" s="127"/>
      <c r="AI30" s="128"/>
      <c r="AJ30" s="126"/>
      <c r="AK30" s="90"/>
      <c r="AL30" s="94"/>
      <c r="AM30" s="175"/>
      <c r="AN30" s="176"/>
    </row>
    <row r="31" spans="1:40" ht="16.2" customHeight="1">
      <c r="A31" s="138"/>
      <c r="B31" s="91"/>
      <c r="C31" s="91"/>
      <c r="D31" s="91"/>
      <c r="E31" s="91"/>
      <c r="F31" s="95"/>
      <c r="G31" s="91"/>
      <c r="H31" s="91"/>
      <c r="I31" s="91"/>
      <c r="J31" s="91"/>
      <c r="K31" s="91"/>
      <c r="L31" s="95"/>
      <c r="M31" s="91"/>
      <c r="N31" s="91"/>
      <c r="O31" s="91"/>
      <c r="P31" s="91"/>
      <c r="Q31" s="91"/>
      <c r="R31" s="91"/>
      <c r="S31" s="91"/>
      <c r="T31" s="91"/>
      <c r="U31" s="91"/>
      <c r="V31" s="95"/>
      <c r="W31" s="91"/>
      <c r="X31" s="95"/>
      <c r="Y31" s="91"/>
      <c r="Z31" s="95"/>
      <c r="AA31" s="129"/>
      <c r="AB31" s="96"/>
      <c r="AC31" s="91"/>
      <c r="AD31" s="95"/>
      <c r="AE31" s="91"/>
      <c r="AF31" s="95"/>
      <c r="AG31" s="91"/>
      <c r="AH31" s="95"/>
      <c r="AI31" s="129"/>
      <c r="AJ31" s="96"/>
      <c r="AK31" s="91"/>
      <c r="AL31" s="97"/>
      <c r="AM31" s="177"/>
      <c r="AN31" s="178"/>
    </row>
    <row r="32" spans="1:40" ht="16.2" customHeight="1">
      <c r="A32" s="137"/>
      <c r="B32" s="125"/>
      <c r="C32" s="90"/>
      <c r="D32" s="125"/>
      <c r="E32" s="90"/>
      <c r="F32" s="127"/>
      <c r="G32" s="90"/>
      <c r="H32" s="125"/>
      <c r="I32" s="90"/>
      <c r="J32" s="125"/>
      <c r="K32" s="90"/>
      <c r="L32" s="127"/>
      <c r="M32" s="90"/>
      <c r="N32" s="125"/>
      <c r="O32" s="90"/>
      <c r="P32" s="125"/>
      <c r="Q32" s="90"/>
      <c r="R32" s="125"/>
      <c r="S32" s="90"/>
      <c r="T32" s="125"/>
      <c r="U32" s="90"/>
      <c r="V32" s="127"/>
      <c r="W32" s="90"/>
      <c r="X32" s="127"/>
      <c r="Y32" s="90"/>
      <c r="Z32" s="127"/>
      <c r="AA32" s="128"/>
      <c r="AB32" s="126"/>
      <c r="AC32" s="90"/>
      <c r="AD32" s="127"/>
      <c r="AE32" s="90"/>
      <c r="AF32" s="127"/>
      <c r="AG32" s="90"/>
      <c r="AH32" s="127"/>
      <c r="AI32" s="128"/>
      <c r="AJ32" s="126"/>
      <c r="AK32" s="90"/>
      <c r="AL32" s="94"/>
      <c r="AM32" s="175"/>
      <c r="AN32" s="176"/>
    </row>
    <row r="33" spans="1:40" ht="16.2" customHeight="1">
      <c r="A33" s="138"/>
      <c r="B33" s="91"/>
      <c r="C33" s="91"/>
      <c r="D33" s="91"/>
      <c r="E33" s="91"/>
      <c r="F33" s="95"/>
      <c r="G33" s="91"/>
      <c r="H33" s="91"/>
      <c r="I33" s="91"/>
      <c r="J33" s="91"/>
      <c r="K33" s="91"/>
      <c r="L33" s="95"/>
      <c r="M33" s="91"/>
      <c r="N33" s="91"/>
      <c r="O33" s="91"/>
      <c r="P33" s="91"/>
      <c r="Q33" s="91"/>
      <c r="R33" s="91"/>
      <c r="S33" s="91"/>
      <c r="T33" s="91"/>
      <c r="U33" s="91"/>
      <c r="V33" s="95"/>
      <c r="W33" s="91"/>
      <c r="X33" s="95"/>
      <c r="Y33" s="91"/>
      <c r="Z33" s="95"/>
      <c r="AA33" s="129"/>
      <c r="AB33" s="96"/>
      <c r="AC33" s="91"/>
      <c r="AD33" s="95"/>
      <c r="AE33" s="91"/>
      <c r="AF33" s="95"/>
      <c r="AG33" s="91"/>
      <c r="AH33" s="95"/>
      <c r="AI33" s="129"/>
      <c r="AJ33" s="96"/>
      <c r="AK33" s="91"/>
      <c r="AL33" s="97"/>
      <c r="AM33" s="177"/>
      <c r="AN33" s="178"/>
    </row>
    <row r="34" spans="1:40" ht="16.2" customHeight="1">
      <c r="A34" s="137"/>
      <c r="B34" s="125"/>
      <c r="C34" s="90"/>
      <c r="D34" s="125"/>
      <c r="E34" s="90"/>
      <c r="F34" s="127"/>
      <c r="G34" s="90"/>
      <c r="H34" s="125"/>
      <c r="I34" s="90"/>
      <c r="J34" s="125"/>
      <c r="K34" s="90"/>
      <c r="L34" s="127"/>
      <c r="M34" s="90"/>
      <c r="N34" s="125"/>
      <c r="O34" s="90"/>
      <c r="P34" s="125"/>
      <c r="Q34" s="90"/>
      <c r="R34" s="125"/>
      <c r="S34" s="90"/>
      <c r="T34" s="125"/>
      <c r="U34" s="90"/>
      <c r="V34" s="127"/>
      <c r="W34" s="90"/>
      <c r="X34" s="127"/>
      <c r="Y34" s="90"/>
      <c r="Z34" s="127"/>
      <c r="AA34" s="128"/>
      <c r="AB34" s="126"/>
      <c r="AC34" s="90"/>
      <c r="AD34" s="127"/>
      <c r="AE34" s="90"/>
      <c r="AF34" s="127"/>
      <c r="AG34" s="90"/>
      <c r="AH34" s="127"/>
      <c r="AI34" s="128"/>
      <c r="AJ34" s="126"/>
      <c r="AK34" s="90"/>
      <c r="AL34" s="94"/>
      <c r="AM34" s="175"/>
      <c r="AN34" s="176"/>
    </row>
    <row r="35" spans="1:40" ht="16.2" customHeight="1">
      <c r="A35" s="138"/>
      <c r="B35" s="91"/>
      <c r="C35" s="91"/>
      <c r="D35" s="91"/>
      <c r="E35" s="91"/>
      <c r="F35" s="95"/>
      <c r="G35" s="91"/>
      <c r="H35" s="91"/>
      <c r="I35" s="91"/>
      <c r="J35" s="91"/>
      <c r="K35" s="91"/>
      <c r="L35" s="95"/>
      <c r="M35" s="91"/>
      <c r="N35" s="91"/>
      <c r="O35" s="91"/>
      <c r="P35" s="91"/>
      <c r="Q35" s="91"/>
      <c r="R35" s="91"/>
      <c r="S35" s="91"/>
      <c r="T35" s="91"/>
      <c r="U35" s="91"/>
      <c r="V35" s="95"/>
      <c r="W35" s="91"/>
      <c r="X35" s="95"/>
      <c r="Y35" s="91"/>
      <c r="Z35" s="95"/>
      <c r="AA35" s="129"/>
      <c r="AB35" s="96"/>
      <c r="AC35" s="91"/>
      <c r="AD35" s="95"/>
      <c r="AE35" s="91"/>
      <c r="AF35" s="95"/>
      <c r="AG35" s="91"/>
      <c r="AH35" s="95"/>
      <c r="AI35" s="129"/>
      <c r="AJ35" s="96"/>
      <c r="AK35" s="91"/>
      <c r="AL35" s="97"/>
      <c r="AM35" s="177"/>
      <c r="AN35" s="178"/>
    </row>
    <row r="36" spans="1:40" ht="16.2" customHeight="1">
      <c r="A36" s="137"/>
      <c r="B36" s="125"/>
      <c r="C36" s="90"/>
      <c r="D36" s="125"/>
      <c r="E36" s="90"/>
      <c r="F36" s="127"/>
      <c r="G36" s="90"/>
      <c r="H36" s="125"/>
      <c r="I36" s="90"/>
      <c r="J36" s="125"/>
      <c r="K36" s="90"/>
      <c r="L36" s="127"/>
      <c r="M36" s="90"/>
      <c r="N36" s="125"/>
      <c r="O36" s="90"/>
      <c r="P36" s="125"/>
      <c r="Q36" s="90"/>
      <c r="R36" s="125"/>
      <c r="S36" s="90"/>
      <c r="T36" s="125"/>
      <c r="U36" s="90"/>
      <c r="V36" s="127"/>
      <c r="W36" s="90"/>
      <c r="X36" s="127"/>
      <c r="Y36" s="90"/>
      <c r="Z36" s="127"/>
      <c r="AA36" s="128"/>
      <c r="AB36" s="126"/>
      <c r="AC36" s="90"/>
      <c r="AD36" s="127"/>
      <c r="AE36" s="90"/>
      <c r="AF36" s="127"/>
      <c r="AG36" s="90"/>
      <c r="AH36" s="127"/>
      <c r="AI36" s="128"/>
      <c r="AJ36" s="126"/>
      <c r="AK36" s="90"/>
      <c r="AL36" s="94"/>
      <c r="AM36" s="175"/>
      <c r="AN36" s="176"/>
    </row>
    <row r="37" spans="1:40" ht="16.2" customHeight="1">
      <c r="A37" s="138"/>
      <c r="B37" s="91"/>
      <c r="C37" s="91"/>
      <c r="D37" s="91"/>
      <c r="E37" s="91"/>
      <c r="F37" s="95"/>
      <c r="G37" s="91"/>
      <c r="H37" s="91"/>
      <c r="I37" s="91"/>
      <c r="J37" s="91"/>
      <c r="K37" s="91"/>
      <c r="L37" s="95"/>
      <c r="M37" s="91"/>
      <c r="N37" s="91"/>
      <c r="O37" s="91"/>
      <c r="P37" s="91"/>
      <c r="Q37" s="91"/>
      <c r="R37" s="91"/>
      <c r="S37" s="91"/>
      <c r="T37" s="91"/>
      <c r="U37" s="91"/>
      <c r="V37" s="95"/>
      <c r="W37" s="91"/>
      <c r="X37" s="95"/>
      <c r="Y37" s="91"/>
      <c r="Z37" s="95"/>
      <c r="AA37" s="129"/>
      <c r="AB37" s="96"/>
      <c r="AC37" s="91"/>
      <c r="AD37" s="95"/>
      <c r="AE37" s="91"/>
      <c r="AF37" s="95"/>
      <c r="AG37" s="91"/>
      <c r="AH37" s="95"/>
      <c r="AI37" s="129"/>
      <c r="AJ37" s="96"/>
      <c r="AK37" s="91"/>
      <c r="AL37" s="97"/>
      <c r="AM37" s="177"/>
      <c r="AN37" s="178"/>
    </row>
    <row r="38" spans="1:40" ht="16.2" customHeight="1">
      <c r="A38" s="137"/>
      <c r="B38" s="125"/>
      <c r="C38" s="90"/>
      <c r="D38" s="125"/>
      <c r="E38" s="90"/>
      <c r="F38" s="127"/>
      <c r="G38" s="90"/>
      <c r="H38" s="125"/>
      <c r="I38" s="90"/>
      <c r="J38" s="125"/>
      <c r="K38" s="90"/>
      <c r="L38" s="127"/>
      <c r="M38" s="90"/>
      <c r="N38" s="125"/>
      <c r="O38" s="90"/>
      <c r="P38" s="125"/>
      <c r="Q38" s="90"/>
      <c r="R38" s="125"/>
      <c r="S38" s="90"/>
      <c r="T38" s="125"/>
      <c r="U38" s="90"/>
      <c r="V38" s="127"/>
      <c r="W38" s="90"/>
      <c r="X38" s="127"/>
      <c r="Y38" s="90"/>
      <c r="Z38" s="127"/>
      <c r="AA38" s="128"/>
      <c r="AB38" s="126"/>
      <c r="AC38" s="90"/>
      <c r="AD38" s="127"/>
      <c r="AE38" s="90"/>
      <c r="AF38" s="127"/>
      <c r="AG38" s="90"/>
      <c r="AH38" s="127"/>
      <c r="AI38" s="128"/>
      <c r="AJ38" s="126"/>
      <c r="AK38" s="90"/>
      <c r="AL38" s="94"/>
      <c r="AM38" s="175"/>
      <c r="AN38" s="176"/>
    </row>
    <row r="39" spans="1:40" ht="16.2" customHeight="1">
      <c r="A39" s="138"/>
      <c r="B39" s="91"/>
      <c r="C39" s="91"/>
      <c r="D39" s="91"/>
      <c r="E39" s="91"/>
      <c r="F39" s="95"/>
      <c r="G39" s="91"/>
      <c r="H39" s="91"/>
      <c r="I39" s="91"/>
      <c r="J39" s="91"/>
      <c r="K39" s="91"/>
      <c r="L39" s="95"/>
      <c r="M39" s="91"/>
      <c r="N39" s="91"/>
      <c r="O39" s="91"/>
      <c r="P39" s="91"/>
      <c r="Q39" s="91"/>
      <c r="R39" s="91"/>
      <c r="S39" s="91"/>
      <c r="T39" s="91"/>
      <c r="U39" s="91"/>
      <c r="V39" s="95"/>
      <c r="W39" s="91"/>
      <c r="X39" s="95"/>
      <c r="Y39" s="91"/>
      <c r="Z39" s="95"/>
      <c r="AA39" s="129"/>
      <c r="AB39" s="96"/>
      <c r="AC39" s="91"/>
      <c r="AD39" s="95"/>
      <c r="AE39" s="91"/>
      <c r="AF39" s="95"/>
      <c r="AG39" s="91"/>
      <c r="AH39" s="95"/>
      <c r="AI39" s="129"/>
      <c r="AJ39" s="96"/>
      <c r="AK39" s="91"/>
      <c r="AL39" s="97"/>
      <c r="AM39" s="177"/>
      <c r="AN39" s="178"/>
    </row>
    <row r="40" spans="1:40" ht="16.2" customHeight="1">
      <c r="A40" s="137"/>
      <c r="B40" s="125"/>
      <c r="C40" s="90"/>
      <c r="D40" s="125"/>
      <c r="E40" s="90"/>
      <c r="F40" s="127"/>
      <c r="G40" s="90"/>
      <c r="H40" s="125"/>
      <c r="I40" s="90"/>
      <c r="J40" s="125"/>
      <c r="K40" s="90"/>
      <c r="L40" s="127"/>
      <c r="M40" s="90"/>
      <c r="N40" s="125"/>
      <c r="O40" s="90"/>
      <c r="P40" s="125"/>
      <c r="Q40" s="90"/>
      <c r="R40" s="125"/>
      <c r="S40" s="90"/>
      <c r="T40" s="125"/>
      <c r="U40" s="90"/>
      <c r="V40" s="127"/>
      <c r="W40" s="90"/>
      <c r="X40" s="127"/>
      <c r="Y40" s="90"/>
      <c r="Z40" s="127"/>
      <c r="AA40" s="128"/>
      <c r="AB40" s="126"/>
      <c r="AC40" s="90"/>
      <c r="AD40" s="127"/>
      <c r="AE40" s="90"/>
      <c r="AF40" s="127"/>
      <c r="AG40" s="90"/>
      <c r="AH40" s="127"/>
      <c r="AI40" s="128"/>
      <c r="AJ40" s="126"/>
      <c r="AK40" s="90"/>
      <c r="AL40" s="94"/>
      <c r="AM40" s="175"/>
      <c r="AN40" s="176"/>
    </row>
    <row r="41" spans="1:40" ht="16.2" customHeight="1">
      <c r="A41" s="138"/>
      <c r="B41" s="91"/>
      <c r="C41" s="91"/>
      <c r="D41" s="91"/>
      <c r="E41" s="91"/>
      <c r="F41" s="95"/>
      <c r="G41" s="91"/>
      <c r="H41" s="91"/>
      <c r="I41" s="91"/>
      <c r="J41" s="91"/>
      <c r="K41" s="91"/>
      <c r="L41" s="95"/>
      <c r="M41" s="91"/>
      <c r="N41" s="91"/>
      <c r="O41" s="91"/>
      <c r="P41" s="91"/>
      <c r="Q41" s="91"/>
      <c r="R41" s="91"/>
      <c r="S41" s="91"/>
      <c r="T41" s="91"/>
      <c r="U41" s="91"/>
      <c r="V41" s="95"/>
      <c r="W41" s="91"/>
      <c r="X41" s="95"/>
      <c r="Y41" s="91"/>
      <c r="Z41" s="95"/>
      <c r="AA41" s="129"/>
      <c r="AB41" s="96"/>
      <c r="AC41" s="91"/>
      <c r="AD41" s="95"/>
      <c r="AE41" s="91"/>
      <c r="AF41" s="95"/>
      <c r="AG41" s="91"/>
      <c r="AH41" s="95"/>
      <c r="AI41" s="129"/>
      <c r="AJ41" s="96"/>
      <c r="AK41" s="91"/>
      <c r="AL41" s="97"/>
      <c r="AM41" s="177"/>
      <c r="AN41" s="178"/>
    </row>
    <row r="42" spans="1:40" ht="16.2" customHeight="1">
      <c r="A42" s="137"/>
      <c r="B42" s="125"/>
      <c r="C42" s="90"/>
      <c r="D42" s="125"/>
      <c r="E42" s="90"/>
      <c r="F42" s="127"/>
      <c r="G42" s="90"/>
      <c r="H42" s="125"/>
      <c r="I42" s="90"/>
      <c r="J42" s="125"/>
      <c r="K42" s="90"/>
      <c r="L42" s="127"/>
      <c r="M42" s="90"/>
      <c r="N42" s="125"/>
      <c r="O42" s="90"/>
      <c r="P42" s="125"/>
      <c r="Q42" s="90"/>
      <c r="R42" s="125"/>
      <c r="S42" s="90"/>
      <c r="T42" s="125"/>
      <c r="U42" s="90"/>
      <c r="V42" s="127"/>
      <c r="W42" s="90"/>
      <c r="X42" s="127"/>
      <c r="Y42" s="90"/>
      <c r="Z42" s="127"/>
      <c r="AA42" s="128"/>
      <c r="AB42" s="126"/>
      <c r="AC42" s="90"/>
      <c r="AD42" s="127"/>
      <c r="AE42" s="90"/>
      <c r="AF42" s="127"/>
      <c r="AG42" s="90"/>
      <c r="AH42" s="127"/>
      <c r="AI42" s="128"/>
      <c r="AJ42" s="126"/>
      <c r="AK42" s="90"/>
      <c r="AL42" s="94"/>
      <c r="AM42" s="175"/>
      <c r="AN42" s="176"/>
    </row>
    <row r="43" spans="1:40" ht="16.2" customHeight="1">
      <c r="A43" s="138"/>
      <c r="B43" s="91"/>
      <c r="C43" s="91"/>
      <c r="D43" s="91"/>
      <c r="E43" s="91"/>
      <c r="F43" s="95"/>
      <c r="G43" s="91"/>
      <c r="H43" s="91"/>
      <c r="I43" s="91"/>
      <c r="J43" s="91"/>
      <c r="K43" s="91"/>
      <c r="L43" s="95"/>
      <c r="M43" s="91"/>
      <c r="N43" s="91"/>
      <c r="O43" s="91"/>
      <c r="P43" s="91"/>
      <c r="Q43" s="91"/>
      <c r="R43" s="91"/>
      <c r="S43" s="91"/>
      <c r="T43" s="91"/>
      <c r="U43" s="91"/>
      <c r="V43" s="95"/>
      <c r="W43" s="91"/>
      <c r="X43" s="95"/>
      <c r="Y43" s="91"/>
      <c r="Z43" s="95"/>
      <c r="AA43" s="129"/>
      <c r="AB43" s="96"/>
      <c r="AC43" s="91"/>
      <c r="AD43" s="95"/>
      <c r="AE43" s="91"/>
      <c r="AF43" s="95"/>
      <c r="AG43" s="91"/>
      <c r="AH43" s="95"/>
      <c r="AI43" s="129"/>
      <c r="AJ43" s="96"/>
      <c r="AK43" s="91"/>
      <c r="AL43" s="97"/>
      <c r="AM43" s="177"/>
      <c r="AN43" s="178"/>
    </row>
    <row r="44" spans="1:40" ht="16.2" customHeight="1">
      <c r="A44" s="137"/>
      <c r="B44" s="125"/>
      <c r="C44" s="90"/>
      <c r="D44" s="125"/>
      <c r="E44" s="90"/>
      <c r="F44" s="127"/>
      <c r="G44" s="90"/>
      <c r="H44" s="125"/>
      <c r="I44" s="90"/>
      <c r="J44" s="125"/>
      <c r="K44" s="90"/>
      <c r="L44" s="127"/>
      <c r="M44" s="90"/>
      <c r="N44" s="125"/>
      <c r="O44" s="90"/>
      <c r="P44" s="125"/>
      <c r="Q44" s="90"/>
      <c r="R44" s="125"/>
      <c r="S44" s="90"/>
      <c r="T44" s="125"/>
      <c r="U44" s="90"/>
      <c r="V44" s="127"/>
      <c r="W44" s="90"/>
      <c r="X44" s="127"/>
      <c r="Y44" s="90"/>
      <c r="Z44" s="127"/>
      <c r="AA44" s="128"/>
      <c r="AB44" s="126"/>
      <c r="AC44" s="90"/>
      <c r="AD44" s="127"/>
      <c r="AE44" s="90"/>
      <c r="AF44" s="127"/>
      <c r="AG44" s="90"/>
      <c r="AH44" s="127"/>
      <c r="AI44" s="128"/>
      <c r="AJ44" s="126"/>
      <c r="AK44" s="90"/>
      <c r="AL44" s="94"/>
      <c r="AM44" s="175"/>
      <c r="AN44" s="176"/>
    </row>
    <row r="45" spans="1:40" ht="16.2" customHeight="1">
      <c r="A45" s="138"/>
      <c r="B45" s="91"/>
      <c r="C45" s="91"/>
      <c r="D45" s="91"/>
      <c r="E45" s="91"/>
      <c r="F45" s="95"/>
      <c r="G45" s="91"/>
      <c r="H45" s="91"/>
      <c r="I45" s="91"/>
      <c r="J45" s="91"/>
      <c r="K45" s="91"/>
      <c r="L45" s="95"/>
      <c r="M45" s="91"/>
      <c r="N45" s="91"/>
      <c r="O45" s="91"/>
      <c r="P45" s="91"/>
      <c r="Q45" s="91"/>
      <c r="R45" s="91"/>
      <c r="S45" s="91"/>
      <c r="T45" s="91"/>
      <c r="U45" s="91"/>
      <c r="V45" s="95"/>
      <c r="W45" s="91"/>
      <c r="X45" s="95"/>
      <c r="Y45" s="91"/>
      <c r="Z45" s="95"/>
      <c r="AA45" s="129"/>
      <c r="AB45" s="96"/>
      <c r="AC45" s="91"/>
      <c r="AD45" s="95"/>
      <c r="AE45" s="91"/>
      <c r="AF45" s="95"/>
      <c r="AG45" s="91"/>
      <c r="AH45" s="95"/>
      <c r="AI45" s="129"/>
      <c r="AJ45" s="96"/>
      <c r="AK45" s="91"/>
      <c r="AL45" s="97"/>
      <c r="AM45" s="177"/>
      <c r="AN45" s="178"/>
    </row>
    <row r="46" spans="1:40" ht="16.2" customHeight="1">
      <c r="A46" s="137"/>
      <c r="B46" s="125"/>
      <c r="C46" s="90"/>
      <c r="D46" s="125"/>
      <c r="E46" s="90"/>
      <c r="F46" s="127"/>
      <c r="G46" s="90"/>
      <c r="H46" s="125"/>
      <c r="I46" s="90"/>
      <c r="J46" s="125"/>
      <c r="K46" s="90"/>
      <c r="L46" s="127"/>
      <c r="M46" s="90"/>
      <c r="N46" s="125"/>
      <c r="O46" s="90"/>
      <c r="P46" s="125"/>
      <c r="Q46" s="90"/>
      <c r="R46" s="125"/>
      <c r="S46" s="90"/>
      <c r="T46" s="125"/>
      <c r="U46" s="90"/>
      <c r="V46" s="127"/>
      <c r="W46" s="90"/>
      <c r="X46" s="127"/>
      <c r="Y46" s="90"/>
      <c r="Z46" s="127"/>
      <c r="AA46" s="128"/>
      <c r="AB46" s="126"/>
      <c r="AC46" s="90"/>
      <c r="AD46" s="127"/>
      <c r="AE46" s="90"/>
      <c r="AF46" s="127"/>
      <c r="AG46" s="90"/>
      <c r="AH46" s="127"/>
      <c r="AI46" s="128"/>
      <c r="AJ46" s="126"/>
      <c r="AK46" s="90"/>
      <c r="AL46" s="94"/>
      <c r="AM46" s="175"/>
      <c r="AN46" s="176"/>
    </row>
    <row r="47" spans="1:40" ht="16.2" customHeight="1">
      <c r="A47" s="138"/>
      <c r="B47" s="91"/>
      <c r="C47" s="91"/>
      <c r="D47" s="91"/>
      <c r="E47" s="91"/>
      <c r="F47" s="95"/>
      <c r="G47" s="91"/>
      <c r="H47" s="91"/>
      <c r="I47" s="91"/>
      <c r="J47" s="91"/>
      <c r="K47" s="91"/>
      <c r="L47" s="95"/>
      <c r="M47" s="91"/>
      <c r="N47" s="91"/>
      <c r="O47" s="91"/>
      <c r="P47" s="91"/>
      <c r="Q47" s="91"/>
      <c r="R47" s="91"/>
      <c r="S47" s="91"/>
      <c r="T47" s="91"/>
      <c r="U47" s="91"/>
      <c r="V47" s="95"/>
      <c r="W47" s="91"/>
      <c r="X47" s="95"/>
      <c r="Y47" s="91"/>
      <c r="Z47" s="95"/>
      <c r="AA47" s="129"/>
      <c r="AB47" s="96"/>
      <c r="AC47" s="91"/>
      <c r="AD47" s="95"/>
      <c r="AE47" s="91"/>
      <c r="AF47" s="95"/>
      <c r="AG47" s="91"/>
      <c r="AH47" s="95"/>
      <c r="AI47" s="129"/>
      <c r="AJ47" s="96"/>
      <c r="AK47" s="91"/>
      <c r="AL47" s="97"/>
      <c r="AM47" s="177"/>
      <c r="AN47" s="178"/>
    </row>
    <row r="48" spans="1:40" ht="16.2" customHeight="1">
      <c r="A48" s="137"/>
      <c r="B48" s="125"/>
      <c r="C48" s="90"/>
      <c r="D48" s="125"/>
      <c r="E48" s="90"/>
      <c r="F48" s="127"/>
      <c r="G48" s="90"/>
      <c r="H48" s="125"/>
      <c r="I48" s="90"/>
      <c r="J48" s="125"/>
      <c r="K48" s="90"/>
      <c r="L48" s="127"/>
      <c r="M48" s="90"/>
      <c r="N48" s="125"/>
      <c r="O48" s="90"/>
      <c r="P48" s="125"/>
      <c r="Q48" s="90"/>
      <c r="R48" s="125"/>
      <c r="S48" s="90"/>
      <c r="T48" s="125"/>
      <c r="U48" s="90"/>
      <c r="V48" s="127"/>
      <c r="W48" s="90"/>
      <c r="X48" s="127"/>
      <c r="Y48" s="90"/>
      <c r="Z48" s="127"/>
      <c r="AA48" s="128"/>
      <c r="AB48" s="126"/>
      <c r="AC48" s="90"/>
      <c r="AD48" s="127"/>
      <c r="AE48" s="90"/>
      <c r="AF48" s="127"/>
      <c r="AG48" s="90"/>
      <c r="AH48" s="127"/>
      <c r="AI48" s="128"/>
      <c r="AJ48" s="126"/>
      <c r="AK48" s="90"/>
      <c r="AL48" s="94"/>
      <c r="AM48" s="175"/>
      <c r="AN48" s="176"/>
    </row>
    <row r="49" spans="1:40" ht="16.2" customHeight="1">
      <c r="A49" s="138"/>
      <c r="B49" s="91"/>
      <c r="C49" s="91"/>
      <c r="D49" s="91"/>
      <c r="E49" s="91"/>
      <c r="F49" s="95"/>
      <c r="G49" s="91"/>
      <c r="H49" s="91"/>
      <c r="I49" s="91"/>
      <c r="J49" s="91"/>
      <c r="K49" s="91"/>
      <c r="L49" s="95"/>
      <c r="M49" s="91"/>
      <c r="N49" s="91"/>
      <c r="O49" s="91"/>
      <c r="P49" s="91"/>
      <c r="Q49" s="91"/>
      <c r="R49" s="91"/>
      <c r="S49" s="91"/>
      <c r="T49" s="91"/>
      <c r="U49" s="91"/>
      <c r="V49" s="95"/>
      <c r="W49" s="91"/>
      <c r="X49" s="95"/>
      <c r="Y49" s="91"/>
      <c r="Z49" s="95"/>
      <c r="AA49" s="129"/>
      <c r="AB49" s="96"/>
      <c r="AC49" s="91"/>
      <c r="AD49" s="95"/>
      <c r="AE49" s="91"/>
      <c r="AF49" s="95"/>
      <c r="AG49" s="91"/>
      <c r="AH49" s="95"/>
      <c r="AI49" s="129"/>
      <c r="AJ49" s="96"/>
      <c r="AK49" s="91"/>
      <c r="AL49" s="97"/>
      <c r="AM49" s="177"/>
      <c r="AN49" s="178"/>
    </row>
    <row r="50" spans="1:40" ht="16.2" customHeight="1">
      <c r="A50" s="137"/>
      <c r="B50" s="125"/>
      <c r="C50" s="90"/>
      <c r="D50" s="125"/>
      <c r="E50" s="90"/>
      <c r="F50" s="127"/>
      <c r="G50" s="90"/>
      <c r="H50" s="125"/>
      <c r="I50" s="90"/>
      <c r="J50" s="125"/>
      <c r="K50" s="90"/>
      <c r="L50" s="127"/>
      <c r="M50" s="90"/>
      <c r="N50" s="125"/>
      <c r="O50" s="90"/>
      <c r="P50" s="125"/>
      <c r="Q50" s="90"/>
      <c r="R50" s="125"/>
      <c r="S50" s="90"/>
      <c r="T50" s="125"/>
      <c r="U50" s="90"/>
      <c r="V50" s="127"/>
      <c r="W50" s="90"/>
      <c r="X50" s="127"/>
      <c r="Y50" s="90"/>
      <c r="Z50" s="127"/>
      <c r="AA50" s="128"/>
      <c r="AB50" s="126"/>
      <c r="AC50" s="90"/>
      <c r="AD50" s="127"/>
      <c r="AE50" s="90"/>
      <c r="AF50" s="127"/>
      <c r="AG50" s="90"/>
      <c r="AH50" s="127"/>
      <c r="AI50" s="128"/>
      <c r="AJ50" s="126"/>
      <c r="AK50" s="90"/>
      <c r="AL50" s="94"/>
      <c r="AM50" s="175"/>
      <c r="AN50" s="176"/>
    </row>
    <row r="51" spans="1:40" ht="16.2" customHeight="1">
      <c r="A51" s="138"/>
      <c r="B51" s="91"/>
      <c r="C51" s="91"/>
      <c r="D51" s="91"/>
      <c r="E51" s="91"/>
      <c r="F51" s="95"/>
      <c r="G51" s="91"/>
      <c r="H51" s="91"/>
      <c r="I51" s="91"/>
      <c r="J51" s="91"/>
      <c r="K51" s="91"/>
      <c r="L51" s="95"/>
      <c r="M51" s="91"/>
      <c r="N51" s="91"/>
      <c r="O51" s="91"/>
      <c r="P51" s="91"/>
      <c r="Q51" s="91"/>
      <c r="R51" s="91"/>
      <c r="S51" s="91"/>
      <c r="T51" s="91"/>
      <c r="U51" s="91"/>
      <c r="V51" s="95"/>
      <c r="W51" s="91"/>
      <c r="X51" s="95"/>
      <c r="Y51" s="91"/>
      <c r="Z51" s="95"/>
      <c r="AA51" s="129"/>
      <c r="AB51" s="96"/>
      <c r="AC51" s="91"/>
      <c r="AD51" s="95"/>
      <c r="AE51" s="91"/>
      <c r="AF51" s="95"/>
      <c r="AG51" s="91"/>
      <c r="AH51" s="95"/>
      <c r="AI51" s="129"/>
      <c r="AJ51" s="96"/>
      <c r="AK51" s="91"/>
      <c r="AL51" s="97"/>
      <c r="AM51" s="177"/>
      <c r="AN51" s="178"/>
    </row>
    <row r="52" spans="1:40" ht="16.2" customHeight="1">
      <c r="A52" s="137"/>
      <c r="B52" s="125"/>
      <c r="C52" s="90"/>
      <c r="D52" s="125"/>
      <c r="E52" s="90"/>
      <c r="F52" s="127"/>
      <c r="G52" s="90"/>
      <c r="H52" s="125"/>
      <c r="I52" s="90"/>
      <c r="J52" s="125"/>
      <c r="K52" s="90"/>
      <c r="L52" s="127"/>
      <c r="M52" s="90"/>
      <c r="N52" s="125"/>
      <c r="O52" s="90"/>
      <c r="P52" s="125"/>
      <c r="Q52" s="90"/>
      <c r="R52" s="125"/>
      <c r="S52" s="90"/>
      <c r="T52" s="125"/>
      <c r="U52" s="90"/>
      <c r="V52" s="127"/>
      <c r="W52" s="90"/>
      <c r="X52" s="127"/>
      <c r="Y52" s="90"/>
      <c r="Z52" s="127"/>
      <c r="AA52" s="128"/>
      <c r="AB52" s="126"/>
      <c r="AC52" s="90"/>
      <c r="AD52" s="127"/>
      <c r="AE52" s="90"/>
      <c r="AF52" s="127"/>
      <c r="AG52" s="90"/>
      <c r="AH52" s="127"/>
      <c r="AI52" s="128"/>
      <c r="AJ52" s="126"/>
      <c r="AK52" s="90"/>
      <c r="AL52" s="94"/>
      <c r="AM52" s="175"/>
      <c r="AN52" s="176"/>
    </row>
    <row r="53" spans="1:40" ht="16.2" customHeight="1">
      <c r="A53" s="138"/>
      <c r="B53" s="91"/>
      <c r="C53" s="91"/>
      <c r="D53" s="91"/>
      <c r="E53" s="91"/>
      <c r="F53" s="95"/>
      <c r="G53" s="91"/>
      <c r="H53" s="91"/>
      <c r="I53" s="91"/>
      <c r="J53" s="91"/>
      <c r="K53" s="91"/>
      <c r="L53" s="95"/>
      <c r="M53" s="91"/>
      <c r="N53" s="91"/>
      <c r="O53" s="91"/>
      <c r="P53" s="91"/>
      <c r="Q53" s="91"/>
      <c r="R53" s="91"/>
      <c r="S53" s="91"/>
      <c r="T53" s="91"/>
      <c r="U53" s="91"/>
      <c r="V53" s="95"/>
      <c r="W53" s="91"/>
      <c r="X53" s="95"/>
      <c r="Y53" s="91"/>
      <c r="Z53" s="95"/>
      <c r="AA53" s="129"/>
      <c r="AB53" s="96"/>
      <c r="AC53" s="91"/>
      <c r="AD53" s="95"/>
      <c r="AE53" s="91"/>
      <c r="AF53" s="95"/>
      <c r="AG53" s="91"/>
      <c r="AH53" s="95"/>
      <c r="AI53" s="129"/>
      <c r="AJ53" s="96"/>
      <c r="AK53" s="91"/>
      <c r="AL53" s="97"/>
      <c r="AM53" s="177"/>
      <c r="AN53" s="178"/>
    </row>
    <row r="54" spans="1:40" ht="16.2" customHeight="1">
      <c r="A54" s="137"/>
      <c r="B54" s="125"/>
      <c r="C54" s="90"/>
      <c r="D54" s="125"/>
      <c r="E54" s="90"/>
      <c r="F54" s="127"/>
      <c r="G54" s="90"/>
      <c r="H54" s="125"/>
      <c r="I54" s="90"/>
      <c r="J54" s="125"/>
      <c r="K54" s="90"/>
      <c r="L54" s="127"/>
      <c r="M54" s="90"/>
      <c r="N54" s="125"/>
      <c r="O54" s="90"/>
      <c r="P54" s="125"/>
      <c r="Q54" s="90"/>
      <c r="R54" s="125"/>
      <c r="S54" s="90"/>
      <c r="T54" s="125"/>
      <c r="U54" s="90"/>
      <c r="V54" s="127"/>
      <c r="W54" s="90"/>
      <c r="X54" s="127"/>
      <c r="Y54" s="90"/>
      <c r="Z54" s="127"/>
      <c r="AA54" s="128"/>
      <c r="AB54" s="126"/>
      <c r="AC54" s="90"/>
      <c r="AD54" s="127"/>
      <c r="AE54" s="90"/>
      <c r="AF54" s="127"/>
      <c r="AG54" s="90"/>
      <c r="AH54" s="127"/>
      <c r="AI54" s="128"/>
      <c r="AJ54" s="126"/>
      <c r="AK54" s="90"/>
      <c r="AL54" s="94"/>
      <c r="AM54" s="175"/>
      <c r="AN54" s="176"/>
    </row>
    <row r="55" spans="1:40" ht="16.2" customHeight="1">
      <c r="A55" s="138"/>
      <c r="B55" s="91"/>
      <c r="C55" s="91"/>
      <c r="D55" s="91"/>
      <c r="E55" s="91"/>
      <c r="F55" s="95"/>
      <c r="G55" s="91"/>
      <c r="H55" s="91"/>
      <c r="I55" s="91"/>
      <c r="J55" s="91"/>
      <c r="K55" s="91"/>
      <c r="L55" s="95"/>
      <c r="M55" s="91"/>
      <c r="N55" s="91"/>
      <c r="O55" s="91"/>
      <c r="P55" s="91"/>
      <c r="Q55" s="91"/>
      <c r="R55" s="91"/>
      <c r="S55" s="91"/>
      <c r="T55" s="91"/>
      <c r="U55" s="91"/>
      <c r="V55" s="95"/>
      <c r="W55" s="91"/>
      <c r="X55" s="95"/>
      <c r="Y55" s="91"/>
      <c r="Z55" s="95"/>
      <c r="AA55" s="129"/>
      <c r="AB55" s="96"/>
      <c r="AC55" s="91"/>
      <c r="AD55" s="95"/>
      <c r="AE55" s="91"/>
      <c r="AF55" s="95"/>
      <c r="AG55" s="91"/>
      <c r="AH55" s="95"/>
      <c r="AI55" s="129"/>
      <c r="AJ55" s="96"/>
      <c r="AK55" s="91"/>
      <c r="AL55" s="97"/>
      <c r="AM55" s="177"/>
      <c r="AN55" s="178"/>
    </row>
    <row r="56" spans="1:40" ht="16.2" customHeight="1">
      <c r="A56" s="137"/>
      <c r="B56" s="125"/>
      <c r="C56" s="90"/>
      <c r="D56" s="125"/>
      <c r="E56" s="90"/>
      <c r="F56" s="127"/>
      <c r="G56" s="90"/>
      <c r="H56" s="125"/>
      <c r="I56" s="90"/>
      <c r="J56" s="125"/>
      <c r="K56" s="90"/>
      <c r="L56" s="127"/>
      <c r="M56" s="90"/>
      <c r="N56" s="125"/>
      <c r="O56" s="90"/>
      <c r="P56" s="125"/>
      <c r="Q56" s="90"/>
      <c r="R56" s="125"/>
      <c r="S56" s="90"/>
      <c r="T56" s="125"/>
      <c r="U56" s="90"/>
      <c r="V56" s="127"/>
      <c r="W56" s="90"/>
      <c r="X56" s="127"/>
      <c r="Y56" s="90"/>
      <c r="Z56" s="127"/>
      <c r="AA56" s="128"/>
      <c r="AB56" s="126"/>
      <c r="AC56" s="90"/>
      <c r="AD56" s="127"/>
      <c r="AE56" s="90"/>
      <c r="AF56" s="127"/>
      <c r="AG56" s="90"/>
      <c r="AH56" s="127"/>
      <c r="AI56" s="128"/>
      <c r="AJ56" s="126"/>
      <c r="AK56" s="90"/>
      <c r="AL56" s="94"/>
      <c r="AM56" s="175"/>
      <c r="AN56" s="176"/>
    </row>
    <row r="57" spans="1:40" ht="16.2" customHeight="1">
      <c r="A57" s="138"/>
      <c r="B57" s="91"/>
      <c r="C57" s="91"/>
      <c r="D57" s="91"/>
      <c r="E57" s="91"/>
      <c r="F57" s="95"/>
      <c r="G57" s="91"/>
      <c r="H57" s="91"/>
      <c r="I57" s="91"/>
      <c r="J57" s="91"/>
      <c r="K57" s="91"/>
      <c r="L57" s="95"/>
      <c r="M57" s="91"/>
      <c r="N57" s="91"/>
      <c r="O57" s="91"/>
      <c r="P57" s="91"/>
      <c r="Q57" s="91"/>
      <c r="R57" s="91"/>
      <c r="S57" s="91"/>
      <c r="T57" s="91"/>
      <c r="U57" s="91"/>
      <c r="V57" s="95"/>
      <c r="W57" s="91"/>
      <c r="X57" s="95"/>
      <c r="Y57" s="91"/>
      <c r="Z57" s="95"/>
      <c r="AA57" s="129"/>
      <c r="AB57" s="96"/>
      <c r="AC57" s="91"/>
      <c r="AD57" s="95"/>
      <c r="AE57" s="91"/>
      <c r="AF57" s="95"/>
      <c r="AG57" s="91"/>
      <c r="AH57" s="95"/>
      <c r="AI57" s="129"/>
      <c r="AJ57" s="96"/>
      <c r="AK57" s="91"/>
      <c r="AL57" s="97"/>
      <c r="AM57" s="177"/>
      <c r="AN57" s="178"/>
    </row>
    <row r="58" spans="1:40" ht="16.2" customHeight="1">
      <c r="A58" s="137"/>
      <c r="B58" s="125"/>
      <c r="C58" s="90"/>
      <c r="D58" s="125"/>
      <c r="E58" s="90"/>
      <c r="F58" s="127"/>
      <c r="G58" s="90"/>
      <c r="H58" s="125"/>
      <c r="I58" s="90"/>
      <c r="J58" s="125"/>
      <c r="K58" s="90"/>
      <c r="L58" s="127"/>
      <c r="M58" s="90"/>
      <c r="N58" s="125"/>
      <c r="O58" s="90"/>
      <c r="P58" s="125"/>
      <c r="Q58" s="90"/>
      <c r="R58" s="125"/>
      <c r="S58" s="90"/>
      <c r="T58" s="125"/>
      <c r="U58" s="90"/>
      <c r="V58" s="127"/>
      <c r="W58" s="90"/>
      <c r="X58" s="127"/>
      <c r="Y58" s="90"/>
      <c r="Z58" s="127"/>
      <c r="AA58" s="128"/>
      <c r="AB58" s="126"/>
      <c r="AC58" s="90"/>
      <c r="AD58" s="127"/>
      <c r="AE58" s="90"/>
      <c r="AF58" s="127"/>
      <c r="AG58" s="90"/>
      <c r="AH58" s="127"/>
      <c r="AI58" s="128"/>
      <c r="AJ58" s="126"/>
      <c r="AK58" s="90"/>
      <c r="AL58" s="94"/>
      <c r="AM58" s="175"/>
      <c r="AN58" s="176"/>
    </row>
    <row r="59" spans="1:40" ht="16.2" customHeight="1">
      <c r="A59" s="138"/>
      <c r="B59" s="91"/>
      <c r="C59" s="91"/>
      <c r="D59" s="91"/>
      <c r="E59" s="91"/>
      <c r="F59" s="95"/>
      <c r="G59" s="91"/>
      <c r="H59" s="91"/>
      <c r="I59" s="91"/>
      <c r="J59" s="91"/>
      <c r="K59" s="91"/>
      <c r="L59" s="95"/>
      <c r="M59" s="91"/>
      <c r="N59" s="91"/>
      <c r="O59" s="91"/>
      <c r="P59" s="91"/>
      <c r="Q59" s="91"/>
      <c r="R59" s="91"/>
      <c r="S59" s="91"/>
      <c r="T59" s="91"/>
      <c r="U59" s="91"/>
      <c r="V59" s="95"/>
      <c r="W59" s="91"/>
      <c r="X59" s="95"/>
      <c r="Y59" s="91"/>
      <c r="Z59" s="95"/>
      <c r="AA59" s="129"/>
      <c r="AB59" s="96"/>
      <c r="AC59" s="91"/>
      <c r="AD59" s="95"/>
      <c r="AE59" s="91"/>
      <c r="AF59" s="95"/>
      <c r="AG59" s="91"/>
      <c r="AH59" s="95"/>
      <c r="AI59" s="129"/>
      <c r="AJ59" s="96"/>
      <c r="AK59" s="91"/>
      <c r="AL59" s="97"/>
      <c r="AM59" s="177"/>
      <c r="AN59" s="178"/>
    </row>
    <row r="60" spans="1:40" ht="16.2" customHeight="1">
      <c r="A60" s="137"/>
      <c r="B60" s="125"/>
      <c r="C60" s="90"/>
      <c r="D60" s="125"/>
      <c r="E60" s="90"/>
      <c r="F60" s="127"/>
      <c r="G60" s="90"/>
      <c r="H60" s="125"/>
      <c r="I60" s="90"/>
      <c r="J60" s="125"/>
      <c r="K60" s="90"/>
      <c r="L60" s="127"/>
      <c r="M60" s="90"/>
      <c r="N60" s="125"/>
      <c r="O60" s="90"/>
      <c r="P60" s="125"/>
      <c r="Q60" s="90"/>
      <c r="R60" s="125"/>
      <c r="S60" s="90"/>
      <c r="T60" s="125"/>
      <c r="U60" s="90"/>
      <c r="V60" s="127"/>
      <c r="W60" s="90"/>
      <c r="X60" s="127"/>
      <c r="Y60" s="90"/>
      <c r="Z60" s="127"/>
      <c r="AA60" s="128"/>
      <c r="AB60" s="126"/>
      <c r="AC60" s="90"/>
      <c r="AD60" s="127"/>
      <c r="AE60" s="90"/>
      <c r="AF60" s="127"/>
      <c r="AG60" s="90"/>
      <c r="AH60" s="127"/>
      <c r="AI60" s="128"/>
      <c r="AJ60" s="126"/>
      <c r="AK60" s="90"/>
      <c r="AL60" s="94"/>
      <c r="AM60" s="175"/>
      <c r="AN60" s="176"/>
    </row>
    <row r="61" spans="1:40" ht="16.2" customHeight="1">
      <c r="A61" s="138"/>
      <c r="B61" s="91"/>
      <c r="C61" s="91"/>
      <c r="D61" s="91"/>
      <c r="E61" s="91"/>
      <c r="F61" s="95"/>
      <c r="G61" s="91"/>
      <c r="H61" s="91"/>
      <c r="I61" s="91"/>
      <c r="J61" s="91"/>
      <c r="K61" s="91"/>
      <c r="L61" s="95"/>
      <c r="M61" s="91"/>
      <c r="N61" s="91"/>
      <c r="O61" s="91"/>
      <c r="P61" s="91"/>
      <c r="Q61" s="91"/>
      <c r="R61" s="91"/>
      <c r="S61" s="91"/>
      <c r="T61" s="91"/>
      <c r="U61" s="91"/>
      <c r="V61" s="95"/>
      <c r="W61" s="91"/>
      <c r="X61" s="95"/>
      <c r="Y61" s="91"/>
      <c r="Z61" s="95"/>
      <c r="AA61" s="129"/>
      <c r="AB61" s="96"/>
      <c r="AC61" s="91"/>
      <c r="AD61" s="95"/>
      <c r="AE61" s="91"/>
      <c r="AF61" s="95"/>
      <c r="AG61" s="91"/>
      <c r="AH61" s="95"/>
      <c r="AI61" s="129"/>
      <c r="AJ61" s="96"/>
      <c r="AK61" s="91"/>
      <c r="AL61" s="97"/>
      <c r="AM61" s="177"/>
      <c r="AN61" s="178"/>
    </row>
    <row r="62" spans="1:40" ht="16.2" customHeight="1">
      <c r="A62" s="137"/>
      <c r="B62" s="125"/>
      <c r="C62" s="90"/>
      <c r="D62" s="125"/>
      <c r="E62" s="90"/>
      <c r="F62" s="127"/>
      <c r="G62" s="90"/>
      <c r="H62" s="125"/>
      <c r="I62" s="90"/>
      <c r="J62" s="125"/>
      <c r="K62" s="90"/>
      <c r="L62" s="127"/>
      <c r="M62" s="90"/>
      <c r="N62" s="125"/>
      <c r="O62" s="90"/>
      <c r="P62" s="125"/>
      <c r="Q62" s="90"/>
      <c r="R62" s="125"/>
      <c r="S62" s="90"/>
      <c r="T62" s="125"/>
      <c r="U62" s="90"/>
      <c r="V62" s="127"/>
      <c r="W62" s="90"/>
      <c r="X62" s="127"/>
      <c r="Y62" s="90"/>
      <c r="Z62" s="127"/>
      <c r="AA62" s="128"/>
      <c r="AB62" s="126"/>
      <c r="AC62" s="90"/>
      <c r="AD62" s="127"/>
      <c r="AE62" s="90"/>
      <c r="AF62" s="127"/>
      <c r="AG62" s="90"/>
      <c r="AH62" s="127"/>
      <c r="AI62" s="128"/>
      <c r="AJ62" s="126"/>
      <c r="AK62" s="90"/>
      <c r="AL62" s="94"/>
      <c r="AM62" s="175"/>
      <c r="AN62" s="176"/>
    </row>
    <row r="63" spans="1:40" ht="16.2" customHeight="1">
      <c r="A63" s="138"/>
      <c r="B63" s="91"/>
      <c r="C63" s="91"/>
      <c r="D63" s="91"/>
      <c r="E63" s="91"/>
      <c r="F63" s="95"/>
      <c r="G63" s="91"/>
      <c r="H63" s="91"/>
      <c r="I63" s="91"/>
      <c r="J63" s="91"/>
      <c r="K63" s="91"/>
      <c r="L63" s="95"/>
      <c r="M63" s="91"/>
      <c r="N63" s="91"/>
      <c r="O63" s="91"/>
      <c r="P63" s="91"/>
      <c r="Q63" s="91"/>
      <c r="R63" s="91"/>
      <c r="S63" s="91"/>
      <c r="T63" s="91"/>
      <c r="U63" s="91"/>
      <c r="V63" s="95"/>
      <c r="W63" s="91"/>
      <c r="X63" s="95"/>
      <c r="Y63" s="91"/>
      <c r="Z63" s="95"/>
      <c r="AA63" s="129"/>
      <c r="AB63" s="96"/>
      <c r="AC63" s="91"/>
      <c r="AD63" s="95"/>
      <c r="AE63" s="91"/>
      <c r="AF63" s="95"/>
      <c r="AG63" s="91"/>
      <c r="AH63" s="95"/>
      <c r="AI63" s="129"/>
      <c r="AJ63" s="96"/>
      <c r="AK63" s="91"/>
      <c r="AL63" s="97"/>
      <c r="AM63" s="177"/>
      <c r="AN63" s="178"/>
    </row>
    <row r="64" spans="1:40" ht="16.2" customHeight="1">
      <c r="A64" s="137"/>
      <c r="B64" s="125"/>
      <c r="C64" s="90"/>
      <c r="D64" s="125"/>
      <c r="E64" s="90"/>
      <c r="F64" s="127"/>
      <c r="G64" s="90"/>
      <c r="H64" s="125"/>
      <c r="I64" s="90"/>
      <c r="J64" s="125"/>
      <c r="K64" s="90"/>
      <c r="L64" s="127"/>
      <c r="M64" s="90"/>
      <c r="N64" s="125"/>
      <c r="O64" s="90"/>
      <c r="P64" s="125"/>
      <c r="Q64" s="90"/>
      <c r="R64" s="125"/>
      <c r="S64" s="90"/>
      <c r="T64" s="125"/>
      <c r="U64" s="90"/>
      <c r="V64" s="127"/>
      <c r="W64" s="90"/>
      <c r="X64" s="127"/>
      <c r="Y64" s="90"/>
      <c r="Z64" s="127"/>
      <c r="AA64" s="128"/>
      <c r="AB64" s="126"/>
      <c r="AC64" s="90"/>
      <c r="AD64" s="127"/>
      <c r="AE64" s="90"/>
      <c r="AF64" s="127"/>
      <c r="AG64" s="90"/>
      <c r="AH64" s="127"/>
      <c r="AI64" s="128"/>
      <c r="AJ64" s="126"/>
      <c r="AK64" s="90"/>
      <c r="AL64" s="94"/>
      <c r="AM64" s="175"/>
      <c r="AN64" s="176"/>
    </row>
    <row r="65" spans="1:40" ht="16.2" customHeight="1">
      <c r="A65" s="138"/>
      <c r="B65" s="91"/>
      <c r="C65" s="91"/>
      <c r="D65" s="91"/>
      <c r="E65" s="91"/>
      <c r="F65" s="95"/>
      <c r="G65" s="91"/>
      <c r="H65" s="91"/>
      <c r="I65" s="91"/>
      <c r="J65" s="91"/>
      <c r="K65" s="91"/>
      <c r="L65" s="95"/>
      <c r="M65" s="91"/>
      <c r="N65" s="91"/>
      <c r="O65" s="91"/>
      <c r="P65" s="91"/>
      <c r="Q65" s="91"/>
      <c r="R65" s="91"/>
      <c r="S65" s="91"/>
      <c r="T65" s="91"/>
      <c r="U65" s="91"/>
      <c r="V65" s="95"/>
      <c r="W65" s="91"/>
      <c r="X65" s="95"/>
      <c r="Y65" s="91"/>
      <c r="Z65" s="95"/>
      <c r="AA65" s="129"/>
      <c r="AB65" s="96"/>
      <c r="AC65" s="91"/>
      <c r="AD65" s="95"/>
      <c r="AE65" s="91"/>
      <c r="AF65" s="95"/>
      <c r="AG65" s="91"/>
      <c r="AH65" s="95"/>
      <c r="AI65" s="129"/>
      <c r="AJ65" s="96"/>
      <c r="AK65" s="91"/>
      <c r="AL65" s="97"/>
      <c r="AM65" s="177"/>
      <c r="AN65" s="178"/>
    </row>
    <row r="66" spans="1:40" ht="16.2" customHeight="1">
      <c r="A66" s="137"/>
      <c r="B66" s="125"/>
      <c r="C66" s="90"/>
      <c r="D66" s="125"/>
      <c r="E66" s="90"/>
      <c r="F66" s="127"/>
      <c r="G66" s="90"/>
      <c r="H66" s="125"/>
      <c r="I66" s="90"/>
      <c r="J66" s="125"/>
      <c r="K66" s="90"/>
      <c r="L66" s="127"/>
      <c r="M66" s="90"/>
      <c r="N66" s="125"/>
      <c r="O66" s="90"/>
      <c r="P66" s="125"/>
      <c r="Q66" s="90"/>
      <c r="R66" s="125"/>
      <c r="S66" s="90"/>
      <c r="T66" s="125"/>
      <c r="U66" s="90"/>
      <c r="V66" s="127"/>
      <c r="W66" s="90"/>
      <c r="X66" s="127"/>
      <c r="Y66" s="90"/>
      <c r="Z66" s="127"/>
      <c r="AA66" s="128"/>
      <c r="AB66" s="126"/>
      <c r="AC66" s="90"/>
      <c r="AD66" s="127"/>
      <c r="AE66" s="90"/>
      <c r="AF66" s="127"/>
      <c r="AG66" s="90"/>
      <c r="AH66" s="127"/>
      <c r="AI66" s="128"/>
      <c r="AJ66" s="126"/>
      <c r="AK66" s="90"/>
      <c r="AL66" s="94"/>
      <c r="AM66" s="175"/>
      <c r="AN66" s="176"/>
    </row>
    <row r="67" spans="1:40" ht="16.2" customHeight="1">
      <c r="A67" s="138"/>
      <c r="B67" s="91"/>
      <c r="C67" s="91"/>
      <c r="D67" s="91"/>
      <c r="E67" s="91"/>
      <c r="F67" s="95"/>
      <c r="G67" s="91"/>
      <c r="H67" s="91"/>
      <c r="I67" s="91"/>
      <c r="J67" s="91"/>
      <c r="K67" s="91"/>
      <c r="L67" s="95"/>
      <c r="M67" s="91"/>
      <c r="N67" s="91"/>
      <c r="O67" s="91"/>
      <c r="P67" s="91"/>
      <c r="Q67" s="91"/>
      <c r="R67" s="91"/>
      <c r="S67" s="91"/>
      <c r="T67" s="91"/>
      <c r="U67" s="91"/>
      <c r="V67" s="95"/>
      <c r="W67" s="91"/>
      <c r="X67" s="95"/>
      <c r="Y67" s="91"/>
      <c r="Z67" s="95"/>
      <c r="AA67" s="129"/>
      <c r="AB67" s="96"/>
      <c r="AC67" s="91"/>
      <c r="AD67" s="95"/>
      <c r="AE67" s="91"/>
      <c r="AF67" s="95"/>
      <c r="AG67" s="91"/>
      <c r="AH67" s="95"/>
      <c r="AI67" s="129"/>
      <c r="AJ67" s="96"/>
      <c r="AK67" s="91"/>
      <c r="AL67" s="97"/>
      <c r="AM67" s="177"/>
      <c r="AN67" s="178"/>
    </row>
    <row r="68" spans="1:40" ht="16.2" customHeight="1">
      <c r="A68" s="137"/>
      <c r="B68" s="125"/>
      <c r="C68" s="90"/>
      <c r="D68" s="125"/>
      <c r="E68" s="90"/>
      <c r="F68" s="127"/>
      <c r="G68" s="90"/>
      <c r="H68" s="125"/>
      <c r="I68" s="90"/>
      <c r="J68" s="125"/>
      <c r="K68" s="90"/>
      <c r="L68" s="127"/>
      <c r="M68" s="90"/>
      <c r="N68" s="125"/>
      <c r="O68" s="90"/>
      <c r="P68" s="125"/>
      <c r="Q68" s="90"/>
      <c r="R68" s="125"/>
      <c r="S68" s="90"/>
      <c r="T68" s="125"/>
      <c r="U68" s="90"/>
      <c r="V68" s="127"/>
      <c r="W68" s="90"/>
      <c r="X68" s="127"/>
      <c r="Y68" s="90"/>
      <c r="Z68" s="127"/>
      <c r="AA68" s="128"/>
      <c r="AB68" s="126"/>
      <c r="AC68" s="90"/>
      <c r="AD68" s="127"/>
      <c r="AE68" s="90"/>
      <c r="AF68" s="127"/>
      <c r="AG68" s="90"/>
      <c r="AH68" s="127"/>
      <c r="AI68" s="128"/>
      <c r="AJ68" s="126"/>
      <c r="AK68" s="90"/>
      <c r="AL68" s="94"/>
      <c r="AM68" s="175"/>
      <c r="AN68" s="176"/>
    </row>
    <row r="69" spans="1:40" ht="16.2" customHeight="1">
      <c r="A69" s="138"/>
      <c r="B69" s="91"/>
      <c r="C69" s="91"/>
      <c r="D69" s="91"/>
      <c r="E69" s="91"/>
      <c r="F69" s="95"/>
      <c r="G69" s="91"/>
      <c r="H69" s="91"/>
      <c r="I69" s="91"/>
      <c r="J69" s="91"/>
      <c r="K69" s="91"/>
      <c r="L69" s="95"/>
      <c r="M69" s="91"/>
      <c r="N69" s="91"/>
      <c r="O69" s="91"/>
      <c r="P69" s="91"/>
      <c r="Q69" s="91"/>
      <c r="R69" s="91"/>
      <c r="S69" s="91"/>
      <c r="T69" s="91"/>
      <c r="U69" s="91"/>
      <c r="V69" s="95"/>
      <c r="W69" s="91"/>
      <c r="X69" s="95"/>
      <c r="Y69" s="91"/>
      <c r="Z69" s="95"/>
      <c r="AA69" s="129"/>
      <c r="AB69" s="96"/>
      <c r="AC69" s="91"/>
      <c r="AD69" s="95"/>
      <c r="AE69" s="91"/>
      <c r="AF69" s="95"/>
      <c r="AG69" s="91"/>
      <c r="AH69" s="95"/>
      <c r="AI69" s="129"/>
      <c r="AJ69" s="96"/>
      <c r="AK69" s="91"/>
      <c r="AL69" s="97"/>
      <c r="AM69" s="177"/>
      <c r="AN69" s="178"/>
    </row>
    <row r="70" spans="1:40" ht="16.2" customHeight="1">
      <c r="A70" s="137"/>
      <c r="B70" s="125"/>
      <c r="C70" s="90"/>
      <c r="D70" s="125"/>
      <c r="E70" s="90"/>
      <c r="F70" s="127"/>
      <c r="G70" s="90"/>
      <c r="H70" s="125"/>
      <c r="I70" s="90"/>
      <c r="J70" s="125"/>
      <c r="K70" s="90"/>
      <c r="L70" s="127"/>
      <c r="M70" s="90"/>
      <c r="N70" s="125"/>
      <c r="O70" s="90"/>
      <c r="P70" s="125"/>
      <c r="Q70" s="90"/>
      <c r="R70" s="125"/>
      <c r="S70" s="90"/>
      <c r="T70" s="125"/>
      <c r="U70" s="90"/>
      <c r="V70" s="127"/>
      <c r="W70" s="90"/>
      <c r="X70" s="127"/>
      <c r="Y70" s="90"/>
      <c r="Z70" s="127"/>
      <c r="AA70" s="128"/>
      <c r="AB70" s="126"/>
      <c r="AC70" s="90"/>
      <c r="AD70" s="127"/>
      <c r="AE70" s="90"/>
      <c r="AF70" s="127"/>
      <c r="AG70" s="90"/>
      <c r="AH70" s="127"/>
      <c r="AI70" s="128"/>
      <c r="AJ70" s="126"/>
      <c r="AK70" s="90"/>
      <c r="AL70" s="94"/>
      <c r="AM70" s="175"/>
      <c r="AN70" s="176"/>
    </row>
    <row r="71" spans="1:40" ht="16.2" customHeight="1">
      <c r="A71" s="138"/>
      <c r="B71" s="91"/>
      <c r="C71" s="91"/>
      <c r="D71" s="91"/>
      <c r="E71" s="91"/>
      <c r="F71" s="95"/>
      <c r="G71" s="91"/>
      <c r="H71" s="91"/>
      <c r="I71" s="91"/>
      <c r="J71" s="91"/>
      <c r="K71" s="91"/>
      <c r="L71" s="95"/>
      <c r="M71" s="91"/>
      <c r="N71" s="91"/>
      <c r="O71" s="91"/>
      <c r="P71" s="91"/>
      <c r="Q71" s="91"/>
      <c r="R71" s="91"/>
      <c r="S71" s="91"/>
      <c r="T71" s="91"/>
      <c r="U71" s="91"/>
      <c r="V71" s="95"/>
      <c r="W71" s="91"/>
      <c r="X71" s="95"/>
      <c r="Y71" s="91"/>
      <c r="Z71" s="95"/>
      <c r="AA71" s="129"/>
      <c r="AB71" s="96"/>
      <c r="AC71" s="91"/>
      <c r="AD71" s="95"/>
      <c r="AE71" s="91"/>
      <c r="AF71" s="95"/>
      <c r="AG71" s="91"/>
      <c r="AH71" s="95"/>
      <c r="AI71" s="129"/>
      <c r="AJ71" s="96"/>
      <c r="AK71" s="91"/>
      <c r="AL71" s="97"/>
      <c r="AM71" s="177"/>
      <c r="AN71" s="178"/>
    </row>
    <row r="72" spans="1:40" ht="16.2" customHeight="1">
      <c r="A72" s="137"/>
      <c r="B72" s="125"/>
      <c r="C72" s="90"/>
      <c r="D72" s="125"/>
      <c r="E72" s="90"/>
      <c r="F72" s="127"/>
      <c r="G72" s="90"/>
      <c r="H72" s="125"/>
      <c r="I72" s="90"/>
      <c r="J72" s="125"/>
      <c r="K72" s="90"/>
      <c r="L72" s="127"/>
      <c r="M72" s="90"/>
      <c r="N72" s="125"/>
      <c r="O72" s="90"/>
      <c r="P72" s="125"/>
      <c r="Q72" s="90"/>
      <c r="R72" s="125"/>
      <c r="S72" s="90"/>
      <c r="T72" s="125"/>
      <c r="U72" s="90"/>
      <c r="V72" s="127"/>
      <c r="W72" s="90"/>
      <c r="X72" s="127"/>
      <c r="Y72" s="90"/>
      <c r="Z72" s="127"/>
      <c r="AA72" s="128"/>
      <c r="AB72" s="126"/>
      <c r="AC72" s="90"/>
      <c r="AD72" s="127"/>
      <c r="AE72" s="90"/>
      <c r="AF72" s="127"/>
      <c r="AG72" s="90"/>
      <c r="AH72" s="127"/>
      <c r="AI72" s="128"/>
      <c r="AJ72" s="126"/>
      <c r="AK72" s="90"/>
      <c r="AL72" s="94"/>
      <c r="AM72" s="175"/>
      <c r="AN72" s="176"/>
    </row>
    <row r="73" spans="1:40" ht="16.2" customHeight="1">
      <c r="A73" s="138"/>
      <c r="B73" s="91"/>
      <c r="C73" s="91"/>
      <c r="D73" s="91"/>
      <c r="E73" s="91"/>
      <c r="F73" s="95"/>
      <c r="G73" s="91"/>
      <c r="H73" s="91"/>
      <c r="I73" s="91"/>
      <c r="J73" s="91"/>
      <c r="K73" s="91"/>
      <c r="L73" s="95"/>
      <c r="M73" s="91"/>
      <c r="N73" s="91"/>
      <c r="O73" s="91"/>
      <c r="P73" s="91"/>
      <c r="Q73" s="91"/>
      <c r="R73" s="91"/>
      <c r="S73" s="91"/>
      <c r="T73" s="91"/>
      <c r="U73" s="91"/>
      <c r="V73" s="95"/>
      <c r="W73" s="91"/>
      <c r="X73" s="95"/>
      <c r="Y73" s="91"/>
      <c r="Z73" s="95"/>
      <c r="AA73" s="129"/>
      <c r="AB73" s="96"/>
      <c r="AC73" s="91"/>
      <c r="AD73" s="95"/>
      <c r="AE73" s="91"/>
      <c r="AF73" s="95"/>
      <c r="AG73" s="91"/>
      <c r="AH73" s="95"/>
      <c r="AI73" s="129"/>
      <c r="AJ73" s="96"/>
      <c r="AK73" s="91"/>
      <c r="AL73" s="97"/>
      <c r="AM73" s="177"/>
      <c r="AN73" s="178"/>
    </row>
    <row r="74" spans="1:40" ht="16.2" customHeight="1">
      <c r="A74" s="137"/>
      <c r="B74" s="125"/>
      <c r="C74" s="90"/>
      <c r="D74" s="125"/>
      <c r="E74" s="90"/>
      <c r="F74" s="127"/>
      <c r="G74" s="90"/>
      <c r="H74" s="125"/>
      <c r="I74" s="90"/>
      <c r="J74" s="125"/>
      <c r="K74" s="90"/>
      <c r="L74" s="127"/>
      <c r="M74" s="90"/>
      <c r="N74" s="125"/>
      <c r="O74" s="90"/>
      <c r="P74" s="125"/>
      <c r="Q74" s="90"/>
      <c r="R74" s="125"/>
      <c r="S74" s="90"/>
      <c r="T74" s="125"/>
      <c r="U74" s="90"/>
      <c r="V74" s="127"/>
      <c r="W74" s="90"/>
      <c r="X74" s="127"/>
      <c r="Y74" s="90"/>
      <c r="Z74" s="127"/>
      <c r="AA74" s="128"/>
      <c r="AB74" s="126"/>
      <c r="AC74" s="90"/>
      <c r="AD74" s="127"/>
      <c r="AE74" s="90"/>
      <c r="AF74" s="127"/>
      <c r="AG74" s="90"/>
      <c r="AH74" s="127"/>
      <c r="AI74" s="128"/>
      <c r="AJ74" s="126"/>
      <c r="AK74" s="90"/>
      <c r="AL74" s="94"/>
      <c r="AM74" s="175"/>
      <c r="AN74" s="176"/>
    </row>
    <row r="75" spans="1:40" ht="16.2" customHeight="1">
      <c r="A75" s="138"/>
      <c r="B75" s="91"/>
      <c r="C75" s="91"/>
      <c r="D75" s="91"/>
      <c r="E75" s="91"/>
      <c r="F75" s="95"/>
      <c r="G75" s="91"/>
      <c r="H75" s="91"/>
      <c r="I75" s="91"/>
      <c r="J75" s="91"/>
      <c r="K75" s="91"/>
      <c r="L75" s="95"/>
      <c r="M75" s="91"/>
      <c r="N75" s="91"/>
      <c r="O75" s="91"/>
      <c r="P75" s="91"/>
      <c r="Q75" s="91"/>
      <c r="R75" s="91"/>
      <c r="S75" s="91"/>
      <c r="T75" s="91"/>
      <c r="U75" s="91"/>
      <c r="V75" s="95"/>
      <c r="W75" s="91"/>
      <c r="X75" s="95"/>
      <c r="Y75" s="91"/>
      <c r="Z75" s="95"/>
      <c r="AA75" s="129"/>
      <c r="AB75" s="96"/>
      <c r="AC75" s="91"/>
      <c r="AD75" s="95"/>
      <c r="AE75" s="91"/>
      <c r="AF75" s="95"/>
      <c r="AG75" s="91"/>
      <c r="AH75" s="95"/>
      <c r="AI75" s="129"/>
      <c r="AJ75" s="96"/>
      <c r="AK75" s="91"/>
      <c r="AL75" s="97"/>
      <c r="AM75" s="177"/>
      <c r="AN75" s="178"/>
    </row>
    <row r="76" spans="1:40" ht="16.2" customHeight="1">
      <c r="A76" s="137"/>
      <c r="B76" s="125"/>
      <c r="C76" s="90"/>
      <c r="D76" s="125"/>
      <c r="E76" s="90"/>
      <c r="F76" s="127"/>
      <c r="G76" s="90"/>
      <c r="H76" s="125"/>
      <c r="I76" s="90"/>
      <c r="J76" s="125"/>
      <c r="K76" s="90"/>
      <c r="L76" s="127"/>
      <c r="M76" s="90"/>
      <c r="N76" s="125"/>
      <c r="O76" s="90"/>
      <c r="P76" s="125"/>
      <c r="Q76" s="90"/>
      <c r="R76" s="125"/>
      <c r="S76" s="90"/>
      <c r="T76" s="125"/>
      <c r="U76" s="90"/>
      <c r="V76" s="127"/>
      <c r="W76" s="90"/>
      <c r="X76" s="127"/>
      <c r="Y76" s="90"/>
      <c r="Z76" s="127"/>
      <c r="AA76" s="128"/>
      <c r="AB76" s="126"/>
      <c r="AC76" s="90"/>
      <c r="AD76" s="127"/>
      <c r="AE76" s="90"/>
      <c r="AF76" s="127"/>
      <c r="AG76" s="90"/>
      <c r="AH76" s="127"/>
      <c r="AI76" s="128"/>
      <c r="AJ76" s="126"/>
      <c r="AK76" s="90"/>
      <c r="AL76" s="94"/>
      <c r="AM76" s="175"/>
      <c r="AN76" s="176"/>
    </row>
    <row r="77" spans="1:40" ht="16.2" customHeight="1">
      <c r="A77" s="138"/>
      <c r="B77" s="91"/>
      <c r="C77" s="91"/>
      <c r="D77" s="91"/>
      <c r="E77" s="91"/>
      <c r="F77" s="95"/>
      <c r="G77" s="91"/>
      <c r="H77" s="91"/>
      <c r="I77" s="91"/>
      <c r="J77" s="91"/>
      <c r="K77" s="91"/>
      <c r="L77" s="95"/>
      <c r="M77" s="91"/>
      <c r="N77" s="91"/>
      <c r="O77" s="91"/>
      <c r="P77" s="91"/>
      <c r="Q77" s="91"/>
      <c r="R77" s="91"/>
      <c r="S77" s="91"/>
      <c r="T77" s="91"/>
      <c r="U77" s="91"/>
      <c r="V77" s="95"/>
      <c r="W77" s="91"/>
      <c r="X77" s="95"/>
      <c r="Y77" s="91"/>
      <c r="Z77" s="95"/>
      <c r="AA77" s="129"/>
      <c r="AB77" s="96"/>
      <c r="AC77" s="91"/>
      <c r="AD77" s="95"/>
      <c r="AE77" s="91"/>
      <c r="AF77" s="95"/>
      <c r="AG77" s="91"/>
      <c r="AH77" s="95"/>
      <c r="AI77" s="129"/>
      <c r="AJ77" s="96"/>
      <c r="AK77" s="91"/>
      <c r="AL77" s="97"/>
      <c r="AM77" s="177"/>
      <c r="AN77" s="178"/>
    </row>
    <row r="78" spans="1:40" ht="16.2" customHeight="1">
      <c r="A78" s="137"/>
      <c r="B78" s="125"/>
      <c r="C78" s="90"/>
      <c r="D78" s="125"/>
      <c r="E78" s="90"/>
      <c r="F78" s="127"/>
      <c r="G78" s="90"/>
      <c r="H78" s="125"/>
      <c r="I78" s="90"/>
      <c r="J78" s="125"/>
      <c r="K78" s="90"/>
      <c r="L78" s="127"/>
      <c r="M78" s="90"/>
      <c r="N78" s="125"/>
      <c r="O78" s="90"/>
      <c r="P78" s="125"/>
      <c r="Q78" s="90"/>
      <c r="R78" s="125"/>
      <c r="S78" s="90"/>
      <c r="T78" s="125"/>
      <c r="U78" s="90"/>
      <c r="V78" s="127"/>
      <c r="W78" s="90"/>
      <c r="X78" s="127"/>
      <c r="Y78" s="90"/>
      <c r="Z78" s="127"/>
      <c r="AA78" s="128"/>
      <c r="AB78" s="126"/>
      <c r="AC78" s="90"/>
      <c r="AD78" s="127"/>
      <c r="AE78" s="90"/>
      <c r="AF78" s="127"/>
      <c r="AG78" s="90"/>
      <c r="AH78" s="127"/>
      <c r="AI78" s="128"/>
      <c r="AJ78" s="126"/>
      <c r="AK78" s="90"/>
      <c r="AL78" s="94"/>
      <c r="AM78" s="175"/>
      <c r="AN78" s="176"/>
    </row>
    <row r="79" spans="1:40" ht="16.2" customHeight="1">
      <c r="A79" s="138"/>
      <c r="B79" s="91"/>
      <c r="C79" s="91"/>
      <c r="D79" s="91"/>
      <c r="E79" s="91"/>
      <c r="F79" s="95"/>
      <c r="G79" s="91"/>
      <c r="H79" s="91"/>
      <c r="I79" s="91"/>
      <c r="J79" s="91"/>
      <c r="K79" s="91"/>
      <c r="L79" s="95"/>
      <c r="M79" s="91"/>
      <c r="N79" s="91"/>
      <c r="O79" s="91"/>
      <c r="P79" s="91"/>
      <c r="Q79" s="91"/>
      <c r="R79" s="91"/>
      <c r="S79" s="91"/>
      <c r="T79" s="91"/>
      <c r="U79" s="91"/>
      <c r="V79" s="95"/>
      <c r="W79" s="91"/>
      <c r="X79" s="95"/>
      <c r="Y79" s="91"/>
      <c r="Z79" s="95"/>
      <c r="AA79" s="129"/>
      <c r="AB79" s="96"/>
      <c r="AC79" s="91"/>
      <c r="AD79" s="95"/>
      <c r="AE79" s="91"/>
      <c r="AF79" s="95"/>
      <c r="AG79" s="91"/>
      <c r="AH79" s="95"/>
      <c r="AI79" s="129"/>
      <c r="AJ79" s="96"/>
      <c r="AK79" s="91"/>
      <c r="AL79" s="97"/>
      <c r="AM79" s="177"/>
      <c r="AN79" s="178"/>
    </row>
    <row r="80" spans="1:40" ht="16.2" customHeight="1">
      <c r="A80" s="137"/>
      <c r="B80" s="125"/>
      <c r="C80" s="90"/>
      <c r="D80" s="125"/>
      <c r="E80" s="90"/>
      <c r="F80" s="127"/>
      <c r="G80" s="90"/>
      <c r="H80" s="125"/>
      <c r="I80" s="90"/>
      <c r="J80" s="125"/>
      <c r="K80" s="90"/>
      <c r="L80" s="127"/>
      <c r="M80" s="90"/>
      <c r="N80" s="125"/>
      <c r="O80" s="90"/>
      <c r="P80" s="125"/>
      <c r="Q80" s="90"/>
      <c r="R80" s="125"/>
      <c r="S80" s="90"/>
      <c r="T80" s="125"/>
      <c r="U80" s="90"/>
      <c r="V80" s="127"/>
      <c r="W80" s="90"/>
      <c r="X80" s="127"/>
      <c r="Y80" s="90"/>
      <c r="Z80" s="127"/>
      <c r="AA80" s="128"/>
      <c r="AB80" s="126"/>
      <c r="AC80" s="90"/>
      <c r="AD80" s="127"/>
      <c r="AE80" s="90"/>
      <c r="AF80" s="127"/>
      <c r="AG80" s="90"/>
      <c r="AH80" s="127"/>
      <c r="AI80" s="128"/>
      <c r="AJ80" s="126"/>
      <c r="AK80" s="90"/>
      <c r="AL80" s="94"/>
      <c r="AM80" s="175"/>
      <c r="AN80" s="176"/>
    </row>
    <row r="81" spans="1:40" ht="16.2" customHeight="1">
      <c r="A81" s="138"/>
      <c r="B81" s="91"/>
      <c r="C81" s="91"/>
      <c r="D81" s="91"/>
      <c r="E81" s="91"/>
      <c r="F81" s="95"/>
      <c r="G81" s="91"/>
      <c r="H81" s="91"/>
      <c r="I81" s="91"/>
      <c r="J81" s="91"/>
      <c r="K81" s="91"/>
      <c r="L81" s="95"/>
      <c r="M81" s="91"/>
      <c r="N81" s="91"/>
      <c r="O81" s="91"/>
      <c r="P81" s="91"/>
      <c r="Q81" s="91"/>
      <c r="R81" s="91"/>
      <c r="S81" s="91"/>
      <c r="T81" s="91"/>
      <c r="U81" s="91"/>
      <c r="V81" s="95"/>
      <c r="W81" s="91"/>
      <c r="X81" s="95"/>
      <c r="Y81" s="91"/>
      <c r="Z81" s="95"/>
      <c r="AA81" s="129"/>
      <c r="AB81" s="96"/>
      <c r="AC81" s="91"/>
      <c r="AD81" s="95"/>
      <c r="AE81" s="91"/>
      <c r="AF81" s="95"/>
      <c r="AG81" s="91"/>
      <c r="AH81" s="95"/>
      <c r="AI81" s="129"/>
      <c r="AJ81" s="96"/>
      <c r="AK81" s="91"/>
      <c r="AL81" s="97"/>
      <c r="AM81" s="177"/>
      <c r="AN81" s="178"/>
    </row>
    <row r="82" spans="1:40" ht="16.2" customHeight="1">
      <c r="A82" s="137"/>
      <c r="B82" s="125"/>
      <c r="C82" s="90"/>
      <c r="D82" s="125"/>
      <c r="E82" s="90"/>
      <c r="F82" s="127"/>
      <c r="G82" s="90"/>
      <c r="H82" s="125"/>
      <c r="I82" s="90"/>
      <c r="J82" s="125"/>
      <c r="K82" s="90"/>
      <c r="L82" s="127"/>
      <c r="M82" s="90"/>
      <c r="N82" s="125"/>
      <c r="O82" s="90"/>
      <c r="P82" s="125"/>
      <c r="Q82" s="90"/>
      <c r="R82" s="125"/>
      <c r="S82" s="90"/>
      <c r="T82" s="125"/>
      <c r="U82" s="90"/>
      <c r="V82" s="127"/>
      <c r="W82" s="90"/>
      <c r="X82" s="127"/>
      <c r="Y82" s="90"/>
      <c r="Z82" s="127"/>
      <c r="AA82" s="128"/>
      <c r="AB82" s="126"/>
      <c r="AC82" s="90"/>
      <c r="AD82" s="127"/>
      <c r="AE82" s="90"/>
      <c r="AF82" s="127"/>
      <c r="AG82" s="90"/>
      <c r="AH82" s="127"/>
      <c r="AI82" s="128"/>
      <c r="AJ82" s="126"/>
      <c r="AK82" s="90"/>
      <c r="AL82" s="94"/>
      <c r="AM82" s="175"/>
      <c r="AN82" s="176"/>
    </row>
    <row r="83" spans="1:40" ht="16.2" customHeight="1">
      <c r="A83" s="138"/>
      <c r="B83" s="91"/>
      <c r="C83" s="91"/>
      <c r="D83" s="91"/>
      <c r="E83" s="91"/>
      <c r="F83" s="95"/>
      <c r="G83" s="91"/>
      <c r="H83" s="91"/>
      <c r="I83" s="91"/>
      <c r="J83" s="91"/>
      <c r="K83" s="91"/>
      <c r="L83" s="95"/>
      <c r="M83" s="91"/>
      <c r="N83" s="91"/>
      <c r="O83" s="91"/>
      <c r="P83" s="91"/>
      <c r="Q83" s="91"/>
      <c r="R83" s="91"/>
      <c r="S83" s="91"/>
      <c r="T83" s="91"/>
      <c r="U83" s="91"/>
      <c r="V83" s="95"/>
      <c r="W83" s="91"/>
      <c r="X83" s="95"/>
      <c r="Y83" s="91"/>
      <c r="Z83" s="95"/>
      <c r="AA83" s="129"/>
      <c r="AB83" s="96"/>
      <c r="AC83" s="91"/>
      <c r="AD83" s="95"/>
      <c r="AE83" s="91"/>
      <c r="AF83" s="95"/>
      <c r="AG83" s="91"/>
      <c r="AH83" s="95"/>
      <c r="AI83" s="129"/>
      <c r="AJ83" s="96"/>
      <c r="AK83" s="91"/>
      <c r="AL83" s="97"/>
      <c r="AM83" s="177"/>
      <c r="AN83" s="178"/>
    </row>
    <row r="84" spans="1:40" ht="16.2" customHeight="1">
      <c r="A84" s="137"/>
      <c r="B84" s="125"/>
      <c r="C84" s="90"/>
      <c r="D84" s="125"/>
      <c r="E84" s="90"/>
      <c r="F84" s="127"/>
      <c r="G84" s="90"/>
      <c r="H84" s="125"/>
      <c r="I84" s="90"/>
      <c r="J84" s="125"/>
      <c r="K84" s="90"/>
      <c r="L84" s="127"/>
      <c r="M84" s="90"/>
      <c r="N84" s="125"/>
      <c r="O84" s="90"/>
      <c r="P84" s="125"/>
      <c r="Q84" s="90"/>
      <c r="R84" s="125"/>
      <c r="S84" s="90"/>
      <c r="T84" s="125"/>
      <c r="U84" s="90"/>
      <c r="V84" s="127"/>
      <c r="W84" s="90"/>
      <c r="X84" s="127"/>
      <c r="Y84" s="90"/>
      <c r="Z84" s="127"/>
      <c r="AA84" s="128"/>
      <c r="AB84" s="126"/>
      <c r="AC84" s="90"/>
      <c r="AD84" s="127"/>
      <c r="AE84" s="90"/>
      <c r="AF84" s="127"/>
      <c r="AG84" s="90"/>
      <c r="AH84" s="127"/>
      <c r="AI84" s="128"/>
      <c r="AJ84" s="126"/>
      <c r="AK84" s="90"/>
      <c r="AL84" s="94"/>
      <c r="AM84" s="175"/>
      <c r="AN84" s="176"/>
    </row>
    <row r="85" spans="1:40" ht="16.2" customHeight="1">
      <c r="A85" s="138"/>
      <c r="B85" s="91"/>
      <c r="C85" s="91"/>
      <c r="D85" s="91"/>
      <c r="E85" s="91"/>
      <c r="F85" s="95"/>
      <c r="G85" s="91"/>
      <c r="H85" s="91"/>
      <c r="I85" s="91"/>
      <c r="J85" s="91"/>
      <c r="K85" s="91"/>
      <c r="L85" s="95"/>
      <c r="M85" s="91"/>
      <c r="N85" s="91"/>
      <c r="O85" s="91"/>
      <c r="P85" s="91"/>
      <c r="Q85" s="91"/>
      <c r="R85" s="91"/>
      <c r="S85" s="91"/>
      <c r="T85" s="91"/>
      <c r="U85" s="91"/>
      <c r="V85" s="95"/>
      <c r="W85" s="91"/>
      <c r="X85" s="95"/>
      <c r="Y85" s="91"/>
      <c r="Z85" s="95"/>
      <c r="AA85" s="129"/>
      <c r="AB85" s="96"/>
      <c r="AC85" s="91"/>
      <c r="AD85" s="95"/>
      <c r="AE85" s="91"/>
      <c r="AF85" s="95"/>
      <c r="AG85" s="91"/>
      <c r="AH85" s="95"/>
      <c r="AI85" s="129"/>
      <c r="AJ85" s="96"/>
      <c r="AK85" s="91"/>
      <c r="AL85" s="97"/>
      <c r="AM85" s="177"/>
      <c r="AN85" s="178"/>
    </row>
    <row r="86" spans="1:40" ht="16.2" customHeight="1">
      <c r="A86" s="137"/>
      <c r="B86" s="125"/>
      <c r="C86" s="90"/>
      <c r="D86" s="125"/>
      <c r="E86" s="90"/>
      <c r="F86" s="127"/>
      <c r="G86" s="90"/>
      <c r="H86" s="125"/>
      <c r="I86" s="90"/>
      <c r="J86" s="125"/>
      <c r="K86" s="90"/>
      <c r="L86" s="127"/>
      <c r="M86" s="90"/>
      <c r="N86" s="125"/>
      <c r="O86" s="90"/>
      <c r="P86" s="125"/>
      <c r="Q86" s="90"/>
      <c r="R86" s="125"/>
      <c r="S86" s="90"/>
      <c r="T86" s="125"/>
      <c r="U86" s="90"/>
      <c r="V86" s="127"/>
      <c r="W86" s="90"/>
      <c r="X86" s="127"/>
      <c r="Y86" s="90"/>
      <c r="Z86" s="127"/>
      <c r="AA86" s="128"/>
      <c r="AB86" s="126"/>
      <c r="AC86" s="90"/>
      <c r="AD86" s="127"/>
      <c r="AE86" s="90"/>
      <c r="AF86" s="127"/>
      <c r="AG86" s="90"/>
      <c r="AH86" s="127"/>
      <c r="AI86" s="128"/>
      <c r="AJ86" s="126"/>
      <c r="AK86" s="90"/>
      <c r="AL86" s="94"/>
      <c r="AM86" s="175"/>
      <c r="AN86" s="176"/>
    </row>
    <row r="87" spans="1:40" ht="16.2" customHeight="1">
      <c r="A87" s="138"/>
      <c r="B87" s="91"/>
      <c r="C87" s="91"/>
      <c r="D87" s="91"/>
      <c r="E87" s="91"/>
      <c r="F87" s="95"/>
      <c r="G87" s="91"/>
      <c r="H87" s="91"/>
      <c r="I87" s="91"/>
      <c r="J87" s="91"/>
      <c r="K87" s="91"/>
      <c r="L87" s="95"/>
      <c r="M87" s="91"/>
      <c r="N87" s="91"/>
      <c r="O87" s="91"/>
      <c r="P87" s="91"/>
      <c r="Q87" s="91"/>
      <c r="R87" s="91"/>
      <c r="S87" s="91"/>
      <c r="T87" s="91"/>
      <c r="U87" s="91"/>
      <c r="V87" s="95"/>
      <c r="W87" s="91"/>
      <c r="X87" s="95"/>
      <c r="Y87" s="91"/>
      <c r="Z87" s="95"/>
      <c r="AA87" s="129"/>
      <c r="AB87" s="96"/>
      <c r="AC87" s="91"/>
      <c r="AD87" s="95"/>
      <c r="AE87" s="91"/>
      <c r="AF87" s="95"/>
      <c r="AG87" s="91"/>
      <c r="AH87" s="95"/>
      <c r="AI87" s="129"/>
      <c r="AJ87" s="96"/>
      <c r="AK87" s="91"/>
      <c r="AL87" s="97"/>
      <c r="AM87" s="177"/>
      <c r="AN87" s="178"/>
    </row>
    <row r="88" spans="1:40" ht="16.2" customHeight="1">
      <c r="A88" s="137"/>
      <c r="B88" s="125"/>
      <c r="C88" s="90"/>
      <c r="D88" s="125"/>
      <c r="E88" s="90"/>
      <c r="F88" s="127"/>
      <c r="G88" s="90"/>
      <c r="H88" s="125"/>
      <c r="I88" s="90"/>
      <c r="J88" s="125"/>
      <c r="K88" s="90"/>
      <c r="L88" s="127"/>
      <c r="M88" s="90"/>
      <c r="N88" s="125"/>
      <c r="O88" s="90"/>
      <c r="P88" s="125"/>
      <c r="Q88" s="90"/>
      <c r="R88" s="125"/>
      <c r="S88" s="90"/>
      <c r="T88" s="125"/>
      <c r="U88" s="90"/>
      <c r="V88" s="127"/>
      <c r="W88" s="90"/>
      <c r="X88" s="127"/>
      <c r="Y88" s="90"/>
      <c r="Z88" s="127"/>
      <c r="AA88" s="128"/>
      <c r="AB88" s="126"/>
      <c r="AC88" s="90"/>
      <c r="AD88" s="127"/>
      <c r="AE88" s="90"/>
      <c r="AF88" s="127"/>
      <c r="AG88" s="90"/>
      <c r="AH88" s="127"/>
      <c r="AI88" s="128"/>
      <c r="AJ88" s="126"/>
      <c r="AK88" s="90"/>
      <c r="AL88" s="94"/>
      <c r="AM88" s="175"/>
      <c r="AN88" s="176"/>
    </row>
    <row r="89" spans="1:40" ht="16.2" customHeight="1">
      <c r="A89" s="138"/>
      <c r="B89" s="91"/>
      <c r="C89" s="91"/>
      <c r="D89" s="91"/>
      <c r="E89" s="91"/>
      <c r="F89" s="95"/>
      <c r="G89" s="91"/>
      <c r="H89" s="91"/>
      <c r="I89" s="91"/>
      <c r="J89" s="91"/>
      <c r="K89" s="91"/>
      <c r="L89" s="95"/>
      <c r="M89" s="91"/>
      <c r="N89" s="91"/>
      <c r="O89" s="91"/>
      <c r="P89" s="91"/>
      <c r="Q89" s="91"/>
      <c r="R89" s="91"/>
      <c r="S89" s="91"/>
      <c r="T89" s="91"/>
      <c r="U89" s="91"/>
      <c r="V89" s="95"/>
      <c r="W89" s="91"/>
      <c r="X89" s="95"/>
      <c r="Y89" s="91"/>
      <c r="Z89" s="95"/>
      <c r="AA89" s="129"/>
      <c r="AB89" s="96"/>
      <c r="AC89" s="91"/>
      <c r="AD89" s="95"/>
      <c r="AE89" s="91"/>
      <c r="AF89" s="95"/>
      <c r="AG89" s="91"/>
      <c r="AH89" s="95"/>
      <c r="AI89" s="129"/>
      <c r="AJ89" s="96"/>
      <c r="AK89" s="91"/>
      <c r="AL89" s="97"/>
      <c r="AM89" s="177"/>
      <c r="AN89" s="178"/>
    </row>
    <row r="90" spans="1:40" ht="16.2" customHeight="1">
      <c r="A90" s="137"/>
      <c r="B90" s="125"/>
      <c r="C90" s="90"/>
      <c r="D90" s="125"/>
      <c r="E90" s="90"/>
      <c r="F90" s="127"/>
      <c r="G90" s="90"/>
      <c r="H90" s="125"/>
      <c r="I90" s="90"/>
      <c r="J90" s="125"/>
      <c r="K90" s="90"/>
      <c r="L90" s="127"/>
      <c r="M90" s="90"/>
      <c r="N90" s="125"/>
      <c r="O90" s="90"/>
      <c r="P90" s="125"/>
      <c r="Q90" s="90"/>
      <c r="R90" s="125"/>
      <c r="S90" s="90"/>
      <c r="T90" s="125"/>
      <c r="U90" s="90"/>
      <c r="V90" s="127"/>
      <c r="W90" s="90"/>
      <c r="X90" s="127"/>
      <c r="Y90" s="90"/>
      <c r="Z90" s="127"/>
      <c r="AA90" s="128"/>
      <c r="AB90" s="126"/>
      <c r="AC90" s="90"/>
      <c r="AD90" s="127"/>
      <c r="AE90" s="90"/>
      <c r="AF90" s="127"/>
      <c r="AG90" s="90"/>
      <c r="AH90" s="127"/>
      <c r="AI90" s="128"/>
      <c r="AJ90" s="126"/>
      <c r="AK90" s="90"/>
      <c r="AL90" s="94"/>
      <c r="AM90" s="175"/>
      <c r="AN90" s="176"/>
    </row>
    <row r="91" spans="1:40" ht="16.2" customHeight="1">
      <c r="A91" s="138"/>
      <c r="B91" s="91"/>
      <c r="C91" s="91"/>
      <c r="D91" s="91"/>
      <c r="E91" s="91"/>
      <c r="F91" s="95"/>
      <c r="G91" s="91"/>
      <c r="H91" s="91"/>
      <c r="I91" s="91"/>
      <c r="J91" s="91"/>
      <c r="K91" s="91"/>
      <c r="L91" s="95"/>
      <c r="M91" s="91"/>
      <c r="N91" s="91"/>
      <c r="O91" s="91"/>
      <c r="P91" s="91"/>
      <c r="Q91" s="91"/>
      <c r="R91" s="91"/>
      <c r="S91" s="91"/>
      <c r="T91" s="91"/>
      <c r="U91" s="91"/>
      <c r="V91" s="95"/>
      <c r="W91" s="91"/>
      <c r="X91" s="95"/>
      <c r="Y91" s="91"/>
      <c r="Z91" s="95"/>
      <c r="AA91" s="129"/>
      <c r="AB91" s="96"/>
      <c r="AC91" s="91"/>
      <c r="AD91" s="95"/>
      <c r="AE91" s="91"/>
      <c r="AF91" s="95"/>
      <c r="AG91" s="91"/>
      <c r="AH91" s="95"/>
      <c r="AI91" s="129"/>
      <c r="AJ91" s="96"/>
      <c r="AK91" s="91"/>
      <c r="AL91" s="97"/>
      <c r="AM91" s="177"/>
      <c r="AN91" s="178"/>
    </row>
    <row r="92" spans="1:40" ht="16.2" customHeight="1">
      <c r="A92" s="137"/>
      <c r="B92" s="125"/>
      <c r="C92" s="90"/>
      <c r="D92" s="125"/>
      <c r="E92" s="90"/>
      <c r="F92" s="127"/>
      <c r="G92" s="90"/>
      <c r="H92" s="125"/>
      <c r="I92" s="90"/>
      <c r="J92" s="125"/>
      <c r="K92" s="90"/>
      <c r="L92" s="127"/>
      <c r="M92" s="90"/>
      <c r="N92" s="125"/>
      <c r="O92" s="90"/>
      <c r="P92" s="125"/>
      <c r="Q92" s="90"/>
      <c r="R92" s="125"/>
      <c r="S92" s="90"/>
      <c r="T92" s="125"/>
      <c r="U92" s="90"/>
      <c r="V92" s="127"/>
      <c r="W92" s="90"/>
      <c r="X92" s="127"/>
      <c r="Y92" s="90"/>
      <c r="Z92" s="127"/>
      <c r="AA92" s="128"/>
      <c r="AB92" s="126"/>
      <c r="AC92" s="90"/>
      <c r="AD92" s="127"/>
      <c r="AE92" s="90"/>
      <c r="AF92" s="127"/>
      <c r="AG92" s="90"/>
      <c r="AH92" s="127"/>
      <c r="AI92" s="128"/>
      <c r="AJ92" s="126"/>
      <c r="AK92" s="90"/>
      <c r="AL92" s="94"/>
      <c r="AM92" s="175"/>
      <c r="AN92" s="176"/>
    </row>
    <row r="93" spans="1:40" ht="16.2" customHeight="1">
      <c r="A93" s="138"/>
      <c r="B93" s="91"/>
      <c r="C93" s="91"/>
      <c r="D93" s="91"/>
      <c r="E93" s="91"/>
      <c r="F93" s="95"/>
      <c r="G93" s="91"/>
      <c r="H93" s="91"/>
      <c r="I93" s="91"/>
      <c r="J93" s="91"/>
      <c r="K93" s="91"/>
      <c r="L93" s="95"/>
      <c r="M93" s="91"/>
      <c r="N93" s="91"/>
      <c r="O93" s="91"/>
      <c r="P93" s="91"/>
      <c r="Q93" s="91"/>
      <c r="R93" s="91"/>
      <c r="S93" s="91"/>
      <c r="T93" s="91"/>
      <c r="U93" s="91"/>
      <c r="V93" s="95"/>
      <c r="W93" s="91"/>
      <c r="X93" s="95"/>
      <c r="Y93" s="91"/>
      <c r="Z93" s="95"/>
      <c r="AA93" s="129"/>
      <c r="AB93" s="96"/>
      <c r="AC93" s="91"/>
      <c r="AD93" s="95"/>
      <c r="AE93" s="91"/>
      <c r="AF93" s="95"/>
      <c r="AG93" s="91"/>
      <c r="AH93" s="95"/>
      <c r="AI93" s="129"/>
      <c r="AJ93" s="96"/>
      <c r="AK93" s="91"/>
      <c r="AL93" s="97"/>
      <c r="AM93" s="177"/>
      <c r="AN93" s="178"/>
    </row>
    <row r="94" spans="1:40" ht="16.2" customHeight="1">
      <c r="A94" s="137"/>
      <c r="B94" s="125"/>
      <c r="C94" s="90"/>
      <c r="D94" s="125"/>
      <c r="E94" s="90"/>
      <c r="F94" s="127"/>
      <c r="G94" s="90"/>
      <c r="H94" s="125"/>
      <c r="I94" s="90"/>
      <c r="J94" s="125"/>
      <c r="K94" s="90"/>
      <c r="L94" s="127"/>
      <c r="M94" s="90"/>
      <c r="N94" s="125"/>
      <c r="O94" s="90"/>
      <c r="P94" s="125"/>
      <c r="Q94" s="90"/>
      <c r="R94" s="125"/>
      <c r="S94" s="90"/>
      <c r="T94" s="125"/>
      <c r="U94" s="90"/>
      <c r="V94" s="127"/>
      <c r="W94" s="90"/>
      <c r="X94" s="127"/>
      <c r="Y94" s="90"/>
      <c r="Z94" s="127"/>
      <c r="AA94" s="128"/>
      <c r="AB94" s="126"/>
      <c r="AC94" s="90"/>
      <c r="AD94" s="127"/>
      <c r="AE94" s="90"/>
      <c r="AF94" s="127"/>
      <c r="AG94" s="90"/>
      <c r="AH94" s="127"/>
      <c r="AI94" s="128"/>
      <c r="AJ94" s="126"/>
      <c r="AK94" s="90"/>
      <c r="AL94" s="94"/>
      <c r="AM94" s="175"/>
      <c r="AN94" s="176"/>
    </row>
    <row r="95" spans="1:40" ht="16.2" customHeight="1">
      <c r="A95" s="138"/>
      <c r="B95" s="91"/>
      <c r="C95" s="91"/>
      <c r="D95" s="91"/>
      <c r="E95" s="91"/>
      <c r="F95" s="95"/>
      <c r="G95" s="91"/>
      <c r="H95" s="91"/>
      <c r="I95" s="91"/>
      <c r="J95" s="91"/>
      <c r="K95" s="91"/>
      <c r="L95" s="95"/>
      <c r="M95" s="91"/>
      <c r="N95" s="91"/>
      <c r="O95" s="91"/>
      <c r="P95" s="91"/>
      <c r="Q95" s="91"/>
      <c r="R95" s="91"/>
      <c r="S95" s="91"/>
      <c r="T95" s="91"/>
      <c r="U95" s="91"/>
      <c r="V95" s="95"/>
      <c r="W95" s="91"/>
      <c r="X95" s="95"/>
      <c r="Y95" s="91"/>
      <c r="Z95" s="95"/>
      <c r="AA95" s="129"/>
      <c r="AB95" s="96"/>
      <c r="AC95" s="91"/>
      <c r="AD95" s="95"/>
      <c r="AE95" s="91"/>
      <c r="AF95" s="95"/>
      <c r="AG95" s="91"/>
      <c r="AH95" s="95"/>
      <c r="AI95" s="129"/>
      <c r="AJ95" s="96"/>
      <c r="AK95" s="91"/>
      <c r="AL95" s="97"/>
      <c r="AM95" s="177"/>
      <c r="AN95" s="178"/>
    </row>
    <row r="96" spans="1:40" ht="16.2" customHeight="1">
      <c r="A96" s="137"/>
      <c r="B96" s="125"/>
      <c r="C96" s="90"/>
      <c r="D96" s="125"/>
      <c r="E96" s="90"/>
      <c r="F96" s="127"/>
      <c r="G96" s="90"/>
      <c r="H96" s="125"/>
      <c r="I96" s="90"/>
      <c r="J96" s="125"/>
      <c r="K96" s="90"/>
      <c r="L96" s="127"/>
      <c r="M96" s="90"/>
      <c r="N96" s="125"/>
      <c r="O96" s="90"/>
      <c r="P96" s="125"/>
      <c r="Q96" s="90"/>
      <c r="R96" s="125"/>
      <c r="S96" s="90"/>
      <c r="T96" s="125"/>
      <c r="U96" s="90"/>
      <c r="V96" s="127"/>
      <c r="W96" s="90"/>
      <c r="X96" s="127"/>
      <c r="Y96" s="90"/>
      <c r="Z96" s="127"/>
      <c r="AA96" s="128"/>
      <c r="AB96" s="126"/>
      <c r="AC96" s="90"/>
      <c r="AD96" s="127"/>
      <c r="AE96" s="90"/>
      <c r="AF96" s="127"/>
      <c r="AG96" s="90"/>
      <c r="AH96" s="127"/>
      <c r="AI96" s="128"/>
      <c r="AJ96" s="126"/>
      <c r="AK96" s="90"/>
      <c r="AL96" s="94"/>
      <c r="AM96" s="175"/>
      <c r="AN96" s="176"/>
    </row>
    <row r="97" spans="1:40" ht="16.2" customHeight="1">
      <c r="A97" s="138"/>
      <c r="B97" s="91"/>
      <c r="C97" s="91"/>
      <c r="D97" s="91"/>
      <c r="E97" s="91"/>
      <c r="F97" s="95"/>
      <c r="G97" s="91"/>
      <c r="H97" s="91"/>
      <c r="I97" s="91"/>
      <c r="J97" s="91"/>
      <c r="K97" s="91"/>
      <c r="L97" s="95"/>
      <c r="M97" s="91"/>
      <c r="N97" s="91"/>
      <c r="O97" s="91"/>
      <c r="P97" s="91"/>
      <c r="Q97" s="91"/>
      <c r="R97" s="91"/>
      <c r="S97" s="91"/>
      <c r="T97" s="91"/>
      <c r="U97" s="91"/>
      <c r="V97" s="95"/>
      <c r="W97" s="91"/>
      <c r="X97" s="95"/>
      <c r="Y97" s="91"/>
      <c r="Z97" s="95"/>
      <c r="AA97" s="129"/>
      <c r="AB97" s="96"/>
      <c r="AC97" s="91"/>
      <c r="AD97" s="95"/>
      <c r="AE97" s="91"/>
      <c r="AF97" s="95"/>
      <c r="AG97" s="91"/>
      <c r="AH97" s="95"/>
      <c r="AI97" s="129"/>
      <c r="AJ97" s="96"/>
      <c r="AK97" s="91"/>
      <c r="AL97" s="97"/>
      <c r="AM97" s="177"/>
      <c r="AN97" s="178"/>
    </row>
    <row r="98" spans="1:40" ht="16.2" customHeight="1">
      <c r="A98" s="137"/>
      <c r="B98" s="125"/>
      <c r="C98" s="90"/>
      <c r="D98" s="125"/>
      <c r="E98" s="90"/>
      <c r="F98" s="127"/>
      <c r="G98" s="90"/>
      <c r="H98" s="125"/>
      <c r="I98" s="90"/>
      <c r="J98" s="125"/>
      <c r="K98" s="90"/>
      <c r="L98" s="127"/>
      <c r="M98" s="90"/>
      <c r="N98" s="125"/>
      <c r="O98" s="90"/>
      <c r="P98" s="125"/>
      <c r="Q98" s="90"/>
      <c r="R98" s="125"/>
      <c r="S98" s="90"/>
      <c r="T98" s="125"/>
      <c r="U98" s="90"/>
      <c r="V98" s="127"/>
      <c r="W98" s="90"/>
      <c r="X98" s="127"/>
      <c r="Y98" s="90"/>
      <c r="Z98" s="127"/>
      <c r="AA98" s="128"/>
      <c r="AB98" s="126"/>
      <c r="AC98" s="90"/>
      <c r="AD98" s="127"/>
      <c r="AE98" s="90"/>
      <c r="AF98" s="127"/>
      <c r="AG98" s="90"/>
      <c r="AH98" s="127"/>
      <c r="AI98" s="128"/>
      <c r="AJ98" s="126"/>
      <c r="AK98" s="90"/>
      <c r="AL98" s="94"/>
      <c r="AM98" s="175"/>
      <c r="AN98" s="176"/>
    </row>
    <row r="99" spans="1:40" ht="16.2" customHeight="1">
      <c r="A99" s="138"/>
      <c r="B99" s="91"/>
      <c r="C99" s="91"/>
      <c r="D99" s="91"/>
      <c r="E99" s="91"/>
      <c r="F99" s="95"/>
      <c r="G99" s="91"/>
      <c r="H99" s="91"/>
      <c r="I99" s="91"/>
      <c r="J99" s="91"/>
      <c r="K99" s="91"/>
      <c r="L99" s="95"/>
      <c r="M99" s="91"/>
      <c r="N99" s="91"/>
      <c r="O99" s="91"/>
      <c r="P99" s="91"/>
      <c r="Q99" s="91"/>
      <c r="R99" s="91"/>
      <c r="S99" s="91"/>
      <c r="T99" s="91"/>
      <c r="U99" s="91"/>
      <c r="V99" s="95"/>
      <c r="W99" s="91"/>
      <c r="X99" s="95"/>
      <c r="Y99" s="91"/>
      <c r="Z99" s="95"/>
      <c r="AA99" s="129"/>
      <c r="AB99" s="96"/>
      <c r="AC99" s="91"/>
      <c r="AD99" s="95"/>
      <c r="AE99" s="91"/>
      <c r="AF99" s="95"/>
      <c r="AG99" s="91"/>
      <c r="AH99" s="95"/>
      <c r="AI99" s="129"/>
      <c r="AJ99" s="96"/>
      <c r="AK99" s="91"/>
      <c r="AL99" s="97"/>
      <c r="AM99" s="177"/>
      <c r="AN99" s="178"/>
    </row>
    <row r="100" spans="1:40" ht="16.2" customHeight="1">
      <c r="A100" s="137"/>
      <c r="B100" s="125"/>
      <c r="C100" s="90"/>
      <c r="D100" s="125"/>
      <c r="E100" s="90"/>
      <c r="F100" s="127"/>
      <c r="G100" s="90"/>
      <c r="H100" s="125"/>
      <c r="I100" s="90"/>
      <c r="J100" s="125"/>
      <c r="K100" s="90"/>
      <c r="L100" s="127"/>
      <c r="M100" s="90"/>
      <c r="N100" s="125"/>
      <c r="O100" s="90"/>
      <c r="P100" s="125"/>
      <c r="Q100" s="90"/>
      <c r="R100" s="125"/>
      <c r="S100" s="90"/>
      <c r="T100" s="125"/>
      <c r="U100" s="90"/>
      <c r="V100" s="127"/>
      <c r="W100" s="90"/>
      <c r="X100" s="127"/>
      <c r="Y100" s="90"/>
      <c r="Z100" s="127"/>
      <c r="AA100" s="128"/>
      <c r="AB100" s="126"/>
      <c r="AC100" s="90"/>
      <c r="AD100" s="127"/>
      <c r="AE100" s="90"/>
      <c r="AF100" s="127"/>
      <c r="AG100" s="90"/>
      <c r="AH100" s="127"/>
      <c r="AI100" s="128"/>
      <c r="AJ100" s="126"/>
      <c r="AK100" s="90"/>
      <c r="AL100" s="94"/>
      <c r="AM100" s="175"/>
      <c r="AN100" s="176"/>
    </row>
    <row r="101" spans="1:40" ht="16.2" customHeight="1">
      <c r="A101" s="138"/>
      <c r="B101" s="91"/>
      <c r="C101" s="91"/>
      <c r="D101" s="91"/>
      <c r="E101" s="91"/>
      <c r="F101" s="95"/>
      <c r="G101" s="91"/>
      <c r="H101" s="91"/>
      <c r="I101" s="91"/>
      <c r="J101" s="91"/>
      <c r="K101" s="91"/>
      <c r="L101" s="95"/>
      <c r="M101" s="91"/>
      <c r="N101" s="91"/>
      <c r="O101" s="91"/>
      <c r="P101" s="91"/>
      <c r="Q101" s="91"/>
      <c r="R101" s="91"/>
      <c r="S101" s="91"/>
      <c r="T101" s="91"/>
      <c r="U101" s="91"/>
      <c r="V101" s="95"/>
      <c r="W101" s="91"/>
      <c r="X101" s="95"/>
      <c r="Y101" s="91"/>
      <c r="Z101" s="95"/>
      <c r="AA101" s="129"/>
      <c r="AB101" s="96"/>
      <c r="AC101" s="91"/>
      <c r="AD101" s="95"/>
      <c r="AE101" s="91"/>
      <c r="AF101" s="95"/>
      <c r="AG101" s="91"/>
      <c r="AH101" s="95"/>
      <c r="AI101" s="129"/>
      <c r="AJ101" s="96"/>
      <c r="AK101" s="91"/>
      <c r="AL101" s="97"/>
      <c r="AM101" s="177"/>
      <c r="AN101" s="178"/>
    </row>
    <row r="102" spans="1:40" ht="16.2" customHeight="1">
      <c r="A102" s="137"/>
      <c r="B102" s="125"/>
      <c r="C102" s="90"/>
      <c r="D102" s="125"/>
      <c r="E102" s="90"/>
      <c r="F102" s="127"/>
      <c r="G102" s="90"/>
      <c r="H102" s="125"/>
      <c r="I102" s="90"/>
      <c r="J102" s="125"/>
      <c r="K102" s="90"/>
      <c r="L102" s="127"/>
      <c r="M102" s="90"/>
      <c r="N102" s="125"/>
      <c r="O102" s="90"/>
      <c r="P102" s="125"/>
      <c r="Q102" s="90"/>
      <c r="R102" s="125"/>
      <c r="S102" s="90"/>
      <c r="T102" s="125"/>
      <c r="U102" s="90"/>
      <c r="V102" s="127"/>
      <c r="W102" s="90"/>
      <c r="X102" s="127"/>
      <c r="Y102" s="90"/>
      <c r="Z102" s="127"/>
      <c r="AA102" s="128"/>
      <c r="AB102" s="126"/>
      <c r="AC102" s="90"/>
      <c r="AD102" s="127"/>
      <c r="AE102" s="90"/>
      <c r="AF102" s="127"/>
      <c r="AG102" s="90"/>
      <c r="AH102" s="127"/>
      <c r="AI102" s="128"/>
      <c r="AJ102" s="126"/>
      <c r="AK102" s="90"/>
      <c r="AL102" s="94"/>
      <c r="AM102" s="175"/>
      <c r="AN102" s="176"/>
    </row>
    <row r="103" spans="1:40" ht="16.2" customHeight="1">
      <c r="A103" s="138"/>
      <c r="B103" s="91"/>
      <c r="C103" s="91"/>
      <c r="D103" s="91"/>
      <c r="E103" s="91"/>
      <c r="F103" s="95"/>
      <c r="G103" s="91"/>
      <c r="H103" s="91"/>
      <c r="I103" s="91"/>
      <c r="J103" s="91"/>
      <c r="K103" s="91"/>
      <c r="L103" s="95"/>
      <c r="M103" s="91"/>
      <c r="N103" s="91"/>
      <c r="O103" s="91"/>
      <c r="P103" s="91"/>
      <c r="Q103" s="91"/>
      <c r="R103" s="91"/>
      <c r="S103" s="91"/>
      <c r="T103" s="91"/>
      <c r="U103" s="91"/>
      <c r="V103" s="95"/>
      <c r="W103" s="91"/>
      <c r="X103" s="95"/>
      <c r="Y103" s="91"/>
      <c r="Z103" s="95"/>
      <c r="AA103" s="129"/>
      <c r="AB103" s="96"/>
      <c r="AC103" s="91"/>
      <c r="AD103" s="95"/>
      <c r="AE103" s="91"/>
      <c r="AF103" s="95"/>
      <c r="AG103" s="91"/>
      <c r="AH103" s="95"/>
      <c r="AI103" s="129"/>
      <c r="AJ103" s="96"/>
      <c r="AK103" s="91"/>
      <c r="AL103" s="97"/>
      <c r="AM103" s="177"/>
      <c r="AN103" s="178"/>
    </row>
    <row r="104" spans="1:40" ht="16.2" customHeight="1">
      <c r="A104" s="137"/>
      <c r="B104" s="125"/>
      <c r="C104" s="90"/>
      <c r="D104" s="125"/>
      <c r="E104" s="90"/>
      <c r="F104" s="127"/>
      <c r="G104" s="90"/>
      <c r="H104" s="125"/>
      <c r="I104" s="90"/>
      <c r="J104" s="125"/>
      <c r="K104" s="90"/>
      <c r="L104" s="127"/>
      <c r="M104" s="90"/>
      <c r="N104" s="125"/>
      <c r="O104" s="90"/>
      <c r="P104" s="125"/>
      <c r="Q104" s="90"/>
      <c r="R104" s="125"/>
      <c r="S104" s="90"/>
      <c r="T104" s="125"/>
      <c r="U104" s="90"/>
      <c r="V104" s="127"/>
      <c r="W104" s="90"/>
      <c r="X104" s="127"/>
      <c r="Y104" s="90"/>
      <c r="Z104" s="127"/>
      <c r="AA104" s="128"/>
      <c r="AB104" s="126"/>
      <c r="AC104" s="90"/>
      <c r="AD104" s="127"/>
      <c r="AE104" s="90"/>
      <c r="AF104" s="127"/>
      <c r="AG104" s="90"/>
      <c r="AH104" s="127"/>
      <c r="AI104" s="128"/>
      <c r="AJ104" s="126"/>
      <c r="AK104" s="90"/>
      <c r="AL104" s="94"/>
      <c r="AM104" s="175"/>
      <c r="AN104" s="176"/>
    </row>
    <row r="105" spans="1:40" ht="16.2" customHeight="1">
      <c r="A105" s="138"/>
      <c r="B105" s="91"/>
      <c r="C105" s="91"/>
      <c r="D105" s="91"/>
      <c r="E105" s="91"/>
      <c r="F105" s="95"/>
      <c r="G105" s="91"/>
      <c r="H105" s="91"/>
      <c r="I105" s="91"/>
      <c r="J105" s="91"/>
      <c r="K105" s="91"/>
      <c r="L105" s="95"/>
      <c r="M105" s="91"/>
      <c r="N105" s="91"/>
      <c r="O105" s="91"/>
      <c r="P105" s="91"/>
      <c r="Q105" s="91"/>
      <c r="R105" s="91"/>
      <c r="S105" s="91"/>
      <c r="T105" s="91"/>
      <c r="U105" s="91"/>
      <c r="V105" s="95"/>
      <c r="W105" s="91"/>
      <c r="X105" s="95"/>
      <c r="Y105" s="91"/>
      <c r="Z105" s="95"/>
      <c r="AA105" s="129"/>
      <c r="AB105" s="96"/>
      <c r="AC105" s="91"/>
      <c r="AD105" s="95"/>
      <c r="AE105" s="91"/>
      <c r="AF105" s="95"/>
      <c r="AG105" s="91"/>
      <c r="AH105" s="95"/>
      <c r="AI105" s="129"/>
      <c r="AJ105" s="96"/>
      <c r="AK105" s="91"/>
      <c r="AL105" s="97"/>
      <c r="AM105" s="177"/>
      <c r="AN105" s="178"/>
    </row>
    <row r="106" spans="1:40" ht="16.2" customHeight="1">
      <c r="A106" s="137"/>
      <c r="B106" s="125"/>
      <c r="C106" s="90"/>
      <c r="D106" s="125"/>
      <c r="E106" s="90"/>
      <c r="F106" s="127"/>
      <c r="G106" s="90"/>
      <c r="H106" s="125"/>
      <c r="I106" s="90"/>
      <c r="J106" s="125"/>
      <c r="K106" s="90"/>
      <c r="L106" s="127"/>
      <c r="M106" s="90"/>
      <c r="N106" s="125"/>
      <c r="O106" s="90"/>
      <c r="P106" s="125"/>
      <c r="Q106" s="90"/>
      <c r="R106" s="125"/>
      <c r="S106" s="90"/>
      <c r="T106" s="125"/>
      <c r="U106" s="90"/>
      <c r="V106" s="127"/>
      <c r="W106" s="90"/>
      <c r="X106" s="127"/>
      <c r="Y106" s="90"/>
      <c r="Z106" s="127"/>
      <c r="AA106" s="128"/>
      <c r="AB106" s="126"/>
      <c r="AC106" s="90"/>
      <c r="AD106" s="127"/>
      <c r="AE106" s="90"/>
      <c r="AF106" s="127"/>
      <c r="AG106" s="90"/>
      <c r="AH106" s="127"/>
      <c r="AI106" s="128"/>
      <c r="AJ106" s="126"/>
      <c r="AK106" s="90"/>
      <c r="AL106" s="94"/>
      <c r="AM106" s="175"/>
      <c r="AN106" s="176"/>
    </row>
    <row r="107" spans="1:40" ht="16.2" customHeight="1">
      <c r="A107" s="138"/>
      <c r="B107" s="91"/>
      <c r="C107" s="91"/>
      <c r="D107" s="91"/>
      <c r="E107" s="91"/>
      <c r="F107" s="95"/>
      <c r="G107" s="91"/>
      <c r="H107" s="91"/>
      <c r="I107" s="91"/>
      <c r="J107" s="91"/>
      <c r="K107" s="91"/>
      <c r="L107" s="95"/>
      <c r="M107" s="91"/>
      <c r="N107" s="91"/>
      <c r="O107" s="91"/>
      <c r="P107" s="91"/>
      <c r="Q107" s="91"/>
      <c r="R107" s="91"/>
      <c r="S107" s="91"/>
      <c r="T107" s="91"/>
      <c r="U107" s="91"/>
      <c r="V107" s="95"/>
      <c r="W107" s="91"/>
      <c r="X107" s="95"/>
      <c r="Y107" s="91"/>
      <c r="Z107" s="95"/>
      <c r="AA107" s="129"/>
      <c r="AB107" s="96"/>
      <c r="AC107" s="91"/>
      <c r="AD107" s="95"/>
      <c r="AE107" s="91"/>
      <c r="AF107" s="95"/>
      <c r="AG107" s="91"/>
      <c r="AH107" s="95"/>
      <c r="AI107" s="129"/>
      <c r="AJ107" s="96"/>
      <c r="AK107" s="91"/>
      <c r="AL107" s="97"/>
      <c r="AM107" s="177"/>
      <c r="AN107" s="178"/>
    </row>
    <row r="108" spans="1:40" ht="16.2" customHeight="1">
      <c r="A108" s="137"/>
      <c r="B108" s="125"/>
      <c r="C108" s="90"/>
      <c r="D108" s="125"/>
      <c r="E108" s="90"/>
      <c r="F108" s="127"/>
      <c r="G108" s="90"/>
      <c r="H108" s="125"/>
      <c r="I108" s="90"/>
      <c r="J108" s="125"/>
      <c r="K108" s="90"/>
      <c r="L108" s="127"/>
      <c r="M108" s="90"/>
      <c r="N108" s="125"/>
      <c r="O108" s="90"/>
      <c r="P108" s="125"/>
      <c r="Q108" s="90"/>
      <c r="R108" s="125"/>
      <c r="S108" s="90"/>
      <c r="T108" s="125"/>
      <c r="U108" s="90"/>
      <c r="V108" s="127"/>
      <c r="W108" s="90"/>
      <c r="X108" s="127"/>
      <c r="Y108" s="90"/>
      <c r="Z108" s="127"/>
      <c r="AA108" s="128"/>
      <c r="AB108" s="126"/>
      <c r="AC108" s="90"/>
      <c r="AD108" s="127"/>
      <c r="AE108" s="90"/>
      <c r="AF108" s="127"/>
      <c r="AG108" s="90"/>
      <c r="AH108" s="127"/>
      <c r="AI108" s="128"/>
      <c r="AJ108" s="126"/>
      <c r="AK108" s="90"/>
      <c r="AL108" s="94"/>
      <c r="AM108" s="175"/>
      <c r="AN108" s="176"/>
    </row>
    <row r="109" spans="1:40" ht="16.2" customHeight="1">
      <c r="A109" s="138"/>
      <c r="B109" s="91"/>
      <c r="C109" s="91"/>
      <c r="D109" s="91"/>
      <c r="E109" s="91"/>
      <c r="F109" s="95"/>
      <c r="G109" s="91"/>
      <c r="H109" s="91"/>
      <c r="I109" s="91"/>
      <c r="J109" s="91"/>
      <c r="K109" s="91"/>
      <c r="L109" s="95"/>
      <c r="M109" s="91"/>
      <c r="N109" s="91"/>
      <c r="O109" s="91"/>
      <c r="P109" s="91"/>
      <c r="Q109" s="91"/>
      <c r="R109" s="91"/>
      <c r="S109" s="91"/>
      <c r="T109" s="91"/>
      <c r="U109" s="91"/>
      <c r="V109" s="95"/>
      <c r="W109" s="91"/>
      <c r="X109" s="95"/>
      <c r="Y109" s="91"/>
      <c r="Z109" s="95"/>
      <c r="AA109" s="129"/>
      <c r="AB109" s="96"/>
      <c r="AC109" s="91"/>
      <c r="AD109" s="95"/>
      <c r="AE109" s="91"/>
      <c r="AF109" s="95"/>
      <c r="AG109" s="91"/>
      <c r="AH109" s="95"/>
      <c r="AI109" s="129"/>
      <c r="AJ109" s="96"/>
      <c r="AK109" s="91"/>
      <c r="AL109" s="97"/>
      <c r="AM109" s="177"/>
      <c r="AN109" s="178"/>
    </row>
    <row r="110" spans="1:40" ht="16.2" customHeight="1">
      <c r="A110" s="137"/>
      <c r="B110" s="125"/>
      <c r="C110" s="90"/>
      <c r="D110" s="125"/>
      <c r="E110" s="90"/>
      <c r="F110" s="127"/>
      <c r="G110" s="90"/>
      <c r="H110" s="125"/>
      <c r="I110" s="90"/>
      <c r="J110" s="125"/>
      <c r="K110" s="90"/>
      <c r="L110" s="127"/>
      <c r="M110" s="90"/>
      <c r="N110" s="125"/>
      <c r="O110" s="90"/>
      <c r="P110" s="125"/>
      <c r="Q110" s="90"/>
      <c r="R110" s="125"/>
      <c r="S110" s="90"/>
      <c r="T110" s="125"/>
      <c r="U110" s="90"/>
      <c r="V110" s="127"/>
      <c r="W110" s="90"/>
      <c r="X110" s="127"/>
      <c r="Y110" s="90"/>
      <c r="Z110" s="127"/>
      <c r="AA110" s="128"/>
      <c r="AB110" s="126"/>
      <c r="AC110" s="90"/>
      <c r="AD110" s="127"/>
      <c r="AE110" s="90"/>
      <c r="AF110" s="127"/>
      <c r="AG110" s="90"/>
      <c r="AH110" s="127"/>
      <c r="AI110" s="128"/>
      <c r="AJ110" s="126"/>
      <c r="AK110" s="90"/>
      <c r="AL110" s="94"/>
      <c r="AM110" s="175"/>
      <c r="AN110" s="176"/>
    </row>
    <row r="111" spans="1:40" ht="16.2" customHeight="1">
      <c r="A111" s="138"/>
      <c r="B111" s="91"/>
      <c r="C111" s="91"/>
      <c r="D111" s="91"/>
      <c r="E111" s="91"/>
      <c r="F111" s="95"/>
      <c r="G111" s="91"/>
      <c r="H111" s="91"/>
      <c r="I111" s="91"/>
      <c r="J111" s="91"/>
      <c r="K111" s="91"/>
      <c r="L111" s="95"/>
      <c r="M111" s="91"/>
      <c r="N111" s="91"/>
      <c r="O111" s="91"/>
      <c r="P111" s="91"/>
      <c r="Q111" s="91"/>
      <c r="R111" s="91"/>
      <c r="S111" s="91"/>
      <c r="T111" s="91"/>
      <c r="U111" s="91"/>
      <c r="V111" s="95"/>
      <c r="W111" s="91"/>
      <c r="X111" s="95"/>
      <c r="Y111" s="91"/>
      <c r="Z111" s="95"/>
      <c r="AA111" s="129"/>
      <c r="AB111" s="96"/>
      <c r="AC111" s="91"/>
      <c r="AD111" s="95"/>
      <c r="AE111" s="91"/>
      <c r="AF111" s="95"/>
      <c r="AG111" s="91"/>
      <c r="AH111" s="95"/>
      <c r="AI111" s="129"/>
      <c r="AJ111" s="96"/>
      <c r="AK111" s="91"/>
      <c r="AL111" s="97"/>
      <c r="AM111" s="177"/>
      <c r="AN111" s="178"/>
    </row>
    <row r="112" spans="1:40" ht="16.2" customHeight="1">
      <c r="A112" s="137"/>
      <c r="B112" s="125"/>
      <c r="C112" s="90"/>
      <c r="D112" s="125"/>
      <c r="E112" s="90"/>
      <c r="F112" s="127"/>
      <c r="G112" s="90"/>
      <c r="H112" s="125"/>
      <c r="I112" s="90"/>
      <c r="J112" s="125"/>
      <c r="K112" s="90"/>
      <c r="L112" s="127"/>
      <c r="M112" s="90"/>
      <c r="N112" s="125"/>
      <c r="O112" s="90"/>
      <c r="P112" s="125"/>
      <c r="Q112" s="90"/>
      <c r="R112" s="125"/>
      <c r="S112" s="90"/>
      <c r="T112" s="125"/>
      <c r="U112" s="90"/>
      <c r="V112" s="127"/>
      <c r="W112" s="90"/>
      <c r="X112" s="127"/>
      <c r="Y112" s="90"/>
      <c r="Z112" s="127"/>
      <c r="AA112" s="128"/>
      <c r="AB112" s="126"/>
      <c r="AC112" s="90"/>
      <c r="AD112" s="127"/>
      <c r="AE112" s="90"/>
      <c r="AF112" s="127"/>
      <c r="AG112" s="90"/>
      <c r="AH112" s="127"/>
      <c r="AI112" s="128"/>
      <c r="AJ112" s="126"/>
      <c r="AK112" s="90"/>
      <c r="AL112" s="94"/>
      <c r="AM112" s="175"/>
      <c r="AN112" s="176"/>
    </row>
    <row r="113" spans="1:40" ht="16.2" customHeight="1">
      <c r="A113" s="138"/>
      <c r="B113" s="91"/>
      <c r="C113" s="91"/>
      <c r="D113" s="91"/>
      <c r="E113" s="91"/>
      <c r="F113" s="95"/>
      <c r="G113" s="91"/>
      <c r="H113" s="91"/>
      <c r="I113" s="91"/>
      <c r="J113" s="91"/>
      <c r="K113" s="91"/>
      <c r="L113" s="95"/>
      <c r="M113" s="91"/>
      <c r="N113" s="91"/>
      <c r="O113" s="91"/>
      <c r="P113" s="91"/>
      <c r="Q113" s="91"/>
      <c r="R113" s="91"/>
      <c r="S113" s="91"/>
      <c r="T113" s="91"/>
      <c r="U113" s="91"/>
      <c r="V113" s="95"/>
      <c r="W113" s="91"/>
      <c r="X113" s="95"/>
      <c r="Y113" s="91"/>
      <c r="Z113" s="95"/>
      <c r="AA113" s="129"/>
      <c r="AB113" s="96"/>
      <c r="AC113" s="91"/>
      <c r="AD113" s="95"/>
      <c r="AE113" s="91"/>
      <c r="AF113" s="95"/>
      <c r="AG113" s="91"/>
      <c r="AH113" s="95"/>
      <c r="AI113" s="129"/>
      <c r="AJ113" s="96"/>
      <c r="AK113" s="91"/>
      <c r="AL113" s="97"/>
      <c r="AM113" s="177"/>
      <c r="AN113" s="178"/>
    </row>
    <row r="114" spans="1:40" ht="16.2" customHeight="1">
      <c r="A114" s="137"/>
      <c r="B114" s="125"/>
      <c r="C114" s="90"/>
      <c r="D114" s="125"/>
      <c r="E114" s="90"/>
      <c r="F114" s="127"/>
      <c r="G114" s="90"/>
      <c r="H114" s="125"/>
      <c r="I114" s="90"/>
      <c r="J114" s="125"/>
      <c r="K114" s="90"/>
      <c r="L114" s="127"/>
      <c r="M114" s="90"/>
      <c r="N114" s="125"/>
      <c r="O114" s="90"/>
      <c r="P114" s="125"/>
      <c r="Q114" s="90"/>
      <c r="R114" s="125"/>
      <c r="S114" s="90"/>
      <c r="T114" s="125"/>
      <c r="U114" s="90"/>
      <c r="V114" s="127"/>
      <c r="W114" s="90"/>
      <c r="X114" s="127"/>
      <c r="Y114" s="90"/>
      <c r="Z114" s="127"/>
      <c r="AA114" s="128"/>
      <c r="AB114" s="126"/>
      <c r="AC114" s="90"/>
      <c r="AD114" s="127"/>
      <c r="AE114" s="90"/>
      <c r="AF114" s="127"/>
      <c r="AG114" s="90"/>
      <c r="AH114" s="127"/>
      <c r="AI114" s="128"/>
      <c r="AJ114" s="126"/>
      <c r="AK114" s="90"/>
      <c r="AL114" s="94"/>
      <c r="AM114" s="175"/>
      <c r="AN114" s="176"/>
    </row>
    <row r="115" spans="1:40" ht="16.2" customHeight="1">
      <c r="A115" s="138"/>
      <c r="B115" s="91"/>
      <c r="C115" s="91"/>
      <c r="D115" s="91"/>
      <c r="E115" s="91"/>
      <c r="F115" s="95"/>
      <c r="G115" s="91"/>
      <c r="H115" s="91"/>
      <c r="I115" s="91"/>
      <c r="J115" s="91"/>
      <c r="K115" s="91"/>
      <c r="L115" s="95"/>
      <c r="M115" s="91"/>
      <c r="N115" s="91"/>
      <c r="O115" s="91"/>
      <c r="P115" s="91"/>
      <c r="Q115" s="91"/>
      <c r="R115" s="91"/>
      <c r="S115" s="91"/>
      <c r="T115" s="91"/>
      <c r="U115" s="91"/>
      <c r="V115" s="95"/>
      <c r="W115" s="91"/>
      <c r="X115" s="95"/>
      <c r="Y115" s="91"/>
      <c r="Z115" s="95"/>
      <c r="AA115" s="129"/>
      <c r="AB115" s="96"/>
      <c r="AC115" s="91"/>
      <c r="AD115" s="95"/>
      <c r="AE115" s="91"/>
      <c r="AF115" s="95"/>
      <c r="AG115" s="91"/>
      <c r="AH115" s="95"/>
      <c r="AI115" s="129"/>
      <c r="AJ115" s="96"/>
      <c r="AK115" s="91"/>
      <c r="AL115" s="97"/>
      <c r="AM115" s="177"/>
      <c r="AN115" s="178"/>
    </row>
    <row r="116" spans="1:40" ht="16.2" customHeight="1">
      <c r="A116" s="137"/>
      <c r="B116" s="125"/>
      <c r="C116" s="90"/>
      <c r="D116" s="125"/>
      <c r="E116" s="90"/>
      <c r="F116" s="127"/>
      <c r="G116" s="90"/>
      <c r="H116" s="125"/>
      <c r="I116" s="90"/>
      <c r="J116" s="125"/>
      <c r="K116" s="90"/>
      <c r="L116" s="127"/>
      <c r="M116" s="90"/>
      <c r="N116" s="125"/>
      <c r="O116" s="90"/>
      <c r="P116" s="125"/>
      <c r="Q116" s="90"/>
      <c r="R116" s="125"/>
      <c r="S116" s="90"/>
      <c r="T116" s="125"/>
      <c r="U116" s="90"/>
      <c r="V116" s="127"/>
      <c r="W116" s="90"/>
      <c r="X116" s="127"/>
      <c r="Y116" s="90"/>
      <c r="Z116" s="127"/>
      <c r="AA116" s="128"/>
      <c r="AB116" s="126"/>
      <c r="AC116" s="90"/>
      <c r="AD116" s="127"/>
      <c r="AE116" s="90"/>
      <c r="AF116" s="127"/>
      <c r="AG116" s="90"/>
      <c r="AH116" s="127"/>
      <c r="AI116" s="128"/>
      <c r="AJ116" s="126"/>
      <c r="AK116" s="90"/>
      <c r="AL116" s="94"/>
      <c r="AM116" s="175"/>
      <c r="AN116" s="176"/>
    </row>
    <row r="117" spans="1:40" ht="16.2" customHeight="1">
      <c r="A117" s="138"/>
      <c r="B117" s="91"/>
      <c r="C117" s="91"/>
      <c r="D117" s="91"/>
      <c r="E117" s="91"/>
      <c r="F117" s="95"/>
      <c r="G117" s="91"/>
      <c r="H117" s="91"/>
      <c r="I117" s="91"/>
      <c r="J117" s="91"/>
      <c r="K117" s="91"/>
      <c r="L117" s="95"/>
      <c r="M117" s="91"/>
      <c r="N117" s="91"/>
      <c r="O117" s="91"/>
      <c r="P117" s="91"/>
      <c r="Q117" s="91"/>
      <c r="R117" s="91"/>
      <c r="S117" s="91"/>
      <c r="T117" s="91"/>
      <c r="U117" s="91"/>
      <c r="V117" s="95"/>
      <c r="W117" s="91"/>
      <c r="X117" s="95"/>
      <c r="Y117" s="91"/>
      <c r="Z117" s="95"/>
      <c r="AA117" s="129"/>
      <c r="AB117" s="96"/>
      <c r="AC117" s="91"/>
      <c r="AD117" s="95"/>
      <c r="AE117" s="91"/>
      <c r="AF117" s="95"/>
      <c r="AG117" s="91"/>
      <c r="AH117" s="95"/>
      <c r="AI117" s="129"/>
      <c r="AJ117" s="96"/>
      <c r="AK117" s="91"/>
      <c r="AL117" s="97"/>
      <c r="AM117" s="177"/>
      <c r="AN117" s="178"/>
    </row>
    <row r="118" spans="1:40" ht="16.2" customHeight="1">
      <c r="A118" s="137"/>
      <c r="B118" s="125"/>
      <c r="C118" s="90"/>
      <c r="D118" s="125"/>
      <c r="E118" s="90"/>
      <c r="F118" s="127"/>
      <c r="G118" s="90"/>
      <c r="H118" s="125"/>
      <c r="I118" s="90"/>
      <c r="J118" s="125"/>
      <c r="K118" s="90"/>
      <c r="L118" s="127"/>
      <c r="M118" s="90"/>
      <c r="N118" s="125"/>
      <c r="O118" s="90"/>
      <c r="P118" s="125"/>
      <c r="Q118" s="90"/>
      <c r="R118" s="125"/>
      <c r="S118" s="90"/>
      <c r="T118" s="125"/>
      <c r="U118" s="90"/>
      <c r="V118" s="127"/>
      <c r="W118" s="90"/>
      <c r="X118" s="127"/>
      <c r="Y118" s="90"/>
      <c r="Z118" s="127"/>
      <c r="AA118" s="128"/>
      <c r="AB118" s="126"/>
      <c r="AC118" s="90"/>
      <c r="AD118" s="127"/>
      <c r="AE118" s="90"/>
      <c r="AF118" s="127"/>
      <c r="AG118" s="90"/>
      <c r="AH118" s="127"/>
      <c r="AI118" s="128"/>
      <c r="AJ118" s="126"/>
      <c r="AK118" s="90"/>
      <c r="AL118" s="94"/>
      <c r="AM118" s="175"/>
      <c r="AN118" s="176"/>
    </row>
    <row r="119" spans="1:40" ht="16.2" customHeight="1">
      <c r="A119" s="138"/>
      <c r="B119" s="91"/>
      <c r="C119" s="91"/>
      <c r="D119" s="91"/>
      <c r="E119" s="91"/>
      <c r="F119" s="95"/>
      <c r="G119" s="91"/>
      <c r="H119" s="91"/>
      <c r="I119" s="91"/>
      <c r="J119" s="91"/>
      <c r="K119" s="91"/>
      <c r="L119" s="95"/>
      <c r="M119" s="91"/>
      <c r="N119" s="91"/>
      <c r="O119" s="91"/>
      <c r="P119" s="91"/>
      <c r="Q119" s="91"/>
      <c r="R119" s="91"/>
      <c r="S119" s="91"/>
      <c r="T119" s="91"/>
      <c r="U119" s="91"/>
      <c r="V119" s="95"/>
      <c r="W119" s="91"/>
      <c r="X119" s="95"/>
      <c r="Y119" s="91"/>
      <c r="Z119" s="95"/>
      <c r="AA119" s="129"/>
      <c r="AB119" s="96"/>
      <c r="AC119" s="91"/>
      <c r="AD119" s="95"/>
      <c r="AE119" s="91"/>
      <c r="AF119" s="95"/>
      <c r="AG119" s="91"/>
      <c r="AH119" s="95"/>
      <c r="AI119" s="129"/>
      <c r="AJ119" s="96"/>
      <c r="AK119" s="91"/>
      <c r="AL119" s="97"/>
      <c r="AM119" s="177"/>
      <c r="AN119" s="178"/>
    </row>
    <row r="120" spans="1:40" ht="16.2" customHeight="1">
      <c r="A120" s="137"/>
      <c r="B120" s="125"/>
      <c r="C120" s="90"/>
      <c r="D120" s="125"/>
      <c r="E120" s="90"/>
      <c r="F120" s="127"/>
      <c r="G120" s="90"/>
      <c r="H120" s="125"/>
      <c r="I120" s="90"/>
      <c r="J120" s="125"/>
      <c r="K120" s="90"/>
      <c r="L120" s="127"/>
      <c r="M120" s="90"/>
      <c r="N120" s="125"/>
      <c r="O120" s="90"/>
      <c r="P120" s="125"/>
      <c r="Q120" s="90"/>
      <c r="R120" s="125"/>
      <c r="S120" s="90"/>
      <c r="T120" s="125"/>
      <c r="U120" s="90"/>
      <c r="V120" s="127"/>
      <c r="W120" s="90"/>
      <c r="X120" s="127"/>
      <c r="Y120" s="90"/>
      <c r="Z120" s="127"/>
      <c r="AA120" s="128"/>
      <c r="AB120" s="126"/>
      <c r="AC120" s="90"/>
      <c r="AD120" s="127"/>
      <c r="AE120" s="90"/>
      <c r="AF120" s="127"/>
      <c r="AG120" s="90"/>
      <c r="AH120" s="127"/>
      <c r="AI120" s="128"/>
      <c r="AJ120" s="126"/>
      <c r="AK120" s="90"/>
      <c r="AL120" s="94"/>
      <c r="AM120" s="175"/>
      <c r="AN120" s="176"/>
    </row>
    <row r="121" spans="1:40" ht="16.2" customHeight="1">
      <c r="A121" s="138"/>
      <c r="B121" s="91"/>
      <c r="C121" s="91"/>
      <c r="D121" s="91"/>
      <c r="E121" s="91"/>
      <c r="F121" s="95"/>
      <c r="G121" s="91"/>
      <c r="H121" s="91"/>
      <c r="I121" s="91"/>
      <c r="J121" s="91"/>
      <c r="K121" s="91"/>
      <c r="L121" s="95"/>
      <c r="M121" s="91"/>
      <c r="N121" s="91"/>
      <c r="O121" s="91"/>
      <c r="P121" s="91"/>
      <c r="Q121" s="91"/>
      <c r="R121" s="91"/>
      <c r="S121" s="91"/>
      <c r="T121" s="91"/>
      <c r="U121" s="91"/>
      <c r="V121" s="95"/>
      <c r="W121" s="91"/>
      <c r="X121" s="95"/>
      <c r="Y121" s="91"/>
      <c r="Z121" s="95"/>
      <c r="AA121" s="129"/>
      <c r="AB121" s="96"/>
      <c r="AC121" s="91"/>
      <c r="AD121" s="95"/>
      <c r="AE121" s="91"/>
      <c r="AF121" s="95"/>
      <c r="AG121" s="91"/>
      <c r="AH121" s="95"/>
      <c r="AI121" s="129"/>
      <c r="AJ121" s="96"/>
      <c r="AK121" s="91"/>
      <c r="AL121" s="97"/>
      <c r="AM121" s="177"/>
      <c r="AN121" s="178"/>
    </row>
    <row r="122" spans="1:40" ht="16.2" customHeight="1">
      <c r="A122" s="137"/>
      <c r="B122" s="125"/>
      <c r="C122" s="90"/>
      <c r="D122" s="125"/>
      <c r="E122" s="90"/>
      <c r="F122" s="127"/>
      <c r="G122" s="90"/>
      <c r="H122" s="125"/>
      <c r="I122" s="90"/>
      <c r="J122" s="125"/>
      <c r="K122" s="90"/>
      <c r="L122" s="127"/>
      <c r="M122" s="90"/>
      <c r="N122" s="125"/>
      <c r="O122" s="90"/>
      <c r="P122" s="125"/>
      <c r="Q122" s="90"/>
      <c r="R122" s="125"/>
      <c r="S122" s="90"/>
      <c r="T122" s="125"/>
      <c r="U122" s="90"/>
      <c r="V122" s="127"/>
      <c r="W122" s="90"/>
      <c r="X122" s="127"/>
      <c r="Y122" s="90"/>
      <c r="Z122" s="127"/>
      <c r="AA122" s="128"/>
      <c r="AB122" s="126"/>
      <c r="AC122" s="90"/>
      <c r="AD122" s="127"/>
      <c r="AE122" s="90"/>
      <c r="AF122" s="127"/>
      <c r="AG122" s="90"/>
      <c r="AH122" s="127"/>
      <c r="AI122" s="128"/>
      <c r="AJ122" s="126"/>
      <c r="AK122" s="90"/>
      <c r="AL122" s="94"/>
      <c r="AM122" s="175"/>
      <c r="AN122" s="176"/>
    </row>
    <row r="123" spans="1:40" ht="16.2" customHeight="1">
      <c r="A123" s="138"/>
      <c r="B123" s="91"/>
      <c r="C123" s="91"/>
      <c r="D123" s="91"/>
      <c r="E123" s="91"/>
      <c r="F123" s="95"/>
      <c r="G123" s="91"/>
      <c r="H123" s="91"/>
      <c r="I123" s="91"/>
      <c r="J123" s="91"/>
      <c r="K123" s="91"/>
      <c r="L123" s="95"/>
      <c r="M123" s="91"/>
      <c r="N123" s="91"/>
      <c r="O123" s="91"/>
      <c r="P123" s="91"/>
      <c r="Q123" s="91"/>
      <c r="R123" s="91"/>
      <c r="S123" s="91"/>
      <c r="T123" s="91"/>
      <c r="U123" s="91"/>
      <c r="V123" s="95"/>
      <c r="W123" s="91"/>
      <c r="X123" s="95"/>
      <c r="Y123" s="91"/>
      <c r="Z123" s="95"/>
      <c r="AA123" s="129"/>
      <c r="AB123" s="96"/>
      <c r="AC123" s="91"/>
      <c r="AD123" s="95"/>
      <c r="AE123" s="91"/>
      <c r="AF123" s="95"/>
      <c r="AG123" s="91"/>
      <c r="AH123" s="95"/>
      <c r="AI123" s="129"/>
      <c r="AJ123" s="96"/>
      <c r="AK123" s="91"/>
      <c r="AL123" s="97"/>
      <c r="AM123" s="177"/>
      <c r="AN123" s="178"/>
    </row>
    <row r="124" spans="1:40" ht="16.2" customHeight="1">
      <c r="A124" s="137"/>
      <c r="B124" s="125"/>
      <c r="C124" s="90"/>
      <c r="D124" s="125"/>
      <c r="E124" s="90"/>
      <c r="F124" s="127"/>
      <c r="G124" s="90"/>
      <c r="H124" s="125"/>
      <c r="I124" s="90"/>
      <c r="J124" s="125"/>
      <c r="K124" s="90"/>
      <c r="L124" s="127"/>
      <c r="M124" s="90"/>
      <c r="N124" s="125"/>
      <c r="O124" s="90"/>
      <c r="P124" s="125"/>
      <c r="Q124" s="90"/>
      <c r="R124" s="125"/>
      <c r="S124" s="90"/>
      <c r="T124" s="125"/>
      <c r="U124" s="90"/>
      <c r="V124" s="127"/>
      <c r="W124" s="90"/>
      <c r="X124" s="127"/>
      <c r="Y124" s="90"/>
      <c r="Z124" s="127"/>
      <c r="AA124" s="128"/>
      <c r="AB124" s="126"/>
      <c r="AC124" s="90"/>
      <c r="AD124" s="127"/>
      <c r="AE124" s="90"/>
      <c r="AF124" s="127"/>
      <c r="AG124" s="90"/>
      <c r="AH124" s="127"/>
      <c r="AI124" s="128"/>
      <c r="AJ124" s="126"/>
      <c r="AK124" s="90"/>
      <c r="AL124" s="94"/>
      <c r="AM124" s="175"/>
      <c r="AN124" s="176"/>
    </row>
    <row r="125" spans="1:40" ht="16.2" customHeight="1">
      <c r="A125" s="138"/>
      <c r="B125" s="91"/>
      <c r="C125" s="91"/>
      <c r="D125" s="91"/>
      <c r="E125" s="91"/>
      <c r="F125" s="95"/>
      <c r="G125" s="91"/>
      <c r="H125" s="91"/>
      <c r="I125" s="91"/>
      <c r="J125" s="91"/>
      <c r="K125" s="91"/>
      <c r="L125" s="95"/>
      <c r="M125" s="91"/>
      <c r="N125" s="91"/>
      <c r="O125" s="91"/>
      <c r="P125" s="91"/>
      <c r="Q125" s="91"/>
      <c r="R125" s="91"/>
      <c r="S125" s="91"/>
      <c r="T125" s="91"/>
      <c r="U125" s="91"/>
      <c r="V125" s="95"/>
      <c r="W125" s="91"/>
      <c r="X125" s="95"/>
      <c r="Y125" s="91"/>
      <c r="Z125" s="95"/>
      <c r="AA125" s="129"/>
      <c r="AB125" s="96"/>
      <c r="AC125" s="91"/>
      <c r="AD125" s="95"/>
      <c r="AE125" s="91"/>
      <c r="AF125" s="95"/>
      <c r="AG125" s="91"/>
      <c r="AH125" s="95"/>
      <c r="AI125" s="129"/>
      <c r="AJ125" s="96"/>
      <c r="AK125" s="91"/>
      <c r="AL125" s="97"/>
      <c r="AM125" s="177"/>
      <c r="AN125" s="178"/>
    </row>
    <row r="126" spans="1:40" ht="16.2" customHeight="1">
      <c r="A126" s="137"/>
      <c r="B126" s="125"/>
      <c r="C126" s="90"/>
      <c r="D126" s="125"/>
      <c r="E126" s="90"/>
      <c r="F126" s="127"/>
      <c r="G126" s="90"/>
      <c r="H126" s="125"/>
      <c r="I126" s="90"/>
      <c r="J126" s="125"/>
      <c r="K126" s="90"/>
      <c r="L126" s="127"/>
      <c r="M126" s="90"/>
      <c r="N126" s="125"/>
      <c r="O126" s="90"/>
      <c r="P126" s="125"/>
      <c r="Q126" s="90"/>
      <c r="R126" s="125"/>
      <c r="S126" s="90"/>
      <c r="T126" s="125"/>
      <c r="U126" s="90"/>
      <c r="V126" s="127"/>
      <c r="W126" s="90"/>
      <c r="X126" s="127"/>
      <c r="Y126" s="90"/>
      <c r="Z126" s="127"/>
      <c r="AA126" s="128"/>
      <c r="AB126" s="126"/>
      <c r="AC126" s="90"/>
      <c r="AD126" s="127"/>
      <c r="AE126" s="90"/>
      <c r="AF126" s="127"/>
      <c r="AG126" s="90"/>
      <c r="AH126" s="127"/>
      <c r="AI126" s="128"/>
      <c r="AJ126" s="126"/>
      <c r="AK126" s="90"/>
      <c r="AL126" s="94"/>
      <c r="AM126" s="175"/>
      <c r="AN126" s="176"/>
    </row>
    <row r="127" spans="1:40" ht="16.2" customHeight="1">
      <c r="A127" s="138"/>
      <c r="B127" s="91"/>
      <c r="C127" s="91"/>
      <c r="D127" s="91"/>
      <c r="E127" s="91"/>
      <c r="F127" s="95"/>
      <c r="G127" s="91"/>
      <c r="H127" s="91"/>
      <c r="I127" s="91"/>
      <c r="J127" s="91"/>
      <c r="K127" s="91"/>
      <c r="L127" s="95"/>
      <c r="M127" s="91"/>
      <c r="N127" s="91"/>
      <c r="O127" s="91"/>
      <c r="P127" s="91"/>
      <c r="Q127" s="91"/>
      <c r="R127" s="91"/>
      <c r="S127" s="91"/>
      <c r="T127" s="91"/>
      <c r="U127" s="91"/>
      <c r="V127" s="95"/>
      <c r="W127" s="91"/>
      <c r="X127" s="95"/>
      <c r="Y127" s="91"/>
      <c r="Z127" s="95"/>
      <c r="AA127" s="129"/>
      <c r="AB127" s="96"/>
      <c r="AC127" s="91"/>
      <c r="AD127" s="95"/>
      <c r="AE127" s="91"/>
      <c r="AF127" s="95"/>
      <c r="AG127" s="91"/>
      <c r="AH127" s="95"/>
      <c r="AI127" s="129"/>
      <c r="AJ127" s="96"/>
      <c r="AK127" s="91"/>
      <c r="AL127" s="97"/>
      <c r="AM127" s="177"/>
      <c r="AN127" s="178"/>
    </row>
    <row r="128" spans="1:40" ht="16.2" customHeight="1">
      <c r="A128" s="137"/>
      <c r="B128" s="125"/>
      <c r="C128" s="90"/>
      <c r="D128" s="125"/>
      <c r="E128" s="90"/>
      <c r="F128" s="127"/>
      <c r="G128" s="90"/>
      <c r="H128" s="125"/>
      <c r="I128" s="90"/>
      <c r="J128" s="125"/>
      <c r="K128" s="90"/>
      <c r="L128" s="127"/>
      <c r="M128" s="90"/>
      <c r="N128" s="125"/>
      <c r="O128" s="90"/>
      <c r="P128" s="125"/>
      <c r="Q128" s="90"/>
      <c r="R128" s="125"/>
      <c r="S128" s="90"/>
      <c r="T128" s="125"/>
      <c r="U128" s="90"/>
      <c r="V128" s="127"/>
      <c r="W128" s="90"/>
      <c r="X128" s="127"/>
      <c r="Y128" s="90"/>
      <c r="Z128" s="127"/>
      <c r="AA128" s="128"/>
      <c r="AB128" s="126"/>
      <c r="AC128" s="90"/>
      <c r="AD128" s="127"/>
      <c r="AE128" s="90"/>
      <c r="AF128" s="127"/>
      <c r="AG128" s="90"/>
      <c r="AH128" s="127"/>
      <c r="AI128" s="128"/>
      <c r="AJ128" s="126"/>
      <c r="AK128" s="90"/>
      <c r="AL128" s="94"/>
      <c r="AM128" s="175"/>
      <c r="AN128" s="176"/>
    </row>
    <row r="129" spans="1:40" ht="16.2" customHeight="1">
      <c r="A129" s="138"/>
      <c r="B129" s="91"/>
      <c r="C129" s="91"/>
      <c r="D129" s="91"/>
      <c r="E129" s="91"/>
      <c r="F129" s="95"/>
      <c r="G129" s="91"/>
      <c r="H129" s="91"/>
      <c r="I129" s="91"/>
      <c r="J129" s="91"/>
      <c r="K129" s="91"/>
      <c r="L129" s="95"/>
      <c r="M129" s="91"/>
      <c r="N129" s="91"/>
      <c r="O129" s="91"/>
      <c r="P129" s="91"/>
      <c r="Q129" s="91"/>
      <c r="R129" s="91"/>
      <c r="S129" s="91"/>
      <c r="T129" s="91"/>
      <c r="U129" s="91"/>
      <c r="V129" s="95"/>
      <c r="W129" s="91"/>
      <c r="X129" s="95"/>
      <c r="Y129" s="91"/>
      <c r="Z129" s="95"/>
      <c r="AA129" s="129"/>
      <c r="AB129" s="96"/>
      <c r="AC129" s="91"/>
      <c r="AD129" s="95"/>
      <c r="AE129" s="91"/>
      <c r="AF129" s="95"/>
      <c r="AG129" s="91"/>
      <c r="AH129" s="95"/>
      <c r="AI129" s="129"/>
      <c r="AJ129" s="96"/>
      <c r="AK129" s="91"/>
      <c r="AL129" s="97"/>
      <c r="AM129" s="177"/>
      <c r="AN129" s="178"/>
    </row>
    <row r="130" spans="1:40" ht="16.2" customHeight="1">
      <c r="A130" s="137"/>
      <c r="B130" s="125"/>
      <c r="C130" s="90"/>
      <c r="D130" s="125"/>
      <c r="E130" s="90"/>
      <c r="F130" s="127"/>
      <c r="G130" s="90"/>
      <c r="H130" s="125"/>
      <c r="I130" s="90"/>
      <c r="J130" s="125"/>
      <c r="K130" s="90"/>
      <c r="L130" s="127"/>
      <c r="M130" s="90"/>
      <c r="N130" s="125"/>
      <c r="O130" s="90"/>
      <c r="P130" s="125"/>
      <c r="Q130" s="90"/>
      <c r="R130" s="125"/>
      <c r="S130" s="90"/>
      <c r="T130" s="125"/>
      <c r="U130" s="90"/>
      <c r="V130" s="127"/>
      <c r="W130" s="90"/>
      <c r="X130" s="127"/>
      <c r="Y130" s="90"/>
      <c r="Z130" s="127"/>
      <c r="AA130" s="128"/>
      <c r="AB130" s="126"/>
      <c r="AC130" s="90"/>
      <c r="AD130" s="127"/>
      <c r="AE130" s="90"/>
      <c r="AF130" s="127"/>
      <c r="AG130" s="90"/>
      <c r="AH130" s="127"/>
      <c r="AI130" s="128"/>
      <c r="AJ130" s="126"/>
      <c r="AK130" s="90"/>
      <c r="AL130" s="94"/>
      <c r="AM130" s="175"/>
      <c r="AN130" s="176"/>
    </row>
    <row r="131" spans="1:40" ht="16.2" customHeight="1">
      <c r="A131" s="138"/>
      <c r="B131" s="91"/>
      <c r="C131" s="91"/>
      <c r="D131" s="91"/>
      <c r="E131" s="91"/>
      <c r="F131" s="95"/>
      <c r="G131" s="91"/>
      <c r="H131" s="91"/>
      <c r="I131" s="91"/>
      <c r="J131" s="91"/>
      <c r="K131" s="91"/>
      <c r="L131" s="95"/>
      <c r="M131" s="91"/>
      <c r="N131" s="91"/>
      <c r="O131" s="91"/>
      <c r="P131" s="91"/>
      <c r="Q131" s="91"/>
      <c r="R131" s="91"/>
      <c r="S131" s="91"/>
      <c r="T131" s="91"/>
      <c r="U131" s="91"/>
      <c r="V131" s="95"/>
      <c r="W131" s="91"/>
      <c r="X131" s="95"/>
      <c r="Y131" s="91"/>
      <c r="Z131" s="95"/>
      <c r="AA131" s="129"/>
      <c r="AB131" s="96"/>
      <c r="AC131" s="91"/>
      <c r="AD131" s="95"/>
      <c r="AE131" s="91"/>
      <c r="AF131" s="95"/>
      <c r="AG131" s="91"/>
      <c r="AH131" s="95"/>
      <c r="AI131" s="129"/>
      <c r="AJ131" s="96"/>
      <c r="AK131" s="91"/>
      <c r="AL131" s="97"/>
      <c r="AM131" s="177"/>
      <c r="AN131" s="178"/>
    </row>
    <row r="132" spans="1:40" ht="16.2" customHeight="1">
      <c r="A132" s="137"/>
      <c r="B132" s="125"/>
      <c r="C132" s="90"/>
      <c r="D132" s="125"/>
      <c r="E132" s="90"/>
      <c r="F132" s="127"/>
      <c r="G132" s="90"/>
      <c r="H132" s="125"/>
      <c r="I132" s="90"/>
      <c r="J132" s="125"/>
      <c r="K132" s="90"/>
      <c r="L132" s="127"/>
      <c r="M132" s="90"/>
      <c r="N132" s="125"/>
      <c r="O132" s="90"/>
      <c r="P132" s="125"/>
      <c r="Q132" s="90"/>
      <c r="R132" s="125"/>
      <c r="S132" s="90"/>
      <c r="T132" s="125"/>
      <c r="U132" s="90"/>
      <c r="V132" s="127"/>
      <c r="W132" s="90"/>
      <c r="X132" s="127"/>
      <c r="Y132" s="90"/>
      <c r="Z132" s="127"/>
      <c r="AA132" s="128"/>
      <c r="AB132" s="126"/>
      <c r="AC132" s="90"/>
      <c r="AD132" s="127"/>
      <c r="AE132" s="90"/>
      <c r="AF132" s="127"/>
      <c r="AG132" s="90"/>
      <c r="AH132" s="127"/>
      <c r="AI132" s="128"/>
      <c r="AJ132" s="126"/>
      <c r="AK132" s="90"/>
      <c r="AL132" s="94"/>
      <c r="AM132" s="175"/>
      <c r="AN132" s="176"/>
    </row>
    <row r="133" spans="1:40" ht="16.2" customHeight="1">
      <c r="A133" s="138"/>
      <c r="B133" s="91"/>
      <c r="C133" s="91"/>
      <c r="D133" s="91"/>
      <c r="E133" s="91"/>
      <c r="F133" s="95"/>
      <c r="G133" s="91"/>
      <c r="H133" s="91"/>
      <c r="I133" s="91"/>
      <c r="J133" s="91"/>
      <c r="K133" s="91"/>
      <c r="L133" s="95"/>
      <c r="M133" s="91"/>
      <c r="N133" s="91"/>
      <c r="O133" s="91"/>
      <c r="P133" s="91"/>
      <c r="Q133" s="91"/>
      <c r="R133" s="91"/>
      <c r="S133" s="91"/>
      <c r="T133" s="91"/>
      <c r="U133" s="91"/>
      <c r="V133" s="95"/>
      <c r="W133" s="91"/>
      <c r="X133" s="95"/>
      <c r="Y133" s="91"/>
      <c r="Z133" s="95"/>
      <c r="AA133" s="129"/>
      <c r="AB133" s="96"/>
      <c r="AC133" s="91"/>
      <c r="AD133" s="95"/>
      <c r="AE133" s="91"/>
      <c r="AF133" s="95"/>
      <c r="AG133" s="91"/>
      <c r="AH133" s="95"/>
      <c r="AI133" s="129"/>
      <c r="AJ133" s="96"/>
      <c r="AK133" s="91"/>
      <c r="AL133" s="97"/>
      <c r="AM133" s="177"/>
      <c r="AN133" s="178"/>
    </row>
    <row r="134" spans="1:40" ht="16.2" customHeight="1">
      <c r="A134" s="137"/>
      <c r="B134" s="125"/>
      <c r="C134" s="90"/>
      <c r="D134" s="125"/>
      <c r="E134" s="90"/>
      <c r="F134" s="127"/>
      <c r="G134" s="90"/>
      <c r="H134" s="125"/>
      <c r="I134" s="90"/>
      <c r="J134" s="125"/>
      <c r="K134" s="90"/>
      <c r="L134" s="127"/>
      <c r="M134" s="90"/>
      <c r="N134" s="125"/>
      <c r="O134" s="90"/>
      <c r="P134" s="125"/>
      <c r="Q134" s="90"/>
      <c r="R134" s="125"/>
      <c r="S134" s="90"/>
      <c r="T134" s="125"/>
      <c r="U134" s="90"/>
      <c r="V134" s="127"/>
      <c r="W134" s="90"/>
      <c r="X134" s="127"/>
      <c r="Y134" s="90"/>
      <c r="Z134" s="127"/>
      <c r="AA134" s="128"/>
      <c r="AB134" s="126"/>
      <c r="AC134" s="90"/>
      <c r="AD134" s="127"/>
      <c r="AE134" s="90"/>
      <c r="AF134" s="127"/>
      <c r="AG134" s="90"/>
      <c r="AH134" s="127"/>
      <c r="AI134" s="128"/>
      <c r="AJ134" s="126"/>
      <c r="AK134" s="90"/>
      <c r="AL134" s="94"/>
      <c r="AM134" s="175"/>
      <c r="AN134" s="176"/>
    </row>
    <row r="135" spans="1:40" ht="16.2" customHeight="1">
      <c r="A135" s="138"/>
      <c r="B135" s="91"/>
      <c r="C135" s="91"/>
      <c r="D135" s="91"/>
      <c r="E135" s="91"/>
      <c r="F135" s="95"/>
      <c r="G135" s="91"/>
      <c r="H135" s="91"/>
      <c r="I135" s="91"/>
      <c r="J135" s="91"/>
      <c r="K135" s="91"/>
      <c r="L135" s="95"/>
      <c r="M135" s="91"/>
      <c r="N135" s="91"/>
      <c r="O135" s="91"/>
      <c r="P135" s="91"/>
      <c r="Q135" s="91"/>
      <c r="R135" s="91"/>
      <c r="S135" s="91"/>
      <c r="T135" s="91"/>
      <c r="U135" s="91"/>
      <c r="V135" s="95"/>
      <c r="W135" s="91"/>
      <c r="X135" s="95"/>
      <c r="Y135" s="91"/>
      <c r="Z135" s="95"/>
      <c r="AA135" s="129"/>
      <c r="AB135" s="96"/>
      <c r="AC135" s="91"/>
      <c r="AD135" s="95"/>
      <c r="AE135" s="91"/>
      <c r="AF135" s="95"/>
      <c r="AG135" s="91"/>
      <c r="AH135" s="95"/>
      <c r="AI135" s="129"/>
      <c r="AJ135" s="96"/>
      <c r="AK135" s="91"/>
      <c r="AL135" s="97"/>
      <c r="AM135" s="177"/>
      <c r="AN135" s="178"/>
    </row>
    <row r="136" spans="1:40" ht="16.2" customHeight="1">
      <c r="A136" s="137"/>
      <c r="B136" s="125"/>
      <c r="C136" s="90"/>
      <c r="D136" s="125"/>
      <c r="E136" s="90"/>
      <c r="F136" s="127"/>
      <c r="G136" s="90"/>
      <c r="H136" s="125"/>
      <c r="I136" s="90"/>
      <c r="J136" s="125"/>
      <c r="K136" s="90"/>
      <c r="L136" s="127"/>
      <c r="M136" s="90"/>
      <c r="N136" s="125"/>
      <c r="O136" s="90"/>
      <c r="P136" s="125"/>
      <c r="Q136" s="90"/>
      <c r="R136" s="125"/>
      <c r="S136" s="90"/>
      <c r="T136" s="125"/>
      <c r="U136" s="90"/>
      <c r="V136" s="127"/>
      <c r="W136" s="90"/>
      <c r="X136" s="127"/>
      <c r="Y136" s="90"/>
      <c r="Z136" s="127"/>
      <c r="AA136" s="128"/>
      <c r="AB136" s="126"/>
      <c r="AC136" s="90"/>
      <c r="AD136" s="127"/>
      <c r="AE136" s="90"/>
      <c r="AF136" s="127"/>
      <c r="AG136" s="90"/>
      <c r="AH136" s="127"/>
      <c r="AI136" s="128"/>
      <c r="AJ136" s="126"/>
      <c r="AK136" s="90"/>
      <c r="AL136" s="94"/>
      <c r="AM136" s="175"/>
      <c r="AN136" s="176"/>
    </row>
    <row r="137" spans="1:40" ht="16.2" customHeight="1">
      <c r="A137" s="138"/>
      <c r="B137" s="91"/>
      <c r="C137" s="91"/>
      <c r="D137" s="91"/>
      <c r="E137" s="91"/>
      <c r="F137" s="95"/>
      <c r="G137" s="91"/>
      <c r="H137" s="91"/>
      <c r="I137" s="91"/>
      <c r="J137" s="91"/>
      <c r="K137" s="91"/>
      <c r="L137" s="95"/>
      <c r="M137" s="91"/>
      <c r="N137" s="91"/>
      <c r="O137" s="91"/>
      <c r="P137" s="91"/>
      <c r="Q137" s="91"/>
      <c r="R137" s="91"/>
      <c r="S137" s="91"/>
      <c r="T137" s="91"/>
      <c r="U137" s="91"/>
      <c r="V137" s="95"/>
      <c r="W137" s="91"/>
      <c r="X137" s="95"/>
      <c r="Y137" s="91"/>
      <c r="Z137" s="95"/>
      <c r="AA137" s="129"/>
      <c r="AB137" s="96"/>
      <c r="AC137" s="91"/>
      <c r="AD137" s="95"/>
      <c r="AE137" s="91"/>
      <c r="AF137" s="95"/>
      <c r="AG137" s="91"/>
      <c r="AH137" s="95"/>
      <c r="AI137" s="129"/>
      <c r="AJ137" s="96"/>
      <c r="AK137" s="91"/>
      <c r="AL137" s="97"/>
      <c r="AM137" s="177"/>
      <c r="AN137" s="178"/>
    </row>
    <row r="138" spans="1:40" ht="16.2" customHeight="1">
      <c r="A138" s="137"/>
      <c r="B138" s="125"/>
      <c r="C138" s="90"/>
      <c r="D138" s="125"/>
      <c r="E138" s="90"/>
      <c r="F138" s="127"/>
      <c r="G138" s="90"/>
      <c r="H138" s="125"/>
      <c r="I138" s="90"/>
      <c r="J138" s="125"/>
      <c r="K138" s="90"/>
      <c r="L138" s="127"/>
      <c r="M138" s="90"/>
      <c r="N138" s="125"/>
      <c r="O138" s="90"/>
      <c r="P138" s="125"/>
      <c r="Q138" s="90"/>
      <c r="R138" s="125"/>
      <c r="S138" s="90"/>
      <c r="T138" s="125"/>
      <c r="U138" s="90"/>
      <c r="V138" s="127"/>
      <c r="W138" s="90"/>
      <c r="X138" s="127"/>
      <c r="Y138" s="90"/>
      <c r="Z138" s="127"/>
      <c r="AA138" s="128"/>
      <c r="AB138" s="126"/>
      <c r="AC138" s="90"/>
      <c r="AD138" s="127"/>
      <c r="AE138" s="90"/>
      <c r="AF138" s="127"/>
      <c r="AG138" s="90"/>
      <c r="AH138" s="127"/>
      <c r="AI138" s="128"/>
      <c r="AJ138" s="126"/>
      <c r="AK138" s="90"/>
      <c r="AL138" s="94"/>
      <c r="AM138" s="175"/>
      <c r="AN138" s="176"/>
    </row>
    <row r="139" spans="1:40" ht="16.2" customHeight="1">
      <c r="A139" s="138"/>
      <c r="B139" s="91"/>
      <c r="C139" s="91"/>
      <c r="D139" s="91"/>
      <c r="E139" s="91"/>
      <c r="F139" s="95"/>
      <c r="G139" s="91"/>
      <c r="H139" s="91"/>
      <c r="I139" s="91"/>
      <c r="J139" s="91"/>
      <c r="K139" s="91"/>
      <c r="L139" s="95"/>
      <c r="M139" s="91"/>
      <c r="N139" s="91"/>
      <c r="O139" s="91"/>
      <c r="P139" s="91"/>
      <c r="Q139" s="91"/>
      <c r="R139" s="91"/>
      <c r="S139" s="91"/>
      <c r="T139" s="91"/>
      <c r="U139" s="91"/>
      <c r="V139" s="95"/>
      <c r="W139" s="91"/>
      <c r="X139" s="95"/>
      <c r="Y139" s="91"/>
      <c r="Z139" s="95"/>
      <c r="AA139" s="129"/>
      <c r="AB139" s="96"/>
      <c r="AC139" s="91"/>
      <c r="AD139" s="95"/>
      <c r="AE139" s="91"/>
      <c r="AF139" s="95"/>
      <c r="AG139" s="91"/>
      <c r="AH139" s="95"/>
      <c r="AI139" s="129"/>
      <c r="AJ139" s="96"/>
      <c r="AK139" s="91"/>
      <c r="AL139" s="97"/>
      <c r="AM139" s="177"/>
      <c r="AN139" s="178"/>
    </row>
    <row r="140" spans="1:40" ht="16.2" customHeight="1">
      <c r="A140" s="137"/>
      <c r="B140" s="125"/>
      <c r="C140" s="90"/>
      <c r="D140" s="125"/>
      <c r="E140" s="90"/>
      <c r="F140" s="127"/>
      <c r="G140" s="90"/>
      <c r="H140" s="125"/>
      <c r="I140" s="90"/>
      <c r="J140" s="125"/>
      <c r="K140" s="90"/>
      <c r="L140" s="127"/>
      <c r="M140" s="90"/>
      <c r="N140" s="125"/>
      <c r="O140" s="90"/>
      <c r="P140" s="125"/>
      <c r="Q140" s="90"/>
      <c r="R140" s="125"/>
      <c r="S140" s="90"/>
      <c r="T140" s="125"/>
      <c r="U140" s="90"/>
      <c r="V140" s="127"/>
      <c r="W140" s="90"/>
      <c r="X140" s="127"/>
      <c r="Y140" s="90"/>
      <c r="Z140" s="127"/>
      <c r="AA140" s="128"/>
      <c r="AB140" s="126"/>
      <c r="AC140" s="90"/>
      <c r="AD140" s="127"/>
      <c r="AE140" s="90"/>
      <c r="AF140" s="127"/>
      <c r="AG140" s="90"/>
      <c r="AH140" s="127"/>
      <c r="AI140" s="128"/>
      <c r="AJ140" s="126"/>
      <c r="AK140" s="90"/>
      <c r="AL140" s="94"/>
      <c r="AM140" s="175"/>
      <c r="AN140" s="176"/>
    </row>
    <row r="141" spans="1:40" ht="16.2" customHeight="1">
      <c r="A141" s="138"/>
      <c r="B141" s="91"/>
      <c r="C141" s="91"/>
      <c r="D141" s="91"/>
      <c r="E141" s="91"/>
      <c r="F141" s="95"/>
      <c r="G141" s="91"/>
      <c r="H141" s="91"/>
      <c r="I141" s="91"/>
      <c r="J141" s="91"/>
      <c r="K141" s="91"/>
      <c r="L141" s="95"/>
      <c r="M141" s="91"/>
      <c r="N141" s="91"/>
      <c r="O141" s="91"/>
      <c r="P141" s="91"/>
      <c r="Q141" s="91"/>
      <c r="R141" s="91"/>
      <c r="S141" s="91"/>
      <c r="T141" s="91"/>
      <c r="U141" s="91"/>
      <c r="V141" s="95"/>
      <c r="W141" s="91"/>
      <c r="X141" s="95"/>
      <c r="Y141" s="91"/>
      <c r="Z141" s="95"/>
      <c r="AA141" s="129"/>
      <c r="AB141" s="96"/>
      <c r="AC141" s="91"/>
      <c r="AD141" s="95"/>
      <c r="AE141" s="91"/>
      <c r="AF141" s="95"/>
      <c r="AG141" s="91"/>
      <c r="AH141" s="95"/>
      <c r="AI141" s="129"/>
      <c r="AJ141" s="96"/>
      <c r="AK141" s="91"/>
      <c r="AL141" s="97"/>
      <c r="AM141" s="177"/>
      <c r="AN141" s="178"/>
    </row>
    <row r="142" spans="1:40" ht="16.2" customHeight="1">
      <c r="A142" s="137"/>
      <c r="B142" s="125"/>
      <c r="C142" s="90"/>
      <c r="D142" s="125"/>
      <c r="E142" s="90"/>
      <c r="F142" s="127"/>
      <c r="G142" s="90"/>
      <c r="H142" s="125"/>
      <c r="I142" s="90"/>
      <c r="J142" s="125"/>
      <c r="K142" s="90"/>
      <c r="L142" s="127"/>
      <c r="M142" s="90"/>
      <c r="N142" s="125"/>
      <c r="O142" s="90"/>
      <c r="P142" s="125"/>
      <c r="Q142" s="90"/>
      <c r="R142" s="125"/>
      <c r="S142" s="90"/>
      <c r="T142" s="125"/>
      <c r="U142" s="90"/>
      <c r="V142" s="127"/>
      <c r="W142" s="90"/>
      <c r="X142" s="127"/>
      <c r="Y142" s="90"/>
      <c r="Z142" s="127"/>
      <c r="AA142" s="128"/>
      <c r="AB142" s="126"/>
      <c r="AC142" s="90"/>
      <c r="AD142" s="127"/>
      <c r="AE142" s="90"/>
      <c r="AF142" s="127"/>
      <c r="AG142" s="90"/>
      <c r="AH142" s="127"/>
      <c r="AI142" s="128"/>
      <c r="AJ142" s="126"/>
      <c r="AK142" s="90"/>
      <c r="AL142" s="94"/>
      <c r="AM142" s="175"/>
      <c r="AN142" s="176"/>
    </row>
    <row r="143" spans="1:40" ht="16.2" customHeight="1">
      <c r="A143" s="138"/>
      <c r="B143" s="91"/>
      <c r="C143" s="91"/>
      <c r="D143" s="91"/>
      <c r="E143" s="91"/>
      <c r="F143" s="95"/>
      <c r="G143" s="91"/>
      <c r="H143" s="91"/>
      <c r="I143" s="91"/>
      <c r="J143" s="91"/>
      <c r="K143" s="91"/>
      <c r="L143" s="95"/>
      <c r="M143" s="91"/>
      <c r="N143" s="91"/>
      <c r="O143" s="91"/>
      <c r="P143" s="91"/>
      <c r="Q143" s="91"/>
      <c r="R143" s="91"/>
      <c r="S143" s="91"/>
      <c r="T143" s="91"/>
      <c r="U143" s="91"/>
      <c r="V143" s="95"/>
      <c r="W143" s="91"/>
      <c r="X143" s="95"/>
      <c r="Y143" s="91"/>
      <c r="Z143" s="95"/>
      <c r="AA143" s="129"/>
      <c r="AB143" s="96"/>
      <c r="AC143" s="91"/>
      <c r="AD143" s="95"/>
      <c r="AE143" s="91"/>
      <c r="AF143" s="95"/>
      <c r="AG143" s="91"/>
      <c r="AH143" s="95"/>
      <c r="AI143" s="129"/>
      <c r="AJ143" s="96"/>
      <c r="AK143" s="91"/>
      <c r="AL143" s="97"/>
      <c r="AM143" s="177"/>
      <c r="AN143" s="178"/>
    </row>
    <row r="144" spans="1:40" ht="16.2" customHeight="1">
      <c r="A144" s="137"/>
      <c r="B144" s="125"/>
      <c r="C144" s="90"/>
      <c r="D144" s="125"/>
      <c r="E144" s="90"/>
      <c r="F144" s="127"/>
      <c r="G144" s="90"/>
      <c r="H144" s="125"/>
      <c r="I144" s="90"/>
      <c r="J144" s="125"/>
      <c r="K144" s="90"/>
      <c r="L144" s="127"/>
      <c r="M144" s="90"/>
      <c r="N144" s="125"/>
      <c r="O144" s="90"/>
      <c r="P144" s="125"/>
      <c r="Q144" s="90"/>
      <c r="R144" s="125"/>
      <c r="S144" s="90"/>
      <c r="T144" s="125"/>
      <c r="U144" s="90"/>
      <c r="V144" s="127"/>
      <c r="W144" s="90"/>
      <c r="X144" s="127"/>
      <c r="Y144" s="90"/>
      <c r="Z144" s="127"/>
      <c r="AA144" s="128"/>
      <c r="AB144" s="126"/>
      <c r="AC144" s="90"/>
      <c r="AD144" s="127"/>
      <c r="AE144" s="90"/>
      <c r="AF144" s="127"/>
      <c r="AG144" s="90"/>
      <c r="AH144" s="127"/>
      <c r="AI144" s="128"/>
      <c r="AJ144" s="126"/>
      <c r="AK144" s="90"/>
      <c r="AL144" s="94"/>
      <c r="AM144" s="175"/>
      <c r="AN144" s="176"/>
    </row>
    <row r="145" spans="1:40" ht="16.2" customHeight="1">
      <c r="A145" s="138"/>
      <c r="B145" s="91"/>
      <c r="C145" s="91"/>
      <c r="D145" s="91"/>
      <c r="E145" s="91"/>
      <c r="F145" s="95"/>
      <c r="G145" s="91"/>
      <c r="H145" s="91"/>
      <c r="I145" s="91"/>
      <c r="J145" s="91"/>
      <c r="K145" s="91"/>
      <c r="L145" s="95"/>
      <c r="M145" s="91"/>
      <c r="N145" s="91"/>
      <c r="O145" s="91"/>
      <c r="P145" s="91"/>
      <c r="Q145" s="91"/>
      <c r="R145" s="91"/>
      <c r="S145" s="91"/>
      <c r="T145" s="91"/>
      <c r="U145" s="91"/>
      <c r="V145" s="95"/>
      <c r="W145" s="91"/>
      <c r="X145" s="95"/>
      <c r="Y145" s="91"/>
      <c r="Z145" s="95"/>
      <c r="AA145" s="129"/>
      <c r="AB145" s="96"/>
      <c r="AC145" s="91"/>
      <c r="AD145" s="95"/>
      <c r="AE145" s="91"/>
      <c r="AF145" s="95"/>
      <c r="AG145" s="91"/>
      <c r="AH145" s="95"/>
      <c r="AI145" s="129"/>
      <c r="AJ145" s="96"/>
      <c r="AK145" s="91"/>
      <c r="AL145" s="97"/>
      <c r="AM145" s="177"/>
      <c r="AN145" s="178"/>
    </row>
    <row r="146" spans="1:40" ht="16.2" customHeight="1">
      <c r="A146" s="137"/>
      <c r="B146" s="89"/>
      <c r="C146" s="124"/>
      <c r="D146" s="89"/>
      <c r="E146" s="124"/>
      <c r="F146" s="92"/>
      <c r="G146" s="124"/>
      <c r="H146" s="89"/>
      <c r="I146" s="124"/>
      <c r="J146" s="89"/>
      <c r="K146" s="124"/>
      <c r="L146" s="92"/>
      <c r="M146" s="124"/>
      <c r="N146" s="89"/>
      <c r="O146" s="124"/>
      <c r="P146" s="89"/>
      <c r="Q146" s="124"/>
      <c r="R146" s="89"/>
      <c r="S146" s="124"/>
      <c r="T146" s="89"/>
      <c r="U146" s="124"/>
      <c r="V146" s="92"/>
      <c r="W146" s="124"/>
      <c r="X146" s="93"/>
      <c r="Y146" s="124"/>
      <c r="Z146" s="92"/>
      <c r="AA146" s="130"/>
      <c r="AB146" s="93"/>
      <c r="AC146" s="124"/>
      <c r="AD146" s="92"/>
      <c r="AE146" s="124"/>
      <c r="AF146" s="93"/>
      <c r="AG146" s="124"/>
      <c r="AH146" s="92"/>
      <c r="AI146" s="130"/>
      <c r="AJ146" s="93"/>
      <c r="AK146" s="124"/>
      <c r="AL146" s="94"/>
      <c r="AM146" s="156"/>
      <c r="AN146" s="157"/>
    </row>
    <row r="147" spans="1:40" ht="16.2" customHeight="1">
      <c r="A147" s="138"/>
      <c r="B147" s="91"/>
      <c r="C147" s="91"/>
      <c r="D147" s="91"/>
      <c r="E147" s="91"/>
      <c r="F147" s="95"/>
      <c r="G147" s="91"/>
      <c r="H147" s="91"/>
      <c r="I147" s="91"/>
      <c r="J147" s="91"/>
      <c r="K147" s="91"/>
      <c r="L147" s="95"/>
      <c r="M147" s="91"/>
      <c r="N147" s="91"/>
      <c r="O147" s="91"/>
      <c r="P147" s="91"/>
      <c r="Q147" s="91"/>
      <c r="R147" s="91"/>
      <c r="S147" s="91"/>
      <c r="T147" s="91"/>
      <c r="U147" s="91"/>
      <c r="V147" s="95"/>
      <c r="W147" s="91"/>
      <c r="X147" s="96"/>
      <c r="Y147" s="91"/>
      <c r="Z147" s="95"/>
      <c r="AA147" s="129"/>
      <c r="AB147" s="96"/>
      <c r="AC147" s="91"/>
      <c r="AD147" s="95"/>
      <c r="AE147" s="91"/>
      <c r="AF147" s="96"/>
      <c r="AG147" s="91"/>
      <c r="AH147" s="95"/>
      <c r="AI147" s="129"/>
      <c r="AJ147" s="96"/>
      <c r="AK147" s="91"/>
      <c r="AL147" s="97"/>
      <c r="AM147" s="179"/>
      <c r="AN147" s="180"/>
    </row>
    <row r="148" spans="1:40" ht="16.2" customHeight="1">
      <c r="B148" s="98"/>
      <c r="C148" s="98"/>
      <c r="D148" s="98"/>
      <c r="E148" s="98"/>
      <c r="F148" s="99"/>
      <c r="G148" s="98"/>
      <c r="H148" s="98"/>
      <c r="I148" s="98"/>
      <c r="J148" s="98"/>
      <c r="K148" s="98"/>
      <c r="L148" s="99"/>
      <c r="M148" s="98"/>
      <c r="N148" s="98"/>
      <c r="O148" s="98"/>
      <c r="P148" s="98"/>
      <c r="Q148" s="98"/>
      <c r="R148" s="98"/>
      <c r="S148" s="98"/>
      <c r="T148" s="98"/>
      <c r="U148" s="98"/>
      <c r="V148" s="100"/>
      <c r="W148" s="101"/>
      <c r="X148" s="121"/>
      <c r="Y148" s="98"/>
      <c r="Z148" s="100"/>
      <c r="AA148" s="101"/>
      <c r="AB148" s="121"/>
      <c r="AC148" s="98"/>
      <c r="AD148" s="100"/>
      <c r="AE148" s="101"/>
      <c r="AF148" s="121"/>
      <c r="AG148" s="98"/>
      <c r="AH148" s="100"/>
      <c r="AI148" s="101"/>
      <c r="AJ148" s="121"/>
      <c r="AK148" s="98"/>
      <c r="AL148" s="102"/>
    </row>
    <row r="149" spans="1:40" ht="23.4" customHeight="1">
      <c r="A149" s="140"/>
      <c r="B149" s="103"/>
      <c r="C149" s="103"/>
      <c r="D149" s="103"/>
      <c r="E149" s="103"/>
      <c r="F149" s="104"/>
      <c r="G149" s="105"/>
      <c r="H149" s="103"/>
      <c r="I149" s="105"/>
      <c r="J149" s="103"/>
      <c r="K149" s="103"/>
      <c r="L149" s="104"/>
      <c r="M149" s="105"/>
      <c r="N149" s="103"/>
      <c r="O149" s="105"/>
      <c r="P149" s="103"/>
      <c r="Q149" s="105"/>
      <c r="R149" s="103"/>
      <c r="S149" s="105"/>
      <c r="T149" s="103"/>
      <c r="U149" s="103"/>
      <c r="V149" s="104"/>
      <c r="W149" s="106"/>
      <c r="X149" s="103"/>
      <c r="Y149" s="103"/>
      <c r="Z149" s="104"/>
      <c r="AA149" s="106"/>
      <c r="AB149" s="103"/>
      <c r="AC149" s="103"/>
      <c r="AD149" s="104"/>
      <c r="AE149" s="106"/>
      <c r="AF149" s="103"/>
      <c r="AG149" s="103"/>
      <c r="AH149" s="104"/>
      <c r="AI149" s="106"/>
      <c r="AJ149" s="103"/>
      <c r="AK149" s="103"/>
      <c r="AL149" s="123"/>
    </row>
    <row r="150" spans="1:40" ht="16.2" customHeight="1">
      <c r="A150" s="141"/>
      <c r="B150" s="107"/>
      <c r="C150" s="194"/>
      <c r="D150" s="107"/>
      <c r="E150" s="193"/>
      <c r="F150" s="108"/>
      <c r="G150" s="194"/>
      <c r="H150" s="109"/>
      <c r="I150" s="194"/>
      <c r="J150" s="109"/>
      <c r="K150" s="193"/>
      <c r="L150" s="108"/>
      <c r="M150" s="194"/>
      <c r="N150" s="107"/>
      <c r="O150" s="194"/>
      <c r="P150" s="109"/>
      <c r="Q150" s="194"/>
      <c r="R150" s="109"/>
      <c r="S150" s="194"/>
      <c r="T150" s="109"/>
      <c r="U150" s="193"/>
      <c r="V150" s="108"/>
      <c r="W150" s="192"/>
      <c r="X150" s="110"/>
      <c r="Y150" s="193"/>
      <c r="Z150" s="108"/>
      <c r="AA150" s="192"/>
      <c r="AB150" s="110"/>
      <c r="AC150" s="193"/>
      <c r="AD150" s="108"/>
      <c r="AE150" s="192"/>
      <c r="AF150" s="112"/>
      <c r="AG150" s="193"/>
      <c r="AH150" s="111"/>
      <c r="AI150" s="192"/>
      <c r="AJ150" s="112"/>
      <c r="AK150" s="193"/>
      <c r="AL150" s="113"/>
      <c r="AM150" s="181"/>
      <c r="AN150" s="182"/>
    </row>
    <row r="151" spans="1:40" ht="16.2" customHeight="1">
      <c r="A151" s="141"/>
      <c r="B151" s="107"/>
      <c r="C151" s="188"/>
      <c r="D151" s="107"/>
      <c r="E151" s="184"/>
      <c r="F151" s="108"/>
      <c r="G151" s="188"/>
      <c r="H151" s="109"/>
      <c r="I151" s="188"/>
      <c r="J151" s="109"/>
      <c r="K151" s="184"/>
      <c r="L151" s="108"/>
      <c r="M151" s="188"/>
      <c r="N151" s="107"/>
      <c r="O151" s="188"/>
      <c r="P151" s="109"/>
      <c r="Q151" s="188"/>
      <c r="R151" s="109"/>
      <c r="S151" s="188"/>
      <c r="T151" s="109"/>
      <c r="U151" s="184"/>
      <c r="V151" s="108"/>
      <c r="W151" s="186"/>
      <c r="X151" s="110"/>
      <c r="Y151" s="184"/>
      <c r="Z151" s="108"/>
      <c r="AA151" s="186"/>
      <c r="AB151" s="110"/>
      <c r="AC151" s="184"/>
      <c r="AD151" s="108"/>
      <c r="AE151" s="186"/>
      <c r="AF151" s="112"/>
      <c r="AG151" s="184"/>
      <c r="AH151" s="111"/>
      <c r="AI151" s="186"/>
      <c r="AJ151" s="112"/>
      <c r="AK151" s="184"/>
      <c r="AL151" s="113"/>
      <c r="AM151" s="181"/>
      <c r="AN151" s="182"/>
    </row>
    <row r="152" spans="1:40" ht="16.2" customHeight="1">
      <c r="A152" s="141"/>
      <c r="B152" s="107"/>
      <c r="C152" s="188"/>
      <c r="D152" s="107"/>
      <c r="E152" s="184"/>
      <c r="F152" s="108"/>
      <c r="G152" s="188"/>
      <c r="H152" s="109"/>
      <c r="I152" s="188"/>
      <c r="J152" s="109"/>
      <c r="K152" s="184"/>
      <c r="L152" s="108"/>
      <c r="M152" s="188"/>
      <c r="N152" s="107"/>
      <c r="O152" s="188"/>
      <c r="P152" s="109"/>
      <c r="Q152" s="188"/>
      <c r="R152" s="109"/>
      <c r="S152" s="188"/>
      <c r="T152" s="109"/>
      <c r="U152" s="184"/>
      <c r="V152" s="108"/>
      <c r="W152" s="186"/>
      <c r="X152" s="110"/>
      <c r="Y152" s="184"/>
      <c r="Z152" s="108"/>
      <c r="AA152" s="186"/>
      <c r="AB152" s="110"/>
      <c r="AC152" s="184"/>
      <c r="AD152" s="108"/>
      <c r="AE152" s="186"/>
      <c r="AF152" s="112"/>
      <c r="AG152" s="184"/>
      <c r="AH152" s="111"/>
      <c r="AI152" s="186"/>
      <c r="AJ152" s="112"/>
      <c r="AK152" s="184"/>
      <c r="AL152" s="113"/>
    </row>
    <row r="153" spans="1:40" s="81" customFormat="1" ht="16.2" customHeight="1">
      <c r="A153" s="142"/>
      <c r="B153" s="114"/>
      <c r="C153" s="189"/>
      <c r="D153" s="114"/>
      <c r="E153" s="185"/>
      <c r="F153" s="115"/>
      <c r="G153" s="189"/>
      <c r="H153" s="116"/>
      <c r="I153" s="189"/>
      <c r="J153" s="116"/>
      <c r="K153" s="185"/>
      <c r="L153" s="115"/>
      <c r="M153" s="189"/>
      <c r="N153" s="114"/>
      <c r="O153" s="189"/>
      <c r="P153" s="116"/>
      <c r="Q153" s="189"/>
      <c r="R153" s="116"/>
      <c r="S153" s="189"/>
      <c r="T153" s="116"/>
      <c r="U153" s="185"/>
      <c r="V153" s="115"/>
      <c r="W153" s="187"/>
      <c r="X153" s="117"/>
      <c r="Y153" s="185"/>
      <c r="Z153" s="115"/>
      <c r="AA153" s="187"/>
      <c r="AB153" s="117"/>
      <c r="AC153" s="185"/>
      <c r="AD153" s="115"/>
      <c r="AE153" s="187"/>
      <c r="AF153" s="119"/>
      <c r="AG153" s="185"/>
      <c r="AH153" s="118"/>
      <c r="AI153" s="187"/>
      <c r="AJ153" s="119"/>
      <c r="AK153" s="185"/>
      <c r="AL153" s="120"/>
      <c r="AM153" s="183"/>
      <c r="AN153" s="183"/>
    </row>
    <row r="154" spans="1:40" ht="16.2" customHeight="1">
      <c r="A154" s="143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18"/>
      <c r="D1" s="219"/>
      <c r="E1" s="219"/>
      <c r="F1" s="219"/>
      <c r="G1" s="42"/>
      <c r="H1" s="36"/>
      <c r="I1" s="43"/>
      <c r="J1" s="218"/>
      <c r="K1" s="219"/>
      <c r="L1" s="219"/>
      <c r="M1" s="219"/>
      <c r="N1" s="42"/>
      <c r="O1" s="22"/>
      <c r="P1" s="31"/>
      <c r="Q1" s="43"/>
      <c r="R1" s="218"/>
      <c r="S1" s="219"/>
      <c r="T1" s="219"/>
      <c r="U1" s="219"/>
      <c r="V1" s="42"/>
      <c r="W1" s="36"/>
      <c r="X1" s="43"/>
      <c r="Y1" s="218"/>
      <c r="Z1" s="219"/>
      <c r="AA1" s="219"/>
      <c r="AB1" s="219"/>
      <c r="AC1" s="42"/>
      <c r="AD1" s="22"/>
      <c r="AE1" s="31"/>
      <c r="AF1" s="43"/>
      <c r="AG1" s="218"/>
      <c r="AH1" s="219"/>
      <c r="AI1" s="219"/>
      <c r="AJ1" s="219"/>
      <c r="AK1" s="42"/>
      <c r="AL1" s="36"/>
      <c r="AM1" s="43"/>
      <c r="AN1" s="218"/>
      <c r="AO1" s="219"/>
      <c r="AP1" s="219"/>
      <c r="AQ1" s="219"/>
      <c r="AR1" s="42"/>
      <c r="AS1" s="22"/>
      <c r="AT1" s="31"/>
      <c r="AU1" s="43"/>
      <c r="AV1" s="218"/>
      <c r="AW1" s="219"/>
      <c r="AX1" s="219"/>
      <c r="AY1" s="219"/>
      <c r="AZ1" s="42"/>
      <c r="BA1" s="36"/>
      <c r="BB1" s="43"/>
      <c r="BC1" s="218"/>
      <c r="BD1" s="219"/>
      <c r="BE1" s="219"/>
      <c r="BF1" s="219"/>
      <c r="BG1" s="42"/>
      <c r="BH1" s="22"/>
      <c r="BI1" s="31"/>
      <c r="BJ1" s="43"/>
      <c r="BK1" s="218"/>
      <c r="BL1" s="219"/>
      <c r="BM1" s="219"/>
      <c r="BN1" s="219"/>
      <c r="BO1" s="42"/>
      <c r="BP1" s="36"/>
      <c r="BQ1" s="43"/>
      <c r="BR1" s="218"/>
      <c r="BS1" s="219"/>
      <c r="BT1" s="219"/>
      <c r="BU1" s="219"/>
      <c r="BV1" s="42"/>
      <c r="BW1" s="22"/>
      <c r="BX1" s="31"/>
      <c r="BY1" s="43"/>
      <c r="BZ1" s="218"/>
      <c r="CA1" s="219"/>
      <c r="CB1" s="219"/>
      <c r="CC1" s="219"/>
      <c r="CD1" s="42"/>
      <c r="CE1" s="36"/>
      <c r="CF1" s="43"/>
      <c r="CG1" s="218"/>
      <c r="CH1" s="219"/>
      <c r="CI1" s="219"/>
      <c r="CJ1" s="219"/>
      <c r="CK1" s="42"/>
      <c r="CL1" s="22"/>
      <c r="CM1" s="31"/>
      <c r="CN1" s="43"/>
      <c r="CO1" s="218"/>
      <c r="CP1" s="219"/>
      <c r="CQ1" s="219"/>
      <c r="CR1" s="219"/>
      <c r="CS1" s="42"/>
      <c r="CT1" s="36"/>
      <c r="CU1" s="43"/>
      <c r="CV1" s="218"/>
      <c r="CW1" s="219"/>
      <c r="CX1" s="219"/>
      <c r="CY1" s="219"/>
      <c r="CZ1" s="42"/>
      <c r="DA1" s="22"/>
      <c r="DB1" s="31"/>
      <c r="DC1" s="43"/>
      <c r="DD1" s="218"/>
      <c r="DE1" s="219"/>
      <c r="DF1" s="219"/>
      <c r="DG1" s="219"/>
      <c r="DH1" s="42"/>
      <c r="DI1" s="36"/>
      <c r="DJ1" s="43"/>
      <c r="DK1" s="218"/>
      <c r="DL1" s="219"/>
      <c r="DM1" s="219"/>
      <c r="DN1" s="219"/>
      <c r="DO1" s="42"/>
      <c r="DP1" s="22"/>
      <c r="DQ1" s="31"/>
      <c r="DR1" s="43"/>
      <c r="DS1" s="218"/>
      <c r="DT1" s="219"/>
      <c r="DU1" s="219"/>
      <c r="DV1" s="219"/>
      <c r="DW1" s="42"/>
      <c r="DX1" s="36"/>
      <c r="DY1" s="43"/>
      <c r="DZ1" s="218"/>
      <c r="EA1" s="219"/>
      <c r="EB1" s="219"/>
      <c r="EC1" s="219"/>
      <c r="ED1" s="42"/>
      <c r="EE1" s="22"/>
      <c r="EF1" s="31"/>
      <c r="EG1" s="43"/>
      <c r="EH1" s="218"/>
      <c r="EI1" s="219"/>
      <c r="EJ1" s="219"/>
      <c r="EK1" s="219"/>
      <c r="EL1" s="42"/>
      <c r="EM1" s="36"/>
      <c r="EN1" s="43"/>
      <c r="EO1" s="218"/>
      <c r="EP1" s="219"/>
      <c r="EQ1" s="219"/>
      <c r="ER1" s="219"/>
      <c r="ES1" s="42"/>
      <c r="ET1" s="22"/>
    </row>
    <row r="2" spans="1:150" s="32" customFormat="1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16"/>
      <c r="D3" s="217"/>
      <c r="E3" s="22"/>
      <c r="G3" s="40"/>
      <c r="H3" s="36"/>
      <c r="I3" s="34"/>
      <c r="J3" s="216"/>
      <c r="K3" s="217"/>
      <c r="L3" s="22"/>
      <c r="N3" s="40"/>
      <c r="O3" s="22"/>
      <c r="P3" s="31"/>
      <c r="Q3" s="34"/>
      <c r="R3" s="216"/>
      <c r="S3" s="217"/>
      <c r="T3" s="22"/>
      <c r="V3" s="40"/>
      <c r="W3" s="36"/>
      <c r="X3" s="34"/>
      <c r="Y3" s="216"/>
      <c r="Z3" s="217"/>
      <c r="AA3" s="22"/>
      <c r="AC3" s="40"/>
      <c r="AD3" s="22"/>
      <c r="AE3" s="31"/>
      <c r="AF3" s="34"/>
      <c r="AG3" s="216"/>
      <c r="AH3" s="217"/>
      <c r="AI3" s="22"/>
      <c r="AK3" s="40"/>
      <c r="AL3" s="36"/>
      <c r="AM3" s="34"/>
      <c r="AN3" s="216"/>
      <c r="AO3" s="217"/>
      <c r="AP3" s="22"/>
      <c r="AR3" s="40"/>
      <c r="AS3" s="22"/>
      <c r="AT3" s="31"/>
      <c r="AU3" s="34"/>
      <c r="AV3" s="216"/>
      <c r="AW3" s="217"/>
      <c r="AX3" s="22"/>
      <c r="AZ3" s="40"/>
      <c r="BA3" s="36"/>
      <c r="BB3" s="34"/>
      <c r="BC3" s="216"/>
      <c r="BD3" s="217"/>
      <c r="BE3" s="22"/>
      <c r="BG3" s="40"/>
      <c r="BH3" s="22"/>
      <c r="BI3" s="31"/>
      <c r="BJ3" s="34"/>
      <c r="BK3" s="216"/>
      <c r="BL3" s="217"/>
      <c r="BM3" s="22"/>
      <c r="BO3" s="40"/>
      <c r="BP3" s="36"/>
      <c r="BQ3" s="34"/>
      <c r="BR3" s="216"/>
      <c r="BS3" s="217"/>
      <c r="BT3" s="22"/>
      <c r="BV3" s="40"/>
      <c r="BW3" s="22"/>
      <c r="BX3" s="31"/>
      <c r="BY3" s="34"/>
      <c r="BZ3" s="216"/>
      <c r="CA3" s="217"/>
      <c r="CB3" s="22"/>
      <c r="CD3" s="40"/>
      <c r="CE3" s="36"/>
      <c r="CF3" s="34"/>
      <c r="CG3" s="216"/>
      <c r="CH3" s="217"/>
      <c r="CI3" s="22"/>
      <c r="CK3" s="40"/>
      <c r="CL3" s="22"/>
      <c r="CM3" s="31"/>
      <c r="CN3" s="34"/>
      <c r="CO3" s="216"/>
      <c r="CP3" s="217"/>
      <c r="CQ3" s="22"/>
      <c r="CS3" s="40"/>
      <c r="CT3" s="36"/>
      <c r="CU3" s="34"/>
      <c r="CV3" s="216"/>
      <c r="CW3" s="217"/>
      <c r="CX3" s="22"/>
      <c r="CZ3" s="40"/>
      <c r="DA3" s="22"/>
      <c r="DB3" s="31"/>
      <c r="DC3" s="34"/>
      <c r="DD3" s="216"/>
      <c r="DE3" s="217"/>
      <c r="DF3" s="22"/>
      <c r="DH3" s="40"/>
      <c r="DI3" s="36"/>
      <c r="DJ3" s="34"/>
      <c r="DK3" s="216"/>
      <c r="DL3" s="217"/>
      <c r="DM3" s="22"/>
      <c r="DO3" s="40"/>
      <c r="DP3" s="22"/>
      <c r="DQ3" s="31"/>
      <c r="DR3" s="34"/>
      <c r="DS3" s="216"/>
      <c r="DT3" s="217"/>
      <c r="DU3" s="22"/>
      <c r="DW3" s="40"/>
      <c r="DX3" s="36"/>
      <c r="DY3" s="34"/>
      <c r="DZ3" s="216"/>
      <c r="EA3" s="217"/>
      <c r="EB3" s="22"/>
      <c r="ED3" s="40"/>
      <c r="EE3" s="22"/>
      <c r="EF3" s="31"/>
      <c r="EG3" s="34"/>
      <c r="EH3" s="216"/>
      <c r="EI3" s="217"/>
      <c r="EJ3" s="22"/>
      <c r="EL3" s="40"/>
      <c r="EM3" s="36"/>
      <c r="EN3" s="34"/>
      <c r="EO3" s="216"/>
      <c r="EP3" s="217"/>
      <c r="EQ3" s="22"/>
      <c r="ES3" s="40"/>
      <c r="ET3" s="22"/>
    </row>
    <row r="4" spans="1:150" ht="15.6" customHeight="1">
      <c r="B4" s="25"/>
      <c r="C4" s="222"/>
      <c r="D4" s="223"/>
      <c r="E4" s="50"/>
      <c r="F4" s="225"/>
      <c r="G4" s="226"/>
      <c r="H4" s="26"/>
      <c r="I4" s="25"/>
      <c r="J4" s="222"/>
      <c r="K4" s="223"/>
      <c r="L4" s="50"/>
      <c r="M4" s="225"/>
      <c r="N4" s="226"/>
      <c r="Q4" s="25"/>
      <c r="R4" s="222"/>
      <c r="S4" s="223"/>
      <c r="T4" s="50"/>
      <c r="U4" s="225"/>
      <c r="V4" s="226"/>
      <c r="W4" s="26"/>
      <c r="X4" s="25"/>
      <c r="Y4" s="222"/>
      <c r="Z4" s="223"/>
      <c r="AA4" s="50"/>
      <c r="AB4" s="225"/>
      <c r="AC4" s="226"/>
      <c r="AF4" s="25"/>
      <c r="AG4" s="222"/>
      <c r="AH4" s="223"/>
      <c r="AI4" s="50"/>
      <c r="AJ4" s="225"/>
      <c r="AK4" s="226"/>
      <c r="AL4" s="26"/>
      <c r="AM4" s="25"/>
      <c r="AN4" s="222"/>
      <c r="AO4" s="223"/>
      <c r="AP4" s="50"/>
      <c r="AQ4" s="225"/>
      <c r="AR4" s="226"/>
      <c r="AU4" s="25"/>
      <c r="AV4" s="222"/>
      <c r="AW4" s="223"/>
      <c r="AX4" s="50"/>
      <c r="AY4" s="225"/>
      <c r="AZ4" s="226"/>
      <c r="BA4" s="26"/>
      <c r="BB4" s="25"/>
      <c r="BC4" s="222"/>
      <c r="BD4" s="223"/>
      <c r="BE4" s="50"/>
      <c r="BF4" s="225"/>
      <c r="BG4" s="226"/>
      <c r="BJ4" s="25"/>
      <c r="BK4" s="222"/>
      <c r="BL4" s="223"/>
      <c r="BM4" s="50"/>
      <c r="BN4" s="225"/>
      <c r="BO4" s="226"/>
      <c r="BP4" s="26"/>
      <c r="BQ4" s="25"/>
      <c r="BR4" s="222"/>
      <c r="BS4" s="223"/>
      <c r="BT4" s="50"/>
      <c r="BU4" s="225"/>
      <c r="BV4" s="226"/>
      <c r="BY4" s="25"/>
      <c r="BZ4" s="222"/>
      <c r="CA4" s="223"/>
      <c r="CB4" s="50"/>
      <c r="CC4" s="225"/>
      <c r="CD4" s="226"/>
      <c r="CE4" s="26"/>
      <c r="CF4" s="25"/>
      <c r="CG4" s="222"/>
      <c r="CH4" s="223"/>
      <c r="CI4" s="50"/>
      <c r="CJ4" s="225"/>
      <c r="CK4" s="226"/>
      <c r="CN4" s="25"/>
      <c r="CO4" s="222"/>
      <c r="CP4" s="223"/>
      <c r="CQ4" s="50"/>
      <c r="CR4" s="225"/>
      <c r="CS4" s="226"/>
      <c r="CT4" s="26"/>
      <c r="CU4" s="25"/>
      <c r="CV4" s="222"/>
      <c r="CW4" s="223"/>
      <c r="CX4" s="50"/>
      <c r="CY4" s="225"/>
      <c r="CZ4" s="226"/>
      <c r="DC4" s="25"/>
      <c r="DD4" s="222"/>
      <c r="DE4" s="223"/>
      <c r="DF4" s="50"/>
      <c r="DG4" s="225"/>
      <c r="DH4" s="226"/>
      <c r="DI4" s="26"/>
      <c r="DJ4" s="25"/>
      <c r="DK4" s="222"/>
      <c r="DL4" s="223"/>
      <c r="DM4" s="50"/>
      <c r="DN4" s="225"/>
      <c r="DO4" s="226"/>
      <c r="DR4" s="25"/>
      <c r="DS4" s="222"/>
      <c r="DT4" s="223"/>
      <c r="DU4" s="50"/>
      <c r="DV4" s="225"/>
      <c r="DW4" s="226"/>
      <c r="DX4" s="26"/>
      <c r="DY4" s="25"/>
      <c r="DZ4" s="222"/>
      <c r="EA4" s="223"/>
      <c r="EB4" s="50"/>
      <c r="EC4" s="225"/>
      <c r="ED4" s="226"/>
      <c r="EG4" s="25"/>
      <c r="EH4" s="222"/>
      <c r="EI4" s="223"/>
      <c r="EJ4" s="50"/>
      <c r="EK4" s="225"/>
      <c r="EL4" s="226"/>
      <c r="EM4" s="26"/>
      <c r="EN4" s="25"/>
      <c r="EO4" s="222"/>
      <c r="EP4" s="223"/>
      <c r="EQ4" s="50"/>
      <c r="ER4" s="225"/>
      <c r="ES4" s="226"/>
    </row>
    <row r="5" spans="1:150" ht="15.6" customHeight="1">
      <c r="B5" s="27"/>
      <c r="C5" s="224"/>
      <c r="D5" s="224"/>
      <c r="E5" s="44"/>
      <c r="F5" s="224"/>
      <c r="G5" s="221"/>
      <c r="H5" s="26"/>
      <c r="I5" s="27"/>
      <c r="J5" s="224"/>
      <c r="K5" s="224"/>
      <c r="L5" s="44"/>
      <c r="M5" s="224"/>
      <c r="N5" s="221"/>
      <c r="Q5" s="27"/>
      <c r="R5" s="224"/>
      <c r="S5" s="224"/>
      <c r="T5" s="44"/>
      <c r="U5" s="224"/>
      <c r="V5" s="221"/>
      <c r="W5" s="26"/>
      <c r="X5" s="27"/>
      <c r="Y5" s="224"/>
      <c r="Z5" s="224"/>
      <c r="AA5" s="44"/>
      <c r="AB5" s="224"/>
      <c r="AC5" s="221"/>
      <c r="AF5" s="27"/>
      <c r="AG5" s="224"/>
      <c r="AH5" s="224"/>
      <c r="AI5" s="44"/>
      <c r="AJ5" s="224"/>
      <c r="AK5" s="221"/>
      <c r="AL5" s="26"/>
      <c r="AM5" s="27"/>
      <c r="AN5" s="224"/>
      <c r="AO5" s="224"/>
      <c r="AP5" s="44"/>
      <c r="AQ5" s="224"/>
      <c r="AR5" s="221"/>
      <c r="AU5" s="27"/>
      <c r="AV5" s="224"/>
      <c r="AW5" s="224"/>
      <c r="AX5" s="44"/>
      <c r="AY5" s="224"/>
      <c r="AZ5" s="221"/>
      <c r="BA5" s="26"/>
      <c r="BB5" s="27"/>
      <c r="BC5" s="224"/>
      <c r="BD5" s="224"/>
      <c r="BE5" s="44"/>
      <c r="BF5" s="224"/>
      <c r="BG5" s="221"/>
      <c r="BJ5" s="27"/>
      <c r="BK5" s="224"/>
      <c r="BL5" s="224"/>
      <c r="BM5" s="44"/>
      <c r="BN5" s="224"/>
      <c r="BO5" s="221"/>
      <c r="BP5" s="26"/>
      <c r="BQ5" s="27"/>
      <c r="BR5" s="224"/>
      <c r="BS5" s="224"/>
      <c r="BT5" s="44"/>
      <c r="BU5" s="224"/>
      <c r="BV5" s="221"/>
      <c r="BY5" s="27"/>
      <c r="BZ5" s="224"/>
      <c r="CA5" s="224"/>
      <c r="CB5" s="44"/>
      <c r="CC5" s="224"/>
      <c r="CD5" s="221"/>
      <c r="CE5" s="26"/>
      <c r="CF5" s="27"/>
      <c r="CG5" s="224"/>
      <c r="CH5" s="224"/>
      <c r="CI5" s="44"/>
      <c r="CJ5" s="224"/>
      <c r="CK5" s="221"/>
      <c r="CN5" s="27"/>
      <c r="CO5" s="224"/>
      <c r="CP5" s="224"/>
      <c r="CQ5" s="44"/>
      <c r="CR5" s="224"/>
      <c r="CS5" s="221"/>
      <c r="CT5" s="26"/>
      <c r="CU5" s="27"/>
      <c r="CV5" s="224"/>
      <c r="CW5" s="224"/>
      <c r="CX5" s="44"/>
      <c r="CY5" s="224"/>
      <c r="CZ5" s="221"/>
      <c r="DC5" s="27"/>
      <c r="DD5" s="224"/>
      <c r="DE5" s="224"/>
      <c r="DF5" s="44"/>
      <c r="DG5" s="224"/>
      <c r="DH5" s="221"/>
      <c r="DI5" s="26"/>
      <c r="DJ5" s="27"/>
      <c r="DK5" s="224"/>
      <c r="DL5" s="224"/>
      <c r="DM5" s="44"/>
      <c r="DN5" s="224"/>
      <c r="DO5" s="221"/>
      <c r="DR5" s="27"/>
      <c r="DS5" s="224"/>
      <c r="DT5" s="224"/>
      <c r="DU5" s="44"/>
      <c r="DV5" s="224"/>
      <c r="DW5" s="221"/>
      <c r="DX5" s="26"/>
      <c r="DY5" s="27"/>
      <c r="DZ5" s="224"/>
      <c r="EA5" s="224"/>
      <c r="EB5" s="44"/>
      <c r="EC5" s="224"/>
      <c r="ED5" s="221"/>
      <c r="EG5" s="27"/>
      <c r="EH5" s="224"/>
      <c r="EI5" s="224"/>
      <c r="EJ5" s="44"/>
      <c r="EK5" s="224"/>
      <c r="EL5" s="221"/>
      <c r="EM5" s="26"/>
      <c r="EN5" s="27"/>
      <c r="EO5" s="224"/>
      <c r="EP5" s="224"/>
      <c r="EQ5" s="44"/>
      <c r="ER5" s="224"/>
      <c r="ES5" s="221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27"/>
      <c r="C7" s="221"/>
      <c r="D7" s="227"/>
      <c r="E7" s="221"/>
      <c r="F7" s="220"/>
      <c r="G7" s="221"/>
      <c r="I7" s="227"/>
      <c r="J7" s="221"/>
      <c r="K7" s="227"/>
      <c r="L7" s="221"/>
      <c r="M7" s="220"/>
      <c r="N7" s="221"/>
      <c r="Q7" s="227"/>
      <c r="R7" s="221"/>
      <c r="S7" s="227"/>
      <c r="T7" s="221"/>
      <c r="U7" s="220"/>
      <c r="V7" s="221"/>
      <c r="X7" s="227"/>
      <c r="Y7" s="221"/>
      <c r="Z7" s="227"/>
      <c r="AA7" s="221"/>
      <c r="AB7" s="220"/>
      <c r="AC7" s="221"/>
      <c r="AF7" s="227"/>
      <c r="AG7" s="221"/>
      <c r="AH7" s="227"/>
      <c r="AI7" s="221"/>
      <c r="AJ7" s="220"/>
      <c r="AK7" s="221"/>
      <c r="AM7" s="227"/>
      <c r="AN7" s="221"/>
      <c r="AO7" s="227"/>
      <c r="AP7" s="221"/>
      <c r="AQ7" s="220"/>
      <c r="AR7" s="221"/>
      <c r="AU7" s="227"/>
      <c r="AV7" s="221"/>
      <c r="AW7" s="227"/>
      <c r="AX7" s="221"/>
      <c r="AY7" s="220"/>
      <c r="AZ7" s="221"/>
      <c r="BB7" s="227"/>
      <c r="BC7" s="221"/>
      <c r="BD7" s="227"/>
      <c r="BE7" s="221"/>
      <c r="BF7" s="220"/>
      <c r="BG7" s="221"/>
      <c r="BJ7" s="227"/>
      <c r="BK7" s="221"/>
      <c r="BL7" s="227"/>
      <c r="BM7" s="221"/>
      <c r="BN7" s="220"/>
      <c r="BO7" s="221"/>
      <c r="BQ7" s="227"/>
      <c r="BR7" s="221"/>
      <c r="BS7" s="227"/>
      <c r="BT7" s="221"/>
      <c r="BU7" s="220"/>
      <c r="BV7" s="221"/>
      <c r="BY7" s="227"/>
      <c r="BZ7" s="221"/>
      <c r="CA7" s="227"/>
      <c r="CB7" s="221"/>
      <c r="CC7" s="220"/>
      <c r="CD7" s="221"/>
      <c r="CF7" s="227"/>
      <c r="CG7" s="221"/>
      <c r="CH7" s="227"/>
      <c r="CI7" s="221"/>
      <c r="CJ7" s="220"/>
      <c r="CK7" s="221"/>
      <c r="CN7" s="227"/>
      <c r="CO7" s="221"/>
      <c r="CP7" s="227"/>
      <c r="CQ7" s="221"/>
      <c r="CR7" s="220"/>
      <c r="CS7" s="221"/>
      <c r="CU7" s="227"/>
      <c r="CV7" s="221"/>
      <c r="CW7" s="227"/>
      <c r="CX7" s="221"/>
      <c r="CY7" s="220"/>
      <c r="CZ7" s="221"/>
      <c r="DC7" s="227"/>
      <c r="DD7" s="221"/>
      <c r="DE7" s="227"/>
      <c r="DF7" s="221"/>
      <c r="DG7" s="220"/>
      <c r="DH7" s="221"/>
      <c r="DJ7" s="227"/>
      <c r="DK7" s="221"/>
      <c r="DL7" s="227"/>
      <c r="DM7" s="221"/>
      <c r="DN7" s="220"/>
      <c r="DO7" s="221"/>
      <c r="DR7" s="227"/>
      <c r="DS7" s="221"/>
      <c r="DT7" s="227"/>
      <c r="DU7" s="221"/>
      <c r="DV7" s="220"/>
      <c r="DW7" s="221"/>
      <c r="DY7" s="227"/>
      <c r="DZ7" s="221"/>
      <c r="EA7" s="227"/>
      <c r="EB7" s="221"/>
      <c r="EC7" s="220"/>
      <c r="ED7" s="221"/>
      <c r="EG7" s="227"/>
      <c r="EH7" s="221"/>
      <c r="EI7" s="227"/>
      <c r="EJ7" s="221"/>
      <c r="EK7" s="220"/>
      <c r="EL7" s="221"/>
      <c r="EN7" s="227"/>
      <c r="EO7" s="221"/>
      <c r="EP7" s="227"/>
      <c r="EQ7" s="221"/>
      <c r="ER7" s="220"/>
      <c r="ES7" s="221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18"/>
      <c r="D9" s="219"/>
      <c r="E9" s="219"/>
      <c r="F9" s="219"/>
      <c r="G9" s="42"/>
      <c r="H9" s="36"/>
      <c r="I9" s="43"/>
      <c r="J9" s="218"/>
      <c r="K9" s="219"/>
      <c r="L9" s="219"/>
      <c r="M9" s="219"/>
      <c r="N9" s="42"/>
      <c r="O9" s="22"/>
      <c r="P9" s="31"/>
      <c r="Q9" s="43"/>
      <c r="R9" s="218"/>
      <c r="S9" s="219"/>
      <c r="T9" s="219"/>
      <c r="U9" s="219"/>
      <c r="V9" s="42"/>
      <c r="W9" s="36"/>
      <c r="X9" s="43"/>
      <c r="Y9" s="218"/>
      <c r="Z9" s="219"/>
      <c r="AA9" s="219"/>
      <c r="AB9" s="219"/>
      <c r="AC9" s="42"/>
      <c r="AD9" s="22"/>
      <c r="AE9" s="31"/>
      <c r="AF9" s="43"/>
      <c r="AG9" s="218"/>
      <c r="AH9" s="219"/>
      <c r="AI9" s="219"/>
      <c r="AJ9" s="219"/>
      <c r="AK9" s="42"/>
      <c r="AL9" s="36"/>
      <c r="AM9" s="43"/>
      <c r="AN9" s="218"/>
      <c r="AO9" s="219"/>
      <c r="AP9" s="219"/>
      <c r="AQ9" s="219"/>
      <c r="AR9" s="42"/>
      <c r="AS9" s="22"/>
      <c r="AT9" s="31"/>
      <c r="AU9" s="43"/>
      <c r="AV9" s="218"/>
      <c r="AW9" s="219"/>
      <c r="AX9" s="219"/>
      <c r="AY9" s="219"/>
      <c r="AZ9" s="42"/>
      <c r="BA9" s="36"/>
      <c r="BB9" s="43"/>
      <c r="BC9" s="218"/>
      <c r="BD9" s="219"/>
      <c r="BE9" s="219"/>
      <c r="BF9" s="219"/>
      <c r="BG9" s="42"/>
      <c r="BH9" s="22"/>
      <c r="BI9" s="31"/>
      <c r="BJ9" s="43"/>
      <c r="BK9" s="218"/>
      <c r="BL9" s="219"/>
      <c r="BM9" s="219"/>
      <c r="BN9" s="219"/>
      <c r="BO9" s="42"/>
      <c r="BP9" s="36"/>
      <c r="BQ9" s="43"/>
      <c r="BR9" s="218"/>
      <c r="BS9" s="219"/>
      <c r="BT9" s="219"/>
      <c r="BU9" s="219"/>
      <c r="BV9" s="42"/>
      <c r="BW9" s="22"/>
      <c r="BX9" s="31"/>
      <c r="BY9" s="43"/>
      <c r="BZ9" s="218"/>
      <c r="CA9" s="219"/>
      <c r="CB9" s="219"/>
      <c r="CC9" s="219"/>
      <c r="CD9" s="42"/>
      <c r="CE9" s="36"/>
      <c r="CF9" s="43"/>
      <c r="CG9" s="218"/>
      <c r="CH9" s="219"/>
      <c r="CI9" s="219"/>
      <c r="CJ9" s="219"/>
      <c r="CK9" s="42"/>
      <c r="CL9" s="22"/>
      <c r="CM9" s="31"/>
      <c r="CN9" s="43"/>
      <c r="CO9" s="218"/>
      <c r="CP9" s="219"/>
      <c r="CQ9" s="219"/>
      <c r="CR9" s="219"/>
      <c r="CS9" s="42"/>
      <c r="CT9" s="36"/>
      <c r="CU9" s="43"/>
      <c r="CV9" s="218"/>
      <c r="CW9" s="219"/>
      <c r="CX9" s="219"/>
      <c r="CY9" s="219"/>
      <c r="CZ9" s="42"/>
      <c r="DA9" s="22"/>
      <c r="DB9" s="31"/>
      <c r="DC9" s="43"/>
      <c r="DD9" s="218"/>
      <c r="DE9" s="219"/>
      <c r="DF9" s="219"/>
      <c r="DG9" s="219"/>
      <c r="DH9" s="42"/>
      <c r="DI9" s="36"/>
      <c r="DJ9" s="43"/>
      <c r="DK9" s="218"/>
      <c r="DL9" s="219"/>
      <c r="DM9" s="219"/>
      <c r="DN9" s="219"/>
      <c r="DO9" s="42"/>
      <c r="DP9" s="22"/>
      <c r="DQ9" s="31"/>
      <c r="DR9" s="43"/>
      <c r="DS9" s="218"/>
      <c r="DT9" s="219"/>
      <c r="DU9" s="219"/>
      <c r="DV9" s="219"/>
      <c r="DW9" s="42"/>
      <c r="DX9" s="36"/>
      <c r="DY9" s="43"/>
      <c r="DZ9" s="218"/>
      <c r="EA9" s="219"/>
      <c r="EB9" s="219"/>
      <c r="EC9" s="219"/>
      <c r="ED9" s="42"/>
      <c r="EE9" s="22"/>
      <c r="EF9" s="31"/>
      <c r="EG9" s="43"/>
      <c r="EH9" s="218"/>
      <c r="EI9" s="219"/>
      <c r="EJ9" s="219"/>
      <c r="EK9" s="219"/>
      <c r="EL9" s="42"/>
      <c r="EM9" s="36"/>
      <c r="EN9" s="43"/>
      <c r="EO9" s="218"/>
      <c r="EP9" s="219"/>
      <c r="EQ9" s="219"/>
      <c r="ER9" s="219"/>
      <c r="ES9" s="42"/>
      <c r="ET9" s="22"/>
    </row>
    <row r="10" spans="1:150" s="32" customFormat="1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16"/>
      <c r="D11" s="217"/>
      <c r="E11" s="22"/>
      <c r="G11" s="40"/>
      <c r="H11" s="36"/>
      <c r="I11" s="34"/>
      <c r="J11" s="216"/>
      <c r="K11" s="217"/>
      <c r="L11" s="22"/>
      <c r="N11" s="40"/>
      <c r="O11" s="22"/>
      <c r="P11" s="31"/>
      <c r="Q11" s="34"/>
      <c r="R11" s="216"/>
      <c r="S11" s="217"/>
      <c r="T11" s="22"/>
      <c r="V11" s="40"/>
      <c r="W11" s="36"/>
      <c r="X11" s="34"/>
      <c r="Y11" s="216"/>
      <c r="Z11" s="217"/>
      <c r="AA11" s="22"/>
      <c r="AC11" s="40"/>
      <c r="AD11" s="22"/>
      <c r="AE11" s="31"/>
      <c r="AF11" s="34"/>
      <c r="AG11" s="216"/>
      <c r="AH11" s="217"/>
      <c r="AI11" s="22"/>
      <c r="AK11" s="40"/>
      <c r="AL11" s="36"/>
      <c r="AM11" s="34"/>
      <c r="AN11" s="216"/>
      <c r="AO11" s="217"/>
      <c r="AP11" s="22"/>
      <c r="AR11" s="40"/>
      <c r="AS11" s="22"/>
      <c r="AT11" s="31"/>
      <c r="AU11" s="34"/>
      <c r="AV11" s="216"/>
      <c r="AW11" s="217"/>
      <c r="AX11" s="22"/>
      <c r="AZ11" s="40"/>
      <c r="BA11" s="36"/>
      <c r="BB11" s="34"/>
      <c r="BC11" s="216"/>
      <c r="BD11" s="217"/>
      <c r="BE11" s="22"/>
      <c r="BG11" s="40"/>
      <c r="BH11" s="22"/>
      <c r="BI11" s="31"/>
      <c r="BJ11" s="34"/>
      <c r="BK11" s="216"/>
      <c r="BL11" s="217"/>
      <c r="BM11" s="22"/>
      <c r="BO11" s="40"/>
      <c r="BP11" s="36"/>
      <c r="BQ11" s="34"/>
      <c r="BR11" s="216"/>
      <c r="BS11" s="217"/>
      <c r="BT11" s="22"/>
      <c r="BV11" s="40"/>
      <c r="BW11" s="22"/>
      <c r="BX11" s="31"/>
      <c r="BY11" s="34"/>
      <c r="BZ11" s="216"/>
      <c r="CA11" s="217"/>
      <c r="CB11" s="22"/>
      <c r="CD11" s="40"/>
      <c r="CE11" s="36"/>
      <c r="CF11" s="34"/>
      <c r="CG11" s="216"/>
      <c r="CH11" s="217"/>
      <c r="CI11" s="22"/>
      <c r="CK11" s="40"/>
      <c r="CL11" s="22"/>
      <c r="CM11" s="31"/>
      <c r="CN11" s="34"/>
      <c r="CO11" s="216"/>
      <c r="CP11" s="217"/>
      <c r="CQ11" s="22"/>
      <c r="CS11" s="40"/>
      <c r="CT11" s="36"/>
      <c r="CU11" s="34"/>
      <c r="CV11" s="216"/>
      <c r="CW11" s="217"/>
      <c r="CX11" s="22"/>
      <c r="CZ11" s="40"/>
      <c r="DA11" s="22"/>
      <c r="DB11" s="31"/>
      <c r="DC11" s="34"/>
      <c r="DD11" s="216"/>
      <c r="DE11" s="217"/>
      <c r="DF11" s="22"/>
      <c r="DH11" s="40"/>
      <c r="DI11" s="36"/>
      <c r="DJ11" s="34"/>
      <c r="DK11" s="216"/>
      <c r="DL11" s="217"/>
      <c r="DM11" s="22"/>
      <c r="DO11" s="40"/>
      <c r="DP11" s="22"/>
      <c r="DQ11" s="31"/>
      <c r="DR11" s="34"/>
      <c r="DS11" s="216"/>
      <c r="DT11" s="217"/>
      <c r="DU11" s="22"/>
      <c r="DW11" s="40"/>
      <c r="DX11" s="36"/>
      <c r="DY11" s="34"/>
      <c r="DZ11" s="216"/>
      <c r="EA11" s="217"/>
      <c r="EB11" s="22"/>
      <c r="ED11" s="40"/>
      <c r="EE11" s="22"/>
      <c r="EF11" s="31"/>
      <c r="EG11" s="34"/>
      <c r="EH11" s="216"/>
      <c r="EI11" s="217"/>
      <c r="EJ11" s="22"/>
      <c r="EL11" s="40"/>
      <c r="EM11" s="36"/>
      <c r="EN11" s="34"/>
      <c r="EO11" s="216"/>
      <c r="EP11" s="217"/>
      <c r="EQ11" s="22"/>
      <c r="ES11" s="40"/>
      <c r="ET11" s="22"/>
    </row>
    <row r="12" spans="1:150" ht="15.6" customHeight="1">
      <c r="B12" s="25"/>
      <c r="C12" s="222"/>
      <c r="D12" s="223"/>
      <c r="E12" s="50"/>
      <c r="F12" s="225"/>
      <c r="G12" s="226"/>
      <c r="H12" s="26"/>
      <c r="I12" s="25"/>
      <c r="J12" s="222"/>
      <c r="K12" s="223"/>
      <c r="L12" s="50"/>
      <c r="M12" s="225"/>
      <c r="N12" s="226"/>
      <c r="Q12" s="25"/>
      <c r="R12" s="222"/>
      <c r="S12" s="223"/>
      <c r="T12" s="50"/>
      <c r="U12" s="225"/>
      <c r="V12" s="226"/>
      <c r="W12" s="26"/>
      <c r="X12" s="25"/>
      <c r="Y12" s="222"/>
      <c r="Z12" s="223"/>
      <c r="AA12" s="50"/>
      <c r="AB12" s="225"/>
      <c r="AC12" s="226"/>
      <c r="AF12" s="25"/>
      <c r="AG12" s="222"/>
      <c r="AH12" s="223"/>
      <c r="AI12" s="50"/>
      <c r="AJ12" s="225"/>
      <c r="AK12" s="226"/>
      <c r="AL12" s="26"/>
      <c r="AM12" s="25"/>
      <c r="AN12" s="222"/>
      <c r="AO12" s="223"/>
      <c r="AP12" s="50"/>
      <c r="AQ12" s="225"/>
      <c r="AR12" s="226"/>
      <c r="AU12" s="25"/>
      <c r="AV12" s="222"/>
      <c r="AW12" s="223"/>
      <c r="AX12" s="50"/>
      <c r="AY12" s="225"/>
      <c r="AZ12" s="226"/>
      <c r="BA12" s="26"/>
      <c r="BB12" s="25"/>
      <c r="BC12" s="222"/>
      <c r="BD12" s="223"/>
      <c r="BE12" s="50"/>
      <c r="BF12" s="225"/>
      <c r="BG12" s="226"/>
      <c r="BJ12" s="25"/>
      <c r="BK12" s="222"/>
      <c r="BL12" s="223"/>
      <c r="BM12" s="50"/>
      <c r="BN12" s="225"/>
      <c r="BO12" s="226"/>
      <c r="BP12" s="26"/>
      <c r="BQ12" s="25"/>
      <c r="BR12" s="222"/>
      <c r="BS12" s="223"/>
      <c r="BT12" s="50"/>
      <c r="BU12" s="225"/>
      <c r="BV12" s="226"/>
      <c r="BY12" s="25"/>
      <c r="BZ12" s="222"/>
      <c r="CA12" s="223"/>
      <c r="CB12" s="50"/>
      <c r="CC12" s="225"/>
      <c r="CD12" s="226"/>
      <c r="CE12" s="26"/>
      <c r="CF12" s="25"/>
      <c r="CG12" s="222"/>
      <c r="CH12" s="223"/>
      <c r="CI12" s="50"/>
      <c r="CJ12" s="225"/>
      <c r="CK12" s="226"/>
      <c r="CN12" s="25"/>
      <c r="CO12" s="222"/>
      <c r="CP12" s="223"/>
      <c r="CQ12" s="50"/>
      <c r="CR12" s="225"/>
      <c r="CS12" s="226"/>
      <c r="CT12" s="26"/>
      <c r="CU12" s="25"/>
      <c r="CV12" s="222"/>
      <c r="CW12" s="223"/>
      <c r="CX12" s="50"/>
      <c r="CY12" s="225"/>
      <c r="CZ12" s="226"/>
      <c r="DC12" s="25"/>
      <c r="DD12" s="222"/>
      <c r="DE12" s="223"/>
      <c r="DF12" s="50"/>
      <c r="DG12" s="225"/>
      <c r="DH12" s="226"/>
      <c r="DI12" s="26"/>
      <c r="DJ12" s="25"/>
      <c r="DK12" s="222"/>
      <c r="DL12" s="223"/>
      <c r="DM12" s="50"/>
      <c r="DN12" s="225"/>
      <c r="DO12" s="226"/>
      <c r="DR12" s="25"/>
      <c r="DS12" s="222"/>
      <c r="DT12" s="223"/>
      <c r="DU12" s="50"/>
      <c r="DV12" s="225"/>
      <c r="DW12" s="226"/>
      <c r="DX12" s="26"/>
      <c r="DY12" s="25"/>
      <c r="DZ12" s="222"/>
      <c r="EA12" s="223"/>
      <c r="EB12" s="50"/>
      <c r="EC12" s="225"/>
      <c r="ED12" s="226"/>
      <c r="EG12" s="25"/>
      <c r="EH12" s="222"/>
      <c r="EI12" s="223"/>
      <c r="EJ12" s="50"/>
      <c r="EK12" s="225"/>
      <c r="EL12" s="226"/>
      <c r="EM12" s="26"/>
      <c r="EN12" s="25"/>
      <c r="EO12" s="222"/>
      <c r="EP12" s="223"/>
      <c r="EQ12" s="50"/>
      <c r="ER12" s="225"/>
      <c r="ES12" s="226"/>
    </row>
    <row r="13" spans="1:150" ht="15.6" customHeight="1">
      <c r="B13" s="27"/>
      <c r="C13" s="224"/>
      <c r="D13" s="224"/>
      <c r="E13" s="44"/>
      <c r="F13" s="224"/>
      <c r="G13" s="221"/>
      <c r="H13" s="26"/>
      <c r="I13" s="27"/>
      <c r="J13" s="224"/>
      <c r="K13" s="224"/>
      <c r="L13" s="44"/>
      <c r="M13" s="224"/>
      <c r="N13" s="221"/>
      <c r="Q13" s="27"/>
      <c r="R13" s="224"/>
      <c r="S13" s="224"/>
      <c r="T13" s="44"/>
      <c r="U13" s="224"/>
      <c r="V13" s="221"/>
      <c r="W13" s="26"/>
      <c r="X13" s="27"/>
      <c r="Y13" s="224"/>
      <c r="Z13" s="224"/>
      <c r="AA13" s="44"/>
      <c r="AB13" s="224"/>
      <c r="AC13" s="221"/>
      <c r="AF13" s="27"/>
      <c r="AG13" s="224"/>
      <c r="AH13" s="224"/>
      <c r="AI13" s="44"/>
      <c r="AJ13" s="224"/>
      <c r="AK13" s="221"/>
      <c r="AL13" s="26"/>
      <c r="AM13" s="27"/>
      <c r="AN13" s="224"/>
      <c r="AO13" s="224"/>
      <c r="AP13" s="44"/>
      <c r="AQ13" s="224"/>
      <c r="AR13" s="221"/>
      <c r="AU13" s="27"/>
      <c r="AV13" s="224"/>
      <c r="AW13" s="224"/>
      <c r="AX13" s="44"/>
      <c r="AY13" s="224"/>
      <c r="AZ13" s="221"/>
      <c r="BA13" s="26"/>
      <c r="BB13" s="27"/>
      <c r="BC13" s="224"/>
      <c r="BD13" s="224"/>
      <c r="BE13" s="44"/>
      <c r="BF13" s="224"/>
      <c r="BG13" s="221"/>
      <c r="BJ13" s="27"/>
      <c r="BK13" s="224"/>
      <c r="BL13" s="224"/>
      <c r="BM13" s="44"/>
      <c r="BN13" s="224"/>
      <c r="BO13" s="221"/>
      <c r="BP13" s="26"/>
      <c r="BQ13" s="27"/>
      <c r="BR13" s="224"/>
      <c r="BS13" s="224"/>
      <c r="BT13" s="44"/>
      <c r="BU13" s="224"/>
      <c r="BV13" s="221"/>
      <c r="BY13" s="27"/>
      <c r="BZ13" s="224"/>
      <c r="CA13" s="224"/>
      <c r="CB13" s="44"/>
      <c r="CC13" s="224"/>
      <c r="CD13" s="221"/>
      <c r="CE13" s="26"/>
      <c r="CF13" s="27"/>
      <c r="CG13" s="224"/>
      <c r="CH13" s="224"/>
      <c r="CI13" s="44"/>
      <c r="CJ13" s="224"/>
      <c r="CK13" s="221"/>
      <c r="CN13" s="27"/>
      <c r="CO13" s="224"/>
      <c r="CP13" s="224"/>
      <c r="CQ13" s="44"/>
      <c r="CR13" s="224"/>
      <c r="CS13" s="221"/>
      <c r="CT13" s="26"/>
      <c r="CU13" s="27"/>
      <c r="CV13" s="224"/>
      <c r="CW13" s="224"/>
      <c r="CX13" s="44"/>
      <c r="CY13" s="224"/>
      <c r="CZ13" s="221"/>
      <c r="DC13" s="27"/>
      <c r="DD13" s="224"/>
      <c r="DE13" s="224"/>
      <c r="DF13" s="44"/>
      <c r="DG13" s="224"/>
      <c r="DH13" s="221"/>
      <c r="DI13" s="26"/>
      <c r="DJ13" s="27"/>
      <c r="DK13" s="224"/>
      <c r="DL13" s="224"/>
      <c r="DM13" s="44"/>
      <c r="DN13" s="224"/>
      <c r="DO13" s="221"/>
      <c r="DR13" s="27"/>
      <c r="DS13" s="224"/>
      <c r="DT13" s="224"/>
      <c r="DU13" s="44"/>
      <c r="DV13" s="224"/>
      <c r="DW13" s="221"/>
      <c r="DX13" s="26"/>
      <c r="DY13" s="27"/>
      <c r="DZ13" s="224"/>
      <c r="EA13" s="224"/>
      <c r="EB13" s="44"/>
      <c r="EC13" s="224"/>
      <c r="ED13" s="221"/>
      <c r="EG13" s="27"/>
      <c r="EH13" s="224"/>
      <c r="EI13" s="224"/>
      <c r="EJ13" s="44"/>
      <c r="EK13" s="224"/>
      <c r="EL13" s="221"/>
      <c r="EM13" s="26"/>
      <c r="EN13" s="27"/>
      <c r="EO13" s="224"/>
      <c r="EP13" s="224"/>
      <c r="EQ13" s="44"/>
      <c r="ER13" s="224"/>
      <c r="ES13" s="221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27"/>
      <c r="C15" s="221"/>
      <c r="D15" s="227"/>
      <c r="E15" s="221"/>
      <c r="F15" s="220"/>
      <c r="G15" s="221"/>
      <c r="I15" s="227"/>
      <c r="J15" s="221"/>
      <c r="K15" s="227"/>
      <c r="L15" s="221"/>
      <c r="M15" s="220"/>
      <c r="N15" s="221"/>
      <c r="Q15" s="227"/>
      <c r="R15" s="221"/>
      <c r="S15" s="227"/>
      <c r="T15" s="221"/>
      <c r="U15" s="220"/>
      <c r="V15" s="221"/>
      <c r="X15" s="227"/>
      <c r="Y15" s="221"/>
      <c r="Z15" s="227"/>
      <c r="AA15" s="221"/>
      <c r="AB15" s="220"/>
      <c r="AC15" s="221"/>
      <c r="AF15" s="227"/>
      <c r="AG15" s="221"/>
      <c r="AH15" s="227"/>
      <c r="AI15" s="221"/>
      <c r="AJ15" s="220"/>
      <c r="AK15" s="221"/>
      <c r="AM15" s="227"/>
      <c r="AN15" s="221"/>
      <c r="AO15" s="227"/>
      <c r="AP15" s="221"/>
      <c r="AQ15" s="220"/>
      <c r="AR15" s="221"/>
      <c r="AU15" s="227"/>
      <c r="AV15" s="221"/>
      <c r="AW15" s="227"/>
      <c r="AX15" s="221"/>
      <c r="AY15" s="220"/>
      <c r="AZ15" s="221"/>
      <c r="BB15" s="227"/>
      <c r="BC15" s="221"/>
      <c r="BD15" s="227"/>
      <c r="BE15" s="221"/>
      <c r="BF15" s="220"/>
      <c r="BG15" s="221"/>
      <c r="BJ15" s="227"/>
      <c r="BK15" s="221"/>
      <c r="BL15" s="227"/>
      <c r="BM15" s="221"/>
      <c r="BN15" s="220"/>
      <c r="BO15" s="221"/>
      <c r="BQ15" s="227"/>
      <c r="BR15" s="221"/>
      <c r="BS15" s="227"/>
      <c r="BT15" s="221"/>
      <c r="BU15" s="220"/>
      <c r="BV15" s="221"/>
      <c r="BY15" s="227"/>
      <c r="BZ15" s="221"/>
      <c r="CA15" s="227"/>
      <c r="CB15" s="221"/>
      <c r="CC15" s="220"/>
      <c r="CD15" s="221"/>
      <c r="CF15" s="227"/>
      <c r="CG15" s="221"/>
      <c r="CH15" s="227"/>
      <c r="CI15" s="221"/>
      <c r="CJ15" s="220"/>
      <c r="CK15" s="221"/>
      <c r="CN15" s="227"/>
      <c r="CO15" s="221"/>
      <c r="CP15" s="227"/>
      <c r="CQ15" s="221"/>
      <c r="CR15" s="220"/>
      <c r="CS15" s="221"/>
      <c r="CU15" s="227"/>
      <c r="CV15" s="221"/>
      <c r="CW15" s="227"/>
      <c r="CX15" s="221"/>
      <c r="CY15" s="220"/>
      <c r="CZ15" s="221"/>
      <c r="DC15" s="227"/>
      <c r="DD15" s="221"/>
      <c r="DE15" s="227"/>
      <c r="DF15" s="221"/>
      <c r="DG15" s="220"/>
      <c r="DH15" s="221"/>
      <c r="DJ15" s="227"/>
      <c r="DK15" s="221"/>
      <c r="DL15" s="227"/>
      <c r="DM15" s="221"/>
      <c r="DN15" s="220"/>
      <c r="DO15" s="221"/>
      <c r="DR15" s="227"/>
      <c r="DS15" s="221"/>
      <c r="DT15" s="227"/>
      <c r="DU15" s="221"/>
      <c r="DV15" s="220"/>
      <c r="DW15" s="221"/>
      <c r="DY15" s="227"/>
      <c r="DZ15" s="221"/>
      <c r="EA15" s="227"/>
      <c r="EB15" s="221"/>
      <c r="EC15" s="220"/>
      <c r="ED15" s="221"/>
      <c r="EG15" s="227"/>
      <c r="EH15" s="221"/>
      <c r="EI15" s="227"/>
      <c r="EJ15" s="221"/>
      <c r="EK15" s="220"/>
      <c r="EL15" s="221"/>
      <c r="EN15" s="227"/>
      <c r="EO15" s="221"/>
      <c r="EP15" s="227"/>
      <c r="EQ15" s="221"/>
      <c r="ER15" s="220"/>
      <c r="ES15" s="221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18"/>
      <c r="D17" s="219"/>
      <c r="E17" s="219"/>
      <c r="F17" s="219"/>
      <c r="G17" s="42"/>
      <c r="H17" s="36"/>
      <c r="I17" s="43"/>
      <c r="J17" s="218"/>
      <c r="K17" s="219"/>
      <c r="L17" s="219"/>
      <c r="M17" s="219"/>
      <c r="N17" s="42"/>
      <c r="O17" s="22"/>
      <c r="P17" s="31"/>
      <c r="Q17" s="43"/>
      <c r="R17" s="218"/>
      <c r="S17" s="219"/>
      <c r="T17" s="219"/>
      <c r="U17" s="219"/>
      <c r="V17" s="42"/>
      <c r="W17" s="36"/>
      <c r="X17" s="43"/>
      <c r="Y17" s="218"/>
      <c r="Z17" s="219"/>
      <c r="AA17" s="219"/>
      <c r="AB17" s="219"/>
      <c r="AC17" s="42"/>
      <c r="AD17" s="22"/>
      <c r="AE17" s="31"/>
      <c r="AF17" s="43"/>
      <c r="AG17" s="218"/>
      <c r="AH17" s="219"/>
      <c r="AI17" s="219"/>
      <c r="AJ17" s="219"/>
      <c r="AK17" s="42"/>
      <c r="AL17" s="36"/>
      <c r="AM17" s="43"/>
      <c r="AN17" s="218"/>
      <c r="AO17" s="219"/>
      <c r="AP17" s="219"/>
      <c r="AQ17" s="219"/>
      <c r="AR17" s="42"/>
      <c r="AS17" s="22"/>
      <c r="AT17" s="31"/>
      <c r="AU17" s="43"/>
      <c r="AV17" s="218"/>
      <c r="AW17" s="219"/>
      <c r="AX17" s="219"/>
      <c r="AY17" s="219"/>
      <c r="AZ17" s="42"/>
      <c r="BA17" s="36"/>
      <c r="BB17" s="43"/>
      <c r="BC17" s="218"/>
      <c r="BD17" s="219"/>
      <c r="BE17" s="219"/>
      <c r="BF17" s="219"/>
      <c r="BG17" s="42"/>
      <c r="BH17" s="22"/>
      <c r="BI17" s="31"/>
      <c r="BJ17" s="43"/>
      <c r="BK17" s="218"/>
      <c r="BL17" s="219"/>
      <c r="BM17" s="219"/>
      <c r="BN17" s="219"/>
      <c r="BO17" s="42"/>
      <c r="BP17" s="36"/>
      <c r="BQ17" s="43"/>
      <c r="BR17" s="218"/>
      <c r="BS17" s="219"/>
      <c r="BT17" s="219"/>
      <c r="BU17" s="219"/>
      <c r="BV17" s="42"/>
      <c r="BW17" s="22"/>
      <c r="BX17" s="31"/>
      <c r="BY17" s="43"/>
      <c r="BZ17" s="218"/>
      <c r="CA17" s="219"/>
      <c r="CB17" s="219"/>
      <c r="CC17" s="219"/>
      <c r="CD17" s="42"/>
      <c r="CE17" s="36"/>
      <c r="CF17" s="43"/>
      <c r="CG17" s="218"/>
      <c r="CH17" s="219"/>
      <c r="CI17" s="219"/>
      <c r="CJ17" s="219"/>
      <c r="CK17" s="42"/>
      <c r="CL17" s="22"/>
      <c r="CM17" s="31"/>
      <c r="CN17" s="43"/>
      <c r="CO17" s="218"/>
      <c r="CP17" s="219"/>
      <c r="CQ17" s="219"/>
      <c r="CR17" s="219"/>
      <c r="CS17" s="42"/>
      <c r="CT17" s="36"/>
      <c r="CU17" s="43"/>
      <c r="CV17" s="218"/>
      <c r="CW17" s="219"/>
      <c r="CX17" s="219"/>
      <c r="CY17" s="219"/>
      <c r="CZ17" s="42"/>
      <c r="DA17" s="22"/>
      <c r="DB17" s="31"/>
      <c r="DC17" s="43"/>
      <c r="DD17" s="218"/>
      <c r="DE17" s="219"/>
      <c r="DF17" s="219"/>
      <c r="DG17" s="219"/>
      <c r="DH17" s="42"/>
      <c r="DI17" s="36"/>
      <c r="DJ17" s="43"/>
      <c r="DK17" s="218"/>
      <c r="DL17" s="219"/>
      <c r="DM17" s="219"/>
      <c r="DN17" s="219"/>
      <c r="DO17" s="42"/>
      <c r="DP17" s="22"/>
      <c r="DQ17" s="31"/>
      <c r="DR17" s="43"/>
      <c r="DS17" s="218"/>
      <c r="DT17" s="219"/>
      <c r="DU17" s="219"/>
      <c r="DV17" s="219"/>
      <c r="DW17" s="42"/>
      <c r="DX17" s="36"/>
      <c r="DY17" s="43"/>
      <c r="DZ17" s="218"/>
      <c r="EA17" s="219"/>
      <c r="EB17" s="219"/>
      <c r="EC17" s="219"/>
      <c r="ED17" s="42"/>
      <c r="EE17" s="22"/>
      <c r="EF17" s="31"/>
      <c r="EG17" s="43"/>
      <c r="EH17" s="218"/>
      <c r="EI17" s="219"/>
      <c r="EJ17" s="219"/>
      <c r="EK17" s="219"/>
      <c r="EL17" s="42"/>
      <c r="EM17" s="36"/>
      <c r="EN17" s="43"/>
      <c r="EO17" s="218"/>
      <c r="EP17" s="219"/>
      <c r="EQ17" s="219"/>
      <c r="ER17" s="219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16"/>
      <c r="D19" s="217"/>
      <c r="E19" s="22"/>
      <c r="G19" s="40"/>
      <c r="H19" s="36"/>
      <c r="I19" s="34"/>
      <c r="J19" s="216"/>
      <c r="K19" s="217"/>
      <c r="L19" s="22"/>
      <c r="N19" s="40"/>
      <c r="O19" s="22"/>
      <c r="P19" s="31"/>
      <c r="Q19" s="34"/>
      <c r="R19" s="216"/>
      <c r="S19" s="217"/>
      <c r="T19" s="22"/>
      <c r="V19" s="40"/>
      <c r="W19" s="36"/>
      <c r="X19" s="34"/>
      <c r="Y19" s="216"/>
      <c r="Z19" s="217"/>
      <c r="AA19" s="22"/>
      <c r="AC19" s="40"/>
      <c r="AD19" s="22"/>
      <c r="AE19" s="31"/>
      <c r="AF19" s="34"/>
      <c r="AG19" s="216"/>
      <c r="AH19" s="217"/>
      <c r="AI19" s="22"/>
      <c r="AK19" s="40"/>
      <c r="AL19" s="36"/>
      <c r="AM19" s="34"/>
      <c r="AN19" s="216"/>
      <c r="AO19" s="217"/>
      <c r="AP19" s="22"/>
      <c r="AR19" s="40"/>
      <c r="AS19" s="22"/>
      <c r="AT19" s="31"/>
      <c r="AU19" s="34"/>
      <c r="AV19" s="216"/>
      <c r="AW19" s="217"/>
      <c r="AX19" s="22"/>
      <c r="AZ19" s="40"/>
      <c r="BA19" s="36"/>
      <c r="BB19" s="34"/>
      <c r="BC19" s="216"/>
      <c r="BD19" s="217"/>
      <c r="BE19" s="22"/>
      <c r="BG19" s="40"/>
      <c r="BH19" s="22"/>
      <c r="BI19" s="31"/>
      <c r="BJ19" s="34"/>
      <c r="BK19" s="216"/>
      <c r="BL19" s="217"/>
      <c r="BM19" s="22"/>
      <c r="BO19" s="40"/>
      <c r="BP19" s="36"/>
      <c r="BQ19" s="34"/>
      <c r="BR19" s="216"/>
      <c r="BS19" s="217"/>
      <c r="BT19" s="22"/>
      <c r="BV19" s="40"/>
      <c r="BW19" s="22"/>
      <c r="BX19" s="31"/>
      <c r="BY19" s="34"/>
      <c r="BZ19" s="216"/>
      <c r="CA19" s="217"/>
      <c r="CB19" s="22"/>
      <c r="CD19" s="40"/>
      <c r="CE19" s="36"/>
      <c r="CF19" s="34"/>
      <c r="CG19" s="216"/>
      <c r="CH19" s="217"/>
      <c r="CI19" s="22"/>
      <c r="CK19" s="40"/>
      <c r="CL19" s="22"/>
      <c r="CM19" s="31"/>
      <c r="CN19" s="34"/>
      <c r="CO19" s="216"/>
      <c r="CP19" s="217"/>
      <c r="CQ19" s="22"/>
      <c r="CS19" s="40"/>
      <c r="CT19" s="36"/>
      <c r="CU19" s="34"/>
      <c r="CV19" s="216"/>
      <c r="CW19" s="217"/>
      <c r="CX19" s="22"/>
      <c r="CZ19" s="40"/>
      <c r="DA19" s="22"/>
      <c r="DB19" s="31"/>
      <c r="DC19" s="34"/>
      <c r="DD19" s="216"/>
      <c r="DE19" s="217"/>
      <c r="DF19" s="22"/>
      <c r="DH19" s="40"/>
      <c r="DI19" s="36"/>
      <c r="DJ19" s="34"/>
      <c r="DK19" s="216"/>
      <c r="DL19" s="217"/>
      <c r="DM19" s="22"/>
      <c r="DO19" s="40"/>
      <c r="DP19" s="22"/>
      <c r="DQ19" s="31"/>
      <c r="DR19" s="34"/>
      <c r="DS19" s="216"/>
      <c r="DT19" s="217"/>
      <c r="DU19" s="22"/>
      <c r="DW19" s="40"/>
      <c r="DX19" s="36"/>
      <c r="DY19" s="34"/>
      <c r="DZ19" s="216"/>
      <c r="EA19" s="217"/>
      <c r="EB19" s="22"/>
      <c r="ED19" s="40"/>
      <c r="EE19" s="22"/>
      <c r="EF19" s="31"/>
      <c r="EG19" s="34"/>
      <c r="EH19" s="216"/>
      <c r="EI19" s="217"/>
      <c r="EJ19" s="22"/>
      <c r="EL19" s="40"/>
      <c r="EM19" s="36"/>
      <c r="EN19" s="34"/>
      <c r="EO19" s="216"/>
      <c r="EP19" s="217"/>
      <c r="EQ19" s="22"/>
      <c r="ES19" s="40"/>
      <c r="ET19" s="22"/>
    </row>
    <row r="20" spans="1:150" ht="15.6" customHeight="1">
      <c r="B20" s="25"/>
      <c r="C20" s="222"/>
      <c r="D20" s="223"/>
      <c r="E20" s="50"/>
      <c r="F20" s="225"/>
      <c r="G20" s="226"/>
      <c r="H20" s="26"/>
      <c r="I20" s="25"/>
      <c r="J20" s="222"/>
      <c r="K20" s="223"/>
      <c r="L20" s="50"/>
      <c r="M20" s="225"/>
      <c r="N20" s="226"/>
      <c r="Q20" s="25"/>
      <c r="R20" s="222"/>
      <c r="S20" s="223"/>
      <c r="T20" s="50"/>
      <c r="U20" s="225"/>
      <c r="V20" s="226"/>
      <c r="W20" s="26"/>
      <c r="X20" s="25"/>
      <c r="Y20" s="222"/>
      <c r="Z20" s="223"/>
      <c r="AA20" s="50"/>
      <c r="AB20" s="225"/>
      <c r="AC20" s="226"/>
      <c r="AF20" s="25"/>
      <c r="AG20" s="222"/>
      <c r="AH20" s="223"/>
      <c r="AI20" s="50"/>
      <c r="AJ20" s="225"/>
      <c r="AK20" s="226"/>
      <c r="AL20" s="26"/>
      <c r="AM20" s="25"/>
      <c r="AN20" s="222"/>
      <c r="AO20" s="223"/>
      <c r="AP20" s="50"/>
      <c r="AQ20" s="225"/>
      <c r="AR20" s="226"/>
      <c r="AU20" s="25"/>
      <c r="AV20" s="222"/>
      <c r="AW20" s="223"/>
      <c r="AX20" s="50"/>
      <c r="AY20" s="225"/>
      <c r="AZ20" s="226"/>
      <c r="BA20" s="26"/>
      <c r="BB20" s="25"/>
      <c r="BC20" s="222"/>
      <c r="BD20" s="223"/>
      <c r="BE20" s="50"/>
      <c r="BF20" s="225"/>
      <c r="BG20" s="226"/>
      <c r="BJ20" s="25"/>
      <c r="BK20" s="222"/>
      <c r="BL20" s="223"/>
      <c r="BM20" s="50"/>
      <c r="BN20" s="225"/>
      <c r="BO20" s="226"/>
      <c r="BP20" s="26"/>
      <c r="BQ20" s="25"/>
      <c r="BR20" s="222"/>
      <c r="BS20" s="223"/>
      <c r="BT20" s="50"/>
      <c r="BU20" s="225"/>
      <c r="BV20" s="226"/>
      <c r="BY20" s="25"/>
      <c r="BZ20" s="222"/>
      <c r="CA20" s="223"/>
      <c r="CB20" s="50"/>
      <c r="CC20" s="225"/>
      <c r="CD20" s="226"/>
      <c r="CE20" s="26"/>
      <c r="CF20" s="25"/>
      <c r="CG20" s="222"/>
      <c r="CH20" s="223"/>
      <c r="CI20" s="50"/>
      <c r="CJ20" s="225"/>
      <c r="CK20" s="226"/>
      <c r="CN20" s="25"/>
      <c r="CO20" s="222"/>
      <c r="CP20" s="223"/>
      <c r="CQ20" s="50"/>
      <c r="CR20" s="225"/>
      <c r="CS20" s="226"/>
      <c r="CT20" s="26"/>
      <c r="CU20" s="25"/>
      <c r="CV20" s="222"/>
      <c r="CW20" s="223"/>
      <c r="CX20" s="50"/>
      <c r="CY20" s="225"/>
      <c r="CZ20" s="226"/>
      <c r="DC20" s="25"/>
      <c r="DD20" s="222"/>
      <c r="DE20" s="223"/>
      <c r="DF20" s="50"/>
      <c r="DG20" s="225"/>
      <c r="DH20" s="226"/>
      <c r="DI20" s="26"/>
      <c r="DJ20" s="25"/>
      <c r="DK20" s="222"/>
      <c r="DL20" s="223"/>
      <c r="DM20" s="50"/>
      <c r="DN20" s="225"/>
      <c r="DO20" s="226"/>
      <c r="DR20" s="25"/>
      <c r="DS20" s="222"/>
      <c r="DT20" s="223"/>
      <c r="DU20" s="50"/>
      <c r="DV20" s="225"/>
      <c r="DW20" s="226"/>
      <c r="DX20" s="26"/>
      <c r="DY20" s="25"/>
      <c r="DZ20" s="222"/>
      <c r="EA20" s="223"/>
      <c r="EB20" s="50"/>
      <c r="EC20" s="225"/>
      <c r="ED20" s="226"/>
      <c r="EG20" s="25"/>
      <c r="EH20" s="222"/>
      <c r="EI20" s="223"/>
      <c r="EJ20" s="50"/>
      <c r="EK20" s="225"/>
      <c r="EL20" s="226"/>
      <c r="EM20" s="26"/>
      <c r="EN20" s="25"/>
      <c r="EO20" s="222"/>
      <c r="EP20" s="223"/>
      <c r="EQ20" s="50"/>
      <c r="ER20" s="225"/>
      <c r="ES20" s="226"/>
    </row>
    <row r="21" spans="1:150" ht="15.6" customHeight="1">
      <c r="B21" s="27"/>
      <c r="C21" s="224"/>
      <c r="D21" s="224"/>
      <c r="E21" s="44"/>
      <c r="F21" s="224"/>
      <c r="G21" s="221"/>
      <c r="H21" s="26"/>
      <c r="I21" s="27"/>
      <c r="J21" s="224"/>
      <c r="K21" s="224"/>
      <c r="L21" s="44"/>
      <c r="M21" s="224"/>
      <c r="N21" s="221"/>
      <c r="Q21" s="27"/>
      <c r="R21" s="224"/>
      <c r="S21" s="224"/>
      <c r="T21" s="44"/>
      <c r="U21" s="224"/>
      <c r="V21" s="221"/>
      <c r="W21" s="26"/>
      <c r="X21" s="27"/>
      <c r="Y21" s="224"/>
      <c r="Z21" s="224"/>
      <c r="AA21" s="44"/>
      <c r="AB21" s="224"/>
      <c r="AC21" s="221"/>
      <c r="AF21" s="27"/>
      <c r="AG21" s="224"/>
      <c r="AH21" s="224"/>
      <c r="AI21" s="44"/>
      <c r="AJ21" s="224"/>
      <c r="AK21" s="221"/>
      <c r="AL21" s="26"/>
      <c r="AM21" s="27"/>
      <c r="AN21" s="224"/>
      <c r="AO21" s="224"/>
      <c r="AP21" s="44"/>
      <c r="AQ21" s="224"/>
      <c r="AR21" s="221"/>
      <c r="AU21" s="27"/>
      <c r="AV21" s="224"/>
      <c r="AW21" s="224"/>
      <c r="AX21" s="44"/>
      <c r="AY21" s="224"/>
      <c r="AZ21" s="221"/>
      <c r="BA21" s="26"/>
      <c r="BB21" s="27"/>
      <c r="BC21" s="224"/>
      <c r="BD21" s="224"/>
      <c r="BE21" s="44"/>
      <c r="BF21" s="224"/>
      <c r="BG21" s="221"/>
      <c r="BJ21" s="27"/>
      <c r="BK21" s="224"/>
      <c r="BL21" s="224"/>
      <c r="BM21" s="44"/>
      <c r="BN21" s="224"/>
      <c r="BO21" s="221"/>
      <c r="BP21" s="26"/>
      <c r="BQ21" s="27"/>
      <c r="BR21" s="224"/>
      <c r="BS21" s="224"/>
      <c r="BT21" s="44"/>
      <c r="BU21" s="224"/>
      <c r="BV21" s="221"/>
      <c r="BY21" s="27"/>
      <c r="BZ21" s="224"/>
      <c r="CA21" s="224"/>
      <c r="CB21" s="44"/>
      <c r="CC21" s="224"/>
      <c r="CD21" s="221"/>
      <c r="CE21" s="26"/>
      <c r="CF21" s="27"/>
      <c r="CG21" s="224"/>
      <c r="CH21" s="224"/>
      <c r="CI21" s="44"/>
      <c r="CJ21" s="224"/>
      <c r="CK21" s="221"/>
      <c r="CN21" s="27"/>
      <c r="CO21" s="224"/>
      <c r="CP21" s="224"/>
      <c r="CQ21" s="44"/>
      <c r="CR21" s="224"/>
      <c r="CS21" s="221"/>
      <c r="CT21" s="26"/>
      <c r="CU21" s="27"/>
      <c r="CV21" s="224"/>
      <c r="CW21" s="224"/>
      <c r="CX21" s="44"/>
      <c r="CY21" s="224"/>
      <c r="CZ21" s="221"/>
      <c r="DC21" s="27"/>
      <c r="DD21" s="224"/>
      <c r="DE21" s="224"/>
      <c r="DF21" s="44"/>
      <c r="DG21" s="224"/>
      <c r="DH21" s="221"/>
      <c r="DI21" s="26"/>
      <c r="DJ21" s="27"/>
      <c r="DK21" s="224"/>
      <c r="DL21" s="224"/>
      <c r="DM21" s="44"/>
      <c r="DN21" s="224"/>
      <c r="DO21" s="221"/>
      <c r="DR21" s="27"/>
      <c r="DS21" s="224"/>
      <c r="DT21" s="224"/>
      <c r="DU21" s="44"/>
      <c r="DV21" s="224"/>
      <c r="DW21" s="221"/>
      <c r="DX21" s="26"/>
      <c r="DY21" s="27"/>
      <c r="DZ21" s="224"/>
      <c r="EA21" s="224"/>
      <c r="EB21" s="44"/>
      <c r="EC21" s="224"/>
      <c r="ED21" s="221"/>
      <c r="EG21" s="27"/>
      <c r="EH21" s="224"/>
      <c r="EI21" s="224"/>
      <c r="EJ21" s="44"/>
      <c r="EK21" s="224"/>
      <c r="EL21" s="221"/>
      <c r="EM21" s="26"/>
      <c r="EN21" s="27"/>
      <c r="EO21" s="224"/>
      <c r="EP21" s="224"/>
      <c r="EQ21" s="44"/>
      <c r="ER21" s="224"/>
      <c r="ES21" s="221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27"/>
      <c r="C23" s="221"/>
      <c r="D23" s="227"/>
      <c r="E23" s="221"/>
      <c r="F23" s="220"/>
      <c r="G23" s="221"/>
      <c r="I23" s="227"/>
      <c r="J23" s="221"/>
      <c r="K23" s="227"/>
      <c r="L23" s="221"/>
      <c r="M23" s="220"/>
      <c r="N23" s="221"/>
      <c r="Q23" s="227"/>
      <c r="R23" s="221"/>
      <c r="S23" s="227"/>
      <c r="T23" s="221"/>
      <c r="U23" s="220"/>
      <c r="V23" s="221"/>
      <c r="X23" s="227"/>
      <c r="Y23" s="221"/>
      <c r="Z23" s="227"/>
      <c r="AA23" s="221"/>
      <c r="AB23" s="220"/>
      <c r="AC23" s="221"/>
      <c r="AF23" s="227"/>
      <c r="AG23" s="221"/>
      <c r="AH23" s="227"/>
      <c r="AI23" s="221"/>
      <c r="AJ23" s="220"/>
      <c r="AK23" s="221"/>
      <c r="AM23" s="227"/>
      <c r="AN23" s="221"/>
      <c r="AO23" s="227"/>
      <c r="AP23" s="221"/>
      <c r="AQ23" s="220"/>
      <c r="AR23" s="221"/>
      <c r="AU23" s="227"/>
      <c r="AV23" s="221"/>
      <c r="AW23" s="227"/>
      <c r="AX23" s="221"/>
      <c r="AY23" s="220"/>
      <c r="AZ23" s="221"/>
      <c r="BB23" s="227"/>
      <c r="BC23" s="221"/>
      <c r="BD23" s="227"/>
      <c r="BE23" s="221"/>
      <c r="BF23" s="220"/>
      <c r="BG23" s="221"/>
      <c r="BJ23" s="227"/>
      <c r="BK23" s="221"/>
      <c r="BL23" s="227"/>
      <c r="BM23" s="221"/>
      <c r="BN23" s="220"/>
      <c r="BO23" s="221"/>
      <c r="BQ23" s="227"/>
      <c r="BR23" s="221"/>
      <c r="BS23" s="227"/>
      <c r="BT23" s="221"/>
      <c r="BU23" s="220"/>
      <c r="BV23" s="221"/>
      <c r="BY23" s="227"/>
      <c r="BZ23" s="221"/>
      <c r="CA23" s="227"/>
      <c r="CB23" s="221"/>
      <c r="CC23" s="220"/>
      <c r="CD23" s="221"/>
      <c r="CF23" s="227"/>
      <c r="CG23" s="221"/>
      <c r="CH23" s="227"/>
      <c r="CI23" s="221"/>
      <c r="CJ23" s="220"/>
      <c r="CK23" s="221"/>
      <c r="CN23" s="227"/>
      <c r="CO23" s="221"/>
      <c r="CP23" s="227"/>
      <c r="CQ23" s="221"/>
      <c r="CR23" s="220"/>
      <c r="CS23" s="221"/>
      <c r="CU23" s="227"/>
      <c r="CV23" s="221"/>
      <c r="CW23" s="227"/>
      <c r="CX23" s="221"/>
      <c r="CY23" s="220"/>
      <c r="CZ23" s="221"/>
      <c r="DC23" s="227"/>
      <c r="DD23" s="221"/>
      <c r="DE23" s="227"/>
      <c r="DF23" s="221"/>
      <c r="DG23" s="220"/>
      <c r="DH23" s="221"/>
      <c r="DJ23" s="227"/>
      <c r="DK23" s="221"/>
      <c r="DL23" s="227"/>
      <c r="DM23" s="221"/>
      <c r="DN23" s="220"/>
      <c r="DO23" s="221"/>
      <c r="DR23" s="227"/>
      <c r="DS23" s="221"/>
      <c r="DT23" s="227"/>
      <c r="DU23" s="221"/>
      <c r="DV23" s="220"/>
      <c r="DW23" s="221"/>
      <c r="DY23" s="227"/>
      <c r="DZ23" s="221"/>
      <c r="EA23" s="227"/>
      <c r="EB23" s="221"/>
      <c r="EC23" s="220"/>
      <c r="ED23" s="221"/>
      <c r="EG23" s="227"/>
      <c r="EH23" s="221"/>
      <c r="EI23" s="227"/>
      <c r="EJ23" s="221"/>
      <c r="EK23" s="220"/>
      <c r="EL23" s="221"/>
      <c r="EN23" s="227"/>
      <c r="EO23" s="221"/>
      <c r="EP23" s="227"/>
      <c r="EQ23" s="221"/>
      <c r="ER23" s="220"/>
      <c r="ES23" s="221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18"/>
      <c r="D25" s="219"/>
      <c r="E25" s="219"/>
      <c r="F25" s="219"/>
      <c r="G25" s="42"/>
      <c r="H25" s="36"/>
      <c r="I25" s="43"/>
      <c r="J25" s="218"/>
      <c r="K25" s="219"/>
      <c r="L25" s="219"/>
      <c r="M25" s="219"/>
      <c r="N25" s="42"/>
      <c r="O25" s="22"/>
      <c r="P25" s="31"/>
      <c r="Q25" s="43"/>
      <c r="R25" s="218"/>
      <c r="S25" s="219"/>
      <c r="T25" s="219"/>
      <c r="U25" s="219"/>
      <c r="V25" s="42"/>
      <c r="W25" s="36"/>
      <c r="X25" s="43"/>
      <c r="Y25" s="218"/>
      <c r="Z25" s="219"/>
      <c r="AA25" s="219"/>
      <c r="AB25" s="219"/>
      <c r="AC25" s="42"/>
      <c r="AD25" s="22"/>
      <c r="AE25" s="31"/>
      <c r="AF25" s="43"/>
      <c r="AG25" s="218"/>
      <c r="AH25" s="219"/>
      <c r="AI25" s="219"/>
      <c r="AJ25" s="219"/>
      <c r="AK25" s="42"/>
      <c r="AL25" s="36"/>
      <c r="AM25" s="43"/>
      <c r="AN25" s="218"/>
      <c r="AO25" s="219"/>
      <c r="AP25" s="219"/>
      <c r="AQ25" s="219"/>
      <c r="AR25" s="42"/>
      <c r="AS25" s="22"/>
      <c r="AT25" s="31"/>
      <c r="AU25" s="43"/>
      <c r="AV25" s="218"/>
      <c r="AW25" s="219"/>
      <c r="AX25" s="219"/>
      <c r="AY25" s="219"/>
      <c r="AZ25" s="42"/>
      <c r="BA25" s="36"/>
      <c r="BB25" s="43"/>
      <c r="BC25" s="218"/>
      <c r="BD25" s="219"/>
      <c r="BE25" s="219"/>
      <c r="BF25" s="219"/>
      <c r="BG25" s="42"/>
      <c r="BH25" s="22"/>
      <c r="BI25" s="31"/>
      <c r="BJ25" s="43"/>
      <c r="BK25" s="218"/>
      <c r="BL25" s="219"/>
      <c r="BM25" s="219"/>
      <c r="BN25" s="219"/>
      <c r="BO25" s="42"/>
      <c r="BP25" s="36"/>
      <c r="BQ25" s="43"/>
      <c r="BR25" s="218"/>
      <c r="BS25" s="219"/>
      <c r="BT25" s="219"/>
      <c r="BU25" s="219"/>
      <c r="BV25" s="42"/>
      <c r="BW25" s="22"/>
      <c r="BX25" s="31"/>
      <c r="BY25" s="43"/>
      <c r="BZ25" s="218"/>
      <c r="CA25" s="219"/>
      <c r="CB25" s="219"/>
      <c r="CC25" s="219"/>
      <c r="CD25" s="42"/>
      <c r="CE25" s="36"/>
      <c r="CF25" s="43"/>
      <c r="CG25" s="218"/>
      <c r="CH25" s="219"/>
      <c r="CI25" s="219"/>
      <c r="CJ25" s="219"/>
      <c r="CK25" s="42"/>
      <c r="CL25" s="22"/>
      <c r="CM25" s="31"/>
      <c r="CN25" s="43"/>
      <c r="CO25" s="218"/>
      <c r="CP25" s="219"/>
      <c r="CQ25" s="219"/>
      <c r="CR25" s="219"/>
      <c r="CS25" s="42"/>
      <c r="CT25" s="36"/>
      <c r="CU25" s="43"/>
      <c r="CV25" s="218"/>
      <c r="CW25" s="219"/>
      <c r="CX25" s="219"/>
      <c r="CY25" s="219"/>
      <c r="CZ25" s="42"/>
      <c r="DA25" s="22"/>
      <c r="DB25" s="31"/>
      <c r="DC25" s="43"/>
      <c r="DD25" s="218"/>
      <c r="DE25" s="219"/>
      <c r="DF25" s="219"/>
      <c r="DG25" s="219"/>
      <c r="DH25" s="42"/>
      <c r="DI25" s="36"/>
      <c r="DJ25" s="43"/>
      <c r="DK25" s="218"/>
      <c r="DL25" s="219"/>
      <c r="DM25" s="219"/>
      <c r="DN25" s="219"/>
      <c r="DO25" s="42"/>
      <c r="DP25" s="22"/>
      <c r="DQ25" s="31"/>
      <c r="DR25" s="43"/>
      <c r="DS25" s="218"/>
      <c r="DT25" s="219"/>
      <c r="DU25" s="219"/>
      <c r="DV25" s="219"/>
      <c r="DW25" s="42"/>
      <c r="DX25" s="36"/>
      <c r="DY25" s="43"/>
      <c r="DZ25" s="218"/>
      <c r="EA25" s="219"/>
      <c r="EB25" s="219"/>
      <c r="EC25" s="219"/>
      <c r="ED25" s="42"/>
      <c r="EE25" s="22"/>
      <c r="EF25" s="31"/>
      <c r="EG25" s="43"/>
      <c r="EH25" s="218"/>
      <c r="EI25" s="219"/>
      <c r="EJ25" s="219"/>
      <c r="EK25" s="219"/>
      <c r="EL25" s="42"/>
      <c r="EM25" s="36"/>
      <c r="EN25" s="43"/>
      <c r="EO25" s="218"/>
      <c r="EP25" s="219"/>
      <c r="EQ25" s="219"/>
      <c r="ER25" s="219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16"/>
      <c r="D27" s="217"/>
      <c r="E27" s="22"/>
      <c r="G27" s="40"/>
      <c r="H27" s="36"/>
      <c r="I27" s="34"/>
      <c r="J27" s="216"/>
      <c r="K27" s="217"/>
      <c r="L27" s="22"/>
      <c r="N27" s="40"/>
      <c r="O27" s="22"/>
      <c r="P27" s="31"/>
      <c r="Q27" s="34"/>
      <c r="R27" s="216"/>
      <c r="S27" s="217"/>
      <c r="T27" s="22"/>
      <c r="V27" s="40"/>
      <c r="W27" s="36"/>
      <c r="X27" s="34"/>
      <c r="Y27" s="216"/>
      <c r="Z27" s="217"/>
      <c r="AA27" s="22"/>
      <c r="AC27" s="40"/>
      <c r="AD27" s="22"/>
      <c r="AE27" s="31"/>
      <c r="AF27" s="34"/>
      <c r="AG27" s="216"/>
      <c r="AH27" s="217"/>
      <c r="AI27" s="22"/>
      <c r="AK27" s="40"/>
      <c r="AL27" s="36"/>
      <c r="AM27" s="34"/>
      <c r="AN27" s="216"/>
      <c r="AO27" s="217"/>
      <c r="AP27" s="22"/>
      <c r="AR27" s="40"/>
      <c r="AS27" s="22"/>
      <c r="AT27" s="31"/>
      <c r="AU27" s="34"/>
      <c r="AV27" s="216"/>
      <c r="AW27" s="217"/>
      <c r="AX27" s="22"/>
      <c r="AZ27" s="40"/>
      <c r="BA27" s="36"/>
      <c r="BB27" s="34"/>
      <c r="BC27" s="216"/>
      <c r="BD27" s="217"/>
      <c r="BE27" s="22"/>
      <c r="BG27" s="40"/>
      <c r="BH27" s="22"/>
      <c r="BI27" s="31"/>
      <c r="BJ27" s="34"/>
      <c r="BK27" s="216"/>
      <c r="BL27" s="217"/>
      <c r="BM27" s="22"/>
      <c r="BO27" s="40"/>
      <c r="BP27" s="36"/>
      <c r="BQ27" s="34"/>
      <c r="BR27" s="216"/>
      <c r="BS27" s="217"/>
      <c r="BT27" s="22"/>
      <c r="BV27" s="40"/>
      <c r="BW27" s="22"/>
      <c r="BX27" s="31"/>
      <c r="BY27" s="34"/>
      <c r="BZ27" s="216"/>
      <c r="CA27" s="217"/>
      <c r="CB27" s="22"/>
      <c r="CD27" s="40"/>
      <c r="CE27" s="36"/>
      <c r="CF27" s="34"/>
      <c r="CG27" s="216"/>
      <c r="CH27" s="217"/>
      <c r="CI27" s="22"/>
      <c r="CK27" s="40"/>
      <c r="CL27" s="22"/>
      <c r="CM27" s="31"/>
      <c r="CN27" s="34"/>
      <c r="CO27" s="216"/>
      <c r="CP27" s="217"/>
      <c r="CQ27" s="22"/>
      <c r="CS27" s="40"/>
      <c r="CT27" s="36"/>
      <c r="CU27" s="34"/>
      <c r="CV27" s="216"/>
      <c r="CW27" s="217"/>
      <c r="CX27" s="22"/>
      <c r="CZ27" s="40"/>
      <c r="DA27" s="22"/>
      <c r="DB27" s="31"/>
      <c r="DC27" s="34"/>
      <c r="DD27" s="216"/>
      <c r="DE27" s="217"/>
      <c r="DF27" s="22"/>
      <c r="DH27" s="40"/>
      <c r="DI27" s="36"/>
      <c r="DJ27" s="34"/>
      <c r="DK27" s="216"/>
      <c r="DL27" s="217"/>
      <c r="DM27" s="22"/>
      <c r="DO27" s="40"/>
      <c r="DP27" s="22"/>
      <c r="DQ27" s="31"/>
      <c r="DR27" s="34"/>
      <c r="DS27" s="216"/>
      <c r="DT27" s="217"/>
      <c r="DU27" s="22"/>
      <c r="DW27" s="40"/>
      <c r="DX27" s="36"/>
      <c r="DY27" s="34"/>
      <c r="DZ27" s="216"/>
      <c r="EA27" s="217"/>
      <c r="EB27" s="22"/>
      <c r="ED27" s="40"/>
      <c r="EE27" s="22"/>
      <c r="EF27" s="31"/>
      <c r="EG27" s="34"/>
      <c r="EH27" s="216"/>
      <c r="EI27" s="217"/>
      <c r="EJ27" s="22"/>
      <c r="EL27" s="40"/>
      <c r="EM27" s="36"/>
      <c r="EN27" s="34"/>
      <c r="EO27" s="216"/>
      <c r="EP27" s="217"/>
      <c r="EQ27" s="22"/>
      <c r="ES27" s="40"/>
      <c r="ET27" s="22"/>
    </row>
    <row r="28" spans="1:150" ht="15.6" customHeight="1">
      <c r="B28" s="25"/>
      <c r="C28" s="222"/>
      <c r="D28" s="223"/>
      <c r="E28" s="50"/>
      <c r="F28" s="225"/>
      <c r="G28" s="226"/>
      <c r="H28" s="26"/>
      <c r="I28" s="25"/>
      <c r="J28" s="222"/>
      <c r="K28" s="223"/>
      <c r="L28" s="50"/>
      <c r="M28" s="225"/>
      <c r="N28" s="226"/>
      <c r="Q28" s="25"/>
      <c r="R28" s="222"/>
      <c r="S28" s="223"/>
      <c r="T28" s="50"/>
      <c r="U28" s="225"/>
      <c r="V28" s="226"/>
      <c r="W28" s="26"/>
      <c r="X28" s="25"/>
      <c r="Y28" s="222"/>
      <c r="Z28" s="223"/>
      <c r="AA28" s="50"/>
      <c r="AB28" s="225"/>
      <c r="AC28" s="226"/>
      <c r="AF28" s="25"/>
      <c r="AG28" s="222"/>
      <c r="AH28" s="223"/>
      <c r="AI28" s="50"/>
      <c r="AJ28" s="225"/>
      <c r="AK28" s="226"/>
      <c r="AL28" s="26"/>
      <c r="AM28" s="25"/>
      <c r="AN28" s="222"/>
      <c r="AO28" s="223"/>
      <c r="AP28" s="50"/>
      <c r="AQ28" s="225"/>
      <c r="AR28" s="226"/>
      <c r="AU28" s="25"/>
      <c r="AV28" s="222"/>
      <c r="AW28" s="223"/>
      <c r="AX28" s="50"/>
      <c r="AY28" s="225"/>
      <c r="AZ28" s="226"/>
      <c r="BA28" s="26"/>
      <c r="BB28" s="25"/>
      <c r="BC28" s="222"/>
      <c r="BD28" s="223"/>
      <c r="BE28" s="50"/>
      <c r="BF28" s="225"/>
      <c r="BG28" s="226"/>
      <c r="BJ28" s="25"/>
      <c r="BK28" s="222"/>
      <c r="BL28" s="223"/>
      <c r="BM28" s="50"/>
      <c r="BN28" s="225"/>
      <c r="BO28" s="226"/>
      <c r="BP28" s="26"/>
      <c r="BQ28" s="25"/>
      <c r="BR28" s="222"/>
      <c r="BS28" s="223"/>
      <c r="BT28" s="50"/>
      <c r="BU28" s="225"/>
      <c r="BV28" s="226"/>
      <c r="BY28" s="25"/>
      <c r="BZ28" s="222"/>
      <c r="CA28" s="223"/>
      <c r="CB28" s="50"/>
      <c r="CC28" s="225"/>
      <c r="CD28" s="226"/>
      <c r="CE28" s="26"/>
      <c r="CF28" s="25"/>
      <c r="CG28" s="222"/>
      <c r="CH28" s="223"/>
      <c r="CI28" s="50"/>
      <c r="CJ28" s="225"/>
      <c r="CK28" s="226"/>
      <c r="CN28" s="25"/>
      <c r="CO28" s="222"/>
      <c r="CP28" s="223"/>
      <c r="CQ28" s="50"/>
      <c r="CR28" s="225"/>
      <c r="CS28" s="226"/>
      <c r="CT28" s="26"/>
      <c r="CU28" s="25"/>
      <c r="CV28" s="222"/>
      <c r="CW28" s="223"/>
      <c r="CX28" s="50"/>
      <c r="CY28" s="225"/>
      <c r="CZ28" s="226"/>
      <c r="DC28" s="25"/>
      <c r="DD28" s="222"/>
      <c r="DE28" s="223"/>
      <c r="DF28" s="50"/>
      <c r="DG28" s="225"/>
      <c r="DH28" s="226"/>
      <c r="DI28" s="26"/>
      <c r="DJ28" s="25"/>
      <c r="DK28" s="222"/>
      <c r="DL28" s="223"/>
      <c r="DM28" s="50"/>
      <c r="DN28" s="225"/>
      <c r="DO28" s="226"/>
      <c r="DR28" s="25"/>
      <c r="DS28" s="222"/>
      <c r="DT28" s="223"/>
      <c r="DU28" s="50"/>
      <c r="DV28" s="225"/>
      <c r="DW28" s="226"/>
      <c r="DX28" s="26"/>
      <c r="DY28" s="25"/>
      <c r="DZ28" s="222"/>
      <c r="EA28" s="223"/>
      <c r="EB28" s="50"/>
      <c r="EC28" s="225"/>
      <c r="ED28" s="226"/>
      <c r="EG28" s="25"/>
      <c r="EH28" s="222"/>
      <c r="EI28" s="223"/>
      <c r="EJ28" s="50"/>
      <c r="EK28" s="225"/>
      <c r="EL28" s="226"/>
      <c r="EM28" s="26"/>
      <c r="EN28" s="25"/>
      <c r="EO28" s="222"/>
      <c r="EP28" s="223"/>
      <c r="EQ28" s="50"/>
      <c r="ER28" s="225"/>
      <c r="ES28" s="226"/>
    </row>
    <row r="29" spans="1:150" ht="15.6" customHeight="1">
      <c r="B29" s="27"/>
      <c r="C29" s="224"/>
      <c r="D29" s="224"/>
      <c r="E29" s="44"/>
      <c r="F29" s="224"/>
      <c r="G29" s="221"/>
      <c r="H29" s="26"/>
      <c r="I29" s="27"/>
      <c r="J29" s="224"/>
      <c r="K29" s="224"/>
      <c r="L29" s="44"/>
      <c r="M29" s="224"/>
      <c r="N29" s="221"/>
      <c r="Q29" s="27"/>
      <c r="R29" s="224"/>
      <c r="S29" s="224"/>
      <c r="T29" s="44"/>
      <c r="U29" s="224"/>
      <c r="V29" s="221"/>
      <c r="W29" s="26"/>
      <c r="X29" s="27"/>
      <c r="Y29" s="224"/>
      <c r="Z29" s="224"/>
      <c r="AA29" s="44"/>
      <c r="AB29" s="224"/>
      <c r="AC29" s="221"/>
      <c r="AF29" s="27"/>
      <c r="AG29" s="224"/>
      <c r="AH29" s="224"/>
      <c r="AI29" s="44"/>
      <c r="AJ29" s="224"/>
      <c r="AK29" s="221"/>
      <c r="AL29" s="26"/>
      <c r="AM29" s="27"/>
      <c r="AN29" s="224"/>
      <c r="AO29" s="224"/>
      <c r="AP29" s="44"/>
      <c r="AQ29" s="224"/>
      <c r="AR29" s="221"/>
      <c r="AU29" s="27"/>
      <c r="AV29" s="224"/>
      <c r="AW29" s="224"/>
      <c r="AX29" s="44"/>
      <c r="AY29" s="224"/>
      <c r="AZ29" s="221"/>
      <c r="BA29" s="26"/>
      <c r="BB29" s="27"/>
      <c r="BC29" s="224"/>
      <c r="BD29" s="224"/>
      <c r="BE29" s="44"/>
      <c r="BF29" s="224"/>
      <c r="BG29" s="221"/>
      <c r="BJ29" s="27"/>
      <c r="BK29" s="224"/>
      <c r="BL29" s="224"/>
      <c r="BM29" s="44"/>
      <c r="BN29" s="224"/>
      <c r="BO29" s="221"/>
      <c r="BP29" s="26"/>
      <c r="BQ29" s="27"/>
      <c r="BR29" s="224"/>
      <c r="BS29" s="224"/>
      <c r="BT29" s="44"/>
      <c r="BU29" s="224"/>
      <c r="BV29" s="221"/>
      <c r="BY29" s="27"/>
      <c r="BZ29" s="224"/>
      <c r="CA29" s="224"/>
      <c r="CB29" s="44"/>
      <c r="CC29" s="224"/>
      <c r="CD29" s="221"/>
      <c r="CE29" s="26"/>
      <c r="CF29" s="27"/>
      <c r="CG29" s="224"/>
      <c r="CH29" s="224"/>
      <c r="CI29" s="44"/>
      <c r="CJ29" s="224"/>
      <c r="CK29" s="221"/>
      <c r="CN29" s="27"/>
      <c r="CO29" s="224"/>
      <c r="CP29" s="224"/>
      <c r="CQ29" s="44"/>
      <c r="CR29" s="224"/>
      <c r="CS29" s="221"/>
      <c r="CT29" s="26"/>
      <c r="CU29" s="27"/>
      <c r="CV29" s="224"/>
      <c r="CW29" s="224"/>
      <c r="CX29" s="44"/>
      <c r="CY29" s="224"/>
      <c r="CZ29" s="221"/>
      <c r="DC29" s="27"/>
      <c r="DD29" s="224"/>
      <c r="DE29" s="224"/>
      <c r="DF29" s="44"/>
      <c r="DG29" s="224"/>
      <c r="DH29" s="221"/>
      <c r="DI29" s="26"/>
      <c r="DJ29" s="27"/>
      <c r="DK29" s="224"/>
      <c r="DL29" s="224"/>
      <c r="DM29" s="44"/>
      <c r="DN29" s="224"/>
      <c r="DO29" s="221"/>
      <c r="DR29" s="27"/>
      <c r="DS29" s="224"/>
      <c r="DT29" s="224"/>
      <c r="DU29" s="44"/>
      <c r="DV29" s="224"/>
      <c r="DW29" s="221"/>
      <c r="DX29" s="26"/>
      <c r="DY29" s="27"/>
      <c r="DZ29" s="224"/>
      <c r="EA29" s="224"/>
      <c r="EB29" s="44"/>
      <c r="EC29" s="224"/>
      <c r="ED29" s="221"/>
      <c r="EG29" s="27"/>
      <c r="EH29" s="224"/>
      <c r="EI29" s="224"/>
      <c r="EJ29" s="44"/>
      <c r="EK29" s="224"/>
      <c r="EL29" s="221"/>
      <c r="EM29" s="26"/>
      <c r="EN29" s="27"/>
      <c r="EO29" s="224"/>
      <c r="EP29" s="224"/>
      <c r="EQ29" s="44"/>
      <c r="ER29" s="224"/>
      <c r="ES29" s="221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27"/>
      <c r="C31" s="221"/>
      <c r="D31" s="227"/>
      <c r="E31" s="221"/>
      <c r="F31" s="220"/>
      <c r="G31" s="221"/>
      <c r="I31" s="227"/>
      <c r="J31" s="221"/>
      <c r="K31" s="227"/>
      <c r="L31" s="221"/>
      <c r="M31" s="220"/>
      <c r="N31" s="221"/>
      <c r="Q31" s="227"/>
      <c r="R31" s="221"/>
      <c r="S31" s="227"/>
      <c r="T31" s="221"/>
      <c r="U31" s="220"/>
      <c r="V31" s="221"/>
      <c r="X31" s="227"/>
      <c r="Y31" s="221"/>
      <c r="Z31" s="227"/>
      <c r="AA31" s="221"/>
      <c r="AB31" s="220"/>
      <c r="AC31" s="221"/>
      <c r="AF31" s="227"/>
      <c r="AG31" s="221"/>
      <c r="AH31" s="227"/>
      <c r="AI31" s="221"/>
      <c r="AJ31" s="220"/>
      <c r="AK31" s="221"/>
      <c r="AM31" s="227"/>
      <c r="AN31" s="221"/>
      <c r="AO31" s="227"/>
      <c r="AP31" s="221"/>
      <c r="AQ31" s="220"/>
      <c r="AR31" s="221"/>
      <c r="AU31" s="227"/>
      <c r="AV31" s="221"/>
      <c r="AW31" s="227"/>
      <c r="AX31" s="221"/>
      <c r="AY31" s="220"/>
      <c r="AZ31" s="221"/>
      <c r="BB31" s="227"/>
      <c r="BC31" s="221"/>
      <c r="BD31" s="227"/>
      <c r="BE31" s="221"/>
      <c r="BF31" s="220"/>
      <c r="BG31" s="221"/>
      <c r="BJ31" s="227"/>
      <c r="BK31" s="221"/>
      <c r="BL31" s="227"/>
      <c r="BM31" s="221"/>
      <c r="BN31" s="220"/>
      <c r="BO31" s="221"/>
      <c r="BQ31" s="227"/>
      <c r="BR31" s="221"/>
      <c r="BS31" s="227"/>
      <c r="BT31" s="221"/>
      <c r="BU31" s="220"/>
      <c r="BV31" s="221"/>
      <c r="BY31" s="227"/>
      <c r="BZ31" s="221"/>
      <c r="CA31" s="227"/>
      <c r="CB31" s="221"/>
      <c r="CC31" s="220"/>
      <c r="CD31" s="221"/>
      <c r="CF31" s="227"/>
      <c r="CG31" s="221"/>
      <c r="CH31" s="227"/>
      <c r="CI31" s="221"/>
      <c r="CJ31" s="220"/>
      <c r="CK31" s="221"/>
      <c r="CN31" s="227"/>
      <c r="CO31" s="221"/>
      <c r="CP31" s="227"/>
      <c r="CQ31" s="221"/>
      <c r="CR31" s="220"/>
      <c r="CS31" s="221"/>
      <c r="CU31" s="227"/>
      <c r="CV31" s="221"/>
      <c r="CW31" s="227"/>
      <c r="CX31" s="221"/>
      <c r="CY31" s="220"/>
      <c r="CZ31" s="221"/>
      <c r="DC31" s="227"/>
      <c r="DD31" s="221"/>
      <c r="DE31" s="227"/>
      <c r="DF31" s="221"/>
      <c r="DG31" s="220"/>
      <c r="DH31" s="221"/>
      <c r="DJ31" s="227"/>
      <c r="DK31" s="221"/>
      <c r="DL31" s="227"/>
      <c r="DM31" s="221"/>
      <c r="DN31" s="220"/>
      <c r="DO31" s="221"/>
      <c r="DR31" s="227"/>
      <c r="DS31" s="221"/>
      <c r="DT31" s="227"/>
      <c r="DU31" s="221"/>
      <c r="DV31" s="220"/>
      <c r="DW31" s="221"/>
      <c r="DY31" s="227"/>
      <c r="DZ31" s="221"/>
      <c r="EA31" s="227"/>
      <c r="EB31" s="221"/>
      <c r="EC31" s="220"/>
      <c r="ED31" s="221"/>
      <c r="EG31" s="227"/>
      <c r="EH31" s="221"/>
      <c r="EI31" s="227"/>
      <c r="EJ31" s="221"/>
      <c r="EK31" s="220"/>
      <c r="EL31" s="221"/>
      <c r="EN31" s="227"/>
      <c r="EO31" s="221"/>
      <c r="EP31" s="227"/>
      <c r="EQ31" s="221"/>
      <c r="ER31" s="220"/>
      <c r="ES31" s="221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18"/>
      <c r="D33" s="219"/>
      <c r="E33" s="219"/>
      <c r="F33" s="219"/>
      <c r="G33" s="42"/>
      <c r="H33" s="36"/>
      <c r="I33" s="43"/>
      <c r="J33" s="218"/>
      <c r="K33" s="219"/>
      <c r="L33" s="219"/>
      <c r="M33" s="219"/>
      <c r="N33" s="42"/>
      <c r="O33" s="22"/>
      <c r="P33" s="31"/>
      <c r="Q33" s="43"/>
      <c r="R33" s="218"/>
      <c r="S33" s="219"/>
      <c r="T33" s="219"/>
      <c r="U33" s="219"/>
      <c r="V33" s="42"/>
      <c r="W33" s="36"/>
      <c r="X33" s="43"/>
      <c r="Y33" s="218"/>
      <c r="Z33" s="219"/>
      <c r="AA33" s="219"/>
      <c r="AB33" s="219"/>
      <c r="AC33" s="42"/>
      <c r="AD33" s="22"/>
      <c r="AE33" s="31"/>
      <c r="AF33" s="43"/>
      <c r="AG33" s="218"/>
      <c r="AH33" s="219"/>
      <c r="AI33" s="219"/>
      <c r="AJ33" s="219"/>
      <c r="AK33" s="42"/>
      <c r="AL33" s="36"/>
      <c r="AM33" s="43"/>
      <c r="AN33" s="218"/>
      <c r="AO33" s="219"/>
      <c r="AP33" s="219"/>
      <c r="AQ33" s="219"/>
      <c r="AR33" s="42"/>
      <c r="AS33" s="22"/>
      <c r="AT33" s="31"/>
      <c r="AU33" s="43"/>
      <c r="AV33" s="218"/>
      <c r="AW33" s="219"/>
      <c r="AX33" s="219"/>
      <c r="AY33" s="219"/>
      <c r="AZ33" s="42"/>
      <c r="BA33" s="36"/>
      <c r="BB33" s="43"/>
      <c r="BC33" s="218"/>
      <c r="BD33" s="219"/>
      <c r="BE33" s="219"/>
      <c r="BF33" s="219"/>
      <c r="BG33" s="42"/>
      <c r="BH33" s="22"/>
      <c r="BI33" s="31"/>
      <c r="BJ33" s="43"/>
      <c r="BK33" s="218"/>
      <c r="BL33" s="219"/>
      <c r="BM33" s="219"/>
      <c r="BN33" s="219"/>
      <c r="BO33" s="42"/>
      <c r="BP33" s="36"/>
      <c r="BQ33" s="43"/>
      <c r="BR33" s="218"/>
      <c r="BS33" s="219"/>
      <c r="BT33" s="219"/>
      <c r="BU33" s="219"/>
      <c r="BV33" s="42"/>
      <c r="BW33" s="22"/>
      <c r="BX33" s="31"/>
      <c r="BY33" s="43"/>
      <c r="BZ33" s="218"/>
      <c r="CA33" s="219"/>
      <c r="CB33" s="219"/>
      <c r="CC33" s="219"/>
      <c r="CD33" s="42"/>
      <c r="CE33" s="36"/>
      <c r="CF33" s="43"/>
      <c r="CG33" s="218"/>
      <c r="CH33" s="219"/>
      <c r="CI33" s="219"/>
      <c r="CJ33" s="219"/>
      <c r="CK33" s="42"/>
      <c r="CL33" s="22"/>
      <c r="CM33" s="31"/>
      <c r="CN33" s="43"/>
      <c r="CO33" s="218"/>
      <c r="CP33" s="219"/>
      <c r="CQ33" s="219"/>
      <c r="CR33" s="219"/>
      <c r="CS33" s="42"/>
      <c r="CT33" s="36"/>
      <c r="CU33" s="43"/>
      <c r="CV33" s="218"/>
      <c r="CW33" s="219"/>
      <c r="CX33" s="219"/>
      <c r="CY33" s="219"/>
      <c r="CZ33" s="42"/>
      <c r="DA33" s="22"/>
      <c r="DB33" s="31"/>
      <c r="DC33" s="43"/>
      <c r="DD33" s="218"/>
      <c r="DE33" s="219"/>
      <c r="DF33" s="219"/>
      <c r="DG33" s="219"/>
      <c r="DH33" s="42"/>
      <c r="DI33" s="36"/>
      <c r="DJ33" s="43"/>
      <c r="DK33" s="218"/>
      <c r="DL33" s="219"/>
      <c r="DM33" s="219"/>
      <c r="DN33" s="219"/>
      <c r="DO33" s="42"/>
      <c r="DP33" s="22"/>
      <c r="DQ33" s="31"/>
      <c r="DR33" s="43"/>
      <c r="DS33" s="218"/>
      <c r="DT33" s="219"/>
      <c r="DU33" s="219"/>
      <c r="DV33" s="219"/>
      <c r="DW33" s="42"/>
      <c r="DX33" s="36"/>
      <c r="DY33" s="43"/>
      <c r="DZ33" s="218"/>
      <c r="EA33" s="219"/>
      <c r="EB33" s="219"/>
      <c r="EC33" s="219"/>
      <c r="ED33" s="42"/>
      <c r="EE33" s="22"/>
      <c r="EF33" s="31"/>
      <c r="EG33" s="43"/>
      <c r="EH33" s="218"/>
      <c r="EI33" s="219"/>
      <c r="EJ33" s="219"/>
      <c r="EK33" s="219"/>
      <c r="EL33" s="42"/>
      <c r="EM33" s="36"/>
      <c r="EN33" s="43"/>
      <c r="EO33" s="218"/>
      <c r="EP33" s="219"/>
      <c r="EQ33" s="219"/>
      <c r="ER33" s="219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16"/>
      <c r="D35" s="217"/>
      <c r="E35" s="22"/>
      <c r="G35" s="40"/>
      <c r="H35" s="36"/>
      <c r="I35" s="34"/>
      <c r="J35" s="216"/>
      <c r="K35" s="217"/>
      <c r="L35" s="22"/>
      <c r="N35" s="40"/>
      <c r="O35" s="22"/>
      <c r="P35" s="31"/>
      <c r="Q35" s="34"/>
      <c r="R35" s="216"/>
      <c r="S35" s="217"/>
      <c r="T35" s="22"/>
      <c r="V35" s="40"/>
      <c r="W35" s="36"/>
      <c r="X35" s="34"/>
      <c r="Y35" s="216"/>
      <c r="Z35" s="217"/>
      <c r="AA35" s="22"/>
      <c r="AC35" s="40"/>
      <c r="AD35" s="22"/>
      <c r="AE35" s="31"/>
      <c r="AF35" s="34"/>
      <c r="AG35" s="216"/>
      <c r="AH35" s="217"/>
      <c r="AI35" s="22"/>
      <c r="AK35" s="40"/>
      <c r="AL35" s="36"/>
      <c r="AM35" s="34"/>
      <c r="AN35" s="216"/>
      <c r="AO35" s="217"/>
      <c r="AP35" s="22"/>
      <c r="AR35" s="40"/>
      <c r="AS35" s="22"/>
      <c r="AT35" s="31"/>
      <c r="AU35" s="34"/>
      <c r="AV35" s="216"/>
      <c r="AW35" s="217"/>
      <c r="AX35" s="22"/>
      <c r="AZ35" s="40"/>
      <c r="BA35" s="36"/>
      <c r="BB35" s="34"/>
      <c r="BC35" s="216"/>
      <c r="BD35" s="217"/>
      <c r="BE35" s="22"/>
      <c r="BG35" s="40"/>
      <c r="BH35" s="22"/>
      <c r="BI35" s="31"/>
      <c r="BJ35" s="34"/>
      <c r="BK35" s="216"/>
      <c r="BL35" s="217"/>
      <c r="BM35" s="22"/>
      <c r="BO35" s="40"/>
      <c r="BP35" s="36"/>
      <c r="BQ35" s="34"/>
      <c r="BR35" s="216"/>
      <c r="BS35" s="217"/>
      <c r="BT35" s="22"/>
      <c r="BV35" s="40"/>
      <c r="BW35" s="22"/>
      <c r="BX35" s="31"/>
      <c r="BY35" s="34"/>
      <c r="BZ35" s="216"/>
      <c r="CA35" s="217"/>
      <c r="CB35" s="22"/>
      <c r="CD35" s="40"/>
      <c r="CE35" s="36"/>
      <c r="CF35" s="34"/>
      <c r="CG35" s="216"/>
      <c r="CH35" s="217"/>
      <c r="CI35" s="22"/>
      <c r="CK35" s="40"/>
      <c r="CL35" s="22"/>
      <c r="CM35" s="31"/>
      <c r="CN35" s="34"/>
      <c r="CO35" s="216"/>
      <c r="CP35" s="217"/>
      <c r="CQ35" s="22"/>
      <c r="CS35" s="40"/>
      <c r="CT35" s="36"/>
      <c r="CU35" s="34"/>
      <c r="CV35" s="216"/>
      <c r="CW35" s="217"/>
      <c r="CX35" s="22"/>
      <c r="CZ35" s="40"/>
      <c r="DA35" s="22"/>
      <c r="DB35" s="31"/>
      <c r="DC35" s="34"/>
      <c r="DD35" s="216"/>
      <c r="DE35" s="217"/>
      <c r="DF35" s="22"/>
      <c r="DH35" s="40"/>
      <c r="DI35" s="36"/>
      <c r="DJ35" s="34"/>
      <c r="DK35" s="216"/>
      <c r="DL35" s="217"/>
      <c r="DM35" s="22"/>
      <c r="DO35" s="40"/>
      <c r="DP35" s="22"/>
      <c r="DQ35" s="31"/>
      <c r="DR35" s="34"/>
      <c r="DS35" s="216"/>
      <c r="DT35" s="217"/>
      <c r="DU35" s="22"/>
      <c r="DW35" s="40"/>
      <c r="DX35" s="36"/>
      <c r="DY35" s="34"/>
      <c r="DZ35" s="216"/>
      <c r="EA35" s="217"/>
      <c r="EB35" s="22"/>
      <c r="ED35" s="40"/>
      <c r="EE35" s="22"/>
      <c r="EF35" s="31"/>
      <c r="EG35" s="34"/>
      <c r="EH35" s="216"/>
      <c r="EI35" s="217"/>
      <c r="EJ35" s="22"/>
      <c r="EL35" s="40"/>
      <c r="EM35" s="36"/>
      <c r="EN35" s="34"/>
      <c r="EO35" s="216"/>
      <c r="EP35" s="217"/>
      <c r="EQ35" s="22"/>
      <c r="ES35" s="40"/>
      <c r="ET35" s="22"/>
    </row>
    <row r="36" spans="1:150" ht="15.6" customHeight="1">
      <c r="B36" s="25"/>
      <c r="C36" s="222"/>
      <c r="D36" s="223"/>
      <c r="E36" s="50"/>
      <c r="F36" s="225"/>
      <c r="G36" s="226"/>
      <c r="H36" s="26"/>
      <c r="I36" s="25"/>
      <c r="J36" s="222"/>
      <c r="K36" s="223"/>
      <c r="L36" s="50"/>
      <c r="M36" s="225"/>
      <c r="N36" s="226"/>
      <c r="Q36" s="25"/>
      <c r="R36" s="222"/>
      <c r="S36" s="223"/>
      <c r="T36" s="50"/>
      <c r="U36" s="225"/>
      <c r="V36" s="226"/>
      <c r="W36" s="26"/>
      <c r="X36" s="25"/>
      <c r="Y36" s="222"/>
      <c r="Z36" s="223"/>
      <c r="AA36" s="50"/>
      <c r="AB36" s="225"/>
      <c r="AC36" s="226"/>
      <c r="AF36" s="25"/>
      <c r="AG36" s="222"/>
      <c r="AH36" s="223"/>
      <c r="AI36" s="50"/>
      <c r="AJ36" s="225"/>
      <c r="AK36" s="226"/>
      <c r="AL36" s="26"/>
      <c r="AM36" s="25"/>
      <c r="AN36" s="222"/>
      <c r="AO36" s="223"/>
      <c r="AP36" s="50"/>
      <c r="AQ36" s="225"/>
      <c r="AR36" s="226"/>
      <c r="AU36" s="25"/>
      <c r="AV36" s="222"/>
      <c r="AW36" s="223"/>
      <c r="AX36" s="50"/>
      <c r="AY36" s="225"/>
      <c r="AZ36" s="226"/>
      <c r="BA36" s="26"/>
      <c r="BB36" s="25"/>
      <c r="BC36" s="222"/>
      <c r="BD36" s="223"/>
      <c r="BE36" s="50"/>
      <c r="BF36" s="225"/>
      <c r="BG36" s="226"/>
      <c r="BJ36" s="25"/>
      <c r="BK36" s="222"/>
      <c r="BL36" s="223"/>
      <c r="BM36" s="50"/>
      <c r="BN36" s="225"/>
      <c r="BO36" s="226"/>
      <c r="BP36" s="26"/>
      <c r="BQ36" s="25"/>
      <c r="BR36" s="222"/>
      <c r="BS36" s="223"/>
      <c r="BT36" s="50"/>
      <c r="BU36" s="225"/>
      <c r="BV36" s="226"/>
      <c r="BY36" s="25"/>
      <c r="BZ36" s="222"/>
      <c r="CA36" s="223"/>
      <c r="CB36" s="50"/>
      <c r="CC36" s="225"/>
      <c r="CD36" s="226"/>
      <c r="CE36" s="26"/>
      <c r="CF36" s="25"/>
      <c r="CG36" s="222"/>
      <c r="CH36" s="223"/>
      <c r="CI36" s="50"/>
      <c r="CJ36" s="225"/>
      <c r="CK36" s="226"/>
      <c r="CN36" s="25"/>
      <c r="CO36" s="222"/>
      <c r="CP36" s="223"/>
      <c r="CQ36" s="50"/>
      <c r="CR36" s="225"/>
      <c r="CS36" s="226"/>
      <c r="CT36" s="26"/>
      <c r="CU36" s="25"/>
      <c r="CV36" s="222"/>
      <c r="CW36" s="223"/>
      <c r="CX36" s="50"/>
      <c r="CY36" s="225"/>
      <c r="CZ36" s="226"/>
      <c r="DC36" s="25"/>
      <c r="DD36" s="222"/>
      <c r="DE36" s="223"/>
      <c r="DF36" s="50"/>
      <c r="DG36" s="225"/>
      <c r="DH36" s="226"/>
      <c r="DI36" s="26"/>
      <c r="DJ36" s="25"/>
      <c r="DK36" s="222"/>
      <c r="DL36" s="223"/>
      <c r="DM36" s="50"/>
      <c r="DN36" s="225"/>
      <c r="DO36" s="226"/>
      <c r="DR36" s="25"/>
      <c r="DS36" s="222"/>
      <c r="DT36" s="223"/>
      <c r="DU36" s="50"/>
      <c r="DV36" s="225"/>
      <c r="DW36" s="226"/>
      <c r="DX36" s="26"/>
      <c r="DY36" s="25"/>
      <c r="DZ36" s="222"/>
      <c r="EA36" s="223"/>
      <c r="EB36" s="50"/>
      <c r="EC36" s="225"/>
      <c r="ED36" s="226"/>
      <c r="EG36" s="25"/>
      <c r="EH36" s="222"/>
      <c r="EI36" s="223"/>
      <c r="EJ36" s="50"/>
      <c r="EK36" s="225"/>
      <c r="EL36" s="226"/>
      <c r="EM36" s="26"/>
      <c r="EN36" s="25"/>
      <c r="EO36" s="222"/>
      <c r="EP36" s="223"/>
      <c r="EQ36" s="50"/>
      <c r="ER36" s="225"/>
      <c r="ES36" s="226"/>
    </row>
    <row r="37" spans="1:150" ht="15.6" customHeight="1">
      <c r="B37" s="27"/>
      <c r="C37" s="224"/>
      <c r="D37" s="224"/>
      <c r="E37" s="44"/>
      <c r="F37" s="224"/>
      <c r="G37" s="221"/>
      <c r="H37" s="26"/>
      <c r="I37" s="27"/>
      <c r="J37" s="224"/>
      <c r="K37" s="224"/>
      <c r="L37" s="44"/>
      <c r="M37" s="224"/>
      <c r="N37" s="221"/>
      <c r="Q37" s="27"/>
      <c r="R37" s="224"/>
      <c r="S37" s="224"/>
      <c r="T37" s="44"/>
      <c r="U37" s="224"/>
      <c r="V37" s="221"/>
      <c r="W37" s="26"/>
      <c r="X37" s="27"/>
      <c r="Y37" s="224"/>
      <c r="Z37" s="224"/>
      <c r="AA37" s="44"/>
      <c r="AB37" s="224"/>
      <c r="AC37" s="221"/>
      <c r="AF37" s="27"/>
      <c r="AG37" s="224"/>
      <c r="AH37" s="224"/>
      <c r="AI37" s="44"/>
      <c r="AJ37" s="224"/>
      <c r="AK37" s="221"/>
      <c r="AL37" s="26"/>
      <c r="AM37" s="27"/>
      <c r="AN37" s="224"/>
      <c r="AO37" s="224"/>
      <c r="AP37" s="44"/>
      <c r="AQ37" s="224"/>
      <c r="AR37" s="221"/>
      <c r="AU37" s="27"/>
      <c r="AV37" s="224"/>
      <c r="AW37" s="224"/>
      <c r="AX37" s="44"/>
      <c r="AY37" s="224"/>
      <c r="AZ37" s="221"/>
      <c r="BA37" s="26"/>
      <c r="BB37" s="27"/>
      <c r="BC37" s="224"/>
      <c r="BD37" s="224"/>
      <c r="BE37" s="44"/>
      <c r="BF37" s="224"/>
      <c r="BG37" s="221"/>
      <c r="BJ37" s="27"/>
      <c r="BK37" s="224"/>
      <c r="BL37" s="224"/>
      <c r="BM37" s="44"/>
      <c r="BN37" s="224"/>
      <c r="BO37" s="221"/>
      <c r="BP37" s="26"/>
      <c r="BQ37" s="27"/>
      <c r="BR37" s="224"/>
      <c r="BS37" s="224"/>
      <c r="BT37" s="44"/>
      <c r="BU37" s="224"/>
      <c r="BV37" s="221"/>
      <c r="BY37" s="27"/>
      <c r="BZ37" s="224"/>
      <c r="CA37" s="224"/>
      <c r="CB37" s="44"/>
      <c r="CC37" s="224"/>
      <c r="CD37" s="221"/>
      <c r="CE37" s="26"/>
      <c r="CF37" s="27"/>
      <c r="CG37" s="224"/>
      <c r="CH37" s="224"/>
      <c r="CI37" s="44"/>
      <c r="CJ37" s="224"/>
      <c r="CK37" s="221"/>
      <c r="CN37" s="27"/>
      <c r="CO37" s="224"/>
      <c r="CP37" s="224"/>
      <c r="CQ37" s="44"/>
      <c r="CR37" s="224"/>
      <c r="CS37" s="221"/>
      <c r="CT37" s="26"/>
      <c r="CU37" s="27"/>
      <c r="CV37" s="224"/>
      <c r="CW37" s="224"/>
      <c r="CX37" s="44"/>
      <c r="CY37" s="224"/>
      <c r="CZ37" s="221"/>
      <c r="DC37" s="27"/>
      <c r="DD37" s="224"/>
      <c r="DE37" s="224"/>
      <c r="DF37" s="44"/>
      <c r="DG37" s="224"/>
      <c r="DH37" s="221"/>
      <c r="DI37" s="26"/>
      <c r="DJ37" s="27"/>
      <c r="DK37" s="224"/>
      <c r="DL37" s="224"/>
      <c r="DM37" s="44"/>
      <c r="DN37" s="224"/>
      <c r="DO37" s="221"/>
      <c r="DR37" s="27"/>
      <c r="DS37" s="224"/>
      <c r="DT37" s="224"/>
      <c r="DU37" s="44"/>
      <c r="DV37" s="224"/>
      <c r="DW37" s="221"/>
      <c r="DX37" s="26"/>
      <c r="DY37" s="27"/>
      <c r="DZ37" s="224"/>
      <c r="EA37" s="224"/>
      <c r="EB37" s="44"/>
      <c r="EC37" s="224"/>
      <c r="ED37" s="221"/>
      <c r="EG37" s="27"/>
      <c r="EH37" s="224"/>
      <c r="EI37" s="224"/>
      <c r="EJ37" s="44"/>
      <c r="EK37" s="224"/>
      <c r="EL37" s="221"/>
      <c r="EM37" s="26"/>
      <c r="EN37" s="27"/>
      <c r="EO37" s="224"/>
      <c r="EP37" s="224"/>
      <c r="EQ37" s="44"/>
      <c r="ER37" s="224"/>
      <c r="ES37" s="221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27"/>
      <c r="C39" s="221"/>
      <c r="D39" s="227"/>
      <c r="E39" s="221"/>
      <c r="F39" s="220"/>
      <c r="G39" s="221"/>
      <c r="I39" s="227"/>
      <c r="J39" s="221"/>
      <c r="K39" s="227"/>
      <c r="L39" s="221"/>
      <c r="M39" s="220"/>
      <c r="N39" s="221"/>
      <c r="Q39" s="227"/>
      <c r="R39" s="221"/>
      <c r="S39" s="227"/>
      <c r="T39" s="221"/>
      <c r="U39" s="220"/>
      <c r="V39" s="221"/>
      <c r="X39" s="227"/>
      <c r="Y39" s="221"/>
      <c r="Z39" s="227"/>
      <c r="AA39" s="221"/>
      <c r="AB39" s="220"/>
      <c r="AC39" s="221"/>
      <c r="AF39" s="227"/>
      <c r="AG39" s="221"/>
      <c r="AH39" s="227"/>
      <c r="AI39" s="221"/>
      <c r="AJ39" s="220"/>
      <c r="AK39" s="221"/>
      <c r="AM39" s="227"/>
      <c r="AN39" s="221"/>
      <c r="AO39" s="227"/>
      <c r="AP39" s="221"/>
      <c r="AQ39" s="220"/>
      <c r="AR39" s="221"/>
      <c r="AU39" s="227"/>
      <c r="AV39" s="221"/>
      <c r="AW39" s="227"/>
      <c r="AX39" s="221"/>
      <c r="AY39" s="220"/>
      <c r="AZ39" s="221"/>
      <c r="BB39" s="227"/>
      <c r="BC39" s="221"/>
      <c r="BD39" s="227"/>
      <c r="BE39" s="221"/>
      <c r="BF39" s="220"/>
      <c r="BG39" s="221"/>
      <c r="BJ39" s="227"/>
      <c r="BK39" s="221"/>
      <c r="BL39" s="227"/>
      <c r="BM39" s="221"/>
      <c r="BN39" s="220"/>
      <c r="BO39" s="221"/>
      <c r="BQ39" s="227"/>
      <c r="BR39" s="221"/>
      <c r="BS39" s="227"/>
      <c r="BT39" s="221"/>
      <c r="BU39" s="220"/>
      <c r="BV39" s="221"/>
      <c r="BY39" s="227"/>
      <c r="BZ39" s="221"/>
      <c r="CA39" s="227"/>
      <c r="CB39" s="221"/>
      <c r="CC39" s="220"/>
      <c r="CD39" s="221"/>
      <c r="CF39" s="227"/>
      <c r="CG39" s="221"/>
      <c r="CH39" s="227"/>
      <c r="CI39" s="221"/>
      <c r="CJ39" s="220"/>
      <c r="CK39" s="221"/>
      <c r="CN39" s="227"/>
      <c r="CO39" s="221"/>
      <c r="CP39" s="227"/>
      <c r="CQ39" s="221"/>
      <c r="CR39" s="220"/>
      <c r="CS39" s="221"/>
      <c r="CU39" s="227"/>
      <c r="CV39" s="221"/>
      <c r="CW39" s="227"/>
      <c r="CX39" s="221"/>
      <c r="CY39" s="220"/>
      <c r="CZ39" s="221"/>
      <c r="DC39" s="227"/>
      <c r="DD39" s="221"/>
      <c r="DE39" s="227"/>
      <c r="DF39" s="221"/>
      <c r="DG39" s="220"/>
      <c r="DH39" s="221"/>
      <c r="DJ39" s="227"/>
      <c r="DK39" s="221"/>
      <c r="DL39" s="227"/>
      <c r="DM39" s="221"/>
      <c r="DN39" s="220"/>
      <c r="DO39" s="221"/>
      <c r="DR39" s="227"/>
      <c r="DS39" s="221"/>
      <c r="DT39" s="227"/>
      <c r="DU39" s="221"/>
      <c r="DV39" s="220"/>
      <c r="DW39" s="221"/>
      <c r="DY39" s="227"/>
      <c r="DZ39" s="221"/>
      <c r="EA39" s="227"/>
      <c r="EB39" s="221"/>
      <c r="EC39" s="220"/>
      <c r="ED39" s="221"/>
      <c r="EG39" s="227"/>
      <c r="EH39" s="221"/>
      <c r="EI39" s="227"/>
      <c r="EJ39" s="221"/>
      <c r="EK39" s="220"/>
      <c r="EL39" s="221"/>
      <c r="EN39" s="227"/>
      <c r="EO39" s="221"/>
      <c r="EP39" s="227"/>
      <c r="EQ39" s="221"/>
      <c r="ER39" s="220"/>
      <c r="ES39" s="221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18"/>
      <c r="D41" s="219"/>
      <c r="E41" s="219"/>
      <c r="F41" s="219"/>
      <c r="G41" s="42"/>
      <c r="H41" s="36"/>
      <c r="I41" s="43"/>
      <c r="J41" s="218"/>
      <c r="K41" s="219"/>
      <c r="L41" s="219"/>
      <c r="M41" s="219"/>
      <c r="N41" s="42"/>
      <c r="O41" s="22"/>
      <c r="P41" s="31"/>
      <c r="Q41" s="43"/>
      <c r="R41" s="218"/>
      <c r="S41" s="219"/>
      <c r="T41" s="219"/>
      <c r="U41" s="219"/>
      <c r="V41" s="42"/>
      <c r="W41" s="36"/>
      <c r="X41" s="43"/>
      <c r="Y41" s="218"/>
      <c r="Z41" s="219"/>
      <c r="AA41" s="219"/>
      <c r="AB41" s="219"/>
      <c r="AC41" s="42"/>
      <c r="AD41" s="22"/>
      <c r="AE41" s="31"/>
      <c r="AF41" s="43"/>
      <c r="AG41" s="218"/>
      <c r="AH41" s="219"/>
      <c r="AI41" s="219"/>
      <c r="AJ41" s="219"/>
      <c r="AK41" s="42"/>
      <c r="AL41" s="36"/>
      <c r="AM41" s="43"/>
      <c r="AN41" s="218"/>
      <c r="AO41" s="219"/>
      <c r="AP41" s="219"/>
      <c r="AQ41" s="219"/>
      <c r="AR41" s="42"/>
      <c r="AS41" s="22"/>
      <c r="AT41" s="31"/>
      <c r="AU41" s="43"/>
      <c r="AV41" s="218"/>
      <c r="AW41" s="219"/>
      <c r="AX41" s="219"/>
      <c r="AY41" s="219"/>
      <c r="AZ41" s="42"/>
      <c r="BA41" s="36"/>
      <c r="BB41" s="43"/>
      <c r="BC41" s="218"/>
      <c r="BD41" s="219"/>
      <c r="BE41" s="219"/>
      <c r="BF41" s="219"/>
      <c r="BG41" s="42"/>
      <c r="BH41" s="22"/>
      <c r="BI41" s="31"/>
      <c r="BJ41" s="43"/>
      <c r="BK41" s="218"/>
      <c r="BL41" s="219"/>
      <c r="BM41" s="219"/>
      <c r="BN41" s="219"/>
      <c r="BO41" s="42"/>
      <c r="BP41" s="36"/>
      <c r="BQ41" s="43"/>
      <c r="BR41" s="218"/>
      <c r="BS41" s="219"/>
      <c r="BT41" s="219"/>
      <c r="BU41" s="219"/>
      <c r="BV41" s="42"/>
      <c r="BW41" s="22"/>
      <c r="BX41" s="31"/>
      <c r="BY41" s="43"/>
      <c r="BZ41" s="218"/>
      <c r="CA41" s="219"/>
      <c r="CB41" s="219"/>
      <c r="CC41" s="219"/>
      <c r="CD41" s="42"/>
      <c r="CE41" s="36"/>
      <c r="CF41" s="43"/>
      <c r="CG41" s="218"/>
      <c r="CH41" s="219"/>
      <c r="CI41" s="219"/>
      <c r="CJ41" s="219"/>
      <c r="CK41" s="42"/>
      <c r="CL41" s="22"/>
      <c r="CM41" s="31"/>
      <c r="CN41" s="43"/>
      <c r="CO41" s="218"/>
      <c r="CP41" s="219"/>
      <c r="CQ41" s="219"/>
      <c r="CR41" s="219"/>
      <c r="CS41" s="42"/>
      <c r="CT41" s="36"/>
      <c r="CU41" s="43"/>
      <c r="CV41" s="218"/>
      <c r="CW41" s="219"/>
      <c r="CX41" s="219"/>
      <c r="CY41" s="219"/>
      <c r="CZ41" s="42"/>
      <c r="DA41" s="22"/>
      <c r="DB41" s="31"/>
      <c r="DC41" s="43"/>
      <c r="DD41" s="218"/>
      <c r="DE41" s="219"/>
      <c r="DF41" s="219"/>
      <c r="DG41" s="219"/>
      <c r="DH41" s="42"/>
      <c r="DI41" s="36"/>
      <c r="DJ41" s="43"/>
      <c r="DK41" s="218"/>
      <c r="DL41" s="219"/>
      <c r="DM41" s="219"/>
      <c r="DN41" s="219"/>
      <c r="DO41" s="42"/>
      <c r="DP41" s="22"/>
      <c r="DQ41" s="31"/>
      <c r="DR41" s="43"/>
      <c r="DS41" s="218"/>
      <c r="DT41" s="219"/>
      <c r="DU41" s="219"/>
      <c r="DV41" s="219"/>
      <c r="DW41" s="42"/>
      <c r="DX41" s="36"/>
      <c r="DY41" s="43"/>
      <c r="DZ41" s="218"/>
      <c r="EA41" s="219"/>
      <c r="EB41" s="219"/>
      <c r="EC41" s="219"/>
      <c r="ED41" s="42"/>
      <c r="EE41" s="22"/>
      <c r="EF41" s="31"/>
      <c r="EG41" s="43"/>
      <c r="EH41" s="218"/>
      <c r="EI41" s="219"/>
      <c r="EJ41" s="219"/>
      <c r="EK41" s="219"/>
      <c r="EL41" s="42"/>
      <c r="EM41" s="36"/>
      <c r="EN41" s="43"/>
      <c r="EO41" s="218"/>
      <c r="EP41" s="219"/>
      <c r="EQ41" s="219"/>
      <c r="ER41" s="219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16"/>
      <c r="D43" s="217"/>
      <c r="E43" s="22"/>
      <c r="G43" s="40"/>
      <c r="H43" s="36"/>
      <c r="I43" s="34"/>
      <c r="J43" s="216"/>
      <c r="K43" s="217"/>
      <c r="L43" s="22"/>
      <c r="N43" s="40"/>
      <c r="O43" s="22"/>
      <c r="P43" s="31"/>
      <c r="Q43" s="34"/>
      <c r="R43" s="216"/>
      <c r="S43" s="217"/>
      <c r="T43" s="22"/>
      <c r="V43" s="40"/>
      <c r="W43" s="36"/>
      <c r="X43" s="34"/>
      <c r="Y43" s="216"/>
      <c r="Z43" s="217"/>
      <c r="AA43" s="22"/>
      <c r="AC43" s="40"/>
      <c r="AD43" s="22"/>
      <c r="AE43" s="31"/>
      <c r="AF43" s="34"/>
      <c r="AG43" s="216"/>
      <c r="AH43" s="217"/>
      <c r="AI43" s="22"/>
      <c r="AK43" s="40"/>
      <c r="AL43" s="36"/>
      <c r="AM43" s="34"/>
      <c r="AN43" s="216"/>
      <c r="AO43" s="217"/>
      <c r="AP43" s="22"/>
      <c r="AR43" s="40"/>
      <c r="AS43" s="22"/>
      <c r="AT43" s="31"/>
      <c r="AU43" s="34"/>
      <c r="AV43" s="216"/>
      <c r="AW43" s="217"/>
      <c r="AX43" s="22"/>
      <c r="AZ43" s="40"/>
      <c r="BA43" s="36"/>
      <c r="BB43" s="34"/>
      <c r="BC43" s="216"/>
      <c r="BD43" s="217"/>
      <c r="BE43" s="22"/>
      <c r="BG43" s="40"/>
      <c r="BH43" s="22"/>
      <c r="BI43" s="31"/>
      <c r="BJ43" s="34"/>
      <c r="BK43" s="216"/>
      <c r="BL43" s="217"/>
      <c r="BM43" s="22"/>
      <c r="BO43" s="40"/>
      <c r="BP43" s="36"/>
      <c r="BQ43" s="34"/>
      <c r="BR43" s="216"/>
      <c r="BS43" s="217"/>
      <c r="BT43" s="22"/>
      <c r="BV43" s="40"/>
      <c r="BW43" s="22"/>
      <c r="BX43" s="31"/>
      <c r="BY43" s="34"/>
      <c r="BZ43" s="216"/>
      <c r="CA43" s="217"/>
      <c r="CB43" s="22"/>
      <c r="CD43" s="40"/>
      <c r="CE43" s="36"/>
      <c r="CF43" s="34"/>
      <c r="CG43" s="216"/>
      <c r="CH43" s="217"/>
      <c r="CI43" s="22"/>
      <c r="CK43" s="40"/>
      <c r="CL43" s="22"/>
      <c r="CM43" s="31"/>
      <c r="CN43" s="34"/>
      <c r="CO43" s="216"/>
      <c r="CP43" s="217"/>
      <c r="CQ43" s="22"/>
      <c r="CS43" s="40"/>
      <c r="CT43" s="36"/>
      <c r="CU43" s="34"/>
      <c r="CV43" s="216"/>
      <c r="CW43" s="217"/>
      <c r="CX43" s="22"/>
      <c r="CZ43" s="40"/>
      <c r="DA43" s="22"/>
      <c r="DB43" s="31"/>
      <c r="DC43" s="34"/>
      <c r="DD43" s="216"/>
      <c r="DE43" s="217"/>
      <c r="DF43" s="22"/>
      <c r="DH43" s="40"/>
      <c r="DI43" s="36"/>
      <c r="DJ43" s="34"/>
      <c r="DK43" s="216"/>
      <c r="DL43" s="217"/>
      <c r="DM43" s="22"/>
      <c r="DO43" s="40"/>
      <c r="DP43" s="22"/>
      <c r="DQ43" s="31"/>
      <c r="DR43" s="34"/>
      <c r="DS43" s="216"/>
      <c r="DT43" s="217"/>
      <c r="DU43" s="22"/>
      <c r="DW43" s="40"/>
      <c r="DX43" s="36"/>
      <c r="DY43" s="34"/>
      <c r="DZ43" s="216"/>
      <c r="EA43" s="217"/>
      <c r="EB43" s="22"/>
      <c r="ED43" s="40"/>
      <c r="EE43" s="22"/>
      <c r="EF43" s="31"/>
      <c r="EG43" s="34"/>
      <c r="EH43" s="216"/>
      <c r="EI43" s="217"/>
      <c r="EJ43" s="22"/>
      <c r="EL43" s="40"/>
      <c r="EM43" s="36"/>
      <c r="EN43" s="34"/>
      <c r="EO43" s="216"/>
      <c r="EP43" s="217"/>
      <c r="EQ43" s="22"/>
      <c r="ES43" s="40"/>
      <c r="ET43" s="22"/>
    </row>
    <row r="44" spans="1:150" ht="15.6" customHeight="1">
      <c r="B44" s="25"/>
      <c r="C44" s="222"/>
      <c r="D44" s="223"/>
      <c r="E44" s="50"/>
      <c r="F44" s="225"/>
      <c r="G44" s="226"/>
      <c r="H44" s="26"/>
      <c r="I44" s="25"/>
      <c r="J44" s="222"/>
      <c r="K44" s="223"/>
      <c r="L44" s="50"/>
      <c r="M44" s="225"/>
      <c r="N44" s="226"/>
      <c r="Q44" s="25"/>
      <c r="R44" s="222"/>
      <c r="S44" s="223"/>
      <c r="T44" s="50"/>
      <c r="U44" s="225"/>
      <c r="V44" s="226"/>
      <c r="W44" s="26"/>
      <c r="X44" s="25"/>
      <c r="Y44" s="222"/>
      <c r="Z44" s="223"/>
      <c r="AA44" s="50"/>
      <c r="AB44" s="225"/>
      <c r="AC44" s="226"/>
      <c r="AF44" s="25"/>
      <c r="AG44" s="222"/>
      <c r="AH44" s="223"/>
      <c r="AI44" s="50"/>
      <c r="AJ44" s="225"/>
      <c r="AK44" s="226"/>
      <c r="AL44" s="26"/>
      <c r="AM44" s="25"/>
      <c r="AN44" s="222"/>
      <c r="AO44" s="223"/>
      <c r="AP44" s="50"/>
      <c r="AQ44" s="225"/>
      <c r="AR44" s="226"/>
      <c r="AU44" s="25"/>
      <c r="AV44" s="222"/>
      <c r="AW44" s="223"/>
      <c r="AX44" s="50"/>
      <c r="AY44" s="225"/>
      <c r="AZ44" s="226"/>
      <c r="BA44" s="26"/>
      <c r="BB44" s="25"/>
      <c r="BC44" s="222"/>
      <c r="BD44" s="223"/>
      <c r="BE44" s="50"/>
      <c r="BF44" s="225"/>
      <c r="BG44" s="226"/>
      <c r="BJ44" s="25"/>
      <c r="BK44" s="222"/>
      <c r="BL44" s="223"/>
      <c r="BM44" s="50"/>
      <c r="BN44" s="225"/>
      <c r="BO44" s="226"/>
      <c r="BP44" s="26"/>
      <c r="BQ44" s="25"/>
      <c r="BR44" s="222"/>
      <c r="BS44" s="223"/>
      <c r="BT44" s="50"/>
      <c r="BU44" s="225"/>
      <c r="BV44" s="226"/>
      <c r="BY44" s="25"/>
      <c r="BZ44" s="222"/>
      <c r="CA44" s="223"/>
      <c r="CB44" s="50"/>
      <c r="CC44" s="225"/>
      <c r="CD44" s="226"/>
      <c r="CE44" s="26"/>
      <c r="CF44" s="25"/>
      <c r="CG44" s="222"/>
      <c r="CH44" s="223"/>
      <c r="CI44" s="50"/>
      <c r="CJ44" s="225"/>
      <c r="CK44" s="226"/>
      <c r="CN44" s="25"/>
      <c r="CO44" s="222"/>
      <c r="CP44" s="223"/>
      <c r="CQ44" s="50"/>
      <c r="CR44" s="225"/>
      <c r="CS44" s="226"/>
      <c r="CT44" s="26"/>
      <c r="CU44" s="25"/>
      <c r="CV44" s="222"/>
      <c r="CW44" s="223"/>
      <c r="CX44" s="50"/>
      <c r="CY44" s="225"/>
      <c r="CZ44" s="226"/>
      <c r="DC44" s="25"/>
      <c r="DD44" s="222"/>
      <c r="DE44" s="223"/>
      <c r="DF44" s="50"/>
      <c r="DG44" s="225"/>
      <c r="DH44" s="226"/>
      <c r="DI44" s="26"/>
      <c r="DJ44" s="25"/>
      <c r="DK44" s="222"/>
      <c r="DL44" s="223"/>
      <c r="DM44" s="50"/>
      <c r="DN44" s="225"/>
      <c r="DO44" s="226"/>
      <c r="DR44" s="25"/>
      <c r="DS44" s="222"/>
      <c r="DT44" s="223"/>
      <c r="DU44" s="50"/>
      <c r="DV44" s="225"/>
      <c r="DW44" s="226"/>
      <c r="DX44" s="26"/>
      <c r="DY44" s="25"/>
      <c r="DZ44" s="222"/>
      <c r="EA44" s="223"/>
      <c r="EB44" s="50"/>
      <c r="EC44" s="225"/>
      <c r="ED44" s="226"/>
      <c r="EG44" s="25"/>
      <c r="EH44" s="222"/>
      <c r="EI44" s="223"/>
      <c r="EJ44" s="50"/>
      <c r="EK44" s="225"/>
      <c r="EL44" s="226"/>
      <c r="EM44" s="26"/>
      <c r="EN44" s="25"/>
      <c r="EO44" s="222"/>
      <c r="EP44" s="223"/>
      <c r="EQ44" s="50"/>
      <c r="ER44" s="225"/>
      <c r="ES44" s="226"/>
    </row>
    <row r="45" spans="1:150" ht="15.6" customHeight="1">
      <c r="B45" s="27"/>
      <c r="C45" s="224"/>
      <c r="D45" s="224"/>
      <c r="E45" s="44"/>
      <c r="F45" s="224"/>
      <c r="G45" s="221"/>
      <c r="H45" s="26"/>
      <c r="I45" s="27"/>
      <c r="J45" s="224"/>
      <c r="K45" s="224"/>
      <c r="L45" s="44"/>
      <c r="M45" s="224"/>
      <c r="N45" s="221"/>
      <c r="Q45" s="27"/>
      <c r="R45" s="224"/>
      <c r="S45" s="224"/>
      <c r="T45" s="44"/>
      <c r="U45" s="224"/>
      <c r="V45" s="221"/>
      <c r="W45" s="26"/>
      <c r="X45" s="27"/>
      <c r="Y45" s="224"/>
      <c r="Z45" s="224"/>
      <c r="AA45" s="44"/>
      <c r="AB45" s="224"/>
      <c r="AC45" s="221"/>
      <c r="AF45" s="27"/>
      <c r="AG45" s="224"/>
      <c r="AH45" s="224"/>
      <c r="AI45" s="44"/>
      <c r="AJ45" s="224"/>
      <c r="AK45" s="221"/>
      <c r="AL45" s="26"/>
      <c r="AM45" s="27"/>
      <c r="AN45" s="224"/>
      <c r="AO45" s="224"/>
      <c r="AP45" s="44"/>
      <c r="AQ45" s="224"/>
      <c r="AR45" s="221"/>
      <c r="AU45" s="27"/>
      <c r="AV45" s="224"/>
      <c r="AW45" s="224"/>
      <c r="AX45" s="44"/>
      <c r="AY45" s="224"/>
      <c r="AZ45" s="221"/>
      <c r="BA45" s="26"/>
      <c r="BB45" s="27"/>
      <c r="BC45" s="224"/>
      <c r="BD45" s="224"/>
      <c r="BE45" s="44"/>
      <c r="BF45" s="224"/>
      <c r="BG45" s="221"/>
      <c r="BJ45" s="27"/>
      <c r="BK45" s="224"/>
      <c r="BL45" s="224"/>
      <c r="BM45" s="44"/>
      <c r="BN45" s="224"/>
      <c r="BO45" s="221"/>
      <c r="BP45" s="26"/>
      <c r="BQ45" s="27"/>
      <c r="BR45" s="224"/>
      <c r="BS45" s="224"/>
      <c r="BT45" s="44"/>
      <c r="BU45" s="224"/>
      <c r="BV45" s="221"/>
      <c r="BY45" s="27"/>
      <c r="BZ45" s="224"/>
      <c r="CA45" s="224"/>
      <c r="CB45" s="44"/>
      <c r="CC45" s="224"/>
      <c r="CD45" s="221"/>
      <c r="CE45" s="26"/>
      <c r="CF45" s="27"/>
      <c r="CG45" s="224"/>
      <c r="CH45" s="224"/>
      <c r="CI45" s="44"/>
      <c r="CJ45" s="224"/>
      <c r="CK45" s="221"/>
      <c r="CN45" s="27"/>
      <c r="CO45" s="224"/>
      <c r="CP45" s="224"/>
      <c r="CQ45" s="44"/>
      <c r="CR45" s="224"/>
      <c r="CS45" s="221"/>
      <c r="CT45" s="26"/>
      <c r="CU45" s="27"/>
      <c r="CV45" s="224"/>
      <c r="CW45" s="224"/>
      <c r="CX45" s="44"/>
      <c r="CY45" s="224"/>
      <c r="CZ45" s="221"/>
      <c r="DC45" s="27"/>
      <c r="DD45" s="224"/>
      <c r="DE45" s="224"/>
      <c r="DF45" s="44"/>
      <c r="DG45" s="224"/>
      <c r="DH45" s="221"/>
      <c r="DI45" s="26"/>
      <c r="DJ45" s="27"/>
      <c r="DK45" s="224"/>
      <c r="DL45" s="224"/>
      <c r="DM45" s="44"/>
      <c r="DN45" s="224"/>
      <c r="DO45" s="221"/>
      <c r="DR45" s="27"/>
      <c r="DS45" s="224"/>
      <c r="DT45" s="224"/>
      <c r="DU45" s="44"/>
      <c r="DV45" s="224"/>
      <c r="DW45" s="221"/>
      <c r="DX45" s="26"/>
      <c r="DY45" s="27"/>
      <c r="DZ45" s="224"/>
      <c r="EA45" s="224"/>
      <c r="EB45" s="44"/>
      <c r="EC45" s="224"/>
      <c r="ED45" s="221"/>
      <c r="EG45" s="27"/>
      <c r="EH45" s="224"/>
      <c r="EI45" s="224"/>
      <c r="EJ45" s="44"/>
      <c r="EK45" s="224"/>
      <c r="EL45" s="221"/>
      <c r="EM45" s="26"/>
      <c r="EN45" s="27"/>
      <c r="EO45" s="224"/>
      <c r="EP45" s="224"/>
      <c r="EQ45" s="44"/>
      <c r="ER45" s="224"/>
      <c r="ES45" s="221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27"/>
      <c r="C47" s="221"/>
      <c r="D47" s="227"/>
      <c r="E47" s="221"/>
      <c r="F47" s="220"/>
      <c r="G47" s="221"/>
      <c r="I47" s="227"/>
      <c r="J47" s="221"/>
      <c r="K47" s="227"/>
      <c r="L47" s="221"/>
      <c r="M47" s="220"/>
      <c r="N47" s="221"/>
      <c r="Q47" s="227"/>
      <c r="R47" s="221"/>
      <c r="S47" s="227"/>
      <c r="T47" s="221"/>
      <c r="U47" s="220"/>
      <c r="V47" s="221"/>
      <c r="X47" s="227"/>
      <c r="Y47" s="221"/>
      <c r="Z47" s="227"/>
      <c r="AA47" s="221"/>
      <c r="AB47" s="220"/>
      <c r="AC47" s="221"/>
      <c r="AF47" s="227"/>
      <c r="AG47" s="221"/>
      <c r="AH47" s="227"/>
      <c r="AI47" s="221"/>
      <c r="AJ47" s="220"/>
      <c r="AK47" s="221"/>
      <c r="AM47" s="227"/>
      <c r="AN47" s="221"/>
      <c r="AO47" s="227"/>
      <c r="AP47" s="221"/>
      <c r="AQ47" s="220"/>
      <c r="AR47" s="221"/>
      <c r="AU47" s="227"/>
      <c r="AV47" s="221"/>
      <c r="AW47" s="227"/>
      <c r="AX47" s="221"/>
      <c r="AY47" s="220"/>
      <c r="AZ47" s="221"/>
      <c r="BB47" s="227"/>
      <c r="BC47" s="221"/>
      <c r="BD47" s="227"/>
      <c r="BE47" s="221"/>
      <c r="BF47" s="220"/>
      <c r="BG47" s="221"/>
      <c r="BJ47" s="227"/>
      <c r="BK47" s="221"/>
      <c r="BL47" s="227"/>
      <c r="BM47" s="221"/>
      <c r="BN47" s="220"/>
      <c r="BO47" s="221"/>
      <c r="BQ47" s="227"/>
      <c r="BR47" s="221"/>
      <c r="BS47" s="227"/>
      <c r="BT47" s="221"/>
      <c r="BU47" s="220"/>
      <c r="BV47" s="221"/>
      <c r="BY47" s="227"/>
      <c r="BZ47" s="221"/>
      <c r="CA47" s="227"/>
      <c r="CB47" s="221"/>
      <c r="CC47" s="220"/>
      <c r="CD47" s="221"/>
      <c r="CF47" s="227"/>
      <c r="CG47" s="221"/>
      <c r="CH47" s="227"/>
      <c r="CI47" s="221"/>
      <c r="CJ47" s="220"/>
      <c r="CK47" s="221"/>
      <c r="CN47" s="227"/>
      <c r="CO47" s="221"/>
      <c r="CP47" s="227"/>
      <c r="CQ47" s="221"/>
      <c r="CR47" s="220"/>
      <c r="CS47" s="221"/>
      <c r="CU47" s="227"/>
      <c r="CV47" s="221"/>
      <c r="CW47" s="227"/>
      <c r="CX47" s="221"/>
      <c r="CY47" s="220"/>
      <c r="CZ47" s="221"/>
      <c r="DC47" s="227"/>
      <c r="DD47" s="221"/>
      <c r="DE47" s="227"/>
      <c r="DF47" s="221"/>
      <c r="DG47" s="220"/>
      <c r="DH47" s="221"/>
      <c r="DJ47" s="227"/>
      <c r="DK47" s="221"/>
      <c r="DL47" s="227"/>
      <c r="DM47" s="221"/>
      <c r="DN47" s="220"/>
      <c r="DO47" s="221"/>
      <c r="DR47" s="227"/>
      <c r="DS47" s="221"/>
      <c r="DT47" s="227"/>
      <c r="DU47" s="221"/>
      <c r="DV47" s="220"/>
      <c r="DW47" s="221"/>
      <c r="DY47" s="227"/>
      <c r="DZ47" s="221"/>
      <c r="EA47" s="227"/>
      <c r="EB47" s="221"/>
      <c r="EC47" s="220"/>
      <c r="ED47" s="221"/>
      <c r="EG47" s="227"/>
      <c r="EH47" s="221"/>
      <c r="EI47" s="227"/>
      <c r="EJ47" s="221"/>
      <c r="EK47" s="220"/>
      <c r="EL47" s="221"/>
      <c r="EN47" s="227"/>
      <c r="EO47" s="221"/>
      <c r="EP47" s="227"/>
      <c r="EQ47" s="221"/>
      <c r="ER47" s="220"/>
      <c r="ES47" s="221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AV3:AW3"/>
    <mergeCell ref="BU23:BV23"/>
    <mergeCell ref="AQ7:AR7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I39:EJ39"/>
    <mergeCell ref="CA7:CB7"/>
    <mergeCell ref="X15:Y15"/>
    <mergeCell ref="EH44:EI45"/>
    <mergeCell ref="BK41:BN41"/>
    <mergeCell ref="EC39:ED39"/>
    <mergeCell ref="F23:G23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D15:E15"/>
    <mergeCell ref="CV1:CY1"/>
    <mergeCell ref="DN44:DO45"/>
    <mergeCell ref="D7:E7"/>
    <mergeCell ref="DD35:DE35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P7:EQ7"/>
    <mergeCell ref="EO43:EP43"/>
    <mergeCell ref="DD3:DE3"/>
    <mergeCell ref="CV3:CW3"/>
    <mergeCell ref="EP15:EQ15"/>
    <mergeCell ref="EP23:EQ23"/>
    <mergeCell ref="AN3:AO3"/>
    <mergeCell ref="BZ1:CC1"/>
    <mergeCell ref="AN17:AQ17"/>
    <mergeCell ref="AM23:AN23"/>
    <mergeCell ref="AO23:AP23"/>
    <mergeCell ref="DK17:DN17"/>
    <mergeCell ref="BZ20:CA21"/>
    <mergeCell ref="EH41:EK41"/>
    <mergeCell ref="DZ20:EA21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DK43:DL43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CU31:CV31"/>
    <mergeCell ref="Y28:Z29"/>
    <mergeCell ref="CW31:CX31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M28:N2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CJ31:CK31"/>
    <mergeCell ref="DN12:DO13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U47:V47"/>
    <mergeCell ref="DY47:DZ47"/>
    <mergeCell ref="AB20:AC21"/>
    <mergeCell ref="EO35:EP3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A15:CB15"/>
    <mergeCell ref="DD20:DE21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DZ4:EA5"/>
    <mergeCell ref="BN31:BO31"/>
    <mergeCell ref="EC15:ED15"/>
    <mergeCell ref="CV33:CY33"/>
    <mergeCell ref="CJ12:CK13"/>
    <mergeCell ref="DN28:DO29"/>
    <mergeCell ref="BC35:BD35"/>
    <mergeCell ref="CJ47:CK47"/>
    <mergeCell ref="DT7:DU7"/>
    <mergeCell ref="DV7:DW7"/>
    <mergeCell ref="BF47:BG47"/>
    <mergeCell ref="CW47:CX47"/>
    <mergeCell ref="CY47:CZ47"/>
    <mergeCell ref="DG28:DH29"/>
    <mergeCell ref="BF7:BG7"/>
    <mergeCell ref="CF15:CG15"/>
    <mergeCell ref="CH15:CI15"/>
    <mergeCell ref="BC11:BD11"/>
    <mergeCell ref="BY15:BZ15"/>
    <mergeCell ref="CV19:CW19"/>
    <mergeCell ref="DS11:DT11"/>
    <mergeCell ref="EC4:ED5"/>
    <mergeCell ref="DT23:DU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AH15:AI15"/>
    <mergeCell ref="U4:V5"/>
    <mergeCell ref="AV1:AY1"/>
    <mergeCell ref="AU15:AV15"/>
    <mergeCell ref="AW15:AX15"/>
    <mergeCell ref="AV43:AW43"/>
    <mergeCell ref="AN33:AQ33"/>
    <mergeCell ref="M47:N47"/>
    <mergeCell ref="R43:S43"/>
    <mergeCell ref="AG17:AJ17"/>
    <mergeCell ref="Z15:AA15"/>
    <mergeCell ref="Y44:Z45"/>
    <mergeCell ref="CO3:CP3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AF15:AG1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ER44:ES45"/>
    <mergeCell ref="CR28:CS29"/>
    <mergeCell ref="AW23:AX23"/>
    <mergeCell ref="DS17:DV17"/>
    <mergeCell ref="BC20:BD21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BY7:BZ7"/>
    <mergeCell ref="BR25:BU25"/>
    <mergeCell ref="R9:U9"/>
    <mergeCell ref="AB28:AC29"/>
    <mergeCell ref="BL15:BM15"/>
    <mergeCell ref="BN15:BO15"/>
    <mergeCell ref="AG25:AJ25"/>
    <mergeCell ref="EO27:EP27"/>
    <mergeCell ref="DJ23:DK23"/>
    <mergeCell ref="BC36:BD37"/>
    <mergeCell ref="DS33:DV33"/>
    <mergeCell ref="BR19:BS19"/>
    <mergeCell ref="DS41:DV41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X39:Y39"/>
    <mergeCell ref="DK41:DN41"/>
    <mergeCell ref="BD39:BE39"/>
    <mergeCell ref="CH39:CI39"/>
    <mergeCell ref="AJ39:AK39"/>
    <mergeCell ref="CR36:CS37"/>
    <mergeCell ref="AV36:AW37"/>
    <mergeCell ref="EO41:ER41"/>
    <mergeCell ref="K7:L7"/>
    <mergeCell ref="AU47:AV47"/>
    <mergeCell ref="M23:N23"/>
    <mergeCell ref="CC39:CD39"/>
    <mergeCell ref="DG20:DH21"/>
    <mergeCell ref="BK9:BN9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DC47:DD47"/>
    <mergeCell ref="BN39:BO39"/>
    <mergeCell ref="X47:Y47"/>
    <mergeCell ref="Z47:AA47"/>
    <mergeCell ref="BL7:BM7"/>
    <mergeCell ref="EA39:EB39"/>
    <mergeCell ref="DR7:DS7"/>
    <mergeCell ref="DS27:DT27"/>
    <mergeCell ref="CH47:CI47"/>
    <mergeCell ref="DS4:DT5"/>
    <mergeCell ref="AV9:AY9"/>
    <mergeCell ref="DD44:DE45"/>
    <mergeCell ref="BN4:BO5"/>
    <mergeCell ref="AO7:AP7"/>
    <mergeCell ref="EO12:EP13"/>
    <mergeCell ref="AV35:AW35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BJ7:BK7"/>
    <mergeCell ref="M20:N21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F36:G37"/>
    <mergeCell ref="AN43:AO43"/>
    <mergeCell ref="BU20:BV21"/>
    <mergeCell ref="CY36:CZ37"/>
    <mergeCell ref="Y9:AB9"/>
    <mergeCell ref="CO20:CP21"/>
    <mergeCell ref="CN7:CO7"/>
    <mergeCell ref="R35:S35"/>
    <mergeCell ref="J35:K35"/>
    <mergeCell ref="F12:G13"/>
    <mergeCell ref="J36:K37"/>
    <mergeCell ref="C35:D3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2025-07-16T18:15:43Z</dcterms:modified>
</cp:coreProperties>
</file>